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nnections.xml" ContentType="application/vnd.openxmlformats-officedocument.spreadsheetml.connection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Questa_cartella_di_lavoro"/>
  <mc:AlternateContent xmlns:mc="http://schemas.openxmlformats.org/markup-compatibility/2006">
    <mc:Choice Requires="x15">
      <x15ac:absPath xmlns:x15ac="http://schemas.microsoft.com/office/spreadsheetml/2010/11/ac" url="F:\01 - ARCHIVIO UFF-TECNICO\03 - MOTOR-LIST\"/>
    </mc:Choice>
  </mc:AlternateContent>
  <xr:revisionPtr revIDLastSave="0" documentId="13_ncr:1_{9CE98FAB-2E20-46E5-9642-3747B8F7D8BB}" xr6:coauthVersionLast="47" xr6:coauthVersionMax="47" xr10:uidLastSave="{00000000-0000-0000-0000-000000000000}"/>
  <bookViews>
    <workbookView xWindow="28680" yWindow="-120" windowWidth="29040" windowHeight="16440" firstSheet="1" activeTab="1" xr2:uid="{00000000-000D-0000-FFFF-FFFF00000000}"/>
  </bookViews>
  <sheets>
    <sheet name="Foglio1" sheetId="4" state="hidden" r:id="rId1"/>
    <sheet name="ML" sheetId="1" r:id="rId2"/>
    <sheet name="Foglio2" sheetId="2" state="hidden" r:id="rId3"/>
  </sheets>
  <externalReferences>
    <externalReference r:id="rId4"/>
  </externalReferences>
  <definedNames>
    <definedName name="_pm110">Foglio2!$D$9</definedName>
    <definedName name="_pm1100">Foglio2!$D$17</definedName>
    <definedName name="_pm11000">Foglio2!$D$27</definedName>
    <definedName name="_pm12">Foglio2!$D$3</definedName>
    <definedName name="_pm13200">Foglio2!$D$28</definedName>
    <definedName name="_pm150">Foglio2!$D$10</definedName>
    <definedName name="_pm1500">Foglio2!$D$18</definedName>
    <definedName name="_pm16000">Foglio2!$D$29</definedName>
    <definedName name="_pm18">Foglio2!$D$4</definedName>
    <definedName name="_pm1850">Foglio2!$D$19</definedName>
    <definedName name="_pm220">Foglio2!$D$11</definedName>
    <definedName name="_pm2200">Foglio2!$D$20</definedName>
    <definedName name="_pm25">Foglio2!$D$5</definedName>
    <definedName name="_pm300">Foglio2!$D$12</definedName>
    <definedName name="_pm3000">Foglio2!$D$21</definedName>
    <definedName name="_pm37">Foglio2!$D$6</definedName>
    <definedName name="_pm3700">Foglio2!$D$22</definedName>
    <definedName name="_pm400">Foglio2!$D$13</definedName>
    <definedName name="_pm4500">Foglio2!$D$23</definedName>
    <definedName name="_pm55">Foglio2!$D$7</definedName>
    <definedName name="_pm550">Foglio2!$D$14</definedName>
    <definedName name="_pm5500">Foglio2!$D$24</definedName>
    <definedName name="_pm75">Foglio2!$D$8</definedName>
    <definedName name="_pm750">Foglio2!$D$15</definedName>
    <definedName name="_pm7500">Foglio2!$D$25</definedName>
    <definedName name="_pm9000">Foglio2!$D$26</definedName>
    <definedName name="_pm920">Foglio2!$D$16</definedName>
    <definedName name="_xlnm.Print_Area" localSheetId="1">ML!$A$1:$AL$66</definedName>
    <definedName name="DatiEsterni_1" localSheetId="0" hidden="1">Foglio1!$A$1:$S$949</definedName>
    <definedName name="_xlnm.Print_Titles" localSheetId="1">ML!$1:$9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M59" i="1" l="1"/>
  <c r="AL59" i="1"/>
  <c r="AK59" i="1"/>
  <c r="AJ59" i="1"/>
  <c r="AH59" i="1"/>
  <c r="AG59" i="1"/>
  <c r="AF59" i="1"/>
  <c r="AE59" i="1"/>
  <c r="AB59" i="1"/>
  <c r="AA59" i="1"/>
  <c r="Z59" i="1"/>
  <c r="Y59" i="1"/>
  <c r="X59" i="1"/>
  <c r="AI59" i="1" s="1"/>
  <c r="W59" i="1"/>
  <c r="V59" i="1"/>
  <c r="U59" i="1"/>
  <c r="T59" i="1"/>
  <c r="S59" i="1"/>
  <c r="R59" i="1"/>
  <c r="O59" i="1"/>
  <c r="N59" i="1"/>
  <c r="M59" i="1"/>
  <c r="L59" i="1"/>
  <c r="K59" i="1"/>
  <c r="J59" i="1"/>
  <c r="I59" i="1"/>
  <c r="H59" i="1"/>
  <c r="G59" i="1" s="1"/>
  <c r="F59" i="1"/>
  <c r="E59" i="1"/>
  <c r="AM57" i="1"/>
  <c r="AL57" i="1"/>
  <c r="AK57" i="1"/>
  <c r="AJ57" i="1"/>
  <c r="AH57" i="1"/>
  <c r="AG57" i="1"/>
  <c r="AF57" i="1"/>
  <c r="AE57" i="1"/>
  <c r="AB57" i="1"/>
  <c r="AA57" i="1"/>
  <c r="Z57" i="1"/>
  <c r="Y57" i="1"/>
  <c r="X57" i="1"/>
  <c r="AI57" i="1" s="1"/>
  <c r="W57" i="1"/>
  <c r="V57" i="1"/>
  <c r="U57" i="1"/>
  <c r="T57" i="1"/>
  <c r="S57" i="1"/>
  <c r="R57" i="1"/>
  <c r="O57" i="1"/>
  <c r="N57" i="1"/>
  <c r="M57" i="1"/>
  <c r="L57" i="1"/>
  <c r="K57" i="1"/>
  <c r="J57" i="1"/>
  <c r="I57" i="1"/>
  <c r="H57" i="1"/>
  <c r="G57" i="1" s="1"/>
  <c r="F57" i="1"/>
  <c r="E57" i="1"/>
  <c r="AM55" i="1"/>
  <c r="AL55" i="1"/>
  <c r="AK55" i="1"/>
  <c r="AJ55" i="1"/>
  <c r="AH55" i="1"/>
  <c r="AG55" i="1"/>
  <c r="AF55" i="1"/>
  <c r="AE55" i="1"/>
  <c r="AB55" i="1"/>
  <c r="AA55" i="1"/>
  <c r="Z55" i="1"/>
  <c r="Y55" i="1"/>
  <c r="X55" i="1"/>
  <c r="AI55" i="1" s="1"/>
  <c r="W55" i="1"/>
  <c r="V55" i="1"/>
  <c r="U55" i="1"/>
  <c r="T55" i="1"/>
  <c r="S55" i="1"/>
  <c r="R55" i="1"/>
  <c r="O55" i="1"/>
  <c r="N55" i="1"/>
  <c r="M55" i="1"/>
  <c r="L55" i="1"/>
  <c r="K55" i="1"/>
  <c r="J55" i="1"/>
  <c r="I55" i="1"/>
  <c r="H55" i="1"/>
  <c r="G55" i="1" s="1"/>
  <c r="F55" i="1"/>
  <c r="E55" i="1"/>
  <c r="AM54" i="1"/>
  <c r="AL54" i="1"/>
  <c r="AK54" i="1"/>
  <c r="AJ54" i="1"/>
  <c r="AH54" i="1"/>
  <c r="AG54" i="1"/>
  <c r="AF54" i="1"/>
  <c r="AE54" i="1"/>
  <c r="AB54" i="1"/>
  <c r="AA54" i="1"/>
  <c r="Z54" i="1"/>
  <c r="Y54" i="1"/>
  <c r="X54" i="1"/>
  <c r="AI54" i="1" s="1"/>
  <c r="W54" i="1"/>
  <c r="V54" i="1"/>
  <c r="U54" i="1"/>
  <c r="T54" i="1"/>
  <c r="S54" i="1"/>
  <c r="R54" i="1"/>
  <c r="O54" i="1"/>
  <c r="N54" i="1"/>
  <c r="M54" i="1"/>
  <c r="L54" i="1"/>
  <c r="K54" i="1"/>
  <c r="J54" i="1"/>
  <c r="I54" i="1"/>
  <c r="H54" i="1"/>
  <c r="G54" i="1" s="1"/>
  <c r="F54" i="1"/>
  <c r="E54" i="1"/>
  <c r="AM52" i="1"/>
  <c r="AL52" i="1"/>
  <c r="AK52" i="1"/>
  <c r="AJ52" i="1"/>
  <c r="AH52" i="1"/>
  <c r="AG52" i="1"/>
  <c r="AF52" i="1"/>
  <c r="AE52" i="1"/>
  <c r="AB52" i="1"/>
  <c r="AA52" i="1"/>
  <c r="Z52" i="1"/>
  <c r="Y52" i="1"/>
  <c r="X52" i="1"/>
  <c r="AI52" i="1" s="1"/>
  <c r="W52" i="1"/>
  <c r="V52" i="1"/>
  <c r="U52" i="1"/>
  <c r="T52" i="1"/>
  <c r="S52" i="1"/>
  <c r="R52" i="1"/>
  <c r="O52" i="1"/>
  <c r="N52" i="1"/>
  <c r="M52" i="1"/>
  <c r="L52" i="1"/>
  <c r="K52" i="1"/>
  <c r="J52" i="1"/>
  <c r="I52" i="1"/>
  <c r="H52" i="1"/>
  <c r="G52" i="1" s="1"/>
  <c r="F52" i="1"/>
  <c r="E52" i="1"/>
  <c r="AM51" i="1"/>
  <c r="AL51" i="1"/>
  <c r="AK51" i="1"/>
  <c r="AJ51" i="1"/>
  <c r="AH51" i="1"/>
  <c r="AG51" i="1"/>
  <c r="AF51" i="1"/>
  <c r="AE51" i="1"/>
  <c r="AB51" i="1"/>
  <c r="AA51" i="1"/>
  <c r="Z51" i="1"/>
  <c r="Y51" i="1"/>
  <c r="X51" i="1"/>
  <c r="AI51" i="1" s="1"/>
  <c r="W51" i="1"/>
  <c r="V51" i="1"/>
  <c r="U51" i="1"/>
  <c r="T51" i="1"/>
  <c r="S51" i="1"/>
  <c r="R51" i="1"/>
  <c r="O51" i="1"/>
  <c r="N51" i="1"/>
  <c r="M51" i="1"/>
  <c r="L51" i="1"/>
  <c r="K51" i="1"/>
  <c r="J51" i="1"/>
  <c r="I51" i="1"/>
  <c r="H51" i="1"/>
  <c r="G51" i="1" s="1"/>
  <c r="F51" i="1"/>
  <c r="E51" i="1"/>
  <c r="AM49" i="1"/>
  <c r="AL49" i="1"/>
  <c r="AK49" i="1"/>
  <c r="AJ49" i="1"/>
  <c r="AH49" i="1"/>
  <c r="AG49" i="1"/>
  <c r="AF49" i="1"/>
  <c r="AE49" i="1"/>
  <c r="AB49" i="1"/>
  <c r="AA49" i="1"/>
  <c r="Z49" i="1"/>
  <c r="Y49" i="1"/>
  <c r="X49" i="1"/>
  <c r="AI49" i="1" s="1"/>
  <c r="W49" i="1"/>
  <c r="V49" i="1"/>
  <c r="U49" i="1"/>
  <c r="T49" i="1"/>
  <c r="S49" i="1"/>
  <c r="R49" i="1"/>
  <c r="O49" i="1"/>
  <c r="N49" i="1"/>
  <c r="M49" i="1"/>
  <c r="L49" i="1"/>
  <c r="K49" i="1"/>
  <c r="J49" i="1"/>
  <c r="I49" i="1"/>
  <c r="H49" i="1"/>
  <c r="G49" i="1" s="1"/>
  <c r="F49" i="1"/>
  <c r="E49" i="1"/>
  <c r="AM46" i="1"/>
  <c r="AL46" i="1"/>
  <c r="AK46" i="1"/>
  <c r="AJ46" i="1"/>
  <c r="AH46" i="1"/>
  <c r="AG46" i="1"/>
  <c r="AF46" i="1"/>
  <c r="AE46" i="1"/>
  <c r="AB46" i="1"/>
  <c r="AA46" i="1"/>
  <c r="Z46" i="1"/>
  <c r="Y46" i="1"/>
  <c r="X46" i="1"/>
  <c r="AI46" i="1" s="1"/>
  <c r="W46" i="1"/>
  <c r="V46" i="1"/>
  <c r="U46" i="1"/>
  <c r="T46" i="1"/>
  <c r="S46" i="1"/>
  <c r="R46" i="1"/>
  <c r="O46" i="1"/>
  <c r="N46" i="1"/>
  <c r="M46" i="1"/>
  <c r="L46" i="1"/>
  <c r="K46" i="1"/>
  <c r="J46" i="1"/>
  <c r="I46" i="1"/>
  <c r="H46" i="1"/>
  <c r="G46" i="1" s="1"/>
  <c r="F46" i="1"/>
  <c r="E46" i="1"/>
  <c r="AM44" i="1"/>
  <c r="AL44" i="1"/>
  <c r="AK44" i="1"/>
  <c r="AJ44" i="1"/>
  <c r="AH44" i="1"/>
  <c r="AG44" i="1"/>
  <c r="AF44" i="1"/>
  <c r="AE44" i="1"/>
  <c r="AB44" i="1"/>
  <c r="AA44" i="1"/>
  <c r="Z44" i="1"/>
  <c r="Y44" i="1"/>
  <c r="X44" i="1"/>
  <c r="AI44" i="1" s="1"/>
  <c r="W44" i="1"/>
  <c r="V44" i="1"/>
  <c r="U44" i="1"/>
  <c r="T44" i="1"/>
  <c r="S44" i="1"/>
  <c r="R44" i="1"/>
  <c r="O44" i="1"/>
  <c r="N44" i="1"/>
  <c r="M44" i="1"/>
  <c r="L44" i="1"/>
  <c r="K44" i="1"/>
  <c r="J44" i="1"/>
  <c r="I44" i="1"/>
  <c r="H44" i="1"/>
  <c r="G44" i="1" s="1"/>
  <c r="F44" i="1"/>
  <c r="E44" i="1"/>
  <c r="AM42" i="1"/>
  <c r="AL42" i="1"/>
  <c r="AK42" i="1"/>
  <c r="AJ42" i="1"/>
  <c r="AH42" i="1"/>
  <c r="AG42" i="1"/>
  <c r="AF42" i="1"/>
  <c r="AE42" i="1"/>
  <c r="AB42" i="1"/>
  <c r="AA42" i="1"/>
  <c r="Z42" i="1"/>
  <c r="Y42" i="1"/>
  <c r="X42" i="1"/>
  <c r="AI42" i="1" s="1"/>
  <c r="W42" i="1"/>
  <c r="V42" i="1"/>
  <c r="U42" i="1"/>
  <c r="T42" i="1"/>
  <c r="S42" i="1"/>
  <c r="R42" i="1"/>
  <c r="O42" i="1"/>
  <c r="N42" i="1"/>
  <c r="M42" i="1"/>
  <c r="L42" i="1"/>
  <c r="K42" i="1"/>
  <c r="J42" i="1"/>
  <c r="I42" i="1"/>
  <c r="H42" i="1"/>
  <c r="F42" i="1"/>
  <c r="E42" i="1"/>
  <c r="AM41" i="1"/>
  <c r="AL41" i="1"/>
  <c r="AK41" i="1"/>
  <c r="AJ41" i="1"/>
  <c r="AH41" i="1"/>
  <c r="AG41" i="1"/>
  <c r="AF41" i="1"/>
  <c r="AE41" i="1"/>
  <c r="AB41" i="1"/>
  <c r="AA41" i="1"/>
  <c r="Z41" i="1"/>
  <c r="Y41" i="1"/>
  <c r="X41" i="1"/>
  <c r="AI41" i="1" s="1"/>
  <c r="W41" i="1"/>
  <c r="V41" i="1"/>
  <c r="U41" i="1"/>
  <c r="T41" i="1"/>
  <c r="S41" i="1"/>
  <c r="R41" i="1"/>
  <c r="O41" i="1"/>
  <c r="N41" i="1"/>
  <c r="M41" i="1"/>
  <c r="L41" i="1"/>
  <c r="K41" i="1"/>
  <c r="J41" i="1"/>
  <c r="I41" i="1"/>
  <c r="H41" i="1"/>
  <c r="G41" i="1" s="1"/>
  <c r="F41" i="1"/>
  <c r="E41" i="1"/>
  <c r="AM39" i="1"/>
  <c r="AL39" i="1"/>
  <c r="AK39" i="1"/>
  <c r="AJ39" i="1"/>
  <c r="AH39" i="1"/>
  <c r="AG39" i="1"/>
  <c r="AF39" i="1"/>
  <c r="AE39" i="1"/>
  <c r="AB39" i="1"/>
  <c r="AA39" i="1"/>
  <c r="Z39" i="1"/>
  <c r="Y39" i="1"/>
  <c r="X39" i="1"/>
  <c r="AI39" i="1" s="1"/>
  <c r="W39" i="1"/>
  <c r="V39" i="1"/>
  <c r="U39" i="1"/>
  <c r="T39" i="1"/>
  <c r="S39" i="1"/>
  <c r="R39" i="1"/>
  <c r="O39" i="1"/>
  <c r="N39" i="1"/>
  <c r="M39" i="1"/>
  <c r="L39" i="1"/>
  <c r="K39" i="1"/>
  <c r="J39" i="1"/>
  <c r="I39" i="1"/>
  <c r="H39" i="1"/>
  <c r="G39" i="1" s="1"/>
  <c r="F39" i="1"/>
  <c r="E39" i="1"/>
  <c r="AM38" i="1"/>
  <c r="AL38" i="1"/>
  <c r="AK38" i="1"/>
  <c r="AJ38" i="1"/>
  <c r="AH38" i="1"/>
  <c r="AG38" i="1"/>
  <c r="AF38" i="1"/>
  <c r="AE38" i="1"/>
  <c r="AB38" i="1"/>
  <c r="AA38" i="1"/>
  <c r="Z38" i="1"/>
  <c r="Y38" i="1"/>
  <c r="X38" i="1"/>
  <c r="AI38" i="1" s="1"/>
  <c r="W38" i="1"/>
  <c r="V38" i="1"/>
  <c r="U38" i="1"/>
  <c r="T38" i="1"/>
  <c r="S38" i="1"/>
  <c r="R38" i="1"/>
  <c r="O38" i="1"/>
  <c r="N38" i="1"/>
  <c r="M38" i="1"/>
  <c r="L38" i="1"/>
  <c r="K38" i="1"/>
  <c r="J38" i="1"/>
  <c r="I38" i="1"/>
  <c r="H38" i="1"/>
  <c r="G38" i="1" s="1"/>
  <c r="F38" i="1"/>
  <c r="E38" i="1"/>
  <c r="AM37" i="1"/>
  <c r="AL37" i="1"/>
  <c r="AK37" i="1"/>
  <c r="AJ37" i="1"/>
  <c r="AH37" i="1"/>
  <c r="AG37" i="1"/>
  <c r="AF37" i="1"/>
  <c r="AE37" i="1"/>
  <c r="AB37" i="1"/>
  <c r="AA37" i="1"/>
  <c r="Z37" i="1"/>
  <c r="Y37" i="1"/>
  <c r="X37" i="1"/>
  <c r="AI37" i="1" s="1"/>
  <c r="W37" i="1"/>
  <c r="V37" i="1"/>
  <c r="U37" i="1"/>
  <c r="T37" i="1"/>
  <c r="S37" i="1"/>
  <c r="R37" i="1"/>
  <c r="O37" i="1"/>
  <c r="N37" i="1"/>
  <c r="M37" i="1"/>
  <c r="L37" i="1"/>
  <c r="K37" i="1"/>
  <c r="J37" i="1"/>
  <c r="I37" i="1"/>
  <c r="H37" i="1"/>
  <c r="G37" i="1" s="1"/>
  <c r="F37" i="1"/>
  <c r="E37" i="1"/>
  <c r="AM36" i="1"/>
  <c r="AL36" i="1"/>
  <c r="AK36" i="1"/>
  <c r="AJ36" i="1"/>
  <c r="AH36" i="1"/>
  <c r="AG36" i="1"/>
  <c r="AF36" i="1"/>
  <c r="AE36" i="1"/>
  <c r="AB36" i="1"/>
  <c r="AA36" i="1"/>
  <c r="Z36" i="1"/>
  <c r="Y36" i="1"/>
  <c r="X36" i="1"/>
  <c r="AI36" i="1" s="1"/>
  <c r="W36" i="1"/>
  <c r="V36" i="1"/>
  <c r="U36" i="1"/>
  <c r="T36" i="1"/>
  <c r="S36" i="1"/>
  <c r="R36" i="1"/>
  <c r="O36" i="1"/>
  <c r="N36" i="1"/>
  <c r="M36" i="1"/>
  <c r="L36" i="1"/>
  <c r="K36" i="1"/>
  <c r="J36" i="1"/>
  <c r="I36" i="1"/>
  <c r="H36" i="1"/>
  <c r="G36" i="1" s="1"/>
  <c r="F36" i="1"/>
  <c r="E36" i="1"/>
  <c r="AM34" i="1"/>
  <c r="AL34" i="1"/>
  <c r="AK34" i="1"/>
  <c r="AJ34" i="1"/>
  <c r="AH34" i="1"/>
  <c r="AG34" i="1"/>
  <c r="AF34" i="1"/>
  <c r="AE34" i="1"/>
  <c r="AB34" i="1"/>
  <c r="AA34" i="1"/>
  <c r="Z34" i="1"/>
  <c r="Y34" i="1"/>
  <c r="X34" i="1"/>
  <c r="AI34" i="1" s="1"/>
  <c r="W34" i="1"/>
  <c r="V34" i="1"/>
  <c r="U34" i="1"/>
  <c r="T34" i="1"/>
  <c r="S34" i="1"/>
  <c r="R34" i="1"/>
  <c r="O34" i="1"/>
  <c r="N34" i="1"/>
  <c r="M34" i="1"/>
  <c r="L34" i="1"/>
  <c r="K34" i="1"/>
  <c r="J34" i="1"/>
  <c r="I34" i="1"/>
  <c r="H34" i="1"/>
  <c r="G34" i="1" s="1"/>
  <c r="F34" i="1"/>
  <c r="E34" i="1"/>
  <c r="AM32" i="1"/>
  <c r="AL32" i="1"/>
  <c r="AK32" i="1"/>
  <c r="AJ32" i="1"/>
  <c r="AH32" i="1"/>
  <c r="AG32" i="1"/>
  <c r="AF32" i="1"/>
  <c r="AE32" i="1"/>
  <c r="AB32" i="1"/>
  <c r="AA32" i="1"/>
  <c r="Z32" i="1"/>
  <c r="Y32" i="1"/>
  <c r="X32" i="1"/>
  <c r="AI32" i="1" s="1"/>
  <c r="W32" i="1"/>
  <c r="V32" i="1"/>
  <c r="U32" i="1"/>
  <c r="T32" i="1"/>
  <c r="S32" i="1"/>
  <c r="R32" i="1"/>
  <c r="O32" i="1"/>
  <c r="N32" i="1"/>
  <c r="M32" i="1"/>
  <c r="L32" i="1"/>
  <c r="K32" i="1"/>
  <c r="J32" i="1"/>
  <c r="I32" i="1"/>
  <c r="H32" i="1"/>
  <c r="F32" i="1"/>
  <c r="E32" i="1"/>
  <c r="AM31" i="1"/>
  <c r="AL31" i="1"/>
  <c r="AK31" i="1"/>
  <c r="AJ31" i="1"/>
  <c r="AH31" i="1"/>
  <c r="AG31" i="1"/>
  <c r="AF31" i="1"/>
  <c r="AE31" i="1"/>
  <c r="AB31" i="1"/>
  <c r="AA31" i="1"/>
  <c r="Z31" i="1"/>
  <c r="Y31" i="1"/>
  <c r="X31" i="1"/>
  <c r="AI31" i="1" s="1"/>
  <c r="W31" i="1"/>
  <c r="V31" i="1"/>
  <c r="U31" i="1"/>
  <c r="T31" i="1"/>
  <c r="S31" i="1"/>
  <c r="R31" i="1"/>
  <c r="O31" i="1"/>
  <c r="N31" i="1"/>
  <c r="M31" i="1"/>
  <c r="L31" i="1"/>
  <c r="K31" i="1"/>
  <c r="J31" i="1"/>
  <c r="I31" i="1"/>
  <c r="H31" i="1"/>
  <c r="G31" i="1" s="1"/>
  <c r="F31" i="1"/>
  <c r="E31" i="1"/>
  <c r="AM30" i="1"/>
  <c r="AL30" i="1"/>
  <c r="AK30" i="1"/>
  <c r="AJ30" i="1"/>
  <c r="AH30" i="1"/>
  <c r="AG30" i="1"/>
  <c r="AF30" i="1"/>
  <c r="AE30" i="1"/>
  <c r="AB30" i="1"/>
  <c r="AA30" i="1"/>
  <c r="Z30" i="1"/>
  <c r="Y30" i="1"/>
  <c r="X30" i="1"/>
  <c r="AI30" i="1" s="1"/>
  <c r="W30" i="1"/>
  <c r="V30" i="1"/>
  <c r="U30" i="1"/>
  <c r="T30" i="1"/>
  <c r="S30" i="1"/>
  <c r="R30" i="1"/>
  <c r="O30" i="1"/>
  <c r="N30" i="1"/>
  <c r="M30" i="1"/>
  <c r="L30" i="1"/>
  <c r="K30" i="1"/>
  <c r="J30" i="1"/>
  <c r="I30" i="1"/>
  <c r="H30" i="1"/>
  <c r="G30" i="1" s="1"/>
  <c r="F30" i="1"/>
  <c r="E30" i="1"/>
  <c r="AM29" i="1"/>
  <c r="AL29" i="1"/>
  <c r="AK29" i="1"/>
  <c r="AJ29" i="1"/>
  <c r="AH29" i="1"/>
  <c r="AG29" i="1"/>
  <c r="AF29" i="1"/>
  <c r="AE29" i="1"/>
  <c r="AB29" i="1"/>
  <c r="AA29" i="1"/>
  <c r="Z29" i="1"/>
  <c r="Y29" i="1"/>
  <c r="X29" i="1"/>
  <c r="AI29" i="1" s="1"/>
  <c r="W29" i="1"/>
  <c r="V29" i="1"/>
  <c r="U29" i="1"/>
  <c r="T29" i="1"/>
  <c r="S29" i="1"/>
  <c r="R29" i="1"/>
  <c r="O29" i="1"/>
  <c r="N29" i="1"/>
  <c r="M29" i="1"/>
  <c r="L29" i="1"/>
  <c r="K29" i="1"/>
  <c r="J29" i="1"/>
  <c r="I29" i="1"/>
  <c r="H29" i="1"/>
  <c r="G29" i="1" s="1"/>
  <c r="F29" i="1"/>
  <c r="E29" i="1"/>
  <c r="AM27" i="1"/>
  <c r="AL27" i="1"/>
  <c r="AK27" i="1"/>
  <c r="AJ27" i="1"/>
  <c r="AH27" i="1"/>
  <c r="AG27" i="1"/>
  <c r="AF27" i="1"/>
  <c r="AE27" i="1"/>
  <c r="AB27" i="1"/>
  <c r="AA27" i="1"/>
  <c r="Z27" i="1"/>
  <c r="Y27" i="1"/>
  <c r="X27" i="1"/>
  <c r="AI27" i="1" s="1"/>
  <c r="W27" i="1"/>
  <c r="V27" i="1"/>
  <c r="U27" i="1"/>
  <c r="T27" i="1"/>
  <c r="S27" i="1"/>
  <c r="R27" i="1"/>
  <c r="O27" i="1"/>
  <c r="N27" i="1"/>
  <c r="M27" i="1"/>
  <c r="L27" i="1"/>
  <c r="K27" i="1"/>
  <c r="J27" i="1"/>
  <c r="I27" i="1"/>
  <c r="H27" i="1"/>
  <c r="G27" i="1" s="1"/>
  <c r="F27" i="1"/>
  <c r="E27" i="1"/>
  <c r="AM25" i="1"/>
  <c r="AL25" i="1"/>
  <c r="AK25" i="1"/>
  <c r="AJ25" i="1"/>
  <c r="AH25" i="1"/>
  <c r="AG25" i="1"/>
  <c r="AF25" i="1"/>
  <c r="AE25" i="1"/>
  <c r="AB25" i="1"/>
  <c r="AA25" i="1"/>
  <c r="Z25" i="1"/>
  <c r="Y25" i="1"/>
  <c r="X25" i="1"/>
  <c r="AI25" i="1" s="1"/>
  <c r="W25" i="1"/>
  <c r="V25" i="1"/>
  <c r="U25" i="1"/>
  <c r="T25" i="1"/>
  <c r="S25" i="1"/>
  <c r="R25" i="1"/>
  <c r="O25" i="1"/>
  <c r="N25" i="1"/>
  <c r="M25" i="1"/>
  <c r="L25" i="1"/>
  <c r="K25" i="1"/>
  <c r="J25" i="1"/>
  <c r="I25" i="1"/>
  <c r="H25" i="1"/>
  <c r="G25" i="1" s="1"/>
  <c r="F25" i="1"/>
  <c r="E25" i="1"/>
  <c r="AM23" i="1"/>
  <c r="AL23" i="1"/>
  <c r="AK23" i="1"/>
  <c r="AJ23" i="1"/>
  <c r="AH23" i="1"/>
  <c r="AG23" i="1"/>
  <c r="AF23" i="1"/>
  <c r="AE23" i="1"/>
  <c r="AB23" i="1"/>
  <c r="AA23" i="1"/>
  <c r="Z23" i="1"/>
  <c r="Y23" i="1"/>
  <c r="X23" i="1"/>
  <c r="AI23" i="1" s="1"/>
  <c r="W23" i="1"/>
  <c r="V23" i="1"/>
  <c r="U23" i="1"/>
  <c r="T23" i="1"/>
  <c r="S23" i="1"/>
  <c r="R23" i="1"/>
  <c r="O23" i="1"/>
  <c r="N23" i="1"/>
  <c r="M23" i="1"/>
  <c r="L23" i="1"/>
  <c r="K23" i="1"/>
  <c r="J23" i="1"/>
  <c r="I23" i="1"/>
  <c r="H23" i="1"/>
  <c r="G23" i="1" s="1"/>
  <c r="F23" i="1"/>
  <c r="E23" i="1"/>
  <c r="AM22" i="1"/>
  <c r="AL22" i="1"/>
  <c r="AK22" i="1"/>
  <c r="AJ22" i="1"/>
  <c r="AH22" i="1"/>
  <c r="AG22" i="1"/>
  <c r="AF22" i="1"/>
  <c r="AE22" i="1"/>
  <c r="AB22" i="1"/>
  <c r="AA22" i="1"/>
  <c r="Z22" i="1"/>
  <c r="Y22" i="1"/>
  <c r="X22" i="1"/>
  <c r="AI22" i="1" s="1"/>
  <c r="W22" i="1"/>
  <c r="V22" i="1"/>
  <c r="U22" i="1"/>
  <c r="T22" i="1"/>
  <c r="S22" i="1"/>
  <c r="R22" i="1"/>
  <c r="O22" i="1"/>
  <c r="N22" i="1"/>
  <c r="M22" i="1"/>
  <c r="L22" i="1"/>
  <c r="K22" i="1"/>
  <c r="J22" i="1"/>
  <c r="I22" i="1"/>
  <c r="H22" i="1"/>
  <c r="G22" i="1" s="1"/>
  <c r="F22" i="1"/>
  <c r="E22" i="1"/>
  <c r="AM21" i="1"/>
  <c r="AL21" i="1"/>
  <c r="AK21" i="1"/>
  <c r="AJ21" i="1"/>
  <c r="AH21" i="1"/>
  <c r="AG21" i="1"/>
  <c r="AF21" i="1"/>
  <c r="AE21" i="1"/>
  <c r="AB21" i="1"/>
  <c r="AA21" i="1"/>
  <c r="Z21" i="1"/>
  <c r="Y21" i="1"/>
  <c r="X21" i="1"/>
  <c r="AI21" i="1" s="1"/>
  <c r="W21" i="1"/>
  <c r="V21" i="1"/>
  <c r="U21" i="1"/>
  <c r="T21" i="1"/>
  <c r="S21" i="1"/>
  <c r="R21" i="1"/>
  <c r="O21" i="1"/>
  <c r="N21" i="1"/>
  <c r="M21" i="1"/>
  <c r="L21" i="1"/>
  <c r="K21" i="1"/>
  <c r="J21" i="1"/>
  <c r="I21" i="1"/>
  <c r="H21" i="1"/>
  <c r="G21" i="1" s="1"/>
  <c r="F21" i="1"/>
  <c r="E21" i="1"/>
  <c r="AM19" i="1"/>
  <c r="AL19" i="1"/>
  <c r="AK19" i="1"/>
  <c r="AJ19" i="1"/>
  <c r="AH19" i="1"/>
  <c r="AG19" i="1"/>
  <c r="AF19" i="1"/>
  <c r="AE19" i="1"/>
  <c r="AB19" i="1"/>
  <c r="AA19" i="1"/>
  <c r="Z19" i="1"/>
  <c r="Y19" i="1"/>
  <c r="X19" i="1"/>
  <c r="AI19" i="1" s="1"/>
  <c r="W19" i="1"/>
  <c r="V19" i="1"/>
  <c r="U19" i="1"/>
  <c r="T19" i="1"/>
  <c r="S19" i="1"/>
  <c r="R19" i="1"/>
  <c r="O19" i="1"/>
  <c r="N19" i="1"/>
  <c r="M19" i="1"/>
  <c r="L19" i="1"/>
  <c r="K19" i="1"/>
  <c r="J19" i="1"/>
  <c r="I19" i="1"/>
  <c r="H19" i="1"/>
  <c r="G19" i="1" s="1"/>
  <c r="F19" i="1"/>
  <c r="E19" i="1"/>
  <c r="AM17" i="1"/>
  <c r="AL17" i="1"/>
  <c r="AK17" i="1"/>
  <c r="AJ17" i="1"/>
  <c r="AH17" i="1"/>
  <c r="AG17" i="1"/>
  <c r="AF17" i="1"/>
  <c r="AE17" i="1"/>
  <c r="AB17" i="1"/>
  <c r="AA17" i="1"/>
  <c r="Z17" i="1"/>
  <c r="Y17" i="1"/>
  <c r="X17" i="1"/>
  <c r="AI17" i="1" s="1"/>
  <c r="W17" i="1"/>
  <c r="V17" i="1"/>
  <c r="U17" i="1"/>
  <c r="T17" i="1"/>
  <c r="S17" i="1"/>
  <c r="R17" i="1"/>
  <c r="O17" i="1"/>
  <c r="N17" i="1"/>
  <c r="M17" i="1"/>
  <c r="L17" i="1"/>
  <c r="K17" i="1"/>
  <c r="J17" i="1"/>
  <c r="I17" i="1"/>
  <c r="H17" i="1"/>
  <c r="F17" i="1"/>
  <c r="E17" i="1"/>
  <c r="AM16" i="1"/>
  <c r="AL16" i="1"/>
  <c r="AK16" i="1"/>
  <c r="AJ16" i="1"/>
  <c r="AH16" i="1"/>
  <c r="AG16" i="1"/>
  <c r="AF16" i="1"/>
  <c r="AE16" i="1"/>
  <c r="AB16" i="1"/>
  <c r="AA16" i="1"/>
  <c r="Z16" i="1"/>
  <c r="Y16" i="1"/>
  <c r="X16" i="1"/>
  <c r="AI16" i="1" s="1"/>
  <c r="W16" i="1"/>
  <c r="V16" i="1"/>
  <c r="U16" i="1"/>
  <c r="T16" i="1"/>
  <c r="S16" i="1"/>
  <c r="R16" i="1"/>
  <c r="O16" i="1"/>
  <c r="N16" i="1"/>
  <c r="M16" i="1"/>
  <c r="L16" i="1"/>
  <c r="K16" i="1"/>
  <c r="J16" i="1"/>
  <c r="I16" i="1"/>
  <c r="H16" i="1"/>
  <c r="G16" i="1" s="1"/>
  <c r="F16" i="1"/>
  <c r="E16" i="1"/>
  <c r="AM13" i="1"/>
  <c r="AL13" i="1"/>
  <c r="AK13" i="1"/>
  <c r="AJ13" i="1"/>
  <c r="AH13" i="1"/>
  <c r="AG13" i="1"/>
  <c r="AF13" i="1"/>
  <c r="AE13" i="1"/>
  <c r="AB13" i="1"/>
  <c r="AA13" i="1"/>
  <c r="Z13" i="1"/>
  <c r="Y13" i="1"/>
  <c r="X13" i="1"/>
  <c r="AI13" i="1" s="1"/>
  <c r="W13" i="1"/>
  <c r="V13" i="1"/>
  <c r="U13" i="1"/>
  <c r="T13" i="1"/>
  <c r="S13" i="1"/>
  <c r="R13" i="1"/>
  <c r="O13" i="1"/>
  <c r="N13" i="1"/>
  <c r="M13" i="1"/>
  <c r="L13" i="1"/>
  <c r="K13" i="1"/>
  <c r="J13" i="1"/>
  <c r="I13" i="1"/>
  <c r="H13" i="1"/>
  <c r="G13" i="1" s="1"/>
  <c r="F13" i="1"/>
  <c r="E13" i="1"/>
  <c r="AM11" i="1"/>
  <c r="AL11" i="1"/>
  <c r="AK11" i="1"/>
  <c r="AJ11" i="1"/>
  <c r="AH11" i="1"/>
  <c r="AG11" i="1"/>
  <c r="AF11" i="1"/>
  <c r="AE11" i="1"/>
  <c r="AB11" i="1"/>
  <c r="AA11" i="1"/>
  <c r="Z11" i="1"/>
  <c r="Y11" i="1"/>
  <c r="X11" i="1"/>
  <c r="AI11" i="1" s="1"/>
  <c r="W11" i="1"/>
  <c r="V11" i="1"/>
  <c r="U11" i="1"/>
  <c r="T11" i="1"/>
  <c r="S11" i="1"/>
  <c r="R11" i="1"/>
  <c r="O11" i="1"/>
  <c r="N11" i="1"/>
  <c r="M11" i="1"/>
  <c r="L11" i="1"/>
  <c r="K11" i="1"/>
  <c r="J11" i="1"/>
  <c r="I11" i="1"/>
  <c r="H11" i="1"/>
  <c r="G11" i="1" s="1"/>
  <c r="F11" i="1"/>
  <c r="E11" i="1"/>
  <c r="G32" i="1" l="1"/>
  <c r="G17" i="1"/>
  <c r="G42" i="1"/>
  <c r="G6" i="1"/>
  <c r="C3" i="1"/>
  <c r="C5" i="1"/>
  <c r="C4" i="1" l="1"/>
  <c r="C2" i="1"/>
  <c r="C3" i="2"/>
  <c r="C4" i="2"/>
  <c r="C5" i="2"/>
  <c r="C6" i="2"/>
  <c r="C7" i="2"/>
  <c r="C8" i="2"/>
  <c r="C9" i="2"/>
  <c r="C10" i="2"/>
  <c r="C11" i="2"/>
  <c r="C12" i="2"/>
  <c r="C13" i="2"/>
  <c r="C14" i="2"/>
  <c r="C15" i="2"/>
  <c r="C16" i="2"/>
  <c r="C17" i="2"/>
  <c r="C18" i="2"/>
  <c r="C19" i="2"/>
  <c r="C20" i="2"/>
  <c r="C21" i="2"/>
  <c r="C22" i="2"/>
  <c r="C23" i="2"/>
  <c r="C24" i="2"/>
  <c r="C25" i="2"/>
  <c r="C26" i="2"/>
  <c r="C27" i="2"/>
  <c r="C28" i="2"/>
  <c r="C2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 Giuseppe Barozzi</author>
    <author>Antonio Fragale</author>
  </authors>
  <commentList>
    <comment ref="E9" authorId="0" shapeId="0" xr:uid="{00000000-0006-0000-0000-000001000000}">
      <text>
        <r>
          <rPr>
            <b/>
            <sz val="9"/>
            <color indexed="81"/>
            <rFont val="Tahoma"/>
            <family val="2"/>
          </rPr>
          <t>MR</t>
        </r>
        <r>
          <rPr>
            <sz val="9"/>
            <color indexed="81"/>
            <rFont val="Tahoma"/>
            <family val="2"/>
          </rPr>
          <t xml:space="preserve"> = Motorgear; </t>
        </r>
        <r>
          <rPr>
            <b/>
            <sz val="9"/>
            <color indexed="81"/>
            <rFont val="Tahoma"/>
            <family val="2"/>
          </rPr>
          <t>ME</t>
        </r>
        <r>
          <rPr>
            <sz val="9"/>
            <color indexed="81"/>
            <rFont val="Tahoma"/>
            <family val="2"/>
          </rPr>
          <t xml:space="preserve"> = Motor; </t>
        </r>
        <r>
          <rPr>
            <b/>
            <sz val="9"/>
            <color indexed="81"/>
            <rFont val="Tahoma"/>
            <family val="2"/>
          </rPr>
          <t xml:space="preserve">R </t>
        </r>
        <r>
          <rPr>
            <sz val="9"/>
            <color indexed="81"/>
            <rFont val="Tahoma"/>
            <family val="2"/>
          </rPr>
          <t>= Gear</t>
        </r>
      </text>
    </comment>
    <comment ref="W9" authorId="1" shapeId="0" xr:uid="{00000000-0006-0000-0000-000002000000}">
      <text>
        <r>
          <rPr>
            <b/>
            <sz val="9"/>
            <color indexed="81"/>
            <rFont val="Tahoma"/>
            <family val="2"/>
          </rPr>
          <t xml:space="preserve">TF = </t>
        </r>
        <r>
          <rPr>
            <sz val="9"/>
            <color indexed="81"/>
            <rFont val="Tahoma"/>
            <family val="2"/>
          </rPr>
          <t xml:space="preserve">With temperature sensor; </t>
        </r>
        <r>
          <rPr>
            <b/>
            <sz val="9"/>
            <color indexed="81"/>
            <rFont val="Tahoma"/>
            <family val="2"/>
          </rPr>
          <t xml:space="preserve">TH </t>
        </r>
        <r>
          <rPr>
            <sz val="9"/>
            <color indexed="81"/>
            <rFont val="Tahoma"/>
            <family val="2"/>
          </rPr>
          <t xml:space="preserve">= Metallic contacts; </t>
        </r>
        <r>
          <rPr>
            <b/>
            <sz val="9"/>
            <color indexed="81"/>
            <rFont val="Tahoma"/>
            <family val="2"/>
          </rPr>
          <t>[-]</t>
        </r>
        <r>
          <rPr>
            <sz val="9"/>
            <color indexed="81"/>
            <rFont val="Tahoma"/>
            <family val="2"/>
          </rPr>
          <t xml:space="preserve"> = None</t>
        </r>
      </text>
    </comment>
    <comment ref="AB9" authorId="1" shapeId="0" xr:uid="{00000000-0006-0000-0000-000003000000}">
      <text>
        <r>
          <rPr>
            <b/>
            <sz val="9"/>
            <color indexed="81"/>
            <rFont val="Tahoma"/>
            <family val="2"/>
          </rPr>
          <t xml:space="preserve">D </t>
        </r>
        <r>
          <rPr>
            <sz val="9"/>
            <color indexed="81"/>
            <rFont val="Tahoma"/>
            <family val="2"/>
          </rPr>
          <t xml:space="preserve">= Direct start; </t>
        </r>
        <r>
          <rPr>
            <b/>
            <sz val="9"/>
            <color indexed="81"/>
            <rFont val="Tahoma"/>
            <family val="2"/>
          </rPr>
          <t xml:space="preserve">R </t>
        </r>
        <r>
          <rPr>
            <sz val="9"/>
            <color indexed="81"/>
            <rFont val="Tahoma"/>
            <family val="2"/>
          </rPr>
          <t xml:space="preserve">= Reverse start; </t>
        </r>
        <r>
          <rPr>
            <b/>
            <sz val="9"/>
            <color indexed="81"/>
            <rFont val="Tahoma"/>
            <family val="2"/>
          </rPr>
          <t xml:space="preserve">FC </t>
        </r>
        <r>
          <rPr>
            <sz val="9"/>
            <color indexed="81"/>
            <rFont val="Tahoma"/>
            <family val="2"/>
          </rPr>
          <t xml:space="preserve">=Frequency converter; </t>
        </r>
        <r>
          <rPr>
            <b/>
            <sz val="9"/>
            <color indexed="81"/>
            <rFont val="Tahoma"/>
            <family val="2"/>
          </rPr>
          <t xml:space="preserve">SS </t>
        </r>
        <r>
          <rPr>
            <sz val="9"/>
            <color indexed="81"/>
            <rFont val="Tahoma"/>
            <family val="2"/>
          </rPr>
          <t>= Soft starter</t>
        </r>
      </text>
    </comment>
    <comment ref="AC9" authorId="1" shapeId="0" xr:uid="{63BEBB9D-04EA-4121-A5B1-AD05FC738E24}">
      <text>
        <r>
          <rPr>
            <b/>
            <sz val="9"/>
            <color indexed="81"/>
            <rFont val="Tahoma"/>
            <family val="2"/>
          </rPr>
          <t>MIN MAX Working frequency in case of Frequency Converter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ADF00D-8C6D-41D4-BA12-D71A5EEF1B45}" keepAlive="1" name="Query - Foglio1" description="Connessione alla query 'Foglio1' nella cartella di lavoro." type="5" refreshedVersion="8" background="1" refreshOnLoad="1" saveData="1">
    <dbPr connection="Provider=Microsoft.Mashup.OleDb.1;Data Source=$Workbook$;Location=Foglio1;Extended Properties=&quot;&quot;" command="SELECT * FROM [Foglio1]"/>
  </connection>
</connections>
</file>

<file path=xl/sharedStrings.xml><?xml version="1.0" encoding="utf-8"?>
<sst xmlns="http://schemas.openxmlformats.org/spreadsheetml/2006/main" count="9998" uniqueCount="3568">
  <si>
    <t>kW</t>
  </si>
  <si>
    <t>ID</t>
  </si>
  <si>
    <t>DT63K4</t>
  </si>
  <si>
    <t>DT63N4</t>
  </si>
  <si>
    <t>DT63L4</t>
  </si>
  <si>
    <t>DT71D4</t>
  </si>
  <si>
    <t>DT80K4</t>
  </si>
  <si>
    <t>DT80N4</t>
  </si>
  <si>
    <t>DT90S4</t>
  </si>
  <si>
    <t>DT90L4</t>
  </si>
  <si>
    <t>DT100LS4</t>
  </si>
  <si>
    <t>DT100L4</t>
  </si>
  <si>
    <t>DV112M4</t>
  </si>
  <si>
    <t>DV132S4</t>
  </si>
  <si>
    <t>DV132M4</t>
  </si>
  <si>
    <t>DV132ML4</t>
  </si>
  <si>
    <t>DV160M4</t>
  </si>
  <si>
    <t>DV160L4</t>
  </si>
  <si>
    <t>DV180M4</t>
  </si>
  <si>
    <t>DV180L4</t>
  </si>
  <si>
    <t>DV200L4</t>
  </si>
  <si>
    <t>DV225S4</t>
  </si>
  <si>
    <t>DV225M4</t>
  </si>
  <si>
    <t>A</t>
  </si>
  <si>
    <t>B</t>
  </si>
  <si>
    <t>C</t>
  </si>
  <si>
    <t>D</t>
  </si>
  <si>
    <t>E</t>
  </si>
  <si>
    <t>F</t>
  </si>
  <si>
    <t>G</t>
  </si>
  <si>
    <t>H</t>
  </si>
  <si>
    <t>I</t>
  </si>
  <si>
    <t>J</t>
  </si>
  <si>
    <t>K</t>
  </si>
  <si>
    <t>L</t>
  </si>
  <si>
    <t>M</t>
  </si>
  <si>
    <t>N</t>
  </si>
  <si>
    <t>O</t>
  </si>
  <si>
    <t>P</t>
  </si>
  <si>
    <t>Q</t>
  </si>
  <si>
    <t>R</t>
  </si>
  <si>
    <t>S</t>
  </si>
  <si>
    <t>T</t>
  </si>
  <si>
    <t>U</t>
  </si>
  <si>
    <t>var</t>
  </si>
  <si>
    <t>D250M4</t>
  </si>
  <si>
    <t>D280M4</t>
  </si>
  <si>
    <t>D315S4</t>
  </si>
  <si>
    <t>D315M4</t>
  </si>
  <si>
    <t>D315M4A</t>
  </si>
  <si>
    <t>D280S4</t>
  </si>
  <si>
    <t>Customer</t>
  </si>
  <si>
    <t>MOTOR LIST</t>
  </si>
  <si>
    <t>type</t>
  </si>
  <si>
    <t>SUPPLIER</t>
  </si>
  <si>
    <t>NOTE</t>
  </si>
  <si>
    <t>JB position</t>
  </si>
  <si>
    <t>RS</t>
  </si>
  <si>
    <t>DENOMINATION</t>
  </si>
  <si>
    <t>Order n°</t>
  </si>
  <si>
    <t>IMPORTANT NOTES</t>
  </si>
  <si>
    <t>ITEM
NUMBER</t>
  </si>
  <si>
    <t>LAYOUT
POSITION</t>
  </si>
  <si>
    <t>date</t>
  </si>
  <si>
    <t>Atex
(0=NO)</t>
  </si>
  <si>
    <t>Status</t>
  </si>
  <si>
    <t>TRASMEC
JOB N°</t>
  </si>
  <si>
    <t>oil type</t>
  </si>
  <si>
    <t>QTY</t>
  </si>
  <si>
    <t>GEAR MOTOR BASIC DATA</t>
  </si>
  <si>
    <t>Temperature protection</t>
  </si>
  <si>
    <t>Art.</t>
  </si>
  <si>
    <r>
      <rPr>
        <b/>
        <sz val="11"/>
        <rFont val="Arial"/>
        <family val="2"/>
      </rPr>
      <t>rpm</t>
    </r>
    <r>
      <rPr>
        <sz val="11"/>
        <rFont val="Arial"/>
        <family val="2"/>
      </rPr>
      <t xml:space="preserve"> speed
at installation Hz</t>
    </r>
  </si>
  <si>
    <r>
      <rPr>
        <b/>
        <sz val="11"/>
        <rFont val="Arial"/>
        <family val="2"/>
      </rPr>
      <t xml:space="preserve">rpm </t>
    </r>
    <r>
      <rPr>
        <sz val="11"/>
        <rFont val="Arial"/>
        <family val="2"/>
      </rPr>
      <t>speet at  50HZ</t>
    </r>
  </si>
  <si>
    <r>
      <rPr>
        <b/>
        <sz val="11"/>
        <rFont val="Arial"/>
        <family val="2"/>
      </rPr>
      <t>Nm</t>
    </r>
    <r>
      <rPr>
        <sz val="11"/>
        <rFont val="Arial"/>
        <family val="2"/>
      </rPr>
      <t xml:space="preserve"> - torque</t>
    </r>
  </si>
  <si>
    <r>
      <t xml:space="preserve">fB
</t>
    </r>
    <r>
      <rPr>
        <sz val="11"/>
        <rFont val="Arial"/>
        <family val="2"/>
      </rPr>
      <t>Service factor</t>
    </r>
  </si>
  <si>
    <r>
      <t xml:space="preserve">Efficiency
</t>
    </r>
    <r>
      <rPr>
        <sz val="11"/>
        <rFont val="Arial"/>
        <family val="2"/>
      </rPr>
      <t>(STD: IE3)</t>
    </r>
  </si>
  <si>
    <r>
      <t>V</t>
    </r>
    <r>
      <rPr>
        <sz val="11"/>
        <rFont val="Arial"/>
        <family val="2"/>
      </rPr>
      <t xml:space="preserve"> - operating voltage</t>
    </r>
  </si>
  <si>
    <r>
      <t>A</t>
    </r>
    <r>
      <rPr>
        <sz val="11"/>
        <rFont val="Arial"/>
        <family val="2"/>
      </rPr>
      <t xml:space="preserve"> - Ampere at 100%</t>
    </r>
  </si>
  <si>
    <r>
      <t>IP</t>
    </r>
    <r>
      <rPr>
        <sz val="11"/>
        <rFont val="Arial"/>
        <family val="2"/>
      </rPr>
      <t xml:space="preserve"> - Motor protection</t>
    </r>
  </si>
  <si>
    <r>
      <t>i</t>
    </r>
    <r>
      <rPr>
        <sz val="11"/>
        <rFont val="Arial"/>
        <family val="2"/>
      </rPr>
      <t xml:space="preserve"> - Reduction ratio</t>
    </r>
  </si>
  <si>
    <t>Mounting
position</t>
  </si>
  <si>
    <r>
      <t>KW</t>
    </r>
    <r>
      <rPr>
        <sz val="11"/>
        <rFont val="Arial"/>
        <family val="2"/>
      </rPr>
      <t xml:space="preserve"> - Power supply</t>
    </r>
  </si>
  <si>
    <t>Insulation class</t>
  </si>
  <si>
    <t xml:space="preserve">EQUIPMENTS                             </t>
  </si>
  <si>
    <r>
      <t>T</t>
    </r>
    <r>
      <rPr>
        <sz val="11"/>
        <rFont val="Arial"/>
        <family val="2"/>
      </rPr>
      <t xml:space="preserve">=Torque arm
</t>
    </r>
    <r>
      <rPr>
        <b/>
        <sz val="11"/>
        <rFont val="Arial"/>
        <family val="2"/>
      </rPr>
      <t>G</t>
    </r>
    <r>
      <rPr>
        <sz val="11"/>
        <rFont val="Arial"/>
        <family val="2"/>
      </rPr>
      <t xml:space="preserve"> = Rubber buffers</t>
    </r>
  </si>
  <si>
    <t>N° of poles</t>
  </si>
  <si>
    <t>Location</t>
  </si>
  <si>
    <t>Project N°</t>
  </si>
  <si>
    <t>Rev.N°</t>
  </si>
  <si>
    <t>by</t>
  </si>
  <si>
    <r>
      <t xml:space="preserve">Brake 
</t>
    </r>
    <r>
      <rPr>
        <sz val="11"/>
        <rFont val="Arial"/>
        <family val="2"/>
      </rPr>
      <t>(std: 400V 1Phase)</t>
    </r>
  </si>
  <si>
    <t>Starter type</t>
  </si>
  <si>
    <r>
      <t xml:space="preserve">Painting RAL
</t>
    </r>
    <r>
      <rPr>
        <sz val="11"/>
        <rFont val="Arial"/>
        <family val="2"/>
      </rPr>
      <t>(0=STD SEW RAL7031)</t>
    </r>
  </si>
  <si>
    <r>
      <t xml:space="preserve">Forced cooling fan
</t>
    </r>
    <r>
      <rPr>
        <sz val="10"/>
        <rFont val="Arial"/>
        <family val="2"/>
      </rPr>
      <t>(same tension of the motor)</t>
    </r>
  </si>
  <si>
    <r>
      <t xml:space="preserve">Cable connection
</t>
    </r>
    <r>
      <rPr>
        <sz val="10"/>
        <rFont val="Arial"/>
        <family val="2"/>
      </rPr>
      <t>(D = triangle; Y = STAR)</t>
    </r>
  </si>
  <si>
    <t>LAYOUT</t>
  </si>
  <si>
    <t>DESCRIPTION</t>
  </si>
  <si>
    <t>ADDITIONAL MOTORS - SEE RELATED TECNICAL DOCUMENTS
(I.E. ADDITIONAL MOTORS FOR: MOVING FLOOR, LUBRICATION SYSTEMS, FAN BLADES)</t>
  </si>
  <si>
    <t>TECH.DOC.
NR.</t>
  </si>
  <si>
    <t>TRASMEC s.r.l.
Via Bergamo, 2/a
 26011 Casalbuttano (CR)
Technical dept.</t>
  </si>
  <si>
    <r>
      <t xml:space="preserve">Strip heater
</t>
    </r>
    <r>
      <rPr>
        <sz val="11"/>
        <rFont val="Arial"/>
        <family val="2"/>
      </rPr>
      <t>(std: 230V 1Phase)</t>
    </r>
  </si>
  <si>
    <t>INTERNAL USE</t>
  </si>
  <si>
    <t>Symplified 3D model code</t>
  </si>
  <si>
    <t>IF 2 MOTORS ARE DRIVING THE SAME SHAFT AND DRIVED BY FREQUENCY CONVERTER, IT IS STRONGLY RECOMMENDED THE USE OF ONE FREQUENCY CONVERTER DRIVING BOTH MOTORS. FREQUENCY CONVERTER SHALL BE CHOOSEN ACCORDING TO THE RULE ABOVE, CONSIDERING THE RATED TORQUE EQUAL TO THE SUMM OF BOTH MOTORS.</t>
  </si>
  <si>
    <t>TRASMEC SUPPLIES ALWAYS "TF" THERMAL PROTECTION. IT IS MANDATORY TO BE CONNECTED IN CASE OF FREQUENCY CONVERTER.
IN CASE OF GEARMOTOR DRIVEN BY FREQUENCY CONVERTER AND NO FORCED COOLING FAN IS INSTALLED, FREQUENCY MUST NEVER BE SET LOWER THAN 40Hz</t>
  </si>
  <si>
    <t>TF mandatory to be connected?</t>
  </si>
  <si>
    <r>
      <t xml:space="preserve">IT IS STRONGLY RECOMMENDED TO USE  SEW EURODRIVE FREQUENCY CONVERTER (INVERTER) MOVITRAC/MOVIDRIVE MODELS FOR THE GUARANTEED PERFORMANCES AND FLEXIBILITY OF TYPE: VECTOR FLUX CONTROLLER, OPEN LOOP, WITH A POWER OF 20% MORE THAN THE MOTOR INSTALLED POWER.
</t>
    </r>
    <r>
      <rPr>
        <b/>
        <sz val="7"/>
        <color indexed="10"/>
        <rFont val="Arial"/>
        <family val="2"/>
      </rPr>
      <t>IT IS NECESSARY THAT THE FREQUENCY CONVERTER (INVERTER) START THE MOTOR WITH THE 150% OF THE MAXIMUM RATED TORQUE FOR 10 SECONDS. AFTER THIS TIME THE INVERTER MUST INTERVENE TO STOP THE CONVEYOR WHEN IT REACHES THE MAXIMUM RATED TORQUE OF MOTOR AT THE INSTALLATION HERTZ.
IN CASE OF MACHINE OPERATED WITH FREQUENCY CONVERTER OR SOFTSTART, FOLLOW THE INDICATION OF FILE "IM0007 EN".</t>
    </r>
  </si>
  <si>
    <r>
      <t>Hz</t>
    </r>
    <r>
      <rPr>
        <sz val="11"/>
        <rFont val="Arial"/>
        <family val="2"/>
      </rPr>
      <t xml:space="preserve"> - Network Frequency</t>
    </r>
  </si>
  <si>
    <t>Working HZ MAX</t>
  </si>
  <si>
    <t>Working HZ MIN</t>
  </si>
  <si>
    <t>Final Customer</t>
  </si>
  <si>
    <t>-</t>
  </si>
  <si>
    <t xml:space="preserve">Project ° </t>
  </si>
  <si>
    <t>INTERNAL ORDER CONF NR</t>
  </si>
  <si>
    <t>CUSTOMER</t>
  </si>
  <si>
    <t>FINAL CUSTOMER</t>
  </si>
  <si>
    <t>PLANT</t>
  </si>
  <si>
    <t>Vendor</t>
  </si>
  <si>
    <t>YEAR</t>
  </si>
  <si>
    <t>Project Engineer</t>
  </si>
  <si>
    <t>DELIVERY</t>
  </si>
  <si>
    <t>REMARKS</t>
  </si>
  <si>
    <t>MOTOR &amp; SENSOR LIST DELIVERED TO PURCHASE DEPT.
AND TO CUSTOMER</t>
  </si>
  <si>
    <t>PROJECT STATUS</t>
  </si>
  <si>
    <t>FOLDER NAME</t>
  </si>
  <si>
    <t>700</t>
  </si>
  <si>
    <t>AT063</t>
  </si>
  <si>
    <t>link</t>
  </si>
  <si>
    <t>DIEFFENBACHER</t>
  </si>
  <si>
    <t>ARAUCO</t>
  </si>
  <si>
    <t>GRAYLING MDP</t>
  </si>
  <si>
    <t>USA</t>
  </si>
  <si>
    <t>Brugnoli</t>
  </si>
  <si>
    <t>YES</t>
  </si>
  <si>
    <t>Completato</t>
  </si>
  <si>
    <t>700-DIEFFENBACHER-ARAUCO-GRAYLING MDP-2016</t>
  </si>
  <si>
    <t>AS826</t>
  </si>
  <si>
    <t>AS822</t>
  </si>
  <si>
    <t>AS857</t>
  </si>
  <si>
    <t>NOT REQUIRED</t>
  </si>
  <si>
    <t>AT292</t>
  </si>
  <si>
    <t>701</t>
  </si>
  <si>
    <t>AS202</t>
  </si>
  <si>
    <t>BIPAN S.P.A</t>
  </si>
  <si>
    <t>NEW SILO FIBRA</t>
  </si>
  <si>
    <t>ITALY</t>
  </si>
  <si>
    <t xml:space="preserve"> - </t>
  </si>
  <si>
    <t>702</t>
  </si>
  <si>
    <t>AS132</t>
  </si>
  <si>
    <t>IMAL</t>
  </si>
  <si>
    <t>RURSUS</t>
  </si>
  <si>
    <t>BELGIUM</t>
  </si>
  <si>
    <t>703</t>
  </si>
  <si>
    <t>AS185</t>
  </si>
  <si>
    <t>PG BISON</t>
  </si>
  <si>
    <t>SUD AFRICA</t>
  </si>
  <si>
    <t>703-IMAL--PG BISON-2016</t>
  </si>
  <si>
    <t>704</t>
  </si>
  <si>
    <t>AS184</t>
  </si>
  <si>
    <t>NEW PB PLANT</t>
  </si>
  <si>
    <t>704-PG BISON-PG BISON-NEW PB PLANT-2016</t>
  </si>
  <si>
    <t>705</t>
  </si>
  <si>
    <t>AS197</t>
  </si>
  <si>
    <t>DELHEZ BOIS</t>
  </si>
  <si>
    <t>IN-OUT NEW DRIER</t>
  </si>
  <si>
    <t>705-DELHEZ BOIS--IN-OUT NEW DRIER-2016</t>
  </si>
  <si>
    <t>706</t>
  </si>
  <si>
    <t>AS196</t>
  </si>
  <si>
    <t>TECHNIC ONE</t>
  </si>
  <si>
    <t>NEW DRIER INFEED</t>
  </si>
  <si>
    <t>706-TECHNIC ONE-DELHEZ BOIS-NEW DRIER INFEED-2016</t>
  </si>
  <si>
    <t>707</t>
  </si>
  <si>
    <t>AS253</t>
  </si>
  <si>
    <t>SONAE</t>
  </si>
  <si>
    <t>OLIVEIRA DO HOSPITAL</t>
  </si>
  <si>
    <t>OUTFEED FALCON MILLS</t>
  </si>
  <si>
    <t>PORTUGAL</t>
  </si>
  <si>
    <t>708</t>
  </si>
  <si>
    <t>AS370-AS371</t>
  </si>
  <si>
    <t>SIA CONTIPLUS</t>
  </si>
  <si>
    <t>KRONOSPAN</t>
  </si>
  <si>
    <t>BURGOS-VARIOUS</t>
  </si>
  <si>
    <t>SPAIN</t>
  </si>
  <si>
    <t>709</t>
  </si>
  <si>
    <t>AS195</t>
  </si>
  <si>
    <t>INSTALMEC</t>
  </si>
  <si>
    <t>BURGOS-NEW DRIER</t>
  </si>
  <si>
    <t>PER IMPIANTO VEDI FALDONE NR.698</t>
  </si>
  <si>
    <t>709-INSTALMEC-KRONOSPAN-BURGOS-NEW DRIER-2016</t>
  </si>
  <si>
    <t>710</t>
  </si>
  <si>
    <t>AS310</t>
  </si>
  <si>
    <t xml:space="preserve">GREENPLY </t>
  </si>
  <si>
    <t>NEW MDF PLANT 2</t>
  </si>
  <si>
    <t>INDIA</t>
  </si>
  <si>
    <t>710-DIEFFENBACHER-GREENPLY -NEW MDF PLANT 2-2016</t>
  </si>
  <si>
    <t>711</t>
  </si>
  <si>
    <t>AS302</t>
  </si>
  <si>
    <t>SZCZECINEK-NEW TB800</t>
  </si>
  <si>
    <t>POLAND</t>
  </si>
  <si>
    <t>711-KRONOSPAN--SZCZECINEK-NEW TB800-2016</t>
  </si>
  <si>
    <t>712</t>
  </si>
  <si>
    <t>AS339</t>
  </si>
  <si>
    <t>GROUP FRANCOIS BELGIUM</t>
  </si>
  <si>
    <t>VARIOUS</t>
  </si>
  <si>
    <t>713</t>
  </si>
  <si>
    <t>AS213</t>
  </si>
  <si>
    <t>GRUPPO MAURO SAVIOLA</t>
  </si>
  <si>
    <t>SIA VIADANA</t>
  </si>
  <si>
    <t>714</t>
  </si>
  <si>
    <t>AS348</t>
  </si>
  <si>
    <t>SWISS KRONO</t>
  </si>
  <si>
    <t>SWITZERLAND</t>
  </si>
  <si>
    <t>AT062, AT202</t>
  </si>
  <si>
    <t>714-DIEFFENBACHER-KRONOSPAN-SWISS KRONO-2016</t>
  </si>
  <si>
    <t>715</t>
  </si>
  <si>
    <t>AS373</t>
  </si>
  <si>
    <t>TRASMEC CHINA</t>
  </si>
  <si>
    <t>BORG</t>
  </si>
  <si>
    <t>NEW BELT CONVEYORS</t>
  </si>
  <si>
    <t>AUSTRALIA</t>
  </si>
  <si>
    <t>Longari</t>
  </si>
  <si>
    <t>715-TRASMEC CHINA-BORG-NEW BELT CONVEYORS-2016</t>
  </si>
  <si>
    <t>716</t>
  </si>
  <si>
    <t>PANEL PLUS MDF II</t>
  </si>
  <si>
    <t>THAILAND</t>
  </si>
  <si>
    <t>DIRETTO TRASMEC CHINA</t>
  </si>
  <si>
    <t>716-TRASMEC CHINA-DIEFFENBACHER-PANEL PLUS MDF II-2016</t>
  </si>
  <si>
    <t>717</t>
  </si>
  <si>
    <t>AS567</t>
  </si>
  <si>
    <t>PAL</t>
  </si>
  <si>
    <t>VARIOUS SCREWS - AUSTRALIA 1</t>
  </si>
  <si>
    <t>718</t>
  </si>
  <si>
    <t>AS358 parte A</t>
  </si>
  <si>
    <t>718-BORG--NEW PB PLANT-2016</t>
  </si>
  <si>
    <t>AS358 parte B</t>
  </si>
  <si>
    <t>AT675</t>
  </si>
  <si>
    <t>719</t>
  </si>
  <si>
    <t>AS665</t>
  </si>
  <si>
    <t>PANEL PLUS</t>
  </si>
  <si>
    <t>NEW MDF 2 PLANT PROJECT</t>
  </si>
  <si>
    <t xml:space="preserve">   </t>
  </si>
  <si>
    <t>Altro ordine AT006</t>
  </si>
  <si>
    <t>719-PANEL PLUS-PANEL PLUS-NEW MDF 2 PLANT PROJECT-2016</t>
  </si>
  <si>
    <t>720</t>
  </si>
  <si>
    <t>AS650</t>
  </si>
  <si>
    <t>NORBORD</t>
  </si>
  <si>
    <t>INVERNESS OSB</t>
  </si>
  <si>
    <t>SCOTLAND</t>
  </si>
  <si>
    <t>720-DIEFFENBACHER-NORBORD-INVERNESS OSB-2016</t>
  </si>
  <si>
    <t>721</t>
  </si>
  <si>
    <t>SWIVEL SCREWS</t>
  </si>
  <si>
    <t>722</t>
  </si>
  <si>
    <t>CHIRK</t>
  </si>
  <si>
    <t>ENGLAND</t>
  </si>
  <si>
    <t>Morto</t>
  </si>
  <si>
    <t>723</t>
  </si>
  <si>
    <t>FALCO-NEW DRIER</t>
  </si>
  <si>
    <t>HUNGARY</t>
  </si>
  <si>
    <t>724</t>
  </si>
  <si>
    <t>AS771</t>
  </si>
  <si>
    <t>Franzini</t>
  </si>
  <si>
    <t>14/04/2017;31/03/2017</t>
  </si>
  <si>
    <t>Altro ordine: AT040; AT116</t>
  </si>
  <si>
    <t>725</t>
  </si>
  <si>
    <t>AT583</t>
  </si>
  <si>
    <t>SANEM OSB</t>
  </si>
  <si>
    <t>LUXENBOURG</t>
  </si>
  <si>
    <t>Franzini/Brugnoli</t>
  </si>
  <si>
    <t>726</t>
  </si>
  <si>
    <t>PB PLANT - STEP 2</t>
  </si>
  <si>
    <t>727</t>
  </si>
  <si>
    <t>AS747</t>
  </si>
  <si>
    <t>727-BIPAN S.P.A--BIPAN S.P.A--2016</t>
  </si>
  <si>
    <t>728</t>
  </si>
  <si>
    <t>AS725</t>
  </si>
  <si>
    <t>SALAS</t>
  </si>
  <si>
    <t>Fragale</t>
  </si>
  <si>
    <t>729</t>
  </si>
  <si>
    <t>AS767</t>
  </si>
  <si>
    <t>PLACAS BRASIL</t>
  </si>
  <si>
    <t>BRASIL</t>
  </si>
  <si>
    <t>730</t>
  </si>
  <si>
    <t>AS763</t>
  </si>
  <si>
    <t>MDF 1 -CONVEYORS</t>
  </si>
  <si>
    <t>730-PANEL PLUS-PANEL PLUS-MDF 1 -CONVEYORS-2016</t>
  </si>
  <si>
    <t>731</t>
  </si>
  <si>
    <t>AS569</t>
  </si>
  <si>
    <t>AUSTRALIA 2</t>
  </si>
  <si>
    <t>731-PAL-BORG-NEW PB PLANT-2016</t>
  </si>
  <si>
    <t>732</t>
  </si>
  <si>
    <t>AS788</t>
  </si>
  <si>
    <t>FANTONI</t>
  </si>
  <si>
    <t>ALIMENTAZ NUOVA CALDAIA</t>
  </si>
  <si>
    <t>732-FANTONI--ALIMENTAZ NUOVA CALDAIA-2016</t>
  </si>
  <si>
    <t>IT00118COC00067</t>
  </si>
  <si>
    <t>MODIFICHE VARIE</t>
  </si>
  <si>
    <t>Ricambi</t>
  </si>
  <si>
    <t>733</t>
  </si>
  <si>
    <t>AT060</t>
  </si>
  <si>
    <t>KRONOSPAN UFA</t>
  </si>
  <si>
    <t>OSB</t>
  </si>
  <si>
    <t xml:space="preserve"> </t>
  </si>
  <si>
    <t>Merlini</t>
  </si>
  <si>
    <t>733-DIEFFENBACHER-KRONOSPAN UFA-OSB-2016</t>
  </si>
  <si>
    <t>734</t>
  </si>
  <si>
    <t>AS825</t>
  </si>
  <si>
    <t>EGGER</t>
  </si>
  <si>
    <t>RAMBERVILLERS</t>
  </si>
  <si>
    <t>FRANCE</t>
  </si>
  <si>
    <t xml:space="preserve"> Altro ordine (ricambi): AT021</t>
  </si>
  <si>
    <t>734-EGGER--RAMBERVILLERS-2016</t>
  </si>
  <si>
    <t>735</t>
  </si>
  <si>
    <t>AS823</t>
  </si>
  <si>
    <t>FALCO</t>
  </si>
  <si>
    <t>20/02/17-15/03/2017</t>
  </si>
  <si>
    <t>735-SIA CONTIPLUS--FALCO-2016</t>
  </si>
  <si>
    <t>736</t>
  </si>
  <si>
    <t>AS815</t>
  </si>
  <si>
    <t>MOGILEV</t>
  </si>
  <si>
    <t>BELARUS</t>
  </si>
  <si>
    <t>736-KRONOSPAN--MOGILEV-2016</t>
  </si>
  <si>
    <t>737</t>
  </si>
  <si>
    <t>AS855</t>
  </si>
  <si>
    <t>KASTAMONU</t>
  </si>
  <si>
    <t>IMPIANTO TURCHIA</t>
  </si>
  <si>
    <t>TURKIYE</t>
  </si>
  <si>
    <t>737-SIA CONTIPLUS-KASTAMONU-IMPIANTO TURCHIA-2017</t>
  </si>
  <si>
    <t>738</t>
  </si>
  <si>
    <t>AT033</t>
  </si>
  <si>
    <t>TK15N-C</t>
  </si>
  <si>
    <t>738-TECHNIC ONE--TK15N-C-</t>
  </si>
  <si>
    <t>739</t>
  </si>
  <si>
    <t>AT039</t>
  </si>
  <si>
    <t>LOSAN SPAGNA</t>
  </si>
  <si>
    <t>739-PAL--LOSAN SPAGNA-</t>
  </si>
  <si>
    <t>740</t>
  </si>
  <si>
    <t>AT178</t>
  </si>
  <si>
    <t>KRONOSPAN SL</t>
  </si>
  <si>
    <t>BURGOS</t>
  </si>
  <si>
    <t>FEEDING SYSTEM SILO 8</t>
  </si>
  <si>
    <t>740-KRONOSPAN SL-KRONOSPAN-BURGOS-2017</t>
  </si>
  <si>
    <t>AT073</t>
  </si>
  <si>
    <t>BUNKERS FOR SCREENS FEEDING</t>
  </si>
  <si>
    <t>AT284</t>
  </si>
  <si>
    <t>DEWATERING SYSTEMS FOR VERT.SCREW AND TK</t>
  </si>
  <si>
    <t>AT168</t>
  </si>
  <si>
    <t>SCREW CONV.ROLLER SCREENS INSTALMEC</t>
  </si>
  <si>
    <t>AT402</t>
  </si>
  <si>
    <t>30-06-07-09/2017</t>
  </si>
  <si>
    <t>AU212</t>
  </si>
  <si>
    <t>Bonazzoli</t>
  </si>
  <si>
    <t>741</t>
  </si>
  <si>
    <t>AT074</t>
  </si>
  <si>
    <t xml:space="preserve">FINSA </t>
  </si>
  <si>
    <t>FINSA</t>
  </si>
  <si>
    <t>FIBRANOR-RABADE</t>
  </si>
  <si>
    <t>741-FINSA -FINSA-FIBRANOR-RABADE-2017</t>
  </si>
  <si>
    <t>742</t>
  </si>
  <si>
    <t>AT075</t>
  </si>
  <si>
    <t>FINANCIERA MADERERA</t>
  </si>
  <si>
    <t>NEW MDF REFINER</t>
  </si>
  <si>
    <t>ex LUSO FINSA</t>
  </si>
  <si>
    <t>742-FINANCIERA MADERERA--NEW MDF REFINER-2017</t>
  </si>
  <si>
    <t>743</t>
  </si>
  <si>
    <t>AU128</t>
  </si>
  <si>
    <t>OREMBER</t>
  </si>
  <si>
    <t>CONVEYING SYSTEM FOR CLEANING TOWER</t>
  </si>
  <si>
    <t>743-FINSA -FINSA-OREMBER-2018</t>
  </si>
  <si>
    <t>AU194</t>
  </si>
  <si>
    <t>744</t>
  </si>
  <si>
    <t>AT077</t>
  </si>
  <si>
    <t>STRZELCE</t>
  </si>
  <si>
    <t>744-DIEFFENBACHER--STRZELCE-2017</t>
  </si>
  <si>
    <t>745</t>
  </si>
  <si>
    <t>AT091</t>
  </si>
  <si>
    <t>745-PG BISON-PG BISON--2017</t>
  </si>
  <si>
    <t>746</t>
  </si>
  <si>
    <t>AU047</t>
  </si>
  <si>
    <t>SANTIAGO DE COMPOSTELA</t>
  </si>
  <si>
    <t>PB PLANT- STEP1-CHIPPING AND STORAGE</t>
  </si>
  <si>
    <t>Layout da iniziare</t>
  </si>
  <si>
    <t>746-FINANCIERA MADERERA-FINSA-SANTIAGO DE COMPOSTELA-2017</t>
  </si>
  <si>
    <t>747</t>
  </si>
  <si>
    <t>AT146</t>
  </si>
  <si>
    <t>LINEX PANNEAUX</t>
  </si>
  <si>
    <t>08/05-07/07-ecc</t>
  </si>
  <si>
    <t>AT222</t>
  </si>
  <si>
    <t>747-PAL--LINEX PANNEAUX-2017</t>
  </si>
  <si>
    <t>748</t>
  </si>
  <si>
    <t>AT167</t>
  </si>
  <si>
    <t>UFA</t>
  </si>
  <si>
    <t>RUSSIA</t>
  </si>
  <si>
    <t>AT200</t>
  </si>
  <si>
    <t>748-SIA CONTIPLUS-KRONOSPAN-UFA-2017</t>
  </si>
  <si>
    <t>749</t>
  </si>
  <si>
    <t>AT184</t>
  </si>
  <si>
    <t>SAIB</t>
  </si>
  <si>
    <t>FOSSADELLO CAORSO</t>
  </si>
  <si>
    <t>MODIFY  MILL AREA DRY CHIP AND SCREEN</t>
  </si>
  <si>
    <t>P. Ferrari</t>
  </si>
  <si>
    <t>749-SAIB--FOSSADELLO CAORSO-2017</t>
  </si>
  <si>
    <t>750</t>
  </si>
  <si>
    <t>AU046</t>
  </si>
  <si>
    <t>PELLET E PALLETS BLOCK BSC</t>
  </si>
  <si>
    <t>750-IMAL--PELLET E PALLETS BLOCK BSC-2017</t>
  </si>
  <si>
    <t>751</t>
  </si>
  <si>
    <t>AT221</t>
  </si>
  <si>
    <t>ROQUETTE ITALIA</t>
  </si>
  <si>
    <t>751-ROQUETTE ITALIA---2017</t>
  </si>
  <si>
    <t>752</t>
  </si>
  <si>
    <t>AT671</t>
  </si>
  <si>
    <t>CMP</t>
  </si>
  <si>
    <t>IMPIANTO FRATI</t>
  </si>
  <si>
    <t>Modification on bucket elevator</t>
  </si>
  <si>
    <t>ON HOLD</t>
  </si>
  <si>
    <t>752-CMP--IMPIANTO FRATI-2017</t>
  </si>
  <si>
    <t>AT253</t>
  </si>
  <si>
    <t>753</t>
  </si>
  <si>
    <t>AT313</t>
  </si>
  <si>
    <t>PFLEIDERER</t>
  </si>
  <si>
    <t>GERMANY</t>
  </si>
  <si>
    <t>753-DIEFFENBACHER--PFLEIDERER-2017</t>
  </si>
  <si>
    <t>AT673</t>
  </si>
  <si>
    <t>CASSA AGGIUNTIVA</t>
  </si>
  <si>
    <t>754</t>
  </si>
  <si>
    <t>AT230</t>
  </si>
  <si>
    <t>754-DELHEZ BOIS--DELHEZ BOIS-2017</t>
  </si>
  <si>
    <t>755</t>
  </si>
  <si>
    <t>AT520</t>
  </si>
  <si>
    <t>TRICOYA</t>
  </si>
  <si>
    <t>WOOD CHIPS HANDLING SYSTEMS</t>
  </si>
  <si>
    <t>755-PAL--TRICOYA-2017</t>
  </si>
  <si>
    <t>IT00118COC00216</t>
  </si>
  <si>
    <t xml:space="preserve"> STEP 2 </t>
  </si>
  <si>
    <t>756</t>
  </si>
  <si>
    <t>AT291</t>
  </si>
  <si>
    <t>756-TECHNIC ONE--DELHEZ BOIS-2017</t>
  </si>
  <si>
    <t>757</t>
  </si>
  <si>
    <t>AT517</t>
  </si>
  <si>
    <t>VYNCKE</t>
  </si>
  <si>
    <t>ENECO</t>
  </si>
  <si>
    <t>HOLLAND</t>
  </si>
  <si>
    <t>Ordine per overbelt magnetic separator</t>
  </si>
  <si>
    <t>TRM CHN</t>
  </si>
  <si>
    <t>757-TRASMEC CHINA-VYNCKE-ENECO-2017</t>
  </si>
  <si>
    <t>758</t>
  </si>
  <si>
    <t>AT336</t>
  </si>
  <si>
    <t>LE CREUSOT</t>
  </si>
  <si>
    <t>758-KRONOSPAN--LE CREUSOT-2017</t>
  </si>
  <si>
    <t>759</t>
  </si>
  <si>
    <t>AT721</t>
  </si>
  <si>
    <t>HOLTEC</t>
  </si>
  <si>
    <t>ALTAILES PAVLOVSKY MDF</t>
  </si>
  <si>
    <t>759-HOLTEC--ALTAILES PAVLOVSKY MDF-2017</t>
  </si>
  <si>
    <t>760</t>
  </si>
  <si>
    <t>AT368</t>
  </si>
  <si>
    <t>TN CONVEYOR FOR CHIPS LINE INFEED</t>
  </si>
  <si>
    <t>760-SAIB--FOSSADELLO CAORSO-2017</t>
  </si>
  <si>
    <t>761</t>
  </si>
  <si>
    <t>AT363</t>
  </si>
  <si>
    <t>SEBES</t>
  </si>
  <si>
    <t>CONVEYING SYSTEM BETW. CLEANING TOWERS</t>
  </si>
  <si>
    <t>ROMANIA</t>
  </si>
  <si>
    <t>761-KRONOSPAN--SEBES-2017</t>
  </si>
  <si>
    <t>AT853</t>
  </si>
  <si>
    <t>BELT CONVEYOR FOR CLEANING TOWER , HOPPERS</t>
  </si>
  <si>
    <t>08/01/18 - 13/02/18</t>
  </si>
  <si>
    <t>762</t>
  </si>
  <si>
    <t>AT375</t>
  </si>
  <si>
    <t>PJSC</t>
  </si>
  <si>
    <t>KOROSTENSKIY MDF PLANT</t>
  </si>
  <si>
    <t>UKRAINE</t>
  </si>
  <si>
    <t>762-PJSC--KOROSTENSKIY MDF PLANT-2017</t>
  </si>
  <si>
    <t>763</t>
  </si>
  <si>
    <t>FSC VIETNAM CORPORATION</t>
  </si>
  <si>
    <t>KIM TIN MDF</t>
  </si>
  <si>
    <t>VIETNAM</t>
  </si>
  <si>
    <t>763-TRASMEC CHINA-FSC VIETNAM CORPORATION-KIM TIN MDF-2017</t>
  </si>
  <si>
    <t>764</t>
  </si>
  <si>
    <t>AT584</t>
  </si>
  <si>
    <t>31/03/18-31/05/18</t>
  </si>
  <si>
    <t>764-DIEFFENBACHER-KRONOSPAN-SANEM OSB-2017</t>
  </si>
  <si>
    <t>IT00118COC00325</t>
  </si>
  <si>
    <t>764-DIEFFENBACHER-KRONOSPAN-SANEM OSB-2018</t>
  </si>
  <si>
    <t>765</t>
  </si>
  <si>
    <t>SIAM</t>
  </si>
  <si>
    <t>FIBERBOARD</t>
  </si>
  <si>
    <t>per offerta</t>
  </si>
  <si>
    <t>766</t>
  </si>
  <si>
    <t>AT483</t>
  </si>
  <si>
    <t>SIA BALTIC BLOCK</t>
  </si>
  <si>
    <t>Bosio</t>
  </si>
  <si>
    <t>766-IMAL--SIA BALTIC BLOCK-2017</t>
  </si>
  <si>
    <t>767</t>
  </si>
  <si>
    <t>none</t>
  </si>
  <si>
    <t>DIMECO</t>
  </si>
  <si>
    <t>BERSEY</t>
  </si>
  <si>
    <t xml:space="preserve">KRONOSPAN SMORGON </t>
  </si>
  <si>
    <t>767-DIMECO-BERSEY-KRONOSPAN SMORGON -2017</t>
  </si>
  <si>
    <t>768</t>
  </si>
  <si>
    <t>AT445</t>
  </si>
  <si>
    <t>769</t>
  </si>
  <si>
    <t>AT435</t>
  </si>
  <si>
    <t>POMPOSA</t>
  </si>
  <si>
    <t>SPARE PARTS</t>
  </si>
  <si>
    <t>769-KASTAMONU--POMPOSA-2017</t>
  </si>
  <si>
    <t>AT436</t>
  </si>
  <si>
    <t>Macchine nuove</t>
  </si>
  <si>
    <t>AT649</t>
  </si>
  <si>
    <t>AT773</t>
  </si>
  <si>
    <t>DISEGNI CON RELAZIONE DI CALCOLO</t>
  </si>
  <si>
    <t>Solo relazioni calcolo PCM</t>
  </si>
  <si>
    <t>AT794</t>
  </si>
  <si>
    <t>RICAMBI PER COCLEA AT1062C-C008009</t>
  </si>
  <si>
    <t>AT797</t>
  </si>
  <si>
    <t>AU251</t>
  </si>
  <si>
    <t>RICAMBI/MODIFICHE VARI + SERRANDE PNEUM</t>
  </si>
  <si>
    <t>769-KASTAMONU--POMPOSA-2018</t>
  </si>
  <si>
    <t>IT00118COC00042</t>
  </si>
  <si>
    <t>SERRANDA A GHIGLIOTTINA + RICAMBI</t>
  </si>
  <si>
    <t>IT00118COC00197</t>
  </si>
  <si>
    <t>TK 19"N - TH40"HP - SERRANDA PNEUMATICA</t>
  </si>
  <si>
    <t>Pannunzio</t>
  </si>
  <si>
    <t>IT00118COC00572</t>
  </si>
  <si>
    <t>SCREW</t>
  </si>
  <si>
    <t>770</t>
  </si>
  <si>
    <t>AT466</t>
  </si>
  <si>
    <t>RADAUTI</t>
  </si>
  <si>
    <t>770-EGGER--RADAUTI-2017</t>
  </si>
  <si>
    <t>771</t>
  </si>
  <si>
    <t>AT515</t>
  </si>
  <si>
    <t>SCREW FOR DRYER ONE</t>
  </si>
  <si>
    <t>771-TECHNIC ONE--SCREW FOR DRYER ONE-2017</t>
  </si>
  <si>
    <t>772</t>
  </si>
  <si>
    <t xml:space="preserve">VANACHAI </t>
  </si>
  <si>
    <t>NEW MDF LINE</t>
  </si>
  <si>
    <t>772-TRASMEC CHINA-VANACHAI -NEW MDF LINE-2017</t>
  </si>
  <si>
    <t>773</t>
  </si>
  <si>
    <t>AT535</t>
  </si>
  <si>
    <t>NOVOPAN</t>
  </si>
  <si>
    <t>ECUADOR</t>
  </si>
  <si>
    <t>773-PAL--NOVOPAN-2017</t>
  </si>
  <si>
    <t>774</t>
  </si>
  <si>
    <t>AT834</t>
  </si>
  <si>
    <t>BJELOVAR</t>
  </si>
  <si>
    <t>CROATIA</t>
  </si>
  <si>
    <t>774-KRONOSPAN--BJELOVAR-2017</t>
  </si>
  <si>
    <t>775</t>
  </si>
  <si>
    <t>AT524</t>
  </si>
  <si>
    <t>KRONOSPAN POLSKA</t>
  </si>
  <si>
    <t>SZCZECINEK</t>
  </si>
  <si>
    <t>RECY II CLEANING TOWER</t>
  </si>
  <si>
    <t>775-KRONOSPAN POLSKA--SZCZECINEK-2017</t>
  </si>
  <si>
    <t>776</t>
  </si>
  <si>
    <t>AT523</t>
  </si>
  <si>
    <t>HORIZONT PROJECT DEV.</t>
  </si>
  <si>
    <t>BISKUPIEC</t>
  </si>
  <si>
    <t>776-HORIZONT PROJECT DEV.-EGGER-BISKUPIEC-2017</t>
  </si>
  <si>
    <t>AT679</t>
  </si>
  <si>
    <t>Banboard</t>
  </si>
  <si>
    <t>IT00118COC00114</t>
  </si>
  <si>
    <t>SPLITTED CONVEYOR</t>
  </si>
  <si>
    <t>776-HORIZONT PROJECT DEV.-EGGER-BISKUPIEC-2018</t>
  </si>
  <si>
    <t>777</t>
  </si>
  <si>
    <t>AT609</t>
  </si>
  <si>
    <t>SONAE ARAUCO LINARES</t>
  </si>
  <si>
    <t>prolunghe + macchine nuove</t>
  </si>
  <si>
    <t>777-PAL--SONAE ARAUCO LINARES-2017</t>
  </si>
  <si>
    <t>778</t>
  </si>
  <si>
    <t>AT633</t>
  </si>
  <si>
    <t xml:space="preserve">SZCZECINEK </t>
  </si>
  <si>
    <t>tk scarico torre</t>
  </si>
  <si>
    <t>778-INSTALMEC-KRONOSPAN-SZCZECINEK -2017</t>
  </si>
  <si>
    <t>AT650</t>
  </si>
  <si>
    <t>tn vari scarico torre</t>
  </si>
  <si>
    <t>AU085</t>
  </si>
  <si>
    <t>SCREW AND SPARE PARTS</t>
  </si>
  <si>
    <t>778-INSTALMEC-KRONOSPAN-SZCZECINEK -2018</t>
  </si>
  <si>
    <t>779</t>
  </si>
  <si>
    <t>AT643</t>
  </si>
  <si>
    <t xml:space="preserve">LUSO FINSA </t>
  </si>
  <si>
    <t>NELAS</t>
  </si>
  <si>
    <t>VYNCKE BOILER FEEDING</t>
  </si>
  <si>
    <t>779-LUSO FINSA --NELAS-2017</t>
  </si>
  <si>
    <t>780</t>
  </si>
  <si>
    <t>AT661</t>
  </si>
  <si>
    <t xml:space="preserve">THANH THANH DAT </t>
  </si>
  <si>
    <t>780-IMAL--THANH THANH DAT -2017</t>
  </si>
  <si>
    <t>781</t>
  </si>
  <si>
    <t>AT660</t>
  </si>
  <si>
    <t>WISMAR</t>
  </si>
  <si>
    <t>781-PAL-EGGER-WISMAR-2017</t>
  </si>
  <si>
    <t>782</t>
  </si>
  <si>
    <t>AT814</t>
  </si>
  <si>
    <t>THIEN LAN DAT</t>
  </si>
  <si>
    <t>On Hold</t>
  </si>
  <si>
    <t>NO</t>
  </si>
  <si>
    <t>782-DIEFFENBACHER--THIEN LAN DAT-2017</t>
  </si>
  <si>
    <t>783</t>
  </si>
  <si>
    <t>AT835</t>
  </si>
  <si>
    <t>783-CMP--IMPIANTO FRATI-2018</t>
  </si>
  <si>
    <t>784</t>
  </si>
  <si>
    <t>AT796</t>
  </si>
  <si>
    <t>GIM EXPORT GROUP</t>
  </si>
  <si>
    <t>PLANT RESTORE</t>
  </si>
  <si>
    <t>BULGARIA</t>
  </si>
  <si>
    <t>784-GIM EXPORT GROUP-KASTAMONU-PLANT RESTORE-2017</t>
  </si>
  <si>
    <t>785</t>
  </si>
  <si>
    <t>AT821</t>
  </si>
  <si>
    <t>RELOCATION DARBO</t>
  </si>
  <si>
    <t>785-DIEFFENBACHER-KASTAMONU-RELOCATION DARBO-2017</t>
  </si>
  <si>
    <t>786</t>
  </si>
  <si>
    <t>SONAE ARAUCO</t>
  </si>
  <si>
    <t>Macchine copiate da PAL Kronospan Sandebeck</t>
  </si>
  <si>
    <t>786-PAL-SONAE ARAUCO-OLIVEIRA DO HOSPITAL-2017</t>
  </si>
  <si>
    <t>787</t>
  </si>
  <si>
    <t>SPB</t>
  </si>
  <si>
    <t>787-TRASMEC CHINA-SPB-NEW MDF LINE-2017</t>
  </si>
  <si>
    <t>788</t>
  </si>
  <si>
    <t>AT851</t>
  </si>
  <si>
    <t>COCLEA PER TRASPORTO SABBIA DA LEVIGATRICE</t>
  </si>
  <si>
    <t>N°1 coclea, motore fornitura cliente</t>
  </si>
  <si>
    <t>788-SAIB--FOSSADELLO CAORSO-2017</t>
  </si>
  <si>
    <t>789</t>
  </si>
  <si>
    <t>BUNGE</t>
  </si>
  <si>
    <t>SOYA MEAL</t>
  </si>
  <si>
    <t>789-TRASMEC CHINA-BUNGE-SOYA MEAL-2017</t>
  </si>
  <si>
    <t>790</t>
  </si>
  <si>
    <t>AT876</t>
  </si>
  <si>
    <t>Belt conveyor TN800</t>
  </si>
  <si>
    <t>N°1 TN800 Later</t>
  </si>
  <si>
    <t>790-SONAE--OLIVEIRA DO HOSPITAL-2018</t>
  </si>
  <si>
    <t>791</t>
  </si>
  <si>
    <t>AU249</t>
  </si>
  <si>
    <t>SANEM</t>
  </si>
  <si>
    <t>NASTRI A TUBO</t>
  </si>
  <si>
    <t>29/06/18-01/10/18</t>
  </si>
  <si>
    <t>New Tubolators for  recy , drier , boiler</t>
  </si>
  <si>
    <t>791-KRONOSPAN--SANEM-2018</t>
  </si>
  <si>
    <t>792</t>
  </si>
  <si>
    <t>AT855</t>
  </si>
  <si>
    <t>SIA CONTIPLUS RIGA</t>
  </si>
  <si>
    <t>MIELEC</t>
  </si>
  <si>
    <t>RECY I CLEANING TOWER</t>
  </si>
  <si>
    <t>20/04/18-20/05/18</t>
  </si>
  <si>
    <t>793</t>
  </si>
  <si>
    <t>AT857</t>
  </si>
  <si>
    <t>BUCINA ZVOLEN</t>
  </si>
  <si>
    <t>SLOVAKIA</t>
  </si>
  <si>
    <t>793-SIA CONTIPLUS RIGA--BUCINA ZVOLEN-2018</t>
  </si>
  <si>
    <t>794</t>
  </si>
  <si>
    <t>IT00118COC00040</t>
  </si>
  <si>
    <t>IMAL-PAL</t>
  </si>
  <si>
    <t>EASTABOGA</t>
  </si>
  <si>
    <t>ALABAMA</t>
  </si>
  <si>
    <t>794-IMAL-PAL-KRONOSPAN-EASTABOGA-2018</t>
  </si>
  <si>
    <t>IT00118COC00327</t>
  </si>
  <si>
    <t>795</t>
  </si>
  <si>
    <t>AU017</t>
  </si>
  <si>
    <t>SONAE-ARAUCO</t>
  </si>
  <si>
    <t>COMPONENTI PER COCLEA</t>
  </si>
  <si>
    <t>795-IMAL-SONAE-ARAUCO--2018</t>
  </si>
  <si>
    <t>796</t>
  </si>
  <si>
    <t>AU006</t>
  </si>
  <si>
    <t>MAGNETIC OVERBELT FOR TN002569</t>
  </si>
  <si>
    <t>796-VYNCKE-KASTAMONU-POMPOSA-2018</t>
  </si>
  <si>
    <t>797</t>
  </si>
  <si>
    <t>KASTAMONU FUEL</t>
  </si>
  <si>
    <t>797-TRASMEC CHINA-VYNCKE-KASTAMONU FUEL-2018</t>
  </si>
  <si>
    <t>798</t>
  </si>
  <si>
    <t>AU069</t>
  </si>
  <si>
    <t>SCARICO TORRE DI PULIZIA</t>
  </si>
  <si>
    <t>798-INSTALMEC-KRONOSPAN-MIELEC-2018</t>
  </si>
  <si>
    <t>799</t>
  </si>
  <si>
    <t>AU068</t>
  </si>
  <si>
    <t>799-INSTALMEC-KRONOSPAN-BUCINA ZVOLEN-2018</t>
  </si>
  <si>
    <t>800</t>
  </si>
  <si>
    <t>AU083</t>
  </si>
  <si>
    <t>RECALOR</t>
  </si>
  <si>
    <t>LEUTKIRCH</t>
  </si>
  <si>
    <t>800-RECALOR-PFLEIDERER-LEUTKIRCH-2018</t>
  </si>
  <si>
    <t>801</t>
  </si>
  <si>
    <t>AU098</t>
  </si>
  <si>
    <t>N/A</t>
  </si>
  <si>
    <t>SCREW + VARIOUS</t>
  </si>
  <si>
    <t>801-PAL-N/A-N/A-2018</t>
  </si>
  <si>
    <t>802</t>
  </si>
  <si>
    <t>AU115</t>
  </si>
  <si>
    <t xml:space="preserve">NOVOPAN </t>
  </si>
  <si>
    <t>PB PLANT - 1000 M3</t>
  </si>
  <si>
    <t>28/08/19-21/09/18</t>
  </si>
  <si>
    <t>secco confermato, verde da confermare</t>
  </si>
  <si>
    <t>802-NOVOPAN --PB PLANT - 1000 M3-2018</t>
  </si>
  <si>
    <t>IT00118COC00021</t>
  </si>
  <si>
    <t>803</t>
  </si>
  <si>
    <t>AU116</t>
  </si>
  <si>
    <t>CELLA  TERUEL</t>
  </si>
  <si>
    <t>DOSING SCREW INFEED NEW RING FLAKER</t>
  </si>
  <si>
    <t>803-FINANCIERA MADERERA-FINSA -CELLA  TERUEL-2018</t>
  </si>
  <si>
    <t>804</t>
  </si>
  <si>
    <t>AU117</t>
  </si>
  <si>
    <t xml:space="preserve">CMP S.P.A. </t>
  </si>
  <si>
    <t>BIPAN</t>
  </si>
  <si>
    <t>BICINICCO</t>
  </si>
  <si>
    <t>CARICO SEPARATORI SCHEUCH MDF</t>
  </si>
  <si>
    <t>804-CMP S.P.A. -BIPAN-BICINICCO-2018</t>
  </si>
  <si>
    <t>IT00118COC00128</t>
  </si>
  <si>
    <t>Schemi approvati</t>
  </si>
  <si>
    <t>805</t>
  </si>
  <si>
    <t>AU108</t>
  </si>
  <si>
    <t>SAIB S.P.A.</t>
  </si>
  <si>
    <t>FOSSADELLO DI CAORSO</t>
  </si>
  <si>
    <t>NEW STORAGE CHIPS</t>
  </si>
  <si>
    <t>805-SAIB S.P.A.-SAIB-FOSSADELLO DI CAORSO-2018</t>
  </si>
  <si>
    <t>AU181</t>
  </si>
  <si>
    <t>806</t>
  </si>
  <si>
    <t>AU118</t>
  </si>
  <si>
    <t>METRO INDUSTRIAL PARK</t>
  </si>
  <si>
    <t>METROPLY</t>
  </si>
  <si>
    <t>806-METRO INDUSTRIAL PARK--METROPLY-2018</t>
  </si>
  <si>
    <t>807</t>
  </si>
  <si>
    <t>AU109</t>
  </si>
  <si>
    <t>LA FABRIL</t>
  </si>
  <si>
    <t>807-VYNCKE--LA FABRIL-2018</t>
  </si>
  <si>
    <t>808</t>
  </si>
  <si>
    <t>RAINBOW PELLET</t>
  </si>
  <si>
    <t>MALESIA</t>
  </si>
  <si>
    <t>808-TRASMEC CHINA--RAINBOW PELLET-2018</t>
  </si>
  <si>
    <t>809</t>
  </si>
  <si>
    <t>AU153</t>
  </si>
  <si>
    <t>809-EGGER--SPARE PARTS-2018</t>
  </si>
  <si>
    <t>810</t>
  </si>
  <si>
    <t>BA RIA SERECE</t>
  </si>
  <si>
    <t>810-TRASMEC CHINA-BA RIA SERECE-SOYA MEAL-2018</t>
  </si>
  <si>
    <t>811</t>
  </si>
  <si>
    <t>811-TRASMEC CHINA-VYNCKE-LA FABRIL-2018</t>
  </si>
  <si>
    <t>812</t>
  </si>
  <si>
    <t>AU205</t>
  </si>
  <si>
    <t>812-VYNCKE-PFLEIDERER-LEUTKIRCH-2018</t>
  </si>
  <si>
    <t>813</t>
  </si>
  <si>
    <t>AU218</t>
  </si>
  <si>
    <t>GRAJEWO</t>
  </si>
  <si>
    <t>813-INSTALMEC-PFLEIDERER-GRAJEWO-2018</t>
  </si>
  <si>
    <t>814</t>
  </si>
  <si>
    <t>AU217</t>
  </si>
  <si>
    <t>814-INSTALMEC-KRONOSPAN-BJELOVAR-2018</t>
  </si>
  <si>
    <t>IT00118COC00013</t>
  </si>
  <si>
    <t>COCLEA PER SCARICO CALDAIA</t>
  </si>
  <si>
    <t>815</t>
  </si>
  <si>
    <t>AU247</t>
  </si>
  <si>
    <t>MDP LINE 2</t>
  </si>
  <si>
    <t>CONEVORS FORMING STATION AREA</t>
  </si>
  <si>
    <t>815-DIEFFENBACHER-NOVOPAN-MDP LINE 2-2018</t>
  </si>
  <si>
    <t>816</t>
  </si>
  <si>
    <t>AU245</t>
  </si>
  <si>
    <t>ARMOR PANNEAUX</t>
  </si>
  <si>
    <t>SERRANDA RICAMBIO</t>
  </si>
  <si>
    <t>E. Vrioni</t>
  </si>
  <si>
    <t>816-ARMOR PANNEAUX-ARMOR PANNEAUX-ARMOR PANNEAUX-2018</t>
  </si>
  <si>
    <t>817</t>
  </si>
  <si>
    <t>AU262</t>
  </si>
  <si>
    <t>TABLEROS HISPANOS</t>
  </si>
  <si>
    <t>817-DIEFFENBACHER--TABLEROS HISPANOS-2018</t>
  </si>
  <si>
    <t>818</t>
  </si>
  <si>
    <t>AU261</t>
  </si>
  <si>
    <t>JIHLAVA</t>
  </si>
  <si>
    <t>CZECH REPUBLIC</t>
  </si>
  <si>
    <t>RICAMBI COCLEA+DISEGNI</t>
  </si>
  <si>
    <t>818-INSTALMEC-KRONOSPAN-JIHLAVA-2018</t>
  </si>
  <si>
    <t>819</t>
  </si>
  <si>
    <t>AU0260</t>
  </si>
  <si>
    <t>RECUPERO TRASPORTATORE ESISTENTE</t>
  </si>
  <si>
    <t>819-ROQUETTE ITALIA---2018</t>
  </si>
  <si>
    <t>AU0256</t>
  </si>
  <si>
    <t>SERRANDA MOTORIZZATA SPECIALE</t>
  </si>
  <si>
    <t>820</t>
  </si>
  <si>
    <t>IT00118COC00020</t>
  </si>
  <si>
    <t>TK30"HP sostituisce macchina non-TRM</t>
  </si>
  <si>
    <t>820-EGGER--RAMBERVILLERS-2018</t>
  </si>
  <si>
    <t>821</t>
  </si>
  <si>
    <t>IT00118COC00047</t>
  </si>
  <si>
    <t>RIGA</t>
  </si>
  <si>
    <t>LATVIA</t>
  </si>
  <si>
    <t>821-SIA CONTIPLUS RIGA-KRONOSPAN-RIGA-2018</t>
  </si>
  <si>
    <t>822</t>
  </si>
  <si>
    <t>IT00118COC00006</t>
  </si>
  <si>
    <t>SPARE PARTS FOR HOLTEC CONV.POS.500.02.8</t>
  </si>
  <si>
    <t>822-KRONOSPAN-KRONOSPAN-BURGOS-2018</t>
  </si>
  <si>
    <t>IT00118COC00060</t>
  </si>
  <si>
    <t xml:space="preserve">AREA 700 NEW PZ - AREA 600 BY PASS </t>
  </si>
  <si>
    <t>Completato. Manca relazioni di calcolo</t>
  </si>
  <si>
    <t>IT00118COC00077</t>
  </si>
  <si>
    <t>AREA 500 - INSTALLATION NEW OVERBELT SGM</t>
  </si>
  <si>
    <t>Completato,. Manca relaz calcolo</t>
  </si>
  <si>
    <t>823</t>
  </si>
  <si>
    <t>IT00118COC00107</t>
  </si>
  <si>
    <t>Prospect - REC</t>
  </si>
  <si>
    <t>823-EGGER--BISKUPIEC-2018</t>
  </si>
  <si>
    <t>824</t>
  </si>
  <si>
    <t>TARTAK II</t>
  </si>
  <si>
    <t>824-TRASMEC CHINA-VYNCKE-TARTAK II-2018</t>
  </si>
  <si>
    <t>825</t>
  </si>
  <si>
    <t>IT00118COC00524</t>
  </si>
  <si>
    <t>COLUMBUS</t>
  </si>
  <si>
    <t>04/19-08/19</t>
  </si>
  <si>
    <t>825-EGGER--COLUMBUS-2018</t>
  </si>
  <si>
    <t>826</t>
  </si>
  <si>
    <t>IT00118COC00127</t>
  </si>
  <si>
    <t>BEESKOW</t>
  </si>
  <si>
    <t>826-IMAL-SONAE ARAUCO-BEESKOW-2018</t>
  </si>
  <si>
    <t>827</t>
  </si>
  <si>
    <t>VPI-OSB1</t>
  </si>
  <si>
    <t>827-TRASMEC CHINA-VANACHAI -VPI-OSB1-2018</t>
  </si>
  <si>
    <t>828</t>
  </si>
  <si>
    <t>IT00118COC00166</t>
  </si>
  <si>
    <t>BOILER INFEED SYSTEM</t>
  </si>
  <si>
    <t>828-FINANCIERA MADERERA-FINSA-OREMBER-2018</t>
  </si>
  <si>
    <t>829</t>
  </si>
  <si>
    <t>IT00118COC00194</t>
  </si>
  <si>
    <t>NEW PRESSING PLANT</t>
  </si>
  <si>
    <t>829-TABLEROS HISPANOS--TABLEROS HISPANOS-2018</t>
  </si>
  <si>
    <t>830</t>
  </si>
  <si>
    <t>IT00118COC00215</t>
  </si>
  <si>
    <t>ENCHAPES DECORATICO S.A</t>
  </si>
  <si>
    <t>BOTROSA</t>
  </si>
  <si>
    <t>CONVEYING AND STORAGE SYSTEM FOR BOILER PLANT</t>
  </si>
  <si>
    <t>830-ENCHAPES DECORATICO S.A--BOTROSA-2018</t>
  </si>
  <si>
    <t>831</t>
  </si>
  <si>
    <t>IT00118COC00251</t>
  </si>
  <si>
    <t>BRIERLEY -UK</t>
  </si>
  <si>
    <t>SEPARATORE MAGNETICO OVERBELT</t>
  </si>
  <si>
    <t>831-VYNCKE--BRIERLEY -UK-2018</t>
  </si>
  <si>
    <t>832</t>
  </si>
  <si>
    <t>IT00118COC00283</t>
  </si>
  <si>
    <t>DIEFFENBACHER-STARWOOD</t>
  </si>
  <si>
    <t>STARWOOD</t>
  </si>
  <si>
    <t>FORMING AREA - INEGOL</t>
  </si>
  <si>
    <t>832-DIEFFENBACHER-STARWOOD-FORMING AREA - INEGOL-</t>
  </si>
  <si>
    <t>Ordine TRM Romania</t>
  </si>
  <si>
    <t>833</t>
  </si>
  <si>
    <t>IT00118COC00269</t>
  </si>
  <si>
    <t>KRONOSPAN 000 RUSSIA</t>
  </si>
  <si>
    <t>EGORIEVSK</t>
  </si>
  <si>
    <t>SOSTITUZIONE CLAPPA CLPMTR-AE0086C IV009072</t>
  </si>
  <si>
    <t>833-KRONOSPAN 000 RUSSIA--EGORIEVSK-2018</t>
  </si>
  <si>
    <t>834</t>
  </si>
  <si>
    <t>IT00118COC00284</t>
  </si>
  <si>
    <t>834-DIEFFENBACHER-SONAE ARAUCO-BEESKOW-2018</t>
  </si>
  <si>
    <t>835</t>
  </si>
  <si>
    <t>IT00118COC00282</t>
  </si>
  <si>
    <t>ORIS 2 - OSB</t>
  </si>
  <si>
    <t>BOILER INFEED SYSTEM-OUTLET DRYER</t>
  </si>
  <si>
    <t>Longari/Brugnoli</t>
  </si>
  <si>
    <t>835-DIEFFENBACHER-KRONOSPAN-ORIS 2 - OSB-2018</t>
  </si>
  <si>
    <t>IT00118COC00426</t>
  </si>
  <si>
    <t>SCARICO ESSICATOIO</t>
  </si>
  <si>
    <t>IT00119COC00014</t>
  </si>
  <si>
    <t>835-DIEFFENBACHER-KRONOSPAN-ORIS 2 - OSB-2019</t>
  </si>
  <si>
    <t>IT00119COC00129</t>
  </si>
  <si>
    <t>836</t>
  </si>
  <si>
    <t>IT00118COC00400</t>
  </si>
  <si>
    <t>PALSER</t>
  </si>
  <si>
    <t>SERTA</t>
  </si>
  <si>
    <t>836-IMAL-PALSER-SERTA-2018</t>
  </si>
  <si>
    <t>837</t>
  </si>
  <si>
    <t>IT00118COC00326</t>
  </si>
  <si>
    <t xml:space="preserve">KRONOSPAN </t>
  </si>
  <si>
    <t>DELETED</t>
  </si>
  <si>
    <t>837-KRONOSPAN --STRZELCE-2018</t>
  </si>
  <si>
    <t>IT00119COC00195</t>
  </si>
  <si>
    <t>CONTIPLUS AG</t>
  </si>
  <si>
    <t xml:space="preserve">TK40HP + SPARES FOR EXISTING ONES </t>
  </si>
  <si>
    <t>completare i ricambi</t>
  </si>
  <si>
    <t>837-CONTIPLUS AG-KRONOSPAN -STRZELCE-2019</t>
  </si>
  <si>
    <t>IT00119COC00196</t>
  </si>
  <si>
    <t>Chain conveyor</t>
  </si>
  <si>
    <t>838</t>
  </si>
  <si>
    <t>IT00118COC00285</t>
  </si>
  <si>
    <t>SERA ENERGIES</t>
  </si>
  <si>
    <t>BIOMAX GRENOBLE</t>
  </si>
  <si>
    <t>838-SERA ENERGIES--BIOMAX GRENOBLE-2018</t>
  </si>
  <si>
    <t>839</t>
  </si>
  <si>
    <t>IT00118COC00382</t>
  </si>
  <si>
    <t>2 COCLEE DOSATRICI FORN. PARZIALE</t>
  </si>
  <si>
    <t>839-INSTALMEC-KRONOSPAN-CHIRK-2018</t>
  </si>
  <si>
    <t>840</t>
  </si>
  <si>
    <t>INFEED BOILER</t>
  </si>
  <si>
    <t>840-TRASMEC CHINA-VANACHAI -VPI-OSB1-2018</t>
  </si>
  <si>
    <t>841</t>
  </si>
  <si>
    <t>IT00118COC00390</t>
  </si>
  <si>
    <t>SERRANDE SOTTO TK</t>
  </si>
  <si>
    <t>841-BORG--NEW PB PLANT-2018</t>
  </si>
  <si>
    <t>842</t>
  </si>
  <si>
    <t>IT00118COC00428</t>
  </si>
  <si>
    <t>CAPWATT</t>
  </si>
  <si>
    <t>BOILER INFEED</t>
  </si>
  <si>
    <t>842-VYNCKE-SONAE-CAPWATT-2018</t>
  </si>
  <si>
    <t>IT00118COC00455</t>
  </si>
  <si>
    <t>DISEGNI PER STRUTTURE</t>
  </si>
  <si>
    <t>843</t>
  </si>
  <si>
    <t>AGT</t>
  </si>
  <si>
    <t xml:space="preserve">MDF 2 PLANT </t>
  </si>
  <si>
    <t>843-GIM EXPORT GROUP-AGT-MDF 2 PLANT -2018</t>
  </si>
  <si>
    <t>844</t>
  </si>
  <si>
    <t>IT00118COC00427</t>
  </si>
  <si>
    <t>NORBORD COWIE</t>
  </si>
  <si>
    <t>844-PAL--NORBORD COWIE-2018</t>
  </si>
  <si>
    <t>IT00118COC00604</t>
  </si>
  <si>
    <t>IT00118COC00185</t>
  </si>
  <si>
    <t>844-PAL--NORBORD COWIE-2019</t>
  </si>
  <si>
    <t>845</t>
  </si>
  <si>
    <t>IT00118COC00401</t>
  </si>
  <si>
    <t>GBMC1</t>
  </si>
  <si>
    <t>GMBC 1</t>
  </si>
  <si>
    <t>845-IMAL--GBMC1-2018</t>
  </si>
  <si>
    <t>IT00118COC00402</t>
  </si>
  <si>
    <t>GBMC2</t>
  </si>
  <si>
    <t>GMBC 2</t>
  </si>
  <si>
    <t>845-IMAL--GBMC2-2018</t>
  </si>
  <si>
    <t>846</t>
  </si>
  <si>
    <t>IT00118COC00429</t>
  </si>
  <si>
    <t>PANTEC</t>
  </si>
  <si>
    <t>20/1218-30/07/19</t>
  </si>
  <si>
    <t>846-CMP-PANTEC-2018</t>
  </si>
  <si>
    <t>847</t>
  </si>
  <si>
    <t>IT00118COC00471</t>
  </si>
  <si>
    <t>NOLTE</t>
  </si>
  <si>
    <t>AUSTRIA</t>
  </si>
  <si>
    <t>847-DIEFFENBACHER--NOLTE-2018</t>
  </si>
  <si>
    <t>848</t>
  </si>
  <si>
    <t>IT00118COC00454</t>
  </si>
  <si>
    <t>848-INSTALMEC-KRONOSPAN-RIGA-2018</t>
  </si>
  <si>
    <t>849</t>
  </si>
  <si>
    <t>IT00118COC00452</t>
  </si>
  <si>
    <t>18/04-30/07/19</t>
  </si>
  <si>
    <t>849-CMP--IMPIANTO FRATI-2018</t>
  </si>
  <si>
    <t>IT00118COC00509</t>
  </si>
  <si>
    <t>850</t>
  </si>
  <si>
    <t>IT00118COC00478</t>
  </si>
  <si>
    <t>CONTIPLUS</t>
  </si>
  <si>
    <t>850-CONTIPLUS--JIHLAVA-2018</t>
  </si>
  <si>
    <t>851</t>
  </si>
  <si>
    <t>IT00118COC00481</t>
  </si>
  <si>
    <t>FUNDERMAX</t>
  </si>
  <si>
    <t>RECY</t>
  </si>
  <si>
    <t>851-DIEFFENBACHER--FUNDERMAX-2018</t>
  </si>
  <si>
    <t>IT00118COC00523</t>
  </si>
  <si>
    <t xml:space="preserve">Clappa </t>
  </si>
  <si>
    <t>852</t>
  </si>
  <si>
    <t>IT00118COC00482</t>
  </si>
  <si>
    <t>TENO</t>
  </si>
  <si>
    <t>CILE</t>
  </si>
  <si>
    <t>852-PAL-ARAUCO-TENO-2018</t>
  </si>
  <si>
    <t>853</t>
  </si>
  <si>
    <t>IT00118COC00532</t>
  </si>
  <si>
    <t>PFEIFER HOLZ LAUTERBACH</t>
  </si>
  <si>
    <t>853-TECHNIC ONE--PFEIFER HOLZ LAUTERBACH-2018</t>
  </si>
  <si>
    <t>854</t>
  </si>
  <si>
    <t>IT00118COC00533</t>
  </si>
  <si>
    <t>BURGOS C9</t>
  </si>
  <si>
    <t>854-KRONOSPAN-BURGOS C9-2018</t>
  </si>
  <si>
    <t>IT00118COC00236</t>
  </si>
  <si>
    <t>IT00119COC00168</t>
  </si>
  <si>
    <t>855</t>
  </si>
  <si>
    <t>IT00118COC00571</t>
  </si>
  <si>
    <t>MAGNETIC OVERBELT</t>
  </si>
  <si>
    <t>855-VYNCKE--ENECO-2018</t>
  </si>
  <si>
    <t>856</t>
  </si>
  <si>
    <t>IT00119COC00128</t>
  </si>
  <si>
    <t>856-CMP--PANTEC-2019</t>
  </si>
  <si>
    <t>IT00119COC00435</t>
  </si>
  <si>
    <t>857</t>
  </si>
  <si>
    <t>IT00118COC00583</t>
  </si>
  <si>
    <t xml:space="preserve">BURGOS </t>
  </si>
  <si>
    <t>DOUBLE DOSING SCREW CONVEYOR</t>
  </si>
  <si>
    <t>857-KRONOSPAN--BURGOS -2018</t>
  </si>
  <si>
    <t>858</t>
  </si>
  <si>
    <t>IT00118COC00602</t>
  </si>
  <si>
    <t>BARONY</t>
  </si>
  <si>
    <t>SILDE GATES</t>
  </si>
  <si>
    <t>858-EGGER--BARONY-2019</t>
  </si>
  <si>
    <t>IT00119COC00010</t>
  </si>
  <si>
    <t>TK15N</t>
  </si>
  <si>
    <t>859</t>
  </si>
  <si>
    <t>IT00119COC00013</t>
  </si>
  <si>
    <t>FINANCERA MADERERA SA</t>
  </si>
  <si>
    <t>FINSA CELLA</t>
  </si>
  <si>
    <t>859-PAL-FINANCERA MADERERA SA-FINSA CELLA-2019</t>
  </si>
  <si>
    <t>IT00119COC00324</t>
  </si>
  <si>
    <t>860</t>
  </si>
  <si>
    <t>IT00119COC00011</t>
  </si>
  <si>
    <t>DE SMET</t>
  </si>
  <si>
    <t>860-PAL--DE SMET-2019</t>
  </si>
  <si>
    <t>IT00119COC00445</t>
  </si>
  <si>
    <t>861</t>
  </si>
  <si>
    <t>IT00119COC00015</t>
  </si>
  <si>
    <t>PIET RETIEF</t>
  </si>
  <si>
    <t>861-PG BISON--PIET RETIEF-2019</t>
  </si>
  <si>
    <t>IT00119COC00022</t>
  </si>
  <si>
    <t>862</t>
  </si>
  <si>
    <t>IT00119COC00012</t>
  </si>
  <si>
    <t>LOMBARDO</t>
  </si>
  <si>
    <t>862-PAL--LOMBARDO-2019</t>
  </si>
  <si>
    <t>863</t>
  </si>
  <si>
    <t>TRM ROM</t>
  </si>
  <si>
    <t>TRASMEC ROMANIA</t>
  </si>
  <si>
    <t>PINKSDREV</t>
  </si>
  <si>
    <t>863-TRASMEC ROMANIA-BERSEY-PINKSDREV-2019</t>
  </si>
  <si>
    <t>864</t>
  </si>
  <si>
    <t>IT00119COC00049</t>
  </si>
  <si>
    <t>ELEKTROGORSK</t>
  </si>
  <si>
    <t>864-INSTALMEC-KRONOSPAN-ELEKTROGORSK-2019</t>
  </si>
  <si>
    <t>IT00119COC00056</t>
  </si>
  <si>
    <t>865</t>
  </si>
  <si>
    <t>IT00118COC00490</t>
  </si>
  <si>
    <t>STEP 2</t>
  </si>
  <si>
    <t>865-FINANCIERA MADERERA-FINSA-SANTIAGO DE COMPOSTELA-2019</t>
  </si>
  <si>
    <t>IT00118COC00460</t>
  </si>
  <si>
    <t>STEP 2 - INTEGRATION</t>
  </si>
  <si>
    <t>IT00119COC00934</t>
  </si>
  <si>
    <t>SCREWS FOR GLUING PLANT</t>
  </si>
  <si>
    <t>866</t>
  </si>
  <si>
    <t>IT00119COC00053</t>
  </si>
  <si>
    <t>BELTS FOR RECY</t>
  </si>
  <si>
    <t>866-KASTAMONU--POMPOSA-2019</t>
  </si>
  <si>
    <t>867</t>
  </si>
  <si>
    <t>IT00119COC00035</t>
  </si>
  <si>
    <t>SANDEBECK</t>
  </si>
  <si>
    <t>RICAMBI</t>
  </si>
  <si>
    <t>867-KRONOSPAN--SANDEBECK-2019</t>
  </si>
  <si>
    <t>IT00119COC00093</t>
  </si>
  <si>
    <t>868</t>
  </si>
  <si>
    <t>IT00119COC00090</t>
  </si>
  <si>
    <t>869</t>
  </si>
  <si>
    <t>IT00119COC00149</t>
  </si>
  <si>
    <t xml:space="preserve">4° TORRE DI PULIZIA </t>
  </si>
  <si>
    <t>869-SAIB S.P.A.-SAIB-FOSSADELLO DI CAORSO-2019</t>
  </si>
  <si>
    <t>870</t>
  </si>
  <si>
    <t>IT00119COC00148</t>
  </si>
  <si>
    <t>ARCHIMBAUD</t>
  </si>
  <si>
    <t>870-IMAL--ARCHIMBAUD-2019</t>
  </si>
  <si>
    <t>IT00119COC00174</t>
  </si>
  <si>
    <t>SCREW CONVEYOR</t>
  </si>
  <si>
    <t>Ordine , ML, SL unite con IT00119COC00148</t>
  </si>
  <si>
    <t>871</t>
  </si>
  <si>
    <t>IT00119COC00112</t>
  </si>
  <si>
    <t>BPA</t>
  </si>
  <si>
    <t>871-VYNCKE--BPA-2019</t>
  </si>
  <si>
    <t>872</t>
  </si>
  <si>
    <t>IT00119COC00150</t>
  </si>
  <si>
    <t>NEW RECY WOOD PLANT</t>
  </si>
  <si>
    <t>872-LUSO FINSA --NELAS-2019</t>
  </si>
  <si>
    <t>IT00119COC00328</t>
  </si>
  <si>
    <t>873</t>
  </si>
  <si>
    <t>IT00119COC00170</t>
  </si>
  <si>
    <t>WET &amp; DRY UPGRADE</t>
  </si>
  <si>
    <t>873-CONTIPLUS AG-KRONOSPAN -ELEKTROGORSK-2019</t>
  </si>
  <si>
    <t>874</t>
  </si>
  <si>
    <t>IT00119COC00187</t>
  </si>
  <si>
    <t>KRONOSPAN BASHKORTOSTAN</t>
  </si>
  <si>
    <t>874-KRONOSPAN BASHKORTOSTAN-KRONOSPAN-UFA-2019</t>
  </si>
  <si>
    <t>875</t>
  </si>
  <si>
    <t>Spare parts for AMF conveyors</t>
  </si>
  <si>
    <t>875-KRONOSPAN--CHIRK-2019</t>
  </si>
  <si>
    <t>876</t>
  </si>
  <si>
    <t>IT00119COC00449</t>
  </si>
  <si>
    <t>KANEMATSU  KGK CORP.</t>
  </si>
  <si>
    <t>OKURA JAPAN</t>
  </si>
  <si>
    <t>JAPAN</t>
  </si>
  <si>
    <t>876-KANEMATSU  KGK CORP.--OKURA JAPAN-2019</t>
  </si>
  <si>
    <t>IT00119COC00851</t>
  </si>
  <si>
    <t>877</t>
  </si>
  <si>
    <t>IT00119COC00221</t>
  </si>
  <si>
    <t xml:space="preserve">FINANCIERA MADERERA </t>
  </si>
  <si>
    <t>SANTIAGO-BOILER VINCKE</t>
  </si>
  <si>
    <t>BOILER FEEDING VINCKE</t>
  </si>
  <si>
    <t>877-FINANCIERA MADERERA -FINSA-SANTIAGO-BOILER VINCKE-2019</t>
  </si>
  <si>
    <t>878</t>
  </si>
  <si>
    <t>IT00119COC00231</t>
  </si>
  <si>
    <t>878-KRONOSPAN--JIHLAVA-2019</t>
  </si>
  <si>
    <t>879</t>
  </si>
  <si>
    <t>IT00119COC00225</t>
  </si>
  <si>
    <t>UGIE</t>
  </si>
  <si>
    <t>879-PG BISON--UGIE-2019</t>
  </si>
  <si>
    <t>880</t>
  </si>
  <si>
    <t>IT00119COC00273</t>
  </si>
  <si>
    <t>EGGER ROMANIA SRL</t>
  </si>
  <si>
    <t>880-EGGER ROMANIA SRL--RADAUTI-2019</t>
  </si>
  <si>
    <t>881</t>
  </si>
  <si>
    <t>IT00119COC00296</t>
  </si>
  <si>
    <t>BPA AMSTERDAM</t>
  </si>
  <si>
    <t>MOVING FLOOR SYSTEM</t>
  </si>
  <si>
    <t xml:space="preserve">  </t>
  </si>
  <si>
    <t>881-VYNCKE--BPA AMSTERDAM-2019</t>
  </si>
  <si>
    <t>882</t>
  </si>
  <si>
    <t>IT00119COC00323</t>
  </si>
  <si>
    <t>NOVOVOLYNSK</t>
  </si>
  <si>
    <t>882-CONTIPLUS AG-KRONOSPAN-NOVOVOLYNSK-2019</t>
  </si>
  <si>
    <t>IT00119COC00494</t>
  </si>
  <si>
    <t>Aggiunta di N°2 clappe e N°1 coclea</t>
  </si>
  <si>
    <t>883</t>
  </si>
  <si>
    <t>IT00119COC00330</t>
  </si>
  <si>
    <t>COCLEA + TM650 C/OVERBELT</t>
  </si>
  <si>
    <t>883-KRONOSPAN 000 RUSSIA--EGORIEVSK-2019</t>
  </si>
  <si>
    <t>884</t>
  </si>
  <si>
    <t>IT00119COC00379</t>
  </si>
  <si>
    <t>VERTICAL SCREWS FOR SAW DUST</t>
  </si>
  <si>
    <t>884-TECHNIC ONE---2019</t>
  </si>
  <si>
    <t>885</t>
  </si>
  <si>
    <t>IT00119COC00446</t>
  </si>
  <si>
    <t>IKEA SVEZIA</t>
  </si>
  <si>
    <t>RECY AND DRY AREA</t>
  </si>
  <si>
    <t>SWEDEN</t>
  </si>
  <si>
    <t>885-PAL-IKEA SVEZIA-RECY AND DRY AREA-2019</t>
  </si>
  <si>
    <t>886</t>
  </si>
  <si>
    <t>IT00119COC00432</t>
  </si>
  <si>
    <t xml:space="preserve">KASTAMONU </t>
  </si>
  <si>
    <t>886-KASTAMONU --POMPOSA-2019</t>
  </si>
  <si>
    <t>887</t>
  </si>
  <si>
    <t>IT00119COC00475</t>
  </si>
  <si>
    <t>SMARTPLY OSB</t>
  </si>
  <si>
    <t>IRELAND</t>
  </si>
  <si>
    <t>888</t>
  </si>
  <si>
    <t>IT00119COC00476</t>
  </si>
  <si>
    <t>20/09-04/11/19</t>
  </si>
  <si>
    <t>888-INSTALMEC-KRONOSPAN-NOVOVOLYNSK-2019</t>
  </si>
  <si>
    <t>889</t>
  </si>
  <si>
    <t>IT00119COC00508</t>
  </si>
  <si>
    <t>OBARIV OSB</t>
  </si>
  <si>
    <t xml:space="preserve">ON HOLD-VEDI  1002 </t>
  </si>
  <si>
    <t>889-CONTIPLUS-KRONOSPAN-OBARIV OSB-2019</t>
  </si>
  <si>
    <t>890</t>
  </si>
  <si>
    <t>IT00119COC00536</t>
  </si>
  <si>
    <t>CONTIPLUS LTD MALTA</t>
  </si>
  <si>
    <t xml:space="preserve">FALCO </t>
  </si>
  <si>
    <t>RECY REVAMPING</t>
  </si>
  <si>
    <t>890-CONTIPLUS LTD MALTA-KRONOSPAN-FALCO -2019</t>
  </si>
  <si>
    <t>IT00119COC00774</t>
  </si>
  <si>
    <t>891</t>
  </si>
  <si>
    <t>IT00120COC00505</t>
  </si>
  <si>
    <t>CONTIPLUS LIMITED</t>
  </si>
  <si>
    <t>891-CONTIPLUS LIMITED-KRONOSPAN-ELEKTROGORSK-2019</t>
  </si>
  <si>
    <t>892</t>
  </si>
  <si>
    <t>IT00119COC00527</t>
  </si>
  <si>
    <t>ELKIN</t>
  </si>
  <si>
    <t>892-DIEFFENBACHER--ELKIN-2019</t>
  </si>
  <si>
    <t>893</t>
  </si>
  <si>
    <t>IT00119COC00543</t>
  </si>
  <si>
    <t>MANGUALDE</t>
  </si>
  <si>
    <t>893-SONAE ARAUCO--MANGUALDE-2019</t>
  </si>
  <si>
    <t>894</t>
  </si>
  <si>
    <t>IT00119COC00561</t>
  </si>
  <si>
    <t>894-BORG--NEW PB PLANT-2019</t>
  </si>
  <si>
    <t>895</t>
  </si>
  <si>
    <t>IT00119COC00593</t>
  </si>
  <si>
    <t>SIA KRONOSPAN RIGA</t>
  </si>
  <si>
    <t>KRONOSPAN RIGA</t>
  </si>
  <si>
    <t>MODIFICHE TKK60OSB-TKK80OSB</t>
  </si>
  <si>
    <t>895-SIA KRONOSPAN RIGA-SIA KRONOSPAN RIGA-KRONOSPAN RIGA-2019</t>
  </si>
  <si>
    <t>896</t>
  </si>
  <si>
    <t>IT00119COC00631</t>
  </si>
  <si>
    <t>RECY LINE</t>
  </si>
  <si>
    <t>896-DIEFFENBACHER--LINEX PANNEAUX-2019</t>
  </si>
  <si>
    <t>IT00119COC00745</t>
  </si>
  <si>
    <t>897</t>
  </si>
  <si>
    <t>IT00119COC00629</t>
  </si>
  <si>
    <t>KRONOSPAN POLSKA SP.Z.O.O.</t>
  </si>
  <si>
    <t>NEW HACKER FROM RECY</t>
  </si>
  <si>
    <t>897-KRONOSPAN POLSKA SP.Z.O.O.-KRONOSPAN-SZCZECINEK-2019</t>
  </si>
  <si>
    <t>898</t>
  </si>
  <si>
    <t>IT00119COC00630</t>
  </si>
  <si>
    <t>RICAMBI ALBERI COCLEA</t>
  </si>
  <si>
    <t>898-KASTAMONU--POMPOSA-2019</t>
  </si>
  <si>
    <t>899</t>
  </si>
  <si>
    <t>IT00119COC00668</t>
  </si>
  <si>
    <t>MICRO STRAND GENK</t>
  </si>
  <si>
    <t>899-PAL-NORBORD-MICRO STRAND GENK-2019</t>
  </si>
  <si>
    <t>900</t>
  </si>
  <si>
    <t>IT00119COC00573</t>
  </si>
  <si>
    <t>COWIE</t>
  </si>
  <si>
    <t>ITALIA</t>
  </si>
  <si>
    <t>900-PAL-NORBORD-COWIE-2019</t>
  </si>
  <si>
    <t>901</t>
  </si>
  <si>
    <t>IT00119COC00678</t>
  </si>
  <si>
    <t>MASISA</t>
  </si>
  <si>
    <t>DURANGO-ARAUCO</t>
  </si>
  <si>
    <t>NEW SAW DUST CLEANING LINE</t>
  </si>
  <si>
    <t>MEXICO</t>
  </si>
  <si>
    <t>902</t>
  </si>
  <si>
    <t>IT00119COC00680</t>
  </si>
  <si>
    <t>TK15+TK35</t>
  </si>
  <si>
    <t>902-EGGER-EGGER-BARONY-2019</t>
  </si>
  <si>
    <t>903</t>
  </si>
  <si>
    <t>IT00119COC00703</t>
  </si>
  <si>
    <t>COCLEA DOSATRICE EX COMM 970361CS</t>
  </si>
  <si>
    <t>903-SAIB S.P.A.--FOSSADELLO DI CAORSO-2019</t>
  </si>
  <si>
    <t>904</t>
  </si>
  <si>
    <t>PARFINO</t>
  </si>
  <si>
    <t>904-TRASMEC ROMANIA-BERSEY-PARFINO-2019</t>
  </si>
  <si>
    <t>905</t>
  </si>
  <si>
    <t>IT00119COC00718</t>
  </si>
  <si>
    <t>KUNKEL PALLET BLOCKS</t>
  </si>
  <si>
    <t>Longari/Franzini</t>
  </si>
  <si>
    <t>905-IMAL--KUNKEL PALLET BLOCKS-2019</t>
  </si>
  <si>
    <t>906</t>
  </si>
  <si>
    <t>IT00119COC00743</t>
  </si>
  <si>
    <t>COCLEA SOTTO CHIPPATORE TIGER</t>
  </si>
  <si>
    <t>906-KRONOSPAN--BURGOS-2019</t>
  </si>
  <si>
    <t>IT00119COC00783</t>
  </si>
  <si>
    <t>RICAMBI VARI + 2 COCLEE CERAMIZZATE</t>
  </si>
  <si>
    <t>907</t>
  </si>
  <si>
    <t>SCREW BUNKERS FOR TRIMMINGS AND FIBER</t>
  </si>
  <si>
    <t>907-TRASMEC CHINA-VYNCKE-CAPWATT-2019</t>
  </si>
  <si>
    <t>908</t>
  </si>
  <si>
    <t>IT00119COC00776</t>
  </si>
  <si>
    <t>VYNCKE CZECH FACTORY</t>
  </si>
  <si>
    <t>FUEL RECIRCULATION FOR MATERIAL TESTING</t>
  </si>
  <si>
    <t>MACCHINE PER FINANZIAMENTI</t>
  </si>
  <si>
    <t>908-VYNCKE-VYNCKE-VYNCKE CZECH FACTORY-2019</t>
  </si>
  <si>
    <t>909</t>
  </si>
  <si>
    <t>IT00119COC00785</t>
  </si>
  <si>
    <t>GREEN BLOCK</t>
  </si>
  <si>
    <t>909-IMAL--GREEN BLOCK-2019</t>
  </si>
  <si>
    <t>IT00119COC00950</t>
  </si>
  <si>
    <t>(macchine aggiunte)</t>
  </si>
  <si>
    <t>IT00119COC00951</t>
  </si>
  <si>
    <t>(bunker aggiunto)</t>
  </si>
  <si>
    <t>910</t>
  </si>
  <si>
    <t>IT00119COC00712</t>
  </si>
  <si>
    <t>NONTHABURI</t>
  </si>
  <si>
    <t>PNEUMATIC SLIDING GATES</t>
  </si>
  <si>
    <t>910-METRO INDUSTRIAL PARK--NONTHABURI-2019</t>
  </si>
  <si>
    <t>911</t>
  </si>
  <si>
    <t>IT00119COC00747</t>
  </si>
  <si>
    <t>AL TALAH</t>
  </si>
  <si>
    <t>PALM RECYCLING PLANT</t>
  </si>
  <si>
    <t>PRE ENGINEERING CONVEYORS</t>
  </si>
  <si>
    <t>UNITED ARAB EMIRATES</t>
  </si>
  <si>
    <t>911-DIEFFENBACHER-AL TALAH-PALM RECYCLING PLANT-2020</t>
  </si>
  <si>
    <t>IT00120COC00043</t>
  </si>
  <si>
    <t>31/03-10/06-2020</t>
  </si>
  <si>
    <t>912</t>
  </si>
  <si>
    <t>IT00119COC00831</t>
  </si>
  <si>
    <t>INDUSTRIAS METALICAS ONAZ</t>
  </si>
  <si>
    <t>AZPEITIA</t>
  </si>
  <si>
    <t>912-INDUSTRIAS METALICAS ONAZ--AZPEITIA-2019</t>
  </si>
  <si>
    <t>913</t>
  </si>
  <si>
    <t>POWER PLANT</t>
  </si>
  <si>
    <t>913-TRASMEC CHINA-VANACHAI -POWER PLANT-2019</t>
  </si>
  <si>
    <t>914</t>
  </si>
  <si>
    <t>IT00119COC00889</t>
  </si>
  <si>
    <t>ESTABOGA</t>
  </si>
  <si>
    <t>SLIDING GATE FOR CONVEYOR AU0749C-R006178</t>
  </si>
  <si>
    <t>914-KRONOSPAN--ESTABOGA-2019</t>
  </si>
  <si>
    <t>915</t>
  </si>
  <si>
    <t>IT00119COC00884</t>
  </si>
  <si>
    <t>OSOPPO</t>
  </si>
  <si>
    <t>NUOVO SCARICO CAPANNE PLAXIL 4-5-6</t>
  </si>
  <si>
    <t>20/4-30/6/2019</t>
  </si>
  <si>
    <t>915-FANTONI-FANTONI-OSOPPO-2019</t>
  </si>
  <si>
    <t>916</t>
  </si>
  <si>
    <t>IT00120COC00146</t>
  </si>
  <si>
    <t>CLARIANT</t>
  </si>
  <si>
    <t>916-DIEFFENBACHER--CLARIANT-2019</t>
  </si>
  <si>
    <t>917</t>
  </si>
  <si>
    <t>IT00120COC00038</t>
  </si>
  <si>
    <t>KALUGA</t>
  </si>
  <si>
    <t>CONVEYORS FOR NEW MDF LINE</t>
  </si>
  <si>
    <t>917-GIM EXPORT GROUP-KRONOSPAN-KALUGA-2019</t>
  </si>
  <si>
    <t>918</t>
  </si>
  <si>
    <t>IT00119COC00940</t>
  </si>
  <si>
    <t>RECY - STEP1</t>
  </si>
  <si>
    <t>918-PAL-FINSA CELLA-FINSA CELLA-2019</t>
  </si>
  <si>
    <t>IT00120COC00045</t>
  </si>
  <si>
    <t>RECY - STEP2</t>
  </si>
  <si>
    <t>919</t>
  </si>
  <si>
    <t>IT00120COC00044</t>
  </si>
  <si>
    <t>TK25+TK35</t>
  </si>
  <si>
    <t>919-EGGER-EGGER-BARONY-2020</t>
  </si>
  <si>
    <t>920</t>
  </si>
  <si>
    <t>IT00120COC00070</t>
  </si>
  <si>
    <t>LAPOVO</t>
  </si>
  <si>
    <t>SERBIA</t>
  </si>
  <si>
    <t>15/6-15/7/2020</t>
  </si>
  <si>
    <t>920-CONTIPLUS LTD MALTA-KRONOSPAN-LAPOVO-2020</t>
  </si>
  <si>
    <t>921</t>
  </si>
  <si>
    <t>IT00120COC00073</t>
  </si>
  <si>
    <t>ARBAFLAME</t>
  </si>
  <si>
    <t xml:space="preserve">BLACK PELLET </t>
  </si>
  <si>
    <t>NORVAY</t>
  </si>
  <si>
    <t>921-PAL-ARBAFLAME-BLACK PELLET -2020</t>
  </si>
  <si>
    <t>922</t>
  </si>
  <si>
    <t>IT00120COC00090</t>
  </si>
  <si>
    <t>GREEN ARABIA</t>
  </si>
  <si>
    <t>922-IMAL--GREEN ARABIA-2020</t>
  </si>
  <si>
    <t>923</t>
  </si>
  <si>
    <t>IT00120COC00112</t>
  </si>
  <si>
    <t>CONVEYORS FOR RECY</t>
  </si>
  <si>
    <t>923-SWISS KRONO--CONVEYORS FOR RECY-2020</t>
  </si>
  <si>
    <t>924</t>
  </si>
  <si>
    <t>IT00120COC00209</t>
  </si>
  <si>
    <t>CAMSAN ORDU</t>
  </si>
  <si>
    <t>NEW MDF III</t>
  </si>
  <si>
    <t>STORAGE AND CONVEYNG SYSTEM FOR NEW MDF III</t>
  </si>
  <si>
    <t>924-CAMSAN ORDU-CAMSAN ORDU-NEW MDF III-2020</t>
  </si>
  <si>
    <t>925</t>
  </si>
  <si>
    <t>IT00120COC00114</t>
  </si>
  <si>
    <t>RECY NUOVA TORRE DI PULIZIA</t>
  </si>
  <si>
    <t>925-FANTONI-FANTONI-RECY NUOVA TORRE DI PULIZIA-2020</t>
  </si>
  <si>
    <t>926</t>
  </si>
  <si>
    <t>IT00120COC00106</t>
  </si>
  <si>
    <t>ITEM 300.07 SOSTITUZIONE TN CON TK25HP</t>
  </si>
  <si>
    <t>926-KRONOSPAN-KRONOSPAN-BURGOS-2020</t>
  </si>
  <si>
    <t>IT00120COC00131</t>
  </si>
  <si>
    <t>CHIPS SPILLAGE&gt;KMS-LAY OUT BURGOS C9-4</t>
  </si>
  <si>
    <t>927</t>
  </si>
  <si>
    <t>IT00120COC00129</t>
  </si>
  <si>
    <t>NUOVO ESSICCATOIO - TRASPORTATORE CENERI</t>
  </si>
  <si>
    <t>927-SAIB S.P.A.-SAIB-FOSSADELLO DI CAORSO-2020</t>
  </si>
  <si>
    <t>IT00120COC00130</t>
  </si>
  <si>
    <t>NUOVO ESSICCATOIO</t>
  </si>
  <si>
    <t>30/07/-30/10/2020</t>
  </si>
  <si>
    <t>IT00120COC00386</t>
  </si>
  <si>
    <t>COCLEE POOLVERE</t>
  </si>
  <si>
    <t>928</t>
  </si>
  <si>
    <t>IT00120COC00151</t>
  </si>
  <si>
    <t>SWISSKRONO</t>
  </si>
  <si>
    <t>EX-KRONOPOL ZARY</t>
  </si>
  <si>
    <t>n°2 COCLEE DI RICAMBIO</t>
  </si>
  <si>
    <t>928-SWISSKRONO--EX-KRONOPOL ZARY-2020</t>
  </si>
  <si>
    <t>929</t>
  </si>
  <si>
    <t>IT00120COC00207</t>
  </si>
  <si>
    <t>FALCO Zrt</t>
  </si>
  <si>
    <t>RECY REVAMPING TK50PNZ</t>
  </si>
  <si>
    <t>929-FALCO Zrt-KRONOSPAN-FALCO -2020</t>
  </si>
  <si>
    <t>930</t>
  </si>
  <si>
    <t>IT00120COC00208</t>
  </si>
  <si>
    <t>RECY CHIPS</t>
  </si>
  <si>
    <t>930-BORG--RECY CHIPS-2020</t>
  </si>
  <si>
    <t>IT00120COC00297</t>
  </si>
  <si>
    <t>Overbelt</t>
  </si>
  <si>
    <t>931</t>
  </si>
  <si>
    <t>IT00120COC00214</t>
  </si>
  <si>
    <t>GIM EXPORT</t>
  </si>
  <si>
    <t>SAMSUN</t>
  </si>
  <si>
    <t>Pannunzio/Longari</t>
  </si>
  <si>
    <t>30/09-30/11/2020</t>
  </si>
  <si>
    <t>931-GIM EXPORT-KASTAMONU-SAMSUN-2020</t>
  </si>
  <si>
    <t>932</t>
  </si>
  <si>
    <t>IT00120COC00206</t>
  </si>
  <si>
    <t>SULLY SUR LOIRE</t>
  </si>
  <si>
    <t>SCREWS VARIOUS</t>
  </si>
  <si>
    <t>ANNULLATO</t>
  </si>
  <si>
    <t>932-PAL-SWISS KRONO-SULLY SUR LOIRE-2020</t>
  </si>
  <si>
    <t>IT00120COC00723</t>
  </si>
  <si>
    <t>933</t>
  </si>
  <si>
    <t>IT00120COC00215</t>
  </si>
  <si>
    <t>Dieffenbacher</t>
  </si>
  <si>
    <t>Fornitura lavatore instalmec a DF</t>
  </si>
  <si>
    <t>933-Dieffenbacher-SWISS KRONO-SULLY SUR LOIRE-2020</t>
  </si>
  <si>
    <t>934</t>
  </si>
  <si>
    <t>IT00120COC00210</t>
  </si>
  <si>
    <t>WEIGHTING SYSTEM SUPPLY</t>
  </si>
  <si>
    <t>934-HOLTEC--ALTAILES PAVLOVSKY MDF-2020</t>
  </si>
  <si>
    <t>935</t>
  </si>
  <si>
    <t>IT00120COC00218</t>
  </si>
  <si>
    <t>935-EGGER--RAMBERVILLERS-2020</t>
  </si>
  <si>
    <t>936</t>
  </si>
  <si>
    <t>IT00120COC00236</t>
  </si>
  <si>
    <t>LINEX  PANNEAUX</t>
  </si>
  <si>
    <t>936-LINEX  PANNEAUX--LINEX PANNEAUX-2020</t>
  </si>
  <si>
    <t>937</t>
  </si>
  <si>
    <t>IT00120COC00237</t>
  </si>
  <si>
    <t>TECHNIC ONE VIRGINIA</t>
  </si>
  <si>
    <t>937-TECHNIC ONE--TECHNIC ONE VIRGINIA-2020</t>
  </si>
  <si>
    <t>IT00124COC00982</t>
  </si>
  <si>
    <t>938</t>
  </si>
  <si>
    <t>IT00120COC00265</t>
  </si>
  <si>
    <t>938-INSTALMEC--LAPOVO-2020</t>
  </si>
  <si>
    <t>939</t>
  </si>
  <si>
    <t>IT00120COC00270</t>
  </si>
  <si>
    <t>KRONOSPAN S.L</t>
  </si>
  <si>
    <t>BURGOS C9 (a)-(b)</t>
  </si>
  <si>
    <t>939-KRONOSPAN S.L-KRONOSPAN-BURGOS C9 (a)-(b)-2020</t>
  </si>
  <si>
    <t>940</t>
  </si>
  <si>
    <t>IT00120COC00271</t>
  </si>
  <si>
    <t>MION&amp;MOSOLE</t>
  </si>
  <si>
    <t>CLEANING TOWER</t>
  </si>
  <si>
    <t>940-MION&amp;MOSOLE--CLEANING TOWER-2020</t>
  </si>
  <si>
    <t>941</t>
  </si>
  <si>
    <t>IT00120COC00292</t>
  </si>
  <si>
    <t>GARNICA PLYWOOD</t>
  </si>
  <si>
    <t>VALENCIA</t>
  </si>
  <si>
    <t>941-GARNICA PLYWOOD-GARNICA PLYWOOD-VALENCIA-2020</t>
  </si>
  <si>
    <t>942</t>
  </si>
  <si>
    <t>IT00120COC00365</t>
  </si>
  <si>
    <t>KRONOSPAN LIMITED</t>
  </si>
  <si>
    <t>CHAIN CLEANER ON EXISTING BELTS</t>
  </si>
  <si>
    <t>GALLES</t>
  </si>
  <si>
    <t>942-KRONOSPAN LIMITED-KRONOSPAN-CHIRK-2020</t>
  </si>
  <si>
    <t>943</t>
  </si>
  <si>
    <t>IT00120COC00398</t>
  </si>
  <si>
    <t>IPAN</t>
  </si>
  <si>
    <t>AMPLIAMENTO PULIZIA CHIPS</t>
  </si>
  <si>
    <t>943-PAL--IPAN-2020</t>
  </si>
  <si>
    <t>944</t>
  </si>
  <si>
    <t>IT00120COC00613</t>
  </si>
  <si>
    <t>NOVAWOOD</t>
  </si>
  <si>
    <t>945</t>
  </si>
  <si>
    <t>IT00120COC00269</t>
  </si>
  <si>
    <t xml:space="preserve">CITADEL </t>
  </si>
  <si>
    <t>DUBAI</t>
  </si>
  <si>
    <t>MDF 1  CONVEYORS</t>
  </si>
  <si>
    <t>946</t>
  </si>
  <si>
    <t>IT00120COC00424</t>
  </si>
  <si>
    <t>KRONOSPAN LLC</t>
  </si>
  <si>
    <t>POS. 24.100 TKK OVERSIZE</t>
  </si>
  <si>
    <t>946-KRONOSPAN LLC-KRONOSPAN-ELEKTROGORSK-2020</t>
  </si>
  <si>
    <t>947</t>
  </si>
  <si>
    <t>IT00120COC00443</t>
  </si>
  <si>
    <t>KRONOSPAN AUXERRE</t>
  </si>
  <si>
    <t>947-INSTALMEC-KRONOSPAN-KRONOSPAN AUXERRE-2020</t>
  </si>
  <si>
    <t>948</t>
  </si>
  <si>
    <t>IT00120COC00434</t>
  </si>
  <si>
    <t>PRE CRUSH BELTS</t>
  </si>
  <si>
    <t>completato</t>
  </si>
  <si>
    <t>948-KASTAMONU --POMPOSA-2020</t>
  </si>
  <si>
    <t>949</t>
  </si>
  <si>
    <t>IT00120COC00559</t>
  </si>
  <si>
    <t>VARMEVARDEN</t>
  </si>
  <si>
    <t>STEEL PLATE CONVEYOR (VULCAN)</t>
  </si>
  <si>
    <t>PROGETTO IN CONDIVISIONE CON TRM X</t>
  </si>
  <si>
    <t>949-VYNCKE--VARMEVARDEN-2020</t>
  </si>
  <si>
    <t>950</t>
  </si>
  <si>
    <t>IT00120COC00619</t>
  </si>
  <si>
    <t>GIM EXPORT Gmbh</t>
  </si>
  <si>
    <t>KRONOSPAN RIVNE</t>
  </si>
  <si>
    <t>BOILER PLANT BIOMASS INFEED SYSTEM</t>
  </si>
  <si>
    <t>950-GIM EXPORT Gmbh-KRONOSPAN-KRONOSPAN RIVNE-2020</t>
  </si>
  <si>
    <t>951</t>
  </si>
  <si>
    <t>IT00120COC00482</t>
  </si>
  <si>
    <t>SIAM PAPER LAMINATES</t>
  </si>
  <si>
    <t>SIAM PAPER</t>
  </si>
  <si>
    <t>JOB NR.: AZ1218-I</t>
  </si>
  <si>
    <t>951-SIAM PAPER LAMINATES--SIAM PAPER-2020</t>
  </si>
  <si>
    <t>952</t>
  </si>
  <si>
    <t>IT00120COC00527</t>
  </si>
  <si>
    <t>AUXERRE ASH SCREW</t>
  </si>
  <si>
    <t>952-KRONOSPAN--AUXERRE ASH SCREW-2020</t>
  </si>
  <si>
    <t>953</t>
  </si>
  <si>
    <t>IT00120COC00535</t>
  </si>
  <si>
    <t>COCLEE CENERI PER CONTO DI TRM CHN</t>
  </si>
  <si>
    <t>953-VYNCKE---2020</t>
  </si>
  <si>
    <t>954</t>
  </si>
  <si>
    <t>IT00120COC00554</t>
  </si>
  <si>
    <t>OSKO</t>
  </si>
  <si>
    <t>954-IMAL--OSKO-2020</t>
  </si>
  <si>
    <t>955</t>
  </si>
  <si>
    <t>IT00120COC00564</t>
  </si>
  <si>
    <t>955-TECHNIC ONE--USA-2020</t>
  </si>
  <si>
    <t>956</t>
  </si>
  <si>
    <t>IT00120COC00580</t>
  </si>
  <si>
    <t>956-CONTIPLUS LIMITED-KRONOSPAN-ELEKTROGORSK-2020</t>
  </si>
  <si>
    <t>957</t>
  </si>
  <si>
    <t>IT00120COC00579</t>
  </si>
  <si>
    <t>KRONOSPAN OSB</t>
  </si>
  <si>
    <t>KARL 3 STRZELCE</t>
  </si>
  <si>
    <t>SERRANDA ON/OFF PER TKK80PNZ POS.20.560</t>
  </si>
  <si>
    <t>957-KRONOSPAN OSB-KRONOSPAN-KARL 3 STRZELCE-2020</t>
  </si>
  <si>
    <t>958</t>
  </si>
  <si>
    <t>IT00120COC00593</t>
  </si>
  <si>
    <t>RENOVO</t>
  </si>
  <si>
    <t>BIOEDIL</t>
  </si>
  <si>
    <t>958-IMAL-RENOVO-BIOEDIL-2020</t>
  </si>
  <si>
    <t>959</t>
  </si>
  <si>
    <t>IT00120COC00581</t>
  </si>
  <si>
    <t>959-KRONOSPAN--SALAS-2020</t>
  </si>
  <si>
    <t>960</t>
  </si>
  <si>
    <t>IT00120COC00612</t>
  </si>
  <si>
    <t>SEPARATORE ACQUA INSTALMEC</t>
  </si>
  <si>
    <t>960-KASTAMONU--POMPOSA-2020</t>
  </si>
  <si>
    <t>961</t>
  </si>
  <si>
    <t>IT00120COC00632</t>
  </si>
  <si>
    <t>OLAM KOOG AAN DE ZAAN</t>
  </si>
  <si>
    <t>961-VYNCKE-OLAM KOOG AAN DE ZAAN--2020</t>
  </si>
  <si>
    <t>962</t>
  </si>
  <si>
    <t>IT00120COC00636</t>
  </si>
  <si>
    <t>CITADEL TRADING DUBAI</t>
  </si>
  <si>
    <t>962-VYNCKE-CITADEL TRADING DUBAI--2020</t>
  </si>
  <si>
    <t>963</t>
  </si>
  <si>
    <t>IT00120COC00633</t>
  </si>
  <si>
    <t>FLAP</t>
  </si>
  <si>
    <t>963-KRONOSPAN--EGORIEVSK-2020</t>
  </si>
  <si>
    <t>964</t>
  </si>
  <si>
    <t>IT00120COC00634</t>
  </si>
  <si>
    <t>PIET RETIEF-NEW DRYER</t>
  </si>
  <si>
    <t>NEW DRYER</t>
  </si>
  <si>
    <t>965</t>
  </si>
  <si>
    <t>IT00120COC00660</t>
  </si>
  <si>
    <t>BIOSYL</t>
  </si>
  <si>
    <t>965-BIOSYL--BIOSYL-2020</t>
  </si>
  <si>
    <t>966</t>
  </si>
  <si>
    <t>IT00120COC00739</t>
  </si>
  <si>
    <t>XILO TECHNOLOGIES</t>
  </si>
  <si>
    <t>MODIFICA MACCHINE ESISTENTI</t>
  </si>
  <si>
    <t>967</t>
  </si>
  <si>
    <t>IT00120COC00645</t>
  </si>
  <si>
    <t>KAINDL</t>
  </si>
  <si>
    <t>INIETTORE RICAMBIO MATR. 2955/96</t>
  </si>
  <si>
    <t>967-KAINDL--KAINDL-2020</t>
  </si>
  <si>
    <t>968</t>
  </si>
  <si>
    <t>IT00120COC00657</t>
  </si>
  <si>
    <t>GRIGOLIN SILI</t>
  </si>
  <si>
    <t>968-PAL--GRIGOLIN SILI-2020</t>
  </si>
  <si>
    <t>969</t>
  </si>
  <si>
    <t>IT00120COC00667</t>
  </si>
  <si>
    <t>KB Sp. Zoo.</t>
  </si>
  <si>
    <t>N°2 TB500</t>
  </si>
  <si>
    <t>969-KB Sp. Zoo.-KRONOSPAN-SZCZECINEK-2020</t>
  </si>
  <si>
    <t>970</t>
  </si>
  <si>
    <t>IT00120COC00694</t>
  </si>
  <si>
    <t>NILE WOOD EKH</t>
  </si>
  <si>
    <t>MDF (STEP1)</t>
  </si>
  <si>
    <t>EGYPT</t>
  </si>
  <si>
    <t>970-DIEFFENBACHER--NILE WOOD EKH-2021</t>
  </si>
  <si>
    <t>IT00121COC00043</t>
  </si>
  <si>
    <t>COCLEA (STEP1)</t>
  </si>
  <si>
    <t>IT00121COC00298</t>
  </si>
  <si>
    <t>RECY (STEP2)</t>
  </si>
  <si>
    <t>IT00121COC00313</t>
  </si>
  <si>
    <t>COCLEA (BA0871)</t>
  </si>
  <si>
    <t>IT00121COC01012</t>
  </si>
  <si>
    <t>COCLEE E CLAPPA (STEP3)</t>
  </si>
  <si>
    <t>971</t>
  </si>
  <si>
    <t>IT00120COC00710</t>
  </si>
  <si>
    <t>IJSBEER</t>
  </si>
  <si>
    <t>971-IMAL--IJSBEER-2020</t>
  </si>
  <si>
    <t>972</t>
  </si>
  <si>
    <t>IT00120COC00770</t>
  </si>
  <si>
    <t>STRZELCE OSB</t>
  </si>
  <si>
    <t>972-KRONOSPAN-KRONOSPAN-STRZELCE OSB-2020</t>
  </si>
  <si>
    <t>973</t>
  </si>
  <si>
    <t>IT00120COC00791</t>
  </si>
  <si>
    <t>GRUPO LOSAN</t>
  </si>
  <si>
    <t>LOSAN CUENCA</t>
  </si>
  <si>
    <t>973-PAL-GRUPO LOSAN-LOSAN CUENCA-2020</t>
  </si>
  <si>
    <t>974</t>
  </si>
  <si>
    <t>IT00120COC00809</t>
  </si>
  <si>
    <t>COCLEA VERTICALE + INIETTRICE</t>
  </si>
  <si>
    <t>974-TECHNIC ONE---2020</t>
  </si>
  <si>
    <t>975</t>
  </si>
  <si>
    <t>IT00120COC00815</t>
  </si>
  <si>
    <t>COCLEA VERTICALE RICAMBIO</t>
  </si>
  <si>
    <t>975-KRONOSPAN-SEBES--2020</t>
  </si>
  <si>
    <t>976</t>
  </si>
  <si>
    <t>IT00120COC00835</t>
  </si>
  <si>
    <t>TK19V</t>
  </si>
  <si>
    <t>976-FALCO Zrt-KRONOSPAN-FALCO -2020</t>
  </si>
  <si>
    <t>977</t>
  </si>
  <si>
    <t>IT00120COC00848</t>
  </si>
  <si>
    <t>FRATI - BIPAN - PANTEC</t>
  </si>
  <si>
    <t>30/04-28/07/2021</t>
  </si>
  <si>
    <t>977-CMP--FRATI - BIPAN - PANTEC-2021</t>
  </si>
  <si>
    <t>IT00121COC00417</t>
  </si>
  <si>
    <t>N°1  SCREW FOR MDF FIBER</t>
  </si>
  <si>
    <t>IT00121COC00635</t>
  </si>
  <si>
    <t>978</t>
  </si>
  <si>
    <t>IT00120COC00841</t>
  </si>
  <si>
    <t>FENGLIN CHINA</t>
  </si>
  <si>
    <t>FORMING STATION</t>
  </si>
  <si>
    <t>CHINA</t>
  </si>
  <si>
    <t>978-DIEFFENBACHER-FENGLIN CHINA--2020</t>
  </si>
  <si>
    <t>979</t>
  </si>
  <si>
    <t>IT00121COC00009</t>
  </si>
  <si>
    <t>NONE</t>
  </si>
  <si>
    <t>979-PAL-ARBAFLAME-BLACK PELLET -2021</t>
  </si>
  <si>
    <t>980</t>
  </si>
  <si>
    <t>IT00121COC00017</t>
  </si>
  <si>
    <t>HEXHAM</t>
  </si>
  <si>
    <t>980-EGGER--HEXHAM-2021</t>
  </si>
  <si>
    <t>981</t>
  </si>
  <si>
    <t>IT00121COC00038</t>
  </si>
  <si>
    <t>AMPLIAMENTO MULINI A MARTELLI</t>
  </si>
  <si>
    <t>10/03/2021-10/07/2021</t>
  </si>
  <si>
    <t>981-SAIB S.P.A.-SAIB-FOSSADELLO DI CAORSO-2021</t>
  </si>
  <si>
    <t>IT00121COC00039</t>
  </si>
  <si>
    <t>IT00121COC00040</t>
  </si>
  <si>
    <t>982</t>
  </si>
  <si>
    <t>IT00121COC00051</t>
  </si>
  <si>
    <t>n°2 COCLEE DI TRASPORTO</t>
  </si>
  <si>
    <t>982-KRONOSPAN--BURGOS-2021</t>
  </si>
  <si>
    <t>IT00121COC00057</t>
  </si>
  <si>
    <t>n°2 COCLEE TUBOLARI</t>
  </si>
  <si>
    <t>983</t>
  </si>
  <si>
    <t>IT00121COC00077</t>
  </si>
  <si>
    <t>OBERON</t>
  </si>
  <si>
    <t>ALIMENTAZIONE CALDAIA , TUBOLARI PER MDF, VARIE</t>
  </si>
  <si>
    <t>983-BORG-BORG-OBERON-2021</t>
  </si>
  <si>
    <t>984</t>
  </si>
  <si>
    <t>IT00121COC00088</t>
  </si>
  <si>
    <t>984-PG BISON--PIET RETIEF-2021</t>
  </si>
  <si>
    <t>IT00121COC00089</t>
  </si>
  <si>
    <t>IT00121COC00090</t>
  </si>
  <si>
    <t>IT00121COC00091</t>
  </si>
  <si>
    <t>IT00121COC00092</t>
  </si>
  <si>
    <t>IT00121COC00093</t>
  </si>
  <si>
    <t>IT00121COC00094</t>
  </si>
  <si>
    <t>IT00121COC00596</t>
  </si>
  <si>
    <t>985</t>
  </si>
  <si>
    <t>IT00121COC00096</t>
  </si>
  <si>
    <t>N°3 TK15</t>
  </si>
  <si>
    <t>985-KRONOSPAN--SALAS-2021</t>
  </si>
  <si>
    <t>IT00121COC00117</t>
  </si>
  <si>
    <t>SEPARATORE A DISCHI</t>
  </si>
  <si>
    <t>IT00121COC00134</t>
  </si>
  <si>
    <t>N°2 TK25</t>
  </si>
  <si>
    <t>IT00121COC00151</t>
  </si>
  <si>
    <t>N°1TKK30</t>
  </si>
  <si>
    <t>IT00121COC00169</t>
  </si>
  <si>
    <t>N° 2 SCREWS</t>
  </si>
  <si>
    <t>IT00121COC00434</t>
  </si>
  <si>
    <t>N° 1 SCREW</t>
  </si>
  <si>
    <t>IT00121COC01187</t>
  </si>
  <si>
    <t>N°1 TN1000LT</t>
  </si>
  <si>
    <t>986</t>
  </si>
  <si>
    <t>IT00121COC00095</t>
  </si>
  <si>
    <t>986-INSTALMEC-KRONOSPAN-ELEKTROGORSK-2021</t>
  </si>
  <si>
    <t>987</t>
  </si>
  <si>
    <t>IT00121COC00107</t>
  </si>
  <si>
    <t>TARIMAS</t>
  </si>
  <si>
    <t>COSTARICA</t>
  </si>
  <si>
    <t>987-IMAL--TARIMAS-2021</t>
  </si>
  <si>
    <t>988</t>
  </si>
  <si>
    <t>IT00121COC00106</t>
  </si>
  <si>
    <t>IJSBEER PALLET BLOCK</t>
  </si>
  <si>
    <t>988-IMAL--IJSBEER PALLET BLOCK-2021</t>
  </si>
  <si>
    <t>989</t>
  </si>
  <si>
    <t>IT00121COC00110</t>
  </si>
  <si>
    <t>TOMSK</t>
  </si>
  <si>
    <t>989-IMAL--TOMSK-2021</t>
  </si>
  <si>
    <t>990</t>
  </si>
  <si>
    <t>IT00121COC00153</t>
  </si>
  <si>
    <t>ARCELOR MITTAL</t>
  </si>
  <si>
    <t>ARCELOR MITTAL GENT</t>
  </si>
  <si>
    <t>INGEGNERIA</t>
  </si>
  <si>
    <t>990-PAL-ARCELOR MITTAL-ARCELOR MITTAL GENT-2021</t>
  </si>
  <si>
    <t>IT00121COC00822</t>
  </si>
  <si>
    <t>991</t>
  </si>
  <si>
    <t>IT00121COC00152</t>
  </si>
  <si>
    <t>N°1 SLIDING GATE</t>
  </si>
  <si>
    <t>991-KRONOSPAN--NOVOVOLYNSK-2021</t>
  </si>
  <si>
    <t>992</t>
  </si>
  <si>
    <t>IT00121COC00150</t>
  </si>
  <si>
    <t>ENGIE COMPIEGNE</t>
  </si>
  <si>
    <t>992-SERA ENERGIES--ENGIE COMPIEGNE-2021</t>
  </si>
  <si>
    <t>993</t>
  </si>
  <si>
    <t>IT00121COC00168</t>
  </si>
  <si>
    <t>N°1 COCLEA D650</t>
  </si>
  <si>
    <t>IT00121COC00660</t>
  </si>
  <si>
    <t>2TB + 2 TKK BRZ</t>
  </si>
  <si>
    <t>994</t>
  </si>
  <si>
    <t>IT00121COC00170</t>
  </si>
  <si>
    <t>IJSBEER CARICO CALDAIA</t>
  </si>
  <si>
    <t>30/03-02/05/22</t>
  </si>
  <si>
    <t>994-IMAL--IJSBEER CARICO CALDAIA-2021</t>
  </si>
  <si>
    <t>995</t>
  </si>
  <si>
    <t>IT00121COC00171</t>
  </si>
  <si>
    <t>ODEK</t>
  </si>
  <si>
    <t>995-VYNCKE-ODEK-ODEK-2021</t>
  </si>
  <si>
    <t>996</t>
  </si>
  <si>
    <t>IT00121COC00403</t>
  </si>
  <si>
    <t>HOMANIT</t>
  </si>
  <si>
    <t>LITHUANIA</t>
  </si>
  <si>
    <t>996-DIEFFENBACHER--HOMANIT-2021</t>
  </si>
  <si>
    <t>IT00121COC00530</t>
  </si>
  <si>
    <t>IT00121COC00661</t>
  </si>
  <si>
    <t>TN1000</t>
  </si>
  <si>
    <t>997</t>
  </si>
  <si>
    <t>IT00121COC00320</t>
  </si>
  <si>
    <t>IDEX</t>
  </si>
  <si>
    <t>GUYANA</t>
  </si>
  <si>
    <t>997-SERA ENERGIES--IDEX-2021</t>
  </si>
  <si>
    <t>998</t>
  </si>
  <si>
    <t>IT00121COC00202</t>
  </si>
  <si>
    <t>AUXERRE</t>
  </si>
  <si>
    <t>Coclea costr. Cliente</t>
  </si>
  <si>
    <t>998-INSTALMEC-KRONOSPAN-AUXERRE-2021</t>
  </si>
  <si>
    <t>999</t>
  </si>
  <si>
    <t>IT00121COC00239</t>
  </si>
  <si>
    <t>999-IPAN-IPAN--2021</t>
  </si>
  <si>
    <t>1000</t>
  </si>
  <si>
    <t>IT00121COC00701</t>
  </si>
  <si>
    <t>SAICA</t>
  </si>
  <si>
    <t>1001</t>
  </si>
  <si>
    <t>IT00121COC00307</t>
  </si>
  <si>
    <t>1001-IMAL-TABLEROS HISPANOS-TABLEROS HISPANOS-2021</t>
  </si>
  <si>
    <t>IT00121COC00547</t>
  </si>
  <si>
    <t>SERRANDA AGGIUNTIVA</t>
  </si>
  <si>
    <t>1002</t>
  </si>
  <si>
    <t>IT00121COC00312</t>
  </si>
  <si>
    <t>ORIS2-OSB LINE-RIVNE</t>
  </si>
  <si>
    <t>EX - PROJECT 889 OBARIV OSB2</t>
  </si>
  <si>
    <t>1002-GIM EXPORT GROUP-KRONOSPAN-ORIS2-OSB LINE-RIVNE-2021</t>
  </si>
  <si>
    <t>1003</t>
  </si>
  <si>
    <t>IT00121COC00349</t>
  </si>
  <si>
    <t>CEATEC ENGINEERING GMBH</t>
  </si>
  <si>
    <t>MOFA</t>
  </si>
  <si>
    <t>1003-CEATEC ENGINEERING GMBH-KRONOSPAN-MOFA-2021</t>
  </si>
  <si>
    <t>1004</t>
  </si>
  <si>
    <t>IT00121COC00375</t>
  </si>
  <si>
    <t>N°1 TK40 HP</t>
  </si>
  <si>
    <t>1004-EGGER--ROMANIA-2021</t>
  </si>
  <si>
    <t>1005</t>
  </si>
  <si>
    <t>IT00121COC00385</t>
  </si>
  <si>
    <t>KRONOSPAN LUX</t>
  </si>
  <si>
    <t>INSTALLAZIONE STRANDER 3</t>
  </si>
  <si>
    <t>1005-KRONOSPAN LUX-KRONOSPAN-SANEM-2021</t>
  </si>
  <si>
    <t>1006</t>
  </si>
  <si>
    <t>Fornitura completa Instalmec</t>
  </si>
  <si>
    <t>KASTAMONU ITALIA</t>
  </si>
  <si>
    <t>FALCO WATERPIT SYSTEM</t>
  </si>
  <si>
    <t>TKK1050WSE</t>
  </si>
  <si>
    <t>1006-KASTAMONU ITALIA--FALCO WATERPIT SYSTEM-2021</t>
  </si>
  <si>
    <t>1007</t>
  </si>
  <si>
    <t>IT00121COC00395</t>
  </si>
  <si>
    <t xml:space="preserve">FINANCIERA MADERERA S.A. </t>
  </si>
  <si>
    <t>CELLA</t>
  </si>
  <si>
    <t>N°1 TK40PNZ</t>
  </si>
  <si>
    <t>1007-FINANCIERA MADERERA S.A. --CELLA-2021</t>
  </si>
  <si>
    <t>1008</t>
  </si>
  <si>
    <t>IT00121COC00389</t>
  </si>
  <si>
    <t>1008-CMP--IMPIANTO FRATI-2021</t>
  </si>
  <si>
    <t>1009</t>
  </si>
  <si>
    <t>IT00121SPO00333R00</t>
  </si>
  <si>
    <t>PULITORI PER NASTRI PREESISTENTE</t>
  </si>
  <si>
    <t>1009-FANTONI--OSOPPO-2021</t>
  </si>
  <si>
    <t>KIT TRASLAZIONE PER NASTRO SOPRA SILOS</t>
  </si>
  <si>
    <t>1010</t>
  </si>
  <si>
    <t>IT00121COC00463</t>
  </si>
  <si>
    <t>1010-KRONOSPAN--SANDEBECK-2021</t>
  </si>
  <si>
    <t>1011</t>
  </si>
  <si>
    <t>IT00121COC00471</t>
  </si>
  <si>
    <t>ARCHIBLOCK</t>
  </si>
  <si>
    <t>1011-IMAL--ARCHIBLOCK-2021</t>
  </si>
  <si>
    <t>1012</t>
  </si>
  <si>
    <t>IT00121COC00474</t>
  </si>
  <si>
    <t xml:space="preserve">METRO PARTICLE </t>
  </si>
  <si>
    <t>METRO</t>
  </si>
  <si>
    <t>PB4</t>
  </si>
  <si>
    <t>ORDINE TRM ITALY</t>
  </si>
  <si>
    <t>1012-METRO PARTICLE -METRO-PB4-2021</t>
  </si>
  <si>
    <t>OC21CS-0009035</t>
  </si>
  <si>
    <t>ORDINE TRM CHINA</t>
  </si>
  <si>
    <t>OC21CS-0009033</t>
  </si>
  <si>
    <t>ORDINE TRM CHINA- TK DRIER CICLONI</t>
  </si>
  <si>
    <t>OC21CS-0009051</t>
  </si>
  <si>
    <t>ORDINE TRM CHINA- CLAPPE</t>
  </si>
  <si>
    <t>OC21CS-0009039</t>
  </si>
  <si>
    <t>ORDINE TRM CHINA- COCLEE CENERI</t>
  </si>
  <si>
    <t>1013</t>
  </si>
  <si>
    <t>IT00121COC00476</t>
  </si>
  <si>
    <t>METRO MDF</t>
  </si>
  <si>
    <t>MDF2</t>
  </si>
  <si>
    <t>1013-METRO MDF-METRO-MDF2-2021</t>
  </si>
  <si>
    <t>OCS21CS-0009036</t>
  </si>
  <si>
    <t>1014</t>
  </si>
  <si>
    <t>IT00121COC00489</t>
  </si>
  <si>
    <t>1014-CONTIPLUS LIMITED-KRONOSPAN-KALUGA-2021</t>
  </si>
  <si>
    <t>1015</t>
  </si>
  <si>
    <t>IT00121COC00492</t>
  </si>
  <si>
    <t>SLIDING GATES</t>
  </si>
  <si>
    <t>1015-EGGER--COLUMBUS-2021</t>
  </si>
  <si>
    <t>1016</t>
  </si>
  <si>
    <t>IT00121COC00490</t>
  </si>
  <si>
    <t>DOSING BUNKER</t>
  </si>
  <si>
    <t>1016-BERSEY--STARWOOD-2021</t>
  </si>
  <si>
    <t>IT00121COC00771</t>
  </si>
  <si>
    <t>DOSING BUNKER (one more)</t>
  </si>
  <si>
    <t>1017</t>
  </si>
  <si>
    <t>IT00121COC00545</t>
  </si>
  <si>
    <t>ZIEGLER</t>
  </si>
  <si>
    <t>1017-DIEFFENBACHER--ZIEGLER-2021</t>
  </si>
  <si>
    <t>1018</t>
  </si>
  <si>
    <t>IT00121COC00543</t>
  </si>
  <si>
    <t>Brugnoli/Longari</t>
  </si>
  <si>
    <t>1018-CONTIPLUS LTD MALTA-KRONOSPAN-RIGA-2021</t>
  </si>
  <si>
    <t>1019</t>
  </si>
  <si>
    <t>IT00121COC00531</t>
  </si>
  <si>
    <t>SWISS KRONO sp. z o.o.</t>
  </si>
  <si>
    <t>1019-SWISS KRONO--SWISS KRONO sp. z o.o.-2021</t>
  </si>
  <si>
    <t>1020</t>
  </si>
  <si>
    <t>IT00121COC00551</t>
  </si>
  <si>
    <t>1020-KRONOSPAN POLSKA--SZCZECINEK-2021</t>
  </si>
  <si>
    <t>1021</t>
  </si>
  <si>
    <t>IT00121COC00597</t>
  </si>
  <si>
    <t>EIREBLOCK LTD</t>
  </si>
  <si>
    <t>1021-IMAL--EIREBLOCK LTD-2021</t>
  </si>
  <si>
    <t>1022</t>
  </si>
  <si>
    <t>IT00121COC00590</t>
  </si>
  <si>
    <t>MERINO</t>
  </si>
  <si>
    <t>1022-DIEFFENBACHER-MERINO-FORMING STATION-2021</t>
  </si>
  <si>
    <t>1023</t>
  </si>
  <si>
    <t>IT00121COC00658</t>
  </si>
  <si>
    <t>1023-KRONOSPAN--LAPOVO-2021</t>
  </si>
  <si>
    <t>IT00121COC00779</t>
  </si>
  <si>
    <t>IT00121COC00893</t>
  </si>
  <si>
    <t>1024</t>
  </si>
  <si>
    <t>IT00121COC00702</t>
  </si>
  <si>
    <t>OSB LINE-RIVNE</t>
  </si>
  <si>
    <t>1024-GIM EXPORT GROUP-KRONOSPAN-OSB LINE-RIVNE-2021</t>
  </si>
  <si>
    <t>1025</t>
  </si>
  <si>
    <t>IT00121COC00691</t>
  </si>
  <si>
    <t>BOILER INFEED-BORMANN 2 - SECOND PUSH FLOOR</t>
  </si>
  <si>
    <t>1025-KRONOSPAN--SZCZECINEK-2021</t>
  </si>
  <si>
    <t>1026</t>
  </si>
  <si>
    <t>IT00121COC00694</t>
  </si>
  <si>
    <t>CMC</t>
  </si>
  <si>
    <t>1026-CMC--LOMBARDO-2021</t>
  </si>
  <si>
    <t>1027</t>
  </si>
  <si>
    <t>IT00121COC00739</t>
  </si>
  <si>
    <t>1027-SAIB S.P.A.--FOSSADELLO DI CAORSO-2021</t>
  </si>
  <si>
    <t>1028</t>
  </si>
  <si>
    <t>IT00121COC00737</t>
  </si>
  <si>
    <t>1028-PAL-GRUPO LOSAN-LOSAN CUENCA-2021</t>
  </si>
  <si>
    <t>1029</t>
  </si>
  <si>
    <t>IT00121COC00766</t>
  </si>
  <si>
    <t>ALBIOMA PELLET</t>
  </si>
  <si>
    <t>LA REUNION</t>
  </si>
  <si>
    <t>1029-SERA ENERGIES--ALBIOMA PELLET-2022</t>
  </si>
  <si>
    <t>IT00121COC00522</t>
  </si>
  <si>
    <t>SLIDING GATE</t>
  </si>
  <si>
    <t>1030</t>
  </si>
  <si>
    <t>IT00121COC00763</t>
  </si>
  <si>
    <t>KRASNI YAKOR</t>
  </si>
  <si>
    <t>BOILER BIOMASS INFEED SYSTEM TKK WCH</t>
  </si>
  <si>
    <t>1030-BERSEY--KRASNI YAKOR-2021</t>
  </si>
  <si>
    <t>1031</t>
  </si>
  <si>
    <t>IT00121COC00820</t>
  </si>
  <si>
    <t>UNTHA B7</t>
  </si>
  <si>
    <t>1031-KRONOSPAN--BURGOS-2021</t>
  </si>
  <si>
    <t>IT00121COC00821</t>
  </si>
  <si>
    <t>UNTHA C9</t>
  </si>
  <si>
    <t>1032</t>
  </si>
  <si>
    <t>IT00121COC00813</t>
  </si>
  <si>
    <t>ALIMENTAZIONE VAGLI</t>
  </si>
  <si>
    <t>1032-INSTALMEC-KRONOSPAN-ALABAMA-2021</t>
  </si>
  <si>
    <t>1034</t>
  </si>
  <si>
    <t>IT00121COC00859</t>
  </si>
  <si>
    <t>1034-EGGER--BISKUPIEC-2021</t>
  </si>
  <si>
    <t>1035</t>
  </si>
  <si>
    <t>IT00121COC00816</t>
  </si>
  <si>
    <t>CARICO/SCARICO NUOVO ESSICCATOIO</t>
  </si>
  <si>
    <t>1035-FINANCIERA MADERERA S.A. --CELLA-2021</t>
  </si>
  <si>
    <t>1036</t>
  </si>
  <si>
    <t>IT00121COC00838</t>
  </si>
  <si>
    <t>1036-PAL-NORBORD-INVERNESS OSB-2021</t>
  </si>
  <si>
    <t>1037</t>
  </si>
  <si>
    <t>IT00121COC00882</t>
  </si>
  <si>
    <t>KALUGA PB</t>
  </si>
  <si>
    <t>AREA 14 WET CHIPS</t>
  </si>
  <si>
    <t>1037-CONTIPLUS LIMITED-KRONOSPAN-KALUGA PB-2021</t>
  </si>
  <si>
    <t>IT00121COC00883</t>
  </si>
  <si>
    <t>AREA 15 FLAKERS</t>
  </si>
  <si>
    <t>1038</t>
  </si>
  <si>
    <t>IT00121COC00888</t>
  </si>
  <si>
    <t>PB820</t>
  </si>
  <si>
    <t>1038-DIEFFENBACHER-MERINO-PB820-2021</t>
  </si>
  <si>
    <t>1039</t>
  </si>
  <si>
    <t>IT00121COC00898</t>
  </si>
  <si>
    <t>1039-IMAL--MERINO-2021</t>
  </si>
  <si>
    <t>1040</t>
  </si>
  <si>
    <t>IT00121COC00934</t>
  </si>
  <si>
    <t>GAGARIN</t>
  </si>
  <si>
    <t>SOLO INGEGNERIA</t>
  </si>
  <si>
    <t>1040-DIEFFENBACHER-EGGER-GAGARIN-2021</t>
  </si>
  <si>
    <t>1041</t>
  </si>
  <si>
    <t>IT00121COC00954</t>
  </si>
  <si>
    <t>LEXINGTON</t>
  </si>
  <si>
    <t>1041-EGGER--LEXINGTON-2021</t>
  </si>
  <si>
    <t>1042</t>
  </si>
  <si>
    <t>IT00121COC00987</t>
  </si>
  <si>
    <t>1042-CMP---2022</t>
  </si>
  <si>
    <t>IT00122COC00236</t>
  </si>
  <si>
    <t>1043</t>
  </si>
  <si>
    <t>IT00121COC01005</t>
  </si>
  <si>
    <t>METRO THAI</t>
  </si>
  <si>
    <t>1043-PAL-METRO THAI-PB4-2021</t>
  </si>
  <si>
    <t>1044</t>
  </si>
  <si>
    <t>IT00121COC01016</t>
  </si>
  <si>
    <t>1044-EGGER--BISKUPIEC-2021</t>
  </si>
  <si>
    <t>1045</t>
  </si>
  <si>
    <t>IT00121COC01035</t>
  </si>
  <si>
    <t>NASTRO LT</t>
  </si>
  <si>
    <t>1045-FANTONI-NASTRO CAPANNE-OSOPPO-2021</t>
  </si>
  <si>
    <t>1046</t>
  </si>
  <si>
    <t>IT00121COC01080</t>
  </si>
  <si>
    <t>SLIDING FATE FOR tk40" FOR AG1166C-R004017</t>
  </si>
  <si>
    <t>1046-PG BISON--NEW PB PLANT-2021</t>
  </si>
  <si>
    <t>1047</t>
  </si>
  <si>
    <t>IT00121COC01068</t>
  </si>
  <si>
    <t>1047-PAL--LINEX PANNEAUX-2021</t>
  </si>
  <si>
    <t>1048</t>
  </si>
  <si>
    <t>IT00121COC01071</t>
  </si>
  <si>
    <t>GREENPLY</t>
  </si>
  <si>
    <t>BAAHU PANELS</t>
  </si>
  <si>
    <t>VENDITA TRM ITY</t>
  </si>
  <si>
    <t>1048-GREENPLY--BAAHU PANELS-2021</t>
  </si>
  <si>
    <t>VENDITA TRM CHN</t>
  </si>
  <si>
    <t>1049</t>
  </si>
  <si>
    <t>IT00121COC01077</t>
  </si>
  <si>
    <t>BERNECK</t>
  </si>
  <si>
    <t>1049-PAL--BERNECK-2021</t>
  </si>
  <si>
    <t>IT00122COC00576</t>
  </si>
  <si>
    <t>1050</t>
  </si>
  <si>
    <t>IT00121COC01110</t>
  </si>
  <si>
    <t>ASM IREN</t>
  </si>
  <si>
    <t>VERCELLI</t>
  </si>
  <si>
    <t>1050-IMAL-ASM IREN-VERCELLI-2021</t>
  </si>
  <si>
    <t>1051</t>
  </si>
  <si>
    <t>IT00121COC01072</t>
  </si>
  <si>
    <t>TABLEROS HISPANOS SLU</t>
  </si>
  <si>
    <t>AUMENTO CAPACITA</t>
  </si>
  <si>
    <t>1051-TABLEROS HISPANOS--TABLEROS HISPANOS-2022</t>
  </si>
  <si>
    <t>IT00122COC00222</t>
  </si>
  <si>
    <t>1052</t>
  </si>
  <si>
    <t>IT00122COC00134</t>
  </si>
  <si>
    <t>SAUERLAND SPANPLATTENWERK</t>
  </si>
  <si>
    <t>GOTHA</t>
  </si>
  <si>
    <t>1052-SAUERLAND SPANPLATTENWERK--GOTHA-2022</t>
  </si>
  <si>
    <t>1053</t>
  </si>
  <si>
    <t>IT00121COC01090</t>
  </si>
  <si>
    <t>SMORGON</t>
  </si>
  <si>
    <t>1053-KRONOSPAN--SMORGON-2021</t>
  </si>
  <si>
    <t>1054</t>
  </si>
  <si>
    <t>IT00121COC01119</t>
  </si>
  <si>
    <t>NEVZOROV KURGANLES</t>
  </si>
  <si>
    <t>PRE-INGEGNERIA</t>
  </si>
  <si>
    <t>1054-IMAL--NEVZOROV KURGANLES-2021</t>
  </si>
  <si>
    <t>1055</t>
  </si>
  <si>
    <t>IT00121COC01130</t>
  </si>
  <si>
    <t>UNEMSA</t>
  </si>
  <si>
    <t>1055-PAL--UNEMSA-2021</t>
  </si>
  <si>
    <t>IT00122COC00239</t>
  </si>
  <si>
    <t>Annullato</t>
  </si>
  <si>
    <t>1056</t>
  </si>
  <si>
    <t>IT00121COC01159</t>
  </si>
  <si>
    <t>SPER ENNA</t>
  </si>
  <si>
    <t>1056-SPER ENNA---2021</t>
  </si>
  <si>
    <t>1057</t>
  </si>
  <si>
    <t>IT00121COC01160</t>
  </si>
  <si>
    <t>SERATEC EOOD</t>
  </si>
  <si>
    <t>KRONOSPAN TORTOSA</t>
  </si>
  <si>
    <t>IB02</t>
  </si>
  <si>
    <t>800.01 BOILER INFEED</t>
  </si>
  <si>
    <t>1057-SERATEC EOOD-KRONOSPAN TORTOSA-IB02-2021</t>
  </si>
  <si>
    <t>IT00122COC00087</t>
  </si>
  <si>
    <t>IT00122COC00772</t>
  </si>
  <si>
    <t>UNIFICAZIONE DELLE DUE CO PRECEDENTI</t>
  </si>
  <si>
    <t>1058</t>
  </si>
  <si>
    <t>IT00121COC01081</t>
  </si>
  <si>
    <t>RUSSIAMOSKOVSKAJA OBLAST</t>
  </si>
  <si>
    <t>NUOVA CLAPPA IN SOSTITUZIONE DI AF1360C-IV010174</t>
  </si>
  <si>
    <t>1058-KRONOSPAN--RUSSIAMOSKOVSKAJA OBLAST-2021</t>
  </si>
  <si>
    <t>1059</t>
  </si>
  <si>
    <t>IT00121COC01166</t>
  </si>
  <si>
    <t>1059-TECHNIC ONE-- -2021</t>
  </si>
  <si>
    <t>1060</t>
  </si>
  <si>
    <t>IT00121COC01172</t>
  </si>
  <si>
    <t>AREA DRYER</t>
  </si>
  <si>
    <t>1060-INSTALMEC-KRONOSPAN TORTOSA-IB02-2021</t>
  </si>
  <si>
    <t>1061</t>
  </si>
  <si>
    <t>IT00122COC00018</t>
  </si>
  <si>
    <t>ZARY</t>
  </si>
  <si>
    <t>1061-SWISS KRONO--ZARY-2022</t>
  </si>
  <si>
    <t>1062</t>
  </si>
  <si>
    <t>IT00122COC00012</t>
  </si>
  <si>
    <t>COCLEA VERTICALE</t>
  </si>
  <si>
    <t>1062-DIEFFENBACHER--ZIEGLER-2022</t>
  </si>
  <si>
    <t>1063</t>
  </si>
  <si>
    <t>IT00122COC00050</t>
  </si>
  <si>
    <t>IT00122COC00169</t>
  </si>
  <si>
    <t>1064</t>
  </si>
  <si>
    <t>IT00122COC00042</t>
  </si>
  <si>
    <t>WOERGL</t>
  </si>
  <si>
    <t>1065</t>
  </si>
  <si>
    <t>IT00122COC00056</t>
  </si>
  <si>
    <t>CF2P LURE</t>
  </si>
  <si>
    <t>1065-PAL--CF2P LURE-2022</t>
  </si>
  <si>
    <t>IT00122COC00331</t>
  </si>
  <si>
    <t>1066</t>
  </si>
  <si>
    <t>IT00122COC00085</t>
  </si>
  <si>
    <t>SMARTPLY</t>
  </si>
  <si>
    <t>1066-PAL--SMARTPLY-2022</t>
  </si>
  <si>
    <t>1067</t>
  </si>
  <si>
    <t>IT00121COC01173</t>
  </si>
  <si>
    <t>600 CLEANING TOWER</t>
  </si>
  <si>
    <t>1067-INSTALMEC-KRONOSPAN TORTOSA-IB02-2022</t>
  </si>
  <si>
    <t>1068</t>
  </si>
  <si>
    <t>IT00122COC00053</t>
  </si>
  <si>
    <t>1068-KRONOSPAN--SALAS-2022</t>
  </si>
  <si>
    <t>1069</t>
  </si>
  <si>
    <t>IT00122COC00019</t>
  </si>
  <si>
    <t>WINDSOR ENGINEERING</t>
  </si>
  <si>
    <t>WAITOA</t>
  </si>
  <si>
    <t>NEW ZEALAND</t>
  </si>
  <si>
    <t>IT00122COC00380</t>
  </si>
  <si>
    <t>1070</t>
  </si>
  <si>
    <t>IT00122COC00088</t>
  </si>
  <si>
    <t>1070-KRONOSPAN--FALCO-2022</t>
  </si>
  <si>
    <t>1071</t>
  </si>
  <si>
    <t>IT00122COC00369</t>
  </si>
  <si>
    <t>FRATI</t>
  </si>
  <si>
    <t>COCLEA DOSATRICE POLVERE</t>
  </si>
  <si>
    <t>1071-CMP-FRATI-PANTEC-2022</t>
  </si>
  <si>
    <t>1072</t>
  </si>
  <si>
    <t>IT00121COC01094</t>
  </si>
  <si>
    <t>UGRA TIMBER HOLDING</t>
  </si>
  <si>
    <t>KHMAO SOVETSKY</t>
  </si>
  <si>
    <t>1072-UGRA TIMBER HOLDING--KHMAO SOVETSKY-2021</t>
  </si>
  <si>
    <t>1073</t>
  </si>
  <si>
    <t>IT00122COC00157</t>
  </si>
  <si>
    <t>1073-EGGER--RAMBERVILLERS-2022</t>
  </si>
  <si>
    <t>1074</t>
  </si>
  <si>
    <t>IT00122COC00214</t>
  </si>
  <si>
    <t>ECOPULSER</t>
  </si>
  <si>
    <t>1074-SONAE ARAUCO--OLIVEIRA DO HOSPITAL-2022</t>
  </si>
  <si>
    <t>1075</t>
  </si>
  <si>
    <t>IT00122COC00254</t>
  </si>
  <si>
    <t>RECY POLONIA</t>
  </si>
  <si>
    <t>Consegna spostata 03/2023</t>
  </si>
  <si>
    <t>1075-PAL-SWISSKRONO-RECY POLONIA-2022</t>
  </si>
  <si>
    <t>1076</t>
  </si>
  <si>
    <t>IT00122COC00241</t>
  </si>
  <si>
    <t>1076-DIEFFENBACHER--BERNECK-2022</t>
  </si>
  <si>
    <t>IT00122COC00477</t>
  </si>
  <si>
    <t>1077</t>
  </si>
  <si>
    <t>IT00122COC00250</t>
  </si>
  <si>
    <t>FINSA PADRON</t>
  </si>
  <si>
    <t>1077-PAL--FINSA PADRON-2022</t>
  </si>
  <si>
    <t>IT00122COC00265</t>
  </si>
  <si>
    <t>IT00122COC00386</t>
  </si>
  <si>
    <t>PULITORE A CATENA PER BB0553C</t>
  </si>
  <si>
    <t>1078</t>
  </si>
  <si>
    <t>IT00122COC00264</t>
  </si>
  <si>
    <t>1078-TECHNIC ONE-- -2022</t>
  </si>
  <si>
    <t>1079</t>
  </si>
  <si>
    <t>IT00122COC00263</t>
  </si>
  <si>
    <t>2 CN</t>
  </si>
  <si>
    <t>1079-DIEFFENBACHER-KRONOSPAN-BJELOVAR-2022</t>
  </si>
  <si>
    <t>1080</t>
  </si>
  <si>
    <t>IT00122COC00432</t>
  </si>
  <si>
    <t>GIM EXPORT IMPORT</t>
  </si>
  <si>
    <t>1080-GIM EXPORT IMPORT-KRONOSPAN-IB02-2022</t>
  </si>
  <si>
    <t>IT00122COC00537</t>
  </si>
  <si>
    <t>1081</t>
  </si>
  <si>
    <t>IT00122COC00122</t>
  </si>
  <si>
    <t>COMPANIA NACIONAL DE CHOCOLATES</t>
  </si>
  <si>
    <t>COLOMBIA</t>
  </si>
  <si>
    <t>1081-VYNCKE--COMPANIA NACIONAL DE CHOCOLATES-2022</t>
  </si>
  <si>
    <t>1082</t>
  </si>
  <si>
    <t>IT00122COC00355</t>
  </si>
  <si>
    <t>ALBIOMA BIOMASSE</t>
  </si>
  <si>
    <t>1083</t>
  </si>
  <si>
    <t>IT00122COC00382</t>
  </si>
  <si>
    <t>SITTA SRL</t>
  </si>
  <si>
    <t>TK PER TRUCIOLO</t>
  </si>
  <si>
    <t>1083-SITTA SRL---2022</t>
  </si>
  <si>
    <t>1084</t>
  </si>
  <si>
    <t>IT00122COC00371</t>
  </si>
  <si>
    <t>SIA GAUJAS KOKS</t>
  </si>
  <si>
    <t>1084-TRASMEC ROMANIA--SIA GAUJAS KOKS-2022</t>
  </si>
  <si>
    <t>IT00122COC00372</t>
  </si>
  <si>
    <t>1085</t>
  </si>
  <si>
    <t>IT00122COC00409</t>
  </si>
  <si>
    <t>GREENLAM</t>
  </si>
  <si>
    <t>1085-DIEFFENBACHER--GREENLAM-2022</t>
  </si>
  <si>
    <t>1086</t>
  </si>
  <si>
    <t>IT00122COC00439</t>
  </si>
  <si>
    <t>PFEIFER</t>
  </si>
  <si>
    <t>1086-PAL--PFEIFER-2022</t>
  </si>
  <si>
    <t>IT00122COC01066</t>
  </si>
  <si>
    <t>IT00122COC01087</t>
  </si>
  <si>
    <t>ORDINE ANNULLATO</t>
  </si>
  <si>
    <t>IT00123COC00281</t>
  </si>
  <si>
    <t>1087</t>
  </si>
  <si>
    <t>IT00122COC00455</t>
  </si>
  <si>
    <t>PRIMADERA FLAKES CONVEYORS</t>
  </si>
  <si>
    <t>1087-PAL--PRIMADERA FLAKES CONVEYORS-2022</t>
  </si>
  <si>
    <t>1088</t>
  </si>
  <si>
    <t>IT00122COC00476</t>
  </si>
  <si>
    <t>SIEMPELKAMP</t>
  </si>
  <si>
    <t>KOROSTEN MDF UKRAINA</t>
  </si>
  <si>
    <t>1088-SIEMPELKAMP--KOROSTEN MDF UKRAINA-2022</t>
  </si>
  <si>
    <t>1089</t>
  </si>
  <si>
    <t>IT00122COC00525</t>
  </si>
  <si>
    <t>1089-PAL--FINSA CELLA-2022</t>
  </si>
  <si>
    <t>IT00122COC00842</t>
  </si>
  <si>
    <t>1090</t>
  </si>
  <si>
    <t>IT00122COC00513</t>
  </si>
  <si>
    <t>1090-VYNCKE-KASTAMONU-KASTAMONU ITALIA-2022</t>
  </si>
  <si>
    <t>1091</t>
  </si>
  <si>
    <t>IT00122COC00569</t>
  </si>
  <si>
    <t>1091-PAL-NORBORD-COWIE-2022</t>
  </si>
  <si>
    <t>1092</t>
  </si>
  <si>
    <t>IT00122COC00587</t>
  </si>
  <si>
    <t>1092-KRONOSPAN--BURGOS-2022</t>
  </si>
  <si>
    <t>1093</t>
  </si>
  <si>
    <t>IT00122COC00607</t>
  </si>
  <si>
    <t>1093-CONTIPLUS-KRONOSPAN-BJELOVAR-2022</t>
  </si>
  <si>
    <t>1094</t>
  </si>
  <si>
    <t>IT00122COC00610</t>
  </si>
  <si>
    <t>1094-EGGER-EGGER ROMANIA SRL-RADAUTI-2022</t>
  </si>
  <si>
    <t>1095</t>
  </si>
  <si>
    <t>IT00122COC00644</t>
  </si>
  <si>
    <t>1095-IMAL--EIREBLOCK LTD-2022</t>
  </si>
  <si>
    <t>1096</t>
  </si>
  <si>
    <t>IT00122COC00691</t>
  </si>
  <si>
    <t>WSE1050 ( WATER PIT )</t>
  </si>
  <si>
    <t>1096-BORG-WSE1050-2022</t>
  </si>
  <si>
    <t>1097</t>
  </si>
  <si>
    <t>IT00122COC00664</t>
  </si>
  <si>
    <t>RION DES LANDES</t>
  </si>
  <si>
    <t>1097-EGGER--RION DES LANDES-2022</t>
  </si>
  <si>
    <t>1098</t>
  </si>
  <si>
    <t>IT00122COC00699</t>
  </si>
  <si>
    <t>IKEA</t>
  </si>
  <si>
    <t>MALACKY</t>
  </si>
  <si>
    <t>SLOVENIA</t>
  </si>
  <si>
    <t>1098-DIEFFENBACHER-IKEA-MALACKY-2022</t>
  </si>
  <si>
    <t>1099</t>
  </si>
  <si>
    <t>IT00122COC00732</t>
  </si>
  <si>
    <t>GAUJAS KOKS</t>
  </si>
  <si>
    <t>OSB CONVEYORS</t>
  </si>
  <si>
    <t>1099-SIA GAUJAS KOKS--GAUJAS KOKS-2022</t>
  </si>
  <si>
    <t>1100</t>
  </si>
  <si>
    <t>IT00122COC00735</t>
  </si>
  <si>
    <t>GREENLAM SOUTH LIMITED</t>
  </si>
  <si>
    <t>1100-GREENLAM SOUTH LIMITED--GREENLAM-2022</t>
  </si>
  <si>
    <t>IT00122COC00993</t>
  </si>
  <si>
    <t>IT00123COC00312</t>
  </si>
  <si>
    <t>1101</t>
  </si>
  <si>
    <t>IT00122COC00769</t>
  </si>
  <si>
    <t>02/12/022</t>
  </si>
  <si>
    <t>1101-PG BISON--PIET RETIEF-2022</t>
  </si>
  <si>
    <t>1102</t>
  </si>
  <si>
    <t>IT00122COC00743</t>
  </si>
  <si>
    <t>SANEM PB</t>
  </si>
  <si>
    <t>1102-GIM EXPORT-KRONOSPAN -SANEM PB-2022</t>
  </si>
  <si>
    <t>1103</t>
  </si>
  <si>
    <t>IT00122COC00768</t>
  </si>
  <si>
    <t>N°2 SERRANDE PNEUMATICHE</t>
  </si>
  <si>
    <t>1103-EGGER--HEXHAM-2022</t>
  </si>
  <si>
    <t>IT00122COC00908</t>
  </si>
  <si>
    <t>N°1 SERRANDA PNEUMATICA</t>
  </si>
  <si>
    <t>1104</t>
  </si>
  <si>
    <t>KIM TIN</t>
  </si>
  <si>
    <t>MDF 2</t>
  </si>
  <si>
    <t>PROGETTO ACQUISITO DA TRM CHN</t>
  </si>
  <si>
    <t>1104-KIM TIN--MDF 2-2022</t>
  </si>
  <si>
    <t>1105</t>
  </si>
  <si>
    <t>IT00122COC00825</t>
  </si>
  <si>
    <t>DURANGO</t>
  </si>
  <si>
    <t>1105-PAL--DURANGO-2022</t>
  </si>
  <si>
    <t>1106</t>
  </si>
  <si>
    <t>IT00122COC00855</t>
  </si>
  <si>
    <t>SCARICO CIPPATORE</t>
  </si>
  <si>
    <t>1106-IMAL-GREENLAM-GREENLAM-2022</t>
  </si>
  <si>
    <t>1107</t>
  </si>
  <si>
    <t>IT00122COC00903</t>
  </si>
  <si>
    <t>CITY PB PLANT</t>
  </si>
  <si>
    <t>PB PLANT</t>
  </si>
  <si>
    <t>1107-GIM EXPORT-KASTAMONU-CITY PB PLANT-2022</t>
  </si>
  <si>
    <t>1108</t>
  </si>
  <si>
    <t>IT00122COC01025</t>
  </si>
  <si>
    <t>KT4</t>
  </si>
  <si>
    <t>1108-EGGER--BISKUPIEC-2022</t>
  </si>
  <si>
    <t>1109</t>
  </si>
  <si>
    <t>IT00122COC00910</t>
  </si>
  <si>
    <t>GEBZE</t>
  </si>
  <si>
    <t>1109-GIM EXPORT-KASTAMONU-GEBZE-2022</t>
  </si>
  <si>
    <t>1110</t>
  </si>
  <si>
    <t>IT00122COC00899</t>
  </si>
  <si>
    <t>DALKIA SW SULLY</t>
  </si>
  <si>
    <t>1110-VYNCKE--DALKIA SW SULLY-2022</t>
  </si>
  <si>
    <t>IT00122COC00973</t>
  </si>
  <si>
    <t>COMPLEMENTI FONDO MOBILE</t>
  </si>
  <si>
    <t>IT00122COC01030</t>
  </si>
  <si>
    <t>SUPERVISORE PER FM</t>
  </si>
  <si>
    <t>IT00122COC01031</t>
  </si>
  <si>
    <t>TRAMOGGIA COLLEGAM E GAMBE SOSTEGNO</t>
  </si>
  <si>
    <t>IT00124COC00227</t>
  </si>
  <si>
    <t>COMPONENTI FIREFLY PER UPGRADE ATEX</t>
  </si>
  <si>
    <t>1111</t>
  </si>
  <si>
    <t>IT00122COC00904</t>
  </si>
  <si>
    <t>COCLEE REVERSIBLI+SERRANDE</t>
  </si>
  <si>
    <t>1111-IMAL-IMAL-ARCHIBLOCK-2022</t>
  </si>
  <si>
    <t>1112</t>
  </si>
  <si>
    <t>IT00122COC00909</t>
  </si>
  <si>
    <t>BULGARIA DRY</t>
  </si>
  <si>
    <t>1112-GIM EXPORT-KASTAMONU-BULGARIA DRY-2022</t>
  </si>
  <si>
    <t>1113</t>
  </si>
  <si>
    <t>1113-BA RIA SERECE--SOYA MEAL-2023</t>
  </si>
  <si>
    <t>1114</t>
  </si>
  <si>
    <t>IT00122COC00971</t>
  </si>
  <si>
    <t>CONDAT</t>
  </si>
  <si>
    <t>1114-SERA ENERGIES--CONDAT-2022</t>
  </si>
  <si>
    <t>1115</t>
  </si>
  <si>
    <t>IT00122COC00985</t>
  </si>
  <si>
    <t>BORG CROSSMULLER</t>
  </si>
  <si>
    <t>1115-BORG CROSSMULLER--OBERON-2022</t>
  </si>
  <si>
    <t>IT00122COC00986</t>
  </si>
  <si>
    <t>ST MARY'S</t>
  </si>
  <si>
    <t>IT00123COC00048</t>
  </si>
  <si>
    <t>RADDOPPIO MOVING FLOOR</t>
  </si>
  <si>
    <t>1116</t>
  </si>
  <si>
    <t>IT00122COC00997</t>
  </si>
  <si>
    <t>BRILON</t>
  </si>
  <si>
    <t>PROJECT RECY</t>
  </si>
  <si>
    <t>1116-EGGER--BRILON-2022</t>
  </si>
  <si>
    <t>1117</t>
  </si>
  <si>
    <t>IT00122COC01011</t>
  </si>
  <si>
    <t>ALBIOMA LE GOL</t>
  </si>
  <si>
    <t>1117-SERA ENERGIES--ALBIOMA LE GOL-2022</t>
  </si>
  <si>
    <t>IT00122COC01012</t>
  </si>
  <si>
    <t>1118</t>
  </si>
  <si>
    <t>IT00122COC01058</t>
  </si>
  <si>
    <t>GREENPANEL</t>
  </si>
  <si>
    <t>1118-DIEFFENBACHER--GREENPANEL-2022</t>
  </si>
  <si>
    <t>1119</t>
  </si>
  <si>
    <t>IT00122COC01077</t>
  </si>
  <si>
    <t>HEILIGENGRABE</t>
  </si>
  <si>
    <t>1119-PAL-SWISSKRONO-HEILIGENGRABE-2022</t>
  </si>
  <si>
    <t>1120</t>
  </si>
  <si>
    <t>IT00122COC01111</t>
  </si>
  <si>
    <t>AGRIPLANT</t>
  </si>
  <si>
    <t>31/06/23</t>
  </si>
  <si>
    <t>1120-PAL--AGRIPLANT-2022</t>
  </si>
  <si>
    <t>1121</t>
  </si>
  <si>
    <t>IT00122COC01153</t>
  </si>
  <si>
    <t>UNILIN</t>
  </si>
  <si>
    <t>USSEL</t>
  </si>
  <si>
    <t>1121-VYNCKE-UNILIN-USSEL-2022</t>
  </si>
  <si>
    <t>IT00123COC00298</t>
  </si>
  <si>
    <t>1122</t>
  </si>
  <si>
    <t>IT00122COC01144</t>
  </si>
  <si>
    <t>1122-KRONOSPAN--FALCO-2022</t>
  </si>
  <si>
    <t>1123</t>
  </si>
  <si>
    <t>IT00122COC01172</t>
  </si>
  <si>
    <t>UNIBOARD</t>
  </si>
  <si>
    <t>CANADA</t>
  </si>
  <si>
    <t>1123-DIEFFENBACHER--UNIBOARD-2022</t>
  </si>
  <si>
    <t>IT00123COC00820</t>
  </si>
  <si>
    <t>1124</t>
  </si>
  <si>
    <t>IT00122COC01186</t>
  </si>
  <si>
    <t>ISOTEX</t>
  </si>
  <si>
    <t>NUOVA LINEA DI SELEZIONE</t>
  </si>
  <si>
    <t>1124-ISOTEX--ISOTEX-2022</t>
  </si>
  <si>
    <t>1125</t>
  </si>
  <si>
    <t>IT00123COC00008</t>
  </si>
  <si>
    <t>1125-KRONOSPAN--LAPOVO-2023</t>
  </si>
  <si>
    <t>1126</t>
  </si>
  <si>
    <t>IT00123COC00031</t>
  </si>
  <si>
    <t>NUOVO SEPARATORE BALISTICO</t>
  </si>
  <si>
    <t>1126-SAIB S.P.A.-SAIB-FOSSADELLO DI CAORSO-2023</t>
  </si>
  <si>
    <t>IT00123COC00415</t>
  </si>
  <si>
    <t>COCLEA AGGIUNTIVA</t>
  </si>
  <si>
    <t>1127</t>
  </si>
  <si>
    <t>IT00123COC00035</t>
  </si>
  <si>
    <t>BIOSYLVA</t>
  </si>
  <si>
    <t>BIOSYL I</t>
  </si>
  <si>
    <t>1128</t>
  </si>
  <si>
    <t>IT00123COC00007</t>
  </si>
  <si>
    <t>COCLEA INIETTRICE</t>
  </si>
  <si>
    <t>1128-KRONOSPAN POLSKA--SZCZECINEK-2023</t>
  </si>
  <si>
    <t>1129</t>
  </si>
  <si>
    <t>IT00123COC00036</t>
  </si>
  <si>
    <t>1129-PG BISON--PIET RETIEF-2023</t>
  </si>
  <si>
    <t>IT00123COC00141</t>
  </si>
  <si>
    <t>1130</t>
  </si>
  <si>
    <t>IT00123COC00309</t>
  </si>
  <si>
    <t>CARICO SFIBRATORE</t>
  </si>
  <si>
    <t>IT00123COC00078</t>
  </si>
  <si>
    <t>N°2 COCLEE, MTR FORNITI DA CLIENTE</t>
  </si>
  <si>
    <t>1131</t>
  </si>
  <si>
    <t>IT00123COC00115</t>
  </si>
  <si>
    <t>1131-TECHNIC ONE-- -2023</t>
  </si>
  <si>
    <t>1132</t>
  </si>
  <si>
    <t>IT00123COC00122</t>
  </si>
  <si>
    <t>STEVE&amp;SONS</t>
  </si>
  <si>
    <t>1132-PAL--STEVE&amp;SONS-2023</t>
  </si>
  <si>
    <t>1133</t>
  </si>
  <si>
    <t>IT00123COC00109</t>
  </si>
  <si>
    <t>N° 4 SERRANDE PNEUMATICHE</t>
  </si>
  <si>
    <t>1133-PAL--GREENLAM-2023</t>
  </si>
  <si>
    <t>1134</t>
  </si>
  <si>
    <t>IT00123COC00117</t>
  </si>
  <si>
    <t>STABOO</t>
  </si>
  <si>
    <t>1134-PAL--STABOO-2023</t>
  </si>
  <si>
    <t>IT00123COC00671</t>
  </si>
  <si>
    <t>1135</t>
  </si>
  <si>
    <t>IT00123COC00124</t>
  </si>
  <si>
    <t>IB02 - TORTOSA</t>
  </si>
  <si>
    <t>COCLEE RECUPERO THOR</t>
  </si>
  <si>
    <t>1135-GIM EXPORT-KRONOSPAN-IB02 - TORTOSA-2023</t>
  </si>
  <si>
    <t>1136</t>
  </si>
  <si>
    <t>IT00123COC00139</t>
  </si>
  <si>
    <t>UNIBOARD FORMING</t>
  </si>
  <si>
    <t>1136-DIEFFENBACHER--UNIBOARD FORMING-2023</t>
  </si>
  <si>
    <t>1137</t>
  </si>
  <si>
    <t>IT00123COC00154</t>
  </si>
  <si>
    <t xml:space="preserve">ARAUCO </t>
  </si>
  <si>
    <t>ARAUCO TENO</t>
  </si>
  <si>
    <t>1137-PAL-ARAUCO -ARAUCO TENO-2023</t>
  </si>
  <si>
    <t>1138</t>
  </si>
  <si>
    <t>IT00123COC00165</t>
  </si>
  <si>
    <t>N°2 TKK</t>
  </si>
  <si>
    <t>1138-IMAL-EGGER-WISMAR-2023</t>
  </si>
  <si>
    <t>1139</t>
  </si>
  <si>
    <t>IT00123COC00178</t>
  </si>
  <si>
    <t>COTOPAXI</t>
  </si>
  <si>
    <t>1139-IMAL-COTOPAXI-COTOPAXI-2023</t>
  </si>
  <si>
    <t>1140</t>
  </si>
  <si>
    <t>IT00123COC00226</t>
  </si>
  <si>
    <t xml:space="preserve">SONAE </t>
  </si>
  <si>
    <t>OLIVEIRA DE HOSPITAL</t>
  </si>
  <si>
    <t>N°1 TK PNZ + N°1 SLIDING GATE</t>
  </si>
  <si>
    <t>1140-SONAE -ARAUCO -OLIVEIRA DE HOSPITAL-2023</t>
  </si>
  <si>
    <t>IT00123COC00354</t>
  </si>
  <si>
    <t>RECY AREA</t>
  </si>
  <si>
    <t>1141</t>
  </si>
  <si>
    <t>IT00123COC00207</t>
  </si>
  <si>
    <t>Lorusso</t>
  </si>
  <si>
    <t>1141-PAL--PFLEIDERER-2023</t>
  </si>
  <si>
    <t>1142</t>
  </si>
  <si>
    <t>IT00123COC00310</t>
  </si>
  <si>
    <t>BURGUNDY</t>
  </si>
  <si>
    <t>1142-DIEFFENBACHER--BURGUNDY-2023</t>
  </si>
  <si>
    <t>OC-D-423055.00016.300</t>
  </si>
  <si>
    <t>IT00123COC00813</t>
  </si>
  <si>
    <t>1143</t>
  </si>
  <si>
    <t>IT00123COC00338</t>
  </si>
  <si>
    <t>1143-MION&amp;MOSOLE---</t>
  </si>
  <si>
    <t>1144</t>
  </si>
  <si>
    <t>IT00123COC00367</t>
  </si>
  <si>
    <t>ECOREFIBRE</t>
  </si>
  <si>
    <t>N° 3 MANUAL FLAPS</t>
  </si>
  <si>
    <t>1144-DIEFFENBACHER--ECOREFIBRE-2023</t>
  </si>
  <si>
    <t>1145</t>
  </si>
  <si>
    <t>IT00123COC00344</t>
  </si>
  <si>
    <t>1145-DIEFFENBACHER--ZIEGLER-2023</t>
  </si>
  <si>
    <t>1146</t>
  </si>
  <si>
    <t>IT00123COC00387</t>
  </si>
  <si>
    <t>ANTALIA</t>
  </si>
  <si>
    <t>SCREW INOX</t>
  </si>
  <si>
    <t>1146-AGT-AGT-ANTALIA-2023</t>
  </si>
  <si>
    <t>1147</t>
  </si>
  <si>
    <t>IT00123COC00386</t>
  </si>
  <si>
    <t>KRONOSPAN S.L.</t>
  </si>
  <si>
    <t>TORTOSA</t>
  </si>
  <si>
    <t>N°1 TK15 AREA 1000</t>
  </si>
  <si>
    <t>1147-KRONOSPAN S.L.-KRONOSPAN-TORTOSA-2023</t>
  </si>
  <si>
    <t>1148</t>
  </si>
  <si>
    <t>IT00123COC00403</t>
  </si>
  <si>
    <t>LINARES</t>
  </si>
  <si>
    <t>N°1 TK21N</t>
  </si>
  <si>
    <t>1148-PAL-SONAE ARAUCO-LINARES-2023</t>
  </si>
  <si>
    <t>1149</t>
  </si>
  <si>
    <t>IT00123COC00414</t>
  </si>
  <si>
    <t>ECOSTAR</t>
  </si>
  <si>
    <t>ALLEVI</t>
  </si>
  <si>
    <t>FORSU</t>
  </si>
  <si>
    <t>1149-ECOSTAR-ALLEVI-FORSU-2023</t>
  </si>
  <si>
    <t>IT00123COC00589</t>
  </si>
  <si>
    <t>TN1200 LATER</t>
  </si>
  <si>
    <t>1150</t>
  </si>
  <si>
    <t>IT00123COC00444</t>
  </si>
  <si>
    <t>ALFAWOOD</t>
  </si>
  <si>
    <t>NEVROKOPI</t>
  </si>
  <si>
    <t>GREECE</t>
  </si>
  <si>
    <t>1151</t>
  </si>
  <si>
    <t>OC23CS-0106018</t>
  </si>
  <si>
    <t>BASUKI PRATAMA ENG.</t>
  </si>
  <si>
    <t>MFS AND HOPPER FOR BOILER FEEDING</t>
  </si>
  <si>
    <t>INDONESIA</t>
  </si>
  <si>
    <t>1151-TRASMEC CHINA-BASUKI PRATAMA ENG.--2023</t>
  </si>
  <si>
    <t>IT00123COC00534</t>
  </si>
  <si>
    <t>1152</t>
  </si>
  <si>
    <t>IT00123COC00466</t>
  </si>
  <si>
    <t>RICAMBIO ALBERI BUNKER DOSATORE</t>
  </si>
  <si>
    <t>1152-SONAE ARAUCO--OLIVEIRA DE HOSPITAL-2023</t>
  </si>
  <si>
    <t>1153</t>
  </si>
  <si>
    <t>MDF 2.1</t>
  </si>
  <si>
    <t>CHIPS HANDLING</t>
  </si>
  <si>
    <t>TRASMEC INDIA</t>
  </si>
  <si>
    <t>1153-GREENPANEL--MDF 2.1-2023</t>
  </si>
  <si>
    <t>CHIPS HANDLING TM 07.1</t>
  </si>
  <si>
    <t>1154</t>
  </si>
  <si>
    <t>IT00123COC00499</t>
  </si>
  <si>
    <t>1154-DIEFFENBACHER--ZIEGLER-2023</t>
  </si>
  <si>
    <t>1155</t>
  </si>
  <si>
    <t>IT00123COC00515</t>
  </si>
  <si>
    <t>LE GOL BIOMASSE LOCALE</t>
  </si>
  <si>
    <t>1155-SERA ENERGIES--LE GOL BIOMASSE LOCALE-2023</t>
  </si>
  <si>
    <t>1156</t>
  </si>
  <si>
    <t>IT00123COC00516</t>
  </si>
  <si>
    <t>TK FOR FLAKER AREA</t>
  </si>
  <si>
    <t>1156-KASTAMONU -KASTAMONU -KASTAMONU ITALIA-2023</t>
  </si>
  <si>
    <t>1157</t>
  </si>
  <si>
    <t>IT00123COC00526</t>
  </si>
  <si>
    <t>PRIMADERA</t>
  </si>
  <si>
    <t>1157-IMAL-PRIMADERA-PRIMADERA-2023</t>
  </si>
  <si>
    <t>1158</t>
  </si>
  <si>
    <t>IT00123COC00527</t>
  </si>
  <si>
    <t>BALTIC BLOCK</t>
  </si>
  <si>
    <t>1159</t>
  </si>
  <si>
    <t>IT00123COC00528</t>
  </si>
  <si>
    <t>PIVETEAU BOIS</t>
  </si>
  <si>
    <t>PIVETEAU</t>
  </si>
  <si>
    <t>1159-PIVETEAU BOIS--PIVETEAU-2023</t>
  </si>
  <si>
    <t>1160</t>
  </si>
  <si>
    <t>IT00123COC00537</t>
  </si>
  <si>
    <t>RECY PROJECT</t>
  </si>
  <si>
    <t>1160-EGGER--BRILON-2023</t>
  </si>
  <si>
    <t>1161</t>
  </si>
  <si>
    <t>IT00123COC00579</t>
  </si>
  <si>
    <t>1161-GIM EXPORT-KRONOSPAN-IB02 - TORTOSA-2023</t>
  </si>
  <si>
    <t>1162</t>
  </si>
  <si>
    <t>IT00123COC00565</t>
  </si>
  <si>
    <t>1162-DIEFFENBACHER--LINEX PANNEAUX-2023</t>
  </si>
  <si>
    <t>1163</t>
  </si>
  <si>
    <t>IT00123COC00587</t>
  </si>
  <si>
    <t>WESER MDF</t>
  </si>
  <si>
    <t>1163-DIEFFENBACHER--WESER MDF-2023</t>
  </si>
  <si>
    <t>1164</t>
  </si>
  <si>
    <t>IT00123COC00523</t>
  </si>
  <si>
    <t>BUNGE GHANA</t>
  </si>
  <si>
    <t>GHANA</t>
  </si>
  <si>
    <t>TM CHINA</t>
  </si>
  <si>
    <t>1164-VYNCKE--BUNGE GHANA-2023</t>
  </si>
  <si>
    <t>1165</t>
  </si>
  <si>
    <t>IT00123COC00629</t>
  </si>
  <si>
    <t>TK PER CARICO ESSICCATOIO</t>
  </si>
  <si>
    <t>1165-INSTALMEC--RIGA-2023</t>
  </si>
  <si>
    <t>1166</t>
  </si>
  <si>
    <t>IT00123COC00621</t>
  </si>
  <si>
    <t>SERRANDA PNEUMATICA</t>
  </si>
  <si>
    <t>1166-VYNCKE--KASTAMONU ITALIA-2023</t>
  </si>
  <si>
    <t>1167</t>
  </si>
  <si>
    <t>IT00123COC00664</t>
  </si>
  <si>
    <t>COCLEA INOX</t>
  </si>
  <si>
    <t>1167-CMP-PANTEC-PANTEC-2023</t>
  </si>
  <si>
    <t>1168</t>
  </si>
  <si>
    <t>IT00123COC00649</t>
  </si>
  <si>
    <t>CEATEC Engineering GmbH</t>
  </si>
  <si>
    <t xml:space="preserve">RIGA PB </t>
  </si>
  <si>
    <t>1168-CEATEC Engineering GmbH--RIGA PB -2023</t>
  </si>
  <si>
    <t>1169</t>
  </si>
  <si>
    <t>IT00123COC00691</t>
  </si>
  <si>
    <t>MACCHINE AGGIUNTIVE</t>
  </si>
  <si>
    <t>1169-GIM EXPORT-KRONOSPAN-SANEM PB-2023</t>
  </si>
  <si>
    <t>1170</t>
  </si>
  <si>
    <t>IT00123COC00673</t>
  </si>
  <si>
    <t>CALCE CASERTA</t>
  </si>
  <si>
    <t>TK PER MACINAZIONE LEGNO RICICLATO</t>
  </si>
  <si>
    <t>1170-PAL--CALCE CASERTA-2023</t>
  </si>
  <si>
    <t>1171</t>
  </si>
  <si>
    <t>IT00123COC00687</t>
  </si>
  <si>
    <t>NASTRI LATER</t>
  </si>
  <si>
    <t>1171-PAL-SWISSKRONO-ZARY-2023</t>
  </si>
  <si>
    <t>1172</t>
  </si>
  <si>
    <t>IT00123COC00660</t>
  </si>
  <si>
    <t>1172-PAL-SONAE ARAUCO-LINARES-2023</t>
  </si>
  <si>
    <t>1173</t>
  </si>
  <si>
    <t>IT00123COC00731</t>
  </si>
  <si>
    <t>TABLEROS DE AGLOMERADO S.A.</t>
  </si>
  <si>
    <t>VILLA NUEVA</t>
  </si>
  <si>
    <t>NUOVO MULINO MEIER</t>
  </si>
  <si>
    <t>GUATEMALA</t>
  </si>
  <si>
    <t>1173-TABLEROS DE AGLOMERADO S.A.--VILLA NUEVA-2023</t>
  </si>
  <si>
    <t>1174</t>
  </si>
  <si>
    <t>IT00123COC00898</t>
  </si>
  <si>
    <t>BIOMASS HANDLING</t>
  </si>
  <si>
    <t>1174-PAL--LINEX PANNEAUX-2023</t>
  </si>
  <si>
    <t>IT00123COC00979</t>
  </si>
  <si>
    <t>CARICATORE THOR</t>
  </si>
  <si>
    <t>IT00124COC00211</t>
  </si>
  <si>
    <t>SERRANDA MOTORIZZATA</t>
  </si>
  <si>
    <t>1175</t>
  </si>
  <si>
    <t>MFS , HOPPER  &amp; TKK FOR BOILER FEEDING</t>
  </si>
  <si>
    <t>1175-TRASMEC CHINA-BASUKI PRATAMA ENG.--2023</t>
  </si>
  <si>
    <t>1176</t>
  </si>
  <si>
    <t>IT00123COC00782</t>
  </si>
  <si>
    <t>1176-TECHNIC ONE---2023</t>
  </si>
  <si>
    <t>1177</t>
  </si>
  <si>
    <t>IT00123COC00812</t>
  </si>
  <si>
    <t>1177-EGGER--WOERGL-2023</t>
  </si>
  <si>
    <t>1178</t>
  </si>
  <si>
    <t>IT00124COC00012</t>
  </si>
  <si>
    <t>DALKIA GUYOT FRANCE</t>
  </si>
  <si>
    <t>1178-SERA ENERGIES--DALKIA GUYOT FRANCE-2024</t>
  </si>
  <si>
    <t>1179</t>
  </si>
  <si>
    <t>IT00123COC00846</t>
  </si>
  <si>
    <t>EIREBLOC LTD</t>
  </si>
  <si>
    <t>1179-EIREBLOC LTD--EIREBLOC LTD-2023</t>
  </si>
  <si>
    <t>1180</t>
  </si>
  <si>
    <t>IT00123COC00882</t>
  </si>
  <si>
    <t>1180-KRONOSPAN--TORTOSA-2023</t>
  </si>
  <si>
    <t>1181</t>
  </si>
  <si>
    <t>IT00123COC00896</t>
  </si>
  <si>
    <t>DRYER DISCHARGE</t>
  </si>
  <si>
    <t>1181-IMAL--LINEX PANNEAUX-2023</t>
  </si>
  <si>
    <t>1182</t>
  </si>
  <si>
    <t>IT00123COC00895</t>
  </si>
  <si>
    <t>ELKA</t>
  </si>
  <si>
    <t>1182-IMAL--ELKA-2023</t>
  </si>
  <si>
    <t xml:space="preserve">IT00124COC00134 </t>
  </si>
  <si>
    <t xml:space="preserve">IT00124COC00709 </t>
  </si>
  <si>
    <t>1183</t>
  </si>
  <si>
    <t>IT00123COC01016</t>
  </si>
  <si>
    <t>XILOPAN</t>
  </si>
  <si>
    <t>CIGOGNOLA</t>
  </si>
  <si>
    <t>INSTALLAZIONE NUOVO MULINO + BY PASS</t>
  </si>
  <si>
    <t>1183-XILOPAN--CIGOGNOLA-2023</t>
  </si>
  <si>
    <t>IT00124COC00855</t>
  </si>
  <si>
    <t>INSTALLAZIONE COCLEA CICLONE-TK</t>
  </si>
  <si>
    <t>1184</t>
  </si>
  <si>
    <t>IT00123COC00974</t>
  </si>
  <si>
    <t>1184-INSTALMEC-KRONOSPAN-SANEM-2023</t>
  </si>
  <si>
    <t>1185</t>
  </si>
  <si>
    <t>IT00123COC01017</t>
  </si>
  <si>
    <t>TK 35" HP</t>
  </si>
  <si>
    <t>1185-EGGER-EGGER-BARONY-2023</t>
  </si>
  <si>
    <t>1186</t>
  </si>
  <si>
    <t>IT00123COC01018</t>
  </si>
  <si>
    <t>COCLEA REVERSIBILE</t>
  </si>
  <si>
    <t>1186-DIEFFENBACHER--BURGUNDY-2024</t>
  </si>
  <si>
    <t>IT00124COC00095</t>
  </si>
  <si>
    <t>CLAPPA + TK11 + COCLEA</t>
  </si>
  <si>
    <t>1187</t>
  </si>
  <si>
    <t>IT00123COC01020</t>
  </si>
  <si>
    <t xml:space="preserve">CEATEC </t>
  </si>
  <si>
    <t>MODIFICA POS. 600.350</t>
  </si>
  <si>
    <t>1187-CEATEC -KRONOSPAN -SANEM PB-2023</t>
  </si>
  <si>
    <t>1188</t>
  </si>
  <si>
    <t>IT00123COC01034</t>
  </si>
  <si>
    <t>MEPPEN</t>
  </si>
  <si>
    <t>1188-DIEFFENBACHER-SONAE ARAUCO-MEPPEN-2023</t>
  </si>
  <si>
    <t>1189</t>
  </si>
  <si>
    <t>IT00123COC01045</t>
  </si>
  <si>
    <t>GUTEX</t>
  </si>
  <si>
    <t>1189-DIEFFENBACHER--GUTEX-2023</t>
  </si>
  <si>
    <t>1190</t>
  </si>
  <si>
    <t>TM 07-04-09-2023-Aarati-R0</t>
  </si>
  <si>
    <t>AARTI ALCHEMIE FINECHEM PVT. LTD</t>
  </si>
  <si>
    <t>FHS</t>
  </si>
  <si>
    <t>TRM INDIA</t>
  </si>
  <si>
    <t>1190-AARTI ALCHEMIE FINECHEM PVT. LTD--FHS-2023</t>
  </si>
  <si>
    <t>1191</t>
  </si>
  <si>
    <t>IT00124COC00049</t>
  </si>
  <si>
    <t>1191-KASTAMONU --SAMSUN-2024</t>
  </si>
  <si>
    <t>1192</t>
  </si>
  <si>
    <t>IT00124COC00013</t>
  </si>
  <si>
    <t>STEEL PLATE CONVEYOR 1200</t>
  </si>
  <si>
    <t>1192-GIM EXPORT-AGT--2024</t>
  </si>
  <si>
    <t>1193</t>
  </si>
  <si>
    <t>OFF23CS-0037027</t>
  </si>
  <si>
    <t>BARIA SERECE</t>
  </si>
  <si>
    <t>PORT EXPANSION</t>
  </si>
  <si>
    <t>CINA</t>
  </si>
  <si>
    <t>Chen</t>
  </si>
  <si>
    <t>1193-TRASMEC CHINA-BARIA SERECE-PORT EXPANSION-2024</t>
  </si>
  <si>
    <t>ADDITIONAL FLAP</t>
  </si>
  <si>
    <t>1194</t>
  </si>
  <si>
    <t>IT00124COC00078</t>
  </si>
  <si>
    <t>1194-GIM EXPORT-KASTAMONU-GEBZE-2024</t>
  </si>
  <si>
    <t>1195</t>
  </si>
  <si>
    <t>IT00124COC00083</t>
  </si>
  <si>
    <t>DALKIA SOLVAY SYLVIA</t>
  </si>
  <si>
    <t>1196</t>
  </si>
  <si>
    <t>IT00124COC00077</t>
  </si>
  <si>
    <t>BALIKESIR</t>
  </si>
  <si>
    <t>1196-GIM EXPORT-KASTAMONU-BALIKESIR-2024</t>
  </si>
  <si>
    <t>1197</t>
  </si>
  <si>
    <t>IT00124COC00093</t>
  </si>
  <si>
    <t>1197-EGGER--RAMBERVILLERS-2024</t>
  </si>
  <si>
    <t>1198</t>
  </si>
  <si>
    <t>IT00124COC00116</t>
  </si>
  <si>
    <t>INDUSTRIA COMPENSATI COLORNO</t>
  </si>
  <si>
    <t>1198-INDUSTRIA COMPENSATI COLORNO--INDUSTRIA COMPENSATI COLORNO-2024</t>
  </si>
  <si>
    <t>1199</t>
  </si>
  <si>
    <t>IT00124COC00115</t>
  </si>
  <si>
    <t>SILOS 1000.86-1000.87 - SCREW FOR BY PASS</t>
  </si>
  <si>
    <t>1199-KRONOSPAN -KRONOSPAN -TORTOSA-2024</t>
  </si>
  <si>
    <t>1200</t>
  </si>
  <si>
    <t>IT00124COC00135</t>
  </si>
  <si>
    <t>TOKYO BOARD</t>
  </si>
  <si>
    <t>1200-IMAL--TOKYO BOARD-2024</t>
  </si>
  <si>
    <t>IT00124COC00137</t>
  </si>
  <si>
    <t>ALBERI COCLEE ESSICCATOIO</t>
  </si>
  <si>
    <t>1201</t>
  </si>
  <si>
    <t>OTVC23CS-0118078</t>
  </si>
  <si>
    <t>ECL</t>
  </si>
  <si>
    <t xml:space="preserve">PB THAI </t>
  </si>
  <si>
    <t>1202</t>
  </si>
  <si>
    <t>TM 32- 09.02.2024- AB MAURI -R3</t>
  </si>
  <si>
    <t>AB MAURI</t>
  </si>
  <si>
    <t>AB MAURI PILIBHIT</t>
  </si>
  <si>
    <t>1203</t>
  </si>
  <si>
    <t>TM 18- 30.01.2024- Aarati-ASH hand – R2</t>
  </si>
  <si>
    <t xml:space="preserve">FLY AHS </t>
  </si>
  <si>
    <t>AHS FOR FLY ASH</t>
  </si>
  <si>
    <t>??????</t>
  </si>
  <si>
    <t>1203-AARTI ALCHEMIE FINECHEM PVT. LTD--FLY AHS -2024</t>
  </si>
  <si>
    <t>1204</t>
  </si>
  <si>
    <t>IT00124COC00171</t>
  </si>
  <si>
    <t>NOVOPAN DEL ECUADOR S.A</t>
  </si>
  <si>
    <t>ALIMENTACION CALDERA</t>
  </si>
  <si>
    <t>1204-NOVOPAN DEL ECUADOR S.A--NOVOPAN-2024</t>
  </si>
  <si>
    <t>1205</t>
  </si>
  <si>
    <t>IT00124COC00187</t>
  </si>
  <si>
    <t>SCREW FOR MICROCHIPS</t>
  </si>
  <si>
    <t>1205-KRONOSPAN--KRONOSPAN TORTOSA-2024</t>
  </si>
  <si>
    <t>1206</t>
  </si>
  <si>
    <t>TIN0323</t>
  </si>
  <si>
    <t xml:space="preserve">GREENPANEL SRIKALAHASTI </t>
  </si>
  <si>
    <t>MDF 2.0 - WASHING BY PASS</t>
  </si>
  <si>
    <t>1206-GREENPANEL--MDF 2.0 - WASHING BY PASS-2024</t>
  </si>
  <si>
    <t>1207</t>
  </si>
  <si>
    <t>IT00124COC00183</t>
  </si>
  <si>
    <t>ESPANSIONE 2024  LINEA SECCO PB</t>
  </si>
  <si>
    <t>1207-SAIB S.P.A.---2024</t>
  </si>
  <si>
    <t>IT00124COC00271</t>
  </si>
  <si>
    <t>IT00124COC00818</t>
  </si>
  <si>
    <t>IT00124COC00888</t>
  </si>
  <si>
    <t>MODIFICA DRY AREA 2025</t>
  </si>
  <si>
    <t>1208</t>
  </si>
  <si>
    <t>IT00124COC00192</t>
  </si>
  <si>
    <t>NDKW</t>
  </si>
  <si>
    <t>N°1 COCLEA CENERI</t>
  </si>
  <si>
    <t>1208-VYNCKE-NDKW--2024</t>
  </si>
  <si>
    <t>1209</t>
  </si>
  <si>
    <t>IT00124COC00221</t>
  </si>
  <si>
    <t>1209-CMP-BIPAN--2024</t>
  </si>
  <si>
    <t>1210</t>
  </si>
  <si>
    <t>IT00124COC00218</t>
  </si>
  <si>
    <t>COCLEA ATC - COSTRUZIONE TRM ITY</t>
  </si>
  <si>
    <t>1210 - TRM ITY - Vyncke - 1.10641 - Finsa Padron HG Extension (ONLY ENGINEERING FOR TRM CHN) - 2024</t>
  </si>
  <si>
    <t>1211</t>
  </si>
  <si>
    <t>IT00124COC00245</t>
  </si>
  <si>
    <t>KRONOSPAN BERSEY</t>
  </si>
  <si>
    <t>1211-GIM EXPORT-BERSEY-KRONOSPAN BERSEY-2024</t>
  </si>
  <si>
    <t>1212</t>
  </si>
  <si>
    <t>IT00124COC00254</t>
  </si>
  <si>
    <t>IB02-TORTOSA</t>
  </si>
  <si>
    <t>SERRANDA PER TKK60</t>
  </si>
  <si>
    <t>1212-KRONOSPAN-KRONOSPAN-IB02-TORTOSA-2024</t>
  </si>
  <si>
    <t>1213</t>
  </si>
  <si>
    <t>IT00124COC00260</t>
  </si>
  <si>
    <t>LIGNATHERM</t>
  </si>
  <si>
    <t>1213-DIEFFENBACHER--LIGNATHERM-2025</t>
  </si>
  <si>
    <t>1214</t>
  </si>
  <si>
    <t>IT00124COC00257</t>
  </si>
  <si>
    <t>1214-DIEFFENBACHER--UNIBOARD-2024</t>
  </si>
  <si>
    <t>1215</t>
  </si>
  <si>
    <t>WEST FRASER</t>
  </si>
  <si>
    <t>1215-PAL-WEST FRASER-COWIE-2024</t>
  </si>
  <si>
    <t>1216</t>
  </si>
  <si>
    <t>IT00124COC00263</t>
  </si>
  <si>
    <t>CF2P</t>
  </si>
  <si>
    <t>ISOROY LURE</t>
  </si>
  <si>
    <t>TK35"HP - SOSTITUISCE TK35HP AA0746C-R002326</t>
  </si>
  <si>
    <t>1216-CF2P-CF2P-ISOROY LURE-2024</t>
  </si>
  <si>
    <t>1217</t>
  </si>
  <si>
    <t>IT00124COC00258</t>
  </si>
  <si>
    <t>YANTAY</t>
  </si>
  <si>
    <t>1217-DIEFFENBACHER--YANTAY-2024</t>
  </si>
  <si>
    <t>1218</t>
  </si>
  <si>
    <t>IT00124COC00267</t>
  </si>
  <si>
    <t>SOLO SCANSIONI PER BOILER ROOM</t>
  </si>
  <si>
    <t>1218-EGGER-EGGER-BARONY-2024</t>
  </si>
  <si>
    <t>1219</t>
  </si>
  <si>
    <t>IT00124COC00288</t>
  </si>
  <si>
    <t>STEEL PLATE CONVEYOR</t>
  </si>
  <si>
    <t>1219-SWISSKRONO-SWISSKRONO-ZARY-2024</t>
  </si>
  <si>
    <t>1220</t>
  </si>
  <si>
    <t>IT00124COC00381</t>
  </si>
  <si>
    <t>FUEL HANDLING SYSTEM</t>
  </si>
  <si>
    <t>1220 - VYNCKE - STABOO-FUEL AND ASH HANDLING SYSTEM-2024</t>
  </si>
  <si>
    <t>1221</t>
  </si>
  <si>
    <t>IT00124COC00351</t>
  </si>
  <si>
    <t>CONVEYORS VARIOUS</t>
  </si>
  <si>
    <t>1221-FINANCIERA MADERERA-FINSA-SANTIAGO DE COMPOSTELA-2024</t>
  </si>
  <si>
    <t>IT00124COC00474</t>
  </si>
  <si>
    <t>1222</t>
  </si>
  <si>
    <t>IT00124COC00330</t>
  </si>
  <si>
    <t>GUYOT LAITA</t>
  </si>
  <si>
    <t>1222 - VYNCKE - 1.09653 - Guyot Laïta -2024</t>
  </si>
  <si>
    <t>1223</t>
  </si>
  <si>
    <t>IT00124COC00076</t>
  </si>
  <si>
    <t>1223-GIM EXPORT-KASTAMONU-ROMANIA-2024</t>
  </si>
  <si>
    <t>1224</t>
  </si>
  <si>
    <t>IT00124COC00360</t>
  </si>
  <si>
    <t>GRAP'SUD</t>
  </si>
  <si>
    <t>1224 - VYNCKE - 1.20001 - Grap'Sud - 2024</t>
  </si>
  <si>
    <t>1225</t>
  </si>
  <si>
    <t>IT00124COC00358</t>
  </si>
  <si>
    <t>DIAGEO LINKWOOD</t>
  </si>
  <si>
    <t>1225 - VYNCKE - 1.10480 - Diageo - Linkwood - 2024</t>
  </si>
  <si>
    <t>1226</t>
  </si>
  <si>
    <t xml:space="preserve">IT00124COC00376 </t>
  </si>
  <si>
    <t>CMP SPA</t>
  </si>
  <si>
    <t>FRATI BUNKER</t>
  </si>
  <si>
    <t>1226-CMP SPA--FRATI BUNKER-2024</t>
  </si>
  <si>
    <t>1227</t>
  </si>
  <si>
    <t>IT00124COC00382</t>
  </si>
  <si>
    <t>TKK 800 CENERI SPECIALE</t>
  </si>
  <si>
    <t>1227-FANTONI--TKK 800 CENERI SPECIALE-2024</t>
  </si>
  <si>
    <t>1228</t>
  </si>
  <si>
    <t>IT00124COC00383</t>
  </si>
  <si>
    <t>FINSA OREMBER</t>
  </si>
  <si>
    <t>MODIFICA SU LINEA CENERI</t>
  </si>
  <si>
    <t>1228 - VYNCKE -  Finsa Orember extension - 2024</t>
  </si>
  <si>
    <t>1229</t>
  </si>
  <si>
    <t>IT00124COC00441</t>
  </si>
  <si>
    <t>ELKA-HOLZWERKE</t>
  </si>
  <si>
    <t>REJECT AND OVERSIZE</t>
  </si>
  <si>
    <t>1229-ELKA-HOLZWERKE--ELKA-2024</t>
  </si>
  <si>
    <t>1230</t>
  </si>
  <si>
    <t>TM 42 – 23.03.2024 -Aarti Grate Ash – R1</t>
  </si>
  <si>
    <t xml:space="preserve">GRATE AHS </t>
  </si>
  <si>
    <t>1230-AARTI ALCHEMIE FINECHEM PVT. LTD--GRATE AHS -2024</t>
  </si>
  <si>
    <t>1231</t>
  </si>
  <si>
    <t>IT00124COC00497</t>
  </si>
  <si>
    <t>BORG LTD</t>
  </si>
  <si>
    <t>BORG AUSTRALIAN PANELS</t>
  </si>
  <si>
    <t>MT. GAMBIER NEW PB PLANT</t>
  </si>
  <si>
    <t>1232</t>
  </si>
  <si>
    <t>IT00124COC00472</t>
  </si>
  <si>
    <t>1.20323 - CNCh</t>
  </si>
  <si>
    <t>1232 - VYNCKE - 1.20323 - Compañía Nacional de Chocolates (CNCh) - 2024</t>
  </si>
  <si>
    <t>1233</t>
  </si>
  <si>
    <t>IT00124COC00509</t>
  </si>
  <si>
    <t>AAK</t>
  </si>
  <si>
    <t>N°2 SERRANDE MOTORZZATE</t>
  </si>
  <si>
    <t>DENMARK</t>
  </si>
  <si>
    <t>1233-VYNCKE--AAK-2024</t>
  </si>
  <si>
    <t>1234</t>
  </si>
  <si>
    <t>TM12-FV23179-SARVARAYA-FCS&amp;ACS-R1</t>
  </si>
  <si>
    <t>FORBES VYNCKE</t>
  </si>
  <si>
    <t>SARVARAYA SUGAR</t>
  </si>
  <si>
    <t>1234 - TRM IND - FV23179 - Sarvaraya - 2024</t>
  </si>
  <si>
    <t>1235</t>
  </si>
  <si>
    <t>IT00124COC00614</t>
  </si>
  <si>
    <t>SOBONO ENERGY</t>
  </si>
  <si>
    <t>REXUS BIOMASS ENERGY PLANT</t>
  </si>
  <si>
    <t>SINGAPORE</t>
  </si>
  <si>
    <t>1235 - SOBONO - 13.2MWe Biomass Energy Plant - Conveyors - 2024</t>
  </si>
  <si>
    <t>1236</t>
  </si>
  <si>
    <t>IT00124COC00580</t>
  </si>
  <si>
    <t>10/08/2024 - 22/11/2024</t>
  </si>
  <si>
    <t>1236-FINSA--OREMBER-2024</t>
  </si>
  <si>
    <t>1237</t>
  </si>
  <si>
    <t>IT00124COC00570</t>
  </si>
  <si>
    <t>1237-FINANCIERA MADERERA--SANTIAGO DE COMPOSTELA-2024</t>
  </si>
  <si>
    <t>1238</t>
  </si>
  <si>
    <t>TM3524-FV24183 MILKY MIST-FCS&amp;ACS-R1</t>
  </si>
  <si>
    <t>MILKY MIST</t>
  </si>
  <si>
    <t>1239</t>
  </si>
  <si>
    <t>IT00124COC00048</t>
  </si>
  <si>
    <t>NESTLE' GIRONA II</t>
  </si>
  <si>
    <t>TRM CHN PROKECT NR P 24.002</t>
  </si>
  <si>
    <t>TEST FOLDER FOR TRM CHN</t>
  </si>
  <si>
    <t>1239 - VYNCKE - NESTLE' GIRONA II - 2024</t>
  </si>
  <si>
    <t>1240</t>
  </si>
  <si>
    <t>IT00124COC00666</t>
  </si>
  <si>
    <t>SERBIA PELLET</t>
  </si>
  <si>
    <t>1240-PAL--SERBIA PELLET-2024</t>
  </si>
  <si>
    <t>1241</t>
  </si>
  <si>
    <t>IT00124COC00678</t>
  </si>
  <si>
    <t>INDUSTRIA CALCE CASERTANA</t>
  </si>
  <si>
    <t>BUCCINO</t>
  </si>
  <si>
    <t>COCLEE</t>
  </si>
  <si>
    <t>1241-INDUSTRIA CALCE CASERTANA--BUCCINO-2024</t>
  </si>
  <si>
    <t>1242</t>
  </si>
  <si>
    <t>IT00124COC00996</t>
  </si>
  <si>
    <t>MARKT BIBART</t>
  </si>
  <si>
    <t>1242-EGGER--MARKT BIBART-2024</t>
  </si>
  <si>
    <t>1243</t>
  </si>
  <si>
    <t>TM0624- FV 23177/78-SANATHAN- FCS &amp; ACS R5</t>
  </si>
  <si>
    <t>SANATHAN TEXTILES LTD.</t>
  </si>
  <si>
    <t>SANATHAN</t>
  </si>
  <si>
    <t>CHANDIGARH</t>
  </si>
  <si>
    <t>FHS + AHS</t>
  </si>
  <si>
    <t>1243 - SANATHAN TEXTILES LTD. - SANATHAN - CHANDIGARH - 2024</t>
  </si>
  <si>
    <t>1244</t>
  </si>
  <si>
    <t>IT00124COC00694</t>
  </si>
  <si>
    <t>1244-EGGER--HEXHAM-2024</t>
  </si>
  <si>
    <t>1245</t>
  </si>
  <si>
    <t>IT00124COC00751</t>
  </si>
  <si>
    <t>1245-EGGER--LEXINGTON-2024</t>
  </si>
  <si>
    <t>1246</t>
  </si>
  <si>
    <t>IT00124COC00714</t>
  </si>
  <si>
    <t>NEUMARKT</t>
  </si>
  <si>
    <t>1246-DIEFFENBACHER--NEUMARKT-2024</t>
  </si>
  <si>
    <t>1247</t>
  </si>
  <si>
    <t>IT00124COC00710</t>
  </si>
  <si>
    <t>MOVING FLOOR FOR BIOMASS HANDLING</t>
  </si>
  <si>
    <t>1247-PAL--LINEX PANNEAUX-2024</t>
  </si>
  <si>
    <t>1248</t>
  </si>
  <si>
    <t>IT00124COC00768</t>
  </si>
  <si>
    <t>CONIOLO</t>
  </si>
  <si>
    <t>NUOVO CARICO TORRE DI PULIZIA</t>
  </si>
  <si>
    <t>1248-PAL-IPAN CONIOLO-CARICO TORRE DI PULIZIA-2024</t>
  </si>
  <si>
    <t>1249</t>
  </si>
  <si>
    <t>IT00124COC00771</t>
  </si>
  <si>
    <t>BISACCO - BUCCINO</t>
  </si>
  <si>
    <t>TKK</t>
  </si>
  <si>
    <t>1249-INDUSTRIA CALCE CASERTANA--BISACCO - BUCCINO-2024</t>
  </si>
  <si>
    <t>1250</t>
  </si>
  <si>
    <t>IT00124COC00880</t>
  </si>
  <si>
    <t>MENZNAU</t>
  </si>
  <si>
    <t>STEP1</t>
  </si>
  <si>
    <t>1250-PAL-SWISS KRONO-MENZNAU-2024</t>
  </si>
  <si>
    <t>IT00124COC00881</t>
  </si>
  <si>
    <t>STEP2</t>
  </si>
  <si>
    <t>1251</t>
  </si>
  <si>
    <t>IT00124COC00894</t>
  </si>
  <si>
    <t>CARMEUSE</t>
  </si>
  <si>
    <t>1251-PAL-CARMEUSE-ROMANIA-2024</t>
  </si>
  <si>
    <t>1252</t>
  </si>
  <si>
    <t>IT00124COC00874</t>
  </si>
  <si>
    <t>SERRANDA</t>
  </si>
  <si>
    <t>1252-KRONOSPAN--TORTOSA-2024</t>
  </si>
  <si>
    <t>1253</t>
  </si>
  <si>
    <t>IT00124COC00893</t>
  </si>
  <si>
    <t>1253-INSTALMEC-KRONOSPAN-AUXERRE-2024</t>
  </si>
  <si>
    <t>1254</t>
  </si>
  <si>
    <t>TM 1124-03.09.2024 MONDELEZ-R2</t>
  </si>
  <si>
    <t>MONDELEZ</t>
  </si>
  <si>
    <t>BADDI</t>
  </si>
  <si>
    <t>1254-FORBES VYNCKE-MONDELEZ-BADDI-2024</t>
  </si>
  <si>
    <t>3TH PASS SCREW</t>
  </si>
  <si>
    <t>1255</t>
  </si>
  <si>
    <t>IT00124COC00884</t>
  </si>
  <si>
    <t>BORG PB</t>
  </si>
  <si>
    <t>ASH</t>
  </si>
  <si>
    <t>1256</t>
  </si>
  <si>
    <t>SAHYADRI CHAKAN</t>
  </si>
  <si>
    <t>1256-FORBES VYNCKE--SAHYADRI CHAKAN-2024</t>
  </si>
  <si>
    <t>1257</t>
  </si>
  <si>
    <t>TRASMEC INDIA PRIVATE LIMITED</t>
  </si>
  <si>
    <t>AARTI ACHEMIE AHS</t>
  </si>
  <si>
    <t>1257-TRASMEC INDIA PRIVATE LIMITED--AARTI ACHEMIE AHS-2024</t>
  </si>
  <si>
    <t>1258</t>
  </si>
  <si>
    <t>AARTI PHARMA</t>
  </si>
  <si>
    <t>1258-TRASMEC INDIA PRIVATE LIMITED--AARTI PHARMA-2024</t>
  </si>
  <si>
    <t>1259</t>
  </si>
  <si>
    <t>MYLAN</t>
  </si>
  <si>
    <t>1259-TRASMEC INDIA PRIVATE LIMITED--MYLAN-2024</t>
  </si>
  <si>
    <t>1260</t>
  </si>
  <si>
    <t>AMBARNATH</t>
  </si>
  <si>
    <t>1260-TRASMEC INDIA PRIVATE LIMITED--AMBARNATH-2024</t>
  </si>
  <si>
    <t>1261</t>
  </si>
  <si>
    <t>IT00124COC00929</t>
  </si>
  <si>
    <t>UNILIN BAZEILLES OSIRIS</t>
  </si>
  <si>
    <t>1261-DIEFFENBACHER--UNILIN BAZEILLES OSIRIS-2024</t>
  </si>
  <si>
    <t>1262</t>
  </si>
  <si>
    <t>IT00124COC00963</t>
  </si>
  <si>
    <t>NEA</t>
  </si>
  <si>
    <t>DEASCHING SYSTEM</t>
  </si>
  <si>
    <t>1263</t>
  </si>
  <si>
    <t>IT00124COC00923</t>
  </si>
  <si>
    <t>1263-PAL-EGGER-BRILON-2024</t>
  </si>
  <si>
    <t>1264</t>
  </si>
  <si>
    <t>IT00124COC00946</t>
  </si>
  <si>
    <t>MARTINO ROSSI SPA</t>
  </si>
  <si>
    <t>MALAGNINO</t>
  </si>
  <si>
    <t>MODIFICA COCLEE</t>
  </si>
  <si>
    <t>1264-MARTINO ROSSI SPA--MALAGNINO-2024</t>
  </si>
  <si>
    <t>1265</t>
  </si>
  <si>
    <t>IT00124COC00965</t>
  </si>
  <si>
    <t>FORESA</t>
  </si>
  <si>
    <t>CALDAS DE REYES</t>
  </si>
  <si>
    <t>1265-FORESA-FORESA-CALDAS DE REYES-2024</t>
  </si>
  <si>
    <t>1266</t>
  </si>
  <si>
    <t>IT00124COC01029-1080-1081-1082</t>
  </si>
  <si>
    <t>ALBIOMA LE MOULE</t>
  </si>
  <si>
    <t>GUADELOUPE</t>
  </si>
  <si>
    <t>1267</t>
  </si>
  <si>
    <t>IT00124COC01007</t>
  </si>
  <si>
    <t>DUNISKY</t>
  </si>
  <si>
    <t>SHAFTLESS SCREWS</t>
  </si>
  <si>
    <t>1267-EIREBLOC LTD--DUNISKY-2024</t>
  </si>
  <si>
    <t>1268</t>
  </si>
  <si>
    <t>TM 62 2024-MONDELEZ SRICITI-TECHNICAL-R6</t>
  </si>
  <si>
    <t>MONDELEZ INDIA FOOD</t>
  </si>
  <si>
    <t xml:space="preserve">MONDELEZ </t>
  </si>
  <si>
    <t>SRI CITY</t>
  </si>
  <si>
    <t>1268-MONDELEZ INDIA FOOD-MONDELEZ -SRI CITY-2024</t>
  </si>
  <si>
    <t>1269</t>
  </si>
  <si>
    <t>OC24CS-0001069</t>
  </si>
  <si>
    <t>KIJCHAI MDF3</t>
  </si>
  <si>
    <t>1269-VYNCKE--KIJCHAI MDF3-2024</t>
  </si>
  <si>
    <t>OC24CS-0065078</t>
  </si>
  <si>
    <t>YALIAN MACHINERY CO., LTD</t>
  </si>
  <si>
    <t>PB500 Upgrade</t>
  </si>
  <si>
    <t>1271</t>
  </si>
  <si>
    <t>IT00124COC01065</t>
  </si>
  <si>
    <t>CMP FRATI</t>
  </si>
  <si>
    <t>POMPONESCO</t>
  </si>
  <si>
    <t>RICAMBI NR 2 SERRANDE PNEUMATICHE</t>
  </si>
  <si>
    <t>1271-CMP FRATI--POMPONESCO-2024</t>
  </si>
  <si>
    <t>IT0012024TRT00224</t>
  </si>
  <si>
    <t>MDF L5</t>
  </si>
  <si>
    <t>IT0012024TRT00224-METRO--MDF L5-2024</t>
  </si>
  <si>
    <t>IT0012024TRT00279</t>
  </si>
  <si>
    <t>IT00124COC01179</t>
  </si>
  <si>
    <t>NV_DRENIK</t>
  </si>
  <si>
    <t>IT0012024TRT00279-VYNCKE--NV_DRENIK-2024</t>
  </si>
  <si>
    <t>IT0012024TRT00304</t>
  </si>
  <si>
    <t>IT00124COC01186</t>
  </si>
  <si>
    <t>IT00124SQN00246R01</t>
  </si>
  <si>
    <t>ENGIE</t>
  </si>
  <si>
    <t>RIVAROLO CANAVESE</t>
  </si>
  <si>
    <t>IT0012024TRT00073</t>
  </si>
  <si>
    <t>IT00124COC01196</t>
  </si>
  <si>
    <t>Plant</t>
  </si>
  <si>
    <t>Column17</t>
  </si>
  <si>
    <t>Column18</t>
  </si>
  <si>
    <t>Column19</t>
  </si>
  <si>
    <t>INVIATA</t>
  </si>
  <si>
    <t>CANCELLED</t>
  </si>
  <si>
    <t>Completed</t>
  </si>
  <si>
    <t>Compleded</t>
  </si>
  <si>
    <t>?</t>
  </si>
  <si>
    <t>???</t>
  </si>
  <si>
    <t>IT00125COC00028</t>
  </si>
  <si>
    <t>COMPARTIMENTAZIONE SILI</t>
  </si>
  <si>
    <t>Manca quella del 2026</t>
  </si>
  <si>
    <t>ASH HANDLING SYSTEM</t>
  </si>
  <si>
    <t>IT00125COC00002</t>
  </si>
  <si>
    <t>IT0012024TRT00304-EGGER--MARKT BIBART-2024</t>
  </si>
  <si>
    <t>IT00125COC00024</t>
  </si>
  <si>
    <t>IT0012024TRT00304-EGGER--MARKT BIBART-2025</t>
  </si>
  <si>
    <t>IT0012024TRT00321</t>
  </si>
  <si>
    <t>IT00124COC01258</t>
  </si>
  <si>
    <t>IT00124COC01259</t>
  </si>
  <si>
    <t>IT0012024TRT00266</t>
  </si>
  <si>
    <t>IT00124COC01244</t>
  </si>
  <si>
    <t>AUSTRALIAN PANELS</t>
  </si>
  <si>
    <t>BORG FLAKING AREA PB GAMBIER</t>
  </si>
  <si>
    <t>IT0012025TRT00001</t>
  </si>
  <si>
    <t>TM492024-AARTI IND LTD-JHAGADIA-TECHNO COMMERCIAL PROPOSAL -R5 05.12.24</t>
  </si>
  <si>
    <t>AARTI INDUSTRIES LTD</t>
  </si>
  <si>
    <t>JHAGADIA</t>
  </si>
  <si>
    <t>IT0012025TRT00001-AARTI INDUSTRIES LTD--JHAGADIA-2025</t>
  </si>
  <si>
    <t>IT0012024TRT00249</t>
  </si>
  <si>
    <t>IT0012024TRT00249-EGGER-EGGER-RION DES LANDES-2025</t>
  </si>
  <si>
    <t>IT0012024TRT00301</t>
  </si>
  <si>
    <t>IT00125COC00007</t>
  </si>
  <si>
    <t>IT0012024TRT00307</t>
  </si>
  <si>
    <t>IT00125COC00004</t>
  </si>
  <si>
    <t>ENGIE DS SMITH</t>
  </si>
  <si>
    <t>IT0012024TRT00307-VYNCKE-ENGIE DS SMITH-ENGIE DS SMITH-2025</t>
  </si>
  <si>
    <t>IT0012022TRT00361</t>
  </si>
  <si>
    <t>LA ROQUETTE 1</t>
  </si>
  <si>
    <t>IT0012025TRT00023</t>
  </si>
  <si>
    <t>NEW CHIPS STORAGE</t>
  </si>
  <si>
    <t>TURKEY</t>
  </si>
  <si>
    <t>IT0012024TRT00243</t>
  </si>
  <si>
    <t>OC24CS-0009088</t>
  </si>
  <si>
    <t>METRO PARTICLE Co., Ltd</t>
  </si>
  <si>
    <t>METRO PB2</t>
  </si>
  <si>
    <t>IT0012024TRT00243-METRO PARTICLE Co., Ltd--METRO PB2-2025</t>
  </si>
  <si>
    <t>IT0012024TRT00147</t>
  </si>
  <si>
    <t>IT00125COC00012</t>
  </si>
  <si>
    <t>IT0012024TRT00147-DIEFFENBACHER--LIGNATHERM-2025</t>
  </si>
  <si>
    <t>IT0012025TRT00024</t>
  </si>
  <si>
    <t>IT00125COC00015</t>
  </si>
  <si>
    <t>DOSING SCREW</t>
  </si>
  <si>
    <t>IT0012025TRT00024-KRONOSPAN--BURGOS-2025</t>
  </si>
  <si>
    <t>IT0012024TRT00281</t>
  </si>
  <si>
    <t>IT00125COC00016</t>
  </si>
  <si>
    <t>SAVIOLA MORTARA</t>
  </si>
  <si>
    <t>IT0012024TRT00281-PAL--SAVIOLA MORTARA-2025</t>
  </si>
  <si>
    <t>IT0012024TRT00283</t>
  </si>
  <si>
    <t>IT00125COC00019</t>
  </si>
  <si>
    <t>IT0012024TRT00283-EGGER--HEXHAM-2025</t>
  </si>
  <si>
    <t>IT0012025TRT00004</t>
  </si>
  <si>
    <t>IT00125COC00006</t>
  </si>
  <si>
    <t>MAGNON MAHOU</t>
  </si>
  <si>
    <t>IT0012025TRT00004-VYNCKE--MAGNON MAHOU-2025</t>
  </si>
  <si>
    <t>IT0012024TRT00225</t>
  </si>
  <si>
    <t>IT00125COC00011</t>
  </si>
  <si>
    <t>VYNCKE NV</t>
  </si>
  <si>
    <t>SOBONO</t>
  </si>
  <si>
    <t>IT0012024TRT00225-VYNCKE NV--SOBONO-2025</t>
  </si>
  <si>
    <t>IT0012024TRT00060</t>
  </si>
  <si>
    <t>IT00125COC00008</t>
  </si>
  <si>
    <t>TARTAK</t>
  </si>
  <si>
    <t>Declerck</t>
  </si>
  <si>
    <t>IT0012024TRT00060-VYNCKE NV--TARTAK-2025</t>
  </si>
  <si>
    <t>IT0012024TRT00294</t>
  </si>
  <si>
    <t>IT00125COC00009</t>
  </si>
  <si>
    <t xml:space="preserve"> DALKIA SYLVIA</t>
  </si>
  <si>
    <t>IT0012024TRT00294-VYNCKE-- DALKIA SYLVIA-2025</t>
  </si>
  <si>
    <t>IT00125COC00033</t>
  </si>
  <si>
    <t>IT0012025TRT00055</t>
  </si>
  <si>
    <t>IT00125COC00031</t>
  </si>
  <si>
    <t>COGELAND</t>
  </si>
  <si>
    <t>IT0012025TRT00055-VYNCKE--COGELAND-2025</t>
  </si>
  <si>
    <t>IT0012024TRT00102</t>
  </si>
  <si>
    <t>Completata parte di ingegneria</t>
  </si>
  <si>
    <t>DELHEZ BOIS SA</t>
  </si>
  <si>
    <t>ECOPULSER PROJECT</t>
  </si>
  <si>
    <t>IT0012025TRT00051</t>
  </si>
  <si>
    <t xml:space="preserve">FRATI </t>
  </si>
  <si>
    <t>POMPONESCO - TRITURATORE FERRARI</t>
  </si>
  <si>
    <t>NUOVO CARICO TRITURATORE FERRARI</t>
  </si>
  <si>
    <t>IT0012025TRT00051-FRATI --POMPONESCO - TRITURATORE FERRARI-2025</t>
  </si>
  <si>
    <t>IT00125COC00032</t>
  </si>
  <si>
    <t>BUNKER</t>
  </si>
  <si>
    <t>IT0012025TRT00066</t>
  </si>
  <si>
    <t>POMPONESCO - TRASLANTI PESSA</t>
  </si>
  <si>
    <t>SOSTITUZIONE NASTRO SCARICO TRASLANTE PESSA</t>
  </si>
  <si>
    <t>IT0012025TRT00066-FRATI --POMPONESCO - TRASLANTI PESSA-2025</t>
  </si>
  <si>
    <t>IT0012024TRT00280</t>
  </si>
  <si>
    <t>WOODECO WIERUSZOW</t>
  </si>
  <si>
    <t>IT0012024TRT00280-PAL--WOODECO WIERUSZOW-2025</t>
  </si>
  <si>
    <t>IT0012025TRT00044</t>
  </si>
  <si>
    <t>Energy Plant</t>
  </si>
  <si>
    <t>IT0012025TRT00044-SOBONO ENERGY--Energy Plant-2025</t>
  </si>
  <si>
    <t>IT0012024TRT00319</t>
  </si>
  <si>
    <t>IT00125COC00051</t>
  </si>
  <si>
    <t>TN 1200 LT</t>
  </si>
  <si>
    <t>IT0012025TRT00069</t>
  </si>
  <si>
    <t>TM9024 FV- AGRISTO MASAN-FHS &amp; AHS-TECHNICAL - R1 15.01.25</t>
  </si>
  <si>
    <t xml:space="preserve">AGRISTO MASA </t>
  </si>
  <si>
    <t>AGRISTO BIJNOR</t>
  </si>
  <si>
    <t>8-9 months from order</t>
  </si>
  <si>
    <t>IT0012025TRT00069-FORBES VYNCKE-AGRISTO MASA -AGRISTO BIJNOR-2025</t>
  </si>
  <si>
    <t>IT0012021TRT00243</t>
  </si>
  <si>
    <t>solo offerta</t>
  </si>
  <si>
    <t>IT0012025TRT00033</t>
  </si>
  <si>
    <t>OC25CS-0118010</t>
  </si>
  <si>
    <t>FMIL</t>
  </si>
  <si>
    <t>COC CR + TK</t>
  </si>
  <si>
    <t>Ignaas</t>
  </si>
  <si>
    <t>IT0012025TRT00033-ECL--FMIL-2025</t>
  </si>
  <si>
    <t>ARC00001</t>
  </si>
  <si>
    <t>IT00125COC00045</t>
  </si>
  <si>
    <t>A.R.C.E.M.I. IMPIANTI</t>
  </si>
  <si>
    <t>FLSMIDTH A/S</t>
  </si>
  <si>
    <t>IT0012025TRT00029</t>
  </si>
  <si>
    <t>IT00125COC00038</t>
  </si>
  <si>
    <t>LANOIL</t>
  </si>
  <si>
    <t>ASH CONVEYORS</t>
  </si>
  <si>
    <t>IT0012025TRT00029-VYNCKE NV--LANOIL-2025</t>
  </si>
  <si>
    <t>IT0012025TRT00012</t>
  </si>
  <si>
    <t>PGE</t>
  </si>
  <si>
    <t>IT0012024TRT00263</t>
  </si>
  <si>
    <t>OC24CS-0118079</t>
  </si>
  <si>
    <t xml:space="preserve">MAHARAJAN PB </t>
  </si>
  <si>
    <t>IT0012024TRT00263-ECL--MAHARAJAN PB -2025</t>
  </si>
  <si>
    <t>IT0012025TRT00052</t>
  </si>
  <si>
    <t>IT00125COC00047</t>
  </si>
  <si>
    <t>COCLEA DOSATRICE</t>
  </si>
  <si>
    <t>IT0012025TRT00052-IMAL-ASM IREN-VERCELLI-2025</t>
  </si>
  <si>
    <t>IT0012025TRT00095</t>
  </si>
  <si>
    <t>BUNGE MARTFU II</t>
  </si>
  <si>
    <t>IT0012025TRT00094</t>
  </si>
  <si>
    <t>ADVANCE FIBER</t>
  </si>
  <si>
    <t>NEW SPB LINE-1500</t>
  </si>
  <si>
    <t>CHIPPING LINE AND STORAGE</t>
  </si>
  <si>
    <t>IT0012025TRT00094-ADVANCE FIBER--NEW SPB LINE-1500-2025</t>
  </si>
  <si>
    <t>IT0012025TRT00014</t>
  </si>
  <si>
    <t>IT00125COC00026</t>
  </si>
  <si>
    <t>EGGER ST JOHANN TIROL</t>
  </si>
  <si>
    <t>Bandboard LT</t>
  </si>
  <si>
    <t>IT0012025TRT00014-EGGER--EGGER ST JOHANN TIROL-2025</t>
  </si>
  <si>
    <t>IT0012025TRT00015</t>
  </si>
  <si>
    <t>IT00125COC00022</t>
  </si>
  <si>
    <t>DIEFFENBACHER GMBH</t>
  </si>
  <si>
    <t>WOODECO GRAJEWO</t>
  </si>
  <si>
    <t>IT0012025TRT00015-DIEFFENBACHER GMBH--WOODECO GRAJEWO-2025</t>
  </si>
  <si>
    <t>IT0012025TRT00064</t>
  </si>
  <si>
    <t>ENSO ACOR</t>
  </si>
  <si>
    <t>Rakan</t>
  </si>
  <si>
    <t>IT0012025TRT00058</t>
  </si>
  <si>
    <t>IT00125COC00053</t>
  </si>
  <si>
    <t>MR004625</t>
  </si>
  <si>
    <t>MR004626</t>
  </si>
  <si>
    <t>MR004843</t>
  </si>
  <si>
    <t>Motors on hydrualic unit (SEE SCHEME FM000086-00)</t>
  </si>
  <si>
    <t>Fuel conveyors</t>
  </si>
  <si>
    <t>Ash conveyors</t>
  </si>
  <si>
    <t>TM F00</t>
  </si>
  <si>
    <t>TM F01</t>
  </si>
  <si>
    <t>TM F02</t>
  </si>
  <si>
    <t>TM F02.1</t>
  </si>
  <si>
    <t>TM F03</t>
  </si>
  <si>
    <t>TM F04</t>
  </si>
  <si>
    <t>TM F05</t>
  </si>
  <si>
    <t>TM F06</t>
  </si>
  <si>
    <t>TM F07</t>
  </si>
  <si>
    <t>TM F08</t>
  </si>
  <si>
    <t>TM F10</t>
  </si>
  <si>
    <t>TM F11</t>
  </si>
  <si>
    <t>TM F12</t>
  </si>
  <si>
    <t>TM F13</t>
  </si>
  <si>
    <t>TM F14</t>
  </si>
  <si>
    <t>TM F15</t>
  </si>
  <si>
    <t>TM F16</t>
  </si>
  <si>
    <t>BE0805C</t>
  </si>
  <si>
    <t>BE0806C</t>
  </si>
  <si>
    <t>BE0807C</t>
  </si>
  <si>
    <t>BE0808C</t>
  </si>
  <si>
    <t>BE0809C</t>
  </si>
  <si>
    <t>BE0810C</t>
  </si>
  <si>
    <t>BE0811C</t>
  </si>
  <si>
    <t>BE0812C</t>
  </si>
  <si>
    <t>BE0813C</t>
  </si>
  <si>
    <t>BE0814C</t>
  </si>
  <si>
    <t>BE0815C</t>
  </si>
  <si>
    <t>BE0818C</t>
  </si>
  <si>
    <t>BE0819C</t>
  </si>
  <si>
    <t>BE0820C</t>
  </si>
  <si>
    <t>BE0821C</t>
  </si>
  <si>
    <t>BE0822C</t>
  </si>
  <si>
    <t>BE0823C</t>
  </si>
  <si>
    <t>MR004777</t>
  </si>
  <si>
    <t>MR005241</t>
  </si>
  <si>
    <t>IT0012024TRT00274</t>
  </si>
  <si>
    <t>IT00125COC00061</t>
  </si>
  <si>
    <t>TK21HP+SERRANDA+COCLEA</t>
  </si>
  <si>
    <t>IT0012024TRT00274-EGGER--RAMBERVILLERS-2025</t>
  </si>
  <si>
    <t>IT00125COC00054</t>
  </si>
  <si>
    <t>BECIS ANSELL</t>
  </si>
  <si>
    <t>FUEL AND ASH HANDLING</t>
  </si>
  <si>
    <t>F.F.</t>
  </si>
  <si>
    <t>MR005244</t>
  </si>
  <si>
    <t>MR005245</t>
  </si>
  <si>
    <t>MR005246</t>
  </si>
  <si>
    <t>MR005247</t>
  </si>
  <si>
    <t>MR005248</t>
  </si>
  <si>
    <t>MR005249</t>
  </si>
  <si>
    <t>MR005250</t>
  </si>
  <si>
    <t>MR005251</t>
  </si>
  <si>
    <t>MR005252</t>
  </si>
  <si>
    <t>MR005253</t>
  </si>
  <si>
    <t>MR005254</t>
  </si>
  <si>
    <t>MR005255</t>
  </si>
  <si>
    <t>MR005256</t>
  </si>
  <si>
    <t>MR005257</t>
  </si>
  <si>
    <t>MR005258</t>
  </si>
  <si>
    <t>MR005259</t>
  </si>
  <si>
    <t>MR005260</t>
  </si>
  <si>
    <t>MR005261</t>
  </si>
  <si>
    <t>OC24CS-0009073</t>
  </si>
  <si>
    <t>IT0012024TRT00321-ENGIE-ENGIE-RIVAROLO CANAVESE-2025</t>
  </si>
  <si>
    <t>IT0012024TRT00073-DIEFFENBACHER-EGGER-MARKT BIBART-2024</t>
  </si>
  <si>
    <t>IT0012022TRT00361-SERA ENERGIES--LA ROQUETTE 1-2025</t>
  </si>
  <si>
    <t>IT0012025TRT00023-AGT--AGT-2025</t>
  </si>
  <si>
    <t>RHEINSPAN</t>
  </si>
  <si>
    <t>IT0012024TRT00102-PAL--RHEINSPAN-2025</t>
  </si>
  <si>
    <t>DIEFFENBACHER PANELBOARD OY</t>
  </si>
  <si>
    <t xml:space="preserve">EGGER </t>
  </si>
  <si>
    <t>UNACEM ATOCONGO</t>
  </si>
  <si>
    <t>ARC00001-A.R.C.E.M.I. IMPIANTI-FLSMIDTH A/S-UNACEM ATOCONGO-2025</t>
  </si>
  <si>
    <t>IT00125COC00060</t>
  </si>
  <si>
    <t>IT0012025TRT00101</t>
  </si>
  <si>
    <t>IT00125COC00055</t>
  </si>
  <si>
    <t>IT0012025TRT00091</t>
  </si>
  <si>
    <t>IT00125COC00064</t>
  </si>
  <si>
    <t>N°5 TK15</t>
  </si>
  <si>
    <t>IT0012025TRT00091-KRONOSPAN--TORTOSA-2025</t>
  </si>
  <si>
    <t>IT00125COC00067</t>
  </si>
  <si>
    <t>N°1 TK15 E MODIFICA ALLA COC00064</t>
  </si>
  <si>
    <t>IT0012023TRT00237</t>
  </si>
  <si>
    <t>IT00125COC00041</t>
  </si>
  <si>
    <t>REVAMPING</t>
  </si>
  <si>
    <t>IT0012023TRT00237-NOVOPAN DEL ECUADOR S.A--NOVOPAN-2025</t>
  </si>
  <si>
    <t>IT0012025TRT00045</t>
  </si>
  <si>
    <t>IT00125COC00063</t>
  </si>
  <si>
    <t>SIGMA</t>
  </si>
  <si>
    <t>ASH SCREWS</t>
  </si>
  <si>
    <t>IT0012025TRT00047</t>
  </si>
  <si>
    <t>IT00125COC00065</t>
  </si>
  <si>
    <t>PORTA PTY</t>
  </si>
  <si>
    <t>BORG MT. GAMBIER</t>
  </si>
  <si>
    <t>FUEL INFEED SYSTEM FOR BOILER</t>
  </si>
  <si>
    <t>IT0012025TRT00047-PORTA PTY--BORG MT. GAMBIER-2025</t>
  </si>
  <si>
    <t>IT0012025TRT00061</t>
  </si>
  <si>
    <t>IT00125COC00062</t>
  </si>
  <si>
    <t>WEYERHAEUSER LSL</t>
  </si>
  <si>
    <t>SWIVEL SCREW CONVEYORS</t>
  </si>
  <si>
    <t>IT0012025TRT00067</t>
  </si>
  <si>
    <t>IT00125COC00070</t>
  </si>
  <si>
    <t>N°1 TK40HP</t>
  </si>
  <si>
    <t>IT0012025TRT00067-PAL-SONAE ARAUCO-LINARES-2025</t>
  </si>
  <si>
    <t>7 COCLEE</t>
  </si>
  <si>
    <t>PERU</t>
  </si>
  <si>
    <t>ARCEMI</t>
  </si>
  <si>
    <t>Lovat</t>
  </si>
  <si>
    <t>ARC00002</t>
  </si>
  <si>
    <t>UNICALCE</t>
  </si>
  <si>
    <t>NASTRO BORDERBAND + PULITORE A CATENA</t>
  </si>
  <si>
    <t>ARC00002-A.R.C.E.M.I. IMPIANTI-UNICALCE--2025</t>
  </si>
  <si>
    <t>ARC00003</t>
  </si>
  <si>
    <t>A2A AMBIENTE SPA</t>
  </si>
  <si>
    <t>N°1 VALVOLA ROTANTE + ACCESSORI</t>
  </si>
  <si>
    <t>ARC00003-A.R.C.E.M.I. IMPIANTI-A2A AMBIENTE SPA--2025</t>
  </si>
  <si>
    <t>IT0012025TRT00131</t>
  </si>
  <si>
    <t>SHB BENIN</t>
  </si>
  <si>
    <t>BENIN</t>
  </si>
  <si>
    <t>IT0012025TRT00103</t>
  </si>
  <si>
    <t>N°1 TK15 FOR DUST</t>
  </si>
  <si>
    <t>IT0012025TRT00103-EGGER--HEXHAM-2025</t>
  </si>
  <si>
    <t>IT00125COC00109</t>
  </si>
  <si>
    <t>IT00125COC00102</t>
  </si>
  <si>
    <t>IT00125COC00110</t>
  </si>
  <si>
    <t>IT0012024TRT00102 TBD</t>
  </si>
  <si>
    <t>IT0012025TRT00105</t>
  </si>
  <si>
    <t>IT0012025TRT00105-DELHEZ BOIS SA--DELHEZ BOIS-2025</t>
  </si>
  <si>
    <t>DALKIA SOLVAY</t>
  </si>
  <si>
    <t>IT0012024TRT00294-VYNCKE--DALKIA SOLVAY-2025</t>
  </si>
  <si>
    <t>IT0012024TRT00319-DIEFFENBACHER--PANELBOARD OY-2025</t>
  </si>
  <si>
    <t>IT0012024TRT00313</t>
  </si>
  <si>
    <t>Colombi</t>
  </si>
  <si>
    <t>IT00125COC00084</t>
  </si>
  <si>
    <t>SCHEMES APPROVED</t>
  </si>
  <si>
    <t>OPEN</t>
  </si>
  <si>
    <t>IT0012025TRT00013</t>
  </si>
  <si>
    <t>IT00125COC00075</t>
  </si>
  <si>
    <t>HOOGWEG</t>
  </si>
  <si>
    <t>REVAMP</t>
  </si>
  <si>
    <t>NETHERLANDS</t>
  </si>
  <si>
    <t>IT0012023TRT00269</t>
  </si>
  <si>
    <t>MEDITE</t>
  </si>
  <si>
    <t>IT0012024TRT00327</t>
  </si>
  <si>
    <t>IT00125COC00068</t>
  </si>
  <si>
    <t>ILG</t>
  </si>
  <si>
    <t>IT0012025TRT00132</t>
  </si>
  <si>
    <t>IT00125COC00076</t>
  </si>
  <si>
    <t>DRENIK</t>
  </si>
  <si>
    <t>IT0012025TRT00132-VYNCKE NV--DRENIK-2025</t>
  </si>
  <si>
    <t>IT0012024TRT00231</t>
  </si>
  <si>
    <t>IT00125COC00078</t>
  </si>
  <si>
    <t>WOODECO</t>
  </si>
  <si>
    <t>N°1 TKPNZ + N°2 SCREWS</t>
  </si>
  <si>
    <t>IT0012025TRT00113</t>
  </si>
  <si>
    <t>IT00125COC00074</t>
  </si>
  <si>
    <t>LAMINEX GROUP</t>
  </si>
  <si>
    <t>LAMINEX</t>
  </si>
  <si>
    <t>SCHEME APPROVED</t>
  </si>
  <si>
    <t>IT0012025TRT00113-LAMINEX GROUP--LAMINEX-2025</t>
  </si>
  <si>
    <t>IT0012025TRT00119</t>
  </si>
  <si>
    <t>IT00125COC00083</t>
  </si>
  <si>
    <t>N°1 TK35HP</t>
  </si>
  <si>
    <t>IT0012025TRT00119-KRONOSPAN--BURGOS-2025</t>
  </si>
  <si>
    <t>IT0012025TRT00126</t>
  </si>
  <si>
    <t>IT00125COC00079</t>
  </si>
  <si>
    <t>N°4 FLAP</t>
  </si>
  <si>
    <t>IT0012025TRT00126-KRONOSPAN--TORTOSA-2025</t>
  </si>
  <si>
    <t>IT0012025TRT00068</t>
  </si>
  <si>
    <t>IT00125COC00085</t>
  </si>
  <si>
    <t>SERA</t>
  </si>
  <si>
    <t>VAULX EN VELIN</t>
  </si>
  <si>
    <t>TRIPPER LT</t>
  </si>
  <si>
    <t>IT0012025TRT00068-SERA--VAULX EN VELIN-2025</t>
  </si>
  <si>
    <t>IT0012025TRT00138</t>
  </si>
  <si>
    <t>CRUSHING AREA 100 - TKK60PNZ</t>
  </si>
  <si>
    <t>IT0012025TRT00017</t>
  </si>
  <si>
    <t>IT00125COC00087</t>
  </si>
  <si>
    <t>N°1 SCREW</t>
  </si>
  <si>
    <t>SCHEME TO BE DEVELOPED</t>
  </si>
  <si>
    <t>IT0012025TRT00017-KRONOSPAN--TORTOSA-2025</t>
  </si>
  <si>
    <t>IT0012022TRT00239</t>
  </si>
  <si>
    <t>IT00125COC00086</t>
  </si>
  <si>
    <t>IT0012022TRT00239-DIEFFENBACHER--TARTAK-2025</t>
  </si>
  <si>
    <t>IT0012025TRT00032</t>
  </si>
  <si>
    <t>IT00125COC00088</t>
  </si>
  <si>
    <t>N°1 TK30HP</t>
  </si>
  <si>
    <t>IT0012025TRT00032-KRONOSPAN--TORTOSA-2025</t>
  </si>
  <si>
    <t>IT0012025TRT00140</t>
  </si>
  <si>
    <t>TM9124 BOMBAY DYEING FHS &amp; AHS - R2-15-04-2025.</t>
  </si>
  <si>
    <t>BOMBAY DYEING CO. LTD</t>
  </si>
  <si>
    <t>PATALGANGA MAHARASHTRA</t>
  </si>
  <si>
    <t>IT0012025TRT00141</t>
  </si>
  <si>
    <t>SANAND GUJARAT</t>
  </si>
  <si>
    <t>IT0012025TRT00031</t>
  </si>
  <si>
    <t>OC24CS-0004102</t>
  </si>
  <si>
    <t>SWPM-LULI</t>
  </si>
  <si>
    <t>N.6 COCLEE BRANDEGGIANTI Ø800 L=6700</t>
  </si>
  <si>
    <t>IT0012025TRT00031 - SWPM - LULI - 2025</t>
  </si>
  <si>
    <t>IT0012025TRT00148</t>
  </si>
  <si>
    <t>FV24185 - No offer number</t>
  </si>
  <si>
    <t>SERUM</t>
  </si>
  <si>
    <t>MANJARI</t>
  </si>
  <si>
    <t>IT0012025TRT00102</t>
  </si>
  <si>
    <t>IT00125COC00097</t>
  </si>
  <si>
    <t>IT0012025TRT00102-FANTONI--OSOPPO-2025</t>
  </si>
  <si>
    <t>IT0012025TRT00136</t>
  </si>
  <si>
    <t>IT00125COC00118</t>
  </si>
  <si>
    <t>MARTORELL</t>
  </si>
  <si>
    <t>PROGETTO PALLET BLOCK E PALLET</t>
  </si>
  <si>
    <t>IT0012025TRT00136-IMAL--MARTORELL-2025</t>
  </si>
  <si>
    <t>IT0012025TRT00070</t>
  </si>
  <si>
    <t>IT00125COC00099</t>
  </si>
  <si>
    <t>N°2 TK</t>
  </si>
  <si>
    <t>SCHEME UNDER DEVELOPMENT</t>
  </si>
  <si>
    <t>IT0012025TRT00070-EGGER--MARKT BIBART-2025</t>
  </si>
  <si>
    <t>IT0012025TRT00099</t>
  </si>
  <si>
    <t>IT00125COC00098</t>
  </si>
  <si>
    <t>GRIGOLIN</t>
  </si>
  <si>
    <t>N°1 SCREW + TK ELONGATION</t>
  </si>
  <si>
    <t xml:space="preserve">TK MODULE TO BE CONFIRMED </t>
  </si>
  <si>
    <t>IT0012025TRT00099-PAL--GRIGOLIN-2025</t>
  </si>
  <si>
    <t>IT0012025TRT00142</t>
  </si>
  <si>
    <t>IT00125COC00096</t>
  </si>
  <si>
    <t>SCREW BLACK SAWDUST</t>
  </si>
  <si>
    <t>IT0012025TRT00142-FANTONI--OSOPPO-2025</t>
  </si>
  <si>
    <t>IT0012025TRT00030</t>
  </si>
  <si>
    <t>OC24CS-0004108</t>
  </si>
  <si>
    <t>TRUPAN</t>
  </si>
  <si>
    <t>N.3° SWIVEL SCREW CONVEYOR</t>
  </si>
  <si>
    <t>CHILE</t>
  </si>
  <si>
    <t>IT0012025TRT00030-DIEFFENBACHER-ARAUCO-TRUPAN-2025</t>
  </si>
  <si>
    <t>IT0012023TRT00192</t>
  </si>
  <si>
    <t>MERCURIO</t>
  </si>
  <si>
    <t>MOSAICO</t>
  </si>
  <si>
    <t>BURGO TOLMEZZO</t>
  </si>
  <si>
    <t>CARICO CALDAIA</t>
  </si>
  <si>
    <t>IT0012023TRT00192-MERCURIO-MOSAICO-BURGO TOLMEZZO-2025</t>
  </si>
  <si>
    <t>IT0012023TRT00144</t>
  </si>
  <si>
    <t>ENORIS</t>
  </si>
  <si>
    <t>MASSY</t>
  </si>
  <si>
    <t>IT0012023TRT00144-SERA-ENORIS-MASSY-2025</t>
  </si>
  <si>
    <t>IT0012022TRT00358</t>
  </si>
  <si>
    <t>JOUDELIAI</t>
  </si>
  <si>
    <t>IT0012022TRT00358-IMAL--JOUDELIAI-2025</t>
  </si>
  <si>
    <t>IT0012024TRT00258</t>
  </si>
  <si>
    <t>IT00125COC00105</t>
  </si>
  <si>
    <t>SCREW FOR UREA</t>
  </si>
  <si>
    <t>IT0012024TRT00258-FANTONI--OSOPPO-2025</t>
  </si>
  <si>
    <t>IT0012025TRT0139</t>
  </si>
  <si>
    <t>IT00125COC00106</t>
  </si>
  <si>
    <t>TKK 800ASH</t>
  </si>
  <si>
    <t>IT0012025TRT0139-FANTONI--OSOPPO-2025</t>
  </si>
  <si>
    <t>ARC00004</t>
  </si>
  <si>
    <t>PROMOVAL</t>
  </si>
  <si>
    <t>REDLER EKF</t>
  </si>
  <si>
    <t>ARC00004-A.R.C.E.M.I. IMPIANTI-PROMOVAL--2025</t>
  </si>
  <si>
    <t>IT0012025TRT00107</t>
  </si>
  <si>
    <t>IT00125COC00080</t>
  </si>
  <si>
    <t>TWI GHANA</t>
  </si>
  <si>
    <t>IT0012025TRT00172</t>
  </si>
  <si>
    <t>ENGIE TUAS PHARMA</t>
  </si>
  <si>
    <t>IT0012025TRT00049</t>
  </si>
  <si>
    <t>SAVIOLA</t>
  </si>
  <si>
    <t>SUSTINENTE</t>
  </si>
  <si>
    <t>IT0012025TRT00049-PAL-SAVIOLA-SUSTINENTE-2025</t>
  </si>
  <si>
    <t>IT0012025TRT00118</t>
  </si>
  <si>
    <t>IT00125COC00119</t>
  </si>
  <si>
    <t>CONVEYORS FORMING AREA</t>
  </si>
  <si>
    <t>IT0012025TRT00118-DIEFFENBACHER--WEYERHAEUSER LSL-2025</t>
  </si>
  <si>
    <t>IT0012025TRT00036</t>
  </si>
  <si>
    <t>IT0012025TRT00022</t>
  </si>
  <si>
    <t>PROVENCE HUILES</t>
  </si>
  <si>
    <t>IT0012025TRT00022-VYNCKE NV-PROVENCE HUILES-2025</t>
  </si>
  <si>
    <t>AHS HANDLING</t>
  </si>
  <si>
    <t>IT0012025TRT00012-VYNCKE NV-PGE-2025</t>
  </si>
  <si>
    <t>IT0012025TRT00048</t>
  </si>
  <si>
    <t>COC CR</t>
  </si>
  <si>
    <t>IT0012025TRT00048-SIEMPELKAMP-METRO-MDF L5-2025</t>
  </si>
  <si>
    <t>IT0012025TRT00021</t>
  </si>
  <si>
    <t>SONAE OLIVEIRA</t>
  </si>
  <si>
    <t>IT0012025TRT00021-VYNCKE NV-SONAE OLIVEIRA-2025</t>
  </si>
  <si>
    <t>IT0012025TRT00019</t>
  </si>
  <si>
    <t>CARGILL</t>
  </si>
  <si>
    <t>IT0012025TRT00019-VYNCKE NV-CARGILL-2025</t>
  </si>
  <si>
    <t>IT0012025TRT00098</t>
  </si>
  <si>
    <t>IT00125COC00123</t>
  </si>
  <si>
    <t>ARKH</t>
  </si>
  <si>
    <t>PACK</t>
  </si>
  <si>
    <t>MDF3</t>
  </si>
  <si>
    <t>CHIPS STORAGE &amp; HANDLING</t>
  </si>
  <si>
    <t>IT0012025TRT00098-ARKH-PACK-MDF3-2025</t>
  </si>
  <si>
    <t>IT0012024TRT00293</t>
  </si>
  <si>
    <t>IT00125COC00125</t>
  </si>
  <si>
    <t>IT0012024TRT00293-ARKH-PACK-MDF2-2025</t>
  </si>
  <si>
    <t>TRM ITY</t>
  </si>
  <si>
    <t>Link to PE folder</t>
  </si>
  <si>
    <t>IT00125COC00122</t>
  </si>
  <si>
    <t>IT00125COC00050</t>
  </si>
  <si>
    <t>IT00125COC00049</t>
  </si>
  <si>
    <t>FHS: 1 CLP 3 TKK19
ASH: 2 TK11 + ATC</t>
  </si>
  <si>
    <t>FHS: mancano distinte TKK19
ASH:
TK11 mancano disegni fatti correttamente</t>
  </si>
  <si>
    <t>FHS: 1 TKK19; 1COC; 1 TN650
ASH: 1 ATC</t>
  </si>
  <si>
    <t>SCHEMES TO BE FINALIZED</t>
  </si>
  <si>
    <t>TM9424-FV- BECIS-AGARTAS, SANAND GUJARAT – FUEL &amp; ASH
HANDLING SYSTEM – R3</t>
  </si>
  <si>
    <t>AGARTAS</t>
  </si>
  <si>
    <t>FHS: 1 TKK19; 1TKK24; 1COC; 2 COC DOS
ASH: 3 ATC; 1 TK??</t>
  </si>
  <si>
    <t>LAYOUT TO BE APPROVED</t>
  </si>
  <si>
    <t>IT0012025TRT00141-AGARTAS--SANAND GUJARAT-2025</t>
  </si>
  <si>
    <t>FHS: 1 TN-TM</t>
  </si>
  <si>
    <t>FHS: DWG of TNTM to be developed</t>
  </si>
  <si>
    <t>IT00125COC00598</t>
  </si>
  <si>
    <t>IT0012025TRT00181</t>
  </si>
  <si>
    <t>IT00125COC00132</t>
  </si>
  <si>
    <t>ZBASZYNEK</t>
  </si>
  <si>
    <t>FLY ASH SCREW</t>
  </si>
  <si>
    <t>IT0012025TRT00181-VYNCKE NV-IKEA-ZBASZYNEK-2025</t>
  </si>
  <si>
    <t>IT0012025TRT00184</t>
  </si>
  <si>
    <t>VANACHAI</t>
  </si>
  <si>
    <t>TKK H2O</t>
  </si>
  <si>
    <t>Vincent</t>
  </si>
  <si>
    <t>IT0012025TRT00112</t>
  </si>
  <si>
    <t>IT00125COC00120</t>
  </si>
  <si>
    <t>N.1 PNEUMATIC SLIDING GATE</t>
  </si>
  <si>
    <t>ONLY SENSOR LIST</t>
  </si>
  <si>
    <t>IT0012025TRT00112-PAL-NORBORD-WEST FRASER-2025</t>
  </si>
  <si>
    <t>IT00124SQN00346</t>
  </si>
  <si>
    <t>STADWERKE LEMGO</t>
  </si>
  <si>
    <t>IT00124SQN00346-VYNCKE NV-STADWERKE LEMGO-2025</t>
  </si>
  <si>
    <t>IT0012025TRT00190</t>
  </si>
  <si>
    <t>DISTILLERIE D' ARZENS</t>
  </si>
  <si>
    <t>IT0012025TRT00190-VYNCKE NV-DISTILLERIE D' ARZENS-2025</t>
  </si>
  <si>
    <t>ARC00005</t>
  </si>
  <si>
    <t>COLACEM</t>
  </si>
  <si>
    <t>TUNISI</t>
  </si>
  <si>
    <t>Redler KSF</t>
  </si>
  <si>
    <t>TUNISIA</t>
  </si>
  <si>
    <t>ARC00005-A.R.C.E.M.I. IMPIANTI-COLACEM-TUNISI-2025</t>
  </si>
  <si>
    <t>ARC00006</t>
  </si>
  <si>
    <t>ELEVATORE A CATENE</t>
  </si>
  <si>
    <t>IT0012025TRT00106</t>
  </si>
  <si>
    <t>IT00125COC00127</t>
  </si>
  <si>
    <t>COCLEA RECUPERO SCARTI DA WINDSIFTERS</t>
  </si>
  <si>
    <t>IT0012025TRT00198</t>
  </si>
  <si>
    <t>EASTCONSULT</t>
  </si>
  <si>
    <t>DRY SORTING LINE</t>
  </si>
  <si>
    <t>IT0012025TRT00206</t>
  </si>
  <si>
    <t>SUSBDE</t>
  </si>
  <si>
    <t>NAGPUR</t>
  </si>
  <si>
    <t>PROPOSED ZWTE FACILITY</t>
  </si>
  <si>
    <t>ARC00007</t>
  </si>
  <si>
    <t>Calce Slovacchia</t>
  </si>
  <si>
    <t>SLOVACCHIA</t>
  </si>
  <si>
    <t>IT0012025TRT00097</t>
  </si>
  <si>
    <t>IT00125COC00140</t>
  </si>
  <si>
    <t>TK LEGNO</t>
  </si>
  <si>
    <t>IT001202XTRT000XX</t>
  </si>
  <si>
    <t>IT00125COC00144</t>
  </si>
  <si>
    <t>CARMEUSE BELGIO</t>
  </si>
  <si>
    <t>IT0012025TRT00152</t>
  </si>
  <si>
    <t>IT00125COC00139</t>
  </si>
  <si>
    <t>N°2 COCLEE</t>
  </si>
  <si>
    <t>IT0012025TRT00143</t>
  </si>
  <si>
    <t>REDLER TK CARICO MULINI</t>
  </si>
  <si>
    <t/>
  </si>
  <si>
    <t>RELEASED</t>
  </si>
  <si>
    <t>MR005385</t>
  </si>
  <si>
    <t>MR005386</t>
  </si>
  <si>
    <t>Servofan</t>
  </si>
  <si>
    <t>230/400</t>
  </si>
  <si>
    <t>Also available monophase 230V 0,34A</t>
  </si>
  <si>
    <t>0,43/0,25</t>
  </si>
  <si>
    <t>Also available monophase 230V 0,27A</t>
  </si>
  <si>
    <t>0,35/0,2</t>
  </si>
  <si>
    <t>ARC00006-A.R.C.E.M.I. IMPIANTI-INDUSTRIA CALCE CASERTANA--2025</t>
  </si>
  <si>
    <t>ARC00007-A.R.C.E.M.I. IMPIANTI--Calce Slovacchia-2025</t>
  </si>
  <si>
    <t>1202-AB MAURI-AB MAURI PILIBHIT-FHS--2024</t>
  </si>
  <si>
    <t>1150-ALFAWOOD-ALFAWOOD-NEVROKOPI--2023</t>
  </si>
  <si>
    <t>768-ARAUCO--BRASIL--2017</t>
  </si>
  <si>
    <t>IT0012024TRT00266-AUSTRALIAN PANELS-BORG-BORG FLAKING AREA PB GAMBIER--2025</t>
  </si>
  <si>
    <t>1127-BIOSYLVA--BIOSYL I--2023</t>
  </si>
  <si>
    <t>1130-BIPAN--BIPAN-CARICO SFIBRATORE-2023</t>
  </si>
  <si>
    <t>1130-BIPAN--BIPAN-N°2 COCLEE, MTR FORNITI DA CLIENTE-2023</t>
  </si>
  <si>
    <t>IT0012025TRT00101-BIPAN--BIPAN--2025</t>
  </si>
  <si>
    <t>701-BIPAN S.P.A--NEW SILO FIBRA--2016</t>
  </si>
  <si>
    <t>IT0012025TRT00140-BOMBAY DYEING CO. LTD--PATALGANGA MAHARASHTRA-FHS + AHS-2025</t>
  </si>
  <si>
    <t>718-BORG--NEW PB PLANT--2016</t>
  </si>
  <si>
    <t>1096-BORG-BORG--2022</t>
  </si>
  <si>
    <t>1231-BORG LTD-BORG AUSTRALIAN PANELS-MT. GAMBIER NEW PB PLANT-2024</t>
  </si>
  <si>
    <t>846-CMP--PANTEC-2018</t>
  </si>
  <si>
    <t>721-DIEFFENBACHER-NORBORD-INVERNESS OSB-2016</t>
  </si>
  <si>
    <t>729-DIEFFENBACHER--PLACAS BRASIL-2016</t>
  </si>
  <si>
    <t>978-DIEFFENBACHER--FENGLIN CHINA-2020</t>
  </si>
  <si>
    <t>1123-DIEFFENBACHER--UNIBOARD-2023</t>
  </si>
  <si>
    <t>1213-DIEFFENBACHER-DIEFFENBACHER-LIGNATHERM-2025</t>
  </si>
  <si>
    <t>IT0012025TRT00031-DIEFFENBACHER-DIEFFENBACHER-SWPM-LULI-2025</t>
  </si>
  <si>
    <t>IT0012024TRT00319-DIEFFENBACHER PANELBOARD OY-EGGER -RION DES LANDES-2025</t>
  </si>
  <si>
    <t>832-DIEFFENBACHER-STARWOOD-STARWOOD-FORMING AREA - INEGOL-2018</t>
  </si>
  <si>
    <t>IT0012025TRT00198-EASTCONSULT--DRY SORTING LINE-2025</t>
  </si>
  <si>
    <t>732-FANTONI--ALIMENTAZ NUOVA CALDAIA-2018</t>
  </si>
  <si>
    <t>1045-FANTONI--OSOPPO-2021</t>
  </si>
  <si>
    <t>1234-FORBES VYNCKE-SARVARAYA SUGAR--2024</t>
  </si>
  <si>
    <t>IT0012025TRT00143-FRATI--POMPONESCO-2025</t>
  </si>
  <si>
    <t>1206-GREENPANEL-GREENPANEL SRIKALAHASTI -MDF 2.0 - WASHING BY PASS-2024</t>
  </si>
  <si>
    <t>713-GRUPPO MAURO SAVIOLA--SIA VIADANA-2016</t>
  </si>
  <si>
    <t>712-IMAL--GROUP FRANCOIS BELGIUM-2016</t>
  </si>
  <si>
    <t>724-IMAL-NORBORD-INVERNESS OSB-2016</t>
  </si>
  <si>
    <t>725-IMAL-KRONOSPAN-SANEM OSB-2016</t>
  </si>
  <si>
    <t>726-IMAL-PG BISON-PB PLANT - STEP 2-2016</t>
  </si>
  <si>
    <t>1182-IMAL--ELKA-2024</t>
  </si>
  <si>
    <t>IT0012025TRT00164</t>
  </si>
  <si>
    <t>IT00125COC00149</t>
  </si>
  <si>
    <t>IT0012025TRT00164-IMAL--BEESKOW-2025</t>
  </si>
  <si>
    <t>IT0012025TRT00097-INDUSTRIA CALCE CASERTANA--BUCCINO-2025</t>
  </si>
  <si>
    <t>IT0012025TRT00152-INDUSTRIA CALCE CASERTANA--BUCCINO-2025</t>
  </si>
  <si>
    <t>722-INSTALMEC-KRONOSPAN-CHIRK-2016</t>
  </si>
  <si>
    <t>854-INSTALMEC-KRONOSPAN-BURGOS C9-2019</t>
  </si>
  <si>
    <t>999-IPAN-IPAN-IPAN-2021</t>
  </si>
  <si>
    <t>723-KRONOSPAN-KRONOSPAN-FALCO-NEW DRIER-2016</t>
  </si>
  <si>
    <t>728-KRONOSPAN--SALAS-2016</t>
  </si>
  <si>
    <t>854-KRONOSPAN--BURGOS C9-2018</t>
  </si>
  <si>
    <t>854-KRONOSPAN--BURGOS C9-</t>
  </si>
  <si>
    <t>740-KRONOSPAN SL-KRONOSPAN-BURGOS-2018</t>
  </si>
  <si>
    <t>IT0012025TRT00036-METRO--MDF L5-2025</t>
  </si>
  <si>
    <t>1238-MILKY MIST-MILKY MIST--2024</t>
  </si>
  <si>
    <t>717-PAL-BORG-NEW PB PLANT-2016</t>
  </si>
  <si>
    <t>1086-PAL--PFEIFER-2023</t>
  </si>
  <si>
    <t>1248-PAL-IPAN-CONIOLO-2024</t>
  </si>
  <si>
    <t>IT001202XTRT000XX-PAL-CARMEUSE BELGIO--2025</t>
  </si>
  <si>
    <t>1243-SANATHAN TEXTILES LTD.-SANATHAN-CHANDIGARH-2024</t>
  </si>
  <si>
    <t>1195 - SERA ENERGIES--DALKIA SOLVAY SYLVIA-2024</t>
  </si>
  <si>
    <t>IT0012025TRT00148 - SERUM--MANJARI-2025</t>
  </si>
  <si>
    <t>1235-SOBONO ENERGY--REXUS BIOMASS ENERGY PLANT-2024</t>
  </si>
  <si>
    <t>IT0012025TRT00190-SOBONO ENERGY--ENGIE TUAS PHARMA-2025</t>
  </si>
  <si>
    <t>707 - SONAE--OLIVEIRA DO HOSPITAL-2016</t>
  </si>
  <si>
    <t>IT0012025TRT00058 - SONAE ARAUCO---2025</t>
  </si>
  <si>
    <t>IT0012025TRT00206-SUSBDE--NAGPUR-2025</t>
  </si>
  <si>
    <t>1051-TABLEROS HISPANOS SLU--TABLEROS HISPANOS-2022</t>
  </si>
  <si>
    <t>937-TECHNIC ONE--TECHNIC ONE VIRGINIA-</t>
  </si>
  <si>
    <t>974-TECHNIC ONE-- -2020</t>
  </si>
  <si>
    <t>IT0012025TRT00184-VANACHAI--MDF 2-2025</t>
  </si>
  <si>
    <t>1121-VYNCKE-UNILIN-USSEL-2023</t>
  </si>
  <si>
    <t>1210-VYNCKE-FINSA PADRON-FINSA PADRON-2024</t>
  </si>
  <si>
    <t>1220-VYNCKE-STABOO-FUEL HANDLING SYSTEM-2024</t>
  </si>
  <si>
    <t>1222-VYNCKE-GUYOT LAITA--2024</t>
  </si>
  <si>
    <t>1224-VYNCKE--GRAP'SUD-2024</t>
  </si>
  <si>
    <t>1225-VYNCKE--DIAGEO LINKWOOD-2024</t>
  </si>
  <si>
    <t>1228-VYNCKE--FINSA OREMBER-2024</t>
  </si>
  <si>
    <t>1239-VYNCKE--NESTLE' GIRONA II-2024</t>
  </si>
  <si>
    <t>1255-VYNCKE-BORG-BORG PB-2024</t>
  </si>
  <si>
    <t>1262-VYNCKE--NEA-2024</t>
  </si>
  <si>
    <t>IT0012025TRT00095-VYNCKE NV-BUNGE MARTFU II-2025</t>
  </si>
  <si>
    <t>IT0012025TRT00064-VYNCKE NV-ENSO ACOR-2025</t>
  </si>
  <si>
    <t>IT0012024TRT00313-VYNCKE NV-BECIS ANSELL-2025</t>
  </si>
  <si>
    <t>IT0012025TRT00045-VYNCKE NV-SIGMA-2025</t>
  </si>
  <si>
    <t>IT00125COC00131</t>
  </si>
  <si>
    <t>IT0012025TRT00131-VYNCKE NV-SHB BENIN-2025</t>
  </si>
  <si>
    <t>IT0012025TRT00013-VYNCKE NV-HOOGWEG-2025</t>
  </si>
  <si>
    <t>IT0012024TRT00327-VYNCKE NV-ILG-2025</t>
  </si>
  <si>
    <t>IT0012025TRT00132-VYNCKE NV-DRENIK-2025</t>
  </si>
  <si>
    <t>IT0012025TRT00107-VYNCKE NV-TWI GHANA-2025</t>
  </si>
  <si>
    <t>IT0012025TRT00172-VYNCKE NV-ENGIE TUAS PHARMA-2025</t>
  </si>
  <si>
    <t>1069-WINDSOR ENGINEERING-WAITOA-2022</t>
  </si>
  <si>
    <t>IT0012024TRT00231-WOODECO-GRAJEWO-2025</t>
  </si>
  <si>
    <t>966-XILO TECHNOLOGIES-KRONOSPAN UFA-2020</t>
  </si>
  <si>
    <t>1183-XILOPAN-CIGOGNOLA-2023</t>
  </si>
  <si>
    <t>1183-XILOPAN-CIGOGNOLA-2024</t>
  </si>
  <si>
    <t>r</t>
  </si>
  <si>
    <t>r-YALIAN MACHINERY CO., LTD-2024</t>
  </si>
  <si>
    <t>0,084</t>
  </si>
  <si>
    <t>0,097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</si>
</sst>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8" x14ac:knownFonts="1">
    <font>
      <sz val="8"/>
      <name val="Arial"/>
    </font>
    <font>
      <sz val="8"/>
      <name val="Arial Narrow"/>
      <family val="2"/>
    </font>
    <font>
      <sz val="10"/>
      <name val="Arial"/>
      <family val="2"/>
    </font>
    <font>
      <b/>
      <sz val="10"/>
      <name val="Arial"/>
      <family val="2"/>
    </font>
    <font>
      <b/>
      <sz val="20"/>
      <name val="Arial"/>
      <family val="2"/>
    </font>
    <font>
      <sz val="8"/>
      <name val="Arial"/>
      <family val="2"/>
    </font>
    <font>
      <sz val="9"/>
      <color indexed="81"/>
      <name val="Tahoma"/>
      <family val="2"/>
    </font>
    <font>
      <b/>
      <sz val="8"/>
      <name val="Arial"/>
      <family val="2"/>
    </font>
    <font>
      <sz val="8"/>
      <color indexed="8"/>
      <name val="Arial"/>
      <family val="2"/>
    </font>
    <font>
      <b/>
      <sz val="16"/>
      <name val="Arial"/>
      <family val="2"/>
    </font>
    <font>
      <sz val="11"/>
      <name val="Arial"/>
      <family val="2"/>
    </font>
    <font>
      <b/>
      <sz val="9"/>
      <color indexed="81"/>
      <name val="Tahoma"/>
      <family val="2"/>
    </font>
    <font>
      <b/>
      <sz val="11"/>
      <name val="Arial"/>
      <family val="2"/>
    </font>
    <font>
      <sz val="10"/>
      <color indexed="8"/>
      <name val="Arial"/>
      <family val="2"/>
    </font>
    <font>
      <b/>
      <sz val="12"/>
      <name val="Arial"/>
      <family val="2"/>
    </font>
    <font>
      <b/>
      <sz val="12"/>
      <name val="Arial Narrow"/>
      <family val="2"/>
    </font>
    <font>
      <b/>
      <sz val="7"/>
      <name val="Arial"/>
      <family val="2"/>
    </font>
    <font>
      <b/>
      <sz val="7"/>
      <color indexed="10"/>
      <name val="Arial"/>
      <family val="2"/>
    </font>
  </fonts>
  <fills count="10">
    <fill>
      <patternFill patternType="none"/>
    </fill>
    <fill>
      <patternFill patternType="gray125"/>
    </fill>
    <fill>
      <patternFill patternType="solid">
        <fgColor theme="8" tint="0.79998168889431442"/>
        <bgColor indexed="64"/>
      </patternFill>
    </fill>
    <fill>
      <patternFill patternType="solid">
        <fgColor theme="3"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8"/>
        <bgColor indexed="64"/>
      </patternFill>
    </fill>
    <fill>
      <patternFill patternType="solid">
        <fgColor theme="9"/>
        <bgColor indexed="64"/>
      </patternFill>
    </fill>
  </fills>
  <borders count="81">
    <border>
      <left/>
      <right/>
      <top/>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top/>
      <bottom/>
      <diagonal/>
    </border>
    <border>
      <left/>
      <right style="hair">
        <color indexed="64"/>
      </right>
      <top/>
      <bottom/>
      <diagonal/>
    </border>
    <border>
      <left style="hair">
        <color indexed="64"/>
      </left>
      <right style="thin">
        <color indexed="64"/>
      </right>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dashed">
        <color indexed="64"/>
      </top>
      <bottom style="dashed">
        <color indexed="64"/>
      </bottom>
      <diagonal/>
    </border>
    <border>
      <left style="hair">
        <color indexed="64"/>
      </left>
      <right style="medium">
        <color indexed="64"/>
      </right>
      <top style="dashed">
        <color indexed="64"/>
      </top>
      <bottom style="dashed">
        <color indexed="64"/>
      </bottom>
      <diagonal/>
    </border>
    <border>
      <left style="hair">
        <color indexed="64"/>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dashed">
        <color indexed="64"/>
      </top>
      <bottom style="dashed">
        <color indexed="64"/>
      </bottom>
      <diagonal/>
    </border>
    <border>
      <left/>
      <right style="hair">
        <color indexed="64"/>
      </right>
      <top style="dashed">
        <color indexed="64"/>
      </top>
      <bottom style="dashed">
        <color indexed="64"/>
      </bottom>
      <diagonal/>
    </border>
    <border>
      <left/>
      <right style="hair">
        <color indexed="64"/>
      </right>
      <top style="dashed">
        <color indexed="64"/>
      </top>
      <bottom style="medium">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medium">
        <color indexed="64"/>
      </bottom>
      <diagonal/>
    </border>
    <border>
      <left style="medium">
        <color indexed="64"/>
      </left>
      <right style="thin">
        <color indexed="64"/>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style="medium">
        <color indexed="64"/>
      </left>
      <right style="thin">
        <color indexed="64"/>
      </right>
      <top/>
      <bottom style="dashed">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hair">
        <color indexed="64"/>
      </left>
      <right style="medium">
        <color indexed="64"/>
      </right>
      <top style="thin">
        <color indexed="64"/>
      </top>
      <bottom/>
      <diagonal/>
    </border>
    <border>
      <left style="hair">
        <color indexed="64"/>
      </left>
      <right style="medium">
        <color indexed="64"/>
      </right>
      <top style="thin">
        <color indexed="64"/>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hair">
        <color indexed="64"/>
      </left>
      <right/>
      <top style="thin">
        <color indexed="64"/>
      </top>
      <bottom/>
      <diagonal/>
    </border>
    <border>
      <left/>
      <right/>
      <top style="thin">
        <color indexed="64"/>
      </top>
      <bottom/>
      <diagonal/>
    </border>
    <border>
      <left style="thin">
        <color indexed="64"/>
      </left>
      <right/>
      <top style="medium">
        <color indexed="64"/>
      </top>
      <bottom style="thin">
        <color indexed="64"/>
      </bottom>
      <diagonal/>
    </border>
    <border>
      <left style="hair">
        <color indexed="64"/>
      </left>
      <right style="hair">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right/>
      <top style="dashed">
        <color indexed="64"/>
      </top>
      <bottom style="medium">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hair">
        <color indexed="64"/>
      </right>
      <top style="thin">
        <color indexed="64"/>
      </top>
      <bottom style="dashed">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hair">
        <color indexed="64"/>
      </left>
      <right style="medium">
        <color indexed="64"/>
      </right>
      <top style="medium">
        <color indexed="64"/>
      </top>
      <bottom/>
      <diagonal/>
    </border>
    <border>
      <left style="hair">
        <color indexed="64"/>
      </left>
      <right style="medium">
        <color indexed="64"/>
      </right>
      <top/>
      <bottom style="medium">
        <color indexed="64"/>
      </bottom>
      <diagonal/>
    </border>
    <border>
      <left style="hair">
        <color indexed="64"/>
      </left>
      <right style="hair">
        <color indexed="64"/>
      </right>
      <top style="medium">
        <color indexed="64"/>
      </top>
      <bottom style="thin">
        <color indexed="64"/>
      </bottom>
      <diagonal/>
    </border>
    <border>
      <left style="thin">
        <color indexed="64"/>
      </left>
      <right style="hair">
        <color indexed="64"/>
      </right>
      <top style="medium">
        <color indexed="64"/>
      </top>
      <bottom/>
      <diagonal/>
    </border>
    <border>
      <left style="thin">
        <color indexed="64"/>
      </left>
      <right style="hair">
        <color indexed="64"/>
      </right>
      <top/>
      <bottom style="medium">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hair">
        <color indexed="64"/>
      </right>
      <top style="medium">
        <color indexed="64"/>
      </top>
      <bottom style="thin">
        <color indexed="64"/>
      </bottom>
      <diagonal/>
    </border>
    <border>
      <left style="medium">
        <color indexed="64"/>
      </left>
      <right style="hair">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hair">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style="medium">
        <color indexed="64"/>
      </top>
      <bottom/>
      <diagonal/>
    </border>
  </borders>
  <cellStyleXfs count="1">
    <xf numFmtId="0" fontId="0" fillId="0" borderId="0"/>
  </cellStyleXfs>
  <cellXfs count="175">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10" fillId="2" borderId="1" xfId="0" applyFont="1" applyFill="1" applyBorder="1" applyAlignment="1">
      <alignment horizontal="center" vertical="center" textRotation="90" wrapText="1"/>
    </xf>
    <xf numFmtId="0" fontId="10" fillId="2" borderId="2" xfId="0" applyFont="1" applyFill="1" applyBorder="1" applyAlignment="1">
      <alignment horizontal="center" vertical="center" textRotation="90" wrapText="1"/>
    </xf>
    <xf numFmtId="0" fontId="0" fillId="0" borderId="3" xfId="0" applyBorder="1" applyAlignment="1">
      <alignment horizontal="center" vertical="center"/>
    </xf>
    <xf numFmtId="0" fontId="0" fillId="0" borderId="4" xfId="0" applyBorder="1" applyAlignment="1">
      <alignment horizontal="center" vertical="center"/>
    </xf>
    <xf numFmtId="3" fontId="10" fillId="2" borderId="1" xfId="0" applyNumberFormat="1" applyFont="1" applyFill="1" applyBorder="1" applyAlignment="1">
      <alignment horizontal="center" vertical="center" textRotation="90"/>
    </xf>
    <xf numFmtId="0" fontId="12" fillId="2" borderId="1" xfId="0" applyFont="1" applyFill="1" applyBorder="1" applyAlignment="1">
      <alignment horizontal="center" vertical="center" textRotation="90"/>
    </xf>
    <xf numFmtId="0" fontId="12" fillId="2" borderId="1" xfId="0" applyFont="1" applyFill="1" applyBorder="1" applyAlignment="1">
      <alignment horizontal="center" vertical="center" textRotation="90" wrapText="1"/>
    </xf>
    <xf numFmtId="0" fontId="12" fillId="2" borderId="5" xfId="0" applyFont="1" applyFill="1" applyBorder="1" applyAlignment="1">
      <alignment horizontal="center" vertical="center" textRotation="90"/>
    </xf>
    <xf numFmtId="2" fontId="12" fillId="2" borderId="1" xfId="0" applyNumberFormat="1" applyFont="1" applyFill="1" applyBorder="1" applyAlignment="1">
      <alignment horizontal="center" vertical="center" textRotation="90" wrapText="1"/>
    </xf>
    <xf numFmtId="49" fontId="12" fillId="2" borderId="1" xfId="0" applyNumberFormat="1" applyFont="1" applyFill="1" applyBorder="1" applyAlignment="1">
      <alignment horizontal="center" vertical="center" textRotation="90"/>
    </xf>
    <xf numFmtId="49" fontId="12" fillId="2" borderId="6" xfId="0" applyNumberFormat="1" applyFont="1" applyFill="1" applyBorder="1" applyAlignment="1">
      <alignment horizontal="center" vertical="center" textRotation="90"/>
    </xf>
    <xf numFmtId="0" fontId="12" fillId="2" borderId="7" xfId="0" applyFont="1" applyFill="1" applyBorder="1" applyAlignment="1">
      <alignment horizontal="center" vertical="center" textRotation="90"/>
    </xf>
    <xf numFmtId="49" fontId="12" fillId="2" borderId="7" xfId="0" applyNumberFormat="1" applyFont="1" applyFill="1" applyBorder="1" applyAlignment="1">
      <alignment horizontal="center" vertical="center" textRotation="90"/>
    </xf>
    <xf numFmtId="0" fontId="12" fillId="2" borderId="8" xfId="0" applyFont="1" applyFill="1" applyBorder="1" applyAlignment="1">
      <alignment horizontal="center" vertical="center"/>
    </xf>
    <xf numFmtId="49" fontId="12" fillId="2" borderId="7" xfId="0" applyNumberFormat="1" applyFont="1" applyFill="1" applyBorder="1" applyAlignment="1">
      <alignment horizontal="center" vertical="center" textRotation="90" wrapText="1"/>
    </xf>
    <xf numFmtId="49" fontId="12" fillId="3" borderId="1" xfId="0" applyNumberFormat="1" applyFont="1" applyFill="1" applyBorder="1" applyAlignment="1">
      <alignment horizontal="center" vertical="center" textRotation="90" wrapText="1"/>
    </xf>
    <xf numFmtId="49" fontId="12" fillId="3" borderId="1" xfId="0" applyNumberFormat="1" applyFont="1" applyFill="1" applyBorder="1" applyAlignment="1">
      <alignment horizontal="center" vertical="center" textRotation="90"/>
    </xf>
    <xf numFmtId="0" fontId="12" fillId="2" borderId="7" xfId="0" applyFont="1" applyFill="1" applyBorder="1" applyAlignment="1">
      <alignment horizontal="center" vertical="center" textRotation="90"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10" fillId="0" borderId="0" xfId="0" applyFont="1" applyAlignment="1">
      <alignment horizontal="center" vertical="center"/>
    </xf>
    <xf numFmtId="0" fontId="2" fillId="4" borderId="12" xfId="0" applyFont="1" applyFill="1" applyBorder="1" applyAlignment="1">
      <alignment horizontal="center" vertical="center"/>
    </xf>
    <xf numFmtId="0" fontId="13" fillId="0" borderId="12" xfId="0" applyFont="1" applyBorder="1" applyAlignment="1">
      <alignment horizontal="center" vertical="center"/>
    </xf>
    <xf numFmtId="0" fontId="2" fillId="4" borderId="13" xfId="0" applyFont="1" applyFill="1" applyBorder="1" applyAlignment="1">
      <alignment horizontal="center" vertical="center"/>
    </xf>
    <xf numFmtId="0" fontId="13" fillId="0" borderId="13" xfId="0" applyFont="1" applyBorder="1" applyAlignment="1">
      <alignment horizontal="center" vertical="center"/>
    </xf>
    <xf numFmtId="0" fontId="2" fillId="4" borderId="14" xfId="0" applyFont="1" applyFill="1" applyBorder="1" applyAlignment="1">
      <alignment horizontal="center" vertical="center"/>
    </xf>
    <xf numFmtId="0" fontId="13" fillId="0" borderId="14" xfId="0" applyFont="1" applyBorder="1" applyAlignment="1">
      <alignment horizontal="center" vertical="center"/>
    </xf>
    <xf numFmtId="0" fontId="10" fillId="3" borderId="15" xfId="0" applyFont="1" applyFill="1" applyBorder="1" applyAlignment="1">
      <alignment horizontal="center" vertical="center" textRotation="90" wrapText="1"/>
    </xf>
    <xf numFmtId="0" fontId="10" fillId="3" borderId="16" xfId="0" applyFont="1" applyFill="1" applyBorder="1" applyAlignment="1">
      <alignment horizontal="center" vertical="center" textRotation="90" wrapText="1"/>
    </xf>
    <xf numFmtId="0" fontId="8" fillId="0" borderId="17" xfId="0" applyFont="1" applyBorder="1" applyAlignment="1">
      <alignment vertical="center"/>
    </xf>
    <xf numFmtId="0" fontId="8" fillId="0" borderId="18" xfId="0" applyFont="1" applyBorder="1" applyAlignment="1">
      <alignment vertical="center"/>
    </xf>
    <xf numFmtId="0" fontId="7" fillId="0" borderId="18" xfId="0" applyFont="1" applyBorder="1" applyAlignment="1">
      <alignment vertical="top" wrapText="1"/>
    </xf>
    <xf numFmtId="46" fontId="5" fillId="0" borderId="22" xfId="0" applyNumberFormat="1" applyFont="1" applyBorder="1" applyAlignment="1" applyProtection="1">
      <alignment horizontal="center" vertical="center" wrapText="1"/>
      <protection locked="0"/>
    </xf>
    <xf numFmtId="49" fontId="1" fillId="0" borderId="22" xfId="0" applyNumberFormat="1" applyFont="1" applyBorder="1" applyAlignment="1" applyProtection="1">
      <alignment horizontal="center" vertical="center" wrapText="1"/>
      <protection locked="0"/>
    </xf>
    <xf numFmtId="1" fontId="3" fillId="0" borderId="22" xfId="0" applyNumberFormat="1" applyFont="1" applyBorder="1" applyAlignment="1" applyProtection="1">
      <alignment horizontal="center" vertical="center"/>
      <protection locked="0"/>
    </xf>
    <xf numFmtId="49" fontId="1" fillId="0" borderId="23" xfId="0" applyNumberFormat="1" applyFont="1" applyBorder="1" applyAlignment="1" applyProtection="1">
      <alignment horizontal="center" vertical="center" wrapText="1"/>
      <protection locked="0"/>
    </xf>
    <xf numFmtId="1" fontId="5" fillId="0" borderId="23" xfId="0" applyNumberFormat="1" applyFont="1" applyBorder="1" applyAlignment="1" applyProtection="1">
      <alignment horizontal="center" vertical="center"/>
      <protection locked="0"/>
    </xf>
    <xf numFmtId="46" fontId="5" fillId="0" borderId="24" xfId="0" applyNumberFormat="1" applyFont="1" applyBorder="1" applyAlignment="1" applyProtection="1">
      <alignment horizontal="center" vertical="center" wrapText="1"/>
      <protection locked="0"/>
    </xf>
    <xf numFmtId="46" fontId="5" fillId="0" borderId="25" xfId="0" applyNumberFormat="1" applyFont="1" applyBorder="1" applyAlignment="1" applyProtection="1">
      <alignment horizontal="center" vertical="center" wrapText="1"/>
      <protection locked="0"/>
    </xf>
    <xf numFmtId="49" fontId="1" fillId="0" borderId="25" xfId="0" applyNumberFormat="1" applyFont="1" applyBorder="1" applyAlignment="1" applyProtection="1">
      <alignment horizontal="center" vertical="center" wrapText="1"/>
      <protection locked="0"/>
    </xf>
    <xf numFmtId="1" fontId="5" fillId="0" borderId="25" xfId="0" applyNumberFormat="1" applyFont="1" applyBorder="1" applyAlignment="1" applyProtection="1">
      <alignment horizontal="center" vertical="center"/>
      <protection locked="0"/>
    </xf>
    <xf numFmtId="46" fontId="5" fillId="0" borderId="26" xfId="0" applyNumberFormat="1" applyFont="1" applyBorder="1" applyAlignment="1" applyProtection="1">
      <alignment horizontal="center" vertical="center" wrapText="1"/>
      <protection locked="0"/>
    </xf>
    <xf numFmtId="46" fontId="5" fillId="0" borderId="27" xfId="0" applyNumberFormat="1" applyFont="1" applyBorder="1" applyAlignment="1" applyProtection="1">
      <alignment horizontal="center" vertical="center" wrapText="1"/>
      <protection locked="0"/>
    </xf>
    <xf numFmtId="46" fontId="5" fillId="0" borderId="28" xfId="0" applyNumberFormat="1" applyFont="1" applyBorder="1" applyAlignment="1" applyProtection="1">
      <alignment horizontal="center" vertical="center" wrapText="1"/>
      <protection locked="0"/>
    </xf>
    <xf numFmtId="0" fontId="3" fillId="3" borderId="12" xfId="0" applyFont="1" applyFill="1" applyBorder="1" applyAlignment="1" applyProtection="1">
      <alignment horizontal="center" vertical="center"/>
      <protection locked="0"/>
    </xf>
    <xf numFmtId="0" fontId="3" fillId="3" borderId="13" xfId="0" applyFont="1" applyFill="1" applyBorder="1" applyAlignment="1" applyProtection="1">
      <alignment horizontal="center" vertical="center"/>
      <protection locked="0"/>
    </xf>
    <xf numFmtId="0" fontId="3" fillId="3" borderId="14" xfId="0" applyFont="1" applyFill="1" applyBorder="1" applyAlignment="1" applyProtection="1">
      <alignment horizontal="center" vertical="center"/>
      <protection locked="0"/>
    </xf>
    <xf numFmtId="0" fontId="13" fillId="0" borderId="30" xfId="0" applyFont="1" applyBorder="1" applyAlignment="1">
      <alignment horizontal="center" vertic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49" fontId="12" fillId="3" borderId="34" xfId="0" applyNumberFormat="1" applyFont="1" applyFill="1" applyBorder="1" applyAlignment="1">
      <alignment horizontal="center" vertical="center" wrapText="1"/>
    </xf>
    <xf numFmtId="0" fontId="5" fillId="0" borderId="35" xfId="0" applyFont="1" applyBorder="1" applyAlignment="1">
      <alignment horizontal="center" vertical="center"/>
    </xf>
    <xf numFmtId="0" fontId="12" fillId="5" borderId="0" xfId="0" applyFont="1" applyFill="1" applyAlignment="1">
      <alignment horizontal="center" vertical="center"/>
    </xf>
    <xf numFmtId="49" fontId="10" fillId="5" borderId="32" xfId="0" applyNumberFormat="1" applyFont="1" applyFill="1" applyBorder="1" applyAlignment="1">
      <alignment horizontal="center" vertical="center" textRotation="90" wrapText="1"/>
    </xf>
    <xf numFmtId="0" fontId="5" fillId="5" borderId="0" xfId="0" applyFont="1" applyFill="1" applyAlignment="1">
      <alignment vertical="center"/>
    </xf>
    <xf numFmtId="0" fontId="5" fillId="0" borderId="20" xfId="0" applyFont="1" applyBorder="1" applyAlignment="1">
      <alignment horizontal="center" vertical="center"/>
    </xf>
    <xf numFmtId="49" fontId="5" fillId="0" borderId="9" xfId="0" applyNumberFormat="1"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pplyProtection="1">
      <alignment horizontal="center" vertical="center"/>
      <protection locked="0"/>
    </xf>
    <xf numFmtId="0" fontId="0" fillId="0" borderId="65" xfId="0" applyBorder="1" applyAlignment="1">
      <alignment horizontal="center" vertical="center"/>
    </xf>
    <xf numFmtId="46" fontId="5" fillId="0" borderId="74" xfId="0" applyNumberFormat="1" applyFont="1" applyBorder="1" applyAlignment="1">
      <alignment horizontal="center" vertical="center"/>
    </xf>
    <xf numFmtId="1" fontId="5" fillId="0" borderId="22" xfId="0" applyNumberFormat="1" applyFont="1" applyBorder="1" applyAlignment="1" applyProtection="1">
      <alignment horizontal="center" vertical="center"/>
      <protection locked="0"/>
    </xf>
    <xf numFmtId="46" fontId="5" fillId="7" borderId="26" xfId="0" applyNumberFormat="1" applyFont="1" applyFill="1" applyBorder="1" applyAlignment="1" applyProtection="1">
      <alignment horizontal="center" vertical="center" wrapText="1"/>
      <protection locked="0"/>
    </xf>
    <xf numFmtId="0" fontId="5" fillId="7" borderId="9" xfId="0" applyFont="1" applyFill="1" applyBorder="1" applyAlignment="1">
      <alignment horizontal="center" vertical="center"/>
    </xf>
    <xf numFmtId="0" fontId="3" fillId="7" borderId="13" xfId="0" applyFont="1" applyFill="1" applyBorder="1" applyAlignment="1" applyProtection="1">
      <alignment horizontal="center" vertical="center"/>
      <protection locked="0"/>
    </xf>
    <xf numFmtId="0" fontId="5" fillId="0" borderId="0" xfId="0" applyFont="1" applyAlignment="1">
      <alignment vertical="center"/>
    </xf>
    <xf numFmtId="0" fontId="0" fillId="8" borderId="0" xfId="0" applyFill="1" applyAlignment="1">
      <alignment horizontal="center" vertical="center"/>
    </xf>
    <xf numFmtId="0" fontId="0" fillId="9" borderId="0" xfId="0" applyFill="1" applyAlignment="1">
      <alignment horizontal="center" vertical="center"/>
    </xf>
    <xf numFmtId="0" fontId="5" fillId="0" borderId="10" xfId="0" applyFont="1" applyBorder="1" applyAlignment="1">
      <alignment horizontal="center" vertical="center" wrapText="1"/>
    </xf>
    <xf numFmtId="46" fontId="5" fillId="7" borderId="22" xfId="0" applyNumberFormat="1" applyFont="1" applyFill="1" applyBorder="1" applyAlignment="1" applyProtection="1">
      <alignment horizontal="center" vertical="center" wrapText="1"/>
      <protection locked="0"/>
    </xf>
    <xf numFmtId="49" fontId="1" fillId="7" borderId="22" xfId="0" applyNumberFormat="1" applyFont="1" applyFill="1" applyBorder="1" applyAlignment="1" applyProtection="1">
      <alignment horizontal="center" vertical="center" wrapText="1"/>
      <protection locked="0"/>
    </xf>
    <xf numFmtId="1" fontId="3" fillId="7" borderId="22" xfId="0" applyNumberFormat="1" applyFont="1" applyFill="1" applyBorder="1" applyAlignment="1" applyProtection="1">
      <alignment horizontal="center" vertical="center"/>
      <protection locked="0"/>
    </xf>
    <xf numFmtId="0" fontId="5" fillId="7" borderId="20" xfId="0" applyFont="1" applyFill="1" applyBorder="1" applyAlignment="1">
      <alignment horizontal="center" vertical="center"/>
    </xf>
    <xf numFmtId="49" fontId="5" fillId="7" borderId="9" xfId="0" applyNumberFormat="1" applyFont="1" applyFill="1" applyBorder="1" applyAlignment="1">
      <alignment horizontal="center" vertical="center"/>
    </xf>
    <xf numFmtId="0" fontId="5" fillId="7" borderId="9" xfId="0" applyFont="1" applyFill="1" applyBorder="1" applyAlignment="1" applyProtection="1">
      <alignment horizontal="center" vertical="center"/>
      <protection locked="0"/>
    </xf>
    <xf numFmtId="0" fontId="5" fillId="7" borderId="10" xfId="0" applyFont="1" applyFill="1" applyBorder="1" applyAlignment="1">
      <alignment horizontal="center" vertical="center"/>
    </xf>
    <xf numFmtId="0" fontId="10" fillId="3" borderId="57" xfId="0" applyFont="1" applyFill="1" applyBorder="1" applyAlignment="1">
      <alignment horizontal="center" vertical="center" textRotation="90" wrapText="1"/>
    </xf>
    <xf numFmtId="0" fontId="10" fillId="3" borderId="7" xfId="0" applyFont="1" applyFill="1" applyBorder="1" applyAlignment="1">
      <alignment horizontal="center" vertical="center" textRotation="90" wrapText="1"/>
    </xf>
    <xf numFmtId="0" fontId="10" fillId="0" borderId="39" xfId="0" applyFont="1" applyBorder="1" applyAlignment="1">
      <alignment horizontal="center" vertical="center"/>
    </xf>
    <xf numFmtId="0" fontId="10" fillId="0" borderId="38" xfId="0" applyFont="1" applyBorder="1" applyAlignment="1">
      <alignment horizontal="center" vertical="center"/>
    </xf>
    <xf numFmtId="0" fontId="10" fillId="0" borderId="40"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29" xfId="0" applyFont="1" applyBorder="1" applyAlignment="1">
      <alignment horizontal="center" vertical="center"/>
    </xf>
    <xf numFmtId="0" fontId="12" fillId="3" borderId="39" xfId="0" applyFont="1" applyFill="1" applyBorder="1" applyAlignment="1" applyProtection="1">
      <alignment horizontal="center" vertical="center"/>
      <protection locked="0"/>
    </xf>
    <xf numFmtId="0" fontId="12" fillId="3" borderId="38" xfId="0" applyFont="1" applyFill="1" applyBorder="1" applyAlignment="1" applyProtection="1">
      <alignment horizontal="center" vertical="center"/>
      <protection locked="0"/>
    </xf>
    <xf numFmtId="0" fontId="12" fillId="3" borderId="40" xfId="0" applyFont="1" applyFill="1" applyBorder="1" applyAlignment="1" applyProtection="1">
      <alignment horizontal="center" vertical="center"/>
      <protection locked="0"/>
    </xf>
    <xf numFmtId="0" fontId="12" fillId="3" borderId="75" xfId="0" applyFont="1" applyFill="1" applyBorder="1" applyAlignment="1" applyProtection="1">
      <alignment horizontal="center" vertical="center"/>
      <protection locked="0"/>
    </xf>
    <xf numFmtId="0" fontId="12" fillId="3" borderId="0" xfId="0" applyFont="1" applyFill="1" applyAlignment="1" applyProtection="1">
      <alignment horizontal="center" vertical="center"/>
      <protection locked="0"/>
    </xf>
    <xf numFmtId="0" fontId="12" fillId="3" borderId="76" xfId="0" applyFont="1" applyFill="1" applyBorder="1" applyAlignment="1" applyProtection="1">
      <alignment horizontal="center" vertical="center"/>
      <protection locked="0"/>
    </xf>
    <xf numFmtId="0" fontId="12" fillId="3" borderId="17" xfId="0" applyFont="1" applyFill="1" applyBorder="1" applyAlignment="1" applyProtection="1">
      <alignment horizontal="center" vertical="center"/>
      <protection locked="0"/>
    </xf>
    <xf numFmtId="0" fontId="12" fillId="3" borderId="18" xfId="0" applyFont="1" applyFill="1" applyBorder="1" applyAlignment="1" applyProtection="1">
      <alignment horizontal="center" vertical="center"/>
      <protection locked="0"/>
    </xf>
    <xf numFmtId="0" fontId="12" fillId="3" borderId="29" xfId="0" applyFont="1" applyFill="1" applyBorder="1" applyAlignment="1" applyProtection="1">
      <alignment horizontal="center" vertical="center"/>
      <protection locked="0"/>
    </xf>
    <xf numFmtId="0" fontId="10" fillId="3" borderId="62" xfId="0" applyFont="1" applyFill="1" applyBorder="1" applyAlignment="1">
      <alignment horizontal="center" vertical="center" textRotation="90" wrapText="1"/>
    </xf>
    <xf numFmtId="0" fontId="10" fillId="3" borderId="63" xfId="0" applyFont="1" applyFill="1" applyBorder="1" applyAlignment="1">
      <alignment horizontal="center" vertical="center" textRotation="90" wrapText="1"/>
    </xf>
    <xf numFmtId="0" fontId="7" fillId="3" borderId="28" xfId="0" applyFont="1" applyFill="1" applyBorder="1" applyAlignment="1" applyProtection="1">
      <alignment horizontal="center" vertical="center" wrapText="1"/>
      <protection locked="0"/>
    </xf>
    <xf numFmtId="0" fontId="7" fillId="3" borderId="64" xfId="0" applyFont="1" applyFill="1" applyBorder="1" applyAlignment="1" applyProtection="1">
      <alignment horizontal="center" vertical="center" wrapText="1"/>
      <protection locked="0"/>
    </xf>
    <xf numFmtId="0" fontId="3" fillId="3" borderId="12" xfId="0" applyFont="1" applyFill="1" applyBorder="1" applyAlignment="1" applyProtection="1">
      <alignment horizontal="center" vertical="center"/>
      <protection locked="0"/>
    </xf>
    <xf numFmtId="0" fontId="12" fillId="2" borderId="43" xfId="0" applyFont="1" applyFill="1" applyBorder="1" applyAlignment="1">
      <alignment horizontal="center" vertical="center"/>
    </xf>
    <xf numFmtId="0" fontId="12" fillId="2" borderId="60" xfId="0" applyFont="1" applyFill="1" applyBorder="1" applyAlignment="1">
      <alignment horizontal="center" vertical="center"/>
    </xf>
    <xf numFmtId="0" fontId="12" fillId="2" borderId="31" xfId="0" applyFont="1" applyFill="1" applyBorder="1" applyAlignment="1">
      <alignment horizontal="center" vertical="center"/>
    </xf>
    <xf numFmtId="0" fontId="16" fillId="0" borderId="77"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75" xfId="0" applyFont="1" applyBorder="1" applyAlignment="1">
      <alignment horizontal="center" vertical="center" wrapText="1"/>
    </xf>
    <xf numFmtId="0" fontId="16" fillId="0" borderId="0" xfId="0" applyFont="1" applyAlignment="1">
      <alignment horizontal="center" vertical="center" wrapText="1"/>
    </xf>
    <xf numFmtId="0" fontId="16" fillId="0" borderId="78" xfId="0" applyFont="1" applyBorder="1" applyAlignment="1">
      <alignment horizontal="center" vertical="center" wrapText="1"/>
    </xf>
    <xf numFmtId="0" fontId="16" fillId="0" borderId="79" xfId="0" applyFont="1" applyBorder="1" applyAlignment="1">
      <alignment horizontal="center" vertical="center" wrapText="1"/>
    </xf>
    <xf numFmtId="0" fontId="3" fillId="6" borderId="43" xfId="0" applyFont="1" applyFill="1" applyBorder="1" applyAlignment="1">
      <alignment horizontal="left" vertical="center" wrapText="1"/>
    </xf>
    <xf numFmtId="0" fontId="3" fillId="6" borderId="60" xfId="0" applyFont="1" applyFill="1" applyBorder="1" applyAlignment="1">
      <alignment horizontal="left" vertical="center" wrapText="1"/>
    </xf>
    <xf numFmtId="0" fontId="3" fillId="6" borderId="31" xfId="0" applyFont="1" applyFill="1" applyBorder="1" applyAlignment="1">
      <alignment horizontal="left" vertical="center" wrapText="1"/>
    </xf>
    <xf numFmtId="0" fontId="2" fillId="0" borderId="39" xfId="0" applyFont="1" applyBorder="1" applyAlignment="1">
      <alignment horizontal="center" vertical="center"/>
    </xf>
    <xf numFmtId="0" fontId="2" fillId="0" borderId="80" xfId="0" applyFont="1" applyBorder="1" applyAlignment="1">
      <alignment horizontal="center" vertical="center"/>
    </xf>
    <xf numFmtId="164" fontId="3" fillId="3" borderId="12" xfId="0" applyNumberFormat="1" applyFont="1" applyFill="1" applyBorder="1" applyAlignment="1" applyProtection="1">
      <alignment horizontal="center" vertical="center"/>
      <protection locked="0"/>
    </xf>
    <xf numFmtId="164" fontId="3" fillId="3" borderId="43" xfId="0" applyNumberFormat="1" applyFont="1" applyFill="1" applyBorder="1" applyAlignment="1" applyProtection="1">
      <alignment horizontal="center" vertical="center"/>
      <protection locked="0"/>
    </xf>
    <xf numFmtId="0" fontId="10" fillId="3" borderId="44" xfId="0" applyFont="1" applyFill="1" applyBorder="1" applyAlignment="1">
      <alignment horizontal="center" vertical="center" textRotation="90" wrapText="1"/>
    </xf>
    <xf numFmtId="0" fontId="10" fillId="3" borderId="1" xfId="0" applyFont="1" applyFill="1" applyBorder="1" applyAlignment="1">
      <alignment horizontal="center" vertical="center" textRotation="90" wrapText="1"/>
    </xf>
    <xf numFmtId="0" fontId="15" fillId="0" borderId="45" xfId="0" applyFont="1" applyBorder="1" applyAlignment="1">
      <alignment horizontal="center" wrapText="1"/>
    </xf>
    <xf numFmtId="0" fontId="15" fillId="0" borderId="46" xfId="0" applyFont="1" applyBorder="1" applyAlignment="1">
      <alignment horizontal="center" wrapText="1"/>
    </xf>
    <xf numFmtId="0" fontId="15" fillId="0" borderId="47" xfId="0" applyFont="1" applyBorder="1" applyAlignment="1">
      <alignment horizontal="center" wrapText="1"/>
    </xf>
    <xf numFmtId="0" fontId="15" fillId="0" borderId="48" xfId="0" applyFont="1" applyBorder="1" applyAlignment="1">
      <alignment horizontal="center" wrapText="1"/>
    </xf>
    <xf numFmtId="49" fontId="12" fillId="3" borderId="55" xfId="0" applyNumberFormat="1" applyFont="1" applyFill="1" applyBorder="1" applyAlignment="1">
      <alignment horizontal="center" vertical="center" wrapText="1"/>
    </xf>
    <xf numFmtId="49" fontId="12" fillId="3" borderId="56" xfId="0" applyNumberFormat="1" applyFont="1" applyFill="1" applyBorder="1" applyAlignment="1">
      <alignment horizontal="center" vertical="center" wrapText="1"/>
    </xf>
    <xf numFmtId="0" fontId="9" fillId="0" borderId="66" xfId="0" applyFont="1" applyBorder="1" applyAlignment="1">
      <alignment horizontal="center" vertical="center"/>
    </xf>
    <xf numFmtId="0" fontId="9" fillId="0" borderId="60" xfId="0" applyFont="1" applyBorder="1" applyAlignment="1">
      <alignment horizontal="center" vertical="center"/>
    </xf>
    <xf numFmtId="0" fontId="9" fillId="0" borderId="67" xfId="0" applyFont="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164" fontId="3" fillId="3" borderId="13" xfId="0" applyNumberFormat="1" applyFont="1" applyFill="1" applyBorder="1" applyAlignment="1" applyProtection="1">
      <alignment horizontal="center" vertical="center"/>
      <protection locked="0"/>
    </xf>
    <xf numFmtId="164" fontId="3" fillId="3" borderId="53" xfId="0" applyNumberFormat="1" applyFont="1" applyFill="1" applyBorder="1" applyAlignment="1" applyProtection="1">
      <alignment horizontal="center" vertical="center"/>
      <protection locked="0"/>
    </xf>
    <xf numFmtId="164" fontId="2" fillId="3" borderId="14" xfId="0" applyNumberFormat="1" applyFont="1" applyFill="1" applyBorder="1" applyAlignment="1" applyProtection="1">
      <alignment horizontal="center" vertical="center"/>
      <protection locked="0"/>
    </xf>
    <xf numFmtId="164" fontId="2" fillId="3" borderId="54" xfId="0" applyNumberFormat="1" applyFont="1" applyFill="1" applyBorder="1" applyAlignment="1" applyProtection="1">
      <alignment horizontal="center" vertical="center"/>
      <protection locked="0"/>
    </xf>
    <xf numFmtId="0" fontId="13" fillId="0" borderId="14" xfId="0" applyFont="1" applyBorder="1" applyAlignment="1">
      <alignment horizontal="center" vertical="center"/>
    </xf>
    <xf numFmtId="0" fontId="3" fillId="3" borderId="54"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3" fillId="3" borderId="13" xfId="0" applyFont="1" applyFill="1" applyBorder="1" applyAlignment="1" applyProtection="1">
      <alignment horizontal="center" vertical="center"/>
      <protection locked="0"/>
    </xf>
    <xf numFmtId="0" fontId="3" fillId="3" borderId="14" xfId="0" applyFont="1" applyFill="1" applyBorder="1" applyAlignment="1" applyProtection="1">
      <alignment horizontal="center" vertical="center"/>
      <protection locked="0"/>
    </xf>
    <xf numFmtId="49" fontId="12" fillId="2" borderId="58" xfId="0" applyNumberFormat="1" applyFont="1" applyFill="1" applyBorder="1" applyAlignment="1">
      <alignment horizontal="center" vertical="center" textRotation="90" wrapText="1"/>
    </xf>
    <xf numFmtId="49" fontId="12" fillId="2" borderId="59" xfId="0" applyNumberFormat="1" applyFont="1" applyFill="1" applyBorder="1" applyAlignment="1">
      <alignment horizontal="center" vertical="center" textRotation="90" wrapText="1"/>
    </xf>
    <xf numFmtId="0" fontId="16" fillId="0" borderId="18" xfId="0" applyFont="1" applyBorder="1" applyAlignment="1">
      <alignment horizontal="center" vertical="top" wrapText="1"/>
    </xf>
    <xf numFmtId="0" fontId="16" fillId="0" borderId="29" xfId="0" applyFont="1" applyBorder="1" applyAlignment="1">
      <alignment horizontal="center" vertical="top" wrapText="1"/>
    </xf>
    <xf numFmtId="0" fontId="16" fillId="0" borderId="68" xfId="0" applyFont="1" applyBorder="1" applyAlignment="1">
      <alignment horizontal="center" vertical="center" wrapText="1"/>
    </xf>
    <xf numFmtId="0" fontId="16" fillId="0" borderId="69" xfId="0" applyFont="1" applyBorder="1" applyAlignment="1">
      <alignment horizontal="center" vertical="center" wrapText="1"/>
    </xf>
    <xf numFmtId="0" fontId="16" fillId="0" borderId="70" xfId="0" applyFont="1" applyBorder="1" applyAlignment="1">
      <alignment horizontal="center" vertical="center" wrapText="1"/>
    </xf>
    <xf numFmtId="0" fontId="16" fillId="0" borderId="73" xfId="0" applyFont="1" applyBorder="1" applyAlignment="1">
      <alignment horizontal="center" vertical="top" wrapText="1"/>
    </xf>
    <xf numFmtId="0" fontId="16" fillId="0" borderId="71" xfId="0" applyFont="1" applyBorder="1" applyAlignment="1">
      <alignment horizontal="center" vertical="top" wrapText="1"/>
    </xf>
    <xf numFmtId="0" fontId="16" fillId="0" borderId="72" xfId="0" applyFont="1" applyBorder="1" applyAlignment="1">
      <alignment horizontal="center" vertical="top" wrapText="1"/>
    </xf>
    <xf numFmtId="49" fontId="12" fillId="2" borderId="44" xfId="0" applyNumberFormat="1" applyFont="1" applyFill="1" applyBorder="1" applyAlignment="1">
      <alignment horizontal="center" vertical="center" textRotation="90" wrapText="1"/>
    </xf>
    <xf numFmtId="49" fontId="12" fillId="2" borderId="1" xfId="0" applyNumberFormat="1" applyFont="1" applyFill="1" applyBorder="1" applyAlignment="1">
      <alignment horizontal="center" vertical="center" textRotation="90" wrapText="1"/>
    </xf>
    <xf numFmtId="49" fontId="12" fillId="2" borderId="43" xfId="0" applyNumberFormat="1" applyFont="1" applyFill="1" applyBorder="1" applyAlignment="1">
      <alignment horizontal="center" vertical="center"/>
    </xf>
    <xf numFmtId="49" fontId="12" fillId="2" borderId="60" xfId="0" applyNumberFormat="1" applyFont="1" applyFill="1" applyBorder="1" applyAlignment="1">
      <alignment horizontal="center" vertical="center"/>
    </xf>
    <xf numFmtId="49" fontId="12" fillId="2" borderId="31" xfId="0" applyNumberFormat="1" applyFont="1" applyFill="1" applyBorder="1" applyAlignment="1">
      <alignment horizontal="center" vertical="center"/>
    </xf>
    <xf numFmtId="49" fontId="12" fillId="2" borderId="61" xfId="0" applyNumberFormat="1" applyFont="1" applyFill="1" applyBorder="1" applyAlignment="1">
      <alignment horizontal="center" vertical="center" wrapText="1"/>
    </xf>
    <xf numFmtId="49" fontId="12" fillId="2" borderId="28" xfId="0" applyNumberFormat="1" applyFont="1" applyFill="1" applyBorder="1" applyAlignment="1">
      <alignment horizontal="center" vertical="center" wrapText="1"/>
    </xf>
    <xf numFmtId="0" fontId="5" fillId="0" borderId="49" xfId="0" applyFont="1" applyBorder="1" applyAlignment="1">
      <alignment horizontal="center" vertical="center"/>
    </xf>
    <xf numFmtId="0" fontId="5" fillId="0" borderId="21" xfId="0" applyFont="1" applyBorder="1" applyAlignment="1">
      <alignment horizontal="center" vertical="center"/>
    </xf>
    <xf numFmtId="46" fontId="14" fillId="0" borderId="39" xfId="0" applyNumberFormat="1" applyFont="1" applyBorder="1" applyAlignment="1" applyProtection="1">
      <alignment horizontal="center" vertical="center" wrapText="1"/>
      <protection locked="0"/>
    </xf>
    <xf numFmtId="46" fontId="14" fillId="0" borderId="38" xfId="0" applyNumberFormat="1" applyFont="1" applyBorder="1" applyAlignment="1" applyProtection="1">
      <alignment horizontal="center" vertical="center" wrapText="1"/>
      <protection locked="0"/>
    </xf>
    <xf numFmtId="46" fontId="14" fillId="0" borderId="40" xfId="0" applyNumberFormat="1" applyFont="1" applyBorder="1" applyAlignment="1" applyProtection="1">
      <alignment horizontal="center" vertical="center" wrapText="1"/>
      <protection locked="0"/>
    </xf>
    <xf numFmtId="49" fontId="12" fillId="3" borderId="41" xfId="0" applyNumberFormat="1" applyFont="1" applyFill="1" applyBorder="1" applyAlignment="1">
      <alignment horizontal="center" vertical="center" wrapText="1"/>
    </xf>
    <xf numFmtId="49" fontId="12" fillId="3" borderId="42" xfId="0" applyNumberFormat="1" applyFont="1" applyFill="1" applyBorder="1" applyAlignment="1">
      <alignment horizontal="center" vertical="center" wrapText="1"/>
    </xf>
    <xf numFmtId="0" fontId="5" fillId="0" borderId="50" xfId="0" applyFont="1" applyBorder="1" applyAlignment="1">
      <alignment horizontal="center" vertical="center"/>
    </xf>
    <xf numFmtId="0" fontId="5" fillId="0" borderId="51" xfId="0" applyFont="1" applyBorder="1" applyAlignment="1">
      <alignment horizontal="center" vertical="center"/>
    </xf>
    <xf numFmtId="0" fontId="5" fillId="0" borderId="52"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cellXfs>
  <cellStyles count="1">
    <cellStyle name="Normale"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9525</xdr:colOff>
      <xdr:row>0</xdr:row>
      <xdr:rowOff>19050</xdr:rowOff>
    </xdr:from>
    <xdr:to>
      <xdr:col>26</xdr:col>
      <xdr:colOff>352425</xdr:colOff>
      <xdr:row>0</xdr:row>
      <xdr:rowOff>390525</xdr:rowOff>
    </xdr:to>
    <xdr:pic>
      <xdr:nvPicPr>
        <xdr:cNvPr id="1711" name="Immagine 1">
          <a:extLst>
            <a:ext uri="{FF2B5EF4-FFF2-40B4-BE49-F238E27FC236}">
              <a16:creationId xmlns:a16="http://schemas.microsoft.com/office/drawing/2014/main" id="{8EB5F064-3398-4BF6-870E-2BCEFB24BD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96675" y="19050"/>
          <a:ext cx="3429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56030</xdr:colOff>
      <xdr:row>0</xdr:row>
      <xdr:rowOff>156882</xdr:rowOff>
    </xdr:from>
    <xdr:to>
      <xdr:col>37</xdr:col>
      <xdr:colOff>1884830</xdr:colOff>
      <xdr:row>1</xdr:row>
      <xdr:rowOff>208989</xdr:rowOff>
    </xdr:to>
    <xdr:pic>
      <xdr:nvPicPr>
        <xdr:cNvPr id="2" name="Immagine 1">
          <a:extLst>
            <a:ext uri="{FF2B5EF4-FFF2-40B4-BE49-F238E27FC236}">
              <a16:creationId xmlns:a16="http://schemas.microsoft.com/office/drawing/2014/main" id="{304297FE-D2E5-07ED-0394-A099E9B852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84471" y="156882"/>
          <a:ext cx="1828800" cy="4667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01%20-%20ARCHIVIO%20UFF-TECNICO\03%20-%20MOTOR-LIST\00-Motor%20list%20part%20numbering.xls" TargetMode="External"/><Relationship Id="rId1" Type="http://schemas.openxmlformats.org/officeDocument/2006/relationships/externalLinkPath" Target="00-Motor%20list%20part%20number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glio1"/>
      <sheetName val="Foglio2"/>
      <sheetName val="Anagrafica Modelli 3D"/>
    </sheetNames>
    <sheetDataSet>
      <sheetData sheetId="0">
        <row r="1">
          <cell r="A1" t="str">
            <v>MOTOR LIST PART NUMBERING</v>
          </cell>
          <cell r="AD1" t="str">
            <v>TRASMEC s.r.l.
Via Bergamo, 2/a - 26011 Casalbuttano
Technical dept.</v>
          </cell>
        </row>
        <row r="2">
          <cell r="A2" t="str">
            <v>GEAR MOTOR BASIC DATA</v>
          </cell>
          <cell r="Q2" t="str">
            <v>EQUIPMENTS</v>
          </cell>
        </row>
        <row r="3">
          <cell r="A3" t="str">
            <v>ITEM NUMBER
(Yellow: work status)</v>
          </cell>
          <cell r="B3" t="str">
            <v>Article</v>
          </cell>
          <cell r="C3" t="str">
            <v>kW</v>
          </cell>
          <cell r="D3" t="str">
            <v>rpm at 50HZ</v>
          </cell>
          <cell r="E3" t="str">
            <v>TYPE</v>
          </cell>
          <cell r="F3" t="str">
            <v>Nm</v>
          </cell>
          <cell r="G3" t="str">
            <v>i</v>
          </cell>
          <cell r="H3" t="str">
            <v>Fb</v>
          </cell>
          <cell r="I3" t="str">
            <v>Mounting
position</v>
          </cell>
          <cell r="J3" t="str">
            <v>Efficiency class
(STD: IE3)</v>
          </cell>
          <cell r="K3" t="str">
            <v>V (preferire configuraz
 230/400 alla 400/690</v>
          </cell>
          <cell r="L3" t="str">
            <v>installation Hz</v>
          </cell>
          <cell r="M3" t="str">
            <v>A</v>
          </cell>
          <cell r="N3" t="str">
            <v>IP</v>
          </cell>
          <cell r="O3" t="str">
            <v>Thermal class</v>
          </cell>
          <cell r="P3" t="str">
            <v>JB position</v>
          </cell>
          <cell r="Q3" t="str">
            <v>Temperature protection</v>
          </cell>
          <cell r="R3" t="str">
            <v>Forced cooling fan
(same tension of the motor)</v>
          </cell>
          <cell r="S3" t="str">
            <v>RS
(back stop)</v>
          </cell>
          <cell r="T3" t="str">
            <v xml:space="preserve">Brake
 (Std: 400V 1Phase)
</v>
          </cell>
          <cell r="U3" t="str">
            <v>T=Torque arm
G=Rubber buffers</v>
          </cell>
          <cell r="V3" t="str">
            <v>Starter type</v>
          </cell>
          <cell r="W3" t="str">
            <v>Strip heater resistance
(std 230V 1Phase)</v>
          </cell>
          <cell r="X3" t="str">
            <v xml:space="preserve"> Oil type
NOTE: IN ATEX CONDITION ONLY SYNTHETIC OIL
</v>
          </cell>
          <cell r="Y3" t="str">
            <v>DENOMINATION</v>
          </cell>
          <cell r="Z3" t="str">
            <v>SUPPLIER</v>
          </cell>
          <cell r="AA3" t="str">
            <v>Painting</v>
          </cell>
          <cell r="AB3" t="str">
            <v>ATEX</v>
          </cell>
          <cell r="AC3" t="str">
            <v>Encoder integrato</v>
          </cell>
          <cell r="AD3" t="str">
            <v>Marcatura (Europa/Canada/USA/Brasile/Giappone/ecc)</v>
          </cell>
          <cell r="AE3" t="str">
            <v>NOTE</v>
          </cell>
          <cell r="AF3" t="str">
            <v>rpm at installation HZ</v>
          </cell>
          <cell r="AG3" t="str">
            <v>MOTOR</v>
          </cell>
          <cell r="AH3" t="str">
            <v>Symplified 3D model code</v>
          </cell>
        </row>
        <row r="4">
          <cell r="A4" t="str">
            <v>MR000001</v>
          </cell>
          <cell r="B4" t="str">
            <v>MR</v>
          </cell>
          <cell r="C4">
            <v>15</v>
          </cell>
          <cell r="D4">
            <v>12</v>
          </cell>
          <cell r="E4" t="str">
            <v>KH157</v>
          </cell>
          <cell r="F4">
            <v>11800</v>
          </cell>
          <cell r="G4">
            <v>122.39</v>
          </cell>
          <cell r="H4">
            <v>1.5</v>
          </cell>
          <cell r="I4" t="str">
            <v>from M4A to M1A-20°</v>
          </cell>
          <cell r="J4" t="str">
            <v>IE3</v>
          </cell>
          <cell r="K4">
            <v>400</v>
          </cell>
          <cell r="L4">
            <v>50</v>
          </cell>
          <cell r="M4">
            <v>29</v>
          </cell>
          <cell r="N4">
            <v>55</v>
          </cell>
          <cell r="O4" t="str">
            <v>F</v>
          </cell>
          <cell r="P4" t="str">
            <v>180°</v>
          </cell>
          <cell r="R4" t="str">
            <v>-</v>
          </cell>
          <cell r="V4" t="str">
            <v>SS</v>
          </cell>
          <cell r="W4" t="str">
            <v>230V</v>
          </cell>
          <cell r="X4" t="str">
            <v>CLP HC VG 150 = -40° + 40°</v>
          </cell>
          <cell r="Y4" t="str">
            <v>KH157DRN160L4</v>
          </cell>
          <cell r="Z4" t="str">
            <v>SEW</v>
          </cell>
          <cell r="AE4" t="str">
            <v>syntetic oil</v>
          </cell>
          <cell r="AH4" t="str">
            <v>KH157-A180-X</v>
          </cell>
        </row>
        <row r="5">
          <cell r="A5" t="str">
            <v>MR000002</v>
          </cell>
          <cell r="B5" t="str">
            <v>MR</v>
          </cell>
          <cell r="C5">
            <v>15</v>
          </cell>
          <cell r="D5">
            <v>12</v>
          </cell>
          <cell r="E5" t="str">
            <v>KH157</v>
          </cell>
          <cell r="F5">
            <v>11800</v>
          </cell>
          <cell r="G5">
            <v>122.39</v>
          </cell>
          <cell r="H5">
            <v>1.5</v>
          </cell>
          <cell r="I5" t="str">
            <v>from M4B to M1B-20°</v>
          </cell>
          <cell r="J5" t="str">
            <v>IE3</v>
          </cell>
          <cell r="K5">
            <v>400</v>
          </cell>
          <cell r="L5">
            <v>50</v>
          </cell>
          <cell r="M5">
            <v>29</v>
          </cell>
          <cell r="N5">
            <v>55</v>
          </cell>
          <cell r="O5" t="str">
            <v>F</v>
          </cell>
          <cell r="P5" t="str">
            <v>0°</v>
          </cell>
          <cell r="R5" t="str">
            <v>-</v>
          </cell>
          <cell r="V5" t="str">
            <v>SS</v>
          </cell>
          <cell r="W5" t="str">
            <v>230V</v>
          </cell>
          <cell r="X5" t="str">
            <v>CLP HC VG 150 = -40° + 40°</v>
          </cell>
          <cell r="Y5" t="str">
            <v>KH157DRN160L4</v>
          </cell>
          <cell r="Z5" t="str">
            <v>SEW</v>
          </cell>
          <cell r="AE5" t="str">
            <v>syntetic oil</v>
          </cell>
          <cell r="AH5" t="str">
            <v>KH157-B0-X</v>
          </cell>
        </row>
        <row r="6">
          <cell r="A6" t="str">
            <v>MR000003</v>
          </cell>
          <cell r="B6" t="str">
            <v>MR</v>
          </cell>
          <cell r="C6">
            <v>11</v>
          </cell>
          <cell r="D6">
            <v>16</v>
          </cell>
          <cell r="E6" t="str">
            <v>KH107</v>
          </cell>
          <cell r="F6">
            <v>6480</v>
          </cell>
          <cell r="G6">
            <v>90.96</v>
          </cell>
          <cell r="H6">
            <v>1.25</v>
          </cell>
          <cell r="I6" t="str">
            <v>From M1B to M2B - 25°</v>
          </cell>
          <cell r="J6" t="str">
            <v>IE3</v>
          </cell>
          <cell r="K6">
            <v>400</v>
          </cell>
          <cell r="L6">
            <v>50</v>
          </cell>
          <cell r="M6">
            <v>21</v>
          </cell>
          <cell r="N6">
            <v>55</v>
          </cell>
          <cell r="O6" t="str">
            <v>F</v>
          </cell>
          <cell r="P6" t="str">
            <v>0°</v>
          </cell>
          <cell r="R6" t="str">
            <v>-</v>
          </cell>
          <cell r="V6" t="str">
            <v>SS</v>
          </cell>
          <cell r="W6" t="str">
            <v>230V</v>
          </cell>
          <cell r="X6" t="str">
            <v>CLP HC VG 150 = -40° + 40°</v>
          </cell>
          <cell r="Y6" t="str">
            <v>KH107DRN160M4</v>
          </cell>
          <cell r="Z6" t="str">
            <v>SEW</v>
          </cell>
          <cell r="AE6" t="str">
            <v>syntetic oil</v>
          </cell>
          <cell r="AH6" t="str">
            <v>KH107-B0-X</v>
          </cell>
        </row>
        <row r="7">
          <cell r="A7" t="str">
            <v>MR000004</v>
          </cell>
          <cell r="B7" t="str">
            <v>MR</v>
          </cell>
          <cell r="C7">
            <v>5.5</v>
          </cell>
          <cell r="D7">
            <v>82</v>
          </cell>
          <cell r="E7" t="str">
            <v>R77</v>
          </cell>
          <cell r="F7">
            <v>640</v>
          </cell>
          <cell r="G7">
            <v>17.82</v>
          </cell>
          <cell r="H7">
            <v>1.2</v>
          </cell>
          <cell r="I7" t="str">
            <v>M1</v>
          </cell>
          <cell r="J7" t="str">
            <v>IE3</v>
          </cell>
          <cell r="K7">
            <v>400</v>
          </cell>
          <cell r="L7">
            <v>50</v>
          </cell>
          <cell r="N7">
            <v>55</v>
          </cell>
          <cell r="O7" t="str">
            <v>F</v>
          </cell>
          <cell r="P7" t="str">
            <v>270°</v>
          </cell>
          <cell r="R7" t="str">
            <v>-</v>
          </cell>
          <cell r="V7" t="str">
            <v>D</v>
          </cell>
          <cell r="X7" t="str">
            <v>CLP (CC) VG 220 = -15° + 40°</v>
          </cell>
          <cell r="Y7" t="str">
            <v>R77 DRN132S4 IE3</v>
          </cell>
          <cell r="Z7" t="str">
            <v>SEW</v>
          </cell>
          <cell r="AH7" t="str">
            <v>R77-270-X</v>
          </cell>
        </row>
        <row r="8">
          <cell r="A8" t="str">
            <v>MR000005</v>
          </cell>
          <cell r="B8" t="str">
            <v>MR</v>
          </cell>
          <cell r="C8">
            <v>37</v>
          </cell>
          <cell r="D8">
            <v>37</v>
          </cell>
          <cell r="E8" t="str">
            <v>R147</v>
          </cell>
          <cell r="F8">
            <v>9600</v>
          </cell>
          <cell r="G8">
            <v>40.29</v>
          </cell>
          <cell r="H8">
            <v>1.35</v>
          </cell>
          <cell r="I8" t="str">
            <v>M1</v>
          </cell>
          <cell r="J8" t="str">
            <v>IE3</v>
          </cell>
          <cell r="K8">
            <v>400</v>
          </cell>
          <cell r="L8">
            <v>50</v>
          </cell>
          <cell r="N8">
            <v>55</v>
          </cell>
          <cell r="O8" t="str">
            <v>F</v>
          </cell>
          <cell r="P8" t="str">
            <v>270°</v>
          </cell>
          <cell r="R8" t="str">
            <v>-</v>
          </cell>
          <cell r="S8" t="str">
            <v>Free rotation CW</v>
          </cell>
          <cell r="V8" t="str">
            <v>D</v>
          </cell>
          <cell r="X8" t="str">
            <v>CLP (CC) VG 220 = -15° + 40°</v>
          </cell>
          <cell r="Y8" t="str">
            <v>R147DRN225S4</v>
          </cell>
          <cell r="Z8" t="str">
            <v>SEW</v>
          </cell>
          <cell r="AE8" t="str">
            <v>rotazione libera: oraria</v>
          </cell>
          <cell r="AH8" t="str">
            <v>R147-270-X</v>
          </cell>
        </row>
        <row r="9">
          <cell r="A9" t="str">
            <v>MR000006</v>
          </cell>
          <cell r="B9" t="str">
            <v>MR</v>
          </cell>
          <cell r="C9">
            <v>7.5</v>
          </cell>
          <cell r="D9">
            <v>77</v>
          </cell>
          <cell r="E9" t="str">
            <v>R87</v>
          </cell>
          <cell r="F9">
            <v>930</v>
          </cell>
          <cell r="G9">
            <v>1910</v>
          </cell>
          <cell r="H9">
            <v>1.55</v>
          </cell>
          <cell r="I9" t="str">
            <v>M1</v>
          </cell>
          <cell r="J9" t="str">
            <v>IE3</v>
          </cell>
          <cell r="K9">
            <v>400</v>
          </cell>
          <cell r="L9">
            <v>50</v>
          </cell>
          <cell r="M9">
            <v>15.2</v>
          </cell>
          <cell r="N9">
            <v>55</v>
          </cell>
          <cell r="O9" t="str">
            <v>F</v>
          </cell>
          <cell r="P9" t="str">
            <v>270°</v>
          </cell>
          <cell r="R9" t="str">
            <v>-</v>
          </cell>
          <cell r="V9" t="str">
            <v>D</v>
          </cell>
          <cell r="X9" t="str">
            <v>CLP (CC) VG 220 = -15° + 40°</v>
          </cell>
          <cell r="Y9" t="str">
            <v>R87 DRN132M4 IE3</v>
          </cell>
          <cell r="Z9" t="str">
            <v>SEW</v>
          </cell>
          <cell r="AH9" t="str">
            <v>R87-270-X</v>
          </cell>
        </row>
        <row r="10">
          <cell r="A10" t="str">
            <v>MR000007</v>
          </cell>
          <cell r="B10" t="str">
            <v>MR</v>
          </cell>
          <cell r="C10">
            <v>45</v>
          </cell>
          <cell r="D10">
            <v>37</v>
          </cell>
          <cell r="E10" t="str">
            <v>R167</v>
          </cell>
          <cell r="F10">
            <v>11500</v>
          </cell>
          <cell r="G10">
            <v>39.92</v>
          </cell>
          <cell r="H10">
            <v>1.55</v>
          </cell>
          <cell r="I10" t="str">
            <v>M1</v>
          </cell>
          <cell r="J10" t="str">
            <v>IE3</v>
          </cell>
          <cell r="K10">
            <v>400</v>
          </cell>
          <cell r="L10">
            <v>50</v>
          </cell>
          <cell r="N10">
            <v>55</v>
          </cell>
          <cell r="O10" t="str">
            <v>F</v>
          </cell>
          <cell r="P10" t="str">
            <v>270°</v>
          </cell>
          <cell r="R10" t="str">
            <v>-</v>
          </cell>
          <cell r="S10" t="str">
            <v>Free rotation CCW</v>
          </cell>
          <cell r="V10" t="str">
            <v>D</v>
          </cell>
          <cell r="X10" t="str">
            <v>CLP (CC) VG 220 = -15° + 40°</v>
          </cell>
          <cell r="Y10" t="str">
            <v>R167DRN225M4</v>
          </cell>
          <cell r="Z10" t="str">
            <v>SEW</v>
          </cell>
          <cell r="AE10" t="str">
            <v>rotazione libera: antioraria</v>
          </cell>
          <cell r="AH10" t="str">
            <v>R167-270-X</v>
          </cell>
        </row>
        <row r="11">
          <cell r="A11" t="str">
            <v>MR000008</v>
          </cell>
          <cell r="B11" t="str">
            <v>MR</v>
          </cell>
          <cell r="C11">
            <v>11</v>
          </cell>
          <cell r="D11">
            <v>66</v>
          </cell>
          <cell r="E11" t="str">
            <v>KH97</v>
          </cell>
          <cell r="F11">
            <v>1590</v>
          </cell>
          <cell r="G11">
            <v>22.37</v>
          </cell>
          <cell r="H11">
            <v>2.7</v>
          </cell>
          <cell r="I11" t="str">
            <v>M4A</v>
          </cell>
          <cell r="J11" t="str">
            <v>IE3</v>
          </cell>
          <cell r="K11">
            <v>400</v>
          </cell>
          <cell r="L11">
            <v>50</v>
          </cell>
          <cell r="M11">
            <v>21</v>
          </cell>
          <cell r="N11">
            <v>55</v>
          </cell>
          <cell r="O11" t="str">
            <v>F</v>
          </cell>
          <cell r="P11" t="str">
            <v>270°</v>
          </cell>
          <cell r="R11" t="str">
            <v>-</v>
          </cell>
          <cell r="U11" t="str">
            <v>T</v>
          </cell>
          <cell r="V11" t="str">
            <v>SS</v>
          </cell>
          <cell r="X11" t="str">
            <v>CLP (CC) VG 220 = -15° + 40°</v>
          </cell>
          <cell r="Y11" t="str">
            <v>KH97/T DRN160M4</v>
          </cell>
          <cell r="Z11" t="str">
            <v>SEW</v>
          </cell>
          <cell r="AH11" t="str">
            <v>KH97T-A270-X</v>
          </cell>
        </row>
        <row r="12">
          <cell r="A12" t="str">
            <v>MR000009</v>
          </cell>
          <cell r="B12" t="str">
            <v>MR</v>
          </cell>
          <cell r="C12">
            <v>0.75</v>
          </cell>
          <cell r="D12">
            <v>162</v>
          </cell>
          <cell r="E12" t="str">
            <v>KA37</v>
          </cell>
          <cell r="F12">
            <v>44</v>
          </cell>
          <cell r="G12">
            <v>8.91</v>
          </cell>
          <cell r="H12">
            <v>3.6</v>
          </cell>
          <cell r="I12" t="str">
            <v>M1A</v>
          </cell>
          <cell r="J12" t="str">
            <v>IE3</v>
          </cell>
          <cell r="K12">
            <v>400</v>
          </cell>
          <cell r="L12">
            <v>50</v>
          </cell>
          <cell r="M12">
            <v>1.75</v>
          </cell>
          <cell r="N12">
            <v>55</v>
          </cell>
          <cell r="O12" t="str">
            <v>F(105°C)</v>
          </cell>
          <cell r="P12" t="str">
            <v>270°</v>
          </cell>
          <cell r="Q12" t="str">
            <v>-</v>
          </cell>
          <cell r="R12" t="str">
            <v>-</v>
          </cell>
          <cell r="S12" t="str">
            <v>-</v>
          </cell>
          <cell r="T12" t="str">
            <v>-</v>
          </cell>
          <cell r="U12" t="str">
            <v>T</v>
          </cell>
          <cell r="V12" t="str">
            <v>D</v>
          </cell>
          <cell r="W12" t="str">
            <v>-</v>
          </cell>
          <cell r="X12" t="str">
            <v>CLP (CC) VG 220 = -15° + 40°</v>
          </cell>
          <cell r="Y12" t="str">
            <v>KA37/TDRN80M4</v>
          </cell>
          <cell r="Z12" t="str">
            <v>SEW</v>
          </cell>
          <cell r="AB12" t="str">
            <v>-</v>
          </cell>
          <cell r="AF12">
            <v>162</v>
          </cell>
          <cell r="AH12" t="str">
            <v>KA37T-A270-X</v>
          </cell>
        </row>
        <row r="13">
          <cell r="A13" t="str">
            <v>MR000010</v>
          </cell>
          <cell r="B13" t="str">
            <v>MR</v>
          </cell>
          <cell r="C13">
            <v>1.5</v>
          </cell>
          <cell r="D13">
            <v>3.8</v>
          </cell>
          <cell r="E13" t="str">
            <v>KA97R57</v>
          </cell>
          <cell r="F13">
            <v>3440</v>
          </cell>
          <cell r="G13">
            <v>382</v>
          </cell>
          <cell r="H13">
            <v>1.25</v>
          </cell>
          <cell r="I13" t="str">
            <v>M3B</v>
          </cell>
          <cell r="J13" t="str">
            <v>IE3</v>
          </cell>
          <cell r="K13">
            <v>400</v>
          </cell>
          <cell r="L13">
            <v>50</v>
          </cell>
          <cell r="M13">
            <v>3.4</v>
          </cell>
          <cell r="N13">
            <v>55</v>
          </cell>
          <cell r="O13" t="str">
            <v>F</v>
          </cell>
          <cell r="P13" t="str">
            <v>90°</v>
          </cell>
          <cell r="R13" t="str">
            <v>-</v>
          </cell>
          <cell r="T13" t="str">
            <v>BE</v>
          </cell>
          <cell r="U13" t="str">
            <v>T</v>
          </cell>
          <cell r="V13" t="str">
            <v>D</v>
          </cell>
          <cell r="X13" t="str">
            <v>CLP (CC) VG 220 = -15° + 40°</v>
          </cell>
          <cell r="Y13" t="str">
            <v>KA97R57/T DRN90L4 BE</v>
          </cell>
          <cell r="Z13" t="str">
            <v>SEW</v>
          </cell>
          <cell r="AH13" t="str">
            <v>KA97R57T-B90-X</v>
          </cell>
        </row>
        <row r="14">
          <cell r="A14" t="str">
            <v>MR000011</v>
          </cell>
          <cell r="B14" t="str">
            <v>MR</v>
          </cell>
          <cell r="C14">
            <v>11</v>
          </cell>
          <cell r="D14">
            <v>66</v>
          </cell>
          <cell r="E14" t="str">
            <v>KH97</v>
          </cell>
          <cell r="F14">
            <v>1590</v>
          </cell>
          <cell r="G14">
            <v>22.37</v>
          </cell>
          <cell r="H14">
            <v>2.7</v>
          </cell>
          <cell r="I14" t="str">
            <v>M4A</v>
          </cell>
          <cell r="J14" t="str">
            <v>IE3</v>
          </cell>
          <cell r="K14">
            <v>400</v>
          </cell>
          <cell r="L14">
            <v>50</v>
          </cell>
          <cell r="M14">
            <v>21</v>
          </cell>
          <cell r="N14">
            <v>55</v>
          </cell>
          <cell r="O14" t="str">
            <v>F</v>
          </cell>
          <cell r="P14" t="str">
            <v>270°</v>
          </cell>
          <cell r="R14" t="str">
            <v>-</v>
          </cell>
          <cell r="U14" t="str">
            <v>T</v>
          </cell>
          <cell r="V14" t="str">
            <v>SS+R</v>
          </cell>
          <cell r="X14" t="str">
            <v>CLP (CC) VG 220 = -15° + 40°</v>
          </cell>
          <cell r="Y14" t="str">
            <v>KH97/T DRN160M4</v>
          </cell>
          <cell r="Z14" t="str">
            <v>SEW</v>
          </cell>
          <cell r="AH14" t="str">
            <v>KH97T-A270-X</v>
          </cell>
        </row>
        <row r="15">
          <cell r="A15" t="str">
            <v>MR000012</v>
          </cell>
          <cell r="B15" t="str">
            <v>MR</v>
          </cell>
          <cell r="C15">
            <v>11</v>
          </cell>
          <cell r="D15">
            <v>66</v>
          </cell>
          <cell r="E15" t="str">
            <v>KH97</v>
          </cell>
          <cell r="F15">
            <v>1590</v>
          </cell>
          <cell r="G15">
            <v>22.37</v>
          </cell>
          <cell r="H15">
            <v>2.7</v>
          </cell>
          <cell r="I15" t="str">
            <v>M4B</v>
          </cell>
          <cell r="J15" t="str">
            <v>IE3</v>
          </cell>
          <cell r="K15">
            <v>400</v>
          </cell>
          <cell r="L15">
            <v>50</v>
          </cell>
          <cell r="M15">
            <v>21</v>
          </cell>
          <cell r="N15">
            <v>55</v>
          </cell>
          <cell r="O15" t="str">
            <v>F</v>
          </cell>
          <cell r="P15" t="str">
            <v>270°</v>
          </cell>
          <cell r="R15" t="str">
            <v>-</v>
          </cell>
          <cell r="U15" t="str">
            <v>T</v>
          </cell>
          <cell r="V15" t="str">
            <v>SS+R</v>
          </cell>
          <cell r="X15" t="str">
            <v>CLP (CC) VG 220 = -15° + 40°</v>
          </cell>
          <cell r="Y15" t="str">
            <v>KH97/T DRN160M4</v>
          </cell>
          <cell r="Z15" t="str">
            <v>SEW</v>
          </cell>
          <cell r="AH15" t="str">
            <v>KH97T-B270-X</v>
          </cell>
        </row>
        <row r="16">
          <cell r="A16" t="str">
            <v>MR000013</v>
          </cell>
          <cell r="B16" t="str">
            <v>MR</v>
          </cell>
          <cell r="C16">
            <v>15</v>
          </cell>
          <cell r="D16">
            <v>13</v>
          </cell>
          <cell r="E16" t="str">
            <v>KH127</v>
          </cell>
          <cell r="F16">
            <v>10700</v>
          </cell>
          <cell r="G16">
            <v>110.18</v>
          </cell>
          <cell r="H16">
            <v>1.2</v>
          </cell>
          <cell r="I16" t="str">
            <v>M1A</v>
          </cell>
          <cell r="J16" t="str">
            <v>IE3</v>
          </cell>
          <cell r="K16">
            <v>480</v>
          </cell>
          <cell r="L16">
            <v>60</v>
          </cell>
          <cell r="M16">
            <v>29</v>
          </cell>
          <cell r="N16">
            <v>56</v>
          </cell>
          <cell r="O16" t="str">
            <v>F</v>
          </cell>
          <cell r="P16" t="str">
            <v>180°</v>
          </cell>
          <cell r="Q16" t="str">
            <v>TF</v>
          </cell>
          <cell r="R16" t="str">
            <v>480V V</v>
          </cell>
          <cell r="V16" t="str">
            <v>FC</v>
          </cell>
          <cell r="W16" t="str">
            <v>115V</v>
          </cell>
          <cell r="X16" t="str">
            <v>CLP HC VG 150 = -40° + 40°</v>
          </cell>
          <cell r="Y16" t="str">
            <v xml:space="preserve">KH127 DRN160L4-TF-V   </v>
          </cell>
          <cell r="Z16" t="str">
            <v>SEW</v>
          </cell>
          <cell r="AE16" t="str">
            <v>NEMA5/UL/NPT terminal box</v>
          </cell>
          <cell r="AH16" t="str">
            <v>KH127-A180-X#</v>
          </cell>
        </row>
        <row r="17">
          <cell r="A17" t="str">
            <v>MR000014</v>
          </cell>
          <cell r="B17" t="str">
            <v>MR</v>
          </cell>
          <cell r="C17">
            <v>15</v>
          </cell>
          <cell r="D17">
            <v>13</v>
          </cell>
          <cell r="E17" t="str">
            <v>KH127</v>
          </cell>
          <cell r="F17">
            <v>10700</v>
          </cell>
          <cell r="G17">
            <v>110.18</v>
          </cell>
          <cell r="H17">
            <v>1.2</v>
          </cell>
          <cell r="I17" t="str">
            <v>M1B</v>
          </cell>
          <cell r="J17" t="str">
            <v>IE3</v>
          </cell>
          <cell r="K17">
            <v>480</v>
          </cell>
          <cell r="L17">
            <v>60</v>
          </cell>
          <cell r="M17">
            <v>29</v>
          </cell>
          <cell r="N17">
            <v>56</v>
          </cell>
          <cell r="O17" t="str">
            <v>F</v>
          </cell>
          <cell r="P17" t="str">
            <v>0°</v>
          </cell>
          <cell r="Q17" t="str">
            <v>TF</v>
          </cell>
          <cell r="R17" t="str">
            <v>480V V</v>
          </cell>
          <cell r="V17" t="str">
            <v>FC</v>
          </cell>
          <cell r="W17" t="str">
            <v>115V</v>
          </cell>
          <cell r="X17" t="str">
            <v>CLP HC VG 150 = -40° + 40°</v>
          </cell>
          <cell r="Y17" t="str">
            <v xml:space="preserve">KH127 DRN160L4-TF-V   </v>
          </cell>
          <cell r="Z17" t="str">
            <v>SEW</v>
          </cell>
          <cell r="AE17" t="str">
            <v>NEMA5/UL/NPT terminal box</v>
          </cell>
          <cell r="AH17" t="str">
            <v>KH127-B0-X#</v>
          </cell>
        </row>
        <row r="18">
          <cell r="A18" t="str">
            <v>MR000015</v>
          </cell>
          <cell r="B18" t="str">
            <v>MR</v>
          </cell>
          <cell r="C18">
            <v>9.1999999999999993</v>
          </cell>
          <cell r="D18">
            <v>15</v>
          </cell>
          <cell r="E18" t="str">
            <v>KH107</v>
          </cell>
          <cell r="F18">
            <v>6020</v>
          </cell>
          <cell r="G18">
            <v>100.75</v>
          </cell>
          <cell r="H18">
            <v>1.35</v>
          </cell>
          <cell r="I18" t="str">
            <v>From M1A to M2A - 15°</v>
          </cell>
          <cell r="J18" t="str">
            <v>IE3</v>
          </cell>
          <cell r="K18">
            <v>480</v>
          </cell>
          <cell r="L18">
            <v>60</v>
          </cell>
          <cell r="M18">
            <v>18.7</v>
          </cell>
          <cell r="N18">
            <v>56</v>
          </cell>
          <cell r="O18" t="str">
            <v>F</v>
          </cell>
          <cell r="P18" t="str">
            <v>180°</v>
          </cell>
          <cell r="Q18" t="str">
            <v>TF</v>
          </cell>
          <cell r="R18" t="str">
            <v>480V V</v>
          </cell>
          <cell r="V18" t="str">
            <v>FC</v>
          </cell>
          <cell r="W18" t="str">
            <v>115V</v>
          </cell>
          <cell r="X18" t="str">
            <v>CLP HC VG 150 = -40° + 40°</v>
          </cell>
          <cell r="Y18" t="str">
            <v xml:space="preserve">KH107 DRN132L4-TF-V   </v>
          </cell>
          <cell r="Z18" t="str">
            <v>SEW</v>
          </cell>
          <cell r="AE18" t="str">
            <v>NEMA5/UL/NPT terminal box</v>
          </cell>
          <cell r="AH18" t="str">
            <v>KH107-A180-X#</v>
          </cell>
        </row>
        <row r="19">
          <cell r="A19" t="str">
            <v>MR000016</v>
          </cell>
          <cell r="B19" t="str">
            <v>MR</v>
          </cell>
          <cell r="C19">
            <v>9.1999999999999993</v>
          </cell>
          <cell r="D19">
            <v>15</v>
          </cell>
          <cell r="E19" t="str">
            <v>KH107</v>
          </cell>
          <cell r="F19">
            <v>6020</v>
          </cell>
          <cell r="G19">
            <v>100.75</v>
          </cell>
          <cell r="H19">
            <v>1.35</v>
          </cell>
          <cell r="I19" t="str">
            <v>From M1B to M2B - 15°</v>
          </cell>
          <cell r="J19" t="str">
            <v>IE3</v>
          </cell>
          <cell r="K19">
            <v>480</v>
          </cell>
          <cell r="L19">
            <v>60</v>
          </cell>
          <cell r="M19">
            <v>18.7</v>
          </cell>
          <cell r="N19">
            <v>56</v>
          </cell>
          <cell r="O19" t="str">
            <v>F</v>
          </cell>
          <cell r="P19" t="str">
            <v>0°</v>
          </cell>
          <cell r="Q19" t="str">
            <v>TF</v>
          </cell>
          <cell r="R19" t="str">
            <v>480V V</v>
          </cell>
          <cell r="V19" t="str">
            <v>FC</v>
          </cell>
          <cell r="W19" t="str">
            <v>115V</v>
          </cell>
          <cell r="X19" t="str">
            <v>CLP HC VG 150 = -40° + 40°</v>
          </cell>
          <cell r="Y19" t="str">
            <v xml:space="preserve">KH107 DRN132L4-TF-V   </v>
          </cell>
          <cell r="Z19" t="str">
            <v>SEW</v>
          </cell>
          <cell r="AE19" t="str">
            <v>NEMA5/UL/NPT terminal box</v>
          </cell>
          <cell r="AH19" t="str">
            <v>KH107-B0-X#</v>
          </cell>
        </row>
        <row r="20">
          <cell r="A20" t="str">
            <v>MR000017</v>
          </cell>
          <cell r="B20" t="str">
            <v>MR</v>
          </cell>
          <cell r="C20">
            <v>7.5</v>
          </cell>
          <cell r="D20">
            <v>54</v>
          </cell>
          <cell r="E20" t="str">
            <v>R97</v>
          </cell>
          <cell r="F20">
            <v>1320</v>
          </cell>
          <cell r="G20">
            <v>27.19</v>
          </cell>
          <cell r="H20">
            <v>1.95</v>
          </cell>
          <cell r="I20" t="str">
            <v>M1</v>
          </cell>
          <cell r="J20" t="str">
            <v>IE3</v>
          </cell>
          <cell r="K20">
            <v>480</v>
          </cell>
          <cell r="L20">
            <v>60</v>
          </cell>
          <cell r="M20">
            <v>15.2</v>
          </cell>
          <cell r="N20">
            <v>56</v>
          </cell>
          <cell r="O20" t="str">
            <v>F</v>
          </cell>
          <cell r="P20" t="str">
            <v>270°</v>
          </cell>
          <cell r="Q20" t="str">
            <v>TF</v>
          </cell>
          <cell r="R20" t="str">
            <v>480V V</v>
          </cell>
          <cell r="V20" t="str">
            <v>FC</v>
          </cell>
          <cell r="W20" t="str">
            <v>115V</v>
          </cell>
          <cell r="X20" t="str">
            <v>CLP HC VG 150 = -40° + 40°</v>
          </cell>
          <cell r="Y20" t="str">
            <v>R97DRN132M4-TF-V</v>
          </cell>
          <cell r="Z20" t="str">
            <v>SEW</v>
          </cell>
          <cell r="AE20" t="str">
            <v>NEMA5/UL/NPT terminal box</v>
          </cell>
          <cell r="AH20" t="str">
            <v>R97-270-X#</v>
          </cell>
        </row>
        <row r="21">
          <cell r="A21" t="str">
            <v>MR000018</v>
          </cell>
          <cell r="B21" t="str">
            <v>MR</v>
          </cell>
          <cell r="C21">
            <v>22</v>
          </cell>
          <cell r="D21">
            <v>15</v>
          </cell>
          <cell r="E21" t="str">
            <v>KH157</v>
          </cell>
          <cell r="F21">
            <v>14200</v>
          </cell>
          <cell r="G21">
            <v>100.22</v>
          </cell>
          <cell r="H21">
            <v>1.25</v>
          </cell>
          <cell r="I21" t="str">
            <v>From M1A to M2A - 35°</v>
          </cell>
          <cell r="J21" t="str">
            <v>IE3</v>
          </cell>
          <cell r="K21">
            <v>480</v>
          </cell>
          <cell r="L21">
            <v>60</v>
          </cell>
          <cell r="M21">
            <v>38.5</v>
          </cell>
          <cell r="N21">
            <v>56</v>
          </cell>
          <cell r="O21" t="str">
            <v>F</v>
          </cell>
          <cell r="P21" t="str">
            <v>180°</v>
          </cell>
          <cell r="Q21" t="str">
            <v>TF</v>
          </cell>
          <cell r="R21" t="str">
            <v>480V V</v>
          </cell>
          <cell r="V21" t="str">
            <v>FC</v>
          </cell>
          <cell r="W21" t="str">
            <v>115V</v>
          </cell>
          <cell r="X21" t="str">
            <v>CLP HC VG 150 = -40° + 40°</v>
          </cell>
          <cell r="Y21" t="str">
            <v xml:space="preserve">KH157  DRN180L4-TF-V   </v>
          </cell>
          <cell r="Z21" t="str">
            <v>SEW</v>
          </cell>
          <cell r="AE21" t="str">
            <v>NEMA5/UL/NPT terminal box</v>
          </cell>
          <cell r="AH21" t="str">
            <v>KH157-A180-X#</v>
          </cell>
        </row>
        <row r="22">
          <cell r="A22" t="str">
            <v>MR000019</v>
          </cell>
          <cell r="B22" t="str">
            <v>MR</v>
          </cell>
          <cell r="C22">
            <v>22</v>
          </cell>
          <cell r="D22">
            <v>15</v>
          </cell>
          <cell r="E22" t="str">
            <v>KH157</v>
          </cell>
          <cell r="F22">
            <v>14200</v>
          </cell>
          <cell r="G22">
            <v>100.22</v>
          </cell>
          <cell r="H22">
            <v>1.25</v>
          </cell>
          <cell r="I22" t="str">
            <v>From M1B to M2B - 35°</v>
          </cell>
          <cell r="J22" t="str">
            <v>IE3</v>
          </cell>
          <cell r="K22">
            <v>480</v>
          </cell>
          <cell r="L22">
            <v>60</v>
          </cell>
          <cell r="M22">
            <v>38.5</v>
          </cell>
          <cell r="N22">
            <v>56</v>
          </cell>
          <cell r="O22" t="str">
            <v>F</v>
          </cell>
          <cell r="P22" t="str">
            <v>0°</v>
          </cell>
          <cell r="Q22" t="str">
            <v>TF</v>
          </cell>
          <cell r="R22" t="str">
            <v>480V V</v>
          </cell>
          <cell r="V22" t="str">
            <v>FC</v>
          </cell>
          <cell r="W22" t="str">
            <v>115V</v>
          </cell>
          <cell r="X22" t="str">
            <v>CLP HC VG 150 = -40° + 40°</v>
          </cell>
          <cell r="Y22" t="str">
            <v xml:space="preserve">KH157  DRN180L4-TF-V   </v>
          </cell>
          <cell r="Z22" t="str">
            <v>SEW</v>
          </cell>
          <cell r="AE22" t="str">
            <v>NEMA5/UL/NPT terminal box</v>
          </cell>
          <cell r="AH22" t="str">
            <v>KH157-B0-X#</v>
          </cell>
        </row>
        <row r="23">
          <cell r="A23" t="str">
            <v>MR000020</v>
          </cell>
          <cell r="B23" t="str">
            <v>MR</v>
          </cell>
          <cell r="C23">
            <v>18.5</v>
          </cell>
          <cell r="D23">
            <v>15</v>
          </cell>
          <cell r="E23" t="str">
            <v>KH157</v>
          </cell>
          <cell r="F23">
            <v>11900</v>
          </cell>
          <cell r="G23">
            <v>100.22</v>
          </cell>
          <cell r="H23">
            <v>1.5</v>
          </cell>
          <cell r="I23" t="str">
            <v>From M1A to M2A - 35°</v>
          </cell>
          <cell r="J23" t="str">
            <v>IE3</v>
          </cell>
          <cell r="K23">
            <v>480</v>
          </cell>
          <cell r="L23">
            <v>60</v>
          </cell>
          <cell r="M23">
            <v>33.5</v>
          </cell>
          <cell r="N23">
            <v>56</v>
          </cell>
          <cell r="O23" t="str">
            <v>F</v>
          </cell>
          <cell r="P23" t="str">
            <v>180°</v>
          </cell>
          <cell r="Q23" t="str">
            <v>TF</v>
          </cell>
          <cell r="R23" t="str">
            <v>480V V</v>
          </cell>
          <cell r="V23" t="str">
            <v>FC</v>
          </cell>
          <cell r="W23" t="str">
            <v>115V</v>
          </cell>
          <cell r="X23" t="str">
            <v>CLP HC VG 150 = -40° + 40°</v>
          </cell>
          <cell r="Y23" t="str">
            <v xml:space="preserve">KH157 DRN180M4-TF-V   </v>
          </cell>
          <cell r="Z23" t="str">
            <v>SEW</v>
          </cell>
          <cell r="AE23" t="str">
            <v>NEMA5/UL/NPT terminal box</v>
          </cell>
          <cell r="AH23" t="str">
            <v>KH157-A180-X#</v>
          </cell>
        </row>
        <row r="24">
          <cell r="A24" t="str">
            <v>MR000021</v>
          </cell>
          <cell r="B24" t="str">
            <v>MR</v>
          </cell>
          <cell r="C24">
            <v>18.5</v>
          </cell>
          <cell r="D24">
            <v>15</v>
          </cell>
          <cell r="E24" t="str">
            <v>KH157</v>
          </cell>
          <cell r="F24">
            <v>11900</v>
          </cell>
          <cell r="G24">
            <v>100.22</v>
          </cell>
          <cell r="H24">
            <v>1.5</v>
          </cell>
          <cell r="I24" t="str">
            <v>From M1B to M2B - 35°</v>
          </cell>
          <cell r="J24" t="str">
            <v>IE3</v>
          </cell>
          <cell r="K24">
            <v>480</v>
          </cell>
          <cell r="L24">
            <v>60</v>
          </cell>
          <cell r="M24">
            <v>33.5</v>
          </cell>
          <cell r="N24">
            <v>56</v>
          </cell>
          <cell r="O24" t="str">
            <v>F</v>
          </cell>
          <cell r="P24" t="str">
            <v>0°</v>
          </cell>
          <cell r="Q24" t="str">
            <v>TF</v>
          </cell>
          <cell r="R24" t="str">
            <v>480V V</v>
          </cell>
          <cell r="V24" t="str">
            <v>FC</v>
          </cell>
          <cell r="W24" t="str">
            <v>115V</v>
          </cell>
          <cell r="X24" t="str">
            <v>CLP HC VG 150 = -40° + 40°</v>
          </cell>
          <cell r="Y24" t="str">
            <v xml:space="preserve">KH157 DRN180M4-TF-V   </v>
          </cell>
          <cell r="Z24" t="str">
            <v>SEW</v>
          </cell>
          <cell r="AE24" t="str">
            <v>NEMA5/UL/NPT terminal box</v>
          </cell>
          <cell r="AH24" t="str">
            <v>KH157-B0-X#</v>
          </cell>
        </row>
        <row r="25">
          <cell r="A25" t="str">
            <v>MR000022</v>
          </cell>
          <cell r="B25" t="str">
            <v>MR</v>
          </cell>
          <cell r="C25">
            <v>9.1999999999999993</v>
          </cell>
          <cell r="D25">
            <v>53</v>
          </cell>
          <cell r="E25" t="str">
            <v>R97</v>
          </cell>
          <cell r="F25">
            <v>1640</v>
          </cell>
          <cell r="G25">
            <v>27.58</v>
          </cell>
          <cell r="H25">
            <v>1.6</v>
          </cell>
          <cell r="I25" t="str">
            <v>From M1 to M2 - 10°</v>
          </cell>
          <cell r="J25" t="str">
            <v>IE3</v>
          </cell>
          <cell r="K25">
            <v>480</v>
          </cell>
          <cell r="L25">
            <v>60</v>
          </cell>
          <cell r="N25">
            <v>56</v>
          </cell>
          <cell r="O25" t="str">
            <v>F</v>
          </cell>
          <cell r="P25" t="str">
            <v>270°</v>
          </cell>
          <cell r="Q25" t="str">
            <v>TF</v>
          </cell>
          <cell r="R25" t="str">
            <v>-</v>
          </cell>
          <cell r="V25" t="str">
            <v>D</v>
          </cell>
          <cell r="W25" t="str">
            <v>115V</v>
          </cell>
          <cell r="X25" t="str">
            <v>CLP HC VG 150 = -40° + 40°</v>
          </cell>
          <cell r="Y25" t="str">
            <v>R97DRN132L4-TF</v>
          </cell>
          <cell r="Z25" t="str">
            <v>SEW</v>
          </cell>
          <cell r="AE25" t="str">
            <v>NEMA5/UL/NPT terminal box</v>
          </cell>
          <cell r="AH25" t="str">
            <v>R97-270-X</v>
          </cell>
        </row>
        <row r="26">
          <cell r="A26" t="str">
            <v>MR000023</v>
          </cell>
          <cell r="B26" t="str">
            <v>MR</v>
          </cell>
          <cell r="C26">
            <v>22</v>
          </cell>
          <cell r="D26">
            <v>15</v>
          </cell>
          <cell r="E26" t="str">
            <v>KH157</v>
          </cell>
          <cell r="F26">
            <v>14200</v>
          </cell>
          <cell r="G26">
            <v>100.22</v>
          </cell>
          <cell r="H26">
            <v>1.25</v>
          </cell>
          <cell r="I26" t="str">
            <v>From M1A to M2A - 30°</v>
          </cell>
          <cell r="J26" t="str">
            <v>IE3</v>
          </cell>
          <cell r="K26">
            <v>480</v>
          </cell>
          <cell r="L26">
            <v>60</v>
          </cell>
          <cell r="M26">
            <v>38.5</v>
          </cell>
          <cell r="N26">
            <v>56</v>
          </cell>
          <cell r="O26" t="str">
            <v>F</v>
          </cell>
          <cell r="P26" t="str">
            <v>180°</v>
          </cell>
          <cell r="Q26" t="str">
            <v>TF</v>
          </cell>
          <cell r="R26" t="str">
            <v>480V V</v>
          </cell>
          <cell r="V26" t="str">
            <v>FC</v>
          </cell>
          <cell r="W26" t="str">
            <v>115V</v>
          </cell>
          <cell r="X26" t="str">
            <v>CLP HC VG 150 = -40° + 40°</v>
          </cell>
          <cell r="Y26" t="str">
            <v xml:space="preserve">KH157 DRN180L4-TF-V   </v>
          </cell>
          <cell r="Z26" t="str">
            <v>SEW</v>
          </cell>
          <cell r="AE26" t="str">
            <v>NEMA5/UL/NPT terminal box</v>
          </cell>
          <cell r="AH26" t="str">
            <v>KH157-A180-X#</v>
          </cell>
        </row>
        <row r="27">
          <cell r="A27" t="str">
            <v>MR000024</v>
          </cell>
          <cell r="B27" t="str">
            <v>MR</v>
          </cell>
          <cell r="C27">
            <v>22</v>
          </cell>
          <cell r="D27">
            <v>15</v>
          </cell>
          <cell r="E27" t="str">
            <v>KH157</v>
          </cell>
          <cell r="F27">
            <v>14200</v>
          </cell>
          <cell r="G27">
            <v>100.22</v>
          </cell>
          <cell r="H27">
            <v>1.25</v>
          </cell>
          <cell r="I27" t="str">
            <v>From M1B to M2B - 30°</v>
          </cell>
          <cell r="J27" t="str">
            <v>IE3</v>
          </cell>
          <cell r="K27">
            <v>480</v>
          </cell>
          <cell r="L27">
            <v>60</v>
          </cell>
          <cell r="M27">
            <v>38.5</v>
          </cell>
          <cell r="N27">
            <v>56</v>
          </cell>
          <cell r="O27" t="str">
            <v>F</v>
          </cell>
          <cell r="P27" t="str">
            <v>0°</v>
          </cell>
          <cell r="Q27" t="str">
            <v>TF</v>
          </cell>
          <cell r="R27" t="str">
            <v>480V V</v>
          </cell>
          <cell r="V27" t="str">
            <v>FC</v>
          </cell>
          <cell r="W27" t="str">
            <v>115V</v>
          </cell>
          <cell r="X27" t="str">
            <v>CLP HC VG 150 = -40° + 40°</v>
          </cell>
          <cell r="Y27" t="str">
            <v xml:space="preserve">KH157 DRN180L4-TF-V   </v>
          </cell>
          <cell r="Z27" t="str">
            <v>SEW</v>
          </cell>
          <cell r="AE27" t="str">
            <v>NEMA5/UL/NPT terminal box</v>
          </cell>
          <cell r="AH27" t="str">
            <v>KH157-B0-X#</v>
          </cell>
        </row>
        <row r="28">
          <cell r="A28" t="str">
            <v>MR000025</v>
          </cell>
          <cell r="B28" t="str">
            <v>MR</v>
          </cell>
          <cell r="C28">
            <v>22</v>
          </cell>
          <cell r="D28">
            <v>15</v>
          </cell>
          <cell r="E28" t="str">
            <v>KH157</v>
          </cell>
          <cell r="F28">
            <v>14200</v>
          </cell>
          <cell r="G28">
            <v>100.22</v>
          </cell>
          <cell r="H28">
            <v>1.25</v>
          </cell>
          <cell r="I28" t="str">
            <v>M1B</v>
          </cell>
          <cell r="J28" t="str">
            <v>IE3</v>
          </cell>
          <cell r="K28">
            <v>480</v>
          </cell>
          <cell r="L28">
            <v>60</v>
          </cell>
          <cell r="M28">
            <v>38.5</v>
          </cell>
          <cell r="N28">
            <v>56</v>
          </cell>
          <cell r="O28" t="str">
            <v>F</v>
          </cell>
          <cell r="P28" t="str">
            <v>0°</v>
          </cell>
          <cell r="Q28" t="str">
            <v>TF</v>
          </cell>
          <cell r="R28" t="str">
            <v>480V V</v>
          </cell>
          <cell r="V28" t="str">
            <v>FC</v>
          </cell>
          <cell r="W28" t="str">
            <v>115V</v>
          </cell>
          <cell r="X28" t="str">
            <v>CLP HC VG 150 = -40° + 40°</v>
          </cell>
          <cell r="Y28" t="str">
            <v xml:space="preserve">KH157 DRN180L4-TF-V   </v>
          </cell>
          <cell r="Z28" t="str">
            <v>SEW</v>
          </cell>
          <cell r="AE28" t="str">
            <v>NEMA5/UL/NPT terminal box</v>
          </cell>
          <cell r="AH28" t="str">
            <v>KH157-B0-X#</v>
          </cell>
        </row>
        <row r="29">
          <cell r="A29" t="str">
            <v>MR000026</v>
          </cell>
          <cell r="B29" t="str">
            <v>MR</v>
          </cell>
          <cell r="C29">
            <v>5.5</v>
          </cell>
          <cell r="D29">
            <v>62</v>
          </cell>
          <cell r="E29" t="str">
            <v>R87</v>
          </cell>
          <cell r="F29">
            <v>840</v>
          </cell>
          <cell r="G29">
            <v>23.4</v>
          </cell>
          <cell r="H29">
            <v>1.85</v>
          </cell>
          <cell r="I29" t="str">
            <v>From M1 to M4 - 5°</v>
          </cell>
          <cell r="J29" t="str">
            <v>IE3</v>
          </cell>
          <cell r="K29">
            <v>480</v>
          </cell>
          <cell r="L29">
            <v>60</v>
          </cell>
          <cell r="N29">
            <v>56</v>
          </cell>
          <cell r="O29" t="str">
            <v>F</v>
          </cell>
          <cell r="P29" t="str">
            <v>270°</v>
          </cell>
          <cell r="Q29" t="str">
            <v>TF</v>
          </cell>
          <cell r="R29" t="str">
            <v>-</v>
          </cell>
          <cell r="V29" t="str">
            <v>D</v>
          </cell>
          <cell r="W29" t="str">
            <v>115V</v>
          </cell>
          <cell r="X29" t="str">
            <v>CLP HC VG 150 = -40° + 40°</v>
          </cell>
          <cell r="Y29" t="str">
            <v>R87DRN132S4-TF</v>
          </cell>
          <cell r="Z29" t="str">
            <v>SEW</v>
          </cell>
          <cell r="AE29" t="str">
            <v>NEMA5/UL/NPT terminal box</v>
          </cell>
          <cell r="AH29" t="str">
            <v>R87-270-X</v>
          </cell>
        </row>
        <row r="30">
          <cell r="A30" t="str">
            <v>MR000027</v>
          </cell>
          <cell r="B30" t="str">
            <v>MR</v>
          </cell>
          <cell r="C30">
            <v>22</v>
          </cell>
          <cell r="D30">
            <v>15</v>
          </cell>
          <cell r="E30" t="str">
            <v>KH157</v>
          </cell>
          <cell r="F30">
            <v>14200</v>
          </cell>
          <cell r="G30">
            <v>100.22</v>
          </cell>
          <cell r="H30">
            <v>1.25</v>
          </cell>
          <cell r="I30" t="str">
            <v>M1A</v>
          </cell>
          <cell r="J30" t="str">
            <v>IE3</v>
          </cell>
          <cell r="K30">
            <v>480</v>
          </cell>
          <cell r="L30">
            <v>60</v>
          </cell>
          <cell r="M30">
            <v>38.5</v>
          </cell>
          <cell r="N30">
            <v>56</v>
          </cell>
          <cell r="O30" t="str">
            <v>F</v>
          </cell>
          <cell r="P30" t="str">
            <v>180°</v>
          </cell>
          <cell r="Q30" t="str">
            <v>TF</v>
          </cell>
          <cell r="R30" t="str">
            <v>-</v>
          </cell>
          <cell r="V30" t="str">
            <v>SS</v>
          </cell>
          <cell r="W30" t="str">
            <v>115V</v>
          </cell>
          <cell r="X30" t="str">
            <v>CLP HC VG 150 = -40° + 40°</v>
          </cell>
          <cell r="Y30" t="str">
            <v>KH157 DRN180L4-TF</v>
          </cell>
          <cell r="Z30" t="str">
            <v>SEW</v>
          </cell>
          <cell r="AE30" t="str">
            <v>NEMA5/UL/NPT terminal box</v>
          </cell>
          <cell r="AH30" t="str">
            <v>KH157-A180-X</v>
          </cell>
        </row>
        <row r="31">
          <cell r="A31" t="str">
            <v>MR000028</v>
          </cell>
          <cell r="B31" t="str">
            <v>MR</v>
          </cell>
          <cell r="C31">
            <v>22</v>
          </cell>
          <cell r="D31">
            <v>15</v>
          </cell>
          <cell r="E31" t="str">
            <v>KH157</v>
          </cell>
          <cell r="F31">
            <v>14200</v>
          </cell>
          <cell r="G31">
            <v>100.22</v>
          </cell>
          <cell r="H31">
            <v>1.25</v>
          </cell>
          <cell r="I31" t="str">
            <v>From M1A to M2A - 25°</v>
          </cell>
          <cell r="J31" t="str">
            <v>IE3</v>
          </cell>
          <cell r="K31">
            <v>480</v>
          </cell>
          <cell r="L31">
            <v>60</v>
          </cell>
          <cell r="M31">
            <v>38.5</v>
          </cell>
          <cell r="N31">
            <v>56</v>
          </cell>
          <cell r="O31" t="str">
            <v>F</v>
          </cell>
          <cell r="P31" t="str">
            <v>180°</v>
          </cell>
          <cell r="Q31" t="str">
            <v>TF</v>
          </cell>
          <cell r="R31" t="str">
            <v>-</v>
          </cell>
          <cell r="V31" t="str">
            <v>SS</v>
          </cell>
          <cell r="W31" t="str">
            <v>115V</v>
          </cell>
          <cell r="X31" t="str">
            <v>CLP HC VG 150 = -40° + 40°</v>
          </cell>
          <cell r="Y31" t="str">
            <v>KH157 DRN180L4-TF</v>
          </cell>
          <cell r="Z31" t="str">
            <v>SEW</v>
          </cell>
          <cell r="AE31" t="str">
            <v>NEMA5/UL/NPT terminal box</v>
          </cell>
          <cell r="AH31" t="str">
            <v>KH157-A180-X</v>
          </cell>
        </row>
        <row r="32">
          <cell r="A32" t="str">
            <v>MR000029</v>
          </cell>
          <cell r="B32" t="str">
            <v>MR</v>
          </cell>
          <cell r="C32">
            <v>18.5</v>
          </cell>
          <cell r="D32">
            <v>42</v>
          </cell>
          <cell r="E32" t="str">
            <v>R107</v>
          </cell>
          <cell r="F32">
            <v>4210</v>
          </cell>
          <cell r="G32">
            <v>35.26</v>
          </cell>
          <cell r="H32">
            <v>1</v>
          </cell>
          <cell r="I32" t="str">
            <v>M1</v>
          </cell>
          <cell r="J32" t="str">
            <v>IE3</v>
          </cell>
          <cell r="K32">
            <v>480</v>
          </cell>
          <cell r="L32">
            <v>60</v>
          </cell>
          <cell r="M32">
            <v>33.5</v>
          </cell>
          <cell r="N32">
            <v>56</v>
          </cell>
          <cell r="O32" t="str">
            <v>F</v>
          </cell>
          <cell r="P32" t="str">
            <v>270°</v>
          </cell>
          <cell r="Q32" t="str">
            <v>TF</v>
          </cell>
          <cell r="R32" t="str">
            <v>-</v>
          </cell>
          <cell r="V32" t="str">
            <v>D+R</v>
          </cell>
          <cell r="W32" t="str">
            <v>115V</v>
          </cell>
          <cell r="X32" t="str">
            <v>CLP HC VG 150 = -40° + 40°</v>
          </cell>
          <cell r="Y32" t="str">
            <v>R107DRN180M4-TF</v>
          </cell>
          <cell r="Z32" t="str">
            <v>SEW</v>
          </cell>
          <cell r="AE32" t="str">
            <v>NEMA5/UL/NPT terminal box</v>
          </cell>
          <cell r="AH32" t="str">
            <v>R107-270-X</v>
          </cell>
        </row>
        <row r="33">
          <cell r="A33" t="str">
            <v>MR000030</v>
          </cell>
          <cell r="B33" t="str">
            <v>MR</v>
          </cell>
          <cell r="C33">
            <v>18.5</v>
          </cell>
          <cell r="D33">
            <v>15</v>
          </cell>
          <cell r="E33" t="str">
            <v>KH157</v>
          </cell>
          <cell r="F33">
            <v>11900</v>
          </cell>
          <cell r="G33">
            <v>100.22</v>
          </cell>
          <cell r="H33">
            <v>1.5</v>
          </cell>
          <cell r="I33" t="str">
            <v>From M1B to M2B - 20°</v>
          </cell>
          <cell r="J33" t="str">
            <v>IE3</v>
          </cell>
          <cell r="K33">
            <v>480</v>
          </cell>
          <cell r="L33">
            <v>60</v>
          </cell>
          <cell r="M33">
            <v>33.5</v>
          </cell>
          <cell r="N33">
            <v>56</v>
          </cell>
          <cell r="O33" t="str">
            <v>F</v>
          </cell>
          <cell r="P33" t="str">
            <v>0°</v>
          </cell>
          <cell r="Q33" t="str">
            <v>TF</v>
          </cell>
          <cell r="R33" t="str">
            <v>-</v>
          </cell>
          <cell r="V33" t="str">
            <v>SS</v>
          </cell>
          <cell r="W33" t="str">
            <v>115V</v>
          </cell>
          <cell r="X33" t="str">
            <v>CLP HC VG 150 = -40° + 40°</v>
          </cell>
          <cell r="Y33" t="str">
            <v>KH157 DRN180M4-TF</v>
          </cell>
          <cell r="Z33" t="str">
            <v>SEW</v>
          </cell>
          <cell r="AE33" t="str">
            <v>NEMA5/UL/NPT terminal box</v>
          </cell>
          <cell r="AH33" t="str">
            <v>KH157-B0-X</v>
          </cell>
        </row>
        <row r="34">
          <cell r="A34" t="str">
            <v>MR000031</v>
          </cell>
          <cell r="B34" t="str">
            <v>MR</v>
          </cell>
          <cell r="C34">
            <v>22</v>
          </cell>
          <cell r="D34">
            <v>15</v>
          </cell>
          <cell r="E34" t="str">
            <v>KH157</v>
          </cell>
          <cell r="F34">
            <v>14200</v>
          </cell>
          <cell r="G34">
            <v>100.22</v>
          </cell>
          <cell r="H34">
            <v>1.25</v>
          </cell>
          <cell r="I34" t="str">
            <v>From M1A to M2A - 40°</v>
          </cell>
          <cell r="J34" t="str">
            <v>IE3</v>
          </cell>
          <cell r="K34">
            <v>480</v>
          </cell>
          <cell r="L34">
            <v>60</v>
          </cell>
          <cell r="M34">
            <v>38.5</v>
          </cell>
          <cell r="N34">
            <v>56</v>
          </cell>
          <cell r="O34" t="str">
            <v>F</v>
          </cell>
          <cell r="P34" t="str">
            <v>180°</v>
          </cell>
          <cell r="Q34" t="str">
            <v>TF</v>
          </cell>
          <cell r="R34" t="str">
            <v>480V V</v>
          </cell>
          <cell r="V34" t="str">
            <v>FC</v>
          </cell>
          <cell r="W34" t="str">
            <v>115V</v>
          </cell>
          <cell r="X34" t="str">
            <v>CLP HC VG 150 = -40° + 40°</v>
          </cell>
          <cell r="Y34" t="str">
            <v xml:space="preserve">KH157 DRN180L4-TF-V   </v>
          </cell>
          <cell r="Z34" t="str">
            <v>SEW</v>
          </cell>
          <cell r="AE34" t="str">
            <v>NEMA5/UL/NPT terminal box</v>
          </cell>
          <cell r="AH34" t="str">
            <v>KH157-A180-X#</v>
          </cell>
        </row>
        <row r="35">
          <cell r="A35" t="str">
            <v>MR000032</v>
          </cell>
          <cell r="B35" t="str">
            <v>MR</v>
          </cell>
          <cell r="C35">
            <v>22</v>
          </cell>
          <cell r="D35">
            <v>15</v>
          </cell>
          <cell r="E35" t="str">
            <v>KH157</v>
          </cell>
          <cell r="F35">
            <v>14200</v>
          </cell>
          <cell r="G35">
            <v>100.22</v>
          </cell>
          <cell r="H35">
            <v>1.25</v>
          </cell>
          <cell r="I35" t="str">
            <v>From M1B to M2B - 40°</v>
          </cell>
          <cell r="J35" t="str">
            <v>IE3</v>
          </cell>
          <cell r="K35">
            <v>480</v>
          </cell>
          <cell r="L35">
            <v>60</v>
          </cell>
          <cell r="M35">
            <v>38.5</v>
          </cell>
          <cell r="N35">
            <v>56</v>
          </cell>
          <cell r="O35" t="str">
            <v>F</v>
          </cell>
          <cell r="P35" t="str">
            <v>0°</v>
          </cell>
          <cell r="Q35" t="str">
            <v>TF</v>
          </cell>
          <cell r="R35" t="str">
            <v>480V V</v>
          </cell>
          <cell r="V35" t="str">
            <v>FC</v>
          </cell>
          <cell r="W35" t="str">
            <v>115V</v>
          </cell>
          <cell r="X35" t="str">
            <v>CLP HC VG 150 = -40° + 40°</v>
          </cell>
          <cell r="Y35" t="str">
            <v xml:space="preserve">KH157 DRN180L4-TF-V   </v>
          </cell>
          <cell r="Z35" t="str">
            <v>SEW</v>
          </cell>
          <cell r="AE35" t="str">
            <v>NEMA5/UL/NPT terminal box</v>
          </cell>
          <cell r="AH35" t="str">
            <v>KH157-B0-X#</v>
          </cell>
        </row>
        <row r="36">
          <cell r="A36" t="str">
            <v>MR000033</v>
          </cell>
          <cell r="B36" t="str">
            <v>MR</v>
          </cell>
          <cell r="C36">
            <v>11</v>
          </cell>
          <cell r="D36">
            <v>34</v>
          </cell>
          <cell r="E36" t="str">
            <v>R97</v>
          </cell>
          <cell r="F36">
            <v>3050</v>
          </cell>
          <cell r="G36">
            <v>42.78</v>
          </cell>
          <cell r="H36">
            <v>1</v>
          </cell>
          <cell r="I36" t="str">
            <v>M1</v>
          </cell>
          <cell r="J36" t="str">
            <v>IE3</v>
          </cell>
          <cell r="K36">
            <v>480</v>
          </cell>
          <cell r="L36">
            <v>60</v>
          </cell>
          <cell r="M36">
            <v>21</v>
          </cell>
          <cell r="N36">
            <v>56</v>
          </cell>
          <cell r="O36" t="str">
            <v>F</v>
          </cell>
          <cell r="P36" t="str">
            <v>270°</v>
          </cell>
          <cell r="Q36" t="str">
            <v>TF</v>
          </cell>
          <cell r="R36" t="str">
            <v>-</v>
          </cell>
          <cell r="V36" t="str">
            <v>D+R</v>
          </cell>
          <cell r="W36" t="str">
            <v>115V</v>
          </cell>
          <cell r="X36" t="str">
            <v>CLP HC VG 150 = -40° + 40°</v>
          </cell>
          <cell r="Y36" t="str">
            <v>R97DRN160M4-TF</v>
          </cell>
          <cell r="Z36" t="str">
            <v>SEW</v>
          </cell>
          <cell r="AE36" t="str">
            <v>NEMA5/UL/NPT terminal box</v>
          </cell>
          <cell r="AH36" t="str">
            <v>R97-270-X</v>
          </cell>
        </row>
        <row r="37">
          <cell r="A37" t="str">
            <v>MR000034</v>
          </cell>
          <cell r="B37" t="str">
            <v>MR</v>
          </cell>
          <cell r="C37">
            <v>22</v>
          </cell>
          <cell r="D37">
            <v>16</v>
          </cell>
          <cell r="E37" t="str">
            <v>KH157</v>
          </cell>
          <cell r="F37">
            <v>13000</v>
          </cell>
          <cell r="G37">
            <v>91.65</v>
          </cell>
          <cell r="H37">
            <v>1.4</v>
          </cell>
          <cell r="I37" t="str">
            <v>From M1A to M2A - 25°</v>
          </cell>
          <cell r="J37" t="str">
            <v>IE3</v>
          </cell>
          <cell r="K37">
            <v>480</v>
          </cell>
          <cell r="L37">
            <v>60</v>
          </cell>
          <cell r="M37">
            <v>38.5</v>
          </cell>
          <cell r="N37">
            <v>56</v>
          </cell>
          <cell r="O37" t="str">
            <v>F</v>
          </cell>
          <cell r="P37" t="str">
            <v>180°</v>
          </cell>
          <cell r="Q37" t="str">
            <v>TF</v>
          </cell>
          <cell r="R37" t="str">
            <v>480V V</v>
          </cell>
          <cell r="V37" t="str">
            <v>FC</v>
          </cell>
          <cell r="W37" t="str">
            <v>115V</v>
          </cell>
          <cell r="X37" t="str">
            <v>CLP HC VG 150 = -40° + 40°</v>
          </cell>
          <cell r="Y37" t="str">
            <v xml:space="preserve">KH157 DRN180L4-TF-V   </v>
          </cell>
          <cell r="Z37" t="str">
            <v>SEW</v>
          </cell>
          <cell r="AE37" t="str">
            <v>NEMA5/UL/NPT terminal box</v>
          </cell>
          <cell r="AH37" t="str">
            <v>KH157-A180-X#</v>
          </cell>
        </row>
        <row r="38">
          <cell r="A38" t="str">
            <v>MR000035</v>
          </cell>
          <cell r="B38" t="str">
            <v>MR</v>
          </cell>
          <cell r="C38">
            <v>22</v>
          </cell>
          <cell r="D38">
            <v>16</v>
          </cell>
          <cell r="E38" t="str">
            <v>KH157</v>
          </cell>
          <cell r="F38">
            <v>13000</v>
          </cell>
          <cell r="G38">
            <v>91.65</v>
          </cell>
          <cell r="H38">
            <v>1.4</v>
          </cell>
          <cell r="I38" t="str">
            <v>From M1B to M2B - 25°</v>
          </cell>
          <cell r="J38" t="str">
            <v>IE3</v>
          </cell>
          <cell r="K38">
            <v>480</v>
          </cell>
          <cell r="L38">
            <v>60</v>
          </cell>
          <cell r="M38">
            <v>38.5</v>
          </cell>
          <cell r="N38">
            <v>56</v>
          </cell>
          <cell r="O38" t="str">
            <v>F</v>
          </cell>
          <cell r="P38" t="str">
            <v>0°</v>
          </cell>
          <cell r="Q38" t="str">
            <v>TF</v>
          </cell>
          <cell r="R38" t="str">
            <v>480V V</v>
          </cell>
          <cell r="V38" t="str">
            <v>FC</v>
          </cell>
          <cell r="W38" t="str">
            <v>115V</v>
          </cell>
          <cell r="X38" t="str">
            <v>CLP HC VG 150 = -40° + 40°</v>
          </cell>
          <cell r="Y38" t="str">
            <v xml:space="preserve">KH157 DRN180L4-TF-V   </v>
          </cell>
          <cell r="Z38" t="str">
            <v>SEW</v>
          </cell>
          <cell r="AE38" t="str">
            <v>NEMA5/UL/NPT terminal box</v>
          </cell>
          <cell r="AH38" t="str">
            <v>KH157-B0-X#</v>
          </cell>
        </row>
        <row r="39">
          <cell r="A39" t="str">
            <v>MR000036</v>
          </cell>
          <cell r="B39" t="str">
            <v>MR</v>
          </cell>
          <cell r="C39">
            <v>15</v>
          </cell>
          <cell r="D39">
            <v>16</v>
          </cell>
          <cell r="E39" t="str">
            <v>KH127</v>
          </cell>
          <cell r="F39">
            <v>8730</v>
          </cell>
          <cell r="G39">
            <v>89.89</v>
          </cell>
          <cell r="H39">
            <v>1.5</v>
          </cell>
          <cell r="I39" t="str">
            <v>From M1A to M2A - 30°</v>
          </cell>
          <cell r="J39" t="str">
            <v>IE3</v>
          </cell>
          <cell r="K39">
            <v>480</v>
          </cell>
          <cell r="L39">
            <v>60</v>
          </cell>
          <cell r="M39">
            <v>29</v>
          </cell>
          <cell r="N39">
            <v>56</v>
          </cell>
          <cell r="O39" t="str">
            <v>F</v>
          </cell>
          <cell r="P39" t="str">
            <v>180°</v>
          </cell>
          <cell r="Q39" t="str">
            <v>TF</v>
          </cell>
          <cell r="R39" t="str">
            <v>-</v>
          </cell>
          <cell r="V39" t="str">
            <v>SS</v>
          </cell>
          <cell r="W39" t="str">
            <v>115V</v>
          </cell>
          <cell r="X39" t="str">
            <v>CLP HC VG 150 = -40° + 40°</v>
          </cell>
          <cell r="Y39" t="str">
            <v>KH127 DRN160L4-TF</v>
          </cell>
          <cell r="Z39" t="str">
            <v>SEW</v>
          </cell>
          <cell r="AE39" t="str">
            <v>NEMA5/UL/NPT terminal box</v>
          </cell>
          <cell r="AH39" t="str">
            <v>KH127-A180-X</v>
          </cell>
        </row>
        <row r="40">
          <cell r="A40" t="str">
            <v>MR000037</v>
          </cell>
          <cell r="B40" t="str">
            <v>MR</v>
          </cell>
          <cell r="C40">
            <v>15</v>
          </cell>
          <cell r="D40">
            <v>16</v>
          </cell>
          <cell r="E40" t="str">
            <v>KH127</v>
          </cell>
          <cell r="F40">
            <v>8730</v>
          </cell>
          <cell r="G40">
            <v>89.89</v>
          </cell>
          <cell r="H40">
            <v>1.5</v>
          </cell>
          <cell r="I40" t="str">
            <v>From M1B to M2B - 30°</v>
          </cell>
          <cell r="J40" t="str">
            <v>IE3</v>
          </cell>
          <cell r="K40">
            <v>480</v>
          </cell>
          <cell r="L40">
            <v>60</v>
          </cell>
          <cell r="M40">
            <v>29</v>
          </cell>
          <cell r="N40">
            <v>56</v>
          </cell>
          <cell r="O40" t="str">
            <v>F</v>
          </cell>
          <cell r="P40" t="str">
            <v>0°</v>
          </cell>
          <cell r="Q40" t="str">
            <v>TF</v>
          </cell>
          <cell r="R40" t="str">
            <v>-</v>
          </cell>
          <cell r="V40" t="str">
            <v>SS</v>
          </cell>
          <cell r="W40" t="str">
            <v>115V</v>
          </cell>
          <cell r="X40" t="str">
            <v>CLP HC VG 150 = -40° + 40°</v>
          </cell>
          <cell r="Y40" t="str">
            <v>KH127 DRN160L4-TF</v>
          </cell>
          <cell r="Z40" t="str">
            <v>SEW</v>
          </cell>
          <cell r="AE40" t="str">
            <v>NEMA5/UL/NPT terminal box</v>
          </cell>
          <cell r="AH40" t="str">
            <v>KH127-B0-X</v>
          </cell>
        </row>
        <row r="41">
          <cell r="A41" t="str">
            <v>MR000038</v>
          </cell>
          <cell r="B41" t="str">
            <v>MR</v>
          </cell>
          <cell r="C41">
            <v>15</v>
          </cell>
          <cell r="D41">
            <v>16</v>
          </cell>
          <cell r="E41" t="str">
            <v>KH127</v>
          </cell>
          <cell r="F41">
            <v>8750</v>
          </cell>
          <cell r="G41">
            <v>89.89</v>
          </cell>
          <cell r="H41">
            <v>1.5</v>
          </cell>
          <cell r="I41" t="str">
            <v>M1A</v>
          </cell>
          <cell r="J41" t="str">
            <v>IE3</v>
          </cell>
          <cell r="K41">
            <v>480</v>
          </cell>
          <cell r="L41">
            <v>60</v>
          </cell>
          <cell r="M41">
            <v>33.5</v>
          </cell>
          <cell r="N41">
            <v>56</v>
          </cell>
          <cell r="O41" t="str">
            <v>F</v>
          </cell>
          <cell r="P41" t="str">
            <v>180°</v>
          </cell>
          <cell r="Q41" t="str">
            <v>TF</v>
          </cell>
          <cell r="R41" t="str">
            <v>480V VE</v>
          </cell>
          <cell r="V41" t="str">
            <v>FC</v>
          </cell>
          <cell r="X41" t="str">
            <v>CLP HC VG 150 = -40° + 40°</v>
          </cell>
          <cell r="Y41" t="str">
            <v>KH127 EDRE180M4-TF-VE</v>
          </cell>
          <cell r="Z41" t="str">
            <v>SEW</v>
          </cell>
          <cell r="AB41" t="str">
            <v>ATEX22</v>
          </cell>
          <cell r="AE41" t="str">
            <v>NEMA5/UL/NPT terminal box</v>
          </cell>
          <cell r="AH41" t="str">
            <v>KH127-A180-X#</v>
          </cell>
        </row>
        <row r="42">
          <cell r="A42" t="str">
            <v>MR000039</v>
          </cell>
          <cell r="B42" t="str">
            <v>MR</v>
          </cell>
          <cell r="C42">
            <v>15</v>
          </cell>
          <cell r="D42">
            <v>16</v>
          </cell>
          <cell r="E42" t="str">
            <v>KH127</v>
          </cell>
          <cell r="F42">
            <v>8750</v>
          </cell>
          <cell r="G42">
            <v>89.89</v>
          </cell>
          <cell r="H42">
            <v>1.5</v>
          </cell>
          <cell r="I42" t="str">
            <v>M1B</v>
          </cell>
          <cell r="J42" t="str">
            <v>IE3</v>
          </cell>
          <cell r="K42">
            <v>480</v>
          </cell>
          <cell r="L42">
            <v>60</v>
          </cell>
          <cell r="M42">
            <v>33.5</v>
          </cell>
          <cell r="N42">
            <v>56</v>
          </cell>
          <cell r="O42" t="str">
            <v>F</v>
          </cell>
          <cell r="P42" t="str">
            <v>0°</v>
          </cell>
          <cell r="Q42" t="str">
            <v>TF</v>
          </cell>
          <cell r="R42" t="str">
            <v>480V VE</v>
          </cell>
          <cell r="V42" t="str">
            <v>FC</v>
          </cell>
          <cell r="X42" t="str">
            <v>CLP HC VG 150 = -40° + 40°</v>
          </cell>
          <cell r="Y42" t="str">
            <v>KH127 EDRE180M4-TF-VE</v>
          </cell>
          <cell r="Z42" t="str">
            <v>SEW</v>
          </cell>
          <cell r="AB42" t="str">
            <v>ATEX22</v>
          </cell>
          <cell r="AE42" t="str">
            <v>NEMA5/UL/NPT terminal box</v>
          </cell>
          <cell r="AH42" t="str">
            <v>KH127-B0-X#</v>
          </cell>
        </row>
        <row r="43">
          <cell r="A43" t="str">
            <v>MR000040</v>
          </cell>
          <cell r="B43" t="str">
            <v>MR</v>
          </cell>
          <cell r="C43">
            <v>9.1999999999999993</v>
          </cell>
          <cell r="D43">
            <v>53</v>
          </cell>
          <cell r="E43" t="str">
            <v>R97</v>
          </cell>
          <cell r="F43">
            <v>1640</v>
          </cell>
          <cell r="G43">
            <v>27.58</v>
          </cell>
          <cell r="H43">
            <v>1.6</v>
          </cell>
          <cell r="I43" t="str">
            <v>M1</v>
          </cell>
          <cell r="J43" t="str">
            <v>IE3</v>
          </cell>
          <cell r="K43">
            <v>480</v>
          </cell>
          <cell r="L43">
            <v>60</v>
          </cell>
          <cell r="N43">
            <v>56</v>
          </cell>
          <cell r="O43" t="str">
            <v>F</v>
          </cell>
          <cell r="P43" t="str">
            <v>270°</v>
          </cell>
          <cell r="Q43" t="str">
            <v>TF</v>
          </cell>
          <cell r="R43" t="str">
            <v>-</v>
          </cell>
          <cell r="V43" t="str">
            <v>D</v>
          </cell>
          <cell r="W43" t="str">
            <v>115V</v>
          </cell>
          <cell r="X43" t="str">
            <v>CLP HC VG 150 = -40° + 40°</v>
          </cell>
          <cell r="Y43" t="str">
            <v>R97DRN132L4-TF</v>
          </cell>
          <cell r="Z43" t="str">
            <v>SEW</v>
          </cell>
          <cell r="AE43" t="str">
            <v>NEMA5/UL/NPT terminal box</v>
          </cell>
          <cell r="AH43" t="str">
            <v>R97-270-X</v>
          </cell>
        </row>
        <row r="44">
          <cell r="A44" t="str">
            <v>MR000041</v>
          </cell>
          <cell r="B44" t="str">
            <v>MR</v>
          </cell>
          <cell r="C44">
            <v>11</v>
          </cell>
          <cell r="D44" t="str">
            <v>31</v>
          </cell>
          <cell r="E44" t="str">
            <v>R107</v>
          </cell>
          <cell r="F44">
            <v>3400</v>
          </cell>
          <cell r="G44">
            <v>52.68</v>
          </cell>
          <cell r="H44">
            <v>1.1499999999999999</v>
          </cell>
          <cell r="I44" t="str">
            <v>M1</v>
          </cell>
          <cell r="J44" t="str">
            <v>IE3</v>
          </cell>
          <cell r="K44">
            <v>480</v>
          </cell>
          <cell r="L44">
            <v>60</v>
          </cell>
          <cell r="N44">
            <v>56</v>
          </cell>
          <cell r="O44" t="str">
            <v>F</v>
          </cell>
          <cell r="P44" t="str">
            <v>270°</v>
          </cell>
          <cell r="Q44" t="str">
            <v>TF</v>
          </cell>
          <cell r="R44" t="str">
            <v>480V VE</v>
          </cell>
          <cell r="V44" t="str">
            <v>FC</v>
          </cell>
          <cell r="X44" t="str">
            <v>CLP HC VG 150 = -40° + 40°</v>
          </cell>
          <cell r="Y44" t="str">
            <v>R107EDRE180S4-TF-VE</v>
          </cell>
          <cell r="Z44" t="str">
            <v>SEW</v>
          </cell>
          <cell r="AB44" t="str">
            <v>ATEX22</v>
          </cell>
          <cell r="AE44" t="str">
            <v>NEMA5/UL/NPT terminal box</v>
          </cell>
          <cell r="AH44" t="str">
            <v>R107-270-X#</v>
          </cell>
        </row>
        <row r="45">
          <cell r="A45" t="str">
            <v>MR000042</v>
          </cell>
          <cell r="B45" t="str">
            <v>MR</v>
          </cell>
          <cell r="C45">
            <v>7.5</v>
          </cell>
          <cell r="D45" t="str">
            <v>23</v>
          </cell>
          <cell r="E45" t="str">
            <v>KH97</v>
          </cell>
          <cell r="F45">
            <v>3050</v>
          </cell>
          <cell r="G45">
            <v>62.55</v>
          </cell>
          <cell r="H45">
            <v>1.25</v>
          </cell>
          <cell r="I45" t="str">
            <v>M1A</v>
          </cell>
          <cell r="J45" t="str">
            <v>IE3</v>
          </cell>
          <cell r="K45">
            <v>480</v>
          </cell>
          <cell r="L45">
            <v>60</v>
          </cell>
          <cell r="N45">
            <v>56</v>
          </cell>
          <cell r="O45" t="str">
            <v>F</v>
          </cell>
          <cell r="P45" t="str">
            <v>180°</v>
          </cell>
          <cell r="Q45" t="str">
            <v>TF</v>
          </cell>
          <cell r="R45" t="str">
            <v>480V VE</v>
          </cell>
          <cell r="V45" t="str">
            <v>FC</v>
          </cell>
          <cell r="X45" t="str">
            <v>CLP HC VG 150 = -40° + 40°</v>
          </cell>
          <cell r="Y45" t="str">
            <v xml:space="preserve">KH97 EDRE160S4-TF-VE   </v>
          </cell>
          <cell r="Z45" t="str">
            <v>SEW</v>
          </cell>
          <cell r="AB45" t="str">
            <v>ATEX22</v>
          </cell>
          <cell r="AE45" t="str">
            <v>NEMA5/UL/NPT terminal box</v>
          </cell>
          <cell r="AH45" t="str">
            <v>KH97-A180-X#</v>
          </cell>
        </row>
        <row r="46">
          <cell r="A46" t="str">
            <v>MR000043</v>
          </cell>
          <cell r="B46" t="str">
            <v>MR</v>
          </cell>
          <cell r="C46">
            <v>7.5</v>
          </cell>
          <cell r="D46" t="str">
            <v>23</v>
          </cell>
          <cell r="E46" t="str">
            <v>KH97</v>
          </cell>
          <cell r="F46">
            <v>3050</v>
          </cell>
          <cell r="G46">
            <v>62.55</v>
          </cell>
          <cell r="H46">
            <v>1.25</v>
          </cell>
          <cell r="I46" t="str">
            <v>M1B</v>
          </cell>
          <cell r="J46" t="str">
            <v>IE3</v>
          </cell>
          <cell r="K46">
            <v>480</v>
          </cell>
          <cell r="L46">
            <v>60</v>
          </cell>
          <cell r="N46">
            <v>56</v>
          </cell>
          <cell r="O46" t="str">
            <v>F</v>
          </cell>
          <cell r="P46" t="str">
            <v>0°</v>
          </cell>
          <cell r="Q46" t="str">
            <v>TF</v>
          </cell>
          <cell r="R46" t="str">
            <v>480V VE</v>
          </cell>
          <cell r="V46" t="str">
            <v>FC</v>
          </cell>
          <cell r="X46" t="str">
            <v>CLP HC VG 150 = -40° + 40°</v>
          </cell>
          <cell r="Y46" t="str">
            <v xml:space="preserve">KH97 EDRE160S4-TF-VE   </v>
          </cell>
          <cell r="Z46" t="str">
            <v>SEW</v>
          </cell>
          <cell r="AB46" t="str">
            <v>ATEX22</v>
          </cell>
          <cell r="AE46" t="str">
            <v>NEMA5/UL/NPT terminal box</v>
          </cell>
          <cell r="AH46" t="str">
            <v>KH97-B0-X#</v>
          </cell>
        </row>
        <row r="47">
          <cell r="A47" t="str">
            <v>MR000044</v>
          </cell>
          <cell r="B47" t="str">
            <v>MR</v>
          </cell>
          <cell r="C47">
            <v>15</v>
          </cell>
          <cell r="D47" t="str">
            <v>13</v>
          </cell>
          <cell r="E47" t="str">
            <v>KH127</v>
          </cell>
          <cell r="F47">
            <v>10700</v>
          </cell>
          <cell r="G47">
            <v>110.18</v>
          </cell>
          <cell r="H47">
            <v>1.2</v>
          </cell>
          <cell r="I47" t="str">
            <v>M1A</v>
          </cell>
          <cell r="J47" t="str">
            <v>IE3</v>
          </cell>
          <cell r="K47">
            <v>480</v>
          </cell>
          <cell r="L47">
            <v>60</v>
          </cell>
          <cell r="M47">
            <v>33.5</v>
          </cell>
          <cell r="N47">
            <v>56</v>
          </cell>
          <cell r="O47" t="str">
            <v>F</v>
          </cell>
          <cell r="P47" t="str">
            <v>180°</v>
          </cell>
          <cell r="Q47" t="str">
            <v>TF</v>
          </cell>
          <cell r="R47" t="str">
            <v>-</v>
          </cell>
          <cell r="V47" t="str">
            <v>SS</v>
          </cell>
          <cell r="X47" t="str">
            <v>CLP HC VG 150 = -40° + 40°</v>
          </cell>
          <cell r="Y47" t="str">
            <v>KH127 EDRE180M4-TF</v>
          </cell>
          <cell r="Z47" t="str">
            <v>SEW</v>
          </cell>
          <cell r="AB47" t="str">
            <v>ATEX22</v>
          </cell>
          <cell r="AE47" t="str">
            <v>NEMA5/UL/NPT terminal box</v>
          </cell>
          <cell r="AH47" t="str">
            <v>KH127-A180-X</v>
          </cell>
        </row>
        <row r="48">
          <cell r="A48" t="str">
            <v>MR000045</v>
          </cell>
          <cell r="B48" t="str">
            <v>MR</v>
          </cell>
          <cell r="C48">
            <v>15</v>
          </cell>
          <cell r="D48" t="str">
            <v>13</v>
          </cell>
          <cell r="E48" t="str">
            <v>KH127</v>
          </cell>
          <cell r="F48">
            <v>10700</v>
          </cell>
          <cell r="G48">
            <v>110.18</v>
          </cell>
          <cell r="H48">
            <v>1.2</v>
          </cell>
          <cell r="I48" t="str">
            <v>M1B</v>
          </cell>
          <cell r="J48" t="str">
            <v>IE3</v>
          </cell>
          <cell r="K48">
            <v>480</v>
          </cell>
          <cell r="L48">
            <v>60</v>
          </cell>
          <cell r="M48">
            <v>33.5</v>
          </cell>
          <cell r="N48">
            <v>56</v>
          </cell>
          <cell r="O48" t="str">
            <v>F</v>
          </cell>
          <cell r="P48" t="str">
            <v>0°</v>
          </cell>
          <cell r="Q48" t="str">
            <v>TF</v>
          </cell>
          <cell r="R48" t="str">
            <v>-</v>
          </cell>
          <cell r="V48" t="str">
            <v>SS</v>
          </cell>
          <cell r="X48" t="str">
            <v>CLP HC VG 150 = -40° + 40°</v>
          </cell>
          <cell r="Y48" t="str">
            <v>KH127 EDRE180M4-TF</v>
          </cell>
          <cell r="Z48" t="str">
            <v>SEW</v>
          </cell>
          <cell r="AB48" t="str">
            <v>ATEX22</v>
          </cell>
          <cell r="AE48" t="str">
            <v>NEMA5/UL/NPT terminal box</v>
          </cell>
          <cell r="AH48" t="str">
            <v>KH127-B0-X</v>
          </cell>
        </row>
        <row r="49">
          <cell r="A49" t="str">
            <v>MR000046</v>
          </cell>
          <cell r="B49" t="str">
            <v>MR</v>
          </cell>
          <cell r="C49">
            <v>22</v>
          </cell>
          <cell r="D49">
            <v>14</v>
          </cell>
          <cell r="E49" t="str">
            <v>KH157</v>
          </cell>
          <cell r="F49">
            <v>14100</v>
          </cell>
          <cell r="G49">
            <v>107</v>
          </cell>
          <cell r="H49">
            <v>1.25</v>
          </cell>
          <cell r="I49" t="str">
            <v>From M1A to M2A - 40°</v>
          </cell>
          <cell r="J49" t="str">
            <v>IE3</v>
          </cell>
          <cell r="K49">
            <v>480</v>
          </cell>
          <cell r="L49">
            <v>60</v>
          </cell>
          <cell r="M49">
            <v>38.5</v>
          </cell>
          <cell r="N49">
            <v>56</v>
          </cell>
          <cell r="O49" t="str">
            <v>F</v>
          </cell>
          <cell r="P49" t="str">
            <v>180°</v>
          </cell>
          <cell r="Q49" t="str">
            <v>TF</v>
          </cell>
          <cell r="R49" t="str">
            <v>480V V</v>
          </cell>
          <cell r="V49" t="str">
            <v>FC</v>
          </cell>
          <cell r="W49" t="str">
            <v>115V</v>
          </cell>
          <cell r="X49" t="str">
            <v>CLP HC VG 150 = -40° + 40°</v>
          </cell>
          <cell r="Y49" t="str">
            <v>KH157R107 DRN180L4-TF-V</v>
          </cell>
          <cell r="Z49" t="str">
            <v>SEW</v>
          </cell>
          <cell r="AE49" t="str">
            <v>NEMA5/UL/NPT terminal box</v>
          </cell>
          <cell r="AH49" t="str">
            <v>KH157-A180-X#</v>
          </cell>
        </row>
        <row r="50">
          <cell r="A50" t="str">
            <v>MR000047</v>
          </cell>
          <cell r="B50" t="str">
            <v>MR</v>
          </cell>
          <cell r="C50">
            <v>22</v>
          </cell>
          <cell r="D50">
            <v>14</v>
          </cell>
          <cell r="E50" t="str">
            <v>KH157</v>
          </cell>
          <cell r="F50">
            <v>14100</v>
          </cell>
          <cell r="G50">
            <v>107</v>
          </cell>
          <cell r="H50">
            <v>1.25</v>
          </cell>
          <cell r="I50" t="str">
            <v>From M1B to M2B - 40°</v>
          </cell>
          <cell r="J50" t="str">
            <v>IE3</v>
          </cell>
          <cell r="K50">
            <v>480</v>
          </cell>
          <cell r="L50">
            <v>60</v>
          </cell>
          <cell r="M50">
            <v>38.5</v>
          </cell>
          <cell r="N50">
            <v>56</v>
          </cell>
          <cell r="O50" t="str">
            <v>F</v>
          </cell>
          <cell r="P50" t="str">
            <v>0°</v>
          </cell>
          <cell r="Q50" t="str">
            <v>TF</v>
          </cell>
          <cell r="R50" t="str">
            <v>480V V</v>
          </cell>
          <cell r="V50" t="str">
            <v>FC</v>
          </cell>
          <cell r="W50" t="str">
            <v>115V</v>
          </cell>
          <cell r="X50" t="str">
            <v>CLP HC VG 150 = -40° + 40°</v>
          </cell>
          <cell r="Y50" t="str">
            <v>KH157R107 DRN180L4-TF-V</v>
          </cell>
          <cell r="Z50" t="str">
            <v>SEW</v>
          </cell>
          <cell r="AE50" t="str">
            <v>NEMA5/UL/NPT terminal box</v>
          </cell>
          <cell r="AH50" t="str">
            <v>KH157-B0-X#</v>
          </cell>
        </row>
        <row r="51">
          <cell r="A51" t="str">
            <v>MR000048</v>
          </cell>
          <cell r="B51" t="str">
            <v>MR</v>
          </cell>
          <cell r="C51">
            <v>9.1999999999999993</v>
          </cell>
          <cell r="D51" t="str">
            <v>15</v>
          </cell>
          <cell r="E51" t="str">
            <v>KH107</v>
          </cell>
          <cell r="F51">
            <v>6020</v>
          </cell>
          <cell r="G51">
            <v>100.75</v>
          </cell>
          <cell r="H51">
            <v>1.25</v>
          </cell>
          <cell r="I51" t="str">
            <v>From M1A to M2A - 30°</v>
          </cell>
          <cell r="J51" t="str">
            <v>IE3</v>
          </cell>
          <cell r="K51">
            <v>480</v>
          </cell>
          <cell r="L51">
            <v>60</v>
          </cell>
          <cell r="N51">
            <v>56</v>
          </cell>
          <cell r="O51" t="str">
            <v>F</v>
          </cell>
          <cell r="P51" t="str">
            <v>180°</v>
          </cell>
          <cell r="Q51" t="str">
            <v>TF</v>
          </cell>
          <cell r="R51" t="str">
            <v>-</v>
          </cell>
          <cell r="V51" t="str">
            <v>SS</v>
          </cell>
          <cell r="X51" t="str">
            <v>CLP HC VG 150 = -40° + 40°</v>
          </cell>
          <cell r="Y51" t="str">
            <v>KH107 EDRE160M4-TF</v>
          </cell>
          <cell r="Z51" t="str">
            <v>SEW</v>
          </cell>
          <cell r="AB51" t="str">
            <v>ATEX22</v>
          </cell>
          <cell r="AE51" t="str">
            <v>NEMA5/UL/NPT terminal box</v>
          </cell>
          <cell r="AH51" t="str">
            <v>KH107-A180-X</v>
          </cell>
        </row>
        <row r="52">
          <cell r="A52" t="str">
            <v>MR000049</v>
          </cell>
          <cell r="B52" t="str">
            <v>MR</v>
          </cell>
          <cell r="C52">
            <v>9.1999999999999993</v>
          </cell>
          <cell r="D52" t="str">
            <v>15</v>
          </cell>
          <cell r="E52" t="str">
            <v>KH107</v>
          </cell>
          <cell r="F52">
            <v>6020</v>
          </cell>
          <cell r="G52">
            <v>100.75</v>
          </cell>
          <cell r="H52">
            <v>1.25</v>
          </cell>
          <cell r="I52" t="str">
            <v>From M1B to M2B - 30°</v>
          </cell>
          <cell r="J52" t="str">
            <v>IE3</v>
          </cell>
          <cell r="K52">
            <v>480</v>
          </cell>
          <cell r="L52">
            <v>60</v>
          </cell>
          <cell r="N52">
            <v>56</v>
          </cell>
          <cell r="O52" t="str">
            <v>F</v>
          </cell>
          <cell r="P52" t="str">
            <v>0°</v>
          </cell>
          <cell r="Q52" t="str">
            <v>TF</v>
          </cell>
          <cell r="R52" t="str">
            <v>-</v>
          </cell>
          <cell r="V52" t="str">
            <v>SS</v>
          </cell>
          <cell r="X52" t="str">
            <v>CLP HC VG 150 = -40° + 40°</v>
          </cell>
          <cell r="Y52" t="str">
            <v>KH107 EDRE160M4-TF</v>
          </cell>
          <cell r="Z52" t="str">
            <v>SEW</v>
          </cell>
          <cell r="AB52" t="str">
            <v>ATEX22</v>
          </cell>
          <cell r="AE52" t="str">
            <v>NEMA5/UL/NPT terminal box</v>
          </cell>
          <cell r="AH52" t="str">
            <v>KH107-B0-X</v>
          </cell>
        </row>
        <row r="53">
          <cell r="A53" t="str">
            <v>MR000050</v>
          </cell>
          <cell r="B53" t="str">
            <v>MR</v>
          </cell>
          <cell r="C53">
            <v>9.1999999999999993</v>
          </cell>
          <cell r="D53" t="str">
            <v>24</v>
          </cell>
          <cell r="E53" t="str">
            <v>KH97</v>
          </cell>
          <cell r="F53">
            <v>3730</v>
          </cell>
          <cell r="G53">
            <v>62.55</v>
          </cell>
          <cell r="H53">
            <v>1.1499999999999999</v>
          </cell>
          <cell r="I53" t="str">
            <v>From M1A to M2A - 15°</v>
          </cell>
          <cell r="J53" t="str">
            <v>IE3</v>
          </cell>
          <cell r="K53">
            <v>480</v>
          </cell>
          <cell r="L53">
            <v>60</v>
          </cell>
          <cell r="N53">
            <v>56</v>
          </cell>
          <cell r="O53" t="str">
            <v>F</v>
          </cell>
          <cell r="P53" t="str">
            <v>180°</v>
          </cell>
          <cell r="Q53" t="str">
            <v>TF</v>
          </cell>
          <cell r="R53" t="str">
            <v>480V V</v>
          </cell>
          <cell r="V53" t="str">
            <v>FC</v>
          </cell>
          <cell r="W53" t="str">
            <v>115V</v>
          </cell>
          <cell r="X53" t="str">
            <v>CLP HC VG 150 = -40° + 40°</v>
          </cell>
          <cell r="Y53" t="str">
            <v xml:space="preserve">KH97 DRN132L4-TF-V   </v>
          </cell>
          <cell r="Z53" t="str">
            <v>SEW</v>
          </cell>
          <cell r="AE53" t="str">
            <v>NEMA5/UL/NPT terminal box</v>
          </cell>
          <cell r="AH53" t="str">
            <v>KH97-A180-X#</v>
          </cell>
        </row>
        <row r="54">
          <cell r="A54" t="str">
            <v>MR000051</v>
          </cell>
          <cell r="B54" t="str">
            <v>MR</v>
          </cell>
          <cell r="C54">
            <v>15</v>
          </cell>
          <cell r="D54" t="str">
            <v>16</v>
          </cell>
          <cell r="E54" t="str">
            <v>KH127</v>
          </cell>
          <cell r="F54">
            <v>8730</v>
          </cell>
          <cell r="G54">
            <v>89.89</v>
          </cell>
          <cell r="H54">
            <v>1.5</v>
          </cell>
          <cell r="I54" t="str">
            <v>From M1A to M2A - 50°</v>
          </cell>
          <cell r="J54" t="str">
            <v>IE3</v>
          </cell>
          <cell r="K54">
            <v>480</v>
          </cell>
          <cell r="L54">
            <v>60</v>
          </cell>
          <cell r="M54">
            <v>29</v>
          </cell>
          <cell r="N54">
            <v>56</v>
          </cell>
          <cell r="O54" t="str">
            <v>F</v>
          </cell>
          <cell r="P54" t="str">
            <v>180°</v>
          </cell>
          <cell r="Q54" t="str">
            <v>TF</v>
          </cell>
          <cell r="R54" t="str">
            <v>-</v>
          </cell>
          <cell r="V54" t="str">
            <v>SS</v>
          </cell>
          <cell r="W54" t="str">
            <v>115V</v>
          </cell>
          <cell r="X54" t="str">
            <v>CLP HC VG 150 = -40° + 40°</v>
          </cell>
          <cell r="Y54" t="str">
            <v>KH127 DRN160L4-TF</v>
          </cell>
          <cell r="Z54" t="str">
            <v>SEW</v>
          </cell>
          <cell r="AE54" t="str">
            <v>NEMA5/UL/NPT terminal box</v>
          </cell>
          <cell r="AH54" t="str">
            <v>KH127-A180-X</v>
          </cell>
        </row>
        <row r="55">
          <cell r="A55" t="str">
            <v>MR000052</v>
          </cell>
          <cell r="B55" t="str">
            <v>MR</v>
          </cell>
          <cell r="C55">
            <v>15</v>
          </cell>
          <cell r="D55" t="str">
            <v>16</v>
          </cell>
          <cell r="E55" t="str">
            <v>KH127</v>
          </cell>
          <cell r="F55">
            <v>8730</v>
          </cell>
          <cell r="G55">
            <v>89.89</v>
          </cell>
          <cell r="H55">
            <v>1.5</v>
          </cell>
          <cell r="I55" t="str">
            <v>From M1B to M2B - 50°</v>
          </cell>
          <cell r="J55" t="str">
            <v>IE3</v>
          </cell>
          <cell r="K55">
            <v>480</v>
          </cell>
          <cell r="L55">
            <v>60</v>
          </cell>
          <cell r="M55">
            <v>29</v>
          </cell>
          <cell r="N55">
            <v>56</v>
          </cell>
          <cell r="O55" t="str">
            <v>F</v>
          </cell>
          <cell r="P55" t="str">
            <v>0°</v>
          </cell>
          <cell r="Q55" t="str">
            <v>TF</v>
          </cell>
          <cell r="R55" t="str">
            <v>-</v>
          </cell>
          <cell r="V55" t="str">
            <v>SS</v>
          </cell>
          <cell r="W55" t="str">
            <v>115V</v>
          </cell>
          <cell r="X55" t="str">
            <v>CLP HC VG 150 = -40° + 40°</v>
          </cell>
          <cell r="Y55" t="str">
            <v>KH127 DRN160L4-TF</v>
          </cell>
          <cell r="Z55" t="str">
            <v>SEW</v>
          </cell>
          <cell r="AE55" t="str">
            <v>NEMA5/UL/NPT terminal box</v>
          </cell>
          <cell r="AH55" t="str">
            <v>KH127-B0-X</v>
          </cell>
        </row>
        <row r="56">
          <cell r="A56" t="str">
            <v>MR000053</v>
          </cell>
          <cell r="B56" t="str">
            <v>MR</v>
          </cell>
          <cell r="C56">
            <v>9.1999999999999993</v>
          </cell>
          <cell r="D56" t="str">
            <v>44</v>
          </cell>
          <cell r="E56" t="str">
            <v>R97</v>
          </cell>
          <cell r="F56">
            <v>1980</v>
          </cell>
          <cell r="G56">
            <v>33.25</v>
          </cell>
          <cell r="H56">
            <v>1.45</v>
          </cell>
          <cell r="I56" t="str">
            <v>M1</v>
          </cell>
          <cell r="J56" t="str">
            <v>IE3</v>
          </cell>
          <cell r="K56">
            <v>480</v>
          </cell>
          <cell r="L56">
            <v>60</v>
          </cell>
          <cell r="N56">
            <v>56</v>
          </cell>
          <cell r="O56" t="str">
            <v>F</v>
          </cell>
          <cell r="P56" t="str">
            <v>270°</v>
          </cell>
          <cell r="Q56" t="str">
            <v>TF</v>
          </cell>
          <cell r="R56" t="str">
            <v>-</v>
          </cell>
          <cell r="V56" t="str">
            <v>D+R</v>
          </cell>
          <cell r="W56" t="str">
            <v>115V</v>
          </cell>
          <cell r="X56" t="str">
            <v>CLP HC VG 150 = -40° + 40°</v>
          </cell>
          <cell r="Y56" t="str">
            <v>R97DRN132L4-TF</v>
          </cell>
          <cell r="Z56" t="str">
            <v>SEW</v>
          </cell>
          <cell r="AE56" t="str">
            <v>NEMA5/UL/NPT terminal box</v>
          </cell>
          <cell r="AH56" t="str">
            <v>R97-270-X</v>
          </cell>
        </row>
        <row r="57">
          <cell r="A57" t="str">
            <v>MR000054</v>
          </cell>
          <cell r="B57" t="str">
            <v>MR</v>
          </cell>
          <cell r="C57">
            <v>11</v>
          </cell>
          <cell r="D57" t="str">
            <v>15</v>
          </cell>
          <cell r="E57" t="str">
            <v>KH107</v>
          </cell>
          <cell r="F57">
            <v>7180</v>
          </cell>
          <cell r="G57">
            <v>100.75</v>
          </cell>
          <cell r="H57" t="str">
            <v>1.1</v>
          </cell>
          <cell r="I57" t="str">
            <v>From M1A to M2A - 30°</v>
          </cell>
          <cell r="J57" t="str">
            <v>IE3</v>
          </cell>
          <cell r="K57">
            <v>480</v>
          </cell>
          <cell r="L57">
            <v>60</v>
          </cell>
          <cell r="M57">
            <v>21</v>
          </cell>
          <cell r="N57">
            <v>56</v>
          </cell>
          <cell r="O57" t="str">
            <v>F</v>
          </cell>
          <cell r="P57" t="str">
            <v>180°</v>
          </cell>
          <cell r="Q57" t="str">
            <v>TF</v>
          </cell>
          <cell r="R57" t="str">
            <v>-</v>
          </cell>
          <cell r="V57" t="str">
            <v>SS</v>
          </cell>
          <cell r="W57" t="str">
            <v>115V</v>
          </cell>
          <cell r="X57" t="str">
            <v>CLP HC VG 150 = -40° + 40°</v>
          </cell>
          <cell r="Y57" t="str">
            <v>KH107 DRN160M4-TF</v>
          </cell>
          <cell r="Z57" t="str">
            <v>SEW</v>
          </cell>
          <cell r="AE57" t="str">
            <v>NEMA5/UL/NPT terminal box</v>
          </cell>
          <cell r="AH57" t="str">
            <v>KH107-A180-X</v>
          </cell>
        </row>
        <row r="58">
          <cell r="A58" t="str">
            <v>MR000055</v>
          </cell>
          <cell r="B58" t="str">
            <v>MR</v>
          </cell>
          <cell r="C58">
            <v>11</v>
          </cell>
          <cell r="D58" t="str">
            <v>15</v>
          </cell>
          <cell r="E58" t="str">
            <v>KH107</v>
          </cell>
          <cell r="F58">
            <v>7180</v>
          </cell>
          <cell r="G58">
            <v>100.75</v>
          </cell>
          <cell r="H58" t="str">
            <v>1.1</v>
          </cell>
          <cell r="I58" t="str">
            <v>From M1B to M2B - 30°</v>
          </cell>
          <cell r="J58" t="str">
            <v>IE3</v>
          </cell>
          <cell r="K58">
            <v>480</v>
          </cell>
          <cell r="L58">
            <v>60</v>
          </cell>
          <cell r="M58">
            <v>21</v>
          </cell>
          <cell r="N58">
            <v>56</v>
          </cell>
          <cell r="O58" t="str">
            <v>F</v>
          </cell>
          <cell r="P58" t="str">
            <v>0°</v>
          </cell>
          <cell r="Q58" t="str">
            <v>TF</v>
          </cell>
          <cell r="R58" t="str">
            <v>-</v>
          </cell>
          <cell r="V58" t="str">
            <v>SS</v>
          </cell>
          <cell r="W58" t="str">
            <v>115V</v>
          </cell>
          <cell r="X58" t="str">
            <v>CLP HC VG 150 = -40° + 40°</v>
          </cell>
          <cell r="Y58" t="str">
            <v>KH107 DRN160M4-TF</v>
          </cell>
          <cell r="Z58" t="str">
            <v>SEW</v>
          </cell>
          <cell r="AE58" t="str">
            <v>NEMA5/UL/NPT terminal box</v>
          </cell>
          <cell r="AH58" t="str">
            <v>KH107-B0-X</v>
          </cell>
        </row>
        <row r="59">
          <cell r="A59" t="str">
            <v>MR000056</v>
          </cell>
          <cell r="B59" t="str">
            <v>MR</v>
          </cell>
          <cell r="C59">
            <v>7.5</v>
          </cell>
          <cell r="D59" t="str">
            <v>53</v>
          </cell>
          <cell r="E59" t="str">
            <v>R87</v>
          </cell>
          <cell r="F59">
            <v>1360</v>
          </cell>
          <cell r="G59">
            <v>27.88</v>
          </cell>
          <cell r="H59">
            <v>1.1000000000000001</v>
          </cell>
          <cell r="I59" t="str">
            <v>M1</v>
          </cell>
          <cell r="J59" t="str">
            <v>IE3</v>
          </cell>
          <cell r="K59">
            <v>480</v>
          </cell>
          <cell r="L59">
            <v>60</v>
          </cell>
          <cell r="M59">
            <v>15.2</v>
          </cell>
          <cell r="N59">
            <v>56</v>
          </cell>
          <cell r="O59" t="str">
            <v>F</v>
          </cell>
          <cell r="P59" t="str">
            <v>270°</v>
          </cell>
          <cell r="Q59" t="str">
            <v>TF</v>
          </cell>
          <cell r="R59" t="str">
            <v>-</v>
          </cell>
          <cell r="V59" t="str">
            <v>D+R</v>
          </cell>
          <cell r="W59" t="str">
            <v>115V</v>
          </cell>
          <cell r="X59" t="str">
            <v>CLP HC VG 150 = -40° + 40°</v>
          </cell>
          <cell r="Y59" t="str">
            <v>R87DRN132M4-TF</v>
          </cell>
          <cell r="Z59" t="str">
            <v>SEW</v>
          </cell>
          <cell r="AE59" t="str">
            <v>NEMA5/UL/NPT terminal box</v>
          </cell>
          <cell r="AH59" t="str">
            <v>R87-270-X</v>
          </cell>
        </row>
        <row r="60">
          <cell r="A60" t="str">
            <v>MR000057</v>
          </cell>
          <cell r="B60" t="str">
            <v>MR</v>
          </cell>
          <cell r="C60">
            <v>4</v>
          </cell>
          <cell r="D60" t="str">
            <v>63</v>
          </cell>
          <cell r="E60" t="str">
            <v>R77</v>
          </cell>
          <cell r="F60">
            <v>605</v>
          </cell>
          <cell r="G60">
            <v>23.37</v>
          </cell>
          <cell r="H60">
            <v>1.35</v>
          </cell>
          <cell r="I60" t="str">
            <v>From M1 to M4 - 20°</v>
          </cell>
          <cell r="J60" t="str">
            <v>IE3</v>
          </cell>
          <cell r="K60">
            <v>480</v>
          </cell>
          <cell r="L60">
            <v>60</v>
          </cell>
          <cell r="N60">
            <v>56</v>
          </cell>
          <cell r="O60" t="str">
            <v>F</v>
          </cell>
          <cell r="P60" t="str">
            <v>270°</v>
          </cell>
          <cell r="Q60" t="str">
            <v>TF</v>
          </cell>
          <cell r="R60" t="str">
            <v>-</v>
          </cell>
          <cell r="V60" t="str">
            <v>D</v>
          </cell>
          <cell r="W60" t="str">
            <v>115V</v>
          </cell>
          <cell r="X60" t="str">
            <v>CLP HC VG 150 = -40° + 40°</v>
          </cell>
          <cell r="Y60" t="str">
            <v>R77DRN112M4-TF</v>
          </cell>
          <cell r="Z60" t="str">
            <v>SEW</v>
          </cell>
          <cell r="AE60" t="str">
            <v>NEMA5/UL/NPT terminal box</v>
          </cell>
          <cell r="AH60" t="str">
            <v>R77-270-X</v>
          </cell>
        </row>
        <row r="61">
          <cell r="A61" t="str">
            <v>MR000058</v>
          </cell>
          <cell r="B61" t="str">
            <v>MR</v>
          </cell>
          <cell r="C61">
            <v>4</v>
          </cell>
          <cell r="D61" t="str">
            <v>63</v>
          </cell>
          <cell r="E61" t="str">
            <v>R77</v>
          </cell>
          <cell r="F61">
            <v>605</v>
          </cell>
          <cell r="G61">
            <v>23.37</v>
          </cell>
          <cell r="H61">
            <v>1.35</v>
          </cell>
          <cell r="I61" t="str">
            <v>From M1 to M4 - 15°</v>
          </cell>
          <cell r="J61" t="str">
            <v>IE3</v>
          </cell>
          <cell r="K61">
            <v>480</v>
          </cell>
          <cell r="L61">
            <v>60</v>
          </cell>
          <cell r="N61">
            <v>56</v>
          </cell>
          <cell r="O61" t="str">
            <v>F</v>
          </cell>
          <cell r="P61" t="str">
            <v>270°</v>
          </cell>
          <cell r="Q61" t="str">
            <v>TF</v>
          </cell>
          <cell r="R61" t="str">
            <v>-</v>
          </cell>
          <cell r="V61" t="str">
            <v>D</v>
          </cell>
          <cell r="W61" t="str">
            <v>115V</v>
          </cell>
          <cell r="X61" t="str">
            <v>CLP HC VG 150 = -40° + 40°</v>
          </cell>
          <cell r="Y61" t="str">
            <v>R77DRN112M4-TF</v>
          </cell>
          <cell r="Z61" t="str">
            <v>SEW</v>
          </cell>
          <cell r="AE61" t="str">
            <v>NEMA5/UL/NPT terminal box</v>
          </cell>
          <cell r="AH61" t="str">
            <v>R77-270-X</v>
          </cell>
        </row>
        <row r="62">
          <cell r="A62" t="str">
            <v>MR000059</v>
          </cell>
          <cell r="B62" t="str">
            <v>MR</v>
          </cell>
          <cell r="C62">
            <v>11</v>
          </cell>
          <cell r="D62" t="str">
            <v>53</v>
          </cell>
          <cell r="E62" t="str">
            <v>R97</v>
          </cell>
          <cell r="F62">
            <v>1960</v>
          </cell>
          <cell r="G62">
            <v>27.58</v>
          </cell>
          <cell r="H62">
            <v>1.35</v>
          </cell>
          <cell r="I62" t="str">
            <v>M1</v>
          </cell>
          <cell r="J62" t="str">
            <v>IE3</v>
          </cell>
          <cell r="K62">
            <v>480</v>
          </cell>
          <cell r="L62">
            <v>60</v>
          </cell>
          <cell r="M62">
            <v>21</v>
          </cell>
          <cell r="N62">
            <v>56</v>
          </cell>
          <cell r="O62" t="str">
            <v>F</v>
          </cell>
          <cell r="P62" t="str">
            <v>270°</v>
          </cell>
          <cell r="Q62" t="str">
            <v>TF</v>
          </cell>
          <cell r="R62" t="str">
            <v>-</v>
          </cell>
          <cell r="V62" t="str">
            <v>D</v>
          </cell>
          <cell r="W62" t="str">
            <v>115V</v>
          </cell>
          <cell r="X62" t="str">
            <v>CLP HC VG 150 = -40° + 40°</v>
          </cell>
          <cell r="Y62" t="str">
            <v>R97DRN160M4-TF</v>
          </cell>
          <cell r="Z62" t="str">
            <v>SEW</v>
          </cell>
          <cell r="AE62" t="str">
            <v>NEMA5/UL/NPT terminal box</v>
          </cell>
          <cell r="AH62" t="str">
            <v>R97-270-X</v>
          </cell>
        </row>
        <row r="63">
          <cell r="A63" t="str">
            <v>MR000060</v>
          </cell>
          <cell r="B63" t="str">
            <v>MR</v>
          </cell>
          <cell r="C63">
            <v>18.5</v>
          </cell>
          <cell r="D63" t="str">
            <v>42</v>
          </cell>
          <cell r="E63" t="str">
            <v>R107</v>
          </cell>
          <cell r="F63">
            <v>4210</v>
          </cell>
          <cell r="G63">
            <v>35.26</v>
          </cell>
          <cell r="H63">
            <v>1</v>
          </cell>
          <cell r="I63" t="str">
            <v>From M1 to M2 - 20°</v>
          </cell>
          <cell r="J63" t="str">
            <v>IE3</v>
          </cell>
          <cell r="K63">
            <v>480</v>
          </cell>
          <cell r="L63">
            <v>60</v>
          </cell>
          <cell r="M63">
            <v>33.5</v>
          </cell>
          <cell r="N63">
            <v>56</v>
          </cell>
          <cell r="O63" t="str">
            <v>F</v>
          </cell>
          <cell r="P63" t="str">
            <v>270°</v>
          </cell>
          <cell r="Q63" t="str">
            <v>TF</v>
          </cell>
          <cell r="R63" t="str">
            <v>-</v>
          </cell>
          <cell r="V63" t="str">
            <v>D</v>
          </cell>
          <cell r="W63" t="str">
            <v>115V</v>
          </cell>
          <cell r="X63" t="str">
            <v>CLP HC VG 150 = -40° + 40°</v>
          </cell>
          <cell r="Y63" t="str">
            <v>R107DRN180M4-TF</v>
          </cell>
          <cell r="Z63" t="str">
            <v>SEW</v>
          </cell>
          <cell r="AE63" t="str">
            <v>NEMA5/UL/NPT terminal box</v>
          </cell>
          <cell r="AH63" t="str">
            <v>R107-270-X</v>
          </cell>
        </row>
        <row r="64">
          <cell r="A64" t="str">
            <v>MR000061</v>
          </cell>
          <cell r="B64" t="str">
            <v>MR</v>
          </cell>
          <cell r="C64">
            <v>3</v>
          </cell>
          <cell r="D64" t="str">
            <v>50</v>
          </cell>
          <cell r="E64" t="str">
            <v>R77</v>
          </cell>
          <cell r="F64">
            <v>570</v>
          </cell>
          <cell r="G64">
            <v>29</v>
          </cell>
          <cell r="H64">
            <v>1.45</v>
          </cell>
          <cell r="I64" t="str">
            <v>From M1 to M4 - 30°</v>
          </cell>
          <cell r="J64" t="str">
            <v>IE3</v>
          </cell>
          <cell r="K64">
            <v>480</v>
          </cell>
          <cell r="L64">
            <v>60</v>
          </cell>
          <cell r="N64">
            <v>56</v>
          </cell>
          <cell r="O64" t="str">
            <v>F</v>
          </cell>
          <cell r="Q64" t="str">
            <v>TF</v>
          </cell>
          <cell r="R64" t="str">
            <v>-</v>
          </cell>
          <cell r="V64" t="str">
            <v>D</v>
          </cell>
          <cell r="W64" t="str">
            <v>115V</v>
          </cell>
          <cell r="X64" t="str">
            <v>CLP HC VG 150 = -40° + 40°</v>
          </cell>
          <cell r="Y64" t="str">
            <v>R77DRN100L4-TF</v>
          </cell>
          <cell r="Z64" t="str">
            <v>SEW</v>
          </cell>
          <cell r="AE64" t="str">
            <v>NEMA5/UL/NPT terminal box</v>
          </cell>
          <cell r="AH64" t="str">
            <v>R77--X</v>
          </cell>
        </row>
        <row r="65">
          <cell r="A65" t="str">
            <v>MR000062</v>
          </cell>
          <cell r="B65" t="str">
            <v>MR</v>
          </cell>
          <cell r="C65">
            <v>18.5</v>
          </cell>
          <cell r="D65" t="str">
            <v>16</v>
          </cell>
          <cell r="E65" t="str">
            <v>KH127</v>
          </cell>
          <cell r="F65">
            <v>10700</v>
          </cell>
          <cell r="G65">
            <v>89.89</v>
          </cell>
          <cell r="H65">
            <v>1.2</v>
          </cell>
          <cell r="I65" t="str">
            <v>From M1A to M2A - 40°</v>
          </cell>
          <cell r="J65" t="str">
            <v>IE3</v>
          </cell>
          <cell r="K65">
            <v>480</v>
          </cell>
          <cell r="L65">
            <v>60</v>
          </cell>
          <cell r="M65">
            <v>33.5</v>
          </cell>
          <cell r="N65">
            <v>56</v>
          </cell>
          <cell r="O65" t="str">
            <v>F</v>
          </cell>
          <cell r="P65" t="str">
            <v>180°</v>
          </cell>
          <cell r="Q65" t="str">
            <v>TF</v>
          </cell>
          <cell r="R65" t="str">
            <v>-</v>
          </cell>
          <cell r="V65" t="str">
            <v>SS</v>
          </cell>
          <cell r="W65" t="str">
            <v>115V</v>
          </cell>
          <cell r="X65" t="str">
            <v>CLP HC VG 150 = -40° + 40°</v>
          </cell>
          <cell r="Y65" t="str">
            <v>KH127 DRN180M4-TF</v>
          </cell>
          <cell r="Z65" t="str">
            <v>SEW</v>
          </cell>
          <cell r="AE65" t="str">
            <v>NEMA5/UL/NPT terminal box</v>
          </cell>
          <cell r="AH65" t="str">
            <v>KH127-A180-X</v>
          </cell>
        </row>
        <row r="66">
          <cell r="A66" t="str">
            <v>MR000063</v>
          </cell>
          <cell r="B66" t="str">
            <v>MR</v>
          </cell>
          <cell r="C66">
            <v>18.5</v>
          </cell>
          <cell r="D66" t="str">
            <v>16</v>
          </cell>
          <cell r="E66" t="str">
            <v>KH127</v>
          </cell>
          <cell r="F66">
            <v>10700</v>
          </cell>
          <cell r="G66">
            <v>89.89</v>
          </cell>
          <cell r="H66">
            <v>1.2</v>
          </cell>
          <cell r="I66" t="str">
            <v>From M1B to M2B - 40°</v>
          </cell>
          <cell r="J66" t="str">
            <v>IE3</v>
          </cell>
          <cell r="K66">
            <v>480</v>
          </cell>
          <cell r="L66">
            <v>60</v>
          </cell>
          <cell r="M66">
            <v>33.5</v>
          </cell>
          <cell r="N66">
            <v>56</v>
          </cell>
          <cell r="O66" t="str">
            <v>F</v>
          </cell>
          <cell r="P66" t="str">
            <v>0°</v>
          </cell>
          <cell r="Q66" t="str">
            <v>TF</v>
          </cell>
          <cell r="R66" t="str">
            <v>-</v>
          </cell>
          <cell r="V66" t="str">
            <v>SS</v>
          </cell>
          <cell r="W66" t="str">
            <v>115V</v>
          </cell>
          <cell r="X66" t="str">
            <v>CLP HC VG 150 = -40° + 40°</v>
          </cell>
          <cell r="Y66" t="str">
            <v>KH127 DRN180M4-TF</v>
          </cell>
          <cell r="Z66" t="str">
            <v>SEW</v>
          </cell>
          <cell r="AE66" t="str">
            <v>NEMA5/UL/NPT terminal box</v>
          </cell>
          <cell r="AH66" t="str">
            <v>KH127-B0-X</v>
          </cell>
        </row>
        <row r="67">
          <cell r="A67" t="str">
            <v>MR000064</v>
          </cell>
          <cell r="B67" t="str">
            <v>MR</v>
          </cell>
          <cell r="C67">
            <v>4</v>
          </cell>
          <cell r="D67" t="str">
            <v>63</v>
          </cell>
          <cell r="E67" t="str">
            <v>R77</v>
          </cell>
          <cell r="F67">
            <v>605</v>
          </cell>
          <cell r="G67">
            <v>23.37</v>
          </cell>
          <cell r="H67">
            <v>1.35</v>
          </cell>
          <cell r="I67" t="str">
            <v>M1</v>
          </cell>
          <cell r="J67" t="str">
            <v>IE3</v>
          </cell>
          <cell r="K67">
            <v>480</v>
          </cell>
          <cell r="L67">
            <v>60</v>
          </cell>
          <cell r="N67">
            <v>56</v>
          </cell>
          <cell r="O67" t="str">
            <v>F</v>
          </cell>
          <cell r="P67" t="str">
            <v>270°</v>
          </cell>
          <cell r="Q67" t="str">
            <v>TF</v>
          </cell>
          <cell r="R67" t="str">
            <v>480V V</v>
          </cell>
          <cell r="V67" t="str">
            <v>FC</v>
          </cell>
          <cell r="W67" t="str">
            <v>115V</v>
          </cell>
          <cell r="X67" t="str">
            <v>CLP HC VG 150 = -40° + 40°</v>
          </cell>
          <cell r="Y67" t="str">
            <v>R77DRN112M4-TF-V</v>
          </cell>
          <cell r="Z67" t="str">
            <v>SEW</v>
          </cell>
          <cell r="AE67" t="str">
            <v>NEMA5/UL/NPT terminal box</v>
          </cell>
          <cell r="AH67" t="str">
            <v>R77-270-X#</v>
          </cell>
        </row>
        <row r="68">
          <cell r="A68" t="str">
            <v>MR000065</v>
          </cell>
          <cell r="B68" t="str">
            <v>MR</v>
          </cell>
          <cell r="C68">
            <v>18.5</v>
          </cell>
          <cell r="D68" t="str">
            <v>16</v>
          </cell>
          <cell r="E68" t="str">
            <v>KH127</v>
          </cell>
          <cell r="F68">
            <v>10700</v>
          </cell>
          <cell r="G68">
            <v>89.89</v>
          </cell>
          <cell r="H68">
            <v>1.2</v>
          </cell>
          <cell r="I68" t="str">
            <v>From M1A to M2A - 20°</v>
          </cell>
          <cell r="J68" t="str">
            <v>IE3</v>
          </cell>
          <cell r="K68">
            <v>480</v>
          </cell>
          <cell r="L68">
            <v>60</v>
          </cell>
          <cell r="M68">
            <v>33.5</v>
          </cell>
          <cell r="N68">
            <v>56</v>
          </cell>
          <cell r="O68" t="str">
            <v>F</v>
          </cell>
          <cell r="P68" t="str">
            <v>180°</v>
          </cell>
          <cell r="Q68" t="str">
            <v>TF</v>
          </cell>
          <cell r="R68" t="str">
            <v>-</v>
          </cell>
          <cell r="V68" t="str">
            <v>SS</v>
          </cell>
          <cell r="W68" t="str">
            <v>115V</v>
          </cell>
          <cell r="X68" t="str">
            <v>CLP HC VG 150 = -40° + 40°</v>
          </cell>
          <cell r="Y68" t="str">
            <v>KH127 DRN180M4-TF</v>
          </cell>
          <cell r="Z68" t="str">
            <v>SEW</v>
          </cell>
          <cell r="AE68" t="str">
            <v>NEMA5/UL/NPT terminal box</v>
          </cell>
          <cell r="AH68" t="str">
            <v>KH127-A180-X</v>
          </cell>
        </row>
        <row r="69">
          <cell r="A69" t="str">
            <v>MR000066</v>
          </cell>
          <cell r="B69" t="str">
            <v>MR</v>
          </cell>
          <cell r="C69">
            <v>22</v>
          </cell>
          <cell r="D69" t="str">
            <v>24</v>
          </cell>
          <cell r="E69" t="str">
            <v>KH127</v>
          </cell>
          <cell r="F69">
            <v>8900</v>
          </cell>
          <cell r="G69">
            <v>62.6</v>
          </cell>
          <cell r="H69">
            <v>1.45</v>
          </cell>
          <cell r="I69" t="str">
            <v>From M1A to M2A - 40°</v>
          </cell>
          <cell r="J69" t="str">
            <v>IE3</v>
          </cell>
          <cell r="K69">
            <v>480</v>
          </cell>
          <cell r="L69">
            <v>60</v>
          </cell>
          <cell r="M69">
            <v>38.5</v>
          </cell>
          <cell r="N69">
            <v>56</v>
          </cell>
          <cell r="O69" t="str">
            <v>F</v>
          </cell>
          <cell r="P69" t="str">
            <v>180°</v>
          </cell>
          <cell r="Q69" t="str">
            <v>TF</v>
          </cell>
          <cell r="R69" t="str">
            <v>-</v>
          </cell>
          <cell r="V69" t="str">
            <v>SS</v>
          </cell>
          <cell r="W69" t="str">
            <v>115V</v>
          </cell>
          <cell r="X69" t="str">
            <v>CLP HC VG 150 = -40° + 40°</v>
          </cell>
          <cell r="Y69" t="str">
            <v>KH127 DRN180L4-TF</v>
          </cell>
          <cell r="Z69" t="str">
            <v>SEW</v>
          </cell>
          <cell r="AE69" t="str">
            <v>NEMA5/UL/NPT terminal box</v>
          </cell>
          <cell r="AH69" t="str">
            <v>KH127-A180-X</v>
          </cell>
        </row>
        <row r="70">
          <cell r="A70" t="str">
            <v>MR000067</v>
          </cell>
          <cell r="B70" t="str">
            <v>MR</v>
          </cell>
          <cell r="C70">
            <v>3</v>
          </cell>
          <cell r="D70" t="str">
            <v>50</v>
          </cell>
          <cell r="E70" t="str">
            <v>R77</v>
          </cell>
          <cell r="F70">
            <v>570</v>
          </cell>
          <cell r="G70">
            <v>29</v>
          </cell>
          <cell r="H70">
            <v>1.45</v>
          </cell>
          <cell r="I70" t="str">
            <v>From M1 to M2 - 5°</v>
          </cell>
          <cell r="J70" t="str">
            <v>IE3</v>
          </cell>
          <cell r="K70">
            <v>480</v>
          </cell>
          <cell r="L70">
            <v>60</v>
          </cell>
          <cell r="N70">
            <v>56</v>
          </cell>
          <cell r="O70" t="str">
            <v>F</v>
          </cell>
          <cell r="P70" t="str">
            <v>270°</v>
          </cell>
          <cell r="Q70" t="str">
            <v>TF</v>
          </cell>
          <cell r="R70" t="str">
            <v>-</v>
          </cell>
          <cell r="V70" t="str">
            <v>D+R</v>
          </cell>
          <cell r="W70" t="str">
            <v>115V</v>
          </cell>
          <cell r="X70" t="str">
            <v>CLP HC VG 150 = -40° + 40°</v>
          </cell>
          <cell r="Y70" t="str">
            <v>R77DRN100L4-TF</v>
          </cell>
          <cell r="Z70" t="str">
            <v>SEW</v>
          </cell>
          <cell r="AE70" t="str">
            <v>NEMA5/UL/NPT terminal box</v>
          </cell>
          <cell r="AH70" t="str">
            <v>R77-270-X</v>
          </cell>
        </row>
        <row r="71">
          <cell r="A71" t="str">
            <v>MR000068</v>
          </cell>
          <cell r="B71" t="str">
            <v>MR</v>
          </cell>
          <cell r="C71">
            <v>11</v>
          </cell>
          <cell r="D71" t="str">
            <v>16</v>
          </cell>
          <cell r="E71" t="str">
            <v>KH127</v>
          </cell>
          <cell r="F71">
            <v>6410</v>
          </cell>
          <cell r="G71">
            <v>89.89</v>
          </cell>
          <cell r="H71">
            <v>2</v>
          </cell>
          <cell r="I71" t="str">
            <v>From M1A to M2A - 40°</v>
          </cell>
          <cell r="J71" t="str">
            <v>IE3</v>
          </cell>
          <cell r="K71">
            <v>480</v>
          </cell>
          <cell r="L71">
            <v>60</v>
          </cell>
          <cell r="M71">
            <v>21</v>
          </cell>
          <cell r="N71">
            <v>56</v>
          </cell>
          <cell r="O71" t="str">
            <v>F</v>
          </cell>
          <cell r="P71" t="str">
            <v>180°</v>
          </cell>
          <cell r="Q71" t="str">
            <v>TF</v>
          </cell>
          <cell r="R71" t="str">
            <v>480V V</v>
          </cell>
          <cell r="V71" t="str">
            <v>FC</v>
          </cell>
          <cell r="X71" t="str">
            <v>CLP HC VG 150 = -40° + 40°</v>
          </cell>
          <cell r="Y71" t="str">
            <v xml:space="preserve">KH127 DRN160M4-TF-V   </v>
          </cell>
          <cell r="Z71" t="str">
            <v>SEW</v>
          </cell>
          <cell r="AE71" t="str">
            <v>NEMA5/UL/NPT terminal box</v>
          </cell>
          <cell r="AH71" t="str">
            <v>KH127-A180-X#</v>
          </cell>
        </row>
        <row r="72">
          <cell r="A72" t="str">
            <v>MR000069</v>
          </cell>
          <cell r="B72" t="str">
            <v>MR</v>
          </cell>
          <cell r="C72">
            <v>11</v>
          </cell>
          <cell r="D72" t="str">
            <v>16</v>
          </cell>
          <cell r="E72" t="str">
            <v>KH127</v>
          </cell>
          <cell r="F72">
            <v>6410</v>
          </cell>
          <cell r="G72">
            <v>89.89</v>
          </cell>
          <cell r="H72">
            <v>2</v>
          </cell>
          <cell r="I72" t="str">
            <v>From M1B to M2B - 40°</v>
          </cell>
          <cell r="J72" t="str">
            <v>IE3</v>
          </cell>
          <cell r="K72">
            <v>480</v>
          </cell>
          <cell r="L72">
            <v>60</v>
          </cell>
          <cell r="M72">
            <v>21</v>
          </cell>
          <cell r="N72">
            <v>56</v>
          </cell>
          <cell r="O72" t="str">
            <v>F</v>
          </cell>
          <cell r="P72" t="str">
            <v>0°</v>
          </cell>
          <cell r="Q72" t="str">
            <v>TF</v>
          </cell>
          <cell r="R72" t="str">
            <v>480V V</v>
          </cell>
          <cell r="V72" t="str">
            <v>FC</v>
          </cell>
          <cell r="X72" t="str">
            <v>CLP HC VG 150 = -40° + 40°</v>
          </cell>
          <cell r="Y72" t="str">
            <v xml:space="preserve">KH127 DRN160M4-TF-V   </v>
          </cell>
          <cell r="Z72" t="str">
            <v>SEW</v>
          </cell>
          <cell r="AE72" t="str">
            <v>NEMA5/UL/NPT terminal box</v>
          </cell>
          <cell r="AH72" t="str">
            <v>KH127-B0-X#</v>
          </cell>
        </row>
        <row r="73">
          <cell r="A73" t="str">
            <v>MR000070</v>
          </cell>
          <cell r="B73" t="str">
            <v>MR</v>
          </cell>
          <cell r="C73">
            <v>18.5</v>
          </cell>
          <cell r="D73" t="str">
            <v>15</v>
          </cell>
          <cell r="E73" t="str">
            <v>KH157</v>
          </cell>
          <cell r="F73">
            <v>11900</v>
          </cell>
          <cell r="G73">
            <v>100.22</v>
          </cell>
          <cell r="H73">
            <v>1.5</v>
          </cell>
          <cell r="I73" t="str">
            <v>From M1A to M2A - 30°</v>
          </cell>
          <cell r="J73" t="str">
            <v>IE3</v>
          </cell>
          <cell r="K73">
            <v>480</v>
          </cell>
          <cell r="L73">
            <v>60</v>
          </cell>
          <cell r="M73">
            <v>33.5</v>
          </cell>
          <cell r="N73">
            <v>56</v>
          </cell>
          <cell r="O73" t="str">
            <v>F</v>
          </cell>
          <cell r="P73" t="str">
            <v>180°</v>
          </cell>
          <cell r="Q73" t="str">
            <v>TF</v>
          </cell>
          <cell r="R73" t="str">
            <v>480V V</v>
          </cell>
          <cell r="V73" t="str">
            <v>FC</v>
          </cell>
          <cell r="X73" t="str">
            <v>CLP HC VG 150 = -40° + 40°</v>
          </cell>
          <cell r="Y73" t="str">
            <v xml:space="preserve">KH157 DRN180M4-TF-V   </v>
          </cell>
          <cell r="Z73" t="str">
            <v>SEW</v>
          </cell>
          <cell r="AE73" t="str">
            <v>NEMA5/UL/NPT terminal box</v>
          </cell>
          <cell r="AH73" t="str">
            <v>KH157-A180-X#</v>
          </cell>
        </row>
        <row r="74">
          <cell r="A74" t="str">
            <v>MR000071</v>
          </cell>
          <cell r="B74" t="str">
            <v>MR</v>
          </cell>
          <cell r="C74">
            <v>18.5</v>
          </cell>
          <cell r="D74" t="str">
            <v>15</v>
          </cell>
          <cell r="E74" t="str">
            <v>KH157</v>
          </cell>
          <cell r="F74">
            <v>11900</v>
          </cell>
          <cell r="G74">
            <v>100.22</v>
          </cell>
          <cell r="H74">
            <v>1.5</v>
          </cell>
          <cell r="I74" t="str">
            <v>From M1B to M2B - 30°</v>
          </cell>
          <cell r="J74" t="str">
            <v>IE3</v>
          </cell>
          <cell r="K74">
            <v>480</v>
          </cell>
          <cell r="L74">
            <v>60</v>
          </cell>
          <cell r="M74">
            <v>33.5</v>
          </cell>
          <cell r="N74">
            <v>56</v>
          </cell>
          <cell r="O74" t="str">
            <v>F</v>
          </cell>
          <cell r="P74" t="str">
            <v>0°</v>
          </cell>
          <cell r="Q74" t="str">
            <v>TF</v>
          </cell>
          <cell r="R74" t="str">
            <v>480V V</v>
          </cell>
          <cell r="V74" t="str">
            <v>FC</v>
          </cell>
          <cell r="X74" t="str">
            <v>CLP HC VG 150 = -40° + 40°</v>
          </cell>
          <cell r="Y74" t="str">
            <v xml:space="preserve">KH157 DRN180M4-TF-V   </v>
          </cell>
          <cell r="Z74" t="str">
            <v>SEW</v>
          </cell>
          <cell r="AE74" t="str">
            <v>NEMA5/UL/NPT terminal box</v>
          </cell>
          <cell r="AH74" t="str">
            <v>KH157-B0-X#</v>
          </cell>
        </row>
        <row r="75">
          <cell r="A75" t="str">
            <v>MR000072</v>
          </cell>
          <cell r="B75" t="str">
            <v>MR</v>
          </cell>
          <cell r="C75">
            <v>22</v>
          </cell>
          <cell r="D75" t="str">
            <v>53</v>
          </cell>
          <cell r="E75" t="str">
            <v>KH97</v>
          </cell>
          <cell r="F75">
            <v>3960</v>
          </cell>
          <cell r="G75">
            <v>27.91</v>
          </cell>
          <cell r="H75">
            <v>1.1000000000000001</v>
          </cell>
          <cell r="I75" t="str">
            <v>From M3A to M4A - 15°</v>
          </cell>
          <cell r="J75" t="str">
            <v>IE3</v>
          </cell>
          <cell r="K75">
            <v>480</v>
          </cell>
          <cell r="L75">
            <v>60</v>
          </cell>
          <cell r="M75">
            <v>38.5</v>
          </cell>
          <cell r="N75">
            <v>56</v>
          </cell>
          <cell r="O75" t="str">
            <v>F</v>
          </cell>
          <cell r="P75" t="str">
            <v>180°</v>
          </cell>
          <cell r="Q75" t="str">
            <v>TF</v>
          </cell>
          <cell r="R75" t="str">
            <v>480V V</v>
          </cell>
          <cell r="S75" t="str">
            <v>Free rotation CCW</v>
          </cell>
          <cell r="U75" t="str">
            <v>T</v>
          </cell>
          <cell r="V75" t="str">
            <v>FC</v>
          </cell>
          <cell r="X75" t="str">
            <v>CLP HC VG 150 = -40° + 40°</v>
          </cell>
          <cell r="Y75" t="str">
            <v>KH97/T DRN180L4-TF-V-RS</v>
          </cell>
          <cell r="Z75" t="str">
            <v>SEW</v>
          </cell>
          <cell r="AE75" t="str">
            <v>NEMA5/UL/NPT terminal box</v>
          </cell>
          <cell r="AH75" t="str">
            <v>KH97T-A180-X#</v>
          </cell>
        </row>
        <row r="76">
          <cell r="A76" t="str">
            <v>MR000073</v>
          </cell>
          <cell r="B76" t="str">
            <v>MR</v>
          </cell>
          <cell r="C76">
            <v>0.75</v>
          </cell>
          <cell r="D76" t="str">
            <v>162</v>
          </cell>
          <cell r="E76" t="str">
            <v>KA37</v>
          </cell>
          <cell r="F76">
            <v>44</v>
          </cell>
          <cell r="G76">
            <v>8.91</v>
          </cell>
          <cell r="H76">
            <v>3.6</v>
          </cell>
          <cell r="I76" t="str">
            <v>From M3A to M4A - 15°</v>
          </cell>
          <cell r="J76" t="str">
            <v>IE3</v>
          </cell>
          <cell r="K76">
            <v>480</v>
          </cell>
          <cell r="L76">
            <v>60</v>
          </cell>
          <cell r="M76">
            <v>1.75</v>
          </cell>
          <cell r="N76">
            <v>56</v>
          </cell>
          <cell r="O76" t="str">
            <v>F</v>
          </cell>
          <cell r="P76" t="str">
            <v>180°</v>
          </cell>
          <cell r="R76" t="str">
            <v>-</v>
          </cell>
          <cell r="U76" t="str">
            <v>T</v>
          </cell>
          <cell r="V76" t="str">
            <v>D</v>
          </cell>
          <cell r="X76" t="str">
            <v>CLP HC VG 150 = -40° + 40°</v>
          </cell>
          <cell r="Y76" t="str">
            <v xml:space="preserve">KA37/T DRN80M4 </v>
          </cell>
          <cell r="Z76" t="str">
            <v>SEW</v>
          </cell>
          <cell r="AE76" t="str">
            <v>NEMA5/UL/NPT terminal box</v>
          </cell>
          <cell r="AH76" t="str">
            <v>KA37T-A180-X</v>
          </cell>
        </row>
        <row r="77">
          <cell r="A77" t="str">
            <v>MR000074</v>
          </cell>
          <cell r="B77" t="str">
            <v>MR</v>
          </cell>
          <cell r="C77">
            <v>0.25</v>
          </cell>
          <cell r="D77" t="str">
            <v>34</v>
          </cell>
          <cell r="E77" t="str">
            <v>FA37</v>
          </cell>
          <cell r="F77">
            <v>70</v>
          </cell>
          <cell r="G77">
            <v>38.31</v>
          </cell>
          <cell r="H77">
            <v>2.8</v>
          </cell>
          <cell r="I77" t="str">
            <v>M1</v>
          </cell>
          <cell r="J77" t="str">
            <v>IE3</v>
          </cell>
          <cell r="K77">
            <v>480</v>
          </cell>
          <cell r="L77">
            <v>60</v>
          </cell>
          <cell r="N77">
            <v>56</v>
          </cell>
          <cell r="O77" t="str">
            <v>F</v>
          </cell>
          <cell r="P77" t="str">
            <v>270°</v>
          </cell>
          <cell r="R77" t="str">
            <v>-</v>
          </cell>
          <cell r="V77" t="str">
            <v>D</v>
          </cell>
          <cell r="X77" t="str">
            <v>CLP HC VG 150 = -40° + 40°</v>
          </cell>
          <cell r="Y77" t="str">
            <v>FA37/G DR63L4</v>
          </cell>
          <cell r="Z77" t="str">
            <v>SEW</v>
          </cell>
          <cell r="AE77" t="str">
            <v>NEMA5/UL/NPT terminal box</v>
          </cell>
          <cell r="AH77" t="str">
            <v>FA37-270-X</v>
          </cell>
        </row>
        <row r="78">
          <cell r="A78" t="str">
            <v>MR000075</v>
          </cell>
          <cell r="B78" t="str">
            <v>MR</v>
          </cell>
          <cell r="C78">
            <v>22</v>
          </cell>
          <cell r="D78" t="str">
            <v>53</v>
          </cell>
          <cell r="E78" t="str">
            <v>KH97</v>
          </cell>
          <cell r="F78">
            <v>3960</v>
          </cell>
          <cell r="G78">
            <v>27.91</v>
          </cell>
          <cell r="H78">
            <v>1.1000000000000001</v>
          </cell>
          <cell r="I78" t="str">
            <v>From M3A to M4A - 15°</v>
          </cell>
          <cell r="J78" t="str">
            <v>IE3</v>
          </cell>
          <cell r="K78">
            <v>480</v>
          </cell>
          <cell r="L78">
            <v>60</v>
          </cell>
          <cell r="M78">
            <v>38.5</v>
          </cell>
          <cell r="N78">
            <v>56</v>
          </cell>
          <cell r="O78" t="str">
            <v>F</v>
          </cell>
          <cell r="P78" t="str">
            <v>180°</v>
          </cell>
          <cell r="Q78" t="str">
            <v>TF</v>
          </cell>
          <cell r="R78" t="str">
            <v>480V V</v>
          </cell>
          <cell r="S78" t="str">
            <v>Free rotation CW</v>
          </cell>
          <cell r="U78" t="str">
            <v>T</v>
          </cell>
          <cell r="V78" t="str">
            <v>FC</v>
          </cell>
          <cell r="X78" t="str">
            <v>CLP HC VG 150 = -40° + 40°</v>
          </cell>
          <cell r="Y78" t="str">
            <v xml:space="preserve">KH97/T DRN180L4-TF-V-RS  </v>
          </cell>
          <cell r="Z78" t="str">
            <v>SEW</v>
          </cell>
          <cell r="AE78" t="str">
            <v>NEMA5/UL/NPT terminal box</v>
          </cell>
          <cell r="AH78" t="str">
            <v>KH97T-A180-X#</v>
          </cell>
        </row>
        <row r="79">
          <cell r="A79" t="str">
            <v>MR000076</v>
          </cell>
          <cell r="B79" t="str">
            <v>MR</v>
          </cell>
          <cell r="C79">
            <v>0.55000000000000004</v>
          </cell>
          <cell r="D79" t="str">
            <v>3,7</v>
          </cell>
          <cell r="E79" t="str">
            <v>KA77R37</v>
          </cell>
          <cell r="F79">
            <v>1280</v>
          </cell>
          <cell r="G79">
            <v>367</v>
          </cell>
          <cell r="H79">
            <v>1.2</v>
          </cell>
          <cell r="I79" t="str">
            <v>M3B</v>
          </cell>
          <cell r="J79" t="str">
            <v>IE3</v>
          </cell>
          <cell r="K79">
            <v>480</v>
          </cell>
          <cell r="L79">
            <v>60</v>
          </cell>
          <cell r="N79">
            <v>56</v>
          </cell>
          <cell r="O79" t="str">
            <v>F</v>
          </cell>
          <cell r="P79" t="str">
            <v>0°</v>
          </cell>
          <cell r="Q79" t="str">
            <v>TF</v>
          </cell>
          <cell r="R79" t="str">
            <v>-</v>
          </cell>
          <cell r="T79" t="str">
            <v>BE1</v>
          </cell>
          <cell r="U79" t="str">
            <v>T</v>
          </cell>
          <cell r="V79" t="str">
            <v>D+R</v>
          </cell>
          <cell r="W79" t="str">
            <v>115V</v>
          </cell>
          <cell r="X79" t="str">
            <v>CLP HC VG 150 = -40° + 40°</v>
          </cell>
          <cell r="Y79" t="str">
            <v>KA77/T R37DRS71M4-TF-BE1</v>
          </cell>
          <cell r="Z79" t="str">
            <v>SEW</v>
          </cell>
          <cell r="AE79" t="str">
            <v>NEMA5/UL/NPT terminal box</v>
          </cell>
          <cell r="AH79" t="str">
            <v>KA77R37T-B0-X</v>
          </cell>
        </row>
        <row r="80">
          <cell r="A80" t="str">
            <v>MR000077</v>
          </cell>
          <cell r="B80" t="str">
            <v>MR</v>
          </cell>
          <cell r="C80">
            <v>5.5</v>
          </cell>
          <cell r="D80" t="str">
            <v>76</v>
          </cell>
          <cell r="E80" t="str">
            <v>R87</v>
          </cell>
          <cell r="F80">
            <v>685</v>
          </cell>
          <cell r="G80">
            <v>19.100000000000001</v>
          </cell>
          <cell r="H80">
            <v>2.1</v>
          </cell>
          <cell r="I80" t="str">
            <v>M1</v>
          </cell>
          <cell r="J80" t="str">
            <v>IE3</v>
          </cell>
          <cell r="K80">
            <v>480</v>
          </cell>
          <cell r="L80">
            <v>60</v>
          </cell>
          <cell r="N80">
            <v>56</v>
          </cell>
          <cell r="O80" t="str">
            <v>F</v>
          </cell>
          <cell r="P80" t="str">
            <v>270°</v>
          </cell>
          <cell r="Q80" t="str">
            <v>TF</v>
          </cell>
          <cell r="R80" t="str">
            <v>-</v>
          </cell>
          <cell r="V80" t="str">
            <v>D</v>
          </cell>
          <cell r="X80" t="str">
            <v>CLP HC VG 150 = -40° + 40°</v>
          </cell>
          <cell r="Y80" t="str">
            <v>R87DRN132S4-TF</v>
          </cell>
          <cell r="Z80" t="str">
            <v>SEW</v>
          </cell>
          <cell r="AE80" t="str">
            <v>NEMA5/UL/NPT terminal box</v>
          </cell>
          <cell r="AH80" t="str">
            <v>R87-270-X</v>
          </cell>
        </row>
        <row r="81">
          <cell r="A81" t="str">
            <v>MR000078</v>
          </cell>
          <cell r="B81" t="str">
            <v>MR</v>
          </cell>
          <cell r="C81">
            <v>9.1999999999999993</v>
          </cell>
          <cell r="D81" t="str">
            <v>101</v>
          </cell>
          <cell r="E81" t="str">
            <v>R97</v>
          </cell>
          <cell r="F81">
            <v>870</v>
          </cell>
          <cell r="G81">
            <v>14.62</v>
          </cell>
          <cell r="H81">
            <v>2.6</v>
          </cell>
          <cell r="I81" t="str">
            <v>M2</v>
          </cell>
          <cell r="J81" t="str">
            <v>IE3</v>
          </cell>
          <cell r="K81">
            <v>480</v>
          </cell>
          <cell r="L81">
            <v>60</v>
          </cell>
          <cell r="N81">
            <v>56</v>
          </cell>
          <cell r="O81" t="str">
            <v>F</v>
          </cell>
          <cell r="P81" t="str">
            <v>270°</v>
          </cell>
          <cell r="Q81" t="str">
            <v>TF</v>
          </cell>
          <cell r="R81" t="str">
            <v>-</v>
          </cell>
          <cell r="V81" t="str">
            <v>D</v>
          </cell>
          <cell r="X81" t="str">
            <v>CLP HC VG 150 = -40° + 40°</v>
          </cell>
          <cell r="Y81" t="str">
            <v>R97DRN132L4-TF</v>
          </cell>
          <cell r="Z81" t="str">
            <v>SEW</v>
          </cell>
          <cell r="AE81" t="str">
            <v>NEMA5/UL/NPT terminal box</v>
          </cell>
          <cell r="AH81" t="str">
            <v>R97-270-X</v>
          </cell>
        </row>
        <row r="82">
          <cell r="A82" t="str">
            <v>MR000079</v>
          </cell>
          <cell r="B82" t="str">
            <v>MR</v>
          </cell>
          <cell r="C82">
            <v>5.5</v>
          </cell>
          <cell r="D82" t="str">
            <v>52</v>
          </cell>
          <cell r="E82" t="str">
            <v>R87</v>
          </cell>
          <cell r="F82">
            <v>1000</v>
          </cell>
          <cell r="G82">
            <v>27.88</v>
          </cell>
          <cell r="H82">
            <v>1.5</v>
          </cell>
          <cell r="I82" t="str">
            <v>From M1 to M4 - 10°</v>
          </cell>
          <cell r="J82" t="str">
            <v>IE3</v>
          </cell>
          <cell r="K82">
            <v>480</v>
          </cell>
          <cell r="L82">
            <v>60</v>
          </cell>
          <cell r="N82">
            <v>56</v>
          </cell>
          <cell r="O82" t="str">
            <v>F</v>
          </cell>
          <cell r="P82" t="str">
            <v>270°</v>
          </cell>
          <cell r="Q82" t="str">
            <v>TF</v>
          </cell>
          <cell r="R82" t="str">
            <v>-</v>
          </cell>
          <cell r="V82" t="str">
            <v>D</v>
          </cell>
          <cell r="X82" t="str">
            <v>CLP HC VG 150 = -40° + 40°</v>
          </cell>
          <cell r="Y82" t="str">
            <v>R87DRN132S4-TF</v>
          </cell>
          <cell r="Z82" t="str">
            <v>SEW</v>
          </cell>
          <cell r="AE82" t="str">
            <v>NEMA5/UL/NPT terminal box</v>
          </cell>
          <cell r="AH82" t="str">
            <v>R87-270-X</v>
          </cell>
        </row>
        <row r="83">
          <cell r="A83" t="str">
            <v>MR000080</v>
          </cell>
          <cell r="B83" t="str">
            <v>MR</v>
          </cell>
          <cell r="C83">
            <v>5.5</v>
          </cell>
          <cell r="D83" t="str">
            <v>52</v>
          </cell>
          <cell r="E83" t="str">
            <v>R87</v>
          </cell>
          <cell r="F83">
            <v>1000</v>
          </cell>
          <cell r="G83">
            <v>27.88</v>
          </cell>
          <cell r="H83">
            <v>2.6</v>
          </cell>
          <cell r="I83" t="str">
            <v>From M1 to M4 - 20°</v>
          </cell>
          <cell r="J83" t="str">
            <v>IE3</v>
          </cell>
          <cell r="K83">
            <v>480</v>
          </cell>
          <cell r="L83">
            <v>60</v>
          </cell>
          <cell r="N83">
            <v>56</v>
          </cell>
          <cell r="O83" t="str">
            <v>F</v>
          </cell>
          <cell r="P83" t="str">
            <v>270°</v>
          </cell>
          <cell r="Q83" t="str">
            <v>TF</v>
          </cell>
          <cell r="R83" t="str">
            <v>-</v>
          </cell>
          <cell r="V83" t="str">
            <v>D</v>
          </cell>
          <cell r="X83" t="str">
            <v>CLP HC VG 150 = -40° + 40°</v>
          </cell>
          <cell r="Y83" t="str">
            <v>R87DRN132S4-TF</v>
          </cell>
          <cell r="Z83" t="str">
            <v>SEW</v>
          </cell>
          <cell r="AE83" t="str">
            <v>NEMA5/UL/NPT terminal box</v>
          </cell>
          <cell r="AH83" t="str">
            <v>R87-270-X</v>
          </cell>
        </row>
        <row r="84">
          <cell r="A84" t="str">
            <v>MR000081</v>
          </cell>
          <cell r="B84" t="str">
            <v>MR</v>
          </cell>
          <cell r="C84">
            <v>5.5</v>
          </cell>
          <cell r="D84" t="str">
            <v>76</v>
          </cell>
          <cell r="E84" t="str">
            <v>R87</v>
          </cell>
          <cell r="F84">
            <v>685</v>
          </cell>
          <cell r="G84">
            <v>19.100000000000001</v>
          </cell>
          <cell r="H84">
            <v>2.1</v>
          </cell>
          <cell r="I84" t="str">
            <v>From M1 to M4 - 10°</v>
          </cell>
          <cell r="J84" t="str">
            <v>IE3</v>
          </cell>
          <cell r="K84">
            <v>480</v>
          </cell>
          <cell r="L84">
            <v>60</v>
          </cell>
          <cell r="N84">
            <v>56</v>
          </cell>
          <cell r="O84" t="str">
            <v>F</v>
          </cell>
          <cell r="P84" t="str">
            <v>270°</v>
          </cell>
          <cell r="Q84" t="str">
            <v>TF</v>
          </cell>
          <cell r="R84" t="str">
            <v>-</v>
          </cell>
          <cell r="V84" t="str">
            <v>D</v>
          </cell>
          <cell r="X84" t="str">
            <v>CLP HC VG 150 = -40° + 40°</v>
          </cell>
          <cell r="Y84" t="str">
            <v>R87DRN132S4-TF</v>
          </cell>
          <cell r="Z84" t="str">
            <v>SEW</v>
          </cell>
          <cell r="AE84" t="str">
            <v>NEMA5/UL/NPT terminal box</v>
          </cell>
          <cell r="AH84" t="str">
            <v>R87-270-X</v>
          </cell>
        </row>
        <row r="85">
          <cell r="A85" t="str">
            <v>MR000081</v>
          </cell>
          <cell r="B85" t="str">
            <v>MR</v>
          </cell>
          <cell r="C85">
            <v>5.5</v>
          </cell>
          <cell r="D85" t="str">
            <v>62</v>
          </cell>
          <cell r="E85" t="str">
            <v>R87</v>
          </cell>
          <cell r="F85">
            <v>840</v>
          </cell>
          <cell r="G85">
            <v>23.4</v>
          </cell>
          <cell r="H85">
            <v>1.85</v>
          </cell>
          <cell r="I85" t="str">
            <v>M1</v>
          </cell>
          <cell r="J85" t="str">
            <v>IE3</v>
          </cell>
          <cell r="K85">
            <v>480</v>
          </cell>
          <cell r="L85">
            <v>60</v>
          </cell>
          <cell r="N85">
            <v>56</v>
          </cell>
          <cell r="O85" t="str">
            <v>F</v>
          </cell>
          <cell r="P85" t="str">
            <v>270°</v>
          </cell>
          <cell r="Q85" t="str">
            <v>TF</v>
          </cell>
          <cell r="R85" t="str">
            <v>-</v>
          </cell>
          <cell r="V85" t="str">
            <v>D</v>
          </cell>
          <cell r="X85" t="str">
            <v>CLP HC VG 150 = -40° + 40°</v>
          </cell>
          <cell r="Y85" t="str">
            <v>R87DRN132S4-TF</v>
          </cell>
          <cell r="Z85" t="str">
            <v>SEW</v>
          </cell>
          <cell r="AE85" t="str">
            <v>NEMA5/UL/NPT terminal box</v>
          </cell>
          <cell r="AH85" t="str">
            <v>R87-270-X</v>
          </cell>
        </row>
        <row r="86">
          <cell r="A86" t="str">
            <v>MR000082</v>
          </cell>
          <cell r="B86" t="str">
            <v>MR</v>
          </cell>
          <cell r="C86">
            <v>9.1999999999999993</v>
          </cell>
          <cell r="D86" t="str">
            <v>73</v>
          </cell>
          <cell r="E86" t="str">
            <v>R97</v>
          </cell>
          <cell r="F86">
            <v>1200</v>
          </cell>
          <cell r="G86">
            <v>20.14</v>
          </cell>
          <cell r="H86">
            <v>2.2000000000000002</v>
          </cell>
          <cell r="I86" t="str">
            <v>M1</v>
          </cell>
          <cell r="J86" t="str">
            <v>IE3</v>
          </cell>
          <cell r="K86">
            <v>480</v>
          </cell>
          <cell r="L86">
            <v>60</v>
          </cell>
          <cell r="N86">
            <v>56</v>
          </cell>
          <cell r="O86" t="str">
            <v>F</v>
          </cell>
          <cell r="P86" t="str">
            <v>270°</v>
          </cell>
          <cell r="Q86" t="str">
            <v>TF</v>
          </cell>
          <cell r="R86" t="str">
            <v>-</v>
          </cell>
          <cell r="V86" t="str">
            <v>D</v>
          </cell>
          <cell r="X86" t="str">
            <v>CLP HC VG 150 = -40° + 40°</v>
          </cell>
          <cell r="Y86" t="str">
            <v>R97DRN132L4-TF</v>
          </cell>
          <cell r="Z86" t="str">
            <v>SEW</v>
          </cell>
          <cell r="AE86" t="str">
            <v>NEMA5/UL/NPT terminal box</v>
          </cell>
          <cell r="AH86" t="str">
            <v>R97-270-X</v>
          </cell>
        </row>
        <row r="87">
          <cell r="A87" t="str">
            <v>MR000083</v>
          </cell>
          <cell r="B87" t="str">
            <v>MR</v>
          </cell>
          <cell r="C87">
            <v>18.5</v>
          </cell>
          <cell r="D87" t="str">
            <v>94</v>
          </cell>
          <cell r="E87" t="str">
            <v>R107</v>
          </cell>
          <cell r="F87">
            <v>1870</v>
          </cell>
          <cell r="G87">
            <v>15.65</v>
          </cell>
          <cell r="H87">
            <v>2.2999999999999998</v>
          </cell>
          <cell r="I87" t="str">
            <v>M2</v>
          </cell>
          <cell r="J87" t="str">
            <v>IE3</v>
          </cell>
          <cell r="K87">
            <v>480</v>
          </cell>
          <cell r="L87">
            <v>60</v>
          </cell>
          <cell r="M87">
            <v>33.5</v>
          </cell>
          <cell r="N87">
            <v>56</v>
          </cell>
          <cell r="O87" t="str">
            <v>F</v>
          </cell>
          <cell r="P87" t="str">
            <v>270°</v>
          </cell>
          <cell r="Q87" t="str">
            <v>TF</v>
          </cell>
          <cell r="R87" t="str">
            <v>-</v>
          </cell>
          <cell r="V87" t="str">
            <v>D</v>
          </cell>
          <cell r="X87" t="str">
            <v>CLP HC VG 150 = -40° + 40°</v>
          </cell>
          <cell r="Y87" t="str">
            <v>R107DRN180M4-TF</v>
          </cell>
          <cell r="Z87" t="str">
            <v>SEW</v>
          </cell>
          <cell r="AE87" t="str">
            <v>NEMA5/UL/NPT terminal box</v>
          </cell>
          <cell r="AH87" t="str">
            <v>R107-270-X</v>
          </cell>
        </row>
        <row r="88">
          <cell r="A88" t="str">
            <v>MR000084</v>
          </cell>
          <cell r="B88" t="str">
            <v>MR</v>
          </cell>
          <cell r="C88">
            <v>11</v>
          </cell>
          <cell r="D88" t="str">
            <v>66</v>
          </cell>
          <cell r="E88" t="str">
            <v>R97</v>
          </cell>
          <cell r="F88">
            <v>1590</v>
          </cell>
          <cell r="G88">
            <v>22.37</v>
          </cell>
          <cell r="H88">
            <v>1.7</v>
          </cell>
          <cell r="I88" t="str">
            <v>From M1 to M2 - 15°</v>
          </cell>
          <cell r="J88" t="str">
            <v>IE3</v>
          </cell>
          <cell r="K88">
            <v>480</v>
          </cell>
          <cell r="L88">
            <v>60</v>
          </cell>
          <cell r="M88">
            <v>21</v>
          </cell>
          <cell r="N88">
            <v>56</v>
          </cell>
          <cell r="O88" t="str">
            <v>F</v>
          </cell>
          <cell r="P88" t="str">
            <v>270°</v>
          </cell>
          <cell r="Q88" t="str">
            <v>TF</v>
          </cell>
          <cell r="R88" t="str">
            <v>-</v>
          </cell>
          <cell r="V88" t="str">
            <v>D</v>
          </cell>
          <cell r="X88" t="str">
            <v>CLP HC VG 150 = -40° + 40°</v>
          </cell>
          <cell r="Y88" t="str">
            <v>R97DRN160M4-TF</v>
          </cell>
          <cell r="Z88" t="str">
            <v>SEW</v>
          </cell>
          <cell r="AE88" t="str">
            <v>NEMA5/UL/NPT terminal box</v>
          </cell>
          <cell r="AH88" t="str">
            <v>R97-270-X</v>
          </cell>
        </row>
        <row r="89">
          <cell r="A89" t="str">
            <v>MR000085</v>
          </cell>
          <cell r="B89" t="str">
            <v>MR</v>
          </cell>
          <cell r="C89">
            <v>1.5</v>
          </cell>
          <cell r="D89" t="str">
            <v>3,8</v>
          </cell>
          <cell r="E89" t="str">
            <v>KA97R57</v>
          </cell>
          <cell r="F89">
            <v>3440</v>
          </cell>
          <cell r="G89">
            <v>382</v>
          </cell>
          <cell r="H89">
            <v>1.25</v>
          </cell>
          <cell r="I89" t="str">
            <v>M3B</v>
          </cell>
          <cell r="J89" t="str">
            <v>IE3</v>
          </cell>
          <cell r="K89">
            <v>480</v>
          </cell>
          <cell r="L89">
            <v>60</v>
          </cell>
          <cell r="M89">
            <v>3.4</v>
          </cell>
          <cell r="N89">
            <v>56</v>
          </cell>
          <cell r="O89" t="str">
            <v>F</v>
          </cell>
          <cell r="P89" t="str">
            <v>0°</v>
          </cell>
          <cell r="Q89" t="str">
            <v>TF</v>
          </cell>
          <cell r="R89" t="str">
            <v>-</v>
          </cell>
          <cell r="T89" t="str">
            <v>BE2</v>
          </cell>
          <cell r="U89" t="str">
            <v>T</v>
          </cell>
          <cell r="V89" t="str">
            <v>D+R</v>
          </cell>
          <cell r="W89" t="str">
            <v>115V</v>
          </cell>
          <cell r="X89" t="str">
            <v>CLP HC VG 150 = -40° + 40°</v>
          </cell>
          <cell r="Y89" t="str">
            <v>KA97/TR57DRN90L4-TF-BE2</v>
          </cell>
          <cell r="Z89" t="str">
            <v>SEW</v>
          </cell>
          <cell r="AE89" t="str">
            <v>NEMA5/UL/NPT terminal box</v>
          </cell>
          <cell r="AH89" t="str">
            <v>KA97R57T-B0-X</v>
          </cell>
        </row>
        <row r="90">
          <cell r="A90" t="str">
            <v>MR000086</v>
          </cell>
          <cell r="B90" t="str">
            <v>MR</v>
          </cell>
          <cell r="C90">
            <v>15</v>
          </cell>
          <cell r="D90" t="str">
            <v>13</v>
          </cell>
          <cell r="E90" t="str">
            <v>KH127</v>
          </cell>
          <cell r="F90">
            <v>10700</v>
          </cell>
          <cell r="G90">
            <v>110.18</v>
          </cell>
          <cell r="H90">
            <v>1.2</v>
          </cell>
          <cell r="I90" t="str">
            <v>From M1A to M2A - 30°</v>
          </cell>
          <cell r="J90" t="str">
            <v>IE3</v>
          </cell>
          <cell r="K90">
            <v>480</v>
          </cell>
          <cell r="L90">
            <v>60</v>
          </cell>
          <cell r="M90">
            <v>29</v>
          </cell>
          <cell r="N90">
            <v>56</v>
          </cell>
          <cell r="O90" t="str">
            <v>F</v>
          </cell>
          <cell r="P90" t="str">
            <v>180°</v>
          </cell>
          <cell r="Q90" t="str">
            <v>TF</v>
          </cell>
          <cell r="R90" t="str">
            <v>480V V</v>
          </cell>
          <cell r="V90" t="str">
            <v>FC</v>
          </cell>
          <cell r="W90" t="str">
            <v>115V</v>
          </cell>
          <cell r="X90" t="str">
            <v>CLP HC VG 150 = -40° + 40°</v>
          </cell>
          <cell r="Y90" t="str">
            <v xml:space="preserve">KH127 DRN160L4-TF-V   </v>
          </cell>
          <cell r="Z90" t="str">
            <v>SEW</v>
          </cell>
          <cell r="AE90" t="str">
            <v>NEMA5/UL/NPT terminal box</v>
          </cell>
          <cell r="AH90" t="str">
            <v>KH127-A180-X#</v>
          </cell>
        </row>
        <row r="91">
          <cell r="A91" t="str">
            <v>MR000087</v>
          </cell>
          <cell r="B91" t="str">
            <v>MR</v>
          </cell>
          <cell r="C91">
            <v>15</v>
          </cell>
          <cell r="D91" t="str">
            <v>13</v>
          </cell>
          <cell r="E91" t="str">
            <v>KH127</v>
          </cell>
          <cell r="F91">
            <v>10700</v>
          </cell>
          <cell r="G91">
            <v>110.18</v>
          </cell>
          <cell r="H91">
            <v>1.2</v>
          </cell>
          <cell r="I91" t="str">
            <v>From M1B to M2B - 30°</v>
          </cell>
          <cell r="J91" t="str">
            <v>IE3</v>
          </cell>
          <cell r="K91">
            <v>480</v>
          </cell>
          <cell r="L91">
            <v>60</v>
          </cell>
          <cell r="M91">
            <v>29</v>
          </cell>
          <cell r="N91">
            <v>56</v>
          </cell>
          <cell r="O91" t="str">
            <v>F</v>
          </cell>
          <cell r="P91" t="str">
            <v>0°</v>
          </cell>
          <cell r="Q91" t="str">
            <v>TF</v>
          </cell>
          <cell r="R91" t="str">
            <v>480V V</v>
          </cell>
          <cell r="V91" t="str">
            <v>FC</v>
          </cell>
          <cell r="W91" t="str">
            <v>115V</v>
          </cell>
          <cell r="X91" t="str">
            <v>CLP HC VG 150 = -40° + 40°</v>
          </cell>
          <cell r="Y91" t="str">
            <v xml:space="preserve">KH127 DRN160L4-TF-V   </v>
          </cell>
          <cell r="Z91" t="str">
            <v>SEW</v>
          </cell>
          <cell r="AE91" t="str">
            <v>NEMA5/UL/NPT terminal box</v>
          </cell>
          <cell r="AH91" t="str">
            <v>KH127-B0-X#</v>
          </cell>
        </row>
        <row r="92">
          <cell r="A92" t="str">
            <v>MR000088</v>
          </cell>
          <cell r="B92" t="str">
            <v>MR</v>
          </cell>
          <cell r="C92">
            <v>37</v>
          </cell>
          <cell r="D92" t="str">
            <v>61</v>
          </cell>
          <cell r="E92" t="str">
            <v>R137</v>
          </cell>
          <cell r="F92">
            <v>5750</v>
          </cell>
          <cell r="G92">
            <v>24.12</v>
          </cell>
          <cell r="H92">
            <v>1.4</v>
          </cell>
          <cell r="I92" t="str">
            <v>M1</v>
          </cell>
          <cell r="J92" t="str">
            <v>IE3</v>
          </cell>
          <cell r="K92">
            <v>480</v>
          </cell>
          <cell r="L92">
            <v>60</v>
          </cell>
          <cell r="N92">
            <v>56</v>
          </cell>
          <cell r="O92" t="str">
            <v>F</v>
          </cell>
          <cell r="P92" t="str">
            <v>270°</v>
          </cell>
          <cell r="Q92" t="str">
            <v>TF</v>
          </cell>
          <cell r="R92" t="str">
            <v>-</v>
          </cell>
          <cell r="V92" t="str">
            <v>D</v>
          </cell>
          <cell r="W92" t="str">
            <v>115V</v>
          </cell>
          <cell r="X92" t="str">
            <v>CLP HC VG 150 = -40° + 40°</v>
          </cell>
          <cell r="Y92" t="str">
            <v>R137DRN225S4-TF</v>
          </cell>
          <cell r="Z92" t="str">
            <v>SEW</v>
          </cell>
          <cell r="AE92" t="str">
            <v>NEMA5/UL/NPT terminal box</v>
          </cell>
          <cell r="AH92" t="str">
            <v>R137-270-X</v>
          </cell>
        </row>
        <row r="93">
          <cell r="A93" t="str">
            <v>MR000089</v>
          </cell>
          <cell r="B93" t="str">
            <v>MR</v>
          </cell>
          <cell r="C93">
            <v>15</v>
          </cell>
          <cell r="D93" t="str">
            <v>16</v>
          </cell>
          <cell r="E93" t="str">
            <v>KH127</v>
          </cell>
          <cell r="F93">
            <v>8730</v>
          </cell>
          <cell r="G93">
            <v>89.89</v>
          </cell>
          <cell r="H93">
            <v>1.5</v>
          </cell>
          <cell r="I93" t="str">
            <v>From M4A to M1A - 20°</v>
          </cell>
          <cell r="J93" t="str">
            <v>IE3</v>
          </cell>
          <cell r="K93">
            <v>480</v>
          </cell>
          <cell r="L93">
            <v>60</v>
          </cell>
          <cell r="M93">
            <v>29</v>
          </cell>
          <cell r="N93">
            <v>56</v>
          </cell>
          <cell r="O93" t="str">
            <v>F</v>
          </cell>
          <cell r="P93" t="str">
            <v>180°</v>
          </cell>
          <cell r="Q93" t="str">
            <v>TF</v>
          </cell>
          <cell r="R93" t="str">
            <v>-</v>
          </cell>
          <cell r="V93" t="str">
            <v>SS</v>
          </cell>
          <cell r="W93" t="str">
            <v>115V</v>
          </cell>
          <cell r="X93" t="str">
            <v>CLP HC VG 150 = -40° + 40°</v>
          </cell>
          <cell r="Y93" t="str">
            <v>KH127 DRN160L4-TF</v>
          </cell>
          <cell r="Z93" t="str">
            <v>SEW</v>
          </cell>
          <cell r="AE93" t="str">
            <v>NEMA5/UL/NPT terminal box</v>
          </cell>
          <cell r="AH93" t="str">
            <v>KH127-A180-X</v>
          </cell>
        </row>
        <row r="94">
          <cell r="A94" t="str">
            <v>MR000090</v>
          </cell>
          <cell r="B94" t="str">
            <v>MR</v>
          </cell>
          <cell r="C94">
            <v>15</v>
          </cell>
          <cell r="D94" t="str">
            <v>16</v>
          </cell>
          <cell r="E94" t="str">
            <v>KH127</v>
          </cell>
          <cell r="F94">
            <v>8730</v>
          </cell>
          <cell r="G94">
            <v>89.89</v>
          </cell>
          <cell r="H94">
            <v>1.5</v>
          </cell>
          <cell r="I94" t="str">
            <v>From M4B to M1B - 20°</v>
          </cell>
          <cell r="J94" t="str">
            <v>IE3</v>
          </cell>
          <cell r="K94">
            <v>480</v>
          </cell>
          <cell r="L94">
            <v>60</v>
          </cell>
          <cell r="M94">
            <v>29</v>
          </cell>
          <cell r="N94">
            <v>56</v>
          </cell>
          <cell r="O94" t="str">
            <v>F</v>
          </cell>
          <cell r="P94" t="str">
            <v>0°</v>
          </cell>
          <cell r="Q94" t="str">
            <v>TF</v>
          </cell>
          <cell r="R94" t="str">
            <v>-</v>
          </cell>
          <cell r="V94" t="str">
            <v>SS</v>
          </cell>
          <cell r="W94" t="str">
            <v>115V</v>
          </cell>
          <cell r="X94" t="str">
            <v>CLP HC VG 150 = -40° + 40°</v>
          </cell>
          <cell r="Y94" t="str">
            <v>KH127 DRN160L4-TF</v>
          </cell>
          <cell r="Z94" t="str">
            <v>SEW</v>
          </cell>
          <cell r="AE94" t="str">
            <v>NEMA5/UL/NPT terminal box</v>
          </cell>
          <cell r="AH94" t="str">
            <v>KH127-B0-X</v>
          </cell>
        </row>
        <row r="95">
          <cell r="A95" t="str">
            <v>MR000091</v>
          </cell>
          <cell r="B95" t="str">
            <v>MR</v>
          </cell>
          <cell r="C95">
            <v>18.5</v>
          </cell>
          <cell r="D95" t="str">
            <v>16</v>
          </cell>
          <cell r="E95" t="str">
            <v>KH127</v>
          </cell>
          <cell r="F95">
            <v>10700</v>
          </cell>
          <cell r="G95">
            <v>89.89</v>
          </cell>
          <cell r="H95">
            <v>1.2</v>
          </cell>
          <cell r="I95" t="str">
            <v>From M4A to M1A - 35°</v>
          </cell>
          <cell r="J95" t="str">
            <v>IE3</v>
          </cell>
          <cell r="K95">
            <v>480</v>
          </cell>
          <cell r="L95">
            <v>60</v>
          </cell>
          <cell r="M95">
            <v>33.5</v>
          </cell>
          <cell r="N95">
            <v>56</v>
          </cell>
          <cell r="O95" t="str">
            <v>F</v>
          </cell>
          <cell r="P95" t="str">
            <v>180°</v>
          </cell>
          <cell r="Q95" t="str">
            <v>TF</v>
          </cell>
          <cell r="R95" t="str">
            <v>480V V</v>
          </cell>
          <cell r="V95" t="str">
            <v>FC</v>
          </cell>
          <cell r="W95" t="str">
            <v>115V</v>
          </cell>
          <cell r="X95" t="str">
            <v>CLP HC VG 150 = -40° + 40°</v>
          </cell>
          <cell r="Y95" t="str">
            <v xml:space="preserve">KH127 DRN180M4-TF-V   </v>
          </cell>
          <cell r="Z95" t="str">
            <v>SEW</v>
          </cell>
          <cell r="AE95" t="str">
            <v>NEMA5/UL/NPT terminal box</v>
          </cell>
          <cell r="AH95" t="str">
            <v>KH127-A180-X#</v>
          </cell>
        </row>
        <row r="96">
          <cell r="A96" t="str">
            <v>MR000092</v>
          </cell>
          <cell r="B96" t="str">
            <v>MR</v>
          </cell>
          <cell r="C96">
            <v>18.5</v>
          </cell>
          <cell r="D96" t="str">
            <v>16</v>
          </cell>
          <cell r="E96" t="str">
            <v>KH127</v>
          </cell>
          <cell r="F96">
            <v>10700</v>
          </cell>
          <cell r="G96">
            <v>89.89</v>
          </cell>
          <cell r="H96">
            <v>1.2</v>
          </cell>
          <cell r="I96" t="str">
            <v>From M4B to M1B - 35°</v>
          </cell>
          <cell r="J96" t="str">
            <v>IE3</v>
          </cell>
          <cell r="K96">
            <v>480</v>
          </cell>
          <cell r="L96">
            <v>60</v>
          </cell>
          <cell r="M96">
            <v>33.5</v>
          </cell>
          <cell r="N96">
            <v>56</v>
          </cell>
          <cell r="O96" t="str">
            <v>F</v>
          </cell>
          <cell r="P96" t="str">
            <v>0°</v>
          </cell>
          <cell r="Q96" t="str">
            <v>TF</v>
          </cell>
          <cell r="R96" t="str">
            <v>480V V</v>
          </cell>
          <cell r="V96" t="str">
            <v>FC</v>
          </cell>
          <cell r="W96" t="str">
            <v>115V</v>
          </cell>
          <cell r="X96" t="str">
            <v>CLP HC VG 150 = -40° + 40°</v>
          </cell>
          <cell r="Y96" t="str">
            <v xml:space="preserve">KH127 DRN180M4-TF-V   </v>
          </cell>
          <cell r="Z96" t="str">
            <v>SEW</v>
          </cell>
          <cell r="AE96" t="str">
            <v>NEMA5/UL/NPT terminal box</v>
          </cell>
          <cell r="AH96" t="str">
            <v>KH127-B0-X#</v>
          </cell>
        </row>
        <row r="97">
          <cell r="A97" t="str">
            <v>MR000093</v>
          </cell>
          <cell r="B97" t="str">
            <v>MR</v>
          </cell>
          <cell r="C97">
            <v>15</v>
          </cell>
          <cell r="D97" t="str">
            <v>42</v>
          </cell>
          <cell r="E97" t="str">
            <v>R107</v>
          </cell>
          <cell r="F97">
            <v>3420</v>
          </cell>
          <cell r="G97">
            <v>35.26</v>
          </cell>
          <cell r="H97">
            <v>1.25</v>
          </cell>
          <cell r="I97" t="str">
            <v>M1</v>
          </cell>
          <cell r="J97" t="str">
            <v>IE3</v>
          </cell>
          <cell r="K97">
            <v>480</v>
          </cell>
          <cell r="L97">
            <v>60</v>
          </cell>
          <cell r="N97">
            <v>56</v>
          </cell>
          <cell r="O97" t="str">
            <v>F</v>
          </cell>
          <cell r="P97" t="str">
            <v>270°</v>
          </cell>
          <cell r="Q97" t="str">
            <v>TF</v>
          </cell>
          <cell r="R97" t="str">
            <v>-</v>
          </cell>
          <cell r="V97" t="str">
            <v>D+R</v>
          </cell>
          <cell r="W97" t="str">
            <v>115V</v>
          </cell>
          <cell r="X97" t="str">
            <v>CLP HC VG 150 = -40° + 40°</v>
          </cell>
          <cell r="Y97" t="str">
            <v>R107DRN160L4-TF</v>
          </cell>
          <cell r="Z97" t="str">
            <v>SEW</v>
          </cell>
          <cell r="AE97" t="str">
            <v>NEMA5/UL/NPT terminal box</v>
          </cell>
          <cell r="AH97" t="str">
            <v>R107-270-X</v>
          </cell>
        </row>
        <row r="98">
          <cell r="A98" t="str">
            <v>MR000094</v>
          </cell>
          <cell r="B98" t="str">
            <v>MR</v>
          </cell>
          <cell r="C98">
            <v>5.5</v>
          </cell>
          <cell r="D98" t="str">
            <v>62</v>
          </cell>
          <cell r="E98" t="str">
            <v>R87</v>
          </cell>
          <cell r="F98">
            <v>840</v>
          </cell>
          <cell r="G98">
            <v>23.4</v>
          </cell>
          <cell r="H98">
            <v>1.85</v>
          </cell>
          <cell r="I98" t="str">
            <v>From M1 to M4 - 20°</v>
          </cell>
          <cell r="J98" t="str">
            <v>IE3</v>
          </cell>
          <cell r="K98">
            <v>480</v>
          </cell>
          <cell r="L98">
            <v>60</v>
          </cell>
          <cell r="N98">
            <v>56</v>
          </cell>
          <cell r="O98" t="str">
            <v>F</v>
          </cell>
          <cell r="P98" t="str">
            <v>270°</v>
          </cell>
          <cell r="Q98" t="str">
            <v>TF</v>
          </cell>
          <cell r="R98" t="str">
            <v>480V V</v>
          </cell>
          <cell r="V98" t="str">
            <v>FC</v>
          </cell>
          <cell r="W98" t="str">
            <v>115V</v>
          </cell>
          <cell r="X98" t="str">
            <v>CLP HC VG 150 = -40° + 40°</v>
          </cell>
          <cell r="Y98" t="str">
            <v>R87DRN132S4-TF-V</v>
          </cell>
          <cell r="Z98" t="str">
            <v>SEW</v>
          </cell>
          <cell r="AE98" t="str">
            <v>NEMA5/UL/NPT terminal box</v>
          </cell>
          <cell r="AH98" t="str">
            <v>R87-270-X#</v>
          </cell>
        </row>
        <row r="99">
          <cell r="A99" t="str">
            <v>MR000095</v>
          </cell>
          <cell r="B99" t="str">
            <v>MR</v>
          </cell>
          <cell r="C99">
            <v>2.2000000000000002</v>
          </cell>
          <cell r="D99" t="str">
            <v>3</v>
          </cell>
          <cell r="E99" t="str">
            <v>R137R77</v>
          </cell>
          <cell r="F99">
            <v>6520</v>
          </cell>
          <cell r="G99">
            <v>490</v>
          </cell>
          <cell r="H99">
            <v>1.25</v>
          </cell>
          <cell r="I99" t="str">
            <v>from M1 to M5 - 40°</v>
          </cell>
          <cell r="J99" t="str">
            <v>IE3</v>
          </cell>
          <cell r="K99">
            <v>480</v>
          </cell>
          <cell r="L99">
            <v>60</v>
          </cell>
          <cell r="N99">
            <v>56</v>
          </cell>
          <cell r="O99" t="str">
            <v>F</v>
          </cell>
          <cell r="P99" t="str">
            <v>270°</v>
          </cell>
          <cell r="Q99" t="str">
            <v>TF</v>
          </cell>
          <cell r="R99" t="str">
            <v>480V V</v>
          </cell>
          <cell r="V99" t="str">
            <v>FC</v>
          </cell>
          <cell r="W99" t="str">
            <v>115V</v>
          </cell>
          <cell r="X99" t="str">
            <v>CLP HC VG 150 = -40° + 40°</v>
          </cell>
          <cell r="Y99" t="str">
            <v>R137R77DRN100LS4-TF-V</v>
          </cell>
          <cell r="Z99" t="str">
            <v>SEW</v>
          </cell>
          <cell r="AE99" t="str">
            <v>NEMA5/UL/NPT terminal box</v>
          </cell>
          <cell r="AH99" t="str">
            <v>R137R77-270-X#</v>
          </cell>
        </row>
        <row r="100">
          <cell r="A100" t="str">
            <v>MR000096</v>
          </cell>
          <cell r="B100" t="str">
            <v>MR</v>
          </cell>
          <cell r="C100">
            <v>30</v>
          </cell>
          <cell r="D100">
            <v>32</v>
          </cell>
          <cell r="E100" t="str">
            <v>R147</v>
          </cell>
          <cell r="F100">
            <v>9030</v>
          </cell>
          <cell r="G100">
            <v>46.65</v>
          </cell>
          <cell r="H100">
            <v>1.45</v>
          </cell>
          <cell r="I100" t="str">
            <v>M3</v>
          </cell>
          <cell r="J100" t="str">
            <v>IE3</v>
          </cell>
          <cell r="K100">
            <v>400</v>
          </cell>
          <cell r="L100">
            <v>50</v>
          </cell>
          <cell r="M100">
            <v>56</v>
          </cell>
          <cell r="N100">
            <v>55</v>
          </cell>
          <cell r="O100" t="str">
            <v>F</v>
          </cell>
          <cell r="P100" t="str">
            <v>0°</v>
          </cell>
          <cell r="Q100" t="str">
            <v>TF</v>
          </cell>
          <cell r="R100" t="str">
            <v>400V</v>
          </cell>
          <cell r="V100" t="str">
            <v>FC</v>
          </cell>
          <cell r="X100" t="str">
            <v>CLP (CC) VG 220 = -15° + 40°</v>
          </cell>
          <cell r="Y100" t="str">
            <v>R147DRN200L4-TF-V</v>
          </cell>
          <cell r="Z100" t="str">
            <v>SEW</v>
          </cell>
          <cell r="AH100" t="str">
            <v>R147-0-X#</v>
          </cell>
        </row>
        <row r="101">
          <cell r="A101" t="str">
            <v>MR000097</v>
          </cell>
          <cell r="B101" t="str">
            <v>MR</v>
          </cell>
          <cell r="C101">
            <v>11</v>
          </cell>
          <cell r="D101">
            <v>59</v>
          </cell>
          <cell r="E101" t="str">
            <v>R97</v>
          </cell>
          <cell r="F101">
            <v>1780</v>
          </cell>
          <cell r="G101">
            <v>25.03</v>
          </cell>
          <cell r="H101">
            <v>1.6</v>
          </cell>
          <cell r="I101" t="str">
            <v>M1</v>
          </cell>
          <cell r="J101" t="str">
            <v>IE3</v>
          </cell>
          <cell r="K101">
            <v>400</v>
          </cell>
          <cell r="L101">
            <v>50</v>
          </cell>
          <cell r="M101">
            <v>21</v>
          </cell>
          <cell r="N101">
            <v>55</v>
          </cell>
          <cell r="O101" t="str">
            <v>F</v>
          </cell>
          <cell r="P101" t="str">
            <v>270°</v>
          </cell>
          <cell r="R101" t="str">
            <v>-</v>
          </cell>
          <cell r="V101" t="str">
            <v>D</v>
          </cell>
          <cell r="X101" t="str">
            <v>CLP (CC) VG 220 = -15° + 40°</v>
          </cell>
          <cell r="Y101" t="str">
            <v>R97DRN160M4</v>
          </cell>
          <cell r="Z101" t="str">
            <v>SEW</v>
          </cell>
          <cell r="AH101" t="str">
            <v>R97-270-X</v>
          </cell>
        </row>
        <row r="102">
          <cell r="A102" t="str">
            <v>MR000098</v>
          </cell>
          <cell r="B102" t="str">
            <v>MR</v>
          </cell>
          <cell r="C102">
            <v>5.5</v>
          </cell>
          <cell r="D102">
            <v>68</v>
          </cell>
          <cell r="E102" t="str">
            <v>R87</v>
          </cell>
          <cell r="F102">
            <v>770</v>
          </cell>
          <cell r="G102">
            <v>21.51</v>
          </cell>
          <cell r="H102">
            <v>1.95</v>
          </cell>
          <cell r="I102" t="str">
            <v>M1</v>
          </cell>
          <cell r="J102" t="str">
            <v>IE3</v>
          </cell>
          <cell r="K102">
            <v>400</v>
          </cell>
          <cell r="L102">
            <v>50</v>
          </cell>
          <cell r="N102">
            <v>55</v>
          </cell>
          <cell r="O102" t="str">
            <v>F</v>
          </cell>
          <cell r="P102" t="str">
            <v>270°</v>
          </cell>
          <cell r="R102" t="str">
            <v>-</v>
          </cell>
          <cell r="V102" t="str">
            <v>D</v>
          </cell>
          <cell r="X102" t="str">
            <v>CLP (CC) VG 220 = -15° + 40°</v>
          </cell>
          <cell r="Y102" t="str">
            <v>R87DRN132S4</v>
          </cell>
          <cell r="Z102" t="str">
            <v>SEW</v>
          </cell>
          <cell r="AH102" t="str">
            <v>R87-270-X</v>
          </cell>
        </row>
        <row r="103">
          <cell r="A103" t="str">
            <v>MR000099</v>
          </cell>
          <cell r="B103" t="str">
            <v>MR</v>
          </cell>
          <cell r="C103">
            <v>15</v>
          </cell>
          <cell r="D103" t="str">
            <v>16</v>
          </cell>
          <cell r="E103" t="str">
            <v>KH127</v>
          </cell>
          <cell r="F103">
            <v>8730</v>
          </cell>
          <cell r="G103">
            <v>89.89</v>
          </cell>
          <cell r="H103">
            <v>1.5</v>
          </cell>
          <cell r="I103" t="str">
            <v>From M4A to M1A - 30°</v>
          </cell>
          <cell r="J103" t="str">
            <v>IE3</v>
          </cell>
          <cell r="K103">
            <v>400</v>
          </cell>
          <cell r="L103">
            <v>50</v>
          </cell>
          <cell r="M103">
            <v>29</v>
          </cell>
          <cell r="N103">
            <v>55</v>
          </cell>
          <cell r="O103" t="str">
            <v>F</v>
          </cell>
          <cell r="P103" t="str">
            <v>270°</v>
          </cell>
          <cell r="R103" t="str">
            <v>-</v>
          </cell>
          <cell r="V103" t="str">
            <v>SS</v>
          </cell>
          <cell r="X103" t="str">
            <v>CLP (CC) VG 220 = -15° + 40°</v>
          </cell>
          <cell r="Y103" t="str">
            <v>KH127 DRN160L4</v>
          </cell>
          <cell r="Z103" t="str">
            <v>SEW</v>
          </cell>
          <cell r="AH103" t="str">
            <v>KH127-A270-X</v>
          </cell>
        </row>
        <row r="104">
          <cell r="A104" t="str">
            <v>MR000100</v>
          </cell>
          <cell r="B104" t="str">
            <v>MR</v>
          </cell>
          <cell r="C104">
            <v>15</v>
          </cell>
          <cell r="D104" t="str">
            <v>16</v>
          </cell>
          <cell r="E104" t="str">
            <v>KH127</v>
          </cell>
          <cell r="F104">
            <v>8730</v>
          </cell>
          <cell r="G104">
            <v>89.89</v>
          </cell>
          <cell r="H104">
            <v>1.5</v>
          </cell>
          <cell r="I104" t="str">
            <v>From M4B to M1B - 30°</v>
          </cell>
          <cell r="J104" t="str">
            <v>IE3</v>
          </cell>
          <cell r="K104">
            <v>400</v>
          </cell>
          <cell r="L104">
            <v>50</v>
          </cell>
          <cell r="M104">
            <v>29</v>
          </cell>
          <cell r="N104">
            <v>55</v>
          </cell>
          <cell r="O104" t="str">
            <v>F</v>
          </cell>
          <cell r="P104" t="str">
            <v>270°</v>
          </cell>
          <cell r="R104" t="str">
            <v>-</v>
          </cell>
          <cell r="V104" t="str">
            <v>SS</v>
          </cell>
          <cell r="X104" t="str">
            <v>CLP (CC) VG 220 = -15° + 40°</v>
          </cell>
          <cell r="Y104" t="str">
            <v>KH127 DRN160L4</v>
          </cell>
          <cell r="Z104" t="str">
            <v>SEW</v>
          </cell>
          <cell r="AH104" t="str">
            <v>KH127-B270-X</v>
          </cell>
        </row>
        <row r="105">
          <cell r="A105" t="str">
            <v>MR000101</v>
          </cell>
          <cell r="B105" t="str">
            <v>MR</v>
          </cell>
          <cell r="C105">
            <v>15</v>
          </cell>
          <cell r="D105" t="str">
            <v>16</v>
          </cell>
          <cell r="E105" t="str">
            <v>KH127</v>
          </cell>
          <cell r="F105">
            <v>8730</v>
          </cell>
          <cell r="G105">
            <v>89.89</v>
          </cell>
          <cell r="H105">
            <v>1.5</v>
          </cell>
          <cell r="I105" t="str">
            <v>From M1A to M2A - 25°</v>
          </cell>
          <cell r="J105" t="str">
            <v>IE3</v>
          </cell>
          <cell r="K105">
            <v>400</v>
          </cell>
          <cell r="L105">
            <v>50</v>
          </cell>
          <cell r="M105">
            <v>29</v>
          </cell>
          <cell r="N105">
            <v>55</v>
          </cell>
          <cell r="O105" t="str">
            <v>F</v>
          </cell>
          <cell r="P105" t="str">
            <v>270°</v>
          </cell>
          <cell r="Q105" t="str">
            <v>TF</v>
          </cell>
          <cell r="R105" t="str">
            <v>400V</v>
          </cell>
          <cell r="V105" t="str">
            <v>FC</v>
          </cell>
          <cell r="X105" t="str">
            <v>CLP (CC) VG 220 = -15° + 40°</v>
          </cell>
          <cell r="Y105" t="str">
            <v>KH127 DRN160L4</v>
          </cell>
          <cell r="Z105" t="str">
            <v>SEW</v>
          </cell>
          <cell r="AH105" t="str">
            <v>KH127-A270-X#</v>
          </cell>
        </row>
        <row r="106">
          <cell r="A106" t="str">
            <v>MR000102</v>
          </cell>
          <cell r="B106" t="str">
            <v>MR</v>
          </cell>
          <cell r="C106">
            <v>15</v>
          </cell>
          <cell r="D106" t="str">
            <v>16</v>
          </cell>
          <cell r="E106" t="str">
            <v>KH127</v>
          </cell>
          <cell r="F106">
            <v>8730</v>
          </cell>
          <cell r="G106">
            <v>89.89</v>
          </cell>
          <cell r="H106">
            <v>1.5</v>
          </cell>
          <cell r="I106" t="str">
            <v>From M1B to M2B - 25°</v>
          </cell>
          <cell r="J106" t="str">
            <v>IE3</v>
          </cell>
          <cell r="K106">
            <v>400</v>
          </cell>
          <cell r="L106">
            <v>50</v>
          </cell>
          <cell r="M106">
            <v>29</v>
          </cell>
          <cell r="N106">
            <v>55</v>
          </cell>
          <cell r="O106" t="str">
            <v>F</v>
          </cell>
          <cell r="P106" t="str">
            <v>270°</v>
          </cell>
          <cell r="Q106" t="str">
            <v>TF</v>
          </cell>
          <cell r="R106" t="str">
            <v>400V</v>
          </cell>
          <cell r="V106" t="str">
            <v>FC</v>
          </cell>
          <cell r="X106" t="str">
            <v>CLP (CC) VG 220 = -15° + 40°</v>
          </cell>
          <cell r="Y106" t="str">
            <v>KH127 DRN160L4</v>
          </cell>
          <cell r="Z106" t="str">
            <v>SEW</v>
          </cell>
          <cell r="AH106" t="str">
            <v>KH127-B270-X#</v>
          </cell>
        </row>
        <row r="107">
          <cell r="A107" t="str">
            <v>MR000103</v>
          </cell>
          <cell r="B107" t="str">
            <v>MR</v>
          </cell>
          <cell r="C107">
            <v>30</v>
          </cell>
          <cell r="D107">
            <v>88</v>
          </cell>
          <cell r="E107" t="str">
            <v>KH107</v>
          </cell>
          <cell r="F107">
            <v>3240</v>
          </cell>
          <cell r="G107">
            <v>16.75</v>
          </cell>
          <cell r="H107">
            <v>2.2000000000000002</v>
          </cell>
          <cell r="I107" t="str">
            <v>M4B</v>
          </cell>
          <cell r="J107" t="str">
            <v>IE3</v>
          </cell>
          <cell r="K107">
            <v>400</v>
          </cell>
          <cell r="L107">
            <v>50</v>
          </cell>
          <cell r="M107">
            <v>56</v>
          </cell>
          <cell r="N107">
            <v>55</v>
          </cell>
          <cell r="O107" t="str">
            <v>F</v>
          </cell>
          <cell r="P107" t="str">
            <v>270°</v>
          </cell>
          <cell r="R107" t="str">
            <v>-</v>
          </cell>
          <cell r="U107" t="str">
            <v>T</v>
          </cell>
          <cell r="V107" t="str">
            <v>SS</v>
          </cell>
          <cell r="X107" t="str">
            <v>CLP (CC) VG 220 = -15° + 40°</v>
          </cell>
          <cell r="Y107" t="str">
            <v>KH107/T DRN200L4</v>
          </cell>
          <cell r="Z107" t="str">
            <v>SEW</v>
          </cell>
          <cell r="AH107" t="str">
            <v>KH107T-B270-X</v>
          </cell>
        </row>
        <row r="108">
          <cell r="A108" t="str">
            <v>MR000104</v>
          </cell>
          <cell r="B108" t="str">
            <v>MR</v>
          </cell>
          <cell r="C108">
            <v>0.75</v>
          </cell>
          <cell r="D108">
            <v>162</v>
          </cell>
          <cell r="E108" t="str">
            <v>KA37</v>
          </cell>
          <cell r="F108">
            <v>44</v>
          </cell>
          <cell r="G108">
            <v>8.91</v>
          </cell>
          <cell r="H108">
            <v>3.6</v>
          </cell>
          <cell r="I108" t="str">
            <v>M3B</v>
          </cell>
          <cell r="J108" t="str">
            <v>IE3</v>
          </cell>
          <cell r="K108">
            <v>400</v>
          </cell>
          <cell r="L108">
            <v>50</v>
          </cell>
          <cell r="M108">
            <v>1.75</v>
          </cell>
          <cell r="N108">
            <v>55</v>
          </cell>
          <cell r="O108" t="str">
            <v>F</v>
          </cell>
          <cell r="P108" t="str">
            <v>0°</v>
          </cell>
          <cell r="R108" t="str">
            <v>-</v>
          </cell>
          <cell r="U108" t="str">
            <v>T</v>
          </cell>
          <cell r="V108" t="str">
            <v>D</v>
          </cell>
          <cell r="X108" t="str">
            <v>CLP (CC) VG 220 = -15° + 40°</v>
          </cell>
          <cell r="Y108" t="str">
            <v>KA37/T DRN80M4</v>
          </cell>
          <cell r="Z108" t="str">
            <v>SEW</v>
          </cell>
          <cell r="AH108" t="str">
            <v>KA37T-B0-X</v>
          </cell>
        </row>
        <row r="109">
          <cell r="A109" t="str">
            <v>MR000105</v>
          </cell>
          <cell r="B109" t="str">
            <v>MR</v>
          </cell>
          <cell r="C109">
            <v>5.5</v>
          </cell>
          <cell r="D109">
            <v>63</v>
          </cell>
          <cell r="E109" t="str">
            <v>KH77</v>
          </cell>
          <cell r="F109">
            <v>820</v>
          </cell>
          <cell r="G109">
            <v>23.08</v>
          </cell>
          <cell r="H109">
            <v>1.85</v>
          </cell>
          <cell r="I109" t="str">
            <v>M4A</v>
          </cell>
          <cell r="J109" t="str">
            <v>IE3</v>
          </cell>
          <cell r="K109">
            <v>400</v>
          </cell>
          <cell r="L109">
            <v>50</v>
          </cell>
          <cell r="N109">
            <v>55</v>
          </cell>
          <cell r="O109" t="str">
            <v>F</v>
          </cell>
          <cell r="P109" t="str">
            <v>270°</v>
          </cell>
          <cell r="R109" t="str">
            <v>-</v>
          </cell>
          <cell r="U109" t="str">
            <v>T</v>
          </cell>
          <cell r="V109" t="str">
            <v>D</v>
          </cell>
          <cell r="X109" t="str">
            <v>CLP (CC) VG 220 = -15° + 40°</v>
          </cell>
          <cell r="Y109" t="str">
            <v>KH77/T DRN132S4</v>
          </cell>
          <cell r="Z109" t="str">
            <v>SEW</v>
          </cell>
          <cell r="AH109" t="str">
            <v>KH77T-A270-X</v>
          </cell>
        </row>
        <row r="110">
          <cell r="A110" t="str">
            <v>MR000106</v>
          </cell>
          <cell r="B110" t="str">
            <v>MR</v>
          </cell>
          <cell r="C110">
            <v>0.75</v>
          </cell>
          <cell r="D110">
            <v>162</v>
          </cell>
          <cell r="E110" t="str">
            <v>KA37</v>
          </cell>
          <cell r="F110">
            <v>44</v>
          </cell>
          <cell r="G110">
            <v>8.91</v>
          </cell>
          <cell r="H110">
            <v>3.6</v>
          </cell>
          <cell r="I110" t="str">
            <v>From M3B to M2B - 12°</v>
          </cell>
          <cell r="J110" t="str">
            <v>IE3</v>
          </cell>
          <cell r="K110">
            <v>400</v>
          </cell>
          <cell r="L110">
            <v>50</v>
          </cell>
          <cell r="M110">
            <v>1.75</v>
          </cell>
          <cell r="N110">
            <v>55</v>
          </cell>
          <cell r="O110" t="str">
            <v>F</v>
          </cell>
          <cell r="P110" t="str">
            <v>0°</v>
          </cell>
          <cell r="R110" t="str">
            <v>-</v>
          </cell>
          <cell r="U110" t="str">
            <v>T</v>
          </cell>
          <cell r="V110" t="str">
            <v>D</v>
          </cell>
          <cell r="X110" t="str">
            <v>CLP (CC) VG 220 = -15° + 40°</v>
          </cell>
          <cell r="Y110" t="str">
            <v>KA37/T DRN80M4</v>
          </cell>
          <cell r="Z110" t="str">
            <v>SEW</v>
          </cell>
          <cell r="AH110" t="str">
            <v>KA37T-B0-X</v>
          </cell>
        </row>
        <row r="111">
          <cell r="A111" t="str">
            <v>MR000107</v>
          </cell>
          <cell r="B111" t="str">
            <v>MR</v>
          </cell>
          <cell r="C111">
            <v>0.55000000000000004</v>
          </cell>
          <cell r="D111">
            <v>32</v>
          </cell>
          <cell r="E111" t="str">
            <v>FA47</v>
          </cell>
          <cell r="F111">
            <v>166</v>
          </cell>
          <cell r="G111">
            <v>42.86</v>
          </cell>
          <cell r="H111">
            <v>2.4</v>
          </cell>
          <cell r="I111" t="str">
            <v>M6</v>
          </cell>
          <cell r="J111" t="str">
            <v>IE3</v>
          </cell>
          <cell r="K111">
            <v>400</v>
          </cell>
          <cell r="L111">
            <v>50</v>
          </cell>
          <cell r="N111">
            <v>55</v>
          </cell>
          <cell r="O111" t="str">
            <v>F</v>
          </cell>
          <cell r="P111" t="str">
            <v>270°</v>
          </cell>
          <cell r="R111" t="str">
            <v>-</v>
          </cell>
          <cell r="T111" t="str">
            <v>BE</v>
          </cell>
          <cell r="V111" t="str">
            <v>D+R</v>
          </cell>
          <cell r="W111" t="str">
            <v>230V</v>
          </cell>
          <cell r="X111" t="str">
            <v>CLP HC VG 150 = -40° + 40°</v>
          </cell>
          <cell r="Y111" t="str">
            <v>FA47/G DRS 71M4+BE</v>
          </cell>
          <cell r="Z111" t="str">
            <v>SEW</v>
          </cell>
          <cell r="AH111" t="str">
            <v>FA47-270-X</v>
          </cell>
        </row>
        <row r="112">
          <cell r="A112" t="str">
            <v>MR000108</v>
          </cell>
          <cell r="B112" t="str">
            <v>ME</v>
          </cell>
          <cell r="C112">
            <v>45</v>
          </cell>
          <cell r="D112">
            <v>1475</v>
          </cell>
          <cell r="E112" t="str">
            <v>1CV3222B</v>
          </cell>
          <cell r="F112">
            <v>290</v>
          </cell>
          <cell r="I112" t="str">
            <v>V1/B5</v>
          </cell>
          <cell r="J112" t="str">
            <v>IE3</v>
          </cell>
          <cell r="K112" t="str">
            <v>400/690</v>
          </cell>
          <cell r="L112">
            <v>50</v>
          </cell>
          <cell r="M112" t="str">
            <v>80/46,5</v>
          </cell>
          <cell r="N112">
            <v>55</v>
          </cell>
          <cell r="O112" t="str">
            <v>F</v>
          </cell>
          <cell r="R112" t="str">
            <v>-</v>
          </cell>
          <cell r="V112" t="str">
            <v>D</v>
          </cell>
          <cell r="Y112" t="str">
            <v>1LE1503-2BB23-4FA4</v>
          </cell>
          <cell r="Z112" t="str">
            <v>SIEMENS</v>
          </cell>
          <cell r="AE112" t="str">
            <v>4 POLES</v>
          </cell>
          <cell r="AH112" t="str">
            <v>1CV3222B-B-X</v>
          </cell>
        </row>
        <row r="113">
          <cell r="A113" t="str">
            <v>MR000109</v>
          </cell>
          <cell r="B113" t="str">
            <v>ME</v>
          </cell>
          <cell r="C113">
            <v>4</v>
          </cell>
          <cell r="D113">
            <v>2950</v>
          </cell>
          <cell r="E113" t="str">
            <v>1AV3112A</v>
          </cell>
          <cell r="F113">
            <v>12.9</v>
          </cell>
          <cell r="I113" t="str">
            <v>B5</v>
          </cell>
          <cell r="J113" t="str">
            <v>IE3</v>
          </cell>
          <cell r="K113" t="str">
            <v>230/400</v>
          </cell>
          <cell r="L113">
            <v>50</v>
          </cell>
          <cell r="M113" t="str">
            <v>12,8/7,4</v>
          </cell>
          <cell r="N113">
            <v>55</v>
          </cell>
          <cell r="O113" t="str">
            <v>F</v>
          </cell>
          <cell r="R113" t="str">
            <v>-</v>
          </cell>
          <cell r="V113" t="str">
            <v>D</v>
          </cell>
          <cell r="Y113" t="str">
            <v>1LE1003-1BA22-2FA4</v>
          </cell>
          <cell r="Z113" t="str">
            <v>SIEMENS</v>
          </cell>
          <cell r="AE113" t="str">
            <v>2 POLES</v>
          </cell>
          <cell r="AH113" t="str">
            <v>1AV3112A-B-X</v>
          </cell>
        </row>
        <row r="114">
          <cell r="A114" t="str">
            <v>MR000110</v>
          </cell>
          <cell r="B114" t="str">
            <v>MR</v>
          </cell>
          <cell r="C114">
            <v>0.55000000000000004</v>
          </cell>
          <cell r="D114">
            <v>32</v>
          </cell>
          <cell r="E114" t="str">
            <v>FA47</v>
          </cell>
          <cell r="F114">
            <v>166</v>
          </cell>
          <cell r="G114">
            <v>42.86</v>
          </cell>
          <cell r="H114">
            <v>2.4</v>
          </cell>
          <cell r="I114" t="str">
            <v>M5</v>
          </cell>
          <cell r="J114" t="str">
            <v>IE3</v>
          </cell>
          <cell r="K114">
            <v>400</v>
          </cell>
          <cell r="L114">
            <v>50</v>
          </cell>
          <cell r="N114">
            <v>55</v>
          </cell>
          <cell r="O114" t="str">
            <v>F</v>
          </cell>
          <cell r="P114" t="str">
            <v>270°</v>
          </cell>
          <cell r="R114" t="str">
            <v>-</v>
          </cell>
          <cell r="T114" t="str">
            <v>BE</v>
          </cell>
          <cell r="V114" t="str">
            <v>D+R</v>
          </cell>
          <cell r="W114" t="str">
            <v>230V</v>
          </cell>
          <cell r="X114" t="str">
            <v>CLP HC VG 150 = -40° + 40°</v>
          </cell>
          <cell r="Y114" t="str">
            <v>FA47/G DRS 71M4+BE</v>
          </cell>
          <cell r="Z114" t="str">
            <v>SEW</v>
          </cell>
          <cell r="AH114" t="str">
            <v>FA47-270-X</v>
          </cell>
        </row>
        <row r="115">
          <cell r="A115" t="str">
            <v>MR000111</v>
          </cell>
          <cell r="B115" t="str">
            <v>MR</v>
          </cell>
          <cell r="C115">
            <v>7.5</v>
          </cell>
          <cell r="D115">
            <v>63</v>
          </cell>
          <cell r="E115" t="str">
            <v>R87</v>
          </cell>
          <cell r="F115">
            <v>1140</v>
          </cell>
          <cell r="G115">
            <v>23.4</v>
          </cell>
          <cell r="H115">
            <v>1.35</v>
          </cell>
          <cell r="I115" t="str">
            <v>M1</v>
          </cell>
          <cell r="J115" t="str">
            <v>IE3</v>
          </cell>
          <cell r="K115" t="str">
            <v>400/690</v>
          </cell>
          <cell r="L115">
            <v>50</v>
          </cell>
          <cell r="M115" t="str">
            <v>15,2/8,8</v>
          </cell>
          <cell r="N115">
            <v>55</v>
          </cell>
          <cell r="O115" t="str">
            <v>F(105°C)</v>
          </cell>
          <cell r="P115" t="str">
            <v>270°</v>
          </cell>
          <cell r="R115" t="str">
            <v>-</v>
          </cell>
          <cell r="V115" t="str">
            <v>D</v>
          </cell>
          <cell r="X115" t="str">
            <v>CLP (CC) VG 220 = -15° + 40°</v>
          </cell>
          <cell r="Y115" t="str">
            <v>R87DRN132M4</v>
          </cell>
          <cell r="Z115" t="str">
            <v>SEW</v>
          </cell>
          <cell r="AH115" t="str">
            <v>R87-270-X</v>
          </cell>
        </row>
        <row r="116">
          <cell r="A116" t="str">
            <v>MR000112</v>
          </cell>
          <cell r="B116" t="str">
            <v>MR</v>
          </cell>
          <cell r="C116">
            <v>5.5</v>
          </cell>
          <cell r="D116">
            <v>62</v>
          </cell>
          <cell r="E116" t="str">
            <v>R87</v>
          </cell>
          <cell r="F116">
            <v>840</v>
          </cell>
          <cell r="G116">
            <v>23.4</v>
          </cell>
          <cell r="H116">
            <v>1.85</v>
          </cell>
          <cell r="I116" t="str">
            <v>M1</v>
          </cell>
          <cell r="J116" t="str">
            <v>IE3</v>
          </cell>
          <cell r="K116">
            <v>400</v>
          </cell>
          <cell r="L116">
            <v>50</v>
          </cell>
          <cell r="M116">
            <v>10.5</v>
          </cell>
          <cell r="N116">
            <v>55</v>
          </cell>
          <cell r="O116" t="str">
            <v>F</v>
          </cell>
          <cell r="P116" t="str">
            <v>270°</v>
          </cell>
          <cell r="R116" t="str">
            <v>-</v>
          </cell>
          <cell r="V116" t="str">
            <v>D</v>
          </cell>
          <cell r="X116" t="str">
            <v>CLP (CC) VG 220 = -15° + 40°</v>
          </cell>
          <cell r="Y116" t="str">
            <v>R87DRN132S4</v>
          </cell>
          <cell r="Z116" t="str">
            <v>SEW</v>
          </cell>
          <cell r="AH116" t="str">
            <v>R87-270-X</v>
          </cell>
        </row>
        <row r="117">
          <cell r="A117" t="str">
            <v>MR000113</v>
          </cell>
          <cell r="B117" t="str">
            <v>MR</v>
          </cell>
          <cell r="C117">
            <v>0.25</v>
          </cell>
          <cell r="D117">
            <v>32</v>
          </cell>
          <cell r="E117" t="str">
            <v>FA27</v>
          </cell>
          <cell r="F117">
            <v>75</v>
          </cell>
          <cell r="G117">
            <v>40.89</v>
          </cell>
          <cell r="H117">
            <v>1.75</v>
          </cell>
          <cell r="I117" t="str">
            <v>M5</v>
          </cell>
          <cell r="J117" t="str">
            <v>IE3</v>
          </cell>
          <cell r="K117">
            <v>400</v>
          </cell>
          <cell r="L117">
            <v>50</v>
          </cell>
          <cell r="N117">
            <v>55</v>
          </cell>
          <cell r="O117" t="str">
            <v>F</v>
          </cell>
          <cell r="P117" t="str">
            <v>180°</v>
          </cell>
          <cell r="R117" t="str">
            <v>-</v>
          </cell>
          <cell r="T117" t="str">
            <v>BE</v>
          </cell>
          <cell r="V117" t="str">
            <v>D+R</v>
          </cell>
          <cell r="W117">
            <v>0</v>
          </cell>
          <cell r="X117" t="str">
            <v>CLP (CC) VG 220 = -15° + 40°</v>
          </cell>
          <cell r="Y117" t="str">
            <v>FA27/G DR63L4+BE</v>
          </cell>
          <cell r="Z117" t="str">
            <v>SEW</v>
          </cell>
          <cell r="AH117" t="str">
            <v>FA27-180-X</v>
          </cell>
        </row>
        <row r="118">
          <cell r="A118" t="str">
            <v>MR000114</v>
          </cell>
          <cell r="B118" t="str">
            <v>MR</v>
          </cell>
          <cell r="C118">
            <v>15</v>
          </cell>
          <cell r="D118">
            <v>13</v>
          </cell>
          <cell r="E118" t="str">
            <v>KH127</v>
          </cell>
          <cell r="F118">
            <v>10700</v>
          </cell>
          <cell r="G118">
            <v>110.18</v>
          </cell>
          <cell r="H118" t="str">
            <v>1.2</v>
          </cell>
          <cell r="I118" t="str">
            <v>From M1A to M2A - 40°</v>
          </cell>
          <cell r="J118" t="str">
            <v>IE3</v>
          </cell>
          <cell r="K118">
            <v>400</v>
          </cell>
          <cell r="L118">
            <v>50</v>
          </cell>
          <cell r="M118">
            <v>29</v>
          </cell>
          <cell r="N118">
            <v>55</v>
          </cell>
          <cell r="O118" t="str">
            <v>F</v>
          </cell>
          <cell r="P118" t="str">
            <v>270°</v>
          </cell>
          <cell r="R118" t="str">
            <v>-</v>
          </cell>
          <cell r="V118" t="str">
            <v>SS</v>
          </cell>
          <cell r="X118" t="str">
            <v>CLP (CC) VG 220 = -15° + 40°</v>
          </cell>
          <cell r="Y118" t="str">
            <v>KH127DRN160L4</v>
          </cell>
          <cell r="Z118" t="str">
            <v>SEW</v>
          </cell>
          <cell r="AH118" t="str">
            <v>KH127-A270-X</v>
          </cell>
        </row>
        <row r="119">
          <cell r="A119" t="str">
            <v>MR000115</v>
          </cell>
          <cell r="B119" t="str">
            <v>MR</v>
          </cell>
          <cell r="C119">
            <v>22</v>
          </cell>
          <cell r="D119">
            <v>21</v>
          </cell>
          <cell r="E119" t="str">
            <v>KH127</v>
          </cell>
          <cell r="F119">
            <v>10000</v>
          </cell>
          <cell r="G119">
            <v>70.95</v>
          </cell>
          <cell r="H119">
            <v>1.3</v>
          </cell>
          <cell r="I119" t="str">
            <v>From M4A to M3A -15°</v>
          </cell>
          <cell r="J119" t="str">
            <v>IE3</v>
          </cell>
          <cell r="K119">
            <v>400</v>
          </cell>
          <cell r="L119">
            <v>50</v>
          </cell>
          <cell r="M119">
            <v>38.5</v>
          </cell>
          <cell r="N119">
            <v>55</v>
          </cell>
          <cell r="O119" t="str">
            <v>F</v>
          </cell>
          <cell r="P119" t="str">
            <v>270°</v>
          </cell>
          <cell r="R119" t="str">
            <v>-</v>
          </cell>
          <cell r="V119" t="str">
            <v>SS</v>
          </cell>
          <cell r="X119" t="str">
            <v>CLP (CC) VG 220 = -15° + 40°</v>
          </cell>
          <cell r="Y119" t="str">
            <v>KH127DRN180L4</v>
          </cell>
          <cell r="Z119" t="str">
            <v>SEW</v>
          </cell>
          <cell r="AH119" t="str">
            <v>KH127-A270-X</v>
          </cell>
        </row>
        <row r="120">
          <cell r="A120" t="str">
            <v>MR000116</v>
          </cell>
          <cell r="B120" t="str">
            <v>MR</v>
          </cell>
          <cell r="C120">
            <v>15</v>
          </cell>
          <cell r="D120">
            <v>42</v>
          </cell>
          <cell r="E120" t="str">
            <v>R107</v>
          </cell>
          <cell r="F120">
            <v>3420</v>
          </cell>
          <cell r="G120">
            <v>35.26</v>
          </cell>
          <cell r="H120">
            <v>1.25</v>
          </cell>
          <cell r="I120" t="str">
            <v>M1</v>
          </cell>
          <cell r="J120" t="str">
            <v>IE3</v>
          </cell>
          <cell r="K120">
            <v>400</v>
          </cell>
          <cell r="L120">
            <v>50</v>
          </cell>
          <cell r="N120">
            <v>55</v>
          </cell>
          <cell r="O120" t="str">
            <v>F</v>
          </cell>
          <cell r="P120" t="str">
            <v>270°</v>
          </cell>
          <cell r="R120" t="str">
            <v>-</v>
          </cell>
          <cell r="V120" t="str">
            <v>D</v>
          </cell>
          <cell r="X120" t="str">
            <v>CLP (CC) VG 220 = -15° + 40°</v>
          </cell>
          <cell r="Y120" t="str">
            <v>R107DRN160L4</v>
          </cell>
          <cell r="Z120" t="str">
            <v>SEW</v>
          </cell>
          <cell r="AH120" t="str">
            <v>R107-270-X</v>
          </cell>
        </row>
        <row r="121">
          <cell r="A121" t="str">
            <v>MR000117</v>
          </cell>
          <cell r="B121" t="str">
            <v>MR</v>
          </cell>
          <cell r="C121">
            <v>11</v>
          </cell>
          <cell r="D121">
            <v>53</v>
          </cell>
          <cell r="E121" t="str">
            <v>R97</v>
          </cell>
          <cell r="F121">
            <v>1960</v>
          </cell>
          <cell r="G121">
            <v>27.58</v>
          </cell>
          <cell r="H121">
            <v>1.35</v>
          </cell>
          <cell r="I121" t="str">
            <v>M1</v>
          </cell>
          <cell r="J121" t="str">
            <v>IE3</v>
          </cell>
          <cell r="K121">
            <v>400</v>
          </cell>
          <cell r="L121">
            <v>50</v>
          </cell>
          <cell r="M121">
            <v>21</v>
          </cell>
          <cell r="N121">
            <v>55</v>
          </cell>
          <cell r="O121" t="str">
            <v>F</v>
          </cell>
          <cell r="P121" t="str">
            <v>270°</v>
          </cell>
          <cell r="Q121" t="str">
            <v>TF</v>
          </cell>
          <cell r="R121" t="str">
            <v>-</v>
          </cell>
          <cell r="V121" t="str">
            <v>FC</v>
          </cell>
          <cell r="X121" t="str">
            <v>CLP (CC) VG 220 = -15° + 40°</v>
          </cell>
          <cell r="Y121" t="str">
            <v>R97DRN160M4-TF</v>
          </cell>
          <cell r="Z121" t="str">
            <v>SEW</v>
          </cell>
          <cell r="AH121" t="str">
            <v>R97-270-X</v>
          </cell>
        </row>
        <row r="122">
          <cell r="A122" t="str">
            <v>MR000118</v>
          </cell>
          <cell r="B122" t="str">
            <v>MR</v>
          </cell>
          <cell r="C122">
            <v>5.5</v>
          </cell>
          <cell r="D122">
            <v>45</v>
          </cell>
          <cell r="E122" t="str">
            <v>R87</v>
          </cell>
          <cell r="F122">
            <v>1170</v>
          </cell>
          <cell r="G122">
            <v>32.659999999999997</v>
          </cell>
          <cell r="H122">
            <v>1.3</v>
          </cell>
          <cell r="I122" t="str">
            <v>M1</v>
          </cell>
          <cell r="J122" t="str">
            <v>IE3</v>
          </cell>
          <cell r="K122">
            <v>400</v>
          </cell>
          <cell r="L122">
            <v>50</v>
          </cell>
          <cell r="M122">
            <v>10.5</v>
          </cell>
          <cell r="N122">
            <v>55</v>
          </cell>
          <cell r="O122" t="str">
            <v>F</v>
          </cell>
          <cell r="P122" t="str">
            <v>270°</v>
          </cell>
          <cell r="Q122" t="str">
            <v>TF</v>
          </cell>
          <cell r="R122" t="str">
            <v>400V</v>
          </cell>
          <cell r="V122" t="str">
            <v>FC</v>
          </cell>
          <cell r="X122" t="str">
            <v>CLP (CC) VG 220 = -15° + 40°</v>
          </cell>
          <cell r="Y122" t="str">
            <v>R87DRN132S4-TF-V</v>
          </cell>
          <cell r="Z122" t="str">
            <v>SEW</v>
          </cell>
          <cell r="AH122" t="str">
            <v>R87-270-X#</v>
          </cell>
        </row>
        <row r="123">
          <cell r="A123" t="str">
            <v>MR000119</v>
          </cell>
          <cell r="B123" t="str">
            <v>MR</v>
          </cell>
          <cell r="C123">
            <v>15</v>
          </cell>
          <cell r="D123">
            <v>66</v>
          </cell>
          <cell r="E123" t="str">
            <v>KH97</v>
          </cell>
          <cell r="F123">
            <v>2170</v>
          </cell>
          <cell r="G123">
            <v>22.37</v>
          </cell>
          <cell r="H123">
            <v>2</v>
          </cell>
          <cell r="I123" t="str">
            <v>From M3A to M4A - 25°</v>
          </cell>
          <cell r="J123" t="str">
            <v>IE3</v>
          </cell>
          <cell r="K123">
            <v>400</v>
          </cell>
          <cell r="L123">
            <v>50</v>
          </cell>
          <cell r="N123">
            <v>55</v>
          </cell>
          <cell r="O123" t="str">
            <v>F</v>
          </cell>
          <cell r="P123" t="str">
            <v>270°</v>
          </cell>
          <cell r="Q123" t="str">
            <v>TF</v>
          </cell>
          <cell r="R123" t="str">
            <v>400V</v>
          </cell>
          <cell r="S123" t="str">
            <v>Free rotation CCW</v>
          </cell>
          <cell r="U123" t="str">
            <v>T</v>
          </cell>
          <cell r="V123" t="str">
            <v>FC</v>
          </cell>
          <cell r="X123" t="str">
            <v>CLP (CC) VG 220 = -15° + 40°</v>
          </cell>
          <cell r="Y123" t="str">
            <v>KH97/T DRN160L4-TF-V</v>
          </cell>
          <cell r="Z123" t="str">
            <v>SEW</v>
          </cell>
          <cell r="AH123" t="str">
            <v>KH97T-A270-X#</v>
          </cell>
        </row>
        <row r="124">
          <cell r="A124" t="str">
            <v>MR000120</v>
          </cell>
          <cell r="B124" t="str">
            <v>MR</v>
          </cell>
          <cell r="C124">
            <v>0.75</v>
          </cell>
          <cell r="D124">
            <v>162</v>
          </cell>
          <cell r="E124" t="str">
            <v>KA37</v>
          </cell>
          <cell r="F124">
            <v>44</v>
          </cell>
          <cell r="G124">
            <v>8.91</v>
          </cell>
          <cell r="H124">
            <v>3.6</v>
          </cell>
          <cell r="I124" t="str">
            <v>From M3A to M4A - 25°</v>
          </cell>
          <cell r="J124" t="str">
            <v>IE3</v>
          </cell>
          <cell r="K124">
            <v>400</v>
          </cell>
          <cell r="L124">
            <v>50</v>
          </cell>
          <cell r="M124">
            <v>1.75</v>
          </cell>
          <cell r="N124">
            <v>55</v>
          </cell>
          <cell r="O124" t="str">
            <v>F</v>
          </cell>
          <cell r="P124" t="str">
            <v>270°</v>
          </cell>
          <cell r="R124" t="str">
            <v>-</v>
          </cell>
          <cell r="U124" t="str">
            <v>T</v>
          </cell>
          <cell r="V124" t="str">
            <v>D</v>
          </cell>
          <cell r="X124" t="str">
            <v>CLP (CC) VG 220 = -15° + 40°</v>
          </cell>
          <cell r="Y124" t="str">
            <v>KA37/T DRN80M4</v>
          </cell>
          <cell r="Z124" t="str">
            <v>SEW</v>
          </cell>
          <cell r="AH124" t="str">
            <v>KA37T-A270-X</v>
          </cell>
        </row>
        <row r="125">
          <cell r="A125" t="str">
            <v>MR000121</v>
          </cell>
          <cell r="B125" t="str">
            <v>MR</v>
          </cell>
          <cell r="C125">
            <v>0.25</v>
          </cell>
          <cell r="D125" t="str">
            <v>34</v>
          </cell>
          <cell r="E125" t="str">
            <v>FA37</v>
          </cell>
          <cell r="F125">
            <v>70</v>
          </cell>
          <cell r="G125">
            <v>38.31</v>
          </cell>
          <cell r="H125">
            <v>2.8</v>
          </cell>
          <cell r="I125" t="str">
            <v>M1</v>
          </cell>
          <cell r="J125" t="str">
            <v>IE3</v>
          </cell>
          <cell r="K125">
            <v>400</v>
          </cell>
          <cell r="L125">
            <v>50</v>
          </cell>
          <cell r="N125">
            <v>55</v>
          </cell>
          <cell r="O125" t="str">
            <v>F</v>
          </cell>
          <cell r="P125" t="str">
            <v>270°</v>
          </cell>
          <cell r="R125" t="str">
            <v>-</v>
          </cell>
          <cell r="V125" t="str">
            <v>D</v>
          </cell>
          <cell r="X125" t="str">
            <v>CLP (CC) VG 220 = -15° + 40°</v>
          </cell>
          <cell r="Y125" t="str">
            <v>FA37/G DR63L4</v>
          </cell>
          <cell r="Z125" t="str">
            <v>SEW</v>
          </cell>
          <cell r="AH125" t="str">
            <v>FA37-270-X</v>
          </cell>
        </row>
        <row r="126">
          <cell r="A126" t="str">
            <v>MR000122</v>
          </cell>
          <cell r="B126" t="str">
            <v>MR</v>
          </cell>
          <cell r="C126">
            <v>15</v>
          </cell>
          <cell r="D126">
            <v>13</v>
          </cell>
          <cell r="E126" t="str">
            <v>KH127</v>
          </cell>
          <cell r="F126">
            <v>10700</v>
          </cell>
          <cell r="G126">
            <v>110.18</v>
          </cell>
          <cell r="H126" t="str">
            <v>1.2</v>
          </cell>
          <cell r="I126" t="str">
            <v>From M1B to M2B - 5°</v>
          </cell>
          <cell r="J126" t="str">
            <v>IE3</v>
          </cell>
          <cell r="K126">
            <v>400</v>
          </cell>
          <cell r="L126">
            <v>50</v>
          </cell>
          <cell r="M126">
            <v>29</v>
          </cell>
          <cell r="N126">
            <v>55</v>
          </cell>
          <cell r="O126" t="str">
            <v>F</v>
          </cell>
          <cell r="P126" t="str">
            <v>0°</v>
          </cell>
          <cell r="R126" t="str">
            <v>-</v>
          </cell>
          <cell r="V126" t="str">
            <v>SS</v>
          </cell>
          <cell r="X126" t="str">
            <v>CLP (CC) VG 220 = -15° + 40°</v>
          </cell>
          <cell r="Y126" t="str">
            <v>KH127DRN160L4</v>
          </cell>
          <cell r="Z126" t="str">
            <v>SEW</v>
          </cell>
          <cell r="AH126" t="str">
            <v>KH127-B0-X</v>
          </cell>
        </row>
        <row r="127">
          <cell r="A127" t="str">
            <v>MR000123</v>
          </cell>
          <cell r="B127" t="str">
            <v>MR</v>
          </cell>
          <cell r="C127">
            <v>22</v>
          </cell>
          <cell r="D127">
            <v>15</v>
          </cell>
          <cell r="E127" t="str">
            <v>KH157</v>
          </cell>
          <cell r="F127">
            <v>14200</v>
          </cell>
          <cell r="G127">
            <v>100.22</v>
          </cell>
          <cell r="H127">
            <v>1.25</v>
          </cell>
          <cell r="I127" t="str">
            <v>From M1A to M2A - 5°</v>
          </cell>
          <cell r="J127" t="str">
            <v>IE3</v>
          </cell>
          <cell r="K127">
            <v>400</v>
          </cell>
          <cell r="L127">
            <v>50</v>
          </cell>
          <cell r="M127">
            <v>38.5</v>
          </cell>
          <cell r="N127">
            <v>55</v>
          </cell>
          <cell r="O127" t="str">
            <v>F</v>
          </cell>
          <cell r="P127" t="str">
            <v>180°</v>
          </cell>
          <cell r="R127" t="str">
            <v>-</v>
          </cell>
          <cell r="V127" t="str">
            <v>SS</v>
          </cell>
          <cell r="X127" t="str">
            <v>CLP (CC) VG 220 = -15° + 40°</v>
          </cell>
          <cell r="Y127" t="str">
            <v>KH157DRN180L4</v>
          </cell>
          <cell r="Z127" t="str">
            <v>SEW</v>
          </cell>
          <cell r="AH127" t="str">
            <v>KH157-A180-X</v>
          </cell>
        </row>
        <row r="128">
          <cell r="A128" t="str">
            <v>MR000124</v>
          </cell>
          <cell r="B128" t="str">
            <v>MR</v>
          </cell>
          <cell r="C128">
            <v>18.5</v>
          </cell>
          <cell r="D128" t="str">
            <v>16</v>
          </cell>
          <cell r="E128" t="str">
            <v>KH127</v>
          </cell>
          <cell r="F128">
            <v>10700</v>
          </cell>
          <cell r="G128">
            <v>89.89</v>
          </cell>
          <cell r="H128">
            <v>1.2</v>
          </cell>
          <cell r="I128" t="str">
            <v>From M1B to M2B - 10°</v>
          </cell>
          <cell r="J128" t="str">
            <v>IE3</v>
          </cell>
          <cell r="K128">
            <v>400</v>
          </cell>
          <cell r="L128">
            <v>50</v>
          </cell>
          <cell r="M128">
            <v>33.5</v>
          </cell>
          <cell r="N128">
            <v>55</v>
          </cell>
          <cell r="O128" t="str">
            <v>F</v>
          </cell>
          <cell r="P128" t="str">
            <v>0°</v>
          </cell>
          <cell r="Q128" t="str">
            <v>TF</v>
          </cell>
          <cell r="R128" t="str">
            <v>400V</v>
          </cell>
          <cell r="V128" t="str">
            <v>FC</v>
          </cell>
          <cell r="X128" t="str">
            <v>CLP (CC) VG 220 = -15° + 40°</v>
          </cell>
          <cell r="Y128" t="str">
            <v>KH127DRN180M4-TF-V</v>
          </cell>
          <cell r="Z128" t="str">
            <v>SEW</v>
          </cell>
          <cell r="AH128" t="str">
            <v>KH127-B0-X#</v>
          </cell>
        </row>
        <row r="129">
          <cell r="A129" t="str">
            <v>MR000125</v>
          </cell>
          <cell r="B129" t="str">
            <v>MR</v>
          </cell>
          <cell r="C129">
            <v>9.1999999999999993</v>
          </cell>
          <cell r="D129" t="str">
            <v>15</v>
          </cell>
          <cell r="E129" t="str">
            <v>KH107</v>
          </cell>
          <cell r="F129">
            <v>6020</v>
          </cell>
          <cell r="G129">
            <v>100.75</v>
          </cell>
          <cell r="H129">
            <v>1.25</v>
          </cell>
          <cell r="I129" t="str">
            <v>From M1A to M2A - 45°</v>
          </cell>
          <cell r="J129" t="str">
            <v>IE3</v>
          </cell>
          <cell r="K129">
            <v>400</v>
          </cell>
          <cell r="L129">
            <v>50</v>
          </cell>
          <cell r="M129">
            <v>18.7</v>
          </cell>
          <cell r="N129">
            <v>55</v>
          </cell>
          <cell r="O129" t="str">
            <v>F</v>
          </cell>
          <cell r="P129" t="str">
            <v>180°</v>
          </cell>
          <cell r="R129" t="str">
            <v>-</v>
          </cell>
          <cell r="V129" t="str">
            <v>SS</v>
          </cell>
          <cell r="X129" t="str">
            <v>CLP (CC) VG 220 = -15° + 40°</v>
          </cell>
          <cell r="Y129" t="str">
            <v>KH107DRN132L4</v>
          </cell>
          <cell r="Z129" t="str">
            <v>SEW</v>
          </cell>
          <cell r="AH129" t="str">
            <v>KH107-A180-X</v>
          </cell>
        </row>
        <row r="130">
          <cell r="A130" t="str">
            <v>MR000126</v>
          </cell>
          <cell r="B130" t="str">
            <v>MR</v>
          </cell>
          <cell r="C130">
            <v>9.1999999999999993</v>
          </cell>
          <cell r="D130" t="str">
            <v>15</v>
          </cell>
          <cell r="E130" t="str">
            <v>KH107</v>
          </cell>
          <cell r="F130">
            <v>6020</v>
          </cell>
          <cell r="G130">
            <v>100.75</v>
          </cell>
          <cell r="H130">
            <v>1.25</v>
          </cell>
          <cell r="I130" t="str">
            <v>From M1B to M2B - 45°</v>
          </cell>
          <cell r="J130" t="str">
            <v>IE3</v>
          </cell>
          <cell r="K130">
            <v>400</v>
          </cell>
          <cell r="L130">
            <v>50</v>
          </cell>
          <cell r="M130">
            <v>18.7</v>
          </cell>
          <cell r="N130">
            <v>55</v>
          </cell>
          <cell r="O130" t="str">
            <v>F</v>
          </cell>
          <cell r="P130" t="str">
            <v>0°</v>
          </cell>
          <cell r="R130" t="str">
            <v>-</v>
          </cell>
          <cell r="V130" t="str">
            <v>SS</v>
          </cell>
          <cell r="X130" t="str">
            <v>CLP (CC) VG 220 = -15° + 40°</v>
          </cell>
          <cell r="Y130" t="str">
            <v>KH107DRN132L4</v>
          </cell>
          <cell r="Z130" t="str">
            <v>SEW</v>
          </cell>
          <cell r="AH130" t="str">
            <v>KH107-B0-X</v>
          </cell>
        </row>
        <row r="131">
          <cell r="A131" t="str">
            <v>MR000127</v>
          </cell>
          <cell r="B131" t="str">
            <v>MR</v>
          </cell>
          <cell r="C131">
            <v>18.5</v>
          </cell>
          <cell r="D131" t="str">
            <v>16</v>
          </cell>
          <cell r="E131" t="str">
            <v>KH127</v>
          </cell>
          <cell r="F131">
            <v>10700</v>
          </cell>
          <cell r="G131">
            <v>89.89</v>
          </cell>
          <cell r="H131">
            <v>1.2</v>
          </cell>
          <cell r="I131" t="str">
            <v>From M1B to M2B - 40°</v>
          </cell>
          <cell r="J131" t="str">
            <v>IE3</v>
          </cell>
          <cell r="K131">
            <v>400</v>
          </cell>
          <cell r="L131">
            <v>50</v>
          </cell>
          <cell r="M131">
            <v>33.5</v>
          </cell>
          <cell r="N131">
            <v>55</v>
          </cell>
          <cell r="O131" t="str">
            <v>F</v>
          </cell>
          <cell r="P131" t="str">
            <v>0°</v>
          </cell>
          <cell r="R131" t="str">
            <v>-</v>
          </cell>
          <cell r="V131" t="str">
            <v>SS</v>
          </cell>
          <cell r="X131" t="str">
            <v>CLP (CC) VG 220 = -15° + 40°</v>
          </cell>
          <cell r="Y131" t="str">
            <v>KH127DRN180M4</v>
          </cell>
          <cell r="Z131" t="str">
            <v>SEW</v>
          </cell>
          <cell r="AH131" t="str">
            <v>KH127-B0-X</v>
          </cell>
        </row>
        <row r="132">
          <cell r="A132" t="str">
            <v>MR000128</v>
          </cell>
          <cell r="B132" t="str">
            <v>MR</v>
          </cell>
          <cell r="C132">
            <v>9.1999999999999993</v>
          </cell>
          <cell r="D132" t="str">
            <v>24</v>
          </cell>
          <cell r="E132" t="str">
            <v>KH97</v>
          </cell>
          <cell r="F132">
            <v>3730</v>
          </cell>
          <cell r="G132">
            <v>62.55</v>
          </cell>
          <cell r="H132">
            <v>1.1499999999999999</v>
          </cell>
          <cell r="I132" t="str">
            <v>From M1A to M2A - 35°</v>
          </cell>
          <cell r="J132" t="str">
            <v>IE3</v>
          </cell>
          <cell r="K132">
            <v>400</v>
          </cell>
          <cell r="L132">
            <v>50</v>
          </cell>
          <cell r="N132">
            <v>55</v>
          </cell>
          <cell r="O132" t="str">
            <v>F</v>
          </cell>
          <cell r="P132" t="str">
            <v>180°</v>
          </cell>
          <cell r="Q132" t="str">
            <v>TF</v>
          </cell>
          <cell r="R132" t="str">
            <v>400V</v>
          </cell>
          <cell r="V132" t="str">
            <v>FC</v>
          </cell>
          <cell r="X132" t="str">
            <v>CLP (CC) VG 220 = -15° + 40°</v>
          </cell>
          <cell r="Y132" t="str">
            <v>KH97DRN132L4-TF-V</v>
          </cell>
          <cell r="Z132" t="str">
            <v>SEW</v>
          </cell>
          <cell r="AH132" t="str">
            <v>KH97-A180-X#</v>
          </cell>
        </row>
        <row r="133">
          <cell r="A133" t="str">
            <v>MR000129</v>
          </cell>
          <cell r="B133" t="str">
            <v>MR</v>
          </cell>
          <cell r="C133">
            <v>9.1999999999999993</v>
          </cell>
          <cell r="D133" t="str">
            <v>24</v>
          </cell>
          <cell r="E133" t="str">
            <v>KH97</v>
          </cell>
          <cell r="F133">
            <v>3730</v>
          </cell>
          <cell r="G133">
            <v>62.55</v>
          </cell>
          <cell r="H133">
            <v>1.1499999999999999</v>
          </cell>
          <cell r="I133" t="str">
            <v>From M1B to M2B - 35°</v>
          </cell>
          <cell r="J133" t="str">
            <v>IE3</v>
          </cell>
          <cell r="K133">
            <v>400</v>
          </cell>
          <cell r="L133">
            <v>50</v>
          </cell>
          <cell r="N133">
            <v>55</v>
          </cell>
          <cell r="O133" t="str">
            <v>F</v>
          </cell>
          <cell r="P133" t="str">
            <v>0°</v>
          </cell>
          <cell r="Q133" t="str">
            <v>TF</v>
          </cell>
          <cell r="R133" t="str">
            <v>400V</v>
          </cell>
          <cell r="V133" t="str">
            <v>FC</v>
          </cell>
          <cell r="X133" t="str">
            <v>CLP (CC) VG 220 = -15° + 40°</v>
          </cell>
          <cell r="Y133" t="str">
            <v>KH97DRN132L4-TF-V</v>
          </cell>
          <cell r="Z133" t="str">
            <v>SEW</v>
          </cell>
          <cell r="AH133" t="str">
            <v>KH97-B0-X#</v>
          </cell>
        </row>
        <row r="134">
          <cell r="A134" t="str">
            <v>MR000130</v>
          </cell>
          <cell r="B134" t="str">
            <v>MR</v>
          </cell>
          <cell r="C134">
            <v>9.1999999999999993</v>
          </cell>
          <cell r="D134">
            <v>40</v>
          </cell>
          <cell r="E134" t="str">
            <v>R97</v>
          </cell>
          <cell r="F134">
            <v>2210</v>
          </cell>
          <cell r="G134">
            <v>37.130000000000003</v>
          </cell>
          <cell r="H134">
            <v>1.35</v>
          </cell>
          <cell r="I134" t="str">
            <v>M1</v>
          </cell>
          <cell r="J134" t="str">
            <v>IE3</v>
          </cell>
          <cell r="K134">
            <v>400</v>
          </cell>
          <cell r="L134">
            <v>50</v>
          </cell>
          <cell r="N134">
            <v>55</v>
          </cell>
          <cell r="O134" t="str">
            <v>F</v>
          </cell>
          <cell r="P134" t="str">
            <v>270°</v>
          </cell>
          <cell r="Q134" t="str">
            <v>TF</v>
          </cell>
          <cell r="R134" t="str">
            <v>400V</v>
          </cell>
          <cell r="V134" t="str">
            <v>FC</v>
          </cell>
          <cell r="X134" t="str">
            <v>CLP (CC) VG 220 = -15° + 40°</v>
          </cell>
          <cell r="Y134" t="str">
            <v>R97DRN132L4-TF-V</v>
          </cell>
          <cell r="Z134" t="str">
            <v>SEW</v>
          </cell>
          <cell r="AH134" t="str">
            <v>R97-270-X#</v>
          </cell>
        </row>
        <row r="135">
          <cell r="A135" t="str">
            <v>MR000131</v>
          </cell>
          <cell r="B135" t="str">
            <v>MR</v>
          </cell>
          <cell r="C135">
            <v>4</v>
          </cell>
          <cell r="D135">
            <v>43</v>
          </cell>
          <cell r="E135" t="str">
            <v>R87</v>
          </cell>
          <cell r="F135">
            <v>890</v>
          </cell>
          <cell r="G135">
            <v>34.4</v>
          </cell>
          <cell r="H135">
            <v>1.65</v>
          </cell>
          <cell r="I135" t="str">
            <v>M3</v>
          </cell>
          <cell r="J135" t="str">
            <v>IE3</v>
          </cell>
          <cell r="K135">
            <v>400</v>
          </cell>
          <cell r="L135">
            <v>50</v>
          </cell>
          <cell r="N135">
            <v>55</v>
          </cell>
          <cell r="O135" t="str">
            <v>F</v>
          </cell>
          <cell r="P135" t="str">
            <v>270°</v>
          </cell>
          <cell r="Q135" t="str">
            <v>TF</v>
          </cell>
          <cell r="R135" t="str">
            <v>400V</v>
          </cell>
          <cell r="V135" t="str">
            <v>FC</v>
          </cell>
          <cell r="X135" t="str">
            <v>CLP (CC) VG 220 = -15° + 40°</v>
          </cell>
          <cell r="Y135" t="str">
            <v>R87DRN112M4-TF-V</v>
          </cell>
          <cell r="Z135" t="str">
            <v>SEW</v>
          </cell>
          <cell r="AH135" t="str">
            <v>R87-270-X#</v>
          </cell>
        </row>
        <row r="136">
          <cell r="A136" t="str">
            <v>MR000132</v>
          </cell>
          <cell r="B136" t="str">
            <v>MR</v>
          </cell>
          <cell r="C136">
            <v>9.1999999999999993</v>
          </cell>
          <cell r="D136">
            <v>59</v>
          </cell>
          <cell r="E136" t="str">
            <v>R97</v>
          </cell>
          <cell r="F136">
            <v>1490</v>
          </cell>
          <cell r="G136">
            <v>25.06</v>
          </cell>
          <cell r="H136">
            <v>1.9</v>
          </cell>
          <cell r="I136" t="str">
            <v>M1</v>
          </cell>
          <cell r="J136" t="str">
            <v>IE3</v>
          </cell>
          <cell r="K136">
            <v>400</v>
          </cell>
          <cell r="L136">
            <v>50</v>
          </cell>
          <cell r="N136">
            <v>55</v>
          </cell>
          <cell r="O136" t="str">
            <v>F</v>
          </cell>
          <cell r="P136" t="str">
            <v>270°</v>
          </cell>
          <cell r="R136" t="str">
            <v>-</v>
          </cell>
          <cell r="V136" t="str">
            <v>D+R</v>
          </cell>
          <cell r="X136" t="str">
            <v>CLP (CC) VG 220 = -15° + 40°</v>
          </cell>
          <cell r="Y136" t="str">
            <v>R97DRN132L4</v>
          </cell>
          <cell r="Z136" t="str">
            <v>SEW</v>
          </cell>
          <cell r="AH136" t="str">
            <v>R97-270-X</v>
          </cell>
        </row>
        <row r="137">
          <cell r="A137" t="str">
            <v>MR000133</v>
          </cell>
          <cell r="B137" t="str">
            <v>MR</v>
          </cell>
          <cell r="C137">
            <v>0.55000000000000004</v>
          </cell>
          <cell r="D137">
            <v>31</v>
          </cell>
          <cell r="E137" t="str">
            <v>FA37</v>
          </cell>
          <cell r="F137">
            <v>169</v>
          </cell>
          <cell r="G137">
            <v>43.83</v>
          </cell>
          <cell r="H137">
            <v>1.2</v>
          </cell>
          <cell r="I137" t="str">
            <v>M5</v>
          </cell>
          <cell r="J137" t="str">
            <v>IE3</v>
          </cell>
          <cell r="K137">
            <v>400</v>
          </cell>
          <cell r="L137">
            <v>50</v>
          </cell>
          <cell r="N137">
            <v>55</v>
          </cell>
          <cell r="O137" t="str">
            <v>F</v>
          </cell>
          <cell r="P137" t="str">
            <v>270°</v>
          </cell>
          <cell r="R137" t="str">
            <v>-</v>
          </cell>
          <cell r="T137" t="str">
            <v>BE</v>
          </cell>
          <cell r="V137" t="str">
            <v>D+R</v>
          </cell>
          <cell r="X137" t="str">
            <v>CLP (CC) VG 220 = -15° + 40°</v>
          </cell>
          <cell r="Y137" t="str">
            <v>FA37/G DRS 71M4+BE</v>
          </cell>
          <cell r="Z137" t="str">
            <v>SEW</v>
          </cell>
          <cell r="AH137" t="str">
            <v>FA37-270-X</v>
          </cell>
        </row>
        <row r="138">
          <cell r="A138" t="str">
            <v>MR000134</v>
          </cell>
          <cell r="B138" t="str">
            <v>MR</v>
          </cell>
          <cell r="C138">
            <v>11</v>
          </cell>
          <cell r="D138">
            <v>53</v>
          </cell>
          <cell r="E138" t="str">
            <v>R97</v>
          </cell>
          <cell r="F138">
            <v>1960</v>
          </cell>
          <cell r="G138">
            <v>27.58</v>
          </cell>
          <cell r="H138">
            <v>1.35</v>
          </cell>
          <cell r="I138" t="str">
            <v>M1</v>
          </cell>
          <cell r="J138" t="str">
            <v>IE3</v>
          </cell>
          <cell r="K138">
            <v>400</v>
          </cell>
          <cell r="L138">
            <v>50</v>
          </cell>
          <cell r="M138">
            <v>21</v>
          </cell>
          <cell r="N138">
            <v>55</v>
          </cell>
          <cell r="O138" t="str">
            <v>F</v>
          </cell>
          <cell r="P138" t="str">
            <v>270°</v>
          </cell>
          <cell r="R138" t="str">
            <v>-</v>
          </cell>
          <cell r="V138" t="str">
            <v>D</v>
          </cell>
          <cell r="X138" t="str">
            <v>CLP (CC) VG 220 = -15° + 40°</v>
          </cell>
          <cell r="Y138" t="str">
            <v>R97DRN160M4</v>
          </cell>
          <cell r="Z138" t="str">
            <v>SEW</v>
          </cell>
          <cell r="AH138" t="str">
            <v>R97-270-X</v>
          </cell>
        </row>
        <row r="139">
          <cell r="A139" t="str">
            <v>MR000135</v>
          </cell>
          <cell r="B139" t="str">
            <v>MR</v>
          </cell>
          <cell r="C139">
            <v>9.1999999999999993</v>
          </cell>
          <cell r="D139">
            <v>53</v>
          </cell>
          <cell r="E139" t="str">
            <v>R97</v>
          </cell>
          <cell r="F139">
            <v>1640</v>
          </cell>
          <cell r="G139">
            <v>27.58</v>
          </cell>
          <cell r="H139">
            <v>1.6</v>
          </cell>
          <cell r="I139" t="str">
            <v>M1</v>
          </cell>
          <cell r="J139" t="str">
            <v>IE3</v>
          </cell>
          <cell r="K139" t="str">
            <v>400/690</v>
          </cell>
          <cell r="L139">
            <v>50</v>
          </cell>
          <cell r="M139" t="str">
            <v>18,7/10,8</v>
          </cell>
          <cell r="N139">
            <v>55</v>
          </cell>
          <cell r="O139" t="str">
            <v>F(105°C)</v>
          </cell>
          <cell r="P139" t="str">
            <v>270°</v>
          </cell>
          <cell r="Q139" t="str">
            <v>-</v>
          </cell>
          <cell r="R139" t="str">
            <v>-</v>
          </cell>
          <cell r="S139" t="str">
            <v>-</v>
          </cell>
          <cell r="T139" t="str">
            <v>-</v>
          </cell>
          <cell r="U139" t="str">
            <v>-</v>
          </cell>
          <cell r="V139" t="str">
            <v>D+R</v>
          </cell>
          <cell r="W139" t="str">
            <v>-</v>
          </cell>
          <cell r="X139" t="str">
            <v>CLP VG 220 = -15° + 40°</v>
          </cell>
          <cell r="Y139" t="str">
            <v>R97DRN132L4</v>
          </cell>
          <cell r="Z139" t="str">
            <v>SEW</v>
          </cell>
          <cell r="AB139" t="str">
            <v>-</v>
          </cell>
          <cell r="AH139" t="str">
            <v>R97-270-X</v>
          </cell>
        </row>
        <row r="140">
          <cell r="A140" t="str">
            <v>MR000136</v>
          </cell>
          <cell r="B140" t="str">
            <v>MR</v>
          </cell>
          <cell r="C140">
            <v>22</v>
          </cell>
          <cell r="D140">
            <v>28</v>
          </cell>
          <cell r="E140" t="str">
            <v>R147</v>
          </cell>
          <cell r="F140">
            <v>7520</v>
          </cell>
          <cell r="G140">
            <v>52.87</v>
          </cell>
          <cell r="H140">
            <v>1.75</v>
          </cell>
          <cell r="I140" t="str">
            <v>From M1 to M6 - 20°</v>
          </cell>
          <cell r="J140" t="str">
            <v>IE3</v>
          </cell>
          <cell r="K140">
            <v>400</v>
          </cell>
          <cell r="L140">
            <v>50</v>
          </cell>
          <cell r="M140">
            <v>38.5</v>
          </cell>
          <cell r="N140">
            <v>55</v>
          </cell>
          <cell r="O140" t="str">
            <v>F</v>
          </cell>
          <cell r="P140" t="str">
            <v>270°</v>
          </cell>
          <cell r="R140" t="str">
            <v>-</v>
          </cell>
          <cell r="V140" t="str">
            <v>SS</v>
          </cell>
          <cell r="X140" t="str">
            <v>CLP (CC) VG 220 = -15° + 40°</v>
          </cell>
          <cell r="Y140" t="str">
            <v>R147DRN180L4</v>
          </cell>
          <cell r="Z140" t="str">
            <v>SEW</v>
          </cell>
          <cell r="AH140" t="str">
            <v>R147-270-X</v>
          </cell>
        </row>
        <row r="141">
          <cell r="A141" t="str">
            <v>MR000137</v>
          </cell>
          <cell r="B141" t="str">
            <v>MR</v>
          </cell>
          <cell r="C141">
            <v>15</v>
          </cell>
          <cell r="D141">
            <v>29</v>
          </cell>
          <cell r="E141" t="str">
            <v>R137</v>
          </cell>
          <cell r="F141">
            <v>4940</v>
          </cell>
          <cell r="G141">
            <v>50.86</v>
          </cell>
          <cell r="H141">
            <v>1.6</v>
          </cell>
          <cell r="I141" t="str">
            <v>From M1 to M6 - 10°</v>
          </cell>
          <cell r="J141" t="str">
            <v>IE3</v>
          </cell>
          <cell r="K141">
            <v>400</v>
          </cell>
          <cell r="L141">
            <v>50</v>
          </cell>
          <cell r="N141">
            <v>55</v>
          </cell>
          <cell r="O141" t="str">
            <v>F</v>
          </cell>
          <cell r="P141" t="str">
            <v>270°</v>
          </cell>
          <cell r="R141" t="str">
            <v>-</v>
          </cell>
          <cell r="V141" t="str">
            <v>SS</v>
          </cell>
          <cell r="X141" t="str">
            <v>CLP (CC) VG 220 = -15° + 40°</v>
          </cell>
          <cell r="Y141" t="str">
            <v>R137DRN160L4</v>
          </cell>
          <cell r="Z141" t="str">
            <v>SEW</v>
          </cell>
          <cell r="AH141" t="str">
            <v>R137-270-X</v>
          </cell>
        </row>
        <row r="142">
          <cell r="A142" t="str">
            <v>MR000138</v>
          </cell>
          <cell r="B142" t="str">
            <v>MR</v>
          </cell>
          <cell r="C142">
            <v>37</v>
          </cell>
          <cell r="D142">
            <v>29</v>
          </cell>
          <cell r="E142" t="str">
            <v>R167</v>
          </cell>
          <cell r="F142">
            <v>12300</v>
          </cell>
          <cell r="G142">
            <v>51.76</v>
          </cell>
          <cell r="H142">
            <v>1.45</v>
          </cell>
          <cell r="I142" t="str">
            <v>From M1 to M6 - 15°</v>
          </cell>
          <cell r="J142" t="str">
            <v>IE3</v>
          </cell>
          <cell r="K142">
            <v>400</v>
          </cell>
          <cell r="L142">
            <v>50</v>
          </cell>
          <cell r="N142">
            <v>55</v>
          </cell>
          <cell r="O142" t="str">
            <v>F</v>
          </cell>
          <cell r="P142" t="str">
            <v>270°</v>
          </cell>
          <cell r="R142" t="str">
            <v>-</v>
          </cell>
          <cell r="V142" t="str">
            <v>SS</v>
          </cell>
          <cell r="X142" t="str">
            <v>CLP (CC) VG 220 = -15° + 40°</v>
          </cell>
          <cell r="Y142" t="str">
            <v>R167DRN225S4</v>
          </cell>
          <cell r="Z142" t="str">
            <v>SEW</v>
          </cell>
          <cell r="AH142" t="str">
            <v>R167-270-X</v>
          </cell>
        </row>
        <row r="143">
          <cell r="A143" t="str">
            <v>MR000139</v>
          </cell>
          <cell r="B143" t="str">
            <v>MR</v>
          </cell>
          <cell r="C143">
            <v>15</v>
          </cell>
          <cell r="D143">
            <v>42</v>
          </cell>
          <cell r="E143" t="str">
            <v>R107</v>
          </cell>
          <cell r="F143">
            <v>3420</v>
          </cell>
          <cell r="G143">
            <v>35.26</v>
          </cell>
          <cell r="H143">
            <v>1.25</v>
          </cell>
          <cell r="I143" t="str">
            <v>From M1 to M5 - 30°</v>
          </cell>
          <cell r="J143" t="str">
            <v>IE3</v>
          </cell>
          <cell r="K143">
            <v>400</v>
          </cell>
          <cell r="L143">
            <v>50</v>
          </cell>
          <cell r="N143">
            <v>55</v>
          </cell>
          <cell r="O143" t="str">
            <v>F</v>
          </cell>
          <cell r="P143" t="str">
            <v>270°</v>
          </cell>
          <cell r="R143" t="str">
            <v>-</v>
          </cell>
          <cell r="V143" t="str">
            <v>SS</v>
          </cell>
          <cell r="W143" t="str">
            <v xml:space="preserve">  </v>
          </cell>
          <cell r="X143" t="str">
            <v>CLP (CC) VG 220 = -15° + 40°</v>
          </cell>
          <cell r="Y143" t="str">
            <v>R107DRN160L4</v>
          </cell>
          <cell r="Z143" t="str">
            <v>SEW</v>
          </cell>
          <cell r="AH143" t="str">
            <v>R107-270-X</v>
          </cell>
        </row>
        <row r="144">
          <cell r="A144" t="str">
            <v>MR000140</v>
          </cell>
          <cell r="B144" t="str">
            <v>MR</v>
          </cell>
          <cell r="C144">
            <v>15</v>
          </cell>
          <cell r="D144">
            <v>42</v>
          </cell>
          <cell r="E144" t="str">
            <v>R107</v>
          </cell>
          <cell r="F144">
            <v>3420</v>
          </cell>
          <cell r="G144">
            <v>35.26</v>
          </cell>
          <cell r="H144">
            <v>1.25</v>
          </cell>
          <cell r="I144" t="str">
            <v>From M1 to M5 - 25°</v>
          </cell>
          <cell r="J144" t="str">
            <v>IE3</v>
          </cell>
          <cell r="K144">
            <v>400</v>
          </cell>
          <cell r="L144">
            <v>50</v>
          </cell>
          <cell r="N144">
            <v>55</v>
          </cell>
          <cell r="O144" t="str">
            <v>F</v>
          </cell>
          <cell r="P144" t="str">
            <v>270°</v>
          </cell>
          <cell r="R144" t="str">
            <v>-</v>
          </cell>
          <cell r="V144" t="str">
            <v>SS</v>
          </cell>
          <cell r="X144" t="str">
            <v>CLP (CC) VG 220 = -15° + 40°</v>
          </cell>
          <cell r="Y144" t="str">
            <v>R107DRN160L4</v>
          </cell>
          <cell r="Z144" t="str">
            <v>SEW</v>
          </cell>
          <cell r="AH144" t="str">
            <v>R107-270-X</v>
          </cell>
        </row>
        <row r="145">
          <cell r="A145" t="str">
            <v>MR000141</v>
          </cell>
          <cell r="B145" t="str">
            <v>MR</v>
          </cell>
          <cell r="C145">
            <v>1.1000000000000001</v>
          </cell>
          <cell r="D145">
            <v>18</v>
          </cell>
          <cell r="E145" t="str">
            <v>FA67</v>
          </cell>
          <cell r="F145">
            <v>575</v>
          </cell>
          <cell r="G145">
            <v>79.760000000000005</v>
          </cell>
          <cell r="H145">
            <v>1.4</v>
          </cell>
          <cell r="I145" t="str">
            <v>M6</v>
          </cell>
          <cell r="J145" t="str">
            <v>IE3</v>
          </cell>
          <cell r="K145">
            <v>400</v>
          </cell>
          <cell r="L145">
            <v>50</v>
          </cell>
          <cell r="N145">
            <v>55</v>
          </cell>
          <cell r="O145" t="str">
            <v>F</v>
          </cell>
          <cell r="P145" t="str">
            <v>270°</v>
          </cell>
          <cell r="R145" t="str">
            <v>-</v>
          </cell>
          <cell r="T145" t="str">
            <v>BE</v>
          </cell>
          <cell r="V145" t="str">
            <v>D+R</v>
          </cell>
          <cell r="X145" t="str">
            <v>CLP (CC) VG 220 = -15° + 40°</v>
          </cell>
          <cell r="Y145" t="str">
            <v>FA67/GDRN90S4-BE</v>
          </cell>
          <cell r="Z145" t="str">
            <v>SEW</v>
          </cell>
          <cell r="AH145" t="str">
            <v>FA67-270-X</v>
          </cell>
        </row>
        <row r="146">
          <cell r="A146" t="str">
            <v>MR000142</v>
          </cell>
          <cell r="B146" t="str">
            <v>MR</v>
          </cell>
          <cell r="C146">
            <v>22</v>
          </cell>
          <cell r="D146">
            <v>21</v>
          </cell>
          <cell r="E146" t="str">
            <v>KH127</v>
          </cell>
          <cell r="F146">
            <v>10000</v>
          </cell>
          <cell r="G146">
            <v>70.95</v>
          </cell>
          <cell r="H146">
            <v>1.3</v>
          </cell>
          <cell r="I146" t="str">
            <v>From M4B to M1B - 35°</v>
          </cell>
          <cell r="J146" t="str">
            <v>IE3</v>
          </cell>
          <cell r="K146">
            <v>400</v>
          </cell>
          <cell r="L146">
            <v>50</v>
          </cell>
          <cell r="M146">
            <v>56</v>
          </cell>
          <cell r="N146">
            <v>55</v>
          </cell>
          <cell r="O146" t="str">
            <v>F</v>
          </cell>
          <cell r="P146" t="str">
            <v>270°</v>
          </cell>
          <cell r="Q146" t="str">
            <v>TF</v>
          </cell>
          <cell r="R146" t="str">
            <v>400V VE</v>
          </cell>
          <cell r="V146" t="str">
            <v>FC</v>
          </cell>
          <cell r="W146" t="str">
            <v>230V</v>
          </cell>
          <cell r="X146" t="str">
            <v>CLP HC VG 150 = -40° + 40°</v>
          </cell>
          <cell r="Y146" t="str">
            <v>KH127EDRE200L4</v>
          </cell>
          <cell r="Z146" t="str">
            <v>SEW</v>
          </cell>
          <cell r="AB146" t="str">
            <v>ATEX22</v>
          </cell>
          <cell r="AH146" t="str">
            <v>KH127-B270-X#</v>
          </cell>
        </row>
        <row r="147">
          <cell r="A147" t="str">
            <v>MR000143</v>
          </cell>
          <cell r="B147" t="str">
            <v>MR</v>
          </cell>
          <cell r="C147">
            <v>1.5</v>
          </cell>
          <cell r="D147">
            <v>39</v>
          </cell>
          <cell r="E147" t="str">
            <v>FA67</v>
          </cell>
          <cell r="F147">
            <v>360</v>
          </cell>
          <cell r="G147">
            <v>36.299999999999997</v>
          </cell>
          <cell r="H147">
            <v>2.2999999999999998</v>
          </cell>
          <cell r="I147" t="str">
            <v>M1</v>
          </cell>
          <cell r="J147" t="str">
            <v>IE3</v>
          </cell>
          <cell r="K147">
            <v>400</v>
          </cell>
          <cell r="L147">
            <v>50</v>
          </cell>
          <cell r="N147">
            <v>55</v>
          </cell>
          <cell r="O147" t="str">
            <v>F</v>
          </cell>
          <cell r="P147" t="str">
            <v>270°</v>
          </cell>
          <cell r="Q147" t="str">
            <v>TF</v>
          </cell>
          <cell r="R147" t="str">
            <v>400V VE</v>
          </cell>
          <cell r="V147" t="str">
            <v>FC</v>
          </cell>
          <cell r="W147" t="str">
            <v>230V</v>
          </cell>
          <cell r="X147" t="str">
            <v>CLP HC VG 150 = -40° + 40°</v>
          </cell>
          <cell r="Y147" t="str">
            <v>FA67/GEDRE90L4</v>
          </cell>
          <cell r="Z147" t="str">
            <v>SEW</v>
          </cell>
          <cell r="AB147" t="str">
            <v>ATEX22</v>
          </cell>
          <cell r="AH147" t="str">
            <v>FA67-270-X#</v>
          </cell>
        </row>
        <row r="148">
          <cell r="A148" t="str">
            <v>MR000144</v>
          </cell>
          <cell r="B148" t="str">
            <v>ME</v>
          </cell>
          <cell r="C148">
            <v>37</v>
          </cell>
          <cell r="D148">
            <v>1500</v>
          </cell>
          <cell r="E148" t="str">
            <v>225SMA</v>
          </cell>
          <cell r="I148" t="str">
            <v>V1/B5</v>
          </cell>
          <cell r="J148" t="str">
            <v>IE3</v>
          </cell>
          <cell r="K148">
            <v>400</v>
          </cell>
          <cell r="L148">
            <v>50</v>
          </cell>
          <cell r="N148">
            <v>55</v>
          </cell>
          <cell r="O148" t="str">
            <v>F</v>
          </cell>
          <cell r="Q148" t="str">
            <v>TF</v>
          </cell>
          <cell r="R148" t="str">
            <v>-</v>
          </cell>
          <cell r="V148" t="str">
            <v>D</v>
          </cell>
          <cell r="W148" t="str">
            <v>230V</v>
          </cell>
          <cell r="Y148" t="str">
            <v>1MB1523-2BB03-4GB4-Z</v>
          </cell>
          <cell r="Z148" t="str">
            <v>SIEMENS</v>
          </cell>
          <cell r="AB148" t="str">
            <v>ATEX22</v>
          </cell>
          <cell r="AE148" t="str">
            <v>PTC</v>
          </cell>
          <cell r="AH148" t="str">
            <v>225SMA-B-X</v>
          </cell>
        </row>
        <row r="149">
          <cell r="A149" t="str">
            <v>MR000145</v>
          </cell>
          <cell r="B149" t="str">
            <v>ME</v>
          </cell>
          <cell r="C149">
            <v>3</v>
          </cell>
          <cell r="D149">
            <v>3000</v>
          </cell>
          <cell r="E149" t="str">
            <v>100L</v>
          </cell>
          <cell r="I149" t="str">
            <v>B5</v>
          </cell>
          <cell r="J149" t="str">
            <v>IE3</v>
          </cell>
          <cell r="K149">
            <v>400</v>
          </cell>
          <cell r="L149">
            <v>50</v>
          </cell>
          <cell r="N149">
            <v>55</v>
          </cell>
          <cell r="O149" t="str">
            <v>F</v>
          </cell>
          <cell r="Q149" t="str">
            <v>TF</v>
          </cell>
          <cell r="R149" t="str">
            <v>-</v>
          </cell>
          <cell r="V149" t="str">
            <v>D</v>
          </cell>
          <cell r="W149" t="str">
            <v>230V</v>
          </cell>
          <cell r="Y149" t="str">
            <v>1MB1023-1AA42-2FB4-Z</v>
          </cell>
          <cell r="Z149" t="str">
            <v>SIEMENS</v>
          </cell>
          <cell r="AB149" t="str">
            <v>ATEX22</v>
          </cell>
          <cell r="AE149" t="str">
            <v>PTC</v>
          </cell>
          <cell r="AH149" t="str">
            <v>100L-B-X</v>
          </cell>
        </row>
        <row r="150">
          <cell r="A150" t="str">
            <v>MR000146</v>
          </cell>
          <cell r="B150" t="str">
            <v>MR</v>
          </cell>
          <cell r="C150">
            <v>37</v>
          </cell>
          <cell r="D150">
            <v>29</v>
          </cell>
          <cell r="E150" t="str">
            <v>R167</v>
          </cell>
          <cell r="F150">
            <v>12300</v>
          </cell>
          <cell r="G150">
            <v>51.76</v>
          </cell>
          <cell r="H150">
            <v>1.45</v>
          </cell>
          <cell r="I150" t="str">
            <v>From M1 to M6 - 20°</v>
          </cell>
          <cell r="J150" t="str">
            <v>IE3</v>
          </cell>
          <cell r="K150">
            <v>400</v>
          </cell>
          <cell r="L150">
            <v>50</v>
          </cell>
          <cell r="N150">
            <v>55</v>
          </cell>
          <cell r="O150" t="str">
            <v>F</v>
          </cell>
          <cell r="P150" t="str">
            <v>270°</v>
          </cell>
          <cell r="R150" t="str">
            <v>-</v>
          </cell>
          <cell r="V150" t="str">
            <v>SS</v>
          </cell>
          <cell r="X150" t="str">
            <v>CLP (CC) VG 220 = -15° + 40°</v>
          </cell>
          <cell r="Y150" t="str">
            <v>R167DRN225S4</v>
          </cell>
          <cell r="Z150" t="str">
            <v>SEW</v>
          </cell>
          <cell r="AH150" t="str">
            <v>R167-270-X</v>
          </cell>
        </row>
        <row r="151">
          <cell r="A151" t="str">
            <v>MR000147</v>
          </cell>
          <cell r="B151" t="str">
            <v>MR</v>
          </cell>
          <cell r="C151">
            <v>1.1000000000000001</v>
          </cell>
          <cell r="D151">
            <v>18</v>
          </cell>
          <cell r="E151" t="str">
            <v>FA67</v>
          </cell>
          <cell r="F151">
            <v>575</v>
          </cell>
          <cell r="G151">
            <v>79.760000000000005</v>
          </cell>
          <cell r="H151">
            <v>1.4</v>
          </cell>
          <cell r="I151" t="str">
            <v>From M6 to M1 - 20°</v>
          </cell>
          <cell r="J151" t="str">
            <v>IE3</v>
          </cell>
          <cell r="K151">
            <v>400</v>
          </cell>
          <cell r="L151">
            <v>50</v>
          </cell>
          <cell r="N151">
            <v>55</v>
          </cell>
          <cell r="O151" t="str">
            <v>F</v>
          </cell>
          <cell r="P151" t="str">
            <v>270°</v>
          </cell>
          <cell r="R151" t="str">
            <v>-</v>
          </cell>
          <cell r="T151" t="str">
            <v>BE</v>
          </cell>
          <cell r="V151" t="str">
            <v>D+R</v>
          </cell>
          <cell r="X151" t="str">
            <v>CLP (CC) VG 220 = -15° + 40°</v>
          </cell>
          <cell r="Y151" t="str">
            <v>FA67/GDRN90S4-BE</v>
          </cell>
          <cell r="Z151" t="str">
            <v>SEW</v>
          </cell>
          <cell r="AH151" t="str">
            <v>FA67-270-X</v>
          </cell>
        </row>
        <row r="152">
          <cell r="A152" t="str">
            <v>MR000148</v>
          </cell>
          <cell r="B152" t="str">
            <v>MR</v>
          </cell>
          <cell r="C152">
            <v>30</v>
          </cell>
          <cell r="D152">
            <v>32</v>
          </cell>
          <cell r="E152" t="str">
            <v>R147</v>
          </cell>
          <cell r="F152">
            <v>9030</v>
          </cell>
          <cell r="G152">
            <v>46.65</v>
          </cell>
          <cell r="H152">
            <v>1.45</v>
          </cell>
          <cell r="I152" t="str">
            <v>M3B</v>
          </cell>
          <cell r="J152" t="str">
            <v>IE3</v>
          </cell>
          <cell r="K152">
            <v>400</v>
          </cell>
          <cell r="L152">
            <v>50</v>
          </cell>
          <cell r="M152">
            <v>56</v>
          </cell>
          <cell r="N152">
            <v>55</v>
          </cell>
          <cell r="O152" t="str">
            <v>F</v>
          </cell>
          <cell r="P152" t="str">
            <v>0°</v>
          </cell>
          <cell r="Q152" t="str">
            <v>TF</v>
          </cell>
          <cell r="R152" t="str">
            <v>400V</v>
          </cell>
          <cell r="V152" t="str">
            <v>FC</v>
          </cell>
          <cell r="X152" t="str">
            <v>CLP (CC) VG 220 = -15° + 40°</v>
          </cell>
          <cell r="Y152" t="str">
            <v>R147DRN200L4-TF-V</v>
          </cell>
          <cell r="Z152" t="str">
            <v>SEW</v>
          </cell>
          <cell r="AH152" t="str">
            <v>R147-B0-X#</v>
          </cell>
        </row>
        <row r="153">
          <cell r="A153" t="str">
            <v>MR000149</v>
          </cell>
          <cell r="B153" t="str">
            <v>MR</v>
          </cell>
          <cell r="C153">
            <v>30</v>
          </cell>
          <cell r="D153">
            <v>42</v>
          </cell>
          <cell r="E153" t="str">
            <v>R147</v>
          </cell>
          <cell r="F153">
            <v>6890</v>
          </cell>
          <cell r="G153">
            <v>35.64</v>
          </cell>
          <cell r="H153">
            <v>1.9</v>
          </cell>
          <cell r="I153" t="str">
            <v>From M1 to M5 - 25°</v>
          </cell>
          <cell r="J153" t="str">
            <v>IE3</v>
          </cell>
          <cell r="K153">
            <v>400</v>
          </cell>
          <cell r="L153">
            <v>50</v>
          </cell>
          <cell r="M153">
            <v>56</v>
          </cell>
          <cell r="N153">
            <v>55</v>
          </cell>
          <cell r="O153" t="str">
            <v>F</v>
          </cell>
          <cell r="P153" t="str">
            <v>270°</v>
          </cell>
          <cell r="R153" t="str">
            <v>-</v>
          </cell>
          <cell r="V153" t="str">
            <v>SS</v>
          </cell>
          <cell r="X153" t="str">
            <v>CLP (CC) VG 220 = -15° + 40°</v>
          </cell>
          <cell r="Y153" t="str">
            <v>R147DRN200L4</v>
          </cell>
          <cell r="Z153" t="str">
            <v>SEW</v>
          </cell>
          <cell r="AH153" t="str">
            <v>R147-270-X</v>
          </cell>
        </row>
        <row r="154">
          <cell r="A154" t="str">
            <v>MR000150</v>
          </cell>
          <cell r="B154" t="str">
            <v>MR</v>
          </cell>
          <cell r="C154">
            <v>0.55000000000000004</v>
          </cell>
          <cell r="D154">
            <v>4.9000000000000004</v>
          </cell>
          <cell r="E154" t="str">
            <v>KA67</v>
          </cell>
          <cell r="F154">
            <v>970</v>
          </cell>
          <cell r="G154">
            <v>279</v>
          </cell>
          <cell r="H154">
            <v>0.85</v>
          </cell>
          <cell r="I154" t="str">
            <v>M3</v>
          </cell>
          <cell r="J154" t="str">
            <v>IE3</v>
          </cell>
          <cell r="K154">
            <v>400</v>
          </cell>
          <cell r="L154">
            <v>50</v>
          </cell>
          <cell r="N154">
            <v>55</v>
          </cell>
          <cell r="O154" t="str">
            <v>F</v>
          </cell>
          <cell r="P154" t="str">
            <v>180°</v>
          </cell>
          <cell r="R154" t="str">
            <v>-</v>
          </cell>
          <cell r="T154" t="str">
            <v>BE</v>
          </cell>
          <cell r="U154" t="str">
            <v>T</v>
          </cell>
          <cell r="V154" t="str">
            <v>D+R</v>
          </cell>
          <cell r="X154" t="str">
            <v>CLP HC VG 220 = -20° + 60°</v>
          </cell>
          <cell r="Y154" t="str">
            <v>KA67/TR37DRS71M4</v>
          </cell>
          <cell r="Z154" t="str">
            <v>SEW</v>
          </cell>
          <cell r="AH154" t="str">
            <v>KA67T-180-X</v>
          </cell>
        </row>
        <row r="155">
          <cell r="A155" t="str">
            <v>MR000151</v>
          </cell>
          <cell r="B155" t="str">
            <v>MR</v>
          </cell>
          <cell r="C155">
            <v>15</v>
          </cell>
          <cell r="D155">
            <v>29</v>
          </cell>
          <cell r="E155" t="str">
            <v>R137</v>
          </cell>
          <cell r="F155">
            <v>4940</v>
          </cell>
          <cell r="G155">
            <v>50.86</v>
          </cell>
          <cell r="H155">
            <v>1.6</v>
          </cell>
          <cell r="I155" t="str">
            <v>M1</v>
          </cell>
          <cell r="J155" t="str">
            <v>IE3</v>
          </cell>
          <cell r="K155">
            <v>400</v>
          </cell>
          <cell r="L155">
            <v>50</v>
          </cell>
          <cell r="N155">
            <v>55</v>
          </cell>
          <cell r="O155" t="str">
            <v>F</v>
          </cell>
          <cell r="P155" t="str">
            <v>270°</v>
          </cell>
          <cell r="R155" t="str">
            <v>-</v>
          </cell>
          <cell r="V155" t="str">
            <v>SS</v>
          </cell>
          <cell r="X155" t="str">
            <v>CLP (CC) VG 220 = -15° + 40°</v>
          </cell>
          <cell r="Y155" t="str">
            <v>R137DRN160L4</v>
          </cell>
          <cell r="Z155" t="str">
            <v>SEW</v>
          </cell>
          <cell r="AH155" t="str">
            <v>R137-270-X</v>
          </cell>
        </row>
        <row r="156">
          <cell r="A156" t="str">
            <v>MR000152</v>
          </cell>
          <cell r="B156" t="str">
            <v>MR</v>
          </cell>
          <cell r="C156">
            <v>9.1999999999999993</v>
          </cell>
          <cell r="D156">
            <v>53</v>
          </cell>
          <cell r="E156" t="str">
            <v>R97</v>
          </cell>
          <cell r="F156">
            <v>1640</v>
          </cell>
          <cell r="G156">
            <v>27.58</v>
          </cell>
          <cell r="H156">
            <v>1.45</v>
          </cell>
          <cell r="I156" t="str">
            <v>From M1 to M4 - 15°</v>
          </cell>
          <cell r="J156" t="str">
            <v>IE3</v>
          </cell>
          <cell r="K156">
            <v>400</v>
          </cell>
          <cell r="L156">
            <v>50</v>
          </cell>
          <cell r="N156">
            <v>55</v>
          </cell>
          <cell r="O156" t="str">
            <v>F</v>
          </cell>
          <cell r="P156" t="str">
            <v>270°</v>
          </cell>
          <cell r="R156" t="str">
            <v>-</v>
          </cell>
          <cell r="V156" t="str">
            <v>D</v>
          </cell>
          <cell r="X156" t="str">
            <v>CLP (CC) VG 220 = -15° + 40°</v>
          </cell>
          <cell r="Y156" t="str">
            <v>R97EDRE160M4</v>
          </cell>
          <cell r="Z156" t="str">
            <v>SEW</v>
          </cell>
          <cell r="AB156" t="str">
            <v>ATEX22</v>
          </cell>
          <cell r="AH156" t="str">
            <v>R97-270-X</v>
          </cell>
        </row>
        <row r="157">
          <cell r="A157" t="str">
            <v>MR000153</v>
          </cell>
          <cell r="B157" t="str">
            <v>MR</v>
          </cell>
          <cell r="C157">
            <v>9.1999999999999993</v>
          </cell>
          <cell r="D157">
            <v>66</v>
          </cell>
          <cell r="E157" t="str">
            <v>R97</v>
          </cell>
          <cell r="F157">
            <v>1330</v>
          </cell>
          <cell r="G157">
            <v>22.37</v>
          </cell>
          <cell r="H157">
            <v>1.6</v>
          </cell>
          <cell r="I157" t="str">
            <v>M1</v>
          </cell>
          <cell r="J157" t="str">
            <v>IE3</v>
          </cell>
          <cell r="K157">
            <v>400</v>
          </cell>
          <cell r="L157">
            <v>50</v>
          </cell>
          <cell r="N157">
            <v>55</v>
          </cell>
          <cell r="O157" t="str">
            <v>F</v>
          </cell>
          <cell r="P157" t="str">
            <v>270°</v>
          </cell>
          <cell r="R157" t="str">
            <v>-</v>
          </cell>
          <cell r="V157" t="str">
            <v>D</v>
          </cell>
          <cell r="X157" t="str">
            <v>CLP (CC) VG 220 = -15° + 40°</v>
          </cell>
          <cell r="Y157" t="str">
            <v>R97EDRE160M4</v>
          </cell>
          <cell r="Z157" t="str">
            <v>SEW</v>
          </cell>
          <cell r="AB157" t="str">
            <v>ATEX22</v>
          </cell>
          <cell r="AH157" t="str">
            <v>R97-270-X</v>
          </cell>
        </row>
        <row r="158">
          <cell r="A158" t="str">
            <v>MR000154</v>
          </cell>
          <cell r="B158" t="str">
            <v>MR</v>
          </cell>
          <cell r="C158">
            <v>9.1999999999999993</v>
          </cell>
          <cell r="D158">
            <v>53</v>
          </cell>
          <cell r="E158" t="str">
            <v>R97</v>
          </cell>
          <cell r="F158">
            <v>1640</v>
          </cell>
          <cell r="G158">
            <v>27.58</v>
          </cell>
          <cell r="H158">
            <v>1.45</v>
          </cell>
          <cell r="I158" t="str">
            <v>M1</v>
          </cell>
          <cell r="J158" t="str">
            <v>IE3</v>
          </cell>
          <cell r="K158">
            <v>400</v>
          </cell>
          <cell r="L158">
            <v>50</v>
          </cell>
          <cell r="N158">
            <v>55</v>
          </cell>
          <cell r="O158" t="str">
            <v>F</v>
          </cell>
          <cell r="P158" t="str">
            <v>270°</v>
          </cell>
          <cell r="Q158" t="str">
            <v>TF</v>
          </cell>
          <cell r="R158" t="str">
            <v>400V VE</v>
          </cell>
          <cell r="V158" t="str">
            <v>FC</v>
          </cell>
          <cell r="X158" t="str">
            <v>CLP (CC) VG 220 = -15° + 40°</v>
          </cell>
          <cell r="Y158" t="str">
            <v>R97EDRE160M4-TF-VE</v>
          </cell>
          <cell r="Z158" t="str">
            <v>SEW</v>
          </cell>
          <cell r="AB158" t="str">
            <v>ATEX22</v>
          </cell>
          <cell r="AH158" t="str">
            <v>R97-270-X#</v>
          </cell>
        </row>
        <row r="159">
          <cell r="A159" t="str">
            <v>MR000155</v>
          </cell>
          <cell r="B159" t="str">
            <v>MR</v>
          </cell>
          <cell r="C159">
            <v>3</v>
          </cell>
          <cell r="D159">
            <v>38</v>
          </cell>
          <cell r="E159" t="str">
            <v>FA77</v>
          </cell>
          <cell r="F159">
            <v>750</v>
          </cell>
          <cell r="G159">
            <v>38.229999999999997</v>
          </cell>
          <cell r="H159">
            <v>1.85</v>
          </cell>
          <cell r="I159" t="str">
            <v>M1</v>
          </cell>
          <cell r="J159" t="str">
            <v>IE3</v>
          </cell>
          <cell r="K159">
            <v>400</v>
          </cell>
          <cell r="L159">
            <v>50</v>
          </cell>
          <cell r="N159">
            <v>55</v>
          </cell>
          <cell r="O159" t="str">
            <v>F</v>
          </cell>
          <cell r="P159" t="str">
            <v>270°</v>
          </cell>
          <cell r="Q159" t="str">
            <v>TF</v>
          </cell>
          <cell r="R159" t="str">
            <v>400V VE</v>
          </cell>
          <cell r="V159" t="str">
            <v>FC</v>
          </cell>
          <cell r="X159" t="str">
            <v>CLP (CC) VG 220 = -15° + 40°</v>
          </cell>
          <cell r="Y159" t="str">
            <v>FA77/GEDRE100LC4TF-VE</v>
          </cell>
          <cell r="Z159" t="str">
            <v>SEW</v>
          </cell>
          <cell r="AB159" t="str">
            <v>ATEX22</v>
          </cell>
          <cell r="AH159" t="str">
            <v>FA77-270-X#</v>
          </cell>
        </row>
        <row r="160">
          <cell r="A160" t="str">
            <v>MR000156</v>
          </cell>
          <cell r="B160" t="str">
            <v>MR</v>
          </cell>
          <cell r="C160">
            <v>7.5</v>
          </cell>
          <cell r="D160">
            <v>65</v>
          </cell>
          <cell r="E160" t="str">
            <v>R97</v>
          </cell>
          <cell r="F160">
            <v>1090</v>
          </cell>
          <cell r="G160">
            <v>22.37</v>
          </cell>
          <cell r="H160">
            <v>1.95</v>
          </cell>
          <cell r="I160" t="str">
            <v>M1</v>
          </cell>
          <cell r="J160" t="str">
            <v>IE3</v>
          </cell>
          <cell r="K160">
            <v>400</v>
          </cell>
          <cell r="L160">
            <v>50</v>
          </cell>
          <cell r="N160">
            <v>55</v>
          </cell>
          <cell r="O160" t="str">
            <v>F</v>
          </cell>
          <cell r="P160" t="str">
            <v>270°</v>
          </cell>
          <cell r="R160" t="str">
            <v>-</v>
          </cell>
          <cell r="V160" t="str">
            <v>D</v>
          </cell>
          <cell r="X160" t="str">
            <v>CLP (CC) VG 220 = -15° + 40°</v>
          </cell>
          <cell r="Y160" t="str">
            <v>R97EDR160S4</v>
          </cell>
          <cell r="Z160" t="str">
            <v>SEW</v>
          </cell>
          <cell r="AB160" t="str">
            <v>ATEX22</v>
          </cell>
          <cell r="AH160" t="str">
            <v>R97-270-X</v>
          </cell>
        </row>
        <row r="161">
          <cell r="A161" t="str">
            <v>MR000157</v>
          </cell>
          <cell r="B161" t="str">
            <v>MR</v>
          </cell>
          <cell r="C161">
            <v>5.5</v>
          </cell>
          <cell r="D161">
            <v>80</v>
          </cell>
          <cell r="E161" t="str">
            <v>R97</v>
          </cell>
          <cell r="F161">
            <v>655</v>
          </cell>
          <cell r="G161">
            <v>18.239999999999998</v>
          </cell>
          <cell r="H161">
            <v>3.1</v>
          </cell>
          <cell r="I161" t="str">
            <v>M1</v>
          </cell>
          <cell r="J161" t="str">
            <v>IE3</v>
          </cell>
          <cell r="K161">
            <v>400</v>
          </cell>
          <cell r="L161">
            <v>50</v>
          </cell>
          <cell r="N161">
            <v>55</v>
          </cell>
          <cell r="O161" t="str">
            <v>F</v>
          </cell>
          <cell r="P161" t="str">
            <v>270°</v>
          </cell>
          <cell r="R161" t="str">
            <v>-</v>
          </cell>
          <cell r="V161" t="str">
            <v>D</v>
          </cell>
          <cell r="X161" t="str">
            <v>CLP (CC) VG 220 = -15° + 40°</v>
          </cell>
          <cell r="Y161" t="str">
            <v>R97EDRE132M4</v>
          </cell>
          <cell r="Z161" t="str">
            <v>SEW</v>
          </cell>
          <cell r="AB161" t="str">
            <v>ATEX22</v>
          </cell>
          <cell r="AH161" t="str">
            <v>R97-270-X</v>
          </cell>
        </row>
        <row r="162">
          <cell r="A162" t="str">
            <v>MR000158</v>
          </cell>
          <cell r="B162" t="str">
            <v>MR</v>
          </cell>
          <cell r="C162">
            <v>15</v>
          </cell>
          <cell r="D162">
            <v>101</v>
          </cell>
          <cell r="E162" t="str">
            <v>R97</v>
          </cell>
          <cell r="F162">
            <v>1420</v>
          </cell>
          <cell r="G162">
            <v>14.62</v>
          </cell>
          <cell r="H162">
            <v>1.4</v>
          </cell>
          <cell r="I162" t="str">
            <v>M4</v>
          </cell>
          <cell r="J162" t="str">
            <v>IE3</v>
          </cell>
          <cell r="K162">
            <v>400</v>
          </cell>
          <cell r="L162">
            <v>50</v>
          </cell>
          <cell r="N162">
            <v>55</v>
          </cell>
          <cell r="O162" t="str">
            <v>F</v>
          </cell>
          <cell r="P162" t="str">
            <v>270°</v>
          </cell>
          <cell r="R162" t="str">
            <v>-</v>
          </cell>
          <cell r="V162" t="str">
            <v>D</v>
          </cell>
          <cell r="X162" t="str">
            <v>CLP (CC) VG 220 = -15° + 40°</v>
          </cell>
          <cell r="Y162" t="str">
            <v>R97EDRE180M4</v>
          </cell>
          <cell r="Z162" t="str">
            <v>SEW</v>
          </cell>
          <cell r="AB162" t="str">
            <v>ATEX22</v>
          </cell>
          <cell r="AH162" t="str">
            <v>R97-270-X</v>
          </cell>
        </row>
        <row r="163">
          <cell r="A163" t="str">
            <v>MR000159</v>
          </cell>
          <cell r="B163" t="str">
            <v>MR</v>
          </cell>
          <cell r="C163">
            <v>11</v>
          </cell>
          <cell r="D163">
            <v>36</v>
          </cell>
          <cell r="E163" t="str">
            <v>R107</v>
          </cell>
          <cell r="F163">
            <v>2880</v>
          </cell>
          <cell r="G163">
            <v>40.369999999999997</v>
          </cell>
          <cell r="H163">
            <v>1.5</v>
          </cell>
          <cell r="I163" t="str">
            <v>From M1 to M4 - 25°</v>
          </cell>
          <cell r="J163" t="str">
            <v>IE3</v>
          </cell>
          <cell r="K163">
            <v>400</v>
          </cell>
          <cell r="L163">
            <v>50</v>
          </cell>
          <cell r="N163">
            <v>55</v>
          </cell>
          <cell r="O163" t="str">
            <v>F</v>
          </cell>
          <cell r="P163" t="str">
            <v>270°</v>
          </cell>
          <cell r="Q163" t="str">
            <v>TF</v>
          </cell>
          <cell r="R163" t="str">
            <v>400V VE</v>
          </cell>
          <cell r="V163" t="str">
            <v>FC</v>
          </cell>
          <cell r="X163" t="str">
            <v>CLP (CC) VG 220 = -15° + 40°</v>
          </cell>
          <cell r="Y163" t="str">
            <v>R107EDRE180S4-TF-VE</v>
          </cell>
          <cell r="Z163" t="str">
            <v>SEW</v>
          </cell>
          <cell r="AB163" t="str">
            <v>ATEX22</v>
          </cell>
          <cell r="AH163" t="str">
            <v>R107-270-X#</v>
          </cell>
        </row>
        <row r="164">
          <cell r="A164" t="str">
            <v>MR000160</v>
          </cell>
          <cell r="B164" t="str">
            <v>MR</v>
          </cell>
          <cell r="C164">
            <v>7.5</v>
          </cell>
          <cell r="D164">
            <v>77</v>
          </cell>
          <cell r="E164" t="str">
            <v>R87</v>
          </cell>
          <cell r="F164">
            <v>930</v>
          </cell>
          <cell r="G164">
            <v>19.100000000000001</v>
          </cell>
          <cell r="H164">
            <v>1.25</v>
          </cell>
          <cell r="I164" t="str">
            <v>M1</v>
          </cell>
          <cell r="J164" t="str">
            <v>IE3</v>
          </cell>
          <cell r="K164">
            <v>400</v>
          </cell>
          <cell r="L164">
            <v>50</v>
          </cell>
          <cell r="N164">
            <v>55</v>
          </cell>
          <cell r="O164" t="str">
            <v>F</v>
          </cell>
          <cell r="P164" t="str">
            <v>270°</v>
          </cell>
          <cell r="R164" t="str">
            <v>-</v>
          </cell>
          <cell r="V164" t="str">
            <v>D</v>
          </cell>
          <cell r="X164" t="str">
            <v>CLP (CC) VG 220 = -15° + 40°</v>
          </cell>
          <cell r="Y164" t="str">
            <v>R87EDRE160S4</v>
          </cell>
          <cell r="Z164" t="str">
            <v>SEW</v>
          </cell>
          <cell r="AB164" t="str">
            <v>ATEX22</v>
          </cell>
          <cell r="AH164" t="str">
            <v>R87-270-X</v>
          </cell>
        </row>
        <row r="165">
          <cell r="A165" t="str">
            <v>MR000161</v>
          </cell>
          <cell r="B165" t="str">
            <v>MR</v>
          </cell>
          <cell r="C165">
            <v>9.1999999999999993</v>
          </cell>
          <cell r="D165">
            <v>55</v>
          </cell>
          <cell r="E165" t="str">
            <v>FH87</v>
          </cell>
          <cell r="F165">
            <v>1580</v>
          </cell>
          <cell r="G165">
            <v>26.5</v>
          </cell>
          <cell r="H165">
            <v>1.7</v>
          </cell>
          <cell r="I165" t="str">
            <v>M1</v>
          </cell>
          <cell r="J165" t="str">
            <v>IE3</v>
          </cell>
          <cell r="K165">
            <v>400</v>
          </cell>
          <cell r="L165">
            <v>50</v>
          </cell>
          <cell r="N165">
            <v>55</v>
          </cell>
          <cell r="O165" t="str">
            <v>F</v>
          </cell>
          <cell r="P165" t="str">
            <v>270°</v>
          </cell>
          <cell r="R165" t="str">
            <v>-</v>
          </cell>
          <cell r="V165" t="str">
            <v>D</v>
          </cell>
          <cell r="X165" t="str">
            <v>CLP (CC) VG 220 = -15° + 40°</v>
          </cell>
          <cell r="Y165" t="str">
            <v>FH87/GEDRE160M4</v>
          </cell>
          <cell r="Z165" t="str">
            <v>SEW</v>
          </cell>
          <cell r="AB165" t="str">
            <v>ATEX22</v>
          </cell>
          <cell r="AH165" t="str">
            <v>FH87-270-X</v>
          </cell>
        </row>
        <row r="166">
          <cell r="A166" t="str">
            <v>MR000162</v>
          </cell>
          <cell r="B166" t="str">
            <v>MR</v>
          </cell>
          <cell r="C166">
            <v>11</v>
          </cell>
          <cell r="D166">
            <v>66</v>
          </cell>
          <cell r="E166" t="str">
            <v>R97</v>
          </cell>
          <cell r="F166">
            <v>1590</v>
          </cell>
          <cell r="G166">
            <v>22.37</v>
          </cell>
          <cell r="H166">
            <v>1.35</v>
          </cell>
          <cell r="I166" t="str">
            <v>From M1 to M2 - 15°</v>
          </cell>
          <cell r="J166" t="str">
            <v>IE3</v>
          </cell>
          <cell r="K166">
            <v>400</v>
          </cell>
          <cell r="L166">
            <v>50</v>
          </cell>
          <cell r="N166">
            <v>55</v>
          </cell>
          <cell r="O166" t="str">
            <v>F</v>
          </cell>
          <cell r="P166" t="str">
            <v>270°</v>
          </cell>
          <cell r="R166" t="str">
            <v>-</v>
          </cell>
          <cell r="V166" t="str">
            <v>D</v>
          </cell>
          <cell r="X166" t="str">
            <v>CLP (CC) VG 220 = -15° + 40°</v>
          </cell>
          <cell r="Y166" t="str">
            <v>R97EDRE180S4</v>
          </cell>
          <cell r="Z166" t="str">
            <v>SEW</v>
          </cell>
          <cell r="AB166" t="str">
            <v>ATEX22</v>
          </cell>
          <cell r="AH166" t="str">
            <v>R97-270-X</v>
          </cell>
        </row>
        <row r="167">
          <cell r="A167" t="str">
            <v>MR000163</v>
          </cell>
          <cell r="B167" t="str">
            <v>MR</v>
          </cell>
          <cell r="C167">
            <v>1.5</v>
          </cell>
          <cell r="D167">
            <v>1.1000000000000001</v>
          </cell>
          <cell r="E167" t="str">
            <v>KH127R77</v>
          </cell>
          <cell r="F167">
            <v>12000</v>
          </cell>
          <cell r="G167">
            <v>1342</v>
          </cell>
          <cell r="H167">
            <v>1.1000000000000001</v>
          </cell>
          <cell r="I167" t="str">
            <v>From M4 to M1 - 35°</v>
          </cell>
          <cell r="J167" t="str">
            <v>IE3</v>
          </cell>
          <cell r="K167">
            <v>400</v>
          </cell>
          <cell r="L167">
            <v>50</v>
          </cell>
          <cell r="N167">
            <v>55</v>
          </cell>
          <cell r="O167" t="str">
            <v>F</v>
          </cell>
          <cell r="P167" t="str">
            <v>270°</v>
          </cell>
          <cell r="R167" t="str">
            <v>-</v>
          </cell>
          <cell r="U167" t="str">
            <v>T</v>
          </cell>
          <cell r="V167" t="str">
            <v>D</v>
          </cell>
          <cell r="X167" t="str">
            <v>CLP (CC) VG 220 = -15° + 40°</v>
          </cell>
          <cell r="Y167" t="str">
            <v>KH127R77/TDRN90L4</v>
          </cell>
          <cell r="Z167" t="str">
            <v>SEW</v>
          </cell>
          <cell r="AH167" t="str">
            <v>KH127R77T-270-X</v>
          </cell>
        </row>
        <row r="168">
          <cell r="A168" t="str">
            <v>MR000164</v>
          </cell>
          <cell r="B168" t="str">
            <v>MR</v>
          </cell>
          <cell r="C168">
            <v>18.5</v>
          </cell>
          <cell r="D168">
            <v>12</v>
          </cell>
          <cell r="E168" t="str">
            <v>KH157</v>
          </cell>
          <cell r="F168">
            <v>14700</v>
          </cell>
          <cell r="G168">
            <v>122.39</v>
          </cell>
          <cell r="H168">
            <v>1.2</v>
          </cell>
          <cell r="I168" t="str">
            <v>From M4B to M1B - 30°</v>
          </cell>
          <cell r="J168" t="str">
            <v>IE3</v>
          </cell>
          <cell r="K168">
            <v>400</v>
          </cell>
          <cell r="L168">
            <v>50</v>
          </cell>
          <cell r="M168">
            <v>38.5</v>
          </cell>
          <cell r="N168">
            <v>55</v>
          </cell>
          <cell r="O168" t="str">
            <v>F</v>
          </cell>
          <cell r="P168" t="str">
            <v>0°</v>
          </cell>
          <cell r="Q168" t="str">
            <v>TF</v>
          </cell>
          <cell r="R168" t="str">
            <v>400V VE</v>
          </cell>
          <cell r="V168" t="str">
            <v>FC</v>
          </cell>
          <cell r="W168" t="str">
            <v>230V</v>
          </cell>
          <cell r="X168" t="str">
            <v>CLP HC VG 150 = -40° + 40°</v>
          </cell>
          <cell r="Y168" t="str">
            <v xml:space="preserve">KH157EDRE180L4-TF-VE   </v>
          </cell>
          <cell r="Z168" t="str">
            <v>SEW</v>
          </cell>
          <cell r="AB168" t="str">
            <v>ATEX22</v>
          </cell>
          <cell r="AH168" t="str">
            <v>KH157-B0-X#</v>
          </cell>
        </row>
        <row r="169">
          <cell r="A169" t="str">
            <v>MR000165</v>
          </cell>
          <cell r="B169" t="str">
            <v>MR</v>
          </cell>
          <cell r="C169">
            <v>18.5</v>
          </cell>
          <cell r="D169">
            <v>12</v>
          </cell>
          <cell r="E169" t="str">
            <v>KH157</v>
          </cell>
          <cell r="F169">
            <v>14700</v>
          </cell>
          <cell r="G169">
            <v>122.39</v>
          </cell>
          <cell r="H169">
            <v>1.2</v>
          </cell>
          <cell r="I169" t="str">
            <v>From M4A to M1A - 30°</v>
          </cell>
          <cell r="J169" t="str">
            <v>IE3</v>
          </cell>
          <cell r="K169">
            <v>400</v>
          </cell>
          <cell r="L169">
            <v>50</v>
          </cell>
          <cell r="M169">
            <v>38.5</v>
          </cell>
          <cell r="N169">
            <v>55</v>
          </cell>
          <cell r="O169" t="str">
            <v>F</v>
          </cell>
          <cell r="P169" t="str">
            <v>180°</v>
          </cell>
          <cell r="Q169" t="str">
            <v>TF</v>
          </cell>
          <cell r="R169" t="str">
            <v>400V VE</v>
          </cell>
          <cell r="V169" t="str">
            <v>FC</v>
          </cell>
          <cell r="W169" t="str">
            <v>230V</v>
          </cell>
          <cell r="X169" t="str">
            <v>CLP HC VG 150 = -40° + 40°</v>
          </cell>
          <cell r="Y169" t="str">
            <v xml:space="preserve">KH157EDRE180L4-TF-VE   </v>
          </cell>
          <cell r="Z169" t="str">
            <v>SEW</v>
          </cell>
          <cell r="AB169" t="str">
            <v>ATEX22</v>
          </cell>
          <cell r="AH169" t="str">
            <v>KH157-A180-X#</v>
          </cell>
        </row>
        <row r="170">
          <cell r="A170" t="str">
            <v>MR000166</v>
          </cell>
          <cell r="B170" t="str">
            <v>MR</v>
          </cell>
          <cell r="C170">
            <v>11</v>
          </cell>
          <cell r="D170">
            <v>42</v>
          </cell>
          <cell r="E170" t="str">
            <v>R107</v>
          </cell>
          <cell r="F170">
            <v>2510</v>
          </cell>
          <cell r="G170">
            <v>35.26</v>
          </cell>
          <cell r="H170">
            <v>1.65</v>
          </cell>
          <cell r="I170" t="str">
            <v>M1</v>
          </cell>
          <cell r="J170" t="str">
            <v>IE3</v>
          </cell>
          <cell r="K170">
            <v>400</v>
          </cell>
          <cell r="L170">
            <v>50</v>
          </cell>
          <cell r="N170">
            <v>55</v>
          </cell>
          <cell r="O170" t="str">
            <v>F</v>
          </cell>
          <cell r="P170" t="str">
            <v>270°</v>
          </cell>
          <cell r="Q170" t="str">
            <v>TF</v>
          </cell>
          <cell r="R170" t="str">
            <v>-</v>
          </cell>
          <cell r="V170" t="str">
            <v>SS</v>
          </cell>
          <cell r="W170" t="str">
            <v>230V</v>
          </cell>
          <cell r="X170" t="str">
            <v>CLP HC VG 150 = -40° + 40°</v>
          </cell>
          <cell r="Y170" t="str">
            <v>R107EDRE180S4-TF</v>
          </cell>
          <cell r="Z170" t="str">
            <v>SEW</v>
          </cell>
          <cell r="AB170" t="str">
            <v>ATEX22</v>
          </cell>
          <cell r="AH170" t="str">
            <v>R107-270-X</v>
          </cell>
        </row>
        <row r="171">
          <cell r="A171" t="str">
            <v>MR000167</v>
          </cell>
          <cell r="B171" t="str">
            <v>MR</v>
          </cell>
          <cell r="C171">
            <v>3</v>
          </cell>
          <cell r="D171">
            <v>83</v>
          </cell>
          <cell r="E171" t="str">
            <v>KA67</v>
          </cell>
          <cell r="F171">
            <v>345</v>
          </cell>
          <cell r="G171">
            <v>17.54</v>
          </cell>
          <cell r="H171">
            <v>1.8</v>
          </cell>
          <cell r="I171" t="str">
            <v>M1B</v>
          </cell>
          <cell r="J171" t="str">
            <v>IE3</v>
          </cell>
          <cell r="K171">
            <v>400</v>
          </cell>
          <cell r="L171">
            <v>50</v>
          </cell>
          <cell r="N171">
            <v>55</v>
          </cell>
          <cell r="O171" t="str">
            <v>F</v>
          </cell>
          <cell r="P171" t="str">
            <v>0°</v>
          </cell>
          <cell r="Q171" t="str">
            <v>TF</v>
          </cell>
          <cell r="R171" t="str">
            <v>-</v>
          </cell>
          <cell r="U171" t="str">
            <v>T</v>
          </cell>
          <cell r="V171" t="str">
            <v>SS</v>
          </cell>
          <cell r="W171" t="str">
            <v>230V</v>
          </cell>
          <cell r="X171" t="str">
            <v>CLP HC VG 150 = -40° + 40°</v>
          </cell>
          <cell r="Y171" t="str">
            <v>KA67/TEDRE100LC4-TF</v>
          </cell>
          <cell r="Z171" t="str">
            <v>SEW</v>
          </cell>
          <cell r="AB171" t="str">
            <v>ATEX22</v>
          </cell>
          <cell r="AH171" t="str">
            <v>KA67T-B0-X</v>
          </cell>
        </row>
        <row r="172">
          <cell r="A172" t="str">
            <v>MR000168</v>
          </cell>
          <cell r="B172" t="str">
            <v>MR</v>
          </cell>
          <cell r="C172">
            <v>22</v>
          </cell>
          <cell r="D172">
            <v>15</v>
          </cell>
          <cell r="E172" t="str">
            <v>KH157</v>
          </cell>
          <cell r="F172">
            <v>14200</v>
          </cell>
          <cell r="G172">
            <v>100.22</v>
          </cell>
          <cell r="H172">
            <v>1.25</v>
          </cell>
          <cell r="I172" t="str">
            <v>From M4A to M1A - 25°</v>
          </cell>
          <cell r="J172" t="str">
            <v>IE3</v>
          </cell>
          <cell r="K172">
            <v>400</v>
          </cell>
          <cell r="L172">
            <v>50</v>
          </cell>
          <cell r="M172">
            <v>56</v>
          </cell>
          <cell r="N172">
            <v>55</v>
          </cell>
          <cell r="O172" t="str">
            <v>F</v>
          </cell>
          <cell r="P172" t="str">
            <v>180°</v>
          </cell>
          <cell r="Q172" t="str">
            <v>TF</v>
          </cell>
          <cell r="R172" t="str">
            <v>400V VE</v>
          </cell>
          <cell r="V172" t="str">
            <v>FC</v>
          </cell>
          <cell r="W172" t="str">
            <v>230V</v>
          </cell>
          <cell r="X172" t="str">
            <v>CLP HC VG 150 = -40° + 40°</v>
          </cell>
          <cell r="Y172" t="str">
            <v xml:space="preserve">KH157EDRE200L4-TF-VE   </v>
          </cell>
          <cell r="Z172" t="str">
            <v>SEW</v>
          </cell>
          <cell r="AB172" t="str">
            <v>ATEX22</v>
          </cell>
          <cell r="AH172" t="str">
            <v>KH157-A180-X#</v>
          </cell>
        </row>
        <row r="173">
          <cell r="A173" t="str">
            <v>MR000169</v>
          </cell>
          <cell r="B173" t="str">
            <v>MR</v>
          </cell>
          <cell r="C173">
            <v>22</v>
          </cell>
          <cell r="D173">
            <v>15</v>
          </cell>
          <cell r="E173" t="str">
            <v>KH157</v>
          </cell>
          <cell r="F173">
            <v>14200</v>
          </cell>
          <cell r="G173">
            <v>100.22</v>
          </cell>
          <cell r="H173">
            <v>1.25</v>
          </cell>
          <cell r="I173" t="str">
            <v>From M4B to M1B - 25°</v>
          </cell>
          <cell r="J173" t="str">
            <v>IE3</v>
          </cell>
          <cell r="K173">
            <v>400</v>
          </cell>
          <cell r="L173">
            <v>50</v>
          </cell>
          <cell r="M173">
            <v>56</v>
          </cell>
          <cell r="N173">
            <v>55</v>
          </cell>
          <cell r="O173" t="str">
            <v>F</v>
          </cell>
          <cell r="P173" t="str">
            <v>0°</v>
          </cell>
          <cell r="Q173" t="str">
            <v>TF</v>
          </cell>
          <cell r="R173" t="str">
            <v>400V VE</v>
          </cell>
          <cell r="V173" t="str">
            <v>FC</v>
          </cell>
          <cell r="W173" t="str">
            <v>230V</v>
          </cell>
          <cell r="X173" t="str">
            <v>CLP HC VG 150 = -40° + 40°</v>
          </cell>
          <cell r="Y173" t="str">
            <v xml:space="preserve">KH157EDRE200L4-TF-VE   </v>
          </cell>
          <cell r="Z173" t="str">
            <v>SEW</v>
          </cell>
          <cell r="AB173" t="str">
            <v>ATEX22</v>
          </cell>
          <cell r="AH173" t="str">
            <v>KH157-B0-X#</v>
          </cell>
        </row>
        <row r="174">
          <cell r="A174" t="str">
            <v>MR000170</v>
          </cell>
          <cell r="B174" t="str">
            <v>MR</v>
          </cell>
          <cell r="C174">
            <v>18.5</v>
          </cell>
          <cell r="D174">
            <v>12</v>
          </cell>
          <cell r="E174" t="str">
            <v>KH157</v>
          </cell>
          <cell r="F174">
            <v>14700</v>
          </cell>
          <cell r="G174">
            <v>122.39</v>
          </cell>
          <cell r="H174">
            <v>1.2</v>
          </cell>
          <cell r="I174" t="str">
            <v>From M4B to M1B - 15°</v>
          </cell>
          <cell r="J174" t="str">
            <v>IE3</v>
          </cell>
          <cell r="K174">
            <v>400</v>
          </cell>
          <cell r="L174">
            <v>50</v>
          </cell>
          <cell r="M174">
            <v>38.5</v>
          </cell>
          <cell r="N174">
            <v>55</v>
          </cell>
          <cell r="O174" t="str">
            <v>F</v>
          </cell>
          <cell r="P174" t="str">
            <v>0°</v>
          </cell>
          <cell r="Q174" t="str">
            <v>TF</v>
          </cell>
          <cell r="R174" t="str">
            <v>400V VE</v>
          </cell>
          <cell r="V174" t="str">
            <v>FC</v>
          </cell>
          <cell r="W174" t="str">
            <v>230V</v>
          </cell>
          <cell r="X174" t="str">
            <v>CLP HC VG 150 = -40° + 40°</v>
          </cell>
          <cell r="Y174" t="str">
            <v xml:space="preserve">KH157EDRE180L4-TF-VE   </v>
          </cell>
          <cell r="Z174" t="str">
            <v>SEW</v>
          </cell>
          <cell r="AB174" t="str">
            <v>ATEX22</v>
          </cell>
          <cell r="AH174" t="str">
            <v>KH157-B0-X#</v>
          </cell>
        </row>
        <row r="175">
          <cell r="A175" t="str">
            <v>MR000171</v>
          </cell>
          <cell r="B175" t="str">
            <v>MR</v>
          </cell>
          <cell r="C175">
            <v>18.5</v>
          </cell>
          <cell r="D175">
            <v>12</v>
          </cell>
          <cell r="E175" t="str">
            <v>KH157</v>
          </cell>
          <cell r="F175">
            <v>14700</v>
          </cell>
          <cell r="G175">
            <v>122.39</v>
          </cell>
          <cell r="H175">
            <v>1.2</v>
          </cell>
          <cell r="I175" t="str">
            <v>From M4A to M1A - 15°</v>
          </cell>
          <cell r="J175" t="str">
            <v>IE3</v>
          </cell>
          <cell r="K175">
            <v>400</v>
          </cell>
          <cell r="L175">
            <v>50</v>
          </cell>
          <cell r="M175">
            <v>38.5</v>
          </cell>
          <cell r="N175">
            <v>55</v>
          </cell>
          <cell r="O175" t="str">
            <v>F</v>
          </cell>
          <cell r="P175" t="str">
            <v>180°</v>
          </cell>
          <cell r="Q175" t="str">
            <v>TF</v>
          </cell>
          <cell r="R175" t="str">
            <v>400V VE</v>
          </cell>
          <cell r="V175" t="str">
            <v>FC</v>
          </cell>
          <cell r="W175" t="str">
            <v>230V</v>
          </cell>
          <cell r="X175" t="str">
            <v>CLP HC VG 150 = -40° + 40°</v>
          </cell>
          <cell r="Y175" t="str">
            <v xml:space="preserve">KH157EDRE180L4-TF-VE   </v>
          </cell>
          <cell r="Z175" t="str">
            <v>SEW</v>
          </cell>
          <cell r="AB175" t="str">
            <v>ATEX22</v>
          </cell>
          <cell r="AH175" t="str">
            <v>KH157-A180-X#</v>
          </cell>
        </row>
        <row r="176">
          <cell r="A176" t="str">
            <v>MR000172</v>
          </cell>
          <cell r="B176" t="str">
            <v>MR</v>
          </cell>
          <cell r="C176">
            <v>22</v>
          </cell>
          <cell r="D176">
            <v>15</v>
          </cell>
          <cell r="E176" t="str">
            <v>KH157</v>
          </cell>
          <cell r="F176">
            <v>14200</v>
          </cell>
          <cell r="G176">
            <v>100.22</v>
          </cell>
          <cell r="H176">
            <v>1.25</v>
          </cell>
          <cell r="I176" t="str">
            <v>From M4A to M1A - 15°</v>
          </cell>
          <cell r="J176" t="str">
            <v>IE3</v>
          </cell>
          <cell r="K176">
            <v>400</v>
          </cell>
          <cell r="L176">
            <v>50</v>
          </cell>
          <cell r="M176">
            <v>56</v>
          </cell>
          <cell r="N176">
            <v>55</v>
          </cell>
          <cell r="O176" t="str">
            <v>F</v>
          </cell>
          <cell r="P176" t="str">
            <v>180°</v>
          </cell>
          <cell r="Q176" t="str">
            <v>TF</v>
          </cell>
          <cell r="R176" t="str">
            <v>400V VE</v>
          </cell>
          <cell r="V176" t="str">
            <v>FC</v>
          </cell>
          <cell r="W176" t="str">
            <v>230V</v>
          </cell>
          <cell r="X176" t="str">
            <v>CLP HC VG 150 = -40° + 40°</v>
          </cell>
          <cell r="Y176" t="str">
            <v xml:space="preserve">KH157EDRE200L4-TF-VE   </v>
          </cell>
          <cell r="Z176" t="str">
            <v>SEW</v>
          </cell>
          <cell r="AB176" t="str">
            <v>ATEX22</v>
          </cell>
          <cell r="AH176" t="str">
            <v>KH157-A180-X#</v>
          </cell>
        </row>
        <row r="177">
          <cell r="A177" t="str">
            <v>MR000173</v>
          </cell>
          <cell r="B177" t="str">
            <v>MR</v>
          </cell>
          <cell r="C177">
            <v>22</v>
          </cell>
          <cell r="D177">
            <v>15</v>
          </cell>
          <cell r="E177" t="str">
            <v>KH157</v>
          </cell>
          <cell r="F177">
            <v>14200</v>
          </cell>
          <cell r="G177">
            <v>100.22</v>
          </cell>
          <cell r="H177">
            <v>1.25</v>
          </cell>
          <cell r="I177" t="str">
            <v>From M4B to M1B - 15°</v>
          </cell>
          <cell r="J177" t="str">
            <v>IE3</v>
          </cell>
          <cell r="K177">
            <v>400</v>
          </cell>
          <cell r="L177">
            <v>50</v>
          </cell>
          <cell r="M177">
            <v>56</v>
          </cell>
          <cell r="N177">
            <v>55</v>
          </cell>
          <cell r="O177" t="str">
            <v>F</v>
          </cell>
          <cell r="P177" t="str">
            <v>0°</v>
          </cell>
          <cell r="Q177" t="str">
            <v>TF</v>
          </cell>
          <cell r="R177" t="str">
            <v>400V VE</v>
          </cell>
          <cell r="V177" t="str">
            <v>FC</v>
          </cell>
          <cell r="W177" t="str">
            <v>230V</v>
          </cell>
          <cell r="X177" t="str">
            <v>CLP HC VG 150 = -40° + 40°</v>
          </cell>
          <cell r="Y177" t="str">
            <v xml:space="preserve">KH157EDRE200L4-TF-VE   </v>
          </cell>
          <cell r="Z177" t="str">
            <v>SEW</v>
          </cell>
          <cell r="AB177" t="str">
            <v>ATEX22</v>
          </cell>
          <cell r="AH177" t="str">
            <v>KH157-B0-X#</v>
          </cell>
        </row>
        <row r="178">
          <cell r="A178" t="str">
            <v>MR000174</v>
          </cell>
          <cell r="B178" t="str">
            <v>MR</v>
          </cell>
          <cell r="C178">
            <v>22</v>
          </cell>
          <cell r="D178">
            <v>15</v>
          </cell>
          <cell r="E178" t="str">
            <v>KH157</v>
          </cell>
          <cell r="F178">
            <v>14200</v>
          </cell>
          <cell r="G178">
            <v>100.22</v>
          </cell>
          <cell r="H178">
            <v>1.25</v>
          </cell>
          <cell r="I178" t="str">
            <v>From M4A to M1A - 5°</v>
          </cell>
          <cell r="J178" t="str">
            <v>IE3</v>
          </cell>
          <cell r="K178">
            <v>400</v>
          </cell>
          <cell r="L178">
            <v>50</v>
          </cell>
          <cell r="M178">
            <v>56</v>
          </cell>
          <cell r="N178">
            <v>55</v>
          </cell>
          <cell r="O178" t="str">
            <v>F</v>
          </cell>
          <cell r="P178" t="str">
            <v>180°</v>
          </cell>
          <cell r="Q178" t="str">
            <v>TF</v>
          </cell>
          <cell r="R178" t="str">
            <v>400V VE</v>
          </cell>
          <cell r="V178" t="str">
            <v>FC</v>
          </cell>
          <cell r="W178" t="str">
            <v>230V</v>
          </cell>
          <cell r="X178" t="str">
            <v>CLP HC VG 150 = -40° + 40°</v>
          </cell>
          <cell r="Y178" t="str">
            <v xml:space="preserve">KH157EDRE200L4-TF-VE   </v>
          </cell>
          <cell r="Z178" t="str">
            <v>SEW</v>
          </cell>
          <cell r="AB178" t="str">
            <v>ATEX22</v>
          </cell>
          <cell r="AH178" t="str">
            <v>KH157-A180-X#</v>
          </cell>
        </row>
        <row r="179">
          <cell r="A179" t="str">
            <v>MR000175</v>
          </cell>
          <cell r="B179" t="str">
            <v>MR</v>
          </cell>
          <cell r="C179">
            <v>22</v>
          </cell>
          <cell r="D179">
            <v>15</v>
          </cell>
          <cell r="E179" t="str">
            <v>KH157</v>
          </cell>
          <cell r="F179">
            <v>14200</v>
          </cell>
          <cell r="G179">
            <v>100.22</v>
          </cell>
          <cell r="H179">
            <v>1.25</v>
          </cell>
          <cell r="I179" t="str">
            <v>From M4B to M1B - 5°</v>
          </cell>
          <cell r="J179" t="str">
            <v>IE3</v>
          </cell>
          <cell r="K179">
            <v>400</v>
          </cell>
          <cell r="L179">
            <v>50</v>
          </cell>
          <cell r="M179">
            <v>56</v>
          </cell>
          <cell r="N179">
            <v>55</v>
          </cell>
          <cell r="O179" t="str">
            <v>F</v>
          </cell>
          <cell r="P179" t="str">
            <v>0°</v>
          </cell>
          <cell r="Q179" t="str">
            <v>TF</v>
          </cell>
          <cell r="R179" t="str">
            <v>400V VE</v>
          </cell>
          <cell r="V179" t="str">
            <v>FC</v>
          </cell>
          <cell r="W179" t="str">
            <v>230V</v>
          </cell>
          <cell r="X179" t="str">
            <v>CLP HC VG 150 = -40° + 40°</v>
          </cell>
          <cell r="Y179" t="str">
            <v xml:space="preserve">KH157EDRE200L4-TF-VE   </v>
          </cell>
          <cell r="Z179" t="str">
            <v>SEW</v>
          </cell>
          <cell r="AB179" t="str">
            <v>ATEX22</v>
          </cell>
          <cell r="AH179" t="str">
            <v>KH157-B0-X#</v>
          </cell>
        </row>
        <row r="180">
          <cell r="A180" t="str">
            <v>MR000176</v>
          </cell>
          <cell r="B180" t="str">
            <v>MR</v>
          </cell>
          <cell r="C180">
            <v>22</v>
          </cell>
          <cell r="D180">
            <v>15</v>
          </cell>
          <cell r="E180" t="str">
            <v>KH157</v>
          </cell>
          <cell r="F180">
            <v>14200</v>
          </cell>
          <cell r="G180">
            <v>100.22</v>
          </cell>
          <cell r="H180">
            <v>1.25</v>
          </cell>
          <cell r="I180" t="str">
            <v>From M4A to M1A - 30°</v>
          </cell>
          <cell r="J180" t="str">
            <v>IE3</v>
          </cell>
          <cell r="K180">
            <v>400</v>
          </cell>
          <cell r="L180">
            <v>50</v>
          </cell>
          <cell r="M180">
            <v>56</v>
          </cell>
          <cell r="N180">
            <v>55</v>
          </cell>
          <cell r="O180" t="str">
            <v>F</v>
          </cell>
          <cell r="P180" t="str">
            <v>180°</v>
          </cell>
          <cell r="Q180" t="str">
            <v>TF</v>
          </cell>
          <cell r="R180" t="str">
            <v>400V VE</v>
          </cell>
          <cell r="V180" t="str">
            <v>FC</v>
          </cell>
          <cell r="W180" t="str">
            <v>230V</v>
          </cell>
          <cell r="X180" t="str">
            <v>CLP HC VG 150 = -40° + 40°</v>
          </cell>
          <cell r="Y180" t="str">
            <v xml:space="preserve">KH157EDRE200L4-TF-VE   </v>
          </cell>
          <cell r="Z180" t="str">
            <v>SEW</v>
          </cell>
          <cell r="AB180" t="str">
            <v>ATEX22</v>
          </cell>
          <cell r="AH180" t="str">
            <v>KH157-A180-X#</v>
          </cell>
        </row>
        <row r="181">
          <cell r="A181" t="str">
            <v>MR000177</v>
          </cell>
          <cell r="B181" t="str">
            <v>MR</v>
          </cell>
          <cell r="C181">
            <v>22</v>
          </cell>
          <cell r="D181">
            <v>15</v>
          </cell>
          <cell r="E181" t="str">
            <v>KH157</v>
          </cell>
          <cell r="F181">
            <v>14200</v>
          </cell>
          <cell r="G181">
            <v>100.22</v>
          </cell>
          <cell r="H181">
            <v>1.25</v>
          </cell>
          <cell r="I181" t="str">
            <v>From M4B to M1B - 30°</v>
          </cell>
          <cell r="J181" t="str">
            <v>IE3</v>
          </cell>
          <cell r="K181">
            <v>400</v>
          </cell>
          <cell r="L181">
            <v>50</v>
          </cell>
          <cell r="M181">
            <v>56</v>
          </cell>
          <cell r="N181">
            <v>55</v>
          </cell>
          <cell r="O181" t="str">
            <v>F</v>
          </cell>
          <cell r="P181" t="str">
            <v>0°</v>
          </cell>
          <cell r="Q181" t="str">
            <v>TF</v>
          </cell>
          <cell r="R181" t="str">
            <v>400V VE</v>
          </cell>
          <cell r="V181" t="str">
            <v>FC</v>
          </cell>
          <cell r="W181" t="str">
            <v>230V</v>
          </cell>
          <cell r="X181" t="str">
            <v>CLP HC VG 150 = -40° + 40°</v>
          </cell>
          <cell r="Y181" t="str">
            <v xml:space="preserve">KH157EDRE200L4-TF-VE   </v>
          </cell>
          <cell r="Z181" t="str">
            <v>SEW</v>
          </cell>
          <cell r="AB181" t="str">
            <v>ATEX22</v>
          </cell>
          <cell r="AH181" t="str">
            <v>KH157-B0-X#</v>
          </cell>
        </row>
        <row r="182">
          <cell r="A182" t="str">
            <v>MR000178</v>
          </cell>
          <cell r="B182" t="str">
            <v>MR</v>
          </cell>
          <cell r="C182">
            <v>22</v>
          </cell>
          <cell r="D182">
            <v>15</v>
          </cell>
          <cell r="E182" t="str">
            <v>KH157</v>
          </cell>
          <cell r="F182">
            <v>14200</v>
          </cell>
          <cell r="G182">
            <v>100.22</v>
          </cell>
          <cell r="H182">
            <v>1.25</v>
          </cell>
          <cell r="I182" t="str">
            <v>M4A</v>
          </cell>
          <cell r="J182" t="str">
            <v>IE3</v>
          </cell>
          <cell r="K182">
            <v>400</v>
          </cell>
          <cell r="L182">
            <v>50</v>
          </cell>
          <cell r="M182">
            <v>56</v>
          </cell>
          <cell r="N182">
            <v>55</v>
          </cell>
          <cell r="O182" t="str">
            <v>F</v>
          </cell>
          <cell r="P182" t="str">
            <v>180°</v>
          </cell>
          <cell r="Q182" t="str">
            <v>TF</v>
          </cell>
          <cell r="R182" t="str">
            <v>400V VE</v>
          </cell>
          <cell r="V182" t="str">
            <v>FC</v>
          </cell>
          <cell r="W182" t="str">
            <v>230V</v>
          </cell>
          <cell r="X182" t="str">
            <v>CLP HC VG 150 = -40° + 40°</v>
          </cell>
          <cell r="Y182" t="str">
            <v xml:space="preserve">KH157EDRE200L4-TF-VE   </v>
          </cell>
          <cell r="Z182" t="str">
            <v>SEW</v>
          </cell>
          <cell r="AB182" t="str">
            <v>ATEX22</v>
          </cell>
          <cell r="AH182" t="str">
            <v>KH157-A180-X#</v>
          </cell>
        </row>
        <row r="183">
          <cell r="A183" t="str">
            <v>MR000179</v>
          </cell>
          <cell r="B183" t="str">
            <v>MR</v>
          </cell>
          <cell r="C183">
            <v>1.5</v>
          </cell>
          <cell r="D183">
            <v>11</v>
          </cell>
          <cell r="E183" t="str">
            <v>FA77</v>
          </cell>
          <cell r="F183">
            <v>1300</v>
          </cell>
          <cell r="G183">
            <v>130.41999999999999</v>
          </cell>
          <cell r="H183">
            <v>1.1499999999999999</v>
          </cell>
          <cell r="I183" t="str">
            <v>M5</v>
          </cell>
          <cell r="J183" t="str">
            <v>IE3</v>
          </cell>
          <cell r="K183">
            <v>400</v>
          </cell>
          <cell r="L183">
            <v>50</v>
          </cell>
          <cell r="N183">
            <v>55</v>
          </cell>
          <cell r="O183" t="str">
            <v>F</v>
          </cell>
          <cell r="P183" t="str">
            <v>270°</v>
          </cell>
          <cell r="Q183" t="str">
            <v>TF</v>
          </cell>
          <cell r="R183" t="str">
            <v>-</v>
          </cell>
          <cell r="T183" t="str">
            <v>BE</v>
          </cell>
          <cell r="V183" t="str">
            <v>D+R</v>
          </cell>
          <cell r="W183" t="str">
            <v>230V</v>
          </cell>
          <cell r="X183" t="str">
            <v>CLP HC VG 150 = -40° + 40°</v>
          </cell>
          <cell r="Y183" t="str">
            <v>FA77/GEDRE90L4-BE</v>
          </cell>
          <cell r="Z183" t="str">
            <v>SEW</v>
          </cell>
          <cell r="AB183" t="str">
            <v>ATEX22</v>
          </cell>
          <cell r="AE183" t="str">
            <v>Provide rectifier module in the electrical cabinet</v>
          </cell>
          <cell r="AH183" t="str">
            <v>FA77-270-X</v>
          </cell>
        </row>
        <row r="184">
          <cell r="A184" t="str">
            <v>MR000180</v>
          </cell>
          <cell r="B184" t="str">
            <v>MR</v>
          </cell>
          <cell r="C184">
            <v>1.5</v>
          </cell>
          <cell r="D184">
            <v>11</v>
          </cell>
          <cell r="E184" t="str">
            <v>FA77</v>
          </cell>
          <cell r="F184">
            <v>1300</v>
          </cell>
          <cell r="G184">
            <v>130.41999999999999</v>
          </cell>
          <cell r="H184">
            <v>1.1499999999999999</v>
          </cell>
          <cell r="I184" t="str">
            <v>M6</v>
          </cell>
          <cell r="J184" t="str">
            <v>IE3</v>
          </cell>
          <cell r="K184">
            <v>400</v>
          </cell>
          <cell r="L184">
            <v>50</v>
          </cell>
          <cell r="N184">
            <v>55</v>
          </cell>
          <cell r="O184" t="str">
            <v>F</v>
          </cell>
          <cell r="P184" t="str">
            <v>270°</v>
          </cell>
          <cell r="Q184" t="str">
            <v>TF</v>
          </cell>
          <cell r="R184" t="str">
            <v>-</v>
          </cell>
          <cell r="T184" t="str">
            <v>BE</v>
          </cell>
          <cell r="V184" t="str">
            <v>D+R</v>
          </cell>
          <cell r="W184" t="str">
            <v>230V</v>
          </cell>
          <cell r="X184" t="str">
            <v>CLP HC VG 150 = -40° + 40°</v>
          </cell>
          <cell r="Y184" t="str">
            <v>FA77/GEDRE90L4-BE</v>
          </cell>
          <cell r="Z184" t="str">
            <v>SEW</v>
          </cell>
          <cell r="AB184" t="str">
            <v>ATEX22</v>
          </cell>
          <cell r="AE184" t="str">
            <v>Provide rectifier module in the electrical cabinet</v>
          </cell>
          <cell r="AH184" t="str">
            <v>FA77-270-X</v>
          </cell>
        </row>
        <row r="185">
          <cell r="A185" t="str">
            <v>MR000181</v>
          </cell>
          <cell r="B185" t="str">
            <v>MR</v>
          </cell>
          <cell r="C185">
            <v>1.5</v>
          </cell>
          <cell r="D185">
            <v>11</v>
          </cell>
          <cell r="E185" t="str">
            <v>KA77</v>
          </cell>
          <cell r="F185">
            <v>1350</v>
          </cell>
          <cell r="G185">
            <v>135.28</v>
          </cell>
          <cell r="H185">
            <v>1.1499999999999999</v>
          </cell>
          <cell r="I185" t="str">
            <v>M1 A+B (albero passante)</v>
          </cell>
          <cell r="J185" t="str">
            <v>IE3</v>
          </cell>
          <cell r="K185">
            <v>400</v>
          </cell>
          <cell r="L185">
            <v>50</v>
          </cell>
          <cell r="N185">
            <v>55</v>
          </cell>
          <cell r="O185" t="str">
            <v>F</v>
          </cell>
          <cell r="P185" t="str">
            <v>270°</v>
          </cell>
          <cell r="Q185" t="str">
            <v>TF</v>
          </cell>
          <cell r="R185" t="str">
            <v>-</v>
          </cell>
          <cell r="V185" t="str">
            <v>D+R</v>
          </cell>
          <cell r="W185" t="str">
            <v>230V</v>
          </cell>
          <cell r="X185" t="str">
            <v>CLP HC VG 150 = -40° + 40°</v>
          </cell>
          <cell r="Y185" t="str">
            <v>KA77EDRE90L4-TF</v>
          </cell>
          <cell r="Z185" t="str">
            <v>SEW</v>
          </cell>
          <cell r="AB185" t="str">
            <v>ATEX22</v>
          </cell>
          <cell r="AH185" t="str">
            <v>KA77-B270-X</v>
          </cell>
        </row>
        <row r="186">
          <cell r="A186" t="str">
            <v>MR000182</v>
          </cell>
          <cell r="B186" t="str">
            <v>MR</v>
          </cell>
          <cell r="C186">
            <v>7.5</v>
          </cell>
          <cell r="D186">
            <v>77</v>
          </cell>
          <cell r="E186" t="str">
            <v>R87</v>
          </cell>
          <cell r="F186">
            <v>930</v>
          </cell>
          <cell r="G186">
            <v>19.100000000000001</v>
          </cell>
          <cell r="H186">
            <v>1.25</v>
          </cell>
          <cell r="I186" t="str">
            <v>From M1 to M2 - 10°</v>
          </cell>
          <cell r="J186" t="str">
            <v>IE3</v>
          </cell>
          <cell r="K186">
            <v>400</v>
          </cell>
          <cell r="L186">
            <v>50</v>
          </cell>
          <cell r="N186">
            <v>55</v>
          </cell>
          <cell r="O186" t="str">
            <v>F</v>
          </cell>
          <cell r="P186" t="str">
            <v>270°</v>
          </cell>
          <cell r="Q186" t="str">
            <v>TF</v>
          </cell>
          <cell r="R186" t="str">
            <v>-</v>
          </cell>
          <cell r="V186" t="str">
            <v>D</v>
          </cell>
          <cell r="W186" t="str">
            <v>230V</v>
          </cell>
          <cell r="X186" t="str">
            <v>CLP HC VG 150 = -40° + 40°</v>
          </cell>
          <cell r="Y186" t="str">
            <v>R87EDRE160S4-TF</v>
          </cell>
          <cell r="Z186" t="str">
            <v>SEW</v>
          </cell>
          <cell r="AB186" t="str">
            <v>ATEX22</v>
          </cell>
          <cell r="AH186" t="str">
            <v>R87-270-X</v>
          </cell>
        </row>
        <row r="187">
          <cell r="A187" t="str">
            <v>MR000183</v>
          </cell>
          <cell r="B187" t="str">
            <v>MR</v>
          </cell>
          <cell r="C187">
            <v>22</v>
          </cell>
          <cell r="D187">
            <v>95</v>
          </cell>
          <cell r="E187" t="str">
            <v>R107</v>
          </cell>
          <cell r="F187">
            <v>2220</v>
          </cell>
          <cell r="G187">
            <v>15.65</v>
          </cell>
          <cell r="H187">
            <v>1.95</v>
          </cell>
          <cell r="I187" t="str">
            <v>M4</v>
          </cell>
          <cell r="J187" t="str">
            <v>IE3</v>
          </cell>
          <cell r="K187">
            <v>400</v>
          </cell>
          <cell r="L187">
            <v>50</v>
          </cell>
          <cell r="M187">
            <v>56</v>
          </cell>
          <cell r="N187">
            <v>55</v>
          </cell>
          <cell r="O187" t="str">
            <v>F</v>
          </cell>
          <cell r="P187" t="str">
            <v>270°</v>
          </cell>
          <cell r="Q187" t="str">
            <v>TF</v>
          </cell>
          <cell r="R187" t="str">
            <v>-</v>
          </cell>
          <cell r="V187" t="str">
            <v>D</v>
          </cell>
          <cell r="W187" t="str">
            <v>230V</v>
          </cell>
          <cell r="X187" t="str">
            <v>CLP HC VG 150 = -40° + 40°</v>
          </cell>
          <cell r="Y187" t="str">
            <v>R107EDRE200L4-TF</v>
          </cell>
          <cell r="Z187" t="str">
            <v>SEW</v>
          </cell>
          <cell r="AB187" t="str">
            <v>ATEX22</v>
          </cell>
          <cell r="AH187" t="str">
            <v>R107-270-X</v>
          </cell>
        </row>
        <row r="188">
          <cell r="A188" t="str">
            <v>MR000184</v>
          </cell>
          <cell r="B188" t="str">
            <v>MR</v>
          </cell>
          <cell r="C188">
            <v>15</v>
          </cell>
          <cell r="D188">
            <v>13</v>
          </cell>
          <cell r="E188" t="str">
            <v>KH127</v>
          </cell>
          <cell r="F188">
            <v>10700</v>
          </cell>
          <cell r="G188">
            <v>110.18</v>
          </cell>
          <cell r="H188">
            <v>1.2</v>
          </cell>
          <cell r="I188" t="str">
            <v>M4A</v>
          </cell>
          <cell r="J188" t="str">
            <v>IE3</v>
          </cell>
          <cell r="K188">
            <v>400</v>
          </cell>
          <cell r="L188">
            <v>50</v>
          </cell>
          <cell r="M188">
            <v>33.5</v>
          </cell>
          <cell r="N188">
            <v>55</v>
          </cell>
          <cell r="O188" t="str">
            <v>F</v>
          </cell>
          <cell r="P188" t="str">
            <v>180°</v>
          </cell>
          <cell r="Q188" t="str">
            <v>TF</v>
          </cell>
          <cell r="R188" t="str">
            <v>400V VE</v>
          </cell>
          <cell r="V188" t="str">
            <v>FC</v>
          </cell>
          <cell r="W188" t="str">
            <v>230V</v>
          </cell>
          <cell r="X188" t="str">
            <v>CLP HC VG 150 = -40° + 40°</v>
          </cell>
          <cell r="Y188" t="str">
            <v xml:space="preserve">KH127EDRE180M4-TF-VE   </v>
          </cell>
          <cell r="Z188" t="str">
            <v>SEW</v>
          </cell>
          <cell r="AB188" t="str">
            <v>ATEX22</v>
          </cell>
          <cell r="AH188" t="str">
            <v>KH127-A180-X#</v>
          </cell>
        </row>
        <row r="189">
          <cell r="A189" t="str">
            <v>MR000185</v>
          </cell>
          <cell r="B189" t="str">
            <v>MR</v>
          </cell>
          <cell r="C189">
            <v>15</v>
          </cell>
          <cell r="D189">
            <v>13</v>
          </cell>
          <cell r="E189" t="str">
            <v>KH127</v>
          </cell>
          <cell r="F189">
            <v>10700</v>
          </cell>
          <cell r="G189">
            <v>110.18</v>
          </cell>
          <cell r="H189">
            <v>1.2</v>
          </cell>
          <cell r="I189" t="str">
            <v>M4B</v>
          </cell>
          <cell r="J189" t="str">
            <v>IE3</v>
          </cell>
          <cell r="K189">
            <v>400</v>
          </cell>
          <cell r="L189">
            <v>50</v>
          </cell>
          <cell r="M189">
            <v>33.5</v>
          </cell>
          <cell r="N189">
            <v>55</v>
          </cell>
          <cell r="O189" t="str">
            <v>F</v>
          </cell>
          <cell r="P189" t="str">
            <v>0°</v>
          </cell>
          <cell r="Q189" t="str">
            <v>TF</v>
          </cell>
          <cell r="R189" t="str">
            <v>400V VE</v>
          </cell>
          <cell r="V189" t="str">
            <v>FC</v>
          </cell>
          <cell r="W189" t="str">
            <v>230V</v>
          </cell>
          <cell r="X189" t="str">
            <v>CLP HC VG 150 = -40° + 40°</v>
          </cell>
          <cell r="Y189" t="str">
            <v xml:space="preserve">KH127EDRE180M4-TF-VE   </v>
          </cell>
          <cell r="Z189" t="str">
            <v>SEW</v>
          </cell>
          <cell r="AB189" t="str">
            <v>ATEX22</v>
          </cell>
          <cell r="AH189" t="str">
            <v>KH127-B0-X#</v>
          </cell>
        </row>
        <row r="190">
          <cell r="A190" t="str">
            <v>MR000186</v>
          </cell>
          <cell r="B190" t="str">
            <v>MR</v>
          </cell>
          <cell r="C190">
            <v>22</v>
          </cell>
          <cell r="D190">
            <v>15</v>
          </cell>
          <cell r="E190" t="str">
            <v>KH157</v>
          </cell>
          <cell r="F190">
            <v>14200</v>
          </cell>
          <cell r="G190">
            <v>100.22</v>
          </cell>
          <cell r="H190">
            <v>1.25</v>
          </cell>
          <cell r="I190" t="str">
            <v>From M4A to M1A - 35°</v>
          </cell>
          <cell r="J190" t="str">
            <v>IE3</v>
          </cell>
          <cell r="K190">
            <v>400</v>
          </cell>
          <cell r="L190">
            <v>50</v>
          </cell>
          <cell r="M190">
            <v>56</v>
          </cell>
          <cell r="N190">
            <v>55</v>
          </cell>
          <cell r="O190" t="str">
            <v>F</v>
          </cell>
          <cell r="P190" t="str">
            <v>180°</v>
          </cell>
          <cell r="Q190" t="str">
            <v>TF</v>
          </cell>
          <cell r="R190" t="str">
            <v>400V VE</v>
          </cell>
          <cell r="V190" t="str">
            <v>FC</v>
          </cell>
          <cell r="W190" t="str">
            <v>230V</v>
          </cell>
          <cell r="X190" t="str">
            <v>CLP HC VG 150 = -40° + 40°</v>
          </cell>
          <cell r="Y190" t="str">
            <v xml:space="preserve">KH157EDRE200L4-TF-VE   </v>
          </cell>
          <cell r="Z190" t="str">
            <v>SEW</v>
          </cell>
          <cell r="AB190" t="str">
            <v>ATEX22</v>
          </cell>
          <cell r="AH190" t="str">
            <v>KH157-A180-X#</v>
          </cell>
        </row>
        <row r="191">
          <cell r="A191" t="str">
            <v>MR000187</v>
          </cell>
          <cell r="B191" t="str">
            <v>MR</v>
          </cell>
          <cell r="C191">
            <v>22</v>
          </cell>
          <cell r="D191">
            <v>15</v>
          </cell>
          <cell r="E191" t="str">
            <v>KH157</v>
          </cell>
          <cell r="F191">
            <v>14200</v>
          </cell>
          <cell r="G191">
            <v>100.22</v>
          </cell>
          <cell r="H191">
            <v>1.25</v>
          </cell>
          <cell r="I191" t="str">
            <v>From M4B to M1B - 35°</v>
          </cell>
          <cell r="J191" t="str">
            <v>IE3</v>
          </cell>
          <cell r="K191">
            <v>400</v>
          </cell>
          <cell r="L191">
            <v>50</v>
          </cell>
          <cell r="M191">
            <v>56</v>
          </cell>
          <cell r="N191">
            <v>55</v>
          </cell>
          <cell r="O191" t="str">
            <v>F</v>
          </cell>
          <cell r="P191" t="str">
            <v>0°</v>
          </cell>
          <cell r="Q191" t="str">
            <v>TF</v>
          </cell>
          <cell r="R191" t="str">
            <v>400V VE</v>
          </cell>
          <cell r="V191" t="str">
            <v>FC</v>
          </cell>
          <cell r="W191" t="str">
            <v>230V</v>
          </cell>
          <cell r="X191" t="str">
            <v>CLP HC VG 150 = -40° + 40°</v>
          </cell>
          <cell r="Y191" t="str">
            <v xml:space="preserve">KH157EDRE200L4-TF-VE   </v>
          </cell>
          <cell r="Z191" t="str">
            <v>SEW</v>
          </cell>
          <cell r="AB191" t="str">
            <v>ATEX22</v>
          </cell>
          <cell r="AH191" t="str">
            <v>KH157-B0-X#</v>
          </cell>
        </row>
        <row r="192">
          <cell r="A192" t="str">
            <v>MR000188</v>
          </cell>
          <cell r="B192" t="str">
            <v>MR</v>
          </cell>
          <cell r="C192">
            <v>7.5</v>
          </cell>
          <cell r="D192">
            <v>73</v>
          </cell>
          <cell r="E192" t="str">
            <v>R97</v>
          </cell>
          <cell r="F192">
            <v>980</v>
          </cell>
          <cell r="G192">
            <v>20.14</v>
          </cell>
          <cell r="H192">
            <v>2.1</v>
          </cell>
          <cell r="I192" t="str">
            <v>M1</v>
          </cell>
          <cell r="J192" t="str">
            <v>IE2</v>
          </cell>
          <cell r="K192">
            <v>400</v>
          </cell>
          <cell r="L192">
            <v>50</v>
          </cell>
          <cell r="N192">
            <v>55</v>
          </cell>
          <cell r="O192" t="str">
            <v>F</v>
          </cell>
          <cell r="P192" t="str">
            <v>270°</v>
          </cell>
          <cell r="R192" t="str">
            <v>-</v>
          </cell>
          <cell r="V192" t="str">
            <v>D</v>
          </cell>
          <cell r="X192" t="str">
            <v>CLP (CC) VG 220 = -15° + 40°</v>
          </cell>
          <cell r="Y192" t="str">
            <v>R97EDRE160S4</v>
          </cell>
          <cell r="Z192" t="str">
            <v>SEW</v>
          </cell>
          <cell r="AB192" t="str">
            <v>ATEX22</v>
          </cell>
          <cell r="AH192" t="str">
            <v>R97-270-X</v>
          </cell>
        </row>
        <row r="193">
          <cell r="A193" t="str">
            <v>MR000189</v>
          </cell>
          <cell r="B193" t="str">
            <v>MR</v>
          </cell>
          <cell r="C193">
            <v>5.5</v>
          </cell>
          <cell r="D193">
            <v>53</v>
          </cell>
          <cell r="E193" t="str">
            <v>R97</v>
          </cell>
          <cell r="F193">
            <v>990</v>
          </cell>
          <cell r="G193">
            <v>27.58</v>
          </cell>
          <cell r="H193">
            <v>2.4</v>
          </cell>
          <cell r="I193" t="str">
            <v>M1</v>
          </cell>
          <cell r="J193" t="str">
            <v>IE3</v>
          </cell>
          <cell r="K193">
            <v>400</v>
          </cell>
          <cell r="L193">
            <v>50</v>
          </cell>
          <cell r="N193">
            <v>55</v>
          </cell>
          <cell r="O193" t="str">
            <v>F</v>
          </cell>
          <cell r="P193" t="str">
            <v>270°</v>
          </cell>
          <cell r="Q193" t="str">
            <v>TF</v>
          </cell>
          <cell r="R193" t="str">
            <v>400V VE</v>
          </cell>
          <cell r="V193" t="str">
            <v>FC</v>
          </cell>
          <cell r="X193" t="str">
            <v>CLP (CC) VG 220 = -15° + 40°</v>
          </cell>
          <cell r="Y193" t="str">
            <v>R97EDER132M4-TF-VE</v>
          </cell>
          <cell r="Z193" t="str">
            <v>SEW</v>
          </cell>
          <cell r="AB193" t="str">
            <v>ATEX22</v>
          </cell>
          <cell r="AH193" t="str">
            <v>R97-270-X#</v>
          </cell>
        </row>
        <row r="194">
          <cell r="A194" t="str">
            <v>MR000190</v>
          </cell>
          <cell r="B194" t="str">
            <v>MR</v>
          </cell>
          <cell r="C194">
            <v>5.5</v>
          </cell>
          <cell r="D194">
            <v>95</v>
          </cell>
          <cell r="E194" t="str">
            <v>R87</v>
          </cell>
          <cell r="F194">
            <v>550</v>
          </cell>
          <cell r="G194">
            <v>15.35</v>
          </cell>
          <cell r="H194">
            <v>2</v>
          </cell>
          <cell r="I194" t="str">
            <v>M1</v>
          </cell>
          <cell r="J194" t="str">
            <v>IE3</v>
          </cell>
          <cell r="K194">
            <v>400</v>
          </cell>
          <cell r="L194">
            <v>50</v>
          </cell>
          <cell r="N194">
            <v>55</v>
          </cell>
          <cell r="O194" t="str">
            <v>F</v>
          </cell>
          <cell r="P194" t="str">
            <v>270°</v>
          </cell>
          <cell r="R194" t="str">
            <v>-</v>
          </cell>
          <cell r="V194" t="str">
            <v>D</v>
          </cell>
          <cell r="X194" t="str">
            <v>CLP (CC) VG 220 = -15° + 40°</v>
          </cell>
          <cell r="Y194" t="str">
            <v>R87EDRE132M4</v>
          </cell>
          <cell r="Z194" t="str">
            <v>SEW</v>
          </cell>
          <cell r="AB194" t="str">
            <v>ATEX22</v>
          </cell>
          <cell r="AH194" t="str">
            <v>R87-270-X</v>
          </cell>
        </row>
        <row r="195">
          <cell r="A195" t="str">
            <v>MR000191</v>
          </cell>
          <cell r="B195" t="str">
            <v>MR</v>
          </cell>
          <cell r="C195">
            <v>18.5</v>
          </cell>
          <cell r="D195">
            <v>108</v>
          </cell>
          <cell r="E195" t="str">
            <v>R107</v>
          </cell>
          <cell r="F195">
            <v>1640</v>
          </cell>
          <cell r="G195">
            <v>13.66</v>
          </cell>
          <cell r="H195">
            <v>2.6</v>
          </cell>
          <cell r="I195" t="str">
            <v>M4</v>
          </cell>
          <cell r="J195" t="str">
            <v>IE3</v>
          </cell>
          <cell r="K195">
            <v>400</v>
          </cell>
          <cell r="L195">
            <v>50</v>
          </cell>
          <cell r="M195">
            <v>38.5</v>
          </cell>
          <cell r="N195">
            <v>55</v>
          </cell>
          <cell r="O195" t="str">
            <v>F</v>
          </cell>
          <cell r="P195" t="str">
            <v>270°</v>
          </cell>
          <cell r="R195" t="str">
            <v>-</v>
          </cell>
          <cell r="V195" t="str">
            <v>D</v>
          </cell>
          <cell r="X195" t="str">
            <v>CLP (CC) VG 220 = -15° + 40°</v>
          </cell>
          <cell r="Y195" t="str">
            <v>R107EDRE180L4</v>
          </cell>
          <cell r="Z195" t="str">
            <v>SEW</v>
          </cell>
          <cell r="AB195" t="str">
            <v>ATEX22</v>
          </cell>
          <cell r="AH195" t="str">
            <v>R107-270-X</v>
          </cell>
        </row>
        <row r="196">
          <cell r="A196" t="str">
            <v>MR000192</v>
          </cell>
          <cell r="B196" t="str">
            <v>MR</v>
          </cell>
          <cell r="C196">
            <v>0.55000000000000004</v>
          </cell>
          <cell r="D196">
            <v>8.1999999999999993</v>
          </cell>
          <cell r="E196" t="str">
            <v>R77</v>
          </cell>
          <cell r="F196">
            <v>640</v>
          </cell>
          <cell r="G196">
            <v>166.59</v>
          </cell>
          <cell r="H196">
            <v>1.25</v>
          </cell>
          <cell r="I196" t="str">
            <v>M1</v>
          </cell>
          <cell r="J196" t="str">
            <v>IE3</v>
          </cell>
          <cell r="K196">
            <v>400</v>
          </cell>
          <cell r="L196">
            <v>50</v>
          </cell>
          <cell r="N196">
            <v>55</v>
          </cell>
          <cell r="O196" t="str">
            <v>F</v>
          </cell>
          <cell r="P196" t="str">
            <v>270°</v>
          </cell>
          <cell r="R196" t="str">
            <v>-</v>
          </cell>
          <cell r="V196" t="str">
            <v>D</v>
          </cell>
          <cell r="X196" t="str">
            <v>CLP HC VG 150 = -40° + 40°</v>
          </cell>
          <cell r="Y196" t="str">
            <v>R77DRS71M4</v>
          </cell>
          <cell r="Z196" t="str">
            <v>SEW</v>
          </cell>
          <cell r="AH196" t="str">
            <v>R77-270-X</v>
          </cell>
        </row>
        <row r="197">
          <cell r="A197" t="str">
            <v>MR000193</v>
          </cell>
          <cell r="B197" t="str">
            <v>MR</v>
          </cell>
          <cell r="C197">
            <v>1.5</v>
          </cell>
          <cell r="D197">
            <v>12</v>
          </cell>
          <cell r="E197" t="str">
            <v>R87</v>
          </cell>
          <cell r="F197">
            <v>1220</v>
          </cell>
          <cell r="G197">
            <v>124.97</v>
          </cell>
          <cell r="H197">
            <v>1.25</v>
          </cell>
          <cell r="I197" t="str">
            <v>From M1 to M4 - 35°</v>
          </cell>
          <cell r="J197" t="str">
            <v>IE3</v>
          </cell>
          <cell r="K197">
            <v>400</v>
          </cell>
          <cell r="L197">
            <v>50</v>
          </cell>
          <cell r="N197">
            <v>55</v>
          </cell>
          <cell r="O197" t="str">
            <v>F</v>
          </cell>
          <cell r="P197" t="str">
            <v>270°</v>
          </cell>
          <cell r="R197" t="str">
            <v>-</v>
          </cell>
          <cell r="V197" t="str">
            <v>D</v>
          </cell>
          <cell r="X197" t="str">
            <v>CLP HC VG 150 = -40° + 40°</v>
          </cell>
          <cell r="Y197" t="str">
            <v>R87DRN90L4</v>
          </cell>
          <cell r="Z197" t="str">
            <v>SEW</v>
          </cell>
          <cell r="AH197" t="str">
            <v>R87-270-X</v>
          </cell>
        </row>
        <row r="198">
          <cell r="A198" t="str">
            <v>MR000194</v>
          </cell>
          <cell r="B198" t="str">
            <v>MR</v>
          </cell>
          <cell r="C198">
            <v>0.75</v>
          </cell>
          <cell r="D198">
            <v>6.4</v>
          </cell>
          <cell r="E198" t="str">
            <v>FA77</v>
          </cell>
          <cell r="F198">
            <v>1120</v>
          </cell>
          <cell r="G198">
            <v>225.79</v>
          </cell>
          <cell r="H198">
            <v>1.35</v>
          </cell>
          <cell r="I198" t="str">
            <v>M1</v>
          </cell>
          <cell r="J198" t="str">
            <v>IE3</v>
          </cell>
          <cell r="K198">
            <v>400</v>
          </cell>
          <cell r="L198">
            <v>50</v>
          </cell>
          <cell r="M198">
            <v>1.75</v>
          </cell>
          <cell r="N198">
            <v>55</v>
          </cell>
          <cell r="O198" t="str">
            <v>F</v>
          </cell>
          <cell r="P198" t="str">
            <v>0°</v>
          </cell>
          <cell r="R198" t="str">
            <v>-</v>
          </cell>
          <cell r="V198" t="str">
            <v>D</v>
          </cell>
          <cell r="X198" t="str">
            <v>CLP HC VG 150 = -40° + 40°</v>
          </cell>
          <cell r="Y198" t="str">
            <v>FA77/GDRN80M4</v>
          </cell>
          <cell r="Z198" t="str">
            <v>SEW</v>
          </cell>
          <cell r="AH198" t="str">
            <v>FA77-0-X</v>
          </cell>
        </row>
        <row r="199">
          <cell r="A199" t="str">
            <v>MR000195</v>
          </cell>
          <cell r="B199" t="str">
            <v>MR</v>
          </cell>
          <cell r="C199">
            <v>2.2000000000000002</v>
          </cell>
          <cell r="D199">
            <v>1.4</v>
          </cell>
          <cell r="E199" t="str">
            <v>KH127R77</v>
          </cell>
          <cell r="F199">
            <v>13600</v>
          </cell>
          <cell r="G199">
            <v>1025</v>
          </cell>
          <cell r="H199">
            <v>0.95</v>
          </cell>
          <cell r="I199" t="str">
            <v>From M1 to M4 - 60°</v>
          </cell>
          <cell r="J199" t="str">
            <v>IE3</v>
          </cell>
          <cell r="K199">
            <v>400</v>
          </cell>
          <cell r="L199">
            <v>50</v>
          </cell>
          <cell r="N199">
            <v>55</v>
          </cell>
          <cell r="O199" t="str">
            <v>F</v>
          </cell>
          <cell r="P199" t="str">
            <v>270°</v>
          </cell>
          <cell r="R199" t="str">
            <v>-</v>
          </cell>
          <cell r="U199" t="str">
            <v>T</v>
          </cell>
          <cell r="V199" t="str">
            <v>D</v>
          </cell>
          <cell r="X199" t="str">
            <v>CLP (CC) VG 220 = -15° + 40°</v>
          </cell>
          <cell r="Y199" t="str">
            <v>KH127R77/TDRN100LS4</v>
          </cell>
          <cell r="Z199" t="str">
            <v>SEW</v>
          </cell>
          <cell r="AH199" t="str">
            <v>KH127R77T-270-X</v>
          </cell>
        </row>
        <row r="200">
          <cell r="A200" t="str">
            <v>MR000196</v>
          </cell>
          <cell r="B200" t="str">
            <v>MR</v>
          </cell>
          <cell r="C200">
            <v>1.1000000000000001</v>
          </cell>
          <cell r="D200">
            <v>6</v>
          </cell>
          <cell r="E200" t="str">
            <v>R97</v>
          </cell>
          <cell r="F200">
            <v>1740</v>
          </cell>
          <cell r="G200">
            <v>241.25</v>
          </cell>
          <cell r="H200">
            <v>1.7</v>
          </cell>
          <cell r="I200" t="str">
            <v>M1</v>
          </cell>
          <cell r="J200" t="str">
            <v>IE3</v>
          </cell>
          <cell r="K200">
            <v>400</v>
          </cell>
          <cell r="L200">
            <v>50</v>
          </cell>
          <cell r="N200">
            <v>55</v>
          </cell>
          <cell r="O200" t="str">
            <v>F</v>
          </cell>
          <cell r="P200" t="str">
            <v>270°</v>
          </cell>
          <cell r="R200" t="str">
            <v>-</v>
          </cell>
          <cell r="V200" t="str">
            <v>D</v>
          </cell>
          <cell r="X200" t="str">
            <v>CLP (CC) VG 220 = -15° + 40°</v>
          </cell>
          <cell r="Y200" t="str">
            <v>R97DRN90S4</v>
          </cell>
          <cell r="Z200" t="str">
            <v>SEW</v>
          </cell>
          <cell r="AH200" t="str">
            <v>R97-270-X</v>
          </cell>
        </row>
        <row r="201">
          <cell r="A201" t="str">
            <v>MR000197</v>
          </cell>
          <cell r="B201" t="str">
            <v>MR</v>
          </cell>
          <cell r="C201">
            <v>2.2000000000000002</v>
          </cell>
          <cell r="D201">
            <v>11</v>
          </cell>
          <cell r="E201" t="str">
            <v>FA87</v>
          </cell>
          <cell r="F201">
            <v>1940</v>
          </cell>
          <cell r="G201">
            <v>134.16</v>
          </cell>
          <cell r="H201">
            <v>1.55</v>
          </cell>
          <cell r="I201" t="str">
            <v>From M1 to M4 - 10°</v>
          </cell>
          <cell r="J201" t="str">
            <v>IE3</v>
          </cell>
          <cell r="K201">
            <v>400</v>
          </cell>
          <cell r="L201">
            <v>50</v>
          </cell>
          <cell r="N201">
            <v>55</v>
          </cell>
          <cell r="O201" t="str">
            <v>F</v>
          </cell>
          <cell r="P201" t="str">
            <v>0°</v>
          </cell>
          <cell r="R201" t="str">
            <v>-</v>
          </cell>
          <cell r="V201" t="str">
            <v>D</v>
          </cell>
          <cell r="X201" t="str">
            <v>CLP (CC) VG 220 = -15° + 40°</v>
          </cell>
          <cell r="Y201" t="str">
            <v>FA87/GDRN100LS4</v>
          </cell>
          <cell r="Z201" t="str">
            <v>SEW</v>
          </cell>
          <cell r="AH201" t="str">
            <v>FA87-0-X</v>
          </cell>
        </row>
        <row r="202">
          <cell r="A202" t="str">
            <v>MR000198</v>
          </cell>
          <cell r="B202" t="str">
            <v>MR</v>
          </cell>
          <cell r="C202">
            <v>1.1000000000000001</v>
          </cell>
          <cell r="D202">
            <v>5.4</v>
          </cell>
          <cell r="E202" t="str">
            <v>FA87</v>
          </cell>
          <cell r="F202">
            <v>1950</v>
          </cell>
          <cell r="G202">
            <v>270.68</v>
          </cell>
          <cell r="H202">
            <v>1.55</v>
          </cell>
          <cell r="I202" t="str">
            <v>M1</v>
          </cell>
          <cell r="J202" t="str">
            <v>IE3</v>
          </cell>
          <cell r="K202">
            <v>400</v>
          </cell>
          <cell r="L202">
            <v>50</v>
          </cell>
          <cell r="N202">
            <v>55</v>
          </cell>
          <cell r="O202" t="str">
            <v>F</v>
          </cell>
          <cell r="P202" t="str">
            <v>0°</v>
          </cell>
          <cell r="R202" t="str">
            <v>-</v>
          </cell>
          <cell r="V202" t="str">
            <v>D</v>
          </cell>
          <cell r="X202" t="str">
            <v>CLP (CC) VG 220 = -15° + 40°</v>
          </cell>
          <cell r="Y202" t="str">
            <v>FA87/GDR90S4</v>
          </cell>
          <cell r="Z202" t="str">
            <v>SEW</v>
          </cell>
          <cell r="AH202" t="str">
            <v>FA87-0-X</v>
          </cell>
        </row>
        <row r="203">
          <cell r="A203" t="str">
            <v>MR000199</v>
          </cell>
          <cell r="B203" t="str">
            <v>MR</v>
          </cell>
          <cell r="C203">
            <v>1.1000000000000001</v>
          </cell>
          <cell r="D203">
            <v>10</v>
          </cell>
          <cell r="E203" t="str">
            <v>FA77</v>
          </cell>
          <cell r="F203">
            <v>1020</v>
          </cell>
          <cell r="G203">
            <v>142.27000000000001</v>
          </cell>
          <cell r="H203">
            <v>1.45</v>
          </cell>
          <cell r="I203" t="str">
            <v>From M1 to M4 - 15°</v>
          </cell>
          <cell r="J203" t="str">
            <v>IE3</v>
          </cell>
          <cell r="K203">
            <v>400</v>
          </cell>
          <cell r="L203">
            <v>50</v>
          </cell>
          <cell r="M203">
            <v>2.5499999999999998</v>
          </cell>
          <cell r="N203">
            <v>55</v>
          </cell>
          <cell r="O203" t="str">
            <v>F</v>
          </cell>
          <cell r="P203" t="str">
            <v>0°</v>
          </cell>
          <cell r="R203" t="str">
            <v>-</v>
          </cell>
          <cell r="V203" t="str">
            <v>D</v>
          </cell>
          <cell r="X203" t="str">
            <v>CLP (CC) VG 220 = -15° + 40°</v>
          </cell>
          <cell r="Y203" t="str">
            <v>FA77/GDR90S4</v>
          </cell>
          <cell r="Z203" t="str">
            <v>SEW</v>
          </cell>
          <cell r="AH203" t="str">
            <v>FA77-0-X</v>
          </cell>
        </row>
        <row r="204">
          <cell r="A204" t="str">
            <v>MR000200</v>
          </cell>
          <cell r="B204" t="str">
            <v>MR</v>
          </cell>
          <cell r="C204">
            <v>18.5</v>
          </cell>
          <cell r="D204" t="str">
            <v>16</v>
          </cell>
          <cell r="E204" t="str">
            <v>KH127</v>
          </cell>
          <cell r="F204">
            <v>10800</v>
          </cell>
          <cell r="G204">
            <v>89.89</v>
          </cell>
          <cell r="H204">
            <v>1.2</v>
          </cell>
          <cell r="I204" t="str">
            <v>From M1A to M2A - 20°</v>
          </cell>
          <cell r="J204" t="str">
            <v>IE3</v>
          </cell>
          <cell r="K204">
            <v>480</v>
          </cell>
          <cell r="L204">
            <v>60</v>
          </cell>
          <cell r="M204">
            <v>38.5</v>
          </cell>
          <cell r="N204">
            <v>55</v>
          </cell>
          <cell r="O204" t="str">
            <v>F</v>
          </cell>
          <cell r="P204" t="str">
            <v>180°</v>
          </cell>
          <cell r="R204" t="str">
            <v>-</v>
          </cell>
          <cell r="V204" t="str">
            <v>SS</v>
          </cell>
          <cell r="X204" t="str">
            <v>CLP HC VG 150 = -40° + 40°</v>
          </cell>
          <cell r="Y204" t="str">
            <v>KH127EDRE180L4</v>
          </cell>
          <cell r="Z204" t="str">
            <v>SEW</v>
          </cell>
          <cell r="AB204" t="str">
            <v>ATEX22</v>
          </cell>
          <cell r="AH204" t="str">
            <v>KH127-A180-X</v>
          </cell>
        </row>
        <row r="205">
          <cell r="A205" t="str">
            <v>MR000201</v>
          </cell>
          <cell r="B205" t="str">
            <v>MR</v>
          </cell>
          <cell r="C205">
            <v>15</v>
          </cell>
          <cell r="D205">
            <v>39</v>
          </cell>
          <cell r="E205" t="str">
            <v>R137</v>
          </cell>
          <cell r="F205">
            <v>3650</v>
          </cell>
          <cell r="G205">
            <v>37.65</v>
          </cell>
          <cell r="H205">
            <v>2.2000000000000002</v>
          </cell>
          <cell r="I205" t="str">
            <v>M1</v>
          </cell>
          <cell r="J205" t="str">
            <v>IE3</v>
          </cell>
          <cell r="K205">
            <v>380</v>
          </cell>
          <cell r="L205">
            <v>50</v>
          </cell>
          <cell r="N205">
            <v>55</v>
          </cell>
          <cell r="O205" t="str">
            <v>F</v>
          </cell>
          <cell r="P205" t="str">
            <v>270°</v>
          </cell>
          <cell r="Q205" t="str">
            <v>TF</v>
          </cell>
          <cell r="R205" t="str">
            <v>380V</v>
          </cell>
          <cell r="V205" t="str">
            <v>FC</v>
          </cell>
          <cell r="X205" t="str">
            <v>CLP (CC) VG 220 = -15° + 40°</v>
          </cell>
          <cell r="Y205" t="str">
            <v>R137DRN160L4</v>
          </cell>
          <cell r="Z205" t="str">
            <v>SEW</v>
          </cell>
          <cell r="AH205" t="str">
            <v>R137-270-X#</v>
          </cell>
        </row>
        <row r="206">
          <cell r="A206" t="str">
            <v>MR000202</v>
          </cell>
          <cell r="B206" t="str">
            <v>MR</v>
          </cell>
          <cell r="C206">
            <v>0.25</v>
          </cell>
          <cell r="D206">
            <v>1.6</v>
          </cell>
          <cell r="E206" t="str">
            <v>KA77R37</v>
          </cell>
          <cell r="F206">
            <v>1330</v>
          </cell>
          <cell r="G206">
            <v>815</v>
          </cell>
          <cell r="H206">
            <v>16700</v>
          </cell>
          <cell r="I206" t="str">
            <v>M3B</v>
          </cell>
          <cell r="J206" t="str">
            <v>IE3</v>
          </cell>
          <cell r="K206">
            <v>480</v>
          </cell>
          <cell r="L206">
            <v>60</v>
          </cell>
          <cell r="N206">
            <v>56</v>
          </cell>
          <cell r="O206" t="str">
            <v>F</v>
          </cell>
          <cell r="P206" t="str">
            <v>0°</v>
          </cell>
          <cell r="Q206" t="str">
            <v>TF</v>
          </cell>
          <cell r="R206" t="str">
            <v>-</v>
          </cell>
          <cell r="T206" t="str">
            <v>BE1</v>
          </cell>
          <cell r="U206" t="str">
            <v>T</v>
          </cell>
          <cell r="V206" t="str">
            <v>FC</v>
          </cell>
          <cell r="X206" t="str">
            <v>CLP HC VG 150 = -40° + 40°</v>
          </cell>
          <cell r="Y206" t="str">
            <v>KA77/TR37DR63L4</v>
          </cell>
          <cell r="Z206" t="str">
            <v>SEW</v>
          </cell>
          <cell r="AE206" t="str">
            <v>NEMA5/UL/NPT terminal box</v>
          </cell>
          <cell r="AH206" t="str">
            <v>KA77R37T-B0-X</v>
          </cell>
        </row>
        <row r="207">
          <cell r="A207" t="str">
            <v>MR000203</v>
          </cell>
          <cell r="B207" t="str">
            <v>MR</v>
          </cell>
          <cell r="C207">
            <v>22</v>
          </cell>
          <cell r="D207">
            <v>108</v>
          </cell>
          <cell r="E207" t="str">
            <v>R107</v>
          </cell>
          <cell r="F207">
            <v>1940</v>
          </cell>
          <cell r="G207">
            <v>13.66</v>
          </cell>
          <cell r="H207">
            <v>2.2000000000000002</v>
          </cell>
          <cell r="I207" t="str">
            <v>M4</v>
          </cell>
          <cell r="J207" t="str">
            <v>IE3</v>
          </cell>
          <cell r="K207">
            <v>415</v>
          </cell>
          <cell r="L207">
            <v>50</v>
          </cell>
          <cell r="M207">
            <v>38.5</v>
          </cell>
          <cell r="N207">
            <v>55</v>
          </cell>
          <cell r="O207" t="str">
            <v>F</v>
          </cell>
          <cell r="P207" t="str">
            <v>270°</v>
          </cell>
          <cell r="R207" t="str">
            <v>-</v>
          </cell>
          <cell r="V207" t="str">
            <v>D</v>
          </cell>
          <cell r="X207" t="str">
            <v>CLP (CC) VG 220 = -15° + 40°</v>
          </cell>
          <cell r="Y207" t="str">
            <v>R107DRN180L4</v>
          </cell>
          <cell r="Z207" t="str">
            <v>SEW</v>
          </cell>
          <cell r="AH207" t="str">
            <v>R107-270-X</v>
          </cell>
        </row>
        <row r="208">
          <cell r="A208" t="str">
            <v>MR000204</v>
          </cell>
          <cell r="B208" t="str">
            <v>MR</v>
          </cell>
          <cell r="C208">
            <v>7.5</v>
          </cell>
          <cell r="D208">
            <v>86</v>
          </cell>
          <cell r="E208" t="str">
            <v>R87</v>
          </cell>
          <cell r="F208">
            <v>830</v>
          </cell>
          <cell r="G208">
            <v>17.079999999999998</v>
          </cell>
          <cell r="H208">
            <v>1.65</v>
          </cell>
          <cell r="I208" t="str">
            <v>From M1 to M2 - 10°</v>
          </cell>
          <cell r="J208" t="str">
            <v>IE3</v>
          </cell>
          <cell r="K208">
            <v>415</v>
          </cell>
          <cell r="L208">
            <v>50</v>
          </cell>
          <cell r="M208">
            <v>15.2</v>
          </cell>
          <cell r="N208">
            <v>55</v>
          </cell>
          <cell r="O208" t="str">
            <v>F</v>
          </cell>
          <cell r="P208" t="str">
            <v>270°</v>
          </cell>
          <cell r="R208" t="str">
            <v>-</v>
          </cell>
          <cell r="V208" t="str">
            <v>D</v>
          </cell>
          <cell r="X208" t="str">
            <v>CLP (CC) VG 220 = -15° + 40°</v>
          </cell>
          <cell r="Y208" t="str">
            <v>R87DRN132M4</v>
          </cell>
          <cell r="Z208" t="str">
            <v>SEW</v>
          </cell>
          <cell r="AH208" t="str">
            <v>R87-270-X</v>
          </cell>
        </row>
        <row r="209">
          <cell r="A209" t="str">
            <v>MR000205</v>
          </cell>
          <cell r="B209" t="str">
            <v>MR</v>
          </cell>
          <cell r="C209">
            <v>15</v>
          </cell>
          <cell r="D209">
            <v>39</v>
          </cell>
          <cell r="E209" t="str">
            <v>FH107</v>
          </cell>
          <cell r="F209">
            <v>3660</v>
          </cell>
          <cell r="G209">
            <v>37.61</v>
          </cell>
          <cell r="H209">
            <v>2.1</v>
          </cell>
          <cell r="I209" t="str">
            <v>M1</v>
          </cell>
          <cell r="J209" t="str">
            <v>IE3</v>
          </cell>
          <cell r="K209">
            <v>400</v>
          </cell>
          <cell r="L209">
            <v>50</v>
          </cell>
          <cell r="M209">
            <v>33.5</v>
          </cell>
          <cell r="N209">
            <v>55</v>
          </cell>
          <cell r="O209" t="str">
            <v>F</v>
          </cell>
          <cell r="P209" t="str">
            <v>270°</v>
          </cell>
          <cell r="R209" t="str">
            <v>-</v>
          </cell>
          <cell r="V209" t="str">
            <v>D</v>
          </cell>
          <cell r="X209" t="str">
            <v>CLP (CC) VG 220 = -15° + 40°</v>
          </cell>
          <cell r="Y209" t="str">
            <v>FH107/GEDRE180M4</v>
          </cell>
          <cell r="Z209" t="str">
            <v>SEW</v>
          </cell>
          <cell r="AB209" t="str">
            <v>ATEX22</v>
          </cell>
          <cell r="AH209" t="str">
            <v>FH107-270-X</v>
          </cell>
        </row>
        <row r="210">
          <cell r="A210" t="str">
            <v>MR000206</v>
          </cell>
          <cell r="B210" t="str">
            <v>MR</v>
          </cell>
          <cell r="C210">
            <v>2.2000000000000002</v>
          </cell>
          <cell r="D210">
            <v>11</v>
          </cell>
          <cell r="E210" t="str">
            <v>FA87</v>
          </cell>
          <cell r="F210">
            <v>1940</v>
          </cell>
          <cell r="G210">
            <v>134.16</v>
          </cell>
          <cell r="H210">
            <v>1.55</v>
          </cell>
          <cell r="I210" t="str">
            <v>M1</v>
          </cell>
          <cell r="J210" t="str">
            <v>IE3</v>
          </cell>
          <cell r="K210">
            <v>400</v>
          </cell>
          <cell r="L210">
            <v>50</v>
          </cell>
          <cell r="N210">
            <v>55</v>
          </cell>
          <cell r="O210" t="str">
            <v>F</v>
          </cell>
          <cell r="P210" t="str">
            <v>0°</v>
          </cell>
          <cell r="R210" t="str">
            <v>-</v>
          </cell>
          <cell r="V210" t="str">
            <v>D</v>
          </cell>
          <cell r="X210" t="str">
            <v>CLP HC VG 220 = -20° + 60°</v>
          </cell>
          <cell r="Y210" t="str">
            <v>FA87/GDRN100LS4</v>
          </cell>
          <cell r="Z210" t="str">
            <v>SEW</v>
          </cell>
          <cell r="AH210" t="str">
            <v>FA87-0-X</v>
          </cell>
        </row>
        <row r="211">
          <cell r="A211" t="str">
            <v>MR000207</v>
          </cell>
          <cell r="B211" t="str">
            <v>MR</v>
          </cell>
          <cell r="C211">
            <v>2.2000000000000002</v>
          </cell>
          <cell r="D211">
            <v>11</v>
          </cell>
          <cell r="E211" t="str">
            <v>FA87</v>
          </cell>
          <cell r="F211">
            <v>1940</v>
          </cell>
          <cell r="G211">
            <v>134.16</v>
          </cell>
          <cell r="H211">
            <v>1.55</v>
          </cell>
          <cell r="I211" t="str">
            <v>From M1 to M4 - 15°</v>
          </cell>
          <cell r="J211" t="str">
            <v>IE3</v>
          </cell>
          <cell r="K211">
            <v>400</v>
          </cell>
          <cell r="L211">
            <v>50</v>
          </cell>
          <cell r="N211">
            <v>55</v>
          </cell>
          <cell r="O211" t="str">
            <v>F</v>
          </cell>
          <cell r="P211" t="str">
            <v>0°</v>
          </cell>
          <cell r="R211" t="str">
            <v>-</v>
          </cell>
          <cell r="V211" t="str">
            <v>D</v>
          </cell>
          <cell r="X211" t="str">
            <v>CLP HC VG 220 = -20° + 60°</v>
          </cell>
          <cell r="Y211" t="str">
            <v>FA87/GDRN100LS4</v>
          </cell>
          <cell r="Z211" t="str">
            <v>SEW</v>
          </cell>
          <cell r="AH211" t="str">
            <v>FA87-0-X</v>
          </cell>
        </row>
        <row r="212">
          <cell r="A212" t="str">
            <v>MR000208</v>
          </cell>
          <cell r="B212" t="str">
            <v>MR</v>
          </cell>
          <cell r="C212">
            <v>0.75</v>
          </cell>
          <cell r="D212">
            <v>6.4</v>
          </cell>
          <cell r="E212" t="str">
            <v>FA77</v>
          </cell>
          <cell r="F212">
            <v>1120</v>
          </cell>
          <cell r="G212">
            <v>225.79</v>
          </cell>
          <cell r="H212">
            <v>1.35</v>
          </cell>
          <cell r="I212" t="str">
            <v>M1</v>
          </cell>
          <cell r="J212" t="str">
            <v>IE3</v>
          </cell>
          <cell r="K212">
            <v>400</v>
          </cell>
          <cell r="L212">
            <v>50</v>
          </cell>
          <cell r="M212">
            <v>1.75</v>
          </cell>
          <cell r="N212">
            <v>55</v>
          </cell>
          <cell r="O212" t="str">
            <v>F</v>
          </cell>
          <cell r="P212" t="str">
            <v>0°</v>
          </cell>
          <cell r="R212" t="str">
            <v>-</v>
          </cell>
          <cell r="V212" t="str">
            <v>D</v>
          </cell>
          <cell r="X212" t="str">
            <v>CLP HC VG 220 = -20° + 60°</v>
          </cell>
          <cell r="Y212" t="str">
            <v>FA77/GDRN80M4</v>
          </cell>
          <cell r="Z212" t="str">
            <v>SEW</v>
          </cell>
          <cell r="AH212" t="str">
            <v>FA77-0-X</v>
          </cell>
        </row>
        <row r="213">
          <cell r="A213" t="str">
            <v>MR000209</v>
          </cell>
          <cell r="B213" t="str">
            <v>MR</v>
          </cell>
          <cell r="C213">
            <v>1.1000000000000001</v>
          </cell>
          <cell r="D213">
            <v>10</v>
          </cell>
          <cell r="E213" t="str">
            <v>FA77</v>
          </cell>
          <cell r="F213">
            <v>1020</v>
          </cell>
          <cell r="G213">
            <v>142.27000000000001</v>
          </cell>
          <cell r="H213">
            <v>1.45</v>
          </cell>
          <cell r="I213" t="str">
            <v>M1</v>
          </cell>
          <cell r="J213" t="str">
            <v>IE3</v>
          </cell>
          <cell r="K213">
            <v>400</v>
          </cell>
          <cell r="L213">
            <v>50</v>
          </cell>
          <cell r="M213">
            <v>2.5499999999999998</v>
          </cell>
          <cell r="N213">
            <v>55</v>
          </cell>
          <cell r="O213" t="str">
            <v>F</v>
          </cell>
          <cell r="P213" t="str">
            <v>0°</v>
          </cell>
          <cell r="R213" t="str">
            <v>-</v>
          </cell>
          <cell r="V213" t="str">
            <v>D</v>
          </cell>
          <cell r="X213" t="str">
            <v>CLP HC VG 220 = -20° + 60°</v>
          </cell>
          <cell r="Y213" t="str">
            <v>FA77/GDR90S4</v>
          </cell>
          <cell r="Z213" t="str">
            <v>SEW</v>
          </cell>
          <cell r="AH213" t="str">
            <v>FA77-0-X</v>
          </cell>
        </row>
        <row r="214">
          <cell r="A214" t="str">
            <v>MR000210</v>
          </cell>
          <cell r="B214" t="str">
            <v>MR</v>
          </cell>
          <cell r="C214">
            <v>0.55000000000000004</v>
          </cell>
          <cell r="D214">
            <v>13</v>
          </cell>
          <cell r="E214" t="str">
            <v>R77</v>
          </cell>
          <cell r="F214">
            <v>395</v>
          </cell>
          <cell r="G214">
            <v>102.99</v>
          </cell>
          <cell r="H214">
            <v>2.1</v>
          </cell>
          <cell r="I214" t="str">
            <v>M1</v>
          </cell>
          <cell r="J214" t="str">
            <v>IE3</v>
          </cell>
          <cell r="K214">
            <v>400</v>
          </cell>
          <cell r="L214">
            <v>50</v>
          </cell>
          <cell r="N214">
            <v>55</v>
          </cell>
          <cell r="O214" t="str">
            <v>F</v>
          </cell>
          <cell r="P214" t="str">
            <v>270°</v>
          </cell>
          <cell r="R214" t="str">
            <v>-</v>
          </cell>
          <cell r="V214" t="str">
            <v>D</v>
          </cell>
          <cell r="X214" t="str">
            <v>CLP HC VG 150 = -40° + 40°</v>
          </cell>
          <cell r="Y214" t="str">
            <v>R77DRS71M4</v>
          </cell>
          <cell r="Z214" t="str">
            <v>SEW</v>
          </cell>
          <cell r="AH214" t="str">
            <v>R77-270-X</v>
          </cell>
        </row>
        <row r="215">
          <cell r="A215" t="str">
            <v>MR000211</v>
          </cell>
          <cell r="B215" t="str">
            <v>MR</v>
          </cell>
          <cell r="C215">
            <v>0.55000000000000004</v>
          </cell>
          <cell r="D215">
            <v>0.71</v>
          </cell>
          <cell r="E215" t="str">
            <v>KH107R77</v>
          </cell>
          <cell r="F215">
            <v>6540</v>
          </cell>
          <cell r="G215">
            <v>1939</v>
          </cell>
          <cell r="H215">
            <v>1.2</v>
          </cell>
          <cell r="I215" t="str">
            <v>From M1A to M4A - 55°</v>
          </cell>
          <cell r="J215" t="str">
            <v>IE3</v>
          </cell>
          <cell r="K215">
            <v>400</v>
          </cell>
          <cell r="L215">
            <v>50</v>
          </cell>
          <cell r="N215">
            <v>55</v>
          </cell>
          <cell r="O215" t="str">
            <v>F</v>
          </cell>
          <cell r="P215" t="str">
            <v>270°</v>
          </cell>
          <cell r="R215" t="str">
            <v>-</v>
          </cell>
          <cell r="U215" t="str">
            <v>T</v>
          </cell>
          <cell r="V215" t="str">
            <v>D</v>
          </cell>
          <cell r="X215" t="str">
            <v>CLP HC VG 150 = -40° + 40°</v>
          </cell>
          <cell r="Y215" t="str">
            <v>KH107/TR77DRS71M4</v>
          </cell>
          <cell r="Z215" t="str">
            <v>SEW</v>
          </cell>
          <cell r="AH215" t="str">
            <v>KH107R77T-A270-X</v>
          </cell>
        </row>
        <row r="216">
          <cell r="A216" t="str">
            <v>MR000212</v>
          </cell>
          <cell r="B216" t="str">
            <v>MR</v>
          </cell>
          <cell r="C216">
            <v>18.5</v>
          </cell>
          <cell r="D216" t="str">
            <v>16</v>
          </cell>
          <cell r="E216" t="str">
            <v>KH127</v>
          </cell>
          <cell r="F216">
            <v>10700</v>
          </cell>
          <cell r="G216">
            <v>89.89</v>
          </cell>
          <cell r="H216">
            <v>1.2</v>
          </cell>
          <cell r="I216" t="str">
            <v>From M1A to M4A - 45°</v>
          </cell>
          <cell r="J216" t="str">
            <v>IE3</v>
          </cell>
          <cell r="K216">
            <v>400</v>
          </cell>
          <cell r="L216">
            <v>50</v>
          </cell>
          <cell r="M216">
            <v>33.5</v>
          </cell>
          <cell r="N216">
            <v>55</v>
          </cell>
          <cell r="O216" t="str">
            <v>F</v>
          </cell>
          <cell r="P216" t="str">
            <v>270°</v>
          </cell>
          <cell r="Q216" t="str">
            <v>TF</v>
          </cell>
          <cell r="R216" t="str">
            <v>400V</v>
          </cell>
          <cell r="U216" t="str">
            <v>T</v>
          </cell>
          <cell r="V216" t="str">
            <v>FC</v>
          </cell>
          <cell r="X216" t="str">
            <v>CLP HC VG 150 = -40° + 40°</v>
          </cell>
          <cell r="Y216" t="str">
            <v>KH127DRN180M4</v>
          </cell>
          <cell r="Z216" t="str">
            <v>SEW</v>
          </cell>
          <cell r="AH216" t="str">
            <v>KH127T-A270-X#</v>
          </cell>
        </row>
        <row r="217">
          <cell r="A217" t="str">
            <v>MR000213</v>
          </cell>
          <cell r="B217" t="str">
            <v>MR</v>
          </cell>
          <cell r="C217">
            <v>1.5</v>
          </cell>
          <cell r="D217">
            <v>10</v>
          </cell>
          <cell r="E217" t="str">
            <v>R87</v>
          </cell>
          <cell r="F217">
            <v>1390</v>
          </cell>
          <cell r="G217">
            <v>142.41</v>
          </cell>
          <cell r="H217">
            <v>1.1000000000000001</v>
          </cell>
          <cell r="I217" t="str">
            <v>M1</v>
          </cell>
          <cell r="J217" t="str">
            <v>IE3</v>
          </cell>
          <cell r="K217">
            <v>380</v>
          </cell>
          <cell r="L217">
            <v>50</v>
          </cell>
          <cell r="N217">
            <v>55</v>
          </cell>
          <cell r="O217" t="str">
            <v>F</v>
          </cell>
          <cell r="P217" t="str">
            <v>270°</v>
          </cell>
          <cell r="Q217" t="str">
            <v>TF</v>
          </cell>
          <cell r="R217" t="str">
            <v>380V</v>
          </cell>
          <cell r="V217" t="str">
            <v>FC</v>
          </cell>
          <cell r="X217" t="str">
            <v>CLP (CC) VG 220 = -15° + 40°</v>
          </cell>
          <cell r="Y217" t="str">
            <v>R87DRN90L4</v>
          </cell>
          <cell r="Z217" t="str">
            <v>SEW</v>
          </cell>
          <cell r="AH217" t="str">
            <v>R87-270-X#</v>
          </cell>
        </row>
        <row r="218">
          <cell r="A218" t="str">
            <v>MR000214</v>
          </cell>
          <cell r="B218" t="str">
            <v>MR</v>
          </cell>
          <cell r="C218">
            <v>0.55000000000000004</v>
          </cell>
          <cell r="D218">
            <v>13</v>
          </cell>
          <cell r="E218" t="str">
            <v>R77</v>
          </cell>
          <cell r="F218">
            <v>395</v>
          </cell>
          <cell r="G218">
            <v>102.99</v>
          </cell>
          <cell r="H218">
            <v>2.1</v>
          </cell>
          <cell r="I218" t="str">
            <v>M1</v>
          </cell>
          <cell r="J218" t="str">
            <v>IE3</v>
          </cell>
          <cell r="K218">
            <v>380</v>
          </cell>
          <cell r="L218">
            <v>50</v>
          </cell>
          <cell r="N218">
            <v>55</v>
          </cell>
          <cell r="O218" t="str">
            <v>F</v>
          </cell>
          <cell r="P218" t="str">
            <v>270°</v>
          </cell>
          <cell r="R218" t="str">
            <v>-</v>
          </cell>
          <cell r="V218" t="str">
            <v>D</v>
          </cell>
          <cell r="X218" t="str">
            <v>CLP (CC) VG 220 = -15° + 40°</v>
          </cell>
          <cell r="Y218" t="str">
            <v>R77DRS71M4</v>
          </cell>
          <cell r="Z218" t="str">
            <v>SEW</v>
          </cell>
          <cell r="AH218" t="str">
            <v>R77-270-X</v>
          </cell>
        </row>
        <row r="219">
          <cell r="A219" t="str">
            <v>MR000215</v>
          </cell>
          <cell r="B219" t="str">
            <v>MR</v>
          </cell>
          <cell r="C219">
            <v>1.1000000000000001</v>
          </cell>
          <cell r="D219">
            <v>6</v>
          </cell>
          <cell r="E219" t="str">
            <v>R97</v>
          </cell>
          <cell r="F219">
            <v>1740</v>
          </cell>
          <cell r="G219">
            <v>241.25</v>
          </cell>
          <cell r="H219">
            <v>1.7</v>
          </cell>
          <cell r="I219" t="str">
            <v>M1</v>
          </cell>
          <cell r="J219" t="str">
            <v>IE3</v>
          </cell>
          <cell r="K219">
            <v>380</v>
          </cell>
          <cell r="L219">
            <v>50</v>
          </cell>
          <cell r="N219">
            <v>55</v>
          </cell>
          <cell r="O219" t="str">
            <v>F</v>
          </cell>
          <cell r="P219" t="str">
            <v>270°</v>
          </cell>
          <cell r="R219" t="str">
            <v>-</v>
          </cell>
          <cell r="V219" t="str">
            <v>D</v>
          </cell>
          <cell r="X219" t="str">
            <v>CLP (CC) VG 220 = -15° + 40°</v>
          </cell>
          <cell r="Y219" t="str">
            <v>R97DRN90S4</v>
          </cell>
          <cell r="Z219" t="str">
            <v>SEW</v>
          </cell>
          <cell r="AH219" t="str">
            <v>R97-270-X</v>
          </cell>
        </row>
        <row r="220">
          <cell r="A220" t="str">
            <v>MR000216</v>
          </cell>
          <cell r="B220" t="str">
            <v>MR</v>
          </cell>
          <cell r="C220">
            <v>18.5</v>
          </cell>
          <cell r="D220" t="str">
            <v>16</v>
          </cell>
          <cell r="E220" t="str">
            <v>KH127</v>
          </cell>
          <cell r="F220">
            <v>10700</v>
          </cell>
          <cell r="G220">
            <v>89.89</v>
          </cell>
          <cell r="H220">
            <v>1.2</v>
          </cell>
          <cell r="I220" t="str">
            <v>From M1A to M4A - 45°</v>
          </cell>
          <cell r="J220" t="str">
            <v>IE3</v>
          </cell>
          <cell r="K220">
            <v>400</v>
          </cell>
          <cell r="L220">
            <v>50</v>
          </cell>
          <cell r="M220">
            <v>33.5</v>
          </cell>
          <cell r="N220">
            <v>55</v>
          </cell>
          <cell r="O220" t="str">
            <v>F</v>
          </cell>
          <cell r="P220" t="str">
            <v>270°</v>
          </cell>
          <cell r="Q220" t="str">
            <v>TF</v>
          </cell>
          <cell r="R220" t="str">
            <v>-</v>
          </cell>
          <cell r="U220" t="str">
            <v>T</v>
          </cell>
          <cell r="V220" t="str">
            <v>FC</v>
          </cell>
          <cell r="X220" t="str">
            <v>CLP HC VG 150 = -40° + 40°</v>
          </cell>
          <cell r="Y220" t="str">
            <v>KH127DRN180M4</v>
          </cell>
          <cell r="Z220" t="str">
            <v>SEW</v>
          </cell>
          <cell r="AH220" t="str">
            <v>KH127T-A270-X</v>
          </cell>
        </row>
        <row r="221">
          <cell r="A221" t="str">
            <v>MR000217</v>
          </cell>
          <cell r="B221" t="str">
            <v>ME</v>
          </cell>
          <cell r="C221">
            <v>18.5</v>
          </cell>
          <cell r="D221">
            <v>1478</v>
          </cell>
          <cell r="E221" t="str">
            <v xml:space="preserve"> - </v>
          </cell>
          <cell r="I221" t="str">
            <v xml:space="preserve"> - </v>
          </cell>
          <cell r="J221" t="str">
            <v>IE3</v>
          </cell>
          <cell r="K221">
            <v>400</v>
          </cell>
          <cell r="L221">
            <v>50</v>
          </cell>
          <cell r="M221">
            <v>33.5</v>
          </cell>
          <cell r="N221">
            <v>55</v>
          </cell>
          <cell r="O221" t="str">
            <v>F</v>
          </cell>
          <cell r="P221" t="str">
            <v xml:space="preserve"> - </v>
          </cell>
          <cell r="Q221" t="str">
            <v>TF</v>
          </cell>
          <cell r="R221" t="str">
            <v>400V</v>
          </cell>
          <cell r="V221" t="str">
            <v>FC</v>
          </cell>
          <cell r="X221" t="str">
            <v xml:space="preserve"> - </v>
          </cell>
          <cell r="Y221" t="str">
            <v>DRN180M4/FG/TF/V</v>
          </cell>
          <cell r="Z221" t="str">
            <v>SEW</v>
          </cell>
          <cell r="AH221" t="str">
            <v xml:space="preserve"> - - - -X#</v>
          </cell>
        </row>
        <row r="222">
          <cell r="A222" t="str">
            <v>MR000218</v>
          </cell>
          <cell r="B222" t="str">
            <v>ME</v>
          </cell>
          <cell r="C222">
            <v>15</v>
          </cell>
          <cell r="D222">
            <v>1474</v>
          </cell>
          <cell r="E222" t="str">
            <v xml:space="preserve"> - </v>
          </cell>
          <cell r="I222" t="str">
            <v xml:space="preserve"> - </v>
          </cell>
          <cell r="J222" t="str">
            <v>IE3</v>
          </cell>
          <cell r="K222" t="str">
            <v>230/400</v>
          </cell>
          <cell r="L222">
            <v>50</v>
          </cell>
          <cell r="N222">
            <v>55</v>
          </cell>
          <cell r="O222" t="str">
            <v>F</v>
          </cell>
          <cell r="R222" t="str">
            <v>-</v>
          </cell>
          <cell r="X222" t="str">
            <v xml:space="preserve"> - </v>
          </cell>
          <cell r="Y222" t="str">
            <v>DRN160L4/FG</v>
          </cell>
          <cell r="Z222" t="str">
            <v>SEW</v>
          </cell>
          <cell r="AH222" t="str">
            <v xml:space="preserve"> - --X</v>
          </cell>
        </row>
        <row r="223">
          <cell r="A223" t="str">
            <v>MR000219</v>
          </cell>
          <cell r="B223" t="str">
            <v>MR</v>
          </cell>
          <cell r="C223">
            <v>3</v>
          </cell>
          <cell r="D223">
            <v>44</v>
          </cell>
          <cell r="E223" t="str">
            <v>FA67</v>
          </cell>
          <cell r="F223">
            <v>630</v>
          </cell>
          <cell r="G223">
            <v>32.08</v>
          </cell>
          <cell r="H223">
            <v>1.3</v>
          </cell>
          <cell r="I223" t="str">
            <v>From M3 to M4 - 25°</v>
          </cell>
          <cell r="J223" t="str">
            <v>IE3</v>
          </cell>
          <cell r="K223">
            <v>400</v>
          </cell>
          <cell r="L223">
            <v>50</v>
          </cell>
          <cell r="N223">
            <v>55</v>
          </cell>
          <cell r="O223" t="str">
            <v>F</v>
          </cell>
          <cell r="P223" t="str">
            <v>0°</v>
          </cell>
          <cell r="R223" t="str">
            <v>-</v>
          </cell>
          <cell r="X223" t="str">
            <v>CLP HC VG 220 = -20° + 60°</v>
          </cell>
          <cell r="Y223" t="str">
            <v>FA67/GDRN100L4</v>
          </cell>
          <cell r="Z223" t="str">
            <v>SEW</v>
          </cell>
          <cell r="AH223" t="str">
            <v>FA67-0-X</v>
          </cell>
        </row>
        <row r="224">
          <cell r="A224" t="str">
            <v>MR000220</v>
          </cell>
          <cell r="B224" t="str">
            <v>MR</v>
          </cell>
          <cell r="C224">
            <v>4</v>
          </cell>
          <cell r="D224">
            <v>13</v>
          </cell>
          <cell r="E224" t="str">
            <v>R107</v>
          </cell>
          <cell r="F224">
            <v>3010</v>
          </cell>
          <cell r="G224">
            <v>115.63</v>
          </cell>
          <cell r="H224">
            <v>1.45</v>
          </cell>
          <cell r="I224" t="str">
            <v>From M1 to M5 - 45°</v>
          </cell>
          <cell r="J224" t="str">
            <v>IE3</v>
          </cell>
          <cell r="K224">
            <v>400</v>
          </cell>
          <cell r="L224">
            <v>50</v>
          </cell>
          <cell r="N224">
            <v>55</v>
          </cell>
          <cell r="O224" t="str">
            <v>F</v>
          </cell>
          <cell r="P224" t="str">
            <v>270°</v>
          </cell>
          <cell r="Q224" t="str">
            <v>TF</v>
          </cell>
          <cell r="R224" t="str">
            <v>400V</v>
          </cell>
          <cell r="V224" t="str">
            <v>FC</v>
          </cell>
          <cell r="X224" t="str">
            <v>CLP HC VG 220 = -20° + 60°</v>
          </cell>
          <cell r="Y224" t="str">
            <v>R107DRN112M4</v>
          </cell>
          <cell r="Z224" t="str">
            <v>SEW</v>
          </cell>
          <cell r="AH224" t="str">
            <v>R107-270-X#</v>
          </cell>
        </row>
        <row r="225">
          <cell r="A225" t="str">
            <v>MR000221</v>
          </cell>
          <cell r="B225" t="str">
            <v>MR</v>
          </cell>
          <cell r="C225">
            <v>15</v>
          </cell>
          <cell r="D225">
            <v>76</v>
          </cell>
          <cell r="E225" t="str">
            <v>KH87</v>
          </cell>
          <cell r="F225">
            <v>1880</v>
          </cell>
          <cell r="G225">
            <v>19.45</v>
          </cell>
          <cell r="H225">
            <v>1.2</v>
          </cell>
          <cell r="I225" t="str">
            <v>M4B</v>
          </cell>
          <cell r="J225" t="str">
            <v>IE3</v>
          </cell>
          <cell r="K225">
            <v>400</v>
          </cell>
          <cell r="L225">
            <v>50</v>
          </cell>
          <cell r="N225">
            <v>55</v>
          </cell>
          <cell r="O225" t="str">
            <v>F</v>
          </cell>
          <cell r="P225" t="str">
            <v>0°</v>
          </cell>
          <cell r="R225" t="str">
            <v>-</v>
          </cell>
          <cell r="S225" t="str">
            <v>free rotation CW</v>
          </cell>
          <cell r="U225" t="str">
            <v>T</v>
          </cell>
          <cell r="V225" t="str">
            <v>SS</v>
          </cell>
          <cell r="X225" t="str">
            <v>CLP (CC) VG 220 = -15° + 40°</v>
          </cell>
          <cell r="Y225" t="str">
            <v>KH87/TDRN160L4-RS</v>
          </cell>
          <cell r="Z225" t="str">
            <v>SEW</v>
          </cell>
          <cell r="AH225" t="str">
            <v>KH87T-B0-X</v>
          </cell>
        </row>
        <row r="226">
          <cell r="A226" t="str">
            <v>MR000222</v>
          </cell>
          <cell r="B226" t="str">
            <v>MR</v>
          </cell>
          <cell r="C226">
            <v>0.55000000000000004</v>
          </cell>
          <cell r="D226">
            <v>2.2000000000000002</v>
          </cell>
          <cell r="E226" t="str">
            <v>R107R77</v>
          </cell>
          <cell r="F226">
            <v>2150</v>
          </cell>
          <cell r="G226">
            <v>626</v>
          </cell>
          <cell r="H226">
            <v>2</v>
          </cell>
          <cell r="I226" t="str">
            <v>From M1 to M6 - 35°</v>
          </cell>
          <cell r="J226" t="str">
            <v>IE1</v>
          </cell>
          <cell r="K226">
            <v>400</v>
          </cell>
          <cell r="L226">
            <v>50</v>
          </cell>
          <cell r="N226">
            <v>55</v>
          </cell>
          <cell r="O226" t="str">
            <v>F</v>
          </cell>
          <cell r="P226" t="str">
            <v>270°</v>
          </cell>
          <cell r="R226" t="str">
            <v>-</v>
          </cell>
          <cell r="V226" t="str">
            <v>SS</v>
          </cell>
          <cell r="X226" t="str">
            <v>CLP (CC) VG 220 = -15° + 40°</v>
          </cell>
          <cell r="Y226" t="str">
            <v>R107R77DRS71M4</v>
          </cell>
          <cell r="Z226" t="str">
            <v>SEW</v>
          </cell>
          <cell r="AH226" t="str">
            <v>R107R77-270-X</v>
          </cell>
        </row>
        <row r="227">
          <cell r="A227" t="str">
            <v>MR000223</v>
          </cell>
          <cell r="B227" t="str">
            <v>MR</v>
          </cell>
          <cell r="C227">
            <v>11</v>
          </cell>
          <cell r="D227">
            <v>65</v>
          </cell>
          <cell r="E227" t="str">
            <v>R107</v>
          </cell>
          <cell r="F227">
            <v>1610</v>
          </cell>
          <cell r="G227">
            <v>22.62</v>
          </cell>
          <cell r="H227">
            <v>2.7</v>
          </cell>
          <cell r="I227" t="str">
            <v>From M1 to M6 - 45°</v>
          </cell>
          <cell r="J227" t="str">
            <v>IE3</v>
          </cell>
          <cell r="K227">
            <v>400</v>
          </cell>
          <cell r="L227">
            <v>50</v>
          </cell>
          <cell r="M227">
            <v>21</v>
          </cell>
          <cell r="N227">
            <v>55</v>
          </cell>
          <cell r="O227" t="str">
            <v>F</v>
          </cell>
          <cell r="P227" t="str">
            <v>270°</v>
          </cell>
          <cell r="R227" t="str">
            <v>-</v>
          </cell>
          <cell r="V227" t="str">
            <v>SS</v>
          </cell>
          <cell r="X227" t="str">
            <v>CLP (CC) VG 220 = -15° + 40°</v>
          </cell>
          <cell r="Y227" t="str">
            <v>R107DRN160M4</v>
          </cell>
          <cell r="Z227" t="str">
            <v>SEW</v>
          </cell>
          <cell r="AH227" t="str">
            <v>R107-270-X</v>
          </cell>
        </row>
        <row r="228">
          <cell r="A228" t="str">
            <v>MR000224</v>
          </cell>
          <cell r="B228" t="str">
            <v>ME</v>
          </cell>
          <cell r="C228">
            <v>15</v>
          </cell>
          <cell r="D228">
            <v>1474</v>
          </cell>
          <cell r="E228" t="str">
            <v xml:space="preserve"> - </v>
          </cell>
          <cell r="I228" t="str">
            <v xml:space="preserve"> - </v>
          </cell>
          <cell r="J228" t="str">
            <v>IE3</v>
          </cell>
          <cell r="K228">
            <v>400</v>
          </cell>
          <cell r="L228">
            <v>50</v>
          </cell>
          <cell r="N228">
            <v>55</v>
          </cell>
          <cell r="O228" t="str">
            <v>F</v>
          </cell>
          <cell r="R228" t="str">
            <v>-</v>
          </cell>
          <cell r="S228" t="str">
            <v>free rotation CW</v>
          </cell>
          <cell r="X228" t="str">
            <v xml:space="preserve"> - </v>
          </cell>
          <cell r="Y228" t="str">
            <v>DRN160L4/FG/RS</v>
          </cell>
          <cell r="Z228" t="str">
            <v>SEW</v>
          </cell>
          <cell r="AH228" t="str">
            <v xml:space="preserve"> - --X</v>
          </cell>
        </row>
        <row r="229">
          <cell r="A229" t="str">
            <v>MR000225</v>
          </cell>
          <cell r="B229" t="str">
            <v>MR</v>
          </cell>
          <cell r="C229">
            <v>2.2000000000000002</v>
          </cell>
          <cell r="D229">
            <v>7.4</v>
          </cell>
          <cell r="E229" t="str">
            <v>FA87</v>
          </cell>
          <cell r="F229">
            <v>2860</v>
          </cell>
          <cell r="G229">
            <v>197.2</v>
          </cell>
          <cell r="H229">
            <v>1.05</v>
          </cell>
          <cell r="I229" t="str">
            <v>M5</v>
          </cell>
          <cell r="J229" t="str">
            <v>IE3</v>
          </cell>
          <cell r="K229" t="str">
            <v>230/400</v>
          </cell>
          <cell r="L229">
            <v>50</v>
          </cell>
          <cell r="N229">
            <v>55</v>
          </cell>
          <cell r="O229" t="str">
            <v>F</v>
          </cell>
          <cell r="P229" t="str">
            <v>0°</v>
          </cell>
          <cell r="R229" t="str">
            <v>-</v>
          </cell>
          <cell r="U229" t="str">
            <v>G</v>
          </cell>
          <cell r="X229" t="str">
            <v>CLP (CC) VG 220 = -15° + 40°</v>
          </cell>
          <cell r="Y229" t="str">
            <v xml:space="preserve"> FA87/G DRN100LS4</v>
          </cell>
          <cell r="Z229" t="str">
            <v>SEW</v>
          </cell>
          <cell r="AH229" t="str">
            <v>FA87G-0-X</v>
          </cell>
        </row>
        <row r="230">
          <cell r="A230" t="str">
            <v>MR000226</v>
          </cell>
          <cell r="B230" t="str">
            <v>MR</v>
          </cell>
          <cell r="C230">
            <v>18.5</v>
          </cell>
          <cell r="D230">
            <v>45</v>
          </cell>
          <cell r="E230" t="str">
            <v>R137</v>
          </cell>
          <cell r="F230">
            <v>3940</v>
          </cell>
          <cell r="G230">
            <v>32.909999999999997</v>
          </cell>
          <cell r="H230">
            <v>1.8</v>
          </cell>
          <cell r="I230" t="str">
            <v>M1</v>
          </cell>
          <cell r="J230" t="str">
            <v>IE2</v>
          </cell>
          <cell r="K230" t="str">
            <v>400/690</v>
          </cell>
          <cell r="L230">
            <v>50</v>
          </cell>
          <cell r="M230">
            <v>38.5</v>
          </cell>
          <cell r="N230">
            <v>55</v>
          </cell>
          <cell r="O230" t="str">
            <v>F</v>
          </cell>
          <cell r="P230" t="str">
            <v>0°</v>
          </cell>
          <cell r="R230" t="str">
            <v>-</v>
          </cell>
          <cell r="X230" t="str">
            <v>CLP HC VG 150 = -40° + 40°</v>
          </cell>
          <cell r="Y230" t="str">
            <v>R137/II2GD SDRE180L4/3GD/AL</v>
          </cell>
          <cell r="Z230" t="str">
            <v>SEW</v>
          </cell>
          <cell r="AB230" t="str">
            <v>ATEX22</v>
          </cell>
          <cell r="AH230" t="str">
            <v>R137-0-X</v>
          </cell>
        </row>
        <row r="231">
          <cell r="A231" t="str">
            <v>MR000227</v>
          </cell>
          <cell r="B231" t="str">
            <v>MR</v>
          </cell>
          <cell r="C231">
            <v>11</v>
          </cell>
          <cell r="D231">
            <v>53</v>
          </cell>
          <cell r="E231" t="str">
            <v>KH87</v>
          </cell>
          <cell r="F231">
            <v>1990</v>
          </cell>
          <cell r="G231">
            <v>27.88</v>
          </cell>
          <cell r="H231">
            <v>1.25</v>
          </cell>
          <cell r="I231" t="str">
            <v>M4B</v>
          </cell>
          <cell r="J231" t="str">
            <v>IE3</v>
          </cell>
          <cell r="K231">
            <v>400</v>
          </cell>
          <cell r="L231">
            <v>50</v>
          </cell>
          <cell r="M231">
            <v>21</v>
          </cell>
          <cell r="N231">
            <v>55</v>
          </cell>
          <cell r="O231" t="str">
            <v>F</v>
          </cell>
          <cell r="P231" t="str">
            <v>270°</v>
          </cell>
          <cell r="R231" t="str">
            <v>-</v>
          </cell>
          <cell r="S231" t="str">
            <v>free rotation CW</v>
          </cell>
          <cell r="U231" t="str">
            <v>T</v>
          </cell>
          <cell r="V231" t="str">
            <v>SS</v>
          </cell>
          <cell r="X231" t="str">
            <v>CLP (CC) VG 220 = -15° + 40°</v>
          </cell>
          <cell r="Y231" t="str">
            <v>KH87/II2GD/TEDRN160M4/RS/3GD/AL/C</v>
          </cell>
          <cell r="Z231" t="str">
            <v>SEW</v>
          </cell>
          <cell r="AB231" t="str">
            <v>ATEX22</v>
          </cell>
          <cell r="AH231" t="str">
            <v>KH87T-B270-X</v>
          </cell>
        </row>
        <row r="232">
          <cell r="A232" t="str">
            <v>MR000228</v>
          </cell>
          <cell r="B232" t="str">
            <v>MR</v>
          </cell>
          <cell r="C232">
            <v>7.5</v>
          </cell>
          <cell r="D232">
            <v>53</v>
          </cell>
          <cell r="E232" t="str">
            <v>KH97</v>
          </cell>
          <cell r="F232">
            <v>1360</v>
          </cell>
          <cell r="G232">
            <v>27.88</v>
          </cell>
          <cell r="H232">
            <v>1.85</v>
          </cell>
          <cell r="I232" t="str">
            <v>M4B</v>
          </cell>
          <cell r="J232" t="str">
            <v>IE3</v>
          </cell>
          <cell r="K232">
            <v>400</v>
          </cell>
          <cell r="L232">
            <v>50</v>
          </cell>
          <cell r="M232">
            <v>15.2</v>
          </cell>
          <cell r="N232">
            <v>55</v>
          </cell>
          <cell r="O232" t="str">
            <v>F</v>
          </cell>
          <cell r="P232" t="str">
            <v>270°</v>
          </cell>
          <cell r="R232" t="str">
            <v>-</v>
          </cell>
          <cell r="S232" t="str">
            <v>free rotation CW</v>
          </cell>
          <cell r="U232" t="str">
            <v>T</v>
          </cell>
          <cell r="V232" t="str">
            <v>D</v>
          </cell>
          <cell r="X232" t="str">
            <v>CLP (CC) VG 220 = -15° + 40°</v>
          </cell>
          <cell r="Y232" t="str">
            <v>KH97/II2GD/TEDRN132M4/RS/3GD/AL/C</v>
          </cell>
          <cell r="Z232" t="str">
            <v>SEW</v>
          </cell>
          <cell r="AB232" t="str">
            <v>ATEX22</v>
          </cell>
          <cell r="AH232" t="str">
            <v>KH97T-B270-X</v>
          </cell>
        </row>
        <row r="233">
          <cell r="A233" t="str">
            <v>MR000229</v>
          </cell>
          <cell r="B233" t="str">
            <v>MR</v>
          </cell>
          <cell r="C233">
            <v>22</v>
          </cell>
          <cell r="D233">
            <v>33</v>
          </cell>
          <cell r="E233" t="str">
            <v>R137</v>
          </cell>
          <cell r="F233">
            <v>6310</v>
          </cell>
          <cell r="G233">
            <v>44.39</v>
          </cell>
          <cell r="H233">
            <v>1.25</v>
          </cell>
          <cell r="I233" t="str">
            <v>M1</v>
          </cell>
          <cell r="J233" t="str">
            <v>IE3</v>
          </cell>
          <cell r="K233">
            <v>400</v>
          </cell>
          <cell r="L233">
            <v>50</v>
          </cell>
          <cell r="M233">
            <v>38.5</v>
          </cell>
          <cell r="N233">
            <v>55</v>
          </cell>
          <cell r="O233" t="str">
            <v>F</v>
          </cell>
          <cell r="P233" t="str">
            <v>270°</v>
          </cell>
          <cell r="R233" t="str">
            <v>-</v>
          </cell>
          <cell r="V233" t="str">
            <v>SS</v>
          </cell>
          <cell r="X233" t="str">
            <v>CLP PG VG 220 = -20° + 80°</v>
          </cell>
          <cell r="Y233" t="str">
            <v>R137DRN180L4</v>
          </cell>
          <cell r="Z233" t="str">
            <v>SEW</v>
          </cell>
          <cell r="AH233" t="str">
            <v>R137-270-X</v>
          </cell>
        </row>
        <row r="234">
          <cell r="A234" t="str">
            <v>MR000230</v>
          </cell>
          <cell r="B234" t="str">
            <v>MR</v>
          </cell>
          <cell r="C234">
            <v>5.5</v>
          </cell>
          <cell r="D234">
            <v>48</v>
          </cell>
          <cell r="E234" t="str">
            <v>FH87</v>
          </cell>
          <cell r="F234">
            <v>1820</v>
          </cell>
          <cell r="G234">
            <v>50.36</v>
          </cell>
          <cell r="H234">
            <v>1.05</v>
          </cell>
          <cell r="I234" t="str">
            <v>M1</v>
          </cell>
          <cell r="J234" t="str">
            <v>IE2</v>
          </cell>
          <cell r="K234" t="str">
            <v>230/400</v>
          </cell>
          <cell r="L234">
            <v>50</v>
          </cell>
          <cell r="N234">
            <v>55</v>
          </cell>
          <cell r="O234" t="str">
            <v>F</v>
          </cell>
          <cell r="P234" t="str">
            <v>0°</v>
          </cell>
          <cell r="Q234" t="str">
            <v>TF</v>
          </cell>
          <cell r="R234" t="str">
            <v>400V</v>
          </cell>
          <cell r="U234" t="str">
            <v>G</v>
          </cell>
          <cell r="V234" t="str">
            <v>FC</v>
          </cell>
          <cell r="X234" t="str">
            <v>CLP HC VG 220 = -20° + 60°</v>
          </cell>
          <cell r="Y234" t="str">
            <v>FH87/G/II2GD EDRE132M4/3D/KCC/TF/AL</v>
          </cell>
          <cell r="Z234" t="str">
            <v>SEW</v>
          </cell>
          <cell r="AA234" t="str">
            <v>RAL7031</v>
          </cell>
          <cell r="AB234" t="str">
            <v>ATEX22</v>
          </cell>
          <cell r="AH234" t="str">
            <v>FH87G-0-X#</v>
          </cell>
        </row>
        <row r="235">
          <cell r="A235" t="str">
            <v>MR000231</v>
          </cell>
          <cell r="B235" t="str">
            <v>MR</v>
          </cell>
          <cell r="C235">
            <v>1.5</v>
          </cell>
          <cell r="D235">
            <v>28</v>
          </cell>
          <cell r="E235" t="str">
            <v>FH67</v>
          </cell>
          <cell r="F235">
            <v>510</v>
          </cell>
          <cell r="G235">
            <v>50.74</v>
          </cell>
          <cell r="H235">
            <v>1.35</v>
          </cell>
          <cell r="I235" t="str">
            <v>M1</v>
          </cell>
          <cell r="J235" t="str">
            <v>IE2</v>
          </cell>
          <cell r="K235" t="str">
            <v>230/400</v>
          </cell>
          <cell r="L235">
            <v>50</v>
          </cell>
          <cell r="N235">
            <v>54</v>
          </cell>
          <cell r="O235" t="str">
            <v>F</v>
          </cell>
          <cell r="P235" t="str">
            <v>0°</v>
          </cell>
          <cell r="R235" t="str">
            <v>-</v>
          </cell>
          <cell r="U235" t="str">
            <v>G</v>
          </cell>
          <cell r="X235" t="str">
            <v>CLP HC VG 220 = -20° + 60°</v>
          </cell>
          <cell r="Y235" t="str">
            <v>FH67/G/II2GDEDRE90L4/3D/KCC/TF/AL</v>
          </cell>
          <cell r="Z235" t="str">
            <v>SEW</v>
          </cell>
          <cell r="AA235" t="str">
            <v>RAL7031</v>
          </cell>
          <cell r="AB235" t="str">
            <v>ATEX22</v>
          </cell>
          <cell r="AH235" t="str">
            <v>FH67G-0-X</v>
          </cell>
        </row>
        <row r="236">
          <cell r="A236" t="str">
            <v>MR000232</v>
          </cell>
          <cell r="B236" t="str">
            <v>MR</v>
          </cell>
          <cell r="C236">
            <v>0.75</v>
          </cell>
          <cell r="D236">
            <v>162</v>
          </cell>
          <cell r="E236" t="str">
            <v>KA37</v>
          </cell>
          <cell r="F236">
            <v>44</v>
          </cell>
          <cell r="G236">
            <v>8.91</v>
          </cell>
          <cell r="H236">
            <v>3</v>
          </cell>
          <cell r="I236" t="str">
            <v>M1B</v>
          </cell>
          <cell r="J236" t="str">
            <v>IE2</v>
          </cell>
          <cell r="K236">
            <v>400</v>
          </cell>
          <cell r="L236">
            <v>50</v>
          </cell>
          <cell r="M236">
            <v>1.75</v>
          </cell>
          <cell r="N236">
            <v>55</v>
          </cell>
          <cell r="O236" t="str">
            <v>F</v>
          </cell>
          <cell r="P236" t="str">
            <v>270°</v>
          </cell>
          <cell r="R236" t="str">
            <v>-</v>
          </cell>
          <cell r="U236" t="str">
            <v>T</v>
          </cell>
          <cell r="V236" t="str">
            <v>D</v>
          </cell>
          <cell r="X236" t="str">
            <v>CLP (CC) VG 220 = -15° + 40°</v>
          </cell>
          <cell r="Y236" t="str">
            <v>KA37/II2GD/TEDRN80M4/3GD</v>
          </cell>
          <cell r="Z236" t="str">
            <v>SEW</v>
          </cell>
          <cell r="AB236" t="str">
            <v>ATEX22</v>
          </cell>
          <cell r="AH236" t="str">
            <v>KA37T-B270-X</v>
          </cell>
        </row>
        <row r="237">
          <cell r="A237" t="str">
            <v>MR000233</v>
          </cell>
          <cell r="B237" t="str">
            <v>MR</v>
          </cell>
          <cell r="C237">
            <v>5.5</v>
          </cell>
          <cell r="D237">
            <v>26</v>
          </cell>
          <cell r="E237" t="str">
            <v>FH87</v>
          </cell>
          <cell r="F237">
            <v>2040</v>
          </cell>
          <cell r="G237">
            <v>56.75</v>
          </cell>
          <cell r="H237">
            <v>1.2</v>
          </cell>
          <cell r="I237" t="str">
            <v>M1A</v>
          </cell>
          <cell r="J237" t="str">
            <v>IE3</v>
          </cell>
          <cell r="K237">
            <v>400</v>
          </cell>
          <cell r="L237">
            <v>50</v>
          </cell>
          <cell r="N237">
            <v>55</v>
          </cell>
          <cell r="O237" t="str">
            <v>F</v>
          </cell>
          <cell r="P237" t="str">
            <v>270°</v>
          </cell>
          <cell r="R237" t="str">
            <v>-</v>
          </cell>
          <cell r="V237" t="str">
            <v>D</v>
          </cell>
          <cell r="X237" t="str">
            <v>CLP (CC) VG 220 = -15° + 40°</v>
          </cell>
          <cell r="Y237" t="str">
            <v>FH87/G EDRE132M4</v>
          </cell>
          <cell r="Z237" t="str">
            <v>SEW</v>
          </cell>
          <cell r="AB237" t="str">
            <v>ATEX22</v>
          </cell>
          <cell r="AH237" t="str">
            <v>FH87-A270-X</v>
          </cell>
        </row>
        <row r="238">
          <cell r="A238" t="str">
            <v>MR000234</v>
          </cell>
          <cell r="B238" t="str">
            <v>MR</v>
          </cell>
          <cell r="C238">
            <v>0.75</v>
          </cell>
          <cell r="D238">
            <v>18</v>
          </cell>
          <cell r="E238" t="str">
            <v>FA67</v>
          </cell>
          <cell r="F238">
            <v>450</v>
          </cell>
          <cell r="G238">
            <v>90.59</v>
          </cell>
          <cell r="H238">
            <v>1.8</v>
          </cell>
          <cell r="I238" t="str">
            <v>M6</v>
          </cell>
          <cell r="J238" t="str">
            <v>IE3</v>
          </cell>
          <cell r="K238">
            <v>400</v>
          </cell>
          <cell r="L238">
            <v>50</v>
          </cell>
          <cell r="N238">
            <v>55</v>
          </cell>
          <cell r="O238" t="str">
            <v>F</v>
          </cell>
          <cell r="P238" t="str">
            <v>0°</v>
          </cell>
          <cell r="R238" t="str">
            <v>-</v>
          </cell>
          <cell r="T238" t="str">
            <v>BE</v>
          </cell>
          <cell r="V238" t="str">
            <v>D+R</v>
          </cell>
          <cell r="X238" t="str">
            <v>CLP (CC) VG 220 = -15° + 40°</v>
          </cell>
          <cell r="Y238" t="str">
            <v>FA67/G EDRE80M4-BE</v>
          </cell>
          <cell r="Z238" t="str">
            <v>SEW</v>
          </cell>
          <cell r="AB238" t="str">
            <v>ATEX22</v>
          </cell>
          <cell r="AH238" t="str">
            <v>FA67-0-X</v>
          </cell>
        </row>
        <row r="239">
          <cell r="A239" t="str">
            <v>MR000235</v>
          </cell>
          <cell r="B239" t="str">
            <v>MR</v>
          </cell>
          <cell r="C239">
            <v>1.1000000000000001</v>
          </cell>
          <cell r="D239">
            <v>37</v>
          </cell>
          <cell r="E239" t="str">
            <v>FA67</v>
          </cell>
          <cell r="F239">
            <v>280</v>
          </cell>
          <cell r="G239">
            <v>39.26</v>
          </cell>
          <cell r="H239">
            <v>2.8</v>
          </cell>
          <cell r="I239" t="str">
            <v>M1A</v>
          </cell>
          <cell r="J239" t="str">
            <v>IE3</v>
          </cell>
          <cell r="K239">
            <v>400</v>
          </cell>
          <cell r="L239">
            <v>50</v>
          </cell>
          <cell r="N239">
            <v>55</v>
          </cell>
          <cell r="O239" t="str">
            <v>F</v>
          </cell>
          <cell r="P239" t="str">
            <v>0°</v>
          </cell>
          <cell r="R239" t="str">
            <v>-</v>
          </cell>
          <cell r="V239" t="str">
            <v>D</v>
          </cell>
          <cell r="X239" t="str">
            <v>CLP (CC) VG 220 = -15° + 40°</v>
          </cell>
          <cell r="Y239" t="str">
            <v>FA67/G DRN90S4</v>
          </cell>
          <cell r="Z239" t="str">
            <v>SEW</v>
          </cell>
          <cell r="AH239" t="str">
            <v>FA67-A0-X</v>
          </cell>
        </row>
        <row r="240">
          <cell r="A240" t="str">
            <v>MR000236</v>
          </cell>
          <cell r="B240" t="str">
            <v>MR</v>
          </cell>
          <cell r="C240">
            <v>15</v>
          </cell>
          <cell r="D240">
            <v>42</v>
          </cell>
          <cell r="E240" t="str">
            <v>R107</v>
          </cell>
          <cell r="F240">
            <v>3420</v>
          </cell>
          <cell r="G240">
            <v>35.26</v>
          </cell>
          <cell r="H240">
            <v>1.25</v>
          </cell>
          <cell r="I240" t="str">
            <v>From M1 to M5 - 45°</v>
          </cell>
          <cell r="J240" t="str">
            <v>IE3</v>
          </cell>
          <cell r="K240">
            <v>400</v>
          </cell>
          <cell r="L240">
            <v>50</v>
          </cell>
          <cell r="N240">
            <v>55</v>
          </cell>
          <cell r="O240" t="str">
            <v>F</v>
          </cell>
          <cell r="P240" t="str">
            <v>270°</v>
          </cell>
          <cell r="Q240" t="str">
            <v>TF</v>
          </cell>
          <cell r="R240" t="str">
            <v>-</v>
          </cell>
          <cell r="V240" t="str">
            <v>FC</v>
          </cell>
          <cell r="X240" t="str">
            <v>CLP (CC) VG 220 = -15° + 40°</v>
          </cell>
          <cell r="Y240" t="str">
            <v>R107DRN160L4</v>
          </cell>
          <cell r="Z240" t="str">
            <v>SEW</v>
          </cell>
          <cell r="AH240" t="str">
            <v>R107-270-X</v>
          </cell>
        </row>
        <row r="241">
          <cell r="A241" t="str">
            <v>MR000237</v>
          </cell>
          <cell r="B241" t="str">
            <v>MR</v>
          </cell>
          <cell r="C241">
            <v>0.75</v>
          </cell>
          <cell r="D241">
            <v>1.7</v>
          </cell>
          <cell r="E241" t="str">
            <v>KA97R57</v>
          </cell>
          <cell r="F241">
            <v>3930</v>
          </cell>
          <cell r="G241">
            <v>855</v>
          </cell>
          <cell r="H241">
            <v>1.1000000000000001</v>
          </cell>
          <cell r="I241" t="str">
            <v>M3B</v>
          </cell>
          <cell r="J241" t="str">
            <v>IE3</v>
          </cell>
          <cell r="K241">
            <v>415</v>
          </cell>
          <cell r="L241">
            <v>50</v>
          </cell>
          <cell r="M241">
            <v>1.75</v>
          </cell>
          <cell r="N241">
            <v>55</v>
          </cell>
          <cell r="O241" t="str">
            <v>F</v>
          </cell>
          <cell r="P241" t="str">
            <v>270°</v>
          </cell>
          <cell r="R241" t="str">
            <v>-</v>
          </cell>
          <cell r="T241" t="str">
            <v>BE</v>
          </cell>
          <cell r="U241" t="str">
            <v>T</v>
          </cell>
          <cell r="V241" t="str">
            <v>D+R</v>
          </cell>
          <cell r="X241" t="str">
            <v>CLP (CC) VG 220 = -15° + 40°</v>
          </cell>
          <cell r="Y241" t="str">
            <v>KA97R57/TDRN80M4-BE</v>
          </cell>
          <cell r="Z241" t="str">
            <v>SEW</v>
          </cell>
          <cell r="AH241" t="str">
            <v>KA97R57T-B270-X</v>
          </cell>
        </row>
        <row r="242">
          <cell r="A242" t="str">
            <v>MR000238</v>
          </cell>
          <cell r="B242" t="str">
            <v>MR</v>
          </cell>
          <cell r="C242">
            <v>1.5</v>
          </cell>
          <cell r="D242" t="str">
            <v>3,8</v>
          </cell>
          <cell r="E242" t="str">
            <v>KA97R57</v>
          </cell>
          <cell r="F242">
            <v>3440</v>
          </cell>
          <cell r="G242">
            <v>382</v>
          </cell>
          <cell r="H242">
            <v>1.25</v>
          </cell>
          <cell r="I242" t="str">
            <v>M3B</v>
          </cell>
          <cell r="J242" t="str">
            <v>IE3</v>
          </cell>
          <cell r="K242">
            <v>415</v>
          </cell>
          <cell r="L242">
            <v>50</v>
          </cell>
          <cell r="M242">
            <v>3.4</v>
          </cell>
          <cell r="N242">
            <v>55</v>
          </cell>
          <cell r="O242" t="str">
            <v>F</v>
          </cell>
          <cell r="P242" t="str">
            <v>270°</v>
          </cell>
          <cell r="R242" t="str">
            <v>-</v>
          </cell>
          <cell r="T242" t="str">
            <v>BE</v>
          </cell>
          <cell r="U242" t="str">
            <v>T</v>
          </cell>
          <cell r="V242" t="str">
            <v>D+R</v>
          </cell>
          <cell r="X242" t="str">
            <v>CLP (CC) VG 220 = -15° + 40°</v>
          </cell>
          <cell r="Y242" t="str">
            <v>KA97R57/TDRN90L4-BE</v>
          </cell>
          <cell r="Z242" t="str">
            <v>SEW</v>
          </cell>
          <cell r="AH242" t="str">
            <v>KA97R57T-B270-X</v>
          </cell>
        </row>
        <row r="243">
          <cell r="A243" t="str">
            <v>MR000239</v>
          </cell>
          <cell r="B243" t="str">
            <v>MR</v>
          </cell>
          <cell r="C243">
            <v>9.1999999999999993</v>
          </cell>
          <cell r="D243">
            <v>55</v>
          </cell>
          <cell r="E243" t="str">
            <v>FA87</v>
          </cell>
          <cell r="F243">
            <v>1580</v>
          </cell>
          <cell r="G243">
            <v>26.5</v>
          </cell>
          <cell r="H243" t="str">
            <v>1.7</v>
          </cell>
          <cell r="I243" t="str">
            <v>M1</v>
          </cell>
          <cell r="J243" t="str">
            <v>IE2</v>
          </cell>
          <cell r="K243">
            <v>415</v>
          </cell>
          <cell r="L243">
            <v>50</v>
          </cell>
          <cell r="N243">
            <v>65</v>
          </cell>
          <cell r="O243" t="str">
            <v>F</v>
          </cell>
          <cell r="P243" t="str">
            <v>180°</v>
          </cell>
          <cell r="R243" t="str">
            <v>-</v>
          </cell>
          <cell r="V243" t="str">
            <v>D</v>
          </cell>
          <cell r="X243" t="str">
            <v>CLP (CC) VG 220 = -15° + 40°</v>
          </cell>
          <cell r="Y243" t="str">
            <v>FA87/GEDRE160M4</v>
          </cell>
          <cell r="Z243" t="str">
            <v>SEW</v>
          </cell>
          <cell r="AH243" t="str">
            <v>FA87-180-X</v>
          </cell>
        </row>
        <row r="244">
          <cell r="A244" t="str">
            <v>MR000240</v>
          </cell>
          <cell r="B244" t="str">
            <v>MR</v>
          </cell>
          <cell r="C244">
            <v>11</v>
          </cell>
          <cell r="D244">
            <v>16</v>
          </cell>
          <cell r="E244" t="str">
            <v>KH107</v>
          </cell>
          <cell r="F244">
            <v>6480</v>
          </cell>
          <cell r="G244">
            <v>90.96</v>
          </cell>
          <cell r="H244">
            <v>1.25</v>
          </cell>
          <cell r="I244" t="str">
            <v>From M1A to M2A - 45°</v>
          </cell>
          <cell r="J244" t="str">
            <v>IE3</v>
          </cell>
          <cell r="K244">
            <v>400</v>
          </cell>
          <cell r="L244">
            <v>50</v>
          </cell>
          <cell r="M244">
            <v>21</v>
          </cell>
          <cell r="N244">
            <v>55</v>
          </cell>
          <cell r="O244" t="str">
            <v>F</v>
          </cell>
          <cell r="P244" t="str">
            <v>180°</v>
          </cell>
          <cell r="R244" t="str">
            <v>-</v>
          </cell>
          <cell r="U244" t="str">
            <v>T</v>
          </cell>
          <cell r="V244" t="str">
            <v>SS</v>
          </cell>
          <cell r="X244" t="str">
            <v>CLP (CC) VG 220 = -15° + 40°</v>
          </cell>
          <cell r="Y244" t="str">
            <v>KH107/TDRN160M4</v>
          </cell>
          <cell r="Z244" t="str">
            <v>SEW</v>
          </cell>
          <cell r="AH244" t="str">
            <v>KH107T-A180-X</v>
          </cell>
        </row>
        <row r="245">
          <cell r="A245" t="str">
            <v>MR000241</v>
          </cell>
          <cell r="B245" t="str">
            <v>MR</v>
          </cell>
          <cell r="C245">
            <v>15</v>
          </cell>
          <cell r="D245">
            <v>53</v>
          </cell>
          <cell r="E245" t="str">
            <v>KH97</v>
          </cell>
          <cell r="F245">
            <v>2710</v>
          </cell>
          <cell r="G245">
            <v>29.91</v>
          </cell>
          <cell r="H245">
            <v>1.6</v>
          </cell>
          <cell r="I245" t="str">
            <v>M4A</v>
          </cell>
          <cell r="J245" t="str">
            <v>IE3</v>
          </cell>
          <cell r="K245">
            <v>415</v>
          </cell>
          <cell r="L245">
            <v>50</v>
          </cell>
          <cell r="N245">
            <v>55</v>
          </cell>
          <cell r="O245" t="str">
            <v>F</v>
          </cell>
          <cell r="P245" t="str">
            <v>270°</v>
          </cell>
          <cell r="R245" t="str">
            <v>-</v>
          </cell>
          <cell r="S245" t="str">
            <v>Free rotation CCW</v>
          </cell>
          <cell r="U245" t="str">
            <v>T</v>
          </cell>
          <cell r="V245" t="str">
            <v>SS</v>
          </cell>
          <cell r="X245" t="str">
            <v>CLP (CC) VG 220 = -15° + 40°</v>
          </cell>
          <cell r="Y245" t="str">
            <v>KH97/TDRN160L4</v>
          </cell>
          <cell r="Z245" t="str">
            <v>SEW</v>
          </cell>
          <cell r="AH245" t="str">
            <v>KH97T-A270-X</v>
          </cell>
        </row>
        <row r="246">
          <cell r="A246" t="str">
            <v>MR000242</v>
          </cell>
          <cell r="B246" t="str">
            <v>MR</v>
          </cell>
          <cell r="C246">
            <v>15</v>
          </cell>
          <cell r="D246">
            <v>53</v>
          </cell>
          <cell r="E246" t="str">
            <v>KH97</v>
          </cell>
          <cell r="F246">
            <v>2710</v>
          </cell>
          <cell r="G246">
            <v>29.91</v>
          </cell>
          <cell r="H246">
            <v>1.6</v>
          </cell>
          <cell r="I246" t="str">
            <v>M4B</v>
          </cell>
          <cell r="J246" t="str">
            <v>IE3</v>
          </cell>
          <cell r="K246">
            <v>415</v>
          </cell>
          <cell r="L246">
            <v>50</v>
          </cell>
          <cell r="N246">
            <v>55</v>
          </cell>
          <cell r="O246" t="str">
            <v>F</v>
          </cell>
          <cell r="P246" t="str">
            <v>270°</v>
          </cell>
          <cell r="R246" t="str">
            <v>-</v>
          </cell>
          <cell r="U246" t="str">
            <v>T</v>
          </cell>
          <cell r="V246" t="str">
            <v>SS</v>
          </cell>
          <cell r="X246" t="str">
            <v>CLP (CC) VG 220 = -15° + 40°</v>
          </cell>
          <cell r="Y246" t="str">
            <v>KH97/TDRN160L4</v>
          </cell>
          <cell r="Z246" t="str">
            <v>SEW</v>
          </cell>
          <cell r="AH246" t="str">
            <v>KH97T-B270-X</v>
          </cell>
        </row>
        <row r="247">
          <cell r="A247" t="str">
            <v>MR000243</v>
          </cell>
          <cell r="B247" t="str">
            <v>MR</v>
          </cell>
          <cell r="C247">
            <v>0.75</v>
          </cell>
          <cell r="D247">
            <v>162</v>
          </cell>
          <cell r="E247" t="str">
            <v>KA37</v>
          </cell>
          <cell r="F247">
            <v>44</v>
          </cell>
          <cell r="G247">
            <v>8.91</v>
          </cell>
          <cell r="H247">
            <v>3.6</v>
          </cell>
          <cell r="I247" t="str">
            <v>M3B</v>
          </cell>
          <cell r="J247" t="str">
            <v>IE3</v>
          </cell>
          <cell r="K247">
            <v>415</v>
          </cell>
          <cell r="L247">
            <v>50</v>
          </cell>
          <cell r="M247">
            <v>1.75</v>
          </cell>
          <cell r="N247">
            <v>55</v>
          </cell>
          <cell r="O247" t="str">
            <v>F</v>
          </cell>
          <cell r="P247" t="str">
            <v>0°</v>
          </cell>
          <cell r="R247" t="str">
            <v>-</v>
          </cell>
          <cell r="U247" t="str">
            <v>T</v>
          </cell>
          <cell r="V247" t="str">
            <v>D</v>
          </cell>
          <cell r="X247" t="str">
            <v>CLP (CC) VG 220 = -15° + 40°</v>
          </cell>
          <cell r="Y247" t="str">
            <v>KA37/T DRN80M4</v>
          </cell>
          <cell r="Z247" t="str">
            <v>SEW</v>
          </cell>
          <cell r="AH247" t="str">
            <v>KA37T-B0-X</v>
          </cell>
        </row>
        <row r="248">
          <cell r="A248" t="str">
            <v>MR000244</v>
          </cell>
          <cell r="B248" t="str">
            <v>MR</v>
          </cell>
          <cell r="C248">
            <v>7.5</v>
          </cell>
          <cell r="D248">
            <v>63</v>
          </cell>
          <cell r="E248" t="str">
            <v>R87</v>
          </cell>
          <cell r="F248">
            <v>1140</v>
          </cell>
          <cell r="G248">
            <v>23.4</v>
          </cell>
          <cell r="H248">
            <v>1.35</v>
          </cell>
          <cell r="I248" t="str">
            <v>From M1 to M4 - 15°</v>
          </cell>
          <cell r="J248" t="str">
            <v>IE3</v>
          </cell>
          <cell r="K248">
            <v>415</v>
          </cell>
          <cell r="L248">
            <v>50</v>
          </cell>
          <cell r="M248">
            <v>15.2</v>
          </cell>
          <cell r="N248">
            <v>55</v>
          </cell>
          <cell r="O248" t="str">
            <v>F</v>
          </cell>
          <cell r="P248" t="str">
            <v>270°</v>
          </cell>
          <cell r="R248" t="str">
            <v>-</v>
          </cell>
          <cell r="V248" t="str">
            <v>D</v>
          </cell>
          <cell r="X248" t="str">
            <v>CLP (CC) VG 220 = -15° + 40°</v>
          </cell>
          <cell r="Y248" t="str">
            <v>R87DRN132M4</v>
          </cell>
          <cell r="Z248" t="str">
            <v>SEW</v>
          </cell>
          <cell r="AH248" t="str">
            <v>R87-270-X</v>
          </cell>
        </row>
        <row r="249">
          <cell r="A249" t="str">
            <v>MR000245</v>
          </cell>
          <cell r="B249" t="str">
            <v>MR</v>
          </cell>
          <cell r="C249">
            <v>22</v>
          </cell>
          <cell r="D249">
            <v>15</v>
          </cell>
          <cell r="E249" t="str">
            <v>KH157</v>
          </cell>
          <cell r="F249">
            <v>14200</v>
          </cell>
          <cell r="G249">
            <v>100.22</v>
          </cell>
          <cell r="H249">
            <v>1.25</v>
          </cell>
          <cell r="I249" t="str">
            <v>From M1A to M2A - 35°</v>
          </cell>
          <cell r="J249" t="str">
            <v>IE3</v>
          </cell>
          <cell r="K249">
            <v>415</v>
          </cell>
          <cell r="L249">
            <v>50</v>
          </cell>
          <cell r="M249">
            <v>38.5</v>
          </cell>
          <cell r="N249">
            <v>55</v>
          </cell>
          <cell r="O249" t="str">
            <v>F</v>
          </cell>
          <cell r="P249" t="str">
            <v>270°</v>
          </cell>
          <cell r="Q249" t="str">
            <v>TF</v>
          </cell>
          <cell r="R249" t="str">
            <v>415V V</v>
          </cell>
          <cell r="V249" t="str">
            <v>FC</v>
          </cell>
          <cell r="X249" t="str">
            <v>CLP (CC) VG 220 = -15° + 40°</v>
          </cell>
          <cell r="Y249" t="str">
            <v>KH157DRN180L4</v>
          </cell>
          <cell r="Z249" t="str">
            <v>SEW</v>
          </cell>
          <cell r="AH249" t="str">
            <v>KH157-A270-X#</v>
          </cell>
        </row>
        <row r="250">
          <cell r="A250" t="str">
            <v>MR000246</v>
          </cell>
          <cell r="B250" t="str">
            <v>MR</v>
          </cell>
          <cell r="C250">
            <v>22</v>
          </cell>
          <cell r="D250">
            <v>15</v>
          </cell>
          <cell r="E250" t="str">
            <v>KH157</v>
          </cell>
          <cell r="F250">
            <v>14200</v>
          </cell>
          <cell r="G250">
            <v>100.22</v>
          </cell>
          <cell r="H250">
            <v>1.25</v>
          </cell>
          <cell r="I250" t="str">
            <v>From M1B to M2B - 35°</v>
          </cell>
          <cell r="J250" t="str">
            <v>IE3</v>
          </cell>
          <cell r="K250">
            <v>415</v>
          </cell>
          <cell r="L250">
            <v>50</v>
          </cell>
          <cell r="M250">
            <v>38.5</v>
          </cell>
          <cell r="N250">
            <v>55</v>
          </cell>
          <cell r="O250" t="str">
            <v>F</v>
          </cell>
          <cell r="P250" t="str">
            <v>270°</v>
          </cell>
          <cell r="Q250" t="str">
            <v>TF</v>
          </cell>
          <cell r="R250" t="str">
            <v>415V V</v>
          </cell>
          <cell r="V250" t="str">
            <v>FC</v>
          </cell>
          <cell r="X250" t="str">
            <v>CLP (CC) VG 220 = -15° + 40°</v>
          </cell>
          <cell r="Y250" t="str">
            <v>KH157DRN180L4</v>
          </cell>
          <cell r="Z250" t="str">
            <v>SEW</v>
          </cell>
          <cell r="AH250" t="str">
            <v>KH157-B270-X#</v>
          </cell>
        </row>
        <row r="251">
          <cell r="A251" t="str">
            <v>MR000247</v>
          </cell>
          <cell r="B251" t="str">
            <v>MR</v>
          </cell>
          <cell r="C251">
            <v>22</v>
          </cell>
          <cell r="D251">
            <v>29</v>
          </cell>
          <cell r="E251" t="str">
            <v>R137</v>
          </cell>
          <cell r="F251">
            <v>7230</v>
          </cell>
          <cell r="G251">
            <v>50.86</v>
          </cell>
          <cell r="H251">
            <v>1.1000000000000001</v>
          </cell>
          <cell r="I251" t="str">
            <v>From M1 to M2 - 17°</v>
          </cell>
          <cell r="J251" t="str">
            <v>IE3</v>
          </cell>
          <cell r="K251">
            <v>400</v>
          </cell>
          <cell r="L251">
            <v>50</v>
          </cell>
          <cell r="M251">
            <v>38.5</v>
          </cell>
          <cell r="N251">
            <v>55</v>
          </cell>
          <cell r="O251" t="str">
            <v>F</v>
          </cell>
          <cell r="P251" t="str">
            <v>270°</v>
          </cell>
          <cell r="Q251" t="str">
            <v>TF</v>
          </cell>
          <cell r="R251">
            <v>400</v>
          </cell>
          <cell r="V251" t="str">
            <v>FC</v>
          </cell>
          <cell r="X251" t="str">
            <v>CLP (CC) VG 220 = -15° + 40°</v>
          </cell>
          <cell r="Y251" t="str">
            <v>R137DRN180L4-TF-V</v>
          </cell>
          <cell r="Z251" t="str">
            <v>SEW</v>
          </cell>
          <cell r="AH251" t="str">
            <v>R137-270-X#</v>
          </cell>
        </row>
        <row r="252">
          <cell r="A252" t="str">
            <v>MR000248</v>
          </cell>
          <cell r="B252" t="str">
            <v>MR</v>
          </cell>
          <cell r="C252">
            <v>11</v>
          </cell>
          <cell r="D252">
            <v>28</v>
          </cell>
          <cell r="E252" t="str">
            <v>R107</v>
          </cell>
          <cell r="F252">
            <v>3750</v>
          </cell>
          <cell r="G252">
            <v>52.68</v>
          </cell>
          <cell r="H252">
            <v>1.1499999999999999</v>
          </cell>
          <cell r="I252" t="str">
            <v>M3</v>
          </cell>
          <cell r="J252" t="str">
            <v>IE3</v>
          </cell>
          <cell r="K252">
            <v>415</v>
          </cell>
          <cell r="L252">
            <v>50</v>
          </cell>
          <cell r="M252">
            <v>21</v>
          </cell>
          <cell r="N252">
            <v>55</v>
          </cell>
          <cell r="O252" t="str">
            <v>F</v>
          </cell>
          <cell r="P252" t="str">
            <v>270°</v>
          </cell>
          <cell r="Q252" t="str">
            <v>TF</v>
          </cell>
          <cell r="R252" t="str">
            <v>415V V</v>
          </cell>
          <cell r="V252" t="str">
            <v>FC</v>
          </cell>
          <cell r="X252" t="str">
            <v>CLP (CC) VG 220 = -15° + 40°</v>
          </cell>
          <cell r="Y252" t="str">
            <v>R107DRN160M4</v>
          </cell>
          <cell r="Z252" t="str">
            <v>SEW</v>
          </cell>
          <cell r="AH252" t="str">
            <v>R107-270-X#</v>
          </cell>
        </row>
        <row r="253">
          <cell r="A253" t="str">
            <v>MR000249</v>
          </cell>
          <cell r="B253" t="str">
            <v>MR</v>
          </cell>
          <cell r="C253">
            <v>22</v>
          </cell>
          <cell r="D253">
            <v>15</v>
          </cell>
          <cell r="E253" t="str">
            <v>KH157</v>
          </cell>
          <cell r="F253">
            <v>14200</v>
          </cell>
          <cell r="G253">
            <v>100.22</v>
          </cell>
          <cell r="H253">
            <v>1.25</v>
          </cell>
          <cell r="I253" t="str">
            <v>From M1A to M2A - 40°</v>
          </cell>
          <cell r="J253" t="str">
            <v>IE3</v>
          </cell>
          <cell r="K253">
            <v>415</v>
          </cell>
          <cell r="L253">
            <v>50</v>
          </cell>
          <cell r="M253">
            <v>38.5</v>
          </cell>
          <cell r="N253">
            <v>55</v>
          </cell>
          <cell r="O253" t="str">
            <v>F</v>
          </cell>
          <cell r="P253" t="str">
            <v>270°</v>
          </cell>
          <cell r="Q253" t="str">
            <v>TF</v>
          </cell>
          <cell r="R253" t="str">
            <v>415V V</v>
          </cell>
          <cell r="V253" t="str">
            <v>FC</v>
          </cell>
          <cell r="X253" t="str">
            <v>CLP (CC) VG 220 = -15° + 40°</v>
          </cell>
          <cell r="Y253" t="str">
            <v>KH157DRN180L4</v>
          </cell>
          <cell r="Z253" t="str">
            <v>SEW</v>
          </cell>
          <cell r="AH253" t="str">
            <v>KH157-A270-X#</v>
          </cell>
        </row>
        <row r="254">
          <cell r="A254" t="str">
            <v>MR000250</v>
          </cell>
          <cell r="B254" t="str">
            <v>MR</v>
          </cell>
          <cell r="C254">
            <v>22</v>
          </cell>
          <cell r="D254">
            <v>15</v>
          </cell>
          <cell r="E254" t="str">
            <v>KH157</v>
          </cell>
          <cell r="F254">
            <v>14200</v>
          </cell>
          <cell r="G254">
            <v>100.22</v>
          </cell>
          <cell r="H254">
            <v>1.25</v>
          </cell>
          <cell r="I254" t="str">
            <v>From M1B to M2B - 40°</v>
          </cell>
          <cell r="J254" t="str">
            <v>IE3</v>
          </cell>
          <cell r="K254">
            <v>415</v>
          </cell>
          <cell r="L254">
            <v>50</v>
          </cell>
          <cell r="M254">
            <v>38.5</v>
          </cell>
          <cell r="N254">
            <v>55</v>
          </cell>
          <cell r="O254" t="str">
            <v>F</v>
          </cell>
          <cell r="P254" t="str">
            <v>270°</v>
          </cell>
          <cell r="Q254" t="str">
            <v>TF</v>
          </cell>
          <cell r="R254" t="str">
            <v>415V V</v>
          </cell>
          <cell r="V254" t="str">
            <v>FC</v>
          </cell>
          <cell r="X254" t="str">
            <v>CLP (CC) VG 220 = -15° + 40°</v>
          </cell>
          <cell r="Y254" t="str">
            <v>KH157DRN180L4</v>
          </cell>
          <cell r="Z254" t="str">
            <v>SEW</v>
          </cell>
          <cell r="AH254" t="str">
            <v>KH157-B270-X#</v>
          </cell>
        </row>
        <row r="255">
          <cell r="A255" t="str">
            <v>MR000251</v>
          </cell>
          <cell r="B255" t="str">
            <v>MR</v>
          </cell>
          <cell r="C255">
            <v>15</v>
          </cell>
          <cell r="D255">
            <v>59</v>
          </cell>
          <cell r="E255" t="str">
            <v>R107</v>
          </cell>
          <cell r="F255">
            <v>2410</v>
          </cell>
          <cell r="G255">
            <v>24.9</v>
          </cell>
          <cell r="H255">
            <v>1.8</v>
          </cell>
          <cell r="I255" t="str">
            <v>M1</v>
          </cell>
          <cell r="J255" t="str">
            <v>IE3</v>
          </cell>
          <cell r="K255">
            <v>415</v>
          </cell>
          <cell r="L255">
            <v>50</v>
          </cell>
          <cell r="N255">
            <v>55</v>
          </cell>
          <cell r="O255" t="str">
            <v>F</v>
          </cell>
          <cell r="P255" t="str">
            <v>270°</v>
          </cell>
          <cell r="R255" t="str">
            <v>-</v>
          </cell>
          <cell r="V255" t="str">
            <v>D</v>
          </cell>
          <cell r="X255" t="str">
            <v>CLP (CC) VG 220 = -15° + 40°</v>
          </cell>
          <cell r="Y255" t="str">
            <v>R107DRN160L4</v>
          </cell>
          <cell r="Z255" t="str">
            <v>SEW</v>
          </cell>
          <cell r="AH255" t="str">
            <v>R107-270-X</v>
          </cell>
        </row>
        <row r="256">
          <cell r="A256" t="str">
            <v>MR000252</v>
          </cell>
          <cell r="B256" t="str">
            <v>MR</v>
          </cell>
          <cell r="C256">
            <v>9.1999999999999993</v>
          </cell>
          <cell r="D256">
            <v>24</v>
          </cell>
          <cell r="E256" t="str">
            <v>KH97</v>
          </cell>
          <cell r="F256">
            <v>3730</v>
          </cell>
          <cell r="G256">
            <v>62.55</v>
          </cell>
          <cell r="H256">
            <v>1.1499999999999999</v>
          </cell>
          <cell r="I256" t="str">
            <v>From M1A to M2A - 30°</v>
          </cell>
          <cell r="J256" t="str">
            <v>IE3</v>
          </cell>
          <cell r="K256">
            <v>415</v>
          </cell>
          <cell r="L256">
            <v>50</v>
          </cell>
          <cell r="N256">
            <v>55</v>
          </cell>
          <cell r="O256" t="str">
            <v>F</v>
          </cell>
          <cell r="P256" t="str">
            <v>270°</v>
          </cell>
          <cell r="Q256" t="str">
            <v>TF</v>
          </cell>
          <cell r="R256" t="str">
            <v>415V V</v>
          </cell>
          <cell r="V256" t="str">
            <v>FC</v>
          </cell>
          <cell r="X256" t="str">
            <v>CLP (CC) VG 220 = -15° + 40°</v>
          </cell>
          <cell r="Y256" t="str">
            <v>KH97DRN132L4</v>
          </cell>
          <cell r="Z256" t="str">
            <v>SEW</v>
          </cell>
          <cell r="AH256" t="str">
            <v>KH97-A270-X#</v>
          </cell>
        </row>
        <row r="257">
          <cell r="A257" t="str">
            <v>MR000253</v>
          </cell>
          <cell r="B257" t="str">
            <v>MR</v>
          </cell>
          <cell r="C257">
            <v>9.1999999999999993</v>
          </cell>
          <cell r="D257">
            <v>24</v>
          </cell>
          <cell r="E257" t="str">
            <v>KH97</v>
          </cell>
          <cell r="F257">
            <v>3730</v>
          </cell>
          <cell r="G257">
            <v>62.55</v>
          </cell>
          <cell r="H257">
            <v>1.1499999999999999</v>
          </cell>
          <cell r="I257" t="str">
            <v>From M1B to M2B - 30°</v>
          </cell>
          <cell r="J257" t="str">
            <v>IE3</v>
          </cell>
          <cell r="K257">
            <v>415</v>
          </cell>
          <cell r="L257">
            <v>50</v>
          </cell>
          <cell r="N257">
            <v>55</v>
          </cell>
          <cell r="O257" t="str">
            <v>F</v>
          </cell>
          <cell r="P257" t="str">
            <v>270°</v>
          </cell>
          <cell r="Q257" t="str">
            <v>TF</v>
          </cell>
          <cell r="R257" t="str">
            <v>415V V</v>
          </cell>
          <cell r="V257" t="str">
            <v>FC</v>
          </cell>
          <cell r="X257" t="str">
            <v>CLP (CC) VG 220 = -15° + 40°</v>
          </cell>
          <cell r="Y257" t="str">
            <v>KH97DRN132L4</v>
          </cell>
          <cell r="Z257" t="str">
            <v>SEW</v>
          </cell>
          <cell r="AH257" t="str">
            <v>KH97-B270-X#</v>
          </cell>
        </row>
        <row r="258">
          <cell r="A258" t="str">
            <v>MR000254</v>
          </cell>
          <cell r="B258" t="str">
            <v>MR</v>
          </cell>
          <cell r="C258">
            <v>7.5</v>
          </cell>
          <cell r="D258">
            <v>63</v>
          </cell>
          <cell r="E258" t="str">
            <v>R87</v>
          </cell>
          <cell r="F258">
            <v>1140</v>
          </cell>
          <cell r="G258">
            <v>23.4</v>
          </cell>
          <cell r="H258">
            <v>1.35</v>
          </cell>
          <cell r="I258" t="str">
            <v>From M1 to M4 - 20°</v>
          </cell>
          <cell r="J258" t="str">
            <v>IE3</v>
          </cell>
          <cell r="K258">
            <v>415</v>
          </cell>
          <cell r="L258">
            <v>50</v>
          </cell>
          <cell r="M258">
            <v>15.2</v>
          </cell>
          <cell r="N258">
            <v>55</v>
          </cell>
          <cell r="O258" t="str">
            <v>F</v>
          </cell>
          <cell r="P258" t="str">
            <v>270°</v>
          </cell>
          <cell r="R258" t="str">
            <v>-</v>
          </cell>
          <cell r="V258" t="str">
            <v>D</v>
          </cell>
          <cell r="X258" t="str">
            <v>CLP (CC) VG 220 = -15° + 40°</v>
          </cell>
          <cell r="Y258" t="str">
            <v>R87DRN132M4</v>
          </cell>
          <cell r="Z258" t="str">
            <v>SEW</v>
          </cell>
          <cell r="AH258" t="str">
            <v>R87-270-X</v>
          </cell>
        </row>
        <row r="259">
          <cell r="A259" t="str">
            <v>MR000255</v>
          </cell>
          <cell r="B259" t="str">
            <v>MR</v>
          </cell>
          <cell r="C259">
            <v>18.5</v>
          </cell>
          <cell r="D259">
            <v>65</v>
          </cell>
          <cell r="E259" t="str">
            <v>R107</v>
          </cell>
          <cell r="F259">
            <v>2700</v>
          </cell>
          <cell r="G259">
            <v>22.62</v>
          </cell>
          <cell r="H259">
            <v>1.6</v>
          </cell>
          <cell r="I259" t="str">
            <v>From M1 to M4 - 10°</v>
          </cell>
          <cell r="J259" t="str">
            <v>IE3</v>
          </cell>
          <cell r="K259">
            <v>415</v>
          </cell>
          <cell r="L259">
            <v>50</v>
          </cell>
          <cell r="M259">
            <v>33.5</v>
          </cell>
          <cell r="N259">
            <v>55</v>
          </cell>
          <cell r="O259" t="str">
            <v>F</v>
          </cell>
          <cell r="P259" t="str">
            <v>270°</v>
          </cell>
          <cell r="R259" t="str">
            <v>-</v>
          </cell>
          <cell r="V259" t="str">
            <v>D</v>
          </cell>
          <cell r="X259" t="str">
            <v>CLP (CC) VG 220 = -15° + 40°</v>
          </cell>
          <cell r="Y259" t="str">
            <v>R107DRN180M4</v>
          </cell>
          <cell r="Z259" t="str">
            <v>SEW</v>
          </cell>
          <cell r="AH259" t="str">
            <v>R107-270-X</v>
          </cell>
        </row>
        <row r="260">
          <cell r="A260" t="str">
            <v>MR000256</v>
          </cell>
          <cell r="B260" t="str">
            <v>MR</v>
          </cell>
          <cell r="C260">
            <v>45</v>
          </cell>
          <cell r="D260">
            <v>67</v>
          </cell>
          <cell r="E260" t="str">
            <v>R137</v>
          </cell>
          <cell r="F260">
            <v>6370</v>
          </cell>
          <cell r="G260">
            <v>22</v>
          </cell>
          <cell r="H260">
            <v>1.25</v>
          </cell>
          <cell r="I260" t="str">
            <v>M4</v>
          </cell>
          <cell r="J260" t="str">
            <v>IE3</v>
          </cell>
          <cell r="K260">
            <v>415</v>
          </cell>
          <cell r="L260">
            <v>50</v>
          </cell>
          <cell r="N260">
            <v>55</v>
          </cell>
          <cell r="O260" t="str">
            <v>F</v>
          </cell>
          <cell r="P260" t="str">
            <v>270°</v>
          </cell>
          <cell r="R260" t="str">
            <v>-</v>
          </cell>
          <cell r="V260" t="str">
            <v>D</v>
          </cell>
          <cell r="X260" t="str">
            <v>CLP (CC) VG 220 = -15° + 40°</v>
          </cell>
          <cell r="Y260" t="str">
            <v>R137DRN225M4</v>
          </cell>
          <cell r="Z260" t="str">
            <v>SEW</v>
          </cell>
          <cell r="AH260" t="str">
            <v>R137-270-X</v>
          </cell>
        </row>
        <row r="261">
          <cell r="A261" t="str">
            <v>MR000257</v>
          </cell>
          <cell r="B261" t="str">
            <v>MR</v>
          </cell>
          <cell r="C261">
            <v>5.5</v>
          </cell>
          <cell r="D261">
            <v>15</v>
          </cell>
          <cell r="E261" t="str">
            <v>KH97</v>
          </cell>
          <cell r="F261">
            <v>3470</v>
          </cell>
          <cell r="G261">
            <v>96.8</v>
          </cell>
          <cell r="H261">
            <v>1.25</v>
          </cell>
          <cell r="I261" t="str">
            <v>From M1A to M2A - 5°</v>
          </cell>
          <cell r="J261" t="str">
            <v>IE3</v>
          </cell>
          <cell r="K261">
            <v>415</v>
          </cell>
          <cell r="L261">
            <v>50</v>
          </cell>
          <cell r="N261">
            <v>55</v>
          </cell>
          <cell r="O261" t="str">
            <v>F</v>
          </cell>
          <cell r="P261" t="str">
            <v>270°</v>
          </cell>
          <cell r="Q261" t="str">
            <v>TF</v>
          </cell>
          <cell r="R261" t="str">
            <v>415V V</v>
          </cell>
          <cell r="V261" t="str">
            <v>FC</v>
          </cell>
          <cell r="X261" t="str">
            <v>CLP (CC) VG 220 = -15° + 40°</v>
          </cell>
          <cell r="Y261" t="str">
            <v>KH97DRN132S4</v>
          </cell>
          <cell r="Z261" t="str">
            <v>SEW</v>
          </cell>
          <cell r="AH261" t="str">
            <v>KH97-A270-X#</v>
          </cell>
        </row>
        <row r="262">
          <cell r="A262" t="str">
            <v>MR000258</v>
          </cell>
          <cell r="B262" t="str">
            <v>MR</v>
          </cell>
          <cell r="C262">
            <v>5.5</v>
          </cell>
          <cell r="D262">
            <v>15</v>
          </cell>
          <cell r="E262" t="str">
            <v>KH97</v>
          </cell>
          <cell r="F262">
            <v>3470</v>
          </cell>
          <cell r="G262">
            <v>96.8</v>
          </cell>
          <cell r="H262">
            <v>1.25</v>
          </cell>
          <cell r="I262" t="str">
            <v>From M1B to M2B - 5°</v>
          </cell>
          <cell r="J262" t="str">
            <v>IE3</v>
          </cell>
          <cell r="K262">
            <v>415</v>
          </cell>
          <cell r="L262">
            <v>50</v>
          </cell>
          <cell r="N262">
            <v>55</v>
          </cell>
          <cell r="O262" t="str">
            <v>F</v>
          </cell>
          <cell r="P262" t="str">
            <v>270°</v>
          </cell>
          <cell r="Q262" t="str">
            <v>TF</v>
          </cell>
          <cell r="R262" t="str">
            <v>415V V</v>
          </cell>
          <cell r="V262" t="str">
            <v>FC</v>
          </cell>
          <cell r="X262" t="str">
            <v>CLP (CC) VG 220 = -15° + 40°</v>
          </cell>
          <cell r="Y262" t="str">
            <v>KH97DRN132S4</v>
          </cell>
          <cell r="Z262" t="str">
            <v>SEW</v>
          </cell>
          <cell r="AH262" t="str">
            <v>KH97-B270-X#</v>
          </cell>
        </row>
        <row r="263">
          <cell r="A263" t="str">
            <v>MR000259</v>
          </cell>
          <cell r="B263" t="str">
            <v>MR</v>
          </cell>
          <cell r="C263">
            <v>7.5</v>
          </cell>
          <cell r="D263">
            <v>21</v>
          </cell>
          <cell r="E263" t="str">
            <v>KH97</v>
          </cell>
          <cell r="F263">
            <v>3440</v>
          </cell>
          <cell r="G263">
            <v>70.540000000000006</v>
          </cell>
          <cell r="H263">
            <v>1.25</v>
          </cell>
          <cell r="I263" t="str">
            <v>From M1A to M2A - 35°</v>
          </cell>
          <cell r="J263" t="str">
            <v>IE3</v>
          </cell>
          <cell r="K263">
            <v>415</v>
          </cell>
          <cell r="L263">
            <v>50</v>
          </cell>
          <cell r="M263">
            <v>15.2</v>
          </cell>
          <cell r="N263">
            <v>55</v>
          </cell>
          <cell r="O263" t="str">
            <v>F</v>
          </cell>
          <cell r="P263" t="str">
            <v>270°</v>
          </cell>
          <cell r="Q263" t="str">
            <v>TF</v>
          </cell>
          <cell r="R263" t="str">
            <v>415V V</v>
          </cell>
          <cell r="V263" t="str">
            <v>FC</v>
          </cell>
          <cell r="X263" t="str">
            <v>CLP (CC) VG 220 = -15° + 40°</v>
          </cell>
          <cell r="Y263" t="str">
            <v>KH97DRN132M4</v>
          </cell>
          <cell r="Z263" t="str">
            <v>SEW</v>
          </cell>
          <cell r="AH263" t="str">
            <v>KH97-A270-X#</v>
          </cell>
        </row>
        <row r="264">
          <cell r="A264" t="str">
            <v>MR000260</v>
          </cell>
          <cell r="B264" t="str">
            <v>MR</v>
          </cell>
          <cell r="C264">
            <v>7.5</v>
          </cell>
          <cell r="D264">
            <v>21</v>
          </cell>
          <cell r="E264" t="str">
            <v>KH97</v>
          </cell>
          <cell r="F264">
            <v>3440</v>
          </cell>
          <cell r="G264">
            <v>70.540000000000006</v>
          </cell>
          <cell r="H264">
            <v>1.25</v>
          </cell>
          <cell r="I264" t="str">
            <v>From M1B to M2B - 35°</v>
          </cell>
          <cell r="J264" t="str">
            <v>IE3</v>
          </cell>
          <cell r="K264">
            <v>415</v>
          </cell>
          <cell r="L264">
            <v>50</v>
          </cell>
          <cell r="M264">
            <v>15.2</v>
          </cell>
          <cell r="N264">
            <v>55</v>
          </cell>
          <cell r="O264" t="str">
            <v>F</v>
          </cell>
          <cell r="P264" t="str">
            <v>270°</v>
          </cell>
          <cell r="Q264" t="str">
            <v>TF</v>
          </cell>
          <cell r="R264" t="str">
            <v>415V V</v>
          </cell>
          <cell r="V264" t="str">
            <v>FC</v>
          </cell>
          <cell r="X264" t="str">
            <v>CLP (CC) VG 220 = -15° + 40°</v>
          </cell>
          <cell r="Y264" t="str">
            <v>KH97DRN132M4</v>
          </cell>
          <cell r="Z264" t="str">
            <v>SEW</v>
          </cell>
          <cell r="AH264" t="str">
            <v>KH97-B270-X#</v>
          </cell>
        </row>
        <row r="265">
          <cell r="A265" t="str">
            <v>MR000261</v>
          </cell>
          <cell r="B265" t="str">
            <v>MR</v>
          </cell>
          <cell r="C265">
            <v>15</v>
          </cell>
          <cell r="D265" t="str">
            <v>16</v>
          </cell>
          <cell r="E265" t="str">
            <v>KH127</v>
          </cell>
          <cell r="F265">
            <v>8730</v>
          </cell>
          <cell r="G265">
            <v>89.89</v>
          </cell>
          <cell r="H265">
            <v>1.5</v>
          </cell>
          <cell r="I265" t="str">
            <v>From M1A to M2A - 5°</v>
          </cell>
          <cell r="J265" t="str">
            <v>IE3</v>
          </cell>
          <cell r="K265">
            <v>415</v>
          </cell>
          <cell r="L265">
            <v>50</v>
          </cell>
          <cell r="M265">
            <v>29</v>
          </cell>
          <cell r="N265">
            <v>55</v>
          </cell>
          <cell r="O265" t="str">
            <v>F</v>
          </cell>
          <cell r="P265" t="str">
            <v>270°</v>
          </cell>
          <cell r="Q265" t="str">
            <v>TF</v>
          </cell>
          <cell r="R265" t="str">
            <v>415V V</v>
          </cell>
          <cell r="V265" t="str">
            <v>FC</v>
          </cell>
          <cell r="X265" t="str">
            <v>CLP (CC) VG 220 = -15° + 40°</v>
          </cell>
          <cell r="Y265" t="str">
            <v>KH127DRN160L4</v>
          </cell>
          <cell r="Z265" t="str">
            <v>SEW</v>
          </cell>
          <cell r="AH265" t="str">
            <v>KH127-A270-X#</v>
          </cell>
        </row>
        <row r="266">
          <cell r="A266" t="str">
            <v>MR000262</v>
          </cell>
          <cell r="B266" t="str">
            <v>MR</v>
          </cell>
          <cell r="C266">
            <v>15</v>
          </cell>
          <cell r="D266" t="str">
            <v>16</v>
          </cell>
          <cell r="E266" t="str">
            <v>KH127</v>
          </cell>
          <cell r="F266">
            <v>8730</v>
          </cell>
          <cell r="G266">
            <v>89.89</v>
          </cell>
          <cell r="H266">
            <v>1.5</v>
          </cell>
          <cell r="I266" t="str">
            <v>From M1B to M2B - 5°</v>
          </cell>
          <cell r="J266" t="str">
            <v>IE3</v>
          </cell>
          <cell r="K266">
            <v>415</v>
          </cell>
          <cell r="L266">
            <v>50</v>
          </cell>
          <cell r="M266">
            <v>29</v>
          </cell>
          <cell r="N266">
            <v>55</v>
          </cell>
          <cell r="O266" t="str">
            <v>F</v>
          </cell>
          <cell r="P266" t="str">
            <v>270°</v>
          </cell>
          <cell r="Q266" t="str">
            <v>TF</v>
          </cell>
          <cell r="R266" t="str">
            <v>415V V</v>
          </cell>
          <cell r="V266" t="str">
            <v>FC</v>
          </cell>
          <cell r="X266" t="str">
            <v>CLP (CC) VG 220 = -15° + 40°</v>
          </cell>
          <cell r="Y266" t="str">
            <v>KH127DRN160L4</v>
          </cell>
          <cell r="Z266" t="str">
            <v>SEW</v>
          </cell>
          <cell r="AH266" t="str">
            <v>KH127-B270-X#</v>
          </cell>
        </row>
        <row r="267">
          <cell r="A267" t="str">
            <v>MR000263</v>
          </cell>
          <cell r="B267" t="str">
            <v>MR</v>
          </cell>
          <cell r="C267">
            <v>18.5</v>
          </cell>
          <cell r="D267" t="str">
            <v>16</v>
          </cell>
          <cell r="E267" t="str">
            <v>KH127</v>
          </cell>
          <cell r="F267">
            <v>10700</v>
          </cell>
          <cell r="G267">
            <v>89.89</v>
          </cell>
          <cell r="H267">
            <v>1.2</v>
          </cell>
          <cell r="I267" t="str">
            <v>From M1B to M2B - 25°</v>
          </cell>
          <cell r="J267" t="str">
            <v>IE3</v>
          </cell>
          <cell r="K267">
            <v>415</v>
          </cell>
          <cell r="L267">
            <v>50</v>
          </cell>
          <cell r="M267">
            <v>33.5</v>
          </cell>
          <cell r="N267">
            <v>55</v>
          </cell>
          <cell r="O267" t="str">
            <v>F</v>
          </cell>
          <cell r="P267" t="str">
            <v>270°</v>
          </cell>
          <cell r="Q267" t="str">
            <v>TF</v>
          </cell>
          <cell r="R267" t="str">
            <v>415V V</v>
          </cell>
          <cell r="V267" t="str">
            <v>FC</v>
          </cell>
          <cell r="X267" t="str">
            <v>CLP (CC) VG 220 = -15° + 40°</v>
          </cell>
          <cell r="Y267" t="str">
            <v>KH127DRN180M4</v>
          </cell>
          <cell r="Z267" t="str">
            <v>SEW</v>
          </cell>
          <cell r="AH267" t="str">
            <v>KH127-B270-X#</v>
          </cell>
        </row>
        <row r="268">
          <cell r="A268" t="str">
            <v>MR000264</v>
          </cell>
          <cell r="B268" t="str">
            <v>MR</v>
          </cell>
          <cell r="C268">
            <v>18.5</v>
          </cell>
          <cell r="D268" t="str">
            <v>15</v>
          </cell>
          <cell r="E268" t="str">
            <v>KH157</v>
          </cell>
          <cell r="F268">
            <v>11900</v>
          </cell>
          <cell r="G268">
            <v>100.22</v>
          </cell>
          <cell r="H268">
            <v>1.5</v>
          </cell>
          <cell r="I268" t="str">
            <v>From M1B to M2B - 5°</v>
          </cell>
          <cell r="J268" t="str">
            <v>IE3</v>
          </cell>
          <cell r="K268">
            <v>415</v>
          </cell>
          <cell r="L268">
            <v>50</v>
          </cell>
          <cell r="M268">
            <v>33.5</v>
          </cell>
          <cell r="N268">
            <v>55</v>
          </cell>
          <cell r="O268" t="str">
            <v>F</v>
          </cell>
          <cell r="P268" t="str">
            <v>270°</v>
          </cell>
          <cell r="Q268" t="str">
            <v>TF</v>
          </cell>
          <cell r="R268" t="str">
            <v>415V V</v>
          </cell>
          <cell r="V268" t="str">
            <v>FC</v>
          </cell>
          <cell r="X268" t="str">
            <v>CLP (CC) VG 220 = -15° + 40°</v>
          </cell>
          <cell r="Y268" t="str">
            <v>KH157DRN180M4</v>
          </cell>
          <cell r="Z268" t="str">
            <v>SEW</v>
          </cell>
          <cell r="AH268" t="str">
            <v>KH157-B270-X#</v>
          </cell>
        </row>
        <row r="269">
          <cell r="A269" t="str">
            <v>MR000265</v>
          </cell>
          <cell r="B269" t="str">
            <v>MR</v>
          </cell>
          <cell r="C269">
            <v>18.5</v>
          </cell>
          <cell r="D269" t="str">
            <v>15</v>
          </cell>
          <cell r="E269" t="str">
            <v>KH157</v>
          </cell>
          <cell r="F269">
            <v>11900</v>
          </cell>
          <cell r="G269">
            <v>100.22</v>
          </cell>
          <cell r="H269">
            <v>1.5</v>
          </cell>
          <cell r="I269" t="str">
            <v>From M1B to M2B - 25°</v>
          </cell>
          <cell r="J269" t="str">
            <v>IE3</v>
          </cell>
          <cell r="K269">
            <v>415</v>
          </cell>
          <cell r="L269">
            <v>50</v>
          </cell>
          <cell r="M269">
            <v>33.5</v>
          </cell>
          <cell r="N269">
            <v>55</v>
          </cell>
          <cell r="O269" t="str">
            <v>F</v>
          </cell>
          <cell r="P269" t="str">
            <v>270°</v>
          </cell>
          <cell r="Q269" t="str">
            <v>TF</v>
          </cell>
          <cell r="R269" t="str">
            <v>415V V</v>
          </cell>
          <cell r="V269" t="str">
            <v>FC</v>
          </cell>
          <cell r="X269" t="str">
            <v>CLP (CC) VG 220 = -15° + 40°</v>
          </cell>
          <cell r="Y269" t="str">
            <v>KH157DRN180M4</v>
          </cell>
          <cell r="Z269" t="str">
            <v>SEW</v>
          </cell>
          <cell r="AH269" t="str">
            <v>KH157-B270-X#</v>
          </cell>
        </row>
        <row r="270">
          <cell r="A270" t="str">
            <v>MR000266</v>
          </cell>
          <cell r="B270" t="str">
            <v>MR</v>
          </cell>
          <cell r="C270">
            <v>11</v>
          </cell>
          <cell r="D270">
            <v>59</v>
          </cell>
          <cell r="E270" t="str">
            <v>R97</v>
          </cell>
          <cell r="F270">
            <v>1780</v>
          </cell>
          <cell r="G270">
            <v>25.03</v>
          </cell>
          <cell r="H270">
            <v>1.6</v>
          </cell>
          <cell r="I270" t="str">
            <v>From M1 to M4 - 20°</v>
          </cell>
          <cell r="J270" t="str">
            <v>IE3</v>
          </cell>
          <cell r="K270">
            <v>415</v>
          </cell>
          <cell r="L270">
            <v>50</v>
          </cell>
          <cell r="M270">
            <v>21</v>
          </cell>
          <cell r="N270">
            <v>55</v>
          </cell>
          <cell r="O270" t="str">
            <v>F</v>
          </cell>
          <cell r="P270" t="str">
            <v>270°</v>
          </cell>
          <cell r="R270" t="str">
            <v>-</v>
          </cell>
          <cell r="V270" t="str">
            <v>D</v>
          </cell>
          <cell r="X270" t="str">
            <v>CLP (CC) VG 220 = -15° + 40°</v>
          </cell>
          <cell r="Y270" t="str">
            <v>R97DRN160M4</v>
          </cell>
          <cell r="Z270" t="str">
            <v>SEW</v>
          </cell>
          <cell r="AH270" t="str">
            <v>R97-270-X</v>
          </cell>
        </row>
        <row r="271">
          <cell r="A271" t="str">
            <v>MR000267</v>
          </cell>
          <cell r="B271" t="str">
            <v>MR</v>
          </cell>
          <cell r="C271">
            <v>7.5</v>
          </cell>
          <cell r="D271">
            <v>21</v>
          </cell>
          <cell r="E271" t="str">
            <v>KH97</v>
          </cell>
          <cell r="F271">
            <v>3440</v>
          </cell>
          <cell r="G271">
            <v>70.540000000000006</v>
          </cell>
          <cell r="H271">
            <v>1.25</v>
          </cell>
          <cell r="I271" t="str">
            <v>From M1A to M2A - 40°</v>
          </cell>
          <cell r="J271" t="str">
            <v>IE3</v>
          </cell>
          <cell r="K271">
            <v>415</v>
          </cell>
          <cell r="L271">
            <v>50</v>
          </cell>
          <cell r="M271">
            <v>15.2</v>
          </cell>
          <cell r="N271">
            <v>55</v>
          </cell>
          <cell r="O271" t="str">
            <v>F</v>
          </cell>
          <cell r="P271" t="str">
            <v>270°</v>
          </cell>
          <cell r="Q271" t="str">
            <v>TF</v>
          </cell>
          <cell r="R271" t="str">
            <v>415V V</v>
          </cell>
          <cell r="V271" t="str">
            <v>FC</v>
          </cell>
          <cell r="X271" t="str">
            <v>CLP (CC) VG 220 = -15° + 40°</v>
          </cell>
          <cell r="Y271" t="str">
            <v>KH97DRN132M4</v>
          </cell>
          <cell r="Z271" t="str">
            <v>SEW</v>
          </cell>
          <cell r="AH271" t="str">
            <v>KH97-A270-X#</v>
          </cell>
        </row>
        <row r="272">
          <cell r="A272" t="str">
            <v>MR000268</v>
          </cell>
          <cell r="B272" t="str">
            <v>MR</v>
          </cell>
          <cell r="C272">
            <v>7.5</v>
          </cell>
          <cell r="D272">
            <v>21</v>
          </cell>
          <cell r="E272" t="str">
            <v>KH97</v>
          </cell>
          <cell r="F272">
            <v>3440</v>
          </cell>
          <cell r="G272">
            <v>70.540000000000006</v>
          </cell>
          <cell r="H272">
            <v>1.25</v>
          </cell>
          <cell r="I272" t="str">
            <v>From M1B to M2B - 40°</v>
          </cell>
          <cell r="J272" t="str">
            <v>IE3</v>
          </cell>
          <cell r="K272">
            <v>415</v>
          </cell>
          <cell r="L272">
            <v>50</v>
          </cell>
          <cell r="M272">
            <v>15.2</v>
          </cell>
          <cell r="N272">
            <v>55</v>
          </cell>
          <cell r="O272" t="str">
            <v>F</v>
          </cell>
          <cell r="P272" t="str">
            <v>270°</v>
          </cell>
          <cell r="Q272" t="str">
            <v>TF</v>
          </cell>
          <cell r="R272" t="str">
            <v>415V V</v>
          </cell>
          <cell r="V272" t="str">
            <v>FC</v>
          </cell>
          <cell r="X272" t="str">
            <v>CLP (CC) VG 220 = -15° + 40°</v>
          </cell>
          <cell r="Y272" t="str">
            <v>KH97DRN132M4</v>
          </cell>
          <cell r="Z272" t="str">
            <v>SEW</v>
          </cell>
          <cell r="AH272" t="str">
            <v>KH97-B270-X#</v>
          </cell>
        </row>
        <row r="273">
          <cell r="A273" t="str">
            <v>MR000269</v>
          </cell>
          <cell r="B273" t="str">
            <v>MR</v>
          </cell>
          <cell r="C273">
            <v>7.5</v>
          </cell>
          <cell r="D273">
            <v>46</v>
          </cell>
          <cell r="E273" t="str">
            <v>R97</v>
          </cell>
          <cell r="F273">
            <v>1560</v>
          </cell>
          <cell r="G273">
            <v>32.049999999999997</v>
          </cell>
          <cell r="H273">
            <v>1.65</v>
          </cell>
          <cell r="I273" t="str">
            <v>From M5 to M2 - 20°</v>
          </cell>
          <cell r="J273" t="str">
            <v>IE3</v>
          </cell>
          <cell r="K273">
            <v>415</v>
          </cell>
          <cell r="L273">
            <v>50</v>
          </cell>
          <cell r="M273">
            <v>15.2</v>
          </cell>
          <cell r="N273">
            <v>55</v>
          </cell>
          <cell r="O273" t="str">
            <v>F</v>
          </cell>
          <cell r="P273" t="str">
            <v>270°</v>
          </cell>
          <cell r="Q273" t="str">
            <v>TF</v>
          </cell>
          <cell r="R273" t="str">
            <v>415V V</v>
          </cell>
          <cell r="V273" t="str">
            <v>FC</v>
          </cell>
          <cell r="X273" t="str">
            <v>CLP (CC) VG 220 = -15° + 40°</v>
          </cell>
          <cell r="Y273" t="str">
            <v>R97DRN132M4</v>
          </cell>
          <cell r="Z273" t="str">
            <v>SEW</v>
          </cell>
          <cell r="AH273" t="str">
            <v>R97-270-X#</v>
          </cell>
        </row>
        <row r="274">
          <cell r="A274" t="str">
            <v>MR000270</v>
          </cell>
          <cell r="B274" t="str">
            <v>MR</v>
          </cell>
          <cell r="C274">
            <v>5.5</v>
          </cell>
          <cell r="D274">
            <v>62</v>
          </cell>
          <cell r="E274" t="str">
            <v>R87</v>
          </cell>
          <cell r="F274">
            <v>840</v>
          </cell>
          <cell r="G274">
            <v>23.4</v>
          </cell>
          <cell r="H274">
            <v>1.85</v>
          </cell>
          <cell r="I274" t="str">
            <v>M1</v>
          </cell>
          <cell r="J274" t="str">
            <v>IE3</v>
          </cell>
          <cell r="K274">
            <v>415</v>
          </cell>
          <cell r="L274">
            <v>50</v>
          </cell>
          <cell r="N274">
            <v>55</v>
          </cell>
          <cell r="O274" t="str">
            <v>F</v>
          </cell>
          <cell r="P274" t="str">
            <v>270°</v>
          </cell>
          <cell r="R274" t="str">
            <v>-</v>
          </cell>
          <cell r="V274" t="str">
            <v>D</v>
          </cell>
          <cell r="X274" t="str">
            <v>CLP (CC) VG 220 = -15° + 40°</v>
          </cell>
          <cell r="Y274" t="str">
            <v>R87DRN132S4</v>
          </cell>
          <cell r="Z274" t="str">
            <v>SEW</v>
          </cell>
          <cell r="AH274" t="str">
            <v>R87-270-X</v>
          </cell>
        </row>
        <row r="275">
          <cell r="A275" t="str">
            <v>MR000271</v>
          </cell>
          <cell r="B275" t="str">
            <v>MR</v>
          </cell>
          <cell r="C275">
            <v>15</v>
          </cell>
          <cell r="D275">
            <v>22</v>
          </cell>
          <cell r="E275" t="str">
            <v>KH107</v>
          </cell>
          <cell r="F275">
            <v>6460</v>
          </cell>
          <cell r="G275">
            <v>66.52</v>
          </cell>
          <cell r="H275">
            <v>1.25</v>
          </cell>
          <cell r="I275" t="str">
            <v>From M1A to M2A - 35°</v>
          </cell>
          <cell r="J275" t="str">
            <v>IE3</v>
          </cell>
          <cell r="K275">
            <v>415</v>
          </cell>
          <cell r="L275">
            <v>50</v>
          </cell>
          <cell r="N275">
            <v>55</v>
          </cell>
          <cell r="O275" t="str">
            <v>F</v>
          </cell>
          <cell r="P275" t="str">
            <v>270°</v>
          </cell>
          <cell r="Q275" t="str">
            <v>TF</v>
          </cell>
          <cell r="R275" t="str">
            <v>415V V</v>
          </cell>
          <cell r="V275" t="str">
            <v>FC</v>
          </cell>
          <cell r="X275" t="str">
            <v>CLP (CC) VG 220 = -15° + 40°</v>
          </cell>
          <cell r="Y275" t="str">
            <v>KH107DRN160L4</v>
          </cell>
          <cell r="Z275" t="str">
            <v>SEW</v>
          </cell>
          <cell r="AH275" t="str">
            <v>KH107-A270-X#</v>
          </cell>
        </row>
        <row r="276">
          <cell r="A276" t="str">
            <v>MR000272</v>
          </cell>
          <cell r="B276" t="str">
            <v>MR</v>
          </cell>
          <cell r="C276">
            <v>15</v>
          </cell>
          <cell r="D276">
            <v>22</v>
          </cell>
          <cell r="E276" t="str">
            <v>KH107</v>
          </cell>
          <cell r="F276">
            <v>6460</v>
          </cell>
          <cell r="G276">
            <v>66.52</v>
          </cell>
          <cell r="H276">
            <v>1.25</v>
          </cell>
          <cell r="I276" t="str">
            <v>From M1B to M2B - 35°</v>
          </cell>
          <cell r="J276" t="str">
            <v>IE3</v>
          </cell>
          <cell r="K276">
            <v>415</v>
          </cell>
          <cell r="L276">
            <v>50</v>
          </cell>
          <cell r="N276">
            <v>55</v>
          </cell>
          <cell r="O276" t="str">
            <v>F</v>
          </cell>
          <cell r="P276" t="str">
            <v>270°</v>
          </cell>
          <cell r="Q276" t="str">
            <v>TF</v>
          </cell>
          <cell r="R276" t="str">
            <v>415V V</v>
          </cell>
          <cell r="V276" t="str">
            <v>FC</v>
          </cell>
          <cell r="X276" t="str">
            <v>CLP (CC) VG 220 = -15° + 40°</v>
          </cell>
          <cell r="Y276" t="str">
            <v>KH107DRN160L4</v>
          </cell>
          <cell r="Z276" t="str">
            <v>SEW</v>
          </cell>
          <cell r="AH276" t="str">
            <v>KH107-B270-X#</v>
          </cell>
        </row>
        <row r="277">
          <cell r="A277" t="str">
            <v>MR000273</v>
          </cell>
          <cell r="B277" t="str">
            <v>MR</v>
          </cell>
          <cell r="C277">
            <v>7.5</v>
          </cell>
          <cell r="D277">
            <v>63</v>
          </cell>
          <cell r="E277" t="str">
            <v>R87</v>
          </cell>
          <cell r="F277">
            <v>1140</v>
          </cell>
          <cell r="G277">
            <v>23.4</v>
          </cell>
          <cell r="H277">
            <v>1.35</v>
          </cell>
          <cell r="I277" t="str">
            <v>From M1 to M4 - 10°</v>
          </cell>
          <cell r="J277" t="str">
            <v>IE3</v>
          </cell>
          <cell r="K277">
            <v>415</v>
          </cell>
          <cell r="L277">
            <v>50</v>
          </cell>
          <cell r="M277">
            <v>15.2</v>
          </cell>
          <cell r="N277">
            <v>55</v>
          </cell>
          <cell r="O277" t="str">
            <v>F</v>
          </cell>
          <cell r="P277" t="str">
            <v>270°</v>
          </cell>
          <cell r="R277" t="str">
            <v>-</v>
          </cell>
          <cell r="V277" t="str">
            <v>D</v>
          </cell>
          <cell r="X277" t="str">
            <v>CLP (CC) VG 220 = -15° + 40°</v>
          </cell>
          <cell r="Y277" t="str">
            <v>R87DRN132M4</v>
          </cell>
          <cell r="Z277" t="str">
            <v>SEW</v>
          </cell>
          <cell r="AH277" t="str">
            <v>R87-270-X</v>
          </cell>
        </row>
        <row r="278">
          <cell r="A278" t="str">
            <v>MR000274</v>
          </cell>
          <cell r="B278" t="str">
            <v>MR</v>
          </cell>
          <cell r="C278">
            <v>18.5</v>
          </cell>
          <cell r="D278" t="str">
            <v>16</v>
          </cell>
          <cell r="E278" t="str">
            <v>KH127</v>
          </cell>
          <cell r="F278">
            <v>10800</v>
          </cell>
          <cell r="G278">
            <v>89.89</v>
          </cell>
          <cell r="H278">
            <v>1.2</v>
          </cell>
          <cell r="I278" t="str">
            <v>From M1A to M4A - 50°</v>
          </cell>
          <cell r="J278" t="str">
            <v>IE3</v>
          </cell>
          <cell r="K278">
            <v>415</v>
          </cell>
          <cell r="L278">
            <v>50</v>
          </cell>
          <cell r="M278">
            <v>38.5</v>
          </cell>
          <cell r="N278">
            <v>55</v>
          </cell>
          <cell r="O278" t="str">
            <v>F</v>
          </cell>
          <cell r="P278" t="str">
            <v>270°</v>
          </cell>
          <cell r="R278" t="str">
            <v>-</v>
          </cell>
          <cell r="U278" t="str">
            <v>T</v>
          </cell>
          <cell r="V278" t="str">
            <v>SS</v>
          </cell>
          <cell r="X278" t="str">
            <v>CLP HC VG 150 = -40° + 40°</v>
          </cell>
          <cell r="Y278" t="str">
            <v>KH127/TEDRE180L4</v>
          </cell>
          <cell r="Z278" t="str">
            <v>SEW</v>
          </cell>
          <cell r="AB278" t="str">
            <v>ATEX22</v>
          </cell>
          <cell r="AH278" t="str">
            <v>KH127T-A270-X</v>
          </cell>
        </row>
        <row r="279">
          <cell r="A279" t="str">
            <v>MR000275</v>
          </cell>
          <cell r="B279" t="str">
            <v>MR</v>
          </cell>
          <cell r="C279">
            <v>9.1999999999999993</v>
          </cell>
          <cell r="D279">
            <v>13</v>
          </cell>
          <cell r="E279" t="str">
            <v>KH107</v>
          </cell>
          <cell r="F279">
            <v>6710</v>
          </cell>
          <cell r="G279">
            <v>112.41</v>
          </cell>
          <cell r="H279">
            <v>1.2</v>
          </cell>
          <cell r="I279" t="str">
            <v>From M1B to M2B - 20°</v>
          </cell>
          <cell r="J279" t="str">
            <v>IE3</v>
          </cell>
          <cell r="K279">
            <v>415</v>
          </cell>
          <cell r="L279">
            <v>50</v>
          </cell>
          <cell r="M279">
            <v>18.7</v>
          </cell>
          <cell r="N279">
            <v>55</v>
          </cell>
          <cell r="O279" t="str">
            <v>F</v>
          </cell>
          <cell r="P279" t="str">
            <v>270°</v>
          </cell>
          <cell r="Q279" t="str">
            <v>TF</v>
          </cell>
          <cell r="R279" t="str">
            <v>415V V</v>
          </cell>
          <cell r="V279" t="str">
            <v>FC</v>
          </cell>
          <cell r="X279" t="str">
            <v>CLP (CC) VG 220 = -15° + 40°</v>
          </cell>
          <cell r="Y279" t="str">
            <v>KH107DRN132L4</v>
          </cell>
          <cell r="Z279" t="str">
            <v>SEW</v>
          </cell>
          <cell r="AH279" t="str">
            <v>KH107-B270-X#</v>
          </cell>
        </row>
        <row r="280">
          <cell r="A280" t="str">
            <v>MR000276</v>
          </cell>
          <cell r="B280" t="str">
            <v>MR</v>
          </cell>
          <cell r="C280">
            <v>3</v>
          </cell>
          <cell r="D280">
            <v>83</v>
          </cell>
          <cell r="E280" t="str">
            <v>KA67</v>
          </cell>
          <cell r="F280">
            <v>345</v>
          </cell>
          <cell r="G280">
            <v>17.54</v>
          </cell>
          <cell r="H280">
            <v>1.8</v>
          </cell>
          <cell r="I280" t="str">
            <v>M1B</v>
          </cell>
          <cell r="J280" t="str">
            <v>IE3</v>
          </cell>
          <cell r="K280">
            <v>400</v>
          </cell>
          <cell r="L280">
            <v>50</v>
          </cell>
          <cell r="N280">
            <v>55</v>
          </cell>
          <cell r="O280" t="str">
            <v>F</v>
          </cell>
          <cell r="P280" t="str">
            <v>0°</v>
          </cell>
          <cell r="R280" t="str">
            <v>-</v>
          </cell>
          <cell r="U280" t="str">
            <v>T</v>
          </cell>
          <cell r="V280" t="str">
            <v>D</v>
          </cell>
          <cell r="X280" t="str">
            <v>CLP HC VG 150 = -40° + 40°</v>
          </cell>
          <cell r="Y280" t="str">
            <v>KA67/TEDRE100LC4</v>
          </cell>
          <cell r="Z280" t="str">
            <v>SEW</v>
          </cell>
          <cell r="AB280" t="str">
            <v>ATEX22</v>
          </cell>
          <cell r="AH280" t="str">
            <v>KA67T-B0-X</v>
          </cell>
        </row>
        <row r="281">
          <cell r="A281" t="str">
            <v>MR000277</v>
          </cell>
          <cell r="B281" t="str">
            <v>MR</v>
          </cell>
          <cell r="C281">
            <v>11</v>
          </cell>
          <cell r="D281">
            <v>43</v>
          </cell>
          <cell r="E281" t="str">
            <v>KH97</v>
          </cell>
          <cell r="F281">
            <v>2440</v>
          </cell>
          <cell r="G281">
            <v>34.229999999999997</v>
          </cell>
          <cell r="H281">
            <v>1.75</v>
          </cell>
          <cell r="I281" t="str">
            <v>M4B</v>
          </cell>
          <cell r="J281" t="str">
            <v>IE3</v>
          </cell>
          <cell r="K281">
            <v>400</v>
          </cell>
          <cell r="L281">
            <v>50</v>
          </cell>
          <cell r="N281">
            <v>55</v>
          </cell>
          <cell r="O281" t="str">
            <v>F</v>
          </cell>
          <cell r="P281" t="str">
            <v>270°</v>
          </cell>
          <cell r="R281" t="str">
            <v>-</v>
          </cell>
          <cell r="U281" t="str">
            <v>T</v>
          </cell>
          <cell r="V281" t="str">
            <v>SS</v>
          </cell>
          <cell r="X281" t="str">
            <v>CLP (CC) VG 220 = -15° + 40°</v>
          </cell>
          <cell r="Y281" t="str">
            <v>KH97/T EDRE180S4</v>
          </cell>
          <cell r="Z281" t="str">
            <v>SEW</v>
          </cell>
          <cell r="AB281" t="str">
            <v>ATEX22</v>
          </cell>
          <cell r="AH281" t="str">
            <v>KH97T-B270-X</v>
          </cell>
        </row>
        <row r="282">
          <cell r="A282" t="str">
            <v>MR000278</v>
          </cell>
          <cell r="B282" t="str">
            <v>MR</v>
          </cell>
          <cell r="C282">
            <v>0.75</v>
          </cell>
          <cell r="D282">
            <v>162</v>
          </cell>
          <cell r="E282" t="str">
            <v>KA37</v>
          </cell>
          <cell r="F282">
            <v>44</v>
          </cell>
          <cell r="G282">
            <v>8.91</v>
          </cell>
          <cell r="H282">
            <v>3.6</v>
          </cell>
          <cell r="I282" t="str">
            <v>M1A</v>
          </cell>
          <cell r="J282" t="str">
            <v>IE3</v>
          </cell>
          <cell r="K282">
            <v>400</v>
          </cell>
          <cell r="L282">
            <v>50</v>
          </cell>
          <cell r="M282">
            <v>1.75</v>
          </cell>
          <cell r="N282">
            <v>55</v>
          </cell>
          <cell r="O282" t="str">
            <v>F</v>
          </cell>
          <cell r="P282" t="str">
            <v>0°</v>
          </cell>
          <cell r="R282" t="str">
            <v>-</v>
          </cell>
          <cell r="U282" t="str">
            <v>T</v>
          </cell>
          <cell r="V282" t="str">
            <v>D</v>
          </cell>
          <cell r="X282" t="str">
            <v>CLP (CC) VG 220 = -15° + 40°</v>
          </cell>
          <cell r="Y282" t="str">
            <v>KA37TEDRE80M4</v>
          </cell>
          <cell r="Z282" t="str">
            <v>SEW</v>
          </cell>
          <cell r="AB282" t="str">
            <v>ATEX22</v>
          </cell>
          <cell r="AH282" t="str">
            <v>KA37T-A0-X</v>
          </cell>
        </row>
        <row r="283">
          <cell r="A283" t="str">
            <v>MR000279</v>
          </cell>
          <cell r="B283" t="str">
            <v>MR</v>
          </cell>
          <cell r="C283">
            <v>0.75</v>
          </cell>
          <cell r="D283">
            <v>162</v>
          </cell>
          <cell r="E283" t="str">
            <v>KA37</v>
          </cell>
          <cell r="F283">
            <v>44</v>
          </cell>
          <cell r="G283">
            <v>8.91</v>
          </cell>
          <cell r="H283">
            <v>3.6</v>
          </cell>
          <cell r="I283" t="str">
            <v>M1B</v>
          </cell>
          <cell r="J283" t="str">
            <v>IE3</v>
          </cell>
          <cell r="K283" t="str">
            <v>230/400</v>
          </cell>
          <cell r="L283">
            <v>50</v>
          </cell>
          <cell r="M283" t="str">
            <v>3,05/1,75</v>
          </cell>
          <cell r="N283">
            <v>55</v>
          </cell>
          <cell r="O283" t="str">
            <v>F</v>
          </cell>
          <cell r="P283" t="str">
            <v>0°</v>
          </cell>
          <cell r="R283" t="str">
            <v>-</v>
          </cell>
          <cell r="U283" t="str">
            <v>T</v>
          </cell>
          <cell r="V283" t="str">
            <v>D</v>
          </cell>
          <cell r="X283" t="str">
            <v>CLP (CC) VG 220 = -15° + 40°</v>
          </cell>
          <cell r="Y283" t="str">
            <v>KA37/TDRN80M4</v>
          </cell>
          <cell r="Z283" t="str">
            <v>SEW</v>
          </cell>
          <cell r="AH283" t="str">
            <v>KA37T-B0-X</v>
          </cell>
        </row>
        <row r="284">
          <cell r="A284" t="str">
            <v>MR000280</v>
          </cell>
          <cell r="B284" t="str">
            <v>MR</v>
          </cell>
          <cell r="C284">
            <v>22</v>
          </cell>
          <cell r="D284">
            <v>35</v>
          </cell>
          <cell r="E284" t="str">
            <v>KH107</v>
          </cell>
          <cell r="F284">
            <v>6020</v>
          </cell>
          <cell r="G284">
            <v>42.33</v>
          </cell>
          <cell r="H284">
            <v>1.2</v>
          </cell>
          <cell r="I284" t="str">
            <v>M4A</v>
          </cell>
          <cell r="J284" t="str">
            <v>IE3</v>
          </cell>
          <cell r="K284">
            <v>400</v>
          </cell>
          <cell r="L284">
            <v>50</v>
          </cell>
          <cell r="M284">
            <v>38.5</v>
          </cell>
          <cell r="N284">
            <v>55</v>
          </cell>
          <cell r="O284" t="str">
            <v>F</v>
          </cell>
          <cell r="P284" t="str">
            <v>270°</v>
          </cell>
          <cell r="R284" t="str">
            <v>-</v>
          </cell>
          <cell r="U284" t="str">
            <v>T</v>
          </cell>
          <cell r="V284" t="str">
            <v>SS</v>
          </cell>
          <cell r="X284" t="str">
            <v>CLP (CC) VG 220 = -15° + 40°</v>
          </cell>
          <cell r="Y284" t="str">
            <v>KH107/TDRN180L4</v>
          </cell>
          <cell r="Z284" t="str">
            <v>SEW</v>
          </cell>
          <cell r="AH284" t="str">
            <v>KH107T-A270-X</v>
          </cell>
        </row>
        <row r="285">
          <cell r="A285" t="str">
            <v>MR000281</v>
          </cell>
          <cell r="B285" t="str">
            <v>MR</v>
          </cell>
          <cell r="C285">
            <v>1.1000000000000001</v>
          </cell>
          <cell r="D285">
            <v>7.2</v>
          </cell>
          <cell r="E285" t="str">
            <v>FV77</v>
          </cell>
          <cell r="F285">
            <v>1470</v>
          </cell>
          <cell r="G285">
            <v>198.3</v>
          </cell>
          <cell r="H285">
            <v>1</v>
          </cell>
          <cell r="I285" t="str">
            <v>M6</v>
          </cell>
          <cell r="J285" t="str">
            <v>IE3</v>
          </cell>
          <cell r="K285">
            <v>400</v>
          </cell>
          <cell r="L285">
            <v>50</v>
          </cell>
          <cell r="N285">
            <v>55</v>
          </cell>
          <cell r="O285" t="str">
            <v>F</v>
          </cell>
          <cell r="P285" t="str">
            <v>0°</v>
          </cell>
          <cell r="Q285" t="str">
            <v>TF</v>
          </cell>
          <cell r="R285" t="str">
            <v>-</v>
          </cell>
          <cell r="T285" t="str">
            <v>BE2</v>
          </cell>
          <cell r="V285" t="str">
            <v>FC+R</v>
          </cell>
          <cell r="X285" t="str">
            <v>CLP (CC) VG 220 = -15° + 40°</v>
          </cell>
          <cell r="Y285" t="str">
            <v>FV77/GDRE90M4BE2-TF</v>
          </cell>
          <cell r="Z285" t="str">
            <v>SEW</v>
          </cell>
          <cell r="AE285" t="str">
            <v xml:space="preserve"> BROCCIATURA PER FV67-DIN 5480N45x2x30x21xH9</v>
          </cell>
          <cell r="AH285" t="str">
            <v>FV77-0-X</v>
          </cell>
        </row>
        <row r="286">
          <cell r="A286" t="str">
            <v>MR000282</v>
          </cell>
          <cell r="B286" t="str">
            <v>MR</v>
          </cell>
          <cell r="C286">
            <v>1.1000000000000001</v>
          </cell>
          <cell r="D286">
            <v>7.2</v>
          </cell>
          <cell r="E286" t="str">
            <v>FV77</v>
          </cell>
          <cell r="F286">
            <v>1470</v>
          </cell>
          <cell r="G286">
            <v>198.3</v>
          </cell>
          <cell r="H286">
            <v>1</v>
          </cell>
          <cell r="I286" t="str">
            <v>M5</v>
          </cell>
          <cell r="J286" t="str">
            <v>IE3</v>
          </cell>
          <cell r="K286">
            <v>400</v>
          </cell>
          <cell r="L286">
            <v>50</v>
          </cell>
          <cell r="N286">
            <v>55</v>
          </cell>
          <cell r="O286" t="str">
            <v>F</v>
          </cell>
          <cell r="P286" t="str">
            <v>180°</v>
          </cell>
          <cell r="Q286" t="str">
            <v>TF</v>
          </cell>
          <cell r="R286" t="str">
            <v>-</v>
          </cell>
          <cell r="T286" t="str">
            <v>BE2</v>
          </cell>
          <cell r="V286" t="str">
            <v>FC+R</v>
          </cell>
          <cell r="X286" t="str">
            <v>CLP (CC) VG 220 = -15° + 40°</v>
          </cell>
          <cell r="Y286" t="str">
            <v>FV77/GDRE90M4BE2-TF</v>
          </cell>
          <cell r="Z286" t="str">
            <v>SEW</v>
          </cell>
          <cell r="AE286" t="str">
            <v xml:space="preserve"> BROCCIATURA PER FV67-DIN 5480N45x2x30x21xH9</v>
          </cell>
          <cell r="AH286" t="str">
            <v>FV77-180-X</v>
          </cell>
        </row>
        <row r="287">
          <cell r="A287" t="str">
            <v>MR000283</v>
          </cell>
          <cell r="B287" t="str">
            <v>MR</v>
          </cell>
          <cell r="C287">
            <v>4</v>
          </cell>
          <cell r="D287">
            <v>152</v>
          </cell>
          <cell r="E287" t="str">
            <v>KH67</v>
          </cell>
          <cell r="F287">
            <v>250</v>
          </cell>
          <cell r="G287">
            <v>9.66</v>
          </cell>
          <cell r="H287">
            <v>1.9</v>
          </cell>
          <cell r="I287" t="str">
            <v>M4B</v>
          </cell>
          <cell r="J287" t="str">
            <v>IE3</v>
          </cell>
          <cell r="K287">
            <v>400</v>
          </cell>
          <cell r="L287">
            <v>50</v>
          </cell>
          <cell r="M287">
            <v>7.9</v>
          </cell>
          <cell r="N287">
            <v>55</v>
          </cell>
          <cell r="O287" t="str">
            <v>F</v>
          </cell>
          <cell r="P287" t="str">
            <v>180°</v>
          </cell>
          <cell r="Q287" t="str">
            <v>TF</v>
          </cell>
          <cell r="R287" t="str">
            <v>-</v>
          </cell>
          <cell r="U287" t="str">
            <v>T</v>
          </cell>
          <cell r="V287" t="str">
            <v>FC+R</v>
          </cell>
          <cell r="X287" t="str">
            <v>CLP (CC) VG 220 = -15° + 40°</v>
          </cell>
          <cell r="Y287" t="str">
            <v>KH67/TDRN112M4-TF</v>
          </cell>
          <cell r="Z287" t="str">
            <v>SEW</v>
          </cell>
          <cell r="AH287" t="str">
            <v>KH67T-B180-X</v>
          </cell>
        </row>
        <row r="288">
          <cell r="A288" t="str">
            <v>MR000284</v>
          </cell>
          <cell r="B288" t="str">
            <v>MR</v>
          </cell>
          <cell r="C288">
            <v>15</v>
          </cell>
          <cell r="D288">
            <v>59</v>
          </cell>
          <cell r="E288" t="str">
            <v>R107</v>
          </cell>
          <cell r="F288">
            <v>2420</v>
          </cell>
          <cell r="G288">
            <v>24.9</v>
          </cell>
          <cell r="H288">
            <v>1.8</v>
          </cell>
          <cell r="I288" t="str">
            <v>M1</v>
          </cell>
          <cell r="J288" t="str">
            <v>IE3</v>
          </cell>
          <cell r="K288">
            <v>400</v>
          </cell>
          <cell r="L288">
            <v>50</v>
          </cell>
          <cell r="N288">
            <v>55</v>
          </cell>
          <cell r="O288" t="str">
            <v>F</v>
          </cell>
          <cell r="P288" t="str">
            <v>270°</v>
          </cell>
          <cell r="R288" t="str">
            <v>-</v>
          </cell>
          <cell r="X288" t="str">
            <v>CLP (CC) VG 220 = -15° + 40°</v>
          </cell>
          <cell r="Y288" t="str">
            <v>R107DRN160L4</v>
          </cell>
          <cell r="Z288" t="str">
            <v>SEW</v>
          </cell>
          <cell r="AH288" t="str">
            <v>R107-270-X</v>
          </cell>
        </row>
        <row r="289">
          <cell r="A289" t="str">
            <v>MR000285</v>
          </cell>
          <cell r="B289" t="str">
            <v>MR</v>
          </cell>
          <cell r="C289">
            <v>0.75</v>
          </cell>
          <cell r="D289">
            <v>162</v>
          </cell>
          <cell r="E289" t="str">
            <v>KA37</v>
          </cell>
          <cell r="F289">
            <v>44</v>
          </cell>
          <cell r="G289">
            <v>8.91</v>
          </cell>
          <cell r="H289">
            <v>3.6</v>
          </cell>
          <cell r="I289" t="str">
            <v>M3A</v>
          </cell>
          <cell r="J289" t="str">
            <v>IE3</v>
          </cell>
          <cell r="K289">
            <v>415</v>
          </cell>
          <cell r="L289">
            <v>50</v>
          </cell>
          <cell r="M289">
            <v>1.75</v>
          </cell>
          <cell r="N289">
            <v>55</v>
          </cell>
          <cell r="O289" t="str">
            <v>F</v>
          </cell>
          <cell r="P289" t="str">
            <v>180°</v>
          </cell>
          <cell r="R289" t="str">
            <v>-</v>
          </cell>
          <cell r="U289" t="str">
            <v>T</v>
          </cell>
          <cell r="V289" t="str">
            <v>D</v>
          </cell>
          <cell r="X289" t="str">
            <v>CLP (CC) VG 220 = -15° + 40°</v>
          </cell>
          <cell r="Y289" t="str">
            <v>KA37/T DRN80M4</v>
          </cell>
          <cell r="Z289" t="str">
            <v>SEW</v>
          </cell>
          <cell r="AH289" t="str">
            <v>KA37T-A180-X</v>
          </cell>
        </row>
        <row r="290">
          <cell r="A290" t="str">
            <v>MR000286</v>
          </cell>
          <cell r="B290" t="str">
            <v>MR</v>
          </cell>
          <cell r="C290">
            <v>11</v>
          </cell>
          <cell r="D290">
            <v>18</v>
          </cell>
          <cell r="E290" t="str">
            <v>KA107</v>
          </cell>
          <cell r="F290">
            <v>5900</v>
          </cell>
          <cell r="G290">
            <v>82.61</v>
          </cell>
          <cell r="H290">
            <v>1.25</v>
          </cell>
          <cell r="I290" t="str">
            <v>From M1B to M2B - 10°</v>
          </cell>
          <cell r="J290" t="str">
            <v>IE3</v>
          </cell>
          <cell r="K290">
            <v>400</v>
          </cell>
          <cell r="L290">
            <v>50</v>
          </cell>
          <cell r="N290">
            <v>55</v>
          </cell>
          <cell r="O290" t="str">
            <v>F</v>
          </cell>
          <cell r="P290" t="str">
            <v>270°</v>
          </cell>
          <cell r="Q290" t="str">
            <v>TF</v>
          </cell>
          <cell r="R290" t="str">
            <v>400V V</v>
          </cell>
          <cell r="V290" t="str">
            <v>FC</v>
          </cell>
          <cell r="W290" t="str">
            <v>230 V</v>
          </cell>
          <cell r="X290" t="str">
            <v>CLP (CC) VG 220 = -15° + 40°</v>
          </cell>
          <cell r="Y290" t="str">
            <v>KA107EDRE180S4</v>
          </cell>
          <cell r="Z290" t="str">
            <v>SEW</v>
          </cell>
          <cell r="AB290" t="str">
            <v>ATEX22</v>
          </cell>
          <cell r="AH290" t="str">
            <v>KA107-B270-X#</v>
          </cell>
        </row>
        <row r="291">
          <cell r="A291" t="str">
            <v>MR000287</v>
          </cell>
          <cell r="B291" t="str">
            <v>MR</v>
          </cell>
          <cell r="C291">
            <v>15</v>
          </cell>
          <cell r="D291">
            <v>53</v>
          </cell>
          <cell r="E291" t="str">
            <v>KH97</v>
          </cell>
          <cell r="F291">
            <v>2710</v>
          </cell>
          <cell r="G291">
            <v>29.91</v>
          </cell>
          <cell r="H291">
            <v>1.6</v>
          </cell>
          <cell r="I291" t="str">
            <v>M4B</v>
          </cell>
          <cell r="J291" t="str">
            <v>IE3</v>
          </cell>
          <cell r="K291">
            <v>415</v>
          </cell>
          <cell r="L291">
            <v>50</v>
          </cell>
          <cell r="N291">
            <v>55</v>
          </cell>
          <cell r="O291" t="str">
            <v>F</v>
          </cell>
          <cell r="P291" t="str">
            <v>270°</v>
          </cell>
          <cell r="R291" t="str">
            <v>-</v>
          </cell>
          <cell r="S291" t="str">
            <v>free rotation CW</v>
          </cell>
          <cell r="U291" t="str">
            <v>T</v>
          </cell>
          <cell r="V291" t="str">
            <v>SS</v>
          </cell>
          <cell r="X291" t="str">
            <v>CLP (CC) VG 220 = -15° + 40°</v>
          </cell>
          <cell r="Y291" t="str">
            <v>KH97/TDRN160L4</v>
          </cell>
          <cell r="Z291" t="str">
            <v>SEW</v>
          </cell>
          <cell r="AH291" t="str">
            <v>KH97T-B270-X</v>
          </cell>
        </row>
        <row r="292">
          <cell r="A292" t="str">
            <v>MR000288</v>
          </cell>
          <cell r="B292" t="str">
            <v>MR</v>
          </cell>
          <cell r="C292">
            <v>18.5</v>
          </cell>
          <cell r="D292" t="str">
            <v>16</v>
          </cell>
          <cell r="E292" t="str">
            <v>KH127</v>
          </cell>
          <cell r="F292">
            <v>10800</v>
          </cell>
          <cell r="G292">
            <v>89.89</v>
          </cell>
          <cell r="H292">
            <v>1.2</v>
          </cell>
          <cell r="I292" t="str">
            <v>From M1A to M4A - 50°</v>
          </cell>
          <cell r="J292" t="str">
            <v>IE3</v>
          </cell>
          <cell r="K292">
            <v>415</v>
          </cell>
          <cell r="L292">
            <v>50</v>
          </cell>
          <cell r="M292">
            <v>38.5</v>
          </cell>
          <cell r="N292">
            <v>55</v>
          </cell>
          <cell r="O292" t="str">
            <v>F</v>
          </cell>
          <cell r="P292" t="str">
            <v>270°</v>
          </cell>
          <cell r="R292" t="str">
            <v>-</v>
          </cell>
          <cell r="U292" t="str">
            <v>T</v>
          </cell>
          <cell r="V292" t="str">
            <v>SS</v>
          </cell>
          <cell r="X292" t="str">
            <v>CLP (CC) VG 220 = -15° + 40°</v>
          </cell>
          <cell r="Y292" t="str">
            <v>KH127/TEDRE180L4</v>
          </cell>
          <cell r="Z292" t="str">
            <v>SEW</v>
          </cell>
          <cell r="AB292" t="str">
            <v>ATEX22</v>
          </cell>
          <cell r="AH292" t="str">
            <v>KH127T-A270-X</v>
          </cell>
        </row>
        <row r="293">
          <cell r="A293" t="str">
            <v>MR000289</v>
          </cell>
          <cell r="B293" t="str">
            <v>MR</v>
          </cell>
          <cell r="C293">
            <v>2.2000000000000002</v>
          </cell>
          <cell r="D293">
            <v>1.4</v>
          </cell>
          <cell r="E293" t="str">
            <v>KA127R77</v>
          </cell>
          <cell r="F293">
            <v>13600</v>
          </cell>
          <cell r="G293">
            <v>1025</v>
          </cell>
          <cell r="H293">
            <v>0.95</v>
          </cell>
          <cell r="I293" t="str">
            <v>From M4A to M1A - 30°</v>
          </cell>
          <cell r="J293" t="str">
            <v>IE3</v>
          </cell>
          <cell r="K293">
            <v>400</v>
          </cell>
          <cell r="L293">
            <v>50</v>
          </cell>
          <cell r="N293">
            <v>55</v>
          </cell>
          <cell r="O293" t="str">
            <v>F</v>
          </cell>
          <cell r="P293" t="str">
            <v>270°</v>
          </cell>
          <cell r="R293" t="str">
            <v>-</v>
          </cell>
          <cell r="U293" t="str">
            <v>T</v>
          </cell>
          <cell r="V293" t="str">
            <v>D</v>
          </cell>
          <cell r="X293" t="str">
            <v>CLP (CC) VG 220 = -15° + 40°</v>
          </cell>
          <cell r="Y293" t="str">
            <v>KA127R77/TDRN100LS4</v>
          </cell>
          <cell r="Z293" t="str">
            <v>SEW</v>
          </cell>
          <cell r="AH293" t="str">
            <v>KA127R77T-A270-X</v>
          </cell>
        </row>
        <row r="294">
          <cell r="A294" t="str">
            <v>MR000290</v>
          </cell>
          <cell r="B294" t="str">
            <v>MR</v>
          </cell>
          <cell r="C294">
            <v>0.55000000000000004</v>
          </cell>
          <cell r="D294">
            <v>0.71</v>
          </cell>
          <cell r="E294" t="str">
            <v>KA107R77</v>
          </cell>
          <cell r="F294">
            <v>6540</v>
          </cell>
          <cell r="G294">
            <v>1939</v>
          </cell>
          <cell r="H294">
            <v>1.2</v>
          </cell>
          <cell r="I294" t="str">
            <v>From M4A to M1A - 35°</v>
          </cell>
          <cell r="J294" t="str">
            <v>IE3</v>
          </cell>
          <cell r="K294">
            <v>400</v>
          </cell>
          <cell r="L294">
            <v>50</v>
          </cell>
          <cell r="N294">
            <v>55</v>
          </cell>
          <cell r="O294" t="str">
            <v>F</v>
          </cell>
          <cell r="P294" t="str">
            <v>270°</v>
          </cell>
          <cell r="R294" t="str">
            <v>-</v>
          </cell>
          <cell r="U294" t="str">
            <v>T</v>
          </cell>
          <cell r="V294" t="str">
            <v>D</v>
          </cell>
          <cell r="X294" t="str">
            <v>CLP HC VG 150 = -40° + 40°</v>
          </cell>
          <cell r="Y294" t="str">
            <v>KA107/TR77DRS71M4</v>
          </cell>
          <cell r="Z294" t="str">
            <v>SEW</v>
          </cell>
          <cell r="AH294" t="str">
            <v>KA107R77T-A270-X</v>
          </cell>
        </row>
        <row r="295">
          <cell r="A295" t="str">
            <v>MR000291</v>
          </cell>
          <cell r="B295" t="str">
            <v>MR</v>
          </cell>
          <cell r="C295">
            <v>1.5</v>
          </cell>
          <cell r="D295">
            <v>1.1000000000000001</v>
          </cell>
          <cell r="E295" t="str">
            <v>KA127R77</v>
          </cell>
          <cell r="F295">
            <v>12000</v>
          </cell>
          <cell r="G295">
            <v>1342</v>
          </cell>
          <cell r="H295">
            <v>1.1000000000000001</v>
          </cell>
          <cell r="I295" t="str">
            <v>From M4A to M1A - 35°</v>
          </cell>
          <cell r="J295" t="str">
            <v>IE3</v>
          </cell>
          <cell r="K295">
            <v>400</v>
          </cell>
          <cell r="L295">
            <v>50</v>
          </cell>
          <cell r="N295">
            <v>55</v>
          </cell>
          <cell r="O295" t="str">
            <v>F</v>
          </cell>
          <cell r="P295" t="str">
            <v>270°</v>
          </cell>
          <cell r="R295" t="str">
            <v>-</v>
          </cell>
          <cell r="U295" t="str">
            <v>T</v>
          </cell>
          <cell r="V295" t="str">
            <v>D</v>
          </cell>
          <cell r="X295" t="str">
            <v>CLP (CC) VG 220 = -15° + 40°</v>
          </cell>
          <cell r="Y295" t="str">
            <v>KA127R77/TDRN90L4</v>
          </cell>
          <cell r="Z295" t="str">
            <v>SEW</v>
          </cell>
          <cell r="AH295" t="str">
            <v>KA127R77T-A270-X</v>
          </cell>
        </row>
        <row r="296">
          <cell r="A296" t="str">
            <v>MR000292</v>
          </cell>
          <cell r="B296" t="str">
            <v>MR</v>
          </cell>
          <cell r="C296">
            <v>1.1000000000000001</v>
          </cell>
          <cell r="D296">
            <v>5.4</v>
          </cell>
          <cell r="E296" t="str">
            <v>FA87</v>
          </cell>
          <cell r="F296">
            <v>1950</v>
          </cell>
          <cell r="G296">
            <v>270.68</v>
          </cell>
          <cell r="H296">
            <v>1.55</v>
          </cell>
          <cell r="I296" t="str">
            <v>M1</v>
          </cell>
          <cell r="J296" t="str">
            <v>IE3</v>
          </cell>
          <cell r="K296">
            <v>400</v>
          </cell>
          <cell r="L296">
            <v>50</v>
          </cell>
          <cell r="N296">
            <v>55</v>
          </cell>
          <cell r="O296" t="str">
            <v>F</v>
          </cell>
          <cell r="P296" t="str">
            <v>0°</v>
          </cell>
          <cell r="R296" t="str">
            <v>-</v>
          </cell>
          <cell r="V296" t="str">
            <v>D</v>
          </cell>
          <cell r="X296" t="str">
            <v>CLP HC VG 220 = -20° + 60°</v>
          </cell>
          <cell r="Y296" t="str">
            <v>FA87/GDR90S4</v>
          </cell>
          <cell r="Z296" t="str">
            <v>SEW</v>
          </cell>
          <cell r="AH296" t="str">
            <v>FA87-0-X</v>
          </cell>
        </row>
        <row r="297">
          <cell r="A297" t="str">
            <v>MR000293</v>
          </cell>
          <cell r="B297" t="str">
            <v>MR</v>
          </cell>
          <cell r="C297">
            <v>7.5</v>
          </cell>
          <cell r="D297">
            <v>53</v>
          </cell>
          <cell r="E297" t="str">
            <v>KH87</v>
          </cell>
          <cell r="F297">
            <v>1360</v>
          </cell>
          <cell r="G297">
            <v>27.88</v>
          </cell>
          <cell r="H297">
            <v>1.85</v>
          </cell>
          <cell r="I297" t="str">
            <v>M4B</v>
          </cell>
          <cell r="J297" t="str">
            <v>IE3</v>
          </cell>
          <cell r="K297">
            <v>400</v>
          </cell>
          <cell r="L297">
            <v>50</v>
          </cell>
          <cell r="N297">
            <v>55</v>
          </cell>
          <cell r="O297" t="str">
            <v>F</v>
          </cell>
          <cell r="P297" t="str">
            <v>270°</v>
          </cell>
          <cell r="R297" t="str">
            <v>-</v>
          </cell>
          <cell r="S297" t="str">
            <v>free rotation CW</v>
          </cell>
          <cell r="U297" t="str">
            <v>T</v>
          </cell>
          <cell r="V297" t="str">
            <v>D</v>
          </cell>
          <cell r="X297" t="str">
            <v>CLP (CC) VG 220 = -15° + 40°</v>
          </cell>
          <cell r="Y297" t="str">
            <v>KH87/II2GD/TEDRE160S4/RS/3GD/AL/C</v>
          </cell>
          <cell r="Z297" t="str">
            <v>SEW</v>
          </cell>
          <cell r="AB297" t="str">
            <v>ATEX22</v>
          </cell>
          <cell r="AH297" t="str">
            <v>KH87T-B270-X</v>
          </cell>
        </row>
        <row r="298">
          <cell r="A298" t="str">
            <v>MR000294</v>
          </cell>
          <cell r="B298" t="str">
            <v>MR</v>
          </cell>
          <cell r="C298">
            <v>22</v>
          </cell>
          <cell r="D298">
            <v>24</v>
          </cell>
          <cell r="E298" t="str">
            <v>R147</v>
          </cell>
          <cell r="F298">
            <v>8680</v>
          </cell>
          <cell r="G298">
            <v>61.09</v>
          </cell>
          <cell r="H298">
            <v>1.5</v>
          </cell>
          <cell r="I298" t="str">
            <v>From M1 to M4 - 20°</v>
          </cell>
          <cell r="J298" t="str">
            <v>IE3</v>
          </cell>
          <cell r="K298">
            <v>415</v>
          </cell>
          <cell r="L298">
            <v>50</v>
          </cell>
          <cell r="M298">
            <v>38.5</v>
          </cell>
          <cell r="N298">
            <v>55</v>
          </cell>
          <cell r="O298" t="str">
            <v>F</v>
          </cell>
          <cell r="P298" t="str">
            <v>270°</v>
          </cell>
          <cell r="Q298" t="str">
            <v>TF</v>
          </cell>
          <cell r="R298" t="str">
            <v>415V V</v>
          </cell>
          <cell r="V298" t="str">
            <v>FC</v>
          </cell>
          <cell r="X298" t="str">
            <v>CLP (CC) VG 220 = -15° + 40°</v>
          </cell>
          <cell r="Y298" t="str">
            <v>R147DRN180L4</v>
          </cell>
          <cell r="Z298" t="str">
            <v>SEW</v>
          </cell>
          <cell r="AH298" t="str">
            <v>R147-270-X#</v>
          </cell>
        </row>
        <row r="299">
          <cell r="A299" t="str">
            <v>MR000295</v>
          </cell>
          <cell r="B299" t="str">
            <v>MR</v>
          </cell>
          <cell r="C299">
            <v>5.5</v>
          </cell>
          <cell r="D299">
            <v>47</v>
          </cell>
          <cell r="E299" t="str">
            <v>K77</v>
          </cell>
          <cell r="F299">
            <v>1110</v>
          </cell>
          <cell r="G299">
            <v>30.89</v>
          </cell>
          <cell r="H299">
            <v>1.4</v>
          </cell>
          <cell r="I299" t="str">
            <v>M4B</v>
          </cell>
          <cell r="J299" t="str">
            <v>IE3</v>
          </cell>
          <cell r="K299">
            <v>400</v>
          </cell>
          <cell r="L299">
            <v>50</v>
          </cell>
          <cell r="N299">
            <v>55</v>
          </cell>
          <cell r="O299" t="str">
            <v>F</v>
          </cell>
          <cell r="P299" t="str">
            <v>0°</v>
          </cell>
          <cell r="Q299" t="str">
            <v>TF</v>
          </cell>
          <cell r="R299" t="str">
            <v>400V V</v>
          </cell>
          <cell r="V299" t="str">
            <v>FC+R</v>
          </cell>
          <cell r="X299" t="str">
            <v>CLP HC VG 150 = -40° + 40°</v>
          </cell>
          <cell r="Y299" t="str">
            <v>K77DRN132S4</v>
          </cell>
          <cell r="Z299" t="str">
            <v>SEW</v>
          </cell>
          <cell r="AH299" t="str">
            <v>K77-B0-X#</v>
          </cell>
        </row>
        <row r="300">
          <cell r="A300" t="str">
            <v>MR000296</v>
          </cell>
          <cell r="B300" t="str">
            <v>MR</v>
          </cell>
          <cell r="C300">
            <v>5.5</v>
          </cell>
          <cell r="D300">
            <v>47</v>
          </cell>
          <cell r="E300" t="str">
            <v>K77</v>
          </cell>
          <cell r="F300">
            <v>1110</v>
          </cell>
          <cell r="G300">
            <v>30.89</v>
          </cell>
          <cell r="H300">
            <v>1.4</v>
          </cell>
          <cell r="I300" t="str">
            <v>M4A</v>
          </cell>
          <cell r="J300" t="str">
            <v>IE3</v>
          </cell>
          <cell r="K300">
            <v>400</v>
          </cell>
          <cell r="L300">
            <v>50</v>
          </cell>
          <cell r="N300">
            <v>55</v>
          </cell>
          <cell r="O300" t="str">
            <v>F</v>
          </cell>
          <cell r="P300" t="str">
            <v>180°</v>
          </cell>
          <cell r="Q300" t="str">
            <v>TF</v>
          </cell>
          <cell r="R300" t="str">
            <v>400V V</v>
          </cell>
          <cell r="V300" t="str">
            <v>FC+R</v>
          </cell>
          <cell r="X300" t="str">
            <v>CLP HC VG 150 = -40° + 40°</v>
          </cell>
          <cell r="Y300" t="str">
            <v>K77DRN132S4</v>
          </cell>
          <cell r="Z300" t="str">
            <v>SEW</v>
          </cell>
          <cell r="AH300" t="str">
            <v>K77-A180-X#</v>
          </cell>
        </row>
        <row r="301">
          <cell r="A301" t="str">
            <v>MR000297</v>
          </cell>
          <cell r="B301" t="str">
            <v>MR</v>
          </cell>
          <cell r="C301">
            <v>22</v>
          </cell>
          <cell r="D301">
            <v>20</v>
          </cell>
          <cell r="E301" t="str">
            <v>R147</v>
          </cell>
          <cell r="F301">
            <v>10200</v>
          </cell>
          <cell r="G301">
            <v>72.09</v>
          </cell>
          <cell r="H301">
            <v>1.25</v>
          </cell>
          <cell r="I301" t="str">
            <v>M1</v>
          </cell>
          <cell r="J301" t="str">
            <v>IE3</v>
          </cell>
          <cell r="K301">
            <v>400</v>
          </cell>
          <cell r="L301">
            <v>50</v>
          </cell>
          <cell r="M301">
            <v>38.5</v>
          </cell>
          <cell r="N301">
            <v>55</v>
          </cell>
          <cell r="O301" t="str">
            <v>F</v>
          </cell>
          <cell r="P301" t="str">
            <v>270°</v>
          </cell>
          <cell r="Q301" t="str">
            <v>TF</v>
          </cell>
          <cell r="R301" t="str">
            <v>400V V</v>
          </cell>
          <cell r="V301" t="str">
            <v>FC</v>
          </cell>
          <cell r="X301" t="str">
            <v>CLP HC VG 150 = -40° + 40°</v>
          </cell>
          <cell r="Y301" t="str">
            <v>R147DRN180L4</v>
          </cell>
          <cell r="Z301" t="str">
            <v>SEW</v>
          </cell>
          <cell r="AH301" t="str">
            <v>R147-270-X#</v>
          </cell>
        </row>
        <row r="302">
          <cell r="A302" t="str">
            <v>MR000298</v>
          </cell>
          <cell r="B302" t="str">
            <v>MR</v>
          </cell>
          <cell r="C302">
            <v>3</v>
          </cell>
          <cell r="E302" t="str">
            <v>FA97</v>
          </cell>
          <cell r="J302" t="str">
            <v>IE3</v>
          </cell>
          <cell r="K302">
            <v>400</v>
          </cell>
          <cell r="L302">
            <v>50</v>
          </cell>
          <cell r="N302">
            <v>55</v>
          </cell>
          <cell r="O302" t="str">
            <v>F</v>
          </cell>
          <cell r="R302" t="str">
            <v>-</v>
          </cell>
          <cell r="X302" t="str">
            <v>CLP HC VG 150 = -40° + 40°</v>
          </cell>
          <cell r="Y302" t="str">
            <v>FA97/GDRN100L4</v>
          </cell>
          <cell r="Z302" t="str">
            <v>SEW</v>
          </cell>
          <cell r="AH302" t="str">
            <v>FA97--X</v>
          </cell>
        </row>
        <row r="303">
          <cell r="A303" t="str">
            <v>MR000299</v>
          </cell>
          <cell r="B303" t="str">
            <v>MR</v>
          </cell>
          <cell r="C303">
            <v>18.5</v>
          </cell>
          <cell r="D303">
            <v>15</v>
          </cell>
          <cell r="E303" t="str">
            <v>KH157</v>
          </cell>
          <cell r="F303">
            <v>11900</v>
          </cell>
          <cell r="G303">
            <v>100.22</v>
          </cell>
          <cell r="H303">
            <v>1.5</v>
          </cell>
          <cell r="I303" t="str">
            <v>M4A</v>
          </cell>
          <cell r="J303" t="str">
            <v>IE3</v>
          </cell>
          <cell r="K303">
            <v>400</v>
          </cell>
          <cell r="L303">
            <v>50</v>
          </cell>
          <cell r="M303">
            <v>33.5</v>
          </cell>
          <cell r="N303">
            <v>55</v>
          </cell>
          <cell r="O303" t="str">
            <v>F</v>
          </cell>
          <cell r="P303" t="str">
            <v>270°</v>
          </cell>
          <cell r="R303" t="str">
            <v>-</v>
          </cell>
          <cell r="V303" t="str">
            <v>SS</v>
          </cell>
          <cell r="X303" t="str">
            <v>CLP HC VG 150 = -40° + 40°</v>
          </cell>
          <cell r="Y303" t="str">
            <v>KH157DRN180M4</v>
          </cell>
          <cell r="Z303" t="str">
            <v>SEW</v>
          </cell>
          <cell r="AH303" t="str">
            <v>KH157-A270-X</v>
          </cell>
        </row>
        <row r="304">
          <cell r="A304" t="str">
            <v>MR000300</v>
          </cell>
          <cell r="B304" t="str">
            <v>MR</v>
          </cell>
          <cell r="C304">
            <v>30</v>
          </cell>
          <cell r="D304">
            <v>16</v>
          </cell>
          <cell r="E304" t="str">
            <v>KH157</v>
          </cell>
          <cell r="F304">
            <v>17700</v>
          </cell>
          <cell r="G304">
            <v>91.65</v>
          </cell>
          <cell r="H304">
            <v>1</v>
          </cell>
          <cell r="I304" t="str">
            <v>From M4B to M1B - 40°</v>
          </cell>
          <cell r="J304" t="str">
            <v>IE3</v>
          </cell>
          <cell r="K304">
            <v>400</v>
          </cell>
          <cell r="L304">
            <v>50</v>
          </cell>
          <cell r="M304">
            <v>56</v>
          </cell>
          <cell r="N304">
            <v>55</v>
          </cell>
          <cell r="O304" t="str">
            <v>F</v>
          </cell>
          <cell r="P304" t="str">
            <v>270°</v>
          </cell>
          <cell r="R304" t="str">
            <v>-</v>
          </cell>
          <cell r="V304" t="str">
            <v>SS</v>
          </cell>
          <cell r="X304" t="str">
            <v>CLP HC VG 150 = -40° + 40°</v>
          </cell>
          <cell r="Y304" t="str">
            <v>KH157DRN200L4</v>
          </cell>
          <cell r="Z304" t="str">
            <v>SEW</v>
          </cell>
          <cell r="AH304" t="str">
            <v>KH157-B270-X</v>
          </cell>
        </row>
        <row r="305">
          <cell r="A305" t="str">
            <v>MR000301</v>
          </cell>
          <cell r="B305" t="str">
            <v>MR</v>
          </cell>
          <cell r="C305">
            <v>2.2000000000000002</v>
          </cell>
          <cell r="D305">
            <v>95</v>
          </cell>
          <cell r="E305" t="str">
            <v>KA67</v>
          </cell>
          <cell r="F305">
            <v>220</v>
          </cell>
          <cell r="G305">
            <v>15.19</v>
          </cell>
          <cell r="H305">
            <v>3.2</v>
          </cell>
          <cell r="I305" t="str">
            <v>M1B</v>
          </cell>
          <cell r="J305" t="str">
            <v>IE3</v>
          </cell>
          <cell r="K305">
            <v>400</v>
          </cell>
          <cell r="L305">
            <v>50</v>
          </cell>
          <cell r="N305">
            <v>55</v>
          </cell>
          <cell r="O305" t="str">
            <v>F</v>
          </cell>
          <cell r="P305" t="str">
            <v>270°</v>
          </cell>
          <cell r="R305" t="str">
            <v>-</v>
          </cell>
          <cell r="U305" t="str">
            <v>T</v>
          </cell>
          <cell r="V305" t="str">
            <v>D</v>
          </cell>
          <cell r="X305" t="str">
            <v>CLP HC VG 150 = -40° + 40°</v>
          </cell>
          <cell r="Y305" t="str">
            <v>KA67/TDRN100LS4</v>
          </cell>
          <cell r="Z305" t="str">
            <v>SEW</v>
          </cell>
          <cell r="AH305" t="str">
            <v>KA67T-B270-X</v>
          </cell>
        </row>
        <row r="306">
          <cell r="A306" t="str">
            <v>MR000302</v>
          </cell>
          <cell r="B306" t="str">
            <v>MR</v>
          </cell>
          <cell r="C306">
            <v>11</v>
          </cell>
          <cell r="D306">
            <v>59</v>
          </cell>
          <cell r="E306" t="str">
            <v>R97</v>
          </cell>
          <cell r="F306">
            <v>1780</v>
          </cell>
          <cell r="G306">
            <v>25.03</v>
          </cell>
          <cell r="H306">
            <v>1.6</v>
          </cell>
          <cell r="I306" t="str">
            <v>M1</v>
          </cell>
          <cell r="J306" t="str">
            <v>IE3</v>
          </cell>
          <cell r="K306">
            <v>400</v>
          </cell>
          <cell r="L306">
            <v>50</v>
          </cell>
          <cell r="M306">
            <v>21</v>
          </cell>
          <cell r="N306">
            <v>55</v>
          </cell>
          <cell r="O306" t="str">
            <v>F</v>
          </cell>
          <cell r="P306" t="str">
            <v>270°</v>
          </cell>
          <cell r="R306" t="str">
            <v>-</v>
          </cell>
          <cell r="V306" t="str">
            <v>D</v>
          </cell>
          <cell r="X306" t="str">
            <v>CLP HC VG 150 = -40° + 40°</v>
          </cell>
          <cell r="Y306" t="str">
            <v>R97DRN160M4</v>
          </cell>
          <cell r="Z306" t="str">
            <v>SEW</v>
          </cell>
          <cell r="AH306" t="str">
            <v>R97-270-X</v>
          </cell>
        </row>
        <row r="307">
          <cell r="A307" t="str">
            <v>MR000303</v>
          </cell>
          <cell r="B307" t="str">
            <v>MR</v>
          </cell>
          <cell r="C307">
            <v>18.5</v>
          </cell>
          <cell r="D307">
            <v>33</v>
          </cell>
          <cell r="E307" t="str">
            <v>R137</v>
          </cell>
          <cell r="F307">
            <v>5300</v>
          </cell>
          <cell r="G307">
            <v>44.39</v>
          </cell>
          <cell r="H307">
            <v>1.5</v>
          </cell>
          <cell r="I307" t="str">
            <v>M1</v>
          </cell>
          <cell r="J307" t="str">
            <v>IE3</v>
          </cell>
          <cell r="K307">
            <v>400</v>
          </cell>
          <cell r="L307">
            <v>50</v>
          </cell>
          <cell r="M307">
            <v>33.5</v>
          </cell>
          <cell r="N307">
            <v>55</v>
          </cell>
          <cell r="O307" t="str">
            <v>F</v>
          </cell>
          <cell r="P307" t="str">
            <v>270°</v>
          </cell>
          <cell r="R307" t="str">
            <v>-</v>
          </cell>
          <cell r="S307" t="str">
            <v>free rotation CW</v>
          </cell>
          <cell r="V307" t="str">
            <v>SS</v>
          </cell>
          <cell r="X307" t="str">
            <v>CLP HC VG 150 = -40° + 40°</v>
          </cell>
          <cell r="Y307" t="str">
            <v>R137DRN180M4</v>
          </cell>
          <cell r="Z307" t="str">
            <v>SEW</v>
          </cell>
          <cell r="AH307" t="str">
            <v>R137-270-X</v>
          </cell>
        </row>
        <row r="308">
          <cell r="A308" t="str">
            <v>MR000304</v>
          </cell>
          <cell r="B308" t="str">
            <v>MR</v>
          </cell>
          <cell r="C308">
            <v>4</v>
          </cell>
          <cell r="D308">
            <v>82</v>
          </cell>
          <cell r="E308" t="str">
            <v>R77</v>
          </cell>
          <cell r="F308">
            <v>460</v>
          </cell>
          <cell r="G308">
            <v>17.82</v>
          </cell>
          <cell r="H308">
            <v>1.7</v>
          </cell>
          <cell r="I308" t="str">
            <v>M1</v>
          </cell>
          <cell r="J308" t="str">
            <v>IE3</v>
          </cell>
          <cell r="K308" t="str">
            <v>230/400</v>
          </cell>
          <cell r="L308">
            <v>50</v>
          </cell>
          <cell r="M308" t="str">
            <v>13,8/7,9</v>
          </cell>
          <cell r="N308">
            <v>55</v>
          </cell>
          <cell r="O308" t="str">
            <v>F</v>
          </cell>
          <cell r="P308" t="str">
            <v>270°</v>
          </cell>
          <cell r="R308" t="str">
            <v>-</v>
          </cell>
          <cell r="V308" t="str">
            <v>D</v>
          </cell>
          <cell r="X308" t="str">
            <v>CLP HC VG 150 = -40° + 40°</v>
          </cell>
          <cell r="Y308" t="str">
            <v>R77DRN112M4</v>
          </cell>
          <cell r="Z308" t="str">
            <v>SEW</v>
          </cell>
          <cell r="AH308" t="str">
            <v>R77-270-X</v>
          </cell>
        </row>
        <row r="309">
          <cell r="A309" t="str">
            <v>MR000305</v>
          </cell>
          <cell r="B309" t="str">
            <v>MR</v>
          </cell>
          <cell r="C309">
            <v>18.5</v>
          </cell>
          <cell r="D309">
            <v>29</v>
          </cell>
          <cell r="E309" t="str">
            <v>R137</v>
          </cell>
          <cell r="F309">
            <v>6070</v>
          </cell>
          <cell r="G309">
            <v>50.86</v>
          </cell>
          <cell r="H309">
            <v>1.3</v>
          </cell>
          <cell r="I309" t="str">
            <v>From M1 to M2 - 10°</v>
          </cell>
          <cell r="J309" t="str">
            <v>IE3</v>
          </cell>
          <cell r="K309">
            <v>415</v>
          </cell>
          <cell r="L309">
            <v>50</v>
          </cell>
          <cell r="M309">
            <v>33.5</v>
          </cell>
          <cell r="N309">
            <v>55</v>
          </cell>
          <cell r="O309" t="str">
            <v>F</v>
          </cell>
          <cell r="P309" t="str">
            <v>270°</v>
          </cell>
          <cell r="Q309" t="str">
            <v>TF</v>
          </cell>
          <cell r="R309" t="str">
            <v>415V V</v>
          </cell>
          <cell r="V309" t="str">
            <v>FC</v>
          </cell>
          <cell r="X309" t="str">
            <v>CLP (CC) VG 220 = -15° + 40°</v>
          </cell>
          <cell r="Y309" t="str">
            <v>R137DRN180M4</v>
          </cell>
          <cell r="Z309" t="str">
            <v>SEW</v>
          </cell>
          <cell r="AH309" t="str">
            <v>R137-270-X#</v>
          </cell>
        </row>
        <row r="310">
          <cell r="A310" t="str">
            <v>MR000306</v>
          </cell>
          <cell r="B310" t="str">
            <v>MR</v>
          </cell>
          <cell r="C310">
            <v>11</v>
          </cell>
          <cell r="D310">
            <v>18</v>
          </cell>
          <cell r="E310" t="str">
            <v>R137</v>
          </cell>
          <cell r="F310">
            <v>5760</v>
          </cell>
          <cell r="G310">
            <v>80.91</v>
          </cell>
          <cell r="H310">
            <v>1.4</v>
          </cell>
          <cell r="I310" t="str">
            <v>M3</v>
          </cell>
          <cell r="J310" t="str">
            <v>IE3</v>
          </cell>
          <cell r="K310">
            <v>415</v>
          </cell>
          <cell r="L310">
            <v>50</v>
          </cell>
          <cell r="M310">
            <v>21</v>
          </cell>
          <cell r="N310">
            <v>55</v>
          </cell>
          <cell r="O310" t="str">
            <v>F</v>
          </cell>
          <cell r="P310" t="str">
            <v>270°</v>
          </cell>
          <cell r="Q310" t="str">
            <v>TF</v>
          </cell>
          <cell r="R310" t="str">
            <v>415V V</v>
          </cell>
          <cell r="V310" t="str">
            <v>FC</v>
          </cell>
          <cell r="X310" t="str">
            <v>CLP (CC) VG 220 = -15° + 40°</v>
          </cell>
          <cell r="Y310" t="str">
            <v>R137DRN160M4</v>
          </cell>
          <cell r="Z310" t="str">
            <v>SEW</v>
          </cell>
          <cell r="AH310" t="str">
            <v>R137-270-X#</v>
          </cell>
        </row>
        <row r="311">
          <cell r="A311" t="str">
            <v>MR000307</v>
          </cell>
          <cell r="B311" t="str">
            <v>MR</v>
          </cell>
          <cell r="C311">
            <v>5.5</v>
          </cell>
          <cell r="D311">
            <v>14</v>
          </cell>
          <cell r="E311" t="str">
            <v>R107</v>
          </cell>
          <cell r="F311">
            <v>3680</v>
          </cell>
          <cell r="G311">
            <v>102.53</v>
          </cell>
          <cell r="H311">
            <v>1.1499999999999999</v>
          </cell>
          <cell r="I311" t="str">
            <v>From M1 to M4 - 15°</v>
          </cell>
          <cell r="J311" t="str">
            <v>IE3</v>
          </cell>
          <cell r="K311">
            <v>415</v>
          </cell>
          <cell r="L311">
            <v>50</v>
          </cell>
          <cell r="N311">
            <v>55</v>
          </cell>
          <cell r="O311" t="str">
            <v>F</v>
          </cell>
          <cell r="P311" t="str">
            <v>270°</v>
          </cell>
          <cell r="Q311" t="str">
            <v>TF</v>
          </cell>
          <cell r="R311" t="str">
            <v>415V V</v>
          </cell>
          <cell r="V311" t="str">
            <v>FC</v>
          </cell>
          <cell r="X311" t="str">
            <v>CLP (CC) VG 220 = -15° + 40°</v>
          </cell>
          <cell r="Y311" t="str">
            <v>R107DRN132S4</v>
          </cell>
          <cell r="Z311" t="str">
            <v>SEW</v>
          </cell>
          <cell r="AH311" t="str">
            <v>R107-270-X#</v>
          </cell>
        </row>
        <row r="312">
          <cell r="A312" t="str">
            <v>MR000308</v>
          </cell>
          <cell r="B312" t="str">
            <v>MR</v>
          </cell>
          <cell r="C312">
            <v>15</v>
          </cell>
          <cell r="D312">
            <v>29</v>
          </cell>
          <cell r="E312" t="str">
            <v>R137</v>
          </cell>
          <cell r="F312">
            <v>4940</v>
          </cell>
          <cell r="G312">
            <v>50.86</v>
          </cell>
          <cell r="H312">
            <v>1.6</v>
          </cell>
          <cell r="I312" t="str">
            <v>M3</v>
          </cell>
          <cell r="J312" t="str">
            <v>IE3</v>
          </cell>
          <cell r="K312">
            <v>415</v>
          </cell>
          <cell r="L312">
            <v>50</v>
          </cell>
          <cell r="N312">
            <v>55</v>
          </cell>
          <cell r="O312" t="str">
            <v>F</v>
          </cell>
          <cell r="P312" t="str">
            <v>270°</v>
          </cell>
          <cell r="Q312" t="str">
            <v>TF</v>
          </cell>
          <cell r="R312" t="str">
            <v>415V V</v>
          </cell>
          <cell r="V312" t="str">
            <v>FC</v>
          </cell>
          <cell r="X312" t="str">
            <v>CLP (CC) VG 220 = -15° + 40°</v>
          </cell>
          <cell r="Y312" t="str">
            <v>R137DRN160L4</v>
          </cell>
          <cell r="Z312" t="str">
            <v>SEW</v>
          </cell>
          <cell r="AH312" t="str">
            <v>R137-270-X#</v>
          </cell>
        </row>
        <row r="313">
          <cell r="A313" t="str">
            <v>MR000309</v>
          </cell>
          <cell r="B313" t="str">
            <v>MR</v>
          </cell>
          <cell r="C313">
            <v>7.5</v>
          </cell>
          <cell r="D313">
            <v>63</v>
          </cell>
          <cell r="E313" t="str">
            <v>R87</v>
          </cell>
          <cell r="F313">
            <v>1140</v>
          </cell>
          <cell r="G313">
            <v>23.4</v>
          </cell>
          <cell r="H313">
            <v>1.35</v>
          </cell>
          <cell r="I313" t="str">
            <v>From M1 to M4 - 15°</v>
          </cell>
          <cell r="J313" t="str">
            <v>IE3</v>
          </cell>
          <cell r="K313">
            <v>400</v>
          </cell>
          <cell r="L313">
            <v>50</v>
          </cell>
          <cell r="M313">
            <v>15.2</v>
          </cell>
          <cell r="N313">
            <v>55</v>
          </cell>
          <cell r="O313" t="str">
            <v>F</v>
          </cell>
          <cell r="P313" t="str">
            <v>270°</v>
          </cell>
          <cell r="R313" t="str">
            <v>-</v>
          </cell>
          <cell r="V313" t="str">
            <v>D</v>
          </cell>
          <cell r="X313" t="str">
            <v>CLP (CC) VG 220 = -15° + 40°</v>
          </cell>
          <cell r="Y313" t="str">
            <v>R87DRN132M4</v>
          </cell>
          <cell r="Z313" t="str">
            <v>SEW</v>
          </cell>
          <cell r="AH313" t="str">
            <v>R87-270-X</v>
          </cell>
        </row>
        <row r="314">
          <cell r="A314" t="str">
            <v>MR000310</v>
          </cell>
          <cell r="B314" t="str">
            <v>MR</v>
          </cell>
          <cell r="C314">
            <v>7.5</v>
          </cell>
          <cell r="D314">
            <v>53</v>
          </cell>
          <cell r="E314" t="str">
            <v>R87</v>
          </cell>
          <cell r="F314">
            <v>1350</v>
          </cell>
          <cell r="G314">
            <v>27.84</v>
          </cell>
          <cell r="H314">
            <v>1.1499999999999999</v>
          </cell>
          <cell r="I314" t="str">
            <v>From M1 to M4 - 15°</v>
          </cell>
          <cell r="J314" t="str">
            <v>IE3</v>
          </cell>
          <cell r="K314">
            <v>440</v>
          </cell>
          <cell r="L314">
            <v>60</v>
          </cell>
          <cell r="M314">
            <v>15.2</v>
          </cell>
          <cell r="N314">
            <v>55</v>
          </cell>
          <cell r="O314" t="str">
            <v>F</v>
          </cell>
          <cell r="P314" t="str">
            <v>270°</v>
          </cell>
          <cell r="R314" t="str">
            <v>-</v>
          </cell>
          <cell r="V314" t="str">
            <v>D</v>
          </cell>
          <cell r="X314" t="str">
            <v>CLP (CC) VG 220 = -15° + 40°</v>
          </cell>
          <cell r="Y314" t="str">
            <v>R87DRN132M4</v>
          </cell>
          <cell r="Z314" t="str">
            <v>SEW</v>
          </cell>
          <cell r="AE314" t="str">
            <v>rpm a 50hz</v>
          </cell>
          <cell r="AH314" t="str">
            <v>R87-270-X</v>
          </cell>
        </row>
        <row r="315">
          <cell r="A315" t="str">
            <v>MR000311</v>
          </cell>
          <cell r="B315" t="str">
            <v>MR</v>
          </cell>
          <cell r="C315">
            <v>9.1999999999999993</v>
          </cell>
          <cell r="D315">
            <v>77</v>
          </cell>
          <cell r="E315" t="str">
            <v>R87</v>
          </cell>
          <cell r="F315">
            <v>930</v>
          </cell>
          <cell r="G315">
            <v>19.100000000000001</v>
          </cell>
          <cell r="H315">
            <v>1.55</v>
          </cell>
          <cell r="I315" t="str">
            <v>From M1 to M2 - 13°</v>
          </cell>
          <cell r="J315" t="str">
            <v>IE3</v>
          </cell>
          <cell r="K315">
            <v>400</v>
          </cell>
          <cell r="L315">
            <v>50</v>
          </cell>
          <cell r="N315">
            <v>55</v>
          </cell>
          <cell r="O315" t="str">
            <v>F</v>
          </cell>
          <cell r="P315" t="str">
            <v>270°</v>
          </cell>
          <cell r="R315" t="str">
            <v>-</v>
          </cell>
          <cell r="V315" t="str">
            <v>D</v>
          </cell>
          <cell r="X315" t="str">
            <v>CLP (CC) VG 220 = -15° + 40°</v>
          </cell>
          <cell r="Y315" t="str">
            <v>R87DRN132M4</v>
          </cell>
          <cell r="Z315" t="str">
            <v>SEW</v>
          </cell>
          <cell r="AH315" t="str">
            <v>R87-270-X</v>
          </cell>
        </row>
        <row r="316">
          <cell r="A316" t="str">
            <v>MR000312</v>
          </cell>
          <cell r="B316" t="str">
            <v>MR</v>
          </cell>
          <cell r="C316">
            <v>37</v>
          </cell>
          <cell r="D316">
            <v>95</v>
          </cell>
          <cell r="E316" t="str">
            <v>R107</v>
          </cell>
          <cell r="F316">
            <v>3730</v>
          </cell>
          <cell r="G316">
            <v>15.65</v>
          </cell>
          <cell r="H316">
            <v>1.1499999999999999</v>
          </cell>
          <cell r="I316" t="str">
            <v>M4</v>
          </cell>
          <cell r="J316" t="str">
            <v>IE3</v>
          </cell>
          <cell r="K316" t="str">
            <v>400/690</v>
          </cell>
          <cell r="L316">
            <v>50</v>
          </cell>
          <cell r="M316" t="str">
            <v>64/37</v>
          </cell>
          <cell r="N316">
            <v>55</v>
          </cell>
          <cell r="O316" t="str">
            <v>F</v>
          </cell>
          <cell r="P316" t="str">
            <v>270°</v>
          </cell>
          <cell r="R316" t="str">
            <v>-</v>
          </cell>
          <cell r="V316" t="str">
            <v>D</v>
          </cell>
          <cell r="X316" t="str">
            <v>CLP VG 220 = -15° + 40°</v>
          </cell>
          <cell r="Y316" t="str">
            <v>R107DRN225S4</v>
          </cell>
          <cell r="Z316" t="str">
            <v>SEW</v>
          </cell>
          <cell r="AH316" t="str">
            <v>R107-270-X</v>
          </cell>
        </row>
        <row r="317">
          <cell r="A317" t="str">
            <v>MR000313</v>
          </cell>
          <cell r="B317" t="str">
            <v>MR</v>
          </cell>
          <cell r="C317">
            <v>7.5</v>
          </cell>
          <cell r="D317">
            <v>64</v>
          </cell>
          <cell r="E317" t="str">
            <v>KA77</v>
          </cell>
          <cell r="F317">
            <v>1120</v>
          </cell>
          <cell r="G317">
            <v>23.08</v>
          </cell>
          <cell r="H317">
            <v>1.4</v>
          </cell>
          <cell r="I317" t="str">
            <v>M4B</v>
          </cell>
          <cell r="J317" t="str">
            <v>IE3</v>
          </cell>
          <cell r="K317">
            <v>400</v>
          </cell>
          <cell r="L317">
            <v>50</v>
          </cell>
          <cell r="M317">
            <v>15.2</v>
          </cell>
          <cell r="N317">
            <v>55</v>
          </cell>
          <cell r="O317" t="str">
            <v>F</v>
          </cell>
          <cell r="P317" t="str">
            <v>270°</v>
          </cell>
          <cell r="R317" t="str">
            <v>-</v>
          </cell>
          <cell r="S317" t="str">
            <v>free rotation CW</v>
          </cell>
          <cell r="U317" t="str">
            <v>T</v>
          </cell>
          <cell r="V317" t="str">
            <v>SS</v>
          </cell>
          <cell r="X317" t="str">
            <v>CLP HC VG 150 = -40° + 40°</v>
          </cell>
          <cell r="Y317" t="str">
            <v>KA77/TDRN132M4</v>
          </cell>
          <cell r="Z317" t="str">
            <v>SEW</v>
          </cell>
          <cell r="AH317" t="str">
            <v>KA77T-B270-X</v>
          </cell>
        </row>
        <row r="318">
          <cell r="A318" t="str">
            <v>MR000314</v>
          </cell>
          <cell r="B318" t="str">
            <v>MR</v>
          </cell>
          <cell r="C318">
            <v>7.5</v>
          </cell>
          <cell r="D318">
            <v>64</v>
          </cell>
          <cell r="E318" t="str">
            <v>KA77</v>
          </cell>
          <cell r="F318">
            <v>1120</v>
          </cell>
          <cell r="G318">
            <v>23.08</v>
          </cell>
          <cell r="H318">
            <v>1.4</v>
          </cell>
          <cell r="I318" t="str">
            <v>M4A</v>
          </cell>
          <cell r="J318" t="str">
            <v>IE3</v>
          </cell>
          <cell r="K318">
            <v>400</v>
          </cell>
          <cell r="L318">
            <v>50</v>
          </cell>
          <cell r="M318">
            <v>15.2</v>
          </cell>
          <cell r="N318">
            <v>55</v>
          </cell>
          <cell r="O318" t="str">
            <v>F</v>
          </cell>
          <cell r="P318" t="str">
            <v>270°</v>
          </cell>
          <cell r="R318" t="str">
            <v>-</v>
          </cell>
          <cell r="S318" t="str">
            <v>free rotation CCW</v>
          </cell>
          <cell r="U318" t="str">
            <v>T</v>
          </cell>
          <cell r="V318" t="str">
            <v>SS</v>
          </cell>
          <cell r="X318" t="str">
            <v>CLP HC VG 150 = -40° + 40°</v>
          </cell>
          <cell r="Y318" t="str">
            <v>KA77/TDRN132M4</v>
          </cell>
          <cell r="Z318" t="str">
            <v>SEW</v>
          </cell>
          <cell r="AH318" t="str">
            <v>KA77T-A270-X</v>
          </cell>
        </row>
        <row r="319">
          <cell r="A319" t="str">
            <v>MR000315</v>
          </cell>
          <cell r="B319" t="str">
            <v>MR</v>
          </cell>
          <cell r="C319">
            <v>0.75</v>
          </cell>
          <cell r="D319" t="str">
            <v>162</v>
          </cell>
          <cell r="E319" t="str">
            <v>KA37</v>
          </cell>
          <cell r="F319">
            <v>44</v>
          </cell>
          <cell r="G319">
            <v>8.91</v>
          </cell>
          <cell r="H319">
            <v>3.6</v>
          </cell>
          <cell r="I319" t="str">
            <v>From M1B to M2B - 15°</v>
          </cell>
          <cell r="J319" t="str">
            <v>IE3</v>
          </cell>
          <cell r="K319">
            <v>400</v>
          </cell>
          <cell r="L319">
            <v>50</v>
          </cell>
          <cell r="M319">
            <v>1.75</v>
          </cell>
          <cell r="N319">
            <v>55</v>
          </cell>
          <cell r="O319" t="str">
            <v>F</v>
          </cell>
          <cell r="P319" t="str">
            <v>270°</v>
          </cell>
          <cell r="R319" t="str">
            <v>-</v>
          </cell>
          <cell r="U319" t="str">
            <v>T</v>
          </cell>
          <cell r="V319" t="str">
            <v>D</v>
          </cell>
          <cell r="X319" t="str">
            <v>CLP HC VG 150 = -40° + 40°</v>
          </cell>
          <cell r="Y319" t="str">
            <v xml:space="preserve">KA37/TDRN80M4 </v>
          </cell>
          <cell r="Z319" t="str">
            <v>SEW</v>
          </cell>
          <cell r="AH319" t="str">
            <v>KA37T-B270-X</v>
          </cell>
        </row>
        <row r="320">
          <cell r="A320" t="str">
            <v>MR000316</v>
          </cell>
          <cell r="B320" t="str">
            <v>MR</v>
          </cell>
          <cell r="C320">
            <v>0.75</v>
          </cell>
          <cell r="D320" t="str">
            <v>162</v>
          </cell>
          <cell r="E320" t="str">
            <v>KA37</v>
          </cell>
          <cell r="F320">
            <v>44</v>
          </cell>
          <cell r="G320">
            <v>8.91</v>
          </cell>
          <cell r="H320">
            <v>3.6</v>
          </cell>
          <cell r="I320" t="str">
            <v>From M1A to M2A - 15°</v>
          </cell>
          <cell r="J320" t="str">
            <v>IE3</v>
          </cell>
          <cell r="K320">
            <v>400</v>
          </cell>
          <cell r="L320">
            <v>50</v>
          </cell>
          <cell r="M320">
            <v>1.75</v>
          </cell>
          <cell r="N320">
            <v>55</v>
          </cell>
          <cell r="O320" t="str">
            <v>F</v>
          </cell>
          <cell r="P320" t="str">
            <v>270°</v>
          </cell>
          <cell r="R320" t="str">
            <v>-</v>
          </cell>
          <cell r="U320" t="str">
            <v>T</v>
          </cell>
          <cell r="V320" t="str">
            <v>D</v>
          </cell>
          <cell r="X320" t="str">
            <v>CLP HC VG 150 = -40° + 40°</v>
          </cell>
          <cell r="Y320" t="str">
            <v xml:space="preserve">KA37/TDRN80M4 </v>
          </cell>
          <cell r="Z320" t="str">
            <v>SEW</v>
          </cell>
          <cell r="AH320" t="str">
            <v>KA37T-A270-X</v>
          </cell>
        </row>
        <row r="321">
          <cell r="A321" t="str">
            <v>MR000317</v>
          </cell>
          <cell r="B321" t="str">
            <v>MR</v>
          </cell>
          <cell r="C321">
            <v>22</v>
          </cell>
          <cell r="D321">
            <v>15</v>
          </cell>
          <cell r="E321" t="str">
            <v>KH157</v>
          </cell>
          <cell r="F321">
            <v>14200</v>
          </cell>
          <cell r="G321">
            <v>100.22</v>
          </cell>
          <cell r="H321">
            <v>1.25</v>
          </cell>
          <cell r="I321" t="str">
            <v>From M4A to M1A - 15°</v>
          </cell>
          <cell r="J321" t="str">
            <v>IE3</v>
          </cell>
          <cell r="K321">
            <v>400</v>
          </cell>
          <cell r="L321">
            <v>50</v>
          </cell>
          <cell r="M321">
            <v>38.5</v>
          </cell>
          <cell r="N321">
            <v>55</v>
          </cell>
          <cell r="O321" t="str">
            <v>F</v>
          </cell>
          <cell r="P321" t="str">
            <v>270°</v>
          </cell>
          <cell r="Q321" t="str">
            <v>TF</v>
          </cell>
          <cell r="R321" t="str">
            <v>V</v>
          </cell>
          <cell r="V321" t="str">
            <v>FC</v>
          </cell>
          <cell r="X321" t="str">
            <v>CLP (CC) VG 220 = -15° + 40°</v>
          </cell>
          <cell r="Y321" t="str">
            <v>KH157DRN180L4/TF/V</v>
          </cell>
          <cell r="Z321" t="str">
            <v>SEW</v>
          </cell>
          <cell r="AH321" t="str">
            <v>KH157-A270-X#</v>
          </cell>
        </row>
        <row r="322">
          <cell r="A322" t="str">
            <v>MR000318</v>
          </cell>
          <cell r="B322" t="str">
            <v>MR</v>
          </cell>
          <cell r="C322">
            <v>22</v>
          </cell>
          <cell r="D322">
            <v>15</v>
          </cell>
          <cell r="E322" t="str">
            <v>KH157</v>
          </cell>
          <cell r="F322">
            <v>14200</v>
          </cell>
          <cell r="G322">
            <v>100.22</v>
          </cell>
          <cell r="H322">
            <v>1.25</v>
          </cell>
          <cell r="I322" t="str">
            <v>From M4B to M1B - 15°</v>
          </cell>
          <cell r="J322" t="str">
            <v>IE3</v>
          </cell>
          <cell r="K322">
            <v>400</v>
          </cell>
          <cell r="L322">
            <v>50</v>
          </cell>
          <cell r="M322">
            <v>38.5</v>
          </cell>
          <cell r="N322">
            <v>55</v>
          </cell>
          <cell r="O322" t="str">
            <v>F</v>
          </cell>
          <cell r="P322" t="str">
            <v>270°</v>
          </cell>
          <cell r="Q322" t="str">
            <v>TF</v>
          </cell>
          <cell r="R322" t="str">
            <v>V</v>
          </cell>
          <cell r="V322" t="str">
            <v>FC</v>
          </cell>
          <cell r="X322" t="str">
            <v>CLP (CC) VG 220 = -15° + 40°</v>
          </cell>
          <cell r="Y322" t="str">
            <v>KH157DRN180L4/TF/V</v>
          </cell>
          <cell r="Z322" t="str">
            <v>SEW</v>
          </cell>
          <cell r="AH322" t="str">
            <v>KH157-B270-X#</v>
          </cell>
        </row>
        <row r="323">
          <cell r="A323" t="str">
            <v>MR000319</v>
          </cell>
          <cell r="B323" t="str">
            <v>MR</v>
          </cell>
          <cell r="C323">
            <v>15</v>
          </cell>
          <cell r="D323">
            <v>13</v>
          </cell>
          <cell r="E323" t="str">
            <v>KH127</v>
          </cell>
          <cell r="F323">
            <v>10700</v>
          </cell>
          <cell r="G323">
            <v>110.18</v>
          </cell>
          <cell r="H323">
            <v>1.2</v>
          </cell>
          <cell r="I323" t="str">
            <v>From M1A to M2A - 10°</v>
          </cell>
          <cell r="J323" t="str">
            <v>IE3</v>
          </cell>
          <cell r="K323">
            <v>400</v>
          </cell>
          <cell r="L323">
            <v>50</v>
          </cell>
          <cell r="M323">
            <v>29</v>
          </cell>
          <cell r="N323">
            <v>55</v>
          </cell>
          <cell r="O323" t="str">
            <v>F</v>
          </cell>
          <cell r="P323" t="str">
            <v>270°</v>
          </cell>
          <cell r="Q323" t="str">
            <v>TF</v>
          </cell>
          <cell r="R323" t="str">
            <v>V</v>
          </cell>
          <cell r="V323" t="str">
            <v>FC</v>
          </cell>
          <cell r="X323" t="str">
            <v>CLP (CC) VG 220 = -15° + 40°</v>
          </cell>
          <cell r="Y323" t="str">
            <v>KH127DRN160L4/TF/V</v>
          </cell>
          <cell r="Z323" t="str">
            <v>SEW</v>
          </cell>
          <cell r="AH323" t="str">
            <v>KH127-A270-X#</v>
          </cell>
        </row>
        <row r="324">
          <cell r="A324" t="str">
            <v>MR000320</v>
          </cell>
          <cell r="B324" t="str">
            <v>MR</v>
          </cell>
          <cell r="C324">
            <v>15</v>
          </cell>
          <cell r="D324">
            <v>13</v>
          </cell>
          <cell r="E324" t="str">
            <v>KH127</v>
          </cell>
          <cell r="F324">
            <v>10700</v>
          </cell>
          <cell r="G324">
            <v>110.18</v>
          </cell>
          <cell r="H324">
            <v>1.2</v>
          </cell>
          <cell r="I324" t="str">
            <v>From M1B to M2B - 10°</v>
          </cell>
          <cell r="J324" t="str">
            <v>IE3</v>
          </cell>
          <cell r="K324">
            <v>400</v>
          </cell>
          <cell r="L324">
            <v>50</v>
          </cell>
          <cell r="M324">
            <v>29</v>
          </cell>
          <cell r="N324">
            <v>55</v>
          </cell>
          <cell r="O324" t="str">
            <v>F</v>
          </cell>
          <cell r="P324" t="str">
            <v>270°</v>
          </cell>
          <cell r="Q324" t="str">
            <v>TF</v>
          </cell>
          <cell r="R324" t="str">
            <v>V</v>
          </cell>
          <cell r="V324" t="str">
            <v>FC</v>
          </cell>
          <cell r="X324" t="str">
            <v>CLP (CC) VG 220 = -15° + 40°</v>
          </cell>
          <cell r="Y324" t="str">
            <v>KH127DRN160L4/TF/V</v>
          </cell>
          <cell r="Z324" t="str">
            <v>SEW</v>
          </cell>
          <cell r="AH324" t="str">
            <v>KH127-B270-X#</v>
          </cell>
        </row>
        <row r="325">
          <cell r="A325" t="str">
            <v>MR000321</v>
          </cell>
          <cell r="B325" t="str">
            <v>MR</v>
          </cell>
          <cell r="C325">
            <v>18.5</v>
          </cell>
          <cell r="D325">
            <v>12</v>
          </cell>
          <cell r="E325" t="str">
            <v>KH157</v>
          </cell>
          <cell r="F325">
            <v>14600</v>
          </cell>
          <cell r="G325">
            <v>122.39</v>
          </cell>
          <cell r="H325">
            <v>1.25</v>
          </cell>
          <cell r="I325" t="str">
            <v>From M1A to M2A - 10°</v>
          </cell>
          <cell r="J325" t="str">
            <v>IE3</v>
          </cell>
          <cell r="K325">
            <v>400</v>
          </cell>
          <cell r="L325">
            <v>50</v>
          </cell>
          <cell r="M325">
            <v>33.5</v>
          </cell>
          <cell r="N325">
            <v>55</v>
          </cell>
          <cell r="O325" t="str">
            <v>F</v>
          </cell>
          <cell r="P325" t="str">
            <v>270°</v>
          </cell>
          <cell r="Q325" t="str">
            <v>TF</v>
          </cell>
          <cell r="R325" t="str">
            <v>V</v>
          </cell>
          <cell r="V325" t="str">
            <v>FC</v>
          </cell>
          <cell r="X325" t="str">
            <v>CLP (CC) VG 220 = -15° + 40°</v>
          </cell>
          <cell r="Y325" t="str">
            <v>KH157DRN180M4/TF/V</v>
          </cell>
          <cell r="Z325" t="str">
            <v>SEW</v>
          </cell>
          <cell r="AH325" t="str">
            <v>KH157-A270-X#</v>
          </cell>
        </row>
        <row r="326">
          <cell r="A326" t="str">
            <v>MR000322</v>
          </cell>
          <cell r="B326" t="str">
            <v>MR</v>
          </cell>
          <cell r="C326">
            <v>18.5</v>
          </cell>
          <cell r="D326">
            <v>12</v>
          </cell>
          <cell r="E326" t="str">
            <v>KH157</v>
          </cell>
          <cell r="F326">
            <v>14600</v>
          </cell>
          <cell r="G326">
            <v>122.39</v>
          </cell>
          <cell r="H326">
            <v>1.25</v>
          </cell>
          <cell r="I326" t="str">
            <v>From M1B to M2B - 10°</v>
          </cell>
          <cell r="J326" t="str">
            <v>IE3</v>
          </cell>
          <cell r="K326">
            <v>400</v>
          </cell>
          <cell r="L326">
            <v>50</v>
          </cell>
          <cell r="M326">
            <v>33.5</v>
          </cell>
          <cell r="N326">
            <v>55</v>
          </cell>
          <cell r="O326" t="str">
            <v>F</v>
          </cell>
          <cell r="P326" t="str">
            <v>270°</v>
          </cell>
          <cell r="Q326" t="str">
            <v>TF</v>
          </cell>
          <cell r="R326" t="str">
            <v>V</v>
          </cell>
          <cell r="V326" t="str">
            <v>FC</v>
          </cell>
          <cell r="X326" t="str">
            <v>CLP (CC) VG 220 = -15° + 40°</v>
          </cell>
          <cell r="Y326" t="str">
            <v>KH157DRN180M4/TF/V</v>
          </cell>
          <cell r="Z326" t="str">
            <v>SEW</v>
          </cell>
          <cell r="AH326" t="str">
            <v>KH157-B270-X#</v>
          </cell>
        </row>
        <row r="327">
          <cell r="A327" t="str">
            <v>MR000323</v>
          </cell>
          <cell r="B327" t="str">
            <v>MR</v>
          </cell>
          <cell r="C327">
            <v>7.5</v>
          </cell>
          <cell r="D327">
            <v>68</v>
          </cell>
          <cell r="E327" t="str">
            <v>R87</v>
          </cell>
          <cell r="F327">
            <v>1040</v>
          </cell>
          <cell r="G327">
            <v>21.51</v>
          </cell>
          <cell r="H327">
            <v>1.45</v>
          </cell>
          <cell r="I327" t="str">
            <v>M1</v>
          </cell>
          <cell r="J327" t="str">
            <v>IE3</v>
          </cell>
          <cell r="K327">
            <v>400</v>
          </cell>
          <cell r="L327">
            <v>50</v>
          </cell>
          <cell r="M327">
            <v>15.2</v>
          </cell>
          <cell r="N327">
            <v>55</v>
          </cell>
          <cell r="O327" t="str">
            <v>F</v>
          </cell>
          <cell r="P327" t="str">
            <v>270°</v>
          </cell>
          <cell r="R327" t="str">
            <v>-</v>
          </cell>
          <cell r="V327" t="str">
            <v>D</v>
          </cell>
          <cell r="X327" t="str">
            <v>CLP (CC) VG 220 = -15° + 40°</v>
          </cell>
          <cell r="Y327" t="str">
            <v>R87DRN132M4</v>
          </cell>
          <cell r="Z327" t="str">
            <v>SEW</v>
          </cell>
          <cell r="AE327" t="str">
            <v>Motore a magazzino</v>
          </cell>
          <cell r="AH327" t="str">
            <v>R87-270-X</v>
          </cell>
        </row>
        <row r="328">
          <cell r="A328" t="str">
            <v>MR000324</v>
          </cell>
          <cell r="B328" t="str">
            <v>MR</v>
          </cell>
          <cell r="C328">
            <v>37</v>
          </cell>
          <cell r="D328">
            <v>67</v>
          </cell>
          <cell r="E328" t="str">
            <v>R137</v>
          </cell>
          <cell r="F328">
            <v>5240</v>
          </cell>
          <cell r="G328">
            <v>22</v>
          </cell>
          <cell r="H328">
            <v>1.55</v>
          </cell>
          <cell r="I328" t="str">
            <v>M4</v>
          </cell>
          <cell r="J328" t="str">
            <v>IE3</v>
          </cell>
          <cell r="K328">
            <v>400</v>
          </cell>
          <cell r="L328">
            <v>50</v>
          </cell>
          <cell r="N328">
            <v>55</v>
          </cell>
          <cell r="O328" t="str">
            <v>F</v>
          </cell>
          <cell r="P328" t="str">
            <v>270°</v>
          </cell>
          <cell r="R328" t="str">
            <v>-</v>
          </cell>
          <cell r="V328" t="str">
            <v>D</v>
          </cell>
          <cell r="X328" t="str">
            <v>CLP (CC) VG 220 = -15° + 40°</v>
          </cell>
          <cell r="Y328" t="str">
            <v>R137DRN225S4</v>
          </cell>
          <cell r="Z328" t="str">
            <v>SEW</v>
          </cell>
          <cell r="AE328" t="str">
            <v>Motore a magazzino</v>
          </cell>
          <cell r="AH328" t="str">
            <v>R137-270-X</v>
          </cell>
        </row>
        <row r="329">
          <cell r="A329" t="str">
            <v>MR000325</v>
          </cell>
          <cell r="B329" t="str">
            <v>MR</v>
          </cell>
          <cell r="C329">
            <v>5.5</v>
          </cell>
          <cell r="D329">
            <v>86</v>
          </cell>
          <cell r="E329" t="str">
            <v>R87</v>
          </cell>
          <cell r="F329">
            <v>610</v>
          </cell>
          <cell r="G329">
            <v>17.079999999999998</v>
          </cell>
          <cell r="H329">
            <v>2.2999999999999998</v>
          </cell>
          <cell r="I329" t="str">
            <v>M1</v>
          </cell>
          <cell r="J329" t="str">
            <v>IE3</v>
          </cell>
          <cell r="K329">
            <v>400</v>
          </cell>
          <cell r="L329">
            <v>50</v>
          </cell>
          <cell r="N329">
            <v>55</v>
          </cell>
          <cell r="O329" t="str">
            <v>F</v>
          </cell>
          <cell r="P329" t="str">
            <v>270°</v>
          </cell>
          <cell r="R329" t="str">
            <v>-</v>
          </cell>
          <cell r="V329" t="str">
            <v>D</v>
          </cell>
          <cell r="X329" t="str">
            <v>CLP (CC) VG 220 = -15° + 40°</v>
          </cell>
          <cell r="Y329" t="str">
            <v>R87DRN132S4</v>
          </cell>
          <cell r="Z329" t="str">
            <v>SEW</v>
          </cell>
          <cell r="AE329" t="str">
            <v>Motore a magazzino</v>
          </cell>
          <cell r="AH329" t="str">
            <v>R87-270-X</v>
          </cell>
        </row>
        <row r="330">
          <cell r="A330" t="str">
            <v>MR000326</v>
          </cell>
          <cell r="B330" t="str">
            <v>MR</v>
          </cell>
          <cell r="C330">
            <v>18.5</v>
          </cell>
          <cell r="D330">
            <v>94</v>
          </cell>
          <cell r="E330" t="str">
            <v>R107</v>
          </cell>
          <cell r="F330">
            <v>1870</v>
          </cell>
          <cell r="G330">
            <v>15.65</v>
          </cell>
          <cell r="H330">
            <v>2.2999999999999998</v>
          </cell>
          <cell r="I330" t="str">
            <v>M4</v>
          </cell>
          <cell r="J330" t="str">
            <v>IE3</v>
          </cell>
          <cell r="K330">
            <v>400</v>
          </cell>
          <cell r="L330">
            <v>50</v>
          </cell>
          <cell r="M330">
            <v>33.5</v>
          </cell>
          <cell r="N330">
            <v>55</v>
          </cell>
          <cell r="O330" t="str">
            <v>F</v>
          </cell>
          <cell r="P330" t="str">
            <v>270°</v>
          </cell>
          <cell r="R330" t="str">
            <v>-</v>
          </cell>
          <cell r="V330" t="str">
            <v>D</v>
          </cell>
          <cell r="X330" t="str">
            <v>CLP (CC) VG 220 = -15° + 40°</v>
          </cell>
          <cell r="Y330" t="str">
            <v>R107DRN180M4</v>
          </cell>
          <cell r="Z330" t="str">
            <v>SEW</v>
          </cell>
          <cell r="AE330" t="str">
            <v>Motore a magazzino</v>
          </cell>
          <cell r="AH330" t="str">
            <v>R107-270-X</v>
          </cell>
        </row>
        <row r="331">
          <cell r="A331" t="str">
            <v>MR000327</v>
          </cell>
          <cell r="B331" t="str">
            <v>MR</v>
          </cell>
          <cell r="C331">
            <v>0.75</v>
          </cell>
          <cell r="D331">
            <v>162</v>
          </cell>
          <cell r="E331" t="str">
            <v>KA37</v>
          </cell>
          <cell r="F331">
            <v>44</v>
          </cell>
          <cell r="G331">
            <v>8.91</v>
          </cell>
          <cell r="H331">
            <v>3.6</v>
          </cell>
          <cell r="I331" t="str">
            <v>M3A</v>
          </cell>
          <cell r="J331" t="str">
            <v>IE3</v>
          </cell>
          <cell r="K331">
            <v>400</v>
          </cell>
          <cell r="L331">
            <v>50</v>
          </cell>
          <cell r="M331">
            <v>1.75</v>
          </cell>
          <cell r="N331">
            <v>55</v>
          </cell>
          <cell r="O331" t="str">
            <v>F</v>
          </cell>
          <cell r="P331" t="str">
            <v>180°</v>
          </cell>
          <cell r="R331" t="str">
            <v>-</v>
          </cell>
          <cell r="U331" t="str">
            <v>T</v>
          </cell>
          <cell r="V331" t="str">
            <v>D</v>
          </cell>
          <cell r="X331" t="str">
            <v>CLP (CC) VG 220 = -15° + 40°</v>
          </cell>
          <cell r="Y331" t="str">
            <v>KA37/T DRN80M4</v>
          </cell>
          <cell r="Z331" t="str">
            <v>SEW</v>
          </cell>
          <cell r="AH331" t="str">
            <v>KA37T-A180-X</v>
          </cell>
        </row>
        <row r="332">
          <cell r="A332" t="str">
            <v>MR000328</v>
          </cell>
          <cell r="B332" t="str">
            <v>MR</v>
          </cell>
          <cell r="C332">
            <v>22</v>
          </cell>
          <cell r="D332">
            <v>15</v>
          </cell>
          <cell r="E332" t="str">
            <v>KH157</v>
          </cell>
          <cell r="F332">
            <v>14200</v>
          </cell>
          <cell r="G332">
            <v>100.22</v>
          </cell>
          <cell r="H332">
            <v>1.25</v>
          </cell>
          <cell r="I332" t="str">
            <v>From M1A to M2A - 30°</v>
          </cell>
          <cell r="J332" t="str">
            <v>IE3</v>
          </cell>
          <cell r="K332">
            <v>400</v>
          </cell>
          <cell r="L332">
            <v>50</v>
          </cell>
          <cell r="M332">
            <v>38.5</v>
          </cell>
          <cell r="N332">
            <v>55</v>
          </cell>
          <cell r="O332" t="str">
            <v>F</v>
          </cell>
          <cell r="P332" t="str">
            <v>270°</v>
          </cell>
          <cell r="Q332" t="str">
            <v>TF</v>
          </cell>
          <cell r="R332" t="str">
            <v>V</v>
          </cell>
          <cell r="V332" t="str">
            <v>FC</v>
          </cell>
          <cell r="X332" t="str">
            <v>CLP (CC) VG 220 = -15° + 40°</v>
          </cell>
          <cell r="Y332" t="str">
            <v>KH157DRN180L4-TF-V</v>
          </cell>
          <cell r="Z332" t="str">
            <v>SEW</v>
          </cell>
          <cell r="AH332" t="str">
            <v>KH157-A270-X#</v>
          </cell>
        </row>
        <row r="333">
          <cell r="A333" t="str">
            <v>MR000329</v>
          </cell>
          <cell r="B333" t="str">
            <v>MR</v>
          </cell>
          <cell r="C333">
            <v>22</v>
          </cell>
          <cell r="D333">
            <v>15</v>
          </cell>
          <cell r="E333" t="str">
            <v>KH157</v>
          </cell>
          <cell r="F333">
            <v>14200</v>
          </cell>
          <cell r="G333">
            <v>100.22</v>
          </cell>
          <cell r="H333">
            <v>1.25</v>
          </cell>
          <cell r="I333" t="str">
            <v>From M1B to M2B - 30°</v>
          </cell>
          <cell r="J333" t="str">
            <v>IE3</v>
          </cell>
          <cell r="K333">
            <v>400</v>
          </cell>
          <cell r="L333">
            <v>50</v>
          </cell>
          <cell r="M333">
            <v>38.5</v>
          </cell>
          <cell r="N333">
            <v>55</v>
          </cell>
          <cell r="O333" t="str">
            <v>F</v>
          </cell>
          <cell r="P333" t="str">
            <v>270°</v>
          </cell>
          <cell r="Q333" t="str">
            <v>TF</v>
          </cell>
          <cell r="R333" t="str">
            <v>V</v>
          </cell>
          <cell r="V333" t="str">
            <v>FC</v>
          </cell>
          <cell r="X333" t="str">
            <v>CLP (CC) VG 220 = -15° + 40°</v>
          </cell>
          <cell r="Y333" t="str">
            <v>KH157DRN180L4-TF-V</v>
          </cell>
          <cell r="Z333" t="str">
            <v>SEW</v>
          </cell>
          <cell r="AH333" t="str">
            <v>KH157-B270-X#</v>
          </cell>
        </row>
        <row r="334">
          <cell r="A334" t="str">
            <v>MR000330</v>
          </cell>
          <cell r="B334" t="str">
            <v>MR</v>
          </cell>
          <cell r="C334">
            <v>9.1999999999999993</v>
          </cell>
          <cell r="D334">
            <v>18</v>
          </cell>
          <cell r="E334" t="str">
            <v>R127</v>
          </cell>
          <cell r="F334">
            <v>4910</v>
          </cell>
          <cell r="G334">
            <v>82.17</v>
          </cell>
          <cell r="H334">
            <v>1.2</v>
          </cell>
          <cell r="I334" t="str">
            <v>From M1 to M4 - 15°</v>
          </cell>
          <cell r="J334" t="str">
            <v>IE3</v>
          </cell>
          <cell r="K334">
            <v>415</v>
          </cell>
          <cell r="L334">
            <v>50</v>
          </cell>
          <cell r="M334">
            <v>18.7</v>
          </cell>
          <cell r="N334">
            <v>55</v>
          </cell>
          <cell r="O334" t="str">
            <v>F</v>
          </cell>
          <cell r="P334" t="str">
            <v>270°</v>
          </cell>
          <cell r="Q334" t="str">
            <v>TF</v>
          </cell>
          <cell r="R334" t="str">
            <v>V</v>
          </cell>
          <cell r="V334" t="str">
            <v>FC</v>
          </cell>
          <cell r="X334" t="str">
            <v>CLP (CC) VG 220 = -15° + 40°</v>
          </cell>
          <cell r="Y334" t="str">
            <v>R127DRN132L4-TF-V</v>
          </cell>
          <cell r="Z334" t="str">
            <v>SEW</v>
          </cell>
          <cell r="AH334" t="str">
            <v>R127-270-X#</v>
          </cell>
        </row>
        <row r="335">
          <cell r="A335" t="str">
            <v>MR000331</v>
          </cell>
          <cell r="B335" t="str">
            <v>MR</v>
          </cell>
          <cell r="C335">
            <v>30</v>
          </cell>
          <cell r="D335">
            <v>45</v>
          </cell>
          <cell r="E335" t="str">
            <v>R137</v>
          </cell>
          <cell r="F335">
            <v>6370</v>
          </cell>
          <cell r="G335">
            <v>32.909999999999997</v>
          </cell>
          <cell r="H335">
            <v>1.25</v>
          </cell>
          <cell r="I335" t="str">
            <v>From M1 to M5 - 15°</v>
          </cell>
          <cell r="J335" t="str">
            <v>IE3</v>
          </cell>
          <cell r="K335">
            <v>415</v>
          </cell>
          <cell r="L335">
            <v>50</v>
          </cell>
          <cell r="M335">
            <v>56</v>
          </cell>
          <cell r="N335">
            <v>55</v>
          </cell>
          <cell r="O335" t="str">
            <v>F</v>
          </cell>
          <cell r="P335" t="str">
            <v>270°</v>
          </cell>
          <cell r="R335" t="str">
            <v>-</v>
          </cell>
          <cell r="V335" t="str">
            <v>SS</v>
          </cell>
          <cell r="X335" t="str">
            <v>CLP (CC) VG 220 = -15° + 40°</v>
          </cell>
          <cell r="Y335" t="str">
            <v>R137DRN200L4</v>
          </cell>
          <cell r="Z335" t="str">
            <v>SEW</v>
          </cell>
          <cell r="AH335" t="str">
            <v>R137-270-X</v>
          </cell>
        </row>
        <row r="336">
          <cell r="A336" t="str">
            <v>MR000332</v>
          </cell>
          <cell r="B336" t="str">
            <v>MR</v>
          </cell>
          <cell r="C336">
            <v>5.5</v>
          </cell>
          <cell r="D336">
            <v>57</v>
          </cell>
          <cell r="E336" t="str">
            <v>FH77</v>
          </cell>
          <cell r="F336">
            <v>910</v>
          </cell>
          <cell r="G336">
            <v>25.54</v>
          </cell>
          <cell r="H336">
            <v>1.6</v>
          </cell>
          <cell r="I336" t="str">
            <v>M1</v>
          </cell>
          <cell r="J336" t="str">
            <v>IE3</v>
          </cell>
          <cell r="K336">
            <v>415</v>
          </cell>
          <cell r="L336">
            <v>50</v>
          </cell>
          <cell r="N336">
            <v>55</v>
          </cell>
          <cell r="O336" t="str">
            <v>F</v>
          </cell>
          <cell r="P336" t="str">
            <v>270°</v>
          </cell>
          <cell r="R336" t="str">
            <v>-</v>
          </cell>
          <cell r="V336" t="str">
            <v>D</v>
          </cell>
          <cell r="X336" t="str">
            <v>CLP (CC) VG 220 = -15° + 40°</v>
          </cell>
          <cell r="Y336" t="str">
            <v>FH77/GDRN132S4</v>
          </cell>
          <cell r="Z336" t="str">
            <v>SEW</v>
          </cell>
          <cell r="AH336" t="str">
            <v>FH77-270-X</v>
          </cell>
        </row>
        <row r="337">
          <cell r="A337" t="str">
            <v>MR000333</v>
          </cell>
          <cell r="B337" t="str">
            <v>MR</v>
          </cell>
          <cell r="C337">
            <v>9.1999999999999993</v>
          </cell>
          <cell r="D337">
            <v>55</v>
          </cell>
          <cell r="E337" t="str">
            <v>FH87</v>
          </cell>
          <cell r="F337">
            <v>1580</v>
          </cell>
          <cell r="G337">
            <v>26.5</v>
          </cell>
          <cell r="H337">
            <v>1.9</v>
          </cell>
          <cell r="I337" t="str">
            <v>From M1 to M4 - 25°</v>
          </cell>
          <cell r="J337" t="str">
            <v>IE3</v>
          </cell>
          <cell r="K337">
            <v>415</v>
          </cell>
          <cell r="L337">
            <v>50</v>
          </cell>
          <cell r="N337">
            <v>55</v>
          </cell>
          <cell r="O337" t="str">
            <v>F</v>
          </cell>
          <cell r="P337" t="str">
            <v>270°</v>
          </cell>
          <cell r="R337" t="str">
            <v>-</v>
          </cell>
          <cell r="V337" t="str">
            <v>D</v>
          </cell>
          <cell r="X337" t="str">
            <v>CLP (CC) VG 220 = -15° + 40°</v>
          </cell>
          <cell r="Y337" t="str">
            <v>FH87/GDRN132L4</v>
          </cell>
          <cell r="Z337" t="str">
            <v>SEW</v>
          </cell>
          <cell r="AH337" t="str">
            <v>FH87-270-X</v>
          </cell>
        </row>
        <row r="338">
          <cell r="A338" t="str">
            <v>MR000334</v>
          </cell>
          <cell r="B338" t="str">
            <v>MR</v>
          </cell>
          <cell r="C338">
            <v>5.5</v>
          </cell>
          <cell r="D338">
            <v>84</v>
          </cell>
          <cell r="E338" t="str">
            <v>FH77</v>
          </cell>
          <cell r="F338">
            <v>625</v>
          </cell>
          <cell r="G338">
            <v>17.489999999999998</v>
          </cell>
          <cell r="H338">
            <v>2.4</v>
          </cell>
          <cell r="I338" t="str">
            <v>From M1 to M2 - 15°</v>
          </cell>
          <cell r="J338" t="str">
            <v>IE3</v>
          </cell>
          <cell r="K338">
            <v>415</v>
          </cell>
          <cell r="L338">
            <v>50</v>
          </cell>
          <cell r="N338">
            <v>55</v>
          </cell>
          <cell r="O338" t="str">
            <v>F</v>
          </cell>
          <cell r="P338" t="str">
            <v>270°</v>
          </cell>
          <cell r="R338" t="str">
            <v>-</v>
          </cell>
          <cell r="V338" t="str">
            <v>D</v>
          </cell>
          <cell r="X338" t="str">
            <v>CLP (CC) VG 220 = -15° + 40°</v>
          </cell>
          <cell r="Y338" t="str">
            <v>FH77/GDRN132S4</v>
          </cell>
          <cell r="Z338" t="str">
            <v>SEW</v>
          </cell>
          <cell r="AH338" t="str">
            <v>FH77-270-X</v>
          </cell>
        </row>
        <row r="339">
          <cell r="A339" t="str">
            <v>MR000335</v>
          </cell>
          <cell r="B339" t="str">
            <v>MR</v>
          </cell>
          <cell r="C339">
            <v>22</v>
          </cell>
          <cell r="D339">
            <v>33</v>
          </cell>
          <cell r="E339" t="str">
            <v>R137</v>
          </cell>
          <cell r="F339">
            <v>6310</v>
          </cell>
          <cell r="G339">
            <v>44.39</v>
          </cell>
          <cell r="H339">
            <v>1.25</v>
          </cell>
          <cell r="I339" t="str">
            <v>M1</v>
          </cell>
          <cell r="J339" t="str">
            <v>IE3</v>
          </cell>
          <cell r="K339">
            <v>415</v>
          </cell>
          <cell r="L339">
            <v>50</v>
          </cell>
          <cell r="M339">
            <v>38.5</v>
          </cell>
          <cell r="N339">
            <v>55</v>
          </cell>
          <cell r="O339" t="str">
            <v>F</v>
          </cell>
          <cell r="P339" t="str">
            <v>270°</v>
          </cell>
          <cell r="R339" t="str">
            <v>-</v>
          </cell>
          <cell r="S339" t="str">
            <v>Free rotation CW</v>
          </cell>
          <cell r="V339" t="str">
            <v>SS</v>
          </cell>
          <cell r="X339" t="str">
            <v>CLP (CC) VG 220 = -15° + 40°</v>
          </cell>
          <cell r="Y339" t="str">
            <v>R137DRN180L4-RS</v>
          </cell>
          <cell r="Z339" t="str">
            <v>SEW</v>
          </cell>
          <cell r="AH339" t="str">
            <v>R137-270-X</v>
          </cell>
        </row>
        <row r="340">
          <cell r="A340" t="str">
            <v>MR000336</v>
          </cell>
          <cell r="B340" t="str">
            <v>MR</v>
          </cell>
          <cell r="C340">
            <v>11</v>
          </cell>
          <cell r="D340">
            <v>45</v>
          </cell>
          <cell r="E340" t="str">
            <v>FH97</v>
          </cell>
          <cell r="F340">
            <v>2310</v>
          </cell>
          <cell r="G340">
            <v>32.5</v>
          </cell>
          <cell r="H340">
            <v>1.85</v>
          </cell>
          <cell r="I340" t="str">
            <v>From M1 to M4 - 20°</v>
          </cell>
          <cell r="J340" t="str">
            <v>IE3</v>
          </cell>
          <cell r="K340">
            <v>415</v>
          </cell>
          <cell r="L340">
            <v>50</v>
          </cell>
          <cell r="M340">
            <v>21</v>
          </cell>
          <cell r="N340">
            <v>55</v>
          </cell>
          <cell r="O340" t="str">
            <v>F</v>
          </cell>
          <cell r="P340" t="str">
            <v>270°</v>
          </cell>
          <cell r="R340" t="str">
            <v>-</v>
          </cell>
          <cell r="V340" t="str">
            <v>D</v>
          </cell>
          <cell r="X340" t="str">
            <v>CLP (CC) VG 220 = -15° + 40°</v>
          </cell>
          <cell r="Y340" t="str">
            <v>FH97/GDRN160M4</v>
          </cell>
          <cell r="Z340" t="str">
            <v>SEW</v>
          </cell>
          <cell r="AH340" t="str">
            <v>FH97-270-X</v>
          </cell>
        </row>
        <row r="341">
          <cell r="A341" t="str">
            <v>MR000337</v>
          </cell>
          <cell r="B341" t="str">
            <v>MR</v>
          </cell>
          <cell r="C341">
            <v>15</v>
          </cell>
          <cell r="D341">
            <v>42</v>
          </cell>
          <cell r="E341" t="str">
            <v>R107</v>
          </cell>
          <cell r="F341">
            <v>3420</v>
          </cell>
          <cell r="G341">
            <v>35.26</v>
          </cell>
          <cell r="H341">
            <v>1.25</v>
          </cell>
          <cell r="I341" t="str">
            <v>From M1 to M6 - 40°</v>
          </cell>
          <cell r="J341" t="str">
            <v>IE3</v>
          </cell>
          <cell r="K341">
            <v>415</v>
          </cell>
          <cell r="L341">
            <v>50</v>
          </cell>
          <cell r="N341">
            <v>55</v>
          </cell>
          <cell r="O341" t="str">
            <v>F</v>
          </cell>
          <cell r="P341" t="str">
            <v>270°</v>
          </cell>
          <cell r="Q341" t="str">
            <v>TF</v>
          </cell>
          <cell r="R341" t="str">
            <v>V</v>
          </cell>
          <cell r="V341" t="str">
            <v>FC</v>
          </cell>
          <cell r="X341" t="str">
            <v>CLP (CC) VG 220 = -15° + 40°</v>
          </cell>
          <cell r="Y341" t="str">
            <v>R107DRN160L4-TF-V</v>
          </cell>
          <cell r="Z341" t="str">
            <v>SEW</v>
          </cell>
          <cell r="AH341" t="str">
            <v>R107-270-X#</v>
          </cell>
        </row>
        <row r="342">
          <cell r="A342" t="str">
            <v>MR000338</v>
          </cell>
          <cell r="B342" t="str">
            <v>MR</v>
          </cell>
          <cell r="C342">
            <v>22</v>
          </cell>
          <cell r="D342">
            <v>45</v>
          </cell>
          <cell r="E342" t="str">
            <v>R137</v>
          </cell>
          <cell r="F342">
            <v>4680</v>
          </cell>
          <cell r="G342">
            <v>32.909999999999997</v>
          </cell>
          <cell r="H342">
            <v>1.7</v>
          </cell>
          <cell r="I342" t="str">
            <v>From M1 to M6 - 20°</v>
          </cell>
          <cell r="J342" t="str">
            <v>IE3</v>
          </cell>
          <cell r="K342">
            <v>415</v>
          </cell>
          <cell r="L342">
            <v>50</v>
          </cell>
          <cell r="M342">
            <v>38.5</v>
          </cell>
          <cell r="N342">
            <v>55</v>
          </cell>
          <cell r="O342" t="str">
            <v>F</v>
          </cell>
          <cell r="P342" t="str">
            <v>270°</v>
          </cell>
          <cell r="Q342" t="str">
            <v>TF</v>
          </cell>
          <cell r="R342" t="str">
            <v>V</v>
          </cell>
          <cell r="V342" t="str">
            <v>FC</v>
          </cell>
          <cell r="X342" t="str">
            <v>CLP (CC) VG 220 = -15° + 40°</v>
          </cell>
          <cell r="Y342" t="str">
            <v>R137DRN180L4-TF-V</v>
          </cell>
          <cell r="Z342" t="str">
            <v>SEW</v>
          </cell>
          <cell r="AH342" t="str">
            <v>R137-270-X#</v>
          </cell>
        </row>
        <row r="343">
          <cell r="A343" t="str">
            <v>MR000339</v>
          </cell>
          <cell r="B343" t="str">
            <v>MR</v>
          </cell>
          <cell r="C343">
            <v>7.5</v>
          </cell>
          <cell r="D343">
            <v>62</v>
          </cell>
          <cell r="E343" t="str">
            <v>FH87</v>
          </cell>
          <cell r="F343">
            <v>1150</v>
          </cell>
          <cell r="G343">
            <v>23.68</v>
          </cell>
          <cell r="H343">
            <v>2.6</v>
          </cell>
          <cell r="I343" t="str">
            <v>From M1 to M4 - 15°</v>
          </cell>
          <cell r="J343" t="str">
            <v>IE3</v>
          </cell>
          <cell r="K343">
            <v>415</v>
          </cell>
          <cell r="L343">
            <v>50</v>
          </cell>
          <cell r="M343">
            <v>15.2</v>
          </cell>
          <cell r="N343">
            <v>55</v>
          </cell>
          <cell r="O343" t="str">
            <v>F</v>
          </cell>
          <cell r="P343" t="str">
            <v>270°</v>
          </cell>
          <cell r="Q343" t="str">
            <v>TF</v>
          </cell>
          <cell r="R343" t="str">
            <v>V</v>
          </cell>
          <cell r="V343" t="str">
            <v>FC</v>
          </cell>
          <cell r="X343" t="str">
            <v>CLP (CC) VG 220 = -15° + 40°</v>
          </cell>
          <cell r="Y343" t="str">
            <v>FH87/GDRN132M4-TF-V</v>
          </cell>
          <cell r="Z343" t="str">
            <v>SEW</v>
          </cell>
          <cell r="AH343" t="str">
            <v>FH87-270-X#</v>
          </cell>
        </row>
        <row r="344">
          <cell r="A344" t="str">
            <v>MR000340</v>
          </cell>
          <cell r="B344" t="str">
            <v>MR</v>
          </cell>
          <cell r="C344">
            <v>9.1999999999999993</v>
          </cell>
          <cell r="D344">
            <v>53</v>
          </cell>
          <cell r="E344" t="str">
            <v>KH87</v>
          </cell>
          <cell r="F344">
            <v>1660</v>
          </cell>
          <cell r="G344">
            <v>27.88</v>
          </cell>
          <cell r="H344">
            <v>1.55</v>
          </cell>
          <cell r="I344" t="str">
            <v xml:space="preserve">M4B </v>
          </cell>
          <cell r="J344" t="str">
            <v>IE3</v>
          </cell>
          <cell r="K344">
            <v>415</v>
          </cell>
          <cell r="L344">
            <v>50</v>
          </cell>
          <cell r="N344">
            <v>55</v>
          </cell>
          <cell r="O344" t="str">
            <v>F</v>
          </cell>
          <cell r="P344" t="str">
            <v>270°</v>
          </cell>
          <cell r="R344" t="str">
            <v>-</v>
          </cell>
          <cell r="S344" t="str">
            <v>Free rotation CW</v>
          </cell>
          <cell r="U344" t="str">
            <v>T</v>
          </cell>
          <cell r="V344" t="str">
            <v>SS</v>
          </cell>
          <cell r="X344" t="str">
            <v>CLP (CC) VG 220 = -15° + 40°</v>
          </cell>
          <cell r="Y344" t="str">
            <v>KH87/TDRN132L4-RS</v>
          </cell>
          <cell r="Z344" t="str">
            <v>SEW</v>
          </cell>
          <cell r="AH344" t="str">
            <v>KH87T-B270-X</v>
          </cell>
        </row>
        <row r="345">
          <cell r="A345" t="str">
            <v>MR000341</v>
          </cell>
          <cell r="B345" t="str">
            <v>MR</v>
          </cell>
          <cell r="C345">
            <v>0.75</v>
          </cell>
          <cell r="D345">
            <v>162</v>
          </cell>
          <cell r="E345" t="str">
            <v>KA37</v>
          </cell>
          <cell r="F345">
            <v>44</v>
          </cell>
          <cell r="G345">
            <v>8.91</v>
          </cell>
          <cell r="H345">
            <v>3.6</v>
          </cell>
          <cell r="I345" t="str">
            <v>M1B</v>
          </cell>
          <cell r="J345" t="str">
            <v>IE3</v>
          </cell>
          <cell r="K345">
            <v>415</v>
          </cell>
          <cell r="L345">
            <v>50</v>
          </cell>
          <cell r="M345">
            <v>1.75</v>
          </cell>
          <cell r="N345">
            <v>55</v>
          </cell>
          <cell r="O345" t="str">
            <v>F</v>
          </cell>
          <cell r="P345" t="str">
            <v>0°</v>
          </cell>
          <cell r="R345" t="str">
            <v>-</v>
          </cell>
          <cell r="U345" t="str">
            <v>T</v>
          </cell>
          <cell r="V345" t="str">
            <v>D</v>
          </cell>
          <cell r="X345" t="str">
            <v>CLP (CC) VG 220 = -15° + 40°</v>
          </cell>
          <cell r="Y345" t="str">
            <v xml:space="preserve">KA37/TDRN80M4 </v>
          </cell>
          <cell r="Z345" t="str">
            <v>SEW</v>
          </cell>
          <cell r="AH345" t="str">
            <v>KA37T-B0-X</v>
          </cell>
        </row>
        <row r="346">
          <cell r="A346" t="str">
            <v>MR000342</v>
          </cell>
          <cell r="B346" t="str">
            <v>MR</v>
          </cell>
          <cell r="C346">
            <v>22</v>
          </cell>
          <cell r="D346">
            <v>45</v>
          </cell>
          <cell r="E346" t="str">
            <v>R137</v>
          </cell>
          <cell r="F346">
            <v>4680</v>
          </cell>
          <cell r="G346">
            <v>32.909999999999997</v>
          </cell>
          <cell r="H346">
            <v>1.7</v>
          </cell>
          <cell r="I346" t="str">
            <v>From M1 to M6 - 15°</v>
          </cell>
          <cell r="J346" t="str">
            <v>IE3</v>
          </cell>
          <cell r="K346">
            <v>415</v>
          </cell>
          <cell r="L346">
            <v>50</v>
          </cell>
          <cell r="M346">
            <v>38.5</v>
          </cell>
          <cell r="N346">
            <v>55</v>
          </cell>
          <cell r="O346" t="str">
            <v>F</v>
          </cell>
          <cell r="P346" t="str">
            <v>270°</v>
          </cell>
          <cell r="Q346" t="str">
            <v>TF</v>
          </cell>
          <cell r="R346" t="str">
            <v>V</v>
          </cell>
          <cell r="V346" t="str">
            <v>FC</v>
          </cell>
          <cell r="X346" t="str">
            <v>CLP (CC) VG 220 = -15° + 40°</v>
          </cell>
          <cell r="Y346" t="str">
            <v>R137DRN180L4-TF-V</v>
          </cell>
          <cell r="Z346" t="str">
            <v>SEW</v>
          </cell>
          <cell r="AH346" t="str">
            <v>R137-270-X#</v>
          </cell>
        </row>
        <row r="347">
          <cell r="A347" t="str">
            <v>MR000343</v>
          </cell>
          <cell r="B347" t="str">
            <v>MR</v>
          </cell>
          <cell r="C347">
            <v>22</v>
          </cell>
          <cell r="D347">
            <v>45</v>
          </cell>
          <cell r="E347" t="str">
            <v>R137</v>
          </cell>
          <cell r="F347">
            <v>4680</v>
          </cell>
          <cell r="G347">
            <v>32.909999999999997</v>
          </cell>
          <cell r="H347">
            <v>1.7</v>
          </cell>
          <cell r="I347" t="str">
            <v>From M1 to M5 - 10°</v>
          </cell>
          <cell r="J347" t="str">
            <v>IE3</v>
          </cell>
          <cell r="K347">
            <v>415</v>
          </cell>
          <cell r="L347">
            <v>50</v>
          </cell>
          <cell r="M347">
            <v>38.5</v>
          </cell>
          <cell r="N347">
            <v>55</v>
          </cell>
          <cell r="O347" t="str">
            <v>F</v>
          </cell>
          <cell r="P347" t="str">
            <v>270°</v>
          </cell>
          <cell r="Q347" t="str">
            <v>TF</v>
          </cell>
          <cell r="R347" t="str">
            <v>V</v>
          </cell>
          <cell r="V347" t="str">
            <v>FC</v>
          </cell>
          <cell r="X347" t="str">
            <v>CLP (CC) VG 220 = -15° + 40°</v>
          </cell>
          <cell r="Y347" t="str">
            <v>R137DRN180L4-TF-V</v>
          </cell>
          <cell r="Z347" t="str">
            <v>SEW</v>
          </cell>
          <cell r="AH347" t="str">
            <v>R137-270-X#</v>
          </cell>
        </row>
        <row r="348">
          <cell r="A348" t="str">
            <v>MR000344</v>
          </cell>
          <cell r="B348" t="str">
            <v>MR</v>
          </cell>
          <cell r="C348">
            <v>9.1999999999999993</v>
          </cell>
          <cell r="D348">
            <v>62</v>
          </cell>
          <cell r="E348" t="str">
            <v>FH87</v>
          </cell>
          <cell r="F348">
            <v>1410</v>
          </cell>
          <cell r="G348">
            <v>23.68</v>
          </cell>
          <cell r="H348">
            <v>2.1</v>
          </cell>
          <cell r="I348" t="str">
            <v>M1</v>
          </cell>
          <cell r="J348" t="str">
            <v>IE3</v>
          </cell>
          <cell r="K348">
            <v>415</v>
          </cell>
          <cell r="L348">
            <v>50</v>
          </cell>
          <cell r="N348">
            <v>55</v>
          </cell>
          <cell r="O348" t="str">
            <v>F</v>
          </cell>
          <cell r="P348" t="str">
            <v>270°</v>
          </cell>
          <cell r="R348" t="str">
            <v>-</v>
          </cell>
          <cell r="V348" t="str">
            <v>D</v>
          </cell>
          <cell r="X348" t="str">
            <v>CLP (CC) VG 220 = -15° + 40°</v>
          </cell>
          <cell r="Y348" t="str">
            <v>FH87/GDRN132L4</v>
          </cell>
          <cell r="Z348" t="str">
            <v>SEW</v>
          </cell>
          <cell r="AH348" t="str">
            <v>FH87-270-X</v>
          </cell>
        </row>
        <row r="349">
          <cell r="A349" t="str">
            <v>MR000345</v>
          </cell>
          <cell r="B349" t="str">
            <v>MR</v>
          </cell>
          <cell r="C349">
            <v>7.5</v>
          </cell>
          <cell r="D349">
            <v>62</v>
          </cell>
          <cell r="E349" t="str">
            <v>FH87</v>
          </cell>
          <cell r="F349">
            <v>1150</v>
          </cell>
          <cell r="G349">
            <v>23.68</v>
          </cell>
          <cell r="H349">
            <v>2.6</v>
          </cell>
          <cell r="I349" t="str">
            <v>From M1 to M4 - 25°</v>
          </cell>
          <cell r="J349" t="str">
            <v>IE3</v>
          </cell>
          <cell r="K349">
            <v>415</v>
          </cell>
          <cell r="L349">
            <v>50</v>
          </cell>
          <cell r="M349">
            <v>15.2</v>
          </cell>
          <cell r="N349">
            <v>55</v>
          </cell>
          <cell r="O349" t="str">
            <v>F</v>
          </cell>
          <cell r="P349" t="str">
            <v>270°</v>
          </cell>
          <cell r="Q349" t="str">
            <v>TF</v>
          </cell>
          <cell r="R349" t="str">
            <v>V</v>
          </cell>
          <cell r="V349" t="str">
            <v>FC</v>
          </cell>
          <cell r="X349" t="str">
            <v>CLP (CC) VG 220 = -15° + 40°</v>
          </cell>
          <cell r="Y349" t="str">
            <v>FH87/GDRN132M4-TF-V</v>
          </cell>
          <cell r="Z349" t="str">
            <v>SEW</v>
          </cell>
          <cell r="AH349" t="str">
            <v>FH87-270-X#</v>
          </cell>
        </row>
        <row r="350">
          <cell r="A350" t="str">
            <v>MR000346</v>
          </cell>
          <cell r="B350" t="str">
            <v>MR</v>
          </cell>
          <cell r="C350">
            <v>22</v>
          </cell>
          <cell r="D350">
            <v>45</v>
          </cell>
          <cell r="E350" t="str">
            <v>R137</v>
          </cell>
          <cell r="F350">
            <v>4680</v>
          </cell>
          <cell r="G350">
            <v>32.909999999999997</v>
          </cell>
          <cell r="H350">
            <v>1.7</v>
          </cell>
          <cell r="I350" t="str">
            <v>From M1 to M5 - 25°</v>
          </cell>
          <cell r="J350" t="str">
            <v>IE3</v>
          </cell>
          <cell r="K350">
            <v>415</v>
          </cell>
          <cell r="L350">
            <v>50</v>
          </cell>
          <cell r="M350">
            <v>38.5</v>
          </cell>
          <cell r="N350">
            <v>55</v>
          </cell>
          <cell r="O350" t="str">
            <v>F</v>
          </cell>
          <cell r="P350" t="str">
            <v>270°</v>
          </cell>
          <cell r="Q350" t="str">
            <v>TF</v>
          </cell>
          <cell r="R350" t="str">
            <v>V</v>
          </cell>
          <cell r="V350" t="str">
            <v>FC</v>
          </cell>
          <cell r="X350" t="str">
            <v>CLP (CC) VG 220 = -15° + 40°</v>
          </cell>
          <cell r="Y350" t="str">
            <v>R137DRN180L4-TF-V</v>
          </cell>
          <cell r="Z350" t="str">
            <v>SEW</v>
          </cell>
          <cell r="AH350" t="str">
            <v>R137-270-X#</v>
          </cell>
        </row>
        <row r="351">
          <cell r="A351" t="str">
            <v>MR000347</v>
          </cell>
          <cell r="B351" t="str">
            <v>MR</v>
          </cell>
          <cell r="C351">
            <v>15</v>
          </cell>
          <cell r="D351">
            <v>42</v>
          </cell>
          <cell r="E351" t="str">
            <v>R107</v>
          </cell>
          <cell r="F351">
            <v>3420</v>
          </cell>
          <cell r="G351">
            <v>35.26</v>
          </cell>
          <cell r="H351">
            <v>1.25</v>
          </cell>
          <cell r="I351" t="str">
            <v>M1</v>
          </cell>
          <cell r="J351" t="str">
            <v>IE3</v>
          </cell>
          <cell r="K351">
            <v>415</v>
          </cell>
          <cell r="L351">
            <v>50</v>
          </cell>
          <cell r="N351">
            <v>55</v>
          </cell>
          <cell r="O351" t="str">
            <v>F</v>
          </cell>
          <cell r="P351" t="str">
            <v>270°</v>
          </cell>
          <cell r="R351" t="str">
            <v>-</v>
          </cell>
          <cell r="V351" t="str">
            <v>SS</v>
          </cell>
          <cell r="X351" t="str">
            <v>CLP (CC) VG 220 = -15° + 40°</v>
          </cell>
          <cell r="Y351" t="str">
            <v>R107DRN160L4</v>
          </cell>
          <cell r="Z351" t="str">
            <v>SEW</v>
          </cell>
          <cell r="AH351" t="str">
            <v>R107-270-X</v>
          </cell>
        </row>
        <row r="352">
          <cell r="A352" t="str">
            <v>MR000348</v>
          </cell>
          <cell r="B352" t="str">
            <v>MR</v>
          </cell>
          <cell r="C352">
            <v>0.55000000000000004</v>
          </cell>
          <cell r="D352">
            <v>31</v>
          </cell>
          <cell r="E352" t="str">
            <v>FA37</v>
          </cell>
          <cell r="F352">
            <v>169</v>
          </cell>
          <cell r="G352">
            <v>43.83</v>
          </cell>
          <cell r="H352">
            <v>1.2</v>
          </cell>
          <cell r="I352" t="str">
            <v>M5</v>
          </cell>
          <cell r="J352" t="str">
            <v>IE3</v>
          </cell>
          <cell r="K352">
            <v>415</v>
          </cell>
          <cell r="L352">
            <v>50</v>
          </cell>
          <cell r="N352">
            <v>55</v>
          </cell>
          <cell r="O352" t="str">
            <v>F</v>
          </cell>
          <cell r="P352" t="str">
            <v>270°</v>
          </cell>
          <cell r="R352" t="str">
            <v>-</v>
          </cell>
          <cell r="T352" t="str">
            <v>BE1</v>
          </cell>
          <cell r="V352" t="str">
            <v>D+R</v>
          </cell>
          <cell r="X352" t="str">
            <v>CLP (CC) VG 220 = -15° + 40°</v>
          </cell>
          <cell r="Y352" t="str">
            <v>FA37/GDRS71M4-BE1</v>
          </cell>
          <cell r="Z352" t="str">
            <v>SEW</v>
          </cell>
          <cell r="AH352" t="str">
            <v>FA37-270-X</v>
          </cell>
        </row>
        <row r="353">
          <cell r="A353" t="str">
            <v>MR000349</v>
          </cell>
          <cell r="B353" t="str">
            <v>ME</v>
          </cell>
          <cell r="C353">
            <v>15</v>
          </cell>
          <cell r="D353">
            <v>1475</v>
          </cell>
          <cell r="E353" t="str">
            <v>1LE1003</v>
          </cell>
          <cell r="I353" t="str">
            <v>V1-B5</v>
          </cell>
          <cell r="J353" t="str">
            <v>IE3</v>
          </cell>
          <cell r="K353">
            <v>415</v>
          </cell>
          <cell r="L353">
            <v>50</v>
          </cell>
          <cell r="N353">
            <v>55</v>
          </cell>
          <cell r="O353" t="str">
            <v>F</v>
          </cell>
          <cell r="Q353" t="str">
            <v>TF</v>
          </cell>
          <cell r="R353" t="str">
            <v>-</v>
          </cell>
          <cell r="V353" t="str">
            <v>D</v>
          </cell>
          <cell r="Y353" t="str">
            <v>1LE1003-1DB43-5FB4</v>
          </cell>
          <cell r="Z353" t="str">
            <v>SIEMENS</v>
          </cell>
          <cell r="AH353" t="str">
            <v>1LE1003-B-X</v>
          </cell>
        </row>
        <row r="354">
          <cell r="A354" t="str">
            <v>MR000350</v>
          </cell>
          <cell r="B354" t="str">
            <v>MR</v>
          </cell>
          <cell r="C354">
            <v>11</v>
          </cell>
          <cell r="D354">
            <v>42</v>
          </cell>
          <cell r="E354" t="str">
            <v>R107</v>
          </cell>
          <cell r="F354">
            <v>2510</v>
          </cell>
          <cell r="G354">
            <v>35.26</v>
          </cell>
          <cell r="H354">
            <v>1.7</v>
          </cell>
          <cell r="I354" t="str">
            <v>From M1 to M6 - 35°</v>
          </cell>
          <cell r="J354" t="str">
            <v>IE3</v>
          </cell>
          <cell r="K354">
            <v>400</v>
          </cell>
          <cell r="L354">
            <v>50</v>
          </cell>
          <cell r="M354">
            <v>21</v>
          </cell>
          <cell r="N354">
            <v>55</v>
          </cell>
          <cell r="O354" t="str">
            <v>F</v>
          </cell>
          <cell r="P354" t="str">
            <v>270°</v>
          </cell>
          <cell r="R354" t="str">
            <v>-</v>
          </cell>
          <cell r="V354" t="str">
            <v>SS</v>
          </cell>
          <cell r="X354" t="str">
            <v>CLP (CC) VG 220 = -15° + 40°</v>
          </cell>
          <cell r="Y354" t="str">
            <v>R107DRN160M4</v>
          </cell>
          <cell r="Z354" t="str">
            <v>SEW</v>
          </cell>
          <cell r="AH354" t="str">
            <v>R107-270-X</v>
          </cell>
        </row>
        <row r="355">
          <cell r="A355" t="str">
            <v>MR000351</v>
          </cell>
          <cell r="B355" t="str">
            <v>MR</v>
          </cell>
          <cell r="C355">
            <v>9.1999999999999993</v>
          </cell>
          <cell r="D355">
            <v>42</v>
          </cell>
          <cell r="E355" t="str">
            <v>R107</v>
          </cell>
          <cell r="F355">
            <v>2100</v>
          </cell>
          <cell r="G355">
            <v>35.26</v>
          </cell>
          <cell r="H355">
            <v>2</v>
          </cell>
          <cell r="I355" t="str">
            <v>From M1 to M5 - 20°</v>
          </cell>
          <cell r="J355" t="str">
            <v>IE3</v>
          </cell>
          <cell r="K355">
            <v>400</v>
          </cell>
          <cell r="L355">
            <v>50</v>
          </cell>
          <cell r="N355">
            <v>55</v>
          </cell>
          <cell r="O355" t="str">
            <v>F</v>
          </cell>
          <cell r="P355" t="str">
            <v>270°</v>
          </cell>
          <cell r="R355" t="str">
            <v>-</v>
          </cell>
          <cell r="V355" t="str">
            <v>SS</v>
          </cell>
          <cell r="X355" t="str">
            <v>CLP (CC) VG 220 = -15° + 40°</v>
          </cell>
          <cell r="Y355" t="str">
            <v>R107DRN132L4</v>
          </cell>
          <cell r="Z355" t="str">
            <v>SEW</v>
          </cell>
          <cell r="AH355" t="str">
            <v>R107-270-X</v>
          </cell>
        </row>
        <row r="356">
          <cell r="A356" t="str">
            <v>MR000352</v>
          </cell>
          <cell r="B356" t="str">
            <v>MR</v>
          </cell>
          <cell r="C356">
            <v>15</v>
          </cell>
          <cell r="D356">
            <v>34</v>
          </cell>
          <cell r="E356" t="str">
            <v>FH107</v>
          </cell>
          <cell r="F356">
            <v>4180</v>
          </cell>
          <cell r="G356">
            <v>43.03</v>
          </cell>
          <cell r="H356">
            <v>1.85</v>
          </cell>
          <cell r="I356" t="str">
            <v>M1</v>
          </cell>
          <cell r="J356" t="str">
            <v>IE3</v>
          </cell>
          <cell r="K356">
            <v>400</v>
          </cell>
          <cell r="L356">
            <v>50</v>
          </cell>
          <cell r="M356">
            <v>29</v>
          </cell>
          <cell r="N356">
            <v>55</v>
          </cell>
          <cell r="O356" t="str">
            <v>F</v>
          </cell>
          <cell r="P356" t="str">
            <v>270°</v>
          </cell>
          <cell r="R356" t="str">
            <v>-</v>
          </cell>
          <cell r="V356" t="str">
            <v>D+R</v>
          </cell>
          <cell r="X356" t="str">
            <v>CLP HC VG 220 = -20° + 60°</v>
          </cell>
          <cell r="Y356" t="str">
            <v>FH107/GDRN160L4</v>
          </cell>
          <cell r="Z356" t="str">
            <v>SEW</v>
          </cell>
          <cell r="AH356" t="str">
            <v>FH107-270-X</v>
          </cell>
        </row>
        <row r="357">
          <cell r="A357" t="str">
            <v>MR000353</v>
          </cell>
          <cell r="B357" t="str">
            <v>MR</v>
          </cell>
          <cell r="C357">
            <v>22</v>
          </cell>
          <cell r="D357">
            <v>12</v>
          </cell>
          <cell r="E357" t="str">
            <v>KH157</v>
          </cell>
          <cell r="F357">
            <v>17400</v>
          </cell>
          <cell r="G357">
            <v>122.39</v>
          </cell>
          <cell r="H357">
            <v>1.05</v>
          </cell>
          <cell r="I357" t="str">
            <v>From M1A to M2A - 40°</v>
          </cell>
          <cell r="J357" t="str">
            <v>IE3</v>
          </cell>
          <cell r="K357">
            <v>400</v>
          </cell>
          <cell r="L357">
            <v>50</v>
          </cell>
          <cell r="M357">
            <v>38.5</v>
          </cell>
          <cell r="N357">
            <v>55</v>
          </cell>
          <cell r="O357" t="str">
            <v>F</v>
          </cell>
          <cell r="P357" t="str">
            <v>270°</v>
          </cell>
          <cell r="Q357" t="str">
            <v>TF</v>
          </cell>
          <cell r="R357" t="str">
            <v>V</v>
          </cell>
          <cell r="V357" t="str">
            <v>FC</v>
          </cell>
          <cell r="X357" t="str">
            <v>CLP HC VG 220 = -20° + 60°</v>
          </cell>
          <cell r="Y357" t="str">
            <v>KH157DRN180L4/TF/V</v>
          </cell>
          <cell r="Z357" t="str">
            <v>SEW</v>
          </cell>
          <cell r="AH357" t="str">
            <v>KH157-A270-X#</v>
          </cell>
        </row>
        <row r="358">
          <cell r="A358" t="str">
            <v>MR000354</v>
          </cell>
          <cell r="B358" t="str">
            <v>MR</v>
          </cell>
          <cell r="C358">
            <v>22</v>
          </cell>
          <cell r="D358">
            <v>12</v>
          </cell>
          <cell r="E358" t="str">
            <v>KH157</v>
          </cell>
          <cell r="F358">
            <v>17400</v>
          </cell>
          <cell r="G358">
            <v>122.39</v>
          </cell>
          <cell r="H358">
            <v>1.05</v>
          </cell>
          <cell r="I358" t="str">
            <v>From M1B to M2B - 40°</v>
          </cell>
          <cell r="J358" t="str">
            <v>IE3</v>
          </cell>
          <cell r="K358">
            <v>400</v>
          </cell>
          <cell r="L358">
            <v>50</v>
          </cell>
          <cell r="M358">
            <v>38.5</v>
          </cell>
          <cell r="N358">
            <v>55</v>
          </cell>
          <cell r="O358" t="str">
            <v>F</v>
          </cell>
          <cell r="P358" t="str">
            <v>270°</v>
          </cell>
          <cell r="Q358" t="str">
            <v>TF</v>
          </cell>
          <cell r="R358" t="str">
            <v>V</v>
          </cell>
          <cell r="V358" t="str">
            <v>FC</v>
          </cell>
          <cell r="X358" t="str">
            <v>CLP HC VG 220 = -20° + 60°</v>
          </cell>
          <cell r="Y358" t="str">
            <v>KH157DRN180L4/TF/V</v>
          </cell>
          <cell r="Z358" t="str">
            <v>SEW</v>
          </cell>
          <cell r="AH358" t="str">
            <v>KH157-B270-X#</v>
          </cell>
        </row>
        <row r="359">
          <cell r="A359" t="str">
            <v>MR000355</v>
          </cell>
          <cell r="B359" t="str">
            <v>MR</v>
          </cell>
          <cell r="C359">
            <v>18.5</v>
          </cell>
          <cell r="D359">
            <v>25</v>
          </cell>
          <cell r="E359" t="str">
            <v>FH107</v>
          </cell>
          <cell r="F359">
            <v>6940</v>
          </cell>
          <cell r="G359">
            <v>58.12</v>
          </cell>
          <cell r="H359">
            <v>1.1000000000000001</v>
          </cell>
          <cell r="I359" t="str">
            <v>M1</v>
          </cell>
          <cell r="J359" t="str">
            <v>IE3</v>
          </cell>
          <cell r="K359">
            <v>400</v>
          </cell>
          <cell r="L359">
            <v>50</v>
          </cell>
          <cell r="M359">
            <v>33.5</v>
          </cell>
          <cell r="N359">
            <v>55</v>
          </cell>
          <cell r="O359" t="str">
            <v>F</v>
          </cell>
          <cell r="P359" t="str">
            <v>270°</v>
          </cell>
          <cell r="Q359" t="str">
            <v>TF</v>
          </cell>
          <cell r="R359" t="str">
            <v>V</v>
          </cell>
          <cell r="V359" t="str">
            <v>FC</v>
          </cell>
          <cell r="X359" t="str">
            <v>CLP HC VG 220 = -20° + 60°</v>
          </cell>
          <cell r="Y359" t="str">
            <v>FH107/GDRN180M4/TF/V</v>
          </cell>
          <cell r="Z359" t="str">
            <v>SEW</v>
          </cell>
          <cell r="AH359" t="str">
            <v>FH107-270-X#</v>
          </cell>
        </row>
        <row r="360">
          <cell r="A360" t="str">
            <v>MR000356</v>
          </cell>
          <cell r="B360" t="str">
            <v>MR</v>
          </cell>
          <cell r="C360">
            <v>11</v>
          </cell>
          <cell r="D360">
            <v>13</v>
          </cell>
          <cell r="E360" t="str">
            <v>KH107</v>
          </cell>
          <cell r="F360">
            <v>8010</v>
          </cell>
          <cell r="G360">
            <v>112.41</v>
          </cell>
          <cell r="H360">
            <v>1</v>
          </cell>
          <cell r="I360" t="str">
            <v>M1B</v>
          </cell>
          <cell r="J360" t="str">
            <v>IE3</v>
          </cell>
          <cell r="K360">
            <v>400</v>
          </cell>
          <cell r="L360">
            <v>50</v>
          </cell>
          <cell r="M360">
            <v>21</v>
          </cell>
          <cell r="N360">
            <v>55</v>
          </cell>
          <cell r="O360" t="str">
            <v>F</v>
          </cell>
          <cell r="P360" t="str">
            <v>270°</v>
          </cell>
          <cell r="Q360" t="str">
            <v>TF</v>
          </cell>
          <cell r="R360" t="str">
            <v>V</v>
          </cell>
          <cell r="V360" t="str">
            <v>FC</v>
          </cell>
          <cell r="X360" t="str">
            <v>CLP HC VG 220 = -20° + 60°</v>
          </cell>
          <cell r="Y360" t="str">
            <v>KH107DRN160M4/TF/V</v>
          </cell>
          <cell r="Z360" t="str">
            <v>SEW</v>
          </cell>
          <cell r="AH360" t="str">
            <v>KH107-B270-X#</v>
          </cell>
        </row>
        <row r="361">
          <cell r="A361" t="str">
            <v>MR000357</v>
          </cell>
          <cell r="B361" t="str">
            <v>MR</v>
          </cell>
          <cell r="C361">
            <v>7.5</v>
          </cell>
          <cell r="D361">
            <v>15</v>
          </cell>
          <cell r="E361" t="str">
            <v>KH107</v>
          </cell>
          <cell r="F361">
            <v>4910</v>
          </cell>
          <cell r="G361">
            <v>100.75</v>
          </cell>
          <cell r="H361">
            <v>1.65</v>
          </cell>
          <cell r="I361" t="str">
            <v>From M1A to M2A - 5°</v>
          </cell>
          <cell r="J361" t="str">
            <v>IE3</v>
          </cell>
          <cell r="K361">
            <v>400</v>
          </cell>
          <cell r="L361">
            <v>50</v>
          </cell>
          <cell r="M361">
            <v>15.2</v>
          </cell>
          <cell r="N361">
            <v>55</v>
          </cell>
          <cell r="O361" t="str">
            <v>F</v>
          </cell>
          <cell r="P361" t="str">
            <v>270°</v>
          </cell>
          <cell r="Q361" t="str">
            <v>TF</v>
          </cell>
          <cell r="R361" t="str">
            <v>V</v>
          </cell>
          <cell r="V361" t="str">
            <v>FC</v>
          </cell>
          <cell r="X361" t="str">
            <v>CLP HC VG 220 = -20° + 60°</v>
          </cell>
          <cell r="Y361" t="str">
            <v>KH107DRN132M4/TF/V</v>
          </cell>
          <cell r="Z361" t="str">
            <v>SEW</v>
          </cell>
          <cell r="AH361" t="str">
            <v>KH107-A270-X#</v>
          </cell>
        </row>
        <row r="362">
          <cell r="A362" t="str">
            <v>MR000358</v>
          </cell>
          <cell r="B362" t="str">
            <v>MR</v>
          </cell>
          <cell r="C362">
            <v>22</v>
          </cell>
          <cell r="D362">
            <v>56</v>
          </cell>
          <cell r="E362" t="str">
            <v>KH107</v>
          </cell>
          <cell r="F362">
            <v>3740</v>
          </cell>
          <cell r="G362">
            <v>26.32</v>
          </cell>
          <cell r="H362">
            <v>1.9</v>
          </cell>
          <cell r="I362" t="str">
            <v>M4A</v>
          </cell>
          <cell r="J362" t="str">
            <v>IE3</v>
          </cell>
          <cell r="K362">
            <v>400</v>
          </cell>
          <cell r="L362">
            <v>50</v>
          </cell>
          <cell r="M362">
            <v>38.5</v>
          </cell>
          <cell r="N362">
            <v>55</v>
          </cell>
          <cell r="O362" t="str">
            <v>F</v>
          </cell>
          <cell r="P362" t="str">
            <v>270°</v>
          </cell>
          <cell r="R362" t="str">
            <v>-</v>
          </cell>
          <cell r="S362" t="str">
            <v>Free rotation CCW</v>
          </cell>
          <cell r="U362" t="str">
            <v>T</v>
          </cell>
          <cell r="V362" t="str">
            <v>SS</v>
          </cell>
          <cell r="X362" t="str">
            <v>CLP HC VG 220 = -20° + 60°</v>
          </cell>
          <cell r="Y362" t="str">
            <v>KH107/TDRN180L4/RS</v>
          </cell>
          <cell r="Z362" t="str">
            <v>SEW</v>
          </cell>
          <cell r="AH362" t="str">
            <v>KH107T-A270-X</v>
          </cell>
        </row>
        <row r="363">
          <cell r="A363" t="str">
            <v>MR000359</v>
          </cell>
          <cell r="B363" t="str">
            <v>MR</v>
          </cell>
          <cell r="C363">
            <v>45</v>
          </cell>
          <cell r="D363">
            <v>53</v>
          </cell>
          <cell r="E363" t="str">
            <v>KH127</v>
          </cell>
          <cell r="F363">
            <v>8020</v>
          </cell>
          <cell r="G363">
            <v>27.68</v>
          </cell>
          <cell r="H363">
            <v>1.6</v>
          </cell>
          <cell r="I363" t="str">
            <v>M4A</v>
          </cell>
          <cell r="J363" t="str">
            <v>IE3</v>
          </cell>
          <cell r="K363">
            <v>400</v>
          </cell>
          <cell r="L363">
            <v>50</v>
          </cell>
          <cell r="M363">
            <v>81</v>
          </cell>
          <cell r="N363">
            <v>55</v>
          </cell>
          <cell r="O363" t="str">
            <v>F</v>
          </cell>
          <cell r="P363" t="str">
            <v>270°</v>
          </cell>
          <cell r="R363" t="str">
            <v>-</v>
          </cell>
          <cell r="S363" t="str">
            <v>Free rotation CCW</v>
          </cell>
          <cell r="U363" t="str">
            <v>T</v>
          </cell>
          <cell r="V363" t="str">
            <v>SS</v>
          </cell>
          <cell r="X363" t="str">
            <v>CLP HC VG 220 = -20° + 60°</v>
          </cell>
          <cell r="Y363" t="str">
            <v>KH127/TDRN225M4/RS</v>
          </cell>
          <cell r="Z363" t="str">
            <v>SEW</v>
          </cell>
          <cell r="AH363" t="str">
            <v>KH127T-A270-X</v>
          </cell>
        </row>
        <row r="364">
          <cell r="A364" t="str">
            <v>MR000360</v>
          </cell>
          <cell r="B364" t="str">
            <v>MR</v>
          </cell>
          <cell r="C364">
            <v>0.75</v>
          </cell>
          <cell r="D364">
            <v>1.7</v>
          </cell>
          <cell r="E364" t="str">
            <v>KA97R57</v>
          </cell>
          <cell r="F364">
            <v>3930</v>
          </cell>
          <cell r="G364">
            <v>855</v>
          </cell>
          <cell r="H364">
            <v>1.1000000000000001</v>
          </cell>
          <cell r="I364" t="str">
            <v>M3B</v>
          </cell>
          <cell r="J364" t="str">
            <v>IE3</v>
          </cell>
          <cell r="K364">
            <v>400</v>
          </cell>
          <cell r="L364">
            <v>50</v>
          </cell>
          <cell r="M364">
            <v>1.75</v>
          </cell>
          <cell r="N364">
            <v>55</v>
          </cell>
          <cell r="O364" t="str">
            <v>F</v>
          </cell>
          <cell r="P364" t="str">
            <v>270°</v>
          </cell>
          <cell r="Q364" t="str">
            <v>TF</v>
          </cell>
          <cell r="R364" t="str">
            <v>V</v>
          </cell>
          <cell r="T364" t="str">
            <v>BE</v>
          </cell>
          <cell r="U364" t="str">
            <v>T</v>
          </cell>
          <cell r="V364" t="str">
            <v>FC</v>
          </cell>
          <cell r="X364" t="str">
            <v>CLP HC VG 220 = -20° + 60°</v>
          </cell>
          <cell r="Y364" t="str">
            <v>KA97/TR57DRN80M4BE1/TF/V</v>
          </cell>
          <cell r="Z364" t="str">
            <v>SEW</v>
          </cell>
          <cell r="AH364" t="str">
            <v>KA97R57T-B270-X#</v>
          </cell>
        </row>
        <row r="365">
          <cell r="A365" t="str">
            <v>MR000361</v>
          </cell>
          <cell r="B365" t="str">
            <v>MR</v>
          </cell>
          <cell r="C365">
            <v>22</v>
          </cell>
          <cell r="D365">
            <v>16</v>
          </cell>
          <cell r="E365" t="str">
            <v>KH157</v>
          </cell>
          <cell r="F365">
            <v>13000</v>
          </cell>
          <cell r="G365">
            <v>91.65</v>
          </cell>
          <cell r="H365">
            <v>1.4</v>
          </cell>
          <cell r="I365" t="str">
            <v>M4B</v>
          </cell>
          <cell r="J365" t="str">
            <v>IE3</v>
          </cell>
          <cell r="K365">
            <v>400</v>
          </cell>
          <cell r="L365">
            <v>50</v>
          </cell>
          <cell r="M365">
            <v>38.5</v>
          </cell>
          <cell r="N365">
            <v>55</v>
          </cell>
          <cell r="O365" t="str">
            <v>F</v>
          </cell>
          <cell r="P365" t="str">
            <v>270°</v>
          </cell>
          <cell r="Q365" t="str">
            <v>TF</v>
          </cell>
          <cell r="R365" t="str">
            <v>V</v>
          </cell>
          <cell r="V365" t="str">
            <v>FC</v>
          </cell>
          <cell r="X365" t="str">
            <v>CLP HC VG 220 = -20° + 60°</v>
          </cell>
          <cell r="Y365" t="str">
            <v>KH157DRN180L4/TF/V</v>
          </cell>
          <cell r="Z365" t="str">
            <v>SEW</v>
          </cell>
          <cell r="AH365" t="str">
            <v>KH157-B270-X#</v>
          </cell>
        </row>
        <row r="366">
          <cell r="A366" t="str">
            <v>MR000362</v>
          </cell>
          <cell r="B366" t="str">
            <v>MR</v>
          </cell>
          <cell r="C366">
            <v>11</v>
          </cell>
          <cell r="D366">
            <v>15</v>
          </cell>
          <cell r="E366" t="str">
            <v>KH107</v>
          </cell>
          <cell r="F366">
            <v>7180</v>
          </cell>
          <cell r="G366">
            <v>100.75</v>
          </cell>
          <cell r="H366">
            <v>1.1000000000000001</v>
          </cell>
          <cell r="I366" t="str">
            <v>From M1B to M2B - 45°</v>
          </cell>
          <cell r="J366" t="str">
            <v>IE3</v>
          </cell>
          <cell r="K366">
            <v>400</v>
          </cell>
          <cell r="L366">
            <v>50</v>
          </cell>
          <cell r="M366">
            <v>21</v>
          </cell>
          <cell r="N366">
            <v>55</v>
          </cell>
          <cell r="O366" t="str">
            <v>F</v>
          </cell>
          <cell r="P366" t="str">
            <v>270°</v>
          </cell>
          <cell r="R366" t="str">
            <v>-</v>
          </cell>
          <cell r="V366" t="str">
            <v>SS</v>
          </cell>
          <cell r="X366" t="str">
            <v>CLP HC VG 220 = -20° + 60°</v>
          </cell>
          <cell r="Y366" t="str">
            <v>KH107DRN160M4</v>
          </cell>
          <cell r="Z366" t="str">
            <v>SEW</v>
          </cell>
          <cell r="AH366" t="str">
            <v>KH107-B270-X</v>
          </cell>
        </row>
        <row r="367">
          <cell r="A367" t="str">
            <v>MR000363</v>
          </cell>
          <cell r="B367" t="str">
            <v>MR</v>
          </cell>
          <cell r="C367">
            <v>7.5</v>
          </cell>
          <cell r="D367">
            <v>69</v>
          </cell>
          <cell r="E367" t="str">
            <v>FH77</v>
          </cell>
          <cell r="F367">
            <v>1050</v>
          </cell>
          <cell r="G367">
            <v>21.43</v>
          </cell>
          <cell r="H367">
            <v>1.45</v>
          </cell>
          <cell r="I367" t="str">
            <v>M1</v>
          </cell>
          <cell r="J367" t="str">
            <v>IE3</v>
          </cell>
          <cell r="K367">
            <v>400</v>
          </cell>
          <cell r="L367">
            <v>50</v>
          </cell>
          <cell r="M367">
            <v>15.2</v>
          </cell>
          <cell r="N367">
            <v>55</v>
          </cell>
          <cell r="O367" t="str">
            <v>F</v>
          </cell>
          <cell r="P367" t="str">
            <v>270°</v>
          </cell>
          <cell r="R367" t="str">
            <v>-</v>
          </cell>
          <cell r="V367" t="str">
            <v>D</v>
          </cell>
          <cell r="X367" t="str">
            <v>CLP HC VG 220 = -20° + 60°</v>
          </cell>
          <cell r="Y367" t="str">
            <v>FH77/GDRN132M4</v>
          </cell>
          <cell r="Z367" t="str">
            <v>SEW</v>
          </cell>
          <cell r="AH367" t="str">
            <v>FH77-270-X</v>
          </cell>
        </row>
        <row r="368">
          <cell r="A368" t="str">
            <v>MR000364</v>
          </cell>
          <cell r="B368" t="str">
            <v>MR</v>
          </cell>
          <cell r="C368">
            <v>22</v>
          </cell>
          <cell r="D368">
            <v>15</v>
          </cell>
          <cell r="E368" t="str">
            <v>KH157</v>
          </cell>
          <cell r="F368">
            <v>14200</v>
          </cell>
          <cell r="G368">
            <v>100.22</v>
          </cell>
          <cell r="H368">
            <v>1.25</v>
          </cell>
          <cell r="I368" t="str">
            <v>From M4B to M1B - 45°</v>
          </cell>
          <cell r="J368" t="str">
            <v>IE3</v>
          </cell>
          <cell r="K368">
            <v>400</v>
          </cell>
          <cell r="L368">
            <v>50</v>
          </cell>
          <cell r="M368">
            <v>38.5</v>
          </cell>
          <cell r="N368">
            <v>55</v>
          </cell>
          <cell r="O368" t="str">
            <v>F</v>
          </cell>
          <cell r="P368" t="str">
            <v>270°</v>
          </cell>
          <cell r="Q368" t="str">
            <v>TF</v>
          </cell>
          <cell r="R368" t="str">
            <v>V</v>
          </cell>
          <cell r="V368" t="str">
            <v>FC</v>
          </cell>
          <cell r="X368" t="str">
            <v>CLP HC VG 220 = -20° + 60°</v>
          </cell>
          <cell r="Y368" t="str">
            <v>KH157DRN180L4/TF/V</v>
          </cell>
          <cell r="Z368" t="str">
            <v>SEW</v>
          </cell>
          <cell r="AH368" t="str">
            <v>KH157-B270-X#</v>
          </cell>
        </row>
        <row r="369">
          <cell r="A369" t="str">
            <v>MR000365</v>
          </cell>
          <cell r="B369" t="str">
            <v>MR</v>
          </cell>
          <cell r="C369">
            <v>1.5</v>
          </cell>
          <cell r="D369">
            <v>13</v>
          </cell>
          <cell r="E369" t="str">
            <v>FA77</v>
          </cell>
          <cell r="F369">
            <v>1120</v>
          </cell>
          <cell r="G369">
            <v>114.45</v>
          </cell>
          <cell r="H369">
            <v>1.35</v>
          </cell>
          <cell r="I369" t="str">
            <v>From M6 to M4 - 45°</v>
          </cell>
          <cell r="J369" t="str">
            <v>IE3</v>
          </cell>
          <cell r="K369">
            <v>400</v>
          </cell>
          <cell r="L369">
            <v>50</v>
          </cell>
          <cell r="M369">
            <v>3.4</v>
          </cell>
          <cell r="N369">
            <v>55</v>
          </cell>
          <cell r="O369" t="str">
            <v>F</v>
          </cell>
          <cell r="P369" t="str">
            <v>270°</v>
          </cell>
          <cell r="R369" t="str">
            <v>-</v>
          </cell>
          <cell r="T369" t="str">
            <v>BE</v>
          </cell>
          <cell r="V369" t="str">
            <v>D+R</v>
          </cell>
          <cell r="X369" t="str">
            <v>CLP HC VG 220 = -20° + 60°</v>
          </cell>
          <cell r="Y369" t="str">
            <v>FA77/GDRN90L4-BE</v>
          </cell>
          <cell r="Z369" t="str">
            <v>SEW</v>
          </cell>
          <cell r="AH369" t="str">
            <v>FA77-270-X</v>
          </cell>
        </row>
        <row r="370">
          <cell r="A370" t="str">
            <v>MR000366</v>
          </cell>
          <cell r="B370" t="str">
            <v>MR</v>
          </cell>
          <cell r="C370">
            <v>1.5</v>
          </cell>
          <cell r="D370">
            <v>13</v>
          </cell>
          <cell r="E370" t="str">
            <v>FA77</v>
          </cell>
          <cell r="F370">
            <v>1120</v>
          </cell>
          <cell r="G370">
            <v>114.45</v>
          </cell>
          <cell r="H370">
            <v>1.35</v>
          </cell>
          <cell r="I370" t="str">
            <v>From M5 to M4 - 45°</v>
          </cell>
          <cell r="J370" t="str">
            <v>IE3</v>
          </cell>
          <cell r="K370">
            <v>400</v>
          </cell>
          <cell r="L370">
            <v>50</v>
          </cell>
          <cell r="M370">
            <v>3.4</v>
          </cell>
          <cell r="N370">
            <v>55</v>
          </cell>
          <cell r="O370" t="str">
            <v>F</v>
          </cell>
          <cell r="P370" t="str">
            <v>270°</v>
          </cell>
          <cell r="R370" t="str">
            <v>-</v>
          </cell>
          <cell r="T370" t="str">
            <v>BE</v>
          </cell>
          <cell r="V370" t="str">
            <v>D+R</v>
          </cell>
          <cell r="X370" t="str">
            <v>CLP HC VG 220 = -20° + 60°</v>
          </cell>
          <cell r="Y370" t="str">
            <v>FA77/GDRN90L4-BE</v>
          </cell>
          <cell r="Z370" t="str">
            <v>SEW</v>
          </cell>
          <cell r="AH370" t="str">
            <v>FA77-270-X</v>
          </cell>
        </row>
        <row r="371">
          <cell r="A371" t="str">
            <v>MR000367</v>
          </cell>
          <cell r="B371" t="str">
            <v>MR</v>
          </cell>
          <cell r="C371">
            <v>18.5</v>
          </cell>
          <cell r="D371">
            <v>16</v>
          </cell>
          <cell r="E371" t="str">
            <v>KH127</v>
          </cell>
          <cell r="F371">
            <v>10700</v>
          </cell>
          <cell r="G371">
            <v>89.89</v>
          </cell>
          <cell r="H371">
            <v>1.2</v>
          </cell>
          <cell r="I371" t="str">
            <v>From M1A to M2A - 35°</v>
          </cell>
          <cell r="J371" t="str">
            <v>IE3</v>
          </cell>
          <cell r="K371">
            <v>400</v>
          </cell>
          <cell r="L371">
            <v>50</v>
          </cell>
          <cell r="M371">
            <v>33.5</v>
          </cell>
          <cell r="N371">
            <v>55</v>
          </cell>
          <cell r="O371" t="str">
            <v>F</v>
          </cell>
          <cell r="P371" t="str">
            <v>270°</v>
          </cell>
          <cell r="Q371" t="str">
            <v>TF</v>
          </cell>
          <cell r="R371" t="str">
            <v>V</v>
          </cell>
          <cell r="V371" t="str">
            <v>FC</v>
          </cell>
          <cell r="X371" t="str">
            <v>CLP HC VG 220 = -20° + 60°</v>
          </cell>
          <cell r="Y371" t="str">
            <v>KH127DRN180M4/TF/V</v>
          </cell>
          <cell r="Z371" t="str">
            <v>SEW</v>
          </cell>
          <cell r="AH371" t="str">
            <v>KH127-A270-X#</v>
          </cell>
        </row>
        <row r="372">
          <cell r="A372" t="str">
            <v>MR000368</v>
          </cell>
          <cell r="B372" t="str">
            <v>MR</v>
          </cell>
          <cell r="C372">
            <v>18.5</v>
          </cell>
          <cell r="D372">
            <v>16</v>
          </cell>
          <cell r="E372" t="str">
            <v>KH127</v>
          </cell>
          <cell r="F372">
            <v>10700</v>
          </cell>
          <cell r="G372">
            <v>89.89</v>
          </cell>
          <cell r="H372">
            <v>1.2</v>
          </cell>
          <cell r="I372" t="str">
            <v>From M1B to M2B - 35°</v>
          </cell>
          <cell r="J372" t="str">
            <v>IE3</v>
          </cell>
          <cell r="K372">
            <v>400</v>
          </cell>
          <cell r="L372">
            <v>50</v>
          </cell>
          <cell r="M372">
            <v>33.5</v>
          </cell>
          <cell r="N372">
            <v>55</v>
          </cell>
          <cell r="O372" t="str">
            <v>F</v>
          </cell>
          <cell r="P372" t="str">
            <v>270°</v>
          </cell>
          <cell r="Q372" t="str">
            <v>TF</v>
          </cell>
          <cell r="R372" t="str">
            <v>V</v>
          </cell>
          <cell r="V372" t="str">
            <v>FC</v>
          </cell>
          <cell r="X372" t="str">
            <v>CLP HC VG 220 = -20° + 60°</v>
          </cell>
          <cell r="Y372" t="str">
            <v>KH127DRN180M4/TF/V</v>
          </cell>
          <cell r="Z372" t="str">
            <v>SEW</v>
          </cell>
          <cell r="AH372" t="str">
            <v>KH127-B270-X#</v>
          </cell>
        </row>
        <row r="373">
          <cell r="A373" t="str">
            <v>MR000369</v>
          </cell>
          <cell r="B373" t="str">
            <v>MR</v>
          </cell>
          <cell r="C373">
            <v>18.5</v>
          </cell>
          <cell r="D373">
            <v>15</v>
          </cell>
          <cell r="E373" t="str">
            <v>KH157</v>
          </cell>
          <cell r="F373">
            <v>11900</v>
          </cell>
          <cell r="G373">
            <v>100.22</v>
          </cell>
          <cell r="H373">
            <v>1.5</v>
          </cell>
          <cell r="I373" t="str">
            <v>From M4A to M1A - 40°</v>
          </cell>
          <cell r="J373" t="str">
            <v>IE3</v>
          </cell>
          <cell r="K373">
            <v>400</v>
          </cell>
          <cell r="L373">
            <v>50</v>
          </cell>
          <cell r="M373">
            <v>33.5</v>
          </cell>
          <cell r="N373">
            <v>55</v>
          </cell>
          <cell r="O373" t="str">
            <v>F</v>
          </cell>
          <cell r="P373" t="str">
            <v>270°</v>
          </cell>
          <cell r="Q373" t="str">
            <v>TF</v>
          </cell>
          <cell r="R373" t="str">
            <v>V</v>
          </cell>
          <cell r="V373" t="str">
            <v>FC</v>
          </cell>
          <cell r="X373" t="str">
            <v>CLP HC VG 220 = -20° + 60°</v>
          </cell>
          <cell r="Y373" t="str">
            <v>KH157DRN180M4/TF/V</v>
          </cell>
          <cell r="Z373" t="str">
            <v>SEW</v>
          </cell>
          <cell r="AH373" t="str">
            <v>KH157-A270-X#</v>
          </cell>
        </row>
        <row r="374">
          <cell r="A374" t="str">
            <v>MR000370</v>
          </cell>
          <cell r="B374" t="str">
            <v>MR</v>
          </cell>
          <cell r="C374">
            <v>18.5</v>
          </cell>
          <cell r="D374">
            <v>15</v>
          </cell>
          <cell r="E374" t="str">
            <v>KH157</v>
          </cell>
          <cell r="F374">
            <v>11900</v>
          </cell>
          <cell r="G374">
            <v>100.22</v>
          </cell>
          <cell r="H374">
            <v>1.5</v>
          </cell>
          <cell r="I374" t="str">
            <v>From M4B to M1B - 40°</v>
          </cell>
          <cell r="J374" t="str">
            <v>IE3</v>
          </cell>
          <cell r="K374">
            <v>400</v>
          </cell>
          <cell r="L374">
            <v>50</v>
          </cell>
          <cell r="M374">
            <v>33.5</v>
          </cell>
          <cell r="N374">
            <v>55</v>
          </cell>
          <cell r="O374" t="str">
            <v>F</v>
          </cell>
          <cell r="P374" t="str">
            <v>270°</v>
          </cell>
          <cell r="Q374" t="str">
            <v>TF</v>
          </cell>
          <cell r="R374" t="str">
            <v>V</v>
          </cell>
          <cell r="V374" t="str">
            <v>FC</v>
          </cell>
          <cell r="X374" t="str">
            <v>CLP HC VG 220 = -20° + 60°</v>
          </cell>
          <cell r="Y374" t="str">
            <v>KH157DRN180M4/TF/V</v>
          </cell>
          <cell r="Z374" t="str">
            <v>SEW</v>
          </cell>
          <cell r="AH374" t="str">
            <v>KH157-B270-X#</v>
          </cell>
        </row>
        <row r="375">
          <cell r="A375" t="str">
            <v>MR000371</v>
          </cell>
          <cell r="B375" t="str">
            <v>MR</v>
          </cell>
          <cell r="C375">
            <v>37</v>
          </cell>
          <cell r="D375">
            <v>24</v>
          </cell>
          <cell r="E375" t="str">
            <v>KH157</v>
          </cell>
          <cell r="F375">
            <v>14400</v>
          </cell>
          <cell r="G375">
            <v>60.74</v>
          </cell>
          <cell r="H375">
            <v>2.2000000000000002</v>
          </cell>
          <cell r="I375" t="str">
            <v>From M4B to M1B - 25°</v>
          </cell>
          <cell r="J375" t="str">
            <v>IE3</v>
          </cell>
          <cell r="K375">
            <v>400</v>
          </cell>
          <cell r="L375">
            <v>50</v>
          </cell>
          <cell r="M375">
            <v>64</v>
          </cell>
          <cell r="N375">
            <v>55</v>
          </cell>
          <cell r="O375" t="str">
            <v>F</v>
          </cell>
          <cell r="P375" t="str">
            <v>270°</v>
          </cell>
          <cell r="Q375" t="str">
            <v>TF</v>
          </cell>
          <cell r="R375" t="str">
            <v>V</v>
          </cell>
          <cell r="V375" t="str">
            <v>FC</v>
          </cell>
          <cell r="X375" t="str">
            <v>CLP HC VG 220 = -20° + 60°</v>
          </cell>
          <cell r="Y375" t="str">
            <v>KH157DRN225S4/TF/V</v>
          </cell>
          <cell r="Z375" t="str">
            <v>SEW</v>
          </cell>
          <cell r="AH375" t="str">
            <v>KH157-B270-X#</v>
          </cell>
        </row>
        <row r="376">
          <cell r="A376" t="str">
            <v>MR000372</v>
          </cell>
          <cell r="B376" t="str">
            <v>MR</v>
          </cell>
          <cell r="C376">
            <v>22</v>
          </cell>
          <cell r="D376">
            <v>15</v>
          </cell>
          <cell r="E376" t="str">
            <v>KH157</v>
          </cell>
          <cell r="F376">
            <v>14200</v>
          </cell>
          <cell r="G376">
            <v>100.22</v>
          </cell>
          <cell r="H376">
            <v>1.25</v>
          </cell>
          <cell r="I376" t="str">
            <v>From M4B to M1B - 25°</v>
          </cell>
          <cell r="J376" t="str">
            <v>IE3</v>
          </cell>
          <cell r="K376">
            <v>400</v>
          </cell>
          <cell r="L376">
            <v>50</v>
          </cell>
          <cell r="M376">
            <v>38.5</v>
          </cell>
          <cell r="N376">
            <v>55</v>
          </cell>
          <cell r="O376" t="str">
            <v>F</v>
          </cell>
          <cell r="P376" t="str">
            <v>270°</v>
          </cell>
          <cell r="Q376" t="str">
            <v>TF</v>
          </cell>
          <cell r="R376" t="str">
            <v>V</v>
          </cell>
          <cell r="V376" t="str">
            <v>FC</v>
          </cell>
          <cell r="X376" t="str">
            <v>CLP HC VG 220 = -20° + 60°</v>
          </cell>
          <cell r="Y376" t="str">
            <v>KH157DRN180L4/TF/V</v>
          </cell>
          <cell r="Z376" t="str">
            <v>SEW</v>
          </cell>
          <cell r="AH376" t="str">
            <v>KH157-B270-X#</v>
          </cell>
        </row>
        <row r="377">
          <cell r="A377" t="str">
            <v>MR000373</v>
          </cell>
          <cell r="B377" t="str">
            <v>MR</v>
          </cell>
          <cell r="C377">
            <v>22</v>
          </cell>
          <cell r="D377">
            <v>15</v>
          </cell>
          <cell r="E377" t="str">
            <v>KH157</v>
          </cell>
          <cell r="F377">
            <v>14200</v>
          </cell>
          <cell r="G377">
            <v>100.22</v>
          </cell>
          <cell r="H377">
            <v>1.25</v>
          </cell>
          <cell r="I377" t="str">
            <v>M4A</v>
          </cell>
          <cell r="J377" t="str">
            <v>IE3</v>
          </cell>
          <cell r="K377">
            <v>400</v>
          </cell>
          <cell r="L377">
            <v>50</v>
          </cell>
          <cell r="M377">
            <v>56</v>
          </cell>
          <cell r="N377">
            <v>55</v>
          </cell>
          <cell r="O377" t="str">
            <v>F</v>
          </cell>
          <cell r="P377" t="str">
            <v>270°</v>
          </cell>
          <cell r="Q377" t="str">
            <v>TF</v>
          </cell>
          <cell r="R377" t="str">
            <v>400V VE</v>
          </cell>
          <cell r="V377" t="str">
            <v>FC</v>
          </cell>
          <cell r="X377" t="str">
            <v>CLP HC VG 220 = -20° + 60°</v>
          </cell>
          <cell r="Y377" t="str">
            <v xml:space="preserve">KH157EDRE200L4-TF-VE   </v>
          </cell>
          <cell r="Z377" t="str">
            <v>SEW</v>
          </cell>
          <cell r="AB377" t="str">
            <v>ATEX22</v>
          </cell>
          <cell r="AH377" t="str">
            <v>KH157-A270-X#</v>
          </cell>
        </row>
        <row r="378">
          <cell r="A378" t="str">
            <v>MR000374</v>
          </cell>
          <cell r="B378" t="str">
            <v>MR</v>
          </cell>
          <cell r="C378">
            <v>11</v>
          </cell>
          <cell r="D378">
            <v>45</v>
          </cell>
          <cell r="E378" t="str">
            <v>FH97</v>
          </cell>
          <cell r="F378">
            <v>2310</v>
          </cell>
          <cell r="G378">
            <v>32.5</v>
          </cell>
          <cell r="H378">
            <v>1.85</v>
          </cell>
          <cell r="I378" t="str">
            <v>M1</v>
          </cell>
          <cell r="J378" t="str">
            <v>IE3</v>
          </cell>
          <cell r="K378">
            <v>400</v>
          </cell>
          <cell r="L378">
            <v>50</v>
          </cell>
          <cell r="M378">
            <v>21</v>
          </cell>
          <cell r="N378">
            <v>55</v>
          </cell>
          <cell r="O378" t="str">
            <v>F</v>
          </cell>
          <cell r="P378" t="str">
            <v>270°</v>
          </cell>
          <cell r="R378" t="str">
            <v>-</v>
          </cell>
          <cell r="V378" t="str">
            <v>D</v>
          </cell>
          <cell r="X378" t="str">
            <v>CLP HC VG 220 = -20° + 60°</v>
          </cell>
          <cell r="Y378" t="str">
            <v>FH97/GDRN160M4</v>
          </cell>
          <cell r="Z378" t="str">
            <v>SEW</v>
          </cell>
          <cell r="AH378" t="str">
            <v>FH97-270-X</v>
          </cell>
        </row>
        <row r="379">
          <cell r="A379" t="str">
            <v>MR000375</v>
          </cell>
          <cell r="B379" t="str">
            <v>MR</v>
          </cell>
          <cell r="C379">
            <v>18.5</v>
          </cell>
          <cell r="D379">
            <v>25</v>
          </cell>
          <cell r="E379" t="str">
            <v>FH107</v>
          </cell>
          <cell r="F379">
            <v>6940</v>
          </cell>
          <cell r="G379">
            <v>58.12</v>
          </cell>
          <cell r="H379">
            <v>1.1000000000000001</v>
          </cell>
          <cell r="I379" t="str">
            <v>M1</v>
          </cell>
          <cell r="J379" t="str">
            <v>IE3</v>
          </cell>
          <cell r="K379">
            <v>400</v>
          </cell>
          <cell r="L379">
            <v>50</v>
          </cell>
          <cell r="M379">
            <v>33.5</v>
          </cell>
          <cell r="N379">
            <v>55</v>
          </cell>
          <cell r="O379" t="str">
            <v>F</v>
          </cell>
          <cell r="P379" t="str">
            <v>270°</v>
          </cell>
          <cell r="Q379" t="str">
            <v>TF</v>
          </cell>
          <cell r="R379" t="str">
            <v>V</v>
          </cell>
          <cell r="V379" t="str">
            <v>FC</v>
          </cell>
          <cell r="X379" t="str">
            <v>CLP HC VG 220 = -20° + 60°</v>
          </cell>
          <cell r="Y379" t="str">
            <v>FH107/GDRN180M4/TF/V</v>
          </cell>
          <cell r="Z379" t="str">
            <v>SEW</v>
          </cell>
          <cell r="AH379" t="str">
            <v>FH107-270-X#</v>
          </cell>
        </row>
        <row r="380">
          <cell r="A380" t="str">
            <v>MR000376</v>
          </cell>
          <cell r="B380" t="str">
            <v>MR</v>
          </cell>
          <cell r="C380">
            <v>5.5</v>
          </cell>
          <cell r="D380">
            <v>61</v>
          </cell>
          <cell r="E380" t="str">
            <v>FH87</v>
          </cell>
          <cell r="F380">
            <v>850</v>
          </cell>
          <cell r="G380">
            <v>23.68</v>
          </cell>
          <cell r="H380">
            <v>3.5</v>
          </cell>
          <cell r="I380" t="str">
            <v>M1</v>
          </cell>
          <cell r="J380" t="str">
            <v>IE3</v>
          </cell>
          <cell r="K380">
            <v>400</v>
          </cell>
          <cell r="L380">
            <v>50</v>
          </cell>
          <cell r="M380">
            <v>10.5</v>
          </cell>
          <cell r="N380">
            <v>55</v>
          </cell>
          <cell r="O380" t="str">
            <v>F</v>
          </cell>
          <cell r="P380" t="str">
            <v>270°</v>
          </cell>
          <cell r="R380" t="str">
            <v>-</v>
          </cell>
          <cell r="V380" t="str">
            <v>D</v>
          </cell>
          <cell r="X380" t="str">
            <v>CLP HC VG 220 = -20° + 60°</v>
          </cell>
          <cell r="Y380" t="str">
            <v>FH87/GDRN132S4</v>
          </cell>
          <cell r="Z380" t="str">
            <v>SEW</v>
          </cell>
          <cell r="AH380" t="str">
            <v>FH87-270-X</v>
          </cell>
        </row>
        <row r="381">
          <cell r="A381" t="str">
            <v>MR000377</v>
          </cell>
          <cell r="B381" t="str">
            <v>MR</v>
          </cell>
          <cell r="C381">
            <v>18.5</v>
          </cell>
          <cell r="D381">
            <v>43</v>
          </cell>
          <cell r="E381" t="str">
            <v>FH107</v>
          </cell>
          <cell r="F381">
            <v>4030</v>
          </cell>
          <cell r="G381">
            <v>33.79</v>
          </cell>
          <cell r="H381">
            <v>1.85</v>
          </cell>
          <cell r="I381" t="str">
            <v>M1</v>
          </cell>
          <cell r="J381" t="str">
            <v>IE3</v>
          </cell>
          <cell r="K381">
            <v>400</v>
          </cell>
          <cell r="L381">
            <v>50</v>
          </cell>
          <cell r="M381">
            <v>33.5</v>
          </cell>
          <cell r="N381">
            <v>55</v>
          </cell>
          <cell r="O381" t="str">
            <v>F</v>
          </cell>
          <cell r="P381" t="str">
            <v>270°</v>
          </cell>
          <cell r="R381" t="str">
            <v>-</v>
          </cell>
          <cell r="V381" t="str">
            <v>D+R</v>
          </cell>
          <cell r="X381" t="str">
            <v>CLP HC VG 220 = -20° + 60°</v>
          </cell>
          <cell r="Y381" t="str">
            <v>FH107/GDRN180M4</v>
          </cell>
          <cell r="Z381" t="str">
            <v>SEW</v>
          </cell>
          <cell r="AH381" t="str">
            <v>FH107-270-X</v>
          </cell>
        </row>
        <row r="382">
          <cell r="A382" t="str">
            <v>MR000378</v>
          </cell>
          <cell r="B382" t="str">
            <v>MR</v>
          </cell>
          <cell r="C382">
            <v>22</v>
          </cell>
          <cell r="D382">
            <v>16</v>
          </cell>
          <cell r="E382" t="str">
            <v>KH157</v>
          </cell>
          <cell r="F382">
            <v>13000</v>
          </cell>
          <cell r="G382">
            <v>91.65</v>
          </cell>
          <cell r="H382">
            <v>1.4</v>
          </cell>
          <cell r="I382" t="str">
            <v>From M1A to M2A - 35°</v>
          </cell>
          <cell r="J382" t="str">
            <v>IE3</v>
          </cell>
          <cell r="K382">
            <v>400</v>
          </cell>
          <cell r="L382">
            <v>50</v>
          </cell>
          <cell r="M382">
            <v>38.5</v>
          </cell>
          <cell r="N382">
            <v>55</v>
          </cell>
          <cell r="O382" t="str">
            <v>F</v>
          </cell>
          <cell r="P382" t="str">
            <v>270°</v>
          </cell>
          <cell r="Q382" t="str">
            <v>TF</v>
          </cell>
          <cell r="R382" t="str">
            <v>V</v>
          </cell>
          <cell r="V382" t="str">
            <v>FC</v>
          </cell>
          <cell r="X382" t="str">
            <v>CLP HC VG 220 = -20° + 60°</v>
          </cell>
          <cell r="Y382" t="str">
            <v>KH157DRN180L4/TF/V</v>
          </cell>
          <cell r="Z382" t="str">
            <v>SEW</v>
          </cell>
          <cell r="AH382" t="str">
            <v>KH157-A270-X#</v>
          </cell>
        </row>
        <row r="383">
          <cell r="A383" t="str">
            <v>MR000379</v>
          </cell>
          <cell r="B383" t="str">
            <v>MR</v>
          </cell>
          <cell r="C383">
            <v>22</v>
          </cell>
          <cell r="D383">
            <v>16</v>
          </cell>
          <cell r="E383" t="str">
            <v>KH157</v>
          </cell>
          <cell r="F383">
            <v>13000</v>
          </cell>
          <cell r="G383">
            <v>91.65</v>
          </cell>
          <cell r="H383">
            <v>1.4</v>
          </cell>
          <cell r="I383" t="str">
            <v>From M1B to M2B - 35°</v>
          </cell>
          <cell r="J383" t="str">
            <v>IE3</v>
          </cell>
          <cell r="K383">
            <v>400</v>
          </cell>
          <cell r="L383">
            <v>50</v>
          </cell>
          <cell r="M383">
            <v>38.5</v>
          </cell>
          <cell r="N383">
            <v>55</v>
          </cell>
          <cell r="O383" t="str">
            <v>F</v>
          </cell>
          <cell r="P383" t="str">
            <v>270°</v>
          </cell>
          <cell r="Q383" t="str">
            <v>TF</v>
          </cell>
          <cell r="R383" t="str">
            <v>V</v>
          </cell>
          <cell r="V383" t="str">
            <v>FC</v>
          </cell>
          <cell r="X383" t="str">
            <v>CLP HC VG 220 = -20° + 60°</v>
          </cell>
          <cell r="Y383" t="str">
            <v>KH157DRN180L4/TF/V</v>
          </cell>
          <cell r="Z383" t="str">
            <v>SEW</v>
          </cell>
          <cell r="AH383" t="str">
            <v>KH157-B270-X#</v>
          </cell>
        </row>
        <row r="384">
          <cell r="A384" t="str">
            <v>MR000380</v>
          </cell>
          <cell r="B384" t="str">
            <v>MR</v>
          </cell>
          <cell r="C384">
            <v>11</v>
          </cell>
          <cell r="D384">
            <v>15</v>
          </cell>
          <cell r="E384" t="str">
            <v>KH107</v>
          </cell>
          <cell r="F384">
            <v>7180</v>
          </cell>
          <cell r="G384">
            <v>100.75</v>
          </cell>
          <cell r="H384">
            <v>1.1000000000000001</v>
          </cell>
          <cell r="I384" t="str">
            <v>From M1A to M2A - 15°</v>
          </cell>
          <cell r="J384" t="str">
            <v>IE3</v>
          </cell>
          <cell r="K384">
            <v>400</v>
          </cell>
          <cell r="L384">
            <v>50</v>
          </cell>
          <cell r="M384">
            <v>21</v>
          </cell>
          <cell r="N384">
            <v>55</v>
          </cell>
          <cell r="O384" t="str">
            <v>F</v>
          </cell>
          <cell r="P384" t="str">
            <v>270°</v>
          </cell>
          <cell r="Q384" t="str">
            <v>TF</v>
          </cell>
          <cell r="R384" t="str">
            <v>V</v>
          </cell>
          <cell r="V384" t="str">
            <v>FC</v>
          </cell>
          <cell r="X384" t="str">
            <v>CLP HC VG 220 = -20° + 60°</v>
          </cell>
          <cell r="Y384" t="str">
            <v>KH107DRN160M4/TF/V</v>
          </cell>
          <cell r="Z384" t="str">
            <v>SEW</v>
          </cell>
          <cell r="AH384" t="str">
            <v>KH107-A270-X#</v>
          </cell>
        </row>
        <row r="385">
          <cell r="A385" t="str">
            <v>MR000381</v>
          </cell>
          <cell r="B385" t="str">
            <v>MR</v>
          </cell>
          <cell r="C385">
            <v>15</v>
          </cell>
          <cell r="D385">
            <v>34</v>
          </cell>
          <cell r="E385" t="str">
            <v>FH107</v>
          </cell>
          <cell r="F385">
            <v>4180</v>
          </cell>
          <cell r="G385">
            <v>43.03</v>
          </cell>
          <cell r="H385">
            <v>1.85</v>
          </cell>
          <cell r="I385" t="str">
            <v>From M1 to M2 - 25°</v>
          </cell>
          <cell r="J385" t="str">
            <v>IE3</v>
          </cell>
          <cell r="K385">
            <v>400</v>
          </cell>
          <cell r="L385">
            <v>50</v>
          </cell>
          <cell r="M385">
            <v>29</v>
          </cell>
          <cell r="N385">
            <v>55</v>
          </cell>
          <cell r="O385" t="str">
            <v>F</v>
          </cell>
          <cell r="P385" t="str">
            <v>270°</v>
          </cell>
          <cell r="R385" t="str">
            <v>-</v>
          </cell>
          <cell r="V385" t="str">
            <v>D</v>
          </cell>
          <cell r="X385" t="str">
            <v>CLP HC VG 220 = -20° + 60°</v>
          </cell>
          <cell r="Y385" t="str">
            <v>FH107/GDRN160L4</v>
          </cell>
          <cell r="Z385" t="str">
            <v>SEW</v>
          </cell>
          <cell r="AH385" t="str">
            <v>FH107-270-X</v>
          </cell>
        </row>
        <row r="386">
          <cell r="A386" t="str">
            <v>MR000382</v>
          </cell>
          <cell r="B386" t="str">
            <v>MR</v>
          </cell>
          <cell r="C386">
            <v>22</v>
          </cell>
          <cell r="D386">
            <v>12</v>
          </cell>
          <cell r="E386" t="str">
            <v>KH157</v>
          </cell>
          <cell r="F386">
            <v>17300</v>
          </cell>
          <cell r="G386">
            <v>122.39</v>
          </cell>
          <cell r="H386">
            <v>1.05</v>
          </cell>
          <cell r="I386" t="str">
            <v>From M1A to M2A - 5°</v>
          </cell>
          <cell r="J386" t="str">
            <v>IE3</v>
          </cell>
          <cell r="K386">
            <v>400</v>
          </cell>
          <cell r="L386">
            <v>50</v>
          </cell>
          <cell r="M386">
            <v>56</v>
          </cell>
          <cell r="N386">
            <v>55</v>
          </cell>
          <cell r="O386" t="str">
            <v>F</v>
          </cell>
          <cell r="P386" t="str">
            <v>270°</v>
          </cell>
          <cell r="Q386" t="str">
            <v>TF</v>
          </cell>
          <cell r="R386" t="str">
            <v>400V VE</v>
          </cell>
          <cell r="V386" t="str">
            <v>FC</v>
          </cell>
          <cell r="X386" t="str">
            <v>CLP HC VG 220 = -20° + 60°</v>
          </cell>
          <cell r="Y386" t="str">
            <v>KH157EDRE200L4/TF/VE</v>
          </cell>
          <cell r="Z386" t="str">
            <v>SEW</v>
          </cell>
          <cell r="AB386" t="str">
            <v>ATEX22</v>
          </cell>
          <cell r="AH386" t="str">
            <v>KH157-A270-X#</v>
          </cell>
        </row>
        <row r="387">
          <cell r="A387" t="str">
            <v>MR000383</v>
          </cell>
          <cell r="B387" t="str">
            <v>MR</v>
          </cell>
          <cell r="C387">
            <v>22</v>
          </cell>
          <cell r="D387">
            <v>12</v>
          </cell>
          <cell r="E387" t="str">
            <v>KH157</v>
          </cell>
          <cell r="F387">
            <v>17300</v>
          </cell>
          <cell r="G387">
            <v>122.39</v>
          </cell>
          <cell r="H387">
            <v>1.05</v>
          </cell>
          <cell r="I387" t="str">
            <v>From M1B to M2B - 5°</v>
          </cell>
          <cell r="J387" t="str">
            <v>IE3</v>
          </cell>
          <cell r="K387">
            <v>400</v>
          </cell>
          <cell r="L387">
            <v>50</v>
          </cell>
          <cell r="M387">
            <v>56</v>
          </cell>
          <cell r="N387">
            <v>55</v>
          </cell>
          <cell r="O387" t="str">
            <v>F</v>
          </cell>
          <cell r="P387" t="str">
            <v>270°</v>
          </cell>
          <cell r="Q387" t="str">
            <v>TF</v>
          </cell>
          <cell r="R387" t="str">
            <v>400V VE</v>
          </cell>
          <cell r="V387" t="str">
            <v>FC</v>
          </cell>
          <cell r="X387" t="str">
            <v>CLP HC VG 220 = -20° + 60°</v>
          </cell>
          <cell r="Y387" t="str">
            <v>KH157EDRE200L4/TF/VE</v>
          </cell>
          <cell r="Z387" t="str">
            <v>SEW</v>
          </cell>
          <cell r="AB387" t="str">
            <v>ATEX22</v>
          </cell>
          <cell r="AH387" t="str">
            <v>KH157-B270-X#</v>
          </cell>
        </row>
        <row r="388">
          <cell r="A388" t="str">
            <v>MR000384</v>
          </cell>
          <cell r="B388" t="str">
            <v>MR</v>
          </cell>
          <cell r="C388">
            <v>18.5</v>
          </cell>
          <cell r="D388">
            <v>12</v>
          </cell>
          <cell r="E388" t="str">
            <v>KH157</v>
          </cell>
          <cell r="F388">
            <v>14600</v>
          </cell>
          <cell r="G388">
            <v>122.39</v>
          </cell>
          <cell r="H388">
            <v>1.25</v>
          </cell>
          <cell r="I388" t="str">
            <v>From M4B to M1B - 30°</v>
          </cell>
          <cell r="J388" t="str">
            <v>IE3</v>
          </cell>
          <cell r="K388">
            <v>400</v>
          </cell>
          <cell r="L388">
            <v>50</v>
          </cell>
          <cell r="M388">
            <v>33.5</v>
          </cell>
          <cell r="N388">
            <v>55</v>
          </cell>
          <cell r="O388" t="str">
            <v>F</v>
          </cell>
          <cell r="P388" t="str">
            <v>270°</v>
          </cell>
          <cell r="Q388" t="str">
            <v>TF</v>
          </cell>
          <cell r="R388" t="str">
            <v>V</v>
          </cell>
          <cell r="V388" t="str">
            <v>FC</v>
          </cell>
          <cell r="X388" t="str">
            <v>CLP HC VG 220 = -20° + 60°</v>
          </cell>
          <cell r="Y388" t="str">
            <v>KH157DRN180M4/TF/V</v>
          </cell>
          <cell r="Z388" t="str">
            <v>SEW</v>
          </cell>
          <cell r="AH388" t="str">
            <v>KH157-B270-X#</v>
          </cell>
        </row>
        <row r="389">
          <cell r="A389" t="str">
            <v>MR000385</v>
          </cell>
          <cell r="B389" t="str">
            <v>MR</v>
          </cell>
          <cell r="C389">
            <v>18.5</v>
          </cell>
          <cell r="D389">
            <v>12</v>
          </cell>
          <cell r="E389" t="str">
            <v>KH157</v>
          </cell>
          <cell r="F389">
            <v>14600</v>
          </cell>
          <cell r="G389">
            <v>122.39</v>
          </cell>
          <cell r="H389">
            <v>1.25</v>
          </cell>
          <cell r="I389" t="str">
            <v>From M4A to M1A - 30°</v>
          </cell>
          <cell r="J389" t="str">
            <v>IE3</v>
          </cell>
          <cell r="K389">
            <v>400</v>
          </cell>
          <cell r="L389">
            <v>50</v>
          </cell>
          <cell r="M389">
            <v>33.5</v>
          </cell>
          <cell r="N389">
            <v>55</v>
          </cell>
          <cell r="O389" t="str">
            <v>F</v>
          </cell>
          <cell r="P389" t="str">
            <v>270°</v>
          </cell>
          <cell r="Q389" t="str">
            <v>TF</v>
          </cell>
          <cell r="R389" t="str">
            <v>V</v>
          </cell>
          <cell r="V389" t="str">
            <v>FC</v>
          </cell>
          <cell r="X389" t="str">
            <v>CLP HC VG 220 = -20° + 60°</v>
          </cell>
          <cell r="Y389" t="str">
            <v>KH157DRN180M4/TF/V</v>
          </cell>
          <cell r="Z389" t="str">
            <v>SEW</v>
          </cell>
          <cell r="AH389" t="str">
            <v>KH157-A270-X#</v>
          </cell>
        </row>
        <row r="390">
          <cell r="A390" t="str">
            <v>MR000386</v>
          </cell>
          <cell r="B390" t="str">
            <v>MR</v>
          </cell>
          <cell r="C390">
            <v>18.5</v>
          </cell>
          <cell r="D390">
            <v>12</v>
          </cell>
          <cell r="E390" t="str">
            <v>KH157</v>
          </cell>
          <cell r="F390">
            <v>14600</v>
          </cell>
          <cell r="G390">
            <v>122.39</v>
          </cell>
          <cell r="H390">
            <v>1.25</v>
          </cell>
          <cell r="I390" t="str">
            <v>From M4A to M1A - 35°</v>
          </cell>
          <cell r="J390" t="str">
            <v>IE3</v>
          </cell>
          <cell r="K390">
            <v>400</v>
          </cell>
          <cell r="L390">
            <v>50</v>
          </cell>
          <cell r="M390">
            <v>33.5</v>
          </cell>
          <cell r="N390">
            <v>55</v>
          </cell>
          <cell r="O390" t="str">
            <v>F</v>
          </cell>
          <cell r="P390" t="str">
            <v>270°</v>
          </cell>
          <cell r="Q390" t="str">
            <v>TF</v>
          </cell>
          <cell r="R390" t="str">
            <v>V</v>
          </cell>
          <cell r="V390" t="str">
            <v>FC</v>
          </cell>
          <cell r="X390" t="str">
            <v>CLP HC VG 220 = -20° + 60°</v>
          </cell>
          <cell r="Y390" t="str">
            <v>KH157DRN180M4/TF/V</v>
          </cell>
          <cell r="Z390" t="str">
            <v>SEW</v>
          </cell>
          <cell r="AH390" t="str">
            <v>KH157-A270-X#</v>
          </cell>
        </row>
        <row r="391">
          <cell r="A391" t="str">
            <v>MR000387</v>
          </cell>
          <cell r="B391" t="str">
            <v>MR</v>
          </cell>
          <cell r="C391">
            <v>18.5</v>
          </cell>
          <cell r="D391">
            <v>12</v>
          </cell>
          <cell r="E391" t="str">
            <v>KH157</v>
          </cell>
          <cell r="F391">
            <v>14600</v>
          </cell>
          <cell r="G391">
            <v>122.39</v>
          </cell>
          <cell r="H391">
            <v>1.25</v>
          </cell>
          <cell r="I391" t="str">
            <v>From M4B to M1B - 35°</v>
          </cell>
          <cell r="J391" t="str">
            <v>IE3</v>
          </cell>
          <cell r="K391">
            <v>400</v>
          </cell>
          <cell r="L391">
            <v>50</v>
          </cell>
          <cell r="M391">
            <v>33.5</v>
          </cell>
          <cell r="N391">
            <v>55</v>
          </cell>
          <cell r="O391" t="str">
            <v>F</v>
          </cell>
          <cell r="P391" t="str">
            <v>270°</v>
          </cell>
          <cell r="Q391" t="str">
            <v>TF</v>
          </cell>
          <cell r="R391" t="str">
            <v>V</v>
          </cell>
          <cell r="V391" t="str">
            <v>FC</v>
          </cell>
          <cell r="X391" t="str">
            <v>CLP HC VG 220 = -20° + 60°</v>
          </cell>
          <cell r="Y391" t="str">
            <v>KH157DRN180M4/TF/V</v>
          </cell>
          <cell r="Z391" t="str">
            <v>SEW</v>
          </cell>
          <cell r="AH391" t="str">
            <v>KH157-B270-X#</v>
          </cell>
        </row>
        <row r="392">
          <cell r="A392" t="str">
            <v>MR000388</v>
          </cell>
          <cell r="B392" t="str">
            <v>MR</v>
          </cell>
          <cell r="C392">
            <v>22</v>
          </cell>
          <cell r="D392">
            <v>21</v>
          </cell>
          <cell r="E392" t="str">
            <v>KH127</v>
          </cell>
          <cell r="F392">
            <v>10000</v>
          </cell>
          <cell r="G392">
            <v>70.95</v>
          </cell>
          <cell r="H392">
            <v>1.3</v>
          </cell>
          <cell r="I392" t="str">
            <v>M4A</v>
          </cell>
          <cell r="J392" t="str">
            <v>IE3</v>
          </cell>
          <cell r="K392">
            <v>400</v>
          </cell>
          <cell r="L392">
            <v>50</v>
          </cell>
          <cell r="M392">
            <v>38.5</v>
          </cell>
          <cell r="N392">
            <v>55</v>
          </cell>
          <cell r="O392" t="str">
            <v>F</v>
          </cell>
          <cell r="P392" t="str">
            <v>270°</v>
          </cell>
          <cell r="Q392" t="str">
            <v>TF</v>
          </cell>
          <cell r="R392" t="str">
            <v>V</v>
          </cell>
          <cell r="V392" t="str">
            <v>FC</v>
          </cell>
          <cell r="X392" t="str">
            <v>CLP HC VG 220 = -20° + 60°</v>
          </cell>
          <cell r="Y392" t="str">
            <v>KH127DRN180L4/TF/V</v>
          </cell>
          <cell r="Z392" t="str">
            <v>SEW</v>
          </cell>
          <cell r="AH392" t="str">
            <v>KH127-A270-X#</v>
          </cell>
        </row>
        <row r="393">
          <cell r="A393" t="str">
            <v>MR000389</v>
          </cell>
          <cell r="B393" t="str">
            <v>MR</v>
          </cell>
          <cell r="C393">
            <v>11</v>
          </cell>
          <cell r="D393">
            <v>12</v>
          </cell>
          <cell r="E393" t="str">
            <v>KH127</v>
          </cell>
          <cell r="F393">
            <v>8730</v>
          </cell>
          <cell r="G393">
            <v>122.48</v>
          </cell>
          <cell r="H393">
            <v>1.5</v>
          </cell>
          <cell r="I393" t="str">
            <v>M4A</v>
          </cell>
          <cell r="J393" t="str">
            <v>IE3</v>
          </cell>
          <cell r="K393">
            <v>400</v>
          </cell>
          <cell r="L393">
            <v>50</v>
          </cell>
          <cell r="M393">
            <v>21</v>
          </cell>
          <cell r="N393">
            <v>55</v>
          </cell>
          <cell r="O393" t="str">
            <v>F</v>
          </cell>
          <cell r="P393" t="str">
            <v>270°</v>
          </cell>
          <cell r="Q393" t="str">
            <v>TF</v>
          </cell>
          <cell r="R393" t="str">
            <v>V</v>
          </cell>
          <cell r="V393" t="str">
            <v>FC</v>
          </cell>
          <cell r="X393" t="str">
            <v>CLP HC VG 220 = -20° + 60°</v>
          </cell>
          <cell r="Y393" t="str">
            <v>KH127DRN160M4/TF/V</v>
          </cell>
          <cell r="Z393" t="str">
            <v>SEW</v>
          </cell>
          <cell r="AH393" t="str">
            <v>KH127-A270-X#</v>
          </cell>
        </row>
        <row r="394">
          <cell r="A394" t="str">
            <v>MR000390</v>
          </cell>
          <cell r="B394" t="str">
            <v>MR</v>
          </cell>
          <cell r="C394">
            <v>15</v>
          </cell>
          <cell r="D394">
            <v>16</v>
          </cell>
          <cell r="E394" t="str">
            <v>KH127</v>
          </cell>
          <cell r="F394">
            <v>8730</v>
          </cell>
          <cell r="G394">
            <v>89.89</v>
          </cell>
          <cell r="H394">
            <v>1.5</v>
          </cell>
          <cell r="I394" t="str">
            <v>From M4A to M1A - 30°</v>
          </cell>
          <cell r="J394" t="str">
            <v>IE3</v>
          </cell>
          <cell r="K394">
            <v>400</v>
          </cell>
          <cell r="L394">
            <v>50</v>
          </cell>
          <cell r="M394">
            <v>29</v>
          </cell>
          <cell r="N394">
            <v>55</v>
          </cell>
          <cell r="O394" t="str">
            <v>F</v>
          </cell>
          <cell r="P394" t="str">
            <v>270°</v>
          </cell>
          <cell r="Q394" t="str">
            <v>TF</v>
          </cell>
          <cell r="R394" t="str">
            <v>V</v>
          </cell>
          <cell r="V394" t="str">
            <v>FC</v>
          </cell>
          <cell r="X394" t="str">
            <v>CLP HC VG 150 = -40° + 40°</v>
          </cell>
          <cell r="Y394" t="str">
            <v>KH127 DRN160L4/TF/V</v>
          </cell>
          <cell r="Z394" t="str">
            <v>SEW</v>
          </cell>
          <cell r="AH394" t="str">
            <v>KH127-A270-X#</v>
          </cell>
        </row>
        <row r="395">
          <cell r="A395" t="str">
            <v>MR000391</v>
          </cell>
          <cell r="B395" t="str">
            <v>MR</v>
          </cell>
          <cell r="C395">
            <v>15</v>
          </cell>
          <cell r="D395">
            <v>16</v>
          </cell>
          <cell r="E395" t="str">
            <v>KH127</v>
          </cell>
          <cell r="F395">
            <v>8730</v>
          </cell>
          <cell r="G395">
            <v>89.89</v>
          </cell>
          <cell r="H395">
            <v>1.5</v>
          </cell>
          <cell r="I395" t="str">
            <v>From M4B to M1B - 30°</v>
          </cell>
          <cell r="J395" t="str">
            <v>IE3</v>
          </cell>
          <cell r="K395">
            <v>400</v>
          </cell>
          <cell r="L395">
            <v>50</v>
          </cell>
          <cell r="M395">
            <v>29</v>
          </cell>
          <cell r="N395">
            <v>55</v>
          </cell>
          <cell r="O395" t="str">
            <v>F</v>
          </cell>
          <cell r="P395" t="str">
            <v>270°</v>
          </cell>
          <cell r="Q395" t="str">
            <v>TF</v>
          </cell>
          <cell r="R395" t="str">
            <v>V</v>
          </cell>
          <cell r="V395" t="str">
            <v>FC</v>
          </cell>
          <cell r="X395" t="str">
            <v>CLP HC VG 150 = -40° + 40°</v>
          </cell>
          <cell r="Y395" t="str">
            <v>KH127 DRN160L4/TF/V</v>
          </cell>
          <cell r="Z395" t="str">
            <v>SEW</v>
          </cell>
          <cell r="AH395" t="str">
            <v>KH127-B270-X#</v>
          </cell>
        </row>
        <row r="396">
          <cell r="A396" t="str">
            <v>MR000392</v>
          </cell>
          <cell r="B396" t="str">
            <v>MR</v>
          </cell>
          <cell r="C396">
            <v>22</v>
          </cell>
          <cell r="D396">
            <v>18</v>
          </cell>
          <cell r="E396" t="str">
            <v>KH127</v>
          </cell>
          <cell r="F396">
            <v>11600</v>
          </cell>
          <cell r="G396">
            <v>81.98</v>
          </cell>
          <cell r="H396">
            <v>1.1000000000000001</v>
          </cell>
          <cell r="I396" t="str">
            <v>From M4A to M1A - 25°</v>
          </cell>
          <cell r="J396" t="str">
            <v>IE3</v>
          </cell>
          <cell r="K396">
            <v>400</v>
          </cell>
          <cell r="L396">
            <v>50</v>
          </cell>
          <cell r="M396">
            <v>38.5</v>
          </cell>
          <cell r="N396">
            <v>55</v>
          </cell>
          <cell r="O396" t="str">
            <v>F</v>
          </cell>
          <cell r="P396" t="str">
            <v>270°</v>
          </cell>
          <cell r="Q396" t="str">
            <v>TF</v>
          </cell>
          <cell r="R396" t="str">
            <v>V</v>
          </cell>
          <cell r="V396" t="str">
            <v>FC</v>
          </cell>
          <cell r="X396" t="str">
            <v>CLP HC VG 150 = -40° + 40°</v>
          </cell>
          <cell r="Y396" t="str">
            <v>KH127 DRN180L4/TF/V</v>
          </cell>
          <cell r="Z396" t="str">
            <v>SEW</v>
          </cell>
          <cell r="AH396" t="str">
            <v>KH127-A270-X#</v>
          </cell>
        </row>
        <row r="397">
          <cell r="A397" t="str">
            <v>MR000393</v>
          </cell>
          <cell r="B397" t="str">
            <v>MR</v>
          </cell>
          <cell r="C397">
            <v>22</v>
          </cell>
          <cell r="D397">
            <v>18</v>
          </cell>
          <cell r="E397" t="str">
            <v>KH127</v>
          </cell>
          <cell r="F397">
            <v>11600</v>
          </cell>
          <cell r="G397">
            <v>81.98</v>
          </cell>
          <cell r="H397">
            <v>1.1000000000000001</v>
          </cell>
          <cell r="I397" t="str">
            <v>From M4B to M1B - 25°</v>
          </cell>
          <cell r="J397" t="str">
            <v>IE3</v>
          </cell>
          <cell r="K397">
            <v>400</v>
          </cell>
          <cell r="L397">
            <v>50</v>
          </cell>
          <cell r="M397">
            <v>38.5</v>
          </cell>
          <cell r="N397">
            <v>55</v>
          </cell>
          <cell r="O397" t="str">
            <v>F</v>
          </cell>
          <cell r="P397" t="str">
            <v>270°</v>
          </cell>
          <cell r="Q397" t="str">
            <v>TF</v>
          </cell>
          <cell r="R397" t="str">
            <v>V</v>
          </cell>
          <cell r="V397" t="str">
            <v>FC</v>
          </cell>
          <cell r="X397" t="str">
            <v>CLP HC VG 150 = -40° + 40°</v>
          </cell>
          <cell r="Y397" t="str">
            <v>KH127 DRN180L4/TF/V</v>
          </cell>
          <cell r="Z397" t="str">
            <v>SEW</v>
          </cell>
          <cell r="AH397" t="str">
            <v>KH127-B270-X#</v>
          </cell>
        </row>
        <row r="398">
          <cell r="A398" t="str">
            <v>MR000394</v>
          </cell>
          <cell r="B398" t="str">
            <v>MR</v>
          </cell>
          <cell r="C398">
            <v>22</v>
          </cell>
          <cell r="D398">
            <v>15</v>
          </cell>
          <cell r="E398" t="str">
            <v>KH157</v>
          </cell>
          <cell r="F398">
            <v>14200</v>
          </cell>
          <cell r="G398">
            <v>100.22</v>
          </cell>
          <cell r="H398">
            <v>1.25</v>
          </cell>
          <cell r="I398" t="str">
            <v>From M4B to M1B - 35°</v>
          </cell>
          <cell r="J398" t="str">
            <v>IE3</v>
          </cell>
          <cell r="K398">
            <v>400</v>
          </cell>
          <cell r="L398">
            <v>50</v>
          </cell>
          <cell r="M398">
            <v>38.5</v>
          </cell>
          <cell r="N398">
            <v>55</v>
          </cell>
          <cell r="O398" t="str">
            <v>F</v>
          </cell>
          <cell r="P398" t="str">
            <v>270°</v>
          </cell>
          <cell r="Q398" t="str">
            <v>TF</v>
          </cell>
          <cell r="R398" t="str">
            <v>V</v>
          </cell>
          <cell r="V398" t="str">
            <v>FC</v>
          </cell>
          <cell r="X398" t="str">
            <v>CLP HC VG 150 = -40° + 40°</v>
          </cell>
          <cell r="Y398" t="str">
            <v>KH157DRN180L4/TF/V</v>
          </cell>
          <cell r="Z398" t="str">
            <v>SEW</v>
          </cell>
          <cell r="AH398" t="str">
            <v>KH157-B270-X#</v>
          </cell>
        </row>
        <row r="399">
          <cell r="A399" t="str">
            <v>MR000395</v>
          </cell>
          <cell r="B399" t="str">
            <v>MR</v>
          </cell>
          <cell r="C399">
            <v>15</v>
          </cell>
          <cell r="D399">
            <v>13</v>
          </cell>
          <cell r="E399" t="str">
            <v>KH127</v>
          </cell>
          <cell r="F399">
            <v>10700</v>
          </cell>
          <cell r="G399">
            <v>110.18</v>
          </cell>
          <cell r="H399" t="str">
            <v>1.2</v>
          </cell>
          <cell r="I399" t="str">
            <v>From M1B to M2B - 40°</v>
          </cell>
          <cell r="J399" t="str">
            <v>IE3</v>
          </cell>
          <cell r="K399">
            <v>400</v>
          </cell>
          <cell r="L399">
            <v>50</v>
          </cell>
          <cell r="M399">
            <v>29</v>
          </cell>
          <cell r="N399">
            <v>55</v>
          </cell>
          <cell r="O399" t="str">
            <v>F</v>
          </cell>
          <cell r="P399" t="str">
            <v>270°</v>
          </cell>
          <cell r="R399" t="str">
            <v>-</v>
          </cell>
          <cell r="V399" t="str">
            <v>SS</v>
          </cell>
          <cell r="X399" t="str">
            <v>CLP HC VG 150 = -40° + 40°</v>
          </cell>
          <cell r="Y399" t="str">
            <v>KH127DRN160L4</v>
          </cell>
          <cell r="Z399" t="str">
            <v>SEW</v>
          </cell>
          <cell r="AH399" t="str">
            <v>KH127-B270-X</v>
          </cell>
        </row>
        <row r="400">
          <cell r="A400" t="str">
            <v>MR000396</v>
          </cell>
          <cell r="B400" t="str">
            <v>MR</v>
          </cell>
          <cell r="C400">
            <v>0.75</v>
          </cell>
          <cell r="D400">
            <v>162</v>
          </cell>
          <cell r="E400" t="str">
            <v>KA37</v>
          </cell>
          <cell r="F400">
            <v>44</v>
          </cell>
          <cell r="G400">
            <v>8.91</v>
          </cell>
          <cell r="H400">
            <v>3.6</v>
          </cell>
          <cell r="I400" t="str">
            <v>M1A</v>
          </cell>
          <cell r="J400" t="str">
            <v>IE3</v>
          </cell>
          <cell r="K400">
            <v>400</v>
          </cell>
          <cell r="L400">
            <v>50</v>
          </cell>
          <cell r="M400">
            <v>1.75</v>
          </cell>
          <cell r="N400">
            <v>55</v>
          </cell>
          <cell r="O400" t="str">
            <v>F</v>
          </cell>
          <cell r="P400" t="str">
            <v>180°</v>
          </cell>
          <cell r="R400" t="str">
            <v>-</v>
          </cell>
          <cell r="U400" t="str">
            <v>T</v>
          </cell>
          <cell r="V400" t="str">
            <v>D</v>
          </cell>
          <cell r="X400" t="str">
            <v>CLP HC VG 220 = -20° + 60°</v>
          </cell>
          <cell r="Y400" t="str">
            <v>KA37/T DRN80M4</v>
          </cell>
          <cell r="Z400" t="str">
            <v>SEW</v>
          </cell>
          <cell r="AH400" t="str">
            <v>KA37T-A180-X</v>
          </cell>
        </row>
        <row r="401">
          <cell r="A401" t="str">
            <v>MR000397</v>
          </cell>
          <cell r="B401" t="str">
            <v>MR</v>
          </cell>
          <cell r="C401">
            <v>9.1999999999999993</v>
          </cell>
          <cell r="D401">
            <v>62</v>
          </cell>
          <cell r="E401" t="str">
            <v>FA87</v>
          </cell>
          <cell r="F401">
            <v>1410</v>
          </cell>
          <cell r="G401">
            <v>23.68</v>
          </cell>
          <cell r="H401">
            <v>1.85</v>
          </cell>
          <cell r="I401" t="str">
            <v>M1</v>
          </cell>
          <cell r="J401" t="str">
            <v>IE3</v>
          </cell>
          <cell r="K401">
            <v>400</v>
          </cell>
          <cell r="L401">
            <v>50</v>
          </cell>
          <cell r="M401">
            <v>18.7</v>
          </cell>
          <cell r="N401">
            <v>55</v>
          </cell>
          <cell r="O401" t="str">
            <v>F</v>
          </cell>
          <cell r="P401" t="str">
            <v>180°</v>
          </cell>
          <cell r="R401" t="str">
            <v>-</v>
          </cell>
          <cell r="V401" t="str">
            <v>D</v>
          </cell>
          <cell r="X401" t="str">
            <v>CLP HC VG 220 = -20° + 60°</v>
          </cell>
          <cell r="Y401" t="str">
            <v>FA87/GEDRE160M4</v>
          </cell>
          <cell r="Z401" t="str">
            <v>SEW</v>
          </cell>
          <cell r="AB401" t="str">
            <v>ATEX22</v>
          </cell>
          <cell r="AH401" t="str">
            <v>FA87-180-X</v>
          </cell>
        </row>
        <row r="402">
          <cell r="A402" t="str">
            <v>MR000398</v>
          </cell>
          <cell r="B402" t="str">
            <v>MR</v>
          </cell>
          <cell r="C402">
            <v>9.1999999999999993</v>
          </cell>
          <cell r="D402">
            <v>62</v>
          </cell>
          <cell r="E402" t="str">
            <v>FA87</v>
          </cell>
          <cell r="F402">
            <v>1410</v>
          </cell>
          <cell r="G402">
            <v>23.68</v>
          </cell>
          <cell r="H402">
            <v>1.85</v>
          </cell>
          <cell r="I402" t="str">
            <v>M1</v>
          </cell>
          <cell r="J402" t="str">
            <v>IE3</v>
          </cell>
          <cell r="K402">
            <v>400</v>
          </cell>
          <cell r="L402">
            <v>50</v>
          </cell>
          <cell r="M402">
            <v>18.7</v>
          </cell>
          <cell r="N402">
            <v>55</v>
          </cell>
          <cell r="O402" t="str">
            <v>F</v>
          </cell>
          <cell r="P402" t="str">
            <v>0°</v>
          </cell>
          <cell r="R402" t="str">
            <v>-</v>
          </cell>
          <cell r="V402" t="str">
            <v>D</v>
          </cell>
          <cell r="X402" t="str">
            <v>CLP HC VG 220 = -20° + 60°</v>
          </cell>
          <cell r="Y402" t="str">
            <v>FA87/GEDRE160M4</v>
          </cell>
          <cell r="Z402" t="str">
            <v>SEW</v>
          </cell>
          <cell r="AB402" t="str">
            <v>ATEX22</v>
          </cell>
          <cell r="AH402" t="str">
            <v>FA87-0-X</v>
          </cell>
        </row>
        <row r="403">
          <cell r="A403" t="str">
            <v>MR000399</v>
          </cell>
          <cell r="B403" t="str">
            <v>MR</v>
          </cell>
          <cell r="C403">
            <v>1.5</v>
          </cell>
          <cell r="D403">
            <v>7.7</v>
          </cell>
          <cell r="E403" t="str">
            <v>R97</v>
          </cell>
          <cell r="F403">
            <v>1860</v>
          </cell>
          <cell r="G403">
            <v>186.3</v>
          </cell>
          <cell r="H403">
            <v>1.6</v>
          </cell>
          <cell r="I403" t="str">
            <v>M4</v>
          </cell>
          <cell r="J403" t="str">
            <v>IE3</v>
          </cell>
          <cell r="K403">
            <v>400</v>
          </cell>
          <cell r="L403">
            <v>50</v>
          </cell>
          <cell r="M403">
            <v>3.45</v>
          </cell>
          <cell r="N403">
            <v>55</v>
          </cell>
          <cell r="O403" t="str">
            <v>F</v>
          </cell>
          <cell r="P403" t="str">
            <v>270°</v>
          </cell>
          <cell r="Q403" t="str">
            <v>TF</v>
          </cell>
          <cell r="R403" t="str">
            <v>-</v>
          </cell>
          <cell r="V403" t="str">
            <v>FC</v>
          </cell>
          <cell r="X403" t="str">
            <v>CLP HC VG 220 = -20° + 60°</v>
          </cell>
          <cell r="Y403" t="str">
            <v>R97EDRE90L4-TF-ENC.ES7C(HTL)</v>
          </cell>
          <cell r="Z403" t="str">
            <v>SEW</v>
          </cell>
          <cell r="AB403" t="str">
            <v>ATEX22</v>
          </cell>
          <cell r="AC403" t="str">
            <v>ES7C</v>
          </cell>
          <cell r="AH403" t="str">
            <v>R97-270-X</v>
          </cell>
        </row>
        <row r="404">
          <cell r="A404" t="str">
            <v>MR000400</v>
          </cell>
          <cell r="B404" t="str">
            <v>MR</v>
          </cell>
          <cell r="C404">
            <v>3</v>
          </cell>
          <cell r="D404">
            <v>75</v>
          </cell>
          <cell r="E404" t="str">
            <v>KH67</v>
          </cell>
          <cell r="F404">
            <v>375</v>
          </cell>
          <cell r="G404">
            <v>19.3</v>
          </cell>
          <cell r="H404">
            <v>2</v>
          </cell>
          <cell r="I404" t="str">
            <v>From M4B to M1B - 10°</v>
          </cell>
          <cell r="J404" t="str">
            <v>IE3</v>
          </cell>
          <cell r="K404">
            <v>400</v>
          </cell>
          <cell r="L404">
            <v>50</v>
          </cell>
          <cell r="M404">
            <v>6.4</v>
          </cell>
          <cell r="N404">
            <v>55</v>
          </cell>
          <cell r="O404" t="str">
            <v>F</v>
          </cell>
          <cell r="P404" t="str">
            <v>270°</v>
          </cell>
          <cell r="R404" t="str">
            <v>-</v>
          </cell>
          <cell r="S404" t="str">
            <v>Free rotation CW</v>
          </cell>
          <cell r="U404" t="str">
            <v>T</v>
          </cell>
          <cell r="V404" t="str">
            <v>D</v>
          </cell>
          <cell r="X404" t="str">
            <v>CLP HC VG 150 = -40° + 40°</v>
          </cell>
          <cell r="Y404" t="str">
            <v>KH67/TDRN100L4</v>
          </cell>
          <cell r="Z404" t="str">
            <v>SEW</v>
          </cell>
          <cell r="AH404" t="str">
            <v>KH67T-B270-X</v>
          </cell>
        </row>
        <row r="405">
          <cell r="A405" t="str">
            <v>MR000401</v>
          </cell>
          <cell r="B405" t="str">
            <v>MR</v>
          </cell>
          <cell r="C405">
            <v>2.2000000000000002</v>
          </cell>
          <cell r="D405">
            <v>75</v>
          </cell>
          <cell r="E405" t="str">
            <v>KH67</v>
          </cell>
          <cell r="F405">
            <v>275</v>
          </cell>
          <cell r="G405">
            <v>19.3</v>
          </cell>
          <cell r="H405">
            <v>2.7</v>
          </cell>
          <cell r="I405" t="str">
            <v>M4A</v>
          </cell>
          <cell r="J405" t="str">
            <v>IE3</v>
          </cell>
          <cell r="K405">
            <v>400</v>
          </cell>
          <cell r="L405">
            <v>50</v>
          </cell>
          <cell r="M405">
            <v>4.75</v>
          </cell>
          <cell r="N405">
            <v>55</v>
          </cell>
          <cell r="O405" t="str">
            <v>F</v>
          </cell>
          <cell r="P405" t="str">
            <v>270°</v>
          </cell>
          <cell r="R405" t="str">
            <v>-</v>
          </cell>
          <cell r="U405" t="str">
            <v>T</v>
          </cell>
          <cell r="V405" t="str">
            <v>D</v>
          </cell>
          <cell r="X405" t="str">
            <v>CLP HC VG 150 = -40° + 40°</v>
          </cell>
          <cell r="Y405" t="str">
            <v>KH67/TDRN100LS4</v>
          </cell>
          <cell r="Z405" t="str">
            <v>SEW</v>
          </cell>
          <cell r="AH405" t="str">
            <v>KH67T-A270-X</v>
          </cell>
        </row>
        <row r="406">
          <cell r="A406" t="str">
            <v>MR000402</v>
          </cell>
          <cell r="B406" t="str">
            <v>MR</v>
          </cell>
          <cell r="C406">
            <v>3</v>
          </cell>
          <cell r="D406">
            <v>75</v>
          </cell>
          <cell r="E406" t="str">
            <v>KH67</v>
          </cell>
          <cell r="F406">
            <v>375</v>
          </cell>
          <cell r="G406">
            <v>19.3</v>
          </cell>
          <cell r="H406">
            <v>2</v>
          </cell>
          <cell r="I406" t="str">
            <v>M4A</v>
          </cell>
          <cell r="J406" t="str">
            <v>IE3</v>
          </cell>
          <cell r="K406">
            <v>400</v>
          </cell>
          <cell r="L406">
            <v>50</v>
          </cell>
          <cell r="M406">
            <v>6.4</v>
          </cell>
          <cell r="N406">
            <v>55</v>
          </cell>
          <cell r="O406" t="str">
            <v>F</v>
          </cell>
          <cell r="P406" t="str">
            <v>270°</v>
          </cell>
          <cell r="R406" t="str">
            <v>-</v>
          </cell>
          <cell r="U406" t="str">
            <v>T</v>
          </cell>
          <cell r="V406" t="str">
            <v>D</v>
          </cell>
          <cell r="X406" t="str">
            <v>CLP HC VG 150 = -40° + 40°</v>
          </cell>
          <cell r="Y406" t="str">
            <v>KH67/TDRN100L4</v>
          </cell>
          <cell r="Z406" t="str">
            <v>SEW</v>
          </cell>
          <cell r="AH406" t="str">
            <v>KH67T-A270-X</v>
          </cell>
        </row>
        <row r="407">
          <cell r="A407" t="str">
            <v>MR000403</v>
          </cell>
          <cell r="B407" t="str">
            <v>MR</v>
          </cell>
          <cell r="C407">
            <v>1.5</v>
          </cell>
          <cell r="D407">
            <v>3.8</v>
          </cell>
          <cell r="E407" t="str">
            <v>KA97R57</v>
          </cell>
          <cell r="F407">
            <v>3440</v>
          </cell>
          <cell r="G407">
            <v>382</v>
          </cell>
          <cell r="H407">
            <v>1.25</v>
          </cell>
          <cell r="I407" t="str">
            <v>M3B</v>
          </cell>
          <cell r="J407" t="str">
            <v>IE3</v>
          </cell>
          <cell r="K407">
            <v>400</v>
          </cell>
          <cell r="L407">
            <v>50</v>
          </cell>
          <cell r="M407">
            <v>3.4</v>
          </cell>
          <cell r="N407">
            <v>55</v>
          </cell>
          <cell r="O407" t="str">
            <v>F</v>
          </cell>
          <cell r="P407" t="str">
            <v>90°</v>
          </cell>
          <cell r="Q407" t="str">
            <v>TF</v>
          </cell>
          <cell r="R407" t="str">
            <v>V</v>
          </cell>
          <cell r="T407" t="str">
            <v>BE</v>
          </cell>
          <cell r="U407" t="str">
            <v>T</v>
          </cell>
          <cell r="V407" t="str">
            <v>FC</v>
          </cell>
          <cell r="X407" t="str">
            <v>CLP HC VG 220 = -20° + 60°</v>
          </cell>
          <cell r="Y407" t="str">
            <v>KA97R57/T DRN90L4/TF/V BE</v>
          </cell>
          <cell r="Z407" t="str">
            <v>SEW</v>
          </cell>
          <cell r="AH407" t="str">
            <v>KA97R57T-B90-X#</v>
          </cell>
        </row>
        <row r="408">
          <cell r="A408" t="str">
            <v>MR000404</v>
          </cell>
          <cell r="B408" t="str">
            <v>MR</v>
          </cell>
          <cell r="C408">
            <v>7.5</v>
          </cell>
          <cell r="D408">
            <v>62</v>
          </cell>
          <cell r="E408" t="str">
            <v>FH87</v>
          </cell>
          <cell r="F408">
            <v>1150</v>
          </cell>
          <cell r="G408">
            <v>23.68</v>
          </cell>
          <cell r="H408">
            <v>2.2999999999999998</v>
          </cell>
          <cell r="I408" t="str">
            <v>M3</v>
          </cell>
          <cell r="J408" t="str">
            <v>IE3</v>
          </cell>
          <cell r="K408">
            <v>400</v>
          </cell>
          <cell r="L408">
            <v>50</v>
          </cell>
          <cell r="M408">
            <v>15.2</v>
          </cell>
          <cell r="N408">
            <v>55</v>
          </cell>
          <cell r="O408" t="str">
            <v>F</v>
          </cell>
          <cell r="P408" t="str">
            <v>270°</v>
          </cell>
          <cell r="R408" t="str">
            <v>-</v>
          </cell>
          <cell r="V408" t="str">
            <v>D</v>
          </cell>
          <cell r="X408" t="str">
            <v>CLP HC VG 220 = -20° + 60°</v>
          </cell>
          <cell r="Y408" t="str">
            <v>FH87/II2GD/GEDRN132M4/3D/AL</v>
          </cell>
          <cell r="Z408" t="str">
            <v>SEW</v>
          </cell>
          <cell r="AB408" t="str">
            <v>ATEX22</v>
          </cell>
          <cell r="AH408" t="str">
            <v>FH87-270-X</v>
          </cell>
        </row>
        <row r="409">
          <cell r="A409" t="str">
            <v>MR000405</v>
          </cell>
          <cell r="B409" t="str">
            <v>MR</v>
          </cell>
          <cell r="C409">
            <v>11</v>
          </cell>
          <cell r="D409">
            <v>12</v>
          </cell>
          <cell r="E409" t="str">
            <v>KH127</v>
          </cell>
          <cell r="F409">
            <v>8730</v>
          </cell>
          <cell r="G409">
            <v>122.48</v>
          </cell>
          <cell r="H409">
            <v>1.5</v>
          </cell>
          <cell r="I409" t="str">
            <v>M4A</v>
          </cell>
          <cell r="J409" t="str">
            <v>IE3</v>
          </cell>
          <cell r="K409">
            <v>400</v>
          </cell>
          <cell r="L409">
            <v>50</v>
          </cell>
          <cell r="M409">
            <v>21</v>
          </cell>
          <cell r="N409">
            <v>55</v>
          </cell>
          <cell r="O409" t="str">
            <v>F</v>
          </cell>
          <cell r="P409" t="str">
            <v>270°</v>
          </cell>
          <cell r="R409" t="str">
            <v>-</v>
          </cell>
          <cell r="V409" t="str">
            <v>SS</v>
          </cell>
          <cell r="X409" t="str">
            <v>CLP (CC) VG 220 = -15° + 40°</v>
          </cell>
          <cell r="Y409" t="str">
            <v>KH127DRN160M4</v>
          </cell>
          <cell r="Z409" t="str">
            <v>SEW</v>
          </cell>
          <cell r="AH409" t="str">
            <v>KH127-A270-X</v>
          </cell>
        </row>
        <row r="410">
          <cell r="A410" t="str">
            <v>MR000406</v>
          </cell>
          <cell r="B410" t="str">
            <v>MR</v>
          </cell>
          <cell r="C410">
            <v>11</v>
          </cell>
          <cell r="D410">
            <v>12</v>
          </cell>
          <cell r="E410" t="str">
            <v>KH127</v>
          </cell>
          <cell r="F410">
            <v>8730</v>
          </cell>
          <cell r="G410">
            <v>122.48</v>
          </cell>
          <cell r="H410">
            <v>1.5</v>
          </cell>
          <cell r="I410" t="str">
            <v>M4B</v>
          </cell>
          <cell r="J410" t="str">
            <v>IE3</v>
          </cell>
          <cell r="K410">
            <v>400</v>
          </cell>
          <cell r="L410">
            <v>50</v>
          </cell>
          <cell r="M410">
            <v>21</v>
          </cell>
          <cell r="N410">
            <v>55</v>
          </cell>
          <cell r="O410" t="str">
            <v>F</v>
          </cell>
          <cell r="P410" t="str">
            <v>270°</v>
          </cell>
          <cell r="R410" t="str">
            <v>-</v>
          </cell>
          <cell r="V410" t="str">
            <v>SS</v>
          </cell>
          <cell r="X410" t="str">
            <v>CLP (CC) VG 220 = -15° + 40°</v>
          </cell>
          <cell r="Y410" t="str">
            <v>KH127DRN160M4</v>
          </cell>
          <cell r="Z410" t="str">
            <v>SEW</v>
          </cell>
          <cell r="AH410" t="str">
            <v>KH127-B270-X</v>
          </cell>
        </row>
        <row r="411">
          <cell r="A411" t="str">
            <v>MR000407</v>
          </cell>
          <cell r="B411" t="str">
            <v>MR</v>
          </cell>
          <cell r="C411">
            <v>1.1000000000000001</v>
          </cell>
          <cell r="D411">
            <v>18</v>
          </cell>
          <cell r="E411" t="str">
            <v>FA67</v>
          </cell>
          <cell r="F411">
            <v>575</v>
          </cell>
          <cell r="G411">
            <v>79.760000000000005</v>
          </cell>
          <cell r="H411">
            <v>1.4</v>
          </cell>
          <cell r="I411" t="str">
            <v>From M5 to M3 - 5°</v>
          </cell>
          <cell r="J411" t="str">
            <v>IE3</v>
          </cell>
          <cell r="K411">
            <v>400</v>
          </cell>
          <cell r="L411">
            <v>50</v>
          </cell>
          <cell r="M411">
            <v>2.5499999999999998</v>
          </cell>
          <cell r="N411">
            <v>55</v>
          </cell>
          <cell r="O411" t="str">
            <v>F</v>
          </cell>
          <cell r="P411" t="str">
            <v>270°</v>
          </cell>
          <cell r="R411" t="str">
            <v>-</v>
          </cell>
          <cell r="T411" t="str">
            <v>BE</v>
          </cell>
          <cell r="V411" t="str">
            <v>D+R</v>
          </cell>
          <cell r="X411" t="str">
            <v>CLP (CC) VG 220 = -15° + 40°</v>
          </cell>
          <cell r="Y411" t="str">
            <v>FA67/GDRN90S4-BE</v>
          </cell>
          <cell r="Z411" t="str">
            <v>SEW</v>
          </cell>
          <cell r="AH411" t="str">
            <v>FA67-270-X</v>
          </cell>
        </row>
        <row r="412">
          <cell r="A412" t="str">
            <v>MR000408</v>
          </cell>
          <cell r="B412" t="str">
            <v>MR</v>
          </cell>
          <cell r="C412">
            <v>11</v>
          </cell>
          <cell r="D412">
            <v>62</v>
          </cell>
          <cell r="E412" t="str">
            <v>FH87</v>
          </cell>
          <cell r="F412">
            <v>1680</v>
          </cell>
          <cell r="G412">
            <v>23.68</v>
          </cell>
          <cell r="H412">
            <v>1.8</v>
          </cell>
          <cell r="I412" t="str">
            <v>M1</v>
          </cell>
          <cell r="J412" t="str">
            <v>IE3</v>
          </cell>
          <cell r="K412">
            <v>400</v>
          </cell>
          <cell r="L412">
            <v>50</v>
          </cell>
          <cell r="M412">
            <v>21</v>
          </cell>
          <cell r="N412">
            <v>55</v>
          </cell>
          <cell r="O412" t="str">
            <v>F</v>
          </cell>
          <cell r="P412" t="str">
            <v>270°</v>
          </cell>
          <cell r="R412" t="str">
            <v>-</v>
          </cell>
          <cell r="V412" t="str">
            <v>D</v>
          </cell>
          <cell r="X412" t="str">
            <v>CLP HC VG 150 = -40° + 40°</v>
          </cell>
          <cell r="Y412" t="str">
            <v>FH87/GDRN160M4</v>
          </cell>
          <cell r="Z412" t="str">
            <v>SEW</v>
          </cell>
          <cell r="AH412" t="str">
            <v>FH87-270-X</v>
          </cell>
        </row>
        <row r="413">
          <cell r="A413" t="str">
            <v>MR000409</v>
          </cell>
          <cell r="B413" t="str">
            <v>MR</v>
          </cell>
          <cell r="C413">
            <v>18.5</v>
          </cell>
          <cell r="D413">
            <v>34</v>
          </cell>
          <cell r="E413" t="str">
            <v>FH107</v>
          </cell>
          <cell r="F413">
            <v>5140</v>
          </cell>
          <cell r="G413">
            <v>43.03</v>
          </cell>
          <cell r="H413">
            <v>1.5</v>
          </cell>
          <cell r="I413" t="str">
            <v>M1</v>
          </cell>
          <cell r="J413" t="str">
            <v>IE3</v>
          </cell>
          <cell r="K413">
            <v>400</v>
          </cell>
          <cell r="L413">
            <v>50</v>
          </cell>
          <cell r="M413">
            <v>33.5</v>
          </cell>
          <cell r="N413">
            <v>55</v>
          </cell>
          <cell r="O413" t="str">
            <v>F</v>
          </cell>
          <cell r="P413" t="str">
            <v>270°</v>
          </cell>
          <cell r="R413" t="str">
            <v>-</v>
          </cell>
          <cell r="V413" t="str">
            <v>D+R</v>
          </cell>
          <cell r="X413" t="str">
            <v>CLP HC VG 150 = -40° + 40°</v>
          </cell>
          <cell r="Y413" t="str">
            <v>FH107/GDRN180M4</v>
          </cell>
          <cell r="Z413" t="str">
            <v>SEW</v>
          </cell>
          <cell r="AH413" t="str">
            <v>FH107-270-X</v>
          </cell>
        </row>
        <row r="414">
          <cell r="A414" t="str">
            <v>MR000410</v>
          </cell>
          <cell r="B414" t="str">
            <v>MR</v>
          </cell>
          <cell r="C414">
            <v>9.1999999999999993</v>
          </cell>
          <cell r="D414">
            <v>62</v>
          </cell>
          <cell r="E414" t="str">
            <v>FH87</v>
          </cell>
          <cell r="F414">
            <v>1410</v>
          </cell>
          <cell r="G414">
            <v>23.68</v>
          </cell>
          <cell r="H414">
            <v>2.1</v>
          </cell>
          <cell r="I414" t="str">
            <v>M3</v>
          </cell>
          <cell r="J414" t="str">
            <v>IE3</v>
          </cell>
          <cell r="K414">
            <v>400</v>
          </cell>
          <cell r="L414">
            <v>50</v>
          </cell>
          <cell r="M414">
            <v>18.7</v>
          </cell>
          <cell r="N414">
            <v>55</v>
          </cell>
          <cell r="O414" t="str">
            <v>F</v>
          </cell>
          <cell r="P414" t="str">
            <v>270°</v>
          </cell>
          <cell r="Q414" t="str">
            <v>TF</v>
          </cell>
          <cell r="R414" t="str">
            <v>V</v>
          </cell>
          <cell r="V414" t="str">
            <v>FC</v>
          </cell>
          <cell r="X414" t="str">
            <v>CLP HC VG 150 = -40° + 40°</v>
          </cell>
          <cell r="Y414" t="str">
            <v>FH87/GDRN132L4/TF/V</v>
          </cell>
          <cell r="Z414" t="str">
            <v>SEW</v>
          </cell>
          <cell r="AH414" t="str">
            <v>FH87-270-X#</v>
          </cell>
        </row>
        <row r="415">
          <cell r="A415" t="str">
            <v>MR000411</v>
          </cell>
          <cell r="B415" t="str">
            <v>MR</v>
          </cell>
          <cell r="C415">
            <v>18.5</v>
          </cell>
          <cell r="D415">
            <v>16</v>
          </cell>
          <cell r="E415" t="str">
            <v>KH127</v>
          </cell>
          <cell r="F415">
            <v>10700</v>
          </cell>
          <cell r="G415">
            <v>89.89</v>
          </cell>
          <cell r="H415">
            <v>1.2</v>
          </cell>
          <cell r="I415" t="str">
            <v>From M1B to M2B - 25°</v>
          </cell>
          <cell r="J415" t="str">
            <v>IE3</v>
          </cell>
          <cell r="K415">
            <v>400</v>
          </cell>
          <cell r="L415">
            <v>50</v>
          </cell>
          <cell r="M415">
            <v>33.5</v>
          </cell>
          <cell r="N415">
            <v>55</v>
          </cell>
          <cell r="O415" t="str">
            <v>F</v>
          </cell>
          <cell r="P415" t="str">
            <v>270°</v>
          </cell>
          <cell r="Q415" t="str">
            <v>TF</v>
          </cell>
          <cell r="R415" t="str">
            <v>-</v>
          </cell>
          <cell r="V415" t="str">
            <v>SS</v>
          </cell>
          <cell r="X415" t="str">
            <v>CLP HC VG 150 = -40° + 40°</v>
          </cell>
          <cell r="Y415" t="str">
            <v>KH127DRN180M4/TF</v>
          </cell>
          <cell r="Z415" t="str">
            <v>SEW</v>
          </cell>
          <cell r="AH415" t="str">
            <v>KH127-B270-X</v>
          </cell>
        </row>
        <row r="416">
          <cell r="A416" t="str">
            <v>MR000412</v>
          </cell>
          <cell r="B416" t="str">
            <v>MR</v>
          </cell>
          <cell r="C416">
            <v>15</v>
          </cell>
          <cell r="D416">
            <v>16</v>
          </cell>
          <cell r="E416" t="str">
            <v>KH127</v>
          </cell>
          <cell r="F416">
            <v>8730</v>
          </cell>
          <cell r="G416">
            <v>89.89</v>
          </cell>
          <cell r="H416">
            <v>1.5</v>
          </cell>
          <cell r="I416" t="str">
            <v>From M1B to M2B - 25°</v>
          </cell>
          <cell r="J416" t="str">
            <v>IE3</v>
          </cell>
          <cell r="K416">
            <v>400</v>
          </cell>
          <cell r="L416">
            <v>50</v>
          </cell>
          <cell r="M416">
            <v>29</v>
          </cell>
          <cell r="N416">
            <v>55</v>
          </cell>
          <cell r="O416" t="str">
            <v>F</v>
          </cell>
          <cell r="P416" t="str">
            <v>270°</v>
          </cell>
          <cell r="Q416" t="str">
            <v>TF</v>
          </cell>
          <cell r="R416" t="str">
            <v>-</v>
          </cell>
          <cell r="V416" t="str">
            <v>SS</v>
          </cell>
          <cell r="X416" t="str">
            <v>CLP HC VG 150 = -40° + 40°</v>
          </cell>
          <cell r="Y416" t="str">
            <v>KH127DRN160L4/TF</v>
          </cell>
          <cell r="Z416" t="str">
            <v>SEW</v>
          </cell>
          <cell r="AH416" t="str">
            <v>KH127-B270-X</v>
          </cell>
        </row>
        <row r="417">
          <cell r="A417" t="str">
            <v>MR000413</v>
          </cell>
          <cell r="B417" t="str">
            <v>MR</v>
          </cell>
          <cell r="C417">
            <v>11</v>
          </cell>
          <cell r="D417">
            <v>13</v>
          </cell>
          <cell r="E417" t="str">
            <v>KH127</v>
          </cell>
          <cell r="F417">
            <v>7850</v>
          </cell>
          <cell r="G417">
            <v>110.18</v>
          </cell>
          <cell r="H417">
            <v>1.65</v>
          </cell>
          <cell r="I417" t="str">
            <v>From M1B to M2B - 10°</v>
          </cell>
          <cell r="J417" t="str">
            <v>IE3</v>
          </cell>
          <cell r="K417">
            <v>400</v>
          </cell>
          <cell r="L417">
            <v>50</v>
          </cell>
          <cell r="M417">
            <v>21</v>
          </cell>
          <cell r="N417">
            <v>55</v>
          </cell>
          <cell r="O417" t="str">
            <v>F</v>
          </cell>
          <cell r="P417" t="str">
            <v>270°</v>
          </cell>
          <cell r="Q417" t="str">
            <v>TF</v>
          </cell>
          <cell r="R417" t="str">
            <v>-</v>
          </cell>
          <cell r="V417" t="str">
            <v>SS</v>
          </cell>
          <cell r="X417" t="str">
            <v>CLP HC VG 150 = -40° + 40°</v>
          </cell>
          <cell r="Y417" t="str">
            <v>KH127DRN160M4/TF</v>
          </cell>
          <cell r="Z417" t="str">
            <v>SEW</v>
          </cell>
          <cell r="AH417" t="str">
            <v>KH127-B270-X</v>
          </cell>
        </row>
        <row r="418">
          <cell r="A418" t="str">
            <v>MR000414</v>
          </cell>
          <cell r="B418" t="str">
            <v>MR</v>
          </cell>
          <cell r="C418">
            <v>18.5</v>
          </cell>
          <cell r="D418">
            <v>12</v>
          </cell>
          <cell r="E418" t="str">
            <v>KH157</v>
          </cell>
          <cell r="F418">
            <v>14600</v>
          </cell>
          <cell r="G418">
            <v>122.39</v>
          </cell>
          <cell r="H418">
            <v>1.25</v>
          </cell>
          <cell r="I418" t="str">
            <v>From M1B to M2B - 5°</v>
          </cell>
          <cell r="J418" t="str">
            <v>IE3</v>
          </cell>
          <cell r="K418">
            <v>400</v>
          </cell>
          <cell r="L418">
            <v>50</v>
          </cell>
          <cell r="M418">
            <v>33.5</v>
          </cell>
          <cell r="N418">
            <v>55</v>
          </cell>
          <cell r="O418" t="str">
            <v>F</v>
          </cell>
          <cell r="P418" t="str">
            <v>270°</v>
          </cell>
          <cell r="Q418" t="str">
            <v>TF</v>
          </cell>
          <cell r="R418" t="str">
            <v>-</v>
          </cell>
          <cell r="V418" t="str">
            <v>SS</v>
          </cell>
          <cell r="X418" t="str">
            <v>CLP HC VG 150 = -40° + 40°</v>
          </cell>
          <cell r="Y418" t="str">
            <v>KH157DRN180M4/TF</v>
          </cell>
          <cell r="Z418" t="str">
            <v>SEW</v>
          </cell>
          <cell r="AH418" t="str">
            <v>KH157-B270-X</v>
          </cell>
        </row>
        <row r="419">
          <cell r="A419" t="str">
            <v>MR000415</v>
          </cell>
          <cell r="B419" t="str">
            <v>MR</v>
          </cell>
          <cell r="C419">
            <v>18.5</v>
          </cell>
          <cell r="D419">
            <v>12</v>
          </cell>
          <cell r="E419" t="str">
            <v>KH157</v>
          </cell>
          <cell r="F419">
            <v>14600</v>
          </cell>
          <cell r="G419">
            <v>122.39</v>
          </cell>
          <cell r="H419">
            <v>1.25</v>
          </cell>
          <cell r="I419" t="str">
            <v>From M1A to M2A - 5°</v>
          </cell>
          <cell r="J419" t="str">
            <v>IE3</v>
          </cell>
          <cell r="K419">
            <v>400</v>
          </cell>
          <cell r="L419">
            <v>50</v>
          </cell>
          <cell r="M419">
            <v>33.5</v>
          </cell>
          <cell r="N419">
            <v>55</v>
          </cell>
          <cell r="O419" t="str">
            <v>F</v>
          </cell>
          <cell r="P419" t="str">
            <v>270°</v>
          </cell>
          <cell r="Q419" t="str">
            <v>TF</v>
          </cell>
          <cell r="R419" t="str">
            <v>-</v>
          </cell>
          <cell r="V419" t="str">
            <v>SS</v>
          </cell>
          <cell r="X419" t="str">
            <v>CLP HC VG 150 = -40° + 40°</v>
          </cell>
          <cell r="Y419" t="str">
            <v>KH157DRN180M4/TF</v>
          </cell>
          <cell r="Z419" t="str">
            <v>SEW</v>
          </cell>
          <cell r="AH419" t="str">
            <v>KH157-A270-X</v>
          </cell>
        </row>
        <row r="420">
          <cell r="A420" t="str">
            <v>MR000416</v>
          </cell>
          <cell r="B420" t="str">
            <v>MR</v>
          </cell>
          <cell r="C420">
            <v>5.5</v>
          </cell>
          <cell r="D420">
            <v>14</v>
          </cell>
          <cell r="E420" t="str">
            <v>KH97</v>
          </cell>
          <cell r="F420">
            <v>3770</v>
          </cell>
          <cell r="G420">
            <v>105.13</v>
          </cell>
          <cell r="H420">
            <v>1.1499999999999999</v>
          </cell>
          <cell r="I420" t="str">
            <v>From M1B to M2B - 40°</v>
          </cell>
          <cell r="J420" t="str">
            <v>IE3</v>
          </cell>
          <cell r="K420">
            <v>400</v>
          </cell>
          <cell r="L420">
            <v>50</v>
          </cell>
          <cell r="M420">
            <v>10.5</v>
          </cell>
          <cell r="N420">
            <v>55</v>
          </cell>
          <cell r="O420" t="str">
            <v>F</v>
          </cell>
          <cell r="P420" t="str">
            <v>270°</v>
          </cell>
          <cell r="Q420" t="str">
            <v>TF</v>
          </cell>
          <cell r="R420" t="str">
            <v>-</v>
          </cell>
          <cell r="V420" t="str">
            <v>SS</v>
          </cell>
          <cell r="X420" t="str">
            <v>CLP HC VG 150 = -40° + 40°</v>
          </cell>
          <cell r="Y420" t="str">
            <v>KH97DRN132S4/TF</v>
          </cell>
          <cell r="Z420" t="str">
            <v>SEW</v>
          </cell>
          <cell r="AH420" t="str">
            <v>KH97-B270-X</v>
          </cell>
        </row>
        <row r="421">
          <cell r="A421" t="str">
            <v>MR000417</v>
          </cell>
          <cell r="B421" t="str">
            <v>MR</v>
          </cell>
          <cell r="C421">
            <v>15</v>
          </cell>
          <cell r="D421">
            <v>12</v>
          </cell>
          <cell r="E421" t="str">
            <v>KH157</v>
          </cell>
          <cell r="F421">
            <v>11800</v>
          </cell>
          <cell r="G421">
            <v>122.39</v>
          </cell>
          <cell r="H421">
            <v>1.5</v>
          </cell>
          <cell r="I421" t="str">
            <v>From M1B to M2B - 5°</v>
          </cell>
          <cell r="J421" t="str">
            <v>IE3</v>
          </cell>
          <cell r="K421">
            <v>400</v>
          </cell>
          <cell r="L421">
            <v>50</v>
          </cell>
          <cell r="M421">
            <v>29</v>
          </cell>
          <cell r="N421">
            <v>55</v>
          </cell>
          <cell r="O421" t="str">
            <v>F</v>
          </cell>
          <cell r="P421" t="str">
            <v>270°</v>
          </cell>
          <cell r="Q421" t="str">
            <v>TF</v>
          </cell>
          <cell r="R421" t="str">
            <v>-</v>
          </cell>
          <cell r="V421" t="str">
            <v>SS</v>
          </cell>
          <cell r="X421" t="str">
            <v>CLP HC VG 150 = -40° + 40°</v>
          </cell>
          <cell r="Y421" t="str">
            <v>KH157DRN160L4/TF</v>
          </cell>
          <cell r="Z421" t="str">
            <v>SEW</v>
          </cell>
          <cell r="AH421" t="str">
            <v>KH157-B270-X</v>
          </cell>
        </row>
        <row r="422">
          <cell r="A422" t="str">
            <v>MR000418</v>
          </cell>
          <cell r="B422" t="str">
            <v>MR</v>
          </cell>
          <cell r="C422">
            <v>15</v>
          </cell>
          <cell r="D422">
            <v>12</v>
          </cell>
          <cell r="E422" t="str">
            <v>KH157</v>
          </cell>
          <cell r="F422">
            <v>11800</v>
          </cell>
          <cell r="G422">
            <v>122.39</v>
          </cell>
          <cell r="H422">
            <v>1.5</v>
          </cell>
          <cell r="I422" t="str">
            <v>From M1A to M2A - 5°</v>
          </cell>
          <cell r="J422" t="str">
            <v>IE3</v>
          </cell>
          <cell r="K422">
            <v>400</v>
          </cell>
          <cell r="L422">
            <v>50</v>
          </cell>
          <cell r="M422">
            <v>29</v>
          </cell>
          <cell r="N422">
            <v>55</v>
          </cell>
          <cell r="O422" t="str">
            <v>F</v>
          </cell>
          <cell r="P422" t="str">
            <v>270°</v>
          </cell>
          <cell r="Q422" t="str">
            <v>TF</v>
          </cell>
          <cell r="R422" t="str">
            <v>-</v>
          </cell>
          <cell r="V422" t="str">
            <v>SS</v>
          </cell>
          <cell r="X422" t="str">
            <v>CLP HC VG 150 = -40° + 40°</v>
          </cell>
          <cell r="Y422" t="str">
            <v>KH157DRN160L4/TF</v>
          </cell>
          <cell r="Z422" t="str">
            <v>SEW</v>
          </cell>
          <cell r="AH422" t="str">
            <v>KH157-A270-X</v>
          </cell>
        </row>
        <row r="423">
          <cell r="A423" t="str">
            <v>MR000419</v>
          </cell>
          <cell r="B423" t="str">
            <v>MR</v>
          </cell>
          <cell r="C423">
            <v>5.5</v>
          </cell>
          <cell r="D423">
            <v>14</v>
          </cell>
          <cell r="E423" t="str">
            <v>KH97</v>
          </cell>
          <cell r="F423">
            <v>3770</v>
          </cell>
          <cell r="G423">
            <v>105.13</v>
          </cell>
          <cell r="H423">
            <v>1.1499999999999999</v>
          </cell>
          <cell r="I423" t="str">
            <v>From M1A to M2A - 40°</v>
          </cell>
          <cell r="J423" t="str">
            <v>IE3</v>
          </cell>
          <cell r="K423">
            <v>400</v>
          </cell>
          <cell r="L423">
            <v>50</v>
          </cell>
          <cell r="M423">
            <v>10.5</v>
          </cell>
          <cell r="N423">
            <v>55</v>
          </cell>
          <cell r="O423" t="str">
            <v>F</v>
          </cell>
          <cell r="P423" t="str">
            <v>270°</v>
          </cell>
          <cell r="Q423" t="str">
            <v>TF</v>
          </cell>
          <cell r="R423" t="str">
            <v>-</v>
          </cell>
          <cell r="V423" t="str">
            <v>SS</v>
          </cell>
          <cell r="X423" t="str">
            <v>CLP HC VG 150 = -40° + 40°</v>
          </cell>
          <cell r="Y423" t="str">
            <v>KH97DRN132S4/TF</v>
          </cell>
          <cell r="Z423" t="str">
            <v>SEW</v>
          </cell>
          <cell r="AH423" t="str">
            <v>KH97-A270-X</v>
          </cell>
        </row>
        <row r="424">
          <cell r="A424" t="str">
            <v>MR000420</v>
          </cell>
          <cell r="B424" t="str">
            <v>MR</v>
          </cell>
          <cell r="C424">
            <v>11</v>
          </cell>
          <cell r="D424">
            <v>15</v>
          </cell>
          <cell r="E424" t="str">
            <v>KH107</v>
          </cell>
          <cell r="F424">
            <v>7180</v>
          </cell>
          <cell r="G424">
            <v>100.75</v>
          </cell>
          <cell r="H424">
            <v>1.1000000000000001</v>
          </cell>
          <cell r="I424" t="str">
            <v>From M1B to M2B - 10°</v>
          </cell>
          <cell r="J424" t="str">
            <v>IE3</v>
          </cell>
          <cell r="K424">
            <v>400</v>
          </cell>
          <cell r="L424">
            <v>50</v>
          </cell>
          <cell r="M424">
            <v>21</v>
          </cell>
          <cell r="N424">
            <v>55</v>
          </cell>
          <cell r="O424" t="str">
            <v>F</v>
          </cell>
          <cell r="P424" t="str">
            <v>270°</v>
          </cell>
          <cell r="Q424" t="str">
            <v>TF</v>
          </cell>
          <cell r="R424" t="str">
            <v>-</v>
          </cell>
          <cell r="V424" t="str">
            <v>SS</v>
          </cell>
          <cell r="X424" t="str">
            <v>CLP HC VG 150 = -40° + 40°</v>
          </cell>
          <cell r="Y424" t="str">
            <v>KH107DRN160M4/TF</v>
          </cell>
          <cell r="Z424" t="str">
            <v>SEW</v>
          </cell>
          <cell r="AH424" t="str">
            <v>KH107-B270-X</v>
          </cell>
        </row>
        <row r="425">
          <cell r="A425" t="str">
            <v>MR000421</v>
          </cell>
          <cell r="B425" t="str">
            <v>MR</v>
          </cell>
          <cell r="C425">
            <v>18.5</v>
          </cell>
          <cell r="D425">
            <v>16</v>
          </cell>
          <cell r="E425" t="str">
            <v>KH127</v>
          </cell>
          <cell r="F425">
            <v>10700</v>
          </cell>
          <cell r="G425">
            <v>89.89</v>
          </cell>
          <cell r="H425">
            <v>1.2</v>
          </cell>
          <cell r="I425" t="str">
            <v>From M1A to M2A - 15°</v>
          </cell>
          <cell r="J425" t="str">
            <v>IE3</v>
          </cell>
          <cell r="K425">
            <v>400</v>
          </cell>
          <cell r="L425">
            <v>50</v>
          </cell>
          <cell r="M425">
            <v>33.5</v>
          </cell>
          <cell r="N425">
            <v>55</v>
          </cell>
          <cell r="O425" t="str">
            <v>F</v>
          </cell>
          <cell r="P425" t="str">
            <v>270°</v>
          </cell>
          <cell r="Q425" t="str">
            <v>TF</v>
          </cell>
          <cell r="R425" t="str">
            <v>-</v>
          </cell>
          <cell r="V425" t="str">
            <v>SS</v>
          </cell>
          <cell r="X425" t="str">
            <v>CLP HC VG 150 = -40° + 40°</v>
          </cell>
          <cell r="Y425" t="str">
            <v>KH127DRN180M4/TF</v>
          </cell>
          <cell r="Z425" t="str">
            <v>SEW</v>
          </cell>
          <cell r="AH425" t="str">
            <v>KH127-A270-X</v>
          </cell>
        </row>
        <row r="426">
          <cell r="A426" t="str">
            <v>MR000422</v>
          </cell>
          <cell r="B426" t="str">
            <v>MR</v>
          </cell>
          <cell r="C426">
            <v>5.5</v>
          </cell>
          <cell r="D426">
            <v>14</v>
          </cell>
          <cell r="E426" t="str">
            <v>KH97</v>
          </cell>
          <cell r="F426">
            <v>3770</v>
          </cell>
          <cell r="G426">
            <v>105.13</v>
          </cell>
          <cell r="H426">
            <v>1.1499999999999999</v>
          </cell>
          <cell r="I426" t="str">
            <v>From M1B to M2B - 5°</v>
          </cell>
          <cell r="J426" t="str">
            <v>IE3</v>
          </cell>
          <cell r="K426">
            <v>400</v>
          </cell>
          <cell r="L426">
            <v>50</v>
          </cell>
          <cell r="M426">
            <v>10.5</v>
          </cell>
          <cell r="N426">
            <v>55</v>
          </cell>
          <cell r="O426" t="str">
            <v>F</v>
          </cell>
          <cell r="P426" t="str">
            <v>270°</v>
          </cell>
          <cell r="Q426" t="str">
            <v>TF</v>
          </cell>
          <cell r="R426" t="str">
            <v>-</v>
          </cell>
          <cell r="V426" t="str">
            <v>SS</v>
          </cell>
          <cell r="X426" t="str">
            <v>CLP HC VG 150 = -40° + 40°</v>
          </cell>
          <cell r="Y426" t="str">
            <v>KH97DRN132S4/TF</v>
          </cell>
          <cell r="Z426" t="str">
            <v>SEW</v>
          </cell>
          <cell r="AH426" t="str">
            <v>KH97-B270-X</v>
          </cell>
        </row>
        <row r="427">
          <cell r="A427" t="str">
            <v>MR000423</v>
          </cell>
          <cell r="B427" t="str">
            <v>MR</v>
          </cell>
          <cell r="C427">
            <v>18.5</v>
          </cell>
          <cell r="D427">
            <v>16</v>
          </cell>
          <cell r="E427" t="str">
            <v>KH127</v>
          </cell>
          <cell r="F427">
            <v>10700</v>
          </cell>
          <cell r="G427">
            <v>89.89</v>
          </cell>
          <cell r="H427">
            <v>1.2</v>
          </cell>
          <cell r="I427" t="str">
            <v>From M1B to M2B - 15°</v>
          </cell>
          <cell r="J427" t="str">
            <v>IE3</v>
          </cell>
          <cell r="K427">
            <v>400</v>
          </cell>
          <cell r="L427">
            <v>50</v>
          </cell>
          <cell r="M427">
            <v>33.5</v>
          </cell>
          <cell r="N427">
            <v>55</v>
          </cell>
          <cell r="O427" t="str">
            <v>F</v>
          </cell>
          <cell r="P427" t="str">
            <v>270°</v>
          </cell>
          <cell r="Q427" t="str">
            <v>TF</v>
          </cell>
          <cell r="R427" t="str">
            <v>-</v>
          </cell>
          <cell r="V427" t="str">
            <v>SS</v>
          </cell>
          <cell r="X427" t="str">
            <v>CLP HC VG 150 = -40° + 40°</v>
          </cell>
          <cell r="Y427" t="str">
            <v>KH127DRN180M4/TF</v>
          </cell>
          <cell r="Z427" t="str">
            <v>SEW</v>
          </cell>
          <cell r="AH427" t="str">
            <v>KH127-B270-X</v>
          </cell>
        </row>
        <row r="428">
          <cell r="A428" t="str">
            <v>MR000424</v>
          </cell>
          <cell r="B428" t="str">
            <v>MR</v>
          </cell>
          <cell r="C428">
            <v>5.5</v>
          </cell>
          <cell r="D428">
            <v>14</v>
          </cell>
          <cell r="E428" t="str">
            <v>KH97</v>
          </cell>
          <cell r="F428">
            <v>3770</v>
          </cell>
          <cell r="G428">
            <v>105.13</v>
          </cell>
          <cell r="H428">
            <v>1.1499999999999999</v>
          </cell>
          <cell r="I428" t="str">
            <v>From M1B to M2B - 20°</v>
          </cell>
          <cell r="J428" t="str">
            <v>IE3</v>
          </cell>
          <cell r="K428">
            <v>400</v>
          </cell>
          <cell r="L428">
            <v>50</v>
          </cell>
          <cell r="M428">
            <v>10.5</v>
          </cell>
          <cell r="N428">
            <v>55</v>
          </cell>
          <cell r="O428" t="str">
            <v>F</v>
          </cell>
          <cell r="P428" t="str">
            <v>270°</v>
          </cell>
          <cell r="Q428" t="str">
            <v>TF</v>
          </cell>
          <cell r="R428" t="str">
            <v>-</v>
          </cell>
          <cell r="V428" t="str">
            <v>SS</v>
          </cell>
          <cell r="X428" t="str">
            <v>CLP HC VG 150 = -40° + 40°</v>
          </cell>
          <cell r="Y428" t="str">
            <v>KH97DRN132S4/TF</v>
          </cell>
          <cell r="Z428" t="str">
            <v>SEW</v>
          </cell>
          <cell r="AH428" t="str">
            <v>KH97-B270-X</v>
          </cell>
        </row>
        <row r="429">
          <cell r="A429" t="str">
            <v>MR000425</v>
          </cell>
          <cell r="B429" t="str">
            <v>MR</v>
          </cell>
          <cell r="C429">
            <v>5.5</v>
          </cell>
          <cell r="D429">
            <v>14</v>
          </cell>
          <cell r="E429" t="str">
            <v>KH97</v>
          </cell>
          <cell r="F429">
            <v>3770</v>
          </cell>
          <cell r="G429">
            <v>105.13</v>
          </cell>
          <cell r="H429">
            <v>1.1499999999999999</v>
          </cell>
          <cell r="I429" t="str">
            <v>From M1A to M2A - 20°</v>
          </cell>
          <cell r="J429" t="str">
            <v>IE3</v>
          </cell>
          <cell r="K429">
            <v>400</v>
          </cell>
          <cell r="L429">
            <v>50</v>
          </cell>
          <cell r="M429">
            <v>10.5</v>
          </cell>
          <cell r="N429">
            <v>55</v>
          </cell>
          <cell r="O429" t="str">
            <v>F</v>
          </cell>
          <cell r="P429" t="str">
            <v>270°</v>
          </cell>
          <cell r="Q429" t="str">
            <v>TF</v>
          </cell>
          <cell r="R429" t="str">
            <v>-</v>
          </cell>
          <cell r="V429" t="str">
            <v>SS</v>
          </cell>
          <cell r="X429" t="str">
            <v>CLP HC VG 150 = -40° + 40°</v>
          </cell>
          <cell r="Y429" t="str">
            <v>KH97DRN132S4/TF</v>
          </cell>
          <cell r="Z429" t="str">
            <v>SEW</v>
          </cell>
          <cell r="AH429" t="str">
            <v>KH97-A270-X</v>
          </cell>
        </row>
        <row r="430">
          <cell r="A430" t="str">
            <v>MR000426</v>
          </cell>
          <cell r="B430" t="str">
            <v>MR</v>
          </cell>
          <cell r="C430">
            <v>5.5</v>
          </cell>
          <cell r="D430">
            <v>14</v>
          </cell>
          <cell r="E430" t="str">
            <v>KH97</v>
          </cell>
          <cell r="F430">
            <v>3770</v>
          </cell>
          <cell r="G430">
            <v>105.13</v>
          </cell>
          <cell r="H430">
            <v>1.1499999999999999</v>
          </cell>
          <cell r="I430" t="str">
            <v>M1A</v>
          </cell>
          <cell r="J430" t="str">
            <v>IE3</v>
          </cell>
          <cell r="K430">
            <v>400</v>
          </cell>
          <cell r="L430">
            <v>50</v>
          </cell>
          <cell r="M430">
            <v>10.5</v>
          </cell>
          <cell r="N430">
            <v>55</v>
          </cell>
          <cell r="O430" t="str">
            <v>F</v>
          </cell>
          <cell r="P430" t="str">
            <v>270°</v>
          </cell>
          <cell r="Q430" t="str">
            <v>TF</v>
          </cell>
          <cell r="R430" t="str">
            <v>-</v>
          </cell>
          <cell r="V430" t="str">
            <v>SS</v>
          </cell>
          <cell r="X430" t="str">
            <v>CLP HC VG 150 = -40° + 40°</v>
          </cell>
          <cell r="Y430" t="str">
            <v>KH97DRN132S4/TF</v>
          </cell>
          <cell r="Z430" t="str">
            <v>SEW</v>
          </cell>
          <cell r="AH430" t="str">
            <v>KH97-A270-X</v>
          </cell>
        </row>
        <row r="431">
          <cell r="A431" t="str">
            <v>MR000427</v>
          </cell>
          <cell r="B431" t="str">
            <v>MR</v>
          </cell>
          <cell r="C431">
            <v>5.5</v>
          </cell>
          <cell r="D431">
            <v>14</v>
          </cell>
          <cell r="E431" t="str">
            <v>KH97</v>
          </cell>
          <cell r="F431">
            <v>3770</v>
          </cell>
          <cell r="G431">
            <v>105.13</v>
          </cell>
          <cell r="H431">
            <v>1.1499999999999999</v>
          </cell>
          <cell r="I431" t="str">
            <v>M1B</v>
          </cell>
          <cell r="J431" t="str">
            <v>IE3</v>
          </cell>
          <cell r="K431">
            <v>400</v>
          </cell>
          <cell r="L431">
            <v>50</v>
          </cell>
          <cell r="M431">
            <v>10.5</v>
          </cell>
          <cell r="N431">
            <v>55</v>
          </cell>
          <cell r="O431" t="str">
            <v>F</v>
          </cell>
          <cell r="P431" t="str">
            <v>270°</v>
          </cell>
          <cell r="Q431" t="str">
            <v>TF</v>
          </cell>
          <cell r="R431" t="str">
            <v>-</v>
          </cell>
          <cell r="V431" t="str">
            <v>SS</v>
          </cell>
          <cell r="X431" t="str">
            <v>CLP HC VG 150 = -40° + 40°</v>
          </cell>
          <cell r="Y431" t="str">
            <v>KH97DRN132S4/TF</v>
          </cell>
          <cell r="Z431" t="str">
            <v>SEW</v>
          </cell>
          <cell r="AH431" t="str">
            <v>KH97-B270-X</v>
          </cell>
        </row>
        <row r="432">
          <cell r="A432" t="str">
            <v>MR000428</v>
          </cell>
          <cell r="B432" t="str">
            <v>MR</v>
          </cell>
          <cell r="C432">
            <v>15</v>
          </cell>
          <cell r="D432">
            <v>9.8000000000000007</v>
          </cell>
          <cell r="E432" t="str">
            <v>KH157</v>
          </cell>
          <cell r="F432">
            <v>14600</v>
          </cell>
          <cell r="G432">
            <v>150.41</v>
          </cell>
          <cell r="H432">
            <v>1.25</v>
          </cell>
          <cell r="I432" t="str">
            <v>From M1B to M2B - 15°</v>
          </cell>
          <cell r="J432" t="str">
            <v>IE3</v>
          </cell>
          <cell r="K432">
            <v>400</v>
          </cell>
          <cell r="L432">
            <v>50</v>
          </cell>
          <cell r="M432">
            <v>29</v>
          </cell>
          <cell r="N432">
            <v>55</v>
          </cell>
          <cell r="O432" t="str">
            <v>F</v>
          </cell>
          <cell r="P432" t="str">
            <v>270°</v>
          </cell>
          <cell r="Q432" t="str">
            <v>TF</v>
          </cell>
          <cell r="R432" t="str">
            <v>-</v>
          </cell>
          <cell r="V432" t="str">
            <v>SS</v>
          </cell>
          <cell r="X432" t="str">
            <v>CLP HC VG 150 = -40° + 40°</v>
          </cell>
          <cell r="Y432" t="str">
            <v>KH157DRN160L4/TF</v>
          </cell>
          <cell r="Z432" t="str">
            <v>SEW</v>
          </cell>
          <cell r="AH432" t="str">
            <v>KH157-B270-X</v>
          </cell>
        </row>
        <row r="433">
          <cell r="A433" t="str">
            <v>MR000429</v>
          </cell>
          <cell r="B433" t="str">
            <v>MR</v>
          </cell>
          <cell r="C433">
            <v>15</v>
          </cell>
          <cell r="D433">
            <v>9.8000000000000007</v>
          </cell>
          <cell r="E433" t="str">
            <v>KH157</v>
          </cell>
          <cell r="F433">
            <v>14600</v>
          </cell>
          <cell r="G433">
            <v>150.41</v>
          </cell>
          <cell r="H433">
            <v>1.25</v>
          </cell>
          <cell r="I433" t="str">
            <v>From M1A to M2A - 15°</v>
          </cell>
          <cell r="J433" t="str">
            <v>IE3</v>
          </cell>
          <cell r="K433">
            <v>400</v>
          </cell>
          <cell r="L433">
            <v>50</v>
          </cell>
          <cell r="M433">
            <v>29</v>
          </cell>
          <cell r="N433">
            <v>55</v>
          </cell>
          <cell r="O433" t="str">
            <v>F</v>
          </cell>
          <cell r="P433" t="str">
            <v>270°</v>
          </cell>
          <cell r="Q433" t="str">
            <v>TF</v>
          </cell>
          <cell r="R433" t="str">
            <v>-</v>
          </cell>
          <cell r="V433" t="str">
            <v>SS</v>
          </cell>
          <cell r="X433" t="str">
            <v>CLP HC VG 150 = -40° + 40°</v>
          </cell>
          <cell r="Y433" t="str">
            <v>KH157DRN160L4/TF</v>
          </cell>
          <cell r="Z433" t="str">
            <v>SEW</v>
          </cell>
          <cell r="AH433" t="str">
            <v>KH157-A270-X</v>
          </cell>
        </row>
        <row r="434">
          <cell r="A434" t="str">
            <v>MR000430</v>
          </cell>
          <cell r="B434" t="str">
            <v>MR</v>
          </cell>
          <cell r="C434">
            <v>15</v>
          </cell>
          <cell r="D434">
            <v>9.8000000000000007</v>
          </cell>
          <cell r="E434" t="str">
            <v>KH157</v>
          </cell>
          <cell r="F434">
            <v>14600</v>
          </cell>
          <cell r="G434">
            <v>150.41</v>
          </cell>
          <cell r="H434">
            <v>1.25</v>
          </cell>
          <cell r="I434" t="str">
            <v>From M1B to M2B - 30°</v>
          </cell>
          <cell r="J434" t="str">
            <v>IE3</v>
          </cell>
          <cell r="K434">
            <v>400</v>
          </cell>
          <cell r="L434">
            <v>50</v>
          </cell>
          <cell r="M434">
            <v>29</v>
          </cell>
          <cell r="N434">
            <v>55</v>
          </cell>
          <cell r="O434" t="str">
            <v>F</v>
          </cell>
          <cell r="P434" t="str">
            <v>270°</v>
          </cell>
          <cell r="Q434" t="str">
            <v>TF</v>
          </cell>
          <cell r="R434" t="str">
            <v>-</v>
          </cell>
          <cell r="V434" t="str">
            <v>SS</v>
          </cell>
          <cell r="X434" t="str">
            <v>CLP HC VG 150 = -40° + 40°</v>
          </cell>
          <cell r="Y434" t="str">
            <v>KH157DRN160L4/TF</v>
          </cell>
          <cell r="Z434" t="str">
            <v>SEW</v>
          </cell>
          <cell r="AH434" t="str">
            <v>KH157-B270-X</v>
          </cell>
        </row>
        <row r="435">
          <cell r="A435" t="str">
            <v>MR000431</v>
          </cell>
          <cell r="B435" t="str">
            <v>MR</v>
          </cell>
          <cell r="C435">
            <v>15</v>
          </cell>
          <cell r="D435">
            <v>9.8000000000000007</v>
          </cell>
          <cell r="E435" t="str">
            <v>KH157</v>
          </cell>
          <cell r="F435">
            <v>14600</v>
          </cell>
          <cell r="G435">
            <v>150.41</v>
          </cell>
          <cell r="H435">
            <v>1.25</v>
          </cell>
          <cell r="I435" t="str">
            <v>From M1A to M2A - 35°</v>
          </cell>
          <cell r="J435" t="str">
            <v>IE3</v>
          </cell>
          <cell r="K435">
            <v>400</v>
          </cell>
          <cell r="L435">
            <v>50</v>
          </cell>
          <cell r="M435">
            <v>29</v>
          </cell>
          <cell r="N435">
            <v>55</v>
          </cell>
          <cell r="O435" t="str">
            <v>F</v>
          </cell>
          <cell r="P435" t="str">
            <v>270°</v>
          </cell>
          <cell r="Q435" t="str">
            <v>TF</v>
          </cell>
          <cell r="R435" t="str">
            <v>-</v>
          </cell>
          <cell r="V435" t="str">
            <v>SS</v>
          </cell>
          <cell r="X435" t="str">
            <v>CLP HC VG 150 = -40° + 40°</v>
          </cell>
          <cell r="Y435" t="str">
            <v>KH157DRN160L4/TF</v>
          </cell>
          <cell r="Z435" t="str">
            <v>SEW</v>
          </cell>
          <cell r="AH435" t="str">
            <v>KH157-A270-X</v>
          </cell>
        </row>
        <row r="436">
          <cell r="A436" t="str">
            <v>MR000432</v>
          </cell>
          <cell r="B436" t="str">
            <v>MR</v>
          </cell>
          <cell r="C436">
            <v>18.5</v>
          </cell>
          <cell r="D436">
            <v>12</v>
          </cell>
          <cell r="E436" t="str">
            <v>KH157</v>
          </cell>
          <cell r="F436">
            <v>14600</v>
          </cell>
          <cell r="G436">
            <v>122.39</v>
          </cell>
          <cell r="H436">
            <v>1.25</v>
          </cell>
          <cell r="I436" t="str">
            <v>From M1A to M2A - 30°</v>
          </cell>
          <cell r="J436" t="str">
            <v>IE3</v>
          </cell>
          <cell r="K436">
            <v>400</v>
          </cell>
          <cell r="L436">
            <v>50</v>
          </cell>
          <cell r="M436">
            <v>33.5</v>
          </cell>
          <cell r="N436">
            <v>55</v>
          </cell>
          <cell r="O436" t="str">
            <v>F</v>
          </cell>
          <cell r="P436" t="str">
            <v>270°</v>
          </cell>
          <cell r="Q436" t="str">
            <v>TF</v>
          </cell>
          <cell r="R436" t="str">
            <v>-</v>
          </cell>
          <cell r="V436" t="str">
            <v>SS</v>
          </cell>
          <cell r="X436" t="str">
            <v>CLP HC VG 150 = -40° + 40°</v>
          </cell>
          <cell r="Y436" t="str">
            <v>KH157DRN180M4/TF</v>
          </cell>
          <cell r="Z436" t="str">
            <v>SEW</v>
          </cell>
          <cell r="AH436" t="str">
            <v>KH157-A270-X</v>
          </cell>
        </row>
        <row r="437">
          <cell r="A437" t="str">
            <v>MR000433</v>
          </cell>
          <cell r="B437" t="str">
            <v>MR</v>
          </cell>
          <cell r="C437">
            <v>15</v>
          </cell>
          <cell r="D437">
            <v>12</v>
          </cell>
          <cell r="E437" t="str">
            <v>KH157</v>
          </cell>
          <cell r="F437">
            <v>11800</v>
          </cell>
          <cell r="G437">
            <v>122.39</v>
          </cell>
          <cell r="H437">
            <v>1.5</v>
          </cell>
          <cell r="I437" t="str">
            <v>From M1B to M2B - 45°</v>
          </cell>
          <cell r="J437" t="str">
            <v>IE3</v>
          </cell>
          <cell r="K437">
            <v>400</v>
          </cell>
          <cell r="L437">
            <v>50</v>
          </cell>
          <cell r="M437">
            <v>29</v>
          </cell>
          <cell r="N437">
            <v>55</v>
          </cell>
          <cell r="O437" t="str">
            <v>F</v>
          </cell>
          <cell r="P437" t="str">
            <v>270°</v>
          </cell>
          <cell r="Q437" t="str">
            <v>TF</v>
          </cell>
          <cell r="R437" t="str">
            <v>-</v>
          </cell>
          <cell r="V437" t="str">
            <v>SS</v>
          </cell>
          <cell r="X437" t="str">
            <v>CLP HC VG 150 = -40° + 40°</v>
          </cell>
          <cell r="Y437" t="str">
            <v>KH157DRN160L4/TF</v>
          </cell>
          <cell r="Z437" t="str">
            <v>SEW</v>
          </cell>
          <cell r="AH437" t="str">
            <v>KH157-B270-X</v>
          </cell>
        </row>
        <row r="438">
          <cell r="A438" t="str">
            <v>MR000434</v>
          </cell>
          <cell r="B438" t="str">
            <v>MR</v>
          </cell>
          <cell r="C438">
            <v>7.5</v>
          </cell>
          <cell r="D438">
            <v>15</v>
          </cell>
          <cell r="E438" t="str">
            <v>KH107</v>
          </cell>
          <cell r="F438">
            <v>4910</v>
          </cell>
          <cell r="G438">
            <v>100.75</v>
          </cell>
          <cell r="H438">
            <v>1.65</v>
          </cell>
          <cell r="I438" t="str">
            <v>From M1B to M2B - 30°</v>
          </cell>
          <cell r="J438" t="str">
            <v>IE3</v>
          </cell>
          <cell r="K438">
            <v>400</v>
          </cell>
          <cell r="L438">
            <v>50</v>
          </cell>
          <cell r="M438">
            <v>15.2</v>
          </cell>
          <cell r="N438">
            <v>55</v>
          </cell>
          <cell r="O438" t="str">
            <v>F</v>
          </cell>
          <cell r="P438" t="str">
            <v>270°</v>
          </cell>
          <cell r="Q438" t="str">
            <v>TF</v>
          </cell>
          <cell r="R438" t="str">
            <v>-</v>
          </cell>
          <cell r="V438" t="str">
            <v>SS</v>
          </cell>
          <cell r="X438" t="str">
            <v>CLP HC VG 150 = -40° + 40°</v>
          </cell>
          <cell r="Y438" t="str">
            <v>KH107DRN132M4/TF</v>
          </cell>
          <cell r="Z438" t="str">
            <v>SEW</v>
          </cell>
          <cell r="AH438" t="str">
            <v>KH107-B270-X</v>
          </cell>
        </row>
        <row r="439">
          <cell r="A439" t="str">
            <v>MR000435</v>
          </cell>
          <cell r="B439" t="str">
            <v>MR</v>
          </cell>
          <cell r="C439">
            <v>22</v>
          </cell>
          <cell r="D439">
            <v>15</v>
          </cell>
          <cell r="E439" t="str">
            <v>KH157</v>
          </cell>
          <cell r="F439">
            <v>14200</v>
          </cell>
          <cell r="G439">
            <v>100.22</v>
          </cell>
          <cell r="H439">
            <v>1.25</v>
          </cell>
          <cell r="I439" t="str">
            <v>From M1A to M2A - 10°</v>
          </cell>
          <cell r="J439" t="str">
            <v>IE3</v>
          </cell>
          <cell r="K439">
            <v>400</v>
          </cell>
          <cell r="L439">
            <v>50</v>
          </cell>
          <cell r="M439">
            <v>38.5</v>
          </cell>
          <cell r="N439">
            <v>55</v>
          </cell>
          <cell r="O439" t="str">
            <v>F</v>
          </cell>
          <cell r="P439" t="str">
            <v>270°</v>
          </cell>
          <cell r="Q439" t="str">
            <v>TF</v>
          </cell>
          <cell r="R439" t="str">
            <v>-</v>
          </cell>
          <cell r="V439" t="str">
            <v>SS</v>
          </cell>
          <cell r="X439" t="str">
            <v>CLP HC VG 150 = -40° + 40°</v>
          </cell>
          <cell r="Y439" t="str">
            <v>KH157DRN180L4/TF</v>
          </cell>
          <cell r="Z439" t="str">
            <v>SEW</v>
          </cell>
          <cell r="AH439" t="str">
            <v>KH157-A270-X</v>
          </cell>
        </row>
        <row r="440">
          <cell r="A440" t="str">
            <v>MR000436</v>
          </cell>
          <cell r="B440" t="str">
            <v>MR</v>
          </cell>
          <cell r="C440">
            <v>15</v>
          </cell>
          <cell r="D440">
            <v>13</v>
          </cell>
          <cell r="E440" t="str">
            <v>KH127</v>
          </cell>
          <cell r="F440">
            <v>10700</v>
          </cell>
          <cell r="G440">
            <v>110.18</v>
          </cell>
          <cell r="H440">
            <v>1.2</v>
          </cell>
          <cell r="I440" t="str">
            <v>From M1B to M2B - 30°</v>
          </cell>
          <cell r="J440" t="str">
            <v>IE3</v>
          </cell>
          <cell r="K440">
            <v>400</v>
          </cell>
          <cell r="L440">
            <v>50</v>
          </cell>
          <cell r="M440">
            <v>29</v>
          </cell>
          <cell r="N440">
            <v>55</v>
          </cell>
          <cell r="O440" t="str">
            <v>F</v>
          </cell>
          <cell r="P440" t="str">
            <v>270°</v>
          </cell>
          <cell r="Q440" t="str">
            <v>TF</v>
          </cell>
          <cell r="R440" t="str">
            <v>-</v>
          </cell>
          <cell r="V440" t="str">
            <v>SS</v>
          </cell>
          <cell r="X440" t="str">
            <v>CLP HC VG 150 = -40° + 40°</v>
          </cell>
          <cell r="Y440" t="str">
            <v>KH127DRN160L4/TF</v>
          </cell>
          <cell r="Z440" t="str">
            <v>SEW</v>
          </cell>
          <cell r="AH440" t="str">
            <v>KH127-B270-X</v>
          </cell>
        </row>
        <row r="441">
          <cell r="A441" t="str">
            <v>MR000437</v>
          </cell>
          <cell r="B441" t="str">
            <v>MR</v>
          </cell>
          <cell r="C441">
            <v>15</v>
          </cell>
          <cell r="D441">
            <v>13</v>
          </cell>
          <cell r="E441" t="str">
            <v>KH127</v>
          </cell>
          <cell r="F441">
            <v>10700</v>
          </cell>
          <cell r="G441">
            <v>110.18</v>
          </cell>
          <cell r="H441">
            <v>1.2</v>
          </cell>
          <cell r="I441" t="str">
            <v>From M1A to M2A - 30°</v>
          </cell>
          <cell r="J441" t="str">
            <v>IE3</v>
          </cell>
          <cell r="K441">
            <v>400</v>
          </cell>
          <cell r="L441">
            <v>50</v>
          </cell>
          <cell r="M441">
            <v>29</v>
          </cell>
          <cell r="N441">
            <v>55</v>
          </cell>
          <cell r="O441" t="str">
            <v>F</v>
          </cell>
          <cell r="P441" t="str">
            <v>270°</v>
          </cell>
          <cell r="Q441" t="str">
            <v>TF</v>
          </cell>
          <cell r="R441" t="str">
            <v>-</v>
          </cell>
          <cell r="V441" t="str">
            <v>SS</v>
          </cell>
          <cell r="X441" t="str">
            <v>CLP HC VG 150 = -40° + 40°</v>
          </cell>
          <cell r="Y441" t="str">
            <v>KH127DRN160L4/TF</v>
          </cell>
          <cell r="Z441" t="str">
            <v>SEW</v>
          </cell>
          <cell r="AH441" t="str">
            <v>KH127-A270-X</v>
          </cell>
        </row>
        <row r="442">
          <cell r="A442" t="str">
            <v>MR000438</v>
          </cell>
          <cell r="B442" t="str">
            <v>MR</v>
          </cell>
          <cell r="C442">
            <v>5.5</v>
          </cell>
          <cell r="D442">
            <v>14</v>
          </cell>
          <cell r="E442" t="str">
            <v>KH97</v>
          </cell>
          <cell r="F442">
            <v>3770</v>
          </cell>
          <cell r="G442">
            <v>105.13</v>
          </cell>
          <cell r="H442">
            <v>1.1499999999999999</v>
          </cell>
          <cell r="I442" t="str">
            <v>From M1B to M2B - 45°</v>
          </cell>
          <cell r="J442" t="str">
            <v>IE3</v>
          </cell>
          <cell r="K442">
            <v>400</v>
          </cell>
          <cell r="L442">
            <v>50</v>
          </cell>
          <cell r="M442">
            <v>10.5</v>
          </cell>
          <cell r="N442">
            <v>55</v>
          </cell>
          <cell r="O442" t="str">
            <v>F</v>
          </cell>
          <cell r="P442" t="str">
            <v>270°</v>
          </cell>
          <cell r="Q442" t="str">
            <v>TF</v>
          </cell>
          <cell r="R442" t="str">
            <v>-</v>
          </cell>
          <cell r="V442" t="str">
            <v>SS</v>
          </cell>
          <cell r="X442" t="str">
            <v>CLP HC VG 150 = -40° + 40°</v>
          </cell>
          <cell r="Y442" t="str">
            <v>KH97DRN132S4/TF</v>
          </cell>
          <cell r="Z442" t="str">
            <v>SEW</v>
          </cell>
          <cell r="AH442" t="str">
            <v>KH97-B270-X</v>
          </cell>
        </row>
        <row r="443">
          <cell r="A443" t="str">
            <v>MR000439</v>
          </cell>
          <cell r="B443" t="str">
            <v>MR</v>
          </cell>
          <cell r="C443">
            <v>15</v>
          </cell>
          <cell r="D443">
            <v>9.8000000000000007</v>
          </cell>
          <cell r="E443" t="str">
            <v>KH157</v>
          </cell>
          <cell r="F443">
            <v>14600</v>
          </cell>
          <cell r="G443">
            <v>150.41</v>
          </cell>
          <cell r="H443">
            <v>1.25</v>
          </cell>
          <cell r="I443" t="str">
            <v>M1A</v>
          </cell>
          <cell r="J443" t="str">
            <v>IE3</v>
          </cell>
          <cell r="K443">
            <v>400</v>
          </cell>
          <cell r="L443">
            <v>50</v>
          </cell>
          <cell r="M443">
            <v>29</v>
          </cell>
          <cell r="N443">
            <v>55</v>
          </cell>
          <cell r="O443" t="str">
            <v>F</v>
          </cell>
          <cell r="P443" t="str">
            <v>270°</v>
          </cell>
          <cell r="Q443" t="str">
            <v>TF</v>
          </cell>
          <cell r="R443" t="str">
            <v>-</v>
          </cell>
          <cell r="V443" t="str">
            <v>SS</v>
          </cell>
          <cell r="X443" t="str">
            <v>CLP HC VG 150 = -40° + 40°</v>
          </cell>
          <cell r="Y443" t="str">
            <v>KH157DRN160L4/TF</v>
          </cell>
          <cell r="Z443" t="str">
            <v>SEW</v>
          </cell>
          <cell r="AH443" t="str">
            <v>KH157-A270-X</v>
          </cell>
        </row>
        <row r="444">
          <cell r="A444" t="str">
            <v>MR000440</v>
          </cell>
          <cell r="B444" t="str">
            <v>MR</v>
          </cell>
          <cell r="C444">
            <v>18.5</v>
          </cell>
          <cell r="D444">
            <v>12</v>
          </cell>
          <cell r="E444" t="str">
            <v>KH157</v>
          </cell>
          <cell r="F444">
            <v>14600</v>
          </cell>
          <cell r="G444">
            <v>122.39</v>
          </cell>
          <cell r="H444">
            <v>1.25</v>
          </cell>
          <cell r="I444" t="str">
            <v>M1B</v>
          </cell>
          <cell r="J444" t="str">
            <v>IE3</v>
          </cell>
          <cell r="K444">
            <v>400</v>
          </cell>
          <cell r="L444">
            <v>50</v>
          </cell>
          <cell r="M444">
            <v>33.5</v>
          </cell>
          <cell r="N444">
            <v>55</v>
          </cell>
          <cell r="O444" t="str">
            <v>F</v>
          </cell>
          <cell r="P444" t="str">
            <v>270°</v>
          </cell>
          <cell r="Q444" t="str">
            <v>TF</v>
          </cell>
          <cell r="R444" t="str">
            <v>-</v>
          </cell>
          <cell r="V444" t="str">
            <v>SS</v>
          </cell>
          <cell r="X444" t="str">
            <v>CLP HC VG 150 = -40° + 40°</v>
          </cell>
          <cell r="Y444" t="str">
            <v>KH157DRN180M4/TF</v>
          </cell>
          <cell r="Z444" t="str">
            <v>SEW</v>
          </cell>
          <cell r="AH444" t="str">
            <v>KH157-B270-X</v>
          </cell>
        </row>
        <row r="445">
          <cell r="A445" t="str">
            <v>MR000441</v>
          </cell>
          <cell r="B445" t="str">
            <v>MR</v>
          </cell>
          <cell r="C445">
            <v>18.5</v>
          </cell>
          <cell r="D445">
            <v>12</v>
          </cell>
          <cell r="E445" t="str">
            <v>KH157</v>
          </cell>
          <cell r="F445">
            <v>14600</v>
          </cell>
          <cell r="G445">
            <v>122.39</v>
          </cell>
          <cell r="H445">
            <v>1.25</v>
          </cell>
          <cell r="I445" t="str">
            <v>M1A</v>
          </cell>
          <cell r="J445" t="str">
            <v>IE3</v>
          </cell>
          <cell r="K445">
            <v>400</v>
          </cell>
          <cell r="L445">
            <v>50</v>
          </cell>
          <cell r="M445">
            <v>33.5</v>
          </cell>
          <cell r="N445">
            <v>55</v>
          </cell>
          <cell r="O445" t="str">
            <v>F</v>
          </cell>
          <cell r="P445" t="str">
            <v>270°</v>
          </cell>
          <cell r="Q445" t="str">
            <v>TF</v>
          </cell>
          <cell r="R445" t="str">
            <v>-</v>
          </cell>
          <cell r="V445" t="str">
            <v>SS</v>
          </cell>
          <cell r="X445" t="str">
            <v>CLP HC VG 150 = -40° + 40°</v>
          </cell>
          <cell r="Y445" t="str">
            <v>KH157DRN180M4/TF</v>
          </cell>
          <cell r="Z445" t="str">
            <v>SEW</v>
          </cell>
          <cell r="AH445" t="str">
            <v>KH157-A270-X</v>
          </cell>
        </row>
        <row r="446">
          <cell r="A446" t="str">
            <v>MR000442</v>
          </cell>
          <cell r="B446" t="str">
            <v>MR</v>
          </cell>
          <cell r="C446">
            <v>11</v>
          </cell>
          <cell r="D446">
            <v>15</v>
          </cell>
          <cell r="E446" t="str">
            <v>KH107</v>
          </cell>
          <cell r="F446">
            <v>7180</v>
          </cell>
          <cell r="G446">
            <v>100.75</v>
          </cell>
          <cell r="H446">
            <v>1.1000000000000001</v>
          </cell>
          <cell r="I446" t="str">
            <v>M1B</v>
          </cell>
          <cell r="J446" t="str">
            <v>IE3</v>
          </cell>
          <cell r="K446">
            <v>400</v>
          </cell>
          <cell r="L446">
            <v>50</v>
          </cell>
          <cell r="M446">
            <v>21</v>
          </cell>
          <cell r="N446">
            <v>55</v>
          </cell>
          <cell r="O446" t="str">
            <v>F</v>
          </cell>
          <cell r="P446" t="str">
            <v>270°</v>
          </cell>
          <cell r="Q446" t="str">
            <v>TF</v>
          </cell>
          <cell r="R446" t="str">
            <v>-</v>
          </cell>
          <cell r="V446" t="str">
            <v>SS</v>
          </cell>
          <cell r="X446" t="str">
            <v>CLP HC VG 150 = -40° + 40°</v>
          </cell>
          <cell r="Y446" t="str">
            <v>KH107DRN160M4/TF</v>
          </cell>
          <cell r="Z446" t="str">
            <v>SEW</v>
          </cell>
          <cell r="AH446" t="str">
            <v>KH107-B270-X</v>
          </cell>
        </row>
        <row r="447">
          <cell r="A447" t="str">
            <v>MR000443</v>
          </cell>
          <cell r="B447" t="str">
            <v>MR</v>
          </cell>
          <cell r="C447">
            <v>18.5</v>
          </cell>
          <cell r="D447">
            <v>16</v>
          </cell>
          <cell r="E447" t="str">
            <v>KH127</v>
          </cell>
          <cell r="F447">
            <v>10700</v>
          </cell>
          <cell r="G447">
            <v>89.89</v>
          </cell>
          <cell r="H447">
            <v>1.2</v>
          </cell>
          <cell r="I447" t="str">
            <v>M4A</v>
          </cell>
          <cell r="J447" t="str">
            <v>IE3</v>
          </cell>
          <cell r="K447">
            <v>400</v>
          </cell>
          <cell r="L447">
            <v>50</v>
          </cell>
          <cell r="M447">
            <v>33.5</v>
          </cell>
          <cell r="N447">
            <v>55</v>
          </cell>
          <cell r="O447" t="str">
            <v>F</v>
          </cell>
          <cell r="P447" t="str">
            <v>270°</v>
          </cell>
          <cell r="Q447" t="str">
            <v>TF</v>
          </cell>
          <cell r="R447" t="str">
            <v>V</v>
          </cell>
          <cell r="V447" t="str">
            <v>FC</v>
          </cell>
          <cell r="X447" t="str">
            <v>CLP HC VG 150 = -40° + 40°</v>
          </cell>
          <cell r="Y447" t="str">
            <v>KH127DRN180M4/TF/V</v>
          </cell>
          <cell r="Z447" t="str">
            <v>SEW</v>
          </cell>
          <cell r="AH447" t="str">
            <v>KH127-A270-X#</v>
          </cell>
        </row>
        <row r="448">
          <cell r="A448" t="str">
            <v>MR000444</v>
          </cell>
          <cell r="B448" t="str">
            <v>MR</v>
          </cell>
          <cell r="C448">
            <v>15</v>
          </cell>
          <cell r="D448">
            <v>9.8000000000000007</v>
          </cell>
          <cell r="E448" t="str">
            <v>KH157</v>
          </cell>
          <cell r="F448">
            <v>14600</v>
          </cell>
          <cell r="G448">
            <v>150.41</v>
          </cell>
          <cell r="H448">
            <v>1.25</v>
          </cell>
          <cell r="I448" t="str">
            <v>From M1B to M2B - 15°</v>
          </cell>
          <cell r="J448" t="str">
            <v>IE3</v>
          </cell>
          <cell r="K448">
            <v>400</v>
          </cell>
          <cell r="L448">
            <v>50</v>
          </cell>
          <cell r="M448">
            <v>29</v>
          </cell>
          <cell r="N448">
            <v>55</v>
          </cell>
          <cell r="O448" t="str">
            <v>F</v>
          </cell>
          <cell r="P448" t="str">
            <v>270°</v>
          </cell>
          <cell r="Q448" t="str">
            <v>TF</v>
          </cell>
          <cell r="R448" t="str">
            <v>V</v>
          </cell>
          <cell r="V448" t="str">
            <v>FC</v>
          </cell>
          <cell r="X448" t="str">
            <v>CLP HC VG 150 = -40° + 40°</v>
          </cell>
          <cell r="Y448" t="str">
            <v>KH157DRN160L4/TF/V</v>
          </cell>
          <cell r="Z448" t="str">
            <v>SEW</v>
          </cell>
          <cell r="AH448" t="str">
            <v>KH157-B270-X#</v>
          </cell>
        </row>
        <row r="449">
          <cell r="A449" t="str">
            <v>MR000445</v>
          </cell>
          <cell r="B449" t="str">
            <v>MR</v>
          </cell>
          <cell r="C449">
            <v>15</v>
          </cell>
          <cell r="D449">
            <v>9.8000000000000007</v>
          </cell>
          <cell r="E449" t="str">
            <v>KH157</v>
          </cell>
          <cell r="F449">
            <v>14600</v>
          </cell>
          <cell r="G449">
            <v>150.41</v>
          </cell>
          <cell r="H449">
            <v>1.25</v>
          </cell>
          <cell r="I449" t="str">
            <v>From M1A to M2A - 15°</v>
          </cell>
          <cell r="J449" t="str">
            <v>IE3</v>
          </cell>
          <cell r="K449">
            <v>400</v>
          </cell>
          <cell r="L449">
            <v>50</v>
          </cell>
          <cell r="M449">
            <v>29</v>
          </cell>
          <cell r="N449">
            <v>55</v>
          </cell>
          <cell r="O449" t="str">
            <v>F</v>
          </cell>
          <cell r="P449" t="str">
            <v>270°</v>
          </cell>
          <cell r="Q449" t="str">
            <v>TF</v>
          </cell>
          <cell r="R449" t="str">
            <v>V</v>
          </cell>
          <cell r="V449" t="str">
            <v>FC</v>
          </cell>
          <cell r="X449" t="str">
            <v>CLP HC VG 150 = -40° + 40°</v>
          </cell>
          <cell r="Y449" t="str">
            <v>KH157DRN160L4/TF/V</v>
          </cell>
          <cell r="Z449" t="str">
            <v>SEW</v>
          </cell>
          <cell r="AH449" t="str">
            <v>KH157-A270-X#</v>
          </cell>
        </row>
        <row r="450">
          <cell r="A450" t="str">
            <v>MR000446</v>
          </cell>
          <cell r="B450" t="str">
            <v>MR</v>
          </cell>
          <cell r="C450">
            <v>18.5</v>
          </cell>
          <cell r="D450">
            <v>16</v>
          </cell>
          <cell r="E450" t="str">
            <v>KH127</v>
          </cell>
          <cell r="F450">
            <v>10700</v>
          </cell>
          <cell r="G450">
            <v>89.89</v>
          </cell>
          <cell r="H450">
            <v>1.2</v>
          </cell>
          <cell r="I450" t="str">
            <v>From M1B to M2B - 10°</v>
          </cell>
          <cell r="J450" t="str">
            <v>IE3</v>
          </cell>
          <cell r="K450">
            <v>400</v>
          </cell>
          <cell r="L450">
            <v>50</v>
          </cell>
          <cell r="M450">
            <v>33.5</v>
          </cell>
          <cell r="N450">
            <v>55</v>
          </cell>
          <cell r="O450" t="str">
            <v>F</v>
          </cell>
          <cell r="P450" t="str">
            <v>270°</v>
          </cell>
          <cell r="Q450" t="str">
            <v>TF</v>
          </cell>
          <cell r="R450" t="str">
            <v>V</v>
          </cell>
          <cell r="V450" t="str">
            <v>FC</v>
          </cell>
          <cell r="X450" t="str">
            <v>CLP HC VG 150 = -40° + 40°</v>
          </cell>
          <cell r="Y450" t="str">
            <v>KH127DRN180M4/TF/V</v>
          </cell>
          <cell r="Z450" t="str">
            <v>SEW</v>
          </cell>
          <cell r="AH450" t="str">
            <v>KH127-B270-X#</v>
          </cell>
        </row>
        <row r="451">
          <cell r="A451" t="str">
            <v>MR000447</v>
          </cell>
          <cell r="B451" t="str">
            <v>MR</v>
          </cell>
          <cell r="C451">
            <v>18.5</v>
          </cell>
          <cell r="D451">
            <v>12</v>
          </cell>
          <cell r="E451" t="str">
            <v>KH157</v>
          </cell>
          <cell r="F451">
            <v>14600</v>
          </cell>
          <cell r="G451">
            <v>122.39</v>
          </cell>
          <cell r="H451">
            <v>1.25</v>
          </cell>
          <cell r="I451" t="str">
            <v>M1A</v>
          </cell>
          <cell r="J451" t="str">
            <v>IE3</v>
          </cell>
          <cell r="K451">
            <v>400</v>
          </cell>
          <cell r="L451">
            <v>50</v>
          </cell>
          <cell r="M451">
            <v>33.5</v>
          </cell>
          <cell r="N451">
            <v>55</v>
          </cell>
          <cell r="O451" t="str">
            <v>F</v>
          </cell>
          <cell r="P451" t="str">
            <v>270°</v>
          </cell>
          <cell r="Q451" t="str">
            <v>TF</v>
          </cell>
          <cell r="R451" t="str">
            <v>V</v>
          </cell>
          <cell r="V451" t="str">
            <v>FC</v>
          </cell>
          <cell r="X451" t="str">
            <v>CLP HC VG 150 = -40° + 40°</v>
          </cell>
          <cell r="Y451" t="str">
            <v>KH157DRN180M4/TF/V</v>
          </cell>
          <cell r="Z451" t="str">
            <v>SEW</v>
          </cell>
          <cell r="AH451" t="str">
            <v>KH157-A270-X#</v>
          </cell>
        </row>
        <row r="452">
          <cell r="A452" t="str">
            <v>MR000448</v>
          </cell>
          <cell r="B452" t="str">
            <v>MR</v>
          </cell>
          <cell r="C452">
            <v>5.5</v>
          </cell>
          <cell r="D452">
            <v>14</v>
          </cell>
          <cell r="E452" t="str">
            <v>KH97</v>
          </cell>
          <cell r="F452">
            <v>3770</v>
          </cell>
          <cell r="G452">
            <v>105.13</v>
          </cell>
          <cell r="H452">
            <v>1.1499999999999999</v>
          </cell>
          <cell r="I452" t="str">
            <v>From M1B to M2B - 10°</v>
          </cell>
          <cell r="J452" t="str">
            <v>IE3</v>
          </cell>
          <cell r="K452">
            <v>400</v>
          </cell>
          <cell r="L452">
            <v>50</v>
          </cell>
          <cell r="M452">
            <v>10.5</v>
          </cell>
          <cell r="N452">
            <v>55</v>
          </cell>
          <cell r="O452" t="str">
            <v>F</v>
          </cell>
          <cell r="P452" t="str">
            <v>270°</v>
          </cell>
          <cell r="Q452" t="str">
            <v>TF</v>
          </cell>
          <cell r="R452" t="str">
            <v>-</v>
          </cell>
          <cell r="V452" t="str">
            <v>SS</v>
          </cell>
          <cell r="X452" t="str">
            <v>CLP HC VG 150 = -40° + 40°</v>
          </cell>
          <cell r="Y452" t="str">
            <v>KH97DRN132S4/TF</v>
          </cell>
          <cell r="Z452" t="str">
            <v>SEW</v>
          </cell>
          <cell r="AH452" t="str">
            <v>KH97-B270-X</v>
          </cell>
        </row>
        <row r="453">
          <cell r="A453" t="str">
            <v>MR000449</v>
          </cell>
          <cell r="B453" t="str">
            <v>MR</v>
          </cell>
          <cell r="C453">
            <v>18.5</v>
          </cell>
          <cell r="D453">
            <v>16</v>
          </cell>
          <cell r="E453" t="str">
            <v>KH127</v>
          </cell>
          <cell r="F453">
            <v>10700</v>
          </cell>
          <cell r="G453">
            <v>89.89</v>
          </cell>
          <cell r="H453">
            <v>1.2</v>
          </cell>
          <cell r="I453" t="str">
            <v>M4B</v>
          </cell>
          <cell r="J453" t="str">
            <v>IE3</v>
          </cell>
          <cell r="K453">
            <v>400</v>
          </cell>
          <cell r="L453">
            <v>50</v>
          </cell>
          <cell r="M453">
            <v>33.5</v>
          </cell>
          <cell r="N453">
            <v>55</v>
          </cell>
          <cell r="O453" t="str">
            <v>F</v>
          </cell>
          <cell r="P453" t="str">
            <v>270°</v>
          </cell>
          <cell r="Q453" t="str">
            <v>TF</v>
          </cell>
          <cell r="R453" t="str">
            <v>V</v>
          </cell>
          <cell r="V453" t="str">
            <v>FC</v>
          </cell>
          <cell r="X453" t="str">
            <v>CLP HC VG 150 = -40° + 40°</v>
          </cell>
          <cell r="Y453" t="str">
            <v>KH127DRN180M4/TF/V</v>
          </cell>
          <cell r="Z453" t="str">
            <v>SEW</v>
          </cell>
          <cell r="AH453" t="str">
            <v>KH127-B270-X#</v>
          </cell>
        </row>
        <row r="454">
          <cell r="A454" t="str">
            <v>MR000450</v>
          </cell>
          <cell r="B454" t="str">
            <v>MR</v>
          </cell>
          <cell r="C454">
            <v>2.2000000000000002</v>
          </cell>
          <cell r="D454">
            <v>75</v>
          </cell>
          <cell r="E454" t="str">
            <v>KH67</v>
          </cell>
          <cell r="F454">
            <v>275</v>
          </cell>
          <cell r="G454">
            <v>19.3</v>
          </cell>
          <cell r="H454">
            <v>2.7</v>
          </cell>
          <cell r="I454" t="str">
            <v>M4B</v>
          </cell>
          <cell r="J454" t="str">
            <v>IE3</v>
          </cell>
          <cell r="K454">
            <v>400</v>
          </cell>
          <cell r="L454">
            <v>50</v>
          </cell>
          <cell r="M454">
            <v>4.75</v>
          </cell>
          <cell r="N454">
            <v>55</v>
          </cell>
          <cell r="O454" t="str">
            <v>F</v>
          </cell>
          <cell r="P454" t="str">
            <v>270°</v>
          </cell>
          <cell r="R454" t="str">
            <v>-</v>
          </cell>
          <cell r="U454" t="str">
            <v>T</v>
          </cell>
          <cell r="V454" t="str">
            <v>D</v>
          </cell>
          <cell r="X454" t="str">
            <v>CLP HC VG 150 = -40° + 40°</v>
          </cell>
          <cell r="Y454" t="str">
            <v>KH67/TDRN100LS4</v>
          </cell>
          <cell r="Z454" t="str">
            <v>SEW</v>
          </cell>
          <cell r="AH454" t="str">
            <v>KH67T-B270-X</v>
          </cell>
        </row>
        <row r="455">
          <cell r="A455" t="str">
            <v>MR000451</v>
          </cell>
          <cell r="B455" t="str">
            <v>MR</v>
          </cell>
          <cell r="C455">
            <v>3</v>
          </cell>
          <cell r="D455">
            <v>75</v>
          </cell>
          <cell r="E455" t="str">
            <v>KH67</v>
          </cell>
          <cell r="F455">
            <v>375</v>
          </cell>
          <cell r="G455">
            <v>19.3</v>
          </cell>
          <cell r="H455">
            <v>2</v>
          </cell>
          <cell r="I455" t="str">
            <v>M4B</v>
          </cell>
          <cell r="J455" t="str">
            <v>IE3</v>
          </cell>
          <cell r="K455">
            <v>400</v>
          </cell>
          <cell r="L455">
            <v>50</v>
          </cell>
          <cell r="M455">
            <v>6.4</v>
          </cell>
          <cell r="N455">
            <v>55</v>
          </cell>
          <cell r="O455" t="str">
            <v>F</v>
          </cell>
          <cell r="P455" t="str">
            <v>270°</v>
          </cell>
          <cell r="R455" t="str">
            <v>-</v>
          </cell>
          <cell r="U455" t="str">
            <v>T</v>
          </cell>
          <cell r="V455" t="str">
            <v>D</v>
          </cell>
          <cell r="X455" t="str">
            <v>CLP HC VG 150 = -40° + 40°</v>
          </cell>
          <cell r="Y455" t="str">
            <v>KH67/TDRN100L4</v>
          </cell>
          <cell r="Z455" t="str">
            <v>SEW</v>
          </cell>
          <cell r="AH455" t="str">
            <v>KH67T-B270-X</v>
          </cell>
        </row>
        <row r="456">
          <cell r="A456" t="str">
            <v>MR000452</v>
          </cell>
          <cell r="B456" t="str">
            <v>MR</v>
          </cell>
          <cell r="C456">
            <v>22</v>
          </cell>
          <cell r="D456">
            <v>2.2999999999999998</v>
          </cell>
          <cell r="E456" t="str">
            <v>315R4</v>
          </cell>
          <cell r="F456">
            <v>105000</v>
          </cell>
          <cell r="G456">
            <v>623</v>
          </cell>
          <cell r="I456" t="str">
            <v xml:space="preserve">I0 </v>
          </cell>
          <cell r="J456" t="str">
            <v>IE3</v>
          </cell>
          <cell r="K456">
            <v>400</v>
          </cell>
          <cell r="L456">
            <v>50</v>
          </cell>
          <cell r="M456">
            <v>38.5</v>
          </cell>
          <cell r="N456">
            <v>55</v>
          </cell>
          <cell r="O456" t="str">
            <v>F</v>
          </cell>
          <cell r="P456" t="str">
            <v>N</v>
          </cell>
          <cell r="Q456" t="str">
            <v>D3</v>
          </cell>
          <cell r="R456" t="str">
            <v>U1</v>
          </cell>
          <cell r="V456" t="str">
            <v>FC</v>
          </cell>
          <cell r="X456" t="str">
            <v>CLP (CC) VG 220 = -15° + 40°</v>
          </cell>
          <cell r="Y456" t="str">
            <v>315 R4 623PC P180 I0 LP PV BTF180L4-B5 D3 U1 S</v>
          </cell>
          <cell r="Z456" t="str">
            <v>Bonfiglioli</v>
          </cell>
          <cell r="AH456" t="str">
            <v>315R4-N-X#</v>
          </cell>
        </row>
        <row r="457">
          <cell r="A457" t="str">
            <v>MR000453</v>
          </cell>
          <cell r="B457" t="str">
            <v>MR</v>
          </cell>
          <cell r="C457">
            <v>11</v>
          </cell>
          <cell r="D457">
            <v>44</v>
          </cell>
          <cell r="E457" t="str">
            <v>R97</v>
          </cell>
          <cell r="F457">
            <v>2370</v>
          </cell>
          <cell r="G457">
            <v>33.25</v>
          </cell>
          <cell r="H457" t="str">
            <v>1.2</v>
          </cell>
          <cell r="I457" t="str">
            <v>From M1 to M2 - 20°</v>
          </cell>
          <cell r="J457" t="str">
            <v>IE3</v>
          </cell>
          <cell r="K457">
            <v>400</v>
          </cell>
          <cell r="L457">
            <v>50</v>
          </cell>
          <cell r="M457">
            <v>21</v>
          </cell>
          <cell r="N457">
            <v>55</v>
          </cell>
          <cell r="O457" t="str">
            <v>F</v>
          </cell>
          <cell r="P457" t="str">
            <v>270°</v>
          </cell>
          <cell r="Q457" t="str">
            <v>TF</v>
          </cell>
          <cell r="R457" t="str">
            <v>V</v>
          </cell>
          <cell r="V457" t="str">
            <v>FC</v>
          </cell>
          <cell r="X457" t="str">
            <v>CLP (CC) VG 220 = -15° + 40°</v>
          </cell>
          <cell r="Y457" t="str">
            <v>R97DRN160M4-TF-V</v>
          </cell>
          <cell r="Z457" t="str">
            <v>SEW</v>
          </cell>
          <cell r="AH457" t="str">
            <v>R97-270-X#</v>
          </cell>
        </row>
        <row r="458">
          <cell r="A458" t="str">
            <v>MR000454</v>
          </cell>
          <cell r="B458" t="str">
            <v>MR</v>
          </cell>
          <cell r="C458">
            <v>15</v>
          </cell>
          <cell r="D458">
            <v>42</v>
          </cell>
          <cell r="E458" t="str">
            <v>R107</v>
          </cell>
          <cell r="F458">
            <v>3430</v>
          </cell>
          <cell r="G458">
            <v>35.26</v>
          </cell>
          <cell r="H458">
            <v>1.2</v>
          </cell>
          <cell r="I458" t="str">
            <v>M1</v>
          </cell>
          <cell r="J458" t="str">
            <v>IE3</v>
          </cell>
          <cell r="K458">
            <v>400</v>
          </cell>
          <cell r="L458">
            <v>50</v>
          </cell>
          <cell r="M458">
            <v>33.5</v>
          </cell>
          <cell r="N458">
            <v>55</v>
          </cell>
          <cell r="O458" t="str">
            <v>F</v>
          </cell>
          <cell r="P458" t="str">
            <v>270°</v>
          </cell>
          <cell r="R458" t="str">
            <v>-</v>
          </cell>
          <cell r="V458" t="str">
            <v>D+R</v>
          </cell>
          <cell r="X458" t="str">
            <v>CLP (CC) VG 220 = -15° + 40°</v>
          </cell>
          <cell r="Y458" t="str">
            <v>R107EDRE180M4</v>
          </cell>
          <cell r="Z458" t="str">
            <v>SEW</v>
          </cell>
          <cell r="AB458" t="str">
            <v>ATEX22</v>
          </cell>
          <cell r="AH458" t="str">
            <v>R107-270-X</v>
          </cell>
        </row>
        <row r="459">
          <cell r="A459" t="str">
            <v>MR000455</v>
          </cell>
          <cell r="B459" t="str">
            <v>MR</v>
          </cell>
          <cell r="C459">
            <v>18.5</v>
          </cell>
          <cell r="D459">
            <v>33</v>
          </cell>
          <cell r="E459" t="str">
            <v>R137</v>
          </cell>
          <cell r="F459">
            <v>5330</v>
          </cell>
          <cell r="G459">
            <v>44.39</v>
          </cell>
          <cell r="H459">
            <v>1.4</v>
          </cell>
          <cell r="I459" t="str">
            <v>M1</v>
          </cell>
          <cell r="J459" t="str">
            <v>IE2</v>
          </cell>
          <cell r="K459">
            <v>400</v>
          </cell>
          <cell r="L459">
            <v>50</v>
          </cell>
          <cell r="M459">
            <v>38.5</v>
          </cell>
          <cell r="N459">
            <v>55</v>
          </cell>
          <cell r="O459" t="str">
            <v>F</v>
          </cell>
          <cell r="P459" t="str">
            <v>270°</v>
          </cell>
          <cell r="R459" t="str">
            <v>-</v>
          </cell>
          <cell r="V459" t="str">
            <v>D+R</v>
          </cell>
          <cell r="X459" t="str">
            <v>CLP (CC) VG 220 = -15° + 40°</v>
          </cell>
          <cell r="Y459" t="str">
            <v>R137EDRE180L4</v>
          </cell>
          <cell r="Z459" t="str">
            <v>SEW</v>
          </cell>
          <cell r="AB459" t="str">
            <v>ATEX22</v>
          </cell>
          <cell r="AH459" t="str">
            <v>R137-270-X</v>
          </cell>
        </row>
        <row r="460">
          <cell r="A460" t="str">
            <v>MR000456</v>
          </cell>
          <cell r="B460" t="str">
            <v>MR</v>
          </cell>
          <cell r="C460">
            <v>7.5</v>
          </cell>
          <cell r="D460">
            <v>40</v>
          </cell>
          <cell r="E460" t="str">
            <v>R97</v>
          </cell>
          <cell r="F460">
            <v>1810</v>
          </cell>
          <cell r="G460">
            <v>37.130000000000003</v>
          </cell>
          <cell r="H460" t="str">
            <v>1.65</v>
          </cell>
          <cell r="I460" t="str">
            <v>M1</v>
          </cell>
          <cell r="J460" t="str">
            <v>IE3</v>
          </cell>
          <cell r="K460">
            <v>400</v>
          </cell>
          <cell r="L460">
            <v>50</v>
          </cell>
          <cell r="M460">
            <v>15.2</v>
          </cell>
          <cell r="N460">
            <v>55</v>
          </cell>
          <cell r="O460" t="str">
            <v>F</v>
          </cell>
          <cell r="P460" t="str">
            <v>270°</v>
          </cell>
          <cell r="Q460" t="str">
            <v>TF</v>
          </cell>
          <cell r="R460" t="str">
            <v>V</v>
          </cell>
          <cell r="V460" t="str">
            <v>FC</v>
          </cell>
          <cell r="X460" t="str">
            <v>CLP (CC) VG 220 = -15° + 40°</v>
          </cell>
          <cell r="Y460" t="str">
            <v>R97DRN132M4-TF-V</v>
          </cell>
          <cell r="Z460" t="str">
            <v>SEW</v>
          </cell>
          <cell r="AH460" t="str">
            <v>R97-270-X#</v>
          </cell>
        </row>
        <row r="461">
          <cell r="A461" t="str">
            <v>MR000457</v>
          </cell>
          <cell r="B461" t="str">
            <v>MR</v>
          </cell>
          <cell r="C461">
            <v>15</v>
          </cell>
          <cell r="D461">
            <v>42</v>
          </cell>
          <cell r="E461" t="str">
            <v>R107</v>
          </cell>
          <cell r="F461">
            <v>3420</v>
          </cell>
          <cell r="G461">
            <v>35.26</v>
          </cell>
          <cell r="H461" t="str">
            <v>1.25</v>
          </cell>
          <cell r="I461" t="str">
            <v>From M1 to  M5 - 30°</v>
          </cell>
          <cell r="J461" t="str">
            <v>IE3</v>
          </cell>
          <cell r="K461">
            <v>400</v>
          </cell>
          <cell r="L461">
            <v>50</v>
          </cell>
          <cell r="M461">
            <v>29</v>
          </cell>
          <cell r="N461">
            <v>55</v>
          </cell>
          <cell r="O461" t="str">
            <v>F</v>
          </cell>
          <cell r="P461" t="str">
            <v>270°</v>
          </cell>
          <cell r="R461" t="str">
            <v>-</v>
          </cell>
          <cell r="V461" t="str">
            <v>SS</v>
          </cell>
          <cell r="X461" t="str">
            <v>CLP (CC) VG 220 = -15° + 40°</v>
          </cell>
          <cell r="Y461" t="str">
            <v>R107DRN160L4</v>
          </cell>
          <cell r="Z461" t="str">
            <v>SEW</v>
          </cell>
          <cell r="AH461" t="str">
            <v>R107-270-X</v>
          </cell>
        </row>
        <row r="462">
          <cell r="A462" t="str">
            <v>MR000458</v>
          </cell>
          <cell r="B462" t="str">
            <v>MR</v>
          </cell>
          <cell r="C462">
            <v>30</v>
          </cell>
          <cell r="D462">
            <v>45</v>
          </cell>
          <cell r="E462" t="str">
            <v>R137</v>
          </cell>
          <cell r="F462">
            <v>6370</v>
          </cell>
          <cell r="G462">
            <v>32.909999999999997</v>
          </cell>
          <cell r="H462" t="str">
            <v>1.25</v>
          </cell>
          <cell r="I462" t="str">
            <v>From M1 to  M5 - 30°</v>
          </cell>
          <cell r="J462" t="str">
            <v>IE3</v>
          </cell>
          <cell r="K462">
            <v>400</v>
          </cell>
          <cell r="L462">
            <v>50</v>
          </cell>
          <cell r="M462">
            <v>56</v>
          </cell>
          <cell r="N462">
            <v>55</v>
          </cell>
          <cell r="O462" t="str">
            <v>F</v>
          </cell>
          <cell r="P462" t="str">
            <v>270°</v>
          </cell>
          <cell r="R462" t="str">
            <v>-</v>
          </cell>
          <cell r="V462" t="str">
            <v>SS</v>
          </cell>
          <cell r="X462" t="str">
            <v>CLP (CC) VG 220 = -15° + 40°</v>
          </cell>
          <cell r="Y462" t="str">
            <v>R137DRN200L4</v>
          </cell>
          <cell r="Z462" t="str">
            <v>SEW</v>
          </cell>
          <cell r="AH462" t="str">
            <v>R137-270-X</v>
          </cell>
        </row>
        <row r="463">
          <cell r="A463" t="str">
            <v>MR000459</v>
          </cell>
          <cell r="B463" t="str">
            <v>ME</v>
          </cell>
          <cell r="C463">
            <v>37</v>
          </cell>
          <cell r="D463">
            <v>1500</v>
          </cell>
          <cell r="E463" t="str">
            <v>1LE1503</v>
          </cell>
          <cell r="I463" t="str">
            <v>V1-B5</v>
          </cell>
          <cell r="J463" t="str">
            <v>IE3</v>
          </cell>
          <cell r="K463" t="str">
            <v>400/690</v>
          </cell>
          <cell r="L463">
            <v>50</v>
          </cell>
          <cell r="N463">
            <v>55</v>
          </cell>
          <cell r="O463" t="str">
            <v>F</v>
          </cell>
          <cell r="P463" t="str">
            <v>270°</v>
          </cell>
          <cell r="R463" t="str">
            <v>-</v>
          </cell>
          <cell r="V463" t="str">
            <v>D</v>
          </cell>
          <cell r="Y463" t="str">
            <v>1LE1503-2BB03-4FA4</v>
          </cell>
          <cell r="Z463" t="str">
            <v>SIEMENS</v>
          </cell>
          <cell r="AE463" t="str">
            <v>4 POLES</v>
          </cell>
          <cell r="AH463" t="str">
            <v>1LE1503-B270-X</v>
          </cell>
        </row>
        <row r="464">
          <cell r="A464" t="str">
            <v>MR000460</v>
          </cell>
          <cell r="B464" t="str">
            <v>ME</v>
          </cell>
          <cell r="C464">
            <v>3</v>
          </cell>
          <cell r="D464">
            <v>3000</v>
          </cell>
          <cell r="E464" t="str">
            <v>1LE1003</v>
          </cell>
          <cell r="I464" t="str">
            <v>B5</v>
          </cell>
          <cell r="J464" t="str">
            <v>IE3</v>
          </cell>
          <cell r="K464" t="str">
            <v>230/400</v>
          </cell>
          <cell r="L464">
            <v>50</v>
          </cell>
          <cell r="N464">
            <v>55</v>
          </cell>
          <cell r="O464" t="str">
            <v>F</v>
          </cell>
          <cell r="P464" t="str">
            <v>270°</v>
          </cell>
          <cell r="R464" t="str">
            <v>-</v>
          </cell>
          <cell r="V464" t="str">
            <v>D</v>
          </cell>
          <cell r="Y464" t="str">
            <v>1LE1003-1AA42-2FA4</v>
          </cell>
          <cell r="Z464" t="str">
            <v>SIEMENS</v>
          </cell>
          <cell r="AE464" t="str">
            <v>2 POLES</v>
          </cell>
          <cell r="AH464" t="str">
            <v>1LE1003-B270-X</v>
          </cell>
        </row>
        <row r="465">
          <cell r="A465" t="str">
            <v>MR000461</v>
          </cell>
          <cell r="B465" t="str">
            <v>MR</v>
          </cell>
          <cell r="C465">
            <v>7.5</v>
          </cell>
          <cell r="D465">
            <v>57</v>
          </cell>
          <cell r="E465" t="str">
            <v>KA77</v>
          </cell>
          <cell r="F465">
            <v>1240</v>
          </cell>
          <cell r="G465">
            <v>25.26</v>
          </cell>
          <cell r="H465">
            <v>1.25</v>
          </cell>
          <cell r="I465" t="str">
            <v>M3-B</v>
          </cell>
          <cell r="J465" t="str">
            <v>IE3</v>
          </cell>
          <cell r="K465">
            <v>400</v>
          </cell>
          <cell r="L465">
            <v>50</v>
          </cell>
          <cell r="M465">
            <v>15.2</v>
          </cell>
          <cell r="N465">
            <v>55</v>
          </cell>
          <cell r="O465" t="str">
            <v>F</v>
          </cell>
          <cell r="P465" t="str">
            <v>0°</v>
          </cell>
          <cell r="R465" t="str">
            <v>-</v>
          </cell>
          <cell r="U465" t="str">
            <v>T</v>
          </cell>
          <cell r="V465" t="str">
            <v>SS</v>
          </cell>
          <cell r="X465" t="str">
            <v>CLP (CC) VG 220 = -15° + 40°</v>
          </cell>
          <cell r="Y465" t="str">
            <v>KA77/TDRN132M4</v>
          </cell>
          <cell r="Z465" t="str">
            <v>SEW</v>
          </cell>
          <cell r="AH465" t="str">
            <v>KA77T-B0-X</v>
          </cell>
        </row>
        <row r="466">
          <cell r="A466" t="str">
            <v>MR000462</v>
          </cell>
          <cell r="B466" t="str">
            <v>MR</v>
          </cell>
          <cell r="C466">
            <v>22</v>
          </cell>
          <cell r="D466">
            <v>45</v>
          </cell>
          <cell r="E466" t="str">
            <v>KA107</v>
          </cell>
          <cell r="F466">
            <v>4640</v>
          </cell>
          <cell r="G466">
            <v>32.69</v>
          </cell>
          <cell r="H466">
            <v>1.55</v>
          </cell>
          <cell r="I466" t="str">
            <v>M4B</v>
          </cell>
          <cell r="J466" t="str">
            <v>IE3</v>
          </cell>
          <cell r="K466">
            <v>400</v>
          </cell>
          <cell r="L466">
            <v>50</v>
          </cell>
          <cell r="M466">
            <v>38.5</v>
          </cell>
          <cell r="N466">
            <v>55</v>
          </cell>
          <cell r="O466" t="str">
            <v>F</v>
          </cell>
          <cell r="P466" t="str">
            <v>0°</v>
          </cell>
          <cell r="R466" t="str">
            <v>-</v>
          </cell>
          <cell r="S466" t="str">
            <v>Free rotation CW</v>
          </cell>
          <cell r="U466" t="str">
            <v>T</v>
          </cell>
          <cell r="V466" t="str">
            <v>SS</v>
          </cell>
          <cell r="X466" t="str">
            <v>CLP (CC) VG 220 = -15° + 40°</v>
          </cell>
          <cell r="Y466" t="str">
            <v>KA107/TDRN180L4-RS</v>
          </cell>
          <cell r="Z466" t="str">
            <v>SEW</v>
          </cell>
          <cell r="AH466" t="str">
            <v>KA107T-B0-X</v>
          </cell>
        </row>
        <row r="467">
          <cell r="A467" t="str">
            <v>MR000463</v>
          </cell>
          <cell r="B467" t="str">
            <v>MR</v>
          </cell>
          <cell r="C467">
            <v>0.75</v>
          </cell>
          <cell r="D467">
            <v>162</v>
          </cell>
          <cell r="E467" t="str">
            <v>KA37</v>
          </cell>
          <cell r="F467">
            <v>44</v>
          </cell>
          <cell r="G467">
            <v>8.91</v>
          </cell>
          <cell r="H467">
            <v>3.6</v>
          </cell>
          <cell r="I467" t="str">
            <v>From M1B to M2B - 25°</v>
          </cell>
          <cell r="J467" t="str">
            <v>IE3</v>
          </cell>
          <cell r="K467">
            <v>400</v>
          </cell>
          <cell r="L467">
            <v>50</v>
          </cell>
          <cell r="M467">
            <v>1.75</v>
          </cell>
          <cell r="N467">
            <v>55</v>
          </cell>
          <cell r="O467" t="str">
            <v>F</v>
          </cell>
          <cell r="P467" t="str">
            <v>0°</v>
          </cell>
          <cell r="R467" t="str">
            <v>-</v>
          </cell>
          <cell r="U467" t="str">
            <v>T</v>
          </cell>
          <cell r="V467" t="str">
            <v>D</v>
          </cell>
          <cell r="X467" t="str">
            <v>CLP (CC) VG 220 = -15° + 40°</v>
          </cell>
          <cell r="Y467" t="str">
            <v>KA37/TDRN80M4</v>
          </cell>
          <cell r="Z467" t="str">
            <v>SEW</v>
          </cell>
          <cell r="AH467" t="str">
            <v>KA37T-B0-X</v>
          </cell>
        </row>
        <row r="468">
          <cell r="A468" t="str">
            <v>MR000464</v>
          </cell>
          <cell r="B468" t="str">
            <v>MR</v>
          </cell>
          <cell r="C468">
            <v>4</v>
          </cell>
          <cell r="D468">
            <v>63</v>
          </cell>
          <cell r="E468" t="str">
            <v>KA77</v>
          </cell>
          <cell r="F468">
            <v>600</v>
          </cell>
          <cell r="G468">
            <v>23.08</v>
          </cell>
          <cell r="H468">
            <v>2.6</v>
          </cell>
          <cell r="I468" t="str">
            <v>M4B</v>
          </cell>
          <cell r="J468" t="str">
            <v>IE3</v>
          </cell>
          <cell r="K468">
            <v>400</v>
          </cell>
          <cell r="L468">
            <v>50</v>
          </cell>
          <cell r="M468">
            <v>7.9</v>
          </cell>
          <cell r="N468">
            <v>55</v>
          </cell>
          <cell r="O468" t="str">
            <v>F</v>
          </cell>
          <cell r="P468" t="str">
            <v>0°</v>
          </cell>
          <cell r="R468" t="str">
            <v>-</v>
          </cell>
          <cell r="S468" t="str">
            <v>Free rotation CW</v>
          </cell>
          <cell r="U468" t="str">
            <v>T</v>
          </cell>
          <cell r="V468" t="str">
            <v>SS</v>
          </cell>
          <cell r="X468" t="str">
            <v>CLP (CC) VG 220 = -15° + 40°</v>
          </cell>
          <cell r="Y468" t="str">
            <v>KA77/TDRN112M4-RS</v>
          </cell>
          <cell r="Z468" t="str">
            <v>SEW</v>
          </cell>
          <cell r="AH468" t="str">
            <v>KA77T-B0-X</v>
          </cell>
        </row>
        <row r="469">
          <cell r="A469" t="str">
            <v>MR000465</v>
          </cell>
          <cell r="B469" t="str">
            <v>MR</v>
          </cell>
          <cell r="C469">
            <v>7.5</v>
          </cell>
          <cell r="D469">
            <v>64</v>
          </cell>
          <cell r="E469" t="str">
            <v>KA77</v>
          </cell>
          <cell r="F469">
            <v>1120</v>
          </cell>
          <cell r="G469">
            <v>23.08</v>
          </cell>
          <cell r="H469">
            <v>1.4</v>
          </cell>
          <cell r="I469" t="str">
            <v>M4B</v>
          </cell>
          <cell r="J469" t="str">
            <v>IE3</v>
          </cell>
          <cell r="K469">
            <v>400</v>
          </cell>
          <cell r="L469">
            <v>50</v>
          </cell>
          <cell r="M469">
            <v>15.2</v>
          </cell>
          <cell r="N469">
            <v>55</v>
          </cell>
          <cell r="O469" t="str">
            <v>F</v>
          </cell>
          <cell r="P469" t="str">
            <v>0°</v>
          </cell>
          <cell r="R469" t="str">
            <v>-</v>
          </cell>
          <cell r="S469" t="str">
            <v>Free rotation CW</v>
          </cell>
          <cell r="U469" t="str">
            <v>T</v>
          </cell>
          <cell r="V469" t="str">
            <v>SS</v>
          </cell>
          <cell r="X469" t="str">
            <v>CLP (CC) VG 220 = -15° + 40°</v>
          </cell>
          <cell r="Y469" t="str">
            <v>KA77/TDRN132M4-RS</v>
          </cell>
          <cell r="Z469" t="str">
            <v>SEW</v>
          </cell>
          <cell r="AH469" t="str">
            <v>KA77T-B0-X</v>
          </cell>
        </row>
        <row r="470">
          <cell r="A470" t="str">
            <v>MR000466</v>
          </cell>
          <cell r="B470" t="str">
            <v>MR</v>
          </cell>
          <cell r="C470">
            <v>9.1999999999999993</v>
          </cell>
          <cell r="D470">
            <v>73</v>
          </cell>
          <cell r="E470" t="str">
            <v>KA77</v>
          </cell>
          <cell r="F470">
            <v>1200</v>
          </cell>
          <cell r="G470">
            <v>20.25</v>
          </cell>
          <cell r="H470">
            <v>1.25</v>
          </cell>
          <cell r="I470" t="str">
            <v>M4B</v>
          </cell>
          <cell r="J470" t="str">
            <v>IE3</v>
          </cell>
          <cell r="K470">
            <v>400</v>
          </cell>
          <cell r="L470">
            <v>50</v>
          </cell>
          <cell r="M470">
            <v>18.7</v>
          </cell>
          <cell r="N470">
            <v>55</v>
          </cell>
          <cell r="O470" t="str">
            <v>F</v>
          </cell>
          <cell r="P470" t="str">
            <v>0°</v>
          </cell>
          <cell r="R470" t="str">
            <v>-</v>
          </cell>
          <cell r="U470" t="str">
            <v>T</v>
          </cell>
          <cell r="V470" t="str">
            <v>SS-R</v>
          </cell>
          <cell r="X470" t="str">
            <v>CLP (CC) VG 220 = -15° + 40°</v>
          </cell>
          <cell r="Y470" t="str">
            <v>KA77/TDRN132L4</v>
          </cell>
          <cell r="Z470" t="str">
            <v>SEW</v>
          </cell>
          <cell r="AH470" t="str">
            <v>KA77T-B0-X</v>
          </cell>
        </row>
        <row r="471">
          <cell r="A471" t="str">
            <v>MR000467</v>
          </cell>
          <cell r="B471" t="str">
            <v>MR</v>
          </cell>
          <cell r="C471">
            <v>9.1999999999999993</v>
          </cell>
          <cell r="D471">
            <v>73</v>
          </cell>
          <cell r="E471" t="str">
            <v>KA77</v>
          </cell>
          <cell r="F471">
            <v>1200</v>
          </cell>
          <cell r="G471">
            <v>20.25</v>
          </cell>
          <cell r="H471">
            <v>1.25</v>
          </cell>
          <cell r="I471" t="str">
            <v>M4B</v>
          </cell>
          <cell r="J471" t="str">
            <v>IE3</v>
          </cell>
          <cell r="K471">
            <v>400</v>
          </cell>
          <cell r="L471">
            <v>50</v>
          </cell>
          <cell r="M471">
            <v>18.7</v>
          </cell>
          <cell r="N471">
            <v>55</v>
          </cell>
          <cell r="O471" t="str">
            <v>F</v>
          </cell>
          <cell r="P471" t="str">
            <v>0°</v>
          </cell>
          <cell r="R471" t="str">
            <v>-</v>
          </cell>
          <cell r="S471" t="str">
            <v>Free rotation CW</v>
          </cell>
          <cell r="U471" t="str">
            <v>T</v>
          </cell>
          <cell r="V471" t="str">
            <v>SS</v>
          </cell>
          <cell r="X471" t="str">
            <v>CLP (CC) VG 220 = -15° + 40°</v>
          </cell>
          <cell r="Y471" t="str">
            <v>KA77/TDRN132L4-RS</v>
          </cell>
          <cell r="Z471" t="str">
            <v>SEW</v>
          </cell>
          <cell r="AH471" t="str">
            <v>KA77T-B0-X</v>
          </cell>
        </row>
        <row r="472">
          <cell r="A472" t="str">
            <v>MR000468</v>
          </cell>
          <cell r="B472" t="str">
            <v>MR</v>
          </cell>
          <cell r="C472">
            <v>0.75</v>
          </cell>
          <cell r="D472">
            <v>162</v>
          </cell>
          <cell r="E472" t="str">
            <v>KA37</v>
          </cell>
          <cell r="F472">
            <v>44</v>
          </cell>
          <cell r="G472">
            <v>8.91</v>
          </cell>
          <cell r="H472">
            <v>3.6</v>
          </cell>
          <cell r="I472" t="str">
            <v>From M1B to M2B - 10°</v>
          </cell>
          <cell r="J472" t="str">
            <v>IE3</v>
          </cell>
          <cell r="K472">
            <v>400</v>
          </cell>
          <cell r="L472">
            <v>50</v>
          </cell>
          <cell r="M472">
            <v>1.75</v>
          </cell>
          <cell r="N472">
            <v>55</v>
          </cell>
          <cell r="O472" t="str">
            <v>F</v>
          </cell>
          <cell r="P472" t="str">
            <v>0°</v>
          </cell>
          <cell r="R472" t="str">
            <v>-</v>
          </cell>
          <cell r="U472" t="str">
            <v>T</v>
          </cell>
          <cell r="V472" t="str">
            <v>D</v>
          </cell>
          <cell r="X472" t="str">
            <v>CLP (CC) VG 220 = -15° + 40°</v>
          </cell>
          <cell r="Y472" t="str">
            <v>KA37/TDRN80M4</v>
          </cell>
          <cell r="Z472" t="str">
            <v>SEW</v>
          </cell>
          <cell r="AH472" t="str">
            <v>KA37T-B0-X</v>
          </cell>
        </row>
        <row r="473">
          <cell r="A473" t="str">
            <v>MR000469</v>
          </cell>
          <cell r="B473" t="str">
            <v>MR</v>
          </cell>
          <cell r="C473">
            <v>11</v>
          </cell>
          <cell r="D473">
            <v>47</v>
          </cell>
          <cell r="E473" t="str">
            <v>KA87</v>
          </cell>
          <cell r="F473">
            <v>2230</v>
          </cell>
          <cell r="G473">
            <v>31.39</v>
          </cell>
          <cell r="H473">
            <v>1.2</v>
          </cell>
          <cell r="I473" t="str">
            <v>M4B</v>
          </cell>
          <cell r="J473" t="str">
            <v>IE3</v>
          </cell>
          <cell r="K473">
            <v>400</v>
          </cell>
          <cell r="L473">
            <v>50</v>
          </cell>
          <cell r="M473">
            <v>21</v>
          </cell>
          <cell r="N473">
            <v>55</v>
          </cell>
          <cell r="O473" t="str">
            <v>F</v>
          </cell>
          <cell r="P473" t="str">
            <v>0°</v>
          </cell>
          <cell r="R473" t="str">
            <v>-</v>
          </cell>
          <cell r="S473" t="str">
            <v>Free rotation CW</v>
          </cell>
          <cell r="U473" t="str">
            <v>T</v>
          </cell>
          <cell r="V473" t="str">
            <v>SS</v>
          </cell>
          <cell r="X473" t="str">
            <v>CLP (CC) VG 220 = -15° + 40°</v>
          </cell>
          <cell r="Y473" t="str">
            <v>KA87/TDRN160M4-RS</v>
          </cell>
          <cell r="Z473" t="str">
            <v>SEW</v>
          </cell>
          <cell r="AH473" t="str">
            <v>KA87T-B0-X</v>
          </cell>
        </row>
        <row r="474">
          <cell r="A474" t="str">
            <v>MR000470</v>
          </cell>
          <cell r="B474" t="str">
            <v>MR</v>
          </cell>
          <cell r="C474">
            <v>11</v>
          </cell>
          <cell r="D474">
            <v>47</v>
          </cell>
          <cell r="E474" t="str">
            <v>KA87</v>
          </cell>
          <cell r="F474">
            <v>2230</v>
          </cell>
          <cell r="G474">
            <v>31.39</v>
          </cell>
          <cell r="H474">
            <v>1.2</v>
          </cell>
          <cell r="I474" t="str">
            <v>M4B</v>
          </cell>
          <cell r="J474" t="str">
            <v>IE3</v>
          </cell>
          <cell r="K474">
            <v>400</v>
          </cell>
          <cell r="L474">
            <v>50</v>
          </cell>
          <cell r="M474">
            <v>21</v>
          </cell>
          <cell r="N474">
            <v>55</v>
          </cell>
          <cell r="O474" t="str">
            <v>F</v>
          </cell>
          <cell r="P474" t="str">
            <v>0°</v>
          </cell>
          <cell r="R474" t="str">
            <v>-</v>
          </cell>
          <cell r="U474" t="str">
            <v>T</v>
          </cell>
          <cell r="V474" t="str">
            <v>SS</v>
          </cell>
          <cell r="X474" t="str">
            <v>CLP (CC) VG 220 = -15° + 40°</v>
          </cell>
          <cell r="Y474" t="str">
            <v>KA87/TDRN160M4</v>
          </cell>
          <cell r="Z474" t="str">
            <v>SEW</v>
          </cell>
          <cell r="AH474" t="str">
            <v>KA87T-B0-X</v>
          </cell>
        </row>
        <row r="475">
          <cell r="A475" t="str">
            <v>MR000471</v>
          </cell>
          <cell r="B475" t="str">
            <v>MR</v>
          </cell>
          <cell r="C475">
            <v>0.75</v>
          </cell>
          <cell r="D475">
            <v>162</v>
          </cell>
          <cell r="E475" t="str">
            <v>KA37</v>
          </cell>
          <cell r="F475">
            <v>44</v>
          </cell>
          <cell r="G475">
            <v>8.91</v>
          </cell>
          <cell r="H475">
            <v>3.6</v>
          </cell>
          <cell r="I475" t="str">
            <v>From M1A to M2A - 25°</v>
          </cell>
          <cell r="J475" t="str">
            <v>IE3</v>
          </cell>
          <cell r="K475">
            <v>400</v>
          </cell>
          <cell r="L475">
            <v>50</v>
          </cell>
          <cell r="M475">
            <v>1.75</v>
          </cell>
          <cell r="N475">
            <v>55</v>
          </cell>
          <cell r="O475" t="str">
            <v>F</v>
          </cell>
          <cell r="P475" t="str">
            <v>270°</v>
          </cell>
          <cell r="R475" t="str">
            <v>-</v>
          </cell>
          <cell r="U475" t="str">
            <v>T</v>
          </cell>
          <cell r="V475" t="str">
            <v>D</v>
          </cell>
          <cell r="X475" t="str">
            <v>CLP (CC) VG 220 = -15° + 40°</v>
          </cell>
          <cell r="Y475" t="str">
            <v>KA37/T DRN80M4</v>
          </cell>
          <cell r="Z475" t="str">
            <v>SEW</v>
          </cell>
          <cell r="AH475" t="str">
            <v>KA37T-A270-X</v>
          </cell>
        </row>
        <row r="476">
          <cell r="A476" t="str">
            <v>MR000472</v>
          </cell>
          <cell r="B476" t="str">
            <v>MR</v>
          </cell>
          <cell r="C476">
            <v>7.5</v>
          </cell>
          <cell r="D476">
            <v>47</v>
          </cell>
          <cell r="E476" t="str">
            <v>KH87</v>
          </cell>
          <cell r="F476">
            <v>1530</v>
          </cell>
          <cell r="G476">
            <v>31.39</v>
          </cell>
          <cell r="H476">
            <v>1.75</v>
          </cell>
          <cell r="I476" t="str">
            <v>M4A</v>
          </cell>
          <cell r="J476" t="str">
            <v>IE3</v>
          </cell>
          <cell r="K476">
            <v>400</v>
          </cell>
          <cell r="L476">
            <v>50</v>
          </cell>
          <cell r="M476">
            <v>15.2</v>
          </cell>
          <cell r="N476">
            <v>55</v>
          </cell>
          <cell r="O476" t="str">
            <v>F</v>
          </cell>
          <cell r="P476" t="str">
            <v>270°</v>
          </cell>
          <cell r="R476" t="str">
            <v>-</v>
          </cell>
          <cell r="S476" t="str">
            <v>Free rotation CCW</v>
          </cell>
          <cell r="U476" t="str">
            <v>T</v>
          </cell>
          <cell r="V476" t="str">
            <v>SS</v>
          </cell>
          <cell r="X476" t="str">
            <v>CLP (CC) VG 220 = -15° + 40°</v>
          </cell>
          <cell r="Y476" t="str">
            <v>KH87/TDRN132M4-RS</v>
          </cell>
          <cell r="Z476" t="str">
            <v>SEW</v>
          </cell>
          <cell r="AH476" t="str">
            <v>KH87T-A270-X</v>
          </cell>
        </row>
        <row r="477">
          <cell r="A477" t="str">
            <v>MR000473</v>
          </cell>
          <cell r="B477" t="str">
            <v>MR</v>
          </cell>
          <cell r="C477">
            <v>7.5</v>
          </cell>
          <cell r="D477">
            <v>47</v>
          </cell>
          <cell r="E477" t="str">
            <v>KH87</v>
          </cell>
          <cell r="F477">
            <v>1530</v>
          </cell>
          <cell r="G477">
            <v>31.39</v>
          </cell>
          <cell r="H477">
            <v>1.75</v>
          </cell>
          <cell r="I477" t="str">
            <v>M4A</v>
          </cell>
          <cell r="J477" t="str">
            <v>IE3</v>
          </cell>
          <cell r="K477">
            <v>400</v>
          </cell>
          <cell r="L477">
            <v>50</v>
          </cell>
          <cell r="M477">
            <v>15.2</v>
          </cell>
          <cell r="N477">
            <v>55</v>
          </cell>
          <cell r="O477" t="str">
            <v>F</v>
          </cell>
          <cell r="P477" t="str">
            <v>270°</v>
          </cell>
          <cell r="R477" t="str">
            <v>-</v>
          </cell>
          <cell r="U477" t="str">
            <v>T</v>
          </cell>
          <cell r="V477" t="str">
            <v>SS</v>
          </cell>
          <cell r="X477" t="str">
            <v>CLP (CC) VG 220 = -15° + 40°</v>
          </cell>
          <cell r="Y477" t="str">
            <v>KH87/TDRN132M4</v>
          </cell>
          <cell r="Z477" t="str">
            <v>SEW</v>
          </cell>
          <cell r="AH477" t="str">
            <v>KH87T-A270-X</v>
          </cell>
        </row>
        <row r="478">
          <cell r="A478" t="str">
            <v>MR000474</v>
          </cell>
          <cell r="B478" t="str">
            <v>MR</v>
          </cell>
          <cell r="C478">
            <v>11</v>
          </cell>
          <cell r="D478">
            <v>12</v>
          </cell>
          <cell r="E478" t="str">
            <v>KH127</v>
          </cell>
          <cell r="F478">
            <v>8730</v>
          </cell>
          <cell r="G478">
            <v>122.48</v>
          </cell>
          <cell r="H478">
            <v>1.5</v>
          </cell>
          <cell r="I478" t="str">
            <v>From M4A to M1A - 5°</v>
          </cell>
          <cell r="J478" t="str">
            <v>IE3</v>
          </cell>
          <cell r="K478">
            <v>400</v>
          </cell>
          <cell r="L478">
            <v>50</v>
          </cell>
          <cell r="M478">
            <v>21</v>
          </cell>
          <cell r="N478">
            <v>55</v>
          </cell>
          <cell r="O478" t="str">
            <v>F</v>
          </cell>
          <cell r="P478" t="str">
            <v>270°</v>
          </cell>
          <cell r="R478" t="str">
            <v>-</v>
          </cell>
          <cell r="V478" t="str">
            <v>SS</v>
          </cell>
          <cell r="X478" t="str">
            <v>CLP (CC) VG 220 = -15° + 40°</v>
          </cell>
          <cell r="Y478" t="str">
            <v>KH127DRN160M4</v>
          </cell>
          <cell r="Z478" t="str">
            <v>SEW</v>
          </cell>
          <cell r="AH478" t="str">
            <v>KH127-A270-X</v>
          </cell>
        </row>
        <row r="479">
          <cell r="A479" t="str">
            <v>MR000475</v>
          </cell>
          <cell r="B479" t="str">
            <v>MR</v>
          </cell>
          <cell r="C479">
            <v>11</v>
          </cell>
          <cell r="D479">
            <v>12</v>
          </cell>
          <cell r="E479" t="str">
            <v>KH127</v>
          </cell>
          <cell r="F479">
            <v>8730</v>
          </cell>
          <cell r="G479">
            <v>122.48</v>
          </cell>
          <cell r="H479">
            <v>1.5</v>
          </cell>
          <cell r="I479" t="str">
            <v>From M4B to M1B - 5°</v>
          </cell>
          <cell r="J479" t="str">
            <v>IE3</v>
          </cell>
          <cell r="K479">
            <v>400</v>
          </cell>
          <cell r="L479">
            <v>50</v>
          </cell>
          <cell r="M479">
            <v>21</v>
          </cell>
          <cell r="N479">
            <v>55</v>
          </cell>
          <cell r="O479" t="str">
            <v>F</v>
          </cell>
          <cell r="P479" t="str">
            <v>270°</v>
          </cell>
          <cell r="R479" t="str">
            <v>-</v>
          </cell>
          <cell r="V479" t="str">
            <v>SS</v>
          </cell>
          <cell r="X479" t="str">
            <v>CLP (CC) VG 220 = -15° + 40°</v>
          </cell>
          <cell r="Y479" t="str">
            <v>KH127DRN160M4</v>
          </cell>
          <cell r="Z479" t="str">
            <v>SEW</v>
          </cell>
          <cell r="AH479" t="str">
            <v>KH127-B270-X</v>
          </cell>
        </row>
        <row r="480">
          <cell r="A480" t="str">
            <v>MR000476</v>
          </cell>
          <cell r="B480" t="str">
            <v>MR</v>
          </cell>
          <cell r="C480">
            <v>11</v>
          </cell>
          <cell r="D480">
            <v>66</v>
          </cell>
          <cell r="E480" t="str">
            <v>R97</v>
          </cell>
          <cell r="F480">
            <v>1590</v>
          </cell>
          <cell r="G480">
            <v>22.37</v>
          </cell>
          <cell r="H480">
            <v>1.7</v>
          </cell>
          <cell r="I480" t="str">
            <v>From M1 to M2 - 10°</v>
          </cell>
          <cell r="J480" t="str">
            <v>IE3</v>
          </cell>
          <cell r="K480">
            <v>400</v>
          </cell>
          <cell r="L480">
            <v>50</v>
          </cell>
          <cell r="M480">
            <v>21</v>
          </cell>
          <cell r="N480">
            <v>55</v>
          </cell>
          <cell r="O480" t="str">
            <v>F</v>
          </cell>
          <cell r="P480" t="str">
            <v>270°</v>
          </cell>
          <cell r="R480" t="str">
            <v>-</v>
          </cell>
          <cell r="V480" t="str">
            <v>D</v>
          </cell>
          <cell r="X480" t="str">
            <v>CLP (CC) VG 220 = -15° + 40°</v>
          </cell>
          <cell r="Y480" t="str">
            <v>R97DRN160M4</v>
          </cell>
          <cell r="Z480" t="str">
            <v>SEW</v>
          </cell>
          <cell r="AH480" t="str">
            <v>R97-270-X</v>
          </cell>
        </row>
        <row r="481">
          <cell r="A481" t="str">
            <v>MR000477</v>
          </cell>
          <cell r="B481" t="str">
            <v>MR</v>
          </cell>
          <cell r="C481">
            <v>45</v>
          </cell>
          <cell r="D481">
            <v>61</v>
          </cell>
          <cell r="E481" t="str">
            <v>R147</v>
          </cell>
          <cell r="F481">
            <v>7010</v>
          </cell>
          <cell r="G481">
            <v>24.19</v>
          </cell>
          <cell r="H481">
            <v>1.7</v>
          </cell>
          <cell r="I481" t="str">
            <v>M4</v>
          </cell>
          <cell r="J481" t="str">
            <v>IE3</v>
          </cell>
          <cell r="K481">
            <v>400</v>
          </cell>
          <cell r="L481">
            <v>50</v>
          </cell>
          <cell r="M481">
            <v>81</v>
          </cell>
          <cell r="N481">
            <v>55</v>
          </cell>
          <cell r="O481" t="str">
            <v>F</v>
          </cell>
          <cell r="P481" t="str">
            <v>270°</v>
          </cell>
          <cell r="R481" t="str">
            <v>-</v>
          </cell>
          <cell r="V481" t="str">
            <v>D</v>
          </cell>
          <cell r="X481" t="str">
            <v>CLP (CC) VG 220 = -15° + 40°</v>
          </cell>
          <cell r="Y481" t="str">
            <v>R147DRN225M4</v>
          </cell>
          <cell r="Z481" t="str">
            <v>SEW</v>
          </cell>
          <cell r="AH481" t="str">
            <v>R147-270-X</v>
          </cell>
        </row>
        <row r="482">
          <cell r="A482" t="str">
            <v>MR000478</v>
          </cell>
          <cell r="B482" t="str">
            <v>MR</v>
          </cell>
          <cell r="C482">
            <v>7.5</v>
          </cell>
          <cell r="D482">
            <v>77</v>
          </cell>
          <cell r="E482" t="str">
            <v>R87</v>
          </cell>
          <cell r="F482">
            <v>930</v>
          </cell>
          <cell r="G482">
            <v>19.100000000000001</v>
          </cell>
          <cell r="H482">
            <v>1.55</v>
          </cell>
          <cell r="I482" t="str">
            <v>From M1 to M2 - 10°</v>
          </cell>
          <cell r="J482" t="str">
            <v>IE3</v>
          </cell>
          <cell r="K482">
            <v>400</v>
          </cell>
          <cell r="L482">
            <v>50</v>
          </cell>
          <cell r="M482">
            <v>15.2</v>
          </cell>
          <cell r="N482">
            <v>55</v>
          </cell>
          <cell r="O482" t="str">
            <v>F</v>
          </cell>
          <cell r="P482" t="str">
            <v>270°</v>
          </cell>
          <cell r="R482" t="str">
            <v>-</v>
          </cell>
          <cell r="V482" t="str">
            <v>D</v>
          </cell>
          <cell r="X482" t="str">
            <v>CLP (CC) VG 220 = -15° + 40°</v>
          </cell>
          <cell r="Y482" t="str">
            <v>R87DRN132M4</v>
          </cell>
          <cell r="Z482" t="str">
            <v>SEW</v>
          </cell>
          <cell r="AH482" t="str">
            <v>R87-270-X</v>
          </cell>
        </row>
        <row r="483">
          <cell r="A483" t="str">
            <v>MR000479</v>
          </cell>
          <cell r="B483" t="str">
            <v>MR</v>
          </cell>
          <cell r="C483">
            <v>22</v>
          </cell>
          <cell r="D483">
            <v>94</v>
          </cell>
          <cell r="E483" t="str">
            <v>R107</v>
          </cell>
          <cell r="F483">
            <v>2220</v>
          </cell>
          <cell r="G483">
            <v>15.65</v>
          </cell>
          <cell r="H483">
            <v>1.95</v>
          </cell>
          <cell r="I483" t="str">
            <v>M4</v>
          </cell>
          <cell r="J483" t="str">
            <v>IE3</v>
          </cell>
          <cell r="K483" t="str">
            <v>400/690</v>
          </cell>
          <cell r="L483">
            <v>50</v>
          </cell>
          <cell r="M483" t="str">
            <v>38,5/22,5</v>
          </cell>
          <cell r="N483">
            <v>55</v>
          </cell>
          <cell r="O483" t="str">
            <v>F</v>
          </cell>
          <cell r="P483" t="str">
            <v>270°</v>
          </cell>
          <cell r="R483" t="str">
            <v>-</v>
          </cell>
          <cell r="V483" t="str">
            <v>D</v>
          </cell>
          <cell r="X483" t="str">
            <v>CLP VG 220 = -15° + 40°</v>
          </cell>
          <cell r="Y483" t="str">
            <v>R107DRN180L4</v>
          </cell>
          <cell r="Z483" t="str">
            <v>SEW</v>
          </cell>
          <cell r="AH483" t="str">
            <v>R107-270-X</v>
          </cell>
        </row>
        <row r="484">
          <cell r="A484" t="str">
            <v>MR000480</v>
          </cell>
          <cell r="B484" t="str">
            <v>ME</v>
          </cell>
          <cell r="C484">
            <v>30</v>
          </cell>
          <cell r="D484">
            <v>1480</v>
          </cell>
          <cell r="E484" t="str">
            <v>DRN200L4</v>
          </cell>
          <cell r="F484">
            <v>194</v>
          </cell>
          <cell r="J484" t="str">
            <v>IE3</v>
          </cell>
          <cell r="K484" t="str">
            <v>230/400</v>
          </cell>
          <cell r="L484">
            <v>50</v>
          </cell>
          <cell r="M484">
            <v>56</v>
          </cell>
          <cell r="N484">
            <v>55</v>
          </cell>
          <cell r="O484" t="str">
            <v>F</v>
          </cell>
          <cell r="R484" t="str">
            <v>-</v>
          </cell>
          <cell r="V484" t="str">
            <v>D</v>
          </cell>
          <cell r="Y484" t="str">
            <v>DRN200L4</v>
          </cell>
          <cell r="Z484" t="str">
            <v>SEW</v>
          </cell>
          <cell r="AH484" t="str">
            <v>DRN200L4--X</v>
          </cell>
        </row>
        <row r="485">
          <cell r="A485" t="str">
            <v>MR000481</v>
          </cell>
          <cell r="B485" t="str">
            <v>MR</v>
          </cell>
          <cell r="C485">
            <v>1.5</v>
          </cell>
          <cell r="D485">
            <v>1.1000000000000001</v>
          </cell>
          <cell r="E485" t="str">
            <v xml:space="preserve">KA127R77 </v>
          </cell>
          <cell r="F485">
            <v>13000</v>
          </cell>
          <cell r="G485">
            <v>1342</v>
          </cell>
          <cell r="H485">
            <v>1.1000000000000001</v>
          </cell>
          <cell r="I485" t="str">
            <v>From M1A to M4A - 55°</v>
          </cell>
          <cell r="J485" t="str">
            <v>IE3</v>
          </cell>
          <cell r="K485" t="str">
            <v>230/400</v>
          </cell>
          <cell r="L485">
            <v>50</v>
          </cell>
          <cell r="M485">
            <v>3.4</v>
          </cell>
          <cell r="N485">
            <v>55</v>
          </cell>
          <cell r="O485" t="str">
            <v>F</v>
          </cell>
          <cell r="P485" t="str">
            <v>270°</v>
          </cell>
          <cell r="R485" t="str">
            <v>-</v>
          </cell>
          <cell r="U485" t="str">
            <v>T</v>
          </cell>
          <cell r="V485" t="str">
            <v>D</v>
          </cell>
          <cell r="X485" t="str">
            <v>CLP (CC) VG 220 = -15° + 40°</v>
          </cell>
          <cell r="Y485" t="str">
            <v>KA127/TR77 DRN90L4</v>
          </cell>
          <cell r="Z485" t="str">
            <v>SEW</v>
          </cell>
          <cell r="AH485" t="str">
            <v>KA127R77 T-A270-X</v>
          </cell>
        </row>
        <row r="486">
          <cell r="A486" t="str">
            <v>MR000482</v>
          </cell>
          <cell r="B486" t="str">
            <v>MR</v>
          </cell>
          <cell r="C486">
            <v>22</v>
          </cell>
          <cell r="D486">
            <v>16</v>
          </cell>
          <cell r="E486" t="str">
            <v>KH127</v>
          </cell>
          <cell r="F486">
            <v>12700</v>
          </cell>
          <cell r="G486">
            <v>89.89</v>
          </cell>
          <cell r="H486">
            <v>1</v>
          </cell>
          <cell r="I486" t="str">
            <v>From M4B to M1B - 40°</v>
          </cell>
          <cell r="J486" t="str">
            <v>IE3</v>
          </cell>
          <cell r="K486" t="str">
            <v>400/690</v>
          </cell>
          <cell r="L486">
            <v>50</v>
          </cell>
          <cell r="M486">
            <v>38.5</v>
          </cell>
          <cell r="N486">
            <v>55</v>
          </cell>
          <cell r="O486" t="str">
            <v>F</v>
          </cell>
          <cell r="P486" t="str">
            <v>270°</v>
          </cell>
          <cell r="Q486" t="str">
            <v>TF</v>
          </cell>
          <cell r="R486" t="str">
            <v>V</v>
          </cell>
          <cell r="V486" t="str">
            <v>FC</v>
          </cell>
          <cell r="W486" t="str">
            <v>X</v>
          </cell>
          <cell r="X486" t="str">
            <v>CLP HC VG 150 = -40° + 40°</v>
          </cell>
          <cell r="Y486" t="str">
            <v>KH127 DRN180L4/TF/V</v>
          </cell>
          <cell r="Z486" t="str">
            <v>SEW</v>
          </cell>
          <cell r="AH486" t="str">
            <v>KH127-B270-X#</v>
          </cell>
        </row>
        <row r="487">
          <cell r="A487" t="str">
            <v>MR000483</v>
          </cell>
          <cell r="B487" t="str">
            <v>MR</v>
          </cell>
          <cell r="C487">
            <v>11</v>
          </cell>
          <cell r="D487">
            <v>47</v>
          </cell>
          <cell r="E487" t="str">
            <v>KH87</v>
          </cell>
          <cell r="F487">
            <v>2230</v>
          </cell>
          <cell r="G487">
            <v>31.39</v>
          </cell>
          <cell r="H487">
            <v>1.2</v>
          </cell>
          <cell r="I487" t="str">
            <v>M4A</v>
          </cell>
          <cell r="J487" t="str">
            <v>IE3</v>
          </cell>
          <cell r="K487">
            <v>400</v>
          </cell>
          <cell r="L487">
            <v>50</v>
          </cell>
          <cell r="M487">
            <v>21</v>
          </cell>
          <cell r="N487">
            <v>55</v>
          </cell>
          <cell r="O487" t="str">
            <v>F</v>
          </cell>
          <cell r="P487" t="str">
            <v>270°</v>
          </cell>
          <cell r="Q487" t="str">
            <v>TF</v>
          </cell>
          <cell r="R487" t="str">
            <v>V</v>
          </cell>
          <cell r="U487" t="str">
            <v>T</v>
          </cell>
          <cell r="V487" t="str">
            <v>FC</v>
          </cell>
          <cell r="X487" t="str">
            <v>CLP HC VG 220 = -20° + 60°</v>
          </cell>
          <cell r="Y487" t="str">
            <v>KH87/TDRN160M4/TF/V</v>
          </cell>
          <cell r="Z487" t="str">
            <v>SEW</v>
          </cell>
          <cell r="AH487" t="str">
            <v>KH87T-A270-X#</v>
          </cell>
        </row>
        <row r="488">
          <cell r="A488" t="str">
            <v>MR000484</v>
          </cell>
          <cell r="B488" t="str">
            <v>MR</v>
          </cell>
          <cell r="C488">
            <v>0.75</v>
          </cell>
          <cell r="D488">
            <v>162</v>
          </cell>
          <cell r="E488" t="str">
            <v>KA37</v>
          </cell>
          <cell r="F488">
            <v>44</v>
          </cell>
          <cell r="G488">
            <v>8.91</v>
          </cell>
          <cell r="H488">
            <v>3.6</v>
          </cell>
          <cell r="I488" t="str">
            <v>M1B</v>
          </cell>
          <cell r="J488" t="str">
            <v>IE3</v>
          </cell>
          <cell r="K488">
            <v>400</v>
          </cell>
          <cell r="L488">
            <v>50</v>
          </cell>
          <cell r="M488">
            <v>1.75</v>
          </cell>
          <cell r="N488">
            <v>55</v>
          </cell>
          <cell r="O488" t="str">
            <v>F</v>
          </cell>
          <cell r="P488" t="str">
            <v>0°</v>
          </cell>
          <cell r="R488" t="str">
            <v>-</v>
          </cell>
          <cell r="U488" t="str">
            <v>T</v>
          </cell>
          <cell r="V488" t="str">
            <v>D</v>
          </cell>
          <cell r="X488" t="str">
            <v>CLP HC VG 220 = -20° + 60°</v>
          </cell>
          <cell r="Y488" t="str">
            <v>KA37/T DRN80M4</v>
          </cell>
          <cell r="Z488" t="str">
            <v>SEW</v>
          </cell>
          <cell r="AH488" t="str">
            <v>KA37T-B0-X</v>
          </cell>
        </row>
        <row r="489">
          <cell r="A489" t="str">
            <v>MR000485</v>
          </cell>
          <cell r="B489" t="str">
            <v>MR</v>
          </cell>
          <cell r="C489">
            <v>5.5</v>
          </cell>
          <cell r="D489">
            <v>57</v>
          </cell>
          <cell r="E489" t="str">
            <v>FH77</v>
          </cell>
          <cell r="F489">
            <v>910</v>
          </cell>
          <cell r="G489">
            <v>25.5</v>
          </cell>
          <cell r="H489">
            <v>1.65</v>
          </cell>
          <cell r="I489" t="str">
            <v>From M1 to M2 -25°</v>
          </cell>
          <cell r="J489" t="str">
            <v>IE3</v>
          </cell>
          <cell r="K489">
            <v>400</v>
          </cell>
          <cell r="L489">
            <v>50</v>
          </cell>
          <cell r="M489">
            <v>10.5</v>
          </cell>
          <cell r="N489">
            <v>55</v>
          </cell>
          <cell r="O489" t="str">
            <v>F</v>
          </cell>
          <cell r="P489" t="str">
            <v>270°</v>
          </cell>
          <cell r="R489" t="str">
            <v>-</v>
          </cell>
          <cell r="V489" t="str">
            <v>D</v>
          </cell>
          <cell r="X489" t="str">
            <v>CLP HC VG 150 = -40° + 40°</v>
          </cell>
          <cell r="Y489" t="str">
            <v>FH77/GDRN132S4</v>
          </cell>
          <cell r="Z489" t="str">
            <v>SEW</v>
          </cell>
          <cell r="AH489" t="str">
            <v>FH77-270-X</v>
          </cell>
        </row>
        <row r="490">
          <cell r="A490" t="str">
            <v>MR000486</v>
          </cell>
          <cell r="B490" t="str">
            <v>MR</v>
          </cell>
          <cell r="C490">
            <v>5.5</v>
          </cell>
          <cell r="D490">
            <v>57</v>
          </cell>
          <cell r="E490" t="str">
            <v>FH77</v>
          </cell>
          <cell r="F490">
            <v>910</v>
          </cell>
          <cell r="G490">
            <v>25.5</v>
          </cell>
          <cell r="H490">
            <v>1.65</v>
          </cell>
          <cell r="I490" t="str">
            <v>M1</v>
          </cell>
          <cell r="J490" t="str">
            <v>IE3</v>
          </cell>
          <cell r="K490">
            <v>400</v>
          </cell>
          <cell r="L490">
            <v>50</v>
          </cell>
          <cell r="M490">
            <v>10.5</v>
          </cell>
          <cell r="N490">
            <v>55</v>
          </cell>
          <cell r="O490" t="str">
            <v>F</v>
          </cell>
          <cell r="P490" t="str">
            <v>270°</v>
          </cell>
          <cell r="R490" t="str">
            <v>-</v>
          </cell>
          <cell r="V490" t="str">
            <v>D+R</v>
          </cell>
          <cell r="X490" t="str">
            <v>CLP HC VG 150 = -40° + 40°</v>
          </cell>
          <cell r="Y490" t="str">
            <v>FH77/GDRN132S4</v>
          </cell>
          <cell r="Z490" t="str">
            <v>SEW</v>
          </cell>
          <cell r="AH490" t="str">
            <v>FH77-270-X</v>
          </cell>
        </row>
        <row r="491">
          <cell r="A491" t="str">
            <v>MR000487</v>
          </cell>
          <cell r="B491" t="str">
            <v>MR</v>
          </cell>
          <cell r="C491">
            <v>9.1999999999999993</v>
          </cell>
          <cell r="D491">
            <v>14</v>
          </cell>
          <cell r="E491" t="str">
            <v>R137</v>
          </cell>
          <cell r="F491">
            <v>6110</v>
          </cell>
          <cell r="G491">
            <v>103.2</v>
          </cell>
          <cell r="H491">
            <v>1.3</v>
          </cell>
          <cell r="I491" t="str">
            <v>From M1 to M2 - 15°</v>
          </cell>
          <cell r="J491" t="str">
            <v>IE3</v>
          </cell>
          <cell r="K491">
            <v>400</v>
          </cell>
          <cell r="L491">
            <v>50</v>
          </cell>
          <cell r="M491">
            <v>18.7</v>
          </cell>
          <cell r="N491">
            <v>55</v>
          </cell>
          <cell r="O491" t="str">
            <v>F</v>
          </cell>
          <cell r="P491" t="str">
            <v>270°</v>
          </cell>
          <cell r="Q491" t="str">
            <v>TF</v>
          </cell>
          <cell r="R491" t="str">
            <v>V</v>
          </cell>
          <cell r="V491" t="str">
            <v>FC</v>
          </cell>
          <cell r="X491" t="str">
            <v>CLP HC VG 150 = -40° + 40°</v>
          </cell>
          <cell r="Y491" t="str">
            <v>R137DRN132L4</v>
          </cell>
          <cell r="Z491" t="str">
            <v>SEW</v>
          </cell>
          <cell r="AH491" t="str">
            <v>R137-270-X#</v>
          </cell>
        </row>
        <row r="492">
          <cell r="A492" t="str">
            <v>MR000488</v>
          </cell>
          <cell r="B492" t="str">
            <v>MR</v>
          </cell>
          <cell r="C492">
            <v>7.5</v>
          </cell>
          <cell r="D492">
            <v>59</v>
          </cell>
          <cell r="E492" t="str">
            <v>KH87</v>
          </cell>
          <cell r="F492">
            <v>1210</v>
          </cell>
          <cell r="G492">
            <v>24.92</v>
          </cell>
          <cell r="H492">
            <v>2.1</v>
          </cell>
          <cell r="I492" t="str">
            <v>M4B</v>
          </cell>
          <cell r="J492" t="str">
            <v>IE3</v>
          </cell>
          <cell r="K492">
            <v>400</v>
          </cell>
          <cell r="L492">
            <v>50</v>
          </cell>
          <cell r="M492">
            <v>15.2</v>
          </cell>
          <cell r="N492">
            <v>55</v>
          </cell>
          <cell r="O492" t="str">
            <v>F</v>
          </cell>
          <cell r="P492" t="str">
            <v>270°</v>
          </cell>
          <cell r="R492" t="str">
            <v>-</v>
          </cell>
          <cell r="S492" t="str">
            <v>Free rotation CW</v>
          </cell>
          <cell r="U492" t="str">
            <v>T</v>
          </cell>
          <cell r="V492" t="str">
            <v>SS</v>
          </cell>
          <cell r="X492" t="str">
            <v>CLP HC VG 150 = -40° + 40°</v>
          </cell>
          <cell r="Y492" t="str">
            <v>KH87/TDRN132M4-RS</v>
          </cell>
          <cell r="Z492" t="str">
            <v>SEW</v>
          </cell>
          <cell r="AH492" t="str">
            <v>KH87T-B270-X</v>
          </cell>
        </row>
        <row r="493">
          <cell r="A493" t="str">
            <v>MR000489</v>
          </cell>
          <cell r="B493" t="str">
            <v>MR</v>
          </cell>
          <cell r="C493">
            <v>7.5</v>
          </cell>
          <cell r="D493">
            <v>59</v>
          </cell>
          <cell r="E493" t="str">
            <v>KH87</v>
          </cell>
          <cell r="F493">
            <v>1210</v>
          </cell>
          <cell r="G493">
            <v>24.92</v>
          </cell>
          <cell r="H493">
            <v>2.1</v>
          </cell>
          <cell r="I493" t="str">
            <v>M4B</v>
          </cell>
          <cell r="J493" t="str">
            <v>IE3</v>
          </cell>
          <cell r="K493">
            <v>400</v>
          </cell>
          <cell r="L493">
            <v>50</v>
          </cell>
          <cell r="M493">
            <v>15.2</v>
          </cell>
          <cell r="N493">
            <v>55</v>
          </cell>
          <cell r="O493" t="str">
            <v>F</v>
          </cell>
          <cell r="P493" t="str">
            <v>270°</v>
          </cell>
          <cell r="R493" t="str">
            <v>-</v>
          </cell>
          <cell r="U493" t="str">
            <v>T</v>
          </cell>
          <cell r="V493" t="str">
            <v>SS</v>
          </cell>
          <cell r="X493" t="str">
            <v>CLP HC VG 150 = -40° + 40°</v>
          </cell>
          <cell r="Y493" t="str">
            <v>KH87/TDRN132M4</v>
          </cell>
          <cell r="Z493" t="str">
            <v>SEW</v>
          </cell>
          <cell r="AH493" t="str">
            <v>KH87T-B270-X</v>
          </cell>
        </row>
        <row r="494">
          <cell r="A494" t="str">
            <v>MR000490</v>
          </cell>
          <cell r="B494" t="str">
            <v>MR</v>
          </cell>
          <cell r="C494">
            <v>0.75</v>
          </cell>
          <cell r="D494" t="str">
            <v>162</v>
          </cell>
          <cell r="E494" t="str">
            <v>KA37</v>
          </cell>
          <cell r="F494">
            <v>44</v>
          </cell>
          <cell r="G494">
            <v>8.91</v>
          </cell>
          <cell r="H494">
            <v>3.6</v>
          </cell>
          <cell r="I494" t="str">
            <v>From M1B to M2B - 30°</v>
          </cell>
          <cell r="J494" t="str">
            <v>IE3</v>
          </cell>
          <cell r="K494">
            <v>400</v>
          </cell>
          <cell r="L494">
            <v>50</v>
          </cell>
          <cell r="M494">
            <v>1.75</v>
          </cell>
          <cell r="N494">
            <v>55</v>
          </cell>
          <cell r="O494" t="str">
            <v>F</v>
          </cell>
          <cell r="P494" t="str">
            <v>270°</v>
          </cell>
          <cell r="R494" t="str">
            <v>-</v>
          </cell>
          <cell r="U494" t="str">
            <v>T</v>
          </cell>
          <cell r="V494" t="str">
            <v>D</v>
          </cell>
          <cell r="X494" t="str">
            <v>CLP HC VG 150 = -40° + 40°</v>
          </cell>
          <cell r="Y494" t="str">
            <v xml:space="preserve">KA37/TDRN80M4 </v>
          </cell>
          <cell r="Z494" t="str">
            <v>SEW</v>
          </cell>
          <cell r="AH494" t="str">
            <v>KA37T-B270-X</v>
          </cell>
        </row>
        <row r="495">
          <cell r="A495" t="str">
            <v>MR000491</v>
          </cell>
          <cell r="B495" t="str">
            <v>MR</v>
          </cell>
          <cell r="C495">
            <v>11</v>
          </cell>
          <cell r="D495">
            <v>66</v>
          </cell>
          <cell r="E495" t="str">
            <v>R97</v>
          </cell>
          <cell r="F495">
            <v>1590</v>
          </cell>
          <cell r="G495">
            <v>22.37</v>
          </cell>
          <cell r="H495">
            <v>1.7</v>
          </cell>
          <cell r="I495" t="str">
            <v>From M1 to M2 - 20°</v>
          </cell>
          <cell r="J495" t="str">
            <v>IE3</v>
          </cell>
          <cell r="K495">
            <v>400</v>
          </cell>
          <cell r="L495">
            <v>50</v>
          </cell>
          <cell r="M495">
            <v>21</v>
          </cell>
          <cell r="N495">
            <v>55</v>
          </cell>
          <cell r="O495" t="str">
            <v>F</v>
          </cell>
          <cell r="P495" t="str">
            <v>270°</v>
          </cell>
          <cell r="R495" t="str">
            <v>-</v>
          </cell>
          <cell r="V495" t="str">
            <v>D</v>
          </cell>
          <cell r="X495" t="str">
            <v>CLP HC VG 150 = -40° + 40°</v>
          </cell>
          <cell r="Y495" t="str">
            <v>R97DRN160M4</v>
          </cell>
          <cell r="Z495" t="str">
            <v>SEW</v>
          </cell>
          <cell r="AH495" t="str">
            <v>R97-270-X</v>
          </cell>
        </row>
        <row r="496">
          <cell r="A496" t="str">
            <v>MR000492</v>
          </cell>
          <cell r="B496" t="str">
            <v>MR</v>
          </cell>
          <cell r="C496">
            <v>11</v>
          </cell>
          <cell r="D496">
            <v>33</v>
          </cell>
          <cell r="E496" t="str">
            <v>R137</v>
          </cell>
          <cell r="F496">
            <v>3160</v>
          </cell>
          <cell r="G496">
            <v>44.39</v>
          </cell>
          <cell r="H496">
            <v>2.5</v>
          </cell>
          <cell r="I496" t="str">
            <v>M1</v>
          </cell>
          <cell r="J496" t="str">
            <v>IE3</v>
          </cell>
          <cell r="K496">
            <v>400</v>
          </cell>
          <cell r="L496">
            <v>50</v>
          </cell>
          <cell r="M496">
            <v>33.5</v>
          </cell>
          <cell r="N496">
            <v>55</v>
          </cell>
          <cell r="O496" t="str">
            <v>F</v>
          </cell>
          <cell r="P496" t="str">
            <v>270°</v>
          </cell>
          <cell r="R496" t="str">
            <v>-</v>
          </cell>
          <cell r="S496" t="str">
            <v>free rotation CCW</v>
          </cell>
          <cell r="V496" t="str">
            <v>SS</v>
          </cell>
          <cell r="X496" t="str">
            <v>CLP HC VG 150 = -40° + 40°</v>
          </cell>
          <cell r="Y496" t="str">
            <v>R137DRN160M4-RS</v>
          </cell>
          <cell r="Z496" t="str">
            <v>SEW</v>
          </cell>
          <cell r="AH496" t="str">
            <v>R137-270-X</v>
          </cell>
        </row>
        <row r="497">
          <cell r="A497" t="str">
            <v>MR000493</v>
          </cell>
          <cell r="B497" t="str">
            <v>MR</v>
          </cell>
          <cell r="C497">
            <v>15</v>
          </cell>
          <cell r="D497">
            <v>22</v>
          </cell>
          <cell r="E497" t="str">
            <v>KH107</v>
          </cell>
          <cell r="F497">
            <v>6460</v>
          </cell>
          <cell r="G497">
            <v>66.52</v>
          </cell>
          <cell r="H497">
            <v>1.25</v>
          </cell>
          <cell r="I497" t="str">
            <v>M1B</v>
          </cell>
          <cell r="J497" t="str">
            <v>IE3</v>
          </cell>
          <cell r="K497">
            <v>400</v>
          </cell>
          <cell r="L497">
            <v>50</v>
          </cell>
          <cell r="M497">
            <v>29</v>
          </cell>
          <cell r="N497">
            <v>55</v>
          </cell>
          <cell r="O497" t="str">
            <v>F</v>
          </cell>
          <cell r="P497" t="str">
            <v>270°</v>
          </cell>
          <cell r="Q497" t="str">
            <v>TF</v>
          </cell>
          <cell r="R497" t="str">
            <v>V</v>
          </cell>
          <cell r="V497" t="str">
            <v>FC</v>
          </cell>
          <cell r="X497" t="str">
            <v>CLP HC VG 150 = -40° + 40°</v>
          </cell>
          <cell r="Y497" t="str">
            <v>KH107DRN160L4</v>
          </cell>
          <cell r="Z497" t="str">
            <v>SEW</v>
          </cell>
          <cell r="AH497" t="str">
            <v>KH107-B270-X#</v>
          </cell>
        </row>
        <row r="498">
          <cell r="A498" t="str">
            <v>MR000494</v>
          </cell>
          <cell r="B498" t="str">
            <v>MR</v>
          </cell>
          <cell r="C498">
            <v>11</v>
          </cell>
          <cell r="D498" t="str">
            <v>31</v>
          </cell>
          <cell r="E498" t="str">
            <v>R107</v>
          </cell>
          <cell r="F498">
            <v>3390</v>
          </cell>
          <cell r="G498">
            <v>47.63</v>
          </cell>
          <cell r="H498">
            <v>1.25</v>
          </cell>
          <cell r="I498" t="str">
            <v>M1</v>
          </cell>
          <cell r="J498" t="str">
            <v>IE3</v>
          </cell>
          <cell r="K498">
            <v>400</v>
          </cell>
          <cell r="L498">
            <v>50</v>
          </cell>
          <cell r="M498">
            <v>21</v>
          </cell>
          <cell r="N498">
            <v>55</v>
          </cell>
          <cell r="O498" t="str">
            <v>F</v>
          </cell>
          <cell r="P498" t="str">
            <v>270°</v>
          </cell>
          <cell r="Q498" t="str">
            <v>TF</v>
          </cell>
          <cell r="R498" t="str">
            <v>V</v>
          </cell>
          <cell r="V498" t="str">
            <v>FC</v>
          </cell>
          <cell r="X498" t="str">
            <v>CLP HC VG 150 = -40° + 40°</v>
          </cell>
          <cell r="Y498" t="str">
            <v>R107DRN160M4</v>
          </cell>
          <cell r="Z498" t="str">
            <v>SEW</v>
          </cell>
          <cell r="AH498" t="str">
            <v>R107-270-X#</v>
          </cell>
        </row>
        <row r="499">
          <cell r="A499" t="str">
            <v>MR000495</v>
          </cell>
          <cell r="B499" t="str">
            <v>MR</v>
          </cell>
          <cell r="C499">
            <v>11</v>
          </cell>
          <cell r="D499">
            <v>16</v>
          </cell>
          <cell r="E499" t="str">
            <v>KH107</v>
          </cell>
          <cell r="F499">
            <v>6480</v>
          </cell>
          <cell r="G499">
            <v>90.96</v>
          </cell>
          <cell r="H499">
            <v>1.25</v>
          </cell>
          <cell r="I499" t="str">
            <v>From M1B to M2B - 35°</v>
          </cell>
          <cell r="J499" t="str">
            <v>IE3</v>
          </cell>
          <cell r="K499">
            <v>400</v>
          </cell>
          <cell r="L499">
            <v>50</v>
          </cell>
          <cell r="M499">
            <v>21</v>
          </cell>
          <cell r="N499">
            <v>55</v>
          </cell>
          <cell r="O499" t="str">
            <v>F</v>
          </cell>
          <cell r="P499" t="str">
            <v>270°</v>
          </cell>
          <cell r="R499" t="str">
            <v>-</v>
          </cell>
          <cell r="V499" t="str">
            <v>SS</v>
          </cell>
          <cell r="X499" t="str">
            <v>CLP HC VG 150 = -40° + 40°</v>
          </cell>
          <cell r="Y499" t="str">
            <v>KH107DRN160M4</v>
          </cell>
          <cell r="Z499" t="str">
            <v>SEW</v>
          </cell>
          <cell r="AH499" t="str">
            <v>KH107-B270-X</v>
          </cell>
        </row>
        <row r="500">
          <cell r="A500" t="str">
            <v>MR000496</v>
          </cell>
          <cell r="B500" t="str">
            <v>MR</v>
          </cell>
          <cell r="C500">
            <v>18.5</v>
          </cell>
          <cell r="D500">
            <v>16</v>
          </cell>
          <cell r="E500" t="str">
            <v>KH127</v>
          </cell>
          <cell r="F500">
            <v>10700</v>
          </cell>
          <cell r="G500">
            <v>89.89</v>
          </cell>
          <cell r="H500">
            <v>1.2</v>
          </cell>
          <cell r="I500" t="str">
            <v>M1A</v>
          </cell>
          <cell r="J500" t="str">
            <v>IE3</v>
          </cell>
          <cell r="K500">
            <v>400</v>
          </cell>
          <cell r="L500">
            <v>50</v>
          </cell>
          <cell r="M500">
            <v>33.5</v>
          </cell>
          <cell r="N500">
            <v>55</v>
          </cell>
          <cell r="O500" t="str">
            <v>F</v>
          </cell>
          <cell r="P500" t="str">
            <v>270°</v>
          </cell>
          <cell r="R500" t="str">
            <v>-</v>
          </cell>
          <cell r="V500" t="str">
            <v>SS</v>
          </cell>
          <cell r="X500" t="str">
            <v>CLP HC VG 150 = -40° + 40°</v>
          </cell>
          <cell r="Y500" t="str">
            <v>KH127DRN180M4</v>
          </cell>
          <cell r="Z500" t="str">
            <v>SEW</v>
          </cell>
          <cell r="AH500" t="str">
            <v>KH127-A270-X</v>
          </cell>
        </row>
        <row r="501">
          <cell r="A501" t="str">
            <v>MR000497</v>
          </cell>
          <cell r="B501" t="str">
            <v>MR</v>
          </cell>
          <cell r="C501">
            <v>18.5</v>
          </cell>
          <cell r="D501">
            <v>16</v>
          </cell>
          <cell r="E501" t="str">
            <v>KH127</v>
          </cell>
          <cell r="F501">
            <v>10700</v>
          </cell>
          <cell r="G501">
            <v>89.89</v>
          </cell>
          <cell r="H501">
            <v>1.2</v>
          </cell>
          <cell r="I501" t="str">
            <v>From M1A to M2A - 5°</v>
          </cell>
          <cell r="J501" t="str">
            <v>IE3</v>
          </cell>
          <cell r="K501">
            <v>400</v>
          </cell>
          <cell r="L501">
            <v>50</v>
          </cell>
          <cell r="M501">
            <v>33.5</v>
          </cell>
          <cell r="N501">
            <v>55</v>
          </cell>
          <cell r="O501" t="str">
            <v>F</v>
          </cell>
          <cell r="P501" t="str">
            <v>270°</v>
          </cell>
          <cell r="R501" t="str">
            <v>-</v>
          </cell>
          <cell r="V501" t="str">
            <v>SS</v>
          </cell>
          <cell r="X501" t="str">
            <v>CLP HC VG 150 = -40° + 40°</v>
          </cell>
          <cell r="Y501" t="str">
            <v>KH127DRN180M4</v>
          </cell>
          <cell r="Z501" t="str">
            <v>SEW</v>
          </cell>
          <cell r="AH501" t="str">
            <v>KH127-A270-X</v>
          </cell>
        </row>
        <row r="502">
          <cell r="A502" t="str">
            <v>MR000498</v>
          </cell>
          <cell r="B502" t="str">
            <v>MR</v>
          </cell>
          <cell r="C502">
            <v>18.5</v>
          </cell>
          <cell r="D502">
            <v>33</v>
          </cell>
          <cell r="E502" t="str">
            <v>R137</v>
          </cell>
          <cell r="F502">
            <v>5300</v>
          </cell>
          <cell r="G502">
            <v>44.39</v>
          </cell>
          <cell r="H502">
            <v>1.5</v>
          </cell>
          <cell r="I502" t="str">
            <v>M1</v>
          </cell>
          <cell r="J502" t="str">
            <v>IE3</v>
          </cell>
          <cell r="K502">
            <v>400</v>
          </cell>
          <cell r="L502">
            <v>50</v>
          </cell>
          <cell r="M502">
            <v>33.5</v>
          </cell>
          <cell r="N502">
            <v>55</v>
          </cell>
          <cell r="O502" t="str">
            <v>F</v>
          </cell>
          <cell r="P502" t="str">
            <v>270°</v>
          </cell>
          <cell r="R502" t="str">
            <v>-</v>
          </cell>
          <cell r="S502" t="str">
            <v>free rotation CW</v>
          </cell>
          <cell r="V502" t="str">
            <v>SS</v>
          </cell>
          <cell r="X502" t="str">
            <v>CLP HC VG 150 = -40° + 40°</v>
          </cell>
          <cell r="Y502" t="str">
            <v>R137DRN180M4</v>
          </cell>
          <cell r="Z502" t="str">
            <v>SEW</v>
          </cell>
          <cell r="AH502" t="str">
            <v>R137-270-X</v>
          </cell>
        </row>
        <row r="503">
          <cell r="A503" t="str">
            <v>MR000499</v>
          </cell>
          <cell r="B503" t="str">
            <v>MR</v>
          </cell>
          <cell r="C503">
            <v>9.1999999999999993</v>
          </cell>
          <cell r="D503">
            <v>66</v>
          </cell>
          <cell r="E503" t="str">
            <v>R97</v>
          </cell>
          <cell r="F503">
            <v>1330</v>
          </cell>
          <cell r="G503">
            <v>22.37</v>
          </cell>
          <cell r="H503">
            <v>2</v>
          </cell>
          <cell r="I503" t="str">
            <v>M1</v>
          </cell>
          <cell r="J503" t="str">
            <v>IE3</v>
          </cell>
          <cell r="K503">
            <v>400</v>
          </cell>
          <cell r="L503">
            <v>50</v>
          </cell>
          <cell r="M503">
            <v>18.7</v>
          </cell>
          <cell r="N503">
            <v>55</v>
          </cell>
          <cell r="O503" t="str">
            <v>F</v>
          </cell>
          <cell r="P503" t="str">
            <v>270°</v>
          </cell>
          <cell r="R503" t="str">
            <v>-</v>
          </cell>
          <cell r="V503" t="str">
            <v>D</v>
          </cell>
          <cell r="X503" t="str">
            <v>CLP HC VG 150 = -40° + 40°</v>
          </cell>
          <cell r="Y503" t="str">
            <v>R97DRN132L4</v>
          </cell>
          <cell r="Z503" t="str">
            <v>SEW</v>
          </cell>
          <cell r="AH503" t="str">
            <v>R97-270-X</v>
          </cell>
        </row>
        <row r="504">
          <cell r="A504" t="str">
            <v>MR000500</v>
          </cell>
          <cell r="B504" t="str">
            <v>MR</v>
          </cell>
          <cell r="C504">
            <v>7.5</v>
          </cell>
          <cell r="D504">
            <v>63</v>
          </cell>
          <cell r="E504" t="str">
            <v>R87</v>
          </cell>
          <cell r="F504">
            <v>1140</v>
          </cell>
          <cell r="G504">
            <v>23.4</v>
          </cell>
          <cell r="H504">
            <v>1.35</v>
          </cell>
          <cell r="I504" t="str">
            <v>M1</v>
          </cell>
          <cell r="J504" t="str">
            <v>IE3</v>
          </cell>
          <cell r="K504">
            <v>400</v>
          </cell>
          <cell r="L504">
            <v>50</v>
          </cell>
          <cell r="M504">
            <v>15.2</v>
          </cell>
          <cell r="N504">
            <v>55</v>
          </cell>
          <cell r="O504" t="str">
            <v>F</v>
          </cell>
          <cell r="P504" t="str">
            <v>270°</v>
          </cell>
          <cell r="R504" t="str">
            <v>-</v>
          </cell>
          <cell r="V504" t="str">
            <v>D</v>
          </cell>
          <cell r="X504" t="str">
            <v>CLP HC VG 150 = -40° + 40°</v>
          </cell>
          <cell r="Y504" t="str">
            <v>R87DRN132M4</v>
          </cell>
          <cell r="Z504" t="str">
            <v>SEW</v>
          </cell>
          <cell r="AH504" t="str">
            <v>R87-270-X</v>
          </cell>
        </row>
        <row r="505">
          <cell r="A505" t="str">
            <v>MR000501</v>
          </cell>
          <cell r="B505" t="str">
            <v>ME</v>
          </cell>
          <cell r="C505">
            <v>1.1000000000000001</v>
          </cell>
          <cell r="D505">
            <v>1455</v>
          </cell>
          <cell r="E505" t="str">
            <v>DRN90S4</v>
          </cell>
          <cell r="F505">
            <v>7.2</v>
          </cell>
          <cell r="I505" t="str">
            <v>M5</v>
          </cell>
          <cell r="J505" t="str">
            <v>IE3</v>
          </cell>
          <cell r="K505" t="str">
            <v>230/400</v>
          </cell>
          <cell r="L505">
            <v>50</v>
          </cell>
          <cell r="N505">
            <v>55</v>
          </cell>
          <cell r="O505" t="str">
            <v>F</v>
          </cell>
          <cell r="Q505" t="str">
            <v>TF</v>
          </cell>
          <cell r="R505" t="str">
            <v>-</v>
          </cell>
          <cell r="T505" t="str">
            <v>BE2</v>
          </cell>
          <cell r="V505" t="str">
            <v>D</v>
          </cell>
          <cell r="X505" t="str">
            <v>CLP (CC) VG 220 = -15° + 40°</v>
          </cell>
          <cell r="Y505" t="str">
            <v xml:space="preserve"> DRN90S4/BE2/FG/TF</v>
          </cell>
          <cell r="Z505" t="str">
            <v>SEW</v>
          </cell>
          <cell r="AH505" t="str">
            <v>DRN90S4--X</v>
          </cell>
        </row>
        <row r="506">
          <cell r="A506" t="str">
            <v>MR000502</v>
          </cell>
          <cell r="B506" t="str">
            <v>ME</v>
          </cell>
          <cell r="C506">
            <v>1.1000000000000001</v>
          </cell>
          <cell r="D506">
            <v>1455</v>
          </cell>
          <cell r="E506" t="str">
            <v>DRN90S4</v>
          </cell>
          <cell r="F506">
            <v>7.2</v>
          </cell>
          <cell r="I506" t="str">
            <v>M6</v>
          </cell>
          <cell r="J506" t="str">
            <v>IE3</v>
          </cell>
          <cell r="K506" t="str">
            <v>230/400</v>
          </cell>
          <cell r="L506">
            <v>50</v>
          </cell>
          <cell r="N506">
            <v>55</v>
          </cell>
          <cell r="O506" t="str">
            <v>F</v>
          </cell>
          <cell r="Q506" t="str">
            <v>TF</v>
          </cell>
          <cell r="R506" t="str">
            <v>-</v>
          </cell>
          <cell r="T506" t="str">
            <v>BE2</v>
          </cell>
          <cell r="V506" t="str">
            <v>D</v>
          </cell>
          <cell r="X506" t="str">
            <v>CLP (CC) VG 220 = -15° + 40°</v>
          </cell>
          <cell r="Y506" t="str">
            <v xml:space="preserve"> DRN90S4/BE2/FG/TF</v>
          </cell>
          <cell r="Z506" t="str">
            <v>SEW</v>
          </cell>
          <cell r="AH506" t="str">
            <v>DRN90S4--X</v>
          </cell>
        </row>
        <row r="507">
          <cell r="A507" t="str">
            <v>MR000503</v>
          </cell>
          <cell r="B507" t="str">
            <v>R</v>
          </cell>
          <cell r="E507" t="str">
            <v>R107/A</v>
          </cell>
          <cell r="G507">
            <v>65.599999999999994</v>
          </cell>
          <cell r="R507" t="str">
            <v>-</v>
          </cell>
          <cell r="AH507" t="str">
            <v>R107/A--X</v>
          </cell>
        </row>
        <row r="508">
          <cell r="A508" t="str">
            <v>MR000504</v>
          </cell>
          <cell r="B508" t="str">
            <v>MR</v>
          </cell>
          <cell r="C508">
            <v>7.5</v>
          </cell>
          <cell r="D508">
            <v>57</v>
          </cell>
          <cell r="E508" t="str">
            <v>KH77</v>
          </cell>
          <cell r="F508">
            <v>1240</v>
          </cell>
          <cell r="G508">
            <v>25.62</v>
          </cell>
          <cell r="H508">
            <v>1.25</v>
          </cell>
          <cell r="I508" t="str">
            <v>M4B</v>
          </cell>
          <cell r="J508" t="str">
            <v>IE3</v>
          </cell>
          <cell r="K508">
            <v>400</v>
          </cell>
          <cell r="L508">
            <v>50</v>
          </cell>
          <cell r="M508">
            <v>15.2</v>
          </cell>
          <cell r="N508">
            <v>55</v>
          </cell>
          <cell r="O508" t="str">
            <v>F</v>
          </cell>
          <cell r="P508" t="str">
            <v>270°</v>
          </cell>
          <cell r="Q508" t="str">
            <v>TF</v>
          </cell>
          <cell r="R508" t="str">
            <v>-</v>
          </cell>
          <cell r="S508" t="str">
            <v>free rotation CW</v>
          </cell>
          <cell r="U508" t="str">
            <v>T</v>
          </cell>
          <cell r="V508" t="str">
            <v>SS</v>
          </cell>
          <cell r="X508" t="str">
            <v>CLP HC VG 150 = -40° + 40°</v>
          </cell>
          <cell r="Y508" t="str">
            <v>KH77/TDRN132M4</v>
          </cell>
          <cell r="Z508" t="str">
            <v>SEW</v>
          </cell>
          <cell r="AH508" t="str">
            <v>KH77T-B270-X</v>
          </cell>
        </row>
        <row r="509">
          <cell r="A509" t="str">
            <v>MR000505</v>
          </cell>
          <cell r="B509" t="str">
            <v>MR</v>
          </cell>
          <cell r="C509">
            <v>7.5</v>
          </cell>
          <cell r="D509">
            <v>66</v>
          </cell>
          <cell r="E509" t="str">
            <v>KH87</v>
          </cell>
          <cell r="F509">
            <v>1090</v>
          </cell>
          <cell r="G509">
            <v>22.41</v>
          </cell>
          <cell r="H509">
            <v>2.1</v>
          </cell>
          <cell r="I509" t="str">
            <v>M4B</v>
          </cell>
          <cell r="J509" t="str">
            <v>IE3</v>
          </cell>
          <cell r="K509">
            <v>380</v>
          </cell>
          <cell r="L509">
            <v>50</v>
          </cell>
          <cell r="M509">
            <v>15.2</v>
          </cell>
          <cell r="N509">
            <v>55</v>
          </cell>
          <cell r="O509" t="str">
            <v>F</v>
          </cell>
          <cell r="P509" t="str">
            <v>270°</v>
          </cell>
          <cell r="Q509" t="str">
            <v>TH</v>
          </cell>
          <cell r="R509" t="str">
            <v>-</v>
          </cell>
          <cell r="U509" t="str">
            <v>T</v>
          </cell>
          <cell r="V509" t="str">
            <v>SS</v>
          </cell>
          <cell r="W509" t="str">
            <v>230V</v>
          </cell>
          <cell r="X509" t="str">
            <v>CLP HC VG 150 = -40° + 40°</v>
          </cell>
          <cell r="Y509" t="str">
            <v>KH87/T DRN132M4</v>
          </cell>
          <cell r="Z509" t="str">
            <v>SEW</v>
          </cell>
          <cell r="AH509" t="str">
            <v>KH87T-B270-X</v>
          </cell>
        </row>
        <row r="510">
          <cell r="A510" t="str">
            <v>MR000506</v>
          </cell>
          <cell r="B510" t="str">
            <v>MR</v>
          </cell>
          <cell r="C510">
            <v>18.5</v>
          </cell>
          <cell r="D510">
            <v>12</v>
          </cell>
          <cell r="E510" t="str">
            <v>KH157</v>
          </cell>
          <cell r="F510">
            <v>14600</v>
          </cell>
          <cell r="G510">
            <v>122.39</v>
          </cell>
          <cell r="H510">
            <v>1.25</v>
          </cell>
          <cell r="I510" t="str">
            <v>From M4B to M1B - 50°</v>
          </cell>
          <cell r="J510" t="str">
            <v>IE3</v>
          </cell>
          <cell r="K510">
            <v>380</v>
          </cell>
          <cell r="L510">
            <v>50</v>
          </cell>
          <cell r="M510">
            <v>33.5</v>
          </cell>
          <cell r="N510">
            <v>55</v>
          </cell>
          <cell r="O510" t="str">
            <v>F</v>
          </cell>
          <cell r="P510" t="str">
            <v>270°</v>
          </cell>
          <cell r="Q510" t="str">
            <v>TH</v>
          </cell>
          <cell r="R510" t="str">
            <v>-</v>
          </cell>
          <cell r="V510" t="str">
            <v>SS</v>
          </cell>
          <cell r="W510" t="str">
            <v>230V</v>
          </cell>
          <cell r="X510" t="str">
            <v>CLP HC VG 150 = -40° + 40°</v>
          </cell>
          <cell r="Y510" t="str">
            <v>KH157DRN180M4</v>
          </cell>
          <cell r="Z510" t="str">
            <v>SEW</v>
          </cell>
          <cell r="AH510" t="str">
            <v>KH157-B270-X</v>
          </cell>
        </row>
        <row r="511">
          <cell r="A511" t="str">
            <v>MR000507</v>
          </cell>
          <cell r="B511" t="str">
            <v>MR</v>
          </cell>
          <cell r="C511">
            <v>45</v>
          </cell>
          <cell r="D511">
            <v>37</v>
          </cell>
          <cell r="E511" t="str">
            <v>R167</v>
          </cell>
          <cell r="F511">
            <v>11500</v>
          </cell>
          <cell r="G511">
            <v>39.92</v>
          </cell>
          <cell r="H511">
            <v>1.55</v>
          </cell>
          <cell r="I511" t="str">
            <v>M1</v>
          </cell>
          <cell r="J511" t="str">
            <v>IE3</v>
          </cell>
          <cell r="K511">
            <v>380</v>
          </cell>
          <cell r="L511">
            <v>50</v>
          </cell>
          <cell r="M511">
            <v>81</v>
          </cell>
          <cell r="N511">
            <v>55</v>
          </cell>
          <cell r="O511" t="str">
            <v>F</v>
          </cell>
          <cell r="P511" t="str">
            <v>270°</v>
          </cell>
          <cell r="Q511" t="str">
            <v>TH</v>
          </cell>
          <cell r="R511" t="str">
            <v>-</v>
          </cell>
          <cell r="S511" t="str">
            <v>Free rotation CCW</v>
          </cell>
          <cell r="V511" t="str">
            <v>SS</v>
          </cell>
          <cell r="W511" t="str">
            <v>230V</v>
          </cell>
          <cell r="X511" t="str">
            <v>CLP HC VG 150 = -40° + 40°</v>
          </cell>
          <cell r="Y511" t="str">
            <v>R167DRN225M4</v>
          </cell>
          <cell r="Z511" t="str">
            <v>SEW</v>
          </cell>
          <cell r="AH511" t="str">
            <v>R167-270-X</v>
          </cell>
        </row>
        <row r="512">
          <cell r="A512" t="str">
            <v>MR000508</v>
          </cell>
          <cell r="B512" t="str">
            <v>MR</v>
          </cell>
          <cell r="C512">
            <v>15</v>
          </cell>
          <cell r="D512">
            <v>53</v>
          </cell>
          <cell r="E512" t="str">
            <v>KH97</v>
          </cell>
          <cell r="F512">
            <v>2710</v>
          </cell>
          <cell r="G512">
            <v>27.91</v>
          </cell>
          <cell r="H512">
            <v>1.6</v>
          </cell>
          <cell r="I512" t="str">
            <v>M4B</v>
          </cell>
          <cell r="J512" t="str">
            <v>IE3</v>
          </cell>
          <cell r="K512">
            <v>380</v>
          </cell>
          <cell r="L512">
            <v>50</v>
          </cell>
          <cell r="M512">
            <v>21</v>
          </cell>
          <cell r="N512">
            <v>55</v>
          </cell>
          <cell r="O512" t="str">
            <v>F</v>
          </cell>
          <cell r="P512" t="str">
            <v>270°</v>
          </cell>
          <cell r="Q512" t="str">
            <v>TH</v>
          </cell>
          <cell r="R512" t="str">
            <v>-</v>
          </cell>
          <cell r="U512" t="str">
            <v>T</v>
          </cell>
          <cell r="V512" t="str">
            <v>SS</v>
          </cell>
          <cell r="W512" t="str">
            <v>230V</v>
          </cell>
          <cell r="X512" t="str">
            <v>CLP HC VG 150 = -40° + 40°</v>
          </cell>
          <cell r="Y512" t="str">
            <v>KH97/T DRN160L4</v>
          </cell>
          <cell r="Z512" t="str">
            <v>SEW</v>
          </cell>
          <cell r="AH512" t="str">
            <v>KH97T-B270-X</v>
          </cell>
        </row>
        <row r="513">
          <cell r="A513" t="str">
            <v>MR000509</v>
          </cell>
          <cell r="B513" t="str">
            <v>MR</v>
          </cell>
          <cell r="C513">
            <v>0.75</v>
          </cell>
          <cell r="D513">
            <v>162</v>
          </cell>
          <cell r="E513" t="str">
            <v>KA37</v>
          </cell>
          <cell r="F513">
            <v>44</v>
          </cell>
          <cell r="G513">
            <v>8.91</v>
          </cell>
          <cell r="H513">
            <v>3.6</v>
          </cell>
          <cell r="I513" t="str">
            <v>M1B</v>
          </cell>
          <cell r="J513" t="str">
            <v>IE3</v>
          </cell>
          <cell r="K513">
            <v>380</v>
          </cell>
          <cell r="L513">
            <v>50</v>
          </cell>
          <cell r="M513">
            <v>1.75</v>
          </cell>
          <cell r="N513">
            <v>55</v>
          </cell>
          <cell r="O513" t="str">
            <v>F</v>
          </cell>
          <cell r="P513" t="str">
            <v>270°</v>
          </cell>
          <cell r="Q513" t="str">
            <v>TH</v>
          </cell>
          <cell r="R513" t="str">
            <v>-</v>
          </cell>
          <cell r="U513" t="str">
            <v>T</v>
          </cell>
          <cell r="V513" t="str">
            <v>D</v>
          </cell>
          <cell r="W513" t="str">
            <v>230V</v>
          </cell>
          <cell r="X513" t="str">
            <v>CLP HC VG 150 = -40° + 40°</v>
          </cell>
          <cell r="Y513" t="str">
            <v>KA37/T DRN80M4</v>
          </cell>
          <cell r="Z513" t="str">
            <v>SEW</v>
          </cell>
          <cell r="AH513" t="str">
            <v>KA37T-B270-X</v>
          </cell>
        </row>
        <row r="514">
          <cell r="A514" t="str">
            <v>MR000510</v>
          </cell>
          <cell r="B514" t="str">
            <v>MR</v>
          </cell>
          <cell r="C514">
            <v>0.55000000000000004</v>
          </cell>
          <cell r="D514" t="str">
            <v>3,7</v>
          </cell>
          <cell r="E514" t="str">
            <v>KA77R37</v>
          </cell>
          <cell r="F514">
            <v>1280</v>
          </cell>
          <cell r="G514">
            <v>367</v>
          </cell>
          <cell r="H514">
            <v>1.2</v>
          </cell>
          <cell r="I514" t="str">
            <v>M3B</v>
          </cell>
          <cell r="J514" t="str">
            <v>IE3</v>
          </cell>
          <cell r="K514">
            <v>380</v>
          </cell>
          <cell r="L514">
            <v>50</v>
          </cell>
          <cell r="M514">
            <v>1.55</v>
          </cell>
          <cell r="N514">
            <v>55</v>
          </cell>
          <cell r="O514" t="str">
            <v>F</v>
          </cell>
          <cell r="P514" t="str">
            <v>0°</v>
          </cell>
          <cell r="Q514" t="str">
            <v>TH</v>
          </cell>
          <cell r="R514" t="str">
            <v>-</v>
          </cell>
          <cell r="T514" t="str">
            <v>BE1</v>
          </cell>
          <cell r="U514" t="str">
            <v>T</v>
          </cell>
          <cell r="V514" t="str">
            <v>D+R</v>
          </cell>
          <cell r="W514" t="str">
            <v>230V</v>
          </cell>
          <cell r="X514" t="str">
            <v>CLP HC VG 150 = -40° + 40°</v>
          </cell>
          <cell r="Y514" t="str">
            <v>KA77/T R37DRS71M4</v>
          </cell>
          <cell r="Z514" t="str">
            <v>SEW</v>
          </cell>
          <cell r="AH514" t="str">
            <v>KA77R37T-B0-X</v>
          </cell>
        </row>
        <row r="515">
          <cell r="A515" t="str">
            <v>MR000511</v>
          </cell>
          <cell r="B515" t="str">
            <v>MR</v>
          </cell>
          <cell r="C515">
            <v>15</v>
          </cell>
          <cell r="D515">
            <v>66</v>
          </cell>
          <cell r="E515" t="str">
            <v>KH97</v>
          </cell>
          <cell r="F515">
            <v>2170</v>
          </cell>
          <cell r="G515">
            <v>22.37</v>
          </cell>
          <cell r="H515">
            <v>2</v>
          </cell>
          <cell r="I515" t="str">
            <v>M4A</v>
          </cell>
          <cell r="J515" t="str">
            <v>IE3</v>
          </cell>
          <cell r="K515">
            <v>380</v>
          </cell>
          <cell r="L515">
            <v>50</v>
          </cell>
          <cell r="M515">
            <v>29</v>
          </cell>
          <cell r="N515">
            <v>55</v>
          </cell>
          <cell r="O515" t="str">
            <v>F</v>
          </cell>
          <cell r="P515" t="str">
            <v>270°</v>
          </cell>
          <cell r="Q515" t="str">
            <v>TH</v>
          </cell>
          <cell r="R515" t="str">
            <v>-</v>
          </cell>
          <cell r="S515" t="str">
            <v>Free rotation CCW</v>
          </cell>
          <cell r="U515" t="str">
            <v>T</v>
          </cell>
          <cell r="V515" t="str">
            <v>SS</v>
          </cell>
          <cell r="W515" t="str">
            <v>230V</v>
          </cell>
          <cell r="X515" t="str">
            <v>CLP HC VG 150 = -40° + 40°</v>
          </cell>
          <cell r="Y515" t="str">
            <v>KH97/T DRN160L4</v>
          </cell>
          <cell r="Z515" t="str">
            <v>SEW</v>
          </cell>
          <cell r="AH515" t="str">
            <v>KH97T-A270-X</v>
          </cell>
        </row>
        <row r="516">
          <cell r="A516" t="str">
            <v>MR000512</v>
          </cell>
          <cell r="B516" t="str">
            <v>MR</v>
          </cell>
          <cell r="C516">
            <v>0.75</v>
          </cell>
          <cell r="D516" t="str">
            <v>162</v>
          </cell>
          <cell r="E516" t="str">
            <v>KA37</v>
          </cell>
          <cell r="F516">
            <v>44</v>
          </cell>
          <cell r="G516">
            <v>8.91</v>
          </cell>
          <cell r="H516">
            <v>3.6</v>
          </cell>
          <cell r="I516" t="str">
            <v>From M1A to M2A - 15°</v>
          </cell>
          <cell r="J516" t="str">
            <v>IE3</v>
          </cell>
          <cell r="K516">
            <v>380</v>
          </cell>
          <cell r="L516">
            <v>50</v>
          </cell>
          <cell r="M516">
            <v>1.75</v>
          </cell>
          <cell r="N516">
            <v>55</v>
          </cell>
          <cell r="O516" t="str">
            <v>F</v>
          </cell>
          <cell r="P516" t="str">
            <v>270°</v>
          </cell>
          <cell r="Q516" t="str">
            <v>TH</v>
          </cell>
          <cell r="R516" t="str">
            <v>-</v>
          </cell>
          <cell r="U516" t="str">
            <v>T</v>
          </cell>
          <cell r="V516" t="str">
            <v>D</v>
          </cell>
          <cell r="W516" t="str">
            <v>230V</v>
          </cell>
          <cell r="X516" t="str">
            <v>CLP HC VG 150 = -40° + 40°</v>
          </cell>
          <cell r="Y516" t="str">
            <v xml:space="preserve">KA37/T DRN80M4 </v>
          </cell>
          <cell r="Z516" t="str">
            <v>SEW</v>
          </cell>
          <cell r="AH516" t="str">
            <v>KA37T-A270-X</v>
          </cell>
        </row>
        <row r="517">
          <cell r="A517" t="str">
            <v>MR000513</v>
          </cell>
          <cell r="B517" t="str">
            <v>MR</v>
          </cell>
          <cell r="C517">
            <v>5.5</v>
          </cell>
          <cell r="D517">
            <v>63</v>
          </cell>
          <cell r="E517" t="str">
            <v>K77</v>
          </cell>
          <cell r="F517">
            <v>820</v>
          </cell>
          <cell r="G517">
            <v>23.08</v>
          </cell>
          <cell r="H517">
            <v>1.85</v>
          </cell>
          <cell r="I517" t="str">
            <v>M4A</v>
          </cell>
          <cell r="J517" t="str">
            <v>IE3</v>
          </cell>
          <cell r="K517">
            <v>380</v>
          </cell>
          <cell r="L517">
            <v>50</v>
          </cell>
          <cell r="M517">
            <v>10.5</v>
          </cell>
          <cell r="N517">
            <v>55</v>
          </cell>
          <cell r="O517" t="str">
            <v>F</v>
          </cell>
          <cell r="P517" t="str">
            <v>270°</v>
          </cell>
          <cell r="Q517" t="str">
            <v>TH</v>
          </cell>
          <cell r="R517" t="str">
            <v>-</v>
          </cell>
          <cell r="V517" t="str">
            <v>D+R</v>
          </cell>
          <cell r="W517" t="str">
            <v>230V</v>
          </cell>
          <cell r="X517" t="str">
            <v>CLP HC VG 150 = -40° + 40°</v>
          </cell>
          <cell r="Y517" t="str">
            <v>K77DRN132S4</v>
          </cell>
          <cell r="Z517" t="str">
            <v>SEW</v>
          </cell>
          <cell r="AH517" t="str">
            <v>K77-A270-X</v>
          </cell>
        </row>
        <row r="518">
          <cell r="A518" t="str">
            <v>MR000514</v>
          </cell>
          <cell r="B518" t="str">
            <v>MR</v>
          </cell>
          <cell r="C518">
            <v>37</v>
          </cell>
          <cell r="D518">
            <v>37</v>
          </cell>
          <cell r="E518" t="str">
            <v>R147</v>
          </cell>
          <cell r="F518">
            <v>9600</v>
          </cell>
          <cell r="G518">
            <v>40.29</v>
          </cell>
          <cell r="H518">
            <v>1.35</v>
          </cell>
          <cell r="I518" t="str">
            <v>M1</v>
          </cell>
          <cell r="J518" t="str">
            <v>IE3</v>
          </cell>
          <cell r="K518">
            <v>380</v>
          </cell>
          <cell r="L518">
            <v>50</v>
          </cell>
          <cell r="M518">
            <v>64</v>
          </cell>
          <cell r="N518">
            <v>55</v>
          </cell>
          <cell r="O518" t="str">
            <v>F</v>
          </cell>
          <cell r="P518" t="str">
            <v>270°</v>
          </cell>
          <cell r="Q518" t="str">
            <v>TH</v>
          </cell>
          <cell r="R518" t="str">
            <v>-</v>
          </cell>
          <cell r="S518" t="str">
            <v>Free rotation CW</v>
          </cell>
          <cell r="V518" t="str">
            <v>SS</v>
          </cell>
          <cell r="W518" t="str">
            <v>230V</v>
          </cell>
          <cell r="X518" t="str">
            <v>CLP HC VG 150 = -40° + 40°</v>
          </cell>
          <cell r="Y518" t="str">
            <v>R147DRN225S4</v>
          </cell>
          <cell r="Z518" t="str">
            <v>SEW</v>
          </cell>
          <cell r="AH518" t="str">
            <v>R147-270-X</v>
          </cell>
        </row>
        <row r="519">
          <cell r="A519" t="str">
            <v>MR000515</v>
          </cell>
          <cell r="B519" t="str">
            <v>MR</v>
          </cell>
          <cell r="C519">
            <v>11</v>
          </cell>
          <cell r="D519">
            <v>66</v>
          </cell>
          <cell r="E519" t="str">
            <v>KH87</v>
          </cell>
          <cell r="F519">
            <v>1590</v>
          </cell>
          <cell r="G519">
            <v>22.41</v>
          </cell>
          <cell r="H519">
            <v>1.45</v>
          </cell>
          <cell r="I519" t="str">
            <v>M4A</v>
          </cell>
          <cell r="J519" t="str">
            <v>IE3</v>
          </cell>
          <cell r="K519">
            <v>380</v>
          </cell>
          <cell r="L519">
            <v>50</v>
          </cell>
          <cell r="M519">
            <v>21</v>
          </cell>
          <cell r="N519">
            <v>55</v>
          </cell>
          <cell r="O519" t="str">
            <v>F</v>
          </cell>
          <cell r="P519" t="str">
            <v>270°</v>
          </cell>
          <cell r="Q519" t="str">
            <v>TH</v>
          </cell>
          <cell r="R519" t="str">
            <v>-</v>
          </cell>
          <cell r="U519" t="str">
            <v>T</v>
          </cell>
          <cell r="V519" t="str">
            <v>SS</v>
          </cell>
          <cell r="W519" t="str">
            <v>230V</v>
          </cell>
          <cell r="X519" t="str">
            <v>CLP HC VG 150 = -40° + 40°</v>
          </cell>
          <cell r="Y519" t="str">
            <v>KH87/T DRN160M4</v>
          </cell>
          <cell r="Z519" t="str">
            <v>SEW</v>
          </cell>
          <cell r="AH519" t="str">
            <v>KH87T-A270-X</v>
          </cell>
        </row>
        <row r="520">
          <cell r="A520" t="str">
            <v>MR000516</v>
          </cell>
          <cell r="B520" t="str">
            <v>MR</v>
          </cell>
          <cell r="C520">
            <v>0.75</v>
          </cell>
          <cell r="D520">
            <v>162</v>
          </cell>
          <cell r="E520" t="str">
            <v>KA37</v>
          </cell>
          <cell r="F520">
            <v>44</v>
          </cell>
          <cell r="G520">
            <v>8.91</v>
          </cell>
          <cell r="H520">
            <v>3.6</v>
          </cell>
          <cell r="I520" t="str">
            <v>M1A</v>
          </cell>
          <cell r="J520" t="str">
            <v>IE3</v>
          </cell>
          <cell r="K520">
            <v>380</v>
          </cell>
          <cell r="L520">
            <v>50</v>
          </cell>
          <cell r="M520">
            <v>1.75</v>
          </cell>
          <cell r="N520">
            <v>55</v>
          </cell>
          <cell r="O520" t="str">
            <v>F</v>
          </cell>
          <cell r="P520" t="str">
            <v>270°</v>
          </cell>
          <cell r="Q520" t="str">
            <v>TH</v>
          </cell>
          <cell r="R520" t="str">
            <v>-</v>
          </cell>
          <cell r="U520" t="str">
            <v>T</v>
          </cell>
          <cell r="V520" t="str">
            <v>D</v>
          </cell>
          <cell r="W520" t="str">
            <v>230V</v>
          </cell>
          <cell r="X520" t="str">
            <v>CLP HC VG 150 = -40° + 40°</v>
          </cell>
          <cell r="Y520" t="str">
            <v>KA37/T DRN80M4</v>
          </cell>
          <cell r="Z520" t="str">
            <v>SEW</v>
          </cell>
          <cell r="AH520" t="str">
            <v>KA37T-A270-X</v>
          </cell>
        </row>
        <row r="521">
          <cell r="A521" t="str">
            <v>MR000517</v>
          </cell>
          <cell r="B521" t="str">
            <v>MR</v>
          </cell>
          <cell r="C521">
            <v>4</v>
          </cell>
          <cell r="D521">
            <v>95</v>
          </cell>
          <cell r="E521" t="str">
            <v>R87</v>
          </cell>
          <cell r="F521">
            <v>400</v>
          </cell>
          <cell r="G521">
            <v>15.35</v>
          </cell>
          <cell r="H521">
            <v>3.3</v>
          </cell>
          <cell r="I521" t="str">
            <v>From M1 to M2 - 15°</v>
          </cell>
          <cell r="J521" t="str">
            <v>IE3</v>
          </cell>
          <cell r="K521">
            <v>380</v>
          </cell>
          <cell r="L521">
            <v>50</v>
          </cell>
          <cell r="M521">
            <v>7.9</v>
          </cell>
          <cell r="N521">
            <v>55</v>
          </cell>
          <cell r="O521" t="str">
            <v>F</v>
          </cell>
          <cell r="P521" t="str">
            <v>270°</v>
          </cell>
          <cell r="Q521" t="str">
            <v>TH</v>
          </cell>
          <cell r="R521" t="str">
            <v>-</v>
          </cell>
          <cell r="V521" t="str">
            <v>D</v>
          </cell>
          <cell r="W521" t="str">
            <v>230V</v>
          </cell>
          <cell r="X521" t="str">
            <v>CLP HC VG 150 = -40° + 40°</v>
          </cell>
          <cell r="Y521" t="str">
            <v>R87DRN112M4</v>
          </cell>
          <cell r="Z521" t="str">
            <v>SEW</v>
          </cell>
          <cell r="AH521" t="str">
            <v>R87-270-X</v>
          </cell>
        </row>
        <row r="522">
          <cell r="A522" t="str">
            <v>MR000518</v>
          </cell>
          <cell r="B522" t="str">
            <v>MR</v>
          </cell>
          <cell r="C522">
            <v>15</v>
          </cell>
          <cell r="D522">
            <v>23</v>
          </cell>
          <cell r="E522" t="str">
            <v>R137</v>
          </cell>
          <cell r="F522">
            <v>6330</v>
          </cell>
          <cell r="G522">
            <v>65.2</v>
          </cell>
          <cell r="H522">
            <v>1.25</v>
          </cell>
          <cell r="I522" t="str">
            <v>From M1 to M2 - 15°</v>
          </cell>
          <cell r="J522" t="str">
            <v>IE3</v>
          </cell>
          <cell r="K522">
            <v>380</v>
          </cell>
          <cell r="L522">
            <v>50</v>
          </cell>
          <cell r="M522">
            <v>29</v>
          </cell>
          <cell r="N522">
            <v>55</v>
          </cell>
          <cell r="O522" t="str">
            <v>F</v>
          </cell>
          <cell r="P522" t="str">
            <v>270°</v>
          </cell>
          <cell r="Q522" t="str">
            <v>TH</v>
          </cell>
          <cell r="R522" t="str">
            <v>V</v>
          </cell>
          <cell r="V522" t="str">
            <v>FC</v>
          </cell>
          <cell r="W522" t="str">
            <v>230V</v>
          </cell>
          <cell r="X522" t="str">
            <v>CLP HC VG 150 = -40° + 40°</v>
          </cell>
          <cell r="Y522" t="str">
            <v>R137DRN160L4</v>
          </cell>
          <cell r="Z522" t="str">
            <v>SEW</v>
          </cell>
          <cell r="AH522" t="str">
            <v>R137-270-X#</v>
          </cell>
        </row>
        <row r="523">
          <cell r="A523" t="str">
            <v>MR000519</v>
          </cell>
          <cell r="B523" t="str">
            <v>MR</v>
          </cell>
          <cell r="C523">
            <v>3</v>
          </cell>
          <cell r="D523">
            <v>93</v>
          </cell>
          <cell r="E523" t="str">
            <v>R77</v>
          </cell>
          <cell r="F523">
            <v>305</v>
          </cell>
          <cell r="G523">
            <v>15.6</v>
          </cell>
          <cell r="H523">
            <v>2.4</v>
          </cell>
          <cell r="I523" t="str">
            <v>From M1 to M2 - 15°</v>
          </cell>
          <cell r="J523" t="str">
            <v>IE3</v>
          </cell>
          <cell r="K523">
            <v>380</v>
          </cell>
          <cell r="L523">
            <v>50</v>
          </cell>
          <cell r="M523">
            <v>6.4</v>
          </cell>
          <cell r="N523">
            <v>55</v>
          </cell>
          <cell r="O523" t="str">
            <v>F</v>
          </cell>
          <cell r="P523" t="str">
            <v>270°</v>
          </cell>
          <cell r="Q523" t="str">
            <v>TH</v>
          </cell>
          <cell r="R523" t="str">
            <v>-</v>
          </cell>
          <cell r="V523" t="str">
            <v>D</v>
          </cell>
          <cell r="W523" t="str">
            <v>230V</v>
          </cell>
          <cell r="X523" t="str">
            <v>CLP HC VG 150 = -40° + 40°</v>
          </cell>
          <cell r="Y523" t="str">
            <v>R77DRN100L4</v>
          </cell>
          <cell r="Z523" t="str">
            <v>SEW</v>
          </cell>
          <cell r="AH523" t="str">
            <v>R77-270-X</v>
          </cell>
        </row>
        <row r="524">
          <cell r="A524" t="str">
            <v>MR000520</v>
          </cell>
          <cell r="B524" t="str">
            <v>MR</v>
          </cell>
          <cell r="C524">
            <v>5.5</v>
          </cell>
          <cell r="D524">
            <v>62</v>
          </cell>
          <cell r="E524" t="str">
            <v>R87</v>
          </cell>
          <cell r="F524">
            <v>840</v>
          </cell>
          <cell r="G524">
            <v>23.4</v>
          </cell>
          <cell r="H524">
            <v>1.85</v>
          </cell>
          <cell r="I524" t="str">
            <v>M1</v>
          </cell>
          <cell r="J524" t="str">
            <v>IE3</v>
          </cell>
          <cell r="K524">
            <v>380</v>
          </cell>
          <cell r="L524">
            <v>50</v>
          </cell>
          <cell r="M524">
            <v>10.5</v>
          </cell>
          <cell r="N524">
            <v>55</v>
          </cell>
          <cell r="O524" t="str">
            <v>F</v>
          </cell>
          <cell r="P524" t="str">
            <v>270°</v>
          </cell>
          <cell r="Q524" t="str">
            <v>TH</v>
          </cell>
          <cell r="R524" t="str">
            <v>-</v>
          </cell>
          <cell r="V524" t="str">
            <v>D</v>
          </cell>
          <cell r="W524" t="str">
            <v>230V</v>
          </cell>
          <cell r="X524" t="str">
            <v>CLP HC VG 150 = -40° + 40°</v>
          </cell>
          <cell r="Y524" t="str">
            <v>R87DRN132S4</v>
          </cell>
          <cell r="Z524" t="str">
            <v>SEW</v>
          </cell>
          <cell r="AH524" t="str">
            <v>R87-270-X</v>
          </cell>
        </row>
        <row r="525">
          <cell r="A525" t="str">
            <v>MR000521</v>
          </cell>
          <cell r="B525" t="str">
            <v>MR</v>
          </cell>
          <cell r="C525">
            <v>1.5</v>
          </cell>
          <cell r="D525">
            <v>76</v>
          </cell>
          <cell r="E525" t="str">
            <v>R47</v>
          </cell>
          <cell r="F525">
            <v>188</v>
          </cell>
          <cell r="G525">
            <v>19.27</v>
          </cell>
          <cell r="H525">
            <v>1.55</v>
          </cell>
          <cell r="I525" t="str">
            <v>M1</v>
          </cell>
          <cell r="K525">
            <v>400</v>
          </cell>
          <cell r="L525">
            <v>50</v>
          </cell>
          <cell r="M525">
            <v>3.45</v>
          </cell>
          <cell r="N525">
            <v>54</v>
          </cell>
          <cell r="O525" t="str">
            <v>F</v>
          </cell>
          <cell r="P525" t="str">
            <v>270°</v>
          </cell>
          <cell r="Q525" t="str">
            <v>TF</v>
          </cell>
          <cell r="R525" t="str">
            <v>V</v>
          </cell>
          <cell r="T525" t="str">
            <v>BE2</v>
          </cell>
          <cell r="X525" t="str">
            <v>CLP (CC) VG 220 = -15° + 40°</v>
          </cell>
          <cell r="Y525" t="str">
            <v>R47DRN90L4/BE2/TF/V</v>
          </cell>
          <cell r="Z525" t="str">
            <v>SEW</v>
          </cell>
          <cell r="AH525" t="str">
            <v>R47-270-X#</v>
          </cell>
        </row>
        <row r="526">
          <cell r="A526" t="str">
            <v>MR000522</v>
          </cell>
          <cell r="B526" t="str">
            <v>MR</v>
          </cell>
          <cell r="D526">
            <v>300</v>
          </cell>
          <cell r="E526" t="str">
            <v>R67</v>
          </cell>
          <cell r="F526">
            <v>665</v>
          </cell>
          <cell r="G526">
            <v>10</v>
          </cell>
          <cell r="I526" t="str">
            <v>M1</v>
          </cell>
          <cell r="K526">
            <v>400</v>
          </cell>
          <cell r="L526">
            <v>103</v>
          </cell>
          <cell r="M526">
            <v>11</v>
          </cell>
          <cell r="N526">
            <v>54</v>
          </cell>
          <cell r="O526" t="str">
            <v>F</v>
          </cell>
          <cell r="P526" t="str">
            <v>270°</v>
          </cell>
          <cell r="Q526" t="str">
            <v>TF</v>
          </cell>
          <cell r="R526" t="str">
            <v>-</v>
          </cell>
          <cell r="T526" t="str">
            <v>BE2</v>
          </cell>
          <cell r="X526" t="str">
            <v>CLP (CC) VG 220 = -15° + 40°</v>
          </cell>
          <cell r="Y526" t="str">
            <v>R67DRL90L4BE2/TF/ES7R</v>
          </cell>
          <cell r="Z526" t="str">
            <v>SEW</v>
          </cell>
          <cell r="AH526" t="str">
            <v>R67-270-X</v>
          </cell>
        </row>
        <row r="527">
          <cell r="A527" t="str">
            <v>MR000523</v>
          </cell>
          <cell r="B527" t="str">
            <v>MR</v>
          </cell>
          <cell r="D527">
            <v>396</v>
          </cell>
          <cell r="E527" t="str">
            <v>R47</v>
          </cell>
          <cell r="F527">
            <v>305</v>
          </cell>
          <cell r="G527">
            <v>10.15</v>
          </cell>
          <cell r="I527" t="str">
            <v>M1</v>
          </cell>
          <cell r="K527">
            <v>400</v>
          </cell>
          <cell r="L527">
            <v>103</v>
          </cell>
          <cell r="M527">
            <v>11</v>
          </cell>
          <cell r="N527">
            <v>54</v>
          </cell>
          <cell r="O527" t="str">
            <v>F</v>
          </cell>
          <cell r="P527" t="str">
            <v>270°</v>
          </cell>
          <cell r="Q527" t="str">
            <v>TF</v>
          </cell>
          <cell r="R527" t="str">
            <v>-</v>
          </cell>
          <cell r="T527" t="str">
            <v>BE2</v>
          </cell>
          <cell r="X527" t="str">
            <v>CLP (CC) VG 220 = -15° + 40°</v>
          </cell>
          <cell r="Y527" t="str">
            <v>R47DRL90L4BE2/TF/ES7R</v>
          </cell>
          <cell r="Z527" t="str">
            <v>SEW</v>
          </cell>
          <cell r="AH527" t="str">
            <v>R47-270-X</v>
          </cell>
        </row>
        <row r="528">
          <cell r="A528" t="str">
            <v>MR000524</v>
          </cell>
          <cell r="B528" t="str">
            <v>MR</v>
          </cell>
          <cell r="C528">
            <v>18.5</v>
          </cell>
          <cell r="D528">
            <v>50</v>
          </cell>
          <cell r="E528" t="str">
            <v>R107</v>
          </cell>
          <cell r="F528">
            <v>3520</v>
          </cell>
          <cell r="G528">
            <v>29.49</v>
          </cell>
          <cell r="H528">
            <v>1.2</v>
          </cell>
          <cell r="I528" t="str">
            <v>M1</v>
          </cell>
          <cell r="J528" t="str">
            <v>IE3</v>
          </cell>
          <cell r="K528">
            <v>400</v>
          </cell>
          <cell r="L528">
            <v>50</v>
          </cell>
          <cell r="N528">
            <v>55</v>
          </cell>
          <cell r="O528" t="str">
            <v>F</v>
          </cell>
          <cell r="P528" t="str">
            <v>270°</v>
          </cell>
          <cell r="R528" t="str">
            <v>-</v>
          </cell>
          <cell r="V528" t="str">
            <v>D</v>
          </cell>
          <cell r="X528" t="str">
            <v>CLP (CC) VG 220 = -15° + 40°</v>
          </cell>
          <cell r="Y528" t="str">
            <v>R107DRN180M4</v>
          </cell>
          <cell r="Z528" t="str">
            <v>SEW</v>
          </cell>
          <cell r="AH528" t="str">
            <v>R107-270-X</v>
          </cell>
        </row>
        <row r="529">
          <cell r="A529" t="str">
            <v>MR000525</v>
          </cell>
          <cell r="B529" t="str">
            <v>MR</v>
          </cell>
          <cell r="C529">
            <v>0.55000000000000004</v>
          </cell>
          <cell r="D529">
            <v>24</v>
          </cell>
          <cell r="E529" t="str">
            <v>FA47</v>
          </cell>
          <cell r="F529">
            <v>215</v>
          </cell>
          <cell r="G529">
            <v>56.49</v>
          </cell>
          <cell r="H529">
            <v>1.85</v>
          </cell>
          <cell r="I529" t="str">
            <v>M5</v>
          </cell>
          <cell r="J529" t="str">
            <v>IE3</v>
          </cell>
          <cell r="K529">
            <v>400</v>
          </cell>
          <cell r="L529">
            <v>50</v>
          </cell>
          <cell r="N529">
            <v>55</v>
          </cell>
          <cell r="O529" t="str">
            <v>F</v>
          </cell>
          <cell r="P529" t="str">
            <v>270°</v>
          </cell>
          <cell r="R529" t="str">
            <v>-</v>
          </cell>
          <cell r="T529" t="str">
            <v>BE1</v>
          </cell>
          <cell r="V529" t="str">
            <v>D+R</v>
          </cell>
          <cell r="X529" t="str">
            <v>CLP (CC) VG 220 = -15° + 40°</v>
          </cell>
          <cell r="Y529" t="str">
            <v>FA47/GDRS71M4-BE1</v>
          </cell>
          <cell r="Z529" t="str">
            <v>SEW</v>
          </cell>
          <cell r="AH529" t="str">
            <v>FA47-270-X</v>
          </cell>
        </row>
        <row r="530">
          <cell r="A530" t="str">
            <v>MR000526</v>
          </cell>
          <cell r="B530" t="str">
            <v>MR</v>
          </cell>
          <cell r="C530">
            <v>5.5</v>
          </cell>
          <cell r="D530">
            <v>52</v>
          </cell>
          <cell r="E530" t="str">
            <v>R87</v>
          </cell>
          <cell r="F530">
            <v>1000</v>
          </cell>
          <cell r="G530">
            <v>27.84</v>
          </cell>
          <cell r="H530">
            <v>1.55</v>
          </cell>
          <cell r="I530" t="str">
            <v>M1</v>
          </cell>
          <cell r="J530" t="str">
            <v>IE3</v>
          </cell>
          <cell r="K530">
            <v>400</v>
          </cell>
          <cell r="L530">
            <v>50</v>
          </cell>
          <cell r="N530">
            <v>55</v>
          </cell>
          <cell r="O530" t="str">
            <v>F</v>
          </cell>
          <cell r="P530" t="str">
            <v>270°</v>
          </cell>
          <cell r="R530" t="str">
            <v>-</v>
          </cell>
          <cell r="V530" t="str">
            <v>D</v>
          </cell>
          <cell r="X530" t="str">
            <v>CLP (CC) VG 220 = -15° + 40°</v>
          </cell>
          <cell r="Y530" t="str">
            <v>R87DRN132S4</v>
          </cell>
          <cell r="Z530" t="str">
            <v>SEW</v>
          </cell>
          <cell r="AH530" t="str">
            <v>R87-270-X</v>
          </cell>
        </row>
        <row r="531">
          <cell r="A531" t="str">
            <v>MR000527</v>
          </cell>
          <cell r="B531" t="str">
            <v>MR</v>
          </cell>
          <cell r="C531">
            <v>0.55000000000000004</v>
          </cell>
          <cell r="D531">
            <v>3.7</v>
          </cell>
          <cell r="E531" t="str">
            <v>KA77R37</v>
          </cell>
          <cell r="F531">
            <v>1280</v>
          </cell>
          <cell r="G531">
            <v>367</v>
          </cell>
          <cell r="H531">
            <v>1.2</v>
          </cell>
          <cell r="I531" t="str">
            <v>M3B</v>
          </cell>
          <cell r="J531" t="str">
            <v>IE3</v>
          </cell>
          <cell r="K531">
            <v>400</v>
          </cell>
          <cell r="L531">
            <v>50</v>
          </cell>
          <cell r="M531">
            <v>1.55</v>
          </cell>
          <cell r="N531">
            <v>55</v>
          </cell>
          <cell r="O531" t="str">
            <v>F</v>
          </cell>
          <cell r="P531" t="str">
            <v>0°</v>
          </cell>
          <cell r="R531" t="str">
            <v>-</v>
          </cell>
          <cell r="T531" t="str">
            <v>BE1</v>
          </cell>
          <cell r="U531" t="str">
            <v>T</v>
          </cell>
          <cell r="V531" t="str">
            <v>D+R</v>
          </cell>
          <cell r="X531" t="str">
            <v>CLP (CC) VG 220 = -15° + 40°</v>
          </cell>
          <cell r="Y531" t="str">
            <v>KA77/T R37DRS71M4-BE1</v>
          </cell>
          <cell r="Z531" t="str">
            <v>SEW</v>
          </cell>
          <cell r="AH531" t="str">
            <v>KA77R37T-B0-X</v>
          </cell>
        </row>
        <row r="532">
          <cell r="A532" t="str">
            <v>MR000528</v>
          </cell>
          <cell r="B532" t="str">
            <v>MR</v>
          </cell>
          <cell r="C532">
            <v>0.37</v>
          </cell>
          <cell r="D532">
            <v>4.3</v>
          </cell>
          <cell r="E532" t="str">
            <v>KA67R37</v>
          </cell>
          <cell r="F532">
            <v>740</v>
          </cell>
          <cell r="G532">
            <v>323</v>
          </cell>
          <cell r="H532">
            <v>1.1000000000000001</v>
          </cell>
          <cell r="I532" t="str">
            <v>M3B</v>
          </cell>
          <cell r="J532" t="str">
            <v>IE3</v>
          </cell>
          <cell r="K532">
            <v>400</v>
          </cell>
          <cell r="L532">
            <v>50</v>
          </cell>
          <cell r="N532">
            <v>55</v>
          </cell>
          <cell r="O532" t="str">
            <v>F</v>
          </cell>
          <cell r="P532" t="str">
            <v>0°</v>
          </cell>
          <cell r="R532" t="str">
            <v>-</v>
          </cell>
          <cell r="T532" t="str">
            <v>BE1</v>
          </cell>
          <cell r="U532" t="str">
            <v>T</v>
          </cell>
          <cell r="V532" t="str">
            <v>D+R</v>
          </cell>
          <cell r="X532" t="str">
            <v>CLP (CC) VG 220 = -15° + 40°</v>
          </cell>
          <cell r="Y532" t="str">
            <v>KA67/T R37DRS71S4-BE1</v>
          </cell>
          <cell r="Z532" t="str">
            <v>SEW</v>
          </cell>
          <cell r="AH532" t="str">
            <v>KA67R37T-B0-X</v>
          </cell>
        </row>
        <row r="533">
          <cell r="A533" t="str">
            <v>MR000529</v>
          </cell>
          <cell r="B533" t="str">
            <v>MR</v>
          </cell>
          <cell r="C533">
            <v>22</v>
          </cell>
          <cell r="D533">
            <v>21</v>
          </cell>
          <cell r="E533" t="str">
            <v>KH127</v>
          </cell>
          <cell r="F533">
            <v>10000</v>
          </cell>
          <cell r="G533">
            <v>70.95</v>
          </cell>
          <cell r="H533">
            <v>1.3</v>
          </cell>
          <cell r="I533" t="str">
            <v>From M1A to M2A - 50°</v>
          </cell>
          <cell r="J533" t="str">
            <v>IE3</v>
          </cell>
          <cell r="K533">
            <v>400</v>
          </cell>
          <cell r="L533">
            <v>50</v>
          </cell>
          <cell r="N533">
            <v>55</v>
          </cell>
          <cell r="O533" t="str">
            <v>F</v>
          </cell>
          <cell r="P533" t="str">
            <v>180°</v>
          </cell>
          <cell r="Q533" t="str">
            <v>TF</v>
          </cell>
          <cell r="R533" t="str">
            <v>V</v>
          </cell>
          <cell r="V533" t="str">
            <v>FC</v>
          </cell>
          <cell r="X533" t="str">
            <v>CLP (CC) VG 220 = -15° + 40°</v>
          </cell>
          <cell r="Y533" t="str">
            <v>KH127DRN180L4-TF-V</v>
          </cell>
          <cell r="Z533" t="str">
            <v>SEW</v>
          </cell>
          <cell r="AH533" t="str">
            <v>KH127-A180-X#</v>
          </cell>
        </row>
        <row r="534">
          <cell r="A534" t="str">
            <v>MR000530</v>
          </cell>
          <cell r="B534" t="str">
            <v>MR</v>
          </cell>
          <cell r="C534">
            <v>22</v>
          </cell>
          <cell r="D534">
            <v>21</v>
          </cell>
          <cell r="E534" t="str">
            <v>KH127</v>
          </cell>
          <cell r="F534">
            <v>10000</v>
          </cell>
          <cell r="G534">
            <v>70.95</v>
          </cell>
          <cell r="H534">
            <v>1.3</v>
          </cell>
          <cell r="I534" t="str">
            <v>From M1B to M2B - 50°</v>
          </cell>
          <cell r="J534" t="str">
            <v>IE3</v>
          </cell>
          <cell r="K534">
            <v>400</v>
          </cell>
          <cell r="L534">
            <v>50</v>
          </cell>
          <cell r="N534">
            <v>55</v>
          </cell>
          <cell r="O534" t="str">
            <v>F</v>
          </cell>
          <cell r="P534" t="str">
            <v>0°</v>
          </cell>
          <cell r="Q534" t="str">
            <v>TF</v>
          </cell>
          <cell r="R534" t="str">
            <v>V</v>
          </cell>
          <cell r="V534" t="str">
            <v>FC</v>
          </cell>
          <cell r="X534" t="str">
            <v>CLP (CC) VG 220 = -15° + 40°</v>
          </cell>
          <cell r="Y534" t="str">
            <v>KH127DRN180L4-TF-V</v>
          </cell>
          <cell r="Z534" t="str">
            <v>SEW</v>
          </cell>
          <cell r="AH534" t="str">
            <v>KH127-B0-X#</v>
          </cell>
        </row>
        <row r="535">
          <cell r="A535" t="str">
            <v>MR000531</v>
          </cell>
          <cell r="B535" t="str">
            <v>MR</v>
          </cell>
          <cell r="C535">
            <v>1.5</v>
          </cell>
          <cell r="D535">
            <v>22</v>
          </cell>
          <cell r="E535" t="str">
            <v>FA67</v>
          </cell>
          <cell r="F535">
            <v>660</v>
          </cell>
          <cell r="G535">
            <v>67.650000000000006</v>
          </cell>
          <cell r="H535">
            <v>1.25</v>
          </cell>
          <cell r="I535" t="str">
            <v>From M6 to M1 - 50°</v>
          </cell>
          <cell r="J535" t="str">
            <v>IE3</v>
          </cell>
          <cell r="K535">
            <v>400</v>
          </cell>
          <cell r="L535">
            <v>50</v>
          </cell>
          <cell r="N535">
            <v>55</v>
          </cell>
          <cell r="O535" t="str">
            <v>F</v>
          </cell>
          <cell r="P535" t="str">
            <v>0°</v>
          </cell>
          <cell r="R535" t="str">
            <v>-</v>
          </cell>
          <cell r="T535" t="str">
            <v>BE2</v>
          </cell>
          <cell r="V535" t="str">
            <v>D+R</v>
          </cell>
          <cell r="X535" t="str">
            <v>CLP (CC) VG 220 = -15° + 40°</v>
          </cell>
          <cell r="Y535" t="str">
            <v>FA67/GDRN90L4-BE2</v>
          </cell>
          <cell r="Z535" t="str">
            <v>SEW</v>
          </cell>
          <cell r="AH535" t="str">
            <v>FA67-0-X</v>
          </cell>
        </row>
        <row r="536">
          <cell r="A536" t="str">
            <v>MR000532</v>
          </cell>
          <cell r="B536" t="str">
            <v>MR</v>
          </cell>
          <cell r="C536">
            <v>18.5</v>
          </cell>
          <cell r="D536">
            <v>16</v>
          </cell>
          <cell r="E536" t="str">
            <v>KH127</v>
          </cell>
          <cell r="F536">
            <v>10700</v>
          </cell>
          <cell r="G536">
            <v>89.89</v>
          </cell>
          <cell r="H536">
            <v>1.2</v>
          </cell>
          <cell r="I536" t="str">
            <v>From M1A to M2A - 20°</v>
          </cell>
          <cell r="J536" t="str">
            <v>IE3</v>
          </cell>
          <cell r="K536">
            <v>400</v>
          </cell>
          <cell r="L536">
            <v>50</v>
          </cell>
          <cell r="M536">
            <v>33.5</v>
          </cell>
          <cell r="N536">
            <v>55</v>
          </cell>
          <cell r="O536" t="str">
            <v>F</v>
          </cell>
          <cell r="P536" t="str">
            <v>180°</v>
          </cell>
          <cell r="Q536" t="str">
            <v>TF</v>
          </cell>
          <cell r="R536" t="str">
            <v>V</v>
          </cell>
          <cell r="V536" t="str">
            <v>FC</v>
          </cell>
          <cell r="X536" t="str">
            <v>CLP (CC) VG 220 = -15° + 40°</v>
          </cell>
          <cell r="Y536" t="str">
            <v>KH127DRN180M4-TF-V</v>
          </cell>
          <cell r="Z536" t="str">
            <v>SEW</v>
          </cell>
          <cell r="AH536" t="str">
            <v>KH127-A180-X#</v>
          </cell>
        </row>
        <row r="537">
          <cell r="A537" t="str">
            <v>MR000533</v>
          </cell>
          <cell r="B537" t="str">
            <v>MR</v>
          </cell>
          <cell r="C537">
            <v>18.5</v>
          </cell>
          <cell r="D537">
            <v>16</v>
          </cell>
          <cell r="E537" t="str">
            <v>KH127</v>
          </cell>
          <cell r="F537">
            <v>10700</v>
          </cell>
          <cell r="G537">
            <v>89.89</v>
          </cell>
          <cell r="H537">
            <v>1.2</v>
          </cell>
          <cell r="I537" t="str">
            <v>From M1B to M2B - 20°</v>
          </cell>
          <cell r="J537" t="str">
            <v>IE3</v>
          </cell>
          <cell r="K537">
            <v>400</v>
          </cell>
          <cell r="L537">
            <v>50</v>
          </cell>
          <cell r="M537">
            <v>33.5</v>
          </cell>
          <cell r="N537">
            <v>55</v>
          </cell>
          <cell r="O537" t="str">
            <v>F</v>
          </cell>
          <cell r="P537" t="str">
            <v>0°</v>
          </cell>
          <cell r="Q537" t="str">
            <v>TF</v>
          </cell>
          <cell r="R537" t="str">
            <v>V</v>
          </cell>
          <cell r="V537" t="str">
            <v>FC</v>
          </cell>
          <cell r="X537" t="str">
            <v>CLP (CC) VG 220 = -15° + 40°</v>
          </cell>
          <cell r="Y537" t="str">
            <v>KH127DRN180M4-TF-V</v>
          </cell>
          <cell r="Z537" t="str">
            <v>SEW</v>
          </cell>
          <cell r="AH537" t="str">
            <v>KH127-B0-X#</v>
          </cell>
        </row>
        <row r="538">
          <cell r="A538" t="str">
            <v>MR000534</v>
          </cell>
          <cell r="B538" t="str">
            <v>MR</v>
          </cell>
          <cell r="C538">
            <v>1.1000000000000001</v>
          </cell>
          <cell r="D538">
            <v>36</v>
          </cell>
          <cell r="E538" t="str">
            <v>KAZ47</v>
          </cell>
          <cell r="F538">
            <v>295</v>
          </cell>
          <cell r="G538">
            <v>39.61</v>
          </cell>
          <cell r="H538">
            <v>1.35</v>
          </cell>
          <cell r="I538" t="str">
            <v>M4A</v>
          </cell>
          <cell r="J538" t="str">
            <v>IE2</v>
          </cell>
          <cell r="K538" t="str">
            <v>230/400</v>
          </cell>
          <cell r="L538">
            <v>50</v>
          </cell>
          <cell r="N538">
            <v>65</v>
          </cell>
          <cell r="O538" t="str">
            <v>F</v>
          </cell>
          <cell r="P538" t="str">
            <v>270°</v>
          </cell>
          <cell r="R538" t="str">
            <v>-</v>
          </cell>
          <cell r="X538" t="str">
            <v>CLP HC VG 220 = -20° + 60°</v>
          </cell>
          <cell r="Y538" t="str">
            <v>KAZ47/II2GD EDRE90M4/3GD/KCC/AL/C</v>
          </cell>
          <cell r="Z538" t="str">
            <v>SEW</v>
          </cell>
          <cell r="AB538" t="str">
            <v>ATEX</v>
          </cell>
          <cell r="AH538" t="str">
            <v>KAZ47-A270-X</v>
          </cell>
        </row>
        <row r="539">
          <cell r="A539" t="str">
            <v>MR000535</v>
          </cell>
          <cell r="B539" t="str">
            <v>MR</v>
          </cell>
          <cell r="C539">
            <v>2.2000000000000002</v>
          </cell>
          <cell r="D539">
            <v>157</v>
          </cell>
          <cell r="E539" t="str">
            <v>KAZ47</v>
          </cell>
          <cell r="F539">
            <v>134</v>
          </cell>
          <cell r="G539">
            <v>9.1</v>
          </cell>
          <cell r="H539">
            <v>1.6</v>
          </cell>
          <cell r="I539" t="str">
            <v>M4A</v>
          </cell>
          <cell r="J539" t="str">
            <v>IE2</v>
          </cell>
          <cell r="K539" t="str">
            <v>230/400</v>
          </cell>
          <cell r="L539">
            <v>50</v>
          </cell>
          <cell r="N539">
            <v>65</v>
          </cell>
          <cell r="O539" t="str">
            <v>F</v>
          </cell>
          <cell r="P539" t="str">
            <v>270°</v>
          </cell>
          <cell r="R539" t="str">
            <v>-</v>
          </cell>
          <cell r="X539" t="str">
            <v>CLP HC VG 220 = -20° + 60°</v>
          </cell>
          <cell r="Y539" t="str">
            <v>KAZ47/II2GD EDRE100M4/3GD/KCC/AL/C</v>
          </cell>
          <cell r="Z539" t="str">
            <v>SEW</v>
          </cell>
          <cell r="AB539" t="str">
            <v>ATEX</v>
          </cell>
          <cell r="AH539" t="str">
            <v>KAZ47-A270-X</v>
          </cell>
        </row>
        <row r="540">
          <cell r="A540" t="str">
            <v>MR000536</v>
          </cell>
          <cell r="B540" t="str">
            <v>MR</v>
          </cell>
          <cell r="C540">
            <v>9.1999999999999993</v>
          </cell>
          <cell r="D540">
            <v>66</v>
          </cell>
          <cell r="E540" t="str">
            <v>R97</v>
          </cell>
          <cell r="F540">
            <v>1340</v>
          </cell>
          <cell r="G540">
            <v>22.37</v>
          </cell>
          <cell r="H540">
            <v>1.6</v>
          </cell>
          <cell r="I540" t="str">
            <v>M1</v>
          </cell>
          <cell r="J540" t="str">
            <v>IE2</v>
          </cell>
          <cell r="K540" t="str">
            <v>400/690</v>
          </cell>
          <cell r="L540">
            <v>50</v>
          </cell>
          <cell r="N540">
            <v>65</v>
          </cell>
          <cell r="O540" t="str">
            <v>F</v>
          </cell>
          <cell r="P540" t="str">
            <v>0°</v>
          </cell>
          <cell r="R540" t="str">
            <v>-</v>
          </cell>
          <cell r="X540" t="str">
            <v>CLP HC VG 220 = -20° + 60°</v>
          </cell>
          <cell r="Y540" t="str">
            <v>R97/II2GD EDRE160M4/3GD/AL</v>
          </cell>
          <cell r="Z540" t="str">
            <v>SEW</v>
          </cell>
          <cell r="AB540" t="str">
            <v>ATEX</v>
          </cell>
          <cell r="AH540" t="str">
            <v>R97-0-X</v>
          </cell>
        </row>
        <row r="541">
          <cell r="A541" t="str">
            <v>MR000537</v>
          </cell>
          <cell r="B541" t="str">
            <v>MR</v>
          </cell>
          <cell r="C541">
            <v>1.1000000000000001</v>
          </cell>
          <cell r="D541">
            <v>150</v>
          </cell>
          <cell r="E541" t="str">
            <v>R37</v>
          </cell>
          <cell r="F541">
            <v>70</v>
          </cell>
          <cell r="G541">
            <v>9.4700000000000006</v>
          </cell>
          <cell r="H541">
            <v>1.85</v>
          </cell>
          <cell r="I541" t="str">
            <v>M1</v>
          </cell>
          <cell r="J541" t="str">
            <v>IE2</v>
          </cell>
          <cell r="K541" t="str">
            <v>230/400</v>
          </cell>
          <cell r="L541">
            <v>50</v>
          </cell>
          <cell r="N541">
            <v>65</v>
          </cell>
          <cell r="O541" t="str">
            <v>F</v>
          </cell>
          <cell r="P541" t="str">
            <v>180°</v>
          </cell>
          <cell r="Q541" t="str">
            <v>TF</v>
          </cell>
          <cell r="R541" t="str">
            <v>-</v>
          </cell>
          <cell r="X541" t="str">
            <v>CLP HC VG 220 = -20° + 60°</v>
          </cell>
          <cell r="Y541" t="str">
            <v>R37/II2GD EDRE90M4/3GD/KCC/TF/AL</v>
          </cell>
          <cell r="Z541" t="str">
            <v>SEW</v>
          </cell>
          <cell r="AB541" t="str">
            <v>ATEX</v>
          </cell>
          <cell r="AH541" t="str">
            <v>R37-180-X</v>
          </cell>
        </row>
        <row r="542">
          <cell r="A542" t="str">
            <v>MR000538</v>
          </cell>
          <cell r="B542" t="str">
            <v>MR</v>
          </cell>
          <cell r="C542">
            <v>0.75</v>
          </cell>
          <cell r="D542">
            <v>119</v>
          </cell>
          <cell r="E542" t="str">
            <v>SA47</v>
          </cell>
          <cell r="F542">
            <v>54</v>
          </cell>
          <cell r="G542">
            <v>12.1</v>
          </cell>
          <cell r="H542">
            <v>2</v>
          </cell>
          <cell r="I542" t="str">
            <v>M4A</v>
          </cell>
          <cell r="J542" t="str">
            <v>IE2</v>
          </cell>
          <cell r="K542" t="str">
            <v>230/400</v>
          </cell>
          <cell r="L542">
            <v>50</v>
          </cell>
          <cell r="N542">
            <v>65</v>
          </cell>
          <cell r="O542" t="str">
            <v>F</v>
          </cell>
          <cell r="P542" t="str">
            <v>270°</v>
          </cell>
          <cell r="R542" t="str">
            <v>-</v>
          </cell>
          <cell r="U542" t="str">
            <v>G</v>
          </cell>
          <cell r="X542" t="str">
            <v>CLP HC 460</v>
          </cell>
          <cell r="Y542" t="str">
            <v>SA47/T/II2GD EDRE80M4/3GD/KCC/AL/C</v>
          </cell>
          <cell r="Z542" t="str">
            <v>SEW</v>
          </cell>
          <cell r="AB542" t="str">
            <v>ATEX</v>
          </cell>
          <cell r="AH542" t="str">
            <v>SA47G-A270-X</v>
          </cell>
        </row>
        <row r="543">
          <cell r="A543" t="str">
            <v>MR000539</v>
          </cell>
          <cell r="B543" t="str">
            <v>ME</v>
          </cell>
          <cell r="C543">
            <v>37</v>
          </cell>
          <cell r="D543">
            <v>1500</v>
          </cell>
          <cell r="E543" t="str">
            <v>S1LE1503</v>
          </cell>
          <cell r="F543">
            <v>239</v>
          </cell>
          <cell r="I543" t="str">
            <v>V1/B5</v>
          </cell>
          <cell r="J543" t="str">
            <v>IE3</v>
          </cell>
          <cell r="K543">
            <v>400</v>
          </cell>
          <cell r="L543">
            <v>50</v>
          </cell>
          <cell r="N543">
            <v>55</v>
          </cell>
          <cell r="O543" t="str">
            <v>F</v>
          </cell>
          <cell r="R543" t="str">
            <v>-</v>
          </cell>
          <cell r="V543" t="str">
            <v>D</v>
          </cell>
          <cell r="Y543" t="str">
            <v>S1LE1503-2BB03-4FA4</v>
          </cell>
          <cell r="Z543" t="str">
            <v>SIEMENS</v>
          </cell>
          <cell r="AE543" t="str">
            <v>Usare MR000459</v>
          </cell>
          <cell r="AH543" t="str">
            <v>S1LE1503-B-X</v>
          </cell>
        </row>
        <row r="544">
          <cell r="A544" t="str">
            <v>MR000540</v>
          </cell>
          <cell r="B544" t="str">
            <v>ME</v>
          </cell>
          <cell r="C544">
            <v>4</v>
          </cell>
          <cell r="D544">
            <v>3000</v>
          </cell>
          <cell r="E544" t="str">
            <v>1LE1003</v>
          </cell>
          <cell r="F544">
            <v>9.8000000000000007</v>
          </cell>
          <cell r="I544" t="str">
            <v>B5</v>
          </cell>
          <cell r="J544" t="str">
            <v>IE3</v>
          </cell>
          <cell r="K544">
            <v>400</v>
          </cell>
          <cell r="L544">
            <v>50</v>
          </cell>
          <cell r="N544">
            <v>55</v>
          </cell>
          <cell r="O544" t="str">
            <v>F(105°C)</v>
          </cell>
          <cell r="R544" t="str">
            <v>-</v>
          </cell>
          <cell r="V544" t="str">
            <v>D</v>
          </cell>
          <cell r="Y544" t="str">
            <v>1LE1003-1BA22-2FA4</v>
          </cell>
          <cell r="Z544" t="str">
            <v>SIEMENS</v>
          </cell>
          <cell r="AE544" t="str">
            <v>2  POLES</v>
          </cell>
          <cell r="AH544" t="str">
            <v>1LE1003-B-X</v>
          </cell>
        </row>
        <row r="545">
          <cell r="A545" t="str">
            <v>MR000541</v>
          </cell>
          <cell r="B545" t="str">
            <v>MR</v>
          </cell>
          <cell r="C545">
            <v>22</v>
          </cell>
          <cell r="D545">
            <v>33</v>
          </cell>
          <cell r="E545" t="str">
            <v>R137</v>
          </cell>
          <cell r="F545">
            <v>6310</v>
          </cell>
          <cell r="G545">
            <v>44.39</v>
          </cell>
          <cell r="H545">
            <v>1.25</v>
          </cell>
          <cell r="I545" t="str">
            <v>From M1 to M2 - 10°</v>
          </cell>
          <cell r="J545" t="str">
            <v>IE3</v>
          </cell>
          <cell r="K545">
            <v>415</v>
          </cell>
          <cell r="L545">
            <v>50</v>
          </cell>
          <cell r="M545">
            <v>38.5</v>
          </cell>
          <cell r="N545">
            <v>55</v>
          </cell>
          <cell r="O545" t="str">
            <v>F</v>
          </cell>
          <cell r="P545" t="str">
            <v>270°</v>
          </cell>
          <cell r="Q545" t="str">
            <v>TF</v>
          </cell>
          <cell r="R545" t="str">
            <v>V</v>
          </cell>
          <cell r="V545" t="str">
            <v>FC</v>
          </cell>
          <cell r="X545" t="str">
            <v>CLP (CC) VG 220 = -15° + 40°</v>
          </cell>
          <cell r="Y545" t="str">
            <v>R137DRN180L4/TF/V</v>
          </cell>
          <cell r="Z545" t="str">
            <v>SEW</v>
          </cell>
          <cell r="AH545" t="str">
            <v>R137-270-X#</v>
          </cell>
        </row>
        <row r="546">
          <cell r="A546" t="str">
            <v>MR000542</v>
          </cell>
          <cell r="B546" t="str">
            <v>MR</v>
          </cell>
          <cell r="C546">
            <v>5.5</v>
          </cell>
          <cell r="D546">
            <v>30</v>
          </cell>
          <cell r="E546" t="str">
            <v>KH87</v>
          </cell>
          <cell r="F546">
            <v>1760</v>
          </cell>
          <cell r="G546">
            <v>49.16</v>
          </cell>
          <cell r="H546">
            <v>1.55</v>
          </cell>
          <cell r="I546" t="str">
            <v>M4A</v>
          </cell>
          <cell r="J546" t="str">
            <v>IE3</v>
          </cell>
          <cell r="K546">
            <v>400</v>
          </cell>
          <cell r="L546">
            <v>50</v>
          </cell>
          <cell r="N546">
            <v>55</v>
          </cell>
          <cell r="O546" t="str">
            <v>F</v>
          </cell>
          <cell r="P546" t="str">
            <v>270°</v>
          </cell>
          <cell r="R546" t="str">
            <v>-</v>
          </cell>
          <cell r="S546" t="str">
            <v>Free rotation CCW</v>
          </cell>
          <cell r="U546" t="str">
            <v>T</v>
          </cell>
          <cell r="V546" t="str">
            <v>D</v>
          </cell>
          <cell r="X546" t="str">
            <v>CLP (CC) VG 220 = -15° + 40°</v>
          </cell>
          <cell r="Y546" t="str">
            <v>KH87/T DRN132S4-RS</v>
          </cell>
          <cell r="Z546" t="str">
            <v>SEW</v>
          </cell>
          <cell r="AH546" t="str">
            <v>KH87T-A270-X</v>
          </cell>
        </row>
        <row r="547">
          <cell r="A547" t="str">
            <v>MR000543</v>
          </cell>
          <cell r="B547" t="str">
            <v>MR</v>
          </cell>
          <cell r="C547">
            <v>3</v>
          </cell>
          <cell r="D547">
            <v>53</v>
          </cell>
          <cell r="E547" t="str">
            <v>KA67</v>
          </cell>
          <cell r="F547">
            <v>535</v>
          </cell>
          <cell r="G547">
            <v>27.28</v>
          </cell>
          <cell r="H547">
            <v>1.55</v>
          </cell>
          <cell r="I547" t="str">
            <v>M4B</v>
          </cell>
          <cell r="J547" t="str">
            <v>IE3</v>
          </cell>
          <cell r="K547">
            <v>400</v>
          </cell>
          <cell r="L547">
            <v>50</v>
          </cell>
          <cell r="N547">
            <v>55</v>
          </cell>
          <cell r="O547" t="str">
            <v>F</v>
          </cell>
          <cell r="P547" t="str">
            <v>270°</v>
          </cell>
          <cell r="R547" t="str">
            <v>-</v>
          </cell>
          <cell r="S547" t="str">
            <v>Free rotation CCW</v>
          </cell>
          <cell r="V547" t="str">
            <v>D</v>
          </cell>
          <cell r="X547" t="str">
            <v>CLP (CC) VG 220 = -15° + 40°</v>
          </cell>
          <cell r="Y547" t="str">
            <v>KA67/T DRN100L4-RS</v>
          </cell>
          <cell r="Z547" t="str">
            <v>SEW</v>
          </cell>
          <cell r="AH547" t="str">
            <v>KA67-B270-X</v>
          </cell>
        </row>
        <row r="548">
          <cell r="A548" t="str">
            <v>MR000544</v>
          </cell>
          <cell r="B548" t="str">
            <v>ME</v>
          </cell>
          <cell r="C548">
            <v>1.1000000000000001</v>
          </cell>
          <cell r="D548">
            <v>1455</v>
          </cell>
          <cell r="E548" t="str">
            <v>DRN90S4</v>
          </cell>
          <cell r="F548">
            <v>7.2</v>
          </cell>
          <cell r="I548" t="str">
            <v>M5</v>
          </cell>
          <cell r="J548" t="str">
            <v>IE3</v>
          </cell>
          <cell r="K548" t="str">
            <v>230/400</v>
          </cell>
          <cell r="L548">
            <v>50</v>
          </cell>
          <cell r="N548">
            <v>55</v>
          </cell>
          <cell r="O548" t="str">
            <v>F</v>
          </cell>
          <cell r="Q548" t="str">
            <v>TF</v>
          </cell>
          <cell r="R548" t="str">
            <v>-</v>
          </cell>
          <cell r="V548" t="str">
            <v>D</v>
          </cell>
          <cell r="X548" t="str">
            <v>CLP (CC) VG 220 = -15° + 40°</v>
          </cell>
          <cell r="Y548" t="str">
            <v xml:space="preserve"> DRN90S4/FG/TF</v>
          </cell>
          <cell r="Z548" t="str">
            <v>SEW</v>
          </cell>
          <cell r="AH548" t="str">
            <v>DRN90S4--X</v>
          </cell>
        </row>
        <row r="549">
          <cell r="A549" t="str">
            <v>MR000545</v>
          </cell>
          <cell r="B549" t="str">
            <v>MR</v>
          </cell>
          <cell r="C549">
            <v>11</v>
          </cell>
          <cell r="D549">
            <v>18</v>
          </cell>
          <cell r="E549" t="str">
            <v>R137</v>
          </cell>
          <cell r="F549">
            <v>5760</v>
          </cell>
          <cell r="G549">
            <v>80.91</v>
          </cell>
          <cell r="H549">
            <v>1.4</v>
          </cell>
          <cell r="I549" t="str">
            <v>M1</v>
          </cell>
          <cell r="J549" t="str">
            <v>IE3</v>
          </cell>
          <cell r="K549">
            <v>400</v>
          </cell>
          <cell r="L549">
            <v>50</v>
          </cell>
          <cell r="M549">
            <v>21</v>
          </cell>
          <cell r="N549">
            <v>55</v>
          </cell>
          <cell r="O549" t="str">
            <v>F</v>
          </cell>
          <cell r="P549" t="str">
            <v>270°</v>
          </cell>
          <cell r="Q549" t="str">
            <v>TF</v>
          </cell>
          <cell r="R549" t="str">
            <v>V</v>
          </cell>
          <cell r="V549" t="str">
            <v>FC</v>
          </cell>
          <cell r="X549" t="str">
            <v>CLP (CC) VG 220 = -15° + 40°</v>
          </cell>
          <cell r="Y549" t="str">
            <v>R137DRN160M4/TF/V</v>
          </cell>
          <cell r="Z549" t="str">
            <v>SEW</v>
          </cell>
          <cell r="AH549" t="str">
            <v>R137-270-X#</v>
          </cell>
        </row>
        <row r="550">
          <cell r="A550" t="str">
            <v>MR000546</v>
          </cell>
          <cell r="B550" t="str">
            <v>MR</v>
          </cell>
          <cell r="C550">
            <v>7.5</v>
          </cell>
          <cell r="D550">
            <v>11</v>
          </cell>
          <cell r="E550" t="str">
            <v>R137</v>
          </cell>
          <cell r="F550">
            <v>6250</v>
          </cell>
          <cell r="G550">
            <v>128.18</v>
          </cell>
          <cell r="H550">
            <v>1.3</v>
          </cell>
          <cell r="I550" t="str">
            <v>From M1 to M2 - 15°</v>
          </cell>
          <cell r="J550" t="str">
            <v>IE3</v>
          </cell>
          <cell r="K550">
            <v>400</v>
          </cell>
          <cell r="L550">
            <v>50</v>
          </cell>
          <cell r="N550">
            <v>55</v>
          </cell>
          <cell r="O550" t="str">
            <v>F</v>
          </cell>
          <cell r="P550" t="str">
            <v>270°</v>
          </cell>
          <cell r="Q550" t="str">
            <v>TF</v>
          </cell>
          <cell r="R550" t="str">
            <v>V</v>
          </cell>
          <cell r="V550" t="str">
            <v>FC</v>
          </cell>
          <cell r="X550" t="str">
            <v>CLP (CC) VG 220 = -15° + 40°</v>
          </cell>
          <cell r="Y550" t="str">
            <v>R137DRN132M4/TF/V</v>
          </cell>
          <cell r="Z550" t="str">
            <v>SEW</v>
          </cell>
          <cell r="AH550" t="str">
            <v>R137-270-X#</v>
          </cell>
        </row>
        <row r="551">
          <cell r="A551" t="str">
            <v>MR000547</v>
          </cell>
          <cell r="B551" t="str">
            <v>MR</v>
          </cell>
          <cell r="C551">
            <v>30</v>
          </cell>
          <cell r="D551">
            <v>56</v>
          </cell>
          <cell r="E551" t="str">
            <v>KH107</v>
          </cell>
          <cell r="F551">
            <v>5090</v>
          </cell>
          <cell r="G551">
            <v>26.32</v>
          </cell>
          <cell r="H551">
            <v>1.4</v>
          </cell>
          <cell r="I551" t="str">
            <v>M4A</v>
          </cell>
          <cell r="J551" t="str">
            <v>IE3</v>
          </cell>
          <cell r="K551">
            <v>400</v>
          </cell>
          <cell r="L551">
            <v>50</v>
          </cell>
          <cell r="M551">
            <v>56</v>
          </cell>
          <cell r="N551">
            <v>55</v>
          </cell>
          <cell r="O551" t="str">
            <v>F</v>
          </cell>
          <cell r="P551" t="str">
            <v>270°</v>
          </cell>
          <cell r="R551" t="str">
            <v>-</v>
          </cell>
          <cell r="V551" t="str">
            <v>SS</v>
          </cell>
          <cell r="X551" t="str">
            <v>CLP (CC) VG 220 = -15° + 40°</v>
          </cell>
          <cell r="Y551" t="str">
            <v>KH107/T DRN200L4</v>
          </cell>
          <cell r="Z551" t="str">
            <v>SEW</v>
          </cell>
          <cell r="AH551" t="str">
            <v>KH107-A270-X</v>
          </cell>
        </row>
        <row r="552">
          <cell r="A552" t="str">
            <v>MR000548</v>
          </cell>
          <cell r="B552" t="str">
            <v>MR</v>
          </cell>
          <cell r="C552">
            <v>4</v>
          </cell>
          <cell r="D552">
            <v>152</v>
          </cell>
          <cell r="E552" t="str">
            <v>KH67</v>
          </cell>
          <cell r="F552">
            <v>250</v>
          </cell>
          <cell r="G552">
            <v>9.66</v>
          </cell>
          <cell r="H552">
            <v>1.9</v>
          </cell>
          <cell r="I552" t="str">
            <v>M1A</v>
          </cell>
          <cell r="J552" t="str">
            <v>IE3</v>
          </cell>
          <cell r="K552">
            <v>400</v>
          </cell>
          <cell r="L552">
            <v>50</v>
          </cell>
          <cell r="M552">
            <v>7.9</v>
          </cell>
          <cell r="N552">
            <v>55</v>
          </cell>
          <cell r="O552" t="str">
            <v>F</v>
          </cell>
          <cell r="P552" t="str">
            <v>180°</v>
          </cell>
          <cell r="Q552" t="str">
            <v>TF</v>
          </cell>
          <cell r="R552" t="str">
            <v>-</v>
          </cell>
          <cell r="U552" t="str">
            <v>T</v>
          </cell>
          <cell r="V552" t="str">
            <v>FC+R</v>
          </cell>
          <cell r="X552" t="str">
            <v>CLP (CC) VG 220 = -15° + 40°</v>
          </cell>
          <cell r="Y552" t="str">
            <v>KH67/TDRN112M4-TF</v>
          </cell>
          <cell r="Z552" t="str">
            <v>SEW</v>
          </cell>
          <cell r="AH552" t="str">
            <v>KH67T-A180-X</v>
          </cell>
        </row>
        <row r="553">
          <cell r="A553" t="str">
            <v>MR000549</v>
          </cell>
          <cell r="B553" t="str">
            <v>MR</v>
          </cell>
          <cell r="C553">
            <v>0.75</v>
          </cell>
          <cell r="D553">
            <v>16</v>
          </cell>
          <cell r="E553" t="str">
            <v>KA77</v>
          </cell>
          <cell r="F553">
            <v>675</v>
          </cell>
          <cell r="G553">
            <v>135.28</v>
          </cell>
          <cell r="H553">
            <v>2.2000000000000002</v>
          </cell>
          <cell r="I553" t="str">
            <v>M4A</v>
          </cell>
          <cell r="J553" t="str">
            <v>IE2</v>
          </cell>
          <cell r="K553" t="str">
            <v>230/400</v>
          </cell>
          <cell r="L553">
            <v>50</v>
          </cell>
          <cell r="N553">
            <v>54</v>
          </cell>
          <cell r="O553" t="str">
            <v>F</v>
          </cell>
          <cell r="P553" t="str">
            <v>270°</v>
          </cell>
          <cell r="Q553" t="str">
            <v>TF</v>
          </cell>
          <cell r="R553" t="str">
            <v>VE</v>
          </cell>
          <cell r="U553" t="str">
            <v>T</v>
          </cell>
          <cell r="X553" t="str">
            <v>CLP HC VG 220 = -20° + 60°</v>
          </cell>
          <cell r="Y553" t="str">
            <v>KA77/T/II2GD EDRE80M4/3D/KCC/TF/ES7C/VE/C</v>
          </cell>
          <cell r="Z553" t="str">
            <v>SEW</v>
          </cell>
          <cell r="AB553" t="str">
            <v>ATEX</v>
          </cell>
          <cell r="AH553" t="str">
            <v>KA77T-A270-X#</v>
          </cell>
        </row>
        <row r="554">
          <cell r="A554" t="str">
            <v>MR000550</v>
          </cell>
          <cell r="B554" t="str">
            <v>MR</v>
          </cell>
          <cell r="C554">
            <v>37</v>
          </cell>
          <cell r="D554">
            <v>37</v>
          </cell>
          <cell r="E554" t="str">
            <v>KH127</v>
          </cell>
          <cell r="F554">
            <v>9590</v>
          </cell>
          <cell r="G554">
            <v>40.19</v>
          </cell>
          <cell r="H554">
            <v>1.35</v>
          </cell>
          <cell r="I554" t="str">
            <v>M4A</v>
          </cell>
          <cell r="J554" t="str">
            <v>IE3</v>
          </cell>
          <cell r="K554">
            <v>400</v>
          </cell>
          <cell r="L554">
            <v>50</v>
          </cell>
          <cell r="N554">
            <v>55</v>
          </cell>
          <cell r="O554" t="str">
            <v>F</v>
          </cell>
          <cell r="P554" t="str">
            <v>270°</v>
          </cell>
          <cell r="R554" t="str">
            <v>-</v>
          </cell>
          <cell r="U554" t="str">
            <v>T</v>
          </cell>
          <cell r="V554" t="str">
            <v>SS</v>
          </cell>
          <cell r="X554" t="str">
            <v>CLP HC VG 150 = -40° + 40°</v>
          </cell>
          <cell r="Y554" t="str">
            <v>KH127/T EDRE224M4</v>
          </cell>
          <cell r="Z554" t="str">
            <v>SEW</v>
          </cell>
          <cell r="AB554" t="str">
            <v>ATEX</v>
          </cell>
          <cell r="AH554" t="str">
            <v>KH127T-A270-X</v>
          </cell>
        </row>
        <row r="555">
          <cell r="A555" t="str">
            <v>MR000551</v>
          </cell>
          <cell r="B555" t="str">
            <v>MR</v>
          </cell>
          <cell r="C555">
            <v>0.37</v>
          </cell>
          <cell r="D555">
            <v>154</v>
          </cell>
          <cell r="E555" t="str">
            <v>KA37</v>
          </cell>
          <cell r="F555">
            <v>23</v>
          </cell>
          <cell r="G555">
            <v>8.91</v>
          </cell>
          <cell r="H555">
            <v>6.1</v>
          </cell>
          <cell r="I555" t="str">
            <v>M1B</v>
          </cell>
          <cell r="J555" t="str">
            <v>IE3</v>
          </cell>
          <cell r="K555">
            <v>400</v>
          </cell>
          <cell r="L555">
            <v>50</v>
          </cell>
          <cell r="N555">
            <v>55</v>
          </cell>
          <cell r="O555" t="str">
            <v>F</v>
          </cell>
          <cell r="P555" t="str">
            <v>0°</v>
          </cell>
          <cell r="R555" t="str">
            <v>-</v>
          </cell>
          <cell r="U555" t="str">
            <v>T</v>
          </cell>
          <cell r="V555" t="str">
            <v>D</v>
          </cell>
          <cell r="X555" t="str">
            <v>CLP HC VG 150 = -40° + 40°</v>
          </cell>
          <cell r="Y555" t="str">
            <v>KA37/T EDRS71M4</v>
          </cell>
          <cell r="Z555" t="str">
            <v>SEW</v>
          </cell>
          <cell r="AB555" t="str">
            <v>ATEX</v>
          </cell>
          <cell r="AH555" t="str">
            <v>KA37T-B0-X</v>
          </cell>
        </row>
        <row r="556">
          <cell r="A556" t="str">
            <v>MR000552</v>
          </cell>
          <cell r="B556" t="str">
            <v>MR</v>
          </cell>
          <cell r="C556">
            <v>4</v>
          </cell>
          <cell r="D556">
            <v>151</v>
          </cell>
          <cell r="E556" t="str">
            <v>KH67</v>
          </cell>
          <cell r="F556">
            <v>250</v>
          </cell>
          <cell r="G556">
            <v>9.66</v>
          </cell>
          <cell r="H556">
            <v>1.35</v>
          </cell>
          <cell r="I556" t="str">
            <v>M4B</v>
          </cell>
          <cell r="J556" t="str">
            <v>IE3</v>
          </cell>
          <cell r="K556">
            <v>400</v>
          </cell>
          <cell r="L556">
            <v>50</v>
          </cell>
          <cell r="N556">
            <v>55</v>
          </cell>
          <cell r="O556" t="str">
            <v>F</v>
          </cell>
          <cell r="P556" t="str">
            <v>270°</v>
          </cell>
          <cell r="R556" t="str">
            <v>-</v>
          </cell>
          <cell r="U556" t="str">
            <v>T</v>
          </cell>
          <cell r="V556" t="str">
            <v>D+R</v>
          </cell>
          <cell r="X556" t="str">
            <v>CLP HC VG 150 = -40° + 40°</v>
          </cell>
          <cell r="Y556" t="str">
            <v>KH67/T EDRE132S4</v>
          </cell>
          <cell r="Z556" t="str">
            <v>SEW</v>
          </cell>
          <cell r="AB556" t="str">
            <v>ATEX</v>
          </cell>
          <cell r="AH556" t="str">
            <v>KH67T-B270-X</v>
          </cell>
        </row>
        <row r="557">
          <cell r="A557" t="str">
            <v>MR000553</v>
          </cell>
          <cell r="B557" t="str">
            <v>MR</v>
          </cell>
          <cell r="C557">
            <v>11</v>
          </cell>
          <cell r="D557">
            <v>66</v>
          </cell>
          <cell r="E557" t="str">
            <v>KA87</v>
          </cell>
          <cell r="F557">
            <v>1590</v>
          </cell>
          <cell r="G557">
            <v>22.41</v>
          </cell>
          <cell r="H557">
            <v>1.45</v>
          </cell>
          <cell r="I557" t="str">
            <v>M4B</v>
          </cell>
          <cell r="J557" t="str">
            <v>IE3</v>
          </cell>
          <cell r="K557">
            <v>400</v>
          </cell>
          <cell r="L557">
            <v>50</v>
          </cell>
          <cell r="N557">
            <v>55</v>
          </cell>
          <cell r="O557" t="str">
            <v>F</v>
          </cell>
          <cell r="P557" t="str">
            <v>90°</v>
          </cell>
          <cell r="R557" t="str">
            <v>-</v>
          </cell>
          <cell r="S557" t="str">
            <v>Free rotation CW</v>
          </cell>
          <cell r="U557" t="str">
            <v>T</v>
          </cell>
          <cell r="V557" t="str">
            <v>SS</v>
          </cell>
          <cell r="X557" t="str">
            <v>CLP (CC) VG 220 = -15° + 40°</v>
          </cell>
          <cell r="Y557" t="str">
            <v>KA87/TDRN160M4/RS</v>
          </cell>
          <cell r="Z557" t="str">
            <v>SEW</v>
          </cell>
          <cell r="AH557" t="str">
            <v>KA87T-B90-X</v>
          </cell>
        </row>
        <row r="558">
          <cell r="A558" t="str">
            <v>MR000554</v>
          </cell>
          <cell r="B558" t="str">
            <v>R</v>
          </cell>
          <cell r="E558" t="str">
            <v>R137/A</v>
          </cell>
          <cell r="G558">
            <v>59.17</v>
          </cell>
          <cell r="I558" t="str">
            <v>M1</v>
          </cell>
          <cell r="R558" t="str">
            <v>-</v>
          </cell>
          <cell r="Y558" t="str">
            <v>R137/A</v>
          </cell>
          <cell r="Z558" t="str">
            <v>SEW</v>
          </cell>
          <cell r="AH558" t="str">
            <v>R137/A--X</v>
          </cell>
        </row>
        <row r="559">
          <cell r="A559" t="str">
            <v>MR000555</v>
          </cell>
          <cell r="B559" t="str">
            <v>MR</v>
          </cell>
          <cell r="C559">
            <v>5.5</v>
          </cell>
          <cell r="D559">
            <v>19</v>
          </cell>
          <cell r="E559" t="str">
            <v>R107</v>
          </cell>
          <cell r="F559">
            <v>2820</v>
          </cell>
          <cell r="G559">
            <v>78.569999999999993</v>
          </cell>
          <cell r="H559">
            <v>1.55</v>
          </cell>
          <cell r="I559" t="str">
            <v>M1</v>
          </cell>
          <cell r="J559" t="str">
            <v>IE3</v>
          </cell>
          <cell r="K559" t="str">
            <v>400/690</v>
          </cell>
          <cell r="L559">
            <v>50</v>
          </cell>
          <cell r="N559">
            <v>54</v>
          </cell>
          <cell r="O559" t="str">
            <v>F</v>
          </cell>
          <cell r="P559" t="str">
            <v>270°</v>
          </cell>
          <cell r="R559" t="str">
            <v>-</v>
          </cell>
          <cell r="X559" t="str">
            <v>CLP (CC) VG 220 = -15° + 40°</v>
          </cell>
          <cell r="Y559" t="str">
            <v>R107DRN132S4</v>
          </cell>
          <cell r="Z559" t="str">
            <v>SEW</v>
          </cell>
          <cell r="AH559" t="str">
            <v>R107-270-X</v>
          </cell>
        </row>
        <row r="560">
          <cell r="A560" t="str">
            <v>MR000556</v>
          </cell>
          <cell r="B560" t="str">
            <v>MR</v>
          </cell>
          <cell r="C560">
            <v>11</v>
          </cell>
          <cell r="D560">
            <v>59</v>
          </cell>
          <cell r="E560" t="str">
            <v>R107</v>
          </cell>
          <cell r="F560">
            <v>1770</v>
          </cell>
          <cell r="G560">
            <v>24.9</v>
          </cell>
          <cell r="H560">
            <v>2.4</v>
          </cell>
          <cell r="I560" t="str">
            <v>M1</v>
          </cell>
          <cell r="J560" t="str">
            <v>IE3</v>
          </cell>
          <cell r="K560" t="str">
            <v>400/690</v>
          </cell>
          <cell r="L560">
            <v>50</v>
          </cell>
          <cell r="M560">
            <v>21</v>
          </cell>
          <cell r="N560">
            <v>55</v>
          </cell>
          <cell r="O560" t="str">
            <v>F</v>
          </cell>
          <cell r="P560">
            <v>270</v>
          </cell>
          <cell r="R560" t="str">
            <v>-</v>
          </cell>
          <cell r="X560" t="str">
            <v>CLP (CC) VG 220 = -15° + 40°</v>
          </cell>
          <cell r="Y560" t="str">
            <v>R107DRN160M4</v>
          </cell>
          <cell r="Z560" t="str">
            <v>SEW</v>
          </cell>
          <cell r="AH560" t="str">
            <v>R107-270-X</v>
          </cell>
        </row>
        <row r="561">
          <cell r="A561" t="str">
            <v>MR000557</v>
          </cell>
          <cell r="B561" t="str">
            <v>MR</v>
          </cell>
          <cell r="C561">
            <v>1.1000000000000001</v>
          </cell>
          <cell r="D561">
            <v>7.3</v>
          </cell>
          <cell r="E561" t="str">
            <v>FV77R37</v>
          </cell>
          <cell r="F561">
            <v>1320</v>
          </cell>
          <cell r="G561">
            <v>199</v>
          </cell>
          <cell r="H561">
            <v>1.1499999999999999</v>
          </cell>
          <cell r="I561" t="str">
            <v>M5</v>
          </cell>
          <cell r="J561" t="str">
            <v>IE3</v>
          </cell>
          <cell r="K561">
            <v>400</v>
          </cell>
          <cell r="L561">
            <v>50</v>
          </cell>
          <cell r="N561">
            <v>55</v>
          </cell>
          <cell r="O561" t="str">
            <v>F</v>
          </cell>
          <cell r="P561" t="str">
            <v>180°</v>
          </cell>
          <cell r="Q561" t="str">
            <v>TF</v>
          </cell>
          <cell r="R561" t="str">
            <v>-</v>
          </cell>
          <cell r="T561" t="str">
            <v>BE2</v>
          </cell>
          <cell r="V561" t="str">
            <v>FC+R</v>
          </cell>
          <cell r="X561" t="str">
            <v>CLP HC VG 150 = -40° + 40°</v>
          </cell>
          <cell r="Y561" t="str">
            <v>FV77R37/II2GDEDRN90S4-BE2-TF</v>
          </cell>
          <cell r="Z561" t="str">
            <v>SEW</v>
          </cell>
          <cell r="AB561" t="str">
            <v>ATEX</v>
          </cell>
          <cell r="AE561" t="str">
            <v>BROCCIATURA PER FV67-DIN 5480N45x2x30x21xH9</v>
          </cell>
          <cell r="AH561" t="str">
            <v>FV77R37-180-X</v>
          </cell>
        </row>
        <row r="562">
          <cell r="A562" t="str">
            <v>MR000558</v>
          </cell>
          <cell r="B562" t="str">
            <v>MR</v>
          </cell>
          <cell r="C562">
            <v>1.1000000000000001</v>
          </cell>
          <cell r="D562">
            <v>7.3</v>
          </cell>
          <cell r="E562" t="str">
            <v>FV77R37</v>
          </cell>
          <cell r="F562">
            <v>1320</v>
          </cell>
          <cell r="G562">
            <v>199</v>
          </cell>
          <cell r="H562">
            <v>1.1499999999999999</v>
          </cell>
          <cell r="I562" t="str">
            <v>M6</v>
          </cell>
          <cell r="J562" t="str">
            <v>IE3</v>
          </cell>
          <cell r="K562">
            <v>400</v>
          </cell>
          <cell r="L562">
            <v>50</v>
          </cell>
          <cell r="N562">
            <v>55</v>
          </cell>
          <cell r="O562" t="str">
            <v>F</v>
          </cell>
          <cell r="P562" t="str">
            <v>0°</v>
          </cell>
          <cell r="Q562" t="str">
            <v>TF</v>
          </cell>
          <cell r="R562" t="str">
            <v>-</v>
          </cell>
          <cell r="T562" t="str">
            <v>BE2</v>
          </cell>
          <cell r="V562" t="str">
            <v>FC+R</v>
          </cell>
          <cell r="X562" t="str">
            <v>CLP HC VG 150 = -40° + 40°</v>
          </cell>
          <cell r="Y562" t="str">
            <v>FV77R37/II2GDEDRN90S4-BE2-TF</v>
          </cell>
          <cell r="Z562" t="str">
            <v>SEW</v>
          </cell>
          <cell r="AB562" t="str">
            <v>ATEX</v>
          </cell>
          <cell r="AE562" t="str">
            <v>BROCCIATURA PER FV67-DIN 5480N45x2x30x21xH9</v>
          </cell>
          <cell r="AH562" t="str">
            <v>FV77R37-0-X</v>
          </cell>
        </row>
        <row r="563">
          <cell r="A563" t="str">
            <v>MR000559</v>
          </cell>
          <cell r="B563" t="str">
            <v>MR</v>
          </cell>
          <cell r="C563">
            <v>22</v>
          </cell>
          <cell r="D563">
            <v>22</v>
          </cell>
          <cell r="E563" t="str">
            <v>R147</v>
          </cell>
          <cell r="F563">
            <v>9520</v>
          </cell>
          <cell r="G563">
            <v>66.989999999999995</v>
          </cell>
          <cell r="H563">
            <v>1.35</v>
          </cell>
          <cell r="I563" t="str">
            <v>M1</v>
          </cell>
          <cell r="J563" t="str">
            <v>IE3</v>
          </cell>
          <cell r="K563">
            <v>400</v>
          </cell>
          <cell r="L563">
            <v>50</v>
          </cell>
          <cell r="N563">
            <v>55</v>
          </cell>
          <cell r="O563" t="str">
            <v>F</v>
          </cell>
          <cell r="P563" t="str">
            <v>270°</v>
          </cell>
          <cell r="Q563" t="str">
            <v>TF</v>
          </cell>
          <cell r="R563" t="str">
            <v>V</v>
          </cell>
          <cell r="V563" t="str">
            <v>FC</v>
          </cell>
          <cell r="X563" t="str">
            <v>CLP HC VG 150 = -40° + 40°</v>
          </cell>
          <cell r="Y563" t="str">
            <v>R147DRN180L4-TF-V</v>
          </cell>
          <cell r="Z563" t="str">
            <v>SEW</v>
          </cell>
          <cell r="AH563" t="str">
            <v>R147-270-X#</v>
          </cell>
        </row>
        <row r="564">
          <cell r="A564" t="str">
            <v>MR000560</v>
          </cell>
          <cell r="B564" t="str">
            <v>MR</v>
          </cell>
          <cell r="C564">
            <v>37</v>
          </cell>
          <cell r="D564">
            <v>37</v>
          </cell>
          <cell r="E564" t="str">
            <v>KH127</v>
          </cell>
          <cell r="F564">
            <v>9580</v>
          </cell>
          <cell r="G564">
            <v>40.19</v>
          </cell>
          <cell r="H564">
            <v>1.35</v>
          </cell>
          <cell r="I564" t="str">
            <v>M4A</v>
          </cell>
          <cell r="J564" t="str">
            <v>IE3</v>
          </cell>
          <cell r="K564">
            <v>400</v>
          </cell>
          <cell r="L564">
            <v>50</v>
          </cell>
          <cell r="M564">
            <v>111</v>
          </cell>
          <cell r="N564">
            <v>55</v>
          </cell>
          <cell r="O564" t="str">
            <v>F</v>
          </cell>
          <cell r="P564" t="str">
            <v>270°</v>
          </cell>
          <cell r="R564" t="str">
            <v>-</v>
          </cell>
          <cell r="U564" t="str">
            <v>T</v>
          </cell>
          <cell r="V564" t="str">
            <v>SS</v>
          </cell>
          <cell r="X564" t="str">
            <v>CLP HC VG 150 = -40° + 40°</v>
          </cell>
          <cell r="Y564" t="str">
            <v>KH127/T/II2GDEDRN225S4/3D/AL/C</v>
          </cell>
          <cell r="Z564" t="str">
            <v>SEW</v>
          </cell>
          <cell r="AB564" t="str">
            <v>ATEX22</v>
          </cell>
          <cell r="AH564" t="str">
            <v>KH127T-A270-X</v>
          </cell>
        </row>
        <row r="565">
          <cell r="A565" t="str">
            <v>MR000561</v>
          </cell>
          <cell r="B565" t="str">
            <v>MR</v>
          </cell>
          <cell r="C565">
            <v>11</v>
          </cell>
          <cell r="D565">
            <v>13</v>
          </cell>
          <cell r="E565" t="str">
            <v>KH127</v>
          </cell>
          <cell r="F565">
            <v>7850</v>
          </cell>
          <cell r="G565">
            <v>110.18</v>
          </cell>
          <cell r="H565">
            <v>1.65</v>
          </cell>
          <cell r="I565" t="str">
            <v>M1B</v>
          </cell>
          <cell r="J565" t="str">
            <v>IE3</v>
          </cell>
          <cell r="K565">
            <v>400</v>
          </cell>
          <cell r="L565">
            <v>50</v>
          </cell>
          <cell r="M565">
            <v>21</v>
          </cell>
          <cell r="N565">
            <v>55</v>
          </cell>
          <cell r="O565" t="str">
            <v>F</v>
          </cell>
          <cell r="P565" t="str">
            <v>270°</v>
          </cell>
          <cell r="Q565" t="str">
            <v>TF</v>
          </cell>
          <cell r="R565" t="str">
            <v>V</v>
          </cell>
          <cell r="V565" t="str">
            <v>FC</v>
          </cell>
          <cell r="X565" t="str">
            <v>CLP HC VG 220 = -20° + 60°</v>
          </cell>
          <cell r="Y565" t="str">
            <v>KH127DRN160M4/TF/V</v>
          </cell>
          <cell r="Z565" t="str">
            <v>SEW</v>
          </cell>
          <cell r="AH565" t="str">
            <v>KH127-B270-X#</v>
          </cell>
        </row>
        <row r="566">
          <cell r="A566" t="str">
            <v>MR000562</v>
          </cell>
          <cell r="B566" t="str">
            <v>MR</v>
          </cell>
          <cell r="C566">
            <v>0.75</v>
          </cell>
          <cell r="D566">
            <v>162</v>
          </cell>
          <cell r="E566" t="str">
            <v>KA37</v>
          </cell>
          <cell r="F566">
            <v>44</v>
          </cell>
          <cell r="G566">
            <v>8.91</v>
          </cell>
          <cell r="H566">
            <v>3</v>
          </cell>
          <cell r="I566" t="str">
            <v>M3A</v>
          </cell>
          <cell r="J566" t="str">
            <v>IE3</v>
          </cell>
          <cell r="K566">
            <v>400</v>
          </cell>
          <cell r="L566">
            <v>50</v>
          </cell>
          <cell r="M566">
            <v>1.75</v>
          </cell>
          <cell r="N566">
            <v>55</v>
          </cell>
          <cell r="O566" t="str">
            <v>F</v>
          </cell>
          <cell r="P566" t="str">
            <v>180°</v>
          </cell>
          <cell r="R566" t="str">
            <v>-</v>
          </cell>
          <cell r="U566" t="str">
            <v>T</v>
          </cell>
          <cell r="V566" t="str">
            <v>D</v>
          </cell>
          <cell r="X566" t="str">
            <v>CLP HC VG 150 = -40° + 40°</v>
          </cell>
          <cell r="Y566" t="str">
            <v>KA37/T/II2GDEDRN80M4/3D/KCC/AL</v>
          </cell>
          <cell r="Z566" t="str">
            <v>SEW</v>
          </cell>
          <cell r="AB566" t="str">
            <v>ATEX22</v>
          </cell>
          <cell r="AH566" t="str">
            <v>KA37T-A180-X</v>
          </cell>
        </row>
        <row r="567">
          <cell r="A567" t="str">
            <v>MR000563</v>
          </cell>
          <cell r="B567" t="str">
            <v>MR</v>
          </cell>
          <cell r="C567">
            <v>1.1000000000000001</v>
          </cell>
          <cell r="D567">
            <v>7.3</v>
          </cell>
          <cell r="E567" t="str">
            <v>FV77</v>
          </cell>
          <cell r="F567">
            <v>1455</v>
          </cell>
          <cell r="G567">
            <v>198.31</v>
          </cell>
          <cell r="H567">
            <v>1.05</v>
          </cell>
          <cell r="I567" t="str">
            <v>M5</v>
          </cell>
          <cell r="J567" t="str">
            <v>IE2</v>
          </cell>
          <cell r="K567">
            <v>400</v>
          </cell>
          <cell r="L567">
            <v>50</v>
          </cell>
          <cell r="M567">
            <v>2.5499999999999998</v>
          </cell>
          <cell r="N567">
            <v>55</v>
          </cell>
          <cell r="O567" t="str">
            <v>F</v>
          </cell>
          <cell r="P567" t="str">
            <v>180°</v>
          </cell>
          <cell r="Q567" t="str">
            <v>TF</v>
          </cell>
          <cell r="R567" t="str">
            <v>-</v>
          </cell>
          <cell r="T567" t="str">
            <v>BE2</v>
          </cell>
          <cell r="U567" t="str">
            <v>G</v>
          </cell>
          <cell r="V567" t="str">
            <v>FC+R</v>
          </cell>
          <cell r="X567" t="str">
            <v>CLP HC VG 150 = -40° + 40°</v>
          </cell>
          <cell r="Y567" t="str">
            <v>FV77/G/II2GDEDRN90S4BE/3D/KCC/TF/AL</v>
          </cell>
          <cell r="Z567" t="str">
            <v>SEW</v>
          </cell>
          <cell r="AB567" t="str">
            <v>ATEX22</v>
          </cell>
          <cell r="AE567" t="str">
            <v xml:space="preserve"> BROCCIATURA PER FV67-DIN 5480N45x2x30x21xH9 Provide rectifier module in the electrical cabinet</v>
          </cell>
          <cell r="AH567" t="str">
            <v>FV77G-180-X</v>
          </cell>
        </row>
        <row r="568">
          <cell r="A568" t="str">
            <v>MR000564</v>
          </cell>
          <cell r="B568" t="str">
            <v>MR</v>
          </cell>
          <cell r="C568">
            <v>4</v>
          </cell>
          <cell r="D568">
            <v>152</v>
          </cell>
          <cell r="E568" t="str">
            <v>KH67</v>
          </cell>
          <cell r="F568">
            <v>250</v>
          </cell>
          <cell r="G568">
            <v>9.66</v>
          </cell>
          <cell r="H568">
            <v>1.3</v>
          </cell>
          <cell r="I568" t="str">
            <v>M4B</v>
          </cell>
          <cell r="J568" t="str">
            <v>IE3</v>
          </cell>
          <cell r="K568">
            <v>400</v>
          </cell>
          <cell r="L568">
            <v>50</v>
          </cell>
          <cell r="M568">
            <v>7.9</v>
          </cell>
          <cell r="N568">
            <v>55</v>
          </cell>
          <cell r="O568" t="str">
            <v>F</v>
          </cell>
          <cell r="P568" t="str">
            <v>270°</v>
          </cell>
          <cell r="Q568" t="str">
            <v>TF</v>
          </cell>
          <cell r="R568" t="str">
            <v>-</v>
          </cell>
          <cell r="U568" t="str">
            <v>T</v>
          </cell>
          <cell r="V568" t="str">
            <v>FC</v>
          </cell>
          <cell r="X568" t="str">
            <v>CLP HC VG 150 = -40° + 40°</v>
          </cell>
          <cell r="Y568" t="str">
            <v>KH67/TII2GDEDRN112M4/3D/KCC/TF/AL/C</v>
          </cell>
          <cell r="Z568" t="str">
            <v>SEW</v>
          </cell>
          <cell r="AB568" t="str">
            <v>ATEX22</v>
          </cell>
          <cell r="AH568" t="str">
            <v>KH67T-B270-X</v>
          </cell>
        </row>
        <row r="569">
          <cell r="A569" t="str">
            <v>MR000565</v>
          </cell>
          <cell r="B569" t="str">
            <v>MR</v>
          </cell>
          <cell r="C569">
            <v>5.5</v>
          </cell>
          <cell r="D569">
            <v>47</v>
          </cell>
          <cell r="E569" t="str">
            <v>K77</v>
          </cell>
          <cell r="F569">
            <v>1110</v>
          </cell>
          <cell r="G569">
            <v>30.89</v>
          </cell>
          <cell r="H569">
            <v>1.1499999999999999</v>
          </cell>
          <cell r="I569" t="str">
            <v>M4B</v>
          </cell>
          <cell r="J569" t="str">
            <v>IE3</v>
          </cell>
          <cell r="K569">
            <v>400</v>
          </cell>
          <cell r="L569">
            <v>50</v>
          </cell>
          <cell r="M569">
            <v>10.5</v>
          </cell>
          <cell r="N569">
            <v>55</v>
          </cell>
          <cell r="O569" t="str">
            <v>F</v>
          </cell>
          <cell r="P569" t="str">
            <v>0°</v>
          </cell>
          <cell r="Q569" t="str">
            <v>TF</v>
          </cell>
          <cell r="R569" t="str">
            <v>VE</v>
          </cell>
          <cell r="V569" t="str">
            <v>FC</v>
          </cell>
          <cell r="X569" t="str">
            <v>CLP HC VG 150 = -40° + 40°</v>
          </cell>
          <cell r="Y569" t="str">
            <v>K77/II2GDEDRN132S4/3D/KCC/TF/VE/C</v>
          </cell>
          <cell r="Z569" t="str">
            <v>SEW</v>
          </cell>
          <cell r="AB569" t="str">
            <v>ATEX22</v>
          </cell>
          <cell r="AH569" t="str">
            <v>K77-B0-X#</v>
          </cell>
        </row>
        <row r="570">
          <cell r="A570" t="str">
            <v>MR000566</v>
          </cell>
          <cell r="B570" t="str">
            <v>MR</v>
          </cell>
          <cell r="C570">
            <v>5.5</v>
          </cell>
          <cell r="D570">
            <v>47</v>
          </cell>
          <cell r="E570" t="str">
            <v>K77</v>
          </cell>
          <cell r="F570">
            <v>1110</v>
          </cell>
          <cell r="G570">
            <v>30.89</v>
          </cell>
          <cell r="H570">
            <v>1.1499999999999999</v>
          </cell>
          <cell r="I570" t="str">
            <v>M4A</v>
          </cell>
          <cell r="J570" t="str">
            <v>IE3</v>
          </cell>
          <cell r="K570">
            <v>400</v>
          </cell>
          <cell r="L570">
            <v>50</v>
          </cell>
          <cell r="M570">
            <v>10.5</v>
          </cell>
          <cell r="N570">
            <v>55</v>
          </cell>
          <cell r="O570" t="str">
            <v>F</v>
          </cell>
          <cell r="P570" t="str">
            <v>180°</v>
          </cell>
          <cell r="Q570" t="str">
            <v>TF</v>
          </cell>
          <cell r="R570" t="str">
            <v>VE</v>
          </cell>
          <cell r="V570" t="str">
            <v>FC</v>
          </cell>
          <cell r="X570" t="str">
            <v>CLP HC VG 150 = -40° + 40°</v>
          </cell>
          <cell r="Y570" t="str">
            <v>K77/II2GDEDRN132S4/3D/KCC/TF/VE/C</v>
          </cell>
          <cell r="Z570" t="str">
            <v>SEW</v>
          </cell>
          <cell r="AB570" t="str">
            <v>ATEX22</v>
          </cell>
          <cell r="AH570" t="str">
            <v>K77-A180-X#</v>
          </cell>
        </row>
        <row r="571">
          <cell r="A571" t="str">
            <v>MR000567</v>
          </cell>
          <cell r="B571" t="str">
            <v>MR</v>
          </cell>
          <cell r="C571">
            <v>30</v>
          </cell>
          <cell r="D571">
            <v>24</v>
          </cell>
          <cell r="E571" t="str">
            <v>R147</v>
          </cell>
          <cell r="F571">
            <v>11800</v>
          </cell>
          <cell r="G571">
            <v>61.09</v>
          </cell>
          <cell r="H571">
            <v>1.1000000000000001</v>
          </cell>
          <cell r="I571" t="str">
            <v>M1</v>
          </cell>
          <cell r="J571" t="str">
            <v>IE3</v>
          </cell>
          <cell r="K571">
            <v>400</v>
          </cell>
          <cell r="L571">
            <v>50</v>
          </cell>
          <cell r="M571">
            <v>97</v>
          </cell>
          <cell r="N571">
            <v>55</v>
          </cell>
          <cell r="O571" t="str">
            <v>F</v>
          </cell>
          <cell r="P571" t="str">
            <v>270°</v>
          </cell>
          <cell r="Q571" t="str">
            <v>TF</v>
          </cell>
          <cell r="R571" t="str">
            <v>VE</v>
          </cell>
          <cell r="V571" t="str">
            <v>FC</v>
          </cell>
          <cell r="X571" t="str">
            <v>CLP HC VG 150 = -40° + 40°</v>
          </cell>
          <cell r="Y571" t="str">
            <v>R147/II2GDEDRN200L4/3D/TF/VE</v>
          </cell>
          <cell r="Z571" t="str">
            <v>SEW</v>
          </cell>
          <cell r="AB571" t="str">
            <v>ATEX22</v>
          </cell>
          <cell r="AH571" t="str">
            <v>R147-270-X#</v>
          </cell>
        </row>
        <row r="572">
          <cell r="A572" t="str">
            <v>MR000568</v>
          </cell>
          <cell r="B572" t="str">
            <v>MR</v>
          </cell>
          <cell r="C572">
            <v>22</v>
          </cell>
          <cell r="D572">
            <v>15</v>
          </cell>
          <cell r="E572" t="str">
            <v>KH157</v>
          </cell>
          <cell r="F572">
            <v>14200</v>
          </cell>
          <cell r="G572">
            <v>100.22</v>
          </cell>
          <cell r="H572">
            <v>1.25</v>
          </cell>
          <cell r="I572" t="str">
            <v xml:space="preserve">M4B </v>
          </cell>
          <cell r="J572" t="str">
            <v>IE3</v>
          </cell>
          <cell r="K572">
            <v>400</v>
          </cell>
          <cell r="L572">
            <v>50</v>
          </cell>
          <cell r="M572">
            <v>67</v>
          </cell>
          <cell r="N572">
            <v>55</v>
          </cell>
          <cell r="O572" t="str">
            <v>F</v>
          </cell>
          <cell r="P572" t="str">
            <v>270°</v>
          </cell>
          <cell r="Q572" t="str">
            <v>TF</v>
          </cell>
          <cell r="R572" t="str">
            <v>-</v>
          </cell>
          <cell r="V572" t="str">
            <v>FC</v>
          </cell>
          <cell r="X572" t="str">
            <v>CLP HC VG 150 = -40° + 40°</v>
          </cell>
          <cell r="Y572" t="str">
            <v>KH157/II2GDEDRN180L4/3D/TF/AL/C</v>
          </cell>
          <cell r="Z572" t="str">
            <v>SEW</v>
          </cell>
          <cell r="AB572" t="str">
            <v>ATEX22</v>
          </cell>
          <cell r="AH572" t="str">
            <v>KH157-B270-X</v>
          </cell>
        </row>
        <row r="573">
          <cell r="A573" t="str">
            <v>MR000569</v>
          </cell>
          <cell r="B573" t="str">
            <v>MR</v>
          </cell>
          <cell r="C573">
            <v>0.25</v>
          </cell>
          <cell r="D573">
            <v>1.6</v>
          </cell>
          <cell r="E573" t="str">
            <v>KA77R37</v>
          </cell>
          <cell r="F573">
            <v>1340</v>
          </cell>
          <cell r="G573">
            <v>815</v>
          </cell>
          <cell r="H573">
            <v>1.1499999999999999</v>
          </cell>
          <cell r="I573" t="str">
            <v>M3B</v>
          </cell>
          <cell r="J573" t="str">
            <v>IE3</v>
          </cell>
          <cell r="K573">
            <v>400</v>
          </cell>
          <cell r="L573">
            <v>50</v>
          </cell>
          <cell r="N573">
            <v>55</v>
          </cell>
          <cell r="O573" t="str">
            <v>F</v>
          </cell>
          <cell r="P573" t="str">
            <v>0°</v>
          </cell>
          <cell r="Q573" t="str">
            <v>TF</v>
          </cell>
          <cell r="R573" t="str">
            <v>-</v>
          </cell>
          <cell r="T573" t="str">
            <v>BE1</v>
          </cell>
          <cell r="U573" t="str">
            <v>T</v>
          </cell>
          <cell r="V573" t="str">
            <v>D+R</v>
          </cell>
          <cell r="X573" t="str">
            <v>CLP (CC) VG 220 = -15° + 40°</v>
          </cell>
          <cell r="Y573" t="str">
            <v>KA77/TR37DR63L4/BE1/TF</v>
          </cell>
          <cell r="Z573" t="str">
            <v>SEW</v>
          </cell>
          <cell r="AH573" t="str">
            <v>KA77R37T-B0-X</v>
          </cell>
        </row>
        <row r="574">
          <cell r="A574" t="str">
            <v>MR000570</v>
          </cell>
          <cell r="B574" t="str">
            <v>MR</v>
          </cell>
          <cell r="C574">
            <v>30</v>
          </cell>
          <cell r="D574">
            <v>16</v>
          </cell>
          <cell r="E574" t="str">
            <v>KH157</v>
          </cell>
          <cell r="F574">
            <v>17700</v>
          </cell>
          <cell r="G574">
            <v>91.65</v>
          </cell>
          <cell r="H574">
            <v>1</v>
          </cell>
          <cell r="I574" t="str">
            <v>From M4A to M1A - 40°</v>
          </cell>
          <cell r="J574" t="str">
            <v>IE3</v>
          </cell>
          <cell r="K574">
            <v>400</v>
          </cell>
          <cell r="L574">
            <v>50</v>
          </cell>
          <cell r="M574">
            <v>97</v>
          </cell>
          <cell r="N574">
            <v>55</v>
          </cell>
          <cell r="O574" t="str">
            <v>F</v>
          </cell>
          <cell r="P574" t="str">
            <v>270°</v>
          </cell>
          <cell r="Q574" t="str">
            <v>TF</v>
          </cell>
          <cell r="R574" t="str">
            <v>-</v>
          </cell>
          <cell r="V574" t="str">
            <v>FC</v>
          </cell>
          <cell r="X574" t="str">
            <v>CLP HC VG 150 = -40° + 40°</v>
          </cell>
          <cell r="Y574" t="str">
            <v>KH157/II2GDEDRN200L4/3D/TF/AL/C</v>
          </cell>
          <cell r="Z574" t="str">
            <v>SEW</v>
          </cell>
          <cell r="AB574" t="str">
            <v>ATEX22</v>
          </cell>
          <cell r="AH574" t="str">
            <v>KH157-A270-X</v>
          </cell>
        </row>
        <row r="575">
          <cell r="A575" t="str">
            <v>MR000571</v>
          </cell>
          <cell r="B575" t="str">
            <v>MR</v>
          </cell>
          <cell r="C575">
            <v>18.5</v>
          </cell>
          <cell r="D575">
            <v>12</v>
          </cell>
          <cell r="E575" t="str">
            <v>KH157</v>
          </cell>
          <cell r="F575">
            <v>14600</v>
          </cell>
          <cell r="G575">
            <v>122.39</v>
          </cell>
          <cell r="H575">
            <v>1.25</v>
          </cell>
          <cell r="I575" t="str">
            <v>M1B</v>
          </cell>
          <cell r="J575" t="str">
            <v>IE3</v>
          </cell>
          <cell r="K575">
            <v>400</v>
          </cell>
          <cell r="L575">
            <v>50</v>
          </cell>
          <cell r="M575">
            <v>33.5</v>
          </cell>
          <cell r="N575">
            <v>55</v>
          </cell>
          <cell r="O575" t="str">
            <v>F</v>
          </cell>
          <cell r="P575" t="str">
            <v>270°</v>
          </cell>
          <cell r="Q575" t="str">
            <v>TF</v>
          </cell>
          <cell r="R575" t="str">
            <v>V</v>
          </cell>
          <cell r="V575" t="str">
            <v>FC</v>
          </cell>
          <cell r="X575" t="str">
            <v>CLP HC VG 150 = -40° + 40°</v>
          </cell>
          <cell r="Y575" t="str">
            <v>KH157DRN180M4/TF/V</v>
          </cell>
          <cell r="Z575" t="str">
            <v>SEW</v>
          </cell>
          <cell r="AH575" t="str">
            <v>KH157-B270-X#</v>
          </cell>
        </row>
        <row r="576">
          <cell r="A576" t="str">
            <v>MR000572</v>
          </cell>
          <cell r="B576" t="str">
            <v>MR</v>
          </cell>
          <cell r="C576">
            <v>18.5</v>
          </cell>
          <cell r="D576">
            <v>12</v>
          </cell>
          <cell r="E576" t="str">
            <v>KH157</v>
          </cell>
          <cell r="F576">
            <v>14600</v>
          </cell>
          <cell r="G576">
            <v>122.39</v>
          </cell>
          <cell r="H576">
            <v>1.25</v>
          </cell>
          <cell r="I576" t="str">
            <v>M1A</v>
          </cell>
          <cell r="J576" t="str">
            <v>IE3</v>
          </cell>
          <cell r="K576">
            <v>400</v>
          </cell>
          <cell r="L576">
            <v>50</v>
          </cell>
          <cell r="M576">
            <v>33.5</v>
          </cell>
          <cell r="N576">
            <v>55</v>
          </cell>
          <cell r="O576" t="str">
            <v>F</v>
          </cell>
          <cell r="P576" t="str">
            <v>270°</v>
          </cell>
          <cell r="Q576" t="str">
            <v>TF</v>
          </cell>
          <cell r="R576" t="str">
            <v>V</v>
          </cell>
          <cell r="V576" t="str">
            <v>FC</v>
          </cell>
          <cell r="X576" t="str">
            <v>CLP HC VG 150 = -40° + 40°</v>
          </cell>
          <cell r="Y576" t="str">
            <v>KH157DRN180M4/TF/V</v>
          </cell>
          <cell r="Z576" t="str">
            <v>SEW</v>
          </cell>
          <cell r="AH576" t="str">
            <v>KH157-A270-X#</v>
          </cell>
        </row>
        <row r="577">
          <cell r="A577" t="str">
            <v>MR000573</v>
          </cell>
          <cell r="B577" t="str">
            <v>MR</v>
          </cell>
          <cell r="C577">
            <v>1.5</v>
          </cell>
          <cell r="D577">
            <v>22</v>
          </cell>
          <cell r="E577" t="str">
            <v>FA67</v>
          </cell>
          <cell r="F577">
            <v>660</v>
          </cell>
          <cell r="G577">
            <v>67.650000000000006</v>
          </cell>
          <cell r="H577">
            <v>1.25</v>
          </cell>
          <cell r="I577" t="str">
            <v xml:space="preserve">M6 </v>
          </cell>
          <cell r="J577" t="str">
            <v>IE3</v>
          </cell>
          <cell r="K577">
            <v>400</v>
          </cell>
          <cell r="L577">
            <v>50</v>
          </cell>
          <cell r="N577">
            <v>55</v>
          </cell>
          <cell r="O577" t="str">
            <v>F</v>
          </cell>
          <cell r="P577" t="str">
            <v>0°</v>
          </cell>
          <cell r="T577" t="str">
            <v>BE2</v>
          </cell>
          <cell r="U577" t="str">
            <v>G</v>
          </cell>
          <cell r="V577" t="str">
            <v>D+R</v>
          </cell>
          <cell r="X577" t="str">
            <v>CLP HC VG 150 = -40° + 40°</v>
          </cell>
          <cell r="Y577" t="str">
            <v>FA67/GDRN90L4-BE2</v>
          </cell>
          <cell r="Z577" t="str">
            <v>SEW</v>
          </cell>
          <cell r="AH577" t="str">
            <v>FA67G-0-X#</v>
          </cell>
        </row>
        <row r="578">
          <cell r="A578" t="str">
            <v>MR000574</v>
          </cell>
          <cell r="B578" t="str">
            <v>MR</v>
          </cell>
          <cell r="C578">
            <v>18.5</v>
          </cell>
          <cell r="D578">
            <v>16</v>
          </cell>
          <cell r="E578" t="str">
            <v>KH127</v>
          </cell>
          <cell r="F578">
            <v>10700</v>
          </cell>
          <cell r="G578">
            <v>89.89</v>
          </cell>
          <cell r="H578">
            <v>1.2</v>
          </cell>
          <cell r="I578" t="str">
            <v>M1B</v>
          </cell>
          <cell r="J578" t="str">
            <v>IE3</v>
          </cell>
          <cell r="K578">
            <v>400</v>
          </cell>
          <cell r="L578">
            <v>50</v>
          </cell>
          <cell r="M578">
            <v>33.5</v>
          </cell>
          <cell r="N578">
            <v>55</v>
          </cell>
          <cell r="O578" t="str">
            <v>F</v>
          </cell>
          <cell r="P578" t="str">
            <v>270°</v>
          </cell>
          <cell r="Q578" t="str">
            <v>TF</v>
          </cell>
          <cell r="R578" t="str">
            <v>V</v>
          </cell>
          <cell r="V578" t="str">
            <v>FC</v>
          </cell>
          <cell r="X578" t="str">
            <v>CLP HC VG 150 = -40° + 40°</v>
          </cell>
          <cell r="Y578" t="str">
            <v>KH127DRN180M4/TF/V</v>
          </cell>
          <cell r="Z578" t="str">
            <v>SEW</v>
          </cell>
          <cell r="AH578" t="str">
            <v>KH127-B270-X#</v>
          </cell>
        </row>
        <row r="579">
          <cell r="A579" t="str">
            <v>MR000575</v>
          </cell>
          <cell r="B579" t="str">
            <v>MR</v>
          </cell>
          <cell r="C579">
            <v>18.5</v>
          </cell>
          <cell r="D579">
            <v>16</v>
          </cell>
          <cell r="E579" t="str">
            <v>KH127</v>
          </cell>
          <cell r="F579">
            <v>10700</v>
          </cell>
          <cell r="G579">
            <v>89.89</v>
          </cell>
          <cell r="H579">
            <v>1.2</v>
          </cell>
          <cell r="I579" t="str">
            <v>M1A</v>
          </cell>
          <cell r="J579" t="str">
            <v>IE3</v>
          </cell>
          <cell r="K579">
            <v>400</v>
          </cell>
          <cell r="L579">
            <v>50</v>
          </cell>
          <cell r="M579">
            <v>33.5</v>
          </cell>
          <cell r="N579">
            <v>55</v>
          </cell>
          <cell r="O579" t="str">
            <v>F</v>
          </cell>
          <cell r="P579" t="str">
            <v>270°</v>
          </cell>
          <cell r="Q579" t="str">
            <v>TF</v>
          </cell>
          <cell r="R579" t="str">
            <v>V</v>
          </cell>
          <cell r="V579" t="str">
            <v>FC</v>
          </cell>
          <cell r="X579" t="str">
            <v>CLP HC VG 150 = -40° + 40°</v>
          </cell>
          <cell r="Y579" t="str">
            <v>KH127DRN180M4/TF/V</v>
          </cell>
          <cell r="Z579" t="str">
            <v>SEW</v>
          </cell>
          <cell r="AH579" t="str">
            <v>KH127-A270-X#</v>
          </cell>
        </row>
        <row r="580">
          <cell r="A580" t="str">
            <v>MR000576</v>
          </cell>
          <cell r="B580" t="str">
            <v>MR</v>
          </cell>
          <cell r="C580">
            <v>7.5</v>
          </cell>
          <cell r="D580">
            <v>59</v>
          </cell>
          <cell r="E580" t="str">
            <v>KH87</v>
          </cell>
          <cell r="F580">
            <v>1210</v>
          </cell>
          <cell r="G580">
            <v>24.92</v>
          </cell>
          <cell r="H580">
            <v>2.1</v>
          </cell>
          <cell r="I580" t="str">
            <v>M3A</v>
          </cell>
          <cell r="J580" t="str">
            <v>IE3</v>
          </cell>
          <cell r="K580">
            <v>400</v>
          </cell>
          <cell r="L580">
            <v>50</v>
          </cell>
          <cell r="M580">
            <v>15.2</v>
          </cell>
          <cell r="N580">
            <v>55</v>
          </cell>
          <cell r="O580" t="str">
            <v>F</v>
          </cell>
          <cell r="P580" t="str">
            <v>270°</v>
          </cell>
          <cell r="Q580" t="str">
            <v>TF</v>
          </cell>
          <cell r="R580" t="str">
            <v>V</v>
          </cell>
          <cell r="U580" t="str">
            <v>T</v>
          </cell>
          <cell r="V580" t="str">
            <v>FC</v>
          </cell>
          <cell r="X580" t="str">
            <v>CLP HC VG 150 = -40° + 40°</v>
          </cell>
          <cell r="Y580" t="str">
            <v>KH87/TDRN132M4/TF/V</v>
          </cell>
          <cell r="Z580" t="str">
            <v>SEW</v>
          </cell>
          <cell r="AH580" t="str">
            <v>KH87T-A270-X#</v>
          </cell>
        </row>
        <row r="581">
          <cell r="A581" t="str">
            <v>MR000577</v>
          </cell>
          <cell r="B581" t="str">
            <v>MR</v>
          </cell>
          <cell r="C581">
            <v>0.75</v>
          </cell>
          <cell r="D581">
            <v>162</v>
          </cell>
          <cell r="E581" t="str">
            <v>KA37</v>
          </cell>
          <cell r="F581">
            <v>44</v>
          </cell>
          <cell r="G581">
            <v>8.91</v>
          </cell>
          <cell r="H581">
            <v>3.6</v>
          </cell>
          <cell r="I581" t="str">
            <v>M3A</v>
          </cell>
          <cell r="J581" t="str">
            <v>IE3</v>
          </cell>
          <cell r="K581">
            <v>400</v>
          </cell>
          <cell r="L581">
            <v>50</v>
          </cell>
          <cell r="M581">
            <v>1.75</v>
          </cell>
          <cell r="N581">
            <v>55</v>
          </cell>
          <cell r="O581" t="str">
            <v>F</v>
          </cell>
          <cell r="P581" t="str">
            <v>180°</v>
          </cell>
          <cell r="R581" t="str">
            <v>-</v>
          </cell>
          <cell r="U581" t="str">
            <v>T</v>
          </cell>
          <cell r="V581" t="str">
            <v>D</v>
          </cell>
          <cell r="X581" t="str">
            <v>CLP HC VG 150 = -40° + 40°</v>
          </cell>
          <cell r="Y581" t="str">
            <v>KA37/T DRN80M4</v>
          </cell>
          <cell r="Z581" t="str">
            <v>SEW</v>
          </cell>
          <cell r="AH581" t="str">
            <v>KA37T-A180-X</v>
          </cell>
        </row>
        <row r="582">
          <cell r="A582" t="str">
            <v>MR000578</v>
          </cell>
          <cell r="B582" t="str">
            <v>MR</v>
          </cell>
          <cell r="C582">
            <v>0.25</v>
          </cell>
          <cell r="D582" t="str">
            <v>34</v>
          </cell>
          <cell r="E582" t="str">
            <v>FA37</v>
          </cell>
          <cell r="F582">
            <v>70</v>
          </cell>
          <cell r="G582">
            <v>38.31</v>
          </cell>
          <cell r="H582">
            <v>2.8</v>
          </cell>
          <cell r="I582" t="str">
            <v>M1</v>
          </cell>
          <cell r="J582" t="str">
            <v>IE3</v>
          </cell>
          <cell r="K582">
            <v>400</v>
          </cell>
          <cell r="L582">
            <v>50</v>
          </cell>
          <cell r="N582">
            <v>55</v>
          </cell>
          <cell r="O582" t="str">
            <v>F</v>
          </cell>
          <cell r="P582" t="str">
            <v>270°</v>
          </cell>
          <cell r="R582" t="str">
            <v>-</v>
          </cell>
          <cell r="U582" t="str">
            <v>G</v>
          </cell>
          <cell r="V582" t="str">
            <v>D</v>
          </cell>
          <cell r="X582" t="str">
            <v>CLP HC VG 150 = -40° + 40°</v>
          </cell>
          <cell r="Y582" t="str">
            <v>FA37/G DR63L4</v>
          </cell>
          <cell r="Z582" t="str">
            <v>SEW</v>
          </cell>
          <cell r="AH582" t="str">
            <v>FA37G-270-X</v>
          </cell>
        </row>
        <row r="583">
          <cell r="A583" t="str">
            <v>MR000579</v>
          </cell>
          <cell r="B583" t="str">
            <v>MR</v>
          </cell>
          <cell r="C583">
            <v>15</v>
          </cell>
          <cell r="D583">
            <v>42</v>
          </cell>
          <cell r="E583" t="str">
            <v>R107</v>
          </cell>
          <cell r="F583">
            <v>3420</v>
          </cell>
          <cell r="G583">
            <v>35.26</v>
          </cell>
          <cell r="H583">
            <v>1.25</v>
          </cell>
          <cell r="I583" t="str">
            <v>M1</v>
          </cell>
          <cell r="J583" t="str">
            <v>IE3</v>
          </cell>
          <cell r="K583">
            <v>400</v>
          </cell>
          <cell r="L583">
            <v>50</v>
          </cell>
          <cell r="N583">
            <v>55</v>
          </cell>
          <cell r="O583" t="str">
            <v>F</v>
          </cell>
          <cell r="P583" t="str">
            <v>270°</v>
          </cell>
          <cell r="Q583" t="str">
            <v>TF</v>
          </cell>
          <cell r="R583" t="str">
            <v>V</v>
          </cell>
          <cell r="V583" t="str">
            <v>FC</v>
          </cell>
          <cell r="X583" t="str">
            <v>CLP HC VG 150 = -40° + 40°</v>
          </cell>
          <cell r="Y583" t="str">
            <v>R107DRN160L4/TF/V</v>
          </cell>
          <cell r="Z583" t="str">
            <v>SEW</v>
          </cell>
          <cell r="AH583" t="str">
            <v>R107-270-X#</v>
          </cell>
        </row>
        <row r="584">
          <cell r="A584" t="str">
            <v>MR000580</v>
          </cell>
          <cell r="B584" t="str">
            <v>MR</v>
          </cell>
          <cell r="C584">
            <v>7.5</v>
          </cell>
          <cell r="D584">
            <v>64</v>
          </cell>
          <cell r="E584" t="str">
            <v>KH77</v>
          </cell>
          <cell r="F584">
            <v>1120</v>
          </cell>
          <cell r="G584">
            <v>23.08</v>
          </cell>
          <cell r="H584">
            <v>1.05</v>
          </cell>
          <cell r="I584" t="str">
            <v>M4B</v>
          </cell>
          <cell r="J584" t="str">
            <v>IE3</v>
          </cell>
          <cell r="K584">
            <v>400</v>
          </cell>
          <cell r="L584">
            <v>50</v>
          </cell>
          <cell r="M584">
            <v>15.7</v>
          </cell>
          <cell r="N584">
            <v>55</v>
          </cell>
          <cell r="O584" t="str">
            <v>F</v>
          </cell>
          <cell r="P584" t="str">
            <v>270°</v>
          </cell>
          <cell r="R584" t="str">
            <v>-</v>
          </cell>
          <cell r="S584" t="str">
            <v>Free rotation CW</v>
          </cell>
          <cell r="U584" t="str">
            <v>T</v>
          </cell>
          <cell r="V584" t="str">
            <v>SS</v>
          </cell>
          <cell r="X584" t="str">
            <v>CLP HC VG 150 = -40° + 40°</v>
          </cell>
          <cell r="Y584" t="str">
            <v>KH77/T/II2GDEDRN132M4/RS/3D/AL/C</v>
          </cell>
          <cell r="Z584" t="str">
            <v>SEW</v>
          </cell>
          <cell r="AB584" t="str">
            <v>ATEX22</v>
          </cell>
          <cell r="AH584" t="str">
            <v>KH77T-B270-X</v>
          </cell>
        </row>
        <row r="585">
          <cell r="A585" t="str">
            <v>MR000581</v>
          </cell>
          <cell r="B585" t="str">
            <v>MR</v>
          </cell>
          <cell r="C585">
            <v>0.75</v>
          </cell>
          <cell r="D585">
            <v>162</v>
          </cell>
          <cell r="E585" t="str">
            <v>KA37</v>
          </cell>
          <cell r="F585">
            <v>44</v>
          </cell>
          <cell r="G585">
            <v>8.91</v>
          </cell>
          <cell r="H585">
            <v>3</v>
          </cell>
          <cell r="I585" t="str">
            <v>M1B</v>
          </cell>
          <cell r="J585" t="str">
            <v>IE3</v>
          </cell>
          <cell r="K585">
            <v>400</v>
          </cell>
          <cell r="L585">
            <v>50</v>
          </cell>
          <cell r="M585">
            <v>1.75</v>
          </cell>
          <cell r="N585">
            <v>55</v>
          </cell>
          <cell r="O585" t="str">
            <v>F</v>
          </cell>
          <cell r="P585" t="str">
            <v>270°</v>
          </cell>
          <cell r="R585" t="str">
            <v>-</v>
          </cell>
          <cell r="U585" t="str">
            <v>T</v>
          </cell>
          <cell r="V585" t="str">
            <v>D</v>
          </cell>
          <cell r="X585" t="str">
            <v>CLP HC VG 150 = -40° + 40°</v>
          </cell>
          <cell r="Y585" t="str">
            <v>KA37/T/II2GDEDRN80M4/3D/KCC/AL</v>
          </cell>
          <cell r="Z585" t="str">
            <v>SEW</v>
          </cell>
          <cell r="AB585" t="str">
            <v>ATEX22</v>
          </cell>
          <cell r="AH585" t="str">
            <v>KA37T-B270-X</v>
          </cell>
        </row>
        <row r="586">
          <cell r="A586" t="str">
            <v>MR000582</v>
          </cell>
          <cell r="B586" t="str">
            <v>MR</v>
          </cell>
          <cell r="C586">
            <v>2.2000000000000002</v>
          </cell>
          <cell r="D586">
            <v>94</v>
          </cell>
          <cell r="E586" t="str">
            <v>KA67</v>
          </cell>
          <cell r="F586">
            <v>220</v>
          </cell>
          <cell r="G586">
            <v>15.19</v>
          </cell>
          <cell r="H586">
            <v>2.7</v>
          </cell>
          <cell r="I586" t="str">
            <v>M1A</v>
          </cell>
          <cell r="J586" t="str">
            <v>IE3</v>
          </cell>
          <cell r="K586">
            <v>400</v>
          </cell>
          <cell r="L586">
            <v>50</v>
          </cell>
          <cell r="M586">
            <v>4.75</v>
          </cell>
          <cell r="N586">
            <v>55</v>
          </cell>
          <cell r="O586" t="str">
            <v>F</v>
          </cell>
          <cell r="P586" t="str">
            <v>270°</v>
          </cell>
          <cell r="R586" t="str">
            <v>-</v>
          </cell>
          <cell r="U586" t="str">
            <v>T</v>
          </cell>
          <cell r="V586" t="str">
            <v>D</v>
          </cell>
          <cell r="X586" t="str">
            <v>CLP HC VG 150 = -40° + 40°</v>
          </cell>
          <cell r="Y586" t="str">
            <v>KA67/T/II2GDEDRN100LS4/3D/KCC/AL</v>
          </cell>
          <cell r="Z586" t="str">
            <v>SEW</v>
          </cell>
          <cell r="AB586" t="str">
            <v>ATEX22</v>
          </cell>
          <cell r="AH586" t="str">
            <v>KA67T-A270-X</v>
          </cell>
        </row>
        <row r="587">
          <cell r="A587" t="str">
            <v>MR000583</v>
          </cell>
          <cell r="B587" t="str">
            <v>MR</v>
          </cell>
          <cell r="C587">
            <v>15</v>
          </cell>
          <cell r="D587">
            <v>48</v>
          </cell>
          <cell r="E587" t="str">
            <v>R107</v>
          </cell>
          <cell r="F587">
            <v>2990</v>
          </cell>
          <cell r="G587">
            <v>30.77</v>
          </cell>
          <cell r="H587">
            <v>1.45</v>
          </cell>
          <cell r="I587" t="str">
            <v>M1</v>
          </cell>
          <cell r="J587" t="str">
            <v>IE3</v>
          </cell>
          <cell r="K587">
            <v>400</v>
          </cell>
          <cell r="L587">
            <v>50</v>
          </cell>
          <cell r="M587">
            <v>49.5</v>
          </cell>
          <cell r="N587">
            <v>55</v>
          </cell>
          <cell r="O587" t="str">
            <v>F</v>
          </cell>
          <cell r="P587" t="str">
            <v>270°</v>
          </cell>
          <cell r="R587" t="str">
            <v>-</v>
          </cell>
          <cell r="V587" t="str">
            <v>D</v>
          </cell>
          <cell r="X587" t="str">
            <v>CLP HC VG 150 = -40° + 40°</v>
          </cell>
          <cell r="Y587" t="str">
            <v>R107/II2GDEDRN160L4/3D/AL</v>
          </cell>
          <cell r="Z587" t="str">
            <v>SEW</v>
          </cell>
          <cell r="AB587" t="str">
            <v>ATEX22</v>
          </cell>
          <cell r="AH587" t="str">
            <v>R107-270-X</v>
          </cell>
        </row>
        <row r="588">
          <cell r="A588" t="str">
            <v>MR000584</v>
          </cell>
          <cell r="B588" t="str">
            <v>MR</v>
          </cell>
          <cell r="C588">
            <v>30</v>
          </cell>
          <cell r="D588">
            <v>37</v>
          </cell>
          <cell r="E588" t="str">
            <v>R147</v>
          </cell>
          <cell r="F588">
            <v>7790</v>
          </cell>
          <cell r="G588">
            <v>40.29</v>
          </cell>
          <cell r="H588">
            <v>1.55</v>
          </cell>
          <cell r="I588" t="str">
            <v>M1</v>
          </cell>
          <cell r="J588" t="str">
            <v>IE3</v>
          </cell>
          <cell r="K588">
            <v>400</v>
          </cell>
          <cell r="L588">
            <v>50</v>
          </cell>
          <cell r="M588">
            <v>97</v>
          </cell>
          <cell r="N588">
            <v>55</v>
          </cell>
          <cell r="O588" t="str">
            <v>F</v>
          </cell>
          <cell r="P588" t="str">
            <v>270°</v>
          </cell>
          <cell r="R588" t="str">
            <v>-</v>
          </cell>
          <cell r="S588" t="str">
            <v>Free rotation CCW</v>
          </cell>
          <cell r="V588" t="str">
            <v>SS</v>
          </cell>
          <cell r="X588" t="str">
            <v>CLP HC VG 150 = -40° + 40°</v>
          </cell>
          <cell r="Y588" t="str">
            <v>R147/II2GDEDRN200L4/RS/3D/AL</v>
          </cell>
          <cell r="Z588" t="str">
            <v>SEW</v>
          </cell>
          <cell r="AB588" t="str">
            <v>ATEX22</v>
          </cell>
          <cell r="AH588" t="str">
            <v>R147-270-X</v>
          </cell>
        </row>
        <row r="589">
          <cell r="A589" t="str">
            <v>MR000585</v>
          </cell>
          <cell r="B589" t="str">
            <v>MR</v>
          </cell>
          <cell r="C589">
            <v>4</v>
          </cell>
          <cell r="D589">
            <v>82</v>
          </cell>
          <cell r="E589" t="str">
            <v>R77</v>
          </cell>
          <cell r="F589">
            <v>460</v>
          </cell>
          <cell r="G589">
            <v>17.82</v>
          </cell>
          <cell r="H589">
            <v>1.25</v>
          </cell>
          <cell r="I589" t="str">
            <v>M1</v>
          </cell>
          <cell r="J589" t="str">
            <v>IE3</v>
          </cell>
          <cell r="K589">
            <v>400</v>
          </cell>
          <cell r="L589">
            <v>50</v>
          </cell>
          <cell r="M589">
            <v>7.9</v>
          </cell>
          <cell r="N589">
            <v>55</v>
          </cell>
          <cell r="O589" t="str">
            <v>F</v>
          </cell>
          <cell r="P589" t="str">
            <v>270°</v>
          </cell>
          <cell r="R589" t="str">
            <v>-</v>
          </cell>
          <cell r="V589" t="str">
            <v>D</v>
          </cell>
          <cell r="X589" t="str">
            <v>CLP HC VG 150 = -40° + 40°</v>
          </cell>
          <cell r="Y589" t="str">
            <v>R77/II2GDEDRN112M4/3D/KCC/AL</v>
          </cell>
          <cell r="Z589" t="str">
            <v>SEW</v>
          </cell>
          <cell r="AB589" t="str">
            <v>ATEX22</v>
          </cell>
          <cell r="AH589" t="str">
            <v>R77-270-X</v>
          </cell>
        </row>
        <row r="590">
          <cell r="A590" t="str">
            <v>MR000586</v>
          </cell>
          <cell r="B590" t="str">
            <v>MR</v>
          </cell>
          <cell r="C590">
            <v>11</v>
          </cell>
          <cell r="D590">
            <v>59</v>
          </cell>
          <cell r="E590" t="str">
            <v>KH87</v>
          </cell>
          <cell r="F590">
            <v>1770</v>
          </cell>
          <cell r="G590">
            <v>24.92</v>
          </cell>
          <cell r="H590">
            <v>1.1000000000000001</v>
          </cell>
          <cell r="I590" t="str">
            <v>M4A</v>
          </cell>
          <cell r="J590" t="str">
            <v>IE3</v>
          </cell>
          <cell r="K590">
            <v>400</v>
          </cell>
          <cell r="L590">
            <v>50</v>
          </cell>
          <cell r="M590">
            <v>21</v>
          </cell>
          <cell r="N590">
            <v>55</v>
          </cell>
          <cell r="O590" t="str">
            <v>F</v>
          </cell>
          <cell r="P590" t="str">
            <v>270°</v>
          </cell>
          <cell r="R590" t="str">
            <v>-</v>
          </cell>
          <cell r="S590" t="str">
            <v>Free rotation CCW</v>
          </cell>
          <cell r="U590" t="str">
            <v>T</v>
          </cell>
          <cell r="V590" t="str">
            <v>SS</v>
          </cell>
          <cell r="X590" t="str">
            <v>CLP HC VG 150 = -40° + 40°</v>
          </cell>
          <cell r="Y590" t="str">
            <v>KH87/T/II2GDEDRN160M4/RS/3D/AL/C</v>
          </cell>
          <cell r="Z590" t="str">
            <v>SEW</v>
          </cell>
          <cell r="AB590" t="str">
            <v>ATEX22</v>
          </cell>
          <cell r="AH590" t="str">
            <v>KH87T-A270-X</v>
          </cell>
        </row>
        <row r="591">
          <cell r="A591" t="str">
            <v>MR000587</v>
          </cell>
          <cell r="B591" t="str">
            <v>MR</v>
          </cell>
          <cell r="C591">
            <v>11</v>
          </cell>
          <cell r="D591">
            <v>59</v>
          </cell>
          <cell r="E591" t="str">
            <v>KH87</v>
          </cell>
          <cell r="F591">
            <v>1770</v>
          </cell>
          <cell r="G591">
            <v>24.92</v>
          </cell>
          <cell r="H591">
            <v>1.1000000000000001</v>
          </cell>
          <cell r="I591" t="str">
            <v>M4A</v>
          </cell>
          <cell r="J591" t="str">
            <v>IE3</v>
          </cell>
          <cell r="K591">
            <v>400</v>
          </cell>
          <cell r="L591">
            <v>50</v>
          </cell>
          <cell r="M591">
            <v>21</v>
          </cell>
          <cell r="N591">
            <v>55</v>
          </cell>
          <cell r="O591" t="str">
            <v>F</v>
          </cell>
          <cell r="P591" t="str">
            <v>270°</v>
          </cell>
          <cell r="R591" t="str">
            <v>-</v>
          </cell>
          <cell r="U591" t="str">
            <v>T</v>
          </cell>
          <cell r="V591" t="str">
            <v>SS</v>
          </cell>
          <cell r="X591" t="str">
            <v>CLP HC VG 150 = -40° + 40°</v>
          </cell>
          <cell r="Y591" t="str">
            <v>KH87/T/II2GDEDRN160M4/3D/AL/C</v>
          </cell>
          <cell r="Z591" t="str">
            <v>SEW</v>
          </cell>
          <cell r="AB591" t="str">
            <v>ATEX22</v>
          </cell>
          <cell r="AH591" t="str">
            <v>KH87T-A270-X</v>
          </cell>
        </row>
        <row r="592">
          <cell r="A592" t="str">
            <v>MR000588</v>
          </cell>
          <cell r="B592" t="str">
            <v>MR</v>
          </cell>
          <cell r="C592">
            <v>30</v>
          </cell>
          <cell r="D592">
            <v>37</v>
          </cell>
          <cell r="E592" t="str">
            <v>R147</v>
          </cell>
          <cell r="F592">
            <v>7790</v>
          </cell>
          <cell r="G592">
            <v>40.29</v>
          </cell>
          <cell r="H592">
            <v>1.55</v>
          </cell>
          <cell r="I592" t="str">
            <v>M1</v>
          </cell>
          <cell r="J592" t="str">
            <v>IE3</v>
          </cell>
          <cell r="K592">
            <v>400</v>
          </cell>
          <cell r="L592">
            <v>50</v>
          </cell>
          <cell r="M592">
            <v>55</v>
          </cell>
          <cell r="N592">
            <v>55</v>
          </cell>
          <cell r="O592" t="str">
            <v>F</v>
          </cell>
          <cell r="P592" t="str">
            <v>270°</v>
          </cell>
          <cell r="R592" t="str">
            <v>-</v>
          </cell>
          <cell r="S592" t="str">
            <v>Free rotation CW</v>
          </cell>
          <cell r="V592" t="str">
            <v>SS</v>
          </cell>
          <cell r="X592" t="str">
            <v>CLP HC VG 150 = -40° + 40°</v>
          </cell>
          <cell r="Y592" t="str">
            <v>R147/II2GDEDRN200L4/RS/3D/AL</v>
          </cell>
          <cell r="Z592" t="str">
            <v>SEW</v>
          </cell>
          <cell r="AB592" t="str">
            <v>ATEX22</v>
          </cell>
          <cell r="AH592" t="str">
            <v>R147-270-X</v>
          </cell>
        </row>
        <row r="593">
          <cell r="A593" t="str">
            <v>MR000589</v>
          </cell>
          <cell r="B593" t="str">
            <v>MR</v>
          </cell>
          <cell r="C593">
            <v>0.75</v>
          </cell>
          <cell r="D593">
            <v>1.9</v>
          </cell>
          <cell r="E593" t="str">
            <v>KA97R57</v>
          </cell>
          <cell r="F593">
            <v>3310</v>
          </cell>
          <cell r="G593">
            <v>743</v>
          </cell>
          <cell r="H593">
            <v>1.3</v>
          </cell>
          <cell r="I593" t="str">
            <v>M3A</v>
          </cell>
          <cell r="J593" t="str">
            <v>IE3</v>
          </cell>
          <cell r="K593">
            <v>400</v>
          </cell>
          <cell r="L593">
            <v>50</v>
          </cell>
          <cell r="M593">
            <v>1.75</v>
          </cell>
          <cell r="N593">
            <v>55</v>
          </cell>
          <cell r="O593" t="str">
            <v>F</v>
          </cell>
          <cell r="P593" t="str">
            <v>0°</v>
          </cell>
          <cell r="Q593" t="str">
            <v>TF</v>
          </cell>
          <cell r="R593" t="str">
            <v>-</v>
          </cell>
          <cell r="T593" t="str">
            <v>BE</v>
          </cell>
          <cell r="U593" t="str">
            <v>T</v>
          </cell>
          <cell r="V593" t="str">
            <v>D</v>
          </cell>
          <cell r="X593" t="str">
            <v>CLP HC VG 150 = -40° + 40°</v>
          </cell>
          <cell r="Y593" t="str">
            <v>KA97/TR57/II2GDEDRN80M4/3D/KCC/AL</v>
          </cell>
          <cell r="Z593" t="str">
            <v>SEW</v>
          </cell>
          <cell r="AB593" t="str">
            <v>ATEX22</v>
          </cell>
          <cell r="AE593" t="str">
            <v>Provide rectifier module in the electrical cabinet</v>
          </cell>
          <cell r="AH593" t="str">
            <v>KA97R57T-A0-X</v>
          </cell>
        </row>
        <row r="594">
          <cell r="A594" t="str">
            <v>MR000590</v>
          </cell>
          <cell r="B594" t="str">
            <v>MR</v>
          </cell>
          <cell r="C594">
            <v>37</v>
          </cell>
          <cell r="D594">
            <v>89</v>
          </cell>
          <cell r="E594" t="str">
            <v>KH107</v>
          </cell>
          <cell r="F594">
            <v>3990</v>
          </cell>
          <cell r="G594">
            <v>16.75</v>
          </cell>
          <cell r="H594">
            <v>1.5</v>
          </cell>
          <cell r="I594" t="str">
            <v>M4A</v>
          </cell>
          <cell r="J594" t="str">
            <v>IE3</v>
          </cell>
          <cell r="K594">
            <v>400</v>
          </cell>
          <cell r="L594">
            <v>50</v>
          </cell>
          <cell r="M594">
            <v>111</v>
          </cell>
          <cell r="N594">
            <v>55</v>
          </cell>
          <cell r="O594" t="str">
            <v>F</v>
          </cell>
          <cell r="P594" t="str">
            <v>270°</v>
          </cell>
          <cell r="R594" t="str">
            <v>-</v>
          </cell>
          <cell r="S594" t="str">
            <v>Free rotation CCW</v>
          </cell>
          <cell r="U594" t="str">
            <v>T</v>
          </cell>
          <cell r="V594" t="str">
            <v>SS</v>
          </cell>
          <cell r="X594" t="str">
            <v>CLP HC VG 150 = -40° + 40°</v>
          </cell>
          <cell r="Y594" t="str">
            <v>KH107/T/II2GDEDRN225S4/RS/3D/AL/C</v>
          </cell>
          <cell r="Z594" t="str">
            <v>SEW</v>
          </cell>
          <cell r="AB594" t="str">
            <v>ATEX22</v>
          </cell>
          <cell r="AH594" t="str">
            <v>KH107T-A270-X</v>
          </cell>
        </row>
        <row r="595">
          <cell r="A595" t="str">
            <v>MR000591</v>
          </cell>
          <cell r="B595" t="str">
            <v>MR</v>
          </cell>
          <cell r="C595">
            <v>22</v>
          </cell>
          <cell r="D595">
            <v>89</v>
          </cell>
          <cell r="E595" t="str">
            <v>KH97</v>
          </cell>
          <cell r="F595">
            <v>2350</v>
          </cell>
          <cell r="G595">
            <v>16.559999999999999</v>
          </cell>
          <cell r="H595">
            <v>1.86</v>
          </cell>
          <cell r="I595" t="str">
            <v>M4A</v>
          </cell>
          <cell r="J595" t="str">
            <v>IE2</v>
          </cell>
          <cell r="K595">
            <v>400</v>
          </cell>
          <cell r="L595">
            <v>50</v>
          </cell>
          <cell r="M595">
            <v>41.5</v>
          </cell>
          <cell r="N595">
            <v>55</v>
          </cell>
          <cell r="O595" t="str">
            <v>F</v>
          </cell>
          <cell r="P595" t="str">
            <v>180°</v>
          </cell>
          <cell r="R595" t="str">
            <v>-</v>
          </cell>
          <cell r="S595" t="str">
            <v>Free rotation CCW</v>
          </cell>
          <cell r="U595" t="str">
            <v>T</v>
          </cell>
          <cell r="V595" t="str">
            <v>D</v>
          </cell>
          <cell r="X595" t="str">
            <v>CLP HC VG 150 = -40° + 40°</v>
          </cell>
          <cell r="Y595" t="str">
            <v>KH97/TEDRE200L4/RS</v>
          </cell>
          <cell r="Z595" t="str">
            <v>SEW</v>
          </cell>
          <cell r="AB595" t="str">
            <v>ATEX22</v>
          </cell>
          <cell r="AH595" t="str">
            <v>KH97T-A180-X</v>
          </cell>
        </row>
        <row r="596">
          <cell r="A596" t="str">
            <v>MR000592</v>
          </cell>
          <cell r="B596" t="str">
            <v>ME</v>
          </cell>
          <cell r="C596">
            <v>45</v>
          </cell>
          <cell r="D596">
            <v>1478</v>
          </cell>
          <cell r="F596">
            <v>291</v>
          </cell>
          <cell r="I596" t="str">
            <v>IM B5 V1</v>
          </cell>
          <cell r="J596" t="str">
            <v>IE3</v>
          </cell>
          <cell r="K596">
            <v>400</v>
          </cell>
          <cell r="L596">
            <v>50</v>
          </cell>
          <cell r="M596">
            <v>80</v>
          </cell>
          <cell r="N596">
            <v>55</v>
          </cell>
          <cell r="O596" t="str">
            <v>F</v>
          </cell>
          <cell r="P596" t="str">
            <v>Top</v>
          </cell>
          <cell r="R596" t="str">
            <v>-</v>
          </cell>
          <cell r="V596" t="str">
            <v>D</v>
          </cell>
          <cell r="Y596" t="str">
            <v>1MB1523-2BB23-4GA4-Z D03+H00</v>
          </cell>
          <cell r="Z596" t="str">
            <v>SIEMENS</v>
          </cell>
          <cell r="AB596" t="str">
            <v>ATEX22</v>
          </cell>
          <cell r="AE596" t="str">
            <v>4 POLES</v>
          </cell>
          <cell r="AH596" t="str">
            <v>-BTop-X</v>
          </cell>
        </row>
        <row r="597">
          <cell r="A597" t="str">
            <v>MR000593</v>
          </cell>
          <cell r="B597" t="str">
            <v>ME</v>
          </cell>
          <cell r="C597">
            <v>4</v>
          </cell>
          <cell r="D597">
            <v>2950</v>
          </cell>
          <cell r="F597">
            <v>13</v>
          </cell>
          <cell r="I597" t="str">
            <v>IM B5</v>
          </cell>
          <cell r="J597" t="str">
            <v>IE3</v>
          </cell>
          <cell r="K597">
            <v>400</v>
          </cell>
          <cell r="L597">
            <v>50</v>
          </cell>
          <cell r="M597">
            <v>7.4</v>
          </cell>
          <cell r="N597">
            <v>55</v>
          </cell>
          <cell r="O597" t="str">
            <v>F</v>
          </cell>
          <cell r="P597" t="str">
            <v>Top</v>
          </cell>
          <cell r="R597" t="str">
            <v>-</v>
          </cell>
          <cell r="V597" t="str">
            <v>D</v>
          </cell>
          <cell r="Y597" t="str">
            <v>1MB1023-1BA22-2FA4-Z D03</v>
          </cell>
          <cell r="Z597" t="str">
            <v>SIEMENS</v>
          </cell>
          <cell r="AB597" t="str">
            <v>ATEX22</v>
          </cell>
          <cell r="AE597" t="str">
            <v>2 POLES</v>
          </cell>
          <cell r="AH597" t="str">
            <v>-BTop-X</v>
          </cell>
        </row>
        <row r="598">
          <cell r="A598" t="str">
            <v>MR000594</v>
          </cell>
          <cell r="B598" t="str">
            <v>MR</v>
          </cell>
          <cell r="C598">
            <v>22</v>
          </cell>
          <cell r="D598">
            <v>15</v>
          </cell>
          <cell r="E598" t="str">
            <v>KH157</v>
          </cell>
          <cell r="F598">
            <v>14200</v>
          </cell>
          <cell r="G598">
            <v>100.22</v>
          </cell>
          <cell r="H598">
            <v>1.25</v>
          </cell>
          <cell r="I598" t="str">
            <v>From M4A to M1A - 15°</v>
          </cell>
          <cell r="J598" t="str">
            <v>IE3</v>
          </cell>
          <cell r="K598">
            <v>400</v>
          </cell>
          <cell r="L598">
            <v>50</v>
          </cell>
          <cell r="M598">
            <v>67</v>
          </cell>
          <cell r="N598">
            <v>55</v>
          </cell>
          <cell r="O598" t="str">
            <v>F(105°C)</v>
          </cell>
          <cell r="P598" t="str">
            <v>270°</v>
          </cell>
          <cell r="Q598" t="str">
            <v>TF</v>
          </cell>
          <cell r="R598" t="str">
            <v>V(VE)</v>
          </cell>
          <cell r="S598" t="str">
            <v>-</v>
          </cell>
          <cell r="T598" t="str">
            <v>-</v>
          </cell>
          <cell r="U598" t="str">
            <v>-</v>
          </cell>
          <cell r="V598" t="str">
            <v>FC</v>
          </cell>
          <cell r="W598" t="str">
            <v>-</v>
          </cell>
          <cell r="X598" t="str">
            <v>CLP HC VG 150 = -40° + 40°</v>
          </cell>
          <cell r="Y598" t="str">
            <v>KH157/II2GDEDRN180L4/3D/TF/VE/C</v>
          </cell>
          <cell r="Z598" t="str">
            <v>SEW</v>
          </cell>
          <cell r="AB598" t="str">
            <v>ATEX22</v>
          </cell>
          <cell r="AF598">
            <v>15</v>
          </cell>
          <cell r="AG598" t="str">
            <v>EDRN180L4</v>
          </cell>
          <cell r="AH598" t="str">
            <v>KH157-EDRN180L4A270-X#</v>
          </cell>
        </row>
        <row r="599">
          <cell r="A599" t="str">
            <v>MR000595</v>
          </cell>
          <cell r="B599" t="str">
            <v>MR</v>
          </cell>
          <cell r="C599">
            <v>22</v>
          </cell>
          <cell r="D599">
            <v>15</v>
          </cell>
          <cell r="E599" t="str">
            <v>KH157</v>
          </cell>
          <cell r="F599">
            <v>14200</v>
          </cell>
          <cell r="G599">
            <v>100.22</v>
          </cell>
          <cell r="H599">
            <v>1.25</v>
          </cell>
          <cell r="I599" t="str">
            <v>From M4B to M1B - 15°</v>
          </cell>
          <cell r="J599" t="str">
            <v>IE3</v>
          </cell>
          <cell r="K599">
            <v>400</v>
          </cell>
          <cell r="L599">
            <v>50</v>
          </cell>
          <cell r="M599">
            <v>67</v>
          </cell>
          <cell r="N599">
            <v>55</v>
          </cell>
          <cell r="O599" t="str">
            <v>F(105°C)</v>
          </cell>
          <cell r="P599" t="str">
            <v>270°</v>
          </cell>
          <cell r="Q599" t="str">
            <v>TF</v>
          </cell>
          <cell r="R599" t="str">
            <v>V(VE)</v>
          </cell>
          <cell r="S599" t="str">
            <v>-</v>
          </cell>
          <cell r="T599" t="str">
            <v>-</v>
          </cell>
          <cell r="U599" t="str">
            <v>-</v>
          </cell>
          <cell r="V599" t="str">
            <v>FC</v>
          </cell>
          <cell r="W599" t="str">
            <v>-</v>
          </cell>
          <cell r="X599" t="str">
            <v>CLP HC VG 150 = -40° + 40°</v>
          </cell>
          <cell r="Y599" t="str">
            <v>KH157/II2GDEDRN180L4/3D/TF/VE/C</v>
          </cell>
          <cell r="Z599" t="str">
            <v>SEW</v>
          </cell>
          <cell r="AB599" t="str">
            <v>ATEX22</v>
          </cell>
          <cell r="AF599">
            <v>15</v>
          </cell>
          <cell r="AG599" t="str">
            <v>EDRN180L4</v>
          </cell>
          <cell r="AH599" t="str">
            <v>KH157-EDRN180L4B270-X#</v>
          </cell>
        </row>
        <row r="600">
          <cell r="A600" t="str">
            <v>MR000596</v>
          </cell>
          <cell r="B600" t="str">
            <v>MR</v>
          </cell>
          <cell r="C600">
            <v>18.5</v>
          </cell>
          <cell r="D600">
            <v>102</v>
          </cell>
          <cell r="E600" t="str">
            <v>KH87</v>
          </cell>
          <cell r="F600">
            <v>1720</v>
          </cell>
          <cell r="G600">
            <v>14.45</v>
          </cell>
          <cell r="H600">
            <v>1.2</v>
          </cell>
          <cell r="I600" t="str">
            <v>M4A</v>
          </cell>
          <cell r="J600" t="str">
            <v>IE3</v>
          </cell>
          <cell r="K600">
            <v>400</v>
          </cell>
          <cell r="L600">
            <v>50</v>
          </cell>
          <cell r="M600">
            <v>33.5</v>
          </cell>
          <cell r="N600">
            <v>55</v>
          </cell>
          <cell r="O600" t="str">
            <v>F(105°C)</v>
          </cell>
          <cell r="P600" t="str">
            <v>270°</v>
          </cell>
          <cell r="Q600" t="str">
            <v>-</v>
          </cell>
          <cell r="R600" t="str">
            <v>-</v>
          </cell>
          <cell r="S600" t="str">
            <v>-</v>
          </cell>
          <cell r="T600" t="str">
            <v>-</v>
          </cell>
          <cell r="U600" t="str">
            <v>T</v>
          </cell>
          <cell r="V600" t="str">
            <v>SS</v>
          </cell>
          <cell r="W600" t="str">
            <v>-</v>
          </cell>
          <cell r="X600" t="str">
            <v>CLP (CC) VG 220 = -15° + 40°</v>
          </cell>
          <cell r="Y600" t="str">
            <v>KH87/T DRN180M4</v>
          </cell>
          <cell r="Z600" t="str">
            <v>SEW</v>
          </cell>
          <cell r="AB600" t="str">
            <v>-</v>
          </cell>
          <cell r="AF600">
            <v>102</v>
          </cell>
          <cell r="AG600" t="str">
            <v>DRN180M4</v>
          </cell>
          <cell r="AH600" t="str">
            <v>KH87T-DRN180M4A270-X</v>
          </cell>
        </row>
        <row r="601">
          <cell r="A601" t="str">
            <v>MR000597</v>
          </cell>
          <cell r="B601" t="str">
            <v>MR</v>
          </cell>
          <cell r="C601">
            <v>30</v>
          </cell>
          <cell r="D601">
            <v>78</v>
          </cell>
          <cell r="E601" t="str">
            <v>R137</v>
          </cell>
          <cell r="F601">
            <v>3680</v>
          </cell>
          <cell r="G601">
            <v>19.04</v>
          </cell>
          <cell r="H601">
            <v>2.2000000000000002</v>
          </cell>
          <cell r="I601" t="str">
            <v>M4</v>
          </cell>
          <cell r="J601" t="str">
            <v>IE3</v>
          </cell>
          <cell r="K601">
            <v>400</v>
          </cell>
          <cell r="L601">
            <v>50</v>
          </cell>
          <cell r="M601">
            <v>56</v>
          </cell>
          <cell r="N601">
            <v>55</v>
          </cell>
          <cell r="O601" t="str">
            <v>F(105°C)</v>
          </cell>
          <cell r="P601" t="str">
            <v>270°</v>
          </cell>
          <cell r="Q601" t="str">
            <v>-</v>
          </cell>
          <cell r="R601" t="str">
            <v>-</v>
          </cell>
          <cell r="S601" t="str">
            <v>-</v>
          </cell>
          <cell r="T601" t="str">
            <v>-</v>
          </cell>
          <cell r="U601" t="str">
            <v>-</v>
          </cell>
          <cell r="V601" t="str">
            <v>D</v>
          </cell>
          <cell r="W601" t="str">
            <v>-</v>
          </cell>
          <cell r="X601" t="str">
            <v>CLP (CC) VG 220 = -15° + 40°</v>
          </cell>
          <cell r="Y601" t="str">
            <v>R137DRN200L4</v>
          </cell>
          <cell r="Z601" t="str">
            <v>SEW</v>
          </cell>
          <cell r="AB601" t="str">
            <v>-</v>
          </cell>
          <cell r="AF601">
            <v>78</v>
          </cell>
          <cell r="AG601" t="str">
            <v>DRN200L4</v>
          </cell>
          <cell r="AH601" t="str">
            <v>R137-DRN200L4270-X</v>
          </cell>
        </row>
        <row r="602">
          <cell r="A602" t="str">
            <v>MR000598</v>
          </cell>
          <cell r="B602" t="str">
            <v>MR</v>
          </cell>
          <cell r="C602">
            <v>18.5</v>
          </cell>
          <cell r="D602">
            <v>65</v>
          </cell>
          <cell r="E602" t="str">
            <v>R107</v>
          </cell>
          <cell r="F602">
            <v>2700</v>
          </cell>
          <cell r="G602">
            <v>22.62</v>
          </cell>
          <cell r="H602">
            <v>1.6</v>
          </cell>
          <cell r="I602" t="str">
            <v>From M1 to M4 - 6°</v>
          </cell>
          <cell r="J602" t="str">
            <v>IE3</v>
          </cell>
          <cell r="K602">
            <v>400</v>
          </cell>
          <cell r="L602">
            <v>50</v>
          </cell>
          <cell r="M602">
            <v>33.5</v>
          </cell>
          <cell r="N602">
            <v>55</v>
          </cell>
          <cell r="O602" t="str">
            <v>F(105°C)</v>
          </cell>
          <cell r="P602" t="str">
            <v>270°</v>
          </cell>
          <cell r="Q602" t="str">
            <v>-</v>
          </cell>
          <cell r="R602" t="str">
            <v>-</v>
          </cell>
          <cell r="S602" t="str">
            <v>-</v>
          </cell>
          <cell r="T602" t="str">
            <v>-</v>
          </cell>
          <cell r="U602" t="str">
            <v>-</v>
          </cell>
          <cell r="V602" t="str">
            <v>D</v>
          </cell>
          <cell r="W602" t="str">
            <v>-</v>
          </cell>
          <cell r="X602" t="str">
            <v>CLP (CC) VG 220 = -15° + 40°</v>
          </cell>
          <cell r="Y602" t="str">
            <v>R107DRN180M4</v>
          </cell>
          <cell r="Z602" t="str">
            <v>SEW</v>
          </cell>
          <cell r="AB602" t="str">
            <v>-</v>
          </cell>
          <cell r="AF602">
            <v>65</v>
          </cell>
          <cell r="AG602" t="str">
            <v>DRN180M4</v>
          </cell>
          <cell r="AH602" t="str">
            <v>R107-DRN180M4270-X</v>
          </cell>
        </row>
        <row r="603">
          <cell r="A603" t="str">
            <v>MR000599</v>
          </cell>
          <cell r="B603" t="str">
            <v>MR</v>
          </cell>
          <cell r="C603">
            <v>1.1000000000000001</v>
          </cell>
          <cell r="D603">
            <v>7.3</v>
          </cell>
          <cell r="E603" t="str">
            <v>FV77</v>
          </cell>
          <cell r="F603">
            <v>1455</v>
          </cell>
          <cell r="G603">
            <v>198.31</v>
          </cell>
          <cell r="H603">
            <v>1.05</v>
          </cell>
          <cell r="I603" t="str">
            <v>M6</v>
          </cell>
          <cell r="J603" t="str">
            <v>IE3</v>
          </cell>
          <cell r="K603">
            <v>400</v>
          </cell>
          <cell r="L603">
            <v>50</v>
          </cell>
          <cell r="M603">
            <v>2.5499999999999998</v>
          </cell>
          <cell r="N603">
            <v>55</v>
          </cell>
          <cell r="O603" t="str">
            <v>F(105°C)</v>
          </cell>
          <cell r="P603" t="str">
            <v>0°</v>
          </cell>
          <cell r="Q603" t="str">
            <v>TF</v>
          </cell>
          <cell r="R603" t="str">
            <v>-</v>
          </cell>
          <cell r="S603" t="str">
            <v>-</v>
          </cell>
          <cell r="T603" t="str">
            <v>BE</v>
          </cell>
          <cell r="U603" t="str">
            <v>G</v>
          </cell>
          <cell r="V603" t="str">
            <v>FC+R</v>
          </cell>
          <cell r="W603" t="str">
            <v>-</v>
          </cell>
          <cell r="X603" t="str">
            <v>CLP HC VG 150 = -40° + 40°</v>
          </cell>
          <cell r="Y603" t="str">
            <v>FV77/G/II2GDEDRN90S4BE/3D/KCC/TF/AL</v>
          </cell>
          <cell r="Z603" t="str">
            <v>SEW</v>
          </cell>
          <cell r="AB603" t="str">
            <v>ATEX22</v>
          </cell>
          <cell r="AE603" t="str">
            <v xml:space="preserve"> BROCCIATURA PER FV67-DIN 5480N45x2x30x21xH9 Provide rectifier module in the electrical cabinet</v>
          </cell>
          <cell r="AF603">
            <v>7.3</v>
          </cell>
          <cell r="AG603" t="str">
            <v>EDRE90M4</v>
          </cell>
          <cell r="AH603" t="str">
            <v>FV77G-EDRE90M40-X</v>
          </cell>
        </row>
        <row r="604">
          <cell r="A604" t="str">
            <v>MR000600</v>
          </cell>
          <cell r="B604" t="str">
            <v>MR</v>
          </cell>
          <cell r="C604">
            <v>1.5</v>
          </cell>
          <cell r="D604">
            <v>87</v>
          </cell>
          <cell r="E604" t="str">
            <v>KA47</v>
          </cell>
          <cell r="F604">
            <v>165</v>
          </cell>
          <cell r="G604">
            <v>16.86</v>
          </cell>
          <cell r="H604">
            <v>2.2999999999999998</v>
          </cell>
          <cell r="I604" t="str">
            <v>M1A</v>
          </cell>
          <cell r="J604" t="str">
            <v>IE3</v>
          </cell>
          <cell r="K604">
            <v>400</v>
          </cell>
          <cell r="L604">
            <v>50</v>
          </cell>
          <cell r="M604">
            <v>3.4</v>
          </cell>
          <cell r="N604">
            <v>55</v>
          </cell>
          <cell r="O604" t="str">
            <v>F(105°C)</v>
          </cell>
          <cell r="P604" t="str">
            <v>270°</v>
          </cell>
          <cell r="Q604" t="str">
            <v>-</v>
          </cell>
          <cell r="R604" t="str">
            <v>-</v>
          </cell>
          <cell r="S604" t="str">
            <v>-</v>
          </cell>
          <cell r="T604" t="str">
            <v>-</v>
          </cell>
          <cell r="U604" t="str">
            <v>T</v>
          </cell>
          <cell r="V604" t="str">
            <v>D</v>
          </cell>
          <cell r="W604" t="str">
            <v>-</v>
          </cell>
          <cell r="X604" t="str">
            <v>CLP (CC) VG 220 = -15° + 40°</v>
          </cell>
          <cell r="Y604" t="str">
            <v>KA47/T DRN90L4</v>
          </cell>
          <cell r="Z604" t="str">
            <v>SEW</v>
          </cell>
          <cell r="AB604" t="str">
            <v>-</v>
          </cell>
          <cell r="AF604">
            <v>87</v>
          </cell>
          <cell r="AG604" t="str">
            <v>DRN90L4</v>
          </cell>
          <cell r="AH604" t="str">
            <v>KA47T-DRN90L4A270-X</v>
          </cell>
        </row>
        <row r="605">
          <cell r="A605" t="str">
            <v>MR000601</v>
          </cell>
          <cell r="B605" t="str">
            <v>MR</v>
          </cell>
          <cell r="C605">
            <v>1.1000000000000001</v>
          </cell>
          <cell r="D605">
            <v>2</v>
          </cell>
          <cell r="E605" t="str">
            <v>KAZ87 AR135
R57</v>
          </cell>
          <cell r="F605">
            <v>2700</v>
          </cell>
          <cell r="G605">
            <v>726</v>
          </cell>
          <cell r="H605">
            <v>0.55000000000000004</v>
          </cell>
          <cell r="I605" t="str">
            <v>M4</v>
          </cell>
          <cell r="J605" t="str">
            <v>IE2</v>
          </cell>
          <cell r="K605" t="str">
            <v>230/400</v>
          </cell>
          <cell r="L605">
            <v>50</v>
          </cell>
          <cell r="N605">
            <v>54</v>
          </cell>
          <cell r="O605" t="str">
            <v>F(105°C)</v>
          </cell>
          <cell r="P605" t="str">
            <v>-</v>
          </cell>
          <cell r="Q605" t="str">
            <v>TF</v>
          </cell>
          <cell r="R605" t="str">
            <v>V(VE)</v>
          </cell>
          <cell r="S605" t="str">
            <v>-</v>
          </cell>
          <cell r="T605" t="str">
            <v>-</v>
          </cell>
          <cell r="U605" t="str">
            <v>-</v>
          </cell>
          <cell r="V605" t="str">
            <v>-</v>
          </cell>
          <cell r="W605" t="str">
            <v>-</v>
          </cell>
          <cell r="X605" t="str">
            <v>CLP (CC) VG 220 = -15° + 40°</v>
          </cell>
          <cell r="Y605" t="str">
            <v>KAZ87 AR135 R57 DRE90M4/TF/ES7C/V</v>
          </cell>
          <cell r="Z605" t="str">
            <v>SEW</v>
          </cell>
          <cell r="AB605" t="str">
            <v>-</v>
          </cell>
          <cell r="AC605" t="str">
            <v>ES7C</v>
          </cell>
          <cell r="AF605">
            <v>2</v>
          </cell>
          <cell r="AG605" t="str">
            <v>DRE90M4</v>
          </cell>
          <cell r="AH605" t="str">
            <v>KAZ87 AR135
R57-DRE90M4--X#</v>
          </cell>
        </row>
        <row r="606">
          <cell r="A606" t="str">
            <v>MR000602</v>
          </cell>
          <cell r="B606" t="str">
            <v>MR</v>
          </cell>
          <cell r="C606">
            <v>1.1000000000000001</v>
          </cell>
          <cell r="D606">
            <v>5.7</v>
          </cell>
          <cell r="E606" t="str">
            <v>KAZ87R57</v>
          </cell>
          <cell r="F606">
            <v>1720</v>
          </cell>
          <cell r="G606">
            <v>250</v>
          </cell>
          <cell r="H606">
            <v>1.55</v>
          </cell>
          <cell r="I606" t="str">
            <v>M4</v>
          </cell>
          <cell r="J606" t="str">
            <v>IE2</v>
          </cell>
          <cell r="K606" t="str">
            <v>230/400</v>
          </cell>
          <cell r="L606">
            <v>50</v>
          </cell>
          <cell r="N606">
            <v>54</v>
          </cell>
          <cell r="O606" t="str">
            <v>F(105°C)</v>
          </cell>
          <cell r="P606" t="str">
            <v>270°</v>
          </cell>
          <cell r="Q606" t="str">
            <v>TF</v>
          </cell>
          <cell r="R606" t="str">
            <v>V(VE)</v>
          </cell>
          <cell r="S606" t="str">
            <v>-</v>
          </cell>
          <cell r="T606" t="str">
            <v>-</v>
          </cell>
          <cell r="U606" t="str">
            <v>-</v>
          </cell>
          <cell r="V606" t="str">
            <v>-</v>
          </cell>
          <cell r="W606" t="str">
            <v>-</v>
          </cell>
          <cell r="X606" t="str">
            <v>CLP (CC) VG 220 = -15° + 40°</v>
          </cell>
          <cell r="Y606" t="str">
            <v>KAZ87 R57 DRE90M4/TF/ES7C/V</v>
          </cell>
          <cell r="Z606" t="str">
            <v>SEW</v>
          </cell>
          <cell r="AB606" t="str">
            <v>-</v>
          </cell>
          <cell r="AC606" t="str">
            <v>ES7C</v>
          </cell>
          <cell r="AF606">
            <v>5.7</v>
          </cell>
          <cell r="AG606" t="str">
            <v>DRE90M4</v>
          </cell>
          <cell r="AH606" t="str">
            <v>KAZ87R57-DRE90M4270-X#</v>
          </cell>
        </row>
        <row r="607">
          <cell r="A607" t="str">
            <v>MR000603</v>
          </cell>
          <cell r="B607" t="str">
            <v>MR</v>
          </cell>
          <cell r="C607">
            <v>2.2000000000000002</v>
          </cell>
          <cell r="D607">
            <v>62</v>
          </cell>
          <cell r="E607" t="str">
            <v>R67</v>
          </cell>
          <cell r="F607">
            <v>560</v>
          </cell>
          <cell r="G607">
            <v>23.44</v>
          </cell>
          <cell r="H607">
            <v>1.65</v>
          </cell>
          <cell r="I607" t="str">
            <v>M4</v>
          </cell>
          <cell r="J607" t="str">
            <v>IE3</v>
          </cell>
          <cell r="K607" t="str">
            <v>230/400</v>
          </cell>
          <cell r="L607">
            <v>50</v>
          </cell>
          <cell r="N607">
            <v>54</v>
          </cell>
          <cell r="O607" t="str">
            <v>B(80°C)</v>
          </cell>
          <cell r="P607" t="str">
            <v>180°</v>
          </cell>
          <cell r="Q607" t="str">
            <v>-</v>
          </cell>
          <cell r="R607" t="str">
            <v>-</v>
          </cell>
          <cell r="S607" t="str">
            <v>-</v>
          </cell>
          <cell r="T607" t="str">
            <v>-</v>
          </cell>
          <cell r="U607" t="str">
            <v>-</v>
          </cell>
          <cell r="V607" t="str">
            <v>-</v>
          </cell>
          <cell r="W607" t="str">
            <v>-</v>
          </cell>
          <cell r="X607" t="str">
            <v>CLP (CC) VG 220 = -15° + 40°</v>
          </cell>
          <cell r="Y607" t="str">
            <v>R67 DRE100 M4</v>
          </cell>
          <cell r="Z607" t="str">
            <v>SEW</v>
          </cell>
          <cell r="AB607" t="str">
            <v>-</v>
          </cell>
          <cell r="AF607">
            <v>62</v>
          </cell>
          <cell r="AG607" t="str">
            <v>DRN100LS4</v>
          </cell>
          <cell r="AH607" t="str">
            <v>R67-DRN100LS4180-X</v>
          </cell>
        </row>
        <row r="608">
          <cell r="A608" t="str">
            <v>MR000604</v>
          </cell>
          <cell r="B608" t="str">
            <v>MR</v>
          </cell>
          <cell r="C608">
            <v>5.5</v>
          </cell>
          <cell r="D608">
            <v>45</v>
          </cell>
          <cell r="E608" t="str">
            <v>R87</v>
          </cell>
          <cell r="F608">
            <v>1170</v>
          </cell>
          <cell r="G608">
            <v>32.659999999999997</v>
          </cell>
          <cell r="H608">
            <v>1.3</v>
          </cell>
          <cell r="I608" t="str">
            <v>M6</v>
          </cell>
          <cell r="J608" t="str">
            <v>IE3</v>
          </cell>
          <cell r="K608">
            <v>400</v>
          </cell>
          <cell r="L608">
            <v>50</v>
          </cell>
          <cell r="M608">
            <v>10.5</v>
          </cell>
          <cell r="N608">
            <v>55</v>
          </cell>
          <cell r="O608" t="str">
            <v>F(105°C)</v>
          </cell>
          <cell r="P608" t="str">
            <v>270°</v>
          </cell>
          <cell r="Q608" t="str">
            <v>TF</v>
          </cell>
          <cell r="R608" t="str">
            <v>V(VE)</v>
          </cell>
          <cell r="S608" t="str">
            <v>-</v>
          </cell>
          <cell r="T608" t="str">
            <v>-</v>
          </cell>
          <cell r="U608" t="str">
            <v>-</v>
          </cell>
          <cell r="V608" t="str">
            <v>FC</v>
          </cell>
          <cell r="W608" t="str">
            <v>-</v>
          </cell>
          <cell r="X608" t="str">
            <v>CLP (CC) VG 220 = -15° + 40°</v>
          </cell>
          <cell r="Y608" t="str">
            <v>R87DRN132S4 /TF/V</v>
          </cell>
          <cell r="Z608" t="str">
            <v>SEW</v>
          </cell>
          <cell r="AB608" t="str">
            <v>-</v>
          </cell>
          <cell r="AF608">
            <v>45</v>
          </cell>
          <cell r="AG608" t="str">
            <v>DRN132S4</v>
          </cell>
          <cell r="AH608" t="str">
            <v>R87-DRN132S4270-X#</v>
          </cell>
        </row>
        <row r="609">
          <cell r="A609" t="str">
            <v>MR000605</v>
          </cell>
          <cell r="B609" t="str">
            <v>MR</v>
          </cell>
          <cell r="C609">
            <v>5.5</v>
          </cell>
          <cell r="D609">
            <v>45</v>
          </cell>
          <cell r="E609" t="str">
            <v>R87</v>
          </cell>
          <cell r="F609">
            <v>1170</v>
          </cell>
          <cell r="G609">
            <v>32.659999999999997</v>
          </cell>
          <cell r="H609">
            <v>1.3</v>
          </cell>
          <cell r="I609" t="str">
            <v>M5</v>
          </cell>
          <cell r="J609" t="str">
            <v>IE3</v>
          </cell>
          <cell r="K609">
            <v>400</v>
          </cell>
          <cell r="L609">
            <v>50</v>
          </cell>
          <cell r="M609">
            <v>10.5</v>
          </cell>
          <cell r="N609">
            <v>55</v>
          </cell>
          <cell r="O609" t="str">
            <v>F(105°C)</v>
          </cell>
          <cell r="P609" t="str">
            <v>270°</v>
          </cell>
          <cell r="Q609" t="str">
            <v>TF</v>
          </cell>
          <cell r="R609" t="str">
            <v>V(VE)</v>
          </cell>
          <cell r="S609" t="str">
            <v>-</v>
          </cell>
          <cell r="T609" t="str">
            <v>-</v>
          </cell>
          <cell r="U609" t="str">
            <v>-</v>
          </cell>
          <cell r="V609" t="str">
            <v>FC</v>
          </cell>
          <cell r="W609" t="str">
            <v>-</v>
          </cell>
          <cell r="X609" t="str">
            <v>CLP (CC) VG 220 = -15° + 40°</v>
          </cell>
          <cell r="Y609" t="str">
            <v>R87DRN132S4 /TF/V</v>
          </cell>
          <cell r="Z609" t="str">
            <v>SEW</v>
          </cell>
          <cell r="AB609" t="str">
            <v>-</v>
          </cell>
          <cell r="AF609">
            <v>45</v>
          </cell>
          <cell r="AG609" t="str">
            <v>DRN132S4</v>
          </cell>
          <cell r="AH609" t="str">
            <v>R87-DRN132S4270-X#</v>
          </cell>
        </row>
        <row r="610">
          <cell r="A610" t="str">
            <v>MR000606</v>
          </cell>
          <cell r="B610" t="str">
            <v>MR</v>
          </cell>
          <cell r="C610">
            <v>15</v>
          </cell>
          <cell r="D610">
            <v>13</v>
          </cell>
          <cell r="E610" t="str">
            <v>KH127</v>
          </cell>
          <cell r="F610">
            <v>10700</v>
          </cell>
          <cell r="G610">
            <v>110.18</v>
          </cell>
          <cell r="H610">
            <v>1.2</v>
          </cell>
          <cell r="I610" t="str">
            <v>From M1A to M2A - 40°</v>
          </cell>
          <cell r="J610" t="str">
            <v>IE3</v>
          </cell>
          <cell r="K610">
            <v>400</v>
          </cell>
          <cell r="L610">
            <v>50</v>
          </cell>
          <cell r="M610">
            <v>29</v>
          </cell>
          <cell r="N610">
            <v>55</v>
          </cell>
          <cell r="O610" t="str">
            <v>F(105°C)</v>
          </cell>
          <cell r="P610" t="str">
            <v>270°</v>
          </cell>
          <cell r="Q610" t="str">
            <v>-</v>
          </cell>
          <cell r="R610" t="str">
            <v>-</v>
          </cell>
          <cell r="S610" t="str">
            <v>-</v>
          </cell>
          <cell r="T610" t="str">
            <v>-</v>
          </cell>
          <cell r="U610" t="str">
            <v>-</v>
          </cell>
          <cell r="V610" t="str">
            <v>SS</v>
          </cell>
          <cell r="W610" t="str">
            <v>-</v>
          </cell>
          <cell r="X610" t="str">
            <v>CLP HC VG 150 = -40° + 40°</v>
          </cell>
          <cell r="Y610" t="str">
            <v>KH127DRN160L4</v>
          </cell>
          <cell r="Z610" t="str">
            <v>SEW</v>
          </cell>
          <cell r="AB610" t="str">
            <v>-</v>
          </cell>
          <cell r="AF610">
            <v>13</v>
          </cell>
          <cell r="AG610" t="str">
            <v>DRN160L4</v>
          </cell>
          <cell r="AH610" t="str">
            <v>KH127-DRN160L4A270-X</v>
          </cell>
        </row>
        <row r="611">
          <cell r="A611" t="str">
            <v>MR000607</v>
          </cell>
          <cell r="B611" t="str">
            <v>MR</v>
          </cell>
          <cell r="C611">
            <v>5.5</v>
          </cell>
          <cell r="D611">
            <v>57</v>
          </cell>
          <cell r="E611" t="str">
            <v>KH77</v>
          </cell>
          <cell r="F611">
            <v>920</v>
          </cell>
          <cell r="G611">
            <v>25.62</v>
          </cell>
          <cell r="H611">
            <v>1.7</v>
          </cell>
          <cell r="I611" t="str">
            <v>M4A</v>
          </cell>
          <cell r="J611" t="str">
            <v>IE3</v>
          </cell>
          <cell r="K611">
            <v>400</v>
          </cell>
          <cell r="L611">
            <v>50</v>
          </cell>
          <cell r="M611">
            <v>10.5</v>
          </cell>
          <cell r="N611">
            <v>55</v>
          </cell>
          <cell r="O611" t="str">
            <v>F(105°C)</v>
          </cell>
          <cell r="P611" t="str">
            <v>270°</v>
          </cell>
          <cell r="Q611" t="str">
            <v>-</v>
          </cell>
          <cell r="R611" t="str">
            <v>-</v>
          </cell>
          <cell r="S611" t="str">
            <v>Free rotation CCW</v>
          </cell>
          <cell r="T611" t="str">
            <v>-</v>
          </cell>
          <cell r="U611" t="str">
            <v>T</v>
          </cell>
          <cell r="V611" t="str">
            <v>D</v>
          </cell>
          <cell r="W611" t="str">
            <v>-</v>
          </cell>
          <cell r="X611" t="str">
            <v>CLP HC VG 150 = -40° + 40°</v>
          </cell>
          <cell r="Y611" t="str">
            <v>KH77/T DRN132S4 /RS</v>
          </cell>
          <cell r="Z611" t="str">
            <v>SEW</v>
          </cell>
          <cell r="AB611" t="str">
            <v>-</v>
          </cell>
          <cell r="AF611">
            <v>57</v>
          </cell>
          <cell r="AG611" t="str">
            <v>DRN132S4</v>
          </cell>
          <cell r="AH611" t="str">
            <v>KH77T-DRN132S4A270-X</v>
          </cell>
        </row>
        <row r="612">
          <cell r="A612" t="str">
            <v>MR000608</v>
          </cell>
          <cell r="B612" t="str">
            <v>MR</v>
          </cell>
          <cell r="C612">
            <v>3</v>
          </cell>
          <cell r="D612">
            <v>75</v>
          </cell>
          <cell r="E612" t="str">
            <v>KH67</v>
          </cell>
          <cell r="F612">
            <v>375</v>
          </cell>
          <cell r="G612">
            <v>19.3</v>
          </cell>
          <cell r="H612">
            <v>2</v>
          </cell>
          <cell r="I612" t="str">
            <v>M4A</v>
          </cell>
          <cell r="J612" t="str">
            <v>IE3</v>
          </cell>
          <cell r="K612">
            <v>400</v>
          </cell>
          <cell r="L612">
            <v>50</v>
          </cell>
          <cell r="M612">
            <v>6.4</v>
          </cell>
          <cell r="N612">
            <v>55</v>
          </cell>
          <cell r="O612" t="str">
            <v>F(105°C)</v>
          </cell>
          <cell r="P612" t="str">
            <v>270°</v>
          </cell>
          <cell r="Q612" t="str">
            <v>-</v>
          </cell>
          <cell r="R612" t="str">
            <v>-</v>
          </cell>
          <cell r="S612" t="str">
            <v>Free rotation CCW</v>
          </cell>
          <cell r="T612" t="str">
            <v>-</v>
          </cell>
          <cell r="U612" t="str">
            <v>T</v>
          </cell>
          <cell r="V612" t="str">
            <v>D</v>
          </cell>
          <cell r="W612" t="str">
            <v>-</v>
          </cell>
          <cell r="X612" t="str">
            <v>CLP HC VG 150 = -40° + 40°</v>
          </cell>
          <cell r="Y612" t="str">
            <v>KH67/T DRN100L4 /RS</v>
          </cell>
          <cell r="Z612" t="str">
            <v>SEW</v>
          </cell>
          <cell r="AB612" t="str">
            <v>-</v>
          </cell>
          <cell r="AF612">
            <v>75</v>
          </cell>
          <cell r="AG612" t="str">
            <v>DRN100L4</v>
          </cell>
          <cell r="AH612" t="str">
            <v>KH67T-DRN100L4A270-X</v>
          </cell>
        </row>
        <row r="613">
          <cell r="A613" t="str">
            <v>MR000609</v>
          </cell>
          <cell r="B613" t="str">
            <v>MR</v>
          </cell>
          <cell r="C613">
            <v>3</v>
          </cell>
          <cell r="D613">
            <v>68</v>
          </cell>
          <cell r="E613" t="str">
            <v>FA77</v>
          </cell>
          <cell r="F613">
            <v>420</v>
          </cell>
          <cell r="G613">
            <v>21.43</v>
          </cell>
          <cell r="H613">
            <v>3.6</v>
          </cell>
          <cell r="I613" t="str">
            <v>M1</v>
          </cell>
          <cell r="J613" t="str">
            <v>IE2</v>
          </cell>
          <cell r="K613" t="str">
            <v>230/400</v>
          </cell>
          <cell r="L613">
            <v>50</v>
          </cell>
          <cell r="N613">
            <v>54</v>
          </cell>
          <cell r="O613" t="str">
            <v>F(105°C)</v>
          </cell>
          <cell r="P613" t="str">
            <v>0°</v>
          </cell>
          <cell r="Q613" t="str">
            <v>-</v>
          </cell>
          <cell r="R613" t="str">
            <v>-</v>
          </cell>
          <cell r="S613" t="str">
            <v>-</v>
          </cell>
          <cell r="T613" t="str">
            <v>-</v>
          </cell>
          <cell r="U613" t="str">
            <v>G</v>
          </cell>
          <cell r="V613" t="str">
            <v>D</v>
          </cell>
          <cell r="W613" t="str">
            <v>-</v>
          </cell>
          <cell r="X613" t="str">
            <v>CLP HC VG 220 = -20° + 60°</v>
          </cell>
          <cell r="Y613" t="str">
            <v>FA77/G/II2GDEDRE100LC4/3GD/KCC/AL</v>
          </cell>
          <cell r="Z613" t="str">
            <v>SEW</v>
          </cell>
          <cell r="AB613" t="str">
            <v>ATEX22</v>
          </cell>
          <cell r="AF613">
            <v>68</v>
          </cell>
          <cell r="AG613" t="str">
            <v>EDRE112M4</v>
          </cell>
          <cell r="AH613" t="str">
            <v>FA77G-EDRE112M40-X</v>
          </cell>
        </row>
        <row r="614">
          <cell r="A614" t="str">
            <v>MR000610</v>
          </cell>
          <cell r="B614" t="str">
            <v>MR</v>
          </cell>
          <cell r="C614">
            <v>0.55000000000000004</v>
          </cell>
          <cell r="D614">
            <v>9.1999999999999993</v>
          </cell>
          <cell r="E614" t="str">
            <v>KA77R37</v>
          </cell>
          <cell r="F614">
            <v>650</v>
          </cell>
          <cell r="G614">
            <v>195</v>
          </cell>
          <cell r="H614">
            <v>2.4</v>
          </cell>
          <cell r="I614" t="str">
            <v>M4A</v>
          </cell>
          <cell r="J614" t="str">
            <v>IE1</v>
          </cell>
          <cell r="K614" t="str">
            <v>230/400</v>
          </cell>
          <cell r="L614">
            <v>50</v>
          </cell>
          <cell r="N614">
            <v>54</v>
          </cell>
          <cell r="O614" t="str">
            <v>F(105°C)</v>
          </cell>
          <cell r="P614" t="str">
            <v>270°</v>
          </cell>
          <cell r="Q614" t="str">
            <v>TF</v>
          </cell>
          <cell r="R614" t="str">
            <v>V(VE)</v>
          </cell>
          <cell r="S614" t="str">
            <v>-</v>
          </cell>
          <cell r="T614" t="str">
            <v>-</v>
          </cell>
          <cell r="U614" t="str">
            <v>-</v>
          </cell>
          <cell r="V614" t="str">
            <v>-</v>
          </cell>
          <cell r="W614" t="str">
            <v>-</v>
          </cell>
          <cell r="X614" t="str">
            <v xml:space="preserve"> -</v>
          </cell>
          <cell r="Y614" t="str">
            <v>KA77/TR37/II2GDEDRS80S4/3D/KCC/TF/ES7C/VE/C</v>
          </cell>
          <cell r="Z614" t="str">
            <v>SEW</v>
          </cell>
          <cell r="AB614" t="str">
            <v>ATEX22</v>
          </cell>
          <cell r="AC614" t="str">
            <v>ES7C</v>
          </cell>
          <cell r="AF614">
            <v>9.1999999999999993</v>
          </cell>
          <cell r="AG614" t="str">
            <v>EDRE80S4</v>
          </cell>
          <cell r="AH614" t="str">
            <v>KA77R37-EDRE80S4A270-X#</v>
          </cell>
        </row>
        <row r="615">
          <cell r="A615" t="str">
            <v>MR000611</v>
          </cell>
          <cell r="B615" t="str">
            <v>MR</v>
          </cell>
          <cell r="C615">
            <v>22</v>
          </cell>
          <cell r="D615">
            <v>15</v>
          </cell>
          <cell r="E615" t="str">
            <v>KH157</v>
          </cell>
          <cell r="F615">
            <v>14200</v>
          </cell>
          <cell r="G615">
            <v>100.22</v>
          </cell>
          <cell r="H615">
            <v>1.25</v>
          </cell>
          <cell r="I615" t="str">
            <v>M4A</v>
          </cell>
          <cell r="J615" t="str">
            <v>IE3</v>
          </cell>
          <cell r="K615">
            <v>400</v>
          </cell>
          <cell r="L615">
            <v>50</v>
          </cell>
          <cell r="M615">
            <v>67</v>
          </cell>
          <cell r="N615">
            <v>55</v>
          </cell>
          <cell r="O615" t="str">
            <v>F(105°C)</v>
          </cell>
          <cell r="P615" t="str">
            <v>270°</v>
          </cell>
          <cell r="Q615" t="str">
            <v>TF</v>
          </cell>
          <cell r="R615" t="str">
            <v>-</v>
          </cell>
          <cell r="S615" t="str">
            <v>-</v>
          </cell>
          <cell r="T615" t="str">
            <v>-</v>
          </cell>
          <cell r="U615" t="str">
            <v>-</v>
          </cell>
          <cell r="V615" t="str">
            <v>FC</v>
          </cell>
          <cell r="W615" t="str">
            <v>-</v>
          </cell>
          <cell r="X615" t="str">
            <v>CLP HC VG 150 = -40° + 40°</v>
          </cell>
          <cell r="Y615" t="str">
            <v>KH157/II2GDEDRN180L4/3D/TF/AL/C</v>
          </cell>
          <cell r="Z615" t="str">
            <v>SEW</v>
          </cell>
          <cell r="AB615" t="str">
            <v>ATEX22</v>
          </cell>
          <cell r="AF615">
            <v>15</v>
          </cell>
          <cell r="AH615" t="str">
            <v>KH157-A270-X</v>
          </cell>
        </row>
        <row r="616">
          <cell r="A616" t="str">
            <v>MR000612</v>
          </cell>
          <cell r="B616" t="str">
            <v>MR</v>
          </cell>
          <cell r="C616">
            <v>22</v>
          </cell>
          <cell r="D616">
            <v>89</v>
          </cell>
          <cell r="E616" t="str">
            <v>KH97</v>
          </cell>
          <cell r="F616">
            <v>2350</v>
          </cell>
          <cell r="G616">
            <v>16.559999999999999</v>
          </cell>
          <cell r="H616">
            <v>1.6</v>
          </cell>
          <cell r="I616" t="str">
            <v>M4A</v>
          </cell>
          <cell r="J616" t="str">
            <v>IE3</v>
          </cell>
          <cell r="K616">
            <v>400</v>
          </cell>
          <cell r="L616">
            <v>50</v>
          </cell>
          <cell r="M616">
            <v>67</v>
          </cell>
          <cell r="N616">
            <v>55</v>
          </cell>
          <cell r="O616" t="str">
            <v>F(105°C)</v>
          </cell>
          <cell r="P616" t="str">
            <v>270°</v>
          </cell>
          <cell r="Q616" t="str">
            <v>-</v>
          </cell>
          <cell r="R616" t="str">
            <v>-</v>
          </cell>
          <cell r="S616" t="str">
            <v>Free rotation CCW</v>
          </cell>
          <cell r="T616" t="str">
            <v>-</v>
          </cell>
          <cell r="U616" t="str">
            <v>T</v>
          </cell>
          <cell r="V616" t="str">
            <v>SS</v>
          </cell>
          <cell r="W616" t="str">
            <v>-</v>
          </cell>
          <cell r="X616" t="str">
            <v>CLP HC VG 150 = -40° + 40°</v>
          </cell>
          <cell r="Y616" t="str">
            <v>KH97/T/II2GDEDRN180L4/3D/AL/C</v>
          </cell>
          <cell r="Z616" t="str">
            <v>SEW</v>
          </cell>
          <cell r="AB616" t="str">
            <v>ATEX22</v>
          </cell>
          <cell r="AF616">
            <v>89</v>
          </cell>
          <cell r="AH616" t="str">
            <v>KH97T-A270-X</v>
          </cell>
        </row>
        <row r="617">
          <cell r="A617" t="str">
            <v>MR000613</v>
          </cell>
          <cell r="B617" t="str">
            <v>MR</v>
          </cell>
          <cell r="C617">
            <v>15</v>
          </cell>
          <cell r="D617">
            <v>117</v>
          </cell>
          <cell r="E617" t="str">
            <v>KH87</v>
          </cell>
          <cell r="F617">
            <v>1220</v>
          </cell>
          <cell r="G617">
            <v>12.56</v>
          </cell>
          <cell r="H617">
            <v>1.35</v>
          </cell>
          <cell r="I617" t="str">
            <v>M4A</v>
          </cell>
          <cell r="J617" t="str">
            <v>IE3</v>
          </cell>
          <cell r="K617">
            <v>400</v>
          </cell>
          <cell r="L617">
            <v>50</v>
          </cell>
          <cell r="M617">
            <v>49.5</v>
          </cell>
          <cell r="N617">
            <v>55</v>
          </cell>
          <cell r="O617" t="str">
            <v>F(105°C)</v>
          </cell>
          <cell r="P617" t="str">
            <v>270°</v>
          </cell>
          <cell r="Q617" t="str">
            <v>-</v>
          </cell>
          <cell r="R617" t="str">
            <v>-</v>
          </cell>
          <cell r="S617" t="str">
            <v>Free rotation CCW</v>
          </cell>
          <cell r="T617" t="str">
            <v>-</v>
          </cell>
          <cell r="U617" t="str">
            <v>T</v>
          </cell>
          <cell r="V617" t="str">
            <v>SS</v>
          </cell>
          <cell r="W617" t="str">
            <v>-</v>
          </cell>
          <cell r="X617" t="str">
            <v>CLP HC VG 150 = -40° + 40°</v>
          </cell>
          <cell r="Y617" t="str">
            <v>KH87/T/II2GDEDRN160L4/3D/AL/C</v>
          </cell>
          <cell r="Z617" t="str">
            <v>SEW</v>
          </cell>
          <cell r="AB617" t="str">
            <v>ATEX22</v>
          </cell>
          <cell r="AF617">
            <v>117</v>
          </cell>
          <cell r="AH617" t="str">
            <v>KH87T-A270-X</v>
          </cell>
        </row>
        <row r="618">
          <cell r="A618" t="str">
            <v>MR000614</v>
          </cell>
          <cell r="B618" t="str">
            <v>MR</v>
          </cell>
          <cell r="C618">
            <v>11</v>
          </cell>
          <cell r="D618">
            <v>59</v>
          </cell>
          <cell r="E618" t="str">
            <v>KH87</v>
          </cell>
          <cell r="F618">
            <v>1770</v>
          </cell>
          <cell r="G618">
            <v>24.92</v>
          </cell>
          <cell r="H618">
            <v>1.1000000000000001</v>
          </cell>
          <cell r="I618" t="str">
            <v>M4B</v>
          </cell>
          <cell r="J618" t="str">
            <v>IE3</v>
          </cell>
          <cell r="K618">
            <v>400</v>
          </cell>
          <cell r="L618">
            <v>50</v>
          </cell>
          <cell r="M618">
            <v>21</v>
          </cell>
          <cell r="N618">
            <v>55</v>
          </cell>
          <cell r="O618" t="str">
            <v>F(105°C)</v>
          </cell>
          <cell r="P618" t="str">
            <v>270°</v>
          </cell>
          <cell r="Q618" t="str">
            <v>-</v>
          </cell>
          <cell r="R618" t="str">
            <v>-</v>
          </cell>
          <cell r="S618" t="str">
            <v>Free rotation CW</v>
          </cell>
          <cell r="T618" t="str">
            <v>-</v>
          </cell>
          <cell r="U618" t="str">
            <v>T</v>
          </cell>
          <cell r="V618" t="str">
            <v>SS</v>
          </cell>
          <cell r="W618" t="str">
            <v>-</v>
          </cell>
          <cell r="X618" t="str">
            <v>CLP HC VG 150 = -40° + 40°</v>
          </cell>
          <cell r="Y618" t="str">
            <v>KH87/T/II2GDEDRN160M4/RS/3D/AL/C</v>
          </cell>
          <cell r="Z618" t="str">
            <v>SEW</v>
          </cell>
          <cell r="AB618" t="str">
            <v>ATEX22</v>
          </cell>
          <cell r="AF618">
            <v>59</v>
          </cell>
          <cell r="AH618" t="str">
            <v>KH87T-B270-X</v>
          </cell>
        </row>
        <row r="619">
          <cell r="A619" t="str">
            <v>MR000615</v>
          </cell>
          <cell r="B619" t="str">
            <v>MR</v>
          </cell>
          <cell r="C619">
            <v>11</v>
          </cell>
          <cell r="D619">
            <v>59</v>
          </cell>
          <cell r="E619" t="str">
            <v>KH87</v>
          </cell>
          <cell r="F619">
            <v>1770</v>
          </cell>
          <cell r="G619">
            <v>24.92</v>
          </cell>
          <cell r="H619" t="str">
            <v>1.1</v>
          </cell>
          <cell r="I619" t="str">
            <v>M4B</v>
          </cell>
          <cell r="J619" t="str">
            <v>IE3</v>
          </cell>
          <cell r="K619">
            <v>400</v>
          </cell>
          <cell r="L619">
            <v>50</v>
          </cell>
          <cell r="M619">
            <v>21</v>
          </cell>
          <cell r="N619">
            <v>55</v>
          </cell>
          <cell r="O619" t="str">
            <v>F(105°C)</v>
          </cell>
          <cell r="P619" t="str">
            <v>270°</v>
          </cell>
          <cell r="Q619" t="str">
            <v>-</v>
          </cell>
          <cell r="R619" t="str">
            <v>-</v>
          </cell>
          <cell r="S619" t="str">
            <v>-</v>
          </cell>
          <cell r="T619" t="str">
            <v>-</v>
          </cell>
          <cell r="U619" t="str">
            <v>T</v>
          </cell>
          <cell r="V619" t="str">
            <v>SS</v>
          </cell>
          <cell r="W619" t="str">
            <v>-</v>
          </cell>
          <cell r="X619" t="str">
            <v>CLP HC VG 150 = -40° + 40°</v>
          </cell>
          <cell r="Y619" t="str">
            <v>KH87/T/II2GDEDRN160M4/3D/AL/C</v>
          </cell>
          <cell r="Z619" t="str">
            <v>SEW</v>
          </cell>
          <cell r="AB619" t="str">
            <v>ATEX22</v>
          </cell>
          <cell r="AF619">
            <v>59</v>
          </cell>
          <cell r="AH619" t="str">
            <v>KH87T-B270-X</v>
          </cell>
        </row>
        <row r="620">
          <cell r="A620" t="str">
            <v>MR000616</v>
          </cell>
          <cell r="B620" t="str">
            <v>MR</v>
          </cell>
          <cell r="C620">
            <v>0.75</v>
          </cell>
          <cell r="D620">
            <v>162</v>
          </cell>
          <cell r="E620" t="str">
            <v>KA37</v>
          </cell>
          <cell r="F620">
            <v>44</v>
          </cell>
          <cell r="G620">
            <v>8.91</v>
          </cell>
          <cell r="H620">
            <v>3</v>
          </cell>
          <cell r="I620" t="str">
            <v>M1A</v>
          </cell>
          <cell r="J620" t="str">
            <v>IE3</v>
          </cell>
          <cell r="K620">
            <v>400</v>
          </cell>
          <cell r="L620">
            <v>50</v>
          </cell>
          <cell r="M620">
            <v>1.75</v>
          </cell>
          <cell r="N620">
            <v>55</v>
          </cell>
          <cell r="O620" t="str">
            <v>F(105°C)</v>
          </cell>
          <cell r="P620" t="str">
            <v>180°</v>
          </cell>
          <cell r="Q620" t="str">
            <v>-</v>
          </cell>
          <cell r="R620" t="str">
            <v>-</v>
          </cell>
          <cell r="S620" t="str">
            <v>-</v>
          </cell>
          <cell r="T620" t="str">
            <v>-</v>
          </cell>
          <cell r="U620" t="str">
            <v>T</v>
          </cell>
          <cell r="V620" t="str">
            <v>D</v>
          </cell>
          <cell r="W620" t="str">
            <v>-</v>
          </cell>
          <cell r="X620" t="str">
            <v>CLP HC VG 150 = -40° + 40°</v>
          </cell>
          <cell r="Y620" t="str">
            <v>KA37/T/II2GDEDRN80M4/3D/KCC/AL</v>
          </cell>
          <cell r="Z620" t="str">
            <v>SEW</v>
          </cell>
          <cell r="AB620" t="str">
            <v>ATEX22</v>
          </cell>
          <cell r="AF620">
            <v>162</v>
          </cell>
          <cell r="AH620" t="str">
            <v>KA37T-A180-X</v>
          </cell>
        </row>
        <row r="621">
          <cell r="A621" t="str">
            <v>MR000617</v>
          </cell>
          <cell r="B621" t="str">
            <v>MR</v>
          </cell>
          <cell r="C621">
            <v>3</v>
          </cell>
          <cell r="D621">
            <v>75</v>
          </cell>
          <cell r="E621" t="str">
            <v>KH67</v>
          </cell>
          <cell r="F621">
            <v>375</v>
          </cell>
          <cell r="G621">
            <v>19.3</v>
          </cell>
          <cell r="H621">
            <v>2</v>
          </cell>
          <cell r="I621" t="str">
            <v>M4B</v>
          </cell>
          <cell r="J621" t="str">
            <v>IE3</v>
          </cell>
          <cell r="K621">
            <v>400</v>
          </cell>
          <cell r="L621">
            <v>50</v>
          </cell>
          <cell r="M621">
            <v>6.4</v>
          </cell>
          <cell r="N621">
            <v>55</v>
          </cell>
          <cell r="O621" t="str">
            <v>F(105°C)</v>
          </cell>
          <cell r="P621" t="str">
            <v>270°</v>
          </cell>
          <cell r="Q621" t="str">
            <v>-</v>
          </cell>
          <cell r="R621" t="str">
            <v>-</v>
          </cell>
          <cell r="S621" t="str">
            <v>Free rotation CW</v>
          </cell>
          <cell r="T621" t="str">
            <v>-</v>
          </cell>
          <cell r="U621" t="str">
            <v>T</v>
          </cell>
          <cell r="V621" t="str">
            <v>D</v>
          </cell>
          <cell r="W621" t="str">
            <v>-</v>
          </cell>
          <cell r="X621" t="str">
            <v>CLP HC VG 150 = -40° + 40°</v>
          </cell>
          <cell r="Y621" t="str">
            <v>KH67/T DRN100L4 /RS</v>
          </cell>
          <cell r="Z621" t="str">
            <v>SEW</v>
          </cell>
          <cell r="AB621" t="str">
            <v>-</v>
          </cell>
          <cell r="AF621">
            <v>75</v>
          </cell>
          <cell r="AG621" t="str">
            <v>DRN100L4</v>
          </cell>
          <cell r="AH621" t="str">
            <v>KH67T-DRN100L4B270-X</v>
          </cell>
        </row>
        <row r="622">
          <cell r="A622" t="str">
            <v>MR000618</v>
          </cell>
          <cell r="B622" t="str">
            <v>MR</v>
          </cell>
          <cell r="C622">
            <v>15</v>
          </cell>
          <cell r="D622">
            <v>13</v>
          </cell>
          <cell r="E622" t="str">
            <v>KH127</v>
          </cell>
          <cell r="F622">
            <v>10700</v>
          </cell>
          <cell r="G622">
            <v>110.18</v>
          </cell>
          <cell r="H622">
            <v>1.2</v>
          </cell>
          <cell r="I622" t="str">
            <v>From M1A to M2A - 35°</v>
          </cell>
          <cell r="J622" t="str">
            <v>IE3</v>
          </cell>
          <cell r="K622" t="str">
            <v>400/690</v>
          </cell>
          <cell r="L622">
            <v>50</v>
          </cell>
          <cell r="M622" t="str">
            <v>29/16,7</v>
          </cell>
          <cell r="N622">
            <v>55</v>
          </cell>
          <cell r="O622" t="str">
            <v>F(105°C)</v>
          </cell>
          <cell r="P622" t="str">
            <v>270°</v>
          </cell>
          <cell r="Q622" t="str">
            <v>-</v>
          </cell>
          <cell r="R622" t="str">
            <v>-</v>
          </cell>
          <cell r="S622" t="str">
            <v>-</v>
          </cell>
          <cell r="T622" t="str">
            <v>-</v>
          </cell>
          <cell r="U622" t="str">
            <v>-</v>
          </cell>
          <cell r="V622" t="str">
            <v>SS</v>
          </cell>
          <cell r="W622" t="str">
            <v>-</v>
          </cell>
          <cell r="X622" t="str">
            <v>CLP HC VG 150 = -40° + 40°</v>
          </cell>
          <cell r="Y622" t="str">
            <v>KH127DRN160L4</v>
          </cell>
          <cell r="Z622" t="str">
            <v>SEW</v>
          </cell>
          <cell r="AB622" t="str">
            <v>-</v>
          </cell>
          <cell r="AE622" t="str">
            <v>4 POLES</v>
          </cell>
          <cell r="AF622">
            <v>13</v>
          </cell>
          <cell r="AG622" t="str">
            <v>DRN160L4</v>
          </cell>
          <cell r="AH622" t="str">
            <v>KH127-DRN160L4A270-X</v>
          </cell>
        </row>
        <row r="623">
          <cell r="A623" t="str">
            <v>MR000619</v>
          </cell>
          <cell r="B623" t="str">
            <v>MR</v>
          </cell>
          <cell r="C623">
            <v>0.25</v>
          </cell>
          <cell r="D623">
            <v>34</v>
          </cell>
          <cell r="E623" t="str">
            <v>FA37</v>
          </cell>
          <cell r="G623">
            <v>38.31</v>
          </cell>
          <cell r="I623" t="str">
            <v>M1</v>
          </cell>
          <cell r="J623" t="str">
            <v>-</v>
          </cell>
          <cell r="K623">
            <v>380</v>
          </cell>
          <cell r="L623">
            <v>50</v>
          </cell>
          <cell r="N623">
            <v>54</v>
          </cell>
          <cell r="O623" t="str">
            <v>F(105°C)</v>
          </cell>
          <cell r="P623" t="str">
            <v>270°</v>
          </cell>
          <cell r="Q623" t="str">
            <v>-</v>
          </cell>
          <cell r="R623" t="str">
            <v>-</v>
          </cell>
          <cell r="S623" t="str">
            <v>-</v>
          </cell>
          <cell r="T623" t="str">
            <v>-</v>
          </cell>
          <cell r="U623" t="str">
            <v>-</v>
          </cell>
          <cell r="V623" t="str">
            <v>-</v>
          </cell>
          <cell r="W623" t="str">
            <v>-</v>
          </cell>
          <cell r="X623" t="str">
            <v xml:space="preserve"> -</v>
          </cell>
          <cell r="Y623" t="str">
            <v>SEWF037C038.31A8AF4XXXXX</v>
          </cell>
          <cell r="Z623" t="str">
            <v>SEW</v>
          </cell>
          <cell r="AB623" t="str">
            <v>-</v>
          </cell>
          <cell r="AE623" t="str">
            <v>Motore a magazzino</v>
          </cell>
          <cell r="AF623">
            <v>34</v>
          </cell>
          <cell r="AG623" t="str">
            <v>DRN71MS4</v>
          </cell>
          <cell r="AH623" t="str">
            <v>FA37-DRN71MS4270-X</v>
          </cell>
        </row>
        <row r="624">
          <cell r="A624" t="str">
            <v>MR000620</v>
          </cell>
          <cell r="B624" t="str">
            <v>MR</v>
          </cell>
          <cell r="C624">
            <v>0.25</v>
          </cell>
          <cell r="D624">
            <v>28</v>
          </cell>
          <cell r="E624" t="str">
            <v>FA37</v>
          </cell>
          <cell r="F624">
            <v>86</v>
          </cell>
          <cell r="G624">
            <v>47.02</v>
          </cell>
          <cell r="H624">
            <v>2.2999999999999998</v>
          </cell>
          <cell r="I624" t="str">
            <v>M1</v>
          </cell>
          <cell r="J624" t="str">
            <v>IE1</v>
          </cell>
          <cell r="K624">
            <v>440</v>
          </cell>
          <cell r="L624">
            <v>60</v>
          </cell>
          <cell r="M624">
            <v>0.62</v>
          </cell>
          <cell r="N624">
            <v>54</v>
          </cell>
          <cell r="O624" t="str">
            <v>F(105°C)</v>
          </cell>
          <cell r="P624" t="str">
            <v>270°</v>
          </cell>
          <cell r="Q624" t="str">
            <v>-</v>
          </cell>
          <cell r="R624" t="str">
            <v>-</v>
          </cell>
          <cell r="S624" t="str">
            <v>-</v>
          </cell>
          <cell r="T624" t="str">
            <v>-</v>
          </cell>
          <cell r="U624" t="str">
            <v>G</v>
          </cell>
          <cell r="V624" t="str">
            <v>D</v>
          </cell>
          <cell r="W624" t="str">
            <v>-</v>
          </cell>
          <cell r="X624" t="str">
            <v>CLP (CC) VG 220 = -15° + 40°</v>
          </cell>
          <cell r="Y624" t="str">
            <v>FA37/G DRN71MS4</v>
          </cell>
          <cell r="Z624" t="str">
            <v>SEW</v>
          </cell>
          <cell r="AB624" t="str">
            <v>-</v>
          </cell>
          <cell r="AE624" t="str">
            <v>Motore a magazzino</v>
          </cell>
          <cell r="AF624">
            <v>33.6</v>
          </cell>
          <cell r="AG624" t="str">
            <v>DRN71MS4</v>
          </cell>
          <cell r="AH624" t="str">
            <v>FA37G-DRN71MS4270-X</v>
          </cell>
        </row>
        <row r="625">
          <cell r="A625" t="str">
            <v>MR000621</v>
          </cell>
          <cell r="B625" t="str">
            <v>MR</v>
          </cell>
          <cell r="C625">
            <v>0.55000000000000004</v>
          </cell>
          <cell r="D625">
            <v>17</v>
          </cell>
          <cell r="E625" t="str">
            <v>FA47</v>
          </cell>
          <cell r="G625">
            <v>79.72</v>
          </cell>
          <cell r="I625" t="str">
            <v>M5</v>
          </cell>
          <cell r="J625" t="str">
            <v>-</v>
          </cell>
          <cell r="K625" t="str">
            <v>230/400</v>
          </cell>
          <cell r="L625">
            <v>50</v>
          </cell>
          <cell r="N625">
            <v>54</v>
          </cell>
          <cell r="O625" t="str">
            <v>F(105°C)</v>
          </cell>
          <cell r="P625" t="str">
            <v>270°</v>
          </cell>
          <cell r="Q625" t="str">
            <v>-</v>
          </cell>
          <cell r="R625" t="str">
            <v>-</v>
          </cell>
          <cell r="S625" t="str">
            <v>-</v>
          </cell>
          <cell r="T625" t="str">
            <v>-</v>
          </cell>
          <cell r="U625" t="str">
            <v>-</v>
          </cell>
          <cell r="V625" t="str">
            <v>-</v>
          </cell>
          <cell r="W625" t="str">
            <v>-</v>
          </cell>
          <cell r="X625" t="str">
            <v xml:space="preserve"> -</v>
          </cell>
          <cell r="Y625" t="str">
            <v>SEWF047E079.72E0AB4XXXXX</v>
          </cell>
          <cell r="Z625" t="str">
            <v>SEW</v>
          </cell>
          <cell r="AB625" t="str">
            <v>-</v>
          </cell>
          <cell r="AE625" t="str">
            <v>Motore a magazzino</v>
          </cell>
          <cell r="AF625">
            <v>17</v>
          </cell>
          <cell r="AG625" t="str">
            <v>DRS71M4</v>
          </cell>
          <cell r="AH625" t="str">
            <v>FA47-DRS71M4270-X</v>
          </cell>
        </row>
        <row r="626">
          <cell r="A626" t="str">
            <v>MR000622</v>
          </cell>
          <cell r="B626" t="str">
            <v>MR</v>
          </cell>
          <cell r="C626">
            <v>3</v>
          </cell>
          <cell r="E626" t="str">
            <v>FA57</v>
          </cell>
          <cell r="G626">
            <v>15.88</v>
          </cell>
          <cell r="I626" t="str">
            <v>M1</v>
          </cell>
          <cell r="J626" t="str">
            <v>-</v>
          </cell>
          <cell r="K626" t="str">
            <v>230/400</v>
          </cell>
          <cell r="L626">
            <v>50</v>
          </cell>
          <cell r="N626">
            <v>55</v>
          </cell>
          <cell r="O626" t="str">
            <v>F(105°C)</v>
          </cell>
          <cell r="P626" t="str">
            <v>270°</v>
          </cell>
          <cell r="Q626" t="str">
            <v>-</v>
          </cell>
          <cell r="R626" t="str">
            <v>-</v>
          </cell>
          <cell r="S626" t="str">
            <v>-</v>
          </cell>
          <cell r="T626" t="str">
            <v>-</v>
          </cell>
          <cell r="U626" t="str">
            <v>-</v>
          </cell>
          <cell r="V626" t="str">
            <v>-</v>
          </cell>
          <cell r="W626" t="str">
            <v>-</v>
          </cell>
          <cell r="X626" t="str">
            <v xml:space="preserve"> -</v>
          </cell>
          <cell r="Y626" t="str">
            <v>SEWF057K015.88A0AF5XXXXX</v>
          </cell>
          <cell r="Z626" t="str">
            <v>SEW</v>
          </cell>
          <cell r="AB626" t="str">
            <v>-</v>
          </cell>
          <cell r="AE626" t="str">
            <v>Motore a magazzino</v>
          </cell>
          <cell r="AF626">
            <v>0</v>
          </cell>
          <cell r="AG626" t="str">
            <v>DRN100L4</v>
          </cell>
          <cell r="AH626" t="str">
            <v>FA57-DRN100L4270-X</v>
          </cell>
        </row>
        <row r="627">
          <cell r="A627" t="str">
            <v>MR000623</v>
          </cell>
          <cell r="B627" t="str">
            <v>MR</v>
          </cell>
          <cell r="C627">
            <v>1.1000000000000001</v>
          </cell>
          <cell r="D627">
            <v>36</v>
          </cell>
          <cell r="E627" t="str">
            <v>FA67</v>
          </cell>
          <cell r="G627">
            <v>39.26</v>
          </cell>
          <cell r="I627" t="str">
            <v>M1</v>
          </cell>
          <cell r="J627" t="str">
            <v>-</v>
          </cell>
          <cell r="K627" t="str">
            <v>230/400</v>
          </cell>
          <cell r="L627">
            <v>50</v>
          </cell>
          <cell r="N627">
            <v>54</v>
          </cell>
          <cell r="O627" t="str">
            <v>F(105°C)</v>
          </cell>
          <cell r="P627" t="str">
            <v>270°</v>
          </cell>
          <cell r="Q627" t="str">
            <v>-</v>
          </cell>
          <cell r="R627" t="str">
            <v>-</v>
          </cell>
          <cell r="S627" t="str">
            <v>-</v>
          </cell>
          <cell r="T627" t="str">
            <v>-</v>
          </cell>
          <cell r="U627" t="str">
            <v>-</v>
          </cell>
          <cell r="V627" t="str">
            <v>-</v>
          </cell>
          <cell r="W627" t="str">
            <v>-</v>
          </cell>
          <cell r="X627" t="str">
            <v xml:space="preserve"> -</v>
          </cell>
          <cell r="Y627" t="str">
            <v>SEWF067G039.26A0AF4XXXXX</v>
          </cell>
          <cell r="Z627" t="str">
            <v>SEW</v>
          </cell>
          <cell r="AB627" t="str">
            <v>-</v>
          </cell>
          <cell r="AE627" t="str">
            <v>Motore a magazzino</v>
          </cell>
          <cell r="AF627">
            <v>36</v>
          </cell>
          <cell r="AG627" t="str">
            <v>DRN90S4</v>
          </cell>
          <cell r="AH627" t="str">
            <v>FA67-DRN90S4270-X</v>
          </cell>
        </row>
        <row r="628">
          <cell r="A628" t="str">
            <v>MR000624</v>
          </cell>
          <cell r="B628" t="str">
            <v>MR</v>
          </cell>
          <cell r="C628">
            <v>1.1000000000000001</v>
          </cell>
          <cell r="D628">
            <v>21</v>
          </cell>
          <cell r="E628" t="str">
            <v>FA67</v>
          </cell>
          <cell r="G628">
            <v>67.650000000000006</v>
          </cell>
          <cell r="I628" t="str">
            <v>M6</v>
          </cell>
          <cell r="J628" t="str">
            <v>-</v>
          </cell>
          <cell r="K628" t="str">
            <v>230/400</v>
          </cell>
          <cell r="L628">
            <v>50</v>
          </cell>
          <cell r="N628">
            <v>55</v>
          </cell>
          <cell r="O628" t="str">
            <v>F(105°C)</v>
          </cell>
          <cell r="P628" t="str">
            <v>270°</v>
          </cell>
          <cell r="Q628" t="str">
            <v>-</v>
          </cell>
          <cell r="R628" t="str">
            <v>-</v>
          </cell>
          <cell r="S628" t="str">
            <v>-</v>
          </cell>
          <cell r="T628" t="str">
            <v>-</v>
          </cell>
          <cell r="U628" t="str">
            <v>-</v>
          </cell>
          <cell r="V628" t="str">
            <v>-</v>
          </cell>
          <cell r="W628" t="str">
            <v>-</v>
          </cell>
          <cell r="X628" t="str">
            <v xml:space="preserve"> -</v>
          </cell>
          <cell r="Y628" t="str">
            <v>SEWF067G067.65F0AF5XXBXX</v>
          </cell>
          <cell r="Z628" t="str">
            <v>SEW</v>
          </cell>
          <cell r="AB628" t="str">
            <v>-</v>
          </cell>
          <cell r="AE628" t="str">
            <v>Motore a magazzino</v>
          </cell>
          <cell r="AF628">
            <v>21</v>
          </cell>
          <cell r="AG628" t="str">
            <v>DRN90S4</v>
          </cell>
          <cell r="AH628" t="str">
            <v>FA67-DRN90S4270-X</v>
          </cell>
        </row>
        <row r="629">
          <cell r="A629" t="str">
            <v>MR000625</v>
          </cell>
          <cell r="B629" t="str">
            <v>MR</v>
          </cell>
          <cell r="C629">
            <v>1.5</v>
          </cell>
          <cell r="E629" t="str">
            <v>FA67</v>
          </cell>
          <cell r="G629">
            <v>67.650000000000006</v>
          </cell>
          <cell r="I629" t="str">
            <v>M6</v>
          </cell>
          <cell r="J629" t="str">
            <v>-</v>
          </cell>
          <cell r="K629">
            <v>380</v>
          </cell>
          <cell r="L629">
            <v>50</v>
          </cell>
          <cell r="N629">
            <v>55</v>
          </cell>
          <cell r="O629" t="str">
            <v>F(105°C)</v>
          </cell>
          <cell r="P629" t="str">
            <v>270°</v>
          </cell>
          <cell r="Q629" t="str">
            <v>-</v>
          </cell>
          <cell r="R629" t="str">
            <v>-</v>
          </cell>
          <cell r="S629" t="str">
            <v>-</v>
          </cell>
          <cell r="T629" t="str">
            <v>-</v>
          </cell>
          <cell r="U629" t="str">
            <v>-</v>
          </cell>
          <cell r="V629" t="str">
            <v>-</v>
          </cell>
          <cell r="W629" t="str">
            <v>-</v>
          </cell>
          <cell r="X629" t="str">
            <v xml:space="preserve"> -</v>
          </cell>
          <cell r="Y629" t="str">
            <v>SEWF067H067.65F8AF5XXBXX</v>
          </cell>
          <cell r="Z629" t="str">
            <v>SEW</v>
          </cell>
          <cell r="AB629" t="str">
            <v>-</v>
          </cell>
          <cell r="AE629" t="str">
            <v>Motore a magazzino</v>
          </cell>
          <cell r="AF629">
            <v>0</v>
          </cell>
          <cell r="AG629" t="str">
            <v>DRN90L4</v>
          </cell>
          <cell r="AH629" t="str">
            <v>FA67-DRN90L4270-X</v>
          </cell>
        </row>
        <row r="630">
          <cell r="A630" t="str">
            <v>MR000626</v>
          </cell>
          <cell r="B630" t="str">
            <v>MR</v>
          </cell>
          <cell r="C630">
            <v>5.5</v>
          </cell>
          <cell r="D630">
            <v>186</v>
          </cell>
          <cell r="E630" t="str">
            <v>FA67</v>
          </cell>
          <cell r="G630">
            <v>7.53</v>
          </cell>
          <cell r="I630" t="str">
            <v>M4</v>
          </cell>
          <cell r="J630" t="str">
            <v>-</v>
          </cell>
          <cell r="K630" t="str">
            <v>230/400</v>
          </cell>
          <cell r="L630">
            <v>50</v>
          </cell>
          <cell r="N630">
            <v>65</v>
          </cell>
          <cell r="O630" t="str">
            <v>F(105°C)</v>
          </cell>
          <cell r="P630" t="str">
            <v>270°</v>
          </cell>
          <cell r="Q630" t="str">
            <v>-</v>
          </cell>
          <cell r="R630" t="str">
            <v>-</v>
          </cell>
          <cell r="S630" t="str">
            <v>-</v>
          </cell>
          <cell r="T630" t="str">
            <v>-</v>
          </cell>
          <cell r="U630" t="str">
            <v>-</v>
          </cell>
          <cell r="V630" t="str">
            <v>-</v>
          </cell>
          <cell r="W630" t="str">
            <v>-</v>
          </cell>
          <cell r="X630" t="str">
            <v xml:space="preserve"> -</v>
          </cell>
          <cell r="Y630" t="str">
            <v>SEWF067M007.53D0AF6XXXXX</v>
          </cell>
          <cell r="Z630" t="str">
            <v>SEW</v>
          </cell>
          <cell r="AB630" t="str">
            <v>-</v>
          </cell>
          <cell r="AE630" t="str">
            <v>Motore a magazzino</v>
          </cell>
          <cell r="AF630">
            <v>186</v>
          </cell>
          <cell r="AG630" t="str">
            <v>DRN132S4</v>
          </cell>
          <cell r="AH630" t="str">
            <v>FA67-DRN132S4270-X</v>
          </cell>
        </row>
        <row r="631">
          <cell r="A631" t="str">
            <v>MR000627</v>
          </cell>
          <cell r="B631" t="str">
            <v>MR</v>
          </cell>
          <cell r="C631">
            <v>0.75</v>
          </cell>
          <cell r="D631">
            <v>155</v>
          </cell>
          <cell r="E631" t="str">
            <v>KA37</v>
          </cell>
          <cell r="G631">
            <v>8.91</v>
          </cell>
          <cell r="I631" t="str">
            <v>M1B</v>
          </cell>
          <cell r="J631" t="str">
            <v>-</v>
          </cell>
          <cell r="K631" t="str">
            <v>230/400</v>
          </cell>
          <cell r="L631">
            <v>50</v>
          </cell>
          <cell r="N631">
            <v>54</v>
          </cell>
          <cell r="O631" t="str">
            <v>F(105°C)</v>
          </cell>
          <cell r="P631" t="str">
            <v>270°</v>
          </cell>
          <cell r="Q631" t="str">
            <v>-</v>
          </cell>
          <cell r="R631" t="str">
            <v>-</v>
          </cell>
          <cell r="S631" t="str">
            <v>-</v>
          </cell>
          <cell r="T631" t="str">
            <v>-</v>
          </cell>
          <cell r="U631" t="str">
            <v>-</v>
          </cell>
          <cell r="V631" t="str">
            <v>-</v>
          </cell>
          <cell r="W631" t="str">
            <v>-</v>
          </cell>
          <cell r="X631" t="str">
            <v xml:space="preserve"> -</v>
          </cell>
          <cell r="Y631" t="str">
            <v>SEWK037F008.91N0AF4XXXXX</v>
          </cell>
          <cell r="Z631" t="str">
            <v>SEW</v>
          </cell>
          <cell r="AB631" t="str">
            <v>-</v>
          </cell>
          <cell r="AE631" t="str">
            <v>Motore a magazzino</v>
          </cell>
          <cell r="AF631">
            <v>155</v>
          </cell>
          <cell r="AG631" t="str">
            <v>DRN80M4</v>
          </cell>
          <cell r="AH631" t="str">
            <v>KA37-DRN80M4B270-X</v>
          </cell>
        </row>
        <row r="632">
          <cell r="A632" t="str">
            <v>MR000628</v>
          </cell>
          <cell r="B632" t="str">
            <v>MR</v>
          </cell>
          <cell r="C632">
            <v>3</v>
          </cell>
          <cell r="D632">
            <v>13</v>
          </cell>
          <cell r="E632" t="str">
            <v>KA77</v>
          </cell>
          <cell r="G632">
            <v>30.89</v>
          </cell>
          <cell r="I632" t="str">
            <v>M4B</v>
          </cell>
          <cell r="J632" t="str">
            <v>-</v>
          </cell>
          <cell r="K632" t="str">
            <v>240/415</v>
          </cell>
          <cell r="L632">
            <v>50</v>
          </cell>
          <cell r="N632">
            <v>65</v>
          </cell>
          <cell r="O632" t="str">
            <v>F(105°C)</v>
          </cell>
          <cell r="P632" t="str">
            <v>270°</v>
          </cell>
          <cell r="Q632" t="str">
            <v>-</v>
          </cell>
          <cell r="R632" t="str">
            <v>-</v>
          </cell>
          <cell r="S632" t="str">
            <v>-</v>
          </cell>
          <cell r="T632" t="str">
            <v>-</v>
          </cell>
          <cell r="U632" t="str">
            <v>-</v>
          </cell>
          <cell r="V632" t="str">
            <v>-</v>
          </cell>
          <cell r="W632" t="str">
            <v>-</v>
          </cell>
          <cell r="X632" t="str">
            <v xml:space="preserve"> -</v>
          </cell>
          <cell r="Y632" t="str">
            <v>SEWK077K030.89R1AF5XXXXX</v>
          </cell>
          <cell r="Z632" t="str">
            <v>SEW</v>
          </cell>
          <cell r="AB632" t="str">
            <v>-</v>
          </cell>
          <cell r="AE632" t="str">
            <v>Motore a magazzino</v>
          </cell>
          <cell r="AF632">
            <v>13</v>
          </cell>
          <cell r="AG632" t="str">
            <v>DRN100L4</v>
          </cell>
          <cell r="AH632" t="str">
            <v>KA77-DRN100L4B270-X</v>
          </cell>
        </row>
        <row r="633">
          <cell r="A633" t="str">
            <v>MR000629</v>
          </cell>
          <cell r="B633" t="str">
            <v>MR</v>
          </cell>
          <cell r="C633">
            <v>7.5</v>
          </cell>
          <cell r="E633" t="str">
            <v>KA77</v>
          </cell>
          <cell r="G633">
            <v>25.62</v>
          </cell>
          <cell r="I633" t="str">
            <v>M4B</v>
          </cell>
          <cell r="J633" t="str">
            <v>-</v>
          </cell>
          <cell r="K633" t="str">
            <v>400/690</v>
          </cell>
          <cell r="L633">
            <v>50</v>
          </cell>
          <cell r="N633">
            <v>54</v>
          </cell>
          <cell r="O633" t="str">
            <v>F(105°C)</v>
          </cell>
          <cell r="P633" t="str">
            <v>270°</v>
          </cell>
          <cell r="Q633" t="str">
            <v>-</v>
          </cell>
          <cell r="R633" t="str">
            <v>-</v>
          </cell>
          <cell r="S633" t="str">
            <v>RS</v>
          </cell>
          <cell r="T633" t="str">
            <v>-</v>
          </cell>
          <cell r="U633" t="str">
            <v>-</v>
          </cell>
          <cell r="V633" t="str">
            <v>-</v>
          </cell>
          <cell r="W633" t="str">
            <v>-</v>
          </cell>
          <cell r="X633" t="str">
            <v xml:space="preserve"> -</v>
          </cell>
          <cell r="Y633" t="str">
            <v>SEWK077N025.62R4AF4X1XXX</v>
          </cell>
          <cell r="Z633" t="str">
            <v>SEW</v>
          </cell>
          <cell r="AB633" t="str">
            <v>-</v>
          </cell>
          <cell r="AE633" t="str">
            <v>Motore a magazzino</v>
          </cell>
          <cell r="AF633">
            <v>0</v>
          </cell>
          <cell r="AG633" t="str">
            <v>DRN132M4</v>
          </cell>
          <cell r="AH633" t="str">
            <v>KA77-DRN132M4B270-X</v>
          </cell>
        </row>
        <row r="634">
          <cell r="A634" t="str">
            <v>MR000630</v>
          </cell>
          <cell r="B634" t="str">
            <v>MR</v>
          </cell>
          <cell r="C634">
            <v>7.5</v>
          </cell>
          <cell r="D634">
            <v>56</v>
          </cell>
          <cell r="E634" t="str">
            <v>KA77</v>
          </cell>
          <cell r="G634">
            <v>25.62</v>
          </cell>
          <cell r="I634" t="str">
            <v>M4B</v>
          </cell>
          <cell r="J634" t="str">
            <v>-</v>
          </cell>
          <cell r="K634" t="str">
            <v>400/690</v>
          </cell>
          <cell r="L634">
            <v>50</v>
          </cell>
          <cell r="N634">
            <v>54</v>
          </cell>
          <cell r="O634" t="str">
            <v>F(105°C)</v>
          </cell>
          <cell r="P634" t="str">
            <v>270°</v>
          </cell>
          <cell r="Q634" t="str">
            <v>-</v>
          </cell>
          <cell r="R634" t="str">
            <v>-</v>
          </cell>
          <cell r="S634" t="str">
            <v>-</v>
          </cell>
          <cell r="T634" t="str">
            <v>-</v>
          </cell>
          <cell r="U634" t="str">
            <v>-</v>
          </cell>
          <cell r="V634" t="str">
            <v>-</v>
          </cell>
          <cell r="W634" t="str">
            <v>-</v>
          </cell>
          <cell r="X634" t="str">
            <v xml:space="preserve"> -</v>
          </cell>
          <cell r="Y634" t="str">
            <v>SEWK077N025.62R4AF4XXXXX</v>
          </cell>
          <cell r="Z634" t="str">
            <v>SEW</v>
          </cell>
          <cell r="AB634" t="str">
            <v>-</v>
          </cell>
          <cell r="AE634" t="str">
            <v>Motore a magazzino</v>
          </cell>
          <cell r="AF634">
            <v>56</v>
          </cell>
          <cell r="AG634" t="str">
            <v>DRN132M4</v>
          </cell>
          <cell r="AH634" t="str">
            <v>KA77-DRN132M4B270-X</v>
          </cell>
        </row>
        <row r="635">
          <cell r="A635" t="str">
            <v>MR000631</v>
          </cell>
          <cell r="B635" t="str">
            <v>MR</v>
          </cell>
          <cell r="C635">
            <v>0.37</v>
          </cell>
          <cell r="D635">
            <v>3.2</v>
          </cell>
          <cell r="E635" t="str">
            <v>KA77R37</v>
          </cell>
          <cell r="G635">
            <v>428</v>
          </cell>
          <cell r="I635" t="str">
            <v>M3A</v>
          </cell>
          <cell r="J635" t="str">
            <v>-</v>
          </cell>
          <cell r="K635" t="str">
            <v>230/400</v>
          </cell>
          <cell r="L635">
            <v>50</v>
          </cell>
          <cell r="N635">
            <v>54</v>
          </cell>
          <cell r="O635" t="str">
            <v>F(105°C)</v>
          </cell>
          <cell r="P635" t="str">
            <v>270°</v>
          </cell>
          <cell r="Q635" t="str">
            <v>-</v>
          </cell>
          <cell r="R635" t="str">
            <v>-</v>
          </cell>
          <cell r="S635" t="str">
            <v>-</v>
          </cell>
          <cell r="T635" t="str">
            <v>-</v>
          </cell>
          <cell r="U635" t="str">
            <v>-</v>
          </cell>
          <cell r="V635" t="str">
            <v>-</v>
          </cell>
          <cell r="W635" t="str">
            <v>-</v>
          </cell>
          <cell r="X635" t="str">
            <v xml:space="preserve"> -</v>
          </cell>
          <cell r="Y635" t="str">
            <v>SEWK077R037D428.00J0AF4XXBXX</v>
          </cell>
          <cell r="Z635" t="str">
            <v>SEW</v>
          </cell>
          <cell r="AB635" t="str">
            <v>-</v>
          </cell>
          <cell r="AE635" t="str">
            <v>Motore a magazzino</v>
          </cell>
          <cell r="AF635">
            <v>3.2</v>
          </cell>
          <cell r="AG635" t="str">
            <v>DRS71S4</v>
          </cell>
          <cell r="AH635" t="str">
            <v>KA77R37-DRS71S4A270-X</v>
          </cell>
        </row>
        <row r="636">
          <cell r="A636" t="str">
            <v>MR000632</v>
          </cell>
          <cell r="B636" t="str">
            <v>MR</v>
          </cell>
          <cell r="C636">
            <v>9.1999999999999993</v>
          </cell>
          <cell r="E636" t="str">
            <v>KA87</v>
          </cell>
          <cell r="G636">
            <v>24.92</v>
          </cell>
          <cell r="I636" t="str">
            <v>M4A</v>
          </cell>
          <cell r="J636" t="str">
            <v>-</v>
          </cell>
          <cell r="K636" t="str">
            <v>230/400</v>
          </cell>
          <cell r="L636">
            <v>50</v>
          </cell>
          <cell r="N636">
            <v>55</v>
          </cell>
          <cell r="O636" t="str">
            <v>F(105°C)</v>
          </cell>
          <cell r="P636" t="str">
            <v>180°</v>
          </cell>
          <cell r="Q636" t="str">
            <v>TF</v>
          </cell>
          <cell r="R636" t="str">
            <v>-</v>
          </cell>
          <cell r="S636" t="str">
            <v>RS</v>
          </cell>
          <cell r="T636" t="str">
            <v>-</v>
          </cell>
          <cell r="U636" t="str">
            <v>-</v>
          </cell>
          <cell r="V636" t="str">
            <v>-</v>
          </cell>
          <cell r="W636" t="str">
            <v>-</v>
          </cell>
          <cell r="X636" t="str">
            <v xml:space="preserve"> -</v>
          </cell>
          <cell r="Y636" t="str">
            <v>SEWK087P024.92K0AF5T2XXX</v>
          </cell>
          <cell r="Z636" t="str">
            <v>SEW</v>
          </cell>
          <cell r="AB636" t="str">
            <v>-</v>
          </cell>
          <cell r="AE636" t="str">
            <v>Motore a magazzino</v>
          </cell>
          <cell r="AF636">
            <v>0</v>
          </cell>
          <cell r="AG636" t="str">
            <v>DRN132L4</v>
          </cell>
          <cell r="AH636" t="str">
            <v>KA87-DRN132L4A180-X</v>
          </cell>
        </row>
        <row r="637">
          <cell r="A637" t="str">
            <v>MR000633</v>
          </cell>
          <cell r="B637" t="str">
            <v>MR</v>
          </cell>
          <cell r="C637">
            <v>11</v>
          </cell>
          <cell r="E637" t="str">
            <v>KA107</v>
          </cell>
          <cell r="G637">
            <v>100.8</v>
          </cell>
          <cell r="I637" t="str">
            <v>M1B</v>
          </cell>
          <cell r="J637" t="str">
            <v>-</v>
          </cell>
          <cell r="K637" t="str">
            <v>400/690</v>
          </cell>
          <cell r="L637">
            <v>50</v>
          </cell>
          <cell r="N637">
            <v>55</v>
          </cell>
          <cell r="O637" t="str">
            <v>F(105°C)</v>
          </cell>
          <cell r="P637" t="str">
            <v>0°</v>
          </cell>
          <cell r="Q637" t="str">
            <v>-</v>
          </cell>
          <cell r="R637" t="str">
            <v>-</v>
          </cell>
          <cell r="S637" t="str">
            <v>-</v>
          </cell>
          <cell r="T637" t="str">
            <v>-</v>
          </cell>
          <cell r="U637" t="str">
            <v>-</v>
          </cell>
          <cell r="V637" t="str">
            <v>-</v>
          </cell>
          <cell r="W637" t="str">
            <v>-</v>
          </cell>
          <cell r="X637" t="str">
            <v xml:space="preserve"> -</v>
          </cell>
          <cell r="Y637" t="str">
            <v>SEWK107Q100.80N4AF5XXXXX</v>
          </cell>
          <cell r="Z637" t="str">
            <v>SEW</v>
          </cell>
          <cell r="AB637" t="str">
            <v>-</v>
          </cell>
          <cell r="AE637" t="str">
            <v>Motore a magazzino</v>
          </cell>
          <cell r="AF637">
            <v>0</v>
          </cell>
          <cell r="AG637" t="str">
            <v>DRN160M4</v>
          </cell>
          <cell r="AH637" t="str">
            <v>KA107-DRN160M4B0-X</v>
          </cell>
        </row>
        <row r="638">
          <cell r="A638" t="str">
            <v>MR000634</v>
          </cell>
          <cell r="B638" t="str">
            <v>MR</v>
          </cell>
          <cell r="C638">
            <v>22</v>
          </cell>
          <cell r="E638" t="str">
            <v>KA107</v>
          </cell>
          <cell r="G638">
            <v>22.62</v>
          </cell>
          <cell r="I638" t="str">
            <v>M3B</v>
          </cell>
          <cell r="J638" t="str">
            <v>-</v>
          </cell>
          <cell r="K638" t="str">
            <v>400/690</v>
          </cell>
          <cell r="L638">
            <v>50</v>
          </cell>
          <cell r="N638">
            <v>55</v>
          </cell>
          <cell r="O638" t="str">
            <v>F(105°C)</v>
          </cell>
          <cell r="P638" t="str">
            <v>-</v>
          </cell>
          <cell r="Q638" t="str">
            <v>TF</v>
          </cell>
          <cell r="R638" t="str">
            <v>-</v>
          </cell>
          <cell r="S638" t="str">
            <v>RS</v>
          </cell>
          <cell r="T638" t="str">
            <v>-</v>
          </cell>
          <cell r="U638" t="str">
            <v>-</v>
          </cell>
          <cell r="V638" t="str">
            <v>-</v>
          </cell>
          <cell r="W638" t="str">
            <v>-</v>
          </cell>
          <cell r="X638" t="str">
            <v xml:space="preserve"> -</v>
          </cell>
          <cell r="Y638" t="str">
            <v>SEWK107T022.62Q4AF5T1XXV</v>
          </cell>
          <cell r="Z638" t="str">
            <v>SEW</v>
          </cell>
          <cell r="AB638" t="str">
            <v>-</v>
          </cell>
          <cell r="AE638" t="str">
            <v>Motore a magazzino</v>
          </cell>
          <cell r="AF638">
            <v>0</v>
          </cell>
          <cell r="AG638" t="str">
            <v>DRN180L4</v>
          </cell>
          <cell r="AH638" t="str">
            <v>KA107-DRN180L4B--X</v>
          </cell>
        </row>
        <row r="639">
          <cell r="A639" t="str">
            <v>MR000635</v>
          </cell>
          <cell r="B639" t="str">
            <v>MR</v>
          </cell>
          <cell r="C639">
            <v>1.5</v>
          </cell>
          <cell r="D639">
            <v>3.7</v>
          </cell>
          <cell r="E639" t="str">
            <v>KA97R57</v>
          </cell>
          <cell r="G639">
            <v>382</v>
          </cell>
          <cell r="I639" t="str">
            <v>M3B</v>
          </cell>
          <cell r="J639" t="str">
            <v>-</v>
          </cell>
          <cell r="K639" t="str">
            <v>400/690</v>
          </cell>
          <cell r="L639">
            <v>50</v>
          </cell>
          <cell r="N639">
            <v>55</v>
          </cell>
          <cell r="O639" t="str">
            <v>F(105°C)</v>
          </cell>
          <cell r="P639" t="str">
            <v>270°</v>
          </cell>
          <cell r="Q639" t="str">
            <v>-</v>
          </cell>
          <cell r="R639" t="str">
            <v>-</v>
          </cell>
          <cell r="S639" t="str">
            <v>-</v>
          </cell>
          <cell r="T639" t="str">
            <v>-</v>
          </cell>
          <cell r="U639" t="str">
            <v>-</v>
          </cell>
          <cell r="V639" t="str">
            <v>-</v>
          </cell>
          <cell r="W639" t="str">
            <v>-</v>
          </cell>
          <cell r="X639" t="str">
            <v xml:space="preserve"> -</v>
          </cell>
          <cell r="Y639" t="str">
            <v>SEWKA97R57H382.00Q0AF5XXBXX</v>
          </cell>
          <cell r="Z639" t="str">
            <v>SEW</v>
          </cell>
          <cell r="AB639" t="str">
            <v>-</v>
          </cell>
          <cell r="AE639" t="str">
            <v>Motore a magazzino</v>
          </cell>
          <cell r="AF639">
            <v>3.7</v>
          </cell>
          <cell r="AG639" t="str">
            <v>DRN90L4</v>
          </cell>
          <cell r="AH639" t="str">
            <v>KA97R57-DRN90L4B270-X</v>
          </cell>
        </row>
        <row r="640">
          <cell r="A640" t="str">
            <v>MR000636</v>
          </cell>
          <cell r="B640" t="str">
            <v>MR</v>
          </cell>
          <cell r="C640">
            <v>15</v>
          </cell>
          <cell r="D640">
            <v>16</v>
          </cell>
          <cell r="E640" t="str">
            <v>KH127</v>
          </cell>
          <cell r="G640">
            <v>89.89</v>
          </cell>
          <cell r="I640" t="str">
            <v>M4A</v>
          </cell>
          <cell r="J640" t="str">
            <v>-</v>
          </cell>
          <cell r="K640" t="str">
            <v>230/400</v>
          </cell>
          <cell r="L640">
            <v>50</v>
          </cell>
          <cell r="N640">
            <v>55</v>
          </cell>
          <cell r="O640" t="str">
            <v>F(105°C)</v>
          </cell>
          <cell r="P640" t="str">
            <v>270°</v>
          </cell>
          <cell r="Q640" t="str">
            <v>-</v>
          </cell>
          <cell r="R640" t="str">
            <v>-</v>
          </cell>
          <cell r="S640" t="str">
            <v>-</v>
          </cell>
          <cell r="T640" t="str">
            <v>-</v>
          </cell>
          <cell r="U640" t="str">
            <v>-</v>
          </cell>
          <cell r="V640" t="str">
            <v>-</v>
          </cell>
          <cell r="W640" t="str">
            <v>-</v>
          </cell>
          <cell r="X640" t="str">
            <v xml:space="preserve"> -</v>
          </cell>
          <cell r="Y640" t="str">
            <v>SEWKH127R089.89K4AF5XXXXX</v>
          </cell>
          <cell r="Z640" t="str">
            <v>SEW</v>
          </cell>
          <cell r="AB640" t="str">
            <v>-</v>
          </cell>
          <cell r="AE640" t="str">
            <v>Motore a magazzino</v>
          </cell>
          <cell r="AF640">
            <v>16</v>
          </cell>
          <cell r="AG640" t="str">
            <v>DRN160L4</v>
          </cell>
          <cell r="AH640" t="str">
            <v>KH127-DRN160L4A270-X</v>
          </cell>
        </row>
        <row r="641">
          <cell r="A641" t="str">
            <v>MR000637</v>
          </cell>
          <cell r="B641" t="str">
            <v>ME</v>
          </cell>
          <cell r="C641">
            <v>0.18</v>
          </cell>
          <cell r="E641" t="str">
            <v>DFR63M4TFII3D</v>
          </cell>
          <cell r="I641" t="str">
            <v>B5</v>
          </cell>
          <cell r="J641" t="str">
            <v>-</v>
          </cell>
          <cell r="K641" t="str">
            <v>230/400</v>
          </cell>
          <cell r="L641">
            <v>50</v>
          </cell>
          <cell r="N641" t="str">
            <v>-</v>
          </cell>
          <cell r="O641" t="str">
            <v>F(105°C)</v>
          </cell>
          <cell r="P641" t="str">
            <v>-</v>
          </cell>
          <cell r="Q641" t="str">
            <v>TF</v>
          </cell>
          <cell r="R641" t="str">
            <v>-</v>
          </cell>
          <cell r="S641" t="str">
            <v>-</v>
          </cell>
          <cell r="T641" t="str">
            <v>-</v>
          </cell>
          <cell r="U641" t="str">
            <v>-</v>
          </cell>
          <cell r="V641" t="str">
            <v>-</v>
          </cell>
          <cell r="W641" t="str">
            <v>-</v>
          </cell>
          <cell r="X641" t="str">
            <v xml:space="preserve"> -</v>
          </cell>
          <cell r="Y641" t="str">
            <v>SEWMOTDFR63M4TFII33D</v>
          </cell>
          <cell r="Z641" t="str">
            <v>SEW</v>
          </cell>
          <cell r="AB641" t="str">
            <v>-</v>
          </cell>
          <cell r="AE641" t="str">
            <v>Motore a magazzino</v>
          </cell>
          <cell r="AF641">
            <v>0</v>
          </cell>
          <cell r="AG641" t="str">
            <v>DRN63M4</v>
          </cell>
          <cell r="AH641" t="str">
            <v>DFR63M4TFII3D-DRN63M4B--X</v>
          </cell>
        </row>
        <row r="642">
          <cell r="A642" t="str">
            <v>MR000638</v>
          </cell>
          <cell r="B642" t="str">
            <v>ME</v>
          </cell>
          <cell r="C642">
            <v>15</v>
          </cell>
          <cell r="E642" t="str">
            <v>DFV160L4</v>
          </cell>
          <cell r="I642" t="str">
            <v>B5</v>
          </cell>
          <cell r="J642" t="str">
            <v>-</v>
          </cell>
          <cell r="K642" t="str">
            <v>400/690</v>
          </cell>
          <cell r="L642">
            <v>50</v>
          </cell>
          <cell r="N642" t="str">
            <v>-</v>
          </cell>
          <cell r="O642" t="str">
            <v>F(105°C)</v>
          </cell>
          <cell r="P642" t="str">
            <v>-</v>
          </cell>
          <cell r="Q642" t="str">
            <v>-</v>
          </cell>
          <cell r="R642" t="str">
            <v>-</v>
          </cell>
          <cell r="S642" t="str">
            <v>-</v>
          </cell>
          <cell r="T642" t="str">
            <v>-</v>
          </cell>
          <cell r="U642" t="str">
            <v>-</v>
          </cell>
          <cell r="V642" t="str">
            <v>-</v>
          </cell>
          <cell r="W642" t="str">
            <v>-</v>
          </cell>
          <cell r="X642" t="str">
            <v xml:space="preserve"> -</v>
          </cell>
          <cell r="Y642" t="str">
            <v>SEWMOTDFV160L4KW15B5F400-690</v>
          </cell>
          <cell r="Z642" t="str">
            <v>SEW</v>
          </cell>
          <cell r="AB642" t="str">
            <v>-</v>
          </cell>
          <cell r="AE642" t="str">
            <v>Motore a magazzino</v>
          </cell>
          <cell r="AF642">
            <v>0</v>
          </cell>
          <cell r="AG642" t="str">
            <v>DRN160L4</v>
          </cell>
          <cell r="AH642" t="str">
            <v>DFV160L4-DRN160L4B--X</v>
          </cell>
        </row>
        <row r="643">
          <cell r="A643" t="str">
            <v>MR000639</v>
          </cell>
          <cell r="B643" t="str">
            <v>ME</v>
          </cell>
          <cell r="C643">
            <v>37</v>
          </cell>
          <cell r="E643" t="str">
            <v>DFV225S4</v>
          </cell>
          <cell r="I643" t="str">
            <v>B5</v>
          </cell>
          <cell r="J643" t="str">
            <v>-</v>
          </cell>
          <cell r="K643" t="str">
            <v>400/690</v>
          </cell>
          <cell r="N643" t="str">
            <v>-</v>
          </cell>
          <cell r="O643" t="str">
            <v>-</v>
          </cell>
          <cell r="P643" t="str">
            <v>-</v>
          </cell>
          <cell r="Q643" t="str">
            <v>-</v>
          </cell>
          <cell r="R643" t="str">
            <v>-</v>
          </cell>
          <cell r="S643" t="str">
            <v>-</v>
          </cell>
          <cell r="T643" t="str">
            <v>-</v>
          </cell>
          <cell r="U643" t="str">
            <v>-</v>
          </cell>
          <cell r="V643" t="str">
            <v>-</v>
          </cell>
          <cell r="W643" t="str">
            <v>-</v>
          </cell>
          <cell r="X643" t="str">
            <v xml:space="preserve"> -</v>
          </cell>
          <cell r="Y643" t="str">
            <v>SEWMOTDFV225S4KW37B5400-690</v>
          </cell>
          <cell r="Z643" t="str">
            <v>SEW</v>
          </cell>
          <cell r="AB643" t="str">
            <v>-</v>
          </cell>
          <cell r="AE643" t="str">
            <v>Motore a magazzino</v>
          </cell>
          <cell r="AF643">
            <v>0</v>
          </cell>
          <cell r="AG643" t="str">
            <v>DRN225S4</v>
          </cell>
          <cell r="AH643" t="str">
            <v>DFV225S4-DRN225S4B--X</v>
          </cell>
        </row>
        <row r="644">
          <cell r="A644" t="str">
            <v>MR000640</v>
          </cell>
          <cell r="B644" t="str">
            <v>ME</v>
          </cell>
          <cell r="C644">
            <v>2.2000000000000002</v>
          </cell>
          <cell r="E644" t="str">
            <v>DVE100M4</v>
          </cell>
          <cell r="J644" t="str">
            <v>-</v>
          </cell>
          <cell r="K644" t="str">
            <v>230/400</v>
          </cell>
          <cell r="L644">
            <v>50</v>
          </cell>
          <cell r="N644">
            <v>65</v>
          </cell>
          <cell r="O644" t="str">
            <v>F(105°C)</v>
          </cell>
          <cell r="P644" t="str">
            <v>-</v>
          </cell>
          <cell r="Q644" t="str">
            <v>-</v>
          </cell>
          <cell r="R644" t="str">
            <v>-</v>
          </cell>
          <cell r="S644" t="str">
            <v>-</v>
          </cell>
          <cell r="T644" t="str">
            <v>-</v>
          </cell>
          <cell r="U644" t="str">
            <v>-</v>
          </cell>
          <cell r="V644" t="str">
            <v>-</v>
          </cell>
          <cell r="W644" t="str">
            <v>-</v>
          </cell>
          <cell r="X644" t="str">
            <v xml:space="preserve"> -</v>
          </cell>
          <cell r="Y644" t="str">
            <v>SEWMOTDVE100M4KW2,2N=1455IP65</v>
          </cell>
          <cell r="Z644" t="str">
            <v>SEW</v>
          </cell>
          <cell r="AB644" t="str">
            <v>-</v>
          </cell>
          <cell r="AE644" t="str">
            <v>Motore a magazzino</v>
          </cell>
          <cell r="AF644">
            <v>0</v>
          </cell>
          <cell r="AG644" t="str">
            <v>DRN100LS4</v>
          </cell>
          <cell r="AH644" t="str">
            <v>DVE100M4-DRN100LS4--X</v>
          </cell>
        </row>
        <row r="645">
          <cell r="A645" t="str">
            <v>MR000641</v>
          </cell>
          <cell r="B645" t="str">
            <v>MR</v>
          </cell>
          <cell r="C645">
            <v>0.75</v>
          </cell>
          <cell r="D645">
            <v>11</v>
          </cell>
          <cell r="E645" t="str">
            <v>FA70</v>
          </cell>
          <cell r="I645" t="str">
            <v>H1</v>
          </cell>
          <cell r="J645" t="str">
            <v>-</v>
          </cell>
          <cell r="K645" t="str">
            <v>220/380</v>
          </cell>
          <cell r="L645">
            <v>50</v>
          </cell>
          <cell r="N645">
            <v>54</v>
          </cell>
          <cell r="O645" t="str">
            <v>B(80°C)</v>
          </cell>
          <cell r="P645" t="str">
            <v>-</v>
          </cell>
          <cell r="Q645" t="str">
            <v>-</v>
          </cell>
          <cell r="R645" t="str">
            <v>-</v>
          </cell>
          <cell r="S645" t="str">
            <v>-</v>
          </cell>
          <cell r="T645" t="str">
            <v>-</v>
          </cell>
          <cell r="U645" t="str">
            <v>-</v>
          </cell>
          <cell r="V645" t="str">
            <v>-</v>
          </cell>
          <cell r="W645" t="str">
            <v>-</v>
          </cell>
          <cell r="X645" t="str">
            <v xml:space="preserve"> -</v>
          </cell>
          <cell r="Y645" t="str">
            <v>SEWMRFA70KW0,75#A001CBAABB</v>
          </cell>
          <cell r="Z645" t="str">
            <v>?</v>
          </cell>
          <cell r="AB645" t="str">
            <v>-</v>
          </cell>
          <cell r="AE645" t="str">
            <v>Motore a magazzino</v>
          </cell>
          <cell r="AF645">
            <v>11</v>
          </cell>
          <cell r="AG645" t="str">
            <v>DRN80M4</v>
          </cell>
          <cell r="AH645" t="str">
            <v>FA70-DRN80M4--X</v>
          </cell>
        </row>
        <row r="646">
          <cell r="A646" t="str">
            <v>MR000642</v>
          </cell>
          <cell r="B646" t="str">
            <v>MR</v>
          </cell>
          <cell r="C646">
            <v>2.2000000000000002</v>
          </cell>
          <cell r="D646">
            <v>35</v>
          </cell>
          <cell r="E646" t="str">
            <v>FA70</v>
          </cell>
          <cell r="I646" t="str">
            <v>H3</v>
          </cell>
          <cell r="J646" t="str">
            <v>-</v>
          </cell>
          <cell r="K646" t="str">
            <v>220/380</v>
          </cell>
          <cell r="L646">
            <v>50</v>
          </cell>
          <cell r="N646">
            <v>54</v>
          </cell>
          <cell r="O646" t="str">
            <v>B(80°C)</v>
          </cell>
          <cell r="P646" t="str">
            <v>-</v>
          </cell>
          <cell r="Q646" t="str">
            <v>-</v>
          </cell>
          <cell r="R646" t="str">
            <v>-</v>
          </cell>
          <cell r="S646" t="str">
            <v>-</v>
          </cell>
          <cell r="T646" t="str">
            <v>-</v>
          </cell>
          <cell r="U646" t="str">
            <v>-</v>
          </cell>
          <cell r="V646" t="str">
            <v>-</v>
          </cell>
          <cell r="W646" t="str">
            <v>-</v>
          </cell>
          <cell r="X646" t="str">
            <v xml:space="preserve"> -</v>
          </cell>
          <cell r="Y646" t="str">
            <v>SEWMRFA70KW2,2#A008EBAABB</v>
          </cell>
          <cell r="Z646" t="str">
            <v>?</v>
          </cell>
          <cell r="AB646" t="str">
            <v>-</v>
          </cell>
          <cell r="AE646" t="str">
            <v>Motore a magazzino</v>
          </cell>
          <cell r="AF646">
            <v>35</v>
          </cell>
          <cell r="AG646" t="str">
            <v>DRN100LS4</v>
          </cell>
          <cell r="AH646" t="str">
            <v>FA70-DRN100LS4--X</v>
          </cell>
        </row>
        <row r="647">
          <cell r="A647" t="str">
            <v>MR000643</v>
          </cell>
          <cell r="B647" t="str">
            <v>MR</v>
          </cell>
          <cell r="C647">
            <v>0.75</v>
          </cell>
          <cell r="D647">
            <v>13</v>
          </cell>
          <cell r="E647" t="str">
            <v>FA77</v>
          </cell>
          <cell r="I647" t="str">
            <v>H3</v>
          </cell>
          <cell r="J647" t="str">
            <v>-</v>
          </cell>
          <cell r="K647" t="str">
            <v>230/400</v>
          </cell>
          <cell r="L647">
            <v>50</v>
          </cell>
          <cell r="N647">
            <v>54</v>
          </cell>
          <cell r="O647" t="str">
            <v>B(80°C)</v>
          </cell>
          <cell r="P647" t="str">
            <v>-</v>
          </cell>
          <cell r="Q647" t="str">
            <v>-</v>
          </cell>
          <cell r="R647" t="str">
            <v>-</v>
          </cell>
          <cell r="S647" t="str">
            <v>RS</v>
          </cell>
          <cell r="T647" t="str">
            <v>-</v>
          </cell>
          <cell r="U647" t="str">
            <v>-</v>
          </cell>
          <cell r="V647" t="str">
            <v>-</v>
          </cell>
          <cell r="W647" t="str">
            <v>-</v>
          </cell>
          <cell r="X647" t="str">
            <v xml:space="preserve"> -</v>
          </cell>
          <cell r="Y647" t="str">
            <v>SEWMRFA77RSK0,75N135423050</v>
          </cell>
          <cell r="Z647" t="str">
            <v>SEW</v>
          </cell>
          <cell r="AB647" t="str">
            <v>-</v>
          </cell>
          <cell r="AE647" t="str">
            <v>Motore a magazzino</v>
          </cell>
          <cell r="AF647">
            <v>13</v>
          </cell>
          <cell r="AG647" t="str">
            <v>DRN80M4</v>
          </cell>
          <cell r="AH647" t="str">
            <v>FA77-DRN80M4--X</v>
          </cell>
        </row>
        <row r="648">
          <cell r="A648" t="str">
            <v>MR000644</v>
          </cell>
          <cell r="B648" t="str">
            <v>MR</v>
          </cell>
          <cell r="C648">
            <v>15</v>
          </cell>
          <cell r="D648">
            <v>55</v>
          </cell>
          <cell r="E648" t="str">
            <v>FA87</v>
          </cell>
          <cell r="J648" t="str">
            <v>-</v>
          </cell>
          <cell r="N648" t="str">
            <v>-</v>
          </cell>
          <cell r="O648" t="str">
            <v>-</v>
          </cell>
          <cell r="P648" t="str">
            <v>-</v>
          </cell>
          <cell r="Q648" t="str">
            <v>-</v>
          </cell>
          <cell r="R648" t="str">
            <v>-</v>
          </cell>
          <cell r="S648" t="str">
            <v>-</v>
          </cell>
          <cell r="T648" t="str">
            <v>-</v>
          </cell>
          <cell r="U648" t="str">
            <v>-</v>
          </cell>
          <cell r="V648" t="str">
            <v>-</v>
          </cell>
          <cell r="W648" t="str">
            <v>-</v>
          </cell>
          <cell r="X648" t="str">
            <v xml:space="preserve"> -</v>
          </cell>
          <cell r="Y648" t="str">
            <v>SEWMRFA87DV160L4RSAA0419</v>
          </cell>
          <cell r="Z648" t="str">
            <v>SEW</v>
          </cell>
          <cell r="AB648" t="str">
            <v>-</v>
          </cell>
          <cell r="AE648" t="str">
            <v>Motore a magazzino</v>
          </cell>
          <cell r="AF648">
            <v>0</v>
          </cell>
          <cell r="AG648" t="str">
            <v>DRN160L4</v>
          </cell>
          <cell r="AH648" t="str">
            <v>FA87-DRN160L4--X</v>
          </cell>
        </row>
        <row r="649">
          <cell r="A649" t="str">
            <v>MR000645</v>
          </cell>
          <cell r="B649" t="str">
            <v>MR</v>
          </cell>
          <cell r="C649">
            <v>0.75</v>
          </cell>
          <cell r="D649">
            <v>46</v>
          </cell>
          <cell r="E649" t="str">
            <v>R63</v>
          </cell>
          <cell r="I649" t="str">
            <v>B3</v>
          </cell>
          <cell r="J649" t="str">
            <v>-</v>
          </cell>
          <cell r="K649" t="str">
            <v>230/400</v>
          </cell>
          <cell r="L649">
            <v>50</v>
          </cell>
          <cell r="N649">
            <v>54</v>
          </cell>
          <cell r="O649" t="str">
            <v>F(105°C)</v>
          </cell>
          <cell r="P649" t="str">
            <v>-</v>
          </cell>
          <cell r="Q649" t="str">
            <v>-</v>
          </cell>
          <cell r="R649" t="str">
            <v>-</v>
          </cell>
          <cell r="S649" t="str">
            <v>-</v>
          </cell>
          <cell r="T649" t="str">
            <v>BE</v>
          </cell>
          <cell r="U649" t="str">
            <v>-</v>
          </cell>
          <cell r="V649" t="str">
            <v>-</v>
          </cell>
          <cell r="W649" t="str">
            <v>-</v>
          </cell>
          <cell r="X649" t="str">
            <v xml:space="preserve"> -</v>
          </cell>
          <cell r="Y649" t="str">
            <v>SEWMRR63BMK0,75N46F5423050</v>
          </cell>
          <cell r="Z649" t="str">
            <v>SEW</v>
          </cell>
          <cell r="AB649" t="str">
            <v>-</v>
          </cell>
          <cell r="AE649" t="str">
            <v>Motore a magazzino</v>
          </cell>
          <cell r="AF649">
            <v>46</v>
          </cell>
          <cell r="AG649" t="str">
            <v>DRN80M4</v>
          </cell>
          <cell r="AH649" t="str">
            <v>R63-DRN80M4B--X</v>
          </cell>
        </row>
        <row r="650">
          <cell r="A650" t="str">
            <v>MR000646</v>
          </cell>
          <cell r="B650" t="str">
            <v>MR</v>
          </cell>
          <cell r="C650">
            <v>2.2000000000000002</v>
          </cell>
          <cell r="D650">
            <v>60</v>
          </cell>
          <cell r="E650" t="str">
            <v>R67</v>
          </cell>
          <cell r="J650" t="str">
            <v>-</v>
          </cell>
          <cell r="N650" t="str">
            <v>-</v>
          </cell>
          <cell r="O650" t="str">
            <v>-</v>
          </cell>
          <cell r="P650" t="str">
            <v>-</v>
          </cell>
          <cell r="Q650" t="str">
            <v>-</v>
          </cell>
          <cell r="R650" t="str">
            <v>-</v>
          </cell>
          <cell r="S650" t="str">
            <v>-</v>
          </cell>
          <cell r="T650" t="str">
            <v>-</v>
          </cell>
          <cell r="U650" t="str">
            <v>-</v>
          </cell>
          <cell r="V650" t="str">
            <v>-</v>
          </cell>
          <cell r="W650" t="str">
            <v>-</v>
          </cell>
          <cell r="X650" t="str">
            <v xml:space="preserve"> -</v>
          </cell>
          <cell r="Y650" t="str">
            <v>SEWMRR67DV100M4DEPOSITO</v>
          </cell>
          <cell r="Z650" t="str">
            <v>SEW</v>
          </cell>
          <cell r="AB650" t="str">
            <v>-</v>
          </cell>
          <cell r="AE650" t="str">
            <v>Motore a magazzino</v>
          </cell>
          <cell r="AF650">
            <v>0</v>
          </cell>
          <cell r="AG650" t="str">
            <v>DRN100LS4</v>
          </cell>
          <cell r="AH650" t="str">
            <v>R67-DRN100LS4--X</v>
          </cell>
        </row>
        <row r="651">
          <cell r="A651" t="str">
            <v>MR000647</v>
          </cell>
          <cell r="B651" t="str">
            <v>MR</v>
          </cell>
          <cell r="C651">
            <v>9.1999999999999993</v>
          </cell>
          <cell r="D651">
            <v>89</v>
          </cell>
          <cell r="E651" t="str">
            <v>R97</v>
          </cell>
          <cell r="J651" t="str">
            <v>-</v>
          </cell>
          <cell r="K651" t="str">
            <v>415/718</v>
          </cell>
          <cell r="L651">
            <v>50</v>
          </cell>
          <cell r="N651">
            <v>55</v>
          </cell>
          <cell r="O651" t="str">
            <v>F(105°C)</v>
          </cell>
          <cell r="P651" t="str">
            <v>-</v>
          </cell>
          <cell r="Q651" t="str">
            <v>-</v>
          </cell>
          <cell r="R651" t="str">
            <v>-</v>
          </cell>
          <cell r="S651" t="str">
            <v>-</v>
          </cell>
          <cell r="T651" t="str">
            <v>-</v>
          </cell>
          <cell r="U651" t="str">
            <v>-</v>
          </cell>
          <cell r="V651" t="str">
            <v>-</v>
          </cell>
          <cell r="W651" t="str">
            <v>-</v>
          </cell>
          <cell r="X651" t="str">
            <v xml:space="preserve"> -</v>
          </cell>
          <cell r="Y651" t="str">
            <v>SEWMRR97K9,2N89F5541550</v>
          </cell>
          <cell r="Z651" t="str">
            <v>SEW</v>
          </cell>
          <cell r="AB651" t="str">
            <v>-</v>
          </cell>
          <cell r="AE651" t="str">
            <v>Motore a magazzino</v>
          </cell>
          <cell r="AF651">
            <v>89</v>
          </cell>
          <cell r="AG651" t="str">
            <v>DRN132L4</v>
          </cell>
          <cell r="AH651" t="str">
            <v>R97-DRN132L4--X</v>
          </cell>
        </row>
        <row r="652">
          <cell r="A652" t="str">
            <v>MR000648</v>
          </cell>
          <cell r="B652" t="str">
            <v>MR</v>
          </cell>
          <cell r="C652">
            <v>0.12</v>
          </cell>
          <cell r="D652">
            <v>0.5</v>
          </cell>
          <cell r="E652" t="str">
            <v>SA62</v>
          </cell>
          <cell r="J652" t="str">
            <v>-</v>
          </cell>
          <cell r="K652" t="str">
            <v>230/400</v>
          </cell>
          <cell r="L652">
            <v>50</v>
          </cell>
          <cell r="N652">
            <v>54</v>
          </cell>
          <cell r="O652" t="str">
            <v>F(105°C)</v>
          </cell>
          <cell r="P652" t="str">
            <v>-</v>
          </cell>
          <cell r="Q652" t="str">
            <v>-</v>
          </cell>
          <cell r="R652" t="str">
            <v>-</v>
          </cell>
          <cell r="S652" t="str">
            <v>-</v>
          </cell>
          <cell r="T652" t="str">
            <v>-</v>
          </cell>
          <cell r="U652" t="str">
            <v>-</v>
          </cell>
          <cell r="V652" t="str">
            <v>-</v>
          </cell>
          <cell r="W652" t="str">
            <v>-</v>
          </cell>
          <cell r="X652" t="str">
            <v xml:space="preserve"> -</v>
          </cell>
          <cell r="Y652" t="str">
            <v>SEWMRSA62R43KW0,12#A054NFCABB</v>
          </cell>
          <cell r="Z652" t="str">
            <v>?</v>
          </cell>
          <cell r="AB652" t="str">
            <v>-</v>
          </cell>
          <cell r="AE652" t="str">
            <v>Motore a magazzino</v>
          </cell>
          <cell r="AF652">
            <v>0.5</v>
          </cell>
          <cell r="AG652" t="e">
            <v>#N/A</v>
          </cell>
          <cell r="AH652" t="e">
            <v>#N/A</v>
          </cell>
        </row>
        <row r="653">
          <cell r="A653" t="str">
            <v>MR000649</v>
          </cell>
          <cell r="B653" t="str">
            <v>MR</v>
          </cell>
          <cell r="C653">
            <v>0.12</v>
          </cell>
          <cell r="D653">
            <v>1</v>
          </cell>
          <cell r="E653" t="str">
            <v>SA67R37</v>
          </cell>
          <cell r="J653" t="str">
            <v>-</v>
          </cell>
          <cell r="N653" t="str">
            <v>-</v>
          </cell>
          <cell r="O653" t="str">
            <v>-</v>
          </cell>
          <cell r="P653" t="str">
            <v>-</v>
          </cell>
          <cell r="Q653" t="str">
            <v>-</v>
          </cell>
          <cell r="R653" t="str">
            <v>-</v>
          </cell>
          <cell r="S653" t="str">
            <v>-</v>
          </cell>
          <cell r="T653" t="str">
            <v>-</v>
          </cell>
          <cell r="U653" t="str">
            <v>-</v>
          </cell>
          <cell r="V653" t="str">
            <v>-</v>
          </cell>
          <cell r="W653" t="str">
            <v>-</v>
          </cell>
          <cell r="X653" t="str">
            <v xml:space="preserve"> -</v>
          </cell>
          <cell r="Y653" t="str">
            <v>SEWMRSA67R37TDT63S4BMGAA0061</v>
          </cell>
          <cell r="Z653" t="str">
            <v>?</v>
          </cell>
          <cell r="AB653" t="str">
            <v>-</v>
          </cell>
          <cell r="AE653" t="str">
            <v>Motore a magazzino</v>
          </cell>
          <cell r="AF653">
            <v>0</v>
          </cell>
          <cell r="AG653" t="e">
            <v>#N/A</v>
          </cell>
          <cell r="AH653" t="e">
            <v>#N/A</v>
          </cell>
        </row>
        <row r="654">
          <cell r="A654" t="str">
            <v>MR000650</v>
          </cell>
          <cell r="B654" t="str">
            <v>MR</v>
          </cell>
          <cell r="C654">
            <v>0.75</v>
          </cell>
          <cell r="D654">
            <v>48</v>
          </cell>
          <cell r="E654" t="str">
            <v>SAF47</v>
          </cell>
          <cell r="J654" t="str">
            <v>-</v>
          </cell>
          <cell r="K654" t="str">
            <v>220/380</v>
          </cell>
          <cell r="L654">
            <v>50</v>
          </cell>
          <cell r="N654">
            <v>54</v>
          </cell>
          <cell r="O654" t="str">
            <v>B(80°C)</v>
          </cell>
          <cell r="P654" t="str">
            <v>270°</v>
          </cell>
          <cell r="Q654" t="str">
            <v>-</v>
          </cell>
          <cell r="R654" t="str">
            <v>-</v>
          </cell>
          <cell r="S654" t="str">
            <v>-</v>
          </cell>
          <cell r="T654" t="str">
            <v>-</v>
          </cell>
          <cell r="U654" t="str">
            <v>-</v>
          </cell>
          <cell r="V654" t="str">
            <v>-</v>
          </cell>
          <cell r="W654" t="str">
            <v>-</v>
          </cell>
          <cell r="X654" t="str">
            <v xml:space="preserve"> -</v>
          </cell>
          <cell r="Y654" t="str">
            <v>SEWMRSAF47K0,75N48B5422050</v>
          </cell>
          <cell r="Z654" t="str">
            <v>?</v>
          </cell>
          <cell r="AB654" t="str">
            <v>-</v>
          </cell>
          <cell r="AE654" t="str">
            <v>Motore a magazzino</v>
          </cell>
          <cell r="AF654">
            <v>48</v>
          </cell>
          <cell r="AG654" t="str">
            <v>DRN80M4</v>
          </cell>
          <cell r="AH654" t="str">
            <v>SAF47-DRN80M4270-X</v>
          </cell>
        </row>
        <row r="655">
          <cell r="A655" t="str">
            <v>MR000651</v>
          </cell>
          <cell r="B655" t="str">
            <v>MR</v>
          </cell>
          <cell r="C655">
            <v>1.5</v>
          </cell>
          <cell r="D655">
            <v>21</v>
          </cell>
          <cell r="E655" t="str">
            <v>R77</v>
          </cell>
          <cell r="G655">
            <v>65.77</v>
          </cell>
          <cell r="J655" t="str">
            <v>-</v>
          </cell>
          <cell r="K655" t="str">
            <v>230/400</v>
          </cell>
          <cell r="L655">
            <v>50</v>
          </cell>
          <cell r="N655">
            <v>54</v>
          </cell>
          <cell r="O655" t="str">
            <v>B(80°C)</v>
          </cell>
          <cell r="P655" t="str">
            <v>270°</v>
          </cell>
          <cell r="Q655" t="str">
            <v>TF</v>
          </cell>
          <cell r="R655" t="str">
            <v>-</v>
          </cell>
          <cell r="S655" t="str">
            <v>-</v>
          </cell>
          <cell r="T655" t="str">
            <v>-</v>
          </cell>
          <cell r="U655" t="str">
            <v>-</v>
          </cell>
          <cell r="V655" t="str">
            <v>-</v>
          </cell>
          <cell r="W655" t="str">
            <v>-</v>
          </cell>
          <cell r="X655" t="str">
            <v xml:space="preserve"> -</v>
          </cell>
          <cell r="Y655" t="str">
            <v>SEWR077H065.77A0AB4TXXXX</v>
          </cell>
          <cell r="Z655" t="str">
            <v>SEW</v>
          </cell>
          <cell r="AB655" t="str">
            <v>-</v>
          </cell>
          <cell r="AE655" t="str">
            <v>Motore a magazzino</v>
          </cell>
          <cell r="AF655">
            <v>21</v>
          </cell>
          <cell r="AG655" t="str">
            <v>DRN90L4</v>
          </cell>
          <cell r="AH655" t="str">
            <v>R77-DRN90L4270-X</v>
          </cell>
        </row>
        <row r="656">
          <cell r="A656" t="str">
            <v>MR000652</v>
          </cell>
          <cell r="B656" t="str">
            <v>MR</v>
          </cell>
          <cell r="C656">
            <v>7.5</v>
          </cell>
          <cell r="D656">
            <v>93</v>
          </cell>
          <cell r="E656" t="str">
            <v>R87</v>
          </cell>
          <cell r="G656">
            <v>15.35</v>
          </cell>
          <cell r="J656" t="str">
            <v>-</v>
          </cell>
          <cell r="K656" t="str">
            <v>400/690</v>
          </cell>
          <cell r="L656">
            <v>50</v>
          </cell>
          <cell r="N656">
            <v>54</v>
          </cell>
          <cell r="O656" t="str">
            <v>F(105°C)</v>
          </cell>
          <cell r="P656" t="str">
            <v>0°</v>
          </cell>
          <cell r="Q656" t="str">
            <v>-</v>
          </cell>
          <cell r="R656" t="str">
            <v>-</v>
          </cell>
          <cell r="S656" t="str">
            <v>-</v>
          </cell>
          <cell r="T656" t="str">
            <v>-</v>
          </cell>
          <cell r="U656" t="str">
            <v>-</v>
          </cell>
          <cell r="V656" t="str">
            <v>-</v>
          </cell>
          <cell r="W656" t="str">
            <v>-</v>
          </cell>
          <cell r="X656" t="str">
            <v xml:space="preserve"> -</v>
          </cell>
          <cell r="Y656" t="str">
            <v>SEWR087N015.35C4AF4XXXXX</v>
          </cell>
          <cell r="Z656" t="str">
            <v>SEW</v>
          </cell>
          <cell r="AB656" t="str">
            <v>-</v>
          </cell>
          <cell r="AE656" t="str">
            <v>Motore a magazzino</v>
          </cell>
          <cell r="AF656">
            <v>93</v>
          </cell>
          <cell r="AG656" t="str">
            <v>DRN132M4</v>
          </cell>
          <cell r="AH656" t="str">
            <v>R87-DRN132M40-X</v>
          </cell>
        </row>
        <row r="657">
          <cell r="A657" t="str">
            <v>MR000653</v>
          </cell>
          <cell r="B657" t="str">
            <v>MR</v>
          </cell>
          <cell r="C657">
            <v>9.1999999999999993</v>
          </cell>
          <cell r="D657">
            <v>65</v>
          </cell>
          <cell r="E657" t="str">
            <v>R97</v>
          </cell>
          <cell r="G657">
            <v>22.37</v>
          </cell>
          <cell r="J657" t="str">
            <v>-</v>
          </cell>
          <cell r="K657">
            <v>380</v>
          </cell>
          <cell r="L657">
            <v>50</v>
          </cell>
          <cell r="N657">
            <v>55</v>
          </cell>
          <cell r="O657" t="str">
            <v>F(105°C)</v>
          </cell>
          <cell r="P657" t="str">
            <v>270°</v>
          </cell>
          <cell r="Q657" t="str">
            <v>TF</v>
          </cell>
          <cell r="R657" t="str">
            <v>-</v>
          </cell>
          <cell r="S657" t="str">
            <v>-</v>
          </cell>
          <cell r="T657" t="str">
            <v>-</v>
          </cell>
          <cell r="U657" t="str">
            <v>-</v>
          </cell>
          <cell r="V657" t="str">
            <v>-</v>
          </cell>
          <cell r="W657" t="str">
            <v>-</v>
          </cell>
          <cell r="X657" t="str">
            <v xml:space="preserve"> -</v>
          </cell>
          <cell r="Y657" t="str">
            <v>SEWR097P022.37A8AF5TXXXX</v>
          </cell>
          <cell r="Z657" t="str">
            <v>SEW</v>
          </cell>
          <cell r="AB657" t="str">
            <v>-</v>
          </cell>
          <cell r="AE657" t="str">
            <v>Motore a magazzino</v>
          </cell>
          <cell r="AF657">
            <v>65</v>
          </cell>
          <cell r="AG657" t="str">
            <v>DRN132L4</v>
          </cell>
          <cell r="AH657" t="str">
            <v>R97-DRN132L4270-X</v>
          </cell>
        </row>
        <row r="658">
          <cell r="A658" t="str">
            <v>MR000654</v>
          </cell>
          <cell r="B658" t="str">
            <v>MR</v>
          </cell>
          <cell r="C658">
            <v>9.1999999999999993</v>
          </cell>
          <cell r="D658">
            <v>65</v>
          </cell>
          <cell r="E658" t="str">
            <v>R97</v>
          </cell>
          <cell r="G658">
            <v>22.37</v>
          </cell>
          <cell r="J658" t="str">
            <v>-</v>
          </cell>
          <cell r="K658">
            <v>380</v>
          </cell>
          <cell r="L658">
            <v>50</v>
          </cell>
          <cell r="N658">
            <v>55</v>
          </cell>
          <cell r="O658" t="str">
            <v>F(105°C)</v>
          </cell>
          <cell r="P658" t="str">
            <v>270°</v>
          </cell>
          <cell r="Q658" t="str">
            <v>-</v>
          </cell>
          <cell r="R658" t="str">
            <v>-</v>
          </cell>
          <cell r="S658" t="str">
            <v>-</v>
          </cell>
          <cell r="T658" t="str">
            <v>-</v>
          </cell>
          <cell r="U658" t="str">
            <v>-</v>
          </cell>
          <cell r="V658" t="str">
            <v>-</v>
          </cell>
          <cell r="W658" t="str">
            <v>-</v>
          </cell>
          <cell r="X658" t="str">
            <v xml:space="preserve"> -</v>
          </cell>
          <cell r="Y658" t="str">
            <v>SEWR097P022.37A8AF5XXXXX</v>
          </cell>
          <cell r="Z658" t="str">
            <v>SEW</v>
          </cell>
          <cell r="AB658" t="str">
            <v>-</v>
          </cell>
          <cell r="AE658" t="str">
            <v>Motore a magazzino</v>
          </cell>
          <cell r="AF658">
            <v>65</v>
          </cell>
          <cell r="AG658" t="str">
            <v>DRN132L4</v>
          </cell>
          <cell r="AH658" t="str">
            <v>R97-DRN132L4270-X</v>
          </cell>
        </row>
        <row r="659">
          <cell r="A659" t="str">
            <v>MR000655</v>
          </cell>
          <cell r="B659" t="str">
            <v>MR</v>
          </cell>
          <cell r="C659">
            <v>15</v>
          </cell>
          <cell r="D659">
            <v>59</v>
          </cell>
          <cell r="E659" t="str">
            <v>R107</v>
          </cell>
          <cell r="G659">
            <v>24.9</v>
          </cell>
          <cell r="J659" t="str">
            <v>-</v>
          </cell>
          <cell r="K659" t="str">
            <v>400/690</v>
          </cell>
          <cell r="L659">
            <v>50</v>
          </cell>
          <cell r="N659">
            <v>55</v>
          </cell>
          <cell r="O659" t="str">
            <v>F(105°C)</v>
          </cell>
          <cell r="P659" t="str">
            <v>270°</v>
          </cell>
          <cell r="Q659" t="str">
            <v>TF</v>
          </cell>
          <cell r="R659" t="str">
            <v>-</v>
          </cell>
          <cell r="S659" t="str">
            <v>-</v>
          </cell>
          <cell r="T659" t="str">
            <v>-</v>
          </cell>
          <cell r="U659" t="str">
            <v>-</v>
          </cell>
          <cell r="V659" t="str">
            <v>-</v>
          </cell>
          <cell r="W659" t="str">
            <v>-</v>
          </cell>
          <cell r="X659" t="str">
            <v xml:space="preserve"> -</v>
          </cell>
          <cell r="Y659" t="str">
            <v>SEWR107R024.90A4AF5TXXXV</v>
          </cell>
          <cell r="Z659" t="str">
            <v>SEW</v>
          </cell>
          <cell r="AB659" t="str">
            <v>-</v>
          </cell>
          <cell r="AE659" t="str">
            <v>Motore a magazzino</v>
          </cell>
          <cell r="AF659">
            <v>59</v>
          </cell>
          <cell r="AG659" t="str">
            <v>DRN160L4</v>
          </cell>
          <cell r="AH659" t="str">
            <v>R107-DRN160L4270-X</v>
          </cell>
        </row>
        <row r="660">
          <cell r="A660" t="str">
            <v>MR000656</v>
          </cell>
          <cell r="B660" t="str">
            <v>MR</v>
          </cell>
          <cell r="C660">
            <v>15</v>
          </cell>
          <cell r="D660">
            <v>41</v>
          </cell>
          <cell r="E660" t="str">
            <v>R107</v>
          </cell>
          <cell r="G660">
            <v>35.36</v>
          </cell>
          <cell r="J660" t="str">
            <v>-</v>
          </cell>
          <cell r="K660" t="str">
            <v>400/690</v>
          </cell>
          <cell r="L660">
            <v>50</v>
          </cell>
          <cell r="N660">
            <v>55</v>
          </cell>
          <cell r="O660" t="str">
            <v>F(105°C)</v>
          </cell>
          <cell r="P660" t="str">
            <v>270°</v>
          </cell>
          <cell r="Q660" t="str">
            <v>-</v>
          </cell>
          <cell r="R660" t="str">
            <v>-</v>
          </cell>
          <cell r="S660" t="str">
            <v>-</v>
          </cell>
          <cell r="T660" t="str">
            <v>-</v>
          </cell>
          <cell r="U660" t="str">
            <v>-</v>
          </cell>
          <cell r="V660" t="str">
            <v>-</v>
          </cell>
          <cell r="W660" t="str">
            <v>-</v>
          </cell>
          <cell r="X660" t="str">
            <v xml:space="preserve"> -</v>
          </cell>
          <cell r="Y660" t="str">
            <v>SEWR107R035.26A4AF5XXXXX</v>
          </cell>
          <cell r="Z660" t="str">
            <v>SEW</v>
          </cell>
          <cell r="AB660" t="str">
            <v>-</v>
          </cell>
          <cell r="AE660" t="str">
            <v>Motore a magazzino</v>
          </cell>
          <cell r="AF660">
            <v>41</v>
          </cell>
          <cell r="AG660" t="str">
            <v>DRN160L4</v>
          </cell>
          <cell r="AH660" t="str">
            <v>R107-DRN160L4270-X</v>
          </cell>
        </row>
        <row r="661">
          <cell r="A661" t="str">
            <v>MR000657</v>
          </cell>
          <cell r="B661" t="str">
            <v>MR</v>
          </cell>
          <cell r="C661">
            <v>18.5</v>
          </cell>
          <cell r="D661">
            <v>65</v>
          </cell>
          <cell r="E661" t="str">
            <v>R107</v>
          </cell>
          <cell r="G661">
            <v>22.62</v>
          </cell>
          <cell r="J661" t="str">
            <v>-</v>
          </cell>
          <cell r="K661" t="str">
            <v>400/690</v>
          </cell>
          <cell r="L661">
            <v>50</v>
          </cell>
          <cell r="N661">
            <v>55</v>
          </cell>
          <cell r="O661" t="str">
            <v>F(105°C)</v>
          </cell>
          <cell r="P661" t="str">
            <v>270°</v>
          </cell>
          <cell r="Q661" t="str">
            <v>-</v>
          </cell>
          <cell r="R661" t="str">
            <v>-</v>
          </cell>
          <cell r="S661" t="str">
            <v>-</v>
          </cell>
          <cell r="T661" t="str">
            <v>-</v>
          </cell>
          <cell r="U661" t="str">
            <v>-</v>
          </cell>
          <cell r="V661" t="str">
            <v>-</v>
          </cell>
          <cell r="W661" t="str">
            <v>-</v>
          </cell>
          <cell r="X661" t="str">
            <v xml:space="preserve"> -</v>
          </cell>
          <cell r="Y661" t="str">
            <v>SEWR107S022.62A4AF5XXXXX</v>
          </cell>
          <cell r="Z661" t="str">
            <v>SEW</v>
          </cell>
          <cell r="AB661" t="str">
            <v>-</v>
          </cell>
          <cell r="AE661" t="str">
            <v>Motore a magazzino</v>
          </cell>
          <cell r="AF661">
            <v>65</v>
          </cell>
          <cell r="AG661" t="str">
            <v>DRN180M4</v>
          </cell>
          <cell r="AH661" t="str">
            <v>R107-DRN180M4270-X</v>
          </cell>
        </row>
        <row r="662">
          <cell r="A662" t="str">
            <v>MR000658</v>
          </cell>
          <cell r="B662" t="str">
            <v>MR</v>
          </cell>
          <cell r="C662">
            <v>9.1999999999999993</v>
          </cell>
          <cell r="D662">
            <v>16</v>
          </cell>
          <cell r="E662" t="str">
            <v>R137</v>
          </cell>
          <cell r="G662">
            <v>88.7</v>
          </cell>
          <cell r="J662" t="str">
            <v>-</v>
          </cell>
          <cell r="K662" t="str">
            <v>400/690</v>
          </cell>
          <cell r="L662">
            <v>50</v>
          </cell>
          <cell r="N662">
            <v>55</v>
          </cell>
          <cell r="O662" t="str">
            <v>F(105°C)</v>
          </cell>
          <cell r="P662" t="str">
            <v>270°</v>
          </cell>
          <cell r="Q662" t="str">
            <v>-</v>
          </cell>
          <cell r="R662" t="str">
            <v>-</v>
          </cell>
          <cell r="S662" t="str">
            <v>-</v>
          </cell>
          <cell r="T662" t="str">
            <v>-</v>
          </cell>
          <cell r="U662" t="str">
            <v>-</v>
          </cell>
          <cell r="V662" t="str">
            <v>-</v>
          </cell>
          <cell r="W662" t="str">
            <v>-</v>
          </cell>
          <cell r="X662" t="str">
            <v xml:space="preserve"> -</v>
          </cell>
          <cell r="Y662" t="str">
            <v>SEWR137P088.70A4AF5XXXXX</v>
          </cell>
          <cell r="Z662" t="str">
            <v>SEW</v>
          </cell>
          <cell r="AB662" t="str">
            <v>-</v>
          </cell>
          <cell r="AE662" t="str">
            <v>Motore a magazzino</v>
          </cell>
          <cell r="AF662">
            <v>16</v>
          </cell>
          <cell r="AG662" t="str">
            <v>DRN132L4</v>
          </cell>
          <cell r="AH662" t="str">
            <v>R137-DRN132L4270-X</v>
          </cell>
        </row>
        <row r="663">
          <cell r="A663" t="str">
            <v>MR000659</v>
          </cell>
          <cell r="B663" t="str">
            <v>MR</v>
          </cell>
          <cell r="C663">
            <v>15</v>
          </cell>
          <cell r="D663">
            <v>33</v>
          </cell>
          <cell r="E663" t="str">
            <v>R137</v>
          </cell>
          <cell r="G663">
            <v>44.39</v>
          </cell>
          <cell r="J663" t="str">
            <v>-</v>
          </cell>
          <cell r="K663" t="str">
            <v>400/690</v>
          </cell>
          <cell r="L663">
            <v>50</v>
          </cell>
          <cell r="N663">
            <v>54</v>
          </cell>
          <cell r="O663" t="str">
            <v>F(105°C)</v>
          </cell>
          <cell r="P663" t="str">
            <v>270°</v>
          </cell>
          <cell r="Q663" t="str">
            <v>-</v>
          </cell>
          <cell r="R663" t="str">
            <v>-</v>
          </cell>
          <cell r="S663" t="str">
            <v>RS</v>
          </cell>
          <cell r="T663" t="str">
            <v>-</v>
          </cell>
          <cell r="U663" t="str">
            <v>-</v>
          </cell>
          <cell r="V663" t="str">
            <v>-</v>
          </cell>
          <cell r="W663" t="str">
            <v>-</v>
          </cell>
          <cell r="X663" t="str">
            <v xml:space="preserve"> -</v>
          </cell>
          <cell r="Y663" t="str">
            <v>SEWR137R044.39A4AF4X1XXX</v>
          </cell>
          <cell r="Z663" t="str">
            <v>SEW</v>
          </cell>
          <cell r="AB663" t="str">
            <v>-</v>
          </cell>
          <cell r="AE663" t="str">
            <v>Motore a magazzino</v>
          </cell>
          <cell r="AF663">
            <v>33</v>
          </cell>
          <cell r="AG663" t="str">
            <v>DRN160L4</v>
          </cell>
          <cell r="AH663" t="str">
            <v>R137-DRN160L4270-X</v>
          </cell>
        </row>
        <row r="664">
          <cell r="A664" t="str">
            <v>MR000660</v>
          </cell>
          <cell r="B664" t="str">
            <v>MR</v>
          </cell>
          <cell r="C664">
            <v>18.5</v>
          </cell>
          <cell r="D664">
            <v>45</v>
          </cell>
          <cell r="E664" t="str">
            <v>R137</v>
          </cell>
          <cell r="G664">
            <v>32.909999999999997</v>
          </cell>
          <cell r="J664" t="str">
            <v>-</v>
          </cell>
          <cell r="K664">
            <v>380</v>
          </cell>
          <cell r="L664">
            <v>50</v>
          </cell>
          <cell r="N664">
            <v>55</v>
          </cell>
          <cell r="O664" t="str">
            <v>F(105°C)</v>
          </cell>
          <cell r="P664" t="str">
            <v>270°</v>
          </cell>
          <cell r="Q664" t="str">
            <v>TF</v>
          </cell>
          <cell r="R664" t="str">
            <v>-</v>
          </cell>
          <cell r="S664" t="str">
            <v>-</v>
          </cell>
          <cell r="T664" t="str">
            <v>-</v>
          </cell>
          <cell r="U664" t="str">
            <v>-</v>
          </cell>
          <cell r="V664" t="str">
            <v>-</v>
          </cell>
          <cell r="W664" t="str">
            <v>-</v>
          </cell>
          <cell r="X664" t="str">
            <v xml:space="preserve"> -</v>
          </cell>
          <cell r="Y664" t="str">
            <v>SEWR137S032.91A8AF5TXXXX</v>
          </cell>
          <cell r="Z664" t="str">
            <v>SEW</v>
          </cell>
          <cell r="AB664" t="str">
            <v>-</v>
          </cell>
          <cell r="AF664">
            <v>45</v>
          </cell>
          <cell r="AG664" t="str">
            <v>DRN180M4</v>
          </cell>
          <cell r="AH664" t="str">
            <v>R137-DRN180M4270-X</v>
          </cell>
        </row>
        <row r="665">
          <cell r="A665" t="str">
            <v>MR000661</v>
          </cell>
          <cell r="B665" t="str">
            <v>MR</v>
          </cell>
          <cell r="C665">
            <v>22</v>
          </cell>
          <cell r="D665">
            <v>45</v>
          </cell>
          <cell r="E665" t="str">
            <v>R137</v>
          </cell>
          <cell r="G665">
            <v>32.909999999999997</v>
          </cell>
          <cell r="J665" t="str">
            <v>-</v>
          </cell>
          <cell r="K665" t="str">
            <v>400/690</v>
          </cell>
          <cell r="L665">
            <v>50</v>
          </cell>
          <cell r="N665">
            <v>54</v>
          </cell>
          <cell r="O665" t="str">
            <v>F(105°C)</v>
          </cell>
          <cell r="P665" t="str">
            <v>270°</v>
          </cell>
          <cell r="Q665" t="str">
            <v>-</v>
          </cell>
          <cell r="R665" t="str">
            <v>-</v>
          </cell>
          <cell r="S665" t="str">
            <v>-</v>
          </cell>
          <cell r="T665" t="str">
            <v>-</v>
          </cell>
          <cell r="U665" t="str">
            <v>-</v>
          </cell>
          <cell r="V665" t="str">
            <v>-</v>
          </cell>
          <cell r="W665" t="str">
            <v>-</v>
          </cell>
          <cell r="X665" t="str">
            <v xml:space="preserve"> -</v>
          </cell>
          <cell r="Y665" t="str">
            <v>SEWR137T032.91A4AF4XXXXX</v>
          </cell>
          <cell r="Z665" t="str">
            <v>SEW</v>
          </cell>
          <cell r="AB665" t="str">
            <v>-</v>
          </cell>
          <cell r="AE665" t="str">
            <v>Motore a magazzino</v>
          </cell>
          <cell r="AF665">
            <v>45</v>
          </cell>
          <cell r="AG665" t="str">
            <v>DRN180L4</v>
          </cell>
          <cell r="AH665" t="str">
            <v>R137-DRN180L4270-X</v>
          </cell>
        </row>
        <row r="666">
          <cell r="A666" t="str">
            <v>MR000662</v>
          </cell>
          <cell r="B666" t="str">
            <v>MR</v>
          </cell>
          <cell r="C666">
            <v>30</v>
          </cell>
          <cell r="D666">
            <v>39</v>
          </cell>
          <cell r="E666" t="str">
            <v>R137</v>
          </cell>
          <cell r="G666">
            <v>37.65</v>
          </cell>
          <cell r="J666" t="str">
            <v>-</v>
          </cell>
          <cell r="K666" t="str">
            <v>400/690</v>
          </cell>
          <cell r="L666">
            <v>50</v>
          </cell>
          <cell r="N666">
            <v>55</v>
          </cell>
          <cell r="O666" t="str">
            <v>F(105°C)</v>
          </cell>
          <cell r="P666" t="str">
            <v>270°</v>
          </cell>
          <cell r="Q666" t="str">
            <v>TF</v>
          </cell>
          <cell r="R666" t="str">
            <v>-</v>
          </cell>
          <cell r="S666" t="str">
            <v>-</v>
          </cell>
          <cell r="T666" t="str">
            <v>-</v>
          </cell>
          <cell r="U666" t="str">
            <v>-</v>
          </cell>
          <cell r="V666" t="str">
            <v>-</v>
          </cell>
          <cell r="W666" t="str">
            <v>-</v>
          </cell>
          <cell r="X666" t="str">
            <v xml:space="preserve"> -</v>
          </cell>
          <cell r="Y666" t="str">
            <v>SEWR137U037.65A8AF5TXXXX</v>
          </cell>
          <cell r="Z666" t="str">
            <v>SEW</v>
          </cell>
          <cell r="AB666" t="str">
            <v>-</v>
          </cell>
          <cell r="AE666" t="str">
            <v>Motore a magazzino</v>
          </cell>
          <cell r="AF666">
            <v>39</v>
          </cell>
          <cell r="AG666" t="str">
            <v>DRN200L4</v>
          </cell>
          <cell r="AH666" t="str">
            <v>R137-DRN200L4270-X</v>
          </cell>
        </row>
        <row r="667">
          <cell r="A667" t="str">
            <v>MR000663</v>
          </cell>
          <cell r="B667" t="str">
            <v>MR</v>
          </cell>
          <cell r="C667">
            <v>11</v>
          </cell>
          <cell r="D667">
            <v>66</v>
          </cell>
          <cell r="E667" t="str">
            <v>KH87</v>
          </cell>
          <cell r="F667">
            <v>1590</v>
          </cell>
          <cell r="G667">
            <v>22.41</v>
          </cell>
          <cell r="H667">
            <v>1.45</v>
          </cell>
          <cell r="I667" t="str">
            <v>M4A</v>
          </cell>
          <cell r="J667" t="str">
            <v>IE3</v>
          </cell>
          <cell r="K667">
            <v>400</v>
          </cell>
          <cell r="L667">
            <v>50</v>
          </cell>
          <cell r="M667">
            <v>21</v>
          </cell>
          <cell r="N667">
            <v>55</v>
          </cell>
          <cell r="O667" t="str">
            <v>F(105°C)</v>
          </cell>
          <cell r="P667" t="str">
            <v>270°</v>
          </cell>
          <cell r="Q667" t="str">
            <v>-</v>
          </cell>
          <cell r="R667" t="str">
            <v>-</v>
          </cell>
          <cell r="S667" t="str">
            <v>Free rotation CCW</v>
          </cell>
          <cell r="T667" t="str">
            <v>-</v>
          </cell>
          <cell r="U667" t="str">
            <v>T</v>
          </cell>
          <cell r="V667" t="str">
            <v>SS</v>
          </cell>
          <cell r="W667" t="str">
            <v>-</v>
          </cell>
          <cell r="X667" t="str">
            <v>CLP (CC) VG 220 = -15° + 40°</v>
          </cell>
          <cell r="Y667" t="str">
            <v>KH87/T DRN160M4 /RS</v>
          </cell>
          <cell r="Z667" t="str">
            <v>SEW</v>
          </cell>
          <cell r="AB667" t="str">
            <v>-</v>
          </cell>
          <cell r="AF667">
            <v>66</v>
          </cell>
          <cell r="AG667" t="str">
            <v>DRN160M4</v>
          </cell>
          <cell r="AH667" t="str">
            <v>KH87T-DRN160M4A270-X</v>
          </cell>
        </row>
        <row r="668">
          <cell r="A668" t="str">
            <v>MR000664</v>
          </cell>
          <cell r="B668" t="str">
            <v>MR</v>
          </cell>
          <cell r="C668">
            <v>0.75</v>
          </cell>
          <cell r="D668">
            <v>4.4000000000000004</v>
          </cell>
          <cell r="E668" t="str">
            <v>KH87R57</v>
          </cell>
          <cell r="F668">
            <v>1460</v>
          </cell>
          <cell r="G668">
            <v>330</v>
          </cell>
          <cell r="H668">
            <v>1.85</v>
          </cell>
          <cell r="I668" t="str">
            <v>M4A</v>
          </cell>
          <cell r="J668" t="str">
            <v>IE3</v>
          </cell>
          <cell r="K668">
            <v>400</v>
          </cell>
          <cell r="L668">
            <v>50</v>
          </cell>
          <cell r="M668">
            <v>1.75</v>
          </cell>
          <cell r="N668">
            <v>55</v>
          </cell>
          <cell r="O668" t="str">
            <v>F(105°C)</v>
          </cell>
          <cell r="P668" t="str">
            <v>270°</v>
          </cell>
          <cell r="Q668" t="str">
            <v>-</v>
          </cell>
          <cell r="R668" t="str">
            <v>-</v>
          </cell>
          <cell r="S668" t="str">
            <v>-</v>
          </cell>
          <cell r="T668" t="str">
            <v>-</v>
          </cell>
          <cell r="U668" t="str">
            <v>T</v>
          </cell>
          <cell r="V668" t="str">
            <v>SS</v>
          </cell>
          <cell r="W668" t="str">
            <v>-</v>
          </cell>
          <cell r="X668" t="str">
            <v>CLP (CC) VG 220 = -15° + 40°</v>
          </cell>
          <cell r="Y668" t="str">
            <v>KH87/TR57DRN80M4</v>
          </cell>
          <cell r="Z668" t="str">
            <v>SEW</v>
          </cell>
          <cell r="AB668" t="str">
            <v>-</v>
          </cell>
          <cell r="AF668">
            <v>4.4000000000000004</v>
          </cell>
          <cell r="AG668" t="str">
            <v>DRN80M4</v>
          </cell>
          <cell r="AH668" t="str">
            <v>KH87R57T-DRN80M4A270-X</v>
          </cell>
        </row>
        <row r="669">
          <cell r="A669" t="str">
            <v>MR000665</v>
          </cell>
          <cell r="B669" t="str">
            <v>MR</v>
          </cell>
          <cell r="C669">
            <v>1.1000000000000001</v>
          </cell>
          <cell r="D669">
            <v>4.4000000000000004</v>
          </cell>
          <cell r="E669" t="str">
            <v>KH87R57</v>
          </cell>
          <cell r="F669">
            <v>2160</v>
          </cell>
          <cell r="G669">
            <v>330</v>
          </cell>
          <cell r="H669">
            <v>1.25</v>
          </cell>
          <cell r="I669" t="str">
            <v>M4A</v>
          </cell>
          <cell r="J669" t="str">
            <v>IE3</v>
          </cell>
          <cell r="K669">
            <v>400</v>
          </cell>
          <cell r="L669">
            <v>50</v>
          </cell>
          <cell r="M669">
            <v>2.5499999999999998</v>
          </cell>
          <cell r="N669">
            <v>55</v>
          </cell>
          <cell r="O669" t="str">
            <v>F(105°C)</v>
          </cell>
          <cell r="P669" t="str">
            <v>270°</v>
          </cell>
          <cell r="Q669" t="str">
            <v>-</v>
          </cell>
          <cell r="R669" t="str">
            <v>-</v>
          </cell>
          <cell r="S669" t="str">
            <v>-</v>
          </cell>
          <cell r="T669" t="str">
            <v>-</v>
          </cell>
          <cell r="U669" t="str">
            <v>T</v>
          </cell>
          <cell r="V669" t="str">
            <v>SS</v>
          </cell>
          <cell r="W669" t="str">
            <v>-</v>
          </cell>
          <cell r="X669" t="str">
            <v>CLP (CC) VG 220 = -15° + 40°</v>
          </cell>
          <cell r="Y669" t="str">
            <v>KH87/TR57DRN90S4</v>
          </cell>
          <cell r="Z669" t="str">
            <v>SEW</v>
          </cell>
          <cell r="AB669" t="str">
            <v>-</v>
          </cell>
          <cell r="AF669">
            <v>4.4000000000000004</v>
          </cell>
          <cell r="AG669" t="str">
            <v>DRN90S4</v>
          </cell>
          <cell r="AH669" t="str">
            <v>KH87R57T-DRN90S4A270-X</v>
          </cell>
        </row>
        <row r="670">
          <cell r="A670" t="str">
            <v>MR000666</v>
          </cell>
          <cell r="B670" t="str">
            <v>MR</v>
          </cell>
          <cell r="C670">
            <v>22</v>
          </cell>
          <cell r="D670">
            <v>57</v>
          </cell>
          <cell r="E670" t="str">
            <v>R127</v>
          </cell>
          <cell r="F670">
            <v>3700</v>
          </cell>
          <cell r="G670">
            <v>26.04</v>
          </cell>
          <cell r="H670">
            <v>1.6</v>
          </cell>
          <cell r="I670" t="str">
            <v>From M1 to M2 (10°)</v>
          </cell>
          <cell r="J670" t="str">
            <v>IE3</v>
          </cell>
          <cell r="K670">
            <v>400</v>
          </cell>
          <cell r="L670">
            <v>50</v>
          </cell>
          <cell r="M670">
            <v>38.5</v>
          </cell>
          <cell r="N670">
            <v>55</v>
          </cell>
          <cell r="O670" t="str">
            <v>F(105°C)</v>
          </cell>
          <cell r="P670" t="str">
            <v>270°</v>
          </cell>
          <cell r="Q670" t="str">
            <v>-</v>
          </cell>
          <cell r="R670" t="str">
            <v>-</v>
          </cell>
          <cell r="S670" t="str">
            <v>-</v>
          </cell>
          <cell r="T670" t="str">
            <v>-</v>
          </cell>
          <cell r="U670" t="str">
            <v>-</v>
          </cell>
          <cell r="V670" t="str">
            <v>-</v>
          </cell>
          <cell r="W670" t="str">
            <v>-</v>
          </cell>
          <cell r="X670" t="str">
            <v>CLP (CC) VG 220 = -15° + 40°</v>
          </cell>
          <cell r="Y670" t="str">
            <v>R127DRN180L4</v>
          </cell>
          <cell r="Z670" t="str">
            <v>SEW</v>
          </cell>
          <cell r="AB670" t="str">
            <v>-</v>
          </cell>
          <cell r="AF670">
            <v>57</v>
          </cell>
          <cell r="AG670" t="str">
            <v>DRN180L4</v>
          </cell>
          <cell r="AH670" t="str">
            <v>R127-DRN180L4270-X</v>
          </cell>
        </row>
        <row r="671">
          <cell r="A671" t="str">
            <v>MR000667</v>
          </cell>
          <cell r="B671" t="str">
            <v>MR</v>
          </cell>
          <cell r="C671">
            <v>22</v>
          </cell>
          <cell r="D671">
            <v>65</v>
          </cell>
          <cell r="E671" t="str">
            <v>KH107</v>
          </cell>
          <cell r="F671">
            <v>3210</v>
          </cell>
          <cell r="G671">
            <v>22.62</v>
          </cell>
          <cell r="H671">
            <v>2.2000000000000002</v>
          </cell>
          <cell r="I671" t="str">
            <v>M4A</v>
          </cell>
          <cell r="J671" t="str">
            <v>IE3</v>
          </cell>
          <cell r="K671">
            <v>400</v>
          </cell>
          <cell r="L671">
            <v>50</v>
          </cell>
          <cell r="M671">
            <v>38.5</v>
          </cell>
          <cell r="N671">
            <v>55</v>
          </cell>
          <cell r="O671" t="str">
            <v>F(105°C)</v>
          </cell>
          <cell r="P671" t="str">
            <v>270°</v>
          </cell>
          <cell r="Q671" t="str">
            <v>-</v>
          </cell>
          <cell r="R671" t="str">
            <v>-</v>
          </cell>
          <cell r="S671" t="str">
            <v>Free rotation CCW</v>
          </cell>
          <cell r="T671" t="str">
            <v>-</v>
          </cell>
          <cell r="U671" t="str">
            <v>T</v>
          </cell>
          <cell r="V671" t="str">
            <v>SS</v>
          </cell>
          <cell r="W671" t="str">
            <v>-</v>
          </cell>
          <cell r="X671" t="str">
            <v>CLP (CC) VG 220 = -15° + 40°</v>
          </cell>
          <cell r="Y671" t="str">
            <v>KH107/T DRN180L4 /RS</v>
          </cell>
          <cell r="Z671" t="str">
            <v>SEW</v>
          </cell>
          <cell r="AB671" t="str">
            <v>-</v>
          </cell>
          <cell r="AF671">
            <v>65</v>
          </cell>
          <cell r="AG671" t="str">
            <v>DRN180L4</v>
          </cell>
          <cell r="AH671" t="str">
            <v>KH107T-DRN180L4A270-X</v>
          </cell>
        </row>
        <row r="672">
          <cell r="A672" t="str">
            <v>MR000668</v>
          </cell>
          <cell r="B672" t="str">
            <v>MR</v>
          </cell>
          <cell r="C672">
            <v>15</v>
          </cell>
          <cell r="D672">
            <v>66</v>
          </cell>
          <cell r="E672" t="str">
            <v>KH87</v>
          </cell>
          <cell r="F672">
            <v>2170</v>
          </cell>
          <cell r="G672">
            <v>22.41</v>
          </cell>
          <cell r="H672">
            <v>1.05</v>
          </cell>
          <cell r="I672" t="str">
            <v>M4A</v>
          </cell>
          <cell r="J672" t="str">
            <v>IE3</v>
          </cell>
          <cell r="K672">
            <v>400</v>
          </cell>
          <cell r="L672">
            <v>50</v>
          </cell>
          <cell r="M672">
            <v>29</v>
          </cell>
          <cell r="N672">
            <v>55</v>
          </cell>
          <cell r="O672" t="str">
            <v>F(105°C)</v>
          </cell>
          <cell r="P672" t="str">
            <v>270°</v>
          </cell>
          <cell r="Q672" t="str">
            <v>-</v>
          </cell>
          <cell r="R672" t="str">
            <v>-</v>
          </cell>
          <cell r="S672" t="str">
            <v>Free rotation CCW</v>
          </cell>
          <cell r="T672" t="str">
            <v>-</v>
          </cell>
          <cell r="U672" t="str">
            <v>T</v>
          </cell>
          <cell r="V672" t="str">
            <v>SS</v>
          </cell>
          <cell r="W672" t="str">
            <v>-</v>
          </cell>
          <cell r="X672" t="str">
            <v>CLP (CC) VG 220 = -15° + 40°</v>
          </cell>
          <cell r="Y672" t="str">
            <v>KH87/T DRN160L4 /RS</v>
          </cell>
          <cell r="Z672" t="str">
            <v>SEW</v>
          </cell>
          <cell r="AB672" t="str">
            <v>-</v>
          </cell>
          <cell r="AF672">
            <v>66</v>
          </cell>
          <cell r="AG672" t="str">
            <v>DRN160L4</v>
          </cell>
          <cell r="AH672" t="str">
            <v>KH87T-DRN160L4A270-X</v>
          </cell>
        </row>
        <row r="673">
          <cell r="A673" t="str">
            <v>MR000669</v>
          </cell>
          <cell r="B673" t="str">
            <v>MR</v>
          </cell>
          <cell r="C673">
            <v>7.5</v>
          </cell>
          <cell r="D673">
            <v>73</v>
          </cell>
          <cell r="E673" t="str">
            <v>R97</v>
          </cell>
          <cell r="F673">
            <v>980</v>
          </cell>
          <cell r="G673">
            <v>20.14</v>
          </cell>
          <cell r="H673">
            <v>2.1</v>
          </cell>
          <cell r="I673" t="str">
            <v>From M1 to M4 (10°)</v>
          </cell>
          <cell r="J673" t="str">
            <v>IE3</v>
          </cell>
          <cell r="K673">
            <v>400</v>
          </cell>
          <cell r="L673">
            <v>50</v>
          </cell>
          <cell r="M673">
            <v>26.5</v>
          </cell>
          <cell r="N673">
            <v>55</v>
          </cell>
          <cell r="O673" t="str">
            <v>F(105°C)</v>
          </cell>
          <cell r="P673" t="str">
            <v>270°</v>
          </cell>
          <cell r="Q673" t="str">
            <v>-</v>
          </cell>
          <cell r="R673" t="str">
            <v>-</v>
          </cell>
          <cell r="S673" t="str">
            <v>-</v>
          </cell>
          <cell r="T673" t="str">
            <v>-</v>
          </cell>
          <cell r="U673" t="str">
            <v>-</v>
          </cell>
          <cell r="V673" t="str">
            <v>D</v>
          </cell>
          <cell r="W673" t="str">
            <v>-</v>
          </cell>
          <cell r="X673" t="str">
            <v>CLP (CC) VG 220 = -15° + 40°</v>
          </cell>
          <cell r="Y673" t="str">
            <v>R97/II2GDEDRN132M4/3D/AL</v>
          </cell>
          <cell r="Z673" t="str">
            <v>SEW</v>
          </cell>
          <cell r="AB673" t="str">
            <v>ATEX22</v>
          </cell>
          <cell r="AF673">
            <v>73</v>
          </cell>
          <cell r="AG673" t="str">
            <v>EDRN132M4</v>
          </cell>
          <cell r="AH673" t="str">
            <v>R97-EDRN132M4270-X</v>
          </cell>
        </row>
        <row r="674">
          <cell r="A674" t="str">
            <v>MR000670</v>
          </cell>
          <cell r="B674" t="str">
            <v>MR</v>
          </cell>
          <cell r="C674">
            <v>30</v>
          </cell>
          <cell r="D674">
            <v>37</v>
          </cell>
          <cell r="E674" t="str">
            <v>R147</v>
          </cell>
          <cell r="F674">
            <v>7790</v>
          </cell>
          <cell r="G674">
            <v>40.29</v>
          </cell>
          <cell r="H674">
            <v>1.65</v>
          </cell>
          <cell r="I674" t="str">
            <v>M1</v>
          </cell>
          <cell r="J674" t="str">
            <v>IE3</v>
          </cell>
          <cell r="K674">
            <v>400</v>
          </cell>
          <cell r="L674">
            <v>50</v>
          </cell>
          <cell r="M674">
            <v>64</v>
          </cell>
          <cell r="N674">
            <v>55</v>
          </cell>
          <cell r="O674" t="str">
            <v>F(105°C)</v>
          </cell>
          <cell r="P674" t="str">
            <v>270°</v>
          </cell>
          <cell r="Q674" t="str">
            <v>TF</v>
          </cell>
          <cell r="R674" t="str">
            <v>V(VE)</v>
          </cell>
          <cell r="S674" t="str">
            <v>-</v>
          </cell>
          <cell r="T674" t="str">
            <v>-</v>
          </cell>
          <cell r="U674" t="str">
            <v>-</v>
          </cell>
          <cell r="V674" t="str">
            <v>FC</v>
          </cell>
          <cell r="W674" t="str">
            <v>-</v>
          </cell>
          <cell r="X674" t="str">
            <v>CLP (CC) VG 220 = -15° + 40°</v>
          </cell>
          <cell r="Y674" t="str">
            <v>R147DRN200L4 /TF/V</v>
          </cell>
          <cell r="Z674" t="str">
            <v>SEW</v>
          </cell>
          <cell r="AB674" t="str">
            <v>-</v>
          </cell>
          <cell r="AF674">
            <v>37</v>
          </cell>
          <cell r="AG674" t="str">
            <v>DRN200L4</v>
          </cell>
          <cell r="AH674" t="str">
            <v>R147-DRN200L4270-X#</v>
          </cell>
        </row>
        <row r="675">
          <cell r="A675" t="str">
            <v>MR000671</v>
          </cell>
          <cell r="B675" t="str">
            <v>MR</v>
          </cell>
          <cell r="C675">
            <v>15</v>
          </cell>
          <cell r="D675">
            <v>13</v>
          </cell>
          <cell r="E675" t="str">
            <v>KH127</v>
          </cell>
          <cell r="F675">
            <v>10700</v>
          </cell>
          <cell r="G675">
            <v>110.18</v>
          </cell>
          <cell r="H675">
            <v>1.2</v>
          </cell>
          <cell r="I675" t="str">
            <v xml:space="preserve">From M1A to M2A (50°) </v>
          </cell>
          <cell r="J675" t="str">
            <v>IE3</v>
          </cell>
          <cell r="K675">
            <v>400</v>
          </cell>
          <cell r="L675">
            <v>50</v>
          </cell>
          <cell r="M675">
            <v>29</v>
          </cell>
          <cell r="N675">
            <v>55</v>
          </cell>
          <cell r="O675" t="str">
            <v>F(105°C)</v>
          </cell>
          <cell r="P675" t="str">
            <v>270°</v>
          </cell>
          <cell r="Q675" t="str">
            <v>TF</v>
          </cell>
          <cell r="R675" t="str">
            <v>V(VE)</v>
          </cell>
          <cell r="S675" t="str">
            <v>-</v>
          </cell>
          <cell r="T675" t="str">
            <v>-</v>
          </cell>
          <cell r="U675" t="str">
            <v>-</v>
          </cell>
          <cell r="V675" t="str">
            <v>FC</v>
          </cell>
          <cell r="W675" t="str">
            <v>-</v>
          </cell>
          <cell r="X675" t="str">
            <v>CLP (CC) VG 220 = -15° + 40°</v>
          </cell>
          <cell r="Y675" t="str">
            <v>KH127DRN160L4 /TF/V</v>
          </cell>
          <cell r="Z675" t="str">
            <v>SEW</v>
          </cell>
          <cell r="AB675" t="str">
            <v>-</v>
          </cell>
          <cell r="AE675" t="str">
            <v>Chain speed 0,4m/sec at 35HZ</v>
          </cell>
          <cell r="AF675">
            <v>13</v>
          </cell>
          <cell r="AG675" t="str">
            <v>DRN160L4</v>
          </cell>
          <cell r="AH675" t="str">
            <v>KH127-DRN160L4A270-X#</v>
          </cell>
        </row>
        <row r="676">
          <cell r="A676" t="str">
            <v>MR000672</v>
          </cell>
          <cell r="B676" t="str">
            <v>MR</v>
          </cell>
          <cell r="C676">
            <v>15</v>
          </cell>
          <cell r="D676">
            <v>13</v>
          </cell>
          <cell r="E676" t="str">
            <v>KH127</v>
          </cell>
          <cell r="F676">
            <v>10700</v>
          </cell>
          <cell r="G676">
            <v>110.18</v>
          </cell>
          <cell r="H676">
            <v>1.2</v>
          </cell>
          <cell r="I676" t="str">
            <v xml:space="preserve">From M1B to M2B (50°) </v>
          </cell>
          <cell r="J676" t="str">
            <v>IE3</v>
          </cell>
          <cell r="K676">
            <v>400</v>
          </cell>
          <cell r="L676">
            <v>50</v>
          </cell>
          <cell r="M676">
            <v>29</v>
          </cell>
          <cell r="N676">
            <v>55</v>
          </cell>
          <cell r="O676" t="str">
            <v>F(105°C)</v>
          </cell>
          <cell r="P676" t="str">
            <v>270°</v>
          </cell>
          <cell r="Q676" t="str">
            <v>TF</v>
          </cell>
          <cell r="R676" t="str">
            <v>V(VE)</v>
          </cell>
          <cell r="S676" t="str">
            <v>-</v>
          </cell>
          <cell r="T676" t="str">
            <v>-</v>
          </cell>
          <cell r="U676" t="str">
            <v>-</v>
          </cell>
          <cell r="V676" t="str">
            <v>FC</v>
          </cell>
          <cell r="W676" t="str">
            <v>-</v>
          </cell>
          <cell r="X676" t="str">
            <v>CLP (CC) VG 220 = -15° + 40°</v>
          </cell>
          <cell r="Y676" t="str">
            <v>KH127DRN160L4 /TF/V</v>
          </cell>
          <cell r="Z676" t="str">
            <v>SEW</v>
          </cell>
          <cell r="AB676" t="str">
            <v>-</v>
          </cell>
          <cell r="AE676" t="str">
            <v>Chain speed 0,4m/sec at 35HZ</v>
          </cell>
          <cell r="AF676">
            <v>13</v>
          </cell>
          <cell r="AG676" t="str">
            <v>DRN160L4</v>
          </cell>
          <cell r="AH676" t="str">
            <v>KH127-DRN160L4B270-X#</v>
          </cell>
        </row>
        <row r="677">
          <cell r="A677" t="str">
            <v>MR000673</v>
          </cell>
          <cell r="B677" t="str">
            <v>MR</v>
          </cell>
          <cell r="C677">
            <v>18.5</v>
          </cell>
          <cell r="D677">
            <v>59</v>
          </cell>
          <cell r="E677" t="str">
            <v>R107</v>
          </cell>
          <cell r="F677">
            <v>2970</v>
          </cell>
          <cell r="G677">
            <v>24.9</v>
          </cell>
          <cell r="H677">
            <v>1.45</v>
          </cell>
          <cell r="I677" t="str">
            <v>From M1 to M4 ( 20°)</v>
          </cell>
          <cell r="J677" t="str">
            <v>IE3</v>
          </cell>
          <cell r="K677">
            <v>400</v>
          </cell>
          <cell r="L677">
            <v>50</v>
          </cell>
          <cell r="M677">
            <v>33.5</v>
          </cell>
          <cell r="N677">
            <v>55</v>
          </cell>
          <cell r="O677" t="str">
            <v>F(105°C)</v>
          </cell>
          <cell r="P677" t="str">
            <v>270°</v>
          </cell>
          <cell r="Q677" t="str">
            <v>-</v>
          </cell>
          <cell r="R677" t="str">
            <v>-</v>
          </cell>
          <cell r="S677" t="str">
            <v>-</v>
          </cell>
          <cell r="T677" t="str">
            <v>-</v>
          </cell>
          <cell r="U677" t="str">
            <v>-</v>
          </cell>
          <cell r="V677" t="str">
            <v>D</v>
          </cell>
          <cell r="W677" t="str">
            <v>-</v>
          </cell>
          <cell r="X677" t="str">
            <v>CLP (CC) VG 220 = -15° + 40°</v>
          </cell>
          <cell r="Y677" t="str">
            <v>R107DRN180M4</v>
          </cell>
          <cell r="Z677" t="str">
            <v>SEW</v>
          </cell>
          <cell r="AB677" t="str">
            <v>-</v>
          </cell>
          <cell r="AF677">
            <v>59</v>
          </cell>
          <cell r="AG677" t="str">
            <v>DRN180M4</v>
          </cell>
          <cell r="AH677" t="str">
            <v>R107-DRN180M4270-X</v>
          </cell>
        </row>
        <row r="678">
          <cell r="A678" t="str">
            <v>MR000674</v>
          </cell>
          <cell r="B678" t="str">
            <v>MR</v>
          </cell>
          <cell r="C678">
            <v>0.55000000000000004</v>
          </cell>
          <cell r="D678">
            <v>31</v>
          </cell>
          <cell r="E678" t="str">
            <v>FA37</v>
          </cell>
          <cell r="F678">
            <v>169</v>
          </cell>
          <cell r="G678">
            <v>43.83</v>
          </cell>
          <cell r="H678">
            <v>1.2</v>
          </cell>
          <cell r="I678" t="str">
            <v>M6</v>
          </cell>
          <cell r="J678" t="str">
            <v>IE3</v>
          </cell>
          <cell r="K678">
            <v>400</v>
          </cell>
          <cell r="L678">
            <v>50</v>
          </cell>
          <cell r="M678">
            <v>1.4</v>
          </cell>
          <cell r="N678">
            <v>55</v>
          </cell>
          <cell r="O678" t="str">
            <v>F(105°C)</v>
          </cell>
          <cell r="P678" t="str">
            <v>270°</v>
          </cell>
          <cell r="Q678" t="str">
            <v>-</v>
          </cell>
          <cell r="R678" t="str">
            <v>-</v>
          </cell>
          <cell r="S678" t="str">
            <v>-</v>
          </cell>
          <cell r="T678" t="str">
            <v>BE</v>
          </cell>
          <cell r="U678" t="str">
            <v>G</v>
          </cell>
          <cell r="V678" t="str">
            <v>D+R</v>
          </cell>
          <cell r="W678" t="str">
            <v>-</v>
          </cell>
          <cell r="X678" t="str">
            <v>CLP (CC) VG 220 = -15° + 40°</v>
          </cell>
          <cell r="Y678" t="str">
            <v>FA37/G DRS71M4 /BE</v>
          </cell>
          <cell r="Z678" t="str">
            <v>SEW</v>
          </cell>
          <cell r="AB678" t="str">
            <v>-</v>
          </cell>
          <cell r="AF678">
            <v>31</v>
          </cell>
          <cell r="AG678" t="str">
            <v>DRS71M4</v>
          </cell>
          <cell r="AH678" t="str">
            <v>FA37G-DRS71M4270-X</v>
          </cell>
        </row>
        <row r="679">
          <cell r="A679" t="str">
            <v>MR000675</v>
          </cell>
          <cell r="B679" t="str">
            <v>MR</v>
          </cell>
          <cell r="C679">
            <v>30</v>
          </cell>
          <cell r="D679">
            <v>89</v>
          </cell>
          <cell r="E679" t="str">
            <v>KH97</v>
          </cell>
          <cell r="F679">
            <v>3200</v>
          </cell>
          <cell r="G679">
            <v>16.559999999999999</v>
          </cell>
          <cell r="H679">
            <v>1.35</v>
          </cell>
          <cell r="I679" t="str">
            <v>M4A</v>
          </cell>
          <cell r="J679" t="str">
            <v>IE3</v>
          </cell>
          <cell r="K679">
            <v>400</v>
          </cell>
          <cell r="L679">
            <v>50</v>
          </cell>
          <cell r="M679">
            <v>64</v>
          </cell>
          <cell r="N679">
            <v>55</v>
          </cell>
          <cell r="O679" t="str">
            <v>F(105°C)</v>
          </cell>
          <cell r="P679" t="str">
            <v>270°</v>
          </cell>
          <cell r="Q679" t="str">
            <v>TF</v>
          </cell>
          <cell r="R679" t="str">
            <v>V(VE)</v>
          </cell>
          <cell r="S679" t="str">
            <v>Free rotation CCW</v>
          </cell>
          <cell r="T679" t="str">
            <v>-</v>
          </cell>
          <cell r="U679" t="str">
            <v>T</v>
          </cell>
          <cell r="V679" t="str">
            <v>FC</v>
          </cell>
          <cell r="W679" t="str">
            <v>-</v>
          </cell>
          <cell r="X679" t="str">
            <v>CLP HC VG 220 = -20° + 60°</v>
          </cell>
          <cell r="Y679" t="str">
            <v>KH97/T DRN200L4 /RS /TF/V</v>
          </cell>
          <cell r="Z679" t="str">
            <v>SEW</v>
          </cell>
          <cell r="AB679" t="str">
            <v>-</v>
          </cell>
          <cell r="AF679">
            <v>89</v>
          </cell>
          <cell r="AG679" t="str">
            <v>DRN200L4</v>
          </cell>
          <cell r="AH679" t="str">
            <v>KH97T-DRN200L4A270-X#</v>
          </cell>
        </row>
        <row r="680">
          <cell r="A680" t="str">
            <v>MR000676</v>
          </cell>
          <cell r="B680" t="str">
            <v>MR</v>
          </cell>
          <cell r="C680">
            <v>0.75</v>
          </cell>
          <cell r="D680">
            <v>162</v>
          </cell>
          <cell r="E680" t="str">
            <v>KA37</v>
          </cell>
          <cell r="F680">
            <v>44</v>
          </cell>
          <cell r="G680">
            <v>8.91</v>
          </cell>
          <cell r="H680">
            <v>3.6</v>
          </cell>
          <cell r="I680" t="str">
            <v>From M3A to M4A (10°)</v>
          </cell>
          <cell r="J680" t="str">
            <v>IE3</v>
          </cell>
          <cell r="K680">
            <v>400</v>
          </cell>
          <cell r="L680">
            <v>50</v>
          </cell>
          <cell r="M680">
            <v>1.9</v>
          </cell>
          <cell r="N680">
            <v>55</v>
          </cell>
          <cell r="O680" t="str">
            <v>F(105°C)</v>
          </cell>
          <cell r="P680" t="str">
            <v>180°</v>
          </cell>
          <cell r="Q680" t="str">
            <v>-</v>
          </cell>
          <cell r="R680" t="str">
            <v>-</v>
          </cell>
          <cell r="S680" t="str">
            <v>-</v>
          </cell>
          <cell r="T680" t="str">
            <v>-</v>
          </cell>
          <cell r="U680" t="str">
            <v>T</v>
          </cell>
          <cell r="V680" t="str">
            <v>D</v>
          </cell>
          <cell r="W680" t="str">
            <v>-</v>
          </cell>
          <cell r="X680" t="str">
            <v>CLP HC VG 220 = -20° + 60°</v>
          </cell>
          <cell r="Y680" t="str">
            <v>KA37/T DRN80M4</v>
          </cell>
          <cell r="Z680" t="str">
            <v>SEW</v>
          </cell>
          <cell r="AB680" t="str">
            <v>-</v>
          </cell>
          <cell r="AF680">
            <v>162</v>
          </cell>
          <cell r="AG680" t="str">
            <v>DRN80M4</v>
          </cell>
          <cell r="AH680" t="str">
            <v>KA37T-DRN80M4A180-X</v>
          </cell>
        </row>
        <row r="681">
          <cell r="A681" t="str">
            <v>MR000677</v>
          </cell>
          <cell r="B681" t="str">
            <v>MR</v>
          </cell>
          <cell r="C681">
            <v>0.75</v>
          </cell>
          <cell r="D681">
            <v>162</v>
          </cell>
          <cell r="E681" t="str">
            <v>KA37</v>
          </cell>
          <cell r="F681">
            <v>44</v>
          </cell>
          <cell r="G681">
            <v>8.91</v>
          </cell>
          <cell r="H681">
            <v>3.6</v>
          </cell>
          <cell r="I681" t="str">
            <v>M3A</v>
          </cell>
          <cell r="J681" t="str">
            <v>IE3</v>
          </cell>
          <cell r="K681">
            <v>400</v>
          </cell>
          <cell r="L681">
            <v>50</v>
          </cell>
          <cell r="M681">
            <v>1.9</v>
          </cell>
          <cell r="N681">
            <v>55</v>
          </cell>
          <cell r="O681" t="str">
            <v>F(105°C)</v>
          </cell>
          <cell r="P681" t="str">
            <v>180°</v>
          </cell>
          <cell r="Q681" t="str">
            <v>-</v>
          </cell>
          <cell r="R681" t="str">
            <v>-</v>
          </cell>
          <cell r="S681" t="str">
            <v>-</v>
          </cell>
          <cell r="T681" t="str">
            <v>-</v>
          </cell>
          <cell r="U681" t="str">
            <v>T</v>
          </cell>
          <cell r="V681" t="str">
            <v>D</v>
          </cell>
          <cell r="W681" t="str">
            <v>-</v>
          </cell>
          <cell r="X681" t="str">
            <v>CLP HC VG 220 = -20° + 60°</v>
          </cell>
          <cell r="Y681" t="str">
            <v>KA37/T DRN80M4</v>
          </cell>
          <cell r="Z681" t="str">
            <v>SEW</v>
          </cell>
          <cell r="AB681" t="str">
            <v>-</v>
          </cell>
          <cell r="AF681">
            <v>162</v>
          </cell>
          <cell r="AG681" t="str">
            <v>DRN80M4</v>
          </cell>
          <cell r="AH681" t="str">
            <v>KA37T-DRN80M4A180-X</v>
          </cell>
        </row>
        <row r="682">
          <cell r="A682" t="str">
            <v>MR000678</v>
          </cell>
          <cell r="B682" t="str">
            <v>MR</v>
          </cell>
          <cell r="C682">
            <v>37</v>
          </cell>
          <cell r="D682">
            <v>89</v>
          </cell>
          <cell r="E682" t="str">
            <v>KH107</v>
          </cell>
          <cell r="F682">
            <v>3990</v>
          </cell>
          <cell r="G682">
            <v>16.75</v>
          </cell>
          <cell r="H682">
            <v>1.75</v>
          </cell>
          <cell r="I682" t="str">
            <v>M4A</v>
          </cell>
          <cell r="J682" t="str">
            <v>IE3</v>
          </cell>
          <cell r="K682">
            <v>400</v>
          </cell>
          <cell r="L682">
            <v>50</v>
          </cell>
          <cell r="M682">
            <v>64</v>
          </cell>
          <cell r="N682">
            <v>55</v>
          </cell>
          <cell r="O682" t="str">
            <v>F(105°C)</v>
          </cell>
          <cell r="P682" t="str">
            <v>270°</v>
          </cell>
          <cell r="Q682" t="str">
            <v>TF</v>
          </cell>
          <cell r="R682" t="str">
            <v>V(VE)</v>
          </cell>
          <cell r="S682" t="str">
            <v>Free rotation CCW</v>
          </cell>
          <cell r="T682" t="str">
            <v>-</v>
          </cell>
          <cell r="U682" t="str">
            <v>T</v>
          </cell>
          <cell r="V682" t="str">
            <v>FC</v>
          </cell>
          <cell r="W682" t="str">
            <v>-</v>
          </cell>
          <cell r="X682" t="str">
            <v>CLP HC VG 220 = -20° + 60°</v>
          </cell>
          <cell r="Y682" t="str">
            <v>KH107/T DRN225S4 /RS /TF/V</v>
          </cell>
          <cell r="Z682" t="str">
            <v>SEW</v>
          </cell>
          <cell r="AB682" t="str">
            <v>-</v>
          </cell>
          <cell r="AF682">
            <v>89</v>
          </cell>
          <cell r="AG682" t="str">
            <v>DRN225S4</v>
          </cell>
          <cell r="AH682" t="str">
            <v>KH107T-DRN225S4A270-X#</v>
          </cell>
        </row>
        <row r="683">
          <cell r="A683" t="str">
            <v>MR000679</v>
          </cell>
          <cell r="B683" t="str">
            <v>MR</v>
          </cell>
          <cell r="C683">
            <v>7.5</v>
          </cell>
          <cell r="D683">
            <v>73</v>
          </cell>
          <cell r="E683" t="str">
            <v>R97</v>
          </cell>
          <cell r="F683">
            <v>980</v>
          </cell>
          <cell r="G683">
            <v>20.14</v>
          </cell>
          <cell r="H683">
            <v>2.1</v>
          </cell>
          <cell r="I683" t="str">
            <v>From M1 to M2 (24°)</v>
          </cell>
          <cell r="J683" t="str">
            <v>IE3</v>
          </cell>
          <cell r="K683">
            <v>400</v>
          </cell>
          <cell r="L683">
            <v>50</v>
          </cell>
          <cell r="M683">
            <v>26.5</v>
          </cell>
          <cell r="N683">
            <v>55</v>
          </cell>
          <cell r="O683" t="str">
            <v>F(105°C)</v>
          </cell>
          <cell r="P683" t="str">
            <v>270°</v>
          </cell>
          <cell r="Q683" t="str">
            <v>-</v>
          </cell>
          <cell r="R683" t="str">
            <v>-</v>
          </cell>
          <cell r="S683" t="str">
            <v>-</v>
          </cell>
          <cell r="T683" t="str">
            <v>-</v>
          </cell>
          <cell r="U683" t="str">
            <v>-</v>
          </cell>
          <cell r="V683" t="str">
            <v>D</v>
          </cell>
          <cell r="W683" t="str">
            <v>-</v>
          </cell>
          <cell r="X683" t="str">
            <v>CLP (CC) VG 220 = -15° + 40°</v>
          </cell>
          <cell r="Y683" t="str">
            <v>R97/II2GDEDRN132M4/3D/AL</v>
          </cell>
          <cell r="Z683" t="str">
            <v>SEW</v>
          </cell>
          <cell r="AB683" t="str">
            <v>ATEX22</v>
          </cell>
          <cell r="AF683">
            <v>73</v>
          </cell>
          <cell r="AG683" t="str">
            <v>EDRN132M4</v>
          </cell>
          <cell r="AH683" t="str">
            <v>R97-EDRN132M4270-X</v>
          </cell>
        </row>
        <row r="684">
          <cell r="A684" t="str">
            <v>MR000680</v>
          </cell>
          <cell r="B684" t="str">
            <v>MR</v>
          </cell>
          <cell r="C684">
            <v>7.5</v>
          </cell>
          <cell r="D684">
            <v>54</v>
          </cell>
          <cell r="E684" t="str">
            <v>R97</v>
          </cell>
          <cell r="F684">
            <v>1320</v>
          </cell>
          <cell r="G684">
            <v>27.19</v>
          </cell>
          <cell r="H684">
            <v>1.7</v>
          </cell>
          <cell r="I684" t="str">
            <v>M1</v>
          </cell>
          <cell r="J684" t="str">
            <v>IE3</v>
          </cell>
          <cell r="K684">
            <v>400</v>
          </cell>
          <cell r="L684">
            <v>50</v>
          </cell>
          <cell r="M684">
            <v>26.5</v>
          </cell>
          <cell r="N684">
            <v>55</v>
          </cell>
          <cell r="O684" t="str">
            <v>F(105°C)</v>
          </cell>
          <cell r="P684" t="str">
            <v>270°</v>
          </cell>
          <cell r="Q684" t="str">
            <v>-</v>
          </cell>
          <cell r="R684" t="str">
            <v>-</v>
          </cell>
          <cell r="S684" t="str">
            <v>-</v>
          </cell>
          <cell r="T684" t="str">
            <v>-</v>
          </cell>
          <cell r="U684" t="str">
            <v>-</v>
          </cell>
          <cell r="V684" t="str">
            <v>D</v>
          </cell>
          <cell r="W684" t="str">
            <v>-</v>
          </cell>
          <cell r="X684" t="str">
            <v>CLP (CC) VG 220 = -15° + 40°</v>
          </cell>
          <cell r="Y684" t="str">
            <v>R97/II2GDEDRN132M4/3D/AL</v>
          </cell>
          <cell r="Z684" t="str">
            <v>SEW</v>
          </cell>
          <cell r="AB684" t="str">
            <v>ATEX22</v>
          </cell>
          <cell r="AF684">
            <v>54</v>
          </cell>
          <cell r="AG684" t="str">
            <v>EDRN132M4</v>
          </cell>
          <cell r="AH684" t="str">
            <v>R97-EDRN132M4270-X</v>
          </cell>
        </row>
        <row r="685">
          <cell r="A685" t="str">
            <v>MR000681</v>
          </cell>
          <cell r="B685" t="str">
            <v>MR</v>
          </cell>
          <cell r="C685">
            <v>1.5</v>
          </cell>
          <cell r="D685">
            <v>22</v>
          </cell>
          <cell r="E685" t="str">
            <v>FA67</v>
          </cell>
          <cell r="F685">
            <v>660</v>
          </cell>
          <cell r="G685">
            <v>67.650000000000006</v>
          </cell>
          <cell r="H685">
            <v>1.1499999999999999</v>
          </cell>
          <cell r="I685" t="str">
            <v>M6</v>
          </cell>
          <cell r="J685" t="str">
            <v>IE3</v>
          </cell>
          <cell r="K685">
            <v>400</v>
          </cell>
          <cell r="L685">
            <v>50</v>
          </cell>
          <cell r="M685">
            <v>3.4</v>
          </cell>
          <cell r="N685">
            <v>55</v>
          </cell>
          <cell r="O685" t="str">
            <v>F(105°C)</v>
          </cell>
          <cell r="P685" t="str">
            <v>270°</v>
          </cell>
          <cell r="Q685" t="str">
            <v>TF</v>
          </cell>
          <cell r="R685" t="str">
            <v>-</v>
          </cell>
          <cell r="S685" t="str">
            <v>-</v>
          </cell>
          <cell r="T685" t="str">
            <v>BE</v>
          </cell>
          <cell r="U685" t="str">
            <v>G</v>
          </cell>
          <cell r="V685" t="str">
            <v>D</v>
          </cell>
          <cell r="W685" t="str">
            <v>-</v>
          </cell>
          <cell r="X685" t="str">
            <v>CLP (CC) VG 220 = -15° + 40°</v>
          </cell>
          <cell r="Y685" t="str">
            <v>FA67/G EDRN90L4 /BE /TF</v>
          </cell>
          <cell r="Z685" t="str">
            <v>SEW</v>
          </cell>
          <cell r="AB685" t="str">
            <v>ATEX22</v>
          </cell>
          <cell r="AE685" t="str">
            <v>Provide rectifier module in the electrical cabinet</v>
          </cell>
          <cell r="AF685">
            <v>22</v>
          </cell>
          <cell r="AG685" t="str">
            <v>EDRN90L4</v>
          </cell>
          <cell r="AH685" t="str">
            <v>FA67G-EDRN90L4270-X</v>
          </cell>
        </row>
        <row r="686">
          <cell r="A686" t="str">
            <v>MR000682</v>
          </cell>
          <cell r="B686" t="str">
            <v>MR</v>
          </cell>
          <cell r="C686">
            <v>0.55000000000000004</v>
          </cell>
          <cell r="D686">
            <v>0.71</v>
          </cell>
          <cell r="E686" t="str">
            <v>KH107R77</v>
          </cell>
          <cell r="F686">
            <v>6540</v>
          </cell>
          <cell r="G686">
            <v>1939</v>
          </cell>
          <cell r="H686">
            <v>1.2</v>
          </cell>
          <cell r="I686" t="str">
            <v>From M1B to M4B - 55°</v>
          </cell>
          <cell r="J686" t="str">
            <v>IE3</v>
          </cell>
          <cell r="K686">
            <v>400</v>
          </cell>
          <cell r="L686">
            <v>50</v>
          </cell>
          <cell r="N686">
            <v>55</v>
          </cell>
          <cell r="O686" t="str">
            <v>F(105°C)</v>
          </cell>
          <cell r="P686" t="str">
            <v>270°</v>
          </cell>
          <cell r="Q686" t="str">
            <v>-</v>
          </cell>
          <cell r="R686" t="str">
            <v>-</v>
          </cell>
          <cell r="S686" t="str">
            <v>-</v>
          </cell>
          <cell r="T686" t="str">
            <v>-</v>
          </cell>
          <cell r="U686" t="str">
            <v>-</v>
          </cell>
          <cell r="V686" t="str">
            <v>D</v>
          </cell>
          <cell r="W686" t="str">
            <v>-</v>
          </cell>
          <cell r="X686" t="str">
            <v xml:space="preserve"> -</v>
          </cell>
          <cell r="Y686" t="str">
            <v>KH107R77DRS71M4</v>
          </cell>
          <cell r="Z686" t="str">
            <v>SEW</v>
          </cell>
          <cell r="AB686" t="str">
            <v>-</v>
          </cell>
          <cell r="AF686">
            <v>0.71</v>
          </cell>
          <cell r="AG686" t="str">
            <v>DRS71M4</v>
          </cell>
          <cell r="AH686" t="str">
            <v>KH107R77-DRS71M4B270-X</v>
          </cell>
        </row>
        <row r="687">
          <cell r="A687" t="str">
            <v>MR000683</v>
          </cell>
          <cell r="B687" t="str">
            <v>MR</v>
          </cell>
          <cell r="C687">
            <v>18.5</v>
          </cell>
          <cell r="D687">
            <v>18</v>
          </cell>
          <cell r="E687" t="str">
            <v>KH127</v>
          </cell>
          <cell r="F687">
            <v>9790</v>
          </cell>
          <cell r="G687">
            <v>81.98</v>
          </cell>
          <cell r="H687">
            <v>1.35</v>
          </cell>
          <cell r="I687" t="str">
            <v>From M3A to M4A - 60°</v>
          </cell>
          <cell r="J687" t="str">
            <v>IE3</v>
          </cell>
          <cell r="K687">
            <v>400</v>
          </cell>
          <cell r="L687">
            <v>50</v>
          </cell>
          <cell r="N687">
            <v>55</v>
          </cell>
          <cell r="O687" t="str">
            <v>F(105°C)</v>
          </cell>
          <cell r="P687" t="str">
            <v>270°</v>
          </cell>
          <cell r="Q687" t="str">
            <v>TF</v>
          </cell>
          <cell r="R687" t="str">
            <v>V(VE)</v>
          </cell>
          <cell r="S687" t="str">
            <v>-</v>
          </cell>
          <cell r="T687" t="str">
            <v>-</v>
          </cell>
          <cell r="U687" t="str">
            <v>-</v>
          </cell>
          <cell r="V687" t="str">
            <v>FC</v>
          </cell>
          <cell r="W687" t="str">
            <v>-</v>
          </cell>
          <cell r="X687" t="str">
            <v xml:space="preserve"> -</v>
          </cell>
          <cell r="Y687" t="str">
            <v>KH127DRN180M4 /TF/V</v>
          </cell>
          <cell r="Z687" t="str">
            <v>SEW</v>
          </cell>
          <cell r="AB687" t="str">
            <v>-</v>
          </cell>
          <cell r="AF687">
            <v>18</v>
          </cell>
          <cell r="AG687" t="str">
            <v>DRN180M4</v>
          </cell>
          <cell r="AH687" t="str">
            <v>KH127-DRN180M4A270-X#</v>
          </cell>
        </row>
        <row r="688">
          <cell r="A688" t="str">
            <v>MR000684</v>
          </cell>
          <cell r="B688" t="str">
            <v>MR</v>
          </cell>
          <cell r="C688">
            <v>22</v>
          </cell>
          <cell r="D688">
            <v>15</v>
          </cell>
          <cell r="E688" t="str">
            <v>KH157</v>
          </cell>
          <cell r="F688">
            <v>14200</v>
          </cell>
          <cell r="G688">
            <v>100.22</v>
          </cell>
          <cell r="H688">
            <v>1.25</v>
          </cell>
          <cell r="I688" t="str">
            <v xml:space="preserve">From M1B to M2B (35°) </v>
          </cell>
          <cell r="J688" t="str">
            <v>IE3</v>
          </cell>
          <cell r="K688">
            <v>400</v>
          </cell>
          <cell r="L688">
            <v>50</v>
          </cell>
          <cell r="M688">
            <v>38.5</v>
          </cell>
          <cell r="N688">
            <v>55</v>
          </cell>
          <cell r="O688" t="str">
            <v>F(105°C)</v>
          </cell>
          <cell r="P688" t="str">
            <v>270°</v>
          </cell>
          <cell r="Q688" t="str">
            <v>TF</v>
          </cell>
          <cell r="R688" t="str">
            <v>V(VE)</v>
          </cell>
          <cell r="S688" t="str">
            <v>-</v>
          </cell>
          <cell r="T688" t="str">
            <v>-</v>
          </cell>
          <cell r="U688" t="str">
            <v>-</v>
          </cell>
          <cell r="V688" t="str">
            <v>FC</v>
          </cell>
          <cell r="W688" t="str">
            <v>-</v>
          </cell>
          <cell r="X688" t="str">
            <v>CLP (CC) VG 220 = -15° + 40°</v>
          </cell>
          <cell r="Y688" t="str">
            <v>KH157DRN180L4 /TF/V</v>
          </cell>
          <cell r="Z688" t="str">
            <v>SEW</v>
          </cell>
          <cell r="AB688" t="str">
            <v>-</v>
          </cell>
          <cell r="AE688" t="str">
            <v>Chain speed 0,4m/sec at 40HZ</v>
          </cell>
          <cell r="AF688">
            <v>15</v>
          </cell>
          <cell r="AG688" t="str">
            <v>DRN180L4</v>
          </cell>
          <cell r="AH688" t="str">
            <v>KH157-DRN180L4B270-X#</v>
          </cell>
        </row>
        <row r="689">
          <cell r="A689" t="str">
            <v>MR000685</v>
          </cell>
          <cell r="B689" t="str">
            <v>MR</v>
          </cell>
          <cell r="C689">
            <v>11</v>
          </cell>
          <cell r="D689">
            <v>92</v>
          </cell>
          <cell r="E689" t="str">
            <v>KH87</v>
          </cell>
          <cell r="F689">
            <v>1140</v>
          </cell>
          <cell r="G689">
            <v>16</v>
          </cell>
          <cell r="H689">
            <v>1.6</v>
          </cell>
          <cell r="I689" t="str">
            <v>M4B</v>
          </cell>
          <cell r="J689" t="str">
            <v>IE3</v>
          </cell>
          <cell r="K689">
            <v>400</v>
          </cell>
          <cell r="L689">
            <v>50</v>
          </cell>
          <cell r="M689">
            <v>21</v>
          </cell>
          <cell r="N689">
            <v>55</v>
          </cell>
          <cell r="O689" t="str">
            <v>F(105°C)</v>
          </cell>
          <cell r="P689" t="str">
            <v>270°</v>
          </cell>
          <cell r="Q689" t="str">
            <v>-</v>
          </cell>
          <cell r="R689" t="str">
            <v>-</v>
          </cell>
          <cell r="S689" t="str">
            <v>Free rotation CW</v>
          </cell>
          <cell r="T689" t="str">
            <v>-</v>
          </cell>
          <cell r="U689" t="str">
            <v>T</v>
          </cell>
          <cell r="V689" t="str">
            <v>SS</v>
          </cell>
          <cell r="W689" t="str">
            <v>-</v>
          </cell>
          <cell r="X689" t="str">
            <v>CLP (CC) VG 220 = -15° + 40°</v>
          </cell>
          <cell r="Y689" t="str">
            <v>KH87/T DRN160M4 /RS</v>
          </cell>
          <cell r="Z689" t="str">
            <v>SEW</v>
          </cell>
          <cell r="AB689" t="str">
            <v>-</v>
          </cell>
          <cell r="AF689">
            <v>92</v>
          </cell>
          <cell r="AG689" t="str">
            <v>DRN160M4</v>
          </cell>
          <cell r="AH689" t="str">
            <v>KH87T-DRN160M4B270-X</v>
          </cell>
        </row>
        <row r="690">
          <cell r="A690" t="str">
            <v>MR000686</v>
          </cell>
          <cell r="B690" t="str">
            <v>MR</v>
          </cell>
          <cell r="C690">
            <v>0.75</v>
          </cell>
          <cell r="D690">
            <v>162</v>
          </cell>
          <cell r="E690" t="str">
            <v>KA37</v>
          </cell>
          <cell r="F690">
            <v>44</v>
          </cell>
          <cell r="G690">
            <v>8.91</v>
          </cell>
          <cell r="H690">
            <v>3.6</v>
          </cell>
          <cell r="I690" t="str">
            <v>M3B</v>
          </cell>
          <cell r="J690" t="str">
            <v>IE3</v>
          </cell>
          <cell r="K690">
            <v>400</v>
          </cell>
          <cell r="L690">
            <v>50</v>
          </cell>
          <cell r="M690">
            <v>1.75</v>
          </cell>
          <cell r="N690">
            <v>55</v>
          </cell>
          <cell r="O690" t="str">
            <v>F(105°C)</v>
          </cell>
          <cell r="P690" t="str">
            <v>0°</v>
          </cell>
          <cell r="Q690" t="str">
            <v>-</v>
          </cell>
          <cell r="R690" t="str">
            <v>-</v>
          </cell>
          <cell r="S690" t="str">
            <v>-</v>
          </cell>
          <cell r="T690" t="str">
            <v>-</v>
          </cell>
          <cell r="U690" t="str">
            <v>T</v>
          </cell>
          <cell r="V690" t="str">
            <v>D</v>
          </cell>
          <cell r="W690" t="str">
            <v>-</v>
          </cell>
          <cell r="X690" t="str">
            <v>CLP (CC) VG 220 = -15° + 40°</v>
          </cell>
          <cell r="Y690" t="str">
            <v>KA37/T DRN80M4</v>
          </cell>
          <cell r="Z690" t="str">
            <v>SEW</v>
          </cell>
          <cell r="AB690" t="str">
            <v>-</v>
          </cell>
          <cell r="AF690">
            <v>162</v>
          </cell>
          <cell r="AG690" t="str">
            <v>DRN80M4</v>
          </cell>
          <cell r="AH690" t="str">
            <v>KA37T-DRN80M4B0-X</v>
          </cell>
        </row>
        <row r="691">
          <cell r="A691" t="str">
            <v>MR000687</v>
          </cell>
          <cell r="B691" t="str">
            <v>MR</v>
          </cell>
          <cell r="C691">
            <v>3</v>
          </cell>
          <cell r="D691">
            <v>367</v>
          </cell>
          <cell r="E691" t="str">
            <v>R67</v>
          </cell>
          <cell r="F691">
            <v>145</v>
          </cell>
          <cell r="G691">
            <v>7.36</v>
          </cell>
          <cell r="H691">
            <v>1.85</v>
          </cell>
          <cell r="I691" t="str">
            <v>M5</v>
          </cell>
          <cell r="J691" t="str">
            <v>IE2</v>
          </cell>
          <cell r="K691" t="str">
            <v>230/400</v>
          </cell>
          <cell r="L691">
            <v>50</v>
          </cell>
          <cell r="M691">
            <v>6.4</v>
          </cell>
          <cell r="N691">
            <v>54</v>
          </cell>
          <cell r="O691" t="str">
            <v>F(105°C)</v>
          </cell>
          <cell r="P691" t="str">
            <v>180°</v>
          </cell>
          <cell r="Q691" t="str">
            <v>TF</v>
          </cell>
          <cell r="R691" t="str">
            <v>-</v>
          </cell>
          <cell r="S691" t="str">
            <v>-</v>
          </cell>
          <cell r="T691" t="str">
            <v>BE</v>
          </cell>
          <cell r="U691" t="str">
            <v>-</v>
          </cell>
          <cell r="V691" t="str">
            <v>-</v>
          </cell>
          <cell r="W691" t="str">
            <v>-</v>
          </cell>
          <cell r="X691" t="str">
            <v>CLP HC VG 220 = -20° + 60°</v>
          </cell>
          <cell r="Y691" t="str">
            <v>R67/II2GD EDRE100LC4BE5/3D/KCC/TF/ES7R/AL</v>
          </cell>
          <cell r="Z691" t="str">
            <v>SEW</v>
          </cell>
          <cell r="AB691" t="str">
            <v>ATEX22</v>
          </cell>
          <cell r="AC691" t="str">
            <v>X</v>
          </cell>
          <cell r="AF691">
            <v>367</v>
          </cell>
          <cell r="AG691" t="str">
            <v>EDRE100LC4</v>
          </cell>
          <cell r="AH691" t="str">
            <v>R67-EDRE100LC4180-X</v>
          </cell>
        </row>
        <row r="692">
          <cell r="A692" t="str">
            <v>MR000688</v>
          </cell>
          <cell r="B692" t="str">
            <v>MR</v>
          </cell>
          <cell r="C692" t="str">
            <v>-</v>
          </cell>
          <cell r="D692">
            <v>288</v>
          </cell>
          <cell r="E692" t="str">
            <v>K67</v>
          </cell>
          <cell r="G692">
            <v>7.28</v>
          </cell>
          <cell r="I692" t="str">
            <v>M4A</v>
          </cell>
          <cell r="J692" t="str">
            <v>-</v>
          </cell>
          <cell r="K692">
            <v>400</v>
          </cell>
          <cell r="N692">
            <v>54</v>
          </cell>
          <cell r="O692" t="str">
            <v>F(105°C)</v>
          </cell>
          <cell r="P692" t="str">
            <v>-</v>
          </cell>
          <cell r="Q692" t="str">
            <v>TF</v>
          </cell>
          <cell r="R692" t="str">
            <v>-</v>
          </cell>
          <cell r="S692" t="str">
            <v>-</v>
          </cell>
          <cell r="T692" t="str">
            <v>BE</v>
          </cell>
          <cell r="U692" t="str">
            <v>-</v>
          </cell>
          <cell r="V692" t="str">
            <v>-</v>
          </cell>
          <cell r="W692" t="str">
            <v>-</v>
          </cell>
          <cell r="X692" t="str">
            <v>CLP (CC) VG 220 = -15° + 40°</v>
          </cell>
          <cell r="Y692" t="str">
            <v>K67 DRL100L4BE5/TF/ES7R</v>
          </cell>
          <cell r="Z692" t="str">
            <v>SEW</v>
          </cell>
          <cell r="AB692" t="str">
            <v>-</v>
          </cell>
          <cell r="AC692" t="str">
            <v>X</v>
          </cell>
          <cell r="AF692">
            <v>0</v>
          </cell>
          <cell r="AG692" t="str">
            <v>-</v>
          </cell>
          <cell r="AH692" t="str">
            <v>K67--A--X</v>
          </cell>
        </row>
        <row r="693">
          <cell r="A693" t="str">
            <v>MR000689</v>
          </cell>
          <cell r="B693" t="str">
            <v>MR</v>
          </cell>
          <cell r="C693">
            <v>4</v>
          </cell>
          <cell r="D693">
            <v>198</v>
          </cell>
          <cell r="E693" t="str">
            <v>R67</v>
          </cell>
          <cell r="F693">
            <v>193</v>
          </cell>
          <cell r="G693">
            <v>7.36</v>
          </cell>
          <cell r="H693">
            <v>1.5</v>
          </cell>
          <cell r="I693" t="str">
            <v>M1</v>
          </cell>
          <cell r="J693" t="str">
            <v>IE2</v>
          </cell>
          <cell r="K693" t="str">
            <v>230/400</v>
          </cell>
          <cell r="L693">
            <v>50</v>
          </cell>
          <cell r="N693">
            <v>54</v>
          </cell>
          <cell r="O693" t="str">
            <v>F(105°C)</v>
          </cell>
          <cell r="P693" t="str">
            <v>270°</v>
          </cell>
          <cell r="Q693" t="str">
            <v>TF</v>
          </cell>
          <cell r="R693" t="str">
            <v>-</v>
          </cell>
          <cell r="S693" t="str">
            <v>-</v>
          </cell>
          <cell r="T693" t="str">
            <v>BE</v>
          </cell>
          <cell r="U693" t="str">
            <v>-</v>
          </cell>
          <cell r="V693" t="str">
            <v>-</v>
          </cell>
          <cell r="W693" t="str">
            <v>-</v>
          </cell>
          <cell r="X693" t="str">
            <v>CLP HC VG 220 = -20° + 60°</v>
          </cell>
          <cell r="Y693" t="str">
            <v>R67/II2GD EDRE132S4BE11/3D/KCC/TF/AL</v>
          </cell>
          <cell r="Z693" t="str">
            <v>SEW</v>
          </cell>
          <cell r="AB693" t="str">
            <v>ATEX22</v>
          </cell>
          <cell r="AF693">
            <v>198</v>
          </cell>
          <cell r="AH693" t="str">
            <v>R67-270-X</v>
          </cell>
        </row>
        <row r="694">
          <cell r="A694" t="str">
            <v>MR000690</v>
          </cell>
          <cell r="B694" t="str">
            <v>MR</v>
          </cell>
          <cell r="C694" t="str">
            <v>-</v>
          </cell>
          <cell r="D694">
            <v>198</v>
          </cell>
          <cell r="E694" t="str">
            <v>R67</v>
          </cell>
          <cell r="G694">
            <v>7.36</v>
          </cell>
          <cell r="H694">
            <v>1</v>
          </cell>
          <cell r="I694" t="str">
            <v>M5</v>
          </cell>
          <cell r="J694" t="str">
            <v>IE2</v>
          </cell>
          <cell r="K694" t="str">
            <v>230/400</v>
          </cell>
          <cell r="L694">
            <v>50</v>
          </cell>
          <cell r="N694">
            <v>54</v>
          </cell>
          <cell r="O694" t="str">
            <v>F(105°C)</v>
          </cell>
          <cell r="P694" t="str">
            <v>180°</v>
          </cell>
          <cell r="Q694" t="str">
            <v>TF</v>
          </cell>
          <cell r="R694" t="str">
            <v>-</v>
          </cell>
          <cell r="S694" t="str">
            <v>-</v>
          </cell>
          <cell r="T694" t="str">
            <v>BE</v>
          </cell>
          <cell r="U694" t="str">
            <v>-</v>
          </cell>
          <cell r="V694" t="str">
            <v>-</v>
          </cell>
          <cell r="W694" t="str">
            <v>-</v>
          </cell>
          <cell r="X694" t="str">
            <v>CLP HC VG 220 = -20° + 60°</v>
          </cell>
          <cell r="Y694" t="str">
            <v>R67/II2GD EDRE132M4BE11/3D/KCC/TF/ES7R/AL</v>
          </cell>
          <cell r="Z694" t="str">
            <v>SEW</v>
          </cell>
          <cell r="AB694" t="str">
            <v>ATEX22</v>
          </cell>
          <cell r="AC694" t="str">
            <v>X</v>
          </cell>
          <cell r="AF694">
            <v>198</v>
          </cell>
          <cell r="AG694" t="str">
            <v>-</v>
          </cell>
          <cell r="AH694" t="str">
            <v>R67--180-X</v>
          </cell>
        </row>
        <row r="695">
          <cell r="A695" t="str">
            <v>MR000691</v>
          </cell>
          <cell r="B695" t="str">
            <v>MR</v>
          </cell>
          <cell r="C695">
            <v>11</v>
          </cell>
          <cell r="D695">
            <v>16</v>
          </cell>
          <cell r="E695" t="str">
            <v>KH107</v>
          </cell>
          <cell r="F695">
            <v>6480</v>
          </cell>
          <cell r="G695">
            <v>90.96</v>
          </cell>
          <cell r="H695">
            <v>1.25</v>
          </cell>
          <cell r="I695" t="str">
            <v>From M1A to M4A - 45°</v>
          </cell>
          <cell r="J695" t="str">
            <v>IE3</v>
          </cell>
          <cell r="K695">
            <v>400</v>
          </cell>
          <cell r="L695">
            <v>50</v>
          </cell>
          <cell r="M695">
            <v>21</v>
          </cell>
          <cell r="N695">
            <v>55</v>
          </cell>
          <cell r="O695" t="str">
            <v>F(105°C)</v>
          </cell>
          <cell r="P695" t="str">
            <v>270°</v>
          </cell>
          <cell r="Q695" t="str">
            <v>TF</v>
          </cell>
          <cell r="R695" t="str">
            <v>-</v>
          </cell>
          <cell r="S695" t="str">
            <v>-</v>
          </cell>
          <cell r="T695" t="str">
            <v>-</v>
          </cell>
          <cell r="U695" t="str">
            <v>T</v>
          </cell>
          <cell r="V695" t="str">
            <v>FC</v>
          </cell>
          <cell r="W695" t="str">
            <v>-</v>
          </cell>
          <cell r="X695" t="str">
            <v>CLP (CC) VG 220 = -15° + 40°</v>
          </cell>
          <cell r="Y695" t="str">
            <v>KH107/T DRN160M4 /TF</v>
          </cell>
          <cell r="Z695" t="str">
            <v>SEW</v>
          </cell>
          <cell r="AB695" t="str">
            <v>-</v>
          </cell>
          <cell r="AF695">
            <v>16</v>
          </cell>
          <cell r="AG695" t="str">
            <v>DRN160M4</v>
          </cell>
          <cell r="AH695" t="str">
            <v>KH107T-DRN160M4A270-X</v>
          </cell>
        </row>
        <row r="696">
          <cell r="A696" t="str">
            <v>MR000692</v>
          </cell>
          <cell r="B696" t="str">
            <v>MR</v>
          </cell>
          <cell r="C696">
            <v>11</v>
          </cell>
          <cell r="D696">
            <v>16</v>
          </cell>
          <cell r="E696" t="str">
            <v>KH107</v>
          </cell>
          <cell r="F696">
            <v>6480</v>
          </cell>
          <cell r="G696">
            <v>90.96</v>
          </cell>
          <cell r="H696">
            <v>1.25</v>
          </cell>
          <cell r="I696" t="str">
            <v>From M1B to M4B - 45°</v>
          </cell>
          <cell r="J696" t="str">
            <v>IE3</v>
          </cell>
          <cell r="K696">
            <v>400</v>
          </cell>
          <cell r="L696">
            <v>50</v>
          </cell>
          <cell r="M696">
            <v>21</v>
          </cell>
          <cell r="N696">
            <v>55</v>
          </cell>
          <cell r="O696" t="str">
            <v>F(105°C)</v>
          </cell>
          <cell r="P696" t="str">
            <v>270°</v>
          </cell>
          <cell r="Q696" t="str">
            <v>TF</v>
          </cell>
          <cell r="R696" t="str">
            <v>-</v>
          </cell>
          <cell r="S696" t="str">
            <v>-</v>
          </cell>
          <cell r="T696" t="str">
            <v>-</v>
          </cell>
          <cell r="U696" t="str">
            <v>T</v>
          </cell>
          <cell r="V696" t="str">
            <v>FC</v>
          </cell>
          <cell r="W696" t="str">
            <v>-</v>
          </cell>
          <cell r="X696" t="str">
            <v>CLP (CC) VG 220 = -15° + 40°</v>
          </cell>
          <cell r="Y696" t="str">
            <v>KH107/T DRN160M4 /TF</v>
          </cell>
          <cell r="Z696" t="str">
            <v>SEW</v>
          </cell>
          <cell r="AB696" t="str">
            <v>-</v>
          </cell>
          <cell r="AF696">
            <v>16</v>
          </cell>
          <cell r="AG696" t="str">
            <v>DRN160M4</v>
          </cell>
          <cell r="AH696" t="str">
            <v>KH107T-DRN160M4B270-X</v>
          </cell>
        </row>
        <row r="697">
          <cell r="A697" t="str">
            <v>MR000693</v>
          </cell>
          <cell r="B697" t="str">
            <v>MR</v>
          </cell>
          <cell r="C697">
            <v>2.2000000000000002</v>
          </cell>
          <cell r="D697">
            <v>3</v>
          </cell>
          <cell r="E697" t="str">
            <v>R137R77</v>
          </cell>
          <cell r="F697">
            <v>6520</v>
          </cell>
          <cell r="G697">
            <v>490</v>
          </cell>
          <cell r="H697">
            <v>1.25</v>
          </cell>
          <cell r="I697" t="str">
            <v>From M1 to M6 - 35°</v>
          </cell>
          <cell r="J697" t="str">
            <v>IE3</v>
          </cell>
          <cell r="K697">
            <v>400</v>
          </cell>
          <cell r="L697">
            <v>50</v>
          </cell>
          <cell r="M697">
            <v>4.75</v>
          </cell>
          <cell r="N697">
            <v>55</v>
          </cell>
          <cell r="O697" t="str">
            <v>F(105°C)</v>
          </cell>
          <cell r="P697" t="str">
            <v>270°</v>
          </cell>
          <cell r="Q697" t="str">
            <v>-</v>
          </cell>
          <cell r="R697" t="str">
            <v>-</v>
          </cell>
          <cell r="S697" t="str">
            <v>-</v>
          </cell>
          <cell r="T697" t="str">
            <v>-</v>
          </cell>
          <cell r="U697" t="str">
            <v>-</v>
          </cell>
          <cell r="V697" t="str">
            <v>D</v>
          </cell>
          <cell r="W697" t="str">
            <v>-</v>
          </cell>
          <cell r="X697" t="str">
            <v>CLP (CC) VG 220 = -15° + 40°</v>
          </cell>
          <cell r="Y697" t="str">
            <v>R137R77DRN100LS4</v>
          </cell>
          <cell r="Z697" t="str">
            <v>SEW</v>
          </cell>
          <cell r="AB697" t="str">
            <v>-</v>
          </cell>
          <cell r="AF697">
            <v>3</v>
          </cell>
          <cell r="AG697" t="str">
            <v>DRN100LS4</v>
          </cell>
          <cell r="AH697" t="str">
            <v>R137R77-DRN100LS4270-X</v>
          </cell>
        </row>
        <row r="698">
          <cell r="A698" t="str">
            <v>MR000694</v>
          </cell>
          <cell r="B698" t="str">
            <v>MR</v>
          </cell>
          <cell r="C698">
            <v>18.5</v>
          </cell>
          <cell r="D698">
            <v>18</v>
          </cell>
          <cell r="E698" t="str">
            <v>KH127</v>
          </cell>
          <cell r="F698">
            <v>9790</v>
          </cell>
          <cell r="G698">
            <v>81.98</v>
          </cell>
          <cell r="H698">
            <v>1.35</v>
          </cell>
          <cell r="I698" t="str">
            <v>From M1A to M4A - 75°</v>
          </cell>
          <cell r="J698" t="str">
            <v>IE3</v>
          </cell>
          <cell r="K698">
            <v>400</v>
          </cell>
          <cell r="L698">
            <v>50</v>
          </cell>
          <cell r="M698">
            <v>33.5</v>
          </cell>
          <cell r="N698">
            <v>55</v>
          </cell>
          <cell r="O698" t="str">
            <v>F(105°C)</v>
          </cell>
          <cell r="P698" t="str">
            <v>270°</v>
          </cell>
          <cell r="Q698" t="str">
            <v>TF</v>
          </cell>
          <cell r="R698" t="str">
            <v>-</v>
          </cell>
          <cell r="S698" t="str">
            <v>-</v>
          </cell>
          <cell r="T698" t="str">
            <v>-</v>
          </cell>
          <cell r="U698" t="str">
            <v>T</v>
          </cell>
          <cell r="V698" t="str">
            <v>FC</v>
          </cell>
          <cell r="W698" t="str">
            <v>-</v>
          </cell>
          <cell r="X698" t="str">
            <v>CLP (CC) VG 220 = -15° + 40°</v>
          </cell>
          <cell r="Y698" t="str">
            <v>KH127/T DRN180M4 /TF</v>
          </cell>
          <cell r="Z698" t="str">
            <v>SEW</v>
          </cell>
          <cell r="AB698" t="str">
            <v>-</v>
          </cell>
          <cell r="AF698">
            <v>18</v>
          </cell>
          <cell r="AG698" t="str">
            <v>DRN180M4</v>
          </cell>
          <cell r="AH698" t="str">
            <v>KH127T-DRN180M4A270-X</v>
          </cell>
        </row>
        <row r="699">
          <cell r="A699" t="str">
            <v>MR000695</v>
          </cell>
          <cell r="B699" t="str">
            <v>MR</v>
          </cell>
          <cell r="C699">
            <v>7.5</v>
          </cell>
          <cell r="D699">
            <v>64</v>
          </cell>
          <cell r="E699" t="str">
            <v>K77</v>
          </cell>
          <cell r="F699">
            <v>1120</v>
          </cell>
          <cell r="G699">
            <v>23.08</v>
          </cell>
          <cell r="H699">
            <v>1.4</v>
          </cell>
          <cell r="I699" t="str">
            <v>M4B</v>
          </cell>
          <cell r="J699" t="str">
            <v>IE3</v>
          </cell>
          <cell r="K699">
            <v>400</v>
          </cell>
          <cell r="L699">
            <v>50</v>
          </cell>
          <cell r="M699">
            <v>15.2</v>
          </cell>
          <cell r="N699">
            <v>55</v>
          </cell>
          <cell r="O699" t="str">
            <v>F(105°C)</v>
          </cell>
          <cell r="P699" t="str">
            <v>270°</v>
          </cell>
          <cell r="Q699" t="str">
            <v>TF</v>
          </cell>
          <cell r="R699" t="str">
            <v>V(VE)</v>
          </cell>
          <cell r="S699" t="str">
            <v>-</v>
          </cell>
          <cell r="T699" t="str">
            <v>-</v>
          </cell>
          <cell r="U699" t="str">
            <v>-</v>
          </cell>
          <cell r="V699" t="str">
            <v>FC</v>
          </cell>
          <cell r="W699" t="str">
            <v>-</v>
          </cell>
          <cell r="X699" t="str">
            <v>CLP (CC) VG 220 = -15° + 40°</v>
          </cell>
          <cell r="Y699" t="str">
            <v>K77DRN132M4 /TF/V</v>
          </cell>
          <cell r="Z699" t="str">
            <v>SEW</v>
          </cell>
          <cell r="AB699" t="str">
            <v>-</v>
          </cell>
          <cell r="AF699">
            <v>64</v>
          </cell>
          <cell r="AG699" t="str">
            <v>DRN132M4</v>
          </cell>
          <cell r="AH699" t="str">
            <v>K77-DRN132M4B270-X#</v>
          </cell>
        </row>
        <row r="700">
          <cell r="A700" t="str">
            <v>MR000696</v>
          </cell>
          <cell r="B700" t="str">
            <v>MR</v>
          </cell>
          <cell r="C700">
            <v>1.1000000000000001</v>
          </cell>
          <cell r="D700">
            <v>10</v>
          </cell>
          <cell r="E700" t="str">
            <v>FA77</v>
          </cell>
          <cell r="F700">
            <v>1020</v>
          </cell>
          <cell r="G700">
            <v>142.30000000000001</v>
          </cell>
          <cell r="H700">
            <v>1.45</v>
          </cell>
          <cell r="I700" t="str">
            <v>M1</v>
          </cell>
          <cell r="J700" t="str">
            <v>IE3</v>
          </cell>
          <cell r="K700">
            <v>400</v>
          </cell>
          <cell r="L700">
            <v>50</v>
          </cell>
          <cell r="M700">
            <v>2.5499999999999998</v>
          </cell>
          <cell r="N700">
            <v>55</v>
          </cell>
          <cell r="O700" t="str">
            <v>F(105°C)</v>
          </cell>
          <cell r="P700" t="str">
            <v>0°</v>
          </cell>
          <cell r="Q700" t="str">
            <v>TF</v>
          </cell>
          <cell r="R700" t="str">
            <v>V(VE)</v>
          </cell>
          <cell r="S700" t="str">
            <v>-</v>
          </cell>
          <cell r="T700" t="str">
            <v>-</v>
          </cell>
          <cell r="U700" t="str">
            <v>G</v>
          </cell>
          <cell r="V700" t="str">
            <v>FC</v>
          </cell>
          <cell r="W700" t="str">
            <v>-</v>
          </cell>
          <cell r="X700" t="str">
            <v>CLP (CC) VG 220 = -15° + 40°</v>
          </cell>
          <cell r="Y700" t="str">
            <v>FA77/G DRN90S4 /TF/V</v>
          </cell>
          <cell r="Z700" t="str">
            <v>SEW</v>
          </cell>
          <cell r="AB700" t="str">
            <v>-</v>
          </cell>
          <cell r="AF700">
            <v>10</v>
          </cell>
          <cell r="AG700" t="str">
            <v>DRN90S4</v>
          </cell>
          <cell r="AH700" t="str">
            <v>FA77G-DRN90S40-X#</v>
          </cell>
        </row>
        <row r="701">
          <cell r="A701" t="str">
            <v>MR000697</v>
          </cell>
          <cell r="B701" t="str">
            <v>MR</v>
          </cell>
          <cell r="C701">
            <v>7.5</v>
          </cell>
          <cell r="D701">
            <v>59</v>
          </cell>
          <cell r="E701" t="str">
            <v>R97</v>
          </cell>
          <cell r="F701">
            <v>1220</v>
          </cell>
          <cell r="G701">
            <v>25.03</v>
          </cell>
          <cell r="H701">
            <v>2.2999999999999998</v>
          </cell>
          <cell r="I701" t="str">
            <v>M1</v>
          </cell>
          <cell r="J701" t="str">
            <v>IE3</v>
          </cell>
          <cell r="K701">
            <v>400</v>
          </cell>
          <cell r="L701">
            <v>50</v>
          </cell>
          <cell r="M701">
            <v>15.2</v>
          </cell>
          <cell r="N701">
            <v>55</v>
          </cell>
          <cell r="O701" t="str">
            <v>F(105°C)</v>
          </cell>
          <cell r="P701" t="str">
            <v>0°</v>
          </cell>
          <cell r="Q701" t="str">
            <v>-</v>
          </cell>
          <cell r="R701" t="str">
            <v>-</v>
          </cell>
          <cell r="S701" t="str">
            <v>-</v>
          </cell>
          <cell r="T701" t="str">
            <v>-</v>
          </cell>
          <cell r="U701" t="str">
            <v>-</v>
          </cell>
          <cell r="V701" t="str">
            <v>D</v>
          </cell>
          <cell r="W701" t="str">
            <v>-</v>
          </cell>
          <cell r="X701" t="str">
            <v>CLP (CC) VG 220 = -15° + 40°</v>
          </cell>
          <cell r="Y701" t="str">
            <v>R97DRN132M4</v>
          </cell>
          <cell r="Z701" t="str">
            <v>SEW</v>
          </cell>
          <cell r="AB701" t="str">
            <v>-</v>
          </cell>
          <cell r="AF701">
            <v>59</v>
          </cell>
          <cell r="AG701" t="str">
            <v>DRN132M4</v>
          </cell>
          <cell r="AH701" t="str">
            <v>R97-DRN132M40-X</v>
          </cell>
        </row>
        <row r="702">
          <cell r="A702" t="str">
            <v>MR000698</v>
          </cell>
          <cell r="B702" t="str">
            <v>MR</v>
          </cell>
          <cell r="C702">
            <v>0.55000000000000004</v>
          </cell>
          <cell r="D702">
            <v>13</v>
          </cell>
          <cell r="E702" t="str">
            <v>R77</v>
          </cell>
          <cell r="F702">
            <v>395</v>
          </cell>
          <cell r="G702">
            <v>102.99</v>
          </cell>
          <cell r="H702">
            <v>2.1</v>
          </cell>
          <cell r="I702" t="str">
            <v>M1</v>
          </cell>
          <cell r="J702" t="str">
            <v>IE3</v>
          </cell>
          <cell r="K702">
            <v>400</v>
          </cell>
          <cell r="L702">
            <v>50</v>
          </cell>
          <cell r="M702">
            <v>2.1</v>
          </cell>
          <cell r="N702">
            <v>55</v>
          </cell>
          <cell r="O702" t="str">
            <v>F(105°C)</v>
          </cell>
          <cell r="P702" t="str">
            <v>270°</v>
          </cell>
          <cell r="Q702" t="str">
            <v>-</v>
          </cell>
          <cell r="R702" t="str">
            <v>-</v>
          </cell>
          <cell r="S702" t="str">
            <v>-</v>
          </cell>
          <cell r="T702" t="str">
            <v>-</v>
          </cell>
          <cell r="U702" t="str">
            <v>-</v>
          </cell>
          <cell r="V702" t="str">
            <v>D</v>
          </cell>
          <cell r="W702" t="str">
            <v>-</v>
          </cell>
          <cell r="X702" t="str">
            <v>CLP (CC) VG 220 = -15° + 40°</v>
          </cell>
          <cell r="Y702" t="str">
            <v>R77DRS71M4</v>
          </cell>
          <cell r="Z702" t="str">
            <v>SEW</v>
          </cell>
          <cell r="AB702" t="str">
            <v>-</v>
          </cell>
          <cell r="AF702">
            <v>13</v>
          </cell>
          <cell r="AG702" t="str">
            <v>DRS71M4</v>
          </cell>
          <cell r="AH702" t="str">
            <v>R77-DRS71M4270-X</v>
          </cell>
        </row>
        <row r="703">
          <cell r="A703" t="str">
            <v>MR000699</v>
          </cell>
          <cell r="B703" t="str">
            <v>MR</v>
          </cell>
          <cell r="C703">
            <v>2.2000000000000002</v>
          </cell>
          <cell r="D703">
            <v>60</v>
          </cell>
          <cell r="E703" t="str">
            <v>KH67</v>
          </cell>
          <cell r="F703">
            <v>345</v>
          </cell>
          <cell r="G703">
            <v>24</v>
          </cell>
          <cell r="H703">
            <v>1.75</v>
          </cell>
          <cell r="I703" t="str">
            <v>M4B</v>
          </cell>
          <cell r="J703" t="str">
            <v>IE3</v>
          </cell>
          <cell r="K703">
            <v>400</v>
          </cell>
          <cell r="L703">
            <v>50</v>
          </cell>
          <cell r="M703">
            <v>4.75</v>
          </cell>
          <cell r="N703">
            <v>55</v>
          </cell>
          <cell r="O703" t="str">
            <v>F(105°C)</v>
          </cell>
          <cell r="P703" t="str">
            <v>270°</v>
          </cell>
          <cell r="Q703" t="str">
            <v>-</v>
          </cell>
          <cell r="R703" t="str">
            <v>-</v>
          </cell>
          <cell r="S703" t="str">
            <v>-</v>
          </cell>
          <cell r="T703" t="str">
            <v>-</v>
          </cell>
          <cell r="U703" t="str">
            <v>T</v>
          </cell>
          <cell r="V703" t="str">
            <v>D</v>
          </cell>
          <cell r="W703" t="str">
            <v>-</v>
          </cell>
          <cell r="X703" t="str">
            <v>CLP (CC) VG 220 = -15° + 40°</v>
          </cell>
          <cell r="Y703" t="str">
            <v>KH67/T EDRN100LS4</v>
          </cell>
          <cell r="Z703" t="str">
            <v>SEW</v>
          </cell>
          <cell r="AB703" t="str">
            <v>ATEX22</v>
          </cell>
          <cell r="AF703">
            <v>60</v>
          </cell>
          <cell r="AG703" t="str">
            <v>EDRN100LS4</v>
          </cell>
          <cell r="AH703" t="str">
            <v>KH67T-EDRN100LS4B270-X</v>
          </cell>
        </row>
        <row r="704">
          <cell r="A704" t="str">
            <v>MR000700</v>
          </cell>
          <cell r="B704" t="str">
            <v>MR</v>
          </cell>
          <cell r="C704">
            <v>0.75</v>
          </cell>
          <cell r="D704">
            <v>162</v>
          </cell>
          <cell r="E704" t="str">
            <v>KA37</v>
          </cell>
          <cell r="F704">
            <v>44</v>
          </cell>
          <cell r="G704">
            <v>8.91</v>
          </cell>
          <cell r="H704">
            <v>3</v>
          </cell>
          <cell r="I704" t="str">
            <v>M1B</v>
          </cell>
          <cell r="J704" t="str">
            <v>IE3</v>
          </cell>
          <cell r="K704">
            <v>400</v>
          </cell>
          <cell r="L704">
            <v>50</v>
          </cell>
          <cell r="M704">
            <v>1.75</v>
          </cell>
          <cell r="N704">
            <v>55</v>
          </cell>
          <cell r="O704" t="str">
            <v>F(105°C)</v>
          </cell>
          <cell r="P704" t="str">
            <v>270°</v>
          </cell>
          <cell r="Q704" t="str">
            <v>-</v>
          </cell>
          <cell r="R704" t="str">
            <v>-</v>
          </cell>
          <cell r="S704" t="str">
            <v>-</v>
          </cell>
          <cell r="T704" t="str">
            <v>-</v>
          </cell>
          <cell r="U704" t="str">
            <v>T</v>
          </cell>
          <cell r="V704" t="str">
            <v>D</v>
          </cell>
          <cell r="W704" t="str">
            <v>-</v>
          </cell>
          <cell r="X704" t="str">
            <v>CLP (CC) VG 220 = -15° + 40°</v>
          </cell>
          <cell r="Y704" t="str">
            <v>KA37/T EDRN80M4</v>
          </cell>
          <cell r="Z704" t="str">
            <v>SEW</v>
          </cell>
          <cell r="AB704" t="str">
            <v>ATEX22</v>
          </cell>
          <cell r="AF704">
            <v>162</v>
          </cell>
          <cell r="AG704" t="str">
            <v>EDRN80M4</v>
          </cell>
          <cell r="AH704" t="str">
            <v>KA37T-EDRN80M4B270-X</v>
          </cell>
        </row>
        <row r="705">
          <cell r="A705" t="str">
            <v>MR000701</v>
          </cell>
          <cell r="B705" t="str">
            <v>MR</v>
          </cell>
          <cell r="C705">
            <v>2.2000000000000002</v>
          </cell>
          <cell r="D705">
            <v>64</v>
          </cell>
          <cell r="E705" t="str">
            <v>KH67</v>
          </cell>
          <cell r="F705">
            <v>325</v>
          </cell>
          <cell r="G705">
            <v>22.66</v>
          </cell>
          <cell r="H705">
            <v>1.8</v>
          </cell>
          <cell r="I705" t="str">
            <v>M1A</v>
          </cell>
          <cell r="J705" t="str">
            <v>IE3</v>
          </cell>
          <cell r="K705">
            <v>400</v>
          </cell>
          <cell r="L705">
            <v>50</v>
          </cell>
          <cell r="M705">
            <v>4.75</v>
          </cell>
          <cell r="N705">
            <v>55</v>
          </cell>
          <cell r="O705" t="str">
            <v>F(105°C)</v>
          </cell>
          <cell r="P705" t="str">
            <v>270°</v>
          </cell>
          <cell r="Q705" t="str">
            <v>-</v>
          </cell>
          <cell r="R705" t="str">
            <v>-</v>
          </cell>
          <cell r="S705" t="str">
            <v>-</v>
          </cell>
          <cell r="T705" t="str">
            <v>-</v>
          </cell>
          <cell r="U705" t="str">
            <v>T</v>
          </cell>
          <cell r="V705" t="str">
            <v>D</v>
          </cell>
          <cell r="W705" t="str">
            <v>-</v>
          </cell>
          <cell r="X705" t="str">
            <v>CLP (CC) VG 220 = -15° + 40°</v>
          </cell>
          <cell r="Y705" t="str">
            <v>KH67/T EDRN100LS4</v>
          </cell>
          <cell r="Z705" t="str">
            <v>SEW</v>
          </cell>
          <cell r="AB705" t="str">
            <v>ATEX22</v>
          </cell>
          <cell r="AF705">
            <v>64</v>
          </cell>
          <cell r="AG705" t="str">
            <v>EDRN100LS4</v>
          </cell>
          <cell r="AH705" t="str">
            <v>KH67T-EDRN100LS4A270-X</v>
          </cell>
        </row>
        <row r="706">
          <cell r="A706" t="str">
            <v>MR000702</v>
          </cell>
          <cell r="B706" t="str">
            <v>MR</v>
          </cell>
          <cell r="C706">
            <v>11</v>
          </cell>
          <cell r="D706">
            <v>16</v>
          </cell>
          <cell r="E706" t="str">
            <v>KH107</v>
          </cell>
          <cell r="F706">
            <v>6480</v>
          </cell>
          <cell r="G706">
            <v>90.96</v>
          </cell>
          <cell r="H706">
            <v>1.25</v>
          </cell>
          <cell r="I706" t="str">
            <v>M1B</v>
          </cell>
          <cell r="J706" t="str">
            <v>IE3</v>
          </cell>
          <cell r="K706">
            <v>400</v>
          </cell>
          <cell r="L706">
            <v>50</v>
          </cell>
          <cell r="M706">
            <v>21</v>
          </cell>
          <cell r="N706">
            <v>55</v>
          </cell>
          <cell r="O706" t="str">
            <v>F(105°C)</v>
          </cell>
          <cell r="P706" t="str">
            <v>270°</v>
          </cell>
          <cell r="Q706" t="str">
            <v>-</v>
          </cell>
          <cell r="R706" t="str">
            <v>-</v>
          </cell>
          <cell r="S706" t="str">
            <v>-</v>
          </cell>
          <cell r="T706" t="str">
            <v>-</v>
          </cell>
          <cell r="U706" t="str">
            <v>-</v>
          </cell>
          <cell r="V706" t="str">
            <v>SS</v>
          </cell>
          <cell r="W706" t="str">
            <v>-</v>
          </cell>
          <cell r="X706" t="str">
            <v>CLP (CC) VG 220 = -15° + 40°</v>
          </cell>
          <cell r="Y706" t="str">
            <v>KH107DRN160M4</v>
          </cell>
          <cell r="Z706" t="str">
            <v>SEW</v>
          </cell>
          <cell r="AB706" t="str">
            <v>-</v>
          </cell>
          <cell r="AF706">
            <v>16</v>
          </cell>
          <cell r="AG706" t="str">
            <v>DRN160M4</v>
          </cell>
          <cell r="AH706" t="str">
            <v>KH107-DRN160M4B270-X</v>
          </cell>
        </row>
        <row r="707">
          <cell r="A707" t="str">
            <v>MR000703</v>
          </cell>
          <cell r="B707" t="str">
            <v>MR</v>
          </cell>
          <cell r="C707">
            <v>11</v>
          </cell>
          <cell r="D707">
            <v>16</v>
          </cell>
          <cell r="E707" t="str">
            <v>KH107</v>
          </cell>
          <cell r="F707">
            <v>6480</v>
          </cell>
          <cell r="G707">
            <v>90.96</v>
          </cell>
          <cell r="H707">
            <v>1.25</v>
          </cell>
          <cell r="I707" t="str">
            <v>M1A</v>
          </cell>
          <cell r="J707" t="str">
            <v>IE3</v>
          </cell>
          <cell r="K707">
            <v>400</v>
          </cell>
          <cell r="L707">
            <v>50</v>
          </cell>
          <cell r="M707">
            <v>21</v>
          </cell>
          <cell r="N707">
            <v>55</v>
          </cell>
          <cell r="O707" t="str">
            <v>F(105°C)</v>
          </cell>
          <cell r="P707" t="str">
            <v>270°</v>
          </cell>
          <cell r="Q707" t="str">
            <v>-</v>
          </cell>
          <cell r="R707" t="str">
            <v>-</v>
          </cell>
          <cell r="S707" t="str">
            <v>-</v>
          </cell>
          <cell r="T707" t="str">
            <v>-</v>
          </cell>
          <cell r="U707" t="str">
            <v>-</v>
          </cell>
          <cell r="V707" t="str">
            <v>SS</v>
          </cell>
          <cell r="W707" t="str">
            <v>-</v>
          </cell>
          <cell r="X707" t="str">
            <v>CLP (CC) VG 220 = -15° + 40°</v>
          </cell>
          <cell r="Y707" t="str">
            <v>KH107DRN160M4</v>
          </cell>
          <cell r="Z707" t="str">
            <v>SEW</v>
          </cell>
          <cell r="AB707" t="str">
            <v>-</v>
          </cell>
          <cell r="AF707">
            <v>16</v>
          </cell>
          <cell r="AG707" t="str">
            <v>DRN160M4</v>
          </cell>
          <cell r="AH707" t="str">
            <v>KH107-DRN160M4A270-X</v>
          </cell>
        </row>
        <row r="708">
          <cell r="A708" t="str">
            <v>MR000704</v>
          </cell>
          <cell r="B708" t="str">
            <v>MR</v>
          </cell>
          <cell r="C708">
            <v>11</v>
          </cell>
          <cell r="D708">
            <v>17</v>
          </cell>
          <cell r="E708" t="str">
            <v>R137</v>
          </cell>
          <cell r="F708">
            <v>6320</v>
          </cell>
          <cell r="G708">
            <v>88.7</v>
          </cell>
          <cell r="H708">
            <v>1.25</v>
          </cell>
          <cell r="I708" t="str">
            <v>From M1 to M2 - 5°</v>
          </cell>
          <cell r="J708" t="str">
            <v>IE3</v>
          </cell>
          <cell r="K708">
            <v>400</v>
          </cell>
          <cell r="L708">
            <v>50</v>
          </cell>
          <cell r="M708">
            <v>21</v>
          </cell>
          <cell r="N708">
            <v>55</v>
          </cell>
          <cell r="O708" t="str">
            <v>F(105°C)</v>
          </cell>
          <cell r="P708" t="str">
            <v>270°</v>
          </cell>
          <cell r="Q708" t="str">
            <v>TF</v>
          </cell>
          <cell r="R708" t="str">
            <v>V(VE)</v>
          </cell>
          <cell r="S708" t="str">
            <v>-</v>
          </cell>
          <cell r="T708" t="str">
            <v>-</v>
          </cell>
          <cell r="U708" t="str">
            <v>-</v>
          </cell>
          <cell r="V708" t="str">
            <v>FC</v>
          </cell>
          <cell r="W708" t="str">
            <v>-</v>
          </cell>
          <cell r="X708" t="str">
            <v>CLP (CC) VG 220 = -15° + 40°</v>
          </cell>
          <cell r="Y708" t="str">
            <v>R137DRN160M4 /TF/V</v>
          </cell>
          <cell r="Z708" t="str">
            <v>SEW</v>
          </cell>
          <cell r="AB708" t="str">
            <v>-</v>
          </cell>
          <cell r="AF708">
            <v>17</v>
          </cell>
          <cell r="AG708" t="str">
            <v>DRN160M4</v>
          </cell>
          <cell r="AH708" t="str">
            <v>R137-DRN160M4270-X#</v>
          </cell>
        </row>
        <row r="709">
          <cell r="A709" t="str">
            <v>MR000705</v>
          </cell>
          <cell r="B709" t="str">
            <v>MR</v>
          </cell>
          <cell r="C709">
            <v>7.5</v>
          </cell>
          <cell r="D709">
            <v>15</v>
          </cell>
          <cell r="E709" t="str">
            <v>KH97</v>
          </cell>
          <cell r="F709">
            <v>4720</v>
          </cell>
          <cell r="G709">
            <v>96.8</v>
          </cell>
          <cell r="H709">
            <v>0.9</v>
          </cell>
          <cell r="I709" t="str">
            <v>From M1A to M2A - 10°</v>
          </cell>
          <cell r="J709" t="str">
            <v>IE3</v>
          </cell>
          <cell r="K709">
            <v>400</v>
          </cell>
          <cell r="L709">
            <v>50</v>
          </cell>
          <cell r="M709">
            <v>15.2</v>
          </cell>
          <cell r="N709">
            <v>55</v>
          </cell>
          <cell r="O709" t="str">
            <v>F(105°C)</v>
          </cell>
          <cell r="P709" t="str">
            <v>270°</v>
          </cell>
          <cell r="Q709" t="str">
            <v>-</v>
          </cell>
          <cell r="R709" t="str">
            <v>-</v>
          </cell>
          <cell r="S709" t="str">
            <v>-</v>
          </cell>
          <cell r="T709" t="str">
            <v>-</v>
          </cell>
          <cell r="U709" t="str">
            <v>-</v>
          </cell>
          <cell r="V709" t="str">
            <v>SS</v>
          </cell>
          <cell r="W709" t="str">
            <v>-</v>
          </cell>
          <cell r="X709" t="str">
            <v>CLP (CC) VG 220 = -15° + 40°</v>
          </cell>
          <cell r="Y709" t="str">
            <v>KH97DRN132M4</v>
          </cell>
          <cell r="Z709" t="str">
            <v>SEW</v>
          </cell>
          <cell r="AB709" t="str">
            <v>-</v>
          </cell>
          <cell r="AF709">
            <v>15</v>
          </cell>
          <cell r="AG709" t="str">
            <v>DRN132M4</v>
          </cell>
          <cell r="AH709" t="str">
            <v>KH97-DRN132M4A270-X</v>
          </cell>
        </row>
        <row r="710">
          <cell r="A710" t="str">
            <v>MR000706</v>
          </cell>
          <cell r="B710" t="str">
            <v>MR</v>
          </cell>
          <cell r="C710">
            <v>7.5</v>
          </cell>
          <cell r="D710">
            <v>15</v>
          </cell>
          <cell r="E710" t="str">
            <v>KH97</v>
          </cell>
          <cell r="F710">
            <v>4720</v>
          </cell>
          <cell r="G710">
            <v>96.8</v>
          </cell>
          <cell r="H710">
            <v>0.9</v>
          </cell>
          <cell r="I710" t="str">
            <v>From M1B to M2B - 10°</v>
          </cell>
          <cell r="J710" t="str">
            <v>IE3</v>
          </cell>
          <cell r="K710">
            <v>400</v>
          </cell>
          <cell r="L710">
            <v>50</v>
          </cell>
          <cell r="M710">
            <v>15.2</v>
          </cell>
          <cell r="N710">
            <v>55</v>
          </cell>
          <cell r="O710" t="str">
            <v>F(105°C)</v>
          </cell>
          <cell r="P710" t="str">
            <v>270°</v>
          </cell>
          <cell r="Q710" t="str">
            <v>-</v>
          </cell>
          <cell r="R710" t="str">
            <v>-</v>
          </cell>
          <cell r="S710" t="str">
            <v>-</v>
          </cell>
          <cell r="T710" t="str">
            <v>-</v>
          </cell>
          <cell r="U710" t="str">
            <v>-</v>
          </cell>
          <cell r="V710" t="str">
            <v>SS</v>
          </cell>
          <cell r="W710" t="str">
            <v>-</v>
          </cell>
          <cell r="X710" t="str">
            <v>CLP (CC) VG 220 = -15° + 40°</v>
          </cell>
          <cell r="Y710" t="str">
            <v>KH97DRN132M4</v>
          </cell>
          <cell r="Z710" t="str">
            <v>SEW</v>
          </cell>
          <cell r="AB710" t="str">
            <v>-</v>
          </cell>
          <cell r="AF710">
            <v>15</v>
          </cell>
          <cell r="AG710" t="str">
            <v>DRN132M4</v>
          </cell>
          <cell r="AH710" t="str">
            <v>KH97-DRN132M4B270-X</v>
          </cell>
        </row>
        <row r="711">
          <cell r="A711" t="str">
            <v>MR000707</v>
          </cell>
          <cell r="B711" t="str">
            <v>MR</v>
          </cell>
          <cell r="C711">
            <v>5.5</v>
          </cell>
          <cell r="D711">
            <v>45</v>
          </cell>
          <cell r="E711" t="str">
            <v>R87</v>
          </cell>
          <cell r="F711">
            <v>1170</v>
          </cell>
          <cell r="G711">
            <v>32.659999999999997</v>
          </cell>
          <cell r="H711">
            <v>1.3</v>
          </cell>
          <cell r="I711" t="str">
            <v>From M1 to M2 - 10°</v>
          </cell>
          <cell r="J711" t="str">
            <v>IE3</v>
          </cell>
          <cell r="K711">
            <v>400</v>
          </cell>
          <cell r="L711">
            <v>50</v>
          </cell>
          <cell r="M711">
            <v>10.5</v>
          </cell>
          <cell r="N711">
            <v>55</v>
          </cell>
          <cell r="O711" t="str">
            <v>F(105°C)</v>
          </cell>
          <cell r="P711" t="str">
            <v>270°</v>
          </cell>
          <cell r="Q711" t="str">
            <v>TF</v>
          </cell>
          <cell r="R711" t="str">
            <v>V(VE)</v>
          </cell>
          <cell r="S711" t="str">
            <v>-</v>
          </cell>
          <cell r="T711" t="str">
            <v>-</v>
          </cell>
          <cell r="U711" t="str">
            <v>-</v>
          </cell>
          <cell r="V711" t="str">
            <v>FC</v>
          </cell>
          <cell r="W711" t="str">
            <v>-</v>
          </cell>
          <cell r="X711" t="str">
            <v>CLP (CC) VG 220 = -15° + 40°</v>
          </cell>
          <cell r="Y711" t="str">
            <v>R87DRN132S4 /TF/V</v>
          </cell>
          <cell r="Z711" t="str">
            <v>SEW</v>
          </cell>
          <cell r="AB711" t="str">
            <v>-</v>
          </cell>
          <cell r="AF711">
            <v>45</v>
          </cell>
          <cell r="AG711" t="str">
            <v>DRN132S4</v>
          </cell>
          <cell r="AH711" t="str">
            <v>R87-DRN132S4270-X#</v>
          </cell>
        </row>
        <row r="712">
          <cell r="A712" t="str">
            <v>MR000708</v>
          </cell>
          <cell r="B712" t="str">
            <v>MR</v>
          </cell>
          <cell r="C712">
            <v>7.5</v>
          </cell>
          <cell r="D712">
            <v>21</v>
          </cell>
          <cell r="E712" t="str">
            <v>KH97</v>
          </cell>
          <cell r="F712">
            <v>3440</v>
          </cell>
          <cell r="G712">
            <v>70.540000000000006</v>
          </cell>
          <cell r="H712">
            <v>1.25</v>
          </cell>
          <cell r="I712" t="str">
            <v>From M1A to M2A - 45°</v>
          </cell>
          <cell r="J712" t="str">
            <v>IE3</v>
          </cell>
          <cell r="K712">
            <v>400</v>
          </cell>
          <cell r="L712">
            <v>50</v>
          </cell>
          <cell r="M712">
            <v>15.2</v>
          </cell>
          <cell r="N712">
            <v>55</v>
          </cell>
          <cell r="O712" t="str">
            <v>F(105°C)</v>
          </cell>
          <cell r="P712" t="str">
            <v>270°</v>
          </cell>
          <cell r="Q712" t="str">
            <v>TF</v>
          </cell>
          <cell r="R712" t="str">
            <v>V(VE)</v>
          </cell>
          <cell r="S712" t="str">
            <v>-</v>
          </cell>
          <cell r="T712" t="str">
            <v>-</v>
          </cell>
          <cell r="U712" t="str">
            <v>-</v>
          </cell>
          <cell r="V712" t="str">
            <v>FC</v>
          </cell>
          <cell r="W712" t="str">
            <v>-</v>
          </cell>
          <cell r="X712" t="str">
            <v>CLP (CC) VG 220 = -15° + 40°</v>
          </cell>
          <cell r="Y712" t="str">
            <v>KH97DRN132M4 /TF/V</v>
          </cell>
          <cell r="Z712" t="str">
            <v>SEW</v>
          </cell>
          <cell r="AB712" t="str">
            <v>-</v>
          </cell>
          <cell r="AF712">
            <v>21</v>
          </cell>
          <cell r="AG712" t="str">
            <v>DRN132M4</v>
          </cell>
          <cell r="AH712" t="str">
            <v>KH97-DRN132M4A270-X#</v>
          </cell>
        </row>
        <row r="713">
          <cell r="A713" t="str">
            <v>MR000709</v>
          </cell>
          <cell r="B713" t="str">
            <v>MR</v>
          </cell>
          <cell r="C713">
            <v>7.5</v>
          </cell>
          <cell r="D713">
            <v>21</v>
          </cell>
          <cell r="E713" t="str">
            <v>KH97</v>
          </cell>
          <cell r="F713">
            <v>3440</v>
          </cell>
          <cell r="G713">
            <v>70.540000000000006</v>
          </cell>
          <cell r="H713">
            <v>1.25</v>
          </cell>
          <cell r="I713" t="str">
            <v>From M1B to M2B - 45°</v>
          </cell>
          <cell r="J713" t="str">
            <v>IE3</v>
          </cell>
          <cell r="K713">
            <v>400</v>
          </cell>
          <cell r="L713">
            <v>50</v>
          </cell>
          <cell r="M713">
            <v>15.2</v>
          </cell>
          <cell r="N713">
            <v>55</v>
          </cell>
          <cell r="O713" t="str">
            <v>F(105°C)</v>
          </cell>
          <cell r="P713" t="str">
            <v>270°</v>
          </cell>
          <cell r="Q713" t="str">
            <v>TF</v>
          </cell>
          <cell r="R713" t="str">
            <v>V(VE)</v>
          </cell>
          <cell r="S713" t="str">
            <v>-</v>
          </cell>
          <cell r="T713" t="str">
            <v>-</v>
          </cell>
          <cell r="U713" t="str">
            <v>-</v>
          </cell>
          <cell r="V713" t="str">
            <v>FC</v>
          </cell>
          <cell r="W713" t="str">
            <v>-</v>
          </cell>
          <cell r="X713" t="str">
            <v>CLP (CC) VG 220 = -15° + 40°</v>
          </cell>
          <cell r="Y713" t="str">
            <v>KH97DRN132M4 /TF/V</v>
          </cell>
          <cell r="Z713" t="str">
            <v>SEW</v>
          </cell>
          <cell r="AB713" t="str">
            <v>-</v>
          </cell>
          <cell r="AF713">
            <v>21</v>
          </cell>
          <cell r="AG713" t="str">
            <v>DRN132M4</v>
          </cell>
          <cell r="AH713" t="str">
            <v>KH97-DRN132M4B270-X#</v>
          </cell>
        </row>
        <row r="714">
          <cell r="A714" t="str">
            <v>MR000710</v>
          </cell>
          <cell r="B714" t="str">
            <v>MR</v>
          </cell>
          <cell r="C714">
            <v>9.1999999999999993</v>
          </cell>
          <cell r="D714">
            <v>26</v>
          </cell>
          <cell r="E714" t="str">
            <v>KH97</v>
          </cell>
          <cell r="F714">
            <v>3370</v>
          </cell>
          <cell r="G714">
            <v>56.55</v>
          </cell>
          <cell r="H714">
            <v>1.25</v>
          </cell>
          <cell r="I714" t="str">
            <v>From M1A to M2A - 5°</v>
          </cell>
          <cell r="J714" t="str">
            <v>IE3</v>
          </cell>
          <cell r="K714">
            <v>400</v>
          </cell>
          <cell r="L714">
            <v>50</v>
          </cell>
          <cell r="N714">
            <v>55</v>
          </cell>
          <cell r="O714" t="str">
            <v>F(105°C)</v>
          </cell>
          <cell r="P714" t="str">
            <v>270°</v>
          </cell>
          <cell r="Q714" t="str">
            <v>TF</v>
          </cell>
          <cell r="R714" t="str">
            <v>V(VE)</v>
          </cell>
          <cell r="S714" t="str">
            <v>-</v>
          </cell>
          <cell r="T714" t="str">
            <v>-</v>
          </cell>
          <cell r="U714" t="str">
            <v>-</v>
          </cell>
          <cell r="V714" t="str">
            <v>FC</v>
          </cell>
          <cell r="W714" t="str">
            <v>-</v>
          </cell>
          <cell r="X714" t="str">
            <v>CLP (CC) VG 220 = -15° + 40°</v>
          </cell>
          <cell r="Y714" t="str">
            <v>KH97DRN132L4 /TF/V</v>
          </cell>
          <cell r="Z714" t="str">
            <v>SEW</v>
          </cell>
          <cell r="AB714" t="str">
            <v>-</v>
          </cell>
          <cell r="AF714">
            <v>26</v>
          </cell>
          <cell r="AG714" t="str">
            <v>DRN132L4</v>
          </cell>
          <cell r="AH714" t="str">
            <v>KH97-DRN132L4A270-X#</v>
          </cell>
        </row>
        <row r="715">
          <cell r="A715" t="str">
            <v>MR000711</v>
          </cell>
          <cell r="B715" t="str">
            <v>MR</v>
          </cell>
          <cell r="C715">
            <v>9.1999999999999993</v>
          </cell>
          <cell r="D715">
            <v>26</v>
          </cell>
          <cell r="E715" t="str">
            <v>KH97</v>
          </cell>
          <cell r="F715">
            <v>3370</v>
          </cell>
          <cell r="G715">
            <v>56.55</v>
          </cell>
          <cell r="H715">
            <v>1.25</v>
          </cell>
          <cell r="I715" t="str">
            <v>From M1B to M2B - 5°</v>
          </cell>
          <cell r="J715" t="str">
            <v>IE3</v>
          </cell>
          <cell r="K715">
            <v>400</v>
          </cell>
          <cell r="L715">
            <v>50</v>
          </cell>
          <cell r="N715">
            <v>55</v>
          </cell>
          <cell r="O715" t="str">
            <v>F(105°C)</v>
          </cell>
          <cell r="P715" t="str">
            <v>270°</v>
          </cell>
          <cell r="Q715" t="str">
            <v>TF</v>
          </cell>
          <cell r="R715" t="str">
            <v>V(VE)</v>
          </cell>
          <cell r="S715" t="str">
            <v>-</v>
          </cell>
          <cell r="T715" t="str">
            <v>-</v>
          </cell>
          <cell r="U715" t="str">
            <v>-</v>
          </cell>
          <cell r="V715" t="str">
            <v>FC</v>
          </cell>
          <cell r="W715" t="str">
            <v>-</v>
          </cell>
          <cell r="X715" t="str">
            <v>CLP (CC) VG 220 = -15° + 40°</v>
          </cell>
          <cell r="Y715" t="str">
            <v>KH97DRN132L4 /TF/V</v>
          </cell>
          <cell r="Z715" t="str">
            <v>SEW</v>
          </cell>
          <cell r="AB715" t="str">
            <v>-</v>
          </cell>
          <cell r="AF715">
            <v>26</v>
          </cell>
          <cell r="AG715" t="str">
            <v>DRN132L4</v>
          </cell>
          <cell r="AH715" t="str">
            <v>KH97-DRN132L4B270-X#</v>
          </cell>
        </row>
        <row r="716">
          <cell r="A716" t="str">
            <v>MR000712</v>
          </cell>
          <cell r="B716" t="str">
            <v>MR</v>
          </cell>
          <cell r="C716">
            <v>9.1999999999999993</v>
          </cell>
          <cell r="D716">
            <v>26</v>
          </cell>
          <cell r="E716" t="str">
            <v>KH97</v>
          </cell>
          <cell r="F716">
            <v>3370</v>
          </cell>
          <cell r="G716">
            <v>56.55</v>
          </cell>
          <cell r="H716">
            <v>1.25</v>
          </cell>
          <cell r="I716" t="str">
            <v>From M1A to M2A - 20°</v>
          </cell>
          <cell r="J716" t="str">
            <v>IE3</v>
          </cell>
          <cell r="K716">
            <v>400</v>
          </cell>
          <cell r="L716">
            <v>50</v>
          </cell>
          <cell r="N716">
            <v>55</v>
          </cell>
          <cell r="O716" t="str">
            <v>F(105°C)</v>
          </cell>
          <cell r="P716" t="str">
            <v>270°</v>
          </cell>
          <cell r="Q716" t="str">
            <v>TF</v>
          </cell>
          <cell r="R716" t="str">
            <v>V(VE)</v>
          </cell>
          <cell r="S716" t="str">
            <v>-</v>
          </cell>
          <cell r="T716" t="str">
            <v>-</v>
          </cell>
          <cell r="U716" t="str">
            <v>-</v>
          </cell>
          <cell r="V716" t="str">
            <v>FC</v>
          </cell>
          <cell r="W716" t="str">
            <v>-</v>
          </cell>
          <cell r="X716" t="str">
            <v>CLP (CC) VG 220 = -15° + 40°</v>
          </cell>
          <cell r="Y716" t="str">
            <v>KH97DRN132L4 /TF/V</v>
          </cell>
          <cell r="Z716" t="str">
            <v>SEW</v>
          </cell>
          <cell r="AB716" t="str">
            <v>-</v>
          </cell>
          <cell r="AF716">
            <v>26</v>
          </cell>
          <cell r="AG716" t="str">
            <v>DRN132L4</v>
          </cell>
          <cell r="AH716" t="str">
            <v>KH97-DRN132L4A270-X#</v>
          </cell>
        </row>
        <row r="717">
          <cell r="A717" t="str">
            <v>MR000713</v>
          </cell>
          <cell r="B717" t="str">
            <v>MR</v>
          </cell>
          <cell r="C717">
            <v>9.1999999999999993</v>
          </cell>
          <cell r="D717">
            <v>26</v>
          </cell>
          <cell r="E717" t="str">
            <v>KH97</v>
          </cell>
          <cell r="F717">
            <v>3370</v>
          </cell>
          <cell r="G717">
            <v>56.55</v>
          </cell>
          <cell r="H717">
            <v>1.25</v>
          </cell>
          <cell r="I717" t="str">
            <v>From M1B to M2B - 20°</v>
          </cell>
          <cell r="J717" t="str">
            <v>IE3</v>
          </cell>
          <cell r="K717">
            <v>400</v>
          </cell>
          <cell r="L717">
            <v>50</v>
          </cell>
          <cell r="N717">
            <v>55</v>
          </cell>
          <cell r="O717" t="str">
            <v>F(105°C)</v>
          </cell>
          <cell r="P717" t="str">
            <v>270°</v>
          </cell>
          <cell r="Q717" t="str">
            <v>TF</v>
          </cell>
          <cell r="R717" t="str">
            <v>V(VE)</v>
          </cell>
          <cell r="S717" t="str">
            <v>-</v>
          </cell>
          <cell r="T717" t="str">
            <v>-</v>
          </cell>
          <cell r="U717" t="str">
            <v>-</v>
          </cell>
          <cell r="V717" t="str">
            <v>FC</v>
          </cell>
          <cell r="W717" t="str">
            <v>-</v>
          </cell>
          <cell r="X717" t="str">
            <v>CLP (CC) VG 220 = -15° + 40°</v>
          </cell>
          <cell r="Y717" t="str">
            <v>KH97DRN132L4 /TF/V</v>
          </cell>
          <cell r="Z717" t="str">
            <v>SEW</v>
          </cell>
          <cell r="AB717" t="str">
            <v>-</v>
          </cell>
          <cell r="AF717">
            <v>26</v>
          </cell>
          <cell r="AG717" t="str">
            <v>DRN132L4</v>
          </cell>
          <cell r="AH717" t="str">
            <v>KH97-DRN132L4B270-X#</v>
          </cell>
        </row>
        <row r="718">
          <cell r="A718" t="str">
            <v>MR000714</v>
          </cell>
          <cell r="B718" t="str">
            <v>MR</v>
          </cell>
          <cell r="C718">
            <v>18.5</v>
          </cell>
          <cell r="D718">
            <v>13</v>
          </cell>
          <cell r="E718" t="str">
            <v>KH127</v>
          </cell>
          <cell r="F718">
            <v>13100</v>
          </cell>
          <cell r="G718">
            <v>110.18</v>
          </cell>
          <cell r="H718">
            <v>1</v>
          </cell>
          <cell r="I718" t="str">
            <v>From M1A to M2A - 20°</v>
          </cell>
          <cell r="J718" t="str">
            <v>IE3</v>
          </cell>
          <cell r="K718">
            <v>400</v>
          </cell>
          <cell r="L718">
            <v>50</v>
          </cell>
          <cell r="M718">
            <v>33.5</v>
          </cell>
          <cell r="N718">
            <v>55</v>
          </cell>
          <cell r="O718" t="str">
            <v>F(105°C)</v>
          </cell>
          <cell r="P718" t="str">
            <v>270°</v>
          </cell>
          <cell r="Q718" t="str">
            <v>-</v>
          </cell>
          <cell r="R718" t="str">
            <v>-</v>
          </cell>
          <cell r="S718" t="str">
            <v>-</v>
          </cell>
          <cell r="T718" t="str">
            <v>-</v>
          </cell>
          <cell r="U718" t="str">
            <v>-</v>
          </cell>
          <cell r="V718" t="str">
            <v>SS</v>
          </cell>
          <cell r="W718" t="str">
            <v>-</v>
          </cell>
          <cell r="X718" t="str">
            <v>CLP HC VG 150 = -40° + 40°</v>
          </cell>
          <cell r="Y718" t="str">
            <v>KH127DRN180M4</v>
          </cell>
          <cell r="Z718" t="str">
            <v>SEW</v>
          </cell>
          <cell r="AB718" t="str">
            <v>-</v>
          </cell>
          <cell r="AF718">
            <v>13</v>
          </cell>
          <cell r="AG718" t="str">
            <v>DRN180M4</v>
          </cell>
          <cell r="AH718" t="str">
            <v>KH127-DRN180M4A270-X</v>
          </cell>
        </row>
        <row r="719">
          <cell r="A719" t="str">
            <v>MR000715</v>
          </cell>
          <cell r="B719" t="str">
            <v>MR</v>
          </cell>
          <cell r="C719">
            <v>0.75</v>
          </cell>
          <cell r="D719">
            <v>21</v>
          </cell>
          <cell r="E719" t="str">
            <v>FA67</v>
          </cell>
          <cell r="F719">
            <v>335</v>
          </cell>
          <cell r="G719">
            <v>67.650000000000006</v>
          </cell>
          <cell r="H719">
            <v>2.4</v>
          </cell>
          <cell r="I719" t="str">
            <v>M6</v>
          </cell>
          <cell r="J719" t="str">
            <v>IE3</v>
          </cell>
          <cell r="K719">
            <v>400</v>
          </cell>
          <cell r="L719">
            <v>50</v>
          </cell>
          <cell r="M719">
            <v>1.75</v>
          </cell>
          <cell r="N719">
            <v>55</v>
          </cell>
          <cell r="O719" t="str">
            <v>F(105°C)</v>
          </cell>
          <cell r="P719" t="str">
            <v>0°</v>
          </cell>
          <cell r="Q719" t="str">
            <v>-</v>
          </cell>
          <cell r="R719" t="str">
            <v>-</v>
          </cell>
          <cell r="S719" t="str">
            <v>-</v>
          </cell>
          <cell r="T719" t="str">
            <v>BE</v>
          </cell>
          <cell r="U719" t="str">
            <v>G</v>
          </cell>
          <cell r="V719" t="str">
            <v>D+R</v>
          </cell>
          <cell r="W719" t="str">
            <v>-</v>
          </cell>
          <cell r="X719" t="str">
            <v>CLP (CC) VG 220 = -15° + 40°</v>
          </cell>
          <cell r="Y719" t="str">
            <v>FA67/G DRN80M4 /BE</v>
          </cell>
          <cell r="Z719" t="str">
            <v>SEW</v>
          </cell>
          <cell r="AB719" t="str">
            <v>-</v>
          </cell>
          <cell r="AF719">
            <v>21</v>
          </cell>
          <cell r="AG719" t="str">
            <v>DRN80M4</v>
          </cell>
          <cell r="AH719" t="str">
            <v>FA67G-DRN80M40-X</v>
          </cell>
        </row>
        <row r="720">
          <cell r="A720" t="str">
            <v>MR000716</v>
          </cell>
          <cell r="B720" t="str">
            <v>MR</v>
          </cell>
          <cell r="C720">
            <v>1.5</v>
          </cell>
          <cell r="D720">
            <v>3.8</v>
          </cell>
          <cell r="E720" t="str">
            <v>KA97R57</v>
          </cell>
          <cell r="F720">
            <v>3440</v>
          </cell>
          <cell r="G720">
            <v>382</v>
          </cell>
          <cell r="H720">
            <v>1.25</v>
          </cell>
          <cell r="I720" t="str">
            <v>M3B</v>
          </cell>
          <cell r="J720" t="str">
            <v>IE3</v>
          </cell>
          <cell r="K720">
            <v>400</v>
          </cell>
          <cell r="L720">
            <v>50</v>
          </cell>
          <cell r="M720">
            <v>3.4</v>
          </cell>
          <cell r="N720">
            <v>55</v>
          </cell>
          <cell r="O720" t="str">
            <v>F(105°C)</v>
          </cell>
          <cell r="P720" t="str">
            <v>270°</v>
          </cell>
          <cell r="Q720" t="str">
            <v>-</v>
          </cell>
          <cell r="R720" t="str">
            <v>-</v>
          </cell>
          <cell r="S720" t="str">
            <v>-</v>
          </cell>
          <cell r="T720" t="str">
            <v>BE</v>
          </cell>
          <cell r="U720" t="str">
            <v>T</v>
          </cell>
          <cell r="V720" t="str">
            <v>D+R</v>
          </cell>
          <cell r="W720" t="str">
            <v>-</v>
          </cell>
          <cell r="X720" t="str">
            <v>CLP HC VG 220 = -20° + 60°</v>
          </cell>
          <cell r="Y720" t="str">
            <v>KA97R57/T DRN90L4 /BE</v>
          </cell>
          <cell r="Z720" t="str">
            <v>SEW</v>
          </cell>
          <cell r="AB720" t="str">
            <v>-</v>
          </cell>
          <cell r="AF720">
            <v>3.8</v>
          </cell>
          <cell r="AG720" t="str">
            <v>DRN90L4</v>
          </cell>
          <cell r="AH720" t="str">
            <v>KA97R57T-DRN90L4B270-X</v>
          </cell>
        </row>
        <row r="721">
          <cell r="A721" t="str">
            <v>MR000717</v>
          </cell>
          <cell r="B721" t="str">
            <v>MR</v>
          </cell>
          <cell r="C721">
            <v>15</v>
          </cell>
          <cell r="D721">
            <v>16</v>
          </cell>
          <cell r="E721" t="str">
            <v>KH107</v>
          </cell>
          <cell r="F721">
            <v>8830</v>
          </cell>
          <cell r="G721">
            <v>90.96</v>
          </cell>
          <cell r="H721">
            <v>0.9</v>
          </cell>
          <cell r="I721" t="str">
            <v>M1A</v>
          </cell>
          <cell r="J721" t="str">
            <v>IE3</v>
          </cell>
          <cell r="K721">
            <v>400</v>
          </cell>
          <cell r="L721">
            <v>50</v>
          </cell>
          <cell r="M721">
            <v>29</v>
          </cell>
          <cell r="N721">
            <v>55</v>
          </cell>
          <cell r="O721" t="str">
            <v>F(105°C)</v>
          </cell>
          <cell r="P721" t="str">
            <v>270°</v>
          </cell>
          <cell r="Q721" t="str">
            <v>-</v>
          </cell>
          <cell r="R721" t="str">
            <v>-</v>
          </cell>
          <cell r="S721" t="str">
            <v>-</v>
          </cell>
          <cell r="T721" t="str">
            <v>-</v>
          </cell>
          <cell r="U721" t="str">
            <v>-</v>
          </cell>
          <cell r="V721" t="str">
            <v>SS</v>
          </cell>
          <cell r="W721" t="str">
            <v>-</v>
          </cell>
          <cell r="X721" t="str">
            <v>CLP HC VG 150 = -40° + 40°</v>
          </cell>
          <cell r="Y721" t="str">
            <v>KH107DRN160L4</v>
          </cell>
          <cell r="Z721" t="str">
            <v>SEW</v>
          </cell>
          <cell r="AB721" t="str">
            <v>-</v>
          </cell>
          <cell r="AF721">
            <v>16</v>
          </cell>
          <cell r="AG721" t="str">
            <v>DRN160L4</v>
          </cell>
          <cell r="AH721" t="str">
            <v>KH107-DRN160L4A270-X</v>
          </cell>
        </row>
        <row r="722">
          <cell r="A722" t="str">
            <v>MR000718</v>
          </cell>
          <cell r="B722" t="str">
            <v>MR</v>
          </cell>
          <cell r="C722">
            <v>7.5</v>
          </cell>
          <cell r="D722">
            <v>15</v>
          </cell>
          <cell r="E722" t="str">
            <v>KH97</v>
          </cell>
          <cell r="F722">
            <v>4720</v>
          </cell>
          <cell r="G722">
            <v>96.8</v>
          </cell>
          <cell r="H722">
            <v>0.9</v>
          </cell>
          <cell r="I722" t="str">
            <v>M1A</v>
          </cell>
          <cell r="J722" t="str">
            <v>IE3</v>
          </cell>
          <cell r="K722">
            <v>400</v>
          </cell>
          <cell r="L722">
            <v>50</v>
          </cell>
          <cell r="M722">
            <v>15.2</v>
          </cell>
          <cell r="N722">
            <v>55</v>
          </cell>
          <cell r="O722" t="str">
            <v>F(105°C)</v>
          </cell>
          <cell r="P722" t="str">
            <v>270°</v>
          </cell>
          <cell r="Q722" t="str">
            <v>-</v>
          </cell>
          <cell r="R722" t="str">
            <v>-</v>
          </cell>
          <cell r="S722" t="str">
            <v>-</v>
          </cell>
          <cell r="T722" t="str">
            <v>-</v>
          </cell>
          <cell r="U722" t="str">
            <v>-</v>
          </cell>
          <cell r="V722" t="str">
            <v>SS</v>
          </cell>
          <cell r="W722" t="str">
            <v>-</v>
          </cell>
          <cell r="X722" t="str">
            <v>CLP HC VG 150 = -40° + 40°</v>
          </cell>
          <cell r="Y722" t="str">
            <v>KH97DRN132M4</v>
          </cell>
          <cell r="Z722" t="str">
            <v>SEW</v>
          </cell>
          <cell r="AB722" t="str">
            <v>-</v>
          </cell>
          <cell r="AF722">
            <v>15</v>
          </cell>
          <cell r="AG722" t="str">
            <v>DRN132M4</v>
          </cell>
          <cell r="AH722" t="str">
            <v>KH97-DRN132M4A270-X</v>
          </cell>
        </row>
        <row r="723">
          <cell r="A723" t="str">
            <v>MR000719</v>
          </cell>
          <cell r="B723" t="str">
            <v>MR</v>
          </cell>
          <cell r="C723">
            <v>11</v>
          </cell>
          <cell r="D723">
            <v>16</v>
          </cell>
          <cell r="E723" t="str">
            <v>KH107</v>
          </cell>
          <cell r="F723">
            <v>6480</v>
          </cell>
          <cell r="G723">
            <v>90.96</v>
          </cell>
          <cell r="H723">
            <v>1.25</v>
          </cell>
          <cell r="I723" t="str">
            <v>M1A</v>
          </cell>
          <cell r="J723" t="str">
            <v>IE3</v>
          </cell>
          <cell r="K723">
            <v>400</v>
          </cell>
          <cell r="L723">
            <v>50</v>
          </cell>
          <cell r="M723">
            <v>21</v>
          </cell>
          <cell r="N723">
            <v>55</v>
          </cell>
          <cell r="O723" t="str">
            <v>F(105°C)</v>
          </cell>
          <cell r="P723" t="str">
            <v>270°</v>
          </cell>
          <cell r="Q723" t="str">
            <v>-</v>
          </cell>
          <cell r="R723" t="str">
            <v>-</v>
          </cell>
          <cell r="S723" t="str">
            <v>-</v>
          </cell>
          <cell r="T723" t="str">
            <v>-</v>
          </cell>
          <cell r="U723" t="str">
            <v>-</v>
          </cell>
          <cell r="V723" t="str">
            <v>SS</v>
          </cell>
          <cell r="W723" t="str">
            <v>-</v>
          </cell>
          <cell r="X723" t="str">
            <v>CLP HC VG 150 = -40° + 40°</v>
          </cell>
          <cell r="Y723" t="str">
            <v>KH107DRN160M4</v>
          </cell>
          <cell r="Z723" t="str">
            <v>SEW</v>
          </cell>
          <cell r="AB723" t="str">
            <v>-</v>
          </cell>
          <cell r="AF723">
            <v>16</v>
          </cell>
          <cell r="AG723" t="str">
            <v>DRN160M4</v>
          </cell>
          <cell r="AH723" t="str">
            <v>KH107-DRN160M4A270-X</v>
          </cell>
        </row>
        <row r="724">
          <cell r="A724" t="str">
            <v>MR000720</v>
          </cell>
          <cell r="B724" t="str">
            <v>MR</v>
          </cell>
          <cell r="C724">
            <v>11</v>
          </cell>
          <cell r="D724">
            <v>16</v>
          </cell>
          <cell r="E724" t="str">
            <v>KH107</v>
          </cell>
          <cell r="F724">
            <v>6480</v>
          </cell>
          <cell r="G724">
            <v>90.96</v>
          </cell>
          <cell r="H724">
            <v>1.25</v>
          </cell>
          <cell r="I724" t="str">
            <v>M1B</v>
          </cell>
          <cell r="J724" t="str">
            <v>IE3</v>
          </cell>
          <cell r="K724">
            <v>400</v>
          </cell>
          <cell r="L724">
            <v>50</v>
          </cell>
          <cell r="M724">
            <v>21</v>
          </cell>
          <cell r="N724">
            <v>55</v>
          </cell>
          <cell r="O724" t="str">
            <v>F(105°C)</v>
          </cell>
          <cell r="P724" t="str">
            <v>270°</v>
          </cell>
          <cell r="Q724" t="str">
            <v>-</v>
          </cell>
          <cell r="R724" t="str">
            <v>-</v>
          </cell>
          <cell r="S724" t="str">
            <v>-</v>
          </cell>
          <cell r="T724" t="str">
            <v>-</v>
          </cell>
          <cell r="U724" t="str">
            <v>-</v>
          </cell>
          <cell r="V724" t="str">
            <v>SS</v>
          </cell>
          <cell r="W724" t="str">
            <v>-</v>
          </cell>
          <cell r="X724" t="str">
            <v>CLP HC VG 150 = -40° + 40°</v>
          </cell>
          <cell r="Y724" t="str">
            <v>KH107DRN160M4</v>
          </cell>
          <cell r="Z724" t="str">
            <v>SEW</v>
          </cell>
          <cell r="AB724" t="str">
            <v>-</v>
          </cell>
          <cell r="AF724">
            <v>16</v>
          </cell>
          <cell r="AG724" t="str">
            <v>DRN160M4</v>
          </cell>
          <cell r="AH724" t="str">
            <v>KH107-DRN160M4B270-X</v>
          </cell>
        </row>
        <row r="725">
          <cell r="A725" t="str">
            <v>MR000721</v>
          </cell>
          <cell r="B725" t="str">
            <v>MR</v>
          </cell>
          <cell r="C725">
            <v>7.5</v>
          </cell>
          <cell r="D725">
            <v>15</v>
          </cell>
          <cell r="E725" t="str">
            <v>KH107</v>
          </cell>
          <cell r="F725">
            <v>4910</v>
          </cell>
          <cell r="G725">
            <v>100.75</v>
          </cell>
          <cell r="H725">
            <v>1.65</v>
          </cell>
          <cell r="I725" t="str">
            <v xml:space="preserve"> From M1A to M2A - 8°</v>
          </cell>
          <cell r="J725" t="str">
            <v>IE3</v>
          </cell>
          <cell r="K725">
            <v>400</v>
          </cell>
          <cell r="L725">
            <v>50</v>
          </cell>
          <cell r="M725">
            <v>15.2</v>
          </cell>
          <cell r="N725">
            <v>55</v>
          </cell>
          <cell r="O725" t="str">
            <v>F(105°C)</v>
          </cell>
          <cell r="P725" t="str">
            <v>270°</v>
          </cell>
          <cell r="Q725" t="str">
            <v>-</v>
          </cell>
          <cell r="R725" t="str">
            <v>-</v>
          </cell>
          <cell r="S725" t="str">
            <v>-</v>
          </cell>
          <cell r="T725" t="str">
            <v>-</v>
          </cell>
          <cell r="U725" t="str">
            <v>-</v>
          </cell>
          <cell r="V725" t="str">
            <v>SS</v>
          </cell>
          <cell r="W725" t="str">
            <v>-</v>
          </cell>
          <cell r="X725" t="str">
            <v>CLP HC VG 150 = -40° + 40°</v>
          </cell>
          <cell r="Y725" t="str">
            <v>KH107DRN132M4</v>
          </cell>
          <cell r="Z725" t="str">
            <v>SEW</v>
          </cell>
          <cell r="AB725" t="str">
            <v>-</v>
          </cell>
          <cell r="AF725">
            <v>15</v>
          </cell>
          <cell r="AG725" t="str">
            <v>DRN132M4</v>
          </cell>
          <cell r="AH725" t="str">
            <v>KH107-DRN132M4A270-X</v>
          </cell>
        </row>
        <row r="726">
          <cell r="A726" t="str">
            <v>MR000722</v>
          </cell>
          <cell r="B726" t="str">
            <v>MR</v>
          </cell>
          <cell r="C726">
            <v>30</v>
          </cell>
          <cell r="D726">
            <v>37</v>
          </cell>
          <cell r="E726" t="str">
            <v>KH127</v>
          </cell>
          <cell r="F726">
            <v>7770</v>
          </cell>
          <cell r="G726">
            <v>40.19</v>
          </cell>
          <cell r="H726">
            <v>63700</v>
          </cell>
          <cell r="I726">
            <v>1.65</v>
          </cell>
          <cell r="J726" t="str">
            <v>IE3</v>
          </cell>
          <cell r="K726">
            <v>400</v>
          </cell>
          <cell r="L726">
            <v>50</v>
          </cell>
          <cell r="N726">
            <v>55</v>
          </cell>
          <cell r="O726" t="str">
            <v>F(105°C)</v>
          </cell>
          <cell r="P726" t="str">
            <v>270°</v>
          </cell>
          <cell r="Q726" t="str">
            <v>-</v>
          </cell>
          <cell r="R726" t="str">
            <v>-</v>
          </cell>
          <cell r="S726" t="str">
            <v>-</v>
          </cell>
          <cell r="T726" t="str">
            <v>-</v>
          </cell>
          <cell r="U726" t="str">
            <v>-</v>
          </cell>
          <cell r="V726" t="str">
            <v>SS</v>
          </cell>
          <cell r="W726" t="str">
            <v>-</v>
          </cell>
          <cell r="X726" t="str">
            <v>CLP (CC) VG 220 = -15° + 40°</v>
          </cell>
          <cell r="Y726" t="str">
            <v>KH127DRN200L4</v>
          </cell>
          <cell r="Z726" t="str">
            <v>SEW</v>
          </cell>
          <cell r="AB726" t="str">
            <v>-</v>
          </cell>
          <cell r="AF726">
            <v>37</v>
          </cell>
          <cell r="AG726" t="str">
            <v>DRN200L4</v>
          </cell>
          <cell r="AH726" t="str">
            <v>KH127-DRN200L4270-X</v>
          </cell>
        </row>
        <row r="727">
          <cell r="A727" t="str">
            <v>MR000723</v>
          </cell>
          <cell r="B727" t="str">
            <v>MR</v>
          </cell>
          <cell r="C727">
            <v>3</v>
          </cell>
          <cell r="D727">
            <v>53</v>
          </cell>
          <cell r="E727" t="str">
            <v>KA67</v>
          </cell>
          <cell r="F727">
            <v>535</v>
          </cell>
          <cell r="G727">
            <v>27.28</v>
          </cell>
          <cell r="H727">
            <v>1.55</v>
          </cell>
          <cell r="I727" t="str">
            <v>M4B</v>
          </cell>
          <cell r="J727" t="str">
            <v>IE3</v>
          </cell>
          <cell r="K727">
            <v>400</v>
          </cell>
          <cell r="L727">
            <v>50</v>
          </cell>
          <cell r="N727">
            <v>55</v>
          </cell>
          <cell r="O727" t="str">
            <v>F</v>
          </cell>
          <cell r="P727" t="str">
            <v>270°</v>
          </cell>
          <cell r="R727" t="str">
            <v>-</v>
          </cell>
          <cell r="S727" t="str">
            <v>Free rotation CW</v>
          </cell>
          <cell r="V727" t="str">
            <v>D</v>
          </cell>
          <cell r="X727" t="str">
            <v>CLP (CC) VG 220 = -15° + 40°</v>
          </cell>
          <cell r="Y727" t="str">
            <v>KA67/T DRN100L4-RS</v>
          </cell>
          <cell r="Z727" t="str">
            <v>SEW</v>
          </cell>
          <cell r="AH727" t="str">
            <v>KA67-B270-X</v>
          </cell>
        </row>
        <row r="728">
          <cell r="A728" t="str">
            <v>MR000724</v>
          </cell>
          <cell r="B728" t="str">
            <v>MR</v>
          </cell>
          <cell r="C728">
            <v>3</v>
          </cell>
          <cell r="D728">
            <v>66</v>
          </cell>
          <cell r="E728" t="str">
            <v>FA67</v>
          </cell>
          <cell r="F728">
            <v>435</v>
          </cell>
          <cell r="G728">
            <v>22.05</v>
          </cell>
          <cell r="H728">
            <v>1.9</v>
          </cell>
          <cell r="I728" t="str">
            <v>M1</v>
          </cell>
          <cell r="J728" t="str">
            <v>IE3</v>
          </cell>
          <cell r="K728" t="str">
            <v>230/400</v>
          </cell>
          <cell r="L728">
            <v>50</v>
          </cell>
          <cell r="N728">
            <v>55</v>
          </cell>
          <cell r="O728" t="str">
            <v>F(105°C)</v>
          </cell>
          <cell r="P728" t="str">
            <v>270°</v>
          </cell>
          <cell r="Q728" t="str">
            <v>-</v>
          </cell>
          <cell r="R728" t="str">
            <v>-</v>
          </cell>
          <cell r="S728" t="str">
            <v>-</v>
          </cell>
          <cell r="T728" t="str">
            <v>-</v>
          </cell>
          <cell r="U728" t="str">
            <v>G</v>
          </cell>
          <cell r="V728" t="str">
            <v>D</v>
          </cell>
          <cell r="W728" t="str">
            <v>-</v>
          </cell>
          <cell r="X728" t="str">
            <v>CLP (CC) VG 220 = -15° + 40°</v>
          </cell>
          <cell r="Y728" t="str">
            <v>FA67/G DRN100L4</v>
          </cell>
          <cell r="Z728" t="str">
            <v>SEW</v>
          </cell>
          <cell r="AB728" t="str">
            <v>-</v>
          </cell>
          <cell r="AF728">
            <v>66</v>
          </cell>
          <cell r="AG728" t="str">
            <v>DRN100L4</v>
          </cell>
          <cell r="AH728" t="str">
            <v>FA67G-DRN100L4270-X</v>
          </cell>
        </row>
        <row r="729">
          <cell r="A729" t="str">
            <v>MR000725</v>
          </cell>
          <cell r="B729" t="str">
            <v>MR</v>
          </cell>
          <cell r="C729">
            <v>2.2000000000000002</v>
          </cell>
          <cell r="D729">
            <v>66</v>
          </cell>
          <cell r="E729" t="str">
            <v>FA67</v>
          </cell>
          <cell r="F729">
            <v>320</v>
          </cell>
          <cell r="G729">
            <v>22.05</v>
          </cell>
          <cell r="H729">
            <v>2.6</v>
          </cell>
          <cell r="I729" t="str">
            <v>M1</v>
          </cell>
          <cell r="J729" t="str">
            <v>IE3</v>
          </cell>
          <cell r="K729" t="str">
            <v>230/400</v>
          </cell>
          <cell r="L729">
            <v>50</v>
          </cell>
          <cell r="N729">
            <v>55</v>
          </cell>
          <cell r="O729" t="str">
            <v>F(105°C)</v>
          </cell>
          <cell r="P729" t="str">
            <v>270°</v>
          </cell>
          <cell r="Q729" t="str">
            <v>-</v>
          </cell>
          <cell r="R729" t="str">
            <v>-</v>
          </cell>
          <cell r="S729" t="str">
            <v>-</v>
          </cell>
          <cell r="T729" t="str">
            <v>-</v>
          </cell>
          <cell r="U729" t="str">
            <v>G</v>
          </cell>
          <cell r="V729" t="str">
            <v>D</v>
          </cell>
          <cell r="W729" t="str">
            <v>-</v>
          </cell>
          <cell r="X729" t="str">
            <v>CLP (CC) VG 220 = -15° + 40°</v>
          </cell>
          <cell r="Y729" t="str">
            <v>FA67/G DRN100LS4</v>
          </cell>
          <cell r="Z729" t="str">
            <v>SEW</v>
          </cell>
          <cell r="AB729" t="str">
            <v>-</v>
          </cell>
          <cell r="AF729">
            <v>66</v>
          </cell>
          <cell r="AG729" t="str">
            <v>DRN100LS4</v>
          </cell>
          <cell r="AH729" t="str">
            <v>FA67G-DRN100LS4270-X</v>
          </cell>
        </row>
        <row r="730">
          <cell r="A730" t="str">
            <v>MR000726</v>
          </cell>
          <cell r="B730" t="str">
            <v>MR</v>
          </cell>
          <cell r="C730">
            <v>2.2000000000000002</v>
          </cell>
          <cell r="D730">
            <v>53</v>
          </cell>
          <cell r="E730" t="str">
            <v>FA67</v>
          </cell>
          <cell r="F730">
            <v>395</v>
          </cell>
          <cell r="G730">
            <v>27.41</v>
          </cell>
          <cell r="H730">
            <v>2.1</v>
          </cell>
          <cell r="I730" t="str">
            <v>M1</v>
          </cell>
          <cell r="J730" t="str">
            <v>IE3</v>
          </cell>
          <cell r="K730" t="str">
            <v>230/400</v>
          </cell>
          <cell r="L730">
            <v>50</v>
          </cell>
          <cell r="N730">
            <v>55</v>
          </cell>
          <cell r="O730" t="str">
            <v>F(105°C)</v>
          </cell>
          <cell r="P730" t="str">
            <v>270°</v>
          </cell>
          <cell r="Q730" t="str">
            <v>-</v>
          </cell>
          <cell r="R730" t="str">
            <v>-</v>
          </cell>
          <cell r="S730" t="str">
            <v>-</v>
          </cell>
          <cell r="T730" t="str">
            <v>-</v>
          </cell>
          <cell r="U730" t="str">
            <v>G</v>
          </cell>
          <cell r="V730" t="str">
            <v>D</v>
          </cell>
          <cell r="W730" t="str">
            <v>-</v>
          </cell>
          <cell r="X730" t="str">
            <v>CLP (CC) VG 220 = -15° + 40°</v>
          </cell>
          <cell r="Y730" t="str">
            <v>FA67/G DRN100LS4</v>
          </cell>
          <cell r="Z730" t="str">
            <v>SEW</v>
          </cell>
          <cell r="AB730" t="str">
            <v>-</v>
          </cell>
          <cell r="AF730">
            <v>53</v>
          </cell>
          <cell r="AG730" t="str">
            <v>DRN100LS4</v>
          </cell>
          <cell r="AH730" t="str">
            <v>FA67G-DRN100LS4270-X</v>
          </cell>
        </row>
        <row r="731">
          <cell r="A731" t="str">
            <v>MR000727</v>
          </cell>
          <cell r="B731" t="str">
            <v>MR</v>
          </cell>
          <cell r="C731">
            <v>37</v>
          </cell>
          <cell r="D731">
            <v>28.333333333333336</v>
          </cell>
          <cell r="E731" t="str">
            <v>R147</v>
          </cell>
          <cell r="F731">
            <v>10400</v>
          </cell>
          <cell r="G731">
            <v>52.87</v>
          </cell>
          <cell r="H731">
            <v>1.25</v>
          </cell>
          <cell r="I731" t="str">
            <v>M1</v>
          </cell>
          <cell r="J731" t="str">
            <v>IE3</v>
          </cell>
          <cell r="K731" t="str">
            <v>277/480</v>
          </cell>
          <cell r="L731">
            <v>60</v>
          </cell>
          <cell r="M731" t="str">
            <v>96/56</v>
          </cell>
          <cell r="N731">
            <v>55</v>
          </cell>
          <cell r="O731" t="str">
            <v>F(105°C)</v>
          </cell>
          <cell r="P731" t="str">
            <v>270°</v>
          </cell>
          <cell r="Q731" t="str">
            <v>TF</v>
          </cell>
          <cell r="R731" t="str">
            <v>V(VE)</v>
          </cell>
          <cell r="S731" t="str">
            <v>-</v>
          </cell>
          <cell r="T731" t="str">
            <v>-</v>
          </cell>
          <cell r="U731" t="str">
            <v>-</v>
          </cell>
          <cell r="V731" t="str">
            <v>FC</v>
          </cell>
          <cell r="W731" t="str">
            <v>-</v>
          </cell>
          <cell r="X731" t="str">
            <v>CLP (CC) VG 220 = -15° + 40°</v>
          </cell>
          <cell r="Y731" t="str">
            <v>R147DRN225S4 /TF/V</v>
          </cell>
          <cell r="Z731" t="str">
            <v>SEW</v>
          </cell>
          <cell r="AB731" t="str">
            <v>-</v>
          </cell>
          <cell r="AF731">
            <v>34.000000000000007</v>
          </cell>
          <cell r="AG731" t="str">
            <v>DRN225S4</v>
          </cell>
          <cell r="AH731" t="str">
            <v>R147-DRN225S4270-X#</v>
          </cell>
        </row>
        <row r="732">
          <cell r="A732" t="str">
            <v>MR000728</v>
          </cell>
          <cell r="B732" t="str">
            <v>ME</v>
          </cell>
          <cell r="C732">
            <v>45</v>
          </cell>
          <cell r="D732">
            <v>1475</v>
          </cell>
          <cell r="E732" t="str">
            <v>1LE1523</v>
          </cell>
          <cell r="F732">
            <v>120</v>
          </cell>
          <cell r="I732" t="str">
            <v>V1/B5</v>
          </cell>
          <cell r="J732" t="str">
            <v>IE3</v>
          </cell>
          <cell r="K732" t="str">
            <v>277/480</v>
          </cell>
          <cell r="L732">
            <v>60</v>
          </cell>
          <cell r="M732">
            <v>68</v>
          </cell>
          <cell r="N732">
            <v>55</v>
          </cell>
          <cell r="O732" t="str">
            <v>F</v>
          </cell>
          <cell r="P732" t="str">
            <v>-</v>
          </cell>
          <cell r="Q732" t="str">
            <v>-</v>
          </cell>
          <cell r="R732" t="str">
            <v>-</v>
          </cell>
          <cell r="S732" t="str">
            <v>-</v>
          </cell>
          <cell r="T732" t="str">
            <v>-</v>
          </cell>
          <cell r="U732" t="str">
            <v>-</v>
          </cell>
          <cell r="V732" t="str">
            <v>D</v>
          </cell>
          <cell r="W732" t="str">
            <v>-</v>
          </cell>
          <cell r="X732" t="str">
            <v xml:space="preserve"> -</v>
          </cell>
          <cell r="Y732" t="str">
            <v>1LE1523-2BB23-5FA4</v>
          </cell>
          <cell r="Z732" t="str">
            <v>SIEMENS</v>
          </cell>
          <cell r="AB732" t="str">
            <v>-</v>
          </cell>
          <cell r="AE732" t="str">
            <v>4 POLES</v>
          </cell>
          <cell r="AG732" t="str">
            <v>225M</v>
          </cell>
          <cell r="AH732" t="str">
            <v>1LE1523-225MB--X</v>
          </cell>
        </row>
        <row r="733">
          <cell r="A733" t="str">
            <v>MR000729</v>
          </cell>
          <cell r="B733" t="str">
            <v>ME</v>
          </cell>
          <cell r="C733">
            <v>4</v>
          </cell>
          <cell r="D733">
            <v>1475</v>
          </cell>
          <cell r="E733" t="str">
            <v>1LE1023</v>
          </cell>
          <cell r="F733">
            <v>9.9</v>
          </cell>
          <cell r="I733" t="str">
            <v>B5</v>
          </cell>
          <cell r="J733" t="str">
            <v>IE3</v>
          </cell>
          <cell r="K733" t="str">
            <v>277/480</v>
          </cell>
          <cell r="L733">
            <v>60</v>
          </cell>
          <cell r="M733">
            <v>6</v>
          </cell>
          <cell r="N733">
            <v>55</v>
          </cell>
          <cell r="O733" t="str">
            <v>F</v>
          </cell>
          <cell r="P733" t="str">
            <v>-</v>
          </cell>
          <cell r="Q733" t="str">
            <v>-</v>
          </cell>
          <cell r="R733" t="str">
            <v>-</v>
          </cell>
          <cell r="S733" t="str">
            <v>-</v>
          </cell>
          <cell r="T733" t="str">
            <v>-</v>
          </cell>
          <cell r="U733" t="str">
            <v>-</v>
          </cell>
          <cell r="V733" t="str">
            <v>D</v>
          </cell>
          <cell r="W733" t="str">
            <v>-</v>
          </cell>
          <cell r="X733" t="str">
            <v xml:space="preserve"> -</v>
          </cell>
          <cell r="Y733" t="str">
            <v>1LE1023-1BB22-3FA4</v>
          </cell>
          <cell r="Z733" t="str">
            <v>SIEMENS</v>
          </cell>
          <cell r="AB733" t="str">
            <v>-</v>
          </cell>
          <cell r="AE733" t="str">
            <v>4 POLES</v>
          </cell>
          <cell r="AG733" t="str">
            <v>112M</v>
          </cell>
          <cell r="AH733" t="str">
            <v>1LE1023-112MB--X</v>
          </cell>
        </row>
        <row r="734">
          <cell r="A734" t="str">
            <v>MR000730</v>
          </cell>
          <cell r="B734" t="str">
            <v>MR</v>
          </cell>
          <cell r="C734">
            <v>18.5</v>
          </cell>
          <cell r="D734">
            <v>35</v>
          </cell>
          <cell r="E734" t="str">
            <v>KH107</v>
          </cell>
          <cell r="F734">
            <v>4190</v>
          </cell>
          <cell r="G734">
            <v>42.33</v>
          </cell>
          <cell r="H734">
            <v>1.75</v>
          </cell>
          <cell r="I734" t="str">
            <v>M4B</v>
          </cell>
          <cell r="J734" t="str">
            <v>IE3</v>
          </cell>
          <cell r="K734" t="str">
            <v>277/480</v>
          </cell>
          <cell r="L734">
            <v>60</v>
          </cell>
          <cell r="M734" t="str">
            <v>51/29,5</v>
          </cell>
          <cell r="N734">
            <v>55</v>
          </cell>
          <cell r="O734" t="str">
            <v>F</v>
          </cell>
          <cell r="P734" t="str">
            <v>270°</v>
          </cell>
          <cell r="Q734" t="str">
            <v>-</v>
          </cell>
          <cell r="R734" t="str">
            <v>-</v>
          </cell>
          <cell r="S734" t="str">
            <v>Free rotation CW</v>
          </cell>
          <cell r="T734" t="str">
            <v>-</v>
          </cell>
          <cell r="U734" t="str">
            <v>T</v>
          </cell>
          <cell r="V734" t="str">
            <v>SS</v>
          </cell>
          <cell r="W734" t="str">
            <v>-</v>
          </cell>
          <cell r="X734" t="str">
            <v>CLP (CC) VG 220 = -15° + 40°</v>
          </cell>
          <cell r="Y734" t="str">
            <v>KH107/T DRN180M4 /RS</v>
          </cell>
          <cell r="Z734" t="str">
            <v>SEW</v>
          </cell>
          <cell r="AB734" t="str">
            <v>-</v>
          </cell>
          <cell r="AF734">
            <v>42</v>
          </cell>
          <cell r="AG734" t="str">
            <v>DRN180M4</v>
          </cell>
          <cell r="AH734" t="str">
            <v>KH107T-DRN180M4B270-X</v>
          </cell>
        </row>
        <row r="735">
          <cell r="A735" t="str">
            <v>MR000731</v>
          </cell>
          <cell r="B735" t="str">
            <v>MR</v>
          </cell>
          <cell r="C735">
            <v>0.75</v>
          </cell>
          <cell r="D735">
            <v>141.66666666666669</v>
          </cell>
          <cell r="E735" t="str">
            <v>KA37</v>
          </cell>
          <cell r="F735">
            <v>42</v>
          </cell>
          <cell r="G735">
            <v>10.32</v>
          </cell>
          <cell r="H735">
            <v>1.8</v>
          </cell>
          <cell r="I735" t="str">
            <v>M1B</v>
          </cell>
          <cell r="J735" t="str">
            <v>IE3</v>
          </cell>
          <cell r="K735" t="str">
            <v>277/480</v>
          </cell>
          <cell r="L735">
            <v>60</v>
          </cell>
          <cell r="M735" t="str">
            <v>2,7/1,56</v>
          </cell>
          <cell r="N735">
            <v>55</v>
          </cell>
          <cell r="O735" t="str">
            <v>F</v>
          </cell>
          <cell r="P735" t="str">
            <v>270°</v>
          </cell>
          <cell r="Q735" t="str">
            <v>-</v>
          </cell>
          <cell r="R735" t="str">
            <v>-</v>
          </cell>
          <cell r="S735" t="str">
            <v>-</v>
          </cell>
          <cell r="T735" t="str">
            <v>-</v>
          </cell>
          <cell r="U735" t="str">
            <v>T</v>
          </cell>
          <cell r="V735" t="str">
            <v>D</v>
          </cell>
          <cell r="W735" t="str">
            <v>-</v>
          </cell>
          <cell r="X735" t="str">
            <v>CLP (CC) VG 220 = -15° + 40°</v>
          </cell>
          <cell r="Y735" t="str">
            <v>KA37/T DRN80M4</v>
          </cell>
          <cell r="Z735" t="str">
            <v>SEW</v>
          </cell>
          <cell r="AB735" t="str">
            <v>-</v>
          </cell>
          <cell r="AF735">
            <v>170.00000000000003</v>
          </cell>
          <cell r="AG735" t="str">
            <v>DRN80M4</v>
          </cell>
          <cell r="AH735" t="str">
            <v>KA37T-DRN80M4B270-X</v>
          </cell>
        </row>
        <row r="736">
          <cell r="A736" t="str">
            <v>MR000732</v>
          </cell>
          <cell r="B736" t="str">
            <v>MR</v>
          </cell>
          <cell r="C736">
            <v>22</v>
          </cell>
          <cell r="D736">
            <v>48.333333333333336</v>
          </cell>
          <cell r="E736" t="str">
            <v>KH97</v>
          </cell>
          <cell r="F736">
            <v>3630</v>
          </cell>
          <cell r="G736">
            <v>30.82</v>
          </cell>
          <cell r="H736">
            <v>1.2</v>
          </cell>
          <cell r="I736" t="str">
            <v>M4A</v>
          </cell>
          <cell r="J736" t="str">
            <v>IE3</v>
          </cell>
          <cell r="K736" t="str">
            <v>277/480</v>
          </cell>
          <cell r="L736">
            <v>60</v>
          </cell>
          <cell r="M736" t="str">
            <v>59/34</v>
          </cell>
          <cell r="N736">
            <v>55</v>
          </cell>
          <cell r="O736" t="str">
            <v>F</v>
          </cell>
          <cell r="P736" t="str">
            <v>270°</v>
          </cell>
          <cell r="Q736" t="str">
            <v>-</v>
          </cell>
          <cell r="R736" t="str">
            <v>-</v>
          </cell>
          <cell r="S736" t="str">
            <v>Free rotation CCW</v>
          </cell>
          <cell r="T736" t="str">
            <v>-</v>
          </cell>
          <cell r="U736" t="str">
            <v>T</v>
          </cell>
          <cell r="V736" t="str">
            <v>SS</v>
          </cell>
          <cell r="W736" t="str">
            <v>-</v>
          </cell>
          <cell r="X736" t="str">
            <v>CLP (CC) VG 220 = -15° + 40°</v>
          </cell>
          <cell r="Y736" t="str">
            <v>KH97/T DRN180L4 /RS</v>
          </cell>
          <cell r="Z736" t="str">
            <v>SEW</v>
          </cell>
          <cell r="AB736" t="str">
            <v>-</v>
          </cell>
          <cell r="AF736">
            <v>58</v>
          </cell>
          <cell r="AG736" t="str">
            <v>DRN180L4</v>
          </cell>
          <cell r="AH736" t="str">
            <v>KH97T-DRN180L4A270-X</v>
          </cell>
        </row>
        <row r="737">
          <cell r="A737" t="str">
            <v>MR000733</v>
          </cell>
          <cell r="B737" t="str">
            <v>MR</v>
          </cell>
          <cell r="C737">
            <v>5.5</v>
          </cell>
          <cell r="D737">
            <v>4.75</v>
          </cell>
          <cell r="E737" t="str">
            <v>FH127R87</v>
          </cell>
          <cell r="F737">
            <v>8530</v>
          </cell>
          <cell r="G737">
            <v>312</v>
          </cell>
          <cell r="H737">
            <v>1.4</v>
          </cell>
          <cell r="I737" t="str">
            <v>From M1 to M4 - 20°</v>
          </cell>
          <cell r="J737" t="str">
            <v>IE3</v>
          </cell>
          <cell r="K737" t="str">
            <v>277/480</v>
          </cell>
          <cell r="L737">
            <v>60</v>
          </cell>
          <cell r="M737" t="str">
            <v>15,9/9,2</v>
          </cell>
          <cell r="N737">
            <v>55</v>
          </cell>
          <cell r="O737" t="str">
            <v>F</v>
          </cell>
          <cell r="P737" t="str">
            <v>270°</v>
          </cell>
          <cell r="Q737" t="str">
            <v>TF</v>
          </cell>
          <cell r="R737" t="str">
            <v>V(VE)</v>
          </cell>
          <cell r="S737" t="str">
            <v>-</v>
          </cell>
          <cell r="T737" t="str">
            <v>-</v>
          </cell>
          <cell r="U737" t="str">
            <v>G</v>
          </cell>
          <cell r="V737" t="str">
            <v>FC</v>
          </cell>
          <cell r="W737" t="str">
            <v>-</v>
          </cell>
          <cell r="X737" t="str">
            <v>CLP (CC) VG 220 = -15° + 40°</v>
          </cell>
          <cell r="Y737" t="str">
            <v>FH127R87/G DRN132S4 /TF/V</v>
          </cell>
          <cell r="Z737" t="str">
            <v>SEW</v>
          </cell>
          <cell r="AB737" t="str">
            <v>-</v>
          </cell>
          <cell r="AF737">
            <v>5.7</v>
          </cell>
          <cell r="AG737" t="str">
            <v>DRN132S4</v>
          </cell>
          <cell r="AH737" t="str">
            <v>FH127R87G-DRN132S4270-X#</v>
          </cell>
        </row>
        <row r="738">
          <cell r="A738" t="str">
            <v>MR000734</v>
          </cell>
          <cell r="B738" t="str">
            <v>MR</v>
          </cell>
          <cell r="C738">
            <v>7.5</v>
          </cell>
          <cell r="D738">
            <v>25.833333333333336</v>
          </cell>
          <cell r="E738" t="str">
            <v>KH87</v>
          </cell>
          <cell r="F738">
            <v>2280</v>
          </cell>
          <cell r="G738">
            <v>56.64</v>
          </cell>
          <cell r="H738">
            <v>1.2</v>
          </cell>
          <cell r="I738" t="str">
            <v>M4B</v>
          </cell>
          <cell r="J738" t="str">
            <v>IE3</v>
          </cell>
          <cell r="K738" t="str">
            <v>277/480</v>
          </cell>
          <cell r="L738">
            <v>60</v>
          </cell>
          <cell r="M738" t="str">
            <v>23/13,3</v>
          </cell>
          <cell r="N738">
            <v>55</v>
          </cell>
          <cell r="O738" t="str">
            <v>F</v>
          </cell>
          <cell r="P738" t="str">
            <v>270°</v>
          </cell>
          <cell r="Q738" t="str">
            <v>-</v>
          </cell>
          <cell r="R738" t="str">
            <v>-</v>
          </cell>
          <cell r="S738" t="str">
            <v>Free rotation CW</v>
          </cell>
          <cell r="T738" t="str">
            <v>-</v>
          </cell>
          <cell r="U738" t="str">
            <v>T</v>
          </cell>
          <cell r="V738" t="str">
            <v>SS</v>
          </cell>
          <cell r="W738" t="str">
            <v>-</v>
          </cell>
          <cell r="X738" t="str">
            <v>CLP (CC) VG 220 = -15° + 40°</v>
          </cell>
          <cell r="Y738" t="str">
            <v>KH87/T DRN132M4 /RS</v>
          </cell>
          <cell r="Z738" t="str">
            <v>SEW</v>
          </cell>
          <cell r="AB738" t="str">
            <v>-</v>
          </cell>
          <cell r="AF738">
            <v>31.000000000000004</v>
          </cell>
          <cell r="AG738" t="str">
            <v>DRN132M4</v>
          </cell>
          <cell r="AH738" t="str">
            <v>KH87T-DRN132M4B270-X</v>
          </cell>
        </row>
        <row r="739">
          <cell r="A739" t="str">
            <v>MR000735</v>
          </cell>
          <cell r="B739" t="str">
            <v>MR</v>
          </cell>
          <cell r="C739">
            <v>15</v>
          </cell>
          <cell r="D739">
            <v>13.333333333333334</v>
          </cell>
          <cell r="E739" t="str">
            <v>KH127</v>
          </cell>
          <cell r="F739">
            <v>8880</v>
          </cell>
          <cell r="G739">
            <v>110.18</v>
          </cell>
          <cell r="H739">
            <v>1.45</v>
          </cell>
          <cell r="I739" t="str">
            <v>From M1A to M2A - 30°</v>
          </cell>
          <cell r="J739" t="str">
            <v>IE3</v>
          </cell>
          <cell r="K739" t="str">
            <v>277/480</v>
          </cell>
          <cell r="L739">
            <v>60</v>
          </cell>
          <cell r="M739" t="str">
            <v>43,5/25</v>
          </cell>
          <cell r="N739">
            <v>55</v>
          </cell>
          <cell r="O739" t="str">
            <v>F</v>
          </cell>
          <cell r="P739" t="str">
            <v>270°</v>
          </cell>
          <cell r="Q739" t="str">
            <v>TF</v>
          </cell>
          <cell r="R739" t="str">
            <v>V(VE)</v>
          </cell>
          <cell r="S739" t="str">
            <v>-</v>
          </cell>
          <cell r="T739" t="str">
            <v>-</v>
          </cell>
          <cell r="U739" t="str">
            <v>-</v>
          </cell>
          <cell r="V739" t="str">
            <v>FC</v>
          </cell>
          <cell r="W739" t="str">
            <v>-</v>
          </cell>
          <cell r="X739" t="str">
            <v>CLP (CC) VG 220 = -15° + 40°</v>
          </cell>
          <cell r="Y739" t="str">
            <v>KH127DRN160L4 /TF/V</v>
          </cell>
          <cell r="Z739" t="str">
            <v>SEW</v>
          </cell>
          <cell r="AB739" t="str">
            <v>-</v>
          </cell>
          <cell r="AF739">
            <v>16</v>
          </cell>
          <cell r="AG739" t="str">
            <v>DRN160L4</v>
          </cell>
          <cell r="AH739" t="str">
            <v>KH127-DRN160L4A270-X#</v>
          </cell>
        </row>
        <row r="740">
          <cell r="A740" t="str">
            <v>MR000736</v>
          </cell>
          <cell r="B740" t="str">
            <v>MR</v>
          </cell>
          <cell r="C740">
            <v>15</v>
          </cell>
          <cell r="D740">
            <v>13.333333333333334</v>
          </cell>
          <cell r="E740" t="str">
            <v>KH127</v>
          </cell>
          <cell r="F740">
            <v>8880</v>
          </cell>
          <cell r="G740">
            <v>110.18</v>
          </cell>
          <cell r="H740">
            <v>1.45</v>
          </cell>
          <cell r="I740" t="str">
            <v>From M1B to M2B - 30°</v>
          </cell>
          <cell r="J740" t="str">
            <v>IE3</v>
          </cell>
          <cell r="K740" t="str">
            <v>277/480</v>
          </cell>
          <cell r="L740">
            <v>60</v>
          </cell>
          <cell r="M740" t="str">
            <v>43,5/25</v>
          </cell>
          <cell r="N740">
            <v>55</v>
          </cell>
          <cell r="O740" t="str">
            <v>F</v>
          </cell>
          <cell r="P740" t="str">
            <v>270°</v>
          </cell>
          <cell r="Q740" t="str">
            <v>TF</v>
          </cell>
          <cell r="R740" t="str">
            <v>V(VE)</v>
          </cell>
          <cell r="S740" t="str">
            <v>-</v>
          </cell>
          <cell r="T740" t="str">
            <v>-</v>
          </cell>
          <cell r="U740" t="str">
            <v>-</v>
          </cell>
          <cell r="V740" t="str">
            <v>FC</v>
          </cell>
          <cell r="W740" t="str">
            <v>-</v>
          </cell>
          <cell r="X740" t="str">
            <v>CLP (CC) VG 220 = -15° + 40°</v>
          </cell>
          <cell r="Y740" t="str">
            <v>KH127DRN160L4 /TF/V</v>
          </cell>
          <cell r="Z740" t="str">
            <v>SEW</v>
          </cell>
          <cell r="AB740" t="str">
            <v>-</v>
          </cell>
          <cell r="AF740">
            <v>16</v>
          </cell>
          <cell r="AG740" t="str">
            <v>DRN160L4</v>
          </cell>
          <cell r="AH740" t="str">
            <v>KH127-DRN160L4B270-X#</v>
          </cell>
        </row>
        <row r="741">
          <cell r="A741" t="str">
            <v>MR000737</v>
          </cell>
          <cell r="B741" t="str">
            <v>MR</v>
          </cell>
          <cell r="C741">
            <v>22</v>
          </cell>
          <cell r="D741">
            <v>12.5</v>
          </cell>
          <cell r="E741" t="str">
            <v>KH157</v>
          </cell>
          <cell r="F741">
            <v>14400</v>
          </cell>
          <cell r="G741">
            <v>122.39</v>
          </cell>
          <cell r="H741">
            <v>1.25</v>
          </cell>
          <cell r="I741" t="str">
            <v>From M1A to M2A - 35°</v>
          </cell>
          <cell r="J741" t="str">
            <v>IE3</v>
          </cell>
          <cell r="K741" t="str">
            <v>277/480</v>
          </cell>
          <cell r="L741">
            <v>60</v>
          </cell>
          <cell r="M741" t="str">
            <v>59/34</v>
          </cell>
          <cell r="N741">
            <v>55</v>
          </cell>
          <cell r="O741" t="str">
            <v>F</v>
          </cell>
          <cell r="P741" t="str">
            <v>270°</v>
          </cell>
          <cell r="Q741" t="str">
            <v>TF</v>
          </cell>
          <cell r="R741" t="str">
            <v>V(VE)</v>
          </cell>
          <cell r="S741" t="str">
            <v>-</v>
          </cell>
          <cell r="T741" t="str">
            <v>-</v>
          </cell>
          <cell r="U741" t="str">
            <v>-</v>
          </cell>
          <cell r="V741" t="str">
            <v>FC</v>
          </cell>
          <cell r="W741" t="str">
            <v>-</v>
          </cell>
          <cell r="X741" t="str">
            <v>CLP (CC) VG 220 = -15° + 40°</v>
          </cell>
          <cell r="Y741" t="str">
            <v>KH157DRN180L4 /TF/V</v>
          </cell>
          <cell r="Z741" t="str">
            <v>SEW</v>
          </cell>
          <cell r="AB741" t="str">
            <v>-</v>
          </cell>
          <cell r="AF741">
            <v>15</v>
          </cell>
          <cell r="AG741" t="str">
            <v>DRN180L4</v>
          </cell>
          <cell r="AH741" t="str">
            <v>KH157-DRN180L4A270-X#</v>
          </cell>
        </row>
        <row r="742">
          <cell r="A742" t="str">
            <v>MR000738</v>
          </cell>
          <cell r="B742" t="str">
            <v>MR</v>
          </cell>
          <cell r="C742">
            <v>15</v>
          </cell>
          <cell r="D742">
            <v>10.833333333333334</v>
          </cell>
          <cell r="E742" t="str">
            <v>KH127</v>
          </cell>
          <cell r="F742">
            <v>10900</v>
          </cell>
          <cell r="G742">
            <v>136.13999999999999</v>
          </cell>
          <cell r="H742">
            <v>1.2</v>
          </cell>
          <cell r="I742" t="str">
            <v>From M1A to M2A - 35°</v>
          </cell>
          <cell r="J742" t="str">
            <v>IE3</v>
          </cell>
          <cell r="K742" t="str">
            <v>277/480</v>
          </cell>
          <cell r="L742">
            <v>60</v>
          </cell>
          <cell r="M742" t="str">
            <v>43,5/25</v>
          </cell>
          <cell r="N742">
            <v>55</v>
          </cell>
          <cell r="O742" t="str">
            <v>F</v>
          </cell>
          <cell r="P742" t="str">
            <v>270°</v>
          </cell>
          <cell r="Q742" t="str">
            <v>TF</v>
          </cell>
          <cell r="R742" t="str">
            <v>V(VE)</v>
          </cell>
          <cell r="S742" t="str">
            <v>-</v>
          </cell>
          <cell r="T742" t="str">
            <v>-</v>
          </cell>
          <cell r="U742" t="str">
            <v>-</v>
          </cell>
          <cell r="V742" t="str">
            <v>FC</v>
          </cell>
          <cell r="W742" t="str">
            <v>-</v>
          </cell>
          <cell r="X742" t="str">
            <v>CLP (CC) VG 220 = -15° + 40°</v>
          </cell>
          <cell r="Y742" t="str">
            <v>KH127DRN160L4 /TF/V</v>
          </cell>
          <cell r="Z742" t="str">
            <v>SEW</v>
          </cell>
          <cell r="AB742" t="str">
            <v>-</v>
          </cell>
          <cell r="AF742">
            <v>13</v>
          </cell>
          <cell r="AG742" t="str">
            <v>DRN160L4</v>
          </cell>
          <cell r="AH742" t="str">
            <v>KH127-DRN160L4A270-X#</v>
          </cell>
        </row>
        <row r="743">
          <cell r="A743" t="str">
            <v>MR000739</v>
          </cell>
          <cell r="B743" t="str">
            <v>MR</v>
          </cell>
          <cell r="C743">
            <v>15</v>
          </cell>
          <cell r="D743">
            <v>10.833333333333334</v>
          </cell>
          <cell r="E743" t="str">
            <v>KH127</v>
          </cell>
          <cell r="F743">
            <v>10900</v>
          </cell>
          <cell r="G743">
            <v>136.13999999999999</v>
          </cell>
          <cell r="H743">
            <v>1.2</v>
          </cell>
          <cell r="I743" t="str">
            <v>From M1B to M2B - 35°</v>
          </cell>
          <cell r="J743" t="str">
            <v>IE3</v>
          </cell>
          <cell r="K743" t="str">
            <v>277/480</v>
          </cell>
          <cell r="L743">
            <v>60</v>
          </cell>
          <cell r="M743" t="str">
            <v>43,5/25</v>
          </cell>
          <cell r="N743">
            <v>55</v>
          </cell>
          <cell r="O743" t="str">
            <v>F</v>
          </cell>
          <cell r="P743" t="str">
            <v>270°</v>
          </cell>
          <cell r="Q743" t="str">
            <v>TF</v>
          </cell>
          <cell r="R743" t="str">
            <v>V(VE)</v>
          </cell>
          <cell r="S743" t="str">
            <v>-</v>
          </cell>
          <cell r="T743" t="str">
            <v>-</v>
          </cell>
          <cell r="U743" t="str">
            <v>-</v>
          </cell>
          <cell r="V743" t="str">
            <v>FC</v>
          </cell>
          <cell r="W743" t="str">
            <v>-</v>
          </cell>
          <cell r="X743" t="str">
            <v>CLP (CC) VG 220 = -15° + 40°</v>
          </cell>
          <cell r="Y743" t="str">
            <v>KH127DRN160L4 /TF/V</v>
          </cell>
          <cell r="Z743" t="str">
            <v>SEW</v>
          </cell>
          <cell r="AB743" t="str">
            <v>-</v>
          </cell>
          <cell r="AF743">
            <v>13</v>
          </cell>
          <cell r="AG743" t="str">
            <v>DRN160L4</v>
          </cell>
          <cell r="AH743" t="str">
            <v>KH127-DRN160L4B270-X#</v>
          </cell>
        </row>
        <row r="744">
          <cell r="A744" t="str">
            <v>MR000740</v>
          </cell>
          <cell r="B744" t="str">
            <v>MR</v>
          </cell>
          <cell r="C744">
            <v>15</v>
          </cell>
          <cell r="D744">
            <v>10.833333333333334</v>
          </cell>
          <cell r="E744" t="str">
            <v>KH127</v>
          </cell>
          <cell r="F744">
            <v>10900</v>
          </cell>
          <cell r="G744">
            <v>136.13999999999999</v>
          </cell>
          <cell r="H744">
            <v>1.2</v>
          </cell>
          <cell r="I744" t="str">
            <v>From M1A to M2A - 10°</v>
          </cell>
          <cell r="J744" t="str">
            <v>IE3</v>
          </cell>
          <cell r="K744" t="str">
            <v>277/480</v>
          </cell>
          <cell r="L744">
            <v>60</v>
          </cell>
          <cell r="M744" t="str">
            <v>43,5/25</v>
          </cell>
          <cell r="N744">
            <v>55</v>
          </cell>
          <cell r="O744" t="str">
            <v>F</v>
          </cell>
          <cell r="P744" t="str">
            <v>270°</v>
          </cell>
          <cell r="Q744" t="str">
            <v>TF</v>
          </cell>
          <cell r="R744" t="str">
            <v>V(VE)</v>
          </cell>
          <cell r="S744" t="str">
            <v>-</v>
          </cell>
          <cell r="T744" t="str">
            <v>-</v>
          </cell>
          <cell r="U744" t="str">
            <v>-</v>
          </cell>
          <cell r="V744" t="str">
            <v>FC</v>
          </cell>
          <cell r="W744" t="str">
            <v>-</v>
          </cell>
          <cell r="X744" t="str">
            <v>CLP (CC) VG 220 = -15° + 40°</v>
          </cell>
          <cell r="Y744" t="str">
            <v>KH127DRN160L4 /TF/V</v>
          </cell>
          <cell r="Z744" t="str">
            <v>SEW</v>
          </cell>
          <cell r="AB744" t="str">
            <v>-</v>
          </cell>
          <cell r="AF744">
            <v>13</v>
          </cell>
          <cell r="AG744" t="str">
            <v>DRN160L4</v>
          </cell>
          <cell r="AH744" t="str">
            <v>KH127-DRN160L4A270-X#</v>
          </cell>
        </row>
        <row r="745">
          <cell r="A745" t="str">
            <v>MR000741</v>
          </cell>
          <cell r="B745" t="str">
            <v>MR</v>
          </cell>
          <cell r="C745">
            <v>15</v>
          </cell>
          <cell r="D745">
            <v>10.833333333333334</v>
          </cell>
          <cell r="E745" t="str">
            <v>KH127</v>
          </cell>
          <cell r="F745">
            <v>10900</v>
          </cell>
          <cell r="G745">
            <v>136.13999999999999</v>
          </cell>
          <cell r="H745">
            <v>1.2</v>
          </cell>
          <cell r="I745" t="str">
            <v>From M1B to M2B - 10°</v>
          </cell>
          <cell r="J745" t="str">
            <v>IE3</v>
          </cell>
          <cell r="K745" t="str">
            <v>277/480</v>
          </cell>
          <cell r="L745">
            <v>60</v>
          </cell>
          <cell r="M745" t="str">
            <v>43,5/25</v>
          </cell>
          <cell r="N745">
            <v>55</v>
          </cell>
          <cell r="O745" t="str">
            <v>F</v>
          </cell>
          <cell r="P745" t="str">
            <v>270°</v>
          </cell>
          <cell r="Q745" t="str">
            <v>TF</v>
          </cell>
          <cell r="R745" t="str">
            <v>V(VE)</v>
          </cell>
          <cell r="S745" t="str">
            <v>-</v>
          </cell>
          <cell r="T745" t="str">
            <v>-</v>
          </cell>
          <cell r="U745" t="str">
            <v>-</v>
          </cell>
          <cell r="V745" t="str">
            <v>FC</v>
          </cell>
          <cell r="W745" t="str">
            <v>-</v>
          </cell>
          <cell r="X745" t="str">
            <v>CLP (CC) VG 220 = -15° + 40°</v>
          </cell>
          <cell r="Y745" t="str">
            <v>KH127DRN160L4 /TF/V</v>
          </cell>
          <cell r="Z745" t="str">
            <v>SEW</v>
          </cell>
          <cell r="AB745" t="str">
            <v>-</v>
          </cell>
          <cell r="AF745">
            <v>13</v>
          </cell>
          <cell r="AG745" t="str">
            <v>DRN160L4</v>
          </cell>
          <cell r="AH745" t="str">
            <v>KH127-DRN160L4B270-X#</v>
          </cell>
        </row>
        <row r="746">
          <cell r="A746" t="str">
            <v>MR000742</v>
          </cell>
          <cell r="B746" t="str">
            <v>MR</v>
          </cell>
          <cell r="C746">
            <v>9.1999999999999993</v>
          </cell>
          <cell r="D746">
            <v>50.833333333333336</v>
          </cell>
          <cell r="E746" t="str">
            <v>FH87</v>
          </cell>
          <cell r="F746">
            <v>1440</v>
          </cell>
          <cell r="G746">
            <v>29.2</v>
          </cell>
          <cell r="H746">
            <v>1.75</v>
          </cell>
          <cell r="I746" t="str">
            <v>M1</v>
          </cell>
          <cell r="J746" t="str">
            <v>IE3</v>
          </cell>
          <cell r="K746" t="str">
            <v>277/480</v>
          </cell>
          <cell r="L746">
            <v>60</v>
          </cell>
          <cell r="M746" t="str">
            <v>28,5/16,5</v>
          </cell>
          <cell r="N746">
            <v>55</v>
          </cell>
          <cell r="O746" t="str">
            <v>F</v>
          </cell>
          <cell r="P746" t="str">
            <v>270°</v>
          </cell>
          <cell r="Q746" t="str">
            <v>-</v>
          </cell>
          <cell r="R746" t="str">
            <v>-</v>
          </cell>
          <cell r="S746" t="str">
            <v>-</v>
          </cell>
          <cell r="T746" t="str">
            <v>-</v>
          </cell>
          <cell r="U746" t="str">
            <v>G</v>
          </cell>
          <cell r="V746" t="str">
            <v>D</v>
          </cell>
          <cell r="W746" t="str">
            <v>-</v>
          </cell>
          <cell r="X746" t="str">
            <v>CLP (CC) VG 220 = -15° + 40°</v>
          </cell>
          <cell r="Y746" t="str">
            <v>FH87/G DRN132L4</v>
          </cell>
          <cell r="Z746" t="str">
            <v>SEW</v>
          </cell>
          <cell r="AB746" t="str">
            <v>-</v>
          </cell>
          <cell r="AF746">
            <v>61</v>
          </cell>
          <cell r="AG746" t="str">
            <v>DRN132L4</v>
          </cell>
          <cell r="AH746" t="str">
            <v>FH87G-DRN132L4270-X</v>
          </cell>
        </row>
        <row r="747">
          <cell r="A747" t="str">
            <v>MR000743</v>
          </cell>
          <cell r="B747" t="str">
            <v>MR</v>
          </cell>
          <cell r="C747">
            <v>18.5</v>
          </cell>
          <cell r="D747">
            <v>12.5</v>
          </cell>
          <cell r="E747" t="str">
            <v>KH157</v>
          </cell>
          <cell r="F747">
            <v>12100</v>
          </cell>
          <cell r="G747">
            <v>122.9</v>
          </cell>
          <cell r="H747">
            <v>1.5</v>
          </cell>
          <cell r="I747" t="str">
            <v>From M1A to M2A - 45°</v>
          </cell>
          <cell r="J747" t="str">
            <v>IE3</v>
          </cell>
          <cell r="K747" t="str">
            <v>277/480</v>
          </cell>
          <cell r="L747">
            <v>60</v>
          </cell>
          <cell r="M747" t="str">
            <v>51/29,5</v>
          </cell>
          <cell r="N747">
            <v>55</v>
          </cell>
          <cell r="O747" t="str">
            <v>F</v>
          </cell>
          <cell r="P747" t="str">
            <v>270°</v>
          </cell>
          <cell r="Q747" t="str">
            <v>TF</v>
          </cell>
          <cell r="R747" t="str">
            <v>V(VE)</v>
          </cell>
          <cell r="S747" t="str">
            <v>-</v>
          </cell>
          <cell r="T747" t="str">
            <v>-</v>
          </cell>
          <cell r="U747" t="str">
            <v>-</v>
          </cell>
          <cell r="V747" t="str">
            <v>FC</v>
          </cell>
          <cell r="W747" t="str">
            <v>-</v>
          </cell>
          <cell r="X747" t="str">
            <v>CLP (CC) VG 220 = -15° + 40°</v>
          </cell>
          <cell r="Y747" t="str">
            <v>KH157DRN180M4 /TF/V</v>
          </cell>
          <cell r="Z747" t="str">
            <v>SEW</v>
          </cell>
          <cell r="AB747" t="str">
            <v>-</v>
          </cell>
          <cell r="AF747">
            <v>15</v>
          </cell>
          <cell r="AG747" t="str">
            <v>DRN180M4</v>
          </cell>
          <cell r="AH747" t="str">
            <v>KH157-DRN180M4A270-X#</v>
          </cell>
        </row>
        <row r="748">
          <cell r="A748" t="str">
            <v>MR000744</v>
          </cell>
          <cell r="B748" t="str">
            <v>MR</v>
          </cell>
          <cell r="C748">
            <v>18.5</v>
          </cell>
          <cell r="D748">
            <v>12.5</v>
          </cell>
          <cell r="E748" t="str">
            <v>KH157</v>
          </cell>
          <cell r="F748">
            <v>12100</v>
          </cell>
          <cell r="G748">
            <v>122.9</v>
          </cell>
          <cell r="H748">
            <v>1.5</v>
          </cell>
          <cell r="I748" t="str">
            <v>From M1B to M2B - 45°</v>
          </cell>
          <cell r="J748" t="str">
            <v>IE3</v>
          </cell>
          <cell r="K748" t="str">
            <v>277/480</v>
          </cell>
          <cell r="L748">
            <v>60</v>
          </cell>
          <cell r="M748" t="str">
            <v>51/29,5</v>
          </cell>
          <cell r="N748">
            <v>55</v>
          </cell>
          <cell r="O748" t="str">
            <v>F</v>
          </cell>
          <cell r="P748" t="str">
            <v>270°</v>
          </cell>
          <cell r="Q748" t="str">
            <v>TF</v>
          </cell>
          <cell r="R748" t="str">
            <v>V(VE)</v>
          </cell>
          <cell r="S748" t="str">
            <v>-</v>
          </cell>
          <cell r="T748" t="str">
            <v>-</v>
          </cell>
          <cell r="U748" t="str">
            <v>-</v>
          </cell>
          <cell r="V748" t="str">
            <v>FC</v>
          </cell>
          <cell r="W748" t="str">
            <v>-</v>
          </cell>
          <cell r="X748" t="str">
            <v>CLP (CC) VG 220 = -15° + 40°</v>
          </cell>
          <cell r="Y748" t="str">
            <v>KH157DRN180M4 /TF/V</v>
          </cell>
          <cell r="Z748" t="str">
            <v>SEW</v>
          </cell>
          <cell r="AB748" t="str">
            <v>-</v>
          </cell>
          <cell r="AF748">
            <v>15</v>
          </cell>
          <cell r="AG748" t="str">
            <v>DRN180M4</v>
          </cell>
          <cell r="AH748" t="str">
            <v>KH157-DRN180M4B270-X#</v>
          </cell>
        </row>
        <row r="749">
          <cell r="A749" t="str">
            <v>MR000745</v>
          </cell>
          <cell r="B749" t="str">
            <v>MR</v>
          </cell>
          <cell r="C749">
            <v>18.5</v>
          </cell>
          <cell r="D749">
            <v>12.5</v>
          </cell>
          <cell r="E749" t="str">
            <v>KH157</v>
          </cell>
          <cell r="F749">
            <v>12100</v>
          </cell>
          <cell r="G749">
            <v>122.9</v>
          </cell>
          <cell r="H749">
            <v>1.5</v>
          </cell>
          <cell r="I749" t="str">
            <v>From M1A to M2A - 30°</v>
          </cell>
          <cell r="J749" t="str">
            <v>IE3</v>
          </cell>
          <cell r="K749" t="str">
            <v>277/480</v>
          </cell>
          <cell r="L749">
            <v>60</v>
          </cell>
          <cell r="M749" t="str">
            <v>51/29,5</v>
          </cell>
          <cell r="N749">
            <v>55</v>
          </cell>
          <cell r="O749" t="str">
            <v>F</v>
          </cell>
          <cell r="P749" t="str">
            <v>270°</v>
          </cell>
          <cell r="Q749" t="str">
            <v>TF</v>
          </cell>
          <cell r="R749" t="str">
            <v>V(VE)</v>
          </cell>
          <cell r="S749" t="str">
            <v>-</v>
          </cell>
          <cell r="T749" t="str">
            <v>-</v>
          </cell>
          <cell r="U749" t="str">
            <v>-</v>
          </cell>
          <cell r="V749" t="str">
            <v>FC</v>
          </cell>
          <cell r="W749" t="str">
            <v>-</v>
          </cell>
          <cell r="X749" t="str">
            <v>CLP (CC) VG 220 = -15° + 40°</v>
          </cell>
          <cell r="Y749" t="str">
            <v>KH157DRN180M4 /TF/V</v>
          </cell>
          <cell r="Z749" t="str">
            <v>SEW</v>
          </cell>
          <cell r="AB749" t="str">
            <v>-</v>
          </cell>
          <cell r="AF749">
            <v>15</v>
          </cell>
          <cell r="AG749" t="str">
            <v>DRN180M4</v>
          </cell>
          <cell r="AH749" t="str">
            <v>KH157-DRN180M4A270-X#</v>
          </cell>
        </row>
        <row r="750">
          <cell r="A750" t="str">
            <v>MR000746</v>
          </cell>
          <cell r="B750" t="str">
            <v>MR</v>
          </cell>
          <cell r="C750">
            <v>18.5</v>
          </cell>
          <cell r="D750">
            <v>12.5</v>
          </cell>
          <cell r="E750" t="str">
            <v>KH157</v>
          </cell>
          <cell r="F750">
            <v>12100</v>
          </cell>
          <cell r="G750">
            <v>122.9</v>
          </cell>
          <cell r="H750">
            <v>1.5</v>
          </cell>
          <cell r="I750" t="str">
            <v>From M1B to M2B - 30°</v>
          </cell>
          <cell r="J750" t="str">
            <v>IE3</v>
          </cell>
          <cell r="K750" t="str">
            <v>277/480</v>
          </cell>
          <cell r="L750">
            <v>60</v>
          </cell>
          <cell r="M750" t="str">
            <v>51/29,5</v>
          </cell>
          <cell r="N750">
            <v>55</v>
          </cell>
          <cell r="O750" t="str">
            <v>F</v>
          </cell>
          <cell r="P750" t="str">
            <v>270°</v>
          </cell>
          <cell r="Q750" t="str">
            <v>TF</v>
          </cell>
          <cell r="R750" t="str">
            <v>V(VE)</v>
          </cell>
          <cell r="S750" t="str">
            <v>-</v>
          </cell>
          <cell r="T750" t="str">
            <v>-</v>
          </cell>
          <cell r="U750" t="str">
            <v>-</v>
          </cell>
          <cell r="V750" t="str">
            <v>FC</v>
          </cell>
          <cell r="W750" t="str">
            <v>-</v>
          </cell>
          <cell r="X750" t="str">
            <v>CLP (CC) VG 220 = -15° + 40°</v>
          </cell>
          <cell r="Y750" t="str">
            <v>KH157DRN180M4 /TF/V</v>
          </cell>
          <cell r="Z750" t="str">
            <v>SEW</v>
          </cell>
          <cell r="AB750" t="str">
            <v>-</v>
          </cell>
          <cell r="AF750">
            <v>15</v>
          </cell>
          <cell r="AG750" t="str">
            <v>DRN180M4</v>
          </cell>
          <cell r="AH750" t="str">
            <v>KH157-DRN180M4B270-X#</v>
          </cell>
        </row>
        <row r="751">
          <cell r="A751" t="str">
            <v>MR000747</v>
          </cell>
          <cell r="B751" t="str">
            <v>MR</v>
          </cell>
          <cell r="C751">
            <v>4</v>
          </cell>
          <cell r="D751">
            <v>50.833333333333336</v>
          </cell>
          <cell r="E751" t="str">
            <v>FH77</v>
          </cell>
          <cell r="F751">
            <v>620</v>
          </cell>
          <cell r="G751">
            <v>28.75</v>
          </cell>
          <cell r="H751">
            <v>2.2999999999999998</v>
          </cell>
          <cell r="I751" t="str">
            <v>M1</v>
          </cell>
          <cell r="J751" t="str">
            <v>IE3</v>
          </cell>
          <cell r="K751" t="str">
            <v>277/480</v>
          </cell>
          <cell r="L751">
            <v>60</v>
          </cell>
          <cell r="M751" t="str">
            <v>12,2/7,1</v>
          </cell>
          <cell r="N751">
            <v>55</v>
          </cell>
          <cell r="O751" t="str">
            <v>F</v>
          </cell>
          <cell r="P751" t="str">
            <v>270°</v>
          </cell>
          <cell r="Q751" t="str">
            <v>-</v>
          </cell>
          <cell r="R751" t="str">
            <v>-</v>
          </cell>
          <cell r="S751" t="str">
            <v>-</v>
          </cell>
          <cell r="T751" t="str">
            <v>-</v>
          </cell>
          <cell r="U751" t="str">
            <v>G</v>
          </cell>
          <cell r="V751" t="str">
            <v>D</v>
          </cell>
          <cell r="W751" t="str">
            <v>-</v>
          </cell>
          <cell r="X751" t="str">
            <v>CLP (CC) VG 220 = -15° + 40°</v>
          </cell>
          <cell r="Y751" t="str">
            <v>FH77/G DRN112M4</v>
          </cell>
          <cell r="Z751" t="str">
            <v>SEW</v>
          </cell>
          <cell r="AB751" t="str">
            <v>-</v>
          </cell>
          <cell r="AF751">
            <v>61</v>
          </cell>
          <cell r="AG751" t="str">
            <v>DRN112M4</v>
          </cell>
          <cell r="AH751" t="str">
            <v>FH77G-DRN112M4270-X</v>
          </cell>
        </row>
        <row r="752">
          <cell r="A752" t="str">
            <v>MR000748</v>
          </cell>
          <cell r="B752" t="str">
            <v>MR</v>
          </cell>
          <cell r="C752">
            <v>9.1999999999999993</v>
          </cell>
          <cell r="D752">
            <v>50.833333333333336</v>
          </cell>
          <cell r="E752" t="str">
            <v>FH87</v>
          </cell>
          <cell r="F752">
            <v>1440</v>
          </cell>
          <cell r="G752">
            <v>29.2</v>
          </cell>
          <cell r="H752">
            <v>1.75</v>
          </cell>
          <cell r="I752" t="str">
            <v>From M1 to M2 - 10°</v>
          </cell>
          <cell r="J752" t="str">
            <v>IE3</v>
          </cell>
          <cell r="K752" t="str">
            <v>277/480</v>
          </cell>
          <cell r="L752">
            <v>60</v>
          </cell>
          <cell r="M752" t="str">
            <v>28,5/16,5</v>
          </cell>
          <cell r="N752">
            <v>55</v>
          </cell>
          <cell r="O752" t="str">
            <v>F</v>
          </cell>
          <cell r="P752" t="str">
            <v>270°</v>
          </cell>
          <cell r="Q752" t="str">
            <v>-</v>
          </cell>
          <cell r="R752" t="str">
            <v>-</v>
          </cell>
          <cell r="S752" t="str">
            <v>-</v>
          </cell>
          <cell r="T752" t="str">
            <v>-</v>
          </cell>
          <cell r="U752" t="str">
            <v>G</v>
          </cell>
          <cell r="V752" t="str">
            <v>D</v>
          </cell>
          <cell r="W752" t="str">
            <v>-</v>
          </cell>
          <cell r="X752" t="str">
            <v>CLP (CC) VG 220 = -15° + 40°</v>
          </cell>
          <cell r="Y752" t="str">
            <v>FH87/G DRN132L4</v>
          </cell>
          <cell r="Z752" t="str">
            <v>SEW</v>
          </cell>
          <cell r="AB752" t="str">
            <v>-</v>
          </cell>
          <cell r="AF752">
            <v>61</v>
          </cell>
          <cell r="AG752" t="str">
            <v>DRN132L4</v>
          </cell>
          <cell r="AH752" t="str">
            <v>FH87G-DRN132L4270-X</v>
          </cell>
        </row>
        <row r="753">
          <cell r="A753" t="str">
            <v>MR000749</v>
          </cell>
          <cell r="B753" t="str">
            <v>MR</v>
          </cell>
          <cell r="C753">
            <v>22</v>
          </cell>
          <cell r="D753">
            <v>46.666666666666671</v>
          </cell>
          <cell r="E753" t="str">
            <v>FH107</v>
          </cell>
          <cell r="F753">
            <v>3750</v>
          </cell>
          <cell r="G753">
            <v>31.8</v>
          </cell>
          <cell r="H753">
            <v>2.1</v>
          </cell>
          <cell r="I753" t="str">
            <v>M1</v>
          </cell>
          <cell r="J753" t="str">
            <v>IE3</v>
          </cell>
          <cell r="K753" t="str">
            <v>277/480</v>
          </cell>
          <cell r="L753">
            <v>60</v>
          </cell>
          <cell r="M753" t="str">
            <v>59/34</v>
          </cell>
          <cell r="N753">
            <v>55</v>
          </cell>
          <cell r="O753" t="str">
            <v>F</v>
          </cell>
          <cell r="P753" t="str">
            <v>270°</v>
          </cell>
          <cell r="Q753" t="str">
            <v>-</v>
          </cell>
          <cell r="R753" t="str">
            <v>-</v>
          </cell>
          <cell r="S753" t="str">
            <v>-</v>
          </cell>
          <cell r="T753" t="str">
            <v>-</v>
          </cell>
          <cell r="U753" t="str">
            <v>G</v>
          </cell>
          <cell r="V753" t="str">
            <v>D+R</v>
          </cell>
          <cell r="W753" t="str">
            <v>-</v>
          </cell>
          <cell r="X753" t="str">
            <v>CLP (CC) VG 220 = -15° + 40°</v>
          </cell>
          <cell r="Y753" t="str">
            <v>FH107/G DRN180L4</v>
          </cell>
          <cell r="Z753" t="str">
            <v>SEW</v>
          </cell>
          <cell r="AB753" t="str">
            <v>-</v>
          </cell>
          <cell r="AF753">
            <v>56.000000000000007</v>
          </cell>
          <cell r="AG753" t="str">
            <v>DRN180L4</v>
          </cell>
          <cell r="AH753" t="str">
            <v>FH107G-DRN180L4270-X</v>
          </cell>
        </row>
        <row r="754">
          <cell r="A754" t="str">
            <v>MR000750</v>
          </cell>
          <cell r="B754" t="str">
            <v>MR</v>
          </cell>
          <cell r="C754">
            <v>22</v>
          </cell>
          <cell r="D754">
            <v>46.666666666666671</v>
          </cell>
          <cell r="E754" t="str">
            <v>FH107</v>
          </cell>
          <cell r="F754">
            <v>3750</v>
          </cell>
          <cell r="G754">
            <v>31.8</v>
          </cell>
          <cell r="H754">
            <v>2.1</v>
          </cell>
          <cell r="I754" t="str">
            <v>M1</v>
          </cell>
          <cell r="J754" t="str">
            <v>IE3</v>
          </cell>
          <cell r="K754" t="str">
            <v>277/480</v>
          </cell>
          <cell r="L754">
            <v>60</v>
          </cell>
          <cell r="M754" t="str">
            <v>59/34</v>
          </cell>
          <cell r="N754">
            <v>55</v>
          </cell>
          <cell r="O754" t="str">
            <v>F</v>
          </cell>
          <cell r="P754" t="str">
            <v>270°</v>
          </cell>
          <cell r="Q754" t="str">
            <v>-</v>
          </cell>
          <cell r="R754" t="str">
            <v>-</v>
          </cell>
          <cell r="S754" t="str">
            <v>-</v>
          </cell>
          <cell r="T754" t="str">
            <v>-</v>
          </cell>
          <cell r="U754" t="str">
            <v>G</v>
          </cell>
          <cell r="V754" t="str">
            <v>D</v>
          </cell>
          <cell r="W754" t="str">
            <v>-</v>
          </cell>
          <cell r="X754" t="str">
            <v>CLP (CC) VG 220 = -15° + 40°</v>
          </cell>
          <cell r="Y754" t="str">
            <v>FH107/G DRN180L4</v>
          </cell>
          <cell r="Z754" t="str">
            <v>SEW</v>
          </cell>
          <cell r="AB754" t="str">
            <v>-</v>
          </cell>
          <cell r="AF754">
            <v>56.000000000000007</v>
          </cell>
          <cell r="AG754" t="str">
            <v>DRN180L4</v>
          </cell>
          <cell r="AH754" t="str">
            <v>FH107G-DRN180L4270-X</v>
          </cell>
        </row>
        <row r="755">
          <cell r="A755" t="str">
            <v>MR000751</v>
          </cell>
          <cell r="B755" t="str">
            <v>MR</v>
          </cell>
          <cell r="C755">
            <v>0.55000000000000004</v>
          </cell>
          <cell r="D755">
            <v>20.833333333333336</v>
          </cell>
          <cell r="E755" t="str">
            <v>FA47</v>
          </cell>
          <cell r="F755">
            <v>210</v>
          </cell>
          <cell r="G755">
            <v>68.09</v>
          </cell>
          <cell r="H755">
            <v>1.9</v>
          </cell>
          <cell r="I755" t="str">
            <v>M6</v>
          </cell>
          <cell r="J755" t="str">
            <v>IE3</v>
          </cell>
          <cell r="K755" t="str">
            <v>277/480</v>
          </cell>
          <cell r="L755">
            <v>60</v>
          </cell>
          <cell r="M755" t="str">
            <v>2,15/1,25</v>
          </cell>
          <cell r="N755">
            <v>55</v>
          </cell>
          <cell r="O755" t="str">
            <v>F</v>
          </cell>
          <cell r="P755" t="str">
            <v>270°</v>
          </cell>
          <cell r="Q755" t="str">
            <v>-</v>
          </cell>
          <cell r="R755" t="str">
            <v>-</v>
          </cell>
          <cell r="S755" t="str">
            <v>-</v>
          </cell>
          <cell r="T755" t="str">
            <v>BE</v>
          </cell>
          <cell r="U755" t="str">
            <v>G</v>
          </cell>
          <cell r="V755" t="str">
            <v>D+R</v>
          </cell>
          <cell r="W755" t="str">
            <v>-</v>
          </cell>
          <cell r="X755" t="str">
            <v>CLP (CC) VG 220 = -15° + 40°</v>
          </cell>
          <cell r="Y755" t="str">
            <v>FA47/G DRS71M4 /BE</v>
          </cell>
          <cell r="Z755" t="str">
            <v>SEW</v>
          </cell>
          <cell r="AB755" t="str">
            <v>-</v>
          </cell>
          <cell r="AE755" t="str">
            <v>Rectifier for brake in the terminal box</v>
          </cell>
          <cell r="AF755">
            <v>25.000000000000004</v>
          </cell>
          <cell r="AG755" t="str">
            <v>DRS71M4</v>
          </cell>
          <cell r="AH755" t="str">
            <v>FA47G-DRS71M4270-X</v>
          </cell>
        </row>
        <row r="756">
          <cell r="A756" t="str">
            <v>MR000752</v>
          </cell>
          <cell r="B756" t="str">
            <v>MR</v>
          </cell>
          <cell r="C756">
            <v>18.5</v>
          </cell>
          <cell r="D756">
            <v>25.833333333333336</v>
          </cell>
          <cell r="E756" t="str">
            <v>KH107</v>
          </cell>
          <cell r="F756">
            <v>5670</v>
          </cell>
          <cell r="G756">
            <v>57.17</v>
          </cell>
          <cell r="H756">
            <v>1.4</v>
          </cell>
          <cell r="I756" t="str">
            <v>From M1A to M2A - 30°</v>
          </cell>
          <cell r="J756" t="str">
            <v>IE3</v>
          </cell>
          <cell r="K756" t="str">
            <v>277/480</v>
          </cell>
          <cell r="L756">
            <v>60</v>
          </cell>
          <cell r="M756" t="str">
            <v>51/29,5</v>
          </cell>
          <cell r="N756">
            <v>55</v>
          </cell>
          <cell r="O756" t="str">
            <v>F</v>
          </cell>
          <cell r="P756" t="str">
            <v>270°</v>
          </cell>
          <cell r="Q756" t="str">
            <v>TF</v>
          </cell>
          <cell r="R756" t="str">
            <v>V(VE)</v>
          </cell>
          <cell r="S756" t="str">
            <v>-</v>
          </cell>
          <cell r="T756" t="str">
            <v>-</v>
          </cell>
          <cell r="U756" t="str">
            <v>-</v>
          </cell>
          <cell r="V756" t="str">
            <v>FC</v>
          </cell>
          <cell r="W756" t="str">
            <v>-</v>
          </cell>
          <cell r="X756" t="str">
            <v>CLP (CC) VG 220 = -15° + 40°</v>
          </cell>
          <cell r="Y756" t="str">
            <v>KH107DRN180M4 /TF/V</v>
          </cell>
          <cell r="Z756" t="str">
            <v>SEW</v>
          </cell>
          <cell r="AB756" t="str">
            <v>-</v>
          </cell>
          <cell r="AF756">
            <v>31.000000000000004</v>
          </cell>
          <cell r="AG756" t="str">
            <v>DRN180M4</v>
          </cell>
          <cell r="AH756" t="str">
            <v>KH107-DRN180M4A270-X#</v>
          </cell>
        </row>
        <row r="757">
          <cell r="A757" t="str">
            <v>MR000753</v>
          </cell>
          <cell r="B757" t="str">
            <v>MR</v>
          </cell>
          <cell r="C757">
            <v>22</v>
          </cell>
          <cell r="D757">
            <v>12.5</v>
          </cell>
          <cell r="E757" t="str">
            <v>KH157</v>
          </cell>
          <cell r="F757">
            <v>14400</v>
          </cell>
          <cell r="G757">
            <v>122.39</v>
          </cell>
          <cell r="H757">
            <v>1.25</v>
          </cell>
          <cell r="I757" t="str">
            <v>From M1A to M2A - 25°</v>
          </cell>
          <cell r="J757" t="str">
            <v>IE3</v>
          </cell>
          <cell r="K757" t="str">
            <v>277/480</v>
          </cell>
          <cell r="L757">
            <v>60</v>
          </cell>
          <cell r="M757" t="str">
            <v>59/34</v>
          </cell>
          <cell r="N757">
            <v>55</v>
          </cell>
          <cell r="O757" t="str">
            <v>F</v>
          </cell>
          <cell r="P757" t="str">
            <v>270°</v>
          </cell>
          <cell r="Q757" t="str">
            <v>TF</v>
          </cell>
          <cell r="R757" t="str">
            <v>V(VE)</v>
          </cell>
          <cell r="S757" t="str">
            <v>-</v>
          </cell>
          <cell r="T757" t="str">
            <v>-</v>
          </cell>
          <cell r="U757" t="str">
            <v>-</v>
          </cell>
          <cell r="V757" t="str">
            <v>FC</v>
          </cell>
          <cell r="W757" t="str">
            <v>-</v>
          </cell>
          <cell r="X757" t="str">
            <v>CLP (CC) VG 220 = -15° + 40°</v>
          </cell>
          <cell r="Y757" t="str">
            <v>KH157DRN180L4 /TF/V</v>
          </cell>
          <cell r="Z757" t="str">
            <v>SEW</v>
          </cell>
          <cell r="AB757" t="str">
            <v>-</v>
          </cell>
          <cell r="AF757">
            <v>15</v>
          </cell>
          <cell r="AG757" t="str">
            <v>DRN180L4</v>
          </cell>
          <cell r="AH757" t="str">
            <v>KH157-DRN180L4A270-X#</v>
          </cell>
        </row>
        <row r="758">
          <cell r="A758" t="str">
            <v>MR000754</v>
          </cell>
          <cell r="B758" t="str">
            <v>MR</v>
          </cell>
          <cell r="C758">
            <v>22</v>
          </cell>
          <cell r="D758">
            <v>12.5</v>
          </cell>
          <cell r="E758" t="str">
            <v>KH157</v>
          </cell>
          <cell r="F758">
            <v>14400</v>
          </cell>
          <cell r="G758">
            <v>122.39</v>
          </cell>
          <cell r="H758">
            <v>1.25</v>
          </cell>
          <cell r="I758" t="str">
            <v>From M1B to M2B - 25°</v>
          </cell>
          <cell r="J758" t="str">
            <v>IE3</v>
          </cell>
          <cell r="K758" t="str">
            <v>277/480</v>
          </cell>
          <cell r="L758">
            <v>60</v>
          </cell>
          <cell r="M758" t="str">
            <v>59/34</v>
          </cell>
          <cell r="N758">
            <v>55</v>
          </cell>
          <cell r="O758" t="str">
            <v>F</v>
          </cell>
          <cell r="P758" t="str">
            <v>270°</v>
          </cell>
          <cell r="Q758" t="str">
            <v>TF</v>
          </cell>
          <cell r="R758" t="str">
            <v>V(VE)</v>
          </cell>
          <cell r="S758" t="str">
            <v>-</v>
          </cell>
          <cell r="T758" t="str">
            <v>-</v>
          </cell>
          <cell r="U758" t="str">
            <v>-</v>
          </cell>
          <cell r="V758" t="str">
            <v>FC</v>
          </cell>
          <cell r="W758" t="str">
            <v>-</v>
          </cell>
          <cell r="X758" t="str">
            <v>CLP (CC) VG 220 = -15° + 40°</v>
          </cell>
          <cell r="Y758" t="str">
            <v>KH157DRN180L4 /TF/V</v>
          </cell>
          <cell r="Z758" t="str">
            <v>SEW</v>
          </cell>
          <cell r="AB758" t="str">
            <v>-</v>
          </cell>
          <cell r="AF758">
            <v>15</v>
          </cell>
          <cell r="AG758" t="str">
            <v>DRN180L4</v>
          </cell>
          <cell r="AH758" t="str">
            <v>KH157-DRN180L4B270-X#</v>
          </cell>
        </row>
        <row r="759">
          <cell r="A759" t="str">
            <v>MR000755</v>
          </cell>
          <cell r="B759" t="str">
            <v>MR</v>
          </cell>
          <cell r="C759">
            <v>15</v>
          </cell>
          <cell r="D759">
            <v>50.833333333333336</v>
          </cell>
          <cell r="E759" t="str">
            <v>FH87</v>
          </cell>
          <cell r="F759">
            <v>2350</v>
          </cell>
          <cell r="G759">
            <v>29.2</v>
          </cell>
          <cell r="H759">
            <v>1.05</v>
          </cell>
          <cell r="I759" t="str">
            <v>M1</v>
          </cell>
          <cell r="J759" t="str">
            <v>IE3</v>
          </cell>
          <cell r="K759" t="str">
            <v>277/480</v>
          </cell>
          <cell r="L759">
            <v>60</v>
          </cell>
          <cell r="M759" t="str">
            <v>43,5/25</v>
          </cell>
          <cell r="N759">
            <v>55</v>
          </cell>
          <cell r="O759" t="str">
            <v>F</v>
          </cell>
          <cell r="P759" t="str">
            <v>270°</v>
          </cell>
          <cell r="Q759" t="str">
            <v>-</v>
          </cell>
          <cell r="R759" t="str">
            <v>-</v>
          </cell>
          <cell r="S759" t="str">
            <v>-</v>
          </cell>
          <cell r="T759" t="str">
            <v>-</v>
          </cell>
          <cell r="U759" t="str">
            <v>G</v>
          </cell>
          <cell r="V759" t="str">
            <v>D+R</v>
          </cell>
          <cell r="W759" t="str">
            <v>-</v>
          </cell>
          <cell r="X759" t="str">
            <v>CLP (CC) VG 220 = -15° + 40°</v>
          </cell>
          <cell r="Y759" t="str">
            <v>FH87/G DRN160L4</v>
          </cell>
          <cell r="Z759" t="str">
            <v>SEW</v>
          </cell>
          <cell r="AB759" t="str">
            <v>-</v>
          </cell>
          <cell r="AF759">
            <v>61</v>
          </cell>
          <cell r="AG759" t="str">
            <v>DRN160L4</v>
          </cell>
          <cell r="AH759" t="str">
            <v>FH87G-DRN160L4270-X</v>
          </cell>
        </row>
        <row r="760">
          <cell r="A760" t="str">
            <v>MR000756</v>
          </cell>
          <cell r="B760" t="str">
            <v>MR</v>
          </cell>
          <cell r="C760">
            <v>22</v>
          </cell>
          <cell r="D760">
            <v>39.166666666666671</v>
          </cell>
          <cell r="E760" t="str">
            <v>FH107</v>
          </cell>
          <cell r="F760">
            <v>4430</v>
          </cell>
          <cell r="G760">
            <v>37.61</v>
          </cell>
          <cell r="H760">
            <v>1.75</v>
          </cell>
          <cell r="I760" t="str">
            <v>M1</v>
          </cell>
          <cell r="J760" t="str">
            <v>IE3</v>
          </cell>
          <cell r="K760" t="str">
            <v>277/480</v>
          </cell>
          <cell r="L760">
            <v>60</v>
          </cell>
          <cell r="M760" t="str">
            <v>59/34</v>
          </cell>
          <cell r="N760">
            <v>55</v>
          </cell>
          <cell r="O760" t="str">
            <v>F</v>
          </cell>
          <cell r="P760" t="str">
            <v>270°</v>
          </cell>
          <cell r="Q760" t="str">
            <v>-</v>
          </cell>
          <cell r="R760" t="str">
            <v>-</v>
          </cell>
          <cell r="S760" t="str">
            <v>-</v>
          </cell>
          <cell r="T760" t="str">
            <v>-</v>
          </cell>
          <cell r="U760" t="str">
            <v>G</v>
          </cell>
          <cell r="V760" t="str">
            <v>D</v>
          </cell>
          <cell r="W760" t="str">
            <v>-</v>
          </cell>
          <cell r="X760" t="str">
            <v>CLP (CC) VG 220 = -15° + 40°</v>
          </cell>
          <cell r="Y760" t="str">
            <v>FH107/G DRN180L4</v>
          </cell>
          <cell r="Z760" t="str">
            <v>SEW</v>
          </cell>
          <cell r="AB760" t="str">
            <v>-</v>
          </cell>
          <cell r="AF760">
            <v>47.000000000000007</v>
          </cell>
          <cell r="AG760" t="str">
            <v>DRN180L4</v>
          </cell>
          <cell r="AH760" t="str">
            <v>FH107G-DRN180L4270-X</v>
          </cell>
        </row>
        <row r="761">
          <cell r="A761" t="str">
            <v>MR000757</v>
          </cell>
          <cell r="B761" t="str">
            <v>MR</v>
          </cell>
          <cell r="C761">
            <v>0.55000000000000004</v>
          </cell>
          <cell r="D761">
            <v>20.833333333333336</v>
          </cell>
          <cell r="E761" t="str">
            <v>FA47</v>
          </cell>
          <cell r="F761">
            <v>210</v>
          </cell>
          <cell r="G761">
            <v>68.09</v>
          </cell>
          <cell r="H761">
            <v>1.9</v>
          </cell>
          <cell r="I761" t="str">
            <v>M5</v>
          </cell>
          <cell r="J761" t="str">
            <v>IE3</v>
          </cell>
          <cell r="K761" t="str">
            <v>277/480</v>
          </cell>
          <cell r="L761">
            <v>60</v>
          </cell>
          <cell r="M761" t="str">
            <v>2,15/1,25</v>
          </cell>
          <cell r="N761">
            <v>55</v>
          </cell>
          <cell r="O761" t="str">
            <v>F</v>
          </cell>
          <cell r="P761" t="str">
            <v>270°</v>
          </cell>
          <cell r="Q761" t="str">
            <v>-</v>
          </cell>
          <cell r="R761" t="str">
            <v>-</v>
          </cell>
          <cell r="S761" t="str">
            <v>-</v>
          </cell>
          <cell r="T761" t="str">
            <v>BE</v>
          </cell>
          <cell r="U761" t="str">
            <v>G</v>
          </cell>
          <cell r="V761" t="str">
            <v>D+R</v>
          </cell>
          <cell r="W761" t="str">
            <v>-</v>
          </cell>
          <cell r="X761" t="str">
            <v>CLP (CC) VG 220 = -15° + 40°</v>
          </cell>
          <cell r="Y761" t="str">
            <v>FA47/G DRS71M4 /BE</v>
          </cell>
          <cell r="Z761" t="str">
            <v>SEW</v>
          </cell>
          <cell r="AB761" t="str">
            <v>-</v>
          </cell>
          <cell r="AE761" t="str">
            <v>Rectifier for brake in the terminal box</v>
          </cell>
          <cell r="AF761">
            <v>25.000000000000004</v>
          </cell>
          <cell r="AG761" t="str">
            <v>DRS71M4</v>
          </cell>
          <cell r="AH761" t="str">
            <v>FA47G-DRS71M4270-X</v>
          </cell>
        </row>
        <row r="762">
          <cell r="A762" t="str">
            <v>MR000758</v>
          </cell>
          <cell r="B762" t="str">
            <v>MR</v>
          </cell>
          <cell r="C762">
            <v>18.5</v>
          </cell>
          <cell r="D762">
            <v>44.166666666666671</v>
          </cell>
          <cell r="E762" t="str">
            <v>FH107</v>
          </cell>
          <cell r="F762">
            <v>3350</v>
          </cell>
          <cell r="G762">
            <v>33.79</v>
          </cell>
          <cell r="H762">
            <v>2.2000000000000002</v>
          </cell>
          <cell r="I762" t="str">
            <v>M1</v>
          </cell>
          <cell r="J762" t="str">
            <v>IE3</v>
          </cell>
          <cell r="K762" t="str">
            <v>277/480</v>
          </cell>
          <cell r="L762">
            <v>60</v>
          </cell>
          <cell r="M762" t="str">
            <v>51/29,5</v>
          </cell>
          <cell r="N762">
            <v>55</v>
          </cell>
          <cell r="O762" t="str">
            <v>F</v>
          </cell>
          <cell r="P762" t="str">
            <v>270°</v>
          </cell>
          <cell r="Q762" t="str">
            <v>-</v>
          </cell>
          <cell r="R762" t="str">
            <v>-</v>
          </cell>
          <cell r="S762" t="str">
            <v>-</v>
          </cell>
          <cell r="T762" t="str">
            <v>-</v>
          </cell>
          <cell r="U762" t="str">
            <v>G</v>
          </cell>
          <cell r="V762" t="str">
            <v>D</v>
          </cell>
          <cell r="W762" t="str">
            <v>-</v>
          </cell>
          <cell r="X762" t="str">
            <v>CLP (CC) VG 220 = -15° + 40°</v>
          </cell>
          <cell r="Y762" t="str">
            <v>FH107/G DRN180M4</v>
          </cell>
          <cell r="Z762" t="str">
            <v>SEW</v>
          </cell>
          <cell r="AB762" t="str">
            <v>-</v>
          </cell>
          <cell r="AF762">
            <v>53.000000000000007</v>
          </cell>
          <cell r="AG762" t="str">
            <v>DRN180M4</v>
          </cell>
          <cell r="AH762" t="str">
            <v>FH107G-DRN180M4270-X</v>
          </cell>
        </row>
        <row r="763">
          <cell r="A763" t="str">
            <v>MR000759</v>
          </cell>
          <cell r="B763" t="str">
            <v>MR</v>
          </cell>
          <cell r="C763">
            <v>11</v>
          </cell>
          <cell r="D763">
            <v>48.333333333333336</v>
          </cell>
          <cell r="E763" t="str">
            <v>FH97</v>
          </cell>
          <cell r="F763">
            <v>1790</v>
          </cell>
          <cell r="G763">
            <v>30.39</v>
          </cell>
          <cell r="H763">
            <v>2.4</v>
          </cell>
          <cell r="I763" t="str">
            <v>M1</v>
          </cell>
          <cell r="J763" t="str">
            <v>IE3</v>
          </cell>
          <cell r="K763" t="str">
            <v>277/480</v>
          </cell>
          <cell r="L763">
            <v>60</v>
          </cell>
          <cell r="M763" t="str">
            <v>32/18,5</v>
          </cell>
          <cell r="N763">
            <v>55</v>
          </cell>
          <cell r="O763" t="str">
            <v>F</v>
          </cell>
          <cell r="P763" t="str">
            <v>270°</v>
          </cell>
          <cell r="Q763" t="str">
            <v>-</v>
          </cell>
          <cell r="R763" t="str">
            <v>-</v>
          </cell>
          <cell r="S763" t="str">
            <v>-</v>
          </cell>
          <cell r="T763" t="str">
            <v>-</v>
          </cell>
          <cell r="U763" t="str">
            <v>G</v>
          </cell>
          <cell r="V763" t="str">
            <v>D+R</v>
          </cell>
          <cell r="W763" t="str">
            <v>-</v>
          </cell>
          <cell r="X763" t="str">
            <v>CLP (CC) VG 220 = -15° + 40°</v>
          </cell>
          <cell r="Y763" t="str">
            <v>FH97/G DRN160M4</v>
          </cell>
          <cell r="Z763" t="str">
            <v>SEW</v>
          </cell>
          <cell r="AB763" t="str">
            <v>-</v>
          </cell>
          <cell r="AF763">
            <v>58</v>
          </cell>
          <cell r="AG763" t="str">
            <v>DRN160M4</v>
          </cell>
          <cell r="AH763" t="str">
            <v>FH97G-DRN160M4270-X</v>
          </cell>
        </row>
        <row r="764">
          <cell r="A764" t="str">
            <v>MR000760</v>
          </cell>
          <cell r="B764" t="str">
            <v>MR</v>
          </cell>
          <cell r="C764">
            <v>15</v>
          </cell>
          <cell r="D764">
            <v>38.333333333333336</v>
          </cell>
          <cell r="E764" t="str">
            <v>FH97</v>
          </cell>
          <cell r="F764">
            <v>3130</v>
          </cell>
          <cell r="G764">
            <v>38.86</v>
          </cell>
          <cell r="H764">
            <v>1.1000000000000001</v>
          </cell>
          <cell r="I764" t="str">
            <v>M1</v>
          </cell>
          <cell r="J764" t="str">
            <v>IE3</v>
          </cell>
          <cell r="K764" t="str">
            <v>277/480</v>
          </cell>
          <cell r="L764">
            <v>60</v>
          </cell>
          <cell r="M764" t="str">
            <v>58/29</v>
          </cell>
          <cell r="N764">
            <v>55</v>
          </cell>
          <cell r="O764" t="str">
            <v>F</v>
          </cell>
          <cell r="P764" t="str">
            <v>270°</v>
          </cell>
          <cell r="Q764" t="str">
            <v>-</v>
          </cell>
          <cell r="R764" t="str">
            <v>-</v>
          </cell>
          <cell r="S764" t="str">
            <v>-</v>
          </cell>
          <cell r="T764" t="str">
            <v>-</v>
          </cell>
          <cell r="U764" t="str">
            <v>-</v>
          </cell>
          <cell r="V764" t="str">
            <v>D+R</v>
          </cell>
          <cell r="W764" t="str">
            <v>-</v>
          </cell>
          <cell r="X764" t="str">
            <v>CLP (CC) VG 220 = -15° + 40°</v>
          </cell>
          <cell r="Y764" t="str">
            <v>FH97/II2GDEDRN160L4/CIID2</v>
          </cell>
          <cell r="Z764" t="str">
            <v>SEW</v>
          </cell>
          <cell r="AB764" t="str">
            <v>HazLoc CIID2</v>
          </cell>
          <cell r="AF764">
            <v>46</v>
          </cell>
          <cell r="AG764" t="str">
            <v>DRN160L4</v>
          </cell>
          <cell r="AH764" t="str">
            <v>FH97-DRN160L4270-X</v>
          </cell>
        </row>
        <row r="765">
          <cell r="A765" t="str">
            <v>MR000761</v>
          </cell>
          <cell r="B765" t="str">
            <v>MR</v>
          </cell>
          <cell r="C765">
            <v>11</v>
          </cell>
          <cell r="D765">
            <v>50.833333333333336</v>
          </cell>
          <cell r="E765" t="str">
            <v>FH87</v>
          </cell>
          <cell r="F765">
            <v>1720</v>
          </cell>
          <cell r="G765">
            <v>29.2</v>
          </cell>
          <cell r="H765">
            <v>1.05</v>
          </cell>
          <cell r="I765" t="str">
            <v>M1</v>
          </cell>
          <cell r="J765" t="str">
            <v>IE3</v>
          </cell>
          <cell r="K765" t="str">
            <v>277/480</v>
          </cell>
          <cell r="L765">
            <v>60</v>
          </cell>
          <cell r="M765" t="str">
            <v>43/21,5</v>
          </cell>
          <cell r="N765">
            <v>55</v>
          </cell>
          <cell r="O765" t="str">
            <v>F</v>
          </cell>
          <cell r="P765" t="str">
            <v>270°</v>
          </cell>
          <cell r="Q765" t="str">
            <v>-</v>
          </cell>
          <cell r="R765" t="str">
            <v>-</v>
          </cell>
          <cell r="S765" t="str">
            <v>-</v>
          </cell>
          <cell r="T765" t="str">
            <v>-</v>
          </cell>
          <cell r="U765" t="str">
            <v>-</v>
          </cell>
          <cell r="V765" t="str">
            <v>D</v>
          </cell>
          <cell r="W765" t="str">
            <v>-</v>
          </cell>
          <cell r="X765" t="str">
            <v>CLP (CC) VG 220 = -15° + 40°</v>
          </cell>
          <cell r="Y765" t="str">
            <v>FH87/II2GDEDRN160M4/CIID2</v>
          </cell>
          <cell r="Z765" t="str">
            <v>SEW</v>
          </cell>
          <cell r="AB765" t="str">
            <v>HazLoc CIID2</v>
          </cell>
          <cell r="AF765">
            <v>61</v>
          </cell>
          <cell r="AG765" t="str">
            <v>DRN160M4</v>
          </cell>
          <cell r="AH765" t="str">
            <v>FH87-DRN160M4270-X</v>
          </cell>
        </row>
        <row r="766">
          <cell r="A766" t="str">
            <v>MR000762</v>
          </cell>
          <cell r="B766" t="str">
            <v>MR</v>
          </cell>
          <cell r="C766">
            <v>7.5</v>
          </cell>
          <cell r="D766">
            <v>51.666666666666671</v>
          </cell>
          <cell r="E766" t="str">
            <v>FH87</v>
          </cell>
          <cell r="F766">
            <v>1160</v>
          </cell>
          <cell r="G766">
            <v>28.78</v>
          </cell>
          <cell r="H766">
            <v>2.1</v>
          </cell>
          <cell r="I766" t="str">
            <v>From M1 to M4 - 10°</v>
          </cell>
          <cell r="J766" t="str">
            <v>IE3</v>
          </cell>
          <cell r="K766" t="str">
            <v>277/480</v>
          </cell>
          <cell r="L766">
            <v>60</v>
          </cell>
          <cell r="M766" t="str">
            <v>30,5/15,3</v>
          </cell>
          <cell r="N766">
            <v>55</v>
          </cell>
          <cell r="O766" t="str">
            <v>F</v>
          </cell>
          <cell r="P766" t="str">
            <v>270°</v>
          </cell>
          <cell r="Q766" t="str">
            <v>-</v>
          </cell>
          <cell r="R766" t="str">
            <v>-</v>
          </cell>
          <cell r="S766" t="str">
            <v>-</v>
          </cell>
          <cell r="T766" t="str">
            <v>-</v>
          </cell>
          <cell r="U766" t="str">
            <v>-</v>
          </cell>
          <cell r="V766" t="str">
            <v>D</v>
          </cell>
          <cell r="W766" t="str">
            <v>-</v>
          </cell>
          <cell r="X766" t="str">
            <v>CLP (CC) VG 220 = -15° + 40°</v>
          </cell>
          <cell r="Y766" t="str">
            <v>FH87/II2GDEDRN132M4/CIID2</v>
          </cell>
          <cell r="Z766" t="str">
            <v>SEW</v>
          </cell>
          <cell r="AB766" t="str">
            <v>HazLoc CIID2</v>
          </cell>
          <cell r="AF766">
            <v>62.000000000000007</v>
          </cell>
          <cell r="AG766" t="str">
            <v>DRN132M4</v>
          </cell>
          <cell r="AH766" t="str">
            <v>FH87-DRN132M4270-X</v>
          </cell>
        </row>
        <row r="767">
          <cell r="A767" t="str">
            <v>MR000763</v>
          </cell>
          <cell r="B767" t="str">
            <v>MR</v>
          </cell>
          <cell r="C767">
            <v>5.5</v>
          </cell>
          <cell r="D767">
            <v>11.666666666666668</v>
          </cell>
          <cell r="E767" t="str">
            <v>KH97</v>
          </cell>
          <cell r="F767">
            <v>3680</v>
          </cell>
          <cell r="G767">
            <v>123.93</v>
          </cell>
          <cell r="H767">
            <v>1.1499999999999999</v>
          </cell>
          <cell r="I767" t="str">
            <v>M1A</v>
          </cell>
          <cell r="J767" t="str">
            <v>IE3</v>
          </cell>
          <cell r="K767" t="str">
            <v>277/480</v>
          </cell>
          <cell r="L767">
            <v>60</v>
          </cell>
          <cell r="M767" t="str">
            <v>21/10,6</v>
          </cell>
          <cell r="N767">
            <v>55</v>
          </cell>
          <cell r="O767" t="str">
            <v>F</v>
          </cell>
          <cell r="P767" t="str">
            <v>270°</v>
          </cell>
          <cell r="Q767" t="str">
            <v>-</v>
          </cell>
          <cell r="R767" t="str">
            <v>-</v>
          </cell>
          <cell r="S767" t="str">
            <v>-</v>
          </cell>
          <cell r="T767" t="str">
            <v>-</v>
          </cell>
          <cell r="U767" t="str">
            <v>-</v>
          </cell>
          <cell r="V767" t="str">
            <v>SS</v>
          </cell>
          <cell r="W767" t="str">
            <v>-</v>
          </cell>
          <cell r="X767" t="str">
            <v>CLP (CC) VG 220 = -15° + 40°</v>
          </cell>
          <cell r="Y767" t="str">
            <v>KH97/II2GDEDRN132S4/CIID2</v>
          </cell>
          <cell r="Z767" t="str">
            <v>SEW</v>
          </cell>
          <cell r="AB767" t="str">
            <v>HazLoc CIID2</v>
          </cell>
          <cell r="AF767">
            <v>14.000000000000002</v>
          </cell>
          <cell r="AG767" t="str">
            <v>DRN132S4</v>
          </cell>
          <cell r="AH767" t="str">
            <v>KH97-DRN132S4A270-X</v>
          </cell>
        </row>
        <row r="768">
          <cell r="A768" t="str">
            <v>MR000764</v>
          </cell>
          <cell r="B768" t="str">
            <v>MR</v>
          </cell>
          <cell r="C768">
            <v>5.5</v>
          </cell>
          <cell r="D768">
            <v>11.666666666666668</v>
          </cell>
          <cell r="E768" t="str">
            <v>KH97</v>
          </cell>
          <cell r="F768">
            <v>3680</v>
          </cell>
          <cell r="G768">
            <v>123.93</v>
          </cell>
          <cell r="H768">
            <v>1.1499999999999999</v>
          </cell>
          <cell r="I768" t="str">
            <v>M1B</v>
          </cell>
          <cell r="J768" t="str">
            <v>IE3</v>
          </cell>
          <cell r="K768" t="str">
            <v>277/480</v>
          </cell>
          <cell r="L768">
            <v>60</v>
          </cell>
          <cell r="M768" t="str">
            <v>21/10,6</v>
          </cell>
          <cell r="N768">
            <v>55</v>
          </cell>
          <cell r="O768" t="str">
            <v>F</v>
          </cell>
          <cell r="P768" t="str">
            <v>270°</v>
          </cell>
          <cell r="Q768" t="str">
            <v>-</v>
          </cell>
          <cell r="R768" t="str">
            <v>-</v>
          </cell>
          <cell r="S768" t="str">
            <v>-</v>
          </cell>
          <cell r="T768" t="str">
            <v>-</v>
          </cell>
          <cell r="U768" t="str">
            <v>-</v>
          </cell>
          <cell r="V768" t="str">
            <v>SS</v>
          </cell>
          <cell r="W768" t="str">
            <v>-</v>
          </cell>
          <cell r="X768" t="str">
            <v>CLP (CC) VG 220 = -15° + 40°</v>
          </cell>
          <cell r="Y768" t="str">
            <v>KH97/II2GDEDRN132S4/CIID2</v>
          </cell>
          <cell r="Z768" t="str">
            <v>SEW</v>
          </cell>
          <cell r="AB768" t="str">
            <v>HazLoc CIID2</v>
          </cell>
          <cell r="AF768">
            <v>14.000000000000002</v>
          </cell>
          <cell r="AG768" t="str">
            <v>DRN132S4</v>
          </cell>
          <cell r="AH768" t="str">
            <v>KH97-DRN132S4B270-X</v>
          </cell>
        </row>
        <row r="769">
          <cell r="A769" t="str">
            <v>MR000765</v>
          </cell>
          <cell r="B769" t="str">
            <v>MR</v>
          </cell>
          <cell r="C769">
            <v>18.5</v>
          </cell>
          <cell r="D769">
            <v>12.5</v>
          </cell>
          <cell r="E769" t="str">
            <v>KH157</v>
          </cell>
          <cell r="F769">
            <v>12100</v>
          </cell>
          <cell r="G769">
            <v>122.39</v>
          </cell>
          <cell r="H769">
            <v>1.5</v>
          </cell>
          <cell r="I769" t="str">
            <v>From M1A to M2A - 25°</v>
          </cell>
          <cell r="J769" t="str">
            <v>IE3</v>
          </cell>
          <cell r="K769" t="str">
            <v>277/480</v>
          </cell>
          <cell r="L769">
            <v>60</v>
          </cell>
          <cell r="M769" t="str">
            <v>68/34</v>
          </cell>
          <cell r="N769">
            <v>55</v>
          </cell>
          <cell r="O769" t="str">
            <v>F</v>
          </cell>
          <cell r="P769" t="str">
            <v>270°</v>
          </cell>
          <cell r="Q769" t="str">
            <v>TF</v>
          </cell>
          <cell r="R769" t="str">
            <v>-</v>
          </cell>
          <cell r="S769" t="str">
            <v>-</v>
          </cell>
          <cell r="T769" t="str">
            <v>-</v>
          </cell>
          <cell r="U769" t="str">
            <v>-</v>
          </cell>
          <cell r="V769" t="str">
            <v>FC</v>
          </cell>
          <cell r="W769" t="str">
            <v>-</v>
          </cell>
          <cell r="X769" t="str">
            <v>CLP (CC) VG 220 = -15° + 40°</v>
          </cell>
          <cell r="Y769" t="str">
            <v>KH157/II2GDEDRN180M4/CIID2/TF</v>
          </cell>
          <cell r="Z769" t="str">
            <v>SEW</v>
          </cell>
          <cell r="AB769" t="str">
            <v>HazLoc CIID2</v>
          </cell>
          <cell r="AF769">
            <v>15</v>
          </cell>
          <cell r="AG769" t="str">
            <v>DRN180M4</v>
          </cell>
          <cell r="AH769" t="str">
            <v>KH157-DRN180M4A270-X</v>
          </cell>
        </row>
        <row r="770">
          <cell r="A770" t="str">
            <v>MR000766</v>
          </cell>
          <cell r="B770" t="str">
            <v>MR</v>
          </cell>
          <cell r="C770">
            <v>18.5</v>
          </cell>
          <cell r="D770">
            <v>12.5</v>
          </cell>
          <cell r="E770" t="str">
            <v>KH157</v>
          </cell>
          <cell r="F770">
            <v>12100</v>
          </cell>
          <cell r="G770">
            <v>122.39</v>
          </cell>
          <cell r="H770">
            <v>1.5</v>
          </cell>
          <cell r="I770" t="str">
            <v>From M1B to M2B - 25°</v>
          </cell>
          <cell r="J770" t="str">
            <v>IE3</v>
          </cell>
          <cell r="K770" t="str">
            <v>277/480</v>
          </cell>
          <cell r="L770">
            <v>60</v>
          </cell>
          <cell r="M770" t="str">
            <v>68/34</v>
          </cell>
          <cell r="N770">
            <v>55</v>
          </cell>
          <cell r="O770" t="str">
            <v>F</v>
          </cell>
          <cell r="P770" t="str">
            <v>270°</v>
          </cell>
          <cell r="Q770" t="str">
            <v>TF</v>
          </cell>
          <cell r="R770" t="str">
            <v>-</v>
          </cell>
          <cell r="S770" t="str">
            <v>-</v>
          </cell>
          <cell r="T770" t="str">
            <v>-</v>
          </cell>
          <cell r="U770" t="str">
            <v>-</v>
          </cell>
          <cell r="V770" t="str">
            <v>FC</v>
          </cell>
          <cell r="W770" t="str">
            <v>-</v>
          </cell>
          <cell r="X770" t="str">
            <v>CLP (CC) VG 220 = -15° + 40°</v>
          </cell>
          <cell r="Y770" t="str">
            <v>KH157/II2GDEDRN180M4/CIID2/TF</v>
          </cell>
          <cell r="Z770" t="str">
            <v>SEW</v>
          </cell>
          <cell r="AB770" t="str">
            <v>HazLoc CIID2</v>
          </cell>
          <cell r="AF770">
            <v>15</v>
          </cell>
          <cell r="AG770" t="str">
            <v>DRN180M4</v>
          </cell>
          <cell r="AH770" t="str">
            <v>KH157-DRN180M4B270-X</v>
          </cell>
        </row>
        <row r="771">
          <cell r="A771" t="str">
            <v>MR000767</v>
          </cell>
          <cell r="B771" t="str">
            <v>MR</v>
          </cell>
          <cell r="C771">
            <v>11</v>
          </cell>
          <cell r="D771">
            <v>50.833333333333336</v>
          </cell>
          <cell r="E771" t="str">
            <v>FH87</v>
          </cell>
          <cell r="F771">
            <v>1720</v>
          </cell>
          <cell r="G771">
            <v>29.2</v>
          </cell>
          <cell r="H771">
            <v>1.05</v>
          </cell>
          <cell r="I771" t="str">
            <v>From M1 to M4 - 20°</v>
          </cell>
          <cell r="J771" t="str">
            <v>IE3</v>
          </cell>
          <cell r="K771" t="str">
            <v>277/480</v>
          </cell>
          <cell r="L771">
            <v>60</v>
          </cell>
          <cell r="M771" t="str">
            <v>43/21,5</v>
          </cell>
          <cell r="N771">
            <v>55</v>
          </cell>
          <cell r="O771" t="str">
            <v>F</v>
          </cell>
          <cell r="P771" t="str">
            <v>270°</v>
          </cell>
          <cell r="Q771" t="str">
            <v>-</v>
          </cell>
          <cell r="R771" t="str">
            <v>-</v>
          </cell>
          <cell r="S771" t="str">
            <v>-</v>
          </cell>
          <cell r="T771" t="str">
            <v>-</v>
          </cell>
          <cell r="U771" t="str">
            <v>-</v>
          </cell>
          <cell r="V771" t="str">
            <v>D</v>
          </cell>
          <cell r="W771" t="str">
            <v>-</v>
          </cell>
          <cell r="X771" t="str">
            <v>CLP (CC) VG 220 = -15° + 40°</v>
          </cell>
          <cell r="Y771" t="str">
            <v>FH87/II2GDEDRN160M4/CIID2</v>
          </cell>
          <cell r="Z771" t="str">
            <v>SEW</v>
          </cell>
          <cell r="AB771" t="str">
            <v>HazLoc CIID2</v>
          </cell>
          <cell r="AF771">
            <v>61</v>
          </cell>
          <cell r="AG771" t="str">
            <v>DRN160M4</v>
          </cell>
          <cell r="AH771" t="str">
            <v>FH87-DRN160M4270-X</v>
          </cell>
        </row>
        <row r="772">
          <cell r="A772" t="str">
            <v>MR000768</v>
          </cell>
          <cell r="B772" t="str">
            <v>MR</v>
          </cell>
          <cell r="C772">
            <v>18.5</v>
          </cell>
          <cell r="D772">
            <v>12.5</v>
          </cell>
          <cell r="E772" t="str">
            <v>KH157</v>
          </cell>
          <cell r="F772">
            <v>12100</v>
          </cell>
          <cell r="G772">
            <v>122.39</v>
          </cell>
          <cell r="H772">
            <v>1.5</v>
          </cell>
          <cell r="I772" t="str">
            <v>From M1A to M2A - 45°</v>
          </cell>
          <cell r="J772" t="str">
            <v>IE3</v>
          </cell>
          <cell r="K772" t="str">
            <v>277/480</v>
          </cell>
          <cell r="L772">
            <v>60</v>
          </cell>
          <cell r="M772" t="str">
            <v>68/34</v>
          </cell>
          <cell r="N772">
            <v>55</v>
          </cell>
          <cell r="O772" t="str">
            <v>F</v>
          </cell>
          <cell r="P772" t="str">
            <v>270°</v>
          </cell>
          <cell r="Q772" t="str">
            <v>TF</v>
          </cell>
          <cell r="R772" t="str">
            <v>-</v>
          </cell>
          <cell r="S772" t="str">
            <v>-</v>
          </cell>
          <cell r="T772" t="str">
            <v>-</v>
          </cell>
          <cell r="U772" t="str">
            <v>-</v>
          </cell>
          <cell r="V772" t="str">
            <v>FC</v>
          </cell>
          <cell r="W772" t="str">
            <v>-</v>
          </cell>
          <cell r="X772" t="str">
            <v>CLP (CC) VG 220 = -15° + 40°</v>
          </cell>
          <cell r="Y772" t="str">
            <v>KH157/II2GDEDRN180M4/CIID2 /TF</v>
          </cell>
          <cell r="Z772" t="str">
            <v>SEW</v>
          </cell>
          <cell r="AB772" t="str">
            <v>HazLoc CIID2</v>
          </cell>
          <cell r="AF772">
            <v>15</v>
          </cell>
          <cell r="AG772" t="str">
            <v>DRN180M4</v>
          </cell>
          <cell r="AH772" t="str">
            <v>KH157-DRN180M4A270-X</v>
          </cell>
        </row>
        <row r="773">
          <cell r="A773" t="str">
            <v>MR000769</v>
          </cell>
          <cell r="B773" t="str">
            <v>MR</v>
          </cell>
          <cell r="C773">
            <v>18.5</v>
          </cell>
          <cell r="D773">
            <v>12.5</v>
          </cell>
          <cell r="E773" t="str">
            <v>KH157</v>
          </cell>
          <cell r="F773">
            <v>12100</v>
          </cell>
          <cell r="G773">
            <v>122.39</v>
          </cell>
          <cell r="H773">
            <v>1.5</v>
          </cell>
          <cell r="I773" t="str">
            <v>From M1B to M2B - 45°</v>
          </cell>
          <cell r="J773" t="str">
            <v>IE3</v>
          </cell>
          <cell r="K773" t="str">
            <v>277/480</v>
          </cell>
          <cell r="L773">
            <v>60</v>
          </cell>
          <cell r="M773" t="str">
            <v>68/34</v>
          </cell>
          <cell r="N773">
            <v>55</v>
          </cell>
          <cell r="O773" t="str">
            <v>F</v>
          </cell>
          <cell r="P773" t="str">
            <v>270°</v>
          </cell>
          <cell r="Q773" t="str">
            <v>TF</v>
          </cell>
          <cell r="R773" t="str">
            <v>-</v>
          </cell>
          <cell r="S773" t="str">
            <v>-</v>
          </cell>
          <cell r="T773" t="str">
            <v>-</v>
          </cell>
          <cell r="U773" t="str">
            <v>-</v>
          </cell>
          <cell r="V773" t="str">
            <v>FC</v>
          </cell>
          <cell r="W773" t="str">
            <v>-</v>
          </cell>
          <cell r="X773" t="str">
            <v>CLP (CC) VG 220 = -15° + 40°</v>
          </cell>
          <cell r="Y773" t="str">
            <v>KH157/II2GDEDRN180M4/CIID2 /TF</v>
          </cell>
          <cell r="Z773" t="str">
            <v>SEW</v>
          </cell>
          <cell r="AB773" t="str">
            <v>HazLoc CIID2</v>
          </cell>
          <cell r="AF773">
            <v>15</v>
          </cell>
          <cell r="AG773" t="str">
            <v>DRN180M4</v>
          </cell>
          <cell r="AH773" t="str">
            <v>KH157-DRN180M4B270-X</v>
          </cell>
        </row>
        <row r="774">
          <cell r="A774" t="str">
            <v>MR000770</v>
          </cell>
          <cell r="B774" t="str">
            <v>MR</v>
          </cell>
          <cell r="C774">
            <v>9.1999999999999993</v>
          </cell>
          <cell r="D774">
            <v>50.833333333333336</v>
          </cell>
          <cell r="E774" t="str">
            <v>FH87</v>
          </cell>
          <cell r="F774">
            <v>1440</v>
          </cell>
          <cell r="G774">
            <v>29.2</v>
          </cell>
          <cell r="H774">
            <v>1.2</v>
          </cell>
          <cell r="I774" t="str">
            <v>From M1 to M4 - 10°</v>
          </cell>
          <cell r="J774" t="str">
            <v>IE3</v>
          </cell>
          <cell r="K774" t="str">
            <v>277/480</v>
          </cell>
          <cell r="L774">
            <v>60</v>
          </cell>
          <cell r="M774" t="str">
            <v>38/19</v>
          </cell>
          <cell r="N774">
            <v>55</v>
          </cell>
          <cell r="O774" t="str">
            <v>F</v>
          </cell>
          <cell r="P774" t="str">
            <v>270°</v>
          </cell>
          <cell r="Q774" t="str">
            <v>-</v>
          </cell>
          <cell r="R774" t="str">
            <v>-</v>
          </cell>
          <cell r="S774" t="str">
            <v>-</v>
          </cell>
          <cell r="T774" t="str">
            <v>-</v>
          </cell>
          <cell r="U774" t="str">
            <v>-</v>
          </cell>
          <cell r="V774" t="str">
            <v>D</v>
          </cell>
          <cell r="W774" t="str">
            <v>-</v>
          </cell>
          <cell r="X774" t="str">
            <v>CLP (CC) VG 220 = -15° + 40°</v>
          </cell>
          <cell r="Y774" t="str">
            <v>FH87/II2GDEDRN132L4/CIID2</v>
          </cell>
          <cell r="Z774" t="str">
            <v>SEW</v>
          </cell>
          <cell r="AB774" t="str">
            <v>HazLoc CIID2</v>
          </cell>
          <cell r="AF774">
            <v>61</v>
          </cell>
          <cell r="AG774" t="str">
            <v>DRN132L4</v>
          </cell>
          <cell r="AH774" t="str">
            <v>FH87-DRN132L4270-X</v>
          </cell>
        </row>
        <row r="775">
          <cell r="A775" t="str">
            <v>MR000771</v>
          </cell>
          <cell r="B775" t="str">
            <v>MR</v>
          </cell>
          <cell r="C775">
            <v>15</v>
          </cell>
          <cell r="D775">
            <v>10.833333333333334</v>
          </cell>
          <cell r="E775" t="str">
            <v>KH127</v>
          </cell>
          <cell r="F775">
            <v>10900</v>
          </cell>
          <cell r="G775">
            <v>136.13999999999999</v>
          </cell>
          <cell r="H775">
            <v>1.2</v>
          </cell>
          <cell r="I775" t="str">
            <v>From M1A to M2A - 35°</v>
          </cell>
          <cell r="J775" t="str">
            <v>IE3</v>
          </cell>
          <cell r="K775" t="str">
            <v>277/480</v>
          </cell>
          <cell r="L775">
            <v>60</v>
          </cell>
          <cell r="M775" t="str">
            <v>58/29</v>
          </cell>
          <cell r="N775">
            <v>55</v>
          </cell>
          <cell r="O775" t="str">
            <v>F</v>
          </cell>
          <cell r="P775" t="str">
            <v>270°</v>
          </cell>
          <cell r="Q775" t="str">
            <v>TF</v>
          </cell>
          <cell r="R775" t="str">
            <v>-</v>
          </cell>
          <cell r="S775" t="str">
            <v>-</v>
          </cell>
          <cell r="T775" t="str">
            <v>-</v>
          </cell>
          <cell r="U775" t="str">
            <v>-</v>
          </cell>
          <cell r="V775" t="str">
            <v>FC</v>
          </cell>
          <cell r="W775" t="str">
            <v>-</v>
          </cell>
          <cell r="X775" t="str">
            <v>CLP (CC) VG 220 = -15° + 40°</v>
          </cell>
          <cell r="Y775" t="str">
            <v>KH127/II2GDEDRN160L4/CIID2/TF</v>
          </cell>
          <cell r="Z775" t="str">
            <v>SEW</v>
          </cell>
          <cell r="AB775" t="str">
            <v>HazLoc CIID2</v>
          </cell>
          <cell r="AF775">
            <v>13</v>
          </cell>
          <cell r="AG775" t="str">
            <v>DRN160L4</v>
          </cell>
          <cell r="AH775" t="str">
            <v>KH127-DRN160L4A270-X</v>
          </cell>
        </row>
        <row r="776">
          <cell r="A776" t="str">
            <v>MR000772</v>
          </cell>
          <cell r="B776" t="str">
            <v>MR</v>
          </cell>
          <cell r="C776">
            <v>15</v>
          </cell>
          <cell r="D776">
            <v>10.833333333333334</v>
          </cell>
          <cell r="E776" t="str">
            <v>KH127</v>
          </cell>
          <cell r="F776">
            <v>10900</v>
          </cell>
          <cell r="G776">
            <v>136.13999999999999</v>
          </cell>
          <cell r="H776">
            <v>1.2</v>
          </cell>
          <cell r="I776" t="str">
            <v>From M1B to M2B - 35°</v>
          </cell>
          <cell r="J776" t="str">
            <v>IE3</v>
          </cell>
          <cell r="K776" t="str">
            <v>277/480</v>
          </cell>
          <cell r="L776">
            <v>60</v>
          </cell>
          <cell r="M776" t="str">
            <v>58/29</v>
          </cell>
          <cell r="N776">
            <v>55</v>
          </cell>
          <cell r="O776" t="str">
            <v>F</v>
          </cell>
          <cell r="P776" t="str">
            <v>270°</v>
          </cell>
          <cell r="Q776" t="str">
            <v>TF</v>
          </cell>
          <cell r="R776" t="str">
            <v>-</v>
          </cell>
          <cell r="S776" t="str">
            <v>-</v>
          </cell>
          <cell r="T776" t="str">
            <v>-</v>
          </cell>
          <cell r="U776" t="str">
            <v>-</v>
          </cell>
          <cell r="V776" t="str">
            <v>FC</v>
          </cell>
          <cell r="W776" t="str">
            <v>-</v>
          </cell>
          <cell r="X776" t="str">
            <v>CLP (CC) VG 220 = -15° + 40°</v>
          </cell>
          <cell r="Y776" t="str">
            <v>KH127/II2GDEDRN160L4/CIID2/TF</v>
          </cell>
          <cell r="Z776" t="str">
            <v>SEW</v>
          </cell>
          <cell r="AB776" t="str">
            <v>HazLoc CIID2</v>
          </cell>
          <cell r="AF776">
            <v>13</v>
          </cell>
          <cell r="AG776" t="str">
            <v>DRN160L4</v>
          </cell>
          <cell r="AH776" t="str">
            <v>KH127-DRN160L4B270-X</v>
          </cell>
        </row>
        <row r="777">
          <cell r="A777" t="str">
            <v>MR000773</v>
          </cell>
          <cell r="B777" t="str">
            <v>MR</v>
          </cell>
          <cell r="C777">
            <v>9.1999999999999993</v>
          </cell>
          <cell r="D777">
            <v>15</v>
          </cell>
          <cell r="E777" t="str">
            <v>KH107</v>
          </cell>
          <cell r="F777">
            <v>6020</v>
          </cell>
          <cell r="G777">
            <v>100.75</v>
          </cell>
          <cell r="H777">
            <v>1.35</v>
          </cell>
          <cell r="I777" t="str">
            <v>M1A</v>
          </cell>
          <cell r="J777" t="str">
            <v>IE3</v>
          </cell>
          <cell r="K777">
            <v>400</v>
          </cell>
          <cell r="L777">
            <v>50</v>
          </cell>
          <cell r="M777">
            <v>18.7</v>
          </cell>
          <cell r="N777">
            <v>55</v>
          </cell>
          <cell r="O777" t="str">
            <v>F(105°C)</v>
          </cell>
          <cell r="P777" t="str">
            <v>270°</v>
          </cell>
          <cell r="Q777" t="str">
            <v>-</v>
          </cell>
          <cell r="R777" t="str">
            <v>-</v>
          </cell>
          <cell r="S777" t="str">
            <v>-</v>
          </cell>
          <cell r="T777" t="str">
            <v>-</v>
          </cell>
          <cell r="U777" t="str">
            <v>-</v>
          </cell>
          <cell r="V777" t="str">
            <v>SS</v>
          </cell>
          <cell r="W777" t="str">
            <v>-</v>
          </cell>
          <cell r="X777" t="str">
            <v>CLP HC VG 150 = -40° + 40°</v>
          </cell>
          <cell r="Y777" t="str">
            <v>KH107DRN132L4</v>
          </cell>
          <cell r="Z777" t="str">
            <v>SEW</v>
          </cell>
          <cell r="AB777" t="str">
            <v>-</v>
          </cell>
          <cell r="AF777">
            <v>15</v>
          </cell>
          <cell r="AG777" t="str">
            <v>DRN132L4</v>
          </cell>
          <cell r="AH777" t="str">
            <v>KH107-DRN132L4A270-X</v>
          </cell>
        </row>
        <row r="778">
          <cell r="A778" t="str">
            <v>MR000774</v>
          </cell>
          <cell r="B778" t="str">
            <v>MR</v>
          </cell>
          <cell r="C778">
            <v>9.1999999999999993</v>
          </cell>
          <cell r="D778">
            <v>15</v>
          </cell>
          <cell r="E778" t="str">
            <v>KH107</v>
          </cell>
          <cell r="F778">
            <v>6020</v>
          </cell>
          <cell r="G778">
            <v>100.75</v>
          </cell>
          <cell r="H778">
            <v>1.35</v>
          </cell>
          <cell r="I778" t="str">
            <v>M1B</v>
          </cell>
          <cell r="J778" t="str">
            <v>IE3</v>
          </cell>
          <cell r="K778">
            <v>400</v>
          </cell>
          <cell r="L778">
            <v>50</v>
          </cell>
          <cell r="M778">
            <v>18.7</v>
          </cell>
          <cell r="N778">
            <v>55</v>
          </cell>
          <cell r="O778" t="str">
            <v>F(105°C)</v>
          </cell>
          <cell r="P778" t="str">
            <v>270°</v>
          </cell>
          <cell r="Q778" t="str">
            <v>-</v>
          </cell>
          <cell r="R778" t="str">
            <v>-</v>
          </cell>
          <cell r="S778" t="str">
            <v>-</v>
          </cell>
          <cell r="T778" t="str">
            <v>-</v>
          </cell>
          <cell r="U778" t="str">
            <v>-</v>
          </cell>
          <cell r="V778" t="str">
            <v>SS</v>
          </cell>
          <cell r="W778" t="str">
            <v>-</v>
          </cell>
          <cell r="X778" t="str">
            <v>CLP HC VG 150 = -40° + 40°</v>
          </cell>
          <cell r="Y778" t="str">
            <v>KH107DRN132L4</v>
          </cell>
          <cell r="Z778" t="str">
            <v>SEW</v>
          </cell>
          <cell r="AB778" t="str">
            <v>-</v>
          </cell>
          <cell r="AF778">
            <v>15</v>
          </cell>
          <cell r="AG778" t="str">
            <v>DRN132L4</v>
          </cell>
          <cell r="AH778" t="str">
            <v>KH107-DRN132L4B270-X</v>
          </cell>
        </row>
        <row r="779">
          <cell r="A779" t="str">
            <v>MR000775</v>
          </cell>
          <cell r="B779" t="str">
            <v>MR</v>
          </cell>
          <cell r="C779" t="str">
            <v>-</v>
          </cell>
          <cell r="D779">
            <v>495</v>
          </cell>
          <cell r="E779" t="str">
            <v>KA47</v>
          </cell>
          <cell r="F779">
            <v>310</v>
          </cell>
          <cell r="G779">
            <v>9.1</v>
          </cell>
          <cell r="I779" t="str">
            <v>M2A</v>
          </cell>
          <cell r="J779" t="str">
            <v>-</v>
          </cell>
          <cell r="K779">
            <v>400</v>
          </cell>
          <cell r="L779" t="str">
            <v>&lt;=225</v>
          </cell>
          <cell r="N779">
            <v>65</v>
          </cell>
          <cell r="O779" t="str">
            <v>F(105°C)</v>
          </cell>
          <cell r="P779" t="str">
            <v>270°</v>
          </cell>
          <cell r="Q779" t="str">
            <v>TF</v>
          </cell>
          <cell r="R779" t="str">
            <v>-</v>
          </cell>
          <cell r="S779" t="str">
            <v>-</v>
          </cell>
          <cell r="T779" t="str">
            <v>-</v>
          </cell>
          <cell r="U779" t="str">
            <v>-</v>
          </cell>
          <cell r="V779" t="str">
            <v>-</v>
          </cell>
          <cell r="W779" t="str">
            <v>-</v>
          </cell>
          <cell r="X779" t="str">
            <v>CLP (CC) VG 220 = -15° + 40°</v>
          </cell>
          <cell r="Y779" t="str">
            <v>KA47/R CM90M/TF/RH1M/SM50</v>
          </cell>
          <cell r="Z779" t="str">
            <v>SEW</v>
          </cell>
          <cell r="AB779" t="str">
            <v>-</v>
          </cell>
          <cell r="AC779" t="str">
            <v>RH1M</v>
          </cell>
          <cell r="AF779" t="e">
            <v>#VALUE!</v>
          </cell>
          <cell r="AG779" t="str">
            <v>-</v>
          </cell>
          <cell r="AH779" t="str">
            <v>KA47--A270-X</v>
          </cell>
        </row>
        <row r="780">
          <cell r="A780" t="str">
            <v>MR000776</v>
          </cell>
          <cell r="B780" t="str">
            <v>MR</v>
          </cell>
          <cell r="C780">
            <v>15</v>
          </cell>
          <cell r="D780">
            <v>16</v>
          </cell>
          <cell r="E780" t="str">
            <v>KH127</v>
          </cell>
          <cell r="F780">
            <v>8730</v>
          </cell>
          <cell r="G780">
            <v>89.89</v>
          </cell>
          <cell r="H780">
            <v>1.5</v>
          </cell>
          <cell r="I780" t="str">
            <v>M1A</v>
          </cell>
          <cell r="J780" t="str">
            <v>IE3</v>
          </cell>
          <cell r="K780">
            <v>400</v>
          </cell>
          <cell r="L780">
            <v>50</v>
          </cell>
          <cell r="M780">
            <v>29</v>
          </cell>
          <cell r="N780">
            <v>55</v>
          </cell>
          <cell r="O780" t="str">
            <v>F(105°C)</v>
          </cell>
          <cell r="P780" t="str">
            <v>270°</v>
          </cell>
          <cell r="Q780" t="str">
            <v>TF</v>
          </cell>
          <cell r="R780" t="str">
            <v>V(VE)</v>
          </cell>
          <cell r="S780" t="str">
            <v>-</v>
          </cell>
          <cell r="T780" t="str">
            <v>-</v>
          </cell>
          <cell r="U780" t="str">
            <v>-</v>
          </cell>
          <cell r="V780" t="str">
            <v>FC</v>
          </cell>
          <cell r="W780" t="str">
            <v>-</v>
          </cell>
          <cell r="X780" t="str">
            <v>CLP (CC) VG 220 = -15° + 40°</v>
          </cell>
          <cell r="Y780" t="str">
            <v>KH127DRN160L4 /TF/V</v>
          </cell>
          <cell r="Z780" t="str">
            <v>SEW</v>
          </cell>
          <cell r="AB780" t="str">
            <v>-</v>
          </cell>
          <cell r="AF780">
            <v>16</v>
          </cell>
          <cell r="AG780" t="str">
            <v>DRN160L4</v>
          </cell>
          <cell r="AH780" t="str">
            <v>KH127-DRN160L4A270-X#</v>
          </cell>
        </row>
        <row r="781">
          <cell r="A781" t="str">
            <v>MR000777</v>
          </cell>
          <cell r="B781" t="str">
            <v>MR</v>
          </cell>
          <cell r="C781">
            <v>0.75</v>
          </cell>
          <cell r="D781">
            <v>18</v>
          </cell>
          <cell r="E781" t="str">
            <v>FA67</v>
          </cell>
          <cell r="F781">
            <v>395</v>
          </cell>
          <cell r="G781">
            <v>79.760000000000005</v>
          </cell>
          <cell r="H781">
            <v>2.1</v>
          </cell>
          <cell r="I781" t="str">
            <v>From M5 to M3 - 45°</v>
          </cell>
          <cell r="J781" t="str">
            <v>IE3</v>
          </cell>
          <cell r="K781">
            <v>400</v>
          </cell>
          <cell r="L781">
            <v>50</v>
          </cell>
          <cell r="N781">
            <v>55</v>
          </cell>
          <cell r="O781" t="str">
            <v>F(105°C)</v>
          </cell>
          <cell r="P781" t="str">
            <v>270°</v>
          </cell>
          <cell r="Q781" t="str">
            <v>-</v>
          </cell>
          <cell r="R781" t="str">
            <v>-</v>
          </cell>
          <cell r="S781" t="str">
            <v>-</v>
          </cell>
          <cell r="T781" t="str">
            <v>BE</v>
          </cell>
          <cell r="U781" t="str">
            <v>G</v>
          </cell>
          <cell r="V781" t="str">
            <v>D+R</v>
          </cell>
          <cell r="W781" t="str">
            <v>-</v>
          </cell>
          <cell r="X781" t="str">
            <v>CLP (CC) VG 220 = -15° + 40°</v>
          </cell>
          <cell r="Y781" t="str">
            <v>FA67/G DRN80M4 /BE</v>
          </cell>
          <cell r="Z781" t="str">
            <v>SEW</v>
          </cell>
          <cell r="AB781" t="str">
            <v>-</v>
          </cell>
          <cell r="AF781">
            <v>18</v>
          </cell>
          <cell r="AG781" t="str">
            <v>DRN80M4</v>
          </cell>
          <cell r="AH781" t="str">
            <v>FA67G-DRN80M4270-X</v>
          </cell>
        </row>
        <row r="782">
          <cell r="A782" t="str">
            <v>MR000778</v>
          </cell>
          <cell r="B782" t="str">
            <v>MR</v>
          </cell>
          <cell r="C782">
            <v>18.5</v>
          </cell>
          <cell r="D782">
            <v>25.833333333333336</v>
          </cell>
          <cell r="E782" t="str">
            <v>KH107</v>
          </cell>
          <cell r="F782">
            <v>5670</v>
          </cell>
          <cell r="G782">
            <v>57.17</v>
          </cell>
          <cell r="H782">
            <v>1.4</v>
          </cell>
          <cell r="I782" t="str">
            <v>From M1B to M2B - 30°</v>
          </cell>
          <cell r="J782" t="str">
            <v>IE3</v>
          </cell>
          <cell r="K782" t="str">
            <v>277/480</v>
          </cell>
          <cell r="L782">
            <v>60</v>
          </cell>
          <cell r="M782" t="str">
            <v>51/29,5</v>
          </cell>
          <cell r="N782">
            <v>55</v>
          </cell>
          <cell r="O782" t="str">
            <v>F</v>
          </cell>
          <cell r="P782" t="str">
            <v>270°</v>
          </cell>
          <cell r="Q782" t="str">
            <v>TF</v>
          </cell>
          <cell r="R782" t="str">
            <v>V(VE)</v>
          </cell>
          <cell r="S782" t="str">
            <v>-</v>
          </cell>
          <cell r="T782" t="str">
            <v>-</v>
          </cell>
          <cell r="U782" t="str">
            <v>-</v>
          </cell>
          <cell r="V782" t="str">
            <v>FC</v>
          </cell>
          <cell r="W782" t="str">
            <v>-</v>
          </cell>
          <cell r="X782" t="str">
            <v>CLP (CC) VG 220 = -15° + 40°</v>
          </cell>
          <cell r="Y782" t="str">
            <v>KH107DRN180M4 /TF/V</v>
          </cell>
          <cell r="Z782" t="str">
            <v>SEW</v>
          </cell>
          <cell r="AB782" t="str">
            <v>-</v>
          </cell>
          <cell r="AF782">
            <v>31.000000000000004</v>
          </cell>
          <cell r="AG782" t="str">
            <v>DRN180M4</v>
          </cell>
          <cell r="AH782" t="str">
            <v>KH107-DRN180M4B270-X#</v>
          </cell>
        </row>
        <row r="783">
          <cell r="A783" t="str">
            <v>MR000779</v>
          </cell>
          <cell r="B783" t="str">
            <v>MR</v>
          </cell>
          <cell r="C783">
            <v>18.5</v>
          </cell>
          <cell r="D783">
            <v>13.333333333333334</v>
          </cell>
          <cell r="E783" t="str">
            <v>KH127</v>
          </cell>
          <cell r="F783">
            <v>10900</v>
          </cell>
          <cell r="G783">
            <v>110.18</v>
          </cell>
          <cell r="H783">
            <v>1.2</v>
          </cell>
          <cell r="I783" t="str">
            <v xml:space="preserve">M1A </v>
          </cell>
          <cell r="J783" t="str">
            <v>IE3</v>
          </cell>
          <cell r="K783" t="str">
            <v>277/480</v>
          </cell>
          <cell r="L783">
            <v>60</v>
          </cell>
          <cell r="M783" t="str">
            <v>68/34</v>
          </cell>
          <cell r="N783">
            <v>55</v>
          </cell>
          <cell r="O783" t="str">
            <v>F</v>
          </cell>
          <cell r="P783" t="str">
            <v>270°</v>
          </cell>
          <cell r="Q783" t="str">
            <v>TF</v>
          </cell>
          <cell r="R783" t="str">
            <v>-</v>
          </cell>
          <cell r="S783" t="str">
            <v>-</v>
          </cell>
          <cell r="T783" t="str">
            <v>-</v>
          </cell>
          <cell r="U783" t="str">
            <v>-</v>
          </cell>
          <cell r="V783" t="str">
            <v>FC</v>
          </cell>
          <cell r="W783" t="str">
            <v>-</v>
          </cell>
          <cell r="X783" t="str">
            <v>CLP (CC) VG 220 = -15° + 40°</v>
          </cell>
          <cell r="Y783" t="str">
            <v>KH127/II2GDEDRN180M4/CIID2/TF</v>
          </cell>
          <cell r="Z783" t="str">
            <v>SEW</v>
          </cell>
          <cell r="AB783" t="str">
            <v>HazLoc CIID2</v>
          </cell>
          <cell r="AF783">
            <v>16</v>
          </cell>
          <cell r="AG783" t="str">
            <v>DRN180M4</v>
          </cell>
          <cell r="AH783" t="str">
            <v>KH127-DRN180M4A270-X</v>
          </cell>
        </row>
        <row r="784">
          <cell r="A784" t="str">
            <v>MR000780</v>
          </cell>
          <cell r="B784" t="str">
            <v>MR</v>
          </cell>
          <cell r="C784">
            <v>18.5</v>
          </cell>
          <cell r="D784">
            <v>13.333333333333334</v>
          </cell>
          <cell r="E784" t="str">
            <v>KH127</v>
          </cell>
          <cell r="F784">
            <v>10900</v>
          </cell>
          <cell r="G784">
            <v>110.18</v>
          </cell>
          <cell r="H784">
            <v>1.2</v>
          </cell>
          <cell r="I784" t="str">
            <v>M1B</v>
          </cell>
          <cell r="J784" t="str">
            <v>IE3</v>
          </cell>
          <cell r="K784" t="str">
            <v>277/480</v>
          </cell>
          <cell r="L784">
            <v>60</v>
          </cell>
          <cell r="M784" t="str">
            <v>68/34</v>
          </cell>
          <cell r="N784">
            <v>55</v>
          </cell>
          <cell r="O784" t="str">
            <v>F</v>
          </cell>
          <cell r="P784" t="str">
            <v>270°</v>
          </cell>
          <cell r="Q784" t="str">
            <v>TF</v>
          </cell>
          <cell r="R784" t="str">
            <v>-</v>
          </cell>
          <cell r="S784" t="str">
            <v>-</v>
          </cell>
          <cell r="T784" t="str">
            <v>-</v>
          </cell>
          <cell r="U784" t="str">
            <v>-</v>
          </cell>
          <cell r="V784" t="str">
            <v>FC</v>
          </cell>
          <cell r="W784" t="str">
            <v>-</v>
          </cell>
          <cell r="X784" t="str">
            <v>CLP (CC) VG 220 = -15° + 40°</v>
          </cell>
          <cell r="Y784" t="str">
            <v>KH127/II2GDEDRN180M4/CIID2/TF</v>
          </cell>
          <cell r="Z784" t="str">
            <v>SEW</v>
          </cell>
          <cell r="AB784" t="str">
            <v>HazLoc CIID2</v>
          </cell>
          <cell r="AF784">
            <v>16</v>
          </cell>
          <cell r="AG784" t="str">
            <v>DRN180M4</v>
          </cell>
          <cell r="AH784" t="str">
            <v>KH127-DRN180M4B270-X</v>
          </cell>
        </row>
        <row r="785">
          <cell r="A785" t="str">
            <v>MR000781</v>
          </cell>
          <cell r="B785" t="str">
            <v>MR</v>
          </cell>
          <cell r="C785">
            <v>18.5</v>
          </cell>
          <cell r="D785">
            <v>13.333333333333334</v>
          </cell>
          <cell r="E785" t="str">
            <v>KH127</v>
          </cell>
          <cell r="F785">
            <v>10900</v>
          </cell>
          <cell r="G785">
            <v>110.18</v>
          </cell>
          <cell r="H785">
            <v>1.2</v>
          </cell>
          <cell r="I785" t="str">
            <v>From M1A to M2A - 35°</v>
          </cell>
          <cell r="J785" t="str">
            <v>IE3</v>
          </cell>
          <cell r="K785" t="str">
            <v>277/480</v>
          </cell>
          <cell r="L785">
            <v>60</v>
          </cell>
          <cell r="M785" t="str">
            <v>68/34</v>
          </cell>
          <cell r="N785">
            <v>55</v>
          </cell>
          <cell r="O785" t="str">
            <v>F</v>
          </cell>
          <cell r="P785" t="str">
            <v>270°</v>
          </cell>
          <cell r="Q785" t="str">
            <v>TF</v>
          </cell>
          <cell r="R785" t="str">
            <v>-</v>
          </cell>
          <cell r="S785" t="str">
            <v>-</v>
          </cell>
          <cell r="T785" t="str">
            <v>-</v>
          </cell>
          <cell r="U785" t="str">
            <v>-</v>
          </cell>
          <cell r="V785" t="str">
            <v>FC</v>
          </cell>
          <cell r="W785" t="str">
            <v>-</v>
          </cell>
          <cell r="X785" t="str">
            <v>CLP (CC) VG 220 = -15° + 40°</v>
          </cell>
          <cell r="Y785" t="str">
            <v>KH127/II2GDEDRN180M4/CIID2/TF</v>
          </cell>
          <cell r="Z785" t="str">
            <v>SEW</v>
          </cell>
          <cell r="AB785" t="str">
            <v>HazLoc CIID2</v>
          </cell>
          <cell r="AF785">
            <v>16</v>
          </cell>
          <cell r="AG785" t="str">
            <v>DRN180M4</v>
          </cell>
          <cell r="AH785" t="str">
            <v>KH127-DRN180M4A270-X</v>
          </cell>
        </row>
        <row r="786">
          <cell r="A786" t="str">
            <v>MR000782</v>
          </cell>
          <cell r="B786" t="str">
            <v>MR</v>
          </cell>
          <cell r="C786">
            <v>18.5</v>
          </cell>
          <cell r="D786">
            <v>13.333333333333334</v>
          </cell>
          <cell r="E786" t="str">
            <v>KH127</v>
          </cell>
          <cell r="F786">
            <v>10900</v>
          </cell>
          <cell r="G786">
            <v>110.18</v>
          </cell>
          <cell r="H786">
            <v>1.2</v>
          </cell>
          <cell r="I786" t="str">
            <v>From M1B to M2B - 35°</v>
          </cell>
          <cell r="J786" t="str">
            <v>IE3</v>
          </cell>
          <cell r="K786" t="str">
            <v>277/480</v>
          </cell>
          <cell r="L786">
            <v>60</v>
          </cell>
          <cell r="M786" t="str">
            <v>68/34</v>
          </cell>
          <cell r="N786">
            <v>55</v>
          </cell>
          <cell r="O786" t="str">
            <v>F</v>
          </cell>
          <cell r="P786" t="str">
            <v>270°</v>
          </cell>
          <cell r="Q786" t="str">
            <v>TF</v>
          </cell>
          <cell r="R786" t="str">
            <v>-</v>
          </cell>
          <cell r="S786" t="str">
            <v>-</v>
          </cell>
          <cell r="T786" t="str">
            <v>-</v>
          </cell>
          <cell r="U786" t="str">
            <v>-</v>
          </cell>
          <cell r="V786" t="str">
            <v>FC</v>
          </cell>
          <cell r="W786" t="str">
            <v>-</v>
          </cell>
          <cell r="X786" t="str">
            <v>CLP (CC) VG 220 = -15° + 40°</v>
          </cell>
          <cell r="Y786" t="str">
            <v>KH127/II2GDEDRN180M4/CIID2/TF</v>
          </cell>
          <cell r="Z786" t="str">
            <v>SEW</v>
          </cell>
          <cell r="AB786" t="str">
            <v>HazLoc CIID2</v>
          </cell>
          <cell r="AF786">
            <v>16</v>
          </cell>
          <cell r="AG786" t="str">
            <v>DRN180M4</v>
          </cell>
          <cell r="AH786" t="str">
            <v>KH127-DRN180M4B270-X</v>
          </cell>
        </row>
        <row r="787">
          <cell r="A787" t="str">
            <v>MR000783</v>
          </cell>
          <cell r="B787" t="str">
            <v>MR</v>
          </cell>
          <cell r="C787">
            <v>15</v>
          </cell>
          <cell r="D787">
            <v>13.333333333333334</v>
          </cell>
          <cell r="E787" t="str">
            <v>KH127</v>
          </cell>
          <cell r="F787">
            <v>8880</v>
          </cell>
          <cell r="G787">
            <v>110.18</v>
          </cell>
          <cell r="H787">
            <v>1.45</v>
          </cell>
          <cell r="I787" t="str">
            <v>From M1B to M2B - 20°</v>
          </cell>
          <cell r="J787" t="str">
            <v>IE3</v>
          </cell>
          <cell r="K787" t="str">
            <v>277/480</v>
          </cell>
          <cell r="L787">
            <v>60</v>
          </cell>
          <cell r="M787" t="str">
            <v>58/29</v>
          </cell>
          <cell r="N787">
            <v>55</v>
          </cell>
          <cell r="O787" t="str">
            <v>F</v>
          </cell>
          <cell r="P787" t="str">
            <v>270°</v>
          </cell>
          <cell r="Q787" t="str">
            <v>TF</v>
          </cell>
          <cell r="R787" t="str">
            <v>-</v>
          </cell>
          <cell r="S787" t="str">
            <v>-</v>
          </cell>
          <cell r="T787" t="str">
            <v>-</v>
          </cell>
          <cell r="U787" t="str">
            <v>-</v>
          </cell>
          <cell r="V787" t="str">
            <v>FC</v>
          </cell>
          <cell r="W787" t="str">
            <v>-</v>
          </cell>
          <cell r="X787" t="str">
            <v>CLP (CC) VG 220 = -15° + 40°</v>
          </cell>
          <cell r="Y787" t="str">
            <v>KH127/II2GDEDRN160L4/CIID2/TF</v>
          </cell>
          <cell r="Z787" t="str">
            <v>SEW</v>
          </cell>
          <cell r="AB787" t="str">
            <v>HazLoc CIID2</v>
          </cell>
          <cell r="AF787">
            <v>16</v>
          </cell>
          <cell r="AG787" t="str">
            <v>DRN160L4</v>
          </cell>
          <cell r="AH787" t="str">
            <v>KH127-DRN160L4B270-X</v>
          </cell>
        </row>
        <row r="788">
          <cell r="A788" t="str">
            <v>MR000784</v>
          </cell>
          <cell r="B788" t="str">
            <v>MR</v>
          </cell>
          <cell r="C788">
            <v>15</v>
          </cell>
          <cell r="D788">
            <v>13.333333333333334</v>
          </cell>
          <cell r="E788" t="str">
            <v>KH127</v>
          </cell>
          <cell r="F788">
            <v>8880</v>
          </cell>
          <cell r="G788">
            <v>110.18</v>
          </cell>
          <cell r="H788">
            <v>1.45</v>
          </cell>
          <cell r="I788" t="str">
            <v>From M1A to M2A - 45°</v>
          </cell>
          <cell r="J788" t="str">
            <v>IE3</v>
          </cell>
          <cell r="K788" t="str">
            <v>277/480</v>
          </cell>
          <cell r="L788">
            <v>60</v>
          </cell>
          <cell r="M788" t="str">
            <v>58/29</v>
          </cell>
          <cell r="N788">
            <v>55</v>
          </cell>
          <cell r="O788" t="str">
            <v>F</v>
          </cell>
          <cell r="P788" t="str">
            <v>270°</v>
          </cell>
          <cell r="Q788" t="str">
            <v>TF</v>
          </cell>
          <cell r="R788" t="str">
            <v>-</v>
          </cell>
          <cell r="S788" t="str">
            <v>-</v>
          </cell>
          <cell r="T788" t="str">
            <v>-</v>
          </cell>
          <cell r="U788" t="str">
            <v>-</v>
          </cell>
          <cell r="V788" t="str">
            <v>FC</v>
          </cell>
          <cell r="W788" t="str">
            <v>-</v>
          </cell>
          <cell r="X788" t="str">
            <v>CLP (CC) VG 220 = -15° + 40°</v>
          </cell>
          <cell r="Y788" t="str">
            <v>KH127/II2GDEDRN160L4/CIID2/TF</v>
          </cell>
          <cell r="Z788" t="str">
            <v>SEW</v>
          </cell>
          <cell r="AB788" t="str">
            <v>HazLoc CIID2</v>
          </cell>
          <cell r="AF788">
            <v>16</v>
          </cell>
          <cell r="AG788" t="str">
            <v>DRN160L4</v>
          </cell>
          <cell r="AH788" t="str">
            <v>KH127-DRN160L4A270-X</v>
          </cell>
        </row>
        <row r="789">
          <cell r="A789" t="str">
            <v>MR000785</v>
          </cell>
          <cell r="B789" t="str">
            <v>MR</v>
          </cell>
          <cell r="C789">
            <v>15</v>
          </cell>
          <cell r="D789">
            <v>13.333333333333334</v>
          </cell>
          <cell r="E789" t="str">
            <v>KH127</v>
          </cell>
          <cell r="F789">
            <v>8880</v>
          </cell>
          <cell r="G789">
            <v>110.18</v>
          </cell>
          <cell r="H789">
            <v>1.45</v>
          </cell>
          <cell r="I789" t="str">
            <v>From M1B to M2B - 45°</v>
          </cell>
          <cell r="J789" t="str">
            <v>IE3</v>
          </cell>
          <cell r="K789" t="str">
            <v>277/480</v>
          </cell>
          <cell r="L789">
            <v>60</v>
          </cell>
          <cell r="M789" t="str">
            <v>58/29</v>
          </cell>
          <cell r="N789">
            <v>55</v>
          </cell>
          <cell r="O789" t="str">
            <v>F</v>
          </cell>
          <cell r="P789" t="str">
            <v>270°</v>
          </cell>
          <cell r="Q789" t="str">
            <v>TF</v>
          </cell>
          <cell r="R789" t="str">
            <v>-</v>
          </cell>
          <cell r="S789" t="str">
            <v>-</v>
          </cell>
          <cell r="T789" t="str">
            <v>-</v>
          </cell>
          <cell r="U789" t="str">
            <v>-</v>
          </cell>
          <cell r="V789" t="str">
            <v>FC</v>
          </cell>
          <cell r="W789" t="str">
            <v>-</v>
          </cell>
          <cell r="X789" t="str">
            <v>CLP (CC) VG 220 = -15° + 40°</v>
          </cell>
          <cell r="Y789" t="str">
            <v>KH127/II2GDEDRN160L4/CIID2/TF</v>
          </cell>
          <cell r="Z789" t="str">
            <v>SEW</v>
          </cell>
          <cell r="AB789" t="str">
            <v>HazLoc CIID2</v>
          </cell>
          <cell r="AF789">
            <v>16</v>
          </cell>
          <cell r="AG789" t="str">
            <v>DRN160L4</v>
          </cell>
          <cell r="AH789" t="str">
            <v>KH127-DRN160L4B270-X</v>
          </cell>
        </row>
        <row r="790">
          <cell r="A790" t="str">
            <v>MR000786</v>
          </cell>
          <cell r="B790" t="str">
            <v>MR</v>
          </cell>
          <cell r="C790">
            <v>11</v>
          </cell>
          <cell r="D790">
            <v>50.833333333333336</v>
          </cell>
          <cell r="E790" t="str">
            <v>FH87</v>
          </cell>
          <cell r="F790">
            <v>1720</v>
          </cell>
          <cell r="G790">
            <v>29.2</v>
          </cell>
          <cell r="H790">
            <v>1.05</v>
          </cell>
          <cell r="I790" t="str">
            <v>M1</v>
          </cell>
          <cell r="J790" t="str">
            <v>IE3</v>
          </cell>
          <cell r="K790" t="str">
            <v>277/480</v>
          </cell>
          <cell r="L790">
            <v>60</v>
          </cell>
          <cell r="M790" t="str">
            <v>43/21,5</v>
          </cell>
          <cell r="N790">
            <v>55</v>
          </cell>
          <cell r="O790" t="str">
            <v>F</v>
          </cell>
          <cell r="P790" t="str">
            <v>270°</v>
          </cell>
          <cell r="Q790" t="str">
            <v>-</v>
          </cell>
          <cell r="R790" t="str">
            <v>-</v>
          </cell>
          <cell r="S790" t="str">
            <v>-</v>
          </cell>
          <cell r="T790" t="str">
            <v>-</v>
          </cell>
          <cell r="U790" t="str">
            <v>-</v>
          </cell>
          <cell r="V790" t="str">
            <v>D+R</v>
          </cell>
          <cell r="W790" t="str">
            <v>-</v>
          </cell>
          <cell r="X790" t="str">
            <v>CLP (CC) VG 220 = -15° + 40°</v>
          </cell>
          <cell r="Y790" t="str">
            <v>FH87/II2GDEDRN160M4/CIID2</v>
          </cell>
          <cell r="Z790" t="str">
            <v>SEW</v>
          </cell>
          <cell r="AB790" t="str">
            <v>HazLoc CIID2</v>
          </cell>
          <cell r="AF790">
            <v>61</v>
          </cell>
          <cell r="AG790" t="str">
            <v>DRN160M4</v>
          </cell>
          <cell r="AH790" t="str">
            <v>FH87-DRN160M4270-X</v>
          </cell>
        </row>
        <row r="791">
          <cell r="A791" t="str">
            <v>MR000787</v>
          </cell>
          <cell r="B791" t="str">
            <v>MR</v>
          </cell>
          <cell r="C791">
            <v>7.5</v>
          </cell>
          <cell r="D791">
            <v>22.5</v>
          </cell>
          <cell r="E791" t="str">
            <v>FH97</v>
          </cell>
          <cell r="F791">
            <v>2640</v>
          </cell>
          <cell r="G791">
            <v>65.47</v>
          </cell>
          <cell r="H791">
            <v>1.5</v>
          </cell>
          <cell r="I791" t="str">
            <v>M1</v>
          </cell>
          <cell r="J791" t="str">
            <v>IE3</v>
          </cell>
          <cell r="K791" t="str">
            <v>277/480</v>
          </cell>
          <cell r="L791">
            <v>60</v>
          </cell>
          <cell r="M791" t="str">
            <v>30,5/15,3</v>
          </cell>
          <cell r="N791">
            <v>55</v>
          </cell>
          <cell r="O791" t="str">
            <v>F</v>
          </cell>
          <cell r="P791" t="str">
            <v>270°</v>
          </cell>
          <cell r="Q791" t="str">
            <v>TF</v>
          </cell>
          <cell r="R791" t="str">
            <v>-</v>
          </cell>
          <cell r="S791" t="str">
            <v>-</v>
          </cell>
          <cell r="T791" t="str">
            <v>-</v>
          </cell>
          <cell r="U791" t="str">
            <v>-</v>
          </cell>
          <cell r="V791" t="str">
            <v>FC</v>
          </cell>
          <cell r="W791" t="str">
            <v>-</v>
          </cell>
          <cell r="X791" t="str">
            <v>CLP (CC) VG 220 = -15° + 40°</v>
          </cell>
          <cell r="Y791" t="str">
            <v>FA97/II2GDEDRN132M4/CIID2/TF</v>
          </cell>
          <cell r="Z791" t="str">
            <v>SEW</v>
          </cell>
          <cell r="AB791" t="str">
            <v>HazLoc CIID2</v>
          </cell>
          <cell r="AF791">
            <v>27</v>
          </cell>
          <cell r="AG791" t="str">
            <v>DRN132M4</v>
          </cell>
          <cell r="AH791" t="str">
            <v>FH97-DRN132M4270-X</v>
          </cell>
        </row>
        <row r="792">
          <cell r="A792" t="str">
            <v>MR000788</v>
          </cell>
          <cell r="B792" t="str">
            <v>MR</v>
          </cell>
          <cell r="C792">
            <v>15</v>
          </cell>
          <cell r="D792">
            <v>43.333333333333336</v>
          </cell>
          <cell r="E792" t="str">
            <v>FH97</v>
          </cell>
          <cell r="F792">
            <v>2730</v>
          </cell>
          <cell r="G792">
            <v>33.909999999999997</v>
          </cell>
          <cell r="H792">
            <v>1.55</v>
          </cell>
          <cell r="I792" t="str">
            <v>M1</v>
          </cell>
          <cell r="J792" t="str">
            <v>IE3</v>
          </cell>
          <cell r="K792" t="str">
            <v>277/480</v>
          </cell>
          <cell r="L792">
            <v>60</v>
          </cell>
          <cell r="M792" t="str">
            <v>58/29</v>
          </cell>
          <cell r="N792">
            <v>55</v>
          </cell>
          <cell r="O792" t="str">
            <v>F</v>
          </cell>
          <cell r="P792" t="str">
            <v>270°</v>
          </cell>
          <cell r="Q792" t="str">
            <v>-</v>
          </cell>
          <cell r="R792" t="str">
            <v>-</v>
          </cell>
          <cell r="S792" t="str">
            <v>-</v>
          </cell>
          <cell r="T792" t="str">
            <v>-</v>
          </cell>
          <cell r="U792" t="str">
            <v>-</v>
          </cell>
          <cell r="V792" t="str">
            <v>D+R</v>
          </cell>
          <cell r="W792" t="str">
            <v>-</v>
          </cell>
          <cell r="X792" t="str">
            <v>CLP (CC) VG 220 = -15° + 40°</v>
          </cell>
          <cell r="Y792" t="str">
            <v>FA97/II2GDEDRN160L4/CIID2</v>
          </cell>
          <cell r="Z792" t="str">
            <v>SEW</v>
          </cell>
          <cell r="AB792" t="str">
            <v>HazLoc CIID2</v>
          </cell>
          <cell r="AF792">
            <v>52</v>
          </cell>
          <cell r="AG792" t="str">
            <v>DRN160L4</v>
          </cell>
          <cell r="AH792" t="str">
            <v>FH97-DRN160L4270-X</v>
          </cell>
        </row>
        <row r="793">
          <cell r="A793" t="str">
            <v>MR000789</v>
          </cell>
          <cell r="B793" t="str">
            <v>MR</v>
          </cell>
          <cell r="C793">
            <v>15</v>
          </cell>
          <cell r="D793">
            <v>13.333333333333334</v>
          </cell>
          <cell r="E793" t="str">
            <v>KH127</v>
          </cell>
          <cell r="F793">
            <v>8880</v>
          </cell>
          <cell r="G793">
            <v>110.18</v>
          </cell>
          <cell r="H793">
            <v>1.45</v>
          </cell>
          <cell r="I793" t="str">
            <v>From M1A to M2A - 30°</v>
          </cell>
          <cell r="J793" t="str">
            <v>IE3</v>
          </cell>
          <cell r="K793" t="str">
            <v>277/480</v>
          </cell>
          <cell r="L793">
            <v>60</v>
          </cell>
          <cell r="M793" t="str">
            <v>58/29</v>
          </cell>
          <cell r="N793">
            <v>55</v>
          </cell>
          <cell r="O793" t="str">
            <v>F</v>
          </cell>
          <cell r="P793" t="str">
            <v>270°</v>
          </cell>
          <cell r="Q793" t="str">
            <v>TF</v>
          </cell>
          <cell r="R793" t="str">
            <v>-</v>
          </cell>
          <cell r="S793" t="str">
            <v>-</v>
          </cell>
          <cell r="T793" t="str">
            <v>-</v>
          </cell>
          <cell r="U793" t="str">
            <v>-</v>
          </cell>
          <cell r="V793" t="str">
            <v>FC</v>
          </cell>
          <cell r="W793" t="str">
            <v>-</v>
          </cell>
          <cell r="X793" t="str">
            <v>CLP (CC) VG 220 = -15° + 40°</v>
          </cell>
          <cell r="Y793" t="str">
            <v>KH127/II2GDEDRN160L4/CIID2/TF</v>
          </cell>
          <cell r="Z793" t="str">
            <v>SEW</v>
          </cell>
          <cell r="AB793" t="str">
            <v>HazLoc CIID2</v>
          </cell>
          <cell r="AF793">
            <v>16</v>
          </cell>
          <cell r="AG793" t="str">
            <v>DRN160L4</v>
          </cell>
          <cell r="AH793" t="str">
            <v>KH127-DRN160L4A270-X</v>
          </cell>
        </row>
        <row r="794">
          <cell r="A794" t="str">
            <v>MR000790</v>
          </cell>
          <cell r="B794" t="str">
            <v>MR</v>
          </cell>
          <cell r="C794">
            <v>15</v>
          </cell>
          <cell r="D794">
            <v>13.333333333333334</v>
          </cell>
          <cell r="E794" t="str">
            <v>KH127</v>
          </cell>
          <cell r="F794">
            <v>8880</v>
          </cell>
          <cell r="G794">
            <v>110.18</v>
          </cell>
          <cell r="H794">
            <v>1.45</v>
          </cell>
          <cell r="I794" t="str">
            <v>From M1B to M2B - 30°</v>
          </cell>
          <cell r="J794" t="str">
            <v>IE3</v>
          </cell>
          <cell r="K794" t="str">
            <v>277/480</v>
          </cell>
          <cell r="L794">
            <v>60</v>
          </cell>
          <cell r="M794" t="str">
            <v>58/29</v>
          </cell>
          <cell r="N794">
            <v>55</v>
          </cell>
          <cell r="O794" t="str">
            <v>F</v>
          </cell>
          <cell r="P794" t="str">
            <v>270°</v>
          </cell>
          <cell r="Q794" t="str">
            <v>TF</v>
          </cell>
          <cell r="R794" t="str">
            <v>-</v>
          </cell>
          <cell r="S794" t="str">
            <v>-</v>
          </cell>
          <cell r="T794" t="str">
            <v>-</v>
          </cell>
          <cell r="U794" t="str">
            <v>-</v>
          </cell>
          <cell r="V794" t="str">
            <v>FC</v>
          </cell>
          <cell r="W794" t="str">
            <v>-</v>
          </cell>
          <cell r="X794" t="str">
            <v>CLP (CC) VG 220 = -15° + 40°</v>
          </cell>
          <cell r="Y794" t="str">
            <v>KH127/II2GDEDRN160L4/CIID2/TF</v>
          </cell>
          <cell r="Z794" t="str">
            <v>SEW</v>
          </cell>
          <cell r="AB794" t="str">
            <v>HazLoc CIID2</v>
          </cell>
          <cell r="AF794">
            <v>16</v>
          </cell>
          <cell r="AG794" t="str">
            <v>DRN160L4</v>
          </cell>
          <cell r="AH794" t="str">
            <v>KH127-DRN160L4B270-X</v>
          </cell>
        </row>
        <row r="795">
          <cell r="A795" t="str">
            <v>MR000791</v>
          </cell>
          <cell r="B795" t="str">
            <v>MR</v>
          </cell>
          <cell r="C795">
            <v>15</v>
          </cell>
          <cell r="D795">
            <v>38.333333333333336</v>
          </cell>
          <cell r="E795" t="str">
            <v>FH97</v>
          </cell>
          <cell r="F795">
            <v>3130</v>
          </cell>
          <cell r="G795">
            <v>38.86</v>
          </cell>
          <cell r="H795">
            <v>1.1000000000000001</v>
          </cell>
          <cell r="I795" t="str">
            <v>M1</v>
          </cell>
          <cell r="J795" t="str">
            <v>IE3</v>
          </cell>
          <cell r="K795" t="str">
            <v>277/480</v>
          </cell>
          <cell r="L795">
            <v>60</v>
          </cell>
          <cell r="M795" t="str">
            <v>58/29</v>
          </cell>
          <cell r="N795">
            <v>55</v>
          </cell>
          <cell r="O795" t="str">
            <v>F</v>
          </cell>
          <cell r="P795" t="str">
            <v>270°</v>
          </cell>
          <cell r="Q795" t="str">
            <v>-</v>
          </cell>
          <cell r="R795" t="str">
            <v>-</v>
          </cell>
          <cell r="S795" t="str">
            <v>-</v>
          </cell>
          <cell r="T795" t="str">
            <v>-</v>
          </cell>
          <cell r="U795" t="str">
            <v>-</v>
          </cell>
          <cell r="V795" t="str">
            <v>D</v>
          </cell>
          <cell r="W795" t="str">
            <v>-</v>
          </cell>
          <cell r="X795" t="str">
            <v>CLP (CC) VG 220 = -15° + 40°</v>
          </cell>
          <cell r="Y795" t="str">
            <v>FA97/II2GDEDRN160L4/CIID2</v>
          </cell>
          <cell r="Z795" t="str">
            <v>SEW</v>
          </cell>
          <cell r="AB795" t="str">
            <v>HazLoc CIID2</v>
          </cell>
          <cell r="AF795">
            <v>46</v>
          </cell>
          <cell r="AG795" t="str">
            <v>DRN160L4</v>
          </cell>
          <cell r="AH795" t="str">
            <v>FH97-DRN160L4270-X</v>
          </cell>
        </row>
        <row r="796">
          <cell r="A796" t="str">
            <v>MR000792</v>
          </cell>
          <cell r="B796" t="str">
            <v>MR</v>
          </cell>
          <cell r="C796">
            <v>5.5</v>
          </cell>
          <cell r="D796">
            <v>52.5</v>
          </cell>
          <cell r="E796" t="str">
            <v>FH87</v>
          </cell>
          <cell r="F796">
            <v>820</v>
          </cell>
          <cell r="G796">
            <v>27.88</v>
          </cell>
          <cell r="H796">
            <v>1.3</v>
          </cell>
          <cell r="I796" t="str">
            <v>M1</v>
          </cell>
          <cell r="J796" t="str">
            <v>IE3</v>
          </cell>
          <cell r="K796" t="str">
            <v>277/480</v>
          </cell>
          <cell r="L796">
            <v>60</v>
          </cell>
          <cell r="M796" t="str">
            <v>21/10,6</v>
          </cell>
          <cell r="N796">
            <v>55</v>
          </cell>
          <cell r="O796" t="str">
            <v>F</v>
          </cell>
          <cell r="P796" t="str">
            <v>270°</v>
          </cell>
          <cell r="Q796" t="str">
            <v>-</v>
          </cell>
          <cell r="R796" t="str">
            <v>-</v>
          </cell>
          <cell r="S796" t="str">
            <v>-</v>
          </cell>
          <cell r="T796" t="str">
            <v>-</v>
          </cell>
          <cell r="U796" t="str">
            <v>-</v>
          </cell>
          <cell r="V796" t="str">
            <v>D</v>
          </cell>
          <cell r="W796" t="str">
            <v>-</v>
          </cell>
          <cell r="X796" t="str">
            <v>CLP (CC) VG 220 = -15° + 40°</v>
          </cell>
          <cell r="Y796" t="str">
            <v>R87/II2GDEDRN132S4/CIID2</v>
          </cell>
          <cell r="Z796" t="str">
            <v>SEW</v>
          </cell>
          <cell r="AB796" t="str">
            <v>HazLoc CIID2</v>
          </cell>
          <cell r="AF796">
            <v>63</v>
          </cell>
          <cell r="AG796" t="str">
            <v>DRN132S4</v>
          </cell>
          <cell r="AH796" t="str">
            <v>FH87-DRN132S4270-X</v>
          </cell>
        </row>
        <row r="797">
          <cell r="A797" t="str">
            <v>MR000793</v>
          </cell>
          <cell r="B797" t="str">
            <v>MR</v>
          </cell>
          <cell r="C797">
            <v>15</v>
          </cell>
          <cell r="D797">
            <v>25.833333333333336</v>
          </cell>
          <cell r="E797" t="str">
            <v>FH107</v>
          </cell>
          <cell r="F797">
            <v>4680</v>
          </cell>
          <cell r="G797">
            <v>58.12</v>
          </cell>
          <cell r="H797">
            <v>1.65</v>
          </cell>
          <cell r="I797" t="str">
            <v>M1</v>
          </cell>
          <cell r="J797" t="str">
            <v>IE3</v>
          </cell>
          <cell r="K797" t="str">
            <v>277/480</v>
          </cell>
          <cell r="L797">
            <v>60</v>
          </cell>
          <cell r="M797" t="str">
            <v>58/29</v>
          </cell>
          <cell r="N797">
            <v>55</v>
          </cell>
          <cell r="O797" t="str">
            <v>F</v>
          </cell>
          <cell r="P797" t="str">
            <v>270°</v>
          </cell>
          <cell r="Q797" t="str">
            <v>TF</v>
          </cell>
          <cell r="R797" t="str">
            <v>-</v>
          </cell>
          <cell r="S797" t="str">
            <v>-</v>
          </cell>
          <cell r="T797" t="str">
            <v>-</v>
          </cell>
          <cell r="U797" t="str">
            <v>-</v>
          </cell>
          <cell r="V797" t="str">
            <v>FC</v>
          </cell>
          <cell r="W797" t="str">
            <v>-</v>
          </cell>
          <cell r="X797" t="str">
            <v>CLP (CC) VG 220 = -15° + 40°</v>
          </cell>
          <cell r="Y797" t="str">
            <v>FA107/II2GDEDRN160L4/CIID2/TF</v>
          </cell>
          <cell r="Z797" t="str">
            <v>SEW</v>
          </cell>
          <cell r="AB797" t="str">
            <v>HazLoc CIID2</v>
          </cell>
          <cell r="AF797">
            <v>31.000000000000004</v>
          </cell>
          <cell r="AG797" t="str">
            <v>DRN160L4</v>
          </cell>
          <cell r="AH797" t="str">
            <v>FH107-DRN160L4270-X</v>
          </cell>
        </row>
        <row r="798">
          <cell r="A798" t="str">
            <v>MR000794</v>
          </cell>
          <cell r="B798" t="str">
            <v>MR</v>
          </cell>
          <cell r="C798">
            <v>7.5</v>
          </cell>
          <cell r="D798">
            <v>62.5</v>
          </cell>
          <cell r="E798" t="str">
            <v>FH87</v>
          </cell>
          <cell r="F798">
            <v>950</v>
          </cell>
          <cell r="G798">
            <v>23.68</v>
          </cell>
          <cell r="H798">
            <v>2.6</v>
          </cell>
          <cell r="I798" t="str">
            <v>From M1 to M2 - 15°</v>
          </cell>
          <cell r="J798" t="str">
            <v>IE3</v>
          </cell>
          <cell r="K798" t="str">
            <v>277/480</v>
          </cell>
          <cell r="L798">
            <v>60</v>
          </cell>
          <cell r="M798" t="str">
            <v>30,5/15,3</v>
          </cell>
          <cell r="N798">
            <v>55</v>
          </cell>
          <cell r="O798" t="str">
            <v>F</v>
          </cell>
          <cell r="P798" t="str">
            <v>270°</v>
          </cell>
          <cell r="Q798" t="str">
            <v>-</v>
          </cell>
          <cell r="R798" t="str">
            <v>-</v>
          </cell>
          <cell r="S798" t="str">
            <v>-</v>
          </cell>
          <cell r="T798" t="str">
            <v>-</v>
          </cell>
          <cell r="U798" t="str">
            <v>-</v>
          </cell>
          <cell r="V798" t="str">
            <v>D</v>
          </cell>
          <cell r="W798" t="str">
            <v>-</v>
          </cell>
          <cell r="X798" t="str">
            <v>CLP (CC) VG 220 = -15° + 40°</v>
          </cell>
          <cell r="Y798" t="str">
            <v>FA87/II2GDEDRN132M4/CIID2</v>
          </cell>
          <cell r="Z798" t="str">
            <v>SEW</v>
          </cell>
          <cell r="AB798" t="str">
            <v>HazLoc CIID2</v>
          </cell>
          <cell r="AF798">
            <v>75</v>
          </cell>
          <cell r="AG798" t="str">
            <v>DRN132M4</v>
          </cell>
          <cell r="AH798" t="str">
            <v>FH87-DRN132M4270-X</v>
          </cell>
        </row>
        <row r="799">
          <cell r="A799" t="str">
            <v>MR000795</v>
          </cell>
          <cell r="B799" t="str">
            <v>MR</v>
          </cell>
          <cell r="C799">
            <v>30</v>
          </cell>
          <cell r="D799">
            <v>85.833333333333343</v>
          </cell>
          <cell r="E799" t="str">
            <v>FH97</v>
          </cell>
          <cell r="F799">
            <v>2770</v>
          </cell>
          <cell r="G799">
            <v>17.25</v>
          </cell>
          <cell r="H799">
            <v>1.45</v>
          </cell>
          <cell r="I799" t="str">
            <v>M4</v>
          </cell>
          <cell r="J799" t="str">
            <v>IE3</v>
          </cell>
          <cell r="K799" t="str">
            <v>277/480</v>
          </cell>
          <cell r="L799">
            <v>60</v>
          </cell>
          <cell r="M799" t="str">
            <v>112/56</v>
          </cell>
          <cell r="N799">
            <v>55</v>
          </cell>
          <cell r="O799" t="str">
            <v>F</v>
          </cell>
          <cell r="P799" t="str">
            <v>270°</v>
          </cell>
          <cell r="Q799" t="str">
            <v>-</v>
          </cell>
          <cell r="R799" t="str">
            <v>-</v>
          </cell>
          <cell r="S799" t="str">
            <v>-</v>
          </cell>
          <cell r="T799" t="str">
            <v>-</v>
          </cell>
          <cell r="U799" t="str">
            <v>-</v>
          </cell>
          <cell r="V799" t="str">
            <v>D</v>
          </cell>
          <cell r="W799" t="str">
            <v>-</v>
          </cell>
          <cell r="X799" t="str">
            <v>CLP (CC) VG 220 = -15° + 40°</v>
          </cell>
          <cell r="Y799" t="str">
            <v>FA97/II2GDEDRN200L4/CIID2</v>
          </cell>
          <cell r="Z799" t="str">
            <v>SEW</v>
          </cell>
          <cell r="AB799" t="str">
            <v>HazLoc CIID2</v>
          </cell>
          <cell r="AF799">
            <v>103.00000000000001</v>
          </cell>
          <cell r="AG799" t="str">
            <v>DRN200L4</v>
          </cell>
          <cell r="AH799" t="str">
            <v>FH97-DRN200L4270-X</v>
          </cell>
        </row>
        <row r="800">
          <cell r="A800" t="str">
            <v>MR000796</v>
          </cell>
          <cell r="B800" t="str">
            <v>MR</v>
          </cell>
          <cell r="C800">
            <v>22</v>
          </cell>
          <cell r="D800">
            <v>53</v>
          </cell>
          <cell r="E800" t="str">
            <v>KH97</v>
          </cell>
          <cell r="F800">
            <v>3290</v>
          </cell>
          <cell r="G800">
            <v>27.91</v>
          </cell>
          <cell r="H800">
            <v>1.3</v>
          </cell>
          <cell r="I800" t="str">
            <v>From M3B to M4B - 20°</v>
          </cell>
          <cell r="J800" t="str">
            <v>IE3</v>
          </cell>
          <cell r="K800">
            <v>440</v>
          </cell>
          <cell r="L800">
            <v>60</v>
          </cell>
          <cell r="M800">
            <v>35.5</v>
          </cell>
          <cell r="N800">
            <v>55</v>
          </cell>
          <cell r="O800" t="str">
            <v>F(105°C)</v>
          </cell>
          <cell r="P800" t="str">
            <v>90°</v>
          </cell>
          <cell r="Q800" t="str">
            <v>TF</v>
          </cell>
          <cell r="R800" t="str">
            <v>V(VE)</v>
          </cell>
          <cell r="S800" t="str">
            <v>Free rotation CW</v>
          </cell>
          <cell r="T800" t="str">
            <v>-</v>
          </cell>
          <cell r="U800" t="str">
            <v>T</v>
          </cell>
          <cell r="V800" t="str">
            <v>FC</v>
          </cell>
          <cell r="W800" t="str">
            <v>-</v>
          </cell>
          <cell r="X800" t="str">
            <v>CLP (CC) VG 220 = -15° + 40°</v>
          </cell>
          <cell r="Y800" t="str">
            <v>KH97/T DRN180L4 /RS /TF/V</v>
          </cell>
          <cell r="Z800" t="str">
            <v>SEW</v>
          </cell>
          <cell r="AB800" t="str">
            <v>-</v>
          </cell>
          <cell r="AF800">
            <v>63.6</v>
          </cell>
          <cell r="AG800" t="str">
            <v>DRN180L4</v>
          </cell>
          <cell r="AH800" t="str">
            <v>KH97T-DRN180L4B90-X#</v>
          </cell>
        </row>
        <row r="801">
          <cell r="A801" t="str">
            <v>MR000797</v>
          </cell>
          <cell r="B801" t="str">
            <v>MR</v>
          </cell>
          <cell r="C801">
            <v>0.75</v>
          </cell>
          <cell r="D801">
            <v>137</v>
          </cell>
          <cell r="E801" t="str">
            <v>KA37</v>
          </cell>
          <cell r="F801">
            <v>52</v>
          </cell>
          <cell r="G801">
            <v>10.49</v>
          </cell>
          <cell r="H801">
            <v>3.1</v>
          </cell>
          <cell r="I801" t="str">
            <v>From M3B to M4B - 20°</v>
          </cell>
          <cell r="J801" t="str">
            <v>IE3</v>
          </cell>
          <cell r="K801">
            <v>440</v>
          </cell>
          <cell r="L801">
            <v>60</v>
          </cell>
          <cell r="M801">
            <v>1.63</v>
          </cell>
          <cell r="N801">
            <v>55</v>
          </cell>
          <cell r="O801" t="str">
            <v>F(105°C)</v>
          </cell>
          <cell r="P801" t="str">
            <v>90°</v>
          </cell>
          <cell r="Q801" t="str">
            <v>-</v>
          </cell>
          <cell r="R801" t="str">
            <v>-</v>
          </cell>
          <cell r="S801" t="str">
            <v>-</v>
          </cell>
          <cell r="T801" t="str">
            <v>-</v>
          </cell>
          <cell r="U801" t="str">
            <v>T</v>
          </cell>
          <cell r="V801" t="str">
            <v>D</v>
          </cell>
          <cell r="W801" t="str">
            <v>-</v>
          </cell>
          <cell r="X801" t="str">
            <v>CLP (CC) VG 220 = -15° + 40°</v>
          </cell>
          <cell r="Y801" t="str">
            <v>KA37/T DRN80M4</v>
          </cell>
          <cell r="Z801" t="str">
            <v>SEW</v>
          </cell>
          <cell r="AB801" t="str">
            <v>-</v>
          </cell>
          <cell r="AF801">
            <v>164.4</v>
          </cell>
          <cell r="AG801" t="str">
            <v>DRN80M4</v>
          </cell>
          <cell r="AH801" t="str">
            <v>KA37T-DRN80M4B90-X</v>
          </cell>
        </row>
        <row r="802">
          <cell r="A802" t="str">
            <v>MR000798</v>
          </cell>
          <cell r="B802" t="str">
            <v>MR</v>
          </cell>
          <cell r="C802">
            <v>0.25</v>
          </cell>
          <cell r="D802">
            <v>1.4</v>
          </cell>
          <cell r="E802" t="str">
            <v>KA77R37</v>
          </cell>
          <cell r="F802">
            <v>1520</v>
          </cell>
          <cell r="G802">
            <v>924</v>
          </cell>
          <cell r="H802">
            <v>1</v>
          </cell>
          <cell r="I802" t="str">
            <v>M3B</v>
          </cell>
          <cell r="J802" t="str">
            <v>IE3</v>
          </cell>
          <cell r="K802">
            <v>440</v>
          </cell>
          <cell r="L802">
            <v>60</v>
          </cell>
          <cell r="M802">
            <v>0.65454545454545454</v>
          </cell>
          <cell r="N802">
            <v>55</v>
          </cell>
          <cell r="O802" t="str">
            <v>F(105°C)</v>
          </cell>
          <cell r="P802" t="str">
            <v>0°</v>
          </cell>
          <cell r="Q802" t="str">
            <v>TF</v>
          </cell>
          <cell r="R802" t="str">
            <v>-</v>
          </cell>
          <cell r="S802" t="str">
            <v>-</v>
          </cell>
          <cell r="T802" t="str">
            <v>BE</v>
          </cell>
          <cell r="U802" t="str">
            <v>T</v>
          </cell>
          <cell r="V802" t="str">
            <v>D+R</v>
          </cell>
          <cell r="W802" t="str">
            <v>-</v>
          </cell>
          <cell r="X802" t="str">
            <v>CLP (CC) VG 220 = -15° + 40°</v>
          </cell>
          <cell r="Y802" t="str">
            <v>KA77R37/T DRN71MS4 /BE /TF</v>
          </cell>
          <cell r="Z802" t="str">
            <v>SEW</v>
          </cell>
          <cell r="AB802" t="str">
            <v>-</v>
          </cell>
          <cell r="AF802">
            <v>1.68</v>
          </cell>
          <cell r="AG802" t="str">
            <v>DRN71MS4</v>
          </cell>
          <cell r="AH802" t="str">
            <v>KA77R37T-DRN71MS4B0-X</v>
          </cell>
        </row>
        <row r="803">
          <cell r="A803" t="str">
            <v>MR000799</v>
          </cell>
          <cell r="B803" t="str">
            <v>MR</v>
          </cell>
          <cell r="C803">
            <v>9.1999999999999993</v>
          </cell>
          <cell r="D803">
            <v>13</v>
          </cell>
          <cell r="E803" t="str">
            <v>KH107</v>
          </cell>
          <cell r="F803">
            <v>6710</v>
          </cell>
          <cell r="G803">
            <v>112.41</v>
          </cell>
          <cell r="H803">
            <v>1.2</v>
          </cell>
          <cell r="I803" t="str">
            <v>From M4B to M1B - 45°</v>
          </cell>
          <cell r="J803" t="str">
            <v>IE3</v>
          </cell>
          <cell r="K803">
            <v>440</v>
          </cell>
          <cell r="L803">
            <v>60</v>
          </cell>
          <cell r="M803">
            <v>17.2</v>
          </cell>
          <cell r="N803">
            <v>55</v>
          </cell>
          <cell r="O803" t="str">
            <v>F(105°C)</v>
          </cell>
          <cell r="P803" t="str">
            <v>270°</v>
          </cell>
          <cell r="Q803" t="str">
            <v>TF</v>
          </cell>
          <cell r="R803" t="str">
            <v>V(VE)</v>
          </cell>
          <cell r="S803" t="str">
            <v>-</v>
          </cell>
          <cell r="T803" t="str">
            <v>-</v>
          </cell>
          <cell r="U803" t="str">
            <v>-</v>
          </cell>
          <cell r="V803" t="str">
            <v>FC</v>
          </cell>
          <cell r="W803" t="str">
            <v>-</v>
          </cell>
          <cell r="X803" t="str">
            <v>CLP (CC) VG 220 = -15° + 40°</v>
          </cell>
          <cell r="Y803" t="str">
            <v>KH107DRN132L4 /TF/V</v>
          </cell>
          <cell r="Z803" t="str">
            <v>SEW</v>
          </cell>
          <cell r="AB803" t="str">
            <v>-</v>
          </cell>
          <cell r="AF803">
            <v>15.6</v>
          </cell>
          <cell r="AG803" t="str">
            <v>DRN132L4</v>
          </cell>
          <cell r="AH803" t="str">
            <v>KH107-DRN132L4B270-X#</v>
          </cell>
        </row>
        <row r="804">
          <cell r="A804" t="str">
            <v>MR000800</v>
          </cell>
          <cell r="B804" t="str">
            <v>MR</v>
          </cell>
          <cell r="C804">
            <v>7.5</v>
          </cell>
          <cell r="D804">
            <v>53</v>
          </cell>
          <cell r="E804" t="str">
            <v>R87</v>
          </cell>
          <cell r="F804">
            <v>1360</v>
          </cell>
          <cell r="G804">
            <v>27.88</v>
          </cell>
          <cell r="H804">
            <v>1.1000000000000001</v>
          </cell>
          <cell r="I804" t="str">
            <v>M1</v>
          </cell>
          <cell r="J804" t="str">
            <v>IE3</v>
          </cell>
          <cell r="K804">
            <v>440</v>
          </cell>
          <cell r="L804">
            <v>60</v>
          </cell>
          <cell r="M804">
            <v>13.9</v>
          </cell>
          <cell r="N804">
            <v>55</v>
          </cell>
          <cell r="O804" t="str">
            <v>F(105°C)</v>
          </cell>
          <cell r="P804" t="str">
            <v>270°</v>
          </cell>
          <cell r="Q804" t="str">
            <v>-</v>
          </cell>
          <cell r="R804" t="str">
            <v>-</v>
          </cell>
          <cell r="S804" t="str">
            <v>-</v>
          </cell>
          <cell r="T804" t="str">
            <v>-</v>
          </cell>
          <cell r="U804" t="str">
            <v>-</v>
          </cell>
          <cell r="V804" t="str">
            <v>D</v>
          </cell>
          <cell r="W804" t="str">
            <v>-</v>
          </cell>
          <cell r="X804" t="str">
            <v>CLP (CC) VG 220 = -15° + 40°</v>
          </cell>
          <cell r="Y804" t="str">
            <v>R87DRN132M4</v>
          </cell>
          <cell r="Z804" t="str">
            <v>SEW</v>
          </cell>
          <cell r="AB804" t="str">
            <v>-</v>
          </cell>
          <cell r="AF804">
            <v>63.6</v>
          </cell>
          <cell r="AG804" t="str">
            <v>DRN132M4</v>
          </cell>
          <cell r="AH804" t="str">
            <v>R87-DRN132M4270-X</v>
          </cell>
        </row>
        <row r="805">
          <cell r="A805" t="str">
            <v>MR000801</v>
          </cell>
          <cell r="B805" t="str">
            <v>MR</v>
          </cell>
          <cell r="C805">
            <v>15</v>
          </cell>
          <cell r="D805">
            <v>41</v>
          </cell>
          <cell r="E805" t="str">
            <v>R107</v>
          </cell>
          <cell r="G805">
            <v>35.36</v>
          </cell>
          <cell r="I805" t="str">
            <v>M1</v>
          </cell>
          <cell r="J805" t="str">
            <v>-</v>
          </cell>
          <cell r="L805">
            <v>50</v>
          </cell>
          <cell r="N805">
            <v>55</v>
          </cell>
          <cell r="O805" t="str">
            <v>F(105°C)</v>
          </cell>
          <cell r="P805" t="str">
            <v>-</v>
          </cell>
          <cell r="Q805" t="str">
            <v>-</v>
          </cell>
          <cell r="R805" t="str">
            <v>-</v>
          </cell>
          <cell r="S805" t="str">
            <v>-</v>
          </cell>
          <cell r="T805" t="str">
            <v>-</v>
          </cell>
          <cell r="U805" t="str">
            <v>-</v>
          </cell>
          <cell r="V805" t="str">
            <v>-</v>
          </cell>
          <cell r="W805" t="str">
            <v>-</v>
          </cell>
          <cell r="X805" t="str">
            <v>CLP (CC) VG 220 = -15° + 40°</v>
          </cell>
          <cell r="Y805" t="str">
            <v>SEWR107R035.26A4AF5XXXXX</v>
          </cell>
          <cell r="Z805" t="str">
            <v>SEW</v>
          </cell>
          <cell r="AB805" t="str">
            <v>-</v>
          </cell>
          <cell r="AE805" t="str">
            <v>Motore a magazzino</v>
          </cell>
          <cell r="AF805">
            <v>41</v>
          </cell>
          <cell r="AG805" t="str">
            <v>DRN160L4</v>
          </cell>
          <cell r="AH805" t="str">
            <v>R107-DRN160L4--X</v>
          </cell>
        </row>
        <row r="806">
          <cell r="A806" t="str">
            <v>MR000802</v>
          </cell>
          <cell r="B806" t="str">
            <v>MR</v>
          </cell>
          <cell r="C806">
            <v>1.1000000000000001</v>
          </cell>
          <cell r="D806">
            <v>25</v>
          </cell>
          <cell r="E806" t="str">
            <v>R77</v>
          </cell>
          <cell r="F806">
            <v>415</v>
          </cell>
          <cell r="G806">
            <v>57.68</v>
          </cell>
          <cell r="H806">
            <v>1.95</v>
          </cell>
          <cell r="I806" t="str">
            <v>M6</v>
          </cell>
          <cell r="J806" t="str">
            <v>IE3</v>
          </cell>
          <cell r="K806" t="str">
            <v>230/400</v>
          </cell>
          <cell r="L806">
            <v>50</v>
          </cell>
          <cell r="N806">
            <v>54</v>
          </cell>
          <cell r="O806" t="str">
            <v>F(105°C)</v>
          </cell>
          <cell r="P806" t="str">
            <v>0°</v>
          </cell>
          <cell r="Q806" t="str">
            <v>-</v>
          </cell>
          <cell r="R806" t="str">
            <v>-</v>
          </cell>
          <cell r="S806" t="str">
            <v>-</v>
          </cell>
          <cell r="T806" t="str">
            <v>BE2</v>
          </cell>
          <cell r="U806" t="str">
            <v>-</v>
          </cell>
          <cell r="V806" t="str">
            <v>-</v>
          </cell>
          <cell r="W806" t="str">
            <v>-</v>
          </cell>
          <cell r="X806" t="str">
            <v>CLP (CC) VG 220 = -15° + 40°</v>
          </cell>
          <cell r="Y806" t="str">
            <v>R77 DRN90S4/BE2/Z</v>
          </cell>
          <cell r="Z806" t="str">
            <v>SEW</v>
          </cell>
          <cell r="AB806" t="str">
            <v>-</v>
          </cell>
          <cell r="AF806">
            <v>25</v>
          </cell>
          <cell r="AG806" t="str">
            <v>DRN90S4</v>
          </cell>
          <cell r="AH806" t="str">
            <v>R77-DRN90S40-X</v>
          </cell>
        </row>
        <row r="807">
          <cell r="A807" t="str">
            <v>MR000803</v>
          </cell>
          <cell r="B807" t="str">
            <v>ME</v>
          </cell>
          <cell r="C807">
            <v>15</v>
          </cell>
          <cell r="D807">
            <v>1474</v>
          </cell>
          <cell r="E807" t="str">
            <v>-</v>
          </cell>
          <cell r="I807" t="str">
            <v>M1</v>
          </cell>
          <cell r="J807" t="str">
            <v>IE3</v>
          </cell>
          <cell r="K807" t="str">
            <v>400/690</v>
          </cell>
          <cell r="L807">
            <v>50</v>
          </cell>
          <cell r="N807">
            <v>65</v>
          </cell>
          <cell r="O807" t="str">
            <v>F(105°C)</v>
          </cell>
          <cell r="P807" t="str">
            <v>-</v>
          </cell>
          <cell r="Q807" t="str">
            <v>-</v>
          </cell>
          <cell r="R807" t="str">
            <v>-</v>
          </cell>
          <cell r="S807" t="str">
            <v>-</v>
          </cell>
          <cell r="T807" t="str">
            <v>-</v>
          </cell>
          <cell r="U807" t="str">
            <v>-</v>
          </cell>
          <cell r="V807" t="str">
            <v>-</v>
          </cell>
          <cell r="W807" t="str">
            <v>-</v>
          </cell>
          <cell r="X807" t="str">
            <v xml:space="preserve"> -</v>
          </cell>
          <cell r="Y807" t="str">
            <v>DRN160L4/FG</v>
          </cell>
          <cell r="Z807" t="str">
            <v>SEW</v>
          </cell>
          <cell r="AB807" t="str">
            <v>-</v>
          </cell>
          <cell r="AF807">
            <v>1474</v>
          </cell>
          <cell r="AG807" t="str">
            <v>DRN160L4</v>
          </cell>
          <cell r="AH807" t="str">
            <v>--DRN160L4--X</v>
          </cell>
        </row>
        <row r="808">
          <cell r="A808" t="str">
            <v>MR000804</v>
          </cell>
          <cell r="B808" t="str">
            <v>MR</v>
          </cell>
          <cell r="C808">
            <v>22</v>
          </cell>
          <cell r="D808">
            <v>20</v>
          </cell>
          <cell r="E808" t="str">
            <v>R147</v>
          </cell>
          <cell r="F808">
            <v>10200</v>
          </cell>
          <cell r="G808">
            <v>72.09</v>
          </cell>
          <cell r="H808">
            <v>1.25</v>
          </cell>
          <cell r="I808" t="str">
            <v>From M1 to M2 - 20°</v>
          </cell>
          <cell r="J808" t="str">
            <v>IE3</v>
          </cell>
          <cell r="K808">
            <v>440</v>
          </cell>
          <cell r="L808">
            <v>60</v>
          </cell>
          <cell r="M808">
            <v>35</v>
          </cell>
          <cell r="N808">
            <v>55</v>
          </cell>
          <cell r="O808" t="str">
            <v>F(105°C)</v>
          </cell>
          <cell r="P808" t="str">
            <v>270°</v>
          </cell>
          <cell r="Q808" t="str">
            <v>TF</v>
          </cell>
          <cell r="R808" t="str">
            <v>V(VE)</v>
          </cell>
          <cell r="S808" t="str">
            <v>-</v>
          </cell>
          <cell r="T808" t="str">
            <v>-</v>
          </cell>
          <cell r="U808" t="str">
            <v>-</v>
          </cell>
          <cell r="V808" t="str">
            <v>FC</v>
          </cell>
          <cell r="W808" t="str">
            <v>-</v>
          </cell>
          <cell r="X808" t="str">
            <v>CLP (CC) VG 220 = -15° + 40°</v>
          </cell>
          <cell r="Y808" t="str">
            <v>R147DRN180L4 /TF/V</v>
          </cell>
          <cell r="Z808" t="str">
            <v>SEW</v>
          </cell>
          <cell r="AB808" t="str">
            <v>-</v>
          </cell>
          <cell r="AF808">
            <v>24</v>
          </cell>
          <cell r="AG808" t="str">
            <v>DRN180L4</v>
          </cell>
          <cell r="AH808" t="str">
            <v>R147-DRN180L4270-X#</v>
          </cell>
        </row>
        <row r="809">
          <cell r="A809" t="str">
            <v>MR000805</v>
          </cell>
          <cell r="B809" t="str">
            <v>MR</v>
          </cell>
          <cell r="C809">
            <v>22</v>
          </cell>
          <cell r="D809">
            <v>66</v>
          </cell>
          <cell r="E809" t="str">
            <v>KH97</v>
          </cell>
          <cell r="F809">
            <v>3180</v>
          </cell>
          <cell r="G809">
            <v>22.37</v>
          </cell>
          <cell r="H809">
            <v>1.35</v>
          </cell>
          <cell r="I809" t="str">
            <v>M4B</v>
          </cell>
          <cell r="J809" t="str">
            <v>IE3</v>
          </cell>
          <cell r="K809">
            <v>440</v>
          </cell>
          <cell r="L809">
            <v>60</v>
          </cell>
          <cell r="M809">
            <v>35</v>
          </cell>
          <cell r="N809">
            <v>55</v>
          </cell>
          <cell r="O809" t="str">
            <v>F(105°C)</v>
          </cell>
          <cell r="P809" t="str">
            <v>270°</v>
          </cell>
          <cell r="Q809" t="str">
            <v>-</v>
          </cell>
          <cell r="R809" t="str">
            <v>-</v>
          </cell>
          <cell r="S809" t="str">
            <v>Free rotation CW</v>
          </cell>
          <cell r="T809" t="str">
            <v>-</v>
          </cell>
          <cell r="U809" t="str">
            <v>T</v>
          </cell>
          <cell r="V809" t="str">
            <v>SS</v>
          </cell>
          <cell r="W809" t="str">
            <v>-</v>
          </cell>
          <cell r="X809" t="str">
            <v>CLP (CC) VG 220 = -15° + 40°</v>
          </cell>
          <cell r="Y809" t="str">
            <v>KH97/T DRN180L4 /RS</v>
          </cell>
          <cell r="Z809" t="str">
            <v>SEW</v>
          </cell>
          <cell r="AB809" t="str">
            <v>-</v>
          </cell>
          <cell r="AF809">
            <v>79.2</v>
          </cell>
          <cell r="AG809" t="str">
            <v>DRN180L4</v>
          </cell>
          <cell r="AH809" t="str">
            <v>KH97T-DRN180L4B270-X</v>
          </cell>
        </row>
        <row r="810">
          <cell r="A810" t="str">
            <v>MR000806</v>
          </cell>
          <cell r="B810" t="str">
            <v>MR</v>
          </cell>
          <cell r="C810">
            <v>0.75</v>
          </cell>
          <cell r="D810">
            <v>137</v>
          </cell>
          <cell r="E810" t="str">
            <v>KA37</v>
          </cell>
          <cell r="F810">
            <v>52</v>
          </cell>
          <cell r="G810">
            <v>10.49</v>
          </cell>
          <cell r="H810">
            <v>3.1</v>
          </cell>
          <cell r="I810" t="str">
            <v>From M1B to M2B - 25°</v>
          </cell>
          <cell r="J810" t="str">
            <v>IE3</v>
          </cell>
          <cell r="K810">
            <v>440</v>
          </cell>
          <cell r="L810">
            <v>60</v>
          </cell>
          <cell r="M810">
            <v>1.5909090909090908</v>
          </cell>
          <cell r="N810">
            <v>55</v>
          </cell>
          <cell r="O810" t="str">
            <v>F(105°C)</v>
          </cell>
          <cell r="P810" t="str">
            <v>270°</v>
          </cell>
          <cell r="Q810" t="str">
            <v>-</v>
          </cell>
          <cell r="R810" t="str">
            <v>-</v>
          </cell>
          <cell r="S810" t="str">
            <v>-</v>
          </cell>
          <cell r="T810" t="str">
            <v>-</v>
          </cell>
          <cell r="U810" t="str">
            <v>T</v>
          </cell>
          <cell r="V810" t="str">
            <v>D</v>
          </cell>
          <cell r="W810" t="str">
            <v>-</v>
          </cell>
          <cell r="X810" t="str">
            <v>CLP (CC) VG 220 = -15° + 40°</v>
          </cell>
          <cell r="Y810" t="str">
            <v>KA37/T DRN80M4</v>
          </cell>
          <cell r="Z810" t="str">
            <v>SEW</v>
          </cell>
          <cell r="AB810" t="str">
            <v>-</v>
          </cell>
          <cell r="AF810">
            <v>164.4</v>
          </cell>
          <cell r="AG810" t="str">
            <v>DRN80M4</v>
          </cell>
          <cell r="AH810" t="str">
            <v>KA37T-DRN80M4B270-X</v>
          </cell>
        </row>
        <row r="811">
          <cell r="A811" t="str">
            <v>MR000807</v>
          </cell>
          <cell r="B811" t="str">
            <v>MR</v>
          </cell>
          <cell r="C811">
            <v>18.5</v>
          </cell>
          <cell r="D811">
            <v>30</v>
          </cell>
          <cell r="E811" t="str">
            <v>KH107</v>
          </cell>
          <cell r="F811">
            <v>5960</v>
          </cell>
          <cell r="G811">
            <v>49.9</v>
          </cell>
          <cell r="H811">
            <v>1.3</v>
          </cell>
          <cell r="I811" t="str">
            <v>M4B</v>
          </cell>
          <cell r="J811" t="str">
            <v>IE3</v>
          </cell>
          <cell r="K811">
            <v>440</v>
          </cell>
          <cell r="L811">
            <v>60</v>
          </cell>
          <cell r="M811">
            <v>30.454545454545457</v>
          </cell>
          <cell r="N811">
            <v>55</v>
          </cell>
          <cell r="O811" t="str">
            <v>F(105°C)</v>
          </cell>
          <cell r="P811" t="str">
            <v>270°</v>
          </cell>
          <cell r="Q811" t="str">
            <v>-</v>
          </cell>
          <cell r="R811" t="str">
            <v>-</v>
          </cell>
          <cell r="S811" t="str">
            <v>Free rotation CW</v>
          </cell>
          <cell r="T811" t="str">
            <v>-</v>
          </cell>
          <cell r="U811" t="str">
            <v>T</v>
          </cell>
          <cell r="V811" t="str">
            <v>SS</v>
          </cell>
          <cell r="W811" t="str">
            <v>-</v>
          </cell>
          <cell r="X811" t="str">
            <v>CLP (CC) VG 220 = -15° + 40°</v>
          </cell>
          <cell r="Y811" t="str">
            <v>KH107/T DRN180M4 /RS</v>
          </cell>
          <cell r="Z811" t="str">
            <v>SEW</v>
          </cell>
          <cell r="AB811" t="str">
            <v>-</v>
          </cell>
          <cell r="AF811">
            <v>36</v>
          </cell>
          <cell r="AG811" t="str">
            <v>DRN180M4</v>
          </cell>
          <cell r="AH811" t="str">
            <v>KH107T-DRN180M4B270-X</v>
          </cell>
        </row>
        <row r="812">
          <cell r="A812" t="str">
            <v>MR000808</v>
          </cell>
          <cell r="B812" t="str">
            <v>MR</v>
          </cell>
          <cell r="C812">
            <v>18.5</v>
          </cell>
          <cell r="D812">
            <v>30</v>
          </cell>
          <cell r="E812" t="str">
            <v>KH107</v>
          </cell>
          <cell r="F812">
            <v>5960</v>
          </cell>
          <cell r="G812">
            <v>49.9</v>
          </cell>
          <cell r="H812">
            <v>1.3</v>
          </cell>
          <cell r="I812" t="str">
            <v>M4B</v>
          </cell>
          <cell r="J812" t="str">
            <v>IE3</v>
          </cell>
          <cell r="K812">
            <v>440</v>
          </cell>
          <cell r="L812">
            <v>60</v>
          </cell>
          <cell r="M812">
            <v>30.454545454545457</v>
          </cell>
          <cell r="N812">
            <v>55</v>
          </cell>
          <cell r="O812" t="str">
            <v>F(105°C)</v>
          </cell>
          <cell r="P812" t="str">
            <v>270°</v>
          </cell>
          <cell r="Q812" t="str">
            <v>-</v>
          </cell>
          <cell r="R812" t="str">
            <v>-</v>
          </cell>
          <cell r="S812" t="str">
            <v>-</v>
          </cell>
          <cell r="T812" t="str">
            <v>-</v>
          </cell>
          <cell r="U812" t="str">
            <v>T</v>
          </cell>
          <cell r="V812" t="str">
            <v>SS</v>
          </cell>
          <cell r="W812" t="str">
            <v>-</v>
          </cell>
          <cell r="X812" t="str">
            <v>CLP (CC) VG 220 = -15° + 40°</v>
          </cell>
          <cell r="Y812" t="str">
            <v>KH107/T DRN180M4</v>
          </cell>
          <cell r="Z812" t="str">
            <v>SEW</v>
          </cell>
          <cell r="AB812" t="str">
            <v>-</v>
          </cell>
          <cell r="AF812">
            <v>36</v>
          </cell>
          <cell r="AG812" t="str">
            <v>DRN180M4</v>
          </cell>
          <cell r="AH812" t="str">
            <v>KH107T-DRN180M4B270-X</v>
          </cell>
        </row>
        <row r="813">
          <cell r="A813" t="str">
            <v>MR000809</v>
          </cell>
          <cell r="B813" t="str">
            <v>MR</v>
          </cell>
          <cell r="C813">
            <v>0.75</v>
          </cell>
          <cell r="D813">
            <v>137</v>
          </cell>
          <cell r="E813" t="str">
            <v>KA37</v>
          </cell>
          <cell r="F813">
            <v>52</v>
          </cell>
          <cell r="G813">
            <v>10.49</v>
          </cell>
          <cell r="H813">
            <v>3.1</v>
          </cell>
          <cell r="I813" t="str">
            <v>M1A</v>
          </cell>
          <cell r="J813" t="str">
            <v>IE3</v>
          </cell>
          <cell r="K813">
            <v>440</v>
          </cell>
          <cell r="L813">
            <v>60</v>
          </cell>
          <cell r="M813">
            <v>1.5909090909090908</v>
          </cell>
          <cell r="N813">
            <v>55</v>
          </cell>
          <cell r="O813" t="str">
            <v>F(105°C)</v>
          </cell>
          <cell r="P813" t="str">
            <v>270°</v>
          </cell>
          <cell r="Q813" t="str">
            <v>-</v>
          </cell>
          <cell r="R813" t="str">
            <v>-</v>
          </cell>
          <cell r="S813" t="str">
            <v>-</v>
          </cell>
          <cell r="T813" t="str">
            <v>-</v>
          </cell>
          <cell r="U813" t="str">
            <v>T</v>
          </cell>
          <cell r="V813" t="str">
            <v>D</v>
          </cell>
          <cell r="W813" t="str">
            <v>-</v>
          </cell>
          <cell r="X813" t="str">
            <v>CLP (CC) VG 220 = -15° + 40°</v>
          </cell>
          <cell r="Y813" t="str">
            <v>KA37/T DRN80M4</v>
          </cell>
          <cell r="Z813" t="str">
            <v>SEW</v>
          </cell>
          <cell r="AB813" t="str">
            <v>-</v>
          </cell>
          <cell r="AF813">
            <v>164.4</v>
          </cell>
          <cell r="AG813" t="str">
            <v>DRN80M4</v>
          </cell>
          <cell r="AH813" t="str">
            <v>KA37T-DRN80M4A270-X</v>
          </cell>
        </row>
        <row r="814">
          <cell r="A814" t="str">
            <v>MR000810</v>
          </cell>
          <cell r="B814" t="str">
            <v>MR</v>
          </cell>
          <cell r="C814">
            <v>4</v>
          </cell>
          <cell r="D814">
            <v>138</v>
          </cell>
          <cell r="E814" t="str">
            <v>KH67</v>
          </cell>
          <cell r="F814">
            <v>275</v>
          </cell>
          <cell r="G814">
            <v>10.63</v>
          </cell>
          <cell r="H814">
            <v>1.8</v>
          </cell>
          <cell r="I814" t="str">
            <v>M4B</v>
          </cell>
          <cell r="J814" t="str">
            <v>IE3</v>
          </cell>
          <cell r="K814">
            <v>440</v>
          </cell>
          <cell r="L814">
            <v>60</v>
          </cell>
          <cell r="M814">
            <v>7.1818181818181825</v>
          </cell>
          <cell r="N814">
            <v>55</v>
          </cell>
          <cell r="O814" t="str">
            <v>F(105°C)</v>
          </cell>
          <cell r="P814" t="str">
            <v>270°</v>
          </cell>
          <cell r="Q814" t="str">
            <v>TF</v>
          </cell>
          <cell r="R814" t="str">
            <v>-</v>
          </cell>
          <cell r="S814" t="str">
            <v>-</v>
          </cell>
          <cell r="T814" t="str">
            <v>-</v>
          </cell>
          <cell r="U814" t="str">
            <v>T</v>
          </cell>
          <cell r="V814" t="str">
            <v>FC+R</v>
          </cell>
          <cell r="W814" t="str">
            <v>-</v>
          </cell>
          <cell r="X814" t="str">
            <v>CLP (CC) VG 220 = -15° + 40°</v>
          </cell>
          <cell r="Y814" t="str">
            <v>KH67/T DRN112M4 /TF</v>
          </cell>
          <cell r="Z814" t="str">
            <v>SEW</v>
          </cell>
          <cell r="AB814" t="str">
            <v>-</v>
          </cell>
          <cell r="AF814">
            <v>165.6</v>
          </cell>
          <cell r="AG814" t="str">
            <v>DRN112M4</v>
          </cell>
          <cell r="AH814" t="str">
            <v>KH67T-DRN112M4B270-X</v>
          </cell>
        </row>
        <row r="815">
          <cell r="A815" t="str">
            <v>MR000811</v>
          </cell>
          <cell r="B815" t="str">
            <v>MR</v>
          </cell>
          <cell r="C815">
            <v>1.1000000000000001</v>
          </cell>
          <cell r="D815">
            <v>7.3</v>
          </cell>
          <cell r="E815" t="str">
            <v>FV77R37</v>
          </cell>
          <cell r="F815">
            <v>1320</v>
          </cell>
          <cell r="G815">
            <v>199</v>
          </cell>
          <cell r="H815">
            <v>1.1499999999999999</v>
          </cell>
          <cell r="I815" t="str">
            <v>M5</v>
          </cell>
          <cell r="J815" t="str">
            <v>IE3</v>
          </cell>
          <cell r="K815">
            <v>440</v>
          </cell>
          <cell r="L815">
            <v>60</v>
          </cell>
          <cell r="M815">
            <v>2.3181818181818183</v>
          </cell>
          <cell r="N815">
            <v>55</v>
          </cell>
          <cell r="O815" t="str">
            <v>F(105°C)</v>
          </cell>
          <cell r="P815" t="str">
            <v>180°</v>
          </cell>
          <cell r="Q815" t="str">
            <v>TF</v>
          </cell>
          <cell r="R815" t="str">
            <v>-</v>
          </cell>
          <cell r="S815" t="str">
            <v>-</v>
          </cell>
          <cell r="T815" t="str">
            <v>BE</v>
          </cell>
          <cell r="U815" t="str">
            <v>G</v>
          </cell>
          <cell r="V815" t="str">
            <v>FC+R</v>
          </cell>
          <cell r="W815" t="str">
            <v>-</v>
          </cell>
          <cell r="X815" t="str">
            <v>CLP (CC) VG 220 = -15° + 40°</v>
          </cell>
          <cell r="Y815" t="str">
            <v>FV77R37/G DRN90S4 /BE /TF</v>
          </cell>
          <cell r="Z815" t="str">
            <v>SEW</v>
          </cell>
          <cell r="AB815" t="str">
            <v>-</v>
          </cell>
          <cell r="AE815" t="str">
            <v xml:space="preserve"> BROCCIATURA PER FV67-DIN 5480N45x2x30x21xH9</v>
          </cell>
          <cell r="AF815">
            <v>8.76</v>
          </cell>
          <cell r="AG815" t="str">
            <v>DRN90S4</v>
          </cell>
          <cell r="AH815" t="str">
            <v>FV77R37G-DRN90S4180-X</v>
          </cell>
        </row>
        <row r="816">
          <cell r="A816" t="str">
            <v>MR000812</v>
          </cell>
          <cell r="B816" t="str">
            <v>MR</v>
          </cell>
          <cell r="C816">
            <v>1.1000000000000001</v>
          </cell>
          <cell r="D816">
            <v>7.3</v>
          </cell>
          <cell r="E816" t="str">
            <v>FV77R37</v>
          </cell>
          <cell r="F816">
            <v>1320</v>
          </cell>
          <cell r="G816">
            <v>199</v>
          </cell>
          <cell r="H816">
            <v>1.1499999999999999</v>
          </cell>
          <cell r="I816" t="str">
            <v>M6</v>
          </cell>
          <cell r="J816" t="str">
            <v>IE3</v>
          </cell>
          <cell r="K816">
            <v>440</v>
          </cell>
          <cell r="L816">
            <v>60</v>
          </cell>
          <cell r="M816">
            <v>2.3181818181818183</v>
          </cell>
          <cell r="N816">
            <v>55</v>
          </cell>
          <cell r="O816" t="str">
            <v>F(105°C)</v>
          </cell>
          <cell r="P816" t="str">
            <v>0°</v>
          </cell>
          <cell r="Q816" t="str">
            <v>TF</v>
          </cell>
          <cell r="R816" t="str">
            <v>-</v>
          </cell>
          <cell r="S816" t="str">
            <v>-</v>
          </cell>
          <cell r="T816" t="str">
            <v>BE</v>
          </cell>
          <cell r="U816" t="str">
            <v>G</v>
          </cell>
          <cell r="V816" t="str">
            <v>FC+R</v>
          </cell>
          <cell r="W816" t="str">
            <v>-</v>
          </cell>
          <cell r="X816" t="str">
            <v>CLP (CC) VG 220 = -15° + 40°</v>
          </cell>
          <cell r="Y816" t="str">
            <v>FV77R37/G DRN90S4 /BE /TF</v>
          </cell>
          <cell r="Z816" t="str">
            <v>SEW</v>
          </cell>
          <cell r="AB816" t="str">
            <v>-</v>
          </cell>
          <cell r="AE816" t="str">
            <v xml:space="preserve"> BROCCIATURA PER FV67-DIN 5480N45x2x30x21xH9</v>
          </cell>
          <cell r="AF816">
            <v>8.76</v>
          </cell>
          <cell r="AG816" t="str">
            <v>DRN90S4</v>
          </cell>
          <cell r="AH816" t="str">
            <v>FV77R37G-DRN90S40-X</v>
          </cell>
        </row>
        <row r="817">
          <cell r="A817" t="str">
            <v>MR000813</v>
          </cell>
          <cell r="B817" t="str">
            <v>MR</v>
          </cell>
          <cell r="C817">
            <v>7.5</v>
          </cell>
          <cell r="D817">
            <v>11</v>
          </cell>
          <cell r="E817" t="str">
            <v>FA107</v>
          </cell>
          <cell r="F817">
            <v>6340</v>
          </cell>
          <cell r="G817">
            <v>129.97</v>
          </cell>
          <cell r="H817">
            <v>1.2</v>
          </cell>
          <cell r="I817" t="str">
            <v>From M6 to M3 - 30°</v>
          </cell>
          <cell r="J817" t="str">
            <v>IE3</v>
          </cell>
          <cell r="K817" t="str">
            <v>230/400</v>
          </cell>
          <cell r="L817">
            <v>50</v>
          </cell>
          <cell r="M817">
            <v>15.2</v>
          </cell>
          <cell r="N817">
            <v>55</v>
          </cell>
          <cell r="O817" t="str">
            <v>F(105°C)</v>
          </cell>
          <cell r="P817" t="str">
            <v>0°</v>
          </cell>
          <cell r="Q817" t="str">
            <v>TF</v>
          </cell>
          <cell r="R817" t="str">
            <v>V(VE)</v>
          </cell>
          <cell r="S817" t="str">
            <v>-</v>
          </cell>
          <cell r="T817" t="str">
            <v>-</v>
          </cell>
          <cell r="U817" t="str">
            <v>G</v>
          </cell>
          <cell r="V817" t="str">
            <v>FC</v>
          </cell>
          <cell r="W817" t="str">
            <v>-</v>
          </cell>
          <cell r="X817" t="str">
            <v>CLP (CC) VG 220 = -15° + 40°</v>
          </cell>
          <cell r="Y817" t="str">
            <v>FA107/G DRN132M4 /TF/V</v>
          </cell>
          <cell r="Z817" t="str">
            <v>SEW</v>
          </cell>
          <cell r="AB817" t="str">
            <v>-</v>
          </cell>
          <cell r="AF817">
            <v>11</v>
          </cell>
          <cell r="AG817" t="str">
            <v>DRN132M4</v>
          </cell>
          <cell r="AH817" t="str">
            <v>FA107G-DRN132M40-X#</v>
          </cell>
        </row>
        <row r="818">
          <cell r="A818" t="str">
            <v>MR000814</v>
          </cell>
          <cell r="B818" t="str">
            <v>MR</v>
          </cell>
          <cell r="C818">
            <v>0.25</v>
          </cell>
          <cell r="D818">
            <v>1.4</v>
          </cell>
          <cell r="E818" t="str">
            <v>KA77R37</v>
          </cell>
          <cell r="F818">
            <v>1520</v>
          </cell>
          <cell r="G818">
            <v>924</v>
          </cell>
          <cell r="H818">
            <v>1</v>
          </cell>
          <cell r="I818" t="str">
            <v>M3B</v>
          </cell>
          <cell r="J818" t="str">
            <v>-</v>
          </cell>
          <cell r="K818">
            <v>440</v>
          </cell>
          <cell r="L818">
            <v>60</v>
          </cell>
          <cell r="M818">
            <v>0.65454545454545454</v>
          </cell>
          <cell r="N818">
            <v>55</v>
          </cell>
          <cell r="O818" t="str">
            <v>F(105°C)</v>
          </cell>
          <cell r="P818" t="str">
            <v>0°</v>
          </cell>
          <cell r="Q818" t="str">
            <v>TF</v>
          </cell>
          <cell r="R818" t="str">
            <v>-</v>
          </cell>
          <cell r="S818" t="str">
            <v>-</v>
          </cell>
          <cell r="T818" t="str">
            <v>BE</v>
          </cell>
          <cell r="U818" t="str">
            <v>T</v>
          </cell>
          <cell r="V818" t="str">
            <v>D+R</v>
          </cell>
          <cell r="W818" t="str">
            <v>-</v>
          </cell>
          <cell r="X818" t="str">
            <v>CLP (CC) VG 220 = -15° + 40°</v>
          </cell>
          <cell r="Y818" t="str">
            <v>KA77R37/T DRN71MS4 /BE /TF</v>
          </cell>
          <cell r="Z818" t="str">
            <v>SEW</v>
          </cell>
          <cell r="AB818" t="str">
            <v>-</v>
          </cell>
          <cell r="AF818">
            <v>1.68</v>
          </cell>
          <cell r="AG818" t="str">
            <v>DRN71MS4</v>
          </cell>
          <cell r="AH818" t="str">
            <v>KA77R37T-DRN71MS4B0-X</v>
          </cell>
        </row>
        <row r="819">
          <cell r="A819" t="str">
            <v>MR000815</v>
          </cell>
          <cell r="B819" t="str">
            <v>MR</v>
          </cell>
          <cell r="C819">
            <v>22</v>
          </cell>
          <cell r="D819">
            <v>89</v>
          </cell>
          <cell r="E819" t="str">
            <v>KH97</v>
          </cell>
          <cell r="F819">
            <v>2350</v>
          </cell>
          <cell r="G819">
            <v>16.559999999999999</v>
          </cell>
          <cell r="H819">
            <v>1.85</v>
          </cell>
          <cell r="I819" t="str">
            <v>M4B</v>
          </cell>
          <cell r="J819" t="str">
            <v>IE3</v>
          </cell>
          <cell r="K819">
            <v>440</v>
          </cell>
          <cell r="L819">
            <v>60</v>
          </cell>
          <cell r="M819">
            <v>35</v>
          </cell>
          <cell r="N819">
            <v>55</v>
          </cell>
          <cell r="O819" t="str">
            <v>F(105°C)</v>
          </cell>
          <cell r="P819" t="str">
            <v>270°</v>
          </cell>
          <cell r="Q819" t="str">
            <v>-</v>
          </cell>
          <cell r="R819" t="str">
            <v>-</v>
          </cell>
          <cell r="S819" t="str">
            <v>Free rotation CW</v>
          </cell>
          <cell r="T819" t="str">
            <v>-</v>
          </cell>
          <cell r="U819" t="str">
            <v>T</v>
          </cell>
          <cell r="V819" t="str">
            <v>SS</v>
          </cell>
          <cell r="W819" t="str">
            <v>-</v>
          </cell>
          <cell r="X819" t="str">
            <v>CLP (CC) VG 220 = -15° + 40°</v>
          </cell>
          <cell r="Y819" t="str">
            <v>KH97/T DRN180L4 /RS</v>
          </cell>
          <cell r="Z819" t="str">
            <v>SEW</v>
          </cell>
          <cell r="AB819" t="str">
            <v>-</v>
          </cell>
          <cell r="AF819">
            <v>106.8</v>
          </cell>
          <cell r="AG819" t="str">
            <v>DRN180L4</v>
          </cell>
          <cell r="AH819" t="str">
            <v>KH97T-DRN180L4B270-X</v>
          </cell>
        </row>
        <row r="820">
          <cell r="A820" t="str">
            <v>MR000816</v>
          </cell>
          <cell r="B820" t="str">
            <v>MR</v>
          </cell>
          <cell r="C820">
            <v>0.75</v>
          </cell>
          <cell r="D820">
            <v>137</v>
          </cell>
          <cell r="E820" t="str">
            <v>KA37</v>
          </cell>
          <cell r="F820">
            <v>52</v>
          </cell>
          <cell r="G820">
            <v>10.49</v>
          </cell>
          <cell r="H820">
            <v>3.1</v>
          </cell>
          <cell r="I820" t="str">
            <v>From M3B to M4B - 5°</v>
          </cell>
          <cell r="J820" t="str">
            <v>IE3</v>
          </cell>
          <cell r="K820">
            <v>440</v>
          </cell>
          <cell r="L820">
            <v>60</v>
          </cell>
          <cell r="M820">
            <v>1.5909090909090908</v>
          </cell>
          <cell r="N820">
            <v>55</v>
          </cell>
          <cell r="O820" t="str">
            <v>F(105°C)</v>
          </cell>
          <cell r="P820" t="str">
            <v>0°</v>
          </cell>
          <cell r="Q820" t="str">
            <v>-</v>
          </cell>
          <cell r="R820" t="str">
            <v>-</v>
          </cell>
          <cell r="S820" t="str">
            <v>-</v>
          </cell>
          <cell r="T820" t="str">
            <v>-</v>
          </cell>
          <cell r="U820" t="str">
            <v>T</v>
          </cell>
          <cell r="V820" t="str">
            <v>D</v>
          </cell>
          <cell r="W820" t="str">
            <v>-</v>
          </cell>
          <cell r="X820" t="str">
            <v>CLP (CC) VG 220 = -15° + 40°</v>
          </cell>
          <cell r="Y820" t="str">
            <v>KA37/T DRN80M4</v>
          </cell>
          <cell r="Z820" t="str">
            <v>SEW</v>
          </cell>
          <cell r="AB820" t="str">
            <v>-</v>
          </cell>
          <cell r="AF820">
            <v>164.4</v>
          </cell>
          <cell r="AG820" t="str">
            <v>DRN80M4</v>
          </cell>
          <cell r="AH820" t="str">
            <v>KA37T-DRN80M4B0-X</v>
          </cell>
        </row>
        <row r="821">
          <cell r="A821" t="str">
            <v>MR000817</v>
          </cell>
          <cell r="B821" t="str">
            <v>ME</v>
          </cell>
          <cell r="C821">
            <v>45</v>
          </cell>
          <cell r="D821">
            <v>1483</v>
          </cell>
          <cell r="E821" t="str">
            <v>1LE1503</v>
          </cell>
          <cell r="F821">
            <v>239.9</v>
          </cell>
          <cell r="I821" t="str">
            <v>V1/B5</v>
          </cell>
          <cell r="J821" t="str">
            <v>IE3</v>
          </cell>
          <cell r="K821">
            <v>440</v>
          </cell>
          <cell r="L821">
            <v>60</v>
          </cell>
          <cell r="M821">
            <v>74</v>
          </cell>
          <cell r="N821">
            <v>55</v>
          </cell>
          <cell r="O821" t="str">
            <v>F(105°C)</v>
          </cell>
          <cell r="Q821" t="str">
            <v>-</v>
          </cell>
          <cell r="R821" t="str">
            <v>-</v>
          </cell>
          <cell r="S821" t="str">
            <v>-</v>
          </cell>
          <cell r="T821" t="str">
            <v>-</v>
          </cell>
          <cell r="U821" t="str">
            <v>-</v>
          </cell>
          <cell r="V821" t="str">
            <v>D</v>
          </cell>
          <cell r="Y821" t="str">
            <v>1LE1503-2BB23-3FA4-Z Y50</v>
          </cell>
          <cell r="Z821" t="str">
            <v>SIEMENS</v>
          </cell>
          <cell r="AB821" t="str">
            <v>-</v>
          </cell>
          <cell r="AE821" t="str">
            <v>4 POLES</v>
          </cell>
          <cell r="AH821" t="str">
            <v>1LE1503-B-X</v>
          </cell>
        </row>
        <row r="822">
          <cell r="A822" t="str">
            <v>MR000818</v>
          </cell>
          <cell r="B822" t="str">
            <v>ME</v>
          </cell>
          <cell r="C822">
            <v>4</v>
          </cell>
          <cell r="D822">
            <v>1470</v>
          </cell>
          <cell r="E822" t="str">
            <v>1LE1003</v>
          </cell>
          <cell r="F822">
            <v>21.2</v>
          </cell>
          <cell r="I822" t="str">
            <v>B5</v>
          </cell>
          <cell r="J822" t="str">
            <v>IE3</v>
          </cell>
          <cell r="K822">
            <v>440</v>
          </cell>
          <cell r="L822">
            <v>60</v>
          </cell>
          <cell r="M822">
            <v>7.2</v>
          </cell>
          <cell r="N822">
            <v>55</v>
          </cell>
          <cell r="O822" t="str">
            <v>F(105°C)</v>
          </cell>
          <cell r="Q822" t="str">
            <v>-</v>
          </cell>
          <cell r="R822" t="str">
            <v>-</v>
          </cell>
          <cell r="S822" t="str">
            <v>-</v>
          </cell>
          <cell r="T822" t="str">
            <v>-</v>
          </cell>
          <cell r="U822" t="str">
            <v>-</v>
          </cell>
          <cell r="V822" t="str">
            <v>D</v>
          </cell>
          <cell r="Y822" t="str">
            <v>1LE1003-1BB22-1FA4-Z Y50</v>
          </cell>
          <cell r="Z822" t="str">
            <v>SIEMENS</v>
          </cell>
          <cell r="AB822" t="str">
            <v>-</v>
          </cell>
          <cell r="AE822" t="str">
            <v>4 POLES</v>
          </cell>
          <cell r="AH822" t="str">
            <v>1LE1003-B-X</v>
          </cell>
        </row>
        <row r="823">
          <cell r="A823" t="str">
            <v>MR000819</v>
          </cell>
          <cell r="B823" t="str">
            <v>MR</v>
          </cell>
          <cell r="C823">
            <v>30</v>
          </cell>
          <cell r="D823">
            <v>24</v>
          </cell>
          <cell r="E823" t="str">
            <v>R147</v>
          </cell>
          <cell r="F823">
            <v>11800</v>
          </cell>
          <cell r="G823">
            <v>61.09</v>
          </cell>
          <cell r="H823">
            <v>1.1000000000000001</v>
          </cell>
          <cell r="I823" t="str">
            <v>M1</v>
          </cell>
          <cell r="J823" t="str">
            <v>IE3</v>
          </cell>
          <cell r="K823">
            <v>440</v>
          </cell>
          <cell r="L823">
            <v>60</v>
          </cell>
          <cell r="M823">
            <v>50.909090909090907</v>
          </cell>
          <cell r="N823">
            <v>55</v>
          </cell>
          <cell r="O823" t="str">
            <v>F(105°C)</v>
          </cell>
          <cell r="P823" t="str">
            <v>270°</v>
          </cell>
          <cell r="Q823" t="str">
            <v>TF</v>
          </cell>
          <cell r="R823" t="str">
            <v>V(VE)</v>
          </cell>
          <cell r="S823" t="str">
            <v>-</v>
          </cell>
          <cell r="T823" t="str">
            <v>-</v>
          </cell>
          <cell r="U823" t="str">
            <v>-</v>
          </cell>
          <cell r="V823" t="str">
            <v>FC</v>
          </cell>
          <cell r="W823" t="str">
            <v>-</v>
          </cell>
          <cell r="X823" t="str">
            <v>CLP (CC) VG 220 = -15° + 40°</v>
          </cell>
          <cell r="Y823" t="str">
            <v>R147DRN200L4 /TF/V</v>
          </cell>
          <cell r="Z823" t="str">
            <v>SEW</v>
          </cell>
          <cell r="AB823" t="str">
            <v>-</v>
          </cell>
          <cell r="AF823">
            <v>28.8</v>
          </cell>
          <cell r="AG823" t="str">
            <v>DRN200L4</v>
          </cell>
          <cell r="AH823" t="str">
            <v>R147-DRN200L4270-X#</v>
          </cell>
        </row>
        <row r="824">
          <cell r="A824" t="str">
            <v>MR000820</v>
          </cell>
          <cell r="B824" t="str">
            <v>MR</v>
          </cell>
          <cell r="C824">
            <v>18.5</v>
          </cell>
          <cell r="D824">
            <v>16</v>
          </cell>
          <cell r="E824" t="str">
            <v>KH127</v>
          </cell>
          <cell r="F824">
            <v>10700</v>
          </cell>
          <cell r="G824">
            <v>89.89</v>
          </cell>
          <cell r="H824">
            <v>1.2</v>
          </cell>
          <cell r="I824" t="str">
            <v>From M4A to M1A - 45°</v>
          </cell>
          <cell r="J824" t="str">
            <v>IE3</v>
          </cell>
          <cell r="K824">
            <v>440</v>
          </cell>
          <cell r="L824">
            <v>60</v>
          </cell>
          <cell r="M824">
            <v>30.454545454545457</v>
          </cell>
          <cell r="N824">
            <v>55</v>
          </cell>
          <cell r="O824" t="str">
            <v>F(105°C)</v>
          </cell>
          <cell r="P824" t="str">
            <v>270°</v>
          </cell>
          <cell r="Q824" t="str">
            <v>TF</v>
          </cell>
          <cell r="R824" t="str">
            <v>V(VE)</v>
          </cell>
          <cell r="S824" t="str">
            <v>-</v>
          </cell>
          <cell r="T824" t="str">
            <v>-</v>
          </cell>
          <cell r="U824" t="str">
            <v>-</v>
          </cell>
          <cell r="V824" t="str">
            <v>FC</v>
          </cell>
          <cell r="W824" t="str">
            <v>-</v>
          </cell>
          <cell r="X824" t="str">
            <v>CLP (CC) VG 220 = -15° + 40°</v>
          </cell>
          <cell r="Y824" t="str">
            <v>KH127DRN180M4 /TF/V</v>
          </cell>
          <cell r="Z824" t="str">
            <v>SEW</v>
          </cell>
          <cell r="AB824" t="str">
            <v>-</v>
          </cell>
          <cell r="AF824">
            <v>19.2</v>
          </cell>
          <cell r="AG824" t="str">
            <v>DRN180M4</v>
          </cell>
          <cell r="AH824" t="str">
            <v>KH127-DRN180M4A270-X#</v>
          </cell>
        </row>
        <row r="825">
          <cell r="A825" t="str">
            <v>MR000821</v>
          </cell>
          <cell r="B825" t="str">
            <v>MR</v>
          </cell>
          <cell r="C825">
            <v>18.5</v>
          </cell>
          <cell r="D825">
            <v>16</v>
          </cell>
          <cell r="E825" t="str">
            <v>KH127</v>
          </cell>
          <cell r="F825">
            <v>10700</v>
          </cell>
          <cell r="G825">
            <v>89.89</v>
          </cell>
          <cell r="H825">
            <v>1.2</v>
          </cell>
          <cell r="I825" t="str">
            <v>From M4B to M1B - 45°</v>
          </cell>
          <cell r="J825" t="str">
            <v>IE3</v>
          </cell>
          <cell r="K825">
            <v>440</v>
          </cell>
          <cell r="L825">
            <v>60</v>
          </cell>
          <cell r="M825">
            <v>30.454545454545457</v>
          </cell>
          <cell r="N825">
            <v>55</v>
          </cell>
          <cell r="O825" t="str">
            <v>F(105°C)</v>
          </cell>
          <cell r="P825" t="str">
            <v>270°</v>
          </cell>
          <cell r="Q825" t="str">
            <v>TF</v>
          </cell>
          <cell r="R825" t="str">
            <v>V(VE)</v>
          </cell>
          <cell r="S825" t="str">
            <v>-</v>
          </cell>
          <cell r="T825" t="str">
            <v>-</v>
          </cell>
          <cell r="U825" t="str">
            <v>-</v>
          </cell>
          <cell r="V825" t="str">
            <v>FC</v>
          </cell>
          <cell r="W825" t="str">
            <v>-</v>
          </cell>
          <cell r="X825" t="str">
            <v>CLP (CC) VG 220 = -15° + 40°</v>
          </cell>
          <cell r="Y825" t="str">
            <v>KH127DRN180M4 /TF/V</v>
          </cell>
          <cell r="Z825" t="str">
            <v>SEW</v>
          </cell>
          <cell r="AB825" t="str">
            <v>-</v>
          </cell>
          <cell r="AF825">
            <v>19.2</v>
          </cell>
          <cell r="AG825" t="str">
            <v>DRN180M4</v>
          </cell>
          <cell r="AH825" t="str">
            <v>KH127-DRN180M4B270-X#</v>
          </cell>
        </row>
        <row r="826">
          <cell r="A826" t="str">
            <v>MR000822</v>
          </cell>
          <cell r="B826" t="str">
            <v>MR</v>
          </cell>
          <cell r="C826">
            <v>5.5</v>
          </cell>
          <cell r="D826">
            <v>45</v>
          </cell>
          <cell r="E826" t="str">
            <v>R87</v>
          </cell>
          <cell r="F826">
            <v>1170</v>
          </cell>
          <cell r="G826">
            <v>32.659999999999997</v>
          </cell>
          <cell r="H826">
            <v>1.3</v>
          </cell>
          <cell r="I826" t="str">
            <v>M1</v>
          </cell>
          <cell r="J826" t="str">
            <v>IE3</v>
          </cell>
          <cell r="K826">
            <v>440</v>
          </cell>
          <cell r="L826">
            <v>60</v>
          </cell>
          <cell r="M826">
            <v>9.5454545454545467</v>
          </cell>
          <cell r="N826">
            <v>55</v>
          </cell>
          <cell r="O826" t="str">
            <v>F(105°C)</v>
          </cell>
          <cell r="P826" t="str">
            <v>270°</v>
          </cell>
          <cell r="Q826" t="str">
            <v>TF</v>
          </cell>
          <cell r="R826" t="str">
            <v>V(VE)</v>
          </cell>
          <cell r="S826" t="str">
            <v>-</v>
          </cell>
          <cell r="T826" t="str">
            <v>-</v>
          </cell>
          <cell r="U826" t="str">
            <v>-</v>
          </cell>
          <cell r="V826" t="str">
            <v>FC</v>
          </cell>
          <cell r="W826" t="str">
            <v>-</v>
          </cell>
          <cell r="X826" t="str">
            <v>CLP (CC) VG 220 = -15° + 40°</v>
          </cell>
          <cell r="Y826" t="str">
            <v>R87DRN132S4 /TF/V</v>
          </cell>
          <cell r="Z826" t="str">
            <v>SEW</v>
          </cell>
          <cell r="AB826" t="str">
            <v>-</v>
          </cell>
          <cell r="AF826">
            <v>54</v>
          </cell>
          <cell r="AG826" t="str">
            <v>DRN132S4</v>
          </cell>
          <cell r="AH826" t="str">
            <v>R87-DRN132S4270-X#</v>
          </cell>
        </row>
        <row r="827">
          <cell r="A827" t="str">
            <v>MR000823</v>
          </cell>
          <cell r="B827" t="str">
            <v>MR</v>
          </cell>
          <cell r="C827">
            <v>22</v>
          </cell>
          <cell r="D827">
            <v>15</v>
          </cell>
          <cell r="E827" t="str">
            <v>KH157</v>
          </cell>
          <cell r="F827">
            <v>14200</v>
          </cell>
          <cell r="G827">
            <v>100.22</v>
          </cell>
          <cell r="H827">
            <v>1.25</v>
          </cell>
          <cell r="I827" t="str">
            <v>M1A</v>
          </cell>
          <cell r="J827" t="str">
            <v>IE3</v>
          </cell>
          <cell r="K827">
            <v>440</v>
          </cell>
          <cell r="L827">
            <v>60</v>
          </cell>
          <cell r="M827">
            <v>35</v>
          </cell>
          <cell r="N827">
            <v>55</v>
          </cell>
          <cell r="O827" t="str">
            <v>F(105°C)</v>
          </cell>
          <cell r="P827" t="str">
            <v>180°</v>
          </cell>
          <cell r="Q827" t="str">
            <v>TF</v>
          </cell>
          <cell r="R827" t="str">
            <v>V(VE)</v>
          </cell>
          <cell r="S827" t="str">
            <v>-</v>
          </cell>
          <cell r="T827" t="str">
            <v>-</v>
          </cell>
          <cell r="U827" t="str">
            <v>-</v>
          </cell>
          <cell r="V827" t="str">
            <v>FC</v>
          </cell>
          <cell r="W827" t="str">
            <v>-</v>
          </cell>
          <cell r="X827" t="str">
            <v>CLP (CC) VG 220 = -15° + 40°</v>
          </cell>
          <cell r="Y827" t="str">
            <v>KH157DRN180L4 /TF/V</v>
          </cell>
          <cell r="Z827" t="str">
            <v>SEW</v>
          </cell>
          <cell r="AB827" t="str">
            <v>-</v>
          </cell>
          <cell r="AF827">
            <v>18</v>
          </cell>
          <cell r="AG827" t="str">
            <v>DRN180L4</v>
          </cell>
          <cell r="AH827" t="str">
            <v>KH157-DRN180L4A180-X#</v>
          </cell>
        </row>
        <row r="828">
          <cell r="A828" t="str">
            <v>MR000824</v>
          </cell>
          <cell r="B828" t="str">
            <v>MR</v>
          </cell>
          <cell r="C828">
            <v>5.5</v>
          </cell>
          <cell r="D828">
            <v>14</v>
          </cell>
          <cell r="E828" t="str">
            <v>R107</v>
          </cell>
          <cell r="F828">
            <v>3680</v>
          </cell>
          <cell r="G828">
            <v>102.53</v>
          </cell>
          <cell r="H828">
            <v>1.1499999999999999</v>
          </cell>
          <cell r="I828" t="str">
            <v>M1</v>
          </cell>
          <cell r="J828" t="str">
            <v>IE3</v>
          </cell>
          <cell r="K828">
            <v>440</v>
          </cell>
          <cell r="L828">
            <v>60</v>
          </cell>
          <cell r="M828">
            <v>9.5454545454545467</v>
          </cell>
          <cell r="N828">
            <v>55</v>
          </cell>
          <cell r="O828" t="str">
            <v>F(105°C)</v>
          </cell>
          <cell r="P828" t="str">
            <v>270°</v>
          </cell>
          <cell r="Q828" t="str">
            <v>TF</v>
          </cell>
          <cell r="R828" t="str">
            <v>V(VE)</v>
          </cell>
          <cell r="S828" t="str">
            <v>-</v>
          </cell>
          <cell r="T828" t="str">
            <v>-</v>
          </cell>
          <cell r="U828" t="str">
            <v>-</v>
          </cell>
          <cell r="V828" t="str">
            <v>FC</v>
          </cell>
          <cell r="W828" t="str">
            <v>-</v>
          </cell>
          <cell r="X828" t="str">
            <v>CLP (CC) VG 220 = -15° + 40°</v>
          </cell>
          <cell r="Y828" t="str">
            <v>R107DRN132S4 /TF/V</v>
          </cell>
          <cell r="Z828" t="str">
            <v>SEW</v>
          </cell>
          <cell r="AB828" t="str">
            <v>-</v>
          </cell>
          <cell r="AF828">
            <v>16.8</v>
          </cell>
          <cell r="AG828" t="str">
            <v>DRN132S4</v>
          </cell>
          <cell r="AH828" t="str">
            <v>R107-DRN132S4270-X#</v>
          </cell>
        </row>
        <row r="829">
          <cell r="A829" t="str">
            <v>MR000825</v>
          </cell>
          <cell r="B829" t="str">
            <v>MR</v>
          </cell>
          <cell r="C829">
            <v>15</v>
          </cell>
          <cell r="D829">
            <v>12</v>
          </cell>
          <cell r="E829" t="str">
            <v>KH127</v>
          </cell>
          <cell r="F829">
            <v>11900</v>
          </cell>
          <cell r="G829">
            <v>122.48</v>
          </cell>
          <cell r="H829">
            <v>1.1000000000000001</v>
          </cell>
          <cell r="I829" t="str">
            <v>From M1A to M2A - 30°</v>
          </cell>
          <cell r="J829" t="str">
            <v>IE3</v>
          </cell>
          <cell r="K829">
            <v>440</v>
          </cell>
          <cell r="L829">
            <v>60</v>
          </cell>
          <cell r="M829">
            <v>26.36363636363636</v>
          </cell>
          <cell r="N829">
            <v>55</v>
          </cell>
          <cell r="O829" t="str">
            <v>F(105°C)</v>
          </cell>
          <cell r="P829" t="str">
            <v>180°</v>
          </cell>
          <cell r="Q829" t="str">
            <v>TF</v>
          </cell>
          <cell r="R829" t="str">
            <v>V(VE)</v>
          </cell>
          <cell r="S829" t="str">
            <v>-</v>
          </cell>
          <cell r="T829" t="str">
            <v>-</v>
          </cell>
          <cell r="U829" t="str">
            <v>-</v>
          </cell>
          <cell r="V829" t="str">
            <v>FC</v>
          </cell>
          <cell r="W829" t="str">
            <v>-</v>
          </cell>
          <cell r="X829" t="str">
            <v>CLP (CC) VG 220 = -15° + 40°</v>
          </cell>
          <cell r="Y829" t="str">
            <v>KH127DRN160L4 /TF/V</v>
          </cell>
          <cell r="Z829" t="str">
            <v>SEW</v>
          </cell>
          <cell r="AB829" t="str">
            <v>-</v>
          </cell>
          <cell r="AF829">
            <v>14.4</v>
          </cell>
          <cell r="AG829" t="str">
            <v>DRN160L4</v>
          </cell>
          <cell r="AH829" t="str">
            <v>KH127-DRN160L4A180-X#</v>
          </cell>
        </row>
        <row r="830">
          <cell r="A830" t="str">
            <v>MR000826</v>
          </cell>
          <cell r="B830" t="str">
            <v>MR</v>
          </cell>
          <cell r="C830">
            <v>15</v>
          </cell>
          <cell r="D830">
            <v>12</v>
          </cell>
          <cell r="E830" t="str">
            <v>KH127</v>
          </cell>
          <cell r="F830">
            <v>11900</v>
          </cell>
          <cell r="G830">
            <v>122.48</v>
          </cell>
          <cell r="H830">
            <v>1.1000000000000001</v>
          </cell>
          <cell r="I830" t="str">
            <v>From M1B to M2B - 30°</v>
          </cell>
          <cell r="J830" t="str">
            <v>IE3</v>
          </cell>
          <cell r="K830">
            <v>440</v>
          </cell>
          <cell r="L830">
            <v>60</v>
          </cell>
          <cell r="M830">
            <v>26.36363636363636</v>
          </cell>
          <cell r="N830">
            <v>55</v>
          </cell>
          <cell r="O830" t="str">
            <v>F(105°C)</v>
          </cell>
          <cell r="P830" t="str">
            <v>0°</v>
          </cell>
          <cell r="Q830" t="str">
            <v>TF</v>
          </cell>
          <cell r="R830" t="str">
            <v>V(VE)</v>
          </cell>
          <cell r="S830" t="str">
            <v>-</v>
          </cell>
          <cell r="T830" t="str">
            <v>-</v>
          </cell>
          <cell r="U830" t="str">
            <v>-</v>
          </cell>
          <cell r="V830" t="str">
            <v>FC</v>
          </cell>
          <cell r="W830" t="str">
            <v>-</v>
          </cell>
          <cell r="X830" t="str">
            <v>CLP (CC) VG 220 = -15° + 40°</v>
          </cell>
          <cell r="Y830" t="str">
            <v>KH127DRN160L4 /TF/V</v>
          </cell>
          <cell r="Z830" t="str">
            <v>SEW</v>
          </cell>
          <cell r="AB830" t="str">
            <v>-</v>
          </cell>
          <cell r="AF830">
            <v>14.4</v>
          </cell>
          <cell r="AG830" t="str">
            <v>DRN160L4</v>
          </cell>
          <cell r="AH830" t="str">
            <v>KH127-DRN160L4B0-X#</v>
          </cell>
        </row>
        <row r="831">
          <cell r="A831" t="str">
            <v>MR000827</v>
          </cell>
          <cell r="B831" t="str">
            <v>MR</v>
          </cell>
          <cell r="C831">
            <v>7.5</v>
          </cell>
          <cell r="D831">
            <v>64</v>
          </cell>
          <cell r="E831" t="str">
            <v>KH77</v>
          </cell>
          <cell r="F831">
            <v>1120</v>
          </cell>
          <cell r="G831">
            <v>23.08</v>
          </cell>
          <cell r="H831">
            <v>1.05</v>
          </cell>
          <cell r="I831" t="str">
            <v>M4A</v>
          </cell>
          <cell r="J831" t="str">
            <v>IE3</v>
          </cell>
          <cell r="K831">
            <v>400</v>
          </cell>
          <cell r="L831">
            <v>50</v>
          </cell>
          <cell r="M831">
            <v>15.7</v>
          </cell>
          <cell r="N831">
            <v>55</v>
          </cell>
          <cell r="O831" t="str">
            <v>F(105°C)</v>
          </cell>
          <cell r="P831" t="str">
            <v>270°</v>
          </cell>
          <cell r="Q831" t="str">
            <v>-</v>
          </cell>
          <cell r="R831" t="str">
            <v>-</v>
          </cell>
          <cell r="S831" t="str">
            <v>Free rotation CCW</v>
          </cell>
          <cell r="T831" t="str">
            <v>-</v>
          </cell>
          <cell r="U831" t="str">
            <v>T</v>
          </cell>
          <cell r="V831" t="str">
            <v>SS</v>
          </cell>
          <cell r="W831" t="str">
            <v>-</v>
          </cell>
          <cell r="X831" t="str">
            <v>CLP HC VG 150 = -40° + 40°</v>
          </cell>
          <cell r="Y831" t="str">
            <v>KH77/T/II2GDEDRN132M4/3D/AL/C</v>
          </cell>
          <cell r="Z831" t="str">
            <v>SEW</v>
          </cell>
          <cell r="AB831" t="str">
            <v>ATEX22</v>
          </cell>
          <cell r="AF831">
            <v>64</v>
          </cell>
          <cell r="AG831" t="str">
            <v>EDRN132M4</v>
          </cell>
          <cell r="AH831" t="str">
            <v>KH77T-EDRN132M4A270-X</v>
          </cell>
        </row>
        <row r="832">
          <cell r="A832" t="str">
            <v>MR000828</v>
          </cell>
          <cell r="B832" t="str">
            <v>MR</v>
          </cell>
          <cell r="C832">
            <v>22</v>
          </cell>
          <cell r="D832">
            <v>33</v>
          </cell>
          <cell r="E832" t="str">
            <v>R137</v>
          </cell>
          <cell r="F832">
            <v>6310</v>
          </cell>
          <cell r="G832">
            <v>44.39</v>
          </cell>
          <cell r="H832">
            <v>1.25</v>
          </cell>
          <cell r="I832" t="str">
            <v>M1</v>
          </cell>
          <cell r="J832" t="str">
            <v>IE3</v>
          </cell>
          <cell r="K832">
            <v>400</v>
          </cell>
          <cell r="L832">
            <v>50</v>
          </cell>
          <cell r="M832">
            <v>38.5</v>
          </cell>
          <cell r="N832">
            <v>55</v>
          </cell>
          <cell r="O832" t="str">
            <v>F(105°C)</v>
          </cell>
          <cell r="P832" t="str">
            <v>270°</v>
          </cell>
          <cell r="S832" t="str">
            <v>Free rotation CCW</v>
          </cell>
          <cell r="V832" t="str">
            <v>SS</v>
          </cell>
          <cell r="X832" t="str">
            <v>CLP HC VG 150 = -40° + 40°</v>
          </cell>
          <cell r="Y832" t="str">
            <v>R137/ DRN180L4 / /RS //V</v>
          </cell>
          <cell r="Z832" t="str">
            <v>SEW</v>
          </cell>
          <cell r="AB832" t="str">
            <v>-</v>
          </cell>
          <cell r="AF832">
            <v>33</v>
          </cell>
          <cell r="AG832" t="str">
            <v>DRN180L4</v>
          </cell>
          <cell r="AH832" t="str">
            <v>R137-DRN180L4270-X#</v>
          </cell>
        </row>
        <row r="833">
          <cell r="A833" t="str">
            <v>MR000829</v>
          </cell>
          <cell r="B833" t="str">
            <v>MR</v>
          </cell>
          <cell r="C833">
            <v>18.5</v>
          </cell>
          <cell r="D833">
            <v>89</v>
          </cell>
          <cell r="E833" t="str">
            <v>KH97</v>
          </cell>
          <cell r="F833">
            <v>1970</v>
          </cell>
          <cell r="G833">
            <v>16.559999999999999</v>
          </cell>
          <cell r="H833">
            <v>2.2000000000000002</v>
          </cell>
          <cell r="I833" t="str">
            <v>M4B</v>
          </cell>
          <cell r="J833" t="str">
            <v>IE3</v>
          </cell>
          <cell r="K833">
            <v>400</v>
          </cell>
          <cell r="L833">
            <v>50</v>
          </cell>
          <cell r="M833">
            <v>33.5</v>
          </cell>
          <cell r="N833">
            <v>55</v>
          </cell>
          <cell r="O833" t="str">
            <v>F(105°C)</v>
          </cell>
          <cell r="P833" t="str">
            <v>270°</v>
          </cell>
          <cell r="Q833" t="str">
            <v>TF</v>
          </cell>
          <cell r="R833" t="str">
            <v>V(VE)</v>
          </cell>
          <cell r="S833" t="str">
            <v>Free rotation CW</v>
          </cell>
          <cell r="T833" t="str">
            <v>-</v>
          </cell>
          <cell r="U833" t="str">
            <v>T</v>
          </cell>
          <cell r="V833" t="str">
            <v>FC</v>
          </cell>
          <cell r="W833" t="str">
            <v>-</v>
          </cell>
          <cell r="X833" t="str">
            <v>CLP HC VG 220 = -20° + 60°</v>
          </cell>
          <cell r="Y833" t="str">
            <v>KH97/T DRN180M4 /RS /TF/V</v>
          </cell>
          <cell r="Z833" t="str">
            <v>SEW</v>
          </cell>
          <cell r="AB833" t="str">
            <v>-</v>
          </cell>
          <cell r="AF833">
            <v>89</v>
          </cell>
          <cell r="AG833" t="str">
            <v>DRN180M4</v>
          </cell>
          <cell r="AH833" t="str">
            <v>KH97T-DRN180M4B270-X#</v>
          </cell>
        </row>
        <row r="834">
          <cell r="A834" t="str">
            <v>MR000830</v>
          </cell>
          <cell r="B834" t="str">
            <v>MR</v>
          </cell>
          <cell r="C834">
            <v>0.75</v>
          </cell>
          <cell r="D834">
            <v>162</v>
          </cell>
          <cell r="E834" t="str">
            <v>KA37</v>
          </cell>
          <cell r="F834">
            <v>44</v>
          </cell>
          <cell r="G834">
            <v>8.91</v>
          </cell>
          <cell r="H834">
            <v>3.6</v>
          </cell>
          <cell r="I834" t="str">
            <v>From M3B to M4B (10°)</v>
          </cell>
          <cell r="J834" t="str">
            <v>IE3</v>
          </cell>
          <cell r="K834">
            <v>400</v>
          </cell>
          <cell r="L834">
            <v>50</v>
          </cell>
          <cell r="M834">
            <v>1.9</v>
          </cell>
          <cell r="N834">
            <v>55</v>
          </cell>
          <cell r="O834" t="str">
            <v>F(105°C)</v>
          </cell>
          <cell r="P834" t="str">
            <v>0°</v>
          </cell>
          <cell r="Q834" t="str">
            <v>-</v>
          </cell>
          <cell r="R834" t="str">
            <v>-</v>
          </cell>
          <cell r="S834" t="str">
            <v>-</v>
          </cell>
          <cell r="T834" t="str">
            <v>-</v>
          </cell>
          <cell r="U834" t="str">
            <v>T</v>
          </cell>
          <cell r="V834" t="str">
            <v>D</v>
          </cell>
          <cell r="W834" t="str">
            <v>-</v>
          </cell>
          <cell r="X834" t="str">
            <v>CLP HC VG 220 = -20° + 60°</v>
          </cell>
          <cell r="Y834" t="str">
            <v>KA37/T DRN80M4</v>
          </cell>
          <cell r="Z834" t="str">
            <v>SEW</v>
          </cell>
          <cell r="AB834" t="str">
            <v>-</v>
          </cell>
          <cell r="AF834">
            <v>162</v>
          </cell>
          <cell r="AG834" t="str">
            <v>DRN80M4</v>
          </cell>
          <cell r="AH834" t="str">
            <v>KA37T-DRN80M4B0-X</v>
          </cell>
        </row>
        <row r="835">
          <cell r="A835" t="str">
            <v>MR000831</v>
          </cell>
          <cell r="B835" t="str">
            <v>MR</v>
          </cell>
          <cell r="C835">
            <v>37</v>
          </cell>
          <cell r="D835">
            <v>89</v>
          </cell>
          <cell r="E835" t="str">
            <v>KH107</v>
          </cell>
          <cell r="F835">
            <v>3990</v>
          </cell>
          <cell r="G835">
            <v>16.75</v>
          </cell>
          <cell r="H835">
            <v>1.75</v>
          </cell>
          <cell r="I835" t="str">
            <v>M4B</v>
          </cell>
          <cell r="J835" t="str">
            <v>IE3</v>
          </cell>
          <cell r="K835">
            <v>400</v>
          </cell>
          <cell r="L835">
            <v>50</v>
          </cell>
          <cell r="M835">
            <v>64</v>
          </cell>
          <cell r="N835">
            <v>55</v>
          </cell>
          <cell r="O835" t="str">
            <v>F(105°C)</v>
          </cell>
          <cell r="P835" t="str">
            <v>270°</v>
          </cell>
          <cell r="Q835" t="str">
            <v>TF</v>
          </cell>
          <cell r="R835" t="str">
            <v>V(VE)</v>
          </cell>
          <cell r="S835" t="str">
            <v>Free rotation CW</v>
          </cell>
          <cell r="T835" t="str">
            <v>-</v>
          </cell>
          <cell r="U835" t="str">
            <v>T</v>
          </cell>
          <cell r="V835" t="str">
            <v>FC</v>
          </cell>
          <cell r="W835" t="str">
            <v>-</v>
          </cell>
          <cell r="X835" t="str">
            <v>CLP HC VG 220 = -20° + 60°</v>
          </cell>
          <cell r="Y835" t="str">
            <v>KH107/T DRN225S4 /RS /TF/V</v>
          </cell>
          <cell r="Z835" t="str">
            <v>SEW</v>
          </cell>
          <cell r="AB835" t="str">
            <v>-</v>
          </cell>
          <cell r="AF835">
            <v>89</v>
          </cell>
          <cell r="AG835" t="str">
            <v>DRN225S4</v>
          </cell>
          <cell r="AH835" t="str">
            <v>KH107T-DRN225S4B270-X#</v>
          </cell>
        </row>
        <row r="836">
          <cell r="A836" t="str">
            <v>MR000832</v>
          </cell>
          <cell r="B836" t="str">
            <v>MR</v>
          </cell>
          <cell r="C836">
            <v>18.5</v>
          </cell>
          <cell r="D836">
            <v>59</v>
          </cell>
          <cell r="E836" t="str">
            <v>R107</v>
          </cell>
          <cell r="F836">
            <v>2970</v>
          </cell>
          <cell r="G836">
            <v>24.9</v>
          </cell>
          <cell r="H836">
            <v>1.45</v>
          </cell>
          <cell r="I836" t="str">
            <v>From M1 to M4 (15°)</v>
          </cell>
          <cell r="J836" t="str">
            <v>IE3</v>
          </cell>
          <cell r="K836">
            <v>400</v>
          </cell>
          <cell r="L836">
            <v>50</v>
          </cell>
          <cell r="M836">
            <v>33.5</v>
          </cell>
          <cell r="N836">
            <v>55</v>
          </cell>
          <cell r="O836" t="str">
            <v>F(105°C)</v>
          </cell>
          <cell r="P836" t="str">
            <v>270°</v>
          </cell>
          <cell r="Q836" t="str">
            <v>-</v>
          </cell>
          <cell r="R836" t="str">
            <v>-</v>
          </cell>
          <cell r="S836" t="str">
            <v>-</v>
          </cell>
          <cell r="T836" t="str">
            <v>-</v>
          </cell>
          <cell r="U836" t="str">
            <v>-</v>
          </cell>
          <cell r="V836" t="str">
            <v>D</v>
          </cell>
          <cell r="W836" t="str">
            <v>-</v>
          </cell>
          <cell r="X836" t="str">
            <v>CLP HC VG 220 = -20° + 60°</v>
          </cell>
          <cell r="Y836" t="str">
            <v>R107DRN180M4</v>
          </cell>
          <cell r="Z836" t="str">
            <v>SEW</v>
          </cell>
          <cell r="AB836" t="str">
            <v>-</v>
          </cell>
          <cell r="AF836">
            <v>59</v>
          </cell>
          <cell r="AG836" t="str">
            <v>DRN180M4</v>
          </cell>
          <cell r="AH836" t="str">
            <v>R107-DRN180M4270-X</v>
          </cell>
        </row>
        <row r="837">
          <cell r="A837" t="str">
            <v>MR000833</v>
          </cell>
          <cell r="B837" t="str">
            <v>MR</v>
          </cell>
          <cell r="C837">
            <v>0.25</v>
          </cell>
          <cell r="D837">
            <v>1.6</v>
          </cell>
          <cell r="E837" t="str">
            <v>KA77R37</v>
          </cell>
          <cell r="F837">
            <v>1330</v>
          </cell>
          <cell r="G837">
            <v>815</v>
          </cell>
          <cell r="H837">
            <v>1.1499999999999999</v>
          </cell>
          <cell r="I837" t="str">
            <v>M3B</v>
          </cell>
          <cell r="J837" t="str">
            <v>IE3</v>
          </cell>
          <cell r="K837">
            <v>400</v>
          </cell>
          <cell r="L837">
            <v>50</v>
          </cell>
          <cell r="M837">
            <v>0.68</v>
          </cell>
          <cell r="N837">
            <v>54</v>
          </cell>
          <cell r="O837" t="str">
            <v>B(80°C)</v>
          </cell>
          <cell r="P837" t="str">
            <v>0°</v>
          </cell>
          <cell r="Q837" t="str">
            <v>-</v>
          </cell>
          <cell r="R837" t="str">
            <v>-</v>
          </cell>
          <cell r="S837" t="str">
            <v>-</v>
          </cell>
          <cell r="T837" t="str">
            <v>BE</v>
          </cell>
          <cell r="U837" t="str">
            <v>T</v>
          </cell>
          <cell r="V837" t="str">
            <v>D+R</v>
          </cell>
          <cell r="W837" t="str">
            <v>-</v>
          </cell>
          <cell r="X837" t="str">
            <v>CLP HC VG 220 = -20° + 60°</v>
          </cell>
          <cell r="Y837" t="str">
            <v>KA77R37/T DRN71MS4 /BE</v>
          </cell>
          <cell r="Z837" t="str">
            <v>SEW</v>
          </cell>
          <cell r="AB837" t="str">
            <v>-</v>
          </cell>
          <cell r="AF837">
            <v>1.6</v>
          </cell>
          <cell r="AG837" t="str">
            <v>DRN71MS4</v>
          </cell>
          <cell r="AH837" t="str">
            <v>KA77R37T-DRN71MS4B0-X</v>
          </cell>
        </row>
        <row r="838">
          <cell r="A838" t="str">
            <v>MR000834</v>
          </cell>
          <cell r="B838" t="str">
            <v>MR</v>
          </cell>
          <cell r="C838">
            <v>30</v>
          </cell>
          <cell r="D838">
            <v>89</v>
          </cell>
          <cell r="E838" t="str">
            <v>KH97</v>
          </cell>
          <cell r="F838">
            <v>3200</v>
          </cell>
          <cell r="G838">
            <v>16.559999999999999</v>
          </cell>
          <cell r="H838">
            <v>1.2</v>
          </cell>
          <cell r="I838" t="str">
            <v>M4A</v>
          </cell>
          <cell r="J838" t="str">
            <v>IE3</v>
          </cell>
          <cell r="K838">
            <v>400</v>
          </cell>
          <cell r="L838">
            <v>50</v>
          </cell>
          <cell r="M838">
            <v>57</v>
          </cell>
          <cell r="N838">
            <v>55</v>
          </cell>
          <cell r="O838" t="str">
            <v>F(105°C)</v>
          </cell>
          <cell r="P838" t="str">
            <v>270°</v>
          </cell>
          <cell r="Q838" t="str">
            <v>-</v>
          </cell>
          <cell r="R838" t="str">
            <v>-</v>
          </cell>
          <cell r="S838" t="str">
            <v>Free rotation CCW</v>
          </cell>
          <cell r="T838" t="str">
            <v>-</v>
          </cell>
          <cell r="U838" t="str">
            <v>T</v>
          </cell>
          <cell r="V838" t="str">
            <v>SS</v>
          </cell>
          <cell r="W838" t="str">
            <v>-</v>
          </cell>
          <cell r="X838" t="str">
            <v>CLP HC VG 150 = -40° + 40°</v>
          </cell>
          <cell r="Y838" t="str">
            <v>KH97/T/II2GDEDRN200L4/3D/AL/C</v>
          </cell>
          <cell r="Z838" t="str">
            <v>SEW</v>
          </cell>
          <cell r="AB838" t="str">
            <v>ATEX22</v>
          </cell>
          <cell r="AF838">
            <v>89</v>
          </cell>
          <cell r="AG838" t="str">
            <v>EDRN200L4</v>
          </cell>
          <cell r="AH838" t="str">
            <v>KH97T-EDRN200L4A270-X</v>
          </cell>
        </row>
        <row r="839">
          <cell r="A839" t="str">
            <v>MR000835</v>
          </cell>
          <cell r="B839" t="str">
            <v>MR</v>
          </cell>
          <cell r="C839">
            <v>15</v>
          </cell>
          <cell r="D839">
            <v>49</v>
          </cell>
          <cell r="E839" t="str">
            <v>FH97</v>
          </cell>
          <cell r="F839">
            <v>2950</v>
          </cell>
          <cell r="G839">
            <v>30.39</v>
          </cell>
          <cell r="H839">
            <v>1.45</v>
          </cell>
          <cell r="I839" t="str">
            <v>M1</v>
          </cell>
          <cell r="J839" t="str">
            <v>IE3</v>
          </cell>
          <cell r="K839">
            <v>400</v>
          </cell>
          <cell r="L839">
            <v>50</v>
          </cell>
          <cell r="M839">
            <v>29.5</v>
          </cell>
          <cell r="N839">
            <v>55</v>
          </cell>
          <cell r="O839" t="str">
            <v>F(105°C)</v>
          </cell>
          <cell r="P839" t="str">
            <v>270°</v>
          </cell>
          <cell r="Q839" t="str">
            <v>-</v>
          </cell>
          <cell r="R839" t="str">
            <v>-</v>
          </cell>
          <cell r="S839" t="str">
            <v>-</v>
          </cell>
          <cell r="T839" t="str">
            <v>-</v>
          </cell>
          <cell r="U839" t="str">
            <v>G</v>
          </cell>
          <cell r="V839" t="str">
            <v>D</v>
          </cell>
          <cell r="W839" t="str">
            <v>-</v>
          </cell>
          <cell r="X839" t="str">
            <v>CLP HC VG 150 = -40° + 40°</v>
          </cell>
          <cell r="Y839" t="str">
            <v>FH97/G/II2GDEDRN160L4/3D/AL</v>
          </cell>
          <cell r="Z839" t="str">
            <v>SEW</v>
          </cell>
          <cell r="AB839" t="str">
            <v>ATEX22</v>
          </cell>
          <cell r="AF839">
            <v>49</v>
          </cell>
          <cell r="AG839" t="str">
            <v>EDRN160L4</v>
          </cell>
          <cell r="AH839" t="str">
            <v>FH97G-EDRN160L4270-X</v>
          </cell>
        </row>
        <row r="840">
          <cell r="A840" t="str">
            <v>MR000836</v>
          </cell>
          <cell r="B840" t="str">
            <v>MR</v>
          </cell>
          <cell r="C840">
            <v>5.5</v>
          </cell>
          <cell r="D840">
            <v>24</v>
          </cell>
          <cell r="E840" t="str">
            <v>R97</v>
          </cell>
          <cell r="F840">
            <v>2150</v>
          </cell>
          <cell r="G840">
            <v>59.92</v>
          </cell>
          <cell r="H840">
            <v>1.4</v>
          </cell>
          <cell r="I840" t="str">
            <v>M1</v>
          </cell>
          <cell r="J840" t="str">
            <v>IE3</v>
          </cell>
          <cell r="K840">
            <v>400</v>
          </cell>
          <cell r="L840">
            <v>50</v>
          </cell>
          <cell r="N840">
            <v>55</v>
          </cell>
          <cell r="O840" t="str">
            <v>F(105°C)</v>
          </cell>
          <cell r="P840" t="str">
            <v>270°</v>
          </cell>
          <cell r="Q840" t="str">
            <v>-</v>
          </cell>
          <cell r="R840" t="str">
            <v>-</v>
          </cell>
          <cell r="S840" t="str">
            <v>-</v>
          </cell>
          <cell r="T840" t="str">
            <v>-</v>
          </cell>
          <cell r="U840" t="str">
            <v>-</v>
          </cell>
          <cell r="V840" t="str">
            <v>D</v>
          </cell>
          <cell r="W840" t="str">
            <v>-</v>
          </cell>
          <cell r="X840" t="str">
            <v>CLP HC VG 150 = -40° + 40°</v>
          </cell>
          <cell r="Y840" t="str">
            <v>R97DRN132S4</v>
          </cell>
          <cell r="Z840" t="str">
            <v>SEW</v>
          </cell>
          <cell r="AB840" t="str">
            <v>-</v>
          </cell>
          <cell r="AF840">
            <v>24</v>
          </cell>
          <cell r="AG840" t="str">
            <v>DRN132S4</v>
          </cell>
          <cell r="AH840" t="str">
            <v>R97-DRN132S4270-X</v>
          </cell>
        </row>
        <row r="841">
          <cell r="A841" t="str">
            <v>MR000837</v>
          </cell>
          <cell r="B841" t="str">
            <v>MR</v>
          </cell>
          <cell r="C841">
            <v>1.5</v>
          </cell>
          <cell r="D841">
            <v>24</v>
          </cell>
          <cell r="E841" t="str">
            <v>KA67</v>
          </cell>
          <cell r="F841">
            <v>590</v>
          </cell>
          <cell r="G841">
            <v>60.66</v>
          </cell>
          <cell r="H841">
            <v>1.1499999999999999</v>
          </cell>
          <cell r="I841" t="str">
            <v>M4A</v>
          </cell>
          <cell r="J841" t="str">
            <v>IE3</v>
          </cell>
          <cell r="K841">
            <v>400</v>
          </cell>
          <cell r="L841">
            <v>50</v>
          </cell>
          <cell r="N841">
            <v>55</v>
          </cell>
          <cell r="O841" t="str">
            <v>F(105°C)</v>
          </cell>
          <cell r="P841" t="str">
            <v>270°</v>
          </cell>
          <cell r="Q841" t="str">
            <v>-</v>
          </cell>
          <cell r="R841" t="str">
            <v>-</v>
          </cell>
          <cell r="S841" t="str">
            <v>-</v>
          </cell>
          <cell r="T841" t="str">
            <v>BE</v>
          </cell>
          <cell r="U841" t="str">
            <v>T</v>
          </cell>
          <cell r="V841" t="str">
            <v>D+R</v>
          </cell>
          <cell r="W841" t="str">
            <v>-</v>
          </cell>
          <cell r="X841" t="str">
            <v>CLP (CC) VG 220 = -15° + 40°</v>
          </cell>
          <cell r="Y841" t="str">
            <v>KA67/T EDRN90L4 /BE</v>
          </cell>
          <cell r="Z841" t="str">
            <v>SEW</v>
          </cell>
          <cell r="AB841" t="str">
            <v>ATEX22</v>
          </cell>
          <cell r="AF841">
            <v>24</v>
          </cell>
          <cell r="AG841" t="str">
            <v>EDRN90L4</v>
          </cell>
          <cell r="AH841" t="str">
            <v>KA67T-EDRN90L4A270-X</v>
          </cell>
        </row>
        <row r="842">
          <cell r="A842" t="str">
            <v>MR000838</v>
          </cell>
          <cell r="B842" t="str">
            <v>ME</v>
          </cell>
          <cell r="C842">
            <v>7.5</v>
          </cell>
          <cell r="D842">
            <v>1468</v>
          </cell>
          <cell r="E842" t="str">
            <v>-</v>
          </cell>
          <cell r="J842" t="str">
            <v>IE3</v>
          </cell>
          <cell r="K842" t="str">
            <v>400/690</v>
          </cell>
          <cell r="L842">
            <v>50</v>
          </cell>
          <cell r="N842">
            <v>55</v>
          </cell>
          <cell r="O842" t="str">
            <v>F(105°C)</v>
          </cell>
          <cell r="P842" t="str">
            <v>270°</v>
          </cell>
          <cell r="Q842" t="str">
            <v>TF</v>
          </cell>
          <cell r="R842" t="str">
            <v>-</v>
          </cell>
          <cell r="S842" t="str">
            <v>Free rotation CW</v>
          </cell>
          <cell r="T842" t="str">
            <v>-</v>
          </cell>
          <cell r="U842" t="str">
            <v>-</v>
          </cell>
          <cell r="V842" t="str">
            <v>SS</v>
          </cell>
          <cell r="W842" t="str">
            <v>-</v>
          </cell>
          <cell r="X842" t="str">
            <v xml:space="preserve"> -</v>
          </cell>
          <cell r="Y842" t="str">
            <v>DRN132M4/FG/RS/TF/AL</v>
          </cell>
          <cell r="Z842" t="str">
            <v>SEW</v>
          </cell>
          <cell r="AB842" t="str">
            <v>-</v>
          </cell>
          <cell r="AF842">
            <v>1468</v>
          </cell>
          <cell r="AG842" t="str">
            <v>DRN132M4</v>
          </cell>
          <cell r="AH842" t="str">
            <v>--DRN132M4270-X</v>
          </cell>
        </row>
        <row r="843">
          <cell r="A843" t="str">
            <v>MR000839</v>
          </cell>
          <cell r="B843" t="str">
            <v>ME</v>
          </cell>
          <cell r="C843">
            <v>7.5</v>
          </cell>
          <cell r="D843">
            <v>1468</v>
          </cell>
          <cell r="E843" t="str">
            <v>-</v>
          </cell>
          <cell r="J843" t="str">
            <v>IE3</v>
          </cell>
          <cell r="K843" t="str">
            <v>400/690</v>
          </cell>
          <cell r="L843">
            <v>50</v>
          </cell>
          <cell r="N843">
            <v>55</v>
          </cell>
          <cell r="O843" t="str">
            <v>F(105°C)</v>
          </cell>
          <cell r="P843" t="str">
            <v>270°</v>
          </cell>
          <cell r="Q843" t="str">
            <v>TF</v>
          </cell>
          <cell r="R843" t="str">
            <v>-</v>
          </cell>
          <cell r="S843" t="str">
            <v>-</v>
          </cell>
          <cell r="T843" t="str">
            <v>-</v>
          </cell>
          <cell r="U843" t="str">
            <v>-</v>
          </cell>
          <cell r="V843" t="str">
            <v>SS</v>
          </cell>
          <cell r="W843" t="str">
            <v>-</v>
          </cell>
          <cell r="X843" t="str">
            <v xml:space="preserve"> -</v>
          </cell>
          <cell r="Y843" t="str">
            <v>DRN132M4/FG/TF/AL</v>
          </cell>
          <cell r="Z843" t="str">
            <v>SEW</v>
          </cell>
          <cell r="AB843" t="str">
            <v>-</v>
          </cell>
          <cell r="AF843">
            <v>1468</v>
          </cell>
          <cell r="AG843" t="str">
            <v>DRN132M4</v>
          </cell>
          <cell r="AH843" t="str">
            <v>--DRN132M4270-X</v>
          </cell>
        </row>
        <row r="844">
          <cell r="A844" t="str">
            <v>MR000840</v>
          </cell>
          <cell r="B844" t="str">
            <v>ME</v>
          </cell>
          <cell r="C844">
            <v>0.75</v>
          </cell>
          <cell r="D844">
            <v>1440</v>
          </cell>
          <cell r="E844" t="str">
            <v>-</v>
          </cell>
          <cell r="J844" t="str">
            <v>IE3</v>
          </cell>
          <cell r="K844" t="str">
            <v>230/400</v>
          </cell>
          <cell r="L844">
            <v>50</v>
          </cell>
          <cell r="N844">
            <v>55</v>
          </cell>
          <cell r="O844" t="str">
            <v>F(105°C)</v>
          </cell>
          <cell r="P844" t="str">
            <v>270°</v>
          </cell>
          <cell r="Q844" t="str">
            <v>TF</v>
          </cell>
          <cell r="R844" t="str">
            <v>-</v>
          </cell>
          <cell r="S844" t="str">
            <v>-</v>
          </cell>
          <cell r="T844" t="str">
            <v>-</v>
          </cell>
          <cell r="U844" t="str">
            <v>-</v>
          </cell>
          <cell r="V844" t="str">
            <v>D</v>
          </cell>
          <cell r="W844" t="str">
            <v>-</v>
          </cell>
          <cell r="X844" t="str">
            <v xml:space="preserve"> -</v>
          </cell>
          <cell r="Y844" t="str">
            <v>DRN80M4/FG/TF/AL</v>
          </cell>
          <cell r="Z844" t="str">
            <v>SEW</v>
          </cell>
          <cell r="AB844" t="str">
            <v>-</v>
          </cell>
          <cell r="AF844">
            <v>1440</v>
          </cell>
          <cell r="AG844" t="str">
            <v>DRN80M4</v>
          </cell>
          <cell r="AH844" t="str">
            <v>--DRN80M4270-X</v>
          </cell>
        </row>
        <row r="845">
          <cell r="A845" t="str">
            <v>MR000841</v>
          </cell>
          <cell r="B845" t="str">
            <v>ME</v>
          </cell>
          <cell r="C845">
            <v>11</v>
          </cell>
          <cell r="D845">
            <v>1473</v>
          </cell>
          <cell r="E845" t="str">
            <v>-</v>
          </cell>
          <cell r="J845" t="str">
            <v>IE3</v>
          </cell>
          <cell r="K845" t="str">
            <v>400/690</v>
          </cell>
          <cell r="L845">
            <v>50</v>
          </cell>
          <cell r="N845">
            <v>55</v>
          </cell>
          <cell r="O845" t="str">
            <v>F(105°C)</v>
          </cell>
          <cell r="P845" t="str">
            <v>270°</v>
          </cell>
          <cell r="Q845" t="str">
            <v>TF</v>
          </cell>
          <cell r="R845" t="str">
            <v>-</v>
          </cell>
          <cell r="S845" t="str">
            <v>-</v>
          </cell>
          <cell r="T845" t="str">
            <v>-</v>
          </cell>
          <cell r="U845" t="str">
            <v>-</v>
          </cell>
          <cell r="V845" t="str">
            <v>D</v>
          </cell>
          <cell r="W845" t="str">
            <v>-</v>
          </cell>
          <cell r="X845" t="str">
            <v xml:space="preserve"> -</v>
          </cell>
          <cell r="Y845" t="str">
            <v>DRN160M4/FG/TF/AL</v>
          </cell>
          <cell r="Z845" t="str">
            <v>SEW</v>
          </cell>
          <cell r="AB845" t="str">
            <v>-</v>
          </cell>
          <cell r="AF845">
            <v>1473</v>
          </cell>
          <cell r="AG845" t="str">
            <v>DRN160M4</v>
          </cell>
          <cell r="AH845" t="str">
            <v>--DRN160M4270-X</v>
          </cell>
        </row>
        <row r="846">
          <cell r="A846" t="str">
            <v>MR000842</v>
          </cell>
          <cell r="B846" t="str">
            <v>ME</v>
          </cell>
          <cell r="C846">
            <v>11</v>
          </cell>
          <cell r="D846">
            <v>1473</v>
          </cell>
          <cell r="E846" t="str">
            <v>-</v>
          </cell>
          <cell r="J846" t="str">
            <v>IE3</v>
          </cell>
          <cell r="K846" t="str">
            <v>400/690</v>
          </cell>
          <cell r="L846">
            <v>50</v>
          </cell>
          <cell r="N846">
            <v>55</v>
          </cell>
          <cell r="O846" t="str">
            <v>F(105°C)</v>
          </cell>
          <cell r="P846" t="str">
            <v>270°</v>
          </cell>
          <cell r="Q846" t="str">
            <v>TF</v>
          </cell>
          <cell r="R846" t="str">
            <v>-</v>
          </cell>
          <cell r="S846" t="str">
            <v>Free rotation CCW</v>
          </cell>
          <cell r="T846" t="str">
            <v>-</v>
          </cell>
          <cell r="U846" t="str">
            <v>-</v>
          </cell>
          <cell r="V846" t="str">
            <v>SS</v>
          </cell>
          <cell r="W846" t="str">
            <v>-</v>
          </cell>
          <cell r="X846" t="str">
            <v xml:space="preserve"> -</v>
          </cell>
          <cell r="Y846" t="str">
            <v>DRN160M4/FG/RS/TF/AL</v>
          </cell>
          <cell r="Z846" t="str">
            <v>SEW</v>
          </cell>
          <cell r="AB846" t="str">
            <v>-</v>
          </cell>
          <cell r="AF846">
            <v>1473</v>
          </cell>
          <cell r="AG846" t="str">
            <v>DRN160M4</v>
          </cell>
          <cell r="AH846" t="str">
            <v>--DRN160M4270-X</v>
          </cell>
        </row>
        <row r="847">
          <cell r="A847" t="str">
            <v>MR000843</v>
          </cell>
          <cell r="B847" t="str">
            <v>ME</v>
          </cell>
          <cell r="C847">
            <v>4</v>
          </cell>
          <cell r="D847">
            <v>1464</v>
          </cell>
          <cell r="E847" t="str">
            <v>-</v>
          </cell>
          <cell r="J847" t="str">
            <v>IE3</v>
          </cell>
          <cell r="K847" t="str">
            <v>230/400</v>
          </cell>
          <cell r="L847">
            <v>50</v>
          </cell>
          <cell r="N847">
            <v>55</v>
          </cell>
          <cell r="O847" t="str">
            <v>F(105°C)</v>
          </cell>
          <cell r="P847" t="str">
            <v>270°</v>
          </cell>
          <cell r="Q847" t="str">
            <v>TF</v>
          </cell>
          <cell r="R847" t="str">
            <v>-</v>
          </cell>
          <cell r="S847" t="str">
            <v>-</v>
          </cell>
          <cell r="T847" t="str">
            <v>-</v>
          </cell>
          <cell r="U847" t="str">
            <v>-</v>
          </cell>
          <cell r="V847" t="str">
            <v>D</v>
          </cell>
          <cell r="W847" t="str">
            <v>-</v>
          </cell>
          <cell r="X847" t="str">
            <v xml:space="preserve"> -</v>
          </cell>
          <cell r="Y847" t="str">
            <v>DRN112M4/FG/TF/AL</v>
          </cell>
          <cell r="Z847" t="str">
            <v>SEW</v>
          </cell>
          <cell r="AB847" t="str">
            <v>-</v>
          </cell>
          <cell r="AF847">
            <v>1464</v>
          </cell>
          <cell r="AG847" t="str">
            <v>DRN112M4</v>
          </cell>
          <cell r="AH847" t="str">
            <v>--DRN112M4270-X</v>
          </cell>
        </row>
        <row r="848">
          <cell r="A848" t="str">
            <v>MR000844</v>
          </cell>
          <cell r="B848" t="str">
            <v>ME</v>
          </cell>
          <cell r="C848">
            <v>11</v>
          </cell>
          <cell r="D848">
            <v>1473</v>
          </cell>
          <cell r="E848" t="str">
            <v>-</v>
          </cell>
          <cell r="J848" t="str">
            <v>IE3</v>
          </cell>
          <cell r="K848" t="str">
            <v>400/690</v>
          </cell>
          <cell r="L848">
            <v>50</v>
          </cell>
          <cell r="N848">
            <v>55</v>
          </cell>
          <cell r="O848" t="str">
            <v>F(105°C)</v>
          </cell>
          <cell r="P848" t="str">
            <v>270°</v>
          </cell>
          <cell r="Q848" t="str">
            <v>TF</v>
          </cell>
          <cell r="R848" t="str">
            <v>-</v>
          </cell>
          <cell r="S848" t="str">
            <v>-</v>
          </cell>
          <cell r="T848" t="str">
            <v>-</v>
          </cell>
          <cell r="U848" t="str">
            <v>-</v>
          </cell>
          <cell r="V848" t="str">
            <v>SS</v>
          </cell>
          <cell r="W848" t="str">
            <v>-</v>
          </cell>
          <cell r="X848" t="str">
            <v xml:space="preserve"> -</v>
          </cell>
          <cell r="Y848" t="str">
            <v>DRN160M4/FG/TF/AL</v>
          </cell>
          <cell r="Z848" t="str">
            <v>SEW</v>
          </cell>
          <cell r="AB848" t="str">
            <v>-</v>
          </cell>
          <cell r="AF848">
            <v>1473</v>
          </cell>
          <cell r="AG848" t="str">
            <v>DRN160M4</v>
          </cell>
          <cell r="AH848" t="str">
            <v>--DRN160M4270-X</v>
          </cell>
        </row>
        <row r="849">
          <cell r="A849" t="str">
            <v>MR000845</v>
          </cell>
          <cell r="B849" t="str">
            <v>ME</v>
          </cell>
          <cell r="C849">
            <v>18.5</v>
          </cell>
          <cell r="D849">
            <v>1478</v>
          </cell>
          <cell r="E849" t="str">
            <v>-</v>
          </cell>
          <cell r="J849" t="str">
            <v>IE3</v>
          </cell>
          <cell r="K849" t="str">
            <v>400/690</v>
          </cell>
          <cell r="L849">
            <v>50</v>
          </cell>
          <cell r="N849">
            <v>55</v>
          </cell>
          <cell r="O849" t="str">
            <v>F(105°C)</v>
          </cell>
          <cell r="P849" t="str">
            <v>270°</v>
          </cell>
          <cell r="Q849" t="str">
            <v>TF</v>
          </cell>
          <cell r="R849" t="str">
            <v>-</v>
          </cell>
          <cell r="S849" t="str">
            <v>-</v>
          </cell>
          <cell r="T849" t="str">
            <v>-</v>
          </cell>
          <cell r="U849" t="str">
            <v>-</v>
          </cell>
          <cell r="V849" t="str">
            <v>SS</v>
          </cell>
          <cell r="W849" t="str">
            <v>-</v>
          </cell>
          <cell r="X849" t="str">
            <v xml:space="preserve"> -</v>
          </cell>
          <cell r="Y849" t="str">
            <v>DRN180M4/FG/TF/AL</v>
          </cell>
          <cell r="Z849" t="str">
            <v>SEW</v>
          </cell>
          <cell r="AB849" t="str">
            <v>-</v>
          </cell>
          <cell r="AF849">
            <v>1478</v>
          </cell>
          <cell r="AG849" t="str">
            <v>DRN180M4</v>
          </cell>
          <cell r="AH849" t="str">
            <v>--DRN180M4270-X</v>
          </cell>
        </row>
        <row r="850">
          <cell r="A850" t="str">
            <v>MR000846</v>
          </cell>
          <cell r="B850" t="str">
            <v>ME</v>
          </cell>
          <cell r="C850">
            <v>18.5</v>
          </cell>
          <cell r="D850">
            <v>1478</v>
          </cell>
          <cell r="E850" t="str">
            <v>-</v>
          </cell>
          <cell r="J850" t="str">
            <v>IE3</v>
          </cell>
          <cell r="K850" t="str">
            <v>400/690</v>
          </cell>
          <cell r="L850">
            <v>50</v>
          </cell>
          <cell r="N850">
            <v>55</v>
          </cell>
          <cell r="O850" t="str">
            <v>F(105°C)</v>
          </cell>
          <cell r="P850" t="str">
            <v>270°</v>
          </cell>
          <cell r="Q850" t="str">
            <v>TF</v>
          </cell>
          <cell r="R850" t="str">
            <v>-</v>
          </cell>
          <cell r="S850" t="str">
            <v>Free rotation CW</v>
          </cell>
          <cell r="T850" t="str">
            <v>-</v>
          </cell>
          <cell r="U850" t="str">
            <v>-</v>
          </cell>
          <cell r="V850" t="str">
            <v>SS</v>
          </cell>
          <cell r="W850" t="str">
            <v>-</v>
          </cell>
          <cell r="X850" t="str">
            <v xml:space="preserve"> -</v>
          </cell>
          <cell r="Y850" t="str">
            <v>DRN180M4/FG/RS/TF/AL</v>
          </cell>
          <cell r="Z850" t="str">
            <v>SEW</v>
          </cell>
          <cell r="AB850" t="str">
            <v>-</v>
          </cell>
          <cell r="AF850">
            <v>1478</v>
          </cell>
          <cell r="AG850" t="str">
            <v>DRN180M4</v>
          </cell>
          <cell r="AH850" t="str">
            <v>--DRN180M4270-X</v>
          </cell>
        </row>
        <row r="851">
          <cell r="A851" t="str">
            <v>MR000847</v>
          </cell>
          <cell r="B851" t="str">
            <v>ME</v>
          </cell>
          <cell r="C851">
            <v>9.1999999999999993</v>
          </cell>
          <cell r="D851">
            <v>1470</v>
          </cell>
          <cell r="E851" t="str">
            <v>-</v>
          </cell>
          <cell r="J851" t="str">
            <v>IE3</v>
          </cell>
          <cell r="K851" t="str">
            <v>400/690</v>
          </cell>
          <cell r="L851">
            <v>50</v>
          </cell>
          <cell r="N851">
            <v>55</v>
          </cell>
          <cell r="O851" t="str">
            <v>F(105°C)</v>
          </cell>
          <cell r="P851" t="str">
            <v>270°</v>
          </cell>
          <cell r="Q851" t="str">
            <v>TF</v>
          </cell>
          <cell r="R851" t="str">
            <v>-</v>
          </cell>
          <cell r="S851" t="str">
            <v>-</v>
          </cell>
          <cell r="T851" t="str">
            <v>-</v>
          </cell>
          <cell r="U851" t="str">
            <v>-</v>
          </cell>
          <cell r="V851" t="str">
            <v>D</v>
          </cell>
          <cell r="W851" t="str">
            <v>-</v>
          </cell>
          <cell r="X851" t="str">
            <v xml:space="preserve"> -</v>
          </cell>
          <cell r="Y851" t="str">
            <v>DRN132L4/FG/TF/AL</v>
          </cell>
          <cell r="Z851" t="str">
            <v>SEW</v>
          </cell>
          <cell r="AB851" t="str">
            <v>-</v>
          </cell>
          <cell r="AF851">
            <v>1470</v>
          </cell>
          <cell r="AG851" t="str">
            <v>DRN132L4</v>
          </cell>
          <cell r="AH851" t="str">
            <v>--DRN132L4270-X</v>
          </cell>
        </row>
        <row r="852">
          <cell r="A852" t="str">
            <v>MR000848</v>
          </cell>
          <cell r="B852" t="str">
            <v>MR</v>
          </cell>
          <cell r="C852">
            <v>15</v>
          </cell>
          <cell r="D852">
            <v>12</v>
          </cell>
          <cell r="E852" t="str">
            <v>KH127</v>
          </cell>
          <cell r="F852">
            <v>11900</v>
          </cell>
          <cell r="G852">
            <v>122.48</v>
          </cell>
          <cell r="H852">
            <v>1.1000000000000001</v>
          </cell>
          <cell r="I852" t="str">
            <v>From M1A to M2A - 35°</v>
          </cell>
          <cell r="J852" t="str">
            <v>IE3</v>
          </cell>
          <cell r="K852">
            <v>440</v>
          </cell>
          <cell r="L852">
            <v>60</v>
          </cell>
          <cell r="M852">
            <v>26.36363636363636</v>
          </cell>
          <cell r="N852">
            <v>55</v>
          </cell>
          <cell r="O852" t="str">
            <v>F(105°C)</v>
          </cell>
          <cell r="P852" t="str">
            <v>180°</v>
          </cell>
          <cell r="Q852" t="str">
            <v>TF</v>
          </cell>
          <cell r="R852" t="str">
            <v>V(VE)</v>
          </cell>
          <cell r="S852" t="str">
            <v>-</v>
          </cell>
          <cell r="T852" t="str">
            <v>-</v>
          </cell>
          <cell r="U852" t="str">
            <v>-</v>
          </cell>
          <cell r="V852" t="str">
            <v>FC</v>
          </cell>
          <cell r="W852" t="str">
            <v>-</v>
          </cell>
          <cell r="X852" t="str">
            <v>CLP (CC) VG 220 = -15° + 40°</v>
          </cell>
          <cell r="Y852" t="str">
            <v>KH127DRN160L4 /TF/V</v>
          </cell>
          <cell r="Z852" t="str">
            <v>SEW</v>
          </cell>
          <cell r="AB852" t="str">
            <v>-</v>
          </cell>
          <cell r="AF852">
            <v>14.4</v>
          </cell>
          <cell r="AG852" t="str">
            <v>DRN160L4</v>
          </cell>
          <cell r="AH852" t="str">
            <v>KH127-DRN160L4A180-X#</v>
          </cell>
        </row>
        <row r="853">
          <cell r="A853" t="str">
            <v>MR000849</v>
          </cell>
          <cell r="B853" t="str">
            <v>MR</v>
          </cell>
          <cell r="C853">
            <v>15</v>
          </cell>
          <cell r="D853">
            <v>12</v>
          </cell>
          <cell r="E853" t="str">
            <v>KH127</v>
          </cell>
          <cell r="F853">
            <v>11900</v>
          </cell>
          <cell r="G853">
            <v>122.48</v>
          </cell>
          <cell r="H853">
            <v>1.1000000000000001</v>
          </cell>
          <cell r="I853" t="str">
            <v>From M1B to M2B - 35°</v>
          </cell>
          <cell r="J853" t="str">
            <v>IE3</v>
          </cell>
          <cell r="K853">
            <v>440</v>
          </cell>
          <cell r="L853">
            <v>60</v>
          </cell>
          <cell r="M853">
            <v>26.36363636363636</v>
          </cell>
          <cell r="N853">
            <v>55</v>
          </cell>
          <cell r="O853" t="str">
            <v>F(105°C)</v>
          </cell>
          <cell r="P853" t="str">
            <v>0°</v>
          </cell>
          <cell r="Q853" t="str">
            <v>TF</v>
          </cell>
          <cell r="R853" t="str">
            <v>V(VE)</v>
          </cell>
          <cell r="S853" t="str">
            <v>-</v>
          </cell>
          <cell r="T853" t="str">
            <v>-</v>
          </cell>
          <cell r="U853" t="str">
            <v>-</v>
          </cell>
          <cell r="V853" t="str">
            <v>FC</v>
          </cell>
          <cell r="W853" t="str">
            <v>-</v>
          </cell>
          <cell r="X853" t="str">
            <v>CLP (CC) VG 220 = -15° + 40°</v>
          </cell>
          <cell r="Y853" t="str">
            <v>KH127DRN160L4 /TF/V</v>
          </cell>
          <cell r="Z853" t="str">
            <v>SEW</v>
          </cell>
          <cell r="AB853" t="str">
            <v>-</v>
          </cell>
          <cell r="AF853">
            <v>14.4</v>
          </cell>
          <cell r="AG853" t="str">
            <v>DRN160L4</v>
          </cell>
          <cell r="AH853" t="str">
            <v>KH127-DRN160L4B0-X#</v>
          </cell>
        </row>
        <row r="854">
          <cell r="A854" t="str">
            <v>MR000850</v>
          </cell>
          <cell r="B854" t="str">
            <v>MR</v>
          </cell>
          <cell r="C854">
            <v>15</v>
          </cell>
          <cell r="D854">
            <v>12</v>
          </cell>
          <cell r="E854" t="str">
            <v>KH127</v>
          </cell>
          <cell r="F854">
            <v>11900</v>
          </cell>
          <cell r="G854">
            <v>122.48</v>
          </cell>
          <cell r="H854">
            <v>1.1000000000000001</v>
          </cell>
          <cell r="I854" t="str">
            <v>From M1A to M2A - 25°</v>
          </cell>
          <cell r="J854" t="str">
            <v>IE3</v>
          </cell>
          <cell r="K854">
            <v>440</v>
          </cell>
          <cell r="L854">
            <v>60</v>
          </cell>
          <cell r="M854">
            <v>26.36363636363636</v>
          </cell>
          <cell r="N854">
            <v>55</v>
          </cell>
          <cell r="O854" t="str">
            <v>F(105°C)</v>
          </cell>
          <cell r="P854" t="str">
            <v>180°</v>
          </cell>
          <cell r="Q854" t="str">
            <v>TF</v>
          </cell>
          <cell r="R854" t="str">
            <v>V(VE)</v>
          </cell>
          <cell r="S854" t="str">
            <v>-</v>
          </cell>
          <cell r="T854" t="str">
            <v>-</v>
          </cell>
          <cell r="U854" t="str">
            <v>-</v>
          </cell>
          <cell r="V854" t="str">
            <v>FC</v>
          </cell>
          <cell r="W854" t="str">
            <v>-</v>
          </cell>
          <cell r="X854" t="str">
            <v>CLP (CC) VG 220 = -15° + 40°</v>
          </cell>
          <cell r="Y854" t="str">
            <v>KH127DRN160L4 /TF/V</v>
          </cell>
          <cell r="Z854" t="str">
            <v>SEW</v>
          </cell>
          <cell r="AB854" t="str">
            <v>-</v>
          </cell>
          <cell r="AF854">
            <v>14.4</v>
          </cell>
          <cell r="AG854" t="str">
            <v>DRN160L4</v>
          </cell>
          <cell r="AH854" t="str">
            <v>KH127-DRN160L4A180-X#</v>
          </cell>
        </row>
        <row r="855">
          <cell r="A855" t="str">
            <v>MR000851</v>
          </cell>
          <cell r="B855" t="str">
            <v>MR</v>
          </cell>
          <cell r="C855">
            <v>15</v>
          </cell>
          <cell r="D855">
            <v>12</v>
          </cell>
          <cell r="E855" t="str">
            <v>KH127</v>
          </cell>
          <cell r="F855">
            <v>11900</v>
          </cell>
          <cell r="G855">
            <v>122.48</v>
          </cell>
          <cell r="H855">
            <v>1.1000000000000001</v>
          </cell>
          <cell r="I855" t="str">
            <v>From M1B to M2B - 25°</v>
          </cell>
          <cell r="J855" t="str">
            <v>IE3</v>
          </cell>
          <cell r="K855">
            <v>440</v>
          </cell>
          <cell r="L855">
            <v>60</v>
          </cell>
          <cell r="M855">
            <v>26.36363636363636</v>
          </cell>
          <cell r="N855">
            <v>55</v>
          </cell>
          <cell r="O855" t="str">
            <v>F(105°C)</v>
          </cell>
          <cell r="P855" t="str">
            <v>0°</v>
          </cell>
          <cell r="Q855" t="str">
            <v>TF</v>
          </cell>
          <cell r="R855" t="str">
            <v>V(VE)</v>
          </cell>
          <cell r="S855" t="str">
            <v>-</v>
          </cell>
          <cell r="T855" t="str">
            <v>-</v>
          </cell>
          <cell r="U855" t="str">
            <v>-</v>
          </cell>
          <cell r="V855" t="str">
            <v>FC</v>
          </cell>
          <cell r="W855" t="str">
            <v>-</v>
          </cell>
          <cell r="X855" t="str">
            <v>CLP (CC) VG 220 = -15° + 40°</v>
          </cell>
          <cell r="Y855" t="str">
            <v>KH127DRN160L4 /TF/V</v>
          </cell>
          <cell r="Z855" t="str">
            <v>SEW</v>
          </cell>
          <cell r="AB855" t="str">
            <v>-</v>
          </cell>
          <cell r="AF855">
            <v>14.4</v>
          </cell>
          <cell r="AG855" t="str">
            <v>DRN160L4</v>
          </cell>
          <cell r="AH855" t="str">
            <v>KH127-DRN160L4B0-X#</v>
          </cell>
        </row>
        <row r="856">
          <cell r="A856" t="str">
            <v>MR000852</v>
          </cell>
          <cell r="B856" t="str">
            <v>MR</v>
          </cell>
          <cell r="C856">
            <v>18.5</v>
          </cell>
          <cell r="D856">
            <v>35</v>
          </cell>
          <cell r="E856" t="str">
            <v>R127</v>
          </cell>
          <cell r="F856">
            <v>5040</v>
          </cell>
          <cell r="G856">
            <v>42.22</v>
          </cell>
          <cell r="H856">
            <v>1.2</v>
          </cell>
          <cell r="I856" t="str">
            <v>M1</v>
          </cell>
          <cell r="J856" t="str">
            <v>IE3</v>
          </cell>
          <cell r="K856">
            <v>440</v>
          </cell>
          <cell r="L856">
            <v>60</v>
          </cell>
          <cell r="M856">
            <v>30.454545454545457</v>
          </cell>
          <cell r="N856">
            <v>55</v>
          </cell>
          <cell r="O856" t="str">
            <v>F(105°C)</v>
          </cell>
          <cell r="P856" t="str">
            <v>270°</v>
          </cell>
          <cell r="Q856" t="str">
            <v>TF</v>
          </cell>
          <cell r="R856" t="str">
            <v>V(VE)</v>
          </cell>
          <cell r="S856" t="str">
            <v>-</v>
          </cell>
          <cell r="T856" t="str">
            <v>-</v>
          </cell>
          <cell r="U856" t="str">
            <v>-</v>
          </cell>
          <cell r="V856" t="str">
            <v>FC</v>
          </cell>
          <cell r="W856" t="str">
            <v>-</v>
          </cell>
          <cell r="X856" t="str">
            <v>CLP (CC) VG 220 = -15° + 40°</v>
          </cell>
          <cell r="Y856" t="str">
            <v>R127DRN180M4 /TF/V</v>
          </cell>
          <cell r="Z856" t="str">
            <v>SEW</v>
          </cell>
          <cell r="AB856" t="str">
            <v>-</v>
          </cell>
          <cell r="AF856">
            <v>42</v>
          </cell>
          <cell r="AG856" t="str">
            <v>DRN180M4</v>
          </cell>
          <cell r="AH856" t="str">
            <v>R127-DRN180M4270-X#</v>
          </cell>
        </row>
        <row r="857">
          <cell r="A857" t="str">
            <v>MR000853</v>
          </cell>
          <cell r="B857" t="str">
            <v>MR</v>
          </cell>
          <cell r="C857">
            <v>22</v>
          </cell>
          <cell r="D857">
            <v>15</v>
          </cell>
          <cell r="E857" t="str">
            <v>KH157</v>
          </cell>
          <cell r="F857">
            <v>14200</v>
          </cell>
          <cell r="G857">
            <v>100.22</v>
          </cell>
          <cell r="H857">
            <v>1.25</v>
          </cell>
          <cell r="I857" t="str">
            <v>From M1A to M2A - 30°</v>
          </cell>
          <cell r="J857" t="str">
            <v>IE3</v>
          </cell>
          <cell r="K857">
            <v>440</v>
          </cell>
          <cell r="L857">
            <v>60</v>
          </cell>
          <cell r="M857">
            <v>35</v>
          </cell>
          <cell r="N857">
            <v>55</v>
          </cell>
          <cell r="O857" t="str">
            <v>F(105°C)</v>
          </cell>
          <cell r="P857" t="str">
            <v>180°</v>
          </cell>
          <cell r="Q857" t="str">
            <v>TF</v>
          </cell>
          <cell r="R857" t="str">
            <v>V(VE)</v>
          </cell>
          <cell r="S857" t="str">
            <v>-</v>
          </cell>
          <cell r="T857" t="str">
            <v>-</v>
          </cell>
          <cell r="U857" t="str">
            <v>-</v>
          </cell>
          <cell r="V857" t="str">
            <v>FC</v>
          </cell>
          <cell r="W857" t="str">
            <v>-</v>
          </cell>
          <cell r="X857" t="str">
            <v>CLP (CC) VG 220 = -15° + 40°</v>
          </cell>
          <cell r="Y857" t="str">
            <v>KH157DRN180L4 /TF/V</v>
          </cell>
          <cell r="Z857" t="str">
            <v>SEW</v>
          </cell>
          <cell r="AB857" t="str">
            <v>-</v>
          </cell>
          <cell r="AF857">
            <v>18</v>
          </cell>
          <cell r="AG857" t="str">
            <v>DRN180L4</v>
          </cell>
          <cell r="AH857" t="str">
            <v>KH157-DRN180L4A180-X#</v>
          </cell>
        </row>
        <row r="858">
          <cell r="A858" t="str">
            <v>MR000854</v>
          </cell>
          <cell r="B858" t="str">
            <v>MR</v>
          </cell>
          <cell r="C858">
            <v>22</v>
          </cell>
          <cell r="D858">
            <v>15</v>
          </cell>
          <cell r="E858" t="str">
            <v>KH157</v>
          </cell>
          <cell r="F858">
            <v>14200</v>
          </cell>
          <cell r="G858">
            <v>100.22</v>
          </cell>
          <cell r="H858">
            <v>1.25</v>
          </cell>
          <cell r="I858" t="str">
            <v>From M1B to M2B - 30°</v>
          </cell>
          <cell r="J858" t="str">
            <v>IE3</v>
          </cell>
          <cell r="K858">
            <v>440</v>
          </cell>
          <cell r="L858">
            <v>60</v>
          </cell>
          <cell r="M858">
            <v>35</v>
          </cell>
          <cell r="N858">
            <v>55</v>
          </cell>
          <cell r="O858" t="str">
            <v>F(105°C)</v>
          </cell>
          <cell r="P858" t="str">
            <v>0°</v>
          </cell>
          <cell r="Q858" t="str">
            <v>TF</v>
          </cell>
          <cell r="R858" t="str">
            <v>V(VE)</v>
          </cell>
          <cell r="S858" t="str">
            <v>-</v>
          </cell>
          <cell r="T858" t="str">
            <v>-</v>
          </cell>
          <cell r="U858" t="str">
            <v>-</v>
          </cell>
          <cell r="V858" t="str">
            <v>FC</v>
          </cell>
          <cell r="W858" t="str">
            <v>-</v>
          </cell>
          <cell r="X858" t="str">
            <v>CLP (CC) VG 220 = -15° + 40°</v>
          </cell>
          <cell r="Y858" t="str">
            <v>KH157DRN180L4 /TF/V</v>
          </cell>
          <cell r="Z858" t="str">
            <v>SEW</v>
          </cell>
          <cell r="AB858" t="str">
            <v>-</v>
          </cell>
          <cell r="AF858">
            <v>18</v>
          </cell>
          <cell r="AG858" t="str">
            <v>DRN180L4</v>
          </cell>
          <cell r="AH858" t="str">
            <v>KH157-DRN180L4B0-X#</v>
          </cell>
        </row>
        <row r="859">
          <cell r="A859" t="str">
            <v>MR000855</v>
          </cell>
          <cell r="B859" t="str">
            <v>MR</v>
          </cell>
          <cell r="C859">
            <v>22</v>
          </cell>
          <cell r="D859">
            <v>15</v>
          </cell>
          <cell r="E859" t="str">
            <v>KH157</v>
          </cell>
          <cell r="F859">
            <v>14200</v>
          </cell>
          <cell r="G859">
            <v>100.22</v>
          </cell>
          <cell r="H859">
            <v>1.25</v>
          </cell>
          <cell r="I859" t="str">
            <v>From M1A to M2A - 35°</v>
          </cell>
          <cell r="J859" t="str">
            <v>IE3</v>
          </cell>
          <cell r="K859">
            <v>440</v>
          </cell>
          <cell r="L859">
            <v>60</v>
          </cell>
          <cell r="M859">
            <v>35</v>
          </cell>
          <cell r="N859">
            <v>55</v>
          </cell>
          <cell r="O859" t="str">
            <v>F(105°C)</v>
          </cell>
          <cell r="P859" t="str">
            <v>180°</v>
          </cell>
          <cell r="Q859" t="str">
            <v>TF</v>
          </cell>
          <cell r="R859" t="str">
            <v>V(VE)</v>
          </cell>
          <cell r="S859" t="str">
            <v>-</v>
          </cell>
          <cell r="T859" t="str">
            <v>-</v>
          </cell>
          <cell r="U859" t="str">
            <v>-</v>
          </cell>
          <cell r="V859" t="str">
            <v>FC</v>
          </cell>
          <cell r="W859" t="str">
            <v>-</v>
          </cell>
          <cell r="X859" t="str">
            <v>CLP (CC) VG 220 = -15° + 40°</v>
          </cell>
          <cell r="Y859" t="str">
            <v>KH157DRN180L4 /TF/V</v>
          </cell>
          <cell r="Z859" t="str">
            <v>SEW</v>
          </cell>
          <cell r="AB859" t="str">
            <v>-</v>
          </cell>
          <cell r="AF859">
            <v>18</v>
          </cell>
          <cell r="AG859" t="str">
            <v>DRN180L4</v>
          </cell>
          <cell r="AH859" t="str">
            <v>KH157-DRN180L4A180-X#</v>
          </cell>
        </row>
        <row r="860">
          <cell r="A860" t="str">
            <v>MR000856</v>
          </cell>
          <cell r="B860" t="str">
            <v>MR</v>
          </cell>
          <cell r="C860">
            <v>22</v>
          </cell>
          <cell r="D860">
            <v>15</v>
          </cell>
          <cell r="E860" t="str">
            <v>KH157</v>
          </cell>
          <cell r="F860">
            <v>14200</v>
          </cell>
          <cell r="G860">
            <v>100.22</v>
          </cell>
          <cell r="H860">
            <v>1.25</v>
          </cell>
          <cell r="I860" t="str">
            <v>From M1B to M2B - 35°</v>
          </cell>
          <cell r="J860" t="str">
            <v>IE3</v>
          </cell>
          <cell r="K860">
            <v>440</v>
          </cell>
          <cell r="L860">
            <v>60</v>
          </cell>
          <cell r="M860">
            <v>35</v>
          </cell>
          <cell r="N860">
            <v>55</v>
          </cell>
          <cell r="O860" t="str">
            <v>F(105°C)</v>
          </cell>
          <cell r="P860" t="str">
            <v>0°</v>
          </cell>
          <cell r="Q860" t="str">
            <v>TF</v>
          </cell>
          <cell r="R860" t="str">
            <v>V(VE)</v>
          </cell>
          <cell r="S860" t="str">
            <v>-</v>
          </cell>
          <cell r="T860" t="str">
            <v>-</v>
          </cell>
          <cell r="U860" t="str">
            <v>-</v>
          </cell>
          <cell r="V860" t="str">
            <v>FC</v>
          </cell>
          <cell r="W860" t="str">
            <v>-</v>
          </cell>
          <cell r="X860" t="str">
            <v>CLP (CC) VG 220 = -15° + 40°</v>
          </cell>
          <cell r="Y860" t="str">
            <v>KH157DRN180L4 /TF/V</v>
          </cell>
          <cell r="Z860" t="str">
            <v>SEW</v>
          </cell>
          <cell r="AB860" t="str">
            <v>-</v>
          </cell>
          <cell r="AF860">
            <v>18</v>
          </cell>
          <cell r="AG860" t="str">
            <v>DRN180L4</v>
          </cell>
          <cell r="AH860" t="str">
            <v>KH157-DRN180L4B0-X#</v>
          </cell>
        </row>
        <row r="861">
          <cell r="A861" t="str">
            <v>MR000857</v>
          </cell>
          <cell r="B861" t="str">
            <v>MR</v>
          </cell>
          <cell r="C861">
            <v>2.2000000000000002</v>
          </cell>
          <cell r="D861">
            <v>3.7</v>
          </cell>
          <cell r="E861" t="str">
            <v>R127R77</v>
          </cell>
          <cell r="F861">
            <v>5360</v>
          </cell>
          <cell r="G861">
            <v>394</v>
          </cell>
          <cell r="H861">
            <v>1.1000000000000001</v>
          </cell>
          <cell r="I861" t="str">
            <v>From M1 to M2 - 10°</v>
          </cell>
          <cell r="J861" t="str">
            <v>IE3</v>
          </cell>
          <cell r="K861">
            <v>440</v>
          </cell>
          <cell r="L861">
            <v>60</v>
          </cell>
          <cell r="M861">
            <v>4.3181818181818183</v>
          </cell>
          <cell r="N861">
            <v>55</v>
          </cell>
          <cell r="O861" t="str">
            <v>F(105°C)</v>
          </cell>
          <cell r="P861" t="str">
            <v>270°</v>
          </cell>
          <cell r="Q861" t="str">
            <v>TF</v>
          </cell>
          <cell r="R861" t="str">
            <v>V(VE)</v>
          </cell>
          <cell r="S861" t="str">
            <v>-</v>
          </cell>
          <cell r="T861" t="str">
            <v>-</v>
          </cell>
          <cell r="U861" t="str">
            <v>-</v>
          </cell>
          <cell r="V861" t="str">
            <v>FC</v>
          </cell>
          <cell r="W861" t="str">
            <v>-</v>
          </cell>
          <cell r="X861" t="str">
            <v>CLP (CC) VG 220 = -15° + 40°</v>
          </cell>
          <cell r="Y861" t="str">
            <v>R127R77DRN100LS4 /TF/V</v>
          </cell>
          <cell r="Z861" t="str">
            <v>SEW</v>
          </cell>
          <cell r="AB861" t="str">
            <v>-</v>
          </cell>
          <cell r="AF861">
            <v>4.4400000000000004</v>
          </cell>
          <cell r="AG861" t="str">
            <v>DRN100LS4</v>
          </cell>
          <cell r="AH861" t="str">
            <v>R127R77-DRN100LS4270-X#</v>
          </cell>
        </row>
        <row r="862">
          <cell r="A862" t="str">
            <v>MR000858</v>
          </cell>
          <cell r="B862" t="str">
            <v>MR</v>
          </cell>
          <cell r="C862">
            <v>18.5</v>
          </cell>
          <cell r="D862">
            <v>16</v>
          </cell>
          <cell r="E862" t="str">
            <v>KH127</v>
          </cell>
          <cell r="F862">
            <v>10700</v>
          </cell>
          <cell r="G862">
            <v>89.89</v>
          </cell>
          <cell r="H862">
            <v>1.2</v>
          </cell>
          <cell r="I862" t="str">
            <v>From M1A to M2A - 5°</v>
          </cell>
          <cell r="J862" t="str">
            <v>IE3</v>
          </cell>
          <cell r="K862">
            <v>440</v>
          </cell>
          <cell r="L862">
            <v>60</v>
          </cell>
          <cell r="M862">
            <v>30.454545454545457</v>
          </cell>
          <cell r="N862">
            <v>55</v>
          </cell>
          <cell r="O862" t="str">
            <v>F(105°C)</v>
          </cell>
          <cell r="P862" t="str">
            <v>180°</v>
          </cell>
          <cell r="Q862" t="str">
            <v>TF</v>
          </cell>
          <cell r="R862" t="str">
            <v>V(VE)</v>
          </cell>
          <cell r="S862" t="str">
            <v>-</v>
          </cell>
          <cell r="T862" t="str">
            <v>-</v>
          </cell>
          <cell r="U862" t="str">
            <v>-</v>
          </cell>
          <cell r="V862" t="str">
            <v>FC</v>
          </cell>
          <cell r="W862" t="str">
            <v>-</v>
          </cell>
          <cell r="X862" t="str">
            <v>CLP (CC) VG 220 = -15° + 40°</v>
          </cell>
          <cell r="Y862" t="str">
            <v>KH127DRN180M4 /TF/V</v>
          </cell>
          <cell r="Z862" t="str">
            <v>SEW</v>
          </cell>
          <cell r="AB862" t="str">
            <v>-</v>
          </cell>
          <cell r="AF862">
            <v>19.2</v>
          </cell>
          <cell r="AG862" t="str">
            <v>DRN180M4</v>
          </cell>
          <cell r="AH862" t="str">
            <v>KH127-DRN180M4A180-X#</v>
          </cell>
        </row>
        <row r="863">
          <cell r="A863" t="str">
            <v>MR000859</v>
          </cell>
          <cell r="B863" t="str">
            <v>MR</v>
          </cell>
          <cell r="C863">
            <v>18.5</v>
          </cell>
          <cell r="D863">
            <v>16</v>
          </cell>
          <cell r="E863" t="str">
            <v>KH127</v>
          </cell>
          <cell r="F863">
            <v>10700</v>
          </cell>
          <cell r="G863">
            <v>89.89</v>
          </cell>
          <cell r="H863">
            <v>1.2</v>
          </cell>
          <cell r="I863" t="str">
            <v>From M1A to M2A - 35°</v>
          </cell>
          <cell r="J863" t="str">
            <v>IE3</v>
          </cell>
          <cell r="K863">
            <v>440</v>
          </cell>
          <cell r="L863">
            <v>60</v>
          </cell>
          <cell r="M863">
            <v>30.454545454545457</v>
          </cell>
          <cell r="N863">
            <v>55</v>
          </cell>
          <cell r="O863" t="str">
            <v>F(105°C)</v>
          </cell>
          <cell r="P863" t="str">
            <v>180°</v>
          </cell>
          <cell r="Q863" t="str">
            <v>TF</v>
          </cell>
          <cell r="R863" t="str">
            <v>V(VE)</v>
          </cell>
          <cell r="S863" t="str">
            <v>-</v>
          </cell>
          <cell r="T863" t="str">
            <v>-</v>
          </cell>
          <cell r="U863" t="str">
            <v>-</v>
          </cell>
          <cell r="V863" t="str">
            <v>FC</v>
          </cell>
          <cell r="W863" t="str">
            <v>-</v>
          </cell>
          <cell r="X863" t="str">
            <v>CLP (CC) VG 220 = -15° + 40°</v>
          </cell>
          <cell r="Y863" t="str">
            <v>KH127DRN180M4 /TF/V</v>
          </cell>
          <cell r="Z863" t="str">
            <v>SEW</v>
          </cell>
          <cell r="AB863" t="str">
            <v>-</v>
          </cell>
          <cell r="AF863">
            <v>19.2</v>
          </cell>
          <cell r="AG863" t="str">
            <v>DRN180M4</v>
          </cell>
          <cell r="AH863" t="str">
            <v>KH127-DRN180M4A180-X#</v>
          </cell>
        </row>
        <row r="864">
          <cell r="A864" t="str">
            <v>MR000860</v>
          </cell>
          <cell r="B864" t="str">
            <v>MR</v>
          </cell>
          <cell r="C864">
            <v>18.5</v>
          </cell>
          <cell r="D864">
            <v>16</v>
          </cell>
          <cell r="E864" t="str">
            <v>KH127</v>
          </cell>
          <cell r="F864">
            <v>10700</v>
          </cell>
          <cell r="G864">
            <v>89.89</v>
          </cell>
          <cell r="H864">
            <v>1.2</v>
          </cell>
          <cell r="I864" t="str">
            <v>From M1B to M2B - 35°</v>
          </cell>
          <cell r="J864" t="str">
            <v>IE3</v>
          </cell>
          <cell r="K864">
            <v>440</v>
          </cell>
          <cell r="L864">
            <v>60</v>
          </cell>
          <cell r="M864">
            <v>30.454545454545457</v>
          </cell>
          <cell r="N864">
            <v>55</v>
          </cell>
          <cell r="O864" t="str">
            <v>F(105°C)</v>
          </cell>
          <cell r="P864" t="str">
            <v>0°</v>
          </cell>
          <cell r="Q864" t="str">
            <v>TF</v>
          </cell>
          <cell r="R864" t="str">
            <v>V(VE)</v>
          </cell>
          <cell r="S864" t="str">
            <v>-</v>
          </cell>
          <cell r="T864" t="str">
            <v>-</v>
          </cell>
          <cell r="U864" t="str">
            <v>-</v>
          </cell>
          <cell r="V864" t="str">
            <v>FC</v>
          </cell>
          <cell r="W864" t="str">
            <v>-</v>
          </cell>
          <cell r="X864" t="str">
            <v>CLP (CC) VG 220 = -15° + 40°</v>
          </cell>
          <cell r="Y864" t="str">
            <v>KH127DRN180M4 /TF/V</v>
          </cell>
          <cell r="Z864" t="str">
            <v>SEW</v>
          </cell>
          <cell r="AB864" t="str">
            <v>-</v>
          </cell>
          <cell r="AF864">
            <v>19.2</v>
          </cell>
          <cell r="AG864" t="str">
            <v>DRN180M4</v>
          </cell>
          <cell r="AH864" t="str">
            <v>KH127-DRN180M4B0-X#</v>
          </cell>
        </row>
        <row r="865">
          <cell r="A865" t="str">
            <v>MR000861</v>
          </cell>
          <cell r="B865" t="str">
            <v>MR</v>
          </cell>
          <cell r="C865">
            <v>11</v>
          </cell>
          <cell r="D865">
            <v>13</v>
          </cell>
          <cell r="E865" t="str">
            <v>KH127</v>
          </cell>
          <cell r="F865">
            <v>7850</v>
          </cell>
          <cell r="G865">
            <v>110.18</v>
          </cell>
          <cell r="H865">
            <v>1.65</v>
          </cell>
          <cell r="I865" t="str">
            <v>From M1A to M2A - 45°</v>
          </cell>
          <cell r="J865" t="str">
            <v>IE3</v>
          </cell>
          <cell r="K865">
            <v>440</v>
          </cell>
          <cell r="L865">
            <v>60</v>
          </cell>
          <cell r="M865">
            <v>19.090909090909093</v>
          </cell>
          <cell r="N865">
            <v>55</v>
          </cell>
          <cell r="O865" t="str">
            <v>F(105°C)</v>
          </cell>
          <cell r="P865" t="str">
            <v>180°</v>
          </cell>
          <cell r="Q865" t="str">
            <v>TF</v>
          </cell>
          <cell r="R865" t="str">
            <v>V(VE)</v>
          </cell>
          <cell r="S865" t="str">
            <v>-</v>
          </cell>
          <cell r="T865" t="str">
            <v>-</v>
          </cell>
          <cell r="U865" t="str">
            <v>-</v>
          </cell>
          <cell r="V865" t="str">
            <v>FC</v>
          </cell>
          <cell r="W865" t="str">
            <v>-</v>
          </cell>
          <cell r="X865" t="str">
            <v>CLP (CC) VG 220 = -15° + 40°</v>
          </cell>
          <cell r="Y865" t="str">
            <v>KH127DRN160M4 /TF/V</v>
          </cell>
          <cell r="Z865" t="str">
            <v>SEW</v>
          </cell>
          <cell r="AB865" t="str">
            <v>-</v>
          </cell>
          <cell r="AF865">
            <v>15.6</v>
          </cell>
          <cell r="AG865" t="str">
            <v>DRN160M4</v>
          </cell>
          <cell r="AH865" t="str">
            <v>KH127-DRN160M4A180-X#</v>
          </cell>
        </row>
        <row r="866">
          <cell r="A866" t="str">
            <v>MR000862</v>
          </cell>
          <cell r="B866" t="str">
            <v>MR</v>
          </cell>
          <cell r="C866">
            <v>11</v>
          </cell>
          <cell r="D866">
            <v>13</v>
          </cell>
          <cell r="E866" t="str">
            <v>KH127</v>
          </cell>
          <cell r="F866">
            <v>7850</v>
          </cell>
          <cell r="G866">
            <v>110.18</v>
          </cell>
          <cell r="H866">
            <v>1.65</v>
          </cell>
          <cell r="I866" t="str">
            <v>From M1B to M2B - 45°</v>
          </cell>
          <cell r="J866" t="str">
            <v>IE3</v>
          </cell>
          <cell r="K866">
            <v>440</v>
          </cell>
          <cell r="L866">
            <v>60</v>
          </cell>
          <cell r="M866">
            <v>23.1</v>
          </cell>
          <cell r="N866">
            <v>55</v>
          </cell>
          <cell r="O866" t="str">
            <v>F(105°C)</v>
          </cell>
          <cell r="P866" t="str">
            <v>0°</v>
          </cell>
          <cell r="Q866" t="str">
            <v>TF</v>
          </cell>
          <cell r="R866" t="str">
            <v>V(VE)</v>
          </cell>
          <cell r="S866" t="str">
            <v>-</v>
          </cell>
          <cell r="T866" t="str">
            <v>-</v>
          </cell>
          <cell r="U866" t="str">
            <v>-</v>
          </cell>
          <cell r="V866" t="str">
            <v>FC</v>
          </cell>
          <cell r="W866" t="str">
            <v>-</v>
          </cell>
          <cell r="X866" t="str">
            <v>CLP (CC) VG 220 = -15° + 40°</v>
          </cell>
          <cell r="Y866" t="str">
            <v>KH127DRN160M4 /TF/V</v>
          </cell>
          <cell r="Z866" t="str">
            <v>SEW</v>
          </cell>
          <cell r="AB866" t="str">
            <v>-</v>
          </cell>
          <cell r="AF866">
            <v>15.6</v>
          </cell>
          <cell r="AG866" t="str">
            <v>DRN160M4</v>
          </cell>
          <cell r="AH866" t="str">
            <v>KH127-DRN160M4B0-X#</v>
          </cell>
        </row>
        <row r="867">
          <cell r="A867" t="str">
            <v>MR000863</v>
          </cell>
          <cell r="B867" t="str">
            <v>MR</v>
          </cell>
          <cell r="C867">
            <v>15</v>
          </cell>
          <cell r="D867">
            <v>22</v>
          </cell>
          <cell r="E867" t="str">
            <v>KH107</v>
          </cell>
          <cell r="F867">
            <v>6460</v>
          </cell>
          <cell r="G867">
            <v>66.52</v>
          </cell>
          <cell r="H867">
            <v>1.25</v>
          </cell>
          <cell r="I867" t="str">
            <v>From M1A to M2A - 25°</v>
          </cell>
          <cell r="J867" t="str">
            <v>IE3</v>
          </cell>
          <cell r="K867">
            <v>440</v>
          </cell>
          <cell r="L867">
            <v>60</v>
          </cell>
          <cell r="M867">
            <v>26.36363636363636</v>
          </cell>
          <cell r="N867">
            <v>55</v>
          </cell>
          <cell r="O867" t="str">
            <v>F(105°C)</v>
          </cell>
          <cell r="P867" t="str">
            <v>180°</v>
          </cell>
          <cell r="Q867" t="str">
            <v>TF</v>
          </cell>
          <cell r="R867" t="str">
            <v>V(VE)</v>
          </cell>
          <cell r="S867" t="str">
            <v>-</v>
          </cell>
          <cell r="T867" t="str">
            <v>-</v>
          </cell>
          <cell r="U867" t="str">
            <v>-</v>
          </cell>
          <cell r="V867" t="str">
            <v>FC</v>
          </cell>
          <cell r="W867" t="str">
            <v>-</v>
          </cell>
          <cell r="X867" t="str">
            <v>CLP (CC) VG 220 = -15° + 40°</v>
          </cell>
          <cell r="Y867" t="str">
            <v>KH107DRN160L4 /TF/V</v>
          </cell>
          <cell r="Z867" t="str">
            <v>SEW</v>
          </cell>
          <cell r="AB867" t="str">
            <v>-</v>
          </cell>
          <cell r="AF867">
            <v>26.4</v>
          </cell>
          <cell r="AG867" t="str">
            <v>DRN160L4</v>
          </cell>
          <cell r="AH867" t="str">
            <v>KH107-DRN160L4A180-X#</v>
          </cell>
        </row>
        <row r="868">
          <cell r="A868" t="str">
            <v>MR000864</v>
          </cell>
          <cell r="B868" t="str">
            <v>MR</v>
          </cell>
          <cell r="C868">
            <v>15</v>
          </cell>
          <cell r="D868">
            <v>22</v>
          </cell>
          <cell r="E868" t="str">
            <v>KH107</v>
          </cell>
          <cell r="F868">
            <v>6460</v>
          </cell>
          <cell r="G868">
            <v>66.52</v>
          </cell>
          <cell r="H868">
            <v>1.25</v>
          </cell>
          <cell r="I868" t="str">
            <v>From M1B to M2B - 25°</v>
          </cell>
          <cell r="J868" t="str">
            <v>IE3</v>
          </cell>
          <cell r="K868">
            <v>440</v>
          </cell>
          <cell r="L868">
            <v>60</v>
          </cell>
          <cell r="M868">
            <v>26.36363636363636</v>
          </cell>
          <cell r="N868">
            <v>55</v>
          </cell>
          <cell r="O868" t="str">
            <v>F(105°C)</v>
          </cell>
          <cell r="P868" t="str">
            <v>0°</v>
          </cell>
          <cell r="Q868" t="str">
            <v>TF</v>
          </cell>
          <cell r="R868" t="str">
            <v>V(VE)</v>
          </cell>
          <cell r="S868" t="str">
            <v>-</v>
          </cell>
          <cell r="T868" t="str">
            <v>-</v>
          </cell>
          <cell r="U868" t="str">
            <v>-</v>
          </cell>
          <cell r="V868" t="str">
            <v>FC</v>
          </cell>
          <cell r="W868" t="str">
            <v>-</v>
          </cell>
          <cell r="X868" t="str">
            <v>CLP (CC) VG 220 = -15° + 40°</v>
          </cell>
          <cell r="Y868" t="str">
            <v>KH107DRN160L4 /TF/V</v>
          </cell>
          <cell r="Z868" t="str">
            <v>SEW</v>
          </cell>
          <cell r="AB868" t="str">
            <v>-</v>
          </cell>
          <cell r="AF868">
            <v>26.4</v>
          </cell>
          <cell r="AG868" t="str">
            <v>DRN160L4</v>
          </cell>
          <cell r="AH868" t="str">
            <v>KH107-DRN160L4B0-X#</v>
          </cell>
        </row>
        <row r="869">
          <cell r="A869" t="str">
            <v>MR000865</v>
          </cell>
          <cell r="B869" t="str">
            <v>MR</v>
          </cell>
          <cell r="C869">
            <v>5.5</v>
          </cell>
          <cell r="D869">
            <v>52</v>
          </cell>
          <cell r="E869" t="str">
            <v>R87</v>
          </cell>
          <cell r="F869">
            <v>1000</v>
          </cell>
          <cell r="G869">
            <v>27.88</v>
          </cell>
          <cell r="H869">
            <v>1.5</v>
          </cell>
          <cell r="I869" t="str">
            <v>M1</v>
          </cell>
          <cell r="J869" t="str">
            <v>IE3</v>
          </cell>
          <cell r="K869">
            <v>440</v>
          </cell>
          <cell r="L869">
            <v>60</v>
          </cell>
          <cell r="M869">
            <v>9.5454545454545467</v>
          </cell>
          <cell r="N869">
            <v>55</v>
          </cell>
          <cell r="O869" t="str">
            <v>F(105°C)</v>
          </cell>
          <cell r="P869" t="str">
            <v>270°</v>
          </cell>
          <cell r="Q869" t="str">
            <v>-</v>
          </cell>
          <cell r="R869" t="str">
            <v>-</v>
          </cell>
          <cell r="S869" t="str">
            <v>-</v>
          </cell>
          <cell r="T869" t="str">
            <v>-</v>
          </cell>
          <cell r="U869" t="str">
            <v>-</v>
          </cell>
          <cell r="V869" t="str">
            <v>D</v>
          </cell>
          <cell r="W869" t="str">
            <v>-</v>
          </cell>
          <cell r="X869" t="str">
            <v>CLP (CC) VG 220 = -15° + 40°</v>
          </cell>
          <cell r="Y869" t="str">
            <v>R87DRN132S4</v>
          </cell>
          <cell r="Z869" t="str">
            <v>SEW</v>
          </cell>
          <cell r="AB869" t="str">
            <v>-</v>
          </cell>
          <cell r="AF869">
            <v>62.4</v>
          </cell>
          <cell r="AG869" t="str">
            <v>DRN132S4</v>
          </cell>
          <cell r="AH869" t="str">
            <v>R87-DRN132S4270-X</v>
          </cell>
        </row>
        <row r="870">
          <cell r="A870" t="str">
            <v>MR000866</v>
          </cell>
          <cell r="B870" t="str">
            <v>MR</v>
          </cell>
          <cell r="C870">
            <v>4</v>
          </cell>
          <cell r="D870" t="str">
            <v>50</v>
          </cell>
          <cell r="E870" t="str">
            <v>R77</v>
          </cell>
          <cell r="F870">
            <v>750</v>
          </cell>
          <cell r="G870">
            <v>29</v>
          </cell>
          <cell r="H870">
            <v>1.1000000000000001</v>
          </cell>
          <cell r="I870" t="str">
            <v>M1</v>
          </cell>
          <cell r="J870" t="str">
            <v>IE3</v>
          </cell>
          <cell r="K870">
            <v>440</v>
          </cell>
          <cell r="L870">
            <v>60</v>
          </cell>
          <cell r="M870">
            <v>7.1818181818181825</v>
          </cell>
          <cell r="N870">
            <v>55</v>
          </cell>
          <cell r="O870" t="str">
            <v>F(105°C)</v>
          </cell>
          <cell r="P870" t="str">
            <v>270°</v>
          </cell>
          <cell r="Q870" t="str">
            <v>-</v>
          </cell>
          <cell r="R870" t="str">
            <v>-</v>
          </cell>
          <cell r="S870" t="str">
            <v>-</v>
          </cell>
          <cell r="T870" t="str">
            <v>-</v>
          </cell>
          <cell r="U870" t="str">
            <v>-</v>
          </cell>
          <cell r="V870" t="str">
            <v>D</v>
          </cell>
          <cell r="W870" t="str">
            <v>-</v>
          </cell>
          <cell r="X870" t="str">
            <v>CLP (CC) VG 220 = -15° + 40°</v>
          </cell>
          <cell r="Y870" t="str">
            <v>R77DRN112M4</v>
          </cell>
          <cell r="Z870" t="str">
            <v>SEW</v>
          </cell>
          <cell r="AB870" t="str">
            <v>-</v>
          </cell>
          <cell r="AF870">
            <v>60</v>
          </cell>
          <cell r="AG870" t="str">
            <v>DRN112M4</v>
          </cell>
          <cell r="AH870" t="str">
            <v>R77-DRN112M4270-X</v>
          </cell>
        </row>
        <row r="871">
          <cell r="A871" t="str">
            <v>MR000867</v>
          </cell>
          <cell r="B871" t="str">
            <v>MR</v>
          </cell>
          <cell r="C871">
            <v>11</v>
          </cell>
          <cell r="D871">
            <v>86</v>
          </cell>
          <cell r="E871" t="str">
            <v>R87</v>
          </cell>
          <cell r="F871">
            <v>1210</v>
          </cell>
          <cell r="G871">
            <v>17.079999999999998</v>
          </cell>
          <cell r="H871">
            <v>1.1499999999999999</v>
          </cell>
          <cell r="I871" t="str">
            <v>M4</v>
          </cell>
          <cell r="J871" t="str">
            <v>IE3</v>
          </cell>
          <cell r="K871">
            <v>440</v>
          </cell>
          <cell r="L871">
            <v>60</v>
          </cell>
          <cell r="M871">
            <v>19.090909090909093</v>
          </cell>
          <cell r="N871">
            <v>55</v>
          </cell>
          <cell r="O871" t="str">
            <v>F(105°C)</v>
          </cell>
          <cell r="P871" t="str">
            <v>270°</v>
          </cell>
          <cell r="Q871" t="str">
            <v>-</v>
          </cell>
          <cell r="R871" t="str">
            <v>-</v>
          </cell>
          <cell r="S871" t="str">
            <v>-</v>
          </cell>
          <cell r="T871" t="str">
            <v>-</v>
          </cell>
          <cell r="U871" t="str">
            <v>-</v>
          </cell>
          <cell r="V871" t="str">
            <v>D</v>
          </cell>
          <cell r="W871" t="str">
            <v>-</v>
          </cell>
          <cell r="X871" t="str">
            <v>CLP (CC) VG 220 = -15° + 40°</v>
          </cell>
          <cell r="Y871" t="str">
            <v>R87DRN160M4</v>
          </cell>
          <cell r="Z871" t="str">
            <v>SEW</v>
          </cell>
          <cell r="AB871" t="str">
            <v>-</v>
          </cell>
          <cell r="AF871">
            <v>103.2</v>
          </cell>
          <cell r="AG871" t="str">
            <v>DRN160M4</v>
          </cell>
          <cell r="AH871" t="str">
            <v>R87-DRN160M4270-X</v>
          </cell>
        </row>
        <row r="872">
          <cell r="A872" t="str">
            <v>MR000868</v>
          </cell>
          <cell r="B872" t="str">
            <v>MR</v>
          </cell>
          <cell r="C872">
            <v>5.5</v>
          </cell>
          <cell r="D872">
            <v>62</v>
          </cell>
          <cell r="E872" t="str">
            <v>R87</v>
          </cell>
          <cell r="F872">
            <v>840</v>
          </cell>
          <cell r="G872">
            <v>23.4</v>
          </cell>
          <cell r="H872">
            <v>1.85</v>
          </cell>
          <cell r="I872" t="str">
            <v>M1</v>
          </cell>
          <cell r="J872" t="str">
            <v>IE3</v>
          </cell>
          <cell r="K872">
            <v>440</v>
          </cell>
          <cell r="L872">
            <v>60</v>
          </cell>
          <cell r="M872">
            <v>9.5454545454545467</v>
          </cell>
          <cell r="N872">
            <v>55</v>
          </cell>
          <cell r="O872" t="str">
            <v>F(105°C)</v>
          </cell>
          <cell r="P872" t="str">
            <v>270°</v>
          </cell>
          <cell r="Q872" t="str">
            <v>-</v>
          </cell>
          <cell r="R872" t="str">
            <v>-</v>
          </cell>
          <cell r="S872" t="str">
            <v>-</v>
          </cell>
          <cell r="T872" t="str">
            <v>-</v>
          </cell>
          <cell r="U872" t="str">
            <v>-</v>
          </cell>
          <cell r="V872" t="str">
            <v>D</v>
          </cell>
          <cell r="W872" t="str">
            <v>-</v>
          </cell>
          <cell r="X872" t="str">
            <v>CLP (CC) VG 220 = -15° + 40°</v>
          </cell>
          <cell r="Y872" t="str">
            <v>R87DRN132S4</v>
          </cell>
          <cell r="Z872" t="str">
            <v>SEW</v>
          </cell>
          <cell r="AB872" t="str">
            <v>-</v>
          </cell>
          <cell r="AF872">
            <v>74.400000000000006</v>
          </cell>
          <cell r="AG872" t="str">
            <v>DRN132S4</v>
          </cell>
          <cell r="AH872" t="str">
            <v>R87-DRN132S4270-X</v>
          </cell>
        </row>
        <row r="873">
          <cell r="A873" t="str">
            <v>MR000869</v>
          </cell>
          <cell r="B873" t="str">
            <v>MR</v>
          </cell>
          <cell r="C873">
            <v>15</v>
          </cell>
          <cell r="D873">
            <v>22</v>
          </cell>
          <cell r="E873" t="str">
            <v>KH107</v>
          </cell>
          <cell r="F873">
            <v>6460</v>
          </cell>
          <cell r="G873">
            <v>66.52</v>
          </cell>
          <cell r="H873">
            <v>1.25</v>
          </cell>
          <cell r="I873" t="str">
            <v>From M1A to M2A - 30°</v>
          </cell>
          <cell r="J873" t="str">
            <v>IE3</v>
          </cell>
          <cell r="K873">
            <v>440</v>
          </cell>
          <cell r="L873">
            <v>60</v>
          </cell>
          <cell r="M873">
            <v>26.36363636363636</v>
          </cell>
          <cell r="N873">
            <v>55</v>
          </cell>
          <cell r="O873" t="str">
            <v>F(105°C)</v>
          </cell>
          <cell r="P873" t="str">
            <v>180°</v>
          </cell>
          <cell r="Q873" t="str">
            <v>TF</v>
          </cell>
          <cell r="R873" t="str">
            <v>V(VE)</v>
          </cell>
          <cell r="S873" t="str">
            <v>-</v>
          </cell>
          <cell r="T873" t="str">
            <v>-</v>
          </cell>
          <cell r="U873" t="str">
            <v>-</v>
          </cell>
          <cell r="V873" t="str">
            <v>FC</v>
          </cell>
          <cell r="W873" t="str">
            <v>-</v>
          </cell>
          <cell r="X873" t="str">
            <v>CLP (CC) VG 220 = -15° + 40°</v>
          </cell>
          <cell r="Y873" t="str">
            <v>KH107DRN160L4 /TF/V</v>
          </cell>
          <cell r="Z873" t="str">
            <v>SEW</v>
          </cell>
          <cell r="AB873" t="str">
            <v>-</v>
          </cell>
          <cell r="AF873">
            <v>26.4</v>
          </cell>
          <cell r="AG873" t="str">
            <v>DRN160L4</v>
          </cell>
          <cell r="AH873" t="str">
            <v>KH107-DRN160L4A180-X#</v>
          </cell>
        </row>
        <row r="874">
          <cell r="A874" t="str">
            <v>MR000870</v>
          </cell>
          <cell r="B874" t="str">
            <v>MR</v>
          </cell>
          <cell r="C874">
            <v>15</v>
          </cell>
          <cell r="D874">
            <v>22</v>
          </cell>
          <cell r="E874" t="str">
            <v>KH107</v>
          </cell>
          <cell r="F874">
            <v>6460</v>
          </cell>
          <cell r="G874">
            <v>66.52</v>
          </cell>
          <cell r="H874">
            <v>1.25</v>
          </cell>
          <cell r="I874" t="str">
            <v>From M1B to M2B - 30°</v>
          </cell>
          <cell r="J874" t="str">
            <v>IE3</v>
          </cell>
          <cell r="K874">
            <v>440</v>
          </cell>
          <cell r="L874">
            <v>60</v>
          </cell>
          <cell r="M874">
            <v>26.36363636363636</v>
          </cell>
          <cell r="N874">
            <v>55</v>
          </cell>
          <cell r="O874" t="str">
            <v>F(105°C)</v>
          </cell>
          <cell r="P874" t="str">
            <v>0°</v>
          </cell>
          <cell r="Q874" t="str">
            <v>TF</v>
          </cell>
          <cell r="R874" t="str">
            <v>V(VE)</v>
          </cell>
          <cell r="S874" t="str">
            <v>-</v>
          </cell>
          <cell r="T874" t="str">
            <v>-</v>
          </cell>
          <cell r="U874" t="str">
            <v>-</v>
          </cell>
          <cell r="V874" t="str">
            <v>FC</v>
          </cell>
          <cell r="W874" t="str">
            <v>-</v>
          </cell>
          <cell r="X874" t="str">
            <v>CLP (CC) VG 220 = -15° + 40°</v>
          </cell>
          <cell r="Y874" t="str">
            <v>KH107DRN160L4 /TF/V</v>
          </cell>
          <cell r="Z874" t="str">
            <v>SEW</v>
          </cell>
          <cell r="AB874" t="str">
            <v>-</v>
          </cell>
          <cell r="AF874">
            <v>26.4</v>
          </cell>
          <cell r="AG874" t="str">
            <v>DRN160L4</v>
          </cell>
          <cell r="AH874" t="str">
            <v>KH107-DRN160L4B0-X#</v>
          </cell>
        </row>
        <row r="875">
          <cell r="A875" t="str">
            <v>MR000871</v>
          </cell>
          <cell r="B875" t="str">
            <v>MR</v>
          </cell>
          <cell r="C875">
            <v>18.5</v>
          </cell>
          <cell r="D875">
            <v>16</v>
          </cell>
          <cell r="E875" t="str">
            <v>KH127</v>
          </cell>
          <cell r="F875">
            <v>10700</v>
          </cell>
          <cell r="G875">
            <v>89.89</v>
          </cell>
          <cell r="H875">
            <v>1.2</v>
          </cell>
          <cell r="I875" t="str">
            <v>From M1A to M2A - 40°</v>
          </cell>
          <cell r="J875" t="str">
            <v>IE3</v>
          </cell>
          <cell r="K875">
            <v>440</v>
          </cell>
          <cell r="L875">
            <v>60</v>
          </cell>
          <cell r="M875">
            <v>30.454545454545457</v>
          </cell>
          <cell r="N875">
            <v>55</v>
          </cell>
          <cell r="O875" t="str">
            <v>F(105°C)</v>
          </cell>
          <cell r="P875" t="str">
            <v>180°</v>
          </cell>
          <cell r="Q875" t="str">
            <v>TF</v>
          </cell>
          <cell r="R875" t="str">
            <v>V(VE)</v>
          </cell>
          <cell r="S875" t="str">
            <v>-</v>
          </cell>
          <cell r="T875" t="str">
            <v>-</v>
          </cell>
          <cell r="U875" t="str">
            <v>-</v>
          </cell>
          <cell r="V875" t="str">
            <v>FC</v>
          </cell>
          <cell r="W875" t="str">
            <v>-</v>
          </cell>
          <cell r="X875" t="str">
            <v>CLP (CC) VG 220 = -15° + 40°</v>
          </cell>
          <cell r="Y875" t="str">
            <v>KH127DRN180M4 /TF/V</v>
          </cell>
          <cell r="Z875" t="str">
            <v>SEW</v>
          </cell>
          <cell r="AB875" t="str">
            <v>-</v>
          </cell>
          <cell r="AF875">
            <v>19.2</v>
          </cell>
          <cell r="AG875" t="str">
            <v>DRN180M4</v>
          </cell>
          <cell r="AH875" t="str">
            <v>KH127-DRN180M4A180-X#</v>
          </cell>
        </row>
        <row r="876">
          <cell r="A876" t="str">
            <v>MR000872</v>
          </cell>
          <cell r="B876" t="str">
            <v>MR</v>
          </cell>
          <cell r="C876">
            <v>18.5</v>
          </cell>
          <cell r="D876">
            <v>16</v>
          </cell>
          <cell r="E876" t="str">
            <v>KH127</v>
          </cell>
          <cell r="F876">
            <v>10700</v>
          </cell>
          <cell r="G876">
            <v>89.89</v>
          </cell>
          <cell r="H876">
            <v>1.2</v>
          </cell>
          <cell r="I876" t="str">
            <v>From M1B to M2B - 40°</v>
          </cell>
          <cell r="J876" t="str">
            <v>IE3</v>
          </cell>
          <cell r="K876">
            <v>440</v>
          </cell>
          <cell r="L876">
            <v>60</v>
          </cell>
          <cell r="M876">
            <v>30.454545454545457</v>
          </cell>
          <cell r="N876">
            <v>55</v>
          </cell>
          <cell r="O876" t="str">
            <v>F(105°C)</v>
          </cell>
          <cell r="P876" t="str">
            <v>0°</v>
          </cell>
          <cell r="Q876" t="str">
            <v>TF</v>
          </cell>
          <cell r="R876" t="str">
            <v>V(VE)</v>
          </cell>
          <cell r="S876" t="str">
            <v>-</v>
          </cell>
          <cell r="T876" t="str">
            <v>-</v>
          </cell>
          <cell r="U876" t="str">
            <v>-</v>
          </cell>
          <cell r="V876" t="str">
            <v>FC</v>
          </cell>
          <cell r="W876" t="str">
            <v>-</v>
          </cell>
          <cell r="X876" t="str">
            <v>CLP (CC) VG 220 = -15° + 40°</v>
          </cell>
          <cell r="Y876" t="str">
            <v>KH127DRN180M4 /TF/V</v>
          </cell>
          <cell r="Z876" t="str">
            <v>SEW</v>
          </cell>
          <cell r="AB876" t="str">
            <v>-</v>
          </cell>
          <cell r="AF876">
            <v>19.2</v>
          </cell>
          <cell r="AG876" t="str">
            <v>DRN180M4</v>
          </cell>
          <cell r="AH876" t="str">
            <v>KH127-DRN180M4B0-X#</v>
          </cell>
        </row>
        <row r="877">
          <cell r="A877" t="str">
            <v>MR000873</v>
          </cell>
          <cell r="B877" t="str">
            <v>MR</v>
          </cell>
          <cell r="C877">
            <v>9.1999999999999993</v>
          </cell>
          <cell r="D877">
            <v>13</v>
          </cell>
          <cell r="E877" t="str">
            <v>KH107</v>
          </cell>
          <cell r="F877">
            <v>6710</v>
          </cell>
          <cell r="G877">
            <v>112.41</v>
          </cell>
          <cell r="H877">
            <v>1.2</v>
          </cell>
          <cell r="I877" t="str">
            <v>From M1A to M2A - 55°</v>
          </cell>
          <cell r="J877" t="str">
            <v>IE3</v>
          </cell>
          <cell r="K877">
            <v>440</v>
          </cell>
          <cell r="L877">
            <v>60</v>
          </cell>
          <cell r="M877">
            <v>17</v>
          </cell>
          <cell r="N877">
            <v>55</v>
          </cell>
          <cell r="O877" t="str">
            <v>F(105°C)</v>
          </cell>
          <cell r="P877" t="str">
            <v>180°</v>
          </cell>
          <cell r="Q877" t="str">
            <v>TF</v>
          </cell>
          <cell r="R877" t="str">
            <v>V(VE)</v>
          </cell>
          <cell r="S877" t="str">
            <v>-</v>
          </cell>
          <cell r="T877" t="str">
            <v>-</v>
          </cell>
          <cell r="U877" t="str">
            <v>-</v>
          </cell>
          <cell r="V877" t="str">
            <v>FC</v>
          </cell>
          <cell r="W877" t="str">
            <v>-</v>
          </cell>
          <cell r="X877" t="str">
            <v>CLP (CC) VG 220 = -15° + 40°</v>
          </cell>
          <cell r="Y877" t="str">
            <v>KH107DRN132L4 /TF/V</v>
          </cell>
          <cell r="Z877" t="str">
            <v>SEW</v>
          </cell>
          <cell r="AB877" t="str">
            <v>-</v>
          </cell>
          <cell r="AF877">
            <v>15.6</v>
          </cell>
          <cell r="AG877" t="str">
            <v>DRN132L4</v>
          </cell>
          <cell r="AH877" t="str">
            <v>KH107-DRN132L4A180-X#</v>
          </cell>
        </row>
        <row r="878">
          <cell r="A878" t="str">
            <v>MR000874</v>
          </cell>
          <cell r="B878" t="str">
            <v>MR</v>
          </cell>
          <cell r="C878">
            <v>9.1999999999999993</v>
          </cell>
          <cell r="D878">
            <v>13</v>
          </cell>
          <cell r="E878" t="str">
            <v>KH107</v>
          </cell>
          <cell r="F878">
            <v>6710</v>
          </cell>
          <cell r="G878">
            <v>112.41</v>
          </cell>
          <cell r="H878">
            <v>1.2</v>
          </cell>
          <cell r="I878" t="str">
            <v>From M1B to M2B - 55°</v>
          </cell>
          <cell r="J878" t="str">
            <v>IE3</v>
          </cell>
          <cell r="K878">
            <v>440</v>
          </cell>
          <cell r="L878">
            <v>60</v>
          </cell>
          <cell r="M878">
            <v>17</v>
          </cell>
          <cell r="N878">
            <v>55</v>
          </cell>
          <cell r="O878" t="str">
            <v>F(105°C)</v>
          </cell>
          <cell r="P878" t="str">
            <v>0°</v>
          </cell>
          <cell r="Q878" t="str">
            <v>TF</v>
          </cell>
          <cell r="R878" t="str">
            <v>V(VE)</v>
          </cell>
          <cell r="S878" t="str">
            <v>-</v>
          </cell>
          <cell r="T878" t="str">
            <v>-</v>
          </cell>
          <cell r="U878" t="str">
            <v>-</v>
          </cell>
          <cell r="V878" t="str">
            <v>FC</v>
          </cell>
          <cell r="W878" t="str">
            <v>-</v>
          </cell>
          <cell r="X878" t="str">
            <v>CLP (CC) VG 220 = -15° + 40°</v>
          </cell>
          <cell r="Y878" t="str">
            <v>KH107DRN132L4 /TF/V</v>
          </cell>
          <cell r="Z878" t="str">
            <v>SEW</v>
          </cell>
          <cell r="AB878" t="str">
            <v>-</v>
          </cell>
          <cell r="AF878">
            <v>15.6</v>
          </cell>
          <cell r="AG878" t="str">
            <v>DRN132L4</v>
          </cell>
          <cell r="AH878" t="str">
            <v>KH107-DRN132L4B0-X#</v>
          </cell>
        </row>
        <row r="879">
          <cell r="A879" t="str">
            <v>MR000875</v>
          </cell>
          <cell r="B879" t="str">
            <v>MR</v>
          </cell>
          <cell r="C879">
            <v>5.5</v>
          </cell>
          <cell r="D879">
            <v>27</v>
          </cell>
          <cell r="E879" t="str">
            <v>R97</v>
          </cell>
          <cell r="F879">
            <v>1910</v>
          </cell>
          <cell r="G879">
            <v>53.21</v>
          </cell>
          <cell r="H879">
            <v>1.55</v>
          </cell>
          <cell r="I879" t="str">
            <v>M1</v>
          </cell>
          <cell r="J879" t="str">
            <v>IE3</v>
          </cell>
          <cell r="K879">
            <v>440</v>
          </cell>
          <cell r="L879">
            <v>60</v>
          </cell>
          <cell r="M879">
            <v>9.5454545454545467</v>
          </cell>
          <cell r="N879">
            <v>55</v>
          </cell>
          <cell r="O879" t="str">
            <v>F(105°C)</v>
          </cell>
          <cell r="P879" t="str">
            <v>270°</v>
          </cell>
          <cell r="Q879" t="str">
            <v>TF</v>
          </cell>
          <cell r="R879" t="str">
            <v>V(VE)</v>
          </cell>
          <cell r="S879" t="str">
            <v>-</v>
          </cell>
          <cell r="T879" t="str">
            <v>-</v>
          </cell>
          <cell r="U879" t="str">
            <v>-</v>
          </cell>
          <cell r="V879" t="str">
            <v>FC</v>
          </cell>
          <cell r="W879" t="str">
            <v>-</v>
          </cell>
          <cell r="X879" t="str">
            <v>CLP (CC) VG 220 = -15° + 40°</v>
          </cell>
          <cell r="Y879" t="str">
            <v>R97DRN132S4 /TF/V</v>
          </cell>
          <cell r="Z879" t="str">
            <v>SEW</v>
          </cell>
          <cell r="AB879" t="str">
            <v>-</v>
          </cell>
          <cell r="AF879">
            <v>32.4</v>
          </cell>
          <cell r="AG879" t="str">
            <v>DRN132S4</v>
          </cell>
          <cell r="AH879" t="str">
            <v>R97-DRN132S4270-X#</v>
          </cell>
        </row>
        <row r="880">
          <cell r="A880" t="str">
            <v>MR000876</v>
          </cell>
          <cell r="B880" t="str">
            <v>MR</v>
          </cell>
          <cell r="C880">
            <v>11</v>
          </cell>
          <cell r="D880">
            <v>26</v>
          </cell>
          <cell r="E880" t="str">
            <v>KH97</v>
          </cell>
          <cell r="F880">
            <v>4030</v>
          </cell>
          <cell r="G880">
            <v>56.55</v>
          </cell>
          <cell r="H880">
            <v>1.05</v>
          </cell>
          <cell r="I880" t="str">
            <v>From M1A to M2A - 35°</v>
          </cell>
          <cell r="J880" t="str">
            <v>IE3</v>
          </cell>
          <cell r="K880">
            <v>440</v>
          </cell>
          <cell r="L880">
            <v>60</v>
          </cell>
          <cell r="M880">
            <v>19.090909090909093</v>
          </cell>
          <cell r="N880">
            <v>55</v>
          </cell>
          <cell r="O880" t="str">
            <v>F(105°C)</v>
          </cell>
          <cell r="P880" t="str">
            <v>180°</v>
          </cell>
          <cell r="Q880" t="str">
            <v>TF</v>
          </cell>
          <cell r="R880" t="str">
            <v>V(VE)</v>
          </cell>
          <cell r="S880" t="str">
            <v>-</v>
          </cell>
          <cell r="T880" t="str">
            <v>-</v>
          </cell>
          <cell r="U880" t="str">
            <v>-</v>
          </cell>
          <cell r="V880" t="str">
            <v>FC</v>
          </cell>
          <cell r="W880" t="str">
            <v>-</v>
          </cell>
          <cell r="X880" t="str">
            <v>CLP (CC) VG 220 = -15° + 40°</v>
          </cell>
          <cell r="Y880" t="str">
            <v>KH97DRN160M4 /TF/V</v>
          </cell>
          <cell r="Z880" t="str">
            <v>SEW</v>
          </cell>
          <cell r="AB880" t="str">
            <v>-</v>
          </cell>
          <cell r="AF880">
            <v>31.2</v>
          </cell>
          <cell r="AG880" t="str">
            <v>DRN160M4</v>
          </cell>
          <cell r="AH880" t="str">
            <v>KH97-DRN160M4A180-X#</v>
          </cell>
        </row>
        <row r="881">
          <cell r="A881" t="str">
            <v>MR000877</v>
          </cell>
          <cell r="B881" t="str">
            <v>MR</v>
          </cell>
          <cell r="C881">
            <v>11</v>
          </cell>
          <cell r="D881">
            <v>26</v>
          </cell>
          <cell r="E881" t="str">
            <v>KH97</v>
          </cell>
          <cell r="F881">
            <v>4030</v>
          </cell>
          <cell r="G881">
            <v>56.55</v>
          </cell>
          <cell r="H881">
            <v>1.05</v>
          </cell>
          <cell r="I881" t="str">
            <v>From M1B to M2B - 35°</v>
          </cell>
          <cell r="J881" t="str">
            <v>IE3</v>
          </cell>
          <cell r="K881">
            <v>440</v>
          </cell>
          <cell r="L881">
            <v>60</v>
          </cell>
          <cell r="M881">
            <v>19.090909090909093</v>
          </cell>
          <cell r="N881">
            <v>55</v>
          </cell>
          <cell r="O881" t="str">
            <v>F(105°C)</v>
          </cell>
          <cell r="P881" t="str">
            <v>0°</v>
          </cell>
          <cell r="Q881" t="str">
            <v>TF</v>
          </cell>
          <cell r="R881" t="str">
            <v>V(VE)</v>
          </cell>
          <cell r="S881" t="str">
            <v>-</v>
          </cell>
          <cell r="T881" t="str">
            <v>-</v>
          </cell>
          <cell r="U881" t="str">
            <v>-</v>
          </cell>
          <cell r="V881" t="str">
            <v>FC</v>
          </cell>
          <cell r="W881" t="str">
            <v>-</v>
          </cell>
          <cell r="X881" t="str">
            <v>CLP (CC) VG 220 = -15° + 40°</v>
          </cell>
          <cell r="Y881" t="str">
            <v>KH97DRN160M4 /TF/V</v>
          </cell>
          <cell r="Z881" t="str">
            <v>SEW</v>
          </cell>
          <cell r="AB881" t="str">
            <v>-</v>
          </cell>
          <cell r="AF881">
            <v>31.2</v>
          </cell>
          <cell r="AG881" t="str">
            <v>DRN160M4</v>
          </cell>
          <cell r="AH881" t="str">
            <v>KH97-DRN160M4B0-X#</v>
          </cell>
        </row>
        <row r="882">
          <cell r="A882" t="str">
            <v>MR000878</v>
          </cell>
          <cell r="B882" t="str">
            <v>MR</v>
          </cell>
          <cell r="C882">
            <v>18.5</v>
          </cell>
          <cell r="D882">
            <v>35</v>
          </cell>
          <cell r="E882" t="str">
            <v>R127</v>
          </cell>
          <cell r="F882">
            <v>5040</v>
          </cell>
          <cell r="G882">
            <v>42.22</v>
          </cell>
          <cell r="H882">
            <v>1.2</v>
          </cell>
          <cell r="I882" t="str">
            <v>M1</v>
          </cell>
          <cell r="J882" t="str">
            <v>IE3</v>
          </cell>
          <cell r="K882">
            <v>440</v>
          </cell>
          <cell r="L882">
            <v>60</v>
          </cell>
          <cell r="M882">
            <v>30.454545454545457</v>
          </cell>
          <cell r="N882">
            <v>55</v>
          </cell>
          <cell r="O882" t="str">
            <v>F(105°C)</v>
          </cell>
          <cell r="P882" t="str">
            <v>270°</v>
          </cell>
          <cell r="Q882" t="str">
            <v>TF</v>
          </cell>
          <cell r="R882" t="str">
            <v>V(VE)</v>
          </cell>
          <cell r="S882" t="str">
            <v>-</v>
          </cell>
          <cell r="T882" t="str">
            <v>-</v>
          </cell>
          <cell r="U882" t="str">
            <v>-</v>
          </cell>
          <cell r="V882" t="str">
            <v>FC+R</v>
          </cell>
          <cell r="W882" t="str">
            <v>-</v>
          </cell>
          <cell r="X882" t="str">
            <v>CLP (CC) VG 220 = -15° + 40°</v>
          </cell>
          <cell r="Y882" t="str">
            <v>R127DRN180M4 /TF/V</v>
          </cell>
          <cell r="Z882" t="str">
            <v>SEW</v>
          </cell>
          <cell r="AB882" t="str">
            <v>-</v>
          </cell>
          <cell r="AF882">
            <v>42</v>
          </cell>
          <cell r="AG882" t="str">
            <v>DRN180M4</v>
          </cell>
          <cell r="AH882" t="str">
            <v>R127-DRN180M4270-X#</v>
          </cell>
        </row>
        <row r="883">
          <cell r="A883" t="str">
            <v>MR000879</v>
          </cell>
          <cell r="B883" t="str">
            <v>MR</v>
          </cell>
          <cell r="C883">
            <v>5.5</v>
          </cell>
          <cell r="D883">
            <v>14</v>
          </cell>
          <cell r="E883" t="str">
            <v>R107</v>
          </cell>
          <cell r="F883">
            <v>3680</v>
          </cell>
          <cell r="G883">
            <v>102.53</v>
          </cell>
          <cell r="H883">
            <v>1.1499999999999999</v>
          </cell>
          <cell r="I883" t="str">
            <v>M1</v>
          </cell>
          <cell r="J883" t="str">
            <v>IE3</v>
          </cell>
          <cell r="K883">
            <v>440</v>
          </cell>
          <cell r="L883">
            <v>60</v>
          </cell>
          <cell r="M883">
            <v>9.5454545454545467</v>
          </cell>
          <cell r="N883">
            <v>55</v>
          </cell>
          <cell r="O883" t="str">
            <v>F(105°C)</v>
          </cell>
          <cell r="P883" t="str">
            <v>270°</v>
          </cell>
          <cell r="Q883" t="str">
            <v>TF</v>
          </cell>
          <cell r="R883" t="str">
            <v>V(VE)</v>
          </cell>
          <cell r="S883" t="str">
            <v>-</v>
          </cell>
          <cell r="T883" t="str">
            <v>-</v>
          </cell>
          <cell r="U883" t="str">
            <v>-</v>
          </cell>
          <cell r="V883" t="str">
            <v>FC+R</v>
          </cell>
          <cell r="W883" t="str">
            <v>-</v>
          </cell>
          <cell r="X883" t="str">
            <v>CLP (CC) VG 220 = -15° + 40°</v>
          </cell>
          <cell r="Y883" t="str">
            <v>R107DRN132S4 /TF/V</v>
          </cell>
          <cell r="Z883" t="str">
            <v>SEW</v>
          </cell>
          <cell r="AB883" t="str">
            <v>-</v>
          </cell>
          <cell r="AF883">
            <v>16.8</v>
          </cell>
          <cell r="AG883" t="str">
            <v>DRN132S4</v>
          </cell>
          <cell r="AH883" t="str">
            <v>R107-DRN132S4270-X#</v>
          </cell>
        </row>
        <row r="884">
          <cell r="A884" t="str">
            <v>MR000880</v>
          </cell>
          <cell r="B884" t="str">
            <v>MR</v>
          </cell>
          <cell r="C884">
            <v>5.5</v>
          </cell>
          <cell r="D884">
            <v>52</v>
          </cell>
          <cell r="E884" t="str">
            <v>R87</v>
          </cell>
          <cell r="F884">
            <v>1000</v>
          </cell>
          <cell r="G884">
            <v>27.88</v>
          </cell>
          <cell r="H884">
            <v>1.5</v>
          </cell>
          <cell r="I884" t="str">
            <v>M1</v>
          </cell>
          <cell r="J884" t="str">
            <v>IE3</v>
          </cell>
          <cell r="K884">
            <v>440</v>
          </cell>
          <cell r="L884">
            <v>60</v>
          </cell>
          <cell r="M884">
            <v>9.5454545454545467</v>
          </cell>
          <cell r="N884">
            <v>55</v>
          </cell>
          <cell r="O884" t="str">
            <v>F(105°C)</v>
          </cell>
          <cell r="P884" t="str">
            <v>270°</v>
          </cell>
          <cell r="Q884" t="str">
            <v>-</v>
          </cell>
          <cell r="R884" t="str">
            <v>-</v>
          </cell>
          <cell r="S884" t="str">
            <v>-</v>
          </cell>
          <cell r="T884" t="str">
            <v>-</v>
          </cell>
          <cell r="U884" t="str">
            <v>-</v>
          </cell>
          <cell r="V884" t="str">
            <v>D+R</v>
          </cell>
          <cell r="W884" t="str">
            <v>-</v>
          </cell>
          <cell r="X884" t="str">
            <v>CLP (CC) VG 220 = -15° + 40°</v>
          </cell>
          <cell r="Y884" t="str">
            <v>R87DRN132S4</v>
          </cell>
          <cell r="Z884" t="str">
            <v>SEW</v>
          </cell>
          <cell r="AB884" t="str">
            <v>-</v>
          </cell>
          <cell r="AF884">
            <v>62.4</v>
          </cell>
          <cell r="AG884" t="str">
            <v>DRN132S4</v>
          </cell>
          <cell r="AH884" t="str">
            <v>R87-DRN132S4270-X</v>
          </cell>
        </row>
        <row r="885">
          <cell r="A885" t="str">
            <v>MR000881</v>
          </cell>
          <cell r="B885" t="str">
            <v>MR</v>
          </cell>
          <cell r="C885">
            <v>0.55000000000000004</v>
          </cell>
          <cell r="D885">
            <v>20.833333333333336</v>
          </cell>
          <cell r="E885" t="str">
            <v>FA47</v>
          </cell>
          <cell r="F885">
            <v>210</v>
          </cell>
          <cell r="G885">
            <v>68.09</v>
          </cell>
          <cell r="H885">
            <v>1.9</v>
          </cell>
          <cell r="I885" t="str">
            <v>From M6 toM1 - 10°</v>
          </cell>
          <cell r="J885" t="str">
            <v>IE3</v>
          </cell>
          <cell r="K885" t="str">
            <v>277/480</v>
          </cell>
          <cell r="L885">
            <v>60</v>
          </cell>
          <cell r="M885" t="str">
            <v>2,15/1,25</v>
          </cell>
          <cell r="N885">
            <v>55</v>
          </cell>
          <cell r="O885" t="str">
            <v>F</v>
          </cell>
          <cell r="P885" t="str">
            <v>270°</v>
          </cell>
          <cell r="Q885" t="str">
            <v>-</v>
          </cell>
          <cell r="R885" t="str">
            <v>-</v>
          </cell>
          <cell r="S885" t="str">
            <v>-</v>
          </cell>
          <cell r="T885" t="str">
            <v>BE</v>
          </cell>
          <cell r="U885" t="str">
            <v>G</v>
          </cell>
          <cell r="V885" t="str">
            <v>D+R</v>
          </cell>
          <cell r="W885" t="str">
            <v>-</v>
          </cell>
          <cell r="X885" t="str">
            <v>CLP (CC) VG 220 = -15° + 40°</v>
          </cell>
          <cell r="Y885" t="str">
            <v>FA47/G DRS71M4 /BE</v>
          </cell>
          <cell r="Z885" t="str">
            <v>SEW</v>
          </cell>
          <cell r="AB885" t="str">
            <v>-</v>
          </cell>
          <cell r="AE885" t="str">
            <v>Rectifier for brake in the terminal box</v>
          </cell>
          <cell r="AF885">
            <v>25.000000000000004</v>
          </cell>
          <cell r="AG885" t="str">
            <v>DRS71M4</v>
          </cell>
          <cell r="AH885" t="str">
            <v>FA47G-DRS71M4270-X</v>
          </cell>
        </row>
        <row r="886">
          <cell r="A886" t="str">
            <v>MR000882</v>
          </cell>
          <cell r="B886" t="str">
            <v>MR</v>
          </cell>
          <cell r="C886">
            <v>18.5</v>
          </cell>
          <cell r="D886">
            <v>35</v>
          </cell>
          <cell r="E886" t="str">
            <v>KH107</v>
          </cell>
          <cell r="F886">
            <v>4190</v>
          </cell>
          <cell r="G886">
            <v>42.33</v>
          </cell>
          <cell r="H886">
            <v>1.75</v>
          </cell>
          <cell r="I886" t="str">
            <v>M4B</v>
          </cell>
          <cell r="J886" t="str">
            <v>IE3</v>
          </cell>
          <cell r="K886" t="str">
            <v>277/480</v>
          </cell>
          <cell r="L886">
            <v>60</v>
          </cell>
          <cell r="M886" t="str">
            <v>51/29,5</v>
          </cell>
          <cell r="N886">
            <v>55</v>
          </cell>
          <cell r="O886" t="str">
            <v>F</v>
          </cell>
          <cell r="P886" t="str">
            <v>270°</v>
          </cell>
          <cell r="Q886" t="str">
            <v>-</v>
          </cell>
          <cell r="R886" t="str">
            <v>-</v>
          </cell>
          <cell r="S886" t="str">
            <v>-</v>
          </cell>
          <cell r="T886" t="str">
            <v>-</v>
          </cell>
          <cell r="U886" t="str">
            <v>T</v>
          </cell>
          <cell r="V886" t="str">
            <v>SS</v>
          </cell>
          <cell r="W886" t="str">
            <v>-</v>
          </cell>
          <cell r="X886" t="str">
            <v>CLP (CC) VG 220 = -15° + 40°</v>
          </cell>
          <cell r="Y886" t="str">
            <v>KH107/T DRN180M4</v>
          </cell>
          <cell r="Z886" t="str">
            <v>SEW</v>
          </cell>
          <cell r="AB886" t="str">
            <v>-</v>
          </cell>
          <cell r="AF886">
            <v>42</v>
          </cell>
          <cell r="AG886" t="str">
            <v>DRN180M4</v>
          </cell>
          <cell r="AH886" t="str">
            <v>KH107T-DRN180M4B270-X</v>
          </cell>
        </row>
        <row r="887">
          <cell r="A887" t="str">
            <v>MR000883</v>
          </cell>
          <cell r="B887" t="str">
            <v>MR</v>
          </cell>
          <cell r="C887">
            <v>15</v>
          </cell>
          <cell r="D887">
            <v>59</v>
          </cell>
          <cell r="E887" t="str">
            <v>R97</v>
          </cell>
          <cell r="F887">
            <v>2430</v>
          </cell>
          <cell r="G887">
            <v>25.03</v>
          </cell>
          <cell r="H887">
            <v>1.1499999999999999</v>
          </cell>
          <cell r="I887" t="str">
            <v>M1</v>
          </cell>
          <cell r="J887" t="str">
            <v>IE3</v>
          </cell>
          <cell r="K887">
            <v>440</v>
          </cell>
          <cell r="L887">
            <v>60</v>
          </cell>
          <cell r="M887">
            <v>26.36363636363636</v>
          </cell>
          <cell r="N887">
            <v>55</v>
          </cell>
          <cell r="O887" t="str">
            <v>F(105°C)</v>
          </cell>
          <cell r="P887" t="str">
            <v>270°</v>
          </cell>
          <cell r="Q887" t="str">
            <v>-</v>
          </cell>
          <cell r="R887" t="str">
            <v>-</v>
          </cell>
          <cell r="S887" t="str">
            <v>-</v>
          </cell>
          <cell r="T887" t="str">
            <v>-</v>
          </cell>
          <cell r="U887" t="str">
            <v>-</v>
          </cell>
          <cell r="V887" t="str">
            <v>D+R</v>
          </cell>
          <cell r="W887" t="str">
            <v>-</v>
          </cell>
          <cell r="X887" t="str">
            <v>CLP (CC) VG 220 = -15° + 40°</v>
          </cell>
          <cell r="Y887" t="str">
            <v>R97DRN160L4</v>
          </cell>
          <cell r="Z887" t="str">
            <v>SEW</v>
          </cell>
          <cell r="AB887" t="str">
            <v>-</v>
          </cell>
          <cell r="AF887">
            <v>70.8</v>
          </cell>
          <cell r="AG887" t="str">
            <v>DRN160L4</v>
          </cell>
          <cell r="AH887" t="str">
            <v>R97-DRN160L4270-X</v>
          </cell>
        </row>
        <row r="888">
          <cell r="A888" t="str">
            <v>MR000884</v>
          </cell>
          <cell r="B888" t="str">
            <v>MR</v>
          </cell>
          <cell r="C888">
            <v>0.55000000000000004</v>
          </cell>
          <cell r="D888">
            <v>29</v>
          </cell>
          <cell r="E888" t="str">
            <v>FA37</v>
          </cell>
          <cell r="F888">
            <v>181</v>
          </cell>
          <cell r="G888">
            <v>47.02</v>
          </cell>
          <cell r="H888">
            <v>1.1000000000000001</v>
          </cell>
          <cell r="I888" t="str">
            <v>M5</v>
          </cell>
          <cell r="J888" t="str">
            <v>IE3</v>
          </cell>
          <cell r="K888">
            <v>440</v>
          </cell>
          <cell r="L888">
            <v>60</v>
          </cell>
          <cell r="M888">
            <v>1.4090909090909092</v>
          </cell>
          <cell r="N888">
            <v>55</v>
          </cell>
          <cell r="O888" t="str">
            <v>F(105°C)</v>
          </cell>
          <cell r="P888" t="str">
            <v>270°</v>
          </cell>
          <cell r="Q888" t="str">
            <v>-</v>
          </cell>
          <cell r="R888" t="str">
            <v>-</v>
          </cell>
          <cell r="S888" t="str">
            <v>-</v>
          </cell>
          <cell r="T888" t="str">
            <v>-</v>
          </cell>
          <cell r="U888" t="str">
            <v>G</v>
          </cell>
          <cell r="V888" t="str">
            <v>D+R</v>
          </cell>
          <cell r="W888" t="str">
            <v>-</v>
          </cell>
          <cell r="X888" t="str">
            <v>CLP (CC) VG 220 = -15° + 40°</v>
          </cell>
          <cell r="Y888" t="str">
            <v>FA37/G DRS71M4</v>
          </cell>
          <cell r="Z888" t="str">
            <v>SEW</v>
          </cell>
          <cell r="AB888" t="str">
            <v>-</v>
          </cell>
          <cell r="AF888">
            <v>34.799999999999997</v>
          </cell>
          <cell r="AG888" t="str">
            <v>DRS71M4</v>
          </cell>
          <cell r="AH888" t="str">
            <v>FA37G-DRS71M4270-X</v>
          </cell>
        </row>
        <row r="889">
          <cell r="A889" t="str">
            <v>MR000885</v>
          </cell>
          <cell r="B889" t="str">
            <v>MR</v>
          </cell>
          <cell r="C889">
            <v>9.1999999999999993</v>
          </cell>
          <cell r="D889">
            <v>13</v>
          </cell>
          <cell r="E889" t="str">
            <v>KH107</v>
          </cell>
          <cell r="F889">
            <v>6710</v>
          </cell>
          <cell r="G889">
            <v>112.41</v>
          </cell>
          <cell r="H889">
            <v>1.2</v>
          </cell>
          <cell r="I889" t="str">
            <v>From M1A to M2A - 35°</v>
          </cell>
          <cell r="J889" t="str">
            <v>IE3</v>
          </cell>
          <cell r="K889">
            <v>440</v>
          </cell>
          <cell r="L889">
            <v>60</v>
          </cell>
          <cell r="M889">
            <v>17</v>
          </cell>
          <cell r="N889">
            <v>55</v>
          </cell>
          <cell r="O889" t="str">
            <v>F(105°C)</v>
          </cell>
          <cell r="P889" t="str">
            <v>180°</v>
          </cell>
          <cell r="Q889" t="str">
            <v>TF</v>
          </cell>
          <cell r="R889" t="str">
            <v>V(VE)</v>
          </cell>
          <cell r="S889" t="str">
            <v>-</v>
          </cell>
          <cell r="T889" t="str">
            <v>-</v>
          </cell>
          <cell r="U889" t="str">
            <v>-</v>
          </cell>
          <cell r="V889" t="str">
            <v>FC</v>
          </cell>
          <cell r="W889" t="str">
            <v>-</v>
          </cell>
          <cell r="X889" t="str">
            <v>CLP (CC) VG 220 = -15° + 40°</v>
          </cell>
          <cell r="Y889" t="str">
            <v>KH107DRN132L4 /TF/V</v>
          </cell>
          <cell r="Z889" t="str">
            <v>SEW</v>
          </cell>
          <cell r="AB889" t="str">
            <v>-</v>
          </cell>
          <cell r="AF889">
            <v>15.6</v>
          </cell>
          <cell r="AG889" t="str">
            <v>DRN132L4</v>
          </cell>
          <cell r="AH889" t="str">
            <v>KH107-DRN132L4A180-X#</v>
          </cell>
        </row>
        <row r="890">
          <cell r="A890" t="str">
            <v>MR000886</v>
          </cell>
          <cell r="B890" t="str">
            <v>MR</v>
          </cell>
          <cell r="C890">
            <v>9.1999999999999993</v>
          </cell>
          <cell r="D890">
            <v>13</v>
          </cell>
          <cell r="E890" t="str">
            <v>KH107</v>
          </cell>
          <cell r="F890">
            <v>6710</v>
          </cell>
          <cell r="G890">
            <v>112.41</v>
          </cell>
          <cell r="H890">
            <v>1.2</v>
          </cell>
          <cell r="I890" t="str">
            <v>From M1B to M2B - 35°</v>
          </cell>
          <cell r="J890" t="str">
            <v>IE3</v>
          </cell>
          <cell r="K890">
            <v>440</v>
          </cell>
          <cell r="L890">
            <v>60</v>
          </cell>
          <cell r="M890">
            <v>17</v>
          </cell>
          <cell r="N890">
            <v>55</v>
          </cell>
          <cell r="O890" t="str">
            <v>F(105°C)</v>
          </cell>
          <cell r="P890" t="str">
            <v>0°</v>
          </cell>
          <cell r="Q890" t="str">
            <v>TF</v>
          </cell>
          <cell r="R890" t="str">
            <v>V(VE)</v>
          </cell>
          <cell r="S890" t="str">
            <v>-</v>
          </cell>
          <cell r="T890" t="str">
            <v>-</v>
          </cell>
          <cell r="U890" t="str">
            <v>-</v>
          </cell>
          <cell r="V890" t="str">
            <v>FC</v>
          </cell>
          <cell r="W890" t="str">
            <v>-</v>
          </cell>
          <cell r="X890" t="str">
            <v>CLP (CC) VG 220 = -15° + 40°</v>
          </cell>
          <cell r="Y890" t="str">
            <v>KH107DRN132L4 /TF/V</v>
          </cell>
          <cell r="Z890" t="str">
            <v>SEW</v>
          </cell>
          <cell r="AB890" t="str">
            <v>-</v>
          </cell>
          <cell r="AF890">
            <v>15.6</v>
          </cell>
          <cell r="AG890" t="str">
            <v>DRN132L4</v>
          </cell>
          <cell r="AH890" t="str">
            <v>KH107-DRN132L4B0-X#</v>
          </cell>
        </row>
        <row r="891">
          <cell r="A891" t="str">
            <v>MR000887</v>
          </cell>
          <cell r="B891" t="str">
            <v>MR</v>
          </cell>
          <cell r="C891">
            <v>15</v>
          </cell>
          <cell r="D891">
            <v>59</v>
          </cell>
          <cell r="E891" t="str">
            <v>R97</v>
          </cell>
          <cell r="F891">
            <v>2430</v>
          </cell>
          <cell r="G891">
            <v>25.03</v>
          </cell>
          <cell r="H891">
            <v>1.1499999999999999</v>
          </cell>
          <cell r="I891" t="str">
            <v>M1</v>
          </cell>
          <cell r="J891" t="str">
            <v>IE3</v>
          </cell>
          <cell r="K891">
            <v>440</v>
          </cell>
          <cell r="L891">
            <v>60</v>
          </cell>
          <cell r="M891">
            <v>26.36363636363636</v>
          </cell>
          <cell r="N891">
            <v>55</v>
          </cell>
          <cell r="O891" t="str">
            <v>F(105°C)</v>
          </cell>
          <cell r="P891" t="str">
            <v>270°</v>
          </cell>
          <cell r="Q891" t="str">
            <v>-</v>
          </cell>
          <cell r="R891" t="str">
            <v>-</v>
          </cell>
          <cell r="S891" t="str">
            <v>-</v>
          </cell>
          <cell r="T891" t="str">
            <v>-</v>
          </cell>
          <cell r="U891" t="str">
            <v>-</v>
          </cell>
          <cell r="V891" t="str">
            <v>D</v>
          </cell>
          <cell r="W891" t="str">
            <v>-</v>
          </cell>
          <cell r="X891" t="str">
            <v>CLP (CC) VG 220 = -15° + 40°</v>
          </cell>
          <cell r="Y891" t="str">
            <v>R97DRN160L4</v>
          </cell>
          <cell r="Z891" t="str">
            <v>SEW</v>
          </cell>
          <cell r="AB891" t="str">
            <v>-</v>
          </cell>
          <cell r="AF891">
            <v>70.8</v>
          </cell>
          <cell r="AG891" t="str">
            <v>DRN160L4</v>
          </cell>
          <cell r="AH891" t="str">
            <v>R97-DRN160L4270-X</v>
          </cell>
        </row>
        <row r="892">
          <cell r="A892" t="str">
            <v>MR000888</v>
          </cell>
          <cell r="B892" t="str">
            <v>MR</v>
          </cell>
          <cell r="C892">
            <v>7.5</v>
          </cell>
          <cell r="D892">
            <v>19</v>
          </cell>
          <cell r="E892" t="str">
            <v>KH97</v>
          </cell>
          <cell r="F892">
            <v>3800</v>
          </cell>
          <cell r="G892">
            <v>77.89</v>
          </cell>
          <cell r="H892">
            <v>1.1499999999999999</v>
          </cell>
          <cell r="I892" t="str">
            <v>From M1A to M2A - 35°</v>
          </cell>
          <cell r="J892" t="str">
            <v>IE3</v>
          </cell>
          <cell r="K892">
            <v>440</v>
          </cell>
          <cell r="L892">
            <v>60</v>
          </cell>
          <cell r="M892">
            <v>13.818181818181818</v>
          </cell>
          <cell r="N892">
            <v>55</v>
          </cell>
          <cell r="O892" t="str">
            <v>F(105°C)</v>
          </cell>
          <cell r="P892" t="str">
            <v>180°</v>
          </cell>
          <cell r="Q892" t="str">
            <v>TF</v>
          </cell>
          <cell r="R892" t="str">
            <v>V(VE)</v>
          </cell>
          <cell r="S892" t="str">
            <v>-</v>
          </cell>
          <cell r="T892" t="str">
            <v>-</v>
          </cell>
          <cell r="U892" t="str">
            <v>-</v>
          </cell>
          <cell r="V892" t="str">
            <v>FC</v>
          </cell>
          <cell r="W892" t="str">
            <v>-</v>
          </cell>
          <cell r="X892" t="str">
            <v>CLP (CC) VG 220 = -15° + 40°</v>
          </cell>
          <cell r="Y892" t="str">
            <v>KH97DRN132M4 /TF/V</v>
          </cell>
          <cell r="Z892" t="str">
            <v>SEW</v>
          </cell>
          <cell r="AB892" t="str">
            <v>-</v>
          </cell>
          <cell r="AF892">
            <v>22.8</v>
          </cell>
          <cell r="AG892" t="str">
            <v>DRN132M4</v>
          </cell>
          <cell r="AH892" t="str">
            <v>KH97-DRN132M4A180-X#</v>
          </cell>
        </row>
        <row r="893">
          <cell r="A893" t="str">
            <v>MR000889</v>
          </cell>
          <cell r="B893" t="str">
            <v>MR</v>
          </cell>
          <cell r="C893">
            <v>7.5</v>
          </cell>
          <cell r="D893">
            <v>19</v>
          </cell>
          <cell r="E893" t="str">
            <v>KH97</v>
          </cell>
          <cell r="F893">
            <v>3800</v>
          </cell>
          <cell r="G893">
            <v>77.89</v>
          </cell>
          <cell r="H893">
            <v>1.1499999999999999</v>
          </cell>
          <cell r="I893" t="str">
            <v>From M1B to M2B - 35°</v>
          </cell>
          <cell r="J893" t="str">
            <v>IE3</v>
          </cell>
          <cell r="K893">
            <v>440</v>
          </cell>
          <cell r="L893">
            <v>60</v>
          </cell>
          <cell r="M893">
            <v>13.818181818181818</v>
          </cell>
          <cell r="N893">
            <v>55</v>
          </cell>
          <cell r="O893" t="str">
            <v>F(105°C)</v>
          </cell>
          <cell r="P893" t="str">
            <v>0°</v>
          </cell>
          <cell r="Q893" t="str">
            <v>TF</v>
          </cell>
          <cell r="R893" t="str">
            <v>V(VE)</v>
          </cell>
          <cell r="S893" t="str">
            <v>-</v>
          </cell>
          <cell r="T893" t="str">
            <v>-</v>
          </cell>
          <cell r="U893" t="str">
            <v>-</v>
          </cell>
          <cell r="V893" t="str">
            <v>FC</v>
          </cell>
          <cell r="W893" t="str">
            <v>-</v>
          </cell>
          <cell r="X893" t="str">
            <v>CLP (CC) VG 220 = -15° + 40°</v>
          </cell>
          <cell r="Y893" t="str">
            <v>KH97DRN132M4 /TF/V</v>
          </cell>
          <cell r="Z893" t="str">
            <v>SEW</v>
          </cell>
          <cell r="AB893" t="str">
            <v>-</v>
          </cell>
          <cell r="AF893">
            <v>22.8</v>
          </cell>
          <cell r="AG893" t="str">
            <v>DRN132M4</v>
          </cell>
          <cell r="AH893" t="str">
            <v>KH97-DRN132M4B0-X#</v>
          </cell>
        </row>
        <row r="894">
          <cell r="A894" t="str">
            <v>MR000890</v>
          </cell>
          <cell r="B894" t="str">
            <v>MR</v>
          </cell>
          <cell r="C894">
            <v>0.75</v>
          </cell>
          <cell r="D894">
            <v>21.666666666666668</v>
          </cell>
          <cell r="E894" t="str">
            <v>FA47</v>
          </cell>
          <cell r="F894">
            <v>275</v>
          </cell>
          <cell r="G894">
            <v>68.09</v>
          </cell>
          <cell r="H894">
            <v>1.45</v>
          </cell>
          <cell r="I894" t="str">
            <v>From M6 to M1 - 10°</v>
          </cell>
          <cell r="J894" t="str">
            <v>IE3</v>
          </cell>
          <cell r="K894" t="str">
            <v>277/480</v>
          </cell>
          <cell r="L894">
            <v>60</v>
          </cell>
          <cell r="M894" t="str">
            <v>3,6/1,8</v>
          </cell>
          <cell r="N894">
            <v>55</v>
          </cell>
          <cell r="O894" t="str">
            <v>F</v>
          </cell>
          <cell r="P894" t="str">
            <v>270°</v>
          </cell>
          <cell r="Q894" t="str">
            <v>-</v>
          </cell>
          <cell r="R894" t="str">
            <v>-</v>
          </cell>
          <cell r="S894" t="str">
            <v>-</v>
          </cell>
          <cell r="T894" t="str">
            <v>BE</v>
          </cell>
          <cell r="U894" t="str">
            <v>G</v>
          </cell>
          <cell r="V894" t="str">
            <v>D+R</v>
          </cell>
          <cell r="W894" t="str">
            <v>-</v>
          </cell>
          <cell r="X894" t="str">
            <v>CLP (CC) VG 220 = -15° + 40°</v>
          </cell>
          <cell r="Y894" t="str">
            <v>FA47/G/II2GDEDRN80M4/CIID2</v>
          </cell>
          <cell r="Z894" t="str">
            <v>SEW</v>
          </cell>
          <cell r="AB894" t="str">
            <v>HazLoc CIID2</v>
          </cell>
          <cell r="AE894" t="str">
            <v>Rectifier for brake in the terminal box</v>
          </cell>
          <cell r="AF894">
            <v>26</v>
          </cell>
          <cell r="AG894" t="str">
            <v>DRN80M4</v>
          </cell>
          <cell r="AH894" t="str">
            <v>FA47G-DRN80M4270-X</v>
          </cell>
        </row>
        <row r="895">
          <cell r="A895" t="str">
            <v>MR000891</v>
          </cell>
          <cell r="B895" t="str">
            <v>MR</v>
          </cell>
          <cell r="C895">
            <v>11</v>
          </cell>
          <cell r="D895">
            <v>50.833333333333336</v>
          </cell>
          <cell r="E895" t="str">
            <v>FH87</v>
          </cell>
          <cell r="F895">
            <v>1720</v>
          </cell>
          <cell r="G895">
            <v>29.2</v>
          </cell>
          <cell r="H895">
            <v>1.05</v>
          </cell>
          <cell r="I895" t="str">
            <v>From M1 to M4 - 10°</v>
          </cell>
          <cell r="J895" t="str">
            <v>IE3</v>
          </cell>
          <cell r="K895" t="str">
            <v>277/480</v>
          </cell>
          <cell r="L895">
            <v>60</v>
          </cell>
          <cell r="M895" t="str">
            <v>43/21,5</v>
          </cell>
          <cell r="N895">
            <v>55</v>
          </cell>
          <cell r="O895" t="str">
            <v>F</v>
          </cell>
          <cell r="P895" t="str">
            <v>270°</v>
          </cell>
          <cell r="Q895" t="str">
            <v>-</v>
          </cell>
          <cell r="R895" t="str">
            <v>-</v>
          </cell>
          <cell r="S895" t="str">
            <v>-</v>
          </cell>
          <cell r="T895" t="str">
            <v>-</v>
          </cell>
          <cell r="U895" t="str">
            <v>-</v>
          </cell>
          <cell r="V895" t="str">
            <v>D</v>
          </cell>
          <cell r="W895" t="str">
            <v>-</v>
          </cell>
          <cell r="X895" t="str">
            <v>CLP (CC) VG 220 = -15° + 40°</v>
          </cell>
          <cell r="Y895" t="str">
            <v>FH87/II2GDEDRN160M4/CIID2</v>
          </cell>
          <cell r="Z895" t="str">
            <v>SEW</v>
          </cell>
          <cell r="AB895" t="str">
            <v>HazLoc CIID2</v>
          </cell>
          <cell r="AF895">
            <v>61</v>
          </cell>
          <cell r="AG895" t="str">
            <v>DRN160M4</v>
          </cell>
          <cell r="AH895" t="str">
            <v>FH87-DRN160M4270-X</v>
          </cell>
        </row>
        <row r="896">
          <cell r="A896" t="str">
            <v>MR000892</v>
          </cell>
          <cell r="B896" t="str">
            <v>MR</v>
          </cell>
          <cell r="C896">
            <v>0.75</v>
          </cell>
          <cell r="D896">
            <v>21.666666666666668</v>
          </cell>
          <cell r="E896" t="str">
            <v>FA47</v>
          </cell>
          <cell r="F896">
            <v>275</v>
          </cell>
          <cell r="G896">
            <v>68.09</v>
          </cell>
          <cell r="H896">
            <v>1.45</v>
          </cell>
          <cell r="I896" t="str">
            <v>M5</v>
          </cell>
          <cell r="J896" t="str">
            <v>IE3</v>
          </cell>
          <cell r="K896" t="str">
            <v>277/480</v>
          </cell>
          <cell r="L896">
            <v>60</v>
          </cell>
          <cell r="M896" t="str">
            <v>3,6/1,8</v>
          </cell>
          <cell r="N896">
            <v>55</v>
          </cell>
          <cell r="O896" t="str">
            <v>F</v>
          </cell>
          <cell r="P896" t="str">
            <v>270°</v>
          </cell>
          <cell r="Q896" t="str">
            <v>-</v>
          </cell>
          <cell r="R896" t="str">
            <v>-</v>
          </cell>
          <cell r="S896" t="str">
            <v>-</v>
          </cell>
          <cell r="T896" t="str">
            <v>BE</v>
          </cell>
          <cell r="U896" t="str">
            <v>G</v>
          </cell>
          <cell r="V896" t="str">
            <v>D+R</v>
          </cell>
          <cell r="W896" t="str">
            <v>-</v>
          </cell>
          <cell r="X896" t="str">
            <v>CLP (CC) VG 220 = -15° + 40°</v>
          </cell>
          <cell r="Y896" t="str">
            <v>FA47/G/II2GDEDRN80M4/CIID2</v>
          </cell>
          <cell r="Z896" t="str">
            <v>SEW</v>
          </cell>
          <cell r="AB896" t="str">
            <v>HazLoc CIID2</v>
          </cell>
          <cell r="AE896" t="str">
            <v>Rectifier for brake in the terminal box</v>
          </cell>
          <cell r="AF896">
            <v>26</v>
          </cell>
          <cell r="AG896" t="str">
            <v>DRN80M4</v>
          </cell>
          <cell r="AH896" t="str">
            <v>FA47G-DRN80M4270-X</v>
          </cell>
        </row>
        <row r="897">
          <cell r="A897" t="str">
            <v>MR000893</v>
          </cell>
          <cell r="B897" t="str">
            <v>MR</v>
          </cell>
          <cell r="C897">
            <v>0.75</v>
          </cell>
          <cell r="D897">
            <v>141.66666666666669</v>
          </cell>
          <cell r="E897" t="str">
            <v>KA37</v>
          </cell>
          <cell r="F897">
            <v>42</v>
          </cell>
          <cell r="G897">
            <v>10.32</v>
          </cell>
          <cell r="H897">
            <v>1.8</v>
          </cell>
          <cell r="I897" t="str">
            <v>M1A</v>
          </cell>
          <cell r="J897" t="str">
            <v>IE3</v>
          </cell>
          <cell r="K897" t="str">
            <v>277/480</v>
          </cell>
          <cell r="L897">
            <v>60</v>
          </cell>
          <cell r="M897" t="str">
            <v>2,7/1,56</v>
          </cell>
          <cell r="N897">
            <v>55</v>
          </cell>
          <cell r="O897" t="str">
            <v>F</v>
          </cell>
          <cell r="P897" t="str">
            <v>270°</v>
          </cell>
          <cell r="Q897" t="str">
            <v>-</v>
          </cell>
          <cell r="R897" t="str">
            <v>-</v>
          </cell>
          <cell r="S897" t="str">
            <v>-</v>
          </cell>
          <cell r="T897" t="str">
            <v>-</v>
          </cell>
          <cell r="U897" t="str">
            <v>T</v>
          </cell>
          <cell r="V897" t="str">
            <v>D</v>
          </cell>
          <cell r="W897" t="str">
            <v>-</v>
          </cell>
          <cell r="X897" t="str">
            <v>CLP (CC) VG 220 = -15° + 40°</v>
          </cell>
          <cell r="Y897" t="str">
            <v>KA37/T DRN80M4</v>
          </cell>
          <cell r="Z897" t="str">
            <v>SEW</v>
          </cell>
          <cell r="AB897" t="str">
            <v>-</v>
          </cell>
          <cell r="AF897">
            <v>170.00000000000003</v>
          </cell>
          <cell r="AG897" t="str">
            <v>DRN80M4</v>
          </cell>
          <cell r="AH897" t="str">
            <v>KA37T-DRN80M4A270-X</v>
          </cell>
        </row>
        <row r="898">
          <cell r="A898" t="str">
            <v>MR000894</v>
          </cell>
          <cell r="B898" t="str">
            <v>MR</v>
          </cell>
          <cell r="C898">
            <v>18.5</v>
          </cell>
          <cell r="D898">
            <v>12.5</v>
          </cell>
          <cell r="E898" t="str">
            <v>KH157</v>
          </cell>
          <cell r="F898">
            <v>12100</v>
          </cell>
          <cell r="G898">
            <v>122.39</v>
          </cell>
          <cell r="H898">
            <v>1.5</v>
          </cell>
          <cell r="I898" t="str">
            <v>From M1A to M2A - 45°</v>
          </cell>
          <cell r="J898" t="str">
            <v>IE3</v>
          </cell>
          <cell r="K898" t="str">
            <v>277/480</v>
          </cell>
          <cell r="L898">
            <v>60</v>
          </cell>
          <cell r="M898" t="str">
            <v>68/34</v>
          </cell>
          <cell r="N898">
            <v>55</v>
          </cell>
          <cell r="O898" t="str">
            <v>F</v>
          </cell>
          <cell r="P898" t="str">
            <v>270°</v>
          </cell>
          <cell r="Q898" t="str">
            <v>TF</v>
          </cell>
          <cell r="R898" t="str">
            <v>V(VE)</v>
          </cell>
          <cell r="S898" t="str">
            <v>-</v>
          </cell>
          <cell r="T898" t="str">
            <v>-</v>
          </cell>
          <cell r="U898" t="str">
            <v>-</v>
          </cell>
          <cell r="V898" t="str">
            <v>FC</v>
          </cell>
          <cell r="W898" t="str">
            <v>-</v>
          </cell>
          <cell r="X898" t="str">
            <v>CLP (CC) VG 220 = -15° + 40°</v>
          </cell>
          <cell r="Y898" t="str">
            <v>KH157/II2GDEDRN180M4/3GD /TF/VE</v>
          </cell>
          <cell r="Z898" t="str">
            <v>SEW</v>
          </cell>
          <cell r="AB898" t="str">
            <v>ATEX22</v>
          </cell>
          <cell r="AF898">
            <v>15</v>
          </cell>
          <cell r="AG898" t="str">
            <v>EDRN180M4</v>
          </cell>
          <cell r="AH898" t="str">
            <v>KH157-EDRN180M4A270-X#</v>
          </cell>
        </row>
        <row r="899">
          <cell r="A899" t="str">
            <v>MR000895</v>
          </cell>
          <cell r="B899" t="str">
            <v>MR</v>
          </cell>
          <cell r="C899">
            <v>18.5</v>
          </cell>
          <cell r="D899">
            <v>12.5</v>
          </cell>
          <cell r="E899" t="str">
            <v>KH157</v>
          </cell>
          <cell r="F899">
            <v>12100</v>
          </cell>
          <cell r="G899">
            <v>122.39</v>
          </cell>
          <cell r="H899">
            <v>1.5</v>
          </cell>
          <cell r="I899" t="str">
            <v>From M1B to M2B - 45°</v>
          </cell>
          <cell r="J899" t="str">
            <v>IE3</v>
          </cell>
          <cell r="K899" t="str">
            <v>277/480</v>
          </cell>
          <cell r="L899">
            <v>60</v>
          </cell>
          <cell r="M899" t="str">
            <v>68/34</v>
          </cell>
          <cell r="N899">
            <v>55</v>
          </cell>
          <cell r="O899" t="str">
            <v>F</v>
          </cell>
          <cell r="P899" t="str">
            <v>270°</v>
          </cell>
          <cell r="Q899" t="str">
            <v>TF</v>
          </cell>
          <cell r="R899" t="str">
            <v>V(VE)</v>
          </cell>
          <cell r="S899" t="str">
            <v>-</v>
          </cell>
          <cell r="T899" t="str">
            <v>-</v>
          </cell>
          <cell r="U899" t="str">
            <v>-</v>
          </cell>
          <cell r="V899" t="str">
            <v>FC</v>
          </cell>
          <cell r="W899" t="str">
            <v>-</v>
          </cell>
          <cell r="X899" t="str">
            <v>CLP (CC) VG 220 = -15° + 40°</v>
          </cell>
          <cell r="Y899" t="str">
            <v>KH157/II2GDEDRN180M4/3GD /TF/VE</v>
          </cell>
          <cell r="Z899" t="str">
            <v>SEW</v>
          </cell>
          <cell r="AB899" t="str">
            <v>ATEX22</v>
          </cell>
          <cell r="AF899">
            <v>15</v>
          </cell>
          <cell r="AG899" t="str">
            <v>EDRN180M4</v>
          </cell>
          <cell r="AH899" t="str">
            <v>KH157-EDRN180M4B270-X#</v>
          </cell>
        </row>
        <row r="900">
          <cell r="A900" t="str">
            <v>MR000896</v>
          </cell>
          <cell r="B900" t="str">
            <v>MR</v>
          </cell>
          <cell r="C900">
            <v>15</v>
          </cell>
          <cell r="D900">
            <v>38.333333333333336</v>
          </cell>
          <cell r="E900" t="str">
            <v>FH97</v>
          </cell>
          <cell r="F900">
            <v>3130</v>
          </cell>
          <cell r="G900">
            <v>38.86</v>
          </cell>
          <cell r="H900">
            <v>1.1000000000000001</v>
          </cell>
          <cell r="I900" t="str">
            <v>M1</v>
          </cell>
          <cell r="J900" t="str">
            <v>IE3</v>
          </cell>
          <cell r="K900" t="str">
            <v>277/480</v>
          </cell>
          <cell r="L900">
            <v>60</v>
          </cell>
          <cell r="M900" t="str">
            <v>58/29</v>
          </cell>
          <cell r="N900">
            <v>55</v>
          </cell>
          <cell r="O900" t="str">
            <v>F</v>
          </cell>
          <cell r="P900" t="str">
            <v>270°</v>
          </cell>
          <cell r="Q900" t="str">
            <v>-</v>
          </cell>
          <cell r="R900" t="str">
            <v>-</v>
          </cell>
          <cell r="S900" t="str">
            <v>-</v>
          </cell>
          <cell r="T900" t="str">
            <v>-</v>
          </cell>
          <cell r="U900" t="str">
            <v>-</v>
          </cell>
          <cell r="V900" t="str">
            <v>D+R</v>
          </cell>
          <cell r="W900" t="str">
            <v>-</v>
          </cell>
          <cell r="X900" t="str">
            <v>CLP (CC) VG 220 = -15° + 40°</v>
          </cell>
          <cell r="Y900" t="str">
            <v>FH97/II2GDEDRN160L4/3GD</v>
          </cell>
          <cell r="Z900" t="str">
            <v>SEW</v>
          </cell>
          <cell r="AB900" t="str">
            <v>ATEX22</v>
          </cell>
          <cell r="AF900">
            <v>46</v>
          </cell>
          <cell r="AG900" t="str">
            <v>EDRN160L4</v>
          </cell>
          <cell r="AH900" t="str">
            <v>FH97-EDRN160L4270-X</v>
          </cell>
        </row>
        <row r="901">
          <cell r="A901" t="str">
            <v>MR000897</v>
          </cell>
          <cell r="B901" t="str">
            <v>MR</v>
          </cell>
          <cell r="C901">
            <v>9.1999999999999993</v>
          </cell>
          <cell r="D901">
            <v>50.833333333333336</v>
          </cell>
          <cell r="E901" t="str">
            <v>FH87</v>
          </cell>
          <cell r="F901">
            <v>1440</v>
          </cell>
          <cell r="G901">
            <v>29.2</v>
          </cell>
          <cell r="H901">
            <v>1.2</v>
          </cell>
          <cell r="I901" t="str">
            <v>From M1 to M4 - 10°</v>
          </cell>
          <cell r="J901" t="str">
            <v>IE3</v>
          </cell>
          <cell r="K901" t="str">
            <v>277/480</v>
          </cell>
          <cell r="L901">
            <v>60</v>
          </cell>
          <cell r="M901" t="str">
            <v>38/19</v>
          </cell>
          <cell r="N901">
            <v>55</v>
          </cell>
          <cell r="O901" t="str">
            <v>F</v>
          </cell>
          <cell r="P901" t="str">
            <v>270°</v>
          </cell>
          <cell r="Q901" t="str">
            <v>-</v>
          </cell>
          <cell r="R901" t="str">
            <v>-</v>
          </cell>
          <cell r="S901" t="str">
            <v>-</v>
          </cell>
          <cell r="T901" t="str">
            <v>-</v>
          </cell>
          <cell r="U901" t="str">
            <v>-</v>
          </cell>
          <cell r="V901" t="str">
            <v>D</v>
          </cell>
          <cell r="W901" t="str">
            <v>-</v>
          </cell>
          <cell r="X901" t="str">
            <v>CLP (CC) VG 220 = -15° + 40°</v>
          </cell>
          <cell r="Y901" t="str">
            <v>FH87/II2GDEDRN132L4/3GD</v>
          </cell>
          <cell r="Z901" t="str">
            <v>SEW</v>
          </cell>
          <cell r="AB901" t="str">
            <v>ATEX22</v>
          </cell>
          <cell r="AF901">
            <v>61</v>
          </cell>
          <cell r="AG901" t="str">
            <v>EDRN132L4</v>
          </cell>
          <cell r="AH901" t="str">
            <v>FH87-EDRN132L4270-X</v>
          </cell>
        </row>
        <row r="902">
          <cell r="A902" t="str">
            <v>MR000898</v>
          </cell>
          <cell r="B902" t="str">
            <v>MR</v>
          </cell>
          <cell r="C902">
            <v>0.75</v>
          </cell>
          <cell r="D902">
            <v>21.666666666666668</v>
          </cell>
          <cell r="E902" t="str">
            <v>FA47</v>
          </cell>
          <cell r="F902">
            <v>275</v>
          </cell>
          <cell r="G902">
            <v>68.09</v>
          </cell>
          <cell r="H902">
            <v>1.45</v>
          </cell>
          <cell r="I902" t="str">
            <v>From M6 to M1 - 10°</v>
          </cell>
          <cell r="J902" t="str">
            <v>IE3</v>
          </cell>
          <cell r="K902" t="str">
            <v>277/480</v>
          </cell>
          <cell r="L902">
            <v>60</v>
          </cell>
          <cell r="M902" t="str">
            <v>3,6/1,8</v>
          </cell>
          <cell r="N902">
            <v>55</v>
          </cell>
          <cell r="O902" t="str">
            <v>F</v>
          </cell>
          <cell r="P902" t="str">
            <v>270°</v>
          </cell>
          <cell r="Q902" t="str">
            <v>-</v>
          </cell>
          <cell r="R902" t="str">
            <v>-</v>
          </cell>
          <cell r="S902" t="str">
            <v>-</v>
          </cell>
          <cell r="T902" t="str">
            <v>BE</v>
          </cell>
          <cell r="U902" t="str">
            <v>G</v>
          </cell>
          <cell r="V902" t="str">
            <v>D+R</v>
          </cell>
          <cell r="W902" t="str">
            <v>-</v>
          </cell>
          <cell r="X902" t="str">
            <v>CLP (CC) VG 220 = -15° + 40°</v>
          </cell>
          <cell r="Y902" t="str">
            <v>FA47/G/II2GDEDRN80M4/3D</v>
          </cell>
          <cell r="Z902" t="str">
            <v>SEW</v>
          </cell>
          <cell r="AB902" t="str">
            <v>ATEX22</v>
          </cell>
          <cell r="AE902" t="str">
            <v>Rectifier for brake in the terminal box</v>
          </cell>
          <cell r="AF902">
            <v>26</v>
          </cell>
          <cell r="AG902" t="str">
            <v>EDRN80M4</v>
          </cell>
          <cell r="AH902" t="str">
            <v>FA47G-EDRN80M4270-X</v>
          </cell>
        </row>
        <row r="903">
          <cell r="A903" t="str">
            <v>MR000899</v>
          </cell>
          <cell r="B903" t="str">
            <v>MR</v>
          </cell>
          <cell r="C903">
            <v>11</v>
          </cell>
          <cell r="D903">
            <v>50.833333333333336</v>
          </cell>
          <cell r="E903" t="str">
            <v>FH87</v>
          </cell>
          <cell r="F903">
            <v>1720</v>
          </cell>
          <cell r="G903">
            <v>29.2</v>
          </cell>
          <cell r="H903">
            <v>1.05</v>
          </cell>
          <cell r="I903" t="str">
            <v>From M1 to M4 - 10°</v>
          </cell>
          <cell r="J903" t="str">
            <v>IE3</v>
          </cell>
          <cell r="K903" t="str">
            <v>277/480</v>
          </cell>
          <cell r="L903">
            <v>60</v>
          </cell>
          <cell r="M903" t="str">
            <v>43/21,5</v>
          </cell>
          <cell r="N903">
            <v>55</v>
          </cell>
          <cell r="O903" t="str">
            <v>F</v>
          </cell>
          <cell r="P903" t="str">
            <v>270°</v>
          </cell>
          <cell r="Q903" t="str">
            <v>-</v>
          </cell>
          <cell r="R903" t="str">
            <v>-</v>
          </cell>
          <cell r="S903" t="str">
            <v>-</v>
          </cell>
          <cell r="T903" t="str">
            <v>-</v>
          </cell>
          <cell r="U903" t="str">
            <v>-</v>
          </cell>
          <cell r="V903" t="str">
            <v>D</v>
          </cell>
          <cell r="W903" t="str">
            <v>-</v>
          </cell>
          <cell r="X903" t="str">
            <v>CLP (CC) VG 220 = -15° + 40°</v>
          </cell>
          <cell r="Y903" t="str">
            <v>FH87/II2GDEDRN160M4/3GD</v>
          </cell>
          <cell r="Z903" t="str">
            <v>SEW</v>
          </cell>
          <cell r="AB903" t="str">
            <v>ATEX22</v>
          </cell>
          <cell r="AF903">
            <v>61</v>
          </cell>
          <cell r="AG903" t="str">
            <v>EDRN160M4</v>
          </cell>
          <cell r="AH903" t="str">
            <v>FH87-EDRN160M4270-X</v>
          </cell>
        </row>
        <row r="904">
          <cell r="A904" t="str">
            <v>MR000900</v>
          </cell>
          <cell r="B904" t="str">
            <v>MR</v>
          </cell>
          <cell r="C904">
            <v>7.5</v>
          </cell>
          <cell r="D904">
            <v>51.666666666666671</v>
          </cell>
          <cell r="E904" t="str">
            <v>FH87</v>
          </cell>
          <cell r="F904">
            <v>1160</v>
          </cell>
          <cell r="G904">
            <v>28.78</v>
          </cell>
          <cell r="H904">
            <v>2.1</v>
          </cell>
          <cell r="I904" t="str">
            <v>From M1 to M4 - 10°</v>
          </cell>
          <cell r="J904" t="str">
            <v>IE3</v>
          </cell>
          <cell r="K904" t="str">
            <v>277/480</v>
          </cell>
          <cell r="L904">
            <v>60</v>
          </cell>
          <cell r="M904" t="str">
            <v>30,5/15,3</v>
          </cell>
          <cell r="N904">
            <v>55</v>
          </cell>
          <cell r="O904" t="str">
            <v>F</v>
          </cell>
          <cell r="P904" t="str">
            <v>270°</v>
          </cell>
          <cell r="Q904" t="str">
            <v>-</v>
          </cell>
          <cell r="R904" t="str">
            <v>-</v>
          </cell>
          <cell r="S904" t="str">
            <v>-</v>
          </cell>
          <cell r="T904" t="str">
            <v>-</v>
          </cell>
          <cell r="U904" t="str">
            <v>-</v>
          </cell>
          <cell r="V904" t="str">
            <v>D</v>
          </cell>
          <cell r="W904" t="str">
            <v>-</v>
          </cell>
          <cell r="X904" t="str">
            <v>CLP (CC) VG 220 = -15° + 40°</v>
          </cell>
          <cell r="Y904" t="str">
            <v>FH87/II2GDEDRN132M4/3GD</v>
          </cell>
          <cell r="Z904" t="str">
            <v>SEW</v>
          </cell>
          <cell r="AB904" t="str">
            <v>ATEX22</v>
          </cell>
          <cell r="AF904">
            <v>62.000000000000007</v>
          </cell>
          <cell r="AG904" t="str">
            <v>EDRN132M4</v>
          </cell>
          <cell r="AH904" t="str">
            <v>FH87-EDRN132M4270-X</v>
          </cell>
        </row>
        <row r="905">
          <cell r="A905" t="str">
            <v>MR000901</v>
          </cell>
          <cell r="B905" t="str">
            <v>MR</v>
          </cell>
          <cell r="C905">
            <v>5.5</v>
          </cell>
          <cell r="D905">
            <v>11.666666666666668</v>
          </cell>
          <cell r="E905" t="str">
            <v>KH97</v>
          </cell>
          <cell r="F905">
            <v>3680</v>
          </cell>
          <cell r="G905">
            <v>123.93</v>
          </cell>
          <cell r="H905">
            <v>1.1499999999999999</v>
          </cell>
          <cell r="I905" t="str">
            <v>M1A</v>
          </cell>
          <cell r="J905" t="str">
            <v>IE3</v>
          </cell>
          <cell r="K905" t="str">
            <v>277/480</v>
          </cell>
          <cell r="L905">
            <v>60</v>
          </cell>
          <cell r="M905" t="str">
            <v>21/10,6</v>
          </cell>
          <cell r="N905">
            <v>55</v>
          </cell>
          <cell r="O905" t="str">
            <v>F</v>
          </cell>
          <cell r="P905" t="str">
            <v>270°</v>
          </cell>
          <cell r="Q905" t="str">
            <v>-</v>
          </cell>
          <cell r="R905" t="str">
            <v>-</v>
          </cell>
          <cell r="S905" t="str">
            <v>-</v>
          </cell>
          <cell r="T905" t="str">
            <v>-</v>
          </cell>
          <cell r="U905" t="str">
            <v>-</v>
          </cell>
          <cell r="V905" t="str">
            <v>SS</v>
          </cell>
          <cell r="W905" t="str">
            <v>-</v>
          </cell>
          <cell r="X905" t="str">
            <v>CLP (CC) VG 220 = -15° + 40°</v>
          </cell>
          <cell r="Y905" t="str">
            <v>K97/II2GDEDRN132S4/3GD</v>
          </cell>
          <cell r="Z905" t="str">
            <v>SEW</v>
          </cell>
          <cell r="AB905" t="str">
            <v>ATEX22</v>
          </cell>
          <cell r="AF905">
            <v>14.000000000000002</v>
          </cell>
          <cell r="AG905" t="str">
            <v>EDRN132S4</v>
          </cell>
          <cell r="AH905" t="str">
            <v>KH97-EDRN132S4A270-X</v>
          </cell>
        </row>
        <row r="906">
          <cell r="A906" t="str">
            <v>MR000902</v>
          </cell>
          <cell r="B906" t="str">
            <v>MR</v>
          </cell>
          <cell r="C906">
            <v>5.5</v>
          </cell>
          <cell r="D906">
            <v>11.666666666666668</v>
          </cell>
          <cell r="E906" t="str">
            <v>KH97</v>
          </cell>
          <cell r="F906">
            <v>3680</v>
          </cell>
          <cell r="G906">
            <v>123.93</v>
          </cell>
          <cell r="H906">
            <v>1.1499999999999999</v>
          </cell>
          <cell r="I906" t="str">
            <v>M1B</v>
          </cell>
          <cell r="J906" t="str">
            <v>IE3</v>
          </cell>
          <cell r="K906" t="str">
            <v>277/480</v>
          </cell>
          <cell r="L906">
            <v>60</v>
          </cell>
          <cell r="M906" t="str">
            <v>21/10,6</v>
          </cell>
          <cell r="N906">
            <v>55</v>
          </cell>
          <cell r="O906" t="str">
            <v>F</v>
          </cell>
          <cell r="P906" t="str">
            <v>270°</v>
          </cell>
          <cell r="Q906" t="str">
            <v>-</v>
          </cell>
          <cell r="R906" t="str">
            <v>-</v>
          </cell>
          <cell r="S906" t="str">
            <v>-</v>
          </cell>
          <cell r="T906" t="str">
            <v>-</v>
          </cell>
          <cell r="U906" t="str">
            <v>-</v>
          </cell>
          <cell r="V906" t="str">
            <v>SS</v>
          </cell>
          <cell r="W906" t="str">
            <v>-</v>
          </cell>
          <cell r="X906" t="str">
            <v>CLP (CC) VG 220 = -15° + 40°</v>
          </cell>
          <cell r="Y906" t="str">
            <v>K97/II2GDEDRN132S4/CIID2</v>
          </cell>
          <cell r="Z906" t="str">
            <v>SEW</v>
          </cell>
          <cell r="AB906" t="str">
            <v>ATEX22</v>
          </cell>
          <cell r="AF906">
            <v>14.000000000000002</v>
          </cell>
          <cell r="AG906" t="str">
            <v>EDRN132S4</v>
          </cell>
          <cell r="AH906" t="str">
            <v>KH97-EDRN132S4B270-X</v>
          </cell>
        </row>
        <row r="907">
          <cell r="A907" t="str">
            <v>MR000903</v>
          </cell>
          <cell r="B907" t="str">
            <v>MR</v>
          </cell>
          <cell r="C907">
            <v>18.5</v>
          </cell>
          <cell r="D907">
            <v>12.5</v>
          </cell>
          <cell r="E907" t="str">
            <v>KH157</v>
          </cell>
          <cell r="F907">
            <v>12100</v>
          </cell>
          <cell r="G907">
            <v>122.39</v>
          </cell>
          <cell r="H907">
            <v>1.5</v>
          </cell>
          <cell r="I907" t="str">
            <v>From M1A to M2A - 25°</v>
          </cell>
          <cell r="J907" t="str">
            <v>IE3</v>
          </cell>
          <cell r="K907" t="str">
            <v>277/480</v>
          </cell>
          <cell r="L907">
            <v>60</v>
          </cell>
          <cell r="M907" t="str">
            <v>68/34</v>
          </cell>
          <cell r="N907">
            <v>55</v>
          </cell>
          <cell r="O907" t="str">
            <v>F</v>
          </cell>
          <cell r="P907" t="str">
            <v>270°</v>
          </cell>
          <cell r="Q907" t="str">
            <v>TF</v>
          </cell>
          <cell r="R907" t="str">
            <v>V(VE)</v>
          </cell>
          <cell r="S907" t="str">
            <v>-</v>
          </cell>
          <cell r="T907" t="str">
            <v>-</v>
          </cell>
          <cell r="U907" t="str">
            <v>-</v>
          </cell>
          <cell r="V907" t="str">
            <v>FC</v>
          </cell>
          <cell r="W907" t="str">
            <v>-</v>
          </cell>
          <cell r="X907" t="str">
            <v>CLP (CC) VG 220 = -15° + 40°</v>
          </cell>
          <cell r="Y907" t="str">
            <v>K157/II2GDEDRN180M4/3GD/TF/VE</v>
          </cell>
          <cell r="Z907" t="str">
            <v>SEW</v>
          </cell>
          <cell r="AB907" t="str">
            <v>ATEX22</v>
          </cell>
          <cell r="AF907">
            <v>15</v>
          </cell>
          <cell r="AG907" t="str">
            <v>EDRN180M4</v>
          </cell>
          <cell r="AH907" t="str">
            <v>KH157-EDRN180M4A270-X#</v>
          </cell>
        </row>
        <row r="908">
          <cell r="A908" t="str">
            <v>MR000904</v>
          </cell>
          <cell r="B908" t="str">
            <v>MR</v>
          </cell>
          <cell r="C908">
            <v>18.5</v>
          </cell>
          <cell r="D908">
            <v>12.5</v>
          </cell>
          <cell r="E908" t="str">
            <v>KH157</v>
          </cell>
          <cell r="F908">
            <v>12100</v>
          </cell>
          <cell r="G908">
            <v>122.39</v>
          </cell>
          <cell r="H908">
            <v>1.5</v>
          </cell>
          <cell r="I908" t="str">
            <v>From M1B to M2B - 25°</v>
          </cell>
          <cell r="J908" t="str">
            <v>IE3</v>
          </cell>
          <cell r="K908" t="str">
            <v>277/480</v>
          </cell>
          <cell r="L908">
            <v>60</v>
          </cell>
          <cell r="M908" t="str">
            <v>68/34</v>
          </cell>
          <cell r="N908">
            <v>55</v>
          </cell>
          <cell r="O908" t="str">
            <v>F</v>
          </cell>
          <cell r="P908" t="str">
            <v>270°</v>
          </cell>
          <cell r="Q908" t="str">
            <v>TF</v>
          </cell>
          <cell r="R908" t="str">
            <v>V(VE)</v>
          </cell>
          <cell r="S908" t="str">
            <v>-</v>
          </cell>
          <cell r="T908" t="str">
            <v>-</v>
          </cell>
          <cell r="U908" t="str">
            <v>-</v>
          </cell>
          <cell r="V908" t="str">
            <v>FC</v>
          </cell>
          <cell r="W908" t="str">
            <v>-</v>
          </cell>
          <cell r="X908" t="str">
            <v>CLP (CC) VG 220 = -15° + 40°</v>
          </cell>
          <cell r="Y908" t="str">
            <v>K157/II2GDEDRN180M4/3GD/TF/VE</v>
          </cell>
          <cell r="Z908" t="str">
            <v>SEW</v>
          </cell>
          <cell r="AB908" t="str">
            <v>ATEX22</v>
          </cell>
          <cell r="AF908">
            <v>15</v>
          </cell>
          <cell r="AG908" t="str">
            <v>EDRN180M4</v>
          </cell>
          <cell r="AH908" t="str">
            <v>KH157-EDRN180M4B270-X#</v>
          </cell>
        </row>
        <row r="909">
          <cell r="A909" t="str">
            <v>MR000905</v>
          </cell>
          <cell r="B909" t="str">
            <v>MR</v>
          </cell>
          <cell r="C909">
            <v>11</v>
          </cell>
          <cell r="D909">
            <v>50.833333333333336</v>
          </cell>
          <cell r="E909" t="str">
            <v>FH87</v>
          </cell>
          <cell r="F909">
            <v>1720</v>
          </cell>
          <cell r="G909">
            <v>29.2</v>
          </cell>
          <cell r="H909">
            <v>1.05</v>
          </cell>
          <cell r="I909" t="str">
            <v>From M1 to M4 - 20°</v>
          </cell>
          <cell r="J909" t="str">
            <v>IE3</v>
          </cell>
          <cell r="K909" t="str">
            <v>277/480</v>
          </cell>
          <cell r="L909">
            <v>60</v>
          </cell>
          <cell r="M909" t="str">
            <v>43/21,5</v>
          </cell>
          <cell r="N909">
            <v>55</v>
          </cell>
          <cell r="O909" t="str">
            <v>F</v>
          </cell>
          <cell r="P909" t="str">
            <v>270°</v>
          </cell>
          <cell r="Q909" t="str">
            <v>-</v>
          </cell>
          <cell r="R909" t="str">
            <v>-</v>
          </cell>
          <cell r="S909" t="str">
            <v>-</v>
          </cell>
          <cell r="T909" t="str">
            <v>-</v>
          </cell>
          <cell r="U909" t="str">
            <v>-</v>
          </cell>
          <cell r="V909" t="str">
            <v>D</v>
          </cell>
          <cell r="W909" t="str">
            <v>-</v>
          </cell>
          <cell r="X909" t="str">
            <v>CLP (CC) VG 220 = -15° + 40°</v>
          </cell>
          <cell r="Y909" t="str">
            <v>FH87/II2GDEDRN160M4/3GD</v>
          </cell>
          <cell r="Z909" t="str">
            <v>SEW</v>
          </cell>
          <cell r="AB909" t="str">
            <v>ATEX22</v>
          </cell>
          <cell r="AF909">
            <v>61</v>
          </cell>
          <cell r="AG909" t="str">
            <v>EDRN160M4</v>
          </cell>
          <cell r="AH909" t="str">
            <v>FH87-EDRN160M4270-X</v>
          </cell>
        </row>
        <row r="910">
          <cell r="A910" t="str">
            <v>MR000906</v>
          </cell>
          <cell r="B910" t="str">
            <v>MR</v>
          </cell>
          <cell r="C910">
            <v>15</v>
          </cell>
          <cell r="D910">
            <v>10.833333333333334</v>
          </cell>
          <cell r="E910" t="str">
            <v>KH127</v>
          </cell>
          <cell r="F910">
            <v>10900</v>
          </cell>
          <cell r="G910">
            <v>136.13999999999999</v>
          </cell>
          <cell r="H910">
            <v>1.2</v>
          </cell>
          <cell r="I910" t="str">
            <v>From M1A to M2A - 35°</v>
          </cell>
          <cell r="J910" t="str">
            <v>IE3</v>
          </cell>
          <cell r="K910" t="str">
            <v>277/480</v>
          </cell>
          <cell r="L910">
            <v>60</v>
          </cell>
          <cell r="M910" t="str">
            <v>58/29</v>
          </cell>
          <cell r="N910">
            <v>55</v>
          </cell>
          <cell r="O910" t="str">
            <v>F</v>
          </cell>
          <cell r="P910" t="str">
            <v>270°</v>
          </cell>
          <cell r="Q910" t="str">
            <v>TF</v>
          </cell>
          <cell r="R910" t="str">
            <v>V(VE)</v>
          </cell>
          <cell r="S910" t="str">
            <v>-</v>
          </cell>
          <cell r="T910" t="str">
            <v>-</v>
          </cell>
          <cell r="U910" t="str">
            <v>-</v>
          </cell>
          <cell r="V910" t="str">
            <v>FC</v>
          </cell>
          <cell r="W910" t="str">
            <v>-</v>
          </cell>
          <cell r="X910" t="str">
            <v>CLP (CC) VG 220 = -15° + 40°</v>
          </cell>
          <cell r="Y910" t="str">
            <v>K127/II2GDEDRN160L4/3GD/TF/VE</v>
          </cell>
          <cell r="Z910" t="str">
            <v>SEW</v>
          </cell>
          <cell r="AB910" t="str">
            <v>ATEX22</v>
          </cell>
          <cell r="AF910">
            <v>13</v>
          </cell>
          <cell r="AG910" t="str">
            <v>EDRN160L4</v>
          </cell>
          <cell r="AH910" t="str">
            <v>KH127-EDRN160L4A270-X#</v>
          </cell>
        </row>
        <row r="911">
          <cell r="A911" t="str">
            <v>MR000907</v>
          </cell>
          <cell r="B911" t="str">
            <v>MR</v>
          </cell>
          <cell r="C911">
            <v>15</v>
          </cell>
          <cell r="D911">
            <v>10.833333333333334</v>
          </cell>
          <cell r="E911" t="str">
            <v>KH127</v>
          </cell>
          <cell r="F911">
            <v>10900</v>
          </cell>
          <cell r="G911">
            <v>136.13999999999999</v>
          </cell>
          <cell r="H911">
            <v>1.2</v>
          </cell>
          <cell r="I911" t="str">
            <v>From M1B to M2B - 35°</v>
          </cell>
          <cell r="J911" t="str">
            <v>IE3</v>
          </cell>
          <cell r="K911" t="str">
            <v>277/480</v>
          </cell>
          <cell r="L911">
            <v>60</v>
          </cell>
          <cell r="M911" t="str">
            <v>58/29</v>
          </cell>
          <cell r="N911">
            <v>55</v>
          </cell>
          <cell r="O911" t="str">
            <v>F</v>
          </cell>
          <cell r="P911" t="str">
            <v>270°</v>
          </cell>
          <cell r="Q911" t="str">
            <v>TF</v>
          </cell>
          <cell r="R911" t="str">
            <v>V(VE)</v>
          </cell>
          <cell r="S911" t="str">
            <v>-</v>
          </cell>
          <cell r="T911" t="str">
            <v>-</v>
          </cell>
          <cell r="U911" t="str">
            <v>-</v>
          </cell>
          <cell r="V911" t="str">
            <v>FC</v>
          </cell>
          <cell r="W911" t="str">
            <v>-</v>
          </cell>
          <cell r="X911" t="str">
            <v>CLP (CC) VG 220 = -15° + 40°</v>
          </cell>
          <cell r="Y911" t="str">
            <v>K127/II2GDEDRN160L4/3GD/TF/VE</v>
          </cell>
          <cell r="Z911" t="str">
            <v>SEW</v>
          </cell>
          <cell r="AB911" t="str">
            <v>ATEX22</v>
          </cell>
          <cell r="AF911">
            <v>13</v>
          </cell>
          <cell r="AG911" t="str">
            <v>EDRN160L4</v>
          </cell>
          <cell r="AH911" t="str">
            <v>KH127-EDRN160L4B270-X#</v>
          </cell>
        </row>
        <row r="912">
          <cell r="A912" t="str">
            <v>MR000908</v>
          </cell>
          <cell r="B912" t="str">
            <v>MR</v>
          </cell>
          <cell r="C912">
            <v>18.5</v>
          </cell>
          <cell r="D912">
            <v>13.333333333333334</v>
          </cell>
          <cell r="E912" t="str">
            <v>KH127</v>
          </cell>
          <cell r="F912">
            <v>10900</v>
          </cell>
          <cell r="G912">
            <v>110.18</v>
          </cell>
          <cell r="H912">
            <v>1.2</v>
          </cell>
          <cell r="I912" t="str">
            <v xml:space="preserve">M1A </v>
          </cell>
          <cell r="J912" t="str">
            <v>IE3</v>
          </cell>
          <cell r="K912" t="str">
            <v>277/480</v>
          </cell>
          <cell r="L912">
            <v>60</v>
          </cell>
          <cell r="M912" t="str">
            <v>68/34</v>
          </cell>
          <cell r="N912">
            <v>55</v>
          </cell>
          <cell r="O912" t="str">
            <v>F</v>
          </cell>
          <cell r="P912" t="str">
            <v>270°</v>
          </cell>
          <cell r="Q912" t="str">
            <v>TF</v>
          </cell>
          <cell r="R912" t="str">
            <v>V(VE)</v>
          </cell>
          <cell r="S912" t="str">
            <v>-</v>
          </cell>
          <cell r="T912" t="str">
            <v>-</v>
          </cell>
          <cell r="U912" t="str">
            <v>-</v>
          </cell>
          <cell r="V912" t="str">
            <v>FC</v>
          </cell>
          <cell r="W912" t="str">
            <v>-</v>
          </cell>
          <cell r="X912" t="str">
            <v>CLP (CC) VG 220 = -15° + 40°</v>
          </cell>
          <cell r="Y912" t="str">
            <v>K127/II2GDEDRN180M4/3GD/TF/VE</v>
          </cell>
          <cell r="Z912" t="str">
            <v>SEW</v>
          </cell>
          <cell r="AB912" t="str">
            <v>ATEX22</v>
          </cell>
          <cell r="AF912">
            <v>16</v>
          </cell>
          <cell r="AG912" t="str">
            <v>EDRN180M4</v>
          </cell>
          <cell r="AH912" t="str">
            <v>KH127-EDRN180M4A270-X#</v>
          </cell>
        </row>
        <row r="913">
          <cell r="A913" t="str">
            <v>MR000909</v>
          </cell>
          <cell r="B913" t="str">
            <v>MR</v>
          </cell>
          <cell r="C913">
            <v>18.5</v>
          </cell>
          <cell r="D913">
            <v>13.333333333333334</v>
          </cell>
          <cell r="E913" t="str">
            <v>KH127</v>
          </cell>
          <cell r="F913">
            <v>10900</v>
          </cell>
          <cell r="G913">
            <v>110.18</v>
          </cell>
          <cell r="H913">
            <v>1.2</v>
          </cell>
          <cell r="I913" t="str">
            <v>M1B</v>
          </cell>
          <cell r="J913" t="str">
            <v>IE3</v>
          </cell>
          <cell r="K913" t="str">
            <v>277/480</v>
          </cell>
          <cell r="L913">
            <v>60</v>
          </cell>
          <cell r="M913" t="str">
            <v>68/34</v>
          </cell>
          <cell r="N913">
            <v>55</v>
          </cell>
          <cell r="O913" t="str">
            <v>F</v>
          </cell>
          <cell r="P913" t="str">
            <v>270°</v>
          </cell>
          <cell r="Q913" t="str">
            <v>TF</v>
          </cell>
          <cell r="R913" t="str">
            <v>V(VE)</v>
          </cell>
          <cell r="S913" t="str">
            <v>-</v>
          </cell>
          <cell r="T913" t="str">
            <v>-</v>
          </cell>
          <cell r="U913" t="str">
            <v>-</v>
          </cell>
          <cell r="V913" t="str">
            <v>FC</v>
          </cell>
          <cell r="W913" t="str">
            <v>-</v>
          </cell>
          <cell r="X913" t="str">
            <v>CLP (CC) VG 220 = -15° + 40°</v>
          </cell>
          <cell r="Y913" t="str">
            <v>K127/II2GDEDRN180M4/3GD/TF/VE</v>
          </cell>
          <cell r="Z913" t="str">
            <v>SEW</v>
          </cell>
          <cell r="AB913" t="str">
            <v>ATEX22</v>
          </cell>
          <cell r="AF913">
            <v>16</v>
          </cell>
          <cell r="AG913" t="str">
            <v>EDRN180M4</v>
          </cell>
          <cell r="AH913" t="str">
            <v>KH127-EDRN180M4B270-X#</v>
          </cell>
        </row>
        <row r="914">
          <cell r="A914" t="str">
            <v>MR000910</v>
          </cell>
          <cell r="B914" t="str">
            <v>MR</v>
          </cell>
          <cell r="C914">
            <v>18.5</v>
          </cell>
          <cell r="D914">
            <v>12.5</v>
          </cell>
          <cell r="E914" t="str">
            <v>KH127</v>
          </cell>
          <cell r="F914">
            <v>10900</v>
          </cell>
          <cell r="G914">
            <v>110.18</v>
          </cell>
          <cell r="H914">
            <v>1.2</v>
          </cell>
          <cell r="I914" t="str">
            <v>From M1A to M2A - 35°</v>
          </cell>
          <cell r="J914" t="str">
            <v>IE3</v>
          </cell>
          <cell r="K914" t="str">
            <v>277/480</v>
          </cell>
          <cell r="L914">
            <v>60</v>
          </cell>
          <cell r="M914" t="str">
            <v>68/34</v>
          </cell>
          <cell r="N914">
            <v>55</v>
          </cell>
          <cell r="O914" t="str">
            <v>F</v>
          </cell>
          <cell r="P914" t="str">
            <v>270°</v>
          </cell>
          <cell r="Q914" t="str">
            <v>TF</v>
          </cell>
          <cell r="R914" t="str">
            <v>V(VE)</v>
          </cell>
          <cell r="S914" t="str">
            <v>-</v>
          </cell>
          <cell r="T914" t="str">
            <v>-</v>
          </cell>
          <cell r="U914" t="str">
            <v>-</v>
          </cell>
          <cell r="V914" t="str">
            <v>FC</v>
          </cell>
          <cell r="W914" t="str">
            <v>-</v>
          </cell>
          <cell r="X914" t="str">
            <v>CLP (CC) VG 220 = -15° + 40°</v>
          </cell>
          <cell r="Y914" t="str">
            <v>K127/II2GDEDRN180M4/3GD/TF/VE</v>
          </cell>
          <cell r="Z914" t="str">
            <v>SEW</v>
          </cell>
          <cell r="AB914" t="str">
            <v>ATEX22</v>
          </cell>
          <cell r="AF914">
            <v>15</v>
          </cell>
          <cell r="AG914" t="str">
            <v>EDRN180M4</v>
          </cell>
          <cell r="AH914" t="str">
            <v>KH127-EDRN180M4A270-X#</v>
          </cell>
        </row>
        <row r="915">
          <cell r="A915" t="str">
            <v>MR000911</v>
          </cell>
          <cell r="B915" t="str">
            <v>MR</v>
          </cell>
          <cell r="C915">
            <v>18.5</v>
          </cell>
          <cell r="D915">
            <v>12.5</v>
          </cell>
          <cell r="E915" t="str">
            <v>KH127</v>
          </cell>
          <cell r="F915">
            <v>10900</v>
          </cell>
          <cell r="G915">
            <v>110.18</v>
          </cell>
          <cell r="H915">
            <v>1.2</v>
          </cell>
          <cell r="I915" t="str">
            <v>From M1B to M2B - 35°</v>
          </cell>
          <cell r="J915" t="str">
            <v>IE3</v>
          </cell>
          <cell r="K915" t="str">
            <v>277/480</v>
          </cell>
          <cell r="L915">
            <v>60</v>
          </cell>
          <cell r="M915" t="str">
            <v>68/34</v>
          </cell>
          <cell r="N915">
            <v>55</v>
          </cell>
          <cell r="O915" t="str">
            <v>F</v>
          </cell>
          <cell r="P915" t="str">
            <v>270°</v>
          </cell>
          <cell r="Q915" t="str">
            <v>TF</v>
          </cell>
          <cell r="R915" t="str">
            <v>V(VE)</v>
          </cell>
          <cell r="S915" t="str">
            <v>-</v>
          </cell>
          <cell r="T915" t="str">
            <v>-</v>
          </cell>
          <cell r="U915" t="str">
            <v>-</v>
          </cell>
          <cell r="V915" t="str">
            <v>FC</v>
          </cell>
          <cell r="W915" t="str">
            <v>-</v>
          </cell>
          <cell r="X915" t="str">
            <v>CLP (CC) VG 220 = -15° + 40°</v>
          </cell>
          <cell r="Y915" t="str">
            <v>K127/II2GDEDRN180M4/3GD/TF/VE</v>
          </cell>
          <cell r="Z915" t="str">
            <v>SEW</v>
          </cell>
          <cell r="AB915" t="str">
            <v>ATEX22</v>
          </cell>
          <cell r="AF915">
            <v>15</v>
          </cell>
          <cell r="AG915" t="str">
            <v>EDRN180M4</v>
          </cell>
          <cell r="AH915" t="str">
            <v>KH127-EDRN180M4B270-X#</v>
          </cell>
        </row>
        <row r="916">
          <cell r="A916" t="str">
            <v>MR000912</v>
          </cell>
          <cell r="B916" t="str">
            <v>MR</v>
          </cell>
          <cell r="C916">
            <v>15</v>
          </cell>
          <cell r="D916">
            <v>13.333333333333334</v>
          </cell>
          <cell r="E916" t="str">
            <v>KH127</v>
          </cell>
          <cell r="F916">
            <v>8880</v>
          </cell>
          <cell r="G916">
            <v>110.18</v>
          </cell>
          <cell r="H916">
            <v>1.45</v>
          </cell>
          <cell r="I916" t="str">
            <v>From M1B to M2B - 20°</v>
          </cell>
          <cell r="J916" t="str">
            <v>IE3</v>
          </cell>
          <cell r="K916" t="str">
            <v>277/480</v>
          </cell>
          <cell r="L916">
            <v>60</v>
          </cell>
          <cell r="M916" t="str">
            <v>58/29</v>
          </cell>
          <cell r="N916">
            <v>55</v>
          </cell>
          <cell r="O916" t="str">
            <v>F</v>
          </cell>
          <cell r="P916" t="str">
            <v>270°</v>
          </cell>
          <cell r="Q916" t="str">
            <v>TF</v>
          </cell>
          <cell r="R916" t="str">
            <v>V(VE)</v>
          </cell>
          <cell r="S916" t="str">
            <v>-</v>
          </cell>
          <cell r="T916" t="str">
            <v>-</v>
          </cell>
          <cell r="U916" t="str">
            <v>-</v>
          </cell>
          <cell r="V916" t="str">
            <v>FC</v>
          </cell>
          <cell r="W916" t="str">
            <v>-</v>
          </cell>
          <cell r="X916" t="str">
            <v>CLP (CC) VG 220 = -15° + 40°</v>
          </cell>
          <cell r="Y916" t="str">
            <v>K127/II2GDEDRN160L4/3GD/TF/VE</v>
          </cell>
          <cell r="Z916" t="str">
            <v>SEW</v>
          </cell>
          <cell r="AB916" t="str">
            <v>ATEX22</v>
          </cell>
          <cell r="AF916">
            <v>16</v>
          </cell>
          <cell r="AG916" t="str">
            <v>EDRN160L4</v>
          </cell>
          <cell r="AH916" t="str">
            <v>KH127-EDRN160L4B270-X#</v>
          </cell>
        </row>
        <row r="917">
          <cell r="A917" t="str">
            <v>MR000913</v>
          </cell>
          <cell r="B917" t="str">
            <v>MR</v>
          </cell>
          <cell r="C917">
            <v>15</v>
          </cell>
          <cell r="D917">
            <v>13.333333333333334</v>
          </cell>
          <cell r="E917" t="str">
            <v>KH127</v>
          </cell>
          <cell r="F917">
            <v>8880</v>
          </cell>
          <cell r="G917">
            <v>110.18</v>
          </cell>
          <cell r="H917">
            <v>1.45</v>
          </cell>
          <cell r="I917" t="str">
            <v>From M1A to M2A - 45°</v>
          </cell>
          <cell r="J917" t="str">
            <v>IE3</v>
          </cell>
          <cell r="K917" t="str">
            <v>277/480</v>
          </cell>
          <cell r="L917">
            <v>60</v>
          </cell>
          <cell r="M917" t="str">
            <v>58/29</v>
          </cell>
          <cell r="N917">
            <v>55</v>
          </cell>
          <cell r="O917" t="str">
            <v>F</v>
          </cell>
          <cell r="P917" t="str">
            <v>270°</v>
          </cell>
          <cell r="Q917" t="str">
            <v>TF</v>
          </cell>
          <cell r="R917" t="str">
            <v>V(VE)</v>
          </cell>
          <cell r="S917" t="str">
            <v>-</v>
          </cell>
          <cell r="T917" t="str">
            <v>-</v>
          </cell>
          <cell r="U917" t="str">
            <v>-</v>
          </cell>
          <cell r="V917" t="str">
            <v>FC</v>
          </cell>
          <cell r="W917" t="str">
            <v>-</v>
          </cell>
          <cell r="X917" t="str">
            <v>CLP (CC) VG 220 = -15° + 40°</v>
          </cell>
          <cell r="Y917" t="str">
            <v>K127/II2GDEDRN160L4/3GD/TF/VE</v>
          </cell>
          <cell r="Z917" t="str">
            <v>SEW</v>
          </cell>
          <cell r="AB917" t="str">
            <v>ATEX22</v>
          </cell>
          <cell r="AF917">
            <v>16</v>
          </cell>
          <cell r="AG917" t="str">
            <v>EDRN160L4</v>
          </cell>
          <cell r="AH917" t="str">
            <v>KH127-EDRN160L4A270-X#</v>
          </cell>
        </row>
        <row r="918">
          <cell r="A918" t="str">
            <v>MR000914</v>
          </cell>
          <cell r="B918" t="str">
            <v>MR</v>
          </cell>
          <cell r="C918">
            <v>15</v>
          </cell>
          <cell r="D918">
            <v>13.333333333333334</v>
          </cell>
          <cell r="E918" t="str">
            <v>KH127</v>
          </cell>
          <cell r="F918">
            <v>8880</v>
          </cell>
          <cell r="G918">
            <v>110.18</v>
          </cell>
          <cell r="H918">
            <v>1.45</v>
          </cell>
          <cell r="I918" t="str">
            <v>From M1B to M2B - 45°</v>
          </cell>
          <cell r="J918" t="str">
            <v>IE3</v>
          </cell>
          <cell r="K918" t="str">
            <v>277/480</v>
          </cell>
          <cell r="L918">
            <v>60</v>
          </cell>
          <cell r="M918" t="str">
            <v>58/29</v>
          </cell>
          <cell r="N918">
            <v>55</v>
          </cell>
          <cell r="O918" t="str">
            <v>F</v>
          </cell>
          <cell r="P918" t="str">
            <v>270°</v>
          </cell>
          <cell r="Q918" t="str">
            <v>TF</v>
          </cell>
          <cell r="R918" t="str">
            <v>V(VE)</v>
          </cell>
          <cell r="S918" t="str">
            <v>-</v>
          </cell>
          <cell r="T918" t="str">
            <v>-</v>
          </cell>
          <cell r="U918" t="str">
            <v>-</v>
          </cell>
          <cell r="V918" t="str">
            <v>FC</v>
          </cell>
          <cell r="W918" t="str">
            <v>-</v>
          </cell>
          <cell r="X918" t="str">
            <v>CLP (CC) VG 220 = -15° + 40°</v>
          </cell>
          <cell r="Y918" t="str">
            <v>K127/II2GDEDRN160L4/3GD/TF/VE</v>
          </cell>
          <cell r="Z918" t="str">
            <v>SEW</v>
          </cell>
          <cell r="AB918" t="str">
            <v>ATEX22</v>
          </cell>
          <cell r="AF918">
            <v>16</v>
          </cell>
          <cell r="AG918" t="str">
            <v>EDRN160L4</v>
          </cell>
          <cell r="AH918" t="str">
            <v>KH127-EDRN160L4B270-X#</v>
          </cell>
        </row>
        <row r="919">
          <cell r="A919" t="str">
            <v>MR000915</v>
          </cell>
          <cell r="B919" t="str">
            <v>MR</v>
          </cell>
          <cell r="C919">
            <v>11</v>
          </cell>
          <cell r="D919">
            <v>50.833333333333336</v>
          </cell>
          <cell r="E919" t="str">
            <v>FH87</v>
          </cell>
          <cell r="F919">
            <v>1720</v>
          </cell>
          <cell r="G919">
            <v>29.2</v>
          </cell>
          <cell r="H919">
            <v>1.05</v>
          </cell>
          <cell r="I919" t="str">
            <v>M1</v>
          </cell>
          <cell r="J919" t="str">
            <v>IE3</v>
          </cell>
          <cell r="K919" t="str">
            <v>277/480</v>
          </cell>
          <cell r="L919">
            <v>60</v>
          </cell>
          <cell r="M919" t="str">
            <v>43/21,5</v>
          </cell>
          <cell r="N919">
            <v>55</v>
          </cell>
          <cell r="O919" t="str">
            <v>F</v>
          </cell>
          <cell r="P919" t="str">
            <v>270°</v>
          </cell>
          <cell r="Q919" t="str">
            <v>-</v>
          </cell>
          <cell r="R919" t="str">
            <v>-</v>
          </cell>
          <cell r="S919" t="str">
            <v>-</v>
          </cell>
          <cell r="T919" t="str">
            <v>-</v>
          </cell>
          <cell r="U919" t="str">
            <v>-</v>
          </cell>
          <cell r="V919" t="str">
            <v>D+R</v>
          </cell>
          <cell r="W919" t="str">
            <v>-</v>
          </cell>
          <cell r="X919" t="str">
            <v>CLP (CC) VG 220 = -15° + 40°</v>
          </cell>
          <cell r="Y919" t="str">
            <v>FH87/II2GDEDRN160M4/EGD</v>
          </cell>
          <cell r="Z919" t="str">
            <v>SEW</v>
          </cell>
          <cell r="AB919" t="str">
            <v>ATEX22</v>
          </cell>
          <cell r="AF919">
            <v>61</v>
          </cell>
          <cell r="AG919" t="str">
            <v>EDRN160M4</v>
          </cell>
          <cell r="AH919" t="str">
            <v>FH87-EDRN160M4270-X</v>
          </cell>
        </row>
        <row r="920">
          <cell r="A920" t="str">
            <v>MR000916</v>
          </cell>
          <cell r="B920" t="str">
            <v>MR</v>
          </cell>
          <cell r="C920">
            <v>7.5</v>
          </cell>
          <cell r="D920">
            <v>22.5</v>
          </cell>
          <cell r="E920" t="str">
            <v>FH97</v>
          </cell>
          <cell r="F920">
            <v>2640</v>
          </cell>
          <cell r="G920">
            <v>65.47</v>
          </cell>
          <cell r="H920">
            <v>1.5</v>
          </cell>
          <cell r="I920" t="str">
            <v>M1</v>
          </cell>
          <cell r="J920" t="str">
            <v>IE3</v>
          </cell>
          <cell r="K920" t="str">
            <v>277/480</v>
          </cell>
          <cell r="L920">
            <v>60</v>
          </cell>
          <cell r="M920" t="str">
            <v>30,5/15,3</v>
          </cell>
          <cell r="N920">
            <v>55</v>
          </cell>
          <cell r="O920" t="str">
            <v>F</v>
          </cell>
          <cell r="P920" t="str">
            <v>270°</v>
          </cell>
          <cell r="Q920" t="str">
            <v>TF</v>
          </cell>
          <cell r="R920" t="str">
            <v>V(VE)</v>
          </cell>
          <cell r="S920" t="str">
            <v>-</v>
          </cell>
          <cell r="T920" t="str">
            <v>-</v>
          </cell>
          <cell r="U920" t="str">
            <v>-</v>
          </cell>
          <cell r="V920" t="str">
            <v>FC</v>
          </cell>
          <cell r="W920" t="str">
            <v>-</v>
          </cell>
          <cell r="X920" t="str">
            <v>CLP (CC) VG 220 = -15° + 40°</v>
          </cell>
          <cell r="Y920" t="str">
            <v>FA97/II2GDEDRN132M4/3GD/TF/VE</v>
          </cell>
          <cell r="Z920" t="str">
            <v>SEW</v>
          </cell>
          <cell r="AB920" t="str">
            <v>ATEX22</v>
          </cell>
          <cell r="AF920">
            <v>27</v>
          </cell>
          <cell r="AG920" t="str">
            <v>EDRN132M4</v>
          </cell>
          <cell r="AH920" t="str">
            <v>FH97-EDRN132M4270-X#</v>
          </cell>
        </row>
        <row r="921">
          <cell r="A921" t="str">
            <v>MR000917</v>
          </cell>
          <cell r="B921" t="str">
            <v>MR</v>
          </cell>
          <cell r="C921">
            <v>11</v>
          </cell>
          <cell r="D921">
            <v>50.833333333333336</v>
          </cell>
          <cell r="E921" t="str">
            <v>FH87</v>
          </cell>
          <cell r="F921">
            <v>1720</v>
          </cell>
          <cell r="G921">
            <v>29.2</v>
          </cell>
          <cell r="H921">
            <v>1.05</v>
          </cell>
          <cell r="I921" t="str">
            <v>M1</v>
          </cell>
          <cell r="J921" t="str">
            <v>IE3</v>
          </cell>
          <cell r="K921" t="str">
            <v>277/480</v>
          </cell>
          <cell r="L921">
            <v>60</v>
          </cell>
          <cell r="M921" t="str">
            <v>43/21,5</v>
          </cell>
          <cell r="N921">
            <v>55</v>
          </cell>
          <cell r="O921" t="str">
            <v>F</v>
          </cell>
          <cell r="P921" t="str">
            <v>270°</v>
          </cell>
          <cell r="Q921" t="str">
            <v>-</v>
          </cell>
          <cell r="R921" t="str">
            <v>-</v>
          </cell>
          <cell r="S921" t="str">
            <v>-</v>
          </cell>
          <cell r="T921" t="str">
            <v>-</v>
          </cell>
          <cell r="U921" t="str">
            <v>-</v>
          </cell>
          <cell r="V921" t="str">
            <v>D</v>
          </cell>
          <cell r="W921" t="str">
            <v>-</v>
          </cell>
          <cell r="X921" t="str">
            <v>CLP (CC) VG 220 = -15° + 40°</v>
          </cell>
          <cell r="Y921" t="str">
            <v>FH87/II2GDEDRN160M4/EGD</v>
          </cell>
          <cell r="Z921" t="str">
            <v>SEW</v>
          </cell>
          <cell r="AB921" t="str">
            <v>ATEX22</v>
          </cell>
          <cell r="AF921">
            <v>61</v>
          </cell>
          <cell r="AG921" t="str">
            <v>EDRN160M4</v>
          </cell>
          <cell r="AH921" t="str">
            <v>FH87-EDRN160M4270-X</v>
          </cell>
        </row>
        <row r="922">
          <cell r="A922" t="str">
            <v>MR000918</v>
          </cell>
          <cell r="B922" t="str">
            <v>MR</v>
          </cell>
          <cell r="C922">
            <v>15</v>
          </cell>
          <cell r="D922">
            <v>43.333333333333336</v>
          </cell>
          <cell r="E922" t="str">
            <v>FH97</v>
          </cell>
          <cell r="F922">
            <v>2730</v>
          </cell>
          <cell r="G922">
            <v>33.909999999999997</v>
          </cell>
          <cell r="H922">
            <v>1.55</v>
          </cell>
          <cell r="I922" t="str">
            <v>M1</v>
          </cell>
          <cell r="J922" t="str">
            <v>IE3</v>
          </cell>
          <cell r="K922" t="str">
            <v>277/480</v>
          </cell>
          <cell r="L922">
            <v>60</v>
          </cell>
          <cell r="M922" t="str">
            <v>58/29</v>
          </cell>
          <cell r="N922">
            <v>55</v>
          </cell>
          <cell r="O922" t="str">
            <v>F</v>
          </cell>
          <cell r="P922" t="str">
            <v>270°</v>
          </cell>
          <cell r="Q922" t="str">
            <v>-</v>
          </cell>
          <cell r="R922" t="str">
            <v>-</v>
          </cell>
          <cell r="S922" t="str">
            <v>-</v>
          </cell>
          <cell r="T922" t="str">
            <v>-</v>
          </cell>
          <cell r="U922" t="str">
            <v>-</v>
          </cell>
          <cell r="V922" t="str">
            <v>D+R</v>
          </cell>
          <cell r="W922" t="str">
            <v>-</v>
          </cell>
          <cell r="X922" t="str">
            <v>CLP (CC) VG 220 = -15° + 40°</v>
          </cell>
          <cell r="Y922" t="str">
            <v>FA97/II2GDEDRN160L4/3GD</v>
          </cell>
          <cell r="Z922" t="str">
            <v>SEW</v>
          </cell>
          <cell r="AB922" t="str">
            <v>ATEX22</v>
          </cell>
          <cell r="AF922">
            <v>52</v>
          </cell>
          <cell r="AG922" t="str">
            <v>EDRN160L4</v>
          </cell>
          <cell r="AH922" t="str">
            <v>FH97-EDRN160L4270-X</v>
          </cell>
        </row>
        <row r="923">
          <cell r="A923" t="str">
            <v>MR000919</v>
          </cell>
          <cell r="B923" t="str">
            <v>MR</v>
          </cell>
          <cell r="C923">
            <v>15</v>
          </cell>
          <cell r="D923">
            <v>13.333333333333334</v>
          </cell>
          <cell r="E923" t="str">
            <v>KH127</v>
          </cell>
          <cell r="F923">
            <v>8880</v>
          </cell>
          <cell r="G923">
            <v>110.18</v>
          </cell>
          <cell r="H923">
            <v>1.45</v>
          </cell>
          <cell r="I923" t="str">
            <v>From M1A to M2A - 30°</v>
          </cell>
          <cell r="J923" t="str">
            <v>IE3</v>
          </cell>
          <cell r="K923" t="str">
            <v>277/480</v>
          </cell>
          <cell r="L923">
            <v>60</v>
          </cell>
          <cell r="M923" t="str">
            <v>58/29</v>
          </cell>
          <cell r="N923">
            <v>55</v>
          </cell>
          <cell r="O923" t="str">
            <v>F</v>
          </cell>
          <cell r="P923" t="str">
            <v>270°</v>
          </cell>
          <cell r="Q923" t="str">
            <v>TF</v>
          </cell>
          <cell r="R923" t="str">
            <v>V(VE)</v>
          </cell>
          <cell r="S923" t="str">
            <v>-</v>
          </cell>
          <cell r="T923" t="str">
            <v>-</v>
          </cell>
          <cell r="U923" t="str">
            <v>-</v>
          </cell>
          <cell r="V923" t="str">
            <v>FC</v>
          </cell>
          <cell r="W923" t="str">
            <v>-</v>
          </cell>
          <cell r="X923" t="str">
            <v>CLP (CC) VG 220 = -15° + 40°</v>
          </cell>
          <cell r="Y923" t="str">
            <v>K127/II2GDEDRN160L4/3GD/TF/VE</v>
          </cell>
          <cell r="Z923" t="str">
            <v>SEW</v>
          </cell>
          <cell r="AB923" t="str">
            <v>ATEX22</v>
          </cell>
          <cell r="AF923">
            <v>16</v>
          </cell>
          <cell r="AG923" t="str">
            <v>EDRN160L4</v>
          </cell>
          <cell r="AH923" t="str">
            <v>KH127-EDRN160L4A270-X#</v>
          </cell>
        </row>
        <row r="924">
          <cell r="A924" t="str">
            <v>MR000920</v>
          </cell>
          <cell r="B924" t="str">
            <v>MR</v>
          </cell>
          <cell r="C924">
            <v>15</v>
          </cell>
          <cell r="D924">
            <v>13.333333333333334</v>
          </cell>
          <cell r="E924" t="str">
            <v>KH127</v>
          </cell>
          <cell r="F924">
            <v>8880</v>
          </cell>
          <cell r="G924">
            <v>110.18</v>
          </cell>
          <cell r="H924">
            <v>1.45</v>
          </cell>
          <cell r="I924" t="str">
            <v>From M1B to M2B - 30°</v>
          </cell>
          <cell r="J924" t="str">
            <v>IE3</v>
          </cell>
          <cell r="K924" t="str">
            <v>277/480</v>
          </cell>
          <cell r="L924">
            <v>60</v>
          </cell>
          <cell r="M924" t="str">
            <v>58/29</v>
          </cell>
          <cell r="N924">
            <v>55</v>
          </cell>
          <cell r="O924" t="str">
            <v>F</v>
          </cell>
          <cell r="P924" t="str">
            <v>270°</v>
          </cell>
          <cell r="Q924" t="str">
            <v>TF</v>
          </cell>
          <cell r="R924" t="str">
            <v>V(VE)</v>
          </cell>
          <cell r="S924" t="str">
            <v>-</v>
          </cell>
          <cell r="T924" t="str">
            <v>-</v>
          </cell>
          <cell r="U924" t="str">
            <v>-</v>
          </cell>
          <cell r="V924" t="str">
            <v>FC</v>
          </cell>
          <cell r="W924" t="str">
            <v>-</v>
          </cell>
          <cell r="X924" t="str">
            <v>CLP (CC) VG 220 = -15° + 40°</v>
          </cell>
          <cell r="Y924" t="str">
            <v>K127/II2GDEDRN160L4/3GD/TF/VE</v>
          </cell>
          <cell r="Z924" t="str">
            <v>SEW</v>
          </cell>
          <cell r="AB924" t="str">
            <v>ATEX22</v>
          </cell>
          <cell r="AF924">
            <v>16</v>
          </cell>
          <cell r="AG924" t="str">
            <v>EDRN160L4</v>
          </cell>
          <cell r="AH924" t="str">
            <v>KH127-EDRN160L4B270-X#</v>
          </cell>
        </row>
        <row r="925">
          <cell r="A925" t="str">
            <v>MR000921</v>
          </cell>
          <cell r="B925" t="str">
            <v>MR</v>
          </cell>
          <cell r="C925">
            <v>15</v>
          </cell>
          <cell r="D925">
            <v>38.333333333333336</v>
          </cell>
          <cell r="E925" t="str">
            <v>FH97</v>
          </cell>
          <cell r="F925">
            <v>3130</v>
          </cell>
          <cell r="G925">
            <v>38.86</v>
          </cell>
          <cell r="H925">
            <v>1.1000000000000001</v>
          </cell>
          <cell r="I925" t="str">
            <v>M1</v>
          </cell>
          <cell r="J925" t="str">
            <v>IE3</v>
          </cell>
          <cell r="K925" t="str">
            <v>277/480</v>
          </cell>
          <cell r="L925">
            <v>60</v>
          </cell>
          <cell r="M925" t="str">
            <v>58/29</v>
          </cell>
          <cell r="N925">
            <v>55</v>
          </cell>
          <cell r="O925" t="str">
            <v>F</v>
          </cell>
          <cell r="P925" t="str">
            <v>270°</v>
          </cell>
          <cell r="Q925" t="str">
            <v>-</v>
          </cell>
          <cell r="R925" t="str">
            <v>-</v>
          </cell>
          <cell r="S925" t="str">
            <v>-</v>
          </cell>
          <cell r="T925" t="str">
            <v>-</v>
          </cell>
          <cell r="U925" t="str">
            <v>-</v>
          </cell>
          <cell r="V925" t="str">
            <v>D</v>
          </cell>
          <cell r="W925" t="str">
            <v>-</v>
          </cell>
          <cell r="X925" t="str">
            <v>CLP (CC) VG 220 = -15° + 40°</v>
          </cell>
          <cell r="Y925" t="str">
            <v>FA97/II2GDEDRN160L4/3GD</v>
          </cell>
          <cell r="Z925" t="str">
            <v>SEW</v>
          </cell>
          <cell r="AB925" t="str">
            <v>ATEX22</v>
          </cell>
          <cell r="AF925">
            <v>46</v>
          </cell>
          <cell r="AG925" t="str">
            <v>EDRN160L4</v>
          </cell>
          <cell r="AH925" t="str">
            <v>FH97-EDRN160L4270-X</v>
          </cell>
        </row>
        <row r="926">
          <cell r="A926" t="str">
            <v>MR000922</v>
          </cell>
          <cell r="B926" t="str">
            <v>MR</v>
          </cell>
          <cell r="C926">
            <v>5.5</v>
          </cell>
          <cell r="D926">
            <v>52.5</v>
          </cell>
          <cell r="E926" t="str">
            <v>FH87</v>
          </cell>
          <cell r="F926">
            <v>820</v>
          </cell>
          <cell r="G926">
            <v>27.88</v>
          </cell>
          <cell r="H926">
            <v>1.3</v>
          </cell>
          <cell r="I926" t="str">
            <v>M1</v>
          </cell>
          <cell r="J926" t="str">
            <v>IE3</v>
          </cell>
          <cell r="K926" t="str">
            <v>277/480</v>
          </cell>
          <cell r="L926">
            <v>60</v>
          </cell>
          <cell r="M926" t="str">
            <v>21/10,6</v>
          </cell>
          <cell r="N926">
            <v>55</v>
          </cell>
          <cell r="O926" t="str">
            <v>F</v>
          </cell>
          <cell r="P926" t="str">
            <v>270°</v>
          </cell>
          <cell r="Q926" t="str">
            <v>-</v>
          </cell>
          <cell r="R926" t="str">
            <v>-</v>
          </cell>
          <cell r="S926" t="str">
            <v>-</v>
          </cell>
          <cell r="T926" t="str">
            <v>-</v>
          </cell>
          <cell r="U926" t="str">
            <v>-</v>
          </cell>
          <cell r="V926" t="str">
            <v>D</v>
          </cell>
          <cell r="W926" t="str">
            <v>-</v>
          </cell>
          <cell r="X926" t="str">
            <v>CLP (CC) VG 220 = -15° + 40°</v>
          </cell>
          <cell r="Y926" t="str">
            <v>R87/II2GDEDRN132S4/3GD</v>
          </cell>
          <cell r="Z926" t="str">
            <v>SEW</v>
          </cell>
          <cell r="AB926" t="str">
            <v>ATEX22</v>
          </cell>
          <cell r="AF926">
            <v>63</v>
          </cell>
          <cell r="AG926" t="str">
            <v>EDRN132S4</v>
          </cell>
          <cell r="AH926" t="str">
            <v>FH87-EDRN132S4270-X</v>
          </cell>
        </row>
        <row r="927">
          <cell r="A927" t="str">
            <v>MR000923</v>
          </cell>
          <cell r="B927" t="str">
            <v>MR</v>
          </cell>
          <cell r="C927">
            <v>11</v>
          </cell>
          <cell r="D927">
            <v>50.833333333333336</v>
          </cell>
          <cell r="E927" t="str">
            <v>FH87</v>
          </cell>
          <cell r="F927">
            <v>1720</v>
          </cell>
          <cell r="G927">
            <v>29.2</v>
          </cell>
          <cell r="H927">
            <v>1.05</v>
          </cell>
          <cell r="I927" t="str">
            <v>M1</v>
          </cell>
          <cell r="J927" t="str">
            <v>IE3</v>
          </cell>
          <cell r="K927" t="str">
            <v>277/480</v>
          </cell>
          <cell r="L927">
            <v>60</v>
          </cell>
          <cell r="M927" t="str">
            <v>43/21,5</v>
          </cell>
          <cell r="N927">
            <v>55</v>
          </cell>
          <cell r="O927" t="str">
            <v>F</v>
          </cell>
          <cell r="P927" t="str">
            <v>270°</v>
          </cell>
          <cell r="Q927" t="str">
            <v>-</v>
          </cell>
          <cell r="R927" t="str">
            <v>-</v>
          </cell>
          <cell r="S927" t="str">
            <v>-</v>
          </cell>
          <cell r="T927" t="str">
            <v>-</v>
          </cell>
          <cell r="U927" t="str">
            <v>-</v>
          </cell>
          <cell r="V927" t="str">
            <v>D+R</v>
          </cell>
          <cell r="W927" t="str">
            <v>-</v>
          </cell>
          <cell r="X927" t="str">
            <v>CLP (CC) VG 220 = -15° + 40°</v>
          </cell>
          <cell r="Y927" t="str">
            <v>FH87/II2GDEDRN160M4/3GD</v>
          </cell>
          <cell r="Z927" t="str">
            <v>SEW</v>
          </cell>
          <cell r="AB927" t="str">
            <v>ATEX22</v>
          </cell>
          <cell r="AF927">
            <v>61</v>
          </cell>
          <cell r="AG927" t="str">
            <v>EDRN160M4</v>
          </cell>
          <cell r="AH927" t="str">
            <v>FH87-EDRN160M4270-X</v>
          </cell>
        </row>
        <row r="928">
          <cell r="A928" t="str">
            <v>MR000924</v>
          </cell>
          <cell r="B928" t="str">
            <v>MR</v>
          </cell>
          <cell r="C928">
            <v>15</v>
          </cell>
          <cell r="D928">
            <v>25.833333333333336</v>
          </cell>
          <cell r="E928" t="str">
            <v>FH107</v>
          </cell>
          <cell r="F928">
            <v>4680</v>
          </cell>
          <cell r="G928">
            <v>58.12</v>
          </cell>
          <cell r="H928">
            <v>1.65</v>
          </cell>
          <cell r="I928" t="str">
            <v>M1</v>
          </cell>
          <cell r="J928" t="str">
            <v>IE3</v>
          </cell>
          <cell r="K928" t="str">
            <v>277/480</v>
          </cell>
          <cell r="L928">
            <v>60</v>
          </cell>
          <cell r="M928" t="str">
            <v>58/29</v>
          </cell>
          <cell r="N928">
            <v>55</v>
          </cell>
          <cell r="O928" t="str">
            <v>F</v>
          </cell>
          <cell r="P928" t="str">
            <v>270°</v>
          </cell>
          <cell r="Q928" t="str">
            <v>TF</v>
          </cell>
          <cell r="R928" t="str">
            <v>V(VE)</v>
          </cell>
          <cell r="S928" t="str">
            <v>-</v>
          </cell>
          <cell r="T928" t="str">
            <v>-</v>
          </cell>
          <cell r="U928" t="str">
            <v>-</v>
          </cell>
          <cell r="V928" t="str">
            <v>FC</v>
          </cell>
          <cell r="W928" t="str">
            <v>-</v>
          </cell>
          <cell r="X928" t="str">
            <v>CLP (CC) VG 220 = -15° + 40°</v>
          </cell>
          <cell r="Y928" t="str">
            <v>FA107/II2GDEDRN160L4/3GD/TF/VE</v>
          </cell>
          <cell r="Z928" t="str">
            <v>SEW</v>
          </cell>
          <cell r="AB928" t="str">
            <v>ATEX22</v>
          </cell>
          <cell r="AF928">
            <v>31.000000000000004</v>
          </cell>
          <cell r="AG928" t="str">
            <v>EDRN160L4</v>
          </cell>
          <cell r="AH928" t="str">
            <v>FH107-EDRN160L4270-X#</v>
          </cell>
        </row>
        <row r="929">
          <cell r="A929" t="str">
            <v>MR000925</v>
          </cell>
          <cell r="B929" t="str">
            <v>MR</v>
          </cell>
          <cell r="C929">
            <v>7.5</v>
          </cell>
          <cell r="D929">
            <v>62.5</v>
          </cell>
          <cell r="E929" t="str">
            <v>FH87</v>
          </cell>
          <cell r="F929">
            <v>950</v>
          </cell>
          <cell r="G929">
            <v>23.68</v>
          </cell>
          <cell r="H929">
            <v>2.6</v>
          </cell>
          <cell r="I929" t="str">
            <v>From M1 to M2 - 15°</v>
          </cell>
          <cell r="J929" t="str">
            <v>IE3</v>
          </cell>
          <cell r="K929" t="str">
            <v>277/480</v>
          </cell>
          <cell r="L929">
            <v>60</v>
          </cell>
          <cell r="M929" t="str">
            <v>30,5/15,3</v>
          </cell>
          <cell r="N929">
            <v>55</v>
          </cell>
          <cell r="O929" t="str">
            <v>F</v>
          </cell>
          <cell r="P929" t="str">
            <v>270°</v>
          </cell>
          <cell r="Q929" t="str">
            <v>-</v>
          </cell>
          <cell r="R929" t="str">
            <v>-</v>
          </cell>
          <cell r="S929" t="str">
            <v>-</v>
          </cell>
          <cell r="T929" t="str">
            <v>-</v>
          </cell>
          <cell r="U929" t="str">
            <v>-</v>
          </cell>
          <cell r="V929" t="str">
            <v>D</v>
          </cell>
          <cell r="W929" t="str">
            <v>-</v>
          </cell>
          <cell r="X929" t="str">
            <v>CLP (CC) VG 220 = -15° + 40°</v>
          </cell>
          <cell r="Y929" t="str">
            <v>FA87/II2GDEDRN132M4/3GD</v>
          </cell>
          <cell r="Z929" t="str">
            <v>SEW</v>
          </cell>
          <cell r="AB929" t="str">
            <v>ATEX22</v>
          </cell>
          <cell r="AF929">
            <v>75</v>
          </cell>
          <cell r="AG929" t="str">
            <v>EDRN132M4</v>
          </cell>
          <cell r="AH929" t="str">
            <v>FH87-EDRN132M4270-X</v>
          </cell>
        </row>
        <row r="930">
          <cell r="A930" t="str">
            <v>MR000926</v>
          </cell>
          <cell r="B930" t="str">
            <v>MR</v>
          </cell>
          <cell r="C930">
            <v>30</v>
          </cell>
          <cell r="D930">
            <v>85.833333333333343</v>
          </cell>
          <cell r="E930" t="str">
            <v>FH97</v>
          </cell>
          <cell r="F930">
            <v>2770</v>
          </cell>
          <cell r="G930">
            <v>17.25</v>
          </cell>
          <cell r="H930">
            <v>1.45</v>
          </cell>
          <cell r="I930" t="str">
            <v>M4</v>
          </cell>
          <cell r="J930" t="str">
            <v>IE3</v>
          </cell>
          <cell r="K930" t="str">
            <v>277/480</v>
          </cell>
          <cell r="L930">
            <v>60</v>
          </cell>
          <cell r="M930" t="str">
            <v>112/56</v>
          </cell>
          <cell r="N930">
            <v>55</v>
          </cell>
          <cell r="O930" t="str">
            <v>F</v>
          </cell>
          <cell r="P930" t="str">
            <v>270°</v>
          </cell>
          <cell r="Q930" t="str">
            <v>-</v>
          </cell>
          <cell r="R930" t="str">
            <v>-</v>
          </cell>
          <cell r="S930" t="str">
            <v>-</v>
          </cell>
          <cell r="T930" t="str">
            <v>-</v>
          </cell>
          <cell r="U930" t="str">
            <v>-</v>
          </cell>
          <cell r="V930" t="str">
            <v>D</v>
          </cell>
          <cell r="W930" t="str">
            <v>-</v>
          </cell>
          <cell r="X930" t="str">
            <v>CLP (CC) VG 220 = -15° + 40°</v>
          </cell>
          <cell r="Y930" t="str">
            <v>FA97/II2GDEDRN200L4/3GD</v>
          </cell>
          <cell r="Z930" t="str">
            <v>SEW</v>
          </cell>
          <cell r="AB930" t="str">
            <v>ATEX22</v>
          </cell>
          <cell r="AF930">
            <v>103.00000000000001</v>
          </cell>
          <cell r="AG930" t="str">
            <v>EDRN200L4</v>
          </cell>
          <cell r="AH930" t="str">
            <v>FH97-EDRN200L4270-X</v>
          </cell>
        </row>
        <row r="931">
          <cell r="A931" t="str">
            <v>MR000927</v>
          </cell>
          <cell r="B931" t="str">
            <v>MR</v>
          </cell>
          <cell r="C931">
            <v>0.75</v>
          </cell>
          <cell r="D931">
            <v>21.666666666666668</v>
          </cell>
          <cell r="E931" t="str">
            <v>FA47</v>
          </cell>
          <cell r="F931">
            <v>275</v>
          </cell>
          <cell r="G931">
            <v>68.09</v>
          </cell>
          <cell r="H931">
            <v>1.45</v>
          </cell>
          <cell r="I931" t="str">
            <v>M5</v>
          </cell>
          <cell r="J931" t="str">
            <v>IE3</v>
          </cell>
          <cell r="K931" t="str">
            <v>277/480</v>
          </cell>
          <cell r="L931">
            <v>60</v>
          </cell>
          <cell r="M931" t="str">
            <v>3,6/1,8</v>
          </cell>
          <cell r="N931">
            <v>55</v>
          </cell>
          <cell r="O931" t="str">
            <v>F</v>
          </cell>
          <cell r="P931" t="str">
            <v>270°</v>
          </cell>
          <cell r="Q931" t="str">
            <v>-</v>
          </cell>
          <cell r="R931" t="str">
            <v>-</v>
          </cell>
          <cell r="S931" t="str">
            <v>-</v>
          </cell>
          <cell r="T931" t="str">
            <v>BE</v>
          </cell>
          <cell r="U931" t="str">
            <v>G</v>
          </cell>
          <cell r="V931" t="str">
            <v>D+R</v>
          </cell>
          <cell r="W931" t="str">
            <v>-</v>
          </cell>
          <cell r="X931" t="str">
            <v>CLP (CC) VG 220 = -15° + 40°</v>
          </cell>
          <cell r="Y931" t="str">
            <v>FA47/G/II2GDEDRN80M4/3D</v>
          </cell>
          <cell r="Z931" t="str">
            <v>SEW</v>
          </cell>
          <cell r="AB931" t="str">
            <v>ATEX22</v>
          </cell>
          <cell r="AE931" t="str">
            <v>Rectifier for brake in the terminal box</v>
          </cell>
          <cell r="AF931">
            <v>26</v>
          </cell>
          <cell r="AG931" t="str">
            <v>EDRN80M4</v>
          </cell>
          <cell r="AH931" t="str">
            <v>FA47G-EDRN80M4270-X</v>
          </cell>
        </row>
        <row r="932">
          <cell r="A932" t="str">
            <v>MR000928</v>
          </cell>
          <cell r="B932" t="str">
            <v>ME</v>
          </cell>
          <cell r="C932">
            <v>45</v>
          </cell>
          <cell r="D932">
            <v>1475</v>
          </cell>
          <cell r="E932" t="str">
            <v>1LE1503</v>
          </cell>
          <cell r="F932">
            <v>120</v>
          </cell>
          <cell r="I932" t="str">
            <v>V1/B5</v>
          </cell>
          <cell r="J932" t="str">
            <v>IE3</v>
          </cell>
          <cell r="K932" t="str">
            <v>277/480</v>
          </cell>
          <cell r="L932">
            <v>60</v>
          </cell>
          <cell r="M932">
            <v>68</v>
          </cell>
          <cell r="N932">
            <v>55</v>
          </cell>
          <cell r="O932" t="str">
            <v>F</v>
          </cell>
          <cell r="P932" t="str">
            <v>-</v>
          </cell>
          <cell r="Q932" t="str">
            <v>-</v>
          </cell>
          <cell r="R932" t="str">
            <v>-</v>
          </cell>
          <cell r="S932" t="str">
            <v>-</v>
          </cell>
          <cell r="T932" t="str">
            <v>-</v>
          </cell>
          <cell r="U932" t="str">
            <v>-</v>
          </cell>
          <cell r="V932" t="str">
            <v>D</v>
          </cell>
          <cell r="W932" t="str">
            <v>-</v>
          </cell>
          <cell r="X932" t="str">
            <v xml:space="preserve"> -</v>
          </cell>
          <cell r="Y932" t="str">
            <v>1LE1503-2BB23-5FA4</v>
          </cell>
          <cell r="Z932" t="str">
            <v>SIEMENS</v>
          </cell>
          <cell r="AB932" t="str">
            <v>-</v>
          </cell>
          <cell r="AE932" t="str">
            <v>4 POLES</v>
          </cell>
          <cell r="AG932" t="str">
            <v>225M</v>
          </cell>
          <cell r="AH932" t="str">
            <v>1LE1503-225MB--X</v>
          </cell>
        </row>
        <row r="933">
          <cell r="A933" t="str">
            <v>MR000929</v>
          </cell>
          <cell r="B933" t="str">
            <v>ME</v>
          </cell>
          <cell r="C933">
            <v>4</v>
          </cell>
          <cell r="D933">
            <v>1475</v>
          </cell>
          <cell r="E933" t="str">
            <v>1LE1003</v>
          </cell>
          <cell r="F933">
            <v>9.9</v>
          </cell>
          <cell r="I933" t="str">
            <v>B5</v>
          </cell>
          <cell r="J933" t="str">
            <v>IE3</v>
          </cell>
          <cell r="K933" t="str">
            <v>277/480</v>
          </cell>
          <cell r="L933">
            <v>60</v>
          </cell>
          <cell r="M933">
            <v>6</v>
          </cell>
          <cell r="N933">
            <v>55</v>
          </cell>
          <cell r="O933" t="str">
            <v>F</v>
          </cell>
          <cell r="P933" t="str">
            <v>-</v>
          </cell>
          <cell r="Q933" t="str">
            <v>-</v>
          </cell>
          <cell r="R933" t="str">
            <v>-</v>
          </cell>
          <cell r="S933" t="str">
            <v>-</v>
          </cell>
          <cell r="T933" t="str">
            <v>-</v>
          </cell>
          <cell r="U933" t="str">
            <v>-</v>
          </cell>
          <cell r="V933" t="str">
            <v>D</v>
          </cell>
          <cell r="W933" t="str">
            <v>-</v>
          </cell>
          <cell r="X933" t="str">
            <v xml:space="preserve"> -</v>
          </cell>
          <cell r="Y933" t="str">
            <v>1LE1003-1AA43-5FA4</v>
          </cell>
          <cell r="Z933" t="str">
            <v>SIEMENS</v>
          </cell>
          <cell r="AB933" t="str">
            <v>-</v>
          </cell>
          <cell r="AE933" t="str">
            <v>4 POLES</v>
          </cell>
          <cell r="AG933" t="str">
            <v>112M</v>
          </cell>
          <cell r="AH933" t="str">
            <v>1LE1003-112MB--X</v>
          </cell>
        </row>
        <row r="934">
          <cell r="A934" t="str">
            <v>MR000930</v>
          </cell>
          <cell r="B934" t="str">
            <v>MR</v>
          </cell>
          <cell r="C934">
            <v>7.5</v>
          </cell>
          <cell r="D934">
            <v>19</v>
          </cell>
          <cell r="E934" t="str">
            <v>R107</v>
          </cell>
          <cell r="F934">
            <v>3830</v>
          </cell>
          <cell r="G934">
            <v>78.569999999999993</v>
          </cell>
          <cell r="H934">
            <v>1.1000000000000001</v>
          </cell>
          <cell r="I934" t="str">
            <v>M1</v>
          </cell>
          <cell r="J934" t="str">
            <v>IE3</v>
          </cell>
          <cell r="K934">
            <v>400</v>
          </cell>
          <cell r="L934">
            <v>50</v>
          </cell>
          <cell r="M934">
            <v>15.2</v>
          </cell>
          <cell r="N934">
            <v>55</v>
          </cell>
          <cell r="O934" t="str">
            <v>F</v>
          </cell>
          <cell r="P934" t="str">
            <v>270°</v>
          </cell>
          <cell r="Q934" t="str">
            <v>TF</v>
          </cell>
          <cell r="R934" t="str">
            <v>V(VE)</v>
          </cell>
          <cell r="S934" t="str">
            <v>-</v>
          </cell>
          <cell r="T934" t="str">
            <v>-</v>
          </cell>
          <cell r="U934" t="str">
            <v>-</v>
          </cell>
          <cell r="V934" t="str">
            <v>FC</v>
          </cell>
          <cell r="W934" t="str">
            <v>-</v>
          </cell>
          <cell r="X934" t="str">
            <v>CLP (CC) VG 220 = -15° + 40°</v>
          </cell>
          <cell r="Y934" t="str">
            <v>R107DRN132M4 /TF/V</v>
          </cell>
          <cell r="Z934" t="str">
            <v>SEW</v>
          </cell>
          <cell r="AB934" t="str">
            <v>-</v>
          </cell>
          <cell r="AF934">
            <v>19</v>
          </cell>
          <cell r="AG934" t="str">
            <v>DRN132M4</v>
          </cell>
          <cell r="AH934" t="str">
            <v>R107-DRN132M4270-X#</v>
          </cell>
        </row>
        <row r="935">
          <cell r="A935" t="str">
            <v>MR000931</v>
          </cell>
          <cell r="B935" t="str">
            <v>MR</v>
          </cell>
          <cell r="C935">
            <v>11</v>
          </cell>
          <cell r="D935">
            <v>16</v>
          </cell>
          <cell r="E935" t="str">
            <v>KH107</v>
          </cell>
          <cell r="F935">
            <v>6460</v>
          </cell>
          <cell r="G935">
            <v>90.96</v>
          </cell>
          <cell r="H935">
            <v>1.25</v>
          </cell>
          <cell r="I935" t="str">
            <v>From M1A to M2A - 20°</v>
          </cell>
          <cell r="J935" t="str">
            <v>IE3</v>
          </cell>
          <cell r="K935">
            <v>400</v>
          </cell>
          <cell r="L935">
            <v>50</v>
          </cell>
          <cell r="M935">
            <v>21</v>
          </cell>
          <cell r="N935">
            <v>55</v>
          </cell>
          <cell r="O935" t="str">
            <v>F(105°C)</v>
          </cell>
          <cell r="P935" t="str">
            <v>180°</v>
          </cell>
          <cell r="Q935" t="str">
            <v>TF</v>
          </cell>
          <cell r="R935" t="str">
            <v>V(VE)</v>
          </cell>
          <cell r="S935" t="str">
            <v>-</v>
          </cell>
          <cell r="T935" t="str">
            <v>-</v>
          </cell>
          <cell r="U935" t="str">
            <v>-</v>
          </cell>
          <cell r="V935" t="str">
            <v>FC</v>
          </cell>
          <cell r="W935" t="str">
            <v>-</v>
          </cell>
          <cell r="X935" t="str">
            <v>CLP (CC) VG 220 = -15° + 40°</v>
          </cell>
          <cell r="Y935" t="str">
            <v>KH107DRN160M4 /TF/V</v>
          </cell>
          <cell r="Z935" t="str">
            <v>SEW</v>
          </cell>
          <cell r="AB935" t="str">
            <v>-</v>
          </cell>
          <cell r="AF935">
            <v>16</v>
          </cell>
          <cell r="AG935" t="str">
            <v>DRN160M4</v>
          </cell>
          <cell r="AH935" t="str">
            <v>KH107-DRN160M4A180-X#</v>
          </cell>
        </row>
        <row r="936">
          <cell r="A936" t="str">
            <v>MR000932</v>
          </cell>
          <cell r="B936" t="str">
            <v>MR</v>
          </cell>
          <cell r="C936">
            <v>11</v>
          </cell>
          <cell r="D936">
            <v>16</v>
          </cell>
          <cell r="E936" t="str">
            <v>KH107</v>
          </cell>
          <cell r="F936">
            <v>6460</v>
          </cell>
          <cell r="G936">
            <v>90.96</v>
          </cell>
          <cell r="H936">
            <v>1.25</v>
          </cell>
          <cell r="I936" t="str">
            <v>From M1B to M2B - 20°</v>
          </cell>
          <cell r="J936" t="str">
            <v>IE3</v>
          </cell>
          <cell r="K936">
            <v>400</v>
          </cell>
          <cell r="L936">
            <v>50</v>
          </cell>
          <cell r="M936">
            <v>21</v>
          </cell>
          <cell r="N936">
            <v>55</v>
          </cell>
          <cell r="O936" t="str">
            <v>F(105°C)</v>
          </cell>
          <cell r="P936" t="str">
            <v>0°</v>
          </cell>
          <cell r="Q936" t="str">
            <v>TF</v>
          </cell>
          <cell r="R936" t="str">
            <v>V(VE)</v>
          </cell>
          <cell r="S936" t="str">
            <v>-</v>
          </cell>
          <cell r="T936" t="str">
            <v>-</v>
          </cell>
          <cell r="U936" t="str">
            <v>-</v>
          </cell>
          <cell r="V936" t="str">
            <v>FC</v>
          </cell>
          <cell r="W936" t="str">
            <v>-</v>
          </cell>
          <cell r="X936" t="str">
            <v>CLP (CC) VG 220 = -15° + 40°</v>
          </cell>
          <cell r="Y936" t="str">
            <v>KH107DRN160M4 /TF/V</v>
          </cell>
          <cell r="Z936" t="str">
            <v>SEW</v>
          </cell>
          <cell r="AB936" t="str">
            <v>-</v>
          </cell>
          <cell r="AF936">
            <v>16</v>
          </cell>
          <cell r="AG936" t="str">
            <v>DRN160M4</v>
          </cell>
          <cell r="AH936" t="str">
            <v>KH107-DRN160M4B0-X#</v>
          </cell>
        </row>
        <row r="937">
          <cell r="A937" t="str">
            <v>MR000933</v>
          </cell>
          <cell r="B937" t="str">
            <v>MR</v>
          </cell>
          <cell r="C937">
            <v>1.1000000000000001</v>
          </cell>
          <cell r="D937">
            <v>18</v>
          </cell>
          <cell r="E937" t="str">
            <v>FA67</v>
          </cell>
          <cell r="F937">
            <v>575</v>
          </cell>
          <cell r="G937">
            <v>79.760000000000005</v>
          </cell>
          <cell r="H937">
            <v>1.4</v>
          </cell>
          <cell r="I937" t="str">
            <v>From M6 to M2 - 20°</v>
          </cell>
          <cell r="J937" t="str">
            <v>IE3</v>
          </cell>
          <cell r="K937">
            <v>400</v>
          </cell>
          <cell r="L937">
            <v>50</v>
          </cell>
          <cell r="M937">
            <v>2.5499999999999998</v>
          </cell>
          <cell r="N937">
            <v>55</v>
          </cell>
          <cell r="O937" t="str">
            <v>F(105°C)</v>
          </cell>
          <cell r="P937" t="str">
            <v>270°</v>
          </cell>
          <cell r="Q937" t="str">
            <v>-</v>
          </cell>
          <cell r="R937" t="str">
            <v>-</v>
          </cell>
          <cell r="S937" t="str">
            <v>-</v>
          </cell>
          <cell r="T937" t="str">
            <v>BE</v>
          </cell>
          <cell r="U937" t="str">
            <v>G</v>
          </cell>
          <cell r="V937" t="str">
            <v>D</v>
          </cell>
          <cell r="W937" t="str">
            <v>-</v>
          </cell>
          <cell r="X937" t="str">
            <v>CLP (CC) VG 220 = -15° + 40°</v>
          </cell>
          <cell r="Y937" t="str">
            <v>FA67/G DRN90S4 /BE</v>
          </cell>
          <cell r="Z937" t="str">
            <v>SEW</v>
          </cell>
          <cell r="AB937" t="str">
            <v>-</v>
          </cell>
          <cell r="AF937">
            <v>18</v>
          </cell>
          <cell r="AG937" t="str">
            <v>DRN90S4</v>
          </cell>
          <cell r="AH937" t="str">
            <v>FA67G-DRN90S4270-X</v>
          </cell>
        </row>
        <row r="938">
          <cell r="A938" t="str">
            <v>MR000934</v>
          </cell>
          <cell r="B938" t="str">
            <v>MR</v>
          </cell>
          <cell r="C938">
            <v>7.5</v>
          </cell>
          <cell r="D938">
            <v>59</v>
          </cell>
          <cell r="E938" t="str">
            <v>R97</v>
          </cell>
          <cell r="F938">
            <v>1220</v>
          </cell>
          <cell r="G938">
            <v>25.03</v>
          </cell>
          <cell r="H938">
            <v>2.2999999999999998</v>
          </cell>
          <cell r="I938" t="str">
            <v>From M1 to M2 - 25°</v>
          </cell>
          <cell r="J938" t="str">
            <v>IE3</v>
          </cell>
          <cell r="K938">
            <v>400</v>
          </cell>
          <cell r="L938">
            <v>50</v>
          </cell>
          <cell r="M938">
            <v>15.2</v>
          </cell>
          <cell r="N938">
            <v>55</v>
          </cell>
          <cell r="O938" t="str">
            <v>F(105°C)</v>
          </cell>
          <cell r="P938" t="str">
            <v>270°</v>
          </cell>
          <cell r="Q938" t="str">
            <v>-</v>
          </cell>
          <cell r="R938" t="str">
            <v>-</v>
          </cell>
          <cell r="S938" t="str">
            <v>-</v>
          </cell>
          <cell r="T938" t="str">
            <v>-</v>
          </cell>
          <cell r="U938" t="str">
            <v>-</v>
          </cell>
          <cell r="V938" t="str">
            <v>D</v>
          </cell>
          <cell r="W938" t="str">
            <v>-</v>
          </cell>
          <cell r="X938" t="str">
            <v>CLP (CC) VG 220 = -15° + 40°</v>
          </cell>
          <cell r="Y938" t="str">
            <v>R97DRN132M4</v>
          </cell>
          <cell r="Z938" t="str">
            <v>SEW</v>
          </cell>
          <cell r="AB938" t="str">
            <v>-</v>
          </cell>
          <cell r="AF938">
            <v>59</v>
          </cell>
          <cell r="AG938" t="str">
            <v>DRN132M4</v>
          </cell>
          <cell r="AH938" t="str">
            <v>R97-DRN132M4270-X</v>
          </cell>
        </row>
        <row r="939">
          <cell r="A939" t="str">
            <v>MR000935</v>
          </cell>
          <cell r="B939" t="str">
            <v>MR</v>
          </cell>
          <cell r="C939">
            <v>7.5</v>
          </cell>
          <cell r="D939">
            <v>68</v>
          </cell>
          <cell r="E939" t="str">
            <v>FA77</v>
          </cell>
          <cell r="F939">
            <v>1040</v>
          </cell>
          <cell r="G939">
            <v>21.43</v>
          </cell>
          <cell r="H939">
            <v>1.45</v>
          </cell>
          <cell r="I939" t="str">
            <v>From M1 to M4 - 15°</v>
          </cell>
          <cell r="J939" t="str">
            <v>IE3</v>
          </cell>
          <cell r="K939">
            <v>400</v>
          </cell>
          <cell r="L939">
            <v>50</v>
          </cell>
          <cell r="M939">
            <v>15.2</v>
          </cell>
          <cell r="N939">
            <v>55</v>
          </cell>
          <cell r="O939" t="str">
            <v>F(105°C)</v>
          </cell>
          <cell r="P939" t="str">
            <v>270°</v>
          </cell>
          <cell r="Q939" t="str">
            <v>-</v>
          </cell>
          <cell r="R939" t="str">
            <v>-</v>
          </cell>
          <cell r="S939" t="str">
            <v>-</v>
          </cell>
          <cell r="T939" t="str">
            <v>-</v>
          </cell>
          <cell r="U939" t="str">
            <v>G</v>
          </cell>
          <cell r="V939" t="str">
            <v>D</v>
          </cell>
          <cell r="W939" t="str">
            <v>-</v>
          </cell>
          <cell r="X939" t="str">
            <v>CLP (CC) VG 220 = -15° + 40°</v>
          </cell>
          <cell r="Y939" t="str">
            <v>FA77/G DRN132M4</v>
          </cell>
          <cell r="Z939" t="str">
            <v>SEW</v>
          </cell>
          <cell r="AB939" t="str">
            <v>-</v>
          </cell>
          <cell r="AF939">
            <v>68</v>
          </cell>
          <cell r="AG939" t="str">
            <v>DRN132M4</v>
          </cell>
          <cell r="AH939" t="str">
            <v>FA77G-DRN132M4270-X</v>
          </cell>
        </row>
        <row r="940">
          <cell r="A940" t="str">
            <v>MR000936</v>
          </cell>
          <cell r="B940" t="str">
            <v>MR</v>
          </cell>
          <cell r="C940">
            <v>9.1999999999999993</v>
          </cell>
          <cell r="D940">
            <v>73</v>
          </cell>
          <cell r="E940" t="str">
            <v>KH77</v>
          </cell>
          <cell r="F940">
            <v>1200</v>
          </cell>
          <cell r="G940">
            <v>20.25</v>
          </cell>
          <cell r="H940">
            <v>1.25</v>
          </cell>
          <cell r="I940" t="str">
            <v>M4B</v>
          </cell>
          <cell r="J940" t="str">
            <v>IE3</v>
          </cell>
          <cell r="K940">
            <v>400</v>
          </cell>
          <cell r="L940">
            <v>50</v>
          </cell>
          <cell r="M940">
            <v>18.7</v>
          </cell>
          <cell r="N940">
            <v>55</v>
          </cell>
          <cell r="O940" t="str">
            <v>F(105°C)</v>
          </cell>
          <cell r="P940" t="str">
            <v>270°</v>
          </cell>
          <cell r="Q940" t="str">
            <v>-</v>
          </cell>
          <cell r="R940" t="str">
            <v>-</v>
          </cell>
          <cell r="S940" t="str">
            <v>Free rotation CW</v>
          </cell>
          <cell r="T940" t="str">
            <v>-</v>
          </cell>
          <cell r="U940" t="str">
            <v>T</v>
          </cell>
          <cell r="V940" t="str">
            <v>SS</v>
          </cell>
          <cell r="W940" t="str">
            <v>-</v>
          </cell>
          <cell r="X940" t="str">
            <v>CLP (CC) VG 220 = -15° + 40°</v>
          </cell>
          <cell r="Y940" t="str">
            <v>KH77/T DRN132L4 /RS</v>
          </cell>
          <cell r="Z940" t="str">
            <v>SEW</v>
          </cell>
          <cell r="AB940" t="str">
            <v>-</v>
          </cell>
          <cell r="AF940">
            <v>73</v>
          </cell>
          <cell r="AG940" t="str">
            <v>DRN132L4</v>
          </cell>
          <cell r="AH940" t="str">
            <v>KH77T-DRN132L4B270-X</v>
          </cell>
        </row>
        <row r="941">
          <cell r="A941" t="str">
            <v>MR000937</v>
          </cell>
          <cell r="B941" t="str">
            <v>MR</v>
          </cell>
          <cell r="C941">
            <v>0.75</v>
          </cell>
          <cell r="D941">
            <v>162</v>
          </cell>
          <cell r="E941" t="str">
            <v>KA37</v>
          </cell>
          <cell r="F941">
            <v>44</v>
          </cell>
          <cell r="G941">
            <v>8.91</v>
          </cell>
          <cell r="H941">
            <v>3.6</v>
          </cell>
          <cell r="I941" t="str">
            <v>From M1B to M2B - 5°</v>
          </cell>
          <cell r="J941" t="str">
            <v>IE3</v>
          </cell>
          <cell r="K941">
            <v>400</v>
          </cell>
          <cell r="L941">
            <v>50</v>
          </cell>
          <cell r="M941">
            <v>1.75</v>
          </cell>
          <cell r="N941">
            <v>55</v>
          </cell>
          <cell r="O941" t="str">
            <v>F(105°C)</v>
          </cell>
          <cell r="P941" t="str">
            <v>0°</v>
          </cell>
          <cell r="Q941" t="str">
            <v>-</v>
          </cell>
          <cell r="R941" t="str">
            <v>-</v>
          </cell>
          <cell r="S941" t="str">
            <v>-</v>
          </cell>
          <cell r="T941" t="str">
            <v>-</v>
          </cell>
          <cell r="U941" t="str">
            <v>T</v>
          </cell>
          <cell r="V941" t="str">
            <v>D</v>
          </cell>
          <cell r="W941" t="str">
            <v>-</v>
          </cell>
          <cell r="X941" t="str">
            <v>CLP (CC) VG 220 = -15° + 40°</v>
          </cell>
          <cell r="Y941" t="str">
            <v>KA37/T DRN80M4</v>
          </cell>
          <cell r="Z941" t="str">
            <v>SEW</v>
          </cell>
          <cell r="AB941" t="str">
            <v>-</v>
          </cell>
          <cell r="AF941">
            <v>162</v>
          </cell>
          <cell r="AG941" t="str">
            <v>DRN80M4</v>
          </cell>
          <cell r="AH941" t="str">
            <v>KA37T-DRN80M4B0-X</v>
          </cell>
        </row>
        <row r="942">
          <cell r="A942" t="str">
            <v>MR000938</v>
          </cell>
          <cell r="B942" t="str">
            <v>MR</v>
          </cell>
          <cell r="C942">
            <v>11</v>
          </cell>
          <cell r="D942">
            <v>18</v>
          </cell>
          <cell r="E942" t="str">
            <v>KH107</v>
          </cell>
          <cell r="F942">
            <v>5890</v>
          </cell>
          <cell r="G942">
            <v>82.61</v>
          </cell>
          <cell r="H942">
            <v>1.35</v>
          </cell>
          <cell r="I942" t="str">
            <v>From M1B to M4 - 40°</v>
          </cell>
          <cell r="J942" t="str">
            <v>IE3</v>
          </cell>
          <cell r="K942" t="str">
            <v>400/690</v>
          </cell>
          <cell r="L942">
            <v>50</v>
          </cell>
          <cell r="M942" t="str">
            <v>21 / 12,2</v>
          </cell>
          <cell r="N942">
            <v>55</v>
          </cell>
          <cell r="O942" t="str">
            <v>F(105°C)</v>
          </cell>
          <cell r="P942" t="str">
            <v>270°</v>
          </cell>
          <cell r="Q942" t="str">
            <v>TF</v>
          </cell>
          <cell r="R942" t="str">
            <v>-</v>
          </cell>
          <cell r="S942" t="str">
            <v>-</v>
          </cell>
          <cell r="T942" t="str">
            <v>-</v>
          </cell>
          <cell r="U942" t="str">
            <v>-</v>
          </cell>
          <cell r="V942" t="str">
            <v>SS</v>
          </cell>
          <cell r="W942" t="str">
            <v>-</v>
          </cell>
          <cell r="X942" t="str">
            <v>CLP HC VG 150 = -40° + 40°</v>
          </cell>
          <cell r="Y942" t="str">
            <v>KH107DRN160M4 /TF</v>
          </cell>
          <cell r="Z942" t="str">
            <v>SEW</v>
          </cell>
          <cell r="AB942" t="str">
            <v>-</v>
          </cell>
          <cell r="AF942">
            <v>18</v>
          </cell>
          <cell r="AG942" t="str">
            <v>DRN160M4</v>
          </cell>
          <cell r="AH942" t="str">
            <v>KH107-DRN160M4B270-X</v>
          </cell>
        </row>
        <row r="943">
          <cell r="A943" t="str">
            <v>MR000939</v>
          </cell>
          <cell r="B943" t="str">
            <v>MR</v>
          </cell>
          <cell r="C943">
            <v>18.5</v>
          </cell>
          <cell r="D943">
            <v>16</v>
          </cell>
          <cell r="E943" t="str">
            <v>KH127</v>
          </cell>
          <cell r="F943">
            <v>10700</v>
          </cell>
          <cell r="G943">
            <v>89.89</v>
          </cell>
          <cell r="H943">
            <v>1.2</v>
          </cell>
          <cell r="I943" t="str">
            <v>From M1A to M2A - 30°</v>
          </cell>
          <cell r="J943" t="str">
            <v>IE3</v>
          </cell>
          <cell r="K943" t="str">
            <v>400/690</v>
          </cell>
          <cell r="L943">
            <v>50</v>
          </cell>
          <cell r="M943" t="str">
            <v>33,5 / 19,3</v>
          </cell>
          <cell r="N943">
            <v>55</v>
          </cell>
          <cell r="O943" t="str">
            <v>F(105°C)</v>
          </cell>
          <cell r="P943" t="str">
            <v>270°</v>
          </cell>
          <cell r="Q943" t="str">
            <v>TF</v>
          </cell>
          <cell r="R943" t="str">
            <v>-</v>
          </cell>
          <cell r="S943" t="str">
            <v>-</v>
          </cell>
          <cell r="T943" t="str">
            <v>-</v>
          </cell>
          <cell r="U943" t="str">
            <v>-</v>
          </cell>
          <cell r="V943" t="str">
            <v>SS</v>
          </cell>
          <cell r="W943" t="str">
            <v>-</v>
          </cell>
          <cell r="X943" t="str">
            <v>CLP HC VG 150 = -40° + 40°</v>
          </cell>
          <cell r="Y943" t="str">
            <v>KH127DRN180M4 /TF</v>
          </cell>
          <cell r="Z943" t="str">
            <v>SEW</v>
          </cell>
          <cell r="AB943" t="str">
            <v>-</v>
          </cell>
          <cell r="AF943">
            <v>16</v>
          </cell>
          <cell r="AG943" t="str">
            <v>DRN180M4</v>
          </cell>
          <cell r="AH943" t="str">
            <v>KH127-DRN180M4A270-X</v>
          </cell>
        </row>
        <row r="944">
          <cell r="A944" t="str">
            <v>MR000940</v>
          </cell>
          <cell r="B944" t="str">
            <v>MR</v>
          </cell>
          <cell r="C944">
            <v>9.1999999999999993</v>
          </cell>
          <cell r="D944">
            <v>16</v>
          </cell>
          <cell r="E944" t="str">
            <v>KH107</v>
          </cell>
          <cell r="F944">
            <v>5430</v>
          </cell>
          <cell r="G944">
            <v>90.96</v>
          </cell>
          <cell r="H944">
            <v>1.45</v>
          </cell>
          <cell r="I944" t="str">
            <v>From M1A to M2 - 15°</v>
          </cell>
          <cell r="J944" t="str">
            <v>IE3</v>
          </cell>
          <cell r="K944" t="str">
            <v>400/690</v>
          </cell>
          <cell r="L944">
            <v>50</v>
          </cell>
          <cell r="M944" t="str">
            <v>18,7 / 10,8</v>
          </cell>
          <cell r="N944">
            <v>55</v>
          </cell>
          <cell r="O944" t="str">
            <v>F(105°C)</v>
          </cell>
          <cell r="P944" t="str">
            <v>270°</v>
          </cell>
          <cell r="Q944" t="str">
            <v>TF</v>
          </cell>
          <cell r="R944" t="str">
            <v>-</v>
          </cell>
          <cell r="S944" t="str">
            <v>-</v>
          </cell>
          <cell r="T944" t="str">
            <v>-</v>
          </cell>
          <cell r="U944" t="str">
            <v>-</v>
          </cell>
          <cell r="V944" t="str">
            <v>SS</v>
          </cell>
          <cell r="W944" t="str">
            <v>-</v>
          </cell>
          <cell r="X944" t="str">
            <v>CLP HC VG 150 = -40° + 40°</v>
          </cell>
          <cell r="Y944" t="str">
            <v>KH107DRN132L4 /TF</v>
          </cell>
          <cell r="Z944" t="str">
            <v>SEW</v>
          </cell>
          <cell r="AB944" t="str">
            <v>-</v>
          </cell>
          <cell r="AF944">
            <v>16</v>
          </cell>
          <cell r="AG944" t="str">
            <v>DRN132L4</v>
          </cell>
          <cell r="AH944" t="str">
            <v>KH107-DRN132L4A270-X</v>
          </cell>
        </row>
        <row r="945">
          <cell r="A945" t="str">
            <v>MR000941</v>
          </cell>
          <cell r="B945" t="str">
            <v>MR</v>
          </cell>
          <cell r="C945">
            <v>9.1999999999999993</v>
          </cell>
          <cell r="D945">
            <v>16</v>
          </cell>
          <cell r="E945" t="str">
            <v>KH107</v>
          </cell>
          <cell r="F945">
            <v>5430</v>
          </cell>
          <cell r="G945">
            <v>90.96</v>
          </cell>
          <cell r="H945">
            <v>1.45</v>
          </cell>
          <cell r="I945" t="str">
            <v>From M1B to M2 - 15°</v>
          </cell>
          <cell r="J945" t="str">
            <v>IE3</v>
          </cell>
          <cell r="K945" t="str">
            <v>400/690</v>
          </cell>
          <cell r="L945">
            <v>50</v>
          </cell>
          <cell r="M945" t="str">
            <v>18,7 / 10,8</v>
          </cell>
          <cell r="N945">
            <v>55</v>
          </cell>
          <cell r="O945" t="str">
            <v>F(105°C)</v>
          </cell>
          <cell r="P945" t="str">
            <v>270°</v>
          </cell>
          <cell r="Q945" t="str">
            <v>TF</v>
          </cell>
          <cell r="R945" t="str">
            <v>-</v>
          </cell>
          <cell r="S945" t="str">
            <v>-</v>
          </cell>
          <cell r="T945" t="str">
            <v>-</v>
          </cell>
          <cell r="U945" t="str">
            <v>-</v>
          </cell>
          <cell r="V945" t="str">
            <v>SS</v>
          </cell>
          <cell r="W945" t="str">
            <v>-</v>
          </cell>
          <cell r="X945" t="str">
            <v>CLP HC VG 150 = -40° + 40°</v>
          </cell>
          <cell r="Y945" t="str">
            <v>KH107DRN132L4 /TF</v>
          </cell>
          <cell r="Z945" t="str">
            <v>SEW</v>
          </cell>
          <cell r="AB945" t="str">
            <v>-</v>
          </cell>
          <cell r="AF945">
            <v>16</v>
          </cell>
          <cell r="AG945" t="str">
            <v>DRN132L4</v>
          </cell>
          <cell r="AH945" t="str">
            <v>KH107-DRN132L4B270-X</v>
          </cell>
        </row>
        <row r="946">
          <cell r="A946" t="str">
            <v>MR000942</v>
          </cell>
          <cell r="B946" t="str">
            <v>MR</v>
          </cell>
          <cell r="C946">
            <v>5.5</v>
          </cell>
          <cell r="D946">
            <v>14</v>
          </cell>
          <cell r="E946" t="str">
            <v>KH97</v>
          </cell>
          <cell r="F946">
            <v>3770</v>
          </cell>
          <cell r="G946">
            <v>105.13</v>
          </cell>
          <cell r="H946">
            <v>1.1499999999999999</v>
          </cell>
          <cell r="I946" t="str">
            <v>From M1B to M2B - 25°</v>
          </cell>
          <cell r="J946" t="str">
            <v>IE3</v>
          </cell>
          <cell r="K946" t="str">
            <v>230/400</v>
          </cell>
          <cell r="L946">
            <v>50</v>
          </cell>
          <cell r="M946" t="str">
            <v>18,2 / 10,5</v>
          </cell>
          <cell r="N946">
            <v>55</v>
          </cell>
          <cell r="O946" t="str">
            <v>F(105°C)</v>
          </cell>
          <cell r="P946" t="str">
            <v>270°</v>
          </cell>
          <cell r="Q946" t="str">
            <v>TF</v>
          </cell>
          <cell r="R946" t="str">
            <v>-</v>
          </cell>
          <cell r="S946" t="str">
            <v>-</v>
          </cell>
          <cell r="T946" t="str">
            <v>-</v>
          </cell>
          <cell r="U946" t="str">
            <v>-</v>
          </cell>
          <cell r="V946" t="str">
            <v>SS</v>
          </cell>
          <cell r="W946" t="str">
            <v>-</v>
          </cell>
          <cell r="X946" t="str">
            <v>CLP HC VG 150 = -40° + 40°</v>
          </cell>
          <cell r="Y946" t="str">
            <v>KH97DRN132S4 /TF</v>
          </cell>
          <cell r="Z946" t="str">
            <v>SEW</v>
          </cell>
          <cell r="AB946" t="str">
            <v>-</v>
          </cell>
          <cell r="AF946">
            <v>14</v>
          </cell>
          <cell r="AG946" t="str">
            <v>DRN132S4</v>
          </cell>
          <cell r="AH946" t="str">
            <v>KH97-DRN132S4B270-X</v>
          </cell>
        </row>
        <row r="947">
          <cell r="A947" t="str">
            <v>MR000943</v>
          </cell>
          <cell r="B947" t="str">
            <v>MR</v>
          </cell>
          <cell r="C947">
            <v>5.5</v>
          </cell>
          <cell r="D947">
            <v>14</v>
          </cell>
          <cell r="E947" t="str">
            <v>KH97</v>
          </cell>
          <cell r="F947">
            <v>3770</v>
          </cell>
          <cell r="G947">
            <v>105.13</v>
          </cell>
          <cell r="H947">
            <v>1.1499999999999999</v>
          </cell>
          <cell r="I947" t="str">
            <v>From M1A to M2A - 15°</v>
          </cell>
          <cell r="J947" t="str">
            <v>IE3</v>
          </cell>
          <cell r="K947" t="str">
            <v>230/400</v>
          </cell>
          <cell r="L947">
            <v>50</v>
          </cell>
          <cell r="M947" t="str">
            <v>18,2 / 10,5</v>
          </cell>
          <cell r="N947">
            <v>55</v>
          </cell>
          <cell r="O947" t="str">
            <v>F(105°C)</v>
          </cell>
          <cell r="P947" t="str">
            <v>270°</v>
          </cell>
          <cell r="Q947" t="str">
            <v>TF</v>
          </cell>
          <cell r="R947" t="str">
            <v>-</v>
          </cell>
          <cell r="S947" t="str">
            <v>-</v>
          </cell>
          <cell r="T947" t="str">
            <v>-</v>
          </cell>
          <cell r="U947" t="str">
            <v>-</v>
          </cell>
          <cell r="V947" t="str">
            <v>SS</v>
          </cell>
          <cell r="W947" t="str">
            <v>-</v>
          </cell>
          <cell r="X947" t="str">
            <v>CLP HC VG 150 = -40° + 40°</v>
          </cell>
          <cell r="Y947" t="str">
            <v>KH97DRN132S4 /TF</v>
          </cell>
          <cell r="Z947" t="str">
            <v>SEW</v>
          </cell>
          <cell r="AB947" t="str">
            <v>-</v>
          </cell>
          <cell r="AF947">
            <v>14</v>
          </cell>
          <cell r="AG947" t="str">
            <v>DRN132S4</v>
          </cell>
          <cell r="AH947" t="str">
            <v>KH97-DRN132S4A270-X</v>
          </cell>
        </row>
        <row r="948">
          <cell r="A948" t="str">
            <v>MR000944</v>
          </cell>
          <cell r="B948" t="str">
            <v>MR</v>
          </cell>
          <cell r="C948">
            <v>5.5</v>
          </cell>
          <cell r="D948">
            <v>14</v>
          </cell>
          <cell r="E948" t="str">
            <v>KH97</v>
          </cell>
          <cell r="F948">
            <v>3770</v>
          </cell>
          <cell r="G948">
            <v>105.13</v>
          </cell>
          <cell r="H948">
            <v>1.1499999999999999</v>
          </cell>
          <cell r="I948" t="str">
            <v>From M1B to M2B - 15°</v>
          </cell>
          <cell r="J948" t="str">
            <v>IE3</v>
          </cell>
          <cell r="K948" t="str">
            <v>230/400</v>
          </cell>
          <cell r="L948">
            <v>50</v>
          </cell>
          <cell r="M948" t="str">
            <v>18,2 / 10,5</v>
          </cell>
          <cell r="N948">
            <v>55</v>
          </cell>
          <cell r="O948" t="str">
            <v>F(105°C)</v>
          </cell>
          <cell r="P948" t="str">
            <v>270°</v>
          </cell>
          <cell r="Q948" t="str">
            <v>TF</v>
          </cell>
          <cell r="R948" t="str">
            <v>-</v>
          </cell>
          <cell r="S948" t="str">
            <v>-</v>
          </cell>
          <cell r="T948" t="str">
            <v>-</v>
          </cell>
          <cell r="U948" t="str">
            <v>-</v>
          </cell>
          <cell r="V948" t="str">
            <v>SS</v>
          </cell>
          <cell r="W948" t="str">
            <v>-</v>
          </cell>
          <cell r="X948" t="str">
            <v>CLP HC VG 150 = -40° + 40°</v>
          </cell>
          <cell r="Y948" t="str">
            <v>KH97DRN132S4 /TF</v>
          </cell>
          <cell r="Z948" t="str">
            <v>SEW</v>
          </cell>
          <cell r="AB948" t="str">
            <v>-</v>
          </cell>
          <cell r="AF948">
            <v>14</v>
          </cell>
          <cell r="AG948" t="str">
            <v>DRN132S4</v>
          </cell>
          <cell r="AH948" t="str">
            <v>KH97-DRN132S4B270-X</v>
          </cell>
        </row>
        <row r="949">
          <cell r="A949" t="str">
            <v>MR000945</v>
          </cell>
          <cell r="B949" t="str">
            <v>MR</v>
          </cell>
          <cell r="C949">
            <v>11</v>
          </cell>
          <cell r="D949">
            <v>15</v>
          </cell>
          <cell r="E949" t="str">
            <v>KH107</v>
          </cell>
          <cell r="F949">
            <v>7180</v>
          </cell>
          <cell r="G949">
            <v>100.75</v>
          </cell>
          <cell r="H949">
            <v>1.1000000000000001</v>
          </cell>
          <cell r="I949" t="str">
            <v>From M1A to M2A - 50°</v>
          </cell>
          <cell r="J949" t="str">
            <v>IE3</v>
          </cell>
          <cell r="K949" t="str">
            <v>400/690</v>
          </cell>
          <cell r="L949">
            <v>50</v>
          </cell>
          <cell r="M949" t="str">
            <v>21 / 12,2</v>
          </cell>
          <cell r="N949">
            <v>55</v>
          </cell>
          <cell r="O949" t="str">
            <v>F(105°C)</v>
          </cell>
          <cell r="P949" t="str">
            <v>270°</v>
          </cell>
          <cell r="Q949" t="str">
            <v>TF</v>
          </cell>
          <cell r="R949" t="str">
            <v>-</v>
          </cell>
          <cell r="S949" t="str">
            <v>-</v>
          </cell>
          <cell r="T949" t="str">
            <v>-</v>
          </cell>
          <cell r="U949" t="str">
            <v>-</v>
          </cell>
          <cell r="V949" t="str">
            <v>SS</v>
          </cell>
          <cell r="W949" t="str">
            <v>-</v>
          </cell>
          <cell r="X949" t="str">
            <v>CLP HC VG 150 = -40° + 40°</v>
          </cell>
          <cell r="Y949" t="str">
            <v>KH107DRN160M4 /TF</v>
          </cell>
          <cell r="Z949" t="str">
            <v>SEW</v>
          </cell>
          <cell r="AB949" t="str">
            <v>-</v>
          </cell>
          <cell r="AF949">
            <v>15</v>
          </cell>
          <cell r="AG949" t="str">
            <v>DRN160M4</v>
          </cell>
          <cell r="AH949" t="str">
            <v>KH107-DRN160M4A270-X</v>
          </cell>
        </row>
        <row r="950">
          <cell r="A950" t="str">
            <v>MR000946</v>
          </cell>
          <cell r="B950" t="str">
            <v>MR</v>
          </cell>
          <cell r="C950">
            <v>11</v>
          </cell>
          <cell r="D950">
            <v>18</v>
          </cell>
          <cell r="E950" t="str">
            <v>KH107</v>
          </cell>
          <cell r="F950">
            <v>5890</v>
          </cell>
          <cell r="G950">
            <v>82.61</v>
          </cell>
          <cell r="H950">
            <v>1.35</v>
          </cell>
          <cell r="I950" t="str">
            <v>M4A</v>
          </cell>
          <cell r="J950" t="str">
            <v>IE3</v>
          </cell>
          <cell r="K950" t="str">
            <v>400/690</v>
          </cell>
          <cell r="L950">
            <v>50</v>
          </cell>
          <cell r="M950" t="str">
            <v>21 / 12,2</v>
          </cell>
          <cell r="N950">
            <v>55</v>
          </cell>
          <cell r="O950" t="str">
            <v>F(105°C)</v>
          </cell>
          <cell r="P950" t="str">
            <v>270°</v>
          </cell>
          <cell r="Q950" t="str">
            <v>TF</v>
          </cell>
          <cell r="R950" t="str">
            <v>-</v>
          </cell>
          <cell r="S950" t="str">
            <v>-</v>
          </cell>
          <cell r="T950" t="str">
            <v>-</v>
          </cell>
          <cell r="U950" t="str">
            <v>-</v>
          </cell>
          <cell r="V950" t="str">
            <v>SS</v>
          </cell>
          <cell r="W950" t="str">
            <v>-</v>
          </cell>
          <cell r="X950" t="str">
            <v>CLP HC VG 150 = -40° + 40°</v>
          </cell>
          <cell r="Y950" t="str">
            <v>KH107DRN160M4 /TF</v>
          </cell>
          <cell r="Z950" t="str">
            <v>SEW</v>
          </cell>
          <cell r="AB950" t="str">
            <v>-</v>
          </cell>
          <cell r="AF950">
            <v>18</v>
          </cell>
          <cell r="AG950" t="str">
            <v>DRN160M4</v>
          </cell>
          <cell r="AH950" t="str">
            <v>KH107-DRN160M4A270-X</v>
          </cell>
        </row>
        <row r="951">
          <cell r="A951" t="str">
            <v>MR000947</v>
          </cell>
          <cell r="B951" t="str">
            <v>MR</v>
          </cell>
          <cell r="C951">
            <v>30</v>
          </cell>
          <cell r="D951">
            <v>53</v>
          </cell>
          <cell r="E951" t="str">
            <v>R137</v>
          </cell>
          <cell r="F951">
            <v>7680</v>
          </cell>
          <cell r="G951">
            <v>27.83</v>
          </cell>
          <cell r="H951">
            <v>1.45</v>
          </cell>
          <cell r="I951" t="str">
            <v>M1</v>
          </cell>
          <cell r="J951" t="str">
            <v>IE3</v>
          </cell>
          <cell r="K951" t="str">
            <v>230/400</v>
          </cell>
          <cell r="L951">
            <v>50</v>
          </cell>
          <cell r="M951" t="str">
            <v>97 / 56</v>
          </cell>
          <cell r="N951">
            <v>55</v>
          </cell>
          <cell r="O951" t="str">
            <v>F(105°C)</v>
          </cell>
          <cell r="P951" t="str">
            <v>0°</v>
          </cell>
          <cell r="Q951" t="str">
            <v>TF</v>
          </cell>
          <cell r="R951" t="str">
            <v>-</v>
          </cell>
          <cell r="S951" t="str">
            <v>-</v>
          </cell>
          <cell r="T951" t="str">
            <v>-</v>
          </cell>
          <cell r="U951" t="str">
            <v>-</v>
          </cell>
          <cell r="V951" t="str">
            <v>D</v>
          </cell>
          <cell r="W951" t="str">
            <v>-</v>
          </cell>
          <cell r="X951" t="str">
            <v>CLP (CC) VG 220 = -15° + 40°</v>
          </cell>
          <cell r="Y951" t="str">
            <v>R137DRN200L4 /TF</v>
          </cell>
          <cell r="Z951" t="str">
            <v>SEW</v>
          </cell>
          <cell r="AB951" t="str">
            <v>-</v>
          </cell>
          <cell r="AF951">
            <v>53</v>
          </cell>
          <cell r="AG951" t="str">
            <v>DRN200L4</v>
          </cell>
          <cell r="AH951" t="str">
            <v>R137-DRN200L40-X</v>
          </cell>
        </row>
        <row r="952">
          <cell r="A952" t="str">
            <v>MR000948</v>
          </cell>
          <cell r="B952" t="str">
            <v>R</v>
          </cell>
          <cell r="C952" t="str">
            <v>-</v>
          </cell>
          <cell r="E952" t="str">
            <v>FA37</v>
          </cell>
          <cell r="G952">
            <v>11.08</v>
          </cell>
          <cell r="H952" t="str">
            <v>-</v>
          </cell>
          <cell r="I952" t="str">
            <v>M1</v>
          </cell>
          <cell r="J952" t="str">
            <v>-</v>
          </cell>
          <cell r="K952" t="str">
            <v>-</v>
          </cell>
          <cell r="L952" t="str">
            <v>-</v>
          </cell>
          <cell r="M952" t="str">
            <v>-</v>
          </cell>
          <cell r="N952" t="str">
            <v>-</v>
          </cell>
          <cell r="O952" t="str">
            <v>-</v>
          </cell>
          <cell r="P952" t="str">
            <v>-</v>
          </cell>
          <cell r="Q952" t="str">
            <v>-</v>
          </cell>
          <cell r="R952" t="str">
            <v>-</v>
          </cell>
          <cell r="S952" t="str">
            <v>-</v>
          </cell>
          <cell r="T952" t="str">
            <v>-</v>
          </cell>
          <cell r="U952" t="str">
            <v>-</v>
          </cell>
          <cell r="V952" t="str">
            <v>-</v>
          </cell>
          <cell r="W952" t="str">
            <v>-</v>
          </cell>
          <cell r="X952" t="str">
            <v>CLP (CC) VG 220 = -15° + 40°</v>
          </cell>
          <cell r="Y952" t="str">
            <v>FA37/A/G</v>
          </cell>
          <cell r="Z952" t="str">
            <v>SEW</v>
          </cell>
          <cell r="AB952" t="str">
            <v>-</v>
          </cell>
          <cell r="AF952" t="str">
            <v>-</v>
          </cell>
          <cell r="AG952" t="str">
            <v>-</v>
          </cell>
          <cell r="AH952" t="str">
            <v>FA37----X</v>
          </cell>
        </row>
        <row r="953">
          <cell r="A953" t="str">
            <v>MR000949</v>
          </cell>
          <cell r="B953" t="str">
            <v>MR</v>
          </cell>
          <cell r="C953">
            <v>15</v>
          </cell>
          <cell r="D953">
            <v>66</v>
          </cell>
          <cell r="E953" t="str">
            <v>R97</v>
          </cell>
          <cell r="F953">
            <v>2170</v>
          </cell>
          <cell r="G953">
            <v>22.37</v>
          </cell>
          <cell r="H953">
            <v>1.25</v>
          </cell>
          <cell r="I953" t="str">
            <v>M1</v>
          </cell>
          <cell r="J953" t="str">
            <v>IE3</v>
          </cell>
          <cell r="K953" t="str">
            <v>600 / 690</v>
          </cell>
          <cell r="L953">
            <v>50</v>
          </cell>
          <cell r="M953" t="str">
            <v>29 / 16,7</v>
          </cell>
          <cell r="N953">
            <v>55</v>
          </cell>
          <cell r="O953" t="str">
            <v>F(105°C)</v>
          </cell>
          <cell r="P953" t="str">
            <v>270°</v>
          </cell>
          <cell r="Q953" t="str">
            <v>-</v>
          </cell>
          <cell r="R953" t="str">
            <v>-</v>
          </cell>
          <cell r="S953" t="str">
            <v>-</v>
          </cell>
          <cell r="T953" t="str">
            <v>-</v>
          </cell>
          <cell r="U953" t="str">
            <v>-</v>
          </cell>
          <cell r="V953" t="str">
            <v>D</v>
          </cell>
          <cell r="W953" t="str">
            <v>-</v>
          </cell>
          <cell r="X953" t="str">
            <v>CLP (CC) VG 220 = -15° + 40°</v>
          </cell>
          <cell r="Y953" t="str">
            <v>R97DRN160L4</v>
          </cell>
          <cell r="Z953" t="str">
            <v>SEW</v>
          </cell>
          <cell r="AB953" t="str">
            <v>-</v>
          </cell>
          <cell r="AF953">
            <v>66</v>
          </cell>
          <cell r="AG953" t="str">
            <v>DRN160L4</v>
          </cell>
          <cell r="AH953" t="str">
            <v>R97-DRN160L4270-X</v>
          </cell>
        </row>
        <row r="954">
          <cell r="A954" t="str">
            <v>MR000950</v>
          </cell>
          <cell r="B954" t="str">
            <v>MR</v>
          </cell>
          <cell r="C954">
            <v>11</v>
          </cell>
          <cell r="D954">
            <v>15</v>
          </cell>
          <cell r="E954" t="str">
            <v>KH107</v>
          </cell>
          <cell r="F954">
            <v>7180</v>
          </cell>
          <cell r="G954">
            <v>100.75</v>
          </cell>
          <cell r="H954">
            <v>1.1000000000000001</v>
          </cell>
          <cell r="I954" t="str">
            <v>M4B</v>
          </cell>
          <cell r="J954" t="str">
            <v>IE3</v>
          </cell>
          <cell r="K954" t="str">
            <v>400/690</v>
          </cell>
          <cell r="L954">
            <v>50</v>
          </cell>
          <cell r="M954" t="str">
            <v>21 / 12,2</v>
          </cell>
          <cell r="N954">
            <v>55</v>
          </cell>
          <cell r="O954" t="str">
            <v>F(105°C)</v>
          </cell>
          <cell r="P954" t="str">
            <v>270°</v>
          </cell>
          <cell r="Q954" t="str">
            <v>TF</v>
          </cell>
          <cell r="R954" t="str">
            <v>-</v>
          </cell>
          <cell r="S954" t="str">
            <v>-</v>
          </cell>
          <cell r="T954" t="str">
            <v>-</v>
          </cell>
          <cell r="U954" t="str">
            <v>-</v>
          </cell>
          <cell r="V954" t="str">
            <v>SS</v>
          </cell>
          <cell r="W954" t="str">
            <v>-</v>
          </cell>
          <cell r="X954" t="str">
            <v>CLP HC VG 150 = -40° + 40°</v>
          </cell>
          <cell r="Y954" t="str">
            <v>KH107DRN160M4 /TF</v>
          </cell>
          <cell r="Z954" t="str">
            <v>SEW</v>
          </cell>
          <cell r="AB954" t="str">
            <v>-</v>
          </cell>
          <cell r="AF954">
            <v>15</v>
          </cell>
          <cell r="AG954" t="str">
            <v>DRN160M4</v>
          </cell>
          <cell r="AH954" t="str">
            <v>KH107-DRN160M4B270-X</v>
          </cell>
        </row>
        <row r="955">
          <cell r="A955" t="str">
            <v>MR000951</v>
          </cell>
          <cell r="B955" t="str">
            <v>MR</v>
          </cell>
          <cell r="C955">
            <v>18.5</v>
          </cell>
          <cell r="D955">
            <v>12.5</v>
          </cell>
          <cell r="E955" t="str">
            <v>KH157</v>
          </cell>
          <cell r="F955">
            <v>12100</v>
          </cell>
          <cell r="G955">
            <v>122.4</v>
          </cell>
          <cell r="H955">
            <v>1.5</v>
          </cell>
          <cell r="I955" t="str">
            <v>From M1A to M2A - 45°</v>
          </cell>
          <cell r="J955" t="str">
            <v>IE3</v>
          </cell>
          <cell r="K955" t="str">
            <v>277/480</v>
          </cell>
          <cell r="L955">
            <v>60</v>
          </cell>
          <cell r="M955" t="str">
            <v>59/29,5</v>
          </cell>
          <cell r="N955">
            <v>55</v>
          </cell>
          <cell r="O955" t="str">
            <v>F</v>
          </cell>
          <cell r="P955" t="str">
            <v>270°</v>
          </cell>
          <cell r="Q955" t="str">
            <v>TF</v>
          </cell>
          <cell r="R955" t="str">
            <v>V(VE)</v>
          </cell>
          <cell r="S955" t="str">
            <v>-</v>
          </cell>
          <cell r="T955" t="str">
            <v>-</v>
          </cell>
          <cell r="U955" t="str">
            <v>-</v>
          </cell>
          <cell r="V955" t="str">
            <v>FC</v>
          </cell>
          <cell r="W955" t="str">
            <v>-</v>
          </cell>
          <cell r="X955" t="str">
            <v>CLP (CC) VG 220 = -15° + 40°</v>
          </cell>
          <cell r="Y955" t="str">
            <v>KH157DRN180M4 /TF/V</v>
          </cell>
          <cell r="Z955" t="str">
            <v>SEW</v>
          </cell>
          <cell r="AB955" t="str">
            <v>-</v>
          </cell>
          <cell r="AF955">
            <v>15</v>
          </cell>
          <cell r="AG955" t="str">
            <v>DRN180M4</v>
          </cell>
          <cell r="AH955" t="str">
            <v>KH157-DRN180M4A270-X#</v>
          </cell>
        </row>
        <row r="956">
          <cell r="A956" t="str">
            <v>MR000952</v>
          </cell>
          <cell r="B956" t="str">
            <v>MR</v>
          </cell>
          <cell r="C956">
            <v>18.5</v>
          </cell>
          <cell r="D956">
            <v>12.5</v>
          </cell>
          <cell r="E956" t="str">
            <v>KH157</v>
          </cell>
          <cell r="F956">
            <v>12100</v>
          </cell>
          <cell r="G956">
            <v>122.4</v>
          </cell>
          <cell r="H956">
            <v>1.5</v>
          </cell>
          <cell r="I956" t="str">
            <v>From M1B to M2B - 45°</v>
          </cell>
          <cell r="J956" t="str">
            <v>IE3</v>
          </cell>
          <cell r="K956" t="str">
            <v>277/480</v>
          </cell>
          <cell r="L956">
            <v>60</v>
          </cell>
          <cell r="M956" t="str">
            <v>59/29,5</v>
          </cell>
          <cell r="N956">
            <v>55</v>
          </cell>
          <cell r="O956" t="str">
            <v>F</v>
          </cell>
          <cell r="P956" t="str">
            <v>270°</v>
          </cell>
          <cell r="Q956" t="str">
            <v>TF</v>
          </cell>
          <cell r="R956" t="str">
            <v>V(VE)</v>
          </cell>
          <cell r="S956" t="str">
            <v>-</v>
          </cell>
          <cell r="T956" t="str">
            <v>-</v>
          </cell>
          <cell r="U956" t="str">
            <v>-</v>
          </cell>
          <cell r="V956" t="str">
            <v>FC</v>
          </cell>
          <cell r="W956" t="str">
            <v>-</v>
          </cell>
          <cell r="X956" t="str">
            <v>CLP (CC) VG 220 = -15° + 40°</v>
          </cell>
          <cell r="Y956" t="str">
            <v>KH157DRN180M4 /TF/V</v>
          </cell>
          <cell r="Z956" t="str">
            <v>SEW</v>
          </cell>
          <cell r="AB956" t="str">
            <v>-</v>
          </cell>
          <cell r="AF956">
            <v>15</v>
          </cell>
          <cell r="AG956" t="str">
            <v>DRN180M4</v>
          </cell>
          <cell r="AH956" t="str">
            <v>KH157-DRN180M4B270-X#</v>
          </cell>
        </row>
        <row r="957">
          <cell r="A957" t="str">
            <v>MR000953</v>
          </cell>
          <cell r="B957" t="str">
            <v>MR</v>
          </cell>
          <cell r="C957">
            <v>15</v>
          </cell>
          <cell r="D957">
            <v>38.333333333333336</v>
          </cell>
          <cell r="E957" t="str">
            <v>FH97</v>
          </cell>
          <cell r="F957">
            <v>3130</v>
          </cell>
          <cell r="G957">
            <v>38.86</v>
          </cell>
          <cell r="H957">
            <v>1.35</v>
          </cell>
          <cell r="I957" t="str">
            <v>M1</v>
          </cell>
          <cell r="J957" t="str">
            <v>IE3</v>
          </cell>
          <cell r="K957" t="str">
            <v>277/480</v>
          </cell>
          <cell r="L957">
            <v>60</v>
          </cell>
          <cell r="M957" t="str">
            <v>50/25</v>
          </cell>
          <cell r="N957">
            <v>55</v>
          </cell>
          <cell r="O957" t="str">
            <v>F</v>
          </cell>
          <cell r="P957" t="str">
            <v>270°</v>
          </cell>
          <cell r="Q957" t="str">
            <v>-</v>
          </cell>
          <cell r="R957" t="str">
            <v>-</v>
          </cell>
          <cell r="S957" t="str">
            <v>-</v>
          </cell>
          <cell r="T957" t="str">
            <v>-</v>
          </cell>
          <cell r="U957" t="str">
            <v>G</v>
          </cell>
          <cell r="V957" t="str">
            <v>D+R</v>
          </cell>
          <cell r="W957" t="str">
            <v>-</v>
          </cell>
          <cell r="X957" t="str">
            <v>CLP (CC) VG 220 = -15° + 40°</v>
          </cell>
          <cell r="Y957" t="str">
            <v>FH97/G DRN160L4</v>
          </cell>
          <cell r="Z957" t="str">
            <v>SEW</v>
          </cell>
          <cell r="AB957" t="str">
            <v>-</v>
          </cell>
          <cell r="AF957">
            <v>46</v>
          </cell>
          <cell r="AG957" t="str">
            <v>DRN160L4</v>
          </cell>
          <cell r="AH957" t="str">
            <v>FH97G-DRN160L4270-X</v>
          </cell>
        </row>
        <row r="958">
          <cell r="A958" t="str">
            <v>MR000954</v>
          </cell>
          <cell r="B958" t="str">
            <v>MR</v>
          </cell>
          <cell r="C958">
            <v>15</v>
          </cell>
          <cell r="D958">
            <v>38.333333333333336</v>
          </cell>
          <cell r="E958" t="str">
            <v>FH97</v>
          </cell>
          <cell r="F958">
            <v>3130</v>
          </cell>
          <cell r="G958">
            <v>38.86</v>
          </cell>
          <cell r="H958">
            <v>1.35</v>
          </cell>
          <cell r="I958" t="str">
            <v>M1</v>
          </cell>
          <cell r="J958" t="str">
            <v>IE3</v>
          </cell>
          <cell r="K958" t="str">
            <v>277/480</v>
          </cell>
          <cell r="L958">
            <v>60</v>
          </cell>
          <cell r="M958" t="str">
            <v>50/25</v>
          </cell>
          <cell r="N958">
            <v>55</v>
          </cell>
          <cell r="O958" t="str">
            <v>F</v>
          </cell>
          <cell r="P958" t="str">
            <v>270°</v>
          </cell>
          <cell r="Q958" t="str">
            <v>-</v>
          </cell>
          <cell r="R958" t="str">
            <v>-</v>
          </cell>
          <cell r="S958" t="str">
            <v>-</v>
          </cell>
          <cell r="T958" t="str">
            <v>-</v>
          </cell>
          <cell r="U958" t="str">
            <v>G</v>
          </cell>
          <cell r="V958" t="str">
            <v>D</v>
          </cell>
          <cell r="W958" t="str">
            <v>-</v>
          </cell>
          <cell r="X958" t="str">
            <v>CLP (CC) VG 220 = -15° + 40°</v>
          </cell>
          <cell r="Y958" t="str">
            <v>FH97/G DRN160L4</v>
          </cell>
          <cell r="Z958" t="str">
            <v>SEW</v>
          </cell>
          <cell r="AB958" t="str">
            <v>-</v>
          </cell>
          <cell r="AF958">
            <v>46</v>
          </cell>
          <cell r="AG958" t="str">
            <v>DRN160L4</v>
          </cell>
          <cell r="AH958" t="str">
            <v>FH97G-DRN160L4270-X</v>
          </cell>
        </row>
        <row r="959">
          <cell r="A959" t="str">
            <v>MR000955</v>
          </cell>
          <cell r="B959" t="str">
            <v>MR</v>
          </cell>
          <cell r="C959">
            <v>18.5</v>
          </cell>
          <cell r="D959">
            <v>12.5</v>
          </cell>
          <cell r="E959" t="str">
            <v>KH157</v>
          </cell>
          <cell r="F959">
            <v>12100</v>
          </cell>
          <cell r="G959">
            <v>122.4</v>
          </cell>
          <cell r="H959">
            <v>1.5</v>
          </cell>
          <cell r="I959" t="str">
            <v>From M1A to M2A - 25°</v>
          </cell>
          <cell r="J959" t="str">
            <v>IE3</v>
          </cell>
          <cell r="K959" t="str">
            <v>277/480</v>
          </cell>
          <cell r="L959">
            <v>60</v>
          </cell>
          <cell r="M959" t="str">
            <v>59/29,5</v>
          </cell>
          <cell r="N959">
            <v>55</v>
          </cell>
          <cell r="O959" t="str">
            <v>F</v>
          </cell>
          <cell r="P959" t="str">
            <v>270°</v>
          </cell>
          <cell r="Q959" t="str">
            <v>TF</v>
          </cell>
          <cell r="R959" t="str">
            <v>V(VE)</v>
          </cell>
          <cell r="S959" t="str">
            <v>-</v>
          </cell>
          <cell r="T959" t="str">
            <v>-</v>
          </cell>
          <cell r="U959" t="str">
            <v>-</v>
          </cell>
          <cell r="V959" t="str">
            <v>FC</v>
          </cell>
          <cell r="W959" t="str">
            <v>-</v>
          </cell>
          <cell r="X959" t="str">
            <v>CLP (CC) VG 220 = -15° + 40°</v>
          </cell>
          <cell r="Y959" t="str">
            <v>KH157DRN180M4 /TF/V</v>
          </cell>
          <cell r="Z959" t="str">
            <v>SEW</v>
          </cell>
          <cell r="AB959" t="str">
            <v>-</v>
          </cell>
          <cell r="AF959">
            <v>15</v>
          </cell>
          <cell r="AG959" t="str">
            <v>DRN180M4</v>
          </cell>
          <cell r="AH959" t="str">
            <v>KH157-DRN180M4A270-X#</v>
          </cell>
        </row>
        <row r="960">
          <cell r="A960" t="str">
            <v>MR000956</v>
          </cell>
          <cell r="B960" t="str">
            <v>MR</v>
          </cell>
          <cell r="C960">
            <v>18.5</v>
          </cell>
          <cell r="D960">
            <v>12.5</v>
          </cell>
          <cell r="E960" t="str">
            <v>KH157</v>
          </cell>
          <cell r="F960">
            <v>12100</v>
          </cell>
          <cell r="G960">
            <v>122.4</v>
          </cell>
          <cell r="H960">
            <v>1.5</v>
          </cell>
          <cell r="I960" t="str">
            <v>From M1B to M2B - 25°</v>
          </cell>
          <cell r="J960" t="str">
            <v>IE3</v>
          </cell>
          <cell r="K960" t="str">
            <v>277/480</v>
          </cell>
          <cell r="L960">
            <v>60</v>
          </cell>
          <cell r="M960" t="str">
            <v>59/29,5</v>
          </cell>
          <cell r="N960">
            <v>55</v>
          </cell>
          <cell r="O960" t="str">
            <v>F</v>
          </cell>
          <cell r="P960" t="str">
            <v>270°</v>
          </cell>
          <cell r="Q960" t="str">
            <v>TF</v>
          </cell>
          <cell r="R960" t="str">
            <v>V(VE)</v>
          </cell>
          <cell r="S960" t="str">
            <v>-</v>
          </cell>
          <cell r="T960" t="str">
            <v>-</v>
          </cell>
          <cell r="U960" t="str">
            <v>-</v>
          </cell>
          <cell r="V960" t="str">
            <v>FC</v>
          </cell>
          <cell r="W960" t="str">
            <v>-</v>
          </cell>
          <cell r="X960" t="str">
            <v>CLP (CC) VG 220 = -15° + 40°</v>
          </cell>
          <cell r="Y960" t="str">
            <v>KH157DRN180M4 /TF/V</v>
          </cell>
          <cell r="Z960" t="str">
            <v>SEW</v>
          </cell>
          <cell r="AB960" t="str">
            <v>-</v>
          </cell>
          <cell r="AF960">
            <v>15</v>
          </cell>
          <cell r="AG960" t="str">
            <v>DRN180M4</v>
          </cell>
          <cell r="AH960" t="str">
            <v>KH157-DRN180M4B270-X#</v>
          </cell>
        </row>
        <row r="961">
          <cell r="A961" t="str">
            <v>MR000957</v>
          </cell>
          <cell r="B961" t="str">
            <v>MR</v>
          </cell>
          <cell r="C961">
            <v>18.5</v>
          </cell>
          <cell r="D961">
            <v>13.333333333333334</v>
          </cell>
          <cell r="E961" t="str">
            <v>KH127</v>
          </cell>
          <cell r="F961">
            <v>10900</v>
          </cell>
          <cell r="G961">
            <v>110.18</v>
          </cell>
          <cell r="H961">
            <v>1.2</v>
          </cell>
          <cell r="I961" t="str">
            <v xml:space="preserve">M1A </v>
          </cell>
          <cell r="J961" t="str">
            <v>IE3</v>
          </cell>
          <cell r="K961" t="str">
            <v>277/480</v>
          </cell>
          <cell r="L961">
            <v>60</v>
          </cell>
          <cell r="M961" t="str">
            <v>59/29,5</v>
          </cell>
          <cell r="N961">
            <v>55</v>
          </cell>
          <cell r="O961" t="str">
            <v>F</v>
          </cell>
          <cell r="P961" t="str">
            <v>270°</v>
          </cell>
          <cell r="Q961" t="str">
            <v>TF</v>
          </cell>
          <cell r="R961" t="str">
            <v>V(VE)</v>
          </cell>
          <cell r="S961" t="str">
            <v>-</v>
          </cell>
          <cell r="T961" t="str">
            <v>-</v>
          </cell>
          <cell r="U961" t="str">
            <v>-</v>
          </cell>
          <cell r="V961" t="str">
            <v>FC</v>
          </cell>
          <cell r="W961" t="str">
            <v>-</v>
          </cell>
          <cell r="X961" t="str">
            <v>CLP (CC) VG 220 = -15° + 40°</v>
          </cell>
          <cell r="Y961" t="str">
            <v>KH127DRN180M4 /TF/V</v>
          </cell>
          <cell r="Z961" t="str">
            <v>SEW</v>
          </cell>
          <cell r="AB961" t="str">
            <v>-</v>
          </cell>
          <cell r="AF961">
            <v>16</v>
          </cell>
          <cell r="AG961" t="str">
            <v>DRN180M4</v>
          </cell>
          <cell r="AH961" t="str">
            <v>KH127-DRN180M4A270-X#</v>
          </cell>
        </row>
        <row r="962">
          <cell r="A962" t="str">
            <v>MR000958</v>
          </cell>
          <cell r="B962" t="str">
            <v>MR</v>
          </cell>
          <cell r="C962">
            <v>18.5</v>
          </cell>
          <cell r="D962">
            <v>13.333333333333334</v>
          </cell>
          <cell r="E962" t="str">
            <v>KH127</v>
          </cell>
          <cell r="F962">
            <v>10900</v>
          </cell>
          <cell r="G962">
            <v>110.18</v>
          </cell>
          <cell r="H962">
            <v>1.2</v>
          </cell>
          <cell r="I962" t="str">
            <v>M1B</v>
          </cell>
          <cell r="J962" t="str">
            <v>IE3</v>
          </cell>
          <cell r="K962" t="str">
            <v>277/480</v>
          </cell>
          <cell r="L962">
            <v>60</v>
          </cell>
          <cell r="M962" t="str">
            <v>59/29,5</v>
          </cell>
          <cell r="N962">
            <v>55</v>
          </cell>
          <cell r="O962" t="str">
            <v>F</v>
          </cell>
          <cell r="P962" t="str">
            <v>270°</v>
          </cell>
          <cell r="Q962" t="str">
            <v>TF</v>
          </cell>
          <cell r="R962" t="str">
            <v>V(VE)</v>
          </cell>
          <cell r="S962" t="str">
            <v>-</v>
          </cell>
          <cell r="T962" t="str">
            <v>-</v>
          </cell>
          <cell r="U962" t="str">
            <v>-</v>
          </cell>
          <cell r="V962" t="str">
            <v>FC</v>
          </cell>
          <cell r="W962" t="str">
            <v>-</v>
          </cell>
          <cell r="X962" t="str">
            <v>CLP (CC) VG 220 = -15° + 40°</v>
          </cell>
          <cell r="Y962" t="str">
            <v>KH127DRN180M4 /TF/V</v>
          </cell>
          <cell r="Z962" t="str">
            <v>SEW</v>
          </cell>
          <cell r="AB962" t="str">
            <v>-</v>
          </cell>
          <cell r="AF962">
            <v>16</v>
          </cell>
          <cell r="AG962" t="str">
            <v>DRN180M4</v>
          </cell>
          <cell r="AH962" t="str">
            <v>KH127-DRN180M4B270-X#</v>
          </cell>
        </row>
        <row r="963">
          <cell r="A963" t="str">
            <v>MR000959</v>
          </cell>
          <cell r="B963" t="str">
            <v>MR</v>
          </cell>
          <cell r="C963">
            <v>18.5</v>
          </cell>
          <cell r="D963">
            <v>13.333333333333334</v>
          </cell>
          <cell r="E963" t="str">
            <v>KH127</v>
          </cell>
          <cell r="F963">
            <v>10900</v>
          </cell>
          <cell r="G963">
            <v>110.18</v>
          </cell>
          <cell r="H963">
            <v>1.2</v>
          </cell>
          <cell r="I963" t="str">
            <v>From M1A to M2A - 35°</v>
          </cell>
          <cell r="J963" t="str">
            <v>IE3</v>
          </cell>
          <cell r="K963" t="str">
            <v>277/480</v>
          </cell>
          <cell r="L963">
            <v>60</v>
          </cell>
          <cell r="M963" t="str">
            <v>59/29,5</v>
          </cell>
          <cell r="N963">
            <v>55</v>
          </cell>
          <cell r="O963" t="str">
            <v>F</v>
          </cell>
          <cell r="P963" t="str">
            <v>270°</v>
          </cell>
          <cell r="Q963" t="str">
            <v>TF</v>
          </cell>
          <cell r="R963" t="str">
            <v>V(VE)</v>
          </cell>
          <cell r="S963" t="str">
            <v>-</v>
          </cell>
          <cell r="T963" t="str">
            <v>-</v>
          </cell>
          <cell r="U963" t="str">
            <v>-</v>
          </cell>
          <cell r="V963" t="str">
            <v>FC</v>
          </cell>
          <cell r="W963" t="str">
            <v>-</v>
          </cell>
          <cell r="X963" t="str">
            <v>CLP (CC) VG 220 = -15° + 40°</v>
          </cell>
          <cell r="Y963" t="str">
            <v>KH127DRN180M4 /TF/V</v>
          </cell>
          <cell r="Z963" t="str">
            <v>SEW</v>
          </cell>
          <cell r="AB963" t="str">
            <v>-</v>
          </cell>
          <cell r="AF963">
            <v>16</v>
          </cell>
          <cell r="AG963" t="str">
            <v>DRN180M4</v>
          </cell>
          <cell r="AH963" t="str">
            <v>KH127-DRN180M4A270-X#</v>
          </cell>
        </row>
        <row r="964">
          <cell r="A964" t="str">
            <v>MR000960</v>
          </cell>
          <cell r="B964" t="str">
            <v>MR</v>
          </cell>
          <cell r="C964">
            <v>18.5</v>
          </cell>
          <cell r="D964">
            <v>13.333333333333334</v>
          </cell>
          <cell r="E964" t="str">
            <v>KH127</v>
          </cell>
          <cell r="F964">
            <v>10900</v>
          </cell>
          <cell r="G964">
            <v>110.18</v>
          </cell>
          <cell r="H964">
            <v>1.2</v>
          </cell>
          <cell r="I964" t="str">
            <v>From M1B to M2B - 35°</v>
          </cell>
          <cell r="J964" t="str">
            <v>IE3</v>
          </cell>
          <cell r="K964" t="str">
            <v>277/480</v>
          </cell>
          <cell r="L964">
            <v>60</v>
          </cell>
          <cell r="M964" t="str">
            <v>59/29,5</v>
          </cell>
          <cell r="N964">
            <v>55</v>
          </cell>
          <cell r="O964" t="str">
            <v>F</v>
          </cell>
          <cell r="P964" t="str">
            <v>270°</v>
          </cell>
          <cell r="Q964" t="str">
            <v>TF</v>
          </cell>
          <cell r="R964" t="str">
            <v>V(VE)</v>
          </cell>
          <cell r="S964" t="str">
            <v>-</v>
          </cell>
          <cell r="T964" t="str">
            <v>-</v>
          </cell>
          <cell r="U964" t="str">
            <v>-</v>
          </cell>
          <cell r="V964" t="str">
            <v>FC</v>
          </cell>
          <cell r="W964" t="str">
            <v>-</v>
          </cell>
          <cell r="X964" t="str">
            <v>CLP (CC) VG 220 = -15° + 40°</v>
          </cell>
          <cell r="Y964" t="str">
            <v>KH127DRN180M4 /TF/V</v>
          </cell>
          <cell r="Z964" t="str">
            <v>SEW</v>
          </cell>
          <cell r="AB964" t="str">
            <v>-</v>
          </cell>
          <cell r="AF964">
            <v>16</v>
          </cell>
          <cell r="AG964" t="str">
            <v>DRN180M4</v>
          </cell>
          <cell r="AH964" t="str">
            <v>KH127-DRN180M4B270-X#</v>
          </cell>
        </row>
        <row r="965">
          <cell r="A965" t="str">
            <v>MR000961</v>
          </cell>
          <cell r="B965" t="str">
            <v>MR</v>
          </cell>
          <cell r="C965">
            <v>9.1999999999999993</v>
          </cell>
          <cell r="D965">
            <v>50.833333333333336</v>
          </cell>
          <cell r="E965" t="str">
            <v>FH87</v>
          </cell>
          <cell r="F965">
            <v>1440</v>
          </cell>
          <cell r="G965">
            <v>29.2</v>
          </cell>
          <cell r="H965">
            <v>1.75</v>
          </cell>
          <cell r="I965" t="str">
            <v>From M1 to M4 - 10°</v>
          </cell>
          <cell r="J965" t="str">
            <v>IE3</v>
          </cell>
          <cell r="K965" t="str">
            <v>277/480</v>
          </cell>
          <cell r="L965">
            <v>60</v>
          </cell>
          <cell r="M965" t="str">
            <v>33/16,5</v>
          </cell>
          <cell r="N965">
            <v>55</v>
          </cell>
          <cell r="O965" t="str">
            <v>F</v>
          </cell>
          <cell r="P965" t="str">
            <v>270°</v>
          </cell>
          <cell r="Q965" t="str">
            <v>-</v>
          </cell>
          <cell r="R965" t="str">
            <v>-</v>
          </cell>
          <cell r="S965" t="str">
            <v>-</v>
          </cell>
          <cell r="T965" t="str">
            <v>-</v>
          </cell>
          <cell r="U965" t="str">
            <v>G</v>
          </cell>
          <cell r="V965" t="str">
            <v>D</v>
          </cell>
          <cell r="W965" t="str">
            <v>-</v>
          </cell>
          <cell r="X965" t="str">
            <v>CLP (CC) VG 220 = -15° + 40°</v>
          </cell>
          <cell r="Y965" t="str">
            <v>FH87/G DRN132L4</v>
          </cell>
          <cell r="Z965" t="str">
            <v>SEW</v>
          </cell>
          <cell r="AB965" t="str">
            <v>-</v>
          </cell>
          <cell r="AF965">
            <v>61</v>
          </cell>
          <cell r="AG965" t="str">
            <v>DRN132L4</v>
          </cell>
          <cell r="AH965" t="str">
            <v>FH87G-DRN132L4270-X</v>
          </cell>
        </row>
        <row r="966">
          <cell r="A966" t="str">
            <v>MR000962</v>
          </cell>
          <cell r="B966" t="str">
            <v>MR</v>
          </cell>
          <cell r="C966">
            <v>0.75</v>
          </cell>
          <cell r="D966">
            <v>21.666666666666668</v>
          </cell>
          <cell r="E966" t="str">
            <v>FA47</v>
          </cell>
          <cell r="F966">
            <v>275</v>
          </cell>
          <cell r="G966">
            <v>68.09</v>
          </cell>
          <cell r="H966">
            <v>1.45</v>
          </cell>
          <cell r="I966" t="str">
            <v>From M6 to M1 - 10°</v>
          </cell>
          <cell r="J966" t="str">
            <v>IE3</v>
          </cell>
          <cell r="K966" t="str">
            <v>277/480</v>
          </cell>
          <cell r="L966">
            <v>60</v>
          </cell>
          <cell r="M966" t="str">
            <v>3,1/1,56</v>
          </cell>
          <cell r="N966">
            <v>55</v>
          </cell>
          <cell r="O966" t="str">
            <v>F</v>
          </cell>
          <cell r="P966" t="str">
            <v>270°</v>
          </cell>
          <cell r="Q966" t="str">
            <v>-</v>
          </cell>
          <cell r="R966" t="str">
            <v>-</v>
          </cell>
          <cell r="S966" t="str">
            <v>-</v>
          </cell>
          <cell r="T966" t="str">
            <v>BE</v>
          </cell>
          <cell r="U966" t="str">
            <v>G</v>
          </cell>
          <cell r="V966" t="str">
            <v>D+R</v>
          </cell>
          <cell r="W966" t="str">
            <v>-</v>
          </cell>
          <cell r="X966" t="str">
            <v>CLP (CC) VG 220 = -15° + 40°</v>
          </cell>
          <cell r="Y966" t="str">
            <v>FA47/G DRN80M4 /BE</v>
          </cell>
          <cell r="Z966" t="str">
            <v>SEW</v>
          </cell>
          <cell r="AB966" t="str">
            <v>-</v>
          </cell>
          <cell r="AE966" t="str">
            <v>Rectifier for brake in the terminal box</v>
          </cell>
          <cell r="AF966">
            <v>26</v>
          </cell>
          <cell r="AG966" t="str">
            <v>DRN80M4</v>
          </cell>
          <cell r="AH966" t="str">
            <v>FA47G-DRN80M4270-X</v>
          </cell>
        </row>
        <row r="967">
          <cell r="A967" t="str">
            <v>MR000963</v>
          </cell>
          <cell r="B967" t="str">
            <v>MR</v>
          </cell>
          <cell r="C967">
            <v>7.5</v>
          </cell>
          <cell r="D967">
            <v>51.666666666666671</v>
          </cell>
          <cell r="E967" t="str">
            <v>FH87</v>
          </cell>
          <cell r="F967">
            <v>1160</v>
          </cell>
          <cell r="G967">
            <v>28.78</v>
          </cell>
          <cell r="H967">
            <v>2.1</v>
          </cell>
          <cell r="I967" t="str">
            <v>From M1 to M4 - 10°</v>
          </cell>
          <cell r="J967" t="str">
            <v>IE3</v>
          </cell>
          <cell r="K967" t="str">
            <v>277/480</v>
          </cell>
          <cell r="L967">
            <v>60</v>
          </cell>
          <cell r="M967" t="str">
            <v>26,5/13,3</v>
          </cell>
          <cell r="N967">
            <v>55</v>
          </cell>
          <cell r="O967" t="str">
            <v>F</v>
          </cell>
          <cell r="P967" t="str">
            <v>270°</v>
          </cell>
          <cell r="Q967" t="str">
            <v>-</v>
          </cell>
          <cell r="R967" t="str">
            <v>-</v>
          </cell>
          <cell r="S967" t="str">
            <v>-</v>
          </cell>
          <cell r="T967" t="str">
            <v>-</v>
          </cell>
          <cell r="U967" t="str">
            <v>G</v>
          </cell>
          <cell r="V967" t="str">
            <v>D</v>
          </cell>
          <cell r="W967" t="str">
            <v>-</v>
          </cell>
          <cell r="X967" t="str">
            <v>CLP (CC) VG 220 = -15° + 40°</v>
          </cell>
          <cell r="Y967" t="str">
            <v>FH87/G DRN132M4</v>
          </cell>
          <cell r="Z967" t="str">
            <v>SEW</v>
          </cell>
          <cell r="AB967" t="str">
            <v>-</v>
          </cell>
          <cell r="AF967">
            <v>62.000000000000007</v>
          </cell>
          <cell r="AG967" t="str">
            <v>DRN132M4</v>
          </cell>
          <cell r="AH967" t="str">
            <v>FH87G-DRN132M4270-X</v>
          </cell>
        </row>
        <row r="968">
          <cell r="A968" t="str">
            <v>MR000964</v>
          </cell>
          <cell r="B968" t="str">
            <v>MR</v>
          </cell>
          <cell r="C968">
            <v>5.5</v>
          </cell>
          <cell r="D968">
            <v>11.666666666666668</v>
          </cell>
          <cell r="E968" t="str">
            <v>KH97</v>
          </cell>
          <cell r="F968">
            <v>3680</v>
          </cell>
          <cell r="G968">
            <v>123.93</v>
          </cell>
          <cell r="H968">
            <v>1.1499999999999999</v>
          </cell>
          <cell r="I968" t="str">
            <v>M1A</v>
          </cell>
          <cell r="J968" t="str">
            <v>IE3</v>
          </cell>
          <cell r="K968" t="str">
            <v>277/480</v>
          </cell>
          <cell r="L968">
            <v>60</v>
          </cell>
          <cell r="M968" t="str">
            <v>15,9/9,2</v>
          </cell>
          <cell r="N968">
            <v>55</v>
          </cell>
          <cell r="O968" t="str">
            <v>F</v>
          </cell>
          <cell r="P968" t="str">
            <v>270°</v>
          </cell>
          <cell r="Q968" t="str">
            <v>-</v>
          </cell>
          <cell r="R968" t="str">
            <v>-</v>
          </cell>
          <cell r="S968" t="str">
            <v>-</v>
          </cell>
          <cell r="T968" t="str">
            <v>-</v>
          </cell>
          <cell r="U968" t="str">
            <v>-</v>
          </cell>
          <cell r="V968" t="str">
            <v>SS</v>
          </cell>
          <cell r="W968" t="str">
            <v>-</v>
          </cell>
          <cell r="X968" t="str">
            <v>CLP (CC) VG 220 = -15° + 40°</v>
          </cell>
          <cell r="Y968" t="str">
            <v>KH97DRN132S4</v>
          </cell>
          <cell r="Z968" t="str">
            <v>SEW</v>
          </cell>
          <cell r="AB968" t="str">
            <v>-</v>
          </cell>
          <cell r="AF968">
            <v>14.000000000000002</v>
          </cell>
          <cell r="AG968" t="str">
            <v>DRN132S4</v>
          </cell>
          <cell r="AH968" t="str">
            <v>KH97-DRN132S4A270-X</v>
          </cell>
        </row>
        <row r="969">
          <cell r="A969" t="str">
            <v>MR000965</v>
          </cell>
          <cell r="B969" t="str">
            <v>MR</v>
          </cell>
          <cell r="C969">
            <v>5.5</v>
          </cell>
          <cell r="D969">
            <v>11.666666666666668</v>
          </cell>
          <cell r="E969" t="str">
            <v>KH97</v>
          </cell>
          <cell r="F969">
            <v>3680</v>
          </cell>
          <cell r="G969">
            <v>123.93</v>
          </cell>
          <cell r="H969">
            <v>1.1499999999999999</v>
          </cell>
          <cell r="I969" t="str">
            <v>M1B</v>
          </cell>
          <cell r="J969" t="str">
            <v>IE3</v>
          </cell>
          <cell r="K969" t="str">
            <v>277/480</v>
          </cell>
          <cell r="L969">
            <v>60</v>
          </cell>
          <cell r="M969" t="str">
            <v>15,9/9,2</v>
          </cell>
          <cell r="N969">
            <v>55</v>
          </cell>
          <cell r="O969" t="str">
            <v>F</v>
          </cell>
          <cell r="P969" t="str">
            <v>270°</v>
          </cell>
          <cell r="Q969" t="str">
            <v>-</v>
          </cell>
          <cell r="R969" t="str">
            <v>-</v>
          </cell>
          <cell r="S969" t="str">
            <v>-</v>
          </cell>
          <cell r="T969" t="str">
            <v>-</v>
          </cell>
          <cell r="U969" t="str">
            <v>-</v>
          </cell>
          <cell r="V969" t="str">
            <v>SS</v>
          </cell>
          <cell r="W969" t="str">
            <v>-</v>
          </cell>
          <cell r="X969" t="str">
            <v>CLP (CC) VG 220 = -15° + 40°</v>
          </cell>
          <cell r="Y969" t="str">
            <v>KH97DRN132S4</v>
          </cell>
          <cell r="Z969" t="str">
            <v>SEW</v>
          </cell>
          <cell r="AB969" t="str">
            <v>-</v>
          </cell>
          <cell r="AF969">
            <v>14.000000000000002</v>
          </cell>
          <cell r="AG969" t="str">
            <v>DRN132S4</v>
          </cell>
          <cell r="AH969" t="str">
            <v>KH97-DRN132S4B270-X</v>
          </cell>
        </row>
        <row r="970">
          <cell r="A970" t="str">
            <v>MR000966</v>
          </cell>
          <cell r="B970" t="str">
            <v>MR</v>
          </cell>
          <cell r="C970">
            <v>15</v>
          </cell>
          <cell r="D970">
            <v>10.833333333333334</v>
          </cell>
          <cell r="E970" t="str">
            <v>KH127</v>
          </cell>
          <cell r="F970">
            <v>10900</v>
          </cell>
          <cell r="G970">
            <v>136.13999999999999</v>
          </cell>
          <cell r="H970">
            <v>1.2</v>
          </cell>
          <cell r="I970" t="str">
            <v>From M1A to M2A - 35°</v>
          </cell>
          <cell r="J970" t="str">
            <v>IE3</v>
          </cell>
          <cell r="K970" t="str">
            <v>277/480</v>
          </cell>
          <cell r="L970">
            <v>60</v>
          </cell>
          <cell r="M970" t="str">
            <v>50/25</v>
          </cell>
          <cell r="N970">
            <v>55</v>
          </cell>
          <cell r="O970" t="str">
            <v>F</v>
          </cell>
          <cell r="P970" t="str">
            <v>270°</v>
          </cell>
          <cell r="Q970" t="str">
            <v>TF</v>
          </cell>
          <cell r="R970" t="str">
            <v>V(VE)</v>
          </cell>
          <cell r="S970" t="str">
            <v>-</v>
          </cell>
          <cell r="T970" t="str">
            <v>-</v>
          </cell>
          <cell r="U970" t="str">
            <v>-</v>
          </cell>
          <cell r="V970" t="str">
            <v>FC</v>
          </cell>
          <cell r="W970" t="str">
            <v>-</v>
          </cell>
          <cell r="X970" t="str">
            <v>CLP (CC) VG 220 = -15° + 40°</v>
          </cell>
          <cell r="Y970" t="str">
            <v>KH127DRN160L4 /TF/V</v>
          </cell>
          <cell r="Z970" t="str">
            <v>SEW</v>
          </cell>
          <cell r="AB970" t="str">
            <v>-</v>
          </cell>
          <cell r="AF970">
            <v>13</v>
          </cell>
          <cell r="AG970" t="str">
            <v>DRN160L4</v>
          </cell>
          <cell r="AH970" t="str">
            <v>KH127-DRN160L4A270-X#</v>
          </cell>
        </row>
        <row r="971">
          <cell r="A971" t="str">
            <v>MR000967</v>
          </cell>
          <cell r="B971" t="str">
            <v>MR</v>
          </cell>
          <cell r="C971">
            <v>15</v>
          </cell>
          <cell r="D971">
            <v>10.833333333333334</v>
          </cell>
          <cell r="E971" t="str">
            <v>KH127</v>
          </cell>
          <cell r="F971">
            <v>10900</v>
          </cell>
          <cell r="G971">
            <v>136.13999999999999</v>
          </cell>
          <cell r="H971">
            <v>1.2</v>
          </cell>
          <cell r="I971" t="str">
            <v>From M1B to M2B - 35°</v>
          </cell>
          <cell r="J971" t="str">
            <v>IE3</v>
          </cell>
          <cell r="K971" t="str">
            <v>277/480</v>
          </cell>
          <cell r="L971">
            <v>60</v>
          </cell>
          <cell r="M971" t="str">
            <v>50/25</v>
          </cell>
          <cell r="N971">
            <v>55</v>
          </cell>
          <cell r="O971" t="str">
            <v>F</v>
          </cell>
          <cell r="P971" t="str">
            <v>270°</v>
          </cell>
          <cell r="Q971" t="str">
            <v>TF</v>
          </cell>
          <cell r="R971" t="str">
            <v>V(VE)</v>
          </cell>
          <cell r="S971" t="str">
            <v>-</v>
          </cell>
          <cell r="T971" t="str">
            <v>-</v>
          </cell>
          <cell r="U971" t="str">
            <v>-</v>
          </cell>
          <cell r="V971" t="str">
            <v>FC</v>
          </cell>
          <cell r="W971" t="str">
            <v>-</v>
          </cell>
          <cell r="X971" t="str">
            <v>CLP (CC) VG 220 = -15° + 40°</v>
          </cell>
          <cell r="Y971" t="str">
            <v>KH127DRN160L4 /TF/V</v>
          </cell>
          <cell r="Z971" t="str">
            <v>SEW</v>
          </cell>
          <cell r="AB971" t="str">
            <v>-</v>
          </cell>
          <cell r="AF971">
            <v>13</v>
          </cell>
          <cell r="AG971" t="str">
            <v>DRN160L4</v>
          </cell>
          <cell r="AH971" t="str">
            <v>KH127-DRN160L4B270-X#</v>
          </cell>
        </row>
        <row r="972">
          <cell r="A972" t="str">
            <v>MR000968</v>
          </cell>
          <cell r="B972" t="str">
            <v>MR</v>
          </cell>
          <cell r="C972">
            <v>11</v>
          </cell>
          <cell r="D972">
            <v>50.833333333333336</v>
          </cell>
          <cell r="E972" t="str">
            <v>FH87</v>
          </cell>
          <cell r="F972">
            <v>1720</v>
          </cell>
          <cell r="G972">
            <v>29.2</v>
          </cell>
          <cell r="H972">
            <v>1.45</v>
          </cell>
          <cell r="I972" t="str">
            <v>From M1 to M4 - 20°</v>
          </cell>
          <cell r="J972" t="str">
            <v>IE3</v>
          </cell>
          <cell r="K972" t="str">
            <v>277/480</v>
          </cell>
          <cell r="L972">
            <v>60</v>
          </cell>
          <cell r="M972" t="str">
            <v>32/18,5</v>
          </cell>
          <cell r="N972">
            <v>55</v>
          </cell>
          <cell r="O972" t="str">
            <v>F</v>
          </cell>
          <cell r="P972" t="str">
            <v>270°</v>
          </cell>
          <cell r="Q972" t="str">
            <v>-</v>
          </cell>
          <cell r="R972" t="str">
            <v>-</v>
          </cell>
          <cell r="S972" t="str">
            <v>-</v>
          </cell>
          <cell r="T972" t="str">
            <v>-</v>
          </cell>
          <cell r="U972" t="str">
            <v>G</v>
          </cell>
          <cell r="V972" t="str">
            <v>D</v>
          </cell>
          <cell r="W972" t="str">
            <v>-</v>
          </cell>
          <cell r="X972" t="str">
            <v>CLP (CC) VG 220 = -15° + 40°</v>
          </cell>
          <cell r="Y972" t="str">
            <v>FH87/G DRN160M4</v>
          </cell>
          <cell r="Z972" t="str">
            <v>SEW</v>
          </cell>
          <cell r="AB972" t="str">
            <v>-</v>
          </cell>
          <cell r="AF972">
            <v>61</v>
          </cell>
          <cell r="AG972" t="str">
            <v>DRN160M4</v>
          </cell>
          <cell r="AH972" t="str">
            <v>FH87G-DRN160M4270-X</v>
          </cell>
        </row>
        <row r="973">
          <cell r="A973" t="str">
            <v>MR000969</v>
          </cell>
          <cell r="B973" t="str">
            <v>MR</v>
          </cell>
          <cell r="C973">
            <v>15</v>
          </cell>
          <cell r="D973">
            <v>13.333333333333334</v>
          </cell>
          <cell r="E973" t="str">
            <v>KH127</v>
          </cell>
          <cell r="F973">
            <v>8880</v>
          </cell>
          <cell r="G973">
            <v>110.18</v>
          </cell>
          <cell r="H973">
            <v>1.45</v>
          </cell>
          <cell r="I973" t="str">
            <v>From M1B to M2B - 20°</v>
          </cell>
          <cell r="J973" t="str">
            <v>IE3</v>
          </cell>
          <cell r="K973" t="str">
            <v>277/480</v>
          </cell>
          <cell r="L973">
            <v>60</v>
          </cell>
          <cell r="M973" t="str">
            <v>58/29</v>
          </cell>
          <cell r="N973">
            <v>55</v>
          </cell>
          <cell r="O973" t="str">
            <v>F</v>
          </cell>
          <cell r="P973" t="str">
            <v>270°</v>
          </cell>
          <cell r="Q973" t="str">
            <v>TF</v>
          </cell>
          <cell r="R973" t="str">
            <v>V(VE)</v>
          </cell>
          <cell r="S973" t="str">
            <v>-</v>
          </cell>
          <cell r="T973" t="str">
            <v>-</v>
          </cell>
          <cell r="U973" t="str">
            <v>-</v>
          </cell>
          <cell r="V973" t="str">
            <v>FC</v>
          </cell>
          <cell r="W973" t="str">
            <v>-</v>
          </cell>
          <cell r="X973" t="str">
            <v>CLP (CC) VG 220 = -15° + 40°</v>
          </cell>
          <cell r="Y973" t="str">
            <v>KH127DRN160L4 /TF/V</v>
          </cell>
          <cell r="Z973" t="str">
            <v>SEW</v>
          </cell>
          <cell r="AB973" t="str">
            <v>-</v>
          </cell>
          <cell r="AF973">
            <v>16</v>
          </cell>
          <cell r="AG973" t="str">
            <v>DRN160L4</v>
          </cell>
          <cell r="AH973" t="str">
            <v>KH127-DRN160L4B270-X#</v>
          </cell>
        </row>
        <row r="974">
          <cell r="A974" t="str">
            <v>MR000970</v>
          </cell>
          <cell r="B974" t="str">
            <v>MR</v>
          </cell>
          <cell r="C974">
            <v>15</v>
          </cell>
          <cell r="D974">
            <v>13.333333333333334</v>
          </cell>
          <cell r="E974" t="str">
            <v>KH127</v>
          </cell>
          <cell r="F974">
            <v>8880</v>
          </cell>
          <cell r="G974">
            <v>110.18</v>
          </cell>
          <cell r="H974">
            <v>1.45</v>
          </cell>
          <cell r="I974" t="str">
            <v>From M1A to M2A - 45°</v>
          </cell>
          <cell r="J974" t="str">
            <v>IE3</v>
          </cell>
          <cell r="K974" t="str">
            <v>277/480</v>
          </cell>
          <cell r="L974">
            <v>60</v>
          </cell>
          <cell r="M974" t="str">
            <v>58/29</v>
          </cell>
          <cell r="N974">
            <v>55</v>
          </cell>
          <cell r="O974" t="str">
            <v>F</v>
          </cell>
          <cell r="P974" t="str">
            <v>270°</v>
          </cell>
          <cell r="Q974" t="str">
            <v>TF</v>
          </cell>
          <cell r="R974" t="str">
            <v>V(VE)</v>
          </cell>
          <cell r="S974" t="str">
            <v>-</v>
          </cell>
          <cell r="T974" t="str">
            <v>-</v>
          </cell>
          <cell r="U974" t="str">
            <v>-</v>
          </cell>
          <cell r="V974" t="str">
            <v>FC</v>
          </cell>
          <cell r="W974" t="str">
            <v>-</v>
          </cell>
          <cell r="X974" t="str">
            <v>CLP (CC) VG 220 = -15° + 40°</v>
          </cell>
          <cell r="Y974" t="str">
            <v>KH127DRN160L4 /TF/V</v>
          </cell>
          <cell r="Z974" t="str">
            <v>SEW</v>
          </cell>
          <cell r="AB974" t="str">
            <v>-</v>
          </cell>
          <cell r="AF974">
            <v>16</v>
          </cell>
          <cell r="AG974" t="str">
            <v>DRN160L4</v>
          </cell>
          <cell r="AH974" t="str">
            <v>KH127-DRN160L4A270-X#</v>
          </cell>
        </row>
        <row r="975">
          <cell r="A975" t="str">
            <v>MR000971</v>
          </cell>
          <cell r="B975" t="str">
            <v>MR</v>
          </cell>
          <cell r="C975">
            <v>15</v>
          </cell>
          <cell r="D975">
            <v>13.333333333333334</v>
          </cell>
          <cell r="E975" t="str">
            <v>KH127</v>
          </cell>
          <cell r="F975">
            <v>8880</v>
          </cell>
          <cell r="G975">
            <v>110.18</v>
          </cell>
          <cell r="H975">
            <v>1.45</v>
          </cell>
          <cell r="I975" t="str">
            <v>From M1B to M2B - 45°</v>
          </cell>
          <cell r="J975" t="str">
            <v>IE3</v>
          </cell>
          <cell r="K975" t="str">
            <v>277/480</v>
          </cell>
          <cell r="L975">
            <v>60</v>
          </cell>
          <cell r="M975" t="str">
            <v>58/29</v>
          </cell>
          <cell r="N975">
            <v>55</v>
          </cell>
          <cell r="O975" t="str">
            <v>F</v>
          </cell>
          <cell r="P975" t="str">
            <v>270°</v>
          </cell>
          <cell r="Q975" t="str">
            <v>TF</v>
          </cell>
          <cell r="R975" t="str">
            <v>V(VE)</v>
          </cell>
          <cell r="S975" t="str">
            <v>-</v>
          </cell>
          <cell r="T975" t="str">
            <v>-</v>
          </cell>
          <cell r="U975" t="str">
            <v>-</v>
          </cell>
          <cell r="V975" t="str">
            <v>FC</v>
          </cell>
          <cell r="W975" t="str">
            <v>-</v>
          </cell>
          <cell r="X975" t="str">
            <v>CLP (CC) VG 220 = -15° + 40°</v>
          </cell>
          <cell r="Y975" t="str">
            <v>KH127DRN160L4 /TF/V</v>
          </cell>
          <cell r="Z975" t="str">
            <v>SEW</v>
          </cell>
          <cell r="AB975" t="str">
            <v>-</v>
          </cell>
          <cell r="AF975">
            <v>16</v>
          </cell>
          <cell r="AG975" t="str">
            <v>DRN160L4</v>
          </cell>
          <cell r="AH975" t="str">
            <v>KH127-DRN160L4B270-X#</v>
          </cell>
        </row>
        <row r="976">
          <cell r="A976" t="str">
            <v>MR000972</v>
          </cell>
          <cell r="B976" t="str">
            <v>MR</v>
          </cell>
          <cell r="C976">
            <v>11</v>
          </cell>
          <cell r="D976">
            <v>50.833333333333336</v>
          </cell>
          <cell r="E976" t="str">
            <v>FH87</v>
          </cell>
          <cell r="F976">
            <v>1720</v>
          </cell>
          <cell r="G976">
            <v>29.2</v>
          </cell>
          <cell r="H976">
            <v>1.45</v>
          </cell>
          <cell r="I976" t="str">
            <v>M1</v>
          </cell>
          <cell r="J976" t="str">
            <v>IE3</v>
          </cell>
          <cell r="K976" t="str">
            <v>277/480</v>
          </cell>
          <cell r="L976">
            <v>60</v>
          </cell>
          <cell r="M976" t="str">
            <v>37/18,5</v>
          </cell>
          <cell r="N976">
            <v>55</v>
          </cell>
          <cell r="O976" t="str">
            <v>F</v>
          </cell>
          <cell r="P976" t="str">
            <v>270°</v>
          </cell>
          <cell r="Q976" t="str">
            <v>-</v>
          </cell>
          <cell r="R976" t="str">
            <v>-</v>
          </cell>
          <cell r="S976" t="str">
            <v>-</v>
          </cell>
          <cell r="T976" t="str">
            <v>-</v>
          </cell>
          <cell r="U976" t="str">
            <v>G</v>
          </cell>
          <cell r="V976" t="str">
            <v>D+R</v>
          </cell>
          <cell r="W976" t="str">
            <v>-</v>
          </cell>
          <cell r="X976" t="str">
            <v>CLP (CC) VG 220 = -15° + 40°</v>
          </cell>
          <cell r="Y976" t="str">
            <v>FH87/G DRN160M4</v>
          </cell>
          <cell r="Z976" t="str">
            <v>SEW</v>
          </cell>
          <cell r="AB976" t="str">
            <v>-</v>
          </cell>
          <cell r="AF976">
            <v>61</v>
          </cell>
          <cell r="AG976" t="str">
            <v>DRN160M4</v>
          </cell>
          <cell r="AH976" t="str">
            <v>FH87G-DRN160M4270-X</v>
          </cell>
        </row>
        <row r="977">
          <cell r="A977" t="str">
            <v>MR000973</v>
          </cell>
          <cell r="B977" t="str">
            <v>MR</v>
          </cell>
          <cell r="C977">
            <v>7.5</v>
          </cell>
          <cell r="D977">
            <v>22.5</v>
          </cell>
          <cell r="E977" t="str">
            <v>FH97</v>
          </cell>
          <cell r="F977">
            <v>2640</v>
          </cell>
          <cell r="G977">
            <v>65.47</v>
          </cell>
          <cell r="H977">
            <v>1.65</v>
          </cell>
          <cell r="I977" t="str">
            <v>M1</v>
          </cell>
          <cell r="J977" t="str">
            <v>IE3</v>
          </cell>
          <cell r="K977" t="str">
            <v>277/480</v>
          </cell>
          <cell r="L977">
            <v>60</v>
          </cell>
          <cell r="M977" t="str">
            <v>26,5/13,3</v>
          </cell>
          <cell r="N977">
            <v>55</v>
          </cell>
          <cell r="O977" t="str">
            <v>F</v>
          </cell>
          <cell r="P977" t="str">
            <v>270°</v>
          </cell>
          <cell r="Q977" t="str">
            <v>TF</v>
          </cell>
          <cell r="R977" t="str">
            <v>V(VE)</v>
          </cell>
          <cell r="S977" t="str">
            <v>-</v>
          </cell>
          <cell r="T977" t="str">
            <v>-</v>
          </cell>
          <cell r="U977" t="str">
            <v>G</v>
          </cell>
          <cell r="V977" t="str">
            <v>FC</v>
          </cell>
          <cell r="W977" t="str">
            <v>-</v>
          </cell>
          <cell r="X977" t="str">
            <v>CLP (CC) VG 220 = -15° + 40°</v>
          </cell>
          <cell r="Y977" t="str">
            <v>FH97/G DRN132M4 /TF/V</v>
          </cell>
          <cell r="Z977" t="str">
            <v>SEW</v>
          </cell>
          <cell r="AB977" t="str">
            <v>-</v>
          </cell>
          <cell r="AF977">
            <v>27</v>
          </cell>
          <cell r="AG977" t="str">
            <v>DRN132M4</v>
          </cell>
          <cell r="AH977" t="str">
            <v>FH97G-DRN132M4270-X#</v>
          </cell>
        </row>
        <row r="978">
          <cell r="A978" t="str">
            <v>MR000974</v>
          </cell>
          <cell r="B978" t="str">
            <v>MR</v>
          </cell>
          <cell r="C978">
            <v>15</v>
          </cell>
          <cell r="D978">
            <v>43.333333333333336</v>
          </cell>
          <cell r="E978" t="str">
            <v>FH97</v>
          </cell>
          <cell r="F978">
            <v>2730</v>
          </cell>
          <cell r="G978">
            <v>33.909999999999997</v>
          </cell>
          <cell r="H978">
            <v>1.55</v>
          </cell>
          <cell r="I978" t="str">
            <v>M1</v>
          </cell>
          <cell r="J978" t="str">
            <v>IE3</v>
          </cell>
          <cell r="K978" t="str">
            <v>277/480</v>
          </cell>
          <cell r="L978">
            <v>60</v>
          </cell>
          <cell r="M978" t="str">
            <v>50/25</v>
          </cell>
          <cell r="N978">
            <v>55</v>
          </cell>
          <cell r="O978" t="str">
            <v>F</v>
          </cell>
          <cell r="P978" t="str">
            <v>270°</v>
          </cell>
          <cell r="Q978" t="str">
            <v>-</v>
          </cell>
          <cell r="R978" t="str">
            <v>-</v>
          </cell>
          <cell r="S978" t="str">
            <v>-</v>
          </cell>
          <cell r="T978" t="str">
            <v>-</v>
          </cell>
          <cell r="U978" t="str">
            <v>G</v>
          </cell>
          <cell r="V978" t="str">
            <v>D+R</v>
          </cell>
          <cell r="W978" t="str">
            <v>-</v>
          </cell>
          <cell r="X978" t="str">
            <v>CLP (CC) VG 220 = -15° + 40°</v>
          </cell>
          <cell r="Y978" t="str">
            <v>FH97/G DRN160L4</v>
          </cell>
          <cell r="Z978" t="str">
            <v>SEW</v>
          </cell>
          <cell r="AB978" t="str">
            <v>-</v>
          </cell>
          <cell r="AF978">
            <v>52</v>
          </cell>
          <cell r="AG978" t="str">
            <v>DRN160L4</v>
          </cell>
          <cell r="AH978" t="str">
            <v>FH97G-DRN160L4270-X</v>
          </cell>
        </row>
        <row r="979">
          <cell r="A979" t="str">
            <v>MR000975</v>
          </cell>
          <cell r="B979" t="str">
            <v>MR</v>
          </cell>
          <cell r="C979">
            <v>15</v>
          </cell>
          <cell r="D979">
            <v>13.333333333333334</v>
          </cell>
          <cell r="E979" t="str">
            <v>KH127</v>
          </cell>
          <cell r="F979">
            <v>8880</v>
          </cell>
          <cell r="G979">
            <v>110.18</v>
          </cell>
          <cell r="H979">
            <v>1.45</v>
          </cell>
          <cell r="I979" t="str">
            <v>From M1A to M2A - 30°</v>
          </cell>
          <cell r="J979" t="str">
            <v>IE3</v>
          </cell>
          <cell r="K979" t="str">
            <v>277/480</v>
          </cell>
          <cell r="L979">
            <v>60</v>
          </cell>
          <cell r="M979" t="str">
            <v>58/29</v>
          </cell>
          <cell r="N979">
            <v>55</v>
          </cell>
          <cell r="O979" t="str">
            <v>F</v>
          </cell>
          <cell r="P979" t="str">
            <v>270°</v>
          </cell>
          <cell r="Q979" t="str">
            <v>TF</v>
          </cell>
          <cell r="R979" t="str">
            <v>V(VE)</v>
          </cell>
          <cell r="S979" t="str">
            <v>-</v>
          </cell>
          <cell r="T979" t="str">
            <v>-</v>
          </cell>
          <cell r="U979" t="str">
            <v>-</v>
          </cell>
          <cell r="V979" t="str">
            <v>FC</v>
          </cell>
          <cell r="W979" t="str">
            <v>-</v>
          </cell>
          <cell r="X979" t="str">
            <v>CLP (CC) VG 220 = -15° + 40°</v>
          </cell>
          <cell r="Y979" t="str">
            <v>KH127DRN160L4 /TF/V</v>
          </cell>
          <cell r="Z979" t="str">
            <v>SEW</v>
          </cell>
          <cell r="AB979" t="str">
            <v>-</v>
          </cell>
          <cell r="AF979">
            <v>16</v>
          </cell>
          <cell r="AG979" t="str">
            <v>DRN160L4</v>
          </cell>
          <cell r="AH979" t="str">
            <v>KH127-DRN160L4A270-X#</v>
          </cell>
        </row>
        <row r="980">
          <cell r="A980" t="str">
            <v>MR000976</v>
          </cell>
          <cell r="B980" t="str">
            <v>MR</v>
          </cell>
          <cell r="C980">
            <v>15</v>
          </cell>
          <cell r="D980">
            <v>13.333333333333334</v>
          </cell>
          <cell r="E980" t="str">
            <v>KH127</v>
          </cell>
          <cell r="F980">
            <v>8880</v>
          </cell>
          <cell r="G980">
            <v>110.18</v>
          </cell>
          <cell r="H980">
            <v>1.45</v>
          </cell>
          <cell r="I980" t="str">
            <v>From M1B to M2B - 30°</v>
          </cell>
          <cell r="J980" t="str">
            <v>IE3</v>
          </cell>
          <cell r="K980" t="str">
            <v>277/480</v>
          </cell>
          <cell r="L980">
            <v>60</v>
          </cell>
          <cell r="M980" t="str">
            <v>58/29</v>
          </cell>
          <cell r="N980">
            <v>55</v>
          </cell>
          <cell r="O980" t="str">
            <v>F</v>
          </cell>
          <cell r="P980" t="str">
            <v>270°</v>
          </cell>
          <cell r="Q980" t="str">
            <v>TF</v>
          </cell>
          <cell r="R980" t="str">
            <v>V(VE)</v>
          </cell>
          <cell r="S980" t="str">
            <v>-</v>
          </cell>
          <cell r="T980" t="str">
            <v>-</v>
          </cell>
          <cell r="U980" t="str">
            <v>-</v>
          </cell>
          <cell r="V980" t="str">
            <v>FC</v>
          </cell>
          <cell r="W980" t="str">
            <v>-</v>
          </cell>
          <cell r="X980" t="str">
            <v>CLP (CC) VG 220 = -15° + 40°</v>
          </cell>
          <cell r="Y980" t="str">
            <v>KH127DRN160L4 /TF/V</v>
          </cell>
          <cell r="Z980" t="str">
            <v>SEW</v>
          </cell>
          <cell r="AB980" t="str">
            <v>-</v>
          </cell>
          <cell r="AF980">
            <v>16</v>
          </cell>
          <cell r="AG980" t="str">
            <v>DRN160L4</v>
          </cell>
          <cell r="AH980" t="str">
            <v>KH127-DRN160L4B270-X#</v>
          </cell>
        </row>
        <row r="981">
          <cell r="A981" t="str">
            <v>MR000977</v>
          </cell>
          <cell r="B981" t="str">
            <v>MR</v>
          </cell>
          <cell r="C981">
            <v>11</v>
          </cell>
          <cell r="D981">
            <v>50.833333333333336</v>
          </cell>
          <cell r="E981" t="str">
            <v>FH87</v>
          </cell>
          <cell r="F981">
            <v>1720</v>
          </cell>
          <cell r="G981">
            <v>29.2</v>
          </cell>
          <cell r="H981">
            <v>1.45</v>
          </cell>
          <cell r="I981" t="str">
            <v>M1</v>
          </cell>
          <cell r="J981" t="str">
            <v>IE3</v>
          </cell>
          <cell r="K981" t="str">
            <v>277/480</v>
          </cell>
          <cell r="L981">
            <v>60</v>
          </cell>
          <cell r="M981" t="str">
            <v>37/18,5</v>
          </cell>
          <cell r="N981">
            <v>55</v>
          </cell>
          <cell r="O981" t="str">
            <v>F</v>
          </cell>
          <cell r="P981" t="str">
            <v>270°</v>
          </cell>
          <cell r="Q981" t="str">
            <v>-</v>
          </cell>
          <cell r="R981" t="str">
            <v>-</v>
          </cell>
          <cell r="S981" t="str">
            <v>-</v>
          </cell>
          <cell r="T981" t="str">
            <v>-</v>
          </cell>
          <cell r="U981" t="str">
            <v>G</v>
          </cell>
          <cell r="V981" t="str">
            <v>D</v>
          </cell>
          <cell r="W981" t="str">
            <v>-</v>
          </cell>
          <cell r="X981" t="str">
            <v>CLP (CC) VG 220 = -15° + 40°</v>
          </cell>
          <cell r="Y981" t="str">
            <v>FH87/G DRN160M4</v>
          </cell>
          <cell r="Z981" t="str">
            <v>SEW</v>
          </cell>
          <cell r="AB981" t="str">
            <v>-</v>
          </cell>
          <cell r="AF981">
            <v>61</v>
          </cell>
          <cell r="AG981" t="str">
            <v>DRN160M4</v>
          </cell>
          <cell r="AH981" t="str">
            <v>FH87G-DRN160M4270-X</v>
          </cell>
        </row>
        <row r="982">
          <cell r="A982" t="str">
            <v>MR000978</v>
          </cell>
          <cell r="B982" t="str">
            <v>MR</v>
          </cell>
          <cell r="C982">
            <v>5.5</v>
          </cell>
          <cell r="D982">
            <v>50.833333333333336</v>
          </cell>
          <cell r="E982" t="str">
            <v>FH87</v>
          </cell>
          <cell r="F982">
            <v>860</v>
          </cell>
          <cell r="G982">
            <v>29.2</v>
          </cell>
          <cell r="H982">
            <v>2.9</v>
          </cell>
          <cell r="I982" t="str">
            <v>M1</v>
          </cell>
          <cell r="J982" t="str">
            <v>IE3</v>
          </cell>
          <cell r="K982" t="str">
            <v>277/480</v>
          </cell>
          <cell r="L982">
            <v>60</v>
          </cell>
          <cell r="M982" t="str">
            <v>18,4/9,2</v>
          </cell>
          <cell r="N982">
            <v>55</v>
          </cell>
          <cell r="O982" t="str">
            <v>F</v>
          </cell>
          <cell r="P982" t="str">
            <v>270°</v>
          </cell>
          <cell r="Q982" t="str">
            <v>-</v>
          </cell>
          <cell r="R982" t="str">
            <v>-</v>
          </cell>
          <cell r="S982" t="str">
            <v>-</v>
          </cell>
          <cell r="T982" t="str">
            <v>-</v>
          </cell>
          <cell r="U982" t="str">
            <v>G</v>
          </cell>
          <cell r="V982" t="str">
            <v>D</v>
          </cell>
          <cell r="W982" t="str">
            <v>-</v>
          </cell>
          <cell r="X982" t="str">
            <v>CLP (CC) VG 220 = -15° + 40°</v>
          </cell>
          <cell r="Y982" t="str">
            <v>FH87/G DRN132S4</v>
          </cell>
          <cell r="Z982" t="str">
            <v>SEW</v>
          </cell>
          <cell r="AB982" t="str">
            <v>-</v>
          </cell>
          <cell r="AF982">
            <v>61</v>
          </cell>
          <cell r="AG982" t="str">
            <v>DRN132S4</v>
          </cell>
          <cell r="AH982" t="str">
            <v>FH87G-DRN132S4270-X</v>
          </cell>
        </row>
        <row r="983">
          <cell r="A983" t="str">
            <v>MR000979</v>
          </cell>
          <cell r="B983" t="str">
            <v>MR</v>
          </cell>
          <cell r="C983">
            <v>15</v>
          </cell>
          <cell r="D983">
            <v>25.833333333333336</v>
          </cell>
          <cell r="E983" t="str">
            <v>FH107</v>
          </cell>
          <cell r="F983">
            <v>4680</v>
          </cell>
          <cell r="G983">
            <v>58.12</v>
          </cell>
          <cell r="H983">
            <v>1.65</v>
          </cell>
          <cell r="I983" t="str">
            <v>M1</v>
          </cell>
          <cell r="J983" t="str">
            <v>IE3</v>
          </cell>
          <cell r="K983" t="str">
            <v>277/480</v>
          </cell>
          <cell r="L983">
            <v>60</v>
          </cell>
          <cell r="M983" t="str">
            <v>42/24</v>
          </cell>
          <cell r="N983">
            <v>55</v>
          </cell>
          <cell r="O983" t="str">
            <v>F</v>
          </cell>
          <cell r="P983" t="str">
            <v>270°</v>
          </cell>
          <cell r="Q983" t="str">
            <v>TF</v>
          </cell>
          <cell r="R983" t="str">
            <v>V(VE)</v>
          </cell>
          <cell r="S983" t="str">
            <v>-</v>
          </cell>
          <cell r="T983" t="str">
            <v>-</v>
          </cell>
          <cell r="U983" t="str">
            <v>G</v>
          </cell>
          <cell r="V983" t="str">
            <v>FC</v>
          </cell>
          <cell r="W983" t="str">
            <v>-</v>
          </cell>
          <cell r="X983" t="str">
            <v>CLP (CC) VG 220 = -15° + 40°</v>
          </cell>
          <cell r="Y983" t="str">
            <v>FH107/G DRN160L4 /TF/V</v>
          </cell>
          <cell r="Z983" t="str">
            <v>SEW</v>
          </cell>
          <cell r="AB983" t="str">
            <v>-</v>
          </cell>
          <cell r="AF983">
            <v>31.000000000000004</v>
          </cell>
          <cell r="AG983" t="str">
            <v>DRN160L4</v>
          </cell>
          <cell r="AH983" t="str">
            <v>FH107G-DRN160L4270-X#</v>
          </cell>
        </row>
        <row r="984">
          <cell r="A984" t="str">
            <v>MR000980</v>
          </cell>
          <cell r="B984" t="str">
            <v>MR</v>
          </cell>
          <cell r="C984">
            <v>7.5</v>
          </cell>
          <cell r="D984">
            <v>62.5</v>
          </cell>
          <cell r="E984" t="str">
            <v>FH87</v>
          </cell>
          <cell r="F984">
            <v>950</v>
          </cell>
          <cell r="G984">
            <v>23.68</v>
          </cell>
          <cell r="H984">
            <v>3.1</v>
          </cell>
          <cell r="I984" t="str">
            <v>From M1 to M2 - 15°</v>
          </cell>
          <cell r="J984" t="str">
            <v>IE3</v>
          </cell>
          <cell r="K984" t="str">
            <v>277/480</v>
          </cell>
          <cell r="L984">
            <v>60</v>
          </cell>
          <cell r="M984" t="str">
            <v>26,5/13,3</v>
          </cell>
          <cell r="N984">
            <v>55</v>
          </cell>
          <cell r="O984" t="str">
            <v>F</v>
          </cell>
          <cell r="P984" t="str">
            <v>270°</v>
          </cell>
          <cell r="Q984" t="str">
            <v>-</v>
          </cell>
          <cell r="R984" t="str">
            <v>-</v>
          </cell>
          <cell r="S984" t="str">
            <v>-</v>
          </cell>
          <cell r="T984" t="str">
            <v>-</v>
          </cell>
          <cell r="U984" t="str">
            <v>G</v>
          </cell>
          <cell r="V984" t="str">
            <v>D</v>
          </cell>
          <cell r="W984" t="str">
            <v>-</v>
          </cell>
          <cell r="X984" t="str">
            <v>CLP (CC) VG 220 = -15° + 40°</v>
          </cell>
          <cell r="Y984" t="str">
            <v>FH87/G DRN132M4</v>
          </cell>
          <cell r="Z984" t="str">
            <v>SEW</v>
          </cell>
          <cell r="AB984" t="str">
            <v>-</v>
          </cell>
          <cell r="AF984">
            <v>75</v>
          </cell>
          <cell r="AG984" t="str">
            <v>DRN132M4</v>
          </cell>
          <cell r="AH984" t="str">
            <v>FH87G-DRN132M4270-X</v>
          </cell>
        </row>
        <row r="985">
          <cell r="A985" t="str">
            <v>MR000981</v>
          </cell>
          <cell r="B985" t="str">
            <v>MR</v>
          </cell>
          <cell r="C985">
            <v>30</v>
          </cell>
          <cell r="D985">
            <v>85.833333333333343</v>
          </cell>
          <cell r="E985" t="str">
            <v>FH97</v>
          </cell>
          <cell r="F985">
            <v>2770</v>
          </cell>
          <cell r="G985">
            <v>17.25</v>
          </cell>
          <cell r="H985">
            <v>1.55</v>
          </cell>
          <cell r="I985" t="str">
            <v>M4</v>
          </cell>
          <cell r="J985" t="str">
            <v>IE3</v>
          </cell>
          <cell r="K985" t="str">
            <v>277/480</v>
          </cell>
          <cell r="L985">
            <v>60</v>
          </cell>
          <cell r="M985" t="str">
            <v>97/48,5</v>
          </cell>
          <cell r="N985">
            <v>55</v>
          </cell>
          <cell r="O985" t="str">
            <v>F</v>
          </cell>
          <cell r="P985" t="str">
            <v>270°</v>
          </cell>
          <cell r="Q985" t="str">
            <v>-</v>
          </cell>
          <cell r="R985" t="str">
            <v>-</v>
          </cell>
          <cell r="S985" t="str">
            <v>-</v>
          </cell>
          <cell r="T985" t="str">
            <v>-</v>
          </cell>
          <cell r="U985" t="str">
            <v>G</v>
          </cell>
          <cell r="V985" t="str">
            <v>D</v>
          </cell>
          <cell r="W985" t="str">
            <v>-</v>
          </cell>
          <cell r="X985" t="str">
            <v>CLP (CC) VG 220 = -15° + 40°</v>
          </cell>
          <cell r="Y985" t="str">
            <v>FH97/G DRN200L4</v>
          </cell>
          <cell r="Z985" t="str">
            <v>SEW</v>
          </cell>
          <cell r="AB985" t="str">
            <v>-</v>
          </cell>
          <cell r="AF985">
            <v>103.00000000000001</v>
          </cell>
          <cell r="AG985" t="str">
            <v>DRN200L4</v>
          </cell>
          <cell r="AH985" t="str">
            <v>FH97G-DRN200L4270-X</v>
          </cell>
        </row>
        <row r="986">
          <cell r="A986" t="str">
            <v>MR000982</v>
          </cell>
          <cell r="B986" t="str">
            <v>MR</v>
          </cell>
          <cell r="C986">
            <v>0.75</v>
          </cell>
          <cell r="D986">
            <v>21.666666666666668</v>
          </cell>
          <cell r="E986" t="str">
            <v>FA47</v>
          </cell>
          <cell r="F986">
            <v>275</v>
          </cell>
          <cell r="G986">
            <v>68.09</v>
          </cell>
          <cell r="H986">
            <v>1.45</v>
          </cell>
          <cell r="I986" t="str">
            <v>M5</v>
          </cell>
          <cell r="J986" t="str">
            <v>IE3</v>
          </cell>
          <cell r="K986" t="str">
            <v>277/480</v>
          </cell>
          <cell r="L986">
            <v>60</v>
          </cell>
          <cell r="M986" t="str">
            <v>3,1/1,56</v>
          </cell>
          <cell r="N986">
            <v>55</v>
          </cell>
          <cell r="O986" t="str">
            <v>F</v>
          </cell>
          <cell r="P986" t="str">
            <v>270°</v>
          </cell>
          <cell r="Q986" t="str">
            <v>-</v>
          </cell>
          <cell r="R986" t="str">
            <v>-</v>
          </cell>
          <cell r="S986" t="str">
            <v>-</v>
          </cell>
          <cell r="T986" t="str">
            <v>BE</v>
          </cell>
          <cell r="U986" t="str">
            <v>G</v>
          </cell>
          <cell r="V986" t="str">
            <v>D+R</v>
          </cell>
          <cell r="W986" t="str">
            <v>-</v>
          </cell>
          <cell r="X986" t="str">
            <v>CLP (CC) VG 220 = -15° + 40°</v>
          </cell>
          <cell r="Y986" t="str">
            <v>FA47/G DRN80M4 /BE</v>
          </cell>
          <cell r="Z986" t="str">
            <v>SEW</v>
          </cell>
          <cell r="AB986" t="str">
            <v>-</v>
          </cell>
          <cell r="AE986" t="str">
            <v>Rectifier for brake in the terminal box</v>
          </cell>
          <cell r="AF986">
            <v>26</v>
          </cell>
          <cell r="AG986" t="str">
            <v>DRN80M4</v>
          </cell>
          <cell r="AH986" t="str">
            <v>FA47G-DRN80M4270-X</v>
          </cell>
        </row>
        <row r="987">
          <cell r="A987" t="str">
            <v>MR000983</v>
          </cell>
          <cell r="B987" t="str">
            <v>MR</v>
          </cell>
          <cell r="C987">
            <v>2.2000000000000002</v>
          </cell>
          <cell r="D987">
            <v>73</v>
          </cell>
          <cell r="E987" t="str">
            <v>R67</v>
          </cell>
          <cell r="F987">
            <v>285</v>
          </cell>
          <cell r="G987">
            <v>19.89</v>
          </cell>
          <cell r="H987">
            <v>2.1</v>
          </cell>
          <cell r="I987" t="str">
            <v>M1</v>
          </cell>
          <cell r="J987" t="str">
            <v>IE3</v>
          </cell>
          <cell r="K987" t="str">
            <v>230/400</v>
          </cell>
          <cell r="L987">
            <v>50</v>
          </cell>
          <cell r="M987">
            <v>4.75</v>
          </cell>
          <cell r="N987">
            <v>54</v>
          </cell>
          <cell r="O987" t="str">
            <v>B(80°C)</v>
          </cell>
          <cell r="P987" t="str">
            <v>0°</v>
          </cell>
          <cell r="Q987" t="str">
            <v>-</v>
          </cell>
          <cell r="R987" t="str">
            <v>-</v>
          </cell>
          <cell r="S987" t="str">
            <v>-</v>
          </cell>
          <cell r="T987" t="str">
            <v>-</v>
          </cell>
          <cell r="U987" t="str">
            <v>-</v>
          </cell>
          <cell r="V987" t="str">
            <v>D</v>
          </cell>
          <cell r="W987" t="str">
            <v>-</v>
          </cell>
          <cell r="X987" t="str">
            <v>CLP (CC) VG 220 = -15° + 40°</v>
          </cell>
          <cell r="Y987" t="str">
            <v>R67DRN100LS4</v>
          </cell>
          <cell r="Z987" t="str">
            <v>SEW</v>
          </cell>
          <cell r="AB987" t="str">
            <v>-</v>
          </cell>
          <cell r="AF987">
            <v>73</v>
          </cell>
          <cell r="AG987" t="str">
            <v>DRN100LS4</v>
          </cell>
          <cell r="AH987" t="str">
            <v>R67-DRN100LS40-X</v>
          </cell>
        </row>
        <row r="988">
          <cell r="A988" t="str">
            <v>MR000984</v>
          </cell>
          <cell r="B988" t="str">
            <v>MR</v>
          </cell>
          <cell r="C988">
            <v>4</v>
          </cell>
          <cell r="D988">
            <v>70</v>
          </cell>
          <cell r="E988" t="str">
            <v>FA67</v>
          </cell>
          <cell r="F988">
            <v>540</v>
          </cell>
          <cell r="G988">
            <v>20.9</v>
          </cell>
          <cell r="H988">
            <v>1.5</v>
          </cell>
          <cell r="I988" t="str">
            <v>M1</v>
          </cell>
          <cell r="J988" t="str">
            <v>IE3</v>
          </cell>
          <cell r="K988" t="str">
            <v>230/400</v>
          </cell>
          <cell r="L988">
            <v>50</v>
          </cell>
          <cell r="M988">
            <v>7.9</v>
          </cell>
          <cell r="N988">
            <v>55</v>
          </cell>
          <cell r="O988" t="str">
            <v>F(105°C)</v>
          </cell>
          <cell r="P988" t="str">
            <v>270°</v>
          </cell>
          <cell r="Q988" t="str">
            <v>-</v>
          </cell>
          <cell r="R988" t="str">
            <v>-</v>
          </cell>
          <cell r="S988" t="str">
            <v>-</v>
          </cell>
          <cell r="T988" t="str">
            <v>-</v>
          </cell>
          <cell r="U988" t="str">
            <v>G</v>
          </cell>
          <cell r="V988" t="str">
            <v>D</v>
          </cell>
          <cell r="W988" t="str">
            <v>-</v>
          </cell>
          <cell r="X988" t="str">
            <v>CLP (CC) VG 220 = -15° + 40°</v>
          </cell>
          <cell r="Y988" t="str">
            <v>FA67/G DRN112M4</v>
          </cell>
          <cell r="Z988" t="str">
            <v>SEW</v>
          </cell>
          <cell r="AB988" t="str">
            <v>-</v>
          </cell>
          <cell r="AF988">
            <v>70</v>
          </cell>
          <cell r="AG988" t="str">
            <v>DRN112M4</v>
          </cell>
          <cell r="AH988" t="str">
            <v>FA67G-DRN112M4270-X</v>
          </cell>
        </row>
        <row r="989">
          <cell r="A989" t="str">
            <v>MR000985</v>
          </cell>
          <cell r="B989" t="str">
            <v>MR</v>
          </cell>
          <cell r="C989">
            <v>3</v>
          </cell>
          <cell r="D989">
            <v>119</v>
          </cell>
          <cell r="F989">
            <v>240</v>
          </cell>
          <cell r="G989">
            <v>12.31</v>
          </cell>
          <cell r="H989">
            <v>2.5</v>
          </cell>
          <cell r="I989" t="str">
            <v>From M1 to M2 - 10°</v>
          </cell>
          <cell r="J989" t="str">
            <v>IE3</v>
          </cell>
          <cell r="K989">
            <v>400</v>
          </cell>
          <cell r="L989">
            <v>50</v>
          </cell>
          <cell r="M989">
            <v>6</v>
          </cell>
          <cell r="N989">
            <v>55</v>
          </cell>
          <cell r="O989" t="str">
            <v>F(105°C)</v>
          </cell>
          <cell r="P989" t="str">
            <v>2A</v>
          </cell>
          <cell r="Q989" t="str">
            <v>-</v>
          </cell>
          <cell r="R989" t="str">
            <v>-</v>
          </cell>
          <cell r="S989" t="str">
            <v>-</v>
          </cell>
          <cell r="U989" t="str">
            <v>-</v>
          </cell>
          <cell r="V989" t="str">
            <v>D</v>
          </cell>
          <cell r="W989" t="str">
            <v>-</v>
          </cell>
          <cell r="X989" t="str">
            <v>CLP (CC) VG 220 = -15° + 40°</v>
          </cell>
          <cell r="Y989" t="str">
            <v>2KJ3106-1FP23-2AJ1-Z D01+E02+K01+K06+L02+L75+M59</v>
          </cell>
          <cell r="Z989" t="str">
            <v>SIEMENS</v>
          </cell>
          <cell r="AB989" t="str">
            <v>-</v>
          </cell>
          <cell r="AF989">
            <v>119</v>
          </cell>
          <cell r="AH989" t="str">
            <v>-2A-X</v>
          </cell>
        </row>
        <row r="990">
          <cell r="A990" t="str">
            <v>MR000986</v>
          </cell>
          <cell r="B990" t="str">
            <v>MR</v>
          </cell>
          <cell r="C990">
            <v>9.1999999999999993</v>
          </cell>
          <cell r="D990">
            <v>116</v>
          </cell>
          <cell r="F990">
            <v>755</v>
          </cell>
          <cell r="G990">
            <v>12.72</v>
          </cell>
          <cell r="H990">
            <v>3.3</v>
          </cell>
          <cell r="I990" t="str">
            <v>M4</v>
          </cell>
          <cell r="J990" t="str">
            <v>IE3</v>
          </cell>
          <cell r="K990">
            <v>400</v>
          </cell>
          <cell r="L990">
            <v>50</v>
          </cell>
          <cell r="M990">
            <v>19</v>
          </cell>
          <cell r="N990">
            <v>55</v>
          </cell>
          <cell r="O990" t="str">
            <v>F(105°C)</v>
          </cell>
          <cell r="P990" t="str">
            <v>2A</v>
          </cell>
          <cell r="Q990" t="str">
            <v>-</v>
          </cell>
          <cell r="R990" t="str">
            <v>-</v>
          </cell>
          <cell r="S990" t="str">
            <v>-</v>
          </cell>
          <cell r="U990" t="str">
            <v>-</v>
          </cell>
          <cell r="V990" t="str">
            <v>D</v>
          </cell>
          <cell r="W990" t="str">
            <v>-</v>
          </cell>
          <cell r="X990" t="str">
            <v>CLP (CC) VG 220 = -15° + 40°</v>
          </cell>
          <cell r="Y990" t="str">
            <v>2KJ3110-1JQ23-2AK1-Z D04+K01+K06+L02+L75+M59</v>
          </cell>
          <cell r="Z990" t="str">
            <v>SIEMENS</v>
          </cell>
          <cell r="AB990" t="str">
            <v>-</v>
          </cell>
          <cell r="AF990">
            <v>116</v>
          </cell>
          <cell r="AH990" t="str">
            <v>-2A-X</v>
          </cell>
        </row>
        <row r="991">
          <cell r="A991" t="str">
            <v>MR000987</v>
          </cell>
          <cell r="B991" t="str">
            <v>MR</v>
          </cell>
          <cell r="C991">
            <v>5.5</v>
          </cell>
          <cell r="D991">
            <v>106</v>
          </cell>
          <cell r="F991">
            <v>490</v>
          </cell>
          <cell r="G991">
            <v>13.84</v>
          </cell>
          <cell r="H991">
            <v>3.4</v>
          </cell>
          <cell r="I991" t="str">
            <v>M1</v>
          </cell>
          <cell r="J991" t="str">
            <v>IE3</v>
          </cell>
          <cell r="K991">
            <v>400</v>
          </cell>
          <cell r="L991">
            <v>50</v>
          </cell>
          <cell r="M991">
            <v>11</v>
          </cell>
          <cell r="N991">
            <v>55</v>
          </cell>
          <cell r="O991" t="str">
            <v>F(105°C)</v>
          </cell>
          <cell r="P991" t="str">
            <v>2A</v>
          </cell>
          <cell r="Q991" t="str">
            <v>-</v>
          </cell>
          <cell r="R991" t="str">
            <v>-</v>
          </cell>
          <cell r="S991" t="str">
            <v>-</v>
          </cell>
          <cell r="U991" t="str">
            <v>-</v>
          </cell>
          <cell r="V991" t="str">
            <v>D</v>
          </cell>
          <cell r="W991" t="str">
            <v>-</v>
          </cell>
          <cell r="X991" t="str">
            <v>CLP (CC) VG 220 = -15° + 40°</v>
          </cell>
          <cell r="Y991" t="str">
            <v>2KJ3108-1HJ23-2AK1-Z D01+E03+K01+K06+L02+L75+M59</v>
          </cell>
          <cell r="Z991" t="str">
            <v>SIEMENS</v>
          </cell>
          <cell r="AB991" t="str">
            <v>-</v>
          </cell>
          <cell r="AF991">
            <v>106</v>
          </cell>
          <cell r="AH991" t="str">
            <v>-2A-X</v>
          </cell>
        </row>
        <row r="992">
          <cell r="A992" t="str">
            <v>MR000988</v>
          </cell>
          <cell r="B992" t="str">
            <v>MR</v>
          </cell>
          <cell r="C992">
            <v>15</v>
          </cell>
          <cell r="D992">
            <v>113</v>
          </cell>
          <cell r="F992">
            <v>1260</v>
          </cell>
          <cell r="G992">
            <v>13.07</v>
          </cell>
          <cell r="H992">
            <v>3.8</v>
          </cell>
          <cell r="I992" t="str">
            <v>M4</v>
          </cell>
          <cell r="J992" t="str">
            <v>IE3</v>
          </cell>
          <cell r="K992">
            <v>400</v>
          </cell>
          <cell r="L992">
            <v>50</v>
          </cell>
          <cell r="M992">
            <v>29</v>
          </cell>
          <cell r="N992">
            <v>55</v>
          </cell>
          <cell r="O992" t="str">
            <v>F(105°C)</v>
          </cell>
          <cell r="P992" t="str">
            <v>2A</v>
          </cell>
          <cell r="Q992" t="str">
            <v>-</v>
          </cell>
          <cell r="R992" t="str">
            <v>-</v>
          </cell>
          <cell r="S992" t="str">
            <v>-</v>
          </cell>
          <cell r="U992" t="str">
            <v>-</v>
          </cell>
          <cell r="V992" t="str">
            <v>D</v>
          </cell>
          <cell r="W992" t="str">
            <v>-</v>
          </cell>
          <cell r="X992" t="str">
            <v>CLP (CC) VG 220 = -15° + 40°</v>
          </cell>
          <cell r="Y992" t="str">
            <v>2KJ3111-1JU23-2AH1-Z D04+K01+K06+L02+L75+M59</v>
          </cell>
          <cell r="Z992" t="str">
            <v>SIEMENS</v>
          </cell>
          <cell r="AB992" t="str">
            <v>-</v>
          </cell>
          <cell r="AF992">
            <v>113</v>
          </cell>
          <cell r="AH992" t="str">
            <v>-2A-X</v>
          </cell>
        </row>
        <row r="993">
          <cell r="A993" t="str">
            <v>MR000989</v>
          </cell>
          <cell r="B993" t="str">
            <v>MR</v>
          </cell>
          <cell r="C993">
            <v>11</v>
          </cell>
          <cell r="D993">
            <v>102</v>
          </cell>
          <cell r="F993">
            <v>1030</v>
          </cell>
          <cell r="G993">
            <v>14.52</v>
          </cell>
          <cell r="H993">
            <v>2.5</v>
          </cell>
          <cell r="I993" t="str">
            <v>From M4 to M1 - 45°</v>
          </cell>
          <cell r="J993" t="str">
            <v>IE3</v>
          </cell>
          <cell r="K993">
            <v>400</v>
          </cell>
          <cell r="L993">
            <v>50</v>
          </cell>
          <cell r="M993">
            <v>21</v>
          </cell>
          <cell r="N993">
            <v>55</v>
          </cell>
          <cell r="O993" t="str">
            <v>F(105°C)</v>
          </cell>
          <cell r="P993" t="str">
            <v>2A</v>
          </cell>
          <cell r="Q993" t="str">
            <v>-</v>
          </cell>
          <cell r="R993" t="str">
            <v>-</v>
          </cell>
          <cell r="S993" t="str">
            <v>-</v>
          </cell>
          <cell r="U993" t="str">
            <v>-</v>
          </cell>
          <cell r="V993" t="str">
            <v>D</v>
          </cell>
          <cell r="W993" t="str">
            <v>-</v>
          </cell>
          <cell r="X993" t="str">
            <v>CLP (CC) VG 220 = -15° + 40°</v>
          </cell>
          <cell r="Y993" t="str">
            <v>2KJ3110-1JR23-4AL1-Z D04+E09+K01+K06+L02+L75+M59</v>
          </cell>
          <cell r="Z993" t="str">
            <v>SIEMENS</v>
          </cell>
          <cell r="AB993" t="str">
            <v>-</v>
          </cell>
          <cell r="AF993">
            <v>102</v>
          </cell>
          <cell r="AH993" t="str">
            <v>-2A-X</v>
          </cell>
        </row>
        <row r="994">
          <cell r="A994" t="str">
            <v>MR000990</v>
          </cell>
          <cell r="B994" t="str">
            <v>MR</v>
          </cell>
          <cell r="C994">
            <v>0.25</v>
          </cell>
          <cell r="D994">
            <v>17</v>
          </cell>
          <cell r="E994" t="str">
            <v>FA27</v>
          </cell>
          <cell r="F994">
            <v>142</v>
          </cell>
          <cell r="G994">
            <v>77.209999999999994</v>
          </cell>
          <cell r="H994">
            <v>0.9</v>
          </cell>
          <cell r="I994" t="str">
            <v>M5</v>
          </cell>
          <cell r="J994" t="str">
            <v>IE3</v>
          </cell>
          <cell r="K994">
            <v>400</v>
          </cell>
          <cell r="L994">
            <v>50</v>
          </cell>
          <cell r="M994" t="str">
            <v>1,19/0,68</v>
          </cell>
          <cell r="N994">
            <v>55</v>
          </cell>
          <cell r="O994" t="str">
            <v>F(105°C)</v>
          </cell>
          <cell r="P994" t="str">
            <v>270°</v>
          </cell>
          <cell r="Q994" t="str">
            <v>-</v>
          </cell>
          <cell r="R994" t="str">
            <v>-</v>
          </cell>
          <cell r="S994" t="str">
            <v>-</v>
          </cell>
          <cell r="T994" t="str">
            <v>BE</v>
          </cell>
          <cell r="U994" t="str">
            <v>G</v>
          </cell>
          <cell r="V994" t="str">
            <v>D+R</v>
          </cell>
          <cell r="W994" t="str">
            <v>-</v>
          </cell>
          <cell r="X994" t="str">
            <v>CLP (CC) VG 220 = -15° + 40°</v>
          </cell>
          <cell r="Y994" t="str">
            <v>FA27/G DRN71MS4 /BE</v>
          </cell>
          <cell r="Z994" t="str">
            <v>SEW</v>
          </cell>
          <cell r="AB994" t="str">
            <v>-</v>
          </cell>
          <cell r="AF994">
            <v>17</v>
          </cell>
          <cell r="AG994" t="str">
            <v>DRN71MS4</v>
          </cell>
          <cell r="AH994" t="str">
            <v>FA27G-DRN71MS4270-X</v>
          </cell>
        </row>
        <row r="995">
          <cell r="A995" t="str">
            <v>MR000991</v>
          </cell>
          <cell r="B995" t="str">
            <v>MR</v>
          </cell>
          <cell r="C995">
            <v>0.25</v>
          </cell>
          <cell r="D995">
            <v>17</v>
          </cell>
          <cell r="E995" t="str">
            <v>FA27</v>
          </cell>
          <cell r="F995">
            <v>142</v>
          </cell>
          <cell r="G995">
            <v>77.209999999999994</v>
          </cell>
          <cell r="H995">
            <v>0.9</v>
          </cell>
          <cell r="I995" t="str">
            <v>M6</v>
          </cell>
          <cell r="J995" t="str">
            <v>IE3</v>
          </cell>
          <cell r="K995">
            <v>400</v>
          </cell>
          <cell r="L995">
            <v>50</v>
          </cell>
          <cell r="M995" t="str">
            <v>1,19/0,68</v>
          </cell>
          <cell r="N995">
            <v>55</v>
          </cell>
          <cell r="O995" t="str">
            <v>F(105°C)</v>
          </cell>
          <cell r="P995" t="str">
            <v>270°</v>
          </cell>
          <cell r="Q995" t="str">
            <v>-</v>
          </cell>
          <cell r="R995" t="str">
            <v>-</v>
          </cell>
          <cell r="S995" t="str">
            <v>-</v>
          </cell>
          <cell r="T995" t="str">
            <v>BE</v>
          </cell>
          <cell r="U995" t="str">
            <v>G</v>
          </cell>
          <cell r="V995" t="str">
            <v>D+R</v>
          </cell>
          <cell r="W995" t="str">
            <v>-</v>
          </cell>
          <cell r="X995" t="str">
            <v>CLP (CC) VG 220 = -15° + 40°</v>
          </cell>
          <cell r="Y995" t="str">
            <v>FA27/G DRN71MS4 /BE</v>
          </cell>
          <cell r="Z995" t="str">
            <v>SEW</v>
          </cell>
          <cell r="AB995" t="str">
            <v>-</v>
          </cell>
          <cell r="AF995">
            <v>17</v>
          </cell>
          <cell r="AG995" t="str">
            <v>DRN71MS4</v>
          </cell>
          <cell r="AH995" t="str">
            <v>FA27G-DRN71MS4270-X</v>
          </cell>
        </row>
        <row r="996">
          <cell r="A996" t="str">
            <v>MR000992</v>
          </cell>
          <cell r="B996" t="str">
            <v>MR</v>
          </cell>
          <cell r="C996">
            <v>0.55000000000000004</v>
          </cell>
          <cell r="D996">
            <v>3.4</v>
          </cell>
          <cell r="E996" t="str">
            <v>KAD89-Z39</v>
          </cell>
          <cell r="F996">
            <v>1395</v>
          </cell>
          <cell r="G996">
            <v>401</v>
          </cell>
          <cell r="H996">
            <v>1.1499999999999999</v>
          </cell>
          <cell r="I996" t="str">
            <v>M3B</v>
          </cell>
          <cell r="J996" t="str">
            <v>IE3</v>
          </cell>
          <cell r="K996">
            <v>400</v>
          </cell>
          <cell r="L996">
            <v>50</v>
          </cell>
          <cell r="M996">
            <v>1.54</v>
          </cell>
          <cell r="N996">
            <v>55</v>
          </cell>
          <cell r="O996" t="str">
            <v>F(105°C)</v>
          </cell>
          <cell r="P996" t="str">
            <v>1B</v>
          </cell>
          <cell r="Q996" t="str">
            <v>TF</v>
          </cell>
          <cell r="R996" t="str">
            <v>-</v>
          </cell>
          <cell r="S996" t="str">
            <v>-</v>
          </cell>
          <cell r="T996" t="str">
            <v>L4</v>
          </cell>
          <cell r="U996" t="str">
            <v>T</v>
          </cell>
          <cell r="V996" t="str">
            <v>D+R</v>
          </cell>
          <cell r="W996" t="str">
            <v>-</v>
          </cell>
          <cell r="X996" t="str">
            <v>CLP (CC) VG 220 = -15° + 40°</v>
          </cell>
          <cell r="Y996" t="str">
            <v>2KJ3528-5CH11-2CD1-Z B00+C02+C26+C47+D23+K01+K06+K41+L02+L75+M11+M56+P91+Y00</v>
          </cell>
          <cell r="Z996" t="str">
            <v>SIEMENS</v>
          </cell>
          <cell r="AB996" t="str">
            <v>-</v>
          </cell>
          <cell r="AF996">
            <v>3.4</v>
          </cell>
          <cell r="AH996" t="str">
            <v>KAD89-Z39T-B1B-X</v>
          </cell>
        </row>
        <row r="997">
          <cell r="A997" t="str">
            <v>MR000993</v>
          </cell>
          <cell r="B997" t="str">
            <v>MR</v>
          </cell>
          <cell r="C997">
            <v>5.5</v>
          </cell>
          <cell r="D997">
            <v>64</v>
          </cell>
          <cell r="F997">
            <v>815</v>
          </cell>
          <cell r="G997">
            <v>22.92</v>
          </cell>
          <cell r="H997">
            <v>2.1</v>
          </cell>
          <cell r="I997" t="str">
            <v>M1</v>
          </cell>
          <cell r="J997" t="str">
            <v>IE3</v>
          </cell>
          <cell r="K997">
            <v>400</v>
          </cell>
          <cell r="L997">
            <v>50</v>
          </cell>
          <cell r="M997">
            <v>11</v>
          </cell>
          <cell r="N997">
            <v>55</v>
          </cell>
          <cell r="O997" t="str">
            <v>F(105°C)</v>
          </cell>
          <cell r="P997" t="str">
            <v>2A</v>
          </cell>
          <cell r="Q997" t="str">
            <v>-</v>
          </cell>
          <cell r="R997" t="str">
            <v>-</v>
          </cell>
          <cell r="S997" t="str">
            <v>-</v>
          </cell>
          <cell r="T997" t="str">
            <v>-</v>
          </cell>
          <cell r="U997" t="str">
            <v>-</v>
          </cell>
          <cell r="V997" t="str">
            <v>D</v>
          </cell>
          <cell r="W997" t="str">
            <v>-</v>
          </cell>
          <cell r="X997" t="str">
            <v>CLP (CC) VG 220 = -15° + 40°</v>
          </cell>
          <cell r="Y997" t="str">
            <v>2KJ3108-1HJ23-2AP1-Z D01+K01+K06+L02+L75+M59</v>
          </cell>
          <cell r="Z997" t="str">
            <v>SIEMENS</v>
          </cell>
          <cell r="AB997" t="str">
            <v>-</v>
          </cell>
          <cell r="AF997">
            <v>64</v>
          </cell>
          <cell r="AH997" t="str">
            <v>-2A-X</v>
          </cell>
        </row>
        <row r="998">
          <cell r="A998" t="str">
            <v>MR000994</v>
          </cell>
          <cell r="B998" t="str">
            <v>MR</v>
          </cell>
          <cell r="C998">
            <v>0.55000000000000004</v>
          </cell>
          <cell r="D998">
            <v>13</v>
          </cell>
          <cell r="E998" t="str">
            <v>R77</v>
          </cell>
          <cell r="F998">
            <v>395</v>
          </cell>
          <cell r="G998">
            <v>102.99</v>
          </cell>
          <cell r="H998">
            <v>2.1</v>
          </cell>
          <cell r="I998" t="str">
            <v>M1</v>
          </cell>
          <cell r="J998" t="str">
            <v>IE1</v>
          </cell>
          <cell r="K998">
            <v>415</v>
          </cell>
          <cell r="L998">
            <v>50</v>
          </cell>
          <cell r="N998">
            <v>55</v>
          </cell>
          <cell r="O998" t="str">
            <v>F(105°C)</v>
          </cell>
          <cell r="P998" t="str">
            <v>0°</v>
          </cell>
          <cell r="Q998" t="str">
            <v>-</v>
          </cell>
          <cell r="R998" t="str">
            <v>-</v>
          </cell>
          <cell r="S998" t="str">
            <v>-</v>
          </cell>
          <cell r="T998" t="str">
            <v>-</v>
          </cell>
          <cell r="U998" t="str">
            <v>-</v>
          </cell>
          <cell r="V998" t="str">
            <v>D</v>
          </cell>
          <cell r="W998" t="str">
            <v>-</v>
          </cell>
          <cell r="X998" t="str">
            <v>CLP (CC) VG 220 = -15° + 40°</v>
          </cell>
          <cell r="Y998" t="str">
            <v>R77DRN80MK4</v>
          </cell>
          <cell r="Z998" t="str">
            <v>SEW</v>
          </cell>
          <cell r="AB998" t="str">
            <v>-</v>
          </cell>
          <cell r="AF998">
            <v>13</v>
          </cell>
          <cell r="AG998" t="str">
            <v>DRN80MK4</v>
          </cell>
          <cell r="AH998" t="str">
            <v>R77-DRN80MK40-X</v>
          </cell>
        </row>
        <row r="999">
          <cell r="A999" t="str">
            <v>MR000995</v>
          </cell>
          <cell r="B999" t="str">
            <v>MR</v>
          </cell>
          <cell r="C999">
            <v>0.55000000000000004</v>
          </cell>
          <cell r="D999">
            <v>0.7</v>
          </cell>
          <cell r="E999" t="str">
            <v>KH107R77</v>
          </cell>
          <cell r="F999">
            <v>6540</v>
          </cell>
          <cell r="G999">
            <v>1939</v>
          </cell>
          <cell r="H999">
            <v>1.2</v>
          </cell>
          <cell r="I999" t="str">
            <v>M1B to M4B - 55°</v>
          </cell>
          <cell r="J999" t="str">
            <v>IE1</v>
          </cell>
          <cell r="K999">
            <v>400</v>
          </cell>
          <cell r="L999">
            <v>50</v>
          </cell>
          <cell r="N999">
            <v>55</v>
          </cell>
          <cell r="O999" t="str">
            <v>F(105°C)</v>
          </cell>
          <cell r="P999" t="str">
            <v>270°</v>
          </cell>
          <cell r="Q999" t="str">
            <v>-</v>
          </cell>
          <cell r="R999" t="str">
            <v>-</v>
          </cell>
          <cell r="S999" t="str">
            <v>-</v>
          </cell>
          <cell r="T999" t="str">
            <v>-</v>
          </cell>
          <cell r="U999" t="str">
            <v>T</v>
          </cell>
          <cell r="V999" t="str">
            <v>D</v>
          </cell>
          <cell r="W999" t="str">
            <v>-</v>
          </cell>
          <cell r="X999" t="str">
            <v>CLP (CC) VG 220 = -15° + 40°</v>
          </cell>
          <cell r="Y999" t="str">
            <v>KH107R77/T DRN80MK4</v>
          </cell>
          <cell r="Z999" t="str">
            <v>SEW</v>
          </cell>
          <cell r="AB999" t="str">
            <v>-</v>
          </cell>
          <cell r="AF999">
            <v>0.7</v>
          </cell>
          <cell r="AG999" t="str">
            <v>DRN80MK4</v>
          </cell>
          <cell r="AH999" t="str">
            <v>KH107R77T-DRN80MK4B270-X</v>
          </cell>
        </row>
        <row r="1000">
          <cell r="A1000" t="str">
            <v>MR000996</v>
          </cell>
          <cell r="B1000" t="str">
            <v>MR</v>
          </cell>
          <cell r="C1000">
            <v>5.5</v>
          </cell>
          <cell r="D1000">
            <v>49</v>
          </cell>
          <cell r="E1000" t="str">
            <v>FA77</v>
          </cell>
          <cell r="F1000">
            <v>1080</v>
          </cell>
          <cell r="G1000">
            <v>29.91</v>
          </cell>
          <cell r="H1000">
            <v>1.4</v>
          </cell>
          <cell r="I1000" t="str">
            <v>M1</v>
          </cell>
          <cell r="J1000" t="str">
            <v>IE2</v>
          </cell>
          <cell r="K1000" t="str">
            <v>230/400</v>
          </cell>
          <cell r="L1000">
            <v>50</v>
          </cell>
          <cell r="N1000">
            <v>55</v>
          </cell>
          <cell r="O1000" t="str">
            <v>F(105°C)</v>
          </cell>
          <cell r="P1000" t="str">
            <v>0°</v>
          </cell>
          <cell r="Q1000" t="str">
            <v>-</v>
          </cell>
          <cell r="R1000" t="str">
            <v>-</v>
          </cell>
          <cell r="S1000" t="str">
            <v>-</v>
          </cell>
          <cell r="T1000" t="str">
            <v>-</v>
          </cell>
          <cell r="U1000" t="str">
            <v>-</v>
          </cell>
          <cell r="V1000" t="str">
            <v>D</v>
          </cell>
          <cell r="W1000" t="str">
            <v>-</v>
          </cell>
          <cell r="X1000" t="str">
            <v>CLP (CC) VG 220 = -15° + 40°</v>
          </cell>
          <cell r="Y1000" t="str">
            <v>FA77DRE132M4</v>
          </cell>
          <cell r="Z1000" t="str">
            <v>SEW</v>
          </cell>
          <cell r="AB1000" t="str">
            <v>-</v>
          </cell>
          <cell r="AF1000">
            <v>49</v>
          </cell>
          <cell r="AG1000" t="str">
            <v>DRN132S4</v>
          </cell>
          <cell r="AH1000" t="str">
            <v>FA77-DRN132S40-X</v>
          </cell>
        </row>
        <row r="1001">
          <cell r="A1001" t="str">
            <v>MR000997</v>
          </cell>
          <cell r="B1001" t="str">
            <v>MR</v>
          </cell>
          <cell r="C1001">
            <v>7.5</v>
          </cell>
          <cell r="D1001">
            <v>134</v>
          </cell>
          <cell r="E1001" t="str">
            <v>FA77</v>
          </cell>
          <cell r="F1001">
            <v>535</v>
          </cell>
          <cell r="G1001">
            <v>10.93</v>
          </cell>
          <cell r="H1001">
            <v>2.8</v>
          </cell>
          <cell r="I1001" t="str">
            <v>M6</v>
          </cell>
          <cell r="J1001" t="str">
            <v>IE2</v>
          </cell>
          <cell r="K1001" t="str">
            <v>400/690</v>
          </cell>
          <cell r="L1001">
            <v>50</v>
          </cell>
          <cell r="N1001">
            <v>55</v>
          </cell>
          <cell r="O1001" t="str">
            <v>F(105°C)</v>
          </cell>
          <cell r="P1001" t="str">
            <v>90°</v>
          </cell>
          <cell r="Q1001" t="str">
            <v>-</v>
          </cell>
          <cell r="R1001" t="str">
            <v>-</v>
          </cell>
          <cell r="S1001" t="str">
            <v>-</v>
          </cell>
          <cell r="T1001" t="str">
            <v>-</v>
          </cell>
          <cell r="U1001" t="str">
            <v>-</v>
          </cell>
          <cell r="V1001" t="str">
            <v>D</v>
          </cell>
          <cell r="W1001" t="str">
            <v>-</v>
          </cell>
          <cell r="X1001" t="str">
            <v>CLP (CC) VG 220 = -15° + 40°</v>
          </cell>
          <cell r="Y1001" t="str">
            <v>FA77DRE160S4</v>
          </cell>
          <cell r="Z1001" t="str">
            <v>SEW</v>
          </cell>
          <cell r="AB1001" t="str">
            <v>-</v>
          </cell>
          <cell r="AF1001">
            <v>134</v>
          </cell>
          <cell r="AG1001" t="str">
            <v>DRN132M4</v>
          </cell>
          <cell r="AH1001" t="str">
            <v>FA77-DRN132M490-X</v>
          </cell>
        </row>
        <row r="1002">
          <cell r="A1002" t="str">
            <v>MR000998</v>
          </cell>
          <cell r="B1002" t="str">
            <v>MR</v>
          </cell>
          <cell r="C1002">
            <v>3</v>
          </cell>
          <cell r="D1002">
            <v>58</v>
          </cell>
          <cell r="E1002" t="str">
            <v>R77</v>
          </cell>
          <cell r="F1002">
            <v>495</v>
          </cell>
          <cell r="G1002">
            <v>25.23</v>
          </cell>
          <cell r="H1002">
            <v>1.2</v>
          </cell>
          <cell r="I1002" t="str">
            <v>M1</v>
          </cell>
          <cell r="J1002" t="str">
            <v>IE2</v>
          </cell>
          <cell r="K1002" t="str">
            <v>380/660</v>
          </cell>
          <cell r="L1002">
            <v>50</v>
          </cell>
          <cell r="N1002">
            <v>55</v>
          </cell>
          <cell r="O1002" t="str">
            <v>F(105°C)</v>
          </cell>
          <cell r="P1002" t="str">
            <v>0°</v>
          </cell>
          <cell r="Q1002" t="str">
            <v>TF</v>
          </cell>
          <cell r="R1002" t="str">
            <v>-</v>
          </cell>
          <cell r="S1002" t="str">
            <v>-</v>
          </cell>
          <cell r="T1002" t="str">
            <v>-</v>
          </cell>
          <cell r="U1002" t="str">
            <v>-</v>
          </cell>
          <cell r="V1002" t="str">
            <v>FC</v>
          </cell>
          <cell r="W1002" t="str">
            <v>-</v>
          </cell>
          <cell r="X1002" t="str">
            <v>CLP HC VG 220 = -20° + 60°</v>
          </cell>
          <cell r="Y1002" t="str">
            <v>R77/II2GD EDRE112M4/3GD/TF/AL</v>
          </cell>
          <cell r="Z1002" t="str">
            <v>SEW</v>
          </cell>
          <cell r="AB1002" t="str">
            <v>ATEX22</v>
          </cell>
          <cell r="AF1002">
            <v>58</v>
          </cell>
          <cell r="AG1002" t="str">
            <v>EDRE112M4</v>
          </cell>
          <cell r="AH1002" t="str">
            <v>R77-EDRE112M40-X</v>
          </cell>
        </row>
        <row r="1003">
          <cell r="A1003" t="str">
            <v>MR000999</v>
          </cell>
          <cell r="B1003" t="str">
            <v>MR</v>
          </cell>
          <cell r="C1003">
            <v>15</v>
          </cell>
          <cell r="D1003">
            <v>22</v>
          </cell>
          <cell r="E1003" t="str">
            <v>FAF107</v>
          </cell>
          <cell r="F1003">
            <v>6480</v>
          </cell>
          <cell r="G1003">
            <v>66.52</v>
          </cell>
          <cell r="H1003">
            <v>1.1000000000000001</v>
          </cell>
          <cell r="I1003" t="str">
            <v>M1B</v>
          </cell>
          <cell r="J1003" t="str">
            <v>IE2</v>
          </cell>
          <cell r="K1003" t="str">
            <v>220/380</v>
          </cell>
          <cell r="L1003">
            <v>50</v>
          </cell>
          <cell r="N1003">
            <v>55</v>
          </cell>
          <cell r="O1003" t="str">
            <v>F(105°C)</v>
          </cell>
          <cell r="P1003" t="str">
            <v>0°</v>
          </cell>
          <cell r="Q1003" t="str">
            <v>TF</v>
          </cell>
          <cell r="R1003" t="str">
            <v>-</v>
          </cell>
          <cell r="S1003" t="str">
            <v>-</v>
          </cell>
          <cell r="T1003" t="str">
            <v>-</v>
          </cell>
          <cell r="U1003" t="str">
            <v>-</v>
          </cell>
          <cell r="V1003" t="str">
            <v>FC</v>
          </cell>
          <cell r="W1003" t="str">
            <v>-</v>
          </cell>
          <cell r="X1003" t="str">
            <v>CLP HC VG 220 = -20° + 60°</v>
          </cell>
          <cell r="Y1003" t="str">
            <v>FAF107/II2GD EDRE180M4/3GD/TF/AL</v>
          </cell>
          <cell r="Z1003" t="str">
            <v>SEW</v>
          </cell>
          <cell r="AB1003" t="str">
            <v>ATEX22</v>
          </cell>
          <cell r="AF1003">
            <v>22</v>
          </cell>
          <cell r="AG1003" t="str">
            <v>EDRE180M4</v>
          </cell>
          <cell r="AH1003" t="str">
            <v>FAF107-EDRE180M4B0-X</v>
          </cell>
        </row>
        <row r="1004">
          <cell r="A1004" t="str">
            <v>MR001000</v>
          </cell>
          <cell r="B1004" t="str">
            <v>MR</v>
          </cell>
          <cell r="C1004">
            <v>2.2000000000000002</v>
          </cell>
          <cell r="D1004">
            <v>44</v>
          </cell>
          <cell r="E1004" t="str">
            <v>SF77</v>
          </cell>
          <cell r="F1004">
            <v>420</v>
          </cell>
          <cell r="G1004">
            <v>32.380000000000003</v>
          </cell>
          <cell r="H1004">
            <v>2.6</v>
          </cell>
          <cell r="I1004" t="str">
            <v>M1B</v>
          </cell>
          <cell r="J1004" t="str">
            <v>IE2</v>
          </cell>
          <cell r="K1004" t="str">
            <v>380/660</v>
          </cell>
          <cell r="L1004">
            <v>50</v>
          </cell>
          <cell r="N1004">
            <v>55</v>
          </cell>
          <cell r="O1004" t="str">
            <v>F(105°C)</v>
          </cell>
          <cell r="P1004" t="str">
            <v>0°</v>
          </cell>
          <cell r="Q1004" t="str">
            <v>TF</v>
          </cell>
          <cell r="R1004" t="str">
            <v>-</v>
          </cell>
          <cell r="S1004" t="str">
            <v>-</v>
          </cell>
          <cell r="T1004" t="str">
            <v>-</v>
          </cell>
          <cell r="U1004" t="str">
            <v>-</v>
          </cell>
          <cell r="V1004" t="str">
            <v>FC</v>
          </cell>
          <cell r="W1004" t="str">
            <v>-</v>
          </cell>
          <cell r="X1004" t="str">
            <v>CLP HC 460</v>
          </cell>
          <cell r="Y1004" t="str">
            <v>SF77/II2GD EDRE100M4/3GD/TF/AL</v>
          </cell>
          <cell r="Z1004" t="str">
            <v>SEW</v>
          </cell>
          <cell r="AB1004" t="str">
            <v>ATEX22</v>
          </cell>
          <cell r="AF1004">
            <v>44</v>
          </cell>
          <cell r="AG1004" t="str">
            <v>EDRE100L4</v>
          </cell>
          <cell r="AH1004" t="str">
            <v>SF77-EDRE100L4B0-X</v>
          </cell>
        </row>
        <row r="1005">
          <cell r="A1005" t="str">
            <v>MR001001</v>
          </cell>
          <cell r="B1005" t="str">
            <v>MR</v>
          </cell>
          <cell r="C1005">
            <v>2.2000000000000002</v>
          </cell>
          <cell r="D1005">
            <v>61</v>
          </cell>
          <cell r="E1005" t="str">
            <v>R67</v>
          </cell>
          <cell r="F1005">
            <v>345</v>
          </cell>
          <cell r="G1005">
            <v>23.44</v>
          </cell>
          <cell r="H1005">
            <v>1.45</v>
          </cell>
          <cell r="I1005" t="str">
            <v>M1</v>
          </cell>
          <cell r="J1005" t="str">
            <v>IE2</v>
          </cell>
          <cell r="K1005" t="str">
            <v>380/660</v>
          </cell>
          <cell r="L1005">
            <v>50</v>
          </cell>
          <cell r="N1005">
            <v>55</v>
          </cell>
          <cell r="O1005" t="str">
            <v>F(105°C)</v>
          </cell>
          <cell r="P1005" t="str">
            <v>0°</v>
          </cell>
          <cell r="Q1005" t="str">
            <v>TF</v>
          </cell>
          <cell r="R1005" t="str">
            <v>-</v>
          </cell>
          <cell r="S1005" t="str">
            <v>-</v>
          </cell>
          <cell r="T1005" t="str">
            <v>-</v>
          </cell>
          <cell r="U1005" t="str">
            <v>-</v>
          </cell>
          <cell r="V1005" t="str">
            <v>FC</v>
          </cell>
          <cell r="W1005" t="str">
            <v>-</v>
          </cell>
          <cell r="X1005" t="str">
            <v>CLP HC VG 220 = -20° + 60°</v>
          </cell>
          <cell r="Y1005" t="str">
            <v>R67/II2GD EDRE100M4/3GD/TF/AL</v>
          </cell>
          <cell r="Z1005" t="str">
            <v>SEW</v>
          </cell>
          <cell r="AB1005" t="str">
            <v>ATEX22</v>
          </cell>
          <cell r="AF1005">
            <v>61</v>
          </cell>
          <cell r="AG1005" t="str">
            <v>EDRE100L4</v>
          </cell>
          <cell r="AH1005" t="str">
            <v>R67-EDRE100L40-X</v>
          </cell>
        </row>
        <row r="1006">
          <cell r="A1006" t="str">
            <v>MR001002</v>
          </cell>
          <cell r="B1006" t="str">
            <v>MR</v>
          </cell>
          <cell r="C1006">
            <v>15</v>
          </cell>
          <cell r="D1006">
            <v>42</v>
          </cell>
          <cell r="E1006" t="str">
            <v>R107</v>
          </cell>
          <cell r="F1006">
            <v>3420</v>
          </cell>
          <cell r="G1006">
            <v>35.26</v>
          </cell>
          <cell r="H1006">
            <v>1.25</v>
          </cell>
          <cell r="I1006" t="str">
            <v>From M1 to M5 - 30°</v>
          </cell>
          <cell r="J1006" t="str">
            <v>IE3</v>
          </cell>
          <cell r="K1006">
            <v>415</v>
          </cell>
          <cell r="L1006">
            <v>50</v>
          </cell>
          <cell r="N1006">
            <v>55</v>
          </cell>
          <cell r="O1006" t="str">
            <v>F(105°C)</v>
          </cell>
          <cell r="P1006" t="str">
            <v>270°</v>
          </cell>
          <cell r="Q1006" t="str">
            <v>TF</v>
          </cell>
          <cell r="R1006" t="str">
            <v>V(VE)</v>
          </cell>
          <cell r="S1006" t="str">
            <v>-</v>
          </cell>
          <cell r="T1006" t="str">
            <v>-</v>
          </cell>
          <cell r="U1006" t="str">
            <v>-</v>
          </cell>
          <cell r="V1006" t="str">
            <v>FC</v>
          </cell>
          <cell r="W1006" t="str">
            <v>-</v>
          </cell>
          <cell r="X1006" t="str">
            <v>CLP (CC) VG 220 = -15° + 40°</v>
          </cell>
          <cell r="Y1006" t="str">
            <v>R107DRN160L4 /TF/V</v>
          </cell>
          <cell r="Z1006" t="str">
            <v>SEW</v>
          </cell>
          <cell r="AB1006" t="str">
            <v>-</v>
          </cell>
          <cell r="AF1006">
            <v>42</v>
          </cell>
          <cell r="AG1006" t="str">
            <v>DRN160L4</v>
          </cell>
          <cell r="AH1006" t="str">
            <v>R107-DRN160L4270-X#</v>
          </cell>
        </row>
        <row r="1007">
          <cell r="A1007" t="str">
            <v>MR001003</v>
          </cell>
          <cell r="B1007" t="str">
            <v>MR</v>
          </cell>
          <cell r="C1007">
            <v>22</v>
          </cell>
          <cell r="D1007">
            <v>45</v>
          </cell>
          <cell r="E1007" t="str">
            <v>R137</v>
          </cell>
          <cell r="F1007">
            <v>4680</v>
          </cell>
          <cell r="G1007">
            <v>32.909999999999997</v>
          </cell>
          <cell r="H1007">
            <v>1.7</v>
          </cell>
          <cell r="I1007" t="str">
            <v>From M1 to M5 - 20°</v>
          </cell>
          <cell r="J1007" t="str">
            <v>IE3</v>
          </cell>
          <cell r="K1007">
            <v>415</v>
          </cell>
          <cell r="L1007">
            <v>50</v>
          </cell>
          <cell r="M1007">
            <v>38.5</v>
          </cell>
          <cell r="N1007">
            <v>55</v>
          </cell>
          <cell r="O1007" t="str">
            <v>F(105°C)</v>
          </cell>
          <cell r="P1007" t="str">
            <v>270°</v>
          </cell>
          <cell r="Q1007" t="str">
            <v>TF</v>
          </cell>
          <cell r="R1007" t="str">
            <v>V(VE)</v>
          </cell>
          <cell r="S1007" t="str">
            <v>-</v>
          </cell>
          <cell r="T1007" t="str">
            <v>-</v>
          </cell>
          <cell r="U1007" t="str">
            <v>-</v>
          </cell>
          <cell r="V1007" t="str">
            <v>FC</v>
          </cell>
          <cell r="W1007" t="str">
            <v>-</v>
          </cell>
          <cell r="X1007" t="str">
            <v>CLP (CC) VG 220 = -15° + 40°</v>
          </cell>
          <cell r="Y1007" t="str">
            <v>R137DRN180L4 /TF/V</v>
          </cell>
          <cell r="Z1007" t="str">
            <v>SEW</v>
          </cell>
          <cell r="AB1007" t="str">
            <v>-</v>
          </cell>
          <cell r="AF1007">
            <v>45</v>
          </cell>
          <cell r="AG1007" t="str">
            <v>DRN180L4</v>
          </cell>
          <cell r="AH1007" t="str">
            <v>R137-DRN180L4270-X#</v>
          </cell>
        </row>
        <row r="1008">
          <cell r="A1008" t="str">
            <v>MR001004</v>
          </cell>
          <cell r="B1008" t="str">
            <v>MR</v>
          </cell>
          <cell r="C1008">
            <v>7.5</v>
          </cell>
          <cell r="D1008">
            <v>55</v>
          </cell>
          <cell r="E1008" t="str">
            <v>FH87</v>
          </cell>
          <cell r="F1008">
            <v>1290</v>
          </cell>
          <cell r="G1008">
            <v>26.5</v>
          </cell>
          <cell r="H1008">
            <v>2.2999999999999998</v>
          </cell>
          <cell r="I1008" t="str">
            <v>From M1 to M4 - 5°</v>
          </cell>
          <cell r="J1008" t="str">
            <v>IE3</v>
          </cell>
          <cell r="K1008">
            <v>415</v>
          </cell>
          <cell r="L1008">
            <v>50</v>
          </cell>
          <cell r="M1008">
            <v>15.2</v>
          </cell>
          <cell r="N1008">
            <v>55</v>
          </cell>
          <cell r="O1008" t="str">
            <v>F(105°C)</v>
          </cell>
          <cell r="P1008" t="str">
            <v>270°</v>
          </cell>
          <cell r="Q1008" t="str">
            <v>TF</v>
          </cell>
          <cell r="R1008" t="str">
            <v>V(VE)</v>
          </cell>
          <cell r="S1008" t="str">
            <v>-</v>
          </cell>
          <cell r="T1008" t="str">
            <v>-</v>
          </cell>
          <cell r="U1008" t="str">
            <v>G</v>
          </cell>
          <cell r="V1008" t="str">
            <v>FC</v>
          </cell>
          <cell r="W1008" t="str">
            <v>-</v>
          </cell>
          <cell r="X1008" t="str">
            <v>CLP (CC) VG 220 = -15° + 40°</v>
          </cell>
          <cell r="Y1008" t="str">
            <v>FH87/G DRN132M4 /TF/V</v>
          </cell>
          <cell r="Z1008" t="str">
            <v>SEW</v>
          </cell>
          <cell r="AB1008" t="str">
            <v>-</v>
          </cell>
          <cell r="AF1008">
            <v>55</v>
          </cell>
          <cell r="AG1008" t="str">
            <v>DRN132M4</v>
          </cell>
          <cell r="AH1008" t="str">
            <v>FH87G-DRN132M4270-X#</v>
          </cell>
        </row>
        <row r="1009">
          <cell r="A1009" t="str">
            <v>MR001005</v>
          </cell>
          <cell r="B1009" t="str">
            <v>MR</v>
          </cell>
          <cell r="C1009">
            <v>22</v>
          </cell>
          <cell r="D1009">
            <v>45</v>
          </cell>
          <cell r="E1009" t="str">
            <v>R137</v>
          </cell>
          <cell r="F1009">
            <v>4680</v>
          </cell>
          <cell r="G1009">
            <v>32.909999999999997</v>
          </cell>
          <cell r="H1009">
            <v>1.7</v>
          </cell>
          <cell r="I1009" t="str">
            <v>From M1 to M5 - 25°</v>
          </cell>
          <cell r="J1009" t="str">
            <v>IE3</v>
          </cell>
          <cell r="K1009">
            <v>415</v>
          </cell>
          <cell r="L1009">
            <v>50</v>
          </cell>
          <cell r="M1009">
            <v>38.5</v>
          </cell>
          <cell r="N1009">
            <v>55</v>
          </cell>
          <cell r="O1009" t="str">
            <v>F(105°C)</v>
          </cell>
          <cell r="P1009" t="str">
            <v>270°</v>
          </cell>
          <cell r="Q1009" t="str">
            <v>TF</v>
          </cell>
          <cell r="R1009" t="str">
            <v>V(VE)</v>
          </cell>
          <cell r="S1009" t="str">
            <v>-</v>
          </cell>
          <cell r="T1009" t="str">
            <v>-</v>
          </cell>
          <cell r="U1009" t="str">
            <v>-</v>
          </cell>
          <cell r="V1009" t="str">
            <v>FC</v>
          </cell>
          <cell r="W1009" t="str">
            <v>-</v>
          </cell>
          <cell r="X1009" t="str">
            <v>CLP (CC) VG 220 = -15° + 40°</v>
          </cell>
          <cell r="Y1009" t="str">
            <v>R137DRN180L4 /TF/V</v>
          </cell>
          <cell r="Z1009" t="str">
            <v>SEW</v>
          </cell>
          <cell r="AB1009" t="str">
            <v>-</v>
          </cell>
          <cell r="AF1009">
            <v>45</v>
          </cell>
          <cell r="AG1009" t="str">
            <v>DRN180L4</v>
          </cell>
          <cell r="AH1009" t="str">
            <v>R137-DRN180L4270-X#</v>
          </cell>
        </row>
        <row r="1010">
          <cell r="A1010" t="str">
            <v>MR001006</v>
          </cell>
          <cell r="B1010" t="str">
            <v>R</v>
          </cell>
          <cell r="C1010" t="str">
            <v>-</v>
          </cell>
          <cell r="E1010" t="str">
            <v>R137</v>
          </cell>
          <cell r="G1010">
            <v>37.65</v>
          </cell>
          <cell r="I1010" t="str">
            <v>M1</v>
          </cell>
          <cell r="J1010" t="str">
            <v>-</v>
          </cell>
          <cell r="N1010" t="str">
            <v>-</v>
          </cell>
          <cell r="O1010" t="str">
            <v>-</v>
          </cell>
          <cell r="P1010" t="str">
            <v>-</v>
          </cell>
          <cell r="Q1010" t="str">
            <v>-</v>
          </cell>
          <cell r="R1010" t="str">
            <v>-</v>
          </cell>
          <cell r="S1010" t="str">
            <v>-</v>
          </cell>
          <cell r="T1010" t="str">
            <v>-</v>
          </cell>
          <cell r="U1010" t="str">
            <v>-</v>
          </cell>
          <cell r="V1010" t="str">
            <v>-</v>
          </cell>
          <cell r="W1010" t="str">
            <v>-</v>
          </cell>
          <cell r="X1010" t="str">
            <v>CLP (CC) VG 220 = -15° + 40°</v>
          </cell>
          <cell r="Y1010" t="str">
            <v>R137/A</v>
          </cell>
          <cell r="Z1010" t="str">
            <v>SEW</v>
          </cell>
          <cell r="AB1010" t="str">
            <v>-</v>
          </cell>
          <cell r="AF1010">
            <v>0</v>
          </cell>
          <cell r="AG1010" t="str">
            <v>-</v>
          </cell>
          <cell r="AH1010" t="str">
            <v>R137----X</v>
          </cell>
        </row>
        <row r="1011">
          <cell r="A1011" t="str">
            <v>MR001007</v>
          </cell>
          <cell r="B1011" t="str">
            <v>MR</v>
          </cell>
          <cell r="C1011">
            <v>0.55000000000000004</v>
          </cell>
          <cell r="D1011">
            <v>0.7</v>
          </cell>
          <cell r="E1011" t="str">
            <v>KH107R77</v>
          </cell>
          <cell r="F1011">
            <v>6540</v>
          </cell>
          <cell r="G1011">
            <v>1939</v>
          </cell>
          <cell r="H1011">
            <v>1.2</v>
          </cell>
          <cell r="I1011" t="str">
            <v>From M1 to M4 A 65°</v>
          </cell>
          <cell r="J1011" t="str">
            <v>IE1</v>
          </cell>
          <cell r="K1011">
            <v>400</v>
          </cell>
          <cell r="L1011">
            <v>50</v>
          </cell>
          <cell r="N1011">
            <v>55</v>
          </cell>
          <cell r="O1011" t="str">
            <v>F(105°C)</v>
          </cell>
          <cell r="P1011" t="str">
            <v>270°</v>
          </cell>
          <cell r="Q1011" t="str">
            <v>-</v>
          </cell>
          <cell r="R1011" t="str">
            <v>-</v>
          </cell>
          <cell r="S1011" t="str">
            <v>-</v>
          </cell>
          <cell r="T1011" t="str">
            <v>-</v>
          </cell>
          <cell r="U1011" t="str">
            <v>T</v>
          </cell>
          <cell r="V1011" t="str">
            <v>D</v>
          </cell>
          <cell r="W1011" t="str">
            <v>-</v>
          </cell>
          <cell r="X1011" t="str">
            <v>CLP (CC) VG 220 = -15° + 40°</v>
          </cell>
          <cell r="Y1011" t="str">
            <v>KH107R77/T DRN80MK4</v>
          </cell>
          <cell r="Z1011" t="str">
            <v>SEW</v>
          </cell>
          <cell r="AB1011" t="str">
            <v>-</v>
          </cell>
          <cell r="AF1011">
            <v>0.7</v>
          </cell>
          <cell r="AG1011" t="str">
            <v>DRN80MK4</v>
          </cell>
          <cell r="AH1011" t="str">
            <v>KH107R77T-DRN80MK4A270-X</v>
          </cell>
        </row>
        <row r="1012">
          <cell r="A1012" t="str">
            <v>MR001008</v>
          </cell>
          <cell r="B1012" t="str">
            <v>MR</v>
          </cell>
          <cell r="C1012">
            <v>1.1000000000000001</v>
          </cell>
          <cell r="D1012">
            <v>5.4</v>
          </cell>
          <cell r="E1012" t="str">
            <v>FA87</v>
          </cell>
          <cell r="F1012">
            <v>1950</v>
          </cell>
          <cell r="G1012">
            <v>270.68</v>
          </cell>
          <cell r="H1012">
            <v>1.55</v>
          </cell>
          <cell r="I1012" t="str">
            <v>From M1 to M4  10°</v>
          </cell>
          <cell r="J1012" t="str">
            <v>IE3</v>
          </cell>
          <cell r="K1012">
            <v>400</v>
          </cell>
          <cell r="L1012">
            <v>50</v>
          </cell>
          <cell r="N1012">
            <v>55</v>
          </cell>
          <cell r="O1012" t="str">
            <v>F(105°C)</v>
          </cell>
          <cell r="P1012" t="str">
            <v>0°</v>
          </cell>
          <cell r="Q1012" t="str">
            <v>-</v>
          </cell>
          <cell r="R1012" t="str">
            <v>-</v>
          </cell>
          <cell r="S1012" t="str">
            <v>-</v>
          </cell>
          <cell r="T1012" t="str">
            <v>-</v>
          </cell>
          <cell r="U1012" t="str">
            <v>-</v>
          </cell>
          <cell r="V1012" t="str">
            <v>D</v>
          </cell>
          <cell r="W1012" t="str">
            <v>-</v>
          </cell>
          <cell r="X1012" t="str">
            <v>CLP (CC) VG 220 = -15° + 40°</v>
          </cell>
          <cell r="Y1012" t="str">
            <v>FA87DRN90S4</v>
          </cell>
          <cell r="Z1012" t="str">
            <v>SEW</v>
          </cell>
          <cell r="AB1012" t="str">
            <v>-</v>
          </cell>
          <cell r="AF1012">
            <v>5.4</v>
          </cell>
          <cell r="AG1012" t="str">
            <v>DRN90S4</v>
          </cell>
          <cell r="AH1012" t="str">
            <v>FA87-DRN90S40-X</v>
          </cell>
        </row>
        <row r="1013">
          <cell r="A1013" t="str">
            <v>MR001009</v>
          </cell>
          <cell r="B1013" t="str">
            <v>MR</v>
          </cell>
          <cell r="C1013">
            <v>1.1000000000000001</v>
          </cell>
          <cell r="D1013">
            <v>5.4</v>
          </cell>
          <cell r="E1013" t="str">
            <v>FA87</v>
          </cell>
          <cell r="F1013">
            <v>1950</v>
          </cell>
          <cell r="G1013">
            <v>270.68</v>
          </cell>
          <cell r="H1013">
            <v>1.55</v>
          </cell>
          <cell r="I1013" t="str">
            <v>From M1 to M4  15°</v>
          </cell>
          <cell r="J1013" t="str">
            <v>IE3</v>
          </cell>
          <cell r="K1013">
            <v>400</v>
          </cell>
          <cell r="L1013">
            <v>50</v>
          </cell>
          <cell r="N1013">
            <v>55</v>
          </cell>
          <cell r="O1013" t="str">
            <v>F(105°C)</v>
          </cell>
          <cell r="P1013" t="str">
            <v>0°</v>
          </cell>
          <cell r="Q1013" t="str">
            <v>-</v>
          </cell>
          <cell r="R1013" t="str">
            <v>-</v>
          </cell>
          <cell r="S1013" t="str">
            <v>-</v>
          </cell>
          <cell r="T1013" t="str">
            <v>-</v>
          </cell>
          <cell r="U1013" t="str">
            <v>-</v>
          </cell>
          <cell r="V1013" t="str">
            <v>D</v>
          </cell>
          <cell r="W1013" t="str">
            <v>-</v>
          </cell>
          <cell r="X1013" t="str">
            <v>CLP (CC) VG 220 = -15° + 40°</v>
          </cell>
          <cell r="Y1013" t="str">
            <v>FA87DRN90S4</v>
          </cell>
          <cell r="Z1013" t="str">
            <v>SEW</v>
          </cell>
          <cell r="AB1013" t="str">
            <v>-</v>
          </cell>
          <cell r="AF1013">
            <v>5.4</v>
          </cell>
          <cell r="AG1013" t="str">
            <v>DRN90S4</v>
          </cell>
          <cell r="AH1013" t="str">
            <v>FA87-DRN90S40-X</v>
          </cell>
        </row>
        <row r="1014">
          <cell r="A1014" t="str">
            <v>MR001010</v>
          </cell>
          <cell r="B1014" t="str">
            <v>MR</v>
          </cell>
          <cell r="C1014">
            <v>0.75</v>
          </cell>
          <cell r="D1014">
            <v>8.6999999999999993</v>
          </cell>
          <cell r="E1014" t="str">
            <v>FA77</v>
          </cell>
          <cell r="F1014">
            <v>820</v>
          </cell>
          <cell r="G1014">
            <v>166.47</v>
          </cell>
          <cell r="H1014">
            <v>1.8</v>
          </cell>
          <cell r="I1014" t="str">
            <v>M1</v>
          </cell>
          <cell r="J1014" t="str">
            <v>IE3</v>
          </cell>
          <cell r="K1014">
            <v>400</v>
          </cell>
          <cell r="L1014">
            <v>50</v>
          </cell>
          <cell r="N1014">
            <v>55</v>
          </cell>
          <cell r="O1014" t="str">
            <v>F(105°C)</v>
          </cell>
          <cell r="P1014" t="str">
            <v>0°</v>
          </cell>
          <cell r="Q1014" t="str">
            <v>TF</v>
          </cell>
          <cell r="R1014" t="str">
            <v>V(VE)</v>
          </cell>
          <cell r="S1014" t="str">
            <v>-</v>
          </cell>
          <cell r="T1014" t="str">
            <v>-</v>
          </cell>
          <cell r="U1014" t="str">
            <v>G</v>
          </cell>
          <cell r="V1014" t="str">
            <v>FC</v>
          </cell>
          <cell r="W1014" t="str">
            <v>-</v>
          </cell>
          <cell r="X1014" t="str">
            <v>CLP (CC) VG 220 = -15° + 40°</v>
          </cell>
          <cell r="Y1014" t="str">
            <v>FA77/G DRN80M4 /TF/V</v>
          </cell>
          <cell r="Z1014" t="str">
            <v>SEW</v>
          </cell>
          <cell r="AB1014" t="str">
            <v>-</v>
          </cell>
          <cell r="AF1014">
            <v>8.6999999999999993</v>
          </cell>
          <cell r="AG1014" t="str">
            <v>DRN80M4</v>
          </cell>
          <cell r="AH1014" t="str">
            <v>FA77G-DRN80M40-X#</v>
          </cell>
        </row>
        <row r="1015">
          <cell r="A1015" t="str">
            <v>MR001011</v>
          </cell>
          <cell r="B1015" t="str">
            <v>ME</v>
          </cell>
          <cell r="C1015">
            <v>1.1000000000000001</v>
          </cell>
          <cell r="D1015">
            <v>1473</v>
          </cell>
          <cell r="E1015" t="str">
            <v>-</v>
          </cell>
          <cell r="I1015" t="str">
            <v>M1</v>
          </cell>
          <cell r="J1015" t="str">
            <v>IE3</v>
          </cell>
          <cell r="K1015" t="str">
            <v>400/690</v>
          </cell>
          <cell r="L1015">
            <v>50</v>
          </cell>
          <cell r="N1015">
            <v>55</v>
          </cell>
          <cell r="O1015" t="str">
            <v>F(105°C)</v>
          </cell>
          <cell r="P1015" t="str">
            <v>270°</v>
          </cell>
          <cell r="Q1015" t="str">
            <v>-</v>
          </cell>
          <cell r="R1015" t="str">
            <v>-</v>
          </cell>
          <cell r="S1015" t="str">
            <v>-</v>
          </cell>
          <cell r="T1015" t="str">
            <v>-</v>
          </cell>
          <cell r="U1015" t="str">
            <v>-</v>
          </cell>
          <cell r="V1015" t="str">
            <v>-</v>
          </cell>
          <cell r="W1015" t="str">
            <v>-</v>
          </cell>
          <cell r="X1015" t="str">
            <v xml:space="preserve"> -</v>
          </cell>
          <cell r="Y1015" t="str">
            <v>DRN160M4/FG</v>
          </cell>
          <cell r="Z1015" t="str">
            <v>SEW</v>
          </cell>
          <cell r="AB1015" t="str">
            <v>-</v>
          </cell>
          <cell r="AF1015">
            <v>1473</v>
          </cell>
          <cell r="AG1015" t="str">
            <v>DRN90S4</v>
          </cell>
          <cell r="AH1015" t="str">
            <v>--DRN90S4270-X</v>
          </cell>
        </row>
        <row r="1016">
          <cell r="A1016" t="str">
            <v>MR001012</v>
          </cell>
          <cell r="B1016" t="str">
            <v>MR</v>
          </cell>
          <cell r="C1016">
            <v>45</v>
          </cell>
          <cell r="D1016">
            <v>116</v>
          </cell>
          <cell r="E1016" t="str">
            <v>KH127</v>
          </cell>
          <cell r="F1016">
            <v>3700</v>
          </cell>
          <cell r="G1016">
            <v>12.79</v>
          </cell>
          <cell r="H1016" t="str">
            <v>2.3</v>
          </cell>
          <cell r="I1016" t="str">
            <v>M4A</v>
          </cell>
          <cell r="J1016" t="str">
            <v>IE3</v>
          </cell>
          <cell r="K1016">
            <v>400</v>
          </cell>
          <cell r="L1016">
            <v>50</v>
          </cell>
          <cell r="M1016">
            <v>81</v>
          </cell>
          <cell r="N1016">
            <v>55</v>
          </cell>
          <cell r="O1016" t="str">
            <v>F(105°C)</v>
          </cell>
          <cell r="P1016" t="str">
            <v>270°</v>
          </cell>
          <cell r="Q1016" t="str">
            <v>TF</v>
          </cell>
          <cell r="R1016" t="str">
            <v>V(VE)</v>
          </cell>
          <cell r="S1016" t="str">
            <v>Free rotation CCW</v>
          </cell>
          <cell r="T1016" t="str">
            <v>-</v>
          </cell>
          <cell r="U1016" t="str">
            <v>T</v>
          </cell>
          <cell r="V1016" t="str">
            <v>FC</v>
          </cell>
          <cell r="W1016" t="str">
            <v>-</v>
          </cell>
          <cell r="X1016" t="str">
            <v>CLP (CC) VG 220 = -15° + 40°</v>
          </cell>
          <cell r="Y1016" t="str">
            <v>KH127/T DRN225M4 /RS /TF/V</v>
          </cell>
          <cell r="Z1016" t="str">
            <v>SEW</v>
          </cell>
          <cell r="AB1016" t="str">
            <v>-</v>
          </cell>
          <cell r="AF1016">
            <v>116</v>
          </cell>
          <cell r="AG1016" t="str">
            <v>DRN225M4</v>
          </cell>
          <cell r="AH1016" t="str">
            <v>KH127T-DRN225M4A270-X#</v>
          </cell>
        </row>
        <row r="1017">
          <cell r="A1017" t="str">
            <v>MR001013</v>
          </cell>
          <cell r="B1017" t="str">
            <v>MR</v>
          </cell>
          <cell r="C1017">
            <v>15</v>
          </cell>
          <cell r="D1017">
            <v>53</v>
          </cell>
          <cell r="E1017" t="str">
            <v>R107</v>
          </cell>
          <cell r="F1017">
            <v>2680</v>
          </cell>
          <cell r="G1017">
            <v>27.58</v>
          </cell>
          <cell r="H1017" t="str">
            <v>1.6</v>
          </cell>
          <cell r="I1017" t="str">
            <v>M1</v>
          </cell>
          <cell r="J1017" t="str">
            <v>IE3</v>
          </cell>
          <cell r="K1017">
            <v>400</v>
          </cell>
          <cell r="L1017">
            <v>50</v>
          </cell>
          <cell r="M1017">
            <v>29</v>
          </cell>
          <cell r="N1017">
            <v>55</v>
          </cell>
          <cell r="O1017" t="str">
            <v>F(105°C)</v>
          </cell>
          <cell r="P1017" t="str">
            <v>270°</v>
          </cell>
          <cell r="Q1017" t="str">
            <v>-</v>
          </cell>
          <cell r="R1017" t="str">
            <v>-</v>
          </cell>
          <cell r="S1017" t="str">
            <v>-</v>
          </cell>
          <cell r="T1017" t="str">
            <v>-</v>
          </cell>
          <cell r="U1017" t="str">
            <v>-</v>
          </cell>
          <cell r="V1017" t="str">
            <v>D</v>
          </cell>
          <cell r="W1017" t="str">
            <v>-</v>
          </cell>
          <cell r="X1017" t="str">
            <v>CLP (CC) VG 220 = -15° + 40°</v>
          </cell>
          <cell r="Y1017" t="str">
            <v>R107DRN160L4</v>
          </cell>
          <cell r="Z1017" t="str">
            <v>SEW</v>
          </cell>
          <cell r="AB1017" t="str">
            <v>-</v>
          </cell>
          <cell r="AF1017">
            <v>53</v>
          </cell>
          <cell r="AG1017" t="str">
            <v>DRN160L4</v>
          </cell>
          <cell r="AH1017" t="str">
            <v>R107-DRN160L4270-X</v>
          </cell>
        </row>
        <row r="1018">
          <cell r="A1018" t="str">
            <v>MR001014</v>
          </cell>
          <cell r="B1018" t="str">
            <v>MR</v>
          </cell>
          <cell r="C1018">
            <v>15</v>
          </cell>
          <cell r="D1018">
            <v>53</v>
          </cell>
          <cell r="E1018" t="str">
            <v>R107</v>
          </cell>
          <cell r="F1018">
            <v>2680</v>
          </cell>
          <cell r="G1018">
            <v>27.58</v>
          </cell>
          <cell r="H1018" t="str">
            <v>1.6</v>
          </cell>
          <cell r="I1018" t="str">
            <v>From M1 to M4 - 20°</v>
          </cell>
          <cell r="J1018" t="str">
            <v>IE3</v>
          </cell>
          <cell r="K1018">
            <v>400</v>
          </cell>
          <cell r="L1018">
            <v>50</v>
          </cell>
          <cell r="M1018">
            <v>29</v>
          </cell>
          <cell r="N1018">
            <v>55</v>
          </cell>
          <cell r="O1018" t="str">
            <v>F(105°C)</v>
          </cell>
          <cell r="P1018" t="str">
            <v>270°</v>
          </cell>
          <cell r="Q1018" t="str">
            <v>-</v>
          </cell>
          <cell r="R1018" t="str">
            <v>-</v>
          </cell>
          <cell r="S1018" t="str">
            <v>-</v>
          </cell>
          <cell r="T1018" t="str">
            <v>-</v>
          </cell>
          <cell r="U1018" t="str">
            <v>-</v>
          </cell>
          <cell r="V1018" t="str">
            <v>D</v>
          </cell>
          <cell r="W1018" t="str">
            <v>-</v>
          </cell>
          <cell r="X1018" t="str">
            <v>CLP (CC) VG 220 = -15° + 40°</v>
          </cell>
          <cell r="Y1018" t="str">
            <v>R107DRN160L4</v>
          </cell>
          <cell r="Z1018" t="str">
            <v>SEW</v>
          </cell>
          <cell r="AB1018" t="str">
            <v>-</v>
          </cell>
          <cell r="AF1018">
            <v>53</v>
          </cell>
          <cell r="AG1018" t="str">
            <v>DRN160L4</v>
          </cell>
          <cell r="AH1018" t="str">
            <v>R107-DRN160L4270-X</v>
          </cell>
        </row>
        <row r="1019">
          <cell r="A1019" t="str">
            <v>MR001015</v>
          </cell>
          <cell r="B1019" t="str">
            <v>MR</v>
          </cell>
          <cell r="C1019">
            <v>22</v>
          </cell>
          <cell r="D1019">
            <v>33</v>
          </cell>
          <cell r="E1019" t="str">
            <v>R137</v>
          </cell>
          <cell r="F1019">
            <v>6310</v>
          </cell>
          <cell r="G1019">
            <v>44.39</v>
          </cell>
          <cell r="H1019" t="str">
            <v>1.25</v>
          </cell>
          <cell r="I1019" t="str">
            <v>From M1 to M2 - 15°</v>
          </cell>
          <cell r="J1019" t="str">
            <v>IE3</v>
          </cell>
          <cell r="K1019">
            <v>400</v>
          </cell>
          <cell r="L1019">
            <v>50</v>
          </cell>
          <cell r="M1019">
            <v>38.5</v>
          </cell>
          <cell r="N1019">
            <v>55</v>
          </cell>
          <cell r="O1019" t="str">
            <v>F(105°C)</v>
          </cell>
          <cell r="P1019" t="str">
            <v>270°</v>
          </cell>
          <cell r="Q1019" t="str">
            <v>TF</v>
          </cell>
          <cell r="R1019" t="str">
            <v>V(VE)</v>
          </cell>
          <cell r="V1019" t="str">
            <v>FC</v>
          </cell>
          <cell r="X1019" t="str">
            <v>CLP (CC) VG 220 = -15° + 40°</v>
          </cell>
          <cell r="Y1019" t="str">
            <v>R137DRN180L4/TF/V</v>
          </cell>
          <cell r="Z1019" t="str">
            <v>SEW</v>
          </cell>
          <cell r="AF1019">
            <v>33</v>
          </cell>
          <cell r="AG1019" t="str">
            <v>DRN180L4</v>
          </cell>
          <cell r="AH1019" t="str">
            <v>R137-DRN180L4270-X#</v>
          </cell>
        </row>
        <row r="1020">
          <cell r="A1020" t="str">
            <v>MR001016</v>
          </cell>
          <cell r="B1020" t="str">
            <v>MR</v>
          </cell>
          <cell r="C1020">
            <v>22</v>
          </cell>
          <cell r="D1020">
            <v>53</v>
          </cell>
          <cell r="E1020" t="str">
            <v>R137</v>
          </cell>
          <cell r="F1020">
            <v>3950</v>
          </cell>
          <cell r="G1020">
            <v>27.83</v>
          </cell>
          <cell r="H1020" t="str">
            <v>1.95</v>
          </cell>
          <cell r="I1020" t="str">
            <v>M1</v>
          </cell>
          <cell r="J1020" t="str">
            <v>IE3</v>
          </cell>
          <cell r="K1020">
            <v>400</v>
          </cell>
          <cell r="L1020">
            <v>50</v>
          </cell>
          <cell r="M1020">
            <v>38.5</v>
          </cell>
          <cell r="N1020">
            <v>55</v>
          </cell>
          <cell r="O1020" t="str">
            <v>F(105°C)</v>
          </cell>
          <cell r="P1020" t="str">
            <v>270°</v>
          </cell>
          <cell r="V1020" t="str">
            <v>D+R</v>
          </cell>
          <cell r="X1020" t="str">
            <v>CLP (CC) VG 220 = -15° + 40°</v>
          </cell>
          <cell r="Y1020" t="str">
            <v>R137DRN180L4</v>
          </cell>
          <cell r="Z1020" t="str">
            <v>SEW</v>
          </cell>
          <cell r="AF1020">
            <v>53</v>
          </cell>
          <cell r="AG1020" t="str">
            <v>DRN180L4</v>
          </cell>
          <cell r="AH1020" t="str">
            <v>R137-DRN180L4270-X#</v>
          </cell>
        </row>
        <row r="1021">
          <cell r="A1021" t="str">
            <v>MR001017</v>
          </cell>
          <cell r="B1021" t="str">
            <v>MR</v>
          </cell>
          <cell r="C1021">
            <v>30</v>
          </cell>
          <cell r="D1021">
            <v>110</v>
          </cell>
          <cell r="E1021" t="str">
            <v>KH107</v>
          </cell>
          <cell r="F1021">
            <v>2590</v>
          </cell>
          <cell r="G1021">
            <v>13.43</v>
          </cell>
          <cell r="H1021" t="str">
            <v>1.65</v>
          </cell>
          <cell r="I1021" t="str">
            <v>M4B</v>
          </cell>
          <cell r="J1021" t="str">
            <v>IE3</v>
          </cell>
          <cell r="K1021">
            <v>400</v>
          </cell>
          <cell r="L1021">
            <v>50</v>
          </cell>
          <cell r="M1021">
            <v>56</v>
          </cell>
          <cell r="N1021">
            <v>55</v>
          </cell>
          <cell r="O1021" t="str">
            <v>F(105°C)</v>
          </cell>
          <cell r="P1021" t="str">
            <v>270°</v>
          </cell>
          <cell r="Q1021" t="str">
            <v>TF</v>
          </cell>
          <cell r="R1021" t="str">
            <v>V(VE)</v>
          </cell>
          <cell r="S1021" t="str">
            <v>Free rotation CW</v>
          </cell>
          <cell r="U1021" t="str">
            <v>T</v>
          </cell>
          <cell r="V1021" t="str">
            <v>FC</v>
          </cell>
          <cell r="X1021" t="str">
            <v>CLP (CC) VG 220 = -15° + 40°</v>
          </cell>
          <cell r="Y1021" t="str">
            <v>KH107/T DR200L4/TF/V</v>
          </cell>
          <cell r="Z1021" t="str">
            <v>SEW</v>
          </cell>
          <cell r="AF1021">
            <v>110</v>
          </cell>
          <cell r="AG1021" t="str">
            <v>DRN200L4</v>
          </cell>
          <cell r="AH1021" t="str">
            <v>KH107T-DRN200L4B270-X#</v>
          </cell>
        </row>
        <row r="1022">
          <cell r="A1022" t="str">
            <v>MR001018</v>
          </cell>
          <cell r="B1022" t="str">
            <v>ME</v>
          </cell>
          <cell r="C1022">
            <v>55</v>
          </cell>
          <cell r="D1022">
            <v>1482</v>
          </cell>
          <cell r="E1022" t="str">
            <v>1LE1503</v>
          </cell>
          <cell r="I1022" t="str">
            <v>V1/B5</v>
          </cell>
          <cell r="J1022" t="str">
            <v>IE3</v>
          </cell>
          <cell r="K1022">
            <v>400</v>
          </cell>
          <cell r="L1022">
            <v>50</v>
          </cell>
          <cell r="M1022">
            <v>105</v>
          </cell>
          <cell r="N1022">
            <v>55</v>
          </cell>
          <cell r="O1022" t="str">
            <v>F(105°C)</v>
          </cell>
          <cell r="V1022" t="str">
            <v>D</v>
          </cell>
          <cell r="Y1022" t="str">
            <v>1LE1503-2CB23-4FA4</v>
          </cell>
          <cell r="Z1022" t="str">
            <v>SIEMENS</v>
          </cell>
          <cell r="AE1022" t="str">
            <v>4 POLES</v>
          </cell>
          <cell r="AF1022">
            <v>1482</v>
          </cell>
          <cell r="AG1022" t="str">
            <v>250M</v>
          </cell>
          <cell r="AH1022" t="str">
            <v>1LE1503-250MB-X#</v>
          </cell>
        </row>
        <row r="1023">
          <cell r="A1023" t="str">
            <v>MR001019</v>
          </cell>
          <cell r="B1023" t="str">
            <v>MR</v>
          </cell>
          <cell r="C1023">
            <v>22</v>
          </cell>
          <cell r="D1023">
            <v>18</v>
          </cell>
          <cell r="E1023" t="str">
            <v>R147</v>
          </cell>
          <cell r="F1023">
            <v>11800</v>
          </cell>
          <cell r="G1023">
            <v>83.47</v>
          </cell>
          <cell r="H1023" t="str">
            <v>1.1</v>
          </cell>
          <cell r="I1023" t="str">
            <v>M1</v>
          </cell>
          <cell r="J1023" t="str">
            <v>IE3</v>
          </cell>
          <cell r="K1023">
            <v>400</v>
          </cell>
          <cell r="L1023">
            <v>50</v>
          </cell>
          <cell r="M1023">
            <v>38.5</v>
          </cell>
          <cell r="N1023">
            <v>55</v>
          </cell>
          <cell r="O1023" t="str">
            <v>F(105°C)</v>
          </cell>
          <cell r="P1023" t="str">
            <v>270°</v>
          </cell>
          <cell r="Q1023" t="str">
            <v>TF</v>
          </cell>
          <cell r="R1023" t="str">
            <v>V(VE)</v>
          </cell>
          <cell r="V1023" t="str">
            <v>FC</v>
          </cell>
          <cell r="X1023" t="str">
            <v>CLP (CC) VG 220 = -15° + 40°</v>
          </cell>
          <cell r="Y1023" t="str">
            <v>R147DRN180L4/TF/V</v>
          </cell>
          <cell r="Z1023" t="str">
            <v>SEW</v>
          </cell>
          <cell r="AF1023">
            <v>18</v>
          </cell>
          <cell r="AG1023" t="str">
            <v>DRN180L4</v>
          </cell>
          <cell r="AH1023" t="str">
            <v>R147-DRN180L4270-X#</v>
          </cell>
        </row>
        <row r="1024">
          <cell r="A1024" t="str">
            <v>MR001020</v>
          </cell>
          <cell r="B1024" t="str">
            <v>MR</v>
          </cell>
          <cell r="C1024">
            <v>22</v>
          </cell>
          <cell r="D1024">
            <v>15</v>
          </cell>
          <cell r="E1024" t="str">
            <v>KH157</v>
          </cell>
          <cell r="F1024">
            <v>14200</v>
          </cell>
          <cell r="G1024">
            <v>100.22</v>
          </cell>
          <cell r="H1024">
            <v>1.25</v>
          </cell>
          <cell r="I1024" t="str">
            <v>M1B</v>
          </cell>
          <cell r="J1024" t="str">
            <v>IE3</v>
          </cell>
          <cell r="K1024">
            <v>400</v>
          </cell>
          <cell r="L1024">
            <v>50</v>
          </cell>
          <cell r="M1024">
            <v>35</v>
          </cell>
          <cell r="N1024">
            <v>55</v>
          </cell>
          <cell r="O1024" t="str">
            <v>F(105°C)</v>
          </cell>
          <cell r="P1024" t="str">
            <v>0°</v>
          </cell>
          <cell r="Q1024" t="str">
            <v>TF</v>
          </cell>
          <cell r="R1024" t="str">
            <v>V(VE)</v>
          </cell>
          <cell r="V1024" t="str">
            <v>FC</v>
          </cell>
          <cell r="X1024" t="str">
            <v>CLP (CC) VG 220 = -15° + 40°</v>
          </cell>
          <cell r="Y1024" t="str">
            <v>KH157DRN180L4/TF/V</v>
          </cell>
          <cell r="Z1024" t="str">
            <v>SEW</v>
          </cell>
          <cell r="AF1024">
            <v>15</v>
          </cell>
          <cell r="AG1024" t="str">
            <v>DRN180L4</v>
          </cell>
          <cell r="AH1024" t="str">
            <v>KH157-DRN180L4B0-X#</v>
          </cell>
        </row>
        <row r="1025">
          <cell r="A1025" t="str">
            <v>MR001021</v>
          </cell>
          <cell r="B1025" t="str">
            <v>MR</v>
          </cell>
          <cell r="C1025">
            <v>22</v>
          </cell>
          <cell r="D1025">
            <v>15</v>
          </cell>
          <cell r="E1025" t="str">
            <v>KH157</v>
          </cell>
          <cell r="F1025">
            <v>14200</v>
          </cell>
          <cell r="G1025">
            <v>100.22</v>
          </cell>
          <cell r="H1025">
            <v>1.4</v>
          </cell>
          <cell r="I1025" t="str">
            <v>M1A</v>
          </cell>
          <cell r="J1025" t="str">
            <v>IE3</v>
          </cell>
          <cell r="K1025">
            <v>400</v>
          </cell>
          <cell r="L1025">
            <v>50</v>
          </cell>
          <cell r="M1025">
            <v>38.5</v>
          </cell>
          <cell r="N1025">
            <v>55</v>
          </cell>
          <cell r="O1025" t="str">
            <v>F(105°C)</v>
          </cell>
          <cell r="P1025" t="str">
            <v>180°</v>
          </cell>
          <cell r="Q1025" t="str">
            <v>TF</v>
          </cell>
          <cell r="R1025" t="str">
            <v>V(VE)</v>
          </cell>
          <cell r="V1025" t="str">
            <v>FC</v>
          </cell>
          <cell r="X1025" t="str">
            <v>CLP (CC) VG 220 = -15° + 40°</v>
          </cell>
          <cell r="Y1025" t="str">
            <v>KH157DRN180L4/TF/V</v>
          </cell>
          <cell r="Z1025" t="str">
            <v>SEW</v>
          </cell>
          <cell r="AF1025">
            <v>15</v>
          </cell>
          <cell r="AG1025" t="str">
            <v>DRN180L4</v>
          </cell>
          <cell r="AH1025" t="str">
            <v>KH157-DRN180L4A180-X#</v>
          </cell>
        </row>
        <row r="1026">
          <cell r="A1026" t="str">
            <v>MR001022</v>
          </cell>
          <cell r="B1026" t="str">
            <v>MR</v>
          </cell>
          <cell r="C1026">
            <v>1.5</v>
          </cell>
          <cell r="D1026">
            <v>19</v>
          </cell>
          <cell r="E1026" t="str">
            <v>KA67</v>
          </cell>
          <cell r="F1026">
            <v>745</v>
          </cell>
          <cell r="G1026">
            <v>76.37</v>
          </cell>
          <cell r="H1026" t="str">
            <v>1.1</v>
          </cell>
          <cell r="I1026" t="str">
            <v>M4A</v>
          </cell>
          <cell r="J1026" t="str">
            <v>IE3</v>
          </cell>
          <cell r="K1026">
            <v>400</v>
          </cell>
          <cell r="L1026">
            <v>50</v>
          </cell>
          <cell r="M1026">
            <v>3.4</v>
          </cell>
          <cell r="N1026">
            <v>55</v>
          </cell>
          <cell r="O1026" t="str">
            <v>F(105°C)</v>
          </cell>
          <cell r="P1026" t="str">
            <v>270°</v>
          </cell>
          <cell r="T1026" t="str">
            <v>BEHF</v>
          </cell>
          <cell r="U1026" t="str">
            <v>T</v>
          </cell>
          <cell r="V1026" t="str">
            <v>D+R</v>
          </cell>
          <cell r="X1026" t="str">
            <v>CLP (CC) VG 220 = -15° + 40°</v>
          </cell>
          <cell r="Y1026" t="str">
            <v>KA67/T DRN90L4 /BE</v>
          </cell>
          <cell r="Z1026" t="str">
            <v>SEW</v>
          </cell>
          <cell r="AF1026">
            <v>19</v>
          </cell>
          <cell r="AG1026" t="str">
            <v>DRN90L4</v>
          </cell>
          <cell r="AH1026" t="str">
            <v>KA67T-DRN90L4A270-X#</v>
          </cell>
        </row>
        <row r="1027">
          <cell r="A1027" t="str">
            <v>MR001023</v>
          </cell>
          <cell r="B1027" t="str">
            <v>MR</v>
          </cell>
          <cell r="C1027">
            <v>11</v>
          </cell>
          <cell r="D1027">
            <v>16</v>
          </cell>
          <cell r="E1027" t="str">
            <v>KH107</v>
          </cell>
          <cell r="F1027">
            <v>6480</v>
          </cell>
          <cell r="G1027">
            <v>90.96</v>
          </cell>
          <cell r="H1027">
            <v>1.25</v>
          </cell>
          <cell r="I1027" t="str">
            <v>From M1B to M4B - 45°</v>
          </cell>
          <cell r="J1027" t="str">
            <v>IE3</v>
          </cell>
          <cell r="K1027">
            <v>400</v>
          </cell>
          <cell r="L1027">
            <v>50</v>
          </cell>
          <cell r="N1027">
            <v>55</v>
          </cell>
          <cell r="O1027" t="str">
            <v>F(105°C)</v>
          </cell>
          <cell r="P1027" t="str">
            <v>0°</v>
          </cell>
          <cell r="Q1027" t="str">
            <v>TF</v>
          </cell>
          <cell r="R1027" t="str">
            <v>-</v>
          </cell>
          <cell r="S1027" t="str">
            <v>-</v>
          </cell>
          <cell r="T1027" t="str">
            <v>-</v>
          </cell>
          <cell r="U1027" t="str">
            <v>T</v>
          </cell>
          <cell r="V1027" t="str">
            <v>FC</v>
          </cell>
          <cell r="W1027" t="str">
            <v>-</v>
          </cell>
          <cell r="X1027" t="str">
            <v>CLP (CC) VG 220 = -15° + 40°</v>
          </cell>
          <cell r="Y1027" t="str">
            <v>KH107/T DRN160M4 /TF</v>
          </cell>
          <cell r="Z1027" t="str">
            <v>SEW</v>
          </cell>
          <cell r="AB1027" t="str">
            <v>-</v>
          </cell>
          <cell r="AF1027">
            <v>16</v>
          </cell>
          <cell r="AG1027" t="str">
            <v>DRN160M4</v>
          </cell>
          <cell r="AH1027" t="str">
            <v>KH107T-DRN160M4B0-X</v>
          </cell>
        </row>
        <row r="1028">
          <cell r="A1028" t="str">
            <v>MR001024</v>
          </cell>
          <cell r="B1028" t="str">
            <v>MR</v>
          </cell>
          <cell r="C1028">
            <v>0.55000000000000004</v>
          </cell>
          <cell r="D1028">
            <v>0.71</v>
          </cell>
          <cell r="E1028" t="str">
            <v>KH107R77</v>
          </cell>
          <cell r="F1028">
            <v>6540</v>
          </cell>
          <cell r="G1028">
            <v>1939</v>
          </cell>
          <cell r="H1028">
            <v>1.2</v>
          </cell>
          <cell r="I1028" t="str">
            <v>From M1 to M4 A 55°</v>
          </cell>
          <cell r="J1028" t="str">
            <v>IE1</v>
          </cell>
          <cell r="K1028">
            <v>400</v>
          </cell>
          <cell r="L1028">
            <v>50</v>
          </cell>
          <cell r="N1028">
            <v>55</v>
          </cell>
          <cell r="O1028" t="str">
            <v>F(105°C)</v>
          </cell>
          <cell r="P1028" t="str">
            <v>270°</v>
          </cell>
          <cell r="Q1028" t="str">
            <v>-</v>
          </cell>
          <cell r="R1028" t="str">
            <v>-</v>
          </cell>
          <cell r="S1028" t="str">
            <v>-</v>
          </cell>
          <cell r="T1028" t="str">
            <v>-</v>
          </cell>
          <cell r="U1028" t="str">
            <v>T</v>
          </cell>
          <cell r="V1028" t="str">
            <v>-</v>
          </cell>
          <cell r="W1028" t="str">
            <v>-</v>
          </cell>
          <cell r="X1028" t="str">
            <v>CLP (CC) VG 220 = -15° + 40°</v>
          </cell>
          <cell r="Y1028" t="str">
            <v>KH107R77/T DRN80MK4</v>
          </cell>
          <cell r="Z1028" t="str">
            <v>SEW</v>
          </cell>
          <cell r="AB1028" t="str">
            <v>-</v>
          </cell>
          <cell r="AF1028">
            <v>0.71</v>
          </cell>
          <cell r="AG1028" t="str">
            <v>DRN80MK4</v>
          </cell>
          <cell r="AH1028" t="str">
            <v>KH107R77T-DRN80MK4A270-X</v>
          </cell>
        </row>
        <row r="1029">
          <cell r="A1029" t="str">
            <v>MR001025</v>
          </cell>
          <cell r="B1029" t="str">
            <v>MR</v>
          </cell>
          <cell r="C1029">
            <v>0.55000000000000004</v>
          </cell>
          <cell r="D1029">
            <v>13</v>
          </cell>
          <cell r="E1029" t="str">
            <v>R77</v>
          </cell>
          <cell r="F1029">
            <v>395</v>
          </cell>
          <cell r="G1029">
            <v>102.99</v>
          </cell>
          <cell r="H1029">
            <v>2.1</v>
          </cell>
          <cell r="I1029" t="str">
            <v>M1</v>
          </cell>
          <cell r="J1029" t="str">
            <v>IE1</v>
          </cell>
          <cell r="K1029">
            <v>400</v>
          </cell>
          <cell r="L1029">
            <v>50</v>
          </cell>
          <cell r="N1029">
            <v>55</v>
          </cell>
          <cell r="O1029" t="str">
            <v>F(105°C)</v>
          </cell>
          <cell r="P1029" t="str">
            <v>180°</v>
          </cell>
          <cell r="Q1029" t="str">
            <v>-</v>
          </cell>
          <cell r="R1029" t="str">
            <v>-</v>
          </cell>
          <cell r="S1029" t="str">
            <v>-</v>
          </cell>
          <cell r="T1029" t="str">
            <v>-</v>
          </cell>
          <cell r="U1029" t="str">
            <v>-</v>
          </cell>
          <cell r="V1029" t="str">
            <v>-</v>
          </cell>
          <cell r="W1029" t="str">
            <v>-</v>
          </cell>
          <cell r="X1029" t="str">
            <v>CLP (CC) VG 220 = -15° + 40°</v>
          </cell>
          <cell r="Y1029" t="str">
            <v>R77DRN80MK4</v>
          </cell>
          <cell r="Z1029" t="str">
            <v>SEW</v>
          </cell>
          <cell r="AB1029" t="str">
            <v>-</v>
          </cell>
          <cell r="AF1029">
            <v>13</v>
          </cell>
          <cell r="AG1029" t="str">
            <v>DRN80MK4</v>
          </cell>
          <cell r="AH1029" t="str">
            <v>R77-DRN80MK4180-X</v>
          </cell>
        </row>
        <row r="1030">
          <cell r="A1030" t="str">
            <v>MR001026</v>
          </cell>
          <cell r="B1030" t="str">
            <v>MR</v>
          </cell>
          <cell r="C1030">
            <v>0.75</v>
          </cell>
          <cell r="D1030">
            <v>6.4</v>
          </cell>
          <cell r="E1030" t="str">
            <v>FA77</v>
          </cell>
          <cell r="F1030">
            <v>1120</v>
          </cell>
          <cell r="G1030">
            <v>225.79</v>
          </cell>
          <cell r="H1030">
            <v>1.35</v>
          </cell>
          <cell r="I1030" t="str">
            <v>From M1 to M4 15°</v>
          </cell>
          <cell r="J1030" t="str">
            <v>IE3</v>
          </cell>
          <cell r="K1030">
            <v>400</v>
          </cell>
          <cell r="L1030">
            <v>50</v>
          </cell>
          <cell r="N1030">
            <v>55</v>
          </cell>
          <cell r="O1030" t="str">
            <v>F(105°C)</v>
          </cell>
          <cell r="P1030" t="str">
            <v>0°</v>
          </cell>
          <cell r="Q1030" t="str">
            <v>-</v>
          </cell>
          <cell r="R1030" t="str">
            <v>-</v>
          </cell>
          <cell r="S1030" t="str">
            <v>-</v>
          </cell>
          <cell r="T1030" t="str">
            <v>-</v>
          </cell>
          <cell r="U1030" t="str">
            <v>-</v>
          </cell>
          <cell r="V1030" t="str">
            <v>-</v>
          </cell>
          <cell r="W1030" t="str">
            <v>-</v>
          </cell>
          <cell r="X1030" t="str">
            <v>CLP (CC) VG 220 = -15° + 40°</v>
          </cell>
          <cell r="Y1030" t="str">
            <v>FA77DRN80M4</v>
          </cell>
          <cell r="Z1030" t="str">
            <v>SEW</v>
          </cell>
          <cell r="AB1030" t="str">
            <v>-</v>
          </cell>
          <cell r="AF1030">
            <v>6.4</v>
          </cell>
          <cell r="AG1030" t="str">
            <v>DRN80M4</v>
          </cell>
          <cell r="AH1030" t="str">
            <v>FA77-DRN80M40-X</v>
          </cell>
        </row>
        <row r="1031">
          <cell r="A1031" t="str">
            <v>MR001027</v>
          </cell>
          <cell r="B1031" t="str">
            <v>MR</v>
          </cell>
          <cell r="C1031">
            <v>0.75</v>
          </cell>
          <cell r="D1031">
            <v>6.4</v>
          </cell>
          <cell r="E1031" t="str">
            <v>FA77</v>
          </cell>
          <cell r="F1031">
            <v>1120</v>
          </cell>
          <cell r="G1031">
            <v>225.79</v>
          </cell>
          <cell r="H1031">
            <v>1.35</v>
          </cell>
          <cell r="I1031" t="str">
            <v>M1</v>
          </cell>
          <cell r="J1031" t="str">
            <v>IE3</v>
          </cell>
          <cell r="K1031">
            <v>400</v>
          </cell>
          <cell r="L1031">
            <v>50</v>
          </cell>
          <cell r="N1031">
            <v>55</v>
          </cell>
          <cell r="O1031" t="str">
            <v>F(105°C)</v>
          </cell>
          <cell r="P1031" t="str">
            <v>0°</v>
          </cell>
          <cell r="Q1031" t="str">
            <v>-</v>
          </cell>
          <cell r="R1031" t="str">
            <v>-</v>
          </cell>
          <cell r="S1031" t="str">
            <v>-</v>
          </cell>
          <cell r="T1031" t="str">
            <v>-</v>
          </cell>
          <cell r="U1031" t="str">
            <v>-</v>
          </cell>
          <cell r="V1031" t="str">
            <v>-</v>
          </cell>
          <cell r="W1031" t="str">
            <v>-</v>
          </cell>
          <cell r="X1031" t="str">
            <v>CLP (CC) VG 220 = -15° + 40°</v>
          </cell>
          <cell r="Y1031" t="str">
            <v>FA77DRN80M4</v>
          </cell>
          <cell r="Z1031" t="str">
            <v>SEW</v>
          </cell>
          <cell r="AB1031" t="str">
            <v>-</v>
          </cell>
          <cell r="AF1031">
            <v>6.4</v>
          </cell>
          <cell r="AG1031" t="str">
            <v>DRN80M4</v>
          </cell>
          <cell r="AH1031" t="str">
            <v>FA77-DRN80M40-X</v>
          </cell>
        </row>
        <row r="1032">
          <cell r="A1032" t="str">
            <v>MR001028</v>
          </cell>
          <cell r="B1032" t="str">
            <v>R</v>
          </cell>
          <cell r="C1032" t="str">
            <v>-</v>
          </cell>
          <cell r="E1032" t="str">
            <v>R137/A</v>
          </cell>
          <cell r="F1032">
            <v>800</v>
          </cell>
          <cell r="G1032">
            <v>37.65</v>
          </cell>
          <cell r="I1032" t="str">
            <v>M1</v>
          </cell>
          <cell r="J1032" t="str">
            <v>-</v>
          </cell>
          <cell r="N1032" t="str">
            <v>-</v>
          </cell>
          <cell r="O1032" t="str">
            <v>-</v>
          </cell>
          <cell r="P1032" t="str">
            <v>-</v>
          </cell>
          <cell r="Q1032" t="str">
            <v>-</v>
          </cell>
          <cell r="R1032" t="str">
            <v>-</v>
          </cell>
          <cell r="S1032" t="str">
            <v>-</v>
          </cell>
          <cell r="T1032" t="str">
            <v>-</v>
          </cell>
          <cell r="U1032" t="str">
            <v>-</v>
          </cell>
          <cell r="V1032" t="str">
            <v>-</v>
          </cell>
          <cell r="W1032" t="str">
            <v>-</v>
          </cell>
          <cell r="X1032" t="str">
            <v>CLP (CC) VG 220 = -15° + 40°</v>
          </cell>
          <cell r="Y1032" t="str">
            <v>R137/A</v>
          </cell>
          <cell r="Z1032" t="str">
            <v>SEW</v>
          </cell>
          <cell r="AB1032" t="str">
            <v>-</v>
          </cell>
          <cell r="AF1032">
            <v>0</v>
          </cell>
          <cell r="AG1032" t="str">
            <v>-</v>
          </cell>
          <cell r="AH1032" t="str">
            <v>R137/A----X</v>
          </cell>
        </row>
        <row r="1033">
          <cell r="A1033" t="str">
            <v>MR001029</v>
          </cell>
          <cell r="B1033" t="str">
            <v>MR</v>
          </cell>
          <cell r="C1033">
            <v>18.5</v>
          </cell>
          <cell r="D1033">
            <v>12</v>
          </cell>
          <cell r="E1033" t="str">
            <v>KH157</v>
          </cell>
          <cell r="F1033">
            <v>14600</v>
          </cell>
          <cell r="G1033">
            <v>122.39</v>
          </cell>
          <cell r="H1033">
            <v>1.25</v>
          </cell>
          <cell r="I1033" t="str">
            <v>From M4A to M1A - 40°</v>
          </cell>
          <cell r="J1033" t="str">
            <v>IE3</v>
          </cell>
          <cell r="K1033">
            <v>400</v>
          </cell>
          <cell r="L1033">
            <v>50</v>
          </cell>
          <cell r="M1033">
            <v>33.5</v>
          </cell>
          <cell r="N1033">
            <v>55</v>
          </cell>
          <cell r="O1033" t="str">
            <v>F(105°C)</v>
          </cell>
          <cell r="P1033" t="str">
            <v>270°</v>
          </cell>
          <cell r="Q1033" t="str">
            <v>-</v>
          </cell>
          <cell r="R1033" t="str">
            <v>-</v>
          </cell>
          <cell r="S1033" t="str">
            <v>-</v>
          </cell>
          <cell r="T1033" t="str">
            <v>-</v>
          </cell>
          <cell r="U1033" t="str">
            <v>T</v>
          </cell>
          <cell r="V1033" t="str">
            <v>SS</v>
          </cell>
          <cell r="W1033" t="str">
            <v>-</v>
          </cell>
          <cell r="X1033" t="str">
            <v>CLP (CC) VG 220 = -15° + 40°</v>
          </cell>
          <cell r="Y1033" t="str">
            <v>KH157/T DRN180M4</v>
          </cell>
          <cell r="Z1033" t="str">
            <v>SEW</v>
          </cell>
          <cell r="AB1033" t="str">
            <v>-</v>
          </cell>
          <cell r="AF1033">
            <v>12</v>
          </cell>
          <cell r="AG1033" t="str">
            <v>DRN180M4</v>
          </cell>
          <cell r="AH1033" t="str">
            <v>KH157T-DRN180M4A270-X</v>
          </cell>
        </row>
        <row r="1034">
          <cell r="A1034" t="str">
            <v>MR001030</v>
          </cell>
          <cell r="B1034" t="str">
            <v>MR</v>
          </cell>
          <cell r="C1034">
            <v>18.5</v>
          </cell>
          <cell r="D1034">
            <v>12</v>
          </cell>
          <cell r="E1034" t="str">
            <v>KH157</v>
          </cell>
          <cell r="F1034">
            <v>14600</v>
          </cell>
          <cell r="G1034">
            <v>122.39</v>
          </cell>
          <cell r="H1034">
            <v>1.25</v>
          </cell>
          <cell r="I1034" t="str">
            <v>From M4B to M1B - 40°</v>
          </cell>
          <cell r="J1034" t="str">
            <v>IE3</v>
          </cell>
          <cell r="K1034">
            <v>400</v>
          </cell>
          <cell r="L1034">
            <v>50</v>
          </cell>
          <cell r="M1034">
            <v>33.5</v>
          </cell>
          <cell r="N1034">
            <v>55</v>
          </cell>
          <cell r="O1034" t="str">
            <v>F(105°C)</v>
          </cell>
          <cell r="P1034" t="str">
            <v>270°</v>
          </cell>
          <cell r="Q1034" t="str">
            <v>-</v>
          </cell>
          <cell r="R1034" t="str">
            <v>-</v>
          </cell>
          <cell r="S1034" t="str">
            <v>-</v>
          </cell>
          <cell r="T1034" t="str">
            <v>-</v>
          </cell>
          <cell r="U1034" t="str">
            <v>T</v>
          </cell>
          <cell r="V1034" t="str">
            <v>SS</v>
          </cell>
          <cell r="W1034" t="str">
            <v>-</v>
          </cell>
          <cell r="X1034" t="str">
            <v>CLP (CC) VG 220 = -15° + 40°</v>
          </cell>
          <cell r="Y1034" t="str">
            <v>KH157/T DRN180M4</v>
          </cell>
          <cell r="Z1034" t="str">
            <v>SEW</v>
          </cell>
          <cell r="AB1034" t="str">
            <v>-</v>
          </cell>
          <cell r="AF1034">
            <v>12</v>
          </cell>
          <cell r="AG1034" t="str">
            <v>DRN180M4</v>
          </cell>
          <cell r="AH1034" t="str">
            <v>KH157T-DRN180M4B270-X</v>
          </cell>
        </row>
        <row r="1035">
          <cell r="A1035" t="str">
            <v>MR001031</v>
          </cell>
          <cell r="B1035" t="str">
            <v>MR</v>
          </cell>
          <cell r="C1035">
            <v>22</v>
          </cell>
          <cell r="D1035">
            <v>15</v>
          </cell>
          <cell r="E1035" t="str">
            <v>KH157</v>
          </cell>
          <cell r="F1035">
            <v>14200</v>
          </cell>
          <cell r="G1035">
            <v>100.22</v>
          </cell>
          <cell r="H1035">
            <v>1.25</v>
          </cell>
          <cell r="I1035" t="str">
            <v>From M4A to M1A - 30°</v>
          </cell>
          <cell r="J1035" t="str">
            <v>IE3</v>
          </cell>
          <cell r="K1035">
            <v>400</v>
          </cell>
          <cell r="L1035">
            <v>50</v>
          </cell>
          <cell r="M1035">
            <v>38.5</v>
          </cell>
          <cell r="N1035">
            <v>55</v>
          </cell>
          <cell r="O1035" t="str">
            <v>F(105°C)</v>
          </cell>
          <cell r="P1035" t="str">
            <v>270°</v>
          </cell>
          <cell r="Q1035" t="str">
            <v>-</v>
          </cell>
          <cell r="R1035" t="str">
            <v>-</v>
          </cell>
          <cell r="S1035" t="str">
            <v>-</v>
          </cell>
          <cell r="T1035" t="str">
            <v>-</v>
          </cell>
          <cell r="U1035" t="str">
            <v>T</v>
          </cell>
          <cell r="V1035" t="str">
            <v>SS</v>
          </cell>
          <cell r="W1035" t="str">
            <v>-</v>
          </cell>
          <cell r="X1035" t="str">
            <v>CLP (CC) VG 220 = -15° + 40°</v>
          </cell>
          <cell r="Y1035" t="str">
            <v>KH157/T DRN180L4</v>
          </cell>
          <cell r="Z1035" t="str">
            <v>SEW</v>
          </cell>
          <cell r="AB1035" t="str">
            <v>-</v>
          </cell>
          <cell r="AF1035">
            <v>15</v>
          </cell>
          <cell r="AG1035" t="str">
            <v>DRN180L4</v>
          </cell>
          <cell r="AH1035" t="str">
            <v>KH157T-DRN180L4A270-X</v>
          </cell>
        </row>
        <row r="1036">
          <cell r="A1036" t="str">
            <v>MR001032</v>
          </cell>
          <cell r="B1036" t="str">
            <v>MR</v>
          </cell>
          <cell r="C1036">
            <v>22</v>
          </cell>
          <cell r="D1036">
            <v>15</v>
          </cell>
          <cell r="E1036" t="str">
            <v>KH157</v>
          </cell>
          <cell r="F1036">
            <v>14200</v>
          </cell>
          <cell r="G1036">
            <v>100.22</v>
          </cell>
          <cell r="H1036">
            <v>1.25</v>
          </cell>
          <cell r="I1036" t="str">
            <v>From M4B to M1B - 30°</v>
          </cell>
          <cell r="J1036" t="str">
            <v>IE3</v>
          </cell>
          <cell r="K1036">
            <v>400</v>
          </cell>
          <cell r="L1036">
            <v>50</v>
          </cell>
          <cell r="M1036">
            <v>38.5</v>
          </cell>
          <cell r="N1036">
            <v>55</v>
          </cell>
          <cell r="O1036" t="str">
            <v>F(105°C)</v>
          </cell>
          <cell r="P1036" t="str">
            <v>270°</v>
          </cell>
          <cell r="Q1036" t="str">
            <v>-</v>
          </cell>
          <cell r="R1036" t="str">
            <v>-</v>
          </cell>
          <cell r="S1036" t="str">
            <v>-</v>
          </cell>
          <cell r="T1036" t="str">
            <v>-</v>
          </cell>
          <cell r="U1036" t="str">
            <v>T</v>
          </cell>
          <cell r="V1036" t="str">
            <v>SS</v>
          </cell>
          <cell r="W1036" t="str">
            <v>-</v>
          </cell>
          <cell r="X1036" t="str">
            <v>CLP (CC) VG 220 = -15° + 40°</v>
          </cell>
          <cell r="Y1036" t="str">
            <v>KH157/T DRN180L4</v>
          </cell>
          <cell r="Z1036" t="str">
            <v>SEW</v>
          </cell>
          <cell r="AB1036" t="str">
            <v>-</v>
          </cell>
          <cell r="AF1036">
            <v>15</v>
          </cell>
          <cell r="AG1036" t="str">
            <v>DRN180L4</v>
          </cell>
          <cell r="AH1036" t="str">
            <v>KH157T-DRN180L4B270-X</v>
          </cell>
        </row>
        <row r="1037">
          <cell r="A1037" t="str">
            <v>MR001033</v>
          </cell>
          <cell r="B1037" t="str">
            <v>MR</v>
          </cell>
          <cell r="C1037">
            <v>11</v>
          </cell>
          <cell r="D1037">
            <v>16</v>
          </cell>
          <cell r="E1037" t="str">
            <v>KH107</v>
          </cell>
          <cell r="F1037">
            <v>6480</v>
          </cell>
          <cell r="G1037">
            <v>90.96</v>
          </cell>
          <cell r="H1037">
            <v>1.25</v>
          </cell>
          <cell r="I1037" t="str">
            <v>M4B</v>
          </cell>
          <cell r="J1037" t="str">
            <v>IE3</v>
          </cell>
          <cell r="K1037">
            <v>400</v>
          </cell>
          <cell r="L1037">
            <v>50</v>
          </cell>
          <cell r="M1037">
            <v>21</v>
          </cell>
          <cell r="N1037">
            <v>55</v>
          </cell>
          <cell r="O1037" t="str">
            <v>F(105°C)</v>
          </cell>
          <cell r="P1037" t="str">
            <v>270°</v>
          </cell>
          <cell r="Q1037" t="str">
            <v>-</v>
          </cell>
          <cell r="R1037" t="str">
            <v>-</v>
          </cell>
          <cell r="S1037" t="str">
            <v>-</v>
          </cell>
          <cell r="T1037" t="str">
            <v>-</v>
          </cell>
          <cell r="U1037" t="str">
            <v>T</v>
          </cell>
          <cell r="V1037" t="str">
            <v>SS</v>
          </cell>
          <cell r="W1037" t="str">
            <v>-</v>
          </cell>
          <cell r="X1037" t="str">
            <v>CLP (CC) VG 220 = -15° + 40°</v>
          </cell>
          <cell r="Y1037" t="str">
            <v>KH107/T DRN160M4</v>
          </cell>
          <cell r="Z1037" t="str">
            <v>SEW</v>
          </cell>
          <cell r="AB1037" t="str">
            <v>-</v>
          </cell>
          <cell r="AF1037">
            <v>16</v>
          </cell>
          <cell r="AG1037" t="str">
            <v>DRN160M4</v>
          </cell>
          <cell r="AH1037" t="str">
            <v>KH107T-DRN160M4B270-X</v>
          </cell>
        </row>
        <row r="1038">
          <cell r="A1038" t="str">
            <v>MR001034</v>
          </cell>
          <cell r="B1038" t="str">
            <v>MR</v>
          </cell>
          <cell r="C1038">
            <v>15</v>
          </cell>
          <cell r="D1038">
            <v>16</v>
          </cell>
          <cell r="E1038" t="str">
            <v>KH127</v>
          </cell>
          <cell r="F1038">
            <v>8730</v>
          </cell>
          <cell r="G1038">
            <v>89.89</v>
          </cell>
          <cell r="H1038">
            <v>1.5</v>
          </cell>
          <cell r="I1038" t="str">
            <v>From M4A to M1A - 30°</v>
          </cell>
          <cell r="J1038" t="str">
            <v>IE3</v>
          </cell>
          <cell r="K1038">
            <v>400</v>
          </cell>
          <cell r="L1038">
            <v>50</v>
          </cell>
          <cell r="M1038">
            <v>29</v>
          </cell>
          <cell r="N1038">
            <v>55</v>
          </cell>
          <cell r="O1038" t="str">
            <v>F(105°C)</v>
          </cell>
          <cell r="P1038" t="str">
            <v>270°</v>
          </cell>
          <cell r="Q1038" t="str">
            <v>TF</v>
          </cell>
          <cell r="R1038" t="str">
            <v>V(VE)</v>
          </cell>
          <cell r="S1038" t="str">
            <v>-</v>
          </cell>
          <cell r="T1038" t="str">
            <v>-</v>
          </cell>
          <cell r="U1038" t="str">
            <v>T</v>
          </cell>
          <cell r="V1038" t="str">
            <v>FC</v>
          </cell>
          <cell r="W1038" t="str">
            <v>-</v>
          </cell>
          <cell r="X1038" t="str">
            <v>CLP (CC) VG 220 = -15° + 40°</v>
          </cell>
          <cell r="Y1038" t="str">
            <v>KH127/T DRN160L4 /TF/V</v>
          </cell>
          <cell r="Z1038" t="str">
            <v>SEW</v>
          </cell>
          <cell r="AB1038" t="str">
            <v>-</v>
          </cell>
          <cell r="AF1038">
            <v>16</v>
          </cell>
          <cell r="AG1038" t="str">
            <v>DRN160L4</v>
          </cell>
          <cell r="AH1038" t="str">
            <v>KH127T-DRN160L4A270-X#</v>
          </cell>
        </row>
        <row r="1039">
          <cell r="A1039" t="str">
            <v>MR001035</v>
          </cell>
          <cell r="B1039" t="str">
            <v>MR</v>
          </cell>
          <cell r="C1039">
            <v>15</v>
          </cell>
          <cell r="D1039">
            <v>16</v>
          </cell>
          <cell r="E1039" t="str">
            <v>KH127</v>
          </cell>
          <cell r="F1039">
            <v>8730</v>
          </cell>
          <cell r="G1039">
            <v>89.89</v>
          </cell>
          <cell r="H1039">
            <v>1.5</v>
          </cell>
          <cell r="I1039" t="str">
            <v>From M4B to M1B - 30°</v>
          </cell>
          <cell r="J1039" t="str">
            <v>IE3</v>
          </cell>
          <cell r="K1039">
            <v>400</v>
          </cell>
          <cell r="L1039">
            <v>50</v>
          </cell>
          <cell r="M1039">
            <v>29</v>
          </cell>
          <cell r="N1039">
            <v>55</v>
          </cell>
          <cell r="O1039" t="str">
            <v>F(105°C)</v>
          </cell>
          <cell r="P1039" t="str">
            <v>270°</v>
          </cell>
          <cell r="Q1039" t="str">
            <v>TF</v>
          </cell>
          <cell r="R1039" t="str">
            <v>V(VE)</v>
          </cell>
          <cell r="S1039" t="str">
            <v>-</v>
          </cell>
          <cell r="T1039" t="str">
            <v>-</v>
          </cell>
          <cell r="U1039" t="str">
            <v>T</v>
          </cell>
          <cell r="V1039" t="str">
            <v>FC</v>
          </cell>
          <cell r="W1039" t="str">
            <v>-</v>
          </cell>
          <cell r="X1039" t="str">
            <v>CLP (CC) VG 220 = -15° + 40°</v>
          </cell>
          <cell r="Y1039" t="str">
            <v>KH127/T DRN160L4 /TF/V</v>
          </cell>
          <cell r="Z1039" t="str">
            <v>SEW</v>
          </cell>
          <cell r="AB1039" t="str">
            <v>-</v>
          </cell>
          <cell r="AF1039">
            <v>16</v>
          </cell>
          <cell r="AG1039" t="str">
            <v>DRN160L4</v>
          </cell>
          <cell r="AH1039" t="str">
            <v>KH127T-DRN160L4B270-X#</v>
          </cell>
        </row>
        <row r="1040">
          <cell r="A1040" t="str">
            <v>MR001036</v>
          </cell>
          <cell r="B1040" t="str">
            <v>MR</v>
          </cell>
          <cell r="C1040">
            <v>18.5</v>
          </cell>
          <cell r="D1040">
            <v>16</v>
          </cell>
          <cell r="E1040" t="str">
            <v>KH127</v>
          </cell>
          <cell r="F1040">
            <v>10700</v>
          </cell>
          <cell r="G1040">
            <v>89.89</v>
          </cell>
          <cell r="H1040">
            <v>1.2</v>
          </cell>
          <cell r="I1040" t="str">
            <v>From M4A to M1A - 25°</v>
          </cell>
          <cell r="J1040" t="str">
            <v>IE3</v>
          </cell>
          <cell r="K1040">
            <v>400</v>
          </cell>
          <cell r="L1040">
            <v>50</v>
          </cell>
          <cell r="M1040">
            <v>33.5</v>
          </cell>
          <cell r="N1040">
            <v>55</v>
          </cell>
          <cell r="O1040" t="str">
            <v>F(105°C)</v>
          </cell>
          <cell r="P1040" t="str">
            <v>270°</v>
          </cell>
          <cell r="Q1040" t="str">
            <v>TF</v>
          </cell>
          <cell r="R1040" t="str">
            <v>V(VE)</v>
          </cell>
          <cell r="S1040" t="str">
            <v>-</v>
          </cell>
          <cell r="T1040" t="str">
            <v>-</v>
          </cell>
          <cell r="U1040" t="str">
            <v>T</v>
          </cell>
          <cell r="V1040" t="str">
            <v>FC</v>
          </cell>
          <cell r="W1040" t="str">
            <v>-</v>
          </cell>
          <cell r="X1040" t="str">
            <v>CLP (CC) VG 220 = -15° + 40°</v>
          </cell>
          <cell r="Y1040" t="str">
            <v>KH127/T DRN180M4 /TF/V</v>
          </cell>
          <cell r="Z1040" t="str">
            <v>SEW</v>
          </cell>
          <cell r="AB1040" t="str">
            <v>-</v>
          </cell>
          <cell r="AF1040">
            <v>16</v>
          </cell>
          <cell r="AG1040" t="str">
            <v>DRN180M4</v>
          </cell>
          <cell r="AH1040" t="str">
            <v>KH127T-DRN180M4A270-X#</v>
          </cell>
        </row>
        <row r="1041">
          <cell r="A1041" t="str">
            <v>MR001037</v>
          </cell>
          <cell r="B1041" t="str">
            <v>MR</v>
          </cell>
          <cell r="C1041">
            <v>18.5</v>
          </cell>
          <cell r="D1041">
            <v>16</v>
          </cell>
          <cell r="E1041" t="str">
            <v>KH127</v>
          </cell>
          <cell r="F1041">
            <v>10700</v>
          </cell>
          <cell r="G1041">
            <v>89.89</v>
          </cell>
          <cell r="H1041">
            <v>1.2</v>
          </cell>
          <cell r="I1041" t="str">
            <v>From M4B to M1B - 25°</v>
          </cell>
          <cell r="J1041" t="str">
            <v>IE3</v>
          </cell>
          <cell r="K1041">
            <v>400</v>
          </cell>
          <cell r="L1041">
            <v>50</v>
          </cell>
          <cell r="M1041">
            <v>33.5</v>
          </cell>
          <cell r="N1041">
            <v>55</v>
          </cell>
          <cell r="O1041" t="str">
            <v>F(105°C)</v>
          </cell>
          <cell r="P1041" t="str">
            <v>270°</v>
          </cell>
          <cell r="Q1041" t="str">
            <v>TF</v>
          </cell>
          <cell r="R1041" t="str">
            <v>V(VE)</v>
          </cell>
          <cell r="S1041" t="str">
            <v>-</v>
          </cell>
          <cell r="T1041" t="str">
            <v>-</v>
          </cell>
          <cell r="U1041" t="str">
            <v>T</v>
          </cell>
          <cell r="V1041" t="str">
            <v>FC</v>
          </cell>
          <cell r="W1041" t="str">
            <v>-</v>
          </cell>
          <cell r="X1041" t="str">
            <v>CLP (CC) VG 220 = -15° + 40°</v>
          </cell>
          <cell r="Y1041" t="str">
            <v>KH127/T DRN180M4 /TF/V</v>
          </cell>
          <cell r="Z1041" t="str">
            <v>SEW</v>
          </cell>
          <cell r="AB1041" t="str">
            <v>-</v>
          </cell>
          <cell r="AF1041">
            <v>16</v>
          </cell>
          <cell r="AG1041" t="str">
            <v>DRN180M4</v>
          </cell>
          <cell r="AH1041" t="str">
            <v>KH127T-DRN180M4B270-X#</v>
          </cell>
        </row>
        <row r="1042">
          <cell r="A1042" t="str">
            <v>MR001038</v>
          </cell>
          <cell r="B1042" t="str">
            <v>MR</v>
          </cell>
          <cell r="C1042">
            <v>11</v>
          </cell>
          <cell r="D1042">
            <v>16</v>
          </cell>
          <cell r="E1042" t="str">
            <v>KH107</v>
          </cell>
          <cell r="F1042">
            <v>6480</v>
          </cell>
          <cell r="G1042">
            <v>90.96</v>
          </cell>
          <cell r="H1042">
            <v>1.25</v>
          </cell>
          <cell r="I1042" t="str">
            <v>M4B</v>
          </cell>
          <cell r="J1042" t="str">
            <v>IE3</v>
          </cell>
          <cell r="K1042">
            <v>400</v>
          </cell>
          <cell r="L1042">
            <v>50</v>
          </cell>
          <cell r="M1042">
            <v>21</v>
          </cell>
          <cell r="N1042">
            <v>55</v>
          </cell>
          <cell r="O1042" t="str">
            <v>F(105°C)</v>
          </cell>
          <cell r="P1042" t="str">
            <v>270°</v>
          </cell>
          <cell r="Q1042" t="str">
            <v>TF</v>
          </cell>
          <cell r="R1042" t="str">
            <v>V(VE)</v>
          </cell>
          <cell r="S1042" t="str">
            <v>-</v>
          </cell>
          <cell r="T1042" t="str">
            <v>-</v>
          </cell>
          <cell r="U1042" t="str">
            <v>T</v>
          </cell>
          <cell r="V1042" t="str">
            <v>FC</v>
          </cell>
          <cell r="W1042" t="str">
            <v>-</v>
          </cell>
          <cell r="X1042" t="str">
            <v>CLP (CC) VG 220 = -15° + 40°</v>
          </cell>
          <cell r="Y1042" t="str">
            <v>KH107/T DRN160M4 /TF/V</v>
          </cell>
          <cell r="Z1042" t="str">
            <v>SEW</v>
          </cell>
          <cell r="AB1042" t="str">
            <v>-</v>
          </cell>
          <cell r="AF1042">
            <v>16</v>
          </cell>
          <cell r="AG1042" t="str">
            <v>DRN160M4</v>
          </cell>
          <cell r="AH1042" t="str">
            <v>KH107T-DRN160M4B270-X#</v>
          </cell>
        </row>
        <row r="1043">
          <cell r="A1043" t="str">
            <v>MR001039</v>
          </cell>
          <cell r="B1043" t="str">
            <v>MR</v>
          </cell>
          <cell r="C1043">
            <v>15</v>
          </cell>
          <cell r="D1043">
            <v>16</v>
          </cell>
          <cell r="E1043" t="str">
            <v>KH127</v>
          </cell>
          <cell r="F1043">
            <v>8730</v>
          </cell>
          <cell r="G1043">
            <v>89.89</v>
          </cell>
          <cell r="H1043">
            <v>1.5</v>
          </cell>
          <cell r="I1043" t="str">
            <v>M4B</v>
          </cell>
          <cell r="J1043" t="str">
            <v>IE3</v>
          </cell>
          <cell r="K1043">
            <v>400</v>
          </cell>
          <cell r="L1043">
            <v>50</v>
          </cell>
          <cell r="M1043">
            <v>29</v>
          </cell>
          <cell r="N1043">
            <v>55</v>
          </cell>
          <cell r="O1043" t="str">
            <v>F(105°C)</v>
          </cell>
          <cell r="P1043" t="str">
            <v>270°</v>
          </cell>
          <cell r="Q1043" t="str">
            <v>TF</v>
          </cell>
          <cell r="R1043" t="str">
            <v>V(VE)</v>
          </cell>
          <cell r="S1043" t="str">
            <v>-</v>
          </cell>
          <cell r="T1043" t="str">
            <v>-</v>
          </cell>
          <cell r="U1043" t="str">
            <v>T</v>
          </cell>
          <cell r="V1043" t="str">
            <v>FC</v>
          </cell>
          <cell r="W1043" t="str">
            <v>-</v>
          </cell>
          <cell r="X1043" t="str">
            <v>CLP (CC) VG 220 = -15° + 40°</v>
          </cell>
          <cell r="Y1043" t="str">
            <v>KH127/T DRN160L4 /TF/V</v>
          </cell>
          <cell r="Z1043" t="str">
            <v>SEW</v>
          </cell>
          <cell r="AB1043" t="str">
            <v>-</v>
          </cell>
          <cell r="AF1043">
            <v>16</v>
          </cell>
          <cell r="AG1043" t="str">
            <v>DRN160L4</v>
          </cell>
          <cell r="AH1043" t="str">
            <v>KH127T-DRN160L4B270-X#</v>
          </cell>
        </row>
        <row r="1044">
          <cell r="A1044" t="str">
            <v>MR001040</v>
          </cell>
          <cell r="B1044" t="str">
            <v>MR</v>
          </cell>
          <cell r="C1044">
            <v>11</v>
          </cell>
          <cell r="D1044">
            <v>9.3000000000000007</v>
          </cell>
          <cell r="E1044" t="str">
            <v>R147R87</v>
          </cell>
          <cell r="F1044">
            <v>10500</v>
          </cell>
          <cell r="G1044">
            <v>159</v>
          </cell>
          <cell r="H1044">
            <v>1.25</v>
          </cell>
          <cell r="I1044" t="str">
            <v>M1</v>
          </cell>
          <cell r="J1044" t="str">
            <v>IE3</v>
          </cell>
          <cell r="K1044">
            <v>400</v>
          </cell>
          <cell r="L1044">
            <v>50</v>
          </cell>
          <cell r="M1044">
            <v>21</v>
          </cell>
          <cell r="N1044">
            <v>55</v>
          </cell>
          <cell r="O1044" t="str">
            <v>F(105°C)</v>
          </cell>
          <cell r="P1044" t="str">
            <v>270°</v>
          </cell>
          <cell r="Q1044" t="str">
            <v>TF</v>
          </cell>
          <cell r="R1044" t="str">
            <v>V(VE)</v>
          </cell>
          <cell r="S1044" t="str">
            <v>-</v>
          </cell>
          <cell r="T1044" t="str">
            <v>-</v>
          </cell>
          <cell r="U1044" t="str">
            <v>-</v>
          </cell>
          <cell r="V1044" t="str">
            <v>FC</v>
          </cell>
          <cell r="W1044" t="str">
            <v>-</v>
          </cell>
          <cell r="X1044" t="str">
            <v>CLP (CC) VG 220 = -15° + 40°</v>
          </cell>
          <cell r="Y1044" t="str">
            <v>R147R87DRN160M4 /TF/V</v>
          </cell>
          <cell r="Z1044" t="str">
            <v>SEW</v>
          </cell>
          <cell r="AB1044" t="str">
            <v>-</v>
          </cell>
          <cell r="AF1044">
            <v>9.3000000000000007</v>
          </cell>
          <cell r="AG1044" t="str">
            <v>DRN160M4</v>
          </cell>
          <cell r="AH1044" t="str">
            <v>R147R87-DRN160M4270-X#</v>
          </cell>
        </row>
        <row r="1045">
          <cell r="A1045" t="str">
            <v>MR001041</v>
          </cell>
          <cell r="B1045" t="str">
            <v>MR</v>
          </cell>
          <cell r="C1045">
            <v>11</v>
          </cell>
          <cell r="D1045">
            <v>59</v>
          </cell>
          <cell r="E1045" t="str">
            <v>KH87</v>
          </cell>
          <cell r="F1045">
            <v>1770</v>
          </cell>
          <cell r="G1045">
            <v>24.92</v>
          </cell>
          <cell r="H1045">
            <v>1.4</v>
          </cell>
          <cell r="I1045" t="str">
            <v>M4B</v>
          </cell>
          <cell r="J1045" t="str">
            <v>IE3</v>
          </cell>
          <cell r="K1045">
            <v>400</v>
          </cell>
          <cell r="L1045">
            <v>50</v>
          </cell>
          <cell r="M1045">
            <v>21</v>
          </cell>
          <cell r="N1045">
            <v>55</v>
          </cell>
          <cell r="O1045" t="str">
            <v>F(105°C)</v>
          </cell>
          <cell r="P1045" t="str">
            <v>270°</v>
          </cell>
          <cell r="Q1045" t="str">
            <v>-</v>
          </cell>
          <cell r="R1045" t="str">
            <v>-</v>
          </cell>
          <cell r="S1045" t="str">
            <v>Free rotation CW</v>
          </cell>
          <cell r="T1045" t="str">
            <v>-</v>
          </cell>
          <cell r="U1045" t="str">
            <v>T</v>
          </cell>
          <cell r="V1045" t="str">
            <v>SS</v>
          </cell>
          <cell r="W1045" t="str">
            <v>-</v>
          </cell>
          <cell r="X1045" t="str">
            <v>CLP (CC) VG 220 = -15° + 40°</v>
          </cell>
          <cell r="Y1045" t="str">
            <v>KH87/T DRN160M4 /RS</v>
          </cell>
          <cell r="Z1045" t="str">
            <v>SEW</v>
          </cell>
          <cell r="AB1045" t="str">
            <v>-</v>
          </cell>
          <cell r="AF1045">
            <v>59</v>
          </cell>
          <cell r="AG1045" t="str">
            <v>DRN160M4</v>
          </cell>
          <cell r="AH1045" t="str">
            <v>KH87T-DRN160M4B270-X</v>
          </cell>
        </row>
        <row r="1046">
          <cell r="A1046" t="str">
            <v>MR001042</v>
          </cell>
          <cell r="B1046" t="str">
            <v>MR</v>
          </cell>
          <cell r="C1046">
            <v>22</v>
          </cell>
          <cell r="D1046">
            <v>107</v>
          </cell>
          <cell r="E1046" t="str">
            <v>KH97</v>
          </cell>
          <cell r="F1046">
            <v>1960</v>
          </cell>
          <cell r="G1046">
            <v>13.85</v>
          </cell>
          <cell r="H1046">
            <v>2.2000000000000002</v>
          </cell>
          <cell r="I1046" t="str">
            <v>M4A</v>
          </cell>
          <cell r="J1046" t="str">
            <v>IE3</v>
          </cell>
          <cell r="K1046">
            <v>400</v>
          </cell>
          <cell r="L1046">
            <v>50</v>
          </cell>
          <cell r="M1046">
            <v>38.5</v>
          </cell>
          <cell r="N1046">
            <v>55</v>
          </cell>
          <cell r="O1046" t="str">
            <v>F(105°C)</v>
          </cell>
          <cell r="P1046" t="str">
            <v>270°</v>
          </cell>
          <cell r="Q1046" t="str">
            <v>-</v>
          </cell>
          <cell r="R1046" t="str">
            <v>-</v>
          </cell>
          <cell r="S1046" t="str">
            <v>Free rotation CCW</v>
          </cell>
          <cell r="T1046" t="str">
            <v>-</v>
          </cell>
          <cell r="U1046" t="str">
            <v>T</v>
          </cell>
          <cell r="V1046" t="str">
            <v>SS</v>
          </cell>
          <cell r="W1046" t="str">
            <v>-</v>
          </cell>
          <cell r="X1046" t="str">
            <v>CLP (CC) VG 220 = -15° + 40°</v>
          </cell>
          <cell r="Y1046" t="str">
            <v>KH97/T DRN180L4 /RS</v>
          </cell>
          <cell r="Z1046" t="str">
            <v>SEW</v>
          </cell>
          <cell r="AB1046" t="str">
            <v>-</v>
          </cell>
          <cell r="AF1046">
            <v>107</v>
          </cell>
          <cell r="AG1046" t="str">
            <v>DRN180L4</v>
          </cell>
          <cell r="AH1046" t="str">
            <v>KH97T-DRN180L4A270-X</v>
          </cell>
        </row>
        <row r="1047">
          <cell r="A1047" t="str">
            <v>MR001043</v>
          </cell>
          <cell r="B1047" t="str">
            <v>MR</v>
          </cell>
          <cell r="C1047">
            <v>0.25</v>
          </cell>
          <cell r="D1047">
            <v>1.7</v>
          </cell>
          <cell r="E1047" t="str">
            <v>KA77R37</v>
          </cell>
          <cell r="F1047">
            <v>1230</v>
          </cell>
          <cell r="G1047">
            <v>815</v>
          </cell>
          <cell r="H1047">
            <v>1.25</v>
          </cell>
          <cell r="I1047" t="str">
            <v>M3B</v>
          </cell>
          <cell r="J1047" t="str">
            <v>IE3</v>
          </cell>
          <cell r="K1047">
            <v>400</v>
          </cell>
          <cell r="L1047">
            <v>50</v>
          </cell>
          <cell r="M1047">
            <v>0.72</v>
          </cell>
          <cell r="N1047">
            <v>55</v>
          </cell>
          <cell r="O1047" t="str">
            <v>F(105°C)</v>
          </cell>
          <cell r="P1047" t="str">
            <v>0°</v>
          </cell>
          <cell r="Q1047" t="str">
            <v>TF</v>
          </cell>
          <cell r="R1047" t="str">
            <v>-</v>
          </cell>
          <cell r="S1047" t="str">
            <v>-</v>
          </cell>
          <cell r="T1047" t="str">
            <v>BEHF</v>
          </cell>
          <cell r="U1047" t="str">
            <v>T</v>
          </cell>
          <cell r="V1047" t="str">
            <v>FC+R</v>
          </cell>
          <cell r="W1047" t="str">
            <v>-</v>
          </cell>
          <cell r="X1047" t="str">
            <v>CLP (CC) VG 220 = -15° + 40°</v>
          </cell>
          <cell r="Y1047" t="str">
            <v>KA77R37/T DRN71MS4 /BEHF /TF</v>
          </cell>
          <cell r="Z1047" t="str">
            <v>SEW</v>
          </cell>
          <cell r="AB1047" t="str">
            <v>-</v>
          </cell>
          <cell r="AF1047">
            <v>1.7</v>
          </cell>
          <cell r="AG1047" t="str">
            <v>DRN71MS4</v>
          </cell>
          <cell r="AH1047" t="str">
            <v>KA77R37T-DRN71MS4B0-X</v>
          </cell>
        </row>
        <row r="1048">
          <cell r="A1048" t="str">
            <v>MR001044</v>
          </cell>
          <cell r="B1048" t="str">
            <v>MR</v>
          </cell>
          <cell r="C1048">
            <v>0.55000000000000004</v>
          </cell>
          <cell r="D1048">
            <v>3.7</v>
          </cell>
          <cell r="E1048" t="str">
            <v>KA77R37</v>
          </cell>
          <cell r="F1048">
            <v>1280</v>
          </cell>
          <cell r="G1048">
            <v>367</v>
          </cell>
          <cell r="H1048">
            <v>1.2</v>
          </cell>
          <cell r="I1048" t="str">
            <v>M3B</v>
          </cell>
          <cell r="J1048" t="str">
            <v>IE3</v>
          </cell>
          <cell r="K1048">
            <v>400</v>
          </cell>
          <cell r="L1048">
            <v>50</v>
          </cell>
          <cell r="M1048">
            <v>1.29</v>
          </cell>
          <cell r="N1048">
            <v>55</v>
          </cell>
          <cell r="O1048" t="str">
            <v>F(105°C)</v>
          </cell>
          <cell r="P1048" t="str">
            <v>0°</v>
          </cell>
          <cell r="Q1048" t="str">
            <v>-</v>
          </cell>
          <cell r="R1048" t="str">
            <v>-</v>
          </cell>
          <cell r="S1048" t="str">
            <v>-</v>
          </cell>
          <cell r="T1048" t="str">
            <v>BEHF</v>
          </cell>
          <cell r="U1048" t="str">
            <v>T</v>
          </cell>
          <cell r="V1048" t="str">
            <v>D+R</v>
          </cell>
          <cell r="W1048" t="str">
            <v>-</v>
          </cell>
          <cell r="X1048" t="str">
            <v>CLP (CC) VG 220 = -15° + 40°</v>
          </cell>
          <cell r="Y1048" t="str">
            <v>KA77R37/T DRS71M4 /BEHF</v>
          </cell>
          <cell r="Z1048" t="str">
            <v>SEW</v>
          </cell>
          <cell r="AB1048" t="str">
            <v>-</v>
          </cell>
          <cell r="AF1048">
            <v>3.7</v>
          </cell>
          <cell r="AG1048" t="str">
            <v>DRS71M4</v>
          </cell>
          <cell r="AH1048" t="str">
            <v>KA77R37T-DRS71M4B0-X</v>
          </cell>
        </row>
        <row r="1049">
          <cell r="A1049" t="str">
            <v>MR001045</v>
          </cell>
          <cell r="B1049" t="str">
            <v>MR</v>
          </cell>
          <cell r="C1049">
            <v>37</v>
          </cell>
          <cell r="D1049">
            <v>56</v>
          </cell>
          <cell r="E1049" t="str">
            <v>KH107</v>
          </cell>
          <cell r="F1049">
            <v>6270</v>
          </cell>
          <cell r="G1049">
            <v>26.36</v>
          </cell>
          <cell r="H1049">
            <v>1.1499999999999999</v>
          </cell>
          <cell r="I1049" t="str">
            <v>M4A</v>
          </cell>
          <cell r="J1049" t="str">
            <v>IE3</v>
          </cell>
          <cell r="K1049">
            <v>400</v>
          </cell>
          <cell r="L1049">
            <v>50</v>
          </cell>
          <cell r="M1049">
            <v>64</v>
          </cell>
          <cell r="N1049">
            <v>55</v>
          </cell>
          <cell r="O1049" t="str">
            <v>F(105°C)</v>
          </cell>
          <cell r="P1049" t="str">
            <v>270°</v>
          </cell>
          <cell r="Q1049" t="str">
            <v>TF</v>
          </cell>
          <cell r="R1049" t="str">
            <v>V(VE)</v>
          </cell>
          <cell r="S1049" t="str">
            <v>Free rotation CCW</v>
          </cell>
          <cell r="T1049" t="str">
            <v>-</v>
          </cell>
          <cell r="U1049" t="str">
            <v>T</v>
          </cell>
          <cell r="V1049" t="str">
            <v>FC</v>
          </cell>
          <cell r="W1049" t="str">
            <v>-</v>
          </cell>
          <cell r="X1049" t="str">
            <v>CLP (CC) VG 220 = -15° + 40°</v>
          </cell>
          <cell r="Y1049" t="str">
            <v>KH107/T DRN225S4 /RS /TF/V</v>
          </cell>
          <cell r="Z1049" t="str">
            <v>SEW</v>
          </cell>
          <cell r="AB1049" t="str">
            <v>-</v>
          </cell>
          <cell r="AF1049">
            <v>56</v>
          </cell>
          <cell r="AG1049" t="str">
            <v>DRN225S4</v>
          </cell>
          <cell r="AH1049" t="str">
            <v>KH107T-DRN225S4A270-X#</v>
          </cell>
        </row>
        <row r="1050">
          <cell r="A1050" t="str">
            <v>MR001046</v>
          </cell>
          <cell r="B1050" t="str">
            <v>MR</v>
          </cell>
          <cell r="C1050">
            <v>2.2000000000000002</v>
          </cell>
          <cell r="D1050">
            <v>11</v>
          </cell>
          <cell r="E1050" t="str">
            <v>FA87</v>
          </cell>
          <cell r="F1050">
            <v>1940</v>
          </cell>
          <cell r="G1050">
            <v>134.16</v>
          </cell>
          <cell r="H1050">
            <v>1.55</v>
          </cell>
          <cell r="I1050" t="str">
            <v>M1</v>
          </cell>
          <cell r="J1050" t="str">
            <v>IE3</v>
          </cell>
          <cell r="K1050">
            <v>400</v>
          </cell>
          <cell r="L1050">
            <v>50</v>
          </cell>
          <cell r="N1050">
            <v>55</v>
          </cell>
          <cell r="O1050" t="str">
            <v>F(105°C)</v>
          </cell>
          <cell r="P1050" t="str">
            <v>0°</v>
          </cell>
          <cell r="Q1050" t="str">
            <v>-</v>
          </cell>
          <cell r="R1050" t="str">
            <v>-</v>
          </cell>
          <cell r="S1050" t="str">
            <v>-</v>
          </cell>
          <cell r="T1050" t="str">
            <v>-</v>
          </cell>
          <cell r="U1050" t="str">
            <v>-</v>
          </cell>
          <cell r="V1050" t="str">
            <v>D</v>
          </cell>
          <cell r="W1050" t="str">
            <v>-</v>
          </cell>
          <cell r="X1050" t="str">
            <v>CLP (CC) VG 220 = -15° + 40°</v>
          </cell>
          <cell r="Y1050" t="str">
            <v>FA87DRN100LS4</v>
          </cell>
          <cell r="Z1050" t="str">
            <v>SEW</v>
          </cell>
          <cell r="AB1050" t="str">
            <v>-</v>
          </cell>
          <cell r="AF1050">
            <v>11</v>
          </cell>
          <cell r="AG1050" t="str">
            <v>DRN100LS4</v>
          </cell>
          <cell r="AH1050" t="str">
            <v>FA87-DRN100LS40-X</v>
          </cell>
        </row>
        <row r="1051">
          <cell r="A1051" t="str">
            <v>MR001047</v>
          </cell>
          <cell r="B1051" t="str">
            <v>MR</v>
          </cell>
          <cell r="C1051">
            <v>18.5</v>
          </cell>
          <cell r="D1051">
            <v>65</v>
          </cell>
          <cell r="E1051" t="str">
            <v>R107</v>
          </cell>
          <cell r="F1051">
            <v>2700</v>
          </cell>
          <cell r="G1051">
            <v>22.62</v>
          </cell>
          <cell r="H1051">
            <v>1.6</v>
          </cell>
          <cell r="I1051" t="str">
            <v>From M1 to M2 - 45°</v>
          </cell>
          <cell r="J1051" t="str">
            <v>IE3</v>
          </cell>
          <cell r="K1051">
            <v>400</v>
          </cell>
          <cell r="L1051">
            <v>50</v>
          </cell>
          <cell r="N1051">
            <v>55</v>
          </cell>
          <cell r="O1051" t="str">
            <v>F(105°C)</v>
          </cell>
          <cell r="P1051" t="str">
            <v>270°</v>
          </cell>
          <cell r="Q1051" t="str">
            <v>-</v>
          </cell>
          <cell r="R1051" t="str">
            <v>-</v>
          </cell>
          <cell r="S1051" t="str">
            <v>-</v>
          </cell>
          <cell r="T1051" t="str">
            <v>-</v>
          </cell>
          <cell r="U1051" t="str">
            <v>-</v>
          </cell>
          <cell r="V1051" t="str">
            <v>D</v>
          </cell>
          <cell r="W1051" t="str">
            <v>-</v>
          </cell>
          <cell r="X1051" t="str">
            <v>CLP (CC) VG 220 = -15° + 40°</v>
          </cell>
          <cell r="Y1051" t="str">
            <v>R107DRN180M4</v>
          </cell>
          <cell r="Z1051" t="str">
            <v>SEW</v>
          </cell>
          <cell r="AB1051" t="str">
            <v>-</v>
          </cell>
          <cell r="AF1051">
            <v>65</v>
          </cell>
          <cell r="AG1051" t="str">
            <v>DRN180M4</v>
          </cell>
          <cell r="AH1051" t="str">
            <v>R107-DRN180M4270-X</v>
          </cell>
        </row>
        <row r="1052">
          <cell r="A1052" t="str">
            <v>MR001048</v>
          </cell>
          <cell r="B1052" t="str">
            <v>MR</v>
          </cell>
          <cell r="C1052">
            <v>18.5</v>
          </cell>
          <cell r="D1052">
            <v>102</v>
          </cell>
          <cell r="E1052" t="str">
            <v>KH87</v>
          </cell>
          <cell r="F1052">
            <v>1720</v>
          </cell>
          <cell r="G1052">
            <v>14.45</v>
          </cell>
          <cell r="H1052">
            <v>1.2</v>
          </cell>
          <cell r="I1052" t="str">
            <v>M4B</v>
          </cell>
          <cell r="J1052" t="str">
            <v>IE3</v>
          </cell>
          <cell r="K1052">
            <v>400</v>
          </cell>
          <cell r="L1052">
            <v>50</v>
          </cell>
          <cell r="M1052">
            <v>33.5</v>
          </cell>
          <cell r="N1052">
            <v>55</v>
          </cell>
          <cell r="O1052" t="str">
            <v>F(105°C)</v>
          </cell>
          <cell r="P1052" t="str">
            <v>270°</v>
          </cell>
          <cell r="Q1052" t="str">
            <v>-</v>
          </cell>
          <cell r="R1052" t="str">
            <v>-</v>
          </cell>
          <cell r="S1052" t="str">
            <v>Free rotation CW</v>
          </cell>
          <cell r="T1052" t="str">
            <v>-</v>
          </cell>
          <cell r="U1052" t="str">
            <v>T</v>
          </cell>
          <cell r="V1052" t="str">
            <v>SS</v>
          </cell>
          <cell r="W1052" t="str">
            <v>-</v>
          </cell>
          <cell r="X1052" t="str">
            <v>CLP (CC) VG 220 = -15° + 40°</v>
          </cell>
          <cell r="Y1052" t="str">
            <v>KH87/T DRN180M4 /RS</v>
          </cell>
          <cell r="Z1052" t="str">
            <v>SEW</v>
          </cell>
          <cell r="AB1052" t="str">
            <v>-</v>
          </cell>
          <cell r="AF1052">
            <v>102</v>
          </cell>
          <cell r="AG1052" t="str">
            <v>DRN180M4</v>
          </cell>
          <cell r="AH1052" t="str">
            <v>KH87T-DRN180M4B270-X</v>
          </cell>
        </row>
        <row r="1053">
          <cell r="A1053" t="str">
            <v>MR001049</v>
          </cell>
          <cell r="B1053" t="str">
            <v>MR</v>
          </cell>
          <cell r="C1053">
            <v>5.5</v>
          </cell>
          <cell r="D1053">
            <v>14</v>
          </cell>
          <cell r="E1053" t="str">
            <v>KH97</v>
          </cell>
          <cell r="F1053">
            <v>3770</v>
          </cell>
          <cell r="G1053">
            <v>105.13</v>
          </cell>
          <cell r="H1053">
            <v>1.1000000000000001</v>
          </cell>
          <cell r="I1053" t="str">
            <v>M1A</v>
          </cell>
          <cell r="J1053" t="str">
            <v>IE3</v>
          </cell>
          <cell r="K1053">
            <v>400</v>
          </cell>
          <cell r="L1053">
            <v>50</v>
          </cell>
          <cell r="M1053">
            <v>11</v>
          </cell>
          <cell r="N1053">
            <v>55</v>
          </cell>
          <cell r="O1053" t="str">
            <v>F(105°C)</v>
          </cell>
          <cell r="P1053" t="str">
            <v>180°</v>
          </cell>
          <cell r="Q1053" t="str">
            <v>TF</v>
          </cell>
          <cell r="R1053" t="str">
            <v>V(VE)</v>
          </cell>
          <cell r="S1053" t="str">
            <v>-</v>
          </cell>
          <cell r="T1053" t="str">
            <v>-</v>
          </cell>
          <cell r="U1053" t="str">
            <v>-</v>
          </cell>
          <cell r="V1053" t="str">
            <v>FC</v>
          </cell>
          <cell r="W1053" t="str">
            <v>-</v>
          </cell>
          <cell r="X1053" t="str">
            <v>CLP HC VG 220 = -20° + 60°</v>
          </cell>
          <cell r="Y1053" t="str">
            <v>KH97/II2GDEDRN132S4/3D/KCC/TF/VE</v>
          </cell>
          <cell r="Z1053" t="str">
            <v>SEW</v>
          </cell>
          <cell r="AB1053" t="str">
            <v>ATEX22</v>
          </cell>
          <cell r="AF1053">
            <v>14</v>
          </cell>
          <cell r="AH1053" t="str">
            <v>KH97-A180-X#</v>
          </cell>
        </row>
        <row r="1054">
          <cell r="A1054" t="str">
            <v>MR001050</v>
          </cell>
          <cell r="B1054" t="str">
            <v>MR</v>
          </cell>
          <cell r="C1054">
            <v>22</v>
          </cell>
          <cell r="D1054">
            <v>24</v>
          </cell>
          <cell r="E1054" t="str">
            <v>KH127</v>
          </cell>
          <cell r="F1054">
            <v>8900</v>
          </cell>
          <cell r="G1054">
            <v>62.6</v>
          </cell>
          <cell r="H1054">
            <v>1.45</v>
          </cell>
          <cell r="I1054" t="str">
            <v>From M1A to M2A - 40°</v>
          </cell>
          <cell r="J1054" t="str">
            <v>IE3</v>
          </cell>
          <cell r="K1054">
            <v>400</v>
          </cell>
          <cell r="L1054">
            <v>50</v>
          </cell>
          <cell r="M1054">
            <v>40.5</v>
          </cell>
          <cell r="N1054">
            <v>55</v>
          </cell>
          <cell r="O1054" t="str">
            <v>F(105°C)</v>
          </cell>
          <cell r="P1054" t="str">
            <v>180°</v>
          </cell>
          <cell r="Q1054" t="str">
            <v>TF</v>
          </cell>
          <cell r="R1054" t="str">
            <v>V(VE)</v>
          </cell>
          <cell r="S1054" t="str">
            <v>-</v>
          </cell>
          <cell r="T1054" t="str">
            <v>-</v>
          </cell>
          <cell r="U1054" t="str">
            <v>-</v>
          </cell>
          <cell r="V1054" t="str">
            <v>FC</v>
          </cell>
          <cell r="W1054" t="str">
            <v>-</v>
          </cell>
          <cell r="X1054" t="str">
            <v>CLP HC VG 220 = -20° + 60°</v>
          </cell>
          <cell r="Y1054" t="str">
            <v>KH127/II2GDEDRN180L4/3D/TF/VE</v>
          </cell>
          <cell r="Z1054" t="str">
            <v>SEW</v>
          </cell>
          <cell r="AB1054" t="str">
            <v>ATEX22</v>
          </cell>
          <cell r="AF1054">
            <v>24</v>
          </cell>
          <cell r="AH1054" t="str">
            <v>KH127-A180-X#</v>
          </cell>
        </row>
        <row r="1055">
          <cell r="A1055" t="str">
            <v>MR001051</v>
          </cell>
          <cell r="B1055" t="str">
            <v>MR</v>
          </cell>
          <cell r="C1055">
            <v>0.55000000000000004</v>
          </cell>
          <cell r="D1055">
            <v>0.74</v>
          </cell>
          <cell r="E1055" t="str">
            <v>KH107R77</v>
          </cell>
          <cell r="F1055">
            <v>6170</v>
          </cell>
          <cell r="G1055">
            <v>1939</v>
          </cell>
          <cell r="H1055">
            <v>1.3</v>
          </cell>
          <cell r="I1055" t="str">
            <v>From M1 to M4 A 55°</v>
          </cell>
          <cell r="J1055" t="str">
            <v>IE3</v>
          </cell>
          <cell r="K1055">
            <v>400</v>
          </cell>
          <cell r="L1055">
            <v>50</v>
          </cell>
          <cell r="N1055">
            <v>55</v>
          </cell>
          <cell r="O1055" t="str">
            <v>F(105°C)</v>
          </cell>
          <cell r="P1055" t="str">
            <v>0°</v>
          </cell>
          <cell r="Q1055" t="str">
            <v>-</v>
          </cell>
          <cell r="R1055" t="str">
            <v>-</v>
          </cell>
          <cell r="S1055" t="str">
            <v>-</v>
          </cell>
          <cell r="T1055" t="str">
            <v>-</v>
          </cell>
          <cell r="U1055" t="str">
            <v>T</v>
          </cell>
          <cell r="V1055" t="str">
            <v>D</v>
          </cell>
          <cell r="W1055" t="str">
            <v>-</v>
          </cell>
          <cell r="X1055" t="str">
            <v>CLP (CC) VG 220 = -15° + 40°</v>
          </cell>
          <cell r="Y1055" t="str">
            <v xml:space="preserve">KH107R77DRN80MK4 </v>
          </cell>
          <cell r="Z1055" t="str">
            <v>SEW</v>
          </cell>
          <cell r="AB1055" t="str">
            <v>-</v>
          </cell>
          <cell r="AF1055">
            <v>0.74</v>
          </cell>
          <cell r="AH1055" t="str">
            <v>KH107R77T-A0-X</v>
          </cell>
        </row>
        <row r="1056">
          <cell r="A1056" t="str">
            <v>MR001052</v>
          </cell>
          <cell r="B1056" t="str">
            <v>MR</v>
          </cell>
          <cell r="C1056">
            <v>1.1000000000000001</v>
          </cell>
          <cell r="D1056">
            <v>12</v>
          </cell>
          <cell r="E1056" t="str">
            <v>R97</v>
          </cell>
          <cell r="F1056">
            <v>840</v>
          </cell>
          <cell r="G1056">
            <v>116.48</v>
          </cell>
          <cell r="H1056">
            <v>3.6</v>
          </cell>
          <cell r="I1056" t="str">
            <v>M1</v>
          </cell>
          <cell r="J1056" t="str">
            <v>IE3</v>
          </cell>
          <cell r="K1056">
            <v>400</v>
          </cell>
          <cell r="L1056">
            <v>50</v>
          </cell>
          <cell r="N1056">
            <v>56</v>
          </cell>
          <cell r="O1056" t="str">
            <v>F(105°C)</v>
          </cell>
          <cell r="P1056" t="str">
            <v>0°</v>
          </cell>
          <cell r="Q1056" t="str">
            <v>-</v>
          </cell>
          <cell r="R1056" t="str">
            <v>-</v>
          </cell>
          <cell r="S1056" t="str">
            <v>-</v>
          </cell>
          <cell r="T1056" t="str">
            <v>-</v>
          </cell>
          <cell r="U1056" t="str">
            <v>-</v>
          </cell>
          <cell r="V1056" t="str">
            <v>D</v>
          </cell>
          <cell r="W1056" t="str">
            <v>-</v>
          </cell>
          <cell r="X1056" t="str">
            <v>CLP (CC) VG 220 = -15° + 40°</v>
          </cell>
          <cell r="Y1056" t="str">
            <v>R97DRN90S4</v>
          </cell>
          <cell r="Z1056" t="str">
            <v>SEW</v>
          </cell>
          <cell r="AB1056" t="str">
            <v>-</v>
          </cell>
          <cell r="AF1056">
            <v>12</v>
          </cell>
          <cell r="AG1056" t="str">
            <v>DRN90S4</v>
          </cell>
          <cell r="AH1056" t="str">
            <v>R97-DRN90S40-X</v>
          </cell>
        </row>
        <row r="1057">
          <cell r="A1057" t="str">
            <v>MR001053</v>
          </cell>
          <cell r="B1057" t="str">
            <v>MR</v>
          </cell>
          <cell r="C1057">
            <v>0.55000000000000004</v>
          </cell>
          <cell r="D1057">
            <v>14</v>
          </cell>
          <cell r="E1057" t="str">
            <v>R77</v>
          </cell>
          <cell r="F1057">
            <v>375</v>
          </cell>
          <cell r="G1057">
            <v>102.99</v>
          </cell>
          <cell r="H1057">
            <v>2.2000000000000002</v>
          </cell>
          <cell r="I1057" t="str">
            <v>M1</v>
          </cell>
          <cell r="J1057" t="str">
            <v>IE3</v>
          </cell>
          <cell r="K1057">
            <v>400</v>
          </cell>
          <cell r="L1057">
            <v>50</v>
          </cell>
          <cell r="N1057">
            <v>56</v>
          </cell>
          <cell r="O1057" t="str">
            <v>F(105°C)</v>
          </cell>
          <cell r="P1057" t="str">
            <v>0°</v>
          </cell>
          <cell r="Q1057" t="str">
            <v>-</v>
          </cell>
          <cell r="R1057" t="str">
            <v>-</v>
          </cell>
          <cell r="S1057" t="str">
            <v>-</v>
          </cell>
          <cell r="T1057" t="str">
            <v>-</v>
          </cell>
          <cell r="U1057" t="str">
            <v>-</v>
          </cell>
          <cell r="V1057" t="str">
            <v>D</v>
          </cell>
          <cell r="W1057" t="str">
            <v>-</v>
          </cell>
          <cell r="X1057" t="str">
            <v>CLP (CC) VG 220 = -15° + 40°</v>
          </cell>
          <cell r="Y1057" t="str">
            <v xml:space="preserve">R77DRN80MK4 </v>
          </cell>
          <cell r="Z1057" t="str">
            <v>SEW</v>
          </cell>
          <cell r="AB1057" t="str">
            <v>-</v>
          </cell>
          <cell r="AF1057">
            <v>14</v>
          </cell>
          <cell r="AG1057" t="str">
            <v>DRS71M4</v>
          </cell>
          <cell r="AH1057" t="str">
            <v>R77-DRS71M40-X</v>
          </cell>
        </row>
        <row r="1058">
          <cell r="A1058" t="str">
            <v>MR001054</v>
          </cell>
          <cell r="B1058" t="str">
            <v>MR</v>
          </cell>
          <cell r="C1058">
            <v>0.75</v>
          </cell>
          <cell r="D1058">
            <v>6.4</v>
          </cell>
          <cell r="E1058" t="str">
            <v>FA77</v>
          </cell>
          <cell r="F1058">
            <v>1120</v>
          </cell>
          <cell r="G1058">
            <v>225.79</v>
          </cell>
          <cell r="H1058">
            <v>1.35</v>
          </cell>
          <cell r="I1058" t="str">
            <v>M1</v>
          </cell>
          <cell r="J1058" t="str">
            <v>IE3</v>
          </cell>
          <cell r="K1058">
            <v>400</v>
          </cell>
          <cell r="L1058">
            <v>50</v>
          </cell>
          <cell r="N1058">
            <v>56</v>
          </cell>
          <cell r="O1058" t="str">
            <v>F(105°C)</v>
          </cell>
          <cell r="P1058" t="str">
            <v>0°</v>
          </cell>
          <cell r="Q1058" t="str">
            <v>-</v>
          </cell>
          <cell r="R1058" t="str">
            <v>-</v>
          </cell>
          <cell r="S1058" t="str">
            <v>-</v>
          </cell>
          <cell r="T1058" t="str">
            <v>-</v>
          </cell>
          <cell r="U1058" t="str">
            <v>-</v>
          </cell>
          <cell r="V1058" t="str">
            <v>D</v>
          </cell>
          <cell r="W1058" t="str">
            <v>-</v>
          </cell>
          <cell r="X1058" t="str">
            <v>CLP (CC) VG 220 = -15° + 40°</v>
          </cell>
          <cell r="Y1058" t="str">
            <v>FA77DRN80M4</v>
          </cell>
          <cell r="Z1058" t="str">
            <v>SEW</v>
          </cell>
          <cell r="AB1058" t="str">
            <v>-</v>
          </cell>
          <cell r="AF1058">
            <v>6.4</v>
          </cell>
          <cell r="AG1058" t="str">
            <v>DRN80M4</v>
          </cell>
          <cell r="AH1058" t="str">
            <v>FA77-DRN80M40-X</v>
          </cell>
        </row>
        <row r="1059">
          <cell r="A1059" t="str">
            <v>MR001055</v>
          </cell>
          <cell r="B1059" t="str">
            <v>MR</v>
          </cell>
          <cell r="C1059">
            <v>1.1000000000000001</v>
          </cell>
          <cell r="D1059">
            <v>10</v>
          </cell>
          <cell r="E1059" t="str">
            <v>FA77</v>
          </cell>
          <cell r="F1059">
            <v>1020</v>
          </cell>
          <cell r="G1059">
            <v>142.27000000000001</v>
          </cell>
          <cell r="H1059">
            <v>1.45</v>
          </cell>
          <cell r="I1059" t="str">
            <v>M1</v>
          </cell>
          <cell r="J1059" t="str">
            <v>IE3</v>
          </cell>
          <cell r="K1059">
            <v>400</v>
          </cell>
          <cell r="L1059">
            <v>50</v>
          </cell>
          <cell r="N1059">
            <v>56</v>
          </cell>
          <cell r="O1059" t="str">
            <v>F(105°C)</v>
          </cell>
          <cell r="P1059" t="str">
            <v>0°</v>
          </cell>
          <cell r="Q1059" t="str">
            <v>-</v>
          </cell>
          <cell r="R1059" t="str">
            <v>-</v>
          </cell>
          <cell r="S1059" t="str">
            <v>-</v>
          </cell>
          <cell r="T1059" t="str">
            <v>-</v>
          </cell>
          <cell r="U1059" t="str">
            <v>-</v>
          </cell>
          <cell r="V1059" t="str">
            <v>D</v>
          </cell>
          <cell r="W1059" t="str">
            <v>-</v>
          </cell>
          <cell r="X1059" t="str">
            <v>CLP (CC) VG 220 = -15° + 40°</v>
          </cell>
          <cell r="Y1059" t="str">
            <v>FA77DRN90S4</v>
          </cell>
          <cell r="Z1059" t="str">
            <v>SEW</v>
          </cell>
          <cell r="AB1059" t="str">
            <v>-</v>
          </cell>
          <cell r="AF1059">
            <v>10</v>
          </cell>
          <cell r="AG1059" t="str">
            <v>DRN90S4</v>
          </cell>
          <cell r="AH1059" t="str">
            <v>FA77-DRN90S40-X</v>
          </cell>
        </row>
        <row r="1060">
          <cell r="A1060" t="str">
            <v>MR001056</v>
          </cell>
          <cell r="B1060" t="str">
            <v>MR</v>
          </cell>
          <cell r="C1060">
            <v>1.1000000000000001</v>
          </cell>
          <cell r="D1060">
            <v>5.4</v>
          </cell>
          <cell r="E1060" t="str">
            <v>FA87</v>
          </cell>
          <cell r="F1060">
            <v>1950</v>
          </cell>
          <cell r="G1060">
            <v>270.68</v>
          </cell>
          <cell r="H1060">
            <v>1.55</v>
          </cell>
          <cell r="I1060" t="str">
            <v>M1</v>
          </cell>
          <cell r="J1060" t="str">
            <v>IE3</v>
          </cell>
          <cell r="K1060">
            <v>400</v>
          </cell>
          <cell r="L1060">
            <v>50</v>
          </cell>
          <cell r="N1060">
            <v>56</v>
          </cell>
          <cell r="O1060" t="str">
            <v>F(105°C)</v>
          </cell>
          <cell r="P1060" t="str">
            <v>0°</v>
          </cell>
          <cell r="Q1060" t="str">
            <v>-</v>
          </cell>
          <cell r="R1060" t="str">
            <v>-</v>
          </cell>
          <cell r="S1060" t="str">
            <v>-</v>
          </cell>
          <cell r="T1060" t="str">
            <v>-</v>
          </cell>
          <cell r="U1060" t="str">
            <v>-</v>
          </cell>
          <cell r="V1060" t="str">
            <v>D</v>
          </cell>
          <cell r="W1060" t="str">
            <v>-</v>
          </cell>
          <cell r="X1060" t="str">
            <v>CLP (CC) VG 220 = -15° + 40°</v>
          </cell>
          <cell r="Y1060" t="str">
            <v>FA87DRN90S4</v>
          </cell>
          <cell r="Z1060" t="str">
            <v>SEW</v>
          </cell>
          <cell r="AB1060" t="str">
            <v>-</v>
          </cell>
          <cell r="AF1060">
            <v>5.4</v>
          </cell>
          <cell r="AG1060" t="str">
            <v>DRN90S4</v>
          </cell>
          <cell r="AH1060" t="str">
            <v>FA87-DRN90S40-X</v>
          </cell>
        </row>
        <row r="1061">
          <cell r="A1061" t="str">
            <v>MR001057</v>
          </cell>
          <cell r="B1061" t="str">
            <v>MR</v>
          </cell>
          <cell r="C1061">
            <v>2.2000000000000002</v>
          </cell>
          <cell r="D1061">
            <v>11</v>
          </cell>
          <cell r="E1061" t="str">
            <v>FA87</v>
          </cell>
          <cell r="F1061">
            <v>1940</v>
          </cell>
          <cell r="G1061">
            <v>134.16</v>
          </cell>
          <cell r="H1061">
            <v>1.55</v>
          </cell>
          <cell r="I1061" t="str">
            <v>From M1 to M4 10°</v>
          </cell>
          <cell r="J1061" t="str">
            <v>IE3</v>
          </cell>
          <cell r="K1061">
            <v>400</v>
          </cell>
          <cell r="L1061">
            <v>50</v>
          </cell>
          <cell r="N1061">
            <v>56</v>
          </cell>
          <cell r="O1061" t="str">
            <v>F(105°C)</v>
          </cell>
          <cell r="P1061" t="str">
            <v>0°</v>
          </cell>
          <cell r="Q1061" t="str">
            <v>-</v>
          </cell>
          <cell r="R1061" t="str">
            <v>-</v>
          </cell>
          <cell r="S1061" t="str">
            <v>-</v>
          </cell>
          <cell r="T1061" t="str">
            <v>-</v>
          </cell>
          <cell r="U1061" t="str">
            <v>-</v>
          </cell>
          <cell r="V1061" t="str">
            <v>D</v>
          </cell>
          <cell r="W1061" t="str">
            <v>-</v>
          </cell>
          <cell r="X1061" t="str">
            <v>CLP (CC) VG 220 = -15° + 40°</v>
          </cell>
          <cell r="Y1061" t="str">
            <v>FA87DRN100LS4</v>
          </cell>
          <cell r="Z1061" t="str">
            <v>SEW</v>
          </cell>
          <cell r="AB1061" t="str">
            <v>-</v>
          </cell>
          <cell r="AF1061">
            <v>11</v>
          </cell>
          <cell r="AG1061" t="str">
            <v>DRN100LS4</v>
          </cell>
          <cell r="AH1061" t="str">
            <v>FA87-DRN100LS40-X</v>
          </cell>
        </row>
        <row r="1062">
          <cell r="A1062" t="str">
            <v>MR001058</v>
          </cell>
          <cell r="B1062" t="str">
            <v>MR</v>
          </cell>
          <cell r="C1062">
            <v>0.75</v>
          </cell>
          <cell r="D1062">
            <v>6.4</v>
          </cell>
          <cell r="E1062" t="str">
            <v>FA77</v>
          </cell>
          <cell r="F1062">
            <v>1120</v>
          </cell>
          <cell r="G1062">
            <v>225.79</v>
          </cell>
          <cell r="H1062">
            <v>1.35</v>
          </cell>
          <cell r="I1062" t="str">
            <v>From M1 to M4 10°</v>
          </cell>
          <cell r="J1062" t="str">
            <v>IE3</v>
          </cell>
          <cell r="K1062">
            <v>400</v>
          </cell>
          <cell r="L1062">
            <v>50</v>
          </cell>
          <cell r="N1062">
            <v>56</v>
          </cell>
          <cell r="O1062" t="str">
            <v>F(105°C)</v>
          </cell>
          <cell r="P1062" t="str">
            <v>0°</v>
          </cell>
          <cell r="Q1062" t="str">
            <v>-</v>
          </cell>
          <cell r="R1062" t="str">
            <v>-</v>
          </cell>
          <cell r="S1062" t="str">
            <v>-</v>
          </cell>
          <cell r="T1062" t="str">
            <v>-</v>
          </cell>
          <cell r="U1062" t="str">
            <v>-</v>
          </cell>
          <cell r="V1062" t="str">
            <v>D</v>
          </cell>
          <cell r="W1062" t="str">
            <v>-</v>
          </cell>
          <cell r="X1062" t="str">
            <v>CLP (CC) VG 220 = -15° + 40°</v>
          </cell>
          <cell r="Y1062" t="str">
            <v>FA77DRN80M4</v>
          </cell>
          <cell r="Z1062" t="str">
            <v>SEW</v>
          </cell>
          <cell r="AB1062" t="str">
            <v>-</v>
          </cell>
          <cell r="AF1062">
            <v>6.4</v>
          </cell>
          <cell r="AG1062" t="str">
            <v>DRN80M4</v>
          </cell>
          <cell r="AH1062" t="str">
            <v>FA77-DRN80M40-X</v>
          </cell>
        </row>
        <row r="1063">
          <cell r="A1063" t="str">
            <v>MR001059</v>
          </cell>
          <cell r="B1063" t="str">
            <v>MR</v>
          </cell>
          <cell r="C1063">
            <v>0.37</v>
          </cell>
          <cell r="D1063">
            <v>3.3</v>
          </cell>
          <cell r="E1063" t="str">
            <v>KA77R37</v>
          </cell>
          <cell r="F1063">
            <v>940</v>
          </cell>
          <cell r="G1063">
            <v>428</v>
          </cell>
          <cell r="H1063">
            <v>1.65</v>
          </cell>
          <cell r="I1063" t="str">
            <v>M3B</v>
          </cell>
          <cell r="J1063" t="str">
            <v>IE3</v>
          </cell>
          <cell r="K1063">
            <v>400</v>
          </cell>
          <cell r="L1063">
            <v>50</v>
          </cell>
          <cell r="N1063">
            <v>55</v>
          </cell>
          <cell r="O1063" t="str">
            <v>F(105°C)</v>
          </cell>
          <cell r="P1063" t="str">
            <v>270°</v>
          </cell>
          <cell r="Q1063" t="str">
            <v>TF</v>
          </cell>
          <cell r="R1063" t="str">
            <v>-</v>
          </cell>
          <cell r="S1063" t="str">
            <v>-</v>
          </cell>
          <cell r="T1063" t="str">
            <v>BEHF - 230V</v>
          </cell>
          <cell r="U1063" t="str">
            <v>T</v>
          </cell>
          <cell r="V1063" t="str">
            <v>D+R</v>
          </cell>
          <cell r="W1063" t="str">
            <v>YES</v>
          </cell>
          <cell r="X1063" t="str">
            <v>CLP HC VG 150 = -40° + 40°</v>
          </cell>
          <cell r="Y1063" t="str">
            <v>KA77/TR37DRN71M4BEHF/TF</v>
          </cell>
          <cell r="Z1063" t="str">
            <v>SEW</v>
          </cell>
          <cell r="AB1063" t="str">
            <v>-</v>
          </cell>
          <cell r="AF1063">
            <v>3.3</v>
          </cell>
          <cell r="AG1063" t="str">
            <v>DRS71S4</v>
          </cell>
          <cell r="AH1063" t="str">
            <v>KA77R37T-DRS71S4B270-X</v>
          </cell>
        </row>
        <row r="1064">
          <cell r="A1064" t="str">
            <v>MR001060</v>
          </cell>
          <cell r="B1064" t="str">
            <v>MR</v>
          </cell>
          <cell r="C1064">
            <v>22</v>
          </cell>
          <cell r="D1064">
            <v>12.4</v>
          </cell>
          <cell r="E1064" t="str">
            <v>KH157</v>
          </cell>
          <cell r="F1064">
            <v>14400</v>
          </cell>
          <cell r="G1064">
            <v>122.39</v>
          </cell>
          <cell r="H1064">
            <v>1.25</v>
          </cell>
          <cell r="I1064" t="str">
            <v>M1B</v>
          </cell>
          <cell r="J1064" t="str">
            <v>IE3</v>
          </cell>
          <cell r="K1064">
            <v>480</v>
          </cell>
          <cell r="L1064">
            <v>60</v>
          </cell>
          <cell r="N1064">
            <v>56</v>
          </cell>
          <cell r="O1064" t="str">
            <v>F(105°C)</v>
          </cell>
          <cell r="P1064" t="str">
            <v>270°</v>
          </cell>
          <cell r="Q1064" t="str">
            <v>TF</v>
          </cell>
          <cell r="R1064" t="str">
            <v>-</v>
          </cell>
          <cell r="S1064" t="str">
            <v>-</v>
          </cell>
          <cell r="T1064" t="str">
            <v>-</v>
          </cell>
          <cell r="U1064" t="str">
            <v>-</v>
          </cell>
          <cell r="V1064" t="str">
            <v>FC</v>
          </cell>
          <cell r="W1064" t="str">
            <v>-</v>
          </cell>
          <cell r="X1064" t="str">
            <v>CLP (CC) VG 220 = -15° + 40°</v>
          </cell>
          <cell r="Y1064" t="str">
            <v>KH157DRN180L4 /TF</v>
          </cell>
          <cell r="Z1064" t="str">
            <v>SEW</v>
          </cell>
          <cell r="AB1064" t="str">
            <v>-</v>
          </cell>
          <cell r="AD1064" t="str">
            <v>USA</v>
          </cell>
          <cell r="AE1064" t="str">
            <v>USA UR (60HZ-UL APPROVED)</v>
          </cell>
          <cell r="AF1064">
            <v>14.88</v>
          </cell>
          <cell r="AG1064" t="str">
            <v>DRN180L4</v>
          </cell>
          <cell r="AH1064" t="str">
            <v>KH157-DRN180L4B270-X</v>
          </cell>
        </row>
        <row r="1065">
          <cell r="A1065" t="str">
            <v>MR001061</v>
          </cell>
          <cell r="B1065" t="str">
            <v>MR</v>
          </cell>
          <cell r="C1065">
            <v>11</v>
          </cell>
          <cell r="D1065">
            <v>9.8000000000000007</v>
          </cell>
          <cell r="E1065" t="str">
            <v>KH157</v>
          </cell>
          <cell r="F1065">
            <v>8890</v>
          </cell>
          <cell r="G1065">
            <v>150.41</v>
          </cell>
          <cell r="H1065">
            <v>2</v>
          </cell>
          <cell r="I1065" t="str">
            <v>From M1A to M2 - 10°</v>
          </cell>
          <cell r="J1065" t="str">
            <v>IE3</v>
          </cell>
          <cell r="K1065">
            <v>480</v>
          </cell>
          <cell r="L1065">
            <v>60</v>
          </cell>
          <cell r="N1065">
            <v>56</v>
          </cell>
          <cell r="O1065" t="str">
            <v>F(105°C)</v>
          </cell>
          <cell r="P1065" t="str">
            <v>270°</v>
          </cell>
          <cell r="Q1065" t="str">
            <v>TF</v>
          </cell>
          <cell r="R1065" t="str">
            <v>-</v>
          </cell>
          <cell r="S1065" t="str">
            <v>-</v>
          </cell>
          <cell r="T1065" t="str">
            <v>-</v>
          </cell>
          <cell r="U1065" t="str">
            <v>-</v>
          </cell>
          <cell r="V1065" t="str">
            <v>FC</v>
          </cell>
          <cell r="W1065" t="str">
            <v>-</v>
          </cell>
          <cell r="X1065" t="str">
            <v>CLP (CC) VG 220 = -15° + 40°</v>
          </cell>
          <cell r="Y1065" t="str">
            <v>KH157DRN160M4 /TF</v>
          </cell>
          <cell r="Z1065" t="str">
            <v>SEW</v>
          </cell>
          <cell r="AB1065" t="str">
            <v>-</v>
          </cell>
          <cell r="AD1065" t="str">
            <v>USA</v>
          </cell>
          <cell r="AE1065" t="str">
            <v>USA UR (60HZ-UL APPROVED)</v>
          </cell>
          <cell r="AF1065">
            <v>11.76</v>
          </cell>
          <cell r="AG1065" t="str">
            <v>DRN160M4</v>
          </cell>
          <cell r="AH1065" t="str">
            <v>KH157-DRN160M4A270-X</v>
          </cell>
        </row>
        <row r="1066">
          <cell r="A1066" t="str">
            <v>MR001062</v>
          </cell>
          <cell r="B1066" t="str">
            <v>MR</v>
          </cell>
          <cell r="C1066">
            <v>18.5</v>
          </cell>
          <cell r="D1066">
            <v>12.4</v>
          </cell>
          <cell r="E1066" t="str">
            <v>KH157</v>
          </cell>
          <cell r="F1066">
            <v>12100</v>
          </cell>
          <cell r="G1066">
            <v>122.39</v>
          </cell>
          <cell r="H1066">
            <v>1.5</v>
          </cell>
          <cell r="I1066" t="str">
            <v>M1A</v>
          </cell>
          <cell r="J1066" t="str">
            <v>IE3</v>
          </cell>
          <cell r="K1066">
            <v>480</v>
          </cell>
          <cell r="L1066">
            <v>60</v>
          </cell>
          <cell r="N1066">
            <v>56</v>
          </cell>
          <cell r="O1066" t="str">
            <v>F(105°C)</v>
          </cell>
          <cell r="P1066" t="str">
            <v>270°</v>
          </cell>
          <cell r="Q1066" t="str">
            <v>TF</v>
          </cell>
          <cell r="R1066" t="str">
            <v>-</v>
          </cell>
          <cell r="S1066" t="str">
            <v>-</v>
          </cell>
          <cell r="T1066" t="str">
            <v>-</v>
          </cell>
          <cell r="U1066" t="str">
            <v>-</v>
          </cell>
          <cell r="V1066" t="str">
            <v>FC</v>
          </cell>
          <cell r="W1066" t="str">
            <v>-</v>
          </cell>
          <cell r="X1066" t="str">
            <v>CLP (CC) VG 220 = -15° + 40°</v>
          </cell>
          <cell r="Y1066" t="str">
            <v>KH157DRN180M4 /TF</v>
          </cell>
          <cell r="Z1066" t="str">
            <v>SEW</v>
          </cell>
          <cell r="AB1066" t="str">
            <v>-</v>
          </cell>
          <cell r="AD1066" t="str">
            <v>USA</v>
          </cell>
          <cell r="AE1066" t="str">
            <v>USA UR (60HZ-UL APPROVED)</v>
          </cell>
          <cell r="AF1066">
            <v>14.88</v>
          </cell>
          <cell r="AG1066" t="str">
            <v>DRN180M4</v>
          </cell>
          <cell r="AH1066" t="str">
            <v>KH157-DRN180M4A270-X</v>
          </cell>
        </row>
        <row r="1067">
          <cell r="A1067" t="str">
            <v>MR001063</v>
          </cell>
          <cell r="B1067" t="str">
            <v>MR</v>
          </cell>
          <cell r="C1067">
            <v>22</v>
          </cell>
          <cell r="D1067">
            <v>12.4</v>
          </cell>
          <cell r="E1067" t="str">
            <v>KH157</v>
          </cell>
          <cell r="F1067">
            <v>14400</v>
          </cell>
          <cell r="G1067">
            <v>122.39</v>
          </cell>
          <cell r="H1067">
            <v>1.25</v>
          </cell>
          <cell r="I1067" t="str">
            <v>M1A to M2 - 15°</v>
          </cell>
          <cell r="J1067" t="str">
            <v>IE3</v>
          </cell>
          <cell r="K1067">
            <v>480</v>
          </cell>
          <cell r="L1067">
            <v>60</v>
          </cell>
          <cell r="N1067">
            <v>56</v>
          </cell>
          <cell r="O1067" t="str">
            <v>F(105°C)</v>
          </cell>
          <cell r="P1067" t="str">
            <v>270°</v>
          </cell>
          <cell r="Q1067" t="str">
            <v>TF</v>
          </cell>
          <cell r="R1067" t="str">
            <v>-</v>
          </cell>
          <cell r="S1067" t="str">
            <v>-</v>
          </cell>
          <cell r="T1067" t="str">
            <v>-</v>
          </cell>
          <cell r="U1067" t="str">
            <v>-</v>
          </cell>
          <cell r="V1067" t="str">
            <v>FC</v>
          </cell>
          <cell r="W1067" t="str">
            <v>-</v>
          </cell>
          <cell r="X1067" t="str">
            <v>CLP (CC) VG 220 = -15° + 40°</v>
          </cell>
          <cell r="Y1067" t="str">
            <v>KH157DRN180L4 /TF</v>
          </cell>
          <cell r="Z1067" t="str">
            <v>SEW</v>
          </cell>
          <cell r="AB1067" t="str">
            <v>-</v>
          </cell>
          <cell r="AD1067" t="str">
            <v>USA</v>
          </cell>
          <cell r="AE1067" t="str">
            <v>USA UR (60HZ-UL APPROVED)</v>
          </cell>
          <cell r="AF1067">
            <v>14.88</v>
          </cell>
          <cell r="AG1067" t="str">
            <v>DRN180L4</v>
          </cell>
          <cell r="AH1067" t="str">
            <v>KH157-DRN180L4A270-X</v>
          </cell>
        </row>
        <row r="1068">
          <cell r="A1068" t="str">
            <v>MR001064</v>
          </cell>
          <cell r="B1068" t="str">
            <v>MR</v>
          </cell>
          <cell r="C1068">
            <v>22</v>
          </cell>
          <cell r="D1068">
            <v>12.4</v>
          </cell>
          <cell r="E1068" t="str">
            <v>KH157</v>
          </cell>
          <cell r="F1068">
            <v>14400</v>
          </cell>
          <cell r="G1068">
            <v>122.39</v>
          </cell>
          <cell r="H1068">
            <v>1.25</v>
          </cell>
          <cell r="I1068" t="str">
            <v>M1B to M2 - 15°</v>
          </cell>
          <cell r="J1068" t="str">
            <v>IE3</v>
          </cell>
          <cell r="K1068">
            <v>480</v>
          </cell>
          <cell r="L1068">
            <v>60</v>
          </cell>
          <cell r="N1068">
            <v>56</v>
          </cell>
          <cell r="O1068" t="str">
            <v>F(105°C)</v>
          </cell>
          <cell r="P1068" t="str">
            <v>270°</v>
          </cell>
          <cell r="Q1068" t="str">
            <v>TF</v>
          </cell>
          <cell r="R1068" t="str">
            <v>-</v>
          </cell>
          <cell r="S1068" t="str">
            <v>-</v>
          </cell>
          <cell r="T1068" t="str">
            <v>-</v>
          </cell>
          <cell r="U1068" t="str">
            <v>-</v>
          </cell>
          <cell r="V1068" t="str">
            <v>FC</v>
          </cell>
          <cell r="W1068" t="str">
            <v>-</v>
          </cell>
          <cell r="X1068" t="str">
            <v>CLP (CC) VG 220 = -15° + 40°</v>
          </cell>
          <cell r="Y1068" t="str">
            <v>KH157DRN180L4 /TF</v>
          </cell>
          <cell r="Z1068" t="str">
            <v>SEW</v>
          </cell>
          <cell r="AB1068" t="str">
            <v>-</v>
          </cell>
          <cell r="AD1068" t="str">
            <v>USA</v>
          </cell>
          <cell r="AE1068" t="str">
            <v>USA UR (60HZ-UL APPROVED)</v>
          </cell>
          <cell r="AF1068">
            <v>14.88</v>
          </cell>
          <cell r="AG1068" t="str">
            <v>DRN180L4</v>
          </cell>
          <cell r="AH1068" t="str">
            <v>KH157-DRN180L4B270-X</v>
          </cell>
        </row>
        <row r="1069">
          <cell r="A1069" t="str">
            <v>MR001065</v>
          </cell>
          <cell r="B1069" t="str">
            <v>MR</v>
          </cell>
          <cell r="C1069">
            <v>15</v>
          </cell>
          <cell r="D1069">
            <v>9.6999999999999993</v>
          </cell>
          <cell r="E1069" t="str">
            <v>KH157</v>
          </cell>
          <cell r="F1069">
            <v>12100</v>
          </cell>
          <cell r="G1069">
            <v>150.41</v>
          </cell>
          <cell r="H1069">
            <v>1.5</v>
          </cell>
          <cell r="I1069" t="str">
            <v>M1A to M2 - 15°</v>
          </cell>
          <cell r="J1069" t="str">
            <v>IE3</v>
          </cell>
          <cell r="K1069">
            <v>480</v>
          </cell>
          <cell r="L1069">
            <v>60</v>
          </cell>
          <cell r="N1069">
            <v>56</v>
          </cell>
          <cell r="O1069" t="str">
            <v>F(105°C)</v>
          </cell>
          <cell r="P1069" t="str">
            <v>270°</v>
          </cell>
          <cell r="Q1069" t="str">
            <v>TF</v>
          </cell>
          <cell r="R1069" t="str">
            <v>-</v>
          </cell>
          <cell r="S1069" t="str">
            <v>-</v>
          </cell>
          <cell r="T1069" t="str">
            <v>-</v>
          </cell>
          <cell r="U1069" t="str">
            <v>-</v>
          </cell>
          <cell r="V1069" t="str">
            <v>FC</v>
          </cell>
          <cell r="W1069" t="str">
            <v>-</v>
          </cell>
          <cell r="X1069" t="str">
            <v>CLP (CC) VG 220 = -15° + 40°</v>
          </cell>
          <cell r="Y1069" t="str">
            <v>KH157DRN160L4 /TF</v>
          </cell>
          <cell r="Z1069" t="str">
            <v>SEW</v>
          </cell>
          <cell r="AB1069" t="str">
            <v>-</v>
          </cell>
          <cell r="AD1069" t="str">
            <v>USA</v>
          </cell>
          <cell r="AE1069" t="str">
            <v>USA UR (60HZ-UL APPROVED)</v>
          </cell>
          <cell r="AF1069">
            <v>11.64</v>
          </cell>
          <cell r="AG1069" t="str">
            <v>DRN160L4</v>
          </cell>
          <cell r="AH1069" t="str">
            <v>KH157-DRN160L4A270-X</v>
          </cell>
        </row>
        <row r="1070">
          <cell r="A1070" t="str">
            <v>MR001066</v>
          </cell>
          <cell r="B1070" t="str">
            <v>MR</v>
          </cell>
          <cell r="C1070">
            <v>15</v>
          </cell>
          <cell r="D1070">
            <v>9.6999999999999993</v>
          </cell>
          <cell r="E1070" t="str">
            <v>KH157</v>
          </cell>
          <cell r="F1070">
            <v>12100</v>
          </cell>
          <cell r="G1070">
            <v>150.41</v>
          </cell>
          <cell r="H1070">
            <v>1.5</v>
          </cell>
          <cell r="I1070" t="str">
            <v>M1B to M2 - 15°</v>
          </cell>
          <cell r="J1070" t="str">
            <v>IE3</v>
          </cell>
          <cell r="K1070">
            <v>480</v>
          </cell>
          <cell r="L1070">
            <v>60</v>
          </cell>
          <cell r="N1070">
            <v>56</v>
          </cell>
          <cell r="O1070" t="str">
            <v>F(105°C)</v>
          </cell>
          <cell r="P1070" t="str">
            <v>270°</v>
          </cell>
          <cell r="Q1070" t="str">
            <v>TF</v>
          </cell>
          <cell r="R1070" t="str">
            <v>-</v>
          </cell>
          <cell r="S1070" t="str">
            <v>-</v>
          </cell>
          <cell r="T1070" t="str">
            <v>-</v>
          </cell>
          <cell r="U1070" t="str">
            <v>-</v>
          </cell>
          <cell r="V1070" t="str">
            <v>FC</v>
          </cell>
          <cell r="W1070" t="str">
            <v>-</v>
          </cell>
          <cell r="X1070" t="str">
            <v>CLP (CC) VG 220 = -15° + 40°</v>
          </cell>
          <cell r="Y1070" t="str">
            <v>KH157DRN160L4 /TF</v>
          </cell>
          <cell r="Z1070" t="str">
            <v>SEW</v>
          </cell>
          <cell r="AB1070" t="str">
            <v>-</v>
          </cell>
          <cell r="AD1070" t="str">
            <v>USA</v>
          </cell>
          <cell r="AE1070" t="str">
            <v>USA UR (60HZ-UL APPROVED)</v>
          </cell>
          <cell r="AF1070">
            <v>11.64</v>
          </cell>
          <cell r="AG1070" t="str">
            <v>DRN160L4</v>
          </cell>
          <cell r="AH1070" t="str">
            <v>KH157-DRN160L4B270-X</v>
          </cell>
        </row>
        <row r="1071">
          <cell r="A1071" t="str">
            <v>MR001067</v>
          </cell>
          <cell r="B1071" t="str">
            <v>MR</v>
          </cell>
          <cell r="C1071">
            <v>18.5</v>
          </cell>
          <cell r="D1071">
            <v>91</v>
          </cell>
          <cell r="E1071" t="str">
            <v>R97</v>
          </cell>
          <cell r="F1071">
            <v>1930</v>
          </cell>
          <cell r="G1071">
            <v>16.170000000000002</v>
          </cell>
          <cell r="H1071">
            <v>1.25</v>
          </cell>
          <cell r="I1071" t="str">
            <v>M1</v>
          </cell>
          <cell r="J1071" t="str">
            <v>IE3</v>
          </cell>
          <cell r="K1071">
            <v>400</v>
          </cell>
          <cell r="L1071">
            <v>50</v>
          </cell>
          <cell r="M1071">
            <v>33.5</v>
          </cell>
          <cell r="N1071">
            <v>55</v>
          </cell>
          <cell r="O1071" t="str">
            <v>F(105°C)</v>
          </cell>
          <cell r="P1071" t="str">
            <v>270°</v>
          </cell>
          <cell r="Q1071" t="str">
            <v>TF</v>
          </cell>
          <cell r="R1071" t="str">
            <v>V(VE)</v>
          </cell>
          <cell r="S1071" t="str">
            <v>Free rotation CW</v>
          </cell>
          <cell r="T1071" t="str">
            <v>-</v>
          </cell>
          <cell r="U1071" t="str">
            <v>-</v>
          </cell>
          <cell r="V1071" t="str">
            <v>FC</v>
          </cell>
          <cell r="W1071" t="str">
            <v>-</v>
          </cell>
          <cell r="X1071" t="str">
            <v>CLP (CC) VG 220 = -15° + 40°</v>
          </cell>
          <cell r="Y1071" t="str">
            <v>R97DRN180M4 /RS /TF/V</v>
          </cell>
          <cell r="Z1071" t="str">
            <v>SEW</v>
          </cell>
          <cell r="AB1071" t="str">
            <v>-</v>
          </cell>
          <cell r="AF1071">
            <v>91</v>
          </cell>
          <cell r="AG1071" t="str">
            <v>DRN180M4</v>
          </cell>
          <cell r="AH1071" t="str">
            <v>R97-DRN180M4270-X#</v>
          </cell>
        </row>
        <row r="1072">
          <cell r="A1072" t="str">
            <v>MR001068</v>
          </cell>
          <cell r="B1072" t="str">
            <v>MR</v>
          </cell>
          <cell r="C1072">
            <v>2.2000000000000002</v>
          </cell>
          <cell r="D1072">
            <v>11</v>
          </cell>
          <cell r="E1072" t="str">
            <v>FA87</v>
          </cell>
          <cell r="F1072">
            <v>1940</v>
          </cell>
          <cell r="G1072">
            <v>134.16</v>
          </cell>
          <cell r="H1072">
            <v>1.55</v>
          </cell>
          <cell r="I1072" t="str">
            <v>From M1 to M4 - 5°</v>
          </cell>
          <cell r="J1072" t="str">
            <v>IE3</v>
          </cell>
          <cell r="K1072">
            <v>400</v>
          </cell>
          <cell r="L1072">
            <v>50</v>
          </cell>
          <cell r="N1072">
            <v>55</v>
          </cell>
          <cell r="O1072" t="str">
            <v>F(105°C)</v>
          </cell>
          <cell r="P1072" t="str">
            <v>0°</v>
          </cell>
          <cell r="Q1072" t="str">
            <v>-</v>
          </cell>
          <cell r="R1072" t="str">
            <v>-</v>
          </cell>
          <cell r="S1072" t="str">
            <v>-</v>
          </cell>
          <cell r="T1072" t="str">
            <v>-</v>
          </cell>
          <cell r="U1072" t="str">
            <v>-</v>
          </cell>
          <cell r="V1072" t="str">
            <v>D</v>
          </cell>
          <cell r="W1072" t="str">
            <v>-</v>
          </cell>
          <cell r="X1072" t="str">
            <v>CLP (CC) VG 220 = -15° + 40°</v>
          </cell>
          <cell r="Y1072" t="str">
            <v>FA87DRN100LS4</v>
          </cell>
          <cell r="Z1072" t="str">
            <v>SEW</v>
          </cell>
          <cell r="AB1072" t="str">
            <v>-</v>
          </cell>
          <cell r="AF1072">
            <v>11</v>
          </cell>
          <cell r="AG1072" t="str">
            <v>DRN100LS4</v>
          </cell>
          <cell r="AH1072" t="str">
            <v>FA87-DRN100LS40-X</v>
          </cell>
        </row>
        <row r="1073">
          <cell r="A1073" t="str">
            <v>MR001069</v>
          </cell>
          <cell r="B1073" t="str">
            <v>MR</v>
          </cell>
          <cell r="C1073">
            <v>3</v>
          </cell>
          <cell r="D1073">
            <v>83</v>
          </cell>
          <cell r="E1073" t="str">
            <v>KA67</v>
          </cell>
          <cell r="F1073">
            <v>340</v>
          </cell>
          <cell r="G1073">
            <v>17.54</v>
          </cell>
          <cell r="H1073">
            <v>2.2000000000000002</v>
          </cell>
          <cell r="I1073" t="str">
            <v>M1B</v>
          </cell>
          <cell r="J1073" t="str">
            <v>IE3</v>
          </cell>
          <cell r="K1073">
            <v>400</v>
          </cell>
          <cell r="L1073">
            <v>50</v>
          </cell>
          <cell r="M1073">
            <v>11.2</v>
          </cell>
          <cell r="N1073">
            <v>55</v>
          </cell>
          <cell r="O1073" t="str">
            <v>F</v>
          </cell>
          <cell r="P1073" t="str">
            <v>270°</v>
          </cell>
          <cell r="R1073" t="str">
            <v>-</v>
          </cell>
          <cell r="U1073" t="str">
            <v>T</v>
          </cell>
          <cell r="V1073" t="str">
            <v>D</v>
          </cell>
          <cell r="X1073" t="str">
            <v>CLP HC VG 220 = -20° + 60°</v>
          </cell>
          <cell r="Y1073" t="str">
            <v>KA67/TDRN100L4</v>
          </cell>
          <cell r="Z1073" t="str">
            <v>SEW</v>
          </cell>
          <cell r="AB1073" t="str">
            <v>-</v>
          </cell>
          <cell r="AF1073">
            <v>83</v>
          </cell>
          <cell r="AG1073" t="str">
            <v>DRN100L4</v>
          </cell>
          <cell r="AH1073" t="str">
            <v>KA67T-DRN100L4B270-X</v>
          </cell>
        </row>
        <row r="1074">
          <cell r="A1074" t="str">
            <v>MR001070</v>
          </cell>
          <cell r="B1074" t="str">
            <v>MR</v>
          </cell>
          <cell r="C1074">
            <v>2.2000000000000002</v>
          </cell>
          <cell r="D1074">
            <v>60</v>
          </cell>
          <cell r="E1074" t="str">
            <v>KH67</v>
          </cell>
          <cell r="F1074">
            <v>345</v>
          </cell>
          <cell r="G1074">
            <v>24</v>
          </cell>
          <cell r="H1074">
            <v>2.2999999999999998</v>
          </cell>
          <cell r="I1074" t="str">
            <v>M4A</v>
          </cell>
          <cell r="J1074" t="str">
            <v>IE3</v>
          </cell>
          <cell r="K1074">
            <v>400</v>
          </cell>
          <cell r="L1074">
            <v>50</v>
          </cell>
          <cell r="M1074">
            <v>4.75</v>
          </cell>
          <cell r="N1074">
            <v>55</v>
          </cell>
          <cell r="O1074" t="str">
            <v>F(105°C)</v>
          </cell>
          <cell r="P1074" t="str">
            <v>270°</v>
          </cell>
          <cell r="Q1074" t="str">
            <v>-</v>
          </cell>
          <cell r="R1074" t="str">
            <v>-</v>
          </cell>
          <cell r="S1074" t="str">
            <v>-</v>
          </cell>
          <cell r="T1074" t="str">
            <v>-</v>
          </cell>
          <cell r="U1074" t="str">
            <v>T</v>
          </cell>
          <cell r="V1074" t="str">
            <v>D</v>
          </cell>
          <cell r="W1074" t="str">
            <v>-</v>
          </cell>
          <cell r="X1074" t="str">
            <v>CLP (CC) VG 220 = -15° + 40°</v>
          </cell>
          <cell r="Y1074" t="str">
            <v>KH67/T DRN100LS4</v>
          </cell>
          <cell r="Z1074" t="str">
            <v>SEW</v>
          </cell>
          <cell r="AB1074" t="str">
            <v>-</v>
          </cell>
          <cell r="AF1074">
            <v>60</v>
          </cell>
          <cell r="AG1074" t="str">
            <v>DRN100LS4</v>
          </cell>
          <cell r="AH1074" t="str">
            <v>KH67T-DRN100LS4A270-X</v>
          </cell>
        </row>
        <row r="1075">
          <cell r="A1075" t="str">
            <v>MR001071</v>
          </cell>
          <cell r="B1075" t="str">
            <v>MR</v>
          </cell>
          <cell r="C1075">
            <v>2.2000000000000002</v>
          </cell>
          <cell r="D1075">
            <v>64</v>
          </cell>
          <cell r="E1075" t="str">
            <v>KH67</v>
          </cell>
          <cell r="F1075">
            <v>325</v>
          </cell>
          <cell r="G1075">
            <v>22.66</v>
          </cell>
          <cell r="H1075">
            <v>2.4</v>
          </cell>
          <cell r="I1075" t="str">
            <v>M1A</v>
          </cell>
          <cell r="J1075" t="str">
            <v>IE3</v>
          </cell>
          <cell r="K1075">
            <v>400</v>
          </cell>
          <cell r="L1075">
            <v>50</v>
          </cell>
          <cell r="M1075">
            <v>4.75</v>
          </cell>
          <cell r="N1075">
            <v>55</v>
          </cell>
          <cell r="O1075" t="str">
            <v>F(105°C)</v>
          </cell>
          <cell r="P1075" t="str">
            <v>270°</v>
          </cell>
          <cell r="Q1075" t="str">
            <v>-</v>
          </cell>
          <cell r="R1075" t="str">
            <v>-</v>
          </cell>
          <cell r="S1075" t="str">
            <v>-</v>
          </cell>
          <cell r="T1075" t="str">
            <v>-</v>
          </cell>
          <cell r="U1075" t="str">
            <v>T</v>
          </cell>
          <cell r="V1075" t="str">
            <v>D</v>
          </cell>
          <cell r="W1075" t="str">
            <v>-</v>
          </cell>
          <cell r="X1075" t="str">
            <v>CLP (CC) VG 220 = -15° + 40°</v>
          </cell>
          <cell r="Y1075" t="str">
            <v>KH67/T DRN100LS4</v>
          </cell>
          <cell r="Z1075" t="str">
            <v>SEW</v>
          </cell>
          <cell r="AB1075" t="str">
            <v>-</v>
          </cell>
          <cell r="AF1075">
            <v>64</v>
          </cell>
          <cell r="AG1075" t="str">
            <v>DRN100LS4</v>
          </cell>
          <cell r="AH1075" t="str">
            <v>KH67T-DRN100LS4A270-X</v>
          </cell>
        </row>
        <row r="1076">
          <cell r="A1076" t="str">
            <v>MR001072</v>
          </cell>
          <cell r="B1076" t="str">
            <v>MR</v>
          </cell>
          <cell r="C1076">
            <v>15</v>
          </cell>
          <cell r="D1076">
            <v>16</v>
          </cell>
          <cell r="E1076" t="str">
            <v>KH127</v>
          </cell>
          <cell r="F1076">
            <v>8730</v>
          </cell>
          <cell r="G1076">
            <v>89.89</v>
          </cell>
          <cell r="H1076">
            <v>1.5</v>
          </cell>
          <cell r="I1076" t="str">
            <v>From M4A to M1A - 20°</v>
          </cell>
          <cell r="J1076" t="str">
            <v>IE3</v>
          </cell>
          <cell r="K1076">
            <v>400</v>
          </cell>
          <cell r="L1076">
            <v>50</v>
          </cell>
          <cell r="M1076">
            <v>29</v>
          </cell>
          <cell r="N1076">
            <v>55</v>
          </cell>
          <cell r="O1076" t="str">
            <v>F(105°C)</v>
          </cell>
          <cell r="P1076" t="str">
            <v>270°</v>
          </cell>
          <cell r="Q1076" t="str">
            <v>TF</v>
          </cell>
          <cell r="R1076" t="str">
            <v>V(VE)</v>
          </cell>
          <cell r="S1076" t="str">
            <v>-</v>
          </cell>
          <cell r="T1076" t="str">
            <v>-</v>
          </cell>
          <cell r="U1076" t="str">
            <v>-</v>
          </cell>
          <cell r="V1076" t="str">
            <v>FC</v>
          </cell>
          <cell r="W1076" t="str">
            <v>-</v>
          </cell>
          <cell r="X1076" t="str">
            <v>CLP (CC) VG 220 = -15° + 40°</v>
          </cell>
          <cell r="Y1076" t="str">
            <v>KH127DRN160L4 /TF/V</v>
          </cell>
          <cell r="Z1076" t="str">
            <v>SEW</v>
          </cell>
          <cell r="AB1076" t="str">
            <v>-</v>
          </cell>
          <cell r="AF1076">
            <v>16</v>
          </cell>
          <cell r="AG1076" t="str">
            <v>DRN160L4</v>
          </cell>
          <cell r="AH1076" t="str">
            <v>KH127-DRN160L4A270-X#</v>
          </cell>
        </row>
        <row r="1077">
          <cell r="A1077" t="str">
            <v>MR001073</v>
          </cell>
          <cell r="B1077" t="str">
            <v>MR</v>
          </cell>
          <cell r="C1077">
            <v>15</v>
          </cell>
          <cell r="D1077">
            <v>16</v>
          </cell>
          <cell r="E1077" t="str">
            <v>KH127</v>
          </cell>
          <cell r="F1077">
            <v>8730</v>
          </cell>
          <cell r="G1077">
            <v>89.89</v>
          </cell>
          <cell r="H1077">
            <v>1.5</v>
          </cell>
          <cell r="I1077" t="str">
            <v>From M4B to M1B - 20°</v>
          </cell>
          <cell r="J1077" t="str">
            <v>IE3</v>
          </cell>
          <cell r="K1077">
            <v>400</v>
          </cell>
          <cell r="L1077">
            <v>50</v>
          </cell>
          <cell r="M1077">
            <v>29</v>
          </cell>
          <cell r="N1077">
            <v>55</v>
          </cell>
          <cell r="O1077" t="str">
            <v>F(105°C)</v>
          </cell>
          <cell r="P1077" t="str">
            <v>270°</v>
          </cell>
          <cell r="Q1077" t="str">
            <v>TF</v>
          </cell>
          <cell r="R1077" t="str">
            <v>V(VE)</v>
          </cell>
          <cell r="S1077" t="str">
            <v>-</v>
          </cell>
          <cell r="T1077" t="str">
            <v>-</v>
          </cell>
          <cell r="U1077" t="str">
            <v>-</v>
          </cell>
          <cell r="V1077" t="str">
            <v>FC</v>
          </cell>
          <cell r="W1077" t="str">
            <v>-</v>
          </cell>
          <cell r="X1077" t="str">
            <v>CLP (CC) VG 220 = -15° + 40°</v>
          </cell>
          <cell r="Y1077" t="str">
            <v>KH127DRN160L4 /TF/V</v>
          </cell>
          <cell r="Z1077" t="str">
            <v>SEW</v>
          </cell>
          <cell r="AB1077" t="str">
            <v>-</v>
          </cell>
          <cell r="AF1077">
            <v>16</v>
          </cell>
          <cell r="AG1077" t="str">
            <v>DRN160L4</v>
          </cell>
          <cell r="AH1077" t="str">
            <v>KH127-DRN160L4B270-X#</v>
          </cell>
        </row>
        <row r="1078">
          <cell r="A1078" t="str">
            <v>MR001074</v>
          </cell>
          <cell r="B1078" t="str">
            <v>MR</v>
          </cell>
          <cell r="C1078">
            <v>11</v>
          </cell>
          <cell r="D1078">
            <v>16</v>
          </cell>
          <cell r="E1078" t="str">
            <v>KH107</v>
          </cell>
          <cell r="F1078">
            <v>6480</v>
          </cell>
          <cell r="G1078">
            <v>90.96</v>
          </cell>
          <cell r="H1078">
            <v>1.25</v>
          </cell>
          <cell r="I1078" t="str">
            <v>From M1A to M4A - 45°</v>
          </cell>
          <cell r="J1078" t="str">
            <v>IE3</v>
          </cell>
          <cell r="K1078">
            <v>400</v>
          </cell>
          <cell r="L1078">
            <v>50</v>
          </cell>
          <cell r="M1078">
            <v>21</v>
          </cell>
          <cell r="N1078">
            <v>55</v>
          </cell>
          <cell r="O1078" t="str">
            <v>F(105°C)</v>
          </cell>
          <cell r="P1078" t="str">
            <v>270°</v>
          </cell>
          <cell r="Q1078" t="str">
            <v>TF</v>
          </cell>
          <cell r="R1078" t="str">
            <v>V(VE)</v>
          </cell>
          <cell r="S1078" t="str">
            <v>-</v>
          </cell>
          <cell r="T1078" t="str">
            <v>-</v>
          </cell>
          <cell r="U1078" t="str">
            <v>-</v>
          </cell>
          <cell r="V1078" t="str">
            <v>FC</v>
          </cell>
          <cell r="W1078" t="str">
            <v>-</v>
          </cell>
          <cell r="X1078" t="str">
            <v>CLP (CC) VG 220 = -15° + 40°</v>
          </cell>
          <cell r="Y1078" t="str">
            <v>KH107DRN160M4 /TF/V</v>
          </cell>
          <cell r="Z1078" t="str">
            <v>SEW</v>
          </cell>
          <cell r="AB1078" t="str">
            <v>-</v>
          </cell>
          <cell r="AF1078">
            <v>16</v>
          </cell>
          <cell r="AG1078" t="str">
            <v>DRN160M4</v>
          </cell>
          <cell r="AH1078" t="str">
            <v>KH107-DRN160M4A270-X#</v>
          </cell>
        </row>
        <row r="1079">
          <cell r="A1079" t="str">
            <v>MR001075</v>
          </cell>
          <cell r="B1079" t="str">
            <v>MR</v>
          </cell>
          <cell r="C1079">
            <v>11</v>
          </cell>
          <cell r="D1079">
            <v>16</v>
          </cell>
          <cell r="E1079" t="str">
            <v>KH107</v>
          </cell>
          <cell r="F1079">
            <v>6480</v>
          </cell>
          <cell r="G1079">
            <v>90.96</v>
          </cell>
          <cell r="H1079">
            <v>1.25</v>
          </cell>
          <cell r="I1079" t="str">
            <v>From M1B to M4B - 45°</v>
          </cell>
          <cell r="J1079" t="str">
            <v>IE3</v>
          </cell>
          <cell r="K1079">
            <v>400</v>
          </cell>
          <cell r="L1079">
            <v>50</v>
          </cell>
          <cell r="M1079">
            <v>21</v>
          </cell>
          <cell r="N1079">
            <v>55</v>
          </cell>
          <cell r="O1079" t="str">
            <v>F(105°C)</v>
          </cell>
          <cell r="P1079" t="str">
            <v>270°</v>
          </cell>
          <cell r="Q1079" t="str">
            <v>TF</v>
          </cell>
          <cell r="R1079" t="str">
            <v>V(VE)</v>
          </cell>
          <cell r="S1079" t="str">
            <v>-</v>
          </cell>
          <cell r="T1079" t="str">
            <v>-</v>
          </cell>
          <cell r="U1079" t="str">
            <v>-</v>
          </cell>
          <cell r="V1079" t="str">
            <v>FC</v>
          </cell>
          <cell r="W1079" t="str">
            <v>-</v>
          </cell>
          <cell r="X1079" t="str">
            <v>CLP (CC) VG 220 = -15° + 40°</v>
          </cell>
          <cell r="Y1079" t="str">
            <v>KH107DRN160M4 /TF/V</v>
          </cell>
          <cell r="Z1079" t="str">
            <v>SEW</v>
          </cell>
          <cell r="AB1079" t="str">
            <v>-</v>
          </cell>
          <cell r="AF1079">
            <v>16</v>
          </cell>
          <cell r="AG1079" t="str">
            <v>DRN160M4</v>
          </cell>
          <cell r="AH1079" t="str">
            <v>KH107-DRN160M4B270-X#</v>
          </cell>
        </row>
        <row r="1080">
          <cell r="A1080" t="str">
            <v>MR001076</v>
          </cell>
          <cell r="B1080" t="str">
            <v>MR</v>
          </cell>
          <cell r="C1080">
            <v>18.5</v>
          </cell>
          <cell r="D1080">
            <v>12</v>
          </cell>
          <cell r="E1080" t="str">
            <v>KH157</v>
          </cell>
          <cell r="F1080">
            <v>14600</v>
          </cell>
          <cell r="G1080">
            <v>122.39</v>
          </cell>
          <cell r="H1080">
            <v>1.25</v>
          </cell>
          <cell r="I1080" t="str">
            <v>From M4A to M1A - 35°</v>
          </cell>
          <cell r="J1080" t="str">
            <v>IE3</v>
          </cell>
          <cell r="K1080">
            <v>400</v>
          </cell>
          <cell r="L1080">
            <v>50</v>
          </cell>
          <cell r="M1080">
            <v>33.5</v>
          </cell>
          <cell r="N1080">
            <v>55</v>
          </cell>
          <cell r="O1080" t="str">
            <v>F(105°C)</v>
          </cell>
          <cell r="P1080" t="str">
            <v>270°</v>
          </cell>
          <cell r="Q1080" t="str">
            <v>-</v>
          </cell>
          <cell r="R1080" t="str">
            <v>-</v>
          </cell>
          <cell r="S1080" t="str">
            <v>-</v>
          </cell>
          <cell r="T1080" t="str">
            <v>-</v>
          </cell>
          <cell r="U1080" t="str">
            <v>T</v>
          </cell>
          <cell r="V1080" t="str">
            <v>SS</v>
          </cell>
          <cell r="W1080" t="str">
            <v>-</v>
          </cell>
          <cell r="X1080" t="str">
            <v>CLP (CC) VG 220 = -15° + 40°</v>
          </cell>
          <cell r="Y1080" t="str">
            <v>KH157/T DRN180M4</v>
          </cell>
          <cell r="Z1080" t="str">
            <v>SEW</v>
          </cell>
          <cell r="AB1080" t="str">
            <v>-</v>
          </cell>
          <cell r="AF1080">
            <v>12</v>
          </cell>
          <cell r="AG1080" t="str">
            <v>DRN180M4</v>
          </cell>
          <cell r="AH1080" t="str">
            <v>KH157T-DRN180M4A270-X</v>
          </cell>
        </row>
        <row r="1081">
          <cell r="A1081" t="str">
            <v>MR001077</v>
          </cell>
          <cell r="B1081" t="str">
            <v>MR</v>
          </cell>
          <cell r="C1081">
            <v>18.5</v>
          </cell>
          <cell r="D1081">
            <v>12</v>
          </cell>
          <cell r="E1081" t="str">
            <v>KH157</v>
          </cell>
          <cell r="F1081">
            <v>14600</v>
          </cell>
          <cell r="G1081">
            <v>122.39</v>
          </cell>
          <cell r="H1081">
            <v>1.25</v>
          </cell>
          <cell r="I1081" t="str">
            <v>From M4B to M1B - 35°</v>
          </cell>
          <cell r="J1081" t="str">
            <v>IE3</v>
          </cell>
          <cell r="K1081">
            <v>400</v>
          </cell>
          <cell r="L1081">
            <v>50</v>
          </cell>
          <cell r="M1081">
            <v>33.5</v>
          </cell>
          <cell r="N1081">
            <v>55</v>
          </cell>
          <cell r="O1081" t="str">
            <v>F(105°C)</v>
          </cell>
          <cell r="P1081" t="str">
            <v>270°</v>
          </cell>
          <cell r="Q1081" t="str">
            <v>-</v>
          </cell>
          <cell r="R1081" t="str">
            <v>-</v>
          </cell>
          <cell r="S1081" t="str">
            <v>-</v>
          </cell>
          <cell r="T1081" t="str">
            <v>-</v>
          </cell>
          <cell r="U1081" t="str">
            <v>T</v>
          </cell>
          <cell r="V1081" t="str">
            <v>SS</v>
          </cell>
          <cell r="W1081" t="str">
            <v>-</v>
          </cell>
          <cell r="X1081" t="str">
            <v>CLP (CC) VG 220 = -15° + 40°</v>
          </cell>
          <cell r="Y1081" t="str">
            <v>KH157/T DRN180M4</v>
          </cell>
          <cell r="Z1081" t="str">
            <v>SEW</v>
          </cell>
          <cell r="AB1081" t="str">
            <v>-</v>
          </cell>
          <cell r="AF1081">
            <v>12</v>
          </cell>
          <cell r="AG1081" t="str">
            <v>DRN180M4</v>
          </cell>
          <cell r="AH1081" t="str">
            <v>KH157T-DRN180M4B270-X</v>
          </cell>
        </row>
        <row r="1082">
          <cell r="A1082" t="str">
            <v>MR001078</v>
          </cell>
          <cell r="B1082" t="str">
            <v>MR</v>
          </cell>
          <cell r="C1082">
            <v>22</v>
          </cell>
          <cell r="D1082">
            <v>15</v>
          </cell>
          <cell r="E1082" t="str">
            <v>KH157</v>
          </cell>
          <cell r="F1082">
            <v>14200</v>
          </cell>
          <cell r="G1082">
            <v>100.22</v>
          </cell>
          <cell r="H1082">
            <v>1.25</v>
          </cell>
          <cell r="I1082" t="str">
            <v>From M4A to M1A - 25°</v>
          </cell>
          <cell r="J1082" t="str">
            <v>IE3</v>
          </cell>
          <cell r="K1082">
            <v>400</v>
          </cell>
          <cell r="L1082">
            <v>50</v>
          </cell>
          <cell r="M1082">
            <v>38.5</v>
          </cell>
          <cell r="N1082">
            <v>55</v>
          </cell>
          <cell r="O1082" t="str">
            <v>F(105°C)</v>
          </cell>
          <cell r="P1082" t="str">
            <v>270°</v>
          </cell>
          <cell r="Q1082" t="str">
            <v>-</v>
          </cell>
          <cell r="R1082" t="str">
            <v>-</v>
          </cell>
          <cell r="S1082" t="str">
            <v>-</v>
          </cell>
          <cell r="T1082" t="str">
            <v>-</v>
          </cell>
          <cell r="U1082" t="str">
            <v>T</v>
          </cell>
          <cell r="V1082" t="str">
            <v>SS</v>
          </cell>
          <cell r="W1082" t="str">
            <v>-</v>
          </cell>
          <cell r="X1082" t="str">
            <v>CLP (CC) VG 220 = -15° + 40°</v>
          </cell>
          <cell r="Y1082" t="str">
            <v>KH157/T DRN180L4</v>
          </cell>
          <cell r="Z1082" t="str">
            <v>SEW</v>
          </cell>
          <cell r="AB1082" t="str">
            <v>-</v>
          </cell>
          <cell r="AF1082">
            <v>15</v>
          </cell>
          <cell r="AG1082" t="str">
            <v>DRN180L4</v>
          </cell>
          <cell r="AH1082" t="str">
            <v>KH157T-DRN180L4A270-X</v>
          </cell>
        </row>
        <row r="1083">
          <cell r="A1083" t="str">
            <v>MR001079</v>
          </cell>
          <cell r="B1083" t="str">
            <v>MR</v>
          </cell>
          <cell r="C1083">
            <v>22</v>
          </cell>
          <cell r="D1083">
            <v>15</v>
          </cell>
          <cell r="E1083" t="str">
            <v>KH157</v>
          </cell>
          <cell r="F1083">
            <v>14200</v>
          </cell>
          <cell r="G1083">
            <v>100.22</v>
          </cell>
          <cell r="H1083">
            <v>1.25</v>
          </cell>
          <cell r="I1083" t="str">
            <v>From M4B to M1B - 25°</v>
          </cell>
          <cell r="J1083" t="str">
            <v>IE3</v>
          </cell>
          <cell r="K1083">
            <v>400</v>
          </cell>
          <cell r="L1083">
            <v>50</v>
          </cell>
          <cell r="M1083">
            <v>38.5</v>
          </cell>
          <cell r="N1083">
            <v>55</v>
          </cell>
          <cell r="O1083" t="str">
            <v>F(105°C)</v>
          </cell>
          <cell r="P1083" t="str">
            <v>270°</v>
          </cell>
          <cell r="Q1083" t="str">
            <v>-</v>
          </cell>
          <cell r="R1083" t="str">
            <v>-</v>
          </cell>
          <cell r="S1083" t="str">
            <v>-</v>
          </cell>
          <cell r="T1083" t="str">
            <v>-</v>
          </cell>
          <cell r="U1083" t="str">
            <v>T</v>
          </cell>
          <cell r="V1083" t="str">
            <v>SS</v>
          </cell>
          <cell r="W1083" t="str">
            <v>-</v>
          </cell>
          <cell r="X1083" t="str">
            <v>CLP (CC) VG 220 = -15° + 40°</v>
          </cell>
          <cell r="Y1083" t="str">
            <v>KH157/T DRN180L4</v>
          </cell>
          <cell r="Z1083" t="str">
            <v>SEW</v>
          </cell>
          <cell r="AB1083" t="str">
            <v>-</v>
          </cell>
          <cell r="AF1083">
            <v>15</v>
          </cell>
          <cell r="AG1083" t="str">
            <v>DRN180L4</v>
          </cell>
          <cell r="AH1083" t="str">
            <v>KH157T-DRN180L4B270-X</v>
          </cell>
        </row>
        <row r="1084">
          <cell r="A1084" t="str">
            <v>MR001080</v>
          </cell>
          <cell r="B1084" t="str">
            <v>MR</v>
          </cell>
          <cell r="C1084">
            <v>2.2000000000000002</v>
          </cell>
          <cell r="D1084">
            <v>1.4</v>
          </cell>
          <cell r="E1084" t="str">
            <v>KA127R77</v>
          </cell>
          <cell r="F1084">
            <v>13600</v>
          </cell>
          <cell r="G1084">
            <v>1025</v>
          </cell>
          <cell r="H1084">
            <v>0.95</v>
          </cell>
          <cell r="I1084" t="str">
            <v>From M1A to M4A - 55°</v>
          </cell>
          <cell r="J1084" t="str">
            <v>IE3</v>
          </cell>
          <cell r="K1084">
            <v>400</v>
          </cell>
          <cell r="L1084">
            <v>50</v>
          </cell>
          <cell r="N1084">
            <v>55</v>
          </cell>
          <cell r="O1084" t="str">
            <v>F(105°C)</v>
          </cell>
          <cell r="P1084" t="str">
            <v>270°</v>
          </cell>
          <cell r="Q1084" t="str">
            <v>-</v>
          </cell>
          <cell r="R1084" t="str">
            <v>-</v>
          </cell>
          <cell r="S1084" t="str">
            <v>-</v>
          </cell>
          <cell r="T1084" t="str">
            <v>-</v>
          </cell>
          <cell r="U1084" t="str">
            <v>T</v>
          </cell>
          <cell r="V1084" t="str">
            <v>D</v>
          </cell>
          <cell r="W1084" t="str">
            <v>-</v>
          </cell>
          <cell r="X1084" t="str">
            <v>CLP (CC) VG 220 = -15° + 40°</v>
          </cell>
          <cell r="Y1084" t="str">
            <v>KA127R77/T DRN100LS4</v>
          </cell>
          <cell r="Z1084" t="str">
            <v>SEW</v>
          </cell>
          <cell r="AB1084" t="str">
            <v>-</v>
          </cell>
          <cell r="AF1084">
            <v>1.4</v>
          </cell>
          <cell r="AG1084" t="str">
            <v>DRN100LS4</v>
          </cell>
          <cell r="AH1084" t="str">
            <v>KA127R77T-DRN100LS4A270-X</v>
          </cell>
        </row>
        <row r="1085">
          <cell r="A1085" t="str">
            <v>MR001081</v>
          </cell>
          <cell r="B1085" t="str">
            <v>MR</v>
          </cell>
          <cell r="C1085">
            <v>2.2000000000000002</v>
          </cell>
          <cell r="D1085">
            <v>1.4</v>
          </cell>
          <cell r="E1085" t="str">
            <v>KA127R77</v>
          </cell>
          <cell r="F1085">
            <v>13600</v>
          </cell>
          <cell r="G1085">
            <v>1025</v>
          </cell>
          <cell r="H1085">
            <v>0.95</v>
          </cell>
          <cell r="I1085" t="str">
            <v>From M1B to M4B - 55°</v>
          </cell>
          <cell r="J1085" t="str">
            <v>IE3</v>
          </cell>
          <cell r="K1085">
            <v>400</v>
          </cell>
          <cell r="L1085">
            <v>50</v>
          </cell>
          <cell r="N1085">
            <v>55</v>
          </cell>
          <cell r="O1085" t="str">
            <v>F(105°C)</v>
          </cell>
          <cell r="P1085" t="str">
            <v>270°</v>
          </cell>
          <cell r="Q1085" t="str">
            <v>-</v>
          </cell>
          <cell r="R1085" t="str">
            <v>-</v>
          </cell>
          <cell r="S1085" t="str">
            <v>-</v>
          </cell>
          <cell r="T1085" t="str">
            <v>-</v>
          </cell>
          <cell r="U1085" t="str">
            <v>T</v>
          </cell>
          <cell r="V1085" t="str">
            <v>D</v>
          </cell>
          <cell r="W1085" t="str">
            <v>-</v>
          </cell>
          <cell r="X1085" t="str">
            <v>CLP (CC) VG 220 = -15° + 40°</v>
          </cell>
          <cell r="Y1085" t="str">
            <v>KA127R77/T DRN100LS4</v>
          </cell>
          <cell r="Z1085" t="str">
            <v>SEW</v>
          </cell>
          <cell r="AB1085" t="str">
            <v>-</v>
          </cell>
          <cell r="AF1085">
            <v>1.4</v>
          </cell>
          <cell r="AG1085" t="str">
            <v>DRN100LS4</v>
          </cell>
          <cell r="AH1085" t="str">
            <v>KA127R77T-DRN100LS4B270-X</v>
          </cell>
        </row>
        <row r="1086">
          <cell r="A1086" t="str">
            <v>MR001082</v>
          </cell>
          <cell r="B1086" t="str">
            <v>MR</v>
          </cell>
          <cell r="C1086">
            <v>15</v>
          </cell>
          <cell r="D1086">
            <v>10.8</v>
          </cell>
          <cell r="E1086" t="str">
            <v>KH127</v>
          </cell>
          <cell r="F1086">
            <v>10900</v>
          </cell>
          <cell r="G1086">
            <v>136.13999999999999</v>
          </cell>
          <cell r="H1086">
            <v>1.2</v>
          </cell>
          <cell r="I1086" t="str">
            <v>M1A to M2 - 5°</v>
          </cell>
          <cell r="J1086" t="str">
            <v>IE3</v>
          </cell>
          <cell r="K1086">
            <v>480</v>
          </cell>
          <cell r="L1086">
            <v>60</v>
          </cell>
          <cell r="N1086">
            <v>56</v>
          </cell>
          <cell r="O1086" t="str">
            <v>F(105°C)</v>
          </cell>
          <cell r="P1086" t="str">
            <v>270°</v>
          </cell>
          <cell r="Q1086" t="str">
            <v>TF</v>
          </cell>
          <cell r="R1086" t="str">
            <v>-</v>
          </cell>
          <cell r="S1086" t="str">
            <v>-</v>
          </cell>
          <cell r="T1086" t="str">
            <v>-</v>
          </cell>
          <cell r="U1086" t="str">
            <v>-</v>
          </cell>
          <cell r="V1086" t="str">
            <v>SS</v>
          </cell>
          <cell r="W1086" t="str">
            <v>-</v>
          </cell>
          <cell r="X1086" t="str">
            <v>CLP (CC) VG 220 = -15° + 40°</v>
          </cell>
          <cell r="Y1086" t="str">
            <v>KH127DRN160L4 /TF</v>
          </cell>
          <cell r="Z1086" t="str">
            <v>SEW</v>
          </cell>
          <cell r="AB1086" t="str">
            <v>-</v>
          </cell>
          <cell r="AD1086" t="str">
            <v>USA</v>
          </cell>
          <cell r="AE1086" t="str">
            <v>USA UR (60HZ-UL APPROVED)</v>
          </cell>
          <cell r="AF1086">
            <v>12.96</v>
          </cell>
          <cell r="AG1086" t="str">
            <v>DRN160L4</v>
          </cell>
          <cell r="AH1086" t="str">
            <v>KH127-DRN160L4A270-X</v>
          </cell>
        </row>
        <row r="1087">
          <cell r="A1087" t="str">
            <v>MR001083</v>
          </cell>
          <cell r="B1087" t="str">
            <v>MR</v>
          </cell>
          <cell r="C1087">
            <v>15</v>
          </cell>
          <cell r="D1087">
            <v>10.8</v>
          </cell>
          <cell r="E1087" t="str">
            <v>KH127</v>
          </cell>
          <cell r="F1087">
            <v>10900</v>
          </cell>
          <cell r="G1087">
            <v>136.13999999999999</v>
          </cell>
          <cell r="H1087">
            <v>1.2</v>
          </cell>
          <cell r="I1087" t="str">
            <v>M1B to M2 - 5°</v>
          </cell>
          <cell r="J1087" t="str">
            <v>IE3</v>
          </cell>
          <cell r="K1087">
            <v>480</v>
          </cell>
          <cell r="L1087">
            <v>60</v>
          </cell>
          <cell r="N1087">
            <v>56</v>
          </cell>
          <cell r="O1087" t="str">
            <v>F(105°C)</v>
          </cell>
          <cell r="P1087" t="str">
            <v>270°</v>
          </cell>
          <cell r="Q1087" t="str">
            <v>TF</v>
          </cell>
          <cell r="R1087" t="str">
            <v>-</v>
          </cell>
          <cell r="S1087" t="str">
            <v>-</v>
          </cell>
          <cell r="T1087" t="str">
            <v>-</v>
          </cell>
          <cell r="U1087" t="str">
            <v>-</v>
          </cell>
          <cell r="V1087" t="str">
            <v>SS</v>
          </cell>
          <cell r="W1087" t="str">
            <v>-</v>
          </cell>
          <cell r="X1087" t="str">
            <v>CLP (CC) VG 220 = -15° + 40°</v>
          </cell>
          <cell r="Y1087" t="str">
            <v>KH127DRN160L4 /TF</v>
          </cell>
          <cell r="Z1087" t="str">
            <v>SEW</v>
          </cell>
          <cell r="AB1087" t="str">
            <v>-</v>
          </cell>
          <cell r="AD1087" t="str">
            <v>USA</v>
          </cell>
          <cell r="AE1087" t="str">
            <v>USA UR (60HZ-UL APPROVED)</v>
          </cell>
          <cell r="AF1087">
            <v>12.96</v>
          </cell>
          <cell r="AG1087" t="str">
            <v>DRN160L4</v>
          </cell>
          <cell r="AH1087" t="str">
            <v>KH127-DRN160L4B270-X</v>
          </cell>
        </row>
        <row r="1088">
          <cell r="A1088" t="str">
            <v>MR001084</v>
          </cell>
          <cell r="B1088" t="str">
            <v>MR</v>
          </cell>
          <cell r="C1088">
            <v>18.5</v>
          </cell>
          <cell r="D1088">
            <v>13</v>
          </cell>
          <cell r="E1088" t="str">
            <v>KH127</v>
          </cell>
          <cell r="F1088">
            <v>10900</v>
          </cell>
          <cell r="G1088">
            <v>110.18</v>
          </cell>
          <cell r="H1088">
            <v>1.2</v>
          </cell>
          <cell r="I1088" t="str">
            <v>M1A to M2 - 15°</v>
          </cell>
          <cell r="J1088" t="str">
            <v>IE3</v>
          </cell>
          <cell r="K1088">
            <v>480</v>
          </cell>
          <cell r="L1088">
            <v>60</v>
          </cell>
          <cell r="N1088">
            <v>56</v>
          </cell>
          <cell r="O1088" t="str">
            <v>F(105°C)</v>
          </cell>
          <cell r="P1088" t="str">
            <v>270°</v>
          </cell>
          <cell r="Q1088" t="str">
            <v>TF</v>
          </cell>
          <cell r="R1088" t="str">
            <v>-</v>
          </cell>
          <cell r="S1088" t="str">
            <v>-</v>
          </cell>
          <cell r="T1088" t="str">
            <v>-</v>
          </cell>
          <cell r="U1088" t="str">
            <v>-</v>
          </cell>
          <cell r="V1088" t="str">
            <v>SS</v>
          </cell>
          <cell r="W1088" t="str">
            <v>-</v>
          </cell>
          <cell r="X1088" t="str">
            <v>CLP (CC) VG 220 = -15° + 40°</v>
          </cell>
          <cell r="Y1088" t="str">
            <v>KH127DRN180M4 /TF</v>
          </cell>
          <cell r="Z1088" t="str">
            <v>SEW</v>
          </cell>
          <cell r="AB1088" t="str">
            <v>-</v>
          </cell>
          <cell r="AD1088" t="str">
            <v>USA</v>
          </cell>
          <cell r="AE1088" t="str">
            <v>USA UR (60HZ-UL APPROVED)</v>
          </cell>
          <cell r="AF1088">
            <v>15.6</v>
          </cell>
          <cell r="AG1088" t="str">
            <v>DRN180M4</v>
          </cell>
          <cell r="AH1088" t="str">
            <v>KH127-DRN180M4A270-X</v>
          </cell>
        </row>
        <row r="1089">
          <cell r="A1089" t="str">
            <v>MR001085</v>
          </cell>
          <cell r="B1089" t="str">
            <v>MR</v>
          </cell>
          <cell r="C1089">
            <v>18.5</v>
          </cell>
          <cell r="D1089">
            <v>65</v>
          </cell>
          <cell r="E1089" t="str">
            <v>R107</v>
          </cell>
          <cell r="F1089">
            <v>2700</v>
          </cell>
          <cell r="G1089">
            <v>22.62</v>
          </cell>
          <cell r="H1089">
            <v>1.6</v>
          </cell>
          <cell r="I1089" t="str">
            <v>From M1 to M2 - 10°</v>
          </cell>
          <cell r="J1089" t="str">
            <v>IE3</v>
          </cell>
          <cell r="K1089">
            <v>400</v>
          </cell>
          <cell r="L1089">
            <v>50</v>
          </cell>
          <cell r="N1089">
            <v>55</v>
          </cell>
          <cell r="O1089" t="str">
            <v>F(105°C)</v>
          </cell>
          <cell r="P1089" t="str">
            <v>270°</v>
          </cell>
          <cell r="Q1089" t="str">
            <v>-</v>
          </cell>
          <cell r="R1089" t="str">
            <v>-</v>
          </cell>
          <cell r="S1089" t="str">
            <v>-</v>
          </cell>
          <cell r="T1089" t="str">
            <v>-</v>
          </cell>
          <cell r="U1089" t="str">
            <v>-</v>
          </cell>
          <cell r="V1089" t="str">
            <v>D</v>
          </cell>
          <cell r="W1089" t="str">
            <v>-</v>
          </cell>
          <cell r="X1089" t="str">
            <v>CLP (CC) VG 220 = -15° + 40°</v>
          </cell>
          <cell r="Y1089" t="str">
            <v>R107DRN180M4</v>
          </cell>
          <cell r="AB1089" t="str">
            <v>-</v>
          </cell>
          <cell r="AF1089">
            <v>65</v>
          </cell>
          <cell r="AG1089" t="str">
            <v>DRN180M4</v>
          </cell>
          <cell r="AH1089" t="str">
            <v>R107-DRN180M4270-X</v>
          </cell>
        </row>
        <row r="1090">
          <cell r="A1090" t="str">
            <v>MR001086</v>
          </cell>
          <cell r="B1090" t="str">
            <v>ME</v>
          </cell>
          <cell r="C1090">
            <v>7.5</v>
          </cell>
          <cell r="E1090" t="str">
            <v>-</v>
          </cell>
          <cell r="J1090" t="str">
            <v>IE3</v>
          </cell>
          <cell r="K1090">
            <v>400</v>
          </cell>
          <cell r="L1090">
            <v>50</v>
          </cell>
          <cell r="M1090">
            <v>15.2</v>
          </cell>
          <cell r="N1090">
            <v>55</v>
          </cell>
          <cell r="O1090" t="str">
            <v>F</v>
          </cell>
          <cell r="P1090" t="str">
            <v>270°</v>
          </cell>
          <cell r="R1090" t="str">
            <v>-</v>
          </cell>
          <cell r="S1090" t="str">
            <v>Free rotation CW</v>
          </cell>
          <cell r="T1090" t="str">
            <v>-</v>
          </cell>
          <cell r="U1090" t="str">
            <v>-</v>
          </cell>
          <cell r="V1090" t="str">
            <v>SS</v>
          </cell>
          <cell r="Y1090" t="str">
            <v>DRN132M4</v>
          </cell>
          <cell r="Z1090" t="str">
            <v>SEW</v>
          </cell>
          <cell r="AB1090" t="str">
            <v>-</v>
          </cell>
          <cell r="AE1090" t="str">
            <v>Motore per MR000488</v>
          </cell>
          <cell r="AF1090">
            <v>0</v>
          </cell>
          <cell r="AH1090" t="str">
            <v>--270-X</v>
          </cell>
        </row>
        <row r="1091">
          <cell r="A1091" t="str">
            <v>MR001087</v>
          </cell>
          <cell r="B1091" t="str">
            <v>ME</v>
          </cell>
          <cell r="C1091">
            <v>7.5</v>
          </cell>
          <cell r="E1091" t="str">
            <v>-</v>
          </cell>
          <cell r="J1091" t="str">
            <v>IE3</v>
          </cell>
          <cell r="K1091">
            <v>400</v>
          </cell>
          <cell r="L1091">
            <v>50</v>
          </cell>
          <cell r="M1091">
            <v>15.2</v>
          </cell>
          <cell r="N1091">
            <v>55</v>
          </cell>
          <cell r="O1091" t="str">
            <v>F</v>
          </cell>
          <cell r="P1091" t="str">
            <v>270°</v>
          </cell>
          <cell r="R1091" t="str">
            <v>-</v>
          </cell>
          <cell r="S1091" t="str">
            <v>-</v>
          </cell>
          <cell r="T1091" t="str">
            <v>-</v>
          </cell>
          <cell r="U1091" t="str">
            <v>-</v>
          </cell>
          <cell r="V1091" t="str">
            <v>SS</v>
          </cell>
          <cell r="Y1091" t="str">
            <v>DRN132M4</v>
          </cell>
          <cell r="Z1091" t="str">
            <v>SEW</v>
          </cell>
          <cell r="AB1091" t="str">
            <v>-</v>
          </cell>
          <cell r="AE1091" t="str">
            <v>Motore per MR000489</v>
          </cell>
          <cell r="AF1091">
            <v>0</v>
          </cell>
          <cell r="AH1091" t="str">
            <v>--270-X</v>
          </cell>
        </row>
        <row r="1092">
          <cell r="A1092" t="str">
            <v>MR001088</v>
          </cell>
          <cell r="B1092" t="str">
            <v>ME</v>
          </cell>
          <cell r="C1092">
            <v>0.75</v>
          </cell>
          <cell r="E1092" t="str">
            <v>-</v>
          </cell>
          <cell r="J1092" t="str">
            <v>IE3</v>
          </cell>
          <cell r="K1092">
            <v>400</v>
          </cell>
          <cell r="L1092">
            <v>50</v>
          </cell>
          <cell r="M1092">
            <v>1.75</v>
          </cell>
          <cell r="N1092">
            <v>55</v>
          </cell>
          <cell r="O1092" t="str">
            <v>F</v>
          </cell>
          <cell r="P1092" t="str">
            <v>270°</v>
          </cell>
          <cell r="R1092" t="str">
            <v>-</v>
          </cell>
          <cell r="S1092" t="str">
            <v>-</v>
          </cell>
          <cell r="T1092" t="str">
            <v>-</v>
          </cell>
          <cell r="U1092" t="str">
            <v>-</v>
          </cell>
          <cell r="V1092" t="str">
            <v>D</v>
          </cell>
          <cell r="Y1092" t="str">
            <v xml:space="preserve">DRN80M4 </v>
          </cell>
          <cell r="Z1092" t="str">
            <v>SEW</v>
          </cell>
          <cell r="AB1092" t="str">
            <v>-</v>
          </cell>
          <cell r="AE1092" t="str">
            <v>Motore per MR000490</v>
          </cell>
          <cell r="AF1092">
            <v>0</v>
          </cell>
          <cell r="AH1092" t="str">
            <v>--270-X</v>
          </cell>
        </row>
        <row r="1093">
          <cell r="A1093" t="str">
            <v>MR001089</v>
          </cell>
          <cell r="B1093" t="str">
            <v>ME</v>
          </cell>
          <cell r="C1093">
            <v>11</v>
          </cell>
          <cell r="E1093" t="str">
            <v>-</v>
          </cell>
          <cell r="J1093" t="str">
            <v>IE3</v>
          </cell>
          <cell r="K1093">
            <v>400</v>
          </cell>
          <cell r="L1093">
            <v>50</v>
          </cell>
          <cell r="M1093">
            <v>21</v>
          </cell>
          <cell r="N1093">
            <v>55</v>
          </cell>
          <cell r="O1093" t="str">
            <v>F</v>
          </cell>
          <cell r="P1093" t="str">
            <v>270°</v>
          </cell>
          <cell r="R1093" t="str">
            <v>-</v>
          </cell>
          <cell r="S1093" t="str">
            <v>-</v>
          </cell>
          <cell r="T1093" t="str">
            <v>-</v>
          </cell>
          <cell r="U1093" t="str">
            <v>-</v>
          </cell>
          <cell r="V1093" t="str">
            <v>D</v>
          </cell>
          <cell r="Y1093" t="str">
            <v>DRN160M4</v>
          </cell>
          <cell r="Z1093" t="str">
            <v>SEW</v>
          </cell>
          <cell r="AB1093" t="str">
            <v>-</v>
          </cell>
          <cell r="AE1093" t="str">
            <v>Motore per MR000491 e MR000495</v>
          </cell>
          <cell r="AF1093">
            <v>0</v>
          </cell>
          <cell r="AH1093" t="str">
            <v>--270-X</v>
          </cell>
        </row>
        <row r="1094">
          <cell r="A1094" t="str">
            <v>MR001090</v>
          </cell>
          <cell r="B1094" t="str">
            <v>ME</v>
          </cell>
          <cell r="C1094">
            <v>11</v>
          </cell>
          <cell r="E1094" t="str">
            <v>-</v>
          </cell>
          <cell r="J1094" t="str">
            <v>IE3</v>
          </cell>
          <cell r="K1094">
            <v>400</v>
          </cell>
          <cell r="L1094">
            <v>50</v>
          </cell>
          <cell r="M1094">
            <v>33.5</v>
          </cell>
          <cell r="N1094">
            <v>55</v>
          </cell>
          <cell r="O1094" t="str">
            <v>F</v>
          </cell>
          <cell r="P1094" t="str">
            <v>270°</v>
          </cell>
          <cell r="R1094" t="str">
            <v>-</v>
          </cell>
          <cell r="S1094" t="str">
            <v>free rotation CCW</v>
          </cell>
          <cell r="T1094" t="str">
            <v>-</v>
          </cell>
          <cell r="U1094" t="str">
            <v>-</v>
          </cell>
          <cell r="V1094" t="str">
            <v>SS</v>
          </cell>
          <cell r="Y1094" t="str">
            <v>DRN160M4-RS</v>
          </cell>
          <cell r="Z1094" t="str">
            <v>SEW</v>
          </cell>
          <cell r="AB1094" t="str">
            <v>-</v>
          </cell>
          <cell r="AE1094" t="str">
            <v>Motore per MR000492</v>
          </cell>
          <cell r="AF1094">
            <v>0</v>
          </cell>
          <cell r="AH1094" t="str">
            <v>--270-X</v>
          </cell>
        </row>
        <row r="1095">
          <cell r="A1095" t="str">
            <v>MR001091</v>
          </cell>
          <cell r="B1095" t="str">
            <v>ME</v>
          </cell>
          <cell r="C1095">
            <v>4</v>
          </cell>
          <cell r="E1095" t="str">
            <v>-</v>
          </cell>
          <cell r="J1095" t="str">
            <v>IE3</v>
          </cell>
          <cell r="K1095">
            <v>400</v>
          </cell>
          <cell r="L1095">
            <v>50</v>
          </cell>
          <cell r="N1095">
            <v>55</v>
          </cell>
          <cell r="O1095" t="str">
            <v>F</v>
          </cell>
          <cell r="P1095" t="str">
            <v>270°</v>
          </cell>
          <cell r="R1095" t="str">
            <v>-</v>
          </cell>
          <cell r="S1095" t="str">
            <v>-</v>
          </cell>
          <cell r="T1095" t="str">
            <v>-</v>
          </cell>
          <cell r="U1095" t="str">
            <v>-</v>
          </cell>
          <cell r="V1095" t="str">
            <v>D</v>
          </cell>
          <cell r="Y1095" t="str">
            <v>DRN112M4</v>
          </cell>
          <cell r="Z1095" t="str">
            <v>SEW</v>
          </cell>
          <cell r="AB1095" t="str">
            <v>-</v>
          </cell>
          <cell r="AE1095" t="str">
            <v>Motore per MR000304</v>
          </cell>
          <cell r="AF1095">
            <v>0</v>
          </cell>
          <cell r="AH1095" t="str">
            <v>--270-X</v>
          </cell>
        </row>
        <row r="1096">
          <cell r="A1096" t="str">
            <v>MR001092</v>
          </cell>
          <cell r="B1096" t="str">
            <v>ME</v>
          </cell>
          <cell r="C1096">
            <v>18.5</v>
          </cell>
          <cell r="E1096" t="str">
            <v>-</v>
          </cell>
          <cell r="J1096" t="str">
            <v>IE3</v>
          </cell>
          <cell r="K1096">
            <v>400</v>
          </cell>
          <cell r="L1096">
            <v>50</v>
          </cell>
          <cell r="M1096">
            <v>33.5</v>
          </cell>
          <cell r="N1096">
            <v>55</v>
          </cell>
          <cell r="O1096" t="str">
            <v>F</v>
          </cell>
          <cell r="P1096" t="str">
            <v>270°</v>
          </cell>
          <cell r="R1096" t="str">
            <v>-</v>
          </cell>
          <cell r="S1096" t="str">
            <v>-</v>
          </cell>
          <cell r="T1096" t="str">
            <v>-</v>
          </cell>
          <cell r="U1096" t="str">
            <v>-</v>
          </cell>
          <cell r="V1096" t="str">
            <v>SS</v>
          </cell>
          <cell r="Y1096" t="str">
            <v>DRN180M4</v>
          </cell>
          <cell r="Z1096" t="str">
            <v>SEW</v>
          </cell>
          <cell r="AB1096" t="str">
            <v>-</v>
          </cell>
          <cell r="AE1096" t="str">
            <v>Motore per MR000496 e  MR000497</v>
          </cell>
          <cell r="AF1096">
            <v>0</v>
          </cell>
          <cell r="AH1096" t="str">
            <v>--270-X</v>
          </cell>
        </row>
        <row r="1097">
          <cell r="A1097" t="str">
            <v>MR001093</v>
          </cell>
          <cell r="B1097" t="str">
            <v>ME</v>
          </cell>
          <cell r="C1097">
            <v>18.5</v>
          </cell>
          <cell r="E1097" t="str">
            <v>-</v>
          </cell>
          <cell r="J1097" t="str">
            <v>IE3</v>
          </cell>
          <cell r="K1097">
            <v>400</v>
          </cell>
          <cell r="L1097">
            <v>50</v>
          </cell>
          <cell r="M1097">
            <v>33.5</v>
          </cell>
          <cell r="N1097">
            <v>55</v>
          </cell>
          <cell r="O1097" t="str">
            <v>F</v>
          </cell>
          <cell r="P1097" t="str">
            <v>270°</v>
          </cell>
          <cell r="R1097" t="str">
            <v>-</v>
          </cell>
          <cell r="S1097" t="str">
            <v>free rotation CW</v>
          </cell>
          <cell r="T1097" t="str">
            <v>-</v>
          </cell>
          <cell r="U1097" t="str">
            <v>-</v>
          </cell>
          <cell r="V1097" t="str">
            <v>SS</v>
          </cell>
          <cell r="Y1097" t="str">
            <v>DRN180M4</v>
          </cell>
          <cell r="Z1097" t="str">
            <v>SEW</v>
          </cell>
          <cell r="AB1097" t="str">
            <v>-</v>
          </cell>
          <cell r="AE1097" t="str">
            <v>Motore per MR000498</v>
          </cell>
          <cell r="AF1097">
            <v>0</v>
          </cell>
          <cell r="AH1097" t="str">
            <v>--270-X</v>
          </cell>
        </row>
        <row r="1098">
          <cell r="A1098" t="str">
            <v>MR001094</v>
          </cell>
          <cell r="B1098" t="str">
            <v>ME</v>
          </cell>
          <cell r="C1098">
            <v>9.1999999999999993</v>
          </cell>
          <cell r="E1098" t="str">
            <v>-</v>
          </cell>
          <cell r="J1098" t="str">
            <v>IE3</v>
          </cell>
          <cell r="K1098">
            <v>400</v>
          </cell>
          <cell r="L1098">
            <v>50</v>
          </cell>
          <cell r="M1098">
            <v>18.7</v>
          </cell>
          <cell r="N1098">
            <v>55</v>
          </cell>
          <cell r="O1098" t="str">
            <v>F</v>
          </cell>
          <cell r="P1098" t="str">
            <v>270°</v>
          </cell>
          <cell r="R1098" t="str">
            <v>-</v>
          </cell>
          <cell r="S1098" t="str">
            <v>-</v>
          </cell>
          <cell r="T1098" t="str">
            <v>-</v>
          </cell>
          <cell r="U1098" t="str">
            <v>-</v>
          </cell>
          <cell r="V1098" t="str">
            <v>D</v>
          </cell>
          <cell r="Y1098" t="str">
            <v>DRN132L4</v>
          </cell>
          <cell r="Z1098" t="str">
            <v>SEW</v>
          </cell>
          <cell r="AB1098" t="str">
            <v>-</v>
          </cell>
          <cell r="AE1098" t="str">
            <v>Motore per MR000499</v>
          </cell>
          <cell r="AF1098">
            <v>0</v>
          </cell>
          <cell r="AH1098" t="str">
            <v>--270-X</v>
          </cell>
        </row>
        <row r="1099">
          <cell r="A1099" t="str">
            <v>MR001095</v>
          </cell>
          <cell r="B1099" t="str">
            <v>MR</v>
          </cell>
          <cell r="C1099">
            <v>9.1999999999999993</v>
          </cell>
          <cell r="D1099">
            <v>22</v>
          </cell>
          <cell r="E1099" t="str">
            <v>FA97</v>
          </cell>
          <cell r="F1099">
            <v>3910</v>
          </cell>
          <cell r="G1099">
            <v>65.47</v>
          </cell>
          <cell r="H1099">
            <v>1.1000000000000001</v>
          </cell>
          <cell r="I1099" t="str">
            <v>M1</v>
          </cell>
          <cell r="J1099" t="str">
            <v>IE3</v>
          </cell>
          <cell r="K1099" t="str">
            <v>400/690</v>
          </cell>
          <cell r="L1099">
            <v>50</v>
          </cell>
          <cell r="M1099" t="str">
            <v>18,7/10,8</v>
          </cell>
          <cell r="N1099">
            <v>55</v>
          </cell>
          <cell r="O1099" t="str">
            <v>F(105°C)</v>
          </cell>
          <cell r="P1099" t="str">
            <v>0°</v>
          </cell>
          <cell r="Q1099" t="str">
            <v>-</v>
          </cell>
          <cell r="R1099" t="str">
            <v>-</v>
          </cell>
          <cell r="S1099" t="str">
            <v>-</v>
          </cell>
          <cell r="T1099" t="str">
            <v>-</v>
          </cell>
          <cell r="U1099" t="str">
            <v>-</v>
          </cell>
          <cell r="V1099" t="str">
            <v>D</v>
          </cell>
          <cell r="W1099" t="str">
            <v>-</v>
          </cell>
          <cell r="X1099" t="str">
            <v>CLP (CC) VG 220 = -15° + 40°</v>
          </cell>
          <cell r="Y1099" t="str">
            <v>FA97DRN132L4</v>
          </cell>
          <cell r="Z1099" t="str">
            <v>SEW</v>
          </cell>
          <cell r="AB1099" t="str">
            <v>-</v>
          </cell>
          <cell r="AF1099">
            <v>22</v>
          </cell>
          <cell r="AG1099" t="str">
            <v>DRN132L4</v>
          </cell>
          <cell r="AH1099" t="str">
            <v>FA97-DRN132L40-X</v>
          </cell>
        </row>
        <row r="1100">
          <cell r="A1100" t="str">
            <v>MR001096</v>
          </cell>
          <cell r="B1100" t="str">
            <v>MR</v>
          </cell>
          <cell r="C1100">
            <v>11</v>
          </cell>
          <cell r="D1100">
            <v>20</v>
          </cell>
          <cell r="E1100" t="str">
            <v>R137</v>
          </cell>
          <cell r="F1100">
            <v>5240</v>
          </cell>
          <cell r="G1100">
            <v>73.489999999999995</v>
          </cell>
          <cell r="H1100">
            <v>1.55</v>
          </cell>
          <cell r="I1100" t="str">
            <v>M1</v>
          </cell>
          <cell r="J1100" t="str">
            <v>IE3</v>
          </cell>
          <cell r="K1100" t="str">
            <v>400/690</v>
          </cell>
          <cell r="L1100">
            <v>50</v>
          </cell>
          <cell r="M1100" t="str">
            <v>21/12,2</v>
          </cell>
          <cell r="N1100">
            <v>55</v>
          </cell>
          <cell r="O1100" t="str">
            <v>F(105°C)</v>
          </cell>
          <cell r="P1100" t="str">
            <v>270°</v>
          </cell>
          <cell r="Q1100" t="str">
            <v>-</v>
          </cell>
          <cell r="R1100" t="str">
            <v>-</v>
          </cell>
          <cell r="S1100" t="str">
            <v>-</v>
          </cell>
          <cell r="T1100" t="str">
            <v>-</v>
          </cell>
          <cell r="U1100" t="str">
            <v>-</v>
          </cell>
          <cell r="V1100" t="str">
            <v>D</v>
          </cell>
          <cell r="W1100" t="str">
            <v>-</v>
          </cell>
          <cell r="X1100" t="str">
            <v>CLP (CC) VG 220 = -15° + 40°</v>
          </cell>
          <cell r="Y1100" t="str">
            <v>R137DRN160M4</v>
          </cell>
          <cell r="Z1100" t="str">
            <v>SEW</v>
          </cell>
          <cell r="AB1100" t="str">
            <v>-</v>
          </cell>
          <cell r="AF1100">
            <v>20</v>
          </cell>
          <cell r="AG1100" t="str">
            <v>DRN160M4</v>
          </cell>
          <cell r="AH1100" t="str">
            <v>R137-DRN160M4270-X</v>
          </cell>
        </row>
        <row r="1101">
          <cell r="A1101" t="str">
            <v>MR001097</v>
          </cell>
          <cell r="B1101" t="str">
            <v>MR</v>
          </cell>
          <cell r="C1101">
            <v>18.5</v>
          </cell>
          <cell r="D1101">
            <v>53</v>
          </cell>
          <cell r="E1101" t="str">
            <v>KH97</v>
          </cell>
          <cell r="F1101">
            <v>3330</v>
          </cell>
          <cell r="G1101">
            <v>27.91</v>
          </cell>
          <cell r="H1101">
            <v>1.3</v>
          </cell>
          <cell r="I1101" t="str">
            <v>From M3A to M4A - 20°</v>
          </cell>
          <cell r="J1101" t="str">
            <v>IE3</v>
          </cell>
          <cell r="K1101" t="str">
            <v>400/690</v>
          </cell>
          <cell r="L1101">
            <v>50</v>
          </cell>
          <cell r="M1101" t="str">
            <v>33,5/19,3</v>
          </cell>
          <cell r="N1101">
            <v>55</v>
          </cell>
          <cell r="O1101" t="str">
            <v>F(105°C)</v>
          </cell>
          <cell r="P1101" t="str">
            <v>270°</v>
          </cell>
          <cell r="Q1101" t="str">
            <v>TF</v>
          </cell>
          <cell r="R1101" t="str">
            <v>V(VE)</v>
          </cell>
          <cell r="S1101" t="str">
            <v>Free rotation CCW</v>
          </cell>
          <cell r="T1101" t="str">
            <v>-</v>
          </cell>
          <cell r="U1101" t="str">
            <v>T</v>
          </cell>
          <cell r="V1101" t="str">
            <v>FC</v>
          </cell>
          <cell r="W1101" t="str">
            <v>-</v>
          </cell>
          <cell r="X1101" t="str">
            <v>CLP (CC) VG 220 = -15° + 40°</v>
          </cell>
          <cell r="Y1101" t="str">
            <v>KH97/T DRN180M4 /RS /TF/V</v>
          </cell>
          <cell r="Z1101" t="str">
            <v>SEW</v>
          </cell>
          <cell r="AB1101" t="str">
            <v>-</v>
          </cell>
          <cell r="AF1101">
            <v>53</v>
          </cell>
          <cell r="AG1101" t="str">
            <v>DRN180M4</v>
          </cell>
          <cell r="AH1101" t="str">
            <v>KH97T-DRN180M4A270-X#</v>
          </cell>
        </row>
        <row r="1102">
          <cell r="A1102" t="str">
            <v>MR001098</v>
          </cell>
          <cell r="B1102" t="str">
            <v>MR</v>
          </cell>
          <cell r="C1102">
            <v>0.75</v>
          </cell>
          <cell r="D1102">
            <v>162</v>
          </cell>
          <cell r="E1102" t="str">
            <v>KA37</v>
          </cell>
          <cell r="F1102">
            <v>44</v>
          </cell>
          <cell r="G1102">
            <v>8.91</v>
          </cell>
          <cell r="H1102">
            <v>3.6</v>
          </cell>
          <cell r="I1102" t="str">
            <v>From M3A to M4A - 20°</v>
          </cell>
          <cell r="J1102" t="str">
            <v>IE3</v>
          </cell>
          <cell r="K1102">
            <v>400</v>
          </cell>
          <cell r="L1102">
            <v>50</v>
          </cell>
          <cell r="M1102">
            <v>1.75</v>
          </cell>
          <cell r="N1102">
            <v>55</v>
          </cell>
          <cell r="O1102" t="str">
            <v>F(105°C)</v>
          </cell>
          <cell r="P1102" t="str">
            <v>270°</v>
          </cell>
          <cell r="Q1102" t="str">
            <v>-</v>
          </cell>
          <cell r="R1102" t="str">
            <v>-</v>
          </cell>
          <cell r="S1102" t="str">
            <v>-</v>
          </cell>
          <cell r="T1102" t="str">
            <v>-</v>
          </cell>
          <cell r="U1102" t="str">
            <v>T</v>
          </cell>
          <cell r="V1102" t="str">
            <v>D</v>
          </cell>
          <cell r="W1102" t="str">
            <v>-</v>
          </cell>
          <cell r="X1102" t="str">
            <v>CLP (CC) VG 220 = -15° + 40°</v>
          </cell>
          <cell r="Y1102" t="str">
            <v>KA37/T DRN80M4</v>
          </cell>
          <cell r="Z1102" t="str">
            <v>SEW</v>
          </cell>
          <cell r="AB1102" t="str">
            <v>-</v>
          </cell>
          <cell r="AF1102">
            <v>162</v>
          </cell>
          <cell r="AG1102" t="str">
            <v>DRN80M4</v>
          </cell>
          <cell r="AH1102" t="str">
            <v>KA37T-DRN80M4A270-X</v>
          </cell>
        </row>
        <row r="1103">
          <cell r="A1103" t="str">
            <v>MR001099</v>
          </cell>
          <cell r="B1103" t="str">
            <v>MR</v>
          </cell>
          <cell r="C1103">
            <v>22</v>
          </cell>
          <cell r="D1103">
            <v>53</v>
          </cell>
          <cell r="E1103" t="str">
            <v>KH97</v>
          </cell>
          <cell r="F1103">
            <v>3960</v>
          </cell>
          <cell r="G1103">
            <v>27.91</v>
          </cell>
          <cell r="H1103">
            <v>1.1000000000000001</v>
          </cell>
          <cell r="I1103" t="str">
            <v>From M3A to M4A - 20°</v>
          </cell>
          <cell r="J1103" t="str">
            <v>IE3</v>
          </cell>
          <cell r="K1103" t="str">
            <v>400/690</v>
          </cell>
          <cell r="L1103">
            <v>50</v>
          </cell>
          <cell r="M1103" t="str">
            <v>38,5/22,5</v>
          </cell>
          <cell r="N1103">
            <v>55</v>
          </cell>
          <cell r="O1103" t="str">
            <v>F(105°C)</v>
          </cell>
          <cell r="P1103" t="str">
            <v>270°</v>
          </cell>
          <cell r="Q1103" t="str">
            <v>TF</v>
          </cell>
          <cell r="R1103" t="str">
            <v>V(VE)</v>
          </cell>
          <cell r="S1103" t="str">
            <v>Free rotation CCW</v>
          </cell>
          <cell r="T1103" t="str">
            <v>-</v>
          </cell>
          <cell r="U1103" t="str">
            <v>T</v>
          </cell>
          <cell r="V1103" t="str">
            <v>FC</v>
          </cell>
          <cell r="W1103" t="str">
            <v>-</v>
          </cell>
          <cell r="X1103" t="str">
            <v>CLP (CC) VG 220 = -15° + 40°</v>
          </cell>
          <cell r="Y1103" t="str">
            <v>KH97/T DRN180L4 /RS /TF/V</v>
          </cell>
          <cell r="Z1103" t="str">
            <v>SEW</v>
          </cell>
          <cell r="AB1103" t="str">
            <v>-</v>
          </cell>
          <cell r="AF1103">
            <v>53</v>
          </cell>
          <cell r="AG1103" t="str">
            <v>DRN180L4</v>
          </cell>
          <cell r="AH1103" t="str">
            <v>KH97T-DRN180L4A270-X#</v>
          </cell>
        </row>
        <row r="1104">
          <cell r="A1104" t="str">
            <v>MR001100</v>
          </cell>
          <cell r="B1104" t="str">
            <v>MR</v>
          </cell>
          <cell r="C1104">
            <v>5.5</v>
          </cell>
          <cell r="D1104">
            <v>57</v>
          </cell>
          <cell r="E1104" t="str">
            <v>KH77</v>
          </cell>
          <cell r="F1104">
            <v>920</v>
          </cell>
          <cell r="G1104">
            <v>25.62</v>
          </cell>
          <cell r="H1104">
            <v>1.7</v>
          </cell>
          <cell r="I1104" t="str">
            <v>M3A</v>
          </cell>
          <cell r="J1104" t="str">
            <v>IE3</v>
          </cell>
          <cell r="K1104" t="str">
            <v>230/400</v>
          </cell>
          <cell r="L1104">
            <v>50</v>
          </cell>
          <cell r="M1104" t="str">
            <v>18,2/10,5</v>
          </cell>
          <cell r="N1104">
            <v>55</v>
          </cell>
          <cell r="O1104" t="str">
            <v>F(105°C)</v>
          </cell>
          <cell r="P1104" t="str">
            <v>270°</v>
          </cell>
          <cell r="Q1104" t="str">
            <v>TF</v>
          </cell>
          <cell r="R1104" t="str">
            <v>V(VE)</v>
          </cell>
          <cell r="S1104" t="str">
            <v>Free rotation CCW</v>
          </cell>
          <cell r="T1104" t="str">
            <v>-</v>
          </cell>
          <cell r="U1104" t="str">
            <v>T</v>
          </cell>
          <cell r="V1104" t="str">
            <v>FC</v>
          </cell>
          <cell r="W1104" t="str">
            <v>-</v>
          </cell>
          <cell r="X1104" t="str">
            <v>CLP (CC) VG 220 = -15° + 40°</v>
          </cell>
          <cell r="Y1104" t="str">
            <v>KH77/T DRN132S4 /RS /TF/V</v>
          </cell>
          <cell r="Z1104" t="str">
            <v>SEW</v>
          </cell>
          <cell r="AB1104" t="str">
            <v>-</v>
          </cell>
          <cell r="AF1104">
            <v>57</v>
          </cell>
          <cell r="AG1104" t="str">
            <v>DRN132S4</v>
          </cell>
          <cell r="AH1104" t="str">
            <v>KH77T-DRN132S4A270-X#</v>
          </cell>
        </row>
        <row r="1105">
          <cell r="A1105" t="str">
            <v>MR001101</v>
          </cell>
          <cell r="B1105" t="str">
            <v>MR</v>
          </cell>
          <cell r="C1105">
            <v>9.1999999999999993</v>
          </cell>
          <cell r="D1105">
            <v>59</v>
          </cell>
          <cell r="E1105" t="str">
            <v>KH87</v>
          </cell>
          <cell r="F1105">
            <v>1480</v>
          </cell>
          <cell r="G1105">
            <v>24.92</v>
          </cell>
          <cell r="H1105">
            <v>1.7</v>
          </cell>
          <cell r="I1105" t="str">
            <v xml:space="preserve">From M4B to M1B - 20° </v>
          </cell>
          <cell r="J1105" t="str">
            <v>IE3</v>
          </cell>
          <cell r="K1105">
            <v>400</v>
          </cell>
          <cell r="L1105">
            <v>50</v>
          </cell>
          <cell r="M1105" t="str">
            <v>18,7/10,8</v>
          </cell>
          <cell r="N1105">
            <v>55</v>
          </cell>
          <cell r="O1105" t="str">
            <v>F</v>
          </cell>
          <cell r="P1105" t="str">
            <v>270°</v>
          </cell>
          <cell r="Q1105" t="str">
            <v>-</v>
          </cell>
          <cell r="R1105" t="str">
            <v>-</v>
          </cell>
          <cell r="S1105" t="str">
            <v>Free rotation CW</v>
          </cell>
          <cell r="T1105" t="str">
            <v>-</v>
          </cell>
          <cell r="U1105" t="str">
            <v>T</v>
          </cell>
          <cell r="V1105" t="str">
            <v>SS</v>
          </cell>
          <cell r="W1105" t="str">
            <v>-</v>
          </cell>
          <cell r="X1105" t="str">
            <v>CLP (CC) VG 220 = -15° + 40°</v>
          </cell>
          <cell r="Y1105" t="str">
            <v>KH87/T DRN132L4 /RS</v>
          </cell>
          <cell r="Z1105" t="str">
            <v>SEW</v>
          </cell>
          <cell r="AB1105" t="str">
            <v>-</v>
          </cell>
          <cell r="AF1105">
            <v>59</v>
          </cell>
          <cell r="AG1105" t="str">
            <v>DRN132L4</v>
          </cell>
          <cell r="AH1105" t="str">
            <v>KH87T-DRN132L4B270-X</v>
          </cell>
        </row>
        <row r="1106">
          <cell r="A1106" t="str">
            <v>MR001102</v>
          </cell>
          <cell r="B1106" t="str">
            <v>MR</v>
          </cell>
          <cell r="C1106">
            <v>9.1999999999999993</v>
          </cell>
          <cell r="D1106">
            <v>59</v>
          </cell>
          <cell r="E1106" t="str">
            <v>KH87</v>
          </cell>
          <cell r="F1106">
            <v>1480</v>
          </cell>
          <cell r="G1106">
            <v>24.92</v>
          </cell>
          <cell r="H1106">
            <v>1.7</v>
          </cell>
          <cell r="I1106" t="str">
            <v>M4A</v>
          </cell>
          <cell r="J1106" t="str">
            <v>IE3</v>
          </cell>
          <cell r="K1106">
            <v>400</v>
          </cell>
          <cell r="L1106">
            <v>50</v>
          </cell>
          <cell r="M1106" t="str">
            <v>18,7/10,8</v>
          </cell>
          <cell r="N1106">
            <v>55</v>
          </cell>
          <cell r="O1106" t="str">
            <v>F</v>
          </cell>
          <cell r="P1106" t="str">
            <v>270°</v>
          </cell>
          <cell r="Q1106" t="str">
            <v>-</v>
          </cell>
          <cell r="R1106" t="str">
            <v>-</v>
          </cell>
          <cell r="S1106" t="str">
            <v>-</v>
          </cell>
          <cell r="T1106" t="str">
            <v>-</v>
          </cell>
          <cell r="U1106" t="str">
            <v>T</v>
          </cell>
          <cell r="V1106" t="str">
            <v>SS</v>
          </cell>
          <cell r="W1106" t="str">
            <v>-</v>
          </cell>
          <cell r="X1106" t="str">
            <v>CLP (CC) VG 220 = -15° + 40°</v>
          </cell>
          <cell r="Y1106" t="str">
            <v>KH87/T DRN132L4</v>
          </cell>
          <cell r="Z1106" t="str">
            <v>SEW</v>
          </cell>
          <cell r="AB1106" t="str">
            <v>-</v>
          </cell>
          <cell r="AF1106">
            <v>59</v>
          </cell>
          <cell r="AG1106" t="str">
            <v>DRN132L4</v>
          </cell>
          <cell r="AH1106" t="str">
            <v>KH87T-DRN132L4A270-X</v>
          </cell>
        </row>
        <row r="1107">
          <cell r="A1107" t="str">
            <v>MR001103</v>
          </cell>
          <cell r="B1107" t="str">
            <v>MR</v>
          </cell>
          <cell r="C1107">
            <v>0.75</v>
          </cell>
          <cell r="D1107">
            <v>162</v>
          </cell>
          <cell r="E1107" t="str">
            <v>KA37</v>
          </cell>
          <cell r="F1107">
            <v>44</v>
          </cell>
          <cell r="G1107">
            <v>8.91</v>
          </cell>
          <cell r="H1107">
            <v>3.6</v>
          </cell>
          <cell r="I1107" t="str">
            <v>From M3A to M2A - 20°</v>
          </cell>
          <cell r="J1107" t="str">
            <v>IE3</v>
          </cell>
          <cell r="K1107">
            <v>400</v>
          </cell>
          <cell r="L1107">
            <v>50</v>
          </cell>
          <cell r="M1107">
            <v>1.75</v>
          </cell>
          <cell r="N1107">
            <v>55</v>
          </cell>
          <cell r="O1107" t="str">
            <v>F(105°C)</v>
          </cell>
          <cell r="P1107" t="str">
            <v>270°</v>
          </cell>
          <cell r="Q1107" t="str">
            <v>-</v>
          </cell>
          <cell r="R1107" t="str">
            <v>-</v>
          </cell>
          <cell r="S1107" t="str">
            <v>-</v>
          </cell>
          <cell r="T1107" t="str">
            <v>-</v>
          </cell>
          <cell r="U1107" t="str">
            <v>T</v>
          </cell>
          <cell r="V1107" t="str">
            <v>D</v>
          </cell>
          <cell r="W1107" t="str">
            <v>-</v>
          </cell>
          <cell r="X1107" t="str">
            <v>CLP (CC) VG 220 = -15° + 40°</v>
          </cell>
          <cell r="Y1107" t="str">
            <v>KA37/T DRN80M4</v>
          </cell>
          <cell r="Z1107" t="str">
            <v>SEW</v>
          </cell>
          <cell r="AB1107" t="str">
            <v>-</v>
          </cell>
          <cell r="AF1107">
            <v>162</v>
          </cell>
          <cell r="AG1107" t="str">
            <v>DRN80M4</v>
          </cell>
          <cell r="AH1107" t="str">
            <v>KA37T-DRN80M4A270-X</v>
          </cell>
        </row>
        <row r="1108">
          <cell r="A1108" t="str">
            <v>MR001104</v>
          </cell>
          <cell r="B1108" t="str">
            <v>MR</v>
          </cell>
          <cell r="C1108">
            <v>0.75</v>
          </cell>
          <cell r="D1108">
            <v>162</v>
          </cell>
          <cell r="E1108" t="str">
            <v>KA37</v>
          </cell>
          <cell r="F1108">
            <v>44</v>
          </cell>
          <cell r="G1108">
            <v>8.91</v>
          </cell>
          <cell r="H1108">
            <v>3.6</v>
          </cell>
          <cell r="I1108" t="str">
            <v>From M3B to M2B - 20°</v>
          </cell>
          <cell r="J1108" t="str">
            <v>IE3</v>
          </cell>
          <cell r="K1108">
            <v>400</v>
          </cell>
          <cell r="L1108">
            <v>50</v>
          </cell>
          <cell r="M1108">
            <v>1.75</v>
          </cell>
          <cell r="N1108">
            <v>55</v>
          </cell>
          <cell r="O1108" t="str">
            <v>F(105°C)</v>
          </cell>
          <cell r="P1108" t="str">
            <v>270°</v>
          </cell>
          <cell r="Q1108" t="str">
            <v>-</v>
          </cell>
          <cell r="R1108" t="str">
            <v>-</v>
          </cell>
          <cell r="S1108" t="str">
            <v>-</v>
          </cell>
          <cell r="T1108" t="str">
            <v>-</v>
          </cell>
          <cell r="U1108" t="str">
            <v>T</v>
          </cell>
          <cell r="V1108" t="str">
            <v>D</v>
          </cell>
          <cell r="W1108" t="str">
            <v>-</v>
          </cell>
          <cell r="X1108" t="str">
            <v>CLP (CC) VG 220 = -15° + 40°</v>
          </cell>
          <cell r="Y1108" t="str">
            <v>KA37/T DRN80M4</v>
          </cell>
          <cell r="Z1108" t="str">
            <v>SEW</v>
          </cell>
          <cell r="AB1108" t="str">
            <v>-</v>
          </cell>
          <cell r="AF1108">
            <v>162</v>
          </cell>
          <cell r="AG1108" t="str">
            <v>DRN80M4</v>
          </cell>
          <cell r="AH1108" t="str">
            <v>KA37T-DRN80M4B270-X</v>
          </cell>
        </row>
        <row r="1109">
          <cell r="A1109" t="str">
            <v>MR001105</v>
          </cell>
          <cell r="B1109" t="str">
            <v>MR</v>
          </cell>
          <cell r="C1109">
            <v>22</v>
          </cell>
          <cell r="D1109">
            <v>40</v>
          </cell>
          <cell r="E1109" t="str">
            <v>KH107</v>
          </cell>
          <cell r="F1109">
            <v>5260</v>
          </cell>
          <cell r="G1109">
            <v>37</v>
          </cell>
          <cell r="H1109">
            <v>1.35</v>
          </cell>
          <cell r="I1109" t="str">
            <v xml:space="preserve">From M4A to M1A - 20° </v>
          </cell>
          <cell r="J1109" t="str">
            <v>IE3</v>
          </cell>
          <cell r="K1109">
            <v>400</v>
          </cell>
          <cell r="L1109">
            <v>50</v>
          </cell>
          <cell r="M1109" t="str">
            <v>38,5/22,5</v>
          </cell>
          <cell r="N1109">
            <v>55</v>
          </cell>
          <cell r="O1109" t="str">
            <v>F(105°C)</v>
          </cell>
          <cell r="P1109" t="str">
            <v>270°</v>
          </cell>
          <cell r="Q1109" t="str">
            <v>TF</v>
          </cell>
          <cell r="R1109" t="str">
            <v>V(VE)</v>
          </cell>
          <cell r="S1109" t="str">
            <v>Free rotation CCW</v>
          </cell>
          <cell r="T1109" t="str">
            <v>-</v>
          </cell>
          <cell r="U1109" t="str">
            <v>T</v>
          </cell>
          <cell r="V1109" t="str">
            <v>FC</v>
          </cell>
          <cell r="W1109" t="str">
            <v>-</v>
          </cell>
          <cell r="X1109" t="str">
            <v>CLP (CC) VG 220 = -15° + 40°</v>
          </cell>
          <cell r="Y1109" t="str">
            <v>KH107/T DRN180L4 /RS /TF/V</v>
          </cell>
          <cell r="Z1109" t="str">
            <v>SEW</v>
          </cell>
          <cell r="AB1109" t="str">
            <v>-</v>
          </cell>
          <cell r="AF1109">
            <v>40</v>
          </cell>
          <cell r="AG1109" t="str">
            <v>DRN180L4</v>
          </cell>
          <cell r="AH1109" t="str">
            <v>KH107T-DRN180L4A270-X#</v>
          </cell>
        </row>
        <row r="1110">
          <cell r="A1110" t="str">
            <v>MR001106</v>
          </cell>
          <cell r="B1110" t="str">
            <v>MR</v>
          </cell>
          <cell r="C1110">
            <v>22</v>
          </cell>
          <cell r="D1110">
            <v>40</v>
          </cell>
          <cell r="E1110" t="str">
            <v>KH107</v>
          </cell>
          <cell r="F1110">
            <v>5260</v>
          </cell>
          <cell r="G1110">
            <v>37</v>
          </cell>
          <cell r="H1110">
            <v>1.35</v>
          </cell>
          <cell r="I1110" t="str">
            <v>From M4B</v>
          </cell>
          <cell r="J1110" t="str">
            <v>IE3</v>
          </cell>
          <cell r="K1110">
            <v>400</v>
          </cell>
          <cell r="L1110">
            <v>50</v>
          </cell>
          <cell r="M1110" t="str">
            <v>38,5/22,5</v>
          </cell>
          <cell r="N1110">
            <v>55</v>
          </cell>
          <cell r="O1110" t="str">
            <v>F(105°C)</v>
          </cell>
          <cell r="P1110" t="str">
            <v>270°</v>
          </cell>
          <cell r="Q1110" t="str">
            <v>TF</v>
          </cell>
          <cell r="R1110" t="str">
            <v>V(VE)</v>
          </cell>
          <cell r="S1110" t="str">
            <v>-</v>
          </cell>
          <cell r="T1110" t="str">
            <v>-</v>
          </cell>
          <cell r="U1110" t="str">
            <v>T</v>
          </cell>
          <cell r="V1110" t="str">
            <v>FC</v>
          </cell>
          <cell r="W1110" t="str">
            <v>-</v>
          </cell>
          <cell r="X1110" t="str">
            <v>CLP (CC) VG 220 = -15° + 40°</v>
          </cell>
          <cell r="Y1110" t="str">
            <v>KH107/T DRN180L4 /TF/V</v>
          </cell>
          <cell r="Z1110" t="str">
            <v>SEW</v>
          </cell>
          <cell r="AB1110" t="str">
            <v>-</v>
          </cell>
          <cell r="AF1110">
            <v>40</v>
          </cell>
          <cell r="AG1110" t="str">
            <v>DRN180L4</v>
          </cell>
          <cell r="AH1110" t="str">
            <v>KH107T-DRN180L4B270-X#</v>
          </cell>
        </row>
        <row r="1111">
          <cell r="A1111" t="str">
            <v>MR001107</v>
          </cell>
          <cell r="B1111" t="str">
            <v>MR</v>
          </cell>
          <cell r="C1111">
            <v>15</v>
          </cell>
          <cell r="D1111">
            <v>40</v>
          </cell>
          <cell r="E1111" t="str">
            <v>KH107</v>
          </cell>
          <cell r="F1111">
            <v>3590</v>
          </cell>
          <cell r="G1111">
            <v>37</v>
          </cell>
          <cell r="H1111">
            <v>2</v>
          </cell>
          <cell r="I1111" t="str">
            <v xml:space="preserve">From M4A to M1A - 20° </v>
          </cell>
          <cell r="J1111" t="str">
            <v>IE3</v>
          </cell>
          <cell r="K1111">
            <v>400</v>
          </cell>
          <cell r="L1111">
            <v>50</v>
          </cell>
          <cell r="M1111" t="str">
            <v>29/16,7</v>
          </cell>
          <cell r="N1111">
            <v>55</v>
          </cell>
          <cell r="O1111" t="str">
            <v>F(105°C)</v>
          </cell>
          <cell r="P1111" t="str">
            <v>270°</v>
          </cell>
          <cell r="Q1111" t="str">
            <v>TF</v>
          </cell>
          <cell r="R1111" t="str">
            <v>V(VE)</v>
          </cell>
          <cell r="S1111" t="str">
            <v>Free rotation CCW</v>
          </cell>
          <cell r="T1111" t="str">
            <v>-</v>
          </cell>
          <cell r="U1111" t="str">
            <v>T</v>
          </cell>
          <cell r="V1111" t="str">
            <v>FC</v>
          </cell>
          <cell r="W1111" t="str">
            <v>-</v>
          </cell>
          <cell r="X1111" t="str">
            <v>CLP (CC) VG 220 = -15° + 40°</v>
          </cell>
          <cell r="Y1111" t="str">
            <v>KH107/T DRN160L4 /RS /TF/V</v>
          </cell>
          <cell r="Z1111" t="str">
            <v>SEW</v>
          </cell>
          <cell r="AB1111" t="str">
            <v>-</v>
          </cell>
          <cell r="AF1111">
            <v>40</v>
          </cell>
          <cell r="AG1111" t="str">
            <v>DRN160L4</v>
          </cell>
          <cell r="AH1111" t="str">
            <v>KH107T-DRN160L4A270-X#</v>
          </cell>
        </row>
        <row r="1112">
          <cell r="A1112" t="str">
            <v>MR001108</v>
          </cell>
          <cell r="B1112" t="str">
            <v>MR</v>
          </cell>
          <cell r="C1112">
            <v>15</v>
          </cell>
          <cell r="D1112">
            <v>40</v>
          </cell>
          <cell r="E1112" t="str">
            <v>KH107</v>
          </cell>
          <cell r="F1112">
            <v>3590</v>
          </cell>
          <cell r="G1112">
            <v>37</v>
          </cell>
          <cell r="H1112">
            <v>2</v>
          </cell>
          <cell r="I1112" t="str">
            <v>From M4B</v>
          </cell>
          <cell r="J1112" t="str">
            <v>IE3</v>
          </cell>
          <cell r="K1112">
            <v>400</v>
          </cell>
          <cell r="L1112">
            <v>50</v>
          </cell>
          <cell r="M1112" t="str">
            <v>29/16,7</v>
          </cell>
          <cell r="N1112">
            <v>55</v>
          </cell>
          <cell r="O1112" t="str">
            <v>F(105°C)</v>
          </cell>
          <cell r="P1112" t="str">
            <v>270°</v>
          </cell>
          <cell r="Q1112" t="str">
            <v>TF</v>
          </cell>
          <cell r="R1112" t="str">
            <v>V(VE)</v>
          </cell>
          <cell r="S1112" t="str">
            <v>-</v>
          </cell>
          <cell r="T1112" t="str">
            <v>-</v>
          </cell>
          <cell r="U1112" t="str">
            <v>T</v>
          </cell>
          <cell r="V1112" t="str">
            <v>FC</v>
          </cell>
          <cell r="W1112" t="str">
            <v>-</v>
          </cell>
          <cell r="X1112" t="str">
            <v>CLP (CC) VG 220 = -15° + 40°</v>
          </cell>
          <cell r="Y1112" t="str">
            <v>KH107/T DRN160L4 /TF/V</v>
          </cell>
          <cell r="Z1112" t="str">
            <v>SEW</v>
          </cell>
          <cell r="AB1112" t="str">
            <v>-</v>
          </cell>
          <cell r="AF1112">
            <v>40</v>
          </cell>
          <cell r="AG1112" t="str">
            <v>DRN160L4</v>
          </cell>
          <cell r="AH1112" t="str">
            <v>KH107T-DRN160L4B270-X#</v>
          </cell>
        </row>
        <row r="1113">
          <cell r="A1113" t="str">
            <v>MR001109</v>
          </cell>
          <cell r="B1113" t="str">
            <v>MR</v>
          </cell>
          <cell r="C1113">
            <v>7.5</v>
          </cell>
          <cell r="D1113">
            <v>57</v>
          </cell>
          <cell r="E1113" t="str">
            <v>KH77</v>
          </cell>
          <cell r="F1113">
            <v>1240</v>
          </cell>
          <cell r="G1113">
            <v>25.62</v>
          </cell>
          <cell r="H1113">
            <v>1.25</v>
          </cell>
          <cell r="I1113" t="str">
            <v>M4B</v>
          </cell>
          <cell r="J1113" t="str">
            <v>IE3</v>
          </cell>
          <cell r="K1113">
            <v>400</v>
          </cell>
          <cell r="L1113">
            <v>50</v>
          </cell>
          <cell r="M1113">
            <v>12.5</v>
          </cell>
          <cell r="N1113">
            <v>55</v>
          </cell>
          <cell r="O1113" t="str">
            <v>F(105°C)</v>
          </cell>
          <cell r="P1113" t="str">
            <v>270°</v>
          </cell>
          <cell r="Q1113" t="str">
            <v>-</v>
          </cell>
          <cell r="R1113" t="str">
            <v>-</v>
          </cell>
          <cell r="S1113" t="str">
            <v>Free rotation CW</v>
          </cell>
          <cell r="T1113" t="str">
            <v>-</v>
          </cell>
          <cell r="U1113" t="str">
            <v>T</v>
          </cell>
          <cell r="V1113" t="str">
            <v>SS</v>
          </cell>
          <cell r="W1113" t="str">
            <v>-</v>
          </cell>
          <cell r="X1113" t="str">
            <v>CLP (CC) VG 220 = -15° + 40°</v>
          </cell>
          <cell r="Y1113" t="str">
            <v>KH77/T DRN132M4 /RS</v>
          </cell>
          <cell r="Z1113" t="str">
            <v>SEW</v>
          </cell>
          <cell r="AB1113" t="str">
            <v>-</v>
          </cell>
          <cell r="AF1113">
            <v>57</v>
          </cell>
          <cell r="AG1113" t="str">
            <v>DRN132M4</v>
          </cell>
          <cell r="AH1113" t="str">
            <v>KH77T-DRN132M4B270-X</v>
          </cell>
        </row>
        <row r="1114">
          <cell r="A1114" t="str">
            <v>MR001110</v>
          </cell>
          <cell r="B1114" t="str">
            <v>MR</v>
          </cell>
          <cell r="C1114">
            <v>15</v>
          </cell>
          <cell r="D1114">
            <v>48</v>
          </cell>
          <cell r="E1114" t="str">
            <v>KH97</v>
          </cell>
          <cell r="F1114">
            <v>2990</v>
          </cell>
          <cell r="G1114">
            <v>30.82</v>
          </cell>
          <cell r="H1114">
            <v>1.45</v>
          </cell>
          <cell r="I1114" t="str">
            <v>M4A</v>
          </cell>
          <cell r="J1114" t="str">
            <v>IE3</v>
          </cell>
          <cell r="K1114">
            <v>400</v>
          </cell>
          <cell r="L1114">
            <v>50</v>
          </cell>
          <cell r="M1114" t="str">
            <v>29/16,7</v>
          </cell>
          <cell r="N1114">
            <v>55</v>
          </cell>
          <cell r="O1114" t="str">
            <v>F(105°C)</v>
          </cell>
          <cell r="P1114" t="str">
            <v>270°</v>
          </cell>
          <cell r="Q1114" t="str">
            <v>-</v>
          </cell>
          <cell r="R1114" t="str">
            <v>-</v>
          </cell>
          <cell r="S1114" t="str">
            <v>Free rotation CCW</v>
          </cell>
          <cell r="T1114" t="str">
            <v>-</v>
          </cell>
          <cell r="U1114" t="str">
            <v>T</v>
          </cell>
          <cell r="V1114" t="str">
            <v>SS</v>
          </cell>
          <cell r="W1114" t="str">
            <v>-</v>
          </cell>
          <cell r="X1114" t="str">
            <v>CLP (CC) VG 220 = -15° + 40°</v>
          </cell>
          <cell r="Y1114" t="str">
            <v>KH97/T DRN160L4 /RS</v>
          </cell>
          <cell r="Z1114" t="str">
            <v>SEW</v>
          </cell>
          <cell r="AB1114" t="str">
            <v>-</v>
          </cell>
          <cell r="AF1114">
            <v>48</v>
          </cell>
          <cell r="AG1114" t="str">
            <v>DRN160L4</v>
          </cell>
          <cell r="AH1114" t="str">
            <v>KH97T-DRN160L4A270-X</v>
          </cell>
        </row>
        <row r="1115">
          <cell r="A1115" t="str">
            <v>MR001111</v>
          </cell>
          <cell r="B1115" t="str">
            <v>MR</v>
          </cell>
          <cell r="C1115">
            <v>0.75</v>
          </cell>
          <cell r="D1115">
            <v>162</v>
          </cell>
          <cell r="E1115" t="str">
            <v>KA37</v>
          </cell>
          <cell r="F1115">
            <v>44</v>
          </cell>
          <cell r="G1115">
            <v>8.91</v>
          </cell>
          <cell r="H1115">
            <v>3.6</v>
          </cell>
          <cell r="I1115" t="str">
            <v>M1B</v>
          </cell>
          <cell r="J1115" t="str">
            <v>IE3</v>
          </cell>
          <cell r="K1115">
            <v>400</v>
          </cell>
          <cell r="L1115">
            <v>50</v>
          </cell>
          <cell r="M1115">
            <v>1.75</v>
          </cell>
          <cell r="N1115">
            <v>55</v>
          </cell>
          <cell r="O1115" t="str">
            <v>F(105°C)</v>
          </cell>
          <cell r="P1115" t="str">
            <v>270°</v>
          </cell>
          <cell r="Q1115" t="str">
            <v>-</v>
          </cell>
          <cell r="R1115" t="str">
            <v>-</v>
          </cell>
          <cell r="S1115" t="str">
            <v>-</v>
          </cell>
          <cell r="T1115" t="str">
            <v>-</v>
          </cell>
          <cell r="U1115" t="str">
            <v>T</v>
          </cell>
          <cell r="V1115" t="str">
            <v>D</v>
          </cell>
          <cell r="W1115" t="str">
            <v>-</v>
          </cell>
          <cell r="X1115" t="str">
            <v>CLP (CC) VG 220 = -15° + 40°</v>
          </cell>
          <cell r="Y1115" t="str">
            <v>KA37/T DRN80M4</v>
          </cell>
          <cell r="Z1115" t="str">
            <v>SEW</v>
          </cell>
          <cell r="AB1115" t="str">
            <v>-</v>
          </cell>
          <cell r="AF1115">
            <v>162</v>
          </cell>
          <cell r="AG1115" t="str">
            <v>DRN80M4</v>
          </cell>
          <cell r="AH1115" t="str">
            <v>KA37T-DRN80M4B270-X</v>
          </cell>
        </row>
        <row r="1116">
          <cell r="A1116" t="str">
            <v>MR001112</v>
          </cell>
          <cell r="B1116" t="str">
            <v>MR</v>
          </cell>
          <cell r="C1116">
            <v>0.75</v>
          </cell>
          <cell r="D1116">
            <v>162</v>
          </cell>
          <cell r="E1116" t="str">
            <v>KA37</v>
          </cell>
          <cell r="F1116">
            <v>44</v>
          </cell>
          <cell r="G1116">
            <v>8.91</v>
          </cell>
          <cell r="H1116">
            <v>3.6</v>
          </cell>
          <cell r="I1116" t="str">
            <v>From M1A to M2A - 20°</v>
          </cell>
          <cell r="J1116" t="str">
            <v>IE3</v>
          </cell>
          <cell r="K1116">
            <v>400</v>
          </cell>
          <cell r="L1116">
            <v>50</v>
          </cell>
          <cell r="M1116">
            <v>1.75</v>
          </cell>
          <cell r="N1116">
            <v>55</v>
          </cell>
          <cell r="O1116" t="str">
            <v>F(105°C)</v>
          </cell>
          <cell r="P1116" t="str">
            <v>270°</v>
          </cell>
          <cell r="Q1116" t="str">
            <v>-</v>
          </cell>
          <cell r="R1116" t="str">
            <v>-</v>
          </cell>
          <cell r="S1116" t="str">
            <v>-</v>
          </cell>
          <cell r="T1116" t="str">
            <v>-</v>
          </cell>
          <cell r="U1116" t="str">
            <v>T</v>
          </cell>
          <cell r="V1116" t="str">
            <v>D</v>
          </cell>
          <cell r="W1116" t="str">
            <v>-</v>
          </cell>
          <cell r="X1116" t="str">
            <v>CLP (CC) VG 220 = -15° + 40°</v>
          </cell>
          <cell r="Y1116" t="str">
            <v>KA37/T DRN80M4</v>
          </cell>
          <cell r="Z1116" t="str">
            <v>SEW</v>
          </cell>
          <cell r="AB1116" t="str">
            <v>-</v>
          </cell>
          <cell r="AF1116">
            <v>162</v>
          </cell>
          <cell r="AG1116" t="str">
            <v>DRN80M4</v>
          </cell>
          <cell r="AH1116" t="str">
            <v>KA37T-DRN80M4A270-X</v>
          </cell>
        </row>
        <row r="1117">
          <cell r="A1117" t="str">
            <v>MR001113</v>
          </cell>
          <cell r="B1117" t="str">
            <v>ME</v>
          </cell>
          <cell r="C1117">
            <v>30</v>
          </cell>
          <cell r="D1117">
            <v>1480</v>
          </cell>
          <cell r="E1117" t="str">
            <v>-</v>
          </cell>
          <cell r="I1117" t="str">
            <v>M1A</v>
          </cell>
          <cell r="J1117" t="str">
            <v>IE3</v>
          </cell>
          <cell r="K1117" t="str">
            <v>400/690</v>
          </cell>
          <cell r="L1117">
            <v>50</v>
          </cell>
          <cell r="M1117" t="str">
            <v>56/32,5</v>
          </cell>
          <cell r="N1117">
            <v>55</v>
          </cell>
          <cell r="O1117" t="str">
            <v>F(105°C)</v>
          </cell>
          <cell r="P1117" t="str">
            <v>-</v>
          </cell>
          <cell r="Q1117" t="str">
            <v>-</v>
          </cell>
          <cell r="R1117" t="str">
            <v>-</v>
          </cell>
          <cell r="S1117" t="str">
            <v>Free rotation CW</v>
          </cell>
          <cell r="T1117" t="str">
            <v>-</v>
          </cell>
          <cell r="U1117" t="str">
            <v>-</v>
          </cell>
          <cell r="V1117" t="str">
            <v>D</v>
          </cell>
          <cell r="W1117" t="str">
            <v>-</v>
          </cell>
          <cell r="X1117" t="str">
            <v xml:space="preserve"> -</v>
          </cell>
          <cell r="Y1117" t="str">
            <v>DRN200L4/FG/RS</v>
          </cell>
          <cell r="Z1117" t="str">
            <v>SEW</v>
          </cell>
          <cell r="AB1117" t="str">
            <v>-</v>
          </cell>
          <cell r="AF1117">
            <v>1480</v>
          </cell>
          <cell r="AG1117" t="str">
            <v>DRN200L4</v>
          </cell>
          <cell r="AH1117" t="str">
            <v>--DRN200L4A--X</v>
          </cell>
        </row>
        <row r="1118">
          <cell r="A1118" t="str">
            <v>MR001114</v>
          </cell>
          <cell r="B1118" t="str">
            <v>MR</v>
          </cell>
          <cell r="C1118">
            <v>1.1000000000000001</v>
          </cell>
          <cell r="D1118">
            <v>7.2</v>
          </cell>
          <cell r="E1118" t="str">
            <v>FV77</v>
          </cell>
          <cell r="F1118">
            <v>1470</v>
          </cell>
          <cell r="G1118">
            <v>198.31</v>
          </cell>
          <cell r="H1118">
            <v>1</v>
          </cell>
          <cell r="I1118" t="str">
            <v>M1</v>
          </cell>
          <cell r="J1118" t="str">
            <v>IE2</v>
          </cell>
          <cell r="K1118" t="str">
            <v>220/380</v>
          </cell>
          <cell r="L1118">
            <v>50</v>
          </cell>
          <cell r="M1118" t="str">
            <v>4,45/2,55</v>
          </cell>
          <cell r="N1118">
            <v>55</v>
          </cell>
          <cell r="O1118" t="str">
            <v>F(105°C)</v>
          </cell>
          <cell r="P1118" t="str">
            <v>270°</v>
          </cell>
          <cell r="Q1118" t="str">
            <v>TF</v>
          </cell>
          <cell r="R1118" t="str">
            <v>-</v>
          </cell>
          <cell r="S1118" t="str">
            <v>-</v>
          </cell>
          <cell r="T1118" t="str">
            <v>BE2</v>
          </cell>
          <cell r="U1118" t="str">
            <v>G</v>
          </cell>
          <cell r="V1118" t="str">
            <v>D</v>
          </cell>
          <cell r="W1118" t="str">
            <v>-</v>
          </cell>
          <cell r="X1118" t="str">
            <v>CLP (CC) VG 220 = -15° + 40°</v>
          </cell>
          <cell r="Y1118" t="str">
            <v>FV77/G DRN90M4 /BE2 /TF</v>
          </cell>
          <cell r="Z1118" t="str">
            <v>SEW</v>
          </cell>
          <cell r="AB1118" t="str">
            <v>-</v>
          </cell>
          <cell r="AF1118">
            <v>7.2</v>
          </cell>
          <cell r="AG1118" t="str">
            <v>DRN90S4</v>
          </cell>
          <cell r="AH1118" t="str">
            <v>FV77G-DRN90S4270-X</v>
          </cell>
        </row>
        <row r="1119">
          <cell r="A1119" t="str">
            <v>MR001115</v>
          </cell>
          <cell r="B1119" t="str">
            <v>MR</v>
          </cell>
          <cell r="C1119">
            <v>22</v>
          </cell>
          <cell r="D1119">
            <v>33</v>
          </cell>
          <cell r="E1119" t="str">
            <v>R137</v>
          </cell>
          <cell r="F1119">
            <v>6310</v>
          </cell>
          <cell r="G1119">
            <v>44.39</v>
          </cell>
          <cell r="H1119" t="str">
            <v>1.25</v>
          </cell>
          <cell r="I1119" t="str">
            <v>M5</v>
          </cell>
          <cell r="J1119" t="str">
            <v>IE3</v>
          </cell>
          <cell r="K1119">
            <v>400</v>
          </cell>
          <cell r="L1119">
            <v>50</v>
          </cell>
          <cell r="M1119">
            <v>38.5</v>
          </cell>
          <cell r="N1119">
            <v>55</v>
          </cell>
          <cell r="O1119" t="str">
            <v>F(105°C)</v>
          </cell>
          <cell r="P1119" t="str">
            <v>270°</v>
          </cell>
          <cell r="Q1119" t="str">
            <v>TF</v>
          </cell>
          <cell r="R1119" t="str">
            <v>V(VE)</v>
          </cell>
          <cell r="S1119" t="str">
            <v>-</v>
          </cell>
          <cell r="T1119" t="str">
            <v>-</v>
          </cell>
          <cell r="U1119" t="str">
            <v>-</v>
          </cell>
          <cell r="V1119" t="str">
            <v>FC</v>
          </cell>
          <cell r="W1119" t="str">
            <v>-</v>
          </cell>
          <cell r="X1119" t="str">
            <v>CLP (CC) VG 220 = -15° + 40°</v>
          </cell>
          <cell r="Y1119" t="str">
            <v>R137DRN180L4 /TF/V</v>
          </cell>
          <cell r="Z1119" t="str">
            <v>SEW</v>
          </cell>
          <cell r="AB1119" t="str">
            <v>-</v>
          </cell>
          <cell r="AF1119">
            <v>33</v>
          </cell>
          <cell r="AG1119" t="str">
            <v>DRN180L4</v>
          </cell>
          <cell r="AH1119" t="str">
            <v>R137-DRN180L4270-X#</v>
          </cell>
        </row>
        <row r="1120">
          <cell r="A1120" t="str">
            <v>MR001116</v>
          </cell>
          <cell r="B1120" t="str">
            <v>MR</v>
          </cell>
          <cell r="C1120">
            <v>30</v>
          </cell>
          <cell r="D1120">
            <v>110</v>
          </cell>
          <cell r="E1120" t="str">
            <v>KH107</v>
          </cell>
          <cell r="F1120">
            <v>2590</v>
          </cell>
          <cell r="G1120">
            <v>13.43</v>
          </cell>
          <cell r="H1120" t="str">
            <v>1.65</v>
          </cell>
          <cell r="I1120" t="str">
            <v>M4A</v>
          </cell>
          <cell r="J1120" t="str">
            <v>IE3</v>
          </cell>
          <cell r="K1120">
            <v>400</v>
          </cell>
          <cell r="L1120">
            <v>50</v>
          </cell>
          <cell r="M1120">
            <v>56</v>
          </cell>
          <cell r="N1120">
            <v>55</v>
          </cell>
          <cell r="O1120" t="str">
            <v>F(105°C)</v>
          </cell>
          <cell r="P1120" t="str">
            <v>270°</v>
          </cell>
          <cell r="Q1120" t="str">
            <v>-</v>
          </cell>
          <cell r="R1120" t="str">
            <v>-</v>
          </cell>
          <cell r="S1120" t="str">
            <v>-</v>
          </cell>
          <cell r="T1120" t="str">
            <v>-</v>
          </cell>
          <cell r="U1120" t="str">
            <v>T</v>
          </cell>
          <cell r="V1120" t="str">
            <v>SS</v>
          </cell>
          <cell r="W1120" t="str">
            <v>-</v>
          </cell>
          <cell r="X1120" t="str">
            <v>CLP (CC) VG 220 = -15° + 40°</v>
          </cell>
          <cell r="Y1120" t="str">
            <v>KH107/T DRN200L4</v>
          </cell>
          <cell r="Z1120" t="str">
            <v>SEW</v>
          </cell>
          <cell r="AB1120" t="str">
            <v>-</v>
          </cell>
          <cell r="AF1120">
            <v>110</v>
          </cell>
          <cell r="AG1120" t="str">
            <v>DRN200L4</v>
          </cell>
          <cell r="AH1120" t="str">
            <v>KH107T-DRN200L4A270-X</v>
          </cell>
        </row>
        <row r="1121">
          <cell r="A1121" t="str">
            <v>MR001117</v>
          </cell>
          <cell r="B1121" t="str">
            <v>MR</v>
          </cell>
          <cell r="C1121">
            <v>15</v>
          </cell>
          <cell r="D1121">
            <v>60</v>
          </cell>
          <cell r="E1121" t="str">
            <v>KH97</v>
          </cell>
          <cell r="F1121">
            <v>2400</v>
          </cell>
          <cell r="G1121">
            <v>24.75</v>
          </cell>
          <cell r="H1121">
            <v>1.8</v>
          </cell>
          <cell r="I1121" t="str">
            <v>M4A</v>
          </cell>
          <cell r="J1121" t="str">
            <v>IE3</v>
          </cell>
          <cell r="K1121">
            <v>400</v>
          </cell>
          <cell r="L1121">
            <v>50</v>
          </cell>
          <cell r="M1121" t="str">
            <v>29/16,7</v>
          </cell>
          <cell r="N1121">
            <v>55</v>
          </cell>
          <cell r="O1121" t="str">
            <v>F(105°C)</v>
          </cell>
          <cell r="P1121" t="str">
            <v>270°</v>
          </cell>
          <cell r="Q1121" t="str">
            <v>TF</v>
          </cell>
          <cell r="R1121" t="str">
            <v>V(VE)</v>
          </cell>
          <cell r="S1121" t="str">
            <v>-</v>
          </cell>
          <cell r="T1121" t="str">
            <v>-</v>
          </cell>
          <cell r="U1121" t="str">
            <v>T</v>
          </cell>
          <cell r="V1121" t="str">
            <v>FC</v>
          </cell>
          <cell r="W1121" t="str">
            <v>-</v>
          </cell>
          <cell r="X1121" t="str">
            <v>CLP (CC) VG 220 = -15° + 40°</v>
          </cell>
          <cell r="Y1121" t="str">
            <v>KH97/T DRN160L4 /TF/V</v>
          </cell>
          <cell r="Z1121" t="str">
            <v>SEW</v>
          </cell>
          <cell r="AB1121" t="str">
            <v>-</v>
          </cell>
          <cell r="AF1121">
            <v>60</v>
          </cell>
          <cell r="AG1121" t="str">
            <v>DRN160L4</v>
          </cell>
          <cell r="AH1121" t="str">
            <v>KH97T-DRN160L4A270-X#</v>
          </cell>
        </row>
        <row r="1122">
          <cell r="A1122" t="str">
            <v>MR001118</v>
          </cell>
          <cell r="B1122" t="str">
            <v>MR</v>
          </cell>
          <cell r="C1122">
            <v>5.5</v>
          </cell>
          <cell r="D1122">
            <v>14</v>
          </cell>
          <cell r="E1122" t="str">
            <v>FH97</v>
          </cell>
          <cell r="F1122">
            <v>3670</v>
          </cell>
          <cell r="G1122">
            <v>102.16</v>
          </cell>
          <cell r="H1122">
            <v>1.1499999999999999</v>
          </cell>
          <cell r="I1122" t="str">
            <v>From M1 to M4 - 15°</v>
          </cell>
          <cell r="J1122" t="str">
            <v>IE3</v>
          </cell>
          <cell r="K1122">
            <v>415</v>
          </cell>
          <cell r="L1122">
            <v>50</v>
          </cell>
          <cell r="M1122" t="str">
            <v>18,2/10,5</v>
          </cell>
          <cell r="N1122">
            <v>55</v>
          </cell>
          <cell r="O1122" t="str">
            <v>F(105°C)</v>
          </cell>
          <cell r="P1122" t="str">
            <v>270°</v>
          </cell>
          <cell r="Q1122" t="str">
            <v>TF</v>
          </cell>
          <cell r="R1122" t="str">
            <v>V(VE)</v>
          </cell>
          <cell r="S1122" t="str">
            <v>-</v>
          </cell>
          <cell r="T1122" t="str">
            <v>-</v>
          </cell>
          <cell r="U1122" t="str">
            <v>G</v>
          </cell>
          <cell r="V1122" t="str">
            <v>FC</v>
          </cell>
          <cell r="W1122" t="str">
            <v>-</v>
          </cell>
          <cell r="X1122" t="str">
            <v>CLP (CC) VG 220 = -15° + 40°</v>
          </cell>
          <cell r="Y1122" t="str">
            <v>FH97/G DRN132S4 /TF/V</v>
          </cell>
          <cell r="Z1122" t="str">
            <v>SEW</v>
          </cell>
          <cell r="AB1122" t="str">
            <v>-</v>
          </cell>
          <cell r="AF1122">
            <v>14</v>
          </cell>
          <cell r="AG1122" t="str">
            <v>DRN132S4</v>
          </cell>
          <cell r="AH1122" t="str">
            <v>FH97G-DRN132S4270-X#</v>
          </cell>
        </row>
        <row r="1123">
          <cell r="A1123" t="str">
            <v>MR001119</v>
          </cell>
          <cell r="B1123" t="str">
            <v>MR</v>
          </cell>
          <cell r="C1123">
            <v>18.5</v>
          </cell>
          <cell r="D1123">
            <v>15</v>
          </cell>
          <cell r="E1123" t="str">
            <v>KH157</v>
          </cell>
          <cell r="F1123">
            <v>11900</v>
          </cell>
          <cell r="G1123">
            <v>100.22</v>
          </cell>
          <cell r="H1123">
            <v>1.5</v>
          </cell>
          <cell r="I1123" t="str">
            <v>From M4A to M1A - 30°</v>
          </cell>
          <cell r="J1123" t="str">
            <v>IE3</v>
          </cell>
          <cell r="K1123">
            <v>400</v>
          </cell>
          <cell r="L1123">
            <v>50</v>
          </cell>
          <cell r="M1123">
            <v>33.5</v>
          </cell>
          <cell r="N1123">
            <v>55</v>
          </cell>
          <cell r="O1123" t="str">
            <v>F(105°C)</v>
          </cell>
          <cell r="P1123" t="str">
            <v>270°</v>
          </cell>
          <cell r="Q1123" t="str">
            <v>TF</v>
          </cell>
          <cell r="R1123" t="str">
            <v>V</v>
          </cell>
          <cell r="S1123" t="str">
            <v>-</v>
          </cell>
          <cell r="T1123" t="str">
            <v>-</v>
          </cell>
          <cell r="U1123" t="str">
            <v>-</v>
          </cell>
          <cell r="V1123" t="str">
            <v>FC</v>
          </cell>
          <cell r="W1123" t="str">
            <v>-</v>
          </cell>
          <cell r="X1123" t="str">
            <v>CLP HC VG 220 = -20° + 60°</v>
          </cell>
          <cell r="Y1123" t="str">
            <v>KH157DRN180M4 /TF/V</v>
          </cell>
          <cell r="Z1123" t="str">
            <v>SEW</v>
          </cell>
          <cell r="AB1123" t="str">
            <v>-</v>
          </cell>
          <cell r="AF1123">
            <v>15</v>
          </cell>
          <cell r="AG1123" t="str">
            <v>DRN180M4</v>
          </cell>
          <cell r="AH1123" t="str">
            <v>KH157-DRN180M4A270-X#</v>
          </cell>
        </row>
        <row r="1124">
          <cell r="A1124" t="str">
            <v>MR001120</v>
          </cell>
          <cell r="B1124" t="str">
            <v>MR</v>
          </cell>
          <cell r="C1124">
            <v>18.5</v>
          </cell>
          <cell r="D1124">
            <v>15</v>
          </cell>
          <cell r="E1124" t="str">
            <v>KH157</v>
          </cell>
          <cell r="F1124">
            <v>11900</v>
          </cell>
          <cell r="G1124">
            <v>100.22</v>
          </cell>
          <cell r="H1124">
            <v>1.5</v>
          </cell>
          <cell r="I1124" t="str">
            <v>From M4B to M1B - 30°</v>
          </cell>
          <cell r="J1124" t="str">
            <v>IE3</v>
          </cell>
          <cell r="K1124">
            <v>400</v>
          </cell>
          <cell r="L1124">
            <v>50</v>
          </cell>
          <cell r="M1124">
            <v>33.5</v>
          </cell>
          <cell r="N1124">
            <v>55</v>
          </cell>
          <cell r="O1124" t="str">
            <v>F(105°C)</v>
          </cell>
          <cell r="P1124" t="str">
            <v>270°</v>
          </cell>
          <cell r="Q1124" t="str">
            <v>TF</v>
          </cell>
          <cell r="R1124" t="str">
            <v>V</v>
          </cell>
          <cell r="S1124" t="str">
            <v>-</v>
          </cell>
          <cell r="T1124" t="str">
            <v>-</v>
          </cell>
          <cell r="U1124" t="str">
            <v>-</v>
          </cell>
          <cell r="V1124" t="str">
            <v>FC</v>
          </cell>
          <cell r="W1124" t="str">
            <v>-</v>
          </cell>
          <cell r="X1124" t="str">
            <v>CLP HC VG 220 = -20° + 60°</v>
          </cell>
          <cell r="Y1124" t="str">
            <v>KH157DRN180M4 /TF/V</v>
          </cell>
          <cell r="Z1124" t="str">
            <v>SEW</v>
          </cell>
          <cell r="AB1124" t="str">
            <v>-</v>
          </cell>
          <cell r="AF1124">
            <v>15</v>
          </cell>
          <cell r="AG1124" t="str">
            <v>DRN180M4</v>
          </cell>
          <cell r="AH1124" t="str">
            <v>KH157-DRN180M4B270-X#</v>
          </cell>
        </row>
        <row r="1125">
          <cell r="A1125" t="str">
            <v>MR001121</v>
          </cell>
          <cell r="B1125" t="str">
            <v>MR</v>
          </cell>
          <cell r="C1125">
            <v>37</v>
          </cell>
          <cell r="D1125">
            <v>37</v>
          </cell>
          <cell r="E1125" t="str">
            <v>R147</v>
          </cell>
          <cell r="F1125">
            <v>9600</v>
          </cell>
          <cell r="G1125">
            <v>40.29</v>
          </cell>
          <cell r="H1125">
            <v>1.35</v>
          </cell>
          <cell r="I1125" t="str">
            <v>M1</v>
          </cell>
          <cell r="J1125" t="str">
            <v>IE3</v>
          </cell>
          <cell r="K1125">
            <v>400</v>
          </cell>
          <cell r="L1125">
            <v>50</v>
          </cell>
          <cell r="M1125" t="str">
            <v>64/7ì37</v>
          </cell>
          <cell r="N1125">
            <v>55</v>
          </cell>
          <cell r="O1125" t="str">
            <v>F(105°C)</v>
          </cell>
          <cell r="P1125" t="str">
            <v>270°</v>
          </cell>
          <cell r="Q1125" t="str">
            <v>TF</v>
          </cell>
          <cell r="R1125" t="str">
            <v>V(VE)</v>
          </cell>
          <cell r="S1125" t="str">
            <v>Free rotation CCW</v>
          </cell>
          <cell r="T1125" t="str">
            <v>-</v>
          </cell>
          <cell r="U1125" t="str">
            <v>-</v>
          </cell>
          <cell r="V1125" t="str">
            <v>FC</v>
          </cell>
          <cell r="W1125" t="str">
            <v>-</v>
          </cell>
          <cell r="X1125" t="str">
            <v>CLP HC VG 220 = -20° + 60°</v>
          </cell>
          <cell r="Y1125" t="str">
            <v>R147DRN225S4 /RS /TF/V</v>
          </cell>
          <cell r="Z1125" t="str">
            <v>SEW</v>
          </cell>
          <cell r="AB1125" t="str">
            <v>-</v>
          </cell>
          <cell r="AF1125">
            <v>37</v>
          </cell>
          <cell r="AG1125" t="str">
            <v>DRN225S4</v>
          </cell>
          <cell r="AH1125" t="str">
            <v>R147-DRN225S4270-X#</v>
          </cell>
        </row>
        <row r="1126">
          <cell r="A1126" t="str">
            <v>MR001122</v>
          </cell>
          <cell r="B1126" t="str">
            <v>MR</v>
          </cell>
          <cell r="C1126">
            <v>15</v>
          </cell>
          <cell r="D1126">
            <v>81</v>
          </cell>
          <cell r="E1126" t="str">
            <v>R97</v>
          </cell>
          <cell r="F1126">
            <v>1770</v>
          </cell>
          <cell r="G1126">
            <v>18.239999999999998</v>
          </cell>
          <cell r="H1126">
            <v>1.4</v>
          </cell>
          <cell r="I1126" t="str">
            <v>M5</v>
          </cell>
          <cell r="J1126" t="str">
            <v>IE3</v>
          </cell>
          <cell r="K1126">
            <v>400</v>
          </cell>
          <cell r="L1126">
            <v>50</v>
          </cell>
          <cell r="M1126" t="str">
            <v>29/16,7</v>
          </cell>
          <cell r="N1126">
            <v>55</v>
          </cell>
          <cell r="O1126" t="str">
            <v>F(105°C)</v>
          </cell>
          <cell r="P1126" t="str">
            <v>270°</v>
          </cell>
          <cell r="Q1126" t="str">
            <v>TF</v>
          </cell>
          <cell r="R1126" t="str">
            <v>V(VE)</v>
          </cell>
          <cell r="S1126" t="str">
            <v>-</v>
          </cell>
          <cell r="T1126" t="str">
            <v>-</v>
          </cell>
          <cell r="U1126" t="str">
            <v>-</v>
          </cell>
          <cell r="V1126" t="str">
            <v>FC</v>
          </cell>
          <cell r="W1126" t="str">
            <v>-</v>
          </cell>
          <cell r="X1126" t="str">
            <v>CLP HC VG 220 = -20° + 60°</v>
          </cell>
          <cell r="Y1126" t="str">
            <v>R97DRN160L4 /TF/V</v>
          </cell>
          <cell r="Z1126" t="str">
            <v>SEW</v>
          </cell>
          <cell r="AB1126" t="str">
            <v>-</v>
          </cell>
          <cell r="AF1126">
            <v>81</v>
          </cell>
          <cell r="AG1126" t="str">
            <v>DRN160L4</v>
          </cell>
          <cell r="AH1126" t="str">
            <v>R97-DRN160L4270-X#</v>
          </cell>
        </row>
        <row r="1127">
          <cell r="A1127" t="str">
            <v>MR001123</v>
          </cell>
          <cell r="B1127" t="str">
            <v>MR</v>
          </cell>
          <cell r="C1127">
            <v>15</v>
          </cell>
          <cell r="D1127">
            <v>81</v>
          </cell>
          <cell r="E1127" t="str">
            <v>R97</v>
          </cell>
          <cell r="F1127">
            <v>1770</v>
          </cell>
          <cell r="G1127">
            <v>18.239999999999998</v>
          </cell>
          <cell r="H1127">
            <v>1.4</v>
          </cell>
          <cell r="I1127" t="str">
            <v>M6</v>
          </cell>
          <cell r="J1127" t="str">
            <v>IE3</v>
          </cell>
          <cell r="K1127">
            <v>400</v>
          </cell>
          <cell r="L1127">
            <v>50</v>
          </cell>
          <cell r="M1127" t="str">
            <v>29/16,7</v>
          </cell>
          <cell r="N1127">
            <v>55</v>
          </cell>
          <cell r="O1127" t="str">
            <v>F(105°C)</v>
          </cell>
          <cell r="P1127" t="str">
            <v>270°</v>
          </cell>
          <cell r="Q1127" t="str">
            <v>TF</v>
          </cell>
          <cell r="R1127" t="str">
            <v>V(VE)</v>
          </cell>
          <cell r="S1127" t="str">
            <v>-</v>
          </cell>
          <cell r="T1127" t="str">
            <v>-</v>
          </cell>
          <cell r="U1127" t="str">
            <v>-</v>
          </cell>
          <cell r="V1127" t="str">
            <v>FC</v>
          </cell>
          <cell r="W1127" t="str">
            <v>-</v>
          </cell>
          <cell r="X1127" t="str">
            <v>CLP HC VG 220 = -20° + 60°</v>
          </cell>
          <cell r="Y1127" t="str">
            <v>R97DRN160L4 /TF/V</v>
          </cell>
          <cell r="Z1127" t="str">
            <v>SEW</v>
          </cell>
          <cell r="AB1127" t="str">
            <v>-</v>
          </cell>
          <cell r="AF1127">
            <v>81</v>
          </cell>
          <cell r="AG1127" t="str">
            <v>DRN160L4</v>
          </cell>
          <cell r="AH1127" t="str">
            <v>R97-DRN160L4270-X#</v>
          </cell>
        </row>
        <row r="1128">
          <cell r="A1128" t="str">
            <v>MR001124</v>
          </cell>
          <cell r="B1128" t="str">
            <v>MR</v>
          </cell>
          <cell r="C1128">
            <v>15</v>
          </cell>
          <cell r="D1128">
            <v>13</v>
          </cell>
          <cell r="E1128" t="str">
            <v>KH127</v>
          </cell>
          <cell r="F1128">
            <v>10700</v>
          </cell>
          <cell r="G1128">
            <v>110.18</v>
          </cell>
          <cell r="H1128">
            <v>1.2</v>
          </cell>
          <cell r="I1128" t="str">
            <v>From M4A to M1A - 25°</v>
          </cell>
          <cell r="J1128" t="str">
            <v>IE3</v>
          </cell>
          <cell r="K1128">
            <v>400</v>
          </cell>
          <cell r="L1128">
            <v>50</v>
          </cell>
          <cell r="M1128" t="str">
            <v>29/16,7</v>
          </cell>
          <cell r="N1128">
            <v>55</v>
          </cell>
          <cell r="O1128" t="str">
            <v>F(105°C)</v>
          </cell>
          <cell r="P1128" t="str">
            <v>270°</v>
          </cell>
          <cell r="Q1128" t="str">
            <v>TF</v>
          </cell>
          <cell r="R1128" t="str">
            <v>V(VE)</v>
          </cell>
          <cell r="S1128" t="str">
            <v>-</v>
          </cell>
          <cell r="T1128" t="str">
            <v>-</v>
          </cell>
          <cell r="U1128" t="str">
            <v>-</v>
          </cell>
          <cell r="V1128" t="str">
            <v>FC</v>
          </cell>
          <cell r="W1128" t="str">
            <v>-</v>
          </cell>
          <cell r="X1128" t="str">
            <v>CLP HC VG 220 = -20° + 60°</v>
          </cell>
          <cell r="Y1128" t="str">
            <v>KH127DRN160L4 /TF/V</v>
          </cell>
          <cell r="Z1128" t="str">
            <v>SEW</v>
          </cell>
          <cell r="AB1128" t="str">
            <v>-</v>
          </cell>
          <cell r="AF1128">
            <v>13</v>
          </cell>
          <cell r="AG1128" t="str">
            <v>DRN160L4</v>
          </cell>
          <cell r="AH1128" t="str">
            <v>KH127-DRN160L4A270-X#</v>
          </cell>
        </row>
        <row r="1129">
          <cell r="A1129" t="str">
            <v>MR001125</v>
          </cell>
          <cell r="B1129" t="str">
            <v>MR</v>
          </cell>
          <cell r="C1129">
            <v>15</v>
          </cell>
          <cell r="D1129">
            <v>13</v>
          </cell>
          <cell r="E1129" t="str">
            <v>KH127</v>
          </cell>
          <cell r="F1129">
            <v>10700</v>
          </cell>
          <cell r="G1129">
            <v>110.18</v>
          </cell>
          <cell r="H1129">
            <v>1.2</v>
          </cell>
          <cell r="I1129" t="str">
            <v>From M4B to M1B - 25°</v>
          </cell>
          <cell r="J1129" t="str">
            <v>IE3</v>
          </cell>
          <cell r="K1129">
            <v>400</v>
          </cell>
          <cell r="L1129">
            <v>50</v>
          </cell>
          <cell r="M1129" t="str">
            <v>29/16,7</v>
          </cell>
          <cell r="N1129">
            <v>55</v>
          </cell>
          <cell r="O1129" t="str">
            <v>F(105°C)</v>
          </cell>
          <cell r="P1129" t="str">
            <v>270°</v>
          </cell>
          <cell r="Q1129" t="str">
            <v>TF</v>
          </cell>
          <cell r="R1129" t="str">
            <v>V(VE)</v>
          </cell>
          <cell r="S1129" t="str">
            <v>-</v>
          </cell>
          <cell r="T1129" t="str">
            <v>-</v>
          </cell>
          <cell r="U1129" t="str">
            <v>-</v>
          </cell>
          <cell r="V1129" t="str">
            <v>FC</v>
          </cell>
          <cell r="W1129" t="str">
            <v>-</v>
          </cell>
          <cell r="X1129" t="str">
            <v>CLP HC VG 220 = -20° + 60°</v>
          </cell>
          <cell r="Y1129" t="str">
            <v>KH127DRN160L4 /TF/V</v>
          </cell>
          <cell r="Z1129" t="str">
            <v>SEW</v>
          </cell>
          <cell r="AB1129" t="str">
            <v>-</v>
          </cell>
          <cell r="AF1129">
            <v>13</v>
          </cell>
          <cell r="AG1129" t="str">
            <v>DRN160L4</v>
          </cell>
          <cell r="AH1129" t="str">
            <v>KH127-DRN160L4B270-X#</v>
          </cell>
        </row>
        <row r="1130">
          <cell r="A1130" t="str">
            <v>MR001126</v>
          </cell>
          <cell r="B1130" t="str">
            <v>MR</v>
          </cell>
          <cell r="C1130">
            <v>1.5</v>
          </cell>
          <cell r="D1130">
            <v>3.8</v>
          </cell>
          <cell r="E1130" t="str">
            <v>KA97R57</v>
          </cell>
          <cell r="F1130">
            <v>3440</v>
          </cell>
          <cell r="G1130">
            <v>382</v>
          </cell>
          <cell r="H1130">
            <v>1.25</v>
          </cell>
          <cell r="I1130" t="str">
            <v>M3B</v>
          </cell>
          <cell r="J1130" t="str">
            <v>IE3</v>
          </cell>
          <cell r="K1130">
            <v>400</v>
          </cell>
          <cell r="L1130">
            <v>50</v>
          </cell>
          <cell r="M1130">
            <v>3.4</v>
          </cell>
          <cell r="N1130">
            <v>55</v>
          </cell>
          <cell r="O1130" t="str">
            <v>F(105°C)</v>
          </cell>
          <cell r="P1130" t="str">
            <v>270°</v>
          </cell>
          <cell r="Q1130" t="str">
            <v>TF</v>
          </cell>
          <cell r="R1130" t="str">
            <v>-</v>
          </cell>
          <cell r="S1130" t="str">
            <v>-</v>
          </cell>
          <cell r="T1130" t="str">
            <v>BEHF</v>
          </cell>
          <cell r="U1130" t="str">
            <v>T</v>
          </cell>
          <cell r="V1130" t="str">
            <v>D+R</v>
          </cell>
          <cell r="W1130" t="str">
            <v>-</v>
          </cell>
          <cell r="X1130" t="str">
            <v>CLP HC VG 220 = -20° + 60°</v>
          </cell>
          <cell r="Y1130" t="str">
            <v>KA97R57/T DRN90L4 /BEHF /TF</v>
          </cell>
          <cell r="Z1130" t="str">
            <v>SEW</v>
          </cell>
          <cell r="AB1130" t="str">
            <v>-</v>
          </cell>
          <cell r="AF1130">
            <v>3.8</v>
          </cell>
          <cell r="AG1130" t="str">
            <v>DRN90L4</v>
          </cell>
          <cell r="AH1130" t="str">
            <v>KA97R57T-DRN90L4B270-X</v>
          </cell>
        </row>
        <row r="1131">
          <cell r="A1131" t="str">
            <v>MR001127</v>
          </cell>
          <cell r="B1131" t="str">
            <v>MR</v>
          </cell>
          <cell r="C1131">
            <v>15</v>
          </cell>
          <cell r="D1131">
            <v>16</v>
          </cell>
          <cell r="E1131" t="str">
            <v>KH127</v>
          </cell>
          <cell r="F1131">
            <v>8730</v>
          </cell>
          <cell r="G1131">
            <v>89.89</v>
          </cell>
          <cell r="H1131">
            <v>1.5</v>
          </cell>
          <cell r="I1131" t="str">
            <v>From M4A to M1A - 20°</v>
          </cell>
          <cell r="J1131" t="str">
            <v>IE3</v>
          </cell>
          <cell r="K1131">
            <v>400</v>
          </cell>
          <cell r="L1131">
            <v>50</v>
          </cell>
          <cell r="M1131" t="str">
            <v>29/16,7</v>
          </cell>
          <cell r="N1131">
            <v>55</v>
          </cell>
          <cell r="O1131" t="str">
            <v>F(105°C)</v>
          </cell>
          <cell r="P1131" t="str">
            <v>270°</v>
          </cell>
          <cell r="Q1131" t="str">
            <v>TF</v>
          </cell>
          <cell r="R1131" t="str">
            <v>V(VE)</v>
          </cell>
          <cell r="S1131" t="str">
            <v>-</v>
          </cell>
          <cell r="T1131" t="str">
            <v>-</v>
          </cell>
          <cell r="U1131" t="str">
            <v>-</v>
          </cell>
          <cell r="V1131" t="str">
            <v>FC</v>
          </cell>
          <cell r="W1131" t="str">
            <v>-</v>
          </cell>
          <cell r="X1131" t="str">
            <v>CLP HC VG 220 = -20° + 60°</v>
          </cell>
          <cell r="Y1131" t="str">
            <v>KH127DRN160L4 /TF/V</v>
          </cell>
          <cell r="Z1131" t="str">
            <v>SEW</v>
          </cell>
          <cell r="AB1131" t="str">
            <v>-</v>
          </cell>
          <cell r="AF1131">
            <v>16</v>
          </cell>
          <cell r="AG1131" t="str">
            <v>DRN160L4</v>
          </cell>
          <cell r="AH1131" t="str">
            <v>KH127-DRN160L4A270-X#</v>
          </cell>
        </row>
        <row r="1132">
          <cell r="A1132" t="str">
            <v>MR001128</v>
          </cell>
          <cell r="B1132" t="str">
            <v>MR</v>
          </cell>
          <cell r="C1132">
            <v>15</v>
          </cell>
          <cell r="D1132">
            <v>16</v>
          </cell>
          <cell r="E1132" t="str">
            <v>KH127</v>
          </cell>
          <cell r="F1132">
            <v>8730</v>
          </cell>
          <cell r="G1132">
            <v>89.89</v>
          </cell>
          <cell r="H1132">
            <v>1.5</v>
          </cell>
          <cell r="I1132" t="str">
            <v>From M4B to M1B - 20°</v>
          </cell>
          <cell r="J1132" t="str">
            <v>IE3</v>
          </cell>
          <cell r="K1132">
            <v>400</v>
          </cell>
          <cell r="L1132">
            <v>50</v>
          </cell>
          <cell r="M1132" t="str">
            <v>29/16,7</v>
          </cell>
          <cell r="N1132">
            <v>55</v>
          </cell>
          <cell r="O1132" t="str">
            <v>F(105°C)</v>
          </cell>
          <cell r="P1132" t="str">
            <v>270°</v>
          </cell>
          <cell r="Q1132" t="str">
            <v>TF</v>
          </cell>
          <cell r="R1132" t="str">
            <v>V(VE)</v>
          </cell>
          <cell r="S1132" t="str">
            <v>-</v>
          </cell>
          <cell r="T1132" t="str">
            <v>-</v>
          </cell>
          <cell r="U1132" t="str">
            <v>-</v>
          </cell>
          <cell r="V1132" t="str">
            <v>FC</v>
          </cell>
          <cell r="W1132" t="str">
            <v>-</v>
          </cell>
          <cell r="X1132" t="str">
            <v>CLP HC VG 220 = -20° + 60°</v>
          </cell>
          <cell r="Y1132" t="str">
            <v>KH127DRN160L4 /TF/V</v>
          </cell>
          <cell r="Z1132" t="str">
            <v>SEW</v>
          </cell>
          <cell r="AB1132" t="str">
            <v>-</v>
          </cell>
          <cell r="AF1132">
            <v>16</v>
          </cell>
          <cell r="AG1132" t="str">
            <v>DRN160L4</v>
          </cell>
          <cell r="AH1132" t="str">
            <v>KH127-DRN160L4B270-X#</v>
          </cell>
        </row>
        <row r="1133">
          <cell r="A1133" t="str">
            <v>MR001129</v>
          </cell>
          <cell r="B1133" t="str">
            <v>MR</v>
          </cell>
          <cell r="C1133">
            <v>15</v>
          </cell>
          <cell r="D1133">
            <v>16</v>
          </cell>
          <cell r="E1133" t="str">
            <v>KH127</v>
          </cell>
          <cell r="F1133">
            <v>8730</v>
          </cell>
          <cell r="G1133">
            <v>89.89</v>
          </cell>
          <cell r="H1133">
            <v>1.5</v>
          </cell>
          <cell r="I1133" t="str">
            <v>From M4A to M1A - 30°</v>
          </cell>
          <cell r="J1133" t="str">
            <v>IE3</v>
          </cell>
          <cell r="K1133">
            <v>400</v>
          </cell>
          <cell r="L1133">
            <v>50</v>
          </cell>
          <cell r="M1133" t="str">
            <v>29/16,7</v>
          </cell>
          <cell r="N1133">
            <v>55</v>
          </cell>
          <cell r="O1133" t="str">
            <v>F(105°C)</v>
          </cell>
          <cell r="P1133" t="str">
            <v>270°</v>
          </cell>
          <cell r="Q1133" t="str">
            <v>TF</v>
          </cell>
          <cell r="R1133" t="str">
            <v>V(VE)</v>
          </cell>
          <cell r="S1133" t="str">
            <v>-</v>
          </cell>
          <cell r="T1133" t="str">
            <v>-</v>
          </cell>
          <cell r="U1133" t="str">
            <v>-</v>
          </cell>
          <cell r="V1133" t="str">
            <v>FC</v>
          </cell>
          <cell r="W1133" t="str">
            <v>-</v>
          </cell>
          <cell r="X1133" t="str">
            <v>CLP HC VG 220 = -20° + 60°</v>
          </cell>
          <cell r="Y1133" t="str">
            <v>KH127DRN160L4 /TF/V</v>
          </cell>
          <cell r="Z1133" t="str">
            <v>SEW</v>
          </cell>
          <cell r="AB1133" t="str">
            <v>-</v>
          </cell>
          <cell r="AF1133">
            <v>16</v>
          </cell>
          <cell r="AG1133" t="str">
            <v>DRN160L4</v>
          </cell>
          <cell r="AH1133" t="str">
            <v>KH127-DRN160L4A270-X#</v>
          </cell>
        </row>
        <row r="1134">
          <cell r="A1134" t="str">
            <v>MR001130</v>
          </cell>
          <cell r="B1134" t="str">
            <v>MR</v>
          </cell>
          <cell r="C1134">
            <v>15</v>
          </cell>
          <cell r="D1134">
            <v>16</v>
          </cell>
          <cell r="E1134" t="str">
            <v>KH127</v>
          </cell>
          <cell r="F1134">
            <v>8730</v>
          </cell>
          <cell r="G1134">
            <v>89.89</v>
          </cell>
          <cell r="H1134">
            <v>1.5</v>
          </cell>
          <cell r="I1134" t="str">
            <v>From M4B to M1B - 30°</v>
          </cell>
          <cell r="J1134" t="str">
            <v>IE3</v>
          </cell>
          <cell r="K1134">
            <v>400</v>
          </cell>
          <cell r="L1134">
            <v>50</v>
          </cell>
          <cell r="M1134" t="str">
            <v>29/16,7</v>
          </cell>
          <cell r="N1134">
            <v>55</v>
          </cell>
          <cell r="O1134" t="str">
            <v>F(105°C)</v>
          </cell>
          <cell r="P1134" t="str">
            <v>270°</v>
          </cell>
          <cell r="Q1134" t="str">
            <v>TF</v>
          </cell>
          <cell r="R1134" t="str">
            <v>V(VE)</v>
          </cell>
          <cell r="S1134" t="str">
            <v>-</v>
          </cell>
          <cell r="T1134" t="str">
            <v>-</v>
          </cell>
          <cell r="U1134" t="str">
            <v>-</v>
          </cell>
          <cell r="V1134" t="str">
            <v>FC</v>
          </cell>
          <cell r="W1134" t="str">
            <v>-</v>
          </cell>
          <cell r="X1134" t="str">
            <v>CLP HC VG 220 = -20° + 60°</v>
          </cell>
          <cell r="Y1134" t="str">
            <v>KH127DRN160L4 /TF/V</v>
          </cell>
          <cell r="Z1134" t="str">
            <v>SEW</v>
          </cell>
          <cell r="AB1134" t="str">
            <v>-</v>
          </cell>
          <cell r="AF1134">
            <v>16</v>
          </cell>
          <cell r="AG1134" t="str">
            <v>DRN160L4</v>
          </cell>
          <cell r="AH1134" t="str">
            <v>KH127-DRN160L4B270-X#</v>
          </cell>
        </row>
        <row r="1135">
          <cell r="A1135" t="str">
            <v>MR001131</v>
          </cell>
          <cell r="B1135" t="str">
            <v>MR</v>
          </cell>
          <cell r="C1135">
            <v>15</v>
          </cell>
          <cell r="D1135">
            <v>16</v>
          </cell>
          <cell r="E1135" t="str">
            <v>KH127</v>
          </cell>
          <cell r="F1135">
            <v>8730</v>
          </cell>
          <cell r="G1135">
            <v>89.89</v>
          </cell>
          <cell r="H1135">
            <v>1.5</v>
          </cell>
          <cell r="I1135" t="str">
            <v>From M4A to M1A - 35°</v>
          </cell>
          <cell r="J1135" t="str">
            <v>IE3</v>
          </cell>
          <cell r="K1135">
            <v>400</v>
          </cell>
          <cell r="L1135">
            <v>50</v>
          </cell>
          <cell r="M1135" t="str">
            <v>29/16,7</v>
          </cell>
          <cell r="N1135">
            <v>55</v>
          </cell>
          <cell r="O1135" t="str">
            <v>F(105°C)</v>
          </cell>
          <cell r="P1135" t="str">
            <v>270°</v>
          </cell>
          <cell r="Q1135" t="str">
            <v>TF</v>
          </cell>
          <cell r="R1135" t="str">
            <v>V(VE)</v>
          </cell>
          <cell r="S1135" t="str">
            <v>-</v>
          </cell>
          <cell r="T1135" t="str">
            <v>-</v>
          </cell>
          <cell r="U1135" t="str">
            <v>-</v>
          </cell>
          <cell r="V1135" t="str">
            <v>FC</v>
          </cell>
          <cell r="W1135" t="str">
            <v>-</v>
          </cell>
          <cell r="X1135" t="str">
            <v>CLP HC VG 220 = -20° + 60°</v>
          </cell>
          <cell r="Y1135" t="str">
            <v>KH127DRN160L4 /TF/V</v>
          </cell>
          <cell r="Z1135" t="str">
            <v>SEW</v>
          </cell>
          <cell r="AB1135" t="str">
            <v>-</v>
          </cell>
          <cell r="AF1135">
            <v>16</v>
          </cell>
          <cell r="AG1135" t="str">
            <v>DRN160L4</v>
          </cell>
          <cell r="AH1135" t="str">
            <v>KH127-DRN160L4A270-X#</v>
          </cell>
        </row>
        <row r="1136">
          <cell r="A1136" t="str">
            <v>MR001132</v>
          </cell>
          <cell r="B1136" t="str">
            <v>MR</v>
          </cell>
          <cell r="C1136">
            <v>15</v>
          </cell>
          <cell r="D1136">
            <v>16</v>
          </cell>
          <cell r="E1136" t="str">
            <v>KH127</v>
          </cell>
          <cell r="F1136">
            <v>8730</v>
          </cell>
          <cell r="G1136">
            <v>89.89</v>
          </cell>
          <cell r="H1136">
            <v>1.5</v>
          </cell>
          <cell r="I1136" t="str">
            <v>From M4B to M1B - 35°</v>
          </cell>
          <cell r="J1136" t="str">
            <v>IE3</v>
          </cell>
          <cell r="K1136">
            <v>400</v>
          </cell>
          <cell r="L1136">
            <v>50</v>
          </cell>
          <cell r="M1136" t="str">
            <v>29/16,7</v>
          </cell>
          <cell r="N1136">
            <v>55</v>
          </cell>
          <cell r="O1136" t="str">
            <v>F(105°C)</v>
          </cell>
          <cell r="P1136" t="str">
            <v>270°</v>
          </cell>
          <cell r="Q1136" t="str">
            <v>TF</v>
          </cell>
          <cell r="R1136" t="str">
            <v>V(VE)</v>
          </cell>
          <cell r="S1136" t="str">
            <v>-</v>
          </cell>
          <cell r="T1136" t="str">
            <v>-</v>
          </cell>
          <cell r="U1136" t="str">
            <v>-</v>
          </cell>
          <cell r="V1136" t="str">
            <v>FC</v>
          </cell>
          <cell r="W1136" t="str">
            <v>-</v>
          </cell>
          <cell r="X1136" t="str">
            <v>CLP HC VG 220 = -20° + 60°</v>
          </cell>
          <cell r="Y1136" t="str">
            <v>KH127DRN160L4 /TF/V</v>
          </cell>
          <cell r="Z1136" t="str">
            <v>SEW</v>
          </cell>
          <cell r="AB1136" t="str">
            <v>-</v>
          </cell>
          <cell r="AF1136">
            <v>16</v>
          </cell>
          <cell r="AG1136" t="str">
            <v>DRN160L4</v>
          </cell>
          <cell r="AH1136" t="str">
            <v>KH127-DRN160L4B270-X#</v>
          </cell>
        </row>
        <row r="1137">
          <cell r="A1137" t="str">
            <v>MR001133</v>
          </cell>
          <cell r="B1137" t="str">
            <v>MR</v>
          </cell>
          <cell r="C1137">
            <v>7.5</v>
          </cell>
          <cell r="D1137">
            <v>31</v>
          </cell>
          <cell r="E1137" t="str">
            <v>R107</v>
          </cell>
          <cell r="F1137">
            <v>2320</v>
          </cell>
          <cell r="G1137">
            <v>47.63</v>
          </cell>
          <cell r="H1137">
            <v>1.85</v>
          </cell>
          <cell r="I1137" t="str">
            <v>M1</v>
          </cell>
          <cell r="J1137" t="str">
            <v>IE3</v>
          </cell>
          <cell r="K1137" t="str">
            <v>400/690</v>
          </cell>
          <cell r="L1137">
            <v>50</v>
          </cell>
          <cell r="M1137" t="str">
            <v>15,5/9</v>
          </cell>
          <cell r="N1137">
            <v>55</v>
          </cell>
          <cell r="O1137" t="str">
            <v>F(105°C)</v>
          </cell>
          <cell r="P1137" t="str">
            <v>270°</v>
          </cell>
          <cell r="Q1137" t="str">
            <v>-</v>
          </cell>
          <cell r="R1137" t="str">
            <v>-</v>
          </cell>
          <cell r="S1137" t="str">
            <v>-</v>
          </cell>
          <cell r="T1137" t="str">
            <v>-</v>
          </cell>
          <cell r="U1137" t="str">
            <v>-</v>
          </cell>
          <cell r="V1137" t="str">
            <v>-</v>
          </cell>
          <cell r="W1137" t="str">
            <v>-</v>
          </cell>
          <cell r="X1137" t="str">
            <v>CLP (CC) VG 220 = -15° + 40°</v>
          </cell>
          <cell r="Y1137" t="str">
            <v>R107DRN132M4</v>
          </cell>
          <cell r="Z1137" t="str">
            <v>SEW</v>
          </cell>
          <cell r="AB1137" t="str">
            <v>-</v>
          </cell>
          <cell r="AF1137">
            <v>31</v>
          </cell>
          <cell r="AG1137" t="str">
            <v>DRN132M4</v>
          </cell>
          <cell r="AH1137" t="str">
            <v>R107-DRN132M4270-X</v>
          </cell>
        </row>
        <row r="1138">
          <cell r="A1138" t="str">
            <v>MR001134</v>
          </cell>
          <cell r="B1138" t="str">
            <v>MR</v>
          </cell>
          <cell r="C1138">
            <v>45</v>
          </cell>
          <cell r="D1138">
            <v>33</v>
          </cell>
          <cell r="E1138" t="str">
            <v>R167</v>
          </cell>
          <cell r="F1138">
            <v>13000</v>
          </cell>
          <cell r="G1138">
            <v>44.87</v>
          </cell>
          <cell r="H1138">
            <v>1.4</v>
          </cell>
          <cell r="I1138" t="str">
            <v>M1</v>
          </cell>
          <cell r="J1138" t="str">
            <v>IE3</v>
          </cell>
          <cell r="K1138" t="str">
            <v>380/660</v>
          </cell>
          <cell r="L1138">
            <v>50</v>
          </cell>
          <cell r="M1138" t="str">
            <v>85/49</v>
          </cell>
          <cell r="N1138">
            <v>55</v>
          </cell>
          <cell r="O1138" t="str">
            <v>F(105°C)</v>
          </cell>
          <cell r="P1138" t="str">
            <v>270°</v>
          </cell>
          <cell r="Q1138" t="str">
            <v>TF</v>
          </cell>
          <cell r="R1138" t="str">
            <v>-</v>
          </cell>
          <cell r="S1138" t="str">
            <v>-</v>
          </cell>
          <cell r="T1138" t="str">
            <v>-</v>
          </cell>
          <cell r="U1138" t="str">
            <v>-</v>
          </cell>
          <cell r="V1138" t="str">
            <v>-</v>
          </cell>
          <cell r="W1138" t="str">
            <v>-</v>
          </cell>
          <cell r="X1138" t="str">
            <v>CLP (CC) VG 220 = -15° + 40°</v>
          </cell>
          <cell r="Y1138" t="str">
            <v>R167DRN225M4 /TF</v>
          </cell>
          <cell r="Z1138" t="str">
            <v>SEW</v>
          </cell>
          <cell r="AB1138" t="str">
            <v>-</v>
          </cell>
          <cell r="AF1138">
            <v>33</v>
          </cell>
          <cell r="AG1138" t="str">
            <v>DRN225M4</v>
          </cell>
          <cell r="AH1138" t="str">
            <v>R167-DRN225M4270-X</v>
          </cell>
        </row>
        <row r="1139">
          <cell r="A1139" t="str">
            <v>MR001135</v>
          </cell>
          <cell r="B1139" t="str">
            <v>MR</v>
          </cell>
          <cell r="C1139">
            <v>1.5</v>
          </cell>
          <cell r="D1139">
            <v>22</v>
          </cell>
          <cell r="E1139" t="str">
            <v>FA67</v>
          </cell>
          <cell r="F1139">
            <v>660</v>
          </cell>
          <cell r="G1139">
            <v>67.650000000000006</v>
          </cell>
          <cell r="H1139">
            <v>1.25</v>
          </cell>
          <cell r="I1139" t="str">
            <v>From M5 to M3 - 25°</v>
          </cell>
          <cell r="J1139" t="str">
            <v>IE3</v>
          </cell>
          <cell r="K1139">
            <v>415</v>
          </cell>
          <cell r="L1139">
            <v>50</v>
          </cell>
          <cell r="N1139">
            <v>55</v>
          </cell>
          <cell r="O1139" t="str">
            <v>F(105°C)</v>
          </cell>
          <cell r="P1139" t="str">
            <v>180°</v>
          </cell>
          <cell r="Q1139" t="str">
            <v>-</v>
          </cell>
          <cell r="R1139" t="str">
            <v>-</v>
          </cell>
          <cell r="S1139" t="str">
            <v>-</v>
          </cell>
          <cell r="T1139" t="str">
            <v>BEHF</v>
          </cell>
          <cell r="U1139" t="str">
            <v>G</v>
          </cell>
          <cell r="V1139" t="str">
            <v>D+R</v>
          </cell>
          <cell r="W1139" t="str">
            <v>-</v>
          </cell>
          <cell r="X1139" t="str">
            <v>CLP (CC) VG 220 = -15° + 40°</v>
          </cell>
          <cell r="Y1139" t="str">
            <v>FA67/G DRN90L4 /BEHF</v>
          </cell>
          <cell r="Z1139" t="str">
            <v>SEW</v>
          </cell>
          <cell r="AB1139" t="str">
            <v>-</v>
          </cell>
          <cell r="AF1139">
            <v>22</v>
          </cell>
          <cell r="AG1139" t="str">
            <v>DRN90L4</v>
          </cell>
          <cell r="AH1139" t="str">
            <v>FA67G-DRN90L4180-X</v>
          </cell>
        </row>
        <row r="1140">
          <cell r="A1140" t="str">
            <v>MR001136</v>
          </cell>
          <cell r="B1140" t="str">
            <v>MR</v>
          </cell>
          <cell r="C1140">
            <v>0.75</v>
          </cell>
          <cell r="D1140">
            <v>2.1</v>
          </cell>
          <cell r="E1140" t="str">
            <v>KAD89-Z39</v>
          </cell>
          <cell r="F1140">
            <v>3201</v>
          </cell>
          <cell r="G1140">
            <v>705</v>
          </cell>
          <cell r="H1140">
            <v>0.5</v>
          </cell>
          <cell r="I1140" t="str">
            <v>M3B</v>
          </cell>
          <cell r="J1140" t="str">
            <v>IE3</v>
          </cell>
          <cell r="K1140">
            <v>400</v>
          </cell>
          <cell r="L1140">
            <v>50</v>
          </cell>
          <cell r="M1140">
            <v>1.26</v>
          </cell>
          <cell r="N1140">
            <v>55</v>
          </cell>
          <cell r="O1140" t="str">
            <v>F(105°C)</v>
          </cell>
          <cell r="P1140" t="str">
            <v>1A</v>
          </cell>
          <cell r="Q1140" t="str">
            <v>TF</v>
          </cell>
          <cell r="R1140" t="str">
            <v>-</v>
          </cell>
          <cell r="S1140" t="str">
            <v>-</v>
          </cell>
          <cell r="T1140" t="str">
            <v>L4 180V</v>
          </cell>
          <cell r="U1140" t="str">
            <v>T</v>
          </cell>
          <cell r="V1140" t="str">
            <v>D+R</v>
          </cell>
          <cell r="W1140" t="str">
            <v>-</v>
          </cell>
          <cell r="X1140" t="str">
            <v>CLP PG VG 220 = -20° + 80°</v>
          </cell>
          <cell r="Y1140" t="str">
            <v>SIMOGEARKAD89-Z39-LE80ZMQ4P-L4N</v>
          </cell>
          <cell r="Z1140" t="str">
            <v>SIEMENS</v>
          </cell>
          <cell r="AA1140">
            <v>7016</v>
          </cell>
          <cell r="AB1140" t="str">
            <v>ATEX22</v>
          </cell>
          <cell r="AF1140">
            <v>2.1</v>
          </cell>
          <cell r="AH1140" t="str">
            <v>KAD89-Z39T-B1A-X</v>
          </cell>
        </row>
        <row r="1141">
          <cell r="A1141" t="str">
            <v>MR001137</v>
          </cell>
          <cell r="B1141" t="str">
            <v>MR</v>
          </cell>
          <cell r="C1141">
            <v>5.5</v>
          </cell>
          <cell r="D1141">
            <v>64</v>
          </cell>
          <cell r="E1141" t="str">
            <v>Z89</v>
          </cell>
          <cell r="F1141">
            <v>818</v>
          </cell>
          <cell r="G1141">
            <v>22.92</v>
          </cell>
          <cell r="H1141">
            <v>2.0499999999999998</v>
          </cell>
          <cell r="I1141" t="str">
            <v>M1</v>
          </cell>
          <cell r="J1141" t="str">
            <v>IE3</v>
          </cell>
          <cell r="K1141">
            <v>400</v>
          </cell>
          <cell r="L1141">
            <v>50</v>
          </cell>
          <cell r="M1141">
            <v>10.8</v>
          </cell>
          <cell r="N1141">
            <v>55</v>
          </cell>
          <cell r="O1141" t="str">
            <v>F(105°C)</v>
          </cell>
          <cell r="P1141" t="str">
            <v>2A</v>
          </cell>
          <cell r="Q1141" t="str">
            <v>TF</v>
          </cell>
          <cell r="R1141" t="str">
            <v>-</v>
          </cell>
          <cell r="S1141" t="str">
            <v>-</v>
          </cell>
          <cell r="T1141" t="str">
            <v>-</v>
          </cell>
          <cell r="U1141" t="str">
            <v>-</v>
          </cell>
          <cell r="V1141" t="str">
            <v>D</v>
          </cell>
          <cell r="W1141" t="str">
            <v>-</v>
          </cell>
          <cell r="X1141" t="str">
            <v>CLP PG VG 220 = -20° + 80°</v>
          </cell>
          <cell r="Y1141" t="str">
            <v>SIMOGEARZ89-LE132ZST4P</v>
          </cell>
          <cell r="Z1141" t="str">
            <v>SIEMENS</v>
          </cell>
          <cell r="AA1141">
            <v>7016</v>
          </cell>
          <cell r="AB1141" t="str">
            <v>ATEX22</v>
          </cell>
          <cell r="AF1141">
            <v>64</v>
          </cell>
          <cell r="AH1141" t="str">
            <v>Z89-2A-X</v>
          </cell>
        </row>
        <row r="1142">
          <cell r="A1142" t="str">
            <v>MR001138</v>
          </cell>
          <cell r="B1142" t="str">
            <v>MR</v>
          </cell>
          <cell r="C1142">
            <v>3</v>
          </cell>
          <cell r="D1142">
            <v>119</v>
          </cell>
          <cell r="E1142" t="str">
            <v>Z69</v>
          </cell>
          <cell r="F1142">
            <v>241</v>
          </cell>
          <cell r="G1142">
            <v>12.31</v>
          </cell>
          <cell r="H1142">
            <v>2.48</v>
          </cell>
          <cell r="I1142" t="str">
            <v>From M1 to M2 - 10°</v>
          </cell>
          <cell r="J1142" t="str">
            <v>IE3</v>
          </cell>
          <cell r="K1142">
            <v>400</v>
          </cell>
          <cell r="L1142">
            <v>50</v>
          </cell>
          <cell r="M1142">
            <v>5.9</v>
          </cell>
          <cell r="N1142">
            <v>55</v>
          </cell>
          <cell r="O1142" t="str">
            <v>F(105°C)</v>
          </cell>
          <cell r="P1142" t="str">
            <v>2A</v>
          </cell>
          <cell r="Q1142" t="str">
            <v>TF</v>
          </cell>
          <cell r="R1142" t="str">
            <v>-</v>
          </cell>
          <cell r="S1142" t="str">
            <v>-</v>
          </cell>
          <cell r="T1142" t="str">
            <v>-</v>
          </cell>
          <cell r="U1142" t="str">
            <v>-</v>
          </cell>
          <cell r="V1142" t="str">
            <v>D</v>
          </cell>
          <cell r="W1142" t="str">
            <v>-</v>
          </cell>
          <cell r="X1142" t="str">
            <v>CLP PG VG 220 = -20° + 80°</v>
          </cell>
          <cell r="Y1142" t="str">
            <v>SIMOGEARZ69-LE100ZLSB4P</v>
          </cell>
          <cell r="Z1142" t="str">
            <v>SIEMENS</v>
          </cell>
          <cell r="AA1142">
            <v>7016</v>
          </cell>
          <cell r="AB1142" t="str">
            <v>ATEX22</v>
          </cell>
          <cell r="AF1142">
            <v>119</v>
          </cell>
          <cell r="AH1142" t="str">
            <v>Z69-2A-X</v>
          </cell>
        </row>
        <row r="1143">
          <cell r="A1143" t="str">
            <v>MR001139</v>
          </cell>
          <cell r="B1143" t="str">
            <v>MR</v>
          </cell>
          <cell r="C1143">
            <v>11</v>
          </cell>
          <cell r="D1143">
            <v>116</v>
          </cell>
          <cell r="E1143" t="str">
            <v>Z109</v>
          </cell>
          <cell r="F1143">
            <v>755</v>
          </cell>
          <cell r="G1143">
            <v>12.72</v>
          </cell>
          <cell r="H1143">
            <v>3.32</v>
          </cell>
          <cell r="I1143" t="str">
            <v>M4</v>
          </cell>
          <cell r="J1143" t="str">
            <v>IE3</v>
          </cell>
          <cell r="K1143">
            <v>400</v>
          </cell>
          <cell r="L1143">
            <v>50</v>
          </cell>
          <cell r="M1143">
            <v>18.7</v>
          </cell>
          <cell r="N1143">
            <v>55</v>
          </cell>
          <cell r="O1143" t="str">
            <v>F(105°C)</v>
          </cell>
          <cell r="P1143" t="str">
            <v>2A</v>
          </cell>
          <cell r="Q1143" t="str">
            <v>TF</v>
          </cell>
          <cell r="R1143" t="str">
            <v>-</v>
          </cell>
          <cell r="S1143" t="str">
            <v>-</v>
          </cell>
          <cell r="T1143" t="str">
            <v>-</v>
          </cell>
          <cell r="U1143" t="str">
            <v>-</v>
          </cell>
          <cell r="V1143" t="str">
            <v>D</v>
          </cell>
          <cell r="W1143" t="str">
            <v>-</v>
          </cell>
          <cell r="X1143" t="str">
            <v>CLP PG VG 220 = -20° + 80°</v>
          </cell>
          <cell r="Y1143" t="str">
            <v>SIMOGEARZ109-LE160MPB4P</v>
          </cell>
          <cell r="Z1143" t="str">
            <v>SIEMENS</v>
          </cell>
          <cell r="AA1143">
            <v>7016</v>
          </cell>
          <cell r="AB1143" t="str">
            <v>ATEX22</v>
          </cell>
          <cell r="AF1143">
            <v>116</v>
          </cell>
          <cell r="AH1143" t="str">
            <v>Z109-2A-X</v>
          </cell>
        </row>
        <row r="1144">
          <cell r="A1144" t="str">
            <v>MR001140</v>
          </cell>
          <cell r="B1144" t="str">
            <v>MR</v>
          </cell>
          <cell r="C1144">
            <v>5.5</v>
          </cell>
          <cell r="D1144">
            <v>64</v>
          </cell>
          <cell r="E1144" t="str">
            <v>Z89</v>
          </cell>
          <cell r="F1144">
            <v>819</v>
          </cell>
          <cell r="G1144">
            <v>22.92</v>
          </cell>
          <cell r="H1144">
            <v>2.0499999999999998</v>
          </cell>
          <cell r="I1144" t="str">
            <v>From M1 to M4 - 10°</v>
          </cell>
          <cell r="J1144" t="str">
            <v>IE3</v>
          </cell>
          <cell r="K1144">
            <v>400</v>
          </cell>
          <cell r="L1144">
            <v>50</v>
          </cell>
          <cell r="M1144">
            <v>10.8</v>
          </cell>
          <cell r="N1144">
            <v>55</v>
          </cell>
          <cell r="O1144" t="str">
            <v>F(105°C)</v>
          </cell>
          <cell r="P1144" t="str">
            <v>2A</v>
          </cell>
          <cell r="Q1144" t="str">
            <v>TF</v>
          </cell>
          <cell r="R1144" t="str">
            <v>-</v>
          </cell>
          <cell r="S1144" t="str">
            <v>-</v>
          </cell>
          <cell r="T1144" t="str">
            <v>-</v>
          </cell>
          <cell r="U1144" t="str">
            <v>-</v>
          </cell>
          <cell r="V1144" t="str">
            <v>D</v>
          </cell>
          <cell r="W1144" t="str">
            <v>-</v>
          </cell>
          <cell r="X1144" t="str">
            <v>CLP PG VG 220 = -20° + 80°</v>
          </cell>
          <cell r="Y1144" t="str">
            <v>SIMOGEARZ89-LE132ZST4P</v>
          </cell>
          <cell r="Z1144" t="str">
            <v>SIEMENS</v>
          </cell>
          <cell r="AA1144">
            <v>7016</v>
          </cell>
          <cell r="AB1144" t="str">
            <v>ATEX22</v>
          </cell>
          <cell r="AF1144">
            <v>64</v>
          </cell>
          <cell r="AH1144" t="str">
            <v>Z89-2A-X</v>
          </cell>
        </row>
        <row r="1145">
          <cell r="A1145" t="str">
            <v>MR001141</v>
          </cell>
          <cell r="B1145" t="str">
            <v>MR</v>
          </cell>
          <cell r="C1145">
            <v>5.5</v>
          </cell>
          <cell r="D1145">
            <v>64</v>
          </cell>
          <cell r="E1145" t="str">
            <v>Z89</v>
          </cell>
          <cell r="F1145">
            <v>819</v>
          </cell>
          <cell r="G1145">
            <v>22.92</v>
          </cell>
          <cell r="H1145">
            <v>2.0499999999999998</v>
          </cell>
          <cell r="I1145" t="str">
            <v>M1</v>
          </cell>
          <cell r="J1145" t="str">
            <v>IE3</v>
          </cell>
          <cell r="K1145">
            <v>400</v>
          </cell>
          <cell r="L1145">
            <v>50</v>
          </cell>
          <cell r="M1145">
            <v>10.8</v>
          </cell>
          <cell r="N1145">
            <v>55</v>
          </cell>
          <cell r="O1145" t="str">
            <v>F(105°C)</v>
          </cell>
          <cell r="P1145" t="str">
            <v>2A</v>
          </cell>
          <cell r="Q1145" t="str">
            <v>TF</v>
          </cell>
          <cell r="R1145" t="str">
            <v>-</v>
          </cell>
          <cell r="S1145" t="str">
            <v>-</v>
          </cell>
          <cell r="T1145" t="str">
            <v>-</v>
          </cell>
          <cell r="U1145" t="str">
            <v>-</v>
          </cell>
          <cell r="V1145" t="str">
            <v>D</v>
          </cell>
          <cell r="W1145" t="str">
            <v>-</v>
          </cell>
          <cell r="X1145" t="str">
            <v>CLP PG VG 220 = -20° + 80°</v>
          </cell>
          <cell r="Y1145" t="str">
            <v>SIMOGEARZ89-LE132ZST4P</v>
          </cell>
          <cell r="Z1145" t="str">
            <v>SIEMENS</v>
          </cell>
          <cell r="AA1145">
            <v>7016</v>
          </cell>
          <cell r="AB1145" t="str">
            <v>ATEX22</v>
          </cell>
          <cell r="AF1145">
            <v>64</v>
          </cell>
          <cell r="AH1145" t="str">
            <v>Z89-2A-X</v>
          </cell>
        </row>
        <row r="1146">
          <cell r="A1146" t="str">
            <v>MR001142</v>
          </cell>
          <cell r="B1146" t="str">
            <v>MR</v>
          </cell>
          <cell r="C1146">
            <v>5.5</v>
          </cell>
          <cell r="D1146">
            <v>64</v>
          </cell>
          <cell r="E1146" t="str">
            <v>Z89</v>
          </cell>
          <cell r="F1146">
            <v>819</v>
          </cell>
          <cell r="G1146">
            <v>22.92</v>
          </cell>
          <cell r="H1146">
            <v>2.0499999999999998</v>
          </cell>
          <cell r="I1146" t="str">
            <v>From M1 to M2 - 15°</v>
          </cell>
          <cell r="J1146" t="str">
            <v>IE3</v>
          </cell>
          <cell r="K1146">
            <v>400</v>
          </cell>
          <cell r="L1146">
            <v>50</v>
          </cell>
          <cell r="M1146">
            <v>10.8</v>
          </cell>
          <cell r="N1146">
            <v>55</v>
          </cell>
          <cell r="O1146" t="str">
            <v>F(105°C)</v>
          </cell>
          <cell r="P1146" t="str">
            <v>2A</v>
          </cell>
          <cell r="Q1146" t="str">
            <v>TF</v>
          </cell>
          <cell r="R1146" t="str">
            <v>-</v>
          </cell>
          <cell r="S1146" t="str">
            <v>-</v>
          </cell>
          <cell r="T1146" t="str">
            <v>-</v>
          </cell>
          <cell r="U1146" t="str">
            <v>-</v>
          </cell>
          <cell r="V1146" t="str">
            <v>D</v>
          </cell>
          <cell r="W1146" t="str">
            <v>-</v>
          </cell>
          <cell r="X1146" t="str">
            <v>CLP PG VG 220 = -20° + 80°</v>
          </cell>
          <cell r="Y1146" t="str">
            <v>SIMOGEARZ89-LE132ZST4P</v>
          </cell>
          <cell r="Z1146" t="str">
            <v>SIEMENS</v>
          </cell>
          <cell r="AA1146">
            <v>7016</v>
          </cell>
          <cell r="AB1146" t="str">
            <v>ATEX22</v>
          </cell>
          <cell r="AF1146">
            <v>64</v>
          </cell>
          <cell r="AH1146" t="str">
            <v>Z89-2A-X</v>
          </cell>
        </row>
        <row r="1147">
          <cell r="A1147" t="str">
            <v>MR001143</v>
          </cell>
          <cell r="B1147" t="str">
            <v>MR</v>
          </cell>
          <cell r="C1147">
            <v>4</v>
          </cell>
          <cell r="D1147">
            <v>93</v>
          </cell>
          <cell r="E1147" t="str">
            <v>Z89</v>
          </cell>
          <cell r="F1147">
            <v>410</v>
          </cell>
          <cell r="G1147">
            <v>15.66</v>
          </cell>
          <cell r="H1147">
            <v>4.0999999999999996</v>
          </cell>
          <cell r="I1147" t="str">
            <v>From M1 to M2 - 15°</v>
          </cell>
          <cell r="J1147" t="str">
            <v>IE3</v>
          </cell>
          <cell r="K1147">
            <v>400</v>
          </cell>
          <cell r="L1147">
            <v>50</v>
          </cell>
          <cell r="M1147">
            <v>7.9</v>
          </cell>
          <cell r="N1147">
            <v>55</v>
          </cell>
          <cell r="O1147" t="str">
            <v>F(105°C)</v>
          </cell>
          <cell r="P1147" t="str">
            <v>2A</v>
          </cell>
          <cell r="Q1147" t="str">
            <v>TF</v>
          </cell>
          <cell r="R1147" t="str">
            <v>-</v>
          </cell>
          <cell r="S1147" t="str">
            <v>-</v>
          </cell>
          <cell r="T1147" t="str">
            <v>-</v>
          </cell>
          <cell r="U1147" t="str">
            <v>-</v>
          </cell>
          <cell r="V1147" t="str">
            <v>D</v>
          </cell>
          <cell r="W1147" t="str">
            <v>-</v>
          </cell>
          <cell r="X1147" t="str">
            <v>CLP PG VG 220 = -20° + 80°</v>
          </cell>
          <cell r="Y1147" t="str">
            <v>SIMOGEARZ89-LE112ZMKB4P</v>
          </cell>
          <cell r="Z1147" t="str">
            <v>SIEMENS</v>
          </cell>
          <cell r="AA1147">
            <v>7016</v>
          </cell>
          <cell r="AB1147" t="str">
            <v>ATEX22</v>
          </cell>
          <cell r="AF1147">
            <v>93</v>
          </cell>
          <cell r="AH1147" t="str">
            <v>Z89-2A-X</v>
          </cell>
        </row>
        <row r="1148">
          <cell r="A1148" t="str">
            <v>MR001144</v>
          </cell>
          <cell r="B1148" t="str">
            <v>MR</v>
          </cell>
          <cell r="C1148">
            <v>11</v>
          </cell>
          <cell r="D1148">
            <v>102</v>
          </cell>
          <cell r="E1148" t="str">
            <v>Z109</v>
          </cell>
          <cell r="F1148">
            <v>1034</v>
          </cell>
          <cell r="G1148">
            <v>14.52</v>
          </cell>
          <cell r="H1148">
            <v>2.4900000000000002</v>
          </cell>
          <cell r="I1148" t="str">
            <v>M4</v>
          </cell>
          <cell r="J1148" t="str">
            <v>IE3</v>
          </cell>
          <cell r="K1148">
            <v>400</v>
          </cell>
          <cell r="L1148">
            <v>50</v>
          </cell>
          <cell r="M1148">
            <v>20.5</v>
          </cell>
          <cell r="N1148">
            <v>55</v>
          </cell>
          <cell r="O1148" t="str">
            <v>F(105°C)</v>
          </cell>
          <cell r="P1148" t="str">
            <v>2A</v>
          </cell>
          <cell r="Q1148" t="str">
            <v>TF</v>
          </cell>
          <cell r="R1148" t="str">
            <v>-</v>
          </cell>
          <cell r="S1148" t="str">
            <v>-</v>
          </cell>
          <cell r="T1148" t="str">
            <v>-</v>
          </cell>
          <cell r="U1148" t="str">
            <v>-</v>
          </cell>
          <cell r="V1148" t="str">
            <v>D</v>
          </cell>
          <cell r="W1148" t="str">
            <v>-</v>
          </cell>
          <cell r="X1148" t="str">
            <v>CLP PG VG 220 = -20° + 80°</v>
          </cell>
          <cell r="Y1148" t="str">
            <v>SIMOGEARZ109-LE160MPB4P</v>
          </cell>
          <cell r="Z1148" t="str">
            <v>SIEMENS</v>
          </cell>
          <cell r="AA1148">
            <v>7016</v>
          </cell>
          <cell r="AB1148" t="str">
            <v>ATEX22</v>
          </cell>
          <cell r="AF1148">
            <v>102</v>
          </cell>
          <cell r="AH1148" t="str">
            <v>Z109-2A-X</v>
          </cell>
        </row>
        <row r="1149">
          <cell r="A1149" t="str">
            <v>MR001145</v>
          </cell>
          <cell r="B1149" t="str">
            <v>MR</v>
          </cell>
          <cell r="C1149">
            <v>11</v>
          </cell>
          <cell r="D1149">
            <v>102</v>
          </cell>
          <cell r="E1149" t="str">
            <v>Z109</v>
          </cell>
          <cell r="F1149">
            <v>1034</v>
          </cell>
          <cell r="G1149">
            <v>14.52</v>
          </cell>
          <cell r="H1149">
            <v>2.4900000000000002</v>
          </cell>
          <cell r="I1149" t="str">
            <v>From M4 to M3 - 45°</v>
          </cell>
          <cell r="J1149" t="str">
            <v>IE3</v>
          </cell>
          <cell r="K1149">
            <v>400</v>
          </cell>
          <cell r="L1149">
            <v>50</v>
          </cell>
          <cell r="M1149">
            <v>20.5</v>
          </cell>
          <cell r="N1149">
            <v>55</v>
          </cell>
          <cell r="O1149" t="str">
            <v>F(105°C)</v>
          </cell>
          <cell r="P1149" t="str">
            <v>2A</v>
          </cell>
          <cell r="Q1149" t="str">
            <v>TF</v>
          </cell>
          <cell r="R1149" t="str">
            <v>-</v>
          </cell>
          <cell r="S1149" t="str">
            <v>-</v>
          </cell>
          <cell r="T1149" t="str">
            <v>-</v>
          </cell>
          <cell r="U1149" t="str">
            <v>-</v>
          </cell>
          <cell r="V1149" t="str">
            <v>D</v>
          </cell>
          <cell r="W1149" t="str">
            <v>-</v>
          </cell>
          <cell r="X1149" t="str">
            <v>CLP PG VG 220 = -20° + 80°</v>
          </cell>
          <cell r="Y1149" t="str">
            <v>SIMOGEARZ109-LE160MPB4P</v>
          </cell>
          <cell r="Z1149" t="str">
            <v>SIEMENS</v>
          </cell>
          <cell r="AA1149">
            <v>7016</v>
          </cell>
          <cell r="AB1149" t="str">
            <v>ATEX22</v>
          </cell>
          <cell r="AF1149">
            <v>102</v>
          </cell>
          <cell r="AH1149" t="str">
            <v>Z109-2A-X</v>
          </cell>
        </row>
        <row r="1150">
          <cell r="A1150" t="str">
            <v>MR001146</v>
          </cell>
          <cell r="B1150" t="str">
            <v>MR</v>
          </cell>
          <cell r="C1150">
            <v>18.5</v>
          </cell>
          <cell r="D1150">
            <v>69</v>
          </cell>
          <cell r="E1150" t="str">
            <v>KADS129</v>
          </cell>
          <cell r="F1150">
            <v>2560</v>
          </cell>
          <cell r="G1150">
            <v>21.68</v>
          </cell>
          <cell r="H1150">
            <v>1.67</v>
          </cell>
          <cell r="I1150" t="str">
            <v>From M3A to M4A - 20°</v>
          </cell>
          <cell r="J1150" t="str">
            <v>IE3</v>
          </cell>
          <cell r="K1150">
            <v>400</v>
          </cell>
          <cell r="L1150">
            <v>50</v>
          </cell>
          <cell r="M1150">
            <v>35</v>
          </cell>
          <cell r="N1150">
            <v>55</v>
          </cell>
          <cell r="O1150" t="str">
            <v>F(105°C)</v>
          </cell>
          <cell r="P1150" t="str">
            <v>2A</v>
          </cell>
          <cell r="Q1150" t="str">
            <v>TF</v>
          </cell>
          <cell r="R1150" t="str">
            <v>V(VE)</v>
          </cell>
          <cell r="S1150" t="str">
            <v>Free rotation CCW</v>
          </cell>
          <cell r="T1150" t="str">
            <v>-</v>
          </cell>
          <cell r="U1150" t="str">
            <v>T</v>
          </cell>
          <cell r="V1150" t="str">
            <v>FC</v>
          </cell>
          <cell r="W1150" t="str">
            <v>-</v>
          </cell>
          <cell r="X1150" t="str">
            <v>CLP PG VG 220 = -20° + 80°</v>
          </cell>
          <cell r="Y1150" t="str">
            <v>SIMOGEARKADS129-K2X-(180)</v>
          </cell>
          <cell r="Z1150" t="str">
            <v>SIEMENS</v>
          </cell>
          <cell r="AA1150">
            <v>7016</v>
          </cell>
          <cell r="AB1150" t="str">
            <v>ATEX22</v>
          </cell>
          <cell r="AF1150">
            <v>69</v>
          </cell>
          <cell r="AH1150" t="str">
            <v>KADS129T-A2A-X#</v>
          </cell>
        </row>
        <row r="1151">
          <cell r="A1151" t="str">
            <v>MR001147</v>
          </cell>
          <cell r="B1151" t="str">
            <v>MR</v>
          </cell>
          <cell r="C1151">
            <v>0.75</v>
          </cell>
          <cell r="D1151">
            <v>165</v>
          </cell>
          <cell r="E1151" t="str">
            <v>KAD39</v>
          </cell>
          <cell r="F1151">
            <v>43.52</v>
          </cell>
          <cell r="G1151">
            <v>8.81</v>
          </cell>
          <cell r="H1151">
            <v>4.21</v>
          </cell>
          <cell r="I1151" t="str">
            <v>From M3A to M4A - 20°</v>
          </cell>
          <cell r="J1151" t="str">
            <v>IE3</v>
          </cell>
          <cell r="K1151">
            <v>400</v>
          </cell>
          <cell r="L1151">
            <v>50</v>
          </cell>
          <cell r="M1151">
            <v>1.75</v>
          </cell>
          <cell r="N1151">
            <v>55</v>
          </cell>
          <cell r="O1151" t="str">
            <v>F(105°C)</v>
          </cell>
          <cell r="P1151" t="str">
            <v>3A</v>
          </cell>
          <cell r="Q1151" t="str">
            <v>TF</v>
          </cell>
          <cell r="R1151" t="str">
            <v>-</v>
          </cell>
          <cell r="S1151" t="str">
            <v>-</v>
          </cell>
          <cell r="T1151" t="str">
            <v>-</v>
          </cell>
          <cell r="U1151" t="str">
            <v>T</v>
          </cell>
          <cell r="V1151" t="str">
            <v>D</v>
          </cell>
          <cell r="W1151" t="str">
            <v>-</v>
          </cell>
          <cell r="X1151" t="str">
            <v>CLP PG VG 220 = -20° + 80°</v>
          </cell>
          <cell r="Y1151" t="str">
            <v>SIMOGEARKAD39-LE80ZMQ4P</v>
          </cell>
          <cell r="Z1151" t="str">
            <v>SIEMENS</v>
          </cell>
          <cell r="AA1151">
            <v>7016</v>
          </cell>
          <cell r="AB1151" t="str">
            <v>ATEX22</v>
          </cell>
          <cell r="AF1151">
            <v>165</v>
          </cell>
          <cell r="AH1151" t="str">
            <v>KAD39T-A3A-X</v>
          </cell>
        </row>
        <row r="1152">
          <cell r="A1152" t="str">
            <v>MR001148</v>
          </cell>
          <cell r="B1152" t="str">
            <v>MR</v>
          </cell>
          <cell r="C1152">
            <v>0.25</v>
          </cell>
          <cell r="D1152">
            <v>30</v>
          </cell>
          <cell r="E1152" t="str">
            <v>FZAD39</v>
          </cell>
          <cell r="F1152">
            <v>79.22</v>
          </cell>
          <cell r="G1152">
            <v>46.29</v>
          </cell>
          <cell r="H1152">
            <v>3.22</v>
          </cell>
          <cell r="I1152" t="str">
            <v>M1</v>
          </cell>
          <cell r="J1152" t="str">
            <v>-</v>
          </cell>
          <cell r="K1152">
            <v>400</v>
          </cell>
          <cell r="L1152">
            <v>50</v>
          </cell>
          <cell r="M1152">
            <v>0.77</v>
          </cell>
          <cell r="N1152">
            <v>55</v>
          </cell>
          <cell r="O1152" t="str">
            <v>F(105°C)</v>
          </cell>
          <cell r="P1152" t="str">
            <v>2A</v>
          </cell>
          <cell r="Q1152" t="str">
            <v>TF</v>
          </cell>
          <cell r="R1152" t="str">
            <v>-</v>
          </cell>
          <cell r="S1152" t="str">
            <v>-</v>
          </cell>
          <cell r="T1152" t="str">
            <v>-</v>
          </cell>
          <cell r="U1152" t="str">
            <v>G</v>
          </cell>
          <cell r="V1152" t="str">
            <v>D</v>
          </cell>
          <cell r="W1152" t="str">
            <v>-</v>
          </cell>
          <cell r="X1152" t="str">
            <v>CLP PG VG 220 = -20° + 80°</v>
          </cell>
          <cell r="Y1152" t="str">
            <v>SIMOGEARFZAD39-LE71MD4</v>
          </cell>
          <cell r="Z1152" t="str">
            <v>SIEMENS</v>
          </cell>
          <cell r="AA1152">
            <v>7016</v>
          </cell>
          <cell r="AB1152" t="str">
            <v>ATEX22</v>
          </cell>
          <cell r="AF1152">
            <v>30</v>
          </cell>
          <cell r="AH1152" t="str">
            <v>FZAD39G-2A-X</v>
          </cell>
        </row>
        <row r="1153">
          <cell r="A1153" t="str">
            <v>MR001149</v>
          </cell>
          <cell r="B1153" t="str">
            <v>MR</v>
          </cell>
          <cell r="C1153">
            <v>22</v>
          </cell>
          <cell r="D1153">
            <v>69</v>
          </cell>
          <cell r="E1153" t="str">
            <v>KADS129</v>
          </cell>
          <cell r="F1153">
            <v>3044</v>
          </cell>
          <cell r="G1153">
            <v>21.68</v>
          </cell>
          <cell r="H1153">
            <v>1.4</v>
          </cell>
          <cell r="I1153" t="str">
            <v>From M3A to M4A - 20°</v>
          </cell>
          <cell r="J1153" t="str">
            <v>IE3</v>
          </cell>
          <cell r="K1153">
            <v>400</v>
          </cell>
          <cell r="L1153">
            <v>50</v>
          </cell>
          <cell r="M1153">
            <v>41</v>
          </cell>
          <cell r="N1153">
            <v>55</v>
          </cell>
          <cell r="O1153" t="str">
            <v>F(105°C)</v>
          </cell>
          <cell r="P1153" t="str">
            <v>2A</v>
          </cell>
          <cell r="Q1153" t="str">
            <v>TF</v>
          </cell>
          <cell r="R1153" t="str">
            <v>V(VE)</v>
          </cell>
          <cell r="S1153" t="str">
            <v>Free rotation CCW</v>
          </cell>
          <cell r="T1153" t="str">
            <v>-</v>
          </cell>
          <cell r="U1153" t="str">
            <v>T</v>
          </cell>
          <cell r="V1153" t="str">
            <v>FC</v>
          </cell>
          <cell r="W1153" t="str">
            <v>-</v>
          </cell>
          <cell r="X1153" t="str">
            <v>CLP PG VG 220 = -20° + 80°</v>
          </cell>
          <cell r="Y1153" t="str">
            <v>SIMOGEARKADS129-K2X-(180)</v>
          </cell>
          <cell r="Z1153" t="str">
            <v>SIEMENS</v>
          </cell>
          <cell r="AA1153">
            <v>7016</v>
          </cell>
          <cell r="AB1153" t="str">
            <v>ATEX22</v>
          </cell>
          <cell r="AF1153">
            <v>69</v>
          </cell>
          <cell r="AH1153" t="str">
            <v>KADS129T-A2A-X#</v>
          </cell>
        </row>
        <row r="1154">
          <cell r="A1154" t="str">
            <v>MR001150</v>
          </cell>
          <cell r="B1154" t="str">
            <v>MR</v>
          </cell>
          <cell r="C1154">
            <v>7.5</v>
          </cell>
          <cell r="D1154">
            <v>18</v>
          </cell>
          <cell r="E1154" t="str">
            <v>KH107</v>
          </cell>
          <cell r="F1154">
            <v>4030</v>
          </cell>
          <cell r="G1154">
            <v>82.61</v>
          </cell>
          <cell r="H1154">
            <v>1.75</v>
          </cell>
          <cell r="I1154" t="str">
            <v>From M1A to M2A - 25°</v>
          </cell>
          <cell r="J1154" t="str">
            <v>IE3</v>
          </cell>
          <cell r="K1154">
            <v>400</v>
          </cell>
          <cell r="L1154">
            <v>50</v>
          </cell>
          <cell r="M1154">
            <v>15.7</v>
          </cell>
          <cell r="N1154">
            <v>55</v>
          </cell>
          <cell r="O1154" t="str">
            <v>F(105°C)</v>
          </cell>
          <cell r="P1154" t="str">
            <v>270°</v>
          </cell>
          <cell r="Q1154" t="str">
            <v>TF</v>
          </cell>
          <cell r="R1154" t="str">
            <v>V(VE)</v>
          </cell>
          <cell r="S1154" t="str">
            <v>-</v>
          </cell>
          <cell r="T1154" t="str">
            <v>-</v>
          </cell>
          <cell r="U1154" t="str">
            <v>-</v>
          </cell>
          <cell r="V1154" t="str">
            <v>FC</v>
          </cell>
          <cell r="W1154" t="str">
            <v>-</v>
          </cell>
          <cell r="X1154" t="str">
            <v>CLP HC VG 220 = -20° + 60°</v>
          </cell>
          <cell r="Y1154" t="str">
            <v>KH107EDRN132M4 /TF/VE</v>
          </cell>
          <cell r="Z1154" t="str">
            <v>SEW</v>
          </cell>
          <cell r="AB1154" t="str">
            <v>ATEX22</v>
          </cell>
          <cell r="AF1154">
            <v>18</v>
          </cell>
          <cell r="AG1154" t="str">
            <v>EDRN132M4</v>
          </cell>
          <cell r="AH1154" t="str">
            <v>KH107-EDRN132M4A270-X#</v>
          </cell>
        </row>
        <row r="1155">
          <cell r="A1155" t="str">
            <v>MR001151</v>
          </cell>
          <cell r="B1155" t="str">
            <v>MR</v>
          </cell>
          <cell r="C1155">
            <v>2.2000000000000002</v>
          </cell>
          <cell r="D1155">
            <v>23</v>
          </cell>
          <cell r="E1155" t="str">
            <v>R87</v>
          </cell>
          <cell r="F1155">
            <v>920</v>
          </cell>
          <cell r="G1155">
            <v>63.68</v>
          </cell>
          <cell r="H1155">
            <v>1.6</v>
          </cell>
          <cell r="I1155" t="str">
            <v>From M1 to M4 - 10°</v>
          </cell>
          <cell r="J1155" t="str">
            <v>IE3</v>
          </cell>
          <cell r="K1155">
            <v>400</v>
          </cell>
          <cell r="L1155">
            <v>50</v>
          </cell>
          <cell r="M1155">
            <v>4.8499999999999996</v>
          </cell>
          <cell r="N1155">
            <v>55</v>
          </cell>
          <cell r="O1155" t="str">
            <v>F(105°C)</v>
          </cell>
          <cell r="P1155" t="str">
            <v>270°</v>
          </cell>
          <cell r="Q1155" t="str">
            <v>TF</v>
          </cell>
          <cell r="R1155" t="str">
            <v>V(VE)</v>
          </cell>
          <cell r="S1155" t="str">
            <v>-</v>
          </cell>
          <cell r="T1155" t="str">
            <v>-</v>
          </cell>
          <cell r="U1155" t="str">
            <v>-</v>
          </cell>
          <cell r="V1155" t="str">
            <v>FC</v>
          </cell>
          <cell r="W1155" t="str">
            <v>-</v>
          </cell>
          <cell r="X1155" t="str">
            <v>CLP HC VG 220 = -20° + 60°</v>
          </cell>
          <cell r="Y1155" t="str">
            <v>R87EDRN100LS4 /TF/VE</v>
          </cell>
          <cell r="Z1155" t="str">
            <v>SEW</v>
          </cell>
          <cell r="AB1155" t="str">
            <v>ATEX22</v>
          </cell>
          <cell r="AF1155">
            <v>23</v>
          </cell>
          <cell r="AG1155" t="str">
            <v>EDRN100LS4</v>
          </cell>
          <cell r="AH1155" t="str">
            <v>R87-EDRN100LS4270-X#</v>
          </cell>
        </row>
        <row r="1156">
          <cell r="A1156" t="str">
            <v>MR001152</v>
          </cell>
          <cell r="B1156" t="str">
            <v>MR</v>
          </cell>
          <cell r="C1156">
            <v>0.25</v>
          </cell>
          <cell r="D1156">
            <v>2</v>
          </cell>
          <cell r="E1156" t="str">
            <v>KAD89-Z39</v>
          </cell>
          <cell r="F1156">
            <v>1033</v>
          </cell>
          <cell r="G1156">
            <v>705</v>
          </cell>
          <cell r="H1156">
            <v>1.55</v>
          </cell>
          <cell r="I1156" t="str">
            <v>M3B</v>
          </cell>
          <cell r="J1156" t="str">
            <v>IE3</v>
          </cell>
          <cell r="K1156">
            <v>400</v>
          </cell>
          <cell r="L1156">
            <v>50</v>
          </cell>
          <cell r="M1156">
            <v>0.77</v>
          </cell>
          <cell r="N1156">
            <v>55</v>
          </cell>
          <cell r="O1156" t="str">
            <v>F(105°C)</v>
          </cell>
          <cell r="P1156" t="str">
            <v>1A</v>
          </cell>
          <cell r="Q1156" t="str">
            <v>TF</v>
          </cell>
          <cell r="R1156" t="str">
            <v>-</v>
          </cell>
          <cell r="S1156" t="str">
            <v>-</v>
          </cell>
          <cell r="T1156" t="str">
            <v>L4 400V</v>
          </cell>
          <cell r="U1156" t="str">
            <v>T</v>
          </cell>
          <cell r="V1156" t="str">
            <v>D+R</v>
          </cell>
          <cell r="W1156" t="str">
            <v>-</v>
          </cell>
          <cell r="X1156" t="str">
            <v>CLP (CC) VG 220 = -15° + 40°</v>
          </cell>
          <cell r="Y1156" t="str">
            <v xml:space="preserve">2KJ3528-5CC21-9CK1-Z B00+C02+C26+C47+D23+K01+K06+K41+L02+L75+M10+M55+N6B+Y00 </v>
          </cell>
          <cell r="Z1156" t="str">
            <v>SIEMENS</v>
          </cell>
          <cell r="AB1156" t="str">
            <v>-</v>
          </cell>
          <cell r="AE1156" t="str">
            <v>DIEFF SONAE BEES X SIEMENS</v>
          </cell>
          <cell r="AF1156">
            <v>2</v>
          </cell>
          <cell r="AG1156" t="str">
            <v>DRN71MS4</v>
          </cell>
          <cell r="AH1156" t="str">
            <v>KAD89-Z39T-DRN71MS4B1A-X</v>
          </cell>
        </row>
        <row r="1157">
          <cell r="A1157" t="str">
            <v>MR001153</v>
          </cell>
          <cell r="B1157" t="str">
            <v>MR</v>
          </cell>
          <cell r="C1157">
            <v>5.5</v>
          </cell>
          <cell r="D1157">
            <v>72</v>
          </cell>
          <cell r="E1157" t="str">
            <v>Z89</v>
          </cell>
          <cell r="F1157">
            <v>733</v>
          </cell>
          <cell r="G1157">
            <v>20.5</v>
          </cell>
          <cell r="H1157">
            <v>2.29</v>
          </cell>
          <cell r="I1157" t="str">
            <v>M1</v>
          </cell>
          <cell r="J1157" t="str">
            <v>IE3</v>
          </cell>
          <cell r="K1157">
            <v>400</v>
          </cell>
          <cell r="L1157">
            <v>50</v>
          </cell>
          <cell r="M1157">
            <v>10.5</v>
          </cell>
          <cell r="N1157">
            <v>55</v>
          </cell>
          <cell r="O1157" t="str">
            <v>F(105°C)</v>
          </cell>
          <cell r="P1157" t="str">
            <v>2A</v>
          </cell>
          <cell r="Q1157" t="str">
            <v>-</v>
          </cell>
          <cell r="R1157" t="str">
            <v>-</v>
          </cell>
          <cell r="S1157" t="str">
            <v>-</v>
          </cell>
          <cell r="T1157" t="str">
            <v>-</v>
          </cell>
          <cell r="U1157" t="str">
            <v>-</v>
          </cell>
          <cell r="V1157" t="str">
            <v>D</v>
          </cell>
          <cell r="W1157" t="str">
            <v>-</v>
          </cell>
          <cell r="X1157" t="str">
            <v>CLP (CC) VG 220 = -15° + 40°</v>
          </cell>
          <cell r="Y1157" t="str">
            <v>2KJ3108-1HJ23-9AN1-Z 
D01+K01+K06+K41+L02+L75+M59+N6B+Y00</v>
          </cell>
          <cell r="Z1157" t="str">
            <v>SIEMENS</v>
          </cell>
          <cell r="AB1157" t="str">
            <v>-</v>
          </cell>
          <cell r="AE1157" t="str">
            <v>DIEFF SONAE BEES X SIEMENS</v>
          </cell>
          <cell r="AF1157">
            <v>72</v>
          </cell>
          <cell r="AG1157" t="str">
            <v>DRN132S4</v>
          </cell>
          <cell r="AH1157" t="str">
            <v>Z89-DRN132S42A-X</v>
          </cell>
        </row>
        <row r="1158">
          <cell r="A1158" t="str">
            <v>MR001154</v>
          </cell>
          <cell r="B1158" t="str">
            <v>MR</v>
          </cell>
          <cell r="C1158">
            <v>11</v>
          </cell>
          <cell r="D1158">
            <v>102</v>
          </cell>
          <cell r="E1158" t="str">
            <v>Z109</v>
          </cell>
          <cell r="F1158">
            <v>1034</v>
          </cell>
          <cell r="G1158">
            <v>14.52</v>
          </cell>
          <cell r="H1158">
            <v>2.4900000000000002</v>
          </cell>
          <cell r="I1158" t="str">
            <v>M4</v>
          </cell>
          <cell r="J1158" t="str">
            <v>IE3</v>
          </cell>
          <cell r="K1158">
            <v>400</v>
          </cell>
          <cell r="L1158">
            <v>50</v>
          </cell>
          <cell r="M1158">
            <v>20.5</v>
          </cell>
          <cell r="N1158">
            <v>55</v>
          </cell>
          <cell r="O1158" t="str">
            <v>F(105°C)</v>
          </cell>
          <cell r="P1158" t="str">
            <v>2A</v>
          </cell>
          <cell r="Q1158" t="str">
            <v>-</v>
          </cell>
          <cell r="R1158" t="str">
            <v>-</v>
          </cell>
          <cell r="S1158" t="str">
            <v>-</v>
          </cell>
          <cell r="T1158" t="str">
            <v>-</v>
          </cell>
          <cell r="U1158" t="str">
            <v>-</v>
          </cell>
          <cell r="V1158" t="str">
            <v>D</v>
          </cell>
          <cell r="W1158" t="str">
            <v>-</v>
          </cell>
          <cell r="X1158" t="str">
            <v>CLP (CC) VG 220 = -15° + 40°</v>
          </cell>
          <cell r="Y1158" t="str">
            <v>2KJ3110-1JR23-9AL1-Z D04+K01+K06+K41+L02+L75+M59+N6C+Y00</v>
          </cell>
          <cell r="Z1158" t="str">
            <v>SIEMENS</v>
          </cell>
          <cell r="AB1158" t="str">
            <v>-</v>
          </cell>
          <cell r="AE1158" t="str">
            <v>DIEFF SONAE BEES X SIEMENS</v>
          </cell>
          <cell r="AF1158">
            <v>102</v>
          </cell>
          <cell r="AG1158" t="str">
            <v>DRN160M4</v>
          </cell>
          <cell r="AH1158" t="str">
            <v>Z109-DRN160M42A-X</v>
          </cell>
        </row>
        <row r="1159">
          <cell r="A1159" t="str">
            <v>MR001155</v>
          </cell>
          <cell r="B1159" t="str">
            <v>MR</v>
          </cell>
          <cell r="C1159">
            <v>5.5</v>
          </cell>
          <cell r="D1159">
            <v>64</v>
          </cell>
          <cell r="E1159" t="str">
            <v>Z89</v>
          </cell>
          <cell r="F1159">
            <v>819</v>
          </cell>
          <cell r="G1159">
            <v>22.92</v>
          </cell>
          <cell r="H1159">
            <v>2.0499999999999998</v>
          </cell>
          <cell r="I1159" t="str">
            <v>From M4 to M1 - 80°</v>
          </cell>
          <cell r="J1159" t="str">
            <v>IE3</v>
          </cell>
          <cell r="K1159">
            <v>400</v>
          </cell>
          <cell r="L1159">
            <v>50</v>
          </cell>
          <cell r="M1159">
            <v>10.5</v>
          </cell>
          <cell r="N1159">
            <v>55</v>
          </cell>
          <cell r="O1159" t="str">
            <v>F(105°C)</v>
          </cell>
          <cell r="P1159" t="str">
            <v>2A</v>
          </cell>
          <cell r="Q1159" t="str">
            <v>-</v>
          </cell>
          <cell r="R1159" t="str">
            <v>-</v>
          </cell>
          <cell r="S1159" t="str">
            <v>-</v>
          </cell>
          <cell r="T1159" t="str">
            <v>-</v>
          </cell>
          <cell r="U1159" t="str">
            <v>-</v>
          </cell>
          <cell r="V1159" t="str">
            <v>D</v>
          </cell>
          <cell r="W1159" t="str">
            <v>-</v>
          </cell>
          <cell r="X1159" t="str">
            <v>CLP (CC) VG 220 = -15° + 40°</v>
          </cell>
          <cell r="Y1159" t="str">
            <v>2KJ3108-1HJ23-9AP1-Z D04+E16+K01+K06+K41+L02+L75+M59+N6B+Y00</v>
          </cell>
          <cell r="Z1159" t="str">
            <v>SIEMENS</v>
          </cell>
          <cell r="AB1159" t="str">
            <v>-</v>
          </cell>
          <cell r="AE1159" t="str">
            <v>DIEFF SONAE BEES X SIEMENS</v>
          </cell>
          <cell r="AF1159">
            <v>64</v>
          </cell>
          <cell r="AG1159" t="str">
            <v>DRN132S4</v>
          </cell>
          <cell r="AH1159" t="str">
            <v>Z89-DRN132S42A-X</v>
          </cell>
        </row>
        <row r="1160">
          <cell r="A1160" t="str">
            <v>MR001156</v>
          </cell>
          <cell r="B1160" t="str">
            <v>MR</v>
          </cell>
          <cell r="C1160">
            <v>7.5</v>
          </cell>
          <cell r="D1160">
            <v>64</v>
          </cell>
          <cell r="E1160" t="str">
            <v>Z89</v>
          </cell>
          <cell r="F1160">
            <v>1117</v>
          </cell>
          <cell r="G1160">
            <v>22.92</v>
          </cell>
          <cell r="H1160">
            <v>1.5</v>
          </cell>
          <cell r="I1160" t="str">
            <v>M1</v>
          </cell>
          <cell r="J1160" t="str">
            <v>IE3</v>
          </cell>
          <cell r="K1160">
            <v>400</v>
          </cell>
          <cell r="L1160">
            <v>50</v>
          </cell>
          <cell r="M1160">
            <v>14.3</v>
          </cell>
          <cell r="N1160">
            <v>55</v>
          </cell>
          <cell r="O1160" t="str">
            <v>F(105°C)</v>
          </cell>
          <cell r="P1160" t="str">
            <v>2A</v>
          </cell>
          <cell r="Q1160" t="str">
            <v>-</v>
          </cell>
          <cell r="R1160" t="str">
            <v>-</v>
          </cell>
          <cell r="S1160" t="str">
            <v>-</v>
          </cell>
          <cell r="T1160" t="str">
            <v>-</v>
          </cell>
          <cell r="U1160" t="str">
            <v>-</v>
          </cell>
          <cell r="V1160" t="str">
            <v>D</v>
          </cell>
          <cell r="W1160" t="str">
            <v>-</v>
          </cell>
          <cell r="X1160" t="str">
            <v>CLP (CC) VG 220 = -15° + 40°</v>
          </cell>
          <cell r="Y1160" t="str">
            <v>2KJ3108-1HL23-9AP1-Z D01+K01+K06+K41+L02+L75+M59+N6C+Y00</v>
          </cell>
          <cell r="Z1160" t="str">
            <v>SIEMENS</v>
          </cell>
          <cell r="AB1160" t="str">
            <v>-</v>
          </cell>
          <cell r="AE1160" t="str">
            <v>DIEFF SONAE BEES X SIEMENS</v>
          </cell>
          <cell r="AF1160">
            <v>64</v>
          </cell>
          <cell r="AG1160" t="str">
            <v>DRN132M4</v>
          </cell>
          <cell r="AH1160" t="str">
            <v>Z89-DRN132M42A-X</v>
          </cell>
        </row>
        <row r="1161">
          <cell r="A1161" t="str">
            <v>MR001157</v>
          </cell>
          <cell r="B1161" t="str">
            <v>MR</v>
          </cell>
          <cell r="C1161">
            <v>9.1999999999999993</v>
          </cell>
          <cell r="D1161">
            <v>90</v>
          </cell>
          <cell r="E1161" t="str">
            <v>Z109</v>
          </cell>
          <cell r="F1161">
            <v>978</v>
          </cell>
          <cell r="G1161">
            <v>16.48</v>
          </cell>
          <cell r="H1161">
            <v>2.69</v>
          </cell>
          <cell r="I1161" t="str">
            <v>From M1 to M2 - 20°</v>
          </cell>
          <cell r="J1161" t="str">
            <v>IE3</v>
          </cell>
          <cell r="K1161">
            <v>400</v>
          </cell>
          <cell r="L1161">
            <v>50</v>
          </cell>
          <cell r="M1161">
            <v>18.7</v>
          </cell>
          <cell r="N1161">
            <v>55</v>
          </cell>
          <cell r="O1161" t="str">
            <v>F(105°C)</v>
          </cell>
          <cell r="P1161" t="str">
            <v>2A</v>
          </cell>
          <cell r="Q1161" t="str">
            <v>-</v>
          </cell>
          <cell r="R1161" t="str">
            <v>-</v>
          </cell>
          <cell r="S1161" t="str">
            <v>-</v>
          </cell>
          <cell r="T1161" t="str">
            <v>-</v>
          </cell>
          <cell r="U1161" t="str">
            <v>-</v>
          </cell>
          <cell r="V1161" t="str">
            <v>D</v>
          </cell>
          <cell r="W1161" t="str">
            <v>-</v>
          </cell>
          <cell r="X1161" t="str">
            <v>CLP (CC) VG 220 = -15° + 40°</v>
          </cell>
          <cell r="Y1161" t="str">
            <v>2KJ3110-1JQ23-9AM1-Z D01+E04+K01+K06+K41+L02+L75+M59+N6C+Y00</v>
          </cell>
          <cell r="Z1161" t="str">
            <v>SIEMENS</v>
          </cell>
          <cell r="AB1161" t="str">
            <v>-</v>
          </cell>
          <cell r="AE1161" t="str">
            <v>DIEFF SONAE BEES X SIEMENS</v>
          </cell>
          <cell r="AF1161">
            <v>90</v>
          </cell>
          <cell r="AG1161" t="str">
            <v>DRN132L4</v>
          </cell>
          <cell r="AH1161" t="str">
            <v>Z109-DRN132L42A-X</v>
          </cell>
        </row>
        <row r="1162">
          <cell r="A1162" t="str">
            <v>MR001158</v>
          </cell>
          <cell r="B1162" t="str">
            <v>MR</v>
          </cell>
          <cell r="C1162">
            <v>18.5</v>
          </cell>
          <cell r="D1162">
            <v>112</v>
          </cell>
          <cell r="E1162" t="str">
            <v>Z129</v>
          </cell>
          <cell r="F1162">
            <v>1571</v>
          </cell>
          <cell r="G1162">
            <v>13.07</v>
          </cell>
          <cell r="H1162">
            <v>3.09</v>
          </cell>
          <cell r="I1162" t="str">
            <v>M4</v>
          </cell>
          <cell r="J1162" t="str">
            <v>IE3</v>
          </cell>
          <cell r="K1162">
            <v>400</v>
          </cell>
          <cell r="L1162">
            <v>50</v>
          </cell>
          <cell r="M1162">
            <v>35</v>
          </cell>
          <cell r="N1162">
            <v>55</v>
          </cell>
          <cell r="O1162" t="str">
            <v>F(105°C)</v>
          </cell>
          <cell r="P1162" t="str">
            <v>2A</v>
          </cell>
          <cell r="Q1162" t="str">
            <v>-</v>
          </cell>
          <cell r="R1162" t="str">
            <v>-</v>
          </cell>
          <cell r="S1162" t="str">
            <v>-</v>
          </cell>
          <cell r="T1162" t="str">
            <v>-</v>
          </cell>
          <cell r="U1162" t="str">
            <v>-</v>
          </cell>
          <cell r="V1162" t="str">
            <v>D</v>
          </cell>
          <cell r="W1162" t="str">
            <v>-</v>
          </cell>
          <cell r="X1162" t="str">
            <v>CLP (CC) VG 220 = -15° + 40°</v>
          </cell>
          <cell r="Y1162" t="str">
            <v>2KJ3111-1KL33-9AH1-Z D04+K01+K06+K41+L02+L75+M59+N6C+Y00</v>
          </cell>
          <cell r="Z1162" t="str">
            <v>SIEMENS</v>
          </cell>
          <cell r="AB1162" t="str">
            <v>-</v>
          </cell>
          <cell r="AE1162" t="str">
            <v>DIEFF SONAE BEES X SIEMENS</v>
          </cell>
          <cell r="AF1162">
            <v>112</v>
          </cell>
          <cell r="AG1162" t="str">
            <v>DRN180M4</v>
          </cell>
          <cell r="AH1162" t="str">
            <v>Z129-DRN180M42A-X</v>
          </cell>
        </row>
        <row r="1163">
          <cell r="A1163" t="str">
            <v>MR001159</v>
          </cell>
          <cell r="B1163" t="str">
            <v>MR</v>
          </cell>
          <cell r="C1163">
            <v>2.2000000000000002</v>
          </cell>
          <cell r="D1163">
            <v>90</v>
          </cell>
          <cell r="E1163" t="str">
            <v>KA47</v>
          </cell>
          <cell r="F1163">
            <v>235</v>
          </cell>
          <cell r="G1163">
            <v>15.86</v>
          </cell>
          <cell r="H1163">
            <v>1.55</v>
          </cell>
          <cell r="I1163" t="str">
            <v>M3A</v>
          </cell>
          <cell r="J1163" t="str">
            <v>IE2</v>
          </cell>
          <cell r="K1163" t="str">
            <v>230/400</v>
          </cell>
          <cell r="L1163">
            <v>50</v>
          </cell>
          <cell r="M1163" t="str">
            <v>8,3/4,8</v>
          </cell>
          <cell r="N1163">
            <v>54</v>
          </cell>
          <cell r="O1163" t="str">
            <v>F(105°C)</v>
          </cell>
          <cell r="P1163" t="str">
            <v>90°</v>
          </cell>
          <cell r="Q1163" t="str">
            <v>-</v>
          </cell>
          <cell r="R1163" t="str">
            <v>-</v>
          </cell>
          <cell r="S1163" t="str">
            <v>-</v>
          </cell>
          <cell r="T1163" t="str">
            <v>-</v>
          </cell>
          <cell r="U1163" t="str">
            <v>T</v>
          </cell>
          <cell r="V1163" t="str">
            <v>D</v>
          </cell>
          <cell r="W1163" t="str">
            <v>-</v>
          </cell>
          <cell r="X1163" t="str">
            <v>CLP HC VG 220 = -20° + 60°</v>
          </cell>
          <cell r="Y1163" t="str">
            <v>KA47/T/II2GD EDRE100M4/3GD/KCC/AL</v>
          </cell>
          <cell r="Z1163" t="str">
            <v>SEW</v>
          </cell>
          <cell r="AB1163" t="str">
            <v>ATEX22</v>
          </cell>
          <cell r="AF1163">
            <v>90</v>
          </cell>
          <cell r="AG1163" t="str">
            <v>EDRE100L4</v>
          </cell>
          <cell r="AH1163" t="str">
            <v>KA47T-EDRE100L4A90-X</v>
          </cell>
        </row>
        <row r="1164">
          <cell r="A1164" t="str">
            <v>MR001160</v>
          </cell>
          <cell r="B1164" t="str">
            <v>MR</v>
          </cell>
          <cell r="C1164">
            <v>11</v>
          </cell>
          <cell r="D1164">
            <v>101</v>
          </cell>
          <cell r="E1164" t="str">
            <v>R97</v>
          </cell>
          <cell r="F1164">
            <v>1040</v>
          </cell>
          <cell r="G1164">
            <v>14.62</v>
          </cell>
          <cell r="H1164">
            <v>1.9</v>
          </cell>
          <cell r="I1164" t="str">
            <v>M4</v>
          </cell>
          <cell r="J1164" t="str">
            <v>IE2</v>
          </cell>
          <cell r="K1164" t="str">
            <v>400/690</v>
          </cell>
          <cell r="L1164">
            <v>50</v>
          </cell>
          <cell r="M1164" t="str">
            <v>21/12,2</v>
          </cell>
          <cell r="N1164">
            <v>54</v>
          </cell>
          <cell r="O1164" t="str">
            <v>F(105°C)</v>
          </cell>
          <cell r="P1164" t="str">
            <v>270°</v>
          </cell>
          <cell r="Q1164" t="str">
            <v>-</v>
          </cell>
          <cell r="R1164" t="str">
            <v>-</v>
          </cell>
          <cell r="S1164" t="str">
            <v>-</v>
          </cell>
          <cell r="T1164" t="str">
            <v>-</v>
          </cell>
          <cell r="U1164" t="str">
            <v>-</v>
          </cell>
          <cell r="V1164" t="str">
            <v>D</v>
          </cell>
          <cell r="W1164" t="str">
            <v>-</v>
          </cell>
          <cell r="X1164" t="str">
            <v>CLP HC VG 220 = -20° + 60°</v>
          </cell>
          <cell r="Y1164" t="str">
            <v>R97/II2GD EDRE180S4/3GD/AL/C</v>
          </cell>
          <cell r="Z1164" t="str">
            <v>SEW</v>
          </cell>
          <cell r="AB1164" t="str">
            <v>ATEX22</v>
          </cell>
          <cell r="AF1164">
            <v>101</v>
          </cell>
          <cell r="AG1164" t="str">
            <v>EDRE180S4</v>
          </cell>
          <cell r="AH1164" t="str">
            <v>R97-EDRE180S4270-X</v>
          </cell>
        </row>
        <row r="1165">
          <cell r="A1165" t="str">
            <v>MR001161</v>
          </cell>
          <cell r="B1165" t="str">
            <v>MR</v>
          </cell>
          <cell r="C1165">
            <v>11</v>
          </cell>
          <cell r="D1165">
            <v>59</v>
          </cell>
          <cell r="E1165" t="str">
            <v>R97</v>
          </cell>
          <cell r="F1165">
            <v>1780</v>
          </cell>
          <cell r="G1165">
            <v>25.03</v>
          </cell>
          <cell r="H1165">
            <v>1.6</v>
          </cell>
          <cell r="I1165" t="str">
            <v>M1</v>
          </cell>
          <cell r="J1165" t="str">
            <v>IE3</v>
          </cell>
          <cell r="K1165">
            <v>400</v>
          </cell>
          <cell r="L1165">
            <v>50</v>
          </cell>
          <cell r="M1165">
            <v>21</v>
          </cell>
          <cell r="N1165">
            <v>55</v>
          </cell>
          <cell r="O1165" t="str">
            <v>F(105°C)</v>
          </cell>
          <cell r="P1165" t="str">
            <v>270°</v>
          </cell>
          <cell r="Q1165" t="str">
            <v>-</v>
          </cell>
          <cell r="R1165" t="str">
            <v>-</v>
          </cell>
          <cell r="S1165" t="str">
            <v>-</v>
          </cell>
          <cell r="T1165" t="str">
            <v>-</v>
          </cell>
          <cell r="U1165" t="str">
            <v>-</v>
          </cell>
          <cell r="V1165" t="str">
            <v>D+R</v>
          </cell>
          <cell r="W1165" t="str">
            <v>-</v>
          </cell>
          <cell r="X1165" t="str">
            <v>CLP (CC) VG 220 = -15° + 40°</v>
          </cell>
          <cell r="Y1165" t="str">
            <v>R97DRN160M4</v>
          </cell>
          <cell r="Z1165" t="str">
            <v>SEW</v>
          </cell>
          <cell r="AB1165" t="str">
            <v>-</v>
          </cell>
          <cell r="AF1165">
            <v>59</v>
          </cell>
          <cell r="AG1165" t="str">
            <v>DRN160M4</v>
          </cell>
          <cell r="AH1165" t="str">
            <v>R97-DRN160M4270-X</v>
          </cell>
        </row>
        <row r="1166">
          <cell r="A1166" t="str">
            <v>MR001162</v>
          </cell>
          <cell r="B1166" t="str">
            <v>MR</v>
          </cell>
          <cell r="C1166">
            <v>0.37</v>
          </cell>
          <cell r="D1166">
            <v>58</v>
          </cell>
          <cell r="E1166" t="str">
            <v>FA37</v>
          </cell>
          <cell r="F1166">
            <v>61</v>
          </cell>
          <cell r="G1166">
            <v>23.88</v>
          </cell>
          <cell r="H1166">
            <v>2.6</v>
          </cell>
          <cell r="I1166" t="str">
            <v>M1</v>
          </cell>
          <cell r="J1166" t="str">
            <v>IE1</v>
          </cell>
          <cell r="K1166" t="str">
            <v>230/400</v>
          </cell>
          <cell r="L1166">
            <v>50</v>
          </cell>
          <cell r="M1166" t="str">
            <v>1,74/1</v>
          </cell>
          <cell r="N1166">
            <v>54</v>
          </cell>
          <cell r="O1166" t="str">
            <v>F(105°C)</v>
          </cell>
          <cell r="P1166" t="str">
            <v>270°</v>
          </cell>
          <cell r="Q1166" t="str">
            <v>TF</v>
          </cell>
          <cell r="R1166" t="str">
            <v>-</v>
          </cell>
          <cell r="S1166" t="str">
            <v>-</v>
          </cell>
          <cell r="T1166" t="str">
            <v>-</v>
          </cell>
          <cell r="U1166" t="str">
            <v>G</v>
          </cell>
          <cell r="V1166" t="str">
            <v>FC</v>
          </cell>
          <cell r="W1166" t="str">
            <v>-</v>
          </cell>
          <cell r="X1166" t="str">
            <v>CLP HC VG 220 = -20° + 60°</v>
          </cell>
          <cell r="Y1166" t="str">
            <v>FA37/G/II2GD EDRS71M4/3GD/KCC/TF/AL</v>
          </cell>
          <cell r="Z1166" t="str">
            <v>SEW</v>
          </cell>
          <cell r="AB1166" t="str">
            <v>ATEX22</v>
          </cell>
          <cell r="AF1166">
            <v>58</v>
          </cell>
          <cell r="AG1166" t="str">
            <v>EDRN71M4</v>
          </cell>
          <cell r="AH1166" t="str">
            <v>FA37G-EDRN71M4270-X</v>
          </cell>
        </row>
        <row r="1167">
          <cell r="A1167" t="str">
            <v>MR001163</v>
          </cell>
          <cell r="B1167" t="str">
            <v>MR</v>
          </cell>
          <cell r="C1167">
            <v>0.37</v>
          </cell>
          <cell r="D1167">
            <v>45</v>
          </cell>
          <cell r="E1167" t="str">
            <v>FA37</v>
          </cell>
          <cell r="F1167">
            <v>118</v>
          </cell>
          <cell r="G1167">
            <v>31.69</v>
          </cell>
          <cell r="H1167">
            <v>1.5</v>
          </cell>
          <cell r="I1167" t="str">
            <v>M1</v>
          </cell>
          <cell r="J1167" t="str">
            <v>IE1</v>
          </cell>
          <cell r="K1167" t="str">
            <v>230/400</v>
          </cell>
          <cell r="L1167">
            <v>50</v>
          </cell>
          <cell r="M1167" t="str">
            <v>2,35/1,35</v>
          </cell>
          <cell r="N1167">
            <v>54</v>
          </cell>
          <cell r="O1167" t="str">
            <v>F(105°C)</v>
          </cell>
          <cell r="P1167" t="str">
            <v>180°</v>
          </cell>
          <cell r="Q1167" t="str">
            <v>TF</v>
          </cell>
          <cell r="R1167" t="str">
            <v>-</v>
          </cell>
          <cell r="S1167" t="str">
            <v>-</v>
          </cell>
          <cell r="T1167" t="str">
            <v>-</v>
          </cell>
          <cell r="U1167" t="str">
            <v>G</v>
          </cell>
          <cell r="V1167" t="str">
            <v>FC</v>
          </cell>
          <cell r="W1167" t="str">
            <v>-</v>
          </cell>
          <cell r="X1167" t="str">
            <v>CLP HC VG 220 = -20° + 60°</v>
          </cell>
          <cell r="Y1167" t="str">
            <v>FA37/G/II2GD EDRS80S4/3GD/KCC/TF/AL/C</v>
          </cell>
          <cell r="Z1167" t="str">
            <v>SEW</v>
          </cell>
          <cell r="AB1167" t="str">
            <v>ATEX22</v>
          </cell>
          <cell r="AF1167">
            <v>45</v>
          </cell>
          <cell r="AG1167" t="str">
            <v>EDRN71M4</v>
          </cell>
          <cell r="AH1167" t="str">
            <v>FA37G-EDRN71M4180-X</v>
          </cell>
        </row>
        <row r="1168">
          <cell r="A1168" t="str">
            <v>MR001164</v>
          </cell>
          <cell r="B1168" t="str">
            <v>MR</v>
          </cell>
          <cell r="C1168">
            <v>0.75</v>
          </cell>
          <cell r="D1168">
            <v>213</v>
          </cell>
          <cell r="E1168" t="str">
            <v>FA37</v>
          </cell>
          <cell r="F1168">
            <v>34</v>
          </cell>
          <cell r="G1168">
            <v>6.74</v>
          </cell>
          <cell r="H1168">
            <v>3.5</v>
          </cell>
          <cell r="I1168" t="str">
            <v>M5</v>
          </cell>
          <cell r="J1168" t="str">
            <v>IE2</v>
          </cell>
          <cell r="K1168" t="str">
            <v>230/400</v>
          </cell>
          <cell r="L1168">
            <v>50</v>
          </cell>
          <cell r="M1168" t="str">
            <v>3/1,73</v>
          </cell>
          <cell r="N1168">
            <v>54</v>
          </cell>
          <cell r="O1168" t="str">
            <v>F(105°C)</v>
          </cell>
          <cell r="P1168" t="str">
            <v>90°</v>
          </cell>
          <cell r="Q1168" t="str">
            <v>-</v>
          </cell>
          <cell r="R1168" t="str">
            <v>-</v>
          </cell>
          <cell r="S1168" t="str">
            <v>-</v>
          </cell>
          <cell r="T1168" t="str">
            <v>-</v>
          </cell>
          <cell r="U1168" t="str">
            <v>G</v>
          </cell>
          <cell r="V1168" t="str">
            <v>D</v>
          </cell>
          <cell r="W1168" t="str">
            <v>-</v>
          </cell>
          <cell r="X1168" t="str">
            <v>CLP HC VG 220 = -20° + 60°</v>
          </cell>
          <cell r="Y1168" t="str">
            <v>FA37/G/II2GD EDRE80M4/3GD/KCC/AL</v>
          </cell>
          <cell r="Z1168" t="str">
            <v>SEW</v>
          </cell>
          <cell r="AB1168" t="str">
            <v>ATEX22</v>
          </cell>
          <cell r="AF1168">
            <v>213</v>
          </cell>
          <cell r="AG1168" t="str">
            <v>EDRE80M4</v>
          </cell>
          <cell r="AH1168" t="str">
            <v>FA37G-EDRE80M490-X</v>
          </cell>
        </row>
        <row r="1169">
          <cell r="A1169" t="str">
            <v>MR001165</v>
          </cell>
          <cell r="B1169" t="str">
            <v>MR</v>
          </cell>
          <cell r="C1169">
            <v>5.5</v>
          </cell>
          <cell r="D1169">
            <v>63</v>
          </cell>
          <cell r="E1169" t="str">
            <v>KH77</v>
          </cell>
          <cell r="F1169">
            <v>830</v>
          </cell>
          <cell r="G1169">
            <v>23.08</v>
          </cell>
          <cell r="H1169">
            <v>1.45</v>
          </cell>
          <cell r="I1169" t="str">
            <v>M4B</v>
          </cell>
          <cell r="J1169" t="str">
            <v>IE2</v>
          </cell>
          <cell r="K1169" t="str">
            <v>230/400</v>
          </cell>
          <cell r="L1169">
            <v>50</v>
          </cell>
          <cell r="M1169" t="str">
            <v>18,6/10,7</v>
          </cell>
          <cell r="N1169">
            <v>54</v>
          </cell>
          <cell r="O1169" t="str">
            <v>F(105°C)</v>
          </cell>
          <cell r="P1169" t="str">
            <v>0°</v>
          </cell>
          <cell r="Q1169" t="str">
            <v>-</v>
          </cell>
          <cell r="R1169" t="str">
            <v>-</v>
          </cell>
          <cell r="S1169" t="str">
            <v>-</v>
          </cell>
          <cell r="T1169" t="str">
            <v>-</v>
          </cell>
          <cell r="U1169" t="str">
            <v>T</v>
          </cell>
          <cell r="V1169" t="str">
            <v>D</v>
          </cell>
          <cell r="W1169" t="str">
            <v>-</v>
          </cell>
          <cell r="X1169" t="str">
            <v>CLP HC VG 220 = -20° + 60°</v>
          </cell>
          <cell r="Y1169" t="str">
            <v>KH77/T/IIGD EDRE132M4/3GD/KCC/AL/C</v>
          </cell>
          <cell r="Z1169" t="str">
            <v>SEW</v>
          </cell>
          <cell r="AB1169" t="str">
            <v>ATEX22</v>
          </cell>
          <cell r="AF1169">
            <v>63</v>
          </cell>
          <cell r="AG1169" t="str">
            <v>EDRE132M4</v>
          </cell>
          <cell r="AH1169" t="str">
            <v>KH77T-EDRE132M4B0-X</v>
          </cell>
        </row>
        <row r="1170">
          <cell r="A1170" t="str">
            <v>MR001166</v>
          </cell>
          <cell r="B1170" t="str">
            <v>MR</v>
          </cell>
          <cell r="C1170">
            <v>11</v>
          </cell>
          <cell r="D1170">
            <v>59</v>
          </cell>
          <cell r="E1170" t="str">
            <v>KH87</v>
          </cell>
          <cell r="F1170">
            <v>1780</v>
          </cell>
          <cell r="G1170">
            <v>24.92</v>
          </cell>
          <cell r="H1170">
            <v>1.05</v>
          </cell>
          <cell r="I1170" t="str">
            <v>M4B</v>
          </cell>
          <cell r="J1170" t="str">
            <v>IE2</v>
          </cell>
          <cell r="K1170" t="str">
            <v>400/690</v>
          </cell>
          <cell r="L1170">
            <v>50</v>
          </cell>
          <cell r="M1170" t="str">
            <v>21/12,2</v>
          </cell>
          <cell r="N1170">
            <v>54</v>
          </cell>
          <cell r="O1170" t="str">
            <v>F(105°C)</v>
          </cell>
          <cell r="P1170" t="str">
            <v>0°</v>
          </cell>
          <cell r="Q1170" t="str">
            <v>TF</v>
          </cell>
          <cell r="R1170" t="str">
            <v>-</v>
          </cell>
          <cell r="S1170" t="str">
            <v>-</v>
          </cell>
          <cell r="T1170" t="str">
            <v>-</v>
          </cell>
          <cell r="U1170" t="str">
            <v>T</v>
          </cell>
          <cell r="V1170" t="str">
            <v>FC</v>
          </cell>
          <cell r="W1170" t="str">
            <v>-</v>
          </cell>
          <cell r="X1170" t="str">
            <v>CLP HC VG 220 = -20° + 60°</v>
          </cell>
          <cell r="Y1170" t="str">
            <v>KH87/T/II2GD EDRE180S4/3GD/TF/AL/C</v>
          </cell>
          <cell r="Z1170" t="str">
            <v>SEW</v>
          </cell>
          <cell r="AB1170" t="str">
            <v>ATEX22</v>
          </cell>
          <cell r="AF1170">
            <v>59</v>
          </cell>
          <cell r="AG1170" t="str">
            <v>EDRE180S4</v>
          </cell>
          <cell r="AH1170" t="str">
            <v>KH87T-EDRE180S4B0-X</v>
          </cell>
        </row>
        <row r="1171">
          <cell r="A1171" t="str">
            <v>MR001167</v>
          </cell>
          <cell r="B1171" t="str">
            <v>MR</v>
          </cell>
          <cell r="C1171">
            <v>18.5</v>
          </cell>
          <cell r="D1171">
            <v>66</v>
          </cell>
          <cell r="E1171" t="str">
            <v>KH97</v>
          </cell>
          <cell r="F1171">
            <v>2680</v>
          </cell>
          <cell r="G1171">
            <v>22.37</v>
          </cell>
          <cell r="H1171">
            <v>1.6</v>
          </cell>
          <cell r="I1171" t="str">
            <v>M4A</v>
          </cell>
          <cell r="J1171" t="str">
            <v>IE2</v>
          </cell>
          <cell r="K1171" t="str">
            <v>400/690</v>
          </cell>
          <cell r="L1171">
            <v>50</v>
          </cell>
          <cell r="M1171" t="str">
            <v>34,5/20</v>
          </cell>
          <cell r="N1171">
            <v>54</v>
          </cell>
          <cell r="O1171" t="str">
            <v>F(105°C)</v>
          </cell>
          <cell r="P1171" t="str">
            <v>180°</v>
          </cell>
          <cell r="Q1171" t="str">
            <v>TF</v>
          </cell>
          <cell r="R1171" t="str">
            <v>-</v>
          </cell>
          <cell r="S1171" t="str">
            <v>Free rotation CW</v>
          </cell>
          <cell r="T1171" t="str">
            <v>-</v>
          </cell>
          <cell r="U1171" t="str">
            <v>T</v>
          </cell>
          <cell r="V1171" t="str">
            <v>FC</v>
          </cell>
          <cell r="W1171" t="str">
            <v>-</v>
          </cell>
          <cell r="X1171" t="str">
            <v>CLP HC VG 220 = -20° + 60°</v>
          </cell>
          <cell r="Y1171" t="str">
            <v>KH97/T/II2GD EDRE180L4/3GD/RS/TF/AL/C</v>
          </cell>
          <cell r="Z1171" t="str">
            <v>SEW</v>
          </cell>
          <cell r="AB1171" t="str">
            <v>ATEX22</v>
          </cell>
          <cell r="AF1171">
            <v>66</v>
          </cell>
          <cell r="AG1171" t="str">
            <v>EDRE180L4</v>
          </cell>
          <cell r="AH1171" t="str">
            <v>KH97T-EDRE180L4A180-X</v>
          </cell>
        </row>
        <row r="1172">
          <cell r="A1172" t="str">
            <v>MR001168</v>
          </cell>
          <cell r="B1172" t="str">
            <v>MR</v>
          </cell>
          <cell r="C1172">
            <v>7.5</v>
          </cell>
          <cell r="D1172" t="str">
            <v xml:space="preserve">  </v>
          </cell>
          <cell r="E1172" t="str">
            <v>FA77</v>
          </cell>
          <cell r="F1172">
            <v>1050</v>
          </cell>
          <cell r="G1172">
            <v>21.43</v>
          </cell>
          <cell r="H1172">
            <v>1.45</v>
          </cell>
          <cell r="I1172" t="str">
            <v>M1</v>
          </cell>
          <cell r="J1172" t="str">
            <v>IE3</v>
          </cell>
          <cell r="K1172" t="str">
            <v>230/400</v>
          </cell>
          <cell r="L1172">
            <v>50</v>
          </cell>
          <cell r="M1172" t="str">
            <v>26,5/15,2</v>
          </cell>
          <cell r="N1172">
            <v>55</v>
          </cell>
          <cell r="O1172" t="str">
            <v>F(105°C)</v>
          </cell>
          <cell r="P1172" t="str">
            <v>270°</v>
          </cell>
          <cell r="Q1172" t="str">
            <v>-</v>
          </cell>
          <cell r="R1172" t="str">
            <v>-</v>
          </cell>
          <cell r="S1172" t="str">
            <v>-</v>
          </cell>
          <cell r="T1172" t="str">
            <v>-</v>
          </cell>
          <cell r="U1172" t="str">
            <v>G</v>
          </cell>
          <cell r="V1172" t="str">
            <v>-</v>
          </cell>
          <cell r="W1172" t="str">
            <v>-</v>
          </cell>
          <cell r="X1172" t="str">
            <v>CLP (CC) VG 220 = -15° + 40°</v>
          </cell>
          <cell r="Y1172" t="str">
            <v>FA77/G DRN132M4</v>
          </cell>
          <cell r="Z1172" t="str">
            <v>SEW</v>
          </cell>
          <cell r="AB1172" t="str">
            <v>-</v>
          </cell>
          <cell r="AF1172" t="e">
            <v>#VALUE!</v>
          </cell>
          <cell r="AG1172" t="str">
            <v>DRN132M4</v>
          </cell>
          <cell r="AH1172" t="str">
            <v>FA77G-DRN132M4270-X</v>
          </cell>
        </row>
        <row r="1173">
          <cell r="A1173" t="str">
            <v>MR001169</v>
          </cell>
          <cell r="B1173" t="str">
            <v>MR</v>
          </cell>
          <cell r="C1173">
            <v>7.5</v>
          </cell>
          <cell r="D1173">
            <v>77</v>
          </cell>
          <cell r="E1173" t="str">
            <v>R87</v>
          </cell>
          <cell r="F1173">
            <v>930</v>
          </cell>
          <cell r="G1173">
            <v>19.100000000000001</v>
          </cell>
          <cell r="H1173">
            <v>1.55</v>
          </cell>
          <cell r="I1173" t="str">
            <v>M1</v>
          </cell>
          <cell r="J1173" t="str">
            <v>IE3</v>
          </cell>
          <cell r="K1173" t="str">
            <v>230/400</v>
          </cell>
          <cell r="L1173">
            <v>50</v>
          </cell>
          <cell r="M1173" t="str">
            <v>26,2/15,2</v>
          </cell>
          <cell r="N1173">
            <v>55</v>
          </cell>
          <cell r="O1173" t="str">
            <v>F(105°C)</v>
          </cell>
          <cell r="P1173" t="str">
            <v>270°</v>
          </cell>
          <cell r="Q1173" t="str">
            <v>-</v>
          </cell>
          <cell r="R1173" t="str">
            <v>-</v>
          </cell>
          <cell r="S1173" t="str">
            <v>-</v>
          </cell>
          <cell r="T1173" t="str">
            <v>-</v>
          </cell>
          <cell r="U1173" t="str">
            <v>-</v>
          </cell>
          <cell r="V1173" t="str">
            <v>-</v>
          </cell>
          <cell r="W1173" t="str">
            <v>-</v>
          </cell>
          <cell r="X1173" t="str">
            <v>CLP HC VG 220 = -20° + 60°</v>
          </cell>
          <cell r="Y1173" t="str">
            <v>R87DRN132M4</v>
          </cell>
          <cell r="Z1173" t="str">
            <v>SEW</v>
          </cell>
          <cell r="AB1173" t="str">
            <v>-</v>
          </cell>
          <cell r="AF1173">
            <v>77</v>
          </cell>
          <cell r="AG1173" t="str">
            <v>DRN132M4</v>
          </cell>
          <cell r="AH1173" t="str">
            <v>R87-DRN132M4270-X</v>
          </cell>
        </row>
        <row r="1174">
          <cell r="A1174" t="str">
            <v>MR001170</v>
          </cell>
          <cell r="B1174" t="str">
            <v>MR</v>
          </cell>
          <cell r="C1174">
            <v>9.1999999999999993</v>
          </cell>
          <cell r="D1174">
            <v>53</v>
          </cell>
          <cell r="E1174" t="str">
            <v>R97</v>
          </cell>
          <cell r="F1174">
            <v>1650</v>
          </cell>
          <cell r="G1174">
            <v>27.58</v>
          </cell>
          <cell r="H1174">
            <v>1.6</v>
          </cell>
          <cell r="I1174" t="str">
            <v>M1</v>
          </cell>
          <cell r="J1174" t="str">
            <v>IE3</v>
          </cell>
          <cell r="K1174" t="str">
            <v>400/690</v>
          </cell>
          <cell r="L1174">
            <v>50</v>
          </cell>
          <cell r="M1174" t="str">
            <v>18,7/10,8</v>
          </cell>
          <cell r="N1174">
            <v>55</v>
          </cell>
          <cell r="O1174" t="str">
            <v>F(105°C)</v>
          </cell>
          <cell r="P1174" t="str">
            <v>270°</v>
          </cell>
          <cell r="Q1174" t="str">
            <v>-</v>
          </cell>
          <cell r="R1174" t="str">
            <v>-</v>
          </cell>
          <cell r="S1174" t="str">
            <v>-</v>
          </cell>
          <cell r="T1174" t="str">
            <v>-</v>
          </cell>
          <cell r="U1174" t="str">
            <v>-</v>
          </cell>
          <cell r="V1174" t="str">
            <v>-</v>
          </cell>
          <cell r="W1174" t="str">
            <v>-</v>
          </cell>
          <cell r="X1174" t="str">
            <v>CLP HC VG 220 = -20° + 60°</v>
          </cell>
          <cell r="Y1174" t="str">
            <v>R97DRN132L4</v>
          </cell>
          <cell r="Z1174" t="str">
            <v>SEW</v>
          </cell>
          <cell r="AB1174" t="str">
            <v>-</v>
          </cell>
          <cell r="AF1174">
            <v>53</v>
          </cell>
          <cell r="AG1174" t="str">
            <v>DRN132L4</v>
          </cell>
          <cell r="AH1174" t="str">
            <v>R97-DRN132L4270-X</v>
          </cell>
        </row>
        <row r="1175">
          <cell r="A1175" t="str">
            <v>MR001171</v>
          </cell>
          <cell r="B1175" t="str">
            <v>MR</v>
          </cell>
          <cell r="C1175">
            <v>7.5</v>
          </cell>
          <cell r="D1175">
            <v>65</v>
          </cell>
          <cell r="E1175" t="str">
            <v>R97</v>
          </cell>
          <cell r="F1175">
            <v>1090</v>
          </cell>
          <cell r="G1175">
            <v>22.37</v>
          </cell>
          <cell r="H1175">
            <v>2.5</v>
          </cell>
          <cell r="I1175" t="str">
            <v>M1</v>
          </cell>
          <cell r="J1175" t="str">
            <v>IE3</v>
          </cell>
          <cell r="K1175" t="str">
            <v>230/400</v>
          </cell>
          <cell r="L1175">
            <v>50</v>
          </cell>
          <cell r="M1175" t="str">
            <v>26,5/15,2</v>
          </cell>
          <cell r="N1175">
            <v>55</v>
          </cell>
          <cell r="O1175" t="str">
            <v>F(105°C)</v>
          </cell>
          <cell r="P1175" t="str">
            <v>270°</v>
          </cell>
          <cell r="Q1175" t="str">
            <v>-</v>
          </cell>
          <cell r="R1175" t="str">
            <v>-</v>
          </cell>
          <cell r="S1175" t="str">
            <v>-</v>
          </cell>
          <cell r="T1175" t="str">
            <v>-</v>
          </cell>
          <cell r="U1175" t="str">
            <v>-</v>
          </cell>
          <cell r="V1175" t="str">
            <v>-</v>
          </cell>
          <cell r="W1175" t="str">
            <v>-</v>
          </cell>
          <cell r="X1175" t="str">
            <v>CLP HC VG 220 = -20° + 60°</v>
          </cell>
          <cell r="Y1175" t="str">
            <v>R97DRN132M4</v>
          </cell>
          <cell r="Z1175" t="str">
            <v>SEW</v>
          </cell>
          <cell r="AB1175" t="str">
            <v>-</v>
          </cell>
          <cell r="AF1175">
            <v>65</v>
          </cell>
          <cell r="AG1175" t="str">
            <v>DRN132M4</v>
          </cell>
          <cell r="AH1175" t="str">
            <v>R97-DRN132M4270-X</v>
          </cell>
        </row>
        <row r="1176">
          <cell r="A1176" t="str">
            <v>MR001172</v>
          </cell>
          <cell r="B1176" t="str">
            <v>MR</v>
          </cell>
          <cell r="C1176">
            <v>7.5</v>
          </cell>
          <cell r="D1176">
            <v>50</v>
          </cell>
          <cell r="E1176" t="str">
            <v>FA87</v>
          </cell>
          <cell r="F1176">
            <v>1420</v>
          </cell>
          <cell r="G1176">
            <v>29.2</v>
          </cell>
          <cell r="H1176">
            <v>1.75</v>
          </cell>
          <cell r="I1176" t="str">
            <v>M1</v>
          </cell>
          <cell r="J1176" t="str">
            <v>IE3</v>
          </cell>
          <cell r="K1176" t="str">
            <v>400/690</v>
          </cell>
          <cell r="L1176">
            <v>50</v>
          </cell>
          <cell r="M1176" t="str">
            <v>15,2/8,8</v>
          </cell>
          <cell r="N1176">
            <v>55</v>
          </cell>
          <cell r="O1176" t="str">
            <v>F(105°C)</v>
          </cell>
          <cell r="P1176" t="str">
            <v>270°</v>
          </cell>
          <cell r="Q1176" t="str">
            <v>-</v>
          </cell>
          <cell r="R1176" t="str">
            <v>-</v>
          </cell>
          <cell r="S1176" t="str">
            <v>-</v>
          </cell>
          <cell r="T1176" t="str">
            <v>-</v>
          </cell>
          <cell r="U1176" t="str">
            <v>G</v>
          </cell>
          <cell r="V1176" t="str">
            <v>-</v>
          </cell>
          <cell r="W1176" t="str">
            <v>-</v>
          </cell>
          <cell r="X1176" t="str">
            <v>CLP (CC) VG 220 = -15° + 40°</v>
          </cell>
          <cell r="Y1176" t="str">
            <v>FA87/G DRN132M4</v>
          </cell>
          <cell r="Z1176" t="str">
            <v>SEW</v>
          </cell>
          <cell r="AB1176" t="str">
            <v>-</v>
          </cell>
          <cell r="AF1176">
            <v>50</v>
          </cell>
          <cell r="AG1176" t="str">
            <v>DRN132M4</v>
          </cell>
          <cell r="AH1176" t="str">
            <v>FA87G-DRN132M4270-X</v>
          </cell>
        </row>
        <row r="1177">
          <cell r="A1177" t="str">
            <v>MR001173</v>
          </cell>
          <cell r="B1177" t="str">
            <v>MR</v>
          </cell>
          <cell r="C1177">
            <v>9.1999999999999993</v>
          </cell>
          <cell r="D1177">
            <v>110</v>
          </cell>
          <cell r="E1177" t="str">
            <v>R87</v>
          </cell>
          <cell r="F1177">
            <v>795</v>
          </cell>
          <cell r="G1177">
            <v>13.33</v>
          </cell>
          <cell r="H1177">
            <v>1.6</v>
          </cell>
          <cell r="I1177" t="str">
            <v>M4</v>
          </cell>
          <cell r="J1177" t="str">
            <v>IE3</v>
          </cell>
          <cell r="K1177">
            <v>400</v>
          </cell>
          <cell r="L1177">
            <v>50</v>
          </cell>
          <cell r="N1177">
            <v>55</v>
          </cell>
          <cell r="O1177" t="str">
            <v>F(105°C)</v>
          </cell>
          <cell r="P1177" t="str">
            <v>270°</v>
          </cell>
          <cell r="Q1177" t="str">
            <v>-</v>
          </cell>
          <cell r="R1177" t="str">
            <v>-</v>
          </cell>
          <cell r="S1177" t="str">
            <v>-</v>
          </cell>
          <cell r="T1177" t="str">
            <v>-</v>
          </cell>
          <cell r="U1177" t="str">
            <v>-</v>
          </cell>
          <cell r="V1177" t="str">
            <v>D</v>
          </cell>
          <cell r="W1177" t="str">
            <v>-</v>
          </cell>
          <cell r="X1177" t="str">
            <v>CLP PG VG 220 = -20° + 80°</v>
          </cell>
          <cell r="Y1177" t="str">
            <v>R87/II2GD EDRN132L4/3D/C</v>
          </cell>
          <cell r="Z1177" t="str">
            <v>SEW</v>
          </cell>
          <cell r="AB1177" t="str">
            <v>ATEX22</v>
          </cell>
          <cell r="AF1177">
            <v>110</v>
          </cell>
          <cell r="AG1177" t="str">
            <v>EDRN132L4</v>
          </cell>
          <cell r="AH1177" t="str">
            <v>R87-EDRN132L4270-X</v>
          </cell>
        </row>
        <row r="1178">
          <cell r="A1178" t="str">
            <v>MR001174</v>
          </cell>
          <cell r="B1178" t="str">
            <v>MR</v>
          </cell>
          <cell r="C1178">
            <v>2.2000000000000002</v>
          </cell>
          <cell r="D1178">
            <v>96</v>
          </cell>
          <cell r="E1178" t="str">
            <v>R67</v>
          </cell>
          <cell r="F1178">
            <v>215</v>
          </cell>
          <cell r="G1178">
            <v>14.91</v>
          </cell>
          <cell r="H1178">
            <v>2.2000000000000002</v>
          </cell>
          <cell r="I1178" t="str">
            <v>M1</v>
          </cell>
          <cell r="J1178" t="str">
            <v>IE3</v>
          </cell>
          <cell r="K1178" t="str">
            <v>230/400</v>
          </cell>
          <cell r="L1178">
            <v>50</v>
          </cell>
          <cell r="M1178" t="str">
            <v>8,4/4,85</v>
          </cell>
          <cell r="N1178">
            <v>55</v>
          </cell>
          <cell r="O1178" t="str">
            <v>F(105°C)</v>
          </cell>
          <cell r="P1178" t="str">
            <v>270°</v>
          </cell>
          <cell r="Q1178" t="str">
            <v>-</v>
          </cell>
          <cell r="R1178" t="str">
            <v>-</v>
          </cell>
          <cell r="S1178" t="str">
            <v>-</v>
          </cell>
          <cell r="T1178" t="str">
            <v>-</v>
          </cell>
          <cell r="U1178" t="str">
            <v>-</v>
          </cell>
          <cell r="V1178" t="str">
            <v>D</v>
          </cell>
          <cell r="W1178" t="str">
            <v>-</v>
          </cell>
          <cell r="X1178" t="str">
            <v>CLP PG VG 220 = -20° + 80°</v>
          </cell>
          <cell r="Y1178" t="str">
            <v>R67/II2GDEDRN100LS4/3D/KCC/AL</v>
          </cell>
          <cell r="Z1178" t="str">
            <v>SEW</v>
          </cell>
          <cell r="AB1178" t="str">
            <v>ATEX22</v>
          </cell>
          <cell r="AF1178">
            <v>96</v>
          </cell>
          <cell r="AG1178" t="str">
            <v>EDRN100LS4</v>
          </cell>
          <cell r="AH1178" t="str">
            <v>R67-EDRN100LS4270-X</v>
          </cell>
        </row>
        <row r="1179">
          <cell r="A1179" t="str">
            <v>MR001175</v>
          </cell>
          <cell r="B1179" t="str">
            <v>MR</v>
          </cell>
          <cell r="C1179">
            <v>5.5</v>
          </cell>
          <cell r="D1179">
            <v>16</v>
          </cell>
          <cell r="E1179" t="str">
            <v>R107</v>
          </cell>
          <cell r="F1179">
            <v>3330</v>
          </cell>
          <cell r="G1179">
            <v>92.7</v>
          </cell>
          <cell r="H1179">
            <v>1.3</v>
          </cell>
          <cell r="I1179" t="str">
            <v>From M1 to M2 - 15°</v>
          </cell>
          <cell r="J1179" t="str">
            <v>IE3</v>
          </cell>
          <cell r="K1179" t="str">
            <v>230/400</v>
          </cell>
          <cell r="L1179">
            <v>50</v>
          </cell>
          <cell r="M1179" t="str">
            <v>19/11</v>
          </cell>
          <cell r="N1179">
            <v>55</v>
          </cell>
          <cell r="O1179" t="str">
            <v>F(105°C)</v>
          </cell>
          <cell r="P1179" t="str">
            <v>270°</v>
          </cell>
          <cell r="Q1179" t="str">
            <v>TF</v>
          </cell>
          <cell r="R1179" t="str">
            <v>V(VE)</v>
          </cell>
          <cell r="S1179" t="str">
            <v>-</v>
          </cell>
          <cell r="T1179" t="str">
            <v>-</v>
          </cell>
          <cell r="U1179" t="str">
            <v>-</v>
          </cell>
          <cell r="V1179" t="str">
            <v>FC</v>
          </cell>
          <cell r="W1179" t="str">
            <v>-</v>
          </cell>
          <cell r="X1179" t="str">
            <v>CLP PG VG 220 = -20° + 80°</v>
          </cell>
          <cell r="Y1179" t="str">
            <v>R107/II2GDEDRN132S4/3D/KCC/TF/VE</v>
          </cell>
          <cell r="Z1179" t="str">
            <v>SEW</v>
          </cell>
          <cell r="AB1179" t="str">
            <v>ATEX22</v>
          </cell>
          <cell r="AF1179">
            <v>16</v>
          </cell>
          <cell r="AG1179" t="str">
            <v>EDRN132S4</v>
          </cell>
          <cell r="AH1179" t="str">
            <v>R107-EDRN132S4270-X#</v>
          </cell>
        </row>
        <row r="1180">
          <cell r="A1180" t="str">
            <v>MR001176</v>
          </cell>
          <cell r="B1180" t="str">
            <v>MR</v>
          </cell>
          <cell r="C1180">
            <v>5.5</v>
          </cell>
          <cell r="D1180">
            <v>14</v>
          </cell>
          <cell r="E1180" t="str">
            <v>KH97</v>
          </cell>
          <cell r="F1180">
            <v>3770</v>
          </cell>
          <cell r="G1180">
            <v>105.13</v>
          </cell>
          <cell r="H1180">
            <v>1.1000000000000001</v>
          </cell>
          <cell r="I1180" t="str">
            <v>From M1A to M2A - 45°</v>
          </cell>
          <cell r="J1180" t="str">
            <v>IE3</v>
          </cell>
          <cell r="K1180" t="str">
            <v>230/400</v>
          </cell>
          <cell r="L1180">
            <v>50</v>
          </cell>
          <cell r="M1180" t="str">
            <v>19/11</v>
          </cell>
          <cell r="N1180">
            <v>55</v>
          </cell>
          <cell r="O1180" t="str">
            <v>F(105°C)</v>
          </cell>
          <cell r="P1180" t="str">
            <v>270°</v>
          </cell>
          <cell r="Q1180" t="str">
            <v>TF</v>
          </cell>
          <cell r="R1180" t="str">
            <v>V(VE)</v>
          </cell>
          <cell r="S1180" t="str">
            <v>-</v>
          </cell>
          <cell r="T1180" t="str">
            <v>-</v>
          </cell>
          <cell r="U1180" t="str">
            <v>-</v>
          </cell>
          <cell r="V1180" t="str">
            <v>FC</v>
          </cell>
          <cell r="W1180" t="str">
            <v>-</v>
          </cell>
          <cell r="X1180" t="str">
            <v>CLP PG VG 220 = -20° + 80°</v>
          </cell>
          <cell r="Y1180" t="str">
            <v>KH97/II2GDEDRN132S4/3D/KCC/TF/VE</v>
          </cell>
          <cell r="Z1180" t="str">
            <v>SEW</v>
          </cell>
          <cell r="AB1180" t="str">
            <v>ATEX22</v>
          </cell>
          <cell r="AF1180">
            <v>14</v>
          </cell>
          <cell r="AG1180" t="str">
            <v>EDRN132S4</v>
          </cell>
          <cell r="AH1180" t="str">
            <v>KH97-EDRN132S4A270-X#</v>
          </cell>
        </row>
        <row r="1181">
          <cell r="A1181" t="str">
            <v>MR001177</v>
          </cell>
          <cell r="B1181" t="str">
            <v>MR</v>
          </cell>
          <cell r="C1181">
            <v>2.2000000000000002</v>
          </cell>
          <cell r="D1181">
            <v>95</v>
          </cell>
          <cell r="E1181" t="str">
            <v>KH67</v>
          </cell>
          <cell r="F1181">
            <v>220</v>
          </cell>
          <cell r="G1181">
            <v>15.19</v>
          </cell>
          <cell r="H1181">
            <v>3.2</v>
          </cell>
          <cell r="I1181" t="str">
            <v>M1A</v>
          </cell>
          <cell r="J1181" t="str">
            <v>IE3</v>
          </cell>
          <cell r="K1181" t="str">
            <v>230/400</v>
          </cell>
          <cell r="L1181">
            <v>50</v>
          </cell>
          <cell r="M1181" t="str">
            <v>8,3/4,75</v>
          </cell>
          <cell r="N1181">
            <v>55</v>
          </cell>
          <cell r="O1181" t="str">
            <v>F(105°C)</v>
          </cell>
          <cell r="P1181" t="str">
            <v>270°</v>
          </cell>
          <cell r="Q1181" t="str">
            <v>-</v>
          </cell>
          <cell r="R1181" t="str">
            <v>-</v>
          </cell>
          <cell r="S1181" t="str">
            <v>-</v>
          </cell>
          <cell r="T1181" t="str">
            <v>-</v>
          </cell>
          <cell r="U1181" t="str">
            <v>T</v>
          </cell>
          <cell r="V1181" t="str">
            <v>D</v>
          </cell>
          <cell r="W1181" t="str">
            <v>-</v>
          </cell>
          <cell r="X1181" t="str">
            <v>CLP VG 220 = -15° + 40°</v>
          </cell>
          <cell r="Y1181" t="str">
            <v>KH67/T DRN100LS4</v>
          </cell>
          <cell r="Z1181" t="str">
            <v>SEW</v>
          </cell>
          <cell r="AB1181" t="str">
            <v>-</v>
          </cell>
          <cell r="AF1181">
            <v>95</v>
          </cell>
          <cell r="AG1181" t="str">
            <v>DRN100LS4</v>
          </cell>
          <cell r="AH1181" t="str">
            <v>KH67T-DRN100LS4A270-X</v>
          </cell>
        </row>
        <row r="1182">
          <cell r="A1182" t="str">
            <v>MR001178</v>
          </cell>
          <cell r="B1182" t="str">
            <v>MR</v>
          </cell>
          <cell r="C1182">
            <v>1.5</v>
          </cell>
          <cell r="D1182">
            <v>40</v>
          </cell>
          <cell r="E1182" t="str">
            <v>FA67</v>
          </cell>
          <cell r="F1182">
            <v>350</v>
          </cell>
          <cell r="G1182">
            <v>36.299999999999997</v>
          </cell>
          <cell r="H1182">
            <v>2.2999999999999998</v>
          </cell>
          <cell r="I1182" t="str">
            <v>M1</v>
          </cell>
          <cell r="J1182" t="str">
            <v>IE3</v>
          </cell>
          <cell r="K1182">
            <v>400</v>
          </cell>
          <cell r="L1182">
            <v>50</v>
          </cell>
          <cell r="N1182">
            <v>55</v>
          </cell>
          <cell r="O1182" t="str">
            <v>F(105°C)</v>
          </cell>
          <cell r="P1182" t="str">
            <v>270°</v>
          </cell>
          <cell r="Q1182" t="str">
            <v>TF</v>
          </cell>
          <cell r="R1182" t="str">
            <v>V(VE)</v>
          </cell>
          <cell r="S1182" t="str">
            <v>-</v>
          </cell>
          <cell r="T1182" t="str">
            <v>-</v>
          </cell>
          <cell r="U1182" t="str">
            <v>-</v>
          </cell>
          <cell r="V1182" t="str">
            <v>FC</v>
          </cell>
          <cell r="W1182" t="str">
            <v>-</v>
          </cell>
          <cell r="X1182" t="str">
            <v>CLP VG 220 = -15° + 40°</v>
          </cell>
          <cell r="Y1182" t="str">
            <v>FA67DRN90L4 /TF/V</v>
          </cell>
          <cell r="Z1182" t="str">
            <v>SEW</v>
          </cell>
          <cell r="AB1182" t="str">
            <v>-</v>
          </cell>
          <cell r="AF1182">
            <v>40</v>
          </cell>
          <cell r="AG1182" t="str">
            <v>DRN90L4</v>
          </cell>
          <cell r="AH1182" t="str">
            <v>FA67-DRN90L4270-X#</v>
          </cell>
        </row>
        <row r="1183">
          <cell r="A1183" t="str">
            <v>MR001179</v>
          </cell>
          <cell r="B1183" t="str">
            <v>MR</v>
          </cell>
          <cell r="C1183">
            <v>11</v>
          </cell>
          <cell r="D1183">
            <v>76</v>
          </cell>
          <cell r="E1183" t="str">
            <v>KH87</v>
          </cell>
          <cell r="F1183">
            <v>1380</v>
          </cell>
          <cell r="G1183">
            <v>19.45</v>
          </cell>
          <cell r="H1183">
            <v>1.65</v>
          </cell>
          <cell r="I1183" t="str">
            <v>From M1 A to M4A - 85°</v>
          </cell>
          <cell r="J1183" t="str">
            <v>IE3</v>
          </cell>
          <cell r="K1183">
            <v>400</v>
          </cell>
          <cell r="L1183">
            <v>50</v>
          </cell>
          <cell r="N1183">
            <v>55</v>
          </cell>
          <cell r="O1183" t="str">
            <v>F(105°C)</v>
          </cell>
          <cell r="P1183" t="str">
            <v>270°</v>
          </cell>
          <cell r="Q1183" t="str">
            <v>TF</v>
          </cell>
          <cell r="R1183" t="str">
            <v>V(VE)</v>
          </cell>
          <cell r="S1183" t="str">
            <v>Free rotation CCW</v>
          </cell>
          <cell r="T1183" t="str">
            <v>-</v>
          </cell>
          <cell r="U1183" t="str">
            <v>T</v>
          </cell>
          <cell r="V1183" t="str">
            <v>FC</v>
          </cell>
          <cell r="W1183" t="str">
            <v>-</v>
          </cell>
          <cell r="X1183" t="str">
            <v>CLP VG 220 = -15° + 40°</v>
          </cell>
          <cell r="Y1183" t="str">
            <v>KH87/T DRN160M4 /RS /TF/V</v>
          </cell>
          <cell r="AB1183" t="str">
            <v>-</v>
          </cell>
          <cell r="AF1183">
            <v>76</v>
          </cell>
          <cell r="AG1183" t="str">
            <v>DRN160M4</v>
          </cell>
          <cell r="AH1183" t="str">
            <v>KH87T-DRN160M4A270-X#</v>
          </cell>
        </row>
        <row r="1184">
          <cell r="A1184" t="str">
            <v>MR001180</v>
          </cell>
          <cell r="B1184" t="str">
            <v>MR</v>
          </cell>
          <cell r="C1184">
            <v>0.75</v>
          </cell>
          <cell r="D1184">
            <v>162</v>
          </cell>
          <cell r="E1184" t="str">
            <v>KA37</v>
          </cell>
          <cell r="F1184">
            <v>44</v>
          </cell>
          <cell r="G1184">
            <v>8.91</v>
          </cell>
          <cell r="H1184">
            <v>3.6</v>
          </cell>
          <cell r="I1184" t="str">
            <v>From M3A to M4A - 5°</v>
          </cell>
          <cell r="J1184" t="str">
            <v>IE3</v>
          </cell>
          <cell r="K1184">
            <v>400</v>
          </cell>
          <cell r="L1184">
            <v>50</v>
          </cell>
          <cell r="N1184">
            <v>55</v>
          </cell>
          <cell r="O1184" t="str">
            <v>F(105°C)</v>
          </cell>
          <cell r="P1184" t="str">
            <v>180°</v>
          </cell>
          <cell r="Q1184" t="str">
            <v>-</v>
          </cell>
          <cell r="R1184" t="str">
            <v>-</v>
          </cell>
          <cell r="S1184" t="str">
            <v>-</v>
          </cell>
          <cell r="T1184" t="str">
            <v>-</v>
          </cell>
          <cell r="U1184" t="str">
            <v>T</v>
          </cell>
          <cell r="V1184" t="str">
            <v>D</v>
          </cell>
          <cell r="W1184" t="str">
            <v>-</v>
          </cell>
          <cell r="X1184" t="str">
            <v>CLP VG 220 = -15° + 40°</v>
          </cell>
          <cell r="Y1184" t="str">
            <v>KA37/T DRN80M4</v>
          </cell>
          <cell r="Z1184" t="str">
            <v>SEW</v>
          </cell>
          <cell r="AB1184" t="str">
            <v>-</v>
          </cell>
          <cell r="AF1184">
            <v>162</v>
          </cell>
          <cell r="AG1184" t="str">
            <v>DRN80M4</v>
          </cell>
          <cell r="AH1184" t="str">
            <v>KA37T-DRN80M4A180-X</v>
          </cell>
        </row>
        <row r="1185">
          <cell r="A1185" t="str">
            <v>MR001181</v>
          </cell>
          <cell r="B1185" t="str">
            <v>MR</v>
          </cell>
          <cell r="C1185">
            <v>11</v>
          </cell>
          <cell r="D1185">
            <v>16</v>
          </cell>
          <cell r="E1185" t="str">
            <v>KH107</v>
          </cell>
          <cell r="F1185">
            <v>6480</v>
          </cell>
          <cell r="G1185">
            <v>90.96</v>
          </cell>
          <cell r="H1185">
            <v>1.25</v>
          </cell>
          <cell r="I1185" t="str">
            <v>From M1A to M4A - 45°</v>
          </cell>
          <cell r="J1185" t="str">
            <v>IE3</v>
          </cell>
          <cell r="K1185">
            <v>400</v>
          </cell>
          <cell r="L1185">
            <v>50</v>
          </cell>
          <cell r="M1185">
            <v>21</v>
          </cell>
          <cell r="N1185">
            <v>55</v>
          </cell>
          <cell r="O1185" t="str">
            <v>F(105°C)</v>
          </cell>
          <cell r="P1185" t="str">
            <v>270°</v>
          </cell>
          <cell r="Q1185" t="str">
            <v>TF</v>
          </cell>
          <cell r="R1185" t="str">
            <v>V(VE)</v>
          </cell>
          <cell r="S1185" t="str">
            <v>-</v>
          </cell>
          <cell r="T1185" t="str">
            <v>-</v>
          </cell>
          <cell r="U1185" t="str">
            <v>T</v>
          </cell>
          <cell r="V1185" t="str">
            <v>FC</v>
          </cell>
          <cell r="W1185" t="str">
            <v>-</v>
          </cell>
          <cell r="X1185" t="str">
            <v>CLP VG 220 = -15° + 40°</v>
          </cell>
          <cell r="Y1185" t="str">
            <v>KH107/T DRN160M4 /TF/V</v>
          </cell>
          <cell r="Z1185" t="str">
            <v>SEW</v>
          </cell>
          <cell r="AB1185" t="str">
            <v>-</v>
          </cell>
          <cell r="AF1185">
            <v>16</v>
          </cell>
          <cell r="AG1185" t="str">
            <v>DRN160M4</v>
          </cell>
          <cell r="AH1185" t="str">
            <v>KH107T-DRN160M4A270-X#</v>
          </cell>
        </row>
        <row r="1186">
          <cell r="A1186" t="str">
            <v>MR001182</v>
          </cell>
          <cell r="B1186" t="str">
            <v>MR</v>
          </cell>
          <cell r="C1186">
            <v>11</v>
          </cell>
          <cell r="D1186">
            <v>16</v>
          </cell>
          <cell r="E1186" t="str">
            <v>KH107</v>
          </cell>
          <cell r="F1186">
            <v>6480</v>
          </cell>
          <cell r="G1186">
            <v>90.96</v>
          </cell>
          <cell r="H1186">
            <v>1.25</v>
          </cell>
          <cell r="I1186" t="str">
            <v>From M1B to M4B - 45°</v>
          </cell>
          <cell r="J1186" t="str">
            <v>IE3</v>
          </cell>
          <cell r="K1186">
            <v>400</v>
          </cell>
          <cell r="L1186">
            <v>50</v>
          </cell>
          <cell r="M1186">
            <v>21</v>
          </cell>
          <cell r="N1186">
            <v>55</v>
          </cell>
          <cell r="O1186" t="str">
            <v>F(105°C)</v>
          </cell>
          <cell r="P1186" t="str">
            <v>270°</v>
          </cell>
          <cell r="Q1186" t="str">
            <v>TF</v>
          </cell>
          <cell r="R1186" t="str">
            <v>V(VE)</v>
          </cell>
          <cell r="S1186" t="str">
            <v>-</v>
          </cell>
          <cell r="T1186" t="str">
            <v>-</v>
          </cell>
          <cell r="U1186" t="str">
            <v>T</v>
          </cell>
          <cell r="V1186" t="str">
            <v>FC</v>
          </cell>
          <cell r="W1186" t="str">
            <v>-</v>
          </cell>
          <cell r="X1186" t="str">
            <v>CLP VG 220 = -15° + 40°</v>
          </cell>
          <cell r="Y1186" t="str">
            <v>KH107/T DRN160M4 /TF/V</v>
          </cell>
          <cell r="Z1186" t="str">
            <v>SEW</v>
          </cell>
          <cell r="AB1186" t="str">
            <v>-</v>
          </cell>
          <cell r="AF1186">
            <v>16</v>
          </cell>
          <cell r="AG1186" t="str">
            <v>DRN160M4</v>
          </cell>
          <cell r="AH1186" t="str">
            <v>KH107T-DRN160M4B270-X#</v>
          </cell>
        </row>
        <row r="1187">
          <cell r="A1187" t="str">
            <v>MR001183</v>
          </cell>
          <cell r="B1187" t="str">
            <v>MR</v>
          </cell>
          <cell r="C1187">
            <v>22</v>
          </cell>
          <cell r="D1187">
            <v>12.4</v>
          </cell>
          <cell r="E1187" t="str">
            <v>KH157</v>
          </cell>
          <cell r="F1187">
            <v>14400</v>
          </cell>
          <cell r="G1187">
            <v>122.39</v>
          </cell>
          <cell r="H1187">
            <v>1.25</v>
          </cell>
          <cell r="I1187" t="str">
            <v>From M1B to M2B - 5°</v>
          </cell>
          <cell r="J1187" t="str">
            <v>IE3</v>
          </cell>
          <cell r="K1187">
            <v>480</v>
          </cell>
          <cell r="L1187">
            <v>60</v>
          </cell>
          <cell r="N1187">
            <v>56</v>
          </cell>
          <cell r="O1187" t="str">
            <v>F(105°C)</v>
          </cell>
          <cell r="P1187" t="str">
            <v>270°</v>
          </cell>
          <cell r="Q1187" t="str">
            <v>TF</v>
          </cell>
          <cell r="R1187" t="str">
            <v>-</v>
          </cell>
          <cell r="S1187" t="str">
            <v>-</v>
          </cell>
          <cell r="T1187" t="str">
            <v>-</v>
          </cell>
          <cell r="U1187" t="str">
            <v>-</v>
          </cell>
          <cell r="V1187" t="str">
            <v>SS</v>
          </cell>
          <cell r="W1187" t="str">
            <v>-</v>
          </cell>
          <cell r="X1187" t="str">
            <v>CLP (CC) VG 220 = -15° + 40°</v>
          </cell>
          <cell r="Y1187" t="str">
            <v>KH157DRN180L4 /TF</v>
          </cell>
          <cell r="Z1187" t="str">
            <v>SEW</v>
          </cell>
          <cell r="AB1187" t="str">
            <v>-</v>
          </cell>
          <cell r="AD1187" t="str">
            <v>USA</v>
          </cell>
          <cell r="AE1187" t="str">
            <v>USA UR (60HZ-UL APPROVED)</v>
          </cell>
          <cell r="AF1187">
            <v>14.88</v>
          </cell>
          <cell r="AG1187" t="str">
            <v>DRN180L4</v>
          </cell>
          <cell r="AH1187" t="str">
            <v>KH157-DRN180L4B270-X</v>
          </cell>
        </row>
        <row r="1188">
          <cell r="A1188" t="str">
            <v>MR001184</v>
          </cell>
          <cell r="B1188" t="str">
            <v>MR</v>
          </cell>
          <cell r="C1188">
            <v>15</v>
          </cell>
          <cell r="D1188">
            <v>12.4</v>
          </cell>
          <cell r="E1188" t="str">
            <v>KH127</v>
          </cell>
          <cell r="F1188">
            <v>9870</v>
          </cell>
          <cell r="G1188">
            <v>122.48</v>
          </cell>
          <cell r="H1188">
            <v>1.3</v>
          </cell>
          <cell r="I1188" t="str">
            <v>From M1A to M2 - 20°</v>
          </cell>
          <cell r="J1188" t="str">
            <v>IE3</v>
          </cell>
          <cell r="K1188">
            <v>480</v>
          </cell>
          <cell r="L1188">
            <v>60</v>
          </cell>
          <cell r="N1188">
            <v>56</v>
          </cell>
          <cell r="O1188" t="str">
            <v>F(105°C)</v>
          </cell>
          <cell r="P1188" t="str">
            <v>270°</v>
          </cell>
          <cell r="Q1188" t="str">
            <v>TF</v>
          </cell>
          <cell r="R1188" t="str">
            <v>-</v>
          </cell>
          <cell r="S1188" t="str">
            <v>-</v>
          </cell>
          <cell r="T1188" t="str">
            <v>-</v>
          </cell>
          <cell r="U1188" t="str">
            <v>-</v>
          </cell>
          <cell r="V1188" t="str">
            <v>FC</v>
          </cell>
          <cell r="W1188" t="str">
            <v>-</v>
          </cell>
          <cell r="X1188" t="str">
            <v>CLP (CC) VG 220 = -15° + 40°</v>
          </cell>
          <cell r="Y1188" t="str">
            <v>KH127DRN160L4 /TF</v>
          </cell>
          <cell r="Z1188" t="str">
            <v>SEW</v>
          </cell>
          <cell r="AB1188" t="str">
            <v>-</v>
          </cell>
          <cell r="AD1188" t="str">
            <v>USA</v>
          </cell>
          <cell r="AE1188" t="str">
            <v>USA UR (60HZ-UL APPROVED)</v>
          </cell>
          <cell r="AF1188">
            <v>14.88</v>
          </cell>
          <cell r="AG1188" t="str">
            <v>DRN160L4</v>
          </cell>
          <cell r="AH1188" t="str">
            <v>KH127-DRN160L4A270-X</v>
          </cell>
        </row>
        <row r="1189">
          <cell r="A1189" t="str">
            <v>MR001185</v>
          </cell>
          <cell r="B1189" t="str">
            <v>MR</v>
          </cell>
          <cell r="C1189">
            <v>18.5</v>
          </cell>
          <cell r="D1189">
            <v>53</v>
          </cell>
          <cell r="E1189" t="str">
            <v>KH97</v>
          </cell>
          <cell r="F1189">
            <v>3330</v>
          </cell>
          <cell r="G1189">
            <v>27.91</v>
          </cell>
          <cell r="H1189">
            <v>1.3</v>
          </cell>
          <cell r="I1189" t="str">
            <v>M4A</v>
          </cell>
          <cell r="J1189" t="str">
            <v>IE3</v>
          </cell>
          <cell r="K1189">
            <v>415</v>
          </cell>
          <cell r="L1189">
            <v>50</v>
          </cell>
          <cell r="M1189" t="str">
            <v>33,5</v>
          </cell>
          <cell r="N1189">
            <v>55</v>
          </cell>
          <cell r="O1189" t="str">
            <v>F(105°C)</v>
          </cell>
          <cell r="P1189" t="str">
            <v>270°</v>
          </cell>
          <cell r="Q1189" t="str">
            <v>-</v>
          </cell>
          <cell r="R1189" t="str">
            <v>-</v>
          </cell>
          <cell r="S1189" t="str">
            <v>Free rotation CCW</v>
          </cell>
          <cell r="T1189" t="str">
            <v>-</v>
          </cell>
          <cell r="U1189" t="str">
            <v>T</v>
          </cell>
          <cell r="V1189" t="str">
            <v>SS</v>
          </cell>
          <cell r="W1189" t="str">
            <v>-</v>
          </cell>
          <cell r="X1189" t="str">
            <v>CLP VG 220 = -15° + 40°</v>
          </cell>
          <cell r="Y1189" t="str">
            <v>KH97/T DRN180M4 /RS</v>
          </cell>
          <cell r="Z1189" t="str">
            <v>SEW</v>
          </cell>
          <cell r="AB1189" t="str">
            <v>-</v>
          </cell>
          <cell r="AF1189">
            <v>53</v>
          </cell>
          <cell r="AG1189" t="str">
            <v>DRN180M4</v>
          </cell>
          <cell r="AH1189" t="str">
            <v>KH97T-DRN180M4A270-X</v>
          </cell>
        </row>
        <row r="1190">
          <cell r="A1190" t="str">
            <v>MR001186</v>
          </cell>
          <cell r="B1190" t="str">
            <v>MR</v>
          </cell>
          <cell r="C1190">
            <v>0.75</v>
          </cell>
          <cell r="D1190">
            <v>162</v>
          </cell>
          <cell r="E1190" t="str">
            <v>KA37</v>
          </cell>
          <cell r="F1190">
            <v>44</v>
          </cell>
          <cell r="G1190">
            <v>8.91</v>
          </cell>
          <cell r="H1190">
            <v>3.6</v>
          </cell>
          <cell r="I1190" t="str">
            <v>From M1A to M2A - 20°</v>
          </cell>
          <cell r="J1190" t="str">
            <v>IE3</v>
          </cell>
          <cell r="K1190">
            <v>415</v>
          </cell>
          <cell r="L1190">
            <v>50</v>
          </cell>
          <cell r="M1190">
            <v>1.75</v>
          </cell>
          <cell r="N1190">
            <v>55</v>
          </cell>
          <cell r="O1190" t="str">
            <v>F(105°C)</v>
          </cell>
          <cell r="P1190" t="str">
            <v>270°</v>
          </cell>
          <cell r="Q1190" t="str">
            <v>-</v>
          </cell>
          <cell r="R1190" t="str">
            <v>-</v>
          </cell>
          <cell r="S1190" t="str">
            <v>-</v>
          </cell>
          <cell r="T1190" t="str">
            <v>-</v>
          </cell>
          <cell r="U1190" t="str">
            <v>T</v>
          </cell>
          <cell r="V1190" t="str">
            <v>D</v>
          </cell>
          <cell r="W1190" t="str">
            <v>-</v>
          </cell>
          <cell r="X1190" t="str">
            <v>CLP VG 220 = -15° + 40°</v>
          </cell>
          <cell r="Y1190" t="str">
            <v>KA37/T DRN80M4</v>
          </cell>
          <cell r="Z1190" t="str">
            <v>SEW</v>
          </cell>
          <cell r="AB1190" t="str">
            <v>-</v>
          </cell>
          <cell r="AF1190">
            <v>162</v>
          </cell>
          <cell r="AG1190" t="str">
            <v>DRN80M4</v>
          </cell>
          <cell r="AH1190" t="str">
            <v>KA37T-DRN80M4A270-X</v>
          </cell>
        </row>
        <row r="1191">
          <cell r="A1191" t="str">
            <v>MR001187</v>
          </cell>
          <cell r="B1191" t="str">
            <v>MR</v>
          </cell>
          <cell r="C1191">
            <v>18.5</v>
          </cell>
          <cell r="D1191">
            <v>45</v>
          </cell>
          <cell r="E1191" t="str">
            <v>R137</v>
          </cell>
          <cell r="F1191">
            <v>3930</v>
          </cell>
          <cell r="G1191">
            <v>32.909999999999997</v>
          </cell>
          <cell r="H1191">
            <v>2</v>
          </cell>
          <cell r="I1191" t="str">
            <v>M1</v>
          </cell>
          <cell r="J1191" t="str">
            <v>IE3</v>
          </cell>
          <cell r="K1191">
            <v>415</v>
          </cell>
          <cell r="L1191">
            <v>50</v>
          </cell>
          <cell r="M1191" t="str">
            <v>33,5</v>
          </cell>
          <cell r="N1191">
            <v>55</v>
          </cell>
          <cell r="O1191" t="str">
            <v>F(105°C)</v>
          </cell>
          <cell r="P1191" t="str">
            <v>270°</v>
          </cell>
          <cell r="Q1191" t="str">
            <v>TF</v>
          </cell>
          <cell r="R1191" t="str">
            <v>V(VE)</v>
          </cell>
          <cell r="S1191" t="str">
            <v>-</v>
          </cell>
          <cell r="T1191" t="str">
            <v>-</v>
          </cell>
          <cell r="U1191" t="str">
            <v>-</v>
          </cell>
          <cell r="V1191" t="str">
            <v>FC</v>
          </cell>
          <cell r="W1191" t="str">
            <v>-</v>
          </cell>
          <cell r="X1191" t="str">
            <v>CLP VG 220 = -15° + 40°</v>
          </cell>
          <cell r="Y1191" t="str">
            <v>R137DRN180M4 /TF/V</v>
          </cell>
          <cell r="Z1191" t="str">
            <v>SEW</v>
          </cell>
          <cell r="AB1191" t="str">
            <v>-</v>
          </cell>
          <cell r="AF1191">
            <v>45</v>
          </cell>
          <cell r="AG1191" t="str">
            <v>DRN180M4</v>
          </cell>
          <cell r="AH1191" t="str">
            <v>R137-DRN180M4270-X#</v>
          </cell>
        </row>
        <row r="1192">
          <cell r="A1192" t="str">
            <v>MR001188</v>
          </cell>
          <cell r="B1192" t="str">
            <v>MR</v>
          </cell>
          <cell r="C1192">
            <v>11</v>
          </cell>
          <cell r="D1192">
            <v>16</v>
          </cell>
          <cell r="E1192" t="str">
            <v>KH107</v>
          </cell>
          <cell r="F1192">
            <v>6480</v>
          </cell>
          <cell r="G1192">
            <v>90.96</v>
          </cell>
          <cell r="H1192">
            <v>1.25</v>
          </cell>
          <cell r="I1192" t="str">
            <v>From M1A to M2A - 25°</v>
          </cell>
          <cell r="J1192" t="str">
            <v>IE3</v>
          </cell>
          <cell r="K1192">
            <v>415</v>
          </cell>
          <cell r="L1192">
            <v>50</v>
          </cell>
          <cell r="M1192">
            <v>21</v>
          </cell>
          <cell r="N1192">
            <v>55</v>
          </cell>
          <cell r="O1192" t="str">
            <v>F(105°C)</v>
          </cell>
          <cell r="P1192" t="str">
            <v>270°</v>
          </cell>
          <cell r="Q1192" t="str">
            <v>-</v>
          </cell>
          <cell r="R1192" t="str">
            <v>-</v>
          </cell>
          <cell r="S1192" t="str">
            <v>-</v>
          </cell>
          <cell r="T1192" t="str">
            <v>-</v>
          </cell>
          <cell r="U1192" t="str">
            <v>-</v>
          </cell>
          <cell r="V1192" t="str">
            <v>SS</v>
          </cell>
          <cell r="W1192" t="str">
            <v>-</v>
          </cell>
          <cell r="X1192" t="str">
            <v>CLP VG 220 = -15° + 40°</v>
          </cell>
          <cell r="Y1192" t="str">
            <v>KH107DRN160M4</v>
          </cell>
          <cell r="Z1192" t="str">
            <v>SEW</v>
          </cell>
          <cell r="AB1192" t="str">
            <v>-</v>
          </cell>
          <cell r="AF1192">
            <v>16</v>
          </cell>
          <cell r="AG1192" t="str">
            <v>DRN160M4</v>
          </cell>
          <cell r="AH1192" t="str">
            <v>KH107-DRN160M4A270-X</v>
          </cell>
        </row>
        <row r="1193">
          <cell r="A1193" t="str">
            <v>MR001189</v>
          </cell>
          <cell r="B1193" t="str">
            <v>MR</v>
          </cell>
          <cell r="C1193">
            <v>9.1999999999999993</v>
          </cell>
          <cell r="D1193">
            <v>15</v>
          </cell>
          <cell r="E1193" t="str">
            <v>KH107</v>
          </cell>
          <cell r="F1193">
            <v>6020</v>
          </cell>
          <cell r="G1193">
            <v>100.75</v>
          </cell>
          <cell r="H1193">
            <v>1.35</v>
          </cell>
          <cell r="I1193" t="str">
            <v>From M1A to M2A - 35°</v>
          </cell>
          <cell r="J1193" t="str">
            <v>IE3</v>
          </cell>
          <cell r="K1193">
            <v>415</v>
          </cell>
          <cell r="L1193">
            <v>50</v>
          </cell>
          <cell r="M1193" t="str">
            <v>18,7</v>
          </cell>
          <cell r="N1193">
            <v>55</v>
          </cell>
          <cell r="O1193" t="str">
            <v>F(105°C)</v>
          </cell>
          <cell r="P1193" t="str">
            <v>270°</v>
          </cell>
          <cell r="Q1193" t="str">
            <v>-</v>
          </cell>
          <cell r="R1193" t="str">
            <v>-</v>
          </cell>
          <cell r="S1193" t="str">
            <v>-</v>
          </cell>
          <cell r="T1193" t="str">
            <v>-</v>
          </cell>
          <cell r="U1193" t="str">
            <v>-</v>
          </cell>
          <cell r="V1193" t="str">
            <v>SS</v>
          </cell>
          <cell r="W1193" t="str">
            <v>-</v>
          </cell>
          <cell r="X1193" t="str">
            <v>CLP VG 220 = -15° + 40°</v>
          </cell>
          <cell r="Y1193" t="str">
            <v>KH107DRN132L4</v>
          </cell>
          <cell r="Z1193" t="str">
            <v>SEW</v>
          </cell>
          <cell r="AB1193" t="str">
            <v>-</v>
          </cell>
          <cell r="AF1193">
            <v>15</v>
          </cell>
          <cell r="AG1193" t="str">
            <v>DRN132L4</v>
          </cell>
          <cell r="AH1193" t="str">
            <v>KH107-DRN132L4A270-X</v>
          </cell>
        </row>
        <row r="1194">
          <cell r="A1194" t="str">
            <v>MR001190</v>
          </cell>
          <cell r="B1194" t="str">
            <v>MR</v>
          </cell>
          <cell r="C1194">
            <v>7.5</v>
          </cell>
          <cell r="D1194">
            <v>31</v>
          </cell>
          <cell r="E1194" t="str">
            <v>R97</v>
          </cell>
          <cell r="F1194">
            <v>2320</v>
          </cell>
          <cell r="G1194">
            <v>47.58</v>
          </cell>
          <cell r="H1194">
            <v>1.3</v>
          </cell>
          <cell r="I1194" t="str">
            <v>From M1 to M2 - 10°</v>
          </cell>
          <cell r="J1194" t="str">
            <v>IE3</v>
          </cell>
          <cell r="K1194">
            <v>415</v>
          </cell>
          <cell r="L1194">
            <v>50</v>
          </cell>
          <cell r="M1194" t="str">
            <v>15,2</v>
          </cell>
          <cell r="N1194">
            <v>55</v>
          </cell>
          <cell r="O1194" t="str">
            <v>F(105°C)</v>
          </cell>
          <cell r="P1194" t="str">
            <v>270°</v>
          </cell>
          <cell r="Q1194" t="str">
            <v>TF</v>
          </cell>
          <cell r="R1194" t="str">
            <v>V(VE)</v>
          </cell>
          <cell r="S1194" t="str">
            <v>-</v>
          </cell>
          <cell r="T1194" t="str">
            <v>-</v>
          </cell>
          <cell r="U1194" t="str">
            <v>-</v>
          </cell>
          <cell r="V1194" t="str">
            <v>FC</v>
          </cell>
          <cell r="W1194" t="str">
            <v>-</v>
          </cell>
          <cell r="X1194" t="str">
            <v>CLP VG 220 = -15° + 40°</v>
          </cell>
          <cell r="Y1194" t="str">
            <v>R97DRN132M4 /TF/V</v>
          </cell>
          <cell r="Z1194" t="str">
            <v>SEW</v>
          </cell>
          <cell r="AB1194" t="str">
            <v>-</v>
          </cell>
          <cell r="AF1194">
            <v>31</v>
          </cell>
          <cell r="AG1194" t="str">
            <v>DRN132M4</v>
          </cell>
          <cell r="AH1194" t="str">
            <v>R97-DRN132M4270-X#</v>
          </cell>
        </row>
        <row r="1195">
          <cell r="A1195" t="str">
            <v>MR001191</v>
          </cell>
          <cell r="B1195" t="str">
            <v>MR</v>
          </cell>
          <cell r="C1195">
            <v>4</v>
          </cell>
          <cell r="D1195">
            <v>61</v>
          </cell>
          <cell r="E1195" t="str">
            <v>KH67</v>
          </cell>
          <cell r="F1195">
            <v>620</v>
          </cell>
          <cell r="G1195">
            <v>24</v>
          </cell>
          <cell r="H1195">
            <v>1.3</v>
          </cell>
          <cell r="I1195" t="str">
            <v>M4A</v>
          </cell>
          <cell r="J1195" t="str">
            <v>IE3</v>
          </cell>
          <cell r="K1195">
            <v>415</v>
          </cell>
          <cell r="L1195">
            <v>50</v>
          </cell>
          <cell r="M1195" t="str">
            <v>7,9</v>
          </cell>
          <cell r="N1195">
            <v>55</v>
          </cell>
          <cell r="O1195" t="str">
            <v>F(105°C)</v>
          </cell>
          <cell r="P1195" t="str">
            <v>270°</v>
          </cell>
          <cell r="Q1195" t="str">
            <v>-</v>
          </cell>
          <cell r="R1195" t="str">
            <v>-</v>
          </cell>
          <cell r="S1195" t="str">
            <v>Free rotation CCW</v>
          </cell>
          <cell r="T1195" t="str">
            <v>-</v>
          </cell>
          <cell r="U1195" t="str">
            <v>T</v>
          </cell>
          <cell r="V1195" t="str">
            <v>SS</v>
          </cell>
          <cell r="W1195" t="str">
            <v>-</v>
          </cell>
          <cell r="X1195" t="str">
            <v>CLP VG 220 = -15° + 40°</v>
          </cell>
          <cell r="Y1195" t="str">
            <v>KH67/T DRN112M4 /RS</v>
          </cell>
          <cell r="Z1195" t="str">
            <v>SEW</v>
          </cell>
          <cell r="AB1195" t="str">
            <v>-</v>
          </cell>
          <cell r="AF1195">
            <v>61</v>
          </cell>
          <cell r="AG1195" t="str">
            <v>DRN112M4</v>
          </cell>
          <cell r="AH1195" t="str">
            <v>KH67T-DRN112M4A270-X</v>
          </cell>
        </row>
        <row r="1196">
          <cell r="A1196" t="str">
            <v>MR001192</v>
          </cell>
          <cell r="B1196" t="str">
            <v>MR</v>
          </cell>
          <cell r="C1196">
            <v>0.75</v>
          </cell>
          <cell r="D1196">
            <v>162</v>
          </cell>
          <cell r="E1196" t="str">
            <v>KA37</v>
          </cell>
          <cell r="F1196">
            <v>44</v>
          </cell>
          <cell r="G1196">
            <v>8.91</v>
          </cell>
          <cell r="H1196">
            <v>3.6</v>
          </cell>
          <cell r="I1196" t="str">
            <v>M1A</v>
          </cell>
          <cell r="J1196" t="str">
            <v>IE3</v>
          </cell>
          <cell r="K1196">
            <v>415</v>
          </cell>
          <cell r="L1196">
            <v>50</v>
          </cell>
          <cell r="M1196" t="str">
            <v>1,75</v>
          </cell>
          <cell r="N1196">
            <v>55</v>
          </cell>
          <cell r="O1196" t="str">
            <v>F(105°C)</v>
          </cell>
          <cell r="P1196" t="str">
            <v>270°</v>
          </cell>
          <cell r="Q1196" t="str">
            <v>-</v>
          </cell>
          <cell r="R1196" t="str">
            <v>-</v>
          </cell>
          <cell r="S1196" t="str">
            <v>-</v>
          </cell>
          <cell r="T1196" t="str">
            <v>-</v>
          </cell>
          <cell r="U1196" t="str">
            <v>T</v>
          </cell>
          <cell r="V1196" t="str">
            <v>D</v>
          </cell>
          <cell r="W1196" t="str">
            <v>-</v>
          </cell>
          <cell r="X1196" t="str">
            <v>CLP VG 220 = -15° + 40°</v>
          </cell>
          <cell r="Y1196" t="str">
            <v>KA37/T DRN80M4</v>
          </cell>
          <cell r="Z1196" t="str">
            <v>SEW</v>
          </cell>
          <cell r="AB1196" t="str">
            <v>-</v>
          </cell>
          <cell r="AF1196">
            <v>162</v>
          </cell>
          <cell r="AG1196" t="str">
            <v>DRN80M4</v>
          </cell>
          <cell r="AH1196" t="str">
            <v>KA37T-DRN80M4A270-X</v>
          </cell>
        </row>
        <row r="1197">
          <cell r="A1197" t="str">
            <v>MR001193</v>
          </cell>
          <cell r="B1197" t="str">
            <v>MR</v>
          </cell>
          <cell r="C1197">
            <v>15</v>
          </cell>
          <cell r="D1197">
            <v>65</v>
          </cell>
          <cell r="E1197" t="str">
            <v>R107</v>
          </cell>
          <cell r="F1197">
            <v>2190</v>
          </cell>
          <cell r="G1197">
            <v>22.62</v>
          </cell>
          <cell r="H1197">
            <v>1.95</v>
          </cell>
          <cell r="I1197" t="str">
            <v>M1</v>
          </cell>
          <cell r="J1197" t="str">
            <v>IE3</v>
          </cell>
          <cell r="K1197">
            <v>415</v>
          </cell>
          <cell r="L1197">
            <v>50</v>
          </cell>
          <cell r="M1197" t="str">
            <v>29</v>
          </cell>
          <cell r="N1197">
            <v>55</v>
          </cell>
          <cell r="O1197" t="str">
            <v>F(105°C)</v>
          </cell>
          <cell r="P1197" t="str">
            <v>270°</v>
          </cell>
          <cell r="Q1197" t="str">
            <v>-</v>
          </cell>
          <cell r="R1197" t="str">
            <v>-</v>
          </cell>
          <cell r="S1197" t="str">
            <v>-</v>
          </cell>
          <cell r="T1197" t="str">
            <v>-</v>
          </cell>
          <cell r="U1197" t="str">
            <v>-</v>
          </cell>
          <cell r="V1197" t="str">
            <v>D</v>
          </cell>
          <cell r="W1197" t="str">
            <v>-</v>
          </cell>
          <cell r="X1197" t="str">
            <v>CLP VG 220 = -15° + 40°</v>
          </cell>
          <cell r="Y1197" t="str">
            <v>R107DRN160L4</v>
          </cell>
          <cell r="Z1197" t="str">
            <v>SEW</v>
          </cell>
          <cell r="AB1197" t="str">
            <v>-</v>
          </cell>
          <cell r="AF1197">
            <v>65</v>
          </cell>
          <cell r="AG1197" t="str">
            <v>DRN160L4</v>
          </cell>
          <cell r="AH1197" t="str">
            <v>R107-DRN160L4270-X</v>
          </cell>
        </row>
        <row r="1198">
          <cell r="A1198" t="str">
            <v>MR001194</v>
          </cell>
          <cell r="B1198" t="str">
            <v>MR</v>
          </cell>
          <cell r="C1198">
            <v>15</v>
          </cell>
          <cell r="D1198">
            <v>13</v>
          </cell>
          <cell r="E1198" t="str">
            <v>KH127</v>
          </cell>
          <cell r="F1198">
            <v>10700</v>
          </cell>
          <cell r="G1198">
            <v>110.18</v>
          </cell>
          <cell r="H1198">
            <v>1.2</v>
          </cell>
          <cell r="I1198" t="str">
            <v>From M1A to M2A - 40°</v>
          </cell>
          <cell r="J1198" t="str">
            <v>IE3</v>
          </cell>
          <cell r="K1198">
            <v>400</v>
          </cell>
          <cell r="L1198">
            <v>50</v>
          </cell>
          <cell r="M1198" t="str">
            <v>29</v>
          </cell>
          <cell r="N1198">
            <v>65</v>
          </cell>
          <cell r="O1198" t="str">
            <v>F(105°C)</v>
          </cell>
          <cell r="P1198" t="str">
            <v>270°</v>
          </cell>
          <cell r="Q1198" t="str">
            <v>-</v>
          </cell>
          <cell r="R1198" t="str">
            <v>-</v>
          </cell>
          <cell r="S1198" t="str">
            <v>-</v>
          </cell>
          <cell r="T1198" t="str">
            <v>-</v>
          </cell>
          <cell r="U1198" t="str">
            <v>-</v>
          </cell>
          <cell r="V1198" t="str">
            <v>SS</v>
          </cell>
          <cell r="W1198" t="str">
            <v>-</v>
          </cell>
          <cell r="X1198" t="str">
            <v>CLP PG VG 220 = -20° + 80°</v>
          </cell>
          <cell r="Y1198" t="str">
            <v>KH127DRN160L4</v>
          </cell>
          <cell r="Z1198" t="str">
            <v>SEW</v>
          </cell>
          <cell r="AB1198" t="str">
            <v>-</v>
          </cell>
          <cell r="AF1198">
            <v>13</v>
          </cell>
          <cell r="AG1198" t="str">
            <v>DRN160L4</v>
          </cell>
          <cell r="AH1198" t="str">
            <v>KH127-DRN160L4A270-X</v>
          </cell>
        </row>
        <row r="1199">
          <cell r="A1199" t="str">
            <v>MR001195</v>
          </cell>
          <cell r="B1199" t="str">
            <v>MR</v>
          </cell>
          <cell r="C1199">
            <v>3</v>
          </cell>
          <cell r="D1199">
            <v>75</v>
          </cell>
          <cell r="E1199" t="str">
            <v>KH67</v>
          </cell>
          <cell r="F1199">
            <v>375</v>
          </cell>
          <cell r="G1199">
            <v>19.3</v>
          </cell>
          <cell r="H1199">
            <v>2</v>
          </cell>
          <cell r="I1199" t="str">
            <v>M4B</v>
          </cell>
          <cell r="J1199" t="str">
            <v>IE3</v>
          </cell>
          <cell r="K1199">
            <v>400</v>
          </cell>
          <cell r="L1199">
            <v>50</v>
          </cell>
          <cell r="M1199">
            <v>6.4</v>
          </cell>
          <cell r="N1199">
            <v>65</v>
          </cell>
          <cell r="O1199" t="str">
            <v>F(105°C)</v>
          </cell>
          <cell r="P1199" t="str">
            <v>270°</v>
          </cell>
          <cell r="Q1199" t="str">
            <v>-</v>
          </cell>
          <cell r="R1199" t="str">
            <v>-</v>
          </cell>
          <cell r="S1199" t="str">
            <v>-</v>
          </cell>
          <cell r="T1199" t="str">
            <v>-</v>
          </cell>
          <cell r="U1199" t="str">
            <v>T</v>
          </cell>
          <cell r="V1199" t="str">
            <v>D</v>
          </cell>
          <cell r="W1199" t="str">
            <v>-</v>
          </cell>
          <cell r="X1199" t="str">
            <v>CLP PG VG 220 = -20° + 80°</v>
          </cell>
          <cell r="Y1199" t="str">
            <v>KH67/T DRN100L4</v>
          </cell>
          <cell r="Z1199" t="str">
            <v>SEW</v>
          </cell>
          <cell r="AB1199" t="str">
            <v>-</v>
          </cell>
          <cell r="AF1199">
            <v>75</v>
          </cell>
          <cell r="AG1199" t="str">
            <v>DRN100L4</v>
          </cell>
          <cell r="AH1199" t="str">
            <v>KH67T-DRN100L4B270-X</v>
          </cell>
        </row>
        <row r="1200">
          <cell r="A1200" t="str">
            <v>MR001196</v>
          </cell>
          <cell r="B1200" t="str">
            <v>MR</v>
          </cell>
          <cell r="C1200">
            <v>2.2000000000000002</v>
          </cell>
          <cell r="D1200">
            <v>75</v>
          </cell>
          <cell r="E1200" t="str">
            <v>KH67</v>
          </cell>
          <cell r="F1200">
            <v>275</v>
          </cell>
          <cell r="G1200">
            <v>19.3</v>
          </cell>
          <cell r="H1200">
            <v>2.7</v>
          </cell>
          <cell r="I1200" t="str">
            <v>M4B</v>
          </cell>
          <cell r="J1200" t="str">
            <v>IE3</v>
          </cell>
          <cell r="K1200">
            <v>400</v>
          </cell>
          <cell r="L1200">
            <v>50</v>
          </cell>
          <cell r="M1200">
            <v>4.75</v>
          </cell>
          <cell r="N1200">
            <v>65</v>
          </cell>
          <cell r="O1200" t="str">
            <v>F(105°C)</v>
          </cell>
          <cell r="P1200" t="str">
            <v>270°</v>
          </cell>
          <cell r="Q1200" t="str">
            <v>-</v>
          </cell>
          <cell r="R1200" t="str">
            <v>-</v>
          </cell>
          <cell r="S1200" t="str">
            <v>-</v>
          </cell>
          <cell r="T1200" t="str">
            <v>-</v>
          </cell>
          <cell r="U1200" t="str">
            <v>T</v>
          </cell>
          <cell r="V1200" t="str">
            <v>D</v>
          </cell>
          <cell r="W1200" t="str">
            <v>-</v>
          </cell>
          <cell r="X1200" t="str">
            <v>CLP PG VG 220 = -20° + 80°</v>
          </cell>
          <cell r="Y1200" t="str">
            <v>KH67/T DRN100LS4</v>
          </cell>
          <cell r="Z1200" t="str">
            <v>SEW</v>
          </cell>
          <cell r="AB1200" t="str">
            <v>-</v>
          </cell>
          <cell r="AF1200">
            <v>75</v>
          </cell>
          <cell r="AG1200" t="str">
            <v>DRN100LS4</v>
          </cell>
          <cell r="AH1200" t="str">
            <v>KH67T-DRN100LS4B270-X</v>
          </cell>
        </row>
        <row r="1201">
          <cell r="A1201" t="str">
            <v>MR001197</v>
          </cell>
          <cell r="B1201" t="str">
            <v>MR</v>
          </cell>
          <cell r="C1201">
            <v>2.2000000000000002</v>
          </cell>
          <cell r="D1201">
            <v>75</v>
          </cell>
          <cell r="E1201" t="str">
            <v>KH67</v>
          </cell>
          <cell r="F1201">
            <v>275</v>
          </cell>
          <cell r="G1201">
            <v>19.3</v>
          </cell>
          <cell r="H1201">
            <v>2.7</v>
          </cell>
          <cell r="I1201" t="str">
            <v>M4A</v>
          </cell>
          <cell r="J1201" t="str">
            <v>IE3</v>
          </cell>
          <cell r="K1201">
            <v>400</v>
          </cell>
          <cell r="L1201">
            <v>50</v>
          </cell>
          <cell r="M1201">
            <v>4.75</v>
          </cell>
          <cell r="N1201">
            <v>65</v>
          </cell>
          <cell r="O1201" t="str">
            <v>F(105°C)</v>
          </cell>
          <cell r="P1201" t="str">
            <v>270°</v>
          </cell>
          <cell r="Q1201" t="str">
            <v>-</v>
          </cell>
          <cell r="R1201" t="str">
            <v>-</v>
          </cell>
          <cell r="S1201" t="str">
            <v>-</v>
          </cell>
          <cell r="T1201" t="str">
            <v>-</v>
          </cell>
          <cell r="U1201" t="str">
            <v>T</v>
          </cell>
          <cell r="V1201" t="str">
            <v>D</v>
          </cell>
          <cell r="W1201" t="str">
            <v>-</v>
          </cell>
          <cell r="X1201" t="str">
            <v>CLP PG VG 220 = -20° + 80°</v>
          </cell>
          <cell r="Y1201" t="str">
            <v>KH67/T DRN100LS4</v>
          </cell>
          <cell r="Z1201" t="str">
            <v>SEW</v>
          </cell>
          <cell r="AB1201" t="str">
            <v>-</v>
          </cell>
          <cell r="AF1201">
            <v>75</v>
          </cell>
          <cell r="AG1201" t="str">
            <v>DRN100LS4</v>
          </cell>
          <cell r="AH1201" t="str">
            <v>KH67T-DRN100LS4A270-X</v>
          </cell>
        </row>
        <row r="1202">
          <cell r="A1202" t="str">
            <v>MR001198</v>
          </cell>
          <cell r="B1202" t="str">
            <v>MR</v>
          </cell>
          <cell r="C1202">
            <v>11</v>
          </cell>
          <cell r="D1202">
            <v>16</v>
          </cell>
          <cell r="E1202" t="str">
            <v>KH107</v>
          </cell>
          <cell r="F1202">
            <v>6490</v>
          </cell>
          <cell r="G1202">
            <v>90.96</v>
          </cell>
          <cell r="H1202">
            <v>1.1000000000000001</v>
          </cell>
          <cell r="I1202" t="str">
            <v>M1A</v>
          </cell>
          <cell r="J1202" t="str">
            <v>IE3</v>
          </cell>
          <cell r="K1202">
            <v>400</v>
          </cell>
          <cell r="L1202">
            <v>50</v>
          </cell>
          <cell r="M1202">
            <v>21</v>
          </cell>
          <cell r="N1202">
            <v>55</v>
          </cell>
          <cell r="O1202" t="str">
            <v>F(105°C)</v>
          </cell>
          <cell r="P1202" t="str">
            <v>180°</v>
          </cell>
          <cell r="Q1202" t="str">
            <v>TF</v>
          </cell>
          <cell r="R1202" t="str">
            <v>V(VE)</v>
          </cell>
          <cell r="S1202" t="str">
            <v>-</v>
          </cell>
          <cell r="T1202" t="str">
            <v>-</v>
          </cell>
          <cell r="U1202" t="str">
            <v>-</v>
          </cell>
          <cell r="V1202" t="str">
            <v>FC</v>
          </cell>
          <cell r="W1202" t="str">
            <v>-</v>
          </cell>
          <cell r="X1202" t="str">
            <v>CLP HC VG 220 = -20° + 60°</v>
          </cell>
          <cell r="Y1202" t="str">
            <v>KH107/II2GDEDRN160M4/3D/TF/VE</v>
          </cell>
          <cell r="Z1202" t="str">
            <v>SEW</v>
          </cell>
          <cell r="AB1202" t="str">
            <v>ATEX22</v>
          </cell>
          <cell r="AF1202">
            <v>16</v>
          </cell>
          <cell r="AG1202" t="str">
            <v>EDRN160M4</v>
          </cell>
          <cell r="AH1202" t="str">
            <v>KH107-EDRN160M4A180-X#</v>
          </cell>
        </row>
        <row r="1203">
          <cell r="A1203" t="str">
            <v>MR001199</v>
          </cell>
          <cell r="B1203" t="str">
            <v>MR</v>
          </cell>
          <cell r="C1203">
            <v>11</v>
          </cell>
          <cell r="D1203">
            <v>16</v>
          </cell>
          <cell r="E1203" t="str">
            <v>KH107</v>
          </cell>
          <cell r="F1203">
            <v>6490</v>
          </cell>
          <cell r="G1203">
            <v>90.96</v>
          </cell>
          <cell r="H1203">
            <v>1.1000000000000001</v>
          </cell>
          <cell r="I1203" t="str">
            <v>M1B</v>
          </cell>
          <cell r="J1203" t="str">
            <v>IE3</v>
          </cell>
          <cell r="K1203">
            <v>400</v>
          </cell>
          <cell r="L1203">
            <v>50</v>
          </cell>
          <cell r="M1203">
            <v>21</v>
          </cell>
          <cell r="N1203">
            <v>55</v>
          </cell>
          <cell r="O1203" t="str">
            <v>F(105°C)</v>
          </cell>
          <cell r="P1203" t="str">
            <v>0°</v>
          </cell>
          <cell r="Q1203" t="str">
            <v>TF</v>
          </cell>
          <cell r="R1203" t="str">
            <v>V(VE)</v>
          </cell>
          <cell r="S1203" t="str">
            <v>-</v>
          </cell>
          <cell r="T1203" t="str">
            <v>-</v>
          </cell>
          <cell r="U1203" t="str">
            <v>-</v>
          </cell>
          <cell r="V1203" t="str">
            <v>FC</v>
          </cell>
          <cell r="W1203" t="str">
            <v>-</v>
          </cell>
          <cell r="X1203" t="str">
            <v>CLP HC VG 220 = -20° + 60°</v>
          </cell>
          <cell r="Y1203" t="str">
            <v>KH107/II2GDEDRN160M4/3D/TF/VE</v>
          </cell>
          <cell r="Z1203" t="str">
            <v>SEW</v>
          </cell>
          <cell r="AB1203" t="str">
            <v>ATEX22</v>
          </cell>
          <cell r="AF1203">
            <v>16</v>
          </cell>
          <cell r="AG1203" t="str">
            <v>EDRN160M4</v>
          </cell>
          <cell r="AH1203" t="str">
            <v>KH107-EDRN160M4B0-X#</v>
          </cell>
        </row>
        <row r="1204">
          <cell r="A1204" t="str">
            <v>MR001200</v>
          </cell>
          <cell r="B1204" t="str">
            <v>MR</v>
          </cell>
          <cell r="C1204">
            <v>18.5</v>
          </cell>
          <cell r="D1204">
            <v>16</v>
          </cell>
          <cell r="E1204" t="str">
            <v>KH127</v>
          </cell>
          <cell r="F1204">
            <v>10700</v>
          </cell>
          <cell r="G1204">
            <v>89.89</v>
          </cell>
          <cell r="H1204">
            <v>1.2</v>
          </cell>
          <cell r="I1204" t="str">
            <v>M1A</v>
          </cell>
          <cell r="J1204" t="str">
            <v>IE3</v>
          </cell>
          <cell r="K1204">
            <v>400</v>
          </cell>
          <cell r="L1204">
            <v>50</v>
          </cell>
          <cell r="M1204">
            <v>33.5</v>
          </cell>
          <cell r="N1204">
            <v>55</v>
          </cell>
          <cell r="O1204" t="str">
            <v>F(105°C)</v>
          </cell>
          <cell r="P1204" t="str">
            <v>180°</v>
          </cell>
          <cell r="Q1204" t="str">
            <v>TF</v>
          </cell>
          <cell r="R1204" t="str">
            <v>V(VE)</v>
          </cell>
          <cell r="S1204" t="str">
            <v>-</v>
          </cell>
          <cell r="T1204" t="str">
            <v>-</v>
          </cell>
          <cell r="U1204" t="str">
            <v>-</v>
          </cell>
          <cell r="V1204" t="str">
            <v>FC</v>
          </cell>
          <cell r="W1204" t="str">
            <v>-</v>
          </cell>
          <cell r="X1204" t="str">
            <v>CLP HC VG 220 = -20° + 60°</v>
          </cell>
          <cell r="Y1204" t="str">
            <v>KH127/II2GDEDRN180M4/3D/TF/VE</v>
          </cell>
          <cell r="Z1204" t="str">
            <v>SEW</v>
          </cell>
          <cell r="AB1204" t="str">
            <v>ATEX22</v>
          </cell>
          <cell r="AF1204">
            <v>16</v>
          </cell>
          <cell r="AG1204" t="str">
            <v>EDRN180M4</v>
          </cell>
          <cell r="AH1204" t="str">
            <v>KH127-EDRN180M4A180-X#</v>
          </cell>
        </row>
        <row r="1205">
          <cell r="A1205" t="str">
            <v>MR001201</v>
          </cell>
          <cell r="B1205" t="str">
            <v>MR</v>
          </cell>
          <cell r="C1205">
            <v>1.5</v>
          </cell>
          <cell r="D1205">
            <v>22</v>
          </cell>
          <cell r="E1205" t="str">
            <v>FA67</v>
          </cell>
          <cell r="F1205">
            <v>660</v>
          </cell>
          <cell r="G1205">
            <v>67.650000000000006</v>
          </cell>
          <cell r="H1205">
            <v>1.1499999999999999</v>
          </cell>
          <cell r="I1205" t="str">
            <v>M5</v>
          </cell>
          <cell r="J1205" t="str">
            <v>IE3</v>
          </cell>
          <cell r="K1205">
            <v>400</v>
          </cell>
          <cell r="L1205">
            <v>50</v>
          </cell>
          <cell r="M1205">
            <v>3.55</v>
          </cell>
          <cell r="N1205">
            <v>55</v>
          </cell>
          <cell r="O1205" t="str">
            <v>F(105°C)</v>
          </cell>
          <cell r="P1205" t="str">
            <v>270°</v>
          </cell>
          <cell r="Q1205" t="str">
            <v>TF</v>
          </cell>
          <cell r="R1205" t="str">
            <v>-</v>
          </cell>
          <cell r="S1205" t="str">
            <v>-</v>
          </cell>
          <cell r="T1205" t="str">
            <v>BEHF</v>
          </cell>
          <cell r="U1205" t="str">
            <v>G</v>
          </cell>
          <cell r="V1205" t="str">
            <v>D</v>
          </cell>
          <cell r="W1205" t="str">
            <v>-</v>
          </cell>
          <cell r="X1205" t="str">
            <v>CLP HC VG 220 = -20° + 60°</v>
          </cell>
          <cell r="Y1205" t="str">
            <v>FA67/G/II2GDEDRN90L4BE2HR/3D/KCC/TF/AL</v>
          </cell>
          <cell r="Z1205" t="str">
            <v>SEW</v>
          </cell>
          <cell r="AB1205" t="str">
            <v>ATEX22</v>
          </cell>
          <cell r="AF1205">
            <v>22</v>
          </cell>
          <cell r="AG1205" t="str">
            <v>EDRN90L4</v>
          </cell>
          <cell r="AH1205" t="str">
            <v>FA67G-EDRN90L4270-X</v>
          </cell>
        </row>
        <row r="1206">
          <cell r="A1206" t="str">
            <v>MR001202</v>
          </cell>
          <cell r="B1206" t="str">
            <v>MR</v>
          </cell>
          <cell r="C1206">
            <v>1.5</v>
          </cell>
          <cell r="D1206">
            <v>3.8</v>
          </cell>
          <cell r="E1206" t="str">
            <v>KA97R57</v>
          </cell>
          <cell r="F1206">
            <v>3440</v>
          </cell>
          <cell r="G1206">
            <v>382</v>
          </cell>
          <cell r="H1206">
            <v>1.25</v>
          </cell>
          <cell r="I1206" t="str">
            <v>M3B</v>
          </cell>
          <cell r="J1206" t="str">
            <v>IE3</v>
          </cell>
          <cell r="K1206">
            <v>400</v>
          </cell>
          <cell r="L1206">
            <v>50</v>
          </cell>
          <cell r="M1206">
            <v>3.4</v>
          </cell>
          <cell r="N1206">
            <v>55</v>
          </cell>
          <cell r="O1206" t="str">
            <v>F(105°C)</v>
          </cell>
          <cell r="P1206" t="str">
            <v>270°</v>
          </cell>
          <cell r="Q1206" t="str">
            <v>-</v>
          </cell>
          <cell r="R1206" t="str">
            <v>-</v>
          </cell>
          <cell r="S1206" t="str">
            <v>-</v>
          </cell>
          <cell r="T1206" t="str">
            <v>BEHF</v>
          </cell>
          <cell r="U1206" t="str">
            <v>T</v>
          </cell>
          <cell r="V1206" t="str">
            <v>D+R</v>
          </cell>
          <cell r="W1206" t="str">
            <v>-</v>
          </cell>
          <cell r="X1206" t="str">
            <v>CLP VG 220 = -15° + 40°</v>
          </cell>
          <cell r="Y1206" t="str">
            <v>KA97R57/T DRN90L4 /BEHF</v>
          </cell>
          <cell r="Z1206" t="str">
            <v>SEW</v>
          </cell>
          <cell r="AB1206" t="str">
            <v>-</v>
          </cell>
          <cell r="AF1206">
            <v>3.8</v>
          </cell>
          <cell r="AG1206" t="str">
            <v>DRN90L4</v>
          </cell>
          <cell r="AH1206" t="str">
            <v>KA97R57T-DRN90L4B270-X</v>
          </cell>
        </row>
        <row r="1207">
          <cell r="A1207" t="str">
            <v>MR001203</v>
          </cell>
          <cell r="B1207" t="str">
            <v>MR</v>
          </cell>
          <cell r="C1207">
            <v>18.5</v>
          </cell>
          <cell r="D1207" t="str">
            <v>16</v>
          </cell>
          <cell r="E1207" t="str">
            <v>KH127</v>
          </cell>
          <cell r="F1207">
            <v>10700</v>
          </cell>
          <cell r="G1207">
            <v>89.89</v>
          </cell>
          <cell r="H1207">
            <v>1.2</v>
          </cell>
          <cell r="I1207" t="str">
            <v>From M4A to M1A - 35°</v>
          </cell>
          <cell r="J1207" t="str">
            <v>IE3</v>
          </cell>
          <cell r="K1207">
            <v>400</v>
          </cell>
          <cell r="L1207">
            <v>50</v>
          </cell>
          <cell r="M1207">
            <v>33.5</v>
          </cell>
          <cell r="N1207">
            <v>55</v>
          </cell>
          <cell r="O1207" t="str">
            <v>F(105°C)</v>
          </cell>
          <cell r="P1207" t="str">
            <v>0°</v>
          </cell>
          <cell r="Q1207" t="str">
            <v>TF</v>
          </cell>
          <cell r="R1207" t="str">
            <v>V(VE)</v>
          </cell>
          <cell r="S1207" t="str">
            <v>-</v>
          </cell>
          <cell r="T1207" t="str">
            <v>-</v>
          </cell>
          <cell r="U1207" t="str">
            <v>-</v>
          </cell>
          <cell r="V1207" t="str">
            <v>FC</v>
          </cell>
          <cell r="W1207" t="str">
            <v>-</v>
          </cell>
          <cell r="X1207" t="str">
            <v>CLP VG 220 = -15° + 40°</v>
          </cell>
          <cell r="Y1207" t="str">
            <v>KH127DRN180M4 /TF/V</v>
          </cell>
          <cell r="Z1207" t="str">
            <v>SEW</v>
          </cell>
          <cell r="AB1207" t="str">
            <v>-</v>
          </cell>
          <cell r="AF1207">
            <v>16</v>
          </cell>
          <cell r="AG1207" t="str">
            <v>DRN180M4</v>
          </cell>
          <cell r="AH1207" t="str">
            <v>KH127-DRN180M4A0-X#</v>
          </cell>
        </row>
        <row r="1208">
          <cell r="A1208" t="str">
            <v>MR001204</v>
          </cell>
          <cell r="B1208" t="str">
            <v>MR</v>
          </cell>
          <cell r="C1208">
            <v>18.5</v>
          </cell>
          <cell r="D1208" t="str">
            <v>16</v>
          </cell>
          <cell r="E1208" t="str">
            <v>KH127</v>
          </cell>
          <cell r="F1208">
            <v>10700</v>
          </cell>
          <cell r="G1208">
            <v>89.89</v>
          </cell>
          <cell r="H1208">
            <v>1.2</v>
          </cell>
          <cell r="I1208" t="str">
            <v>From M4B to M1B - 35°</v>
          </cell>
          <cell r="J1208" t="str">
            <v>IE3</v>
          </cell>
          <cell r="K1208">
            <v>400</v>
          </cell>
          <cell r="L1208">
            <v>50</v>
          </cell>
          <cell r="M1208">
            <v>33.5</v>
          </cell>
          <cell r="N1208">
            <v>55</v>
          </cell>
          <cell r="O1208" t="str">
            <v>F(105°C)</v>
          </cell>
          <cell r="P1208" t="str">
            <v>0°</v>
          </cell>
          <cell r="Q1208" t="str">
            <v>TF</v>
          </cell>
          <cell r="R1208" t="str">
            <v>V(VE)</v>
          </cell>
          <cell r="S1208" t="str">
            <v>-</v>
          </cell>
          <cell r="T1208" t="str">
            <v>-</v>
          </cell>
          <cell r="U1208" t="str">
            <v>-</v>
          </cell>
          <cell r="V1208" t="str">
            <v>FC</v>
          </cell>
          <cell r="W1208" t="str">
            <v>-</v>
          </cell>
          <cell r="X1208" t="str">
            <v>CLP VG 220 = -15° + 40°</v>
          </cell>
          <cell r="Y1208" t="str">
            <v>KH127DRN180M4 /TF/V</v>
          </cell>
          <cell r="Z1208" t="str">
            <v>SEW</v>
          </cell>
          <cell r="AB1208" t="str">
            <v>-</v>
          </cell>
          <cell r="AF1208">
            <v>16</v>
          </cell>
          <cell r="AG1208" t="str">
            <v>DRN180M4</v>
          </cell>
          <cell r="AH1208" t="str">
            <v>KH127-DRN180M4B0-X#</v>
          </cell>
        </row>
        <row r="1209">
          <cell r="A1209" t="str">
            <v>MR001205</v>
          </cell>
          <cell r="B1209" t="str">
            <v>MR</v>
          </cell>
          <cell r="C1209">
            <v>7.5</v>
          </cell>
          <cell r="D1209">
            <v>66</v>
          </cell>
          <cell r="E1209" t="str">
            <v>K87</v>
          </cell>
          <cell r="F1209">
            <v>1090</v>
          </cell>
          <cell r="G1209">
            <v>22.41</v>
          </cell>
          <cell r="H1209">
            <v>2.1</v>
          </cell>
          <cell r="I1209" t="str">
            <v>M4B</v>
          </cell>
          <cell r="J1209" t="str">
            <v>IE3</v>
          </cell>
          <cell r="K1209" t="str">
            <v>400/690</v>
          </cell>
          <cell r="L1209">
            <v>50</v>
          </cell>
          <cell r="M1209" t="str">
            <v>15,2/8,8</v>
          </cell>
          <cell r="N1209">
            <v>55</v>
          </cell>
          <cell r="O1209" t="str">
            <v>F(105°C)</v>
          </cell>
          <cell r="P1209" t="str">
            <v>0°</v>
          </cell>
          <cell r="Q1209" t="str">
            <v>TF</v>
          </cell>
          <cell r="R1209" t="str">
            <v>V(VE)</v>
          </cell>
          <cell r="S1209" t="str">
            <v>-</v>
          </cell>
          <cell r="T1209" t="str">
            <v>-</v>
          </cell>
          <cell r="U1209" t="str">
            <v>-</v>
          </cell>
          <cell r="V1209" t="str">
            <v>FC</v>
          </cell>
          <cell r="W1209" t="str">
            <v>-</v>
          </cell>
          <cell r="X1209" t="str">
            <v>CLP 220 (-15/+40°C)</v>
          </cell>
          <cell r="Y1209" t="str">
            <v>K87DRN132M4 /TF/V</v>
          </cell>
          <cell r="Z1209" t="str">
            <v>SEW</v>
          </cell>
          <cell r="AB1209" t="str">
            <v>-</v>
          </cell>
          <cell r="AF1209">
            <v>66</v>
          </cell>
          <cell r="AG1209" t="str">
            <v>DRN132M4</v>
          </cell>
          <cell r="AH1209" t="str">
            <v>K87-DRN132M4B0-X#</v>
          </cell>
        </row>
        <row r="1210">
          <cell r="A1210" t="str">
            <v>MR001206</v>
          </cell>
          <cell r="B1210" t="str">
            <v>MR</v>
          </cell>
          <cell r="C1210">
            <v>7.5</v>
          </cell>
          <cell r="D1210">
            <v>19</v>
          </cell>
          <cell r="E1210" t="str">
            <v>KH97</v>
          </cell>
          <cell r="F1210">
            <v>3800</v>
          </cell>
          <cell r="G1210">
            <v>77.89</v>
          </cell>
          <cell r="H1210">
            <v>1</v>
          </cell>
          <cell r="I1210" t="str">
            <v>From M1A to M2A - 25°</v>
          </cell>
          <cell r="J1210" t="str">
            <v>IE3</v>
          </cell>
          <cell r="K1210">
            <v>400</v>
          </cell>
          <cell r="L1210">
            <v>50</v>
          </cell>
          <cell r="M1210">
            <v>15.7</v>
          </cell>
          <cell r="N1210">
            <v>55</v>
          </cell>
          <cell r="O1210" t="str">
            <v>F(105°C)</v>
          </cell>
          <cell r="P1210" t="str">
            <v>270°</v>
          </cell>
          <cell r="Q1210" t="str">
            <v>TF</v>
          </cell>
          <cell r="R1210" t="str">
            <v>V(VE)</v>
          </cell>
          <cell r="S1210" t="str">
            <v>-</v>
          </cell>
          <cell r="T1210" t="str">
            <v>-</v>
          </cell>
          <cell r="U1210" t="str">
            <v>-</v>
          </cell>
          <cell r="V1210" t="str">
            <v>FC</v>
          </cell>
          <cell r="W1210" t="str">
            <v>-</v>
          </cell>
          <cell r="X1210" t="str">
            <v>CLP HC VG 220 = -20° + 60°</v>
          </cell>
          <cell r="Y1210" t="str">
            <v>KH97EDRN132M4 /TF/VE</v>
          </cell>
          <cell r="Z1210" t="str">
            <v>SEW</v>
          </cell>
          <cell r="AB1210" t="str">
            <v>ATEX22</v>
          </cell>
          <cell r="AF1210">
            <v>19</v>
          </cell>
          <cell r="AG1210" t="str">
            <v>EDRN132M4</v>
          </cell>
          <cell r="AH1210" t="str">
            <v>KH97-EDRN132M4A270-X#</v>
          </cell>
        </row>
        <row r="1211">
          <cell r="A1211" t="str">
            <v>MR001207</v>
          </cell>
          <cell r="B1211" t="str">
            <v>MR</v>
          </cell>
          <cell r="C1211">
            <v>3</v>
          </cell>
          <cell r="D1211">
            <v>75</v>
          </cell>
          <cell r="E1211" t="str">
            <v>KH67</v>
          </cell>
          <cell r="F1211">
            <v>375</v>
          </cell>
          <cell r="G1211">
            <v>19.3</v>
          </cell>
          <cell r="H1211">
            <v>2</v>
          </cell>
          <cell r="I1211" t="str">
            <v>From M4B to M1B - 30°</v>
          </cell>
          <cell r="J1211" t="str">
            <v>IE3</v>
          </cell>
          <cell r="K1211">
            <v>400</v>
          </cell>
          <cell r="L1211">
            <v>50</v>
          </cell>
          <cell r="M1211">
            <v>6.4</v>
          </cell>
          <cell r="N1211">
            <v>55</v>
          </cell>
          <cell r="O1211" t="str">
            <v>F(105°C)</v>
          </cell>
          <cell r="P1211" t="str">
            <v>270°</v>
          </cell>
          <cell r="Q1211" t="str">
            <v>-</v>
          </cell>
          <cell r="R1211" t="str">
            <v>-</v>
          </cell>
          <cell r="S1211" t="str">
            <v>-</v>
          </cell>
          <cell r="T1211" t="str">
            <v>-</v>
          </cell>
          <cell r="U1211" t="str">
            <v>T</v>
          </cell>
          <cell r="V1211" t="str">
            <v>D</v>
          </cell>
          <cell r="W1211" t="str">
            <v>-</v>
          </cell>
          <cell r="X1211" t="str">
            <v>CLP VG 220 = -15° + 40°</v>
          </cell>
          <cell r="Y1211" t="str">
            <v>KH67/T DRN100L4</v>
          </cell>
          <cell r="Z1211" t="str">
            <v>SEW</v>
          </cell>
          <cell r="AB1211" t="str">
            <v>-</v>
          </cell>
          <cell r="AF1211">
            <v>75</v>
          </cell>
          <cell r="AG1211" t="str">
            <v>DRN100L4</v>
          </cell>
          <cell r="AH1211" t="str">
            <v>KH67T-DRN100L4B270-X</v>
          </cell>
        </row>
        <row r="1212">
          <cell r="A1212" t="str">
            <v>MR001208</v>
          </cell>
          <cell r="B1212" t="str">
            <v>MR</v>
          </cell>
          <cell r="C1212">
            <v>5.5</v>
          </cell>
          <cell r="D1212">
            <v>57</v>
          </cell>
          <cell r="E1212" t="str">
            <v>KH77</v>
          </cell>
          <cell r="F1212">
            <v>920</v>
          </cell>
          <cell r="G1212">
            <v>25.62</v>
          </cell>
          <cell r="H1212">
            <v>1.7</v>
          </cell>
          <cell r="I1212" t="str">
            <v>M4A</v>
          </cell>
          <cell r="J1212" t="str">
            <v>IE3</v>
          </cell>
          <cell r="K1212">
            <v>400</v>
          </cell>
          <cell r="L1212">
            <v>50</v>
          </cell>
          <cell r="M1212">
            <v>10.5</v>
          </cell>
          <cell r="N1212">
            <v>55</v>
          </cell>
          <cell r="O1212" t="str">
            <v>F(105°C)</v>
          </cell>
          <cell r="P1212" t="str">
            <v>270°</v>
          </cell>
          <cell r="Q1212" t="str">
            <v>-</v>
          </cell>
          <cell r="R1212" t="str">
            <v>-</v>
          </cell>
          <cell r="S1212" t="str">
            <v>-</v>
          </cell>
          <cell r="T1212" t="str">
            <v>-</v>
          </cell>
          <cell r="U1212" t="str">
            <v>T</v>
          </cell>
          <cell r="V1212" t="str">
            <v>SS</v>
          </cell>
          <cell r="W1212" t="str">
            <v>-</v>
          </cell>
          <cell r="X1212" t="str">
            <v>CLP VG 220 = -15° + 40°</v>
          </cell>
          <cell r="Y1212" t="str">
            <v>KH77/T DRN132S4</v>
          </cell>
          <cell r="Z1212" t="str">
            <v>SEW</v>
          </cell>
          <cell r="AB1212" t="str">
            <v>-</v>
          </cell>
          <cell r="AF1212">
            <v>57</v>
          </cell>
          <cell r="AG1212" t="str">
            <v>DRN132S4</v>
          </cell>
          <cell r="AH1212" t="str">
            <v>KH77T-DRN132S4A270-X</v>
          </cell>
        </row>
        <row r="1213">
          <cell r="A1213" t="str">
            <v>MR001209</v>
          </cell>
          <cell r="B1213" t="str">
            <v>MR</v>
          </cell>
          <cell r="C1213">
            <v>11</v>
          </cell>
          <cell r="D1213">
            <v>68</v>
          </cell>
          <cell r="E1213" t="str">
            <v>R87</v>
          </cell>
          <cell r="F1213">
            <v>1530</v>
          </cell>
          <cell r="G1213">
            <v>21.51</v>
          </cell>
          <cell r="H1213">
            <v>1</v>
          </cell>
          <cell r="I1213" t="str">
            <v>M1</v>
          </cell>
          <cell r="J1213" t="str">
            <v>IE3</v>
          </cell>
          <cell r="K1213">
            <v>400</v>
          </cell>
          <cell r="L1213">
            <v>50</v>
          </cell>
          <cell r="M1213" t="str">
            <v>21/12,2</v>
          </cell>
          <cell r="N1213">
            <v>55</v>
          </cell>
          <cell r="O1213" t="str">
            <v>F(105°C)</v>
          </cell>
          <cell r="P1213" t="str">
            <v>270°</v>
          </cell>
          <cell r="Q1213" t="str">
            <v>TF</v>
          </cell>
          <cell r="R1213" t="str">
            <v>V(VE)</v>
          </cell>
          <cell r="S1213" t="str">
            <v>-</v>
          </cell>
          <cell r="T1213" t="str">
            <v>-</v>
          </cell>
          <cell r="U1213" t="str">
            <v>-</v>
          </cell>
          <cell r="V1213" t="str">
            <v>FC</v>
          </cell>
          <cell r="W1213" t="str">
            <v>-</v>
          </cell>
          <cell r="X1213" t="str">
            <v>CLP VG 220 = -15° + 40°</v>
          </cell>
          <cell r="Y1213" t="str">
            <v>R87DRN160M4 /TF/V</v>
          </cell>
          <cell r="Z1213" t="str">
            <v>SEW</v>
          </cell>
          <cell r="AB1213" t="str">
            <v>-</v>
          </cell>
          <cell r="AF1213">
            <v>68</v>
          </cell>
          <cell r="AG1213" t="str">
            <v>DRN160M4</v>
          </cell>
          <cell r="AH1213" t="str">
            <v>R87-DRN160M4270-X#</v>
          </cell>
        </row>
        <row r="1214">
          <cell r="A1214" t="str">
            <v>MR001210</v>
          </cell>
          <cell r="B1214" t="str">
            <v>MR</v>
          </cell>
          <cell r="C1214">
            <v>11</v>
          </cell>
          <cell r="D1214">
            <v>59</v>
          </cell>
          <cell r="E1214" t="str">
            <v>KH87</v>
          </cell>
          <cell r="F1214">
            <v>1770</v>
          </cell>
          <cell r="G1214">
            <v>24.92</v>
          </cell>
          <cell r="H1214">
            <v>1.4</v>
          </cell>
          <cell r="I1214" t="str">
            <v>From M4B to M1B - 15°</v>
          </cell>
          <cell r="J1214" t="str">
            <v>IE3</v>
          </cell>
          <cell r="K1214">
            <v>400</v>
          </cell>
          <cell r="L1214">
            <v>50</v>
          </cell>
          <cell r="M1214" t="str">
            <v>21/12,2</v>
          </cell>
          <cell r="N1214">
            <v>55</v>
          </cell>
          <cell r="O1214" t="str">
            <v>F(105°C)</v>
          </cell>
          <cell r="P1214" t="str">
            <v>270°</v>
          </cell>
          <cell r="Q1214" t="str">
            <v>-</v>
          </cell>
          <cell r="R1214" t="str">
            <v>-</v>
          </cell>
          <cell r="S1214" t="str">
            <v>Free rotation CW</v>
          </cell>
          <cell r="T1214" t="str">
            <v>-</v>
          </cell>
          <cell r="U1214" t="str">
            <v>T</v>
          </cell>
          <cell r="V1214" t="str">
            <v>SS</v>
          </cell>
          <cell r="W1214" t="str">
            <v>-</v>
          </cell>
          <cell r="X1214" t="str">
            <v>CLP VG 220 = -15° + 40°</v>
          </cell>
          <cell r="Y1214" t="str">
            <v>KH87/T DRN160M4 /RS</v>
          </cell>
          <cell r="Z1214" t="str">
            <v>SEW</v>
          </cell>
          <cell r="AB1214" t="str">
            <v>-</v>
          </cell>
          <cell r="AF1214">
            <v>59</v>
          </cell>
          <cell r="AG1214" t="str">
            <v>DRN160M4</v>
          </cell>
          <cell r="AH1214" t="str">
            <v>KH87T-DRN160M4B270-X</v>
          </cell>
        </row>
        <row r="1215">
          <cell r="A1215" t="str">
            <v>MR001211</v>
          </cell>
          <cell r="B1215" t="str">
            <v>MR</v>
          </cell>
          <cell r="C1215">
            <v>11</v>
          </cell>
          <cell r="D1215">
            <v>59</v>
          </cell>
          <cell r="E1215" t="str">
            <v>KH87</v>
          </cell>
          <cell r="F1215">
            <v>1770</v>
          </cell>
          <cell r="G1215">
            <v>24.92</v>
          </cell>
          <cell r="H1215">
            <v>1.4</v>
          </cell>
          <cell r="I1215" t="str">
            <v>M4B</v>
          </cell>
          <cell r="J1215" t="str">
            <v>IE3</v>
          </cell>
          <cell r="K1215">
            <v>400</v>
          </cell>
          <cell r="L1215">
            <v>50</v>
          </cell>
          <cell r="M1215" t="str">
            <v>21/12,2</v>
          </cell>
          <cell r="N1215">
            <v>55</v>
          </cell>
          <cell r="O1215" t="str">
            <v>F(105°C)</v>
          </cell>
          <cell r="P1215" t="str">
            <v>270°</v>
          </cell>
          <cell r="Q1215" t="str">
            <v>-</v>
          </cell>
          <cell r="R1215" t="str">
            <v>-</v>
          </cell>
          <cell r="S1215" t="str">
            <v>-</v>
          </cell>
          <cell r="T1215" t="str">
            <v>-</v>
          </cell>
          <cell r="U1215" t="str">
            <v>T</v>
          </cell>
          <cell r="V1215" t="str">
            <v>SS</v>
          </cell>
          <cell r="W1215" t="str">
            <v>-</v>
          </cell>
          <cell r="X1215" t="str">
            <v>CLP VG 220 = -15° + 40°</v>
          </cell>
          <cell r="Y1215" t="str">
            <v>KH87/T DRN160M4</v>
          </cell>
          <cell r="Z1215" t="str">
            <v>SEW</v>
          </cell>
          <cell r="AB1215" t="str">
            <v>-</v>
          </cell>
          <cell r="AF1215">
            <v>59</v>
          </cell>
          <cell r="AG1215" t="str">
            <v>DRN160M4</v>
          </cell>
          <cell r="AH1215" t="str">
            <v>KH87T-DRN160M4B270-X</v>
          </cell>
        </row>
        <row r="1216">
          <cell r="A1216" t="str">
            <v>MR001212</v>
          </cell>
          <cell r="B1216" t="str">
            <v>MR</v>
          </cell>
          <cell r="C1216">
            <v>30</v>
          </cell>
          <cell r="D1216">
            <v>41</v>
          </cell>
          <cell r="E1216" t="str">
            <v>R147</v>
          </cell>
          <cell r="F1216">
            <v>6950</v>
          </cell>
          <cell r="G1216">
            <v>35.64</v>
          </cell>
          <cell r="H1216">
            <v>1.55</v>
          </cell>
          <cell r="I1216" t="str">
            <v>M1</v>
          </cell>
          <cell r="J1216" t="str">
            <v>IE3</v>
          </cell>
          <cell r="K1216">
            <v>380</v>
          </cell>
          <cell r="L1216">
            <v>50</v>
          </cell>
          <cell r="N1216">
            <v>65</v>
          </cell>
          <cell r="O1216" t="str">
            <v>F(105°C)</v>
          </cell>
          <cell r="P1216" t="str">
            <v>270°</v>
          </cell>
          <cell r="Q1216" t="str">
            <v>TF</v>
          </cell>
          <cell r="R1216" t="str">
            <v>-</v>
          </cell>
          <cell r="S1216" t="str">
            <v>-</v>
          </cell>
          <cell r="T1216" t="str">
            <v>-</v>
          </cell>
          <cell r="U1216" t="str">
            <v>-</v>
          </cell>
          <cell r="V1216" t="str">
            <v>SS</v>
          </cell>
          <cell r="W1216" t="str">
            <v>YES</v>
          </cell>
          <cell r="X1216" t="str">
            <v>CLP HC VG 150 = -40° + 40°</v>
          </cell>
          <cell r="Y1216" t="str">
            <v>R147/II2GD EDRE225S4/3GD/TF/AL</v>
          </cell>
          <cell r="Z1216" t="str">
            <v>SEW</v>
          </cell>
          <cell r="AB1216" t="str">
            <v>ATEX22</v>
          </cell>
          <cell r="AF1216">
            <v>41</v>
          </cell>
          <cell r="AG1216" t="str">
            <v>EDRN200L4</v>
          </cell>
          <cell r="AH1216" t="str">
            <v>R147-EDRN200L4270-X</v>
          </cell>
        </row>
        <row r="1217">
          <cell r="A1217" t="str">
            <v>MR001213</v>
          </cell>
          <cell r="B1217" t="str">
            <v>MR</v>
          </cell>
          <cell r="C1217">
            <v>7.5</v>
          </cell>
          <cell r="D1217">
            <v>62</v>
          </cell>
          <cell r="E1217" t="str">
            <v>FH87</v>
          </cell>
          <cell r="F1217">
            <v>1150</v>
          </cell>
          <cell r="G1217">
            <v>23.68</v>
          </cell>
          <cell r="H1217">
            <v>2.6</v>
          </cell>
          <cell r="I1217" t="str">
            <v>M3</v>
          </cell>
          <cell r="J1217" t="str">
            <v>IE3</v>
          </cell>
          <cell r="K1217" t="str">
            <v>400/690</v>
          </cell>
          <cell r="L1217">
            <v>50</v>
          </cell>
          <cell r="M1217">
            <v>15.2</v>
          </cell>
          <cell r="N1217">
            <v>55</v>
          </cell>
          <cell r="O1217" t="str">
            <v>F(105°C)</v>
          </cell>
          <cell r="P1217" t="str">
            <v>90°</v>
          </cell>
          <cell r="Q1217" t="str">
            <v>-</v>
          </cell>
          <cell r="R1217" t="str">
            <v>-</v>
          </cell>
          <cell r="S1217" t="str">
            <v>-</v>
          </cell>
          <cell r="T1217" t="str">
            <v>-</v>
          </cell>
          <cell r="U1217" t="str">
            <v>G</v>
          </cell>
          <cell r="V1217" t="str">
            <v>D</v>
          </cell>
          <cell r="W1217" t="str">
            <v>-</v>
          </cell>
          <cell r="X1217" t="str">
            <v>CLP HC VG 150 = -40° + 40°</v>
          </cell>
          <cell r="Y1217" t="str">
            <v>FH87/G DRN132M4</v>
          </cell>
          <cell r="Z1217" t="str">
            <v>SEW</v>
          </cell>
          <cell r="AB1217" t="str">
            <v>-</v>
          </cell>
          <cell r="AF1217">
            <v>62</v>
          </cell>
          <cell r="AG1217" t="str">
            <v>DRN132M4</v>
          </cell>
          <cell r="AH1217" t="str">
            <v>FH87G-DRN132M490-X</v>
          </cell>
        </row>
        <row r="1218">
          <cell r="A1218" t="str">
            <v>MR001214</v>
          </cell>
          <cell r="B1218" t="str">
            <v>MR</v>
          </cell>
          <cell r="C1218">
            <v>18.5</v>
          </cell>
          <cell r="D1218">
            <v>9.4</v>
          </cell>
          <cell r="E1218" t="str">
            <v>KH157R107</v>
          </cell>
          <cell r="F1218">
            <v>17300</v>
          </cell>
          <cell r="G1218">
            <v>157</v>
          </cell>
          <cell r="H1218">
            <v>1.1499999999999999</v>
          </cell>
          <cell r="I1218" t="str">
            <v>From M4A to M1A-20°</v>
          </cell>
          <cell r="J1218" t="str">
            <v>IE3</v>
          </cell>
          <cell r="K1218" t="str">
            <v>400/690</v>
          </cell>
          <cell r="L1218">
            <v>50</v>
          </cell>
          <cell r="M1218">
            <v>33.5</v>
          </cell>
          <cell r="N1218">
            <v>55</v>
          </cell>
          <cell r="O1218" t="str">
            <v>F(105°C)</v>
          </cell>
          <cell r="P1218" t="str">
            <v>270°</v>
          </cell>
          <cell r="Q1218" t="str">
            <v>TF</v>
          </cell>
          <cell r="R1218" t="str">
            <v>-</v>
          </cell>
          <cell r="S1218" t="str">
            <v>-</v>
          </cell>
          <cell r="T1218" t="str">
            <v>-</v>
          </cell>
          <cell r="U1218" t="str">
            <v>-</v>
          </cell>
          <cell r="V1218" t="str">
            <v>SS</v>
          </cell>
          <cell r="W1218" t="str">
            <v>YES</v>
          </cell>
          <cell r="X1218" t="str">
            <v>CLP HC VG 150 = -40° + 40°</v>
          </cell>
          <cell r="Y1218" t="str">
            <v>KH157R107DRN180M4 /TF</v>
          </cell>
          <cell r="Z1218" t="str">
            <v>SEW</v>
          </cell>
          <cell r="AB1218" t="str">
            <v>-</v>
          </cell>
          <cell r="AF1218">
            <v>9.4</v>
          </cell>
          <cell r="AG1218" t="str">
            <v>DRN180M4</v>
          </cell>
          <cell r="AH1218" t="str">
            <v>KH157R107-DRN180M4A270-X</v>
          </cell>
        </row>
        <row r="1219">
          <cell r="A1219" t="str">
            <v>MR001215</v>
          </cell>
          <cell r="B1219" t="str">
            <v>MR</v>
          </cell>
          <cell r="C1219">
            <v>18.5</v>
          </cell>
          <cell r="D1219">
            <v>9.4</v>
          </cell>
          <cell r="E1219" t="str">
            <v>KH157R107</v>
          </cell>
          <cell r="F1219">
            <v>17300</v>
          </cell>
          <cell r="G1219">
            <v>157</v>
          </cell>
          <cell r="H1219">
            <v>1.1499999999999999</v>
          </cell>
          <cell r="I1219" t="str">
            <v>From M4B to M1B-20°</v>
          </cell>
          <cell r="J1219" t="str">
            <v>IE3</v>
          </cell>
          <cell r="K1219" t="str">
            <v>400/690</v>
          </cell>
          <cell r="L1219">
            <v>50</v>
          </cell>
          <cell r="M1219">
            <v>33.5</v>
          </cell>
          <cell r="N1219">
            <v>55</v>
          </cell>
          <cell r="O1219" t="str">
            <v>F(105°C)</v>
          </cell>
          <cell r="P1219" t="str">
            <v>270°</v>
          </cell>
          <cell r="Q1219" t="str">
            <v>TF</v>
          </cell>
          <cell r="R1219" t="str">
            <v>-</v>
          </cell>
          <cell r="S1219" t="str">
            <v>-</v>
          </cell>
          <cell r="T1219" t="str">
            <v>-</v>
          </cell>
          <cell r="U1219" t="str">
            <v>-</v>
          </cell>
          <cell r="V1219" t="str">
            <v>SS</v>
          </cell>
          <cell r="W1219" t="str">
            <v>YES</v>
          </cell>
          <cell r="X1219" t="str">
            <v>CLP HC VG 150 = -40° + 40°</v>
          </cell>
          <cell r="Y1219" t="str">
            <v>KH157R107DRN180M4 /TF</v>
          </cell>
          <cell r="Z1219" t="str">
            <v>SEW</v>
          </cell>
          <cell r="AB1219" t="str">
            <v>-</v>
          </cell>
          <cell r="AF1219">
            <v>9.4</v>
          </cell>
          <cell r="AG1219" t="str">
            <v>DRN180M4</v>
          </cell>
          <cell r="AH1219" t="str">
            <v>KH157R107-DRN180M4B270-X</v>
          </cell>
        </row>
        <row r="1220">
          <cell r="A1220" t="str">
            <v>MR001216</v>
          </cell>
          <cell r="B1220" t="str">
            <v>MR</v>
          </cell>
          <cell r="C1220">
            <v>22</v>
          </cell>
          <cell r="D1220">
            <v>15</v>
          </cell>
          <cell r="E1220" t="str">
            <v>KH157</v>
          </cell>
          <cell r="F1220">
            <v>14200</v>
          </cell>
          <cell r="G1220">
            <v>100.22</v>
          </cell>
          <cell r="H1220">
            <v>1.25</v>
          </cell>
          <cell r="I1220" t="str">
            <v>From M1A to M2A-40°</v>
          </cell>
          <cell r="J1220" t="str">
            <v>IE3</v>
          </cell>
          <cell r="K1220" t="str">
            <v>400/690</v>
          </cell>
          <cell r="L1220">
            <v>50</v>
          </cell>
          <cell r="M1220">
            <v>38.5</v>
          </cell>
          <cell r="N1220">
            <v>55</v>
          </cell>
          <cell r="O1220" t="str">
            <v>F(105°C)</v>
          </cell>
          <cell r="P1220" t="str">
            <v>270°</v>
          </cell>
          <cell r="Q1220" t="str">
            <v>TF</v>
          </cell>
          <cell r="R1220" t="str">
            <v>-</v>
          </cell>
          <cell r="S1220" t="str">
            <v>-</v>
          </cell>
          <cell r="T1220" t="str">
            <v>-</v>
          </cell>
          <cell r="U1220" t="str">
            <v>-</v>
          </cell>
          <cell r="V1220" t="str">
            <v>SS</v>
          </cell>
          <cell r="W1220" t="str">
            <v>YES</v>
          </cell>
          <cell r="X1220" t="str">
            <v>CLP HC VG 150 = -40° + 40°</v>
          </cell>
          <cell r="Y1220" t="str">
            <v>KH157DRN180L4 /TF</v>
          </cell>
          <cell r="Z1220" t="str">
            <v>SEW</v>
          </cell>
          <cell r="AB1220" t="str">
            <v>-</v>
          </cell>
          <cell r="AF1220">
            <v>15</v>
          </cell>
          <cell r="AG1220" t="str">
            <v>DRN180L4</v>
          </cell>
          <cell r="AH1220" t="str">
            <v>KH157-DRN180L4A270-X</v>
          </cell>
        </row>
        <row r="1221">
          <cell r="A1221" t="str">
            <v>MR001217</v>
          </cell>
          <cell r="B1221" t="str">
            <v>MR</v>
          </cell>
          <cell r="C1221">
            <v>7.5</v>
          </cell>
          <cell r="D1221">
            <v>73</v>
          </cell>
          <cell r="E1221" t="str">
            <v>R97</v>
          </cell>
          <cell r="F1221">
            <v>980</v>
          </cell>
          <cell r="G1221">
            <v>20.14</v>
          </cell>
          <cell r="H1221">
            <v>2.7</v>
          </cell>
          <cell r="I1221" t="str">
            <v>M1</v>
          </cell>
          <cell r="J1221" t="str">
            <v>IE3</v>
          </cell>
          <cell r="K1221" t="str">
            <v>230/400</v>
          </cell>
          <cell r="L1221">
            <v>50</v>
          </cell>
          <cell r="M1221" t="str">
            <v>26,5/15,2</v>
          </cell>
          <cell r="N1221">
            <v>55</v>
          </cell>
          <cell r="O1221" t="str">
            <v>F(105°C)</v>
          </cell>
          <cell r="P1221" t="str">
            <v>270°</v>
          </cell>
          <cell r="Q1221" t="str">
            <v>-</v>
          </cell>
          <cell r="R1221" t="str">
            <v>-</v>
          </cell>
          <cell r="S1221" t="str">
            <v>-</v>
          </cell>
          <cell r="T1221" t="str">
            <v>-</v>
          </cell>
          <cell r="U1221" t="str">
            <v>-</v>
          </cell>
          <cell r="V1221" t="str">
            <v>D</v>
          </cell>
          <cell r="W1221" t="str">
            <v>-</v>
          </cell>
          <cell r="X1221" t="str">
            <v>CLP HC VG 220 = -20° + 60°</v>
          </cell>
          <cell r="Y1221" t="str">
            <v>R97DRN132M4</v>
          </cell>
          <cell r="Z1221" t="str">
            <v>SEW</v>
          </cell>
          <cell r="AB1221" t="str">
            <v>-</v>
          </cell>
          <cell r="AF1221">
            <v>73</v>
          </cell>
          <cell r="AG1221" t="str">
            <v>DRN132M4</v>
          </cell>
          <cell r="AH1221" t="str">
            <v>R97-DRN132M4270-X</v>
          </cell>
        </row>
        <row r="1222">
          <cell r="A1222" t="str">
            <v>MR001218</v>
          </cell>
          <cell r="B1222" t="str">
            <v>MR</v>
          </cell>
          <cell r="C1222">
            <v>5.5</v>
          </cell>
          <cell r="D1222">
            <v>53</v>
          </cell>
          <cell r="E1222" t="str">
            <v>R97</v>
          </cell>
          <cell r="F1222">
            <v>990</v>
          </cell>
          <cell r="G1222">
            <v>27.58</v>
          </cell>
          <cell r="H1222">
            <v>2.7</v>
          </cell>
          <cell r="I1222" t="str">
            <v>M1</v>
          </cell>
          <cell r="J1222" t="str">
            <v>IE3</v>
          </cell>
          <cell r="K1222" t="str">
            <v>230/400</v>
          </cell>
          <cell r="L1222">
            <v>50</v>
          </cell>
          <cell r="M1222" t="str">
            <v>18,2/10,5</v>
          </cell>
          <cell r="N1222">
            <v>55</v>
          </cell>
          <cell r="O1222" t="str">
            <v>F(105°C)</v>
          </cell>
          <cell r="P1222" t="str">
            <v>270°</v>
          </cell>
          <cell r="Q1222" t="str">
            <v>TF</v>
          </cell>
          <cell r="R1222" t="str">
            <v>V(VE)</v>
          </cell>
          <cell r="S1222" t="str">
            <v>-</v>
          </cell>
          <cell r="T1222" t="str">
            <v>-</v>
          </cell>
          <cell r="U1222" t="str">
            <v>-</v>
          </cell>
          <cell r="V1222" t="str">
            <v>FC</v>
          </cell>
          <cell r="W1222" t="str">
            <v>-</v>
          </cell>
          <cell r="X1222" t="str">
            <v>CLP HC VG 220 = -20° + 60°</v>
          </cell>
          <cell r="Y1222" t="str">
            <v>R97DRN132S4 /TF/V</v>
          </cell>
          <cell r="Z1222" t="str">
            <v>SEW</v>
          </cell>
          <cell r="AB1222" t="str">
            <v>-</v>
          </cell>
          <cell r="AF1222">
            <v>53</v>
          </cell>
          <cell r="AG1222" t="str">
            <v>DRN132S4</v>
          </cell>
          <cell r="AH1222" t="str">
            <v>R97-DRN132S4270-X#</v>
          </cell>
        </row>
        <row r="1223">
          <cell r="A1223" t="str">
            <v>MR001219</v>
          </cell>
          <cell r="B1223" t="str">
            <v>MR</v>
          </cell>
          <cell r="C1223">
            <v>0.75</v>
          </cell>
          <cell r="D1223">
            <v>22</v>
          </cell>
          <cell r="E1223" t="str">
            <v>R77</v>
          </cell>
          <cell r="F1223">
            <v>325</v>
          </cell>
          <cell r="G1223">
            <v>65.77</v>
          </cell>
          <cell r="H1223">
            <v>2.5</v>
          </cell>
          <cell r="I1223" t="str">
            <v>M1</v>
          </cell>
          <cell r="J1223" t="str">
            <v>IE3</v>
          </cell>
          <cell r="K1223">
            <v>400</v>
          </cell>
          <cell r="L1223">
            <v>50</v>
          </cell>
          <cell r="N1223">
            <v>55</v>
          </cell>
          <cell r="O1223" t="str">
            <v>F(105°C)</v>
          </cell>
          <cell r="P1223" t="str">
            <v>0°</v>
          </cell>
          <cell r="Q1223" t="str">
            <v>-</v>
          </cell>
          <cell r="R1223" t="str">
            <v>-</v>
          </cell>
          <cell r="S1223" t="str">
            <v>-</v>
          </cell>
          <cell r="T1223" t="str">
            <v>-</v>
          </cell>
          <cell r="U1223" t="str">
            <v>-</v>
          </cell>
          <cell r="V1223" t="str">
            <v>D</v>
          </cell>
          <cell r="W1223" t="str">
            <v>-</v>
          </cell>
          <cell r="X1223" t="str">
            <v>CLP VG 220 = -15° + 40°</v>
          </cell>
          <cell r="Y1223" t="str">
            <v>R77DRN80M4</v>
          </cell>
          <cell r="Z1223" t="str">
            <v>SEW</v>
          </cell>
          <cell r="AB1223" t="str">
            <v>-</v>
          </cell>
          <cell r="AF1223">
            <v>22</v>
          </cell>
          <cell r="AG1223" t="str">
            <v>DRN80M4</v>
          </cell>
          <cell r="AH1223" t="str">
            <v>R77-DRN80M40-X</v>
          </cell>
        </row>
        <row r="1224">
          <cell r="A1224" t="str">
            <v>MR001220</v>
          </cell>
          <cell r="B1224" t="str">
            <v>ME</v>
          </cell>
          <cell r="C1224">
            <v>37</v>
          </cell>
          <cell r="D1224">
            <v>1500</v>
          </cell>
          <cell r="I1224" t="str">
            <v>V1/B5</v>
          </cell>
          <cell r="J1224" t="str">
            <v>IE3</v>
          </cell>
          <cell r="K1224">
            <v>415</v>
          </cell>
          <cell r="L1224">
            <v>50</v>
          </cell>
          <cell r="N1224">
            <v>55</v>
          </cell>
          <cell r="O1224" t="str">
            <v>F(105°C)</v>
          </cell>
          <cell r="Q1224" t="str">
            <v>TF</v>
          </cell>
          <cell r="R1224" t="str">
            <v>-</v>
          </cell>
          <cell r="S1224" t="str">
            <v>-</v>
          </cell>
          <cell r="T1224" t="str">
            <v>-</v>
          </cell>
          <cell r="U1224" t="str">
            <v>-</v>
          </cell>
          <cell r="V1224" t="str">
            <v>D</v>
          </cell>
          <cell r="W1224" t="str">
            <v>-</v>
          </cell>
          <cell r="X1224" t="str">
            <v>-</v>
          </cell>
          <cell r="Y1224" t="str">
            <v>1LE1503-2BB03-5FB4</v>
          </cell>
          <cell r="Z1224" t="str">
            <v>SIEMENS</v>
          </cell>
          <cell r="AB1224" t="str">
            <v>-</v>
          </cell>
          <cell r="AE1224" t="str">
            <v>4 POLES</v>
          </cell>
          <cell r="AF1224">
            <v>1500</v>
          </cell>
          <cell r="AH1224" t="str">
            <v>-B-X</v>
          </cell>
        </row>
        <row r="1225">
          <cell r="A1225" t="str">
            <v>MR001221</v>
          </cell>
          <cell r="B1225" t="str">
            <v>ME</v>
          </cell>
          <cell r="C1225">
            <v>3</v>
          </cell>
          <cell r="D1225">
            <v>3000</v>
          </cell>
          <cell r="I1225" t="str">
            <v>B5</v>
          </cell>
          <cell r="J1225" t="str">
            <v>IE3</v>
          </cell>
          <cell r="K1225">
            <v>415</v>
          </cell>
          <cell r="L1225">
            <v>50</v>
          </cell>
          <cell r="N1225">
            <v>55</v>
          </cell>
          <cell r="O1225" t="str">
            <v>F(105°C)</v>
          </cell>
          <cell r="Q1225" t="str">
            <v>-</v>
          </cell>
          <cell r="R1225" t="str">
            <v>-</v>
          </cell>
          <cell r="S1225" t="str">
            <v>-</v>
          </cell>
          <cell r="T1225" t="str">
            <v>-</v>
          </cell>
          <cell r="U1225" t="str">
            <v>-</v>
          </cell>
          <cell r="V1225" t="str">
            <v>D</v>
          </cell>
          <cell r="W1225" t="str">
            <v>-</v>
          </cell>
          <cell r="X1225" t="str">
            <v>-</v>
          </cell>
          <cell r="Y1225" t="str">
            <v>1LE1003-1AA42-3FA4</v>
          </cell>
          <cell r="Z1225" t="str">
            <v>SIEMENS</v>
          </cell>
          <cell r="AB1225" t="str">
            <v>-</v>
          </cell>
          <cell r="AE1225" t="str">
            <v>2 POLES</v>
          </cell>
          <cell r="AF1225">
            <v>3000</v>
          </cell>
          <cell r="AH1225" t="str">
            <v>-B-X</v>
          </cell>
        </row>
        <row r="1226">
          <cell r="A1226" t="str">
            <v>MR001222</v>
          </cell>
          <cell r="B1226" t="str">
            <v>MR</v>
          </cell>
          <cell r="C1226">
            <v>18.5</v>
          </cell>
          <cell r="D1226">
            <v>12</v>
          </cell>
          <cell r="E1226" t="str">
            <v>KH157</v>
          </cell>
          <cell r="F1226">
            <v>14600</v>
          </cell>
          <cell r="G1226">
            <v>122.39</v>
          </cell>
          <cell r="H1226">
            <v>1.25</v>
          </cell>
          <cell r="I1226" t="str">
            <v>From M1A to M2A - 20°</v>
          </cell>
          <cell r="J1226" t="str">
            <v>IE3</v>
          </cell>
          <cell r="K1226">
            <v>400</v>
          </cell>
          <cell r="L1226">
            <v>50</v>
          </cell>
          <cell r="M1226">
            <v>33.5</v>
          </cell>
          <cell r="N1226">
            <v>55</v>
          </cell>
          <cell r="O1226" t="str">
            <v>F(105°C)</v>
          </cell>
          <cell r="P1226" t="str">
            <v>270°</v>
          </cell>
          <cell r="Q1226" t="str">
            <v>-</v>
          </cell>
          <cell r="R1226" t="str">
            <v>-</v>
          </cell>
          <cell r="S1226" t="str">
            <v>-</v>
          </cell>
          <cell r="T1226" t="str">
            <v>-</v>
          </cell>
          <cell r="U1226" t="str">
            <v>-</v>
          </cell>
          <cell r="V1226" t="str">
            <v>SS</v>
          </cell>
          <cell r="W1226" t="str">
            <v>-</v>
          </cell>
          <cell r="X1226" t="str">
            <v>CLP HC VG 150 = -40° + 40°</v>
          </cell>
          <cell r="Y1226" t="str">
            <v>KH157DRN180M4</v>
          </cell>
          <cell r="Z1226" t="str">
            <v>SEW</v>
          </cell>
          <cell r="AB1226" t="str">
            <v>-</v>
          </cell>
          <cell r="AF1226">
            <v>12</v>
          </cell>
          <cell r="AG1226" t="str">
            <v>DRN180M4</v>
          </cell>
          <cell r="AH1226" t="str">
            <v>KH157-DRN180M4A270-X</v>
          </cell>
        </row>
        <row r="1227">
          <cell r="A1227" t="str">
            <v>MR001223</v>
          </cell>
          <cell r="B1227" t="str">
            <v>MR</v>
          </cell>
          <cell r="C1227">
            <v>11</v>
          </cell>
          <cell r="D1227">
            <v>12</v>
          </cell>
          <cell r="E1227" t="str">
            <v>KH127</v>
          </cell>
          <cell r="F1227">
            <v>8730</v>
          </cell>
          <cell r="G1227">
            <v>122.48</v>
          </cell>
          <cell r="H1227">
            <v>1.5</v>
          </cell>
          <cell r="I1227" t="str">
            <v>From M1A to M2A - 45°</v>
          </cell>
          <cell r="J1227" t="str">
            <v>IE3</v>
          </cell>
          <cell r="K1227">
            <v>400</v>
          </cell>
          <cell r="L1227">
            <v>50</v>
          </cell>
          <cell r="M1227">
            <v>21</v>
          </cell>
          <cell r="N1227">
            <v>55</v>
          </cell>
          <cell r="O1227" t="str">
            <v>F(105°C)</v>
          </cell>
          <cell r="P1227" t="str">
            <v>270°</v>
          </cell>
          <cell r="Q1227" t="str">
            <v>-</v>
          </cell>
          <cell r="R1227" t="str">
            <v>-</v>
          </cell>
          <cell r="S1227" t="str">
            <v>-</v>
          </cell>
          <cell r="T1227" t="str">
            <v>-</v>
          </cell>
          <cell r="U1227" t="str">
            <v>-</v>
          </cell>
          <cell r="V1227" t="str">
            <v>SS</v>
          </cell>
          <cell r="W1227" t="str">
            <v>-</v>
          </cell>
          <cell r="X1227" t="str">
            <v>CLP HC VG 150 = -40° + 40°</v>
          </cell>
          <cell r="Y1227" t="str">
            <v>KH127DRN160M4</v>
          </cell>
          <cell r="Z1227" t="str">
            <v>SEW</v>
          </cell>
          <cell r="AB1227" t="str">
            <v>-</v>
          </cell>
          <cell r="AF1227">
            <v>12</v>
          </cell>
          <cell r="AG1227" t="str">
            <v>DRN160M4</v>
          </cell>
          <cell r="AH1227" t="str">
            <v>KH127-DRN160M4A270-X</v>
          </cell>
        </row>
        <row r="1228">
          <cell r="A1228" t="str">
            <v>MR001224</v>
          </cell>
          <cell r="B1228" t="str">
            <v>MR</v>
          </cell>
          <cell r="C1228">
            <v>11</v>
          </cell>
          <cell r="D1228">
            <v>102</v>
          </cell>
          <cell r="E1228" t="str">
            <v>Z109</v>
          </cell>
          <cell r="F1228">
            <v>1034</v>
          </cell>
          <cell r="G1228">
            <v>14.52</v>
          </cell>
          <cell r="H1228">
            <v>2.4900000000000002</v>
          </cell>
          <cell r="I1228" t="str">
            <v>From M1 to M2 - 40°</v>
          </cell>
          <cell r="J1228" t="str">
            <v>IE3</v>
          </cell>
          <cell r="K1228">
            <v>400</v>
          </cell>
          <cell r="L1228">
            <v>50</v>
          </cell>
          <cell r="M1228">
            <v>20.5</v>
          </cell>
          <cell r="N1228">
            <v>55</v>
          </cell>
          <cell r="O1228" t="str">
            <v>F(105°C)</v>
          </cell>
          <cell r="P1228" t="str">
            <v>2A</v>
          </cell>
          <cell r="Q1228" t="str">
            <v>-</v>
          </cell>
          <cell r="R1228" t="str">
            <v>-</v>
          </cell>
          <cell r="S1228" t="str">
            <v>-</v>
          </cell>
          <cell r="T1228" t="str">
            <v>-</v>
          </cell>
          <cell r="U1228" t="str">
            <v>-</v>
          </cell>
          <cell r="V1228" t="str">
            <v>D</v>
          </cell>
          <cell r="W1228" t="str">
            <v>-</v>
          </cell>
          <cell r="X1228" t="str">
            <v>CLP (CC) VG 220 = -15° + 40°</v>
          </cell>
          <cell r="Y1228" t="str">
            <v>2KJ3110-1JR23-9AL1-Z D01+E08+K01+K06+K41+L02+L75+M59+N6C+Y00</v>
          </cell>
          <cell r="Z1228" t="str">
            <v>SIEMENS</v>
          </cell>
          <cell r="AB1228" t="str">
            <v>-</v>
          </cell>
          <cell r="AE1228" t="str">
            <v>DIEFF SONAE BEES X SIEMENS</v>
          </cell>
          <cell r="AF1228">
            <v>102</v>
          </cell>
          <cell r="AG1228" t="str">
            <v>DRN160M4</v>
          </cell>
          <cell r="AH1228" t="str">
            <v>Z109-DRN160M42A-X</v>
          </cell>
        </row>
        <row r="1229">
          <cell r="A1229" t="str">
            <v>MR001225</v>
          </cell>
          <cell r="B1229" t="str">
            <v>MR</v>
          </cell>
          <cell r="C1229">
            <v>5.5</v>
          </cell>
          <cell r="D1229">
            <v>72</v>
          </cell>
          <cell r="E1229" t="str">
            <v>Z89</v>
          </cell>
          <cell r="F1229">
            <v>733</v>
          </cell>
          <cell r="G1229">
            <v>20.52</v>
          </cell>
          <cell r="H1229">
            <v>2.29</v>
          </cell>
          <cell r="I1229" t="str">
            <v>From M4 to M1 - 70°</v>
          </cell>
          <cell r="J1229" t="str">
            <v>IE3</v>
          </cell>
          <cell r="K1229">
            <v>400</v>
          </cell>
          <cell r="L1229">
            <v>50</v>
          </cell>
          <cell r="M1229">
            <v>10.5</v>
          </cell>
          <cell r="N1229">
            <v>55</v>
          </cell>
          <cell r="O1229" t="str">
            <v>F(105°C)</v>
          </cell>
          <cell r="P1229" t="str">
            <v>2A</v>
          </cell>
          <cell r="Q1229" t="str">
            <v>-</v>
          </cell>
          <cell r="R1229" t="str">
            <v>-</v>
          </cell>
          <cell r="S1229" t="str">
            <v>-</v>
          </cell>
          <cell r="T1229" t="str">
            <v>-</v>
          </cell>
          <cell r="U1229" t="str">
            <v>-</v>
          </cell>
          <cell r="V1229" t="str">
            <v>D</v>
          </cell>
          <cell r="W1229" t="str">
            <v>-</v>
          </cell>
          <cell r="X1229" t="str">
            <v>CLP (CC) VG 220 = -15° + 40°</v>
          </cell>
          <cell r="Y1229" t="str">
            <v>2KJ3108-1HJ23-9AN1-Z D04+E14+K01+K06+K41+L02+L75+M59+N6B+Y00</v>
          </cell>
          <cell r="Z1229" t="str">
            <v>SIEMENS</v>
          </cell>
          <cell r="AB1229" t="str">
            <v>-</v>
          </cell>
          <cell r="AE1229" t="str">
            <v>DIEFF SONAE BEES X SIEMENS</v>
          </cell>
          <cell r="AF1229">
            <v>72</v>
          </cell>
          <cell r="AG1229" t="str">
            <v>DRN132S4</v>
          </cell>
          <cell r="AH1229" t="str">
            <v>Z89-DRN132S42A-X</v>
          </cell>
        </row>
        <row r="1230">
          <cell r="A1230" t="str">
            <v>MR001226</v>
          </cell>
          <cell r="B1230" t="str">
            <v>MR</v>
          </cell>
          <cell r="C1230">
            <v>5.5</v>
          </cell>
          <cell r="D1230">
            <v>72</v>
          </cell>
          <cell r="E1230" t="str">
            <v>Z89</v>
          </cell>
          <cell r="F1230">
            <v>733</v>
          </cell>
          <cell r="G1230">
            <v>20.52</v>
          </cell>
          <cell r="H1230">
            <v>2.29</v>
          </cell>
          <cell r="I1230" t="str">
            <v>From M4 to M1 - 80°</v>
          </cell>
          <cell r="J1230" t="str">
            <v>IE3</v>
          </cell>
          <cell r="K1230">
            <v>400</v>
          </cell>
          <cell r="L1230">
            <v>50</v>
          </cell>
          <cell r="M1230">
            <v>10.5</v>
          </cell>
          <cell r="N1230">
            <v>55</v>
          </cell>
          <cell r="O1230" t="str">
            <v>F(105°C)</v>
          </cell>
          <cell r="P1230" t="str">
            <v>2A</v>
          </cell>
          <cell r="Q1230" t="str">
            <v>-</v>
          </cell>
          <cell r="R1230" t="str">
            <v>-</v>
          </cell>
          <cell r="S1230" t="str">
            <v>-</v>
          </cell>
          <cell r="T1230" t="str">
            <v>-</v>
          </cell>
          <cell r="U1230" t="str">
            <v>-</v>
          </cell>
          <cell r="V1230" t="str">
            <v>D</v>
          </cell>
          <cell r="W1230" t="str">
            <v>-</v>
          </cell>
          <cell r="X1230" t="str">
            <v>CLP (CC) VG 220 = -15° + 40°</v>
          </cell>
          <cell r="Y1230" t="str">
            <v>2KJ3108-1HJ23-9AN1-Z D04+E16+K01+K06+K41+L02+L75+M59+N6B+Y00</v>
          </cell>
          <cell r="Z1230" t="str">
            <v>SIEMENS</v>
          </cell>
          <cell r="AB1230" t="str">
            <v>-</v>
          </cell>
          <cell r="AE1230" t="str">
            <v>DIEFF SONAE BEES X SIEMENS</v>
          </cell>
          <cell r="AF1230">
            <v>72</v>
          </cell>
          <cell r="AG1230" t="str">
            <v>DRN132S4</v>
          </cell>
          <cell r="AH1230" t="str">
            <v>Z89-DRN132S42A-X</v>
          </cell>
        </row>
        <row r="1231">
          <cell r="A1231" t="str">
            <v>MR001227</v>
          </cell>
          <cell r="B1231" t="str">
            <v>MR</v>
          </cell>
          <cell r="C1231">
            <v>11</v>
          </cell>
          <cell r="D1231">
            <v>44</v>
          </cell>
          <cell r="E1231" t="str">
            <v>Z109</v>
          </cell>
          <cell r="F1231">
            <v>2400</v>
          </cell>
          <cell r="G1231">
            <v>33.700000000000003</v>
          </cell>
          <cell r="H1231">
            <v>1.29</v>
          </cell>
          <cell r="I1231" t="str">
            <v>M1</v>
          </cell>
          <cell r="J1231" t="str">
            <v>IE3</v>
          </cell>
          <cell r="K1231">
            <v>400</v>
          </cell>
          <cell r="L1231">
            <v>50</v>
          </cell>
          <cell r="M1231">
            <v>20.5</v>
          </cell>
          <cell r="N1231">
            <v>55</v>
          </cell>
          <cell r="O1231" t="str">
            <v>F(105°C)</v>
          </cell>
          <cell r="P1231" t="str">
            <v>2A</v>
          </cell>
          <cell r="Q1231" t="str">
            <v>-</v>
          </cell>
          <cell r="R1231" t="str">
            <v>-</v>
          </cell>
          <cell r="S1231" t="str">
            <v>-</v>
          </cell>
          <cell r="T1231" t="str">
            <v>-</v>
          </cell>
          <cell r="U1231" t="str">
            <v>-</v>
          </cell>
          <cell r="V1231" t="str">
            <v>D</v>
          </cell>
          <cell r="W1231" t="str">
            <v>-</v>
          </cell>
          <cell r="X1231" t="str">
            <v>CLP (CC) VG 220 = -15° + 40°</v>
          </cell>
          <cell r="Y1231" t="str">
            <v>2KJ3110-1JR23-9AT1-Z D01+K01+K06+K41+L02+L75+M59+N6C+Y00</v>
          </cell>
          <cell r="Z1231" t="str">
            <v>SIEMENS</v>
          </cell>
          <cell r="AB1231" t="str">
            <v>-</v>
          </cell>
          <cell r="AE1231" t="str">
            <v>DIEFF SONAE BEES X SIEMENS</v>
          </cell>
          <cell r="AF1231">
            <v>44</v>
          </cell>
          <cell r="AG1231" t="str">
            <v>DRN160M4</v>
          </cell>
          <cell r="AH1231" t="str">
            <v>Z109-DRN160M42A-X</v>
          </cell>
        </row>
        <row r="1232">
          <cell r="A1232" t="str">
            <v>MR001228</v>
          </cell>
          <cell r="B1232" t="str">
            <v>MR</v>
          </cell>
          <cell r="C1232">
            <v>18.5</v>
          </cell>
          <cell r="D1232">
            <v>12.6</v>
          </cell>
          <cell r="E1232" t="str">
            <v>KAS189</v>
          </cell>
          <cell r="F1232">
            <v>14062</v>
          </cell>
          <cell r="G1232">
            <v>117</v>
          </cell>
          <cell r="H1232">
            <v>1.39</v>
          </cell>
          <cell r="I1232" t="str">
            <v>From M1A to M2A - 35°</v>
          </cell>
          <cell r="J1232" t="str">
            <v>IE3</v>
          </cell>
          <cell r="K1232">
            <v>400</v>
          </cell>
          <cell r="L1232">
            <v>50</v>
          </cell>
          <cell r="M1232">
            <v>35</v>
          </cell>
          <cell r="N1232">
            <v>55</v>
          </cell>
          <cell r="O1232" t="str">
            <v>F(105°C)</v>
          </cell>
          <cell r="P1232" t="str">
            <v>3A</v>
          </cell>
          <cell r="Q1232" t="str">
            <v>TF</v>
          </cell>
          <cell r="R1232" t="str">
            <v>V(VE)</v>
          </cell>
          <cell r="S1232" t="str">
            <v>-</v>
          </cell>
          <cell r="T1232" t="str">
            <v>-</v>
          </cell>
          <cell r="U1232" t="str">
            <v>-</v>
          </cell>
          <cell r="V1232" t="str">
            <v>FC</v>
          </cell>
          <cell r="W1232" t="str">
            <v>-</v>
          </cell>
          <cell r="X1232" t="str">
            <v>CLP (CC) VG 220 = -15° + 40°</v>
          </cell>
          <cell r="Y1232" t="str">
            <v>2KJ3515-9KL33-9AR1-Z 
D11+E07+H3A+K01+K06+K41+L02+L75+M10+M23+M63+N6C+P91+Y00</v>
          </cell>
          <cell r="Z1232" t="str">
            <v>SIEMENS</v>
          </cell>
          <cell r="AB1232" t="str">
            <v>-</v>
          </cell>
          <cell r="AE1232" t="str">
            <v>DIEFF SONAE BEES X SIEMENS</v>
          </cell>
          <cell r="AF1232">
            <v>12.6</v>
          </cell>
          <cell r="AG1232" t="str">
            <v>DRN180M4</v>
          </cell>
          <cell r="AH1232" t="str">
            <v>KAS189-DRN180M4A3A-X#</v>
          </cell>
        </row>
        <row r="1233">
          <cell r="A1233" t="str">
            <v>MR001229</v>
          </cell>
          <cell r="B1233" t="str">
            <v>MR</v>
          </cell>
          <cell r="C1233">
            <v>18.5</v>
          </cell>
          <cell r="D1233">
            <v>12.6</v>
          </cell>
          <cell r="E1233" t="str">
            <v>KAS189</v>
          </cell>
          <cell r="F1233">
            <v>14062</v>
          </cell>
          <cell r="G1233">
            <v>117</v>
          </cell>
          <cell r="H1233">
            <v>1.39</v>
          </cell>
          <cell r="I1233" t="str">
            <v>From M1B to M2B - 35°</v>
          </cell>
          <cell r="J1233" t="str">
            <v>IE3</v>
          </cell>
          <cell r="K1233">
            <v>400</v>
          </cell>
          <cell r="L1233">
            <v>50</v>
          </cell>
          <cell r="M1233">
            <v>35</v>
          </cell>
          <cell r="N1233">
            <v>55</v>
          </cell>
          <cell r="O1233" t="str">
            <v>F(105°C)</v>
          </cell>
          <cell r="P1233" t="str">
            <v>1A</v>
          </cell>
          <cell r="Q1233" t="str">
            <v>TF</v>
          </cell>
          <cell r="R1233" t="str">
            <v>V(VE)</v>
          </cell>
          <cell r="S1233" t="str">
            <v>-</v>
          </cell>
          <cell r="T1233" t="str">
            <v>-</v>
          </cell>
          <cell r="U1233" t="str">
            <v>-</v>
          </cell>
          <cell r="V1233" t="str">
            <v>FC</v>
          </cell>
          <cell r="W1233" t="str">
            <v>-</v>
          </cell>
          <cell r="X1233" t="str">
            <v>CLP (CC) VG 220 = -15° + 40°</v>
          </cell>
          <cell r="Y1233" t="str">
            <v>2KJ3515-9KL33-9AR1-Z D21+E07+H3A+K01+K06+K41+L02+L75+M10+M23+M55+N6C+P91+Y00</v>
          </cell>
          <cell r="Z1233" t="str">
            <v>SIEMENS</v>
          </cell>
          <cell r="AB1233" t="str">
            <v>-</v>
          </cell>
          <cell r="AE1233" t="str">
            <v>DIEFF SONAE BEES X SIEMENS</v>
          </cell>
          <cell r="AF1233">
            <v>12.6</v>
          </cell>
          <cell r="AG1233" t="str">
            <v>DRN180M4</v>
          </cell>
          <cell r="AH1233" t="str">
            <v>KAS189-DRN180M4B1A-X#</v>
          </cell>
        </row>
        <row r="1234">
          <cell r="A1234" t="str">
            <v>MR001230</v>
          </cell>
          <cell r="B1234" t="str">
            <v>MR</v>
          </cell>
          <cell r="C1234">
            <v>18.5</v>
          </cell>
          <cell r="D1234">
            <v>21.7</v>
          </cell>
          <cell r="E1234" t="str">
            <v>KAS169</v>
          </cell>
          <cell r="F1234">
            <v>8126</v>
          </cell>
          <cell r="G1234">
            <v>67.61</v>
          </cell>
          <cell r="H1234">
            <v>1.6</v>
          </cell>
          <cell r="I1234" t="str">
            <v>From M4A to M1A - 40°</v>
          </cell>
          <cell r="J1234" t="str">
            <v>IE3</v>
          </cell>
          <cell r="K1234">
            <v>400</v>
          </cell>
          <cell r="L1234">
            <v>50</v>
          </cell>
          <cell r="M1234">
            <v>35</v>
          </cell>
          <cell r="N1234">
            <v>55</v>
          </cell>
          <cell r="O1234" t="str">
            <v>F(105°C)</v>
          </cell>
          <cell r="P1234" t="str">
            <v>3A</v>
          </cell>
          <cell r="Q1234" t="str">
            <v>TF</v>
          </cell>
          <cell r="R1234" t="str">
            <v>V(VE)</v>
          </cell>
          <cell r="S1234" t="str">
            <v>-</v>
          </cell>
          <cell r="T1234" t="str">
            <v>-</v>
          </cell>
          <cell r="U1234" t="str">
            <v>-</v>
          </cell>
          <cell r="V1234" t="str">
            <v>FC</v>
          </cell>
          <cell r="W1234" t="str">
            <v>-</v>
          </cell>
          <cell r="X1234" t="str">
            <v>CLP (CC) VG 220 = -15° + 40°</v>
          </cell>
          <cell r="Y1234" t="str">
            <v>2KJ3514-9KL33-9AS1-Z
D14+E08+H3A+K01+K06+K41+L02+L75+M10+M23+M63+N6C+P91+Y00</v>
          </cell>
          <cell r="Z1234" t="str">
            <v>SIEMENS</v>
          </cell>
          <cell r="AB1234" t="str">
            <v>-</v>
          </cell>
          <cell r="AE1234" t="str">
            <v>DIEFF SONAE BEES X SIEMENS</v>
          </cell>
          <cell r="AF1234">
            <v>21.7</v>
          </cell>
          <cell r="AG1234" t="str">
            <v>DRN180M4</v>
          </cell>
          <cell r="AH1234" t="str">
            <v>KAS169-DRN180M4A3A-X#</v>
          </cell>
        </row>
        <row r="1235">
          <cell r="A1235" t="str">
            <v>MR001231</v>
          </cell>
          <cell r="B1235" t="str">
            <v>MR</v>
          </cell>
          <cell r="C1235">
            <v>18.5</v>
          </cell>
          <cell r="D1235">
            <v>21.7</v>
          </cell>
          <cell r="E1235" t="str">
            <v>KAS169</v>
          </cell>
          <cell r="F1235">
            <v>8126</v>
          </cell>
          <cell r="G1235">
            <v>67.61</v>
          </cell>
          <cell r="H1235">
            <v>1.6</v>
          </cell>
          <cell r="I1235" t="str">
            <v>From M4B to M1B - 40°</v>
          </cell>
          <cell r="J1235" t="str">
            <v>IE3</v>
          </cell>
          <cell r="K1235">
            <v>400</v>
          </cell>
          <cell r="L1235">
            <v>50</v>
          </cell>
          <cell r="M1235">
            <v>35</v>
          </cell>
          <cell r="N1235">
            <v>55</v>
          </cell>
          <cell r="O1235" t="str">
            <v>F(105°C)</v>
          </cell>
          <cell r="P1235" t="str">
            <v>1A</v>
          </cell>
          <cell r="Q1235" t="str">
            <v>TF</v>
          </cell>
          <cell r="R1235" t="str">
            <v>V(VE)</v>
          </cell>
          <cell r="S1235" t="str">
            <v>-</v>
          </cell>
          <cell r="T1235" t="str">
            <v>-</v>
          </cell>
          <cell r="U1235" t="str">
            <v>-</v>
          </cell>
          <cell r="V1235" t="str">
            <v>FC</v>
          </cell>
          <cell r="W1235" t="str">
            <v>-</v>
          </cell>
          <cell r="X1235" t="str">
            <v>CLP (CC) VG 220 = -15° + 40°</v>
          </cell>
          <cell r="Y1235" t="str">
            <v>2KJ3514-9KL33-9AS1-Z 
D24+E08+H3A+K01+K06+K41+L02+L75+M10+M23+M55+N6C+P91+Y00</v>
          </cell>
          <cell r="Z1235" t="str">
            <v>SIEMENS</v>
          </cell>
          <cell r="AB1235" t="str">
            <v>-</v>
          </cell>
          <cell r="AE1235" t="str">
            <v>DIEFF SONAE BEES X SIEMENS</v>
          </cell>
          <cell r="AF1235">
            <v>21.7</v>
          </cell>
          <cell r="AG1235" t="str">
            <v>DRN180M4</v>
          </cell>
          <cell r="AH1235" t="str">
            <v>KAS169-DRN180M4B1A-X#</v>
          </cell>
        </row>
        <row r="1236">
          <cell r="A1236" t="str">
            <v>MR001232</v>
          </cell>
          <cell r="B1236" t="str">
            <v>MR</v>
          </cell>
          <cell r="C1236">
            <v>22</v>
          </cell>
          <cell r="D1236">
            <v>56</v>
          </cell>
          <cell r="E1236" t="str">
            <v>KH107</v>
          </cell>
          <cell r="F1236">
            <v>3740</v>
          </cell>
          <cell r="G1236">
            <v>26.32</v>
          </cell>
          <cell r="H1236">
            <v>1.9</v>
          </cell>
          <cell r="I1236" t="str">
            <v>M4A</v>
          </cell>
          <cell r="J1236" t="str">
            <v>IE3</v>
          </cell>
          <cell r="K1236" t="str">
            <v>400/690</v>
          </cell>
          <cell r="L1236">
            <v>50</v>
          </cell>
          <cell r="M1236" t="str">
            <v>38,5/22,5</v>
          </cell>
          <cell r="N1236">
            <v>55</v>
          </cell>
          <cell r="O1236" t="str">
            <v>F(105°C)</v>
          </cell>
          <cell r="P1236" t="str">
            <v>0°</v>
          </cell>
          <cell r="Q1236" t="str">
            <v>-</v>
          </cell>
          <cell r="R1236" t="str">
            <v>-</v>
          </cell>
          <cell r="S1236" t="str">
            <v>Free rotation CW</v>
          </cell>
          <cell r="T1236" t="str">
            <v>-</v>
          </cell>
          <cell r="U1236" t="str">
            <v>T</v>
          </cell>
          <cell r="V1236" t="str">
            <v>-</v>
          </cell>
          <cell r="W1236" t="str">
            <v>-</v>
          </cell>
          <cell r="X1236" t="str">
            <v>CLP VG 220 = -15° + 40°</v>
          </cell>
          <cell r="Y1236" t="str">
            <v>KH107/T DRN180L4 /RS</v>
          </cell>
          <cell r="Z1236" t="str">
            <v>SEW</v>
          </cell>
          <cell r="AB1236" t="str">
            <v>-</v>
          </cell>
          <cell r="AF1236">
            <v>56</v>
          </cell>
          <cell r="AG1236" t="str">
            <v>DRN180L4</v>
          </cell>
          <cell r="AH1236" t="str">
            <v>KH107T-DRN180L4A0-X</v>
          </cell>
        </row>
        <row r="1237">
          <cell r="A1237" t="str">
            <v>MR001233</v>
          </cell>
          <cell r="B1237" t="str">
            <v>MR</v>
          </cell>
          <cell r="C1237">
            <v>1.1000000000000001</v>
          </cell>
          <cell r="D1237">
            <v>4.4000000000000004</v>
          </cell>
          <cell r="E1237" t="str">
            <v>KH87R57</v>
          </cell>
          <cell r="F1237">
            <v>2170</v>
          </cell>
          <cell r="G1237">
            <v>330</v>
          </cell>
          <cell r="H1237">
            <v>1.25</v>
          </cell>
          <cell r="I1237" t="str">
            <v>M4A</v>
          </cell>
          <cell r="J1237" t="str">
            <v>IE3</v>
          </cell>
          <cell r="K1237" t="str">
            <v>230/400</v>
          </cell>
          <cell r="L1237">
            <v>50</v>
          </cell>
          <cell r="M1237" t="str">
            <v>4,45/2,55</v>
          </cell>
          <cell r="N1237">
            <v>55</v>
          </cell>
          <cell r="O1237" t="str">
            <v>F(105°C)</v>
          </cell>
          <cell r="P1237" t="str">
            <v>270°</v>
          </cell>
          <cell r="Q1237" t="str">
            <v>-</v>
          </cell>
          <cell r="R1237" t="str">
            <v>-</v>
          </cell>
          <cell r="S1237" t="str">
            <v>-</v>
          </cell>
          <cell r="T1237" t="str">
            <v>-</v>
          </cell>
          <cell r="U1237" t="str">
            <v>T</v>
          </cell>
          <cell r="V1237" t="str">
            <v>-</v>
          </cell>
          <cell r="W1237" t="str">
            <v>-</v>
          </cell>
          <cell r="X1237" t="str">
            <v>CLP VG 220 = -15° + 40°</v>
          </cell>
          <cell r="Y1237" t="str">
            <v>KH87/T R57 DRN90S4</v>
          </cell>
          <cell r="Z1237" t="str">
            <v>SEW</v>
          </cell>
          <cell r="AB1237" t="str">
            <v>-</v>
          </cell>
          <cell r="AF1237">
            <v>4.4000000000000004</v>
          </cell>
          <cell r="AG1237" t="str">
            <v>DRN90S4</v>
          </cell>
          <cell r="AH1237" t="str">
            <v>KH87R57T-DRN90S4A270-X</v>
          </cell>
        </row>
        <row r="1238">
          <cell r="A1238" t="str">
            <v>MR001234</v>
          </cell>
          <cell r="B1238" t="str">
            <v>MR</v>
          </cell>
          <cell r="C1238">
            <v>15</v>
          </cell>
          <cell r="D1238">
            <v>12.4</v>
          </cell>
          <cell r="E1238" t="str">
            <v>KH127</v>
          </cell>
          <cell r="F1238">
            <v>9870</v>
          </cell>
          <cell r="G1238">
            <v>122.48</v>
          </cell>
          <cell r="H1238">
            <v>1.3</v>
          </cell>
          <cell r="I1238" t="str">
            <v>M1A</v>
          </cell>
          <cell r="J1238" t="str">
            <v>IE3</v>
          </cell>
          <cell r="K1238">
            <v>480</v>
          </cell>
          <cell r="L1238">
            <v>60</v>
          </cell>
          <cell r="N1238">
            <v>56</v>
          </cell>
          <cell r="O1238" t="str">
            <v>F(105°C)</v>
          </cell>
          <cell r="P1238" t="str">
            <v>270°</v>
          </cell>
          <cell r="Q1238" t="str">
            <v>TF</v>
          </cell>
          <cell r="R1238" t="str">
            <v>-</v>
          </cell>
          <cell r="S1238" t="str">
            <v>-</v>
          </cell>
          <cell r="T1238" t="str">
            <v>-</v>
          </cell>
          <cell r="U1238" t="str">
            <v>-</v>
          </cell>
          <cell r="V1238" t="str">
            <v>FC</v>
          </cell>
          <cell r="W1238" t="str">
            <v>-</v>
          </cell>
          <cell r="X1238" t="str">
            <v>CLP (CC) VG 220 = -15° + 40°</v>
          </cell>
          <cell r="Y1238" t="str">
            <v>KH127DRN160L4 /TF</v>
          </cell>
          <cell r="Z1238" t="str">
            <v>SEW</v>
          </cell>
          <cell r="AB1238" t="str">
            <v>-</v>
          </cell>
          <cell r="AD1238" t="str">
            <v>USA</v>
          </cell>
          <cell r="AE1238" t="str">
            <v>USA UR (60HZ-UL APPROVED)</v>
          </cell>
          <cell r="AF1238">
            <v>14.88</v>
          </cell>
          <cell r="AG1238" t="str">
            <v>DRN160L4</v>
          </cell>
          <cell r="AH1238" t="str">
            <v>KH127-DRN160L4A270-X</v>
          </cell>
        </row>
        <row r="1239">
          <cell r="A1239" t="str">
            <v>MR001235</v>
          </cell>
          <cell r="B1239" t="str">
            <v>MR</v>
          </cell>
          <cell r="C1239">
            <v>15</v>
          </cell>
          <cell r="D1239">
            <v>12.4</v>
          </cell>
          <cell r="E1239" t="str">
            <v>KH127</v>
          </cell>
          <cell r="F1239">
            <v>9870</v>
          </cell>
          <cell r="G1239">
            <v>122.48</v>
          </cell>
          <cell r="H1239">
            <v>1.3</v>
          </cell>
          <cell r="I1239" t="str">
            <v>M1B</v>
          </cell>
          <cell r="J1239" t="str">
            <v>IE3</v>
          </cell>
          <cell r="K1239">
            <v>480</v>
          </cell>
          <cell r="L1239">
            <v>60</v>
          </cell>
          <cell r="N1239">
            <v>56</v>
          </cell>
          <cell r="O1239" t="str">
            <v>F(105°C)</v>
          </cell>
          <cell r="P1239" t="str">
            <v>270°</v>
          </cell>
          <cell r="Q1239" t="str">
            <v>TF</v>
          </cell>
          <cell r="R1239" t="str">
            <v>-</v>
          </cell>
          <cell r="S1239" t="str">
            <v>-</v>
          </cell>
          <cell r="T1239" t="str">
            <v>-</v>
          </cell>
          <cell r="U1239" t="str">
            <v>-</v>
          </cell>
          <cell r="V1239" t="str">
            <v>FC</v>
          </cell>
          <cell r="W1239" t="str">
            <v>-</v>
          </cell>
          <cell r="X1239" t="str">
            <v>CLP (CC) VG 220 = -15° + 40°</v>
          </cell>
          <cell r="Y1239" t="str">
            <v>KH127DRN160L4 /TF</v>
          </cell>
          <cell r="Z1239" t="str">
            <v>SEW</v>
          </cell>
          <cell r="AB1239" t="str">
            <v>-</v>
          </cell>
          <cell r="AD1239" t="str">
            <v>USA</v>
          </cell>
          <cell r="AE1239" t="str">
            <v>USA UR (60HZ-UL APPROVED)</v>
          </cell>
          <cell r="AF1239">
            <v>14.88</v>
          </cell>
          <cell r="AG1239" t="str">
            <v>DRN160L4</v>
          </cell>
          <cell r="AH1239" t="str">
            <v>KH127-DRN160L4B270-X</v>
          </cell>
        </row>
        <row r="1240">
          <cell r="A1240" t="str">
            <v>MR001236</v>
          </cell>
          <cell r="B1240" t="str">
            <v>MR</v>
          </cell>
          <cell r="C1240">
            <v>15</v>
          </cell>
          <cell r="D1240">
            <v>13.3</v>
          </cell>
          <cell r="E1240" t="str">
            <v>KH127</v>
          </cell>
          <cell r="F1240">
            <v>8880</v>
          </cell>
          <cell r="G1240">
            <v>110.18</v>
          </cell>
          <cell r="H1240">
            <v>1.45</v>
          </cell>
          <cell r="I1240" t="str">
            <v>M1A</v>
          </cell>
          <cell r="J1240" t="str">
            <v>IE3</v>
          </cell>
          <cell r="K1240">
            <v>480</v>
          </cell>
          <cell r="L1240">
            <v>60</v>
          </cell>
          <cell r="N1240">
            <v>56</v>
          </cell>
          <cell r="O1240" t="str">
            <v>F(105°C)</v>
          </cell>
          <cell r="P1240" t="str">
            <v>270°</v>
          </cell>
          <cell r="Q1240" t="str">
            <v>TF</v>
          </cell>
          <cell r="R1240" t="str">
            <v>-</v>
          </cell>
          <cell r="S1240" t="str">
            <v>-</v>
          </cell>
          <cell r="T1240" t="str">
            <v>-</v>
          </cell>
          <cell r="U1240" t="str">
            <v>-</v>
          </cell>
          <cell r="V1240" t="str">
            <v>SS</v>
          </cell>
          <cell r="W1240" t="str">
            <v>-</v>
          </cell>
          <cell r="X1240" t="str">
            <v>CLP (CC) VG 220 = -15° + 40°</v>
          </cell>
          <cell r="Y1240" t="str">
            <v>KH127DRN160L4 /TF</v>
          </cell>
          <cell r="Z1240" t="str">
            <v>SEW</v>
          </cell>
          <cell r="AB1240" t="str">
            <v>-</v>
          </cell>
          <cell r="AD1240" t="str">
            <v>USA</v>
          </cell>
          <cell r="AE1240" t="str">
            <v>USA UR (60HZ-UL APPROVED)</v>
          </cell>
          <cell r="AF1240">
            <v>15.96</v>
          </cell>
          <cell r="AG1240" t="str">
            <v>DRN160L4</v>
          </cell>
          <cell r="AH1240" t="str">
            <v>KH127-DRN160L4A270-X</v>
          </cell>
        </row>
        <row r="1241">
          <cell r="A1241" t="str">
            <v>MR001237</v>
          </cell>
          <cell r="B1241" t="str">
            <v>MR</v>
          </cell>
          <cell r="C1241">
            <v>15</v>
          </cell>
          <cell r="D1241">
            <v>13.3</v>
          </cell>
          <cell r="E1241" t="str">
            <v>KH127</v>
          </cell>
          <cell r="F1241">
            <v>8880</v>
          </cell>
          <cell r="G1241">
            <v>110.18</v>
          </cell>
          <cell r="H1241">
            <v>1.45</v>
          </cell>
          <cell r="I1241" t="str">
            <v>M1B</v>
          </cell>
          <cell r="J1241" t="str">
            <v>IE3</v>
          </cell>
          <cell r="K1241">
            <v>480</v>
          </cell>
          <cell r="L1241">
            <v>60</v>
          </cell>
          <cell r="N1241">
            <v>56</v>
          </cell>
          <cell r="O1241" t="str">
            <v>F(105°C)</v>
          </cell>
          <cell r="P1241" t="str">
            <v>270°</v>
          </cell>
          <cell r="Q1241" t="str">
            <v>TF</v>
          </cell>
          <cell r="R1241" t="str">
            <v>-</v>
          </cell>
          <cell r="S1241" t="str">
            <v>-</v>
          </cell>
          <cell r="T1241" t="str">
            <v>-</v>
          </cell>
          <cell r="U1241" t="str">
            <v>-</v>
          </cell>
          <cell r="V1241" t="str">
            <v>SS</v>
          </cell>
          <cell r="W1241" t="str">
            <v>-</v>
          </cell>
          <cell r="X1241" t="str">
            <v>CLP (CC) VG 220 = -15° + 40°</v>
          </cell>
          <cell r="Y1241" t="str">
            <v>KH127DRN160L4 /TF</v>
          </cell>
          <cell r="Z1241" t="str">
            <v>SEW</v>
          </cell>
          <cell r="AB1241" t="str">
            <v>-</v>
          </cell>
          <cell r="AD1241" t="str">
            <v>USA</v>
          </cell>
          <cell r="AE1241" t="str">
            <v>USA UR (60HZ-UL APPROVED)</v>
          </cell>
          <cell r="AF1241">
            <v>15.96</v>
          </cell>
          <cell r="AG1241" t="str">
            <v>DRN160L4</v>
          </cell>
          <cell r="AH1241" t="str">
            <v>KH127-DRN160L4B270-X</v>
          </cell>
        </row>
        <row r="1242">
          <cell r="A1242" t="str">
            <v>MR001238</v>
          </cell>
          <cell r="B1242" t="str">
            <v>MR</v>
          </cell>
          <cell r="C1242">
            <v>11</v>
          </cell>
          <cell r="D1242">
            <v>11</v>
          </cell>
          <cell r="E1242" t="str">
            <v>KH127</v>
          </cell>
          <cell r="F1242">
            <v>8050</v>
          </cell>
          <cell r="G1242">
            <v>136.13999999999999</v>
          </cell>
          <cell r="H1242">
            <v>1.6</v>
          </cell>
          <cell r="I1242" t="str">
            <v>M1A to M2 - 20°</v>
          </cell>
          <cell r="J1242" t="str">
            <v>IE3</v>
          </cell>
          <cell r="K1242">
            <v>480</v>
          </cell>
          <cell r="L1242">
            <v>60</v>
          </cell>
          <cell r="N1242">
            <v>56</v>
          </cell>
          <cell r="O1242" t="str">
            <v>F(105°C)</v>
          </cell>
          <cell r="P1242" t="str">
            <v>270°</v>
          </cell>
          <cell r="Q1242" t="str">
            <v>TF</v>
          </cell>
          <cell r="R1242" t="str">
            <v>-</v>
          </cell>
          <cell r="S1242" t="str">
            <v>-</v>
          </cell>
          <cell r="T1242" t="str">
            <v>-</v>
          </cell>
          <cell r="U1242" t="str">
            <v>-</v>
          </cell>
          <cell r="V1242" t="str">
            <v>SS</v>
          </cell>
          <cell r="W1242" t="str">
            <v>-</v>
          </cell>
          <cell r="X1242" t="str">
            <v>CLP (CC) VG 220 = -15° + 40°</v>
          </cell>
          <cell r="Y1242" t="str">
            <v>KH127DRN160M4 /TF</v>
          </cell>
          <cell r="Z1242" t="str">
            <v>SEW</v>
          </cell>
          <cell r="AB1242" t="str">
            <v>-</v>
          </cell>
          <cell r="AD1242" t="str">
            <v>USA</v>
          </cell>
          <cell r="AE1242" t="str">
            <v>USA UR (60HZ-UL APPROVED)</v>
          </cell>
          <cell r="AF1242">
            <v>13.2</v>
          </cell>
          <cell r="AG1242" t="str">
            <v>DRN160M4</v>
          </cell>
          <cell r="AH1242" t="str">
            <v>KH127-DRN160M4A270-X</v>
          </cell>
        </row>
        <row r="1243">
          <cell r="A1243" t="str">
            <v>MR001239</v>
          </cell>
          <cell r="B1243" t="str">
            <v>MR</v>
          </cell>
          <cell r="C1243">
            <v>11</v>
          </cell>
          <cell r="D1243">
            <v>11</v>
          </cell>
          <cell r="E1243" t="str">
            <v>KH127</v>
          </cell>
          <cell r="F1243">
            <v>8050</v>
          </cell>
          <cell r="G1243">
            <v>136.13999999999999</v>
          </cell>
          <cell r="H1243">
            <v>1.6</v>
          </cell>
          <cell r="I1243" t="str">
            <v>M1B to M2 - 20°</v>
          </cell>
          <cell r="J1243" t="str">
            <v>IE3</v>
          </cell>
          <cell r="K1243">
            <v>480</v>
          </cell>
          <cell r="L1243">
            <v>60</v>
          </cell>
          <cell r="N1243">
            <v>56</v>
          </cell>
          <cell r="O1243" t="str">
            <v>F(105°C)</v>
          </cell>
          <cell r="P1243" t="str">
            <v>270°</v>
          </cell>
          <cell r="Q1243" t="str">
            <v>TF</v>
          </cell>
          <cell r="R1243" t="str">
            <v>-</v>
          </cell>
          <cell r="S1243" t="str">
            <v>-</v>
          </cell>
          <cell r="T1243" t="str">
            <v>-</v>
          </cell>
          <cell r="U1243" t="str">
            <v>-</v>
          </cell>
          <cell r="V1243" t="str">
            <v>SS</v>
          </cell>
          <cell r="W1243" t="str">
            <v>-</v>
          </cell>
          <cell r="X1243" t="str">
            <v>CLP (CC) VG 220 = -15° + 40°</v>
          </cell>
          <cell r="Y1243" t="str">
            <v>KH127DRN160M4 /TF</v>
          </cell>
          <cell r="Z1243" t="str">
            <v>SEW</v>
          </cell>
          <cell r="AB1243" t="str">
            <v>-</v>
          </cell>
          <cell r="AD1243" t="str">
            <v>USA</v>
          </cell>
          <cell r="AE1243" t="str">
            <v>USA UR (60HZ-UL APPROVED)</v>
          </cell>
          <cell r="AF1243">
            <v>13.2</v>
          </cell>
          <cell r="AG1243" t="str">
            <v>DRN160M4</v>
          </cell>
          <cell r="AH1243" t="str">
            <v>KH127-DRN160M4B270-X</v>
          </cell>
        </row>
        <row r="1244">
          <cell r="A1244" t="str">
            <v>MR001240</v>
          </cell>
          <cell r="B1244" t="str">
            <v>MR</v>
          </cell>
          <cell r="C1244">
            <v>5.5</v>
          </cell>
          <cell r="D1244">
            <v>12</v>
          </cell>
          <cell r="E1244" t="str">
            <v>KH97</v>
          </cell>
          <cell r="F1244">
            <v>3680</v>
          </cell>
          <cell r="G1244">
            <v>123.93</v>
          </cell>
          <cell r="H1244">
            <v>1.1499999999999999</v>
          </cell>
          <cell r="I1244" t="str">
            <v>M1B to M2 - 5°</v>
          </cell>
          <cell r="J1244" t="str">
            <v>IE3</v>
          </cell>
          <cell r="K1244">
            <v>480</v>
          </cell>
          <cell r="L1244">
            <v>60</v>
          </cell>
          <cell r="N1244">
            <v>56</v>
          </cell>
          <cell r="O1244" t="str">
            <v>F(105°C)</v>
          </cell>
          <cell r="P1244" t="str">
            <v>270°</v>
          </cell>
          <cell r="Q1244" t="str">
            <v>TF</v>
          </cell>
          <cell r="R1244" t="str">
            <v>-</v>
          </cell>
          <cell r="S1244" t="str">
            <v>-</v>
          </cell>
          <cell r="T1244" t="str">
            <v>-</v>
          </cell>
          <cell r="U1244" t="str">
            <v>-</v>
          </cell>
          <cell r="V1244" t="str">
            <v>SS</v>
          </cell>
          <cell r="W1244" t="str">
            <v>-</v>
          </cell>
          <cell r="X1244" t="str">
            <v>CLP (CC) VG 220 = -15° + 40°</v>
          </cell>
          <cell r="Y1244" t="str">
            <v>KH97DRN132S4 /TF</v>
          </cell>
          <cell r="Z1244" t="str">
            <v>SEW</v>
          </cell>
          <cell r="AB1244" t="str">
            <v>-</v>
          </cell>
          <cell r="AD1244" t="str">
            <v>USA</v>
          </cell>
          <cell r="AE1244" t="str">
            <v>USA UR (60HZ-UL APPROVED)</v>
          </cell>
          <cell r="AF1244">
            <v>14.4</v>
          </cell>
          <cell r="AG1244" t="str">
            <v>DRN132S4</v>
          </cell>
          <cell r="AH1244" t="str">
            <v>KH97-DRN132S4B270-X</v>
          </cell>
        </row>
        <row r="1245">
          <cell r="A1245" t="str">
            <v>MR001241</v>
          </cell>
          <cell r="B1245" t="str">
            <v>MR</v>
          </cell>
          <cell r="C1245">
            <v>15</v>
          </cell>
          <cell r="D1245">
            <v>11</v>
          </cell>
          <cell r="E1245" t="str">
            <v>KH127</v>
          </cell>
          <cell r="F1245">
            <v>10900</v>
          </cell>
          <cell r="G1245">
            <v>136.13999999999999</v>
          </cell>
          <cell r="H1245">
            <v>1.2</v>
          </cell>
          <cell r="I1245" t="str">
            <v>M1A to M2 - 25°</v>
          </cell>
          <cell r="J1245" t="str">
            <v>IE3</v>
          </cell>
          <cell r="K1245">
            <v>480</v>
          </cell>
          <cell r="L1245">
            <v>60</v>
          </cell>
          <cell r="N1245">
            <v>56</v>
          </cell>
          <cell r="O1245" t="str">
            <v>F(105°C)</v>
          </cell>
          <cell r="P1245" t="str">
            <v>270°</v>
          </cell>
          <cell r="Q1245" t="str">
            <v>TF</v>
          </cell>
          <cell r="R1245" t="str">
            <v>-</v>
          </cell>
          <cell r="S1245" t="str">
            <v>-</v>
          </cell>
          <cell r="T1245" t="str">
            <v>-</v>
          </cell>
          <cell r="U1245" t="str">
            <v>-</v>
          </cell>
          <cell r="V1245" t="str">
            <v>SS</v>
          </cell>
          <cell r="W1245" t="str">
            <v>-</v>
          </cell>
          <cell r="X1245" t="str">
            <v>CLP (CC) VG 220 = -15° + 40°</v>
          </cell>
          <cell r="Y1245" t="str">
            <v>KH127DRN160L4 /TF</v>
          </cell>
          <cell r="Z1245" t="str">
            <v>SEW</v>
          </cell>
          <cell r="AB1245" t="str">
            <v>-</v>
          </cell>
          <cell r="AD1245" t="str">
            <v>USA</v>
          </cell>
          <cell r="AE1245" t="str">
            <v>USA UR (60HZ-UL APPROVED)</v>
          </cell>
          <cell r="AF1245">
            <v>13.2</v>
          </cell>
          <cell r="AG1245" t="str">
            <v>DRN160L4</v>
          </cell>
          <cell r="AH1245" t="str">
            <v>KH127-DRN160L4A270-X</v>
          </cell>
        </row>
        <row r="1246">
          <cell r="A1246" t="str">
            <v>MR001242</v>
          </cell>
          <cell r="B1246" t="str">
            <v>MR</v>
          </cell>
          <cell r="C1246">
            <v>15</v>
          </cell>
          <cell r="D1246">
            <v>11</v>
          </cell>
          <cell r="E1246" t="str">
            <v>KH127</v>
          </cell>
          <cell r="F1246">
            <v>10900</v>
          </cell>
          <cell r="G1246">
            <v>136.13999999999999</v>
          </cell>
          <cell r="H1246">
            <v>1.2</v>
          </cell>
          <cell r="I1246" t="str">
            <v>M1B to M2 - 25°</v>
          </cell>
          <cell r="J1246" t="str">
            <v>IE3</v>
          </cell>
          <cell r="K1246">
            <v>480</v>
          </cell>
          <cell r="L1246">
            <v>60</v>
          </cell>
          <cell r="N1246">
            <v>56</v>
          </cell>
          <cell r="O1246" t="str">
            <v>F(105°C)</v>
          </cell>
          <cell r="P1246" t="str">
            <v>270°</v>
          </cell>
          <cell r="Q1246" t="str">
            <v>TF</v>
          </cell>
          <cell r="R1246" t="str">
            <v>-</v>
          </cell>
          <cell r="S1246" t="str">
            <v>-</v>
          </cell>
          <cell r="T1246" t="str">
            <v>-</v>
          </cell>
          <cell r="U1246" t="str">
            <v>-</v>
          </cell>
          <cell r="V1246" t="str">
            <v>SS</v>
          </cell>
          <cell r="W1246" t="str">
            <v>-</v>
          </cell>
          <cell r="X1246" t="str">
            <v>CLP (CC) VG 220 = -15° + 40°</v>
          </cell>
          <cell r="Y1246" t="str">
            <v>KH127DRN160L4 /TF</v>
          </cell>
          <cell r="Z1246" t="str">
            <v>SEW</v>
          </cell>
          <cell r="AB1246" t="str">
            <v>-</v>
          </cell>
          <cell r="AD1246" t="str">
            <v>USA</v>
          </cell>
          <cell r="AE1246" t="str">
            <v>USA UR (60HZ-UL APPROVED)</v>
          </cell>
          <cell r="AF1246">
            <v>13.2</v>
          </cell>
          <cell r="AG1246" t="str">
            <v>DRN160L4</v>
          </cell>
          <cell r="AH1246" t="str">
            <v>KH127-DRN160L4B270-X</v>
          </cell>
        </row>
        <row r="1247">
          <cell r="A1247" t="str">
            <v>MR001243</v>
          </cell>
          <cell r="B1247" t="str">
            <v>MR</v>
          </cell>
          <cell r="C1247">
            <v>11</v>
          </cell>
          <cell r="D1247">
            <v>11</v>
          </cell>
          <cell r="E1247" t="str">
            <v>KH127</v>
          </cell>
          <cell r="F1247">
            <v>8050</v>
          </cell>
          <cell r="G1247">
            <v>136.13999999999999</v>
          </cell>
          <cell r="H1247">
            <v>1.6</v>
          </cell>
          <cell r="I1247" t="str">
            <v>M1B</v>
          </cell>
          <cell r="J1247" t="str">
            <v>IE3</v>
          </cell>
          <cell r="K1247">
            <v>480</v>
          </cell>
          <cell r="L1247">
            <v>60</v>
          </cell>
          <cell r="N1247">
            <v>56</v>
          </cell>
          <cell r="O1247" t="str">
            <v>F(105°C)</v>
          </cell>
          <cell r="P1247" t="str">
            <v>270°</v>
          </cell>
          <cell r="Q1247" t="str">
            <v>TF</v>
          </cell>
          <cell r="R1247" t="str">
            <v>-</v>
          </cell>
          <cell r="S1247" t="str">
            <v>-</v>
          </cell>
          <cell r="T1247" t="str">
            <v>-</v>
          </cell>
          <cell r="U1247" t="str">
            <v>-</v>
          </cell>
          <cell r="V1247" t="str">
            <v>SS</v>
          </cell>
          <cell r="W1247" t="str">
            <v>-</v>
          </cell>
          <cell r="X1247" t="str">
            <v>CLP (CC) VG 220 = -15° + 40°</v>
          </cell>
          <cell r="Y1247" t="str">
            <v>KH127DRN160M4 /TF</v>
          </cell>
          <cell r="Z1247" t="str">
            <v>SEW</v>
          </cell>
          <cell r="AB1247" t="str">
            <v>-</v>
          </cell>
          <cell r="AD1247" t="str">
            <v>USA</v>
          </cell>
          <cell r="AE1247" t="str">
            <v>USA UR (60HZ-UL APPROVED)</v>
          </cell>
          <cell r="AF1247">
            <v>13.2</v>
          </cell>
          <cell r="AG1247" t="str">
            <v>DRN160M4</v>
          </cell>
          <cell r="AH1247" t="str">
            <v>KH127-DRN160M4B270-X</v>
          </cell>
        </row>
        <row r="1248">
          <cell r="A1248" t="str">
            <v>MR001244</v>
          </cell>
          <cell r="B1248" t="str">
            <v>MR</v>
          </cell>
          <cell r="C1248">
            <v>7.5</v>
          </cell>
          <cell r="D1248">
            <v>12.4</v>
          </cell>
          <cell r="E1248" t="str">
            <v>KH107</v>
          </cell>
          <cell r="F1248">
            <v>4900</v>
          </cell>
          <cell r="G1248">
            <v>121.46</v>
          </cell>
          <cell r="H1248">
            <v>1.65</v>
          </cell>
          <cell r="I1248" t="str">
            <v>M1B to M2 - 40°</v>
          </cell>
          <cell r="J1248" t="str">
            <v>IE3</v>
          </cell>
          <cell r="K1248">
            <v>480</v>
          </cell>
          <cell r="L1248">
            <v>60</v>
          </cell>
          <cell r="N1248">
            <v>56</v>
          </cell>
          <cell r="O1248" t="str">
            <v>F(105°C)</v>
          </cell>
          <cell r="P1248" t="str">
            <v>270°</v>
          </cell>
          <cell r="Q1248" t="str">
            <v>TF</v>
          </cell>
          <cell r="R1248" t="str">
            <v>-</v>
          </cell>
          <cell r="S1248" t="str">
            <v>-</v>
          </cell>
          <cell r="T1248" t="str">
            <v>-</v>
          </cell>
          <cell r="U1248" t="str">
            <v>-</v>
          </cell>
          <cell r="V1248" t="str">
            <v>SS</v>
          </cell>
          <cell r="W1248" t="str">
            <v>-</v>
          </cell>
          <cell r="X1248" t="str">
            <v>CLP (CC) VG 220 = -15° + 40°</v>
          </cell>
          <cell r="Y1248" t="str">
            <v>KH107DRN132M4 /TF</v>
          </cell>
          <cell r="Z1248" t="str">
            <v>SEW</v>
          </cell>
          <cell r="AB1248" t="str">
            <v>-</v>
          </cell>
          <cell r="AD1248" t="str">
            <v>USA</v>
          </cell>
          <cell r="AE1248" t="str">
            <v>USA UR (60HZ-UL APPROVED)</v>
          </cell>
          <cell r="AF1248">
            <v>14.88</v>
          </cell>
          <cell r="AG1248" t="str">
            <v>DRN132M4</v>
          </cell>
          <cell r="AH1248" t="str">
            <v>KH107-DRN132M4B270-X</v>
          </cell>
        </row>
        <row r="1249">
          <cell r="A1249" t="str">
            <v>MR001245</v>
          </cell>
          <cell r="B1249" t="str">
            <v>MR</v>
          </cell>
          <cell r="C1249">
            <v>11</v>
          </cell>
          <cell r="D1249">
            <v>11</v>
          </cell>
          <cell r="E1249" t="str">
            <v>KH127</v>
          </cell>
          <cell r="F1249">
            <v>8050</v>
          </cell>
          <cell r="G1249">
            <v>136.13999999999999</v>
          </cell>
          <cell r="H1249">
            <v>1.6</v>
          </cell>
          <cell r="I1249" t="str">
            <v>M1A to M2 - 25°</v>
          </cell>
          <cell r="J1249" t="str">
            <v>IE3</v>
          </cell>
          <cell r="K1249">
            <v>480</v>
          </cell>
          <cell r="L1249">
            <v>60</v>
          </cell>
          <cell r="N1249">
            <v>56</v>
          </cell>
          <cell r="O1249" t="str">
            <v>F(105°C)</v>
          </cell>
          <cell r="P1249" t="str">
            <v>270°</v>
          </cell>
          <cell r="Q1249" t="str">
            <v>TF</v>
          </cell>
          <cell r="R1249" t="str">
            <v>-</v>
          </cell>
          <cell r="S1249" t="str">
            <v>-</v>
          </cell>
          <cell r="T1249" t="str">
            <v>-</v>
          </cell>
          <cell r="U1249" t="str">
            <v>-</v>
          </cell>
          <cell r="V1249" t="str">
            <v>SS</v>
          </cell>
          <cell r="W1249" t="str">
            <v>-</v>
          </cell>
          <cell r="X1249" t="str">
            <v>CLP (CC) VG 220 = -15° + 40°</v>
          </cell>
          <cell r="Y1249" t="str">
            <v>KH127DRN160M4 /TF</v>
          </cell>
          <cell r="Z1249" t="str">
            <v>SEW</v>
          </cell>
          <cell r="AB1249" t="str">
            <v>-</v>
          </cell>
          <cell r="AD1249" t="str">
            <v>USA</v>
          </cell>
          <cell r="AE1249" t="str">
            <v>USA UR (60HZ-UL APPROVED)</v>
          </cell>
          <cell r="AF1249">
            <v>13.2</v>
          </cell>
          <cell r="AG1249" t="str">
            <v>DRN160M4</v>
          </cell>
          <cell r="AH1249" t="str">
            <v>KH127-DRN160M4A270-X</v>
          </cell>
        </row>
        <row r="1250">
          <cell r="A1250" t="str">
            <v>MR001246</v>
          </cell>
          <cell r="B1250" t="str">
            <v>MR</v>
          </cell>
          <cell r="C1250">
            <v>11</v>
          </cell>
          <cell r="D1250">
            <v>11</v>
          </cell>
          <cell r="E1250" t="str">
            <v>KH127</v>
          </cell>
          <cell r="F1250">
            <v>8050</v>
          </cell>
          <cell r="G1250">
            <v>136.13999999999999</v>
          </cell>
          <cell r="H1250">
            <v>1.6</v>
          </cell>
          <cell r="I1250" t="str">
            <v>M1B to M2 - 25°</v>
          </cell>
          <cell r="J1250" t="str">
            <v>IE3</v>
          </cell>
          <cell r="K1250">
            <v>480</v>
          </cell>
          <cell r="L1250">
            <v>60</v>
          </cell>
          <cell r="N1250">
            <v>56</v>
          </cell>
          <cell r="O1250" t="str">
            <v>F(105°C)</v>
          </cell>
          <cell r="P1250" t="str">
            <v>270°</v>
          </cell>
          <cell r="Q1250" t="str">
            <v>TF</v>
          </cell>
          <cell r="R1250" t="str">
            <v>-</v>
          </cell>
          <cell r="S1250" t="str">
            <v>-</v>
          </cell>
          <cell r="T1250" t="str">
            <v>-</v>
          </cell>
          <cell r="U1250" t="str">
            <v>-</v>
          </cell>
          <cell r="V1250" t="str">
            <v>SS</v>
          </cell>
          <cell r="W1250" t="str">
            <v>-</v>
          </cell>
          <cell r="X1250" t="str">
            <v>CLP (CC) VG 220 = -15° + 40°</v>
          </cell>
          <cell r="Y1250" t="str">
            <v>KH127DRN160M4 /TF</v>
          </cell>
          <cell r="Z1250" t="str">
            <v>SEW</v>
          </cell>
          <cell r="AB1250" t="str">
            <v>-</v>
          </cell>
          <cell r="AD1250" t="str">
            <v>USA</v>
          </cell>
          <cell r="AE1250" t="str">
            <v>USA UR (60HZ-UL APPROVED)</v>
          </cell>
          <cell r="AF1250">
            <v>13.2</v>
          </cell>
          <cell r="AG1250" t="str">
            <v>DRN160M4</v>
          </cell>
          <cell r="AH1250" t="str">
            <v>KH127-DRN160M4B270-X</v>
          </cell>
        </row>
        <row r="1251">
          <cell r="A1251" t="str">
            <v>MR001247</v>
          </cell>
          <cell r="B1251" t="str">
            <v>MR</v>
          </cell>
          <cell r="C1251">
            <v>7.5</v>
          </cell>
          <cell r="D1251">
            <v>12.4</v>
          </cell>
          <cell r="E1251" t="str">
            <v>KH107</v>
          </cell>
          <cell r="F1251">
            <v>4900</v>
          </cell>
          <cell r="G1251">
            <v>121.46</v>
          </cell>
          <cell r="H1251">
            <v>1.65</v>
          </cell>
          <cell r="I1251" t="str">
            <v>M1B to M2 - 25°</v>
          </cell>
          <cell r="J1251" t="str">
            <v>IE3</v>
          </cell>
          <cell r="K1251">
            <v>480</v>
          </cell>
          <cell r="L1251">
            <v>60</v>
          </cell>
          <cell r="N1251">
            <v>56</v>
          </cell>
          <cell r="O1251" t="str">
            <v>F(105°C)</v>
          </cell>
          <cell r="P1251" t="str">
            <v>270°</v>
          </cell>
          <cell r="Q1251" t="str">
            <v>TF</v>
          </cell>
          <cell r="R1251" t="str">
            <v>-</v>
          </cell>
          <cell r="S1251" t="str">
            <v>-</v>
          </cell>
          <cell r="T1251" t="str">
            <v>-</v>
          </cell>
          <cell r="U1251" t="str">
            <v>-</v>
          </cell>
          <cell r="V1251" t="str">
            <v>SS</v>
          </cell>
          <cell r="W1251" t="str">
            <v>-</v>
          </cell>
          <cell r="X1251" t="str">
            <v>CLP (CC) VG 220 = -15° + 40°</v>
          </cell>
          <cell r="Y1251" t="str">
            <v>KH107DRN132M4 /TF</v>
          </cell>
          <cell r="Z1251" t="str">
            <v>SEW</v>
          </cell>
          <cell r="AB1251" t="str">
            <v>-</v>
          </cell>
          <cell r="AD1251" t="str">
            <v>USA</v>
          </cell>
          <cell r="AE1251" t="str">
            <v>USA UR (60HZ-UL APPROVED)</v>
          </cell>
          <cell r="AF1251">
            <v>14.88</v>
          </cell>
          <cell r="AG1251" t="str">
            <v>DRN132M4</v>
          </cell>
          <cell r="AH1251" t="str">
            <v>KH107-DRN132M4B270-X</v>
          </cell>
        </row>
        <row r="1252">
          <cell r="A1252" t="str">
            <v>MR001248</v>
          </cell>
          <cell r="B1252" t="str">
            <v>MR</v>
          </cell>
          <cell r="C1252">
            <v>18.5</v>
          </cell>
          <cell r="D1252">
            <v>13</v>
          </cell>
          <cell r="E1252" t="str">
            <v>KH127</v>
          </cell>
          <cell r="F1252">
            <v>10900</v>
          </cell>
          <cell r="G1252">
            <v>110.18</v>
          </cell>
          <cell r="H1252">
            <v>1.2</v>
          </cell>
          <cell r="I1252" t="str">
            <v>M1B to M2 - 25°</v>
          </cell>
          <cell r="J1252" t="str">
            <v>IE3</v>
          </cell>
          <cell r="K1252">
            <v>480</v>
          </cell>
          <cell r="L1252">
            <v>60</v>
          </cell>
          <cell r="N1252">
            <v>56</v>
          </cell>
          <cell r="O1252" t="str">
            <v>F(105°C)</v>
          </cell>
          <cell r="P1252" t="str">
            <v>270°</v>
          </cell>
          <cell r="Q1252" t="str">
            <v>TF</v>
          </cell>
          <cell r="R1252" t="str">
            <v>-</v>
          </cell>
          <cell r="S1252" t="str">
            <v>-</v>
          </cell>
          <cell r="T1252" t="str">
            <v>-</v>
          </cell>
          <cell r="U1252" t="str">
            <v>-</v>
          </cell>
          <cell r="V1252" t="str">
            <v>SS</v>
          </cell>
          <cell r="W1252" t="str">
            <v>-</v>
          </cell>
          <cell r="X1252" t="str">
            <v>CLP (CC) VG 220 = -15° + 40°</v>
          </cell>
          <cell r="Y1252" t="str">
            <v>KH127DRN180M4 /TF</v>
          </cell>
          <cell r="Z1252" t="str">
            <v>SEW</v>
          </cell>
          <cell r="AB1252" t="str">
            <v>-</v>
          </cell>
          <cell r="AD1252" t="str">
            <v>USA</v>
          </cell>
          <cell r="AE1252" t="str">
            <v>USA UR (60HZ-UL APPROVED)</v>
          </cell>
          <cell r="AF1252">
            <v>15.6</v>
          </cell>
          <cell r="AG1252" t="str">
            <v>DRN180M4</v>
          </cell>
          <cell r="AH1252" t="str">
            <v>KH127-DRN180M4B270-X</v>
          </cell>
        </row>
        <row r="1253">
          <cell r="A1253" t="str">
            <v>MR001249</v>
          </cell>
          <cell r="B1253" t="str">
            <v>MR</v>
          </cell>
          <cell r="C1253">
            <v>5.5</v>
          </cell>
          <cell r="D1253">
            <v>12</v>
          </cell>
          <cell r="E1253" t="str">
            <v>KH97</v>
          </cell>
          <cell r="F1253">
            <v>3680</v>
          </cell>
          <cell r="G1253">
            <v>123.93</v>
          </cell>
          <cell r="H1253">
            <v>1.1499999999999999</v>
          </cell>
          <cell r="I1253" t="str">
            <v>M1A to M2 - 5°</v>
          </cell>
          <cell r="J1253" t="str">
            <v>IE3</v>
          </cell>
          <cell r="K1253">
            <v>480</v>
          </cell>
          <cell r="L1253">
            <v>60</v>
          </cell>
          <cell r="N1253">
            <v>56</v>
          </cell>
          <cell r="O1253" t="str">
            <v>F(105°C)</v>
          </cell>
          <cell r="P1253" t="str">
            <v>270°</v>
          </cell>
          <cell r="Q1253" t="str">
            <v>TF</v>
          </cell>
          <cell r="R1253" t="str">
            <v>-</v>
          </cell>
          <cell r="S1253" t="str">
            <v>-</v>
          </cell>
          <cell r="T1253" t="str">
            <v>-</v>
          </cell>
          <cell r="U1253" t="str">
            <v>-</v>
          </cell>
          <cell r="V1253" t="str">
            <v>SS</v>
          </cell>
          <cell r="W1253" t="str">
            <v>-</v>
          </cell>
          <cell r="X1253" t="str">
            <v>CLP (CC) VG 220 = -15° + 40°</v>
          </cell>
          <cell r="Y1253" t="str">
            <v>KH97DRN132S4 /TF</v>
          </cell>
          <cell r="Z1253" t="str">
            <v>SEW</v>
          </cell>
          <cell r="AB1253" t="str">
            <v>-</v>
          </cell>
          <cell r="AD1253" t="str">
            <v>USA</v>
          </cell>
          <cell r="AE1253" t="str">
            <v>USA UR (60HZ-UL APPROVED)</v>
          </cell>
          <cell r="AF1253">
            <v>14.4</v>
          </cell>
          <cell r="AG1253" t="str">
            <v>DRN132S4</v>
          </cell>
          <cell r="AH1253" t="str">
            <v>KH97-DRN132S4A270-X</v>
          </cell>
        </row>
        <row r="1254">
          <cell r="A1254" t="str">
            <v>MR001250</v>
          </cell>
          <cell r="B1254" t="str">
            <v>MR</v>
          </cell>
          <cell r="C1254">
            <v>11</v>
          </cell>
          <cell r="D1254">
            <v>13</v>
          </cell>
          <cell r="E1254" t="str">
            <v>KH107</v>
          </cell>
          <cell r="F1254">
            <v>6640</v>
          </cell>
          <cell r="G1254">
            <v>112.41</v>
          </cell>
          <cell r="H1254">
            <v>1.2</v>
          </cell>
          <cell r="I1254" t="str">
            <v>M1A</v>
          </cell>
          <cell r="J1254" t="str">
            <v>IE3</v>
          </cell>
          <cell r="K1254">
            <v>480</v>
          </cell>
          <cell r="L1254">
            <v>60</v>
          </cell>
          <cell r="N1254">
            <v>56</v>
          </cell>
          <cell r="O1254" t="str">
            <v>F(105°C)</v>
          </cell>
          <cell r="P1254" t="str">
            <v>270°</v>
          </cell>
          <cell r="Q1254" t="str">
            <v>TF</v>
          </cell>
          <cell r="R1254" t="str">
            <v>-</v>
          </cell>
          <cell r="S1254" t="str">
            <v>-</v>
          </cell>
          <cell r="T1254" t="str">
            <v>-</v>
          </cell>
          <cell r="U1254" t="str">
            <v>-</v>
          </cell>
          <cell r="V1254" t="str">
            <v>SS</v>
          </cell>
          <cell r="W1254" t="str">
            <v>-</v>
          </cell>
          <cell r="X1254" t="str">
            <v>CLP (CC) VG 220 = -15° + 40°</v>
          </cell>
          <cell r="Y1254" t="str">
            <v>KH107DRN160M4 /TF</v>
          </cell>
          <cell r="Z1254" t="str">
            <v>SEW</v>
          </cell>
          <cell r="AB1254" t="str">
            <v>-</v>
          </cell>
          <cell r="AD1254" t="str">
            <v>USA</v>
          </cell>
          <cell r="AE1254" t="str">
            <v>USA UR (60HZ-UL APPROVED)</v>
          </cell>
          <cell r="AF1254">
            <v>15.6</v>
          </cell>
          <cell r="AG1254" t="str">
            <v>DRN160M4</v>
          </cell>
          <cell r="AH1254" t="str">
            <v>KH107-DRN160M4A270-X</v>
          </cell>
        </row>
        <row r="1255">
          <cell r="A1255" t="str">
            <v>MR001251</v>
          </cell>
          <cell r="B1255" t="str">
            <v>MR</v>
          </cell>
          <cell r="C1255">
            <v>7.5</v>
          </cell>
          <cell r="D1255">
            <v>12.4</v>
          </cell>
          <cell r="E1255" t="str">
            <v>KH107</v>
          </cell>
          <cell r="F1255">
            <v>4900</v>
          </cell>
          <cell r="G1255">
            <v>121.46</v>
          </cell>
          <cell r="H1255">
            <v>1.65</v>
          </cell>
          <cell r="I1255" t="str">
            <v>M1B to M2 - 5°</v>
          </cell>
          <cell r="J1255" t="str">
            <v>IE3</v>
          </cell>
          <cell r="K1255">
            <v>480</v>
          </cell>
          <cell r="L1255">
            <v>60</v>
          </cell>
          <cell r="N1255">
            <v>56</v>
          </cell>
          <cell r="O1255" t="str">
            <v>F(105°C)</v>
          </cell>
          <cell r="P1255" t="str">
            <v>270°</v>
          </cell>
          <cell r="Q1255" t="str">
            <v>TF</v>
          </cell>
          <cell r="R1255" t="str">
            <v>-</v>
          </cell>
          <cell r="S1255" t="str">
            <v>-</v>
          </cell>
          <cell r="T1255" t="str">
            <v>-</v>
          </cell>
          <cell r="U1255" t="str">
            <v>-</v>
          </cell>
          <cell r="V1255" t="str">
            <v>SS</v>
          </cell>
          <cell r="W1255" t="str">
            <v>-</v>
          </cell>
          <cell r="X1255" t="str">
            <v>CLP (CC) VG 220 = -15° + 40°</v>
          </cell>
          <cell r="Y1255" t="str">
            <v>KH107DRN132M4 /TF</v>
          </cell>
          <cell r="Z1255" t="str">
            <v>SEW</v>
          </cell>
          <cell r="AB1255" t="str">
            <v>-</v>
          </cell>
          <cell r="AD1255" t="str">
            <v>USA</v>
          </cell>
          <cell r="AE1255" t="str">
            <v>USA UR (60HZ-UL APPROVED)</v>
          </cell>
          <cell r="AF1255">
            <v>14.88</v>
          </cell>
          <cell r="AG1255" t="str">
            <v>DRN132M4</v>
          </cell>
          <cell r="AH1255" t="str">
            <v>KH107-DRN132M4B270-X</v>
          </cell>
        </row>
        <row r="1256">
          <cell r="A1256" t="str">
            <v>MR001252</v>
          </cell>
          <cell r="B1256" t="str">
            <v>MR</v>
          </cell>
          <cell r="C1256">
            <v>5.5</v>
          </cell>
          <cell r="D1256">
            <v>12</v>
          </cell>
          <cell r="E1256" t="str">
            <v>KH97</v>
          </cell>
          <cell r="F1256">
            <v>3680</v>
          </cell>
          <cell r="G1256">
            <v>123.93</v>
          </cell>
          <cell r="H1256">
            <v>1.1499999999999999</v>
          </cell>
          <cell r="I1256" t="str">
            <v>M1B</v>
          </cell>
          <cell r="J1256" t="str">
            <v>IE3</v>
          </cell>
          <cell r="K1256">
            <v>480</v>
          </cell>
          <cell r="L1256">
            <v>60</v>
          </cell>
          <cell r="N1256">
            <v>56</v>
          </cell>
          <cell r="O1256" t="str">
            <v>F(105°C)</v>
          </cell>
          <cell r="P1256" t="str">
            <v>270°</v>
          </cell>
          <cell r="Q1256" t="str">
            <v>TF</v>
          </cell>
          <cell r="R1256" t="str">
            <v>-</v>
          </cell>
          <cell r="S1256" t="str">
            <v>-</v>
          </cell>
          <cell r="T1256" t="str">
            <v>-</v>
          </cell>
          <cell r="U1256" t="str">
            <v>-</v>
          </cell>
          <cell r="V1256" t="str">
            <v>SS</v>
          </cell>
          <cell r="W1256" t="str">
            <v>-</v>
          </cell>
          <cell r="X1256" t="str">
            <v>CLP (CC) VG 220 = -15° + 40°</v>
          </cell>
          <cell r="Y1256" t="str">
            <v>KH97DRN132S4 /TF</v>
          </cell>
          <cell r="Z1256" t="str">
            <v>SEW</v>
          </cell>
          <cell r="AB1256" t="str">
            <v>-</v>
          </cell>
          <cell r="AD1256" t="str">
            <v>USA</v>
          </cell>
          <cell r="AE1256" t="str">
            <v>USA UR (60HZ-UL APPROVED)</v>
          </cell>
          <cell r="AF1256">
            <v>14.4</v>
          </cell>
          <cell r="AG1256" t="str">
            <v>DRN132S4</v>
          </cell>
          <cell r="AH1256" t="str">
            <v>KH97-DRN132S4B270-X</v>
          </cell>
        </row>
        <row r="1257">
          <cell r="A1257" t="str">
            <v>MR001253</v>
          </cell>
          <cell r="B1257" t="str">
            <v>MR</v>
          </cell>
          <cell r="C1257">
            <v>5.5</v>
          </cell>
          <cell r="D1257">
            <v>12</v>
          </cell>
          <cell r="E1257" t="str">
            <v>KH97</v>
          </cell>
          <cell r="F1257">
            <v>3680</v>
          </cell>
          <cell r="G1257">
            <v>123.93</v>
          </cell>
          <cell r="H1257">
            <v>1.1499999999999999</v>
          </cell>
          <cell r="I1257" t="str">
            <v>M1A</v>
          </cell>
          <cell r="J1257" t="str">
            <v>IE3</v>
          </cell>
          <cell r="K1257">
            <v>480</v>
          </cell>
          <cell r="L1257">
            <v>60</v>
          </cell>
          <cell r="N1257">
            <v>56</v>
          </cell>
          <cell r="O1257" t="str">
            <v>F(105°C)</v>
          </cell>
          <cell r="P1257" t="str">
            <v>270°</v>
          </cell>
          <cell r="Q1257" t="str">
            <v>TF</v>
          </cell>
          <cell r="R1257" t="str">
            <v>-</v>
          </cell>
          <cell r="S1257" t="str">
            <v>-</v>
          </cell>
          <cell r="T1257" t="str">
            <v>-</v>
          </cell>
          <cell r="U1257" t="str">
            <v>-</v>
          </cell>
          <cell r="V1257" t="str">
            <v>SS</v>
          </cell>
          <cell r="W1257" t="str">
            <v>-</v>
          </cell>
          <cell r="X1257" t="str">
            <v>CLP (CC) VG 220 = -15° + 40°</v>
          </cell>
          <cell r="Y1257" t="str">
            <v>KH97DRN132S4 /TF</v>
          </cell>
          <cell r="Z1257" t="str">
            <v>SEW</v>
          </cell>
          <cell r="AB1257" t="str">
            <v>-</v>
          </cell>
          <cell r="AD1257" t="str">
            <v>USA</v>
          </cell>
          <cell r="AE1257" t="str">
            <v>USA UR (60HZ-UL APPROVED)</v>
          </cell>
          <cell r="AF1257">
            <v>14.4</v>
          </cell>
          <cell r="AG1257" t="str">
            <v>DRN132S4</v>
          </cell>
          <cell r="AH1257" t="str">
            <v>KH97-DRN132S4A270-X</v>
          </cell>
        </row>
        <row r="1258">
          <cell r="A1258" t="str">
            <v>MR001254</v>
          </cell>
          <cell r="B1258" t="str">
            <v>MR</v>
          </cell>
          <cell r="C1258">
            <v>5.5</v>
          </cell>
          <cell r="D1258">
            <v>12</v>
          </cell>
          <cell r="E1258" t="str">
            <v>KH97</v>
          </cell>
          <cell r="F1258">
            <v>3680</v>
          </cell>
          <cell r="G1258">
            <v>123.93</v>
          </cell>
          <cell r="H1258">
            <v>1.1499999999999999</v>
          </cell>
          <cell r="I1258" t="str">
            <v>M1B to M2 - 40°</v>
          </cell>
          <cell r="J1258" t="str">
            <v>IE3</v>
          </cell>
          <cell r="K1258">
            <v>480</v>
          </cell>
          <cell r="L1258">
            <v>60</v>
          </cell>
          <cell r="N1258">
            <v>56</v>
          </cell>
          <cell r="O1258" t="str">
            <v>F(105°C)</v>
          </cell>
          <cell r="P1258" t="str">
            <v>270°</v>
          </cell>
          <cell r="Q1258" t="str">
            <v>TF</v>
          </cell>
          <cell r="R1258" t="str">
            <v>-</v>
          </cell>
          <cell r="S1258" t="str">
            <v>-</v>
          </cell>
          <cell r="T1258" t="str">
            <v>-</v>
          </cell>
          <cell r="U1258" t="str">
            <v>-</v>
          </cell>
          <cell r="V1258" t="str">
            <v>SS</v>
          </cell>
          <cell r="W1258" t="str">
            <v>-</v>
          </cell>
          <cell r="X1258" t="str">
            <v>CLP (CC) VG 220 = -15° + 40°</v>
          </cell>
          <cell r="Y1258" t="str">
            <v>KH97DRN132S4 /TF</v>
          </cell>
          <cell r="Z1258" t="str">
            <v>SEW</v>
          </cell>
          <cell r="AB1258" t="str">
            <v>-</v>
          </cell>
          <cell r="AD1258" t="str">
            <v>USA</v>
          </cell>
          <cell r="AE1258" t="str">
            <v>USA UR (60HZ-UL APPROVED)</v>
          </cell>
          <cell r="AF1258">
            <v>14.4</v>
          </cell>
          <cell r="AG1258" t="str">
            <v>DRN132S4</v>
          </cell>
          <cell r="AH1258" t="str">
            <v>KH97-DRN132S4B270-X</v>
          </cell>
        </row>
        <row r="1259">
          <cell r="A1259" t="str">
            <v>MR001255</v>
          </cell>
          <cell r="B1259" t="str">
            <v>MR</v>
          </cell>
          <cell r="C1259">
            <v>18.5</v>
          </cell>
          <cell r="D1259">
            <v>13</v>
          </cell>
          <cell r="E1259" t="str">
            <v>KH127</v>
          </cell>
          <cell r="F1259">
            <v>10900</v>
          </cell>
          <cell r="G1259">
            <v>110.18</v>
          </cell>
          <cell r="H1259">
            <v>1.2</v>
          </cell>
          <cell r="I1259" t="str">
            <v>M1B to M2 - 15°</v>
          </cell>
          <cell r="J1259" t="str">
            <v>IE3</v>
          </cell>
          <cell r="K1259">
            <v>480</v>
          </cell>
          <cell r="L1259">
            <v>60</v>
          </cell>
          <cell r="N1259">
            <v>56</v>
          </cell>
          <cell r="O1259" t="str">
            <v>F(105°C)</v>
          </cell>
          <cell r="P1259" t="str">
            <v>270°</v>
          </cell>
          <cell r="Q1259" t="str">
            <v>TF</v>
          </cell>
          <cell r="R1259" t="str">
            <v>-</v>
          </cell>
          <cell r="S1259" t="str">
            <v>-</v>
          </cell>
          <cell r="T1259" t="str">
            <v>-</v>
          </cell>
          <cell r="U1259" t="str">
            <v>-</v>
          </cell>
          <cell r="V1259" t="str">
            <v>SS</v>
          </cell>
          <cell r="W1259" t="str">
            <v>-</v>
          </cell>
          <cell r="X1259" t="str">
            <v>CLP (CC) VG 220 = -15° + 40°</v>
          </cell>
          <cell r="Y1259" t="str">
            <v>KH127DRN180M4 /TF</v>
          </cell>
          <cell r="Z1259" t="str">
            <v>SEW</v>
          </cell>
          <cell r="AB1259" t="str">
            <v>-</v>
          </cell>
          <cell r="AD1259" t="str">
            <v>USA</v>
          </cell>
          <cell r="AE1259" t="str">
            <v>USA UR (60HZ-UL APPROVED)</v>
          </cell>
          <cell r="AF1259">
            <v>15.6</v>
          </cell>
          <cell r="AG1259" t="str">
            <v>DRN180M4</v>
          </cell>
          <cell r="AH1259" t="str">
            <v>KH127-DRN180M4B270-X</v>
          </cell>
        </row>
        <row r="1260">
          <cell r="A1260" t="str">
            <v>MR001256</v>
          </cell>
          <cell r="B1260" t="str">
            <v>MR</v>
          </cell>
          <cell r="C1260">
            <v>5.5</v>
          </cell>
          <cell r="D1260">
            <v>12</v>
          </cell>
          <cell r="E1260" t="str">
            <v>KH97</v>
          </cell>
          <cell r="F1260">
            <v>3680</v>
          </cell>
          <cell r="G1260">
            <v>123.93</v>
          </cell>
          <cell r="H1260">
            <v>1.1499999999999999</v>
          </cell>
          <cell r="I1260" t="str">
            <v>M1A to M2 - 20°</v>
          </cell>
          <cell r="J1260" t="str">
            <v>IE3</v>
          </cell>
          <cell r="K1260">
            <v>480</v>
          </cell>
          <cell r="L1260">
            <v>60</v>
          </cell>
          <cell r="N1260">
            <v>56</v>
          </cell>
          <cell r="O1260" t="str">
            <v>F(105°C)</v>
          </cell>
          <cell r="P1260" t="str">
            <v>270°</v>
          </cell>
          <cell r="Q1260" t="str">
            <v>TF</v>
          </cell>
          <cell r="R1260" t="str">
            <v>-</v>
          </cell>
          <cell r="S1260" t="str">
            <v>-</v>
          </cell>
          <cell r="T1260" t="str">
            <v>-</v>
          </cell>
          <cell r="U1260" t="str">
            <v>-</v>
          </cell>
          <cell r="V1260" t="str">
            <v>SS</v>
          </cell>
          <cell r="W1260" t="str">
            <v>-</v>
          </cell>
          <cell r="X1260" t="str">
            <v>CLP (CC) VG 220 = -15° + 40°</v>
          </cell>
          <cell r="Y1260" t="str">
            <v>KH97DRN132S4 /TF</v>
          </cell>
          <cell r="Z1260" t="str">
            <v>SEW</v>
          </cell>
          <cell r="AB1260" t="str">
            <v>-</v>
          </cell>
          <cell r="AD1260" t="str">
            <v>USA</v>
          </cell>
          <cell r="AE1260" t="str">
            <v>USA UR (60HZ-UL APPROVED)</v>
          </cell>
          <cell r="AF1260">
            <v>14.4</v>
          </cell>
          <cell r="AG1260" t="str">
            <v>DRN132S4</v>
          </cell>
          <cell r="AH1260" t="str">
            <v>KH97-DRN132S4A270-X</v>
          </cell>
        </row>
        <row r="1261">
          <cell r="A1261" t="str">
            <v>MR001257</v>
          </cell>
          <cell r="B1261" t="str">
            <v>MR</v>
          </cell>
          <cell r="C1261">
            <v>5.5</v>
          </cell>
          <cell r="D1261">
            <v>12</v>
          </cell>
          <cell r="E1261" t="str">
            <v>KH97</v>
          </cell>
          <cell r="F1261">
            <v>3680</v>
          </cell>
          <cell r="G1261">
            <v>123.93</v>
          </cell>
          <cell r="H1261">
            <v>1.1499999999999999</v>
          </cell>
          <cell r="I1261" t="str">
            <v>M1B to M2 - 20°</v>
          </cell>
          <cell r="J1261" t="str">
            <v>IE3</v>
          </cell>
          <cell r="K1261">
            <v>480</v>
          </cell>
          <cell r="L1261">
            <v>60</v>
          </cell>
          <cell r="N1261">
            <v>56</v>
          </cell>
          <cell r="O1261" t="str">
            <v>F(105°C)</v>
          </cell>
          <cell r="P1261" t="str">
            <v>270°</v>
          </cell>
          <cell r="Q1261" t="str">
            <v>TF</v>
          </cell>
          <cell r="R1261" t="str">
            <v>-</v>
          </cell>
          <cell r="S1261" t="str">
            <v>-</v>
          </cell>
          <cell r="T1261" t="str">
            <v>-</v>
          </cell>
          <cell r="U1261" t="str">
            <v>-</v>
          </cell>
          <cell r="V1261" t="str">
            <v>SS</v>
          </cell>
          <cell r="W1261" t="str">
            <v>-</v>
          </cell>
          <cell r="X1261" t="str">
            <v>CLP (CC) VG 220 = -15° + 40°</v>
          </cell>
          <cell r="Y1261" t="str">
            <v>KH97DRN132S4 /TF</v>
          </cell>
          <cell r="Z1261" t="str">
            <v>SEW</v>
          </cell>
          <cell r="AB1261" t="str">
            <v>-</v>
          </cell>
          <cell r="AD1261" t="str">
            <v>USA</v>
          </cell>
          <cell r="AE1261" t="str">
            <v>USA UR (60HZ-UL APPROVED)</v>
          </cell>
          <cell r="AF1261">
            <v>14.4</v>
          </cell>
          <cell r="AG1261" t="str">
            <v>DRN132S4</v>
          </cell>
          <cell r="AH1261" t="str">
            <v>KH97-DRN132S4B270-X</v>
          </cell>
        </row>
        <row r="1262">
          <cell r="A1262" t="str">
            <v>MR001258</v>
          </cell>
          <cell r="B1262" t="str">
            <v>ME</v>
          </cell>
          <cell r="C1262">
            <v>37</v>
          </cell>
          <cell r="D1262">
            <v>1500</v>
          </cell>
          <cell r="I1262" t="str">
            <v>V1/B5</v>
          </cell>
          <cell r="J1262" t="str">
            <v>IE3</v>
          </cell>
          <cell r="K1262" t="str">
            <v>400/690</v>
          </cell>
          <cell r="L1262">
            <v>50</v>
          </cell>
          <cell r="M1262">
            <v>66</v>
          </cell>
          <cell r="N1262">
            <v>55</v>
          </cell>
          <cell r="O1262" t="str">
            <v>F(105°C)</v>
          </cell>
          <cell r="Q1262" t="str">
            <v>TF</v>
          </cell>
          <cell r="R1262" t="str">
            <v>-</v>
          </cell>
          <cell r="S1262" t="str">
            <v>-</v>
          </cell>
          <cell r="T1262" t="str">
            <v>-</v>
          </cell>
          <cell r="U1262" t="str">
            <v>-</v>
          </cell>
          <cell r="V1262" t="str">
            <v>D</v>
          </cell>
          <cell r="W1262" t="str">
            <v>YES</v>
          </cell>
          <cell r="X1262" t="str">
            <v>-</v>
          </cell>
          <cell r="Y1262" t="str">
            <v>1LE15032BB034FB4</v>
          </cell>
          <cell r="Z1262" t="str">
            <v>SIEMENS</v>
          </cell>
          <cell r="AB1262" t="str">
            <v>-</v>
          </cell>
          <cell r="AE1262" t="str">
            <v>PTC</v>
          </cell>
          <cell r="AF1262">
            <v>1500</v>
          </cell>
          <cell r="AH1262" t="str">
            <v>-B-X</v>
          </cell>
        </row>
        <row r="1263">
          <cell r="A1263" t="str">
            <v>MR001259</v>
          </cell>
          <cell r="B1263" t="str">
            <v>ME</v>
          </cell>
          <cell r="C1263">
            <v>3</v>
          </cell>
          <cell r="D1263">
            <v>3000</v>
          </cell>
          <cell r="I1263" t="str">
            <v>B5</v>
          </cell>
          <cell r="J1263" t="str">
            <v>IE3</v>
          </cell>
          <cell r="K1263" t="str">
            <v>400/690</v>
          </cell>
          <cell r="L1263">
            <v>50</v>
          </cell>
          <cell r="M1263">
            <v>6.5</v>
          </cell>
          <cell r="N1263">
            <v>55</v>
          </cell>
          <cell r="O1263" t="str">
            <v>F(105°C)</v>
          </cell>
          <cell r="Q1263" t="str">
            <v>TF</v>
          </cell>
          <cell r="R1263" t="str">
            <v>-</v>
          </cell>
          <cell r="S1263" t="str">
            <v>-</v>
          </cell>
          <cell r="T1263" t="str">
            <v>-</v>
          </cell>
          <cell r="U1263" t="str">
            <v>-</v>
          </cell>
          <cell r="V1263" t="str">
            <v>D</v>
          </cell>
          <cell r="W1263" t="str">
            <v>YES</v>
          </cell>
          <cell r="X1263" t="str">
            <v>-</v>
          </cell>
          <cell r="Y1263" t="str">
            <v>1LE1003-1AA42-2FB4</v>
          </cell>
          <cell r="Z1263" t="str">
            <v>SIEMENS</v>
          </cell>
          <cell r="AB1263" t="str">
            <v>-</v>
          </cell>
          <cell r="AE1263" t="str">
            <v>PTC</v>
          </cell>
          <cell r="AF1263">
            <v>3000</v>
          </cell>
          <cell r="AH1263" t="str">
            <v>-B-X</v>
          </cell>
        </row>
        <row r="1264">
          <cell r="A1264" t="str">
            <v>MR001260</v>
          </cell>
          <cell r="B1264" t="str">
            <v>MR</v>
          </cell>
          <cell r="C1264">
            <v>5.5</v>
          </cell>
          <cell r="D1264">
            <v>30</v>
          </cell>
          <cell r="E1264" t="str">
            <v>KA87</v>
          </cell>
          <cell r="F1264">
            <v>1760</v>
          </cell>
          <cell r="G1264">
            <v>49.16</v>
          </cell>
          <cell r="H1264">
            <v>1.55</v>
          </cell>
          <cell r="I1264" t="str">
            <v>M4B</v>
          </cell>
          <cell r="J1264" t="str">
            <v>IE3</v>
          </cell>
          <cell r="K1264" t="str">
            <v>230/400</v>
          </cell>
          <cell r="L1264">
            <v>50</v>
          </cell>
          <cell r="M1264">
            <v>10.5</v>
          </cell>
          <cell r="N1264">
            <v>55</v>
          </cell>
          <cell r="O1264" t="str">
            <v>F(105°C)</v>
          </cell>
          <cell r="P1264" t="str">
            <v>270°</v>
          </cell>
          <cell r="Q1264" t="str">
            <v>TF</v>
          </cell>
          <cell r="R1264" t="str">
            <v>V(VE)</v>
          </cell>
          <cell r="S1264" t="str">
            <v>-</v>
          </cell>
          <cell r="T1264" t="str">
            <v>-</v>
          </cell>
          <cell r="U1264" t="str">
            <v>T</v>
          </cell>
          <cell r="V1264" t="str">
            <v>FC</v>
          </cell>
          <cell r="W1264" t="str">
            <v>YES</v>
          </cell>
          <cell r="X1264" t="str">
            <v>CLP HC VG 150 = -40° + 40°</v>
          </cell>
          <cell r="Y1264" t="str">
            <v>KA87/T DRN132S4 /TF/V</v>
          </cell>
          <cell r="Z1264" t="str">
            <v>SEW</v>
          </cell>
          <cell r="AB1264" t="str">
            <v>-</v>
          </cell>
          <cell r="AF1264">
            <v>30</v>
          </cell>
          <cell r="AG1264" t="str">
            <v>DRN132S4</v>
          </cell>
          <cell r="AH1264" t="str">
            <v>KA87T-DRN132S4B270-X#</v>
          </cell>
        </row>
        <row r="1265">
          <cell r="A1265" t="str">
            <v>MR001261</v>
          </cell>
          <cell r="B1265" t="str">
            <v>MR</v>
          </cell>
          <cell r="C1265">
            <v>5.5</v>
          </cell>
          <cell r="D1265">
            <v>47</v>
          </cell>
          <cell r="E1265" t="str">
            <v>K77</v>
          </cell>
          <cell r="F1265">
            <v>1110</v>
          </cell>
          <cell r="G1265">
            <v>30.89</v>
          </cell>
          <cell r="H1265">
            <v>1.4</v>
          </cell>
          <cell r="I1265" t="str">
            <v>M4A</v>
          </cell>
          <cell r="J1265" t="str">
            <v>IE3</v>
          </cell>
          <cell r="K1265" t="str">
            <v>230/400</v>
          </cell>
          <cell r="L1265">
            <v>50</v>
          </cell>
          <cell r="M1265">
            <v>10.5</v>
          </cell>
          <cell r="N1265">
            <v>55</v>
          </cell>
          <cell r="O1265" t="str">
            <v>F(105°C)</v>
          </cell>
          <cell r="P1265" t="str">
            <v>180°</v>
          </cell>
          <cell r="Q1265" t="str">
            <v>TF</v>
          </cell>
          <cell r="R1265" t="str">
            <v>V(VE)</v>
          </cell>
          <cell r="S1265" t="str">
            <v>-</v>
          </cell>
          <cell r="T1265" t="str">
            <v>-</v>
          </cell>
          <cell r="U1265" t="str">
            <v>-</v>
          </cell>
          <cell r="V1265" t="str">
            <v>FC+R</v>
          </cell>
          <cell r="W1265" t="str">
            <v>YES</v>
          </cell>
          <cell r="X1265" t="str">
            <v>CLP HC VG 150 = -40° + 40°</v>
          </cell>
          <cell r="Y1265" t="str">
            <v>K77DRN132S4 /TF/V</v>
          </cell>
          <cell r="Z1265" t="str">
            <v>SEW</v>
          </cell>
          <cell r="AB1265" t="str">
            <v>-</v>
          </cell>
          <cell r="AF1265">
            <v>47</v>
          </cell>
          <cell r="AG1265" t="str">
            <v>DRN132S4</v>
          </cell>
          <cell r="AH1265" t="str">
            <v>K77-DRN132S4A180-X#</v>
          </cell>
        </row>
        <row r="1266">
          <cell r="A1266" t="str">
            <v>MR001262</v>
          </cell>
          <cell r="B1266" t="str">
            <v>MR</v>
          </cell>
          <cell r="C1266">
            <v>30</v>
          </cell>
          <cell r="D1266">
            <v>27</v>
          </cell>
          <cell r="E1266" t="str">
            <v>KH127</v>
          </cell>
          <cell r="F1266">
            <v>10400</v>
          </cell>
          <cell r="G1266">
            <v>54.07</v>
          </cell>
          <cell r="H1266">
            <v>1.25</v>
          </cell>
          <cell r="I1266" t="str">
            <v>From M4A to M1A-35°</v>
          </cell>
          <cell r="J1266" t="str">
            <v>IE3</v>
          </cell>
          <cell r="K1266" t="str">
            <v>400/690</v>
          </cell>
          <cell r="L1266">
            <v>50</v>
          </cell>
          <cell r="M1266">
            <v>56</v>
          </cell>
          <cell r="N1266">
            <v>55</v>
          </cell>
          <cell r="O1266" t="str">
            <v>F(105°C)</v>
          </cell>
          <cell r="P1266" t="str">
            <v>270°</v>
          </cell>
          <cell r="Q1266" t="str">
            <v>TF</v>
          </cell>
          <cell r="R1266" t="str">
            <v>V(VE)</v>
          </cell>
          <cell r="S1266" t="str">
            <v>-</v>
          </cell>
          <cell r="T1266" t="str">
            <v>-</v>
          </cell>
          <cell r="U1266" t="str">
            <v>-</v>
          </cell>
          <cell r="V1266" t="str">
            <v>FC</v>
          </cell>
          <cell r="W1266" t="str">
            <v>YES</v>
          </cell>
          <cell r="X1266" t="str">
            <v>CLP HC VG 150 = -40° + 40°</v>
          </cell>
          <cell r="Y1266" t="str">
            <v>KH127DRN200L4 /TF/V</v>
          </cell>
          <cell r="Z1266" t="str">
            <v>SEW</v>
          </cell>
          <cell r="AB1266" t="str">
            <v>-</v>
          </cell>
          <cell r="AF1266">
            <v>27</v>
          </cell>
          <cell r="AG1266" t="str">
            <v>DRN200L4</v>
          </cell>
          <cell r="AH1266" t="str">
            <v>KH127-DRN200L4A270-X#</v>
          </cell>
        </row>
        <row r="1267">
          <cell r="A1267" t="str">
            <v>MR001263</v>
          </cell>
          <cell r="B1267" t="str">
            <v>MR</v>
          </cell>
          <cell r="C1267">
            <v>30</v>
          </cell>
          <cell r="D1267">
            <v>27</v>
          </cell>
          <cell r="E1267" t="str">
            <v>KH127</v>
          </cell>
          <cell r="F1267">
            <v>10400</v>
          </cell>
          <cell r="G1267">
            <v>54.07</v>
          </cell>
          <cell r="H1267">
            <v>1.25</v>
          </cell>
          <cell r="I1267" t="str">
            <v>From M4B to M1B-35°</v>
          </cell>
          <cell r="J1267" t="str">
            <v>IE3</v>
          </cell>
          <cell r="K1267" t="str">
            <v>400/690</v>
          </cell>
          <cell r="L1267">
            <v>50</v>
          </cell>
          <cell r="M1267">
            <v>56</v>
          </cell>
          <cell r="N1267">
            <v>55</v>
          </cell>
          <cell r="O1267" t="str">
            <v>F(105°C)</v>
          </cell>
          <cell r="P1267" t="str">
            <v>270°</v>
          </cell>
          <cell r="Q1267" t="str">
            <v>TF</v>
          </cell>
          <cell r="R1267" t="str">
            <v>V(VE)</v>
          </cell>
          <cell r="S1267" t="str">
            <v>-</v>
          </cell>
          <cell r="T1267" t="str">
            <v>-</v>
          </cell>
          <cell r="U1267" t="str">
            <v>-</v>
          </cell>
          <cell r="V1267" t="str">
            <v>FC</v>
          </cell>
          <cell r="W1267" t="str">
            <v>YES</v>
          </cell>
          <cell r="X1267" t="str">
            <v>CLP HC VG 150 = -40° + 40°</v>
          </cell>
          <cell r="Y1267" t="str">
            <v>KH127DRN200L4 /TF/V</v>
          </cell>
          <cell r="Z1267" t="str">
            <v>SEW</v>
          </cell>
          <cell r="AB1267" t="str">
            <v>-</v>
          </cell>
          <cell r="AF1267">
            <v>27</v>
          </cell>
          <cell r="AG1267" t="str">
            <v>DRN200L4</v>
          </cell>
          <cell r="AH1267" t="str">
            <v>KH127-DRN200L4B270-X#</v>
          </cell>
        </row>
        <row r="1268">
          <cell r="A1268" t="str">
            <v>MR001264</v>
          </cell>
          <cell r="B1268" t="str">
            <v>MR</v>
          </cell>
          <cell r="C1268">
            <v>11</v>
          </cell>
          <cell r="D1268">
            <v>66</v>
          </cell>
          <cell r="E1268" t="str">
            <v>R97</v>
          </cell>
          <cell r="F1268">
            <v>1590</v>
          </cell>
          <cell r="G1268">
            <v>22.37</v>
          </cell>
          <cell r="H1268">
            <v>1.7</v>
          </cell>
          <cell r="I1268" t="str">
            <v>M1</v>
          </cell>
          <cell r="J1268" t="str">
            <v>IE3</v>
          </cell>
          <cell r="K1268" t="str">
            <v>400/690</v>
          </cell>
          <cell r="L1268">
            <v>50</v>
          </cell>
          <cell r="M1268">
            <v>18.7</v>
          </cell>
          <cell r="N1268">
            <v>55</v>
          </cell>
          <cell r="O1268" t="str">
            <v>F(105°C)</v>
          </cell>
          <cell r="P1268" t="str">
            <v>270°</v>
          </cell>
          <cell r="Q1268" t="str">
            <v>-</v>
          </cell>
          <cell r="R1268" t="str">
            <v>-</v>
          </cell>
          <cell r="S1268" t="str">
            <v>-</v>
          </cell>
          <cell r="T1268" t="str">
            <v>-</v>
          </cell>
          <cell r="U1268" t="str">
            <v>-</v>
          </cell>
          <cell r="V1268" t="str">
            <v>D</v>
          </cell>
          <cell r="W1268" t="str">
            <v>YES</v>
          </cell>
          <cell r="X1268" t="str">
            <v>CLP HC VG 150 = -40° + 40°</v>
          </cell>
          <cell r="Y1268" t="str">
            <v>R97DRN160M4</v>
          </cell>
          <cell r="Z1268" t="str">
            <v>SEW</v>
          </cell>
          <cell r="AB1268" t="str">
            <v>-</v>
          </cell>
          <cell r="AF1268">
            <v>66</v>
          </cell>
          <cell r="AG1268" t="str">
            <v>DRN160M4</v>
          </cell>
          <cell r="AH1268" t="str">
            <v>R97-DRN160M4270-X</v>
          </cell>
        </row>
        <row r="1269">
          <cell r="A1269" t="str">
            <v>MR001265</v>
          </cell>
          <cell r="B1269" t="str">
            <v>MR</v>
          </cell>
          <cell r="C1269">
            <v>0.37</v>
          </cell>
          <cell r="D1269">
            <v>13</v>
          </cell>
          <cell r="E1269" t="str">
            <v>R37</v>
          </cell>
          <cell r="F1269">
            <v>200</v>
          </cell>
          <cell r="G1269">
            <v>105.28</v>
          </cell>
          <cell r="H1269">
            <v>0.75</v>
          </cell>
          <cell r="I1269" t="str">
            <v>M1</v>
          </cell>
          <cell r="J1269" t="str">
            <v>IE1</v>
          </cell>
          <cell r="K1269" t="str">
            <v>230/400</v>
          </cell>
          <cell r="L1269">
            <v>50</v>
          </cell>
          <cell r="M1269" t="str">
            <v>2,15/1,24</v>
          </cell>
          <cell r="N1269">
            <v>55</v>
          </cell>
          <cell r="O1269" t="str">
            <v>B(80°C)</v>
          </cell>
          <cell r="P1269" t="str">
            <v>270°</v>
          </cell>
          <cell r="Q1269" t="str">
            <v>-</v>
          </cell>
          <cell r="R1269" t="str">
            <v>-</v>
          </cell>
          <cell r="S1269" t="str">
            <v>-</v>
          </cell>
          <cell r="T1269" t="str">
            <v>-</v>
          </cell>
          <cell r="U1269" t="str">
            <v>-</v>
          </cell>
          <cell r="V1269" t="str">
            <v>D</v>
          </cell>
          <cell r="W1269" t="str">
            <v>-</v>
          </cell>
          <cell r="X1269" t="str">
            <v>CLP VG 220 = -15° + 40°</v>
          </cell>
          <cell r="Y1269" t="str">
            <v>R37DRN71M4</v>
          </cell>
          <cell r="Z1269" t="str">
            <v>SEW</v>
          </cell>
          <cell r="AB1269" t="str">
            <v>-</v>
          </cell>
          <cell r="AF1269">
            <v>13</v>
          </cell>
          <cell r="AG1269" t="str">
            <v>DRN71M4</v>
          </cell>
          <cell r="AH1269" t="str">
            <v>R37-DRN71M4270-X</v>
          </cell>
        </row>
        <row r="1270">
          <cell r="A1270" t="str">
            <v>MR001266</v>
          </cell>
          <cell r="B1270" t="str">
            <v>MR</v>
          </cell>
          <cell r="C1270">
            <v>1.5</v>
          </cell>
          <cell r="D1270">
            <v>22</v>
          </cell>
          <cell r="E1270" t="str">
            <v>R77</v>
          </cell>
          <cell r="F1270">
            <v>645</v>
          </cell>
          <cell r="G1270">
            <v>65.77</v>
          </cell>
          <cell r="H1270">
            <v>1.25</v>
          </cell>
          <cell r="I1270" t="str">
            <v>M1</v>
          </cell>
          <cell r="J1270" t="str">
            <v>IE3</v>
          </cell>
          <cell r="K1270" t="str">
            <v>230/400</v>
          </cell>
          <cell r="L1270">
            <v>50</v>
          </cell>
          <cell r="M1270" t="str">
            <v>6/3,15</v>
          </cell>
          <cell r="N1270">
            <v>54</v>
          </cell>
          <cell r="O1270" t="str">
            <v>F(105°C)</v>
          </cell>
          <cell r="P1270" t="str">
            <v>270°</v>
          </cell>
          <cell r="Q1270" t="str">
            <v>-</v>
          </cell>
          <cell r="R1270" t="str">
            <v>-</v>
          </cell>
          <cell r="S1270" t="str">
            <v>-</v>
          </cell>
          <cell r="T1270" t="str">
            <v>-</v>
          </cell>
          <cell r="U1270" t="str">
            <v>-</v>
          </cell>
          <cell r="V1270" t="str">
            <v>D</v>
          </cell>
          <cell r="W1270" t="str">
            <v>-</v>
          </cell>
          <cell r="X1270" t="str">
            <v>CLP VG 220 = -15° + 40°</v>
          </cell>
          <cell r="Y1270" t="str">
            <v>R77DRN90L4</v>
          </cell>
          <cell r="Z1270" t="str">
            <v>SEW</v>
          </cell>
          <cell r="AB1270" t="str">
            <v>-</v>
          </cell>
          <cell r="AF1270">
            <v>22</v>
          </cell>
          <cell r="AG1270" t="str">
            <v>DRN90L4</v>
          </cell>
          <cell r="AH1270" t="str">
            <v>R77-DRN90L4270-X</v>
          </cell>
        </row>
        <row r="1271">
          <cell r="A1271" t="str">
            <v>MR001267</v>
          </cell>
          <cell r="B1271" t="str">
            <v>MR</v>
          </cell>
          <cell r="C1271">
            <v>1.1000000000000001</v>
          </cell>
          <cell r="D1271" t="str">
            <v>-</v>
          </cell>
          <cell r="E1271" t="str">
            <v>SF67</v>
          </cell>
          <cell r="F1271">
            <v>180</v>
          </cell>
          <cell r="G1271">
            <v>29.63</v>
          </cell>
          <cell r="H1271" t="str">
            <v>2,7/3,2</v>
          </cell>
          <cell r="I1271" t="str">
            <v>M1B</v>
          </cell>
          <cell r="J1271" t="str">
            <v>IE3</v>
          </cell>
          <cell r="K1271" t="str">
            <v>230/400</v>
          </cell>
          <cell r="L1271">
            <v>50</v>
          </cell>
          <cell r="N1271">
            <v>55</v>
          </cell>
          <cell r="O1271" t="str">
            <v>F(105°C)</v>
          </cell>
          <cell r="P1271" t="str">
            <v>0°</v>
          </cell>
          <cell r="Q1271" t="str">
            <v>TF</v>
          </cell>
          <cell r="R1271" t="str">
            <v>-</v>
          </cell>
          <cell r="S1271" t="str">
            <v>-</v>
          </cell>
          <cell r="T1271" t="str">
            <v>BEHF</v>
          </cell>
          <cell r="U1271" t="str">
            <v>-</v>
          </cell>
          <cell r="V1271" t="str">
            <v>D</v>
          </cell>
          <cell r="W1271" t="str">
            <v>-</v>
          </cell>
          <cell r="X1271" t="str">
            <v>CLP VG 220 = -15° + 40°</v>
          </cell>
          <cell r="Y1271" t="str">
            <v>SF67 DRN90S4/BE2HR/TF</v>
          </cell>
          <cell r="Z1271" t="str">
            <v>SEW</v>
          </cell>
          <cell r="AB1271" t="str">
            <v>-</v>
          </cell>
          <cell r="AF1271" t="e">
            <v>#VALUE!</v>
          </cell>
          <cell r="AG1271" t="str">
            <v>DRN90S4</v>
          </cell>
          <cell r="AH1271" t="str">
            <v>SF67-DRN90S4B0-X</v>
          </cell>
        </row>
        <row r="1272">
          <cell r="A1272" t="str">
            <v>MR001268</v>
          </cell>
          <cell r="B1272" t="str">
            <v>MR</v>
          </cell>
          <cell r="C1272">
            <v>7.5</v>
          </cell>
          <cell r="D1272">
            <v>28</v>
          </cell>
          <cell r="E1272" t="str">
            <v>RF107</v>
          </cell>
          <cell r="F1272">
            <v>2570</v>
          </cell>
          <cell r="G1272">
            <v>52.68</v>
          </cell>
          <cell r="H1272">
            <v>1.65</v>
          </cell>
          <cell r="I1272" t="str">
            <v>M2</v>
          </cell>
          <cell r="J1272" t="str">
            <v>IE3</v>
          </cell>
          <cell r="K1272" t="str">
            <v>230/400</v>
          </cell>
          <cell r="L1272">
            <v>50</v>
          </cell>
          <cell r="M1272" t="str">
            <v>27/15,5</v>
          </cell>
          <cell r="N1272">
            <v>54</v>
          </cell>
          <cell r="O1272" t="str">
            <v>F(105°C)</v>
          </cell>
          <cell r="P1272" t="str">
            <v>0°</v>
          </cell>
          <cell r="Q1272" t="str">
            <v>TF</v>
          </cell>
          <cell r="R1272" t="str">
            <v>-</v>
          </cell>
          <cell r="S1272" t="str">
            <v>-</v>
          </cell>
          <cell r="T1272" t="str">
            <v>-</v>
          </cell>
          <cell r="U1272" t="str">
            <v>-</v>
          </cell>
          <cell r="V1272" t="str">
            <v>D</v>
          </cell>
          <cell r="W1272" t="str">
            <v>-</v>
          </cell>
          <cell r="X1272" t="str">
            <v>CLP VG 220 = -15° + 40°</v>
          </cell>
          <cell r="Y1272" t="str">
            <v>RF107DRN132M4 /TF</v>
          </cell>
          <cell r="Z1272" t="str">
            <v>SEW</v>
          </cell>
          <cell r="AB1272" t="str">
            <v>-</v>
          </cell>
          <cell r="AF1272">
            <v>28</v>
          </cell>
          <cell r="AG1272" t="str">
            <v>DRN132M4</v>
          </cell>
          <cell r="AH1272" t="str">
            <v>RF107-DRN132M40-X</v>
          </cell>
        </row>
        <row r="1273">
          <cell r="A1273" t="str">
            <v>MR001269</v>
          </cell>
          <cell r="B1273" t="str">
            <v>ME</v>
          </cell>
          <cell r="C1273">
            <v>4</v>
          </cell>
          <cell r="D1273" t="str">
            <v>-</v>
          </cell>
          <cell r="E1273" t="str">
            <v>-</v>
          </cell>
          <cell r="I1273" t="str">
            <v>B6</v>
          </cell>
          <cell r="J1273" t="str">
            <v>IE3</v>
          </cell>
          <cell r="K1273" t="str">
            <v>230/400</v>
          </cell>
          <cell r="L1273">
            <v>50</v>
          </cell>
          <cell r="N1273">
            <v>55</v>
          </cell>
          <cell r="O1273" t="str">
            <v>F(105°C)</v>
          </cell>
          <cell r="P1273" t="str">
            <v>270°</v>
          </cell>
          <cell r="Q1273" t="str">
            <v>-</v>
          </cell>
          <cell r="R1273" t="str">
            <v>-</v>
          </cell>
          <cell r="S1273" t="str">
            <v>-</v>
          </cell>
          <cell r="T1273" t="str">
            <v>GBE1,5-230V</v>
          </cell>
          <cell r="U1273" t="str">
            <v>-</v>
          </cell>
          <cell r="V1273" t="str">
            <v>D</v>
          </cell>
          <cell r="W1273" t="str">
            <v>-</v>
          </cell>
          <cell r="X1273" t="str">
            <v>-</v>
          </cell>
          <cell r="Y1273" t="str">
            <v>DRN112M4/BE5HR/FI</v>
          </cell>
          <cell r="Z1273" t="str">
            <v>SEW</v>
          </cell>
          <cell r="AB1273" t="str">
            <v>-</v>
          </cell>
          <cell r="AF1273" t="e">
            <v>#VALUE!</v>
          </cell>
          <cell r="AG1273" t="str">
            <v>DRN112M4</v>
          </cell>
          <cell r="AH1273" t="str">
            <v>--DRN112M4B270-X</v>
          </cell>
        </row>
        <row r="1274">
          <cell r="A1274" t="str">
            <v>MR001270</v>
          </cell>
          <cell r="B1274" t="str">
            <v>MR</v>
          </cell>
          <cell r="C1274">
            <v>5.5</v>
          </cell>
          <cell r="D1274">
            <v>34</v>
          </cell>
          <cell r="E1274" t="str">
            <v>RF97</v>
          </cell>
          <cell r="F1274">
            <v>1530</v>
          </cell>
          <cell r="G1274">
            <v>42.78</v>
          </cell>
          <cell r="H1274">
            <v>1.95</v>
          </cell>
          <cell r="I1274" t="str">
            <v>M2</v>
          </cell>
          <cell r="J1274" t="str">
            <v>IE3</v>
          </cell>
          <cell r="K1274" t="str">
            <v>230/400</v>
          </cell>
          <cell r="L1274">
            <v>50</v>
          </cell>
          <cell r="M1274" t="str">
            <v>18,2/10,5</v>
          </cell>
          <cell r="N1274">
            <v>54</v>
          </cell>
          <cell r="O1274" t="str">
            <v>F(105°C)</v>
          </cell>
          <cell r="P1274" t="str">
            <v>0°</v>
          </cell>
          <cell r="Q1274" t="str">
            <v>TF</v>
          </cell>
          <cell r="R1274" t="str">
            <v>-</v>
          </cell>
          <cell r="S1274" t="str">
            <v>-</v>
          </cell>
          <cell r="T1274" t="str">
            <v>-</v>
          </cell>
          <cell r="U1274" t="str">
            <v>-</v>
          </cell>
          <cell r="V1274" t="str">
            <v>D</v>
          </cell>
          <cell r="W1274" t="str">
            <v>-</v>
          </cell>
          <cell r="X1274" t="str">
            <v>CLP VG 220 = -15° + 40°</v>
          </cell>
          <cell r="Y1274" t="str">
            <v>RF97DRN132S4 /TF</v>
          </cell>
          <cell r="Z1274" t="str">
            <v>SEW</v>
          </cell>
          <cell r="AB1274" t="str">
            <v>-</v>
          </cell>
          <cell r="AF1274">
            <v>34</v>
          </cell>
          <cell r="AG1274" t="str">
            <v>DRN132S4</v>
          </cell>
          <cell r="AH1274" t="str">
            <v>RF97-DRN132S40-X</v>
          </cell>
        </row>
        <row r="1275">
          <cell r="A1275" t="str">
            <v>MR001271</v>
          </cell>
          <cell r="B1275" t="str">
            <v>MR</v>
          </cell>
          <cell r="C1275">
            <v>3</v>
          </cell>
          <cell r="D1275">
            <v>69</v>
          </cell>
          <cell r="E1275" t="str">
            <v>FA57B</v>
          </cell>
          <cell r="F1275">
            <v>415</v>
          </cell>
          <cell r="G1275">
            <v>21.17</v>
          </cell>
          <cell r="H1275">
            <v>1.45</v>
          </cell>
          <cell r="I1275" t="str">
            <v>M6</v>
          </cell>
          <cell r="J1275" t="str">
            <v>IE3</v>
          </cell>
          <cell r="K1275" t="str">
            <v>230/400</v>
          </cell>
          <cell r="L1275">
            <v>50</v>
          </cell>
          <cell r="M1275" t="str">
            <v>11,5/6,6</v>
          </cell>
          <cell r="N1275">
            <v>55</v>
          </cell>
          <cell r="O1275" t="str">
            <v>F(105°C)</v>
          </cell>
          <cell r="P1275" t="str">
            <v>270°</v>
          </cell>
          <cell r="Q1275" t="str">
            <v>-</v>
          </cell>
          <cell r="R1275" t="str">
            <v>-</v>
          </cell>
          <cell r="S1275" t="str">
            <v>-</v>
          </cell>
          <cell r="T1275" t="str">
            <v>BE5</v>
          </cell>
          <cell r="U1275" t="str">
            <v>-</v>
          </cell>
          <cell r="V1275" t="str">
            <v>-</v>
          </cell>
          <cell r="W1275" t="str">
            <v>-</v>
          </cell>
          <cell r="X1275" t="str">
            <v>(if ATEX, synthetic only!)</v>
          </cell>
          <cell r="Y1275" t="str">
            <v>FA57BDRN100L4 /BE5</v>
          </cell>
          <cell r="Z1275" t="str">
            <v>SEW</v>
          </cell>
          <cell r="AB1275" t="str">
            <v>-</v>
          </cell>
          <cell r="AF1275">
            <v>69</v>
          </cell>
          <cell r="AG1275" t="str">
            <v>DRN100L4</v>
          </cell>
          <cell r="AH1275" t="str">
            <v>FA57B-DRN100L4270-X</v>
          </cell>
        </row>
        <row r="1276">
          <cell r="A1276" t="str">
            <v>MR001272</v>
          </cell>
          <cell r="B1276" t="str">
            <v>MR</v>
          </cell>
          <cell r="C1276">
            <v>9.1999999999999993</v>
          </cell>
          <cell r="D1276">
            <v>66</v>
          </cell>
          <cell r="E1276" t="str">
            <v>R97</v>
          </cell>
          <cell r="F1276">
            <v>1330</v>
          </cell>
          <cell r="G1276">
            <v>22.37</v>
          </cell>
          <cell r="H1276">
            <v>2</v>
          </cell>
          <cell r="I1276" t="str">
            <v>From M1 to M2 - 15°</v>
          </cell>
          <cell r="J1276" t="str">
            <v>IE3</v>
          </cell>
          <cell r="K1276">
            <v>380</v>
          </cell>
          <cell r="L1276">
            <v>50</v>
          </cell>
          <cell r="M1276">
            <v>18.7</v>
          </cell>
          <cell r="N1276">
            <v>55</v>
          </cell>
          <cell r="O1276" t="str">
            <v>F(105°C)</v>
          </cell>
          <cell r="P1276" t="str">
            <v>270°</v>
          </cell>
          <cell r="Q1276" t="str">
            <v>-</v>
          </cell>
          <cell r="R1276" t="str">
            <v>-</v>
          </cell>
          <cell r="S1276" t="str">
            <v>-</v>
          </cell>
          <cell r="T1276" t="str">
            <v>-</v>
          </cell>
          <cell r="U1276" t="str">
            <v>-</v>
          </cell>
          <cell r="V1276" t="str">
            <v>D</v>
          </cell>
          <cell r="W1276" t="str">
            <v>-</v>
          </cell>
          <cell r="X1276" t="str">
            <v>CLP VG 220 = -15° + 40°</v>
          </cell>
          <cell r="Y1276" t="str">
            <v>R97DRN132L4</v>
          </cell>
          <cell r="Z1276" t="str">
            <v>SEW</v>
          </cell>
          <cell r="AB1276" t="str">
            <v>-</v>
          </cell>
          <cell r="AF1276">
            <v>66</v>
          </cell>
          <cell r="AG1276" t="str">
            <v>DRN132L4</v>
          </cell>
          <cell r="AH1276" t="str">
            <v>R97-DRN132L4270-X</v>
          </cell>
        </row>
        <row r="1277">
          <cell r="A1277" t="str">
            <v>MR001273</v>
          </cell>
          <cell r="B1277" t="str">
            <v>MR</v>
          </cell>
          <cell r="C1277">
            <v>5.5</v>
          </cell>
          <cell r="D1277">
            <v>94</v>
          </cell>
          <cell r="E1277" t="str">
            <v>R77</v>
          </cell>
          <cell r="F1277">
            <v>560</v>
          </cell>
          <cell r="G1277">
            <v>15.6</v>
          </cell>
          <cell r="H1277">
            <v>1.3</v>
          </cell>
          <cell r="I1277" t="str">
            <v>From M1 to M2 - 15°</v>
          </cell>
          <cell r="J1277" t="str">
            <v>IE3</v>
          </cell>
          <cell r="K1277" t="str">
            <v>230/400</v>
          </cell>
          <cell r="L1277">
            <v>50</v>
          </cell>
          <cell r="M1277" t="str">
            <v>18,2/10,5</v>
          </cell>
          <cell r="N1277">
            <v>55</v>
          </cell>
          <cell r="O1277" t="str">
            <v>F(105°C)</v>
          </cell>
          <cell r="P1277" t="str">
            <v>270°</v>
          </cell>
          <cell r="Q1277" t="str">
            <v>-</v>
          </cell>
          <cell r="R1277" t="str">
            <v>-</v>
          </cell>
          <cell r="S1277" t="str">
            <v>-</v>
          </cell>
          <cell r="T1277" t="str">
            <v>-</v>
          </cell>
          <cell r="U1277" t="str">
            <v>-</v>
          </cell>
          <cell r="V1277" t="str">
            <v>D</v>
          </cell>
          <cell r="W1277" t="str">
            <v>-</v>
          </cell>
          <cell r="X1277" t="str">
            <v>CLP VG 220 = -15° + 40°</v>
          </cell>
          <cell r="Y1277" t="str">
            <v>R77DRN132S4</v>
          </cell>
          <cell r="Z1277" t="str">
            <v>SEW</v>
          </cell>
          <cell r="AB1277" t="str">
            <v>-</v>
          </cell>
          <cell r="AF1277">
            <v>94</v>
          </cell>
          <cell r="AG1277" t="str">
            <v>DRN132S4</v>
          </cell>
          <cell r="AH1277" t="str">
            <v>R77-DRN132S4270-X</v>
          </cell>
        </row>
        <row r="1278">
          <cell r="A1278" t="str">
            <v>MR001274</v>
          </cell>
          <cell r="B1278" t="str">
            <v>MR</v>
          </cell>
          <cell r="C1278">
            <v>9.1999999999999993</v>
          </cell>
          <cell r="D1278">
            <v>24</v>
          </cell>
          <cell r="E1278" t="str">
            <v>KH97</v>
          </cell>
          <cell r="F1278">
            <v>3730</v>
          </cell>
          <cell r="G1278">
            <v>62.55</v>
          </cell>
          <cell r="H1278">
            <v>1.1499999999999999</v>
          </cell>
          <cell r="I1278" t="str">
            <v>M4A</v>
          </cell>
          <cell r="J1278" t="str">
            <v>IE3</v>
          </cell>
          <cell r="K1278">
            <v>440</v>
          </cell>
          <cell r="L1278">
            <v>60</v>
          </cell>
          <cell r="M1278">
            <v>17</v>
          </cell>
          <cell r="N1278">
            <v>55</v>
          </cell>
          <cell r="O1278" t="str">
            <v>F(105°C)</v>
          </cell>
          <cell r="P1278" t="str">
            <v>270°</v>
          </cell>
          <cell r="Q1278" t="str">
            <v>TF</v>
          </cell>
          <cell r="R1278" t="str">
            <v>V(VE)</v>
          </cell>
          <cell r="S1278" t="str">
            <v>-</v>
          </cell>
          <cell r="T1278" t="str">
            <v>-</v>
          </cell>
          <cell r="U1278" t="str">
            <v>T</v>
          </cell>
          <cell r="V1278" t="str">
            <v>FC</v>
          </cell>
          <cell r="W1278" t="str">
            <v>-</v>
          </cell>
          <cell r="X1278" t="str">
            <v>CLP VG 220 = -15° + 40°</v>
          </cell>
          <cell r="Y1278" t="str">
            <v>KH97/T DRN132L4 /TF/V</v>
          </cell>
          <cell r="Z1278" t="str">
            <v>SEW</v>
          </cell>
          <cell r="AB1278" t="str">
            <v>-</v>
          </cell>
          <cell r="AF1278">
            <v>28.8</v>
          </cell>
          <cell r="AG1278" t="str">
            <v>DRN132L4</v>
          </cell>
          <cell r="AH1278" t="str">
            <v>KH97T-DRN132L4A270-X#</v>
          </cell>
        </row>
        <row r="1279">
          <cell r="A1279" t="str">
            <v>MR001275</v>
          </cell>
          <cell r="B1279" t="str">
            <v>MR</v>
          </cell>
          <cell r="C1279">
            <v>7.5</v>
          </cell>
          <cell r="D1279">
            <v>23</v>
          </cell>
          <cell r="E1279" t="str">
            <v>KH97</v>
          </cell>
          <cell r="F1279">
            <v>3050</v>
          </cell>
          <cell r="G1279">
            <v>62.55</v>
          </cell>
          <cell r="H1279">
            <v>1.4</v>
          </cell>
          <cell r="I1279" t="str">
            <v>M4B</v>
          </cell>
          <cell r="J1279" t="str">
            <v>IE3</v>
          </cell>
          <cell r="K1279">
            <v>440</v>
          </cell>
          <cell r="L1279">
            <v>60</v>
          </cell>
          <cell r="M1279">
            <v>13.818181818181818</v>
          </cell>
          <cell r="N1279">
            <v>55</v>
          </cell>
          <cell r="O1279" t="str">
            <v>F(105°C)</v>
          </cell>
          <cell r="P1279" t="str">
            <v>270°</v>
          </cell>
          <cell r="Q1279" t="str">
            <v>TF</v>
          </cell>
          <cell r="R1279" t="str">
            <v>V(VE)</v>
          </cell>
          <cell r="S1279" t="str">
            <v>-</v>
          </cell>
          <cell r="T1279" t="str">
            <v>-</v>
          </cell>
          <cell r="U1279" t="str">
            <v>T</v>
          </cell>
          <cell r="V1279" t="str">
            <v>FC</v>
          </cell>
          <cell r="W1279" t="str">
            <v>-</v>
          </cell>
          <cell r="X1279" t="str">
            <v>CLP VG 220 = -15° + 40°</v>
          </cell>
          <cell r="Y1279" t="str">
            <v>KH97/T DRN132M4 /TF/V</v>
          </cell>
          <cell r="Z1279" t="str">
            <v>SEW</v>
          </cell>
          <cell r="AB1279" t="str">
            <v>-</v>
          </cell>
          <cell r="AF1279">
            <v>27.6</v>
          </cell>
          <cell r="AG1279" t="str">
            <v>DRN132M4</v>
          </cell>
          <cell r="AH1279" t="str">
            <v>KH97T-DRN132M4B270-X#</v>
          </cell>
        </row>
        <row r="1280">
          <cell r="A1280" t="str">
            <v>MR001276</v>
          </cell>
          <cell r="B1280" t="str">
            <v>MR</v>
          </cell>
          <cell r="C1280">
            <v>0.75</v>
          </cell>
          <cell r="D1280">
            <v>137</v>
          </cell>
          <cell r="E1280" t="str">
            <v>KA37</v>
          </cell>
          <cell r="F1280">
            <v>52</v>
          </cell>
          <cell r="G1280">
            <v>10.49</v>
          </cell>
          <cell r="H1280">
            <v>3.1</v>
          </cell>
          <cell r="I1280" t="str">
            <v>M1B</v>
          </cell>
          <cell r="J1280" t="str">
            <v>IE3</v>
          </cell>
          <cell r="K1280">
            <v>440</v>
          </cell>
          <cell r="L1280">
            <v>60</v>
          </cell>
          <cell r="M1280">
            <v>1.5909090909090908</v>
          </cell>
          <cell r="N1280">
            <v>55</v>
          </cell>
          <cell r="O1280" t="str">
            <v>F(105°C)</v>
          </cell>
          <cell r="P1280" t="str">
            <v>270°</v>
          </cell>
          <cell r="Q1280" t="str">
            <v>-</v>
          </cell>
          <cell r="R1280" t="str">
            <v>-</v>
          </cell>
          <cell r="S1280" t="str">
            <v>-</v>
          </cell>
          <cell r="T1280" t="str">
            <v>-</v>
          </cell>
          <cell r="U1280" t="str">
            <v>T</v>
          </cell>
          <cell r="V1280" t="str">
            <v>D</v>
          </cell>
          <cell r="W1280" t="str">
            <v>-</v>
          </cell>
          <cell r="X1280" t="str">
            <v>CLP VG 220 = -15° + 40°</v>
          </cell>
          <cell r="Y1280" t="str">
            <v>KA37/T DRN80M4</v>
          </cell>
          <cell r="Z1280" t="str">
            <v>SEW</v>
          </cell>
          <cell r="AB1280" t="str">
            <v>-</v>
          </cell>
          <cell r="AF1280">
            <v>164.4</v>
          </cell>
          <cell r="AG1280" t="str">
            <v>DRN80M4</v>
          </cell>
          <cell r="AH1280" t="str">
            <v>KA37T-DRN80M4B270-X</v>
          </cell>
        </row>
        <row r="1281">
          <cell r="A1281" t="str">
            <v>MR001277</v>
          </cell>
          <cell r="B1281" t="str">
            <v>MR</v>
          </cell>
          <cell r="C1281">
            <v>7.5</v>
          </cell>
          <cell r="D1281">
            <v>23</v>
          </cell>
          <cell r="E1281" t="str">
            <v>KH97</v>
          </cell>
          <cell r="F1281">
            <v>3050</v>
          </cell>
          <cell r="G1281">
            <v>62.55</v>
          </cell>
          <cell r="H1281">
            <v>1.4</v>
          </cell>
          <cell r="I1281" t="str">
            <v>M4A</v>
          </cell>
          <cell r="J1281" t="str">
            <v>IE3</v>
          </cell>
          <cell r="K1281">
            <v>440</v>
          </cell>
          <cell r="L1281">
            <v>60</v>
          </cell>
          <cell r="M1281">
            <v>13.818181818181818</v>
          </cell>
          <cell r="N1281">
            <v>55</v>
          </cell>
          <cell r="O1281" t="str">
            <v>F(105°C)</v>
          </cell>
          <cell r="P1281" t="str">
            <v>270°</v>
          </cell>
          <cell r="Q1281" t="str">
            <v>TF</v>
          </cell>
          <cell r="R1281" t="str">
            <v>V(VE)</v>
          </cell>
          <cell r="S1281" t="str">
            <v>-</v>
          </cell>
          <cell r="T1281" t="str">
            <v>-</v>
          </cell>
          <cell r="U1281" t="str">
            <v>T</v>
          </cell>
          <cell r="V1281" t="str">
            <v>FC</v>
          </cell>
          <cell r="W1281" t="str">
            <v>-</v>
          </cell>
          <cell r="X1281" t="str">
            <v>CLP VG 220 = -15° + 40°</v>
          </cell>
          <cell r="Y1281" t="str">
            <v>KH97/T DRN132M4 /TF/V</v>
          </cell>
          <cell r="Z1281" t="str">
            <v>SEW</v>
          </cell>
          <cell r="AB1281" t="str">
            <v>-</v>
          </cell>
          <cell r="AF1281">
            <v>27.6</v>
          </cell>
          <cell r="AG1281" t="str">
            <v>DRN132M4</v>
          </cell>
          <cell r="AH1281" t="str">
            <v>KH97T-DRN132M4A270-X#</v>
          </cell>
        </row>
        <row r="1282">
          <cell r="A1282" t="str">
            <v>MR001278</v>
          </cell>
          <cell r="B1282" t="str">
            <v>MR</v>
          </cell>
          <cell r="C1282">
            <v>9.1999999999999993</v>
          </cell>
          <cell r="D1282">
            <v>24</v>
          </cell>
          <cell r="E1282" t="str">
            <v>KH97</v>
          </cell>
          <cell r="F1282">
            <v>3730</v>
          </cell>
          <cell r="G1282">
            <v>62.55</v>
          </cell>
          <cell r="H1282">
            <v>1.1499999999999999</v>
          </cell>
          <cell r="I1282" t="str">
            <v>M4B</v>
          </cell>
          <cell r="J1282" t="str">
            <v>IE3</v>
          </cell>
          <cell r="K1282">
            <v>440</v>
          </cell>
          <cell r="L1282">
            <v>60</v>
          </cell>
          <cell r="M1282">
            <v>17</v>
          </cell>
          <cell r="N1282">
            <v>55</v>
          </cell>
          <cell r="O1282" t="str">
            <v>F(105°C)</v>
          </cell>
          <cell r="P1282" t="str">
            <v>270°</v>
          </cell>
          <cell r="Q1282" t="str">
            <v>TF</v>
          </cell>
          <cell r="R1282" t="str">
            <v>V(VE)</v>
          </cell>
          <cell r="S1282" t="str">
            <v>-</v>
          </cell>
          <cell r="T1282" t="str">
            <v>-</v>
          </cell>
          <cell r="U1282" t="str">
            <v>T</v>
          </cell>
          <cell r="V1282" t="str">
            <v>FC</v>
          </cell>
          <cell r="W1282" t="str">
            <v>-</v>
          </cell>
          <cell r="X1282" t="str">
            <v>CLP VG 220 = -15° + 40°</v>
          </cell>
          <cell r="Y1282" t="str">
            <v>KH97/T DRN132L4 /TF/V</v>
          </cell>
          <cell r="Z1282" t="str">
            <v>SEW</v>
          </cell>
          <cell r="AB1282" t="str">
            <v>-</v>
          </cell>
          <cell r="AF1282">
            <v>28.8</v>
          </cell>
          <cell r="AG1282" t="str">
            <v>DRN132L4</v>
          </cell>
          <cell r="AH1282" t="str">
            <v>KH97T-DRN132L4B270-X#</v>
          </cell>
        </row>
        <row r="1283">
          <cell r="A1283" t="str">
            <v>MR001279</v>
          </cell>
          <cell r="B1283" t="str">
            <v>MR</v>
          </cell>
          <cell r="C1283">
            <v>3</v>
          </cell>
          <cell r="D1283">
            <v>25</v>
          </cell>
          <cell r="E1283" t="str">
            <v>KH77</v>
          </cell>
          <cell r="F1283">
            <v>1140</v>
          </cell>
          <cell r="G1283">
            <v>58.34</v>
          </cell>
          <cell r="H1283">
            <v>1.35</v>
          </cell>
          <cell r="I1283" t="str">
            <v>M4A</v>
          </cell>
          <cell r="J1283" t="str">
            <v>IE3</v>
          </cell>
          <cell r="K1283">
            <v>440</v>
          </cell>
          <cell r="L1283">
            <v>60</v>
          </cell>
          <cell r="M1283">
            <v>5.8181818181818183</v>
          </cell>
          <cell r="N1283">
            <v>55</v>
          </cell>
          <cell r="O1283" t="str">
            <v>F(105°C)</v>
          </cell>
          <cell r="P1283" t="str">
            <v>270°</v>
          </cell>
          <cell r="Q1283" t="str">
            <v>TF</v>
          </cell>
          <cell r="R1283" t="str">
            <v>V(VE)</v>
          </cell>
          <cell r="S1283" t="str">
            <v>-</v>
          </cell>
          <cell r="T1283" t="str">
            <v>-</v>
          </cell>
          <cell r="U1283" t="str">
            <v>T</v>
          </cell>
          <cell r="V1283" t="str">
            <v>FC+R</v>
          </cell>
          <cell r="W1283" t="str">
            <v>-</v>
          </cell>
          <cell r="X1283" t="str">
            <v>CLP VG 220 = -15° + 40°</v>
          </cell>
          <cell r="Y1283" t="str">
            <v>KH77/T DRN100L4 /TF/V</v>
          </cell>
          <cell r="Z1283" t="str">
            <v>SEW</v>
          </cell>
          <cell r="AB1283" t="str">
            <v>-</v>
          </cell>
          <cell r="AF1283">
            <v>30</v>
          </cell>
          <cell r="AG1283" t="str">
            <v>DRN100L4</v>
          </cell>
          <cell r="AH1283" t="str">
            <v>KH77T-DRN100L4A270-X#</v>
          </cell>
        </row>
        <row r="1284">
          <cell r="A1284" t="str">
            <v>MR001280</v>
          </cell>
          <cell r="B1284" t="str">
            <v>MR</v>
          </cell>
          <cell r="C1284">
            <v>0.55000000000000004</v>
          </cell>
          <cell r="D1284">
            <v>0.71</v>
          </cell>
          <cell r="E1284" t="str">
            <v>KH107R77</v>
          </cell>
          <cell r="F1284">
            <v>6540</v>
          </cell>
          <cell r="G1284">
            <v>1939</v>
          </cell>
          <cell r="H1284">
            <v>1.2</v>
          </cell>
          <cell r="I1284" t="str">
            <v>From M1 to M4 A 50°</v>
          </cell>
          <cell r="J1284" t="str">
            <v>IE3</v>
          </cell>
          <cell r="K1284">
            <v>400</v>
          </cell>
          <cell r="L1284">
            <v>50</v>
          </cell>
          <cell r="N1284">
            <v>55</v>
          </cell>
          <cell r="O1284" t="str">
            <v>F(105°C)</v>
          </cell>
          <cell r="P1284" t="str">
            <v>270°</v>
          </cell>
          <cell r="Q1284" t="str">
            <v>-</v>
          </cell>
          <cell r="R1284" t="str">
            <v>-</v>
          </cell>
          <cell r="S1284" t="str">
            <v>-</v>
          </cell>
          <cell r="T1284" t="str">
            <v>-</v>
          </cell>
          <cell r="U1284" t="str">
            <v>T</v>
          </cell>
          <cell r="V1284" t="str">
            <v>D</v>
          </cell>
          <cell r="W1284" t="str">
            <v>-</v>
          </cell>
          <cell r="X1284" t="str">
            <v>CLP VG 220 = -15° + 40°</v>
          </cell>
          <cell r="Y1284" t="str">
            <v>KH107R77/T DRS71M4</v>
          </cell>
          <cell r="Z1284" t="str">
            <v>SEW</v>
          </cell>
          <cell r="AB1284" t="str">
            <v>-</v>
          </cell>
          <cell r="AF1284">
            <v>0.71</v>
          </cell>
          <cell r="AG1284" t="str">
            <v>DRS71M4</v>
          </cell>
          <cell r="AH1284" t="str">
            <v>KH107R77T-DRS71M4A270-X</v>
          </cell>
        </row>
        <row r="1285">
          <cell r="A1285" t="str">
            <v>MR001281</v>
          </cell>
          <cell r="B1285" t="str">
            <v>MR</v>
          </cell>
          <cell r="C1285">
            <v>1.5</v>
          </cell>
          <cell r="D1285">
            <v>2.1</v>
          </cell>
          <cell r="E1285" t="str">
            <v>KH107R77</v>
          </cell>
          <cell r="F1285">
            <v>6230</v>
          </cell>
          <cell r="G1285">
            <v>696</v>
          </cell>
          <cell r="H1285">
            <v>1.3</v>
          </cell>
          <cell r="I1285" t="str">
            <v>From M1 to M2 B 35°</v>
          </cell>
          <cell r="J1285" t="str">
            <v>IE3</v>
          </cell>
          <cell r="K1285">
            <v>400</v>
          </cell>
          <cell r="L1285">
            <v>50</v>
          </cell>
          <cell r="N1285">
            <v>55</v>
          </cell>
          <cell r="O1285" t="str">
            <v>F(105°C)</v>
          </cell>
          <cell r="P1285" t="str">
            <v>0°</v>
          </cell>
          <cell r="Q1285" t="str">
            <v>-</v>
          </cell>
          <cell r="R1285" t="str">
            <v>-</v>
          </cell>
          <cell r="S1285" t="str">
            <v>-</v>
          </cell>
          <cell r="T1285" t="str">
            <v>-</v>
          </cell>
          <cell r="U1285" t="str">
            <v>T</v>
          </cell>
          <cell r="V1285" t="str">
            <v>D</v>
          </cell>
          <cell r="W1285" t="str">
            <v>-</v>
          </cell>
          <cell r="X1285" t="str">
            <v>CLP VG 220 = -15° + 40°</v>
          </cell>
          <cell r="Y1285" t="str">
            <v>KH107R77/T DRN90L4</v>
          </cell>
          <cell r="Z1285" t="str">
            <v>SEW</v>
          </cell>
          <cell r="AB1285" t="str">
            <v>-</v>
          </cell>
          <cell r="AF1285">
            <v>2.1</v>
          </cell>
          <cell r="AG1285" t="str">
            <v>DRN90L4</v>
          </cell>
          <cell r="AH1285" t="str">
            <v>KH107R77T-DRN90L4B0-X</v>
          </cell>
        </row>
        <row r="1286">
          <cell r="A1286" t="str">
            <v>MR001282</v>
          </cell>
          <cell r="B1286" t="str">
            <v>MR</v>
          </cell>
          <cell r="C1286">
            <v>0.55000000000000004</v>
          </cell>
          <cell r="D1286">
            <v>0.71</v>
          </cell>
          <cell r="E1286" t="str">
            <v>KH107R77</v>
          </cell>
          <cell r="F1286">
            <v>6540</v>
          </cell>
          <cell r="G1286">
            <v>1939</v>
          </cell>
          <cell r="H1286">
            <v>1.2</v>
          </cell>
          <cell r="I1286" t="str">
            <v>From M1 to M4 B 50°</v>
          </cell>
          <cell r="J1286" t="str">
            <v>IE3</v>
          </cell>
          <cell r="K1286">
            <v>400</v>
          </cell>
          <cell r="L1286">
            <v>50</v>
          </cell>
          <cell r="N1286">
            <v>55</v>
          </cell>
          <cell r="O1286" t="str">
            <v>F(105°C)</v>
          </cell>
          <cell r="P1286" t="str">
            <v>270°</v>
          </cell>
          <cell r="Q1286" t="str">
            <v>-</v>
          </cell>
          <cell r="R1286" t="str">
            <v>-</v>
          </cell>
          <cell r="S1286" t="str">
            <v>-</v>
          </cell>
          <cell r="T1286" t="str">
            <v>-</v>
          </cell>
          <cell r="U1286" t="str">
            <v>T</v>
          </cell>
          <cell r="V1286" t="str">
            <v>D</v>
          </cell>
          <cell r="W1286" t="str">
            <v>-</v>
          </cell>
          <cell r="X1286" t="str">
            <v>CLP VG 220 = -15° + 40°</v>
          </cell>
          <cell r="Y1286" t="str">
            <v>KH107R77/T DRS71M4</v>
          </cell>
          <cell r="Z1286" t="str">
            <v>SEW</v>
          </cell>
          <cell r="AB1286" t="str">
            <v>-</v>
          </cell>
          <cell r="AF1286">
            <v>0.71</v>
          </cell>
          <cell r="AG1286" t="str">
            <v>DRS71M4</v>
          </cell>
          <cell r="AH1286" t="str">
            <v>KH107R77T-DRS71M4B270-X</v>
          </cell>
        </row>
        <row r="1287">
          <cell r="A1287" t="str">
            <v>MR001283</v>
          </cell>
          <cell r="B1287" t="str">
            <v>MR</v>
          </cell>
          <cell r="C1287">
            <v>0.55000000000000004</v>
          </cell>
          <cell r="D1287">
            <v>0.71</v>
          </cell>
          <cell r="E1287" t="str">
            <v>KH107R77</v>
          </cell>
          <cell r="F1287">
            <v>6540</v>
          </cell>
          <cell r="G1287">
            <v>1939</v>
          </cell>
          <cell r="H1287">
            <v>1.2</v>
          </cell>
          <cell r="I1287" t="str">
            <v>M4A</v>
          </cell>
          <cell r="J1287" t="str">
            <v>IE3</v>
          </cell>
          <cell r="K1287">
            <v>400</v>
          </cell>
          <cell r="L1287">
            <v>50</v>
          </cell>
          <cell r="N1287">
            <v>55</v>
          </cell>
          <cell r="O1287" t="str">
            <v>F(105°C)</v>
          </cell>
          <cell r="P1287" t="str">
            <v>270°</v>
          </cell>
          <cell r="Q1287" t="str">
            <v>-</v>
          </cell>
          <cell r="R1287" t="str">
            <v>-</v>
          </cell>
          <cell r="S1287" t="str">
            <v>-</v>
          </cell>
          <cell r="T1287" t="str">
            <v>-</v>
          </cell>
          <cell r="U1287" t="str">
            <v>T</v>
          </cell>
          <cell r="V1287" t="str">
            <v>D</v>
          </cell>
          <cell r="W1287" t="str">
            <v>-</v>
          </cell>
          <cell r="X1287" t="str">
            <v>CLP VG 220 = -15° + 40°</v>
          </cell>
          <cell r="Y1287" t="str">
            <v>KH107R77/T DRS71M4</v>
          </cell>
          <cell r="Z1287" t="str">
            <v>SEW</v>
          </cell>
          <cell r="AB1287" t="str">
            <v>-</v>
          </cell>
          <cell r="AF1287">
            <v>0.71</v>
          </cell>
          <cell r="AG1287" t="str">
            <v>DRS71M4</v>
          </cell>
          <cell r="AH1287" t="str">
            <v>KH107R77T-DRS71M4A270-X</v>
          </cell>
        </row>
        <row r="1288">
          <cell r="A1288" t="str">
            <v>MR001284</v>
          </cell>
          <cell r="B1288" t="str">
            <v>MR</v>
          </cell>
          <cell r="C1288">
            <v>0.55000000000000004</v>
          </cell>
          <cell r="D1288">
            <v>0.71</v>
          </cell>
          <cell r="E1288" t="str">
            <v>KH107R77</v>
          </cell>
          <cell r="F1288">
            <v>6540</v>
          </cell>
          <cell r="G1288">
            <v>1939</v>
          </cell>
          <cell r="H1288">
            <v>1.2</v>
          </cell>
          <cell r="I1288" t="str">
            <v>M4B</v>
          </cell>
          <cell r="J1288" t="str">
            <v>IE3</v>
          </cell>
          <cell r="K1288">
            <v>400</v>
          </cell>
          <cell r="L1288">
            <v>50</v>
          </cell>
          <cell r="N1288">
            <v>55</v>
          </cell>
          <cell r="O1288" t="str">
            <v>F(105°C)</v>
          </cell>
          <cell r="P1288" t="str">
            <v>270°</v>
          </cell>
          <cell r="Q1288" t="str">
            <v>-</v>
          </cell>
          <cell r="R1288" t="str">
            <v>-</v>
          </cell>
          <cell r="S1288" t="str">
            <v>-</v>
          </cell>
          <cell r="T1288" t="str">
            <v>-</v>
          </cell>
          <cell r="U1288" t="str">
            <v>T</v>
          </cell>
          <cell r="V1288" t="str">
            <v>D</v>
          </cell>
          <cell r="W1288" t="str">
            <v>-</v>
          </cell>
          <cell r="X1288" t="str">
            <v>CLP VG 220 = -15° + 40°</v>
          </cell>
          <cell r="Y1288" t="str">
            <v>KH107R77/T DRS71M4</v>
          </cell>
          <cell r="Z1288" t="str">
            <v>SEW</v>
          </cell>
          <cell r="AB1288" t="str">
            <v>-</v>
          </cell>
          <cell r="AF1288">
            <v>0.71</v>
          </cell>
          <cell r="AG1288" t="str">
            <v>DRS71M4</v>
          </cell>
          <cell r="AH1288" t="str">
            <v>KH107R77T-DRS71M4B270-X</v>
          </cell>
        </row>
        <row r="1289">
          <cell r="A1289" t="str">
            <v>MR001285</v>
          </cell>
          <cell r="B1289" t="str">
            <v>MR</v>
          </cell>
          <cell r="C1289">
            <v>5.5</v>
          </cell>
          <cell r="D1289">
            <v>72</v>
          </cell>
          <cell r="E1289" t="str">
            <v>KH77</v>
          </cell>
          <cell r="F1289">
            <v>725</v>
          </cell>
          <cell r="G1289">
            <v>20.25</v>
          </cell>
          <cell r="H1289">
            <v>2.1</v>
          </cell>
          <cell r="I1289" t="str">
            <v>From M1 to M4 B 80°</v>
          </cell>
          <cell r="J1289" t="str">
            <v>IE3</v>
          </cell>
          <cell r="K1289">
            <v>400</v>
          </cell>
          <cell r="L1289">
            <v>50</v>
          </cell>
          <cell r="N1289">
            <v>55</v>
          </cell>
          <cell r="O1289" t="str">
            <v>F(105°C)</v>
          </cell>
          <cell r="P1289" t="str">
            <v>0°</v>
          </cell>
          <cell r="Q1289" t="str">
            <v>-</v>
          </cell>
          <cell r="R1289" t="str">
            <v>-</v>
          </cell>
          <cell r="S1289" t="str">
            <v>Free rotation CCW</v>
          </cell>
          <cell r="T1289" t="str">
            <v>-</v>
          </cell>
          <cell r="U1289" t="str">
            <v>T</v>
          </cell>
          <cell r="V1289" t="str">
            <v>SS</v>
          </cell>
          <cell r="W1289" t="str">
            <v>-</v>
          </cell>
          <cell r="X1289" t="str">
            <v>CLP VG 220 = -15° + 40°</v>
          </cell>
          <cell r="Y1289" t="str">
            <v>KH77/T DRN132S4 /RS</v>
          </cell>
          <cell r="Z1289" t="str">
            <v>SEW</v>
          </cell>
          <cell r="AB1289" t="str">
            <v>-</v>
          </cell>
          <cell r="AF1289">
            <v>72</v>
          </cell>
          <cell r="AG1289" t="str">
            <v>DRN132S4</v>
          </cell>
          <cell r="AH1289" t="str">
            <v>KH77T-DRN132S4B0-X</v>
          </cell>
        </row>
        <row r="1290">
          <cell r="A1290" t="str">
            <v>MR001286</v>
          </cell>
          <cell r="B1290" t="str">
            <v>MR</v>
          </cell>
          <cell r="C1290">
            <v>5.5</v>
          </cell>
          <cell r="D1290">
            <v>47</v>
          </cell>
          <cell r="E1290" t="str">
            <v>K77</v>
          </cell>
          <cell r="F1290">
            <v>1110</v>
          </cell>
          <cell r="G1290">
            <v>30.89</v>
          </cell>
          <cell r="H1290">
            <v>1.4</v>
          </cell>
          <cell r="I1290" t="str">
            <v>M4A</v>
          </cell>
          <cell r="J1290" t="str">
            <v>IE3</v>
          </cell>
          <cell r="K1290">
            <v>400</v>
          </cell>
          <cell r="L1290">
            <v>50</v>
          </cell>
          <cell r="N1290">
            <v>55</v>
          </cell>
          <cell r="O1290" t="str">
            <v>F(105°C)</v>
          </cell>
          <cell r="P1290" t="str">
            <v>180°</v>
          </cell>
          <cell r="Q1290" t="str">
            <v>-</v>
          </cell>
          <cell r="R1290" t="str">
            <v>-</v>
          </cell>
          <cell r="S1290" t="str">
            <v>-</v>
          </cell>
          <cell r="T1290" t="str">
            <v>-</v>
          </cell>
          <cell r="U1290" t="str">
            <v>-</v>
          </cell>
          <cell r="V1290" t="str">
            <v>D</v>
          </cell>
          <cell r="W1290" t="str">
            <v>-</v>
          </cell>
          <cell r="X1290" t="str">
            <v>CLP VG 220 = -15° + 40°</v>
          </cell>
          <cell r="Y1290" t="str">
            <v>K77DRN132S4</v>
          </cell>
          <cell r="Z1290" t="str">
            <v>SEW</v>
          </cell>
          <cell r="AB1290" t="str">
            <v>-</v>
          </cell>
          <cell r="AF1290">
            <v>47</v>
          </cell>
          <cell r="AG1290" t="str">
            <v>DRN132S4</v>
          </cell>
          <cell r="AH1290" t="str">
            <v>K77-DRN132S4A180-X</v>
          </cell>
        </row>
        <row r="1291">
          <cell r="A1291" t="str">
            <v>MR001287</v>
          </cell>
          <cell r="B1291" t="str">
            <v>MR</v>
          </cell>
          <cell r="C1291">
            <v>1.1000000000000001</v>
          </cell>
          <cell r="D1291">
            <v>18</v>
          </cell>
          <cell r="E1291" t="str">
            <v>FA67</v>
          </cell>
          <cell r="F1291">
            <v>575</v>
          </cell>
          <cell r="G1291">
            <v>79.760000000000005</v>
          </cell>
          <cell r="H1291">
            <v>1.4</v>
          </cell>
          <cell r="I1291" t="str">
            <v>From M3 to M5 45°</v>
          </cell>
          <cell r="J1291" t="str">
            <v>IE3</v>
          </cell>
          <cell r="K1291">
            <v>400</v>
          </cell>
          <cell r="L1291">
            <v>50</v>
          </cell>
          <cell r="N1291">
            <v>55</v>
          </cell>
          <cell r="O1291" t="str">
            <v>F(105°C)</v>
          </cell>
          <cell r="P1291" t="str">
            <v>270°</v>
          </cell>
          <cell r="Q1291" t="str">
            <v>-</v>
          </cell>
          <cell r="R1291" t="str">
            <v>-</v>
          </cell>
          <cell r="S1291" t="str">
            <v>-</v>
          </cell>
          <cell r="T1291" t="str">
            <v>BE2</v>
          </cell>
          <cell r="U1291" t="str">
            <v>-</v>
          </cell>
          <cell r="V1291" t="str">
            <v>D+R</v>
          </cell>
          <cell r="W1291" t="str">
            <v>-</v>
          </cell>
          <cell r="X1291" t="str">
            <v>CLP VG 220 = -15° + 40°</v>
          </cell>
          <cell r="Y1291" t="str">
            <v>FA67DRN90S4 /BE2</v>
          </cell>
          <cell r="Z1291" t="str">
            <v>SEW</v>
          </cell>
          <cell r="AB1291" t="str">
            <v>-</v>
          </cell>
          <cell r="AF1291">
            <v>18</v>
          </cell>
          <cell r="AG1291" t="str">
            <v>DRN90S4</v>
          </cell>
          <cell r="AH1291" t="str">
            <v>FA67-DRN90S4270-X</v>
          </cell>
        </row>
        <row r="1292">
          <cell r="A1292" t="str">
            <v>MR001288</v>
          </cell>
          <cell r="B1292" t="str">
            <v>MR</v>
          </cell>
          <cell r="C1292">
            <v>0.55000000000000004</v>
          </cell>
          <cell r="D1292">
            <v>3.7</v>
          </cell>
          <cell r="E1292" t="str">
            <v>KA77R37</v>
          </cell>
          <cell r="F1292">
            <v>1280</v>
          </cell>
          <cell r="G1292">
            <v>367</v>
          </cell>
          <cell r="H1292">
            <v>1.2</v>
          </cell>
          <cell r="I1292" t="str">
            <v>M1B</v>
          </cell>
          <cell r="J1292" t="str">
            <v>IE3</v>
          </cell>
          <cell r="K1292">
            <v>400</v>
          </cell>
          <cell r="L1292">
            <v>50</v>
          </cell>
          <cell r="N1292">
            <v>55</v>
          </cell>
          <cell r="O1292" t="str">
            <v>F(105°C)</v>
          </cell>
          <cell r="P1292" t="str">
            <v>0°</v>
          </cell>
          <cell r="Q1292" t="str">
            <v>-</v>
          </cell>
          <cell r="R1292" t="str">
            <v>-</v>
          </cell>
          <cell r="S1292" t="str">
            <v>-</v>
          </cell>
          <cell r="T1292" t="str">
            <v>BEHF</v>
          </cell>
          <cell r="U1292" t="str">
            <v>T</v>
          </cell>
          <cell r="V1292" t="str">
            <v>D+R</v>
          </cell>
          <cell r="W1292" t="str">
            <v>-</v>
          </cell>
          <cell r="X1292" t="str">
            <v>CLP VG 220 = -15° + 40°</v>
          </cell>
          <cell r="Y1292" t="str">
            <v>KA77R37/T DRS71M4 /BEHF</v>
          </cell>
          <cell r="Z1292" t="str">
            <v>SEW</v>
          </cell>
          <cell r="AB1292" t="str">
            <v>-</v>
          </cell>
          <cell r="AF1292">
            <v>3.7</v>
          </cell>
          <cell r="AG1292" t="str">
            <v>DRS71M4</v>
          </cell>
          <cell r="AH1292" t="str">
            <v>KA77R37T-DRS71M4B0-X</v>
          </cell>
        </row>
        <row r="1293">
          <cell r="A1293" t="str">
            <v>MR001289</v>
          </cell>
          <cell r="B1293" t="str">
            <v>MR</v>
          </cell>
          <cell r="C1293">
            <v>5.5</v>
          </cell>
          <cell r="D1293">
            <v>573</v>
          </cell>
          <cell r="E1293" t="str">
            <v>RX67</v>
          </cell>
          <cell r="F1293">
            <v>92</v>
          </cell>
          <cell r="G1293">
            <v>2.54</v>
          </cell>
          <cell r="H1293">
            <v>1.3</v>
          </cell>
          <cell r="I1293" t="str">
            <v>M1</v>
          </cell>
          <cell r="J1293" t="str">
            <v>IE2</v>
          </cell>
          <cell r="K1293">
            <v>380</v>
          </cell>
          <cell r="L1293">
            <v>50</v>
          </cell>
          <cell r="N1293">
            <v>55</v>
          </cell>
          <cell r="O1293" t="str">
            <v>F(105°C)</v>
          </cell>
          <cell r="P1293" t="str">
            <v>270°</v>
          </cell>
          <cell r="Q1293" t="str">
            <v>TF</v>
          </cell>
          <cell r="R1293" t="str">
            <v>-</v>
          </cell>
          <cell r="S1293" t="str">
            <v>-</v>
          </cell>
          <cell r="T1293" t="str">
            <v>-</v>
          </cell>
          <cell r="U1293" t="str">
            <v>-</v>
          </cell>
          <cell r="V1293" t="str">
            <v>FC</v>
          </cell>
          <cell r="W1293" t="str">
            <v>-</v>
          </cell>
          <cell r="X1293" t="str">
            <v>CLP HC VG 220 = -20° + 60°</v>
          </cell>
          <cell r="Y1293" t="str">
            <v>RX67/II2GD EDRE132M4/3D/KCC/TF/AL</v>
          </cell>
          <cell r="Z1293" t="str">
            <v>SEW</v>
          </cell>
          <cell r="AB1293" t="str">
            <v>ATEX22</v>
          </cell>
          <cell r="AF1293">
            <v>573</v>
          </cell>
          <cell r="AG1293" t="str">
            <v>EDRE132M4</v>
          </cell>
          <cell r="AH1293" t="str">
            <v>RX67-EDRE132M4270-X</v>
          </cell>
        </row>
        <row r="1294">
          <cell r="A1294" t="str">
            <v>MR001290</v>
          </cell>
          <cell r="B1294" t="str">
            <v>MR</v>
          </cell>
          <cell r="C1294">
            <v>15</v>
          </cell>
          <cell r="D1294">
            <v>59</v>
          </cell>
          <cell r="E1294" t="str">
            <v>R97</v>
          </cell>
          <cell r="F1294">
            <v>2430</v>
          </cell>
          <cell r="G1294">
            <v>25.03</v>
          </cell>
          <cell r="H1294">
            <v>1.1499999999999999</v>
          </cell>
          <cell r="I1294" t="str">
            <v>M5</v>
          </cell>
          <cell r="J1294" t="str">
            <v>IE3</v>
          </cell>
          <cell r="K1294">
            <v>400</v>
          </cell>
          <cell r="L1294">
            <v>50</v>
          </cell>
          <cell r="M1294">
            <v>29</v>
          </cell>
          <cell r="N1294">
            <v>55</v>
          </cell>
          <cell r="O1294" t="str">
            <v>F(105°C)</v>
          </cell>
          <cell r="P1294" t="str">
            <v>270°</v>
          </cell>
          <cell r="Q1294" t="str">
            <v>TF</v>
          </cell>
          <cell r="R1294" t="str">
            <v>V(VE)</v>
          </cell>
          <cell r="S1294" t="str">
            <v>-</v>
          </cell>
          <cell r="T1294" t="str">
            <v>-</v>
          </cell>
          <cell r="U1294" t="str">
            <v>-</v>
          </cell>
          <cell r="V1294" t="str">
            <v>FC</v>
          </cell>
          <cell r="W1294" t="str">
            <v>-</v>
          </cell>
          <cell r="X1294" t="str">
            <v>CLP VG 220 = -15° + 40°</v>
          </cell>
          <cell r="Y1294" t="str">
            <v>R97DRN160L4 /TF/V</v>
          </cell>
          <cell r="Z1294" t="str">
            <v>SEW</v>
          </cell>
          <cell r="AB1294" t="str">
            <v>-</v>
          </cell>
          <cell r="AF1294">
            <v>59</v>
          </cell>
          <cell r="AG1294" t="str">
            <v>DRN160L4</v>
          </cell>
          <cell r="AH1294" t="str">
            <v>R97-DRN160L4270-X#</v>
          </cell>
        </row>
        <row r="1295">
          <cell r="A1295" t="str">
            <v>MR001291</v>
          </cell>
          <cell r="B1295" t="str">
            <v>MR</v>
          </cell>
          <cell r="C1295">
            <v>5.5</v>
          </cell>
          <cell r="D1295">
            <v>14</v>
          </cell>
          <cell r="E1295" t="str">
            <v>KH97</v>
          </cell>
          <cell r="F1295">
            <v>3770</v>
          </cell>
          <cell r="G1295">
            <v>105.15</v>
          </cell>
          <cell r="H1295">
            <v>1.1499999999999999</v>
          </cell>
          <cell r="I1295" t="str">
            <v>From M1A to M2A - 20°</v>
          </cell>
          <cell r="J1295" t="str">
            <v>IE3</v>
          </cell>
          <cell r="K1295" t="str">
            <v>240/415</v>
          </cell>
          <cell r="L1295">
            <v>50</v>
          </cell>
          <cell r="M1295" t="str">
            <v>17,4/10,1</v>
          </cell>
          <cell r="N1295">
            <v>55</v>
          </cell>
          <cell r="O1295" t="str">
            <v>F(105°C)</v>
          </cell>
          <cell r="P1295" t="str">
            <v>270°</v>
          </cell>
          <cell r="Q1295" t="str">
            <v>TF</v>
          </cell>
          <cell r="R1295" t="str">
            <v>-</v>
          </cell>
          <cell r="S1295" t="str">
            <v>-</v>
          </cell>
          <cell r="T1295" t="str">
            <v>-</v>
          </cell>
          <cell r="U1295" t="str">
            <v>-</v>
          </cell>
          <cell r="V1295" t="str">
            <v>SS</v>
          </cell>
          <cell r="W1295" t="str">
            <v>-</v>
          </cell>
          <cell r="X1295" t="str">
            <v>CLP 220 (-15/+40°C)</v>
          </cell>
          <cell r="Y1295" t="str">
            <v>KH97DRN132S4 /TF</v>
          </cell>
          <cell r="Z1295" t="str">
            <v>SEW</v>
          </cell>
          <cell r="AB1295" t="str">
            <v>-</v>
          </cell>
          <cell r="AF1295">
            <v>14</v>
          </cell>
          <cell r="AG1295" t="str">
            <v>DRN132S4</v>
          </cell>
          <cell r="AH1295" t="str">
            <v>KH97-DRN132S4A270-X</v>
          </cell>
        </row>
        <row r="1296">
          <cell r="A1296" t="str">
            <v>MR001292</v>
          </cell>
          <cell r="B1296" t="str">
            <v>MR</v>
          </cell>
          <cell r="C1296">
            <v>0.75</v>
          </cell>
          <cell r="D1296">
            <v>137</v>
          </cell>
          <cell r="E1296" t="str">
            <v>KA37</v>
          </cell>
          <cell r="F1296">
            <v>52</v>
          </cell>
          <cell r="G1296">
            <v>10.49</v>
          </cell>
          <cell r="H1296">
            <v>3.1</v>
          </cell>
          <cell r="I1296" t="str">
            <v>M3A</v>
          </cell>
          <cell r="J1296" t="str">
            <v>IE3</v>
          </cell>
          <cell r="K1296">
            <v>440</v>
          </cell>
          <cell r="L1296">
            <v>60</v>
          </cell>
          <cell r="M1296">
            <v>1.5909090909090908</v>
          </cell>
          <cell r="N1296">
            <v>55</v>
          </cell>
          <cell r="O1296" t="str">
            <v>F(105°C)</v>
          </cell>
          <cell r="P1296" t="str">
            <v>270°</v>
          </cell>
          <cell r="Q1296" t="str">
            <v>-</v>
          </cell>
          <cell r="R1296" t="str">
            <v>-</v>
          </cell>
          <cell r="S1296" t="str">
            <v>-</v>
          </cell>
          <cell r="T1296" t="str">
            <v>-</v>
          </cell>
          <cell r="U1296" t="str">
            <v>T</v>
          </cell>
          <cell r="V1296" t="str">
            <v>D</v>
          </cell>
          <cell r="W1296" t="str">
            <v>-</v>
          </cell>
          <cell r="X1296" t="str">
            <v>CLP VG 220 = -15° + 40°</v>
          </cell>
          <cell r="Y1296" t="str">
            <v>KA37/T DRN80M4</v>
          </cell>
          <cell r="Z1296" t="str">
            <v>SEW</v>
          </cell>
          <cell r="AB1296" t="str">
            <v>-</v>
          </cell>
          <cell r="AF1296">
            <v>164.4</v>
          </cell>
          <cell r="AG1296" t="str">
            <v>DRN80M4</v>
          </cell>
          <cell r="AH1296" t="str">
            <v>KA37T-DRN80M4A270-X</v>
          </cell>
        </row>
        <row r="1297">
          <cell r="A1297" t="str">
            <v>MR001293</v>
          </cell>
          <cell r="B1297" t="str">
            <v>MR</v>
          </cell>
          <cell r="C1297">
            <v>15</v>
          </cell>
          <cell r="D1297">
            <v>20</v>
          </cell>
          <cell r="E1297" t="str">
            <v>KH107</v>
          </cell>
          <cell r="F1297">
            <v>7120</v>
          </cell>
          <cell r="G1297">
            <v>73.3</v>
          </cell>
          <cell r="H1297">
            <v>1.1000000000000001</v>
          </cell>
          <cell r="I1297" t="str">
            <v>M4A</v>
          </cell>
          <cell r="J1297" t="str">
            <v>IE3</v>
          </cell>
          <cell r="K1297">
            <v>440</v>
          </cell>
          <cell r="L1297">
            <v>60</v>
          </cell>
          <cell r="M1297">
            <v>26.363636363636363</v>
          </cell>
          <cell r="N1297">
            <v>55</v>
          </cell>
          <cell r="O1297" t="str">
            <v>F(105°C)</v>
          </cell>
          <cell r="P1297" t="str">
            <v>270°</v>
          </cell>
          <cell r="Q1297" t="str">
            <v>TF</v>
          </cell>
          <cell r="R1297" t="str">
            <v>V(VE)</v>
          </cell>
          <cell r="S1297" t="str">
            <v>-</v>
          </cell>
          <cell r="T1297" t="str">
            <v>-</v>
          </cell>
          <cell r="U1297" t="str">
            <v>T</v>
          </cell>
          <cell r="V1297" t="str">
            <v>FC+R</v>
          </cell>
          <cell r="W1297" t="str">
            <v>-</v>
          </cell>
          <cell r="X1297" t="str">
            <v>CLP VG 220 = -15° + 40°</v>
          </cell>
          <cell r="Y1297" t="str">
            <v>KH107/T DRN160L4 /TF/V</v>
          </cell>
          <cell r="Z1297" t="str">
            <v>SEW</v>
          </cell>
          <cell r="AB1297" t="str">
            <v>-</v>
          </cell>
          <cell r="AF1297">
            <v>24</v>
          </cell>
          <cell r="AG1297" t="str">
            <v>DRN160L4</v>
          </cell>
          <cell r="AH1297" t="str">
            <v>KH107T-DRN160L4A270-X#</v>
          </cell>
        </row>
        <row r="1298">
          <cell r="A1298" t="str">
            <v>MR001294</v>
          </cell>
          <cell r="B1298" t="str">
            <v>MR</v>
          </cell>
          <cell r="C1298">
            <v>22</v>
          </cell>
          <cell r="D1298">
            <v>26</v>
          </cell>
          <cell r="E1298" t="str">
            <v>KH107</v>
          </cell>
          <cell r="F1298">
            <v>8130</v>
          </cell>
          <cell r="G1298">
            <v>57.17</v>
          </cell>
          <cell r="H1298">
            <v>1</v>
          </cell>
          <cell r="I1298" t="str">
            <v>M4A</v>
          </cell>
          <cell r="J1298" t="str">
            <v>IE3</v>
          </cell>
          <cell r="K1298">
            <v>440</v>
          </cell>
          <cell r="L1298">
            <v>60</v>
          </cell>
          <cell r="M1298">
            <v>35</v>
          </cell>
          <cell r="N1298">
            <v>55</v>
          </cell>
          <cell r="O1298" t="str">
            <v>F(105°C)</v>
          </cell>
          <cell r="P1298" t="str">
            <v>270°</v>
          </cell>
          <cell r="Q1298" t="str">
            <v>TF</v>
          </cell>
          <cell r="R1298" t="str">
            <v>V(VE)</v>
          </cell>
          <cell r="S1298" t="str">
            <v>-</v>
          </cell>
          <cell r="T1298" t="str">
            <v>-</v>
          </cell>
          <cell r="U1298" t="str">
            <v>T</v>
          </cell>
          <cell r="V1298" t="str">
            <v>FC</v>
          </cell>
          <cell r="W1298" t="str">
            <v>-</v>
          </cell>
          <cell r="X1298" t="str">
            <v>CLP VG 220 = -15° + 40°</v>
          </cell>
          <cell r="Y1298" t="str">
            <v>KH107/T DRN180L4 /TF/V</v>
          </cell>
          <cell r="Z1298" t="str">
            <v>SEW</v>
          </cell>
          <cell r="AB1298" t="str">
            <v>-</v>
          </cell>
          <cell r="AF1298">
            <v>31.2</v>
          </cell>
          <cell r="AG1298" t="str">
            <v>DRN180L4</v>
          </cell>
          <cell r="AH1298" t="str">
            <v>KH107T-DRN180L4A270-X#</v>
          </cell>
        </row>
        <row r="1299">
          <cell r="A1299" t="str">
            <v>MR001295</v>
          </cell>
          <cell r="B1299" t="str">
            <v>MR</v>
          </cell>
          <cell r="C1299">
            <v>0.75</v>
          </cell>
          <cell r="D1299">
            <v>162</v>
          </cell>
          <cell r="E1299" t="str">
            <v>KA37</v>
          </cell>
          <cell r="F1299">
            <v>44</v>
          </cell>
          <cell r="G1299">
            <v>8.91</v>
          </cell>
          <cell r="H1299">
            <v>3.6</v>
          </cell>
          <cell r="I1299" t="str">
            <v>From M1B to M2B - 10°</v>
          </cell>
          <cell r="J1299" t="str">
            <v>IE3</v>
          </cell>
          <cell r="K1299">
            <v>400</v>
          </cell>
          <cell r="L1299">
            <v>50</v>
          </cell>
          <cell r="M1299">
            <v>1.75</v>
          </cell>
          <cell r="N1299">
            <v>55</v>
          </cell>
          <cell r="O1299" t="str">
            <v>F(105°C)</v>
          </cell>
          <cell r="P1299" t="str">
            <v>180°</v>
          </cell>
          <cell r="Q1299" t="str">
            <v>-</v>
          </cell>
          <cell r="R1299" t="str">
            <v>-</v>
          </cell>
          <cell r="S1299" t="str">
            <v>-</v>
          </cell>
          <cell r="T1299" t="str">
            <v>-</v>
          </cell>
          <cell r="U1299" t="str">
            <v>T</v>
          </cell>
          <cell r="V1299" t="str">
            <v>D</v>
          </cell>
          <cell r="W1299" t="str">
            <v>-</v>
          </cell>
          <cell r="X1299" t="str">
            <v>CLP VG 220 = -15° + 40°</v>
          </cell>
          <cell r="Y1299" t="str">
            <v>KA37/T DRN80M4</v>
          </cell>
          <cell r="Z1299" t="str">
            <v>SEW</v>
          </cell>
          <cell r="AB1299" t="str">
            <v>-</v>
          </cell>
          <cell r="AF1299">
            <v>162</v>
          </cell>
          <cell r="AG1299" t="str">
            <v>DRN80M4</v>
          </cell>
          <cell r="AH1299" t="str">
            <v>KA37T-DRN80M4B180-X</v>
          </cell>
        </row>
        <row r="1300">
          <cell r="A1300" t="str">
            <v>MR001296</v>
          </cell>
          <cell r="B1300" t="str">
            <v>MR</v>
          </cell>
          <cell r="C1300">
            <v>15</v>
          </cell>
          <cell r="D1300">
            <v>25</v>
          </cell>
          <cell r="E1300" t="str">
            <v>R137</v>
          </cell>
          <cell r="F1300">
            <v>5740</v>
          </cell>
          <cell r="G1300">
            <v>59.17</v>
          </cell>
          <cell r="H1300">
            <v>1.4</v>
          </cell>
          <cell r="I1300" t="str">
            <v>From M1 to M2 - 15°</v>
          </cell>
          <cell r="J1300" t="str">
            <v>IE3</v>
          </cell>
          <cell r="K1300">
            <v>440</v>
          </cell>
          <cell r="L1300">
            <v>60</v>
          </cell>
          <cell r="M1300">
            <v>26.363636363636363</v>
          </cell>
          <cell r="N1300">
            <v>55</v>
          </cell>
          <cell r="O1300" t="str">
            <v>F(105°C)</v>
          </cell>
          <cell r="P1300" t="str">
            <v>0°</v>
          </cell>
          <cell r="Q1300" t="str">
            <v>TF</v>
          </cell>
          <cell r="R1300" t="str">
            <v>V(VE)</v>
          </cell>
          <cell r="S1300" t="str">
            <v>-</v>
          </cell>
          <cell r="T1300" t="str">
            <v>-</v>
          </cell>
          <cell r="U1300" t="str">
            <v>-</v>
          </cell>
          <cell r="V1300" t="str">
            <v>FC</v>
          </cell>
          <cell r="W1300" t="str">
            <v>-</v>
          </cell>
          <cell r="X1300" t="str">
            <v>CLP VG 220 = -15° + 40°</v>
          </cell>
          <cell r="Y1300" t="str">
            <v>R137DRN160L4 /TF/V</v>
          </cell>
          <cell r="Z1300" t="str">
            <v>SEW</v>
          </cell>
          <cell r="AB1300" t="str">
            <v>-</v>
          </cell>
          <cell r="AF1300">
            <v>30</v>
          </cell>
          <cell r="AG1300" t="str">
            <v>DRN160L4</v>
          </cell>
          <cell r="AH1300" t="str">
            <v>R137-DRN160L40-X#</v>
          </cell>
        </row>
        <row r="1301">
          <cell r="A1301" t="str">
            <v>MR001297</v>
          </cell>
          <cell r="B1301" t="str">
            <v>MR</v>
          </cell>
          <cell r="C1301">
            <v>30</v>
          </cell>
          <cell r="D1301">
            <v>101</v>
          </cell>
          <cell r="E1301" t="str">
            <v>KH107</v>
          </cell>
          <cell r="F1301">
            <v>2830</v>
          </cell>
          <cell r="G1301">
            <v>14.64</v>
          </cell>
          <cell r="H1301">
            <v>2.4</v>
          </cell>
          <cell r="I1301" t="str">
            <v>From M4B to M1B - 10°</v>
          </cell>
          <cell r="J1301" t="str">
            <v>IE3</v>
          </cell>
          <cell r="K1301">
            <v>440</v>
          </cell>
          <cell r="L1301">
            <v>60</v>
          </cell>
          <cell r="M1301">
            <v>50.909090909090907</v>
          </cell>
          <cell r="N1301">
            <v>55</v>
          </cell>
          <cell r="O1301" t="str">
            <v>F(105°C)</v>
          </cell>
          <cell r="P1301" t="str">
            <v>270°</v>
          </cell>
          <cell r="Q1301" t="str">
            <v>TF</v>
          </cell>
          <cell r="R1301" t="str">
            <v>V(VE)</v>
          </cell>
          <cell r="S1301" t="str">
            <v>Free rotation CW</v>
          </cell>
          <cell r="T1301" t="str">
            <v>-</v>
          </cell>
          <cell r="U1301" t="str">
            <v>T</v>
          </cell>
          <cell r="V1301" t="str">
            <v>FC</v>
          </cell>
          <cell r="W1301" t="str">
            <v>-</v>
          </cell>
          <cell r="X1301" t="str">
            <v>CLP VG 220 = -15° + 40°</v>
          </cell>
          <cell r="Y1301" t="str">
            <v>KH107/T DRN200L4 /RS /TF/V</v>
          </cell>
          <cell r="Z1301" t="str">
            <v>SEW</v>
          </cell>
          <cell r="AB1301" t="str">
            <v>-</v>
          </cell>
          <cell r="AF1301">
            <v>121.2</v>
          </cell>
          <cell r="AG1301" t="str">
            <v>DRN200L4</v>
          </cell>
          <cell r="AH1301" t="str">
            <v>KH107T-DRN200L4B270-X#</v>
          </cell>
        </row>
        <row r="1302">
          <cell r="A1302" t="str">
            <v>MR001298</v>
          </cell>
          <cell r="B1302" t="str">
            <v>MR</v>
          </cell>
          <cell r="C1302">
            <v>0.75</v>
          </cell>
          <cell r="D1302">
            <v>139</v>
          </cell>
          <cell r="E1302" t="str">
            <v>KA37</v>
          </cell>
          <cell r="F1302">
            <v>43</v>
          </cell>
          <cell r="G1302">
            <v>10.49</v>
          </cell>
          <cell r="H1302">
            <v>3.7</v>
          </cell>
          <cell r="I1302" t="str">
            <v>From M1A to M2A - 10°</v>
          </cell>
          <cell r="J1302" t="str">
            <v>IE3</v>
          </cell>
          <cell r="K1302">
            <v>440</v>
          </cell>
          <cell r="L1302">
            <v>60</v>
          </cell>
          <cell r="M1302">
            <v>1.63</v>
          </cell>
          <cell r="N1302">
            <v>55</v>
          </cell>
          <cell r="O1302" t="str">
            <v>F(105°C)</v>
          </cell>
          <cell r="P1302" t="str">
            <v>270°</v>
          </cell>
          <cell r="Q1302" t="str">
            <v>-</v>
          </cell>
          <cell r="R1302" t="str">
            <v>-</v>
          </cell>
          <cell r="S1302" t="str">
            <v>-</v>
          </cell>
          <cell r="T1302" t="str">
            <v>-</v>
          </cell>
          <cell r="U1302" t="str">
            <v>T</v>
          </cell>
          <cell r="V1302" t="str">
            <v>D</v>
          </cell>
          <cell r="W1302" t="str">
            <v>-</v>
          </cell>
          <cell r="X1302" t="str">
            <v>CLP VG 220 = -15° + 40°</v>
          </cell>
          <cell r="Y1302" t="str">
            <v>KA37/T DRN80M4</v>
          </cell>
          <cell r="Z1302" t="str">
            <v>SEW</v>
          </cell>
          <cell r="AB1302" t="str">
            <v>-</v>
          </cell>
          <cell r="AF1302">
            <v>166.8</v>
          </cell>
          <cell r="AG1302" t="str">
            <v>DRN80M4</v>
          </cell>
          <cell r="AH1302" t="str">
            <v>KA37T-DRN80M4A270-X</v>
          </cell>
        </row>
        <row r="1303">
          <cell r="A1303" t="str">
            <v>MR001299</v>
          </cell>
          <cell r="B1303" t="str">
            <v>MR</v>
          </cell>
          <cell r="C1303">
            <v>0.75</v>
          </cell>
          <cell r="D1303">
            <v>139</v>
          </cell>
          <cell r="E1303" t="str">
            <v>KA37</v>
          </cell>
          <cell r="F1303">
            <v>43</v>
          </cell>
          <cell r="G1303">
            <v>10.49</v>
          </cell>
          <cell r="H1303">
            <v>3.7</v>
          </cell>
          <cell r="I1303" t="str">
            <v>From M1B to M2B - 20°</v>
          </cell>
          <cell r="J1303" t="str">
            <v>IE3</v>
          </cell>
          <cell r="K1303">
            <v>440</v>
          </cell>
          <cell r="L1303">
            <v>60</v>
          </cell>
          <cell r="M1303">
            <v>1.63</v>
          </cell>
          <cell r="N1303">
            <v>55</v>
          </cell>
          <cell r="O1303" t="str">
            <v>F(105°C)</v>
          </cell>
          <cell r="P1303" t="str">
            <v>270°</v>
          </cell>
          <cell r="Q1303" t="str">
            <v>-</v>
          </cell>
          <cell r="R1303" t="str">
            <v>-</v>
          </cell>
          <cell r="S1303" t="str">
            <v>-</v>
          </cell>
          <cell r="T1303" t="str">
            <v>-</v>
          </cell>
          <cell r="U1303" t="str">
            <v>T</v>
          </cell>
          <cell r="V1303" t="str">
            <v>D</v>
          </cell>
          <cell r="W1303" t="str">
            <v>-</v>
          </cell>
          <cell r="X1303" t="str">
            <v>CLP VG 220 = -15° + 40°</v>
          </cell>
          <cell r="Y1303" t="str">
            <v>KA37/T DRN80M4</v>
          </cell>
          <cell r="Z1303" t="str">
            <v>SEW</v>
          </cell>
          <cell r="AB1303" t="str">
            <v>-</v>
          </cell>
          <cell r="AF1303">
            <v>166.8</v>
          </cell>
          <cell r="AG1303" t="str">
            <v>DRN80M4</v>
          </cell>
          <cell r="AH1303" t="str">
            <v>KA37T-DRN80M4B270-X</v>
          </cell>
        </row>
        <row r="1304">
          <cell r="A1304" t="str">
            <v>MR001300</v>
          </cell>
          <cell r="B1304" t="str">
            <v>MR</v>
          </cell>
          <cell r="C1304">
            <v>0.75</v>
          </cell>
          <cell r="D1304">
            <v>139</v>
          </cell>
          <cell r="E1304" t="str">
            <v>KA37</v>
          </cell>
          <cell r="F1304">
            <v>43</v>
          </cell>
          <cell r="G1304">
            <v>10.49</v>
          </cell>
          <cell r="H1304">
            <v>3.7</v>
          </cell>
          <cell r="I1304" t="str">
            <v>From M1A to M2A - 20°</v>
          </cell>
          <cell r="J1304" t="str">
            <v>IE3</v>
          </cell>
          <cell r="K1304">
            <v>440</v>
          </cell>
          <cell r="L1304">
            <v>60</v>
          </cell>
          <cell r="M1304">
            <v>1.63</v>
          </cell>
          <cell r="N1304">
            <v>55</v>
          </cell>
          <cell r="O1304" t="str">
            <v>F(105°C)</v>
          </cell>
          <cell r="P1304" t="str">
            <v>270°</v>
          </cell>
          <cell r="Q1304" t="str">
            <v>-</v>
          </cell>
          <cell r="R1304" t="str">
            <v>-</v>
          </cell>
          <cell r="S1304" t="str">
            <v>-</v>
          </cell>
          <cell r="T1304" t="str">
            <v>-</v>
          </cell>
          <cell r="U1304" t="str">
            <v>T</v>
          </cell>
          <cell r="V1304" t="str">
            <v>D</v>
          </cell>
          <cell r="W1304" t="str">
            <v>-</v>
          </cell>
          <cell r="X1304" t="str">
            <v>CLP VG 220 = -15° + 40°</v>
          </cell>
          <cell r="Y1304" t="str">
            <v>KA37/T DRN80M4</v>
          </cell>
          <cell r="Z1304" t="str">
            <v>SEW</v>
          </cell>
          <cell r="AB1304" t="str">
            <v>-</v>
          </cell>
          <cell r="AF1304">
            <v>166.8</v>
          </cell>
          <cell r="AG1304" t="str">
            <v>DRN80M4</v>
          </cell>
          <cell r="AH1304" t="str">
            <v>KA37T-DRN80M4A270-X</v>
          </cell>
        </row>
        <row r="1305">
          <cell r="A1305" t="str">
            <v>MR001301</v>
          </cell>
          <cell r="B1305" t="str">
            <v>MR</v>
          </cell>
          <cell r="C1305">
            <v>0.75</v>
          </cell>
          <cell r="D1305">
            <v>139</v>
          </cell>
          <cell r="E1305" t="str">
            <v>KA37</v>
          </cell>
          <cell r="F1305">
            <v>43</v>
          </cell>
          <cell r="G1305">
            <v>10.49</v>
          </cell>
          <cell r="H1305">
            <v>3.7</v>
          </cell>
          <cell r="I1305" t="str">
            <v>From M3B to M4B - 10°</v>
          </cell>
          <cell r="J1305" t="str">
            <v>IE3</v>
          </cell>
          <cell r="K1305">
            <v>440</v>
          </cell>
          <cell r="L1305">
            <v>60</v>
          </cell>
          <cell r="M1305">
            <v>1.63</v>
          </cell>
          <cell r="N1305">
            <v>55</v>
          </cell>
          <cell r="O1305" t="str">
            <v>F(105°C)</v>
          </cell>
          <cell r="P1305" t="str">
            <v>270°</v>
          </cell>
          <cell r="Q1305" t="str">
            <v>-</v>
          </cell>
          <cell r="R1305" t="str">
            <v>-</v>
          </cell>
          <cell r="S1305" t="str">
            <v>-</v>
          </cell>
          <cell r="T1305" t="str">
            <v>-</v>
          </cell>
          <cell r="U1305" t="str">
            <v>T</v>
          </cell>
          <cell r="V1305" t="str">
            <v>D</v>
          </cell>
          <cell r="W1305" t="str">
            <v>-</v>
          </cell>
          <cell r="X1305" t="str">
            <v>CLP VG 220 = -15° + 40°</v>
          </cell>
          <cell r="Y1305" t="str">
            <v>KA37/T DRN80M4</v>
          </cell>
          <cell r="Z1305" t="str">
            <v>SEW</v>
          </cell>
          <cell r="AB1305" t="str">
            <v>-</v>
          </cell>
          <cell r="AF1305">
            <v>166.8</v>
          </cell>
          <cell r="AG1305" t="str">
            <v>DRN80M4</v>
          </cell>
          <cell r="AH1305" t="str">
            <v>KA37T-DRN80M4B270-X</v>
          </cell>
        </row>
        <row r="1306">
          <cell r="A1306" t="str">
            <v>MR001302</v>
          </cell>
          <cell r="B1306" t="str">
            <v>MR</v>
          </cell>
          <cell r="C1306">
            <v>30</v>
          </cell>
          <cell r="D1306">
            <v>101</v>
          </cell>
          <cell r="E1306" t="str">
            <v>KH107</v>
          </cell>
          <cell r="F1306">
            <v>2830</v>
          </cell>
          <cell r="G1306">
            <v>14.64</v>
          </cell>
          <cell r="H1306">
            <v>2.4</v>
          </cell>
          <cell r="I1306" t="str">
            <v>From M4A to M1A - 10°</v>
          </cell>
          <cell r="J1306" t="str">
            <v>IE3</v>
          </cell>
          <cell r="K1306">
            <v>440</v>
          </cell>
          <cell r="L1306">
            <v>60</v>
          </cell>
          <cell r="M1306">
            <v>50.909090909090907</v>
          </cell>
          <cell r="N1306">
            <v>55</v>
          </cell>
          <cell r="O1306" t="str">
            <v>F(105°C)</v>
          </cell>
          <cell r="P1306" t="str">
            <v>270°</v>
          </cell>
          <cell r="Q1306" t="str">
            <v>TF</v>
          </cell>
          <cell r="R1306" t="str">
            <v>V(VE)</v>
          </cell>
          <cell r="S1306" t="str">
            <v>Free rotation CCW</v>
          </cell>
          <cell r="T1306" t="str">
            <v>-</v>
          </cell>
          <cell r="U1306" t="str">
            <v>T</v>
          </cell>
          <cell r="V1306" t="str">
            <v>FC</v>
          </cell>
          <cell r="W1306" t="str">
            <v>-</v>
          </cell>
          <cell r="X1306" t="str">
            <v>CLP VG 220 = -15° + 40°</v>
          </cell>
          <cell r="Y1306" t="str">
            <v>KH107/T DRN200L4 /RS /TF/V</v>
          </cell>
          <cell r="Z1306" t="str">
            <v>SEW</v>
          </cell>
          <cell r="AB1306" t="str">
            <v>-</v>
          </cell>
          <cell r="AF1306">
            <v>121.2</v>
          </cell>
          <cell r="AG1306" t="str">
            <v>DRN200L4</v>
          </cell>
          <cell r="AH1306" t="str">
            <v>KH107T-DRN200L4A270-X#</v>
          </cell>
        </row>
        <row r="1307">
          <cell r="A1307" t="str">
            <v>MR001303</v>
          </cell>
          <cell r="B1307" t="str">
            <v>MR</v>
          </cell>
          <cell r="C1307">
            <v>18.5</v>
          </cell>
          <cell r="D1307">
            <v>16</v>
          </cell>
          <cell r="E1307" t="str">
            <v>KH127</v>
          </cell>
          <cell r="F1307">
            <v>10700</v>
          </cell>
          <cell r="G1307">
            <v>89.89</v>
          </cell>
          <cell r="H1307">
            <v>1.2</v>
          </cell>
          <cell r="I1307" t="str">
            <v>M4A</v>
          </cell>
          <cell r="J1307" t="str">
            <v>IE3</v>
          </cell>
          <cell r="K1307">
            <v>440</v>
          </cell>
          <cell r="L1307">
            <v>60</v>
          </cell>
          <cell r="M1307">
            <v>30.454545454545453</v>
          </cell>
          <cell r="N1307">
            <v>55</v>
          </cell>
          <cell r="O1307" t="str">
            <v>F(105°C)</v>
          </cell>
          <cell r="P1307" t="str">
            <v>270°</v>
          </cell>
          <cell r="Q1307" t="str">
            <v>TF</v>
          </cell>
          <cell r="R1307" t="str">
            <v>V(VE)</v>
          </cell>
          <cell r="S1307" t="str">
            <v>-</v>
          </cell>
          <cell r="T1307" t="str">
            <v>-</v>
          </cell>
          <cell r="U1307" t="str">
            <v>-</v>
          </cell>
          <cell r="V1307" t="str">
            <v>FC</v>
          </cell>
          <cell r="W1307" t="str">
            <v>-</v>
          </cell>
          <cell r="X1307" t="str">
            <v>CLP VG 220 = -15° + 40°</v>
          </cell>
          <cell r="Y1307" t="str">
            <v>KH127DRN180M4 /TF/V</v>
          </cell>
          <cell r="Z1307" t="str">
            <v>SEW</v>
          </cell>
          <cell r="AB1307" t="str">
            <v>-</v>
          </cell>
          <cell r="AF1307">
            <v>19.2</v>
          </cell>
          <cell r="AG1307" t="str">
            <v>DRN180M4</v>
          </cell>
          <cell r="AH1307" t="str">
            <v>KH127-DRN180M4A270-X#</v>
          </cell>
        </row>
        <row r="1308">
          <cell r="A1308" t="str">
            <v>MR001304</v>
          </cell>
          <cell r="B1308" t="str">
            <v>MR</v>
          </cell>
          <cell r="C1308">
            <v>18.5</v>
          </cell>
          <cell r="D1308">
            <v>16</v>
          </cell>
          <cell r="E1308" t="str">
            <v>KH127</v>
          </cell>
          <cell r="F1308">
            <v>10700</v>
          </cell>
          <cell r="G1308">
            <v>89.89</v>
          </cell>
          <cell r="H1308">
            <v>1.2</v>
          </cell>
          <cell r="I1308" t="str">
            <v>M4B</v>
          </cell>
          <cell r="J1308" t="str">
            <v>IE3</v>
          </cell>
          <cell r="K1308">
            <v>440</v>
          </cell>
          <cell r="L1308">
            <v>60</v>
          </cell>
          <cell r="M1308">
            <v>30.454545454545453</v>
          </cell>
          <cell r="N1308">
            <v>55</v>
          </cell>
          <cell r="O1308" t="str">
            <v>F(105°C)</v>
          </cell>
          <cell r="P1308" t="str">
            <v>270°</v>
          </cell>
          <cell r="Q1308" t="str">
            <v>TF</v>
          </cell>
          <cell r="R1308" t="str">
            <v>V(VE)</v>
          </cell>
          <cell r="S1308" t="str">
            <v>-</v>
          </cell>
          <cell r="T1308" t="str">
            <v>-</v>
          </cell>
          <cell r="U1308" t="str">
            <v>-</v>
          </cell>
          <cell r="V1308" t="str">
            <v>FC</v>
          </cell>
          <cell r="W1308" t="str">
            <v>-</v>
          </cell>
          <cell r="X1308" t="str">
            <v>CLP VG 220 = -15° + 40°</v>
          </cell>
          <cell r="Y1308" t="str">
            <v>KH127DRN180M4 /TF/V</v>
          </cell>
          <cell r="Z1308" t="str">
            <v>SEW</v>
          </cell>
          <cell r="AB1308" t="str">
            <v>-</v>
          </cell>
          <cell r="AF1308">
            <v>19.2</v>
          </cell>
          <cell r="AG1308" t="str">
            <v>DRN180M4</v>
          </cell>
          <cell r="AH1308" t="str">
            <v>KH127-DRN180M4B270-X#</v>
          </cell>
        </row>
        <row r="1309">
          <cell r="A1309" t="str">
            <v>MR001305</v>
          </cell>
          <cell r="B1309" t="str">
            <v>MR</v>
          </cell>
          <cell r="C1309">
            <v>18.5</v>
          </cell>
          <cell r="D1309">
            <v>59</v>
          </cell>
          <cell r="E1309" t="str">
            <v>R107</v>
          </cell>
          <cell r="F1309">
            <v>2970</v>
          </cell>
          <cell r="G1309">
            <v>24.9</v>
          </cell>
          <cell r="H1309">
            <v>1.45</v>
          </cell>
          <cell r="I1309" t="str">
            <v>M1</v>
          </cell>
          <cell r="J1309" t="str">
            <v>IE3</v>
          </cell>
          <cell r="K1309">
            <v>440</v>
          </cell>
          <cell r="L1309">
            <v>60</v>
          </cell>
          <cell r="M1309">
            <v>30.454545454545453</v>
          </cell>
          <cell r="N1309">
            <v>55</v>
          </cell>
          <cell r="O1309" t="str">
            <v>F(105°C)</v>
          </cell>
          <cell r="P1309" t="str">
            <v>270°</v>
          </cell>
          <cell r="Q1309" t="str">
            <v>-</v>
          </cell>
          <cell r="R1309" t="str">
            <v>-</v>
          </cell>
          <cell r="S1309" t="str">
            <v>-</v>
          </cell>
          <cell r="T1309" t="str">
            <v>-</v>
          </cell>
          <cell r="U1309" t="str">
            <v>-</v>
          </cell>
          <cell r="V1309" t="str">
            <v>D</v>
          </cell>
          <cell r="W1309" t="str">
            <v>-</v>
          </cell>
          <cell r="X1309" t="str">
            <v>CLP VG 220 = -15° + 40°</v>
          </cell>
          <cell r="Y1309" t="str">
            <v>R107DRN180M4</v>
          </cell>
          <cell r="Z1309" t="str">
            <v>SEW</v>
          </cell>
          <cell r="AB1309" t="str">
            <v>-</v>
          </cell>
          <cell r="AF1309">
            <v>70.8</v>
          </cell>
          <cell r="AG1309" t="str">
            <v>DRN180M4</v>
          </cell>
          <cell r="AH1309" t="str">
            <v>R107-DRN180M4270-X</v>
          </cell>
        </row>
        <row r="1310">
          <cell r="A1310" t="str">
            <v>MR001306</v>
          </cell>
          <cell r="B1310" t="str">
            <v>MR</v>
          </cell>
          <cell r="C1310">
            <v>22</v>
          </cell>
          <cell r="D1310">
            <v>22</v>
          </cell>
          <cell r="E1310" t="str">
            <v>R147</v>
          </cell>
          <cell r="F1310">
            <v>9520</v>
          </cell>
          <cell r="G1310">
            <v>66.989999999999995</v>
          </cell>
          <cell r="H1310">
            <v>1.35</v>
          </cell>
          <cell r="I1310" t="str">
            <v>From M1 to M2 - 5°</v>
          </cell>
          <cell r="J1310" t="str">
            <v>IE3</v>
          </cell>
          <cell r="K1310">
            <v>440</v>
          </cell>
          <cell r="L1310">
            <v>60</v>
          </cell>
          <cell r="M1310">
            <v>35</v>
          </cell>
          <cell r="N1310">
            <v>55</v>
          </cell>
          <cell r="O1310" t="str">
            <v>F(105°C)</v>
          </cell>
          <cell r="P1310" t="str">
            <v>270°</v>
          </cell>
          <cell r="Q1310" t="str">
            <v>TF</v>
          </cell>
          <cell r="R1310" t="str">
            <v>V(VE)</v>
          </cell>
          <cell r="S1310" t="str">
            <v>-</v>
          </cell>
          <cell r="T1310" t="str">
            <v>-</v>
          </cell>
          <cell r="U1310" t="str">
            <v>-</v>
          </cell>
          <cell r="V1310" t="str">
            <v>FC</v>
          </cell>
          <cell r="W1310" t="str">
            <v>-</v>
          </cell>
          <cell r="X1310" t="str">
            <v>CLP VG 220 = -15° + 40°</v>
          </cell>
          <cell r="Y1310" t="str">
            <v>R147DRN180L4 /TF/V</v>
          </cell>
          <cell r="Z1310" t="str">
            <v>SEW</v>
          </cell>
          <cell r="AB1310" t="str">
            <v>-</v>
          </cell>
          <cell r="AF1310">
            <v>26.4</v>
          </cell>
          <cell r="AG1310" t="str">
            <v>DRN180L4</v>
          </cell>
          <cell r="AH1310" t="str">
            <v>R147-DRN180L4270-X#</v>
          </cell>
        </row>
        <row r="1311">
          <cell r="A1311" t="str">
            <v>MR001307</v>
          </cell>
          <cell r="B1311" t="str">
            <v>MR</v>
          </cell>
          <cell r="C1311">
            <v>18.5</v>
          </cell>
          <cell r="D1311">
            <v>18</v>
          </cell>
          <cell r="E1311" t="str">
            <v>KH127</v>
          </cell>
          <cell r="F1311">
            <v>9790</v>
          </cell>
          <cell r="G1311">
            <v>81.98</v>
          </cell>
          <cell r="H1311">
            <v>1.35</v>
          </cell>
          <cell r="I1311" t="str">
            <v>From M4B to M1B - 45°</v>
          </cell>
          <cell r="J1311" t="str">
            <v>IE3</v>
          </cell>
          <cell r="K1311">
            <v>440</v>
          </cell>
          <cell r="L1311">
            <v>60</v>
          </cell>
          <cell r="M1311">
            <v>30.454545454545453</v>
          </cell>
          <cell r="N1311">
            <v>55</v>
          </cell>
          <cell r="O1311" t="str">
            <v>F(105°C)</v>
          </cell>
          <cell r="P1311" t="str">
            <v>270°</v>
          </cell>
          <cell r="Q1311" t="str">
            <v>TF</v>
          </cell>
          <cell r="R1311" t="str">
            <v>V(VE)</v>
          </cell>
          <cell r="S1311" t="str">
            <v>-</v>
          </cell>
          <cell r="T1311" t="str">
            <v>-</v>
          </cell>
          <cell r="U1311" t="str">
            <v>-</v>
          </cell>
          <cell r="V1311" t="str">
            <v>FC</v>
          </cell>
          <cell r="W1311" t="str">
            <v>-</v>
          </cell>
          <cell r="X1311" t="str">
            <v>CLP VG 220 = -15° + 40°</v>
          </cell>
          <cell r="Y1311" t="str">
            <v>KH127DRN180M4 /TF/V</v>
          </cell>
          <cell r="Z1311" t="str">
            <v>SEW</v>
          </cell>
          <cell r="AB1311" t="str">
            <v>-</v>
          </cell>
          <cell r="AF1311">
            <v>21.6</v>
          </cell>
          <cell r="AG1311" t="str">
            <v>DRN180M4</v>
          </cell>
          <cell r="AH1311" t="str">
            <v>KH127-DRN180M4B270-X#</v>
          </cell>
        </row>
        <row r="1312">
          <cell r="A1312" t="str">
            <v>MR001308</v>
          </cell>
          <cell r="B1312" t="str">
            <v>MR</v>
          </cell>
          <cell r="C1312">
            <v>18.5</v>
          </cell>
          <cell r="D1312">
            <v>18</v>
          </cell>
          <cell r="E1312" t="str">
            <v>KH127</v>
          </cell>
          <cell r="F1312">
            <v>9790</v>
          </cell>
          <cell r="G1312">
            <v>81.98</v>
          </cell>
          <cell r="H1312">
            <v>1.35</v>
          </cell>
          <cell r="I1312" t="str">
            <v>From M4B to M1B - 25°</v>
          </cell>
          <cell r="J1312" t="str">
            <v>IE3</v>
          </cell>
          <cell r="K1312">
            <v>440</v>
          </cell>
          <cell r="L1312">
            <v>60</v>
          </cell>
          <cell r="M1312">
            <v>30.454545454545453</v>
          </cell>
          <cell r="N1312">
            <v>55</v>
          </cell>
          <cell r="O1312" t="str">
            <v>F(105°C)</v>
          </cell>
          <cell r="P1312" t="str">
            <v>270°</v>
          </cell>
          <cell r="Q1312" t="str">
            <v>TF</v>
          </cell>
          <cell r="R1312" t="str">
            <v>V(VE)</v>
          </cell>
          <cell r="S1312" t="str">
            <v>-</v>
          </cell>
          <cell r="T1312" t="str">
            <v>-</v>
          </cell>
          <cell r="U1312" t="str">
            <v>-</v>
          </cell>
          <cell r="V1312" t="str">
            <v>FC</v>
          </cell>
          <cell r="W1312" t="str">
            <v>-</v>
          </cell>
          <cell r="X1312" t="str">
            <v>CLP VG 220 = -15° + 40°</v>
          </cell>
          <cell r="Y1312" t="str">
            <v>KH127DRN180M4 /TF/V</v>
          </cell>
          <cell r="Z1312" t="str">
            <v>SEW</v>
          </cell>
          <cell r="AB1312" t="str">
            <v>-</v>
          </cell>
          <cell r="AF1312">
            <v>21.6</v>
          </cell>
          <cell r="AG1312" t="str">
            <v>DRN180M4</v>
          </cell>
          <cell r="AH1312" t="str">
            <v>KH127-DRN180M4B270-X#</v>
          </cell>
        </row>
        <row r="1313">
          <cell r="A1313" t="str">
            <v>MR001309</v>
          </cell>
          <cell r="B1313" t="str">
            <v>MR</v>
          </cell>
          <cell r="C1313">
            <v>18.5</v>
          </cell>
          <cell r="D1313">
            <v>18</v>
          </cell>
          <cell r="E1313" t="str">
            <v>KH127</v>
          </cell>
          <cell r="F1313">
            <v>9790</v>
          </cell>
          <cell r="G1313">
            <v>81.98</v>
          </cell>
          <cell r="H1313">
            <v>1.35</v>
          </cell>
          <cell r="I1313" t="str">
            <v>From M4A to M1A - 15°</v>
          </cell>
          <cell r="J1313" t="str">
            <v>IE3</v>
          </cell>
          <cell r="K1313">
            <v>440</v>
          </cell>
          <cell r="L1313">
            <v>60</v>
          </cell>
          <cell r="M1313">
            <v>30.454545454545453</v>
          </cell>
          <cell r="N1313">
            <v>55</v>
          </cell>
          <cell r="O1313" t="str">
            <v>F(105°C)</v>
          </cell>
          <cell r="P1313" t="str">
            <v>270°</v>
          </cell>
          <cell r="Q1313" t="str">
            <v>TF</v>
          </cell>
          <cell r="R1313" t="str">
            <v>V(VE)</v>
          </cell>
          <cell r="S1313" t="str">
            <v>-</v>
          </cell>
          <cell r="T1313" t="str">
            <v>-</v>
          </cell>
          <cell r="U1313" t="str">
            <v>-</v>
          </cell>
          <cell r="V1313" t="str">
            <v>FC</v>
          </cell>
          <cell r="W1313" t="str">
            <v>-</v>
          </cell>
          <cell r="X1313" t="str">
            <v>CLP VG 220 = -15° + 40°</v>
          </cell>
          <cell r="Y1313" t="str">
            <v>KH127DRN180M4 /TF/V</v>
          </cell>
          <cell r="Z1313" t="str">
            <v>SEW</v>
          </cell>
          <cell r="AB1313" t="str">
            <v>-</v>
          </cell>
          <cell r="AF1313">
            <v>21.6</v>
          </cell>
          <cell r="AG1313" t="str">
            <v>DRN180M4</v>
          </cell>
          <cell r="AH1313" t="str">
            <v>KH127-DRN180M4A270-X#</v>
          </cell>
        </row>
        <row r="1314">
          <cell r="A1314" t="str">
            <v>MR001310</v>
          </cell>
          <cell r="B1314" t="str">
            <v>MR</v>
          </cell>
          <cell r="C1314">
            <v>0.55000000000000004</v>
          </cell>
          <cell r="D1314">
            <v>3.4</v>
          </cell>
          <cell r="E1314" t="str">
            <v>KA77R37</v>
          </cell>
          <cell r="F1314">
            <v>1400</v>
          </cell>
          <cell r="G1314">
            <v>428</v>
          </cell>
          <cell r="H1314">
            <v>1.1000000000000001</v>
          </cell>
          <cell r="I1314" t="str">
            <v>M3B</v>
          </cell>
          <cell r="J1314" t="str">
            <v>IE3</v>
          </cell>
          <cell r="K1314">
            <v>440</v>
          </cell>
          <cell r="L1314">
            <v>60</v>
          </cell>
          <cell r="M1314">
            <v>1.1727272727272726</v>
          </cell>
          <cell r="N1314">
            <v>55</v>
          </cell>
          <cell r="O1314" t="str">
            <v>F(105°C)</v>
          </cell>
          <cell r="P1314" t="str">
            <v>0°</v>
          </cell>
          <cell r="Q1314" t="str">
            <v>-</v>
          </cell>
          <cell r="R1314" t="str">
            <v>-</v>
          </cell>
          <cell r="S1314" t="str">
            <v>-</v>
          </cell>
          <cell r="T1314" t="str">
            <v>BEHF</v>
          </cell>
          <cell r="U1314" t="str">
            <v>T</v>
          </cell>
          <cell r="V1314" t="str">
            <v>D+R</v>
          </cell>
          <cell r="W1314" t="str">
            <v>-</v>
          </cell>
          <cell r="X1314" t="str">
            <v>CLP VG 220 = -15° + 40°</v>
          </cell>
          <cell r="Y1314" t="str">
            <v>KA77/TR37DRN80MK4BE1</v>
          </cell>
          <cell r="Z1314" t="str">
            <v>SEW</v>
          </cell>
          <cell r="AB1314" t="str">
            <v>-</v>
          </cell>
          <cell r="AF1314">
            <v>4.08</v>
          </cell>
          <cell r="AG1314" t="str">
            <v>DRS71M4</v>
          </cell>
          <cell r="AH1314" t="str">
            <v>KA77R37T-DRS71M4B0-X</v>
          </cell>
        </row>
        <row r="1315">
          <cell r="A1315" t="str">
            <v>MR001311</v>
          </cell>
          <cell r="B1315" t="str">
            <v>MR</v>
          </cell>
          <cell r="C1315">
            <v>9.1999999999999993</v>
          </cell>
          <cell r="D1315">
            <v>53</v>
          </cell>
          <cell r="E1315" t="str">
            <v>R97</v>
          </cell>
          <cell r="F1315">
            <v>1640</v>
          </cell>
          <cell r="G1315">
            <v>27.58</v>
          </cell>
          <cell r="H1315">
            <v>1.6</v>
          </cell>
          <cell r="I1315" t="str">
            <v>M1</v>
          </cell>
          <cell r="J1315" t="str">
            <v>IE3</v>
          </cell>
          <cell r="K1315">
            <v>440</v>
          </cell>
          <cell r="L1315">
            <v>60</v>
          </cell>
          <cell r="M1315">
            <v>18.7</v>
          </cell>
          <cell r="N1315">
            <v>55</v>
          </cell>
          <cell r="O1315" t="str">
            <v>F(105°C)</v>
          </cell>
          <cell r="P1315" t="str">
            <v>270°</v>
          </cell>
          <cell r="Q1315" t="str">
            <v>-</v>
          </cell>
          <cell r="R1315" t="str">
            <v>-</v>
          </cell>
          <cell r="S1315" t="str">
            <v>-</v>
          </cell>
          <cell r="T1315" t="str">
            <v>-</v>
          </cell>
          <cell r="U1315" t="str">
            <v>-</v>
          </cell>
          <cell r="V1315" t="str">
            <v>D</v>
          </cell>
          <cell r="W1315" t="str">
            <v>-</v>
          </cell>
          <cell r="X1315" t="str">
            <v>CLP VG 220 = -15° + 40°</v>
          </cell>
          <cell r="Y1315" t="str">
            <v>R97DRN132L4</v>
          </cell>
          <cell r="Z1315" t="str">
            <v>SEW</v>
          </cell>
          <cell r="AB1315" t="str">
            <v>-</v>
          </cell>
          <cell r="AF1315">
            <v>63.6</v>
          </cell>
          <cell r="AG1315" t="str">
            <v>DRN132L4</v>
          </cell>
          <cell r="AH1315" t="str">
            <v>R97-DRN132L4270-X</v>
          </cell>
        </row>
        <row r="1316">
          <cell r="A1316" t="str">
            <v>MR001312</v>
          </cell>
          <cell r="B1316" t="str">
            <v>ME</v>
          </cell>
          <cell r="C1316">
            <v>45</v>
          </cell>
          <cell r="D1316">
            <v>1478</v>
          </cell>
          <cell r="E1316" t="str">
            <v>1LE1503</v>
          </cell>
          <cell r="F1316">
            <v>241</v>
          </cell>
          <cell r="I1316" t="str">
            <v>V1/B5</v>
          </cell>
          <cell r="J1316" t="str">
            <v>IE3</v>
          </cell>
          <cell r="K1316">
            <v>440</v>
          </cell>
          <cell r="L1316">
            <v>60</v>
          </cell>
          <cell r="M1316">
            <v>74</v>
          </cell>
          <cell r="N1316">
            <v>55</v>
          </cell>
          <cell r="O1316" t="str">
            <v>F(105°C)</v>
          </cell>
          <cell r="Q1316" t="str">
            <v>TF</v>
          </cell>
          <cell r="R1316" t="str">
            <v>-</v>
          </cell>
          <cell r="S1316" t="str">
            <v>-</v>
          </cell>
          <cell r="T1316" t="str">
            <v>-</v>
          </cell>
          <cell r="U1316" t="str">
            <v>-</v>
          </cell>
          <cell r="V1316" t="str">
            <v>D</v>
          </cell>
          <cell r="Y1316" t="str">
            <v>1LE1503-2BB23-3FB4-Z N31</v>
          </cell>
          <cell r="Z1316" t="str">
            <v>SIEMENS</v>
          </cell>
          <cell r="AB1316" t="str">
            <v>-</v>
          </cell>
          <cell r="AE1316" t="str">
            <v>4 POLES</v>
          </cell>
          <cell r="AH1316" t="str">
            <v>1LE1503-B-X</v>
          </cell>
        </row>
        <row r="1317">
          <cell r="A1317" t="str">
            <v>MR001313</v>
          </cell>
          <cell r="B1317" t="str">
            <v>ME</v>
          </cell>
          <cell r="C1317">
            <v>4</v>
          </cell>
          <cell r="D1317">
            <v>1460</v>
          </cell>
          <cell r="E1317" t="str">
            <v>1LE1003</v>
          </cell>
          <cell r="F1317">
            <v>25</v>
          </cell>
          <cell r="I1317" t="str">
            <v>B5</v>
          </cell>
          <cell r="J1317" t="str">
            <v>IE3</v>
          </cell>
          <cell r="K1317">
            <v>440</v>
          </cell>
          <cell r="L1317">
            <v>60</v>
          </cell>
          <cell r="M1317">
            <v>8.1</v>
          </cell>
          <cell r="N1317">
            <v>55</v>
          </cell>
          <cell r="O1317" t="str">
            <v>F(105°C)</v>
          </cell>
          <cell r="Q1317" t="str">
            <v>-</v>
          </cell>
          <cell r="R1317" t="str">
            <v>-</v>
          </cell>
          <cell r="S1317" t="str">
            <v>-</v>
          </cell>
          <cell r="T1317" t="str">
            <v>-</v>
          </cell>
          <cell r="U1317" t="str">
            <v>-</v>
          </cell>
          <cell r="V1317" t="str">
            <v>D</v>
          </cell>
          <cell r="Y1317" t="str">
            <v>1LE1003-1BB22-1FA4-Z N31</v>
          </cell>
          <cell r="Z1317" t="str">
            <v>SIEMENS</v>
          </cell>
          <cell r="AB1317" t="str">
            <v>-</v>
          </cell>
          <cell r="AE1317" t="str">
            <v>4 POLES</v>
          </cell>
          <cell r="AH1317" t="str">
            <v>1LE1003-B-X</v>
          </cell>
        </row>
        <row r="1318">
          <cell r="A1318" t="str">
            <v>MR001314</v>
          </cell>
          <cell r="B1318" t="str">
            <v>MR</v>
          </cell>
          <cell r="C1318">
            <v>3</v>
          </cell>
          <cell r="D1318">
            <v>44</v>
          </cell>
          <cell r="E1318" t="str">
            <v>FA67</v>
          </cell>
          <cell r="F1318">
            <v>630</v>
          </cell>
          <cell r="G1318">
            <v>32.08</v>
          </cell>
          <cell r="H1318">
            <v>1.3</v>
          </cell>
          <cell r="I1318" t="str">
            <v>From M3 to M4 - 20°</v>
          </cell>
          <cell r="J1318" t="str">
            <v>IE3</v>
          </cell>
          <cell r="K1318">
            <v>400</v>
          </cell>
          <cell r="L1318">
            <v>50</v>
          </cell>
          <cell r="N1318">
            <v>55</v>
          </cell>
          <cell r="O1318" t="str">
            <v>F(105°C)</v>
          </cell>
          <cell r="P1318" t="str">
            <v>0°</v>
          </cell>
          <cell r="Q1318" t="str">
            <v>-</v>
          </cell>
          <cell r="R1318" t="str">
            <v>-</v>
          </cell>
          <cell r="S1318" t="str">
            <v>-</v>
          </cell>
          <cell r="T1318" t="str">
            <v>-</v>
          </cell>
          <cell r="U1318" t="str">
            <v>-</v>
          </cell>
          <cell r="V1318" t="str">
            <v>D</v>
          </cell>
          <cell r="W1318" t="str">
            <v>-</v>
          </cell>
          <cell r="X1318" t="str">
            <v>CLP HC VG 220 = -20° + 60°</v>
          </cell>
          <cell r="Y1318" t="str">
            <v>FA67DRN100L4</v>
          </cell>
          <cell r="Z1318" t="str">
            <v>SEW</v>
          </cell>
          <cell r="AB1318" t="str">
            <v>-</v>
          </cell>
          <cell r="AF1318">
            <v>44</v>
          </cell>
          <cell r="AG1318" t="str">
            <v>DRN100L4</v>
          </cell>
          <cell r="AH1318" t="str">
            <v>FA67-DRN100L40-X</v>
          </cell>
        </row>
        <row r="1319">
          <cell r="A1319" t="str">
            <v>MR001315</v>
          </cell>
          <cell r="B1319" t="str">
            <v>MR</v>
          </cell>
          <cell r="C1319">
            <v>4</v>
          </cell>
          <cell r="D1319">
            <v>13</v>
          </cell>
          <cell r="E1319" t="str">
            <v>R107</v>
          </cell>
          <cell r="F1319">
            <v>3010</v>
          </cell>
          <cell r="G1319">
            <v>115.63</v>
          </cell>
          <cell r="H1319">
            <v>1.45</v>
          </cell>
          <cell r="I1319" t="str">
            <v>From M1 to M6 - 45°</v>
          </cell>
          <cell r="J1319" t="str">
            <v>IE3</v>
          </cell>
          <cell r="K1319">
            <v>400</v>
          </cell>
          <cell r="L1319">
            <v>50</v>
          </cell>
          <cell r="N1319">
            <v>55</v>
          </cell>
          <cell r="O1319" t="str">
            <v>F(105°C)</v>
          </cell>
          <cell r="P1319" t="str">
            <v>270°</v>
          </cell>
          <cell r="Q1319" t="str">
            <v>TF</v>
          </cell>
          <cell r="R1319" t="str">
            <v>V(VE)</v>
          </cell>
          <cell r="S1319" t="str">
            <v>-</v>
          </cell>
          <cell r="T1319" t="str">
            <v>-</v>
          </cell>
          <cell r="U1319" t="str">
            <v>-</v>
          </cell>
          <cell r="V1319" t="str">
            <v>FC</v>
          </cell>
          <cell r="W1319" t="str">
            <v>-</v>
          </cell>
          <cell r="X1319" t="str">
            <v>CLP HC VG 220 = -20° + 60°</v>
          </cell>
          <cell r="Y1319" t="str">
            <v>R107DRN112M4 /TF/V</v>
          </cell>
          <cell r="Z1319" t="str">
            <v>SEW</v>
          </cell>
          <cell r="AB1319" t="str">
            <v>-</v>
          </cell>
          <cell r="AF1319">
            <v>13</v>
          </cell>
          <cell r="AG1319" t="str">
            <v>DRN112M4</v>
          </cell>
          <cell r="AH1319" t="str">
            <v>R107-DRN112M4270-X#</v>
          </cell>
        </row>
        <row r="1320">
          <cell r="A1320" t="str">
            <v>MR001316</v>
          </cell>
          <cell r="B1320" t="str">
            <v>MR</v>
          </cell>
          <cell r="C1320">
            <v>9.1999999999999993</v>
          </cell>
          <cell r="D1320">
            <v>24</v>
          </cell>
          <cell r="E1320" t="str">
            <v>KH97</v>
          </cell>
          <cell r="F1320">
            <v>3730</v>
          </cell>
          <cell r="G1320">
            <v>62.55</v>
          </cell>
          <cell r="H1320">
            <v>1.1499999999999999</v>
          </cell>
          <cell r="I1320" t="str">
            <v>M4A</v>
          </cell>
          <cell r="J1320" t="str">
            <v>IE3</v>
          </cell>
          <cell r="K1320">
            <v>440</v>
          </cell>
          <cell r="L1320">
            <v>60</v>
          </cell>
          <cell r="M1320">
            <v>17</v>
          </cell>
          <cell r="N1320">
            <v>55</v>
          </cell>
          <cell r="O1320" t="str">
            <v>F(105°C)</v>
          </cell>
          <cell r="P1320" t="str">
            <v>270°</v>
          </cell>
          <cell r="Q1320" t="str">
            <v>TF</v>
          </cell>
          <cell r="R1320" t="str">
            <v>V(VE)</v>
          </cell>
          <cell r="S1320" t="str">
            <v>Free rotation CW</v>
          </cell>
          <cell r="T1320" t="str">
            <v>-</v>
          </cell>
          <cell r="U1320" t="str">
            <v>T</v>
          </cell>
          <cell r="V1320" t="str">
            <v>FC</v>
          </cell>
          <cell r="W1320" t="str">
            <v>-</v>
          </cell>
          <cell r="X1320" t="str">
            <v>CLP VG 220 = -15° + 40°</v>
          </cell>
          <cell r="Y1320" t="str">
            <v>KH97/T DRN132L4 /RS /TF/V</v>
          </cell>
          <cell r="Z1320" t="str">
            <v>SEW</v>
          </cell>
          <cell r="AB1320" t="str">
            <v>-</v>
          </cell>
          <cell r="AF1320">
            <v>28.8</v>
          </cell>
          <cell r="AG1320" t="str">
            <v>DRN132L4</v>
          </cell>
          <cell r="AH1320" t="str">
            <v>KH97T-DRN132L4A270-X#</v>
          </cell>
        </row>
        <row r="1321">
          <cell r="A1321" t="str">
            <v>MR001317</v>
          </cell>
          <cell r="B1321" t="str">
            <v>MR</v>
          </cell>
          <cell r="C1321">
            <v>0.75</v>
          </cell>
          <cell r="D1321">
            <v>137</v>
          </cell>
          <cell r="E1321" t="str">
            <v>KA37</v>
          </cell>
          <cell r="F1321">
            <v>52</v>
          </cell>
          <cell r="G1321">
            <v>10.49</v>
          </cell>
          <cell r="H1321">
            <v>3.1</v>
          </cell>
          <cell r="I1321" t="str">
            <v>From M3A to M4A - 10°</v>
          </cell>
          <cell r="J1321" t="str">
            <v>IE3</v>
          </cell>
          <cell r="K1321">
            <v>440</v>
          </cell>
          <cell r="L1321">
            <v>60</v>
          </cell>
          <cell r="M1321">
            <v>1.5909090909090908</v>
          </cell>
          <cell r="N1321">
            <v>55</v>
          </cell>
          <cell r="O1321" t="str">
            <v>F(105°C)</v>
          </cell>
          <cell r="P1321" t="str">
            <v>270°</v>
          </cell>
          <cell r="Q1321" t="str">
            <v>-</v>
          </cell>
          <cell r="R1321" t="str">
            <v>-</v>
          </cell>
          <cell r="S1321" t="str">
            <v>-</v>
          </cell>
          <cell r="T1321" t="str">
            <v>-</v>
          </cell>
          <cell r="U1321" t="str">
            <v>T</v>
          </cell>
          <cell r="V1321" t="str">
            <v>D</v>
          </cell>
          <cell r="W1321" t="str">
            <v>-</v>
          </cell>
          <cell r="X1321" t="str">
            <v>CLP VG 220 = -15° + 40°</v>
          </cell>
          <cell r="Y1321" t="str">
            <v>KA37/T DRN80M4</v>
          </cell>
          <cell r="Z1321" t="str">
            <v>SEW</v>
          </cell>
          <cell r="AB1321" t="str">
            <v>-</v>
          </cell>
          <cell r="AF1321">
            <v>164.4</v>
          </cell>
          <cell r="AG1321" t="str">
            <v>DRN80M4</v>
          </cell>
          <cell r="AH1321" t="str">
            <v>KA37T-DRN80M4A270-X</v>
          </cell>
        </row>
        <row r="1322">
          <cell r="A1322" t="str">
            <v>MR001318</v>
          </cell>
          <cell r="B1322" t="str">
            <v>MR</v>
          </cell>
          <cell r="C1322">
            <v>0.25</v>
          </cell>
          <cell r="D1322">
            <v>1.5</v>
          </cell>
          <cell r="E1322" t="str">
            <v>KA77R37</v>
          </cell>
          <cell r="F1322">
            <v>1390</v>
          </cell>
          <cell r="G1322">
            <v>924</v>
          </cell>
          <cell r="H1322">
            <v>1.1000000000000001</v>
          </cell>
          <cell r="I1322" t="str">
            <v>M3B</v>
          </cell>
          <cell r="J1322" t="str">
            <v>IE3</v>
          </cell>
          <cell r="K1322">
            <v>440</v>
          </cell>
          <cell r="L1322">
            <v>60</v>
          </cell>
          <cell r="M1322">
            <v>0.65454545454545454</v>
          </cell>
          <cell r="N1322">
            <v>55</v>
          </cell>
          <cell r="O1322" t="str">
            <v>F(105°C)</v>
          </cell>
          <cell r="P1322" t="str">
            <v>0°</v>
          </cell>
          <cell r="Q1322" t="str">
            <v>-</v>
          </cell>
          <cell r="R1322" t="str">
            <v>-</v>
          </cell>
          <cell r="S1322" t="str">
            <v>-</v>
          </cell>
          <cell r="T1322" t="str">
            <v>BEHF</v>
          </cell>
          <cell r="U1322" t="str">
            <v>T</v>
          </cell>
          <cell r="V1322" t="str">
            <v>D+R</v>
          </cell>
          <cell r="W1322" t="str">
            <v>-</v>
          </cell>
          <cell r="X1322" t="str">
            <v>CLP VG 220 = -15° + 40°</v>
          </cell>
          <cell r="Y1322" t="str">
            <v>KA77R37/T DRN71MS4 /BEHF</v>
          </cell>
          <cell r="Z1322" t="str">
            <v>SEW</v>
          </cell>
          <cell r="AB1322" t="str">
            <v>-</v>
          </cell>
          <cell r="AF1322">
            <v>1.8</v>
          </cell>
          <cell r="AG1322" t="str">
            <v>DRN71MS4</v>
          </cell>
          <cell r="AH1322" t="str">
            <v>KA77R37T-DRN71MS4B0-X</v>
          </cell>
        </row>
        <row r="1323">
          <cell r="A1323" t="str">
            <v>MR001319</v>
          </cell>
          <cell r="B1323" t="str">
            <v>MR</v>
          </cell>
          <cell r="C1323">
            <v>11</v>
          </cell>
          <cell r="D1323">
            <v>16</v>
          </cell>
          <cell r="E1323" t="str">
            <v>KH107</v>
          </cell>
          <cell r="F1323">
            <v>6480</v>
          </cell>
          <cell r="G1323">
            <v>90.96</v>
          </cell>
          <cell r="H1323">
            <v>1.25</v>
          </cell>
          <cell r="I1323" t="str">
            <v>From M1B to M2B - 10°</v>
          </cell>
          <cell r="J1323" t="str">
            <v>IE3</v>
          </cell>
          <cell r="K1323">
            <v>415</v>
          </cell>
          <cell r="L1323">
            <v>50</v>
          </cell>
          <cell r="M1323">
            <v>21</v>
          </cell>
          <cell r="N1323">
            <v>55</v>
          </cell>
          <cell r="O1323" t="str">
            <v>F(105°C)</v>
          </cell>
          <cell r="P1323" t="str">
            <v>270°</v>
          </cell>
          <cell r="Q1323" t="str">
            <v>-</v>
          </cell>
          <cell r="R1323" t="str">
            <v>-</v>
          </cell>
          <cell r="S1323" t="str">
            <v>-</v>
          </cell>
          <cell r="T1323" t="str">
            <v>-</v>
          </cell>
          <cell r="U1323" t="str">
            <v>-</v>
          </cell>
          <cell r="V1323" t="str">
            <v>SS</v>
          </cell>
          <cell r="W1323" t="str">
            <v>-</v>
          </cell>
          <cell r="X1323" t="str">
            <v>CLP VG 220 = -15° + 40°</v>
          </cell>
          <cell r="Y1323" t="str">
            <v>KH107DRN160M4</v>
          </cell>
          <cell r="Z1323" t="str">
            <v>SEW</v>
          </cell>
          <cell r="AB1323" t="str">
            <v>-</v>
          </cell>
          <cell r="AF1323">
            <v>16</v>
          </cell>
          <cell r="AG1323" t="str">
            <v>DRN160M4</v>
          </cell>
          <cell r="AH1323" t="str">
            <v>KH107-DRN160M4B270-X</v>
          </cell>
        </row>
        <row r="1324">
          <cell r="A1324" t="str">
            <v>MR001320</v>
          </cell>
          <cell r="B1324" t="str">
            <v>MR</v>
          </cell>
          <cell r="C1324">
            <v>3</v>
          </cell>
          <cell r="D1324">
            <v>58</v>
          </cell>
          <cell r="E1324" t="str">
            <v>R77</v>
          </cell>
          <cell r="F1324">
            <v>25.23</v>
          </cell>
          <cell r="G1324">
            <v>1.55</v>
          </cell>
          <cell r="H1324">
            <v>1456</v>
          </cell>
          <cell r="I1324" t="str">
            <v>M1</v>
          </cell>
          <cell r="J1324" t="str">
            <v>IE3</v>
          </cell>
          <cell r="K1324" t="str">
            <v>230/400</v>
          </cell>
          <cell r="L1324">
            <v>50</v>
          </cell>
          <cell r="M1324">
            <v>11.2</v>
          </cell>
          <cell r="N1324">
            <v>55</v>
          </cell>
          <cell r="O1324" t="str">
            <v>F(105°C)</v>
          </cell>
          <cell r="P1324" t="str">
            <v>270°</v>
          </cell>
          <cell r="Q1324" t="str">
            <v>-</v>
          </cell>
          <cell r="R1324" t="str">
            <v>-</v>
          </cell>
          <cell r="S1324" t="str">
            <v>-</v>
          </cell>
          <cell r="T1324" t="str">
            <v>-</v>
          </cell>
          <cell r="U1324" t="str">
            <v>-</v>
          </cell>
          <cell r="V1324" t="str">
            <v>D</v>
          </cell>
          <cell r="W1324" t="str">
            <v>-</v>
          </cell>
          <cell r="X1324" t="str">
            <v>CLP VG 220 = -15° + 40°</v>
          </cell>
          <cell r="Y1324" t="str">
            <v>R77DRN100L4</v>
          </cell>
          <cell r="Z1324" t="str">
            <v>SEW</v>
          </cell>
          <cell r="AB1324" t="str">
            <v>-</v>
          </cell>
          <cell r="AF1324">
            <v>58</v>
          </cell>
          <cell r="AG1324" t="str">
            <v>DRN100L4</v>
          </cell>
          <cell r="AH1324" t="str">
            <v>R77-DRN100L4270-X</v>
          </cell>
        </row>
        <row r="1325">
          <cell r="A1325" t="str">
            <v>MR001321</v>
          </cell>
          <cell r="B1325" t="str">
            <v>MR</v>
          </cell>
          <cell r="C1325">
            <v>18.5</v>
          </cell>
          <cell r="D1325">
            <v>15</v>
          </cell>
          <cell r="E1325" t="str">
            <v>KH157</v>
          </cell>
          <cell r="F1325">
            <v>11900</v>
          </cell>
          <cell r="G1325">
            <v>100.22</v>
          </cell>
          <cell r="H1325">
            <v>1.5</v>
          </cell>
          <cell r="I1325" t="str">
            <v>From M4A to M1A - 30°</v>
          </cell>
          <cell r="J1325" t="str">
            <v>IE3</v>
          </cell>
          <cell r="K1325">
            <v>400</v>
          </cell>
          <cell r="L1325">
            <v>50</v>
          </cell>
          <cell r="M1325">
            <v>33.5</v>
          </cell>
          <cell r="N1325">
            <v>55</v>
          </cell>
          <cell r="O1325" t="str">
            <v>F(105°C)</v>
          </cell>
          <cell r="P1325" t="str">
            <v>270°</v>
          </cell>
          <cell r="Q1325" t="str">
            <v>TF</v>
          </cell>
          <cell r="R1325" t="str">
            <v>V</v>
          </cell>
          <cell r="S1325" t="str">
            <v>-</v>
          </cell>
          <cell r="T1325" t="str">
            <v>-</v>
          </cell>
          <cell r="U1325" t="str">
            <v>-</v>
          </cell>
          <cell r="V1325" t="str">
            <v>FC</v>
          </cell>
          <cell r="W1325" t="str">
            <v>-</v>
          </cell>
          <cell r="X1325" t="str">
            <v>CLP HC VG 220 = -20° + 60°</v>
          </cell>
          <cell r="Y1325" t="str">
            <v>KH157DRN180M4 /TF/V</v>
          </cell>
          <cell r="Z1325" t="str">
            <v>SEW</v>
          </cell>
          <cell r="AB1325" t="str">
            <v>-</v>
          </cell>
          <cell r="AF1325">
            <v>15</v>
          </cell>
          <cell r="AG1325" t="str">
            <v>DRN180M4</v>
          </cell>
          <cell r="AH1325" t="str">
            <v>KH157-DRN180M4A270-X#</v>
          </cell>
        </row>
        <row r="1326">
          <cell r="A1326" t="str">
            <v>MR001322</v>
          </cell>
          <cell r="B1326" t="str">
            <v>MR</v>
          </cell>
          <cell r="C1326">
            <v>18.5</v>
          </cell>
          <cell r="D1326">
            <v>15</v>
          </cell>
          <cell r="E1326" t="str">
            <v>KH157</v>
          </cell>
          <cell r="F1326">
            <v>11900</v>
          </cell>
          <cell r="G1326">
            <v>100.22</v>
          </cell>
          <cell r="H1326">
            <v>1.5</v>
          </cell>
          <cell r="I1326" t="str">
            <v>From M4B to M1B - 30°</v>
          </cell>
          <cell r="J1326" t="str">
            <v>IE3</v>
          </cell>
          <cell r="K1326">
            <v>400</v>
          </cell>
          <cell r="L1326">
            <v>50</v>
          </cell>
          <cell r="M1326">
            <v>33.5</v>
          </cell>
          <cell r="N1326">
            <v>55</v>
          </cell>
          <cell r="O1326" t="str">
            <v>F(105°C)</v>
          </cell>
          <cell r="P1326" t="str">
            <v>270°</v>
          </cell>
          <cell r="Q1326" t="str">
            <v>TF</v>
          </cell>
          <cell r="R1326" t="str">
            <v>V</v>
          </cell>
          <cell r="S1326" t="str">
            <v>-</v>
          </cell>
          <cell r="T1326" t="str">
            <v>-</v>
          </cell>
          <cell r="U1326" t="str">
            <v>-</v>
          </cell>
          <cell r="V1326" t="str">
            <v>FC</v>
          </cell>
          <cell r="W1326" t="str">
            <v>-</v>
          </cell>
          <cell r="X1326" t="str">
            <v>CLP HC VG 220 = -20° + 60°</v>
          </cell>
          <cell r="Y1326" t="str">
            <v>KH157DRN180M4 /TF/V</v>
          </cell>
          <cell r="Z1326" t="str">
            <v>SEW</v>
          </cell>
          <cell r="AB1326" t="str">
            <v>-</v>
          </cell>
          <cell r="AF1326">
            <v>15</v>
          </cell>
          <cell r="AG1326" t="str">
            <v>DRN180M4</v>
          </cell>
          <cell r="AH1326" t="str">
            <v>KH157-DRN180M4B270-X#</v>
          </cell>
        </row>
        <row r="1327">
          <cell r="A1327" t="str">
            <v>MR001323</v>
          </cell>
          <cell r="B1327" t="str">
            <v>MR</v>
          </cell>
          <cell r="C1327">
            <v>37</v>
          </cell>
          <cell r="D1327">
            <v>37</v>
          </cell>
          <cell r="E1327" t="str">
            <v>R147</v>
          </cell>
          <cell r="F1327">
            <v>9600</v>
          </cell>
          <cell r="G1327">
            <v>40.29</v>
          </cell>
          <cell r="H1327">
            <v>1.35</v>
          </cell>
          <cell r="I1327" t="str">
            <v>M1</v>
          </cell>
          <cell r="J1327" t="str">
            <v>IE3</v>
          </cell>
          <cell r="K1327">
            <v>400</v>
          </cell>
          <cell r="L1327">
            <v>50</v>
          </cell>
          <cell r="M1327" t="str">
            <v>64/7ì37</v>
          </cell>
          <cell r="N1327">
            <v>55</v>
          </cell>
          <cell r="O1327" t="str">
            <v>F(105°C)</v>
          </cell>
          <cell r="P1327" t="str">
            <v>270°</v>
          </cell>
          <cell r="Q1327" t="str">
            <v>TF</v>
          </cell>
          <cell r="R1327" t="str">
            <v>V(VE)</v>
          </cell>
          <cell r="S1327" t="str">
            <v>Free rotation CCW</v>
          </cell>
          <cell r="T1327" t="str">
            <v>-</v>
          </cell>
          <cell r="U1327" t="str">
            <v>-</v>
          </cell>
          <cell r="V1327" t="str">
            <v>FC</v>
          </cell>
          <cell r="W1327" t="str">
            <v>-</v>
          </cell>
          <cell r="X1327" t="str">
            <v>CLP HC VG 220 = -20° + 60°</v>
          </cell>
          <cell r="Y1327" t="str">
            <v>R147DRN225S4 /RS /TF/V</v>
          </cell>
          <cell r="Z1327" t="str">
            <v>SEW</v>
          </cell>
          <cell r="AB1327" t="str">
            <v>-</v>
          </cell>
          <cell r="AF1327">
            <v>37</v>
          </cell>
          <cell r="AG1327" t="str">
            <v>DRN225S4</v>
          </cell>
          <cell r="AH1327" t="str">
            <v>R147-DRN225S4270-X#</v>
          </cell>
        </row>
        <row r="1328">
          <cell r="A1328" t="str">
            <v>MR001324</v>
          </cell>
          <cell r="B1328" t="str">
            <v>MR</v>
          </cell>
          <cell r="C1328">
            <v>15</v>
          </cell>
          <cell r="D1328">
            <v>81</v>
          </cell>
          <cell r="E1328" t="str">
            <v>R97</v>
          </cell>
          <cell r="F1328">
            <v>1770</v>
          </cell>
          <cell r="G1328">
            <v>18.239999999999998</v>
          </cell>
          <cell r="H1328">
            <v>1.4</v>
          </cell>
          <cell r="I1328" t="str">
            <v>M5</v>
          </cell>
          <cell r="J1328" t="str">
            <v>IE3</v>
          </cell>
          <cell r="K1328">
            <v>400</v>
          </cell>
          <cell r="L1328">
            <v>50</v>
          </cell>
          <cell r="M1328" t="str">
            <v>29/16,7</v>
          </cell>
          <cell r="N1328">
            <v>55</v>
          </cell>
          <cell r="O1328" t="str">
            <v>F(105°C)</v>
          </cell>
          <cell r="P1328" t="str">
            <v>270°</v>
          </cell>
          <cell r="Q1328" t="str">
            <v>TF</v>
          </cell>
          <cell r="R1328" t="str">
            <v>V(VE)</v>
          </cell>
          <cell r="S1328" t="str">
            <v>-</v>
          </cell>
          <cell r="T1328" t="str">
            <v>-</v>
          </cell>
          <cell r="U1328" t="str">
            <v>-</v>
          </cell>
          <cell r="V1328" t="str">
            <v>FC</v>
          </cell>
          <cell r="W1328" t="str">
            <v>-</v>
          </cell>
          <cell r="X1328" t="str">
            <v>CLP HC VG 220 = -20° + 60°</v>
          </cell>
          <cell r="Y1328" t="str">
            <v>R97DRN160L4 /TF/V</v>
          </cell>
          <cell r="Z1328" t="str">
            <v>SEW</v>
          </cell>
          <cell r="AB1328" t="str">
            <v>-</v>
          </cell>
          <cell r="AF1328">
            <v>81</v>
          </cell>
          <cell r="AG1328" t="str">
            <v>DRN160L4</v>
          </cell>
          <cell r="AH1328" t="str">
            <v>R97-DRN160L4270-X#</v>
          </cell>
        </row>
        <row r="1329">
          <cell r="A1329" t="str">
            <v>MR001325</v>
          </cell>
          <cell r="B1329" t="str">
            <v>MR</v>
          </cell>
          <cell r="C1329">
            <v>15</v>
          </cell>
          <cell r="D1329">
            <v>81</v>
          </cell>
          <cell r="E1329" t="str">
            <v>R97</v>
          </cell>
          <cell r="F1329">
            <v>1770</v>
          </cell>
          <cell r="G1329">
            <v>18.239999999999998</v>
          </cell>
          <cell r="H1329">
            <v>1.4</v>
          </cell>
          <cell r="I1329" t="str">
            <v>M6</v>
          </cell>
          <cell r="J1329" t="str">
            <v>IE3</v>
          </cell>
          <cell r="K1329">
            <v>400</v>
          </cell>
          <cell r="L1329">
            <v>50</v>
          </cell>
          <cell r="M1329" t="str">
            <v>29/16,7</v>
          </cell>
          <cell r="N1329">
            <v>55</v>
          </cell>
          <cell r="O1329" t="str">
            <v>F(105°C)</v>
          </cell>
          <cell r="P1329" t="str">
            <v>270°</v>
          </cell>
          <cell r="Q1329" t="str">
            <v>TF</v>
          </cell>
          <cell r="R1329" t="str">
            <v>V(VE)</v>
          </cell>
          <cell r="S1329" t="str">
            <v>-</v>
          </cell>
          <cell r="T1329" t="str">
            <v>-</v>
          </cell>
          <cell r="U1329" t="str">
            <v>-</v>
          </cell>
          <cell r="V1329" t="str">
            <v>FC</v>
          </cell>
          <cell r="W1329" t="str">
            <v>-</v>
          </cell>
          <cell r="X1329" t="str">
            <v>CLP HC VG 220 = -20° + 60°</v>
          </cell>
          <cell r="Y1329" t="str">
            <v>R97DRN160L4 /TF/V</v>
          </cell>
          <cell r="Z1329" t="str">
            <v>SEW</v>
          </cell>
          <cell r="AB1329" t="str">
            <v>-</v>
          </cell>
          <cell r="AF1329">
            <v>81</v>
          </cell>
          <cell r="AG1329" t="str">
            <v>DRN160L4</v>
          </cell>
          <cell r="AH1329" t="str">
            <v>R97-DRN160L4270-X#</v>
          </cell>
        </row>
        <row r="1330">
          <cell r="A1330" t="str">
            <v>MR001326</v>
          </cell>
          <cell r="B1330" t="str">
            <v>MR</v>
          </cell>
          <cell r="C1330">
            <v>15</v>
          </cell>
          <cell r="D1330">
            <v>13</v>
          </cell>
          <cell r="E1330" t="str">
            <v>KH127</v>
          </cell>
          <cell r="F1330">
            <v>10700</v>
          </cell>
          <cell r="G1330">
            <v>110.18</v>
          </cell>
          <cell r="H1330">
            <v>1.2</v>
          </cell>
          <cell r="I1330" t="str">
            <v>From M4A to M1A - 25°</v>
          </cell>
          <cell r="J1330" t="str">
            <v>IE3</v>
          </cell>
          <cell r="K1330">
            <v>400</v>
          </cell>
          <cell r="L1330">
            <v>50</v>
          </cell>
          <cell r="M1330" t="str">
            <v>29/16,7</v>
          </cell>
          <cell r="N1330">
            <v>55</v>
          </cell>
          <cell r="O1330" t="str">
            <v>F(105°C)</v>
          </cell>
          <cell r="P1330" t="str">
            <v>270°</v>
          </cell>
          <cell r="Q1330" t="str">
            <v>TF</v>
          </cell>
          <cell r="R1330" t="str">
            <v>V(VE)</v>
          </cell>
          <cell r="S1330" t="str">
            <v>-</v>
          </cell>
          <cell r="T1330" t="str">
            <v>-</v>
          </cell>
          <cell r="U1330" t="str">
            <v>-</v>
          </cell>
          <cell r="V1330" t="str">
            <v>FC</v>
          </cell>
          <cell r="W1330" t="str">
            <v>-</v>
          </cell>
          <cell r="X1330" t="str">
            <v>CLP HC VG 220 = -20° + 60°</v>
          </cell>
          <cell r="Y1330" t="str">
            <v>KH127DRN160L4 /TF/V</v>
          </cell>
          <cell r="Z1330" t="str">
            <v>SEW</v>
          </cell>
          <cell r="AB1330" t="str">
            <v>-</v>
          </cell>
          <cell r="AF1330">
            <v>13</v>
          </cell>
          <cell r="AG1330" t="str">
            <v>DRN160L4</v>
          </cell>
          <cell r="AH1330" t="str">
            <v>KH127-DRN160L4A270-X#</v>
          </cell>
        </row>
        <row r="1331">
          <cell r="A1331" t="str">
            <v>MR001327</v>
          </cell>
          <cell r="B1331" t="str">
            <v>MR</v>
          </cell>
          <cell r="C1331">
            <v>15</v>
          </cell>
          <cell r="D1331">
            <v>13</v>
          </cell>
          <cell r="E1331" t="str">
            <v>KH127</v>
          </cell>
          <cell r="F1331">
            <v>10700</v>
          </cell>
          <cell r="G1331">
            <v>110.18</v>
          </cell>
          <cell r="H1331">
            <v>1.2</v>
          </cell>
          <cell r="I1331" t="str">
            <v>From M4B to M1B - 25°</v>
          </cell>
          <cell r="J1331" t="str">
            <v>IE3</v>
          </cell>
          <cell r="K1331">
            <v>400</v>
          </cell>
          <cell r="L1331">
            <v>50</v>
          </cell>
          <cell r="M1331" t="str">
            <v>29/16,7</v>
          </cell>
          <cell r="N1331">
            <v>55</v>
          </cell>
          <cell r="O1331" t="str">
            <v>F(105°C)</v>
          </cell>
          <cell r="P1331" t="str">
            <v>270°</v>
          </cell>
          <cell r="Q1331" t="str">
            <v>TF</v>
          </cell>
          <cell r="R1331" t="str">
            <v>V(VE)</v>
          </cell>
          <cell r="S1331" t="str">
            <v>-</v>
          </cell>
          <cell r="T1331" t="str">
            <v>-</v>
          </cell>
          <cell r="U1331" t="str">
            <v>-</v>
          </cell>
          <cell r="V1331" t="str">
            <v>FC</v>
          </cell>
          <cell r="W1331" t="str">
            <v>-</v>
          </cell>
          <cell r="X1331" t="str">
            <v>CLP HC VG 220 = -20° + 60°</v>
          </cell>
          <cell r="Y1331" t="str">
            <v>KH127DRN160L4 /TF/V</v>
          </cell>
          <cell r="Z1331" t="str">
            <v>SEW</v>
          </cell>
          <cell r="AB1331" t="str">
            <v>-</v>
          </cell>
          <cell r="AF1331">
            <v>13</v>
          </cell>
          <cell r="AG1331" t="str">
            <v>DRN160L4</v>
          </cell>
          <cell r="AH1331" t="str">
            <v>KH127-DRN160L4B270-X#</v>
          </cell>
        </row>
        <row r="1332">
          <cell r="A1332" t="str">
            <v>MR001328</v>
          </cell>
          <cell r="B1332" t="str">
            <v>MR</v>
          </cell>
          <cell r="C1332">
            <v>1.5</v>
          </cell>
          <cell r="D1332">
            <v>3.8</v>
          </cell>
          <cell r="E1332" t="str">
            <v>KA97R57</v>
          </cell>
          <cell r="F1332">
            <v>3440</v>
          </cell>
          <cell r="G1332">
            <v>382</v>
          </cell>
          <cell r="H1332">
            <v>1.25</v>
          </cell>
          <cell r="I1332" t="str">
            <v>M3B</v>
          </cell>
          <cell r="J1332" t="str">
            <v>IE3</v>
          </cell>
          <cell r="K1332">
            <v>400</v>
          </cell>
          <cell r="L1332">
            <v>50</v>
          </cell>
          <cell r="M1332">
            <v>3.4</v>
          </cell>
          <cell r="N1332">
            <v>55</v>
          </cell>
          <cell r="O1332" t="str">
            <v>F(105°C)</v>
          </cell>
          <cell r="P1332" t="str">
            <v>270°</v>
          </cell>
          <cell r="Q1332" t="str">
            <v>TF</v>
          </cell>
          <cell r="R1332" t="str">
            <v>-</v>
          </cell>
          <cell r="S1332" t="str">
            <v>-</v>
          </cell>
          <cell r="T1332" t="str">
            <v>BEHF</v>
          </cell>
          <cell r="U1332" t="str">
            <v>T</v>
          </cell>
          <cell r="V1332" t="str">
            <v>D+R</v>
          </cell>
          <cell r="W1332" t="str">
            <v>-</v>
          </cell>
          <cell r="X1332" t="str">
            <v>CLP HC VG 220 = -20° + 60°</v>
          </cell>
          <cell r="Y1332" t="str">
            <v>KA97R57/T DRN90L4 /BEHF /TF</v>
          </cell>
          <cell r="Z1332" t="str">
            <v>SEW</v>
          </cell>
          <cell r="AB1332" t="str">
            <v>-</v>
          </cell>
          <cell r="AF1332">
            <v>3.8</v>
          </cell>
          <cell r="AG1332" t="str">
            <v>DRN90L4</v>
          </cell>
          <cell r="AH1332" t="str">
            <v>KA97R57T-DRN90L4B270-X</v>
          </cell>
        </row>
        <row r="1333">
          <cell r="A1333" t="str">
            <v>MR001329</v>
          </cell>
          <cell r="B1333" t="str">
            <v>MR</v>
          </cell>
          <cell r="C1333">
            <v>15</v>
          </cell>
          <cell r="D1333">
            <v>16</v>
          </cell>
          <cell r="E1333" t="str">
            <v>KH127</v>
          </cell>
          <cell r="F1333">
            <v>8730</v>
          </cell>
          <cell r="G1333">
            <v>89.89</v>
          </cell>
          <cell r="H1333">
            <v>1.5</v>
          </cell>
          <cell r="I1333" t="str">
            <v>From M4A to M1A - 20°</v>
          </cell>
          <cell r="J1333" t="str">
            <v>IE3</v>
          </cell>
          <cell r="K1333">
            <v>400</v>
          </cell>
          <cell r="L1333">
            <v>50</v>
          </cell>
          <cell r="M1333" t="str">
            <v>29/16,7</v>
          </cell>
          <cell r="N1333">
            <v>55</v>
          </cell>
          <cell r="O1333" t="str">
            <v>F(105°C)</v>
          </cell>
          <cell r="P1333" t="str">
            <v>270°</v>
          </cell>
          <cell r="Q1333" t="str">
            <v>TF</v>
          </cell>
          <cell r="R1333" t="str">
            <v>V(VE)</v>
          </cell>
          <cell r="S1333" t="str">
            <v>-</v>
          </cell>
          <cell r="T1333" t="str">
            <v>-</v>
          </cell>
          <cell r="U1333" t="str">
            <v>-</v>
          </cell>
          <cell r="V1333" t="str">
            <v>FC</v>
          </cell>
          <cell r="W1333" t="str">
            <v>-</v>
          </cell>
          <cell r="X1333" t="str">
            <v>CLP HC VG 220 = -20° + 60°</v>
          </cell>
          <cell r="Y1333" t="str">
            <v>KH127DRN160L4 /TF/V</v>
          </cell>
          <cell r="Z1333" t="str">
            <v>SEW</v>
          </cell>
          <cell r="AB1333" t="str">
            <v>-</v>
          </cell>
          <cell r="AF1333">
            <v>16</v>
          </cell>
          <cell r="AG1333" t="str">
            <v>DRN160L4</v>
          </cell>
          <cell r="AH1333" t="str">
            <v>KH127-DRN160L4A270-X#</v>
          </cell>
        </row>
        <row r="1334">
          <cell r="A1334" t="str">
            <v>MR001330</v>
          </cell>
          <cell r="B1334" t="str">
            <v>MR</v>
          </cell>
          <cell r="C1334">
            <v>15</v>
          </cell>
          <cell r="D1334">
            <v>16</v>
          </cell>
          <cell r="E1334" t="str">
            <v>KH127</v>
          </cell>
          <cell r="F1334">
            <v>8730</v>
          </cell>
          <cell r="G1334">
            <v>89.89</v>
          </cell>
          <cell r="H1334">
            <v>1.5</v>
          </cell>
          <cell r="I1334" t="str">
            <v>From M4B to M1B - 20°</v>
          </cell>
          <cell r="J1334" t="str">
            <v>IE3</v>
          </cell>
          <cell r="K1334">
            <v>400</v>
          </cell>
          <cell r="L1334">
            <v>50</v>
          </cell>
          <cell r="M1334" t="str">
            <v>29/16,7</v>
          </cell>
          <cell r="N1334">
            <v>55</v>
          </cell>
          <cell r="O1334" t="str">
            <v>F(105°C)</v>
          </cell>
          <cell r="P1334" t="str">
            <v>270°</v>
          </cell>
          <cell r="Q1334" t="str">
            <v>TF</v>
          </cell>
          <cell r="R1334" t="str">
            <v>V(VE)</v>
          </cell>
          <cell r="S1334" t="str">
            <v>-</v>
          </cell>
          <cell r="T1334" t="str">
            <v>-</v>
          </cell>
          <cell r="U1334" t="str">
            <v>-</v>
          </cell>
          <cell r="V1334" t="str">
            <v>FC</v>
          </cell>
          <cell r="W1334" t="str">
            <v>-</v>
          </cell>
          <cell r="X1334" t="str">
            <v>CLP HC VG 220 = -20° + 60°</v>
          </cell>
          <cell r="Y1334" t="str">
            <v>KH127DRN160L4 /TF/V</v>
          </cell>
          <cell r="Z1334" t="str">
            <v>SEW</v>
          </cell>
          <cell r="AB1334" t="str">
            <v>-</v>
          </cell>
          <cell r="AF1334">
            <v>16</v>
          </cell>
          <cell r="AG1334" t="str">
            <v>DRN160L4</v>
          </cell>
          <cell r="AH1334" t="str">
            <v>KH127-DRN160L4B270-X#</v>
          </cell>
        </row>
        <row r="1335">
          <cell r="A1335" t="str">
            <v>MR001331</v>
          </cell>
          <cell r="B1335" t="str">
            <v>MR</v>
          </cell>
          <cell r="C1335">
            <v>15</v>
          </cell>
          <cell r="D1335">
            <v>16</v>
          </cell>
          <cell r="E1335" t="str">
            <v>KH127</v>
          </cell>
          <cell r="F1335">
            <v>8730</v>
          </cell>
          <cell r="G1335">
            <v>89.89</v>
          </cell>
          <cell r="H1335">
            <v>1.5</v>
          </cell>
          <cell r="I1335" t="str">
            <v>From M4A to M1A - 30°</v>
          </cell>
          <cell r="J1335" t="str">
            <v>IE3</v>
          </cell>
          <cell r="K1335">
            <v>400</v>
          </cell>
          <cell r="L1335">
            <v>50</v>
          </cell>
          <cell r="M1335" t="str">
            <v>29/16,7</v>
          </cell>
          <cell r="N1335">
            <v>55</v>
          </cell>
          <cell r="O1335" t="str">
            <v>F(105°C)</v>
          </cell>
          <cell r="P1335" t="str">
            <v>270°</v>
          </cell>
          <cell r="Q1335" t="str">
            <v>TF</v>
          </cell>
          <cell r="R1335" t="str">
            <v>V(VE)</v>
          </cell>
          <cell r="S1335" t="str">
            <v>-</v>
          </cell>
          <cell r="T1335" t="str">
            <v>-</v>
          </cell>
          <cell r="U1335" t="str">
            <v>-</v>
          </cell>
          <cell r="V1335" t="str">
            <v>FC</v>
          </cell>
          <cell r="W1335" t="str">
            <v>-</v>
          </cell>
          <cell r="X1335" t="str">
            <v>CLP HC VG 220 = -20° + 60°</v>
          </cell>
          <cell r="Y1335" t="str">
            <v>KH127DRN160L4 /TF/V</v>
          </cell>
          <cell r="Z1335" t="str">
            <v>SEW</v>
          </cell>
          <cell r="AB1335" t="str">
            <v>-</v>
          </cell>
          <cell r="AF1335">
            <v>16</v>
          </cell>
          <cell r="AG1335" t="str">
            <v>DRN160L4</v>
          </cell>
          <cell r="AH1335" t="str">
            <v>KH127-DRN160L4A270-X#</v>
          </cell>
        </row>
        <row r="1336">
          <cell r="A1336" t="str">
            <v>MR001332</v>
          </cell>
          <cell r="B1336" t="str">
            <v>MR</v>
          </cell>
          <cell r="C1336">
            <v>15</v>
          </cell>
          <cell r="D1336">
            <v>16</v>
          </cell>
          <cell r="E1336" t="str">
            <v>KH127</v>
          </cell>
          <cell r="F1336">
            <v>8730</v>
          </cell>
          <cell r="G1336">
            <v>89.89</v>
          </cell>
          <cell r="H1336">
            <v>1.5</v>
          </cell>
          <cell r="I1336" t="str">
            <v>From M4B to M1B - 30°</v>
          </cell>
          <cell r="J1336" t="str">
            <v>IE3</v>
          </cell>
          <cell r="K1336">
            <v>400</v>
          </cell>
          <cell r="L1336">
            <v>50</v>
          </cell>
          <cell r="M1336" t="str">
            <v>29/16,7</v>
          </cell>
          <cell r="N1336">
            <v>55</v>
          </cell>
          <cell r="O1336" t="str">
            <v>F(105°C)</v>
          </cell>
          <cell r="P1336" t="str">
            <v>270°</v>
          </cell>
          <cell r="Q1336" t="str">
            <v>TF</v>
          </cell>
          <cell r="R1336" t="str">
            <v>V(VE)</v>
          </cell>
          <cell r="S1336" t="str">
            <v>-</v>
          </cell>
          <cell r="T1336" t="str">
            <v>-</v>
          </cell>
          <cell r="U1336" t="str">
            <v>-</v>
          </cell>
          <cell r="V1336" t="str">
            <v>FC</v>
          </cell>
          <cell r="W1336" t="str">
            <v>-</v>
          </cell>
          <cell r="X1336" t="str">
            <v>CLP HC VG 220 = -20° + 60°</v>
          </cell>
          <cell r="Y1336" t="str">
            <v>KH127DRN160L4 /TF/V</v>
          </cell>
          <cell r="Z1336" t="str">
            <v>SEW</v>
          </cell>
          <cell r="AB1336" t="str">
            <v>-</v>
          </cell>
          <cell r="AF1336">
            <v>16</v>
          </cell>
          <cell r="AG1336" t="str">
            <v>DRN160L4</v>
          </cell>
          <cell r="AH1336" t="str">
            <v>KH127-DRN160L4B270-X#</v>
          </cell>
        </row>
        <row r="1337">
          <cell r="A1337" t="str">
            <v>MR001333</v>
          </cell>
          <cell r="B1337" t="str">
            <v>MR</v>
          </cell>
          <cell r="C1337">
            <v>15</v>
          </cell>
          <cell r="D1337">
            <v>16</v>
          </cell>
          <cell r="E1337" t="str">
            <v>KH127</v>
          </cell>
          <cell r="F1337">
            <v>8730</v>
          </cell>
          <cell r="G1337">
            <v>89.89</v>
          </cell>
          <cell r="H1337">
            <v>1.5</v>
          </cell>
          <cell r="I1337" t="str">
            <v>From M4A to M1A - 35°</v>
          </cell>
          <cell r="J1337" t="str">
            <v>IE3</v>
          </cell>
          <cell r="K1337">
            <v>400</v>
          </cell>
          <cell r="L1337">
            <v>50</v>
          </cell>
          <cell r="M1337" t="str">
            <v>29/16,7</v>
          </cell>
          <cell r="N1337">
            <v>55</v>
          </cell>
          <cell r="O1337" t="str">
            <v>F(105°C)</v>
          </cell>
          <cell r="P1337" t="str">
            <v>270°</v>
          </cell>
          <cell r="Q1337" t="str">
            <v>TF</v>
          </cell>
          <cell r="R1337" t="str">
            <v>V(VE)</v>
          </cell>
          <cell r="S1337" t="str">
            <v>-</v>
          </cell>
          <cell r="T1337" t="str">
            <v>-</v>
          </cell>
          <cell r="U1337" t="str">
            <v>-</v>
          </cell>
          <cell r="V1337" t="str">
            <v>FC</v>
          </cell>
          <cell r="W1337" t="str">
            <v>-</v>
          </cell>
          <cell r="X1337" t="str">
            <v>CLP HC VG 220 = -20° + 60°</v>
          </cell>
          <cell r="Y1337" t="str">
            <v>KH127DRN160L4 /TF/V</v>
          </cell>
          <cell r="Z1337" t="str">
            <v>SEW</v>
          </cell>
          <cell r="AB1337" t="str">
            <v>-</v>
          </cell>
          <cell r="AE1337" t="str">
            <v>Non usare questo codice, usare codice MR001131</v>
          </cell>
          <cell r="AF1337">
            <v>16</v>
          </cell>
          <cell r="AG1337" t="str">
            <v>DRN160L4</v>
          </cell>
          <cell r="AH1337" t="str">
            <v>KH127-DRN160L4A270-X#</v>
          </cell>
        </row>
        <row r="1338">
          <cell r="A1338" t="str">
            <v>MR001334</v>
          </cell>
          <cell r="B1338" t="str">
            <v>MR</v>
          </cell>
          <cell r="C1338">
            <v>15</v>
          </cell>
          <cell r="D1338">
            <v>16</v>
          </cell>
          <cell r="E1338" t="str">
            <v>KH127</v>
          </cell>
          <cell r="F1338">
            <v>8730</v>
          </cell>
          <cell r="G1338">
            <v>89.89</v>
          </cell>
          <cell r="H1338">
            <v>1.5</v>
          </cell>
          <cell r="I1338" t="str">
            <v>From M4B to M1B - 35°</v>
          </cell>
          <cell r="J1338" t="str">
            <v>IE3</v>
          </cell>
          <cell r="K1338">
            <v>400</v>
          </cell>
          <cell r="L1338">
            <v>50</v>
          </cell>
          <cell r="M1338" t="str">
            <v>29/16,7</v>
          </cell>
          <cell r="N1338">
            <v>55</v>
          </cell>
          <cell r="O1338" t="str">
            <v>F(105°C)</v>
          </cell>
          <cell r="P1338" t="str">
            <v>270°</v>
          </cell>
          <cell r="Q1338" t="str">
            <v>TF</v>
          </cell>
          <cell r="R1338" t="str">
            <v>V(VE)</v>
          </cell>
          <cell r="S1338" t="str">
            <v>-</v>
          </cell>
          <cell r="T1338" t="str">
            <v>-</v>
          </cell>
          <cell r="U1338" t="str">
            <v>-</v>
          </cell>
          <cell r="V1338" t="str">
            <v>FC</v>
          </cell>
          <cell r="W1338" t="str">
            <v>-</v>
          </cell>
          <cell r="X1338" t="str">
            <v>CLP HC VG 220 = -20° + 60°</v>
          </cell>
          <cell r="Y1338" t="str">
            <v>KH127DRN160L4 /TF/V</v>
          </cell>
          <cell r="Z1338" t="str">
            <v>SEW</v>
          </cell>
          <cell r="AB1338" t="str">
            <v>-</v>
          </cell>
          <cell r="AE1338" t="str">
            <v>Non usare questo codice, usare codice MR001132</v>
          </cell>
          <cell r="AF1338">
            <v>16</v>
          </cell>
          <cell r="AG1338" t="str">
            <v>DRN160L4</v>
          </cell>
          <cell r="AH1338" t="str">
            <v>KH127-DRN160L4B270-X#</v>
          </cell>
        </row>
        <row r="1339">
          <cell r="A1339" t="str">
            <v>MR001335</v>
          </cell>
          <cell r="B1339" t="str">
            <v>MR</v>
          </cell>
          <cell r="C1339">
            <v>5.5</v>
          </cell>
          <cell r="D1339">
            <v>20</v>
          </cell>
          <cell r="E1339" t="str">
            <v>R97</v>
          </cell>
          <cell r="F1339">
            <v>2590</v>
          </cell>
          <cell r="G1339">
            <v>72.17</v>
          </cell>
          <cell r="H1339">
            <v>1.1499999999999999</v>
          </cell>
          <cell r="I1339" t="str">
            <v>M1</v>
          </cell>
          <cell r="J1339" t="str">
            <v>IE3</v>
          </cell>
          <cell r="K1339" t="str">
            <v>230/400</v>
          </cell>
          <cell r="L1339">
            <v>50</v>
          </cell>
          <cell r="M1339" t="str">
            <v>18,2/10,5</v>
          </cell>
          <cell r="N1339">
            <v>65</v>
          </cell>
          <cell r="O1339" t="str">
            <v>F(105°C)</v>
          </cell>
          <cell r="P1339" t="str">
            <v>270°</v>
          </cell>
          <cell r="Q1339" t="str">
            <v>-</v>
          </cell>
          <cell r="R1339" t="str">
            <v>-</v>
          </cell>
          <cell r="S1339" t="str">
            <v>-</v>
          </cell>
          <cell r="T1339" t="str">
            <v>-</v>
          </cell>
          <cell r="U1339" t="str">
            <v>-</v>
          </cell>
          <cell r="V1339" t="str">
            <v>-</v>
          </cell>
          <cell r="W1339" t="str">
            <v>-</v>
          </cell>
          <cell r="X1339" t="str">
            <v>CLP VG 220 = -15° + 40°</v>
          </cell>
          <cell r="Y1339" t="str">
            <v>R97DRN132S4</v>
          </cell>
          <cell r="Z1339" t="str">
            <v>SEW</v>
          </cell>
          <cell r="AB1339" t="str">
            <v>-</v>
          </cell>
          <cell r="AF1339">
            <v>20</v>
          </cell>
          <cell r="AG1339" t="str">
            <v>DRN132S4</v>
          </cell>
          <cell r="AH1339" t="str">
            <v>R97-DRN132S4270-X</v>
          </cell>
        </row>
        <row r="1340">
          <cell r="A1340" t="str">
            <v>MR001336</v>
          </cell>
          <cell r="B1340" t="str">
            <v>MR</v>
          </cell>
          <cell r="C1340">
            <v>0.37</v>
          </cell>
          <cell r="D1340">
            <v>3.4</v>
          </cell>
          <cell r="E1340" t="str">
            <v>KA67R37</v>
          </cell>
          <cell r="F1340">
            <v>920</v>
          </cell>
          <cell r="G1340">
            <v>420</v>
          </cell>
          <cell r="H1340">
            <v>0.9</v>
          </cell>
          <cell r="I1340" t="str">
            <v>M3B</v>
          </cell>
          <cell r="J1340" t="str">
            <v>IE3</v>
          </cell>
          <cell r="K1340" t="str">
            <v>230/400</v>
          </cell>
          <cell r="L1340">
            <v>50</v>
          </cell>
          <cell r="M1340" t="str">
            <v>1,78/1,02</v>
          </cell>
          <cell r="N1340">
            <v>55</v>
          </cell>
          <cell r="O1340" t="str">
            <v>F(105°C)</v>
          </cell>
          <cell r="P1340" t="str">
            <v>270°</v>
          </cell>
          <cell r="Q1340" t="str">
            <v>-</v>
          </cell>
          <cell r="R1340" t="str">
            <v>-</v>
          </cell>
          <cell r="S1340" t="str">
            <v>-</v>
          </cell>
          <cell r="T1340" t="str">
            <v>BEHF Brake 230V monophase</v>
          </cell>
          <cell r="U1340" t="str">
            <v>T</v>
          </cell>
          <cell r="V1340" t="str">
            <v>D+R</v>
          </cell>
          <cell r="W1340" t="str">
            <v>-</v>
          </cell>
          <cell r="X1340" t="str">
            <v>CLP VG 220 = -15° + 40°</v>
          </cell>
          <cell r="Y1340" t="str">
            <v>KA67R37/T DRS71S4 /BEHF Brake 230V monophase</v>
          </cell>
          <cell r="Z1340" t="str">
            <v>SEW</v>
          </cell>
          <cell r="AA1340">
            <v>9010</v>
          </cell>
          <cell r="AB1340" t="str">
            <v>-</v>
          </cell>
          <cell r="AF1340">
            <v>3.4</v>
          </cell>
          <cell r="AG1340" t="str">
            <v>DRS71S4</v>
          </cell>
          <cell r="AH1340" t="str">
            <v>KA67R37T-DRS71S4B270-X</v>
          </cell>
        </row>
        <row r="1341">
          <cell r="A1341" t="str">
            <v>MR001337</v>
          </cell>
          <cell r="B1341" t="str">
            <v>MR</v>
          </cell>
          <cell r="C1341">
            <v>30</v>
          </cell>
          <cell r="D1341">
            <v>4</v>
          </cell>
          <cell r="E1341" t="str">
            <v>316R4</v>
          </cell>
          <cell r="F1341">
            <v>195</v>
          </cell>
          <cell r="G1341">
            <v>363</v>
          </cell>
          <cell r="I1341" t="str">
            <v>I0 (inclinato 17°)</v>
          </cell>
          <cell r="J1341" t="str">
            <v>IE2</v>
          </cell>
          <cell r="K1341" t="str">
            <v>400/690</v>
          </cell>
          <cell r="L1341">
            <v>50</v>
          </cell>
          <cell r="M1341" t="str">
            <v>63/36,5</v>
          </cell>
          <cell r="N1341">
            <v>55</v>
          </cell>
          <cell r="O1341" t="str">
            <v>F(105°C)</v>
          </cell>
          <cell r="Q1341" t="str">
            <v>TF</v>
          </cell>
          <cell r="R1341" t="str">
            <v>U1</v>
          </cell>
          <cell r="S1341" t="str">
            <v>-</v>
          </cell>
          <cell r="T1341" t="str">
            <v>-</v>
          </cell>
          <cell r="U1341" t="str">
            <v>-</v>
          </cell>
          <cell r="V1341" t="str">
            <v>FC</v>
          </cell>
          <cell r="W1341" t="str">
            <v>-</v>
          </cell>
          <cell r="X1341" t="str">
            <v>CLP VG 220 = -15° + 40°</v>
          </cell>
          <cell r="Y1341" t="str">
            <v>316 R4 363 PC P200 I0 TN200L4P-B5 D3 U1 S</v>
          </cell>
          <cell r="Z1341" t="str">
            <v>Bonfiglioli</v>
          </cell>
          <cell r="AA1341">
            <v>9010</v>
          </cell>
          <cell r="AB1341" t="str">
            <v>-</v>
          </cell>
          <cell r="AE1341" t="str">
            <v>Composto da motore MR001645+riduttoreMR001646 Predisposto per inverter TF+servofan. Fornire pieni d'olio. RAL 9010</v>
          </cell>
          <cell r="AF1341">
            <v>4</v>
          </cell>
          <cell r="AG1341" t="str">
            <v>DRN200L4</v>
          </cell>
          <cell r="AH1341" t="str">
            <v>316R4-DRN200L4-X#</v>
          </cell>
        </row>
        <row r="1342">
          <cell r="A1342" t="str">
            <v>MR001338</v>
          </cell>
          <cell r="B1342" t="str">
            <v>MR</v>
          </cell>
          <cell r="C1342">
            <v>4</v>
          </cell>
          <cell r="D1342">
            <v>67</v>
          </cell>
          <cell r="E1342" t="str">
            <v>FH67</v>
          </cell>
          <cell r="F1342">
            <v>575</v>
          </cell>
          <cell r="G1342">
            <v>22.05</v>
          </cell>
          <cell r="H1342">
            <v>1.45</v>
          </cell>
          <cell r="I1342" t="str">
            <v>From M1 to M6 - 15°</v>
          </cell>
          <cell r="J1342" t="str">
            <v>IE3</v>
          </cell>
          <cell r="K1342" t="str">
            <v>230/400</v>
          </cell>
          <cell r="L1342">
            <v>50</v>
          </cell>
          <cell r="M1342" t="str">
            <v>13,8/7,9</v>
          </cell>
          <cell r="N1342">
            <v>55</v>
          </cell>
          <cell r="O1342" t="str">
            <v>F(105°C)</v>
          </cell>
          <cell r="P1342" t="str">
            <v>270°</v>
          </cell>
          <cell r="Q1342" t="str">
            <v>-</v>
          </cell>
          <cell r="R1342" t="str">
            <v>-</v>
          </cell>
          <cell r="S1342" t="str">
            <v>-</v>
          </cell>
          <cell r="T1342" t="str">
            <v>-</v>
          </cell>
          <cell r="U1342" t="str">
            <v>G</v>
          </cell>
          <cell r="V1342" t="str">
            <v>D</v>
          </cell>
          <cell r="W1342" t="str">
            <v>-</v>
          </cell>
          <cell r="X1342" t="str">
            <v>CLP VG 220 = -15° + 40°</v>
          </cell>
          <cell r="Y1342" t="str">
            <v>FH67/G DRN112M4</v>
          </cell>
          <cell r="Z1342" t="str">
            <v>SEW</v>
          </cell>
          <cell r="AA1342">
            <v>9010</v>
          </cell>
          <cell r="AB1342" t="str">
            <v>-</v>
          </cell>
          <cell r="AF1342">
            <v>67</v>
          </cell>
          <cell r="AG1342" t="str">
            <v>DRN112M4</v>
          </cell>
          <cell r="AH1342" t="str">
            <v>FH67G-DRN112M4270-X</v>
          </cell>
        </row>
        <row r="1343">
          <cell r="A1343" t="str">
            <v>MR001339</v>
          </cell>
          <cell r="B1343" t="str">
            <v>ME</v>
          </cell>
          <cell r="C1343">
            <v>15</v>
          </cell>
          <cell r="D1343">
            <v>1474</v>
          </cell>
          <cell r="E1343" t="str">
            <v>-</v>
          </cell>
          <cell r="J1343" t="str">
            <v>IE3</v>
          </cell>
          <cell r="K1343" t="str">
            <v>400/690</v>
          </cell>
          <cell r="L1343">
            <v>50</v>
          </cell>
          <cell r="M1343" t="str">
            <v>29/16,7</v>
          </cell>
          <cell r="N1343">
            <v>55</v>
          </cell>
          <cell r="O1343" t="str">
            <v>F(105°C)</v>
          </cell>
          <cell r="Q1343" t="str">
            <v>-</v>
          </cell>
          <cell r="R1343" t="str">
            <v>-</v>
          </cell>
          <cell r="S1343" t="str">
            <v>Free rotation CCW</v>
          </cell>
          <cell r="T1343" t="str">
            <v>-</v>
          </cell>
          <cell r="U1343" t="str">
            <v>-</v>
          </cell>
          <cell r="V1343" t="str">
            <v>D</v>
          </cell>
          <cell r="W1343" t="str">
            <v>-</v>
          </cell>
          <cell r="X1343" t="str">
            <v>-</v>
          </cell>
          <cell r="Y1343" t="str">
            <v>DRN160L4/FG/RS</v>
          </cell>
          <cell r="Z1343" t="str">
            <v>SEW</v>
          </cell>
          <cell r="AB1343" t="str">
            <v>-</v>
          </cell>
          <cell r="AF1343">
            <v>1474</v>
          </cell>
          <cell r="AG1343" t="str">
            <v>DRN160L4</v>
          </cell>
          <cell r="AH1343" t="str">
            <v>--DRN160L4-X</v>
          </cell>
        </row>
        <row r="1344">
          <cell r="A1344" t="str">
            <v>MR001340</v>
          </cell>
          <cell r="B1344" t="str">
            <v>MR</v>
          </cell>
          <cell r="C1344">
            <v>3</v>
          </cell>
          <cell r="D1344">
            <v>20</v>
          </cell>
          <cell r="E1344" t="str">
            <v>FA77</v>
          </cell>
          <cell r="F1344">
            <v>1430</v>
          </cell>
          <cell r="G1344">
            <v>72.5</v>
          </cell>
          <cell r="H1344">
            <v>1.05</v>
          </cell>
          <cell r="I1344" t="str">
            <v>M1</v>
          </cell>
          <cell r="J1344" t="str">
            <v>IE3</v>
          </cell>
          <cell r="K1344" t="str">
            <v>230/400</v>
          </cell>
          <cell r="L1344">
            <v>50</v>
          </cell>
          <cell r="M1344" t="str">
            <v>11,2/6,4</v>
          </cell>
          <cell r="N1344">
            <v>55</v>
          </cell>
          <cell r="O1344" t="str">
            <v>F(105°C)</v>
          </cell>
          <cell r="P1344" t="str">
            <v>270°</v>
          </cell>
          <cell r="Q1344" t="str">
            <v>-</v>
          </cell>
          <cell r="R1344" t="str">
            <v>-</v>
          </cell>
          <cell r="S1344" t="str">
            <v>-</v>
          </cell>
          <cell r="T1344" t="str">
            <v>-</v>
          </cell>
          <cell r="U1344" t="str">
            <v>G</v>
          </cell>
          <cell r="V1344" t="str">
            <v>D</v>
          </cell>
          <cell r="W1344" t="str">
            <v>-</v>
          </cell>
          <cell r="X1344" t="str">
            <v>CLP VG 220 = -15° + 40°</v>
          </cell>
          <cell r="Y1344" t="str">
            <v>FA77/G DRN100L4</v>
          </cell>
          <cell r="Z1344" t="str">
            <v>SEW</v>
          </cell>
          <cell r="AB1344" t="str">
            <v>-</v>
          </cell>
          <cell r="AF1344">
            <v>20</v>
          </cell>
          <cell r="AG1344" t="str">
            <v>DRN100L4</v>
          </cell>
          <cell r="AH1344" t="str">
            <v>FA77G-DRN100L4270-X</v>
          </cell>
        </row>
        <row r="1345">
          <cell r="A1345" t="str">
            <v>MR001341</v>
          </cell>
          <cell r="B1345" t="str">
            <v>MR</v>
          </cell>
          <cell r="C1345">
            <v>15</v>
          </cell>
          <cell r="D1345">
            <v>16</v>
          </cell>
          <cell r="E1345" t="str">
            <v>KH127</v>
          </cell>
          <cell r="F1345">
            <v>8730</v>
          </cell>
          <cell r="G1345">
            <v>89.89</v>
          </cell>
          <cell r="H1345">
            <v>1.5</v>
          </cell>
          <cell r="I1345" t="str">
            <v>From M4A to M1A - 45°</v>
          </cell>
          <cell r="J1345" t="str">
            <v>IE3</v>
          </cell>
          <cell r="K1345" t="str">
            <v>400/690</v>
          </cell>
          <cell r="L1345">
            <v>50</v>
          </cell>
          <cell r="M1345" t="str">
            <v>29/16,7</v>
          </cell>
          <cell r="N1345">
            <v>55</v>
          </cell>
          <cell r="O1345" t="str">
            <v>F(105°C)</v>
          </cell>
          <cell r="P1345" t="str">
            <v>270°</v>
          </cell>
          <cell r="Q1345" t="str">
            <v>TF</v>
          </cell>
          <cell r="R1345" t="str">
            <v>V(VE)</v>
          </cell>
          <cell r="S1345" t="str">
            <v>-</v>
          </cell>
          <cell r="T1345" t="str">
            <v>-</v>
          </cell>
          <cell r="U1345" t="str">
            <v>-</v>
          </cell>
          <cell r="V1345" t="str">
            <v>FC</v>
          </cell>
          <cell r="W1345" t="str">
            <v>-</v>
          </cell>
          <cell r="X1345" t="str">
            <v>CLP VG 220 = -15° + 40°</v>
          </cell>
          <cell r="Y1345" t="str">
            <v>KH127DRN160L4 /TF/V</v>
          </cell>
          <cell r="Z1345" t="str">
            <v>SEW</v>
          </cell>
          <cell r="AA1345">
            <v>9010</v>
          </cell>
          <cell r="AB1345" t="str">
            <v>-</v>
          </cell>
          <cell r="AF1345">
            <v>16</v>
          </cell>
          <cell r="AG1345" t="str">
            <v>DRN160L4</v>
          </cell>
          <cell r="AH1345" t="str">
            <v>KH127-DRN160L4A270-X#</v>
          </cell>
        </row>
        <row r="1346">
          <cell r="A1346" t="str">
            <v>MR001342</v>
          </cell>
          <cell r="B1346" t="str">
            <v>MR</v>
          </cell>
          <cell r="C1346">
            <v>15</v>
          </cell>
          <cell r="D1346">
            <v>16</v>
          </cell>
          <cell r="E1346" t="str">
            <v>KH127</v>
          </cell>
          <cell r="F1346">
            <v>8730</v>
          </cell>
          <cell r="G1346">
            <v>89.89</v>
          </cell>
          <cell r="H1346">
            <v>1.5</v>
          </cell>
          <cell r="I1346" t="str">
            <v>From M4B to M1B - 45°</v>
          </cell>
          <cell r="J1346" t="str">
            <v>IE3</v>
          </cell>
          <cell r="K1346" t="str">
            <v>400/690</v>
          </cell>
          <cell r="L1346">
            <v>50</v>
          </cell>
          <cell r="M1346" t="str">
            <v>29/16,7</v>
          </cell>
          <cell r="N1346">
            <v>55</v>
          </cell>
          <cell r="O1346" t="str">
            <v>F(105°C)</v>
          </cell>
          <cell r="P1346" t="str">
            <v>270°</v>
          </cell>
          <cell r="Q1346" t="str">
            <v>TF</v>
          </cell>
          <cell r="R1346" t="str">
            <v>V(VE)</v>
          </cell>
          <cell r="S1346" t="str">
            <v>-</v>
          </cell>
          <cell r="T1346" t="str">
            <v>-</v>
          </cell>
          <cell r="U1346" t="str">
            <v>-</v>
          </cell>
          <cell r="V1346" t="str">
            <v>FC</v>
          </cell>
          <cell r="W1346" t="str">
            <v>-</v>
          </cell>
          <cell r="X1346" t="str">
            <v>CLP VG 220 = -15° + 40°</v>
          </cell>
          <cell r="Y1346" t="str">
            <v>KH127DRN160L4 /TF/V</v>
          </cell>
          <cell r="Z1346" t="str">
            <v>SEW</v>
          </cell>
          <cell r="AA1346">
            <v>9010</v>
          </cell>
          <cell r="AB1346" t="str">
            <v>-</v>
          </cell>
          <cell r="AF1346">
            <v>16</v>
          </cell>
          <cell r="AG1346" t="str">
            <v>DRN160L4</v>
          </cell>
          <cell r="AH1346" t="str">
            <v>KH127-DRN160L4B270-X#</v>
          </cell>
        </row>
        <row r="1347">
          <cell r="A1347" t="str">
            <v>MR001343</v>
          </cell>
          <cell r="B1347" t="str">
            <v>MR</v>
          </cell>
          <cell r="C1347">
            <v>7.5</v>
          </cell>
          <cell r="D1347">
            <v>57</v>
          </cell>
          <cell r="E1347" t="str">
            <v>KH77</v>
          </cell>
          <cell r="F1347">
            <v>1240</v>
          </cell>
          <cell r="G1347">
            <v>25.62</v>
          </cell>
          <cell r="H1347">
            <v>1.25</v>
          </cell>
          <cell r="I1347" t="str">
            <v>From M4A to M1A - 15°</v>
          </cell>
          <cell r="J1347" t="str">
            <v>IE3</v>
          </cell>
          <cell r="K1347" t="str">
            <v>400/690</v>
          </cell>
          <cell r="L1347">
            <v>50</v>
          </cell>
          <cell r="M1347" t="str">
            <v>15,2/8,8</v>
          </cell>
          <cell r="N1347">
            <v>55</v>
          </cell>
          <cell r="O1347" t="str">
            <v>F(105°C)</v>
          </cell>
          <cell r="P1347" t="str">
            <v>270°</v>
          </cell>
          <cell r="Q1347" t="str">
            <v>-</v>
          </cell>
          <cell r="R1347" t="str">
            <v>-</v>
          </cell>
          <cell r="S1347" t="str">
            <v>Free rotation CCW</v>
          </cell>
          <cell r="T1347" t="str">
            <v>-</v>
          </cell>
          <cell r="U1347" t="str">
            <v>T</v>
          </cell>
          <cell r="V1347" t="str">
            <v>SS</v>
          </cell>
          <cell r="W1347" t="str">
            <v>-</v>
          </cell>
          <cell r="X1347" t="str">
            <v>CLP VG 220 = -15° + 40°</v>
          </cell>
          <cell r="Y1347" t="str">
            <v>KH77/T DRN132M4 /RS</v>
          </cell>
          <cell r="Z1347" t="str">
            <v>SEW</v>
          </cell>
          <cell r="AA1347">
            <v>9010</v>
          </cell>
          <cell r="AB1347" t="str">
            <v>-</v>
          </cell>
          <cell r="AF1347">
            <v>57</v>
          </cell>
          <cell r="AG1347" t="str">
            <v>DRN132M4</v>
          </cell>
          <cell r="AH1347" t="str">
            <v>KH77T-DRN132M4A270-X</v>
          </cell>
        </row>
        <row r="1348">
          <cell r="A1348" t="str">
            <v>MR001344</v>
          </cell>
          <cell r="B1348" t="str">
            <v>MR</v>
          </cell>
          <cell r="C1348">
            <v>5.5</v>
          </cell>
          <cell r="D1348">
            <v>47</v>
          </cell>
          <cell r="E1348" t="str">
            <v>K77</v>
          </cell>
          <cell r="F1348">
            <v>1110</v>
          </cell>
          <cell r="G1348">
            <v>30.89</v>
          </cell>
          <cell r="H1348">
            <v>1.4</v>
          </cell>
          <cell r="I1348" t="str">
            <v>M4A</v>
          </cell>
          <cell r="J1348" t="str">
            <v>IE3</v>
          </cell>
          <cell r="K1348" t="str">
            <v>230/400</v>
          </cell>
          <cell r="L1348">
            <v>50</v>
          </cell>
          <cell r="M1348" t="str">
            <v>18,2/10,5</v>
          </cell>
          <cell r="N1348">
            <v>55</v>
          </cell>
          <cell r="O1348" t="str">
            <v>F(105°C)</v>
          </cell>
          <cell r="P1348" t="str">
            <v>270°</v>
          </cell>
          <cell r="Q1348" t="str">
            <v>TF</v>
          </cell>
          <cell r="R1348" t="str">
            <v>V(VE)</v>
          </cell>
          <cell r="S1348" t="str">
            <v>-</v>
          </cell>
          <cell r="T1348" t="str">
            <v>-</v>
          </cell>
          <cell r="U1348" t="str">
            <v>-</v>
          </cell>
          <cell r="V1348" t="str">
            <v>FC</v>
          </cell>
          <cell r="W1348" t="str">
            <v>-</v>
          </cell>
          <cell r="X1348" t="str">
            <v>CLP VG 220 = -15° + 40°</v>
          </cell>
          <cell r="Y1348" t="str">
            <v>K77DRN132S4 /TF/V</v>
          </cell>
          <cell r="Z1348" t="str">
            <v>SEW</v>
          </cell>
          <cell r="AA1348">
            <v>9010</v>
          </cell>
          <cell r="AB1348" t="str">
            <v>-</v>
          </cell>
          <cell r="AF1348">
            <v>47</v>
          </cell>
          <cell r="AG1348" t="str">
            <v>DRN132S4</v>
          </cell>
          <cell r="AH1348" t="str">
            <v>K77-DRN132S4A270-X#</v>
          </cell>
        </row>
        <row r="1349">
          <cell r="A1349" t="str">
            <v>MR001345</v>
          </cell>
          <cell r="B1349" t="str">
            <v>MR</v>
          </cell>
          <cell r="C1349">
            <v>15</v>
          </cell>
          <cell r="D1349">
            <v>18</v>
          </cell>
          <cell r="E1349" t="str">
            <v>KH127</v>
          </cell>
          <cell r="F1349">
            <v>7960</v>
          </cell>
          <cell r="G1349">
            <v>81.98</v>
          </cell>
          <cell r="H1349">
            <v>1.65</v>
          </cell>
          <cell r="I1349" t="str">
            <v>From M1 to M4 A 55°</v>
          </cell>
          <cell r="J1349" t="str">
            <v>IE3</v>
          </cell>
          <cell r="K1349">
            <v>400</v>
          </cell>
          <cell r="L1349">
            <v>50</v>
          </cell>
          <cell r="N1349">
            <v>55</v>
          </cell>
          <cell r="O1349" t="str">
            <v>F(105°C)</v>
          </cell>
          <cell r="P1349" t="str">
            <v>270°</v>
          </cell>
          <cell r="Q1349" t="str">
            <v>TF</v>
          </cell>
          <cell r="R1349" t="str">
            <v>-</v>
          </cell>
          <cell r="S1349" t="str">
            <v>-</v>
          </cell>
          <cell r="T1349" t="str">
            <v>-</v>
          </cell>
          <cell r="U1349" t="str">
            <v>-</v>
          </cell>
          <cell r="V1349" t="str">
            <v>FC</v>
          </cell>
          <cell r="W1349" t="str">
            <v>-</v>
          </cell>
          <cell r="X1349" t="str">
            <v>CLP VG 220 = -15° + 40°</v>
          </cell>
          <cell r="Y1349" t="str">
            <v>KH127DRN160L4 /TF</v>
          </cell>
          <cell r="Z1349" t="str">
            <v>SEW</v>
          </cell>
          <cell r="AB1349" t="str">
            <v>-</v>
          </cell>
          <cell r="AF1349">
            <v>18</v>
          </cell>
          <cell r="AG1349" t="str">
            <v>DRN160L4</v>
          </cell>
          <cell r="AH1349" t="str">
            <v>KH127-DRN160L4A270-X</v>
          </cell>
        </row>
        <row r="1350">
          <cell r="A1350" t="str">
            <v>MR001346</v>
          </cell>
          <cell r="B1350" t="str">
            <v>MR</v>
          </cell>
          <cell r="C1350">
            <v>1.1000000000000001</v>
          </cell>
          <cell r="D1350">
            <v>7.8</v>
          </cell>
          <cell r="E1350" t="str">
            <v>R97</v>
          </cell>
          <cell r="F1350">
            <v>1350</v>
          </cell>
          <cell r="G1350">
            <v>186.3</v>
          </cell>
          <cell r="H1350">
            <v>2.2000000000000002</v>
          </cell>
          <cell r="I1350" t="str">
            <v>M1</v>
          </cell>
          <cell r="J1350" t="str">
            <v>IE3</v>
          </cell>
          <cell r="K1350" t="str">
            <v>230/400</v>
          </cell>
          <cell r="L1350">
            <v>50</v>
          </cell>
          <cell r="M1350" t="str">
            <v>4,45/2,55</v>
          </cell>
          <cell r="N1350">
            <v>65</v>
          </cell>
          <cell r="O1350" t="str">
            <v>F(105°C)</v>
          </cell>
          <cell r="P1350" t="str">
            <v>270°</v>
          </cell>
          <cell r="Q1350" t="str">
            <v>-</v>
          </cell>
          <cell r="R1350" t="str">
            <v>-</v>
          </cell>
          <cell r="S1350" t="str">
            <v>-</v>
          </cell>
          <cell r="T1350" t="str">
            <v>-</v>
          </cell>
          <cell r="U1350" t="str">
            <v>-</v>
          </cell>
          <cell r="V1350" t="str">
            <v>-</v>
          </cell>
          <cell r="W1350" t="str">
            <v>-</v>
          </cell>
          <cell r="X1350" t="str">
            <v>CLP VG 220 = -15° + 40°</v>
          </cell>
          <cell r="Y1350" t="str">
            <v>R97DRN90S4</v>
          </cell>
          <cell r="Z1350" t="str">
            <v>SEW</v>
          </cell>
          <cell r="AB1350" t="str">
            <v>-</v>
          </cell>
          <cell r="AF1350">
            <v>7.8</v>
          </cell>
          <cell r="AG1350" t="str">
            <v>DRN90S4</v>
          </cell>
          <cell r="AH1350" t="str">
            <v>R97-DRN90S4270-X</v>
          </cell>
        </row>
        <row r="1351">
          <cell r="A1351" t="str">
            <v>MR001347</v>
          </cell>
          <cell r="B1351" t="str">
            <v>MR</v>
          </cell>
          <cell r="C1351">
            <v>11</v>
          </cell>
          <cell r="D1351">
            <v>59</v>
          </cell>
          <cell r="E1351" t="str">
            <v>R97</v>
          </cell>
          <cell r="F1351">
            <v>1780</v>
          </cell>
          <cell r="G1351">
            <v>25.03</v>
          </cell>
          <cell r="H1351">
            <v>1.2</v>
          </cell>
          <cell r="I1351" t="str">
            <v>M1</v>
          </cell>
          <cell r="J1351" t="str">
            <v>IE3</v>
          </cell>
          <cell r="K1351" t="str">
            <v>400/690</v>
          </cell>
          <cell r="L1351">
            <v>50</v>
          </cell>
          <cell r="M1351" t="str">
            <v>21,5/12,3</v>
          </cell>
          <cell r="N1351">
            <v>55</v>
          </cell>
          <cell r="O1351" t="str">
            <v>F(105°C)</v>
          </cell>
          <cell r="P1351" t="str">
            <v>270°</v>
          </cell>
          <cell r="Q1351" t="str">
            <v>-</v>
          </cell>
          <cell r="R1351" t="str">
            <v>-</v>
          </cell>
          <cell r="S1351" t="str">
            <v>-</v>
          </cell>
          <cell r="T1351" t="str">
            <v>-</v>
          </cell>
          <cell r="U1351" t="str">
            <v>-</v>
          </cell>
          <cell r="V1351" t="str">
            <v>D</v>
          </cell>
          <cell r="W1351" t="str">
            <v>-</v>
          </cell>
          <cell r="X1351" t="str">
            <v>CLP HC VG 220 = -20° + 60°</v>
          </cell>
          <cell r="Y1351" t="str">
            <v>R97EDRN160M4</v>
          </cell>
          <cell r="Z1351" t="str">
            <v>SEW</v>
          </cell>
          <cell r="AB1351" t="str">
            <v>ATEX22</v>
          </cell>
          <cell r="AF1351">
            <v>59</v>
          </cell>
          <cell r="AG1351" t="str">
            <v>EDRN160M4</v>
          </cell>
          <cell r="AH1351" t="str">
            <v>R97-EDRN160M4270-X</v>
          </cell>
        </row>
        <row r="1352">
          <cell r="A1352" t="str">
            <v>MR001348</v>
          </cell>
          <cell r="B1352" t="str">
            <v>MR</v>
          </cell>
          <cell r="C1352">
            <v>15</v>
          </cell>
          <cell r="D1352">
            <v>59</v>
          </cell>
          <cell r="E1352" t="str">
            <v>R107</v>
          </cell>
          <cell r="F1352">
            <v>2410</v>
          </cell>
          <cell r="G1352">
            <v>24.9</v>
          </cell>
          <cell r="H1352">
            <v>1.8</v>
          </cell>
          <cell r="I1352" t="str">
            <v>M1</v>
          </cell>
          <cell r="J1352" t="str">
            <v>IE3</v>
          </cell>
          <cell r="K1352" t="str">
            <v>400/690</v>
          </cell>
          <cell r="L1352">
            <v>50</v>
          </cell>
          <cell r="M1352" t="str">
            <v>29,5/16,9</v>
          </cell>
          <cell r="N1352">
            <v>55</v>
          </cell>
          <cell r="O1352" t="str">
            <v>F(105°C)</v>
          </cell>
          <cell r="P1352" t="str">
            <v>270°</v>
          </cell>
          <cell r="Q1352" t="str">
            <v>-</v>
          </cell>
          <cell r="R1352" t="str">
            <v>-</v>
          </cell>
          <cell r="S1352" t="str">
            <v>-</v>
          </cell>
          <cell r="T1352" t="str">
            <v>-</v>
          </cell>
          <cell r="U1352" t="str">
            <v>-</v>
          </cell>
          <cell r="V1352" t="str">
            <v>D</v>
          </cell>
          <cell r="W1352" t="str">
            <v>-</v>
          </cell>
          <cell r="X1352" t="str">
            <v>CLP HC VG 220 = -20° + 60°</v>
          </cell>
          <cell r="Y1352" t="str">
            <v>R107EDRN160L4</v>
          </cell>
          <cell r="Z1352" t="str">
            <v>SEW</v>
          </cell>
          <cell r="AB1352" t="str">
            <v>ATEX22</v>
          </cell>
          <cell r="AF1352">
            <v>59</v>
          </cell>
          <cell r="AG1352" t="str">
            <v>EDRN160L4</v>
          </cell>
          <cell r="AH1352" t="str">
            <v>R107-EDRN160L4270-X</v>
          </cell>
        </row>
        <row r="1353">
          <cell r="A1353" t="str">
            <v>MR001349</v>
          </cell>
          <cell r="B1353" t="str">
            <v>MR</v>
          </cell>
          <cell r="C1353">
            <v>15</v>
          </cell>
          <cell r="D1353">
            <v>59</v>
          </cell>
          <cell r="E1353" t="str">
            <v>R107</v>
          </cell>
          <cell r="F1353">
            <v>2410</v>
          </cell>
          <cell r="G1353">
            <v>24.9</v>
          </cell>
          <cell r="H1353">
            <v>1.8</v>
          </cell>
          <cell r="I1353" t="str">
            <v>From M1 to M2 - 15°</v>
          </cell>
          <cell r="J1353" t="str">
            <v>IE3</v>
          </cell>
          <cell r="K1353" t="str">
            <v>400/690</v>
          </cell>
          <cell r="L1353">
            <v>50</v>
          </cell>
          <cell r="M1353" t="str">
            <v>29,5/16,9</v>
          </cell>
          <cell r="N1353">
            <v>55</v>
          </cell>
          <cell r="O1353" t="str">
            <v>F(105°C)</v>
          </cell>
          <cell r="P1353" t="str">
            <v>270°</v>
          </cell>
          <cell r="Q1353" t="str">
            <v>-</v>
          </cell>
          <cell r="R1353" t="str">
            <v>-</v>
          </cell>
          <cell r="S1353" t="str">
            <v>-</v>
          </cell>
          <cell r="T1353" t="str">
            <v>-</v>
          </cell>
          <cell r="U1353" t="str">
            <v>-</v>
          </cell>
          <cell r="V1353" t="str">
            <v>D</v>
          </cell>
          <cell r="W1353" t="str">
            <v>-</v>
          </cell>
          <cell r="X1353" t="str">
            <v>CLP HC VG 220 = -20° + 60°</v>
          </cell>
          <cell r="Y1353" t="str">
            <v>R107EDRN160L4</v>
          </cell>
          <cell r="Z1353" t="str">
            <v>SEW</v>
          </cell>
          <cell r="AB1353" t="str">
            <v>ATEX22</v>
          </cell>
          <cell r="AF1353">
            <v>59</v>
          </cell>
          <cell r="AG1353" t="str">
            <v>EDRN160L4</v>
          </cell>
          <cell r="AH1353" t="str">
            <v>R107-EDRN160L4270-X</v>
          </cell>
        </row>
        <row r="1354">
          <cell r="A1354" t="str">
            <v>MR001350</v>
          </cell>
          <cell r="B1354" t="str">
            <v>MR</v>
          </cell>
          <cell r="C1354">
            <v>30</v>
          </cell>
          <cell r="D1354">
            <v>107</v>
          </cell>
          <cell r="E1354" t="str">
            <v>KH97</v>
          </cell>
          <cell r="F1354">
            <v>2680</v>
          </cell>
          <cell r="G1354">
            <v>13.85</v>
          </cell>
          <cell r="H1354">
            <v>1.4</v>
          </cell>
          <cell r="I1354" t="str">
            <v>M4A</v>
          </cell>
          <cell r="J1354" t="str">
            <v>IE3</v>
          </cell>
          <cell r="K1354" t="str">
            <v>400/690</v>
          </cell>
          <cell r="L1354">
            <v>50</v>
          </cell>
          <cell r="M1354" t="str">
            <v>57/33</v>
          </cell>
          <cell r="N1354">
            <v>55</v>
          </cell>
          <cell r="O1354" t="str">
            <v>F(105°C)</v>
          </cell>
          <cell r="P1354" t="str">
            <v>270°</v>
          </cell>
          <cell r="Q1354" t="str">
            <v>TF</v>
          </cell>
          <cell r="R1354" t="str">
            <v>V(VE)</v>
          </cell>
          <cell r="S1354" t="str">
            <v>Free rotation CCW</v>
          </cell>
          <cell r="T1354" t="str">
            <v>-</v>
          </cell>
          <cell r="U1354" t="str">
            <v>T</v>
          </cell>
          <cell r="V1354" t="str">
            <v>FC</v>
          </cell>
          <cell r="W1354" t="str">
            <v>-</v>
          </cell>
          <cell r="X1354" t="str">
            <v>CLP HC VG 220 = -20° + 60°</v>
          </cell>
          <cell r="Y1354" t="str">
            <v>KH97/T EDRN200L4 /RS /TF/VE</v>
          </cell>
          <cell r="Z1354" t="str">
            <v>SEW</v>
          </cell>
          <cell r="AB1354" t="str">
            <v>ATEX22</v>
          </cell>
          <cell r="AF1354">
            <v>107</v>
          </cell>
          <cell r="AG1354" t="str">
            <v>EDRN200L4</v>
          </cell>
          <cell r="AH1354" t="str">
            <v>KH97T-EDRN200L4A270-X#</v>
          </cell>
        </row>
        <row r="1355">
          <cell r="A1355" t="str">
            <v>MR001351</v>
          </cell>
          <cell r="B1355" t="str">
            <v>MR</v>
          </cell>
          <cell r="C1355">
            <v>30</v>
          </cell>
          <cell r="D1355">
            <v>107</v>
          </cell>
          <cell r="E1355" t="str">
            <v>KH97</v>
          </cell>
          <cell r="F1355">
            <v>2680</v>
          </cell>
          <cell r="G1355">
            <v>13.85</v>
          </cell>
          <cell r="H1355">
            <v>1.4</v>
          </cell>
          <cell r="I1355" t="str">
            <v>M4B</v>
          </cell>
          <cell r="J1355" t="str">
            <v>IE3</v>
          </cell>
          <cell r="K1355" t="str">
            <v>400/690</v>
          </cell>
          <cell r="L1355">
            <v>50</v>
          </cell>
          <cell r="M1355" t="str">
            <v>57/33</v>
          </cell>
          <cell r="N1355">
            <v>55</v>
          </cell>
          <cell r="O1355" t="str">
            <v>F(105°C)</v>
          </cell>
          <cell r="P1355" t="str">
            <v>270°</v>
          </cell>
          <cell r="Q1355" t="str">
            <v>TF</v>
          </cell>
          <cell r="R1355" t="str">
            <v>V(VE)</v>
          </cell>
          <cell r="S1355" t="str">
            <v>Free rotation CW</v>
          </cell>
          <cell r="T1355" t="str">
            <v>-</v>
          </cell>
          <cell r="U1355" t="str">
            <v>T</v>
          </cell>
          <cell r="V1355" t="str">
            <v>FC</v>
          </cell>
          <cell r="W1355" t="str">
            <v>-</v>
          </cell>
          <cell r="X1355" t="str">
            <v>CLP HC VG 220 = -20° + 60°</v>
          </cell>
          <cell r="Y1355" t="str">
            <v>KH97/T EDRN200L4 /RS /TF/VE</v>
          </cell>
          <cell r="Z1355" t="str">
            <v>SEW</v>
          </cell>
          <cell r="AB1355" t="str">
            <v>ATEX22</v>
          </cell>
          <cell r="AF1355">
            <v>107</v>
          </cell>
          <cell r="AG1355" t="str">
            <v>EDRN200L4</v>
          </cell>
          <cell r="AH1355" t="str">
            <v>KH97T-EDRN200L4B270-X#</v>
          </cell>
        </row>
        <row r="1356">
          <cell r="A1356" t="str">
            <v>MR001352</v>
          </cell>
          <cell r="B1356" t="str">
            <v>MR</v>
          </cell>
          <cell r="C1356">
            <v>0.75</v>
          </cell>
          <cell r="D1356">
            <v>162</v>
          </cell>
          <cell r="E1356" t="str">
            <v>KA37</v>
          </cell>
          <cell r="F1356">
            <v>44</v>
          </cell>
          <cell r="G1356">
            <v>8.91</v>
          </cell>
          <cell r="H1356">
            <v>3</v>
          </cell>
          <cell r="I1356" t="str">
            <v>M3A</v>
          </cell>
          <cell r="J1356" t="str">
            <v>IE3</v>
          </cell>
          <cell r="K1356" t="str">
            <v>230/400</v>
          </cell>
          <cell r="L1356">
            <v>50</v>
          </cell>
          <cell r="M1356" t="str">
            <v>3,1/1,8</v>
          </cell>
          <cell r="N1356">
            <v>55</v>
          </cell>
          <cell r="O1356" t="str">
            <v>F(105°C)</v>
          </cell>
          <cell r="P1356" t="str">
            <v>270°</v>
          </cell>
          <cell r="Q1356" t="str">
            <v>-</v>
          </cell>
          <cell r="R1356" t="str">
            <v>-</v>
          </cell>
          <cell r="S1356" t="str">
            <v>-</v>
          </cell>
          <cell r="T1356" t="str">
            <v>-</v>
          </cell>
          <cell r="U1356" t="str">
            <v>-</v>
          </cell>
          <cell r="V1356" t="str">
            <v>D</v>
          </cell>
          <cell r="W1356" t="str">
            <v>-</v>
          </cell>
          <cell r="X1356" t="str">
            <v>CLP HC VG 220 = -20° + 60°</v>
          </cell>
          <cell r="Y1356" t="str">
            <v>KA37EDRN80M4</v>
          </cell>
          <cell r="Z1356" t="str">
            <v>SEW</v>
          </cell>
          <cell r="AB1356" t="str">
            <v>ATEX22</v>
          </cell>
          <cell r="AF1356">
            <v>162</v>
          </cell>
          <cell r="AG1356" t="str">
            <v>EDRN80M4</v>
          </cell>
          <cell r="AH1356" t="str">
            <v>KA37-EDRN80M4A270-X</v>
          </cell>
        </row>
        <row r="1357">
          <cell r="A1357" t="str">
            <v>MR001353</v>
          </cell>
          <cell r="B1357" t="str">
            <v>MR</v>
          </cell>
          <cell r="C1357">
            <v>0.75</v>
          </cell>
          <cell r="D1357">
            <v>162</v>
          </cell>
          <cell r="E1357" t="str">
            <v>KA37</v>
          </cell>
          <cell r="F1357">
            <v>44</v>
          </cell>
          <cell r="G1357">
            <v>8.91</v>
          </cell>
          <cell r="H1357">
            <v>3</v>
          </cell>
          <cell r="I1357" t="str">
            <v>M3B</v>
          </cell>
          <cell r="J1357" t="str">
            <v>IE3</v>
          </cell>
          <cell r="K1357" t="str">
            <v>230/400</v>
          </cell>
          <cell r="L1357">
            <v>50</v>
          </cell>
          <cell r="M1357" t="str">
            <v>3,1/1,8</v>
          </cell>
          <cell r="N1357">
            <v>55</v>
          </cell>
          <cell r="O1357" t="str">
            <v>F(105°C)</v>
          </cell>
          <cell r="P1357" t="str">
            <v>270°</v>
          </cell>
          <cell r="Q1357" t="str">
            <v>-</v>
          </cell>
          <cell r="R1357" t="str">
            <v>-</v>
          </cell>
          <cell r="S1357" t="str">
            <v>-</v>
          </cell>
          <cell r="T1357" t="str">
            <v>-</v>
          </cell>
          <cell r="U1357" t="str">
            <v>T</v>
          </cell>
          <cell r="V1357" t="str">
            <v>D</v>
          </cell>
          <cell r="W1357" t="str">
            <v>-</v>
          </cell>
          <cell r="X1357" t="str">
            <v>CLP HC VG 220 = -20° + 60°</v>
          </cell>
          <cell r="Y1357" t="str">
            <v>KA37/T EDRN80M4</v>
          </cell>
          <cell r="Z1357" t="str">
            <v>SEW</v>
          </cell>
          <cell r="AB1357" t="str">
            <v>ATEX22</v>
          </cell>
          <cell r="AF1357">
            <v>162</v>
          </cell>
          <cell r="AG1357" t="str">
            <v>EDRN80M4</v>
          </cell>
          <cell r="AH1357" t="str">
            <v>KA37T-EDRN80M4B270-X</v>
          </cell>
        </row>
        <row r="1358">
          <cell r="A1358" t="str">
            <v>MR001354</v>
          </cell>
          <cell r="B1358" t="str">
            <v>MR</v>
          </cell>
          <cell r="C1358">
            <v>0.75</v>
          </cell>
          <cell r="D1358">
            <v>162</v>
          </cell>
          <cell r="E1358" t="str">
            <v>KA37</v>
          </cell>
          <cell r="F1358">
            <v>44</v>
          </cell>
          <cell r="G1358">
            <v>8.91</v>
          </cell>
          <cell r="H1358">
            <v>3</v>
          </cell>
          <cell r="I1358" t="str">
            <v>From M3A to M4A- 20°</v>
          </cell>
          <cell r="J1358" t="str">
            <v>IE3</v>
          </cell>
          <cell r="K1358" t="str">
            <v>230/400</v>
          </cell>
          <cell r="L1358">
            <v>50</v>
          </cell>
          <cell r="M1358" t="str">
            <v>3,1/1,8</v>
          </cell>
          <cell r="N1358">
            <v>55</v>
          </cell>
          <cell r="O1358" t="str">
            <v>F(105°C)</v>
          </cell>
          <cell r="P1358" t="str">
            <v>270°</v>
          </cell>
          <cell r="Q1358" t="str">
            <v>-</v>
          </cell>
          <cell r="R1358" t="str">
            <v>-</v>
          </cell>
          <cell r="S1358" t="str">
            <v>-</v>
          </cell>
          <cell r="T1358" t="str">
            <v>-</v>
          </cell>
          <cell r="U1358" t="str">
            <v>T</v>
          </cell>
          <cell r="V1358" t="str">
            <v>D</v>
          </cell>
          <cell r="W1358" t="str">
            <v>-</v>
          </cell>
          <cell r="X1358" t="str">
            <v>CLP HC VG 220 = -20° + 60°</v>
          </cell>
          <cell r="Y1358" t="str">
            <v>KA37/T EDRN80M4</v>
          </cell>
          <cell r="Z1358" t="str">
            <v>SEW</v>
          </cell>
          <cell r="AB1358" t="str">
            <v>ATEX22</v>
          </cell>
          <cell r="AF1358">
            <v>162</v>
          </cell>
          <cell r="AG1358" t="str">
            <v>EDRN80M4</v>
          </cell>
          <cell r="AH1358" t="str">
            <v>KA37T-EDRN80M4A270-X</v>
          </cell>
        </row>
        <row r="1359">
          <cell r="A1359" t="str">
            <v>MR001355</v>
          </cell>
          <cell r="B1359" t="str">
            <v>MR</v>
          </cell>
          <cell r="C1359">
            <v>22</v>
          </cell>
          <cell r="D1359">
            <v>60</v>
          </cell>
          <cell r="E1359" t="str">
            <v>KH97</v>
          </cell>
          <cell r="F1359">
            <v>3510</v>
          </cell>
          <cell r="G1359">
            <v>24.75</v>
          </cell>
          <cell r="H1359">
            <v>1.1499999999999999</v>
          </cell>
          <cell r="I1359" t="str">
            <v>From M3A to M4A - 20°</v>
          </cell>
          <cell r="J1359" t="str">
            <v>IE3</v>
          </cell>
          <cell r="K1359" t="str">
            <v>400/690</v>
          </cell>
          <cell r="L1359">
            <v>50</v>
          </cell>
          <cell r="M1359" t="str">
            <v>40,5/23,5</v>
          </cell>
          <cell r="N1359">
            <v>55</v>
          </cell>
          <cell r="O1359" t="str">
            <v>F(105°C)</v>
          </cell>
          <cell r="P1359" t="str">
            <v>270°</v>
          </cell>
          <cell r="Q1359" t="str">
            <v>TF</v>
          </cell>
          <cell r="R1359" t="str">
            <v>V(VE)</v>
          </cell>
          <cell r="S1359" t="str">
            <v>Free rotation CCW</v>
          </cell>
          <cell r="T1359" t="str">
            <v>-</v>
          </cell>
          <cell r="U1359" t="str">
            <v>T</v>
          </cell>
          <cell r="V1359" t="str">
            <v>FC</v>
          </cell>
          <cell r="W1359" t="str">
            <v>-</v>
          </cell>
          <cell r="X1359" t="str">
            <v>CLP HC VG 220 = -20° + 60°</v>
          </cell>
          <cell r="Y1359" t="str">
            <v>KH97/T EDRN180L4 /RS /TF/VE</v>
          </cell>
          <cell r="Z1359" t="str">
            <v>SEW</v>
          </cell>
          <cell r="AB1359" t="str">
            <v>ATEX22</v>
          </cell>
          <cell r="AF1359">
            <v>60</v>
          </cell>
          <cell r="AG1359" t="str">
            <v>EDRN180L4</v>
          </cell>
          <cell r="AH1359" t="str">
            <v>KH97T-EDRN180L4A270-X#</v>
          </cell>
        </row>
        <row r="1360">
          <cell r="A1360" t="str">
            <v>MR001356</v>
          </cell>
          <cell r="B1360" t="str">
            <v>MR</v>
          </cell>
          <cell r="C1360">
            <v>0.25</v>
          </cell>
          <cell r="D1360">
            <v>32</v>
          </cell>
          <cell r="E1360" t="str">
            <v>FA37</v>
          </cell>
          <cell r="F1360">
            <v>75</v>
          </cell>
          <cell r="G1360">
            <v>44.46</v>
          </cell>
          <cell r="H1360">
            <v>2.7</v>
          </cell>
          <cell r="I1360" t="str">
            <v>M1</v>
          </cell>
          <cell r="J1360" t="str">
            <v>IE3</v>
          </cell>
          <cell r="K1360" t="str">
            <v>230/400</v>
          </cell>
          <cell r="L1360">
            <v>50</v>
          </cell>
          <cell r="M1360" t="str">
            <v>1,51/0,87</v>
          </cell>
          <cell r="N1360">
            <v>55</v>
          </cell>
          <cell r="O1360" t="str">
            <v>F(105°C)</v>
          </cell>
          <cell r="P1360" t="str">
            <v>270°</v>
          </cell>
          <cell r="Q1360" t="str">
            <v>-</v>
          </cell>
          <cell r="R1360" t="str">
            <v>-</v>
          </cell>
          <cell r="S1360" t="str">
            <v>-</v>
          </cell>
          <cell r="T1360" t="str">
            <v>-</v>
          </cell>
          <cell r="U1360" t="str">
            <v>G</v>
          </cell>
          <cell r="V1360" t="str">
            <v>D</v>
          </cell>
          <cell r="W1360" t="str">
            <v>-</v>
          </cell>
          <cell r="X1360" t="str">
            <v>CLP HC VG 220 = -20° + 60°</v>
          </cell>
          <cell r="Y1360" t="str">
            <v>FA37/G EDRS71S4</v>
          </cell>
          <cell r="Z1360" t="str">
            <v>SEW</v>
          </cell>
          <cell r="AB1360" t="str">
            <v>ATEX22</v>
          </cell>
          <cell r="AF1360">
            <v>32</v>
          </cell>
          <cell r="AG1360" t="str">
            <v>EDRS71S4</v>
          </cell>
          <cell r="AH1360" t="str">
            <v>FA37G-EDRS71S4270-X</v>
          </cell>
        </row>
        <row r="1361">
          <cell r="A1361" t="str">
            <v>MR001357</v>
          </cell>
          <cell r="B1361" t="str">
            <v>MR</v>
          </cell>
          <cell r="C1361">
            <v>15</v>
          </cell>
          <cell r="D1361">
            <v>16</v>
          </cell>
          <cell r="E1361" t="str">
            <v>KH127</v>
          </cell>
          <cell r="F1361">
            <v>8730</v>
          </cell>
          <cell r="G1361">
            <v>89.89</v>
          </cell>
          <cell r="H1361">
            <v>1.5</v>
          </cell>
          <cell r="I1361" t="str">
            <v>Fromo M4A to M1A - 15°</v>
          </cell>
          <cell r="J1361" t="str">
            <v>IE3</v>
          </cell>
          <cell r="K1361">
            <v>400</v>
          </cell>
          <cell r="L1361">
            <v>50</v>
          </cell>
          <cell r="M1361">
            <v>29</v>
          </cell>
          <cell r="N1361">
            <v>55</v>
          </cell>
          <cell r="O1361" t="str">
            <v>F(105°C)</v>
          </cell>
          <cell r="P1361" t="str">
            <v>270°</v>
          </cell>
          <cell r="Q1361" t="str">
            <v>TF</v>
          </cell>
          <cell r="R1361" t="str">
            <v>V(VE)</v>
          </cell>
          <cell r="S1361" t="str">
            <v>-</v>
          </cell>
          <cell r="T1361" t="str">
            <v>-</v>
          </cell>
          <cell r="U1361" t="str">
            <v>-</v>
          </cell>
          <cell r="V1361" t="str">
            <v>FC</v>
          </cell>
          <cell r="W1361" t="str">
            <v>-</v>
          </cell>
          <cell r="X1361" t="str">
            <v>(if ATEX, synthetic only!)</v>
          </cell>
          <cell r="Y1361" t="str">
            <v>KH127DRN160L4 /TF/V</v>
          </cell>
          <cell r="Z1361" t="str">
            <v>SEW</v>
          </cell>
          <cell r="AB1361" t="str">
            <v>-</v>
          </cell>
          <cell r="AF1361">
            <v>16</v>
          </cell>
          <cell r="AG1361" t="str">
            <v>DRN160L4</v>
          </cell>
          <cell r="AH1361" t="str">
            <v>KH127-DRN160L4A270-X#</v>
          </cell>
        </row>
        <row r="1362">
          <cell r="A1362" t="str">
            <v>MR001358</v>
          </cell>
          <cell r="B1362" t="str">
            <v>MR</v>
          </cell>
          <cell r="C1362">
            <v>15</v>
          </cell>
          <cell r="D1362">
            <v>16</v>
          </cell>
          <cell r="E1362" t="str">
            <v>KH127</v>
          </cell>
          <cell r="F1362">
            <v>8730</v>
          </cell>
          <cell r="G1362">
            <v>89.89</v>
          </cell>
          <cell r="H1362">
            <v>1.5</v>
          </cell>
          <cell r="I1362" t="str">
            <v>Fromo M4B to M1B - 15°</v>
          </cell>
          <cell r="J1362" t="str">
            <v>IE3</v>
          </cell>
          <cell r="K1362">
            <v>400</v>
          </cell>
          <cell r="L1362">
            <v>50</v>
          </cell>
          <cell r="M1362">
            <v>29</v>
          </cell>
          <cell r="N1362">
            <v>55</v>
          </cell>
          <cell r="O1362" t="str">
            <v>F(105°C)</v>
          </cell>
          <cell r="P1362" t="str">
            <v>270°</v>
          </cell>
          <cell r="Q1362" t="str">
            <v>TF</v>
          </cell>
          <cell r="R1362" t="str">
            <v>V(VE)</v>
          </cell>
          <cell r="S1362" t="str">
            <v>-</v>
          </cell>
          <cell r="T1362" t="str">
            <v>-</v>
          </cell>
          <cell r="U1362" t="str">
            <v>-</v>
          </cell>
          <cell r="V1362" t="str">
            <v>FC</v>
          </cell>
          <cell r="W1362" t="str">
            <v>-</v>
          </cell>
          <cell r="X1362" t="str">
            <v>(if ATEX, synthetic only!)</v>
          </cell>
          <cell r="Y1362" t="str">
            <v>KH127DRN160L4 /TF/V</v>
          </cell>
          <cell r="Z1362" t="str">
            <v>SEW</v>
          </cell>
          <cell r="AB1362" t="str">
            <v>-</v>
          </cell>
          <cell r="AF1362">
            <v>16</v>
          </cell>
          <cell r="AG1362" t="str">
            <v>DRN160L4</v>
          </cell>
          <cell r="AH1362" t="str">
            <v>KH127-DRN160L4B270-X#</v>
          </cell>
        </row>
        <row r="1363">
          <cell r="A1363" t="str">
            <v>MR001359</v>
          </cell>
          <cell r="B1363" t="str">
            <v>MR</v>
          </cell>
          <cell r="C1363">
            <v>9.1999999999999993</v>
          </cell>
          <cell r="D1363">
            <v>53</v>
          </cell>
          <cell r="E1363" t="str">
            <v>R97</v>
          </cell>
          <cell r="F1363">
            <v>1640</v>
          </cell>
          <cell r="G1363">
            <v>27.58</v>
          </cell>
          <cell r="H1363">
            <v>1.6</v>
          </cell>
          <cell r="I1363" t="str">
            <v>Fromo M1 to M4 - 10°</v>
          </cell>
          <cell r="J1363" t="str">
            <v>IE3</v>
          </cell>
          <cell r="K1363" t="str">
            <v>400/690</v>
          </cell>
          <cell r="L1363">
            <v>50</v>
          </cell>
          <cell r="M1363" t="str">
            <v>18,7/10,8</v>
          </cell>
          <cell r="N1363">
            <v>55</v>
          </cell>
          <cell r="O1363" t="str">
            <v>F(105°C)</v>
          </cell>
          <cell r="P1363" t="str">
            <v>270°</v>
          </cell>
          <cell r="Q1363" t="str">
            <v>-</v>
          </cell>
          <cell r="R1363" t="str">
            <v>-</v>
          </cell>
          <cell r="S1363" t="str">
            <v>-</v>
          </cell>
          <cell r="T1363" t="str">
            <v>-</v>
          </cell>
          <cell r="U1363" t="str">
            <v>-</v>
          </cell>
          <cell r="V1363" t="str">
            <v>D+R</v>
          </cell>
          <cell r="W1363" t="str">
            <v>-</v>
          </cell>
          <cell r="X1363" t="str">
            <v>CLP VG 220 = -15° + 40°</v>
          </cell>
          <cell r="Y1363" t="str">
            <v>R97DRN132L4</v>
          </cell>
          <cell r="Z1363" t="str">
            <v>SEW</v>
          </cell>
          <cell r="AB1363" t="str">
            <v>-</v>
          </cell>
          <cell r="AF1363">
            <v>53</v>
          </cell>
          <cell r="AG1363" t="str">
            <v>DRN132L4</v>
          </cell>
          <cell r="AH1363" t="str">
            <v>R97-DRN132L4270-X</v>
          </cell>
        </row>
        <row r="1364">
          <cell r="A1364" t="str">
            <v>MR001360</v>
          </cell>
          <cell r="B1364" t="str">
            <v>ME</v>
          </cell>
          <cell r="C1364">
            <v>45</v>
          </cell>
          <cell r="D1364">
            <v>1475</v>
          </cell>
          <cell r="E1364" t="str">
            <v>1LE1503</v>
          </cell>
          <cell r="F1364">
            <v>291.39999999999998</v>
          </cell>
          <cell r="I1364" t="str">
            <v>V1/B5</v>
          </cell>
          <cell r="J1364" t="str">
            <v>IE3</v>
          </cell>
          <cell r="K1364">
            <v>400</v>
          </cell>
          <cell r="L1364">
            <v>50</v>
          </cell>
          <cell r="M1364">
            <v>81</v>
          </cell>
          <cell r="N1364">
            <v>65</v>
          </cell>
          <cell r="O1364" t="str">
            <v>F(105°C)</v>
          </cell>
          <cell r="R1364" t="str">
            <v>-</v>
          </cell>
          <cell r="V1364" t="str">
            <v>D</v>
          </cell>
          <cell r="Y1364" t="str">
            <v>1LE1503-2BB23-4FA4-Z-H20</v>
          </cell>
          <cell r="Z1364" t="str">
            <v>SIEMENS</v>
          </cell>
          <cell r="AE1364" t="str">
            <v>4 POLES</v>
          </cell>
          <cell r="AH1364" t="str">
            <v>1LE1503-B-X</v>
          </cell>
        </row>
        <row r="1365">
          <cell r="A1365" t="str">
            <v>MR001361</v>
          </cell>
          <cell r="B1365" t="str">
            <v>ME</v>
          </cell>
          <cell r="C1365">
            <v>4</v>
          </cell>
          <cell r="D1365">
            <v>3000</v>
          </cell>
          <cell r="E1365" t="str">
            <v>1LE1003</v>
          </cell>
          <cell r="I1365" t="str">
            <v>B5</v>
          </cell>
          <cell r="J1365" t="str">
            <v>IE3</v>
          </cell>
          <cell r="K1365" t="str">
            <v>230/400</v>
          </cell>
          <cell r="L1365">
            <v>50</v>
          </cell>
          <cell r="M1365">
            <v>7.4</v>
          </cell>
          <cell r="N1365">
            <v>65</v>
          </cell>
          <cell r="O1365" t="str">
            <v>F(105°C)</v>
          </cell>
          <cell r="R1365" t="str">
            <v>-</v>
          </cell>
          <cell r="V1365" t="str">
            <v>D</v>
          </cell>
          <cell r="Y1365" t="str">
            <v>1LE1003-1BA22-2FA4-Z</v>
          </cell>
          <cell r="Z1365" t="str">
            <v>SIEMENS</v>
          </cell>
          <cell r="AE1365" t="str">
            <v>2 POLES</v>
          </cell>
          <cell r="AH1365" t="str">
            <v>1LE1003-B-X</v>
          </cell>
        </row>
        <row r="1366">
          <cell r="A1366" t="str">
            <v>MR001362</v>
          </cell>
          <cell r="B1366" t="str">
            <v>MR</v>
          </cell>
          <cell r="C1366">
            <v>22</v>
          </cell>
          <cell r="D1366">
            <v>15</v>
          </cell>
          <cell r="E1366" t="str">
            <v>KH157</v>
          </cell>
          <cell r="F1366">
            <v>14200</v>
          </cell>
          <cell r="G1366">
            <v>100.22</v>
          </cell>
          <cell r="H1366">
            <v>1.25</v>
          </cell>
          <cell r="I1366" t="str">
            <v>From M4A to M1A-40°</v>
          </cell>
          <cell r="J1366" t="str">
            <v>IE3</v>
          </cell>
          <cell r="K1366">
            <v>400</v>
          </cell>
          <cell r="L1366">
            <v>50</v>
          </cell>
          <cell r="M1366">
            <v>38.5</v>
          </cell>
          <cell r="N1366">
            <v>65</v>
          </cell>
          <cell r="O1366" t="str">
            <v>F(105°C)</v>
          </cell>
          <cell r="P1366" t="str">
            <v>270°</v>
          </cell>
          <cell r="Q1366" t="str">
            <v>TF</v>
          </cell>
          <cell r="R1366" t="str">
            <v>V(VE)</v>
          </cell>
          <cell r="S1366" t="str">
            <v>-</v>
          </cell>
          <cell r="T1366" t="str">
            <v>-</v>
          </cell>
          <cell r="U1366" t="str">
            <v>-</v>
          </cell>
          <cell r="V1366" t="str">
            <v>FC</v>
          </cell>
          <cell r="W1366" t="str">
            <v>-</v>
          </cell>
          <cell r="X1366" t="str">
            <v>CLP VG 220 = -15° + 40°</v>
          </cell>
          <cell r="Y1366" t="str">
            <v>KH157DRN180L4 /TF/V</v>
          </cell>
          <cell r="Z1366" t="str">
            <v>SEW</v>
          </cell>
          <cell r="AB1366" t="str">
            <v>-</v>
          </cell>
          <cell r="AE1366" t="str">
            <v>Work frequency 30HZ for 0,4m/sec</v>
          </cell>
          <cell r="AF1366">
            <v>15</v>
          </cell>
          <cell r="AG1366" t="str">
            <v>DRN180L4</v>
          </cell>
          <cell r="AH1366" t="str">
            <v>KH157-DRN180L4A270-X#</v>
          </cell>
        </row>
        <row r="1367">
          <cell r="A1367" t="str">
            <v>MR001363</v>
          </cell>
          <cell r="B1367" t="str">
            <v>MR</v>
          </cell>
          <cell r="C1367">
            <v>22</v>
          </cell>
          <cell r="D1367">
            <v>15</v>
          </cell>
          <cell r="E1367" t="str">
            <v>KH157</v>
          </cell>
          <cell r="F1367">
            <v>14200</v>
          </cell>
          <cell r="G1367">
            <v>100.22</v>
          </cell>
          <cell r="H1367">
            <v>1.25</v>
          </cell>
          <cell r="I1367" t="str">
            <v>From M4B to M1B-40°</v>
          </cell>
          <cell r="J1367" t="str">
            <v>IE3</v>
          </cell>
          <cell r="K1367">
            <v>400</v>
          </cell>
          <cell r="L1367">
            <v>50</v>
          </cell>
          <cell r="M1367">
            <v>38.5</v>
          </cell>
          <cell r="N1367">
            <v>65</v>
          </cell>
          <cell r="O1367" t="str">
            <v>F(105°C)</v>
          </cell>
          <cell r="P1367" t="str">
            <v>270°</v>
          </cell>
          <cell r="Q1367" t="str">
            <v>TF</v>
          </cell>
          <cell r="R1367" t="str">
            <v>V(VE)</v>
          </cell>
          <cell r="S1367" t="str">
            <v>-</v>
          </cell>
          <cell r="T1367" t="str">
            <v>-</v>
          </cell>
          <cell r="U1367" t="str">
            <v>-</v>
          </cell>
          <cell r="V1367" t="str">
            <v>FC</v>
          </cell>
          <cell r="W1367" t="str">
            <v>-</v>
          </cell>
          <cell r="X1367" t="str">
            <v>CLP VG 220 = -15° + 40°</v>
          </cell>
          <cell r="Y1367" t="str">
            <v>KH157DRN180L4 /TF/V</v>
          </cell>
          <cell r="Z1367" t="str">
            <v>SEW</v>
          </cell>
          <cell r="AB1367" t="str">
            <v>-</v>
          </cell>
          <cell r="AE1367" t="str">
            <v>Work frequency 30HZ for 0,4m/sec</v>
          </cell>
          <cell r="AF1367">
            <v>15</v>
          </cell>
          <cell r="AG1367" t="str">
            <v>DRN180L4</v>
          </cell>
          <cell r="AH1367" t="str">
            <v>KH157-DRN180L4B270-X#</v>
          </cell>
        </row>
        <row r="1368">
          <cell r="A1368" t="str">
            <v>MR001364</v>
          </cell>
          <cell r="B1368" t="str">
            <v>MR</v>
          </cell>
          <cell r="C1368">
            <v>5.5</v>
          </cell>
          <cell r="D1368">
            <v>57</v>
          </cell>
          <cell r="E1368" t="str">
            <v>KH77</v>
          </cell>
          <cell r="F1368">
            <v>920</v>
          </cell>
          <cell r="G1368">
            <v>25.62</v>
          </cell>
          <cell r="H1368">
            <v>1.7</v>
          </cell>
          <cell r="I1368" t="str">
            <v>M4A</v>
          </cell>
          <cell r="J1368" t="str">
            <v>IE3</v>
          </cell>
          <cell r="K1368">
            <v>400</v>
          </cell>
          <cell r="L1368">
            <v>50</v>
          </cell>
          <cell r="M1368">
            <v>10.5</v>
          </cell>
          <cell r="N1368">
            <v>65</v>
          </cell>
          <cell r="O1368" t="str">
            <v>F(105°C)</v>
          </cell>
          <cell r="P1368" t="str">
            <v>270°</v>
          </cell>
          <cell r="Q1368" t="str">
            <v>-</v>
          </cell>
          <cell r="R1368" t="str">
            <v>-</v>
          </cell>
          <cell r="S1368" t="str">
            <v>Free rotation CCW</v>
          </cell>
          <cell r="T1368" t="str">
            <v>-</v>
          </cell>
          <cell r="U1368" t="str">
            <v>T</v>
          </cell>
          <cell r="V1368" t="str">
            <v>SS</v>
          </cell>
          <cell r="W1368" t="str">
            <v>-</v>
          </cell>
          <cell r="X1368" t="str">
            <v>CLP VG 220 = -15° + 40°</v>
          </cell>
          <cell r="Y1368" t="str">
            <v>KH77/T DRN132S4 /RS</v>
          </cell>
          <cell r="Z1368" t="str">
            <v>SEW</v>
          </cell>
          <cell r="AB1368" t="str">
            <v>-</v>
          </cell>
          <cell r="AF1368">
            <v>57</v>
          </cell>
          <cell r="AG1368" t="str">
            <v>DRN132S4</v>
          </cell>
          <cell r="AH1368" t="str">
            <v>KH77T-DRN132S4A270-X</v>
          </cell>
        </row>
        <row r="1369">
          <cell r="A1369" t="str">
            <v>MR001365</v>
          </cell>
          <cell r="B1369" t="str">
            <v>MR</v>
          </cell>
          <cell r="C1369">
            <v>0.75</v>
          </cell>
          <cell r="D1369">
            <v>162</v>
          </cell>
          <cell r="E1369" t="str">
            <v>KA37</v>
          </cell>
          <cell r="F1369">
            <v>44</v>
          </cell>
          <cell r="G1369">
            <v>8.91</v>
          </cell>
          <cell r="H1369">
            <v>3</v>
          </cell>
          <cell r="I1369" t="str">
            <v>M1A</v>
          </cell>
          <cell r="J1369" t="str">
            <v>IE3</v>
          </cell>
          <cell r="K1369">
            <v>400</v>
          </cell>
          <cell r="L1369">
            <v>50</v>
          </cell>
          <cell r="M1369">
            <v>1.75</v>
          </cell>
          <cell r="N1369">
            <v>65</v>
          </cell>
          <cell r="O1369" t="str">
            <v>F(105°C)</v>
          </cell>
          <cell r="P1369" t="str">
            <v>180°</v>
          </cell>
          <cell r="Q1369" t="str">
            <v>-</v>
          </cell>
          <cell r="R1369" t="str">
            <v>-</v>
          </cell>
          <cell r="S1369" t="str">
            <v>-</v>
          </cell>
          <cell r="T1369" t="str">
            <v>-</v>
          </cell>
          <cell r="U1369" t="str">
            <v>T</v>
          </cell>
          <cell r="V1369" t="str">
            <v>D</v>
          </cell>
          <cell r="W1369" t="str">
            <v>-</v>
          </cell>
          <cell r="X1369" t="str">
            <v>CLP VG 220 = -15° + 40°</v>
          </cell>
          <cell r="Y1369" t="str">
            <v>KA37/T DRN80M4</v>
          </cell>
          <cell r="Z1369" t="str">
            <v>SEW</v>
          </cell>
          <cell r="AB1369" t="str">
            <v>-</v>
          </cell>
          <cell r="AF1369">
            <v>162</v>
          </cell>
          <cell r="AG1369" t="str">
            <v>DRN80M4</v>
          </cell>
          <cell r="AH1369" t="str">
            <v>KA37T-DRN80M4A180-X</v>
          </cell>
        </row>
        <row r="1370">
          <cell r="A1370" t="str">
            <v>MR001366</v>
          </cell>
          <cell r="B1370" t="str">
            <v>MR</v>
          </cell>
          <cell r="C1370">
            <v>5.5</v>
          </cell>
          <cell r="D1370">
            <v>47</v>
          </cell>
          <cell r="E1370" t="str">
            <v>KH77</v>
          </cell>
          <cell r="F1370">
            <v>1110</v>
          </cell>
          <cell r="G1370">
            <v>30.89</v>
          </cell>
          <cell r="H1370">
            <v>1.4</v>
          </cell>
          <cell r="I1370" t="str">
            <v>M4B</v>
          </cell>
          <cell r="J1370" t="str">
            <v>IE3</v>
          </cell>
          <cell r="K1370">
            <v>400</v>
          </cell>
          <cell r="L1370">
            <v>50</v>
          </cell>
          <cell r="M1370">
            <v>10.5</v>
          </cell>
          <cell r="N1370">
            <v>65</v>
          </cell>
          <cell r="O1370" t="str">
            <v>F(105°C)</v>
          </cell>
          <cell r="P1370" t="str">
            <v>270°</v>
          </cell>
          <cell r="Q1370" t="str">
            <v>-</v>
          </cell>
          <cell r="R1370" t="str">
            <v>-</v>
          </cell>
          <cell r="S1370" t="str">
            <v>Free rotation CW</v>
          </cell>
          <cell r="T1370" t="str">
            <v>-</v>
          </cell>
          <cell r="U1370" t="str">
            <v>T</v>
          </cell>
          <cell r="V1370" t="str">
            <v>SS</v>
          </cell>
          <cell r="W1370" t="str">
            <v>-</v>
          </cell>
          <cell r="X1370" t="str">
            <v>CLP VG 220 = -15° + 40°</v>
          </cell>
          <cell r="Y1370" t="str">
            <v>KH77/T DRN132S4 /RS</v>
          </cell>
          <cell r="Z1370" t="str">
            <v>SEW</v>
          </cell>
          <cell r="AB1370" t="str">
            <v>-</v>
          </cell>
          <cell r="AF1370">
            <v>47</v>
          </cell>
          <cell r="AG1370" t="str">
            <v>DRN132S4</v>
          </cell>
          <cell r="AH1370" t="str">
            <v>KH77T-DRN132S4B270-X</v>
          </cell>
        </row>
        <row r="1371">
          <cell r="A1371" t="str">
            <v>MR001367</v>
          </cell>
          <cell r="B1371" t="str">
            <v>MR</v>
          </cell>
          <cell r="C1371">
            <v>5.5</v>
          </cell>
          <cell r="D1371">
            <v>47</v>
          </cell>
          <cell r="E1371" t="str">
            <v>KH77</v>
          </cell>
          <cell r="F1371">
            <v>1110</v>
          </cell>
          <cell r="G1371">
            <v>30.89</v>
          </cell>
          <cell r="H1371">
            <v>1.4</v>
          </cell>
          <cell r="I1371" t="str">
            <v>M4B</v>
          </cell>
          <cell r="J1371" t="str">
            <v>IE3</v>
          </cell>
          <cell r="K1371">
            <v>400</v>
          </cell>
          <cell r="L1371">
            <v>50</v>
          </cell>
          <cell r="M1371">
            <v>10.5</v>
          </cell>
          <cell r="N1371">
            <v>65</v>
          </cell>
          <cell r="O1371" t="str">
            <v>F(105°C)</v>
          </cell>
          <cell r="P1371" t="str">
            <v>270°</v>
          </cell>
          <cell r="Q1371" t="str">
            <v>-</v>
          </cell>
          <cell r="R1371" t="str">
            <v>-</v>
          </cell>
          <cell r="S1371" t="str">
            <v>-</v>
          </cell>
          <cell r="T1371" t="str">
            <v>-</v>
          </cell>
          <cell r="U1371" t="str">
            <v>T</v>
          </cell>
          <cell r="V1371" t="str">
            <v>SS</v>
          </cell>
          <cell r="W1371" t="str">
            <v>-</v>
          </cell>
          <cell r="X1371" t="str">
            <v>CLP VG 220 = -15° + 40°</v>
          </cell>
          <cell r="Y1371" t="str">
            <v>KH77/T DRN132S4</v>
          </cell>
          <cell r="Z1371" t="str">
            <v>SEW</v>
          </cell>
          <cell r="AB1371" t="str">
            <v>-</v>
          </cell>
          <cell r="AF1371">
            <v>47</v>
          </cell>
          <cell r="AG1371" t="str">
            <v>DRN132S4</v>
          </cell>
          <cell r="AH1371" t="str">
            <v>KH77T-DRN132S4B270-X</v>
          </cell>
        </row>
        <row r="1372">
          <cell r="A1372" t="str">
            <v>MR001368</v>
          </cell>
          <cell r="B1372" t="str">
            <v>MR</v>
          </cell>
          <cell r="C1372">
            <v>0.75</v>
          </cell>
          <cell r="D1372">
            <v>162</v>
          </cell>
          <cell r="E1372" t="str">
            <v>KA37</v>
          </cell>
          <cell r="F1372">
            <v>44</v>
          </cell>
          <cell r="G1372">
            <v>8.91</v>
          </cell>
          <cell r="H1372">
            <v>3</v>
          </cell>
          <cell r="I1372" t="str">
            <v>From M1B to M2B - 20°</v>
          </cell>
          <cell r="J1372" t="str">
            <v>IE3</v>
          </cell>
          <cell r="K1372">
            <v>400</v>
          </cell>
          <cell r="L1372">
            <v>50</v>
          </cell>
          <cell r="M1372">
            <v>1.75</v>
          </cell>
          <cell r="N1372">
            <v>65</v>
          </cell>
          <cell r="O1372" t="str">
            <v>F(105°C)</v>
          </cell>
          <cell r="P1372" t="str">
            <v>0°</v>
          </cell>
          <cell r="Q1372" t="str">
            <v>-</v>
          </cell>
          <cell r="R1372" t="str">
            <v>-</v>
          </cell>
          <cell r="S1372" t="str">
            <v>-</v>
          </cell>
          <cell r="T1372" t="str">
            <v>-</v>
          </cell>
          <cell r="U1372" t="str">
            <v>T</v>
          </cell>
          <cell r="V1372" t="str">
            <v>D</v>
          </cell>
          <cell r="W1372" t="str">
            <v>-</v>
          </cell>
          <cell r="X1372" t="str">
            <v>CLP VG 220 = -15° + 40°</v>
          </cell>
          <cell r="Y1372" t="str">
            <v>KA37/T DRN80M4</v>
          </cell>
          <cell r="Z1372" t="str">
            <v>SEW</v>
          </cell>
          <cell r="AB1372" t="str">
            <v>-</v>
          </cell>
          <cell r="AF1372">
            <v>162</v>
          </cell>
          <cell r="AG1372" t="str">
            <v>DRN80M4</v>
          </cell>
          <cell r="AH1372" t="str">
            <v>KA37T-DRN80M4B0-X</v>
          </cell>
        </row>
        <row r="1373">
          <cell r="A1373" t="str">
            <v>MR001369</v>
          </cell>
          <cell r="B1373" t="str">
            <v>MR</v>
          </cell>
          <cell r="C1373">
            <v>18.5</v>
          </cell>
          <cell r="D1373">
            <v>59</v>
          </cell>
          <cell r="E1373" t="str">
            <v>R107</v>
          </cell>
          <cell r="F1373">
            <v>2970</v>
          </cell>
          <cell r="G1373">
            <v>24.9</v>
          </cell>
          <cell r="H1373">
            <v>1.45</v>
          </cell>
          <cell r="I1373" t="str">
            <v>M1</v>
          </cell>
          <cell r="J1373" t="str">
            <v>IE3</v>
          </cell>
          <cell r="K1373" t="str">
            <v>400/690</v>
          </cell>
          <cell r="L1373">
            <v>50</v>
          </cell>
          <cell r="M1373" t="str">
            <v>33,5/19,3</v>
          </cell>
          <cell r="N1373">
            <v>55</v>
          </cell>
          <cell r="O1373" t="str">
            <v>F(105°C)</v>
          </cell>
          <cell r="P1373" t="str">
            <v>270°</v>
          </cell>
          <cell r="Q1373" t="str">
            <v>TF</v>
          </cell>
          <cell r="R1373" t="str">
            <v>V(VE)</v>
          </cell>
          <cell r="S1373" t="str">
            <v>-</v>
          </cell>
          <cell r="T1373" t="str">
            <v>-</v>
          </cell>
          <cell r="U1373" t="str">
            <v>-</v>
          </cell>
          <cell r="V1373" t="str">
            <v>FC</v>
          </cell>
          <cell r="W1373" t="str">
            <v>-</v>
          </cell>
          <cell r="X1373" t="str">
            <v>CLP VG 220 = -15° + 40°</v>
          </cell>
          <cell r="Y1373" t="str">
            <v>R107DRN180M4 /TF/V</v>
          </cell>
          <cell r="Z1373" t="str">
            <v>SEW</v>
          </cell>
          <cell r="AB1373" t="str">
            <v>-</v>
          </cell>
          <cell r="AF1373">
            <v>59</v>
          </cell>
          <cell r="AG1373" t="str">
            <v>DRN180M4</v>
          </cell>
          <cell r="AH1373" t="str">
            <v>R107-DRN180M4270-X#</v>
          </cell>
        </row>
        <row r="1374">
          <cell r="A1374" t="str">
            <v>MR001370</v>
          </cell>
          <cell r="B1374" t="str">
            <v>MR</v>
          </cell>
          <cell r="C1374">
            <v>7.5</v>
          </cell>
          <cell r="D1374">
            <v>57</v>
          </cell>
          <cell r="E1374" t="str">
            <v>KH77</v>
          </cell>
          <cell r="F1374">
            <v>1240</v>
          </cell>
          <cell r="G1374">
            <v>25.62</v>
          </cell>
          <cell r="H1374">
            <v>1.25</v>
          </cell>
          <cell r="I1374" t="str">
            <v>M4B</v>
          </cell>
          <cell r="J1374" t="str">
            <v>IE3</v>
          </cell>
          <cell r="K1374">
            <v>400</v>
          </cell>
          <cell r="L1374">
            <v>50</v>
          </cell>
          <cell r="M1374">
            <v>15.2</v>
          </cell>
          <cell r="N1374">
            <v>65</v>
          </cell>
          <cell r="O1374" t="str">
            <v>F(105°C)</v>
          </cell>
          <cell r="P1374" t="str">
            <v>270°</v>
          </cell>
          <cell r="Q1374" t="str">
            <v>-</v>
          </cell>
          <cell r="R1374" t="str">
            <v>-</v>
          </cell>
          <cell r="S1374" t="str">
            <v>Free rotation CW</v>
          </cell>
          <cell r="T1374" t="str">
            <v>-</v>
          </cell>
          <cell r="U1374" t="str">
            <v>T</v>
          </cell>
          <cell r="V1374" t="str">
            <v>SS</v>
          </cell>
          <cell r="W1374" t="str">
            <v>-</v>
          </cell>
          <cell r="X1374" t="str">
            <v>CLP VG 220 = -15° + 40°</v>
          </cell>
          <cell r="Y1374" t="str">
            <v>KH77/T DRN132M4 /RS</v>
          </cell>
          <cell r="Z1374" t="str">
            <v>SEW</v>
          </cell>
          <cell r="AB1374" t="str">
            <v>-</v>
          </cell>
          <cell r="AF1374">
            <v>57</v>
          </cell>
          <cell r="AG1374" t="str">
            <v>DRN132M4</v>
          </cell>
          <cell r="AH1374" t="str">
            <v>KH77T-DRN132M4B270-X</v>
          </cell>
        </row>
        <row r="1375">
          <cell r="A1375" t="str">
            <v>MR001371</v>
          </cell>
          <cell r="B1375" t="str">
            <v>MR</v>
          </cell>
          <cell r="C1375">
            <v>9.1999999999999993</v>
          </cell>
          <cell r="D1375">
            <v>12</v>
          </cell>
          <cell r="E1375" t="str">
            <v>FH127</v>
          </cell>
          <cell r="F1375">
            <v>7040</v>
          </cell>
          <cell r="G1375">
            <v>125.37</v>
          </cell>
          <cell r="H1375">
            <v>1.6</v>
          </cell>
          <cell r="I1375" t="str">
            <v>M1</v>
          </cell>
          <cell r="J1375" t="str">
            <v>IE3</v>
          </cell>
          <cell r="K1375">
            <v>400</v>
          </cell>
          <cell r="L1375">
            <v>50</v>
          </cell>
          <cell r="M1375">
            <v>18.7</v>
          </cell>
          <cell r="N1375">
            <v>65</v>
          </cell>
          <cell r="O1375" t="str">
            <v>F(105°C)</v>
          </cell>
          <cell r="P1375" t="str">
            <v>270°</v>
          </cell>
          <cell r="Q1375" t="str">
            <v>TF</v>
          </cell>
          <cell r="R1375" t="str">
            <v>V(VE)</v>
          </cell>
          <cell r="S1375" t="str">
            <v>-</v>
          </cell>
          <cell r="T1375" t="str">
            <v>-</v>
          </cell>
          <cell r="U1375" t="str">
            <v>G</v>
          </cell>
          <cell r="V1375" t="str">
            <v>FC</v>
          </cell>
          <cell r="W1375" t="str">
            <v>-</v>
          </cell>
          <cell r="X1375" t="str">
            <v>CLP VG 220 = -15° + 40°</v>
          </cell>
          <cell r="Y1375" t="str">
            <v>FH127/G DRN132L4 /TF/V</v>
          </cell>
          <cell r="Z1375" t="str">
            <v>SEW</v>
          </cell>
          <cell r="AB1375" t="str">
            <v>-</v>
          </cell>
          <cell r="AF1375">
            <v>12</v>
          </cell>
          <cell r="AG1375" t="str">
            <v>DRN132L4</v>
          </cell>
          <cell r="AH1375" t="str">
            <v>FH127G-DRN132L4270-X#</v>
          </cell>
        </row>
        <row r="1376">
          <cell r="A1376" t="str">
            <v>MR001372</v>
          </cell>
          <cell r="B1376" t="str">
            <v>MR</v>
          </cell>
          <cell r="C1376">
            <v>15</v>
          </cell>
          <cell r="D1376">
            <v>60</v>
          </cell>
          <cell r="E1376" t="str">
            <v>KH97</v>
          </cell>
          <cell r="F1376">
            <v>2400</v>
          </cell>
          <cell r="G1376">
            <v>24.75</v>
          </cell>
          <cell r="H1376">
            <v>1.8</v>
          </cell>
          <cell r="I1376" t="str">
            <v>M4B</v>
          </cell>
          <cell r="J1376" t="str">
            <v>IE3</v>
          </cell>
          <cell r="K1376">
            <v>400</v>
          </cell>
          <cell r="L1376">
            <v>50</v>
          </cell>
          <cell r="M1376">
            <v>29</v>
          </cell>
          <cell r="N1376">
            <v>65</v>
          </cell>
          <cell r="O1376" t="str">
            <v>F(105°C)</v>
          </cell>
          <cell r="P1376" t="str">
            <v>270°</v>
          </cell>
          <cell r="Q1376" t="str">
            <v>-</v>
          </cell>
          <cell r="R1376" t="str">
            <v>-</v>
          </cell>
          <cell r="S1376" t="str">
            <v>Free rotation CW</v>
          </cell>
          <cell r="T1376" t="str">
            <v>-</v>
          </cell>
          <cell r="U1376" t="str">
            <v>T</v>
          </cell>
          <cell r="V1376" t="str">
            <v>SS</v>
          </cell>
          <cell r="W1376" t="str">
            <v>-</v>
          </cell>
          <cell r="X1376" t="str">
            <v>CLP VG 220 = -15° + 40°</v>
          </cell>
          <cell r="Y1376" t="str">
            <v>KH97/T DRN160L4 /RS</v>
          </cell>
          <cell r="Z1376" t="str">
            <v>SEW</v>
          </cell>
          <cell r="AB1376" t="str">
            <v>-</v>
          </cell>
          <cell r="AF1376">
            <v>60</v>
          </cell>
          <cell r="AG1376" t="str">
            <v>DRN160L4</v>
          </cell>
          <cell r="AH1376" t="str">
            <v>KH97T-DRN160L4B270-X</v>
          </cell>
        </row>
        <row r="1377">
          <cell r="A1377" t="str">
            <v>MR001373</v>
          </cell>
          <cell r="B1377" t="str">
            <v>MR</v>
          </cell>
          <cell r="C1377">
            <v>0.75</v>
          </cell>
          <cell r="D1377">
            <v>162</v>
          </cell>
          <cell r="E1377" t="str">
            <v>KA37</v>
          </cell>
          <cell r="F1377">
            <v>44</v>
          </cell>
          <cell r="G1377">
            <v>8.91</v>
          </cell>
          <cell r="H1377">
            <v>3</v>
          </cell>
          <cell r="I1377" t="str">
            <v>From M1B to M2B-10°</v>
          </cell>
          <cell r="J1377" t="str">
            <v>IE3</v>
          </cell>
          <cell r="K1377">
            <v>400</v>
          </cell>
          <cell r="L1377">
            <v>50</v>
          </cell>
          <cell r="M1377">
            <v>1.75</v>
          </cell>
          <cell r="N1377">
            <v>65</v>
          </cell>
          <cell r="O1377" t="str">
            <v>F(105°C)</v>
          </cell>
          <cell r="P1377" t="str">
            <v>0°</v>
          </cell>
          <cell r="Q1377" t="str">
            <v>-</v>
          </cell>
          <cell r="R1377" t="str">
            <v>-</v>
          </cell>
          <cell r="S1377" t="str">
            <v>-</v>
          </cell>
          <cell r="T1377" t="str">
            <v>-</v>
          </cell>
          <cell r="U1377" t="str">
            <v>T</v>
          </cell>
          <cell r="V1377" t="str">
            <v>D</v>
          </cell>
          <cell r="W1377" t="str">
            <v>-</v>
          </cell>
          <cell r="X1377" t="str">
            <v>CLP VG 220 = -15° + 40°</v>
          </cell>
          <cell r="Y1377" t="str">
            <v>KA37/T DRN80M4</v>
          </cell>
          <cell r="Z1377" t="str">
            <v>SEW</v>
          </cell>
          <cell r="AB1377" t="str">
            <v>-</v>
          </cell>
          <cell r="AF1377">
            <v>162</v>
          </cell>
          <cell r="AG1377" t="str">
            <v>DRN80M4</v>
          </cell>
          <cell r="AH1377" t="str">
            <v>KA37T-DRN80M4B0-X</v>
          </cell>
        </row>
        <row r="1378">
          <cell r="A1378" t="str">
            <v>MR001374</v>
          </cell>
          <cell r="B1378" t="str">
            <v>MR</v>
          </cell>
          <cell r="C1378">
            <v>5.5</v>
          </cell>
          <cell r="D1378">
            <v>76</v>
          </cell>
          <cell r="E1378" t="str">
            <v>R87</v>
          </cell>
          <cell r="F1378">
            <v>685</v>
          </cell>
          <cell r="G1378">
            <v>19.100000000000001</v>
          </cell>
          <cell r="H1378">
            <v>2.1</v>
          </cell>
          <cell r="I1378" t="str">
            <v>From M1 to M2-15°</v>
          </cell>
          <cell r="J1378" t="str">
            <v>IE3</v>
          </cell>
          <cell r="K1378">
            <v>400</v>
          </cell>
          <cell r="L1378">
            <v>50</v>
          </cell>
          <cell r="M1378">
            <v>10.5</v>
          </cell>
          <cell r="N1378">
            <v>65</v>
          </cell>
          <cell r="O1378" t="str">
            <v>F(105°C)</v>
          </cell>
          <cell r="P1378" t="str">
            <v>270°</v>
          </cell>
          <cell r="Q1378" t="str">
            <v>-</v>
          </cell>
          <cell r="R1378" t="str">
            <v>-</v>
          </cell>
          <cell r="S1378" t="str">
            <v>-</v>
          </cell>
          <cell r="T1378" t="str">
            <v>-</v>
          </cell>
          <cell r="U1378" t="str">
            <v>-</v>
          </cell>
          <cell r="V1378" t="str">
            <v>D</v>
          </cell>
          <cell r="W1378" t="str">
            <v>-</v>
          </cell>
          <cell r="X1378" t="str">
            <v>CLP VG 220 = -15° + 40°</v>
          </cell>
          <cell r="Y1378" t="str">
            <v>R87DRN132S4</v>
          </cell>
          <cell r="Z1378" t="str">
            <v>SEW</v>
          </cell>
          <cell r="AB1378" t="str">
            <v>-</v>
          </cell>
          <cell r="AF1378">
            <v>76</v>
          </cell>
          <cell r="AG1378" t="str">
            <v>DRN132S4</v>
          </cell>
          <cell r="AH1378" t="str">
            <v>R87-DRN132S4270-X</v>
          </cell>
        </row>
        <row r="1379">
          <cell r="A1379" t="str">
            <v>MR001375</v>
          </cell>
          <cell r="B1379" t="str">
            <v>MR</v>
          </cell>
          <cell r="C1379">
            <v>22</v>
          </cell>
          <cell r="D1379">
            <v>39</v>
          </cell>
          <cell r="E1379" t="str">
            <v>R137</v>
          </cell>
          <cell r="F1379">
            <v>5350</v>
          </cell>
          <cell r="G1379">
            <v>37.65</v>
          </cell>
          <cell r="H1379">
            <v>1.5</v>
          </cell>
          <cell r="I1379" t="str">
            <v>M1</v>
          </cell>
          <cell r="J1379" t="str">
            <v>IE3</v>
          </cell>
          <cell r="K1379">
            <v>400</v>
          </cell>
          <cell r="L1379">
            <v>50</v>
          </cell>
          <cell r="M1379">
            <v>38.5</v>
          </cell>
          <cell r="N1379">
            <v>65</v>
          </cell>
          <cell r="O1379" t="str">
            <v>F(105°C)</v>
          </cell>
          <cell r="P1379" t="str">
            <v>270°</v>
          </cell>
          <cell r="Q1379" t="str">
            <v>-</v>
          </cell>
          <cell r="R1379" t="str">
            <v>-</v>
          </cell>
          <cell r="S1379" t="str">
            <v>Free rotation CCW</v>
          </cell>
          <cell r="T1379" t="str">
            <v>-</v>
          </cell>
          <cell r="U1379" t="str">
            <v>-</v>
          </cell>
          <cell r="V1379" t="str">
            <v>SS</v>
          </cell>
          <cell r="W1379" t="str">
            <v>-</v>
          </cell>
          <cell r="X1379" t="str">
            <v>CLP VG 220 = -15° + 40°</v>
          </cell>
          <cell r="Y1379" t="str">
            <v>R137DRN180L4 /RS</v>
          </cell>
          <cell r="Z1379" t="str">
            <v>SEW</v>
          </cell>
          <cell r="AB1379" t="str">
            <v>-</v>
          </cell>
          <cell r="AF1379">
            <v>39</v>
          </cell>
          <cell r="AG1379" t="str">
            <v>DRN180L4</v>
          </cell>
          <cell r="AH1379" t="str">
            <v>R137-DRN180L4270-X</v>
          </cell>
        </row>
        <row r="1380">
          <cell r="A1380" t="str">
            <v>MR001376</v>
          </cell>
          <cell r="B1380" t="str">
            <v>MR</v>
          </cell>
          <cell r="C1380">
            <v>9.1999999999999993</v>
          </cell>
          <cell r="D1380">
            <v>12</v>
          </cell>
          <cell r="E1380" t="str">
            <v>FH127</v>
          </cell>
          <cell r="F1380">
            <v>7040</v>
          </cell>
          <cell r="G1380">
            <v>125.37</v>
          </cell>
          <cell r="H1380">
            <v>1.6</v>
          </cell>
          <cell r="I1380" t="str">
            <v>From M1 to M2-15°</v>
          </cell>
          <cell r="J1380" t="str">
            <v>IE3</v>
          </cell>
          <cell r="K1380">
            <v>400</v>
          </cell>
          <cell r="L1380">
            <v>50</v>
          </cell>
          <cell r="M1380">
            <v>18.7</v>
          </cell>
          <cell r="N1380">
            <v>65</v>
          </cell>
          <cell r="O1380" t="str">
            <v>F(105°C)</v>
          </cell>
          <cell r="P1380" t="str">
            <v>270°</v>
          </cell>
          <cell r="Q1380" t="str">
            <v>TF</v>
          </cell>
          <cell r="R1380" t="str">
            <v>V(VE)</v>
          </cell>
          <cell r="S1380" t="str">
            <v>-</v>
          </cell>
          <cell r="T1380" t="str">
            <v>-</v>
          </cell>
          <cell r="U1380" t="str">
            <v>G</v>
          </cell>
          <cell r="V1380" t="str">
            <v>FC</v>
          </cell>
          <cell r="W1380" t="str">
            <v>-</v>
          </cell>
          <cell r="X1380" t="str">
            <v>CLP VG 220 = -15° + 40°</v>
          </cell>
          <cell r="Y1380" t="str">
            <v>FH127/G DRN132L4 /TF/V</v>
          </cell>
          <cell r="Z1380" t="str">
            <v>SEW</v>
          </cell>
          <cell r="AB1380" t="str">
            <v>-</v>
          </cell>
          <cell r="AF1380">
            <v>12</v>
          </cell>
          <cell r="AG1380" t="str">
            <v>DRN132L4</v>
          </cell>
          <cell r="AH1380" t="str">
            <v>FH127G-DRN132L4270-X#</v>
          </cell>
        </row>
        <row r="1381">
          <cell r="A1381" t="str">
            <v>MR001377</v>
          </cell>
          <cell r="B1381" t="str">
            <v>MR</v>
          </cell>
          <cell r="C1381">
            <v>5.5</v>
          </cell>
          <cell r="D1381">
            <v>76</v>
          </cell>
          <cell r="E1381" t="str">
            <v>R87</v>
          </cell>
          <cell r="F1381">
            <v>685</v>
          </cell>
          <cell r="G1381">
            <v>19.100000000000001</v>
          </cell>
          <cell r="H1381">
            <v>2.1</v>
          </cell>
          <cell r="I1381" t="str">
            <v>From M1 to M2-10°</v>
          </cell>
          <cell r="J1381" t="str">
            <v>IE3</v>
          </cell>
          <cell r="K1381">
            <v>400</v>
          </cell>
          <cell r="L1381">
            <v>50</v>
          </cell>
          <cell r="M1381">
            <v>10.5</v>
          </cell>
          <cell r="N1381">
            <v>65</v>
          </cell>
          <cell r="O1381" t="str">
            <v>F(105°C)</v>
          </cell>
          <cell r="P1381" t="str">
            <v>270°</v>
          </cell>
          <cell r="Q1381" t="str">
            <v>-</v>
          </cell>
          <cell r="R1381" t="str">
            <v>-</v>
          </cell>
          <cell r="S1381" t="str">
            <v>-</v>
          </cell>
          <cell r="T1381" t="str">
            <v>-</v>
          </cell>
          <cell r="U1381" t="str">
            <v>-</v>
          </cell>
          <cell r="V1381" t="str">
            <v>D</v>
          </cell>
          <cell r="W1381" t="str">
            <v>-</v>
          </cell>
          <cell r="X1381" t="str">
            <v>CLP VG 220 = -15° + 40°</v>
          </cell>
          <cell r="Y1381" t="str">
            <v>R87DRN132S4</v>
          </cell>
          <cell r="Z1381" t="str">
            <v>SEW</v>
          </cell>
          <cell r="AB1381" t="str">
            <v>-</v>
          </cell>
          <cell r="AF1381">
            <v>76</v>
          </cell>
          <cell r="AG1381" t="str">
            <v>DRN132S4</v>
          </cell>
          <cell r="AH1381" t="str">
            <v>R87-DRN132S4270-X</v>
          </cell>
        </row>
        <row r="1382">
          <cell r="A1382" t="str">
            <v>MR001378</v>
          </cell>
          <cell r="B1382" t="str">
            <v>MR</v>
          </cell>
          <cell r="C1382">
            <v>37</v>
          </cell>
          <cell r="D1382">
            <v>37</v>
          </cell>
          <cell r="E1382" t="str">
            <v>R147</v>
          </cell>
          <cell r="F1382">
            <v>9600</v>
          </cell>
          <cell r="G1382">
            <v>40.29</v>
          </cell>
          <cell r="H1382">
            <v>1.35</v>
          </cell>
          <cell r="I1382" t="str">
            <v>M1</v>
          </cell>
          <cell r="J1382" t="str">
            <v>IE3</v>
          </cell>
          <cell r="K1382">
            <v>400</v>
          </cell>
          <cell r="L1382">
            <v>50</v>
          </cell>
          <cell r="M1382">
            <v>64</v>
          </cell>
          <cell r="N1382">
            <v>65</v>
          </cell>
          <cell r="O1382" t="str">
            <v>F(105°C)</v>
          </cell>
          <cell r="P1382" t="str">
            <v>270°</v>
          </cell>
          <cell r="Q1382" t="str">
            <v>-</v>
          </cell>
          <cell r="R1382" t="str">
            <v>-</v>
          </cell>
          <cell r="S1382" t="str">
            <v>Free rotation CW</v>
          </cell>
          <cell r="T1382" t="str">
            <v>-</v>
          </cell>
          <cell r="U1382" t="str">
            <v>-</v>
          </cell>
          <cell r="V1382" t="str">
            <v>SS</v>
          </cell>
          <cell r="W1382" t="str">
            <v>-</v>
          </cell>
          <cell r="X1382" t="str">
            <v>CLP VG 220 = -15° + 40°</v>
          </cell>
          <cell r="Y1382" t="str">
            <v>R147DRN225S4 /RS</v>
          </cell>
          <cell r="Z1382" t="str">
            <v>SEW</v>
          </cell>
          <cell r="AB1382" t="str">
            <v>-</v>
          </cell>
          <cell r="AF1382">
            <v>37</v>
          </cell>
          <cell r="AG1382" t="str">
            <v>DRN225S4</v>
          </cell>
          <cell r="AH1382" t="str">
            <v>R147-DRN225S4270-X</v>
          </cell>
        </row>
        <row r="1383">
          <cell r="A1383" t="str">
            <v>MR001379</v>
          </cell>
          <cell r="B1383" t="str">
            <v>MR</v>
          </cell>
          <cell r="C1383">
            <v>9.1999999999999993</v>
          </cell>
          <cell r="D1383">
            <v>53</v>
          </cell>
          <cell r="E1383" t="str">
            <v>R97</v>
          </cell>
          <cell r="F1383">
            <v>1640</v>
          </cell>
          <cell r="G1383">
            <v>27.58</v>
          </cell>
          <cell r="H1383">
            <v>1.6</v>
          </cell>
          <cell r="I1383" t="str">
            <v>From M1 to M4-10°</v>
          </cell>
          <cell r="J1383" t="str">
            <v>IE3</v>
          </cell>
          <cell r="K1383">
            <v>400</v>
          </cell>
          <cell r="L1383">
            <v>50</v>
          </cell>
          <cell r="M1383">
            <v>18.7</v>
          </cell>
          <cell r="N1383">
            <v>65</v>
          </cell>
          <cell r="O1383" t="str">
            <v>F(105°C)</v>
          </cell>
          <cell r="P1383" t="str">
            <v>270°</v>
          </cell>
          <cell r="Q1383" t="str">
            <v>-</v>
          </cell>
          <cell r="R1383" t="str">
            <v>-</v>
          </cell>
          <cell r="S1383" t="str">
            <v>-</v>
          </cell>
          <cell r="T1383" t="str">
            <v>-</v>
          </cell>
          <cell r="U1383" t="str">
            <v>-</v>
          </cell>
          <cell r="V1383" t="str">
            <v>D</v>
          </cell>
          <cell r="W1383" t="str">
            <v>-</v>
          </cell>
          <cell r="X1383" t="str">
            <v>CLP VG 220 = -15° + 40°</v>
          </cell>
          <cell r="Y1383" t="str">
            <v>R97DRN132L4</v>
          </cell>
          <cell r="Z1383" t="str">
            <v>SEW</v>
          </cell>
          <cell r="AB1383" t="str">
            <v>-</v>
          </cell>
          <cell r="AF1383">
            <v>53</v>
          </cell>
          <cell r="AG1383" t="str">
            <v>DRN132L4</v>
          </cell>
          <cell r="AH1383" t="str">
            <v>R97-DRN132L4270-X</v>
          </cell>
        </row>
        <row r="1384">
          <cell r="A1384" t="str">
            <v>MR001380</v>
          </cell>
          <cell r="B1384" t="str">
            <v>MR</v>
          </cell>
          <cell r="C1384">
            <v>11</v>
          </cell>
          <cell r="D1384">
            <v>66</v>
          </cell>
          <cell r="E1384" t="str">
            <v>R97</v>
          </cell>
          <cell r="F1384">
            <v>1590</v>
          </cell>
          <cell r="G1384">
            <v>22.37</v>
          </cell>
          <cell r="H1384">
            <v>1.7</v>
          </cell>
          <cell r="I1384" t="str">
            <v>M1</v>
          </cell>
          <cell r="J1384" t="str">
            <v>IE3</v>
          </cell>
          <cell r="K1384">
            <v>400</v>
          </cell>
          <cell r="L1384">
            <v>50</v>
          </cell>
          <cell r="M1384">
            <v>21</v>
          </cell>
          <cell r="N1384">
            <v>65</v>
          </cell>
          <cell r="O1384" t="str">
            <v>F(105°C)</v>
          </cell>
          <cell r="P1384" t="str">
            <v>270°</v>
          </cell>
          <cell r="Q1384" t="str">
            <v>-</v>
          </cell>
          <cell r="R1384" t="str">
            <v>-</v>
          </cell>
          <cell r="S1384" t="str">
            <v>-</v>
          </cell>
          <cell r="T1384" t="str">
            <v>-</v>
          </cell>
          <cell r="U1384" t="str">
            <v>-</v>
          </cell>
          <cell r="V1384" t="str">
            <v>D+R</v>
          </cell>
          <cell r="W1384" t="str">
            <v>-</v>
          </cell>
          <cell r="X1384" t="str">
            <v>CLP VG 220 = -15° + 40°</v>
          </cell>
          <cell r="Y1384" t="str">
            <v>R97DRN160M4</v>
          </cell>
          <cell r="Z1384" t="str">
            <v>SEW</v>
          </cell>
          <cell r="AB1384" t="str">
            <v>-</v>
          </cell>
          <cell r="AF1384">
            <v>66</v>
          </cell>
          <cell r="AG1384" t="str">
            <v>DRN160M4</v>
          </cell>
          <cell r="AH1384" t="str">
            <v>R97-DRN160M4270-X</v>
          </cell>
        </row>
        <row r="1385">
          <cell r="A1385" t="str">
            <v>MR001381</v>
          </cell>
          <cell r="B1385" t="str">
            <v>MR</v>
          </cell>
          <cell r="C1385">
            <v>11</v>
          </cell>
          <cell r="D1385">
            <v>34</v>
          </cell>
          <cell r="E1385" t="str">
            <v>R97</v>
          </cell>
          <cell r="F1385">
            <v>3050</v>
          </cell>
          <cell r="G1385">
            <v>42.78</v>
          </cell>
          <cell r="H1385">
            <v>1</v>
          </cell>
          <cell r="I1385" t="str">
            <v>From M1 to M4-15°</v>
          </cell>
          <cell r="J1385" t="str">
            <v>IE3</v>
          </cell>
          <cell r="K1385">
            <v>400</v>
          </cell>
          <cell r="L1385">
            <v>50</v>
          </cell>
          <cell r="M1385">
            <v>21</v>
          </cell>
          <cell r="N1385">
            <v>65</v>
          </cell>
          <cell r="O1385" t="str">
            <v>F(105°C)</v>
          </cell>
          <cell r="P1385" t="str">
            <v>270°</v>
          </cell>
          <cell r="Q1385" t="str">
            <v>TF</v>
          </cell>
          <cell r="R1385" t="str">
            <v>V(VE)</v>
          </cell>
          <cell r="S1385" t="str">
            <v>-</v>
          </cell>
          <cell r="T1385" t="str">
            <v>-</v>
          </cell>
          <cell r="U1385" t="str">
            <v>-</v>
          </cell>
          <cell r="V1385" t="str">
            <v>FC</v>
          </cell>
          <cell r="W1385" t="str">
            <v>-</v>
          </cell>
          <cell r="X1385" t="str">
            <v>CLP VG 220 = -15° + 40°</v>
          </cell>
          <cell r="Y1385" t="str">
            <v>R97DRN160M4 /TF/V</v>
          </cell>
          <cell r="Z1385" t="str">
            <v>SEW</v>
          </cell>
          <cell r="AB1385" t="str">
            <v>-</v>
          </cell>
          <cell r="AF1385">
            <v>34</v>
          </cell>
          <cell r="AG1385" t="str">
            <v>DRN160M4</v>
          </cell>
          <cell r="AH1385" t="str">
            <v>R97-DRN160M4270-X#</v>
          </cell>
        </row>
        <row r="1386">
          <cell r="A1386" t="str">
            <v>MR001382</v>
          </cell>
          <cell r="B1386" t="str">
            <v>MR</v>
          </cell>
          <cell r="C1386">
            <v>11</v>
          </cell>
          <cell r="D1386">
            <v>62</v>
          </cell>
          <cell r="E1386" t="str">
            <v>FH87</v>
          </cell>
          <cell r="F1386">
            <v>1680</v>
          </cell>
          <cell r="G1386">
            <v>23.68</v>
          </cell>
          <cell r="H1386">
            <v>1.8</v>
          </cell>
          <cell r="I1386" t="str">
            <v>M1</v>
          </cell>
          <cell r="J1386" t="str">
            <v>IE3</v>
          </cell>
          <cell r="K1386">
            <v>400</v>
          </cell>
          <cell r="L1386">
            <v>50</v>
          </cell>
          <cell r="M1386">
            <v>21</v>
          </cell>
          <cell r="N1386">
            <v>65</v>
          </cell>
          <cell r="O1386" t="str">
            <v>F(105°C)</v>
          </cell>
          <cell r="P1386" t="str">
            <v>270°</v>
          </cell>
          <cell r="Q1386" t="str">
            <v>-</v>
          </cell>
          <cell r="R1386" t="str">
            <v>-</v>
          </cell>
          <cell r="S1386" t="str">
            <v>-</v>
          </cell>
          <cell r="T1386" t="str">
            <v>-</v>
          </cell>
          <cell r="U1386" t="str">
            <v>G</v>
          </cell>
          <cell r="V1386" t="str">
            <v>D</v>
          </cell>
          <cell r="W1386" t="str">
            <v>-</v>
          </cell>
          <cell r="X1386" t="str">
            <v>CLP VG 220 = -15° + 40°</v>
          </cell>
          <cell r="Y1386" t="str">
            <v>FH87/G DRN160M4</v>
          </cell>
          <cell r="Z1386" t="str">
            <v>SEW</v>
          </cell>
          <cell r="AB1386" t="str">
            <v>-</v>
          </cell>
          <cell r="AF1386">
            <v>62</v>
          </cell>
          <cell r="AG1386" t="str">
            <v>DRN160M4</v>
          </cell>
          <cell r="AH1386" t="str">
            <v>FH87G-DRN160M4270-X</v>
          </cell>
        </row>
        <row r="1387">
          <cell r="A1387" t="str">
            <v>MR001383</v>
          </cell>
          <cell r="B1387" t="str">
            <v>MR</v>
          </cell>
          <cell r="C1387">
            <v>0.55000000000000004</v>
          </cell>
          <cell r="D1387">
            <v>31</v>
          </cell>
          <cell r="E1387" t="str">
            <v>FA37</v>
          </cell>
          <cell r="F1387">
            <v>169</v>
          </cell>
          <cell r="G1387">
            <v>43.83</v>
          </cell>
          <cell r="H1387">
            <v>1.2</v>
          </cell>
          <cell r="I1387" t="str">
            <v>M5</v>
          </cell>
          <cell r="J1387" t="str">
            <v>IE3</v>
          </cell>
          <cell r="K1387">
            <v>400</v>
          </cell>
          <cell r="L1387">
            <v>50</v>
          </cell>
          <cell r="M1387">
            <v>1.2</v>
          </cell>
          <cell r="N1387">
            <v>65</v>
          </cell>
          <cell r="O1387" t="str">
            <v>F(105°C)</v>
          </cell>
          <cell r="P1387" t="str">
            <v>180°</v>
          </cell>
          <cell r="Q1387" t="str">
            <v>-</v>
          </cell>
          <cell r="R1387" t="str">
            <v>-</v>
          </cell>
          <cell r="S1387" t="str">
            <v>-</v>
          </cell>
          <cell r="T1387" t="str">
            <v>BEHF</v>
          </cell>
          <cell r="U1387" t="str">
            <v>G</v>
          </cell>
          <cell r="V1387" t="str">
            <v>D+R</v>
          </cell>
          <cell r="W1387" t="str">
            <v>-</v>
          </cell>
          <cell r="X1387" t="str">
            <v>CLP VG 220 = -15° + 40°</v>
          </cell>
          <cell r="Y1387" t="str">
            <v>FA37/G DRS71M4 /BEHF</v>
          </cell>
          <cell r="Z1387" t="str">
            <v>SEW</v>
          </cell>
          <cell r="AB1387" t="str">
            <v>-</v>
          </cell>
          <cell r="AF1387">
            <v>31</v>
          </cell>
          <cell r="AG1387" t="str">
            <v>DRS71M4</v>
          </cell>
          <cell r="AH1387" t="str">
            <v>FA37G-DRS71M4180-X</v>
          </cell>
        </row>
        <row r="1388">
          <cell r="A1388" t="str">
            <v>MR001384</v>
          </cell>
          <cell r="B1388" t="str">
            <v>MR</v>
          </cell>
          <cell r="C1388">
            <v>0.55000000000000004</v>
          </cell>
          <cell r="D1388">
            <v>31</v>
          </cell>
          <cell r="E1388" t="str">
            <v>FA37</v>
          </cell>
          <cell r="F1388">
            <v>169</v>
          </cell>
          <cell r="G1388">
            <v>43.83</v>
          </cell>
          <cell r="H1388">
            <v>1.2</v>
          </cell>
          <cell r="I1388" t="str">
            <v>M6</v>
          </cell>
          <cell r="J1388" t="str">
            <v>IE3</v>
          </cell>
          <cell r="K1388">
            <v>400</v>
          </cell>
          <cell r="L1388">
            <v>50</v>
          </cell>
          <cell r="M1388">
            <v>1.2</v>
          </cell>
          <cell r="N1388">
            <v>65</v>
          </cell>
          <cell r="O1388" t="str">
            <v>F(105°C)</v>
          </cell>
          <cell r="P1388" t="str">
            <v>0°</v>
          </cell>
          <cell r="Q1388" t="str">
            <v>-</v>
          </cell>
          <cell r="R1388" t="str">
            <v>-</v>
          </cell>
          <cell r="S1388" t="str">
            <v>-</v>
          </cell>
          <cell r="T1388" t="str">
            <v>BEHF</v>
          </cell>
          <cell r="U1388" t="str">
            <v>G</v>
          </cell>
          <cell r="V1388" t="str">
            <v>D+R</v>
          </cell>
          <cell r="W1388" t="str">
            <v>-</v>
          </cell>
          <cell r="X1388" t="str">
            <v>CLP VG 220 = -15° + 40°</v>
          </cell>
          <cell r="Y1388" t="str">
            <v>FA37/G DRS71M4 /BEHF</v>
          </cell>
          <cell r="Z1388" t="str">
            <v>SEW</v>
          </cell>
          <cell r="AB1388" t="str">
            <v>-</v>
          </cell>
          <cell r="AF1388">
            <v>31</v>
          </cell>
          <cell r="AG1388" t="str">
            <v>DRS71M4</v>
          </cell>
          <cell r="AH1388" t="str">
            <v>FA37G-DRS71M40-X</v>
          </cell>
        </row>
        <row r="1389">
          <cell r="A1389" t="str">
            <v>MR001385</v>
          </cell>
          <cell r="B1389" t="str">
            <v>MR</v>
          </cell>
          <cell r="C1389">
            <v>7.5</v>
          </cell>
          <cell r="D1389">
            <v>64</v>
          </cell>
          <cell r="E1389" t="str">
            <v>KH77</v>
          </cell>
          <cell r="F1389">
            <v>1120</v>
          </cell>
          <cell r="G1389">
            <v>23.08</v>
          </cell>
          <cell r="H1389">
            <v>1.4</v>
          </cell>
          <cell r="I1389" t="str">
            <v>M4B</v>
          </cell>
          <cell r="J1389" t="str">
            <v>IE3</v>
          </cell>
          <cell r="K1389">
            <v>400</v>
          </cell>
          <cell r="L1389">
            <v>50</v>
          </cell>
          <cell r="M1389">
            <v>15.2</v>
          </cell>
          <cell r="N1389">
            <v>65</v>
          </cell>
          <cell r="O1389" t="str">
            <v>F(105°C)</v>
          </cell>
          <cell r="P1389" t="str">
            <v>270°</v>
          </cell>
          <cell r="Q1389" t="str">
            <v>-</v>
          </cell>
          <cell r="R1389" t="str">
            <v>-</v>
          </cell>
          <cell r="S1389" t="str">
            <v>-</v>
          </cell>
          <cell r="T1389" t="str">
            <v>-</v>
          </cell>
          <cell r="U1389" t="str">
            <v>T</v>
          </cell>
          <cell r="V1389" t="str">
            <v>SS</v>
          </cell>
          <cell r="W1389" t="str">
            <v>-</v>
          </cell>
          <cell r="X1389" t="str">
            <v>CLP VG 220 = -15° + 40°</v>
          </cell>
          <cell r="Y1389" t="str">
            <v>KH77/T DRN132M4</v>
          </cell>
          <cell r="Z1389" t="str">
            <v>SEW</v>
          </cell>
          <cell r="AB1389" t="str">
            <v>-</v>
          </cell>
          <cell r="AF1389">
            <v>64</v>
          </cell>
          <cell r="AG1389" t="str">
            <v>DRN132M4</v>
          </cell>
          <cell r="AH1389" t="str">
            <v>KH77T-DRN132M4B270-X</v>
          </cell>
        </row>
        <row r="1390">
          <cell r="A1390" t="str">
            <v>MR001386</v>
          </cell>
          <cell r="B1390" t="str">
            <v>MR</v>
          </cell>
          <cell r="C1390">
            <v>0.75</v>
          </cell>
          <cell r="D1390">
            <v>162</v>
          </cell>
          <cell r="E1390" t="str">
            <v>KA37</v>
          </cell>
          <cell r="F1390">
            <v>44</v>
          </cell>
          <cell r="G1390">
            <v>8.91</v>
          </cell>
          <cell r="H1390">
            <v>3.6</v>
          </cell>
          <cell r="I1390" t="str">
            <v>M1B</v>
          </cell>
          <cell r="J1390" t="str">
            <v>IE3</v>
          </cell>
          <cell r="K1390" t="str">
            <v>230/400</v>
          </cell>
          <cell r="L1390">
            <v>50</v>
          </cell>
          <cell r="M1390" t="str">
            <v>3,05/1,75</v>
          </cell>
          <cell r="N1390">
            <v>65</v>
          </cell>
          <cell r="O1390" t="str">
            <v>F(105°C)</v>
          </cell>
          <cell r="P1390" t="str">
            <v>180°</v>
          </cell>
          <cell r="Q1390" t="str">
            <v>-</v>
          </cell>
          <cell r="R1390" t="str">
            <v>-</v>
          </cell>
          <cell r="S1390" t="str">
            <v>-</v>
          </cell>
          <cell r="T1390" t="str">
            <v>-</v>
          </cell>
          <cell r="U1390" t="str">
            <v>T</v>
          </cell>
          <cell r="V1390" t="str">
            <v>D</v>
          </cell>
          <cell r="W1390" t="str">
            <v>-</v>
          </cell>
          <cell r="X1390" t="str">
            <v>CLP VG 220 = -15° + 40°</v>
          </cell>
          <cell r="Y1390" t="str">
            <v>KA37/T DRN80M4</v>
          </cell>
          <cell r="Z1390" t="str">
            <v>SEW</v>
          </cell>
          <cell r="AB1390" t="str">
            <v>-</v>
          </cell>
          <cell r="AF1390">
            <v>162</v>
          </cell>
          <cell r="AG1390" t="str">
            <v>DRN80M4</v>
          </cell>
          <cell r="AH1390" t="str">
            <v>KA37T-DRN80M4B180-X</v>
          </cell>
        </row>
        <row r="1391">
          <cell r="A1391" t="str">
            <v>MR001387</v>
          </cell>
          <cell r="B1391" t="str">
            <v>MR</v>
          </cell>
          <cell r="C1391">
            <v>9.1999999999999993</v>
          </cell>
          <cell r="D1391">
            <v>73</v>
          </cell>
          <cell r="E1391" t="str">
            <v>KH77</v>
          </cell>
          <cell r="F1391">
            <v>1200</v>
          </cell>
          <cell r="G1391">
            <v>20.25</v>
          </cell>
          <cell r="H1391">
            <v>1.25</v>
          </cell>
          <cell r="I1391" t="str">
            <v>M4A</v>
          </cell>
          <cell r="J1391" t="str">
            <v>IE3</v>
          </cell>
          <cell r="K1391">
            <v>400</v>
          </cell>
          <cell r="L1391">
            <v>50</v>
          </cell>
          <cell r="M1391">
            <v>18.7</v>
          </cell>
          <cell r="N1391">
            <v>65</v>
          </cell>
          <cell r="O1391" t="str">
            <v>F(105°C)</v>
          </cell>
          <cell r="P1391" t="str">
            <v>270°</v>
          </cell>
          <cell r="Q1391" t="str">
            <v>-</v>
          </cell>
          <cell r="R1391" t="str">
            <v>-</v>
          </cell>
          <cell r="S1391" t="str">
            <v>-</v>
          </cell>
          <cell r="T1391" t="str">
            <v>-</v>
          </cell>
          <cell r="U1391" t="str">
            <v>T</v>
          </cell>
          <cell r="V1391" t="str">
            <v>SS</v>
          </cell>
          <cell r="W1391" t="str">
            <v>-</v>
          </cell>
          <cell r="X1391" t="str">
            <v>CLP VG 220 = -15° + 40°</v>
          </cell>
          <cell r="Y1391" t="str">
            <v>KH77/T DRN132L4</v>
          </cell>
          <cell r="Z1391" t="str">
            <v>SEW</v>
          </cell>
          <cell r="AB1391" t="str">
            <v>-</v>
          </cell>
          <cell r="AF1391">
            <v>73</v>
          </cell>
          <cell r="AG1391" t="str">
            <v>DRN132L4</v>
          </cell>
          <cell r="AH1391" t="str">
            <v>KH77T-DRN132L4A270-X</v>
          </cell>
        </row>
        <row r="1392">
          <cell r="A1392" t="str">
            <v>MR001388</v>
          </cell>
          <cell r="B1392" t="str">
            <v>MR</v>
          </cell>
          <cell r="C1392">
            <v>2.2000000000000002</v>
          </cell>
          <cell r="D1392">
            <v>1.8</v>
          </cell>
          <cell r="E1392" t="str">
            <v>KH127R77</v>
          </cell>
          <cell r="F1392">
            <v>10400</v>
          </cell>
          <cell r="G1392">
            <v>790</v>
          </cell>
          <cell r="H1392">
            <v>1.25</v>
          </cell>
          <cell r="I1392" t="str">
            <v>M4A</v>
          </cell>
          <cell r="J1392" t="str">
            <v>IE3</v>
          </cell>
          <cell r="K1392">
            <v>400</v>
          </cell>
          <cell r="L1392">
            <v>50</v>
          </cell>
          <cell r="M1392">
            <v>4.75</v>
          </cell>
          <cell r="N1392">
            <v>65</v>
          </cell>
          <cell r="O1392" t="str">
            <v>F(105°C)</v>
          </cell>
          <cell r="P1392" t="str">
            <v>270°</v>
          </cell>
          <cell r="Q1392" t="str">
            <v>TF</v>
          </cell>
          <cell r="R1392" t="str">
            <v>V(VE)</v>
          </cell>
          <cell r="S1392" t="str">
            <v>-</v>
          </cell>
          <cell r="T1392" t="str">
            <v>-</v>
          </cell>
          <cell r="U1392" t="str">
            <v>-</v>
          </cell>
          <cell r="V1392" t="str">
            <v>FC</v>
          </cell>
          <cell r="W1392" t="str">
            <v>-</v>
          </cell>
          <cell r="X1392" t="str">
            <v>CLP VG 220 = -15° + 40°</v>
          </cell>
          <cell r="Y1392" t="str">
            <v>KH127R77DRN100LS4 /TF/V</v>
          </cell>
          <cell r="Z1392" t="str">
            <v>SEW</v>
          </cell>
          <cell r="AB1392" t="str">
            <v>-</v>
          </cell>
          <cell r="AE1392" t="str">
            <v>Work frequency 50HZ for 0,05m/sec</v>
          </cell>
          <cell r="AF1392">
            <v>1.8</v>
          </cell>
          <cell r="AG1392" t="str">
            <v>DRN100LS4</v>
          </cell>
          <cell r="AH1392" t="str">
            <v>KH127R77-DRN100LS4A270-X#</v>
          </cell>
        </row>
        <row r="1393">
          <cell r="A1393" t="str">
            <v>MR001389</v>
          </cell>
          <cell r="B1393" t="str">
            <v>MR</v>
          </cell>
          <cell r="C1393">
            <v>7.5</v>
          </cell>
          <cell r="D1393">
            <v>15</v>
          </cell>
          <cell r="E1393" t="str">
            <v>KH107</v>
          </cell>
          <cell r="F1393">
            <v>4910</v>
          </cell>
          <cell r="G1393">
            <v>100.75</v>
          </cell>
          <cell r="H1393">
            <v>1.65</v>
          </cell>
          <cell r="I1393" t="str">
            <v>From M1B to M2B - 20°</v>
          </cell>
          <cell r="J1393" t="str">
            <v>IE3</v>
          </cell>
          <cell r="K1393">
            <v>400</v>
          </cell>
          <cell r="L1393">
            <v>50</v>
          </cell>
          <cell r="M1393">
            <v>15.2</v>
          </cell>
          <cell r="N1393">
            <v>65</v>
          </cell>
          <cell r="O1393" t="str">
            <v>F(105°C)</v>
          </cell>
          <cell r="P1393" t="str">
            <v>0°</v>
          </cell>
          <cell r="Q1393" t="str">
            <v>-</v>
          </cell>
          <cell r="R1393" t="str">
            <v>-</v>
          </cell>
          <cell r="S1393" t="str">
            <v>-</v>
          </cell>
          <cell r="T1393" t="str">
            <v>-</v>
          </cell>
          <cell r="U1393" t="str">
            <v>-</v>
          </cell>
          <cell r="V1393" t="str">
            <v>SS</v>
          </cell>
          <cell r="W1393" t="str">
            <v>-</v>
          </cell>
          <cell r="X1393" t="str">
            <v>CLP VG 220 = -15° + 40°</v>
          </cell>
          <cell r="Y1393" t="str">
            <v>KH107DRN132M4</v>
          </cell>
          <cell r="Z1393" t="str">
            <v>SEW</v>
          </cell>
          <cell r="AB1393" t="str">
            <v>-</v>
          </cell>
          <cell r="AF1393">
            <v>15</v>
          </cell>
          <cell r="AG1393" t="str">
            <v>DRN132M4</v>
          </cell>
          <cell r="AH1393" t="str">
            <v>KH107-DRN132M4B0-X</v>
          </cell>
        </row>
        <row r="1394">
          <cell r="A1394" t="str">
            <v>MR001390</v>
          </cell>
          <cell r="B1394" t="str">
            <v>MR</v>
          </cell>
          <cell r="C1394">
            <v>22</v>
          </cell>
          <cell r="D1394">
            <v>12</v>
          </cell>
          <cell r="E1394" t="str">
            <v>KH157</v>
          </cell>
          <cell r="F1394">
            <v>17400</v>
          </cell>
          <cell r="G1394">
            <v>122.39</v>
          </cell>
          <cell r="H1394">
            <v>1.05</v>
          </cell>
          <cell r="I1394" t="str">
            <v>From M1A to M2A - 35°</v>
          </cell>
          <cell r="J1394" t="str">
            <v>IE3</v>
          </cell>
          <cell r="K1394">
            <v>400</v>
          </cell>
          <cell r="L1394">
            <v>50</v>
          </cell>
          <cell r="M1394">
            <v>38.5</v>
          </cell>
          <cell r="N1394">
            <v>65</v>
          </cell>
          <cell r="O1394" t="str">
            <v>F(105°C)</v>
          </cell>
          <cell r="P1394" t="str">
            <v>180°</v>
          </cell>
          <cell r="Q1394" t="str">
            <v>-</v>
          </cell>
          <cell r="R1394" t="str">
            <v>-</v>
          </cell>
          <cell r="S1394" t="str">
            <v>-</v>
          </cell>
          <cell r="T1394" t="str">
            <v>-</v>
          </cell>
          <cell r="U1394" t="str">
            <v>-</v>
          </cell>
          <cell r="V1394" t="str">
            <v>SS</v>
          </cell>
          <cell r="W1394" t="str">
            <v>-</v>
          </cell>
          <cell r="X1394" t="str">
            <v>CLP VG 220 = -15° + 40°</v>
          </cell>
          <cell r="Y1394" t="str">
            <v>KH157DRN180L4</v>
          </cell>
          <cell r="Z1394" t="str">
            <v>SEW</v>
          </cell>
          <cell r="AB1394" t="str">
            <v>-</v>
          </cell>
          <cell r="AF1394">
            <v>12</v>
          </cell>
          <cell r="AG1394" t="str">
            <v>DRN180L4</v>
          </cell>
          <cell r="AH1394" t="str">
            <v>KH157-DRN180L4A180-X</v>
          </cell>
        </row>
        <row r="1395">
          <cell r="A1395" t="str">
            <v>MR001391</v>
          </cell>
          <cell r="B1395" t="str">
            <v>MR</v>
          </cell>
          <cell r="C1395">
            <v>18.5</v>
          </cell>
          <cell r="D1395">
            <v>12</v>
          </cell>
          <cell r="E1395" t="str">
            <v>KH157</v>
          </cell>
          <cell r="F1395">
            <v>14600</v>
          </cell>
          <cell r="G1395">
            <v>122.39</v>
          </cell>
          <cell r="H1395">
            <v>1.25</v>
          </cell>
          <cell r="I1395" t="str">
            <v>From M1B to M2B-20°</v>
          </cell>
          <cell r="J1395" t="str">
            <v>IE3</v>
          </cell>
          <cell r="K1395">
            <v>400</v>
          </cell>
          <cell r="L1395">
            <v>50</v>
          </cell>
          <cell r="M1395">
            <v>33.5</v>
          </cell>
          <cell r="N1395">
            <v>65</v>
          </cell>
          <cell r="O1395" t="str">
            <v>F(105°C)</v>
          </cell>
          <cell r="P1395" t="str">
            <v>0°</v>
          </cell>
          <cell r="Q1395" t="str">
            <v>-</v>
          </cell>
          <cell r="R1395" t="str">
            <v>-</v>
          </cell>
          <cell r="S1395" t="str">
            <v>-</v>
          </cell>
          <cell r="T1395" t="str">
            <v>-</v>
          </cell>
          <cell r="U1395" t="str">
            <v>-</v>
          </cell>
          <cell r="V1395" t="str">
            <v>SS</v>
          </cell>
          <cell r="W1395" t="str">
            <v>-</v>
          </cell>
          <cell r="X1395" t="str">
            <v>CLP VG 220 = -15° + 40°</v>
          </cell>
          <cell r="Y1395" t="str">
            <v>KH157DRN180M4</v>
          </cell>
          <cell r="Z1395" t="str">
            <v>SEW</v>
          </cell>
          <cell r="AB1395" t="str">
            <v>-</v>
          </cell>
          <cell r="AF1395">
            <v>12</v>
          </cell>
          <cell r="AG1395" t="str">
            <v>DRN180M4</v>
          </cell>
          <cell r="AH1395" t="str">
            <v>KH157-DRN180M4B0-X</v>
          </cell>
        </row>
        <row r="1396">
          <cell r="A1396" t="str">
            <v>MR001392</v>
          </cell>
          <cell r="B1396" t="str">
            <v>MR</v>
          </cell>
          <cell r="C1396">
            <v>0.55000000000000004</v>
          </cell>
          <cell r="D1396">
            <v>3.7</v>
          </cell>
          <cell r="E1396" t="str">
            <v>KA77R37</v>
          </cell>
          <cell r="F1396">
            <v>1280</v>
          </cell>
          <cell r="G1396">
            <v>367</v>
          </cell>
          <cell r="H1396">
            <v>1.2</v>
          </cell>
          <cell r="I1396" t="str">
            <v>M3A</v>
          </cell>
          <cell r="J1396" t="str">
            <v>IE3</v>
          </cell>
          <cell r="K1396">
            <v>400</v>
          </cell>
          <cell r="L1396">
            <v>50</v>
          </cell>
          <cell r="M1396">
            <v>1.2</v>
          </cell>
          <cell r="N1396">
            <v>65</v>
          </cell>
          <cell r="O1396" t="str">
            <v>F(105°C)</v>
          </cell>
          <cell r="P1396" t="str">
            <v>180°</v>
          </cell>
          <cell r="Q1396" t="str">
            <v>-</v>
          </cell>
          <cell r="R1396" t="str">
            <v>-</v>
          </cell>
          <cell r="S1396" t="str">
            <v>-</v>
          </cell>
          <cell r="T1396" t="str">
            <v>BEHF</v>
          </cell>
          <cell r="U1396" t="str">
            <v>T</v>
          </cell>
          <cell r="V1396" t="str">
            <v>D+R</v>
          </cell>
          <cell r="W1396" t="str">
            <v>-</v>
          </cell>
          <cell r="X1396" t="str">
            <v>CLP VG 220 = -15° + 40°</v>
          </cell>
          <cell r="Y1396" t="str">
            <v>KA77R37/T DRS71M4 /BEHF</v>
          </cell>
          <cell r="Z1396" t="str">
            <v>SEW</v>
          </cell>
          <cell r="AB1396" t="str">
            <v>-</v>
          </cell>
          <cell r="AF1396">
            <v>3.7</v>
          </cell>
          <cell r="AG1396" t="str">
            <v>DRS71M4</v>
          </cell>
          <cell r="AH1396" t="str">
            <v>KA77R37T-DRS71M4A180-X</v>
          </cell>
        </row>
        <row r="1397">
          <cell r="A1397" t="str">
            <v>MR001393</v>
          </cell>
          <cell r="B1397" t="str">
            <v>MR</v>
          </cell>
          <cell r="C1397">
            <v>18.5</v>
          </cell>
          <cell r="D1397">
            <v>33</v>
          </cell>
          <cell r="E1397" t="str">
            <v>R137</v>
          </cell>
          <cell r="F1397">
            <v>5300</v>
          </cell>
          <cell r="G1397">
            <v>44.39</v>
          </cell>
          <cell r="H1397">
            <v>1.5</v>
          </cell>
          <cell r="I1397" t="str">
            <v>M1</v>
          </cell>
          <cell r="J1397" t="str">
            <v>IE3</v>
          </cell>
          <cell r="K1397">
            <v>400</v>
          </cell>
          <cell r="L1397">
            <v>50</v>
          </cell>
          <cell r="M1397">
            <v>33.5</v>
          </cell>
          <cell r="N1397">
            <v>65</v>
          </cell>
          <cell r="O1397" t="str">
            <v>F(105°C)</v>
          </cell>
          <cell r="P1397" t="str">
            <v>180°</v>
          </cell>
          <cell r="Q1397" t="str">
            <v>-</v>
          </cell>
          <cell r="R1397" t="str">
            <v>-</v>
          </cell>
          <cell r="S1397" t="str">
            <v>Free rotation CW</v>
          </cell>
          <cell r="T1397" t="str">
            <v>-</v>
          </cell>
          <cell r="U1397" t="str">
            <v>-</v>
          </cell>
          <cell r="V1397" t="str">
            <v>SS</v>
          </cell>
          <cell r="W1397" t="str">
            <v>-</v>
          </cell>
          <cell r="X1397" t="str">
            <v>CLP VG 220 = -15° + 40°</v>
          </cell>
          <cell r="Y1397" t="str">
            <v>R137DRN180M4 /RS</v>
          </cell>
          <cell r="Z1397" t="str">
            <v>SEW</v>
          </cell>
          <cell r="AB1397" t="str">
            <v>-</v>
          </cell>
          <cell r="AF1397">
            <v>33</v>
          </cell>
          <cell r="AG1397" t="str">
            <v>DRN180M4</v>
          </cell>
          <cell r="AH1397" t="str">
            <v>R137-DRN180M4180-X</v>
          </cell>
        </row>
        <row r="1398">
          <cell r="A1398" t="str">
            <v>MR001394</v>
          </cell>
          <cell r="B1398" t="str">
            <v>MR</v>
          </cell>
          <cell r="C1398">
            <v>22</v>
          </cell>
          <cell r="D1398">
            <v>89</v>
          </cell>
          <cell r="E1398" t="str">
            <v>KH97</v>
          </cell>
          <cell r="F1398">
            <v>2350</v>
          </cell>
          <cell r="G1398">
            <v>16.559999999999999</v>
          </cell>
          <cell r="H1398">
            <v>1.85</v>
          </cell>
          <cell r="I1398" t="str">
            <v>M4B</v>
          </cell>
          <cell r="J1398" t="str">
            <v>IE3</v>
          </cell>
          <cell r="K1398">
            <v>400</v>
          </cell>
          <cell r="L1398">
            <v>50</v>
          </cell>
          <cell r="M1398">
            <v>38.5</v>
          </cell>
          <cell r="N1398">
            <v>65</v>
          </cell>
          <cell r="O1398" t="str">
            <v>F(105°C)</v>
          </cell>
          <cell r="P1398" t="str">
            <v>270°</v>
          </cell>
          <cell r="Q1398" t="str">
            <v>-</v>
          </cell>
          <cell r="R1398" t="str">
            <v>-</v>
          </cell>
          <cell r="S1398" t="str">
            <v>Free rotation CW</v>
          </cell>
          <cell r="T1398" t="str">
            <v>-</v>
          </cell>
          <cell r="U1398" t="str">
            <v>T</v>
          </cell>
          <cell r="V1398" t="str">
            <v>SS</v>
          </cell>
          <cell r="W1398" t="str">
            <v>-</v>
          </cell>
          <cell r="X1398" t="str">
            <v>CLP VG 220 = -15° + 40°</v>
          </cell>
          <cell r="Y1398" t="str">
            <v>KH97/T DRN180L4 /RS</v>
          </cell>
          <cell r="Z1398" t="str">
            <v>SEW</v>
          </cell>
          <cell r="AB1398" t="str">
            <v>-</v>
          </cell>
          <cell r="AF1398">
            <v>89</v>
          </cell>
          <cell r="AG1398" t="str">
            <v>DRN180L4</v>
          </cell>
          <cell r="AH1398" t="str">
            <v>KH97T-DRN180L4B270-X</v>
          </cell>
        </row>
        <row r="1399">
          <cell r="A1399" t="str">
            <v>MR001395</v>
          </cell>
          <cell r="B1399" t="str">
            <v>MR</v>
          </cell>
          <cell r="C1399">
            <v>0.75</v>
          </cell>
          <cell r="D1399">
            <v>162</v>
          </cell>
          <cell r="E1399" t="str">
            <v>KA37</v>
          </cell>
          <cell r="F1399">
            <v>44</v>
          </cell>
          <cell r="G1399">
            <v>8.91</v>
          </cell>
          <cell r="H1399">
            <v>3.6</v>
          </cell>
          <cell r="I1399" t="str">
            <v>M3B</v>
          </cell>
          <cell r="J1399" t="str">
            <v>IE3</v>
          </cell>
          <cell r="K1399" t="str">
            <v>230/400</v>
          </cell>
          <cell r="L1399">
            <v>50</v>
          </cell>
          <cell r="M1399" t="str">
            <v>3,05/1,75</v>
          </cell>
          <cell r="N1399">
            <v>65</v>
          </cell>
          <cell r="O1399" t="str">
            <v>F(105°C)</v>
          </cell>
          <cell r="P1399" t="str">
            <v>0°</v>
          </cell>
          <cell r="Q1399" t="str">
            <v>-</v>
          </cell>
          <cell r="R1399" t="str">
            <v>-</v>
          </cell>
          <cell r="S1399" t="str">
            <v>-</v>
          </cell>
          <cell r="T1399" t="str">
            <v>-</v>
          </cell>
          <cell r="U1399" t="str">
            <v>T</v>
          </cell>
          <cell r="V1399" t="str">
            <v>D</v>
          </cell>
          <cell r="W1399" t="str">
            <v>-</v>
          </cell>
          <cell r="X1399" t="str">
            <v>CLP VG 220 = -15° + 40°</v>
          </cell>
          <cell r="Y1399" t="str">
            <v>KA37/T DRN80M4</v>
          </cell>
          <cell r="Z1399" t="str">
            <v>SEW</v>
          </cell>
          <cell r="AB1399" t="str">
            <v>-</v>
          </cell>
          <cell r="AF1399">
            <v>162</v>
          </cell>
          <cell r="AG1399" t="str">
            <v>DRN80M4</v>
          </cell>
          <cell r="AH1399" t="str">
            <v>KA37T-DRN80M4B0-X</v>
          </cell>
        </row>
        <row r="1400">
          <cell r="A1400" t="str">
            <v>MR001396</v>
          </cell>
          <cell r="B1400" t="str">
            <v>MR</v>
          </cell>
          <cell r="C1400">
            <v>30</v>
          </cell>
          <cell r="D1400">
            <v>89</v>
          </cell>
          <cell r="E1400" t="str">
            <v>KH97</v>
          </cell>
          <cell r="F1400">
            <v>3200</v>
          </cell>
          <cell r="G1400">
            <v>16.559999999999999</v>
          </cell>
          <cell r="H1400">
            <v>1.35</v>
          </cell>
          <cell r="I1400" t="str">
            <v>M4B</v>
          </cell>
          <cell r="J1400" t="str">
            <v>IE3</v>
          </cell>
          <cell r="K1400">
            <v>400</v>
          </cell>
          <cell r="L1400">
            <v>50</v>
          </cell>
          <cell r="M1400">
            <v>56</v>
          </cell>
          <cell r="N1400">
            <v>65</v>
          </cell>
          <cell r="O1400" t="str">
            <v>F(105°C)</v>
          </cell>
          <cell r="P1400" t="str">
            <v>270°</v>
          </cell>
          <cell r="Q1400" t="str">
            <v>-</v>
          </cell>
          <cell r="R1400" t="str">
            <v>-</v>
          </cell>
          <cell r="S1400" t="str">
            <v>Free rotation CW</v>
          </cell>
          <cell r="T1400" t="str">
            <v>-</v>
          </cell>
          <cell r="U1400" t="str">
            <v>T</v>
          </cell>
          <cell r="V1400" t="str">
            <v>SS</v>
          </cell>
          <cell r="W1400" t="str">
            <v>-</v>
          </cell>
          <cell r="X1400" t="str">
            <v>CLP VG 220 = -15° + 40°</v>
          </cell>
          <cell r="Y1400" t="str">
            <v>KH97/T DRN200L4 /RS</v>
          </cell>
          <cell r="Z1400" t="str">
            <v>SEW</v>
          </cell>
          <cell r="AB1400" t="str">
            <v>-</v>
          </cell>
          <cell r="AF1400">
            <v>89</v>
          </cell>
          <cell r="AG1400" t="str">
            <v>DRN200L4</v>
          </cell>
          <cell r="AH1400" t="str">
            <v>KH97T-DRN200L4B270-X</v>
          </cell>
        </row>
        <row r="1401">
          <cell r="A1401" t="str">
            <v>MR001397</v>
          </cell>
          <cell r="B1401" t="str">
            <v>MR</v>
          </cell>
          <cell r="C1401">
            <v>0.75</v>
          </cell>
          <cell r="D1401">
            <v>162</v>
          </cell>
          <cell r="E1401" t="str">
            <v>KA37</v>
          </cell>
          <cell r="F1401">
            <v>44</v>
          </cell>
          <cell r="G1401">
            <v>8.91</v>
          </cell>
          <cell r="H1401">
            <v>3</v>
          </cell>
          <cell r="I1401" t="str">
            <v>From M3B to M4B - 10°</v>
          </cell>
          <cell r="J1401" t="str">
            <v>IE3</v>
          </cell>
          <cell r="K1401">
            <v>400</v>
          </cell>
          <cell r="L1401">
            <v>50</v>
          </cell>
          <cell r="M1401">
            <v>1.75</v>
          </cell>
          <cell r="N1401">
            <v>65</v>
          </cell>
          <cell r="O1401" t="str">
            <v>F(105°C)</v>
          </cell>
          <cell r="P1401" t="str">
            <v>0°</v>
          </cell>
          <cell r="Q1401" t="str">
            <v>-</v>
          </cell>
          <cell r="R1401" t="str">
            <v>-</v>
          </cell>
          <cell r="S1401" t="str">
            <v>-</v>
          </cell>
          <cell r="T1401" t="str">
            <v>-</v>
          </cell>
          <cell r="U1401" t="str">
            <v>T</v>
          </cell>
          <cell r="V1401" t="str">
            <v>D</v>
          </cell>
          <cell r="W1401" t="str">
            <v>-</v>
          </cell>
          <cell r="X1401" t="str">
            <v>CLP VG 220 = -15° + 40°</v>
          </cell>
          <cell r="Y1401" t="str">
            <v>KA37/T DRN80M4</v>
          </cell>
          <cell r="Z1401" t="str">
            <v>SEW</v>
          </cell>
          <cell r="AB1401" t="str">
            <v>-</v>
          </cell>
          <cell r="AF1401">
            <v>162</v>
          </cell>
          <cell r="AG1401" t="str">
            <v>DRN80M4</v>
          </cell>
          <cell r="AH1401" t="str">
            <v>KA37T-DRN80M4B0-X</v>
          </cell>
        </row>
        <row r="1402">
          <cell r="A1402" t="str">
            <v>MR001398</v>
          </cell>
          <cell r="B1402" t="str">
            <v>MR</v>
          </cell>
          <cell r="C1402">
            <v>9.1999999999999993</v>
          </cell>
          <cell r="D1402">
            <v>73</v>
          </cell>
          <cell r="E1402" t="str">
            <v>KH77</v>
          </cell>
          <cell r="F1402">
            <v>1200</v>
          </cell>
          <cell r="G1402">
            <v>20.25</v>
          </cell>
          <cell r="H1402">
            <v>1.25</v>
          </cell>
          <cell r="I1402" t="str">
            <v>M4B</v>
          </cell>
          <cell r="J1402" t="str">
            <v>IE3</v>
          </cell>
          <cell r="K1402">
            <v>400</v>
          </cell>
          <cell r="L1402">
            <v>50</v>
          </cell>
          <cell r="M1402">
            <v>18.7</v>
          </cell>
          <cell r="N1402">
            <v>65</v>
          </cell>
          <cell r="O1402" t="str">
            <v>F(105°C)</v>
          </cell>
          <cell r="P1402" t="str">
            <v>270°</v>
          </cell>
          <cell r="Q1402" t="str">
            <v>-</v>
          </cell>
          <cell r="R1402" t="str">
            <v>-</v>
          </cell>
          <cell r="S1402" t="str">
            <v>Free rotation CW</v>
          </cell>
          <cell r="T1402" t="str">
            <v>-</v>
          </cell>
          <cell r="U1402" t="str">
            <v>T</v>
          </cell>
          <cell r="V1402" t="str">
            <v>SS</v>
          </cell>
          <cell r="W1402" t="str">
            <v>-</v>
          </cell>
          <cell r="X1402" t="str">
            <v>CLP VG 220 = -15° + 40°</v>
          </cell>
          <cell r="Y1402" t="str">
            <v>KH77/T DRN132L4 /RS</v>
          </cell>
          <cell r="Z1402" t="str">
            <v>SEW</v>
          </cell>
          <cell r="AB1402" t="str">
            <v>-</v>
          </cell>
          <cell r="AF1402">
            <v>73</v>
          </cell>
          <cell r="AG1402" t="str">
            <v>DRN132L4</v>
          </cell>
          <cell r="AH1402" t="str">
            <v>KH77T-DRN132L4B270-X</v>
          </cell>
        </row>
        <row r="1403">
          <cell r="A1403" t="str">
            <v>MR001399</v>
          </cell>
          <cell r="B1403" t="str">
            <v>MR</v>
          </cell>
          <cell r="C1403">
            <v>11</v>
          </cell>
          <cell r="D1403">
            <v>76</v>
          </cell>
          <cell r="E1403" t="str">
            <v>KH87</v>
          </cell>
          <cell r="F1403">
            <v>1380</v>
          </cell>
          <cell r="G1403">
            <v>19.45</v>
          </cell>
          <cell r="H1403">
            <v>1.65</v>
          </cell>
          <cell r="I1403" t="str">
            <v>M4B</v>
          </cell>
          <cell r="J1403" t="str">
            <v>IE3</v>
          </cell>
          <cell r="K1403">
            <v>400</v>
          </cell>
          <cell r="L1403">
            <v>50</v>
          </cell>
          <cell r="M1403">
            <v>21</v>
          </cell>
          <cell r="N1403">
            <v>65</v>
          </cell>
          <cell r="O1403" t="str">
            <v>F(105°C)</v>
          </cell>
          <cell r="P1403" t="str">
            <v>270°</v>
          </cell>
          <cell r="Q1403" t="str">
            <v>-</v>
          </cell>
          <cell r="R1403" t="str">
            <v>-</v>
          </cell>
          <cell r="S1403" t="str">
            <v>-</v>
          </cell>
          <cell r="T1403" t="str">
            <v>-</v>
          </cell>
          <cell r="U1403" t="str">
            <v>T</v>
          </cell>
          <cell r="V1403" t="str">
            <v>SS+R</v>
          </cell>
          <cell r="W1403" t="str">
            <v>-</v>
          </cell>
          <cell r="X1403" t="str">
            <v>CLP VG 220 = -15° + 40°</v>
          </cell>
          <cell r="Y1403" t="str">
            <v>KH87/T DRN160M4</v>
          </cell>
          <cell r="Z1403" t="str">
            <v>SEW</v>
          </cell>
          <cell r="AB1403" t="str">
            <v>-</v>
          </cell>
          <cell r="AF1403">
            <v>76</v>
          </cell>
          <cell r="AG1403" t="str">
            <v>DRN160M4</v>
          </cell>
          <cell r="AH1403" t="str">
            <v>KH87T-DRN160M4B270-X</v>
          </cell>
        </row>
        <row r="1404">
          <cell r="A1404" t="str">
            <v>MR001400</v>
          </cell>
          <cell r="B1404" t="str">
            <v>MR</v>
          </cell>
          <cell r="C1404">
            <v>1.1000000000000001</v>
          </cell>
          <cell r="D1404">
            <v>7.3</v>
          </cell>
          <cell r="E1404" t="str">
            <v>FV77</v>
          </cell>
          <cell r="F1404">
            <v>1430</v>
          </cell>
          <cell r="G1404">
            <v>198.31</v>
          </cell>
          <cell r="H1404">
            <v>1.05</v>
          </cell>
          <cell r="I1404" t="str">
            <v>M1</v>
          </cell>
          <cell r="J1404" t="str">
            <v>IE3</v>
          </cell>
          <cell r="K1404">
            <v>400</v>
          </cell>
          <cell r="L1404">
            <v>50</v>
          </cell>
          <cell r="M1404">
            <v>2.5499999999999998</v>
          </cell>
          <cell r="N1404">
            <v>65</v>
          </cell>
          <cell r="O1404" t="str">
            <v>F(105°C)</v>
          </cell>
          <cell r="P1404" t="str">
            <v>270°</v>
          </cell>
          <cell r="Q1404" t="str">
            <v>TF</v>
          </cell>
          <cell r="R1404" t="str">
            <v>-</v>
          </cell>
          <cell r="S1404" t="str">
            <v>-</v>
          </cell>
          <cell r="T1404" t="str">
            <v>BEHF</v>
          </cell>
          <cell r="U1404" t="str">
            <v>G</v>
          </cell>
          <cell r="V1404" t="str">
            <v>FC+R</v>
          </cell>
          <cell r="W1404" t="str">
            <v>-</v>
          </cell>
          <cell r="X1404" t="str">
            <v>CLP VG 220 = -15° + 40°</v>
          </cell>
          <cell r="Y1404" t="str">
            <v>FV77/G DRN90S4 /BEHF /TF</v>
          </cell>
          <cell r="Z1404" t="str">
            <v>SEW</v>
          </cell>
          <cell r="AB1404" t="str">
            <v>-</v>
          </cell>
          <cell r="AE1404" t="str">
            <v>BROCCIATURA PER FV67-DIN 5480N45x2x30x21xH9</v>
          </cell>
          <cell r="AF1404">
            <v>7.3</v>
          </cell>
          <cell r="AG1404" t="str">
            <v>DRN90S4</v>
          </cell>
          <cell r="AH1404" t="str">
            <v>FV77G-DRN90S4270-X</v>
          </cell>
        </row>
        <row r="1405">
          <cell r="A1405" t="str">
            <v>MR001401</v>
          </cell>
          <cell r="B1405" t="str">
            <v>R</v>
          </cell>
          <cell r="C1405" t="str">
            <v>-</v>
          </cell>
          <cell r="E1405" t="str">
            <v>316M-L4</v>
          </cell>
          <cell r="Q1405" t="str">
            <v>-</v>
          </cell>
          <cell r="R1405" t="str">
            <v>-</v>
          </cell>
          <cell r="S1405" t="str">
            <v>-</v>
          </cell>
          <cell r="T1405" t="str">
            <v>-</v>
          </cell>
          <cell r="U1405" t="str">
            <v>-</v>
          </cell>
          <cell r="V1405" t="str">
            <v>-</v>
          </cell>
          <cell r="W1405" t="str">
            <v>-</v>
          </cell>
          <cell r="X1405" t="str">
            <v>SHELL OMALA S4 WE 320</v>
          </cell>
          <cell r="Y1405" t="str">
            <v>3 16M L 4 500 HZ V05B A W0A LM EX</v>
          </cell>
          <cell r="Z1405" t="str">
            <v>Bonfiglioli</v>
          </cell>
          <cell r="AB1405" t="str">
            <v>ATEX22</v>
          </cell>
          <cell r="AE1405" t="str">
            <v>Accessorio uscita flangia N170x5x9H DIN5480</v>
          </cell>
          <cell r="AF1405">
            <v>0</v>
          </cell>
          <cell r="AG1405" t="str">
            <v>-</v>
          </cell>
          <cell r="AH1405" t="str">
            <v>316M-L4---X</v>
          </cell>
        </row>
        <row r="1406">
          <cell r="A1406" t="str">
            <v>MR001402</v>
          </cell>
          <cell r="B1406" t="str">
            <v>MR</v>
          </cell>
          <cell r="C1406">
            <v>15</v>
          </cell>
          <cell r="D1406">
            <v>18</v>
          </cell>
          <cell r="E1406" t="str">
            <v>KH127</v>
          </cell>
          <cell r="F1406">
            <v>7960</v>
          </cell>
          <cell r="G1406">
            <v>81.98</v>
          </cell>
          <cell r="H1406">
            <v>1.65</v>
          </cell>
          <cell r="I1406" t="str">
            <v>From M1B to M2B-15°</v>
          </cell>
          <cell r="J1406" t="str">
            <v>IE3</v>
          </cell>
          <cell r="K1406">
            <v>400</v>
          </cell>
          <cell r="L1406">
            <v>50</v>
          </cell>
          <cell r="M1406">
            <v>29</v>
          </cell>
          <cell r="N1406">
            <v>55</v>
          </cell>
          <cell r="O1406" t="str">
            <v>F(105°C)</v>
          </cell>
          <cell r="P1406" t="str">
            <v>270°</v>
          </cell>
          <cell r="Q1406" t="str">
            <v>TF</v>
          </cell>
          <cell r="R1406" t="str">
            <v>-</v>
          </cell>
          <cell r="S1406" t="str">
            <v>-</v>
          </cell>
          <cell r="T1406" t="str">
            <v>-</v>
          </cell>
          <cell r="U1406" t="str">
            <v>-</v>
          </cell>
          <cell r="V1406" t="str">
            <v>FC</v>
          </cell>
          <cell r="W1406" t="str">
            <v>-</v>
          </cell>
          <cell r="X1406" t="str">
            <v>CLP VG 220 = -15° + 40°</v>
          </cell>
          <cell r="Y1406" t="str">
            <v>KH127DRN160L4 /TF</v>
          </cell>
          <cell r="Z1406" t="str">
            <v>SEW</v>
          </cell>
          <cell r="AB1406" t="str">
            <v>-</v>
          </cell>
          <cell r="AF1406">
            <v>18</v>
          </cell>
          <cell r="AG1406" t="str">
            <v>DRN160L4</v>
          </cell>
          <cell r="AH1406" t="str">
            <v>KH127-DRN160L4B270-X</v>
          </cell>
        </row>
        <row r="1407">
          <cell r="A1407" t="str">
            <v>MR001403</v>
          </cell>
          <cell r="B1407" t="str">
            <v>MR</v>
          </cell>
          <cell r="C1407">
            <v>11</v>
          </cell>
          <cell r="D1407">
            <v>18</v>
          </cell>
          <cell r="E1407" t="str">
            <v>KH107</v>
          </cell>
          <cell r="F1407">
            <v>5890</v>
          </cell>
          <cell r="G1407">
            <v>82.61</v>
          </cell>
          <cell r="H1407">
            <v>1.35</v>
          </cell>
          <cell r="I1407" t="str">
            <v>M1B</v>
          </cell>
          <cell r="J1407" t="str">
            <v>IE3</v>
          </cell>
          <cell r="K1407">
            <v>400</v>
          </cell>
          <cell r="L1407">
            <v>50</v>
          </cell>
          <cell r="M1407">
            <v>29</v>
          </cell>
          <cell r="N1407">
            <v>55</v>
          </cell>
          <cell r="O1407" t="str">
            <v>F(105°C)</v>
          </cell>
          <cell r="P1407" t="str">
            <v>270°</v>
          </cell>
          <cell r="Q1407" t="str">
            <v>TF</v>
          </cell>
          <cell r="R1407" t="str">
            <v>-</v>
          </cell>
          <cell r="S1407" t="str">
            <v>-</v>
          </cell>
          <cell r="T1407" t="str">
            <v>-</v>
          </cell>
          <cell r="U1407" t="str">
            <v>-</v>
          </cell>
          <cell r="V1407" t="str">
            <v>FC</v>
          </cell>
          <cell r="W1407" t="str">
            <v>-</v>
          </cell>
          <cell r="X1407" t="str">
            <v>CLP VG 220 = -15° + 40°</v>
          </cell>
          <cell r="Y1407" t="str">
            <v>KH107DRN160M4 /TF</v>
          </cell>
          <cell r="Z1407" t="str">
            <v>SEW</v>
          </cell>
          <cell r="AB1407" t="str">
            <v>-</v>
          </cell>
          <cell r="AF1407">
            <v>18</v>
          </cell>
          <cell r="AG1407" t="str">
            <v>DRN160M4</v>
          </cell>
          <cell r="AH1407" t="str">
            <v>KH107-DRN160M4B270-X</v>
          </cell>
        </row>
        <row r="1408">
          <cell r="A1408" t="str">
            <v>MR001404</v>
          </cell>
          <cell r="B1408" t="str">
            <v>MR</v>
          </cell>
          <cell r="C1408">
            <v>22</v>
          </cell>
          <cell r="D1408">
            <v>18</v>
          </cell>
          <cell r="E1408" t="str">
            <v>KH127</v>
          </cell>
          <cell r="F1408">
            <v>11600</v>
          </cell>
          <cell r="G1408">
            <v>81.98</v>
          </cell>
          <cell r="H1408">
            <v>1.1000000000000001</v>
          </cell>
          <cell r="I1408" t="str">
            <v>M1B</v>
          </cell>
          <cell r="J1408" t="str">
            <v>IE3</v>
          </cell>
          <cell r="K1408">
            <v>400</v>
          </cell>
          <cell r="L1408">
            <v>50</v>
          </cell>
          <cell r="M1408">
            <v>38.5</v>
          </cell>
          <cell r="N1408">
            <v>55</v>
          </cell>
          <cell r="O1408" t="str">
            <v>F(105°C)</v>
          </cell>
          <cell r="P1408" t="str">
            <v>270°</v>
          </cell>
          <cell r="Q1408" t="str">
            <v>TF</v>
          </cell>
          <cell r="R1408" t="str">
            <v>-</v>
          </cell>
          <cell r="S1408" t="str">
            <v>-</v>
          </cell>
          <cell r="T1408" t="str">
            <v>-</v>
          </cell>
          <cell r="U1408" t="str">
            <v>-</v>
          </cell>
          <cell r="V1408" t="str">
            <v>FC</v>
          </cell>
          <cell r="W1408" t="str">
            <v>-</v>
          </cell>
          <cell r="X1408" t="str">
            <v>CLP VG 220 = -15° + 40°</v>
          </cell>
          <cell r="Y1408" t="str">
            <v>KH127DRN180L4 /TF</v>
          </cell>
          <cell r="Z1408" t="str">
            <v>SEW</v>
          </cell>
          <cell r="AB1408" t="str">
            <v>-</v>
          </cell>
          <cell r="AF1408">
            <v>18</v>
          </cell>
          <cell r="AG1408" t="str">
            <v>DRN180L4</v>
          </cell>
          <cell r="AH1408" t="str">
            <v>KH127-DRN180L4B270-X</v>
          </cell>
        </row>
        <row r="1409">
          <cell r="A1409" t="str">
            <v>MR001405</v>
          </cell>
          <cell r="B1409" t="str">
            <v>MR</v>
          </cell>
          <cell r="C1409">
            <v>22</v>
          </cell>
          <cell r="D1409">
            <v>18</v>
          </cell>
          <cell r="E1409" t="str">
            <v>KH127</v>
          </cell>
          <cell r="F1409">
            <v>11600</v>
          </cell>
          <cell r="G1409">
            <v>81.98</v>
          </cell>
          <cell r="H1409">
            <v>1.1000000000000001</v>
          </cell>
          <cell r="I1409" t="str">
            <v>M1A</v>
          </cell>
          <cell r="J1409" t="str">
            <v>IE3</v>
          </cell>
          <cell r="K1409">
            <v>400</v>
          </cell>
          <cell r="L1409">
            <v>50</v>
          </cell>
          <cell r="M1409">
            <v>38.5</v>
          </cell>
          <cell r="N1409">
            <v>55</v>
          </cell>
          <cell r="O1409" t="str">
            <v>F(105°C)</v>
          </cell>
          <cell r="P1409" t="str">
            <v>270°</v>
          </cell>
          <cell r="Q1409" t="str">
            <v>TF</v>
          </cell>
          <cell r="R1409" t="str">
            <v>-</v>
          </cell>
          <cell r="S1409" t="str">
            <v>-</v>
          </cell>
          <cell r="T1409" t="str">
            <v>-</v>
          </cell>
          <cell r="U1409" t="str">
            <v>-</v>
          </cell>
          <cell r="V1409" t="str">
            <v>FC</v>
          </cell>
          <cell r="W1409" t="str">
            <v>-</v>
          </cell>
          <cell r="X1409" t="str">
            <v>CLP VG 220 = -15° + 40°</v>
          </cell>
          <cell r="Y1409" t="str">
            <v>KH127DRN180L4 /TF</v>
          </cell>
          <cell r="Z1409" t="str">
            <v>SEW</v>
          </cell>
          <cell r="AB1409" t="str">
            <v>-</v>
          </cell>
          <cell r="AF1409">
            <v>18</v>
          </cell>
          <cell r="AG1409" t="str">
            <v>DRN180L4</v>
          </cell>
          <cell r="AH1409" t="str">
            <v>KH127-DRN180L4A270-X</v>
          </cell>
        </row>
        <row r="1410">
          <cell r="A1410" t="str">
            <v>MR001406</v>
          </cell>
          <cell r="B1410" t="str">
            <v>MR</v>
          </cell>
          <cell r="C1410">
            <v>3</v>
          </cell>
          <cell r="D1410">
            <v>75</v>
          </cell>
          <cell r="E1410" t="str">
            <v>KH67</v>
          </cell>
          <cell r="F1410">
            <v>375</v>
          </cell>
          <cell r="G1410">
            <v>19.3</v>
          </cell>
          <cell r="H1410">
            <v>2</v>
          </cell>
          <cell r="I1410" t="str">
            <v>M4A</v>
          </cell>
          <cell r="J1410" t="str">
            <v>IE3</v>
          </cell>
          <cell r="K1410">
            <v>400</v>
          </cell>
          <cell r="L1410">
            <v>50</v>
          </cell>
          <cell r="M1410">
            <v>6.4</v>
          </cell>
          <cell r="N1410">
            <v>65</v>
          </cell>
          <cell r="O1410" t="str">
            <v>F(105°C)</v>
          </cell>
          <cell r="P1410" t="str">
            <v>270°</v>
          </cell>
          <cell r="Q1410" t="str">
            <v>-</v>
          </cell>
          <cell r="R1410" t="str">
            <v>-</v>
          </cell>
          <cell r="S1410" t="str">
            <v>-</v>
          </cell>
          <cell r="T1410" t="str">
            <v>-</v>
          </cell>
          <cell r="U1410" t="str">
            <v>T</v>
          </cell>
          <cell r="V1410" t="str">
            <v>D</v>
          </cell>
          <cell r="W1410" t="str">
            <v>-</v>
          </cell>
          <cell r="X1410" t="str">
            <v>CLP PG VG 220 = -20° + 80°</v>
          </cell>
          <cell r="Y1410" t="str">
            <v>KH67/T DRN100L4</v>
          </cell>
          <cell r="Z1410" t="str">
            <v>SEW</v>
          </cell>
          <cell r="AB1410" t="str">
            <v>-</v>
          </cell>
          <cell r="AF1410">
            <v>75</v>
          </cell>
          <cell r="AG1410" t="str">
            <v>DRN100L4</v>
          </cell>
          <cell r="AH1410" t="str">
            <v>KH67T-DRN100L4A270-X</v>
          </cell>
        </row>
        <row r="1411">
          <cell r="A1411" t="str">
            <v>MR001407</v>
          </cell>
          <cell r="B1411" t="str">
            <v>MR</v>
          </cell>
          <cell r="C1411">
            <v>1.5</v>
          </cell>
          <cell r="D1411">
            <v>114</v>
          </cell>
          <cell r="E1411" t="str">
            <v>FH37</v>
          </cell>
          <cell r="F1411">
            <v>126</v>
          </cell>
          <cell r="G1411">
            <v>12.87</v>
          </cell>
          <cell r="H1411">
            <v>1.6</v>
          </cell>
          <cell r="I1411" t="str">
            <v>M1</v>
          </cell>
          <cell r="J1411" t="str">
            <v>IE3</v>
          </cell>
          <cell r="K1411">
            <v>400</v>
          </cell>
          <cell r="L1411">
            <v>50</v>
          </cell>
          <cell r="M1411">
            <v>3.4</v>
          </cell>
          <cell r="N1411">
            <v>55</v>
          </cell>
          <cell r="O1411" t="str">
            <v>F(105°C)</v>
          </cell>
          <cell r="P1411" t="str">
            <v>270°</v>
          </cell>
          <cell r="Q1411" t="str">
            <v>-</v>
          </cell>
          <cell r="R1411" t="str">
            <v>-</v>
          </cell>
          <cell r="S1411" t="str">
            <v>-</v>
          </cell>
          <cell r="T1411" t="str">
            <v>-</v>
          </cell>
          <cell r="U1411" t="str">
            <v>G</v>
          </cell>
          <cell r="V1411" t="str">
            <v>D</v>
          </cell>
          <cell r="W1411" t="str">
            <v>-</v>
          </cell>
          <cell r="X1411" t="str">
            <v>CLP HC VG 220 = -20° + 60°</v>
          </cell>
          <cell r="Y1411" t="str">
            <v>FH37/G DRN90L4</v>
          </cell>
          <cell r="Z1411" t="str">
            <v>SEW</v>
          </cell>
          <cell r="AB1411" t="str">
            <v>-</v>
          </cell>
          <cell r="AF1411">
            <v>114</v>
          </cell>
          <cell r="AG1411" t="str">
            <v>DRN90L4</v>
          </cell>
          <cell r="AH1411" t="str">
            <v>FH37G-DRN90L4270-X</v>
          </cell>
        </row>
        <row r="1412">
          <cell r="A1412" t="str">
            <v>MR001408</v>
          </cell>
          <cell r="B1412" t="str">
            <v>MR</v>
          </cell>
          <cell r="C1412">
            <v>0.75</v>
          </cell>
          <cell r="D1412">
            <v>1.7</v>
          </cell>
          <cell r="E1412" t="str">
            <v>KA97R57</v>
          </cell>
          <cell r="F1412">
            <v>3930</v>
          </cell>
          <cell r="G1412">
            <v>855</v>
          </cell>
          <cell r="H1412">
            <v>1.1000000000000001</v>
          </cell>
          <cell r="I1412" t="str">
            <v>M3B</v>
          </cell>
          <cell r="J1412" t="str">
            <v>IE3</v>
          </cell>
          <cell r="K1412">
            <v>400</v>
          </cell>
          <cell r="L1412">
            <v>50</v>
          </cell>
          <cell r="M1412">
            <v>1.75</v>
          </cell>
          <cell r="N1412">
            <v>55</v>
          </cell>
          <cell r="O1412" t="str">
            <v>F(105°C)</v>
          </cell>
          <cell r="P1412" t="str">
            <v>0°</v>
          </cell>
          <cell r="Q1412" t="str">
            <v>TF</v>
          </cell>
          <cell r="R1412" t="str">
            <v>V(VE)</v>
          </cell>
          <cell r="S1412" t="str">
            <v>-</v>
          </cell>
          <cell r="T1412" t="str">
            <v>BEHF</v>
          </cell>
          <cell r="U1412" t="str">
            <v>T</v>
          </cell>
          <cell r="V1412" t="str">
            <v>FC</v>
          </cell>
          <cell r="W1412" t="str">
            <v>-</v>
          </cell>
          <cell r="X1412" t="str">
            <v>CLP VG 220 = -15° + 40°</v>
          </cell>
          <cell r="Y1412" t="str">
            <v>KA97R57/T DRN80M4 /BEHF /TF/V</v>
          </cell>
          <cell r="Z1412" t="str">
            <v>SEW</v>
          </cell>
          <cell r="AF1412">
            <v>1.7</v>
          </cell>
          <cell r="AG1412" t="str">
            <v>DRN80M4</v>
          </cell>
          <cell r="AH1412" t="str">
            <v>KA97R57T-DRN80M4B0-X#</v>
          </cell>
        </row>
        <row r="1413">
          <cell r="A1413" t="str">
            <v>MR001409</v>
          </cell>
          <cell r="B1413" t="str">
            <v>MR</v>
          </cell>
          <cell r="C1413">
            <v>18.5</v>
          </cell>
          <cell r="D1413">
            <v>53</v>
          </cell>
          <cell r="E1413" t="str">
            <v>KH97</v>
          </cell>
          <cell r="F1413">
            <v>3330</v>
          </cell>
          <cell r="G1413">
            <v>27.91</v>
          </cell>
          <cell r="H1413">
            <v>1.3</v>
          </cell>
          <cell r="I1413" t="str">
            <v>M4B</v>
          </cell>
          <cell r="J1413" t="str">
            <v>IE3</v>
          </cell>
          <cell r="K1413">
            <v>400</v>
          </cell>
          <cell r="L1413">
            <v>50</v>
          </cell>
          <cell r="M1413">
            <v>33.5</v>
          </cell>
          <cell r="N1413">
            <v>55</v>
          </cell>
          <cell r="O1413" t="str">
            <v>F(105°C)</v>
          </cell>
          <cell r="P1413" t="str">
            <v>0°</v>
          </cell>
          <cell r="Q1413" t="str">
            <v>TF</v>
          </cell>
          <cell r="R1413" t="str">
            <v>V(VE)</v>
          </cell>
          <cell r="S1413" t="str">
            <v>Free rotation CW</v>
          </cell>
          <cell r="T1413" t="str">
            <v>-</v>
          </cell>
          <cell r="U1413" t="str">
            <v>T</v>
          </cell>
          <cell r="V1413" t="str">
            <v>FC</v>
          </cell>
          <cell r="W1413" t="str">
            <v>-</v>
          </cell>
          <cell r="X1413" t="str">
            <v>CLP VG 220 = -15° + 40°</v>
          </cell>
          <cell r="Y1413" t="str">
            <v>KH97/T DRN180M4 /RS /TF/V</v>
          </cell>
          <cell r="Z1413" t="str">
            <v>SEW</v>
          </cell>
          <cell r="AB1413" t="str">
            <v>-</v>
          </cell>
          <cell r="AF1413">
            <v>53</v>
          </cell>
          <cell r="AG1413" t="str">
            <v>DRN180M4</v>
          </cell>
          <cell r="AH1413" t="str">
            <v>KH97T-DRN180M4B0-X#</v>
          </cell>
        </row>
        <row r="1414">
          <cell r="A1414" t="str">
            <v>MR001410</v>
          </cell>
          <cell r="B1414" t="str">
            <v>MR</v>
          </cell>
          <cell r="C1414">
            <v>0.25</v>
          </cell>
          <cell r="D1414">
            <v>1.6</v>
          </cell>
          <cell r="E1414" t="str">
            <v>KA77R37</v>
          </cell>
          <cell r="F1414">
            <v>1340</v>
          </cell>
          <cell r="G1414">
            <v>815</v>
          </cell>
          <cell r="H1414">
            <v>1.1499999999999999</v>
          </cell>
          <cell r="I1414" t="str">
            <v>M3B</v>
          </cell>
          <cell r="J1414" t="str">
            <v>IE3</v>
          </cell>
          <cell r="K1414">
            <v>400</v>
          </cell>
          <cell r="L1414">
            <v>50</v>
          </cell>
          <cell r="M1414">
            <v>0.72</v>
          </cell>
          <cell r="N1414">
            <v>55</v>
          </cell>
          <cell r="O1414" t="str">
            <v>F(105°C)</v>
          </cell>
          <cell r="P1414" t="str">
            <v>0°</v>
          </cell>
          <cell r="Q1414" t="str">
            <v>TF</v>
          </cell>
          <cell r="R1414" t="str">
            <v>-</v>
          </cell>
          <cell r="S1414" t="str">
            <v>-</v>
          </cell>
          <cell r="T1414" t="str">
            <v>BEHF</v>
          </cell>
          <cell r="U1414" t="str">
            <v>T</v>
          </cell>
          <cell r="V1414" t="str">
            <v>D+R</v>
          </cell>
          <cell r="W1414" t="str">
            <v>-</v>
          </cell>
          <cell r="X1414" t="str">
            <v>CLP VG 220 = -15° + 40°</v>
          </cell>
          <cell r="Y1414" t="str">
            <v>KA77R37/T DRN71MS4 /BEHF /TF</v>
          </cell>
          <cell r="Z1414" t="str">
            <v>SEW</v>
          </cell>
          <cell r="AB1414" t="str">
            <v>-</v>
          </cell>
          <cell r="AF1414">
            <v>1.6</v>
          </cell>
          <cell r="AG1414" t="str">
            <v>DRN71MS4</v>
          </cell>
          <cell r="AH1414" t="str">
            <v>KA77R37T-DRN71MS4B0-X</v>
          </cell>
        </row>
        <row r="1415">
          <cell r="A1415" t="str">
            <v>MR001411</v>
          </cell>
          <cell r="B1415" t="str">
            <v>MR</v>
          </cell>
          <cell r="C1415">
            <v>0.75</v>
          </cell>
          <cell r="D1415">
            <v>162</v>
          </cell>
          <cell r="E1415" t="str">
            <v>KA37</v>
          </cell>
          <cell r="F1415">
            <v>44</v>
          </cell>
          <cell r="G1415">
            <v>8.91</v>
          </cell>
          <cell r="H1415">
            <v>3.6</v>
          </cell>
          <cell r="I1415" t="str">
            <v>M1A</v>
          </cell>
          <cell r="J1415" t="str">
            <v>IE3</v>
          </cell>
          <cell r="K1415" t="str">
            <v>230/400</v>
          </cell>
          <cell r="L1415">
            <v>50</v>
          </cell>
          <cell r="M1415" t="str">
            <v>3,05/1,75</v>
          </cell>
          <cell r="N1415">
            <v>55</v>
          </cell>
          <cell r="O1415" t="str">
            <v>155(F)</v>
          </cell>
          <cell r="P1415" t="str">
            <v>180°</v>
          </cell>
          <cell r="Q1415" t="str">
            <v>-</v>
          </cell>
          <cell r="R1415" t="str">
            <v>-</v>
          </cell>
          <cell r="S1415" t="str">
            <v>-</v>
          </cell>
          <cell r="T1415" t="str">
            <v>-</v>
          </cell>
          <cell r="U1415" t="str">
            <v>T</v>
          </cell>
          <cell r="V1415" t="str">
            <v>D</v>
          </cell>
          <cell r="W1415" t="str">
            <v>-</v>
          </cell>
          <cell r="X1415" t="str">
            <v>CLP 220 (-15/+40°C)</v>
          </cell>
          <cell r="Y1415" t="str">
            <v>KA37/T DRN80M4</v>
          </cell>
          <cell r="Z1415" t="str">
            <v>SEW</v>
          </cell>
          <cell r="AB1415" t="str">
            <v>-</v>
          </cell>
          <cell r="AF1415">
            <v>162</v>
          </cell>
          <cell r="AG1415" t="str">
            <v>DRN80M4</v>
          </cell>
          <cell r="AH1415" t="str">
            <v>KA37T-DRN80M4A180-X</v>
          </cell>
        </row>
        <row r="1416">
          <cell r="A1416" t="str">
            <v>MR001412</v>
          </cell>
          <cell r="B1416" t="str">
            <v>MR</v>
          </cell>
          <cell r="C1416">
            <v>5.5</v>
          </cell>
          <cell r="D1416">
            <v>72</v>
          </cell>
          <cell r="E1416" t="str">
            <v>KH77</v>
          </cell>
          <cell r="F1416">
            <v>725</v>
          </cell>
          <cell r="G1416">
            <v>20.25</v>
          </cell>
          <cell r="H1416">
            <v>2.1</v>
          </cell>
          <cell r="I1416" t="str">
            <v>M4A</v>
          </cell>
          <cell r="J1416" t="str">
            <v>IE3</v>
          </cell>
          <cell r="K1416">
            <v>400</v>
          </cell>
          <cell r="L1416">
            <v>50</v>
          </cell>
          <cell r="M1416">
            <v>10.5</v>
          </cell>
          <cell r="N1416">
            <v>55</v>
          </cell>
          <cell r="O1416" t="str">
            <v>F(105°C)</v>
          </cell>
          <cell r="P1416" t="str">
            <v>270°</v>
          </cell>
          <cell r="Q1416" t="str">
            <v>TF</v>
          </cell>
          <cell r="R1416" t="str">
            <v>V(VE)</v>
          </cell>
          <cell r="S1416" t="str">
            <v>-</v>
          </cell>
          <cell r="T1416" t="str">
            <v>-</v>
          </cell>
          <cell r="U1416" t="str">
            <v>T</v>
          </cell>
          <cell r="V1416" t="str">
            <v>FC</v>
          </cell>
          <cell r="W1416" t="str">
            <v>-</v>
          </cell>
          <cell r="X1416" t="str">
            <v>CLP VG 220 = -15° + 40°</v>
          </cell>
          <cell r="Y1416" t="str">
            <v>KH77/T DRN132S4 /TF/V</v>
          </cell>
          <cell r="Z1416" t="str">
            <v>SEW</v>
          </cell>
          <cell r="AB1416" t="str">
            <v>-</v>
          </cell>
          <cell r="AF1416">
            <v>72</v>
          </cell>
          <cell r="AG1416" t="str">
            <v>DRN132S4</v>
          </cell>
          <cell r="AH1416" t="str">
            <v>KH77T-DRN132S4A270-X#</v>
          </cell>
        </row>
        <row r="1417">
          <cell r="A1417" t="str">
            <v>MR001413</v>
          </cell>
          <cell r="B1417" t="str">
            <v>MR</v>
          </cell>
          <cell r="C1417">
            <v>5.5</v>
          </cell>
          <cell r="D1417">
            <v>72</v>
          </cell>
          <cell r="E1417" t="str">
            <v>KH77</v>
          </cell>
          <cell r="F1417">
            <v>725</v>
          </cell>
          <cell r="G1417">
            <v>20.25</v>
          </cell>
          <cell r="H1417">
            <v>2.1</v>
          </cell>
          <cell r="I1417" t="str">
            <v>M4B</v>
          </cell>
          <cell r="J1417" t="str">
            <v>IE3</v>
          </cell>
          <cell r="K1417">
            <v>400</v>
          </cell>
          <cell r="L1417">
            <v>50</v>
          </cell>
          <cell r="M1417">
            <v>10.5</v>
          </cell>
          <cell r="N1417">
            <v>55</v>
          </cell>
          <cell r="O1417" t="str">
            <v>F(105°C)</v>
          </cell>
          <cell r="P1417" t="str">
            <v>270°</v>
          </cell>
          <cell r="Q1417" t="str">
            <v>TF</v>
          </cell>
          <cell r="R1417" t="str">
            <v>V(VE)</v>
          </cell>
          <cell r="S1417" t="str">
            <v>-</v>
          </cell>
          <cell r="T1417" t="str">
            <v>-</v>
          </cell>
          <cell r="U1417" t="str">
            <v>T</v>
          </cell>
          <cell r="V1417" t="str">
            <v>FC</v>
          </cell>
          <cell r="W1417" t="str">
            <v>-</v>
          </cell>
          <cell r="X1417" t="str">
            <v>CLP VG 220 = -15° + 40°</v>
          </cell>
          <cell r="Y1417" t="str">
            <v>KH77/T DRN132S4 /TF/V</v>
          </cell>
          <cell r="Z1417" t="str">
            <v>SEW</v>
          </cell>
          <cell r="AB1417" t="str">
            <v>-</v>
          </cell>
          <cell r="AF1417">
            <v>72</v>
          </cell>
          <cell r="AG1417" t="str">
            <v>DRN132S4</v>
          </cell>
          <cell r="AH1417" t="str">
            <v>KH77T-DRN132S4B270-X#</v>
          </cell>
        </row>
        <row r="1418">
          <cell r="A1418" t="str">
            <v>MR001414</v>
          </cell>
          <cell r="B1418" t="str">
            <v>MR</v>
          </cell>
          <cell r="C1418">
            <v>22</v>
          </cell>
          <cell r="D1418">
            <v>26</v>
          </cell>
          <cell r="E1418" t="str">
            <v>KH107</v>
          </cell>
          <cell r="F1418">
            <v>8130</v>
          </cell>
          <cell r="G1418">
            <v>57.17</v>
          </cell>
          <cell r="H1418">
            <v>1</v>
          </cell>
          <cell r="I1418" t="str">
            <v>M4B</v>
          </cell>
          <cell r="J1418" t="str">
            <v>IE3</v>
          </cell>
          <cell r="K1418">
            <v>440</v>
          </cell>
          <cell r="L1418">
            <v>60</v>
          </cell>
          <cell r="M1418">
            <v>35</v>
          </cell>
          <cell r="N1418">
            <v>55</v>
          </cell>
          <cell r="O1418" t="str">
            <v>F(105°C)</v>
          </cell>
          <cell r="P1418" t="str">
            <v>0°</v>
          </cell>
          <cell r="Q1418" t="str">
            <v>TF</v>
          </cell>
          <cell r="R1418" t="str">
            <v>V(VE)</v>
          </cell>
          <cell r="S1418" t="str">
            <v>-</v>
          </cell>
          <cell r="T1418" t="str">
            <v>-</v>
          </cell>
          <cell r="U1418" t="str">
            <v>T</v>
          </cell>
          <cell r="V1418" t="str">
            <v>FC</v>
          </cell>
          <cell r="W1418" t="str">
            <v>-</v>
          </cell>
          <cell r="X1418" t="str">
            <v>CLP VG 220 = -15° + 40°</v>
          </cell>
          <cell r="Y1418" t="str">
            <v>KH107/T DRN180L4 /TF/V</v>
          </cell>
          <cell r="Z1418" t="str">
            <v>SEW</v>
          </cell>
          <cell r="AB1418" t="str">
            <v>-</v>
          </cell>
          <cell r="AF1418">
            <v>31.2</v>
          </cell>
          <cell r="AG1418" t="str">
            <v>DRN180L4</v>
          </cell>
          <cell r="AH1418" t="str">
            <v>KH107T-DRN180L4B0-X#</v>
          </cell>
        </row>
        <row r="1419">
          <cell r="A1419" t="str">
            <v>MR001415</v>
          </cell>
          <cell r="B1419" t="str">
            <v>MR</v>
          </cell>
          <cell r="C1419">
            <v>4</v>
          </cell>
          <cell r="D1419">
            <v>67</v>
          </cell>
          <cell r="E1419" t="str">
            <v>FH67</v>
          </cell>
          <cell r="F1419">
            <v>575</v>
          </cell>
          <cell r="G1419">
            <v>22.05</v>
          </cell>
          <cell r="H1419">
            <v>1.45</v>
          </cell>
          <cell r="I1419" t="str">
            <v>From M1 to M6 - 15°</v>
          </cell>
          <cell r="J1419" t="str">
            <v>IE3</v>
          </cell>
          <cell r="K1419" t="str">
            <v>230/400</v>
          </cell>
          <cell r="L1419">
            <v>50</v>
          </cell>
          <cell r="M1419" t="str">
            <v>13,8/7,9</v>
          </cell>
          <cell r="N1419">
            <v>55</v>
          </cell>
          <cell r="O1419" t="str">
            <v>F(105°C)</v>
          </cell>
          <cell r="P1419" t="str">
            <v>270°</v>
          </cell>
          <cell r="Q1419" t="str">
            <v>TF</v>
          </cell>
          <cell r="R1419" t="str">
            <v>-</v>
          </cell>
          <cell r="S1419" t="str">
            <v>-</v>
          </cell>
          <cell r="T1419" t="str">
            <v>-</v>
          </cell>
          <cell r="U1419" t="str">
            <v>G</v>
          </cell>
          <cell r="V1419" t="str">
            <v>D</v>
          </cell>
          <cell r="W1419" t="str">
            <v>-</v>
          </cell>
          <cell r="X1419" t="str">
            <v>CLP VG 220 = -15° + 40°</v>
          </cell>
          <cell r="Y1419" t="str">
            <v>FH67/G DRN112M4 /TF</v>
          </cell>
          <cell r="Z1419" t="str">
            <v>SEW</v>
          </cell>
          <cell r="AA1419">
            <v>9010</v>
          </cell>
          <cell r="AB1419" t="str">
            <v>-</v>
          </cell>
          <cell r="AF1419">
            <v>67</v>
          </cell>
          <cell r="AG1419" t="str">
            <v>DRN112M4</v>
          </cell>
          <cell r="AH1419" t="str">
            <v>FH67G-DRN112M4270-X</v>
          </cell>
        </row>
        <row r="1420">
          <cell r="A1420" t="str">
            <v>MR001416</v>
          </cell>
          <cell r="B1420" t="str">
            <v>MR</v>
          </cell>
          <cell r="C1420">
            <v>7.5</v>
          </cell>
          <cell r="D1420">
            <v>57</v>
          </cell>
          <cell r="E1420" t="str">
            <v>KH77</v>
          </cell>
          <cell r="F1420">
            <v>1240</v>
          </cell>
          <cell r="G1420">
            <v>25.62</v>
          </cell>
          <cell r="H1420">
            <v>1.25</v>
          </cell>
          <cell r="I1420" t="str">
            <v>From M4A to M1A - 15°</v>
          </cell>
          <cell r="J1420" t="str">
            <v>IE3</v>
          </cell>
          <cell r="K1420" t="str">
            <v>400/690</v>
          </cell>
          <cell r="L1420">
            <v>50</v>
          </cell>
          <cell r="M1420" t="str">
            <v>15,2/8,8</v>
          </cell>
          <cell r="N1420">
            <v>55</v>
          </cell>
          <cell r="O1420" t="str">
            <v>F(105°C)</v>
          </cell>
          <cell r="P1420" t="str">
            <v>270°</v>
          </cell>
          <cell r="Q1420" t="str">
            <v>TF</v>
          </cell>
          <cell r="R1420" t="str">
            <v>-</v>
          </cell>
          <cell r="S1420" t="str">
            <v>Free rotation CCW</v>
          </cell>
          <cell r="T1420" t="str">
            <v>-</v>
          </cell>
          <cell r="U1420" t="str">
            <v>T</v>
          </cell>
          <cell r="V1420" t="str">
            <v>SS</v>
          </cell>
          <cell r="W1420" t="str">
            <v>-</v>
          </cell>
          <cell r="X1420" t="str">
            <v>CLP VG 220 = -15° + 40°</v>
          </cell>
          <cell r="Y1420" t="str">
            <v>KH77/T DRN132M4 /RS /TF</v>
          </cell>
          <cell r="Z1420" t="str">
            <v>SEW</v>
          </cell>
          <cell r="AA1420">
            <v>9010</v>
          </cell>
          <cell r="AB1420" t="str">
            <v>-</v>
          </cell>
          <cell r="AF1420">
            <v>57</v>
          </cell>
          <cell r="AG1420" t="str">
            <v>DRN132M4</v>
          </cell>
          <cell r="AH1420" t="str">
            <v>KH77T-DRN132M4A270-X</v>
          </cell>
        </row>
        <row r="1421">
          <cell r="A1421" t="str">
            <v>MR001417</v>
          </cell>
          <cell r="B1421" t="str">
            <v>MR</v>
          </cell>
          <cell r="C1421">
            <v>0.37</v>
          </cell>
          <cell r="D1421">
            <v>3.4</v>
          </cell>
          <cell r="E1421" t="str">
            <v>KA67R37</v>
          </cell>
          <cell r="F1421">
            <v>920</v>
          </cell>
          <cell r="G1421">
            <v>420</v>
          </cell>
          <cell r="H1421">
            <v>0.9</v>
          </cell>
          <cell r="I1421" t="str">
            <v>M3B</v>
          </cell>
          <cell r="J1421" t="str">
            <v>IE3</v>
          </cell>
          <cell r="K1421" t="str">
            <v>230/400</v>
          </cell>
          <cell r="L1421">
            <v>50</v>
          </cell>
          <cell r="M1421" t="str">
            <v>1,78/1,02</v>
          </cell>
          <cell r="N1421">
            <v>55</v>
          </cell>
          <cell r="O1421" t="str">
            <v>F(105°C)</v>
          </cell>
          <cell r="P1421" t="str">
            <v>270°</v>
          </cell>
          <cell r="Q1421" t="str">
            <v>TF</v>
          </cell>
          <cell r="R1421" t="str">
            <v>-</v>
          </cell>
          <cell r="S1421" t="str">
            <v>-</v>
          </cell>
          <cell r="T1421" t="str">
            <v>BEHF Brake 230V monophase</v>
          </cell>
          <cell r="U1421" t="str">
            <v>T</v>
          </cell>
          <cell r="V1421" t="str">
            <v>D+R</v>
          </cell>
          <cell r="W1421" t="str">
            <v>-</v>
          </cell>
          <cell r="X1421" t="str">
            <v>CLP VG 220 = -15° + 40°</v>
          </cell>
          <cell r="Y1421" t="str">
            <v>KA67R37/T DRS71S4 /BEHF Brake 230V monophase /TF</v>
          </cell>
          <cell r="Z1421" t="str">
            <v>SEW</v>
          </cell>
          <cell r="AA1421">
            <v>9010</v>
          </cell>
          <cell r="AB1421" t="str">
            <v>-</v>
          </cell>
          <cell r="AF1421">
            <v>3.4</v>
          </cell>
          <cell r="AG1421" t="str">
            <v>DRS71S4</v>
          </cell>
          <cell r="AH1421" t="str">
            <v>KA67R37T-DRS71S4B270-X</v>
          </cell>
        </row>
        <row r="1422">
          <cell r="A1422" t="str">
            <v>MR001418</v>
          </cell>
          <cell r="B1422" t="str">
            <v>MR</v>
          </cell>
          <cell r="C1422">
            <v>1.5</v>
          </cell>
          <cell r="D1422">
            <v>22</v>
          </cell>
          <cell r="E1422" t="str">
            <v>FA67</v>
          </cell>
          <cell r="F1422">
            <v>660</v>
          </cell>
          <cell r="G1422">
            <v>67.650000000000006</v>
          </cell>
          <cell r="H1422">
            <v>1.25</v>
          </cell>
          <cell r="I1422" t="str">
            <v>From M2 to M6 - 15°</v>
          </cell>
          <cell r="J1422" t="str">
            <v>IE3</v>
          </cell>
          <cell r="K1422">
            <v>415</v>
          </cell>
          <cell r="L1422">
            <v>50</v>
          </cell>
          <cell r="M1422">
            <v>3.4</v>
          </cell>
          <cell r="N1422">
            <v>55</v>
          </cell>
          <cell r="O1422" t="str">
            <v>F(105°C)</v>
          </cell>
          <cell r="P1422" t="str">
            <v>270°</v>
          </cell>
          <cell r="Q1422" t="str">
            <v>TF</v>
          </cell>
          <cell r="R1422" t="str">
            <v>-</v>
          </cell>
          <cell r="S1422" t="str">
            <v>-</v>
          </cell>
          <cell r="T1422" t="str">
            <v>BEHF</v>
          </cell>
          <cell r="U1422" t="str">
            <v>G</v>
          </cell>
          <cell r="V1422" t="str">
            <v>D+R</v>
          </cell>
          <cell r="W1422" t="str">
            <v>-</v>
          </cell>
          <cell r="X1422" t="str">
            <v>CLP VG 220 = -15° + 40°</v>
          </cell>
          <cell r="Y1422" t="str">
            <v>FA67/G DRN90L4 /BEHF /TF</v>
          </cell>
          <cell r="Z1422" t="str">
            <v>SEW</v>
          </cell>
          <cell r="AB1422" t="str">
            <v>-</v>
          </cell>
          <cell r="AF1422">
            <v>22</v>
          </cell>
          <cell r="AG1422" t="str">
            <v>DRN90L4</v>
          </cell>
          <cell r="AH1422" t="str">
            <v>FA67G-DRN90L4270-X</v>
          </cell>
        </row>
        <row r="1423">
          <cell r="A1423" t="str">
            <v>MR001419</v>
          </cell>
          <cell r="B1423" t="str">
            <v>MR</v>
          </cell>
          <cell r="C1423">
            <v>1.5</v>
          </cell>
          <cell r="D1423">
            <v>22</v>
          </cell>
          <cell r="E1423" t="str">
            <v>FA67</v>
          </cell>
          <cell r="F1423">
            <v>660</v>
          </cell>
          <cell r="G1423">
            <v>67.650000000000006</v>
          </cell>
          <cell r="H1423">
            <v>1.25</v>
          </cell>
          <cell r="I1423" t="str">
            <v>From M2 to M5 - 15°</v>
          </cell>
          <cell r="J1423" t="str">
            <v>IE3</v>
          </cell>
          <cell r="K1423">
            <v>415</v>
          </cell>
          <cell r="L1423">
            <v>50</v>
          </cell>
          <cell r="M1423">
            <v>3.4</v>
          </cell>
          <cell r="N1423">
            <v>55</v>
          </cell>
          <cell r="O1423" t="str">
            <v>F(105°C)</v>
          </cell>
          <cell r="P1423" t="str">
            <v>270°</v>
          </cell>
          <cell r="Q1423" t="str">
            <v>TF</v>
          </cell>
          <cell r="R1423" t="str">
            <v>-</v>
          </cell>
          <cell r="S1423" t="str">
            <v>-</v>
          </cell>
          <cell r="T1423" t="str">
            <v>BEHF</v>
          </cell>
          <cell r="U1423" t="str">
            <v>G</v>
          </cell>
          <cell r="V1423" t="str">
            <v>D+R</v>
          </cell>
          <cell r="W1423" t="str">
            <v>-</v>
          </cell>
          <cell r="X1423" t="str">
            <v>CLP VG 220 = -15° + 40°</v>
          </cell>
          <cell r="Y1423" t="str">
            <v>FA67/G DRN90L4 /BEHF /TF</v>
          </cell>
          <cell r="Z1423" t="str">
            <v>SEW</v>
          </cell>
          <cell r="AB1423" t="str">
            <v>-</v>
          </cell>
          <cell r="AF1423">
            <v>22</v>
          </cell>
          <cell r="AG1423" t="str">
            <v>DRN90L4</v>
          </cell>
          <cell r="AH1423" t="str">
            <v>FA67G-DRN90L4270-X</v>
          </cell>
        </row>
        <row r="1424">
          <cell r="A1424" t="str">
            <v>MR001420</v>
          </cell>
          <cell r="B1424" t="str">
            <v>MR</v>
          </cell>
          <cell r="C1424">
            <v>5.5</v>
          </cell>
          <cell r="D1424">
            <v>14</v>
          </cell>
          <cell r="E1424" t="str">
            <v>KH97</v>
          </cell>
          <cell r="F1424">
            <v>3770</v>
          </cell>
          <cell r="G1424">
            <v>105.15</v>
          </cell>
          <cell r="H1424">
            <v>1.1499999999999999</v>
          </cell>
          <cell r="I1424" t="str">
            <v>From M1B to M2B - 20°</v>
          </cell>
          <cell r="J1424" t="str">
            <v>IE3</v>
          </cell>
          <cell r="K1424" t="str">
            <v>240/415</v>
          </cell>
          <cell r="L1424">
            <v>50</v>
          </cell>
          <cell r="M1424" t="str">
            <v>17,4/10,1</v>
          </cell>
          <cell r="N1424">
            <v>55</v>
          </cell>
          <cell r="O1424" t="str">
            <v>F(105°C)</v>
          </cell>
          <cell r="P1424" t="str">
            <v>270°</v>
          </cell>
          <cell r="Q1424" t="str">
            <v>TF</v>
          </cell>
          <cell r="R1424" t="str">
            <v>-</v>
          </cell>
          <cell r="S1424" t="str">
            <v>-</v>
          </cell>
          <cell r="T1424" t="str">
            <v>-</v>
          </cell>
          <cell r="U1424" t="str">
            <v>-</v>
          </cell>
          <cell r="V1424" t="str">
            <v>SS</v>
          </cell>
          <cell r="W1424" t="str">
            <v>-</v>
          </cell>
          <cell r="X1424" t="str">
            <v>CLP 220 (-15/+40°C)</v>
          </cell>
          <cell r="Y1424" t="str">
            <v>KH97DRN132S4 /TF</v>
          </cell>
          <cell r="Z1424" t="str">
            <v>SEW</v>
          </cell>
          <cell r="AB1424" t="str">
            <v>-</v>
          </cell>
          <cell r="AF1424">
            <v>14</v>
          </cell>
          <cell r="AG1424" t="str">
            <v>DRN132S4</v>
          </cell>
          <cell r="AH1424" t="str">
            <v>KH97-DRN132S4B270-X</v>
          </cell>
        </row>
        <row r="1425">
          <cell r="A1425" t="str">
            <v>MR001421</v>
          </cell>
          <cell r="B1425" t="str">
            <v>MR</v>
          </cell>
          <cell r="C1425">
            <v>22</v>
          </cell>
          <cell r="D1425">
            <v>15</v>
          </cell>
          <cell r="E1425" t="str">
            <v>KH157</v>
          </cell>
          <cell r="F1425">
            <v>14200</v>
          </cell>
          <cell r="G1425">
            <v>100.22</v>
          </cell>
          <cell r="H1425">
            <v>1.4</v>
          </cell>
          <cell r="I1425" t="str">
            <v>From M1A to M2A - 40°</v>
          </cell>
          <cell r="J1425" t="str">
            <v>IE3</v>
          </cell>
          <cell r="K1425">
            <v>400</v>
          </cell>
          <cell r="L1425">
            <v>50</v>
          </cell>
          <cell r="M1425">
            <v>38.5</v>
          </cell>
          <cell r="N1425">
            <v>55</v>
          </cell>
          <cell r="O1425" t="str">
            <v>F(105°C)</v>
          </cell>
          <cell r="P1425" t="str">
            <v>270°</v>
          </cell>
          <cell r="Q1425" t="str">
            <v>TF</v>
          </cell>
          <cell r="R1425" t="str">
            <v>V(VE)</v>
          </cell>
          <cell r="S1425" t="str">
            <v>-</v>
          </cell>
          <cell r="T1425" t="str">
            <v>-</v>
          </cell>
          <cell r="U1425" t="str">
            <v>-</v>
          </cell>
          <cell r="V1425" t="str">
            <v>FC</v>
          </cell>
          <cell r="W1425" t="str">
            <v>-</v>
          </cell>
          <cell r="X1425" t="str">
            <v>CLP VG 220 = -15° + 40°</v>
          </cell>
          <cell r="Y1425" t="str">
            <v>KH157DRN180L4 /TF/V</v>
          </cell>
          <cell r="Z1425" t="str">
            <v>SEW</v>
          </cell>
          <cell r="AB1425" t="str">
            <v>-</v>
          </cell>
          <cell r="AF1425">
            <v>15</v>
          </cell>
          <cell r="AG1425" t="str">
            <v>DRN180L4</v>
          </cell>
          <cell r="AH1425" t="str">
            <v>KH157-DRN180L4A270-X#</v>
          </cell>
        </row>
        <row r="1426">
          <cell r="A1426" t="str">
            <v>MR001422</v>
          </cell>
          <cell r="B1426" t="str">
            <v>MR</v>
          </cell>
          <cell r="C1426">
            <v>22</v>
          </cell>
          <cell r="D1426">
            <v>15</v>
          </cell>
          <cell r="E1426" t="str">
            <v>KH157</v>
          </cell>
          <cell r="F1426">
            <v>14200</v>
          </cell>
          <cell r="G1426">
            <v>100.22</v>
          </cell>
          <cell r="H1426">
            <v>1.25</v>
          </cell>
          <cell r="I1426" t="str">
            <v>From M1B to M2B - 40°</v>
          </cell>
          <cell r="J1426" t="str">
            <v>IE3</v>
          </cell>
          <cell r="K1426">
            <v>400</v>
          </cell>
          <cell r="L1426">
            <v>50</v>
          </cell>
          <cell r="M1426">
            <v>38.5</v>
          </cell>
          <cell r="N1426">
            <v>55</v>
          </cell>
          <cell r="O1426" t="str">
            <v>F(105°C)</v>
          </cell>
          <cell r="P1426" t="str">
            <v>270°</v>
          </cell>
          <cell r="Q1426" t="str">
            <v>TF</v>
          </cell>
          <cell r="R1426" t="str">
            <v>V(VE)</v>
          </cell>
          <cell r="S1426" t="str">
            <v>-</v>
          </cell>
          <cell r="T1426" t="str">
            <v>-</v>
          </cell>
          <cell r="U1426" t="str">
            <v>-</v>
          </cell>
          <cell r="V1426" t="str">
            <v>FC</v>
          </cell>
          <cell r="W1426" t="str">
            <v>-</v>
          </cell>
          <cell r="X1426" t="str">
            <v>CLP VG 220 = -15° + 40°</v>
          </cell>
          <cell r="Y1426" t="str">
            <v>KH157DRN180L4 /TF/V</v>
          </cell>
          <cell r="Z1426" t="str">
            <v>SEW</v>
          </cell>
          <cell r="AB1426" t="str">
            <v>-</v>
          </cell>
          <cell r="AF1426">
            <v>15</v>
          </cell>
          <cell r="AG1426" t="str">
            <v>DRN180L4</v>
          </cell>
          <cell r="AH1426" t="str">
            <v>KH157-DRN180L4B270-X#</v>
          </cell>
        </row>
        <row r="1427">
          <cell r="A1427" t="str">
            <v>MR001423</v>
          </cell>
          <cell r="B1427" t="str">
            <v>MR</v>
          </cell>
          <cell r="C1427">
            <v>30</v>
          </cell>
          <cell r="D1427">
            <v>107</v>
          </cell>
          <cell r="E1427" t="str">
            <v>KH97</v>
          </cell>
          <cell r="F1427">
            <v>2680</v>
          </cell>
          <cell r="G1427">
            <v>13.85</v>
          </cell>
          <cell r="H1427">
            <v>1.6</v>
          </cell>
          <cell r="I1427" t="str">
            <v>M4B</v>
          </cell>
          <cell r="J1427" t="str">
            <v>IE3</v>
          </cell>
          <cell r="K1427">
            <v>400</v>
          </cell>
          <cell r="L1427">
            <v>50</v>
          </cell>
          <cell r="M1427">
            <v>56</v>
          </cell>
          <cell r="N1427">
            <v>55</v>
          </cell>
          <cell r="O1427" t="str">
            <v>F(105°C)</v>
          </cell>
          <cell r="P1427" t="str">
            <v>270°</v>
          </cell>
          <cell r="Q1427" t="str">
            <v>TF</v>
          </cell>
          <cell r="R1427" t="str">
            <v>V(VE)</v>
          </cell>
          <cell r="S1427" t="str">
            <v>Free rotation CW</v>
          </cell>
          <cell r="T1427" t="str">
            <v>-</v>
          </cell>
          <cell r="U1427" t="str">
            <v>T</v>
          </cell>
          <cell r="V1427" t="str">
            <v>FC</v>
          </cell>
          <cell r="W1427" t="str">
            <v>-</v>
          </cell>
          <cell r="X1427" t="str">
            <v>CLP VG 220 = -15° + 40°</v>
          </cell>
          <cell r="Y1427" t="str">
            <v>KH97/T DRN200L4 /RS /TF/V</v>
          </cell>
          <cell r="Z1427" t="str">
            <v>SEW</v>
          </cell>
          <cell r="AB1427" t="str">
            <v>-</v>
          </cell>
          <cell r="AF1427">
            <v>107</v>
          </cell>
          <cell r="AG1427" t="str">
            <v>DRN200L4</v>
          </cell>
          <cell r="AH1427" t="str">
            <v>KH97T-DRN200L4B270-X#</v>
          </cell>
        </row>
        <row r="1428">
          <cell r="A1428" t="str">
            <v>MR001424</v>
          </cell>
          <cell r="B1428" t="str">
            <v>MR</v>
          </cell>
          <cell r="C1428">
            <v>15</v>
          </cell>
          <cell r="D1428">
            <v>18</v>
          </cell>
          <cell r="E1428" t="str">
            <v>KH127</v>
          </cell>
          <cell r="F1428">
            <v>7960</v>
          </cell>
          <cell r="G1428">
            <v>81.98</v>
          </cell>
          <cell r="H1428">
            <v>1.65</v>
          </cell>
          <cell r="I1428" t="str">
            <v>From M1B to M2B - 30°</v>
          </cell>
          <cell r="J1428" t="str">
            <v>IE3</v>
          </cell>
          <cell r="K1428">
            <v>400</v>
          </cell>
          <cell r="L1428">
            <v>50</v>
          </cell>
          <cell r="M1428">
            <v>29</v>
          </cell>
          <cell r="N1428">
            <v>55</v>
          </cell>
          <cell r="O1428" t="str">
            <v>F(105°C)</v>
          </cell>
          <cell r="P1428" t="str">
            <v>270°</v>
          </cell>
          <cell r="Q1428" t="str">
            <v>TF</v>
          </cell>
          <cell r="R1428" t="str">
            <v>-</v>
          </cell>
          <cell r="S1428" t="str">
            <v>-</v>
          </cell>
          <cell r="T1428" t="str">
            <v>-</v>
          </cell>
          <cell r="U1428" t="str">
            <v>-</v>
          </cell>
          <cell r="V1428" t="str">
            <v>FC</v>
          </cell>
          <cell r="W1428" t="str">
            <v>-</v>
          </cell>
          <cell r="X1428" t="str">
            <v>CLP VG 220 = -15° + 40°</v>
          </cell>
          <cell r="Y1428" t="str">
            <v>KH127DRN160L4 /TF</v>
          </cell>
          <cell r="Z1428" t="str">
            <v>SEW</v>
          </cell>
          <cell r="AB1428" t="str">
            <v>-</v>
          </cell>
          <cell r="AF1428">
            <v>18</v>
          </cell>
          <cell r="AG1428" t="str">
            <v>DRN160L4</v>
          </cell>
          <cell r="AH1428" t="str">
            <v>KH127-DRN160L4B270-X</v>
          </cell>
        </row>
        <row r="1429">
          <cell r="A1429" t="str">
            <v>MR001425</v>
          </cell>
          <cell r="B1429" t="str">
            <v>MR</v>
          </cell>
          <cell r="C1429">
            <v>45</v>
          </cell>
          <cell r="D1429">
            <v>41</v>
          </cell>
          <cell r="E1429" t="str">
            <v>R147</v>
          </cell>
          <cell r="F1429">
            <v>10300</v>
          </cell>
          <cell r="G1429">
            <v>35.64</v>
          </cell>
          <cell r="H1429">
            <v>1.25</v>
          </cell>
          <cell r="I1429" t="str">
            <v>From M1 to M5 15°</v>
          </cell>
          <cell r="J1429" t="str">
            <v>IE3</v>
          </cell>
          <cell r="K1429" t="str">
            <v>400/690</v>
          </cell>
          <cell r="L1429">
            <v>50</v>
          </cell>
          <cell r="M1429" t="str">
            <v>81/47</v>
          </cell>
          <cell r="N1429">
            <v>54</v>
          </cell>
          <cell r="O1429" t="str">
            <v>F(105°C)</v>
          </cell>
          <cell r="P1429" t="str">
            <v>270°</v>
          </cell>
          <cell r="Q1429" t="str">
            <v>-</v>
          </cell>
          <cell r="R1429" t="str">
            <v>-</v>
          </cell>
          <cell r="S1429" t="str">
            <v>-</v>
          </cell>
          <cell r="T1429" t="str">
            <v>-</v>
          </cell>
          <cell r="U1429" t="str">
            <v>-</v>
          </cell>
          <cell r="V1429" t="str">
            <v>SS</v>
          </cell>
          <cell r="W1429" t="str">
            <v>-</v>
          </cell>
          <cell r="X1429" t="str">
            <v>CLP VG 220 = -15° + 40°</v>
          </cell>
          <cell r="Y1429" t="str">
            <v>R147DRN225M4</v>
          </cell>
          <cell r="Z1429" t="str">
            <v>SEW</v>
          </cell>
          <cell r="AB1429" t="str">
            <v>-</v>
          </cell>
          <cell r="AF1429">
            <v>41</v>
          </cell>
          <cell r="AG1429" t="str">
            <v>DRN225M4</v>
          </cell>
          <cell r="AH1429" t="str">
            <v>R147-DRN225M4270-X</v>
          </cell>
        </row>
        <row r="1430">
          <cell r="A1430" t="str">
            <v>MR001426</v>
          </cell>
          <cell r="B1430" t="str">
            <v>MR</v>
          </cell>
          <cell r="C1430">
            <v>30</v>
          </cell>
          <cell r="D1430">
            <v>39</v>
          </cell>
          <cell r="E1430" t="str">
            <v>R137</v>
          </cell>
          <cell r="F1430">
            <v>7280</v>
          </cell>
          <cell r="G1430">
            <v>37.65</v>
          </cell>
          <cell r="H1430">
            <v>1.1000000000000001</v>
          </cell>
          <cell r="I1430" t="str">
            <v>From M1 to M6 15°</v>
          </cell>
          <cell r="J1430" t="str">
            <v>IE3</v>
          </cell>
          <cell r="K1430" t="str">
            <v>400/690</v>
          </cell>
          <cell r="L1430">
            <v>50</v>
          </cell>
          <cell r="M1430" t="str">
            <v>56/32,5</v>
          </cell>
          <cell r="N1430">
            <v>54</v>
          </cell>
          <cell r="O1430" t="str">
            <v>F(105°C)</v>
          </cell>
          <cell r="P1430" t="str">
            <v>270°</v>
          </cell>
          <cell r="Q1430" t="str">
            <v>-</v>
          </cell>
          <cell r="R1430" t="str">
            <v>-</v>
          </cell>
          <cell r="S1430" t="str">
            <v>-</v>
          </cell>
          <cell r="T1430" t="str">
            <v>-</v>
          </cell>
          <cell r="U1430" t="str">
            <v>-</v>
          </cell>
          <cell r="V1430" t="str">
            <v>SS</v>
          </cell>
          <cell r="W1430" t="str">
            <v>-</v>
          </cell>
          <cell r="X1430" t="str">
            <v>CLP VG 220 = -15° + 40°</v>
          </cell>
          <cell r="Y1430" t="str">
            <v>R137DRN200L4</v>
          </cell>
          <cell r="Z1430" t="str">
            <v>SEW</v>
          </cell>
          <cell r="AB1430" t="str">
            <v>-</v>
          </cell>
          <cell r="AF1430">
            <v>39</v>
          </cell>
          <cell r="AG1430" t="str">
            <v>DRN200L4</v>
          </cell>
          <cell r="AH1430" t="str">
            <v>R137-DRN200L4270-X</v>
          </cell>
        </row>
        <row r="1431">
          <cell r="A1431" t="str">
            <v>MR001427</v>
          </cell>
          <cell r="B1431" t="str">
            <v>MR</v>
          </cell>
          <cell r="C1431">
            <v>22</v>
          </cell>
          <cell r="D1431">
            <v>15</v>
          </cell>
          <cell r="E1431" t="str">
            <v>KH157</v>
          </cell>
          <cell r="F1431">
            <v>14200</v>
          </cell>
          <cell r="G1431">
            <v>100.22</v>
          </cell>
          <cell r="H1431">
            <v>1.4</v>
          </cell>
          <cell r="I1431" t="str">
            <v>From M4B to M1B - 35°</v>
          </cell>
          <cell r="J1431" t="str">
            <v>IE3</v>
          </cell>
          <cell r="K1431">
            <v>400</v>
          </cell>
          <cell r="L1431">
            <v>50</v>
          </cell>
          <cell r="M1431">
            <v>38.5</v>
          </cell>
          <cell r="N1431">
            <v>55</v>
          </cell>
          <cell r="O1431" t="str">
            <v>F(105°C)</v>
          </cell>
          <cell r="P1431" t="str">
            <v>270°</v>
          </cell>
          <cell r="Q1431" t="str">
            <v>TF</v>
          </cell>
          <cell r="R1431" t="str">
            <v>V(VE)</v>
          </cell>
          <cell r="S1431" t="str">
            <v>-</v>
          </cell>
          <cell r="T1431" t="str">
            <v>-</v>
          </cell>
          <cell r="U1431" t="str">
            <v>-</v>
          </cell>
          <cell r="V1431" t="str">
            <v>FC</v>
          </cell>
          <cell r="W1431" t="str">
            <v>-</v>
          </cell>
          <cell r="X1431" t="str">
            <v>CLP VG 220 = -15° + 40°</v>
          </cell>
          <cell r="Y1431" t="str">
            <v>KH157DRN180L4 /TF/V</v>
          </cell>
          <cell r="Z1431" t="str">
            <v>SEW</v>
          </cell>
          <cell r="AB1431" t="str">
            <v>-</v>
          </cell>
          <cell r="AF1431">
            <v>15</v>
          </cell>
          <cell r="AG1431" t="str">
            <v>DRN180L4</v>
          </cell>
          <cell r="AH1431" t="str">
            <v>KH157-DRN180L4B270-X#</v>
          </cell>
        </row>
        <row r="1432">
          <cell r="A1432" t="str">
            <v>MR001428</v>
          </cell>
          <cell r="B1432" t="str">
            <v>MR</v>
          </cell>
          <cell r="C1432">
            <v>22</v>
          </cell>
          <cell r="D1432">
            <v>15</v>
          </cell>
          <cell r="E1432" t="str">
            <v>KH157</v>
          </cell>
          <cell r="F1432">
            <v>14200</v>
          </cell>
          <cell r="G1432">
            <v>100.22</v>
          </cell>
          <cell r="H1432">
            <v>1.4</v>
          </cell>
          <cell r="I1432" t="str">
            <v>From M4A to M1A - 35°</v>
          </cell>
          <cell r="J1432" t="str">
            <v>IE3</v>
          </cell>
          <cell r="K1432">
            <v>400</v>
          </cell>
          <cell r="L1432">
            <v>50</v>
          </cell>
          <cell r="M1432">
            <v>38.5</v>
          </cell>
          <cell r="N1432">
            <v>55</v>
          </cell>
          <cell r="O1432" t="str">
            <v>F(105°C)</v>
          </cell>
          <cell r="P1432" t="str">
            <v>270°</v>
          </cell>
          <cell r="Q1432" t="str">
            <v>TF</v>
          </cell>
          <cell r="R1432" t="str">
            <v>V(VE)</v>
          </cell>
          <cell r="S1432" t="str">
            <v>-</v>
          </cell>
          <cell r="T1432" t="str">
            <v>-</v>
          </cell>
          <cell r="U1432" t="str">
            <v>-</v>
          </cell>
          <cell r="V1432" t="str">
            <v>FC</v>
          </cell>
          <cell r="W1432" t="str">
            <v>-</v>
          </cell>
          <cell r="X1432" t="str">
            <v>CLP VG 220 = -15° + 40°</v>
          </cell>
          <cell r="Y1432" t="str">
            <v>KH157DRN180L4 /TF/V</v>
          </cell>
          <cell r="Z1432" t="str">
            <v>SEW</v>
          </cell>
          <cell r="AB1432" t="str">
            <v>-</v>
          </cell>
          <cell r="AF1432">
            <v>15</v>
          </cell>
          <cell r="AG1432" t="str">
            <v>DRN180L4</v>
          </cell>
          <cell r="AH1432" t="str">
            <v>KH157-DRN180L4A270-X#</v>
          </cell>
        </row>
        <row r="1433">
          <cell r="A1433" t="str">
            <v>MR001429</v>
          </cell>
          <cell r="B1433" t="str">
            <v>MR</v>
          </cell>
          <cell r="C1433">
            <v>22</v>
          </cell>
          <cell r="D1433">
            <v>15</v>
          </cell>
          <cell r="E1433" t="str">
            <v>KH157</v>
          </cell>
          <cell r="F1433">
            <v>14200</v>
          </cell>
          <cell r="G1433">
            <v>100.22</v>
          </cell>
          <cell r="H1433">
            <v>1.4</v>
          </cell>
          <cell r="I1433" t="str">
            <v>From M1B to M2B - 40°</v>
          </cell>
          <cell r="J1433" t="str">
            <v>IE3</v>
          </cell>
          <cell r="K1433">
            <v>400</v>
          </cell>
          <cell r="L1433">
            <v>50</v>
          </cell>
          <cell r="M1433">
            <v>38.5</v>
          </cell>
          <cell r="N1433">
            <v>55</v>
          </cell>
          <cell r="O1433" t="str">
            <v>F(105°C)</v>
          </cell>
          <cell r="P1433" t="str">
            <v>270°</v>
          </cell>
          <cell r="Q1433" t="str">
            <v>TF</v>
          </cell>
          <cell r="R1433" t="str">
            <v>V(VE)</v>
          </cell>
          <cell r="S1433" t="str">
            <v>-</v>
          </cell>
          <cell r="T1433" t="str">
            <v>-</v>
          </cell>
          <cell r="U1433" t="str">
            <v>-</v>
          </cell>
          <cell r="V1433" t="str">
            <v>FC</v>
          </cell>
          <cell r="W1433" t="str">
            <v>-</v>
          </cell>
          <cell r="X1433" t="str">
            <v>CLP VG 220 = -15° + 40°</v>
          </cell>
          <cell r="Y1433" t="str">
            <v>KH157DRN180L4 /TF/V</v>
          </cell>
          <cell r="Z1433" t="str">
            <v>SEW</v>
          </cell>
          <cell r="AB1433" t="str">
            <v>-</v>
          </cell>
          <cell r="AF1433">
            <v>15</v>
          </cell>
          <cell r="AG1433" t="str">
            <v>DRN180L4</v>
          </cell>
          <cell r="AH1433" t="str">
            <v>KH157-DRN180L4B270-X#</v>
          </cell>
        </row>
        <row r="1434">
          <cell r="A1434" t="str">
            <v>MR001430</v>
          </cell>
          <cell r="B1434" t="str">
            <v>MR</v>
          </cell>
          <cell r="C1434">
            <v>1.5</v>
          </cell>
          <cell r="D1434">
            <v>22</v>
          </cell>
          <cell r="E1434" t="str">
            <v>FA67</v>
          </cell>
          <cell r="F1434">
            <v>660</v>
          </cell>
          <cell r="G1434">
            <v>67.650000000000006</v>
          </cell>
          <cell r="H1434">
            <v>1.25</v>
          </cell>
          <cell r="I1434" t="str">
            <v>From M5 to M3- 40°</v>
          </cell>
          <cell r="J1434" t="str">
            <v>IE3</v>
          </cell>
          <cell r="K1434">
            <v>400</v>
          </cell>
          <cell r="L1434">
            <v>50</v>
          </cell>
          <cell r="M1434">
            <v>3.4</v>
          </cell>
          <cell r="N1434">
            <v>55</v>
          </cell>
          <cell r="O1434" t="str">
            <v>F(105°C)</v>
          </cell>
          <cell r="P1434" t="str">
            <v>180°</v>
          </cell>
          <cell r="Q1434" t="str">
            <v>-</v>
          </cell>
          <cell r="R1434" t="str">
            <v>-</v>
          </cell>
          <cell r="S1434" t="str">
            <v>-</v>
          </cell>
          <cell r="T1434" t="str">
            <v>BEHF</v>
          </cell>
          <cell r="U1434" t="str">
            <v>G</v>
          </cell>
          <cell r="V1434" t="str">
            <v>-</v>
          </cell>
          <cell r="W1434" t="str">
            <v>-</v>
          </cell>
          <cell r="X1434" t="str">
            <v>CLP VG 220 = -15° + 40°</v>
          </cell>
          <cell r="Y1434" t="str">
            <v>FA67/G DRN90L4 /BEHF</v>
          </cell>
          <cell r="Z1434" t="str">
            <v>SEW</v>
          </cell>
          <cell r="AB1434" t="str">
            <v>-</v>
          </cell>
          <cell r="AF1434">
            <v>22</v>
          </cell>
          <cell r="AG1434" t="str">
            <v>DRN90L4</v>
          </cell>
          <cell r="AH1434" t="str">
            <v>FA67G-DRN90L4180-X</v>
          </cell>
        </row>
        <row r="1435">
          <cell r="A1435" t="str">
            <v>MR001431</v>
          </cell>
          <cell r="B1435" t="str">
            <v>MR</v>
          </cell>
          <cell r="C1435">
            <v>22</v>
          </cell>
          <cell r="D1435">
            <v>15</v>
          </cell>
          <cell r="E1435" t="str">
            <v>KH157</v>
          </cell>
          <cell r="F1435">
            <v>14200</v>
          </cell>
          <cell r="G1435">
            <v>100.22</v>
          </cell>
          <cell r="H1435">
            <v>1.4</v>
          </cell>
          <cell r="I1435" t="str">
            <v>From M1A to M2A - 10°</v>
          </cell>
          <cell r="J1435" t="str">
            <v>IE3</v>
          </cell>
          <cell r="K1435">
            <v>400</v>
          </cell>
          <cell r="L1435">
            <v>50</v>
          </cell>
          <cell r="M1435">
            <v>38.5</v>
          </cell>
          <cell r="N1435">
            <v>55</v>
          </cell>
          <cell r="O1435" t="str">
            <v>F(105°C)</v>
          </cell>
          <cell r="P1435" t="str">
            <v>270°</v>
          </cell>
          <cell r="Q1435" t="str">
            <v>TF</v>
          </cell>
          <cell r="R1435" t="str">
            <v>V(VE)</v>
          </cell>
          <cell r="S1435" t="str">
            <v>-</v>
          </cell>
          <cell r="T1435" t="str">
            <v>-</v>
          </cell>
          <cell r="U1435" t="str">
            <v>-</v>
          </cell>
          <cell r="V1435" t="str">
            <v>FC</v>
          </cell>
          <cell r="W1435" t="str">
            <v>-</v>
          </cell>
          <cell r="X1435" t="str">
            <v>CLP VG 220 = -15° + 40°</v>
          </cell>
          <cell r="Y1435" t="str">
            <v>KH157DRN180L4 /TF/V</v>
          </cell>
          <cell r="Z1435" t="str">
            <v>SEW</v>
          </cell>
          <cell r="AB1435" t="str">
            <v>-</v>
          </cell>
          <cell r="AF1435">
            <v>15</v>
          </cell>
          <cell r="AG1435" t="str">
            <v>DRN180L4</v>
          </cell>
          <cell r="AH1435" t="str">
            <v>KH157-DRN180L4A270-X#</v>
          </cell>
        </row>
        <row r="1436">
          <cell r="A1436" t="str">
            <v>MR001432</v>
          </cell>
          <cell r="B1436" t="str">
            <v>MR</v>
          </cell>
          <cell r="C1436">
            <v>22</v>
          </cell>
          <cell r="D1436">
            <v>15</v>
          </cell>
          <cell r="E1436" t="str">
            <v>KH157</v>
          </cell>
          <cell r="F1436">
            <v>14200</v>
          </cell>
          <cell r="G1436">
            <v>100.22</v>
          </cell>
          <cell r="H1436">
            <v>1.4</v>
          </cell>
          <cell r="I1436" t="str">
            <v>From M1B to M2B - 10°</v>
          </cell>
          <cell r="J1436" t="str">
            <v>IE3</v>
          </cell>
          <cell r="K1436">
            <v>400</v>
          </cell>
          <cell r="L1436">
            <v>50</v>
          </cell>
          <cell r="M1436">
            <v>38.5</v>
          </cell>
          <cell r="N1436">
            <v>55</v>
          </cell>
          <cell r="O1436" t="str">
            <v>F(105°C)</v>
          </cell>
          <cell r="P1436" t="str">
            <v>270°</v>
          </cell>
          <cell r="Q1436" t="str">
            <v>TF</v>
          </cell>
          <cell r="R1436" t="str">
            <v>V(VE)</v>
          </cell>
          <cell r="S1436" t="str">
            <v>-</v>
          </cell>
          <cell r="T1436" t="str">
            <v>-</v>
          </cell>
          <cell r="U1436" t="str">
            <v>-</v>
          </cell>
          <cell r="V1436" t="str">
            <v>FC</v>
          </cell>
          <cell r="W1436" t="str">
            <v>-</v>
          </cell>
          <cell r="X1436" t="str">
            <v>CLP VG 220 = -15° + 40°</v>
          </cell>
          <cell r="Y1436" t="str">
            <v>KH157DRN180L4 /TF/V</v>
          </cell>
          <cell r="Z1436" t="str">
            <v>SEW</v>
          </cell>
          <cell r="AB1436" t="str">
            <v>-</v>
          </cell>
          <cell r="AF1436">
            <v>15</v>
          </cell>
          <cell r="AG1436" t="str">
            <v>DRN180L4</v>
          </cell>
          <cell r="AH1436" t="str">
            <v>KH157-DRN180L4B270-X#</v>
          </cell>
        </row>
        <row r="1437">
          <cell r="A1437" t="str">
            <v>MR001433</v>
          </cell>
          <cell r="B1437" t="str">
            <v>MR</v>
          </cell>
          <cell r="C1437">
            <v>2.2000000000000002</v>
          </cell>
          <cell r="D1437">
            <v>69</v>
          </cell>
          <cell r="E1437" t="str">
            <v>FH67</v>
          </cell>
          <cell r="F1437">
            <v>300</v>
          </cell>
          <cell r="G1437">
            <v>20.9</v>
          </cell>
          <cell r="H1437">
            <v>2.7</v>
          </cell>
          <cell r="I1437" t="str">
            <v>From M1 to M2 - 5°</v>
          </cell>
          <cell r="J1437" t="str">
            <v>IE3</v>
          </cell>
          <cell r="K1437" t="str">
            <v>230/400</v>
          </cell>
          <cell r="L1437">
            <v>50</v>
          </cell>
          <cell r="M1437" t="str">
            <v>8,3/4,75</v>
          </cell>
          <cell r="N1437">
            <v>55</v>
          </cell>
          <cell r="O1437" t="str">
            <v>F(105°C)</v>
          </cell>
          <cell r="P1437" t="str">
            <v>270°</v>
          </cell>
          <cell r="Q1437" t="str">
            <v>TF</v>
          </cell>
          <cell r="R1437" t="str">
            <v>-</v>
          </cell>
          <cell r="S1437" t="str">
            <v>-</v>
          </cell>
          <cell r="T1437" t="str">
            <v>-</v>
          </cell>
          <cell r="U1437" t="str">
            <v>G</v>
          </cell>
          <cell r="V1437" t="str">
            <v>D</v>
          </cell>
          <cell r="W1437" t="str">
            <v>-</v>
          </cell>
          <cell r="X1437" t="str">
            <v>CLP VG 220 = -15° + 40°</v>
          </cell>
          <cell r="Y1437" t="str">
            <v>FH67/G DRN100LS4 /TF</v>
          </cell>
          <cell r="Z1437" t="str">
            <v>SEW</v>
          </cell>
          <cell r="AA1437">
            <v>9010</v>
          </cell>
          <cell r="AB1437" t="str">
            <v>-</v>
          </cell>
          <cell r="AF1437">
            <v>69</v>
          </cell>
          <cell r="AG1437" t="str">
            <v>DRN100LS4</v>
          </cell>
          <cell r="AH1437" t="str">
            <v>FH67G-DRN100LS4270-X</v>
          </cell>
        </row>
        <row r="1438">
          <cell r="A1438" t="str">
            <v>MR001434</v>
          </cell>
          <cell r="B1438" t="str">
            <v>MR</v>
          </cell>
          <cell r="C1438">
            <v>3</v>
          </cell>
          <cell r="D1438">
            <v>25</v>
          </cell>
          <cell r="E1438" t="str">
            <v>FA77</v>
          </cell>
          <cell r="F1438">
            <v>1150</v>
          </cell>
          <cell r="G1438">
            <v>58.32</v>
          </cell>
          <cell r="H1438">
            <v>1.3</v>
          </cell>
          <cell r="I1438" t="str">
            <v>M1</v>
          </cell>
          <cell r="J1438" t="str">
            <v>IE3</v>
          </cell>
          <cell r="K1438" t="str">
            <v>230/400</v>
          </cell>
          <cell r="L1438">
            <v>50</v>
          </cell>
          <cell r="M1438" t="str">
            <v>11,2/6,4</v>
          </cell>
          <cell r="N1438">
            <v>55</v>
          </cell>
          <cell r="O1438" t="str">
            <v>F(105°C)</v>
          </cell>
          <cell r="P1438" t="str">
            <v>270°</v>
          </cell>
          <cell r="Q1438" t="str">
            <v>-</v>
          </cell>
          <cell r="R1438" t="str">
            <v>-</v>
          </cell>
          <cell r="S1438" t="str">
            <v>-</v>
          </cell>
          <cell r="T1438" t="str">
            <v>-</v>
          </cell>
          <cell r="U1438" t="str">
            <v>G</v>
          </cell>
          <cell r="V1438" t="str">
            <v>D</v>
          </cell>
          <cell r="W1438" t="str">
            <v>-</v>
          </cell>
          <cell r="X1438" t="str">
            <v>CLP VG 220 = -15° + 40°</v>
          </cell>
          <cell r="Y1438" t="str">
            <v>FA77/G DRN100L4</v>
          </cell>
          <cell r="Z1438" t="str">
            <v>SEW</v>
          </cell>
          <cell r="AB1438" t="str">
            <v>-</v>
          </cell>
          <cell r="AF1438">
            <v>25</v>
          </cell>
          <cell r="AG1438" t="str">
            <v>DRN100L4</v>
          </cell>
          <cell r="AH1438" t="str">
            <v>FA77G-DRN100L4270-X</v>
          </cell>
        </row>
        <row r="1439">
          <cell r="A1439" t="str">
            <v>MR001435</v>
          </cell>
          <cell r="B1439" t="str">
            <v>MR</v>
          </cell>
          <cell r="C1439">
            <v>11</v>
          </cell>
          <cell r="D1439">
            <v>62</v>
          </cell>
          <cell r="E1439" t="str">
            <v>FA87</v>
          </cell>
          <cell r="F1439">
            <v>1690</v>
          </cell>
          <cell r="G1439">
            <v>23.68</v>
          </cell>
          <cell r="H1439">
            <v>1.8</v>
          </cell>
          <cell r="I1439" t="str">
            <v>M1</v>
          </cell>
          <cell r="J1439" t="str">
            <v>IE3</v>
          </cell>
          <cell r="K1439" t="str">
            <v>400/690</v>
          </cell>
          <cell r="L1439">
            <v>50</v>
          </cell>
          <cell r="M1439" t="str">
            <v>21/12,2</v>
          </cell>
          <cell r="N1439">
            <v>55</v>
          </cell>
          <cell r="O1439" t="str">
            <v>F(105°C)</v>
          </cell>
          <cell r="P1439" t="str">
            <v>270°</v>
          </cell>
          <cell r="Q1439" t="str">
            <v>-</v>
          </cell>
          <cell r="R1439" t="str">
            <v>-</v>
          </cell>
          <cell r="S1439" t="str">
            <v>-</v>
          </cell>
          <cell r="T1439" t="str">
            <v>-</v>
          </cell>
          <cell r="U1439" t="str">
            <v>G</v>
          </cell>
          <cell r="V1439" t="str">
            <v>D</v>
          </cell>
          <cell r="W1439" t="str">
            <v>-</v>
          </cell>
          <cell r="X1439" t="str">
            <v>CLP VG 220 = -15° + 40°</v>
          </cell>
          <cell r="Y1439" t="str">
            <v>FA87/G DRN160M4</v>
          </cell>
          <cell r="Z1439" t="str">
            <v>SEW</v>
          </cell>
          <cell r="AB1439" t="str">
            <v>-</v>
          </cell>
          <cell r="AF1439">
            <v>62</v>
          </cell>
          <cell r="AG1439" t="str">
            <v>DRN160M4</v>
          </cell>
          <cell r="AH1439" t="str">
            <v>FA87G-DRN160M4270-X</v>
          </cell>
        </row>
        <row r="1440">
          <cell r="A1440" t="str">
            <v>MR001436</v>
          </cell>
          <cell r="B1440" t="str">
            <v>ME</v>
          </cell>
          <cell r="C1440">
            <v>7.5</v>
          </cell>
          <cell r="D1440">
            <v>1468</v>
          </cell>
          <cell r="E1440" t="str">
            <v>-</v>
          </cell>
          <cell r="F1440" t="str">
            <v>-</v>
          </cell>
          <cell r="G1440" t="str">
            <v>-</v>
          </cell>
          <cell r="H1440" t="str">
            <v>-</v>
          </cell>
          <cell r="I1440" t="str">
            <v>-</v>
          </cell>
          <cell r="J1440" t="str">
            <v>IE3</v>
          </cell>
          <cell r="K1440" t="str">
            <v>400/690</v>
          </cell>
          <cell r="L1440">
            <v>50</v>
          </cell>
          <cell r="M1440" t="str">
            <v>14,2/8,8</v>
          </cell>
          <cell r="N1440">
            <v>55</v>
          </cell>
          <cell r="O1440" t="str">
            <v>F(105°C)</v>
          </cell>
          <cell r="P1440" t="str">
            <v>270°</v>
          </cell>
          <cell r="Q1440" t="str">
            <v>-</v>
          </cell>
          <cell r="R1440" t="str">
            <v>-</v>
          </cell>
          <cell r="S1440" t="str">
            <v>Free rotation CW</v>
          </cell>
          <cell r="T1440" t="str">
            <v>-</v>
          </cell>
          <cell r="U1440" t="str">
            <v>-</v>
          </cell>
          <cell r="V1440" t="str">
            <v>D</v>
          </cell>
          <cell r="W1440" t="str">
            <v>-</v>
          </cell>
          <cell r="X1440" t="str">
            <v>-</v>
          </cell>
          <cell r="Y1440" t="str">
            <v>-DRN132M4 /RS</v>
          </cell>
          <cell r="Z1440" t="str">
            <v>SEW</v>
          </cell>
          <cell r="AB1440" t="str">
            <v>-</v>
          </cell>
          <cell r="AE1440" t="str">
            <v>per MR000464</v>
          </cell>
          <cell r="AF1440">
            <v>1468</v>
          </cell>
          <cell r="AG1440" t="str">
            <v>DRN132M4</v>
          </cell>
          <cell r="AH1440" t="str">
            <v>--DRN132M4270-X</v>
          </cell>
        </row>
        <row r="1441">
          <cell r="A1441" t="str">
            <v>MR001437</v>
          </cell>
          <cell r="B1441" t="str">
            <v>MR</v>
          </cell>
          <cell r="C1441">
            <v>7.5</v>
          </cell>
          <cell r="D1441">
            <v>63</v>
          </cell>
          <cell r="E1441" t="str">
            <v>R87</v>
          </cell>
          <cell r="F1441">
            <v>1140</v>
          </cell>
          <cell r="G1441">
            <v>23.4</v>
          </cell>
          <cell r="H1441">
            <v>1.05</v>
          </cell>
          <cell r="I1441" t="str">
            <v>From M1 to M4 - 5°</v>
          </cell>
          <cell r="J1441" t="str">
            <v>IE3</v>
          </cell>
          <cell r="K1441" t="str">
            <v>400/690</v>
          </cell>
          <cell r="L1441">
            <v>50</v>
          </cell>
          <cell r="M1441" t="str">
            <v>15,2/8,8</v>
          </cell>
          <cell r="N1441">
            <v>55</v>
          </cell>
          <cell r="O1441" t="str">
            <v>F(105°C)</v>
          </cell>
          <cell r="P1441" t="str">
            <v>270°</v>
          </cell>
          <cell r="Q1441" t="str">
            <v>-</v>
          </cell>
          <cell r="R1441" t="str">
            <v>-</v>
          </cell>
          <cell r="S1441" t="str">
            <v>-</v>
          </cell>
          <cell r="T1441" t="str">
            <v>-</v>
          </cell>
          <cell r="U1441" t="str">
            <v>-</v>
          </cell>
          <cell r="V1441" t="str">
            <v>D</v>
          </cell>
          <cell r="W1441" t="str">
            <v>-</v>
          </cell>
          <cell r="X1441" t="str">
            <v>CLP HC VG 220 = -20° + 60°</v>
          </cell>
          <cell r="Y1441" t="str">
            <v>R87EDRN132M4</v>
          </cell>
          <cell r="Z1441" t="str">
            <v>SEW</v>
          </cell>
          <cell r="AB1441" t="str">
            <v>ATEX22</v>
          </cell>
          <cell r="AF1441">
            <v>63</v>
          </cell>
          <cell r="AG1441" t="str">
            <v>EDRN132M4</v>
          </cell>
          <cell r="AH1441" t="str">
            <v>R87-EDRN132M4270-X</v>
          </cell>
        </row>
        <row r="1442">
          <cell r="A1442" t="str">
            <v>MR001438</v>
          </cell>
          <cell r="B1442" t="str">
            <v>MR</v>
          </cell>
          <cell r="C1442">
            <v>15</v>
          </cell>
          <cell r="D1442">
            <v>53</v>
          </cell>
          <cell r="E1442" t="str">
            <v>R107</v>
          </cell>
          <cell r="F1442">
            <v>2680</v>
          </cell>
          <cell r="G1442">
            <v>27.58</v>
          </cell>
          <cell r="H1442">
            <v>1.6</v>
          </cell>
          <cell r="I1442" t="str">
            <v>From M1 to M4 - 5°</v>
          </cell>
          <cell r="J1442" t="str">
            <v>IE3</v>
          </cell>
          <cell r="K1442" t="str">
            <v>400/690</v>
          </cell>
          <cell r="L1442">
            <v>50</v>
          </cell>
          <cell r="M1442" t="str">
            <v>29/16,7</v>
          </cell>
          <cell r="N1442">
            <v>55</v>
          </cell>
          <cell r="O1442" t="str">
            <v>F(105°C)</v>
          </cell>
          <cell r="P1442" t="str">
            <v>270°</v>
          </cell>
          <cell r="Q1442" t="str">
            <v>-</v>
          </cell>
          <cell r="R1442" t="str">
            <v>-</v>
          </cell>
          <cell r="S1442" t="str">
            <v>-</v>
          </cell>
          <cell r="T1442" t="str">
            <v>-</v>
          </cell>
          <cell r="U1442" t="str">
            <v>-</v>
          </cell>
          <cell r="V1442" t="str">
            <v>D</v>
          </cell>
          <cell r="W1442" t="str">
            <v>-</v>
          </cell>
          <cell r="X1442" t="str">
            <v>CLP HC VG 220 = -20° + 60°</v>
          </cell>
          <cell r="Y1442" t="str">
            <v>R107EDRN160L4</v>
          </cell>
          <cell r="Z1442" t="str">
            <v>SEW</v>
          </cell>
          <cell r="AB1442" t="str">
            <v>ATEX22</v>
          </cell>
          <cell r="AF1442">
            <v>53</v>
          </cell>
          <cell r="AG1442" t="str">
            <v>EDRN160L4</v>
          </cell>
          <cell r="AH1442" t="str">
            <v>R107-EDRN160L4270-X</v>
          </cell>
        </row>
        <row r="1443">
          <cell r="A1443" t="str">
            <v>MR001439</v>
          </cell>
          <cell r="B1443" t="str">
            <v>MR</v>
          </cell>
          <cell r="C1443">
            <v>9.1999999999999993</v>
          </cell>
          <cell r="D1443">
            <v>53</v>
          </cell>
          <cell r="E1443" t="str">
            <v>R97</v>
          </cell>
          <cell r="F1443">
            <v>1640</v>
          </cell>
          <cell r="G1443">
            <v>27.58</v>
          </cell>
          <cell r="H1443">
            <v>1.6</v>
          </cell>
          <cell r="I1443" t="str">
            <v>From M1 to M4 - 20°</v>
          </cell>
          <cell r="J1443" t="str">
            <v>IE3</v>
          </cell>
          <cell r="K1443" t="str">
            <v>400/690</v>
          </cell>
          <cell r="L1443">
            <v>50</v>
          </cell>
          <cell r="M1443" t="str">
            <v>18,7/10,8</v>
          </cell>
          <cell r="N1443">
            <v>55</v>
          </cell>
          <cell r="O1443" t="str">
            <v>F(105°C)</v>
          </cell>
          <cell r="P1443" t="str">
            <v>270°</v>
          </cell>
          <cell r="Q1443" t="str">
            <v>-</v>
          </cell>
          <cell r="R1443" t="str">
            <v>-</v>
          </cell>
          <cell r="S1443" t="str">
            <v>-</v>
          </cell>
          <cell r="T1443" t="str">
            <v>-</v>
          </cell>
          <cell r="U1443" t="str">
            <v>-</v>
          </cell>
          <cell r="V1443" t="str">
            <v>D</v>
          </cell>
          <cell r="W1443" t="str">
            <v>-</v>
          </cell>
          <cell r="X1443" t="str">
            <v>CLP HC VG 220 = -20° + 60°</v>
          </cell>
          <cell r="Y1443" t="str">
            <v>R97EDRN132L4</v>
          </cell>
          <cell r="Z1443" t="str">
            <v>SEW</v>
          </cell>
          <cell r="AB1443" t="str">
            <v>ATEX22</v>
          </cell>
          <cell r="AF1443">
            <v>53</v>
          </cell>
          <cell r="AG1443" t="str">
            <v>EDRN132L4</v>
          </cell>
          <cell r="AH1443" t="str">
            <v>R97-EDRN132L4270-X</v>
          </cell>
        </row>
        <row r="1444">
          <cell r="A1444" t="str">
            <v>MR001440</v>
          </cell>
          <cell r="B1444" t="str">
            <v>MR</v>
          </cell>
          <cell r="C1444">
            <v>7.5</v>
          </cell>
          <cell r="D1444">
            <v>64</v>
          </cell>
          <cell r="E1444" t="str">
            <v>KA77</v>
          </cell>
          <cell r="F1444">
            <v>1120</v>
          </cell>
          <cell r="G1444">
            <v>23.08</v>
          </cell>
          <cell r="H1444">
            <v>1.4</v>
          </cell>
          <cell r="I1444" t="str">
            <v>M4-B</v>
          </cell>
          <cell r="J1444" t="str">
            <v>IE3</v>
          </cell>
          <cell r="K1444" t="str">
            <v>400/690</v>
          </cell>
          <cell r="L1444">
            <v>50</v>
          </cell>
          <cell r="M1444" t="str">
            <v>14,2/8,8</v>
          </cell>
          <cell r="N1444">
            <v>55</v>
          </cell>
          <cell r="O1444" t="str">
            <v>F(105°C)</v>
          </cell>
          <cell r="P1444" t="str">
            <v>270°</v>
          </cell>
          <cell r="Q1444" t="str">
            <v>-</v>
          </cell>
          <cell r="R1444" t="str">
            <v>-</v>
          </cell>
          <cell r="S1444" t="str">
            <v>Free rotation CW</v>
          </cell>
          <cell r="T1444" t="str">
            <v>-</v>
          </cell>
          <cell r="U1444" t="str">
            <v>-</v>
          </cell>
          <cell r="V1444" t="str">
            <v>SS</v>
          </cell>
          <cell r="W1444" t="str">
            <v>-</v>
          </cell>
          <cell r="X1444" t="str">
            <v>CLP VG 220 = -15° + 40°</v>
          </cell>
          <cell r="Y1444" t="str">
            <v>KA77DRN132M4 /RS</v>
          </cell>
          <cell r="Z1444" t="str">
            <v>SEW</v>
          </cell>
          <cell r="AB1444" t="str">
            <v>-</v>
          </cell>
          <cell r="AF1444">
            <v>64</v>
          </cell>
          <cell r="AG1444" t="str">
            <v>DRN132M4</v>
          </cell>
          <cell r="AH1444" t="str">
            <v>KA77-DRN132M4B270-X</v>
          </cell>
        </row>
        <row r="1445">
          <cell r="A1445" t="str">
            <v>MR001441</v>
          </cell>
          <cell r="B1445" t="str">
            <v>MR</v>
          </cell>
          <cell r="C1445">
            <v>15</v>
          </cell>
          <cell r="D1445">
            <v>42</v>
          </cell>
          <cell r="E1445" t="str">
            <v>R107</v>
          </cell>
          <cell r="F1445">
            <v>3420</v>
          </cell>
          <cell r="G1445">
            <v>35.26</v>
          </cell>
          <cell r="H1445">
            <v>1.25</v>
          </cell>
          <cell r="I1445" t="str">
            <v>From M1 to M2 - 20°</v>
          </cell>
          <cell r="J1445" t="str">
            <v>IE3</v>
          </cell>
          <cell r="K1445" t="str">
            <v>400/690</v>
          </cell>
          <cell r="L1445">
            <v>50</v>
          </cell>
          <cell r="M1445" t="str">
            <v>29/16,7</v>
          </cell>
          <cell r="N1445">
            <v>65</v>
          </cell>
          <cell r="O1445" t="str">
            <v>F(105°C)</v>
          </cell>
          <cell r="P1445" t="str">
            <v>270°</v>
          </cell>
          <cell r="Q1445" t="str">
            <v>TF</v>
          </cell>
          <cell r="R1445" t="str">
            <v>V(VE)</v>
          </cell>
          <cell r="S1445" t="str">
            <v>-</v>
          </cell>
          <cell r="T1445" t="str">
            <v>-</v>
          </cell>
          <cell r="U1445" t="str">
            <v>-</v>
          </cell>
          <cell r="V1445" t="str">
            <v>FC</v>
          </cell>
          <cell r="W1445" t="str">
            <v>-</v>
          </cell>
          <cell r="X1445" t="str">
            <v>CLP HC VG 220 = -20° + 60°</v>
          </cell>
          <cell r="Y1445" t="str">
            <v>R107DRN160L4 /TF/V</v>
          </cell>
          <cell r="Z1445" t="str">
            <v>SEW</v>
          </cell>
          <cell r="AB1445" t="str">
            <v>-</v>
          </cell>
          <cell r="AF1445">
            <v>42</v>
          </cell>
          <cell r="AG1445" t="str">
            <v>DRN160L4</v>
          </cell>
          <cell r="AH1445" t="str">
            <v>R107-DRN160L4270-X#</v>
          </cell>
        </row>
        <row r="1446">
          <cell r="A1446" t="str">
            <v>MR001442</v>
          </cell>
          <cell r="B1446" t="str">
            <v>MR</v>
          </cell>
          <cell r="C1446">
            <v>18.5</v>
          </cell>
          <cell r="D1446">
            <v>48</v>
          </cell>
          <cell r="E1446" t="str">
            <v>KH97</v>
          </cell>
          <cell r="F1446">
            <v>3680</v>
          </cell>
          <cell r="G1446">
            <v>30.82</v>
          </cell>
          <cell r="H1446">
            <v>1.1499999999999999</v>
          </cell>
          <cell r="I1446" t="str">
            <v>M4A</v>
          </cell>
          <cell r="J1446" t="str">
            <v>IE3</v>
          </cell>
          <cell r="K1446" t="str">
            <v>400/690</v>
          </cell>
          <cell r="L1446">
            <v>50</v>
          </cell>
          <cell r="M1446" t="str">
            <v>33,5/19,3</v>
          </cell>
          <cell r="N1446">
            <v>65</v>
          </cell>
          <cell r="O1446" t="str">
            <v>F(105°C)</v>
          </cell>
          <cell r="P1446" t="str">
            <v>270°</v>
          </cell>
          <cell r="Q1446" t="str">
            <v>-</v>
          </cell>
          <cell r="R1446" t="str">
            <v>-</v>
          </cell>
          <cell r="S1446" t="str">
            <v>Free rotation CCW</v>
          </cell>
          <cell r="T1446" t="str">
            <v>-</v>
          </cell>
          <cell r="U1446" t="str">
            <v>T</v>
          </cell>
          <cell r="V1446" t="str">
            <v>SS</v>
          </cell>
          <cell r="W1446" t="str">
            <v>-</v>
          </cell>
          <cell r="X1446" t="str">
            <v>CLP HC VG 220 = -20° + 60°</v>
          </cell>
          <cell r="Y1446" t="str">
            <v>KH97/T DRN180M4 /RS</v>
          </cell>
          <cell r="Z1446" t="str">
            <v>SEW</v>
          </cell>
          <cell r="AB1446" t="str">
            <v>-</v>
          </cell>
          <cell r="AF1446">
            <v>48</v>
          </cell>
          <cell r="AG1446" t="str">
            <v>DRN180M4</v>
          </cell>
          <cell r="AH1446" t="str">
            <v>KH97T-DRN180M4A270-X</v>
          </cell>
        </row>
        <row r="1447">
          <cell r="A1447" t="str">
            <v>MR001443</v>
          </cell>
          <cell r="B1447" t="str">
            <v>MR</v>
          </cell>
          <cell r="C1447">
            <v>0.75</v>
          </cell>
          <cell r="D1447">
            <v>162</v>
          </cell>
          <cell r="E1447" t="str">
            <v>KA37</v>
          </cell>
          <cell r="F1447">
            <v>44</v>
          </cell>
          <cell r="G1447">
            <v>8.91</v>
          </cell>
          <cell r="H1447">
            <v>3.6</v>
          </cell>
          <cell r="I1447" t="str">
            <v>M1A</v>
          </cell>
          <cell r="J1447" t="str">
            <v>IE3</v>
          </cell>
          <cell r="K1447" t="str">
            <v>230/400</v>
          </cell>
          <cell r="L1447">
            <v>50</v>
          </cell>
          <cell r="M1447" t="str">
            <v>3,05/1,75</v>
          </cell>
          <cell r="N1447">
            <v>65</v>
          </cell>
          <cell r="O1447" t="str">
            <v>F(105°C)</v>
          </cell>
          <cell r="P1447" t="str">
            <v>180°</v>
          </cell>
          <cell r="Q1447" t="str">
            <v>-</v>
          </cell>
          <cell r="R1447" t="str">
            <v>-</v>
          </cell>
          <cell r="S1447" t="str">
            <v>-</v>
          </cell>
          <cell r="T1447" t="str">
            <v>-</v>
          </cell>
          <cell r="U1447" t="str">
            <v>T</v>
          </cell>
          <cell r="V1447" t="str">
            <v>D</v>
          </cell>
          <cell r="W1447" t="str">
            <v>-</v>
          </cell>
          <cell r="X1447" t="str">
            <v>CLP HC VG 220 = -20° + 60°</v>
          </cell>
          <cell r="Y1447" t="str">
            <v>KA37/T DRN80M4</v>
          </cell>
          <cell r="Z1447" t="str">
            <v>SEW</v>
          </cell>
          <cell r="AB1447" t="str">
            <v>-</v>
          </cell>
          <cell r="AF1447">
            <v>162</v>
          </cell>
          <cell r="AG1447" t="str">
            <v>DRN80M4</v>
          </cell>
          <cell r="AH1447" t="str">
            <v>KA37T-DRN80M4A180-X</v>
          </cell>
        </row>
        <row r="1448">
          <cell r="A1448" t="str">
            <v>MR001444</v>
          </cell>
          <cell r="B1448" t="str">
            <v>MR</v>
          </cell>
          <cell r="C1448">
            <v>9.1999999999999993</v>
          </cell>
          <cell r="D1448">
            <v>59</v>
          </cell>
          <cell r="E1448" t="str">
            <v>KH87</v>
          </cell>
          <cell r="F1448">
            <v>1480</v>
          </cell>
          <cell r="G1448">
            <v>24.92</v>
          </cell>
          <cell r="H1448">
            <v>1.7</v>
          </cell>
          <cell r="I1448" t="str">
            <v>M4A</v>
          </cell>
          <cell r="J1448" t="str">
            <v>IE3</v>
          </cell>
          <cell r="K1448" t="str">
            <v>400/690</v>
          </cell>
          <cell r="L1448">
            <v>50</v>
          </cell>
          <cell r="M1448" t="str">
            <v>18,7/10,8</v>
          </cell>
          <cell r="N1448">
            <v>65</v>
          </cell>
          <cell r="O1448" t="str">
            <v>F(105°C)</v>
          </cell>
          <cell r="P1448" t="str">
            <v>270°</v>
          </cell>
          <cell r="Q1448" t="str">
            <v>-</v>
          </cell>
          <cell r="R1448" t="str">
            <v>-</v>
          </cell>
          <cell r="S1448" t="str">
            <v>-</v>
          </cell>
          <cell r="T1448" t="str">
            <v>-</v>
          </cell>
          <cell r="U1448" t="str">
            <v>T</v>
          </cell>
          <cell r="V1448" t="str">
            <v>SS</v>
          </cell>
          <cell r="W1448" t="str">
            <v>-</v>
          </cell>
          <cell r="X1448" t="str">
            <v>CLP HC VG 220 = -20° + 60°</v>
          </cell>
          <cell r="Y1448" t="str">
            <v>KH87/T DRN132L4</v>
          </cell>
          <cell r="Z1448" t="str">
            <v>SEW</v>
          </cell>
          <cell r="AB1448" t="str">
            <v>-</v>
          </cell>
          <cell r="AF1448">
            <v>59</v>
          </cell>
          <cell r="AG1448" t="str">
            <v>DRN132L4</v>
          </cell>
          <cell r="AH1448" t="str">
            <v>KH87T-DRN132L4A270-X</v>
          </cell>
        </row>
        <row r="1449">
          <cell r="A1449" t="str">
            <v>MR001445</v>
          </cell>
          <cell r="B1449" t="str">
            <v>MR</v>
          </cell>
          <cell r="C1449">
            <v>4</v>
          </cell>
          <cell r="D1449">
            <v>61</v>
          </cell>
          <cell r="E1449" t="str">
            <v>KH67</v>
          </cell>
          <cell r="F1449">
            <v>625</v>
          </cell>
          <cell r="G1449">
            <v>24</v>
          </cell>
          <cell r="H1449">
            <v>1.3</v>
          </cell>
          <cell r="I1449" t="str">
            <v>M4A</v>
          </cell>
          <cell r="J1449" t="str">
            <v>IE3</v>
          </cell>
          <cell r="K1449" t="str">
            <v>230/400</v>
          </cell>
          <cell r="L1449">
            <v>50</v>
          </cell>
          <cell r="M1449" t="str">
            <v>13,8/7,9</v>
          </cell>
          <cell r="N1449">
            <v>65</v>
          </cell>
          <cell r="O1449" t="str">
            <v>F(105°C)</v>
          </cell>
          <cell r="P1449" t="str">
            <v>270°</v>
          </cell>
          <cell r="Q1449" t="str">
            <v>-</v>
          </cell>
          <cell r="R1449" t="str">
            <v>-</v>
          </cell>
          <cell r="S1449" t="str">
            <v>-</v>
          </cell>
          <cell r="T1449" t="str">
            <v>-</v>
          </cell>
          <cell r="U1449" t="str">
            <v>T</v>
          </cell>
          <cell r="V1449" t="str">
            <v>D+R</v>
          </cell>
          <cell r="W1449" t="str">
            <v>-</v>
          </cell>
          <cell r="X1449" t="str">
            <v>CLP HC VG 220 = -20° + 60°</v>
          </cell>
          <cell r="Y1449" t="str">
            <v>KH67/T DRN112M4</v>
          </cell>
          <cell r="Z1449" t="str">
            <v>SEW</v>
          </cell>
          <cell r="AB1449" t="str">
            <v>-</v>
          </cell>
          <cell r="AF1449">
            <v>61</v>
          </cell>
          <cell r="AG1449" t="str">
            <v>DRN112M4</v>
          </cell>
          <cell r="AH1449" t="str">
            <v>KH67T-DRN112M4A270-X</v>
          </cell>
        </row>
        <row r="1450">
          <cell r="A1450" t="str">
            <v>MR001446</v>
          </cell>
          <cell r="B1450" t="str">
            <v>MR</v>
          </cell>
          <cell r="C1450">
            <v>4</v>
          </cell>
          <cell r="D1450">
            <v>61</v>
          </cell>
          <cell r="E1450" t="str">
            <v>KH67</v>
          </cell>
          <cell r="F1450">
            <v>625</v>
          </cell>
          <cell r="G1450">
            <v>24</v>
          </cell>
          <cell r="H1450">
            <v>1.3</v>
          </cell>
          <cell r="I1450" t="str">
            <v>M4B</v>
          </cell>
          <cell r="J1450" t="str">
            <v>IE3</v>
          </cell>
          <cell r="K1450" t="str">
            <v>230/400</v>
          </cell>
          <cell r="L1450">
            <v>50</v>
          </cell>
          <cell r="M1450" t="str">
            <v>13,8/7,9</v>
          </cell>
          <cell r="N1450">
            <v>65</v>
          </cell>
          <cell r="O1450" t="str">
            <v>F(105°C)</v>
          </cell>
          <cell r="P1450" t="str">
            <v>270°</v>
          </cell>
          <cell r="Q1450" t="str">
            <v>-</v>
          </cell>
          <cell r="R1450" t="str">
            <v>-</v>
          </cell>
          <cell r="S1450" t="str">
            <v>-</v>
          </cell>
          <cell r="T1450" t="str">
            <v>-</v>
          </cell>
          <cell r="U1450" t="str">
            <v>T</v>
          </cell>
          <cell r="V1450" t="str">
            <v>D+R</v>
          </cell>
          <cell r="W1450" t="str">
            <v>-</v>
          </cell>
          <cell r="X1450" t="str">
            <v>CLP HC VG 220 = -20° + 60°</v>
          </cell>
          <cell r="Y1450" t="str">
            <v>KH67/T DRN112M4</v>
          </cell>
          <cell r="Z1450" t="str">
            <v>SEW</v>
          </cell>
          <cell r="AB1450" t="str">
            <v>-</v>
          </cell>
          <cell r="AF1450">
            <v>61</v>
          </cell>
          <cell r="AG1450" t="str">
            <v>DRN112M4</v>
          </cell>
          <cell r="AH1450" t="str">
            <v>KH67T-DRN112M4B270-X</v>
          </cell>
        </row>
        <row r="1451">
          <cell r="A1451" t="str">
            <v>MR001447</v>
          </cell>
          <cell r="B1451" t="str">
            <v>ME</v>
          </cell>
          <cell r="C1451">
            <v>37</v>
          </cell>
          <cell r="D1451">
            <v>1500</v>
          </cell>
          <cell r="E1451" t="str">
            <v>1LE1503</v>
          </cell>
          <cell r="I1451" t="str">
            <v>V1/B5</v>
          </cell>
          <cell r="J1451" t="str">
            <v>IE3</v>
          </cell>
          <cell r="K1451" t="str">
            <v>400/690</v>
          </cell>
          <cell r="L1451">
            <v>50</v>
          </cell>
          <cell r="M1451" t="str">
            <v>66/38,5</v>
          </cell>
          <cell r="N1451">
            <v>65</v>
          </cell>
          <cell r="O1451" t="str">
            <v>F(105°C)</v>
          </cell>
          <cell r="Q1451" t="str">
            <v>-</v>
          </cell>
          <cell r="R1451" t="str">
            <v>-</v>
          </cell>
          <cell r="S1451" t="str">
            <v>-</v>
          </cell>
          <cell r="T1451" t="str">
            <v>-</v>
          </cell>
          <cell r="U1451" t="str">
            <v>-</v>
          </cell>
          <cell r="V1451" t="str">
            <v>D</v>
          </cell>
          <cell r="W1451" t="str">
            <v>-</v>
          </cell>
          <cell r="X1451" t="str">
            <v>-</v>
          </cell>
          <cell r="Y1451" t="str">
            <v>1LE1503-2BB03-4FA4-Z-H2O</v>
          </cell>
          <cell r="Z1451" t="str">
            <v>SIEMENS</v>
          </cell>
          <cell r="AB1451" t="str">
            <v>-</v>
          </cell>
          <cell r="AE1451" t="str">
            <v>4 POLES</v>
          </cell>
          <cell r="AF1451">
            <v>1500</v>
          </cell>
          <cell r="AH1451" t="str">
            <v>1LE1503-B-X</v>
          </cell>
        </row>
        <row r="1452">
          <cell r="A1452" t="str">
            <v>MR001448</v>
          </cell>
          <cell r="B1452" t="str">
            <v>ME</v>
          </cell>
          <cell r="C1452">
            <v>3</v>
          </cell>
          <cell r="D1452">
            <v>3000</v>
          </cell>
          <cell r="E1452" t="str">
            <v>1LE1003</v>
          </cell>
          <cell r="I1452" t="str">
            <v>B5</v>
          </cell>
          <cell r="J1452" t="str">
            <v>IE3</v>
          </cell>
          <cell r="K1452" t="str">
            <v>230/400</v>
          </cell>
          <cell r="L1452">
            <v>50</v>
          </cell>
          <cell r="M1452" t="str">
            <v>9,9/5,7</v>
          </cell>
          <cell r="N1452">
            <v>65</v>
          </cell>
          <cell r="O1452" t="str">
            <v>F(105°C)</v>
          </cell>
          <cell r="Q1452" t="str">
            <v>-</v>
          </cell>
          <cell r="R1452" t="str">
            <v>-</v>
          </cell>
          <cell r="S1452" t="str">
            <v>-</v>
          </cell>
          <cell r="T1452" t="str">
            <v>-</v>
          </cell>
          <cell r="U1452" t="str">
            <v>-</v>
          </cell>
          <cell r="V1452" t="str">
            <v>D</v>
          </cell>
          <cell r="W1452" t="str">
            <v>-</v>
          </cell>
          <cell r="X1452" t="str">
            <v>-</v>
          </cell>
          <cell r="Y1452" t="str">
            <v>1LE1003-1AA42-2FA4-Z-H20</v>
          </cell>
          <cell r="Z1452" t="str">
            <v>SIEMENS</v>
          </cell>
          <cell r="AB1452" t="str">
            <v>-</v>
          </cell>
          <cell r="AE1452" t="str">
            <v>2 POLES</v>
          </cell>
          <cell r="AF1452">
            <v>3000</v>
          </cell>
          <cell r="AH1452" t="str">
            <v>1LE1003-B-X</v>
          </cell>
        </row>
        <row r="1453">
          <cell r="A1453" t="str">
            <v>MR001449</v>
          </cell>
          <cell r="B1453" t="str">
            <v>MR</v>
          </cell>
          <cell r="C1453">
            <v>22</v>
          </cell>
          <cell r="D1453">
            <v>33</v>
          </cell>
          <cell r="E1453" t="str">
            <v>R137</v>
          </cell>
          <cell r="F1453">
            <v>6310</v>
          </cell>
          <cell r="G1453">
            <v>44.39</v>
          </cell>
          <cell r="H1453">
            <v>1.25</v>
          </cell>
          <cell r="I1453" t="str">
            <v>M3</v>
          </cell>
          <cell r="J1453" t="str">
            <v>IE3</v>
          </cell>
          <cell r="K1453" t="str">
            <v>400/690</v>
          </cell>
          <cell r="L1453">
            <v>50</v>
          </cell>
          <cell r="M1453" t="str">
            <v>38,5/22,5</v>
          </cell>
          <cell r="N1453">
            <v>65</v>
          </cell>
          <cell r="O1453" t="str">
            <v>F(105°C)</v>
          </cell>
          <cell r="P1453" t="str">
            <v>270°</v>
          </cell>
          <cell r="Q1453" t="str">
            <v>TF</v>
          </cell>
          <cell r="R1453" t="str">
            <v>V(VE)</v>
          </cell>
          <cell r="S1453" t="str">
            <v>-</v>
          </cell>
          <cell r="T1453" t="str">
            <v>-</v>
          </cell>
          <cell r="U1453" t="str">
            <v>-</v>
          </cell>
          <cell r="V1453" t="str">
            <v>FC</v>
          </cell>
          <cell r="W1453" t="str">
            <v>-</v>
          </cell>
          <cell r="X1453" t="str">
            <v>CLP HC VG 220 = -20° + 60°</v>
          </cell>
          <cell r="Y1453" t="str">
            <v>R137DRN180L4 /TF/V</v>
          </cell>
          <cell r="Z1453" t="str">
            <v>SEW</v>
          </cell>
          <cell r="AB1453" t="str">
            <v>-</v>
          </cell>
          <cell r="AF1453">
            <v>33</v>
          </cell>
          <cell r="AG1453" t="str">
            <v>DRN180L4</v>
          </cell>
          <cell r="AH1453" t="str">
            <v>R137-DRN180L4270-X#</v>
          </cell>
        </row>
        <row r="1454">
          <cell r="A1454" t="str">
            <v>MR001450</v>
          </cell>
          <cell r="B1454" t="str">
            <v>MR</v>
          </cell>
          <cell r="C1454">
            <v>22</v>
          </cell>
          <cell r="D1454">
            <v>107</v>
          </cell>
          <cell r="E1454" t="str">
            <v>KH97</v>
          </cell>
          <cell r="F1454">
            <v>1960</v>
          </cell>
          <cell r="G1454">
            <v>13.85</v>
          </cell>
          <cell r="H1454">
            <v>2.2000000000000002</v>
          </cell>
          <cell r="I1454" t="str">
            <v>M4B</v>
          </cell>
          <cell r="J1454" t="str">
            <v>IE3</v>
          </cell>
          <cell r="K1454">
            <v>400</v>
          </cell>
          <cell r="L1454">
            <v>50</v>
          </cell>
          <cell r="M1454">
            <v>38.5</v>
          </cell>
          <cell r="N1454">
            <v>55</v>
          </cell>
          <cell r="O1454" t="str">
            <v>F(105°C)</v>
          </cell>
          <cell r="P1454" t="str">
            <v>270°</v>
          </cell>
          <cell r="Q1454" t="str">
            <v>-</v>
          </cell>
          <cell r="R1454" t="str">
            <v>-</v>
          </cell>
          <cell r="S1454" t="str">
            <v>Free rotation CW</v>
          </cell>
          <cell r="T1454" t="str">
            <v>-</v>
          </cell>
          <cell r="U1454" t="str">
            <v>T</v>
          </cell>
          <cell r="V1454" t="str">
            <v>SS</v>
          </cell>
          <cell r="W1454" t="str">
            <v>-</v>
          </cell>
          <cell r="X1454" t="str">
            <v>CLP VG 220 = -15° + 40°</v>
          </cell>
          <cell r="Y1454" t="str">
            <v>KH97/T DRN180L4 /RS</v>
          </cell>
          <cell r="Z1454" t="str">
            <v>SEW</v>
          </cell>
          <cell r="AB1454" t="str">
            <v>-</v>
          </cell>
          <cell r="AF1454">
            <v>107</v>
          </cell>
          <cell r="AG1454" t="str">
            <v>DRN180L4</v>
          </cell>
          <cell r="AH1454" t="str">
            <v>KH97T-DRN180L4B270-X</v>
          </cell>
        </row>
        <row r="1455">
          <cell r="A1455" t="str">
            <v>MR001451</v>
          </cell>
          <cell r="B1455" t="str">
            <v>MR</v>
          </cell>
          <cell r="C1455">
            <v>11</v>
          </cell>
          <cell r="D1455">
            <v>36</v>
          </cell>
          <cell r="E1455" t="str">
            <v>R107</v>
          </cell>
          <cell r="F1455">
            <v>2870</v>
          </cell>
          <cell r="G1455">
            <v>40.369999999999997</v>
          </cell>
          <cell r="H1455">
            <v>1.5</v>
          </cell>
          <cell r="I1455" t="str">
            <v>M1</v>
          </cell>
          <cell r="J1455" t="str">
            <v>IE3</v>
          </cell>
          <cell r="K1455" t="str">
            <v>400/690</v>
          </cell>
          <cell r="L1455">
            <v>50</v>
          </cell>
          <cell r="M1455" t="str">
            <v>21/12,2</v>
          </cell>
          <cell r="N1455">
            <v>65</v>
          </cell>
          <cell r="O1455" t="str">
            <v>F(105°C)</v>
          </cell>
          <cell r="P1455" t="str">
            <v>270°</v>
          </cell>
          <cell r="Q1455" t="str">
            <v>TF</v>
          </cell>
          <cell r="R1455" t="str">
            <v>V(VE)</v>
          </cell>
          <cell r="S1455" t="str">
            <v>-</v>
          </cell>
          <cell r="T1455" t="str">
            <v>-</v>
          </cell>
          <cell r="U1455" t="str">
            <v>-</v>
          </cell>
          <cell r="V1455" t="str">
            <v>FC</v>
          </cell>
          <cell r="W1455" t="str">
            <v>-</v>
          </cell>
          <cell r="X1455" t="str">
            <v>CLP HC VG 220 = -20° + 60°</v>
          </cell>
          <cell r="Y1455" t="str">
            <v>R107DRN160M4 /TF/V</v>
          </cell>
          <cell r="Z1455" t="str">
            <v>SEW</v>
          </cell>
          <cell r="AB1455" t="str">
            <v>-</v>
          </cell>
          <cell r="AF1455">
            <v>36</v>
          </cell>
          <cell r="AG1455" t="str">
            <v>DRN160M4</v>
          </cell>
          <cell r="AH1455" t="str">
            <v>R107-DRN160M4270-X#</v>
          </cell>
        </row>
        <row r="1456">
          <cell r="A1456" t="str">
            <v>MR001452</v>
          </cell>
          <cell r="B1456" t="str">
            <v>MR</v>
          </cell>
          <cell r="C1456">
            <v>11</v>
          </cell>
          <cell r="D1456">
            <v>11</v>
          </cell>
          <cell r="E1456" t="str">
            <v>KH127</v>
          </cell>
          <cell r="F1456">
            <v>9700</v>
          </cell>
          <cell r="G1456">
            <v>136.13999999999999</v>
          </cell>
          <cell r="H1456">
            <v>1.35</v>
          </cell>
          <cell r="I1456" t="str">
            <v>From M1A to M2A - 15°</v>
          </cell>
          <cell r="J1456" t="str">
            <v>IE3</v>
          </cell>
          <cell r="K1456" t="str">
            <v>400/690</v>
          </cell>
          <cell r="L1456">
            <v>50</v>
          </cell>
          <cell r="M1456" t="str">
            <v>21/12,2</v>
          </cell>
          <cell r="N1456">
            <v>65</v>
          </cell>
          <cell r="O1456" t="str">
            <v>F(105°C)</v>
          </cell>
          <cell r="P1456" t="str">
            <v>270°</v>
          </cell>
          <cell r="Q1456" t="str">
            <v>-</v>
          </cell>
          <cell r="R1456" t="str">
            <v>-</v>
          </cell>
          <cell r="S1456" t="str">
            <v>-</v>
          </cell>
          <cell r="T1456" t="str">
            <v>-</v>
          </cell>
          <cell r="U1456" t="str">
            <v>-</v>
          </cell>
          <cell r="V1456" t="str">
            <v>SS</v>
          </cell>
          <cell r="W1456" t="str">
            <v>-</v>
          </cell>
          <cell r="X1456" t="str">
            <v>CLP HC VG 220 = -20° + 60°</v>
          </cell>
          <cell r="Y1456" t="str">
            <v>KH127DRN160M4</v>
          </cell>
          <cell r="Z1456" t="str">
            <v>SEW</v>
          </cell>
          <cell r="AB1456" t="str">
            <v>-</v>
          </cell>
          <cell r="AF1456">
            <v>11</v>
          </cell>
          <cell r="AG1456" t="str">
            <v>DRN160M4</v>
          </cell>
          <cell r="AH1456" t="str">
            <v>KH127-DRN160M4A270-X</v>
          </cell>
        </row>
        <row r="1457">
          <cell r="A1457" t="str">
            <v>MR001453</v>
          </cell>
          <cell r="B1457" t="str">
            <v>MR</v>
          </cell>
          <cell r="C1457">
            <v>11</v>
          </cell>
          <cell r="D1457">
            <v>11</v>
          </cell>
          <cell r="E1457" t="str">
            <v>KH127</v>
          </cell>
          <cell r="F1457">
            <v>9700</v>
          </cell>
          <cell r="G1457">
            <v>136.13999999999999</v>
          </cell>
          <cell r="H1457">
            <v>1.35</v>
          </cell>
          <cell r="I1457" t="str">
            <v>From M1B to M2B - 15°</v>
          </cell>
          <cell r="J1457" t="str">
            <v>IE3</v>
          </cell>
          <cell r="K1457" t="str">
            <v>400/690</v>
          </cell>
          <cell r="L1457">
            <v>50</v>
          </cell>
          <cell r="M1457" t="str">
            <v>21/12,2</v>
          </cell>
          <cell r="N1457">
            <v>65</v>
          </cell>
          <cell r="O1457" t="str">
            <v>F(105°C)</v>
          </cell>
          <cell r="P1457" t="str">
            <v>270°</v>
          </cell>
          <cell r="Q1457" t="str">
            <v>-</v>
          </cell>
          <cell r="R1457" t="str">
            <v>-</v>
          </cell>
          <cell r="S1457" t="str">
            <v>-</v>
          </cell>
          <cell r="T1457" t="str">
            <v>-</v>
          </cell>
          <cell r="U1457" t="str">
            <v>-</v>
          </cell>
          <cell r="V1457" t="str">
            <v>SS</v>
          </cell>
          <cell r="W1457" t="str">
            <v>-</v>
          </cell>
          <cell r="X1457" t="str">
            <v>CLP HC VG 220 = -20° + 60°</v>
          </cell>
          <cell r="Y1457" t="str">
            <v>KH127DRN160M4</v>
          </cell>
          <cell r="Z1457" t="str">
            <v>SEW</v>
          </cell>
          <cell r="AB1457" t="str">
            <v>-</v>
          </cell>
          <cell r="AF1457">
            <v>11</v>
          </cell>
          <cell r="AG1457" t="str">
            <v>DRN160M4</v>
          </cell>
          <cell r="AH1457" t="str">
            <v>KH127-DRN160M4B270-X</v>
          </cell>
        </row>
        <row r="1458">
          <cell r="A1458" t="str">
            <v>MR001454</v>
          </cell>
          <cell r="B1458" t="str">
            <v>MR</v>
          </cell>
          <cell r="C1458">
            <v>0.75</v>
          </cell>
          <cell r="D1458">
            <v>4.4000000000000004</v>
          </cell>
          <cell r="E1458" t="str">
            <v>KH77R37</v>
          </cell>
          <cell r="F1458">
            <v>1490</v>
          </cell>
          <cell r="G1458">
            <v>328</v>
          </cell>
          <cell r="H1458">
            <v>1.05</v>
          </cell>
          <cell r="I1458" t="str">
            <v>M3A</v>
          </cell>
          <cell r="J1458" t="str">
            <v>IE3</v>
          </cell>
          <cell r="K1458" t="str">
            <v>230/400</v>
          </cell>
          <cell r="L1458">
            <v>50</v>
          </cell>
          <cell r="M1458" t="str">
            <v>3,05/1,75</v>
          </cell>
          <cell r="N1458">
            <v>65</v>
          </cell>
          <cell r="O1458" t="str">
            <v>F(105°C)</v>
          </cell>
          <cell r="P1458" t="str">
            <v>180°</v>
          </cell>
          <cell r="Q1458" t="str">
            <v>TF</v>
          </cell>
          <cell r="R1458" t="str">
            <v>-</v>
          </cell>
          <cell r="S1458" t="str">
            <v>-</v>
          </cell>
          <cell r="T1458" t="str">
            <v>-</v>
          </cell>
          <cell r="U1458" t="str">
            <v>-</v>
          </cell>
          <cell r="V1458" t="str">
            <v>-</v>
          </cell>
          <cell r="W1458" t="str">
            <v>-</v>
          </cell>
          <cell r="X1458" t="str">
            <v>CLP HC VG 220 = -20° + 60°</v>
          </cell>
          <cell r="Y1458" t="str">
            <v>KH77R37EDRN80M4 /TF</v>
          </cell>
          <cell r="Z1458" t="str">
            <v>SEW</v>
          </cell>
          <cell r="AB1458" t="str">
            <v>ATEX22</v>
          </cell>
          <cell r="AE1458" t="str">
            <v>BRAKE BE2AE 24V DC</v>
          </cell>
          <cell r="AF1458">
            <v>4.4000000000000004</v>
          </cell>
          <cell r="AG1458" t="str">
            <v>EDRN80M4</v>
          </cell>
          <cell r="AH1458" t="str">
            <v>KH77R37-EDRN80M4A180-X</v>
          </cell>
        </row>
        <row r="1459">
          <cell r="A1459" t="str">
            <v>MR001455</v>
          </cell>
          <cell r="B1459" t="str">
            <v>MR</v>
          </cell>
          <cell r="C1459">
            <v>1.5</v>
          </cell>
          <cell r="D1459">
            <v>33</v>
          </cell>
          <cell r="E1459" t="str">
            <v>KH57</v>
          </cell>
          <cell r="F1459">
            <v>435</v>
          </cell>
          <cell r="G1459">
            <v>44.43</v>
          </cell>
          <cell r="H1459">
            <v>1.1000000000000001</v>
          </cell>
          <cell r="I1459" t="str">
            <v>M3B</v>
          </cell>
          <cell r="J1459" t="str">
            <v>IE3</v>
          </cell>
          <cell r="K1459" t="str">
            <v>230/400</v>
          </cell>
          <cell r="L1459">
            <v>50</v>
          </cell>
          <cell r="M1459" t="str">
            <v>5,9/3,4</v>
          </cell>
          <cell r="N1459">
            <v>65</v>
          </cell>
          <cell r="O1459" t="str">
            <v>F(105°C)</v>
          </cell>
          <cell r="P1459" t="str">
            <v>0°</v>
          </cell>
          <cell r="Q1459" t="str">
            <v>TF</v>
          </cell>
          <cell r="R1459" t="str">
            <v>-</v>
          </cell>
          <cell r="S1459" t="str">
            <v>-</v>
          </cell>
          <cell r="T1459" t="str">
            <v>-</v>
          </cell>
          <cell r="U1459" t="str">
            <v>-</v>
          </cell>
          <cell r="V1459" t="str">
            <v>-</v>
          </cell>
          <cell r="W1459" t="str">
            <v>-</v>
          </cell>
          <cell r="X1459" t="str">
            <v>CLP HC VG 220 = -20° + 60°</v>
          </cell>
          <cell r="Y1459" t="str">
            <v>KH57EDRN90L4 /TF</v>
          </cell>
          <cell r="Z1459" t="str">
            <v>SEW</v>
          </cell>
          <cell r="AB1459" t="str">
            <v>ATEX22</v>
          </cell>
          <cell r="AE1459" t="str">
            <v>BRAKE BE5AE 24V DC</v>
          </cell>
          <cell r="AF1459">
            <v>33</v>
          </cell>
          <cell r="AG1459" t="str">
            <v>EDRN90L4</v>
          </cell>
          <cell r="AH1459" t="str">
            <v>KH57-EDRN90L4B0-X</v>
          </cell>
        </row>
        <row r="1460">
          <cell r="A1460" t="str">
            <v>MR001456</v>
          </cell>
          <cell r="B1460" t="str">
            <v>MR</v>
          </cell>
          <cell r="C1460">
            <v>5.5</v>
          </cell>
          <cell r="D1460">
            <v>47</v>
          </cell>
          <cell r="E1460" t="str">
            <v>KH77</v>
          </cell>
          <cell r="F1460">
            <v>1110</v>
          </cell>
          <cell r="G1460">
            <v>30.89</v>
          </cell>
          <cell r="H1460">
            <v>1.4</v>
          </cell>
          <cell r="I1460" t="str">
            <v>M4B</v>
          </cell>
          <cell r="J1460" t="str">
            <v>IE3</v>
          </cell>
          <cell r="K1460" t="str">
            <v>230/400</v>
          </cell>
          <cell r="L1460">
            <v>50</v>
          </cell>
          <cell r="M1460" t="str">
            <v>18,2/10,5</v>
          </cell>
          <cell r="N1460">
            <v>65</v>
          </cell>
          <cell r="O1460" t="str">
            <v>F(105°C)</v>
          </cell>
          <cell r="P1460" t="str">
            <v>270°</v>
          </cell>
          <cell r="Q1460" t="str">
            <v>-</v>
          </cell>
          <cell r="R1460" t="str">
            <v>-</v>
          </cell>
          <cell r="S1460" t="str">
            <v>Free rotation CW</v>
          </cell>
          <cell r="T1460" t="str">
            <v>-</v>
          </cell>
          <cell r="U1460" t="str">
            <v>T</v>
          </cell>
          <cell r="V1460" t="str">
            <v>SS</v>
          </cell>
          <cell r="W1460" t="str">
            <v>-</v>
          </cell>
          <cell r="X1460" t="str">
            <v>CLP HC VG 220 = -20° + 60°</v>
          </cell>
          <cell r="Y1460" t="str">
            <v>KH77/T DRN132S4 /RS</v>
          </cell>
          <cell r="Z1460" t="str">
            <v>SEW</v>
          </cell>
          <cell r="AB1460" t="str">
            <v>-</v>
          </cell>
          <cell r="AF1460">
            <v>47</v>
          </cell>
          <cell r="AG1460" t="str">
            <v>DRN132S4</v>
          </cell>
          <cell r="AH1460" t="str">
            <v>KH77T-DRN132S4B270-X</v>
          </cell>
        </row>
        <row r="1461">
          <cell r="A1461" t="str">
            <v>MR001457</v>
          </cell>
          <cell r="B1461" t="str">
            <v>MR</v>
          </cell>
          <cell r="C1461">
            <v>0.75</v>
          </cell>
          <cell r="D1461">
            <v>162</v>
          </cell>
          <cell r="E1461" t="str">
            <v>KA37</v>
          </cell>
          <cell r="F1461">
            <v>44</v>
          </cell>
          <cell r="G1461">
            <v>8.91</v>
          </cell>
          <cell r="H1461">
            <v>3.6</v>
          </cell>
          <cell r="I1461" t="str">
            <v>From M1B to M2B - 15°</v>
          </cell>
          <cell r="J1461" t="str">
            <v>IE3</v>
          </cell>
          <cell r="K1461" t="str">
            <v>230/400</v>
          </cell>
          <cell r="L1461">
            <v>50</v>
          </cell>
          <cell r="M1461" t="str">
            <v>3,05/1,75</v>
          </cell>
          <cell r="N1461">
            <v>65</v>
          </cell>
          <cell r="O1461" t="str">
            <v>F(105°C)</v>
          </cell>
          <cell r="P1461" t="str">
            <v>0°</v>
          </cell>
          <cell r="Q1461" t="str">
            <v>-</v>
          </cell>
          <cell r="R1461" t="str">
            <v>-</v>
          </cell>
          <cell r="S1461" t="str">
            <v>-</v>
          </cell>
          <cell r="T1461" t="str">
            <v>-</v>
          </cell>
          <cell r="U1461" t="str">
            <v>T</v>
          </cell>
          <cell r="V1461" t="str">
            <v>D</v>
          </cell>
          <cell r="W1461" t="str">
            <v>-</v>
          </cell>
          <cell r="X1461" t="str">
            <v>CLP HC VG 220 = -20° + 60°</v>
          </cell>
          <cell r="Y1461" t="str">
            <v>KA37/T DRN80M4</v>
          </cell>
          <cell r="Z1461" t="str">
            <v>SEW</v>
          </cell>
          <cell r="AB1461" t="str">
            <v>-</v>
          </cell>
          <cell r="AF1461">
            <v>162</v>
          </cell>
          <cell r="AG1461" t="str">
            <v>DRN80M4</v>
          </cell>
          <cell r="AH1461" t="str">
            <v>KA37T-DRN80M4B0-X</v>
          </cell>
        </row>
        <row r="1462">
          <cell r="A1462" t="str">
            <v>MR001458</v>
          </cell>
          <cell r="B1462" t="str">
            <v>MR</v>
          </cell>
          <cell r="C1462">
            <v>7.5</v>
          </cell>
          <cell r="D1462">
            <v>57</v>
          </cell>
          <cell r="E1462" t="str">
            <v>KH77</v>
          </cell>
          <cell r="F1462">
            <v>1240</v>
          </cell>
          <cell r="G1462">
            <v>25.62</v>
          </cell>
          <cell r="H1462">
            <v>1.25</v>
          </cell>
          <cell r="I1462" t="str">
            <v>M4B</v>
          </cell>
          <cell r="J1462" t="str">
            <v>IE3</v>
          </cell>
          <cell r="K1462" t="str">
            <v>400/690</v>
          </cell>
          <cell r="L1462">
            <v>50</v>
          </cell>
          <cell r="M1462" t="str">
            <v>15,2/8,8</v>
          </cell>
          <cell r="N1462">
            <v>65</v>
          </cell>
          <cell r="O1462" t="str">
            <v>F(105°C)</v>
          </cell>
          <cell r="P1462" t="str">
            <v>270°</v>
          </cell>
          <cell r="Q1462" t="str">
            <v>-</v>
          </cell>
          <cell r="R1462" t="str">
            <v>-</v>
          </cell>
          <cell r="S1462" t="str">
            <v>Free rotation CW</v>
          </cell>
          <cell r="T1462" t="str">
            <v>-</v>
          </cell>
          <cell r="U1462" t="str">
            <v>T</v>
          </cell>
          <cell r="V1462" t="str">
            <v>SS</v>
          </cell>
          <cell r="W1462" t="str">
            <v>-</v>
          </cell>
          <cell r="X1462" t="str">
            <v>CLP HC VG 220 = -20° + 60°</v>
          </cell>
          <cell r="Y1462" t="str">
            <v>KH77/T DRN132M4 /RS</v>
          </cell>
          <cell r="Z1462" t="str">
            <v>SEW</v>
          </cell>
          <cell r="AB1462" t="str">
            <v>-</v>
          </cell>
          <cell r="AF1462">
            <v>57</v>
          </cell>
          <cell r="AG1462" t="str">
            <v>DRN132M4</v>
          </cell>
          <cell r="AH1462" t="str">
            <v>KH77T-DRN132M4B270-X</v>
          </cell>
        </row>
        <row r="1463">
          <cell r="A1463" t="str">
            <v>MR001459</v>
          </cell>
          <cell r="B1463" t="str">
            <v>MR</v>
          </cell>
          <cell r="C1463">
            <v>11</v>
          </cell>
          <cell r="D1463">
            <v>47</v>
          </cell>
          <cell r="E1463" t="str">
            <v>KH87</v>
          </cell>
          <cell r="F1463">
            <v>2230</v>
          </cell>
          <cell r="G1463">
            <v>31.39</v>
          </cell>
          <cell r="H1463">
            <v>1.2</v>
          </cell>
          <cell r="I1463" t="str">
            <v>M4A</v>
          </cell>
          <cell r="J1463" t="str">
            <v>IE3</v>
          </cell>
          <cell r="K1463" t="str">
            <v>400/690</v>
          </cell>
          <cell r="L1463">
            <v>50</v>
          </cell>
          <cell r="M1463" t="str">
            <v>21/12,2</v>
          </cell>
          <cell r="N1463">
            <v>65</v>
          </cell>
          <cell r="O1463" t="str">
            <v>F(105°C)</v>
          </cell>
          <cell r="P1463" t="str">
            <v>270°</v>
          </cell>
          <cell r="Q1463" t="str">
            <v>-</v>
          </cell>
          <cell r="R1463" t="str">
            <v>-</v>
          </cell>
          <cell r="S1463" t="str">
            <v>Free rotation CCW</v>
          </cell>
          <cell r="T1463" t="str">
            <v>-</v>
          </cell>
          <cell r="U1463" t="str">
            <v>T</v>
          </cell>
          <cell r="V1463" t="str">
            <v>SS</v>
          </cell>
          <cell r="W1463" t="str">
            <v>-</v>
          </cell>
          <cell r="X1463" t="str">
            <v>CLP HC VG 220 = -20° + 60°</v>
          </cell>
          <cell r="Y1463" t="str">
            <v>KH87/T DRN160M4 /RS</v>
          </cell>
          <cell r="Z1463" t="str">
            <v>SEW</v>
          </cell>
          <cell r="AB1463" t="str">
            <v>-</v>
          </cell>
          <cell r="AF1463">
            <v>47</v>
          </cell>
          <cell r="AG1463" t="str">
            <v>DRN160M4</v>
          </cell>
          <cell r="AH1463" t="str">
            <v>KH87T-DRN160M4A270-X</v>
          </cell>
        </row>
        <row r="1464">
          <cell r="A1464" t="str">
            <v>MR001460</v>
          </cell>
          <cell r="B1464" t="str">
            <v>MR</v>
          </cell>
          <cell r="C1464">
            <v>0.75</v>
          </cell>
          <cell r="D1464">
            <v>162</v>
          </cell>
          <cell r="E1464" t="str">
            <v>KA37</v>
          </cell>
          <cell r="F1464">
            <v>44</v>
          </cell>
          <cell r="G1464">
            <v>8.91</v>
          </cell>
          <cell r="H1464">
            <v>3.6</v>
          </cell>
          <cell r="I1464" t="str">
            <v>From M1B to M2B - 20°</v>
          </cell>
          <cell r="J1464" t="str">
            <v>IE3</v>
          </cell>
          <cell r="K1464" t="str">
            <v>230/400</v>
          </cell>
          <cell r="L1464">
            <v>50</v>
          </cell>
          <cell r="M1464" t="str">
            <v>3,05/1,75</v>
          </cell>
          <cell r="N1464">
            <v>65</v>
          </cell>
          <cell r="O1464" t="str">
            <v>F(105°C)</v>
          </cell>
          <cell r="P1464" t="str">
            <v>0°</v>
          </cell>
          <cell r="Q1464" t="str">
            <v>-</v>
          </cell>
          <cell r="R1464" t="str">
            <v>-</v>
          </cell>
          <cell r="S1464" t="str">
            <v>-</v>
          </cell>
          <cell r="T1464" t="str">
            <v>-</v>
          </cell>
          <cell r="U1464" t="str">
            <v>T</v>
          </cell>
          <cell r="V1464" t="str">
            <v>D</v>
          </cell>
          <cell r="W1464" t="str">
            <v>-</v>
          </cell>
          <cell r="X1464" t="str">
            <v>CLP HC VG 220 = -20° + 60°</v>
          </cell>
          <cell r="Y1464" t="str">
            <v>KA37/T DRN80M4</v>
          </cell>
          <cell r="Z1464" t="str">
            <v>SEW</v>
          </cell>
          <cell r="AB1464" t="str">
            <v>-</v>
          </cell>
          <cell r="AF1464">
            <v>162</v>
          </cell>
          <cell r="AG1464" t="str">
            <v>DRN80M4</v>
          </cell>
          <cell r="AH1464" t="str">
            <v>KA37T-DRN80M4B0-X</v>
          </cell>
        </row>
        <row r="1465">
          <cell r="A1465" t="str">
            <v>MR001461</v>
          </cell>
          <cell r="B1465" t="str">
            <v>MR</v>
          </cell>
          <cell r="C1465">
            <v>0.75</v>
          </cell>
          <cell r="D1465">
            <v>162</v>
          </cell>
          <cell r="E1465" t="str">
            <v>KA37</v>
          </cell>
          <cell r="F1465">
            <v>44</v>
          </cell>
          <cell r="G1465">
            <v>8.91</v>
          </cell>
          <cell r="H1465">
            <v>3.6</v>
          </cell>
          <cell r="I1465" t="str">
            <v>From M1A to M2A - 20°</v>
          </cell>
          <cell r="J1465" t="str">
            <v>IE3</v>
          </cell>
          <cell r="K1465" t="str">
            <v>230/400</v>
          </cell>
          <cell r="L1465">
            <v>50</v>
          </cell>
          <cell r="M1465" t="str">
            <v>3,05/1,75</v>
          </cell>
          <cell r="N1465">
            <v>65</v>
          </cell>
          <cell r="O1465" t="str">
            <v>F(105°C)</v>
          </cell>
          <cell r="P1465" t="str">
            <v>180°</v>
          </cell>
          <cell r="Q1465" t="str">
            <v>-</v>
          </cell>
          <cell r="R1465" t="str">
            <v>-</v>
          </cell>
          <cell r="S1465" t="str">
            <v>-</v>
          </cell>
          <cell r="T1465" t="str">
            <v>-</v>
          </cell>
          <cell r="U1465" t="str">
            <v>T</v>
          </cell>
          <cell r="V1465" t="str">
            <v>D</v>
          </cell>
          <cell r="W1465" t="str">
            <v>-</v>
          </cell>
          <cell r="X1465" t="str">
            <v>CLP HC VG 220 = -20° + 60°</v>
          </cell>
          <cell r="Y1465" t="str">
            <v>KA37/T DRN80M4</v>
          </cell>
          <cell r="Z1465" t="str">
            <v>SEW</v>
          </cell>
          <cell r="AB1465" t="str">
            <v>-</v>
          </cell>
          <cell r="AF1465">
            <v>162</v>
          </cell>
          <cell r="AG1465" t="str">
            <v>DRN80M4</v>
          </cell>
          <cell r="AH1465" t="str">
            <v>KA37T-DRN80M4A180-X</v>
          </cell>
        </row>
        <row r="1466">
          <cell r="A1466" t="str">
            <v>MR001462</v>
          </cell>
          <cell r="B1466" t="str">
            <v>MR</v>
          </cell>
          <cell r="C1466">
            <v>0.75</v>
          </cell>
          <cell r="D1466">
            <v>162</v>
          </cell>
          <cell r="E1466" t="str">
            <v>KA37</v>
          </cell>
          <cell r="F1466">
            <v>44</v>
          </cell>
          <cell r="G1466">
            <v>8.91</v>
          </cell>
          <cell r="H1466">
            <v>3.6</v>
          </cell>
          <cell r="I1466" t="str">
            <v>From M1A to M2A - 25°</v>
          </cell>
          <cell r="J1466" t="str">
            <v>IE3</v>
          </cell>
          <cell r="K1466" t="str">
            <v>230/400</v>
          </cell>
          <cell r="L1466">
            <v>50</v>
          </cell>
          <cell r="M1466" t="str">
            <v>3,05/1,75</v>
          </cell>
          <cell r="N1466">
            <v>65</v>
          </cell>
          <cell r="O1466" t="str">
            <v>F(105°C)</v>
          </cell>
          <cell r="P1466" t="str">
            <v>180°</v>
          </cell>
          <cell r="Q1466" t="str">
            <v>-</v>
          </cell>
          <cell r="R1466" t="str">
            <v>-</v>
          </cell>
          <cell r="S1466" t="str">
            <v>-</v>
          </cell>
          <cell r="T1466" t="str">
            <v>-</v>
          </cell>
          <cell r="U1466" t="str">
            <v>T</v>
          </cell>
          <cell r="V1466" t="str">
            <v>D</v>
          </cell>
          <cell r="W1466" t="str">
            <v>-</v>
          </cell>
          <cell r="X1466" t="str">
            <v>CLP HC VG 220 = -20° + 60°</v>
          </cell>
          <cell r="Y1466" t="str">
            <v>KA37/T DRN80M4</v>
          </cell>
          <cell r="Z1466" t="str">
            <v>SEW</v>
          </cell>
          <cell r="AB1466" t="str">
            <v>-</v>
          </cell>
          <cell r="AF1466">
            <v>162</v>
          </cell>
          <cell r="AG1466" t="str">
            <v>DRN80M4</v>
          </cell>
          <cell r="AH1466" t="str">
            <v>KA37T-DRN80M4A180-X</v>
          </cell>
        </row>
        <row r="1467">
          <cell r="A1467" t="str">
            <v>MR001463</v>
          </cell>
          <cell r="B1467" t="str">
            <v>MR</v>
          </cell>
          <cell r="C1467">
            <v>1.5</v>
          </cell>
          <cell r="D1467">
            <v>3.8</v>
          </cell>
          <cell r="E1467" t="str">
            <v>KA97R57</v>
          </cell>
          <cell r="F1467">
            <v>3440</v>
          </cell>
          <cell r="G1467">
            <v>382</v>
          </cell>
          <cell r="H1467">
            <v>1.25</v>
          </cell>
          <cell r="I1467" t="str">
            <v>M3B</v>
          </cell>
          <cell r="J1467" t="str">
            <v>IE3</v>
          </cell>
          <cell r="K1467">
            <v>400</v>
          </cell>
          <cell r="L1467">
            <v>50</v>
          </cell>
          <cell r="M1467">
            <v>3.4</v>
          </cell>
          <cell r="N1467">
            <v>55</v>
          </cell>
          <cell r="O1467" t="str">
            <v>F(105°C)</v>
          </cell>
          <cell r="P1467" t="str">
            <v>270°</v>
          </cell>
          <cell r="Q1467" t="str">
            <v>TF</v>
          </cell>
          <cell r="R1467" t="str">
            <v>V(VE)</v>
          </cell>
          <cell r="S1467" t="str">
            <v>-</v>
          </cell>
          <cell r="T1467" t="str">
            <v>BEHF</v>
          </cell>
          <cell r="U1467" t="str">
            <v>T</v>
          </cell>
          <cell r="V1467" t="str">
            <v>D+R</v>
          </cell>
          <cell r="W1467" t="str">
            <v>-</v>
          </cell>
          <cell r="X1467" t="str">
            <v>CLP VG 220 = -15° + 40°</v>
          </cell>
          <cell r="Y1467" t="str">
            <v>KA97R57/T DRN90L4 /BEHF /TF/V</v>
          </cell>
          <cell r="Z1467" t="str">
            <v>SEW</v>
          </cell>
          <cell r="AB1467" t="str">
            <v>-</v>
          </cell>
          <cell r="AF1467">
            <v>3.8</v>
          </cell>
          <cell r="AG1467" t="str">
            <v>DRN90L4</v>
          </cell>
          <cell r="AH1467" t="str">
            <v>KA97R57T-DRN90L4B270-X#</v>
          </cell>
        </row>
        <row r="1468">
          <cell r="A1468" t="str">
            <v>MR001464</v>
          </cell>
          <cell r="B1468" t="str">
            <v>MR</v>
          </cell>
          <cell r="C1468">
            <v>15</v>
          </cell>
          <cell r="D1468">
            <v>15</v>
          </cell>
          <cell r="E1468" t="str">
            <v>KH157</v>
          </cell>
          <cell r="F1468">
            <v>9730</v>
          </cell>
          <cell r="G1468" t="str">
            <v>100.22</v>
          </cell>
          <cell r="H1468">
            <v>1.85</v>
          </cell>
          <cell r="I1468" t="str">
            <v>M4A</v>
          </cell>
          <cell r="J1468" t="str">
            <v>IE3</v>
          </cell>
          <cell r="K1468">
            <v>400</v>
          </cell>
          <cell r="L1468">
            <v>50</v>
          </cell>
          <cell r="M1468">
            <v>29</v>
          </cell>
          <cell r="N1468">
            <v>55</v>
          </cell>
          <cell r="O1468" t="str">
            <v>F(105°C)</v>
          </cell>
          <cell r="P1468" t="str">
            <v>270°</v>
          </cell>
          <cell r="Q1468" t="str">
            <v>TF</v>
          </cell>
          <cell r="R1468" t="str">
            <v>V(VE)</v>
          </cell>
          <cell r="S1468" t="str">
            <v>-</v>
          </cell>
          <cell r="T1468" t="str">
            <v>-</v>
          </cell>
          <cell r="U1468" t="str">
            <v>-</v>
          </cell>
          <cell r="V1468" t="str">
            <v>FC</v>
          </cell>
          <cell r="W1468" t="str">
            <v>-</v>
          </cell>
          <cell r="X1468" t="str">
            <v>CLP VG 220 = -15° + 40°</v>
          </cell>
          <cell r="Y1468" t="str">
            <v>KH157DRN160L4 /TF/V</v>
          </cell>
          <cell r="Z1468" t="str">
            <v>SEW</v>
          </cell>
          <cell r="AB1468" t="str">
            <v>-</v>
          </cell>
          <cell r="AF1468">
            <v>15</v>
          </cell>
          <cell r="AG1468" t="str">
            <v>DRN160L4</v>
          </cell>
          <cell r="AH1468" t="str">
            <v>KH157-DRN160L4A270-X#</v>
          </cell>
        </row>
        <row r="1469">
          <cell r="A1469" t="str">
            <v>MR001465</v>
          </cell>
          <cell r="B1469" t="str">
            <v>MR</v>
          </cell>
          <cell r="C1469">
            <v>15</v>
          </cell>
          <cell r="D1469">
            <v>15</v>
          </cell>
          <cell r="E1469" t="str">
            <v>KH157</v>
          </cell>
          <cell r="F1469">
            <v>9730</v>
          </cell>
          <cell r="G1469" t="str">
            <v>100.22</v>
          </cell>
          <cell r="H1469">
            <v>1.85</v>
          </cell>
          <cell r="I1469" t="str">
            <v>M4B</v>
          </cell>
          <cell r="J1469" t="str">
            <v>IE3</v>
          </cell>
          <cell r="K1469">
            <v>400</v>
          </cell>
          <cell r="L1469">
            <v>50</v>
          </cell>
          <cell r="M1469">
            <v>29</v>
          </cell>
          <cell r="N1469">
            <v>55</v>
          </cell>
          <cell r="O1469" t="str">
            <v>F(105°C)</v>
          </cell>
          <cell r="P1469" t="str">
            <v>270°</v>
          </cell>
          <cell r="Q1469" t="str">
            <v>TF</v>
          </cell>
          <cell r="R1469" t="str">
            <v>V(VE)</v>
          </cell>
          <cell r="S1469" t="str">
            <v>-</v>
          </cell>
          <cell r="T1469" t="str">
            <v>-</v>
          </cell>
          <cell r="U1469" t="str">
            <v>-</v>
          </cell>
          <cell r="V1469" t="str">
            <v>FC</v>
          </cell>
          <cell r="W1469" t="str">
            <v>-</v>
          </cell>
          <cell r="X1469" t="str">
            <v>CLP VG 220 = -15° + 40°</v>
          </cell>
          <cell r="Y1469" t="str">
            <v>KH157DRN160L4 /TF/V</v>
          </cell>
          <cell r="Z1469" t="str">
            <v>SEW</v>
          </cell>
          <cell r="AB1469" t="str">
            <v>-</v>
          </cell>
          <cell r="AF1469">
            <v>15</v>
          </cell>
          <cell r="AG1469" t="str">
            <v>DRN160L4</v>
          </cell>
          <cell r="AH1469" t="str">
            <v>KH157-DRN160L4B270-X#</v>
          </cell>
        </row>
        <row r="1470">
          <cell r="A1470" t="str">
            <v>MR001466</v>
          </cell>
          <cell r="B1470" t="str">
            <v>MR</v>
          </cell>
          <cell r="C1470">
            <v>9.1999999999999993</v>
          </cell>
          <cell r="D1470">
            <v>16</v>
          </cell>
          <cell r="E1470" t="str">
            <v>KH107</v>
          </cell>
          <cell r="F1470">
            <v>5430</v>
          </cell>
          <cell r="G1470">
            <v>90.96</v>
          </cell>
          <cell r="H1470">
            <v>1.45</v>
          </cell>
          <cell r="I1470" t="str">
            <v>M4A</v>
          </cell>
          <cell r="J1470" t="str">
            <v>IE3</v>
          </cell>
          <cell r="K1470">
            <v>400</v>
          </cell>
          <cell r="L1470">
            <v>50</v>
          </cell>
          <cell r="M1470">
            <v>18.7</v>
          </cell>
          <cell r="N1470">
            <v>55</v>
          </cell>
          <cell r="O1470" t="str">
            <v>F(105°C)</v>
          </cell>
          <cell r="P1470" t="str">
            <v>270°</v>
          </cell>
          <cell r="Q1470" t="str">
            <v>TF</v>
          </cell>
          <cell r="R1470" t="str">
            <v>V(VE)</v>
          </cell>
          <cell r="S1470" t="str">
            <v>-</v>
          </cell>
          <cell r="T1470" t="str">
            <v>-</v>
          </cell>
          <cell r="U1470" t="str">
            <v>-</v>
          </cell>
          <cell r="V1470" t="str">
            <v>FC</v>
          </cell>
          <cell r="W1470" t="str">
            <v>-</v>
          </cell>
          <cell r="X1470" t="str">
            <v>CLP VG 220 = -15° + 40°</v>
          </cell>
          <cell r="Y1470" t="str">
            <v>KH107DRN132L4 /TF/V</v>
          </cell>
          <cell r="Z1470" t="str">
            <v>SEW</v>
          </cell>
          <cell r="AB1470" t="str">
            <v>-</v>
          </cell>
          <cell r="AF1470">
            <v>16</v>
          </cell>
          <cell r="AG1470" t="str">
            <v>DRN132L4</v>
          </cell>
          <cell r="AH1470" t="str">
            <v>KH107-DRN132L4A270-X#</v>
          </cell>
        </row>
        <row r="1471">
          <cell r="A1471" t="str">
            <v>MR001467</v>
          </cell>
          <cell r="B1471" t="str">
            <v>MR</v>
          </cell>
          <cell r="C1471">
            <v>9.1999999999999993</v>
          </cell>
          <cell r="D1471">
            <v>16</v>
          </cell>
          <cell r="E1471" t="str">
            <v>KH107</v>
          </cell>
          <cell r="F1471">
            <v>5430</v>
          </cell>
          <cell r="G1471">
            <v>90.96</v>
          </cell>
          <cell r="H1471">
            <v>1.45</v>
          </cell>
          <cell r="I1471" t="str">
            <v>M4B</v>
          </cell>
          <cell r="J1471" t="str">
            <v>IE3</v>
          </cell>
          <cell r="K1471">
            <v>400</v>
          </cell>
          <cell r="L1471">
            <v>50</v>
          </cell>
          <cell r="M1471">
            <v>18.7</v>
          </cell>
          <cell r="N1471">
            <v>55</v>
          </cell>
          <cell r="O1471" t="str">
            <v>F(105°C)</v>
          </cell>
          <cell r="P1471" t="str">
            <v>270°</v>
          </cell>
          <cell r="Q1471" t="str">
            <v>TF</v>
          </cell>
          <cell r="R1471" t="str">
            <v>V(VE)</v>
          </cell>
          <cell r="S1471" t="str">
            <v>-</v>
          </cell>
          <cell r="T1471" t="str">
            <v>-</v>
          </cell>
          <cell r="U1471" t="str">
            <v>-</v>
          </cell>
          <cell r="V1471" t="str">
            <v>FC</v>
          </cell>
          <cell r="W1471" t="str">
            <v>-</v>
          </cell>
          <cell r="X1471" t="str">
            <v>CLP VG 220 = -15° + 40°</v>
          </cell>
          <cell r="Y1471" t="str">
            <v>KH107DRN132L4 /TF/V</v>
          </cell>
          <cell r="Z1471" t="str">
            <v>SEW</v>
          </cell>
          <cell r="AB1471" t="str">
            <v>-</v>
          </cell>
          <cell r="AF1471">
            <v>16</v>
          </cell>
          <cell r="AG1471" t="str">
            <v>DRN132L4</v>
          </cell>
          <cell r="AH1471" t="str">
            <v>KH107-DRN132L4B270-X#</v>
          </cell>
        </row>
        <row r="1472">
          <cell r="A1472" t="str">
            <v>MR001468</v>
          </cell>
          <cell r="B1472" t="str">
            <v>MR</v>
          </cell>
          <cell r="C1472">
            <v>7.5</v>
          </cell>
          <cell r="D1472">
            <v>15</v>
          </cell>
          <cell r="E1472" t="str">
            <v>KH107</v>
          </cell>
          <cell r="F1472">
            <v>4910</v>
          </cell>
          <cell r="G1472">
            <v>100.75</v>
          </cell>
          <cell r="H1472">
            <v>1.65</v>
          </cell>
          <cell r="I1472" t="str">
            <v>M4B</v>
          </cell>
          <cell r="J1472" t="str">
            <v>IE3</v>
          </cell>
          <cell r="K1472">
            <v>400</v>
          </cell>
          <cell r="L1472">
            <v>50</v>
          </cell>
          <cell r="M1472">
            <v>15.2</v>
          </cell>
          <cell r="N1472">
            <v>55</v>
          </cell>
          <cell r="O1472" t="str">
            <v>F(105°C)</v>
          </cell>
          <cell r="P1472" t="str">
            <v>270°</v>
          </cell>
          <cell r="Q1472" t="str">
            <v>TF</v>
          </cell>
          <cell r="R1472" t="str">
            <v>V(VE)</v>
          </cell>
          <cell r="S1472" t="str">
            <v>-</v>
          </cell>
          <cell r="T1472" t="str">
            <v>-</v>
          </cell>
          <cell r="U1472" t="str">
            <v>-</v>
          </cell>
          <cell r="V1472" t="str">
            <v>FC</v>
          </cell>
          <cell r="W1472" t="str">
            <v>-</v>
          </cell>
          <cell r="X1472" t="str">
            <v>CLP VG 220 = -15° + 40°</v>
          </cell>
          <cell r="Y1472" t="str">
            <v>KH107DRN132M4 /TF/V</v>
          </cell>
          <cell r="Z1472" t="str">
            <v>SEW</v>
          </cell>
          <cell r="AB1472" t="str">
            <v>-</v>
          </cell>
          <cell r="AF1472">
            <v>15</v>
          </cell>
          <cell r="AG1472" t="str">
            <v>DRN132M4</v>
          </cell>
          <cell r="AH1472" t="str">
            <v>KH107-DRN132M4B270-X#</v>
          </cell>
        </row>
        <row r="1473">
          <cell r="A1473" t="str">
            <v>MR001469</v>
          </cell>
          <cell r="B1473" t="str">
            <v>MR</v>
          </cell>
          <cell r="C1473">
            <v>11</v>
          </cell>
          <cell r="D1473">
            <v>15</v>
          </cell>
          <cell r="E1473" t="str">
            <v>KH107</v>
          </cell>
          <cell r="F1473">
            <v>7180</v>
          </cell>
          <cell r="G1473">
            <v>100.75</v>
          </cell>
          <cell r="H1473">
            <v>1.1000000000000001</v>
          </cell>
          <cell r="I1473" t="str">
            <v>M4A</v>
          </cell>
          <cell r="J1473" t="str">
            <v>IE3</v>
          </cell>
          <cell r="K1473">
            <v>400</v>
          </cell>
          <cell r="L1473">
            <v>50</v>
          </cell>
          <cell r="M1473">
            <v>21</v>
          </cell>
          <cell r="N1473">
            <v>55</v>
          </cell>
          <cell r="O1473" t="str">
            <v>F(105°C)</v>
          </cell>
          <cell r="P1473" t="str">
            <v>270°</v>
          </cell>
          <cell r="Q1473" t="str">
            <v>TF</v>
          </cell>
          <cell r="R1473" t="str">
            <v>V(VE)</v>
          </cell>
          <cell r="S1473" t="str">
            <v>-</v>
          </cell>
          <cell r="T1473" t="str">
            <v>-</v>
          </cell>
          <cell r="U1473" t="str">
            <v>-</v>
          </cell>
          <cell r="V1473" t="str">
            <v>FC</v>
          </cell>
          <cell r="W1473" t="str">
            <v>-</v>
          </cell>
          <cell r="X1473" t="str">
            <v>CLP VG 220 = -15° + 40°</v>
          </cell>
          <cell r="Y1473" t="str">
            <v>KH107DRN160M4 /TF/V</v>
          </cell>
          <cell r="Z1473" t="str">
            <v>SEW</v>
          </cell>
          <cell r="AB1473" t="str">
            <v>-</v>
          </cell>
          <cell r="AF1473">
            <v>15</v>
          </cell>
          <cell r="AG1473" t="str">
            <v>DRN160M4</v>
          </cell>
          <cell r="AH1473" t="str">
            <v>KH107-DRN160M4A270-X#</v>
          </cell>
        </row>
        <row r="1474">
          <cell r="A1474" t="str">
            <v>MR001470</v>
          </cell>
          <cell r="B1474" t="str">
            <v>MR</v>
          </cell>
          <cell r="C1474">
            <v>9.1999999999999993</v>
          </cell>
          <cell r="D1474">
            <v>66</v>
          </cell>
          <cell r="E1474" t="str">
            <v>R97</v>
          </cell>
          <cell r="F1474">
            <v>1340</v>
          </cell>
          <cell r="G1474">
            <v>22.37</v>
          </cell>
          <cell r="H1474">
            <v>2</v>
          </cell>
          <cell r="I1474" t="str">
            <v>M1</v>
          </cell>
          <cell r="J1474" t="str">
            <v>IE3</v>
          </cell>
          <cell r="K1474" t="str">
            <v>400/690</v>
          </cell>
          <cell r="L1474">
            <v>50</v>
          </cell>
          <cell r="M1474" t="str">
            <v>18,7/10,8</v>
          </cell>
          <cell r="N1474">
            <v>55</v>
          </cell>
          <cell r="O1474" t="str">
            <v>F(105°C)</v>
          </cell>
          <cell r="P1474" t="str">
            <v>270°</v>
          </cell>
          <cell r="Q1474" t="str">
            <v>-</v>
          </cell>
          <cell r="R1474" t="str">
            <v>-</v>
          </cell>
          <cell r="S1474" t="str">
            <v>-</v>
          </cell>
          <cell r="T1474" t="str">
            <v>-</v>
          </cell>
          <cell r="U1474" t="str">
            <v>-</v>
          </cell>
          <cell r="V1474" t="str">
            <v>-</v>
          </cell>
          <cell r="W1474" t="str">
            <v>-</v>
          </cell>
          <cell r="X1474" t="str">
            <v>CLP VG 220 = -15° + 40°</v>
          </cell>
          <cell r="Y1474" t="str">
            <v>R97DRN132L4</v>
          </cell>
          <cell r="Z1474" t="str">
            <v>SEW</v>
          </cell>
          <cell r="AB1474" t="str">
            <v>-</v>
          </cell>
          <cell r="AF1474">
            <v>66</v>
          </cell>
          <cell r="AG1474" t="str">
            <v>DRN132L4</v>
          </cell>
          <cell r="AH1474" t="str">
            <v>R97-DRN132L4270-X</v>
          </cell>
        </row>
        <row r="1475">
          <cell r="A1475" t="str">
            <v>MR001471</v>
          </cell>
          <cell r="B1475" t="str">
            <v>MR</v>
          </cell>
          <cell r="C1475">
            <v>11</v>
          </cell>
          <cell r="D1475">
            <v>16</v>
          </cell>
          <cell r="E1475" t="str">
            <v>KH107</v>
          </cell>
          <cell r="F1475">
            <v>6480</v>
          </cell>
          <cell r="G1475">
            <v>90.96</v>
          </cell>
          <cell r="H1475">
            <v>1.25</v>
          </cell>
          <cell r="I1475" t="str">
            <v>From M1A to M2A - 40°</v>
          </cell>
          <cell r="J1475" t="str">
            <v>IE3</v>
          </cell>
          <cell r="K1475">
            <v>415</v>
          </cell>
          <cell r="L1475">
            <v>50</v>
          </cell>
          <cell r="M1475">
            <v>21</v>
          </cell>
          <cell r="N1475">
            <v>55</v>
          </cell>
          <cell r="O1475" t="str">
            <v>F(105°C)</v>
          </cell>
          <cell r="P1475" t="str">
            <v>270°</v>
          </cell>
          <cell r="Q1475" t="str">
            <v>-</v>
          </cell>
          <cell r="R1475" t="str">
            <v>-</v>
          </cell>
          <cell r="S1475" t="str">
            <v>-</v>
          </cell>
          <cell r="T1475" t="str">
            <v>-</v>
          </cell>
          <cell r="U1475" t="str">
            <v>-</v>
          </cell>
          <cell r="V1475" t="str">
            <v>SS</v>
          </cell>
          <cell r="W1475" t="str">
            <v>-</v>
          </cell>
          <cell r="X1475" t="str">
            <v>CLP VG 220 = -15° + 40°</v>
          </cell>
          <cell r="Y1475" t="str">
            <v>KH107DRN160M4</v>
          </cell>
          <cell r="Z1475" t="str">
            <v>SEW</v>
          </cell>
          <cell r="AB1475" t="str">
            <v>-</v>
          </cell>
          <cell r="AF1475">
            <v>16</v>
          </cell>
          <cell r="AG1475" t="str">
            <v>DRN160M4</v>
          </cell>
          <cell r="AH1475" t="str">
            <v>KH107-DRN160M4A270-X</v>
          </cell>
        </row>
        <row r="1476">
          <cell r="A1476" t="str">
            <v>MR001472</v>
          </cell>
          <cell r="B1476" t="str">
            <v>MR</v>
          </cell>
          <cell r="C1476">
            <v>11</v>
          </cell>
          <cell r="D1476">
            <v>16</v>
          </cell>
          <cell r="E1476" t="str">
            <v>KH107</v>
          </cell>
          <cell r="F1476">
            <v>6480</v>
          </cell>
          <cell r="G1476">
            <v>90.96</v>
          </cell>
          <cell r="H1476">
            <v>1.25</v>
          </cell>
          <cell r="I1476" t="str">
            <v>From M1B to M2B - 40°</v>
          </cell>
          <cell r="J1476" t="str">
            <v>IE3</v>
          </cell>
          <cell r="K1476">
            <v>415</v>
          </cell>
          <cell r="L1476">
            <v>50</v>
          </cell>
          <cell r="M1476">
            <v>21</v>
          </cell>
          <cell r="N1476">
            <v>55</v>
          </cell>
          <cell r="O1476" t="str">
            <v>F(105°C)</v>
          </cell>
          <cell r="P1476" t="str">
            <v>270°</v>
          </cell>
          <cell r="Q1476" t="str">
            <v>-</v>
          </cell>
          <cell r="R1476" t="str">
            <v>-</v>
          </cell>
          <cell r="S1476" t="str">
            <v>-</v>
          </cell>
          <cell r="T1476" t="str">
            <v>-</v>
          </cell>
          <cell r="U1476" t="str">
            <v>-</v>
          </cell>
          <cell r="V1476" t="str">
            <v>SS</v>
          </cell>
          <cell r="W1476" t="str">
            <v>-</v>
          </cell>
          <cell r="X1476" t="str">
            <v>CLP VG 220 = -15° + 40°</v>
          </cell>
          <cell r="Y1476" t="str">
            <v>KH107DRN160M4</v>
          </cell>
          <cell r="Z1476" t="str">
            <v>SEW</v>
          </cell>
          <cell r="AB1476" t="str">
            <v>-</v>
          </cell>
          <cell r="AF1476">
            <v>16</v>
          </cell>
          <cell r="AG1476" t="str">
            <v>DRN160M4</v>
          </cell>
          <cell r="AH1476" t="str">
            <v>KH107-DRN160M4B270-X</v>
          </cell>
        </row>
        <row r="1477">
          <cell r="A1477" t="str">
            <v>MR001473</v>
          </cell>
          <cell r="B1477" t="str">
            <v>MR</v>
          </cell>
          <cell r="C1477">
            <v>9.1999999999999993</v>
          </cell>
          <cell r="D1477">
            <v>66</v>
          </cell>
          <cell r="E1477" t="str">
            <v>R97</v>
          </cell>
          <cell r="F1477">
            <v>1330</v>
          </cell>
          <cell r="G1477">
            <v>22.37</v>
          </cell>
          <cell r="H1477">
            <v>2</v>
          </cell>
          <cell r="I1477" t="str">
            <v>From M1 to M4 - 5°</v>
          </cell>
          <cell r="J1477" t="str">
            <v>IE3</v>
          </cell>
          <cell r="K1477">
            <v>400</v>
          </cell>
          <cell r="L1477">
            <v>50</v>
          </cell>
          <cell r="M1477">
            <v>18.7</v>
          </cell>
          <cell r="N1477">
            <v>55</v>
          </cell>
          <cell r="O1477" t="str">
            <v>F(105°C)</v>
          </cell>
          <cell r="P1477" t="str">
            <v>270°</v>
          </cell>
          <cell r="Q1477" t="str">
            <v>-</v>
          </cell>
          <cell r="R1477" t="str">
            <v>-</v>
          </cell>
          <cell r="S1477" t="str">
            <v>-</v>
          </cell>
          <cell r="T1477" t="str">
            <v>-</v>
          </cell>
          <cell r="U1477" t="str">
            <v>-</v>
          </cell>
          <cell r="V1477" t="str">
            <v>D</v>
          </cell>
          <cell r="W1477" t="str">
            <v>-</v>
          </cell>
          <cell r="X1477" t="str">
            <v>CLP VG 220 = -15° + 40°</v>
          </cell>
          <cell r="Y1477" t="str">
            <v>R97DRN132L4</v>
          </cell>
          <cell r="Z1477" t="str">
            <v>SEW</v>
          </cell>
          <cell r="AB1477" t="str">
            <v>-</v>
          </cell>
          <cell r="AF1477">
            <v>66</v>
          </cell>
          <cell r="AG1477" t="str">
            <v>DRN132L4</v>
          </cell>
          <cell r="AH1477" t="str">
            <v>R97-DRN132L4270-X</v>
          </cell>
        </row>
        <row r="1478">
          <cell r="A1478" t="str">
            <v>MR001474</v>
          </cell>
          <cell r="B1478" t="str">
            <v>MR</v>
          </cell>
          <cell r="C1478">
            <v>3</v>
          </cell>
          <cell r="D1478">
            <v>58</v>
          </cell>
          <cell r="E1478" t="str">
            <v>FA67</v>
          </cell>
          <cell r="F1478">
            <v>490</v>
          </cell>
          <cell r="G1478">
            <v>25.13</v>
          </cell>
          <cell r="H1478">
            <v>1.65</v>
          </cell>
          <cell r="I1478" t="str">
            <v>M1</v>
          </cell>
          <cell r="J1478" t="str">
            <v>IE3</v>
          </cell>
          <cell r="K1478">
            <v>400</v>
          </cell>
          <cell r="L1478">
            <v>50</v>
          </cell>
          <cell r="M1478">
            <v>6.4</v>
          </cell>
          <cell r="N1478">
            <v>55</v>
          </cell>
          <cell r="O1478" t="str">
            <v>F(105°C)</v>
          </cell>
          <cell r="P1478" t="str">
            <v>270°</v>
          </cell>
          <cell r="Q1478" t="str">
            <v>-</v>
          </cell>
          <cell r="R1478" t="str">
            <v>-</v>
          </cell>
          <cell r="S1478" t="str">
            <v>-</v>
          </cell>
          <cell r="T1478" t="str">
            <v>-</v>
          </cell>
          <cell r="U1478" t="str">
            <v>G</v>
          </cell>
          <cell r="V1478" t="str">
            <v>D</v>
          </cell>
          <cell r="W1478" t="str">
            <v>-</v>
          </cell>
          <cell r="X1478" t="str">
            <v>CLP VG 220 = -15° + 40°</v>
          </cell>
          <cell r="Y1478" t="str">
            <v>FA67/G DRN100L4</v>
          </cell>
          <cell r="Z1478" t="str">
            <v>SEW</v>
          </cell>
          <cell r="AB1478" t="str">
            <v>-</v>
          </cell>
          <cell r="AF1478">
            <v>58</v>
          </cell>
          <cell r="AG1478" t="str">
            <v>DRN100L4</v>
          </cell>
          <cell r="AH1478" t="str">
            <v>FA67G-DRN100L4270-X</v>
          </cell>
        </row>
        <row r="1479">
          <cell r="A1479" t="str">
            <v>MR001475</v>
          </cell>
          <cell r="B1479" t="str">
            <v>MR</v>
          </cell>
          <cell r="C1479">
            <v>3</v>
          </cell>
          <cell r="D1479">
            <v>61</v>
          </cell>
          <cell r="E1479" t="str">
            <v>KH67</v>
          </cell>
          <cell r="F1479">
            <v>470</v>
          </cell>
          <cell r="G1479">
            <v>24</v>
          </cell>
          <cell r="H1479">
            <v>1.7</v>
          </cell>
          <cell r="I1479" t="str">
            <v>M4B</v>
          </cell>
          <cell r="J1479" t="str">
            <v>IE3</v>
          </cell>
          <cell r="K1479">
            <v>400</v>
          </cell>
          <cell r="L1479">
            <v>50</v>
          </cell>
          <cell r="N1479">
            <v>55</v>
          </cell>
          <cell r="O1479" t="str">
            <v>F(105°C)</v>
          </cell>
          <cell r="P1479" t="str">
            <v>270°</v>
          </cell>
          <cell r="Q1479" t="str">
            <v>-</v>
          </cell>
          <cell r="R1479" t="str">
            <v>-</v>
          </cell>
          <cell r="S1479" t="str">
            <v>-</v>
          </cell>
          <cell r="T1479" t="str">
            <v>-</v>
          </cell>
          <cell r="U1479" t="str">
            <v>T</v>
          </cell>
          <cell r="V1479" t="str">
            <v>D</v>
          </cell>
          <cell r="W1479" t="str">
            <v>-</v>
          </cell>
          <cell r="X1479" t="str">
            <v>CLP VG 220 = -15° + 40°</v>
          </cell>
          <cell r="Y1479" t="str">
            <v>KH67/T DRN100L4</v>
          </cell>
          <cell r="Z1479" t="str">
            <v>SEW</v>
          </cell>
          <cell r="AB1479" t="str">
            <v>-</v>
          </cell>
          <cell r="AF1479">
            <v>61</v>
          </cell>
          <cell r="AG1479" t="str">
            <v>DRN100L4</v>
          </cell>
          <cell r="AH1479" t="str">
            <v>KH67T-DRN100L4B270-X</v>
          </cell>
        </row>
        <row r="1480">
          <cell r="A1480" t="str">
            <v>MR001476</v>
          </cell>
          <cell r="B1480" t="str">
            <v>MR</v>
          </cell>
          <cell r="C1480">
            <v>0.75</v>
          </cell>
          <cell r="D1480">
            <v>162</v>
          </cell>
          <cell r="E1480" t="str">
            <v>KA37</v>
          </cell>
          <cell r="F1480">
            <v>44</v>
          </cell>
          <cell r="G1480">
            <v>8.91</v>
          </cell>
          <cell r="H1480">
            <v>3.6</v>
          </cell>
          <cell r="I1480" t="str">
            <v>M3A</v>
          </cell>
          <cell r="J1480" t="str">
            <v>IE3</v>
          </cell>
          <cell r="K1480" t="str">
            <v>230/400</v>
          </cell>
          <cell r="L1480">
            <v>50</v>
          </cell>
          <cell r="M1480" t="str">
            <v>3,1/1,8</v>
          </cell>
          <cell r="N1480">
            <v>55</v>
          </cell>
          <cell r="O1480" t="str">
            <v>F(105°C)</v>
          </cell>
          <cell r="P1480" t="str">
            <v>0°</v>
          </cell>
          <cell r="Q1480" t="str">
            <v>-</v>
          </cell>
          <cell r="R1480" t="str">
            <v>-</v>
          </cell>
          <cell r="S1480" t="str">
            <v>-</v>
          </cell>
          <cell r="T1480" t="str">
            <v>-</v>
          </cell>
          <cell r="U1480" t="str">
            <v>T</v>
          </cell>
          <cell r="V1480" t="str">
            <v>D</v>
          </cell>
          <cell r="W1480" t="str">
            <v>-</v>
          </cell>
          <cell r="X1480" t="str">
            <v>CLP VG 220 = -15° + 40°</v>
          </cell>
          <cell r="Y1480" t="str">
            <v>KA37/T DRN80M4</v>
          </cell>
          <cell r="Z1480" t="str">
            <v>SEW</v>
          </cell>
          <cell r="AB1480" t="str">
            <v>-</v>
          </cell>
          <cell r="AF1480">
            <v>162</v>
          </cell>
          <cell r="AG1480" t="str">
            <v>DRN80M4</v>
          </cell>
          <cell r="AH1480" t="str">
            <v>KA37T-DRN80M4A0-X</v>
          </cell>
        </row>
        <row r="1481">
          <cell r="A1481" t="str">
            <v>MR001477</v>
          </cell>
          <cell r="B1481" t="str">
            <v>MR</v>
          </cell>
          <cell r="C1481">
            <v>7.5</v>
          </cell>
          <cell r="D1481">
            <v>64</v>
          </cell>
          <cell r="E1481" t="str">
            <v>K77</v>
          </cell>
          <cell r="F1481">
            <v>1120</v>
          </cell>
          <cell r="G1481">
            <v>23.08</v>
          </cell>
          <cell r="H1481">
            <v>1.4</v>
          </cell>
          <cell r="I1481" t="str">
            <v>M4A</v>
          </cell>
          <cell r="J1481" t="str">
            <v>IE3</v>
          </cell>
          <cell r="K1481">
            <v>400</v>
          </cell>
          <cell r="L1481">
            <v>50</v>
          </cell>
          <cell r="M1481">
            <v>15.2</v>
          </cell>
          <cell r="N1481">
            <v>55</v>
          </cell>
          <cell r="O1481" t="str">
            <v>F(105°C)</v>
          </cell>
          <cell r="P1481" t="str">
            <v>270°</v>
          </cell>
          <cell r="Q1481" t="str">
            <v>TF</v>
          </cell>
          <cell r="R1481" t="str">
            <v>V(VE)</v>
          </cell>
          <cell r="S1481" t="str">
            <v>-</v>
          </cell>
          <cell r="T1481" t="str">
            <v>-</v>
          </cell>
          <cell r="U1481" t="str">
            <v>-</v>
          </cell>
          <cell r="V1481" t="str">
            <v>FC</v>
          </cell>
          <cell r="W1481" t="str">
            <v>-</v>
          </cell>
          <cell r="X1481" t="str">
            <v>CLP VG 220 = -15° + 40°</v>
          </cell>
          <cell r="Y1481" t="str">
            <v>K77DRN132M4 /TF/V</v>
          </cell>
          <cell r="Z1481" t="str">
            <v>SEW</v>
          </cell>
          <cell r="AB1481" t="str">
            <v>-</v>
          </cell>
          <cell r="AF1481">
            <v>64</v>
          </cell>
          <cell r="AG1481" t="str">
            <v>DRN132M4</v>
          </cell>
          <cell r="AH1481" t="str">
            <v>K77-DRN132M4A270-X#</v>
          </cell>
        </row>
        <row r="1482">
          <cell r="A1482" t="str">
            <v>MR001478</v>
          </cell>
          <cell r="B1482" t="str">
            <v>MR</v>
          </cell>
          <cell r="C1482">
            <v>18.5</v>
          </cell>
          <cell r="D1482">
            <v>18</v>
          </cell>
          <cell r="E1482" t="str">
            <v>KH127</v>
          </cell>
          <cell r="F1482">
            <v>9790</v>
          </cell>
          <cell r="G1482">
            <v>81.98</v>
          </cell>
          <cell r="H1482">
            <v>1.35</v>
          </cell>
          <cell r="I1482" t="str">
            <v>From M1 to M4 B 50°</v>
          </cell>
          <cell r="J1482" t="str">
            <v>IE3</v>
          </cell>
          <cell r="K1482">
            <v>400</v>
          </cell>
          <cell r="L1482">
            <v>50</v>
          </cell>
          <cell r="N1482">
            <v>55</v>
          </cell>
          <cell r="O1482" t="str">
            <v>F(105°C)</v>
          </cell>
          <cell r="P1482" t="str">
            <v>270°</v>
          </cell>
          <cell r="Q1482" t="str">
            <v>TF</v>
          </cell>
          <cell r="R1482" t="str">
            <v>-</v>
          </cell>
          <cell r="S1482" t="str">
            <v>-</v>
          </cell>
          <cell r="T1482" t="str">
            <v>-</v>
          </cell>
          <cell r="U1482" t="str">
            <v>T</v>
          </cell>
          <cell r="V1482" t="str">
            <v>FC</v>
          </cell>
          <cell r="W1482" t="str">
            <v>-</v>
          </cell>
          <cell r="X1482" t="str">
            <v>CLP VG 220 = -15° + 40°</v>
          </cell>
          <cell r="Y1482" t="str">
            <v>KH127/T DRN180M4 /TF</v>
          </cell>
          <cell r="Z1482" t="str">
            <v>SEW</v>
          </cell>
          <cell r="AB1482" t="str">
            <v>-</v>
          </cell>
          <cell r="AF1482">
            <v>18</v>
          </cell>
          <cell r="AG1482" t="str">
            <v>DRN180M4</v>
          </cell>
          <cell r="AH1482" t="str">
            <v>KH127T-DRN180M4B270-X</v>
          </cell>
        </row>
        <row r="1483">
          <cell r="A1483" t="str">
            <v>MR001479</v>
          </cell>
          <cell r="B1483" t="str">
            <v>MR</v>
          </cell>
          <cell r="C1483">
            <v>0.55000000000000004</v>
          </cell>
          <cell r="D1483">
            <v>3.7</v>
          </cell>
          <cell r="E1483" t="str">
            <v>KA77R37</v>
          </cell>
          <cell r="F1483">
            <v>1280</v>
          </cell>
          <cell r="G1483">
            <v>367</v>
          </cell>
          <cell r="H1483">
            <v>1.2</v>
          </cell>
          <cell r="I1483" t="str">
            <v>M1B</v>
          </cell>
          <cell r="K1483">
            <v>400</v>
          </cell>
          <cell r="L1483">
            <v>50</v>
          </cell>
          <cell r="N1483">
            <v>55</v>
          </cell>
          <cell r="O1483" t="str">
            <v>F(105°C)</v>
          </cell>
          <cell r="P1483" t="str">
            <v>0°</v>
          </cell>
          <cell r="Q1483" t="str">
            <v>-</v>
          </cell>
          <cell r="R1483" t="str">
            <v>-</v>
          </cell>
          <cell r="S1483" t="str">
            <v>-</v>
          </cell>
          <cell r="T1483" t="str">
            <v>BE1</v>
          </cell>
          <cell r="U1483" t="str">
            <v>T</v>
          </cell>
          <cell r="V1483" t="str">
            <v>D</v>
          </cell>
          <cell r="W1483" t="str">
            <v>-</v>
          </cell>
          <cell r="X1483" t="str">
            <v>CLP VG 220 = -15° + 40°</v>
          </cell>
          <cell r="Y1483" t="str">
            <v>KA77R37/T DRS71M4 /BE1</v>
          </cell>
          <cell r="Z1483" t="str">
            <v>SEW</v>
          </cell>
          <cell r="AB1483" t="str">
            <v>-</v>
          </cell>
          <cell r="AF1483">
            <v>3.7</v>
          </cell>
          <cell r="AG1483" t="str">
            <v>DRS71M4</v>
          </cell>
          <cell r="AH1483" t="str">
            <v>KA77R37T-DRS71M4B0-X</v>
          </cell>
        </row>
        <row r="1484">
          <cell r="A1484" t="str">
            <v>MR001480</v>
          </cell>
          <cell r="B1484" t="str">
            <v>MR</v>
          </cell>
          <cell r="C1484">
            <v>0.55000000000000004</v>
          </cell>
          <cell r="D1484">
            <v>0.7</v>
          </cell>
          <cell r="E1484" t="str">
            <v>KH107R77</v>
          </cell>
          <cell r="F1484">
            <v>6540</v>
          </cell>
          <cell r="G1484">
            <v>1939</v>
          </cell>
          <cell r="H1484">
            <v>1.2</v>
          </cell>
          <cell r="I1484" t="str">
            <v>From M1 to M4 A 75°</v>
          </cell>
          <cell r="K1484">
            <v>400</v>
          </cell>
          <cell r="L1484">
            <v>50</v>
          </cell>
          <cell r="N1484">
            <v>55</v>
          </cell>
          <cell r="O1484" t="str">
            <v>F(105°C)</v>
          </cell>
          <cell r="P1484" t="str">
            <v>270°</v>
          </cell>
          <cell r="Q1484" t="str">
            <v>-</v>
          </cell>
          <cell r="R1484" t="str">
            <v>-</v>
          </cell>
          <cell r="S1484" t="str">
            <v>-</v>
          </cell>
          <cell r="T1484" t="str">
            <v>-</v>
          </cell>
          <cell r="U1484" t="str">
            <v>T</v>
          </cell>
          <cell r="V1484" t="str">
            <v>D</v>
          </cell>
          <cell r="W1484" t="str">
            <v>-</v>
          </cell>
          <cell r="X1484" t="str">
            <v>CLP VG 220 = -15° + 40°</v>
          </cell>
          <cell r="Y1484" t="str">
            <v>KH107R77/T DRS71M4</v>
          </cell>
          <cell r="Z1484" t="str">
            <v>SEW</v>
          </cell>
          <cell r="AB1484" t="str">
            <v>-</v>
          </cell>
          <cell r="AF1484">
            <v>0.7</v>
          </cell>
          <cell r="AG1484" t="str">
            <v>DRS71M4</v>
          </cell>
          <cell r="AH1484" t="str">
            <v>KH107R77T-DRS71M4A270-X</v>
          </cell>
        </row>
        <row r="1485">
          <cell r="A1485" t="str">
            <v>MR001481</v>
          </cell>
          <cell r="B1485" t="str">
            <v>MR</v>
          </cell>
          <cell r="C1485">
            <v>0.55000000000000004</v>
          </cell>
          <cell r="D1485">
            <v>0.7</v>
          </cell>
          <cell r="E1485" t="str">
            <v>KH107R77</v>
          </cell>
          <cell r="F1485">
            <v>6540</v>
          </cell>
          <cell r="G1485">
            <v>1939</v>
          </cell>
          <cell r="H1485">
            <v>1.2</v>
          </cell>
          <cell r="I1485" t="str">
            <v>From M1 to M2 A 5°</v>
          </cell>
          <cell r="K1485">
            <v>400</v>
          </cell>
          <cell r="L1485">
            <v>50</v>
          </cell>
          <cell r="N1485">
            <v>55</v>
          </cell>
          <cell r="O1485" t="str">
            <v>F(105°C)</v>
          </cell>
          <cell r="P1485" t="str">
            <v>180°</v>
          </cell>
          <cell r="Q1485" t="str">
            <v>-</v>
          </cell>
          <cell r="R1485" t="str">
            <v>-</v>
          </cell>
          <cell r="S1485" t="str">
            <v>-</v>
          </cell>
          <cell r="T1485" t="str">
            <v>-</v>
          </cell>
          <cell r="U1485" t="str">
            <v>T</v>
          </cell>
          <cell r="V1485" t="str">
            <v>D</v>
          </cell>
          <cell r="W1485" t="str">
            <v>-</v>
          </cell>
          <cell r="X1485" t="str">
            <v>CLP VG 220 = -15° + 40°</v>
          </cell>
          <cell r="Y1485" t="str">
            <v>KH107R77/T DRS71M4</v>
          </cell>
          <cell r="Z1485" t="str">
            <v>SEW</v>
          </cell>
          <cell r="AB1485" t="str">
            <v>-</v>
          </cell>
          <cell r="AF1485">
            <v>0.7</v>
          </cell>
          <cell r="AG1485" t="str">
            <v>DRS71M4</v>
          </cell>
          <cell r="AH1485" t="str">
            <v>KH107R77T-DRS71M4A180-X</v>
          </cell>
        </row>
        <row r="1486">
          <cell r="A1486" t="str">
            <v>MR001482</v>
          </cell>
          <cell r="B1486" t="str">
            <v>MR</v>
          </cell>
          <cell r="C1486">
            <v>0.55000000000000004</v>
          </cell>
          <cell r="D1486">
            <v>0.7</v>
          </cell>
          <cell r="E1486" t="str">
            <v>KH107R77</v>
          </cell>
          <cell r="F1486">
            <v>6540</v>
          </cell>
          <cell r="G1486">
            <v>1939</v>
          </cell>
          <cell r="H1486">
            <v>1.2</v>
          </cell>
          <cell r="I1486" t="str">
            <v>From M1 to M2 B 5°</v>
          </cell>
          <cell r="K1486">
            <v>400</v>
          </cell>
          <cell r="L1486">
            <v>50</v>
          </cell>
          <cell r="N1486">
            <v>55</v>
          </cell>
          <cell r="O1486" t="str">
            <v>F(105°C)</v>
          </cell>
          <cell r="P1486" t="str">
            <v>180°</v>
          </cell>
          <cell r="Q1486" t="str">
            <v>-</v>
          </cell>
          <cell r="R1486" t="str">
            <v>-</v>
          </cell>
          <cell r="S1486" t="str">
            <v>-</v>
          </cell>
          <cell r="T1486" t="str">
            <v>-</v>
          </cell>
          <cell r="U1486" t="str">
            <v>T</v>
          </cell>
          <cell r="V1486" t="str">
            <v>D</v>
          </cell>
          <cell r="W1486" t="str">
            <v>-</v>
          </cell>
          <cell r="X1486" t="str">
            <v>CLP VG 220 = -15° + 40°</v>
          </cell>
          <cell r="Y1486" t="str">
            <v>KH107R77/T DRS71M4</v>
          </cell>
          <cell r="Z1486" t="str">
            <v>SEW</v>
          </cell>
          <cell r="AB1486" t="str">
            <v>-</v>
          </cell>
          <cell r="AF1486">
            <v>0.7</v>
          </cell>
          <cell r="AG1486" t="str">
            <v>DRS71M4</v>
          </cell>
          <cell r="AH1486" t="str">
            <v>KH107R77T-DRS71M4B180-X</v>
          </cell>
        </row>
        <row r="1487">
          <cell r="A1487" t="str">
            <v>MR001483</v>
          </cell>
          <cell r="B1487" t="str">
            <v>MR</v>
          </cell>
          <cell r="C1487">
            <v>0.75</v>
          </cell>
          <cell r="D1487">
            <v>6.4</v>
          </cell>
          <cell r="E1487" t="str">
            <v>FA77</v>
          </cell>
          <cell r="F1487">
            <v>1120</v>
          </cell>
          <cell r="G1487">
            <v>225.8</v>
          </cell>
          <cell r="H1487">
            <v>1.35</v>
          </cell>
          <cell r="I1487" t="str">
            <v>M1</v>
          </cell>
          <cell r="J1487" t="str">
            <v>IE3</v>
          </cell>
          <cell r="K1487">
            <v>400</v>
          </cell>
          <cell r="L1487">
            <v>50</v>
          </cell>
          <cell r="M1487">
            <v>1.75</v>
          </cell>
          <cell r="N1487">
            <v>55</v>
          </cell>
          <cell r="O1487" t="str">
            <v>F(105°C)</v>
          </cell>
          <cell r="P1487" t="str">
            <v>270°</v>
          </cell>
          <cell r="Q1487" t="str">
            <v>-</v>
          </cell>
          <cell r="R1487" t="str">
            <v>-</v>
          </cell>
          <cell r="S1487" t="str">
            <v>-</v>
          </cell>
          <cell r="T1487" t="str">
            <v>-</v>
          </cell>
          <cell r="U1487" t="str">
            <v>G</v>
          </cell>
          <cell r="V1487" t="str">
            <v>D</v>
          </cell>
          <cell r="W1487" t="str">
            <v>-</v>
          </cell>
          <cell r="X1487" t="str">
            <v>CLP VG 220 = -15° + 40°</v>
          </cell>
          <cell r="Y1487" t="str">
            <v>FA77/G DRN80M4</v>
          </cell>
          <cell r="Z1487" t="str">
            <v>SEW</v>
          </cell>
          <cell r="AB1487" t="str">
            <v>-</v>
          </cell>
          <cell r="AF1487">
            <v>6.4</v>
          </cell>
          <cell r="AG1487" t="str">
            <v>DRN80M4</v>
          </cell>
          <cell r="AH1487" t="str">
            <v>FA77G-DRN80M4270-X</v>
          </cell>
        </row>
        <row r="1488">
          <cell r="A1488" t="str">
            <v>MR001484</v>
          </cell>
          <cell r="B1488" t="str">
            <v>MR</v>
          </cell>
          <cell r="C1488">
            <v>1.1000000000000001</v>
          </cell>
          <cell r="D1488">
            <v>10</v>
          </cell>
          <cell r="E1488" t="str">
            <v>FA77</v>
          </cell>
          <cell r="F1488">
            <v>1020</v>
          </cell>
          <cell r="G1488">
            <v>142.30000000000001</v>
          </cell>
          <cell r="H1488">
            <v>1.45</v>
          </cell>
          <cell r="I1488" t="str">
            <v>From M1 to M4 15°</v>
          </cell>
          <cell r="J1488" t="str">
            <v>IE3</v>
          </cell>
          <cell r="K1488">
            <v>400</v>
          </cell>
          <cell r="L1488">
            <v>50</v>
          </cell>
          <cell r="N1488">
            <v>55</v>
          </cell>
          <cell r="O1488" t="str">
            <v>F(105°C)</v>
          </cell>
          <cell r="P1488" t="str">
            <v>270°</v>
          </cell>
          <cell r="Q1488" t="str">
            <v>-</v>
          </cell>
          <cell r="R1488" t="str">
            <v>-</v>
          </cell>
          <cell r="S1488" t="str">
            <v>-</v>
          </cell>
          <cell r="T1488" t="str">
            <v>-</v>
          </cell>
          <cell r="U1488" t="str">
            <v>G</v>
          </cell>
          <cell r="V1488" t="str">
            <v>D</v>
          </cell>
          <cell r="W1488" t="str">
            <v>-</v>
          </cell>
          <cell r="X1488" t="str">
            <v>CLP VG 220 = -15° + 40°</v>
          </cell>
          <cell r="Y1488" t="str">
            <v>FA77/G DRN90S4</v>
          </cell>
          <cell r="Z1488" t="str">
            <v>SEW</v>
          </cell>
          <cell r="AB1488" t="str">
            <v>-</v>
          </cell>
          <cell r="AF1488">
            <v>10</v>
          </cell>
          <cell r="AG1488" t="str">
            <v>DRN90S4</v>
          </cell>
          <cell r="AH1488" t="str">
            <v>FA77G-DRN90S4270-X</v>
          </cell>
        </row>
        <row r="1489">
          <cell r="A1489" t="str">
            <v>MR001485</v>
          </cell>
          <cell r="B1489" t="str">
            <v>MR</v>
          </cell>
          <cell r="C1489">
            <v>2.2000000000000002</v>
          </cell>
          <cell r="D1489">
            <v>19</v>
          </cell>
          <cell r="E1489" t="str">
            <v>FA77</v>
          </cell>
          <cell r="F1489">
            <v>1080</v>
          </cell>
          <cell r="G1489">
            <v>75.02</v>
          </cell>
          <cell r="H1489">
            <v>1.4</v>
          </cell>
          <cell r="I1489" t="str">
            <v>M1</v>
          </cell>
          <cell r="J1489" t="str">
            <v>IE3</v>
          </cell>
          <cell r="K1489">
            <v>400</v>
          </cell>
          <cell r="L1489">
            <v>50</v>
          </cell>
          <cell r="N1489">
            <v>55</v>
          </cell>
          <cell r="O1489" t="str">
            <v>F(105°C)</v>
          </cell>
          <cell r="P1489" t="str">
            <v>270°</v>
          </cell>
          <cell r="Q1489" t="str">
            <v>-</v>
          </cell>
          <cell r="R1489" t="str">
            <v>-</v>
          </cell>
          <cell r="S1489" t="str">
            <v>-</v>
          </cell>
          <cell r="T1489" t="str">
            <v>-</v>
          </cell>
          <cell r="U1489" t="str">
            <v>G</v>
          </cell>
          <cell r="V1489" t="str">
            <v>D</v>
          </cell>
          <cell r="W1489" t="str">
            <v>-</v>
          </cell>
          <cell r="X1489" t="str">
            <v>CLP VG 220 = -15° + 40°</v>
          </cell>
          <cell r="Y1489" t="str">
            <v>FA77/G DRN100LS4</v>
          </cell>
          <cell r="Z1489" t="str">
            <v>SEW</v>
          </cell>
          <cell r="AB1489" t="str">
            <v>-</v>
          </cell>
          <cell r="AF1489">
            <v>19</v>
          </cell>
          <cell r="AG1489" t="str">
            <v>DRN100LS4</v>
          </cell>
          <cell r="AH1489" t="str">
            <v>FA77G-DRN100LS4270-X</v>
          </cell>
        </row>
        <row r="1490">
          <cell r="A1490" t="str">
            <v>MR001486</v>
          </cell>
          <cell r="B1490" t="str">
            <v>MR</v>
          </cell>
          <cell r="C1490">
            <v>1.1000000000000001</v>
          </cell>
          <cell r="D1490">
            <v>5.4</v>
          </cell>
          <cell r="E1490" t="str">
            <v>FA87</v>
          </cell>
          <cell r="F1490">
            <v>1950</v>
          </cell>
          <cell r="G1490">
            <v>270.7</v>
          </cell>
          <cell r="H1490">
            <v>1.55</v>
          </cell>
          <cell r="I1490" t="str">
            <v>M1</v>
          </cell>
          <cell r="J1490" t="str">
            <v>IE3</v>
          </cell>
          <cell r="K1490">
            <v>400</v>
          </cell>
          <cell r="L1490">
            <v>50</v>
          </cell>
          <cell r="N1490">
            <v>55</v>
          </cell>
          <cell r="O1490" t="str">
            <v>F(105°C)</v>
          </cell>
          <cell r="P1490" t="str">
            <v>270°</v>
          </cell>
          <cell r="Q1490" t="str">
            <v>-</v>
          </cell>
          <cell r="R1490" t="str">
            <v>-</v>
          </cell>
          <cell r="S1490" t="str">
            <v>-</v>
          </cell>
          <cell r="T1490" t="str">
            <v>-</v>
          </cell>
          <cell r="U1490" t="str">
            <v>G</v>
          </cell>
          <cell r="V1490" t="str">
            <v>D</v>
          </cell>
          <cell r="W1490" t="str">
            <v>-</v>
          </cell>
          <cell r="X1490" t="str">
            <v>CLP VG 220 = -15° + 40°</v>
          </cell>
          <cell r="Y1490" t="str">
            <v>FA87/G DRN90S4</v>
          </cell>
          <cell r="Z1490" t="str">
            <v>SEW</v>
          </cell>
          <cell r="AB1490" t="str">
            <v>-</v>
          </cell>
          <cell r="AF1490">
            <v>5.4</v>
          </cell>
          <cell r="AG1490" t="str">
            <v>DRN90S4</v>
          </cell>
          <cell r="AH1490" t="str">
            <v>FA87G-DRN90S4270-X</v>
          </cell>
        </row>
        <row r="1491">
          <cell r="A1491" t="str">
            <v>MR001487</v>
          </cell>
          <cell r="B1491" t="str">
            <v>MR</v>
          </cell>
          <cell r="C1491">
            <v>2.2000000000000002</v>
          </cell>
          <cell r="D1491">
            <v>11</v>
          </cell>
          <cell r="E1491" t="str">
            <v>FA87</v>
          </cell>
          <cell r="F1491">
            <v>1940</v>
          </cell>
          <cell r="G1491">
            <v>134.19999999999999</v>
          </cell>
          <cell r="H1491">
            <v>1.55</v>
          </cell>
          <cell r="I1491" t="str">
            <v>M1</v>
          </cell>
          <cell r="J1491" t="str">
            <v>IE3</v>
          </cell>
          <cell r="K1491">
            <v>400</v>
          </cell>
          <cell r="L1491">
            <v>50</v>
          </cell>
          <cell r="N1491">
            <v>55</v>
          </cell>
          <cell r="O1491" t="str">
            <v>F(105°C)</v>
          </cell>
          <cell r="P1491" t="str">
            <v>270°</v>
          </cell>
          <cell r="Q1491" t="str">
            <v>-</v>
          </cell>
          <cell r="R1491" t="str">
            <v>-</v>
          </cell>
          <cell r="S1491" t="str">
            <v>-</v>
          </cell>
          <cell r="T1491" t="str">
            <v>-</v>
          </cell>
          <cell r="U1491" t="str">
            <v>G</v>
          </cell>
          <cell r="V1491" t="str">
            <v>D</v>
          </cell>
          <cell r="W1491" t="str">
            <v>-</v>
          </cell>
          <cell r="X1491" t="str">
            <v>CLP VG 220 = -15° + 40°</v>
          </cell>
          <cell r="Y1491" t="str">
            <v>FA87/G DRN100LS4</v>
          </cell>
          <cell r="Z1491" t="str">
            <v>SEW</v>
          </cell>
          <cell r="AB1491" t="str">
            <v>-</v>
          </cell>
          <cell r="AF1491">
            <v>11</v>
          </cell>
          <cell r="AG1491" t="str">
            <v>DRN100LS4</v>
          </cell>
          <cell r="AH1491" t="str">
            <v>FA87G-DRN100LS4270-X</v>
          </cell>
        </row>
        <row r="1492">
          <cell r="A1492" t="str">
            <v>MR001488</v>
          </cell>
          <cell r="B1492" t="str">
            <v>MR</v>
          </cell>
          <cell r="C1492">
            <v>1.1000000000000001</v>
          </cell>
          <cell r="D1492">
            <v>5.4</v>
          </cell>
          <cell r="E1492" t="str">
            <v>FA87</v>
          </cell>
          <cell r="F1492">
            <v>1950</v>
          </cell>
          <cell r="G1492">
            <v>270.7</v>
          </cell>
          <cell r="H1492">
            <v>1.55</v>
          </cell>
          <cell r="I1492" t="str">
            <v>From M1 to M4 15°</v>
          </cell>
          <cell r="J1492" t="str">
            <v>IE3</v>
          </cell>
          <cell r="K1492">
            <v>400</v>
          </cell>
          <cell r="L1492">
            <v>50</v>
          </cell>
          <cell r="N1492">
            <v>55</v>
          </cell>
          <cell r="O1492" t="str">
            <v>F(105°C)</v>
          </cell>
          <cell r="P1492" t="str">
            <v>270°</v>
          </cell>
          <cell r="Q1492" t="str">
            <v>-</v>
          </cell>
          <cell r="R1492" t="str">
            <v>-</v>
          </cell>
          <cell r="S1492" t="str">
            <v>-</v>
          </cell>
          <cell r="T1492" t="str">
            <v>-</v>
          </cell>
          <cell r="U1492" t="str">
            <v>G</v>
          </cell>
          <cell r="V1492" t="str">
            <v>D</v>
          </cell>
          <cell r="W1492" t="str">
            <v>-</v>
          </cell>
          <cell r="X1492" t="str">
            <v>CLP VG 220 = -15° + 40°</v>
          </cell>
          <cell r="Y1492" t="str">
            <v>FA87/G DRN90S4</v>
          </cell>
          <cell r="Z1492" t="str">
            <v>SEW</v>
          </cell>
          <cell r="AB1492" t="str">
            <v>-</v>
          </cell>
          <cell r="AF1492">
            <v>5.4</v>
          </cell>
          <cell r="AG1492" t="str">
            <v>DRN90S4</v>
          </cell>
          <cell r="AH1492" t="str">
            <v>FA87G-DRN90S4270-X</v>
          </cell>
        </row>
        <row r="1493">
          <cell r="A1493" t="str">
            <v>MR001489</v>
          </cell>
          <cell r="B1493" t="str">
            <v>MR</v>
          </cell>
          <cell r="C1493">
            <v>7.5</v>
          </cell>
          <cell r="D1493">
            <v>32</v>
          </cell>
          <cell r="E1493" t="str">
            <v>FA87</v>
          </cell>
          <cell r="F1493">
            <v>2200</v>
          </cell>
          <cell r="G1493">
            <v>45.28</v>
          </cell>
          <cell r="H1493">
            <v>1.3</v>
          </cell>
          <cell r="I1493" t="str">
            <v>M1</v>
          </cell>
          <cell r="J1493" t="str">
            <v>IE3</v>
          </cell>
          <cell r="K1493">
            <v>400</v>
          </cell>
          <cell r="L1493">
            <v>50</v>
          </cell>
          <cell r="M1493">
            <v>15.2</v>
          </cell>
          <cell r="N1493">
            <v>55</v>
          </cell>
          <cell r="O1493" t="str">
            <v>F(105°C)</v>
          </cell>
          <cell r="P1493" t="str">
            <v>270°</v>
          </cell>
          <cell r="Q1493" t="str">
            <v>TF</v>
          </cell>
          <cell r="R1493" t="str">
            <v>V(VE)</v>
          </cell>
          <cell r="S1493" t="str">
            <v>-</v>
          </cell>
          <cell r="T1493" t="str">
            <v>-</v>
          </cell>
          <cell r="U1493" t="str">
            <v>G</v>
          </cell>
          <cell r="V1493" t="str">
            <v>FC</v>
          </cell>
          <cell r="W1493" t="str">
            <v>-</v>
          </cell>
          <cell r="X1493" t="str">
            <v>CLP VG 220 = -15° + 40°</v>
          </cell>
          <cell r="Y1493" t="str">
            <v>FA87/G DRN132M4 /TF/V</v>
          </cell>
          <cell r="Z1493" t="str">
            <v>SEW</v>
          </cell>
          <cell r="AB1493" t="str">
            <v>-</v>
          </cell>
          <cell r="AF1493">
            <v>32</v>
          </cell>
          <cell r="AG1493" t="str">
            <v>DRN132M4</v>
          </cell>
          <cell r="AH1493" t="str">
            <v>FA87G-DRN132M4270-X#</v>
          </cell>
        </row>
        <row r="1494">
          <cell r="A1494" t="str">
            <v>MR001490</v>
          </cell>
          <cell r="B1494" t="str">
            <v>MR</v>
          </cell>
          <cell r="C1494">
            <v>5.5</v>
          </cell>
          <cell r="D1494">
            <v>62</v>
          </cell>
          <cell r="E1494" t="str">
            <v>R87</v>
          </cell>
          <cell r="F1494">
            <v>840</v>
          </cell>
          <cell r="G1494">
            <v>23.4</v>
          </cell>
          <cell r="H1494">
            <v>1.85</v>
          </cell>
          <cell r="I1494" t="str">
            <v>From M1 to M2 - 20°</v>
          </cell>
          <cell r="J1494" t="str">
            <v>IE3</v>
          </cell>
          <cell r="K1494" t="str">
            <v>230/400</v>
          </cell>
          <cell r="L1494">
            <v>50</v>
          </cell>
          <cell r="M1494" t="str">
            <v>18,2/10,5</v>
          </cell>
          <cell r="N1494">
            <v>55</v>
          </cell>
          <cell r="O1494" t="str">
            <v>F(105°C)</v>
          </cell>
          <cell r="P1494" t="str">
            <v>270°</v>
          </cell>
          <cell r="Q1494" t="str">
            <v>-</v>
          </cell>
          <cell r="R1494" t="str">
            <v>-</v>
          </cell>
          <cell r="S1494" t="str">
            <v>-</v>
          </cell>
          <cell r="T1494" t="str">
            <v>-</v>
          </cell>
          <cell r="U1494" t="str">
            <v>-</v>
          </cell>
          <cell r="V1494" t="str">
            <v>D</v>
          </cell>
          <cell r="W1494" t="str">
            <v>-</v>
          </cell>
          <cell r="X1494" t="str">
            <v>CLP VG 220 = -15° + 40°</v>
          </cell>
          <cell r="Y1494" t="str">
            <v>R87DRN132S4</v>
          </cell>
          <cell r="Z1494" t="str">
            <v>SEW</v>
          </cell>
          <cell r="AB1494" t="str">
            <v>-</v>
          </cell>
          <cell r="AF1494">
            <v>62</v>
          </cell>
          <cell r="AG1494" t="str">
            <v>DRN132S4</v>
          </cell>
          <cell r="AH1494" t="str">
            <v>R87-DRN132S4270-X</v>
          </cell>
        </row>
        <row r="1495">
          <cell r="A1495" t="str">
            <v>MR001491</v>
          </cell>
          <cell r="B1495" t="str">
            <v>MR</v>
          </cell>
          <cell r="C1495">
            <v>2.2000000000000002</v>
          </cell>
          <cell r="D1495">
            <v>75</v>
          </cell>
          <cell r="E1495" t="str">
            <v>KH67</v>
          </cell>
          <cell r="F1495">
            <v>275</v>
          </cell>
          <cell r="G1495">
            <v>19.3</v>
          </cell>
          <cell r="H1495">
            <v>2.7</v>
          </cell>
          <cell r="I1495" t="str">
            <v>M3A</v>
          </cell>
          <cell r="J1495" t="str">
            <v>IE3</v>
          </cell>
          <cell r="K1495">
            <v>400</v>
          </cell>
          <cell r="L1495">
            <v>50</v>
          </cell>
          <cell r="M1495">
            <v>4.75</v>
          </cell>
          <cell r="N1495">
            <v>65</v>
          </cell>
          <cell r="O1495" t="str">
            <v>F(105°C)</v>
          </cell>
          <cell r="P1495" t="str">
            <v>180°</v>
          </cell>
          <cell r="Q1495" t="str">
            <v>-</v>
          </cell>
          <cell r="R1495" t="str">
            <v>-</v>
          </cell>
          <cell r="S1495" t="str">
            <v>-</v>
          </cell>
          <cell r="T1495" t="str">
            <v>-</v>
          </cell>
          <cell r="U1495" t="str">
            <v>T</v>
          </cell>
          <cell r="V1495" t="str">
            <v>D</v>
          </cell>
          <cell r="W1495" t="str">
            <v>-</v>
          </cell>
          <cell r="X1495" t="str">
            <v>CLP VG 220 = -15° + 40°</v>
          </cell>
          <cell r="Y1495" t="str">
            <v>KH67/T DRN100LS4</v>
          </cell>
          <cell r="Z1495" t="str">
            <v>SEW</v>
          </cell>
          <cell r="AB1495" t="str">
            <v>-</v>
          </cell>
          <cell r="AF1495">
            <v>75</v>
          </cell>
          <cell r="AG1495" t="str">
            <v>DRN100LS4</v>
          </cell>
          <cell r="AH1495" t="str">
            <v>KH67T-DRN100LS4A180-X</v>
          </cell>
        </row>
        <row r="1496">
          <cell r="A1496" t="str">
            <v>MR001492</v>
          </cell>
          <cell r="B1496" t="str">
            <v>MR</v>
          </cell>
          <cell r="C1496">
            <v>3</v>
          </cell>
          <cell r="D1496">
            <v>75</v>
          </cell>
          <cell r="E1496" t="str">
            <v>KH67</v>
          </cell>
          <cell r="F1496">
            <v>375</v>
          </cell>
          <cell r="G1496">
            <v>19.3</v>
          </cell>
          <cell r="H1496">
            <v>2</v>
          </cell>
          <cell r="I1496" t="str">
            <v>M3A</v>
          </cell>
          <cell r="J1496" t="str">
            <v>IE3</v>
          </cell>
          <cell r="K1496">
            <v>400</v>
          </cell>
          <cell r="L1496">
            <v>50</v>
          </cell>
          <cell r="M1496">
            <v>6.4</v>
          </cell>
          <cell r="N1496">
            <v>65</v>
          </cell>
          <cell r="O1496" t="str">
            <v>F(105°C)</v>
          </cell>
          <cell r="P1496" t="str">
            <v>180°</v>
          </cell>
          <cell r="Q1496" t="str">
            <v>-</v>
          </cell>
          <cell r="R1496" t="str">
            <v>-</v>
          </cell>
          <cell r="S1496" t="str">
            <v>-</v>
          </cell>
          <cell r="T1496" t="str">
            <v>-</v>
          </cell>
          <cell r="U1496" t="str">
            <v>T</v>
          </cell>
          <cell r="V1496" t="str">
            <v>D</v>
          </cell>
          <cell r="W1496" t="str">
            <v>-</v>
          </cell>
          <cell r="X1496" t="str">
            <v>CLP VG 220 = -15° + 40°</v>
          </cell>
          <cell r="Y1496" t="str">
            <v>KH67/T DRN100L4</v>
          </cell>
          <cell r="Z1496" t="str">
            <v>SEW</v>
          </cell>
          <cell r="AB1496" t="str">
            <v>-</v>
          </cell>
          <cell r="AF1496">
            <v>75</v>
          </cell>
          <cell r="AG1496" t="str">
            <v>DRN100L4</v>
          </cell>
          <cell r="AH1496" t="str">
            <v>KH67T-DRN100L4A180-X</v>
          </cell>
        </row>
        <row r="1497">
          <cell r="A1497" t="str">
            <v>MR001493</v>
          </cell>
          <cell r="B1497" t="str">
            <v>MR</v>
          </cell>
          <cell r="C1497">
            <v>7.5</v>
          </cell>
          <cell r="D1497">
            <v>15</v>
          </cell>
          <cell r="E1497" t="str">
            <v>KH107</v>
          </cell>
          <cell r="F1497">
            <v>4910</v>
          </cell>
          <cell r="G1497">
            <v>100.75</v>
          </cell>
          <cell r="H1497">
            <v>1.65</v>
          </cell>
          <cell r="I1497" t="str">
            <v>From M1A to M2A - 35°</v>
          </cell>
          <cell r="J1497" t="str">
            <v>IE3</v>
          </cell>
          <cell r="K1497">
            <v>400</v>
          </cell>
          <cell r="L1497">
            <v>50</v>
          </cell>
          <cell r="M1497">
            <v>15.2</v>
          </cell>
          <cell r="N1497">
            <v>65</v>
          </cell>
          <cell r="O1497" t="str">
            <v>F(105°C)</v>
          </cell>
          <cell r="P1497" t="str">
            <v>180°</v>
          </cell>
          <cell r="Q1497" t="str">
            <v>-</v>
          </cell>
          <cell r="R1497" t="str">
            <v>-</v>
          </cell>
          <cell r="S1497" t="str">
            <v>-</v>
          </cell>
          <cell r="T1497" t="str">
            <v>-</v>
          </cell>
          <cell r="U1497" t="str">
            <v>-</v>
          </cell>
          <cell r="V1497" t="str">
            <v>SS</v>
          </cell>
          <cell r="W1497" t="str">
            <v>YES</v>
          </cell>
          <cell r="X1497" t="str">
            <v>CLP PG VG 220 = -20° + 80°</v>
          </cell>
          <cell r="Y1497" t="str">
            <v>KH107BDRN132M4</v>
          </cell>
          <cell r="Z1497" t="str">
            <v>SEW</v>
          </cell>
          <cell r="AB1497" t="str">
            <v>-</v>
          </cell>
          <cell r="AF1497">
            <v>15</v>
          </cell>
          <cell r="AG1497" t="str">
            <v>DRN132M4</v>
          </cell>
          <cell r="AH1497" t="str">
            <v>KH107-DRN132M4A180-X</v>
          </cell>
        </row>
        <row r="1498">
          <cell r="A1498" t="str">
            <v>MR001494</v>
          </cell>
          <cell r="B1498" t="str">
            <v>MR</v>
          </cell>
          <cell r="C1498">
            <v>5.5</v>
          </cell>
          <cell r="D1498">
            <v>19</v>
          </cell>
          <cell r="E1498" t="str">
            <v>FA87</v>
          </cell>
          <cell r="F1498">
            <v>2740</v>
          </cell>
          <cell r="G1498">
            <v>76.39</v>
          </cell>
          <cell r="H1498">
            <v>1.1000000000000001</v>
          </cell>
          <cell r="I1498" t="str">
            <v>M1</v>
          </cell>
          <cell r="J1498" t="str">
            <v>IE3</v>
          </cell>
          <cell r="K1498">
            <v>400</v>
          </cell>
          <cell r="L1498">
            <v>50</v>
          </cell>
          <cell r="M1498">
            <v>10.5</v>
          </cell>
          <cell r="N1498">
            <v>65</v>
          </cell>
          <cell r="O1498" t="str">
            <v>F(105°C)</v>
          </cell>
          <cell r="P1498" t="str">
            <v>270°</v>
          </cell>
          <cell r="Q1498" t="str">
            <v>TF</v>
          </cell>
          <cell r="R1498" t="str">
            <v>V(VE)</v>
          </cell>
          <cell r="S1498" t="str">
            <v>-</v>
          </cell>
          <cell r="T1498" t="str">
            <v>-</v>
          </cell>
          <cell r="U1498" t="str">
            <v>G</v>
          </cell>
          <cell r="V1498" t="str">
            <v>FC</v>
          </cell>
          <cell r="W1498" t="str">
            <v>YES</v>
          </cell>
          <cell r="X1498" t="str">
            <v>CLP PG VG 220 = -20° + 80°</v>
          </cell>
          <cell r="Y1498" t="str">
            <v>FA87/G DRN132S4 /TF/V</v>
          </cell>
          <cell r="Z1498" t="str">
            <v>SEW</v>
          </cell>
          <cell r="AB1498" t="str">
            <v>-</v>
          </cell>
          <cell r="AF1498">
            <v>19</v>
          </cell>
          <cell r="AG1498" t="str">
            <v>DRN132S4</v>
          </cell>
          <cell r="AH1498" t="str">
            <v>FA87G-DRN132S4270-X#</v>
          </cell>
        </row>
        <row r="1499">
          <cell r="A1499" t="str">
            <v>MR001495</v>
          </cell>
          <cell r="B1499" t="str">
            <v>MR</v>
          </cell>
          <cell r="C1499">
            <v>7.5</v>
          </cell>
          <cell r="D1499">
            <v>51</v>
          </cell>
          <cell r="E1499" t="str">
            <v>FA87</v>
          </cell>
          <cell r="F1499">
            <v>1400</v>
          </cell>
          <cell r="G1499">
            <v>28.78</v>
          </cell>
          <cell r="H1499">
            <v>1.75</v>
          </cell>
          <cell r="I1499" t="str">
            <v>From M1 to M2 - 15°</v>
          </cell>
          <cell r="J1499" t="str">
            <v>IE3</v>
          </cell>
          <cell r="K1499">
            <v>400</v>
          </cell>
          <cell r="L1499">
            <v>50</v>
          </cell>
          <cell r="M1499">
            <v>15.2</v>
          </cell>
          <cell r="N1499">
            <v>65</v>
          </cell>
          <cell r="O1499" t="str">
            <v>F(105°C)</v>
          </cell>
          <cell r="P1499" t="str">
            <v>270°</v>
          </cell>
          <cell r="Q1499" t="str">
            <v>-</v>
          </cell>
          <cell r="R1499" t="str">
            <v>-</v>
          </cell>
          <cell r="S1499" t="str">
            <v>-</v>
          </cell>
          <cell r="T1499" t="str">
            <v>-</v>
          </cell>
          <cell r="U1499" t="str">
            <v>G</v>
          </cell>
          <cell r="V1499" t="str">
            <v>D</v>
          </cell>
          <cell r="W1499" t="str">
            <v>YES</v>
          </cell>
          <cell r="X1499" t="str">
            <v>CLP PG VG 220 = -20° + 80°</v>
          </cell>
          <cell r="Y1499" t="str">
            <v>FA87/G DRN132M4</v>
          </cell>
          <cell r="Z1499" t="str">
            <v>SEW</v>
          </cell>
          <cell r="AB1499" t="str">
            <v>-</v>
          </cell>
          <cell r="AF1499">
            <v>51</v>
          </cell>
          <cell r="AG1499" t="str">
            <v>DRN132M4</v>
          </cell>
          <cell r="AH1499" t="str">
            <v>FA87G-DRN132M4270-X</v>
          </cell>
        </row>
        <row r="1500">
          <cell r="A1500" t="str">
            <v>MR001496</v>
          </cell>
          <cell r="B1500" t="str">
            <v>MR</v>
          </cell>
          <cell r="C1500">
            <v>11</v>
          </cell>
          <cell r="D1500">
            <v>62</v>
          </cell>
          <cell r="E1500" t="str">
            <v>FA87</v>
          </cell>
          <cell r="F1500">
            <v>1680</v>
          </cell>
          <cell r="G1500">
            <v>23.68</v>
          </cell>
          <cell r="H1500">
            <v>1.8</v>
          </cell>
          <cell r="I1500" t="str">
            <v>From M1 to M4 - 20°</v>
          </cell>
          <cell r="J1500" t="str">
            <v>IE3</v>
          </cell>
          <cell r="K1500">
            <v>400</v>
          </cell>
          <cell r="L1500">
            <v>50</v>
          </cell>
          <cell r="M1500">
            <v>21</v>
          </cell>
          <cell r="N1500">
            <v>65</v>
          </cell>
          <cell r="O1500" t="str">
            <v>F(105°C)</v>
          </cell>
          <cell r="P1500" t="str">
            <v>270°</v>
          </cell>
          <cell r="Q1500" t="str">
            <v>-</v>
          </cell>
          <cell r="R1500" t="str">
            <v>-</v>
          </cell>
          <cell r="S1500" t="str">
            <v>-</v>
          </cell>
          <cell r="T1500" t="str">
            <v>-</v>
          </cell>
          <cell r="U1500" t="str">
            <v>G</v>
          </cell>
          <cell r="V1500" t="str">
            <v>D</v>
          </cell>
          <cell r="W1500" t="str">
            <v>YES</v>
          </cell>
          <cell r="X1500" t="str">
            <v>CLP PG VG 220 = -20° + 80°</v>
          </cell>
          <cell r="Y1500" t="str">
            <v>FA87/G DRN160M4</v>
          </cell>
          <cell r="Z1500" t="str">
            <v>SEW</v>
          </cell>
          <cell r="AB1500" t="str">
            <v>-</v>
          </cell>
          <cell r="AF1500">
            <v>62</v>
          </cell>
          <cell r="AG1500" t="str">
            <v>DRN160M4</v>
          </cell>
          <cell r="AH1500" t="str">
            <v>FA87G-DRN160M4270-X</v>
          </cell>
        </row>
        <row r="1501">
          <cell r="A1501" t="str">
            <v>MR001497</v>
          </cell>
          <cell r="B1501" t="str">
            <v>MR</v>
          </cell>
          <cell r="C1501">
            <v>9.1999999999999993</v>
          </cell>
          <cell r="D1501">
            <v>50</v>
          </cell>
          <cell r="E1501" t="str">
            <v>FA87</v>
          </cell>
          <cell r="F1501">
            <v>1740</v>
          </cell>
          <cell r="G1501">
            <v>29.2</v>
          </cell>
          <cell r="H1501">
            <v>1.45</v>
          </cell>
          <cell r="I1501" t="str">
            <v>From M1 to M2 - 10°</v>
          </cell>
          <cell r="J1501" t="str">
            <v>IE3</v>
          </cell>
          <cell r="K1501">
            <v>400</v>
          </cell>
          <cell r="L1501">
            <v>50</v>
          </cell>
          <cell r="M1501">
            <v>18.7</v>
          </cell>
          <cell r="N1501">
            <v>65</v>
          </cell>
          <cell r="O1501" t="str">
            <v>F(105°C)</v>
          </cell>
          <cell r="P1501" t="str">
            <v>270°</v>
          </cell>
          <cell r="Q1501" t="str">
            <v>-</v>
          </cell>
          <cell r="R1501" t="str">
            <v>-</v>
          </cell>
          <cell r="S1501" t="str">
            <v>-</v>
          </cell>
          <cell r="T1501" t="str">
            <v>-</v>
          </cell>
          <cell r="U1501" t="str">
            <v>G</v>
          </cell>
          <cell r="V1501" t="str">
            <v>D</v>
          </cell>
          <cell r="W1501" t="str">
            <v>YES</v>
          </cell>
          <cell r="X1501" t="str">
            <v>CLP PG VG 220 = -20° + 80°</v>
          </cell>
          <cell r="Y1501" t="str">
            <v>FA87/G DRN132L4</v>
          </cell>
          <cell r="Z1501" t="str">
            <v>SEW</v>
          </cell>
          <cell r="AB1501" t="str">
            <v>-</v>
          </cell>
          <cell r="AF1501">
            <v>50</v>
          </cell>
          <cell r="AG1501" t="str">
            <v>DRN132L4</v>
          </cell>
          <cell r="AH1501" t="str">
            <v>FA87G-DRN132L4270-X</v>
          </cell>
        </row>
        <row r="1502">
          <cell r="A1502" t="str">
            <v>MR001498</v>
          </cell>
          <cell r="B1502" t="str">
            <v>MR</v>
          </cell>
          <cell r="C1502">
            <v>4</v>
          </cell>
          <cell r="D1502">
            <v>58</v>
          </cell>
          <cell r="E1502" t="str">
            <v>FA67</v>
          </cell>
          <cell r="F1502">
            <v>655</v>
          </cell>
          <cell r="G1502">
            <v>25.13</v>
          </cell>
          <cell r="H1502">
            <v>1.25</v>
          </cell>
          <cell r="I1502" t="str">
            <v>M1</v>
          </cell>
          <cell r="J1502" t="str">
            <v>IE3</v>
          </cell>
          <cell r="K1502">
            <v>400</v>
          </cell>
          <cell r="L1502">
            <v>50</v>
          </cell>
          <cell r="M1502">
            <v>7.9</v>
          </cell>
          <cell r="N1502">
            <v>65</v>
          </cell>
          <cell r="O1502" t="str">
            <v>F(105°C)</v>
          </cell>
          <cell r="P1502" t="str">
            <v>270°</v>
          </cell>
          <cell r="Q1502" t="str">
            <v>-</v>
          </cell>
          <cell r="R1502" t="str">
            <v>-</v>
          </cell>
          <cell r="S1502" t="str">
            <v>-</v>
          </cell>
          <cell r="T1502" t="str">
            <v>-</v>
          </cell>
          <cell r="U1502" t="str">
            <v>G</v>
          </cell>
          <cell r="V1502" t="str">
            <v>D</v>
          </cell>
          <cell r="W1502" t="str">
            <v>-</v>
          </cell>
          <cell r="X1502" t="str">
            <v>CLP PG VG 220 = -20° + 80°</v>
          </cell>
          <cell r="Y1502" t="str">
            <v>FA67/G DRN112M4</v>
          </cell>
          <cell r="Z1502" t="str">
            <v>SEW</v>
          </cell>
          <cell r="AB1502" t="str">
            <v>-</v>
          </cell>
          <cell r="AF1502">
            <v>58</v>
          </cell>
          <cell r="AG1502" t="str">
            <v>DRN112M4</v>
          </cell>
          <cell r="AH1502" t="str">
            <v>FA67G-DRN112M4270-X</v>
          </cell>
        </row>
        <row r="1503">
          <cell r="A1503" t="str">
            <v>MR001499</v>
          </cell>
          <cell r="B1503" t="str">
            <v>MR</v>
          </cell>
          <cell r="C1503">
            <v>7.5</v>
          </cell>
          <cell r="D1503">
            <v>15</v>
          </cell>
          <cell r="E1503" t="str">
            <v>KH107</v>
          </cell>
          <cell r="F1503">
            <v>4910</v>
          </cell>
          <cell r="G1503">
            <v>100.75</v>
          </cell>
          <cell r="H1503">
            <v>1.65</v>
          </cell>
          <cell r="I1503" t="str">
            <v>M1B</v>
          </cell>
          <cell r="J1503" t="str">
            <v>IE3</v>
          </cell>
          <cell r="K1503">
            <v>400</v>
          </cell>
          <cell r="L1503">
            <v>50</v>
          </cell>
          <cell r="M1503">
            <v>15.2</v>
          </cell>
          <cell r="N1503">
            <v>65</v>
          </cell>
          <cell r="O1503" t="str">
            <v>F(105°C)</v>
          </cell>
          <cell r="P1503" t="str">
            <v>0°</v>
          </cell>
          <cell r="Q1503" t="str">
            <v>-</v>
          </cell>
          <cell r="R1503" t="str">
            <v>-</v>
          </cell>
          <cell r="S1503" t="str">
            <v>-</v>
          </cell>
          <cell r="T1503" t="str">
            <v>-</v>
          </cell>
          <cell r="U1503" t="str">
            <v>-</v>
          </cell>
          <cell r="V1503" t="str">
            <v>SS</v>
          </cell>
          <cell r="W1503" t="str">
            <v>-</v>
          </cell>
          <cell r="X1503" t="str">
            <v>CLP PG VG 220 = -20° + 80°</v>
          </cell>
          <cell r="Y1503" t="str">
            <v>KH107DRN132M4</v>
          </cell>
          <cell r="Z1503" t="str">
            <v>SEW</v>
          </cell>
          <cell r="AB1503" t="str">
            <v>-</v>
          </cell>
          <cell r="AF1503">
            <v>15</v>
          </cell>
          <cell r="AG1503" t="str">
            <v>DRN132M4</v>
          </cell>
          <cell r="AH1503" t="str">
            <v>KH107-DRN132M4B0-X</v>
          </cell>
        </row>
        <row r="1504">
          <cell r="A1504" t="str">
            <v>MR001500</v>
          </cell>
          <cell r="B1504" t="str">
            <v>MR</v>
          </cell>
          <cell r="C1504">
            <v>15</v>
          </cell>
          <cell r="D1504">
            <v>59</v>
          </cell>
          <cell r="E1504" t="str">
            <v>FA97</v>
          </cell>
          <cell r="F1504">
            <v>2420</v>
          </cell>
          <cell r="G1504">
            <v>24.92</v>
          </cell>
          <cell r="H1504">
            <v>1.8</v>
          </cell>
          <cell r="I1504" t="str">
            <v>M1</v>
          </cell>
          <cell r="J1504" t="str">
            <v>IE3</v>
          </cell>
          <cell r="K1504">
            <v>400</v>
          </cell>
          <cell r="L1504">
            <v>50</v>
          </cell>
          <cell r="M1504">
            <v>29</v>
          </cell>
          <cell r="N1504">
            <v>65</v>
          </cell>
          <cell r="O1504" t="str">
            <v>F(105°C)</v>
          </cell>
          <cell r="P1504" t="str">
            <v>270°</v>
          </cell>
          <cell r="Q1504" t="str">
            <v>-</v>
          </cell>
          <cell r="R1504" t="str">
            <v>-</v>
          </cell>
          <cell r="S1504" t="str">
            <v>-</v>
          </cell>
          <cell r="T1504" t="str">
            <v>-</v>
          </cell>
          <cell r="U1504" t="str">
            <v>G</v>
          </cell>
          <cell r="V1504" t="str">
            <v>D</v>
          </cell>
          <cell r="W1504" t="str">
            <v>YES</v>
          </cell>
          <cell r="X1504" t="str">
            <v>CLP PG VG 220 = -20° + 80°</v>
          </cell>
          <cell r="Y1504" t="str">
            <v>FA97/G DRN160L4</v>
          </cell>
          <cell r="Z1504" t="str">
            <v>SEW</v>
          </cell>
          <cell r="AB1504" t="str">
            <v>-</v>
          </cell>
          <cell r="AF1504">
            <v>59</v>
          </cell>
          <cell r="AG1504" t="str">
            <v>DRN160L4</v>
          </cell>
          <cell r="AH1504" t="str">
            <v>FA97G-DRN160L4270-X</v>
          </cell>
        </row>
        <row r="1505">
          <cell r="A1505" t="str">
            <v>MR001501</v>
          </cell>
          <cell r="B1505" t="str">
            <v>MR</v>
          </cell>
          <cell r="C1505">
            <v>11</v>
          </cell>
          <cell r="D1505">
            <v>56</v>
          </cell>
          <cell r="E1505" t="str">
            <v>FA87</v>
          </cell>
          <cell r="F1505">
            <v>1880</v>
          </cell>
          <cell r="G1505">
            <v>26.5</v>
          </cell>
          <cell r="H1505">
            <v>1.4</v>
          </cell>
          <cell r="I1505" t="str">
            <v>M1</v>
          </cell>
          <cell r="J1505" t="str">
            <v>IE3</v>
          </cell>
          <cell r="K1505">
            <v>400</v>
          </cell>
          <cell r="L1505">
            <v>50</v>
          </cell>
          <cell r="M1505">
            <v>21.5</v>
          </cell>
          <cell r="N1505">
            <v>65</v>
          </cell>
          <cell r="O1505" t="str">
            <v>F(105°C)</v>
          </cell>
          <cell r="P1505" t="str">
            <v>270°</v>
          </cell>
          <cell r="Q1505" t="str">
            <v>-</v>
          </cell>
          <cell r="R1505" t="str">
            <v>-</v>
          </cell>
          <cell r="S1505" t="str">
            <v>-</v>
          </cell>
          <cell r="T1505" t="str">
            <v>-</v>
          </cell>
          <cell r="U1505" t="str">
            <v>G</v>
          </cell>
          <cell r="V1505" t="str">
            <v>D</v>
          </cell>
          <cell r="W1505" t="str">
            <v>YES</v>
          </cell>
          <cell r="X1505" t="str">
            <v>CLP PG VG 220 = -20° + 80°</v>
          </cell>
          <cell r="Y1505" t="str">
            <v xml:space="preserve">
FA87/G/II2GDEDRN160M4/3D/AL
</v>
          </cell>
          <cell r="Z1505" t="str">
            <v>SEW</v>
          </cell>
          <cell r="AB1505" t="str">
            <v>ATEX22</v>
          </cell>
          <cell r="AF1505">
            <v>56</v>
          </cell>
          <cell r="AG1505" t="str">
            <v>EDRN160M4</v>
          </cell>
          <cell r="AH1505" t="str">
            <v>FA87G-EDRN160M4270-X</v>
          </cell>
        </row>
        <row r="1506">
          <cell r="A1506" t="str">
            <v>MR001502</v>
          </cell>
          <cell r="B1506" t="str">
            <v>MR</v>
          </cell>
          <cell r="C1506">
            <v>5.5</v>
          </cell>
          <cell r="D1506">
            <v>14</v>
          </cell>
          <cell r="E1506" t="str">
            <v>KH97</v>
          </cell>
          <cell r="F1506">
            <v>3770</v>
          </cell>
          <cell r="G1506">
            <v>105.13</v>
          </cell>
          <cell r="H1506">
            <v>1.1000000000000001</v>
          </cell>
          <cell r="I1506" t="str">
            <v>From M1A to M2A - 40°</v>
          </cell>
          <cell r="J1506" t="str">
            <v>IE3</v>
          </cell>
          <cell r="K1506">
            <v>400</v>
          </cell>
          <cell r="L1506">
            <v>50</v>
          </cell>
          <cell r="M1506">
            <v>11</v>
          </cell>
          <cell r="N1506">
            <v>65</v>
          </cell>
          <cell r="O1506" t="str">
            <v>F(105°C)</v>
          </cell>
          <cell r="P1506" t="str">
            <v>180°</v>
          </cell>
          <cell r="Q1506" t="str">
            <v>-</v>
          </cell>
          <cell r="R1506" t="str">
            <v>-</v>
          </cell>
          <cell r="S1506" t="str">
            <v>-</v>
          </cell>
          <cell r="T1506" t="str">
            <v>-</v>
          </cell>
          <cell r="U1506" t="str">
            <v>-</v>
          </cell>
          <cell r="V1506" t="str">
            <v>SS</v>
          </cell>
          <cell r="W1506" t="str">
            <v>YES</v>
          </cell>
          <cell r="X1506" t="str">
            <v>CLP PG VG 220 = -20° + 80°</v>
          </cell>
          <cell r="Y1506" t="str">
            <v>KH97/II2GDEDRN132S4/3D/KCC/AL</v>
          </cell>
          <cell r="Z1506" t="str">
            <v>SEW</v>
          </cell>
          <cell r="AB1506" t="str">
            <v>ATEX22</v>
          </cell>
          <cell r="AF1506">
            <v>14</v>
          </cell>
          <cell r="AG1506" t="str">
            <v>EDRN132S4</v>
          </cell>
          <cell r="AH1506" t="str">
            <v>KH97-EDRN132S4A180-X</v>
          </cell>
        </row>
        <row r="1507">
          <cell r="A1507" t="str">
            <v>MR001503</v>
          </cell>
          <cell r="B1507" t="str">
            <v>MR</v>
          </cell>
          <cell r="C1507">
            <v>5.5</v>
          </cell>
          <cell r="D1507">
            <v>14</v>
          </cell>
          <cell r="E1507" t="str">
            <v>KH97</v>
          </cell>
          <cell r="F1507">
            <v>3770</v>
          </cell>
          <cell r="G1507">
            <v>105.13</v>
          </cell>
          <cell r="H1507">
            <v>1.1000000000000001</v>
          </cell>
          <cell r="I1507" t="str">
            <v>From M1B to M2B - 40°</v>
          </cell>
          <cell r="J1507" t="str">
            <v>IE3</v>
          </cell>
          <cell r="K1507">
            <v>400</v>
          </cell>
          <cell r="L1507">
            <v>50</v>
          </cell>
          <cell r="M1507">
            <v>11</v>
          </cell>
          <cell r="N1507">
            <v>65</v>
          </cell>
          <cell r="O1507" t="str">
            <v>F(105°C)</v>
          </cell>
          <cell r="P1507" t="str">
            <v>0°</v>
          </cell>
          <cell r="Q1507" t="str">
            <v>-</v>
          </cell>
          <cell r="R1507" t="str">
            <v>-</v>
          </cell>
          <cell r="S1507" t="str">
            <v>-</v>
          </cell>
          <cell r="T1507" t="str">
            <v>-</v>
          </cell>
          <cell r="U1507" t="str">
            <v>-</v>
          </cell>
          <cell r="V1507" t="str">
            <v>SS</v>
          </cell>
          <cell r="W1507" t="str">
            <v>YES</v>
          </cell>
          <cell r="X1507" t="str">
            <v>CLP PG VG 220 = -20° + 80°</v>
          </cell>
          <cell r="Y1507" t="str">
            <v>KH97/II2GDEDRN132S4/3D/KCC/AL</v>
          </cell>
          <cell r="Z1507" t="str">
            <v>SEW</v>
          </cell>
          <cell r="AB1507" t="str">
            <v>ATEX22</v>
          </cell>
          <cell r="AF1507">
            <v>14</v>
          </cell>
          <cell r="AG1507" t="str">
            <v>EDRN132S4</v>
          </cell>
          <cell r="AH1507" t="str">
            <v>KH97-EDRN132S4B0-X</v>
          </cell>
        </row>
        <row r="1508">
          <cell r="A1508" t="str">
            <v>MR001504</v>
          </cell>
          <cell r="B1508" t="str">
            <v>MR</v>
          </cell>
          <cell r="C1508">
            <v>4</v>
          </cell>
          <cell r="D1508">
            <v>43</v>
          </cell>
          <cell r="E1508" t="str">
            <v>FA77</v>
          </cell>
          <cell r="F1508">
            <v>880</v>
          </cell>
          <cell r="G1508">
            <v>33.74</v>
          </cell>
          <cell r="H1508">
            <v>1.55</v>
          </cell>
          <cell r="I1508" t="str">
            <v>From M1 to M2 - 20°</v>
          </cell>
          <cell r="J1508" t="str">
            <v>IE3</v>
          </cell>
          <cell r="K1508">
            <v>400</v>
          </cell>
          <cell r="L1508">
            <v>50</v>
          </cell>
          <cell r="M1508">
            <v>8.3000000000000007</v>
          </cell>
          <cell r="N1508">
            <v>65</v>
          </cell>
          <cell r="O1508" t="str">
            <v>F(105°C)</v>
          </cell>
          <cell r="P1508" t="str">
            <v>270°</v>
          </cell>
          <cell r="Q1508" t="str">
            <v>-</v>
          </cell>
          <cell r="R1508" t="str">
            <v>-</v>
          </cell>
          <cell r="S1508" t="str">
            <v>-</v>
          </cell>
          <cell r="T1508" t="str">
            <v>-</v>
          </cell>
          <cell r="U1508" t="str">
            <v>G</v>
          </cell>
          <cell r="V1508" t="str">
            <v>D</v>
          </cell>
          <cell r="W1508" t="str">
            <v>YES</v>
          </cell>
          <cell r="X1508" t="str">
            <v>CLP PG VG 220 = -20° + 80°</v>
          </cell>
          <cell r="Y1508" t="str">
            <v>FA77/G/II2GDEDRN112M4/3D/KCC/AL</v>
          </cell>
          <cell r="Z1508" t="str">
            <v>SEW</v>
          </cell>
          <cell r="AB1508" t="str">
            <v>ATEX22</v>
          </cell>
          <cell r="AF1508">
            <v>43</v>
          </cell>
          <cell r="AG1508" t="str">
            <v>EDRN112M4</v>
          </cell>
          <cell r="AH1508" t="str">
            <v>FA77G-EDRN112M4270-X</v>
          </cell>
        </row>
        <row r="1509">
          <cell r="A1509" t="str">
            <v>MR001505</v>
          </cell>
          <cell r="B1509" t="str">
            <v>MR</v>
          </cell>
          <cell r="C1509">
            <v>7.5</v>
          </cell>
          <cell r="D1509">
            <v>58</v>
          </cell>
          <cell r="E1509" t="str">
            <v>FA77</v>
          </cell>
          <cell r="F1509">
            <v>1240</v>
          </cell>
          <cell r="G1509">
            <v>25.5</v>
          </cell>
          <cell r="H1509">
            <v>1.2</v>
          </cell>
          <cell r="I1509" t="str">
            <v>M1</v>
          </cell>
          <cell r="J1509" t="str">
            <v>IE3</v>
          </cell>
          <cell r="K1509">
            <v>400</v>
          </cell>
          <cell r="L1509">
            <v>50</v>
          </cell>
          <cell r="M1509">
            <v>15.7</v>
          </cell>
          <cell r="N1509">
            <v>65</v>
          </cell>
          <cell r="O1509" t="str">
            <v>F(105°C)</v>
          </cell>
          <cell r="P1509" t="str">
            <v>270°</v>
          </cell>
          <cell r="Q1509" t="str">
            <v>-</v>
          </cell>
          <cell r="R1509" t="str">
            <v>-</v>
          </cell>
          <cell r="S1509" t="str">
            <v>-</v>
          </cell>
          <cell r="T1509" t="str">
            <v>-</v>
          </cell>
          <cell r="U1509" t="str">
            <v>G</v>
          </cell>
          <cell r="V1509" t="str">
            <v>D</v>
          </cell>
          <cell r="W1509" t="str">
            <v>YES</v>
          </cell>
          <cell r="X1509" t="str">
            <v>CLP PG VG 220 = -20° + 80°</v>
          </cell>
          <cell r="Y1509" t="str">
            <v>FA77/G/II2GDEDRN132M4/3D/AL</v>
          </cell>
          <cell r="Z1509" t="str">
            <v>SEW</v>
          </cell>
          <cell r="AB1509" t="str">
            <v>ATEX22</v>
          </cell>
          <cell r="AF1509">
            <v>58</v>
          </cell>
          <cell r="AG1509" t="str">
            <v>EDRN132M4</v>
          </cell>
          <cell r="AH1509" t="str">
            <v>FA77G-EDRN132M4270-X</v>
          </cell>
        </row>
        <row r="1510">
          <cell r="A1510" t="str">
            <v>MR001506</v>
          </cell>
          <cell r="B1510" t="str">
            <v>MR</v>
          </cell>
          <cell r="C1510">
            <v>4</v>
          </cell>
          <cell r="D1510">
            <v>78</v>
          </cell>
          <cell r="E1510" t="str">
            <v>R77</v>
          </cell>
          <cell r="F1510">
            <v>490</v>
          </cell>
          <cell r="G1510">
            <v>18.8</v>
          </cell>
          <cell r="H1510">
            <v>1.2</v>
          </cell>
          <cell r="I1510" t="str">
            <v>M1</v>
          </cell>
          <cell r="J1510" t="str">
            <v>IE3</v>
          </cell>
          <cell r="K1510">
            <v>400</v>
          </cell>
          <cell r="L1510">
            <v>50</v>
          </cell>
          <cell r="M1510">
            <v>8.3000000000000007</v>
          </cell>
          <cell r="N1510">
            <v>65</v>
          </cell>
          <cell r="O1510" t="str">
            <v>F(105°C)</v>
          </cell>
          <cell r="P1510" t="str">
            <v>270°</v>
          </cell>
          <cell r="Q1510" t="str">
            <v>-</v>
          </cell>
          <cell r="R1510" t="str">
            <v>-</v>
          </cell>
          <cell r="S1510" t="str">
            <v>-</v>
          </cell>
          <cell r="T1510" t="str">
            <v>-</v>
          </cell>
          <cell r="U1510" t="str">
            <v>-</v>
          </cell>
          <cell r="V1510" t="str">
            <v>D</v>
          </cell>
          <cell r="W1510" t="str">
            <v>-</v>
          </cell>
          <cell r="X1510" t="str">
            <v>CLP PG VG 220 = -20° + 80°</v>
          </cell>
          <cell r="Y1510" t="str">
            <v>R77/II2GDEDRN112M4/3D/KCC/AL</v>
          </cell>
          <cell r="Z1510" t="str">
            <v>SEW</v>
          </cell>
          <cell r="AB1510" t="str">
            <v>ATEX22</v>
          </cell>
          <cell r="AF1510">
            <v>78</v>
          </cell>
          <cell r="AG1510" t="str">
            <v>EDRN112M4</v>
          </cell>
          <cell r="AH1510" t="str">
            <v>R77-EDRN112M4270-X</v>
          </cell>
        </row>
        <row r="1511">
          <cell r="A1511" t="str">
            <v>MR001507</v>
          </cell>
          <cell r="B1511" t="str">
            <v>MR</v>
          </cell>
          <cell r="C1511">
            <v>18.5</v>
          </cell>
          <cell r="D1511">
            <v>101</v>
          </cell>
          <cell r="E1511" t="str">
            <v>R97</v>
          </cell>
          <cell r="F1511">
            <v>1740</v>
          </cell>
          <cell r="G1511">
            <v>14.62</v>
          </cell>
          <cell r="H1511">
            <v>1.1499999999999999</v>
          </cell>
          <cell r="I1511" t="str">
            <v>M4</v>
          </cell>
          <cell r="J1511" t="str">
            <v>IE3</v>
          </cell>
          <cell r="K1511">
            <v>400</v>
          </cell>
          <cell r="L1511">
            <v>50</v>
          </cell>
          <cell r="M1511">
            <v>35</v>
          </cell>
          <cell r="N1511">
            <v>65</v>
          </cell>
          <cell r="O1511" t="str">
            <v>F(105°C)</v>
          </cell>
          <cell r="P1511" t="str">
            <v>270°</v>
          </cell>
          <cell r="Q1511" t="str">
            <v>-</v>
          </cell>
          <cell r="R1511" t="str">
            <v>-</v>
          </cell>
          <cell r="S1511" t="str">
            <v>-</v>
          </cell>
          <cell r="T1511" t="str">
            <v>-</v>
          </cell>
          <cell r="U1511" t="str">
            <v>-</v>
          </cell>
          <cell r="V1511" t="str">
            <v>D</v>
          </cell>
          <cell r="W1511" t="str">
            <v>-</v>
          </cell>
          <cell r="X1511" t="str">
            <v>CLP PG VG 220 = -20° + 80°</v>
          </cell>
          <cell r="Y1511" t="str">
            <v>R97/II2GDEDRN180M4/3D/AL/C</v>
          </cell>
          <cell r="Z1511" t="str">
            <v>SEW</v>
          </cell>
          <cell r="AB1511" t="str">
            <v>ATEX22</v>
          </cell>
          <cell r="AF1511">
            <v>101</v>
          </cell>
          <cell r="AG1511" t="str">
            <v>EDRN180M4</v>
          </cell>
          <cell r="AH1511" t="str">
            <v>R97-EDRN180M4270-X</v>
          </cell>
        </row>
        <row r="1512">
          <cell r="A1512" t="str">
            <v>MR001508</v>
          </cell>
          <cell r="B1512" t="str">
            <v>MR</v>
          </cell>
          <cell r="C1512">
            <v>15</v>
          </cell>
          <cell r="D1512">
            <v>59</v>
          </cell>
          <cell r="E1512" t="str">
            <v>FA97</v>
          </cell>
          <cell r="F1512">
            <v>2420</v>
          </cell>
          <cell r="G1512">
            <v>24.92</v>
          </cell>
          <cell r="H1512">
            <v>1.75</v>
          </cell>
          <cell r="I1512" t="str">
            <v>M1</v>
          </cell>
          <cell r="J1512" t="str">
            <v>IE3</v>
          </cell>
          <cell r="K1512">
            <v>400</v>
          </cell>
          <cell r="L1512">
            <v>50</v>
          </cell>
          <cell r="M1512">
            <v>29.5</v>
          </cell>
          <cell r="N1512">
            <v>65</v>
          </cell>
          <cell r="O1512" t="str">
            <v>F(105°C)</v>
          </cell>
          <cell r="P1512" t="str">
            <v>270°</v>
          </cell>
          <cell r="Q1512" t="str">
            <v>-</v>
          </cell>
          <cell r="R1512" t="str">
            <v>-</v>
          </cell>
          <cell r="S1512" t="str">
            <v>-</v>
          </cell>
          <cell r="T1512" t="str">
            <v>-</v>
          </cell>
          <cell r="U1512" t="str">
            <v>G</v>
          </cell>
          <cell r="V1512" t="str">
            <v>D</v>
          </cell>
          <cell r="W1512" t="str">
            <v>YES</v>
          </cell>
          <cell r="X1512" t="str">
            <v>CLP PG VG 220 = -20° + 80°</v>
          </cell>
          <cell r="Y1512" t="str">
            <v>FA97/G/II2GDEDRN160L4/3D/AL</v>
          </cell>
          <cell r="Z1512" t="str">
            <v>SEW</v>
          </cell>
          <cell r="AB1512" t="str">
            <v>ATEX22</v>
          </cell>
          <cell r="AF1512">
            <v>59</v>
          </cell>
          <cell r="AG1512" t="str">
            <v>EDRN160L4</v>
          </cell>
          <cell r="AH1512" t="str">
            <v>FA97G-EDRN160L4270-X</v>
          </cell>
        </row>
        <row r="1513">
          <cell r="A1513" t="str">
            <v>MR001509</v>
          </cell>
          <cell r="B1513" t="str">
            <v>MR</v>
          </cell>
          <cell r="C1513">
            <v>1.1000000000000001</v>
          </cell>
          <cell r="D1513">
            <v>71</v>
          </cell>
          <cell r="E1513" t="str">
            <v>FA37</v>
          </cell>
          <cell r="F1513">
            <v>149</v>
          </cell>
          <cell r="G1513">
            <v>20.57</v>
          </cell>
          <cell r="H1513">
            <v>1.35</v>
          </cell>
          <cell r="I1513" t="str">
            <v>M1</v>
          </cell>
          <cell r="J1513" t="str">
            <v>IE3</v>
          </cell>
          <cell r="K1513">
            <v>400</v>
          </cell>
          <cell r="L1513">
            <v>50</v>
          </cell>
          <cell r="M1513">
            <v>2.5499999999999998</v>
          </cell>
          <cell r="N1513" t="str">
            <v>-</v>
          </cell>
          <cell r="O1513" t="str">
            <v>F(105°C)</v>
          </cell>
          <cell r="P1513" t="str">
            <v>270°</v>
          </cell>
          <cell r="Q1513" t="str">
            <v>TF</v>
          </cell>
          <cell r="R1513" t="str">
            <v>V(VE)</v>
          </cell>
          <cell r="S1513" t="str">
            <v>-</v>
          </cell>
          <cell r="T1513" t="str">
            <v>-</v>
          </cell>
          <cell r="U1513" t="str">
            <v>G</v>
          </cell>
          <cell r="V1513" t="str">
            <v>FC+R</v>
          </cell>
          <cell r="W1513" t="str">
            <v>YES</v>
          </cell>
          <cell r="X1513" t="str">
            <v>CLP HC VG 150 = -40° + 40°</v>
          </cell>
          <cell r="Y1513" t="str">
            <v>FA37/G DRN90S4 /TF/V</v>
          </cell>
          <cell r="Z1513" t="str">
            <v>SEW</v>
          </cell>
          <cell r="AB1513" t="str">
            <v>-</v>
          </cell>
          <cell r="AF1513">
            <v>71</v>
          </cell>
          <cell r="AG1513" t="str">
            <v>DRN90S4</v>
          </cell>
          <cell r="AH1513" t="str">
            <v>FA37G-DRN90S4270-X#</v>
          </cell>
        </row>
        <row r="1514">
          <cell r="A1514" t="str">
            <v>MR001510</v>
          </cell>
          <cell r="B1514" t="str">
            <v>MR</v>
          </cell>
          <cell r="C1514">
            <v>0.75</v>
          </cell>
          <cell r="D1514">
            <v>163</v>
          </cell>
          <cell r="E1514" t="str">
            <v>KA37</v>
          </cell>
          <cell r="F1514">
            <v>44</v>
          </cell>
          <cell r="G1514">
            <v>8.91</v>
          </cell>
          <cell r="H1514">
            <v>3.6</v>
          </cell>
          <cell r="I1514" t="str">
            <v>M1A</v>
          </cell>
          <cell r="J1514" t="str">
            <v>IE3</v>
          </cell>
          <cell r="K1514">
            <v>415</v>
          </cell>
          <cell r="L1514">
            <v>50</v>
          </cell>
          <cell r="M1514">
            <v>1.7</v>
          </cell>
          <cell r="N1514">
            <v>55</v>
          </cell>
          <cell r="O1514" t="str">
            <v>F(105°C)</v>
          </cell>
          <cell r="P1514" t="str">
            <v>180°</v>
          </cell>
          <cell r="Q1514" t="str">
            <v>-</v>
          </cell>
          <cell r="R1514" t="str">
            <v>-</v>
          </cell>
          <cell r="S1514" t="str">
            <v>-</v>
          </cell>
          <cell r="T1514" t="str">
            <v>-</v>
          </cell>
          <cell r="U1514" t="str">
            <v>T</v>
          </cell>
          <cell r="V1514" t="str">
            <v>D</v>
          </cell>
          <cell r="W1514" t="str">
            <v>-</v>
          </cell>
          <cell r="X1514" t="str">
            <v>CLP VG 220 = -15° + 40°</v>
          </cell>
          <cell r="Y1514" t="str">
            <v>KA37/T DRN80M4</v>
          </cell>
          <cell r="Z1514" t="str">
            <v>SEW</v>
          </cell>
          <cell r="AB1514" t="str">
            <v>-</v>
          </cell>
          <cell r="AF1514">
            <v>163</v>
          </cell>
          <cell r="AG1514" t="str">
            <v>DRN80M4</v>
          </cell>
          <cell r="AH1514" t="str">
            <v>KA37T-DRN80M4A180-X</v>
          </cell>
        </row>
        <row r="1515">
          <cell r="A1515" t="str">
            <v>MR001511</v>
          </cell>
          <cell r="B1515" t="str">
            <v>MR</v>
          </cell>
          <cell r="C1515">
            <v>1.1000000000000001</v>
          </cell>
          <cell r="D1515">
            <v>21</v>
          </cell>
          <cell r="E1515" t="str">
            <v>KA67</v>
          </cell>
          <cell r="F1515">
            <v>500</v>
          </cell>
          <cell r="G1515">
            <v>68.95</v>
          </cell>
          <cell r="H1515">
            <v>1.65</v>
          </cell>
          <cell r="I1515" t="str">
            <v>M1A</v>
          </cell>
          <cell r="J1515" t="str">
            <v>IE3</v>
          </cell>
          <cell r="K1515" t="str">
            <v>230/400</v>
          </cell>
          <cell r="L1515">
            <v>50</v>
          </cell>
          <cell r="M1515" t="str">
            <v>4,45/2,55</v>
          </cell>
          <cell r="N1515">
            <v>55</v>
          </cell>
          <cell r="O1515" t="str">
            <v>F(105°C)</v>
          </cell>
          <cell r="P1515" t="str">
            <v>270°</v>
          </cell>
          <cell r="Q1515" t="str">
            <v>-</v>
          </cell>
          <cell r="R1515" t="str">
            <v>-</v>
          </cell>
          <cell r="S1515" t="str">
            <v>-</v>
          </cell>
          <cell r="T1515" t="str">
            <v>-</v>
          </cell>
          <cell r="U1515" t="str">
            <v>T</v>
          </cell>
          <cell r="V1515" t="str">
            <v>D</v>
          </cell>
          <cell r="W1515" t="str">
            <v>-</v>
          </cell>
          <cell r="X1515" t="str">
            <v>CLP HC VG 220 = -20° + 60°</v>
          </cell>
          <cell r="Y1515" t="str">
            <v>KA67/T/II2DG EDRN90S4/3D/KCC/AL</v>
          </cell>
          <cell r="Z1515" t="str">
            <v>SEW</v>
          </cell>
          <cell r="AB1515" t="str">
            <v>ATEX22</v>
          </cell>
          <cell r="AF1515">
            <v>21</v>
          </cell>
          <cell r="AG1515" t="str">
            <v>EDRN90S4</v>
          </cell>
          <cell r="AH1515" t="str">
            <v>KA67T-EDRN90S4A270-X</v>
          </cell>
        </row>
        <row r="1516">
          <cell r="A1516" t="str">
            <v>MR001512</v>
          </cell>
          <cell r="B1516" t="str">
            <v>MR</v>
          </cell>
          <cell r="C1516">
            <v>2.2000000000000002</v>
          </cell>
          <cell r="D1516">
            <v>95</v>
          </cell>
          <cell r="E1516" t="str">
            <v>KA67</v>
          </cell>
          <cell r="F1516">
            <v>220</v>
          </cell>
          <cell r="G1516">
            <v>15.95</v>
          </cell>
          <cell r="H1516">
            <v>2.7</v>
          </cell>
          <cell r="I1516" t="str">
            <v>M1A</v>
          </cell>
          <cell r="J1516" t="str">
            <v>IE3</v>
          </cell>
          <cell r="K1516" t="str">
            <v>230/400</v>
          </cell>
          <cell r="L1516">
            <v>50</v>
          </cell>
          <cell r="M1516" t="str">
            <v>8,3/4,75</v>
          </cell>
          <cell r="N1516">
            <v>55</v>
          </cell>
          <cell r="O1516" t="str">
            <v>F(105°C)</v>
          </cell>
          <cell r="P1516" t="str">
            <v>270°</v>
          </cell>
          <cell r="Q1516" t="str">
            <v>-</v>
          </cell>
          <cell r="R1516" t="str">
            <v>-</v>
          </cell>
          <cell r="S1516" t="str">
            <v>-</v>
          </cell>
          <cell r="T1516" t="str">
            <v>-</v>
          </cell>
          <cell r="U1516" t="str">
            <v>-</v>
          </cell>
          <cell r="V1516" t="str">
            <v>D</v>
          </cell>
          <cell r="W1516" t="str">
            <v>-</v>
          </cell>
          <cell r="X1516" t="str">
            <v>CLP HC VG 220 = -20° + 60°</v>
          </cell>
          <cell r="Y1516" t="str">
            <v>KA67/II2DG EDRN100LS4/3D/KCC/AL</v>
          </cell>
          <cell r="Z1516" t="str">
            <v>SEW</v>
          </cell>
          <cell r="AB1516" t="str">
            <v>ATEX22</v>
          </cell>
          <cell r="AF1516">
            <v>95</v>
          </cell>
          <cell r="AG1516" t="str">
            <v>EDRN100LS4</v>
          </cell>
          <cell r="AH1516" t="str">
            <v>KA67-EDRN100LS4A270-X</v>
          </cell>
        </row>
        <row r="1517">
          <cell r="A1517" t="str">
            <v>MR001513</v>
          </cell>
          <cell r="B1517" t="str">
            <v>MR</v>
          </cell>
          <cell r="C1517">
            <v>7.5</v>
          </cell>
          <cell r="D1517">
            <v>66</v>
          </cell>
          <cell r="E1517" t="str">
            <v>K87</v>
          </cell>
          <cell r="F1517">
            <v>1090</v>
          </cell>
          <cell r="G1517">
            <v>22.41</v>
          </cell>
          <cell r="H1517">
            <v>1.7</v>
          </cell>
          <cell r="I1517" t="str">
            <v>M4B</v>
          </cell>
          <cell r="J1517" t="str">
            <v>IE3</v>
          </cell>
          <cell r="K1517" t="str">
            <v>400/690</v>
          </cell>
          <cell r="L1517">
            <v>50</v>
          </cell>
          <cell r="M1517" t="str">
            <v>15,2/8,8</v>
          </cell>
          <cell r="N1517">
            <v>55</v>
          </cell>
          <cell r="O1517" t="str">
            <v>F(105°C)</v>
          </cell>
          <cell r="P1517" t="str">
            <v>270°</v>
          </cell>
          <cell r="Q1517" t="str">
            <v>TF</v>
          </cell>
          <cell r="R1517" t="str">
            <v>-</v>
          </cell>
          <cell r="S1517" t="str">
            <v>-</v>
          </cell>
          <cell r="T1517" t="str">
            <v>-</v>
          </cell>
          <cell r="U1517" t="str">
            <v>-</v>
          </cell>
          <cell r="V1517" t="str">
            <v>D</v>
          </cell>
          <cell r="W1517" t="str">
            <v>-</v>
          </cell>
          <cell r="X1517" t="str">
            <v>CLP HC VG 220 = -20° + 60°</v>
          </cell>
          <cell r="Y1517" t="str">
            <v>K87/II2DG EDRN132M4/3D/TF/AL/C</v>
          </cell>
          <cell r="Z1517" t="str">
            <v>SEW</v>
          </cell>
          <cell r="AB1517" t="str">
            <v>ATEX22</v>
          </cell>
          <cell r="AF1517">
            <v>66</v>
          </cell>
          <cell r="AG1517" t="str">
            <v>EDRN132M4</v>
          </cell>
          <cell r="AH1517" t="str">
            <v>K87-EDRN132M4B270-X</v>
          </cell>
        </row>
        <row r="1518">
          <cell r="A1518" t="str">
            <v>MR001514</v>
          </cell>
          <cell r="B1518" t="str">
            <v>MR</v>
          </cell>
          <cell r="C1518">
            <v>2.2000000000000002</v>
          </cell>
          <cell r="D1518" t="str">
            <v>8,8-44</v>
          </cell>
          <cell r="E1518" t="str">
            <v>R77</v>
          </cell>
          <cell r="F1518" t="str">
            <v>620-415</v>
          </cell>
          <cell r="G1518">
            <v>43.26</v>
          </cell>
          <cell r="I1518" t="str">
            <v>M1</v>
          </cell>
          <cell r="J1518" t="str">
            <v>IE3</v>
          </cell>
          <cell r="K1518" t="str">
            <v>220-330/380-400</v>
          </cell>
          <cell r="L1518">
            <v>50</v>
          </cell>
          <cell r="M1518" t="str">
            <v>7,2/4,15</v>
          </cell>
          <cell r="N1518">
            <v>65</v>
          </cell>
          <cell r="O1518" t="str">
            <v>B(80°C)</v>
          </cell>
          <cell r="P1518" t="str">
            <v>270°</v>
          </cell>
          <cell r="Q1518" t="str">
            <v>-</v>
          </cell>
          <cell r="R1518" t="str">
            <v>-</v>
          </cell>
          <cell r="S1518" t="str">
            <v>-</v>
          </cell>
          <cell r="T1518" t="str">
            <v>-</v>
          </cell>
          <cell r="U1518" t="str">
            <v>-</v>
          </cell>
          <cell r="V1518" t="str">
            <v>D</v>
          </cell>
          <cell r="W1518" t="str">
            <v>-</v>
          </cell>
          <cell r="X1518" t="str">
            <v>CLP PG VG 220 = -20° + 80°</v>
          </cell>
          <cell r="Y1518" t="str">
            <v>R77 D26B DRN100L4/DH</v>
          </cell>
          <cell r="Z1518" t="str">
            <v>SEW</v>
          </cell>
          <cell r="AB1518" t="str">
            <v>-</v>
          </cell>
          <cell r="AF1518" t="e">
            <v>#VALUE!</v>
          </cell>
          <cell r="AG1518" t="str">
            <v>DRN100LS4</v>
          </cell>
          <cell r="AH1518" t="str">
            <v>R77-DRN100LS4270-X</v>
          </cell>
        </row>
        <row r="1519">
          <cell r="A1519" t="str">
            <v>MR001515</v>
          </cell>
          <cell r="B1519" t="str">
            <v>MR</v>
          </cell>
          <cell r="C1519">
            <v>0.37</v>
          </cell>
          <cell r="D1519">
            <v>9.9</v>
          </cell>
          <cell r="E1519" t="str">
            <v>RF47</v>
          </cell>
          <cell r="F1519">
            <v>300</v>
          </cell>
          <cell r="G1519">
            <v>139.99</v>
          </cell>
          <cell r="H1519">
            <v>0.85</v>
          </cell>
          <cell r="I1519" t="str">
            <v>M1</v>
          </cell>
          <cell r="J1519" t="str">
            <v>IE1</v>
          </cell>
          <cell r="K1519" t="str">
            <v>220-242/380-420</v>
          </cell>
          <cell r="L1519">
            <v>50</v>
          </cell>
          <cell r="M1519" t="str">
            <v>2,15/1,24</v>
          </cell>
          <cell r="N1519">
            <v>65</v>
          </cell>
          <cell r="O1519" t="str">
            <v>F(105°C)</v>
          </cell>
          <cell r="P1519" t="str">
            <v>270°</v>
          </cell>
          <cell r="Q1519" t="str">
            <v>-</v>
          </cell>
          <cell r="R1519" t="str">
            <v>-</v>
          </cell>
          <cell r="S1519" t="str">
            <v>-</v>
          </cell>
          <cell r="T1519" t="str">
            <v>-</v>
          </cell>
          <cell r="U1519" t="str">
            <v>-</v>
          </cell>
          <cell r="V1519" t="str">
            <v>D</v>
          </cell>
          <cell r="W1519" t="str">
            <v>-</v>
          </cell>
          <cell r="X1519" t="str">
            <v>CLP VG 220 = -15° + 40°</v>
          </cell>
          <cell r="Y1519" t="str">
            <v>RF47 DRS71S4</v>
          </cell>
          <cell r="Z1519" t="str">
            <v>SEW</v>
          </cell>
          <cell r="AB1519" t="str">
            <v>-</v>
          </cell>
          <cell r="AF1519">
            <v>9.9</v>
          </cell>
          <cell r="AG1519" t="str">
            <v>DRN71M4</v>
          </cell>
          <cell r="AH1519" t="str">
            <v>RF47-DRN71M4270-X</v>
          </cell>
        </row>
        <row r="1520">
          <cell r="A1520" t="str">
            <v>MR001516</v>
          </cell>
          <cell r="B1520" t="str">
            <v>MR</v>
          </cell>
          <cell r="C1520">
            <v>3</v>
          </cell>
          <cell r="D1520">
            <v>19</v>
          </cell>
          <cell r="E1520" t="str">
            <v>K77</v>
          </cell>
          <cell r="F1520">
            <v>1540</v>
          </cell>
          <cell r="G1520">
            <v>78.069999999999993</v>
          </cell>
          <cell r="H1520">
            <v>1</v>
          </cell>
          <cell r="I1520" t="str">
            <v>M1A</v>
          </cell>
          <cell r="J1520" t="str">
            <v>IE3</v>
          </cell>
          <cell r="K1520" t="str">
            <v>220-230/380-400</v>
          </cell>
          <cell r="L1520">
            <v>50</v>
          </cell>
          <cell r="M1520" t="str">
            <v>11,5/6,6</v>
          </cell>
          <cell r="N1520">
            <v>65</v>
          </cell>
          <cell r="O1520" t="str">
            <v>F(105°C)</v>
          </cell>
          <cell r="P1520" t="str">
            <v>270°</v>
          </cell>
          <cell r="Q1520" t="str">
            <v>-</v>
          </cell>
          <cell r="R1520" t="str">
            <v>-</v>
          </cell>
          <cell r="S1520" t="str">
            <v>-</v>
          </cell>
          <cell r="T1520" t="str">
            <v>-</v>
          </cell>
          <cell r="U1520" t="str">
            <v>-</v>
          </cell>
          <cell r="V1520" t="str">
            <v>D</v>
          </cell>
          <cell r="W1520" t="str">
            <v>-</v>
          </cell>
          <cell r="X1520" t="str">
            <v>CLP VG 220 = -15° + 40°</v>
          </cell>
          <cell r="Y1520" t="str">
            <v>K77DRN100L4</v>
          </cell>
          <cell r="Z1520" t="str">
            <v>SEW</v>
          </cell>
          <cell r="AB1520" t="str">
            <v>-</v>
          </cell>
          <cell r="AF1520">
            <v>19</v>
          </cell>
          <cell r="AG1520" t="str">
            <v>DRN100L4</v>
          </cell>
          <cell r="AH1520" t="str">
            <v>K77-DRN100L4A270-X</v>
          </cell>
        </row>
        <row r="1521">
          <cell r="A1521" t="str">
            <v>MR001517</v>
          </cell>
          <cell r="B1521" t="str">
            <v>MR</v>
          </cell>
          <cell r="C1521">
            <v>4</v>
          </cell>
          <cell r="D1521">
            <v>50</v>
          </cell>
          <cell r="E1521" t="str">
            <v>R77</v>
          </cell>
          <cell r="F1521">
            <v>755</v>
          </cell>
          <cell r="G1521">
            <v>29</v>
          </cell>
          <cell r="H1521">
            <v>1.1000000000000001</v>
          </cell>
          <cell r="I1521" t="str">
            <v>M1</v>
          </cell>
          <cell r="J1521" t="str">
            <v>IE3</v>
          </cell>
          <cell r="K1521" t="str">
            <v>220-230/380-400</v>
          </cell>
          <cell r="L1521">
            <v>50</v>
          </cell>
          <cell r="M1521" t="str">
            <v>12,4/7,2</v>
          </cell>
          <cell r="N1521">
            <v>65</v>
          </cell>
          <cell r="O1521" t="str">
            <v>F(105°C)</v>
          </cell>
          <cell r="P1521" t="str">
            <v>270°</v>
          </cell>
          <cell r="Q1521" t="str">
            <v>-</v>
          </cell>
          <cell r="R1521" t="str">
            <v>-</v>
          </cell>
          <cell r="S1521" t="str">
            <v>-</v>
          </cell>
          <cell r="T1521" t="str">
            <v>-</v>
          </cell>
          <cell r="U1521" t="str">
            <v>-</v>
          </cell>
          <cell r="V1521" t="str">
            <v>D</v>
          </cell>
          <cell r="W1521" t="str">
            <v>-</v>
          </cell>
          <cell r="X1521" t="str">
            <v>CLP VG 220 = -15° + 40°</v>
          </cell>
          <cell r="Y1521" t="str">
            <v>R77DRN112M4</v>
          </cell>
          <cell r="Z1521" t="str">
            <v>SEW</v>
          </cell>
          <cell r="AB1521" t="str">
            <v>-</v>
          </cell>
          <cell r="AF1521">
            <v>50</v>
          </cell>
          <cell r="AG1521" t="str">
            <v>DRN112M4</v>
          </cell>
          <cell r="AH1521" t="str">
            <v>R77-DRN112M4270-X</v>
          </cell>
        </row>
        <row r="1522">
          <cell r="A1522" t="str">
            <v>MR001518</v>
          </cell>
          <cell r="B1522" t="str">
            <v>MR</v>
          </cell>
          <cell r="C1522">
            <v>18.5</v>
          </cell>
          <cell r="D1522">
            <v>39</v>
          </cell>
          <cell r="E1522" t="str">
            <v>R137</v>
          </cell>
          <cell r="F1522">
            <v>4500</v>
          </cell>
          <cell r="G1522">
            <v>37.65</v>
          </cell>
          <cell r="H1522">
            <v>1.8</v>
          </cell>
          <cell r="I1522" t="str">
            <v>From M1 to M5 - 25°</v>
          </cell>
          <cell r="J1522" t="str">
            <v>IE3</v>
          </cell>
          <cell r="K1522" t="str">
            <v>400/690</v>
          </cell>
          <cell r="L1522">
            <v>50</v>
          </cell>
          <cell r="M1522" t="str">
            <v>33,5/19,3</v>
          </cell>
          <cell r="N1522">
            <v>55</v>
          </cell>
          <cell r="O1522" t="str">
            <v>F(105°C)</v>
          </cell>
          <cell r="P1522" t="str">
            <v>270°</v>
          </cell>
          <cell r="Q1522" t="str">
            <v>-</v>
          </cell>
          <cell r="R1522" t="str">
            <v>-</v>
          </cell>
          <cell r="S1522" t="str">
            <v>-</v>
          </cell>
          <cell r="T1522" t="str">
            <v>-</v>
          </cell>
          <cell r="U1522" t="str">
            <v>-</v>
          </cell>
          <cell r="V1522" t="str">
            <v>SS</v>
          </cell>
          <cell r="W1522" t="str">
            <v>-</v>
          </cell>
          <cell r="X1522" t="str">
            <v>CLP VG 220 = -15° + 40°</v>
          </cell>
          <cell r="Y1522" t="str">
            <v>R137DRN180M4</v>
          </cell>
          <cell r="Z1522" t="str">
            <v>SEW</v>
          </cell>
          <cell r="AB1522" t="str">
            <v>-</v>
          </cell>
          <cell r="AF1522">
            <v>39</v>
          </cell>
          <cell r="AG1522" t="str">
            <v>DRN180M4</v>
          </cell>
          <cell r="AH1522" t="str">
            <v>R137-DRN180M4270-X</v>
          </cell>
        </row>
        <row r="1523">
          <cell r="A1523" t="str">
            <v>MR001519</v>
          </cell>
          <cell r="B1523" t="str">
            <v>MR</v>
          </cell>
          <cell r="C1523">
            <v>9.1999999999999993</v>
          </cell>
          <cell r="D1523">
            <v>42</v>
          </cell>
          <cell r="E1523" t="str">
            <v>R107</v>
          </cell>
          <cell r="F1523">
            <v>2100</v>
          </cell>
          <cell r="G1523">
            <v>35.26</v>
          </cell>
          <cell r="H1523">
            <v>2</v>
          </cell>
          <cell r="I1523" t="str">
            <v>From M1 to M5 - 5°</v>
          </cell>
          <cell r="J1523" t="str">
            <v>IE3</v>
          </cell>
          <cell r="K1523" t="str">
            <v>400/690</v>
          </cell>
          <cell r="L1523">
            <v>50</v>
          </cell>
          <cell r="M1523" t="str">
            <v>18,7/10,8</v>
          </cell>
          <cell r="N1523">
            <v>55</v>
          </cell>
          <cell r="O1523" t="str">
            <v>F(105°C)</v>
          </cell>
          <cell r="P1523" t="str">
            <v>270°</v>
          </cell>
          <cell r="Q1523" t="str">
            <v>-</v>
          </cell>
          <cell r="R1523" t="str">
            <v>-</v>
          </cell>
          <cell r="S1523" t="str">
            <v>-</v>
          </cell>
          <cell r="T1523" t="str">
            <v>-</v>
          </cell>
          <cell r="U1523" t="str">
            <v>-</v>
          </cell>
          <cell r="V1523" t="str">
            <v>SS</v>
          </cell>
          <cell r="W1523" t="str">
            <v>-</v>
          </cell>
          <cell r="X1523" t="str">
            <v>CLP VG 220 = -15° + 40°</v>
          </cell>
          <cell r="Y1523" t="str">
            <v>R107DRN132L4</v>
          </cell>
          <cell r="Z1523" t="str">
            <v>SEW</v>
          </cell>
          <cell r="AB1523" t="str">
            <v>-</v>
          </cell>
          <cell r="AF1523">
            <v>42</v>
          </cell>
          <cell r="AG1523" t="str">
            <v>DRN132L4</v>
          </cell>
          <cell r="AH1523" t="str">
            <v>R107-DRN132L4270-X</v>
          </cell>
        </row>
        <row r="1524">
          <cell r="A1524" t="str">
            <v>MR001520</v>
          </cell>
          <cell r="B1524" t="str">
            <v>MR</v>
          </cell>
          <cell r="C1524">
            <v>22</v>
          </cell>
          <cell r="D1524">
            <v>15</v>
          </cell>
          <cell r="E1524" t="str">
            <v>KH157</v>
          </cell>
          <cell r="F1524">
            <v>14200</v>
          </cell>
          <cell r="G1524">
            <v>100.22</v>
          </cell>
          <cell r="H1524">
            <v>1.4</v>
          </cell>
          <cell r="I1524" t="str">
            <v>From M1A to M2A - 25°</v>
          </cell>
          <cell r="J1524" t="str">
            <v>IE3</v>
          </cell>
          <cell r="K1524" t="str">
            <v>400/690</v>
          </cell>
          <cell r="L1524">
            <v>50</v>
          </cell>
          <cell r="M1524" t="str">
            <v>38,5/22,5</v>
          </cell>
          <cell r="N1524">
            <v>55</v>
          </cell>
          <cell r="O1524" t="str">
            <v>F(105°C)</v>
          </cell>
          <cell r="P1524" t="str">
            <v>270°</v>
          </cell>
          <cell r="Q1524" t="str">
            <v>TF</v>
          </cell>
          <cell r="R1524" t="str">
            <v>V(VE)</v>
          </cell>
          <cell r="S1524" t="str">
            <v>-</v>
          </cell>
          <cell r="T1524" t="str">
            <v>-</v>
          </cell>
          <cell r="U1524" t="str">
            <v>-</v>
          </cell>
          <cell r="V1524" t="str">
            <v>FC</v>
          </cell>
          <cell r="W1524" t="str">
            <v>-</v>
          </cell>
          <cell r="X1524" t="str">
            <v>CLP VG 220 = -15° + 40°</v>
          </cell>
          <cell r="Y1524" t="str">
            <v>KH157DRN180L4 /TF/V</v>
          </cell>
          <cell r="Z1524" t="str">
            <v>SEW</v>
          </cell>
          <cell r="AB1524" t="str">
            <v>-</v>
          </cell>
          <cell r="AE1524" t="str">
            <v>Work frequency 30Hz for 0,4m/sec</v>
          </cell>
          <cell r="AF1524">
            <v>15</v>
          </cell>
          <cell r="AG1524" t="str">
            <v>DRN180L4</v>
          </cell>
          <cell r="AH1524" t="str">
            <v>KH157-DRN180L4A270-X#</v>
          </cell>
        </row>
        <row r="1525">
          <cell r="A1525" t="str">
            <v>MR001521</v>
          </cell>
          <cell r="B1525" t="str">
            <v>MR</v>
          </cell>
          <cell r="C1525">
            <v>22</v>
          </cell>
          <cell r="D1525">
            <v>15</v>
          </cell>
          <cell r="E1525" t="str">
            <v>KH157</v>
          </cell>
          <cell r="F1525">
            <v>14200</v>
          </cell>
          <cell r="G1525">
            <v>100.22</v>
          </cell>
          <cell r="H1525">
            <v>1.4</v>
          </cell>
          <cell r="I1525" t="str">
            <v>From M1B to M2B - 25°</v>
          </cell>
          <cell r="J1525" t="str">
            <v>IE3</v>
          </cell>
          <cell r="K1525" t="str">
            <v>400/690</v>
          </cell>
          <cell r="L1525">
            <v>50</v>
          </cell>
          <cell r="M1525" t="str">
            <v>38,5/22,5</v>
          </cell>
          <cell r="N1525">
            <v>55</v>
          </cell>
          <cell r="O1525" t="str">
            <v>F(105°C)</v>
          </cell>
          <cell r="P1525" t="str">
            <v>270°</v>
          </cell>
          <cell r="Q1525" t="str">
            <v>TF</v>
          </cell>
          <cell r="R1525" t="str">
            <v>V(VE)</v>
          </cell>
          <cell r="S1525" t="str">
            <v>-</v>
          </cell>
          <cell r="T1525" t="str">
            <v>-</v>
          </cell>
          <cell r="U1525" t="str">
            <v>-</v>
          </cell>
          <cell r="V1525" t="str">
            <v>FC</v>
          </cell>
          <cell r="W1525" t="str">
            <v>-</v>
          </cell>
          <cell r="X1525" t="str">
            <v>CLP VG 220 = -15° + 40°</v>
          </cell>
          <cell r="Y1525" t="str">
            <v>KH157DRN180L4 /TF/V</v>
          </cell>
          <cell r="Z1525" t="str">
            <v>SEW</v>
          </cell>
          <cell r="AB1525" t="str">
            <v>-</v>
          </cell>
          <cell r="AE1525" t="str">
            <v>Work frequency 30HZ for 0,4m/sec</v>
          </cell>
          <cell r="AF1525">
            <v>15</v>
          </cell>
          <cell r="AG1525" t="str">
            <v>DRN180L4</v>
          </cell>
          <cell r="AH1525" t="str">
            <v>KH157-DRN180L4B270-X#</v>
          </cell>
        </row>
        <row r="1526">
          <cell r="A1526" t="str">
            <v>MR001522</v>
          </cell>
          <cell r="B1526" t="str">
            <v>MR</v>
          </cell>
          <cell r="C1526">
            <v>22</v>
          </cell>
          <cell r="D1526">
            <v>15</v>
          </cell>
          <cell r="E1526" t="str">
            <v>KH157</v>
          </cell>
          <cell r="F1526">
            <v>14200</v>
          </cell>
          <cell r="G1526">
            <v>100.22</v>
          </cell>
          <cell r="H1526">
            <v>1.4</v>
          </cell>
          <cell r="I1526" t="str">
            <v>M1B</v>
          </cell>
          <cell r="J1526" t="str">
            <v>IE3</v>
          </cell>
          <cell r="K1526" t="str">
            <v>400/690</v>
          </cell>
          <cell r="L1526">
            <v>50</v>
          </cell>
          <cell r="M1526" t="str">
            <v>38,5/22,5</v>
          </cell>
          <cell r="N1526">
            <v>55</v>
          </cell>
          <cell r="O1526" t="str">
            <v>F(105°C)</v>
          </cell>
          <cell r="P1526" t="str">
            <v>270°</v>
          </cell>
          <cell r="Q1526" t="str">
            <v>TF</v>
          </cell>
          <cell r="R1526" t="str">
            <v>V(VE)</v>
          </cell>
          <cell r="S1526" t="str">
            <v>-</v>
          </cell>
          <cell r="T1526" t="str">
            <v>-</v>
          </cell>
          <cell r="U1526" t="str">
            <v>-</v>
          </cell>
          <cell r="V1526" t="str">
            <v>FC</v>
          </cell>
          <cell r="W1526" t="str">
            <v>-</v>
          </cell>
          <cell r="X1526" t="str">
            <v>CLP VG 220 = -15° + 40°</v>
          </cell>
          <cell r="Y1526" t="str">
            <v>KH157DRN180L4 /TF/V</v>
          </cell>
          <cell r="Z1526" t="str">
            <v>SEW</v>
          </cell>
          <cell r="AB1526" t="str">
            <v>-</v>
          </cell>
          <cell r="AE1526" t="str">
            <v>Work frequency 30HZ for 0,4m/sec</v>
          </cell>
          <cell r="AF1526">
            <v>15</v>
          </cell>
          <cell r="AG1526" t="str">
            <v>DRN180L4</v>
          </cell>
          <cell r="AH1526" t="str">
            <v>KH157-DRN180L4B270-X#</v>
          </cell>
        </row>
        <row r="1527">
          <cell r="A1527" t="str">
            <v>MR001523</v>
          </cell>
          <cell r="B1527" t="str">
            <v>MR</v>
          </cell>
          <cell r="C1527">
            <v>7.5</v>
          </cell>
          <cell r="D1527">
            <v>63</v>
          </cell>
          <cell r="E1527" t="str">
            <v>R87</v>
          </cell>
          <cell r="F1527">
            <v>1140</v>
          </cell>
          <cell r="G1527">
            <v>23.4</v>
          </cell>
          <cell r="H1527">
            <v>1.35</v>
          </cell>
          <cell r="I1527" t="str">
            <v>From M1 to M4 - 10°</v>
          </cell>
          <cell r="J1527" t="str">
            <v>IE3</v>
          </cell>
          <cell r="K1527" t="str">
            <v>400/690</v>
          </cell>
          <cell r="L1527">
            <v>50</v>
          </cell>
          <cell r="M1527" t="str">
            <v>15,2/8,8</v>
          </cell>
          <cell r="N1527">
            <v>55</v>
          </cell>
          <cell r="O1527" t="str">
            <v>F(105°C)</v>
          </cell>
          <cell r="P1527" t="str">
            <v>270°</v>
          </cell>
          <cell r="Q1527" t="str">
            <v>-</v>
          </cell>
          <cell r="R1527" t="str">
            <v>-</v>
          </cell>
          <cell r="S1527" t="str">
            <v>-</v>
          </cell>
          <cell r="T1527" t="str">
            <v>-</v>
          </cell>
          <cell r="U1527" t="str">
            <v>-</v>
          </cell>
          <cell r="V1527" t="str">
            <v>D</v>
          </cell>
          <cell r="W1527" t="str">
            <v>-</v>
          </cell>
          <cell r="X1527" t="str">
            <v>CLP VG 220 = -15° + 40°</v>
          </cell>
          <cell r="Y1527" t="str">
            <v>R87DRN132M4</v>
          </cell>
          <cell r="Z1527" t="str">
            <v>SEW</v>
          </cell>
          <cell r="AB1527" t="str">
            <v>-</v>
          </cell>
          <cell r="AF1527">
            <v>63</v>
          </cell>
          <cell r="AG1527" t="str">
            <v>DRN132M4</v>
          </cell>
          <cell r="AH1527" t="str">
            <v>R87-DRN132M4270-X</v>
          </cell>
        </row>
        <row r="1528">
          <cell r="A1528" t="str">
            <v>MR001524</v>
          </cell>
          <cell r="B1528" t="str">
            <v>MR</v>
          </cell>
          <cell r="C1528">
            <v>7.5</v>
          </cell>
          <cell r="D1528">
            <v>21</v>
          </cell>
          <cell r="E1528" t="str">
            <v>KH97</v>
          </cell>
          <cell r="F1528">
            <v>3440</v>
          </cell>
          <cell r="G1528">
            <v>70.540000000000006</v>
          </cell>
          <cell r="H1528">
            <v>1.25</v>
          </cell>
          <cell r="I1528" t="str">
            <v>M1B</v>
          </cell>
          <cell r="J1528" t="str">
            <v>IE3</v>
          </cell>
          <cell r="K1528" t="str">
            <v>400/690</v>
          </cell>
          <cell r="L1528">
            <v>50</v>
          </cell>
          <cell r="M1528" t="str">
            <v>15,2/8,8</v>
          </cell>
          <cell r="N1528">
            <v>55</v>
          </cell>
          <cell r="O1528" t="str">
            <v>F(105°C)</v>
          </cell>
          <cell r="P1528" t="str">
            <v>270°</v>
          </cell>
          <cell r="Q1528" t="str">
            <v>TF</v>
          </cell>
          <cell r="R1528" t="str">
            <v>V(VE)</v>
          </cell>
          <cell r="S1528" t="str">
            <v>-</v>
          </cell>
          <cell r="T1528" t="str">
            <v>-</v>
          </cell>
          <cell r="U1528" t="str">
            <v>-</v>
          </cell>
          <cell r="V1528" t="str">
            <v>FC</v>
          </cell>
          <cell r="W1528" t="str">
            <v>-</v>
          </cell>
          <cell r="X1528" t="str">
            <v>CLP VG 220 = -15° + 40°</v>
          </cell>
          <cell r="Y1528" t="str">
            <v>KH97DRN132M4 /TF/V</v>
          </cell>
          <cell r="Z1528" t="str">
            <v>SEW</v>
          </cell>
          <cell r="AB1528" t="str">
            <v>-</v>
          </cell>
          <cell r="AE1528" t="str">
            <v>Work frequency 33Hz for 0,4m/sec</v>
          </cell>
          <cell r="AF1528">
            <v>21</v>
          </cell>
          <cell r="AG1528" t="str">
            <v>DRN132M4</v>
          </cell>
          <cell r="AH1528" t="str">
            <v>KH97-DRN132M4B270-X#</v>
          </cell>
        </row>
        <row r="1529">
          <cell r="A1529" t="str">
            <v>MR001525</v>
          </cell>
          <cell r="B1529" t="str">
            <v>MR</v>
          </cell>
          <cell r="C1529">
            <v>7.5</v>
          </cell>
          <cell r="D1529">
            <v>57</v>
          </cell>
          <cell r="E1529" t="str">
            <v>KH77</v>
          </cell>
          <cell r="F1529">
            <v>1240</v>
          </cell>
          <cell r="G1529">
            <v>25.62</v>
          </cell>
          <cell r="H1529">
            <v>1.25</v>
          </cell>
          <cell r="I1529" t="str">
            <v>M4A</v>
          </cell>
          <cell r="J1529" t="str">
            <v>IE3</v>
          </cell>
          <cell r="K1529" t="str">
            <v>400/690</v>
          </cell>
          <cell r="L1529">
            <v>50</v>
          </cell>
          <cell r="M1529" t="str">
            <v>15,2/8,8</v>
          </cell>
          <cell r="N1529">
            <v>55</v>
          </cell>
          <cell r="O1529" t="str">
            <v>F(105°C)</v>
          </cell>
          <cell r="P1529" t="str">
            <v>270°</v>
          </cell>
          <cell r="Q1529" t="str">
            <v>-</v>
          </cell>
          <cell r="R1529" t="str">
            <v>-</v>
          </cell>
          <cell r="S1529" t="str">
            <v>-</v>
          </cell>
          <cell r="T1529" t="str">
            <v>-</v>
          </cell>
          <cell r="U1529" t="str">
            <v>T</v>
          </cell>
          <cell r="V1529" t="str">
            <v>SS</v>
          </cell>
          <cell r="W1529" t="str">
            <v>-</v>
          </cell>
          <cell r="X1529" t="str">
            <v>CLP VG 220 = -15° + 40°</v>
          </cell>
          <cell r="Y1529" t="str">
            <v>KH77/T DRN132M4</v>
          </cell>
          <cell r="Z1529" t="str">
            <v>SEW</v>
          </cell>
          <cell r="AB1529" t="str">
            <v>-</v>
          </cell>
          <cell r="AF1529">
            <v>57</v>
          </cell>
          <cell r="AG1529" t="str">
            <v>DRN132M4</v>
          </cell>
          <cell r="AH1529" t="str">
            <v>KH77T-DRN132M4A270-X</v>
          </cell>
        </row>
        <row r="1530">
          <cell r="A1530" t="str">
            <v>MR001526</v>
          </cell>
          <cell r="B1530" t="str">
            <v>MR</v>
          </cell>
          <cell r="C1530">
            <v>3</v>
          </cell>
          <cell r="D1530">
            <v>75</v>
          </cell>
          <cell r="E1530" t="str">
            <v>KH67</v>
          </cell>
          <cell r="F1530">
            <v>375</v>
          </cell>
          <cell r="G1530">
            <v>19.3</v>
          </cell>
          <cell r="H1530">
            <v>2</v>
          </cell>
          <cell r="I1530" t="str">
            <v>M4A</v>
          </cell>
          <cell r="J1530" t="str">
            <v>IE3</v>
          </cell>
          <cell r="K1530" t="str">
            <v>230/400</v>
          </cell>
          <cell r="L1530">
            <v>50</v>
          </cell>
          <cell r="M1530" t="str">
            <v>11,2/6,4</v>
          </cell>
          <cell r="N1530">
            <v>55</v>
          </cell>
          <cell r="O1530" t="str">
            <v>F(105°C)</v>
          </cell>
          <cell r="P1530" t="str">
            <v>270°</v>
          </cell>
          <cell r="Q1530" t="str">
            <v>-</v>
          </cell>
          <cell r="R1530" t="str">
            <v>-</v>
          </cell>
          <cell r="S1530" t="str">
            <v>-</v>
          </cell>
          <cell r="T1530" t="str">
            <v>-</v>
          </cell>
          <cell r="U1530" t="str">
            <v>T</v>
          </cell>
          <cell r="V1530" t="str">
            <v>D</v>
          </cell>
          <cell r="W1530" t="str">
            <v>-</v>
          </cell>
          <cell r="X1530" t="str">
            <v>CLP VG 220 = -15° + 40°</v>
          </cell>
          <cell r="Y1530" t="str">
            <v>KH67/T DRN100L4</v>
          </cell>
          <cell r="Z1530" t="str">
            <v>SEW</v>
          </cell>
          <cell r="AB1530" t="str">
            <v>-</v>
          </cell>
          <cell r="AF1530">
            <v>75</v>
          </cell>
          <cell r="AG1530" t="str">
            <v>DRN100L4</v>
          </cell>
          <cell r="AH1530" t="str">
            <v>KH67T-DRN100L4A270-X</v>
          </cell>
        </row>
        <row r="1531">
          <cell r="A1531" t="str">
            <v>MR001527</v>
          </cell>
          <cell r="B1531" t="str">
            <v>MR</v>
          </cell>
          <cell r="C1531">
            <v>3</v>
          </cell>
          <cell r="D1531">
            <v>75</v>
          </cell>
          <cell r="E1531" t="str">
            <v>KH67</v>
          </cell>
          <cell r="F1531">
            <v>375</v>
          </cell>
          <cell r="G1531">
            <v>19.3</v>
          </cell>
          <cell r="H1531">
            <v>2</v>
          </cell>
          <cell r="I1531" t="str">
            <v>M4B</v>
          </cell>
          <cell r="J1531" t="str">
            <v>IE3</v>
          </cell>
          <cell r="K1531" t="str">
            <v>230/400</v>
          </cell>
          <cell r="L1531">
            <v>50</v>
          </cell>
          <cell r="M1531" t="str">
            <v>11,2/6,4</v>
          </cell>
          <cell r="N1531">
            <v>55</v>
          </cell>
          <cell r="O1531" t="str">
            <v>F(105°C)</v>
          </cell>
          <cell r="P1531" t="str">
            <v>270°</v>
          </cell>
          <cell r="Q1531" t="str">
            <v>-</v>
          </cell>
          <cell r="R1531" t="str">
            <v>-</v>
          </cell>
          <cell r="S1531" t="str">
            <v>Free rotation CW</v>
          </cell>
          <cell r="T1531" t="str">
            <v>-</v>
          </cell>
          <cell r="U1531" t="str">
            <v>T</v>
          </cell>
          <cell r="V1531" t="str">
            <v>D</v>
          </cell>
          <cell r="W1531" t="str">
            <v>-</v>
          </cell>
          <cell r="X1531" t="str">
            <v>CLP VG 220 = -15° + 40°</v>
          </cell>
          <cell r="Y1531" t="str">
            <v>KH67/T DRN100L4 /RS</v>
          </cell>
          <cell r="Z1531" t="str">
            <v>SEW</v>
          </cell>
          <cell r="AB1531" t="str">
            <v>-</v>
          </cell>
          <cell r="AF1531">
            <v>75</v>
          </cell>
          <cell r="AG1531" t="str">
            <v>DRN100L4</v>
          </cell>
          <cell r="AH1531" t="str">
            <v>KH67T-DRN100L4B270-X</v>
          </cell>
        </row>
        <row r="1532">
          <cell r="A1532" t="str">
            <v>MR001528</v>
          </cell>
          <cell r="B1532" t="str">
            <v>MR</v>
          </cell>
          <cell r="C1532">
            <v>3</v>
          </cell>
          <cell r="D1532">
            <v>75</v>
          </cell>
          <cell r="E1532" t="str">
            <v>KH67</v>
          </cell>
          <cell r="F1532">
            <v>375</v>
          </cell>
          <cell r="G1532">
            <v>19.3</v>
          </cell>
          <cell r="H1532">
            <v>2</v>
          </cell>
          <cell r="I1532" t="str">
            <v>M4B</v>
          </cell>
          <cell r="J1532" t="str">
            <v>IE3</v>
          </cell>
          <cell r="K1532" t="str">
            <v>230/400</v>
          </cell>
          <cell r="L1532">
            <v>50</v>
          </cell>
          <cell r="M1532" t="str">
            <v>11,2/6,4</v>
          </cell>
          <cell r="N1532">
            <v>55</v>
          </cell>
          <cell r="O1532" t="str">
            <v>F(105°C)</v>
          </cell>
          <cell r="P1532" t="str">
            <v>270°</v>
          </cell>
          <cell r="Q1532" t="str">
            <v>-</v>
          </cell>
          <cell r="R1532" t="str">
            <v>-</v>
          </cell>
          <cell r="S1532" t="str">
            <v>-</v>
          </cell>
          <cell r="T1532" t="str">
            <v>-</v>
          </cell>
          <cell r="U1532" t="str">
            <v>T</v>
          </cell>
          <cell r="V1532" t="str">
            <v>D</v>
          </cell>
          <cell r="W1532" t="str">
            <v>-</v>
          </cell>
          <cell r="X1532" t="str">
            <v>CLP VG 220 = -15° + 40°</v>
          </cell>
          <cell r="Y1532" t="str">
            <v>KH67/T DRN100L4</v>
          </cell>
          <cell r="Z1532" t="str">
            <v>SEW</v>
          </cell>
          <cell r="AB1532" t="str">
            <v>-</v>
          </cell>
          <cell r="AF1532">
            <v>75</v>
          </cell>
          <cell r="AG1532" t="str">
            <v>DRN100L4</v>
          </cell>
          <cell r="AH1532" t="str">
            <v>KH67T-DRN100L4B270-X</v>
          </cell>
        </row>
        <row r="1533">
          <cell r="A1533" t="str">
            <v>MR001529</v>
          </cell>
          <cell r="B1533" t="str">
            <v>MR</v>
          </cell>
          <cell r="C1533">
            <v>15</v>
          </cell>
          <cell r="D1533">
            <v>13</v>
          </cell>
          <cell r="E1533" t="str">
            <v>KH127</v>
          </cell>
          <cell r="F1533">
            <v>10700</v>
          </cell>
          <cell r="G1533">
            <v>110.18</v>
          </cell>
          <cell r="H1533">
            <v>1.2</v>
          </cell>
          <cell r="I1533" t="str">
            <v>From M1B to M2B - 35°</v>
          </cell>
          <cell r="J1533" t="str">
            <v>IE3</v>
          </cell>
          <cell r="K1533" t="str">
            <v>400/690</v>
          </cell>
          <cell r="L1533">
            <v>50</v>
          </cell>
          <cell r="M1533" t="str">
            <v>29/16,7</v>
          </cell>
          <cell r="N1533">
            <v>55</v>
          </cell>
          <cell r="O1533" t="str">
            <v>F(105°C)</v>
          </cell>
          <cell r="P1533" t="str">
            <v>270°</v>
          </cell>
          <cell r="Q1533" t="str">
            <v>-</v>
          </cell>
          <cell r="R1533" t="str">
            <v>-</v>
          </cell>
          <cell r="S1533" t="str">
            <v>-</v>
          </cell>
          <cell r="T1533" t="str">
            <v>-</v>
          </cell>
          <cell r="U1533" t="str">
            <v>-</v>
          </cell>
          <cell r="V1533" t="str">
            <v>SS</v>
          </cell>
          <cell r="W1533" t="str">
            <v>-</v>
          </cell>
          <cell r="X1533" t="str">
            <v>CLP VG 220 = -15° + 40°</v>
          </cell>
          <cell r="Y1533" t="str">
            <v>KH127DRN160L4</v>
          </cell>
          <cell r="Z1533" t="str">
            <v>SEW</v>
          </cell>
          <cell r="AB1533" t="str">
            <v>-</v>
          </cell>
          <cell r="AF1533">
            <v>13</v>
          </cell>
          <cell r="AG1533" t="str">
            <v>DRN160L4</v>
          </cell>
          <cell r="AH1533" t="str">
            <v>KH127-DRN160L4B270-X</v>
          </cell>
        </row>
        <row r="1534">
          <cell r="A1534" t="str">
            <v>MR001530</v>
          </cell>
          <cell r="B1534" t="str">
            <v>MR</v>
          </cell>
          <cell r="C1534">
            <v>15</v>
          </cell>
          <cell r="D1534">
            <v>13</v>
          </cell>
          <cell r="E1534" t="str">
            <v>KH127</v>
          </cell>
          <cell r="F1534">
            <v>10700</v>
          </cell>
          <cell r="G1534">
            <v>110.18</v>
          </cell>
          <cell r="H1534">
            <v>1.2</v>
          </cell>
          <cell r="I1534" t="str">
            <v>From M1A to M2A - 35°</v>
          </cell>
          <cell r="J1534" t="str">
            <v>IE3</v>
          </cell>
          <cell r="K1534" t="str">
            <v>400/690</v>
          </cell>
          <cell r="L1534">
            <v>50</v>
          </cell>
          <cell r="M1534" t="str">
            <v>29/16,7</v>
          </cell>
          <cell r="N1534">
            <v>55</v>
          </cell>
          <cell r="O1534" t="str">
            <v>F(105°C)</v>
          </cell>
          <cell r="P1534" t="str">
            <v>270°</v>
          </cell>
          <cell r="Q1534" t="str">
            <v>-</v>
          </cell>
          <cell r="R1534" t="str">
            <v>-</v>
          </cell>
          <cell r="S1534" t="str">
            <v>-</v>
          </cell>
          <cell r="T1534" t="str">
            <v>-</v>
          </cell>
          <cell r="U1534" t="str">
            <v>-</v>
          </cell>
          <cell r="V1534" t="str">
            <v>SS</v>
          </cell>
          <cell r="W1534" t="str">
            <v>-</v>
          </cell>
          <cell r="X1534" t="str">
            <v>CLP VG 220 = -15° + 40°</v>
          </cell>
          <cell r="Y1534" t="str">
            <v>KH127DRN160L4</v>
          </cell>
          <cell r="Z1534" t="str">
            <v>SEW</v>
          </cell>
          <cell r="AB1534" t="str">
            <v>-</v>
          </cell>
          <cell r="AF1534">
            <v>13</v>
          </cell>
          <cell r="AG1534" t="str">
            <v>DRN160L4</v>
          </cell>
          <cell r="AH1534" t="str">
            <v>KH127-DRN160L4A270-X</v>
          </cell>
        </row>
        <row r="1535">
          <cell r="A1535" t="str">
            <v>MR001531</v>
          </cell>
          <cell r="B1535" t="str">
            <v>MR</v>
          </cell>
          <cell r="C1535">
            <v>9.1999999999999993</v>
          </cell>
          <cell r="D1535">
            <v>53</v>
          </cell>
          <cell r="E1535" t="str">
            <v>R97</v>
          </cell>
          <cell r="F1535">
            <v>1640</v>
          </cell>
          <cell r="G1535">
            <v>27.58</v>
          </cell>
          <cell r="H1535">
            <v>1.6</v>
          </cell>
          <cell r="I1535" t="str">
            <v>From M5 to M2 - 10°</v>
          </cell>
          <cell r="J1535" t="str">
            <v>IE3</v>
          </cell>
          <cell r="K1535" t="str">
            <v>400/690</v>
          </cell>
          <cell r="L1535">
            <v>50</v>
          </cell>
          <cell r="M1535" t="str">
            <v>18,7/10,8</v>
          </cell>
          <cell r="N1535">
            <v>55</v>
          </cell>
          <cell r="O1535" t="str">
            <v>F(105°C)</v>
          </cell>
          <cell r="P1535" t="str">
            <v>270°</v>
          </cell>
          <cell r="Q1535" t="str">
            <v>-</v>
          </cell>
          <cell r="R1535" t="str">
            <v>-</v>
          </cell>
          <cell r="S1535" t="str">
            <v>-</v>
          </cell>
          <cell r="T1535" t="str">
            <v>-</v>
          </cell>
          <cell r="U1535" t="str">
            <v>-</v>
          </cell>
          <cell r="V1535" t="str">
            <v>D</v>
          </cell>
          <cell r="W1535" t="str">
            <v>-</v>
          </cell>
          <cell r="X1535" t="str">
            <v>CLP VG 220 = -15° + 40°</v>
          </cell>
          <cell r="Y1535" t="str">
            <v>R97DRN132L4</v>
          </cell>
          <cell r="Z1535" t="str">
            <v>SEW</v>
          </cell>
          <cell r="AB1535" t="str">
            <v>-</v>
          </cell>
          <cell r="AF1535">
            <v>53</v>
          </cell>
          <cell r="AG1535" t="str">
            <v>DRN132L4</v>
          </cell>
          <cell r="AH1535" t="str">
            <v>R97-DRN132L4270-X</v>
          </cell>
        </row>
        <row r="1536">
          <cell r="A1536" t="str">
            <v>MR001532</v>
          </cell>
          <cell r="B1536" t="str">
            <v>MR</v>
          </cell>
          <cell r="C1536">
            <v>7.5</v>
          </cell>
          <cell r="D1536">
            <v>21</v>
          </cell>
          <cell r="E1536" t="str">
            <v>KH97</v>
          </cell>
          <cell r="F1536">
            <v>3440</v>
          </cell>
          <cell r="G1536">
            <v>70.540000000000006</v>
          </cell>
          <cell r="H1536">
            <v>1.25</v>
          </cell>
          <cell r="I1536" t="str">
            <v>From M1B to M2B - 30°</v>
          </cell>
          <cell r="J1536" t="str">
            <v>IE3</v>
          </cell>
          <cell r="K1536" t="str">
            <v>400/690</v>
          </cell>
          <cell r="L1536">
            <v>50</v>
          </cell>
          <cell r="M1536" t="str">
            <v>15,2/8,8</v>
          </cell>
          <cell r="N1536">
            <v>55</v>
          </cell>
          <cell r="O1536" t="str">
            <v>F(105°C)</v>
          </cell>
          <cell r="P1536" t="str">
            <v>270°</v>
          </cell>
          <cell r="Q1536" t="str">
            <v>TF</v>
          </cell>
          <cell r="R1536" t="str">
            <v>V(VE)</v>
          </cell>
          <cell r="S1536" t="str">
            <v>-</v>
          </cell>
          <cell r="T1536" t="str">
            <v>-</v>
          </cell>
          <cell r="U1536" t="str">
            <v>-</v>
          </cell>
          <cell r="V1536" t="str">
            <v>FC</v>
          </cell>
          <cell r="W1536" t="str">
            <v>-</v>
          </cell>
          <cell r="X1536" t="str">
            <v>CLP VG 220 = -15° + 40°</v>
          </cell>
          <cell r="Y1536" t="str">
            <v>KH97DRN132M4 /TF/V</v>
          </cell>
          <cell r="Z1536" t="str">
            <v>SEW</v>
          </cell>
          <cell r="AB1536" t="str">
            <v>-</v>
          </cell>
          <cell r="AE1536" t="str">
            <v>Work frequency 33Hz for 0,4m/sec</v>
          </cell>
          <cell r="AF1536">
            <v>21</v>
          </cell>
          <cell r="AG1536" t="str">
            <v>DRN132M4</v>
          </cell>
          <cell r="AH1536" t="str">
            <v>KH97-DRN132M4B270-X#</v>
          </cell>
        </row>
        <row r="1537">
          <cell r="A1537" t="str">
            <v>MR001533</v>
          </cell>
          <cell r="B1537" t="str">
            <v>MR</v>
          </cell>
          <cell r="C1537">
            <v>7.5</v>
          </cell>
          <cell r="D1537">
            <v>63</v>
          </cell>
          <cell r="E1537" t="str">
            <v>R87</v>
          </cell>
          <cell r="F1537">
            <v>1140</v>
          </cell>
          <cell r="G1537">
            <v>23.4</v>
          </cell>
          <cell r="H1537">
            <v>1.35</v>
          </cell>
          <cell r="I1537" t="str">
            <v>From M1 to M2 - 10°</v>
          </cell>
          <cell r="J1537" t="str">
            <v>IE3</v>
          </cell>
          <cell r="K1537" t="str">
            <v>400/690</v>
          </cell>
          <cell r="L1537">
            <v>50</v>
          </cell>
          <cell r="M1537" t="str">
            <v>15,2/8,8</v>
          </cell>
          <cell r="N1537">
            <v>55</v>
          </cell>
          <cell r="O1537" t="str">
            <v>F(105°C)</v>
          </cell>
          <cell r="P1537" t="str">
            <v>270°</v>
          </cell>
          <cell r="Q1537" t="str">
            <v>-</v>
          </cell>
          <cell r="R1537" t="str">
            <v>-</v>
          </cell>
          <cell r="S1537" t="str">
            <v>-</v>
          </cell>
          <cell r="T1537" t="str">
            <v>-</v>
          </cell>
          <cell r="U1537" t="str">
            <v>-</v>
          </cell>
          <cell r="V1537" t="str">
            <v>D</v>
          </cell>
          <cell r="W1537" t="str">
            <v>-</v>
          </cell>
          <cell r="X1537" t="str">
            <v>CLP VG 220 = -15° + 40°</v>
          </cell>
          <cell r="Y1537" t="str">
            <v>R87DRN132M4</v>
          </cell>
          <cell r="Z1537" t="str">
            <v>SEW</v>
          </cell>
          <cell r="AB1537" t="str">
            <v>-</v>
          </cell>
          <cell r="AF1537">
            <v>63</v>
          </cell>
          <cell r="AG1537" t="str">
            <v>DRN132M4</v>
          </cell>
          <cell r="AH1537" t="str">
            <v>R87-DRN132M4270-X</v>
          </cell>
        </row>
        <row r="1538">
          <cell r="A1538" t="str">
            <v>MR001534</v>
          </cell>
          <cell r="B1538" t="str">
            <v>MR</v>
          </cell>
          <cell r="C1538">
            <v>22</v>
          </cell>
          <cell r="D1538">
            <v>12</v>
          </cell>
          <cell r="E1538" t="str">
            <v>KH157</v>
          </cell>
          <cell r="F1538">
            <v>17400</v>
          </cell>
          <cell r="G1538">
            <v>122.39</v>
          </cell>
          <cell r="H1538">
            <v>1.1499999999999999</v>
          </cell>
          <cell r="I1538" t="str">
            <v>From M1A to M2A - 35°</v>
          </cell>
          <cell r="J1538" t="str">
            <v>IE3</v>
          </cell>
          <cell r="K1538" t="str">
            <v>400/690</v>
          </cell>
          <cell r="L1538">
            <v>50</v>
          </cell>
          <cell r="M1538" t="str">
            <v>38,5/22,5</v>
          </cell>
          <cell r="N1538">
            <v>55</v>
          </cell>
          <cell r="O1538" t="str">
            <v>F(105°C)</v>
          </cell>
          <cell r="P1538" t="str">
            <v>270°</v>
          </cell>
          <cell r="Q1538" t="str">
            <v>TF</v>
          </cell>
          <cell r="R1538" t="str">
            <v>V(VE)</v>
          </cell>
          <cell r="S1538" t="str">
            <v>-</v>
          </cell>
          <cell r="T1538" t="str">
            <v>-</v>
          </cell>
          <cell r="U1538" t="str">
            <v>-</v>
          </cell>
          <cell r="V1538" t="str">
            <v>FC</v>
          </cell>
          <cell r="W1538" t="str">
            <v>-</v>
          </cell>
          <cell r="X1538" t="str">
            <v>CLP VG 220 = -15° + 40°</v>
          </cell>
          <cell r="Y1538" t="str">
            <v>KH157DRN180L4 /TF/V</v>
          </cell>
          <cell r="Z1538" t="str">
            <v>SEW</v>
          </cell>
          <cell r="AB1538" t="str">
            <v>-</v>
          </cell>
          <cell r="AF1538">
            <v>12</v>
          </cell>
          <cell r="AG1538" t="str">
            <v>DRN180L4</v>
          </cell>
          <cell r="AH1538" t="str">
            <v>KH157-DRN180L4A270-X#</v>
          </cell>
        </row>
        <row r="1539">
          <cell r="A1539" t="str">
            <v>MR001535</v>
          </cell>
          <cell r="B1539" t="str">
            <v>MR</v>
          </cell>
          <cell r="C1539">
            <v>22</v>
          </cell>
          <cell r="D1539">
            <v>12</v>
          </cell>
          <cell r="E1539" t="str">
            <v>KH157</v>
          </cell>
          <cell r="F1539">
            <v>17400</v>
          </cell>
          <cell r="G1539">
            <v>122.39</v>
          </cell>
          <cell r="H1539">
            <v>1.1499999999999999</v>
          </cell>
          <cell r="I1539" t="str">
            <v>From M1B to M2B - 35°</v>
          </cell>
          <cell r="J1539" t="str">
            <v>IE3</v>
          </cell>
          <cell r="K1539" t="str">
            <v>400/690</v>
          </cell>
          <cell r="L1539">
            <v>50</v>
          </cell>
          <cell r="M1539" t="str">
            <v>38,5/22,5</v>
          </cell>
          <cell r="N1539">
            <v>55</v>
          </cell>
          <cell r="O1539" t="str">
            <v>F(105°C)</v>
          </cell>
          <cell r="P1539" t="str">
            <v>270°</v>
          </cell>
          <cell r="Q1539" t="str">
            <v>TF</v>
          </cell>
          <cell r="R1539" t="str">
            <v>V(VE)</v>
          </cell>
          <cell r="S1539" t="str">
            <v>-</v>
          </cell>
          <cell r="T1539" t="str">
            <v>-</v>
          </cell>
          <cell r="U1539" t="str">
            <v>-</v>
          </cell>
          <cell r="V1539" t="str">
            <v>FC</v>
          </cell>
          <cell r="W1539" t="str">
            <v>-</v>
          </cell>
          <cell r="X1539" t="str">
            <v>CLP VG 220 = -15° + 40°</v>
          </cell>
          <cell r="Y1539" t="str">
            <v>KH157DRN180L4 /TF/V</v>
          </cell>
          <cell r="Z1539" t="str">
            <v>SEW</v>
          </cell>
          <cell r="AB1539" t="str">
            <v>-</v>
          </cell>
          <cell r="AF1539">
            <v>12</v>
          </cell>
          <cell r="AG1539" t="str">
            <v>DRN180L4</v>
          </cell>
          <cell r="AH1539" t="str">
            <v>KH157-DRN180L4B270-X#</v>
          </cell>
        </row>
        <row r="1540">
          <cell r="A1540" t="str">
            <v>MR001536</v>
          </cell>
          <cell r="B1540" t="str">
            <v>MR</v>
          </cell>
          <cell r="C1540">
            <v>15</v>
          </cell>
          <cell r="D1540">
            <v>13</v>
          </cell>
          <cell r="E1540" t="str">
            <v>KH127</v>
          </cell>
          <cell r="F1540">
            <v>10700</v>
          </cell>
          <cell r="G1540">
            <v>110.18</v>
          </cell>
          <cell r="H1540">
            <v>1.2</v>
          </cell>
          <cell r="I1540" t="str">
            <v>From M1B to M2B - 20°</v>
          </cell>
          <cell r="J1540" t="str">
            <v>IE3</v>
          </cell>
          <cell r="K1540" t="str">
            <v>400/690</v>
          </cell>
          <cell r="L1540">
            <v>50</v>
          </cell>
          <cell r="M1540" t="str">
            <v>29/16,7</v>
          </cell>
          <cell r="N1540">
            <v>55</v>
          </cell>
          <cell r="O1540" t="str">
            <v>F(105°C)</v>
          </cell>
          <cell r="P1540" t="str">
            <v>270°</v>
          </cell>
          <cell r="Q1540" t="str">
            <v>-</v>
          </cell>
          <cell r="R1540" t="str">
            <v>-</v>
          </cell>
          <cell r="S1540" t="str">
            <v>-</v>
          </cell>
          <cell r="T1540" t="str">
            <v>-</v>
          </cell>
          <cell r="U1540" t="str">
            <v>-</v>
          </cell>
          <cell r="V1540" t="str">
            <v>SS</v>
          </cell>
          <cell r="W1540" t="str">
            <v>-</v>
          </cell>
          <cell r="X1540" t="str">
            <v>CLP VG 220 = -15° + 40°</v>
          </cell>
          <cell r="Y1540" t="str">
            <v>KH127DRN160L4</v>
          </cell>
          <cell r="Z1540" t="str">
            <v>SEW</v>
          </cell>
          <cell r="AB1540" t="str">
            <v>-</v>
          </cell>
          <cell r="AF1540">
            <v>13</v>
          </cell>
          <cell r="AG1540" t="str">
            <v>DRN160L4</v>
          </cell>
          <cell r="AH1540" t="str">
            <v>KH127-DRN160L4B270-X</v>
          </cell>
        </row>
        <row r="1541">
          <cell r="A1541" t="str">
            <v>MR001537</v>
          </cell>
          <cell r="B1541" t="str">
            <v>MR</v>
          </cell>
          <cell r="C1541">
            <v>18.5</v>
          </cell>
          <cell r="D1541">
            <v>12</v>
          </cell>
          <cell r="E1541" t="str">
            <v>KH157</v>
          </cell>
          <cell r="F1541">
            <v>14600</v>
          </cell>
          <cell r="G1541">
            <v>122.39</v>
          </cell>
          <cell r="H1541">
            <v>1.35</v>
          </cell>
          <cell r="I1541" t="str">
            <v>From M1A to M2A - 30°</v>
          </cell>
          <cell r="J1541" t="str">
            <v>IE3</v>
          </cell>
          <cell r="K1541" t="str">
            <v>400/690</v>
          </cell>
          <cell r="L1541">
            <v>50</v>
          </cell>
          <cell r="M1541" t="str">
            <v>33,5/19,3</v>
          </cell>
          <cell r="N1541">
            <v>55</v>
          </cell>
          <cell r="O1541" t="str">
            <v>F(105°C)</v>
          </cell>
          <cell r="P1541" t="str">
            <v>270°</v>
          </cell>
          <cell r="Q1541" t="str">
            <v>-</v>
          </cell>
          <cell r="R1541" t="str">
            <v>-</v>
          </cell>
          <cell r="S1541" t="str">
            <v>-</v>
          </cell>
          <cell r="T1541" t="str">
            <v>-</v>
          </cell>
          <cell r="U1541" t="str">
            <v>-</v>
          </cell>
          <cell r="V1541" t="str">
            <v>SS</v>
          </cell>
          <cell r="W1541" t="str">
            <v>-</v>
          </cell>
          <cell r="X1541" t="str">
            <v>CLP VG 220 = -15° + 40°</v>
          </cell>
          <cell r="Y1541" t="str">
            <v>KH157DRN180M4</v>
          </cell>
          <cell r="Z1541" t="str">
            <v>SEW</v>
          </cell>
          <cell r="AB1541" t="str">
            <v>-</v>
          </cell>
          <cell r="AF1541">
            <v>12</v>
          </cell>
          <cell r="AG1541" t="str">
            <v>DRN180M4</v>
          </cell>
          <cell r="AH1541" t="str">
            <v>KH157-DRN180M4A270-X</v>
          </cell>
        </row>
        <row r="1542">
          <cell r="A1542" t="str">
            <v>MR001538</v>
          </cell>
          <cell r="B1542" t="str">
            <v>MR</v>
          </cell>
          <cell r="C1542">
            <v>18.5</v>
          </cell>
          <cell r="D1542">
            <v>12</v>
          </cell>
          <cell r="E1542" t="str">
            <v>KH157</v>
          </cell>
          <cell r="F1542">
            <v>14600</v>
          </cell>
          <cell r="G1542">
            <v>122.39</v>
          </cell>
          <cell r="H1542">
            <v>1.35</v>
          </cell>
          <cell r="I1542" t="str">
            <v>From M1B to M2B - 30°</v>
          </cell>
          <cell r="J1542" t="str">
            <v>IE3</v>
          </cell>
          <cell r="K1542" t="str">
            <v>400/690</v>
          </cell>
          <cell r="L1542">
            <v>50</v>
          </cell>
          <cell r="M1542" t="str">
            <v>33,5/19,3</v>
          </cell>
          <cell r="N1542">
            <v>55</v>
          </cell>
          <cell r="O1542" t="str">
            <v>F(105°C)</v>
          </cell>
          <cell r="P1542" t="str">
            <v>270°</v>
          </cell>
          <cell r="Q1542" t="str">
            <v>-</v>
          </cell>
          <cell r="R1542" t="str">
            <v>-</v>
          </cell>
          <cell r="S1542" t="str">
            <v>-</v>
          </cell>
          <cell r="T1542" t="str">
            <v>-</v>
          </cell>
          <cell r="U1542" t="str">
            <v>-</v>
          </cell>
          <cell r="V1542" t="str">
            <v>SS</v>
          </cell>
          <cell r="W1542" t="str">
            <v>-</v>
          </cell>
          <cell r="X1542" t="str">
            <v>CLP VG 220 = -15° + 40°</v>
          </cell>
          <cell r="Y1542" t="str">
            <v>KH157DRN180M4</v>
          </cell>
          <cell r="Z1542" t="str">
            <v>SEW</v>
          </cell>
          <cell r="AB1542" t="str">
            <v>-</v>
          </cell>
          <cell r="AF1542">
            <v>12</v>
          </cell>
          <cell r="AG1542" t="str">
            <v>DRN180M4</v>
          </cell>
          <cell r="AH1542" t="str">
            <v>KH157-DRN180M4B270-X</v>
          </cell>
        </row>
        <row r="1543">
          <cell r="A1543" t="str">
            <v>MR001539</v>
          </cell>
          <cell r="B1543" t="str">
            <v>MR</v>
          </cell>
          <cell r="C1543">
            <v>22</v>
          </cell>
          <cell r="D1543">
            <v>15</v>
          </cell>
          <cell r="E1543" t="str">
            <v>KH157</v>
          </cell>
          <cell r="F1543">
            <v>14200</v>
          </cell>
          <cell r="G1543">
            <v>100.22</v>
          </cell>
          <cell r="H1543">
            <v>1.4</v>
          </cell>
          <cell r="I1543" t="str">
            <v>From M1A to M2A - 30°</v>
          </cell>
          <cell r="J1543" t="str">
            <v>IE3</v>
          </cell>
          <cell r="K1543" t="str">
            <v>400/690</v>
          </cell>
          <cell r="L1543">
            <v>50</v>
          </cell>
          <cell r="M1543" t="str">
            <v>38,5/22,5</v>
          </cell>
          <cell r="N1543">
            <v>55</v>
          </cell>
          <cell r="O1543" t="str">
            <v>F(105°C)</v>
          </cell>
          <cell r="P1543" t="str">
            <v>270°</v>
          </cell>
          <cell r="Q1543" t="str">
            <v>-</v>
          </cell>
          <cell r="R1543" t="str">
            <v>-</v>
          </cell>
          <cell r="S1543" t="str">
            <v>-</v>
          </cell>
          <cell r="T1543" t="str">
            <v>-</v>
          </cell>
          <cell r="U1543" t="str">
            <v>-</v>
          </cell>
          <cell r="V1543" t="str">
            <v>SS</v>
          </cell>
          <cell r="W1543" t="str">
            <v>-</v>
          </cell>
          <cell r="X1543" t="str">
            <v>CLP VG 220 = -15° + 40°</v>
          </cell>
          <cell r="Y1543" t="str">
            <v>KH157DRN180L4</v>
          </cell>
          <cell r="Z1543" t="str">
            <v>SEW</v>
          </cell>
          <cell r="AB1543" t="str">
            <v>-</v>
          </cell>
          <cell r="AF1543">
            <v>15</v>
          </cell>
          <cell r="AG1543" t="str">
            <v>DRN180L4</v>
          </cell>
          <cell r="AH1543" t="str">
            <v>KH157-DRN180L4A270-X</v>
          </cell>
        </row>
        <row r="1544">
          <cell r="A1544" t="str">
            <v>MR001540</v>
          </cell>
          <cell r="B1544" t="str">
            <v>MR</v>
          </cell>
          <cell r="C1544">
            <v>22</v>
          </cell>
          <cell r="D1544">
            <v>15</v>
          </cell>
          <cell r="E1544" t="str">
            <v>KH157</v>
          </cell>
          <cell r="F1544">
            <v>14200</v>
          </cell>
          <cell r="G1544">
            <v>100.22</v>
          </cell>
          <cell r="H1544">
            <v>1.4</v>
          </cell>
          <cell r="I1544" t="str">
            <v>From M1B to M2B - 30°</v>
          </cell>
          <cell r="J1544" t="str">
            <v>IE3</v>
          </cell>
          <cell r="K1544" t="str">
            <v>400/690</v>
          </cell>
          <cell r="L1544">
            <v>50</v>
          </cell>
          <cell r="M1544" t="str">
            <v>38,5/22,5</v>
          </cell>
          <cell r="N1544">
            <v>55</v>
          </cell>
          <cell r="O1544" t="str">
            <v>F(105°C)</v>
          </cell>
          <cell r="P1544" t="str">
            <v>270°</v>
          </cell>
          <cell r="Q1544" t="str">
            <v>-</v>
          </cell>
          <cell r="R1544" t="str">
            <v>-</v>
          </cell>
          <cell r="S1544" t="str">
            <v>-</v>
          </cell>
          <cell r="T1544" t="str">
            <v>-</v>
          </cell>
          <cell r="U1544" t="str">
            <v>-</v>
          </cell>
          <cell r="V1544" t="str">
            <v>SS</v>
          </cell>
          <cell r="W1544" t="str">
            <v>-</v>
          </cell>
          <cell r="X1544" t="str">
            <v>CLP VG 220 = -15° + 40°</v>
          </cell>
          <cell r="Y1544" t="str">
            <v>KH157DRN180L4</v>
          </cell>
          <cell r="Z1544" t="str">
            <v>SEW</v>
          </cell>
          <cell r="AB1544" t="str">
            <v>-</v>
          </cell>
          <cell r="AF1544">
            <v>15</v>
          </cell>
          <cell r="AG1544" t="str">
            <v>DRN180L4</v>
          </cell>
          <cell r="AH1544" t="str">
            <v>KH157-DRN180L4B270-X</v>
          </cell>
        </row>
        <row r="1545">
          <cell r="A1545" t="str">
            <v>MR001541</v>
          </cell>
          <cell r="B1545" t="str">
            <v>MR</v>
          </cell>
          <cell r="C1545">
            <v>9.1999999999999993</v>
          </cell>
          <cell r="D1545">
            <v>15</v>
          </cell>
          <cell r="E1545" t="str">
            <v>KH107</v>
          </cell>
          <cell r="F1545">
            <v>6020</v>
          </cell>
          <cell r="G1545">
            <v>100.75</v>
          </cell>
          <cell r="H1545">
            <v>1.35</v>
          </cell>
          <cell r="I1545" t="str">
            <v>From M1A to M2A - 20°</v>
          </cell>
          <cell r="J1545" t="str">
            <v>IE3</v>
          </cell>
          <cell r="K1545" t="str">
            <v>400/690</v>
          </cell>
          <cell r="L1545">
            <v>50</v>
          </cell>
          <cell r="M1545" t="str">
            <v>18,7/10,8</v>
          </cell>
          <cell r="N1545">
            <v>55</v>
          </cell>
          <cell r="O1545" t="str">
            <v>F(105°C)</v>
          </cell>
          <cell r="P1545" t="str">
            <v>270°</v>
          </cell>
          <cell r="Q1545" t="str">
            <v>-</v>
          </cell>
          <cell r="R1545" t="str">
            <v>-</v>
          </cell>
          <cell r="S1545" t="str">
            <v>-</v>
          </cell>
          <cell r="T1545" t="str">
            <v>-</v>
          </cell>
          <cell r="U1545" t="str">
            <v>-</v>
          </cell>
          <cell r="V1545" t="str">
            <v>SS</v>
          </cell>
          <cell r="W1545" t="str">
            <v>-</v>
          </cell>
          <cell r="X1545" t="str">
            <v>CLP VG 220 = -15° + 40°</v>
          </cell>
          <cell r="Y1545" t="str">
            <v>KH107DRN132L4</v>
          </cell>
          <cell r="Z1545" t="str">
            <v>SEW</v>
          </cell>
          <cell r="AB1545" t="str">
            <v>-</v>
          </cell>
          <cell r="AF1545">
            <v>15</v>
          </cell>
          <cell r="AG1545" t="str">
            <v>DRN132L4</v>
          </cell>
          <cell r="AH1545" t="str">
            <v>KH107-DRN132L4A270-X</v>
          </cell>
        </row>
        <row r="1546">
          <cell r="A1546" t="str">
            <v>MR001542</v>
          </cell>
          <cell r="B1546" t="str">
            <v>MR</v>
          </cell>
          <cell r="C1546">
            <v>15</v>
          </cell>
          <cell r="D1546">
            <v>9.8000000000000007</v>
          </cell>
          <cell r="E1546" t="str">
            <v>KH157</v>
          </cell>
          <cell r="F1546">
            <v>14600</v>
          </cell>
          <cell r="G1546">
            <v>150.41</v>
          </cell>
          <cell r="H1546">
            <v>1.35</v>
          </cell>
          <cell r="I1546" t="str">
            <v>From M1A to M2A - 5°</v>
          </cell>
          <cell r="J1546" t="str">
            <v>IE3</v>
          </cell>
          <cell r="K1546" t="str">
            <v>400/690</v>
          </cell>
          <cell r="L1546">
            <v>50</v>
          </cell>
          <cell r="M1546" t="str">
            <v>29/16,7</v>
          </cell>
          <cell r="N1546">
            <v>55</v>
          </cell>
          <cell r="O1546" t="str">
            <v>F(105°C)</v>
          </cell>
          <cell r="P1546" t="str">
            <v>270°</v>
          </cell>
          <cell r="Q1546" t="str">
            <v>-</v>
          </cell>
          <cell r="R1546" t="str">
            <v>-</v>
          </cell>
          <cell r="S1546" t="str">
            <v>-</v>
          </cell>
          <cell r="T1546" t="str">
            <v>-</v>
          </cell>
          <cell r="U1546" t="str">
            <v>-</v>
          </cell>
          <cell r="V1546" t="str">
            <v>SS</v>
          </cell>
          <cell r="W1546" t="str">
            <v>-</v>
          </cell>
          <cell r="X1546" t="str">
            <v>CLP VG 220 = -15° + 40°</v>
          </cell>
          <cell r="Y1546" t="str">
            <v>KH157DRN160L4</v>
          </cell>
          <cell r="Z1546" t="str">
            <v>SEW</v>
          </cell>
          <cell r="AB1546" t="str">
            <v>-</v>
          </cell>
          <cell r="AF1546">
            <v>9.8000000000000007</v>
          </cell>
          <cell r="AG1546" t="str">
            <v>DRN160L4</v>
          </cell>
          <cell r="AH1546" t="str">
            <v>KH157-DRN160L4A270-X</v>
          </cell>
        </row>
        <row r="1547">
          <cell r="A1547" t="str">
            <v>MR001543</v>
          </cell>
          <cell r="B1547" t="str">
            <v>MR</v>
          </cell>
          <cell r="C1547">
            <v>15</v>
          </cell>
          <cell r="D1547">
            <v>9.8000000000000007</v>
          </cell>
          <cell r="E1547" t="str">
            <v>KH157</v>
          </cell>
          <cell r="F1547">
            <v>14600</v>
          </cell>
          <cell r="G1547">
            <v>150.41</v>
          </cell>
          <cell r="H1547">
            <v>1.35</v>
          </cell>
          <cell r="I1547" t="str">
            <v>From M1B to M2B - 5°</v>
          </cell>
          <cell r="J1547" t="str">
            <v>IE3</v>
          </cell>
          <cell r="K1547" t="str">
            <v>400/690</v>
          </cell>
          <cell r="L1547">
            <v>50</v>
          </cell>
          <cell r="M1547" t="str">
            <v>29/16,7</v>
          </cell>
          <cell r="N1547">
            <v>55</v>
          </cell>
          <cell r="O1547" t="str">
            <v>F(105°C)</v>
          </cell>
          <cell r="P1547" t="str">
            <v>270°</v>
          </cell>
          <cell r="Q1547" t="str">
            <v>-</v>
          </cell>
          <cell r="R1547" t="str">
            <v>-</v>
          </cell>
          <cell r="S1547" t="str">
            <v>-</v>
          </cell>
          <cell r="T1547" t="str">
            <v>-</v>
          </cell>
          <cell r="U1547" t="str">
            <v>-</v>
          </cell>
          <cell r="V1547" t="str">
            <v>SS</v>
          </cell>
          <cell r="W1547" t="str">
            <v>-</v>
          </cell>
          <cell r="X1547" t="str">
            <v>CLP VG 220 = -15° + 40°</v>
          </cell>
          <cell r="Y1547" t="str">
            <v>KH157DRN160L4</v>
          </cell>
          <cell r="Z1547" t="str">
            <v>SEW</v>
          </cell>
          <cell r="AB1547" t="str">
            <v>-</v>
          </cell>
          <cell r="AF1547">
            <v>9.8000000000000007</v>
          </cell>
          <cell r="AG1547" t="str">
            <v>DRN160L4</v>
          </cell>
          <cell r="AH1547" t="str">
            <v>KH157-DRN160L4B270-X</v>
          </cell>
        </row>
        <row r="1548">
          <cell r="A1548" t="str">
            <v>MR001544</v>
          </cell>
          <cell r="B1548" t="str">
            <v>MR</v>
          </cell>
          <cell r="C1548">
            <v>22</v>
          </cell>
          <cell r="D1548">
            <v>12</v>
          </cell>
          <cell r="E1548" t="str">
            <v>KH157</v>
          </cell>
          <cell r="F1548">
            <v>17400</v>
          </cell>
          <cell r="G1548">
            <v>122.39</v>
          </cell>
          <cell r="H1548">
            <v>1.1499999999999999</v>
          </cell>
          <cell r="I1548" t="str">
            <v>From M1A to M2A - 40°</v>
          </cell>
          <cell r="J1548" t="str">
            <v>IE3</v>
          </cell>
          <cell r="K1548" t="str">
            <v>400/690</v>
          </cell>
          <cell r="L1548">
            <v>50</v>
          </cell>
          <cell r="M1548" t="str">
            <v>38,5/22,5</v>
          </cell>
          <cell r="N1548">
            <v>55</v>
          </cell>
          <cell r="O1548" t="str">
            <v>F(105°C)</v>
          </cell>
          <cell r="P1548" t="str">
            <v>270°</v>
          </cell>
          <cell r="Q1548" t="str">
            <v>TF</v>
          </cell>
          <cell r="R1548" t="str">
            <v>V(VE)</v>
          </cell>
          <cell r="S1548" t="str">
            <v>-</v>
          </cell>
          <cell r="T1548" t="str">
            <v>-</v>
          </cell>
          <cell r="U1548" t="str">
            <v>-</v>
          </cell>
          <cell r="V1548" t="str">
            <v>FC</v>
          </cell>
          <cell r="W1548" t="str">
            <v>-</v>
          </cell>
          <cell r="X1548" t="str">
            <v>CLP VG 220 = -15° + 40°</v>
          </cell>
          <cell r="Y1548" t="str">
            <v>KH157DRN180L4 /TF/V</v>
          </cell>
          <cell r="Z1548" t="str">
            <v>SEW</v>
          </cell>
          <cell r="AB1548" t="str">
            <v>-</v>
          </cell>
          <cell r="AE1548" t="str">
            <v>Work frequency 37,5Hz for 0,4m/sec</v>
          </cell>
          <cell r="AF1548">
            <v>12</v>
          </cell>
          <cell r="AG1548" t="str">
            <v>DRN180L4</v>
          </cell>
          <cell r="AH1548" t="str">
            <v>KH157-DRN180L4A270-X#</v>
          </cell>
        </row>
        <row r="1549">
          <cell r="A1549" t="str">
            <v>MR001545</v>
          </cell>
          <cell r="B1549" t="str">
            <v>MR</v>
          </cell>
          <cell r="C1549">
            <v>22</v>
          </cell>
          <cell r="D1549">
            <v>12</v>
          </cell>
          <cell r="E1549" t="str">
            <v>KH157</v>
          </cell>
          <cell r="F1549">
            <v>17400</v>
          </cell>
          <cell r="G1549">
            <v>122.39</v>
          </cell>
          <cell r="H1549">
            <v>1.1499999999999999</v>
          </cell>
          <cell r="I1549" t="str">
            <v>From M1B to M2B - 40°</v>
          </cell>
          <cell r="J1549" t="str">
            <v>IE3</v>
          </cell>
          <cell r="K1549" t="str">
            <v>400/690</v>
          </cell>
          <cell r="L1549">
            <v>50</v>
          </cell>
          <cell r="M1549" t="str">
            <v>38,5/22,5</v>
          </cell>
          <cell r="N1549">
            <v>55</v>
          </cell>
          <cell r="O1549" t="str">
            <v>F(105°C)</v>
          </cell>
          <cell r="P1549" t="str">
            <v>270°</v>
          </cell>
          <cell r="Q1549" t="str">
            <v>TF</v>
          </cell>
          <cell r="R1549" t="str">
            <v>V(VE)</v>
          </cell>
          <cell r="S1549" t="str">
            <v>-</v>
          </cell>
          <cell r="T1549" t="str">
            <v>-</v>
          </cell>
          <cell r="U1549" t="str">
            <v>-</v>
          </cell>
          <cell r="V1549" t="str">
            <v>FC</v>
          </cell>
          <cell r="W1549" t="str">
            <v>-</v>
          </cell>
          <cell r="X1549" t="str">
            <v>CLP VG 220 = -15° + 40°</v>
          </cell>
          <cell r="Y1549" t="str">
            <v>KH157DRN180L4 /TF/V</v>
          </cell>
          <cell r="Z1549" t="str">
            <v>SEW</v>
          </cell>
          <cell r="AB1549" t="str">
            <v>-</v>
          </cell>
          <cell r="AE1549" t="str">
            <v>Work frequency 37,5Hz for 0,4m/sec</v>
          </cell>
          <cell r="AF1549">
            <v>12</v>
          </cell>
          <cell r="AG1549" t="str">
            <v>DRN180L4</v>
          </cell>
          <cell r="AH1549" t="str">
            <v>KH157-DRN180L4B270-X#</v>
          </cell>
        </row>
        <row r="1550">
          <cell r="A1550" t="str">
            <v>MR001546</v>
          </cell>
          <cell r="B1550" t="str">
            <v>MR</v>
          </cell>
          <cell r="C1550">
            <v>1.1000000000000001</v>
          </cell>
          <cell r="D1550">
            <v>18</v>
          </cell>
          <cell r="E1550" t="str">
            <v>FA67</v>
          </cell>
          <cell r="F1550">
            <v>575</v>
          </cell>
          <cell r="G1550">
            <v>79.760000000000005</v>
          </cell>
          <cell r="H1550">
            <v>1.4</v>
          </cell>
          <cell r="I1550" t="str">
            <v>From M6 to M3 - 40°</v>
          </cell>
          <cell r="J1550" t="str">
            <v>IE3</v>
          </cell>
          <cell r="K1550" t="str">
            <v>230/400</v>
          </cell>
          <cell r="L1550">
            <v>50</v>
          </cell>
          <cell r="M1550" t="str">
            <v>4,45/2,55</v>
          </cell>
          <cell r="N1550">
            <v>55</v>
          </cell>
          <cell r="O1550" t="str">
            <v>F(105°C)</v>
          </cell>
          <cell r="P1550" t="str">
            <v>270°</v>
          </cell>
          <cell r="Q1550" t="str">
            <v>-</v>
          </cell>
          <cell r="R1550" t="str">
            <v>-</v>
          </cell>
          <cell r="S1550" t="str">
            <v>-</v>
          </cell>
          <cell r="T1550" t="str">
            <v>BEHF</v>
          </cell>
          <cell r="U1550" t="str">
            <v>G</v>
          </cell>
          <cell r="V1550" t="str">
            <v>D+R</v>
          </cell>
          <cell r="W1550" t="str">
            <v>-</v>
          </cell>
          <cell r="X1550" t="str">
            <v>CLP VG 220 = -15° + 40°</v>
          </cell>
          <cell r="Y1550" t="str">
            <v>FA67/G DRN90S4 /BEHF</v>
          </cell>
          <cell r="Z1550" t="str">
            <v>SEW</v>
          </cell>
          <cell r="AB1550" t="str">
            <v>-</v>
          </cell>
          <cell r="AF1550">
            <v>18</v>
          </cell>
          <cell r="AG1550" t="str">
            <v>DRN90S4</v>
          </cell>
          <cell r="AH1550" t="str">
            <v>FA67G-DRN90S4270-X</v>
          </cell>
        </row>
        <row r="1551">
          <cell r="A1551" t="str">
            <v>MR001547</v>
          </cell>
          <cell r="B1551" t="str">
            <v>MR</v>
          </cell>
          <cell r="C1551">
            <v>15</v>
          </cell>
          <cell r="D1551">
            <v>9.8000000000000007</v>
          </cell>
          <cell r="E1551" t="str">
            <v>KH157</v>
          </cell>
          <cell r="F1551">
            <v>14600</v>
          </cell>
          <cell r="G1551">
            <v>150.41</v>
          </cell>
          <cell r="H1551">
            <v>1.35</v>
          </cell>
          <cell r="I1551" t="str">
            <v>From M1A to M2A - 35°</v>
          </cell>
          <cell r="J1551" t="str">
            <v>IE3</v>
          </cell>
          <cell r="K1551" t="str">
            <v>400/690</v>
          </cell>
          <cell r="L1551">
            <v>50</v>
          </cell>
          <cell r="M1551" t="str">
            <v>29/16,7</v>
          </cell>
          <cell r="N1551">
            <v>55</v>
          </cell>
          <cell r="O1551" t="str">
            <v>F(105°C)</v>
          </cell>
          <cell r="P1551" t="str">
            <v>270°</v>
          </cell>
          <cell r="Q1551" t="str">
            <v>-</v>
          </cell>
          <cell r="R1551" t="str">
            <v>-</v>
          </cell>
          <cell r="S1551" t="str">
            <v>-</v>
          </cell>
          <cell r="T1551" t="str">
            <v>-</v>
          </cell>
          <cell r="U1551" t="str">
            <v>-</v>
          </cell>
          <cell r="V1551" t="str">
            <v>SS</v>
          </cell>
          <cell r="W1551" t="str">
            <v>-</v>
          </cell>
          <cell r="X1551" t="str">
            <v>CLP VG 220 = -15° + 40°</v>
          </cell>
          <cell r="Y1551" t="str">
            <v>KH157DRN160L4</v>
          </cell>
          <cell r="Z1551" t="str">
            <v>SEW</v>
          </cell>
          <cell r="AB1551" t="str">
            <v>-</v>
          </cell>
          <cell r="AF1551">
            <v>9.8000000000000007</v>
          </cell>
          <cell r="AG1551" t="str">
            <v>DRN160L4</v>
          </cell>
          <cell r="AH1551" t="str">
            <v>KH157-DRN160L4A270-X</v>
          </cell>
        </row>
        <row r="1552">
          <cell r="A1552" t="str">
            <v>MR001548</v>
          </cell>
          <cell r="B1552" t="str">
            <v>MR</v>
          </cell>
          <cell r="C1552">
            <v>15</v>
          </cell>
          <cell r="D1552">
            <v>9.8000000000000007</v>
          </cell>
          <cell r="E1552" t="str">
            <v>KH157</v>
          </cell>
          <cell r="F1552">
            <v>14600</v>
          </cell>
          <cell r="G1552">
            <v>150.41</v>
          </cell>
          <cell r="H1552">
            <v>1.35</v>
          </cell>
          <cell r="I1552" t="str">
            <v>From M1B to M2B - 35°</v>
          </cell>
          <cell r="J1552" t="str">
            <v>IE3</v>
          </cell>
          <cell r="K1552" t="str">
            <v>400/690</v>
          </cell>
          <cell r="L1552">
            <v>50</v>
          </cell>
          <cell r="M1552" t="str">
            <v>29/16,7</v>
          </cell>
          <cell r="N1552">
            <v>55</v>
          </cell>
          <cell r="O1552" t="str">
            <v>F(105°C)</v>
          </cell>
          <cell r="P1552" t="str">
            <v>270°</v>
          </cell>
          <cell r="Q1552" t="str">
            <v>-</v>
          </cell>
          <cell r="R1552" t="str">
            <v>-</v>
          </cell>
          <cell r="S1552" t="str">
            <v>-</v>
          </cell>
          <cell r="T1552" t="str">
            <v>-</v>
          </cell>
          <cell r="U1552" t="str">
            <v>-</v>
          </cell>
          <cell r="V1552" t="str">
            <v>SS</v>
          </cell>
          <cell r="W1552" t="str">
            <v>-</v>
          </cell>
          <cell r="X1552" t="str">
            <v>CLP VG 220 = -15° + 40°</v>
          </cell>
          <cell r="Y1552" t="str">
            <v>KH157DRN160L4</v>
          </cell>
          <cell r="Z1552" t="str">
            <v>SEW</v>
          </cell>
          <cell r="AB1552" t="str">
            <v>-</v>
          </cell>
          <cell r="AF1552">
            <v>9.8000000000000007</v>
          </cell>
          <cell r="AG1552" t="str">
            <v>DRN160L4</v>
          </cell>
          <cell r="AH1552" t="str">
            <v>KH157-DRN160L4B270-X</v>
          </cell>
        </row>
        <row r="1553">
          <cell r="A1553" t="str">
            <v>MR001549</v>
          </cell>
          <cell r="B1553" t="str">
            <v>MR</v>
          </cell>
          <cell r="C1553">
            <v>18.5</v>
          </cell>
          <cell r="D1553">
            <v>65</v>
          </cell>
          <cell r="E1553" t="str">
            <v>R107</v>
          </cell>
          <cell r="F1553">
            <v>2700</v>
          </cell>
          <cell r="G1553">
            <v>22.62</v>
          </cell>
          <cell r="H1553">
            <v>1.6</v>
          </cell>
          <cell r="I1553" t="str">
            <v>From M1 to M4 - 10°</v>
          </cell>
          <cell r="J1553" t="str">
            <v>IE3</v>
          </cell>
          <cell r="K1553" t="str">
            <v>400/690</v>
          </cell>
          <cell r="L1553">
            <v>50</v>
          </cell>
          <cell r="M1553" t="str">
            <v>33,5/19,3</v>
          </cell>
          <cell r="N1553">
            <v>55</v>
          </cell>
          <cell r="O1553" t="str">
            <v>F(105°C)</v>
          </cell>
          <cell r="P1553" t="str">
            <v>270°</v>
          </cell>
          <cell r="Q1553" t="str">
            <v>-</v>
          </cell>
          <cell r="R1553" t="str">
            <v>-</v>
          </cell>
          <cell r="S1553" t="str">
            <v>-</v>
          </cell>
          <cell r="T1553" t="str">
            <v>-</v>
          </cell>
          <cell r="U1553" t="str">
            <v>-</v>
          </cell>
          <cell r="V1553" t="str">
            <v>D</v>
          </cell>
          <cell r="W1553" t="str">
            <v>-</v>
          </cell>
          <cell r="X1553" t="str">
            <v>CLP VG 220 = -15° + 40°</v>
          </cell>
          <cell r="Y1553" t="str">
            <v>R107DRN180M4</v>
          </cell>
          <cell r="Z1553" t="str">
            <v>SEW</v>
          </cell>
          <cell r="AB1553" t="str">
            <v>-</v>
          </cell>
          <cell r="AF1553">
            <v>65</v>
          </cell>
          <cell r="AG1553" t="str">
            <v>DRN180M4</v>
          </cell>
          <cell r="AH1553" t="str">
            <v>R107-DRN180M4270-X</v>
          </cell>
        </row>
        <row r="1554">
          <cell r="A1554" t="str">
            <v>MR001550</v>
          </cell>
          <cell r="B1554" t="str">
            <v>MR</v>
          </cell>
          <cell r="C1554">
            <v>45</v>
          </cell>
          <cell r="D1554">
            <v>67</v>
          </cell>
          <cell r="E1554" t="str">
            <v>R137</v>
          </cell>
          <cell r="F1554">
            <v>6370</v>
          </cell>
          <cell r="G1554">
            <v>22</v>
          </cell>
          <cell r="H1554">
            <v>1.25</v>
          </cell>
          <cell r="I1554" t="str">
            <v>M4</v>
          </cell>
          <cell r="J1554" t="str">
            <v>IE3</v>
          </cell>
          <cell r="K1554" t="str">
            <v>400/690</v>
          </cell>
          <cell r="L1554">
            <v>50</v>
          </cell>
          <cell r="M1554" t="str">
            <v>81/47</v>
          </cell>
          <cell r="N1554">
            <v>55</v>
          </cell>
          <cell r="O1554" t="str">
            <v>F(105°C)</v>
          </cell>
          <cell r="P1554" t="str">
            <v>270°</v>
          </cell>
          <cell r="Q1554" t="str">
            <v>-</v>
          </cell>
          <cell r="R1554" t="str">
            <v>-</v>
          </cell>
          <cell r="S1554" t="str">
            <v>-</v>
          </cell>
          <cell r="T1554" t="str">
            <v>-</v>
          </cell>
          <cell r="U1554" t="str">
            <v>-</v>
          </cell>
          <cell r="V1554" t="str">
            <v>D</v>
          </cell>
          <cell r="W1554" t="str">
            <v>-</v>
          </cell>
          <cell r="X1554" t="str">
            <v>CLP VG 220 = -15° + 40°</v>
          </cell>
          <cell r="Y1554" t="str">
            <v>R137DRN225M4</v>
          </cell>
          <cell r="Z1554" t="str">
            <v>SEW</v>
          </cell>
          <cell r="AB1554" t="str">
            <v>-</v>
          </cell>
          <cell r="AF1554">
            <v>67</v>
          </cell>
          <cell r="AG1554" t="str">
            <v>DRN225M4</v>
          </cell>
          <cell r="AH1554" t="str">
            <v>R137-DRN225M4270-X</v>
          </cell>
        </row>
        <row r="1555">
          <cell r="A1555" t="str">
            <v>MR001551</v>
          </cell>
          <cell r="B1555" t="str">
            <v>MR</v>
          </cell>
          <cell r="C1555">
            <v>22</v>
          </cell>
          <cell r="D1555">
            <v>12</v>
          </cell>
          <cell r="E1555" t="str">
            <v>KH157</v>
          </cell>
          <cell r="F1555">
            <v>17400</v>
          </cell>
          <cell r="G1555">
            <v>122.39</v>
          </cell>
          <cell r="H1555">
            <v>1.1499999999999999</v>
          </cell>
          <cell r="I1555" t="str">
            <v>From M1A to M2A - 30°</v>
          </cell>
          <cell r="J1555" t="str">
            <v>IE3</v>
          </cell>
          <cell r="K1555" t="str">
            <v>400/690</v>
          </cell>
          <cell r="L1555">
            <v>50</v>
          </cell>
          <cell r="M1555" t="str">
            <v>38,5/22,5</v>
          </cell>
          <cell r="N1555">
            <v>55</v>
          </cell>
          <cell r="O1555" t="str">
            <v>F(105°C)</v>
          </cell>
          <cell r="P1555" t="str">
            <v>270°</v>
          </cell>
          <cell r="Q1555" t="str">
            <v>TF</v>
          </cell>
          <cell r="R1555" t="str">
            <v>V(VE)</v>
          </cell>
          <cell r="S1555" t="str">
            <v>-</v>
          </cell>
          <cell r="T1555" t="str">
            <v>-</v>
          </cell>
          <cell r="U1555" t="str">
            <v>-</v>
          </cell>
          <cell r="V1555" t="str">
            <v>FC</v>
          </cell>
          <cell r="W1555" t="str">
            <v>-</v>
          </cell>
          <cell r="X1555" t="str">
            <v>CLP VG 220 = -15° + 40°</v>
          </cell>
          <cell r="Y1555" t="str">
            <v>KH157DRN180L4 /TF/V</v>
          </cell>
          <cell r="Z1555" t="str">
            <v>SEW</v>
          </cell>
          <cell r="AB1555" t="str">
            <v>-</v>
          </cell>
          <cell r="AE1555" t="str">
            <v>Work frequency 37,5Hz for 0,4m/sec</v>
          </cell>
          <cell r="AF1555">
            <v>12</v>
          </cell>
          <cell r="AG1555" t="str">
            <v>DRN180L4</v>
          </cell>
          <cell r="AH1555" t="str">
            <v>KH157-DRN180L4A270-X#</v>
          </cell>
        </row>
        <row r="1556">
          <cell r="A1556" t="str">
            <v>MR001552</v>
          </cell>
          <cell r="B1556" t="str">
            <v>MR</v>
          </cell>
          <cell r="C1556">
            <v>22</v>
          </cell>
          <cell r="D1556">
            <v>12</v>
          </cell>
          <cell r="E1556" t="str">
            <v>KH157</v>
          </cell>
          <cell r="F1556">
            <v>17400</v>
          </cell>
          <cell r="G1556">
            <v>122.39</v>
          </cell>
          <cell r="H1556">
            <v>1.1499999999999999</v>
          </cell>
          <cell r="I1556" t="str">
            <v>From M1B to M2B - 30°</v>
          </cell>
          <cell r="J1556" t="str">
            <v>IE3</v>
          </cell>
          <cell r="K1556" t="str">
            <v>400/690</v>
          </cell>
          <cell r="L1556">
            <v>50</v>
          </cell>
          <cell r="M1556" t="str">
            <v>38,5/22,5</v>
          </cell>
          <cell r="N1556">
            <v>55</v>
          </cell>
          <cell r="O1556" t="str">
            <v>F(105°C)</v>
          </cell>
          <cell r="P1556" t="str">
            <v>270°</v>
          </cell>
          <cell r="Q1556" t="str">
            <v>TF</v>
          </cell>
          <cell r="R1556" t="str">
            <v>V(VE)</v>
          </cell>
          <cell r="S1556" t="str">
            <v>-</v>
          </cell>
          <cell r="T1556" t="str">
            <v>-</v>
          </cell>
          <cell r="U1556" t="str">
            <v>-</v>
          </cell>
          <cell r="V1556" t="str">
            <v>FC</v>
          </cell>
          <cell r="W1556" t="str">
            <v>-</v>
          </cell>
          <cell r="X1556" t="str">
            <v>CLP VG 220 = -15° + 40°</v>
          </cell>
          <cell r="Y1556" t="str">
            <v>KH157DRN180L4 /TF/V</v>
          </cell>
          <cell r="Z1556" t="str">
            <v>SEW</v>
          </cell>
          <cell r="AB1556" t="str">
            <v>-</v>
          </cell>
          <cell r="AE1556" t="str">
            <v>Work frequency 37,5Hz for 0,4m/sec</v>
          </cell>
          <cell r="AF1556">
            <v>12</v>
          </cell>
          <cell r="AG1556" t="str">
            <v>DRN180L4</v>
          </cell>
          <cell r="AH1556" t="str">
            <v>KH157-DRN180L4B270-X#</v>
          </cell>
        </row>
        <row r="1557">
          <cell r="A1557" t="str">
            <v>MR001553</v>
          </cell>
          <cell r="B1557" t="str">
            <v>MR</v>
          </cell>
          <cell r="C1557">
            <v>15</v>
          </cell>
          <cell r="D1557">
            <v>42</v>
          </cell>
          <cell r="E1557" t="str">
            <v>R107</v>
          </cell>
          <cell r="F1557">
            <v>3420</v>
          </cell>
          <cell r="G1557">
            <v>35.26</v>
          </cell>
          <cell r="H1557">
            <v>1.25</v>
          </cell>
          <cell r="I1557" t="str">
            <v>M1</v>
          </cell>
          <cell r="J1557" t="str">
            <v>IE3</v>
          </cell>
          <cell r="K1557" t="str">
            <v>400/690</v>
          </cell>
          <cell r="L1557">
            <v>50</v>
          </cell>
          <cell r="M1557" t="str">
            <v>29/16,7</v>
          </cell>
          <cell r="N1557">
            <v>55</v>
          </cell>
          <cell r="O1557" t="str">
            <v>F(105°C)</v>
          </cell>
          <cell r="P1557" t="str">
            <v>270°</v>
          </cell>
          <cell r="Q1557" t="str">
            <v>-</v>
          </cell>
          <cell r="R1557" t="str">
            <v>-</v>
          </cell>
          <cell r="S1557" t="str">
            <v>-</v>
          </cell>
          <cell r="T1557" t="str">
            <v>-</v>
          </cell>
          <cell r="U1557" t="str">
            <v>-</v>
          </cell>
          <cell r="V1557" t="str">
            <v>D+R</v>
          </cell>
          <cell r="W1557" t="str">
            <v>-</v>
          </cell>
          <cell r="X1557" t="str">
            <v>CLP VG 220 = -15° + 40°</v>
          </cell>
          <cell r="Y1557" t="str">
            <v>R107DRN160L4</v>
          </cell>
          <cell r="Z1557" t="str">
            <v>SEW</v>
          </cell>
          <cell r="AB1557" t="str">
            <v>-</v>
          </cell>
          <cell r="AF1557">
            <v>42</v>
          </cell>
          <cell r="AG1557" t="str">
            <v>DRN160L4</v>
          </cell>
          <cell r="AH1557" t="str">
            <v>R107-DRN160L4270-X</v>
          </cell>
        </row>
        <row r="1558">
          <cell r="A1558" t="str">
            <v>MR001554</v>
          </cell>
          <cell r="B1558" t="str">
            <v>MR</v>
          </cell>
          <cell r="C1558">
            <v>11</v>
          </cell>
          <cell r="D1558">
            <v>59</v>
          </cell>
          <cell r="E1558" t="str">
            <v>R97</v>
          </cell>
          <cell r="F1558">
            <v>1780</v>
          </cell>
          <cell r="G1558">
            <v>25.03</v>
          </cell>
          <cell r="H1558">
            <v>1.6</v>
          </cell>
          <cell r="I1558" t="str">
            <v>From M1 to M4 - 20°</v>
          </cell>
          <cell r="J1558" t="str">
            <v>IE3</v>
          </cell>
          <cell r="K1558" t="str">
            <v>400/690</v>
          </cell>
          <cell r="L1558">
            <v>50</v>
          </cell>
          <cell r="M1558" t="str">
            <v>21/12,2</v>
          </cell>
          <cell r="N1558">
            <v>55</v>
          </cell>
          <cell r="O1558" t="str">
            <v>F(105°C)</v>
          </cell>
          <cell r="P1558" t="str">
            <v>270°</v>
          </cell>
          <cell r="Q1558" t="str">
            <v>-</v>
          </cell>
          <cell r="R1558" t="str">
            <v>-</v>
          </cell>
          <cell r="S1558" t="str">
            <v>-</v>
          </cell>
          <cell r="T1558" t="str">
            <v>-</v>
          </cell>
          <cell r="U1558" t="str">
            <v>-</v>
          </cell>
          <cell r="V1558" t="str">
            <v>D</v>
          </cell>
          <cell r="W1558" t="str">
            <v>-</v>
          </cell>
          <cell r="X1558" t="str">
            <v>CLP VG 220 = -15° + 40°</v>
          </cell>
          <cell r="Y1558" t="str">
            <v>R97DRN160M4</v>
          </cell>
          <cell r="Z1558" t="str">
            <v>SEW</v>
          </cell>
          <cell r="AB1558" t="str">
            <v>-</v>
          </cell>
          <cell r="AF1558">
            <v>59</v>
          </cell>
          <cell r="AG1558" t="str">
            <v>DRN160M4</v>
          </cell>
          <cell r="AH1558" t="str">
            <v>R97-DRN160M4270-X</v>
          </cell>
        </row>
        <row r="1559">
          <cell r="A1559" t="str">
            <v>MR001555</v>
          </cell>
          <cell r="B1559" t="str">
            <v>MR</v>
          </cell>
          <cell r="C1559">
            <v>5.5</v>
          </cell>
          <cell r="D1559">
            <v>62</v>
          </cell>
          <cell r="E1559" t="str">
            <v>R87</v>
          </cell>
          <cell r="F1559">
            <v>840</v>
          </cell>
          <cell r="G1559">
            <v>23.4</v>
          </cell>
          <cell r="H1559">
            <v>1.85</v>
          </cell>
          <cell r="I1559" t="str">
            <v>From M1 to M4 - 15°</v>
          </cell>
          <cell r="J1559" t="str">
            <v>IE3</v>
          </cell>
          <cell r="K1559" t="str">
            <v>230/400</v>
          </cell>
          <cell r="L1559">
            <v>50</v>
          </cell>
          <cell r="M1559" t="str">
            <v>18,2/10,5</v>
          </cell>
          <cell r="N1559">
            <v>55</v>
          </cell>
          <cell r="O1559" t="str">
            <v>F(105°C)</v>
          </cell>
          <cell r="P1559" t="str">
            <v>270°</v>
          </cell>
          <cell r="Q1559" t="str">
            <v>-</v>
          </cell>
          <cell r="R1559" t="str">
            <v>-</v>
          </cell>
          <cell r="S1559" t="str">
            <v>-</v>
          </cell>
          <cell r="T1559" t="str">
            <v>-</v>
          </cell>
          <cell r="U1559" t="str">
            <v>-</v>
          </cell>
          <cell r="V1559" t="str">
            <v>D</v>
          </cell>
          <cell r="W1559" t="str">
            <v>-</v>
          </cell>
          <cell r="X1559" t="str">
            <v>CLP VG 220 = -15° + 40°</v>
          </cell>
          <cell r="Y1559" t="str">
            <v>R87DRN132S4</v>
          </cell>
          <cell r="Z1559" t="str">
            <v>SEW</v>
          </cell>
          <cell r="AB1559" t="str">
            <v>-</v>
          </cell>
          <cell r="AF1559">
            <v>62</v>
          </cell>
          <cell r="AG1559" t="str">
            <v>DRN132S4</v>
          </cell>
          <cell r="AH1559" t="str">
            <v>R87-DRN132S4270-X</v>
          </cell>
        </row>
        <row r="1560">
          <cell r="A1560" t="str">
            <v>MR001556</v>
          </cell>
          <cell r="B1560" t="str">
            <v>MR</v>
          </cell>
          <cell r="C1560">
            <v>11</v>
          </cell>
          <cell r="D1560">
            <v>16</v>
          </cell>
          <cell r="E1560" t="str">
            <v>KH107</v>
          </cell>
          <cell r="F1560">
            <v>6480</v>
          </cell>
          <cell r="G1560">
            <v>90.96</v>
          </cell>
          <cell r="H1560">
            <v>1.25</v>
          </cell>
          <cell r="I1560" t="str">
            <v>From M1A to M2A - 20°</v>
          </cell>
          <cell r="J1560" t="str">
            <v>IE3</v>
          </cell>
          <cell r="K1560" t="str">
            <v>400/690</v>
          </cell>
          <cell r="L1560">
            <v>50</v>
          </cell>
          <cell r="M1560" t="str">
            <v>21/12,2</v>
          </cell>
          <cell r="N1560">
            <v>55</v>
          </cell>
          <cell r="O1560" t="str">
            <v>F(105°C)</v>
          </cell>
          <cell r="P1560" t="str">
            <v>270°</v>
          </cell>
          <cell r="Q1560" t="str">
            <v>-</v>
          </cell>
          <cell r="R1560" t="str">
            <v>-</v>
          </cell>
          <cell r="S1560" t="str">
            <v>-</v>
          </cell>
          <cell r="T1560" t="str">
            <v>-</v>
          </cell>
          <cell r="U1560" t="str">
            <v>-</v>
          </cell>
          <cell r="V1560" t="str">
            <v>SS</v>
          </cell>
          <cell r="W1560" t="str">
            <v>-</v>
          </cell>
          <cell r="X1560" t="str">
            <v>CLP VG 220 = -15° + 40°</v>
          </cell>
          <cell r="Y1560" t="str">
            <v>KH107DRN160M4</v>
          </cell>
          <cell r="Z1560" t="str">
            <v>SEW</v>
          </cell>
          <cell r="AB1560" t="str">
            <v>-</v>
          </cell>
          <cell r="AF1560">
            <v>16</v>
          </cell>
          <cell r="AG1560" t="str">
            <v>DRN160M4</v>
          </cell>
          <cell r="AH1560" t="str">
            <v>KH107-DRN160M4A270-X</v>
          </cell>
        </row>
        <row r="1561">
          <cell r="A1561" t="str">
            <v>MR001557</v>
          </cell>
          <cell r="B1561" t="str">
            <v>MR</v>
          </cell>
          <cell r="C1561">
            <v>11</v>
          </cell>
          <cell r="D1561">
            <v>16</v>
          </cell>
          <cell r="E1561" t="str">
            <v>KH107</v>
          </cell>
          <cell r="F1561">
            <v>6480</v>
          </cell>
          <cell r="G1561">
            <v>90.96</v>
          </cell>
          <cell r="H1561">
            <v>1.25</v>
          </cell>
          <cell r="I1561" t="str">
            <v>From M1B to M2B - 20°</v>
          </cell>
          <cell r="J1561" t="str">
            <v>IE3</v>
          </cell>
          <cell r="K1561" t="str">
            <v>400/690</v>
          </cell>
          <cell r="L1561">
            <v>50</v>
          </cell>
          <cell r="M1561" t="str">
            <v>21/12,2</v>
          </cell>
          <cell r="N1561">
            <v>55</v>
          </cell>
          <cell r="O1561" t="str">
            <v>F(105°C)</v>
          </cell>
          <cell r="P1561" t="str">
            <v>270°</v>
          </cell>
          <cell r="Q1561" t="str">
            <v>-</v>
          </cell>
          <cell r="R1561" t="str">
            <v>-</v>
          </cell>
          <cell r="S1561" t="str">
            <v>-</v>
          </cell>
          <cell r="T1561" t="str">
            <v>-</v>
          </cell>
          <cell r="U1561" t="str">
            <v>-</v>
          </cell>
          <cell r="V1561" t="str">
            <v>SS</v>
          </cell>
          <cell r="W1561" t="str">
            <v>-</v>
          </cell>
          <cell r="X1561" t="str">
            <v>CLP VG 220 = -15° + 40°</v>
          </cell>
          <cell r="Y1561" t="str">
            <v>KH107DRN160M4</v>
          </cell>
          <cell r="Z1561" t="str">
            <v>SEW</v>
          </cell>
          <cell r="AB1561" t="str">
            <v>-</v>
          </cell>
          <cell r="AF1561">
            <v>16</v>
          </cell>
          <cell r="AG1561" t="str">
            <v>DRN160M4</v>
          </cell>
          <cell r="AH1561" t="str">
            <v>KH107-DRN160M4B270-X</v>
          </cell>
        </row>
        <row r="1562">
          <cell r="A1562" t="str">
            <v>MR001558</v>
          </cell>
          <cell r="B1562" t="str">
            <v>MR</v>
          </cell>
          <cell r="C1562">
            <v>5.5</v>
          </cell>
          <cell r="D1562">
            <v>14</v>
          </cell>
          <cell r="E1562" t="str">
            <v>KH97</v>
          </cell>
          <cell r="F1562">
            <v>3370</v>
          </cell>
          <cell r="G1562">
            <v>105.13</v>
          </cell>
          <cell r="H1562">
            <v>1.1499999999999999</v>
          </cell>
          <cell r="I1562" t="str">
            <v>M1A</v>
          </cell>
          <cell r="J1562" t="str">
            <v>IE3</v>
          </cell>
          <cell r="K1562" t="str">
            <v>230/400</v>
          </cell>
          <cell r="L1562">
            <v>50</v>
          </cell>
          <cell r="M1562" t="str">
            <v>18,2/10,5</v>
          </cell>
          <cell r="N1562">
            <v>55</v>
          </cell>
          <cell r="O1562" t="str">
            <v>F(105°C)</v>
          </cell>
          <cell r="P1562" t="str">
            <v>270°</v>
          </cell>
          <cell r="Q1562" t="str">
            <v>-</v>
          </cell>
          <cell r="R1562" t="str">
            <v>-</v>
          </cell>
          <cell r="S1562" t="str">
            <v>-</v>
          </cell>
          <cell r="T1562" t="str">
            <v>-</v>
          </cell>
          <cell r="U1562" t="str">
            <v>-</v>
          </cell>
          <cell r="V1562" t="str">
            <v>SS</v>
          </cell>
          <cell r="W1562" t="str">
            <v>-</v>
          </cell>
          <cell r="X1562" t="str">
            <v>CLP VG 220 = -15° + 40°</v>
          </cell>
          <cell r="Y1562" t="str">
            <v>KH97DRN132S4</v>
          </cell>
          <cell r="Z1562" t="str">
            <v>SEW</v>
          </cell>
          <cell r="AB1562" t="str">
            <v>-</v>
          </cell>
          <cell r="AF1562">
            <v>14</v>
          </cell>
          <cell r="AG1562" t="str">
            <v>DRN132S4</v>
          </cell>
          <cell r="AH1562" t="str">
            <v>KH97-DRN132S4A270-X</v>
          </cell>
        </row>
        <row r="1563">
          <cell r="A1563" t="str">
            <v>MR001559</v>
          </cell>
          <cell r="B1563" t="str">
            <v>MR</v>
          </cell>
          <cell r="C1563">
            <v>5.5</v>
          </cell>
          <cell r="D1563">
            <v>14</v>
          </cell>
          <cell r="E1563" t="str">
            <v>KH97</v>
          </cell>
          <cell r="F1563">
            <v>3370</v>
          </cell>
          <cell r="G1563">
            <v>105.13</v>
          </cell>
          <cell r="H1563">
            <v>1.1499999999999999</v>
          </cell>
          <cell r="I1563" t="str">
            <v>M1B</v>
          </cell>
          <cell r="J1563" t="str">
            <v>IE3</v>
          </cell>
          <cell r="K1563" t="str">
            <v>230/400</v>
          </cell>
          <cell r="L1563">
            <v>50</v>
          </cell>
          <cell r="M1563" t="str">
            <v>18,2/10,5</v>
          </cell>
          <cell r="N1563">
            <v>55</v>
          </cell>
          <cell r="O1563" t="str">
            <v>F(105°C)</v>
          </cell>
          <cell r="P1563" t="str">
            <v>270°</v>
          </cell>
          <cell r="Q1563" t="str">
            <v>-</v>
          </cell>
          <cell r="R1563" t="str">
            <v>-</v>
          </cell>
          <cell r="S1563" t="str">
            <v>-</v>
          </cell>
          <cell r="T1563" t="str">
            <v>-</v>
          </cell>
          <cell r="U1563" t="str">
            <v>-</v>
          </cell>
          <cell r="V1563" t="str">
            <v>SS</v>
          </cell>
          <cell r="W1563" t="str">
            <v>-</v>
          </cell>
          <cell r="X1563" t="str">
            <v>CLP VG 220 = -15° + 40°</v>
          </cell>
          <cell r="Y1563" t="str">
            <v>KH97DRN132S4</v>
          </cell>
          <cell r="Z1563" t="str">
            <v>SEW</v>
          </cell>
          <cell r="AB1563" t="str">
            <v>-</v>
          </cell>
          <cell r="AF1563">
            <v>14</v>
          </cell>
          <cell r="AG1563" t="str">
            <v>DRN132S4</v>
          </cell>
          <cell r="AH1563" t="str">
            <v>KH97-DRN132S4B270-X</v>
          </cell>
        </row>
        <row r="1564">
          <cell r="A1564" t="str">
            <v>MR001560</v>
          </cell>
          <cell r="B1564" t="str">
            <v>MR</v>
          </cell>
          <cell r="C1564">
            <v>11</v>
          </cell>
          <cell r="D1564">
            <v>16</v>
          </cell>
          <cell r="E1564" t="str">
            <v>KH107</v>
          </cell>
          <cell r="F1564">
            <v>6480</v>
          </cell>
          <cell r="G1564">
            <v>90.96</v>
          </cell>
          <cell r="H1564">
            <v>1.25</v>
          </cell>
          <cell r="I1564" t="str">
            <v>From M1A to M2A - 40°</v>
          </cell>
          <cell r="J1564" t="str">
            <v>IE3</v>
          </cell>
          <cell r="K1564" t="str">
            <v>400/690</v>
          </cell>
          <cell r="L1564">
            <v>50</v>
          </cell>
          <cell r="M1564" t="str">
            <v>21/12,2</v>
          </cell>
          <cell r="N1564">
            <v>55</v>
          </cell>
          <cell r="O1564" t="str">
            <v>F(105°C)</v>
          </cell>
          <cell r="P1564" t="str">
            <v>270°</v>
          </cell>
          <cell r="Q1564" t="str">
            <v>-</v>
          </cell>
          <cell r="R1564" t="str">
            <v>-</v>
          </cell>
          <cell r="S1564" t="str">
            <v>-</v>
          </cell>
          <cell r="T1564" t="str">
            <v>-</v>
          </cell>
          <cell r="U1564" t="str">
            <v>-</v>
          </cell>
          <cell r="V1564" t="str">
            <v>SS</v>
          </cell>
          <cell r="W1564" t="str">
            <v>-</v>
          </cell>
          <cell r="X1564" t="str">
            <v>CLP VG 220 = -15° + 40°</v>
          </cell>
          <cell r="Y1564" t="str">
            <v>KH107DRN160M4</v>
          </cell>
          <cell r="Z1564" t="str">
            <v>SEW</v>
          </cell>
          <cell r="AB1564" t="str">
            <v>-</v>
          </cell>
          <cell r="AF1564">
            <v>16</v>
          </cell>
          <cell r="AG1564" t="str">
            <v>DRN160M4</v>
          </cell>
          <cell r="AH1564" t="str">
            <v>KH107-DRN160M4A270-X</v>
          </cell>
        </row>
        <row r="1565">
          <cell r="A1565" t="str">
            <v>MR001561</v>
          </cell>
          <cell r="B1565" t="str">
            <v>MR</v>
          </cell>
          <cell r="C1565">
            <v>11</v>
          </cell>
          <cell r="D1565">
            <v>16</v>
          </cell>
          <cell r="E1565" t="str">
            <v>KH107</v>
          </cell>
          <cell r="F1565">
            <v>6480</v>
          </cell>
          <cell r="G1565">
            <v>90.96</v>
          </cell>
          <cell r="H1565">
            <v>1.25</v>
          </cell>
          <cell r="I1565" t="str">
            <v>From M1B to M2B - 40°</v>
          </cell>
          <cell r="J1565" t="str">
            <v>IE3</v>
          </cell>
          <cell r="K1565" t="str">
            <v>400/690</v>
          </cell>
          <cell r="L1565">
            <v>50</v>
          </cell>
          <cell r="M1565" t="str">
            <v>21/12,2</v>
          </cell>
          <cell r="N1565">
            <v>55</v>
          </cell>
          <cell r="O1565" t="str">
            <v>F(105°C)</v>
          </cell>
          <cell r="P1565" t="str">
            <v>270°</v>
          </cell>
          <cell r="Q1565" t="str">
            <v>-</v>
          </cell>
          <cell r="R1565" t="str">
            <v>-</v>
          </cell>
          <cell r="S1565" t="str">
            <v>-</v>
          </cell>
          <cell r="T1565" t="str">
            <v>-</v>
          </cell>
          <cell r="U1565" t="str">
            <v>-</v>
          </cell>
          <cell r="V1565" t="str">
            <v>SS</v>
          </cell>
          <cell r="W1565" t="str">
            <v>-</v>
          </cell>
          <cell r="X1565" t="str">
            <v>CLP VG 220 = -15° + 40°</v>
          </cell>
          <cell r="Y1565" t="str">
            <v>KH107DRN160M4</v>
          </cell>
          <cell r="Z1565" t="str">
            <v>SEW</v>
          </cell>
          <cell r="AB1565" t="str">
            <v>-</v>
          </cell>
          <cell r="AF1565">
            <v>16</v>
          </cell>
          <cell r="AG1565" t="str">
            <v>DRN160M4</v>
          </cell>
          <cell r="AH1565" t="str">
            <v>KH107-DRN160M4B270-X</v>
          </cell>
        </row>
        <row r="1566">
          <cell r="A1566" t="str">
            <v>MR001562</v>
          </cell>
          <cell r="B1566" t="str">
            <v>MR</v>
          </cell>
          <cell r="C1566">
            <v>9.1999999999999993</v>
          </cell>
          <cell r="D1566">
            <v>53</v>
          </cell>
          <cell r="E1566" t="str">
            <v>R97</v>
          </cell>
          <cell r="F1566">
            <v>1640</v>
          </cell>
          <cell r="G1566">
            <v>27.58</v>
          </cell>
          <cell r="H1566">
            <v>1.6</v>
          </cell>
          <cell r="I1566" t="str">
            <v>From M1 to M4 - 20°</v>
          </cell>
          <cell r="J1566" t="str">
            <v>IE3</v>
          </cell>
          <cell r="K1566" t="str">
            <v>400/690</v>
          </cell>
          <cell r="L1566">
            <v>50</v>
          </cell>
          <cell r="M1566" t="str">
            <v>18,7/10,8</v>
          </cell>
          <cell r="N1566">
            <v>55</v>
          </cell>
          <cell r="O1566" t="str">
            <v>F(105°C)</v>
          </cell>
          <cell r="P1566" t="str">
            <v>270°</v>
          </cell>
          <cell r="Q1566" t="str">
            <v>-</v>
          </cell>
          <cell r="R1566" t="str">
            <v>-</v>
          </cell>
          <cell r="S1566" t="str">
            <v>-</v>
          </cell>
          <cell r="T1566" t="str">
            <v>-</v>
          </cell>
          <cell r="U1566" t="str">
            <v>-</v>
          </cell>
          <cell r="V1566" t="str">
            <v>D</v>
          </cell>
          <cell r="W1566" t="str">
            <v>-</v>
          </cell>
          <cell r="X1566" t="str">
            <v>CLP VG 220 = -15° + 40°</v>
          </cell>
          <cell r="Y1566" t="str">
            <v>R97DRN132L4</v>
          </cell>
          <cell r="Z1566" t="str">
            <v>SEW</v>
          </cell>
          <cell r="AB1566" t="str">
            <v>-</v>
          </cell>
          <cell r="AF1566">
            <v>53</v>
          </cell>
          <cell r="AG1566" t="str">
            <v>DRN132L4</v>
          </cell>
          <cell r="AH1566" t="str">
            <v>R97-DRN132L4270-X</v>
          </cell>
        </row>
        <row r="1567">
          <cell r="A1567" t="str">
            <v>MR001563</v>
          </cell>
          <cell r="B1567" t="str">
            <v>MR</v>
          </cell>
          <cell r="C1567">
            <v>11</v>
          </cell>
          <cell r="D1567">
            <v>53</v>
          </cell>
          <cell r="E1567" t="str">
            <v>R97</v>
          </cell>
          <cell r="F1567">
            <v>1960</v>
          </cell>
          <cell r="G1567">
            <v>27.58</v>
          </cell>
          <cell r="H1567">
            <v>1.35</v>
          </cell>
          <cell r="I1567" t="str">
            <v>M1</v>
          </cell>
          <cell r="J1567" t="str">
            <v>IE3</v>
          </cell>
          <cell r="K1567" t="str">
            <v>400/690</v>
          </cell>
          <cell r="L1567">
            <v>50</v>
          </cell>
          <cell r="M1567" t="str">
            <v>21/12,2</v>
          </cell>
          <cell r="N1567">
            <v>55</v>
          </cell>
          <cell r="O1567" t="str">
            <v>F(105°C)</v>
          </cell>
          <cell r="P1567" t="str">
            <v>270°</v>
          </cell>
          <cell r="Q1567" t="str">
            <v>-</v>
          </cell>
          <cell r="R1567" t="str">
            <v>-</v>
          </cell>
          <cell r="S1567" t="str">
            <v>-</v>
          </cell>
          <cell r="T1567" t="str">
            <v>-</v>
          </cell>
          <cell r="U1567" t="str">
            <v>-</v>
          </cell>
          <cell r="V1567" t="str">
            <v>D+R</v>
          </cell>
          <cell r="W1567" t="str">
            <v>-</v>
          </cell>
          <cell r="X1567" t="str">
            <v>CLP VG 220 = -15° + 40°</v>
          </cell>
          <cell r="Y1567" t="str">
            <v>R97DRN160M4</v>
          </cell>
          <cell r="Z1567" t="str">
            <v>SEW</v>
          </cell>
          <cell r="AB1567" t="str">
            <v>-</v>
          </cell>
          <cell r="AF1567">
            <v>53</v>
          </cell>
          <cell r="AG1567" t="str">
            <v>DRN160M4</v>
          </cell>
          <cell r="AH1567" t="str">
            <v>R97-DRN160M4270-X</v>
          </cell>
        </row>
        <row r="1568">
          <cell r="A1568" t="str">
            <v>MR001564</v>
          </cell>
          <cell r="B1568" t="str">
            <v>MR</v>
          </cell>
          <cell r="C1568">
            <v>15</v>
          </cell>
          <cell r="D1568">
            <v>102</v>
          </cell>
          <cell r="E1568" t="str">
            <v>KH87</v>
          </cell>
          <cell r="F1568">
            <v>1400</v>
          </cell>
          <cell r="G1568">
            <v>14.45</v>
          </cell>
          <cell r="H1568">
            <v>1.5</v>
          </cell>
          <cell r="I1568" t="str">
            <v>M4A</v>
          </cell>
          <cell r="J1568" t="str">
            <v>IE3</v>
          </cell>
          <cell r="K1568" t="str">
            <v>400/690</v>
          </cell>
          <cell r="L1568">
            <v>50</v>
          </cell>
          <cell r="M1568" t="str">
            <v>29/16,7</v>
          </cell>
          <cell r="N1568">
            <v>55</v>
          </cell>
          <cell r="O1568" t="str">
            <v>F(105°C)</v>
          </cell>
          <cell r="P1568" t="str">
            <v>270°</v>
          </cell>
          <cell r="Q1568" t="str">
            <v>TF</v>
          </cell>
          <cell r="R1568" t="str">
            <v>V(VE)</v>
          </cell>
          <cell r="S1568" t="str">
            <v>Free rotation CCW</v>
          </cell>
          <cell r="T1568" t="str">
            <v>-</v>
          </cell>
          <cell r="U1568" t="str">
            <v>T</v>
          </cell>
          <cell r="V1568" t="str">
            <v>FC</v>
          </cell>
          <cell r="W1568" t="str">
            <v>-</v>
          </cell>
          <cell r="X1568" t="str">
            <v>CLP VG 220 = -15° + 40°</v>
          </cell>
          <cell r="Y1568" t="str">
            <v>KH87/T DRN160L4 /RS /TF/V</v>
          </cell>
          <cell r="Z1568" t="str">
            <v>SEW</v>
          </cell>
          <cell r="AB1568" t="str">
            <v>-</v>
          </cell>
          <cell r="AF1568">
            <v>102</v>
          </cell>
          <cell r="AG1568" t="str">
            <v>DRN160L4</v>
          </cell>
          <cell r="AH1568" t="str">
            <v>KH87T-DRN160L4A270-X#</v>
          </cell>
        </row>
        <row r="1569">
          <cell r="A1569" t="str">
            <v>MR001565</v>
          </cell>
          <cell r="B1569" t="str">
            <v>MR</v>
          </cell>
          <cell r="C1569">
            <v>0.75</v>
          </cell>
          <cell r="D1569">
            <v>162</v>
          </cell>
          <cell r="E1569" t="str">
            <v>KA37</v>
          </cell>
          <cell r="F1569">
            <v>44</v>
          </cell>
          <cell r="G1569">
            <v>8.91</v>
          </cell>
          <cell r="H1569">
            <v>3.6</v>
          </cell>
          <cell r="I1569" t="str">
            <v>M3A</v>
          </cell>
          <cell r="J1569" t="str">
            <v>IE3</v>
          </cell>
          <cell r="K1569" t="str">
            <v>230/400</v>
          </cell>
          <cell r="L1569">
            <v>50</v>
          </cell>
          <cell r="M1569" t="str">
            <v>3,1/1,8</v>
          </cell>
          <cell r="N1569">
            <v>55</v>
          </cell>
          <cell r="O1569" t="str">
            <v>F(105°C)</v>
          </cell>
          <cell r="P1569" t="str">
            <v>270°</v>
          </cell>
          <cell r="Q1569" t="str">
            <v>-</v>
          </cell>
          <cell r="R1569" t="str">
            <v>-</v>
          </cell>
          <cell r="S1569" t="str">
            <v>-</v>
          </cell>
          <cell r="T1569" t="str">
            <v>-</v>
          </cell>
          <cell r="U1569" t="str">
            <v>T</v>
          </cell>
          <cell r="V1569" t="str">
            <v>D</v>
          </cell>
          <cell r="W1569" t="str">
            <v>-</v>
          </cell>
          <cell r="X1569" t="str">
            <v>CLP VG 220 = -15° + 40°</v>
          </cell>
          <cell r="Y1569" t="str">
            <v>KA37/T DRN80M4</v>
          </cell>
          <cell r="Z1569" t="str">
            <v>SEW</v>
          </cell>
          <cell r="AB1569" t="str">
            <v>-</v>
          </cell>
          <cell r="AF1569">
            <v>162</v>
          </cell>
          <cell r="AG1569" t="str">
            <v>DRN80M4</v>
          </cell>
          <cell r="AH1569" t="str">
            <v>KA37T-DRN80M4A270-X</v>
          </cell>
        </row>
        <row r="1570">
          <cell r="A1570" t="str">
            <v>MR001566</v>
          </cell>
          <cell r="B1570" t="str">
            <v>MR</v>
          </cell>
          <cell r="C1570">
            <v>5.5</v>
          </cell>
          <cell r="D1570">
            <v>22</v>
          </cell>
          <cell r="E1570" t="str">
            <v>R97</v>
          </cell>
          <cell r="F1570">
            <v>2340</v>
          </cell>
          <cell r="G1570">
            <v>65.209999999999994</v>
          </cell>
          <cell r="H1570">
            <v>1.3</v>
          </cell>
          <cell r="I1570" t="str">
            <v>M1</v>
          </cell>
          <cell r="J1570" t="str">
            <v>IE3</v>
          </cell>
          <cell r="K1570" t="str">
            <v>230/400</v>
          </cell>
          <cell r="L1570">
            <v>50</v>
          </cell>
          <cell r="M1570" t="str">
            <v>18,2/10,5</v>
          </cell>
          <cell r="N1570">
            <v>55</v>
          </cell>
          <cell r="O1570" t="str">
            <v>F(105°C)</v>
          </cell>
          <cell r="P1570" t="str">
            <v>270°</v>
          </cell>
          <cell r="Q1570" t="str">
            <v>TF</v>
          </cell>
          <cell r="R1570" t="str">
            <v>V(VE)</v>
          </cell>
          <cell r="S1570" t="str">
            <v>-</v>
          </cell>
          <cell r="T1570" t="str">
            <v>-</v>
          </cell>
          <cell r="U1570" t="str">
            <v>-</v>
          </cell>
          <cell r="V1570" t="str">
            <v>FC</v>
          </cell>
          <cell r="W1570" t="str">
            <v>-</v>
          </cell>
          <cell r="X1570" t="str">
            <v>CLP VG 220 = -15° + 40°</v>
          </cell>
          <cell r="Y1570" t="str">
            <v>R97DRN132S4 /TF/V</v>
          </cell>
          <cell r="Z1570" t="str">
            <v>SEW</v>
          </cell>
          <cell r="AB1570" t="str">
            <v>-</v>
          </cell>
          <cell r="AF1570">
            <v>22</v>
          </cell>
          <cell r="AG1570" t="str">
            <v>DRN132S4</v>
          </cell>
          <cell r="AH1570" t="str">
            <v>R97-DRN132S4270-X#</v>
          </cell>
        </row>
        <row r="1571">
          <cell r="A1571" t="str">
            <v>MR001567</v>
          </cell>
          <cell r="B1571" t="str">
            <v>MR</v>
          </cell>
          <cell r="C1571">
            <v>15</v>
          </cell>
          <cell r="D1571">
            <v>42</v>
          </cell>
          <cell r="E1571" t="str">
            <v>R107</v>
          </cell>
          <cell r="F1571">
            <v>3420</v>
          </cell>
          <cell r="G1571">
            <v>35.26</v>
          </cell>
          <cell r="H1571">
            <v>1.25</v>
          </cell>
          <cell r="I1571" t="str">
            <v>From M1 to M4 - 20°</v>
          </cell>
          <cell r="J1571" t="str">
            <v>IE3</v>
          </cell>
          <cell r="K1571" t="str">
            <v>400/690</v>
          </cell>
          <cell r="L1571">
            <v>50</v>
          </cell>
          <cell r="M1571" t="str">
            <v>29/16,7</v>
          </cell>
          <cell r="N1571">
            <v>55</v>
          </cell>
          <cell r="O1571" t="str">
            <v>F(105°C)</v>
          </cell>
          <cell r="P1571" t="str">
            <v>270°</v>
          </cell>
          <cell r="Q1571" t="str">
            <v>-</v>
          </cell>
          <cell r="R1571" t="str">
            <v>-</v>
          </cell>
          <cell r="S1571" t="str">
            <v>-</v>
          </cell>
          <cell r="T1571" t="str">
            <v>-</v>
          </cell>
          <cell r="U1571" t="str">
            <v>-</v>
          </cell>
          <cell r="V1571" t="str">
            <v>D</v>
          </cell>
          <cell r="W1571" t="str">
            <v>-</v>
          </cell>
          <cell r="X1571" t="str">
            <v>CLP VG 220 = -15° + 40°</v>
          </cell>
          <cell r="Y1571" t="str">
            <v>R107DRN160L4</v>
          </cell>
          <cell r="Z1571" t="str">
            <v>SEW</v>
          </cell>
          <cell r="AB1571" t="str">
            <v>-</v>
          </cell>
          <cell r="AF1571">
            <v>42</v>
          </cell>
          <cell r="AG1571" t="str">
            <v>DRN160L4</v>
          </cell>
          <cell r="AH1571" t="str">
            <v>R107-DRN160L4270-X</v>
          </cell>
        </row>
        <row r="1572">
          <cell r="A1572" t="str">
            <v>MR001568</v>
          </cell>
          <cell r="B1572" t="str">
            <v>MR</v>
          </cell>
          <cell r="C1572">
            <v>15</v>
          </cell>
          <cell r="D1572">
            <v>16</v>
          </cell>
          <cell r="E1572" t="str">
            <v>KH127</v>
          </cell>
          <cell r="F1572">
            <v>8730</v>
          </cell>
          <cell r="G1572">
            <v>89.89</v>
          </cell>
          <cell r="H1572">
            <v>1.5</v>
          </cell>
          <cell r="I1572" t="str">
            <v>From M1B to M2B - 5°</v>
          </cell>
          <cell r="J1572" t="str">
            <v>IE3</v>
          </cell>
          <cell r="K1572" t="str">
            <v>400/690</v>
          </cell>
          <cell r="L1572">
            <v>50</v>
          </cell>
          <cell r="M1572" t="str">
            <v>29/16,7</v>
          </cell>
          <cell r="N1572">
            <v>55</v>
          </cell>
          <cell r="O1572" t="str">
            <v>F(105°C)</v>
          </cell>
          <cell r="P1572" t="str">
            <v>270°</v>
          </cell>
          <cell r="Q1572" t="str">
            <v>-</v>
          </cell>
          <cell r="R1572" t="str">
            <v>-</v>
          </cell>
          <cell r="S1572" t="str">
            <v>-</v>
          </cell>
          <cell r="T1572" t="str">
            <v>-</v>
          </cell>
          <cell r="U1572" t="str">
            <v>-</v>
          </cell>
          <cell r="V1572" t="str">
            <v>SS</v>
          </cell>
          <cell r="W1572" t="str">
            <v>-</v>
          </cell>
          <cell r="X1572" t="str">
            <v>CLP VG 220 = -15° + 40°</v>
          </cell>
          <cell r="Y1572" t="str">
            <v>KH127DRN160L4</v>
          </cell>
          <cell r="Z1572" t="str">
            <v>SEW</v>
          </cell>
          <cell r="AB1572" t="str">
            <v>-</v>
          </cell>
          <cell r="AF1572">
            <v>16</v>
          </cell>
          <cell r="AG1572" t="str">
            <v>DRN160L4</v>
          </cell>
          <cell r="AH1572" t="str">
            <v>KH127-DRN160L4B270-X</v>
          </cell>
        </row>
        <row r="1573">
          <cell r="A1573" t="str">
            <v>MR001569</v>
          </cell>
          <cell r="B1573" t="str">
            <v>MR</v>
          </cell>
          <cell r="C1573">
            <v>4</v>
          </cell>
          <cell r="D1573">
            <v>14</v>
          </cell>
          <cell r="E1573" t="str">
            <v>KH87</v>
          </cell>
          <cell r="F1573">
            <v>2670</v>
          </cell>
          <cell r="G1573">
            <v>102.71</v>
          </cell>
          <cell r="H1573">
            <v>1</v>
          </cell>
          <cell r="I1573" t="str">
            <v>M1A</v>
          </cell>
          <cell r="J1573" t="str">
            <v>IE3</v>
          </cell>
          <cell r="K1573" t="str">
            <v>230/400</v>
          </cell>
          <cell r="L1573">
            <v>50</v>
          </cell>
          <cell r="M1573" t="str">
            <v>13,8/7,9</v>
          </cell>
          <cell r="N1573">
            <v>55</v>
          </cell>
          <cell r="O1573" t="str">
            <v>F(105°C)</v>
          </cell>
          <cell r="P1573" t="str">
            <v>270°</v>
          </cell>
          <cell r="Q1573" t="str">
            <v>-</v>
          </cell>
          <cell r="R1573" t="str">
            <v>-</v>
          </cell>
          <cell r="S1573" t="str">
            <v>-</v>
          </cell>
          <cell r="T1573" t="str">
            <v>-</v>
          </cell>
          <cell r="U1573" t="str">
            <v>-</v>
          </cell>
          <cell r="V1573" t="str">
            <v>SS</v>
          </cell>
          <cell r="W1573" t="str">
            <v>-</v>
          </cell>
          <cell r="X1573" t="str">
            <v>CLP VG 220 = -15° + 40°</v>
          </cell>
          <cell r="Y1573" t="str">
            <v>KH87DRN112M4</v>
          </cell>
          <cell r="Z1573" t="str">
            <v>SEW</v>
          </cell>
          <cell r="AB1573" t="str">
            <v>-</v>
          </cell>
          <cell r="AF1573">
            <v>14</v>
          </cell>
          <cell r="AG1573" t="str">
            <v>DRN112M4</v>
          </cell>
          <cell r="AH1573" t="str">
            <v>KH87-DRN112M4A270-X</v>
          </cell>
        </row>
        <row r="1574">
          <cell r="A1574" t="str">
            <v>MR001570</v>
          </cell>
          <cell r="B1574" t="str">
            <v>MR</v>
          </cell>
          <cell r="C1574">
            <v>4</v>
          </cell>
          <cell r="D1574">
            <v>14</v>
          </cell>
          <cell r="E1574" t="str">
            <v>KH87</v>
          </cell>
          <cell r="F1574">
            <v>2670</v>
          </cell>
          <cell r="G1574">
            <v>102.71</v>
          </cell>
          <cell r="H1574">
            <v>1</v>
          </cell>
          <cell r="I1574" t="str">
            <v>M1B</v>
          </cell>
          <cell r="J1574" t="str">
            <v>IE3</v>
          </cell>
          <cell r="K1574" t="str">
            <v>230/400</v>
          </cell>
          <cell r="L1574">
            <v>50</v>
          </cell>
          <cell r="M1574" t="str">
            <v>13,8/7,9</v>
          </cell>
          <cell r="N1574">
            <v>55</v>
          </cell>
          <cell r="O1574" t="str">
            <v>F(105°C)</v>
          </cell>
          <cell r="P1574" t="str">
            <v>270°</v>
          </cell>
          <cell r="Q1574" t="str">
            <v>-</v>
          </cell>
          <cell r="R1574" t="str">
            <v>-</v>
          </cell>
          <cell r="S1574" t="str">
            <v>-</v>
          </cell>
          <cell r="T1574" t="str">
            <v>-</v>
          </cell>
          <cell r="U1574" t="str">
            <v>-</v>
          </cell>
          <cell r="V1574" t="str">
            <v>SS</v>
          </cell>
          <cell r="W1574" t="str">
            <v>-</v>
          </cell>
          <cell r="X1574" t="str">
            <v>CLP VG 220 = -15° + 40°</v>
          </cell>
          <cell r="Y1574" t="str">
            <v>KH87DRN112M4</v>
          </cell>
          <cell r="Z1574" t="str">
            <v>SEW</v>
          </cell>
          <cell r="AB1574" t="str">
            <v>-</v>
          </cell>
          <cell r="AF1574">
            <v>14</v>
          </cell>
          <cell r="AG1574" t="str">
            <v>DRN112M4</v>
          </cell>
          <cell r="AH1574" t="str">
            <v>KH87-DRN112M4B270-X</v>
          </cell>
        </row>
        <row r="1575">
          <cell r="A1575" t="str">
            <v>MR001571</v>
          </cell>
          <cell r="B1575" t="str">
            <v>MR</v>
          </cell>
          <cell r="C1575">
            <v>15</v>
          </cell>
          <cell r="D1575">
            <v>16</v>
          </cell>
          <cell r="E1575" t="str">
            <v>KH127</v>
          </cell>
          <cell r="F1575">
            <v>8730</v>
          </cell>
          <cell r="G1575">
            <v>89.89</v>
          </cell>
          <cell r="H1575">
            <v>1.5</v>
          </cell>
          <cell r="I1575" t="str">
            <v>From M1B to M2B - 30°</v>
          </cell>
          <cell r="J1575" t="str">
            <v>IE3</v>
          </cell>
          <cell r="K1575" t="str">
            <v>400/690</v>
          </cell>
          <cell r="L1575">
            <v>50</v>
          </cell>
          <cell r="M1575" t="str">
            <v>29/16,7</v>
          </cell>
          <cell r="N1575">
            <v>55</v>
          </cell>
          <cell r="O1575" t="str">
            <v>F(105°C)</v>
          </cell>
          <cell r="P1575" t="str">
            <v>270°</v>
          </cell>
          <cell r="Q1575" t="str">
            <v>-</v>
          </cell>
          <cell r="R1575" t="str">
            <v>-</v>
          </cell>
          <cell r="S1575" t="str">
            <v>-</v>
          </cell>
          <cell r="T1575" t="str">
            <v>-</v>
          </cell>
          <cell r="U1575" t="str">
            <v>-</v>
          </cell>
          <cell r="V1575" t="str">
            <v>SS</v>
          </cell>
          <cell r="W1575" t="str">
            <v>-</v>
          </cell>
          <cell r="X1575" t="str">
            <v>CLP VG 220 = -15° + 40°</v>
          </cell>
          <cell r="Y1575" t="str">
            <v>KH127DRN160L4</v>
          </cell>
          <cell r="Z1575" t="str">
            <v>SEW</v>
          </cell>
          <cell r="AB1575" t="str">
            <v>-</v>
          </cell>
          <cell r="AF1575">
            <v>16</v>
          </cell>
          <cell r="AG1575" t="str">
            <v>DRN160L4</v>
          </cell>
          <cell r="AH1575" t="str">
            <v>KH127-DRN160L4B270-X</v>
          </cell>
        </row>
        <row r="1576">
          <cell r="A1576" t="str">
            <v>MR001572</v>
          </cell>
          <cell r="B1576" t="str">
            <v>MR</v>
          </cell>
          <cell r="C1576">
            <v>11</v>
          </cell>
          <cell r="D1576">
            <v>16</v>
          </cell>
          <cell r="E1576" t="str">
            <v>KH107</v>
          </cell>
          <cell r="F1576">
            <v>6480</v>
          </cell>
          <cell r="G1576">
            <v>90.96</v>
          </cell>
          <cell r="H1576">
            <v>1.25</v>
          </cell>
          <cell r="I1576" t="str">
            <v>From M1A to M2A - 35°</v>
          </cell>
          <cell r="J1576" t="str">
            <v>IE3</v>
          </cell>
          <cell r="K1576" t="str">
            <v>400/690</v>
          </cell>
          <cell r="L1576">
            <v>50</v>
          </cell>
          <cell r="M1576" t="str">
            <v>21/12,2</v>
          </cell>
          <cell r="N1576">
            <v>55</v>
          </cell>
          <cell r="O1576" t="str">
            <v>F(105°C)</v>
          </cell>
          <cell r="P1576" t="str">
            <v>270°</v>
          </cell>
          <cell r="Q1576" t="str">
            <v>-</v>
          </cell>
          <cell r="R1576" t="str">
            <v>-</v>
          </cell>
          <cell r="S1576" t="str">
            <v>-</v>
          </cell>
          <cell r="T1576" t="str">
            <v>-</v>
          </cell>
          <cell r="U1576" t="str">
            <v>-</v>
          </cell>
          <cell r="V1576" t="str">
            <v>SS</v>
          </cell>
          <cell r="W1576" t="str">
            <v>-</v>
          </cell>
          <cell r="X1576" t="str">
            <v>CLP VG 220 = -15° + 40°</v>
          </cell>
          <cell r="Y1576" t="str">
            <v>KH107DRN160M4</v>
          </cell>
          <cell r="Z1576" t="str">
            <v>SEW</v>
          </cell>
          <cell r="AB1576" t="str">
            <v>-</v>
          </cell>
          <cell r="AF1576">
            <v>16</v>
          </cell>
          <cell r="AG1576" t="str">
            <v>DRN160M4</v>
          </cell>
          <cell r="AH1576" t="str">
            <v>KH107-DRN160M4A270-X</v>
          </cell>
        </row>
        <row r="1577">
          <cell r="A1577" t="str">
            <v>MR001573</v>
          </cell>
          <cell r="B1577" t="str">
            <v>MR</v>
          </cell>
          <cell r="C1577">
            <v>11</v>
          </cell>
          <cell r="D1577">
            <v>16</v>
          </cell>
          <cell r="E1577" t="str">
            <v>KH107</v>
          </cell>
          <cell r="F1577">
            <v>6480</v>
          </cell>
          <cell r="G1577">
            <v>90.96</v>
          </cell>
          <cell r="H1577">
            <v>1.25</v>
          </cell>
          <cell r="I1577" t="str">
            <v>From M1B to M2B - 35°</v>
          </cell>
          <cell r="J1577" t="str">
            <v>IE3</v>
          </cell>
          <cell r="K1577" t="str">
            <v>400/690</v>
          </cell>
          <cell r="L1577">
            <v>50</v>
          </cell>
          <cell r="M1577" t="str">
            <v>21/12,2</v>
          </cell>
          <cell r="N1577">
            <v>55</v>
          </cell>
          <cell r="O1577" t="str">
            <v>F(105°C)</v>
          </cell>
          <cell r="P1577" t="str">
            <v>270°</v>
          </cell>
          <cell r="Q1577" t="str">
            <v>-</v>
          </cell>
          <cell r="R1577" t="str">
            <v>-</v>
          </cell>
          <cell r="S1577" t="str">
            <v>-</v>
          </cell>
          <cell r="T1577" t="str">
            <v>-</v>
          </cell>
          <cell r="U1577" t="str">
            <v>-</v>
          </cell>
          <cell r="V1577" t="str">
            <v>SS</v>
          </cell>
          <cell r="W1577" t="str">
            <v>-</v>
          </cell>
          <cell r="X1577" t="str">
            <v>CLP VG 220 = -15° + 40°</v>
          </cell>
          <cell r="Y1577" t="str">
            <v>KH107DRN160M4</v>
          </cell>
          <cell r="Z1577" t="str">
            <v>SEW</v>
          </cell>
          <cell r="AB1577" t="str">
            <v>-</v>
          </cell>
          <cell r="AF1577">
            <v>16</v>
          </cell>
          <cell r="AG1577" t="str">
            <v>DRN160M4</v>
          </cell>
          <cell r="AH1577" t="str">
            <v>KH107-DRN160M4B270-X</v>
          </cell>
        </row>
        <row r="1578">
          <cell r="A1578" t="str">
            <v>MR001574</v>
          </cell>
          <cell r="B1578" t="str">
            <v>MR</v>
          </cell>
          <cell r="C1578">
            <v>7.5</v>
          </cell>
          <cell r="D1578">
            <v>63</v>
          </cell>
          <cell r="E1578" t="str">
            <v>R87</v>
          </cell>
          <cell r="F1578">
            <v>1140</v>
          </cell>
          <cell r="G1578">
            <v>23.4</v>
          </cell>
          <cell r="H1578">
            <v>1.35</v>
          </cell>
          <cell r="I1578" t="str">
            <v>M1</v>
          </cell>
          <cell r="J1578" t="str">
            <v>IE3</v>
          </cell>
          <cell r="K1578" t="str">
            <v>400/690</v>
          </cell>
          <cell r="L1578">
            <v>50</v>
          </cell>
          <cell r="M1578" t="str">
            <v>15,2/8,8</v>
          </cell>
          <cell r="N1578">
            <v>55</v>
          </cell>
          <cell r="O1578" t="str">
            <v>F(105°C)</v>
          </cell>
          <cell r="P1578" t="str">
            <v>270°</v>
          </cell>
          <cell r="Q1578" t="str">
            <v>-</v>
          </cell>
          <cell r="R1578" t="str">
            <v>-</v>
          </cell>
          <cell r="S1578" t="str">
            <v>-</v>
          </cell>
          <cell r="T1578" t="str">
            <v>-</v>
          </cell>
          <cell r="U1578" t="str">
            <v>-</v>
          </cell>
          <cell r="V1578" t="str">
            <v>D+R</v>
          </cell>
          <cell r="W1578" t="str">
            <v>-</v>
          </cell>
          <cell r="X1578" t="str">
            <v>CLP VG 220 = -15° + 40°</v>
          </cell>
          <cell r="Y1578" t="str">
            <v>R87DRN132M4</v>
          </cell>
          <cell r="Z1578" t="str">
            <v>SEW</v>
          </cell>
          <cell r="AB1578" t="str">
            <v>-</v>
          </cell>
          <cell r="AF1578">
            <v>63</v>
          </cell>
          <cell r="AG1578" t="str">
            <v>DRN132M4</v>
          </cell>
          <cell r="AH1578" t="str">
            <v>R87-DRN132M4270-X</v>
          </cell>
        </row>
        <row r="1579">
          <cell r="A1579" t="str">
            <v>MR001575</v>
          </cell>
          <cell r="B1579" t="str">
            <v>MR</v>
          </cell>
          <cell r="C1579">
            <v>5.5</v>
          </cell>
          <cell r="D1579">
            <v>14</v>
          </cell>
          <cell r="E1579" t="str">
            <v>KH97</v>
          </cell>
          <cell r="F1579">
            <v>3370</v>
          </cell>
          <cell r="G1579">
            <v>105.13</v>
          </cell>
          <cell r="H1579">
            <v>1.1499999999999999</v>
          </cell>
          <cell r="I1579" t="str">
            <v>From M1B to M2B - 45°</v>
          </cell>
          <cell r="J1579" t="str">
            <v>IE3</v>
          </cell>
          <cell r="K1579" t="str">
            <v>230/400</v>
          </cell>
          <cell r="L1579">
            <v>50</v>
          </cell>
          <cell r="M1579" t="str">
            <v>18,2/10,5</v>
          </cell>
          <cell r="N1579">
            <v>55</v>
          </cell>
          <cell r="O1579" t="str">
            <v>F(105°C)</v>
          </cell>
          <cell r="P1579" t="str">
            <v>270°</v>
          </cell>
          <cell r="Q1579" t="str">
            <v>-</v>
          </cell>
          <cell r="R1579" t="str">
            <v>-</v>
          </cell>
          <cell r="S1579" t="str">
            <v>-</v>
          </cell>
          <cell r="T1579" t="str">
            <v>-</v>
          </cell>
          <cell r="U1579" t="str">
            <v>-</v>
          </cell>
          <cell r="V1579" t="str">
            <v>SS</v>
          </cell>
          <cell r="W1579" t="str">
            <v>-</v>
          </cell>
          <cell r="X1579" t="str">
            <v>CLP VG 220 = -15° + 40°</v>
          </cell>
          <cell r="Y1579" t="str">
            <v>KH97DRN132S4</v>
          </cell>
          <cell r="Z1579" t="str">
            <v>SEW</v>
          </cell>
          <cell r="AB1579" t="str">
            <v>-</v>
          </cell>
          <cell r="AF1579">
            <v>14</v>
          </cell>
          <cell r="AG1579" t="str">
            <v>DRN132S4</v>
          </cell>
          <cell r="AH1579" t="str">
            <v>KH97-DRN132S4B270-X</v>
          </cell>
        </row>
        <row r="1580">
          <cell r="A1580" t="str">
            <v>MR001576</v>
          </cell>
          <cell r="B1580" t="str">
            <v>MR</v>
          </cell>
          <cell r="C1580">
            <v>22</v>
          </cell>
          <cell r="D1580">
            <v>12</v>
          </cell>
          <cell r="E1580" t="str">
            <v>KH157</v>
          </cell>
          <cell r="F1580">
            <v>17400</v>
          </cell>
          <cell r="G1580">
            <v>122.39</v>
          </cell>
          <cell r="H1580">
            <v>1.1499999999999999</v>
          </cell>
          <cell r="I1580" t="str">
            <v>From M1A to M2A - 25°</v>
          </cell>
          <cell r="J1580" t="str">
            <v>IE3</v>
          </cell>
          <cell r="K1580" t="str">
            <v>400/690</v>
          </cell>
          <cell r="L1580">
            <v>50</v>
          </cell>
          <cell r="M1580" t="str">
            <v>38,5/22,5</v>
          </cell>
          <cell r="N1580">
            <v>55</v>
          </cell>
          <cell r="O1580" t="str">
            <v>F(105°C)</v>
          </cell>
          <cell r="P1580" t="str">
            <v>270°</v>
          </cell>
          <cell r="Q1580" t="str">
            <v>TF</v>
          </cell>
          <cell r="R1580" t="str">
            <v>V(VE)</v>
          </cell>
          <cell r="S1580" t="str">
            <v>-</v>
          </cell>
          <cell r="T1580" t="str">
            <v>-</v>
          </cell>
          <cell r="U1580" t="str">
            <v>-</v>
          </cell>
          <cell r="V1580" t="str">
            <v>FC</v>
          </cell>
          <cell r="W1580" t="str">
            <v>-</v>
          </cell>
          <cell r="X1580" t="str">
            <v>CLP VG 220 = -15° + 40°</v>
          </cell>
          <cell r="Y1580" t="str">
            <v>KH157DRN180L4 /TF/V</v>
          </cell>
          <cell r="Z1580" t="str">
            <v>SEW</v>
          </cell>
          <cell r="AB1580" t="str">
            <v>-</v>
          </cell>
          <cell r="AE1580" t="str">
            <v>Work frequency 37,5Hz for 0,4m/sec</v>
          </cell>
          <cell r="AF1580">
            <v>12</v>
          </cell>
          <cell r="AG1580" t="str">
            <v>DRN180L4</v>
          </cell>
          <cell r="AH1580" t="str">
            <v>KH157-DRN180L4A270-X#</v>
          </cell>
        </row>
        <row r="1581">
          <cell r="A1581" t="str">
            <v>MR001577</v>
          </cell>
          <cell r="B1581" t="str">
            <v>MR</v>
          </cell>
          <cell r="C1581">
            <v>22</v>
          </cell>
          <cell r="D1581">
            <v>12</v>
          </cell>
          <cell r="E1581" t="str">
            <v>KH157</v>
          </cell>
          <cell r="F1581">
            <v>17400</v>
          </cell>
          <cell r="G1581">
            <v>122.39</v>
          </cell>
          <cell r="H1581">
            <v>1.1499999999999999</v>
          </cell>
          <cell r="I1581" t="str">
            <v>From M1B to M2B - 25°</v>
          </cell>
          <cell r="J1581" t="str">
            <v>IE3</v>
          </cell>
          <cell r="K1581" t="str">
            <v>400/690</v>
          </cell>
          <cell r="L1581">
            <v>50</v>
          </cell>
          <cell r="M1581" t="str">
            <v>38,5/22,5</v>
          </cell>
          <cell r="N1581">
            <v>55</v>
          </cell>
          <cell r="O1581" t="str">
            <v>F(105°C)</v>
          </cell>
          <cell r="P1581" t="str">
            <v>270°</v>
          </cell>
          <cell r="Q1581" t="str">
            <v>TF</v>
          </cell>
          <cell r="R1581" t="str">
            <v>V(VE)</v>
          </cell>
          <cell r="S1581" t="str">
            <v>-</v>
          </cell>
          <cell r="T1581" t="str">
            <v>-</v>
          </cell>
          <cell r="U1581" t="str">
            <v>-</v>
          </cell>
          <cell r="V1581" t="str">
            <v>FC</v>
          </cell>
          <cell r="W1581" t="str">
            <v>-</v>
          </cell>
          <cell r="X1581" t="str">
            <v>CLP VG 220 = -15° + 40°</v>
          </cell>
          <cell r="Y1581" t="str">
            <v>KH157DRN180L4 /TF/V</v>
          </cell>
          <cell r="Z1581" t="str">
            <v>SEW</v>
          </cell>
          <cell r="AB1581" t="str">
            <v>-</v>
          </cell>
          <cell r="AE1581" t="str">
            <v>Work frequency 37,5Hz for 0,4m/sec</v>
          </cell>
          <cell r="AF1581">
            <v>12</v>
          </cell>
          <cell r="AG1581" t="str">
            <v>DRN180L4</v>
          </cell>
          <cell r="AH1581" t="str">
            <v>KH157-DRN180L4B270-X#</v>
          </cell>
        </row>
        <row r="1582">
          <cell r="A1582" t="str">
            <v>MR001578</v>
          </cell>
          <cell r="B1582" t="str">
            <v>MR</v>
          </cell>
          <cell r="C1582">
            <v>1.5</v>
          </cell>
          <cell r="D1582">
            <v>22</v>
          </cell>
          <cell r="E1582" t="str">
            <v>FA67</v>
          </cell>
          <cell r="F1582">
            <v>660</v>
          </cell>
          <cell r="G1582">
            <v>67.650000000000006</v>
          </cell>
          <cell r="H1582">
            <v>1.25</v>
          </cell>
          <cell r="I1582" t="str">
            <v>M6</v>
          </cell>
          <cell r="J1582" t="str">
            <v>IE3</v>
          </cell>
          <cell r="K1582">
            <v>400</v>
          </cell>
          <cell r="L1582">
            <v>50</v>
          </cell>
          <cell r="M1582">
            <v>3.4</v>
          </cell>
          <cell r="N1582">
            <v>65</v>
          </cell>
          <cell r="O1582" t="str">
            <v>F(105°C)</v>
          </cell>
          <cell r="P1582" t="str">
            <v>0°</v>
          </cell>
          <cell r="Q1582" t="str">
            <v>-</v>
          </cell>
          <cell r="R1582" t="str">
            <v>-</v>
          </cell>
          <cell r="S1582" t="str">
            <v>-</v>
          </cell>
          <cell r="T1582" t="str">
            <v>BEHF</v>
          </cell>
          <cell r="U1582" t="str">
            <v>G</v>
          </cell>
          <cell r="V1582" t="str">
            <v>D+R</v>
          </cell>
          <cell r="W1582" t="str">
            <v>-</v>
          </cell>
          <cell r="X1582" t="str">
            <v>CLP VG 220 = -15° + 40°</v>
          </cell>
          <cell r="Y1582" t="str">
            <v>FA67/G DRN90L4 /BEHF</v>
          </cell>
          <cell r="Z1582" t="str">
            <v>SEW</v>
          </cell>
          <cell r="AB1582" t="str">
            <v>-</v>
          </cell>
          <cell r="AF1582">
            <v>22</v>
          </cell>
          <cell r="AG1582" t="str">
            <v>DRN90L4</v>
          </cell>
          <cell r="AH1582" t="str">
            <v>FA67G-DRN90L40-X</v>
          </cell>
        </row>
        <row r="1583">
          <cell r="A1583" t="str">
            <v>MR001579</v>
          </cell>
          <cell r="B1583" t="str">
            <v>MR</v>
          </cell>
          <cell r="C1583">
            <v>0.55000000000000004</v>
          </cell>
          <cell r="D1583">
            <v>4.9000000000000004</v>
          </cell>
          <cell r="E1583" t="str">
            <v>KA67R37</v>
          </cell>
          <cell r="F1583">
            <v>970</v>
          </cell>
          <cell r="G1583">
            <v>279</v>
          </cell>
          <cell r="H1583">
            <v>0.85</v>
          </cell>
          <cell r="I1583" t="str">
            <v>M3B</v>
          </cell>
          <cell r="J1583" t="str">
            <v>IE3</v>
          </cell>
          <cell r="K1583">
            <v>400</v>
          </cell>
          <cell r="L1583">
            <v>50</v>
          </cell>
          <cell r="N1583">
            <v>65</v>
          </cell>
          <cell r="O1583" t="str">
            <v>F(105°C)</v>
          </cell>
          <cell r="P1583" t="str">
            <v>0°</v>
          </cell>
          <cell r="Q1583" t="str">
            <v>-</v>
          </cell>
          <cell r="R1583" t="str">
            <v>-</v>
          </cell>
          <cell r="S1583" t="str">
            <v>-</v>
          </cell>
          <cell r="T1583" t="str">
            <v>BEHF</v>
          </cell>
          <cell r="U1583" t="str">
            <v>T</v>
          </cell>
          <cell r="V1583" t="str">
            <v>D+R</v>
          </cell>
          <cell r="W1583" t="str">
            <v>-</v>
          </cell>
          <cell r="X1583" t="str">
            <v>CLP VG 220 = -15° + 40°</v>
          </cell>
          <cell r="Y1583" t="str">
            <v>KA67R37/T DRS71M4 /BEHF</v>
          </cell>
          <cell r="Z1583" t="str">
            <v>SEW</v>
          </cell>
          <cell r="AB1583" t="str">
            <v>-</v>
          </cell>
          <cell r="AF1583">
            <v>4.9000000000000004</v>
          </cell>
          <cell r="AG1583" t="str">
            <v>DRS71M4</v>
          </cell>
          <cell r="AH1583" t="str">
            <v>KA67R37T-DRS71M4B0-X</v>
          </cell>
        </row>
        <row r="1584">
          <cell r="A1584" t="str">
            <v>MR001580</v>
          </cell>
          <cell r="B1584" t="str">
            <v>MR</v>
          </cell>
          <cell r="C1584">
            <v>22</v>
          </cell>
          <cell r="D1584">
            <v>15</v>
          </cell>
          <cell r="E1584" t="str">
            <v>KH157</v>
          </cell>
          <cell r="F1584">
            <v>14200</v>
          </cell>
          <cell r="G1584">
            <v>100.22</v>
          </cell>
          <cell r="H1584">
            <v>1.25</v>
          </cell>
          <cell r="I1584" t="str">
            <v>From M1A to M4A - 60°</v>
          </cell>
          <cell r="J1584" t="str">
            <v>IE3</v>
          </cell>
          <cell r="K1584">
            <v>400</v>
          </cell>
          <cell r="L1584">
            <v>50</v>
          </cell>
          <cell r="M1584" t="str">
            <v>40,5/23,5</v>
          </cell>
          <cell r="N1584">
            <v>55</v>
          </cell>
          <cell r="O1584" t="str">
            <v>F(105°C)</v>
          </cell>
          <cell r="P1584" t="str">
            <v>270°</v>
          </cell>
          <cell r="Q1584" t="str">
            <v>TF</v>
          </cell>
          <cell r="R1584" t="str">
            <v>V(VE)</v>
          </cell>
          <cell r="S1584" t="str">
            <v>-</v>
          </cell>
          <cell r="T1584" t="str">
            <v>-</v>
          </cell>
          <cell r="U1584" t="str">
            <v>-</v>
          </cell>
          <cell r="V1584" t="str">
            <v>FC</v>
          </cell>
          <cell r="W1584" t="str">
            <v>YES</v>
          </cell>
          <cell r="X1584" t="str">
            <v>CLP HC VG 150 = -40° + 40°</v>
          </cell>
          <cell r="Y1584" t="str">
            <v>KH157EDRN180L4 /TF/VE</v>
          </cell>
          <cell r="Z1584" t="str">
            <v>SEW</v>
          </cell>
          <cell r="AB1584" t="str">
            <v>ATEX22</v>
          </cell>
          <cell r="AF1584">
            <v>15</v>
          </cell>
          <cell r="AG1584" t="str">
            <v>EDRN180L4</v>
          </cell>
          <cell r="AH1584" t="str">
            <v>KH157-EDRN180L4A270-X#</v>
          </cell>
        </row>
        <row r="1585">
          <cell r="A1585" t="str">
            <v>MR001581</v>
          </cell>
          <cell r="B1585" t="str">
            <v>MR</v>
          </cell>
          <cell r="C1585">
            <v>22</v>
          </cell>
          <cell r="D1585">
            <v>15</v>
          </cell>
          <cell r="E1585" t="str">
            <v>KH157</v>
          </cell>
          <cell r="F1585">
            <v>14200</v>
          </cell>
          <cell r="G1585">
            <v>100.22</v>
          </cell>
          <cell r="H1585">
            <v>1.25</v>
          </cell>
          <cell r="I1585" t="str">
            <v>From M1B to M4B - 60°</v>
          </cell>
          <cell r="J1585" t="str">
            <v>IE3</v>
          </cell>
          <cell r="K1585">
            <v>400</v>
          </cell>
          <cell r="L1585">
            <v>50</v>
          </cell>
          <cell r="M1585" t="str">
            <v>40,5/23,5</v>
          </cell>
          <cell r="N1585">
            <v>55</v>
          </cell>
          <cell r="O1585" t="str">
            <v>F(105°C)</v>
          </cell>
          <cell r="P1585" t="str">
            <v>270°</v>
          </cell>
          <cell r="Q1585" t="str">
            <v>TF</v>
          </cell>
          <cell r="R1585" t="str">
            <v>V(VE)</v>
          </cell>
          <cell r="S1585" t="str">
            <v>-</v>
          </cell>
          <cell r="T1585" t="str">
            <v>-</v>
          </cell>
          <cell r="U1585" t="str">
            <v>-</v>
          </cell>
          <cell r="V1585" t="str">
            <v>FC</v>
          </cell>
          <cell r="W1585" t="str">
            <v>YES</v>
          </cell>
          <cell r="X1585" t="str">
            <v>CLP HC VG 150 = -40° + 40°</v>
          </cell>
          <cell r="Y1585" t="str">
            <v>KH157EDRN180L4 /TF/VE</v>
          </cell>
          <cell r="Z1585" t="str">
            <v>SEW</v>
          </cell>
          <cell r="AB1585" t="str">
            <v>ATEX22</v>
          </cell>
          <cell r="AF1585">
            <v>15</v>
          </cell>
          <cell r="AG1585" t="str">
            <v>EDRN180L4</v>
          </cell>
          <cell r="AH1585" t="str">
            <v>KH157-EDRN180L4B270-X#</v>
          </cell>
        </row>
        <row r="1586">
          <cell r="A1586" t="str">
            <v>MR001582</v>
          </cell>
          <cell r="B1586" t="str">
            <v>MR</v>
          </cell>
          <cell r="C1586">
            <v>15</v>
          </cell>
          <cell r="D1586">
            <v>13</v>
          </cell>
          <cell r="E1586" t="str">
            <v>KH127</v>
          </cell>
          <cell r="F1586">
            <v>10700</v>
          </cell>
          <cell r="G1586">
            <v>110.18</v>
          </cell>
          <cell r="H1586">
            <v>1.2</v>
          </cell>
          <cell r="I1586" t="str">
            <v>From M1A to M2A - 30°</v>
          </cell>
          <cell r="J1586" t="str">
            <v>IE3</v>
          </cell>
          <cell r="K1586">
            <v>400</v>
          </cell>
          <cell r="L1586">
            <v>50</v>
          </cell>
          <cell r="M1586" t="str">
            <v>29,5/16,9</v>
          </cell>
          <cell r="N1586">
            <v>55</v>
          </cell>
          <cell r="O1586" t="str">
            <v>F(105°C)</v>
          </cell>
          <cell r="P1586" t="str">
            <v>270°</v>
          </cell>
          <cell r="Q1586" t="str">
            <v>TF</v>
          </cell>
          <cell r="R1586" t="str">
            <v>V(VE)</v>
          </cell>
          <cell r="S1586" t="str">
            <v>-</v>
          </cell>
          <cell r="T1586" t="str">
            <v>-</v>
          </cell>
          <cell r="U1586" t="str">
            <v>-</v>
          </cell>
          <cell r="V1586" t="str">
            <v>FC</v>
          </cell>
          <cell r="W1586" t="str">
            <v>YES</v>
          </cell>
          <cell r="X1586" t="str">
            <v>CLP HC VG 150 = -40° + 40°</v>
          </cell>
          <cell r="Y1586" t="str">
            <v>KH127EDRN160L4 /TF/VE</v>
          </cell>
          <cell r="Z1586" t="str">
            <v>SEW</v>
          </cell>
          <cell r="AB1586" t="str">
            <v>ATEX22</v>
          </cell>
          <cell r="AF1586">
            <v>13</v>
          </cell>
          <cell r="AG1586" t="str">
            <v>EDRN160L4</v>
          </cell>
          <cell r="AH1586" t="str">
            <v>KH127-EDRN160L4A270-X#</v>
          </cell>
        </row>
        <row r="1587">
          <cell r="A1587" t="str">
            <v>MR001583</v>
          </cell>
          <cell r="B1587" t="str">
            <v>MR</v>
          </cell>
          <cell r="C1587">
            <v>15</v>
          </cell>
          <cell r="D1587">
            <v>13</v>
          </cell>
          <cell r="E1587" t="str">
            <v>KH127</v>
          </cell>
          <cell r="F1587">
            <v>10700</v>
          </cell>
          <cell r="G1587">
            <v>110.18</v>
          </cell>
          <cell r="H1587">
            <v>1.2</v>
          </cell>
          <cell r="I1587" t="str">
            <v>From M1B to M2B - 30°</v>
          </cell>
          <cell r="J1587" t="str">
            <v>IE3</v>
          </cell>
          <cell r="K1587">
            <v>400</v>
          </cell>
          <cell r="L1587">
            <v>50</v>
          </cell>
          <cell r="M1587" t="str">
            <v>29,5/16,9</v>
          </cell>
          <cell r="N1587">
            <v>55</v>
          </cell>
          <cell r="O1587" t="str">
            <v>F(105°C)</v>
          </cell>
          <cell r="P1587" t="str">
            <v>270°</v>
          </cell>
          <cell r="Q1587" t="str">
            <v>TF</v>
          </cell>
          <cell r="R1587" t="str">
            <v>V(VE)</v>
          </cell>
          <cell r="S1587" t="str">
            <v>-</v>
          </cell>
          <cell r="T1587" t="str">
            <v>-</v>
          </cell>
          <cell r="U1587" t="str">
            <v>-</v>
          </cell>
          <cell r="V1587" t="str">
            <v>FC</v>
          </cell>
          <cell r="W1587" t="str">
            <v>YES</v>
          </cell>
          <cell r="X1587" t="str">
            <v>CLP HC VG 150 = -40° + 40°</v>
          </cell>
          <cell r="Y1587" t="str">
            <v>KH127EDRN160L4 /TF/VE</v>
          </cell>
          <cell r="Z1587" t="str">
            <v>SEW</v>
          </cell>
          <cell r="AB1587" t="str">
            <v>ATEX22</v>
          </cell>
          <cell r="AF1587">
            <v>13</v>
          </cell>
          <cell r="AG1587" t="str">
            <v>EDRN160L4</v>
          </cell>
          <cell r="AH1587" t="str">
            <v>KH127-EDRN160L4B270-X#</v>
          </cell>
        </row>
        <row r="1588">
          <cell r="A1588" t="str">
            <v>MR001584</v>
          </cell>
          <cell r="B1588" t="str">
            <v>MR</v>
          </cell>
          <cell r="C1588">
            <v>15</v>
          </cell>
          <cell r="D1588">
            <v>9.8000000000000007</v>
          </cell>
          <cell r="E1588" t="str">
            <v>KH157</v>
          </cell>
          <cell r="F1588">
            <v>14600</v>
          </cell>
          <cell r="G1588">
            <v>150.41</v>
          </cell>
          <cell r="H1588">
            <v>1.35</v>
          </cell>
          <cell r="I1588" t="str">
            <v>From M1A to M2A - 45°</v>
          </cell>
          <cell r="J1588" t="str">
            <v>IE3</v>
          </cell>
          <cell r="K1588">
            <v>400</v>
          </cell>
          <cell r="L1588">
            <v>50</v>
          </cell>
          <cell r="N1588">
            <v>54</v>
          </cell>
          <cell r="O1588" t="str">
            <v>F(105°C)</v>
          </cell>
          <cell r="P1588" t="str">
            <v>270°</v>
          </cell>
          <cell r="Q1588" t="str">
            <v>TF</v>
          </cell>
          <cell r="R1588" t="str">
            <v>V(VE)</v>
          </cell>
          <cell r="S1588" t="str">
            <v>-</v>
          </cell>
          <cell r="T1588" t="str">
            <v>-</v>
          </cell>
          <cell r="U1588" t="str">
            <v>-</v>
          </cell>
          <cell r="V1588" t="str">
            <v>FC</v>
          </cell>
          <cell r="W1588" t="str">
            <v>-</v>
          </cell>
          <cell r="X1588" t="str">
            <v>CLP VG 220 = -15° + 40°</v>
          </cell>
          <cell r="Y1588" t="str">
            <v>KH157DRN160L4 /TF/V</v>
          </cell>
          <cell r="Z1588" t="str">
            <v>SEW</v>
          </cell>
          <cell r="AB1588" t="str">
            <v>-</v>
          </cell>
          <cell r="AF1588">
            <v>9.8000000000000007</v>
          </cell>
          <cell r="AG1588" t="str">
            <v>DRN160L4</v>
          </cell>
          <cell r="AH1588" t="str">
            <v>KH157-DRN160L4A270-X#</v>
          </cell>
        </row>
        <row r="1589">
          <cell r="A1589" t="str">
            <v>MR001585</v>
          </cell>
          <cell r="B1589" t="str">
            <v>MR</v>
          </cell>
          <cell r="C1589">
            <v>15</v>
          </cell>
          <cell r="D1589">
            <v>9.8000000000000007</v>
          </cell>
          <cell r="E1589" t="str">
            <v>KH157</v>
          </cell>
          <cell r="F1589">
            <v>14600</v>
          </cell>
          <cell r="G1589">
            <v>150.41</v>
          </cell>
          <cell r="H1589">
            <v>1.35</v>
          </cell>
          <cell r="I1589" t="str">
            <v>From M1B to M2B - 45°</v>
          </cell>
          <cell r="J1589" t="str">
            <v>IE3</v>
          </cell>
          <cell r="K1589">
            <v>400</v>
          </cell>
          <cell r="L1589">
            <v>50</v>
          </cell>
          <cell r="N1589">
            <v>54</v>
          </cell>
          <cell r="O1589" t="str">
            <v>F(105°C)</v>
          </cell>
          <cell r="P1589" t="str">
            <v>270°</v>
          </cell>
          <cell r="Q1589" t="str">
            <v>TF</v>
          </cell>
          <cell r="R1589" t="str">
            <v>V(VE)</v>
          </cell>
          <cell r="S1589" t="str">
            <v>-</v>
          </cell>
          <cell r="T1589" t="str">
            <v>-</v>
          </cell>
          <cell r="U1589" t="str">
            <v>-</v>
          </cell>
          <cell r="V1589" t="str">
            <v>FC</v>
          </cell>
          <cell r="W1589" t="str">
            <v>-</v>
          </cell>
          <cell r="X1589" t="str">
            <v>CLP VG 220 = -15° + 40°</v>
          </cell>
          <cell r="Y1589" t="str">
            <v>KH157DRN160L4 /TF/V</v>
          </cell>
          <cell r="Z1589" t="str">
            <v>SEW</v>
          </cell>
          <cell r="AB1589" t="str">
            <v>-</v>
          </cell>
          <cell r="AF1589">
            <v>9.8000000000000007</v>
          </cell>
          <cell r="AG1589" t="str">
            <v>DRN160L4</v>
          </cell>
          <cell r="AH1589" t="str">
            <v>KH157-DRN160L4B270-X#</v>
          </cell>
        </row>
        <row r="1590">
          <cell r="A1590" t="str">
            <v>MR001586</v>
          </cell>
          <cell r="B1590" t="str">
            <v>MR</v>
          </cell>
          <cell r="C1590">
            <v>15</v>
          </cell>
          <cell r="D1590">
            <v>9.8000000000000007</v>
          </cell>
          <cell r="E1590" t="str">
            <v>KH157</v>
          </cell>
          <cell r="F1590">
            <v>14600</v>
          </cell>
          <cell r="G1590">
            <v>150.41</v>
          </cell>
          <cell r="H1590">
            <v>1.35</v>
          </cell>
          <cell r="I1590" t="str">
            <v>From M1A to M2A - 35°</v>
          </cell>
          <cell r="J1590" t="str">
            <v>IE3</v>
          </cell>
          <cell r="K1590">
            <v>400</v>
          </cell>
          <cell r="L1590">
            <v>50</v>
          </cell>
          <cell r="N1590">
            <v>54</v>
          </cell>
          <cell r="O1590" t="str">
            <v>F(105°C)</v>
          </cell>
          <cell r="P1590" t="str">
            <v>270°</v>
          </cell>
          <cell r="Q1590" t="str">
            <v>TF</v>
          </cell>
          <cell r="R1590" t="str">
            <v>V(VE)</v>
          </cell>
          <cell r="S1590" t="str">
            <v>-</v>
          </cell>
          <cell r="T1590" t="str">
            <v>-</v>
          </cell>
          <cell r="U1590" t="str">
            <v>-</v>
          </cell>
          <cell r="V1590" t="str">
            <v>FC</v>
          </cell>
          <cell r="W1590" t="str">
            <v>-</v>
          </cell>
          <cell r="X1590" t="str">
            <v>CLP VG 220 = -15° + 40°</v>
          </cell>
          <cell r="Y1590" t="str">
            <v>KH157DRN160L4 /TF/V</v>
          </cell>
          <cell r="Z1590" t="str">
            <v>SEW</v>
          </cell>
          <cell r="AB1590" t="str">
            <v>-</v>
          </cell>
          <cell r="AF1590">
            <v>9.8000000000000007</v>
          </cell>
          <cell r="AG1590" t="str">
            <v>DRN160L4</v>
          </cell>
          <cell r="AH1590" t="str">
            <v>KH157-DRN160L4A270-X#</v>
          </cell>
        </row>
        <row r="1591">
          <cell r="A1591" t="str">
            <v>MR001587</v>
          </cell>
          <cell r="B1591" t="str">
            <v>MR</v>
          </cell>
          <cell r="C1591">
            <v>15</v>
          </cell>
          <cell r="D1591">
            <v>9.8000000000000007</v>
          </cell>
          <cell r="E1591" t="str">
            <v>KH157</v>
          </cell>
          <cell r="F1591">
            <v>14600</v>
          </cell>
          <cell r="G1591">
            <v>150.41</v>
          </cell>
          <cell r="H1591">
            <v>1.35</v>
          </cell>
          <cell r="I1591" t="str">
            <v>From M1B to M2B - 35°</v>
          </cell>
          <cell r="J1591" t="str">
            <v>IE3</v>
          </cell>
          <cell r="K1591">
            <v>400</v>
          </cell>
          <cell r="L1591">
            <v>50</v>
          </cell>
          <cell r="N1591">
            <v>54</v>
          </cell>
          <cell r="O1591" t="str">
            <v>F(105°C)</v>
          </cell>
          <cell r="P1591" t="str">
            <v>270°</v>
          </cell>
          <cell r="Q1591" t="str">
            <v>TF</v>
          </cell>
          <cell r="R1591" t="str">
            <v>V(VE)</v>
          </cell>
          <cell r="S1591" t="str">
            <v>-</v>
          </cell>
          <cell r="T1591" t="str">
            <v>-</v>
          </cell>
          <cell r="U1591" t="str">
            <v>-</v>
          </cell>
          <cell r="V1591" t="str">
            <v>FC</v>
          </cell>
          <cell r="W1591" t="str">
            <v>-</v>
          </cell>
          <cell r="X1591" t="str">
            <v>CLP VG 220 = -15° + 40°</v>
          </cell>
          <cell r="Y1591" t="str">
            <v>KH157DRN160L4 /TF/V</v>
          </cell>
          <cell r="Z1591" t="str">
            <v>SEW</v>
          </cell>
          <cell r="AB1591" t="str">
            <v>-</v>
          </cell>
          <cell r="AF1591">
            <v>9.8000000000000007</v>
          </cell>
          <cell r="AG1591" t="str">
            <v>DRN160L4</v>
          </cell>
          <cell r="AH1591" t="str">
            <v>KH157-DRN160L4B270-X#</v>
          </cell>
        </row>
        <row r="1592">
          <cell r="A1592" t="str">
            <v>MR001588</v>
          </cell>
          <cell r="B1592" t="str">
            <v>MR</v>
          </cell>
          <cell r="C1592">
            <v>15</v>
          </cell>
          <cell r="D1592">
            <v>9.8000000000000007</v>
          </cell>
          <cell r="E1592" t="str">
            <v>KH157</v>
          </cell>
          <cell r="F1592">
            <v>14600</v>
          </cell>
          <cell r="G1592">
            <v>150.41</v>
          </cell>
          <cell r="H1592">
            <v>1.35</v>
          </cell>
          <cell r="I1592" t="str">
            <v>From M1A to M2A - 40°</v>
          </cell>
          <cell r="J1592" t="str">
            <v>IE3</v>
          </cell>
          <cell r="K1592">
            <v>400</v>
          </cell>
          <cell r="L1592">
            <v>50</v>
          </cell>
          <cell r="N1592">
            <v>54</v>
          </cell>
          <cell r="O1592" t="str">
            <v>F(105°C)</v>
          </cell>
          <cell r="P1592" t="str">
            <v>270°</v>
          </cell>
          <cell r="Q1592" t="str">
            <v>TF</v>
          </cell>
          <cell r="R1592" t="str">
            <v>V(VE)</v>
          </cell>
          <cell r="S1592" t="str">
            <v>-</v>
          </cell>
          <cell r="T1592" t="str">
            <v>-</v>
          </cell>
          <cell r="U1592" t="str">
            <v>-</v>
          </cell>
          <cell r="V1592" t="str">
            <v>FC</v>
          </cell>
          <cell r="W1592" t="str">
            <v>-</v>
          </cell>
          <cell r="X1592" t="str">
            <v>CLP VG 220 = -15° + 40°</v>
          </cell>
          <cell r="Y1592" t="str">
            <v>KH157DRN160L4 /TF/V</v>
          </cell>
          <cell r="Z1592" t="str">
            <v>SEW</v>
          </cell>
          <cell r="AB1592" t="str">
            <v>-</v>
          </cell>
          <cell r="AF1592">
            <v>9.8000000000000007</v>
          </cell>
          <cell r="AG1592" t="str">
            <v>DRN160L4</v>
          </cell>
          <cell r="AH1592" t="str">
            <v>KH157-DRN160L4A270-X#</v>
          </cell>
        </row>
        <row r="1593">
          <cell r="A1593" t="str">
            <v>MR001589</v>
          </cell>
          <cell r="B1593" t="str">
            <v>MR</v>
          </cell>
          <cell r="C1593">
            <v>15</v>
          </cell>
          <cell r="D1593">
            <v>9.8000000000000007</v>
          </cell>
          <cell r="E1593" t="str">
            <v>KH157</v>
          </cell>
          <cell r="F1593">
            <v>14600</v>
          </cell>
          <cell r="G1593">
            <v>150.41</v>
          </cell>
          <cell r="H1593">
            <v>1.35</v>
          </cell>
          <cell r="I1593" t="str">
            <v>From M1B to M2B - 40°</v>
          </cell>
          <cell r="J1593" t="str">
            <v>IE3</v>
          </cell>
          <cell r="K1593">
            <v>400</v>
          </cell>
          <cell r="L1593">
            <v>50</v>
          </cell>
          <cell r="N1593">
            <v>54</v>
          </cell>
          <cell r="O1593" t="str">
            <v>F(105°C)</v>
          </cell>
          <cell r="P1593" t="str">
            <v>270°</v>
          </cell>
          <cell r="Q1593" t="str">
            <v>TF</v>
          </cell>
          <cell r="R1593" t="str">
            <v>V(VE)</v>
          </cell>
          <cell r="S1593" t="str">
            <v>-</v>
          </cell>
          <cell r="T1593" t="str">
            <v>-</v>
          </cell>
          <cell r="U1593" t="str">
            <v>-</v>
          </cell>
          <cell r="V1593" t="str">
            <v>FC</v>
          </cell>
          <cell r="W1593" t="str">
            <v>-</v>
          </cell>
          <cell r="X1593" t="str">
            <v>CLP VG 220 = -15° + 40°</v>
          </cell>
          <cell r="Y1593" t="str">
            <v>KH157DRN160L4 /TF/V</v>
          </cell>
          <cell r="Z1593" t="str">
            <v>SEW</v>
          </cell>
          <cell r="AB1593" t="str">
            <v>-</v>
          </cell>
          <cell r="AF1593">
            <v>9.8000000000000007</v>
          </cell>
          <cell r="AG1593" t="str">
            <v>DRN160L4</v>
          </cell>
          <cell r="AH1593" t="str">
            <v>KH157-DRN160L4B270-X#</v>
          </cell>
        </row>
        <row r="1594">
          <cell r="A1594" t="str">
            <v>MR001590</v>
          </cell>
          <cell r="B1594" t="str">
            <v>MR</v>
          </cell>
          <cell r="C1594">
            <v>4</v>
          </cell>
          <cell r="D1594">
            <v>138</v>
          </cell>
          <cell r="E1594" t="str">
            <v>KA67</v>
          </cell>
          <cell r="F1594">
            <v>275</v>
          </cell>
          <cell r="G1594">
            <v>10.63</v>
          </cell>
          <cell r="H1594">
            <v>1.8</v>
          </cell>
          <cell r="I1594" t="str">
            <v>M4B</v>
          </cell>
          <cell r="J1594" t="str">
            <v>IE3</v>
          </cell>
          <cell r="K1594" t="str">
            <v>230/400</v>
          </cell>
          <cell r="L1594">
            <v>50</v>
          </cell>
          <cell r="M1594" t="str">
            <v>13,8/7,9</v>
          </cell>
          <cell r="N1594">
            <v>55</v>
          </cell>
          <cell r="O1594" t="str">
            <v>F(105°C)</v>
          </cell>
          <cell r="P1594" t="str">
            <v>270°</v>
          </cell>
          <cell r="Q1594" t="str">
            <v>TF</v>
          </cell>
          <cell r="R1594" t="str">
            <v>-</v>
          </cell>
          <cell r="S1594" t="str">
            <v>-</v>
          </cell>
          <cell r="T1594" t="str">
            <v>BE5</v>
          </cell>
          <cell r="U1594" t="str">
            <v>-</v>
          </cell>
          <cell r="V1594" t="str">
            <v>-</v>
          </cell>
          <cell r="W1594" t="str">
            <v>-</v>
          </cell>
          <cell r="X1594" t="str">
            <v>CLP VG 220 = -15° + 40°</v>
          </cell>
          <cell r="Y1594" t="str">
            <v>KA67DRN112M4 /BE5 /TF</v>
          </cell>
          <cell r="Z1594" t="str">
            <v>SEW</v>
          </cell>
          <cell r="AB1594" t="str">
            <v>-</v>
          </cell>
          <cell r="AF1594">
            <v>138</v>
          </cell>
          <cell r="AG1594" t="str">
            <v>DRN112M4</v>
          </cell>
          <cell r="AH1594" t="str">
            <v>KA67-DRN112M4B270-X</v>
          </cell>
        </row>
        <row r="1595">
          <cell r="A1595" t="str">
            <v>MR001591</v>
          </cell>
          <cell r="B1595" t="str">
            <v>MR</v>
          </cell>
          <cell r="C1595">
            <v>15</v>
          </cell>
          <cell r="D1595">
            <v>20</v>
          </cell>
          <cell r="E1595" t="str">
            <v>R137</v>
          </cell>
          <cell r="F1595">
            <v>7140</v>
          </cell>
          <cell r="G1595">
            <v>73.489999999999995</v>
          </cell>
          <cell r="H1595">
            <v>1.1000000000000001</v>
          </cell>
          <cell r="I1595" t="str">
            <v>M1</v>
          </cell>
          <cell r="J1595" t="str">
            <v>IE3</v>
          </cell>
          <cell r="K1595" t="str">
            <v>400/690</v>
          </cell>
          <cell r="L1595">
            <v>50</v>
          </cell>
          <cell r="M1595" t="str">
            <v>29/16,7</v>
          </cell>
          <cell r="N1595">
            <v>54</v>
          </cell>
          <cell r="O1595" t="str">
            <v>F(105°C)</v>
          </cell>
          <cell r="P1595" t="str">
            <v>270°</v>
          </cell>
          <cell r="Q1595" t="str">
            <v>TF</v>
          </cell>
          <cell r="R1595" t="str">
            <v>V(VE)</v>
          </cell>
          <cell r="S1595" t="str">
            <v>-</v>
          </cell>
          <cell r="T1595" t="str">
            <v>-</v>
          </cell>
          <cell r="U1595" t="str">
            <v>-</v>
          </cell>
          <cell r="V1595" t="str">
            <v>FC</v>
          </cell>
          <cell r="W1595" t="str">
            <v>-</v>
          </cell>
          <cell r="X1595" t="str">
            <v>CLP VG 220 = -15° + 40°</v>
          </cell>
          <cell r="Y1595" t="str">
            <v>R137DRN160L4 /TF/V</v>
          </cell>
          <cell r="Z1595" t="str">
            <v>SEW</v>
          </cell>
          <cell r="AB1595" t="str">
            <v>-</v>
          </cell>
          <cell r="AF1595">
            <v>20</v>
          </cell>
          <cell r="AG1595" t="str">
            <v>DRN160L4</v>
          </cell>
          <cell r="AH1595" t="str">
            <v>R137-DRN160L4270-X#</v>
          </cell>
        </row>
        <row r="1596">
          <cell r="A1596" t="str">
            <v>MR001592</v>
          </cell>
          <cell r="B1596" t="str">
            <v>MR</v>
          </cell>
          <cell r="C1596">
            <v>15</v>
          </cell>
          <cell r="D1596">
            <v>13</v>
          </cell>
          <cell r="E1596" t="str">
            <v>KH127</v>
          </cell>
          <cell r="F1596">
            <v>10700</v>
          </cell>
          <cell r="G1596">
            <v>110.18</v>
          </cell>
          <cell r="H1596">
            <v>1.2</v>
          </cell>
          <cell r="I1596" t="str">
            <v>From M4A to M1A - 40°</v>
          </cell>
          <cell r="J1596" t="str">
            <v>IE3</v>
          </cell>
          <cell r="K1596" t="str">
            <v>400/690</v>
          </cell>
          <cell r="L1596">
            <v>50</v>
          </cell>
          <cell r="M1596" t="str">
            <v>29/16,7</v>
          </cell>
          <cell r="N1596">
            <v>55</v>
          </cell>
          <cell r="O1596" t="str">
            <v>F(105°C)</v>
          </cell>
          <cell r="P1596" t="str">
            <v>270°</v>
          </cell>
          <cell r="Q1596" t="str">
            <v>TF</v>
          </cell>
          <cell r="R1596" t="str">
            <v>V(VE)</v>
          </cell>
          <cell r="S1596" t="str">
            <v>-</v>
          </cell>
          <cell r="T1596" t="str">
            <v>-</v>
          </cell>
          <cell r="U1596" t="str">
            <v>-</v>
          </cell>
          <cell r="V1596" t="str">
            <v>FC</v>
          </cell>
          <cell r="W1596" t="str">
            <v>-</v>
          </cell>
          <cell r="X1596" t="str">
            <v>CLP VG 220 = -15° + 40°</v>
          </cell>
          <cell r="Y1596" t="str">
            <v>KH127DRN160L4 /TF/V</v>
          </cell>
          <cell r="Z1596" t="str">
            <v>SEW</v>
          </cell>
          <cell r="AB1596" t="str">
            <v>-</v>
          </cell>
          <cell r="AF1596">
            <v>13</v>
          </cell>
          <cell r="AG1596" t="str">
            <v>DRN160L4</v>
          </cell>
          <cell r="AH1596" t="str">
            <v>KH127-DRN160L4A270-X#</v>
          </cell>
        </row>
        <row r="1597">
          <cell r="A1597" t="str">
            <v>MR001593</v>
          </cell>
          <cell r="B1597" t="str">
            <v>MR</v>
          </cell>
          <cell r="C1597">
            <v>15</v>
          </cell>
          <cell r="D1597">
            <v>13</v>
          </cell>
          <cell r="E1597" t="str">
            <v>KH127</v>
          </cell>
          <cell r="F1597">
            <v>10700</v>
          </cell>
          <cell r="G1597">
            <v>110.18</v>
          </cell>
          <cell r="H1597">
            <v>1.2</v>
          </cell>
          <cell r="I1597" t="str">
            <v>From M4B to M1B - 40°</v>
          </cell>
          <cell r="J1597" t="str">
            <v>IE3</v>
          </cell>
          <cell r="K1597" t="str">
            <v>400/690</v>
          </cell>
          <cell r="L1597">
            <v>50</v>
          </cell>
          <cell r="M1597" t="str">
            <v>29/16,7</v>
          </cell>
          <cell r="N1597">
            <v>55</v>
          </cell>
          <cell r="O1597" t="str">
            <v>F(105°C)</v>
          </cell>
          <cell r="P1597" t="str">
            <v>270°</v>
          </cell>
          <cell r="Q1597" t="str">
            <v>TF</v>
          </cell>
          <cell r="R1597" t="str">
            <v>V(VE)</v>
          </cell>
          <cell r="S1597" t="str">
            <v>-</v>
          </cell>
          <cell r="T1597" t="str">
            <v>-</v>
          </cell>
          <cell r="U1597" t="str">
            <v>-</v>
          </cell>
          <cell r="V1597" t="str">
            <v>FC</v>
          </cell>
          <cell r="W1597" t="str">
            <v>-</v>
          </cell>
          <cell r="X1597" t="str">
            <v>CLP VG 220 = -15° + 40°</v>
          </cell>
          <cell r="Y1597" t="str">
            <v>KH127DRN160L4 /TF/V</v>
          </cell>
          <cell r="Z1597" t="str">
            <v>SEW</v>
          </cell>
          <cell r="AB1597" t="str">
            <v>-</v>
          </cell>
          <cell r="AF1597">
            <v>13</v>
          </cell>
          <cell r="AG1597" t="str">
            <v>DRN160L4</v>
          </cell>
          <cell r="AH1597" t="str">
            <v>KH127-DRN160L4B270-X#</v>
          </cell>
        </row>
        <row r="1598">
          <cell r="A1598" t="str">
            <v>MR001594</v>
          </cell>
          <cell r="B1598" t="str">
            <v>MR</v>
          </cell>
          <cell r="C1598">
            <v>5.5</v>
          </cell>
          <cell r="D1598">
            <v>62</v>
          </cell>
          <cell r="E1598" t="str">
            <v>R87</v>
          </cell>
          <cell r="F1598">
            <v>840</v>
          </cell>
          <cell r="G1598">
            <v>23.4</v>
          </cell>
          <cell r="H1598">
            <v>1.85</v>
          </cell>
          <cell r="I1598" t="str">
            <v>From M1 to M4 - 5°</v>
          </cell>
          <cell r="J1598" t="str">
            <v>IE3</v>
          </cell>
          <cell r="K1598" t="str">
            <v>230/400</v>
          </cell>
          <cell r="L1598">
            <v>50</v>
          </cell>
          <cell r="M1598" t="str">
            <v>18,2/10,5</v>
          </cell>
          <cell r="N1598">
            <v>55</v>
          </cell>
          <cell r="O1598" t="str">
            <v>F(105°C)</v>
          </cell>
          <cell r="P1598" t="str">
            <v>270°</v>
          </cell>
          <cell r="Q1598" t="str">
            <v>-</v>
          </cell>
          <cell r="R1598" t="str">
            <v>-</v>
          </cell>
          <cell r="S1598" t="str">
            <v>-</v>
          </cell>
          <cell r="T1598" t="str">
            <v>-</v>
          </cell>
          <cell r="U1598" t="str">
            <v>-</v>
          </cell>
          <cell r="V1598" t="str">
            <v>D</v>
          </cell>
          <cell r="W1598" t="str">
            <v>-</v>
          </cell>
          <cell r="X1598" t="str">
            <v>CLP VG 220 = -15° + 40°</v>
          </cell>
          <cell r="Y1598" t="str">
            <v>R87DRN132S4</v>
          </cell>
          <cell r="Z1598" t="str">
            <v>SEW</v>
          </cell>
          <cell r="AB1598" t="str">
            <v>-</v>
          </cell>
          <cell r="AF1598">
            <v>62</v>
          </cell>
          <cell r="AG1598" t="str">
            <v>DRN132S4</v>
          </cell>
          <cell r="AH1598" t="str">
            <v>R87-DRN132S4270-X</v>
          </cell>
        </row>
        <row r="1599">
          <cell r="A1599" t="str">
            <v>MR001595</v>
          </cell>
          <cell r="B1599" t="str">
            <v>MR</v>
          </cell>
          <cell r="C1599">
            <v>0.18</v>
          </cell>
          <cell r="D1599">
            <v>2</v>
          </cell>
          <cell r="E1599" t="str">
            <v>KA67R37</v>
          </cell>
          <cell r="F1599">
            <v>725</v>
          </cell>
          <cell r="G1599">
            <v>697</v>
          </cell>
          <cell r="H1599">
            <v>1.1000000000000001</v>
          </cell>
          <cell r="I1599" t="str">
            <v>M3B</v>
          </cell>
          <cell r="J1599" t="str">
            <v>IE3</v>
          </cell>
          <cell r="K1599" t="str">
            <v>230/400</v>
          </cell>
          <cell r="L1599">
            <v>50</v>
          </cell>
          <cell r="M1599" t="str">
            <v>0,99/0,57</v>
          </cell>
          <cell r="N1599">
            <v>55</v>
          </cell>
          <cell r="O1599" t="str">
            <v>F(105°C)</v>
          </cell>
          <cell r="P1599" t="str">
            <v>270°</v>
          </cell>
          <cell r="Q1599" t="str">
            <v>TF</v>
          </cell>
          <cell r="R1599" t="str">
            <v>V(VE)</v>
          </cell>
          <cell r="S1599" t="str">
            <v>-</v>
          </cell>
          <cell r="T1599" t="str">
            <v>BEHF</v>
          </cell>
          <cell r="U1599" t="str">
            <v>T</v>
          </cell>
          <cell r="V1599" t="str">
            <v>FC+R</v>
          </cell>
          <cell r="W1599" t="str">
            <v>-</v>
          </cell>
          <cell r="X1599" t="str">
            <v>CLP VG 220 = -15° + 40°</v>
          </cell>
          <cell r="Y1599" t="str">
            <v>KA67R37/T DRN63M4 /BEHF /TF/V</v>
          </cell>
          <cell r="Z1599" t="str">
            <v>SEW</v>
          </cell>
          <cell r="AB1599" t="str">
            <v>-</v>
          </cell>
          <cell r="AF1599">
            <v>2</v>
          </cell>
          <cell r="AG1599" t="str">
            <v>DRN63M4</v>
          </cell>
          <cell r="AH1599" t="str">
            <v>KA67R37T-DRN63M4B270-X#</v>
          </cell>
        </row>
        <row r="1600">
          <cell r="A1600" t="str">
            <v>MR001596</v>
          </cell>
          <cell r="B1600" t="str">
            <v>MR</v>
          </cell>
          <cell r="C1600">
            <v>7.5</v>
          </cell>
          <cell r="D1600">
            <v>15</v>
          </cell>
          <cell r="E1600" t="str">
            <v>KH107</v>
          </cell>
          <cell r="F1600">
            <v>4910</v>
          </cell>
          <cell r="G1600">
            <v>100.75</v>
          </cell>
          <cell r="H1600">
            <v>1.65</v>
          </cell>
          <cell r="I1600" t="str">
            <v>From M1A to M2A - 40°</v>
          </cell>
          <cell r="J1600" t="str">
            <v>IE3</v>
          </cell>
          <cell r="K1600" t="str">
            <v>400/690</v>
          </cell>
          <cell r="L1600">
            <v>50</v>
          </cell>
          <cell r="M1600" t="str">
            <v>15,2/8,8</v>
          </cell>
          <cell r="N1600">
            <v>55</v>
          </cell>
          <cell r="O1600" t="str">
            <v>F(105°C)</v>
          </cell>
          <cell r="P1600" t="str">
            <v>270°</v>
          </cell>
          <cell r="Q1600" t="str">
            <v>TF</v>
          </cell>
          <cell r="R1600" t="str">
            <v>V(VE)</v>
          </cell>
          <cell r="S1600" t="str">
            <v>-</v>
          </cell>
          <cell r="T1600" t="str">
            <v>-</v>
          </cell>
          <cell r="U1600" t="str">
            <v>-</v>
          </cell>
          <cell r="V1600" t="str">
            <v>FC</v>
          </cell>
          <cell r="W1600" t="str">
            <v>-</v>
          </cell>
          <cell r="X1600" t="str">
            <v>CLP VG 220 = -15° + 40°</v>
          </cell>
          <cell r="Y1600" t="str">
            <v>KH107DRN132M4 /TF/V</v>
          </cell>
          <cell r="Z1600" t="str">
            <v>SEW</v>
          </cell>
          <cell r="AB1600" t="str">
            <v>-</v>
          </cell>
          <cell r="AE1600" t="str">
            <v>Work frequency 47Hz for 0,4m/sec</v>
          </cell>
          <cell r="AF1600">
            <v>15</v>
          </cell>
          <cell r="AG1600" t="str">
            <v>DRN132M4</v>
          </cell>
          <cell r="AH1600" t="str">
            <v>KH107-DRN132M4A270-X#</v>
          </cell>
        </row>
        <row r="1601">
          <cell r="A1601" t="str">
            <v>MR001597</v>
          </cell>
          <cell r="B1601" t="str">
            <v>MR</v>
          </cell>
          <cell r="C1601">
            <v>7.5</v>
          </cell>
          <cell r="D1601">
            <v>15</v>
          </cell>
          <cell r="E1601" t="str">
            <v>KH107</v>
          </cell>
          <cell r="F1601">
            <v>4910</v>
          </cell>
          <cell r="G1601">
            <v>100.75</v>
          </cell>
          <cell r="H1601">
            <v>1.65</v>
          </cell>
          <cell r="I1601" t="str">
            <v>From M1B to M2B - 40°</v>
          </cell>
          <cell r="J1601" t="str">
            <v>IE3</v>
          </cell>
          <cell r="K1601" t="str">
            <v>400/690</v>
          </cell>
          <cell r="L1601">
            <v>50</v>
          </cell>
          <cell r="M1601" t="str">
            <v>15,2/8,8</v>
          </cell>
          <cell r="N1601">
            <v>55</v>
          </cell>
          <cell r="O1601" t="str">
            <v>F(105°C)</v>
          </cell>
          <cell r="P1601" t="str">
            <v>270°</v>
          </cell>
          <cell r="Q1601" t="str">
            <v>TF</v>
          </cell>
          <cell r="R1601" t="str">
            <v>V(VE)</v>
          </cell>
          <cell r="S1601" t="str">
            <v>-</v>
          </cell>
          <cell r="T1601" t="str">
            <v>-</v>
          </cell>
          <cell r="U1601" t="str">
            <v>-</v>
          </cell>
          <cell r="V1601" t="str">
            <v>FC</v>
          </cell>
          <cell r="W1601" t="str">
            <v>-</v>
          </cell>
          <cell r="X1601" t="str">
            <v>CLP VG 220 = -15° + 40°</v>
          </cell>
          <cell r="Y1601" t="str">
            <v>KH107DRN132M4 /TF/V</v>
          </cell>
          <cell r="Z1601" t="str">
            <v>SEW</v>
          </cell>
          <cell r="AB1601" t="str">
            <v>-</v>
          </cell>
          <cell r="AE1601" t="str">
            <v>Work frequency 47Hz for 0,4m/sec</v>
          </cell>
          <cell r="AF1601">
            <v>15</v>
          </cell>
          <cell r="AG1601" t="str">
            <v>DRN132M4</v>
          </cell>
          <cell r="AH1601" t="str">
            <v>KH107-DRN132M4B270-X#</v>
          </cell>
        </row>
        <row r="1602">
          <cell r="A1602" t="str">
            <v>MR001598</v>
          </cell>
          <cell r="B1602" t="str">
            <v>MR</v>
          </cell>
          <cell r="C1602">
            <v>0.37</v>
          </cell>
          <cell r="D1602">
            <v>3.4</v>
          </cell>
          <cell r="E1602" t="str">
            <v>KA67R37</v>
          </cell>
          <cell r="F1602">
            <v>920</v>
          </cell>
          <cell r="G1602">
            <v>420</v>
          </cell>
          <cell r="H1602">
            <v>0.9</v>
          </cell>
          <cell r="I1602" t="str">
            <v>M3B</v>
          </cell>
          <cell r="J1602" t="str">
            <v>IE3</v>
          </cell>
          <cell r="K1602" t="str">
            <v>230/400</v>
          </cell>
          <cell r="L1602">
            <v>50</v>
          </cell>
          <cell r="M1602" t="str">
            <v>1,78/1,02</v>
          </cell>
          <cell r="N1602">
            <v>55</v>
          </cell>
          <cell r="O1602" t="str">
            <v>F(105°C)</v>
          </cell>
          <cell r="P1602" t="str">
            <v>270°</v>
          </cell>
          <cell r="Q1602" t="str">
            <v>-</v>
          </cell>
          <cell r="R1602" t="str">
            <v>-</v>
          </cell>
          <cell r="S1602" t="str">
            <v>-</v>
          </cell>
          <cell r="T1602" t="str">
            <v>BEHF</v>
          </cell>
          <cell r="U1602" t="str">
            <v>T</v>
          </cell>
          <cell r="V1602" t="str">
            <v>D+R</v>
          </cell>
          <cell r="W1602" t="str">
            <v>-</v>
          </cell>
          <cell r="X1602" t="str">
            <v>CLP VG 220 = -15° + 40°</v>
          </cell>
          <cell r="Y1602" t="str">
            <v>KA67R37/T DRN71M4 /BEHF</v>
          </cell>
          <cell r="Z1602" t="str">
            <v>SEW</v>
          </cell>
          <cell r="AB1602" t="str">
            <v>-</v>
          </cell>
          <cell r="AF1602">
            <v>3.4</v>
          </cell>
          <cell r="AG1602" t="str">
            <v>DRN71M4</v>
          </cell>
          <cell r="AH1602" t="str">
            <v>KA67R37T-DRN71M4B270-X</v>
          </cell>
        </row>
        <row r="1603">
          <cell r="A1603" t="str">
            <v>MR001599</v>
          </cell>
          <cell r="B1603" t="str">
            <v>MR</v>
          </cell>
          <cell r="C1603">
            <v>15</v>
          </cell>
          <cell r="D1603">
            <v>27</v>
          </cell>
          <cell r="E1603" t="str">
            <v>R127</v>
          </cell>
          <cell r="F1603">
            <v>5350</v>
          </cell>
          <cell r="G1603">
            <v>55.09</v>
          </cell>
          <cell r="H1603">
            <v>1.1000000000000001</v>
          </cell>
          <cell r="I1603" t="str">
            <v>From M5 to M4 - 15°</v>
          </cell>
          <cell r="J1603" t="str">
            <v>IE3</v>
          </cell>
          <cell r="K1603" t="str">
            <v>400/690</v>
          </cell>
          <cell r="L1603">
            <v>50</v>
          </cell>
          <cell r="M1603" t="str">
            <v>29/16,7</v>
          </cell>
          <cell r="N1603">
            <v>55</v>
          </cell>
          <cell r="O1603" t="str">
            <v>F(105°C)</v>
          </cell>
          <cell r="P1603" t="str">
            <v>270°</v>
          </cell>
          <cell r="Q1603" t="str">
            <v>TF</v>
          </cell>
          <cell r="R1603" t="str">
            <v>V(VE)</v>
          </cell>
          <cell r="S1603" t="str">
            <v>-</v>
          </cell>
          <cell r="T1603" t="str">
            <v>-</v>
          </cell>
          <cell r="U1603" t="str">
            <v>-</v>
          </cell>
          <cell r="V1603" t="str">
            <v>FC</v>
          </cell>
          <cell r="W1603" t="str">
            <v>-</v>
          </cell>
          <cell r="X1603" t="str">
            <v>CLP VG 220 = -15° + 40°</v>
          </cell>
          <cell r="Y1603" t="str">
            <v>R127DRN160L4 /TF/V</v>
          </cell>
          <cell r="Z1603" t="str">
            <v>SEW</v>
          </cell>
          <cell r="AB1603" t="str">
            <v>-</v>
          </cell>
          <cell r="AF1603">
            <v>27</v>
          </cell>
          <cell r="AG1603" t="str">
            <v>DRN160L4</v>
          </cell>
          <cell r="AH1603" t="str">
            <v>R127-DRN160L4270-X#</v>
          </cell>
        </row>
        <row r="1604">
          <cell r="A1604" t="str">
            <v>MR001600</v>
          </cell>
          <cell r="B1604" t="str">
            <v>MR</v>
          </cell>
          <cell r="C1604">
            <v>15</v>
          </cell>
          <cell r="D1604">
            <v>27</v>
          </cell>
          <cell r="E1604" t="str">
            <v>R127</v>
          </cell>
          <cell r="F1604">
            <v>5350</v>
          </cell>
          <cell r="G1604">
            <v>55.09</v>
          </cell>
          <cell r="H1604">
            <v>1.1000000000000001</v>
          </cell>
          <cell r="I1604" t="str">
            <v>From M6 to M4 - 15°</v>
          </cell>
          <cell r="J1604" t="str">
            <v>IE3</v>
          </cell>
          <cell r="K1604" t="str">
            <v>400/690</v>
          </cell>
          <cell r="L1604">
            <v>50</v>
          </cell>
          <cell r="M1604" t="str">
            <v>29/16,7</v>
          </cell>
          <cell r="N1604">
            <v>55</v>
          </cell>
          <cell r="O1604" t="str">
            <v>F(105°C)</v>
          </cell>
          <cell r="P1604" t="str">
            <v>270°</v>
          </cell>
          <cell r="Q1604" t="str">
            <v>TF</v>
          </cell>
          <cell r="R1604" t="str">
            <v>V(VE)</v>
          </cell>
          <cell r="S1604" t="str">
            <v>-</v>
          </cell>
          <cell r="T1604" t="str">
            <v>-</v>
          </cell>
          <cell r="U1604" t="str">
            <v>-</v>
          </cell>
          <cell r="V1604" t="str">
            <v>FC</v>
          </cell>
          <cell r="W1604" t="str">
            <v>-</v>
          </cell>
          <cell r="X1604" t="str">
            <v>CLP VG 220 = -15° + 40°</v>
          </cell>
          <cell r="Y1604" t="str">
            <v>R127DRN160L4 /TF/V</v>
          </cell>
          <cell r="Z1604" t="str">
            <v>SEW</v>
          </cell>
          <cell r="AB1604" t="str">
            <v>-</v>
          </cell>
          <cell r="AF1604">
            <v>27</v>
          </cell>
          <cell r="AG1604" t="str">
            <v>DRN160L4</v>
          </cell>
          <cell r="AH1604" t="str">
            <v>R127-DRN160L4270-X#</v>
          </cell>
        </row>
        <row r="1605">
          <cell r="A1605" t="str">
            <v>MR001601</v>
          </cell>
          <cell r="B1605" t="str">
            <v>MR</v>
          </cell>
          <cell r="C1605">
            <v>7.5</v>
          </cell>
          <cell r="D1605">
            <v>15</v>
          </cell>
          <cell r="E1605" t="str">
            <v>KH107</v>
          </cell>
          <cell r="F1605">
            <v>4910</v>
          </cell>
          <cell r="G1605">
            <v>100.75</v>
          </cell>
          <cell r="H1605">
            <v>1.65</v>
          </cell>
          <cell r="I1605" t="str">
            <v>From M1A to M2A - 45°</v>
          </cell>
          <cell r="J1605" t="str">
            <v>IE3</v>
          </cell>
          <cell r="K1605" t="str">
            <v>400/690</v>
          </cell>
          <cell r="L1605">
            <v>50</v>
          </cell>
          <cell r="M1605" t="str">
            <v>15,2/8,8</v>
          </cell>
          <cell r="N1605">
            <v>55</v>
          </cell>
          <cell r="O1605" t="str">
            <v>F(105°C)</v>
          </cell>
          <cell r="P1605" t="str">
            <v>270°</v>
          </cell>
          <cell r="Q1605" t="str">
            <v>TF</v>
          </cell>
          <cell r="R1605" t="str">
            <v>V(VE)</v>
          </cell>
          <cell r="S1605" t="str">
            <v>-</v>
          </cell>
          <cell r="T1605" t="str">
            <v>-</v>
          </cell>
          <cell r="U1605" t="str">
            <v>-</v>
          </cell>
          <cell r="V1605" t="str">
            <v>FC</v>
          </cell>
          <cell r="W1605" t="str">
            <v>-</v>
          </cell>
          <cell r="X1605" t="str">
            <v>CLP VG 220 = -15° + 40°</v>
          </cell>
          <cell r="Y1605" t="str">
            <v>KH107DRN132M4 /TF/V</v>
          </cell>
          <cell r="Z1605" t="str">
            <v>SEW</v>
          </cell>
          <cell r="AB1605" t="str">
            <v>-</v>
          </cell>
          <cell r="AE1605" t="str">
            <v>Work frequency 47Hz for 0,4m/sec</v>
          </cell>
          <cell r="AF1605">
            <v>15</v>
          </cell>
          <cell r="AG1605" t="str">
            <v>DRN132M4</v>
          </cell>
          <cell r="AH1605" t="str">
            <v>KH107-DRN132M4A270-X#</v>
          </cell>
        </row>
        <row r="1606">
          <cell r="A1606" t="str">
            <v>MR001602</v>
          </cell>
          <cell r="B1606" t="str">
            <v>MR</v>
          </cell>
          <cell r="C1606">
            <v>11</v>
          </cell>
          <cell r="D1606">
            <v>16</v>
          </cell>
          <cell r="E1606" t="str">
            <v>KH107</v>
          </cell>
          <cell r="F1606">
            <v>6480</v>
          </cell>
          <cell r="G1606">
            <v>90.96</v>
          </cell>
          <cell r="H1606">
            <v>1.25</v>
          </cell>
          <cell r="I1606" t="str">
            <v>From M1A to M2A - 30°</v>
          </cell>
          <cell r="J1606" t="str">
            <v>IE3</v>
          </cell>
          <cell r="K1606" t="str">
            <v>400/690</v>
          </cell>
          <cell r="L1606">
            <v>50</v>
          </cell>
          <cell r="M1606" t="str">
            <v>21/12,2</v>
          </cell>
          <cell r="N1606">
            <v>55</v>
          </cell>
          <cell r="O1606" t="str">
            <v>F(105°C)</v>
          </cell>
          <cell r="P1606" t="str">
            <v>270°</v>
          </cell>
          <cell r="Q1606" t="str">
            <v>TF</v>
          </cell>
          <cell r="R1606" t="str">
            <v>V(VE)</v>
          </cell>
          <cell r="S1606" t="str">
            <v>-</v>
          </cell>
          <cell r="T1606" t="str">
            <v>-</v>
          </cell>
          <cell r="U1606" t="str">
            <v>-</v>
          </cell>
          <cell r="V1606" t="str">
            <v>FC</v>
          </cell>
          <cell r="W1606" t="str">
            <v>-</v>
          </cell>
          <cell r="X1606" t="str">
            <v>CLP VG 220 = -15° + 40°</v>
          </cell>
          <cell r="Y1606" t="str">
            <v>KH107DRN160M4 /TF/V</v>
          </cell>
          <cell r="Z1606" t="str">
            <v>SEW</v>
          </cell>
          <cell r="AB1606" t="str">
            <v>-</v>
          </cell>
          <cell r="AE1606" t="str">
            <v>Work frequency 44Hz for 0,4m/sec</v>
          </cell>
          <cell r="AF1606">
            <v>16</v>
          </cell>
          <cell r="AG1606" t="str">
            <v>DRN160M4</v>
          </cell>
          <cell r="AH1606" t="str">
            <v>KH107-DRN160M4A270-X#</v>
          </cell>
        </row>
        <row r="1607">
          <cell r="A1607" t="str">
            <v>MR001603</v>
          </cell>
          <cell r="B1607" t="str">
            <v>MR</v>
          </cell>
          <cell r="C1607">
            <v>11</v>
          </cell>
          <cell r="D1607">
            <v>16</v>
          </cell>
          <cell r="E1607" t="str">
            <v>KH107</v>
          </cell>
          <cell r="F1607">
            <v>6480</v>
          </cell>
          <cell r="G1607">
            <v>90.96</v>
          </cell>
          <cell r="H1607">
            <v>1.25</v>
          </cell>
          <cell r="I1607" t="str">
            <v>From M1B to M2B - 30°</v>
          </cell>
          <cell r="J1607" t="str">
            <v>IE3</v>
          </cell>
          <cell r="K1607" t="str">
            <v>400/690</v>
          </cell>
          <cell r="L1607">
            <v>50</v>
          </cell>
          <cell r="M1607" t="str">
            <v>21/12,2</v>
          </cell>
          <cell r="N1607">
            <v>55</v>
          </cell>
          <cell r="O1607" t="str">
            <v>F(105°C)</v>
          </cell>
          <cell r="P1607" t="str">
            <v>270°</v>
          </cell>
          <cell r="Q1607" t="str">
            <v>TF</v>
          </cell>
          <cell r="R1607" t="str">
            <v>V(VE)</v>
          </cell>
          <cell r="S1607" t="str">
            <v>-</v>
          </cell>
          <cell r="T1607" t="str">
            <v>-</v>
          </cell>
          <cell r="U1607" t="str">
            <v>-</v>
          </cell>
          <cell r="V1607" t="str">
            <v>FC</v>
          </cell>
          <cell r="W1607" t="str">
            <v>-</v>
          </cell>
          <cell r="X1607" t="str">
            <v>CLP VG 220 = -15° + 40°</v>
          </cell>
          <cell r="Y1607" t="str">
            <v>KH107DRN160M4 /TF/V</v>
          </cell>
          <cell r="Z1607" t="str">
            <v>SEW</v>
          </cell>
          <cell r="AB1607" t="str">
            <v>-</v>
          </cell>
          <cell r="AE1607" t="str">
            <v>Work frequency 44Hz for 0,4m/sec</v>
          </cell>
          <cell r="AF1607">
            <v>16</v>
          </cell>
          <cell r="AG1607" t="str">
            <v>DRN160M4</v>
          </cell>
          <cell r="AH1607" t="str">
            <v>KH107-DRN160M4B270-X#</v>
          </cell>
        </row>
        <row r="1608">
          <cell r="A1608" t="str">
            <v>MR001604</v>
          </cell>
          <cell r="B1608" t="str">
            <v>MR</v>
          </cell>
          <cell r="C1608">
            <v>7.5</v>
          </cell>
          <cell r="D1608">
            <v>15</v>
          </cell>
          <cell r="E1608" t="str">
            <v>KH107</v>
          </cell>
          <cell r="F1608">
            <v>4910</v>
          </cell>
          <cell r="G1608">
            <v>100.75</v>
          </cell>
          <cell r="H1608">
            <v>1.65</v>
          </cell>
          <cell r="I1608" t="str">
            <v>From M1A to M2A - 10°</v>
          </cell>
          <cell r="J1608" t="str">
            <v>IE3</v>
          </cell>
          <cell r="K1608" t="str">
            <v>400/690</v>
          </cell>
          <cell r="L1608">
            <v>50</v>
          </cell>
          <cell r="M1608" t="str">
            <v>15,2/8,8</v>
          </cell>
          <cell r="N1608">
            <v>55</v>
          </cell>
          <cell r="O1608" t="str">
            <v>F(105°C)</v>
          </cell>
          <cell r="P1608" t="str">
            <v>270°</v>
          </cell>
          <cell r="Q1608" t="str">
            <v>TF</v>
          </cell>
          <cell r="R1608" t="str">
            <v>V(VE)</v>
          </cell>
          <cell r="S1608" t="str">
            <v>-</v>
          </cell>
          <cell r="T1608" t="str">
            <v>-</v>
          </cell>
          <cell r="U1608" t="str">
            <v>-</v>
          </cell>
          <cell r="V1608" t="str">
            <v>FC</v>
          </cell>
          <cell r="W1608" t="str">
            <v>-</v>
          </cell>
          <cell r="X1608" t="str">
            <v>CLP VG 220 = -15° + 40°</v>
          </cell>
          <cell r="Y1608" t="str">
            <v>KH107DRN132M4 /TF/V</v>
          </cell>
          <cell r="Z1608" t="str">
            <v>SEW</v>
          </cell>
          <cell r="AB1608" t="str">
            <v>-</v>
          </cell>
          <cell r="AE1608" t="str">
            <v>Work frequency 47Hz for 0,4m/sec</v>
          </cell>
          <cell r="AF1608">
            <v>15</v>
          </cell>
          <cell r="AG1608" t="str">
            <v>DRN132M4</v>
          </cell>
          <cell r="AH1608" t="str">
            <v>KH107-DRN132M4A270-X#</v>
          </cell>
        </row>
        <row r="1609">
          <cell r="A1609" t="str">
            <v>MR001605</v>
          </cell>
          <cell r="B1609" t="str">
            <v>MR</v>
          </cell>
          <cell r="C1609">
            <v>7.5</v>
          </cell>
          <cell r="D1609">
            <v>15</v>
          </cell>
          <cell r="E1609" t="str">
            <v>KH107</v>
          </cell>
          <cell r="F1609">
            <v>4910</v>
          </cell>
          <cell r="G1609">
            <v>100.75</v>
          </cell>
          <cell r="H1609">
            <v>1.65</v>
          </cell>
          <cell r="I1609" t="str">
            <v>From M1A to M2B - 10°</v>
          </cell>
          <cell r="J1609" t="str">
            <v>IE3</v>
          </cell>
          <cell r="K1609" t="str">
            <v>400/690</v>
          </cell>
          <cell r="L1609">
            <v>50</v>
          </cell>
          <cell r="M1609" t="str">
            <v>15,2/8,8</v>
          </cell>
          <cell r="N1609">
            <v>55</v>
          </cell>
          <cell r="O1609" t="str">
            <v>F(105°C)</v>
          </cell>
          <cell r="P1609" t="str">
            <v>270°</v>
          </cell>
          <cell r="Q1609" t="str">
            <v>TF</v>
          </cell>
          <cell r="R1609" t="str">
            <v>V(VE)</v>
          </cell>
          <cell r="S1609" t="str">
            <v>-</v>
          </cell>
          <cell r="T1609" t="str">
            <v>-</v>
          </cell>
          <cell r="U1609" t="str">
            <v>-</v>
          </cell>
          <cell r="V1609" t="str">
            <v>FC</v>
          </cell>
          <cell r="W1609" t="str">
            <v>-</v>
          </cell>
          <cell r="X1609" t="str">
            <v>CLP VG 220 = -15° + 40°</v>
          </cell>
          <cell r="Y1609" t="str">
            <v>KH107DRN132M4 /TF/V</v>
          </cell>
          <cell r="Z1609" t="str">
            <v>SEW</v>
          </cell>
          <cell r="AB1609" t="str">
            <v>-</v>
          </cell>
          <cell r="AE1609" t="str">
            <v>Work frequency 47Hz for 0,4m/sec</v>
          </cell>
          <cell r="AF1609">
            <v>15</v>
          </cell>
          <cell r="AG1609" t="str">
            <v>DRN132M4</v>
          </cell>
          <cell r="AH1609" t="str">
            <v>KH107-DRN132M4B270-X#</v>
          </cell>
        </row>
        <row r="1610">
          <cell r="A1610" t="str">
            <v>MR001606</v>
          </cell>
          <cell r="B1610" t="str">
            <v>MR</v>
          </cell>
          <cell r="C1610">
            <v>15</v>
          </cell>
          <cell r="D1610">
            <v>16</v>
          </cell>
          <cell r="E1610" t="str">
            <v>KH127</v>
          </cell>
          <cell r="F1610">
            <v>8730</v>
          </cell>
          <cell r="G1610">
            <v>89.89</v>
          </cell>
          <cell r="H1610">
            <v>1.5</v>
          </cell>
          <cell r="I1610" t="str">
            <v>From M1A to M2A - 45°</v>
          </cell>
          <cell r="J1610" t="str">
            <v>IE3</v>
          </cell>
          <cell r="K1610">
            <v>415</v>
          </cell>
          <cell r="L1610">
            <v>50</v>
          </cell>
          <cell r="M1610">
            <v>29</v>
          </cell>
          <cell r="N1610">
            <v>55</v>
          </cell>
          <cell r="O1610" t="str">
            <v>F(105°C)</v>
          </cell>
          <cell r="P1610" t="str">
            <v>270°</v>
          </cell>
          <cell r="Q1610" t="str">
            <v>TF</v>
          </cell>
          <cell r="R1610" t="str">
            <v>V(VE)</v>
          </cell>
          <cell r="S1610" t="str">
            <v>-</v>
          </cell>
          <cell r="T1610" t="str">
            <v>-</v>
          </cell>
          <cell r="U1610" t="str">
            <v>-</v>
          </cell>
          <cell r="V1610" t="str">
            <v>FC</v>
          </cell>
          <cell r="W1610" t="str">
            <v>-</v>
          </cell>
          <cell r="X1610" t="str">
            <v>CLP VG 220 = -15° + 40°</v>
          </cell>
          <cell r="Y1610" t="str">
            <v>KH127DRN160L4 /TF/V</v>
          </cell>
          <cell r="Z1610" t="str">
            <v>SEW</v>
          </cell>
          <cell r="AB1610" t="str">
            <v>-</v>
          </cell>
          <cell r="AF1610">
            <v>16</v>
          </cell>
          <cell r="AG1610" t="str">
            <v>DRN160L4</v>
          </cell>
          <cell r="AH1610" t="str">
            <v>KH127-DRN160L4A270-X#</v>
          </cell>
        </row>
        <row r="1611">
          <cell r="A1611" t="str">
            <v>MR001607</v>
          </cell>
          <cell r="B1611" t="str">
            <v>MR</v>
          </cell>
          <cell r="C1611">
            <v>7.5</v>
          </cell>
          <cell r="D1611">
            <v>54</v>
          </cell>
          <cell r="E1611" t="str">
            <v>R97</v>
          </cell>
          <cell r="F1611">
            <v>1320</v>
          </cell>
          <cell r="G1611">
            <v>27.19</v>
          </cell>
          <cell r="H1611">
            <v>1.95</v>
          </cell>
          <cell r="I1611" t="str">
            <v>From M1 to M4 - 10°</v>
          </cell>
          <cell r="J1611" t="str">
            <v>IE3</v>
          </cell>
          <cell r="K1611">
            <v>415</v>
          </cell>
          <cell r="L1611">
            <v>50</v>
          </cell>
          <cell r="M1611">
            <v>15.2</v>
          </cell>
          <cell r="N1611">
            <v>55</v>
          </cell>
          <cell r="O1611" t="str">
            <v>F(105°C)</v>
          </cell>
          <cell r="P1611" t="str">
            <v>270°</v>
          </cell>
          <cell r="Q1611" t="str">
            <v>-</v>
          </cell>
          <cell r="R1611" t="str">
            <v>-</v>
          </cell>
          <cell r="S1611" t="str">
            <v>-</v>
          </cell>
          <cell r="T1611" t="str">
            <v>-</v>
          </cell>
          <cell r="U1611" t="str">
            <v>-</v>
          </cell>
          <cell r="V1611" t="str">
            <v>D</v>
          </cell>
          <cell r="W1611" t="str">
            <v>-</v>
          </cell>
          <cell r="X1611" t="str">
            <v>CLP VG 220 = -15° + 40°</v>
          </cell>
          <cell r="Y1611" t="str">
            <v>R97DRN132M4</v>
          </cell>
          <cell r="Z1611" t="str">
            <v>SEW</v>
          </cell>
          <cell r="AB1611" t="str">
            <v>-</v>
          </cell>
          <cell r="AF1611">
            <v>54</v>
          </cell>
          <cell r="AG1611" t="str">
            <v>DRN132M4</v>
          </cell>
          <cell r="AH1611" t="str">
            <v>R97-DRN132M4270-X</v>
          </cell>
        </row>
        <row r="1612">
          <cell r="A1612" t="str">
            <v>MR001608</v>
          </cell>
          <cell r="B1612" t="str">
            <v>MR</v>
          </cell>
          <cell r="C1612">
            <v>4</v>
          </cell>
          <cell r="D1612">
            <v>63</v>
          </cell>
          <cell r="E1612" t="str">
            <v>R77</v>
          </cell>
          <cell r="F1612">
            <v>605</v>
          </cell>
          <cell r="G1612">
            <v>23.37</v>
          </cell>
          <cell r="H1612">
            <v>1.35</v>
          </cell>
          <cell r="I1612" t="str">
            <v>M1</v>
          </cell>
          <cell r="J1612" t="str">
            <v>IE3</v>
          </cell>
          <cell r="K1612">
            <v>415</v>
          </cell>
          <cell r="L1612">
            <v>50</v>
          </cell>
          <cell r="M1612">
            <v>7.9</v>
          </cell>
          <cell r="N1612">
            <v>55</v>
          </cell>
          <cell r="O1612" t="str">
            <v>F(105°C)</v>
          </cell>
          <cell r="P1612" t="str">
            <v>270°</v>
          </cell>
          <cell r="Q1612" t="str">
            <v>-</v>
          </cell>
          <cell r="R1612" t="str">
            <v>-</v>
          </cell>
          <cell r="S1612" t="str">
            <v>-</v>
          </cell>
          <cell r="T1612" t="str">
            <v>-</v>
          </cell>
          <cell r="U1612" t="str">
            <v>-</v>
          </cell>
          <cell r="V1612" t="str">
            <v>D</v>
          </cell>
          <cell r="W1612" t="str">
            <v>-</v>
          </cell>
          <cell r="X1612" t="str">
            <v>CLP VG 220 = -15° + 40°</v>
          </cell>
          <cell r="Y1612" t="str">
            <v>R77DRN112M4</v>
          </cell>
          <cell r="Z1612" t="str">
            <v>SEW</v>
          </cell>
          <cell r="AB1612" t="str">
            <v>-</v>
          </cell>
          <cell r="AF1612">
            <v>63</v>
          </cell>
          <cell r="AG1612" t="str">
            <v>DRN112M4</v>
          </cell>
          <cell r="AH1612" t="str">
            <v>R77-DRN112M4270-X</v>
          </cell>
        </row>
        <row r="1613">
          <cell r="A1613" t="str">
            <v>MR001609</v>
          </cell>
          <cell r="B1613" t="str">
            <v>MR</v>
          </cell>
          <cell r="C1613">
            <v>0.75</v>
          </cell>
          <cell r="D1613">
            <v>18</v>
          </cell>
          <cell r="E1613" t="str">
            <v>FA67</v>
          </cell>
          <cell r="F1613">
            <v>395</v>
          </cell>
          <cell r="G1613">
            <v>79.760000000000005</v>
          </cell>
          <cell r="H1613">
            <v>2.1</v>
          </cell>
          <cell r="I1613" t="str">
            <v>M6</v>
          </cell>
          <cell r="J1613" t="str">
            <v>IE3</v>
          </cell>
          <cell r="K1613">
            <v>415</v>
          </cell>
          <cell r="L1613">
            <v>50</v>
          </cell>
          <cell r="M1613">
            <v>1.75</v>
          </cell>
          <cell r="N1613">
            <v>55</v>
          </cell>
          <cell r="O1613" t="str">
            <v>F(105°C)</v>
          </cell>
          <cell r="P1613" t="str">
            <v>270°</v>
          </cell>
          <cell r="Q1613" t="str">
            <v>-</v>
          </cell>
          <cell r="R1613" t="str">
            <v>-</v>
          </cell>
          <cell r="S1613" t="str">
            <v>-</v>
          </cell>
          <cell r="T1613" t="str">
            <v>BEHF</v>
          </cell>
          <cell r="U1613" t="str">
            <v>G</v>
          </cell>
          <cell r="V1613" t="str">
            <v>D+R</v>
          </cell>
          <cell r="W1613" t="str">
            <v>-</v>
          </cell>
          <cell r="X1613" t="str">
            <v>CLP VG 220 = -15° + 40°</v>
          </cell>
          <cell r="Y1613" t="str">
            <v>FA67/G DRN80M4 /BEHF</v>
          </cell>
          <cell r="Z1613" t="str">
            <v>SEW</v>
          </cell>
          <cell r="AB1613" t="str">
            <v>-</v>
          </cell>
          <cell r="AF1613">
            <v>18</v>
          </cell>
          <cell r="AG1613" t="str">
            <v>DRN80M4</v>
          </cell>
          <cell r="AH1613" t="str">
            <v>FA67G-DRN80M4270-X</v>
          </cell>
        </row>
        <row r="1614">
          <cell r="A1614" t="str">
            <v>MR001610</v>
          </cell>
          <cell r="B1614" t="str">
            <v>MR</v>
          </cell>
          <cell r="C1614">
            <v>7.5</v>
          </cell>
          <cell r="D1614">
            <v>57</v>
          </cell>
          <cell r="E1614" t="str">
            <v>KH77</v>
          </cell>
          <cell r="F1614">
            <v>1240</v>
          </cell>
          <cell r="G1614">
            <v>25.62</v>
          </cell>
          <cell r="H1614">
            <v>1.25</v>
          </cell>
          <cell r="I1614" t="str">
            <v>M4A</v>
          </cell>
          <cell r="J1614" t="str">
            <v>IE3</v>
          </cell>
          <cell r="K1614" t="str">
            <v>400/690</v>
          </cell>
          <cell r="L1614">
            <v>50</v>
          </cell>
          <cell r="M1614" t="str">
            <v>15,2/8,8</v>
          </cell>
          <cell r="N1614">
            <v>55</v>
          </cell>
          <cell r="O1614" t="str">
            <v>F(105°C)</v>
          </cell>
          <cell r="P1614" t="str">
            <v>270°</v>
          </cell>
          <cell r="Q1614" t="str">
            <v>-</v>
          </cell>
          <cell r="R1614" t="str">
            <v>-</v>
          </cell>
          <cell r="S1614" t="str">
            <v>-</v>
          </cell>
          <cell r="T1614" t="str">
            <v>-</v>
          </cell>
          <cell r="U1614" t="str">
            <v>T</v>
          </cell>
          <cell r="V1614" t="str">
            <v>SS+R</v>
          </cell>
          <cell r="W1614" t="str">
            <v>-</v>
          </cell>
          <cell r="X1614" t="str">
            <v>CLP VG 220 = -15° + 40°</v>
          </cell>
          <cell r="Y1614" t="str">
            <v>KH77/T DRN132M4</v>
          </cell>
          <cell r="Z1614" t="str">
            <v>SEW</v>
          </cell>
          <cell r="AB1614" t="str">
            <v>-</v>
          </cell>
          <cell r="AF1614">
            <v>57</v>
          </cell>
          <cell r="AG1614" t="str">
            <v>DRN132M4</v>
          </cell>
          <cell r="AH1614" t="str">
            <v>KH77T-DRN132M4A270-X</v>
          </cell>
        </row>
        <row r="1615">
          <cell r="A1615" t="str">
            <v>MR001611</v>
          </cell>
          <cell r="B1615" t="str">
            <v>MR</v>
          </cell>
          <cell r="C1615">
            <v>5.5</v>
          </cell>
          <cell r="D1615">
            <v>62</v>
          </cell>
          <cell r="E1615" t="str">
            <v>R87</v>
          </cell>
          <cell r="F1615">
            <v>840</v>
          </cell>
          <cell r="G1615">
            <v>23.4</v>
          </cell>
          <cell r="H1615">
            <v>1.85</v>
          </cell>
          <cell r="I1615" t="str">
            <v>From M1 to M4 - 20°</v>
          </cell>
          <cell r="J1615" t="str">
            <v>IE3</v>
          </cell>
          <cell r="K1615" t="str">
            <v>230/400</v>
          </cell>
          <cell r="L1615">
            <v>50</v>
          </cell>
          <cell r="M1615" t="str">
            <v>18,2/10,5</v>
          </cell>
          <cell r="N1615">
            <v>55</v>
          </cell>
          <cell r="O1615" t="str">
            <v>F(105°C)</v>
          </cell>
          <cell r="P1615" t="str">
            <v>270°</v>
          </cell>
          <cell r="Q1615" t="str">
            <v>-</v>
          </cell>
          <cell r="R1615" t="str">
            <v>-</v>
          </cell>
          <cell r="S1615" t="str">
            <v>-</v>
          </cell>
          <cell r="T1615" t="str">
            <v>-</v>
          </cell>
          <cell r="U1615" t="str">
            <v>-</v>
          </cell>
          <cell r="V1615" t="str">
            <v>D</v>
          </cell>
          <cell r="W1615" t="str">
            <v>-</v>
          </cell>
          <cell r="X1615" t="str">
            <v>CLP VG 220 = -15° + 40°</v>
          </cell>
          <cell r="Y1615" t="str">
            <v>R87DRN132S4</v>
          </cell>
          <cell r="Z1615" t="str">
            <v>SEW</v>
          </cell>
          <cell r="AB1615" t="str">
            <v>-</v>
          </cell>
          <cell r="AF1615">
            <v>62</v>
          </cell>
          <cell r="AG1615" t="str">
            <v>DRN132S4</v>
          </cell>
          <cell r="AH1615" t="str">
            <v>R87-DRN132S4270-X</v>
          </cell>
        </row>
        <row r="1616">
          <cell r="A1616" t="str">
            <v>MR001612</v>
          </cell>
          <cell r="B1616" t="str">
            <v>MR</v>
          </cell>
          <cell r="C1616">
            <v>7.5</v>
          </cell>
          <cell r="D1616">
            <v>15</v>
          </cell>
          <cell r="E1616" t="str">
            <v>KH107</v>
          </cell>
          <cell r="F1616">
            <v>4920</v>
          </cell>
          <cell r="G1616">
            <v>100.75</v>
          </cell>
          <cell r="H1616">
            <v>1.45</v>
          </cell>
          <cell r="I1616" t="str">
            <v>From M1A to M2A - 10°</v>
          </cell>
          <cell r="J1616" t="str">
            <v>IE3</v>
          </cell>
          <cell r="K1616" t="str">
            <v>400/690</v>
          </cell>
          <cell r="L1616">
            <v>50</v>
          </cell>
          <cell r="M1616" t="str">
            <v>15,2/8,8</v>
          </cell>
          <cell r="N1616">
            <v>55</v>
          </cell>
          <cell r="O1616" t="str">
            <v>F(105°C)</v>
          </cell>
          <cell r="P1616" t="str">
            <v>270°</v>
          </cell>
          <cell r="Q1616" t="str">
            <v>TF</v>
          </cell>
          <cell r="R1616" t="str">
            <v>V(VE)</v>
          </cell>
          <cell r="S1616" t="str">
            <v>-</v>
          </cell>
          <cell r="T1616" t="str">
            <v>-</v>
          </cell>
          <cell r="U1616" t="str">
            <v>-</v>
          </cell>
          <cell r="V1616" t="str">
            <v>FC</v>
          </cell>
          <cell r="W1616" t="str">
            <v>-</v>
          </cell>
          <cell r="X1616" t="str">
            <v>CLP HC VG 220 = -20° + 60°</v>
          </cell>
          <cell r="Y1616" t="str">
            <v>KH107EDRN132M4 /TF/VE</v>
          </cell>
          <cell r="Z1616" t="str">
            <v>SEW</v>
          </cell>
          <cell r="AB1616" t="str">
            <v>ATEX22</v>
          </cell>
          <cell r="AE1616" t="str">
            <v>Work frequency 47Hz for 0,4m/sec</v>
          </cell>
          <cell r="AF1616">
            <v>15</v>
          </cell>
          <cell r="AG1616" t="str">
            <v>EDRN132M4</v>
          </cell>
          <cell r="AH1616" t="str">
            <v>KH107-EDRN132M4A270-X#</v>
          </cell>
        </row>
        <row r="1617">
          <cell r="A1617" t="str">
            <v>MR001613</v>
          </cell>
          <cell r="B1617" t="str">
            <v>MR</v>
          </cell>
          <cell r="C1617">
            <v>7.5</v>
          </cell>
          <cell r="D1617">
            <v>15</v>
          </cell>
          <cell r="E1617" t="str">
            <v>KH107</v>
          </cell>
          <cell r="F1617">
            <v>4920</v>
          </cell>
          <cell r="G1617">
            <v>100.75</v>
          </cell>
          <cell r="H1617">
            <v>1.45</v>
          </cell>
          <cell r="I1617" t="str">
            <v>From M1B to M2B - 10°</v>
          </cell>
          <cell r="J1617" t="str">
            <v>IE3</v>
          </cell>
          <cell r="K1617" t="str">
            <v>400/690</v>
          </cell>
          <cell r="L1617">
            <v>50</v>
          </cell>
          <cell r="M1617" t="str">
            <v>15,2/8,8</v>
          </cell>
          <cell r="N1617">
            <v>55</v>
          </cell>
          <cell r="O1617" t="str">
            <v>F(105°C)</v>
          </cell>
          <cell r="P1617" t="str">
            <v>270°</v>
          </cell>
          <cell r="Q1617" t="str">
            <v>TF</v>
          </cell>
          <cell r="R1617" t="str">
            <v>V(VE)</v>
          </cell>
          <cell r="S1617" t="str">
            <v>-</v>
          </cell>
          <cell r="T1617" t="str">
            <v>-</v>
          </cell>
          <cell r="U1617" t="str">
            <v>-</v>
          </cell>
          <cell r="V1617" t="str">
            <v>FC</v>
          </cell>
          <cell r="W1617" t="str">
            <v>-</v>
          </cell>
          <cell r="X1617" t="str">
            <v>CLP HC VG 220 = -20° + 60°</v>
          </cell>
          <cell r="Y1617" t="str">
            <v>KH107EDRN132M4 /TF/VE</v>
          </cell>
          <cell r="Z1617" t="str">
            <v>SEW</v>
          </cell>
          <cell r="AB1617" t="str">
            <v>ATEX22</v>
          </cell>
          <cell r="AE1617" t="str">
            <v>Work frequency 47Hz for 0,4m/sec</v>
          </cell>
          <cell r="AF1617">
            <v>15</v>
          </cell>
          <cell r="AG1617" t="str">
            <v>EDRN132M4</v>
          </cell>
          <cell r="AH1617" t="str">
            <v>KH107-EDRN132M4B270-X#</v>
          </cell>
        </row>
        <row r="1618">
          <cell r="A1618" t="str">
            <v>MR001614</v>
          </cell>
          <cell r="B1618" t="str">
            <v>MR</v>
          </cell>
          <cell r="C1618">
            <v>0.18</v>
          </cell>
          <cell r="D1618">
            <v>2</v>
          </cell>
          <cell r="E1618" t="str">
            <v>KA67R37</v>
          </cell>
          <cell r="F1618">
            <v>700</v>
          </cell>
          <cell r="G1618">
            <v>697</v>
          </cell>
          <cell r="H1618">
            <v>1.1499999999999999</v>
          </cell>
          <cell r="I1618" t="str">
            <v>M3B</v>
          </cell>
          <cell r="J1618" t="str">
            <v>IE3</v>
          </cell>
          <cell r="K1618" t="str">
            <v>230/400</v>
          </cell>
          <cell r="L1618">
            <v>50</v>
          </cell>
          <cell r="M1618" t="str">
            <v>0,98/0,56</v>
          </cell>
          <cell r="N1618">
            <v>55</v>
          </cell>
          <cell r="O1618" t="str">
            <v>F(105°C)</v>
          </cell>
          <cell r="P1618" t="str">
            <v>270°</v>
          </cell>
          <cell r="Q1618" t="str">
            <v>TF</v>
          </cell>
          <cell r="R1618" t="str">
            <v>V(VE)</v>
          </cell>
          <cell r="S1618" t="str">
            <v>-</v>
          </cell>
          <cell r="T1618" t="str">
            <v>BEHF</v>
          </cell>
          <cell r="U1618" t="str">
            <v>T</v>
          </cell>
          <cell r="V1618" t="str">
            <v>FC+R</v>
          </cell>
          <cell r="W1618" t="str">
            <v>-</v>
          </cell>
          <cell r="X1618" t="str">
            <v>CLP HC VG 220 = -20° + 60°</v>
          </cell>
          <cell r="Y1618" t="str">
            <v>KA67R37/T EDRS71S4 /BEHF /TF/VE</v>
          </cell>
          <cell r="Z1618" t="str">
            <v>SEW</v>
          </cell>
          <cell r="AB1618" t="str">
            <v>ATEX22</v>
          </cell>
          <cell r="AF1618">
            <v>2</v>
          </cell>
          <cell r="AG1618" t="str">
            <v>EDRS71S4</v>
          </cell>
          <cell r="AH1618" t="str">
            <v>KA67R37T-EDRS71S4B270-X#</v>
          </cell>
        </row>
        <row r="1619">
          <cell r="A1619" t="str">
            <v>MR001615</v>
          </cell>
          <cell r="B1619" t="str">
            <v>MR</v>
          </cell>
          <cell r="C1619">
            <v>11</v>
          </cell>
          <cell r="D1619">
            <v>18</v>
          </cell>
          <cell r="E1619" t="str">
            <v>KH107</v>
          </cell>
          <cell r="F1619">
            <v>5900</v>
          </cell>
          <cell r="G1619">
            <v>82.61</v>
          </cell>
          <cell r="H1619">
            <v>1.25</v>
          </cell>
          <cell r="I1619" t="str">
            <v>From M1A to M2A - 30°</v>
          </cell>
          <cell r="J1619" t="str">
            <v>IE3</v>
          </cell>
          <cell r="K1619" t="str">
            <v>400/690</v>
          </cell>
          <cell r="L1619">
            <v>50</v>
          </cell>
          <cell r="M1619" t="str">
            <v>22/12,7</v>
          </cell>
          <cell r="N1619">
            <v>55</v>
          </cell>
          <cell r="O1619" t="str">
            <v>F(105°C)</v>
          </cell>
          <cell r="P1619" t="str">
            <v>270°</v>
          </cell>
          <cell r="Q1619" t="str">
            <v>TF</v>
          </cell>
          <cell r="R1619" t="str">
            <v>V(VE)</v>
          </cell>
          <cell r="S1619" t="str">
            <v>-</v>
          </cell>
          <cell r="T1619" t="str">
            <v>-</v>
          </cell>
          <cell r="U1619" t="str">
            <v>-</v>
          </cell>
          <cell r="V1619" t="str">
            <v>FC</v>
          </cell>
          <cell r="W1619" t="str">
            <v>-</v>
          </cell>
          <cell r="X1619" t="str">
            <v>CLP HC VG 220 = -20° + 60°</v>
          </cell>
          <cell r="Y1619" t="str">
            <v>KH107EDRN160M4 /TF/VE</v>
          </cell>
          <cell r="Z1619" t="str">
            <v>SEW</v>
          </cell>
          <cell r="AB1619" t="str">
            <v>ATEX22</v>
          </cell>
          <cell r="AE1619" t="str">
            <v>Work frequency 44Hz for 0,4m/sec</v>
          </cell>
          <cell r="AF1619">
            <v>18</v>
          </cell>
          <cell r="AG1619" t="str">
            <v>EDRN160M4</v>
          </cell>
          <cell r="AH1619" t="str">
            <v>KH107-EDRN160M4A270-X#</v>
          </cell>
        </row>
        <row r="1620">
          <cell r="A1620" t="str">
            <v>MR001616</v>
          </cell>
          <cell r="B1620" t="str">
            <v>MR</v>
          </cell>
          <cell r="C1620">
            <v>11</v>
          </cell>
          <cell r="D1620">
            <v>18</v>
          </cell>
          <cell r="E1620" t="str">
            <v>KH107</v>
          </cell>
          <cell r="F1620">
            <v>5900</v>
          </cell>
          <cell r="G1620">
            <v>82.61</v>
          </cell>
          <cell r="H1620">
            <v>1.25</v>
          </cell>
          <cell r="I1620" t="str">
            <v>From M1B to M2B - 30°</v>
          </cell>
          <cell r="J1620" t="str">
            <v>IE3</v>
          </cell>
          <cell r="K1620" t="str">
            <v>400/690</v>
          </cell>
          <cell r="L1620">
            <v>50</v>
          </cell>
          <cell r="M1620" t="str">
            <v>22/12,7</v>
          </cell>
          <cell r="N1620">
            <v>55</v>
          </cell>
          <cell r="O1620" t="str">
            <v>F(105°C)</v>
          </cell>
          <cell r="P1620" t="str">
            <v>270°</v>
          </cell>
          <cell r="Q1620" t="str">
            <v>TF</v>
          </cell>
          <cell r="R1620" t="str">
            <v>V(VE)</v>
          </cell>
          <cell r="S1620" t="str">
            <v>-</v>
          </cell>
          <cell r="T1620" t="str">
            <v>-</v>
          </cell>
          <cell r="U1620" t="str">
            <v>-</v>
          </cell>
          <cell r="V1620" t="str">
            <v>FC</v>
          </cell>
          <cell r="W1620" t="str">
            <v>-</v>
          </cell>
          <cell r="X1620" t="str">
            <v>CLP HC VG 220 = -20° + 60°</v>
          </cell>
          <cell r="Y1620" t="str">
            <v>KH107EDRN160M4 /TF/VE</v>
          </cell>
          <cell r="Z1620" t="str">
            <v>SEW</v>
          </cell>
          <cell r="AB1620" t="str">
            <v>ATEX22</v>
          </cell>
          <cell r="AE1620" t="str">
            <v>Work frequency 44Hz for 0,4m/sec</v>
          </cell>
          <cell r="AF1620">
            <v>18</v>
          </cell>
          <cell r="AG1620" t="str">
            <v>EDRN160M4</v>
          </cell>
          <cell r="AH1620" t="str">
            <v>KH107-EDRN160M4B270-X#</v>
          </cell>
        </row>
        <row r="1621">
          <cell r="A1621" t="str">
            <v>MR001617</v>
          </cell>
          <cell r="B1621" t="str">
            <v>MR</v>
          </cell>
          <cell r="C1621">
            <v>5.5</v>
          </cell>
          <cell r="D1621">
            <v>62</v>
          </cell>
          <cell r="E1621" t="str">
            <v>R87</v>
          </cell>
          <cell r="F1621">
            <v>840</v>
          </cell>
          <cell r="G1621">
            <v>23.4</v>
          </cell>
          <cell r="H1621">
            <v>1.85</v>
          </cell>
          <cell r="I1621" t="str">
            <v>From M1 to M4 - 5°</v>
          </cell>
          <cell r="J1621" t="str">
            <v>IE3</v>
          </cell>
          <cell r="K1621" t="str">
            <v>230/400</v>
          </cell>
          <cell r="L1621">
            <v>50</v>
          </cell>
          <cell r="M1621">
            <v>43788</v>
          </cell>
          <cell r="N1621">
            <v>55</v>
          </cell>
          <cell r="O1621" t="str">
            <v>F(105°C)</v>
          </cell>
          <cell r="P1621" t="str">
            <v>270°</v>
          </cell>
          <cell r="Q1621" t="str">
            <v>-</v>
          </cell>
          <cell r="R1621" t="str">
            <v>-</v>
          </cell>
          <cell r="S1621" t="str">
            <v>-</v>
          </cell>
          <cell r="T1621" t="str">
            <v>-</v>
          </cell>
          <cell r="U1621" t="str">
            <v>-</v>
          </cell>
          <cell r="V1621" t="str">
            <v>D</v>
          </cell>
          <cell r="W1621" t="str">
            <v>-</v>
          </cell>
          <cell r="X1621" t="str">
            <v>CLP HC VG 220 = -20° + 60°</v>
          </cell>
          <cell r="Y1621" t="str">
            <v>R87EDRN132S4</v>
          </cell>
          <cell r="Z1621" t="str">
            <v>SEW</v>
          </cell>
          <cell r="AB1621" t="str">
            <v>ATEX22</v>
          </cell>
          <cell r="AF1621">
            <v>62</v>
          </cell>
          <cell r="AG1621" t="str">
            <v>EDRN132S4</v>
          </cell>
          <cell r="AH1621" t="str">
            <v>R87-EDRN132S4270-X</v>
          </cell>
        </row>
        <row r="1622">
          <cell r="A1622" t="str">
            <v>MR001618</v>
          </cell>
          <cell r="B1622" t="str">
            <v>MR</v>
          </cell>
          <cell r="C1622">
            <v>15</v>
          </cell>
          <cell r="D1622">
            <v>27</v>
          </cell>
          <cell r="E1622" t="str">
            <v>R127</v>
          </cell>
          <cell r="F1622">
            <v>5350</v>
          </cell>
          <cell r="G1622">
            <v>55.09</v>
          </cell>
          <cell r="H1622">
            <v>1.1000000000000001</v>
          </cell>
          <cell r="I1622" t="str">
            <v>From M5 to M4 - 15°</v>
          </cell>
          <cell r="J1622" t="str">
            <v>IE3</v>
          </cell>
          <cell r="K1622" t="str">
            <v>400/690</v>
          </cell>
          <cell r="L1622">
            <v>50</v>
          </cell>
          <cell r="M1622" t="str">
            <v>29/16,7</v>
          </cell>
          <cell r="N1622">
            <v>55</v>
          </cell>
          <cell r="O1622" t="str">
            <v>F(105°C)</v>
          </cell>
          <cell r="P1622" t="str">
            <v>270°</v>
          </cell>
          <cell r="Q1622" t="str">
            <v>TF</v>
          </cell>
          <cell r="R1622" t="str">
            <v>V(VE)</v>
          </cell>
          <cell r="S1622" t="str">
            <v>-</v>
          </cell>
          <cell r="T1622" t="str">
            <v>-</v>
          </cell>
          <cell r="U1622" t="str">
            <v>-</v>
          </cell>
          <cell r="V1622" t="str">
            <v>FC</v>
          </cell>
          <cell r="W1622" t="str">
            <v>-</v>
          </cell>
          <cell r="X1622" t="str">
            <v>CLP HC VG 220 = -20° + 60°</v>
          </cell>
          <cell r="Y1622" t="str">
            <v>R127DRN160L4 /TF/V</v>
          </cell>
          <cell r="Z1622" t="str">
            <v>SEW</v>
          </cell>
          <cell r="AB1622" t="str">
            <v>-</v>
          </cell>
          <cell r="AF1622">
            <v>27</v>
          </cell>
          <cell r="AG1622" t="str">
            <v>DRN160L4</v>
          </cell>
          <cell r="AH1622" t="str">
            <v>R127-DRN160L4270-X#</v>
          </cell>
        </row>
        <row r="1623">
          <cell r="A1623" t="str">
            <v>MR001619</v>
          </cell>
          <cell r="B1623" t="str">
            <v>MR</v>
          </cell>
          <cell r="C1623">
            <v>15</v>
          </cell>
          <cell r="D1623">
            <v>27</v>
          </cell>
          <cell r="E1623" t="str">
            <v>R127</v>
          </cell>
          <cell r="F1623">
            <v>5350</v>
          </cell>
          <cell r="G1623">
            <v>55.09</v>
          </cell>
          <cell r="H1623">
            <v>1.1000000000000001</v>
          </cell>
          <cell r="I1623" t="str">
            <v>From M6 to M4 - 15°</v>
          </cell>
          <cell r="J1623" t="str">
            <v>IE3</v>
          </cell>
          <cell r="K1623" t="str">
            <v>400/690</v>
          </cell>
          <cell r="L1623">
            <v>50</v>
          </cell>
          <cell r="M1623" t="str">
            <v>29/16,7</v>
          </cell>
          <cell r="N1623">
            <v>55</v>
          </cell>
          <cell r="O1623" t="str">
            <v>F(105°C)</v>
          </cell>
          <cell r="P1623" t="str">
            <v>270°</v>
          </cell>
          <cell r="Q1623" t="str">
            <v>TF</v>
          </cell>
          <cell r="R1623" t="str">
            <v>V(VE)</v>
          </cell>
          <cell r="S1623" t="str">
            <v>-</v>
          </cell>
          <cell r="T1623" t="str">
            <v>-</v>
          </cell>
          <cell r="U1623" t="str">
            <v>-</v>
          </cell>
          <cell r="V1623" t="str">
            <v>FC</v>
          </cell>
          <cell r="W1623" t="str">
            <v>-</v>
          </cell>
          <cell r="X1623" t="str">
            <v>CLP HC VG 220 = -20° + 60°</v>
          </cell>
          <cell r="Y1623" t="str">
            <v>R127DRN160L4 /TF/V</v>
          </cell>
          <cell r="Z1623" t="str">
            <v>SEW</v>
          </cell>
          <cell r="AB1623" t="str">
            <v>-</v>
          </cell>
          <cell r="AF1623">
            <v>27</v>
          </cell>
          <cell r="AG1623" t="str">
            <v>DRN160L4</v>
          </cell>
          <cell r="AH1623" t="str">
            <v>R127-DRN160L4270-X#</v>
          </cell>
        </row>
        <row r="1624">
          <cell r="A1624" t="str">
            <v>MR001620</v>
          </cell>
          <cell r="B1624" t="str">
            <v>MR</v>
          </cell>
          <cell r="C1624">
            <v>0.37</v>
          </cell>
          <cell r="D1624">
            <v>3.4</v>
          </cell>
          <cell r="E1624" t="str">
            <v>KA67R37</v>
          </cell>
          <cell r="F1624">
            <v>920</v>
          </cell>
          <cell r="G1624">
            <v>420</v>
          </cell>
          <cell r="H1624">
            <v>0.9</v>
          </cell>
          <cell r="I1624" t="str">
            <v>M3B</v>
          </cell>
          <cell r="J1624" t="str">
            <v>IE3</v>
          </cell>
          <cell r="K1624" t="str">
            <v>230/400</v>
          </cell>
          <cell r="L1624">
            <v>50</v>
          </cell>
          <cell r="M1624" t="str">
            <v>1,78/1,02</v>
          </cell>
          <cell r="N1624">
            <v>55</v>
          </cell>
          <cell r="O1624" t="str">
            <v>F(105°C)</v>
          </cell>
          <cell r="P1624" t="str">
            <v>270°</v>
          </cell>
          <cell r="Q1624" t="str">
            <v>-</v>
          </cell>
          <cell r="R1624" t="str">
            <v>-</v>
          </cell>
          <cell r="S1624" t="str">
            <v>-</v>
          </cell>
          <cell r="T1624" t="str">
            <v>BEHF</v>
          </cell>
          <cell r="U1624" t="str">
            <v>T</v>
          </cell>
          <cell r="V1624" t="str">
            <v>D+R</v>
          </cell>
          <cell r="W1624" t="str">
            <v>-</v>
          </cell>
          <cell r="X1624" t="str">
            <v>CLP HC VG 220 = -20° + 60°</v>
          </cell>
          <cell r="Y1624" t="str">
            <v>KA67R37/T DRS71S4 /BEHF</v>
          </cell>
          <cell r="Z1624" t="str">
            <v>SEW</v>
          </cell>
          <cell r="AB1624" t="str">
            <v>-</v>
          </cell>
          <cell r="AF1624">
            <v>3.4</v>
          </cell>
          <cell r="AG1624" t="str">
            <v>DRS71S4</v>
          </cell>
          <cell r="AH1624" t="str">
            <v>KA67R37T-DRS71S4B270-X</v>
          </cell>
        </row>
        <row r="1625">
          <cell r="A1625" t="str">
            <v>MR001621</v>
          </cell>
          <cell r="B1625" t="str">
            <v>MR</v>
          </cell>
          <cell r="C1625">
            <v>15</v>
          </cell>
          <cell r="D1625">
            <v>20</v>
          </cell>
          <cell r="E1625" t="str">
            <v>R137</v>
          </cell>
          <cell r="F1625">
            <v>7140</v>
          </cell>
          <cell r="G1625">
            <v>73.489999999999995</v>
          </cell>
          <cell r="H1625">
            <v>1.1000000000000001</v>
          </cell>
          <cell r="I1625" t="str">
            <v>M1</v>
          </cell>
          <cell r="J1625" t="str">
            <v>IE3</v>
          </cell>
          <cell r="K1625" t="str">
            <v>400/690</v>
          </cell>
          <cell r="L1625">
            <v>50</v>
          </cell>
          <cell r="M1625" t="str">
            <v>29/16,7</v>
          </cell>
          <cell r="N1625">
            <v>54</v>
          </cell>
          <cell r="O1625" t="str">
            <v>F(105°C)</v>
          </cell>
          <cell r="P1625" t="str">
            <v>270°</v>
          </cell>
          <cell r="Q1625" t="str">
            <v>TF</v>
          </cell>
          <cell r="R1625" t="str">
            <v>V(VE)</v>
          </cell>
          <cell r="S1625" t="str">
            <v>-</v>
          </cell>
          <cell r="T1625" t="str">
            <v>-</v>
          </cell>
          <cell r="U1625" t="str">
            <v>-</v>
          </cell>
          <cell r="V1625" t="str">
            <v>FC</v>
          </cell>
          <cell r="W1625" t="str">
            <v>-</v>
          </cell>
          <cell r="X1625" t="str">
            <v>CLP HC VG 220 = -20° + 60°</v>
          </cell>
          <cell r="Y1625" t="str">
            <v>R137DRN160L4 /TF/V</v>
          </cell>
          <cell r="Z1625" t="str">
            <v>SEW</v>
          </cell>
          <cell r="AB1625" t="str">
            <v>-</v>
          </cell>
          <cell r="AF1625">
            <v>20</v>
          </cell>
          <cell r="AG1625" t="str">
            <v>DRN160L4</v>
          </cell>
          <cell r="AH1625" t="str">
            <v>R137-DRN160L4270-X#</v>
          </cell>
        </row>
        <row r="1626">
          <cell r="A1626" t="str">
            <v>MR001622</v>
          </cell>
          <cell r="B1626" t="str">
            <v>MR</v>
          </cell>
          <cell r="C1626">
            <v>15</v>
          </cell>
          <cell r="D1626">
            <v>13</v>
          </cell>
          <cell r="E1626" t="str">
            <v>KH127</v>
          </cell>
          <cell r="F1626">
            <v>10700</v>
          </cell>
          <cell r="G1626">
            <v>110.18</v>
          </cell>
          <cell r="H1626">
            <v>1.2</v>
          </cell>
          <cell r="I1626" t="str">
            <v>From M4A to M1A - 40°</v>
          </cell>
          <cell r="J1626" t="str">
            <v>IE3</v>
          </cell>
          <cell r="K1626" t="str">
            <v>400/690</v>
          </cell>
          <cell r="L1626">
            <v>50</v>
          </cell>
          <cell r="M1626" t="str">
            <v>29/16,7</v>
          </cell>
          <cell r="N1626">
            <v>55</v>
          </cell>
          <cell r="O1626" t="str">
            <v>F(105°C)</v>
          </cell>
          <cell r="P1626" t="str">
            <v>270°</v>
          </cell>
          <cell r="Q1626" t="str">
            <v>TF</v>
          </cell>
          <cell r="R1626" t="str">
            <v>V(VE)</v>
          </cell>
          <cell r="S1626" t="str">
            <v>-</v>
          </cell>
          <cell r="T1626" t="str">
            <v>-</v>
          </cell>
          <cell r="U1626" t="str">
            <v>-</v>
          </cell>
          <cell r="V1626" t="str">
            <v>FC</v>
          </cell>
          <cell r="W1626" t="str">
            <v>-</v>
          </cell>
          <cell r="X1626" t="str">
            <v>CLP HC VG 220 = -20° + 60°</v>
          </cell>
          <cell r="Y1626" t="str">
            <v>KH127DRN160L4 /TF/V</v>
          </cell>
          <cell r="Z1626" t="str">
            <v>SEW</v>
          </cell>
          <cell r="AB1626" t="str">
            <v>-</v>
          </cell>
          <cell r="AF1626">
            <v>13</v>
          </cell>
          <cell r="AG1626" t="str">
            <v>DRN160L4</v>
          </cell>
          <cell r="AH1626" t="str">
            <v>KH127-DRN160L4A270-X#</v>
          </cell>
        </row>
        <row r="1627">
          <cell r="A1627" t="str">
            <v>MR001623</v>
          </cell>
          <cell r="B1627" t="str">
            <v>MR</v>
          </cell>
          <cell r="C1627">
            <v>15</v>
          </cell>
          <cell r="D1627">
            <v>13</v>
          </cell>
          <cell r="E1627" t="str">
            <v>KH127</v>
          </cell>
          <cell r="F1627">
            <v>10700</v>
          </cell>
          <cell r="G1627">
            <v>110.18</v>
          </cell>
          <cell r="H1627">
            <v>1.2</v>
          </cell>
          <cell r="I1627" t="str">
            <v>From M4B to M1B - 40°</v>
          </cell>
          <cell r="J1627" t="str">
            <v>IE3</v>
          </cell>
          <cell r="K1627" t="str">
            <v>400/690</v>
          </cell>
          <cell r="L1627">
            <v>50</v>
          </cell>
          <cell r="M1627" t="str">
            <v>29/16,7</v>
          </cell>
          <cell r="N1627">
            <v>55</v>
          </cell>
          <cell r="O1627" t="str">
            <v>F(105°C)</v>
          </cell>
          <cell r="P1627" t="str">
            <v>270°</v>
          </cell>
          <cell r="Q1627" t="str">
            <v>TF</v>
          </cell>
          <cell r="R1627" t="str">
            <v>V(VE)</v>
          </cell>
          <cell r="S1627" t="str">
            <v>-</v>
          </cell>
          <cell r="T1627" t="str">
            <v>-</v>
          </cell>
          <cell r="U1627" t="str">
            <v>-</v>
          </cell>
          <cell r="V1627" t="str">
            <v>FC</v>
          </cell>
          <cell r="W1627" t="str">
            <v>-</v>
          </cell>
          <cell r="X1627" t="str">
            <v>CLP HC VG 220 = -20° + 60°</v>
          </cell>
          <cell r="Y1627" t="str">
            <v>KH127DRN160L4 /TF/V</v>
          </cell>
          <cell r="Z1627" t="str">
            <v>SEW</v>
          </cell>
          <cell r="AB1627" t="str">
            <v>-</v>
          </cell>
          <cell r="AF1627">
            <v>13</v>
          </cell>
          <cell r="AG1627" t="str">
            <v>DRN160L4</v>
          </cell>
          <cell r="AH1627" t="str">
            <v>KH127-DRN160L4B270-X#</v>
          </cell>
        </row>
        <row r="1628">
          <cell r="A1628" t="str">
            <v>MR001624</v>
          </cell>
          <cell r="B1628" t="str">
            <v>MR</v>
          </cell>
          <cell r="C1628">
            <v>5.5</v>
          </cell>
          <cell r="D1628">
            <v>62</v>
          </cell>
          <cell r="E1628" t="str">
            <v>R87</v>
          </cell>
          <cell r="F1628">
            <v>840</v>
          </cell>
          <cell r="G1628">
            <v>23.4</v>
          </cell>
          <cell r="H1628">
            <v>1.85</v>
          </cell>
          <cell r="I1628" t="str">
            <v>From M1 to M4 - 20°</v>
          </cell>
          <cell r="J1628" t="str">
            <v>IE3</v>
          </cell>
          <cell r="K1628" t="str">
            <v>230/400</v>
          </cell>
          <cell r="L1628">
            <v>50</v>
          </cell>
          <cell r="M1628" t="str">
            <v>18,2/10,5</v>
          </cell>
          <cell r="N1628">
            <v>55</v>
          </cell>
          <cell r="O1628" t="str">
            <v>F(105°C)</v>
          </cell>
          <cell r="P1628" t="str">
            <v>270°</v>
          </cell>
          <cell r="Q1628" t="str">
            <v>-</v>
          </cell>
          <cell r="R1628" t="str">
            <v>-</v>
          </cell>
          <cell r="S1628" t="str">
            <v>-</v>
          </cell>
          <cell r="T1628" t="str">
            <v>-</v>
          </cell>
          <cell r="U1628" t="str">
            <v>-</v>
          </cell>
          <cell r="V1628" t="str">
            <v>D</v>
          </cell>
          <cell r="W1628" t="str">
            <v>-</v>
          </cell>
          <cell r="X1628" t="str">
            <v>CLP HC VG 220 = -20° + 60°</v>
          </cell>
          <cell r="Y1628" t="str">
            <v>R87DRN132S4</v>
          </cell>
          <cell r="Z1628" t="str">
            <v>SEW</v>
          </cell>
          <cell r="AB1628" t="str">
            <v>-</v>
          </cell>
          <cell r="AF1628">
            <v>62</v>
          </cell>
          <cell r="AG1628" t="str">
            <v>DRN132S4</v>
          </cell>
          <cell r="AH1628" t="str">
            <v>R87-DRN132S4270-X</v>
          </cell>
        </row>
        <row r="1629">
          <cell r="A1629" t="str">
            <v>MR001625</v>
          </cell>
          <cell r="B1629" t="str">
            <v>MR</v>
          </cell>
          <cell r="C1629">
            <v>7.5</v>
          </cell>
          <cell r="D1629">
            <v>15</v>
          </cell>
          <cell r="E1629" t="str">
            <v>KH107</v>
          </cell>
          <cell r="F1629">
            <v>4910</v>
          </cell>
          <cell r="G1629">
            <v>100.75</v>
          </cell>
          <cell r="H1629">
            <v>1.65</v>
          </cell>
          <cell r="I1629" t="str">
            <v>From M1A to M2A - 45°</v>
          </cell>
          <cell r="J1629" t="str">
            <v>IE3</v>
          </cell>
          <cell r="K1629" t="str">
            <v>400/690</v>
          </cell>
          <cell r="L1629">
            <v>50</v>
          </cell>
          <cell r="M1629" t="str">
            <v>15,2/8,8</v>
          </cell>
          <cell r="N1629">
            <v>55</v>
          </cell>
          <cell r="O1629" t="str">
            <v>F(105°C)</v>
          </cell>
          <cell r="P1629" t="str">
            <v>270°</v>
          </cell>
          <cell r="Q1629" t="str">
            <v>TF</v>
          </cell>
          <cell r="R1629" t="str">
            <v>V(VE)</v>
          </cell>
          <cell r="S1629" t="str">
            <v>-</v>
          </cell>
          <cell r="T1629" t="str">
            <v>-</v>
          </cell>
          <cell r="U1629" t="str">
            <v>-</v>
          </cell>
          <cell r="V1629" t="str">
            <v>FC</v>
          </cell>
          <cell r="W1629" t="str">
            <v>-</v>
          </cell>
          <cell r="X1629" t="str">
            <v>CLP HC VG 220 = -20° + 60°</v>
          </cell>
          <cell r="Y1629" t="str">
            <v>KH107DRN132M4 /TF/V</v>
          </cell>
          <cell r="Z1629" t="str">
            <v>SEW</v>
          </cell>
          <cell r="AB1629" t="str">
            <v>-</v>
          </cell>
          <cell r="AE1629" t="str">
            <v>Work frequency 47Hz for 0,4m/sec</v>
          </cell>
          <cell r="AF1629">
            <v>15</v>
          </cell>
          <cell r="AG1629" t="str">
            <v>DRN132M4</v>
          </cell>
          <cell r="AH1629" t="str">
            <v>KH107-DRN132M4A270-X#</v>
          </cell>
        </row>
        <row r="1630">
          <cell r="A1630" t="str">
            <v>MR001626</v>
          </cell>
          <cell r="B1630" t="str">
            <v>MR</v>
          </cell>
          <cell r="C1630">
            <v>7.5</v>
          </cell>
          <cell r="D1630">
            <v>15</v>
          </cell>
          <cell r="E1630" t="str">
            <v>KH107</v>
          </cell>
          <cell r="F1630">
            <v>4910</v>
          </cell>
          <cell r="G1630">
            <v>100.75</v>
          </cell>
          <cell r="H1630">
            <v>1.65</v>
          </cell>
          <cell r="I1630" t="str">
            <v>From M1A to M2A - 40°</v>
          </cell>
          <cell r="J1630" t="str">
            <v>IE3</v>
          </cell>
          <cell r="K1630" t="str">
            <v>400/690</v>
          </cell>
          <cell r="L1630">
            <v>50</v>
          </cell>
          <cell r="M1630" t="str">
            <v>15,2/8,8</v>
          </cell>
          <cell r="N1630">
            <v>55</v>
          </cell>
          <cell r="O1630" t="str">
            <v>F(105°C)</v>
          </cell>
          <cell r="P1630" t="str">
            <v>270°</v>
          </cell>
          <cell r="Q1630" t="str">
            <v>TF</v>
          </cell>
          <cell r="R1630" t="str">
            <v>V(VE)</v>
          </cell>
          <cell r="S1630" t="str">
            <v>-</v>
          </cell>
          <cell r="T1630" t="str">
            <v>-</v>
          </cell>
          <cell r="U1630" t="str">
            <v>-</v>
          </cell>
          <cell r="V1630" t="str">
            <v>FC</v>
          </cell>
          <cell r="W1630" t="str">
            <v>-</v>
          </cell>
          <cell r="X1630" t="str">
            <v>CLP HC VG 220 = -20° + 60°</v>
          </cell>
          <cell r="Y1630" t="str">
            <v>KH107DRN132M4 /TF/V</v>
          </cell>
          <cell r="Z1630" t="str">
            <v>SEW</v>
          </cell>
          <cell r="AB1630" t="str">
            <v>-</v>
          </cell>
          <cell r="AE1630" t="str">
            <v>Work frequency 47Hz for 0,4m/sec</v>
          </cell>
          <cell r="AF1630">
            <v>15</v>
          </cell>
          <cell r="AG1630" t="str">
            <v>DRN132M4</v>
          </cell>
          <cell r="AH1630" t="str">
            <v>KH107-DRN132M4A270-X#</v>
          </cell>
        </row>
        <row r="1631">
          <cell r="A1631" t="str">
            <v>MR001627</v>
          </cell>
          <cell r="B1631" t="str">
            <v>MR</v>
          </cell>
          <cell r="C1631">
            <v>7.5</v>
          </cell>
          <cell r="D1631">
            <v>15</v>
          </cell>
          <cell r="E1631" t="str">
            <v>KH107</v>
          </cell>
          <cell r="F1631">
            <v>4910</v>
          </cell>
          <cell r="G1631">
            <v>100.75</v>
          </cell>
          <cell r="H1631">
            <v>1.65</v>
          </cell>
          <cell r="I1631" t="str">
            <v>From M1B to M2B - 40°</v>
          </cell>
          <cell r="J1631" t="str">
            <v>IE3</v>
          </cell>
          <cell r="K1631" t="str">
            <v>400/690</v>
          </cell>
          <cell r="L1631">
            <v>50</v>
          </cell>
          <cell r="M1631" t="str">
            <v>15,2/8,8</v>
          </cell>
          <cell r="N1631">
            <v>55</v>
          </cell>
          <cell r="O1631" t="str">
            <v>F(105°C)</v>
          </cell>
          <cell r="P1631" t="str">
            <v>270°</v>
          </cell>
          <cell r="Q1631" t="str">
            <v>TF</v>
          </cell>
          <cell r="R1631" t="str">
            <v>V(VE)</v>
          </cell>
          <cell r="S1631" t="str">
            <v>-</v>
          </cell>
          <cell r="T1631" t="str">
            <v>-</v>
          </cell>
          <cell r="U1631" t="str">
            <v>-</v>
          </cell>
          <cell r="V1631" t="str">
            <v>FC</v>
          </cell>
          <cell r="W1631" t="str">
            <v>-</v>
          </cell>
          <cell r="X1631" t="str">
            <v>CLP HC VG 220 = -20° + 60°</v>
          </cell>
          <cell r="Y1631" t="str">
            <v>KH107DRN132M4 /TF/V</v>
          </cell>
          <cell r="Z1631" t="str">
            <v>SEW</v>
          </cell>
          <cell r="AB1631" t="str">
            <v>-</v>
          </cell>
          <cell r="AE1631" t="str">
            <v>Work frequency 47Hz for 0,4m/sec</v>
          </cell>
          <cell r="AF1631">
            <v>15</v>
          </cell>
          <cell r="AG1631" t="str">
            <v>DRN132M4</v>
          </cell>
          <cell r="AH1631" t="str">
            <v>KH107-DRN132M4B270-X#</v>
          </cell>
        </row>
        <row r="1632">
          <cell r="A1632" t="str">
            <v>MR001628</v>
          </cell>
          <cell r="B1632" t="str">
            <v>MR</v>
          </cell>
          <cell r="C1632">
            <v>1.5</v>
          </cell>
          <cell r="D1632">
            <v>238</v>
          </cell>
          <cell r="E1632" t="str">
            <v>R47</v>
          </cell>
          <cell r="F1632">
            <v>60</v>
          </cell>
          <cell r="G1632">
            <v>6</v>
          </cell>
          <cell r="H1632">
            <v>2.4</v>
          </cell>
          <cell r="I1632" t="str">
            <v>M3</v>
          </cell>
          <cell r="J1632" t="str">
            <v>IE2</v>
          </cell>
          <cell r="K1632" t="str">
            <v>220/380</v>
          </cell>
          <cell r="L1632">
            <v>50</v>
          </cell>
          <cell r="M1632" t="str">
            <v>6,2/3,6</v>
          </cell>
          <cell r="N1632">
            <v>54</v>
          </cell>
          <cell r="O1632" t="str">
            <v>F(105°C)</v>
          </cell>
          <cell r="P1632" t="str">
            <v>0°</v>
          </cell>
          <cell r="Q1632" t="str">
            <v>TF</v>
          </cell>
          <cell r="R1632" t="str">
            <v>-</v>
          </cell>
          <cell r="S1632" t="str">
            <v>-</v>
          </cell>
          <cell r="T1632" t="str">
            <v>-</v>
          </cell>
          <cell r="U1632" t="str">
            <v>-</v>
          </cell>
          <cell r="V1632" t="str">
            <v>D</v>
          </cell>
          <cell r="W1632" t="str">
            <v>-</v>
          </cell>
          <cell r="X1632" t="str">
            <v>CLP HC VG 220 = -20° + 60°</v>
          </cell>
          <cell r="Y1632" t="str">
            <v>R47/II2GD EDRE90L4/3D/KCC/TF/AL</v>
          </cell>
          <cell r="Z1632" t="str">
            <v>SEW</v>
          </cell>
          <cell r="AB1632" t="str">
            <v>ATEX22</v>
          </cell>
          <cell r="AF1632">
            <v>238</v>
          </cell>
          <cell r="AG1632" t="str">
            <v>EDRE90L4</v>
          </cell>
          <cell r="AH1632" t="str">
            <v>R47-EDRE90L40-X</v>
          </cell>
        </row>
        <row r="1633">
          <cell r="A1633" t="str">
            <v>MR001629</v>
          </cell>
          <cell r="B1633" t="str">
            <v>MR</v>
          </cell>
          <cell r="C1633">
            <v>0.37</v>
          </cell>
          <cell r="D1633">
            <v>49</v>
          </cell>
          <cell r="E1633" t="str">
            <v>R17</v>
          </cell>
          <cell r="F1633">
            <v>73</v>
          </cell>
          <cell r="G1633">
            <v>28.32</v>
          </cell>
          <cell r="H1633">
            <v>1.1000000000000001</v>
          </cell>
          <cell r="I1633" t="str">
            <v>M3</v>
          </cell>
          <cell r="J1633" t="str">
            <v>IE1</v>
          </cell>
          <cell r="K1633" t="str">
            <v>220-240/380-420</v>
          </cell>
          <cell r="L1633">
            <v>50</v>
          </cell>
          <cell r="M1633" t="str">
            <v>1,74/1,0</v>
          </cell>
          <cell r="N1633">
            <v>54</v>
          </cell>
          <cell r="O1633" t="str">
            <v>F(105°C)</v>
          </cell>
          <cell r="P1633" t="str">
            <v>270°</v>
          </cell>
          <cell r="Q1633" t="str">
            <v>TF</v>
          </cell>
          <cell r="R1633" t="str">
            <v>-</v>
          </cell>
          <cell r="S1633" t="str">
            <v>-</v>
          </cell>
          <cell r="T1633" t="str">
            <v>BE1</v>
          </cell>
          <cell r="U1633" t="str">
            <v>-</v>
          </cell>
          <cell r="V1633" t="str">
            <v>D</v>
          </cell>
          <cell r="W1633" t="str">
            <v>-</v>
          </cell>
          <cell r="X1633" t="str">
            <v>CLP HC VG 220 = -20° + 60°</v>
          </cell>
          <cell r="Y1633" t="str">
            <v>R17/II2GD EDRS71M4BE1/3D/KCC/TF/AL</v>
          </cell>
          <cell r="Z1633" t="str">
            <v>SEW</v>
          </cell>
          <cell r="AB1633" t="str">
            <v>ATEX22</v>
          </cell>
          <cell r="AF1633">
            <v>49</v>
          </cell>
          <cell r="AG1633" t="str">
            <v>EDRN71M4</v>
          </cell>
          <cell r="AH1633" t="str">
            <v>R17-EDRN71M4270-X</v>
          </cell>
        </row>
        <row r="1634">
          <cell r="A1634" t="str">
            <v>MR001630</v>
          </cell>
          <cell r="B1634" t="str">
            <v>MR</v>
          </cell>
          <cell r="C1634">
            <v>0.55000000000000004</v>
          </cell>
          <cell r="D1634">
            <v>102</v>
          </cell>
          <cell r="E1634" t="str">
            <v>FA27</v>
          </cell>
          <cell r="F1634">
            <v>51</v>
          </cell>
          <cell r="G1634">
            <v>13.84</v>
          </cell>
          <cell r="H1634">
            <v>2.2999999999999998</v>
          </cell>
          <cell r="I1634" t="str">
            <v>M1</v>
          </cell>
          <cell r="J1634" t="str">
            <v>IE1</v>
          </cell>
          <cell r="K1634" t="str">
            <v>220/380</v>
          </cell>
          <cell r="L1634">
            <v>50</v>
          </cell>
          <cell r="M1634" t="str">
            <v>2,45/1,42</v>
          </cell>
          <cell r="N1634">
            <v>54</v>
          </cell>
          <cell r="O1634" t="str">
            <v>F(105°C)</v>
          </cell>
          <cell r="P1634" t="str">
            <v>270°</v>
          </cell>
          <cell r="Q1634" t="str">
            <v>TF</v>
          </cell>
          <cell r="R1634" t="str">
            <v>-</v>
          </cell>
          <cell r="S1634" t="str">
            <v>-</v>
          </cell>
          <cell r="T1634" t="str">
            <v>-</v>
          </cell>
          <cell r="U1634" t="str">
            <v>-</v>
          </cell>
          <cell r="V1634" t="str">
            <v>D</v>
          </cell>
          <cell r="W1634" t="str">
            <v>-</v>
          </cell>
          <cell r="X1634" t="str">
            <v>CLP HC VG 220 = -20° + 60°</v>
          </cell>
          <cell r="Y1634" t="str">
            <v>FA27/II2GD EDRS80S4/3D/KCC/TF/AL/C</v>
          </cell>
          <cell r="Z1634" t="str">
            <v>SEW</v>
          </cell>
          <cell r="AB1634" t="str">
            <v>ATEX22</v>
          </cell>
          <cell r="AF1634">
            <v>102</v>
          </cell>
          <cell r="AG1634" t="str">
            <v>EDRE80S4</v>
          </cell>
          <cell r="AH1634" t="str">
            <v>FA27-EDRE80S4270-X</v>
          </cell>
        </row>
        <row r="1635">
          <cell r="A1635" t="str">
            <v>MR001631</v>
          </cell>
          <cell r="B1635" t="str">
            <v>MR</v>
          </cell>
          <cell r="C1635">
            <v>0.18</v>
          </cell>
          <cell r="D1635">
            <v>691</v>
          </cell>
          <cell r="E1635" t="str">
            <v>RXF57</v>
          </cell>
          <cell r="F1635">
            <v>3</v>
          </cell>
          <cell r="G1635">
            <v>2.04</v>
          </cell>
          <cell r="H1635">
            <v>28</v>
          </cell>
          <cell r="I1635" t="str">
            <v>M1</v>
          </cell>
          <cell r="J1635" t="str">
            <v>IE1</v>
          </cell>
          <cell r="K1635" t="str">
            <v>220-240/380-420</v>
          </cell>
          <cell r="L1635">
            <v>50</v>
          </cell>
          <cell r="M1635" t="str">
            <v>1,0/0,57</v>
          </cell>
          <cell r="N1635">
            <v>54</v>
          </cell>
          <cell r="O1635" t="str">
            <v>F(105°C)</v>
          </cell>
          <cell r="P1635" t="str">
            <v>270°</v>
          </cell>
          <cell r="Q1635" t="str">
            <v>TF</v>
          </cell>
          <cell r="R1635" t="str">
            <v>V(VE)</v>
          </cell>
          <cell r="S1635" t="str">
            <v>-</v>
          </cell>
          <cell r="T1635" t="str">
            <v>BE05</v>
          </cell>
          <cell r="U1635" t="str">
            <v>-</v>
          </cell>
          <cell r="V1635" t="str">
            <v>D</v>
          </cell>
          <cell r="W1635" t="str">
            <v>-</v>
          </cell>
          <cell r="X1635" t="str">
            <v>CLP HC VG 220 = -20° + 60°</v>
          </cell>
          <cell r="Y1635" t="str">
            <v>RXF57/II2GD EDRS71S4BE05/3D/KCC/TF/VE</v>
          </cell>
          <cell r="Z1635" t="str">
            <v>SEW</v>
          </cell>
          <cell r="AB1635" t="str">
            <v>ATEX22</v>
          </cell>
          <cell r="AE1635" t="str">
            <v>Rectifier for brake in the terminal box</v>
          </cell>
          <cell r="AF1635">
            <v>691</v>
          </cell>
          <cell r="AG1635" t="str">
            <v>EDRS71S4</v>
          </cell>
          <cell r="AH1635" t="str">
            <v>RXF57-EDRS71S4270-X#</v>
          </cell>
        </row>
        <row r="1636">
          <cell r="A1636" t="str">
            <v>MR001632</v>
          </cell>
          <cell r="B1636" t="str">
            <v>MR</v>
          </cell>
          <cell r="C1636">
            <v>15</v>
          </cell>
          <cell r="D1636">
            <v>18</v>
          </cell>
          <cell r="E1636" t="str">
            <v>KAF127</v>
          </cell>
          <cell r="F1636">
            <v>7970</v>
          </cell>
          <cell r="G1636">
            <v>81.98</v>
          </cell>
          <cell r="H1636">
            <v>1.65</v>
          </cell>
          <cell r="I1636" t="str">
            <v>M1B</v>
          </cell>
          <cell r="J1636" t="str">
            <v>IE3</v>
          </cell>
          <cell r="K1636" t="str">
            <v>380-400/660-690</v>
          </cell>
          <cell r="L1636">
            <v>50</v>
          </cell>
          <cell r="M1636" t="str">
            <v>30/17,3</v>
          </cell>
          <cell r="N1636">
            <v>55</v>
          </cell>
          <cell r="O1636" t="str">
            <v>F(105°C)</v>
          </cell>
          <cell r="P1636" t="str">
            <v>270°</v>
          </cell>
          <cell r="Q1636" t="str">
            <v>TF</v>
          </cell>
          <cell r="R1636" t="str">
            <v>-</v>
          </cell>
          <cell r="S1636" t="str">
            <v>-</v>
          </cell>
          <cell r="T1636" t="str">
            <v>BE20HR</v>
          </cell>
          <cell r="U1636" t="str">
            <v>-</v>
          </cell>
          <cell r="V1636" t="str">
            <v>D</v>
          </cell>
          <cell r="W1636" t="str">
            <v>-</v>
          </cell>
          <cell r="X1636" t="str">
            <v>CLP VG 220 = -15° + 40°</v>
          </cell>
          <cell r="Y1636" t="str">
            <v>KAF127DRN160L4 /BE20HR /TF</v>
          </cell>
          <cell r="Z1636" t="str">
            <v>SEW</v>
          </cell>
          <cell r="AB1636" t="str">
            <v>-</v>
          </cell>
          <cell r="AF1636">
            <v>18</v>
          </cell>
          <cell r="AG1636" t="str">
            <v>DRN160L4</v>
          </cell>
          <cell r="AH1636" t="str">
            <v>KAF127-DRN160L4B270-X</v>
          </cell>
        </row>
        <row r="1637">
          <cell r="A1637" t="str">
            <v>MR001633</v>
          </cell>
          <cell r="B1637" t="str">
            <v>MR</v>
          </cell>
          <cell r="C1637">
            <v>1.1000000000000001</v>
          </cell>
          <cell r="D1637">
            <v>4.9000000000000004</v>
          </cell>
          <cell r="E1637" t="str">
            <v>FA87R57</v>
          </cell>
          <cell r="F1637">
            <v>1990</v>
          </cell>
          <cell r="G1637">
            <v>300</v>
          </cell>
          <cell r="H1637">
            <v>1.5</v>
          </cell>
          <cell r="I1637" t="str">
            <v>M1</v>
          </cell>
          <cell r="J1637" t="str">
            <v>IE3</v>
          </cell>
          <cell r="K1637" t="str">
            <v>230/400</v>
          </cell>
          <cell r="L1637">
            <v>50</v>
          </cell>
          <cell r="M1637" t="str">
            <v>4,45/2,55</v>
          </cell>
          <cell r="N1637">
            <v>55</v>
          </cell>
          <cell r="O1637" t="str">
            <v>F(105°C)</v>
          </cell>
          <cell r="P1637" t="str">
            <v>270°</v>
          </cell>
          <cell r="Q1637" t="str">
            <v>-</v>
          </cell>
          <cell r="R1637" t="str">
            <v>-</v>
          </cell>
          <cell r="S1637" t="str">
            <v>-</v>
          </cell>
          <cell r="T1637" t="str">
            <v>BE2HR</v>
          </cell>
          <cell r="U1637" t="str">
            <v>-</v>
          </cell>
          <cell r="V1637" t="str">
            <v>D</v>
          </cell>
          <cell r="W1637" t="str">
            <v>-</v>
          </cell>
          <cell r="X1637" t="str">
            <v>CLP VG 220 = -15° + 40°</v>
          </cell>
          <cell r="Y1637" t="str">
            <v>FA87R57DRN90S4 /BE2HR</v>
          </cell>
          <cell r="Z1637" t="str">
            <v>SEW</v>
          </cell>
          <cell r="AB1637" t="str">
            <v>-</v>
          </cell>
          <cell r="AF1637">
            <v>4.9000000000000004</v>
          </cell>
          <cell r="AG1637" t="str">
            <v>DRN90S4</v>
          </cell>
          <cell r="AH1637" t="str">
            <v>FA87R57-DRN90S4270-X</v>
          </cell>
        </row>
        <row r="1638">
          <cell r="A1638" t="str">
            <v>MR001634</v>
          </cell>
          <cell r="B1638" t="str">
            <v>MR</v>
          </cell>
          <cell r="C1638" t="str">
            <v>-</v>
          </cell>
          <cell r="D1638">
            <v>311</v>
          </cell>
          <cell r="E1638" t="str">
            <v>KA67B/R</v>
          </cell>
          <cell r="F1638">
            <v>685</v>
          </cell>
          <cell r="G1638">
            <v>9.66</v>
          </cell>
          <cell r="I1638" t="str">
            <v>M4A</v>
          </cell>
          <cell r="K1638">
            <v>400</v>
          </cell>
          <cell r="L1638" t="str">
            <v>&lt;250</v>
          </cell>
          <cell r="Q1638" t="str">
            <v>-</v>
          </cell>
          <cell r="R1638" t="str">
            <v>-</v>
          </cell>
          <cell r="S1638" t="str">
            <v>-</v>
          </cell>
          <cell r="T1638" t="str">
            <v>BME1,5</v>
          </cell>
          <cell r="U1638" t="str">
            <v>-</v>
          </cell>
          <cell r="V1638" t="str">
            <v>-</v>
          </cell>
          <cell r="W1638" t="str">
            <v>-</v>
          </cell>
          <cell r="X1638" t="str">
            <v>CLP VG 220 = -15° + 40°</v>
          </cell>
          <cell r="Y1638" t="str">
            <v>KA67B/R CMPZ80L/BY/KY/AK1H/SB1</v>
          </cell>
          <cell r="Z1638" t="str">
            <v>SEW</v>
          </cell>
          <cell r="AA1638" t="str">
            <v>RAL9005</v>
          </cell>
          <cell r="AB1638" t="str">
            <v>-</v>
          </cell>
          <cell r="AF1638" t="e">
            <v>#VALUE!</v>
          </cell>
          <cell r="AG1638" t="str">
            <v>-</v>
          </cell>
          <cell r="AH1638" t="str">
            <v>KA67B/R--A-X</v>
          </cell>
        </row>
        <row r="1639">
          <cell r="A1639" t="str">
            <v>MR001635</v>
          </cell>
          <cell r="B1639" t="str">
            <v>MR</v>
          </cell>
          <cell r="C1639">
            <v>5.5</v>
          </cell>
          <cell r="D1639">
            <v>14</v>
          </cell>
          <cell r="E1639" t="str">
            <v>KH97</v>
          </cell>
          <cell r="F1639">
            <v>3770</v>
          </cell>
          <cell r="G1639">
            <v>105.13</v>
          </cell>
          <cell r="H1639">
            <v>1.1499999999999999</v>
          </cell>
          <cell r="I1639" t="str">
            <v>From M1A to M2A - 30°</v>
          </cell>
          <cell r="J1639" t="str">
            <v>IE3</v>
          </cell>
          <cell r="K1639">
            <v>380</v>
          </cell>
          <cell r="L1639">
            <v>50</v>
          </cell>
          <cell r="M1639">
            <v>11</v>
          </cell>
          <cell r="N1639">
            <v>55</v>
          </cell>
          <cell r="O1639" t="str">
            <v>F(105°C)</v>
          </cell>
          <cell r="P1639" t="str">
            <v>180°</v>
          </cell>
          <cell r="Q1639" t="str">
            <v>-</v>
          </cell>
          <cell r="R1639" t="str">
            <v>-</v>
          </cell>
          <cell r="S1639" t="str">
            <v>-</v>
          </cell>
          <cell r="T1639" t="str">
            <v>-</v>
          </cell>
          <cell r="U1639" t="str">
            <v>-</v>
          </cell>
          <cell r="V1639" t="str">
            <v>SS</v>
          </cell>
          <cell r="W1639" t="str">
            <v>-</v>
          </cell>
          <cell r="X1639" t="str">
            <v>CLP VG 220 = -15° + 40°</v>
          </cell>
          <cell r="Y1639" t="str">
            <v>KH97DRN132S4</v>
          </cell>
          <cell r="Z1639" t="str">
            <v>SEW</v>
          </cell>
          <cell r="AB1639" t="str">
            <v>-</v>
          </cell>
          <cell r="AF1639">
            <v>14</v>
          </cell>
          <cell r="AG1639" t="str">
            <v>DRN132S4</v>
          </cell>
          <cell r="AH1639" t="str">
            <v>KH97-DRN132S4A180-X</v>
          </cell>
        </row>
        <row r="1640">
          <cell r="A1640" t="str">
            <v>MR001636</v>
          </cell>
          <cell r="B1640" t="str">
            <v>MR</v>
          </cell>
          <cell r="C1640">
            <v>5.5</v>
          </cell>
          <cell r="D1640">
            <v>14</v>
          </cell>
          <cell r="E1640" t="str">
            <v>KH97</v>
          </cell>
          <cell r="F1640">
            <v>3770</v>
          </cell>
          <cell r="G1640">
            <v>105.13</v>
          </cell>
          <cell r="H1640">
            <v>1.1499999999999999</v>
          </cell>
          <cell r="I1640" t="str">
            <v>From M1B to M2B - 30°</v>
          </cell>
          <cell r="J1640" t="str">
            <v>IE3</v>
          </cell>
          <cell r="K1640">
            <v>380</v>
          </cell>
          <cell r="L1640">
            <v>50</v>
          </cell>
          <cell r="M1640">
            <v>11</v>
          </cell>
          <cell r="N1640">
            <v>55</v>
          </cell>
          <cell r="O1640" t="str">
            <v>F(105°C)</v>
          </cell>
          <cell r="P1640" t="str">
            <v>0°</v>
          </cell>
          <cell r="Q1640" t="str">
            <v>-</v>
          </cell>
          <cell r="R1640" t="str">
            <v>-</v>
          </cell>
          <cell r="S1640" t="str">
            <v>-</v>
          </cell>
          <cell r="T1640" t="str">
            <v>-</v>
          </cell>
          <cell r="U1640" t="str">
            <v>-</v>
          </cell>
          <cell r="V1640" t="str">
            <v>SS</v>
          </cell>
          <cell r="W1640" t="str">
            <v>-</v>
          </cell>
          <cell r="X1640" t="str">
            <v>CLP VG 220 = -15° + 40°</v>
          </cell>
          <cell r="Y1640" t="str">
            <v>KH97DRN132S4</v>
          </cell>
          <cell r="Z1640" t="str">
            <v>SEW</v>
          </cell>
          <cell r="AB1640" t="str">
            <v>-</v>
          </cell>
          <cell r="AF1640">
            <v>14</v>
          </cell>
          <cell r="AG1640" t="str">
            <v>DRN132S4</v>
          </cell>
          <cell r="AH1640" t="str">
            <v>KH97-DRN132S4B0-X</v>
          </cell>
        </row>
        <row r="1641">
          <cell r="A1641" t="str">
            <v>MR001637</v>
          </cell>
          <cell r="B1641" t="str">
            <v>MR</v>
          </cell>
          <cell r="C1641">
            <v>7.5</v>
          </cell>
          <cell r="D1641">
            <v>15</v>
          </cell>
          <cell r="E1641" t="str">
            <v>KH107</v>
          </cell>
          <cell r="F1641">
            <v>4910</v>
          </cell>
          <cell r="G1641">
            <v>100.75</v>
          </cell>
          <cell r="H1641">
            <v>1.65</v>
          </cell>
          <cell r="I1641" t="str">
            <v>From M1A to M2A - 30°</v>
          </cell>
          <cell r="J1641" t="str">
            <v>IE3</v>
          </cell>
          <cell r="K1641">
            <v>380</v>
          </cell>
          <cell r="L1641">
            <v>50</v>
          </cell>
          <cell r="M1641">
            <v>16</v>
          </cell>
          <cell r="N1641">
            <v>55</v>
          </cell>
          <cell r="O1641" t="str">
            <v>F(105°C)</v>
          </cell>
          <cell r="P1641" t="str">
            <v>180°</v>
          </cell>
          <cell r="Q1641" t="str">
            <v>-</v>
          </cell>
          <cell r="R1641" t="str">
            <v>-</v>
          </cell>
          <cell r="S1641" t="str">
            <v>-</v>
          </cell>
          <cell r="T1641" t="str">
            <v>-</v>
          </cell>
          <cell r="U1641" t="str">
            <v>-</v>
          </cell>
          <cell r="V1641" t="str">
            <v>SS</v>
          </cell>
          <cell r="W1641" t="str">
            <v>-</v>
          </cell>
          <cell r="X1641" t="str">
            <v>CLP VG 220 = -15° + 40°</v>
          </cell>
          <cell r="Y1641" t="str">
            <v>KH107DRN132M4</v>
          </cell>
          <cell r="Z1641" t="str">
            <v>SEW</v>
          </cell>
          <cell r="AB1641" t="str">
            <v>-</v>
          </cell>
          <cell r="AF1641">
            <v>15</v>
          </cell>
          <cell r="AG1641" t="str">
            <v>DRN132M4</v>
          </cell>
          <cell r="AH1641" t="str">
            <v>KH107-DRN132M4A180-X</v>
          </cell>
        </row>
        <row r="1642">
          <cell r="A1642" t="str">
            <v>MR001638</v>
          </cell>
          <cell r="B1642" t="str">
            <v>MR</v>
          </cell>
          <cell r="C1642">
            <v>4</v>
          </cell>
          <cell r="D1642">
            <v>14</v>
          </cell>
          <cell r="E1642" t="str">
            <v>KH97</v>
          </cell>
          <cell r="F1642">
            <v>2740</v>
          </cell>
          <cell r="G1642">
            <v>105.13</v>
          </cell>
          <cell r="H1642">
            <v>1.55</v>
          </cell>
          <cell r="I1642" t="str">
            <v>M1B</v>
          </cell>
          <cell r="J1642" t="str">
            <v>IE3</v>
          </cell>
          <cell r="K1642">
            <v>380</v>
          </cell>
          <cell r="L1642">
            <v>50</v>
          </cell>
          <cell r="M1642">
            <v>8.4</v>
          </cell>
          <cell r="N1642">
            <v>55</v>
          </cell>
          <cell r="O1642" t="str">
            <v>F(105°C)</v>
          </cell>
          <cell r="P1642" t="str">
            <v>0°</v>
          </cell>
          <cell r="Q1642" t="str">
            <v>-</v>
          </cell>
          <cell r="R1642" t="str">
            <v>-</v>
          </cell>
          <cell r="S1642" t="str">
            <v>-</v>
          </cell>
          <cell r="T1642" t="str">
            <v>-</v>
          </cell>
          <cell r="U1642" t="str">
            <v>-</v>
          </cell>
          <cell r="V1642" t="str">
            <v>SS</v>
          </cell>
          <cell r="W1642" t="str">
            <v>-</v>
          </cell>
          <cell r="X1642" t="str">
            <v>CLP VG 220 = -15° + 40°</v>
          </cell>
          <cell r="Y1642" t="str">
            <v>KH97DRN112M4</v>
          </cell>
          <cell r="Z1642" t="str">
            <v>SEW</v>
          </cell>
          <cell r="AB1642" t="str">
            <v>-</v>
          </cell>
          <cell r="AF1642">
            <v>14</v>
          </cell>
          <cell r="AG1642" t="str">
            <v>DRN112M4</v>
          </cell>
          <cell r="AH1642" t="str">
            <v>KH97-DRN112M4B0-X</v>
          </cell>
        </row>
        <row r="1643">
          <cell r="A1643" t="str">
            <v>MR001639</v>
          </cell>
          <cell r="B1643" t="str">
            <v>MR</v>
          </cell>
          <cell r="C1643">
            <v>5.5</v>
          </cell>
          <cell r="D1643">
            <v>62</v>
          </cell>
          <cell r="E1643" t="str">
            <v>R87</v>
          </cell>
          <cell r="F1643">
            <v>840</v>
          </cell>
          <cell r="G1643">
            <v>23.4</v>
          </cell>
          <cell r="H1643">
            <v>1.85</v>
          </cell>
          <cell r="I1643" t="str">
            <v>M1</v>
          </cell>
          <cell r="J1643" t="str">
            <v>IE3</v>
          </cell>
          <cell r="K1643">
            <v>380</v>
          </cell>
          <cell r="L1643">
            <v>50</v>
          </cell>
          <cell r="M1643">
            <v>11</v>
          </cell>
          <cell r="N1643">
            <v>55</v>
          </cell>
          <cell r="O1643" t="str">
            <v>F(105°C)</v>
          </cell>
          <cell r="P1643" t="str">
            <v>270°</v>
          </cell>
          <cell r="Q1643" t="str">
            <v>-</v>
          </cell>
          <cell r="R1643" t="str">
            <v>-</v>
          </cell>
          <cell r="S1643" t="str">
            <v>-</v>
          </cell>
          <cell r="T1643" t="str">
            <v>-</v>
          </cell>
          <cell r="U1643" t="str">
            <v>-</v>
          </cell>
          <cell r="V1643" t="str">
            <v>D</v>
          </cell>
          <cell r="W1643" t="str">
            <v>-</v>
          </cell>
          <cell r="X1643" t="str">
            <v>CLP VG 220 = -15° + 40°</v>
          </cell>
          <cell r="Y1643" t="str">
            <v>R87DRN132S4</v>
          </cell>
          <cell r="Z1643" t="str">
            <v>SEW</v>
          </cell>
          <cell r="AB1643" t="str">
            <v>-</v>
          </cell>
          <cell r="AF1643">
            <v>62</v>
          </cell>
          <cell r="AG1643" t="str">
            <v>DRN132S4</v>
          </cell>
          <cell r="AH1643" t="str">
            <v>R87-DRN132S4270-X</v>
          </cell>
        </row>
        <row r="1644">
          <cell r="A1644" t="str">
            <v>MR001640</v>
          </cell>
          <cell r="B1644" t="str">
            <v>MR</v>
          </cell>
          <cell r="C1644">
            <v>9.1999999999999993</v>
          </cell>
          <cell r="D1644">
            <v>68</v>
          </cell>
          <cell r="E1644" t="str">
            <v>R87</v>
          </cell>
          <cell r="F1644">
            <v>1280</v>
          </cell>
          <cell r="G1644">
            <v>21.51</v>
          </cell>
          <cell r="H1644">
            <v>1.1499999999999999</v>
          </cell>
          <cell r="I1644" t="str">
            <v>From M1 to M4 - 15°</v>
          </cell>
          <cell r="J1644" t="str">
            <v>IE3</v>
          </cell>
          <cell r="K1644">
            <v>380</v>
          </cell>
          <cell r="L1644">
            <v>50</v>
          </cell>
          <cell r="M1644">
            <v>19.7</v>
          </cell>
          <cell r="N1644">
            <v>55</v>
          </cell>
          <cell r="O1644" t="str">
            <v>F(105°C)</v>
          </cell>
          <cell r="P1644" t="str">
            <v>270°</v>
          </cell>
          <cell r="Q1644" t="str">
            <v>-</v>
          </cell>
          <cell r="R1644" t="str">
            <v>-</v>
          </cell>
          <cell r="S1644" t="str">
            <v>-</v>
          </cell>
          <cell r="T1644" t="str">
            <v>-</v>
          </cell>
          <cell r="U1644" t="str">
            <v>-</v>
          </cell>
          <cell r="V1644" t="str">
            <v>D</v>
          </cell>
          <cell r="W1644" t="str">
            <v>-</v>
          </cell>
          <cell r="X1644" t="str">
            <v>CLP VG 220 = -15° + 40°</v>
          </cell>
          <cell r="Y1644" t="str">
            <v>R87DRN132L4</v>
          </cell>
          <cell r="Z1644" t="str">
            <v>SEW</v>
          </cell>
          <cell r="AB1644" t="str">
            <v>-</v>
          </cell>
          <cell r="AF1644">
            <v>68</v>
          </cell>
          <cell r="AG1644" t="str">
            <v>DRN132L4</v>
          </cell>
          <cell r="AH1644" t="str">
            <v>R87-DRN132L4270-X</v>
          </cell>
        </row>
        <row r="1645">
          <cell r="A1645" t="str">
            <v>MR001641</v>
          </cell>
          <cell r="B1645" t="str">
            <v>MR</v>
          </cell>
          <cell r="C1645">
            <v>2.2000000000000002</v>
          </cell>
          <cell r="D1645">
            <v>62</v>
          </cell>
          <cell r="E1645" t="str">
            <v>R67</v>
          </cell>
          <cell r="F1645">
            <v>335</v>
          </cell>
          <cell r="G1645">
            <v>23.44</v>
          </cell>
          <cell r="H1645">
            <v>1.65</v>
          </cell>
          <cell r="I1645" t="str">
            <v>M1</v>
          </cell>
          <cell r="J1645" t="str">
            <v>IE3</v>
          </cell>
          <cell r="K1645">
            <v>380</v>
          </cell>
          <cell r="L1645">
            <v>50</v>
          </cell>
          <cell r="M1645">
            <v>5</v>
          </cell>
          <cell r="N1645">
            <v>55</v>
          </cell>
          <cell r="O1645" t="str">
            <v>F(105°C)</v>
          </cell>
          <cell r="P1645" t="str">
            <v>270°</v>
          </cell>
          <cell r="Q1645" t="str">
            <v>-</v>
          </cell>
          <cell r="R1645" t="str">
            <v>-</v>
          </cell>
          <cell r="S1645" t="str">
            <v>-</v>
          </cell>
          <cell r="T1645" t="str">
            <v>-</v>
          </cell>
          <cell r="U1645" t="str">
            <v>-</v>
          </cell>
          <cell r="V1645" t="str">
            <v>D</v>
          </cell>
          <cell r="W1645" t="str">
            <v>-</v>
          </cell>
          <cell r="X1645" t="str">
            <v>CLP VG 220 = -15° + 40°</v>
          </cell>
          <cell r="Y1645" t="str">
            <v>R67DRN100LS4</v>
          </cell>
          <cell r="Z1645" t="str">
            <v>SEW</v>
          </cell>
          <cell r="AB1645" t="str">
            <v>-</v>
          </cell>
          <cell r="AF1645">
            <v>62</v>
          </cell>
          <cell r="AG1645" t="str">
            <v>DRN100LS4</v>
          </cell>
          <cell r="AH1645" t="str">
            <v>R67-DRN100LS4270-X</v>
          </cell>
        </row>
        <row r="1646">
          <cell r="A1646" t="str">
            <v>MR001642</v>
          </cell>
          <cell r="B1646" t="str">
            <v>MR</v>
          </cell>
          <cell r="C1646">
            <v>7.5</v>
          </cell>
          <cell r="D1646">
            <v>63</v>
          </cell>
          <cell r="E1646" t="str">
            <v>R87</v>
          </cell>
          <cell r="F1646">
            <v>1140</v>
          </cell>
          <cell r="G1646">
            <v>23.44</v>
          </cell>
          <cell r="H1646">
            <v>1.35</v>
          </cell>
          <cell r="I1646" t="str">
            <v>M1</v>
          </cell>
          <cell r="J1646" t="str">
            <v>IE3</v>
          </cell>
          <cell r="K1646">
            <v>380</v>
          </cell>
          <cell r="L1646">
            <v>50</v>
          </cell>
          <cell r="M1646">
            <v>16</v>
          </cell>
          <cell r="N1646">
            <v>55</v>
          </cell>
          <cell r="O1646" t="str">
            <v>F(105°C)</v>
          </cell>
          <cell r="P1646" t="str">
            <v>270°</v>
          </cell>
          <cell r="Q1646" t="str">
            <v>-</v>
          </cell>
          <cell r="R1646" t="str">
            <v>-</v>
          </cell>
          <cell r="S1646" t="str">
            <v>-</v>
          </cell>
          <cell r="T1646" t="str">
            <v>-</v>
          </cell>
          <cell r="U1646" t="str">
            <v>-</v>
          </cell>
          <cell r="V1646" t="str">
            <v>D</v>
          </cell>
          <cell r="W1646" t="str">
            <v>-</v>
          </cell>
          <cell r="X1646" t="str">
            <v>CLP VG 220 = -15° + 40°</v>
          </cell>
          <cell r="Y1646" t="str">
            <v>R87DRN132M4</v>
          </cell>
          <cell r="Z1646" t="str">
            <v>SEW</v>
          </cell>
          <cell r="AB1646" t="str">
            <v>-</v>
          </cell>
          <cell r="AF1646">
            <v>63</v>
          </cell>
          <cell r="AG1646" t="str">
            <v>DRN132M4</v>
          </cell>
          <cell r="AH1646" t="str">
            <v>R87-DRN132M4270-X</v>
          </cell>
        </row>
        <row r="1647">
          <cell r="A1647" t="str">
            <v>MR001643</v>
          </cell>
          <cell r="B1647" t="str">
            <v>MR</v>
          </cell>
          <cell r="C1647">
            <v>18.5</v>
          </cell>
          <cell r="D1647">
            <v>12</v>
          </cell>
          <cell r="E1647" t="str">
            <v>KH157</v>
          </cell>
          <cell r="F1647">
            <v>14600</v>
          </cell>
          <cell r="G1647">
            <v>122.39</v>
          </cell>
          <cell r="H1647">
            <v>1.35</v>
          </cell>
          <cell r="I1647" t="str">
            <v>From M1A to M2A - 30°</v>
          </cell>
          <cell r="J1647" t="str">
            <v>IE3</v>
          </cell>
          <cell r="K1647">
            <v>380</v>
          </cell>
          <cell r="L1647">
            <v>50</v>
          </cell>
          <cell r="M1647">
            <v>16</v>
          </cell>
          <cell r="N1647">
            <v>55</v>
          </cell>
          <cell r="O1647" t="str">
            <v>F(105°C)</v>
          </cell>
          <cell r="P1647" t="str">
            <v>180°</v>
          </cell>
          <cell r="Q1647" t="str">
            <v>-</v>
          </cell>
          <cell r="R1647" t="str">
            <v>-</v>
          </cell>
          <cell r="S1647" t="str">
            <v>-</v>
          </cell>
          <cell r="T1647" t="str">
            <v>-</v>
          </cell>
          <cell r="U1647" t="str">
            <v>-</v>
          </cell>
          <cell r="V1647" t="str">
            <v>SS</v>
          </cell>
          <cell r="W1647" t="str">
            <v>-</v>
          </cell>
          <cell r="X1647" t="str">
            <v>CLP VG 220 = -15° + 40°</v>
          </cell>
          <cell r="Y1647" t="str">
            <v>KH157DRN180M4</v>
          </cell>
          <cell r="Z1647" t="str">
            <v>SEW</v>
          </cell>
          <cell r="AB1647" t="str">
            <v>-</v>
          </cell>
          <cell r="AF1647">
            <v>12</v>
          </cell>
          <cell r="AG1647" t="str">
            <v>DRN180M4</v>
          </cell>
          <cell r="AH1647" t="str">
            <v>KH157-DRN180M4A180-X</v>
          </cell>
        </row>
        <row r="1648">
          <cell r="A1648" t="str">
            <v>MR001644</v>
          </cell>
          <cell r="B1648" t="str">
            <v>MR</v>
          </cell>
          <cell r="C1648">
            <v>5.5</v>
          </cell>
          <cell r="D1648">
            <v>14</v>
          </cell>
          <cell r="E1648" t="str">
            <v>KH97</v>
          </cell>
          <cell r="F1648">
            <v>3370</v>
          </cell>
          <cell r="G1648">
            <v>105.13</v>
          </cell>
          <cell r="H1648">
            <v>1.1499999999999999</v>
          </cell>
          <cell r="I1648" t="str">
            <v>M1B</v>
          </cell>
          <cell r="J1648" t="str">
            <v>IE3</v>
          </cell>
          <cell r="K1648" t="str">
            <v>230/400</v>
          </cell>
          <cell r="L1648">
            <v>50</v>
          </cell>
          <cell r="M1648" t="str">
            <v>18,2/10,5</v>
          </cell>
          <cell r="N1648">
            <v>55</v>
          </cell>
          <cell r="O1648" t="str">
            <v>F(105°C)</v>
          </cell>
          <cell r="P1648" t="str">
            <v>270°</v>
          </cell>
          <cell r="Q1648" t="str">
            <v>TF</v>
          </cell>
          <cell r="R1648" t="str">
            <v>-</v>
          </cell>
          <cell r="S1648" t="str">
            <v>-</v>
          </cell>
          <cell r="T1648" t="str">
            <v>-</v>
          </cell>
          <cell r="U1648" t="str">
            <v>T</v>
          </cell>
          <cell r="V1648" t="str">
            <v>SS</v>
          </cell>
          <cell r="W1648" t="str">
            <v>-</v>
          </cell>
          <cell r="X1648" t="str">
            <v>CLP VG 220 = -15° + 40°</v>
          </cell>
          <cell r="Y1648" t="str">
            <v>KH97/T DRN132S4 /TF</v>
          </cell>
          <cell r="Z1648" t="str">
            <v>SEW</v>
          </cell>
          <cell r="AB1648" t="str">
            <v>-</v>
          </cell>
          <cell r="AF1648">
            <v>14</v>
          </cell>
          <cell r="AG1648" t="str">
            <v>DRN132S4</v>
          </cell>
          <cell r="AH1648" t="str">
            <v>KH97T-DRN132S4B270-X</v>
          </cell>
        </row>
        <row r="1649">
          <cell r="A1649" t="str">
            <v>MR001645</v>
          </cell>
          <cell r="B1649" t="str">
            <v>ME</v>
          </cell>
          <cell r="C1649">
            <v>30</v>
          </cell>
          <cell r="E1649" t="str">
            <v>TN200L4P</v>
          </cell>
          <cell r="F1649">
            <v>195</v>
          </cell>
          <cell r="I1649" t="str">
            <v>-</v>
          </cell>
          <cell r="J1649" t="str">
            <v>IE2</v>
          </cell>
          <cell r="K1649" t="str">
            <v>400/690</v>
          </cell>
          <cell r="L1649">
            <v>50</v>
          </cell>
          <cell r="M1649" t="str">
            <v>63/36,5</v>
          </cell>
          <cell r="N1649">
            <v>55</v>
          </cell>
          <cell r="O1649" t="str">
            <v>F(105°C)</v>
          </cell>
          <cell r="Q1649" t="str">
            <v>TF</v>
          </cell>
          <cell r="R1649" t="str">
            <v>U1</v>
          </cell>
          <cell r="S1649" t="str">
            <v>-</v>
          </cell>
          <cell r="T1649" t="str">
            <v>-</v>
          </cell>
          <cell r="U1649" t="str">
            <v>-</v>
          </cell>
          <cell r="V1649" t="str">
            <v>FC</v>
          </cell>
          <cell r="W1649" t="str">
            <v>-</v>
          </cell>
          <cell r="X1649" t="str">
            <v>-</v>
          </cell>
          <cell r="Y1649" t="str">
            <v>TN200L4P-B5 D3 U1 S</v>
          </cell>
          <cell r="Z1649" t="str">
            <v>Bonfiglioli</v>
          </cell>
          <cell r="AA1649">
            <v>9010</v>
          </cell>
          <cell r="AE1649" t="str">
            <v>Motore di MR001337</v>
          </cell>
          <cell r="AF1649">
            <v>0</v>
          </cell>
          <cell r="AG1649" t="str">
            <v>DRN200L4</v>
          </cell>
          <cell r="AH1649" t="str">
            <v>TN200L4P-DRN200L4-X#</v>
          </cell>
        </row>
        <row r="1650">
          <cell r="A1650" t="str">
            <v>MR001646</v>
          </cell>
          <cell r="B1650" t="str">
            <v>R</v>
          </cell>
          <cell r="C1650" t="str">
            <v>-</v>
          </cell>
          <cell r="D1650">
            <v>4</v>
          </cell>
          <cell r="E1650" t="str">
            <v>316R4</v>
          </cell>
          <cell r="G1650">
            <v>363</v>
          </cell>
          <cell r="I1650" t="str">
            <v>I0 (inclinato 17°)</v>
          </cell>
          <cell r="J1650" t="str">
            <v>IE2</v>
          </cell>
          <cell r="K1650" t="str">
            <v>-</v>
          </cell>
          <cell r="L1650" t="str">
            <v>-</v>
          </cell>
          <cell r="M1650" t="str">
            <v>-</v>
          </cell>
          <cell r="N1650">
            <v>55</v>
          </cell>
          <cell r="O1650" t="str">
            <v>F(105°C)</v>
          </cell>
          <cell r="Q1650" t="str">
            <v>-</v>
          </cell>
          <cell r="R1650" t="str">
            <v>-</v>
          </cell>
          <cell r="S1650" t="str">
            <v>-</v>
          </cell>
          <cell r="T1650" t="str">
            <v>-</v>
          </cell>
          <cell r="U1650" t="str">
            <v>-</v>
          </cell>
          <cell r="V1650" t="str">
            <v>-</v>
          </cell>
          <cell r="W1650" t="str">
            <v>-</v>
          </cell>
          <cell r="X1650" t="str">
            <v>CLP VG 220 = -15° + 40°</v>
          </cell>
          <cell r="Y1650" t="str">
            <v>316 R4 363 PC P200 I0 TN200L4P-B5 D3 U1 S</v>
          </cell>
          <cell r="Z1650" t="str">
            <v>Bonfiglioli</v>
          </cell>
          <cell r="AA1650">
            <v>9010</v>
          </cell>
          <cell r="AB1650" t="str">
            <v>-</v>
          </cell>
          <cell r="AE1650" t="str">
            <v>Riduttore di MR001337</v>
          </cell>
          <cell r="AF1650" t="e">
            <v>#VALUE!</v>
          </cell>
          <cell r="AG1650" t="str">
            <v>-</v>
          </cell>
          <cell r="AH1650" t="str">
            <v>316R4---X</v>
          </cell>
        </row>
        <row r="1651">
          <cell r="A1651" t="str">
            <v>MR001647</v>
          </cell>
          <cell r="B1651" t="str">
            <v>MR</v>
          </cell>
          <cell r="C1651">
            <v>0.75</v>
          </cell>
          <cell r="D1651">
            <v>62</v>
          </cell>
          <cell r="E1651" t="str">
            <v>FH27</v>
          </cell>
          <cell r="F1651">
            <v>115</v>
          </cell>
          <cell r="G1651">
            <v>23.25</v>
          </cell>
          <cell r="H1651">
            <v>1.1000000000000001</v>
          </cell>
          <cell r="I1651" t="str">
            <v>M1</v>
          </cell>
          <cell r="J1651" t="str">
            <v>IE3</v>
          </cell>
          <cell r="K1651" t="str">
            <v>230/400</v>
          </cell>
          <cell r="L1651">
            <v>50</v>
          </cell>
          <cell r="M1651" t="str">
            <v>3,1/1,8</v>
          </cell>
          <cell r="N1651">
            <v>55</v>
          </cell>
          <cell r="O1651" t="str">
            <v>F(105°C)</v>
          </cell>
          <cell r="P1651" t="str">
            <v>270°</v>
          </cell>
          <cell r="Q1651" t="str">
            <v>-</v>
          </cell>
          <cell r="R1651" t="str">
            <v>-</v>
          </cell>
          <cell r="S1651" t="str">
            <v>-</v>
          </cell>
          <cell r="T1651" t="str">
            <v>-</v>
          </cell>
          <cell r="U1651" t="str">
            <v>-</v>
          </cell>
          <cell r="V1651" t="str">
            <v>D</v>
          </cell>
          <cell r="W1651" t="str">
            <v>-</v>
          </cell>
          <cell r="X1651" t="str">
            <v>CLP HC VG 220 = -20° + 60°</v>
          </cell>
          <cell r="Y1651" t="str">
            <v>FH27EDRN80M4</v>
          </cell>
          <cell r="Z1651" t="str">
            <v>SEW</v>
          </cell>
          <cell r="AB1651" t="str">
            <v>ATEX22</v>
          </cell>
          <cell r="AE1651" t="str">
            <v>NON USARE, usare MR001869</v>
          </cell>
          <cell r="AF1651">
            <v>62</v>
          </cell>
          <cell r="AG1651" t="str">
            <v>EDRN80M4</v>
          </cell>
          <cell r="AH1651" t="str">
            <v>FH27-EDRN80M4270-X</v>
          </cell>
        </row>
        <row r="1652">
          <cell r="A1652" t="str">
            <v>MR001648</v>
          </cell>
          <cell r="B1652" t="str">
            <v>MR</v>
          </cell>
          <cell r="C1652">
            <v>11</v>
          </cell>
          <cell r="D1652">
            <v>15</v>
          </cell>
          <cell r="E1652" t="str">
            <v>KH107</v>
          </cell>
          <cell r="F1652">
            <v>7180</v>
          </cell>
          <cell r="G1652">
            <v>100.75</v>
          </cell>
          <cell r="H1652">
            <v>1.1000000000000001</v>
          </cell>
          <cell r="I1652" t="str">
            <v>From M1A to M2A - 5°</v>
          </cell>
          <cell r="J1652" t="str">
            <v>IE3</v>
          </cell>
          <cell r="K1652" t="str">
            <v>400/690</v>
          </cell>
          <cell r="L1652">
            <v>50</v>
          </cell>
          <cell r="M1652" t="str">
            <v>21/12,2</v>
          </cell>
          <cell r="N1652">
            <v>55</v>
          </cell>
          <cell r="O1652" t="str">
            <v>F(105°C)</v>
          </cell>
          <cell r="P1652" t="str">
            <v>270°</v>
          </cell>
          <cell r="Q1652" t="str">
            <v>TF</v>
          </cell>
          <cell r="R1652" t="str">
            <v>V(VE)</v>
          </cell>
          <cell r="S1652" t="str">
            <v>-</v>
          </cell>
          <cell r="T1652" t="str">
            <v>-</v>
          </cell>
          <cell r="U1652" t="str">
            <v>-</v>
          </cell>
          <cell r="V1652" t="str">
            <v>FC</v>
          </cell>
          <cell r="W1652" t="str">
            <v>-</v>
          </cell>
          <cell r="X1652" t="str">
            <v>CLP HC VG 220 = -20° + 60°</v>
          </cell>
          <cell r="Y1652" t="str">
            <v>KH107DRN160M4 /TF/V</v>
          </cell>
          <cell r="Z1652" t="str">
            <v>SEW</v>
          </cell>
          <cell r="AB1652" t="str">
            <v>-</v>
          </cell>
          <cell r="AE1652" t="str">
            <v>Work frequency 47Hz for 0,4m/sec</v>
          </cell>
          <cell r="AF1652">
            <v>15</v>
          </cell>
          <cell r="AG1652" t="str">
            <v>DRN160M4</v>
          </cell>
          <cell r="AH1652" t="str">
            <v>KH107-DRN160M4A270-X#</v>
          </cell>
        </row>
        <row r="1653">
          <cell r="A1653" t="str">
            <v>MR001649</v>
          </cell>
          <cell r="B1653" t="str">
            <v>MR</v>
          </cell>
          <cell r="C1653">
            <v>11</v>
          </cell>
          <cell r="D1653">
            <v>15</v>
          </cell>
          <cell r="E1653" t="str">
            <v>KH107</v>
          </cell>
          <cell r="F1653">
            <v>7180</v>
          </cell>
          <cell r="G1653">
            <v>100.75</v>
          </cell>
          <cell r="H1653">
            <v>1.1000000000000001</v>
          </cell>
          <cell r="I1653" t="str">
            <v>From M1B to M2B - 5°</v>
          </cell>
          <cell r="J1653" t="str">
            <v>IE3</v>
          </cell>
          <cell r="K1653" t="str">
            <v>400/690</v>
          </cell>
          <cell r="L1653">
            <v>50</v>
          </cell>
          <cell r="M1653" t="str">
            <v>21/12,2</v>
          </cell>
          <cell r="N1653">
            <v>55</v>
          </cell>
          <cell r="O1653" t="str">
            <v>F(105°C)</v>
          </cell>
          <cell r="P1653" t="str">
            <v>270°</v>
          </cell>
          <cell r="Q1653" t="str">
            <v>TF</v>
          </cell>
          <cell r="R1653" t="str">
            <v>V(VE)</v>
          </cell>
          <cell r="S1653" t="str">
            <v>-</v>
          </cell>
          <cell r="T1653" t="str">
            <v>-</v>
          </cell>
          <cell r="U1653" t="str">
            <v>-</v>
          </cell>
          <cell r="V1653" t="str">
            <v>FC</v>
          </cell>
          <cell r="W1653" t="str">
            <v>-</v>
          </cell>
          <cell r="X1653" t="str">
            <v>CLP HC VG 220 = -20° + 60°</v>
          </cell>
          <cell r="Y1653" t="str">
            <v>KH107DRN160M4 /TF/V</v>
          </cell>
          <cell r="Z1653" t="str">
            <v>SEW</v>
          </cell>
          <cell r="AB1653" t="str">
            <v>-</v>
          </cell>
          <cell r="AE1653" t="str">
            <v>Work frequency 47Hz for 0,4m/sec</v>
          </cell>
          <cell r="AF1653">
            <v>15</v>
          </cell>
          <cell r="AG1653" t="str">
            <v>DRN160M4</v>
          </cell>
          <cell r="AH1653" t="str">
            <v>KH107-DRN160M4B270-X#</v>
          </cell>
        </row>
        <row r="1654">
          <cell r="A1654" t="str">
            <v>MR001650</v>
          </cell>
          <cell r="B1654" t="str">
            <v>MR</v>
          </cell>
          <cell r="C1654">
            <v>7.5</v>
          </cell>
          <cell r="D1654">
            <v>63</v>
          </cell>
          <cell r="E1654" t="str">
            <v>R87</v>
          </cell>
          <cell r="F1654">
            <v>1140</v>
          </cell>
          <cell r="G1654">
            <v>23.4</v>
          </cell>
          <cell r="H1654">
            <v>1.35</v>
          </cell>
          <cell r="I1654" t="str">
            <v>From M6 to M2 - 10°</v>
          </cell>
          <cell r="J1654" t="str">
            <v>IE3</v>
          </cell>
          <cell r="K1654" t="str">
            <v>400/690</v>
          </cell>
          <cell r="L1654">
            <v>50</v>
          </cell>
          <cell r="M1654" t="str">
            <v>15,2/8,8</v>
          </cell>
          <cell r="N1654">
            <v>55</v>
          </cell>
          <cell r="O1654" t="str">
            <v>F(105°C)</v>
          </cell>
          <cell r="P1654" t="str">
            <v>270°</v>
          </cell>
          <cell r="Q1654" t="str">
            <v>-</v>
          </cell>
          <cell r="R1654" t="str">
            <v>-</v>
          </cell>
          <cell r="S1654" t="str">
            <v>-</v>
          </cell>
          <cell r="T1654" t="str">
            <v>-</v>
          </cell>
          <cell r="U1654" t="str">
            <v>-</v>
          </cell>
          <cell r="V1654" t="str">
            <v>-</v>
          </cell>
          <cell r="W1654" t="str">
            <v>-</v>
          </cell>
          <cell r="X1654" t="str">
            <v>CLP HC VG 220 = -20° + 60°</v>
          </cell>
          <cell r="Y1654" t="str">
            <v>R87DRN132M4</v>
          </cell>
          <cell r="Z1654" t="str">
            <v>SEW</v>
          </cell>
          <cell r="AB1654" t="str">
            <v>-</v>
          </cell>
          <cell r="AF1654">
            <v>63</v>
          </cell>
          <cell r="AG1654" t="str">
            <v>DRN132M4</v>
          </cell>
          <cell r="AH1654" t="str">
            <v>R87-DRN132M4270-X</v>
          </cell>
        </row>
        <row r="1655">
          <cell r="A1655" t="str">
            <v>MR001651</v>
          </cell>
          <cell r="B1655" t="str">
            <v>MR</v>
          </cell>
          <cell r="C1655">
            <v>3</v>
          </cell>
          <cell r="D1655">
            <v>7.2</v>
          </cell>
          <cell r="E1655" t="str">
            <v>R107</v>
          </cell>
          <cell r="F1655">
            <v>4000</v>
          </cell>
          <cell r="G1655">
            <v>203.16</v>
          </cell>
          <cell r="H1655">
            <v>1.1000000000000001</v>
          </cell>
          <cell r="I1655" t="str">
            <v>From M1 to M2 - 15°</v>
          </cell>
          <cell r="J1655" t="str">
            <v>IE3</v>
          </cell>
          <cell r="K1655" t="str">
            <v>230/400</v>
          </cell>
          <cell r="L1655">
            <v>50</v>
          </cell>
          <cell r="M1655" t="str">
            <v>11,2/6,4</v>
          </cell>
          <cell r="N1655">
            <v>55</v>
          </cell>
          <cell r="O1655" t="str">
            <v>F(105°C)</v>
          </cell>
          <cell r="P1655" t="str">
            <v>270°</v>
          </cell>
          <cell r="Q1655" t="str">
            <v>TF</v>
          </cell>
          <cell r="R1655" t="str">
            <v>V(VE)</v>
          </cell>
          <cell r="S1655" t="str">
            <v>-</v>
          </cell>
          <cell r="T1655" t="str">
            <v>-</v>
          </cell>
          <cell r="U1655" t="str">
            <v>-</v>
          </cell>
          <cell r="V1655" t="str">
            <v>FC</v>
          </cell>
          <cell r="W1655" t="str">
            <v>-</v>
          </cell>
          <cell r="X1655" t="str">
            <v>CLP HC VG 220 = -20° + 60°</v>
          </cell>
          <cell r="Y1655" t="str">
            <v>R107DRN100L4 /TF/V</v>
          </cell>
          <cell r="Z1655" t="str">
            <v>SEW</v>
          </cell>
          <cell r="AB1655" t="str">
            <v>-</v>
          </cell>
          <cell r="AF1655">
            <v>7.2</v>
          </cell>
          <cell r="AG1655" t="str">
            <v>DRN100L4</v>
          </cell>
          <cell r="AH1655" t="str">
            <v>R107-DRN100L4270-X#</v>
          </cell>
        </row>
        <row r="1656">
          <cell r="A1656" t="str">
            <v>MR001652</v>
          </cell>
          <cell r="B1656" t="str">
            <v>MR</v>
          </cell>
          <cell r="C1656">
            <v>0.55000000000000004</v>
          </cell>
          <cell r="D1656">
            <v>29</v>
          </cell>
          <cell r="E1656" t="str">
            <v>FA37</v>
          </cell>
          <cell r="F1656">
            <v>181</v>
          </cell>
          <cell r="G1656">
            <v>47.02</v>
          </cell>
          <cell r="H1656">
            <v>1.1000000000000001</v>
          </cell>
          <cell r="I1656" t="str">
            <v>M5</v>
          </cell>
          <cell r="J1656" t="str">
            <v>IE3</v>
          </cell>
          <cell r="K1656">
            <v>440</v>
          </cell>
          <cell r="L1656">
            <v>60</v>
          </cell>
          <cell r="M1656">
            <v>1.4090909090909092</v>
          </cell>
          <cell r="N1656">
            <v>55</v>
          </cell>
          <cell r="O1656" t="str">
            <v>F(105°C)</v>
          </cell>
          <cell r="P1656" t="str">
            <v>270°</v>
          </cell>
          <cell r="Q1656" t="str">
            <v>-</v>
          </cell>
          <cell r="R1656" t="str">
            <v>-</v>
          </cell>
          <cell r="S1656" t="str">
            <v>-</v>
          </cell>
          <cell r="T1656" t="str">
            <v>BE</v>
          </cell>
          <cell r="U1656" t="str">
            <v>G</v>
          </cell>
          <cell r="V1656" t="str">
            <v>D+R</v>
          </cell>
          <cell r="W1656" t="str">
            <v>-</v>
          </cell>
          <cell r="X1656" t="str">
            <v>CLP (CC) VG 220 = -15° + 40°</v>
          </cell>
          <cell r="Y1656" t="str">
            <v>FA37/G DRS71M4</v>
          </cell>
          <cell r="Z1656" t="str">
            <v>SEW</v>
          </cell>
          <cell r="AB1656" t="str">
            <v>-</v>
          </cell>
          <cell r="AF1656">
            <v>34.799999999999997</v>
          </cell>
          <cell r="AG1656" t="str">
            <v>DRS71M4</v>
          </cell>
          <cell r="AH1656" t="str">
            <v>FA37G-DRS71M4270-X</v>
          </cell>
        </row>
        <row r="1657">
          <cell r="A1657" t="str">
            <v>MR001653</v>
          </cell>
          <cell r="B1657" t="str">
            <v>ME</v>
          </cell>
          <cell r="C1657">
            <v>0.55000000000000004</v>
          </cell>
          <cell r="I1657" t="str">
            <v>M5</v>
          </cell>
          <cell r="J1657" t="str">
            <v>IE3</v>
          </cell>
          <cell r="K1657">
            <v>440</v>
          </cell>
          <cell r="L1657">
            <v>60</v>
          </cell>
          <cell r="M1657">
            <v>1.4090909090909092</v>
          </cell>
          <cell r="N1657">
            <v>55</v>
          </cell>
          <cell r="O1657" t="str">
            <v>F(105°C)</v>
          </cell>
          <cell r="P1657" t="str">
            <v>270°</v>
          </cell>
          <cell r="T1657" t="str">
            <v>BE</v>
          </cell>
          <cell r="V1657" t="str">
            <v>D+R</v>
          </cell>
          <cell r="AF1657">
            <v>0</v>
          </cell>
          <cell r="AG1657" t="str">
            <v>DRS71M4</v>
          </cell>
          <cell r="AH1657" t="str">
            <v>-DRS71M4270-X#</v>
          </cell>
        </row>
        <row r="1658">
          <cell r="A1658" t="str">
            <v>MR001654</v>
          </cell>
          <cell r="B1658" t="str">
            <v>MR</v>
          </cell>
          <cell r="C1658">
            <v>0.75</v>
          </cell>
          <cell r="D1658">
            <v>180</v>
          </cell>
          <cell r="E1658" t="str">
            <v>KA37</v>
          </cell>
          <cell r="F1658">
            <v>4210</v>
          </cell>
          <cell r="G1658">
            <v>7.96</v>
          </cell>
          <cell r="H1658">
            <v>3.4</v>
          </cell>
          <cell r="I1658" t="str">
            <v>M1A</v>
          </cell>
          <cell r="J1658" t="str">
            <v>IE2</v>
          </cell>
          <cell r="K1658" t="str">
            <v>230/400</v>
          </cell>
          <cell r="L1658">
            <v>50</v>
          </cell>
          <cell r="M1658" t="str">
            <v>3/1,73</v>
          </cell>
          <cell r="N1658">
            <v>55</v>
          </cell>
          <cell r="O1658" t="str">
            <v>F(105°C)</v>
          </cell>
          <cell r="P1658" t="str">
            <v>270°</v>
          </cell>
          <cell r="Q1658" t="str">
            <v>-</v>
          </cell>
          <cell r="R1658" t="str">
            <v>-</v>
          </cell>
          <cell r="S1658" t="str">
            <v>-</v>
          </cell>
          <cell r="T1658" t="str">
            <v>-</v>
          </cell>
          <cell r="U1658" t="str">
            <v>T</v>
          </cell>
          <cell r="V1658" t="str">
            <v>D</v>
          </cell>
          <cell r="W1658" t="str">
            <v>-</v>
          </cell>
          <cell r="X1658" t="str">
            <v>CLP HC VG 150 = -40° + 40°</v>
          </cell>
          <cell r="Y1658" t="str">
            <v>KA37/T/II2GD EDRE80M4/3D/KCC/AL</v>
          </cell>
          <cell r="Z1658" t="str">
            <v>SEW</v>
          </cell>
          <cell r="AB1658" t="str">
            <v>ATEX22</v>
          </cell>
          <cell r="AF1658">
            <v>180</v>
          </cell>
          <cell r="AG1658" t="str">
            <v>EDRE80M4</v>
          </cell>
          <cell r="AH1658" t="str">
            <v>KA37T-EDRE80M4A270-X</v>
          </cell>
        </row>
        <row r="1659">
          <cell r="A1659" t="str">
            <v>MR001655</v>
          </cell>
          <cell r="B1659" t="str">
            <v>MR</v>
          </cell>
          <cell r="C1659">
            <v>5.5</v>
          </cell>
          <cell r="D1659">
            <v>62</v>
          </cell>
          <cell r="E1659" t="str">
            <v>R87</v>
          </cell>
          <cell r="F1659">
            <v>840</v>
          </cell>
          <cell r="G1659">
            <v>23.4</v>
          </cell>
          <cell r="H1659">
            <v>1.84</v>
          </cell>
          <cell r="I1659" t="str">
            <v>From M5 to M2 - 10°</v>
          </cell>
          <cell r="J1659" t="str">
            <v>IE3</v>
          </cell>
          <cell r="K1659" t="str">
            <v>230/400</v>
          </cell>
          <cell r="L1659">
            <v>50</v>
          </cell>
          <cell r="M1659" t="str">
            <v>18,2/10,5</v>
          </cell>
          <cell r="N1659">
            <v>55</v>
          </cell>
          <cell r="O1659" t="str">
            <v>F(105°C)</v>
          </cell>
          <cell r="P1659" t="str">
            <v>270°</v>
          </cell>
          <cell r="Q1659" t="str">
            <v>-</v>
          </cell>
          <cell r="R1659" t="str">
            <v>-</v>
          </cell>
          <cell r="S1659" t="str">
            <v>-</v>
          </cell>
          <cell r="T1659" t="str">
            <v>-</v>
          </cell>
          <cell r="U1659" t="str">
            <v>-</v>
          </cell>
          <cell r="V1659" t="str">
            <v>D</v>
          </cell>
          <cell r="W1659" t="str">
            <v>-</v>
          </cell>
          <cell r="X1659" t="str">
            <v>CLP HC VG 220 = -20° + 60°</v>
          </cell>
          <cell r="Y1659" t="str">
            <v>R87DRN132S4</v>
          </cell>
          <cell r="Z1659" t="str">
            <v>SEW</v>
          </cell>
          <cell r="AB1659" t="str">
            <v>-</v>
          </cell>
          <cell r="AF1659">
            <v>62</v>
          </cell>
          <cell r="AG1659" t="str">
            <v>DRN132S4</v>
          </cell>
          <cell r="AH1659" t="str">
            <v>R87-DRN132S4270-X</v>
          </cell>
        </row>
        <row r="1660">
          <cell r="A1660" t="str">
            <v>MR001656</v>
          </cell>
          <cell r="B1660" t="str">
            <v>MR</v>
          </cell>
          <cell r="C1660">
            <v>5.5</v>
          </cell>
          <cell r="D1660">
            <v>62</v>
          </cell>
          <cell r="E1660" t="str">
            <v>R87</v>
          </cell>
          <cell r="F1660">
            <v>840</v>
          </cell>
          <cell r="G1660">
            <v>23.4</v>
          </cell>
          <cell r="H1660">
            <v>1.85</v>
          </cell>
          <cell r="I1660" t="str">
            <v>From M6 to M2 - 15°</v>
          </cell>
          <cell r="J1660" t="str">
            <v>IE3</v>
          </cell>
          <cell r="K1660" t="str">
            <v>230/400</v>
          </cell>
          <cell r="L1660">
            <v>50</v>
          </cell>
          <cell r="M1660" t="str">
            <v>18,2/10,5</v>
          </cell>
          <cell r="N1660">
            <v>55</v>
          </cell>
          <cell r="O1660" t="str">
            <v>F(105°C)</v>
          </cell>
          <cell r="P1660" t="str">
            <v>270°</v>
          </cell>
          <cell r="Q1660" t="str">
            <v>-</v>
          </cell>
          <cell r="R1660" t="str">
            <v>-</v>
          </cell>
          <cell r="S1660" t="str">
            <v>-</v>
          </cell>
          <cell r="T1660" t="str">
            <v>-</v>
          </cell>
          <cell r="U1660" t="str">
            <v>-</v>
          </cell>
          <cell r="V1660" t="str">
            <v>D</v>
          </cell>
          <cell r="W1660" t="str">
            <v>-</v>
          </cell>
          <cell r="X1660" t="str">
            <v>CLP HC VG 220 = -20° + 60°</v>
          </cell>
          <cell r="Y1660" t="str">
            <v>R87DRN132S4</v>
          </cell>
          <cell r="Z1660" t="str">
            <v>SEW</v>
          </cell>
          <cell r="AB1660" t="str">
            <v>-</v>
          </cell>
          <cell r="AF1660">
            <v>62</v>
          </cell>
          <cell r="AG1660" t="str">
            <v>DRN132S4</v>
          </cell>
          <cell r="AH1660" t="str">
            <v>R87-DRN132S4270-X</v>
          </cell>
        </row>
        <row r="1661">
          <cell r="A1661" t="str">
            <v>MR001657</v>
          </cell>
          <cell r="B1661" t="str">
            <v>MR</v>
          </cell>
          <cell r="C1661">
            <v>5.5</v>
          </cell>
          <cell r="D1661">
            <v>62</v>
          </cell>
          <cell r="E1661" t="str">
            <v>R87</v>
          </cell>
          <cell r="F1661">
            <v>840</v>
          </cell>
          <cell r="G1661">
            <v>23.4</v>
          </cell>
          <cell r="H1661">
            <v>1.85</v>
          </cell>
          <cell r="I1661" t="str">
            <v>From M6 to M2 - 10°</v>
          </cell>
          <cell r="J1661" t="str">
            <v>IE3</v>
          </cell>
          <cell r="K1661" t="str">
            <v>230/400</v>
          </cell>
          <cell r="L1661">
            <v>50</v>
          </cell>
          <cell r="M1661" t="str">
            <v>18,2/10,5</v>
          </cell>
          <cell r="N1661">
            <v>55</v>
          </cell>
          <cell r="O1661" t="str">
            <v>F(105°C)</v>
          </cell>
          <cell r="P1661" t="str">
            <v>270°</v>
          </cell>
          <cell r="Q1661" t="str">
            <v>-</v>
          </cell>
          <cell r="R1661" t="str">
            <v>-</v>
          </cell>
          <cell r="S1661" t="str">
            <v>-</v>
          </cell>
          <cell r="T1661" t="str">
            <v>-</v>
          </cell>
          <cell r="U1661" t="str">
            <v>-</v>
          </cell>
          <cell r="V1661" t="str">
            <v>D</v>
          </cell>
          <cell r="W1661" t="str">
            <v>-</v>
          </cell>
          <cell r="X1661" t="str">
            <v>CLP HC VG 220 = -20° + 60°</v>
          </cell>
          <cell r="Y1661" t="str">
            <v>R87DRN132S4</v>
          </cell>
          <cell r="Z1661" t="str">
            <v>SEW</v>
          </cell>
          <cell r="AB1661" t="str">
            <v>-</v>
          </cell>
          <cell r="AF1661">
            <v>62</v>
          </cell>
          <cell r="AG1661" t="str">
            <v>DRN132S4</v>
          </cell>
          <cell r="AH1661" t="str">
            <v>R87-DRN132S4270-X</v>
          </cell>
        </row>
        <row r="1662">
          <cell r="A1662" t="str">
            <v>MR001658</v>
          </cell>
          <cell r="B1662" t="str">
            <v>MR</v>
          </cell>
          <cell r="C1662">
            <v>11</v>
          </cell>
          <cell r="D1662">
            <v>18</v>
          </cell>
          <cell r="E1662" t="str">
            <v>KH107</v>
          </cell>
          <cell r="F1662">
            <v>5890</v>
          </cell>
          <cell r="G1662">
            <v>82.61</v>
          </cell>
          <cell r="H1662">
            <v>1.35</v>
          </cell>
          <cell r="I1662" t="str">
            <v>From M1A to M2A - 40°</v>
          </cell>
          <cell r="J1662" t="str">
            <v>IE3</v>
          </cell>
          <cell r="K1662" t="str">
            <v>400/690</v>
          </cell>
          <cell r="L1662">
            <v>50</v>
          </cell>
          <cell r="M1662" t="str">
            <v>21/12,2</v>
          </cell>
          <cell r="N1662">
            <v>55</v>
          </cell>
          <cell r="O1662" t="str">
            <v>F(105°C)</v>
          </cell>
          <cell r="P1662" t="str">
            <v>270°</v>
          </cell>
          <cell r="Q1662" t="str">
            <v>TF</v>
          </cell>
          <cell r="R1662" t="str">
            <v>V(VE)</v>
          </cell>
          <cell r="S1662" t="str">
            <v>-</v>
          </cell>
          <cell r="T1662" t="str">
            <v>-</v>
          </cell>
          <cell r="U1662" t="str">
            <v>-</v>
          </cell>
          <cell r="V1662" t="str">
            <v>FC</v>
          </cell>
          <cell r="W1662" t="str">
            <v>-</v>
          </cell>
          <cell r="X1662" t="str">
            <v>CLP HC VG 220 = -20° + 60°</v>
          </cell>
          <cell r="Y1662" t="str">
            <v>KH107DRN160M4 /TF/V</v>
          </cell>
          <cell r="Z1662" t="str">
            <v>SEW</v>
          </cell>
          <cell r="AB1662" t="str">
            <v>-</v>
          </cell>
          <cell r="AE1662" t="str">
            <v>Work frequency 39Hz for 0,4m/sec</v>
          </cell>
          <cell r="AF1662">
            <v>18</v>
          </cell>
          <cell r="AG1662" t="str">
            <v>DRN160M4</v>
          </cell>
          <cell r="AH1662" t="str">
            <v>KH107-DRN160M4A270-X#</v>
          </cell>
        </row>
        <row r="1663">
          <cell r="A1663" t="str">
            <v>MR001659</v>
          </cell>
          <cell r="B1663" t="str">
            <v>MR</v>
          </cell>
          <cell r="C1663">
            <v>7.5</v>
          </cell>
          <cell r="D1663">
            <v>15</v>
          </cell>
          <cell r="E1663" t="str">
            <v>KH107</v>
          </cell>
          <cell r="F1663">
            <v>4910</v>
          </cell>
          <cell r="G1663">
            <v>100.75</v>
          </cell>
          <cell r="H1663">
            <v>1.5</v>
          </cell>
          <cell r="I1663" t="str">
            <v>From M1B to M2B - 30°</v>
          </cell>
          <cell r="J1663" t="str">
            <v>IE3</v>
          </cell>
          <cell r="K1663" t="str">
            <v>400/690</v>
          </cell>
          <cell r="L1663">
            <v>50</v>
          </cell>
          <cell r="M1663" t="str">
            <v>15,7/9</v>
          </cell>
          <cell r="N1663">
            <v>55</v>
          </cell>
          <cell r="O1663" t="str">
            <v>F(105°C)</v>
          </cell>
          <cell r="P1663" t="str">
            <v>270°</v>
          </cell>
          <cell r="Q1663" t="str">
            <v>TF</v>
          </cell>
          <cell r="R1663" t="str">
            <v>V(VE)</v>
          </cell>
          <cell r="S1663" t="str">
            <v>-</v>
          </cell>
          <cell r="T1663" t="str">
            <v>-</v>
          </cell>
          <cell r="U1663" t="str">
            <v>-</v>
          </cell>
          <cell r="V1663" t="str">
            <v>FC</v>
          </cell>
          <cell r="W1663" t="str">
            <v>-</v>
          </cell>
          <cell r="X1663" t="str">
            <v>CLP HC VG 150 = -40° + 40°</v>
          </cell>
          <cell r="Y1663" t="str">
            <v>KH107EDRN132M4 /TF/VE</v>
          </cell>
          <cell r="Z1663" t="str">
            <v>SEW</v>
          </cell>
          <cell r="AB1663" t="str">
            <v>ATEX22</v>
          </cell>
          <cell r="AF1663">
            <v>15</v>
          </cell>
          <cell r="AG1663" t="str">
            <v>EDRN132M4</v>
          </cell>
          <cell r="AH1663" t="str">
            <v>KH107-EDRN132M4B270-X#</v>
          </cell>
        </row>
        <row r="1664">
          <cell r="A1664" t="str">
            <v>MR001660</v>
          </cell>
          <cell r="B1664" t="str">
            <v>MR</v>
          </cell>
          <cell r="C1664">
            <v>9.1999999999999993</v>
          </cell>
          <cell r="D1664">
            <v>15</v>
          </cell>
          <cell r="E1664" t="str">
            <v>KH107</v>
          </cell>
          <cell r="F1664">
            <v>6020</v>
          </cell>
          <cell r="G1664">
            <v>100.75</v>
          </cell>
          <cell r="H1664">
            <v>1.35</v>
          </cell>
          <cell r="I1664" t="str">
            <v>From M1B to M2B - 30°</v>
          </cell>
          <cell r="J1664" t="str">
            <v>IE3</v>
          </cell>
          <cell r="K1664">
            <v>400</v>
          </cell>
          <cell r="L1664">
            <v>50</v>
          </cell>
          <cell r="M1664">
            <v>18.7</v>
          </cell>
          <cell r="N1664">
            <v>55</v>
          </cell>
          <cell r="O1664" t="str">
            <v>F(105°C)</v>
          </cell>
          <cell r="P1664" t="str">
            <v>0°</v>
          </cell>
          <cell r="Q1664" t="str">
            <v>-</v>
          </cell>
          <cell r="R1664" t="str">
            <v>-</v>
          </cell>
          <cell r="S1664" t="str">
            <v>-</v>
          </cell>
          <cell r="T1664" t="str">
            <v>-</v>
          </cell>
          <cell r="U1664" t="str">
            <v>-</v>
          </cell>
          <cell r="V1664" t="str">
            <v>SS</v>
          </cell>
          <cell r="W1664" t="str">
            <v>-</v>
          </cell>
          <cell r="X1664" t="str">
            <v>CLP VG 220 = -15° + 40°</v>
          </cell>
          <cell r="Y1664" t="str">
            <v>KH107DRN132L4</v>
          </cell>
          <cell r="Z1664" t="str">
            <v>SEW</v>
          </cell>
          <cell r="AB1664" t="str">
            <v>-</v>
          </cell>
          <cell r="AF1664">
            <v>15</v>
          </cell>
          <cell r="AG1664" t="str">
            <v>DRN132L4</v>
          </cell>
          <cell r="AH1664" t="str">
            <v>KH107-DRN132L4B0-X</v>
          </cell>
        </row>
        <row r="1665">
          <cell r="A1665" t="str">
            <v>MR001661</v>
          </cell>
          <cell r="B1665" t="str">
            <v>MR</v>
          </cell>
          <cell r="C1665">
            <v>11</v>
          </cell>
          <cell r="D1665">
            <v>13</v>
          </cell>
          <cell r="E1665" t="str">
            <v>KH127</v>
          </cell>
          <cell r="F1665">
            <v>7850</v>
          </cell>
          <cell r="G1665">
            <v>110.18</v>
          </cell>
          <cell r="H1665">
            <v>1.65</v>
          </cell>
          <cell r="I1665" t="str">
            <v>From M1B to M2B - 10°</v>
          </cell>
          <cell r="J1665" t="str">
            <v>IE3</v>
          </cell>
          <cell r="K1665">
            <v>400</v>
          </cell>
          <cell r="L1665">
            <v>50</v>
          </cell>
          <cell r="M1665">
            <v>21</v>
          </cell>
          <cell r="N1665">
            <v>55</v>
          </cell>
          <cell r="O1665" t="str">
            <v>F(105°C)</v>
          </cell>
          <cell r="P1665" t="str">
            <v>0°</v>
          </cell>
          <cell r="Q1665" t="str">
            <v>-</v>
          </cell>
          <cell r="R1665" t="str">
            <v>-</v>
          </cell>
          <cell r="S1665" t="str">
            <v>-</v>
          </cell>
          <cell r="T1665" t="str">
            <v>-</v>
          </cell>
          <cell r="U1665" t="str">
            <v>-</v>
          </cell>
          <cell r="V1665" t="str">
            <v>SS</v>
          </cell>
          <cell r="W1665" t="str">
            <v>-</v>
          </cell>
          <cell r="X1665" t="str">
            <v>CLP VG 220 = -15° + 40°</v>
          </cell>
          <cell r="Y1665" t="str">
            <v>KH127DRN160M4</v>
          </cell>
          <cell r="Z1665" t="str">
            <v>SEW</v>
          </cell>
          <cell r="AB1665" t="str">
            <v>-</v>
          </cell>
          <cell r="AF1665">
            <v>13</v>
          </cell>
          <cell r="AG1665" t="str">
            <v>DRN160M4</v>
          </cell>
          <cell r="AH1665" t="str">
            <v>KH127-DRN160M4B0-X</v>
          </cell>
        </row>
        <row r="1666">
          <cell r="A1666" t="str">
            <v>MR001662</v>
          </cell>
          <cell r="B1666" t="str">
            <v>MR</v>
          </cell>
          <cell r="C1666">
            <v>11</v>
          </cell>
          <cell r="D1666">
            <v>13</v>
          </cell>
          <cell r="E1666" t="str">
            <v>KH127</v>
          </cell>
          <cell r="F1666">
            <v>7850</v>
          </cell>
          <cell r="G1666">
            <v>110.18</v>
          </cell>
          <cell r="H1666">
            <v>1.65</v>
          </cell>
          <cell r="I1666" t="str">
            <v>From M1A to M2A - 10°</v>
          </cell>
          <cell r="J1666" t="str">
            <v>IE3</v>
          </cell>
          <cell r="K1666">
            <v>400</v>
          </cell>
          <cell r="L1666">
            <v>50</v>
          </cell>
          <cell r="M1666">
            <v>21</v>
          </cell>
          <cell r="N1666">
            <v>55</v>
          </cell>
          <cell r="O1666" t="str">
            <v>F(105°C)</v>
          </cell>
          <cell r="P1666" t="str">
            <v>180°</v>
          </cell>
          <cell r="Q1666" t="str">
            <v>-</v>
          </cell>
          <cell r="R1666" t="str">
            <v>-</v>
          </cell>
          <cell r="S1666" t="str">
            <v>-</v>
          </cell>
          <cell r="T1666" t="str">
            <v>-</v>
          </cell>
          <cell r="U1666" t="str">
            <v>-</v>
          </cell>
          <cell r="V1666" t="str">
            <v>SS</v>
          </cell>
          <cell r="W1666" t="str">
            <v>-</v>
          </cell>
          <cell r="X1666" t="str">
            <v>CLP VG 220 = -15° + 40°</v>
          </cell>
          <cell r="Y1666" t="str">
            <v>KH127DRN160M4</v>
          </cell>
          <cell r="Z1666" t="str">
            <v>SEW</v>
          </cell>
          <cell r="AB1666" t="str">
            <v>-</v>
          </cell>
          <cell r="AF1666">
            <v>13</v>
          </cell>
          <cell r="AG1666" t="str">
            <v>DRN160M4</v>
          </cell>
          <cell r="AH1666" t="str">
            <v>KH127-DRN160M4A180-X</v>
          </cell>
        </row>
        <row r="1667">
          <cell r="A1667" t="str">
            <v>MR001663</v>
          </cell>
          <cell r="B1667" t="str">
            <v>MR</v>
          </cell>
          <cell r="C1667">
            <v>7.5</v>
          </cell>
          <cell r="D1667">
            <v>15</v>
          </cell>
          <cell r="E1667" t="str">
            <v>KH107</v>
          </cell>
          <cell r="F1667">
            <v>4910</v>
          </cell>
          <cell r="G1667">
            <v>100.75</v>
          </cell>
          <cell r="H1667">
            <v>1.65</v>
          </cell>
          <cell r="I1667" t="str">
            <v>From M1B to M2B - 25°</v>
          </cell>
          <cell r="J1667" t="str">
            <v>IE3</v>
          </cell>
          <cell r="K1667">
            <v>400</v>
          </cell>
          <cell r="L1667">
            <v>50</v>
          </cell>
          <cell r="M1667">
            <v>15.2</v>
          </cell>
          <cell r="N1667">
            <v>55</v>
          </cell>
          <cell r="O1667" t="str">
            <v>F(105°C)</v>
          </cell>
          <cell r="P1667" t="str">
            <v>0°</v>
          </cell>
          <cell r="Q1667" t="str">
            <v>-</v>
          </cell>
          <cell r="R1667" t="str">
            <v>-</v>
          </cell>
          <cell r="S1667" t="str">
            <v>-</v>
          </cell>
          <cell r="T1667" t="str">
            <v>-</v>
          </cell>
          <cell r="U1667" t="str">
            <v>-</v>
          </cell>
          <cell r="V1667" t="str">
            <v>SS</v>
          </cell>
          <cell r="W1667" t="str">
            <v>-</v>
          </cell>
          <cell r="X1667" t="str">
            <v>CLP VG 220 = -15° + 40°</v>
          </cell>
          <cell r="Y1667" t="str">
            <v>KH107DRN132M4</v>
          </cell>
          <cell r="Z1667" t="str">
            <v>SEW</v>
          </cell>
          <cell r="AB1667" t="str">
            <v>-</v>
          </cell>
          <cell r="AF1667">
            <v>15</v>
          </cell>
          <cell r="AG1667" t="str">
            <v>DRN132M4</v>
          </cell>
          <cell r="AH1667" t="str">
            <v>KH107-DRN132M4B0-X</v>
          </cell>
        </row>
        <row r="1668">
          <cell r="A1668" t="str">
            <v>MR001664</v>
          </cell>
          <cell r="B1668" t="str">
            <v>MR</v>
          </cell>
          <cell r="C1668">
            <v>11</v>
          </cell>
          <cell r="D1668">
            <v>13</v>
          </cell>
          <cell r="E1668" t="str">
            <v>KH127</v>
          </cell>
          <cell r="F1668">
            <v>7850</v>
          </cell>
          <cell r="G1668">
            <v>110.18</v>
          </cell>
          <cell r="H1668">
            <v>1.65</v>
          </cell>
          <cell r="I1668" t="str">
            <v>From M1B to M2B - 20°</v>
          </cell>
          <cell r="J1668" t="str">
            <v>IE3</v>
          </cell>
          <cell r="K1668">
            <v>400</v>
          </cell>
          <cell r="L1668">
            <v>50</v>
          </cell>
          <cell r="M1668">
            <v>21</v>
          </cell>
          <cell r="N1668">
            <v>55</v>
          </cell>
          <cell r="O1668" t="str">
            <v>F(105°C)</v>
          </cell>
          <cell r="P1668" t="str">
            <v>0°</v>
          </cell>
          <cell r="Q1668" t="str">
            <v>-</v>
          </cell>
          <cell r="R1668" t="str">
            <v>-</v>
          </cell>
          <cell r="S1668" t="str">
            <v>-</v>
          </cell>
          <cell r="T1668" t="str">
            <v>-</v>
          </cell>
          <cell r="U1668" t="str">
            <v>-</v>
          </cell>
          <cell r="V1668" t="str">
            <v>SS</v>
          </cell>
          <cell r="W1668" t="str">
            <v>-</v>
          </cell>
          <cell r="X1668" t="str">
            <v>CLP VG 220 = -15° + 40°</v>
          </cell>
          <cell r="Y1668" t="str">
            <v>KH127DRN160M4</v>
          </cell>
          <cell r="Z1668" t="str">
            <v>SEW</v>
          </cell>
          <cell r="AB1668" t="str">
            <v>-</v>
          </cell>
          <cell r="AF1668">
            <v>13</v>
          </cell>
          <cell r="AG1668" t="str">
            <v>DRN160M4</v>
          </cell>
          <cell r="AH1668" t="str">
            <v>KH127-DRN160M4B0-X</v>
          </cell>
        </row>
        <row r="1669">
          <cell r="A1669" t="str">
            <v>MR001665</v>
          </cell>
          <cell r="B1669" t="str">
            <v>MR</v>
          </cell>
          <cell r="C1669">
            <v>11</v>
          </cell>
          <cell r="D1669">
            <v>13</v>
          </cell>
          <cell r="E1669" t="str">
            <v>KH127</v>
          </cell>
          <cell r="F1669">
            <v>7850</v>
          </cell>
          <cell r="G1669">
            <v>110.18</v>
          </cell>
          <cell r="H1669">
            <v>1.65</v>
          </cell>
          <cell r="I1669" t="str">
            <v>From M1A to M2A - 20°</v>
          </cell>
          <cell r="J1669" t="str">
            <v>IE3</v>
          </cell>
          <cell r="K1669">
            <v>400</v>
          </cell>
          <cell r="L1669">
            <v>50</v>
          </cell>
          <cell r="M1669">
            <v>21</v>
          </cell>
          <cell r="N1669">
            <v>55</v>
          </cell>
          <cell r="O1669" t="str">
            <v>F(105°C)</v>
          </cell>
          <cell r="P1669" t="str">
            <v>180°</v>
          </cell>
          <cell r="Q1669" t="str">
            <v>-</v>
          </cell>
          <cell r="R1669" t="str">
            <v>-</v>
          </cell>
          <cell r="S1669" t="str">
            <v>-</v>
          </cell>
          <cell r="T1669" t="str">
            <v>-</v>
          </cell>
          <cell r="U1669" t="str">
            <v>-</v>
          </cell>
          <cell r="V1669" t="str">
            <v>SS</v>
          </cell>
          <cell r="W1669" t="str">
            <v>-</v>
          </cell>
          <cell r="X1669" t="str">
            <v>CLP VG 220 = -15° + 40°</v>
          </cell>
          <cell r="Y1669" t="str">
            <v>KH127DRN160M4</v>
          </cell>
          <cell r="Z1669" t="str">
            <v>SEW</v>
          </cell>
          <cell r="AB1669" t="str">
            <v>-</v>
          </cell>
          <cell r="AF1669">
            <v>13</v>
          </cell>
          <cell r="AG1669" t="str">
            <v>DRN160M4</v>
          </cell>
          <cell r="AH1669" t="str">
            <v>KH127-DRN160M4A180-X</v>
          </cell>
        </row>
        <row r="1670">
          <cell r="A1670" t="str">
            <v>MR001666</v>
          </cell>
          <cell r="B1670" t="str">
            <v>MR</v>
          </cell>
          <cell r="C1670">
            <v>15</v>
          </cell>
          <cell r="D1670">
            <v>59</v>
          </cell>
          <cell r="E1670" t="str">
            <v>R97</v>
          </cell>
          <cell r="F1670">
            <v>2430</v>
          </cell>
          <cell r="G1670">
            <v>25.03</v>
          </cell>
          <cell r="H1670">
            <v>1.1499999999999999</v>
          </cell>
          <cell r="I1670" t="str">
            <v>M1</v>
          </cell>
          <cell r="J1670" t="str">
            <v>IE3</v>
          </cell>
          <cell r="K1670">
            <v>400</v>
          </cell>
          <cell r="L1670">
            <v>50</v>
          </cell>
          <cell r="M1670">
            <v>29</v>
          </cell>
          <cell r="N1670">
            <v>55</v>
          </cell>
          <cell r="O1670" t="str">
            <v>F(105°C)</v>
          </cell>
          <cell r="P1670" t="str">
            <v>270°</v>
          </cell>
          <cell r="Q1670" t="str">
            <v>-</v>
          </cell>
          <cell r="R1670" t="str">
            <v>-</v>
          </cell>
          <cell r="S1670" t="str">
            <v>-</v>
          </cell>
          <cell r="T1670" t="str">
            <v>-</v>
          </cell>
          <cell r="U1670" t="str">
            <v>-</v>
          </cell>
          <cell r="V1670" t="str">
            <v>D+R</v>
          </cell>
          <cell r="W1670" t="str">
            <v>-</v>
          </cell>
          <cell r="X1670" t="str">
            <v>CLP VG 220 = -15° + 40°</v>
          </cell>
          <cell r="Y1670" t="str">
            <v>R97DRN160L4</v>
          </cell>
          <cell r="Z1670" t="str">
            <v>SEW</v>
          </cell>
          <cell r="AB1670" t="str">
            <v>-</v>
          </cell>
          <cell r="AF1670">
            <v>59</v>
          </cell>
          <cell r="AG1670" t="str">
            <v>DRN160L4</v>
          </cell>
          <cell r="AH1670" t="str">
            <v>R97-DRN160L4270-X</v>
          </cell>
        </row>
        <row r="1671">
          <cell r="A1671" t="str">
            <v>MR001667</v>
          </cell>
          <cell r="B1671" t="str">
            <v>MR</v>
          </cell>
          <cell r="C1671">
            <v>5.5</v>
          </cell>
          <cell r="D1671">
            <v>20</v>
          </cell>
          <cell r="E1671" t="str">
            <v>R97</v>
          </cell>
          <cell r="F1671">
            <v>2590</v>
          </cell>
          <cell r="G1671">
            <v>72.17</v>
          </cell>
          <cell r="H1671">
            <v>1.1499999999999999</v>
          </cell>
          <cell r="I1671" t="str">
            <v>From M1 to M4 - 15°</v>
          </cell>
          <cell r="J1671" t="str">
            <v>IE3</v>
          </cell>
          <cell r="K1671">
            <v>400</v>
          </cell>
          <cell r="L1671">
            <v>50</v>
          </cell>
          <cell r="M1671">
            <v>10.5</v>
          </cell>
          <cell r="N1671">
            <v>55</v>
          </cell>
          <cell r="O1671" t="str">
            <v>F(105°C)</v>
          </cell>
          <cell r="P1671" t="str">
            <v>270°</v>
          </cell>
          <cell r="Q1671" t="str">
            <v>TF</v>
          </cell>
          <cell r="R1671" t="str">
            <v>V(VE)</v>
          </cell>
          <cell r="S1671" t="str">
            <v>-</v>
          </cell>
          <cell r="T1671" t="str">
            <v>-</v>
          </cell>
          <cell r="U1671" t="str">
            <v>-</v>
          </cell>
          <cell r="V1671" t="str">
            <v>FC</v>
          </cell>
          <cell r="W1671" t="str">
            <v>-</v>
          </cell>
          <cell r="X1671" t="str">
            <v>CLP VG 220 = -15° + 40°</v>
          </cell>
          <cell r="Y1671" t="str">
            <v>R97DRN132S4 /TF/V</v>
          </cell>
          <cell r="Z1671" t="str">
            <v>SEW</v>
          </cell>
          <cell r="AB1671" t="str">
            <v>-</v>
          </cell>
          <cell r="AF1671">
            <v>20</v>
          </cell>
          <cell r="AG1671" t="str">
            <v>DRN132S4</v>
          </cell>
          <cell r="AH1671" t="str">
            <v>R97-DRN132S4270-X#</v>
          </cell>
        </row>
        <row r="1672">
          <cell r="A1672" t="str">
            <v>MR001668</v>
          </cell>
          <cell r="B1672" t="str">
            <v>MR</v>
          </cell>
          <cell r="C1672">
            <v>3</v>
          </cell>
          <cell r="D1672">
            <v>104</v>
          </cell>
          <cell r="E1672" t="str">
            <v>R77</v>
          </cell>
          <cell r="F1672">
            <v>275</v>
          </cell>
          <cell r="G1672">
            <v>14.05</v>
          </cell>
          <cell r="H1672">
            <v>2.6</v>
          </cell>
          <cell r="I1672" t="str">
            <v>From M1 to M2 - 15°</v>
          </cell>
          <cell r="J1672" t="str">
            <v>IE3</v>
          </cell>
          <cell r="K1672">
            <v>400</v>
          </cell>
          <cell r="L1672">
            <v>50</v>
          </cell>
          <cell r="M1672">
            <v>6.4</v>
          </cell>
          <cell r="N1672">
            <v>55</v>
          </cell>
          <cell r="O1672" t="str">
            <v>F(105°C)</v>
          </cell>
          <cell r="P1672" t="str">
            <v>270°</v>
          </cell>
          <cell r="Q1672" t="str">
            <v>-</v>
          </cell>
          <cell r="R1672" t="str">
            <v>-</v>
          </cell>
          <cell r="S1672" t="str">
            <v>-</v>
          </cell>
          <cell r="T1672" t="str">
            <v>-</v>
          </cell>
          <cell r="U1672" t="str">
            <v>-</v>
          </cell>
          <cell r="V1672" t="str">
            <v>D</v>
          </cell>
          <cell r="W1672" t="str">
            <v>-</v>
          </cell>
          <cell r="X1672" t="str">
            <v>CLP VG 220 = -15° + 40°</v>
          </cell>
          <cell r="Y1672" t="str">
            <v>R77DRN100L4</v>
          </cell>
          <cell r="Z1672" t="str">
            <v>SEW</v>
          </cell>
          <cell r="AB1672" t="str">
            <v>-</v>
          </cell>
          <cell r="AF1672">
            <v>104</v>
          </cell>
          <cell r="AG1672" t="str">
            <v>DRN100L4</v>
          </cell>
          <cell r="AH1672" t="str">
            <v>R77-DRN100L4270-X</v>
          </cell>
        </row>
        <row r="1673">
          <cell r="A1673" t="str">
            <v>MR001669</v>
          </cell>
          <cell r="B1673" t="str">
            <v>MR</v>
          </cell>
          <cell r="C1673">
            <v>11</v>
          </cell>
          <cell r="D1673">
            <v>36</v>
          </cell>
          <cell r="E1673" t="str">
            <v>R107</v>
          </cell>
          <cell r="F1673">
            <v>2870</v>
          </cell>
          <cell r="G1673">
            <v>40.369999999999997</v>
          </cell>
          <cell r="H1673">
            <v>1.5</v>
          </cell>
          <cell r="I1673" t="str">
            <v>M1</v>
          </cell>
          <cell r="J1673" t="str">
            <v>IE3</v>
          </cell>
          <cell r="K1673">
            <v>400</v>
          </cell>
          <cell r="L1673">
            <v>50</v>
          </cell>
          <cell r="M1673">
            <v>21</v>
          </cell>
          <cell r="N1673">
            <v>55</v>
          </cell>
          <cell r="O1673" t="str">
            <v>F(105°C)</v>
          </cell>
          <cell r="P1673" t="str">
            <v>270°</v>
          </cell>
          <cell r="Q1673" t="str">
            <v>-</v>
          </cell>
          <cell r="R1673" t="str">
            <v>-</v>
          </cell>
          <cell r="S1673" t="str">
            <v>Free rotation CCW</v>
          </cell>
          <cell r="T1673" t="str">
            <v>-</v>
          </cell>
          <cell r="U1673" t="str">
            <v>-</v>
          </cell>
          <cell r="V1673" t="str">
            <v>SS</v>
          </cell>
          <cell r="W1673" t="str">
            <v>-</v>
          </cell>
          <cell r="X1673" t="str">
            <v>CLP VG 220 = -15° + 40°</v>
          </cell>
          <cell r="Y1673" t="str">
            <v>R107DRN160M4 /RS</v>
          </cell>
          <cell r="Z1673" t="str">
            <v>SEW</v>
          </cell>
          <cell r="AB1673" t="str">
            <v>-</v>
          </cell>
          <cell r="AF1673">
            <v>36</v>
          </cell>
          <cell r="AG1673" t="str">
            <v>DRN160M4</v>
          </cell>
          <cell r="AH1673" t="str">
            <v>R107-DRN160M4270-X</v>
          </cell>
        </row>
        <row r="1674">
          <cell r="A1674" t="str">
            <v>MR001670</v>
          </cell>
          <cell r="B1674" t="str">
            <v>MR</v>
          </cell>
          <cell r="C1674">
            <v>7.5</v>
          </cell>
          <cell r="D1674">
            <v>63</v>
          </cell>
          <cell r="E1674" t="str">
            <v>R87</v>
          </cell>
          <cell r="F1674">
            <v>1140</v>
          </cell>
          <cell r="G1674">
            <v>23.4</v>
          </cell>
          <cell r="H1674">
            <v>1.35</v>
          </cell>
          <cell r="I1674" t="str">
            <v>M1</v>
          </cell>
          <cell r="J1674" t="str">
            <v>IE3</v>
          </cell>
          <cell r="K1674">
            <v>400</v>
          </cell>
          <cell r="L1674">
            <v>50</v>
          </cell>
          <cell r="M1674">
            <v>15.2</v>
          </cell>
          <cell r="N1674">
            <v>55</v>
          </cell>
          <cell r="O1674" t="str">
            <v>F(105°C)</v>
          </cell>
          <cell r="P1674" t="str">
            <v>270°</v>
          </cell>
          <cell r="Q1674" t="str">
            <v>-</v>
          </cell>
          <cell r="R1674" t="str">
            <v>-</v>
          </cell>
          <cell r="S1674" t="str">
            <v>-</v>
          </cell>
          <cell r="T1674" t="str">
            <v>-</v>
          </cell>
          <cell r="U1674" t="str">
            <v>-</v>
          </cell>
          <cell r="V1674" t="str">
            <v>D</v>
          </cell>
          <cell r="W1674" t="str">
            <v>-</v>
          </cell>
          <cell r="X1674" t="str">
            <v>CLP VG 220 = -15° + 40°</v>
          </cell>
          <cell r="Y1674" t="str">
            <v>R87DRN132M4</v>
          </cell>
          <cell r="Z1674" t="str">
            <v>SEW</v>
          </cell>
          <cell r="AB1674" t="str">
            <v>-</v>
          </cell>
          <cell r="AF1674">
            <v>63</v>
          </cell>
          <cell r="AG1674" t="str">
            <v>DRN132M4</v>
          </cell>
          <cell r="AH1674" t="str">
            <v>R87-DRN132M4270-X</v>
          </cell>
        </row>
        <row r="1675">
          <cell r="A1675" t="str">
            <v>MR001671</v>
          </cell>
          <cell r="B1675" t="str">
            <v>MR</v>
          </cell>
          <cell r="C1675">
            <v>11</v>
          </cell>
          <cell r="D1675">
            <v>24</v>
          </cell>
          <cell r="E1675" t="str">
            <v>R127</v>
          </cell>
          <cell r="F1675">
            <v>4430</v>
          </cell>
          <cell r="G1675">
            <v>62.13</v>
          </cell>
          <cell r="H1675">
            <v>1.35</v>
          </cell>
          <cell r="I1675" t="str">
            <v>From M1 to M4 - 15°</v>
          </cell>
          <cell r="J1675" t="str">
            <v>IE3</v>
          </cell>
          <cell r="K1675">
            <v>400</v>
          </cell>
          <cell r="L1675">
            <v>50</v>
          </cell>
          <cell r="M1675">
            <v>21</v>
          </cell>
          <cell r="N1675">
            <v>55</v>
          </cell>
          <cell r="O1675" t="str">
            <v>F(105°C)</v>
          </cell>
          <cell r="P1675" t="str">
            <v>270°</v>
          </cell>
          <cell r="Q1675" t="str">
            <v>TF</v>
          </cell>
          <cell r="R1675" t="str">
            <v>V(VE)</v>
          </cell>
          <cell r="S1675" t="str">
            <v>-</v>
          </cell>
          <cell r="T1675" t="str">
            <v>-</v>
          </cell>
          <cell r="U1675" t="str">
            <v>-</v>
          </cell>
          <cell r="V1675" t="str">
            <v>FC</v>
          </cell>
          <cell r="W1675" t="str">
            <v>-</v>
          </cell>
          <cell r="X1675" t="str">
            <v>CLP VG 220 = -15° + 40°</v>
          </cell>
          <cell r="Y1675" t="str">
            <v>R127DRN160M4 /TF/V</v>
          </cell>
          <cell r="Z1675" t="str">
            <v>SEW</v>
          </cell>
          <cell r="AB1675" t="str">
            <v>-</v>
          </cell>
          <cell r="AF1675">
            <v>24</v>
          </cell>
          <cell r="AG1675" t="str">
            <v>DRN160M4</v>
          </cell>
          <cell r="AH1675" t="str">
            <v>R127-DRN160M4270-X#</v>
          </cell>
        </row>
        <row r="1676">
          <cell r="A1676" t="str">
            <v>MR001672</v>
          </cell>
          <cell r="B1676" t="str">
            <v>MR</v>
          </cell>
          <cell r="C1676">
            <v>9.1999999999999993</v>
          </cell>
          <cell r="D1676">
            <v>15</v>
          </cell>
          <cell r="E1676" t="str">
            <v>KH107</v>
          </cell>
          <cell r="F1676">
            <v>6020</v>
          </cell>
          <cell r="G1676">
            <v>100.75</v>
          </cell>
          <cell r="H1676">
            <v>1.35</v>
          </cell>
          <cell r="I1676" t="str">
            <v>From M1B to M2B - 5°</v>
          </cell>
          <cell r="J1676" t="str">
            <v>IE3</v>
          </cell>
          <cell r="K1676">
            <v>400</v>
          </cell>
          <cell r="L1676">
            <v>50</v>
          </cell>
          <cell r="M1676">
            <v>18.7</v>
          </cell>
          <cell r="N1676">
            <v>55</v>
          </cell>
          <cell r="O1676" t="str">
            <v>F(105°C)</v>
          </cell>
          <cell r="P1676" t="str">
            <v>0°</v>
          </cell>
          <cell r="Q1676" t="str">
            <v>TF</v>
          </cell>
          <cell r="R1676" t="str">
            <v>V(VE)</v>
          </cell>
          <cell r="S1676" t="str">
            <v>-</v>
          </cell>
          <cell r="T1676" t="str">
            <v>-</v>
          </cell>
          <cell r="U1676" t="str">
            <v>-</v>
          </cell>
          <cell r="V1676" t="str">
            <v>FC</v>
          </cell>
          <cell r="W1676" t="str">
            <v>-</v>
          </cell>
          <cell r="X1676" t="str">
            <v>CLP VG 220 = -15° + 40°</v>
          </cell>
          <cell r="Y1676" t="str">
            <v>KH107DRN132L4 /TF/V</v>
          </cell>
          <cell r="Z1676" t="str">
            <v>SEW</v>
          </cell>
          <cell r="AB1676" t="str">
            <v>-</v>
          </cell>
          <cell r="AF1676">
            <v>15</v>
          </cell>
          <cell r="AG1676" t="str">
            <v>DRN132L4</v>
          </cell>
          <cell r="AH1676" t="str">
            <v>KH107-DRN132L4B0-X#</v>
          </cell>
        </row>
        <row r="1677">
          <cell r="A1677" t="str">
            <v>MR001673</v>
          </cell>
          <cell r="B1677" t="str">
            <v>MR</v>
          </cell>
          <cell r="C1677">
            <v>9.1999999999999993</v>
          </cell>
          <cell r="D1677">
            <v>15</v>
          </cell>
          <cell r="E1677" t="str">
            <v>KH107</v>
          </cell>
          <cell r="F1677">
            <v>6020</v>
          </cell>
          <cell r="G1677">
            <v>100.75</v>
          </cell>
          <cell r="H1677">
            <v>1.35</v>
          </cell>
          <cell r="I1677" t="str">
            <v>From M1A to M2A - 5°</v>
          </cell>
          <cell r="J1677" t="str">
            <v>IE3</v>
          </cell>
          <cell r="K1677">
            <v>400</v>
          </cell>
          <cell r="L1677">
            <v>50</v>
          </cell>
          <cell r="M1677">
            <v>18.7</v>
          </cell>
          <cell r="N1677">
            <v>55</v>
          </cell>
          <cell r="O1677" t="str">
            <v>F(105°C)</v>
          </cell>
          <cell r="P1677" t="str">
            <v>180°</v>
          </cell>
          <cell r="Q1677" t="str">
            <v>TF</v>
          </cell>
          <cell r="R1677" t="str">
            <v>V(VE)</v>
          </cell>
          <cell r="S1677" t="str">
            <v>-</v>
          </cell>
          <cell r="T1677" t="str">
            <v>-</v>
          </cell>
          <cell r="U1677" t="str">
            <v>-</v>
          </cell>
          <cell r="V1677" t="str">
            <v>FC</v>
          </cell>
          <cell r="W1677" t="str">
            <v>-</v>
          </cell>
          <cell r="X1677" t="str">
            <v>CLP VG 220 = -15° + 40°</v>
          </cell>
          <cell r="Y1677" t="str">
            <v>KH107DRN132L4 /TF/V</v>
          </cell>
          <cell r="Z1677" t="str">
            <v>SEW</v>
          </cell>
          <cell r="AB1677" t="str">
            <v>-</v>
          </cell>
          <cell r="AF1677">
            <v>15</v>
          </cell>
          <cell r="AG1677" t="str">
            <v>DRN132L4</v>
          </cell>
          <cell r="AH1677" t="str">
            <v>KH107-DRN132L4A180-X#</v>
          </cell>
        </row>
        <row r="1678">
          <cell r="A1678" t="str">
            <v>MR001674</v>
          </cell>
          <cell r="B1678" t="str">
            <v>MR</v>
          </cell>
          <cell r="C1678">
            <v>0.75</v>
          </cell>
          <cell r="D1678">
            <v>18</v>
          </cell>
          <cell r="E1678" t="str">
            <v>FA67</v>
          </cell>
          <cell r="F1678">
            <v>395</v>
          </cell>
          <cell r="G1678">
            <v>79.760000000000005</v>
          </cell>
          <cell r="H1678">
            <v>2.1</v>
          </cell>
          <cell r="I1678" t="str">
            <v>From M6 to M3 - 5°</v>
          </cell>
          <cell r="J1678" t="str">
            <v>IE3</v>
          </cell>
          <cell r="K1678">
            <v>400</v>
          </cell>
          <cell r="L1678">
            <v>50</v>
          </cell>
          <cell r="M1678">
            <v>1.75</v>
          </cell>
          <cell r="N1678">
            <v>55</v>
          </cell>
          <cell r="O1678" t="str">
            <v>F(105°C)</v>
          </cell>
          <cell r="P1678" t="str">
            <v>0°</v>
          </cell>
          <cell r="Q1678" t="str">
            <v>-</v>
          </cell>
          <cell r="R1678" t="str">
            <v>-</v>
          </cell>
          <cell r="S1678" t="str">
            <v>-</v>
          </cell>
          <cell r="T1678" t="str">
            <v>BEHF</v>
          </cell>
          <cell r="U1678" t="str">
            <v>G</v>
          </cell>
          <cell r="V1678" t="str">
            <v>D+R</v>
          </cell>
          <cell r="W1678" t="str">
            <v>-</v>
          </cell>
          <cell r="X1678" t="str">
            <v>CLP VG 220 = -15° + 40°</v>
          </cell>
          <cell r="Y1678" t="str">
            <v>FA67/G DRN80M4 /BEHF</v>
          </cell>
          <cell r="Z1678" t="str">
            <v>SEW</v>
          </cell>
          <cell r="AB1678" t="str">
            <v>-</v>
          </cell>
          <cell r="AF1678">
            <v>18</v>
          </cell>
          <cell r="AG1678" t="str">
            <v>DRN80M4</v>
          </cell>
          <cell r="AH1678" t="str">
            <v>FA67G-DRN80M40-X</v>
          </cell>
        </row>
        <row r="1679">
          <cell r="A1679" t="str">
            <v>MR001675</v>
          </cell>
          <cell r="B1679" t="str">
            <v>ME</v>
          </cell>
          <cell r="C1679">
            <v>45</v>
          </cell>
          <cell r="D1679">
            <v>1478</v>
          </cell>
          <cell r="E1679" t="str">
            <v>1CV3222B</v>
          </cell>
          <cell r="F1679">
            <v>290</v>
          </cell>
          <cell r="I1679" t="str">
            <v>V1/B5</v>
          </cell>
          <cell r="J1679" t="str">
            <v>IE3</v>
          </cell>
          <cell r="K1679" t="str">
            <v>400/690</v>
          </cell>
          <cell r="L1679">
            <v>50</v>
          </cell>
          <cell r="M1679" t="str">
            <v>80/46,5</v>
          </cell>
          <cell r="N1679">
            <v>55</v>
          </cell>
          <cell r="O1679" t="str">
            <v>F(105°C)</v>
          </cell>
          <cell r="Q1679" t="str">
            <v>TF</v>
          </cell>
          <cell r="R1679" t="str">
            <v>-</v>
          </cell>
          <cell r="V1679" t="str">
            <v>D</v>
          </cell>
          <cell r="W1679" t="str">
            <v>YES</v>
          </cell>
          <cell r="Y1679" t="str">
            <v>1LE1503-2BB23-4GA4-Z D03+D47+Q02</v>
          </cell>
          <cell r="Z1679" t="str">
            <v>SIEMENS</v>
          </cell>
          <cell r="AE1679" t="str">
            <v>4 POLES</v>
          </cell>
          <cell r="AH1679" t="str">
            <v>1CV3222B-B-X</v>
          </cell>
        </row>
        <row r="1680">
          <cell r="A1680" t="str">
            <v>MR001676</v>
          </cell>
          <cell r="B1680" t="str">
            <v>ME</v>
          </cell>
          <cell r="C1680">
            <v>4</v>
          </cell>
          <cell r="D1680">
            <v>2950</v>
          </cell>
          <cell r="E1680" t="str">
            <v>1AV3112A</v>
          </cell>
          <cell r="F1680">
            <v>12.9</v>
          </cell>
          <cell r="I1680" t="str">
            <v>B5</v>
          </cell>
          <cell r="J1680" t="str">
            <v>IE3</v>
          </cell>
          <cell r="K1680" t="str">
            <v>230/400</v>
          </cell>
          <cell r="L1680">
            <v>50</v>
          </cell>
          <cell r="M1680" t="str">
            <v>12,8/7,4</v>
          </cell>
          <cell r="N1680">
            <v>55</v>
          </cell>
          <cell r="O1680" t="str">
            <v>F(105°C)</v>
          </cell>
          <cell r="Q1680" t="str">
            <v>TF</v>
          </cell>
          <cell r="R1680" t="str">
            <v>-</v>
          </cell>
          <cell r="V1680" t="str">
            <v>D</v>
          </cell>
          <cell r="W1680" t="str">
            <v>YES</v>
          </cell>
          <cell r="Y1680" t="str">
            <v>1LE1003-1BA22-2FA4 D03+D47+Q02</v>
          </cell>
          <cell r="Z1680" t="str">
            <v>SIEMENS</v>
          </cell>
          <cell r="AE1680" t="str">
            <v>2  POLES</v>
          </cell>
          <cell r="AH1680" t="str">
            <v>1AV3112A-B-X</v>
          </cell>
        </row>
        <row r="1681">
          <cell r="A1681" t="str">
            <v>MR001677</v>
          </cell>
          <cell r="B1681" t="str">
            <v>MR</v>
          </cell>
          <cell r="C1681">
            <v>3</v>
          </cell>
          <cell r="D1681">
            <v>61</v>
          </cell>
          <cell r="E1681" t="str">
            <v>KH67</v>
          </cell>
          <cell r="F1681">
            <v>470</v>
          </cell>
          <cell r="G1681">
            <v>24</v>
          </cell>
          <cell r="H1681">
            <v>1.7</v>
          </cell>
          <cell r="I1681" t="str">
            <v>M4A</v>
          </cell>
          <cell r="J1681" t="str">
            <v>IE3</v>
          </cell>
          <cell r="K1681">
            <v>400</v>
          </cell>
          <cell r="L1681">
            <v>50</v>
          </cell>
          <cell r="M1681">
            <v>6.4</v>
          </cell>
          <cell r="N1681">
            <v>55</v>
          </cell>
          <cell r="O1681" t="str">
            <v>F(105°C)</v>
          </cell>
          <cell r="P1681" t="str">
            <v>270°</v>
          </cell>
          <cell r="Q1681" t="str">
            <v>-</v>
          </cell>
          <cell r="R1681" t="str">
            <v>-</v>
          </cell>
          <cell r="S1681" t="str">
            <v>-</v>
          </cell>
          <cell r="T1681" t="str">
            <v>-</v>
          </cell>
          <cell r="U1681" t="str">
            <v>T</v>
          </cell>
          <cell r="V1681" t="str">
            <v>D</v>
          </cell>
          <cell r="W1681" t="str">
            <v>-</v>
          </cell>
          <cell r="X1681" t="str">
            <v>CLP VG 220 = -15° + 40°</v>
          </cell>
          <cell r="Y1681" t="str">
            <v>KH67/T DRN100L4</v>
          </cell>
          <cell r="Z1681" t="str">
            <v>SEW</v>
          </cell>
          <cell r="AB1681" t="str">
            <v>-</v>
          </cell>
          <cell r="AF1681">
            <v>61</v>
          </cell>
          <cell r="AG1681" t="str">
            <v>DRN100L4</v>
          </cell>
          <cell r="AH1681" t="str">
            <v>KH67T-DRN100L4A270-X</v>
          </cell>
        </row>
        <row r="1682">
          <cell r="A1682" t="str">
            <v>MR001678</v>
          </cell>
          <cell r="B1682" t="str">
            <v>MR</v>
          </cell>
          <cell r="C1682">
            <v>2.2000000000000002</v>
          </cell>
          <cell r="D1682">
            <v>95</v>
          </cell>
          <cell r="E1682" t="str">
            <v>KH67</v>
          </cell>
          <cell r="F1682">
            <v>220</v>
          </cell>
          <cell r="G1682">
            <v>15.22</v>
          </cell>
          <cell r="H1682">
            <v>2.4</v>
          </cell>
          <cell r="I1682" t="str">
            <v>M1B</v>
          </cell>
          <cell r="J1682" t="str">
            <v>IE3</v>
          </cell>
          <cell r="K1682">
            <v>400</v>
          </cell>
          <cell r="L1682">
            <v>50</v>
          </cell>
          <cell r="M1682">
            <v>5</v>
          </cell>
          <cell r="N1682">
            <v>55</v>
          </cell>
          <cell r="O1682" t="str">
            <v>F(105°C)</v>
          </cell>
          <cell r="P1682" t="str">
            <v>0°</v>
          </cell>
          <cell r="Q1682" t="str">
            <v>-</v>
          </cell>
          <cell r="R1682" t="str">
            <v>-</v>
          </cell>
          <cell r="S1682" t="str">
            <v>-</v>
          </cell>
          <cell r="T1682" t="str">
            <v>-</v>
          </cell>
          <cell r="U1682" t="str">
            <v>T</v>
          </cell>
          <cell r="V1682" t="str">
            <v>D</v>
          </cell>
          <cell r="W1682" t="str">
            <v>-</v>
          </cell>
          <cell r="X1682" t="str">
            <v>CLP VG 220 = -15° + 40°</v>
          </cell>
          <cell r="Y1682" t="str">
            <v>KH67/T DRN100LS4</v>
          </cell>
          <cell r="Z1682" t="str">
            <v>SEW</v>
          </cell>
          <cell r="AB1682" t="str">
            <v>-</v>
          </cell>
          <cell r="AF1682">
            <v>95</v>
          </cell>
          <cell r="AG1682" t="str">
            <v>DRN100LS4</v>
          </cell>
          <cell r="AH1682" t="str">
            <v>KH67T-DRN100LS4B0-X</v>
          </cell>
        </row>
        <row r="1683">
          <cell r="A1683" t="str">
            <v>MR001679</v>
          </cell>
          <cell r="B1683" t="str">
            <v>MR</v>
          </cell>
          <cell r="C1683">
            <v>18.5</v>
          </cell>
          <cell r="D1683">
            <v>15</v>
          </cell>
          <cell r="E1683" t="str">
            <v>KH157</v>
          </cell>
          <cell r="F1683">
            <v>11900</v>
          </cell>
          <cell r="G1683">
            <v>100.22</v>
          </cell>
          <cell r="H1683">
            <v>1.5</v>
          </cell>
          <cell r="I1683" t="str">
            <v>From M4B to M1B - 45°</v>
          </cell>
          <cell r="J1683" t="str">
            <v>IE3</v>
          </cell>
          <cell r="K1683">
            <v>400</v>
          </cell>
          <cell r="L1683">
            <v>50</v>
          </cell>
          <cell r="M1683">
            <v>33.5</v>
          </cell>
          <cell r="N1683">
            <v>55</v>
          </cell>
          <cell r="O1683" t="str">
            <v>F(105°C)</v>
          </cell>
          <cell r="P1683" t="str">
            <v>270°</v>
          </cell>
          <cell r="Q1683" t="str">
            <v>TF</v>
          </cell>
          <cell r="R1683" t="str">
            <v>V(VE)</v>
          </cell>
          <cell r="S1683" t="str">
            <v>-</v>
          </cell>
          <cell r="T1683" t="str">
            <v>-</v>
          </cell>
          <cell r="U1683" t="str">
            <v>-</v>
          </cell>
          <cell r="V1683" t="str">
            <v>FC</v>
          </cell>
          <cell r="W1683" t="str">
            <v>-</v>
          </cell>
          <cell r="X1683" t="str">
            <v>CLP VG 220 = -15° + 40°</v>
          </cell>
          <cell r="Y1683" t="str">
            <v>KH157DRN180M4 /TF/V</v>
          </cell>
          <cell r="Z1683" t="str">
            <v>SEW</v>
          </cell>
          <cell r="AB1683" t="str">
            <v>-</v>
          </cell>
          <cell r="AF1683">
            <v>15</v>
          </cell>
          <cell r="AG1683" t="str">
            <v>DRN180M4</v>
          </cell>
          <cell r="AH1683" t="str">
            <v>KH157-DRN180M4B270-X#</v>
          </cell>
        </row>
        <row r="1684">
          <cell r="A1684" t="str">
            <v>MR001680</v>
          </cell>
          <cell r="B1684" t="str">
            <v>MR</v>
          </cell>
          <cell r="C1684">
            <v>15</v>
          </cell>
          <cell r="D1684">
            <v>20</v>
          </cell>
          <cell r="E1684" t="str">
            <v>R137</v>
          </cell>
          <cell r="F1684">
            <v>7140</v>
          </cell>
          <cell r="G1684">
            <v>73.489999999999995</v>
          </cell>
          <cell r="H1684">
            <v>1.1000000000000001</v>
          </cell>
          <cell r="I1684" t="str">
            <v>From M1 to M2 - 5°</v>
          </cell>
          <cell r="J1684" t="str">
            <v>IE3</v>
          </cell>
          <cell r="K1684" t="str">
            <v>400/690</v>
          </cell>
          <cell r="L1684">
            <v>50</v>
          </cell>
          <cell r="M1684" t="str">
            <v>29/16,7</v>
          </cell>
          <cell r="N1684">
            <v>55</v>
          </cell>
          <cell r="O1684" t="str">
            <v>F(105°C)</v>
          </cell>
          <cell r="P1684" t="str">
            <v>0°</v>
          </cell>
          <cell r="Q1684" t="str">
            <v>TF</v>
          </cell>
          <cell r="R1684" t="str">
            <v>V(VE)</v>
          </cell>
          <cell r="S1684" t="str">
            <v>-</v>
          </cell>
          <cell r="T1684" t="str">
            <v>-</v>
          </cell>
          <cell r="U1684" t="str">
            <v>-</v>
          </cell>
          <cell r="V1684" t="str">
            <v>FC</v>
          </cell>
          <cell r="W1684" t="str">
            <v>YES</v>
          </cell>
          <cell r="X1684" t="str">
            <v>CLP HC VG 150 = -40° + 40°</v>
          </cell>
          <cell r="Y1684" t="str">
            <v>R137DRN160L4 /TF/V</v>
          </cell>
          <cell r="Z1684" t="str">
            <v>SEW</v>
          </cell>
          <cell r="AB1684" t="str">
            <v>-</v>
          </cell>
          <cell r="AF1684">
            <v>20</v>
          </cell>
          <cell r="AG1684" t="str">
            <v>DRN160L4</v>
          </cell>
          <cell r="AH1684" t="str">
            <v>R137-DRN160L40-X#</v>
          </cell>
        </row>
        <row r="1685">
          <cell r="A1685" t="str">
            <v>MR001681</v>
          </cell>
          <cell r="B1685" t="str">
            <v>MR</v>
          </cell>
          <cell r="C1685">
            <v>5.5</v>
          </cell>
          <cell r="D1685">
            <v>76</v>
          </cell>
          <cell r="E1685" t="str">
            <v>KH67</v>
          </cell>
          <cell r="F1685">
            <v>690</v>
          </cell>
          <cell r="G1685">
            <v>19.3</v>
          </cell>
          <cell r="H1685">
            <v>1.1000000000000001</v>
          </cell>
          <cell r="I1685" t="str">
            <v>M3B</v>
          </cell>
          <cell r="J1685" t="str">
            <v>IE3</v>
          </cell>
          <cell r="K1685" t="str">
            <v>230/400</v>
          </cell>
          <cell r="L1685">
            <v>50</v>
          </cell>
          <cell r="M1685" t="str">
            <v>18,2/10,5</v>
          </cell>
          <cell r="N1685">
            <v>55</v>
          </cell>
          <cell r="O1685" t="str">
            <v>F(105°C)</v>
          </cell>
          <cell r="P1685" t="str">
            <v>0°</v>
          </cell>
          <cell r="Q1685" t="str">
            <v>TF</v>
          </cell>
          <cell r="R1685" t="str">
            <v>-</v>
          </cell>
          <cell r="S1685" t="str">
            <v>-</v>
          </cell>
          <cell r="T1685" t="str">
            <v>-</v>
          </cell>
          <cell r="U1685" t="str">
            <v>T</v>
          </cell>
          <cell r="V1685" t="str">
            <v>D</v>
          </cell>
          <cell r="W1685" t="str">
            <v>YES</v>
          </cell>
          <cell r="X1685" t="str">
            <v>CLP HC VG 150 = -40° + 40°</v>
          </cell>
          <cell r="Y1685" t="str">
            <v>KH67/T DRN132S4 /TF</v>
          </cell>
          <cell r="Z1685" t="str">
            <v>SEW</v>
          </cell>
          <cell r="AB1685" t="str">
            <v>-</v>
          </cell>
          <cell r="AF1685">
            <v>76</v>
          </cell>
          <cell r="AG1685" t="str">
            <v>DRN132S4</v>
          </cell>
          <cell r="AH1685" t="str">
            <v>KH67T-DRN132S4B0-X</v>
          </cell>
        </row>
        <row r="1686">
          <cell r="A1686" t="str">
            <v>MR001682</v>
          </cell>
          <cell r="B1686" t="str">
            <v>MR</v>
          </cell>
          <cell r="C1686">
            <v>0.75</v>
          </cell>
          <cell r="D1686">
            <v>162</v>
          </cell>
          <cell r="E1686" t="str">
            <v>KA37</v>
          </cell>
          <cell r="F1686">
            <v>44</v>
          </cell>
          <cell r="G1686">
            <v>8.91</v>
          </cell>
          <cell r="H1686">
            <v>3.6</v>
          </cell>
          <cell r="I1686" t="str">
            <v>M1B</v>
          </cell>
          <cell r="J1686" t="str">
            <v>IE3</v>
          </cell>
          <cell r="K1686" t="str">
            <v>230/400</v>
          </cell>
          <cell r="L1686">
            <v>50</v>
          </cell>
          <cell r="M1686" t="str">
            <v>4,45/2,55</v>
          </cell>
          <cell r="N1686">
            <v>55</v>
          </cell>
          <cell r="O1686" t="str">
            <v>F(105°C)</v>
          </cell>
          <cell r="P1686" t="str">
            <v>0°</v>
          </cell>
          <cell r="Q1686" t="str">
            <v>TF</v>
          </cell>
          <cell r="R1686" t="str">
            <v>-</v>
          </cell>
          <cell r="S1686" t="str">
            <v>-</v>
          </cell>
          <cell r="T1686" t="str">
            <v>-</v>
          </cell>
          <cell r="U1686" t="str">
            <v>T</v>
          </cell>
          <cell r="V1686" t="str">
            <v>D</v>
          </cell>
          <cell r="W1686" t="str">
            <v>YES</v>
          </cell>
          <cell r="X1686" t="str">
            <v>CLP HC VG 150 = -40° + 40°</v>
          </cell>
          <cell r="Y1686" t="str">
            <v>KA37/T DRN80M4 /TF</v>
          </cell>
          <cell r="Z1686" t="str">
            <v>SEW</v>
          </cell>
          <cell r="AB1686" t="str">
            <v>-</v>
          </cell>
          <cell r="AF1686">
            <v>162</v>
          </cell>
          <cell r="AG1686" t="str">
            <v>DRN80M4</v>
          </cell>
          <cell r="AH1686" t="str">
            <v>KA37T-DRN80M4B0-X</v>
          </cell>
        </row>
        <row r="1687">
          <cell r="A1687" t="str">
            <v>MR001683</v>
          </cell>
          <cell r="B1687" t="str">
            <v>MR</v>
          </cell>
          <cell r="C1687">
            <v>2.2000000000000002</v>
          </cell>
          <cell r="D1687">
            <v>95</v>
          </cell>
          <cell r="E1687" t="str">
            <v>KH67</v>
          </cell>
          <cell r="F1687">
            <v>220</v>
          </cell>
          <cell r="G1687">
            <v>15.19</v>
          </cell>
          <cell r="H1687">
            <v>3.2</v>
          </cell>
          <cell r="I1687" t="str">
            <v>M1B</v>
          </cell>
          <cell r="J1687" t="str">
            <v>IE3</v>
          </cell>
          <cell r="K1687" t="str">
            <v>230/400</v>
          </cell>
          <cell r="L1687">
            <v>50</v>
          </cell>
          <cell r="M1687" t="str">
            <v>8,3/4,75</v>
          </cell>
          <cell r="N1687">
            <v>55</v>
          </cell>
          <cell r="O1687" t="str">
            <v>F(105°C)</v>
          </cell>
          <cell r="P1687" t="str">
            <v>270°</v>
          </cell>
          <cell r="Q1687" t="str">
            <v>TF</v>
          </cell>
          <cell r="R1687" t="str">
            <v>-</v>
          </cell>
          <cell r="S1687" t="str">
            <v>-</v>
          </cell>
          <cell r="T1687" t="str">
            <v>-</v>
          </cell>
          <cell r="U1687" t="str">
            <v>T</v>
          </cell>
          <cell r="V1687" t="str">
            <v>D</v>
          </cell>
          <cell r="W1687" t="str">
            <v>YES</v>
          </cell>
          <cell r="X1687" t="str">
            <v>CLP HC VG 150 = -40° + 40°</v>
          </cell>
          <cell r="Y1687" t="str">
            <v>KH67/T DRN100LS4 /TF</v>
          </cell>
          <cell r="Z1687" t="str">
            <v>SEW</v>
          </cell>
          <cell r="AB1687" t="str">
            <v>-</v>
          </cell>
          <cell r="AE1687" t="str">
            <v>Motore a magazzino</v>
          </cell>
          <cell r="AF1687">
            <v>95</v>
          </cell>
          <cell r="AG1687" t="str">
            <v>DRN100LS4</v>
          </cell>
          <cell r="AH1687" t="str">
            <v>KH67T-DRN100LS4B270-X</v>
          </cell>
        </row>
        <row r="1688">
          <cell r="A1688" t="str">
            <v>MR001684</v>
          </cell>
          <cell r="B1688" t="str">
            <v>MR</v>
          </cell>
          <cell r="C1688">
            <v>18.5</v>
          </cell>
          <cell r="D1688">
            <v>16</v>
          </cell>
          <cell r="E1688" t="str">
            <v>KH127</v>
          </cell>
          <cell r="F1688">
            <v>10700</v>
          </cell>
          <cell r="G1688">
            <v>89.89</v>
          </cell>
          <cell r="H1688">
            <v>1.2</v>
          </cell>
          <cell r="I1688" t="str">
            <v>M1B</v>
          </cell>
          <cell r="J1688" t="str">
            <v>IE3</v>
          </cell>
          <cell r="K1688" t="str">
            <v>400/690</v>
          </cell>
          <cell r="L1688">
            <v>50</v>
          </cell>
          <cell r="M1688" t="str">
            <v>33,5/19,3</v>
          </cell>
          <cell r="N1688">
            <v>55</v>
          </cell>
          <cell r="O1688" t="str">
            <v>F(105°C)</v>
          </cell>
          <cell r="P1688" t="str">
            <v>270°</v>
          </cell>
          <cell r="Q1688" t="str">
            <v>-</v>
          </cell>
          <cell r="R1688" t="str">
            <v>-</v>
          </cell>
          <cell r="S1688" t="str">
            <v>-</v>
          </cell>
          <cell r="T1688" t="str">
            <v>-</v>
          </cell>
          <cell r="U1688" t="str">
            <v>-</v>
          </cell>
          <cell r="V1688" t="str">
            <v>SS</v>
          </cell>
          <cell r="W1688" t="str">
            <v>-</v>
          </cell>
          <cell r="X1688" t="str">
            <v>CLP HC VG 220 = -20° + 60°</v>
          </cell>
          <cell r="Y1688" t="str">
            <v>KH127/II2GDEDRN180M4/3D/AL</v>
          </cell>
          <cell r="Z1688" t="str">
            <v>SEW</v>
          </cell>
          <cell r="AB1688" t="str">
            <v>ATEX22</v>
          </cell>
          <cell r="AF1688">
            <v>16</v>
          </cell>
          <cell r="AG1688" t="str">
            <v>EDRN180M4</v>
          </cell>
          <cell r="AH1688" t="str">
            <v>KH127-EDRN180M4B270-X</v>
          </cell>
        </row>
        <row r="1689">
          <cell r="A1689" t="str">
            <v>MR001685</v>
          </cell>
          <cell r="B1689" t="str">
            <v>MR</v>
          </cell>
          <cell r="C1689">
            <v>1.5</v>
          </cell>
          <cell r="D1689">
            <v>22</v>
          </cell>
          <cell r="E1689" t="str">
            <v>FA67</v>
          </cell>
          <cell r="F1689">
            <v>660</v>
          </cell>
          <cell r="G1689">
            <v>67.650000000000006</v>
          </cell>
          <cell r="H1689">
            <v>1.25</v>
          </cell>
          <cell r="I1689" t="str">
            <v>M5</v>
          </cell>
          <cell r="J1689" t="str">
            <v>IE3</v>
          </cell>
          <cell r="K1689" t="str">
            <v>230/400</v>
          </cell>
          <cell r="L1689">
            <v>50</v>
          </cell>
          <cell r="M1689" t="str">
            <v>5,9/3,4</v>
          </cell>
          <cell r="N1689">
            <v>55</v>
          </cell>
          <cell r="O1689" t="str">
            <v>F(105°C)</v>
          </cell>
          <cell r="P1689" t="str">
            <v>270°</v>
          </cell>
          <cell r="Q1689" t="str">
            <v>TF</v>
          </cell>
          <cell r="R1689" t="str">
            <v>-</v>
          </cell>
          <cell r="S1689" t="str">
            <v>-</v>
          </cell>
          <cell r="T1689" t="str">
            <v>BEHF</v>
          </cell>
          <cell r="U1689" t="str">
            <v>G</v>
          </cell>
          <cell r="V1689" t="str">
            <v>D+R</v>
          </cell>
          <cell r="W1689" t="str">
            <v>-</v>
          </cell>
          <cell r="X1689" t="str">
            <v>CLP HC VG 220 = -20° + 60°</v>
          </cell>
          <cell r="Y1689" t="str">
            <v>FA67/G/II2GDEDRN90L4BE2HF/3D/KCC/TF/AL</v>
          </cell>
          <cell r="Z1689" t="str">
            <v>SEW</v>
          </cell>
          <cell r="AB1689" t="str">
            <v>ATEX22</v>
          </cell>
          <cell r="AE1689" t="str">
            <v>Rectifier for brake in the terminal box</v>
          </cell>
          <cell r="AF1689">
            <v>22</v>
          </cell>
          <cell r="AG1689" t="str">
            <v>EDRN90L4</v>
          </cell>
          <cell r="AH1689" t="str">
            <v>FA67G-EDRN90L4270-X</v>
          </cell>
        </row>
        <row r="1690">
          <cell r="A1690" t="str">
            <v>MR001686</v>
          </cell>
          <cell r="B1690" t="str">
            <v>MR</v>
          </cell>
          <cell r="C1690">
            <v>1.1000000000000001</v>
          </cell>
          <cell r="D1690">
            <v>18</v>
          </cell>
          <cell r="E1690" t="str">
            <v>FA67</v>
          </cell>
          <cell r="F1690">
            <v>575</v>
          </cell>
          <cell r="G1690">
            <v>79.760000000000005</v>
          </cell>
          <cell r="H1690">
            <v>1.4</v>
          </cell>
          <cell r="I1690" t="str">
            <v>From M6 to M3 - 40°</v>
          </cell>
          <cell r="J1690" t="str">
            <v>IE3</v>
          </cell>
          <cell r="K1690" t="str">
            <v>230/400</v>
          </cell>
          <cell r="L1690">
            <v>50</v>
          </cell>
          <cell r="M1690" t="str">
            <v>4,45/2,55</v>
          </cell>
          <cell r="N1690">
            <v>55</v>
          </cell>
          <cell r="O1690" t="str">
            <v>F(105°C)</v>
          </cell>
          <cell r="P1690" t="str">
            <v>270°</v>
          </cell>
          <cell r="Q1690" t="str">
            <v>-</v>
          </cell>
          <cell r="R1690" t="str">
            <v>-</v>
          </cell>
          <cell r="S1690" t="str">
            <v>-</v>
          </cell>
          <cell r="T1690" t="str">
            <v>BEHF</v>
          </cell>
          <cell r="U1690" t="str">
            <v>G</v>
          </cell>
          <cell r="V1690" t="str">
            <v>D+R</v>
          </cell>
          <cell r="W1690" t="str">
            <v>-</v>
          </cell>
          <cell r="X1690" t="str">
            <v>CLP HC VG 220 = -20° + 60°</v>
          </cell>
          <cell r="Y1690" t="str">
            <v>FA67/G DRN90S4 /BEHF</v>
          </cell>
          <cell r="Z1690" t="str">
            <v>SEW</v>
          </cell>
          <cell r="AB1690" t="str">
            <v>-</v>
          </cell>
          <cell r="AF1690">
            <v>18</v>
          </cell>
          <cell r="AG1690" t="str">
            <v>DRN90S4</v>
          </cell>
          <cell r="AH1690" t="str">
            <v>FA67G-DRN90S4270-X</v>
          </cell>
        </row>
        <row r="1691">
          <cell r="A1691" t="str">
            <v>MR001687</v>
          </cell>
          <cell r="B1691" t="str">
            <v>MR</v>
          </cell>
          <cell r="C1691">
            <v>1.1000000000000001</v>
          </cell>
          <cell r="D1691">
            <v>18</v>
          </cell>
          <cell r="E1691" t="str">
            <v>FA67</v>
          </cell>
          <cell r="F1691">
            <v>575</v>
          </cell>
          <cell r="G1691">
            <v>79.760000000000005</v>
          </cell>
          <cell r="H1691">
            <v>1.4</v>
          </cell>
          <cell r="I1691" t="str">
            <v>From M6 to M3 - 45°</v>
          </cell>
          <cell r="J1691" t="str">
            <v>IE3</v>
          </cell>
          <cell r="K1691" t="str">
            <v>230/400</v>
          </cell>
          <cell r="L1691">
            <v>50</v>
          </cell>
          <cell r="M1691" t="str">
            <v>4,65/2,65</v>
          </cell>
          <cell r="N1691">
            <v>55</v>
          </cell>
          <cell r="O1691" t="str">
            <v>F(105°C)</v>
          </cell>
          <cell r="P1691" t="str">
            <v>270°</v>
          </cell>
          <cell r="Q1691" t="str">
            <v>-</v>
          </cell>
          <cell r="R1691" t="str">
            <v>-</v>
          </cell>
          <cell r="S1691" t="str">
            <v>-</v>
          </cell>
          <cell r="T1691" t="str">
            <v>BEHF</v>
          </cell>
          <cell r="U1691" t="str">
            <v>G</v>
          </cell>
          <cell r="V1691" t="str">
            <v>D+R</v>
          </cell>
          <cell r="W1691" t="str">
            <v>-</v>
          </cell>
          <cell r="X1691" t="str">
            <v>CLP HC VG 220 = -20° + 60°</v>
          </cell>
          <cell r="Y1691" t="str">
            <v>FA67/G EDRN90S4 /BEHF</v>
          </cell>
          <cell r="Z1691" t="str">
            <v>SEW</v>
          </cell>
          <cell r="AB1691" t="str">
            <v>ATEX22</v>
          </cell>
          <cell r="AE1691" t="str">
            <v>Rectifier for brake in the terminal box</v>
          </cell>
          <cell r="AF1691">
            <v>18</v>
          </cell>
          <cell r="AG1691" t="str">
            <v>EDRN90S4</v>
          </cell>
          <cell r="AH1691" t="str">
            <v>FA67G-EDRN90S4270-X</v>
          </cell>
        </row>
        <row r="1692">
          <cell r="A1692" t="str">
            <v>MR001688</v>
          </cell>
          <cell r="B1692" t="str">
            <v>MR</v>
          </cell>
          <cell r="C1692">
            <v>4</v>
          </cell>
          <cell r="D1692">
            <v>54</v>
          </cell>
          <cell r="E1692" t="str">
            <v>KH67</v>
          </cell>
          <cell r="F1692">
            <v>710</v>
          </cell>
          <cell r="G1692">
            <v>27.28</v>
          </cell>
          <cell r="H1692">
            <v>1.1499999999999999</v>
          </cell>
          <cell r="I1692" t="str">
            <v>M3B</v>
          </cell>
          <cell r="J1692" t="str">
            <v>IE3</v>
          </cell>
          <cell r="K1692" t="str">
            <v>230/400</v>
          </cell>
          <cell r="L1692">
            <v>50</v>
          </cell>
          <cell r="M1692" t="str">
            <v>13,8/7,9</v>
          </cell>
          <cell r="N1692">
            <v>55</v>
          </cell>
          <cell r="O1692" t="str">
            <v>F(105°C)</v>
          </cell>
          <cell r="P1692" t="str">
            <v>0°</v>
          </cell>
          <cell r="Q1692" t="str">
            <v>TF</v>
          </cell>
          <cell r="R1692" t="str">
            <v>-</v>
          </cell>
          <cell r="S1692" t="str">
            <v>-</v>
          </cell>
          <cell r="T1692" t="str">
            <v>-</v>
          </cell>
          <cell r="U1692" t="str">
            <v>T</v>
          </cell>
          <cell r="V1692" t="str">
            <v>D</v>
          </cell>
          <cell r="W1692" t="str">
            <v>YES</v>
          </cell>
          <cell r="X1692" t="str">
            <v>CLP HC VG 150 = -40° + 40°</v>
          </cell>
          <cell r="Y1692" t="str">
            <v>KH67/T DRN112M4 /TF</v>
          </cell>
          <cell r="Z1692" t="str">
            <v>SEW</v>
          </cell>
          <cell r="AB1692" t="str">
            <v>-</v>
          </cell>
          <cell r="AF1692">
            <v>54</v>
          </cell>
          <cell r="AG1692" t="str">
            <v>DRN112M4</v>
          </cell>
          <cell r="AH1692" t="str">
            <v>KH67T-DRN112M4B0-X</v>
          </cell>
        </row>
        <row r="1693">
          <cell r="A1693" t="str">
            <v>MR001689</v>
          </cell>
          <cell r="B1693" t="str">
            <v>MR</v>
          </cell>
          <cell r="C1693">
            <v>15</v>
          </cell>
          <cell r="D1693">
            <v>50</v>
          </cell>
          <cell r="E1693" t="str">
            <v>R107</v>
          </cell>
          <cell r="F1693">
            <v>2860</v>
          </cell>
          <cell r="G1693">
            <v>29.49</v>
          </cell>
          <cell r="H1693">
            <v>1.5</v>
          </cell>
          <cell r="I1693" t="str">
            <v>M1</v>
          </cell>
          <cell r="J1693" t="str">
            <v>IE3</v>
          </cell>
          <cell r="K1693" t="str">
            <v>400/690</v>
          </cell>
          <cell r="L1693">
            <v>50</v>
          </cell>
          <cell r="M1693" t="str">
            <v>29/16,7</v>
          </cell>
          <cell r="N1693">
            <v>55</v>
          </cell>
          <cell r="O1693" t="str">
            <v>F(105°C)</v>
          </cell>
          <cell r="P1693" t="str">
            <v>0°</v>
          </cell>
          <cell r="Q1693" t="str">
            <v>-</v>
          </cell>
          <cell r="R1693" t="str">
            <v>-</v>
          </cell>
          <cell r="S1693" t="str">
            <v>-</v>
          </cell>
          <cell r="T1693" t="str">
            <v>-</v>
          </cell>
          <cell r="U1693" t="str">
            <v>-</v>
          </cell>
          <cell r="V1693" t="str">
            <v>D+R</v>
          </cell>
          <cell r="W1693" t="str">
            <v>-</v>
          </cell>
          <cell r="X1693" t="str">
            <v>CLP VG 220 = -15° + 40°</v>
          </cell>
          <cell r="Y1693" t="str">
            <v>R107DRN160L4</v>
          </cell>
          <cell r="Z1693" t="str">
            <v>SEW</v>
          </cell>
          <cell r="AB1693" t="str">
            <v>-</v>
          </cell>
          <cell r="AF1693">
            <v>50</v>
          </cell>
          <cell r="AG1693" t="str">
            <v>DRN160L4</v>
          </cell>
          <cell r="AH1693" t="str">
            <v>R107-DRN160L40-X</v>
          </cell>
        </row>
        <row r="1694">
          <cell r="A1694" t="str">
            <v>MR001690</v>
          </cell>
          <cell r="B1694" t="str">
            <v>ME</v>
          </cell>
          <cell r="C1694">
            <v>0.09</v>
          </cell>
          <cell r="D1694">
            <v>50</v>
          </cell>
          <cell r="E1694" t="str">
            <v>-</v>
          </cell>
          <cell r="F1694">
            <v>2.61</v>
          </cell>
          <cell r="G1694" t="str">
            <v xml:space="preserve"> -</v>
          </cell>
          <cell r="H1694" t="str">
            <v xml:space="preserve"> -</v>
          </cell>
          <cell r="I1694" t="str">
            <v xml:space="preserve"> -</v>
          </cell>
          <cell r="J1694" t="str">
            <v>IE1</v>
          </cell>
          <cell r="K1694">
            <v>400</v>
          </cell>
          <cell r="L1694">
            <v>50</v>
          </cell>
          <cell r="M1694">
            <v>0.46</v>
          </cell>
          <cell r="N1694">
            <v>65</v>
          </cell>
          <cell r="O1694" t="str">
            <v>-</v>
          </cell>
          <cell r="P1694" t="str">
            <v>-</v>
          </cell>
          <cell r="Q1694" t="str">
            <v>-</v>
          </cell>
          <cell r="R1694" t="str">
            <v>-</v>
          </cell>
          <cell r="S1694" t="str">
            <v>-</v>
          </cell>
          <cell r="T1694" t="str">
            <v>-</v>
          </cell>
          <cell r="U1694" t="str">
            <v>-</v>
          </cell>
          <cell r="V1694" t="str">
            <v>D</v>
          </cell>
          <cell r="W1694" t="str">
            <v>-</v>
          </cell>
          <cell r="X1694" t="str">
            <v>-</v>
          </cell>
          <cell r="Y1694" t="str">
            <v>6SM 56B 4</v>
          </cell>
          <cell r="Z1694" t="str">
            <v>SMEM</v>
          </cell>
          <cell r="AB1694" t="str">
            <v>ATEX22</v>
          </cell>
          <cell r="AF1694">
            <v>50</v>
          </cell>
          <cell r="AG1694" t="e">
            <v>#N/A</v>
          </cell>
          <cell r="AH1694" t="e">
            <v>#N/A</v>
          </cell>
        </row>
        <row r="1695">
          <cell r="A1695" t="str">
            <v>MR001691</v>
          </cell>
          <cell r="B1695" t="str">
            <v>MR</v>
          </cell>
          <cell r="C1695">
            <v>11</v>
          </cell>
          <cell r="D1695">
            <v>15</v>
          </cell>
          <cell r="E1695" t="str">
            <v>KH107</v>
          </cell>
          <cell r="F1695">
            <v>7180</v>
          </cell>
          <cell r="G1695">
            <v>100.75</v>
          </cell>
          <cell r="H1695">
            <v>1.1000000000000001</v>
          </cell>
          <cell r="I1695" t="str">
            <v>From M1B to M2B - 30°</v>
          </cell>
          <cell r="J1695" t="str">
            <v>IE3</v>
          </cell>
          <cell r="K1695">
            <v>400</v>
          </cell>
          <cell r="L1695">
            <v>50</v>
          </cell>
          <cell r="M1695">
            <v>21</v>
          </cell>
          <cell r="N1695">
            <v>55</v>
          </cell>
          <cell r="O1695" t="str">
            <v>F(105°C)</v>
          </cell>
          <cell r="P1695" t="str">
            <v>0°</v>
          </cell>
          <cell r="Q1695" t="str">
            <v>-</v>
          </cell>
          <cell r="R1695" t="str">
            <v>-</v>
          </cell>
          <cell r="S1695" t="str">
            <v>-</v>
          </cell>
          <cell r="T1695" t="str">
            <v>-</v>
          </cell>
          <cell r="U1695" t="str">
            <v>-</v>
          </cell>
          <cell r="V1695" t="str">
            <v>SS</v>
          </cell>
          <cell r="W1695" t="str">
            <v>-</v>
          </cell>
          <cell r="X1695" t="str">
            <v>CLP VG 220 = -15° + 40°</v>
          </cell>
          <cell r="Y1695" t="str">
            <v>KH107DRN160M4</v>
          </cell>
          <cell r="Z1695" t="str">
            <v>SEW</v>
          </cell>
          <cell r="AB1695" t="str">
            <v>-</v>
          </cell>
          <cell r="AF1695">
            <v>15</v>
          </cell>
          <cell r="AG1695" t="str">
            <v>DRN160M4</v>
          </cell>
          <cell r="AH1695" t="str">
            <v>KH107-DRN160M4B0-X</v>
          </cell>
        </row>
        <row r="1696">
          <cell r="A1696" t="str">
            <v>MR001692</v>
          </cell>
          <cell r="B1696" t="str">
            <v>R</v>
          </cell>
          <cell r="C1696" t="str">
            <v>-</v>
          </cell>
          <cell r="D1696">
            <v>63</v>
          </cell>
          <cell r="E1696" t="str">
            <v>R87</v>
          </cell>
          <cell r="F1696">
            <v>1140</v>
          </cell>
          <cell r="G1696">
            <v>23.4</v>
          </cell>
          <cell r="H1696">
            <v>1.35</v>
          </cell>
          <cell r="I1696" t="str">
            <v>M1</v>
          </cell>
          <cell r="J1696" t="str">
            <v>IE3</v>
          </cell>
          <cell r="K1696">
            <v>0</v>
          </cell>
          <cell r="L1696">
            <v>0</v>
          </cell>
          <cell r="M1696">
            <v>0</v>
          </cell>
          <cell r="N1696">
            <v>55</v>
          </cell>
          <cell r="O1696" t="str">
            <v>F(105°C)</v>
          </cell>
          <cell r="P1696" t="str">
            <v>-</v>
          </cell>
          <cell r="Q1696" t="str">
            <v>-</v>
          </cell>
          <cell r="R1696" t="str">
            <v>-</v>
          </cell>
          <cell r="S1696" t="str">
            <v>-</v>
          </cell>
          <cell r="T1696" t="str">
            <v>-</v>
          </cell>
          <cell r="U1696" t="str">
            <v>-</v>
          </cell>
          <cell r="V1696" t="str">
            <v>-</v>
          </cell>
          <cell r="W1696" t="str">
            <v>-</v>
          </cell>
          <cell r="X1696" t="str">
            <v>CLP VG 220 = -15° + 40°</v>
          </cell>
          <cell r="Y1696" t="str">
            <v>R87-</v>
          </cell>
          <cell r="Z1696" t="str">
            <v>SEW</v>
          </cell>
          <cell r="AB1696" t="str">
            <v>-</v>
          </cell>
          <cell r="AE1696" t="str">
            <v>Riduttore per gruppo MR001693</v>
          </cell>
          <cell r="AF1696">
            <v>0</v>
          </cell>
          <cell r="AG1696" t="str">
            <v>-</v>
          </cell>
          <cell r="AH1696" t="str">
            <v>R87----X</v>
          </cell>
        </row>
        <row r="1697">
          <cell r="A1697" t="str">
            <v>MR001693</v>
          </cell>
          <cell r="B1697" t="str">
            <v>MR</v>
          </cell>
          <cell r="C1697">
            <v>7.5</v>
          </cell>
          <cell r="D1697">
            <v>63</v>
          </cell>
          <cell r="E1697" t="str">
            <v>R87</v>
          </cell>
          <cell r="F1697">
            <v>1140</v>
          </cell>
          <cell r="G1697">
            <v>23.4</v>
          </cell>
          <cell r="H1697">
            <v>1.35</v>
          </cell>
          <cell r="I1697" t="str">
            <v>M1</v>
          </cell>
          <cell r="J1697" t="str">
            <v>IE3</v>
          </cell>
          <cell r="K1697">
            <v>400</v>
          </cell>
          <cell r="L1697">
            <v>50</v>
          </cell>
          <cell r="M1697">
            <v>15.2</v>
          </cell>
          <cell r="N1697">
            <v>55</v>
          </cell>
          <cell r="O1697" t="str">
            <v>F(105°C)</v>
          </cell>
          <cell r="P1697" t="str">
            <v>270°</v>
          </cell>
          <cell r="Q1697" t="str">
            <v>-</v>
          </cell>
          <cell r="R1697" t="str">
            <v>-</v>
          </cell>
          <cell r="S1697" t="str">
            <v>-</v>
          </cell>
          <cell r="T1697" t="str">
            <v>-</v>
          </cell>
          <cell r="U1697" t="str">
            <v>-</v>
          </cell>
          <cell r="V1697" t="str">
            <v>D</v>
          </cell>
          <cell r="W1697" t="str">
            <v>-</v>
          </cell>
          <cell r="X1697" t="str">
            <v>CLP VG 220 = -15° + 40°</v>
          </cell>
          <cell r="Y1697" t="str">
            <v>R87DRN132M4</v>
          </cell>
          <cell r="Z1697" t="str">
            <v>SEW</v>
          </cell>
          <cell r="AB1697" t="str">
            <v>-</v>
          </cell>
          <cell r="AE1697" t="str">
            <v>Composto da Motore Ex PAL - EGGER Wismar 7,5 kW a magazzino + Nuovo Riduttore R87 MR001692</v>
          </cell>
          <cell r="AF1697">
            <v>63</v>
          </cell>
          <cell r="AG1697" t="str">
            <v>DRN132M4</v>
          </cell>
          <cell r="AH1697" t="str">
            <v>R87-DRN132M4270-X</v>
          </cell>
        </row>
        <row r="1698">
          <cell r="A1698" t="str">
            <v>MR001694</v>
          </cell>
          <cell r="B1698" t="str">
            <v>MR</v>
          </cell>
          <cell r="C1698">
            <v>18.5</v>
          </cell>
          <cell r="D1698">
            <v>50</v>
          </cell>
          <cell r="E1698" t="str">
            <v>R107</v>
          </cell>
          <cell r="F1698">
            <v>3520</v>
          </cell>
          <cell r="G1698">
            <v>29.49</v>
          </cell>
          <cell r="H1698">
            <v>1.2</v>
          </cell>
          <cell r="I1698" t="str">
            <v>From M1 to M2 - 20°</v>
          </cell>
          <cell r="J1698" t="str">
            <v>IE3</v>
          </cell>
          <cell r="K1698" t="str">
            <v>400/690</v>
          </cell>
          <cell r="L1698">
            <v>50</v>
          </cell>
          <cell r="M1698" t="str">
            <v>33,5/19,3</v>
          </cell>
          <cell r="N1698">
            <v>55</v>
          </cell>
          <cell r="O1698" t="str">
            <v>F(105°C)</v>
          </cell>
          <cell r="P1698" t="str">
            <v>270°</v>
          </cell>
          <cell r="Q1698" t="str">
            <v>-</v>
          </cell>
          <cell r="R1698" t="str">
            <v>-</v>
          </cell>
          <cell r="S1698" t="str">
            <v>-</v>
          </cell>
          <cell r="T1698" t="str">
            <v>-</v>
          </cell>
          <cell r="U1698" t="str">
            <v>-</v>
          </cell>
          <cell r="V1698" t="str">
            <v>D</v>
          </cell>
          <cell r="W1698" t="str">
            <v>-</v>
          </cell>
          <cell r="X1698" t="str">
            <v>CLP VG 220 = -15° + 40°</v>
          </cell>
          <cell r="Y1698" t="str">
            <v>R107DRN180M4</v>
          </cell>
          <cell r="Z1698" t="str">
            <v>SEW</v>
          </cell>
          <cell r="AB1698" t="str">
            <v>-</v>
          </cell>
          <cell r="AF1698">
            <v>50</v>
          </cell>
          <cell r="AG1698" t="str">
            <v>DRN180M4</v>
          </cell>
          <cell r="AH1698" t="str">
            <v>R107-DRN180M4270-X</v>
          </cell>
        </row>
        <row r="1699">
          <cell r="A1699" t="str">
            <v>MR001695</v>
          </cell>
          <cell r="B1699" t="str">
            <v>MR</v>
          </cell>
          <cell r="C1699">
            <v>9.1999999999999993</v>
          </cell>
          <cell r="D1699">
            <v>59</v>
          </cell>
          <cell r="E1699" t="str">
            <v>R97</v>
          </cell>
          <cell r="F1699">
            <v>1490</v>
          </cell>
          <cell r="G1699">
            <v>25.03</v>
          </cell>
          <cell r="H1699">
            <v>1.9</v>
          </cell>
          <cell r="I1699" t="str">
            <v>From M1 to M2 - 20°</v>
          </cell>
          <cell r="J1699" t="str">
            <v>IE3</v>
          </cell>
          <cell r="K1699" t="str">
            <v>400/690</v>
          </cell>
          <cell r="L1699">
            <v>50</v>
          </cell>
          <cell r="M1699" t="str">
            <v>18,7/10,8</v>
          </cell>
          <cell r="N1699">
            <v>55</v>
          </cell>
          <cell r="O1699" t="str">
            <v>F(105°C)</v>
          </cell>
          <cell r="P1699" t="str">
            <v>270°</v>
          </cell>
          <cell r="Q1699" t="str">
            <v>-</v>
          </cell>
          <cell r="R1699" t="str">
            <v>-</v>
          </cell>
          <cell r="S1699" t="str">
            <v>-</v>
          </cell>
          <cell r="T1699" t="str">
            <v>-</v>
          </cell>
          <cell r="U1699" t="str">
            <v>-</v>
          </cell>
          <cell r="V1699" t="str">
            <v>D</v>
          </cell>
          <cell r="W1699" t="str">
            <v>-</v>
          </cell>
          <cell r="X1699" t="str">
            <v>CLP VG 220 = -15° + 40°</v>
          </cell>
          <cell r="Y1699" t="str">
            <v>R97DRN132L4</v>
          </cell>
          <cell r="Z1699" t="str">
            <v>SEW</v>
          </cell>
          <cell r="AB1699" t="str">
            <v>-</v>
          </cell>
          <cell r="AF1699">
            <v>59</v>
          </cell>
          <cell r="AG1699" t="str">
            <v>DRN132L4</v>
          </cell>
          <cell r="AH1699" t="str">
            <v>R97-DRN132L4270-X</v>
          </cell>
        </row>
        <row r="1700">
          <cell r="A1700" t="str">
            <v>MR001696</v>
          </cell>
          <cell r="B1700" t="str">
            <v>MR</v>
          </cell>
          <cell r="C1700">
            <v>0.25</v>
          </cell>
          <cell r="D1700">
            <v>32</v>
          </cell>
          <cell r="E1700" t="str">
            <v>FAF37</v>
          </cell>
          <cell r="F1700">
            <v>74</v>
          </cell>
          <cell r="G1700">
            <v>43.83</v>
          </cell>
          <cell r="H1700">
            <v>2.7</v>
          </cell>
          <cell r="I1700" t="str">
            <v>M1</v>
          </cell>
          <cell r="J1700" t="str">
            <v>IE3</v>
          </cell>
          <cell r="K1700" t="str">
            <v>230/400</v>
          </cell>
          <cell r="L1700">
            <v>50</v>
          </cell>
          <cell r="M1700" t="str">
            <v>1,25/0,72</v>
          </cell>
          <cell r="N1700">
            <v>55</v>
          </cell>
          <cell r="O1700" t="str">
            <v>F(105°C)</v>
          </cell>
          <cell r="P1700" t="str">
            <v>270°</v>
          </cell>
          <cell r="Q1700" t="str">
            <v>-</v>
          </cell>
          <cell r="R1700" t="str">
            <v>-</v>
          </cell>
          <cell r="S1700" t="str">
            <v>-</v>
          </cell>
          <cell r="T1700" t="str">
            <v>-</v>
          </cell>
          <cell r="U1700" t="str">
            <v>-</v>
          </cell>
          <cell r="V1700" t="str">
            <v>D</v>
          </cell>
          <cell r="W1700" t="str">
            <v>-</v>
          </cell>
          <cell r="X1700" t="str">
            <v>CLP VG 220 = -15° + 40°</v>
          </cell>
          <cell r="Y1700" t="str">
            <v>FAF37DRN71MS4</v>
          </cell>
          <cell r="Z1700" t="str">
            <v>SEW</v>
          </cell>
          <cell r="AB1700" t="str">
            <v>-</v>
          </cell>
          <cell r="AF1700">
            <v>32</v>
          </cell>
          <cell r="AG1700" t="str">
            <v>DRN71MS4</v>
          </cell>
          <cell r="AH1700" t="str">
            <v>FAF37-DRN71MS4270-X</v>
          </cell>
        </row>
        <row r="1701">
          <cell r="A1701" t="str">
            <v>MR001697</v>
          </cell>
          <cell r="B1701" t="str">
            <v>MR</v>
          </cell>
          <cell r="C1701">
            <v>22</v>
          </cell>
          <cell r="D1701">
            <v>17</v>
          </cell>
          <cell r="E1701" t="str">
            <v>FH127</v>
          </cell>
          <cell r="F1701">
            <v>12400</v>
          </cell>
          <cell r="G1701">
            <v>87.31</v>
          </cell>
          <cell r="H1701">
            <v>0.95</v>
          </cell>
          <cell r="I1701" t="str">
            <v>M1</v>
          </cell>
          <cell r="J1701" t="str">
            <v>IE3</v>
          </cell>
          <cell r="K1701" t="str">
            <v>400/690</v>
          </cell>
          <cell r="L1701">
            <v>50</v>
          </cell>
          <cell r="M1701" t="str">
            <v>38,5/22,5</v>
          </cell>
          <cell r="N1701">
            <v>65</v>
          </cell>
          <cell r="O1701" t="str">
            <v>F(105°C)</v>
          </cell>
          <cell r="P1701" t="str">
            <v>270°</v>
          </cell>
          <cell r="Q1701" t="str">
            <v>TF</v>
          </cell>
          <cell r="R1701" t="str">
            <v>V(VE)</v>
          </cell>
          <cell r="S1701" t="str">
            <v>-</v>
          </cell>
          <cell r="T1701" t="str">
            <v>-</v>
          </cell>
          <cell r="U1701" t="str">
            <v>G</v>
          </cell>
          <cell r="V1701" t="str">
            <v>FC</v>
          </cell>
          <cell r="W1701" t="str">
            <v>-</v>
          </cell>
          <cell r="X1701" t="str">
            <v>CLP PG VG 220 = -20° + 80°</v>
          </cell>
          <cell r="Y1701" t="str">
            <v>FH127/G DRN180L4 /TF/V</v>
          </cell>
          <cell r="Z1701" t="str">
            <v>SEW</v>
          </cell>
          <cell r="AB1701" t="str">
            <v>-</v>
          </cell>
          <cell r="AF1701">
            <v>17</v>
          </cell>
          <cell r="AG1701" t="str">
            <v>DRN180L4</v>
          </cell>
          <cell r="AH1701" t="str">
            <v>FH127G-DRN180L4270-X#</v>
          </cell>
        </row>
        <row r="1702">
          <cell r="A1702" t="str">
            <v>MR001698</v>
          </cell>
          <cell r="B1702" t="str">
            <v>MR</v>
          </cell>
          <cell r="C1702">
            <v>15</v>
          </cell>
          <cell r="D1702">
            <v>12</v>
          </cell>
          <cell r="E1702" t="str">
            <v>KH127</v>
          </cell>
          <cell r="F1702">
            <v>11900</v>
          </cell>
          <cell r="G1702">
            <v>122.48</v>
          </cell>
          <cell r="H1702">
            <v>1.1000000000000001</v>
          </cell>
          <cell r="I1702" t="str">
            <v>From M1A to M2A - 40°</v>
          </cell>
          <cell r="J1702" t="str">
            <v>IE3</v>
          </cell>
          <cell r="K1702" t="str">
            <v>400/690</v>
          </cell>
          <cell r="L1702">
            <v>50</v>
          </cell>
          <cell r="M1702" t="str">
            <v>29/16,7</v>
          </cell>
          <cell r="N1702">
            <v>65</v>
          </cell>
          <cell r="O1702" t="str">
            <v>F(105°C)</v>
          </cell>
          <cell r="P1702" t="str">
            <v>270°</v>
          </cell>
          <cell r="Q1702" t="str">
            <v>-</v>
          </cell>
          <cell r="R1702" t="str">
            <v>-</v>
          </cell>
          <cell r="S1702" t="str">
            <v>-</v>
          </cell>
          <cell r="T1702" t="str">
            <v>-</v>
          </cell>
          <cell r="U1702" t="str">
            <v>-</v>
          </cell>
          <cell r="V1702" t="str">
            <v>SS</v>
          </cell>
          <cell r="W1702" t="str">
            <v>-</v>
          </cell>
          <cell r="X1702" t="str">
            <v>CLP PG VG 220 = -20° + 80°</v>
          </cell>
          <cell r="Y1702" t="str">
            <v>KH127DRN160L4</v>
          </cell>
          <cell r="Z1702" t="str">
            <v>SEW</v>
          </cell>
          <cell r="AB1702" t="str">
            <v>-</v>
          </cell>
          <cell r="AF1702">
            <v>12</v>
          </cell>
          <cell r="AG1702" t="str">
            <v>DRN160L4</v>
          </cell>
          <cell r="AH1702" t="str">
            <v>KH127-DRN160L4A270-X</v>
          </cell>
        </row>
        <row r="1703">
          <cell r="A1703" t="str">
            <v>MR001699</v>
          </cell>
          <cell r="B1703" t="str">
            <v>MR</v>
          </cell>
          <cell r="C1703">
            <v>15</v>
          </cell>
          <cell r="D1703">
            <v>12</v>
          </cell>
          <cell r="E1703" t="str">
            <v>KH127</v>
          </cell>
          <cell r="F1703">
            <v>11900</v>
          </cell>
          <cell r="G1703">
            <v>122.48</v>
          </cell>
          <cell r="H1703">
            <v>1.1000000000000001</v>
          </cell>
          <cell r="I1703" t="str">
            <v>From M1B to M2B - 40°</v>
          </cell>
          <cell r="J1703" t="str">
            <v>IE3</v>
          </cell>
          <cell r="K1703" t="str">
            <v>400/690</v>
          </cell>
          <cell r="L1703">
            <v>50</v>
          </cell>
          <cell r="M1703" t="str">
            <v>29/16,7</v>
          </cell>
          <cell r="N1703">
            <v>65</v>
          </cell>
          <cell r="O1703" t="str">
            <v>F(105°C)</v>
          </cell>
          <cell r="P1703" t="str">
            <v>270°</v>
          </cell>
          <cell r="Q1703" t="str">
            <v>-</v>
          </cell>
          <cell r="R1703" t="str">
            <v>-</v>
          </cell>
          <cell r="S1703" t="str">
            <v>-</v>
          </cell>
          <cell r="T1703" t="str">
            <v>-</v>
          </cell>
          <cell r="U1703" t="str">
            <v>-</v>
          </cell>
          <cell r="V1703" t="str">
            <v>SS</v>
          </cell>
          <cell r="W1703" t="str">
            <v>-</v>
          </cell>
          <cell r="X1703" t="str">
            <v>CLP PG VG 220 = -20° + 80°</v>
          </cell>
          <cell r="Y1703" t="str">
            <v>KH127DRN160L4</v>
          </cell>
          <cell r="Z1703" t="str">
            <v>SEW</v>
          </cell>
          <cell r="AB1703" t="str">
            <v>-</v>
          </cell>
          <cell r="AF1703">
            <v>12</v>
          </cell>
          <cell r="AG1703" t="str">
            <v>DRN160L4</v>
          </cell>
          <cell r="AH1703" t="str">
            <v>KH127-DRN160L4B270-X</v>
          </cell>
        </row>
        <row r="1704">
          <cell r="A1704" t="str">
            <v>MR001700</v>
          </cell>
          <cell r="B1704" t="str">
            <v>MR</v>
          </cell>
          <cell r="C1704">
            <v>15</v>
          </cell>
          <cell r="D1704">
            <v>12</v>
          </cell>
          <cell r="E1704" t="str">
            <v>KH127</v>
          </cell>
          <cell r="F1704">
            <v>11900</v>
          </cell>
          <cell r="G1704">
            <v>122.48</v>
          </cell>
          <cell r="H1704">
            <v>1.1000000000000001</v>
          </cell>
          <cell r="I1704" t="str">
            <v>From M1A to M2A - 30°</v>
          </cell>
          <cell r="J1704" t="str">
            <v>IE3</v>
          </cell>
          <cell r="K1704" t="str">
            <v>400/690</v>
          </cell>
          <cell r="L1704">
            <v>50</v>
          </cell>
          <cell r="M1704" t="str">
            <v>29/16,7</v>
          </cell>
          <cell r="N1704">
            <v>65</v>
          </cell>
          <cell r="O1704" t="str">
            <v>F(105°C)</v>
          </cell>
          <cell r="P1704" t="str">
            <v>270°</v>
          </cell>
          <cell r="Q1704" t="str">
            <v>-</v>
          </cell>
          <cell r="R1704" t="str">
            <v>-</v>
          </cell>
          <cell r="S1704" t="str">
            <v>-</v>
          </cell>
          <cell r="T1704" t="str">
            <v>-</v>
          </cell>
          <cell r="U1704" t="str">
            <v>-</v>
          </cell>
          <cell r="V1704" t="str">
            <v>SS</v>
          </cell>
          <cell r="W1704" t="str">
            <v>-</v>
          </cell>
          <cell r="X1704" t="str">
            <v>CLP PG VG 220 = -20° + 80°</v>
          </cell>
          <cell r="Y1704" t="str">
            <v>KH127DRN160L4</v>
          </cell>
          <cell r="Z1704" t="str">
            <v>SEW</v>
          </cell>
          <cell r="AB1704" t="str">
            <v>-</v>
          </cell>
          <cell r="AF1704">
            <v>12</v>
          </cell>
          <cell r="AG1704" t="str">
            <v>DRN160L4</v>
          </cell>
          <cell r="AH1704" t="str">
            <v>KH127-DRN160L4A270-X</v>
          </cell>
        </row>
        <row r="1705">
          <cell r="A1705" t="str">
            <v>MR001701</v>
          </cell>
          <cell r="B1705" t="str">
            <v>MR</v>
          </cell>
          <cell r="C1705">
            <v>18.5</v>
          </cell>
          <cell r="D1705">
            <v>102</v>
          </cell>
          <cell r="E1705" t="str">
            <v>KH87</v>
          </cell>
          <cell r="F1705">
            <v>1720</v>
          </cell>
          <cell r="G1705">
            <v>14.45</v>
          </cell>
          <cell r="H1705">
            <v>1.2</v>
          </cell>
          <cell r="I1705" t="str">
            <v>M4B</v>
          </cell>
          <cell r="J1705" t="str">
            <v>IE3</v>
          </cell>
          <cell r="K1705" t="str">
            <v>400/690</v>
          </cell>
          <cell r="L1705">
            <v>50</v>
          </cell>
          <cell r="M1705" t="str">
            <v>33,5/19,3</v>
          </cell>
          <cell r="N1705">
            <v>65</v>
          </cell>
          <cell r="O1705" t="str">
            <v>F(105°C)</v>
          </cell>
          <cell r="P1705" t="str">
            <v>270°</v>
          </cell>
          <cell r="Q1705" t="str">
            <v>-</v>
          </cell>
          <cell r="R1705" t="str">
            <v>-</v>
          </cell>
          <cell r="S1705" t="str">
            <v>Free rotation CW</v>
          </cell>
          <cell r="T1705" t="str">
            <v>-</v>
          </cell>
          <cell r="U1705" t="str">
            <v>T</v>
          </cell>
          <cell r="V1705" t="str">
            <v>SS</v>
          </cell>
          <cell r="W1705" t="str">
            <v>-</v>
          </cell>
          <cell r="X1705" t="str">
            <v>CLP PG VG 220 = -20° + 80°</v>
          </cell>
          <cell r="Y1705" t="str">
            <v>KH87/T DRN180M4 /RS</v>
          </cell>
          <cell r="Z1705" t="str">
            <v>SEW</v>
          </cell>
          <cell r="AB1705" t="str">
            <v>-</v>
          </cell>
          <cell r="AF1705">
            <v>102</v>
          </cell>
          <cell r="AG1705" t="str">
            <v>DRN180M4</v>
          </cell>
          <cell r="AH1705" t="str">
            <v>KH87T-DRN180M4B270-X</v>
          </cell>
        </row>
        <row r="1706">
          <cell r="A1706" t="str">
            <v>MR001702</v>
          </cell>
          <cell r="B1706" t="str">
            <v>MR</v>
          </cell>
          <cell r="C1706">
            <v>0.75</v>
          </cell>
          <cell r="D1706">
            <v>162</v>
          </cell>
          <cell r="E1706" t="str">
            <v>KA37</v>
          </cell>
          <cell r="F1706">
            <v>44</v>
          </cell>
          <cell r="G1706">
            <v>8.91</v>
          </cell>
          <cell r="H1706">
            <v>3.6</v>
          </cell>
          <cell r="I1706" t="str">
            <v>From M3B to M4B - 10°</v>
          </cell>
          <cell r="J1706" t="str">
            <v>IE3</v>
          </cell>
          <cell r="K1706" t="str">
            <v>230/400</v>
          </cell>
          <cell r="L1706">
            <v>50</v>
          </cell>
          <cell r="M1706" t="str">
            <v>3,05/1,75</v>
          </cell>
          <cell r="N1706">
            <v>65</v>
          </cell>
          <cell r="O1706" t="str">
            <v>F(105°C)</v>
          </cell>
          <cell r="P1706" t="str">
            <v>0°</v>
          </cell>
          <cell r="Q1706" t="str">
            <v>-</v>
          </cell>
          <cell r="R1706" t="str">
            <v>-</v>
          </cell>
          <cell r="S1706" t="str">
            <v>-</v>
          </cell>
          <cell r="T1706" t="str">
            <v>-</v>
          </cell>
          <cell r="U1706" t="str">
            <v>T</v>
          </cell>
          <cell r="V1706" t="str">
            <v>D</v>
          </cell>
          <cell r="W1706" t="str">
            <v>-</v>
          </cell>
          <cell r="X1706" t="str">
            <v>CLP PG VG 220 = -20° + 80°</v>
          </cell>
          <cell r="Y1706" t="str">
            <v>KA37/T DRN80M4</v>
          </cell>
          <cell r="Z1706" t="str">
            <v>SEW</v>
          </cell>
          <cell r="AB1706" t="str">
            <v>-</v>
          </cell>
          <cell r="AF1706">
            <v>162</v>
          </cell>
          <cell r="AG1706" t="str">
            <v>DRN80M4</v>
          </cell>
          <cell r="AH1706" t="str">
            <v>KA37T-DRN80M4B0-X</v>
          </cell>
        </row>
        <row r="1707">
          <cell r="A1707" t="str">
            <v>MR001703</v>
          </cell>
          <cell r="B1707" t="str">
            <v>MR</v>
          </cell>
          <cell r="C1707">
            <v>15</v>
          </cell>
          <cell r="D1707">
            <v>12</v>
          </cell>
          <cell r="E1707" t="str">
            <v>KH127</v>
          </cell>
          <cell r="F1707">
            <v>11900</v>
          </cell>
          <cell r="G1707">
            <v>122.48</v>
          </cell>
          <cell r="H1707">
            <v>1.1000000000000001</v>
          </cell>
          <cell r="I1707" t="str">
            <v>From M1B to M2B - 35°</v>
          </cell>
          <cell r="J1707" t="str">
            <v>IE3</v>
          </cell>
          <cell r="K1707" t="str">
            <v>400/690</v>
          </cell>
          <cell r="L1707">
            <v>50</v>
          </cell>
          <cell r="M1707" t="str">
            <v>29/16,7</v>
          </cell>
          <cell r="N1707">
            <v>65</v>
          </cell>
          <cell r="O1707" t="str">
            <v>F(105°C)</v>
          </cell>
          <cell r="P1707" t="str">
            <v>270°</v>
          </cell>
          <cell r="Q1707" t="str">
            <v>-</v>
          </cell>
          <cell r="R1707" t="str">
            <v>-</v>
          </cell>
          <cell r="S1707" t="str">
            <v>-</v>
          </cell>
          <cell r="T1707" t="str">
            <v>-</v>
          </cell>
          <cell r="U1707" t="str">
            <v>-</v>
          </cell>
          <cell r="V1707" t="str">
            <v>SS</v>
          </cell>
          <cell r="W1707" t="str">
            <v>-</v>
          </cell>
          <cell r="X1707" t="str">
            <v>CLP PG VG 220 = -20° + 80°</v>
          </cell>
          <cell r="Y1707" t="str">
            <v>KH127DRN160L4</v>
          </cell>
          <cell r="Z1707" t="str">
            <v>SEW</v>
          </cell>
          <cell r="AB1707" t="str">
            <v>-</v>
          </cell>
          <cell r="AF1707">
            <v>12</v>
          </cell>
          <cell r="AG1707" t="str">
            <v>DRN160L4</v>
          </cell>
          <cell r="AH1707" t="str">
            <v>KH127-DRN160L4B270-X</v>
          </cell>
        </row>
        <row r="1708">
          <cell r="A1708" t="str">
            <v>MR001704</v>
          </cell>
          <cell r="B1708" t="str">
            <v>MR</v>
          </cell>
          <cell r="C1708">
            <v>11</v>
          </cell>
          <cell r="D1708">
            <v>86</v>
          </cell>
          <cell r="E1708" t="str">
            <v>R87</v>
          </cell>
          <cell r="F1708">
            <v>1210</v>
          </cell>
          <cell r="G1708">
            <v>17.079999999999998</v>
          </cell>
          <cell r="H1708">
            <v>1.1499999999999999</v>
          </cell>
          <cell r="I1708" t="str">
            <v>From M1 to M4 - 10°</v>
          </cell>
          <cell r="J1708" t="str">
            <v>IE3</v>
          </cell>
          <cell r="K1708" t="str">
            <v>400/690</v>
          </cell>
          <cell r="L1708">
            <v>50</v>
          </cell>
          <cell r="M1708" t="str">
            <v>21/12,2</v>
          </cell>
          <cell r="N1708">
            <v>65</v>
          </cell>
          <cell r="O1708" t="str">
            <v>F(105°C)</v>
          </cell>
          <cell r="P1708" t="str">
            <v>270°</v>
          </cell>
          <cell r="Q1708" t="str">
            <v>-</v>
          </cell>
          <cell r="R1708" t="str">
            <v>-</v>
          </cell>
          <cell r="S1708" t="str">
            <v>-</v>
          </cell>
          <cell r="T1708" t="str">
            <v>-</v>
          </cell>
          <cell r="U1708" t="str">
            <v>-</v>
          </cell>
          <cell r="V1708" t="str">
            <v>D</v>
          </cell>
          <cell r="W1708" t="str">
            <v>-</v>
          </cell>
          <cell r="X1708" t="str">
            <v>CLP PG VG 220 = -20° + 80°</v>
          </cell>
          <cell r="Y1708" t="str">
            <v>R87DRN160M4</v>
          </cell>
          <cell r="Z1708" t="str">
            <v>SEW</v>
          </cell>
          <cell r="AB1708" t="str">
            <v>-</v>
          </cell>
          <cell r="AF1708">
            <v>86</v>
          </cell>
          <cell r="AG1708" t="str">
            <v>DRN160M4</v>
          </cell>
          <cell r="AH1708" t="str">
            <v>R87-DRN160M4270-X</v>
          </cell>
        </row>
        <row r="1709">
          <cell r="A1709" t="str">
            <v>MR001705</v>
          </cell>
          <cell r="B1709" t="str">
            <v>MR</v>
          </cell>
          <cell r="C1709">
            <v>37</v>
          </cell>
          <cell r="D1709">
            <v>78</v>
          </cell>
          <cell r="E1709" t="str">
            <v>R127</v>
          </cell>
          <cell r="F1709">
            <v>4540</v>
          </cell>
          <cell r="G1709">
            <v>19.04</v>
          </cell>
          <cell r="H1709">
            <v>1.3</v>
          </cell>
          <cell r="I1709" t="str">
            <v>M4</v>
          </cell>
          <cell r="J1709" t="str">
            <v>IE3</v>
          </cell>
          <cell r="K1709" t="str">
            <v>400/690</v>
          </cell>
          <cell r="L1709">
            <v>50</v>
          </cell>
          <cell r="M1709" t="str">
            <v>64/37</v>
          </cell>
          <cell r="N1709">
            <v>65</v>
          </cell>
          <cell r="O1709" t="str">
            <v>F(105°C)</v>
          </cell>
          <cell r="P1709" t="str">
            <v>270°</v>
          </cell>
          <cell r="Q1709" t="str">
            <v>-</v>
          </cell>
          <cell r="R1709" t="str">
            <v>-</v>
          </cell>
          <cell r="S1709" t="str">
            <v>-</v>
          </cell>
          <cell r="T1709" t="str">
            <v>-</v>
          </cell>
          <cell r="U1709" t="str">
            <v>-</v>
          </cell>
          <cell r="V1709" t="str">
            <v>D</v>
          </cell>
          <cell r="W1709" t="str">
            <v>-</v>
          </cell>
          <cell r="X1709" t="str">
            <v>CLP PG VG 220 = -20° + 80°</v>
          </cell>
          <cell r="Y1709" t="str">
            <v>R127DRN225S4</v>
          </cell>
          <cell r="Z1709" t="str">
            <v>SEW</v>
          </cell>
          <cell r="AB1709" t="str">
            <v>-</v>
          </cell>
          <cell r="AF1709">
            <v>78</v>
          </cell>
          <cell r="AG1709" t="str">
            <v>DRN225S4</v>
          </cell>
          <cell r="AH1709" t="str">
            <v>R127-DRN225S4270-X</v>
          </cell>
        </row>
        <row r="1710">
          <cell r="A1710" t="str">
            <v>MR001706</v>
          </cell>
          <cell r="B1710" t="str">
            <v>MR</v>
          </cell>
          <cell r="C1710">
            <v>15</v>
          </cell>
          <cell r="D1710">
            <v>12</v>
          </cell>
          <cell r="E1710" t="str">
            <v>KH127</v>
          </cell>
          <cell r="F1710">
            <v>11900</v>
          </cell>
          <cell r="G1710">
            <v>122.48</v>
          </cell>
          <cell r="H1710">
            <v>1.1000000000000001</v>
          </cell>
          <cell r="I1710" t="str">
            <v>From M1A to M2A - 25°</v>
          </cell>
          <cell r="J1710" t="str">
            <v>IE3</v>
          </cell>
          <cell r="K1710" t="str">
            <v>400/690</v>
          </cell>
          <cell r="L1710">
            <v>50</v>
          </cell>
          <cell r="M1710" t="str">
            <v>29/16,7</v>
          </cell>
          <cell r="N1710">
            <v>65</v>
          </cell>
          <cell r="O1710" t="str">
            <v>F(105°C)</v>
          </cell>
          <cell r="P1710" t="str">
            <v>270°</v>
          </cell>
          <cell r="Q1710" t="str">
            <v>-</v>
          </cell>
          <cell r="R1710" t="str">
            <v>-</v>
          </cell>
          <cell r="S1710" t="str">
            <v>-</v>
          </cell>
          <cell r="T1710" t="str">
            <v>-</v>
          </cell>
          <cell r="U1710" t="str">
            <v>-</v>
          </cell>
          <cell r="V1710" t="str">
            <v>SS</v>
          </cell>
          <cell r="W1710" t="str">
            <v>-</v>
          </cell>
          <cell r="X1710" t="str">
            <v>CLP PG VG 220 = -20° + 80°</v>
          </cell>
          <cell r="Y1710" t="str">
            <v>KH127DRN160L4</v>
          </cell>
          <cell r="Z1710" t="str">
            <v>SEW</v>
          </cell>
          <cell r="AB1710" t="str">
            <v>-</v>
          </cell>
          <cell r="AF1710">
            <v>12</v>
          </cell>
          <cell r="AG1710" t="str">
            <v>DRN160L4</v>
          </cell>
          <cell r="AH1710" t="str">
            <v>KH127-DRN160L4A270-X</v>
          </cell>
        </row>
        <row r="1711">
          <cell r="A1711" t="str">
            <v>MR001707</v>
          </cell>
          <cell r="B1711" t="str">
            <v>MR</v>
          </cell>
          <cell r="C1711">
            <v>15</v>
          </cell>
          <cell r="D1711">
            <v>12</v>
          </cell>
          <cell r="E1711" t="str">
            <v>KH127</v>
          </cell>
          <cell r="F1711">
            <v>11900</v>
          </cell>
          <cell r="G1711">
            <v>122.48</v>
          </cell>
          <cell r="H1711">
            <v>1.1000000000000001</v>
          </cell>
          <cell r="I1711" t="str">
            <v>From M1B to M2B - 25°</v>
          </cell>
          <cell r="J1711" t="str">
            <v>IE3</v>
          </cell>
          <cell r="K1711" t="str">
            <v>400/690</v>
          </cell>
          <cell r="L1711">
            <v>50</v>
          </cell>
          <cell r="M1711" t="str">
            <v>29/16,7</v>
          </cell>
          <cell r="N1711">
            <v>65</v>
          </cell>
          <cell r="O1711" t="str">
            <v>F(105°C)</v>
          </cell>
          <cell r="P1711" t="str">
            <v>270°</v>
          </cell>
          <cell r="Q1711" t="str">
            <v>-</v>
          </cell>
          <cell r="R1711" t="str">
            <v>-</v>
          </cell>
          <cell r="S1711" t="str">
            <v>-</v>
          </cell>
          <cell r="T1711" t="str">
            <v>-</v>
          </cell>
          <cell r="U1711" t="str">
            <v>-</v>
          </cell>
          <cell r="V1711" t="str">
            <v>SS</v>
          </cell>
          <cell r="W1711" t="str">
            <v>-</v>
          </cell>
          <cell r="X1711" t="str">
            <v>CLP PG VG 220 = -20° + 80°</v>
          </cell>
          <cell r="Y1711" t="str">
            <v>KH127DRN160L4</v>
          </cell>
          <cell r="Z1711" t="str">
            <v>SEW</v>
          </cell>
          <cell r="AB1711" t="str">
            <v>-</v>
          </cell>
          <cell r="AF1711">
            <v>12</v>
          </cell>
          <cell r="AG1711" t="str">
            <v>DRN160L4</v>
          </cell>
          <cell r="AH1711" t="str">
            <v>KH127-DRN160L4B270-X</v>
          </cell>
        </row>
        <row r="1712">
          <cell r="A1712" t="str">
            <v>MR001708</v>
          </cell>
          <cell r="B1712" t="str">
            <v>MR</v>
          </cell>
          <cell r="C1712">
            <v>15</v>
          </cell>
          <cell r="D1712">
            <v>50</v>
          </cell>
          <cell r="E1712" t="str">
            <v>FH87</v>
          </cell>
          <cell r="F1712">
            <v>2830</v>
          </cell>
          <cell r="G1712">
            <v>29.2</v>
          </cell>
          <cell r="H1712">
            <v>0.9</v>
          </cell>
          <cell r="I1712" t="str">
            <v>M1</v>
          </cell>
          <cell r="J1712" t="str">
            <v>IE3</v>
          </cell>
          <cell r="K1712" t="str">
            <v>400/690</v>
          </cell>
          <cell r="L1712">
            <v>50</v>
          </cell>
          <cell r="M1712" t="str">
            <v>29/16,7</v>
          </cell>
          <cell r="N1712">
            <v>65</v>
          </cell>
          <cell r="O1712" t="str">
            <v>F(105°C)</v>
          </cell>
          <cell r="P1712" t="str">
            <v>270°</v>
          </cell>
          <cell r="Q1712" t="str">
            <v>-</v>
          </cell>
          <cell r="R1712" t="str">
            <v>-</v>
          </cell>
          <cell r="S1712" t="str">
            <v>-</v>
          </cell>
          <cell r="T1712" t="str">
            <v>-</v>
          </cell>
          <cell r="U1712" t="str">
            <v>-</v>
          </cell>
          <cell r="V1712" t="str">
            <v>D+R</v>
          </cell>
          <cell r="W1712" t="str">
            <v>-</v>
          </cell>
          <cell r="X1712" t="str">
            <v>CLP PG VG 220 = -20° + 80°</v>
          </cell>
          <cell r="Y1712" t="str">
            <v>FH87DRN160L4</v>
          </cell>
          <cell r="Z1712" t="str">
            <v>SEW</v>
          </cell>
          <cell r="AB1712" t="str">
            <v>-</v>
          </cell>
          <cell r="AF1712">
            <v>50</v>
          </cell>
          <cell r="AG1712" t="str">
            <v>DRN160L4</v>
          </cell>
          <cell r="AH1712" t="str">
            <v>FH87-DRN160L4270-X</v>
          </cell>
        </row>
        <row r="1713">
          <cell r="A1713" t="str">
            <v>MR001709</v>
          </cell>
          <cell r="B1713" t="str">
            <v>MR</v>
          </cell>
          <cell r="C1713">
            <v>15</v>
          </cell>
          <cell r="D1713">
            <v>59</v>
          </cell>
          <cell r="E1713" t="str">
            <v>R97</v>
          </cell>
          <cell r="F1713">
            <v>2430</v>
          </cell>
          <cell r="G1713">
            <v>25.03</v>
          </cell>
          <cell r="H1713">
            <v>1.1499999999999999</v>
          </cell>
          <cell r="I1713" t="str">
            <v>From M1 to M4 - 15°</v>
          </cell>
          <cell r="J1713" t="str">
            <v>IE3</v>
          </cell>
          <cell r="K1713" t="str">
            <v>400/690</v>
          </cell>
          <cell r="L1713">
            <v>50</v>
          </cell>
          <cell r="M1713" t="str">
            <v>29/16,7</v>
          </cell>
          <cell r="N1713">
            <v>65</v>
          </cell>
          <cell r="O1713" t="str">
            <v>F(105°C)</v>
          </cell>
          <cell r="P1713" t="str">
            <v>270°</v>
          </cell>
          <cell r="Q1713" t="str">
            <v>TF</v>
          </cell>
          <cell r="R1713" t="str">
            <v>V(VE)</v>
          </cell>
          <cell r="S1713" t="str">
            <v>-</v>
          </cell>
          <cell r="T1713" t="str">
            <v>-</v>
          </cell>
          <cell r="U1713" t="str">
            <v>-</v>
          </cell>
          <cell r="V1713" t="str">
            <v>FC</v>
          </cell>
          <cell r="W1713" t="str">
            <v>-</v>
          </cell>
          <cell r="X1713" t="str">
            <v>CLP HC VG 220 = -20° + 60°</v>
          </cell>
          <cell r="Y1713" t="str">
            <v>R97DRN160L4 /TF/V</v>
          </cell>
          <cell r="Z1713" t="str">
            <v>SEW</v>
          </cell>
          <cell r="AB1713" t="str">
            <v>-</v>
          </cell>
          <cell r="AF1713">
            <v>59</v>
          </cell>
          <cell r="AG1713" t="str">
            <v>DRN160L4</v>
          </cell>
          <cell r="AH1713" t="str">
            <v>R97-DRN160L4270-X#</v>
          </cell>
        </row>
        <row r="1714">
          <cell r="A1714" t="str">
            <v>MR001710</v>
          </cell>
          <cell r="B1714" t="str">
            <v>MR</v>
          </cell>
          <cell r="C1714">
            <v>11</v>
          </cell>
          <cell r="D1714">
            <v>11</v>
          </cell>
          <cell r="E1714" t="str">
            <v>KH127</v>
          </cell>
          <cell r="F1714">
            <v>9700</v>
          </cell>
          <cell r="G1714">
            <v>136.13999999999999</v>
          </cell>
          <cell r="H1714">
            <v>1.35</v>
          </cell>
          <cell r="I1714" t="str">
            <v>From M1A to M2A - 35°</v>
          </cell>
          <cell r="J1714" t="str">
            <v>IE3</v>
          </cell>
          <cell r="K1714" t="str">
            <v>400/690</v>
          </cell>
          <cell r="L1714">
            <v>50</v>
          </cell>
          <cell r="M1714" t="str">
            <v>21/12,2</v>
          </cell>
          <cell r="N1714">
            <v>65</v>
          </cell>
          <cell r="O1714" t="str">
            <v>F(105°C)</v>
          </cell>
          <cell r="P1714" t="str">
            <v>270°</v>
          </cell>
          <cell r="Q1714" t="str">
            <v>-</v>
          </cell>
          <cell r="R1714" t="str">
            <v>-</v>
          </cell>
          <cell r="S1714" t="str">
            <v>-</v>
          </cell>
          <cell r="T1714" t="str">
            <v>-</v>
          </cell>
          <cell r="U1714" t="str">
            <v>-</v>
          </cell>
          <cell r="V1714" t="str">
            <v>SS</v>
          </cell>
          <cell r="W1714" t="str">
            <v>-</v>
          </cell>
          <cell r="X1714" t="str">
            <v>CLP HC VG 220 = -20° + 60°</v>
          </cell>
          <cell r="Y1714" t="str">
            <v>KH127DRN160M4</v>
          </cell>
          <cell r="Z1714" t="str">
            <v>SEW</v>
          </cell>
          <cell r="AB1714" t="str">
            <v>-</v>
          </cell>
          <cell r="AF1714">
            <v>11</v>
          </cell>
          <cell r="AG1714" t="str">
            <v>DRN160M4</v>
          </cell>
          <cell r="AH1714" t="str">
            <v>KH127-DRN160M4A270-X</v>
          </cell>
        </row>
        <row r="1715">
          <cell r="A1715" t="str">
            <v>MR001711</v>
          </cell>
          <cell r="B1715" t="str">
            <v>MR</v>
          </cell>
          <cell r="C1715">
            <v>15</v>
          </cell>
          <cell r="D1715">
            <v>13</v>
          </cell>
          <cell r="E1715" t="str">
            <v>KH127</v>
          </cell>
          <cell r="F1715">
            <v>10700</v>
          </cell>
          <cell r="G1715">
            <v>110.18</v>
          </cell>
          <cell r="H1715">
            <v>1.2</v>
          </cell>
          <cell r="I1715" t="str">
            <v>From M1A to M2A - 20°</v>
          </cell>
          <cell r="J1715" t="str">
            <v>IE3</v>
          </cell>
          <cell r="K1715" t="str">
            <v>400/690</v>
          </cell>
          <cell r="L1715">
            <v>50</v>
          </cell>
          <cell r="M1715" t="str">
            <v>29,5/16,9</v>
          </cell>
          <cell r="N1715">
            <v>65</v>
          </cell>
          <cell r="O1715" t="str">
            <v>F(105°C)</v>
          </cell>
          <cell r="P1715" t="str">
            <v>270°</v>
          </cell>
          <cell r="Q1715" t="str">
            <v>-</v>
          </cell>
          <cell r="R1715" t="str">
            <v>-</v>
          </cell>
          <cell r="S1715" t="str">
            <v>-</v>
          </cell>
          <cell r="T1715" t="str">
            <v>-</v>
          </cell>
          <cell r="U1715" t="str">
            <v>-</v>
          </cell>
          <cell r="V1715" t="str">
            <v>SS</v>
          </cell>
          <cell r="W1715" t="str">
            <v>-</v>
          </cell>
          <cell r="X1715" t="str">
            <v>CLP HC VG 220 = -20° + 60°</v>
          </cell>
          <cell r="Y1715" t="str">
            <v>KH127EDRN160L4</v>
          </cell>
          <cell r="Z1715" t="str">
            <v>SEW</v>
          </cell>
          <cell r="AB1715" t="str">
            <v>ATEX22</v>
          </cell>
          <cell r="AF1715">
            <v>13</v>
          </cell>
          <cell r="AG1715" t="str">
            <v>EDRN160L4</v>
          </cell>
          <cell r="AH1715" t="str">
            <v>KH127-EDRN160L4A270-X</v>
          </cell>
        </row>
        <row r="1716">
          <cell r="A1716" t="str">
            <v>MR001712</v>
          </cell>
          <cell r="B1716" t="str">
            <v>MR</v>
          </cell>
          <cell r="C1716">
            <v>15</v>
          </cell>
          <cell r="D1716">
            <v>13</v>
          </cell>
          <cell r="E1716" t="str">
            <v>KH127</v>
          </cell>
          <cell r="F1716">
            <v>10700</v>
          </cell>
          <cell r="G1716">
            <v>110.18</v>
          </cell>
          <cell r="H1716">
            <v>1.2</v>
          </cell>
          <cell r="I1716" t="str">
            <v>From M1B to M2B - 20°</v>
          </cell>
          <cell r="J1716" t="str">
            <v>IE3</v>
          </cell>
          <cell r="K1716" t="str">
            <v>400/690</v>
          </cell>
          <cell r="L1716">
            <v>50</v>
          </cell>
          <cell r="M1716" t="str">
            <v>29,5/16,9</v>
          </cell>
          <cell r="N1716">
            <v>65</v>
          </cell>
          <cell r="O1716" t="str">
            <v>F(105°C)</v>
          </cell>
          <cell r="P1716" t="str">
            <v>270°</v>
          </cell>
          <cell r="Q1716" t="str">
            <v>-</v>
          </cell>
          <cell r="R1716" t="str">
            <v>-</v>
          </cell>
          <cell r="S1716" t="str">
            <v>-</v>
          </cell>
          <cell r="T1716" t="str">
            <v>-</v>
          </cell>
          <cell r="U1716" t="str">
            <v>-</v>
          </cell>
          <cell r="V1716" t="str">
            <v>SS</v>
          </cell>
          <cell r="W1716" t="str">
            <v>-</v>
          </cell>
          <cell r="X1716" t="str">
            <v>CLP HC VG 220 = -20° + 60°</v>
          </cell>
          <cell r="Y1716" t="str">
            <v>KH127EDRN160L4</v>
          </cell>
          <cell r="Z1716" t="str">
            <v>SEW</v>
          </cell>
          <cell r="AB1716" t="str">
            <v>ATEX22</v>
          </cell>
          <cell r="AF1716">
            <v>13</v>
          </cell>
          <cell r="AG1716" t="str">
            <v>EDRN160L4</v>
          </cell>
          <cell r="AH1716" t="str">
            <v>KH127-EDRN160L4B270-X</v>
          </cell>
        </row>
        <row r="1717">
          <cell r="A1717" t="str">
            <v>MR001713</v>
          </cell>
          <cell r="B1717" t="str">
            <v>MR</v>
          </cell>
          <cell r="C1717">
            <v>15</v>
          </cell>
          <cell r="D1717">
            <v>13</v>
          </cell>
          <cell r="E1717" t="str">
            <v>KH127</v>
          </cell>
          <cell r="F1717">
            <v>10700</v>
          </cell>
          <cell r="G1717">
            <v>110.18</v>
          </cell>
          <cell r="H1717">
            <v>1.2</v>
          </cell>
          <cell r="I1717" t="str">
            <v>M1A</v>
          </cell>
          <cell r="J1717" t="str">
            <v>IE3</v>
          </cell>
          <cell r="K1717" t="str">
            <v>400/690</v>
          </cell>
          <cell r="L1717">
            <v>50</v>
          </cell>
          <cell r="M1717" t="str">
            <v>29,5/16,9</v>
          </cell>
          <cell r="N1717">
            <v>65</v>
          </cell>
          <cell r="O1717" t="str">
            <v>F(105°C)</v>
          </cell>
          <cell r="P1717" t="str">
            <v>270°</v>
          </cell>
          <cell r="Q1717" t="str">
            <v>-</v>
          </cell>
          <cell r="R1717" t="str">
            <v>-</v>
          </cell>
          <cell r="S1717" t="str">
            <v>-</v>
          </cell>
          <cell r="T1717" t="str">
            <v>-</v>
          </cell>
          <cell r="U1717" t="str">
            <v>-</v>
          </cell>
          <cell r="V1717" t="str">
            <v>SS</v>
          </cell>
          <cell r="W1717" t="str">
            <v>-</v>
          </cell>
          <cell r="X1717" t="str">
            <v>CLP HC VG 220 = -20° + 60°</v>
          </cell>
          <cell r="Y1717" t="str">
            <v>KH127EDRN160L4</v>
          </cell>
          <cell r="Z1717" t="str">
            <v>SEW</v>
          </cell>
          <cell r="AB1717" t="str">
            <v>ATEX22</v>
          </cell>
          <cell r="AF1717">
            <v>13</v>
          </cell>
          <cell r="AG1717" t="str">
            <v>EDRN160L4</v>
          </cell>
          <cell r="AH1717" t="str">
            <v>KH127-EDRN160L4A270-X</v>
          </cell>
        </row>
        <row r="1718">
          <cell r="A1718" t="str">
            <v>MR001714</v>
          </cell>
          <cell r="B1718" t="str">
            <v>MR</v>
          </cell>
          <cell r="C1718">
            <v>9.1999999999999993</v>
          </cell>
          <cell r="D1718">
            <v>86</v>
          </cell>
          <cell r="E1718" t="str">
            <v>R87</v>
          </cell>
          <cell r="F1718">
            <v>1020</v>
          </cell>
          <cell r="G1718">
            <v>17.079999999999998</v>
          </cell>
          <cell r="H1718">
            <v>1.35</v>
          </cell>
          <cell r="I1718" t="str">
            <v>From M1 to M2 - 15°</v>
          </cell>
          <cell r="J1718" t="str">
            <v>IE3</v>
          </cell>
          <cell r="K1718" t="str">
            <v>400/690</v>
          </cell>
          <cell r="L1718">
            <v>50</v>
          </cell>
          <cell r="M1718" t="str">
            <v>18,7/10,8</v>
          </cell>
          <cell r="N1718">
            <v>55</v>
          </cell>
          <cell r="O1718" t="str">
            <v>F(105°C)</v>
          </cell>
          <cell r="P1718" t="str">
            <v>270°</v>
          </cell>
          <cell r="Q1718" t="str">
            <v>-</v>
          </cell>
          <cell r="R1718" t="str">
            <v>-</v>
          </cell>
          <cell r="S1718" t="str">
            <v>-</v>
          </cell>
          <cell r="T1718" t="str">
            <v>-</v>
          </cell>
          <cell r="U1718" t="str">
            <v>-</v>
          </cell>
          <cell r="V1718" t="str">
            <v>D</v>
          </cell>
          <cell r="W1718" t="str">
            <v>-</v>
          </cell>
          <cell r="X1718" t="str">
            <v>CLP VG 220 = -15° + 40°</v>
          </cell>
          <cell r="Y1718" t="str">
            <v>R87DRN132L4</v>
          </cell>
          <cell r="Z1718" t="str">
            <v>SEW</v>
          </cell>
          <cell r="AB1718" t="str">
            <v>-</v>
          </cell>
          <cell r="AF1718">
            <v>86</v>
          </cell>
          <cell r="AG1718" t="str">
            <v>DRN132L4</v>
          </cell>
          <cell r="AH1718" t="str">
            <v>R87-DRN132L4270-X</v>
          </cell>
        </row>
        <row r="1719">
          <cell r="A1719" t="str">
            <v>MR001715</v>
          </cell>
          <cell r="B1719" t="str">
            <v>MR</v>
          </cell>
          <cell r="C1719">
            <v>0.75</v>
          </cell>
          <cell r="D1719" t="str">
            <v>162</v>
          </cell>
          <cell r="E1719" t="str">
            <v>KA37</v>
          </cell>
          <cell r="F1719">
            <v>44</v>
          </cell>
          <cell r="G1719">
            <v>8.91</v>
          </cell>
          <cell r="H1719">
            <v>3.6</v>
          </cell>
          <cell r="I1719" t="str">
            <v>From M1B to M2B - 15°</v>
          </cell>
          <cell r="J1719" t="str">
            <v>IE3</v>
          </cell>
          <cell r="K1719">
            <v>400</v>
          </cell>
          <cell r="L1719">
            <v>50</v>
          </cell>
          <cell r="M1719">
            <v>1.75</v>
          </cell>
          <cell r="N1719">
            <v>65</v>
          </cell>
          <cell r="O1719" t="str">
            <v>F(105°C)</v>
          </cell>
          <cell r="P1719" t="str">
            <v>0°</v>
          </cell>
          <cell r="Q1719" t="str">
            <v>-</v>
          </cell>
          <cell r="R1719" t="str">
            <v>-</v>
          </cell>
          <cell r="S1719" t="str">
            <v>-</v>
          </cell>
          <cell r="T1719" t="str">
            <v>-</v>
          </cell>
          <cell r="U1719" t="str">
            <v>T</v>
          </cell>
          <cell r="V1719" t="str">
            <v>D</v>
          </cell>
          <cell r="W1719" t="str">
            <v>-</v>
          </cell>
          <cell r="X1719" t="str">
            <v>CLP VG 220 = -15° + 40°</v>
          </cell>
          <cell r="Y1719" t="str">
            <v>KA37/T DRN80M4</v>
          </cell>
          <cell r="Z1719" t="str">
            <v>SEW</v>
          </cell>
          <cell r="AB1719" t="str">
            <v>-</v>
          </cell>
          <cell r="AF1719">
            <v>162</v>
          </cell>
          <cell r="AG1719" t="str">
            <v>DRN80M4</v>
          </cell>
          <cell r="AH1719" t="str">
            <v>KA37T-DRN80M4B0-X</v>
          </cell>
        </row>
        <row r="1720">
          <cell r="A1720" t="str">
            <v>MR001716</v>
          </cell>
          <cell r="B1720" t="str">
            <v>MR</v>
          </cell>
          <cell r="C1720">
            <v>22</v>
          </cell>
          <cell r="D1720">
            <v>15</v>
          </cell>
          <cell r="E1720" t="str">
            <v>FH157</v>
          </cell>
          <cell r="F1720">
            <v>13700</v>
          </cell>
          <cell r="G1720">
            <v>96.53</v>
          </cell>
          <cell r="H1720">
            <v>1.45</v>
          </cell>
          <cell r="I1720" t="str">
            <v>From M1 to M4 - 20°</v>
          </cell>
          <cell r="J1720" t="str">
            <v>IE3</v>
          </cell>
          <cell r="K1720" t="str">
            <v>400/690</v>
          </cell>
          <cell r="L1720">
            <v>50</v>
          </cell>
          <cell r="M1720" t="str">
            <v>38,5/22,5</v>
          </cell>
          <cell r="N1720">
            <v>65</v>
          </cell>
          <cell r="O1720" t="str">
            <v>F(105°C)</v>
          </cell>
          <cell r="P1720" t="str">
            <v>270°</v>
          </cell>
          <cell r="Q1720" t="str">
            <v>TF</v>
          </cell>
          <cell r="R1720" t="str">
            <v>V(VE)</v>
          </cell>
          <cell r="S1720" t="str">
            <v>-</v>
          </cell>
          <cell r="T1720" t="str">
            <v>-</v>
          </cell>
          <cell r="U1720" t="str">
            <v>G</v>
          </cell>
          <cell r="V1720" t="str">
            <v>FC</v>
          </cell>
          <cell r="W1720" t="str">
            <v>-</v>
          </cell>
          <cell r="X1720" t="str">
            <v>CLP PG VG 220 = -20° + 80°</v>
          </cell>
          <cell r="Y1720" t="str">
            <v>FH157/G DRN180L4 /TF/V</v>
          </cell>
          <cell r="Z1720" t="str">
            <v>SEW</v>
          </cell>
          <cell r="AB1720" t="str">
            <v>-</v>
          </cell>
          <cell r="AF1720">
            <v>15</v>
          </cell>
          <cell r="AG1720" t="str">
            <v>DRN180L4</v>
          </cell>
          <cell r="AH1720" t="str">
            <v>FH157G-DRN180L4270-X#</v>
          </cell>
        </row>
        <row r="1721">
          <cell r="A1721" t="str">
            <v>MR001717</v>
          </cell>
          <cell r="B1721" t="str">
            <v>MR</v>
          </cell>
          <cell r="C1721">
            <v>18.5</v>
          </cell>
          <cell r="D1721">
            <v>10</v>
          </cell>
          <cell r="E1721" t="str">
            <v>FH157</v>
          </cell>
          <cell r="F1721">
            <v>16900</v>
          </cell>
          <cell r="G1721">
            <v>141.80000000000001</v>
          </cell>
          <cell r="H1721">
            <v>1.2</v>
          </cell>
          <cell r="I1721" t="str">
            <v>M1</v>
          </cell>
          <cell r="J1721" t="str">
            <v>IE3</v>
          </cell>
          <cell r="K1721" t="str">
            <v>400/690</v>
          </cell>
          <cell r="L1721">
            <v>50</v>
          </cell>
          <cell r="M1721" t="str">
            <v>33,5/19,3</v>
          </cell>
          <cell r="N1721">
            <v>65</v>
          </cell>
          <cell r="O1721" t="str">
            <v>F(105°C)</v>
          </cell>
          <cell r="P1721" t="str">
            <v>270°</v>
          </cell>
          <cell r="Q1721" t="str">
            <v>TF</v>
          </cell>
          <cell r="R1721" t="str">
            <v>V(VE)</v>
          </cell>
          <cell r="S1721" t="str">
            <v>-</v>
          </cell>
          <cell r="T1721" t="str">
            <v>-</v>
          </cell>
          <cell r="U1721" t="str">
            <v>G</v>
          </cell>
          <cell r="V1721" t="str">
            <v>FC</v>
          </cell>
          <cell r="W1721" t="str">
            <v>-</v>
          </cell>
          <cell r="X1721" t="str">
            <v>CLP PG VG 220 = -20° + 80°</v>
          </cell>
          <cell r="Y1721" t="str">
            <v>FH157/G DRN180M4 /TF/V</v>
          </cell>
          <cell r="Z1721" t="str">
            <v>SEW</v>
          </cell>
          <cell r="AB1721" t="str">
            <v>-</v>
          </cell>
          <cell r="AF1721">
            <v>10</v>
          </cell>
          <cell r="AG1721" t="str">
            <v>DRN180M4</v>
          </cell>
          <cell r="AH1721" t="str">
            <v>FH157G-DRN180M4270-X#</v>
          </cell>
        </row>
        <row r="1722">
          <cell r="A1722" t="str">
            <v>MR001718</v>
          </cell>
          <cell r="B1722" t="str">
            <v>MR</v>
          </cell>
          <cell r="C1722">
            <v>7.5</v>
          </cell>
          <cell r="D1722">
            <v>58</v>
          </cell>
          <cell r="E1722" t="str">
            <v>FH77</v>
          </cell>
          <cell r="F1722">
            <v>1240</v>
          </cell>
          <cell r="G1722">
            <v>25.5</v>
          </cell>
          <cell r="H1722">
            <v>1.2</v>
          </cell>
          <cell r="I1722" t="str">
            <v>M1</v>
          </cell>
          <cell r="J1722" t="str">
            <v>IE3</v>
          </cell>
          <cell r="K1722" t="str">
            <v>400/690</v>
          </cell>
          <cell r="L1722">
            <v>50</v>
          </cell>
          <cell r="M1722" t="str">
            <v>15,2/8,8</v>
          </cell>
          <cell r="N1722">
            <v>65</v>
          </cell>
          <cell r="O1722" t="str">
            <v>F(105°C)</v>
          </cell>
          <cell r="P1722" t="str">
            <v>270°</v>
          </cell>
          <cell r="Q1722" t="str">
            <v>-</v>
          </cell>
          <cell r="R1722" t="str">
            <v>-</v>
          </cell>
          <cell r="S1722" t="str">
            <v>-</v>
          </cell>
          <cell r="T1722" t="str">
            <v>-</v>
          </cell>
          <cell r="U1722" t="str">
            <v>G</v>
          </cell>
          <cell r="V1722" t="str">
            <v>D</v>
          </cell>
          <cell r="W1722" t="str">
            <v>-</v>
          </cell>
          <cell r="X1722" t="str">
            <v>CLP PG VG 220 = -20° + 80°</v>
          </cell>
          <cell r="Y1722" t="str">
            <v>FH77/G DRN132M4</v>
          </cell>
          <cell r="Z1722" t="str">
            <v>SEW</v>
          </cell>
          <cell r="AB1722" t="str">
            <v>-</v>
          </cell>
          <cell r="AF1722">
            <v>58</v>
          </cell>
          <cell r="AG1722" t="str">
            <v>DRN132M4</v>
          </cell>
          <cell r="AH1722" t="str">
            <v>FH77G-DRN132M4270-X</v>
          </cell>
        </row>
        <row r="1723">
          <cell r="A1723" t="str">
            <v>MR001719</v>
          </cell>
          <cell r="B1723" t="str">
            <v>MR</v>
          </cell>
          <cell r="C1723">
            <v>5.5</v>
          </cell>
          <cell r="D1723">
            <v>84</v>
          </cell>
          <cell r="E1723" t="str">
            <v>FH77</v>
          </cell>
          <cell r="F1723">
            <v>625</v>
          </cell>
          <cell r="G1723">
            <v>17.489999999999998</v>
          </cell>
          <cell r="H1723">
            <v>2.4</v>
          </cell>
          <cell r="I1723" t="str">
            <v>From M1 to M2 - 15°</v>
          </cell>
          <cell r="J1723" t="str">
            <v>IE3</v>
          </cell>
          <cell r="K1723" t="str">
            <v>230/400</v>
          </cell>
          <cell r="L1723">
            <v>50</v>
          </cell>
          <cell r="M1723" t="str">
            <v>18,2/10,5</v>
          </cell>
          <cell r="N1723">
            <v>65</v>
          </cell>
          <cell r="O1723" t="str">
            <v>F(105°C)</v>
          </cell>
          <cell r="P1723" t="str">
            <v>270°</v>
          </cell>
          <cell r="Q1723" t="str">
            <v>-</v>
          </cell>
          <cell r="R1723" t="str">
            <v>-</v>
          </cell>
          <cell r="S1723" t="str">
            <v>-</v>
          </cell>
          <cell r="T1723" t="str">
            <v>-</v>
          </cell>
          <cell r="U1723" t="str">
            <v>G</v>
          </cell>
          <cell r="V1723" t="str">
            <v>D</v>
          </cell>
          <cell r="W1723" t="str">
            <v>-</v>
          </cell>
          <cell r="X1723" t="str">
            <v>CLP PG VG 220 = -20° + 80°</v>
          </cell>
          <cell r="Y1723" t="str">
            <v>FH77/G DRN132S4</v>
          </cell>
          <cell r="Z1723" t="str">
            <v>SEW</v>
          </cell>
          <cell r="AB1723" t="str">
            <v>-</v>
          </cell>
          <cell r="AF1723">
            <v>84</v>
          </cell>
          <cell r="AG1723" t="str">
            <v>DRN132S4</v>
          </cell>
          <cell r="AH1723" t="str">
            <v>FH77G-DRN132S4270-X</v>
          </cell>
        </row>
        <row r="1724">
          <cell r="A1724" t="str">
            <v>MR001720</v>
          </cell>
          <cell r="B1724" t="str">
            <v>MR</v>
          </cell>
          <cell r="C1724">
            <v>7.5</v>
          </cell>
          <cell r="D1724">
            <v>11</v>
          </cell>
          <cell r="E1724" t="str">
            <v>FH107</v>
          </cell>
          <cell r="F1724">
            <v>6340</v>
          </cell>
          <cell r="G1724">
            <v>129.97</v>
          </cell>
          <cell r="H1724">
            <v>1.2</v>
          </cell>
          <cell r="I1724" t="str">
            <v>M1</v>
          </cell>
          <cell r="J1724" t="str">
            <v>IE3</v>
          </cell>
          <cell r="K1724" t="str">
            <v>400/690</v>
          </cell>
          <cell r="L1724">
            <v>50</v>
          </cell>
          <cell r="M1724" t="str">
            <v>15,2/8,8</v>
          </cell>
          <cell r="N1724">
            <v>65</v>
          </cell>
          <cell r="O1724" t="str">
            <v>F(105°C)</v>
          </cell>
          <cell r="P1724" t="str">
            <v>270°</v>
          </cell>
          <cell r="Q1724" t="str">
            <v>TF</v>
          </cell>
          <cell r="R1724" t="str">
            <v>V(VE)</v>
          </cell>
          <cell r="S1724" t="str">
            <v>-</v>
          </cell>
          <cell r="T1724" t="str">
            <v>-</v>
          </cell>
          <cell r="U1724" t="str">
            <v>G</v>
          </cell>
          <cell r="V1724" t="str">
            <v>FC</v>
          </cell>
          <cell r="W1724" t="str">
            <v>-</v>
          </cell>
          <cell r="X1724" t="str">
            <v>CLP PG VG 220 = -20° + 80°</v>
          </cell>
          <cell r="Y1724" t="str">
            <v>FH107/G DRN132M4 /TF/V</v>
          </cell>
          <cell r="Z1724" t="str">
            <v>SEW</v>
          </cell>
          <cell r="AB1724" t="str">
            <v>-</v>
          </cell>
          <cell r="AF1724">
            <v>11</v>
          </cell>
          <cell r="AG1724" t="str">
            <v>DRN132M4</v>
          </cell>
          <cell r="AH1724" t="str">
            <v>FH107G-DRN132M4270-X#</v>
          </cell>
        </row>
        <row r="1725">
          <cell r="A1725" t="str">
            <v>MR001721</v>
          </cell>
          <cell r="B1725" t="str">
            <v>MR</v>
          </cell>
          <cell r="C1725">
            <v>18.5</v>
          </cell>
          <cell r="D1725">
            <v>10</v>
          </cell>
          <cell r="E1725" t="str">
            <v>FH157</v>
          </cell>
          <cell r="F1725">
            <v>16900</v>
          </cell>
          <cell r="G1725">
            <v>141.80000000000001</v>
          </cell>
          <cell r="H1725">
            <v>1.2</v>
          </cell>
          <cell r="I1725" t="str">
            <v>From M1 to M2 - 15°</v>
          </cell>
          <cell r="J1725" t="str">
            <v>IE3</v>
          </cell>
          <cell r="K1725" t="str">
            <v>400/690</v>
          </cell>
          <cell r="L1725">
            <v>50</v>
          </cell>
          <cell r="M1725" t="str">
            <v>33,5/19,3</v>
          </cell>
          <cell r="N1725">
            <v>65</v>
          </cell>
          <cell r="O1725" t="str">
            <v>F(105°C)</v>
          </cell>
          <cell r="P1725" t="str">
            <v>270°</v>
          </cell>
          <cell r="Q1725" t="str">
            <v>TF</v>
          </cell>
          <cell r="R1725" t="str">
            <v>V(VE)</v>
          </cell>
          <cell r="S1725" t="str">
            <v>-</v>
          </cell>
          <cell r="T1725" t="str">
            <v>-</v>
          </cell>
          <cell r="U1725" t="str">
            <v>G</v>
          </cell>
          <cell r="V1725" t="str">
            <v>FC</v>
          </cell>
          <cell r="W1725" t="str">
            <v>-</v>
          </cell>
          <cell r="X1725" t="str">
            <v>CLP PG VG 220 = -20° + 80°</v>
          </cell>
          <cell r="Y1725" t="str">
            <v>FH157/G DRN180M4 /TF/V</v>
          </cell>
          <cell r="Z1725" t="str">
            <v>SEW</v>
          </cell>
          <cell r="AB1725" t="str">
            <v>-</v>
          </cell>
          <cell r="AF1725">
            <v>10</v>
          </cell>
          <cell r="AG1725" t="str">
            <v>DRN180M4</v>
          </cell>
          <cell r="AH1725" t="str">
            <v>FH157G-DRN180M4270-X#</v>
          </cell>
        </row>
        <row r="1726">
          <cell r="A1726" t="str">
            <v>MR001722</v>
          </cell>
          <cell r="B1726" t="str">
            <v>MR</v>
          </cell>
          <cell r="C1726">
            <v>18.5</v>
          </cell>
          <cell r="D1726">
            <v>10</v>
          </cell>
          <cell r="E1726" t="str">
            <v>FH157</v>
          </cell>
          <cell r="F1726">
            <v>16900</v>
          </cell>
          <cell r="G1726">
            <v>141.80000000000001</v>
          </cell>
          <cell r="H1726">
            <v>1.2</v>
          </cell>
          <cell r="I1726" t="str">
            <v>From M3 to M4 - 15°</v>
          </cell>
          <cell r="J1726" t="str">
            <v>IE3</v>
          </cell>
          <cell r="K1726" t="str">
            <v>400/690</v>
          </cell>
          <cell r="L1726">
            <v>50</v>
          </cell>
          <cell r="M1726" t="str">
            <v>33,5/19,3</v>
          </cell>
          <cell r="N1726">
            <v>65</v>
          </cell>
          <cell r="O1726" t="str">
            <v>F(105°C)</v>
          </cell>
          <cell r="P1726" t="str">
            <v>270°</v>
          </cell>
          <cell r="Q1726" t="str">
            <v>TF</v>
          </cell>
          <cell r="R1726" t="str">
            <v>V(VE)</v>
          </cell>
          <cell r="S1726" t="str">
            <v>-</v>
          </cell>
          <cell r="T1726" t="str">
            <v>-</v>
          </cell>
          <cell r="U1726" t="str">
            <v>G</v>
          </cell>
          <cell r="V1726" t="str">
            <v>FC</v>
          </cell>
          <cell r="W1726" t="str">
            <v>-</v>
          </cell>
          <cell r="X1726" t="str">
            <v>CLP PG VG 220 = -20° + 80°</v>
          </cell>
          <cell r="Y1726" t="str">
            <v>FH157/G DRN180M4 /TF/V</v>
          </cell>
          <cell r="Z1726" t="str">
            <v>SEW</v>
          </cell>
          <cell r="AB1726" t="str">
            <v>-</v>
          </cell>
          <cell r="AF1726">
            <v>10</v>
          </cell>
          <cell r="AG1726" t="str">
            <v>DRN180M4</v>
          </cell>
          <cell r="AH1726" t="str">
            <v>FH157G-DRN180M4270-X#</v>
          </cell>
        </row>
        <row r="1727">
          <cell r="A1727" t="str">
            <v>MR001723</v>
          </cell>
          <cell r="B1727" t="str">
            <v>MR</v>
          </cell>
          <cell r="C1727">
            <v>7.5</v>
          </cell>
          <cell r="D1727">
            <v>38</v>
          </cell>
          <cell r="E1727" t="str">
            <v>FH97</v>
          </cell>
          <cell r="F1727">
            <v>1890</v>
          </cell>
          <cell r="G1727">
            <v>38.86</v>
          </cell>
          <cell r="H1727">
            <v>2.2999999999999998</v>
          </cell>
          <cell r="I1727" t="str">
            <v>M1</v>
          </cell>
          <cell r="J1727" t="str">
            <v>IE3</v>
          </cell>
          <cell r="K1727" t="str">
            <v>400/690</v>
          </cell>
          <cell r="L1727">
            <v>50</v>
          </cell>
          <cell r="M1727" t="str">
            <v>15,2/8,8</v>
          </cell>
          <cell r="N1727">
            <v>65</v>
          </cell>
          <cell r="O1727" t="str">
            <v>F(105°C)</v>
          </cell>
          <cell r="P1727" t="str">
            <v>270°</v>
          </cell>
          <cell r="Q1727" t="str">
            <v>-</v>
          </cell>
          <cell r="R1727" t="str">
            <v>-</v>
          </cell>
          <cell r="S1727" t="str">
            <v>-</v>
          </cell>
          <cell r="T1727" t="str">
            <v>-</v>
          </cell>
          <cell r="U1727" t="str">
            <v>G</v>
          </cell>
          <cell r="V1727" t="str">
            <v>D+R</v>
          </cell>
          <cell r="W1727" t="str">
            <v>-</v>
          </cell>
          <cell r="X1727" t="str">
            <v>CLP PG VG 220 = -20° + 80°</v>
          </cell>
          <cell r="Y1727" t="str">
            <v>FH97/G DRN132M4</v>
          </cell>
          <cell r="Z1727" t="str">
            <v>SEW</v>
          </cell>
          <cell r="AB1727" t="str">
            <v>-</v>
          </cell>
          <cell r="AF1727">
            <v>38</v>
          </cell>
          <cell r="AG1727" t="str">
            <v>DRN132M4</v>
          </cell>
          <cell r="AH1727" t="str">
            <v>FH97G-DRN132M4270-X</v>
          </cell>
        </row>
        <row r="1728">
          <cell r="A1728" t="str">
            <v>MR001724</v>
          </cell>
          <cell r="B1728" t="str">
            <v>MR</v>
          </cell>
          <cell r="C1728">
            <v>0.75</v>
          </cell>
          <cell r="D1728">
            <v>162</v>
          </cell>
          <cell r="E1728" t="str">
            <v>KA37</v>
          </cell>
          <cell r="F1728">
            <v>44</v>
          </cell>
          <cell r="G1728">
            <v>8.91</v>
          </cell>
          <cell r="H1728">
            <v>3.6</v>
          </cell>
          <cell r="I1728" t="str">
            <v>From M1B to M2B - 20°</v>
          </cell>
          <cell r="J1728" t="str">
            <v>IE3</v>
          </cell>
          <cell r="K1728" t="str">
            <v>230/400</v>
          </cell>
          <cell r="L1728">
            <v>50</v>
          </cell>
          <cell r="M1728" t="str">
            <v>3,05/1,75</v>
          </cell>
          <cell r="N1728">
            <v>65</v>
          </cell>
          <cell r="O1728" t="str">
            <v>F(105°C)</v>
          </cell>
          <cell r="P1728" t="str">
            <v>270°</v>
          </cell>
          <cell r="Q1728" t="str">
            <v>-</v>
          </cell>
          <cell r="R1728" t="str">
            <v>-</v>
          </cell>
          <cell r="S1728" t="str">
            <v>-</v>
          </cell>
          <cell r="T1728" t="str">
            <v>-</v>
          </cell>
          <cell r="U1728" t="str">
            <v>T</v>
          </cell>
          <cell r="V1728" t="str">
            <v>D</v>
          </cell>
          <cell r="W1728" t="str">
            <v>-</v>
          </cell>
          <cell r="X1728" t="str">
            <v>CLP PG VG 220 = -20° + 80°</v>
          </cell>
          <cell r="Y1728" t="str">
            <v>KA37/T DRN80M4</v>
          </cell>
          <cell r="Z1728" t="str">
            <v>SEW</v>
          </cell>
          <cell r="AB1728" t="str">
            <v>-</v>
          </cell>
          <cell r="AF1728">
            <v>162</v>
          </cell>
          <cell r="AG1728" t="str">
            <v>DRN80M4</v>
          </cell>
          <cell r="AH1728" t="str">
            <v>KA37T-DRN80M4B270-X</v>
          </cell>
        </row>
        <row r="1729">
          <cell r="A1729" t="str">
            <v>MR001725</v>
          </cell>
          <cell r="B1729" t="str">
            <v>MR</v>
          </cell>
          <cell r="C1729">
            <v>0.75</v>
          </cell>
          <cell r="D1729">
            <v>162</v>
          </cell>
          <cell r="E1729" t="str">
            <v>KA37</v>
          </cell>
          <cell r="F1729">
            <v>44</v>
          </cell>
          <cell r="G1729">
            <v>8.91</v>
          </cell>
          <cell r="H1729">
            <v>3.6</v>
          </cell>
          <cell r="I1729" t="str">
            <v>From M1B to M2B - 15°</v>
          </cell>
          <cell r="J1729" t="str">
            <v>IE3</v>
          </cell>
          <cell r="K1729" t="str">
            <v>230/400</v>
          </cell>
          <cell r="L1729">
            <v>50</v>
          </cell>
          <cell r="M1729" t="str">
            <v>3,05/1,75</v>
          </cell>
          <cell r="N1729">
            <v>65</v>
          </cell>
          <cell r="O1729" t="str">
            <v>F(105°C)</v>
          </cell>
          <cell r="P1729" t="str">
            <v>270°</v>
          </cell>
          <cell r="Q1729" t="str">
            <v>-</v>
          </cell>
          <cell r="R1729" t="str">
            <v>-</v>
          </cell>
          <cell r="S1729" t="str">
            <v>-</v>
          </cell>
          <cell r="T1729" t="str">
            <v>-</v>
          </cell>
          <cell r="U1729" t="str">
            <v>T</v>
          </cell>
          <cell r="V1729" t="str">
            <v>D</v>
          </cell>
          <cell r="W1729" t="str">
            <v>-</v>
          </cell>
          <cell r="X1729" t="str">
            <v>CLP PG VG 220 = -20° + 80°</v>
          </cell>
          <cell r="Y1729" t="str">
            <v>KA37/T DRN80M4</v>
          </cell>
          <cell r="Z1729" t="str">
            <v>SEW</v>
          </cell>
          <cell r="AB1729" t="str">
            <v>-</v>
          </cell>
          <cell r="AF1729">
            <v>162</v>
          </cell>
          <cell r="AG1729" t="str">
            <v>DRN80M4</v>
          </cell>
          <cell r="AH1729" t="str">
            <v>KA37T-DRN80M4B270-X</v>
          </cell>
        </row>
        <row r="1730">
          <cell r="A1730" t="str">
            <v>MR001726</v>
          </cell>
          <cell r="B1730" t="str">
            <v>MR</v>
          </cell>
          <cell r="C1730">
            <v>15</v>
          </cell>
          <cell r="D1730">
            <v>9.8000000000000007</v>
          </cell>
          <cell r="E1730" t="str">
            <v>KH157</v>
          </cell>
          <cell r="F1730">
            <v>14600</v>
          </cell>
          <cell r="G1730">
            <v>150.41</v>
          </cell>
          <cell r="H1730">
            <v>1.35</v>
          </cell>
          <cell r="I1730" t="str">
            <v>From M1A to M2A - 45°</v>
          </cell>
          <cell r="J1730" t="str">
            <v>IE3</v>
          </cell>
          <cell r="K1730" t="str">
            <v>400/690</v>
          </cell>
          <cell r="L1730">
            <v>50</v>
          </cell>
          <cell r="M1730" t="str">
            <v>29,5/16,9</v>
          </cell>
          <cell r="N1730">
            <v>65</v>
          </cell>
          <cell r="O1730" t="str">
            <v>F(105°C)</v>
          </cell>
          <cell r="P1730" t="str">
            <v>270°</v>
          </cell>
          <cell r="Q1730" t="str">
            <v>-</v>
          </cell>
          <cell r="R1730" t="str">
            <v>-</v>
          </cell>
          <cell r="S1730" t="str">
            <v>-</v>
          </cell>
          <cell r="T1730" t="str">
            <v>-</v>
          </cell>
          <cell r="U1730" t="str">
            <v>-</v>
          </cell>
          <cell r="V1730" t="str">
            <v>SS</v>
          </cell>
          <cell r="W1730" t="str">
            <v>-</v>
          </cell>
          <cell r="X1730" t="str">
            <v>CLP PG VG 220 = -20° + 80°</v>
          </cell>
          <cell r="Y1730" t="str">
            <v>KH157DRN160L4</v>
          </cell>
          <cell r="Z1730" t="str">
            <v>SEW</v>
          </cell>
          <cell r="AB1730" t="str">
            <v>-</v>
          </cell>
          <cell r="AF1730">
            <v>9.8000000000000007</v>
          </cell>
          <cell r="AG1730" t="str">
            <v>DRN160L4</v>
          </cell>
          <cell r="AH1730" t="str">
            <v>KH157-DRN160L4A270-X</v>
          </cell>
        </row>
        <row r="1731">
          <cell r="A1731" t="str">
            <v>MR001727</v>
          </cell>
          <cell r="B1731" t="str">
            <v>MR</v>
          </cell>
          <cell r="C1731">
            <v>15</v>
          </cell>
          <cell r="D1731">
            <v>9.8000000000000007</v>
          </cell>
          <cell r="E1731" t="str">
            <v>KH157</v>
          </cell>
          <cell r="F1731">
            <v>14600</v>
          </cell>
          <cell r="G1731">
            <v>150.41</v>
          </cell>
          <cell r="H1731">
            <v>1.35</v>
          </cell>
          <cell r="I1731" t="str">
            <v>From M1B to M2B - 45°</v>
          </cell>
          <cell r="J1731" t="str">
            <v>IE3</v>
          </cell>
          <cell r="K1731" t="str">
            <v>400/690</v>
          </cell>
          <cell r="L1731">
            <v>50</v>
          </cell>
          <cell r="M1731" t="str">
            <v>29,5/16,9</v>
          </cell>
          <cell r="N1731">
            <v>65</v>
          </cell>
          <cell r="O1731" t="str">
            <v>F(105°C)</v>
          </cell>
          <cell r="P1731" t="str">
            <v>270°</v>
          </cell>
          <cell r="Q1731" t="str">
            <v>-</v>
          </cell>
          <cell r="R1731" t="str">
            <v>-</v>
          </cell>
          <cell r="S1731" t="str">
            <v>-</v>
          </cell>
          <cell r="T1731" t="str">
            <v>-</v>
          </cell>
          <cell r="U1731" t="str">
            <v>-</v>
          </cell>
          <cell r="V1731" t="str">
            <v>SS</v>
          </cell>
          <cell r="W1731" t="str">
            <v>-</v>
          </cell>
          <cell r="X1731" t="str">
            <v>CLP PG VG 220 = -20° + 80°</v>
          </cell>
          <cell r="Y1731" t="str">
            <v>KH157DRN160L4</v>
          </cell>
          <cell r="Z1731" t="str">
            <v>SEW</v>
          </cell>
          <cell r="AB1731" t="str">
            <v>-</v>
          </cell>
          <cell r="AF1731">
            <v>9.8000000000000007</v>
          </cell>
          <cell r="AG1731" t="str">
            <v>DRN160L4</v>
          </cell>
          <cell r="AH1731" t="str">
            <v>KH157-DRN160L4B270-X</v>
          </cell>
        </row>
        <row r="1732">
          <cell r="A1732" t="str">
            <v>MR001728</v>
          </cell>
          <cell r="B1732" t="str">
            <v>MR</v>
          </cell>
          <cell r="C1732">
            <v>37</v>
          </cell>
          <cell r="D1732">
            <v>37</v>
          </cell>
          <cell r="E1732" t="str">
            <v>R147</v>
          </cell>
          <cell r="F1732">
            <v>9600</v>
          </cell>
          <cell r="G1732">
            <v>40.29</v>
          </cell>
          <cell r="H1732">
            <v>1.35</v>
          </cell>
          <cell r="I1732" t="str">
            <v>M1</v>
          </cell>
          <cell r="J1732" t="str">
            <v>IE3</v>
          </cell>
          <cell r="K1732" t="str">
            <v>400/690</v>
          </cell>
          <cell r="L1732">
            <v>50</v>
          </cell>
          <cell r="M1732" t="str">
            <v>64/37</v>
          </cell>
          <cell r="N1732">
            <v>65</v>
          </cell>
          <cell r="O1732" t="str">
            <v>F(105°C)</v>
          </cell>
          <cell r="P1732" t="str">
            <v>270°</v>
          </cell>
          <cell r="Q1732" t="str">
            <v>-</v>
          </cell>
          <cell r="R1732" t="str">
            <v>-</v>
          </cell>
          <cell r="S1732" t="str">
            <v>Free rotation CCW</v>
          </cell>
          <cell r="T1732" t="str">
            <v>-</v>
          </cell>
          <cell r="U1732" t="str">
            <v>-</v>
          </cell>
          <cell r="V1732" t="str">
            <v>SS</v>
          </cell>
          <cell r="W1732" t="str">
            <v>-</v>
          </cell>
          <cell r="X1732" t="str">
            <v>CLP PG VG 220 = -20° + 80°</v>
          </cell>
          <cell r="Y1732" t="str">
            <v>R147DRN225S4 /RS</v>
          </cell>
          <cell r="Z1732" t="str">
            <v>SEW</v>
          </cell>
          <cell r="AB1732" t="str">
            <v>-</v>
          </cell>
          <cell r="AF1732">
            <v>37</v>
          </cell>
          <cell r="AG1732" t="str">
            <v>DRN225S4</v>
          </cell>
          <cell r="AH1732" t="str">
            <v>R147-DRN225S4270-X</v>
          </cell>
        </row>
        <row r="1733">
          <cell r="A1733" t="str">
            <v>MR001729</v>
          </cell>
          <cell r="B1733" t="str">
            <v>MR</v>
          </cell>
          <cell r="C1733">
            <v>9.1999999999999993</v>
          </cell>
          <cell r="D1733">
            <v>15</v>
          </cell>
          <cell r="E1733" t="str">
            <v>KH107</v>
          </cell>
          <cell r="F1733">
            <v>6020</v>
          </cell>
          <cell r="G1733">
            <v>100.75</v>
          </cell>
          <cell r="H1733">
            <v>1.35</v>
          </cell>
          <cell r="I1733" t="str">
            <v>From M1B to M2B - 35°</v>
          </cell>
          <cell r="J1733" t="str">
            <v>IE3</v>
          </cell>
          <cell r="K1733" t="str">
            <v>400/690</v>
          </cell>
          <cell r="L1733">
            <v>50</v>
          </cell>
          <cell r="M1733" t="str">
            <v>18,7/10,8</v>
          </cell>
          <cell r="N1733">
            <v>65</v>
          </cell>
          <cell r="O1733" t="str">
            <v>F(105°C)</v>
          </cell>
          <cell r="P1733" t="str">
            <v>270°</v>
          </cell>
          <cell r="Q1733" t="str">
            <v>-</v>
          </cell>
          <cell r="R1733" t="str">
            <v>-</v>
          </cell>
          <cell r="S1733" t="str">
            <v>-</v>
          </cell>
          <cell r="T1733" t="str">
            <v>-</v>
          </cell>
          <cell r="U1733" t="str">
            <v>-</v>
          </cell>
          <cell r="V1733" t="str">
            <v>SS</v>
          </cell>
          <cell r="W1733" t="str">
            <v>-</v>
          </cell>
          <cell r="X1733" t="str">
            <v>CLP PG VG 220 = -20° + 80°</v>
          </cell>
          <cell r="Y1733" t="str">
            <v>KH107DRN132L4</v>
          </cell>
          <cell r="Z1733" t="str">
            <v>SEW</v>
          </cell>
          <cell r="AB1733" t="str">
            <v>-</v>
          </cell>
          <cell r="AF1733">
            <v>15</v>
          </cell>
          <cell r="AG1733" t="str">
            <v>DRN132L4</v>
          </cell>
          <cell r="AH1733" t="str">
            <v>KH107-DRN132L4B270-X</v>
          </cell>
        </row>
        <row r="1734">
          <cell r="A1734" t="str">
            <v>MR001730</v>
          </cell>
          <cell r="B1734" t="str">
            <v>MR</v>
          </cell>
          <cell r="C1734">
            <v>22</v>
          </cell>
          <cell r="D1734">
            <v>12</v>
          </cell>
          <cell r="E1734" t="str">
            <v>KH157</v>
          </cell>
          <cell r="F1734">
            <v>17400</v>
          </cell>
          <cell r="G1734">
            <v>122.39</v>
          </cell>
          <cell r="H1734">
            <v>1.1499999999999999</v>
          </cell>
          <cell r="I1734" t="str">
            <v>From M1A to M2A - 45°</v>
          </cell>
          <cell r="J1734" t="str">
            <v>IE3</v>
          </cell>
          <cell r="K1734" t="str">
            <v>400/690</v>
          </cell>
          <cell r="L1734">
            <v>50</v>
          </cell>
          <cell r="M1734" t="str">
            <v>38,5/22,5</v>
          </cell>
          <cell r="N1734">
            <v>65</v>
          </cell>
          <cell r="O1734" t="str">
            <v>F(105°C)</v>
          </cell>
          <cell r="P1734" t="str">
            <v>270°</v>
          </cell>
          <cell r="Q1734" t="str">
            <v>TF</v>
          </cell>
          <cell r="R1734" t="str">
            <v>V(VE)</v>
          </cell>
          <cell r="S1734" t="str">
            <v>-</v>
          </cell>
          <cell r="T1734" t="str">
            <v>-</v>
          </cell>
          <cell r="U1734" t="str">
            <v>-</v>
          </cell>
          <cell r="V1734" t="str">
            <v>FC</v>
          </cell>
          <cell r="W1734" t="str">
            <v>-</v>
          </cell>
          <cell r="X1734" t="str">
            <v>CLP PG VG 220 = -20° + 80°</v>
          </cell>
          <cell r="Y1734" t="str">
            <v>KH157DRN180L4 /TF/V</v>
          </cell>
          <cell r="Z1734" t="str">
            <v>SEW</v>
          </cell>
          <cell r="AB1734" t="str">
            <v>-</v>
          </cell>
          <cell r="AF1734">
            <v>12</v>
          </cell>
          <cell r="AG1734" t="str">
            <v>DRN180L4</v>
          </cell>
          <cell r="AH1734" t="str">
            <v>KH157-DRN180L4A270-X#</v>
          </cell>
        </row>
        <row r="1735">
          <cell r="A1735" t="str">
            <v>MR001731</v>
          </cell>
          <cell r="B1735" t="str">
            <v>MR</v>
          </cell>
          <cell r="C1735">
            <v>22</v>
          </cell>
          <cell r="D1735">
            <v>12</v>
          </cell>
          <cell r="E1735" t="str">
            <v>KH157</v>
          </cell>
          <cell r="F1735">
            <v>17400</v>
          </cell>
          <cell r="G1735">
            <v>122.39</v>
          </cell>
          <cell r="H1735">
            <v>1.1499999999999999</v>
          </cell>
          <cell r="I1735" t="str">
            <v>From M1B to M2B - 45°</v>
          </cell>
          <cell r="J1735" t="str">
            <v>IE3</v>
          </cell>
          <cell r="K1735" t="str">
            <v>400/690</v>
          </cell>
          <cell r="L1735">
            <v>50</v>
          </cell>
          <cell r="M1735" t="str">
            <v>38,5/22,5</v>
          </cell>
          <cell r="N1735">
            <v>65</v>
          </cell>
          <cell r="O1735" t="str">
            <v>F(105°C)</v>
          </cell>
          <cell r="P1735" t="str">
            <v>270°</v>
          </cell>
          <cell r="Q1735" t="str">
            <v>TF</v>
          </cell>
          <cell r="R1735" t="str">
            <v>V(VE)</v>
          </cell>
          <cell r="S1735" t="str">
            <v>-</v>
          </cell>
          <cell r="T1735" t="str">
            <v>-</v>
          </cell>
          <cell r="U1735" t="str">
            <v>-</v>
          </cell>
          <cell r="V1735" t="str">
            <v>FC</v>
          </cell>
          <cell r="W1735" t="str">
            <v>-</v>
          </cell>
          <cell r="X1735" t="str">
            <v>CLP PG VG 220 = -20° + 80°</v>
          </cell>
          <cell r="Y1735" t="str">
            <v>KH157DRN180L4 /TF/V</v>
          </cell>
          <cell r="Z1735" t="str">
            <v>SEW</v>
          </cell>
          <cell r="AB1735" t="str">
            <v>-</v>
          </cell>
          <cell r="AF1735">
            <v>12</v>
          </cell>
          <cell r="AG1735" t="str">
            <v>DRN180L4</v>
          </cell>
          <cell r="AH1735" t="str">
            <v>KH157-DRN180L4B270-X#</v>
          </cell>
        </row>
        <row r="1736">
          <cell r="A1736" t="str">
            <v>MR001732</v>
          </cell>
          <cell r="B1736" t="str">
            <v>MR</v>
          </cell>
          <cell r="C1736">
            <v>37</v>
          </cell>
          <cell r="D1736">
            <v>13</v>
          </cell>
          <cell r="E1736" t="str">
            <v>KH167</v>
          </cell>
          <cell r="F1736">
            <v>26200</v>
          </cell>
          <cell r="G1736">
            <v>109.83</v>
          </cell>
          <cell r="H1736">
            <v>1.35</v>
          </cell>
          <cell r="I1736" t="str">
            <v>From M1A to M4A - 55°</v>
          </cell>
          <cell r="J1736" t="str">
            <v>IE3</v>
          </cell>
          <cell r="K1736" t="str">
            <v>400/690</v>
          </cell>
          <cell r="L1736">
            <v>50</v>
          </cell>
          <cell r="M1736" t="str">
            <v>64/37</v>
          </cell>
          <cell r="N1736">
            <v>65</v>
          </cell>
          <cell r="O1736" t="str">
            <v>F(105°C)</v>
          </cell>
          <cell r="P1736" t="str">
            <v>270°</v>
          </cell>
          <cell r="Q1736" t="str">
            <v>TF</v>
          </cell>
          <cell r="R1736" t="str">
            <v>V(VE)</v>
          </cell>
          <cell r="S1736" t="str">
            <v>-</v>
          </cell>
          <cell r="T1736" t="str">
            <v>-</v>
          </cell>
          <cell r="U1736" t="str">
            <v>-</v>
          </cell>
          <cell r="V1736" t="str">
            <v>FC</v>
          </cell>
          <cell r="W1736" t="str">
            <v>-</v>
          </cell>
          <cell r="X1736" t="str">
            <v>CLP PG VG 220 = -20° + 80°</v>
          </cell>
          <cell r="Y1736" t="str">
            <v>KH167B DRN225S4/TF/V</v>
          </cell>
          <cell r="Z1736" t="str">
            <v>SEW</v>
          </cell>
          <cell r="AB1736" t="str">
            <v>-</v>
          </cell>
          <cell r="AF1736">
            <v>13</v>
          </cell>
          <cell r="AG1736" t="str">
            <v>DRN225S4</v>
          </cell>
          <cell r="AH1736" t="str">
            <v>KH167-DRN225S4A270-X#</v>
          </cell>
        </row>
        <row r="1737">
          <cell r="A1737" t="str">
            <v>MR001733</v>
          </cell>
          <cell r="B1737" t="str">
            <v>MR</v>
          </cell>
          <cell r="C1737">
            <v>37</v>
          </cell>
          <cell r="D1737">
            <v>13</v>
          </cell>
          <cell r="E1737" t="str">
            <v>KH167</v>
          </cell>
          <cell r="F1737">
            <v>26200</v>
          </cell>
          <cell r="G1737">
            <v>109.83</v>
          </cell>
          <cell r="H1737">
            <v>1.35</v>
          </cell>
          <cell r="I1737" t="str">
            <v>From M1B to M4B - 55°</v>
          </cell>
          <cell r="J1737" t="str">
            <v>IE3</v>
          </cell>
          <cell r="K1737" t="str">
            <v>400/690</v>
          </cell>
          <cell r="L1737">
            <v>50</v>
          </cell>
          <cell r="M1737" t="str">
            <v>64/37</v>
          </cell>
          <cell r="N1737">
            <v>65</v>
          </cell>
          <cell r="O1737" t="str">
            <v>F(105°C)</v>
          </cell>
          <cell r="P1737" t="str">
            <v>270°</v>
          </cell>
          <cell r="Q1737" t="str">
            <v>TF</v>
          </cell>
          <cell r="R1737" t="str">
            <v>V(VE)</v>
          </cell>
          <cell r="S1737" t="str">
            <v>-</v>
          </cell>
          <cell r="T1737" t="str">
            <v>-</v>
          </cell>
          <cell r="U1737" t="str">
            <v>-</v>
          </cell>
          <cell r="V1737" t="str">
            <v>FC</v>
          </cell>
          <cell r="W1737" t="str">
            <v>-</v>
          </cell>
          <cell r="X1737" t="str">
            <v>CLP PG VG 220 = -20° + 80°</v>
          </cell>
          <cell r="Y1737" t="str">
            <v>KH167B DRN225S4/TF/V</v>
          </cell>
          <cell r="Z1737" t="str">
            <v>SEW</v>
          </cell>
          <cell r="AB1737" t="str">
            <v>-</v>
          </cell>
          <cell r="AF1737">
            <v>13</v>
          </cell>
          <cell r="AG1737" t="str">
            <v>DRN225S4</v>
          </cell>
          <cell r="AH1737" t="str">
            <v>KH167-DRN225S4B270-X#</v>
          </cell>
        </row>
        <row r="1738">
          <cell r="A1738" t="str">
            <v>MR001734</v>
          </cell>
          <cell r="B1738" t="str">
            <v>MR</v>
          </cell>
          <cell r="C1738">
            <v>0.75</v>
          </cell>
          <cell r="D1738">
            <v>18</v>
          </cell>
          <cell r="E1738" t="str">
            <v>FA67</v>
          </cell>
          <cell r="F1738">
            <v>395</v>
          </cell>
          <cell r="G1738">
            <v>79.760000000000005</v>
          </cell>
          <cell r="H1738">
            <v>2.1</v>
          </cell>
          <cell r="I1738" t="str">
            <v>M5</v>
          </cell>
          <cell r="J1738" t="str">
            <v>IE3</v>
          </cell>
          <cell r="K1738" t="str">
            <v>230/400</v>
          </cell>
          <cell r="L1738">
            <v>50</v>
          </cell>
          <cell r="M1738" t="str">
            <v>3,05/1,75</v>
          </cell>
          <cell r="N1738">
            <v>65</v>
          </cell>
          <cell r="O1738" t="str">
            <v>F(105°C)</v>
          </cell>
          <cell r="P1738" t="str">
            <v>270°</v>
          </cell>
          <cell r="Q1738" t="str">
            <v>-</v>
          </cell>
          <cell r="R1738" t="str">
            <v>-</v>
          </cell>
          <cell r="S1738" t="str">
            <v>-</v>
          </cell>
          <cell r="T1738" t="str">
            <v>BEHF</v>
          </cell>
          <cell r="U1738" t="str">
            <v>G</v>
          </cell>
          <cell r="V1738" t="str">
            <v>D+R</v>
          </cell>
          <cell r="W1738" t="str">
            <v>-</v>
          </cell>
          <cell r="X1738" t="str">
            <v>CLP PG VG 220 = -20° + 80°</v>
          </cell>
          <cell r="Y1738" t="str">
            <v>FA67/G DRN80M4 /BEHF</v>
          </cell>
          <cell r="Z1738" t="str">
            <v>SEW</v>
          </cell>
          <cell r="AB1738" t="str">
            <v>-</v>
          </cell>
          <cell r="AF1738">
            <v>18</v>
          </cell>
          <cell r="AG1738" t="str">
            <v>DRN80M4</v>
          </cell>
          <cell r="AH1738" t="str">
            <v>FA67G-DRN80M4270-X</v>
          </cell>
        </row>
        <row r="1739">
          <cell r="A1739" t="str">
            <v>MR001735</v>
          </cell>
          <cell r="B1739" t="str">
            <v>MR</v>
          </cell>
          <cell r="C1739">
            <v>37</v>
          </cell>
          <cell r="D1739">
            <v>37</v>
          </cell>
          <cell r="E1739" t="str">
            <v>KH127</v>
          </cell>
          <cell r="F1739">
            <v>9580</v>
          </cell>
          <cell r="G1739">
            <v>40.19</v>
          </cell>
          <cell r="H1739">
            <v>1.35</v>
          </cell>
          <cell r="I1739" t="str">
            <v>M4B</v>
          </cell>
          <cell r="J1739" t="str">
            <v>IE3</v>
          </cell>
          <cell r="K1739" t="str">
            <v>400/690</v>
          </cell>
          <cell r="L1739">
            <v>50</v>
          </cell>
          <cell r="M1739" t="str">
            <v>64/37</v>
          </cell>
          <cell r="N1739">
            <v>65</v>
          </cell>
          <cell r="O1739" t="str">
            <v>F(105°C)</v>
          </cell>
          <cell r="P1739" t="str">
            <v>270°</v>
          </cell>
          <cell r="Q1739" t="str">
            <v>-</v>
          </cell>
          <cell r="R1739" t="str">
            <v>-</v>
          </cell>
          <cell r="S1739" t="str">
            <v>Free rotation CW</v>
          </cell>
          <cell r="T1739" t="str">
            <v>-</v>
          </cell>
          <cell r="U1739" t="str">
            <v>T</v>
          </cell>
          <cell r="V1739" t="str">
            <v>SS</v>
          </cell>
          <cell r="W1739" t="str">
            <v>-</v>
          </cell>
          <cell r="X1739" t="str">
            <v>CLP PG VG 220 = -20° + 80°</v>
          </cell>
          <cell r="Y1739" t="str">
            <v>KH127/T DRN225S4 /RS</v>
          </cell>
          <cell r="Z1739" t="str">
            <v>SEW</v>
          </cell>
          <cell r="AB1739" t="str">
            <v>-</v>
          </cell>
          <cell r="AF1739">
            <v>37</v>
          </cell>
          <cell r="AG1739" t="str">
            <v>DRN225S4</v>
          </cell>
          <cell r="AH1739" t="str">
            <v>KH127T-DRN225S4B270-X</v>
          </cell>
        </row>
        <row r="1740">
          <cell r="A1740" t="str">
            <v>MR001736</v>
          </cell>
          <cell r="B1740" t="str">
            <v>MR</v>
          </cell>
          <cell r="C1740">
            <v>7.5</v>
          </cell>
          <cell r="D1740">
            <v>52</v>
          </cell>
          <cell r="E1740" t="str">
            <v>KH97</v>
          </cell>
          <cell r="F1740">
            <v>1360</v>
          </cell>
          <cell r="G1740">
            <v>27.91</v>
          </cell>
          <cell r="H1740">
            <v>3.2</v>
          </cell>
          <cell r="I1740" t="str">
            <v>M4B</v>
          </cell>
          <cell r="J1740" t="str">
            <v>IE3</v>
          </cell>
          <cell r="K1740" t="str">
            <v>400/690</v>
          </cell>
          <cell r="L1740">
            <v>50</v>
          </cell>
          <cell r="M1740" t="str">
            <v>15,2/8,8</v>
          </cell>
          <cell r="N1740">
            <v>65</v>
          </cell>
          <cell r="O1740" t="str">
            <v>F(105°C)</v>
          </cell>
          <cell r="P1740" t="str">
            <v>270°</v>
          </cell>
          <cell r="Q1740" t="str">
            <v>-</v>
          </cell>
          <cell r="R1740" t="str">
            <v>-</v>
          </cell>
          <cell r="S1740" t="str">
            <v>Free rotation CW</v>
          </cell>
          <cell r="T1740" t="str">
            <v>-</v>
          </cell>
          <cell r="U1740" t="str">
            <v>T</v>
          </cell>
          <cell r="V1740" t="str">
            <v>SS</v>
          </cell>
          <cell r="W1740" t="str">
            <v>-</v>
          </cell>
          <cell r="X1740" t="str">
            <v>CLP PG VG 220 = -20° + 80°</v>
          </cell>
          <cell r="Y1740" t="str">
            <v>KH97/T DRN132M4 /RS</v>
          </cell>
          <cell r="Z1740" t="str">
            <v>SEW</v>
          </cell>
          <cell r="AB1740" t="str">
            <v>-</v>
          </cell>
          <cell r="AF1740">
            <v>52</v>
          </cell>
          <cell r="AG1740" t="str">
            <v>DRN132M4</v>
          </cell>
          <cell r="AH1740" t="str">
            <v>KH97T-DRN132M4B270-X</v>
          </cell>
        </row>
        <row r="1741">
          <cell r="A1741" t="str">
            <v>MR001737</v>
          </cell>
          <cell r="B1741" t="str">
            <v>MR</v>
          </cell>
          <cell r="C1741">
            <v>7.5</v>
          </cell>
          <cell r="D1741">
            <v>40</v>
          </cell>
          <cell r="E1741" t="str">
            <v>R97</v>
          </cell>
          <cell r="F1741">
            <v>1490</v>
          </cell>
          <cell r="G1741">
            <v>37.130000000000003</v>
          </cell>
          <cell r="H1741">
            <v>2</v>
          </cell>
          <cell r="I1741" t="str">
            <v>M1</v>
          </cell>
          <cell r="J1741" t="str">
            <v>IE3</v>
          </cell>
          <cell r="K1741">
            <v>440</v>
          </cell>
          <cell r="L1741">
            <v>60</v>
          </cell>
          <cell r="M1741">
            <v>29</v>
          </cell>
          <cell r="N1741">
            <v>65</v>
          </cell>
          <cell r="O1741" t="str">
            <v>F(105°C)</v>
          </cell>
          <cell r="P1741" t="str">
            <v>270°</v>
          </cell>
          <cell r="Q1741" t="str">
            <v>TF</v>
          </cell>
          <cell r="R1741" t="str">
            <v>V(VE)</v>
          </cell>
          <cell r="S1741" t="str">
            <v>-</v>
          </cell>
          <cell r="T1741" t="str">
            <v>-</v>
          </cell>
          <cell r="U1741" t="str">
            <v>-</v>
          </cell>
          <cell r="V1741" t="str">
            <v>FC</v>
          </cell>
          <cell r="W1741" t="str">
            <v>-</v>
          </cell>
          <cell r="X1741" t="str">
            <v>CLP VG 220 = -15° + 40°</v>
          </cell>
          <cell r="Y1741" t="str">
            <v>R97DRN132M4 /TF/V</v>
          </cell>
          <cell r="Z1741" t="str">
            <v>SEW</v>
          </cell>
          <cell r="AB1741" t="str">
            <v>-</v>
          </cell>
          <cell r="AE1741" t="str">
            <v>Japanese plant. Work frequency 50Hz for 40rpm</v>
          </cell>
          <cell r="AF1741">
            <v>48</v>
          </cell>
          <cell r="AG1741" t="str">
            <v>DRN132M4</v>
          </cell>
          <cell r="AH1741" t="str">
            <v>R97-DRN132M4270-X#</v>
          </cell>
        </row>
        <row r="1742">
          <cell r="A1742" t="str">
            <v>MR001738</v>
          </cell>
          <cell r="B1742" t="str">
            <v>MR</v>
          </cell>
          <cell r="C1742">
            <v>18.5</v>
          </cell>
          <cell r="D1742">
            <v>33</v>
          </cell>
          <cell r="E1742" t="str">
            <v>R137</v>
          </cell>
          <cell r="F1742">
            <v>4400</v>
          </cell>
          <cell r="G1742">
            <v>44.39</v>
          </cell>
          <cell r="H1742">
            <v>1.8</v>
          </cell>
          <cell r="I1742" t="str">
            <v>M1</v>
          </cell>
          <cell r="J1742" t="str">
            <v>IE3</v>
          </cell>
          <cell r="K1742">
            <v>440</v>
          </cell>
          <cell r="L1742">
            <v>60</v>
          </cell>
          <cell r="M1742">
            <v>64</v>
          </cell>
          <cell r="N1742">
            <v>65</v>
          </cell>
          <cell r="O1742" t="str">
            <v>F(105°C)</v>
          </cell>
          <cell r="P1742" t="str">
            <v>270°</v>
          </cell>
          <cell r="Q1742" t="str">
            <v>-</v>
          </cell>
          <cell r="R1742" t="str">
            <v>-</v>
          </cell>
          <cell r="S1742" t="str">
            <v>-</v>
          </cell>
          <cell r="T1742" t="str">
            <v>-</v>
          </cell>
          <cell r="U1742" t="str">
            <v>-</v>
          </cell>
          <cell r="V1742" t="str">
            <v>SS</v>
          </cell>
          <cell r="W1742" t="str">
            <v>-</v>
          </cell>
          <cell r="X1742" t="str">
            <v>CLP VG 220 = -15° + 40°</v>
          </cell>
          <cell r="Y1742" t="str">
            <v>R137DRN180M4</v>
          </cell>
          <cell r="Z1742" t="str">
            <v>SEW</v>
          </cell>
          <cell r="AB1742" t="str">
            <v>-</v>
          </cell>
          <cell r="AE1742" t="str">
            <v>Japanese plant</v>
          </cell>
          <cell r="AF1742">
            <v>39.6</v>
          </cell>
          <cell r="AG1742" t="str">
            <v>DRN180M4</v>
          </cell>
          <cell r="AH1742" t="str">
            <v>R137-DRN180M4270-X</v>
          </cell>
        </row>
        <row r="1743">
          <cell r="A1743" t="str">
            <v>MR001739</v>
          </cell>
          <cell r="B1743" t="str">
            <v>MR</v>
          </cell>
          <cell r="C1743">
            <v>30</v>
          </cell>
          <cell r="D1743">
            <v>32</v>
          </cell>
          <cell r="E1743" t="str">
            <v>R147</v>
          </cell>
          <cell r="F1743">
            <v>7490</v>
          </cell>
          <cell r="G1743">
            <v>46.65</v>
          </cell>
          <cell r="H1743">
            <v>1.75</v>
          </cell>
          <cell r="I1743" t="str">
            <v>From M1 to M5 - 45°</v>
          </cell>
          <cell r="J1743" t="str">
            <v>IE3</v>
          </cell>
          <cell r="K1743">
            <v>440</v>
          </cell>
          <cell r="L1743">
            <v>60</v>
          </cell>
          <cell r="M1743">
            <v>107</v>
          </cell>
          <cell r="N1743">
            <v>65</v>
          </cell>
          <cell r="O1743" t="str">
            <v>F(105°C)</v>
          </cell>
          <cell r="P1743" t="str">
            <v>270°</v>
          </cell>
          <cell r="Q1743" t="str">
            <v>-</v>
          </cell>
          <cell r="R1743" t="str">
            <v>-</v>
          </cell>
          <cell r="S1743" t="str">
            <v>-</v>
          </cell>
          <cell r="T1743" t="str">
            <v>-</v>
          </cell>
          <cell r="U1743" t="str">
            <v>-</v>
          </cell>
          <cell r="V1743" t="str">
            <v>SS</v>
          </cell>
          <cell r="W1743" t="str">
            <v>-</v>
          </cell>
          <cell r="X1743" t="str">
            <v>CLP VG 220 = -15° + 40°</v>
          </cell>
          <cell r="Y1743" t="str">
            <v>R147DRN200L4</v>
          </cell>
          <cell r="Z1743" t="str">
            <v>SEW</v>
          </cell>
          <cell r="AB1743" t="str">
            <v>-</v>
          </cell>
          <cell r="AE1743" t="str">
            <v>Japanese plant</v>
          </cell>
          <cell r="AF1743">
            <v>38.4</v>
          </cell>
          <cell r="AG1743" t="str">
            <v>DRN200L4</v>
          </cell>
          <cell r="AH1743" t="str">
            <v>R147-DRN200L4270-X</v>
          </cell>
        </row>
        <row r="1744">
          <cell r="A1744" t="str">
            <v>MR001740</v>
          </cell>
          <cell r="B1744" t="str">
            <v>MR</v>
          </cell>
          <cell r="C1744">
            <v>15</v>
          </cell>
          <cell r="D1744">
            <v>31</v>
          </cell>
          <cell r="E1744" t="str">
            <v>R107</v>
          </cell>
          <cell r="F1744">
            <v>3830</v>
          </cell>
          <cell r="G1744">
            <v>47.63</v>
          </cell>
          <cell r="H1744">
            <v>1.1000000000000001</v>
          </cell>
          <cell r="I1744" t="str">
            <v>M1</v>
          </cell>
          <cell r="J1744" t="str">
            <v>IE3</v>
          </cell>
          <cell r="K1744">
            <v>440</v>
          </cell>
          <cell r="L1744">
            <v>60</v>
          </cell>
          <cell r="M1744">
            <v>55</v>
          </cell>
          <cell r="N1744">
            <v>65</v>
          </cell>
          <cell r="O1744" t="str">
            <v>F(105°C)</v>
          </cell>
          <cell r="P1744" t="str">
            <v>270°</v>
          </cell>
          <cell r="Q1744" t="str">
            <v>-</v>
          </cell>
          <cell r="R1744" t="str">
            <v>-</v>
          </cell>
          <cell r="S1744" t="str">
            <v>-</v>
          </cell>
          <cell r="T1744" t="str">
            <v>-</v>
          </cell>
          <cell r="U1744" t="str">
            <v>-</v>
          </cell>
          <cell r="V1744" t="str">
            <v>SS</v>
          </cell>
          <cell r="W1744" t="str">
            <v>-</v>
          </cell>
          <cell r="X1744" t="str">
            <v>CLP VG 220 = -15° + 40°</v>
          </cell>
          <cell r="Y1744" t="str">
            <v>R107DRN160L4</v>
          </cell>
          <cell r="Z1744" t="str">
            <v>SEW</v>
          </cell>
          <cell r="AB1744" t="str">
            <v>-</v>
          </cell>
          <cell r="AE1744" t="str">
            <v>Japanese plant</v>
          </cell>
          <cell r="AF1744">
            <v>37.200000000000003</v>
          </cell>
          <cell r="AG1744" t="str">
            <v>DRN160L4</v>
          </cell>
          <cell r="AH1744" t="str">
            <v>R107-DRN160L4270-X</v>
          </cell>
        </row>
        <row r="1745">
          <cell r="A1745" t="str">
            <v>MR001741</v>
          </cell>
          <cell r="B1745" t="str">
            <v>MR</v>
          </cell>
          <cell r="C1745">
            <v>22</v>
          </cell>
          <cell r="D1745">
            <v>33</v>
          </cell>
          <cell r="E1745" t="str">
            <v>R137</v>
          </cell>
          <cell r="F1745">
            <v>5230</v>
          </cell>
          <cell r="G1745">
            <v>44.39</v>
          </cell>
          <cell r="H1745">
            <v>1.55</v>
          </cell>
          <cell r="I1745" t="str">
            <v>From M1 to M5 - 20°</v>
          </cell>
          <cell r="J1745" t="str">
            <v>IE3</v>
          </cell>
          <cell r="K1745">
            <v>440</v>
          </cell>
          <cell r="L1745">
            <v>60</v>
          </cell>
          <cell r="M1745">
            <v>77</v>
          </cell>
          <cell r="N1745">
            <v>65</v>
          </cell>
          <cell r="O1745" t="str">
            <v>F(105°C)</v>
          </cell>
          <cell r="P1745" t="str">
            <v>270°</v>
          </cell>
          <cell r="Q1745" t="str">
            <v>-</v>
          </cell>
          <cell r="R1745" t="str">
            <v>-</v>
          </cell>
          <cell r="S1745" t="str">
            <v>-</v>
          </cell>
          <cell r="T1745" t="str">
            <v>-</v>
          </cell>
          <cell r="U1745" t="str">
            <v>-</v>
          </cell>
          <cell r="V1745" t="str">
            <v>SS</v>
          </cell>
          <cell r="W1745" t="str">
            <v>-</v>
          </cell>
          <cell r="X1745" t="str">
            <v>CLP VG 220 = -15° + 40°</v>
          </cell>
          <cell r="Y1745" t="str">
            <v>R137DRN180L4</v>
          </cell>
          <cell r="Z1745" t="str">
            <v>SEW</v>
          </cell>
          <cell r="AB1745" t="str">
            <v>-</v>
          </cell>
          <cell r="AE1745" t="str">
            <v>Japanese plant</v>
          </cell>
          <cell r="AF1745">
            <v>39.6</v>
          </cell>
          <cell r="AG1745" t="str">
            <v>DRN180L4</v>
          </cell>
          <cell r="AH1745" t="str">
            <v>R137-DRN180L4270-X</v>
          </cell>
        </row>
        <row r="1746">
          <cell r="A1746" t="str">
            <v>MR001742</v>
          </cell>
          <cell r="B1746" t="str">
            <v>MR</v>
          </cell>
          <cell r="C1746">
            <v>0.55000000000000004</v>
          </cell>
          <cell r="D1746">
            <v>3.9</v>
          </cell>
          <cell r="E1746" t="str">
            <v>KA77R37</v>
          </cell>
          <cell r="F1746">
            <v>1210</v>
          </cell>
          <cell r="G1746">
            <v>367</v>
          </cell>
          <cell r="H1746">
            <v>1.25</v>
          </cell>
          <cell r="I1746" t="str">
            <v>M3B</v>
          </cell>
          <cell r="J1746" t="str">
            <v>IE3</v>
          </cell>
          <cell r="K1746" t="str">
            <v>230/400</v>
          </cell>
          <cell r="L1746">
            <v>50</v>
          </cell>
          <cell r="M1746" t="str">
            <v>2,25/1,29</v>
          </cell>
          <cell r="N1746">
            <v>65</v>
          </cell>
          <cell r="O1746" t="str">
            <v>F(105°C)</v>
          </cell>
          <cell r="P1746" t="str">
            <v>0°</v>
          </cell>
          <cell r="Q1746" t="str">
            <v>-</v>
          </cell>
          <cell r="R1746" t="str">
            <v>-</v>
          </cell>
          <cell r="S1746" t="str">
            <v>-</v>
          </cell>
          <cell r="T1746" t="str">
            <v>BEHF</v>
          </cell>
          <cell r="U1746" t="str">
            <v>T</v>
          </cell>
          <cell r="V1746" t="str">
            <v>D+R</v>
          </cell>
          <cell r="W1746" t="str">
            <v>-</v>
          </cell>
          <cell r="X1746" t="str">
            <v>CLP PG VG 220 = -20° + 80°</v>
          </cell>
          <cell r="Y1746" t="str">
            <v>KA77R37/T DRN80MK4 /BEHF</v>
          </cell>
          <cell r="Z1746" t="str">
            <v>SEW</v>
          </cell>
          <cell r="AB1746" t="str">
            <v>-</v>
          </cell>
          <cell r="AF1746">
            <v>3.9</v>
          </cell>
          <cell r="AG1746" t="str">
            <v>DRN80MK4</v>
          </cell>
          <cell r="AH1746" t="str">
            <v>KA77R37T-DRN80MK4B0-X</v>
          </cell>
        </row>
        <row r="1747">
          <cell r="A1747" t="str">
            <v>MR001743</v>
          </cell>
          <cell r="B1747" t="str">
            <v>MR</v>
          </cell>
          <cell r="C1747">
            <v>1.5</v>
          </cell>
          <cell r="D1747">
            <v>3.8</v>
          </cell>
          <cell r="E1747" t="str">
            <v>KA97R57</v>
          </cell>
          <cell r="F1747">
            <v>3440</v>
          </cell>
          <cell r="G1747">
            <v>382</v>
          </cell>
          <cell r="H1747">
            <v>1.25</v>
          </cell>
          <cell r="I1747" t="str">
            <v>M3B</v>
          </cell>
          <cell r="J1747" t="str">
            <v>IE3</v>
          </cell>
          <cell r="K1747" t="str">
            <v>230/400</v>
          </cell>
          <cell r="L1747">
            <v>50</v>
          </cell>
          <cell r="M1747" t="str">
            <v>5,9/3,4</v>
          </cell>
          <cell r="N1747">
            <v>65</v>
          </cell>
          <cell r="O1747" t="str">
            <v>F(105°C)</v>
          </cell>
          <cell r="P1747" t="str">
            <v>0°</v>
          </cell>
          <cell r="Q1747" t="str">
            <v>-</v>
          </cell>
          <cell r="R1747" t="str">
            <v>-</v>
          </cell>
          <cell r="S1747" t="str">
            <v>-</v>
          </cell>
          <cell r="T1747" t="str">
            <v>BEHF</v>
          </cell>
          <cell r="U1747" t="str">
            <v>T</v>
          </cell>
          <cell r="V1747" t="str">
            <v>D+R</v>
          </cell>
          <cell r="W1747" t="str">
            <v>-</v>
          </cell>
          <cell r="X1747" t="str">
            <v>CLP PG VG 220 = -20° + 80°</v>
          </cell>
          <cell r="Y1747" t="str">
            <v>KA97R57/T DRN90L4 /BEHF</v>
          </cell>
          <cell r="Z1747" t="str">
            <v>SEW</v>
          </cell>
          <cell r="AB1747" t="str">
            <v>-</v>
          </cell>
          <cell r="AF1747">
            <v>3.8</v>
          </cell>
          <cell r="AG1747" t="str">
            <v>DRN90L4</v>
          </cell>
          <cell r="AH1747" t="str">
            <v>KA97R57T-DRN90L4B0-X</v>
          </cell>
        </row>
        <row r="1748">
          <cell r="A1748" t="str">
            <v>MR001744</v>
          </cell>
          <cell r="B1748" t="str">
            <v>MR</v>
          </cell>
          <cell r="C1748">
            <v>30</v>
          </cell>
          <cell r="D1748">
            <v>19</v>
          </cell>
          <cell r="E1748" t="str">
            <v>FH157</v>
          </cell>
          <cell r="F1748">
            <v>15100</v>
          </cell>
          <cell r="G1748">
            <v>78.459999999999994</v>
          </cell>
          <cell r="H1748">
            <v>1.2</v>
          </cell>
          <cell r="I1748" t="str">
            <v>From M1 to M2 - 15°</v>
          </cell>
          <cell r="J1748" t="str">
            <v>IE3</v>
          </cell>
          <cell r="K1748" t="str">
            <v>400/690</v>
          </cell>
          <cell r="L1748">
            <v>50</v>
          </cell>
          <cell r="M1748" t="str">
            <v>56/32,5</v>
          </cell>
          <cell r="N1748">
            <v>65</v>
          </cell>
          <cell r="O1748" t="str">
            <v>F(105°C)</v>
          </cell>
          <cell r="P1748" t="str">
            <v>270°</v>
          </cell>
          <cell r="Q1748" t="str">
            <v>TF</v>
          </cell>
          <cell r="R1748" t="str">
            <v>V(VE)</v>
          </cell>
          <cell r="S1748" t="str">
            <v>-</v>
          </cell>
          <cell r="T1748" t="str">
            <v>-</v>
          </cell>
          <cell r="U1748" t="str">
            <v>G</v>
          </cell>
          <cell r="V1748" t="str">
            <v>FC</v>
          </cell>
          <cell r="W1748" t="str">
            <v>-</v>
          </cell>
          <cell r="X1748" t="str">
            <v>CLP PG VG 220 = -20° + 80°</v>
          </cell>
          <cell r="Y1748" t="str">
            <v>FH157/G EDRN200L4 /TF/VE</v>
          </cell>
          <cell r="Z1748" t="str">
            <v>SEW</v>
          </cell>
          <cell r="AB1748" t="str">
            <v>ATEX22</v>
          </cell>
          <cell r="AF1748">
            <v>19</v>
          </cell>
          <cell r="AG1748" t="str">
            <v>EDRN200L4</v>
          </cell>
          <cell r="AH1748" t="str">
            <v>FH157G-EDRN200L4270-X#</v>
          </cell>
        </row>
        <row r="1749">
          <cell r="A1749" t="str">
            <v>MR001745</v>
          </cell>
          <cell r="B1749" t="str">
            <v>MR</v>
          </cell>
          <cell r="C1749">
            <v>30</v>
          </cell>
          <cell r="D1749">
            <v>19</v>
          </cell>
          <cell r="E1749" t="str">
            <v>FH157</v>
          </cell>
          <cell r="F1749">
            <v>15100</v>
          </cell>
          <cell r="G1749">
            <v>78.459999999999994</v>
          </cell>
          <cell r="H1749">
            <v>1.2</v>
          </cell>
          <cell r="I1749" t="str">
            <v>From M3 to M4 - 15°</v>
          </cell>
          <cell r="J1749" t="str">
            <v>IE3</v>
          </cell>
          <cell r="K1749" t="str">
            <v>400/690</v>
          </cell>
          <cell r="L1749">
            <v>50</v>
          </cell>
          <cell r="M1749" t="str">
            <v>56/32,5</v>
          </cell>
          <cell r="N1749">
            <v>65</v>
          </cell>
          <cell r="O1749" t="str">
            <v>F(105°C)</v>
          </cell>
          <cell r="P1749" t="str">
            <v>270°</v>
          </cell>
          <cell r="Q1749" t="str">
            <v>TF</v>
          </cell>
          <cell r="R1749" t="str">
            <v>V(VE)</v>
          </cell>
          <cell r="S1749" t="str">
            <v>-</v>
          </cell>
          <cell r="T1749" t="str">
            <v>-</v>
          </cell>
          <cell r="U1749" t="str">
            <v>G</v>
          </cell>
          <cell r="V1749" t="str">
            <v>FC</v>
          </cell>
          <cell r="W1749" t="str">
            <v>-</v>
          </cell>
          <cell r="X1749" t="str">
            <v>CLP PG VG 220 = -20° + 80°</v>
          </cell>
          <cell r="Y1749" t="str">
            <v>FH157/G EDRN200L4 /TF/VE</v>
          </cell>
          <cell r="Z1749" t="str">
            <v>SEW</v>
          </cell>
          <cell r="AB1749" t="str">
            <v>ATEX22</v>
          </cell>
          <cell r="AF1749">
            <v>19</v>
          </cell>
          <cell r="AG1749" t="str">
            <v>EDRN200L4</v>
          </cell>
          <cell r="AH1749" t="str">
            <v>FH157G-EDRN200L4270-X#</v>
          </cell>
        </row>
        <row r="1750">
          <cell r="A1750" t="str">
            <v>MR001746</v>
          </cell>
          <cell r="B1750" t="str">
            <v>MR</v>
          </cell>
          <cell r="C1750">
            <v>18.5</v>
          </cell>
          <cell r="D1750">
            <v>44</v>
          </cell>
          <cell r="E1750" t="str">
            <v>FH107</v>
          </cell>
          <cell r="F1750">
            <v>4030</v>
          </cell>
          <cell r="G1750">
            <v>33.79</v>
          </cell>
          <cell r="H1750">
            <v>1.8</v>
          </cell>
          <cell r="I1750" t="str">
            <v>M1</v>
          </cell>
          <cell r="J1750" t="str">
            <v>IE3</v>
          </cell>
          <cell r="K1750" t="str">
            <v>400/690</v>
          </cell>
          <cell r="L1750">
            <v>50</v>
          </cell>
          <cell r="M1750" t="str">
            <v>33,5/19,3</v>
          </cell>
          <cell r="N1750">
            <v>65</v>
          </cell>
          <cell r="O1750" t="str">
            <v>F(105°C)</v>
          </cell>
          <cell r="P1750" t="str">
            <v>270°</v>
          </cell>
          <cell r="Q1750" t="str">
            <v>-</v>
          </cell>
          <cell r="R1750" t="str">
            <v>-</v>
          </cell>
          <cell r="S1750" t="str">
            <v>-</v>
          </cell>
          <cell r="T1750" t="str">
            <v>-</v>
          </cell>
          <cell r="U1750" t="str">
            <v>G</v>
          </cell>
          <cell r="V1750" t="str">
            <v>D+R</v>
          </cell>
          <cell r="W1750" t="str">
            <v>-</v>
          </cell>
          <cell r="X1750" t="str">
            <v>CLP PG VG 220 = -20° + 80°</v>
          </cell>
          <cell r="Y1750" t="str">
            <v>FH107/G EDRN180M4</v>
          </cell>
          <cell r="Z1750" t="str">
            <v>SEW</v>
          </cell>
          <cell r="AB1750" t="str">
            <v>ATEX22</v>
          </cell>
          <cell r="AF1750">
            <v>44</v>
          </cell>
          <cell r="AG1750" t="str">
            <v>EDRN180M4</v>
          </cell>
          <cell r="AH1750" t="str">
            <v>FH107G-EDRN180M4270-X</v>
          </cell>
        </row>
        <row r="1751">
          <cell r="A1751" t="str">
            <v>MR001747</v>
          </cell>
          <cell r="B1751" t="str">
            <v>MR</v>
          </cell>
          <cell r="C1751">
            <v>5.5</v>
          </cell>
          <cell r="D1751">
            <v>14</v>
          </cell>
          <cell r="E1751" t="str">
            <v>KH97</v>
          </cell>
          <cell r="F1751">
            <v>3770</v>
          </cell>
          <cell r="G1751">
            <v>105.13</v>
          </cell>
          <cell r="H1751">
            <v>1.1000000000000001</v>
          </cell>
          <cell r="I1751" t="str">
            <v>From M1A to M2A - 25°</v>
          </cell>
          <cell r="J1751" t="str">
            <v>IE3</v>
          </cell>
          <cell r="K1751" t="str">
            <v>230/400</v>
          </cell>
          <cell r="L1751">
            <v>50</v>
          </cell>
          <cell r="M1751" t="str">
            <v>18,2/10,5</v>
          </cell>
          <cell r="N1751">
            <v>65</v>
          </cell>
          <cell r="O1751" t="str">
            <v>F(105°C)</v>
          </cell>
          <cell r="P1751" t="str">
            <v>270°</v>
          </cell>
          <cell r="Q1751" t="str">
            <v>-</v>
          </cell>
          <cell r="R1751" t="str">
            <v>-</v>
          </cell>
          <cell r="S1751" t="str">
            <v>-</v>
          </cell>
          <cell r="T1751" t="str">
            <v>-</v>
          </cell>
          <cell r="U1751" t="str">
            <v>-</v>
          </cell>
          <cell r="V1751" t="str">
            <v>SS</v>
          </cell>
          <cell r="W1751" t="str">
            <v>-</v>
          </cell>
          <cell r="X1751" t="str">
            <v>CLP PG VG 220 = -20° + 80°</v>
          </cell>
          <cell r="Y1751" t="str">
            <v>KH97EDRN132S4</v>
          </cell>
          <cell r="Z1751" t="str">
            <v>SEW</v>
          </cell>
          <cell r="AB1751" t="str">
            <v>ATEX22</v>
          </cell>
          <cell r="AF1751">
            <v>14</v>
          </cell>
          <cell r="AG1751" t="str">
            <v>EDRN132S4</v>
          </cell>
          <cell r="AH1751" t="str">
            <v>KH97-EDRN132S4A270-X</v>
          </cell>
        </row>
        <row r="1752">
          <cell r="A1752" t="str">
            <v>MR001748</v>
          </cell>
          <cell r="B1752" t="str">
            <v>MR</v>
          </cell>
          <cell r="C1752">
            <v>11</v>
          </cell>
          <cell r="D1752">
            <v>40</v>
          </cell>
          <cell r="E1752" t="str">
            <v>R97</v>
          </cell>
          <cell r="F1752">
            <v>2640</v>
          </cell>
          <cell r="G1752">
            <v>37.130000000000003</v>
          </cell>
          <cell r="H1752">
            <v>1.1499999999999999</v>
          </cell>
          <cell r="I1752" t="str">
            <v>From M1 to M2 - 15°</v>
          </cell>
          <cell r="J1752" t="str">
            <v>IE3</v>
          </cell>
          <cell r="K1752" t="str">
            <v>400/690</v>
          </cell>
          <cell r="L1752">
            <v>50</v>
          </cell>
          <cell r="M1752" t="str">
            <v>21/12,2</v>
          </cell>
          <cell r="N1752">
            <v>55</v>
          </cell>
          <cell r="O1752" t="str">
            <v>F(105°C)</v>
          </cell>
          <cell r="P1752" t="str">
            <v>270°</v>
          </cell>
          <cell r="Q1752" t="str">
            <v>TF</v>
          </cell>
          <cell r="R1752" t="str">
            <v>V(VE)</v>
          </cell>
          <cell r="S1752" t="str">
            <v>-</v>
          </cell>
          <cell r="T1752" t="str">
            <v>-</v>
          </cell>
          <cell r="U1752" t="str">
            <v>-</v>
          </cell>
          <cell r="V1752" t="str">
            <v>FC</v>
          </cell>
          <cell r="W1752" t="str">
            <v>-</v>
          </cell>
          <cell r="X1752" t="str">
            <v>CLP HC VG 220 = -20° + 60°</v>
          </cell>
          <cell r="Y1752" t="str">
            <v>R97DRN160M4 /TF/V</v>
          </cell>
          <cell r="Z1752" t="str">
            <v>SEW</v>
          </cell>
          <cell r="AB1752" t="str">
            <v>-</v>
          </cell>
          <cell r="AF1752">
            <v>40</v>
          </cell>
          <cell r="AG1752" t="str">
            <v>DRN160M4</v>
          </cell>
          <cell r="AH1752" t="str">
            <v>R97-DRN160M4270-X#</v>
          </cell>
        </row>
        <row r="1753">
          <cell r="A1753" t="str">
            <v>MR001749</v>
          </cell>
          <cell r="B1753" t="str">
            <v>MR</v>
          </cell>
          <cell r="C1753">
            <v>5.5</v>
          </cell>
          <cell r="D1753">
            <v>45</v>
          </cell>
          <cell r="E1753" t="str">
            <v>R87</v>
          </cell>
          <cell r="F1753">
            <v>1170</v>
          </cell>
          <cell r="G1753">
            <v>32.659999999999997</v>
          </cell>
          <cell r="H1753">
            <v>1.3</v>
          </cell>
          <cell r="I1753" t="str">
            <v>M1</v>
          </cell>
          <cell r="J1753" t="str">
            <v>IE3</v>
          </cell>
          <cell r="K1753" t="str">
            <v>230/400</v>
          </cell>
          <cell r="L1753">
            <v>50</v>
          </cell>
          <cell r="M1753" t="str">
            <v>18,2/10,5</v>
          </cell>
          <cell r="N1753">
            <v>55</v>
          </cell>
          <cell r="O1753" t="str">
            <v>F(105°C)</v>
          </cell>
          <cell r="P1753" t="str">
            <v>270°</v>
          </cell>
          <cell r="Q1753" t="str">
            <v>-</v>
          </cell>
          <cell r="R1753" t="str">
            <v>-</v>
          </cell>
          <cell r="S1753" t="str">
            <v>-</v>
          </cell>
          <cell r="T1753" t="str">
            <v>-</v>
          </cell>
          <cell r="U1753" t="str">
            <v>-</v>
          </cell>
          <cell r="V1753" t="str">
            <v>D</v>
          </cell>
          <cell r="W1753" t="str">
            <v>-</v>
          </cell>
          <cell r="X1753" t="str">
            <v>CLP HC VG 220 = -20° + 60°</v>
          </cell>
          <cell r="Y1753" t="str">
            <v>R87DRN132S4</v>
          </cell>
          <cell r="Z1753" t="str">
            <v>SEW</v>
          </cell>
          <cell r="AB1753" t="str">
            <v>-</v>
          </cell>
          <cell r="AF1753">
            <v>45</v>
          </cell>
          <cell r="AG1753" t="str">
            <v>DRN132S4</v>
          </cell>
          <cell r="AH1753" t="str">
            <v>R87-DRN132S4270-X</v>
          </cell>
        </row>
        <row r="1754">
          <cell r="A1754" t="str">
            <v>MR001750</v>
          </cell>
          <cell r="B1754" t="str">
            <v>MR</v>
          </cell>
          <cell r="C1754">
            <v>11</v>
          </cell>
          <cell r="D1754">
            <v>59</v>
          </cell>
          <cell r="E1754" t="str">
            <v>R97</v>
          </cell>
          <cell r="F1754">
            <v>1780</v>
          </cell>
          <cell r="G1754">
            <v>25.03</v>
          </cell>
          <cell r="H1754">
            <v>1.6</v>
          </cell>
          <cell r="I1754" t="str">
            <v>From M1 to M4 - 30°</v>
          </cell>
          <cell r="J1754" t="str">
            <v>IE3</v>
          </cell>
          <cell r="K1754" t="str">
            <v>400/690</v>
          </cell>
          <cell r="L1754">
            <v>50</v>
          </cell>
          <cell r="M1754" t="str">
            <v>21/12,2</v>
          </cell>
          <cell r="N1754">
            <v>55</v>
          </cell>
          <cell r="O1754" t="str">
            <v>F(105°C)</v>
          </cell>
          <cell r="P1754" t="str">
            <v>270°</v>
          </cell>
          <cell r="Q1754" t="str">
            <v>-</v>
          </cell>
          <cell r="R1754" t="str">
            <v>-</v>
          </cell>
          <cell r="S1754" t="str">
            <v>-</v>
          </cell>
          <cell r="T1754" t="str">
            <v>-</v>
          </cell>
          <cell r="U1754" t="str">
            <v>-</v>
          </cell>
          <cell r="V1754" t="str">
            <v>D</v>
          </cell>
          <cell r="W1754" t="str">
            <v>-</v>
          </cell>
          <cell r="X1754" t="str">
            <v>CLP HC VG 220 = -20° + 60°</v>
          </cell>
          <cell r="Y1754" t="str">
            <v>R97DRN160M4</v>
          </cell>
          <cell r="Z1754" t="str">
            <v>SEW</v>
          </cell>
          <cell r="AB1754" t="str">
            <v>-</v>
          </cell>
          <cell r="AF1754">
            <v>59</v>
          </cell>
          <cell r="AG1754" t="str">
            <v>DRN160M4</v>
          </cell>
          <cell r="AH1754" t="str">
            <v>R97-DRN160M4270-X</v>
          </cell>
        </row>
        <row r="1755">
          <cell r="A1755" t="str">
            <v>MR001751</v>
          </cell>
          <cell r="B1755" t="str">
            <v>MR</v>
          </cell>
          <cell r="C1755">
            <v>7.5</v>
          </cell>
          <cell r="D1755">
            <v>63</v>
          </cell>
          <cell r="E1755" t="str">
            <v>R87</v>
          </cell>
          <cell r="F1755">
            <v>1140</v>
          </cell>
          <cell r="G1755">
            <v>23.4</v>
          </cell>
          <cell r="H1755">
            <v>1.35</v>
          </cell>
          <cell r="I1755" t="str">
            <v>M1</v>
          </cell>
          <cell r="J1755" t="str">
            <v>IE3</v>
          </cell>
          <cell r="K1755" t="str">
            <v>400/690</v>
          </cell>
          <cell r="L1755">
            <v>50</v>
          </cell>
          <cell r="M1755" t="str">
            <v>15,2/8.8</v>
          </cell>
          <cell r="N1755">
            <v>55</v>
          </cell>
          <cell r="O1755" t="str">
            <v>F(105°C)</v>
          </cell>
          <cell r="P1755" t="str">
            <v>270°</v>
          </cell>
          <cell r="Q1755" t="str">
            <v>-</v>
          </cell>
          <cell r="R1755" t="str">
            <v>-</v>
          </cell>
          <cell r="S1755" t="str">
            <v>-</v>
          </cell>
          <cell r="T1755" t="str">
            <v>-</v>
          </cell>
          <cell r="U1755" t="str">
            <v>-</v>
          </cell>
          <cell r="V1755" t="str">
            <v>D</v>
          </cell>
          <cell r="W1755" t="str">
            <v>-</v>
          </cell>
          <cell r="X1755" t="str">
            <v>CLP HC VG 220 = -20° + 60°</v>
          </cell>
          <cell r="Y1755" t="str">
            <v>R87DRN132M4</v>
          </cell>
          <cell r="Z1755" t="str">
            <v>SEW</v>
          </cell>
          <cell r="AB1755" t="str">
            <v>-</v>
          </cell>
          <cell r="AF1755">
            <v>63</v>
          </cell>
          <cell r="AG1755" t="str">
            <v>DRN132M4</v>
          </cell>
          <cell r="AH1755" t="str">
            <v>R87-DRN132M4270-X</v>
          </cell>
        </row>
        <row r="1756">
          <cell r="A1756" t="str">
            <v>MR001752</v>
          </cell>
          <cell r="B1756" t="str">
            <v>MR</v>
          </cell>
          <cell r="C1756">
            <v>5.5</v>
          </cell>
          <cell r="D1756">
            <v>36</v>
          </cell>
          <cell r="E1756" t="str">
            <v>KA77</v>
          </cell>
          <cell r="F1756">
            <v>1430</v>
          </cell>
          <cell r="G1756">
            <v>40.04</v>
          </cell>
          <cell r="H1756">
            <v>1.1000000000000001</v>
          </cell>
          <cell r="I1756" t="str">
            <v>From M4A to M6A-25°</v>
          </cell>
          <cell r="J1756" t="str">
            <v>IE3</v>
          </cell>
          <cell r="K1756" t="str">
            <v>230/400</v>
          </cell>
          <cell r="L1756">
            <v>50</v>
          </cell>
          <cell r="M1756" t="str">
            <v>18,2/10,5</v>
          </cell>
          <cell r="N1756">
            <v>55</v>
          </cell>
          <cell r="O1756" t="str">
            <v>F(105°C)</v>
          </cell>
          <cell r="P1756" t="str">
            <v>270°</v>
          </cell>
          <cell r="Q1756" t="str">
            <v>-</v>
          </cell>
          <cell r="R1756" t="str">
            <v>-</v>
          </cell>
          <cell r="S1756" t="str">
            <v>-</v>
          </cell>
          <cell r="T1756" t="str">
            <v>-</v>
          </cell>
          <cell r="U1756" t="str">
            <v>-</v>
          </cell>
          <cell r="V1756" t="str">
            <v>D</v>
          </cell>
          <cell r="W1756" t="str">
            <v>-</v>
          </cell>
          <cell r="X1756" t="str">
            <v>CLP HC VG 220 = -20° + 60°</v>
          </cell>
          <cell r="Y1756" t="str">
            <v>KA77DRN132S4</v>
          </cell>
          <cell r="Z1756" t="str">
            <v>SEW</v>
          </cell>
          <cell r="AB1756" t="str">
            <v>-</v>
          </cell>
          <cell r="AF1756">
            <v>36</v>
          </cell>
          <cell r="AG1756" t="str">
            <v>DRN132S4</v>
          </cell>
          <cell r="AH1756" t="str">
            <v>KA77-DRN132S4A270-X</v>
          </cell>
        </row>
        <row r="1757">
          <cell r="A1757" t="str">
            <v>MR001753</v>
          </cell>
          <cell r="B1757" t="str">
            <v>MR</v>
          </cell>
          <cell r="C1757">
            <v>5.5</v>
          </cell>
          <cell r="D1757">
            <v>36</v>
          </cell>
          <cell r="E1757" t="str">
            <v>KA77</v>
          </cell>
          <cell r="F1757">
            <v>1430</v>
          </cell>
          <cell r="G1757">
            <v>40.04</v>
          </cell>
          <cell r="H1757">
            <v>1.1000000000000001</v>
          </cell>
          <cell r="I1757" t="str">
            <v>From M4B to M6B-25°</v>
          </cell>
          <cell r="J1757" t="str">
            <v>IE3</v>
          </cell>
          <cell r="K1757" t="str">
            <v>230/400</v>
          </cell>
          <cell r="L1757">
            <v>50</v>
          </cell>
          <cell r="M1757" t="str">
            <v>18,2/10,5</v>
          </cell>
          <cell r="N1757">
            <v>55</v>
          </cell>
          <cell r="O1757" t="str">
            <v>F(105°C)</v>
          </cell>
          <cell r="P1757" t="str">
            <v>270°</v>
          </cell>
          <cell r="Q1757" t="str">
            <v>-</v>
          </cell>
          <cell r="R1757" t="str">
            <v>-</v>
          </cell>
          <cell r="S1757" t="str">
            <v>-</v>
          </cell>
          <cell r="T1757" t="str">
            <v>-</v>
          </cell>
          <cell r="U1757" t="str">
            <v>-</v>
          </cell>
          <cell r="V1757" t="str">
            <v>D</v>
          </cell>
          <cell r="W1757" t="str">
            <v>-</v>
          </cell>
          <cell r="X1757" t="str">
            <v>CLP HC VG 220 = -20° + 60°</v>
          </cell>
          <cell r="Y1757" t="str">
            <v>KA77DRN132S4</v>
          </cell>
          <cell r="Z1757" t="str">
            <v>SEW</v>
          </cell>
          <cell r="AB1757" t="str">
            <v>-</v>
          </cell>
          <cell r="AF1757">
            <v>36</v>
          </cell>
          <cell r="AG1757" t="str">
            <v>DRN132S4</v>
          </cell>
          <cell r="AH1757" t="str">
            <v>KA77-DRN132S4B270-X</v>
          </cell>
        </row>
        <row r="1758">
          <cell r="A1758" t="str">
            <v>MR001754</v>
          </cell>
          <cell r="B1758" t="str">
            <v>MR</v>
          </cell>
          <cell r="C1758">
            <v>5.5</v>
          </cell>
          <cell r="D1758">
            <v>15</v>
          </cell>
          <cell r="E1758" t="str">
            <v>KH97</v>
          </cell>
          <cell r="F1758">
            <v>3470</v>
          </cell>
          <cell r="G1758">
            <v>96.8</v>
          </cell>
          <cell r="H1758">
            <v>1.25</v>
          </cell>
          <cell r="I1758" t="str">
            <v>From M1A to M2A - 40°</v>
          </cell>
          <cell r="J1758" t="str">
            <v>IE3</v>
          </cell>
          <cell r="K1758" t="str">
            <v>230/400</v>
          </cell>
          <cell r="L1758">
            <v>50</v>
          </cell>
          <cell r="M1758" t="str">
            <v>18,2/10,5</v>
          </cell>
          <cell r="N1758">
            <v>55</v>
          </cell>
          <cell r="O1758" t="str">
            <v>F(105°C)</v>
          </cell>
          <cell r="P1758" t="str">
            <v>270°</v>
          </cell>
          <cell r="Q1758" t="str">
            <v>-</v>
          </cell>
          <cell r="R1758" t="str">
            <v>-</v>
          </cell>
          <cell r="S1758" t="str">
            <v>-</v>
          </cell>
          <cell r="T1758" t="str">
            <v>-</v>
          </cell>
          <cell r="U1758" t="str">
            <v>-</v>
          </cell>
          <cell r="V1758" t="str">
            <v>SS</v>
          </cell>
          <cell r="W1758" t="str">
            <v>-</v>
          </cell>
          <cell r="X1758" t="str">
            <v>CLP HC VG 220 = -20° + 60°</v>
          </cell>
          <cell r="Y1758" t="str">
            <v>KH97DRN132S4</v>
          </cell>
          <cell r="Z1758" t="str">
            <v>SEW</v>
          </cell>
          <cell r="AB1758" t="str">
            <v>-</v>
          </cell>
          <cell r="AF1758">
            <v>15</v>
          </cell>
          <cell r="AG1758" t="str">
            <v>DRN132S4</v>
          </cell>
          <cell r="AH1758" t="str">
            <v>KH97-DRN132S4A270-X</v>
          </cell>
        </row>
        <row r="1759">
          <cell r="A1759" t="str">
            <v>MR001755</v>
          </cell>
          <cell r="B1759" t="str">
            <v>MR</v>
          </cell>
          <cell r="C1759">
            <v>5.5</v>
          </cell>
          <cell r="D1759">
            <v>15</v>
          </cell>
          <cell r="E1759" t="str">
            <v>KH97</v>
          </cell>
          <cell r="F1759">
            <v>3470</v>
          </cell>
          <cell r="G1759">
            <v>96.8</v>
          </cell>
          <cell r="H1759">
            <v>1.25</v>
          </cell>
          <cell r="I1759" t="str">
            <v>From M1B to M2B - 40°</v>
          </cell>
          <cell r="J1759" t="str">
            <v>IE3</v>
          </cell>
          <cell r="K1759" t="str">
            <v>230/400</v>
          </cell>
          <cell r="L1759">
            <v>50</v>
          </cell>
          <cell r="M1759" t="str">
            <v>18,2/10,5</v>
          </cell>
          <cell r="N1759">
            <v>55</v>
          </cell>
          <cell r="O1759" t="str">
            <v>F(105°C)</v>
          </cell>
          <cell r="P1759" t="str">
            <v>270°</v>
          </cell>
          <cell r="Q1759" t="str">
            <v>-</v>
          </cell>
          <cell r="R1759" t="str">
            <v>-</v>
          </cell>
          <cell r="S1759" t="str">
            <v>-</v>
          </cell>
          <cell r="T1759" t="str">
            <v>-</v>
          </cell>
          <cell r="U1759" t="str">
            <v>-</v>
          </cell>
          <cell r="V1759" t="str">
            <v>SS</v>
          </cell>
          <cell r="W1759" t="str">
            <v>-</v>
          </cell>
          <cell r="X1759" t="str">
            <v>CLP HC VG 220 = -20° + 60°</v>
          </cell>
          <cell r="Y1759" t="str">
            <v>KH97DRN132S4</v>
          </cell>
          <cell r="Z1759" t="str">
            <v>SEW</v>
          </cell>
          <cell r="AB1759" t="str">
            <v>-</v>
          </cell>
          <cell r="AF1759">
            <v>15</v>
          </cell>
          <cell r="AG1759" t="str">
            <v>DRN132S4</v>
          </cell>
          <cell r="AH1759" t="str">
            <v>KH97-DRN132S4B270-X</v>
          </cell>
        </row>
        <row r="1760">
          <cell r="A1760" t="str">
            <v>MR001756</v>
          </cell>
          <cell r="B1760" t="str">
            <v>MR</v>
          </cell>
          <cell r="C1760">
            <v>18.5</v>
          </cell>
          <cell r="D1760">
            <v>15</v>
          </cell>
          <cell r="E1760" t="str">
            <v>KH157</v>
          </cell>
          <cell r="F1760">
            <v>12000</v>
          </cell>
          <cell r="G1760">
            <v>100.22</v>
          </cell>
          <cell r="H1760">
            <v>1.65</v>
          </cell>
          <cell r="I1760" t="str">
            <v>From M1A to M2A - 35°</v>
          </cell>
          <cell r="J1760" t="str">
            <v>IE3</v>
          </cell>
          <cell r="K1760" t="str">
            <v>400/690</v>
          </cell>
          <cell r="L1760">
            <v>50</v>
          </cell>
          <cell r="M1760" t="str">
            <v>33,5/19,3</v>
          </cell>
          <cell r="N1760">
            <v>55</v>
          </cell>
          <cell r="O1760" t="str">
            <v>F(105°C)</v>
          </cell>
          <cell r="P1760" t="str">
            <v>270°</v>
          </cell>
          <cell r="Q1760" t="str">
            <v>-</v>
          </cell>
          <cell r="R1760" t="str">
            <v>-</v>
          </cell>
          <cell r="S1760" t="str">
            <v>-</v>
          </cell>
          <cell r="T1760" t="str">
            <v>-</v>
          </cell>
          <cell r="U1760" t="str">
            <v>-</v>
          </cell>
          <cell r="V1760" t="str">
            <v>SS</v>
          </cell>
          <cell r="W1760" t="str">
            <v>-</v>
          </cell>
          <cell r="X1760" t="str">
            <v>CLP HC VG 220 = -20° + 60°</v>
          </cell>
          <cell r="Y1760" t="str">
            <v>KH157DRN180M4</v>
          </cell>
          <cell r="Z1760" t="str">
            <v>SEW</v>
          </cell>
          <cell r="AB1760" t="str">
            <v>-</v>
          </cell>
          <cell r="AF1760">
            <v>15</v>
          </cell>
          <cell r="AG1760" t="str">
            <v>DRN180M4</v>
          </cell>
          <cell r="AH1760" t="str">
            <v>KH157-DRN180M4A270-X</v>
          </cell>
        </row>
        <row r="1761">
          <cell r="A1761" t="str">
            <v>MR001757</v>
          </cell>
          <cell r="B1761" t="str">
            <v>MR</v>
          </cell>
          <cell r="C1761">
            <v>22</v>
          </cell>
          <cell r="D1761">
            <v>15</v>
          </cell>
          <cell r="E1761" t="str">
            <v>KH157</v>
          </cell>
          <cell r="F1761">
            <v>14300</v>
          </cell>
          <cell r="G1761">
            <v>100.22</v>
          </cell>
          <cell r="H1761">
            <v>1.4</v>
          </cell>
          <cell r="I1761" t="str">
            <v>From M1A to M2A - 10°</v>
          </cell>
          <cell r="J1761" t="str">
            <v>IE3</v>
          </cell>
          <cell r="K1761" t="str">
            <v>400/690</v>
          </cell>
          <cell r="L1761">
            <v>50</v>
          </cell>
          <cell r="M1761" t="str">
            <v>38,5/22,5</v>
          </cell>
          <cell r="N1761">
            <v>55</v>
          </cell>
          <cell r="O1761" t="str">
            <v>F(105°C)</v>
          </cell>
          <cell r="P1761" t="str">
            <v>270°</v>
          </cell>
          <cell r="Q1761" t="str">
            <v>-</v>
          </cell>
          <cell r="R1761" t="str">
            <v>-</v>
          </cell>
          <cell r="S1761" t="str">
            <v>-</v>
          </cell>
          <cell r="T1761" t="str">
            <v>-</v>
          </cell>
          <cell r="U1761" t="str">
            <v>-</v>
          </cell>
          <cell r="V1761" t="str">
            <v>SS</v>
          </cell>
          <cell r="W1761" t="str">
            <v>-</v>
          </cell>
          <cell r="X1761" t="str">
            <v>CLP HC VG 220 = -20° + 60°</v>
          </cell>
          <cell r="Y1761" t="str">
            <v>KH157DRN180L4</v>
          </cell>
          <cell r="Z1761" t="str">
            <v>SEW</v>
          </cell>
          <cell r="AB1761" t="str">
            <v>-</v>
          </cell>
          <cell r="AF1761">
            <v>15</v>
          </cell>
          <cell r="AG1761" t="str">
            <v>DRN180L4</v>
          </cell>
          <cell r="AH1761" t="str">
            <v>KH157-DRN180L4A270-X</v>
          </cell>
        </row>
        <row r="1762">
          <cell r="A1762" t="str">
            <v>MR001758</v>
          </cell>
          <cell r="B1762" t="str">
            <v>MR</v>
          </cell>
          <cell r="C1762">
            <v>22</v>
          </cell>
          <cell r="D1762">
            <v>15</v>
          </cell>
          <cell r="E1762" t="str">
            <v>KH157</v>
          </cell>
          <cell r="F1762">
            <v>14300</v>
          </cell>
          <cell r="G1762">
            <v>100.22</v>
          </cell>
          <cell r="H1762">
            <v>1.4</v>
          </cell>
          <cell r="I1762" t="str">
            <v>From M1B to M2B - 10°</v>
          </cell>
          <cell r="J1762" t="str">
            <v>IE3</v>
          </cell>
          <cell r="K1762" t="str">
            <v>400/690</v>
          </cell>
          <cell r="L1762">
            <v>50</v>
          </cell>
          <cell r="M1762" t="str">
            <v>38,5/22,5</v>
          </cell>
          <cell r="N1762">
            <v>55</v>
          </cell>
          <cell r="O1762" t="str">
            <v>F(105°C)</v>
          </cell>
          <cell r="P1762" t="str">
            <v>270°</v>
          </cell>
          <cell r="Q1762" t="str">
            <v>-</v>
          </cell>
          <cell r="R1762" t="str">
            <v>-</v>
          </cell>
          <cell r="S1762" t="str">
            <v>-</v>
          </cell>
          <cell r="T1762" t="str">
            <v>-</v>
          </cell>
          <cell r="U1762" t="str">
            <v>-</v>
          </cell>
          <cell r="V1762" t="str">
            <v>SS</v>
          </cell>
          <cell r="W1762" t="str">
            <v>-</v>
          </cell>
          <cell r="X1762" t="str">
            <v>CLP HC VG 220 = -20° + 60°</v>
          </cell>
          <cell r="Y1762" t="str">
            <v>KH157DRN180L4</v>
          </cell>
          <cell r="Z1762" t="str">
            <v>SEW</v>
          </cell>
          <cell r="AB1762" t="str">
            <v>-</v>
          </cell>
          <cell r="AF1762">
            <v>15</v>
          </cell>
          <cell r="AG1762" t="str">
            <v>DRN180L4</v>
          </cell>
          <cell r="AH1762" t="str">
            <v>KH157-DRN180L4B270-X</v>
          </cell>
        </row>
        <row r="1763">
          <cell r="A1763" t="str">
            <v>MR001759</v>
          </cell>
          <cell r="B1763" t="str">
            <v>MR</v>
          </cell>
          <cell r="C1763">
            <v>1.5</v>
          </cell>
          <cell r="D1763">
            <v>22</v>
          </cell>
          <cell r="E1763" t="str">
            <v>FA67</v>
          </cell>
          <cell r="F1763">
            <v>660</v>
          </cell>
          <cell r="G1763">
            <v>67.650000000000006</v>
          </cell>
          <cell r="H1763">
            <v>1.25</v>
          </cell>
          <cell r="I1763" t="str">
            <v>From M5 to M3 - 10°</v>
          </cell>
          <cell r="J1763" t="str">
            <v>IE3</v>
          </cell>
          <cell r="K1763" t="str">
            <v>230/400</v>
          </cell>
          <cell r="L1763">
            <v>50</v>
          </cell>
          <cell r="M1763" t="str">
            <v>5,9/3,4</v>
          </cell>
          <cell r="N1763">
            <v>55</v>
          </cell>
          <cell r="O1763" t="str">
            <v>F(105°C)</v>
          </cell>
          <cell r="P1763" t="str">
            <v>270°</v>
          </cell>
          <cell r="Q1763" t="str">
            <v>-</v>
          </cell>
          <cell r="R1763" t="str">
            <v>-</v>
          </cell>
          <cell r="S1763" t="str">
            <v>-</v>
          </cell>
          <cell r="T1763" t="str">
            <v>-</v>
          </cell>
          <cell r="U1763" t="str">
            <v>G</v>
          </cell>
          <cell r="V1763" t="str">
            <v>D+R</v>
          </cell>
          <cell r="W1763" t="str">
            <v>-</v>
          </cell>
          <cell r="X1763" t="str">
            <v>CLP HC VG 220 = -20° + 60°</v>
          </cell>
          <cell r="Y1763" t="str">
            <v>FA67/G DRN90L4</v>
          </cell>
          <cell r="Z1763" t="str">
            <v>SEW</v>
          </cell>
          <cell r="AB1763" t="str">
            <v>-</v>
          </cell>
          <cell r="AF1763">
            <v>22</v>
          </cell>
          <cell r="AG1763" t="str">
            <v>DRN90L4</v>
          </cell>
          <cell r="AH1763" t="str">
            <v>FA67G-DRN90L4270-X</v>
          </cell>
        </row>
        <row r="1764">
          <cell r="A1764" t="str">
            <v>MR001760</v>
          </cell>
          <cell r="B1764" t="str">
            <v>MR</v>
          </cell>
          <cell r="C1764">
            <v>7.5</v>
          </cell>
          <cell r="D1764">
            <v>20</v>
          </cell>
          <cell r="E1764" t="str">
            <v>R107</v>
          </cell>
          <cell r="F1764">
            <v>3550</v>
          </cell>
          <cell r="G1764">
            <v>72.88</v>
          </cell>
          <cell r="H1764">
            <v>1.2</v>
          </cell>
          <cell r="I1764" t="str">
            <v>M1</v>
          </cell>
          <cell r="J1764" t="str">
            <v>IE3</v>
          </cell>
          <cell r="K1764" t="str">
            <v>400/690</v>
          </cell>
          <cell r="L1764">
            <v>50</v>
          </cell>
          <cell r="M1764" t="str">
            <v>15,2/8,8</v>
          </cell>
          <cell r="N1764">
            <v>55</v>
          </cell>
          <cell r="O1764" t="str">
            <v>F(105°C)</v>
          </cell>
          <cell r="P1764" t="str">
            <v>270°</v>
          </cell>
          <cell r="Q1764" t="str">
            <v>TF</v>
          </cell>
          <cell r="R1764" t="str">
            <v>V(VE)</v>
          </cell>
          <cell r="S1764" t="str">
            <v>-</v>
          </cell>
          <cell r="T1764" t="str">
            <v>-</v>
          </cell>
          <cell r="U1764" t="str">
            <v>-</v>
          </cell>
          <cell r="V1764" t="str">
            <v>FC</v>
          </cell>
          <cell r="W1764" t="str">
            <v>-</v>
          </cell>
          <cell r="X1764" t="str">
            <v>CLP HC VG 220 = -20° + 60°</v>
          </cell>
          <cell r="Y1764" t="str">
            <v>R107DRN132M4 /TF/V</v>
          </cell>
          <cell r="Z1764" t="str">
            <v>SEW</v>
          </cell>
          <cell r="AB1764" t="str">
            <v>-</v>
          </cell>
          <cell r="AF1764">
            <v>20</v>
          </cell>
          <cell r="AG1764" t="str">
            <v>DRN132M4</v>
          </cell>
          <cell r="AH1764" t="str">
            <v>R107-DRN132M4270-X#</v>
          </cell>
        </row>
        <row r="1765">
          <cell r="A1765" t="str">
            <v>MR001761</v>
          </cell>
          <cell r="B1765" t="str">
            <v>MR</v>
          </cell>
          <cell r="C1765">
            <v>9.1999999999999993</v>
          </cell>
          <cell r="D1765">
            <v>59</v>
          </cell>
          <cell r="E1765" t="str">
            <v>KH87</v>
          </cell>
          <cell r="F1765">
            <v>1480</v>
          </cell>
          <cell r="G1765">
            <v>24.92</v>
          </cell>
          <cell r="H1765">
            <v>1.7</v>
          </cell>
          <cell r="I1765" t="str">
            <v>M4B</v>
          </cell>
          <cell r="J1765" t="str">
            <v>IE3</v>
          </cell>
          <cell r="K1765" t="str">
            <v>400/690</v>
          </cell>
          <cell r="L1765">
            <v>50</v>
          </cell>
          <cell r="M1765" t="str">
            <v>18,7/10,8</v>
          </cell>
          <cell r="N1765">
            <v>55</v>
          </cell>
          <cell r="O1765" t="str">
            <v>F(105°C)</v>
          </cell>
          <cell r="P1765" t="str">
            <v>270°</v>
          </cell>
          <cell r="Q1765" t="str">
            <v>-</v>
          </cell>
          <cell r="R1765" t="str">
            <v>-</v>
          </cell>
          <cell r="S1765" t="str">
            <v>Free rotation CW</v>
          </cell>
          <cell r="T1765" t="str">
            <v>-</v>
          </cell>
          <cell r="U1765" t="str">
            <v>T</v>
          </cell>
          <cell r="V1765" t="str">
            <v>SS</v>
          </cell>
          <cell r="W1765" t="str">
            <v>-</v>
          </cell>
          <cell r="X1765" t="str">
            <v>CLP HC VG 220 = -20° + 60°</v>
          </cell>
          <cell r="Y1765" t="str">
            <v>KH87/T DRN132L4 /RS</v>
          </cell>
          <cell r="Z1765" t="str">
            <v>SEW</v>
          </cell>
          <cell r="AB1765" t="str">
            <v>-</v>
          </cell>
          <cell r="AF1765">
            <v>59</v>
          </cell>
          <cell r="AG1765" t="str">
            <v>DRN132L4</v>
          </cell>
          <cell r="AH1765" t="str">
            <v>KH87T-DRN132L4B270-X</v>
          </cell>
        </row>
        <row r="1766">
          <cell r="A1766" t="str">
            <v>MR001762</v>
          </cell>
          <cell r="B1766" t="str">
            <v>MR</v>
          </cell>
          <cell r="C1766">
            <v>0.75</v>
          </cell>
          <cell r="D1766">
            <v>162</v>
          </cell>
          <cell r="E1766" t="str">
            <v>KA37</v>
          </cell>
          <cell r="F1766">
            <v>44</v>
          </cell>
          <cell r="G1766">
            <v>8.91</v>
          </cell>
          <cell r="H1766">
            <v>3.6</v>
          </cell>
          <cell r="I1766" t="str">
            <v>From M1B to M2B - 25°</v>
          </cell>
          <cell r="J1766" t="str">
            <v>IE3</v>
          </cell>
          <cell r="K1766" t="str">
            <v>230/400</v>
          </cell>
          <cell r="L1766">
            <v>50</v>
          </cell>
          <cell r="M1766" t="str">
            <v>3,05/1,75</v>
          </cell>
          <cell r="N1766">
            <v>55</v>
          </cell>
          <cell r="O1766" t="str">
            <v>F(105°C)</v>
          </cell>
          <cell r="P1766" t="str">
            <v>270°</v>
          </cell>
          <cell r="Q1766" t="str">
            <v>-</v>
          </cell>
          <cell r="R1766" t="str">
            <v>-</v>
          </cell>
          <cell r="S1766" t="str">
            <v>-</v>
          </cell>
          <cell r="T1766" t="str">
            <v>-</v>
          </cell>
          <cell r="U1766" t="str">
            <v>T</v>
          </cell>
          <cell r="V1766" t="str">
            <v>D</v>
          </cell>
          <cell r="W1766" t="str">
            <v>-</v>
          </cell>
          <cell r="X1766" t="str">
            <v>CLP HC VG 220 = -20° + 60°</v>
          </cell>
          <cell r="Y1766" t="str">
            <v>KA37/T DRN80M4</v>
          </cell>
          <cell r="Z1766" t="str">
            <v>SEW</v>
          </cell>
          <cell r="AB1766" t="str">
            <v>-</v>
          </cell>
          <cell r="AF1766">
            <v>162</v>
          </cell>
          <cell r="AG1766" t="str">
            <v>DRN80M4</v>
          </cell>
          <cell r="AH1766" t="str">
            <v>KA37T-DRN80M4B270-X</v>
          </cell>
        </row>
        <row r="1767">
          <cell r="A1767" t="str">
            <v>MR001763</v>
          </cell>
          <cell r="B1767" t="str">
            <v>MR</v>
          </cell>
          <cell r="C1767">
            <v>9.1999999999999993</v>
          </cell>
          <cell r="D1767">
            <v>42</v>
          </cell>
          <cell r="E1767" t="str">
            <v>R107</v>
          </cell>
          <cell r="F1767">
            <v>2100</v>
          </cell>
          <cell r="G1767">
            <v>35.26</v>
          </cell>
          <cell r="H1767">
            <v>1.95</v>
          </cell>
          <cell r="I1767" t="str">
            <v>M1</v>
          </cell>
          <cell r="J1767" t="str">
            <v>IE3</v>
          </cell>
          <cell r="K1767" t="str">
            <v>400/690</v>
          </cell>
          <cell r="L1767">
            <v>50</v>
          </cell>
          <cell r="M1767" t="str">
            <v>18,7/10,8</v>
          </cell>
          <cell r="N1767">
            <v>55</v>
          </cell>
          <cell r="O1767" t="str">
            <v>F(105°C)</v>
          </cell>
          <cell r="P1767" t="str">
            <v>270°</v>
          </cell>
          <cell r="Q1767" t="str">
            <v>-</v>
          </cell>
          <cell r="R1767" t="str">
            <v>-</v>
          </cell>
          <cell r="S1767" t="str">
            <v>-</v>
          </cell>
          <cell r="T1767" t="str">
            <v>-</v>
          </cell>
          <cell r="U1767" t="str">
            <v>-</v>
          </cell>
          <cell r="V1767" t="str">
            <v>SS</v>
          </cell>
          <cell r="W1767" t="str">
            <v>-</v>
          </cell>
          <cell r="X1767" t="str">
            <v>CLP HC VG 220 = -20° + 60°</v>
          </cell>
          <cell r="Y1767" t="str">
            <v>R107EDRN132L4</v>
          </cell>
          <cell r="Z1767" t="str">
            <v>SEW</v>
          </cell>
          <cell r="AB1767" t="str">
            <v>ATEX22</v>
          </cell>
          <cell r="AF1767">
            <v>42</v>
          </cell>
          <cell r="AG1767" t="str">
            <v>EDRN132L4</v>
          </cell>
          <cell r="AH1767" t="str">
            <v>R107-EDRN132L4270-X</v>
          </cell>
        </row>
        <row r="1768">
          <cell r="A1768" t="str">
            <v>MR001764</v>
          </cell>
          <cell r="B1768" t="str">
            <v>MR</v>
          </cell>
          <cell r="C1768">
            <v>15</v>
          </cell>
          <cell r="D1768">
            <v>16</v>
          </cell>
          <cell r="E1768" t="str">
            <v>KH127</v>
          </cell>
          <cell r="F1768">
            <v>8730</v>
          </cell>
          <cell r="G1768">
            <v>89.89</v>
          </cell>
          <cell r="H1768">
            <v>1.5</v>
          </cell>
          <cell r="I1768" t="str">
            <v>From M1A to M2A - 5°</v>
          </cell>
          <cell r="J1768" t="str">
            <v>IE3</v>
          </cell>
          <cell r="K1768" t="str">
            <v>400/690</v>
          </cell>
          <cell r="L1768">
            <v>50</v>
          </cell>
          <cell r="M1768" t="str">
            <v>29/16,7</v>
          </cell>
          <cell r="N1768">
            <v>55</v>
          </cell>
          <cell r="O1768" t="str">
            <v>F(105°C)</v>
          </cell>
          <cell r="P1768" t="str">
            <v>270°</v>
          </cell>
          <cell r="Q1768" t="str">
            <v>-</v>
          </cell>
          <cell r="R1768" t="str">
            <v>-</v>
          </cell>
          <cell r="S1768" t="str">
            <v>-</v>
          </cell>
          <cell r="T1768" t="str">
            <v>-</v>
          </cell>
          <cell r="U1768" t="str">
            <v>-</v>
          </cell>
          <cell r="V1768" t="str">
            <v>SS</v>
          </cell>
          <cell r="W1768" t="str">
            <v>-</v>
          </cell>
          <cell r="X1768" t="str">
            <v>CLP HC VG 220 = -20° + 60°</v>
          </cell>
          <cell r="Y1768" t="str">
            <v>KH127EDRN160L4</v>
          </cell>
          <cell r="Z1768" t="str">
            <v>SEW</v>
          </cell>
          <cell r="AB1768" t="str">
            <v>ATEX22</v>
          </cell>
          <cell r="AF1768">
            <v>16</v>
          </cell>
          <cell r="AG1768" t="str">
            <v>EDRN160L4</v>
          </cell>
          <cell r="AH1768" t="str">
            <v>KH127-EDRN160L4A270-X</v>
          </cell>
        </row>
        <row r="1769">
          <cell r="A1769" t="str">
            <v>MR001765</v>
          </cell>
          <cell r="B1769" t="str">
            <v>MR</v>
          </cell>
          <cell r="C1769">
            <v>9.1999999999999993</v>
          </cell>
          <cell r="D1769">
            <v>59</v>
          </cell>
          <cell r="E1769" t="str">
            <v>R97</v>
          </cell>
          <cell r="F1769">
            <v>1490</v>
          </cell>
          <cell r="G1769">
            <v>25.03</v>
          </cell>
          <cell r="H1769">
            <v>1.45</v>
          </cell>
          <cell r="I1769" t="str">
            <v>M5</v>
          </cell>
          <cell r="J1769" t="str">
            <v>IE3</v>
          </cell>
          <cell r="K1769" t="str">
            <v>400/690</v>
          </cell>
          <cell r="L1769">
            <v>50</v>
          </cell>
          <cell r="M1769" t="str">
            <v>18,7/10,8</v>
          </cell>
          <cell r="N1769">
            <v>55</v>
          </cell>
          <cell r="O1769" t="str">
            <v>F(105°C)</v>
          </cell>
          <cell r="P1769" t="str">
            <v>270°</v>
          </cell>
          <cell r="Q1769" t="str">
            <v>-</v>
          </cell>
          <cell r="R1769" t="str">
            <v>-</v>
          </cell>
          <cell r="S1769" t="str">
            <v>-</v>
          </cell>
          <cell r="T1769" t="str">
            <v>-</v>
          </cell>
          <cell r="U1769" t="str">
            <v>-</v>
          </cell>
          <cell r="V1769" t="str">
            <v>D</v>
          </cell>
          <cell r="W1769" t="str">
            <v>-</v>
          </cell>
          <cell r="X1769" t="str">
            <v>CLP HC VG 220 = -20° + 60°</v>
          </cell>
          <cell r="Y1769" t="str">
            <v>R97EDRN132L4</v>
          </cell>
          <cell r="Z1769" t="str">
            <v>SEW</v>
          </cell>
          <cell r="AB1769" t="str">
            <v>ATEX22</v>
          </cell>
          <cell r="AF1769">
            <v>59</v>
          </cell>
          <cell r="AG1769" t="str">
            <v>EDRN132L4</v>
          </cell>
          <cell r="AH1769" t="str">
            <v>R97-EDRN132L4270-X</v>
          </cell>
        </row>
        <row r="1770">
          <cell r="A1770" t="str">
            <v>MR001766</v>
          </cell>
          <cell r="B1770" t="str">
            <v>MR</v>
          </cell>
          <cell r="C1770">
            <v>18.5</v>
          </cell>
          <cell r="D1770">
            <v>12</v>
          </cell>
          <cell r="E1770" t="str">
            <v>KH157</v>
          </cell>
          <cell r="F1770">
            <v>14600</v>
          </cell>
          <cell r="G1770">
            <v>122.39</v>
          </cell>
          <cell r="H1770">
            <v>1.25</v>
          </cell>
          <cell r="I1770" t="str">
            <v>From M1B to M2B - 5°</v>
          </cell>
          <cell r="J1770" t="str">
            <v>IE3</v>
          </cell>
          <cell r="K1770" t="str">
            <v>400/690</v>
          </cell>
          <cell r="L1770">
            <v>50</v>
          </cell>
          <cell r="M1770" t="str">
            <v>33,5/19,3</v>
          </cell>
          <cell r="N1770">
            <v>55</v>
          </cell>
          <cell r="O1770" t="str">
            <v>F(105°C)</v>
          </cell>
          <cell r="P1770" t="str">
            <v>270°</v>
          </cell>
          <cell r="Q1770" t="str">
            <v>-</v>
          </cell>
          <cell r="R1770" t="str">
            <v>-</v>
          </cell>
          <cell r="S1770" t="str">
            <v>-</v>
          </cell>
          <cell r="T1770" t="str">
            <v>-</v>
          </cell>
          <cell r="U1770" t="str">
            <v>-</v>
          </cell>
          <cell r="V1770" t="str">
            <v>SS</v>
          </cell>
          <cell r="W1770" t="str">
            <v>-</v>
          </cell>
          <cell r="X1770" t="str">
            <v>CLP HC VG 220 = -20° + 60°</v>
          </cell>
          <cell r="Y1770" t="str">
            <v>KH157EDRN180M4</v>
          </cell>
          <cell r="Z1770" t="str">
            <v>SEW</v>
          </cell>
          <cell r="AB1770" t="str">
            <v>ATEX22</v>
          </cell>
          <cell r="AF1770">
            <v>12</v>
          </cell>
          <cell r="AG1770" t="str">
            <v>EDRN180M4</v>
          </cell>
          <cell r="AH1770" t="str">
            <v>KH157-EDRN180M4B270-X</v>
          </cell>
        </row>
        <row r="1771">
          <cell r="A1771" t="str">
            <v>MR001767</v>
          </cell>
          <cell r="B1771" t="str">
            <v>MR</v>
          </cell>
          <cell r="C1771">
            <v>22</v>
          </cell>
          <cell r="D1771">
            <v>59</v>
          </cell>
          <cell r="E1771" t="str">
            <v>R107</v>
          </cell>
          <cell r="F1771">
            <v>3540</v>
          </cell>
          <cell r="G1771">
            <v>24.9</v>
          </cell>
          <cell r="H1771">
            <v>1.2</v>
          </cell>
          <cell r="I1771" t="str">
            <v>M6</v>
          </cell>
          <cell r="J1771" t="str">
            <v>IE3</v>
          </cell>
          <cell r="K1771" t="str">
            <v>400/690</v>
          </cell>
          <cell r="L1771">
            <v>50</v>
          </cell>
          <cell r="M1771" t="str">
            <v>38,5/22,5</v>
          </cell>
          <cell r="N1771">
            <v>55</v>
          </cell>
          <cell r="O1771" t="str">
            <v>F(105°C)</v>
          </cell>
          <cell r="P1771" t="str">
            <v>270°</v>
          </cell>
          <cell r="Q1771" t="str">
            <v>-</v>
          </cell>
          <cell r="R1771" t="str">
            <v>-</v>
          </cell>
          <cell r="S1771" t="str">
            <v>-</v>
          </cell>
          <cell r="T1771" t="str">
            <v>-</v>
          </cell>
          <cell r="U1771" t="str">
            <v>-</v>
          </cell>
          <cell r="V1771" t="str">
            <v>D</v>
          </cell>
          <cell r="W1771" t="str">
            <v>-</v>
          </cell>
          <cell r="X1771" t="str">
            <v>CLP HC VG 220 = -20° + 60°</v>
          </cell>
          <cell r="Y1771" t="str">
            <v>R107EDRN180L4</v>
          </cell>
          <cell r="Z1771" t="str">
            <v>SEW</v>
          </cell>
          <cell r="AB1771" t="str">
            <v>ATEX22</v>
          </cell>
          <cell r="AF1771">
            <v>59</v>
          </cell>
          <cell r="AG1771" t="str">
            <v>EDRN180L4</v>
          </cell>
          <cell r="AH1771" t="str">
            <v>R107-EDRN180L4270-X</v>
          </cell>
        </row>
        <row r="1772">
          <cell r="A1772" t="str">
            <v>MR001768</v>
          </cell>
          <cell r="B1772" t="str">
            <v>MR</v>
          </cell>
          <cell r="C1772">
            <v>7.5</v>
          </cell>
          <cell r="D1772">
            <v>15</v>
          </cell>
          <cell r="E1772" t="str">
            <v>KH107</v>
          </cell>
          <cell r="F1772">
            <v>4910</v>
          </cell>
          <cell r="G1772">
            <v>100.75</v>
          </cell>
          <cell r="H1772">
            <v>1.5</v>
          </cell>
          <cell r="I1772" t="str">
            <v>From M1B to M2B - 5°</v>
          </cell>
          <cell r="J1772" t="str">
            <v>IE3</v>
          </cell>
          <cell r="K1772" t="str">
            <v>400/690</v>
          </cell>
          <cell r="L1772">
            <v>50</v>
          </cell>
          <cell r="M1772" t="str">
            <v>15,2/8,8</v>
          </cell>
          <cell r="N1772">
            <v>55</v>
          </cell>
          <cell r="O1772" t="str">
            <v>F(105°C)</v>
          </cell>
          <cell r="P1772" t="str">
            <v>270°</v>
          </cell>
          <cell r="Q1772" t="str">
            <v>-</v>
          </cell>
          <cell r="R1772" t="str">
            <v>-</v>
          </cell>
          <cell r="S1772" t="str">
            <v>-</v>
          </cell>
          <cell r="T1772" t="str">
            <v>-</v>
          </cell>
          <cell r="U1772" t="str">
            <v>-</v>
          </cell>
          <cell r="V1772" t="str">
            <v>SS</v>
          </cell>
          <cell r="W1772" t="str">
            <v>-</v>
          </cell>
          <cell r="X1772" t="str">
            <v>CLP HC VG 220 = -20° + 60°</v>
          </cell>
          <cell r="Y1772" t="str">
            <v>KH107EDRN132M4</v>
          </cell>
          <cell r="Z1772" t="str">
            <v>SEW</v>
          </cell>
          <cell r="AB1772" t="str">
            <v>ATEX22</v>
          </cell>
          <cell r="AF1772">
            <v>15</v>
          </cell>
          <cell r="AG1772" t="str">
            <v>EDRN132M4</v>
          </cell>
          <cell r="AH1772" t="str">
            <v>KH107-EDRN132M4B270-X</v>
          </cell>
        </row>
        <row r="1773">
          <cell r="A1773" t="str">
            <v>MR001769</v>
          </cell>
          <cell r="B1773" t="str">
            <v>MR</v>
          </cell>
          <cell r="C1773">
            <v>11</v>
          </cell>
          <cell r="D1773">
            <v>15</v>
          </cell>
          <cell r="E1773" t="str">
            <v>KH107</v>
          </cell>
          <cell r="F1773">
            <v>7180</v>
          </cell>
          <cell r="G1773">
            <v>100.75</v>
          </cell>
          <cell r="H1773">
            <v>1.05</v>
          </cell>
          <cell r="I1773" t="str">
            <v>From M1A to M2A - 20°</v>
          </cell>
          <cell r="J1773" t="str">
            <v>IE3</v>
          </cell>
          <cell r="K1773" t="str">
            <v>400/690</v>
          </cell>
          <cell r="L1773">
            <v>50</v>
          </cell>
          <cell r="M1773" t="str">
            <v>21/12,2</v>
          </cell>
          <cell r="N1773">
            <v>55</v>
          </cell>
          <cell r="O1773" t="str">
            <v>F(105°C)</v>
          </cell>
          <cell r="P1773" t="str">
            <v>270°</v>
          </cell>
          <cell r="Q1773" t="str">
            <v>-</v>
          </cell>
          <cell r="R1773" t="str">
            <v>-</v>
          </cell>
          <cell r="S1773" t="str">
            <v>-</v>
          </cell>
          <cell r="T1773" t="str">
            <v>-</v>
          </cell>
          <cell r="U1773" t="str">
            <v>-</v>
          </cell>
          <cell r="V1773" t="str">
            <v>SS</v>
          </cell>
          <cell r="W1773" t="str">
            <v>-</v>
          </cell>
          <cell r="X1773" t="str">
            <v>CLP HC VG 220 = -20° + 60°</v>
          </cell>
          <cell r="Y1773" t="str">
            <v>KH107EDRN160M4</v>
          </cell>
          <cell r="Z1773" t="str">
            <v>SEW</v>
          </cell>
          <cell r="AB1773" t="str">
            <v>ATEX22</v>
          </cell>
          <cell r="AF1773">
            <v>15</v>
          </cell>
          <cell r="AG1773" t="str">
            <v>EDRN160M4</v>
          </cell>
          <cell r="AH1773" t="str">
            <v>KH107-EDRN160M4A270-X</v>
          </cell>
        </row>
        <row r="1774">
          <cell r="A1774" t="str">
            <v>MR001770</v>
          </cell>
          <cell r="B1774" t="str">
            <v>MR</v>
          </cell>
          <cell r="C1774">
            <v>5.5</v>
          </cell>
          <cell r="D1774">
            <v>45</v>
          </cell>
          <cell r="E1774" t="str">
            <v>R87</v>
          </cell>
          <cell r="F1774">
            <v>1170</v>
          </cell>
          <cell r="G1774">
            <v>32.659999999999997</v>
          </cell>
          <cell r="H1774">
            <v>1.3</v>
          </cell>
          <cell r="I1774" t="str">
            <v>From M1 to M4 - 25°</v>
          </cell>
          <cell r="J1774" t="str">
            <v>IE3</v>
          </cell>
          <cell r="K1774" t="str">
            <v>230/400</v>
          </cell>
          <cell r="L1774">
            <v>50</v>
          </cell>
          <cell r="M1774" t="str">
            <v>18,2/10,5</v>
          </cell>
          <cell r="N1774">
            <v>55</v>
          </cell>
          <cell r="O1774" t="str">
            <v>F(105°C)</v>
          </cell>
          <cell r="P1774" t="str">
            <v>270°</v>
          </cell>
          <cell r="Q1774" t="str">
            <v>TF</v>
          </cell>
          <cell r="R1774" t="str">
            <v>-</v>
          </cell>
          <cell r="S1774" t="str">
            <v>-</v>
          </cell>
          <cell r="T1774" t="str">
            <v>-</v>
          </cell>
          <cell r="U1774" t="str">
            <v>-</v>
          </cell>
          <cell r="V1774" t="str">
            <v>D</v>
          </cell>
          <cell r="W1774" t="str">
            <v>YES</v>
          </cell>
          <cell r="X1774" t="str">
            <v>CLP HC VG 150 = -40° + 40°</v>
          </cell>
          <cell r="Y1774" t="str">
            <v>R87DRN132S4 /TF</v>
          </cell>
          <cell r="Z1774" t="str">
            <v>SEW</v>
          </cell>
          <cell r="AB1774" t="str">
            <v>-</v>
          </cell>
          <cell r="AF1774">
            <v>45</v>
          </cell>
          <cell r="AG1774" t="str">
            <v>DRN132S4</v>
          </cell>
          <cell r="AH1774" t="str">
            <v>R87-DRN132S4270-X</v>
          </cell>
        </row>
        <row r="1775">
          <cell r="A1775" t="str">
            <v>MR001771</v>
          </cell>
          <cell r="B1775" t="str">
            <v>MR</v>
          </cell>
          <cell r="C1775">
            <v>5.5</v>
          </cell>
          <cell r="D1775">
            <v>45</v>
          </cell>
          <cell r="E1775" t="str">
            <v>R87</v>
          </cell>
          <cell r="F1775">
            <v>1170</v>
          </cell>
          <cell r="G1775">
            <v>32.659999999999997</v>
          </cell>
          <cell r="H1775">
            <v>1.3</v>
          </cell>
          <cell r="I1775" t="str">
            <v>From M1 to M4 - 30°</v>
          </cell>
          <cell r="J1775" t="str">
            <v>IE3</v>
          </cell>
          <cell r="K1775" t="str">
            <v>230/400</v>
          </cell>
          <cell r="L1775">
            <v>50</v>
          </cell>
          <cell r="M1775" t="str">
            <v>18,2/10,5</v>
          </cell>
          <cell r="N1775">
            <v>55</v>
          </cell>
          <cell r="O1775" t="str">
            <v>F(105°C)</v>
          </cell>
          <cell r="P1775" t="str">
            <v>270°</v>
          </cell>
          <cell r="Q1775" t="str">
            <v>TF</v>
          </cell>
          <cell r="R1775" t="str">
            <v>-</v>
          </cell>
          <cell r="S1775" t="str">
            <v>-</v>
          </cell>
          <cell r="T1775" t="str">
            <v>-</v>
          </cell>
          <cell r="U1775" t="str">
            <v>-</v>
          </cell>
          <cell r="V1775" t="str">
            <v>D</v>
          </cell>
          <cell r="W1775" t="str">
            <v>YES</v>
          </cell>
          <cell r="X1775" t="str">
            <v>CLP HC VG 150 = -40° + 40°</v>
          </cell>
          <cell r="Y1775" t="str">
            <v>R87DRN132S4 /TF</v>
          </cell>
          <cell r="Z1775" t="str">
            <v>SEW</v>
          </cell>
          <cell r="AB1775" t="str">
            <v>-</v>
          </cell>
          <cell r="AF1775">
            <v>45</v>
          </cell>
          <cell r="AG1775" t="str">
            <v>DRN132S4</v>
          </cell>
          <cell r="AH1775" t="str">
            <v>R87-DRN132S4270-X</v>
          </cell>
        </row>
        <row r="1776">
          <cell r="A1776" t="str">
            <v>MR001772</v>
          </cell>
          <cell r="B1776" t="str">
            <v>MR</v>
          </cell>
          <cell r="C1776">
            <v>5.5</v>
          </cell>
          <cell r="D1776">
            <v>45</v>
          </cell>
          <cell r="E1776" t="str">
            <v>R87</v>
          </cell>
          <cell r="F1776">
            <v>1170</v>
          </cell>
          <cell r="G1776">
            <v>32.659999999999997</v>
          </cell>
          <cell r="H1776">
            <v>1.3</v>
          </cell>
          <cell r="I1776" t="str">
            <v>M1</v>
          </cell>
          <cell r="J1776" t="str">
            <v>IE3</v>
          </cell>
          <cell r="K1776" t="str">
            <v>230/400</v>
          </cell>
          <cell r="L1776">
            <v>50</v>
          </cell>
          <cell r="M1776" t="str">
            <v>18,2/10,5</v>
          </cell>
          <cell r="N1776">
            <v>55</v>
          </cell>
          <cell r="O1776" t="str">
            <v>F(105°C)</v>
          </cell>
          <cell r="P1776" t="str">
            <v>270°</v>
          </cell>
          <cell r="Q1776" t="str">
            <v>TF</v>
          </cell>
          <cell r="R1776" t="str">
            <v>-</v>
          </cell>
          <cell r="S1776" t="str">
            <v>-</v>
          </cell>
          <cell r="T1776" t="str">
            <v>-</v>
          </cell>
          <cell r="U1776" t="str">
            <v>-</v>
          </cell>
          <cell r="V1776" t="str">
            <v>D</v>
          </cell>
          <cell r="W1776" t="str">
            <v>YES</v>
          </cell>
          <cell r="X1776" t="str">
            <v>CLP HC VG 150 = -40° + 40°</v>
          </cell>
          <cell r="Y1776" t="str">
            <v>R87DRN132S4 /TF</v>
          </cell>
          <cell r="Z1776" t="str">
            <v>SEW</v>
          </cell>
          <cell r="AB1776" t="str">
            <v>-</v>
          </cell>
          <cell r="AF1776">
            <v>45</v>
          </cell>
          <cell r="AG1776" t="str">
            <v>DRN132S4</v>
          </cell>
          <cell r="AH1776" t="str">
            <v>R87-DRN132S4270-X</v>
          </cell>
        </row>
        <row r="1777">
          <cell r="A1777" t="str">
            <v>MR001773</v>
          </cell>
          <cell r="B1777" t="str">
            <v>MR</v>
          </cell>
          <cell r="C1777">
            <v>15</v>
          </cell>
          <cell r="D1777">
            <v>12</v>
          </cell>
          <cell r="E1777" t="str">
            <v>KH127</v>
          </cell>
          <cell r="F1777">
            <v>11900</v>
          </cell>
          <cell r="G1777">
            <v>122.48</v>
          </cell>
          <cell r="H1777">
            <v>1.1000000000000001</v>
          </cell>
          <cell r="I1777" t="str">
            <v>From M1B to M2B - 25°</v>
          </cell>
          <cell r="J1777" t="str">
            <v>IE3</v>
          </cell>
          <cell r="K1777" t="str">
            <v>400/690</v>
          </cell>
          <cell r="L1777">
            <v>50</v>
          </cell>
          <cell r="M1777" t="str">
            <v>29,5/16,9</v>
          </cell>
          <cell r="N1777">
            <v>55</v>
          </cell>
          <cell r="O1777" t="str">
            <v>F(105°C)</v>
          </cell>
          <cell r="P1777" t="str">
            <v>270°</v>
          </cell>
          <cell r="Q1777" t="str">
            <v>-</v>
          </cell>
          <cell r="R1777" t="str">
            <v>-</v>
          </cell>
          <cell r="S1777" t="str">
            <v>-</v>
          </cell>
          <cell r="T1777" t="str">
            <v>-</v>
          </cell>
          <cell r="U1777" t="str">
            <v>-</v>
          </cell>
          <cell r="V1777" t="str">
            <v>SS</v>
          </cell>
          <cell r="W1777" t="str">
            <v>-</v>
          </cell>
          <cell r="X1777" t="str">
            <v>CLP HC VG 220 = -20° + 60°</v>
          </cell>
          <cell r="Y1777" t="str">
            <v>KH127EDRN160L4</v>
          </cell>
          <cell r="Z1777" t="str">
            <v>SEW</v>
          </cell>
          <cell r="AB1777" t="str">
            <v>ATEX22</v>
          </cell>
          <cell r="AF1777">
            <v>12</v>
          </cell>
          <cell r="AG1777" t="str">
            <v>EDRN160L4</v>
          </cell>
          <cell r="AH1777" t="str">
            <v>KH127-EDRN160L4B270-X</v>
          </cell>
        </row>
        <row r="1778">
          <cell r="A1778" t="str">
            <v>MR001774</v>
          </cell>
          <cell r="B1778" t="str">
            <v>MR</v>
          </cell>
          <cell r="C1778">
            <v>11</v>
          </cell>
          <cell r="D1778">
            <v>31</v>
          </cell>
          <cell r="E1778" t="str">
            <v>R107</v>
          </cell>
          <cell r="F1778">
            <v>3400</v>
          </cell>
          <cell r="G1778">
            <v>47.63</v>
          </cell>
          <cell r="H1778">
            <v>1.1000000000000001</v>
          </cell>
          <cell r="I1778" t="str">
            <v>M1</v>
          </cell>
          <cell r="J1778" t="str">
            <v>IE3</v>
          </cell>
          <cell r="K1778" t="str">
            <v>400/690</v>
          </cell>
          <cell r="L1778">
            <v>50</v>
          </cell>
          <cell r="M1778" t="str">
            <v>21,0/12,2</v>
          </cell>
          <cell r="N1778">
            <v>55</v>
          </cell>
          <cell r="O1778" t="str">
            <v>F(105°C)</v>
          </cell>
          <cell r="P1778" t="str">
            <v>270°</v>
          </cell>
          <cell r="Q1778" t="str">
            <v>TF</v>
          </cell>
          <cell r="R1778" t="str">
            <v>V(VE)</v>
          </cell>
          <cell r="S1778" t="str">
            <v>-</v>
          </cell>
          <cell r="T1778" t="str">
            <v>-</v>
          </cell>
          <cell r="U1778" t="str">
            <v>-</v>
          </cell>
          <cell r="V1778" t="str">
            <v>FC</v>
          </cell>
          <cell r="W1778" t="str">
            <v>-</v>
          </cell>
          <cell r="X1778" t="str">
            <v>CLP HC VG 220 = -20° + 60°</v>
          </cell>
          <cell r="Y1778" t="str">
            <v>R107EDRN160M4 /TF/VE</v>
          </cell>
          <cell r="Z1778" t="str">
            <v>SEW</v>
          </cell>
          <cell r="AB1778" t="str">
            <v>ATEX22</v>
          </cell>
          <cell r="AF1778">
            <v>31</v>
          </cell>
          <cell r="AG1778" t="str">
            <v>EDRN160M4</v>
          </cell>
          <cell r="AH1778" t="str">
            <v>R107-EDRN160M4270-X#</v>
          </cell>
        </row>
        <row r="1779">
          <cell r="A1779" t="str">
            <v>MR001775</v>
          </cell>
          <cell r="B1779" t="str">
            <v>MR</v>
          </cell>
          <cell r="C1779">
            <v>1.5</v>
          </cell>
          <cell r="D1779">
            <v>3.8</v>
          </cell>
          <cell r="E1779" t="str">
            <v>KA97R57</v>
          </cell>
          <cell r="F1779">
            <v>3440</v>
          </cell>
          <cell r="G1779">
            <v>382</v>
          </cell>
          <cell r="H1779">
            <v>1.25</v>
          </cell>
          <cell r="I1779" t="str">
            <v>M3B</v>
          </cell>
          <cell r="J1779" t="str">
            <v>IE3</v>
          </cell>
          <cell r="K1779" t="str">
            <v>230/400</v>
          </cell>
          <cell r="L1779">
            <v>50</v>
          </cell>
          <cell r="M1779" t="str">
            <v>5,9/3,4</v>
          </cell>
          <cell r="N1779">
            <v>55</v>
          </cell>
          <cell r="O1779" t="str">
            <v>F(105°C)</v>
          </cell>
          <cell r="P1779" t="str">
            <v>0°</v>
          </cell>
          <cell r="Q1779" t="str">
            <v>TF</v>
          </cell>
          <cell r="R1779" t="str">
            <v>-</v>
          </cell>
          <cell r="S1779" t="str">
            <v>-</v>
          </cell>
          <cell r="T1779" t="str">
            <v>BEHF</v>
          </cell>
          <cell r="U1779" t="str">
            <v>T</v>
          </cell>
          <cell r="V1779" t="str">
            <v>D+R</v>
          </cell>
          <cell r="W1779" t="str">
            <v>-</v>
          </cell>
          <cell r="X1779" t="str">
            <v>CLP HC VG 220 = -20° + 60°</v>
          </cell>
          <cell r="Y1779" t="str">
            <v>KA97R57/T EDRN90L4 /BEHF /TF</v>
          </cell>
          <cell r="Z1779" t="str">
            <v>SEW</v>
          </cell>
          <cell r="AB1779" t="str">
            <v>ATEX22</v>
          </cell>
          <cell r="AE1779" t="str">
            <v>Rectifier for brake in the terminal box</v>
          </cell>
          <cell r="AF1779">
            <v>3.8</v>
          </cell>
          <cell r="AG1779" t="str">
            <v>EDRN90L4</v>
          </cell>
          <cell r="AH1779" t="str">
            <v>KA97R57T-EDRN90L4B0-X</v>
          </cell>
        </row>
        <row r="1780">
          <cell r="A1780" t="str">
            <v>MR001776</v>
          </cell>
          <cell r="B1780" t="str">
            <v>MR</v>
          </cell>
          <cell r="C1780">
            <v>5.5</v>
          </cell>
          <cell r="D1780">
            <v>78</v>
          </cell>
          <cell r="E1780" t="str">
            <v>R77</v>
          </cell>
          <cell r="F1780">
            <v>675</v>
          </cell>
          <cell r="G1780">
            <v>18.8</v>
          </cell>
          <cell r="H1780">
            <v>1.1499999999999999</v>
          </cell>
          <cell r="I1780" t="str">
            <v>M1</v>
          </cell>
          <cell r="J1780" t="str">
            <v>IE3</v>
          </cell>
          <cell r="K1780" t="str">
            <v>230/400</v>
          </cell>
          <cell r="L1780">
            <v>50</v>
          </cell>
          <cell r="M1780" t="str">
            <v>18,2/10,5</v>
          </cell>
          <cell r="N1780">
            <v>65</v>
          </cell>
          <cell r="O1780" t="str">
            <v>F(105°C)</v>
          </cell>
          <cell r="P1780" t="str">
            <v>270°</v>
          </cell>
          <cell r="Q1780" t="str">
            <v>-</v>
          </cell>
          <cell r="R1780" t="str">
            <v>-</v>
          </cell>
          <cell r="S1780" t="str">
            <v>-</v>
          </cell>
          <cell r="T1780" t="str">
            <v>-</v>
          </cell>
          <cell r="U1780" t="str">
            <v>-</v>
          </cell>
          <cell r="V1780" t="str">
            <v>D</v>
          </cell>
          <cell r="W1780" t="str">
            <v>-</v>
          </cell>
          <cell r="X1780" t="str">
            <v>CLP PG VG 220 = -20° + 80°</v>
          </cell>
          <cell r="Y1780" t="str">
            <v>R77DRN132S4</v>
          </cell>
          <cell r="Z1780" t="str">
            <v>SEW</v>
          </cell>
          <cell r="AB1780" t="str">
            <v>-</v>
          </cell>
          <cell r="AF1780">
            <v>78</v>
          </cell>
          <cell r="AG1780" t="str">
            <v>DRN132S4</v>
          </cell>
          <cell r="AH1780" t="str">
            <v>R77-DRN132S4270-X</v>
          </cell>
        </row>
        <row r="1781">
          <cell r="A1781" t="str">
            <v>MR001777</v>
          </cell>
          <cell r="B1781" t="str">
            <v>MR</v>
          </cell>
          <cell r="C1781">
            <v>30</v>
          </cell>
          <cell r="D1781">
            <v>108</v>
          </cell>
          <cell r="E1781" t="str">
            <v>R107</v>
          </cell>
          <cell r="F1781">
            <v>2640</v>
          </cell>
          <cell r="G1781">
            <v>13.66</v>
          </cell>
          <cell r="H1781">
            <v>1.65</v>
          </cell>
          <cell r="I1781" t="str">
            <v>M4</v>
          </cell>
          <cell r="J1781" t="str">
            <v>IE3</v>
          </cell>
          <cell r="K1781" t="str">
            <v>400/690</v>
          </cell>
          <cell r="L1781">
            <v>50</v>
          </cell>
          <cell r="M1781" t="str">
            <v>56/32,5</v>
          </cell>
          <cell r="N1781">
            <v>65</v>
          </cell>
          <cell r="O1781" t="str">
            <v>F(105°C)</v>
          </cell>
          <cell r="P1781" t="str">
            <v>270°</v>
          </cell>
          <cell r="Q1781" t="str">
            <v>-</v>
          </cell>
          <cell r="R1781" t="str">
            <v>-</v>
          </cell>
          <cell r="S1781" t="str">
            <v>-</v>
          </cell>
          <cell r="T1781" t="str">
            <v>-</v>
          </cell>
          <cell r="U1781" t="str">
            <v>-</v>
          </cell>
          <cell r="V1781" t="str">
            <v>D</v>
          </cell>
          <cell r="W1781" t="str">
            <v>-</v>
          </cell>
          <cell r="X1781" t="str">
            <v>CLP PG VG 220 = -20° + 80°</v>
          </cell>
          <cell r="Y1781" t="str">
            <v>R107DRN200L4</v>
          </cell>
          <cell r="Z1781" t="str">
            <v>SEW</v>
          </cell>
          <cell r="AB1781" t="str">
            <v>-</v>
          </cell>
          <cell r="AF1781">
            <v>108</v>
          </cell>
          <cell r="AG1781" t="str">
            <v>DRN200L4</v>
          </cell>
          <cell r="AH1781" t="str">
            <v>R107-DRN200L4270-X</v>
          </cell>
        </row>
        <row r="1782">
          <cell r="A1782" t="str">
            <v>MR001778</v>
          </cell>
          <cell r="B1782" t="str">
            <v>MR</v>
          </cell>
          <cell r="C1782">
            <v>15</v>
          </cell>
          <cell r="D1782">
            <v>15</v>
          </cell>
          <cell r="E1782" t="str">
            <v>FH127</v>
          </cell>
          <cell r="F1782">
            <v>9610</v>
          </cell>
          <cell r="G1782">
            <v>98.95</v>
          </cell>
          <cell r="H1782">
            <v>1.25</v>
          </cell>
          <cell r="I1782" t="str">
            <v>From M1 to M4 - 15°</v>
          </cell>
          <cell r="J1782" t="str">
            <v>IE3</v>
          </cell>
          <cell r="K1782" t="str">
            <v>400/690</v>
          </cell>
          <cell r="L1782">
            <v>50</v>
          </cell>
          <cell r="M1782" t="str">
            <v>29/16,7</v>
          </cell>
          <cell r="N1782">
            <v>65</v>
          </cell>
          <cell r="O1782" t="str">
            <v>F(105°C)</v>
          </cell>
          <cell r="P1782" t="str">
            <v>270°</v>
          </cell>
          <cell r="Q1782" t="str">
            <v>TF</v>
          </cell>
          <cell r="R1782" t="str">
            <v>V(VE)</v>
          </cell>
          <cell r="S1782" t="str">
            <v>-</v>
          </cell>
          <cell r="T1782" t="str">
            <v>-</v>
          </cell>
          <cell r="U1782" t="str">
            <v>G</v>
          </cell>
          <cell r="V1782" t="str">
            <v>FC</v>
          </cell>
          <cell r="W1782" t="str">
            <v>-</v>
          </cell>
          <cell r="X1782" t="str">
            <v>CLP PG VG 220 = -20° + 80°</v>
          </cell>
          <cell r="Y1782" t="str">
            <v>FH127/G DRN160L4 /TF/V</v>
          </cell>
          <cell r="Z1782" t="str">
            <v>SEW</v>
          </cell>
          <cell r="AB1782" t="str">
            <v>-</v>
          </cell>
          <cell r="AF1782">
            <v>15</v>
          </cell>
          <cell r="AG1782" t="str">
            <v>DRN160L4</v>
          </cell>
          <cell r="AH1782" t="str">
            <v>FH127G-DRN160L4270-X#</v>
          </cell>
        </row>
        <row r="1783">
          <cell r="A1783" t="str">
            <v>MR001779</v>
          </cell>
          <cell r="B1783" t="str">
            <v>MR</v>
          </cell>
          <cell r="C1783">
            <v>15</v>
          </cell>
          <cell r="D1783">
            <v>102</v>
          </cell>
          <cell r="E1783" t="str">
            <v>KH87</v>
          </cell>
          <cell r="F1783">
            <v>1400</v>
          </cell>
          <cell r="G1783">
            <v>14.45</v>
          </cell>
          <cell r="H1783">
            <v>1.5</v>
          </cell>
          <cell r="I1783" t="str">
            <v>M4A</v>
          </cell>
          <cell r="J1783" t="str">
            <v>IE3</v>
          </cell>
          <cell r="K1783" t="str">
            <v>400/690</v>
          </cell>
          <cell r="L1783">
            <v>50</v>
          </cell>
          <cell r="M1783" t="str">
            <v>29/16,7</v>
          </cell>
          <cell r="N1783">
            <v>65</v>
          </cell>
          <cell r="O1783" t="str">
            <v>F(105°C)</v>
          </cell>
          <cell r="P1783" t="str">
            <v>270°</v>
          </cell>
          <cell r="Q1783" t="str">
            <v>TF</v>
          </cell>
          <cell r="R1783" t="str">
            <v>-</v>
          </cell>
          <cell r="S1783" t="str">
            <v>Free rotation CCW</v>
          </cell>
          <cell r="T1783" t="str">
            <v>-</v>
          </cell>
          <cell r="U1783" t="str">
            <v>T</v>
          </cell>
          <cell r="V1783" t="str">
            <v>FC</v>
          </cell>
          <cell r="W1783" t="str">
            <v>-</v>
          </cell>
          <cell r="X1783" t="str">
            <v>CLP PG VG 220 = -20° + 80°</v>
          </cell>
          <cell r="Y1783" t="str">
            <v>KH87/T DRN160L4 /RS /TF</v>
          </cell>
          <cell r="Z1783" t="str">
            <v>SEW</v>
          </cell>
          <cell r="AB1783" t="str">
            <v>-</v>
          </cell>
          <cell r="AF1783">
            <v>102</v>
          </cell>
          <cell r="AG1783" t="str">
            <v>DRN160L4</v>
          </cell>
          <cell r="AH1783" t="str">
            <v>KH87T-DRN160L4A270-X</v>
          </cell>
        </row>
        <row r="1784">
          <cell r="A1784" t="str">
            <v>MR001780</v>
          </cell>
          <cell r="B1784" t="str">
            <v>MR</v>
          </cell>
          <cell r="C1784">
            <v>0.75</v>
          </cell>
          <cell r="D1784">
            <v>162</v>
          </cell>
          <cell r="E1784" t="str">
            <v>KA37</v>
          </cell>
          <cell r="F1784">
            <v>44</v>
          </cell>
          <cell r="G1784">
            <v>8.91</v>
          </cell>
          <cell r="H1784">
            <v>3.6</v>
          </cell>
          <cell r="I1784" t="str">
            <v>M3A</v>
          </cell>
          <cell r="J1784" t="str">
            <v>IE3</v>
          </cell>
          <cell r="K1784" t="str">
            <v>230/400</v>
          </cell>
          <cell r="L1784">
            <v>50</v>
          </cell>
          <cell r="M1784" t="str">
            <v>3,05/1,75</v>
          </cell>
          <cell r="N1784">
            <v>65</v>
          </cell>
          <cell r="O1784" t="str">
            <v>F(105°C)</v>
          </cell>
          <cell r="P1784" t="str">
            <v>180°</v>
          </cell>
          <cell r="Q1784" t="str">
            <v>-</v>
          </cell>
          <cell r="R1784" t="str">
            <v>-</v>
          </cell>
          <cell r="S1784" t="str">
            <v>-</v>
          </cell>
          <cell r="T1784" t="str">
            <v>-</v>
          </cell>
          <cell r="U1784" t="str">
            <v>T</v>
          </cell>
          <cell r="V1784" t="str">
            <v>D</v>
          </cell>
          <cell r="W1784" t="str">
            <v>-</v>
          </cell>
          <cell r="X1784" t="str">
            <v>CLP PG VG 220 = -20° + 80°</v>
          </cell>
          <cell r="Y1784" t="str">
            <v>KA37/T DRN80M4</v>
          </cell>
          <cell r="Z1784" t="str">
            <v>SEW</v>
          </cell>
          <cell r="AB1784" t="str">
            <v>-</v>
          </cell>
          <cell r="AF1784">
            <v>162</v>
          </cell>
          <cell r="AG1784" t="str">
            <v>DRN80M4</v>
          </cell>
          <cell r="AH1784" t="str">
            <v>KA37T-DRN80M4A180-X</v>
          </cell>
        </row>
        <row r="1785">
          <cell r="A1785" t="str">
            <v>MR001781</v>
          </cell>
          <cell r="B1785" t="str">
            <v>MR</v>
          </cell>
          <cell r="C1785">
            <v>18.5</v>
          </cell>
          <cell r="D1785">
            <v>66</v>
          </cell>
          <cell r="E1785" t="str">
            <v>KH97</v>
          </cell>
          <cell r="F1785">
            <v>2670</v>
          </cell>
          <cell r="G1785">
            <v>22.37</v>
          </cell>
          <cell r="H1785">
            <v>1.6</v>
          </cell>
          <cell r="I1785" t="str">
            <v>From M3A to M4 - 5°</v>
          </cell>
          <cell r="J1785" t="str">
            <v>IE3</v>
          </cell>
          <cell r="K1785" t="str">
            <v>400/690</v>
          </cell>
          <cell r="L1785">
            <v>50</v>
          </cell>
          <cell r="M1785" t="str">
            <v>33,5/19,3</v>
          </cell>
          <cell r="N1785">
            <v>65</v>
          </cell>
          <cell r="O1785" t="str">
            <v>F(105°C)</v>
          </cell>
          <cell r="P1785" t="str">
            <v>180°</v>
          </cell>
          <cell r="Q1785" t="str">
            <v>TF</v>
          </cell>
          <cell r="R1785" t="str">
            <v>V(VE)</v>
          </cell>
          <cell r="S1785" t="str">
            <v>Free rotation CCW</v>
          </cell>
          <cell r="T1785" t="str">
            <v>-</v>
          </cell>
          <cell r="U1785" t="str">
            <v>T</v>
          </cell>
          <cell r="V1785" t="str">
            <v>FC</v>
          </cell>
          <cell r="W1785" t="str">
            <v>-</v>
          </cell>
          <cell r="X1785" t="str">
            <v>CLP PG VG 220 = -20° + 80°</v>
          </cell>
          <cell r="Y1785" t="str">
            <v>KH97/T DRN180M4 /RS /TF/V</v>
          </cell>
          <cell r="Z1785" t="str">
            <v>SEW</v>
          </cell>
          <cell r="AB1785" t="str">
            <v>-</v>
          </cell>
          <cell r="AF1785">
            <v>66</v>
          </cell>
          <cell r="AG1785" t="str">
            <v>DRN180M4</v>
          </cell>
          <cell r="AH1785" t="str">
            <v>KH97T-DRN180M4A180-X#</v>
          </cell>
        </row>
        <row r="1786">
          <cell r="A1786" t="str">
            <v>MR001782</v>
          </cell>
          <cell r="B1786" t="str">
            <v>MR</v>
          </cell>
          <cell r="C1786">
            <v>0.75</v>
          </cell>
          <cell r="D1786">
            <v>162</v>
          </cell>
          <cell r="E1786" t="str">
            <v>KA37</v>
          </cell>
          <cell r="F1786">
            <v>44</v>
          </cell>
          <cell r="G1786">
            <v>8.91</v>
          </cell>
          <cell r="H1786">
            <v>3.6</v>
          </cell>
          <cell r="I1786" t="str">
            <v>From M3A to M4 - 5°</v>
          </cell>
          <cell r="J1786" t="str">
            <v>IE3</v>
          </cell>
          <cell r="K1786" t="str">
            <v>230/400</v>
          </cell>
          <cell r="L1786">
            <v>50</v>
          </cell>
          <cell r="M1786" t="str">
            <v>3,05/1,75</v>
          </cell>
          <cell r="N1786">
            <v>65</v>
          </cell>
          <cell r="O1786" t="str">
            <v>F(105°C)</v>
          </cell>
          <cell r="P1786" t="str">
            <v>180°</v>
          </cell>
          <cell r="Q1786" t="str">
            <v>-</v>
          </cell>
          <cell r="R1786" t="str">
            <v>-</v>
          </cell>
          <cell r="S1786" t="str">
            <v>-</v>
          </cell>
          <cell r="T1786" t="str">
            <v>-</v>
          </cell>
          <cell r="U1786" t="str">
            <v>T</v>
          </cell>
          <cell r="V1786" t="str">
            <v>D</v>
          </cell>
          <cell r="W1786" t="str">
            <v>-</v>
          </cell>
          <cell r="X1786" t="str">
            <v>CLP PG VG 220 = -20° + 80°</v>
          </cell>
          <cell r="Y1786" t="str">
            <v>KA37/T DRN80M4</v>
          </cell>
          <cell r="Z1786" t="str">
            <v>SEW</v>
          </cell>
          <cell r="AB1786" t="str">
            <v>-</v>
          </cell>
          <cell r="AF1786">
            <v>162</v>
          </cell>
          <cell r="AG1786" t="str">
            <v>DRN80M4</v>
          </cell>
          <cell r="AH1786" t="str">
            <v>KA37T-DRN80M4A180-X</v>
          </cell>
        </row>
        <row r="1787">
          <cell r="A1787" t="str">
            <v>MR001783</v>
          </cell>
          <cell r="B1787" t="str">
            <v>MR</v>
          </cell>
          <cell r="C1787">
            <v>0.25</v>
          </cell>
          <cell r="D1787">
            <v>32</v>
          </cell>
          <cell r="E1787" t="str">
            <v>FA37</v>
          </cell>
          <cell r="F1787">
            <v>74</v>
          </cell>
          <cell r="G1787">
            <v>43.83</v>
          </cell>
          <cell r="H1787">
            <v>2.7</v>
          </cell>
          <cell r="I1787" t="str">
            <v>M1</v>
          </cell>
          <cell r="J1787" t="str">
            <v>IE3</v>
          </cell>
          <cell r="K1787" t="str">
            <v>230/400</v>
          </cell>
          <cell r="L1787">
            <v>50</v>
          </cell>
          <cell r="M1787" t="str">
            <v>1,26/0,72</v>
          </cell>
          <cell r="N1787">
            <v>65</v>
          </cell>
          <cell r="O1787" t="str">
            <v>F(105°C)</v>
          </cell>
          <cell r="P1787" t="str">
            <v>270°</v>
          </cell>
          <cell r="Q1787" t="str">
            <v>-</v>
          </cell>
          <cell r="R1787" t="str">
            <v>-</v>
          </cell>
          <cell r="S1787" t="str">
            <v>-</v>
          </cell>
          <cell r="T1787" t="str">
            <v>-</v>
          </cell>
          <cell r="U1787" t="str">
            <v>G</v>
          </cell>
          <cell r="V1787" t="str">
            <v>D</v>
          </cell>
          <cell r="W1787" t="str">
            <v>-</v>
          </cell>
          <cell r="X1787" t="str">
            <v>CLP PG VG 220 = -20° + 80°</v>
          </cell>
          <cell r="Y1787" t="str">
            <v>FA37/G DRN71MS4</v>
          </cell>
          <cell r="Z1787" t="str">
            <v>SEW</v>
          </cell>
          <cell r="AB1787" t="str">
            <v>-</v>
          </cell>
          <cell r="AF1787">
            <v>32</v>
          </cell>
          <cell r="AG1787" t="str">
            <v>DRN71MS4</v>
          </cell>
          <cell r="AH1787" t="str">
            <v>FA37G-DRN71MS4270-X</v>
          </cell>
        </row>
        <row r="1788">
          <cell r="A1788" t="str">
            <v>MR001784</v>
          </cell>
          <cell r="B1788" t="str">
            <v>MR</v>
          </cell>
          <cell r="C1788">
            <v>22</v>
          </cell>
          <cell r="D1788">
            <v>15</v>
          </cell>
          <cell r="E1788" t="str">
            <v>KH157</v>
          </cell>
          <cell r="F1788">
            <v>14300</v>
          </cell>
          <cell r="G1788">
            <v>100.22</v>
          </cell>
          <cell r="H1788">
            <v>1.4</v>
          </cell>
          <cell r="I1788" t="str">
            <v>From M1A to M4 55°</v>
          </cell>
          <cell r="J1788" t="str">
            <v>IE3</v>
          </cell>
          <cell r="K1788" t="str">
            <v>400/690</v>
          </cell>
          <cell r="L1788">
            <v>50</v>
          </cell>
          <cell r="M1788" t="str">
            <v>38,5/22,5</v>
          </cell>
          <cell r="N1788">
            <v>65</v>
          </cell>
          <cell r="O1788" t="str">
            <v>F(105°C)</v>
          </cell>
          <cell r="P1788" t="str">
            <v>270°</v>
          </cell>
          <cell r="Q1788" t="str">
            <v>TF</v>
          </cell>
          <cell r="R1788" t="str">
            <v>V(VE)</v>
          </cell>
          <cell r="S1788" t="str">
            <v>-</v>
          </cell>
          <cell r="T1788" t="str">
            <v>-</v>
          </cell>
          <cell r="U1788" t="str">
            <v>-</v>
          </cell>
          <cell r="V1788" t="str">
            <v>FC</v>
          </cell>
          <cell r="W1788" t="str">
            <v>-</v>
          </cell>
          <cell r="X1788" t="str">
            <v>CLP PG VG 220 = -20° + 80°</v>
          </cell>
          <cell r="Y1788" t="str">
            <v>KH157DRN180L4 /TF/V</v>
          </cell>
          <cell r="Z1788" t="str">
            <v>SEW</v>
          </cell>
          <cell r="AB1788" t="str">
            <v>-</v>
          </cell>
          <cell r="AF1788">
            <v>15</v>
          </cell>
          <cell r="AG1788" t="str">
            <v>DRN180L4</v>
          </cell>
          <cell r="AH1788" t="str">
            <v>KH157-DRN180L4A270-X#</v>
          </cell>
        </row>
        <row r="1789">
          <cell r="A1789" t="str">
            <v>MR001785</v>
          </cell>
          <cell r="B1789" t="str">
            <v>MR</v>
          </cell>
          <cell r="C1789">
            <v>15</v>
          </cell>
          <cell r="D1789">
            <v>18</v>
          </cell>
          <cell r="E1789" t="str">
            <v>KH107</v>
          </cell>
          <cell r="F1789">
            <v>8020</v>
          </cell>
          <cell r="G1789">
            <v>82.61</v>
          </cell>
          <cell r="H1789">
            <v>1</v>
          </cell>
          <cell r="I1789" t="str">
            <v>From M1B to M4 45°</v>
          </cell>
          <cell r="J1789" t="str">
            <v>IE3</v>
          </cell>
          <cell r="K1789" t="str">
            <v>400/690</v>
          </cell>
          <cell r="L1789">
            <v>50</v>
          </cell>
          <cell r="M1789" t="str">
            <v>29/16,7</v>
          </cell>
          <cell r="N1789">
            <v>65</v>
          </cell>
          <cell r="O1789" t="str">
            <v>F(105°C)</v>
          </cell>
          <cell r="P1789" t="str">
            <v>270°</v>
          </cell>
          <cell r="Q1789" t="str">
            <v>TF</v>
          </cell>
          <cell r="R1789" t="str">
            <v>V(VE)</v>
          </cell>
          <cell r="S1789" t="str">
            <v>-</v>
          </cell>
          <cell r="T1789" t="str">
            <v>-</v>
          </cell>
          <cell r="U1789" t="str">
            <v>-</v>
          </cell>
          <cell r="V1789" t="str">
            <v>FC</v>
          </cell>
          <cell r="W1789" t="str">
            <v>-</v>
          </cell>
          <cell r="X1789" t="str">
            <v>CLP PG VG 220 = -20° + 80°</v>
          </cell>
          <cell r="Y1789" t="str">
            <v>KH107DRN160L4 /TF/V</v>
          </cell>
          <cell r="Z1789" t="str">
            <v>SEW</v>
          </cell>
          <cell r="AB1789" t="str">
            <v>-</v>
          </cell>
          <cell r="AF1789">
            <v>18</v>
          </cell>
          <cell r="AG1789" t="str">
            <v>DRN160L4</v>
          </cell>
          <cell r="AH1789" t="str">
            <v>KH107-DRN160L4B270-X#</v>
          </cell>
        </row>
        <row r="1790">
          <cell r="A1790" t="str">
            <v>MR001786</v>
          </cell>
          <cell r="B1790" t="str">
            <v>MR</v>
          </cell>
          <cell r="C1790">
            <v>0.37</v>
          </cell>
          <cell r="D1790">
            <v>4.8</v>
          </cell>
          <cell r="E1790" t="str">
            <v>FA67</v>
          </cell>
          <cell r="F1790">
            <v>735</v>
          </cell>
          <cell r="G1790">
            <v>195.39</v>
          </cell>
          <cell r="H1790">
            <v>1.1000000000000001</v>
          </cell>
          <cell r="I1790" t="str">
            <v>M5</v>
          </cell>
          <cell r="J1790" t="str">
            <v>IE3</v>
          </cell>
          <cell r="K1790" t="str">
            <v>230/400</v>
          </cell>
          <cell r="L1790">
            <v>50</v>
          </cell>
          <cell r="M1790" t="str">
            <v>1,82/1,05</v>
          </cell>
          <cell r="N1790">
            <v>65</v>
          </cell>
          <cell r="O1790" t="str">
            <v>F(105°C)</v>
          </cell>
          <cell r="P1790" t="str">
            <v>270°</v>
          </cell>
          <cell r="Q1790" t="str">
            <v>-</v>
          </cell>
          <cell r="R1790" t="str">
            <v>-</v>
          </cell>
          <cell r="S1790" t="str">
            <v>-</v>
          </cell>
          <cell r="T1790" t="str">
            <v>-</v>
          </cell>
          <cell r="U1790" t="str">
            <v>G</v>
          </cell>
          <cell r="V1790" t="str">
            <v>D</v>
          </cell>
          <cell r="W1790" t="str">
            <v>-</v>
          </cell>
          <cell r="X1790" t="str">
            <v>CLP PG VG 220 = -20° + 80°</v>
          </cell>
          <cell r="Y1790" t="str">
            <v>FA67/GDRN80MK6</v>
          </cell>
          <cell r="Z1790" t="str">
            <v>SEW</v>
          </cell>
          <cell r="AB1790" t="str">
            <v>-</v>
          </cell>
          <cell r="AF1790">
            <v>4.8</v>
          </cell>
          <cell r="AG1790" t="str">
            <v>DRN71M4</v>
          </cell>
          <cell r="AH1790" t="str">
            <v>FA67G-DRN71M4270-X</v>
          </cell>
        </row>
        <row r="1791">
          <cell r="A1791" t="str">
            <v>MR001787</v>
          </cell>
          <cell r="B1791" t="str">
            <v>MR</v>
          </cell>
          <cell r="C1791">
            <v>1.5</v>
          </cell>
          <cell r="D1791">
            <v>210</v>
          </cell>
          <cell r="E1791" t="str">
            <v>R47</v>
          </cell>
          <cell r="F1791">
            <v>68</v>
          </cell>
          <cell r="G1791">
            <v>6.96</v>
          </cell>
          <cell r="H1791">
            <v>2.2999999999999998</v>
          </cell>
          <cell r="I1791" t="str">
            <v>M6</v>
          </cell>
          <cell r="J1791" t="str">
            <v>IE3</v>
          </cell>
          <cell r="K1791" t="str">
            <v>230/400</v>
          </cell>
          <cell r="L1791">
            <v>50</v>
          </cell>
          <cell r="M1791" t="str">
            <v>5,9/3,4</v>
          </cell>
          <cell r="N1791">
            <v>55</v>
          </cell>
          <cell r="O1791" t="str">
            <v>F(105°C)</v>
          </cell>
          <cell r="P1791" t="str">
            <v>270°</v>
          </cell>
          <cell r="Q1791" t="str">
            <v>TH</v>
          </cell>
          <cell r="R1791" t="str">
            <v>-</v>
          </cell>
          <cell r="S1791" t="str">
            <v>-</v>
          </cell>
          <cell r="T1791" t="str">
            <v>-</v>
          </cell>
          <cell r="U1791" t="str">
            <v>-</v>
          </cell>
          <cell r="V1791" t="str">
            <v>D</v>
          </cell>
          <cell r="W1791" t="str">
            <v>-</v>
          </cell>
          <cell r="X1791" t="str">
            <v>CLP VG 220 = -15° + 40°</v>
          </cell>
          <cell r="Y1791" t="str">
            <v>R47DRN90L4 /TH</v>
          </cell>
          <cell r="Z1791" t="str">
            <v>SEW</v>
          </cell>
          <cell r="AB1791" t="str">
            <v>-</v>
          </cell>
          <cell r="AF1791">
            <v>210</v>
          </cell>
          <cell r="AG1791" t="str">
            <v>DRN90L4</v>
          </cell>
          <cell r="AH1791" t="str">
            <v>R47-DRN90L4270-X</v>
          </cell>
        </row>
        <row r="1792">
          <cell r="A1792" t="str">
            <v>MR001788</v>
          </cell>
          <cell r="B1792" t="str">
            <v>MR</v>
          </cell>
          <cell r="C1792">
            <v>2.2000000000000002</v>
          </cell>
          <cell r="D1792">
            <v>255</v>
          </cell>
          <cell r="E1792" t="str">
            <v>RF47</v>
          </cell>
          <cell r="F1792">
            <v>82</v>
          </cell>
          <cell r="G1792">
            <v>5.64</v>
          </cell>
          <cell r="H1792">
            <v>1.7</v>
          </cell>
          <cell r="I1792" t="str">
            <v>M3</v>
          </cell>
          <cell r="J1792" t="str">
            <v>IE2</v>
          </cell>
          <cell r="K1792" t="str">
            <v>220/380</v>
          </cell>
          <cell r="L1792">
            <v>50</v>
          </cell>
          <cell r="M1792" t="str">
            <v>8,6/4,95</v>
          </cell>
          <cell r="N1792">
            <v>54</v>
          </cell>
          <cell r="O1792" t="str">
            <v>F(105°C)</v>
          </cell>
          <cell r="P1792" t="str">
            <v>90°</v>
          </cell>
          <cell r="Q1792" t="str">
            <v>TF</v>
          </cell>
          <cell r="R1792" t="str">
            <v>V(VE)</v>
          </cell>
          <cell r="S1792" t="str">
            <v>-</v>
          </cell>
          <cell r="T1792" t="str">
            <v>BE5HR</v>
          </cell>
          <cell r="U1792" t="str">
            <v>-</v>
          </cell>
          <cell r="V1792" t="str">
            <v>D</v>
          </cell>
          <cell r="W1792" t="str">
            <v>-</v>
          </cell>
          <cell r="X1792" t="str">
            <v>CLP HC VG 220 = -20° + 60°</v>
          </cell>
          <cell r="Y1792" t="str">
            <v>RF47/II2GD EDRE100L4BE5HR/3D/KCC/TF/ES7R/VE</v>
          </cell>
          <cell r="Z1792" t="str">
            <v>SEW</v>
          </cell>
          <cell r="AA1792" t="str">
            <v>RAL6018</v>
          </cell>
          <cell r="AB1792" t="str">
            <v>ATEX22</v>
          </cell>
          <cell r="AE1792" t="str">
            <v>Rectifier for brake in the terminal box</v>
          </cell>
          <cell r="AF1792">
            <v>255</v>
          </cell>
          <cell r="AG1792" t="str">
            <v>EDRE100L4</v>
          </cell>
          <cell r="AH1792" t="str">
            <v>RF47-EDRE100L490-X#</v>
          </cell>
        </row>
        <row r="1793">
          <cell r="A1793" t="str">
            <v>MR001789</v>
          </cell>
          <cell r="B1793" t="str">
            <v>MR</v>
          </cell>
          <cell r="C1793">
            <v>1.5</v>
          </cell>
          <cell r="D1793">
            <v>238</v>
          </cell>
          <cell r="E1793" t="str">
            <v>R47</v>
          </cell>
          <cell r="F1793">
            <v>60</v>
          </cell>
          <cell r="G1793">
            <v>6</v>
          </cell>
          <cell r="H1793">
            <v>2.4</v>
          </cell>
          <cell r="I1793" t="str">
            <v>M3</v>
          </cell>
          <cell r="J1793" t="str">
            <v>IE2</v>
          </cell>
          <cell r="K1793" t="str">
            <v>220/380</v>
          </cell>
          <cell r="L1793">
            <v>50</v>
          </cell>
          <cell r="M1793" t="str">
            <v>6,2/3,6</v>
          </cell>
          <cell r="N1793">
            <v>54</v>
          </cell>
          <cell r="O1793" t="str">
            <v>F(105°C)</v>
          </cell>
          <cell r="P1793" t="str">
            <v>0°</v>
          </cell>
          <cell r="Q1793" t="str">
            <v>TF</v>
          </cell>
          <cell r="R1793" t="str">
            <v>-</v>
          </cell>
          <cell r="S1793" t="str">
            <v>-</v>
          </cell>
          <cell r="T1793" t="str">
            <v>-</v>
          </cell>
          <cell r="U1793" t="str">
            <v>-</v>
          </cell>
          <cell r="V1793" t="str">
            <v>D</v>
          </cell>
          <cell r="W1793" t="str">
            <v>-</v>
          </cell>
          <cell r="X1793" t="str">
            <v>CLP HC VG 220 = -20° + 60°</v>
          </cell>
          <cell r="Y1793" t="str">
            <v>R47/IIGD EDRE90L4/3D/KCC/TF/AL</v>
          </cell>
          <cell r="Z1793" t="str">
            <v>SEW</v>
          </cell>
          <cell r="AA1793" t="str">
            <v>RAL6018</v>
          </cell>
          <cell r="AB1793" t="str">
            <v>ATEX22</v>
          </cell>
          <cell r="AF1793">
            <v>238</v>
          </cell>
          <cell r="AG1793" t="str">
            <v>EDRE90L4</v>
          </cell>
          <cell r="AH1793" t="str">
            <v>R47-EDRE90L40-X</v>
          </cell>
        </row>
        <row r="1794">
          <cell r="A1794" t="str">
            <v>MR001790</v>
          </cell>
          <cell r="B1794" t="str">
            <v>MR</v>
          </cell>
          <cell r="C1794">
            <v>5.5</v>
          </cell>
          <cell r="D1794">
            <v>47</v>
          </cell>
          <cell r="E1794" t="str">
            <v>KH77</v>
          </cell>
          <cell r="F1794">
            <v>1110</v>
          </cell>
          <cell r="G1794">
            <v>30.89</v>
          </cell>
          <cell r="H1794">
            <v>1.4</v>
          </cell>
          <cell r="I1794" t="str">
            <v>M4A</v>
          </cell>
          <cell r="J1794" t="str">
            <v>IE3</v>
          </cell>
          <cell r="K1794" t="str">
            <v>230/400</v>
          </cell>
          <cell r="L1794">
            <v>50</v>
          </cell>
          <cell r="M1794" t="str">
            <v>18,2/10,5</v>
          </cell>
          <cell r="N1794">
            <v>65</v>
          </cell>
          <cell r="O1794" t="str">
            <v>F(105°C)</v>
          </cell>
          <cell r="P1794" t="str">
            <v>270°</v>
          </cell>
          <cell r="Q1794" t="str">
            <v>-</v>
          </cell>
          <cell r="R1794" t="str">
            <v>-</v>
          </cell>
          <cell r="S1794" t="str">
            <v>Free rotation CCW</v>
          </cell>
          <cell r="T1794" t="str">
            <v>-</v>
          </cell>
          <cell r="U1794" t="str">
            <v>T</v>
          </cell>
          <cell r="V1794" t="str">
            <v>SS</v>
          </cell>
          <cell r="W1794" t="str">
            <v>-</v>
          </cell>
          <cell r="X1794" t="str">
            <v>CLP HC VG 220 = -20° + 60°</v>
          </cell>
          <cell r="Y1794" t="str">
            <v>KH77/T DRN132S4 /RS</v>
          </cell>
          <cell r="Z1794" t="str">
            <v>SEW</v>
          </cell>
          <cell r="AB1794" t="str">
            <v>-</v>
          </cell>
          <cell r="AF1794">
            <v>47</v>
          </cell>
          <cell r="AG1794" t="str">
            <v>DRN132S4</v>
          </cell>
          <cell r="AH1794" t="str">
            <v>KH77T-DRN132S4A270-X</v>
          </cell>
        </row>
        <row r="1795">
          <cell r="A1795" t="str">
            <v>MR001791</v>
          </cell>
          <cell r="B1795" t="str">
            <v>MR</v>
          </cell>
          <cell r="C1795">
            <v>5.5</v>
          </cell>
          <cell r="D1795">
            <v>47</v>
          </cell>
          <cell r="E1795" t="str">
            <v>KH77</v>
          </cell>
          <cell r="F1795">
            <v>1110</v>
          </cell>
          <cell r="G1795">
            <v>30.89</v>
          </cell>
          <cell r="H1795">
            <v>1.4</v>
          </cell>
          <cell r="I1795" t="str">
            <v>M4A</v>
          </cell>
          <cell r="J1795" t="str">
            <v>IE3</v>
          </cell>
          <cell r="K1795" t="str">
            <v>230/400</v>
          </cell>
          <cell r="L1795">
            <v>50</v>
          </cell>
          <cell r="M1795" t="str">
            <v>18,2/10,5</v>
          </cell>
          <cell r="N1795">
            <v>65</v>
          </cell>
          <cell r="O1795" t="str">
            <v>F(105°C)</v>
          </cell>
          <cell r="P1795" t="str">
            <v>270°</v>
          </cell>
          <cell r="Q1795" t="str">
            <v>-</v>
          </cell>
          <cell r="R1795" t="str">
            <v>-</v>
          </cell>
          <cell r="S1795" t="str">
            <v>-</v>
          </cell>
          <cell r="T1795" t="str">
            <v>-</v>
          </cell>
          <cell r="U1795" t="str">
            <v>T</v>
          </cell>
          <cell r="V1795" t="str">
            <v>SS</v>
          </cell>
          <cell r="W1795" t="str">
            <v>-</v>
          </cell>
          <cell r="X1795" t="str">
            <v>CLP HC VG 220 = -20° + 60°</v>
          </cell>
          <cell r="Y1795" t="str">
            <v>KH77/T DRN132S4</v>
          </cell>
          <cell r="Z1795" t="str">
            <v>SEW</v>
          </cell>
          <cell r="AB1795" t="str">
            <v>-</v>
          </cell>
          <cell r="AF1795">
            <v>47</v>
          </cell>
          <cell r="AG1795" t="str">
            <v>DRN132S4</v>
          </cell>
          <cell r="AH1795" t="str">
            <v>KH77T-DRN132S4A270-X</v>
          </cell>
        </row>
        <row r="1796">
          <cell r="A1796" t="str">
            <v>MR001792</v>
          </cell>
          <cell r="B1796" t="str">
            <v>MR</v>
          </cell>
          <cell r="C1796">
            <v>11</v>
          </cell>
          <cell r="D1796">
            <v>47</v>
          </cell>
          <cell r="E1796" t="str">
            <v>KH87</v>
          </cell>
          <cell r="F1796">
            <v>2230</v>
          </cell>
          <cell r="G1796">
            <v>31.39</v>
          </cell>
          <cell r="H1796">
            <v>1.2</v>
          </cell>
          <cell r="I1796" t="str">
            <v>M4B</v>
          </cell>
          <cell r="J1796" t="str">
            <v>IE3</v>
          </cell>
          <cell r="K1796" t="str">
            <v>400/690</v>
          </cell>
          <cell r="L1796">
            <v>50</v>
          </cell>
          <cell r="M1796" t="str">
            <v>21/12,2</v>
          </cell>
          <cell r="N1796">
            <v>65</v>
          </cell>
          <cell r="O1796" t="str">
            <v>F(105°C)</v>
          </cell>
          <cell r="P1796" t="str">
            <v>270°</v>
          </cell>
          <cell r="Q1796" t="str">
            <v>-</v>
          </cell>
          <cell r="R1796" t="str">
            <v>-</v>
          </cell>
          <cell r="S1796" t="str">
            <v>-</v>
          </cell>
          <cell r="T1796" t="str">
            <v>-</v>
          </cell>
          <cell r="U1796" t="str">
            <v>T</v>
          </cell>
          <cell r="V1796" t="str">
            <v>SS</v>
          </cell>
          <cell r="W1796" t="str">
            <v>-</v>
          </cell>
          <cell r="X1796" t="str">
            <v>CLP HC VG 220 = -20° + 60°</v>
          </cell>
          <cell r="Y1796" t="str">
            <v>KH87/T DRN160M4</v>
          </cell>
          <cell r="Z1796" t="str">
            <v>SEW</v>
          </cell>
          <cell r="AB1796" t="str">
            <v>-</v>
          </cell>
          <cell r="AF1796">
            <v>47</v>
          </cell>
          <cell r="AG1796" t="str">
            <v>DRN160M4</v>
          </cell>
          <cell r="AH1796" t="str">
            <v>KH87T-DRN160M4B270-X</v>
          </cell>
        </row>
        <row r="1797">
          <cell r="A1797" t="str">
            <v>MR001793</v>
          </cell>
          <cell r="B1797" t="str">
            <v>MR</v>
          </cell>
          <cell r="C1797">
            <v>18.5</v>
          </cell>
          <cell r="D1797">
            <v>14</v>
          </cell>
          <cell r="E1797" t="str">
            <v>R147</v>
          </cell>
          <cell r="F1797">
            <v>13000</v>
          </cell>
          <cell r="G1797">
            <v>109.31</v>
          </cell>
          <cell r="H1797">
            <v>1</v>
          </cell>
          <cell r="I1797" t="str">
            <v>From M1 to M4 - 20°</v>
          </cell>
          <cell r="J1797" t="str">
            <v>IE3</v>
          </cell>
          <cell r="K1797" t="str">
            <v>400/690</v>
          </cell>
          <cell r="L1797">
            <v>50</v>
          </cell>
          <cell r="M1797" t="str">
            <v>33,5/19,3</v>
          </cell>
          <cell r="N1797">
            <v>65</v>
          </cell>
          <cell r="O1797" t="str">
            <v>F(105°C)</v>
          </cell>
          <cell r="P1797" t="str">
            <v>270°</v>
          </cell>
          <cell r="Q1797" t="str">
            <v>TF</v>
          </cell>
          <cell r="R1797" t="str">
            <v>V(VE)</v>
          </cell>
          <cell r="S1797" t="str">
            <v>-</v>
          </cell>
          <cell r="T1797" t="str">
            <v>-</v>
          </cell>
          <cell r="U1797" t="str">
            <v>-</v>
          </cell>
          <cell r="V1797" t="str">
            <v>FC</v>
          </cell>
          <cell r="W1797" t="str">
            <v>-</v>
          </cell>
          <cell r="X1797" t="str">
            <v>CLP VG 220 = -15° + 40°</v>
          </cell>
          <cell r="Y1797" t="str">
            <v>R147DRN180M4 /TF/V</v>
          </cell>
          <cell r="Z1797" t="str">
            <v>SEW</v>
          </cell>
          <cell r="AB1797" t="str">
            <v>-</v>
          </cell>
          <cell r="AF1797">
            <v>14</v>
          </cell>
          <cell r="AG1797" t="str">
            <v>DRN180M4</v>
          </cell>
          <cell r="AH1797" t="str">
            <v>R147-DRN180M4270-X#</v>
          </cell>
        </row>
        <row r="1798">
          <cell r="A1798" t="str">
            <v>MR001794</v>
          </cell>
          <cell r="B1798" t="str">
            <v>MR</v>
          </cell>
          <cell r="C1798">
            <v>0.55000000000000004</v>
          </cell>
          <cell r="D1798">
            <v>67</v>
          </cell>
          <cell r="E1798" t="str">
            <v>FA37</v>
          </cell>
          <cell r="F1798">
            <v>78</v>
          </cell>
          <cell r="G1798">
            <v>20.57</v>
          </cell>
          <cell r="H1798">
            <v>2.6</v>
          </cell>
          <cell r="I1798" t="str">
            <v>From M1 to M5 - 5°</v>
          </cell>
          <cell r="J1798" t="str">
            <v>IE2</v>
          </cell>
          <cell r="K1798" t="str">
            <v>230/400</v>
          </cell>
          <cell r="L1798">
            <v>50</v>
          </cell>
          <cell r="M1798">
            <v>1.55</v>
          </cell>
          <cell r="N1798">
            <v>65</v>
          </cell>
          <cell r="O1798" t="str">
            <v>F(105°C)</v>
          </cell>
          <cell r="P1798" t="str">
            <v>270°</v>
          </cell>
          <cell r="Q1798" t="str">
            <v>TF</v>
          </cell>
          <cell r="R1798" t="str">
            <v>-</v>
          </cell>
          <cell r="S1798" t="str">
            <v>-</v>
          </cell>
          <cell r="T1798" t="str">
            <v>-</v>
          </cell>
          <cell r="U1798" t="str">
            <v>G</v>
          </cell>
          <cell r="V1798" t="str">
            <v>D+R</v>
          </cell>
          <cell r="W1798" t="str">
            <v>-</v>
          </cell>
          <cell r="X1798" t="str">
            <v>CLP VG 220 = -15° + 40°</v>
          </cell>
          <cell r="Y1798" t="str">
            <v>FA37/GDRS71M4/TF</v>
          </cell>
          <cell r="Z1798" t="str">
            <v>SEW</v>
          </cell>
          <cell r="AB1798" t="str">
            <v>-</v>
          </cell>
          <cell r="AF1798">
            <v>67</v>
          </cell>
          <cell r="AG1798" t="str">
            <v>DRN80MK4</v>
          </cell>
          <cell r="AH1798" t="str">
            <v>FA37G-DRN80MK4270-X</v>
          </cell>
        </row>
        <row r="1799">
          <cell r="A1799" t="str">
            <v>MR001795</v>
          </cell>
          <cell r="B1799" t="str">
            <v>MR</v>
          </cell>
          <cell r="C1799">
            <v>0.75</v>
          </cell>
          <cell r="D1799">
            <v>1.5</v>
          </cell>
          <cell r="E1799" t="str">
            <v>KA97R57</v>
          </cell>
          <cell r="F1799">
            <v>3600</v>
          </cell>
          <cell r="G1799">
            <v>957</v>
          </cell>
          <cell r="H1799">
            <v>1.2</v>
          </cell>
          <cell r="I1799" t="str">
            <v>M3B</v>
          </cell>
          <cell r="J1799" t="str">
            <v>IE3</v>
          </cell>
          <cell r="K1799" t="str">
            <v>266/460</v>
          </cell>
          <cell r="L1799">
            <v>60</v>
          </cell>
          <cell r="M1799" t="str">
            <v>2,7/1,56</v>
          </cell>
          <cell r="N1799">
            <v>55</v>
          </cell>
          <cell r="O1799" t="str">
            <v>F(105°C)</v>
          </cell>
          <cell r="P1799" t="str">
            <v>0°</v>
          </cell>
          <cell r="Q1799" t="str">
            <v>TF</v>
          </cell>
          <cell r="R1799" t="str">
            <v>V(VE)</v>
          </cell>
          <cell r="S1799" t="str">
            <v>-</v>
          </cell>
          <cell r="T1799" t="str">
            <v>BEHF</v>
          </cell>
          <cell r="U1799" t="str">
            <v>T</v>
          </cell>
          <cell r="V1799" t="str">
            <v>FC+R</v>
          </cell>
          <cell r="W1799" t="str">
            <v>-</v>
          </cell>
          <cell r="X1799" t="str">
            <v>CLP VG 220 = -15° + 40°</v>
          </cell>
          <cell r="Y1799" t="str">
            <v>KA97R57/T DRN80M4 /BEHF /TF/V</v>
          </cell>
          <cell r="Z1799" t="str">
            <v>SEW</v>
          </cell>
          <cell r="AB1799" t="str">
            <v>-</v>
          </cell>
          <cell r="AF1799">
            <v>1.8</v>
          </cell>
          <cell r="AG1799" t="str">
            <v>DRN80M4</v>
          </cell>
          <cell r="AH1799" t="str">
            <v>KA97R57T-DRN80M4B0-X#</v>
          </cell>
        </row>
        <row r="1800">
          <cell r="A1800" t="str">
            <v>MR001796</v>
          </cell>
          <cell r="B1800" t="str">
            <v>MR</v>
          </cell>
          <cell r="C1800">
            <v>30</v>
          </cell>
          <cell r="D1800">
            <v>4</v>
          </cell>
          <cell r="E1800" t="str">
            <v>316R4</v>
          </cell>
          <cell r="F1800">
            <v>195</v>
          </cell>
          <cell r="G1800">
            <v>363</v>
          </cell>
          <cell r="I1800" t="str">
            <v>I0 - inclinato 20° verso I1</v>
          </cell>
          <cell r="J1800" t="str">
            <v>IE2</v>
          </cell>
          <cell r="K1800" t="str">
            <v>400/690</v>
          </cell>
          <cell r="L1800">
            <v>50</v>
          </cell>
          <cell r="M1800" t="str">
            <v>63/36,5</v>
          </cell>
          <cell r="N1800">
            <v>54</v>
          </cell>
          <cell r="O1800" t="str">
            <v>F(105°C)</v>
          </cell>
          <cell r="Q1800" t="str">
            <v>TF</v>
          </cell>
          <cell r="R1800" t="str">
            <v>U1</v>
          </cell>
          <cell r="S1800" t="str">
            <v>-</v>
          </cell>
          <cell r="T1800" t="str">
            <v>-</v>
          </cell>
          <cell r="U1800" t="str">
            <v>-</v>
          </cell>
          <cell r="V1800" t="str">
            <v>FC</v>
          </cell>
          <cell r="W1800" t="str">
            <v>-</v>
          </cell>
          <cell r="X1800" t="str">
            <v>CLP VG 220 = -15° + 40°</v>
          </cell>
          <cell r="Y1800" t="str">
            <v>316 R4 363 PC P200 I0 TN200L4P-B5 D3 U1 S</v>
          </cell>
          <cell r="Z1800" t="str">
            <v>Bonfiglioli</v>
          </cell>
          <cell r="AA1800">
            <v>9010</v>
          </cell>
          <cell r="AB1800" t="str">
            <v>-</v>
          </cell>
          <cell r="AE1800" t="str">
            <v>Composto da motore MR001645+riduttoreMR001646 Predisposto per inverter TF+servofan. Fornire pieni d'olio.</v>
          </cell>
          <cell r="AF1800">
            <v>4</v>
          </cell>
          <cell r="AG1800" t="str">
            <v>DRN200L4</v>
          </cell>
          <cell r="AH1800" t="str">
            <v>316R4-DRN200L4-X#</v>
          </cell>
        </row>
        <row r="1801">
          <cell r="A1801" t="str">
            <v>MR001797</v>
          </cell>
          <cell r="B1801" t="str">
            <v>MR</v>
          </cell>
          <cell r="C1801">
            <v>4</v>
          </cell>
          <cell r="D1801">
            <v>67</v>
          </cell>
          <cell r="E1801" t="str">
            <v>FH67</v>
          </cell>
          <cell r="F1801">
            <v>575</v>
          </cell>
          <cell r="G1801">
            <v>22.05</v>
          </cell>
          <cell r="H1801">
            <v>1.45</v>
          </cell>
          <cell r="I1801" t="str">
            <v>From M1 to M6 - 20°</v>
          </cell>
          <cell r="J1801" t="str">
            <v>IE3</v>
          </cell>
          <cell r="K1801" t="str">
            <v>230/400</v>
          </cell>
          <cell r="L1801">
            <v>50</v>
          </cell>
          <cell r="M1801" t="str">
            <v>13,8/7,9</v>
          </cell>
          <cell r="N1801">
            <v>54</v>
          </cell>
          <cell r="O1801" t="str">
            <v>F(105°C)</v>
          </cell>
          <cell r="P1801" t="str">
            <v>270°</v>
          </cell>
          <cell r="Q1801" t="str">
            <v>-</v>
          </cell>
          <cell r="R1801" t="str">
            <v>-</v>
          </cell>
          <cell r="S1801" t="str">
            <v>-</v>
          </cell>
          <cell r="T1801" t="str">
            <v>-</v>
          </cell>
          <cell r="U1801" t="str">
            <v>G</v>
          </cell>
          <cell r="V1801" t="str">
            <v>D</v>
          </cell>
          <cell r="W1801" t="str">
            <v>-</v>
          </cell>
          <cell r="X1801" t="str">
            <v>CLP VG 220 = -15° + 40°</v>
          </cell>
          <cell r="Y1801" t="str">
            <v>FH67/G DRN112M4 /TF</v>
          </cell>
          <cell r="Z1801" t="str">
            <v>SEW</v>
          </cell>
          <cell r="AB1801" t="str">
            <v>-</v>
          </cell>
          <cell r="AF1801">
            <v>67</v>
          </cell>
          <cell r="AG1801" t="str">
            <v>DRN112M4</v>
          </cell>
          <cell r="AH1801" t="str">
            <v>FH67G-DRN112M4270-X</v>
          </cell>
        </row>
        <row r="1802">
          <cell r="A1802" t="str">
            <v>MR001798</v>
          </cell>
          <cell r="B1802" t="str">
            <v>MR</v>
          </cell>
          <cell r="C1802">
            <v>15</v>
          </cell>
          <cell r="D1802">
            <v>13</v>
          </cell>
          <cell r="E1802" t="str">
            <v>KH127</v>
          </cell>
          <cell r="F1802">
            <v>10700</v>
          </cell>
          <cell r="G1802">
            <v>110.18</v>
          </cell>
          <cell r="H1802">
            <v>1.2</v>
          </cell>
          <cell r="I1802" t="str">
            <v>From M4A to M1A - 45°</v>
          </cell>
          <cell r="J1802" t="str">
            <v>IE3</v>
          </cell>
          <cell r="K1802" t="str">
            <v>400/690</v>
          </cell>
          <cell r="L1802">
            <v>50</v>
          </cell>
          <cell r="M1802" t="str">
            <v>29/16,7</v>
          </cell>
          <cell r="N1802">
            <v>65</v>
          </cell>
          <cell r="O1802" t="str">
            <v>F(105°C)</v>
          </cell>
          <cell r="P1802" t="str">
            <v>270°</v>
          </cell>
          <cell r="Q1802" t="str">
            <v>TF</v>
          </cell>
          <cell r="R1802" t="str">
            <v>V(VE)</v>
          </cell>
          <cell r="S1802" t="str">
            <v>-</v>
          </cell>
          <cell r="T1802" t="str">
            <v>-</v>
          </cell>
          <cell r="U1802" t="str">
            <v>-</v>
          </cell>
          <cell r="V1802" t="str">
            <v>FC</v>
          </cell>
          <cell r="W1802" t="str">
            <v>-</v>
          </cell>
          <cell r="X1802" t="str">
            <v>CLP PG VG 220 = -20° + 80°</v>
          </cell>
          <cell r="Y1802" t="str">
            <v>KH127DRN160L4 /TF/V</v>
          </cell>
          <cell r="Z1802" t="str">
            <v>SEW</v>
          </cell>
          <cell r="AB1802" t="str">
            <v>-</v>
          </cell>
          <cell r="AF1802">
            <v>13</v>
          </cell>
          <cell r="AG1802" t="str">
            <v>DRN160L4</v>
          </cell>
          <cell r="AH1802" t="str">
            <v>KH127-DRN160L4A270-X#</v>
          </cell>
        </row>
        <row r="1803">
          <cell r="A1803" t="str">
            <v>MR001799</v>
          </cell>
          <cell r="B1803" t="str">
            <v>MR</v>
          </cell>
          <cell r="C1803">
            <v>15</v>
          </cell>
          <cell r="D1803">
            <v>13</v>
          </cell>
          <cell r="E1803" t="str">
            <v>KH127</v>
          </cell>
          <cell r="F1803">
            <v>10700</v>
          </cell>
          <cell r="G1803">
            <v>110.18</v>
          </cell>
          <cell r="H1803">
            <v>1.2</v>
          </cell>
          <cell r="I1803" t="str">
            <v>From M4B to M1B - 45°</v>
          </cell>
          <cell r="J1803" t="str">
            <v>IE3</v>
          </cell>
          <cell r="K1803" t="str">
            <v>400/690</v>
          </cell>
          <cell r="L1803">
            <v>50</v>
          </cell>
          <cell r="M1803" t="str">
            <v>29/16,7</v>
          </cell>
          <cell r="N1803">
            <v>65</v>
          </cell>
          <cell r="O1803" t="str">
            <v>F(105°C)</v>
          </cell>
          <cell r="P1803" t="str">
            <v>270°</v>
          </cell>
          <cell r="Q1803" t="str">
            <v>TF</v>
          </cell>
          <cell r="R1803" t="str">
            <v>V(VE)</v>
          </cell>
          <cell r="S1803" t="str">
            <v>-</v>
          </cell>
          <cell r="T1803" t="str">
            <v>-</v>
          </cell>
          <cell r="U1803" t="str">
            <v>-</v>
          </cell>
          <cell r="V1803" t="str">
            <v>FC</v>
          </cell>
          <cell r="W1803" t="str">
            <v>-</v>
          </cell>
          <cell r="X1803" t="str">
            <v>CLP PG VG 220 = -20° + 80°</v>
          </cell>
          <cell r="Y1803" t="str">
            <v>KH127DRN160L4 /TF/V</v>
          </cell>
          <cell r="Z1803" t="str">
            <v>SEW</v>
          </cell>
          <cell r="AB1803" t="str">
            <v>-</v>
          </cell>
          <cell r="AF1803">
            <v>13</v>
          </cell>
          <cell r="AG1803" t="str">
            <v>DRN160L4</v>
          </cell>
          <cell r="AH1803" t="str">
            <v>KH127-DRN160L4B270-X#</v>
          </cell>
        </row>
        <row r="1804">
          <cell r="A1804" t="str">
            <v>MR001800</v>
          </cell>
          <cell r="B1804" t="str">
            <v>MR</v>
          </cell>
          <cell r="C1804">
            <v>30</v>
          </cell>
          <cell r="D1804">
            <v>4</v>
          </cell>
          <cell r="E1804" t="str">
            <v>316R4</v>
          </cell>
          <cell r="F1804">
            <v>195</v>
          </cell>
          <cell r="G1804">
            <v>363</v>
          </cell>
          <cell r="I1804" t="str">
            <v>I0 - inclinato 20° verso I3</v>
          </cell>
          <cell r="J1804" t="str">
            <v>IE2</v>
          </cell>
          <cell r="K1804" t="str">
            <v>400/690</v>
          </cell>
          <cell r="L1804">
            <v>50</v>
          </cell>
          <cell r="M1804" t="str">
            <v>63/36,5</v>
          </cell>
          <cell r="N1804">
            <v>54</v>
          </cell>
          <cell r="O1804" t="str">
            <v>F(105°C)</v>
          </cell>
          <cell r="Q1804" t="str">
            <v>TF</v>
          </cell>
          <cell r="R1804" t="str">
            <v>U1</v>
          </cell>
          <cell r="S1804" t="str">
            <v>-</v>
          </cell>
          <cell r="T1804" t="str">
            <v>-</v>
          </cell>
          <cell r="U1804" t="str">
            <v>-</v>
          </cell>
          <cell r="V1804" t="str">
            <v>FC</v>
          </cell>
          <cell r="W1804" t="str">
            <v>-</v>
          </cell>
          <cell r="X1804" t="str">
            <v>CLP VG 220 = -15° + 40°</v>
          </cell>
          <cell r="Y1804" t="str">
            <v>316 R4 363 PC P200 I0 TN200L4P-B5 D3 U1 S</v>
          </cell>
          <cell r="Z1804" t="str">
            <v>Bonfiglioli</v>
          </cell>
          <cell r="AA1804">
            <v>9010</v>
          </cell>
          <cell r="AB1804" t="str">
            <v>-</v>
          </cell>
          <cell r="AE1804" t="str">
            <v>Composto da motore MR001645+riduttoreMR001646 Predisposto per inverter TF+servofan. Fornire pieni d'olio.</v>
          </cell>
          <cell r="AF1804">
            <v>4</v>
          </cell>
          <cell r="AG1804" t="str">
            <v>DRN200L4</v>
          </cell>
          <cell r="AH1804" t="str">
            <v>316R4-DRN200L4-X#</v>
          </cell>
        </row>
        <row r="1805">
          <cell r="A1805" t="str">
            <v>MR001801</v>
          </cell>
          <cell r="B1805" t="str">
            <v>MR</v>
          </cell>
          <cell r="C1805">
            <v>5.5</v>
          </cell>
          <cell r="D1805">
            <v>47</v>
          </cell>
          <cell r="E1805" t="str">
            <v>K77</v>
          </cell>
          <cell r="F1805">
            <v>1110</v>
          </cell>
          <cell r="G1805">
            <v>30.89</v>
          </cell>
          <cell r="H1805">
            <v>1.4</v>
          </cell>
          <cell r="I1805" t="str">
            <v>M4A</v>
          </cell>
          <cell r="J1805" t="str">
            <v>IE3</v>
          </cell>
          <cell r="K1805" t="str">
            <v>230/400</v>
          </cell>
          <cell r="L1805">
            <v>50</v>
          </cell>
          <cell r="M1805" t="str">
            <v>18,2/10,5</v>
          </cell>
          <cell r="N1805">
            <v>54</v>
          </cell>
          <cell r="O1805" t="str">
            <v>F(105°C)</v>
          </cell>
          <cell r="P1805" t="str">
            <v>270°</v>
          </cell>
          <cell r="Q1805" t="str">
            <v>TF</v>
          </cell>
          <cell r="R1805" t="str">
            <v>V(VE)</v>
          </cell>
          <cell r="S1805" t="str">
            <v>-</v>
          </cell>
          <cell r="T1805" t="str">
            <v>-</v>
          </cell>
          <cell r="U1805" t="str">
            <v>-</v>
          </cell>
          <cell r="V1805" t="str">
            <v>FC</v>
          </cell>
          <cell r="W1805" t="str">
            <v>-</v>
          </cell>
          <cell r="X1805" t="str">
            <v>CLP VG 220 = -15° + 40°</v>
          </cell>
          <cell r="Y1805" t="str">
            <v>K77DRN132S4 /TF/V</v>
          </cell>
          <cell r="Z1805" t="str">
            <v>SEW</v>
          </cell>
          <cell r="AB1805" t="str">
            <v>-</v>
          </cell>
          <cell r="AF1805">
            <v>47</v>
          </cell>
          <cell r="AG1805" t="str">
            <v>DRN132S4</v>
          </cell>
          <cell r="AH1805" t="str">
            <v>K77-DRN132S4A270-X#</v>
          </cell>
        </row>
        <row r="1806">
          <cell r="A1806" t="str">
            <v>MR001802</v>
          </cell>
          <cell r="B1806" t="str">
            <v>MR</v>
          </cell>
          <cell r="C1806">
            <v>15</v>
          </cell>
          <cell r="D1806">
            <v>9.8000000000000007</v>
          </cell>
          <cell r="E1806" t="str">
            <v>KH157</v>
          </cell>
          <cell r="F1806">
            <v>14600</v>
          </cell>
          <cell r="G1806">
            <v>150.41</v>
          </cell>
          <cell r="H1806">
            <v>1.35</v>
          </cell>
          <cell r="I1806" t="str">
            <v>From M1A to M2A - 45°</v>
          </cell>
          <cell r="J1806" t="str">
            <v>IE3</v>
          </cell>
          <cell r="K1806" t="str">
            <v>400/690</v>
          </cell>
          <cell r="L1806">
            <v>50</v>
          </cell>
          <cell r="M1806" t="str">
            <v>29/16,7</v>
          </cell>
          <cell r="N1806">
            <v>54</v>
          </cell>
          <cell r="O1806" t="str">
            <v>F(105°C)</v>
          </cell>
          <cell r="P1806" t="str">
            <v>270°</v>
          </cell>
          <cell r="Q1806" t="str">
            <v>-</v>
          </cell>
          <cell r="R1806" t="str">
            <v>-</v>
          </cell>
          <cell r="S1806" t="str">
            <v>-</v>
          </cell>
          <cell r="T1806" t="str">
            <v>-</v>
          </cell>
          <cell r="U1806" t="str">
            <v>-</v>
          </cell>
          <cell r="V1806" t="str">
            <v>SS</v>
          </cell>
          <cell r="W1806" t="str">
            <v>-</v>
          </cell>
          <cell r="X1806" t="str">
            <v>CLP VG 220 = -15° + 40°</v>
          </cell>
          <cell r="Y1806" t="str">
            <v>KH157DRN160L4</v>
          </cell>
          <cell r="Z1806" t="str">
            <v>SEW</v>
          </cell>
          <cell r="AB1806" t="str">
            <v>-</v>
          </cell>
          <cell r="AF1806">
            <v>9.8000000000000007</v>
          </cell>
          <cell r="AG1806" t="str">
            <v>DRN160L4</v>
          </cell>
          <cell r="AH1806" t="str">
            <v>KH157-DRN160L4A270-X</v>
          </cell>
        </row>
        <row r="1807">
          <cell r="A1807" t="str">
            <v>MR001803</v>
          </cell>
          <cell r="B1807" t="str">
            <v>MR</v>
          </cell>
          <cell r="C1807">
            <v>15</v>
          </cell>
          <cell r="D1807">
            <v>9.8000000000000007</v>
          </cell>
          <cell r="E1807" t="str">
            <v>KH157</v>
          </cell>
          <cell r="F1807">
            <v>14600</v>
          </cell>
          <cell r="G1807">
            <v>150.41</v>
          </cell>
          <cell r="H1807">
            <v>1.35</v>
          </cell>
          <cell r="I1807" t="str">
            <v>From M1B to M2B - 45°</v>
          </cell>
          <cell r="J1807" t="str">
            <v>IE3</v>
          </cell>
          <cell r="K1807" t="str">
            <v>400/690</v>
          </cell>
          <cell r="L1807">
            <v>50</v>
          </cell>
          <cell r="M1807" t="str">
            <v>29/16,7</v>
          </cell>
          <cell r="N1807">
            <v>54</v>
          </cell>
          <cell r="O1807" t="str">
            <v>F(105°C)</v>
          </cell>
          <cell r="P1807" t="str">
            <v>270°</v>
          </cell>
          <cell r="Q1807" t="str">
            <v>-</v>
          </cell>
          <cell r="R1807" t="str">
            <v>-</v>
          </cell>
          <cell r="S1807" t="str">
            <v>-</v>
          </cell>
          <cell r="T1807" t="str">
            <v>-</v>
          </cell>
          <cell r="U1807" t="str">
            <v>-</v>
          </cell>
          <cell r="V1807" t="str">
            <v>SS</v>
          </cell>
          <cell r="W1807" t="str">
            <v>-</v>
          </cell>
          <cell r="X1807" t="str">
            <v>CLP VG 220 = -15° + 40°</v>
          </cell>
          <cell r="Y1807" t="str">
            <v>KH157DRN160L4</v>
          </cell>
          <cell r="Z1807" t="str">
            <v>SEW</v>
          </cell>
          <cell r="AB1807" t="str">
            <v>-</v>
          </cell>
          <cell r="AF1807">
            <v>9.8000000000000007</v>
          </cell>
          <cell r="AG1807" t="str">
            <v>DRN160L4</v>
          </cell>
          <cell r="AH1807" t="str">
            <v>KH157-DRN160L4B270-X</v>
          </cell>
        </row>
        <row r="1808">
          <cell r="A1808" t="str">
            <v>MR001804</v>
          </cell>
          <cell r="B1808" t="str">
            <v>MR</v>
          </cell>
          <cell r="C1808">
            <v>22</v>
          </cell>
          <cell r="D1808">
            <v>12</v>
          </cell>
          <cell r="E1808" t="str">
            <v>KH157</v>
          </cell>
          <cell r="F1808">
            <v>17400</v>
          </cell>
          <cell r="G1808">
            <v>122.39</v>
          </cell>
          <cell r="H1808">
            <v>1.1499999999999999</v>
          </cell>
          <cell r="I1808" t="str">
            <v>From M1A to M2A - 45°</v>
          </cell>
          <cell r="J1808" t="str">
            <v>IE3</v>
          </cell>
          <cell r="K1808" t="str">
            <v>400/690</v>
          </cell>
          <cell r="L1808">
            <v>50</v>
          </cell>
          <cell r="M1808" t="str">
            <v>38,5/22,5</v>
          </cell>
          <cell r="N1808">
            <v>54</v>
          </cell>
          <cell r="O1808" t="str">
            <v>F(105°C)</v>
          </cell>
          <cell r="P1808" t="str">
            <v>270°</v>
          </cell>
          <cell r="Q1808" t="str">
            <v>TF</v>
          </cell>
          <cell r="R1808" t="str">
            <v>V(VE)</v>
          </cell>
          <cell r="S1808" t="str">
            <v>-</v>
          </cell>
          <cell r="T1808" t="str">
            <v>-</v>
          </cell>
          <cell r="U1808" t="str">
            <v>-</v>
          </cell>
          <cell r="V1808" t="str">
            <v>FC</v>
          </cell>
          <cell r="W1808" t="str">
            <v>-</v>
          </cell>
          <cell r="X1808" t="str">
            <v>CLP VG 220 = -15° + 40°</v>
          </cell>
          <cell r="Y1808" t="str">
            <v>KH157DRN180L4 /TF/V</v>
          </cell>
          <cell r="Z1808" t="str">
            <v>SEW</v>
          </cell>
          <cell r="AB1808" t="str">
            <v>-</v>
          </cell>
          <cell r="AE1808" t="str">
            <v>Work frequency 37,5Hz for 0,4m/sec</v>
          </cell>
          <cell r="AF1808">
            <v>12</v>
          </cell>
          <cell r="AG1808" t="str">
            <v>DRN180L4</v>
          </cell>
          <cell r="AH1808" t="str">
            <v>KH157-DRN180L4A270-X#</v>
          </cell>
        </row>
        <row r="1809">
          <cell r="A1809" t="str">
            <v>MR001805</v>
          </cell>
          <cell r="B1809" t="str">
            <v>MR</v>
          </cell>
          <cell r="C1809">
            <v>22</v>
          </cell>
          <cell r="D1809">
            <v>12</v>
          </cell>
          <cell r="E1809" t="str">
            <v>KH157</v>
          </cell>
          <cell r="F1809">
            <v>17400</v>
          </cell>
          <cell r="G1809">
            <v>122.39</v>
          </cell>
          <cell r="H1809">
            <v>1.1499999999999999</v>
          </cell>
          <cell r="I1809" t="str">
            <v>From M1B to M2B - 45°</v>
          </cell>
          <cell r="J1809" t="str">
            <v>IE3</v>
          </cell>
          <cell r="K1809" t="str">
            <v>400/690</v>
          </cell>
          <cell r="L1809">
            <v>50</v>
          </cell>
          <cell r="M1809" t="str">
            <v>38,5/22,5</v>
          </cell>
          <cell r="N1809">
            <v>54</v>
          </cell>
          <cell r="O1809" t="str">
            <v>F(105°C)</v>
          </cell>
          <cell r="P1809" t="str">
            <v>270°</v>
          </cell>
          <cell r="Q1809" t="str">
            <v>TF</v>
          </cell>
          <cell r="R1809" t="str">
            <v>V(VE)</v>
          </cell>
          <cell r="S1809" t="str">
            <v>-</v>
          </cell>
          <cell r="T1809" t="str">
            <v>-</v>
          </cell>
          <cell r="U1809" t="str">
            <v>-</v>
          </cell>
          <cell r="V1809" t="str">
            <v>FC</v>
          </cell>
          <cell r="W1809" t="str">
            <v>-</v>
          </cell>
          <cell r="X1809" t="str">
            <v>CLP VG 220 = -15° + 40°</v>
          </cell>
          <cell r="Y1809" t="str">
            <v>KH157DRN180L4 /TF/V</v>
          </cell>
          <cell r="Z1809" t="str">
            <v>SEW</v>
          </cell>
          <cell r="AB1809" t="str">
            <v>-</v>
          </cell>
          <cell r="AE1809" t="str">
            <v>Work frequency 37,5Hz for 0,4m/sec</v>
          </cell>
          <cell r="AF1809">
            <v>12</v>
          </cell>
          <cell r="AG1809" t="str">
            <v>DRN180L4</v>
          </cell>
          <cell r="AH1809" t="str">
            <v>KH157-DRN180L4B270-X#</v>
          </cell>
        </row>
        <row r="1810">
          <cell r="A1810" t="str">
            <v>MR001806</v>
          </cell>
          <cell r="B1810" t="str">
            <v>MR</v>
          </cell>
          <cell r="C1810">
            <v>5.5</v>
          </cell>
          <cell r="D1810">
            <v>15</v>
          </cell>
          <cell r="E1810" t="str">
            <v>KH97</v>
          </cell>
          <cell r="F1810">
            <v>3470</v>
          </cell>
          <cell r="G1810">
            <v>96.8</v>
          </cell>
          <cell r="H1810">
            <v>1.25</v>
          </cell>
          <cell r="I1810" t="str">
            <v>From M1B to M2B - 5°</v>
          </cell>
          <cell r="J1810" t="str">
            <v>IE3</v>
          </cell>
          <cell r="K1810" t="str">
            <v>230/400</v>
          </cell>
          <cell r="L1810">
            <v>50</v>
          </cell>
          <cell r="M1810" t="str">
            <v>18,2/10,5</v>
          </cell>
          <cell r="N1810">
            <v>54</v>
          </cell>
          <cell r="O1810" t="str">
            <v>F(105°C)</v>
          </cell>
          <cell r="P1810" t="str">
            <v>270°</v>
          </cell>
          <cell r="Q1810" t="str">
            <v>-</v>
          </cell>
          <cell r="R1810" t="str">
            <v>-</v>
          </cell>
          <cell r="S1810" t="str">
            <v>-</v>
          </cell>
          <cell r="T1810" t="str">
            <v>-</v>
          </cell>
          <cell r="U1810" t="str">
            <v>-</v>
          </cell>
          <cell r="V1810" t="str">
            <v>SS</v>
          </cell>
          <cell r="W1810" t="str">
            <v>-</v>
          </cell>
          <cell r="X1810" t="str">
            <v>CLP VG 220 = -15° + 40°</v>
          </cell>
          <cell r="Y1810" t="str">
            <v>KH97DRN132S4</v>
          </cell>
          <cell r="Z1810" t="str">
            <v>SEW</v>
          </cell>
          <cell r="AB1810" t="str">
            <v>-</v>
          </cell>
          <cell r="AF1810">
            <v>15</v>
          </cell>
          <cell r="AG1810" t="str">
            <v>DRN132S4</v>
          </cell>
          <cell r="AH1810" t="str">
            <v>KH97-DRN132S4B270-X</v>
          </cell>
        </row>
        <row r="1811">
          <cell r="A1811" t="str">
            <v>MR001807</v>
          </cell>
          <cell r="B1811" t="str">
            <v>MR</v>
          </cell>
          <cell r="C1811">
            <v>15</v>
          </cell>
          <cell r="D1811">
            <v>12</v>
          </cell>
          <cell r="E1811" t="str">
            <v>KH127</v>
          </cell>
          <cell r="F1811">
            <v>11900</v>
          </cell>
          <cell r="G1811">
            <v>122.48</v>
          </cell>
          <cell r="H1811">
            <v>1.1000000000000001</v>
          </cell>
          <cell r="I1811" t="str">
            <v>From M4A to M1A - 45°</v>
          </cell>
          <cell r="J1811" t="str">
            <v>IE3</v>
          </cell>
          <cell r="K1811" t="str">
            <v>400/690</v>
          </cell>
          <cell r="L1811">
            <v>50</v>
          </cell>
          <cell r="M1811" t="str">
            <v>29/16,7</v>
          </cell>
          <cell r="N1811">
            <v>54</v>
          </cell>
          <cell r="O1811" t="str">
            <v>F(105°C)</v>
          </cell>
          <cell r="P1811" t="str">
            <v>270°</v>
          </cell>
          <cell r="Q1811" t="str">
            <v>-</v>
          </cell>
          <cell r="R1811" t="str">
            <v>-</v>
          </cell>
          <cell r="S1811" t="str">
            <v>-</v>
          </cell>
          <cell r="T1811" t="str">
            <v>-</v>
          </cell>
          <cell r="U1811" t="str">
            <v>-</v>
          </cell>
          <cell r="V1811" t="str">
            <v>SS</v>
          </cell>
          <cell r="W1811" t="str">
            <v>-</v>
          </cell>
          <cell r="X1811" t="str">
            <v>CLP VG 220 = -15° + 40°</v>
          </cell>
          <cell r="Y1811" t="str">
            <v>KH127DRN160L4</v>
          </cell>
          <cell r="Z1811" t="str">
            <v>SEW</v>
          </cell>
          <cell r="AB1811" t="str">
            <v>-</v>
          </cell>
          <cell r="AF1811">
            <v>12</v>
          </cell>
          <cell r="AG1811" t="str">
            <v>DRN160L4</v>
          </cell>
          <cell r="AH1811" t="str">
            <v>KH127-DRN160L4A270-X</v>
          </cell>
        </row>
        <row r="1812">
          <cell r="A1812" t="str">
            <v>MR001808</v>
          </cell>
          <cell r="B1812" t="str">
            <v>MR</v>
          </cell>
          <cell r="C1812">
            <v>15</v>
          </cell>
          <cell r="D1812">
            <v>12</v>
          </cell>
          <cell r="E1812" t="str">
            <v>KH127</v>
          </cell>
          <cell r="F1812">
            <v>11900</v>
          </cell>
          <cell r="G1812">
            <v>122.48</v>
          </cell>
          <cell r="H1812">
            <v>1.1000000000000001</v>
          </cell>
          <cell r="I1812" t="str">
            <v>From M4B to M1B - 45°</v>
          </cell>
          <cell r="J1812" t="str">
            <v>IE3</v>
          </cell>
          <cell r="K1812" t="str">
            <v>400/690</v>
          </cell>
          <cell r="L1812">
            <v>50</v>
          </cell>
          <cell r="M1812" t="str">
            <v>29/16,7</v>
          </cell>
          <cell r="N1812">
            <v>54</v>
          </cell>
          <cell r="O1812" t="str">
            <v>F(105°C)</v>
          </cell>
          <cell r="P1812" t="str">
            <v>270°</v>
          </cell>
          <cell r="Q1812" t="str">
            <v>-</v>
          </cell>
          <cell r="R1812" t="str">
            <v>-</v>
          </cell>
          <cell r="S1812" t="str">
            <v>-</v>
          </cell>
          <cell r="T1812" t="str">
            <v>-</v>
          </cell>
          <cell r="U1812" t="str">
            <v>-</v>
          </cell>
          <cell r="V1812" t="str">
            <v>SS</v>
          </cell>
          <cell r="W1812" t="str">
            <v>-</v>
          </cell>
          <cell r="X1812" t="str">
            <v>CLP VG 220 = -15° + 40°</v>
          </cell>
          <cell r="Y1812" t="str">
            <v>KH127DRN160L4</v>
          </cell>
          <cell r="Z1812" t="str">
            <v>SEW</v>
          </cell>
          <cell r="AB1812" t="str">
            <v>-</v>
          </cell>
          <cell r="AF1812">
            <v>12</v>
          </cell>
          <cell r="AG1812" t="str">
            <v>DRN160L4</v>
          </cell>
          <cell r="AH1812" t="str">
            <v>KH127-DRN160L4B270-X</v>
          </cell>
        </row>
        <row r="1813">
          <cell r="A1813" t="str">
            <v>MR001809</v>
          </cell>
          <cell r="B1813" t="str">
            <v>MR</v>
          </cell>
          <cell r="C1813">
            <v>2.2000000000000002</v>
          </cell>
          <cell r="D1813">
            <v>123</v>
          </cell>
          <cell r="E1813" t="str">
            <v>R47</v>
          </cell>
          <cell r="F1813">
            <v>171</v>
          </cell>
          <cell r="G1813">
            <v>11.79</v>
          </cell>
          <cell r="H1813">
            <v>1.45</v>
          </cell>
          <cell r="I1813" t="str">
            <v>M3</v>
          </cell>
          <cell r="J1813" t="str">
            <v>IE3</v>
          </cell>
          <cell r="K1813" t="str">
            <v>230/400</v>
          </cell>
          <cell r="L1813">
            <v>50</v>
          </cell>
          <cell r="M1813" t="str">
            <v>8,3/4,75</v>
          </cell>
          <cell r="N1813">
            <v>55</v>
          </cell>
          <cell r="O1813" t="str">
            <v>F(105°C)</v>
          </cell>
          <cell r="P1813" t="str">
            <v>0°</v>
          </cell>
          <cell r="Q1813" t="str">
            <v>-</v>
          </cell>
          <cell r="R1813" t="str">
            <v>V(VE)</v>
          </cell>
          <cell r="S1813" t="str">
            <v>-</v>
          </cell>
          <cell r="T1813" t="str">
            <v>-</v>
          </cell>
          <cell r="U1813" t="str">
            <v>-</v>
          </cell>
          <cell r="V1813" t="str">
            <v>D</v>
          </cell>
          <cell r="W1813" t="str">
            <v>-</v>
          </cell>
          <cell r="X1813" t="str">
            <v>CLP VG 220 = -15° + 40°</v>
          </cell>
          <cell r="Y1813" t="str">
            <v>R47DRN100LS4/V</v>
          </cell>
          <cell r="Z1813" t="str">
            <v>SEW</v>
          </cell>
          <cell r="AB1813" t="str">
            <v>-</v>
          </cell>
          <cell r="AF1813">
            <v>123</v>
          </cell>
          <cell r="AG1813" t="str">
            <v>DRN100LS4</v>
          </cell>
          <cell r="AH1813" t="str">
            <v>R47-DRN100LS40-X#</v>
          </cell>
        </row>
        <row r="1814">
          <cell r="A1814" t="str">
            <v>MR001810</v>
          </cell>
          <cell r="B1814" t="str">
            <v>MR</v>
          </cell>
          <cell r="C1814">
            <v>22</v>
          </cell>
          <cell r="D1814">
            <v>56</v>
          </cell>
          <cell r="E1814" t="str">
            <v>KH107</v>
          </cell>
          <cell r="F1814">
            <v>3740</v>
          </cell>
          <cell r="G1814">
            <v>26.32</v>
          </cell>
          <cell r="H1814">
            <v>1.7</v>
          </cell>
          <cell r="I1814" t="str">
            <v>M4B</v>
          </cell>
          <cell r="J1814" t="str">
            <v>IE3</v>
          </cell>
          <cell r="K1814" t="str">
            <v>400/690</v>
          </cell>
          <cell r="L1814">
            <v>50</v>
          </cell>
          <cell r="M1814" t="str">
            <v>40,5/23,5</v>
          </cell>
          <cell r="N1814">
            <v>55</v>
          </cell>
          <cell r="O1814" t="str">
            <v>F(105°C)</v>
          </cell>
          <cell r="P1814" t="str">
            <v>270°</v>
          </cell>
          <cell r="Q1814" t="str">
            <v>-</v>
          </cell>
          <cell r="R1814" t="str">
            <v>-</v>
          </cell>
          <cell r="S1814" t="str">
            <v>Free rotation CW</v>
          </cell>
          <cell r="T1814" t="str">
            <v>-</v>
          </cell>
          <cell r="U1814" t="str">
            <v>T</v>
          </cell>
          <cell r="V1814" t="str">
            <v>SS</v>
          </cell>
          <cell r="W1814" t="str">
            <v>-</v>
          </cell>
          <cell r="X1814" t="str">
            <v>CLP HC VG 220 = -20° + 60°</v>
          </cell>
          <cell r="Y1814" t="str">
            <v>KH107/T EDRN180L4 /RS</v>
          </cell>
          <cell r="Z1814" t="str">
            <v>SEW</v>
          </cell>
          <cell r="AB1814" t="str">
            <v>ATEX22</v>
          </cell>
          <cell r="AF1814">
            <v>56</v>
          </cell>
          <cell r="AG1814" t="str">
            <v>EDRN180L4</v>
          </cell>
          <cell r="AH1814" t="str">
            <v>KH107T-EDRN180L4B270-X</v>
          </cell>
        </row>
        <row r="1815">
          <cell r="A1815" t="str">
            <v>MR001811</v>
          </cell>
          <cell r="B1815" t="str">
            <v>MR</v>
          </cell>
          <cell r="C1815">
            <v>0.75</v>
          </cell>
          <cell r="D1815">
            <v>162</v>
          </cell>
          <cell r="E1815" t="str">
            <v>KA37</v>
          </cell>
          <cell r="F1815">
            <v>44</v>
          </cell>
          <cell r="G1815">
            <v>8.91</v>
          </cell>
          <cell r="H1815">
            <v>3.1</v>
          </cell>
          <cell r="I1815" t="str">
            <v>M1B</v>
          </cell>
          <cell r="J1815" t="str">
            <v>IE3</v>
          </cell>
          <cell r="K1815" t="str">
            <v>230/400</v>
          </cell>
          <cell r="L1815">
            <v>50</v>
          </cell>
          <cell r="M1815" t="str">
            <v>3,1/1,8</v>
          </cell>
          <cell r="N1815">
            <v>55</v>
          </cell>
          <cell r="O1815" t="str">
            <v>F(105°C)</v>
          </cell>
          <cell r="P1815" t="str">
            <v>0°</v>
          </cell>
          <cell r="Q1815" t="str">
            <v>-</v>
          </cell>
          <cell r="R1815" t="str">
            <v>-</v>
          </cell>
          <cell r="S1815" t="str">
            <v>-</v>
          </cell>
          <cell r="T1815" t="str">
            <v>-</v>
          </cell>
          <cell r="U1815" t="str">
            <v>T</v>
          </cell>
          <cell r="V1815" t="str">
            <v>D</v>
          </cell>
          <cell r="W1815" t="str">
            <v>-</v>
          </cell>
          <cell r="X1815" t="str">
            <v>CLP HC VG 220 = -20° + 60°</v>
          </cell>
          <cell r="Y1815" t="str">
            <v>KA37/T EDRN80M4</v>
          </cell>
          <cell r="Z1815" t="str">
            <v>SEW</v>
          </cell>
          <cell r="AB1815" t="str">
            <v>ATEX22</v>
          </cell>
          <cell r="AF1815">
            <v>162</v>
          </cell>
          <cell r="AG1815" t="str">
            <v>EDRN80M4</v>
          </cell>
          <cell r="AH1815" t="str">
            <v>KA37T-EDRN80M4B0-X</v>
          </cell>
        </row>
        <row r="1816">
          <cell r="A1816" t="str">
            <v>MR001812</v>
          </cell>
          <cell r="B1816" t="str">
            <v>MR</v>
          </cell>
          <cell r="C1816">
            <v>3</v>
          </cell>
          <cell r="D1816">
            <v>96</v>
          </cell>
          <cell r="E1816" t="str">
            <v>KH67</v>
          </cell>
          <cell r="F1816">
            <v>300</v>
          </cell>
          <cell r="G1816">
            <v>15.19</v>
          </cell>
          <cell r="H1816">
            <v>2</v>
          </cell>
          <cell r="I1816" t="str">
            <v>M1B</v>
          </cell>
          <cell r="J1816" t="str">
            <v>IE3</v>
          </cell>
          <cell r="K1816" t="str">
            <v>230/400</v>
          </cell>
          <cell r="L1816">
            <v>50</v>
          </cell>
          <cell r="M1816" t="str">
            <v>11,5/6,6</v>
          </cell>
          <cell r="N1816">
            <v>55</v>
          </cell>
          <cell r="O1816" t="str">
            <v>F(105°C)</v>
          </cell>
          <cell r="P1816" t="str">
            <v>0°</v>
          </cell>
          <cell r="Q1816" t="str">
            <v>-</v>
          </cell>
          <cell r="R1816" t="str">
            <v>-</v>
          </cell>
          <cell r="S1816" t="str">
            <v>-</v>
          </cell>
          <cell r="T1816" t="str">
            <v>-</v>
          </cell>
          <cell r="U1816" t="str">
            <v>T</v>
          </cell>
          <cell r="V1816" t="str">
            <v>D</v>
          </cell>
          <cell r="W1816" t="str">
            <v>-</v>
          </cell>
          <cell r="X1816" t="str">
            <v>CLP HC VG 220 = -20° + 60°</v>
          </cell>
          <cell r="Y1816" t="str">
            <v>KH67/T EDRN100L4</v>
          </cell>
          <cell r="Z1816" t="str">
            <v>SEW</v>
          </cell>
          <cell r="AB1816" t="str">
            <v>ATEX22</v>
          </cell>
          <cell r="AF1816">
            <v>96</v>
          </cell>
          <cell r="AG1816" t="str">
            <v>EDRN100L4</v>
          </cell>
          <cell r="AH1816" t="str">
            <v>KH67T-EDRN100L4B0-X</v>
          </cell>
        </row>
        <row r="1817">
          <cell r="A1817" t="str">
            <v>MR001813</v>
          </cell>
          <cell r="B1817" t="str">
            <v>MR</v>
          </cell>
          <cell r="C1817">
            <v>3</v>
          </cell>
          <cell r="D1817">
            <v>75</v>
          </cell>
          <cell r="E1817" t="str">
            <v>KH67</v>
          </cell>
          <cell r="F1817">
            <v>380</v>
          </cell>
          <cell r="G1817">
            <v>19.3</v>
          </cell>
          <cell r="H1817">
            <v>1.65</v>
          </cell>
          <cell r="I1817" t="str">
            <v>From M1B to M4B - 30°</v>
          </cell>
          <cell r="J1817" t="str">
            <v>IE2</v>
          </cell>
          <cell r="K1817" t="str">
            <v>230/400</v>
          </cell>
          <cell r="L1817">
            <v>50</v>
          </cell>
          <cell r="M1817" t="str">
            <v>11,5/6,6</v>
          </cell>
          <cell r="N1817">
            <v>55</v>
          </cell>
          <cell r="O1817" t="str">
            <v>F(105°C)</v>
          </cell>
          <cell r="P1817" t="str">
            <v>0°</v>
          </cell>
          <cell r="Q1817" t="str">
            <v>-</v>
          </cell>
          <cell r="R1817" t="str">
            <v>-</v>
          </cell>
          <cell r="S1817" t="str">
            <v>-</v>
          </cell>
          <cell r="T1817" t="str">
            <v>-</v>
          </cell>
          <cell r="U1817" t="str">
            <v>T</v>
          </cell>
          <cell r="V1817" t="str">
            <v>D</v>
          </cell>
          <cell r="W1817" t="str">
            <v>-</v>
          </cell>
          <cell r="X1817" t="str">
            <v>CLP HC VG 220 = -20° + 60°</v>
          </cell>
          <cell r="Y1817" t="str">
            <v>KH67/T EDRE112M4</v>
          </cell>
          <cell r="Z1817" t="str">
            <v>SEW</v>
          </cell>
          <cell r="AB1817" t="str">
            <v>ATEX22</v>
          </cell>
          <cell r="AF1817">
            <v>75</v>
          </cell>
          <cell r="AG1817" t="str">
            <v>EDRE112M4</v>
          </cell>
          <cell r="AH1817" t="str">
            <v>KH67T-EDRE112M4B0-X</v>
          </cell>
        </row>
        <row r="1818">
          <cell r="A1818" t="str">
            <v>MR001814</v>
          </cell>
          <cell r="B1818" t="str">
            <v>MR</v>
          </cell>
          <cell r="C1818">
            <v>22</v>
          </cell>
          <cell r="D1818">
            <v>12</v>
          </cell>
          <cell r="E1818" t="str">
            <v>KH157</v>
          </cell>
          <cell r="F1818">
            <v>17400</v>
          </cell>
          <cell r="G1818">
            <v>122.39</v>
          </cell>
          <cell r="H1818">
            <v>1.1499999999999999</v>
          </cell>
          <cell r="I1818" t="str">
            <v>M4A</v>
          </cell>
          <cell r="J1818" t="str">
            <v>IE3</v>
          </cell>
          <cell r="K1818" t="str">
            <v>400/690</v>
          </cell>
          <cell r="L1818">
            <v>50</v>
          </cell>
          <cell r="M1818" t="str">
            <v>38,5/22,5</v>
          </cell>
          <cell r="N1818">
            <v>55</v>
          </cell>
          <cell r="O1818" t="str">
            <v>F(105°C)</v>
          </cell>
          <cell r="P1818" t="str">
            <v>0°</v>
          </cell>
          <cell r="Q1818" t="str">
            <v>-</v>
          </cell>
          <cell r="R1818" t="str">
            <v>-</v>
          </cell>
          <cell r="S1818" t="str">
            <v>-</v>
          </cell>
          <cell r="T1818" t="str">
            <v>-</v>
          </cell>
          <cell r="U1818" t="str">
            <v>-</v>
          </cell>
          <cell r="V1818" t="str">
            <v>SS</v>
          </cell>
          <cell r="W1818" t="str">
            <v>-</v>
          </cell>
          <cell r="X1818" t="str">
            <v>CLP 220 (-15/+40°C)</v>
          </cell>
          <cell r="Y1818" t="str">
            <v>KH157DRN180L4</v>
          </cell>
          <cell r="Z1818" t="str">
            <v>SEW</v>
          </cell>
          <cell r="AB1818" t="str">
            <v>-</v>
          </cell>
          <cell r="AF1818">
            <v>12</v>
          </cell>
          <cell r="AG1818" t="str">
            <v>DRN180L4</v>
          </cell>
          <cell r="AH1818" t="str">
            <v>KH157-DRN180L4A0-X</v>
          </cell>
        </row>
        <row r="1819">
          <cell r="A1819" t="str">
            <v>MR001815</v>
          </cell>
          <cell r="B1819" t="str">
            <v>MR</v>
          </cell>
          <cell r="C1819">
            <v>22</v>
          </cell>
          <cell r="D1819">
            <v>12</v>
          </cell>
          <cell r="E1819" t="str">
            <v>KH157</v>
          </cell>
          <cell r="F1819">
            <v>17400</v>
          </cell>
          <cell r="G1819">
            <v>122.39</v>
          </cell>
          <cell r="H1819">
            <v>1.1499999999999999</v>
          </cell>
          <cell r="I1819" t="str">
            <v>M4B</v>
          </cell>
          <cell r="J1819" t="str">
            <v>IE3</v>
          </cell>
          <cell r="K1819" t="str">
            <v>400/690</v>
          </cell>
          <cell r="L1819">
            <v>50</v>
          </cell>
          <cell r="M1819" t="str">
            <v>38,5/22,5</v>
          </cell>
          <cell r="N1819">
            <v>55</v>
          </cell>
          <cell r="O1819" t="str">
            <v>F(105°C)</v>
          </cell>
          <cell r="P1819" t="str">
            <v>0°</v>
          </cell>
          <cell r="Q1819" t="str">
            <v>-</v>
          </cell>
          <cell r="R1819" t="str">
            <v>-</v>
          </cell>
          <cell r="S1819" t="str">
            <v>-</v>
          </cell>
          <cell r="T1819" t="str">
            <v>-</v>
          </cell>
          <cell r="U1819" t="str">
            <v>-</v>
          </cell>
          <cell r="V1819" t="str">
            <v>SS</v>
          </cell>
          <cell r="W1819" t="str">
            <v>-</v>
          </cell>
          <cell r="X1819" t="str">
            <v>CLP 220 (-15/+40°C)</v>
          </cell>
          <cell r="Y1819" t="str">
            <v>KH157DRN180L4</v>
          </cell>
          <cell r="Z1819" t="str">
            <v>SEW</v>
          </cell>
          <cell r="AB1819" t="str">
            <v>-</v>
          </cell>
          <cell r="AF1819">
            <v>12</v>
          </cell>
          <cell r="AG1819" t="str">
            <v>DRN180L4</v>
          </cell>
          <cell r="AH1819" t="str">
            <v>KH157-DRN180L4B0-X</v>
          </cell>
        </row>
        <row r="1820">
          <cell r="A1820" t="str">
            <v>MR001816</v>
          </cell>
          <cell r="B1820" t="str">
            <v>MR</v>
          </cell>
          <cell r="C1820">
            <v>15</v>
          </cell>
          <cell r="D1820">
            <v>9.8000000000000007</v>
          </cell>
          <cell r="E1820" t="str">
            <v>KH157</v>
          </cell>
          <cell r="F1820">
            <v>14600</v>
          </cell>
          <cell r="G1820">
            <v>150.41</v>
          </cell>
          <cell r="H1820">
            <v>1.35</v>
          </cell>
          <cell r="I1820" t="str">
            <v>From M1A to M2A - 30°</v>
          </cell>
          <cell r="J1820" t="str">
            <v>IE3</v>
          </cell>
          <cell r="K1820" t="str">
            <v>400/690</v>
          </cell>
          <cell r="L1820">
            <v>50</v>
          </cell>
          <cell r="M1820" t="str">
            <v>29/16,7</v>
          </cell>
          <cell r="N1820">
            <v>54</v>
          </cell>
          <cell r="O1820" t="str">
            <v>F(105°C)</v>
          </cell>
          <cell r="P1820" t="str">
            <v>270°</v>
          </cell>
          <cell r="Q1820" t="str">
            <v>-</v>
          </cell>
          <cell r="R1820" t="str">
            <v>-</v>
          </cell>
          <cell r="S1820" t="str">
            <v>-</v>
          </cell>
          <cell r="T1820" t="str">
            <v>-</v>
          </cell>
          <cell r="U1820" t="str">
            <v>-</v>
          </cell>
          <cell r="V1820" t="str">
            <v>SS</v>
          </cell>
          <cell r="W1820" t="str">
            <v>-</v>
          </cell>
          <cell r="X1820" t="str">
            <v>CLP 220 (-15/+40°C)</v>
          </cell>
          <cell r="Y1820" t="str">
            <v>KH157DRN160L4</v>
          </cell>
          <cell r="Z1820" t="str">
            <v>SEW</v>
          </cell>
          <cell r="AB1820" t="str">
            <v>-</v>
          </cell>
          <cell r="AF1820">
            <v>9.8000000000000007</v>
          </cell>
          <cell r="AG1820" t="str">
            <v>DRN160L4</v>
          </cell>
          <cell r="AH1820" t="str">
            <v>KH157-DRN160L4A270-X</v>
          </cell>
        </row>
        <row r="1821">
          <cell r="A1821" t="str">
            <v>MR001817</v>
          </cell>
          <cell r="B1821" t="str">
            <v>MR</v>
          </cell>
          <cell r="C1821">
            <v>15</v>
          </cell>
          <cell r="D1821">
            <v>9.8000000000000007</v>
          </cell>
          <cell r="E1821" t="str">
            <v>KH157</v>
          </cell>
          <cell r="F1821">
            <v>14600</v>
          </cell>
          <cell r="G1821">
            <v>150.41</v>
          </cell>
          <cell r="H1821">
            <v>1.35</v>
          </cell>
          <cell r="I1821" t="str">
            <v>From M1B to M2B - 30°</v>
          </cell>
          <cell r="J1821" t="str">
            <v>IE3</v>
          </cell>
          <cell r="K1821" t="str">
            <v>400/690</v>
          </cell>
          <cell r="L1821">
            <v>50</v>
          </cell>
          <cell r="M1821" t="str">
            <v>29/16,7</v>
          </cell>
          <cell r="N1821">
            <v>54</v>
          </cell>
          <cell r="O1821" t="str">
            <v>F(105°C)</v>
          </cell>
          <cell r="P1821" t="str">
            <v>270°</v>
          </cell>
          <cell r="Q1821" t="str">
            <v>-</v>
          </cell>
          <cell r="R1821" t="str">
            <v>-</v>
          </cell>
          <cell r="S1821" t="str">
            <v>-</v>
          </cell>
          <cell r="T1821" t="str">
            <v>-</v>
          </cell>
          <cell r="U1821" t="str">
            <v>-</v>
          </cell>
          <cell r="V1821" t="str">
            <v>SS</v>
          </cell>
          <cell r="W1821" t="str">
            <v>-</v>
          </cell>
          <cell r="X1821" t="str">
            <v>CLP 220 (-15/+40°C)</v>
          </cell>
          <cell r="Y1821" t="str">
            <v>KH157DRN160L4</v>
          </cell>
          <cell r="Z1821" t="str">
            <v>SEW</v>
          </cell>
          <cell r="AB1821" t="str">
            <v>-</v>
          </cell>
          <cell r="AF1821">
            <v>9.8000000000000007</v>
          </cell>
          <cell r="AG1821" t="str">
            <v>DRN160L4</v>
          </cell>
          <cell r="AH1821" t="str">
            <v>KH157-DRN160L4B270-X</v>
          </cell>
        </row>
        <row r="1822">
          <cell r="A1822" t="str">
            <v>MR001818</v>
          </cell>
          <cell r="B1822" t="str">
            <v>MR</v>
          </cell>
          <cell r="C1822">
            <v>1.5</v>
          </cell>
          <cell r="D1822">
            <v>22</v>
          </cell>
          <cell r="E1822" t="str">
            <v>FA67</v>
          </cell>
          <cell r="F1822">
            <v>660</v>
          </cell>
          <cell r="G1822">
            <v>67.650000000000006</v>
          </cell>
          <cell r="H1822">
            <v>1.25</v>
          </cell>
          <cell r="I1822" t="str">
            <v>From M6 to M1 - 30°</v>
          </cell>
          <cell r="J1822" t="str">
            <v>IE3</v>
          </cell>
          <cell r="K1822">
            <v>400</v>
          </cell>
          <cell r="L1822">
            <v>50</v>
          </cell>
          <cell r="M1822" t="str">
            <v>5,9/3,4</v>
          </cell>
          <cell r="N1822">
            <v>55</v>
          </cell>
          <cell r="O1822" t="str">
            <v>F(105°C)</v>
          </cell>
          <cell r="P1822" t="str">
            <v>270°</v>
          </cell>
          <cell r="Q1822" t="str">
            <v>-</v>
          </cell>
          <cell r="R1822" t="str">
            <v>-</v>
          </cell>
          <cell r="S1822" t="str">
            <v>-</v>
          </cell>
          <cell r="T1822" t="str">
            <v>BEHF</v>
          </cell>
          <cell r="U1822" t="str">
            <v>G</v>
          </cell>
          <cell r="V1822" t="str">
            <v>D+R</v>
          </cell>
          <cell r="X1822" t="str">
            <v>CLP 220 (-15/+40°C)</v>
          </cell>
          <cell r="Y1822" t="str">
            <v>FA67/G DRN90L4 /BEHF</v>
          </cell>
          <cell r="Z1822" t="str">
            <v>SEW</v>
          </cell>
          <cell r="AB1822" t="str">
            <v>-</v>
          </cell>
          <cell r="AF1822">
            <v>22</v>
          </cell>
          <cell r="AG1822" t="str">
            <v>DRN90L4</v>
          </cell>
          <cell r="AH1822" t="str">
            <v>FA67G-DRN90L4270-X</v>
          </cell>
        </row>
        <row r="1823">
          <cell r="A1823" t="str">
            <v>MR001819</v>
          </cell>
          <cell r="B1823" t="str">
            <v>MR</v>
          </cell>
          <cell r="C1823">
            <v>4</v>
          </cell>
          <cell r="D1823">
            <v>67</v>
          </cell>
          <cell r="E1823" t="str">
            <v>FH67</v>
          </cell>
          <cell r="F1823">
            <v>575</v>
          </cell>
          <cell r="G1823">
            <v>22.05</v>
          </cell>
          <cell r="H1823">
            <v>1.45</v>
          </cell>
          <cell r="I1823" t="str">
            <v>From M1 to M6 - 20°</v>
          </cell>
          <cell r="J1823" t="str">
            <v>IE3</v>
          </cell>
          <cell r="K1823" t="str">
            <v>230/400</v>
          </cell>
          <cell r="L1823">
            <v>50</v>
          </cell>
          <cell r="M1823" t="str">
            <v>13,8/7,9</v>
          </cell>
          <cell r="N1823">
            <v>54</v>
          </cell>
          <cell r="O1823" t="str">
            <v>F(105°C)</v>
          </cell>
          <cell r="P1823" t="str">
            <v>270°</v>
          </cell>
          <cell r="Q1823" t="str">
            <v>TF</v>
          </cell>
          <cell r="R1823" t="str">
            <v>-</v>
          </cell>
          <cell r="S1823" t="str">
            <v>-</v>
          </cell>
          <cell r="T1823" t="str">
            <v>-</v>
          </cell>
          <cell r="U1823" t="str">
            <v>G</v>
          </cell>
          <cell r="V1823" t="str">
            <v>D</v>
          </cell>
          <cell r="W1823" t="str">
            <v>-</v>
          </cell>
          <cell r="X1823" t="str">
            <v>CLP 220 (-15/+40°C)</v>
          </cell>
          <cell r="Y1823" t="str">
            <v>FH67/G DRN112M4 /TF</v>
          </cell>
          <cell r="Z1823" t="str">
            <v>SEW</v>
          </cell>
          <cell r="AB1823" t="str">
            <v>-</v>
          </cell>
          <cell r="AF1823">
            <v>67</v>
          </cell>
          <cell r="AG1823" t="str">
            <v>DRN112M4</v>
          </cell>
          <cell r="AH1823" t="str">
            <v>FH67G-DRN112M4270-X</v>
          </cell>
        </row>
        <row r="1824">
          <cell r="A1824" t="str">
            <v>MR001820</v>
          </cell>
          <cell r="B1824" t="str">
            <v>MR</v>
          </cell>
          <cell r="C1824">
            <v>22</v>
          </cell>
          <cell r="D1824">
            <v>12</v>
          </cell>
          <cell r="E1824" t="str">
            <v>KH157</v>
          </cell>
          <cell r="F1824">
            <v>17400</v>
          </cell>
          <cell r="G1824">
            <v>122.39</v>
          </cell>
          <cell r="H1824">
            <v>1.1499999999999999</v>
          </cell>
          <cell r="I1824" t="str">
            <v>M4A</v>
          </cell>
          <cell r="J1824" t="str">
            <v>IE3</v>
          </cell>
          <cell r="K1824" t="str">
            <v>400/690</v>
          </cell>
          <cell r="L1824">
            <v>50</v>
          </cell>
          <cell r="M1824" t="str">
            <v>38,5/22,5</v>
          </cell>
          <cell r="N1824">
            <v>55</v>
          </cell>
          <cell r="O1824" t="str">
            <v>F(105°C)</v>
          </cell>
          <cell r="P1824" t="str">
            <v>0°</v>
          </cell>
          <cell r="Q1824" t="str">
            <v>TF</v>
          </cell>
          <cell r="R1824" t="str">
            <v>-</v>
          </cell>
          <cell r="S1824" t="str">
            <v>-</v>
          </cell>
          <cell r="T1824" t="str">
            <v>-</v>
          </cell>
          <cell r="U1824" t="str">
            <v>-</v>
          </cell>
          <cell r="V1824" t="str">
            <v>SS</v>
          </cell>
          <cell r="W1824" t="str">
            <v>-</v>
          </cell>
          <cell r="X1824" t="str">
            <v>CLP 220 (-15/+40°C)</v>
          </cell>
          <cell r="Y1824" t="str">
            <v>KH157DRN180L4 /TF</v>
          </cell>
          <cell r="Z1824" t="str">
            <v>SEW</v>
          </cell>
          <cell r="AB1824" t="str">
            <v>-</v>
          </cell>
          <cell r="AF1824">
            <v>12</v>
          </cell>
          <cell r="AG1824" t="str">
            <v>DRN180L4</v>
          </cell>
          <cell r="AH1824" t="str">
            <v>KH157-DRN180L4A0-X</v>
          </cell>
        </row>
        <row r="1825">
          <cell r="A1825" t="str">
            <v>MR001821</v>
          </cell>
          <cell r="B1825" t="str">
            <v>MR</v>
          </cell>
          <cell r="C1825">
            <v>22</v>
          </cell>
          <cell r="D1825">
            <v>12</v>
          </cell>
          <cell r="E1825" t="str">
            <v>KH157</v>
          </cell>
          <cell r="F1825">
            <v>17400</v>
          </cell>
          <cell r="G1825">
            <v>122.39</v>
          </cell>
          <cell r="H1825">
            <v>1.1499999999999999</v>
          </cell>
          <cell r="I1825" t="str">
            <v>M4B</v>
          </cell>
          <cell r="J1825" t="str">
            <v>IE3</v>
          </cell>
          <cell r="K1825" t="str">
            <v>400/690</v>
          </cell>
          <cell r="L1825">
            <v>50</v>
          </cell>
          <cell r="M1825" t="str">
            <v>38,5/22,5</v>
          </cell>
          <cell r="N1825">
            <v>55</v>
          </cell>
          <cell r="O1825" t="str">
            <v>F(105°C)</v>
          </cell>
          <cell r="P1825" t="str">
            <v>0°</v>
          </cell>
          <cell r="Q1825" t="str">
            <v>TF</v>
          </cell>
          <cell r="R1825" t="str">
            <v>-</v>
          </cell>
          <cell r="S1825" t="str">
            <v>-</v>
          </cell>
          <cell r="T1825" t="str">
            <v>-</v>
          </cell>
          <cell r="U1825" t="str">
            <v>-</v>
          </cell>
          <cell r="V1825" t="str">
            <v>SS</v>
          </cell>
          <cell r="W1825" t="str">
            <v>-</v>
          </cell>
          <cell r="X1825" t="str">
            <v>CLP 220 (-15/+40°C)</v>
          </cell>
          <cell r="Y1825" t="str">
            <v>KH157DRN180L4 /TF</v>
          </cell>
          <cell r="Z1825" t="str">
            <v>SEW</v>
          </cell>
          <cell r="AB1825" t="str">
            <v>-</v>
          </cell>
          <cell r="AF1825">
            <v>12</v>
          </cell>
          <cell r="AG1825" t="str">
            <v>DRN180L4</v>
          </cell>
          <cell r="AH1825" t="str">
            <v>KH157-DRN180L4B0-X</v>
          </cell>
        </row>
        <row r="1826">
          <cell r="A1826" t="str">
            <v>MR001822</v>
          </cell>
          <cell r="B1826" t="str">
            <v>MR</v>
          </cell>
          <cell r="C1826">
            <v>15</v>
          </cell>
          <cell r="D1826">
            <v>12</v>
          </cell>
          <cell r="E1826" t="str">
            <v>KH127</v>
          </cell>
          <cell r="F1826">
            <v>11900</v>
          </cell>
          <cell r="G1826">
            <v>122.48</v>
          </cell>
          <cell r="H1826">
            <v>1.1000000000000001</v>
          </cell>
          <cell r="I1826" t="str">
            <v>From M4A to M1A - 45°</v>
          </cell>
          <cell r="J1826" t="str">
            <v>IE3</v>
          </cell>
          <cell r="K1826" t="str">
            <v>400/690</v>
          </cell>
          <cell r="L1826">
            <v>50</v>
          </cell>
          <cell r="M1826" t="str">
            <v>29/16,7</v>
          </cell>
          <cell r="N1826">
            <v>54</v>
          </cell>
          <cell r="O1826" t="str">
            <v>F(105°C)</v>
          </cell>
          <cell r="P1826" t="str">
            <v>270°</v>
          </cell>
          <cell r="Q1826" t="str">
            <v>TF</v>
          </cell>
          <cell r="R1826" t="str">
            <v>-</v>
          </cell>
          <cell r="S1826" t="str">
            <v>-</v>
          </cell>
          <cell r="T1826" t="str">
            <v>-</v>
          </cell>
          <cell r="U1826" t="str">
            <v>-</v>
          </cell>
          <cell r="V1826" t="str">
            <v>SS</v>
          </cell>
          <cell r="W1826" t="str">
            <v>-</v>
          </cell>
          <cell r="X1826" t="str">
            <v>CLP 220 (-15/+40°C)</v>
          </cell>
          <cell r="Y1826" t="str">
            <v>KH127DRN160L4 /TF</v>
          </cell>
          <cell r="Z1826" t="str">
            <v>SEW</v>
          </cell>
          <cell r="AB1826" t="str">
            <v>-</v>
          </cell>
          <cell r="AF1826">
            <v>12</v>
          </cell>
          <cell r="AG1826" t="str">
            <v>DRN160L4</v>
          </cell>
          <cell r="AH1826" t="str">
            <v>KH127-DRN160L4A270-X</v>
          </cell>
        </row>
        <row r="1827">
          <cell r="A1827" t="str">
            <v>MR001823</v>
          </cell>
          <cell r="B1827" t="str">
            <v>MR</v>
          </cell>
          <cell r="C1827">
            <v>15</v>
          </cell>
          <cell r="D1827">
            <v>12</v>
          </cell>
          <cell r="E1827" t="str">
            <v>KH127</v>
          </cell>
          <cell r="F1827">
            <v>11900</v>
          </cell>
          <cell r="G1827">
            <v>122.48</v>
          </cell>
          <cell r="H1827">
            <v>1.1000000000000001</v>
          </cell>
          <cell r="I1827" t="str">
            <v>From M4B to M1B - 45°</v>
          </cell>
          <cell r="J1827" t="str">
            <v>IE3</v>
          </cell>
          <cell r="K1827" t="str">
            <v>400/690</v>
          </cell>
          <cell r="L1827">
            <v>50</v>
          </cell>
          <cell r="M1827" t="str">
            <v>29/16,7</v>
          </cell>
          <cell r="N1827">
            <v>54</v>
          </cell>
          <cell r="O1827" t="str">
            <v>F(105°C)</v>
          </cell>
          <cell r="P1827" t="str">
            <v>270°</v>
          </cell>
          <cell r="Q1827" t="str">
            <v>TF</v>
          </cell>
          <cell r="R1827" t="str">
            <v>-</v>
          </cell>
          <cell r="S1827" t="str">
            <v>-</v>
          </cell>
          <cell r="T1827" t="str">
            <v>-</v>
          </cell>
          <cell r="U1827" t="str">
            <v>-</v>
          </cell>
          <cell r="V1827" t="str">
            <v>SS</v>
          </cell>
          <cell r="W1827" t="str">
            <v>-</v>
          </cell>
          <cell r="X1827" t="str">
            <v>CLP 220 (-15/+40°C)</v>
          </cell>
          <cell r="Y1827" t="str">
            <v>KH127DRN160L4 /TF</v>
          </cell>
          <cell r="Z1827" t="str">
            <v>SEW</v>
          </cell>
          <cell r="AB1827" t="str">
            <v>-</v>
          </cell>
          <cell r="AF1827">
            <v>12</v>
          </cell>
          <cell r="AG1827" t="str">
            <v>DRN160L4</v>
          </cell>
          <cell r="AH1827" t="str">
            <v>KH127-DRN160L4B270-X</v>
          </cell>
        </row>
        <row r="1828">
          <cell r="A1828" t="str">
            <v>MR001824</v>
          </cell>
          <cell r="B1828" t="str">
            <v>MR</v>
          </cell>
          <cell r="C1828">
            <v>15</v>
          </cell>
          <cell r="D1828">
            <v>9.8000000000000007</v>
          </cell>
          <cell r="E1828" t="str">
            <v>KH157</v>
          </cell>
          <cell r="F1828">
            <v>14600</v>
          </cell>
          <cell r="G1828">
            <v>150.41</v>
          </cell>
          <cell r="H1828">
            <v>1.35</v>
          </cell>
          <cell r="I1828" t="str">
            <v>From M1A to M2A - 35°</v>
          </cell>
          <cell r="J1828" t="str">
            <v>IE3</v>
          </cell>
          <cell r="K1828" t="str">
            <v>400/690</v>
          </cell>
          <cell r="L1828">
            <v>50</v>
          </cell>
          <cell r="M1828" t="str">
            <v>29/16,7</v>
          </cell>
          <cell r="N1828">
            <v>55</v>
          </cell>
          <cell r="O1828" t="str">
            <v>F(105°C)</v>
          </cell>
          <cell r="P1828" t="str">
            <v>270°</v>
          </cell>
          <cell r="Q1828" t="str">
            <v>TF</v>
          </cell>
          <cell r="R1828" t="str">
            <v>-</v>
          </cell>
          <cell r="S1828" t="str">
            <v>-</v>
          </cell>
          <cell r="T1828" t="str">
            <v>-</v>
          </cell>
          <cell r="U1828" t="str">
            <v>-</v>
          </cell>
          <cell r="V1828" t="str">
            <v>SS</v>
          </cell>
          <cell r="W1828" t="str">
            <v>-</v>
          </cell>
          <cell r="X1828" t="str">
            <v>CLP 220 (-15/+40°C)</v>
          </cell>
          <cell r="Y1828" t="str">
            <v>KH157DRN160L4 /TF</v>
          </cell>
          <cell r="Z1828" t="str">
            <v>SEW</v>
          </cell>
          <cell r="AB1828" t="str">
            <v>-</v>
          </cell>
          <cell r="AF1828">
            <v>9.8000000000000007</v>
          </cell>
          <cell r="AG1828" t="str">
            <v>DRN160L4</v>
          </cell>
          <cell r="AH1828" t="str">
            <v>KH157-DRN160L4A270-X</v>
          </cell>
        </row>
        <row r="1829">
          <cell r="A1829" t="str">
            <v>MR001825</v>
          </cell>
          <cell r="B1829" t="str">
            <v>MR</v>
          </cell>
          <cell r="C1829">
            <v>15</v>
          </cell>
          <cell r="D1829">
            <v>9.8000000000000007</v>
          </cell>
          <cell r="E1829" t="str">
            <v>KH157</v>
          </cell>
          <cell r="F1829">
            <v>14600</v>
          </cell>
          <cell r="G1829">
            <v>150.41</v>
          </cell>
          <cell r="H1829">
            <v>1.35</v>
          </cell>
          <cell r="I1829" t="str">
            <v>From M1B to M2B - 35°</v>
          </cell>
          <cell r="J1829" t="str">
            <v>IE3</v>
          </cell>
          <cell r="K1829" t="str">
            <v>400/690</v>
          </cell>
          <cell r="L1829">
            <v>50</v>
          </cell>
          <cell r="M1829" t="str">
            <v>29/16,7</v>
          </cell>
          <cell r="N1829">
            <v>55</v>
          </cell>
          <cell r="O1829" t="str">
            <v>F(105°C)</v>
          </cell>
          <cell r="P1829" t="str">
            <v>270°</v>
          </cell>
          <cell r="Q1829" t="str">
            <v>TF</v>
          </cell>
          <cell r="R1829" t="str">
            <v>-</v>
          </cell>
          <cell r="S1829" t="str">
            <v>-</v>
          </cell>
          <cell r="T1829" t="str">
            <v>-</v>
          </cell>
          <cell r="U1829" t="str">
            <v>-</v>
          </cell>
          <cell r="V1829" t="str">
            <v>SS</v>
          </cell>
          <cell r="W1829" t="str">
            <v>-</v>
          </cell>
          <cell r="X1829" t="str">
            <v>CLP 220 (-15/+40°C)</v>
          </cell>
          <cell r="Y1829" t="str">
            <v>KH157DRN160L4 /TF</v>
          </cell>
          <cell r="Z1829" t="str">
            <v>SEW</v>
          </cell>
          <cell r="AB1829" t="str">
            <v>-</v>
          </cell>
          <cell r="AF1829">
            <v>9.8000000000000007</v>
          </cell>
          <cell r="AG1829" t="str">
            <v>DRN160L4</v>
          </cell>
          <cell r="AH1829" t="str">
            <v>KH157-DRN160L4B270-X</v>
          </cell>
        </row>
        <row r="1830">
          <cell r="A1830" t="str">
            <v>MR001826</v>
          </cell>
          <cell r="B1830" t="str">
            <v>MR</v>
          </cell>
          <cell r="C1830">
            <v>1.5</v>
          </cell>
          <cell r="D1830">
            <v>22</v>
          </cell>
          <cell r="E1830" t="str">
            <v>FA67</v>
          </cell>
          <cell r="F1830">
            <v>660</v>
          </cell>
          <cell r="G1830">
            <v>67.650000000000006</v>
          </cell>
          <cell r="H1830">
            <v>1.25</v>
          </cell>
          <cell r="I1830" t="str">
            <v>From M6 to M1 - 35°</v>
          </cell>
          <cell r="J1830" t="str">
            <v>IE3</v>
          </cell>
          <cell r="K1830" t="str">
            <v>400/690</v>
          </cell>
          <cell r="L1830">
            <v>50</v>
          </cell>
          <cell r="M1830" t="str">
            <v>5,9/3,4</v>
          </cell>
          <cell r="N1830">
            <v>55</v>
          </cell>
          <cell r="O1830" t="str">
            <v>F(105°C)</v>
          </cell>
          <cell r="P1830" t="str">
            <v>270°</v>
          </cell>
          <cell r="Q1830" t="str">
            <v>TF</v>
          </cell>
          <cell r="R1830" t="str">
            <v>-</v>
          </cell>
          <cell r="S1830" t="str">
            <v>-</v>
          </cell>
          <cell r="T1830" t="str">
            <v>BEHF</v>
          </cell>
          <cell r="U1830" t="str">
            <v>G</v>
          </cell>
          <cell r="V1830" t="str">
            <v>D+R</v>
          </cell>
          <cell r="X1830" t="str">
            <v>CLP 220 (-15/+40°C)</v>
          </cell>
          <cell r="Y1830" t="str">
            <v>FA67/G DRN90L4 /BEHF /TF</v>
          </cell>
          <cell r="Z1830" t="str">
            <v>SEW</v>
          </cell>
          <cell r="AB1830" t="str">
            <v>-</v>
          </cell>
          <cell r="AF1830">
            <v>22</v>
          </cell>
          <cell r="AG1830" t="str">
            <v>DRN90L4</v>
          </cell>
          <cell r="AH1830" t="str">
            <v>FA67G-DRN90L4270-X</v>
          </cell>
        </row>
        <row r="1831">
          <cell r="A1831" t="str">
            <v>MR001827</v>
          </cell>
          <cell r="B1831" t="str">
            <v>MR</v>
          </cell>
          <cell r="C1831">
            <v>15</v>
          </cell>
          <cell r="D1831">
            <v>9.8000000000000007</v>
          </cell>
          <cell r="E1831" t="str">
            <v>KH157</v>
          </cell>
          <cell r="F1831">
            <v>14600</v>
          </cell>
          <cell r="G1831">
            <v>150.41</v>
          </cell>
          <cell r="H1831">
            <v>1.35</v>
          </cell>
          <cell r="I1831" t="str">
            <v>From M1A to M2A - 30°</v>
          </cell>
          <cell r="J1831" t="str">
            <v>IE3</v>
          </cell>
          <cell r="K1831" t="str">
            <v>400/690</v>
          </cell>
          <cell r="L1831">
            <v>50</v>
          </cell>
          <cell r="M1831" t="str">
            <v>29/16,7</v>
          </cell>
          <cell r="N1831">
            <v>54</v>
          </cell>
          <cell r="O1831" t="str">
            <v>F(105°C)</v>
          </cell>
          <cell r="P1831" t="str">
            <v>270°</v>
          </cell>
          <cell r="Q1831" t="str">
            <v>TF</v>
          </cell>
          <cell r="R1831" t="str">
            <v>-</v>
          </cell>
          <cell r="S1831" t="str">
            <v>-</v>
          </cell>
          <cell r="T1831" t="str">
            <v>-</v>
          </cell>
          <cell r="U1831" t="str">
            <v>-</v>
          </cell>
          <cell r="V1831" t="str">
            <v>SS</v>
          </cell>
          <cell r="W1831" t="str">
            <v>-</v>
          </cell>
          <cell r="X1831" t="str">
            <v>CLP 220 (-15/+40°C)</v>
          </cell>
          <cell r="Y1831" t="str">
            <v>KH157DRN160L4 /TF</v>
          </cell>
          <cell r="Z1831" t="str">
            <v>SEW</v>
          </cell>
          <cell r="AB1831" t="str">
            <v>-</v>
          </cell>
          <cell r="AF1831">
            <v>9.8000000000000007</v>
          </cell>
          <cell r="AG1831" t="str">
            <v>DRN160L4</v>
          </cell>
          <cell r="AH1831" t="str">
            <v>KH157-DRN160L4A270-X</v>
          </cell>
        </row>
        <row r="1832">
          <cell r="A1832" t="str">
            <v>MR001828</v>
          </cell>
          <cell r="B1832" t="str">
            <v>MR</v>
          </cell>
          <cell r="C1832">
            <v>15</v>
          </cell>
          <cell r="D1832">
            <v>9.8000000000000007</v>
          </cell>
          <cell r="E1832" t="str">
            <v>KH157</v>
          </cell>
          <cell r="F1832">
            <v>14600</v>
          </cell>
          <cell r="G1832">
            <v>150.41</v>
          </cell>
          <cell r="H1832">
            <v>1.35</v>
          </cell>
          <cell r="I1832" t="str">
            <v>From M1B to M2B - 30°</v>
          </cell>
          <cell r="J1832" t="str">
            <v>IE3</v>
          </cell>
          <cell r="K1832" t="str">
            <v>400/690</v>
          </cell>
          <cell r="L1832">
            <v>50</v>
          </cell>
          <cell r="M1832" t="str">
            <v>29/16,7</v>
          </cell>
          <cell r="N1832">
            <v>54</v>
          </cell>
          <cell r="O1832" t="str">
            <v>F(105°C)</v>
          </cell>
          <cell r="P1832" t="str">
            <v>270°</v>
          </cell>
          <cell r="Q1832" t="str">
            <v>TF</v>
          </cell>
          <cell r="R1832" t="str">
            <v>-</v>
          </cell>
          <cell r="S1832" t="str">
            <v>-</v>
          </cell>
          <cell r="T1832" t="str">
            <v>-</v>
          </cell>
          <cell r="U1832" t="str">
            <v>-</v>
          </cell>
          <cell r="V1832" t="str">
            <v>SS</v>
          </cell>
          <cell r="W1832" t="str">
            <v>-</v>
          </cell>
          <cell r="X1832" t="str">
            <v>CLP 220 (-15/+40°C)</v>
          </cell>
          <cell r="Y1832" t="str">
            <v>KH157DRN160L4 /TF</v>
          </cell>
          <cell r="Z1832" t="str">
            <v>SEW</v>
          </cell>
          <cell r="AB1832" t="str">
            <v>-</v>
          </cell>
          <cell r="AF1832">
            <v>9.8000000000000007</v>
          </cell>
          <cell r="AG1832" t="str">
            <v>DRN160L4</v>
          </cell>
          <cell r="AH1832" t="str">
            <v>KH157-DRN160L4B270-X</v>
          </cell>
        </row>
        <row r="1833">
          <cell r="A1833" t="str">
            <v>MR001829</v>
          </cell>
          <cell r="B1833" t="str">
            <v>MR</v>
          </cell>
          <cell r="C1833">
            <v>15</v>
          </cell>
          <cell r="D1833">
            <v>9.8000000000000007</v>
          </cell>
          <cell r="E1833" t="str">
            <v>KH157</v>
          </cell>
          <cell r="F1833">
            <v>14600</v>
          </cell>
          <cell r="G1833">
            <v>150.41</v>
          </cell>
          <cell r="H1833">
            <v>1.35</v>
          </cell>
          <cell r="I1833" t="str">
            <v>From M1A to M2A - 45°</v>
          </cell>
          <cell r="J1833" t="str">
            <v>IE3</v>
          </cell>
          <cell r="K1833" t="str">
            <v>400/690</v>
          </cell>
          <cell r="L1833">
            <v>50</v>
          </cell>
          <cell r="M1833" t="str">
            <v>29/16,7</v>
          </cell>
          <cell r="N1833">
            <v>54</v>
          </cell>
          <cell r="O1833" t="str">
            <v>F(105°C)</v>
          </cell>
          <cell r="P1833" t="str">
            <v>270°</v>
          </cell>
          <cell r="Q1833" t="str">
            <v>TF</v>
          </cell>
          <cell r="R1833" t="str">
            <v>-</v>
          </cell>
          <cell r="S1833" t="str">
            <v>-</v>
          </cell>
          <cell r="T1833" t="str">
            <v>-</v>
          </cell>
          <cell r="U1833" t="str">
            <v>-</v>
          </cell>
          <cell r="V1833" t="str">
            <v>SS</v>
          </cell>
          <cell r="W1833" t="str">
            <v>-</v>
          </cell>
          <cell r="X1833" t="str">
            <v>CLP VG 220 = -15° + 40°</v>
          </cell>
          <cell r="Y1833" t="str">
            <v>KH157DRN160L4 /TF</v>
          </cell>
          <cell r="Z1833" t="str">
            <v>SEW</v>
          </cell>
          <cell r="AB1833" t="str">
            <v>-</v>
          </cell>
          <cell r="AF1833">
            <v>9.8000000000000007</v>
          </cell>
          <cell r="AG1833" t="str">
            <v>DRN160L4</v>
          </cell>
          <cell r="AH1833" t="str">
            <v>KH157-DRN160L4A270-X</v>
          </cell>
        </row>
        <row r="1834">
          <cell r="A1834" t="str">
            <v>MR001830</v>
          </cell>
          <cell r="B1834" t="str">
            <v>MR</v>
          </cell>
          <cell r="C1834">
            <v>15</v>
          </cell>
          <cell r="D1834">
            <v>9.8000000000000007</v>
          </cell>
          <cell r="E1834" t="str">
            <v>KH157</v>
          </cell>
          <cell r="F1834">
            <v>14600</v>
          </cell>
          <cell r="G1834">
            <v>150.41</v>
          </cell>
          <cell r="H1834">
            <v>1.35</v>
          </cell>
          <cell r="I1834" t="str">
            <v>From M1B to M2B - 45°</v>
          </cell>
          <cell r="J1834" t="str">
            <v>IE3</v>
          </cell>
          <cell r="K1834" t="str">
            <v>400/690</v>
          </cell>
          <cell r="L1834">
            <v>50</v>
          </cell>
          <cell r="M1834" t="str">
            <v>29/16,7</v>
          </cell>
          <cell r="N1834">
            <v>54</v>
          </cell>
          <cell r="O1834" t="str">
            <v>F(105°C)</v>
          </cell>
          <cell r="P1834" t="str">
            <v>270°</v>
          </cell>
          <cell r="Q1834" t="str">
            <v>TF</v>
          </cell>
          <cell r="R1834" t="str">
            <v>-</v>
          </cell>
          <cell r="S1834" t="str">
            <v>-</v>
          </cell>
          <cell r="T1834" t="str">
            <v>-</v>
          </cell>
          <cell r="U1834" t="str">
            <v>-</v>
          </cell>
          <cell r="V1834" t="str">
            <v>SS</v>
          </cell>
          <cell r="W1834" t="str">
            <v>-</v>
          </cell>
          <cell r="X1834" t="str">
            <v>CLP VG 220 = -15° + 40°</v>
          </cell>
          <cell r="Y1834" t="str">
            <v>KH157DRN160L4 /TF</v>
          </cell>
          <cell r="Z1834" t="str">
            <v>SEW</v>
          </cell>
          <cell r="AB1834" t="str">
            <v>-</v>
          </cell>
          <cell r="AF1834">
            <v>9.8000000000000007</v>
          </cell>
          <cell r="AG1834" t="str">
            <v>DRN160L4</v>
          </cell>
          <cell r="AH1834" t="str">
            <v>KH157-DRN160L4B270-X</v>
          </cell>
        </row>
        <row r="1835">
          <cell r="A1835" t="str">
            <v>MR001831</v>
          </cell>
          <cell r="B1835" t="str">
            <v>MR</v>
          </cell>
          <cell r="C1835">
            <v>5.5</v>
          </cell>
          <cell r="D1835">
            <v>15</v>
          </cell>
          <cell r="E1835" t="str">
            <v>KH97</v>
          </cell>
          <cell r="F1835">
            <v>3470</v>
          </cell>
          <cell r="G1835">
            <v>96.8</v>
          </cell>
          <cell r="H1835">
            <v>1.25</v>
          </cell>
          <cell r="I1835" t="str">
            <v>From M1B to M2B - 5°</v>
          </cell>
          <cell r="J1835" t="str">
            <v>IE3</v>
          </cell>
          <cell r="K1835" t="str">
            <v>230/400</v>
          </cell>
          <cell r="L1835">
            <v>50</v>
          </cell>
          <cell r="M1835" t="str">
            <v>18,2/10,5</v>
          </cell>
          <cell r="N1835">
            <v>54</v>
          </cell>
          <cell r="O1835" t="str">
            <v>F(105°C)</v>
          </cell>
          <cell r="P1835" t="str">
            <v>270°</v>
          </cell>
          <cell r="Q1835" t="str">
            <v>TF</v>
          </cell>
          <cell r="R1835" t="str">
            <v>-</v>
          </cell>
          <cell r="S1835" t="str">
            <v>-</v>
          </cell>
          <cell r="T1835" t="str">
            <v>-</v>
          </cell>
          <cell r="U1835" t="str">
            <v>-</v>
          </cell>
          <cell r="V1835" t="str">
            <v>SS</v>
          </cell>
          <cell r="W1835" t="str">
            <v>-</v>
          </cell>
          <cell r="X1835" t="str">
            <v>CLP VG 220 = -15° + 40°</v>
          </cell>
          <cell r="Y1835" t="str">
            <v>KH97DRN132S4 /TF</v>
          </cell>
          <cell r="Z1835" t="str">
            <v>SEW</v>
          </cell>
          <cell r="AB1835" t="str">
            <v>-</v>
          </cell>
          <cell r="AF1835">
            <v>15</v>
          </cell>
          <cell r="AG1835" t="str">
            <v>DRN132S4</v>
          </cell>
          <cell r="AH1835" t="str">
            <v>KH97-DRN132S4B270-X</v>
          </cell>
        </row>
        <row r="1836">
          <cell r="A1836" t="str">
            <v>MR001832</v>
          </cell>
          <cell r="B1836" t="str">
            <v>ME</v>
          </cell>
          <cell r="C1836">
            <v>37</v>
          </cell>
          <cell r="D1836">
            <v>1482</v>
          </cell>
          <cell r="E1836" t="str">
            <v>1LE1503</v>
          </cell>
          <cell r="I1836" t="str">
            <v>V1/B5</v>
          </cell>
          <cell r="J1836" t="str">
            <v>IE3</v>
          </cell>
          <cell r="K1836">
            <v>440</v>
          </cell>
          <cell r="L1836">
            <v>60</v>
          </cell>
          <cell r="M1836">
            <v>66</v>
          </cell>
          <cell r="N1836">
            <v>55</v>
          </cell>
          <cell r="O1836" t="str">
            <v>F(105°C)</v>
          </cell>
          <cell r="P1836" t="str">
            <v>270°</v>
          </cell>
          <cell r="Q1836" t="str">
            <v>-</v>
          </cell>
          <cell r="R1836" t="str">
            <v>-</v>
          </cell>
          <cell r="S1836" t="str">
            <v>-</v>
          </cell>
          <cell r="T1836" t="str">
            <v>-</v>
          </cell>
          <cell r="U1836" t="str">
            <v>-</v>
          </cell>
          <cell r="V1836" t="str">
            <v>D</v>
          </cell>
          <cell r="W1836" t="str">
            <v>-</v>
          </cell>
          <cell r="X1836" t="str">
            <v>-</v>
          </cell>
          <cell r="Y1836" t="str">
            <v>1LE1503-2BB03-4FA4</v>
          </cell>
          <cell r="Z1836" t="str">
            <v>SIEMENS</v>
          </cell>
          <cell r="AB1836" t="str">
            <v>-</v>
          </cell>
          <cell r="AE1836" t="str">
            <v>4 POLES</v>
          </cell>
          <cell r="AF1836">
            <v>1778.4</v>
          </cell>
          <cell r="AG1836" t="str">
            <v>1LE1503</v>
          </cell>
          <cell r="AH1836" t="str">
            <v>1LE1503-1LE1503B270-X</v>
          </cell>
        </row>
        <row r="1837">
          <cell r="A1837" t="str">
            <v>MR001833</v>
          </cell>
          <cell r="B1837" t="str">
            <v>ME</v>
          </cell>
          <cell r="C1837">
            <v>3</v>
          </cell>
          <cell r="D1837">
            <v>1456</v>
          </cell>
          <cell r="E1837" t="str">
            <v>1LE1003</v>
          </cell>
          <cell r="I1837" t="str">
            <v>B5</v>
          </cell>
          <cell r="J1837" t="str">
            <v>IE3</v>
          </cell>
          <cell r="K1837">
            <v>440</v>
          </cell>
          <cell r="L1837">
            <v>60</v>
          </cell>
          <cell r="M1837">
            <v>6.4</v>
          </cell>
          <cell r="N1837">
            <v>55</v>
          </cell>
          <cell r="O1837" t="str">
            <v>F(105°C)</v>
          </cell>
          <cell r="P1837" t="str">
            <v>270°</v>
          </cell>
          <cell r="Q1837" t="str">
            <v>-</v>
          </cell>
          <cell r="R1837" t="str">
            <v>-</v>
          </cell>
          <cell r="S1837" t="str">
            <v>-</v>
          </cell>
          <cell r="T1837" t="str">
            <v>-</v>
          </cell>
          <cell r="U1837" t="str">
            <v>-</v>
          </cell>
          <cell r="V1837" t="str">
            <v>D</v>
          </cell>
          <cell r="W1837" t="str">
            <v>-</v>
          </cell>
          <cell r="Y1837" t="str">
            <v>1LE1003-1AA42-2FA4</v>
          </cell>
          <cell r="Z1837" t="str">
            <v>SIEMENS</v>
          </cell>
          <cell r="AB1837" t="str">
            <v>-</v>
          </cell>
          <cell r="AF1837">
            <v>1747.2</v>
          </cell>
          <cell r="AG1837" t="str">
            <v>1LE1003</v>
          </cell>
          <cell r="AH1837" t="str">
            <v>1LE1003-1LE1003B270-X</v>
          </cell>
        </row>
        <row r="1838">
          <cell r="A1838" t="str">
            <v>MR001834</v>
          </cell>
          <cell r="B1838" t="str">
            <v>MR</v>
          </cell>
          <cell r="C1838">
            <v>11</v>
          </cell>
          <cell r="D1838">
            <v>14</v>
          </cell>
          <cell r="E1838" t="str">
            <v>R137</v>
          </cell>
          <cell r="F1838">
            <v>6100</v>
          </cell>
          <cell r="G1838">
            <v>103.2</v>
          </cell>
          <cell r="H1838">
            <v>1.3</v>
          </cell>
          <cell r="I1838" t="str">
            <v>From M1 to M2-20°</v>
          </cell>
          <cell r="J1838" t="str">
            <v>IE3</v>
          </cell>
          <cell r="K1838">
            <v>440</v>
          </cell>
          <cell r="L1838">
            <v>60</v>
          </cell>
          <cell r="M1838">
            <v>19.3</v>
          </cell>
          <cell r="N1838">
            <v>55</v>
          </cell>
          <cell r="O1838" t="str">
            <v>F(105°C)</v>
          </cell>
          <cell r="P1838" t="str">
            <v>270°</v>
          </cell>
          <cell r="Q1838" t="str">
            <v>TF</v>
          </cell>
          <cell r="R1838" t="str">
            <v>V(VE)</v>
          </cell>
          <cell r="S1838" t="str">
            <v>-</v>
          </cell>
          <cell r="T1838" t="str">
            <v>-</v>
          </cell>
          <cell r="U1838" t="str">
            <v>-</v>
          </cell>
          <cell r="V1838" t="str">
            <v>FC</v>
          </cell>
          <cell r="W1838" t="str">
            <v>-</v>
          </cell>
          <cell r="X1838" t="str">
            <v>CLP 220 (-15/+40°C)</v>
          </cell>
          <cell r="Y1838" t="str">
            <v>R137DRN160M4 /TF/V</v>
          </cell>
          <cell r="Z1838" t="str">
            <v>SEW</v>
          </cell>
          <cell r="AB1838" t="str">
            <v>-</v>
          </cell>
          <cell r="AF1838">
            <v>16.8</v>
          </cell>
          <cell r="AG1838" t="str">
            <v>DRN160M4</v>
          </cell>
          <cell r="AH1838" t="str">
            <v>R137-DRN160M4270-X#</v>
          </cell>
        </row>
        <row r="1839">
          <cell r="A1839" t="str">
            <v>MR001835</v>
          </cell>
          <cell r="B1839" t="str">
            <v>MR</v>
          </cell>
          <cell r="C1839">
            <v>7.5</v>
          </cell>
          <cell r="D1839">
            <v>33</v>
          </cell>
          <cell r="E1839" t="str">
            <v>KH87</v>
          </cell>
          <cell r="F1839">
            <v>1780</v>
          </cell>
          <cell r="G1839">
            <v>44.02</v>
          </cell>
          <cell r="H1839">
            <v>1.45</v>
          </cell>
          <cell r="I1839" t="str">
            <v>M4A</v>
          </cell>
          <cell r="J1839" t="str">
            <v>IE3</v>
          </cell>
          <cell r="K1839">
            <v>440</v>
          </cell>
          <cell r="L1839">
            <v>60</v>
          </cell>
          <cell r="M1839">
            <v>13.9</v>
          </cell>
          <cell r="N1839">
            <v>55</v>
          </cell>
          <cell r="O1839" t="str">
            <v>F(105°C)</v>
          </cell>
          <cell r="P1839" t="str">
            <v>270°</v>
          </cell>
          <cell r="Q1839" t="str">
            <v>-</v>
          </cell>
          <cell r="R1839" t="str">
            <v>-</v>
          </cell>
          <cell r="S1839" t="str">
            <v>Free rotation CCW</v>
          </cell>
          <cell r="T1839" t="str">
            <v>-</v>
          </cell>
          <cell r="U1839" t="str">
            <v>T</v>
          </cell>
          <cell r="V1839" t="str">
            <v>SS</v>
          </cell>
          <cell r="W1839" t="str">
            <v>-</v>
          </cell>
          <cell r="X1839" t="str">
            <v>CLP 220 (-15/+40°C)</v>
          </cell>
          <cell r="Y1839" t="str">
            <v>KH87/T DRN132M4 /RS</v>
          </cell>
          <cell r="Z1839" t="str">
            <v>SEW</v>
          </cell>
          <cell r="AB1839" t="str">
            <v>-</v>
          </cell>
          <cell r="AF1839">
            <v>39.6</v>
          </cell>
          <cell r="AG1839" t="str">
            <v>DRN132M4</v>
          </cell>
          <cell r="AH1839" t="str">
            <v>KH87T-DRN132M4A270-X</v>
          </cell>
        </row>
        <row r="1840">
          <cell r="A1840" t="str">
            <v>MR001836</v>
          </cell>
          <cell r="B1840" t="str">
            <v>MR</v>
          </cell>
          <cell r="C1840">
            <v>5.5</v>
          </cell>
          <cell r="D1840">
            <v>14</v>
          </cell>
          <cell r="E1840" t="str">
            <v>KH97</v>
          </cell>
          <cell r="F1840">
            <v>3120</v>
          </cell>
          <cell r="G1840">
            <v>105.13</v>
          </cell>
          <cell r="H1840">
            <v>1.4</v>
          </cell>
          <cell r="I1840" t="str">
            <v>M1A</v>
          </cell>
          <cell r="J1840" t="str">
            <v>IE3</v>
          </cell>
          <cell r="K1840">
            <v>440</v>
          </cell>
          <cell r="L1840">
            <v>60</v>
          </cell>
          <cell r="M1840">
            <v>9.6</v>
          </cell>
          <cell r="N1840">
            <v>55</v>
          </cell>
          <cell r="O1840" t="str">
            <v>F(105°C)</v>
          </cell>
          <cell r="P1840" t="str">
            <v>180°</v>
          </cell>
          <cell r="Q1840" t="str">
            <v>TF</v>
          </cell>
          <cell r="R1840" t="str">
            <v>V(VE)</v>
          </cell>
          <cell r="S1840" t="str">
            <v>-</v>
          </cell>
          <cell r="T1840" t="str">
            <v>-</v>
          </cell>
          <cell r="U1840" t="str">
            <v>-</v>
          </cell>
          <cell r="V1840" t="str">
            <v>FC</v>
          </cell>
          <cell r="W1840" t="str">
            <v>-</v>
          </cell>
          <cell r="X1840" t="str">
            <v>CLP 220 (-15/+40°C)</v>
          </cell>
          <cell r="Y1840" t="str">
            <v>KH97DRN132S4 /TF/V</v>
          </cell>
          <cell r="Z1840" t="str">
            <v>SEW</v>
          </cell>
          <cell r="AB1840" t="str">
            <v>-</v>
          </cell>
          <cell r="AF1840">
            <v>16.8</v>
          </cell>
          <cell r="AG1840" t="str">
            <v>DRN132S4</v>
          </cell>
          <cell r="AH1840" t="str">
            <v>KH97-DRN132S4A180-X#</v>
          </cell>
        </row>
        <row r="1841">
          <cell r="A1841" t="str">
            <v>MR001837</v>
          </cell>
          <cell r="B1841" t="str">
            <v>MR</v>
          </cell>
          <cell r="C1841">
            <v>5.5</v>
          </cell>
          <cell r="D1841">
            <v>14</v>
          </cell>
          <cell r="E1841" t="str">
            <v>KH97</v>
          </cell>
          <cell r="F1841">
            <v>3120</v>
          </cell>
          <cell r="G1841">
            <v>105.13</v>
          </cell>
          <cell r="H1841">
            <v>1.4</v>
          </cell>
          <cell r="I1841" t="str">
            <v>M1B</v>
          </cell>
          <cell r="J1841" t="str">
            <v>IE3</v>
          </cell>
          <cell r="K1841">
            <v>440</v>
          </cell>
          <cell r="L1841">
            <v>60</v>
          </cell>
          <cell r="M1841">
            <v>9.6</v>
          </cell>
          <cell r="N1841">
            <v>55</v>
          </cell>
          <cell r="O1841" t="str">
            <v>F(105°C)</v>
          </cell>
          <cell r="P1841" t="str">
            <v>0°</v>
          </cell>
          <cell r="Q1841" t="str">
            <v>TF</v>
          </cell>
          <cell r="R1841" t="str">
            <v>V(VE)</v>
          </cell>
          <cell r="S1841" t="str">
            <v>-</v>
          </cell>
          <cell r="T1841" t="str">
            <v>-</v>
          </cell>
          <cell r="U1841" t="str">
            <v>-</v>
          </cell>
          <cell r="V1841" t="str">
            <v>FC</v>
          </cell>
          <cell r="W1841" t="str">
            <v>-</v>
          </cell>
          <cell r="X1841" t="str">
            <v>CLP 220 (-15/+40°C)</v>
          </cell>
          <cell r="Y1841" t="str">
            <v>KH97DRN132S4 /TF/V</v>
          </cell>
          <cell r="Z1841" t="str">
            <v>SEW</v>
          </cell>
          <cell r="AB1841" t="str">
            <v>-</v>
          </cell>
          <cell r="AF1841">
            <v>16.8</v>
          </cell>
          <cell r="AG1841" t="str">
            <v>DRN132S4</v>
          </cell>
          <cell r="AH1841" t="str">
            <v>KH97-DRN132S4B0-X#</v>
          </cell>
        </row>
        <row r="1842">
          <cell r="A1842" t="str">
            <v>MR001838</v>
          </cell>
          <cell r="B1842" t="str">
            <v>MR</v>
          </cell>
          <cell r="C1842">
            <v>30</v>
          </cell>
          <cell r="D1842">
            <v>28</v>
          </cell>
          <cell r="E1842" t="str">
            <v>R147</v>
          </cell>
          <cell r="F1842">
            <v>10200</v>
          </cell>
          <cell r="G1842">
            <v>52.87</v>
          </cell>
          <cell r="H1842">
            <v>1.25</v>
          </cell>
          <cell r="I1842" t="str">
            <v>From M1 to M2 - 10°</v>
          </cell>
          <cell r="J1842" t="str">
            <v>IE3</v>
          </cell>
          <cell r="K1842" t="str">
            <v>400/690</v>
          </cell>
          <cell r="L1842">
            <v>50</v>
          </cell>
          <cell r="M1842">
            <v>56</v>
          </cell>
          <cell r="N1842">
            <v>55</v>
          </cell>
          <cell r="O1842" t="str">
            <v>155(F)</v>
          </cell>
          <cell r="P1842" t="str">
            <v>270°</v>
          </cell>
          <cell r="Q1842" t="str">
            <v>TF</v>
          </cell>
          <cell r="R1842" t="str">
            <v>V(VE)</v>
          </cell>
          <cell r="S1842" t="str">
            <v>-</v>
          </cell>
          <cell r="T1842" t="str">
            <v>-</v>
          </cell>
          <cell r="U1842" t="str">
            <v>-</v>
          </cell>
          <cell r="V1842" t="str">
            <v>FC</v>
          </cell>
          <cell r="W1842" t="str">
            <v>-</v>
          </cell>
          <cell r="X1842" t="str">
            <v>CLP 220 (-15/+40°C)</v>
          </cell>
          <cell r="Y1842" t="str">
            <v>R147DRN200L4 /TF/V</v>
          </cell>
          <cell r="Z1842" t="str">
            <v>SEW</v>
          </cell>
          <cell r="AB1842" t="str">
            <v>-</v>
          </cell>
          <cell r="AF1842">
            <v>28</v>
          </cell>
          <cell r="AG1842" t="str">
            <v>DRN200L4</v>
          </cell>
          <cell r="AH1842" t="str">
            <v>R147-DRN200L4270-X#</v>
          </cell>
        </row>
        <row r="1843">
          <cell r="A1843" t="str">
            <v>MR001839</v>
          </cell>
          <cell r="B1843" t="str">
            <v>MR</v>
          </cell>
          <cell r="C1843">
            <v>30</v>
          </cell>
          <cell r="D1843">
            <v>54</v>
          </cell>
          <cell r="E1843" t="str">
            <v>FH107</v>
          </cell>
          <cell r="F1843">
            <v>5330</v>
          </cell>
          <cell r="G1843">
            <v>27.57</v>
          </cell>
          <cell r="H1843">
            <v>1.45</v>
          </cell>
          <cell r="I1843" t="str">
            <v>From M1 to M4 - 15°</v>
          </cell>
          <cell r="J1843" t="str">
            <v>IE3</v>
          </cell>
          <cell r="K1843" t="str">
            <v>400/690</v>
          </cell>
          <cell r="L1843">
            <v>50</v>
          </cell>
          <cell r="M1843">
            <v>56</v>
          </cell>
          <cell r="N1843">
            <v>55</v>
          </cell>
          <cell r="O1843" t="str">
            <v>155(F)</v>
          </cell>
          <cell r="P1843" t="str">
            <v>270°</v>
          </cell>
          <cell r="Q1843" t="str">
            <v>-</v>
          </cell>
          <cell r="R1843" t="str">
            <v>-</v>
          </cell>
          <cell r="S1843" t="str">
            <v>-</v>
          </cell>
          <cell r="T1843" t="str">
            <v>-</v>
          </cell>
          <cell r="U1843" t="str">
            <v>G</v>
          </cell>
          <cell r="V1843" t="str">
            <v>D</v>
          </cell>
          <cell r="W1843" t="str">
            <v>-</v>
          </cell>
          <cell r="X1843" t="str">
            <v>CLP 220 (-15/+40°C)</v>
          </cell>
          <cell r="Y1843" t="str">
            <v>FH107/G DRN200L4</v>
          </cell>
          <cell r="Z1843" t="str">
            <v>SEW</v>
          </cell>
          <cell r="AB1843" t="str">
            <v>-</v>
          </cell>
          <cell r="AF1843">
            <v>54</v>
          </cell>
          <cell r="AG1843" t="str">
            <v>DRN200L4</v>
          </cell>
          <cell r="AH1843" t="str">
            <v>FH107G-DRN200L4270-X</v>
          </cell>
        </row>
        <row r="1844">
          <cell r="A1844" t="str">
            <v>MR001840</v>
          </cell>
          <cell r="B1844" t="str">
            <v>MR</v>
          </cell>
          <cell r="C1844">
            <v>0.75</v>
          </cell>
          <cell r="D1844">
            <v>18</v>
          </cell>
          <cell r="E1844" t="str">
            <v>FA67</v>
          </cell>
          <cell r="F1844">
            <v>395</v>
          </cell>
          <cell r="G1844">
            <v>79.760000000000005</v>
          </cell>
          <cell r="H1844">
            <v>2.1</v>
          </cell>
          <cell r="I1844" t="str">
            <v>From M6 to M3 - 15°</v>
          </cell>
          <cell r="J1844" t="str">
            <v>IE3</v>
          </cell>
          <cell r="K1844" t="str">
            <v>230/400</v>
          </cell>
          <cell r="L1844">
            <v>50</v>
          </cell>
          <cell r="M1844">
            <v>1.75</v>
          </cell>
          <cell r="N1844">
            <v>55</v>
          </cell>
          <cell r="O1844" t="str">
            <v>155(F)</v>
          </cell>
          <cell r="P1844" t="str">
            <v>270°</v>
          </cell>
          <cell r="Q1844" t="str">
            <v>-</v>
          </cell>
          <cell r="R1844" t="str">
            <v>-</v>
          </cell>
          <cell r="S1844" t="str">
            <v>-</v>
          </cell>
          <cell r="T1844" t="str">
            <v>BEHF</v>
          </cell>
          <cell r="U1844" t="str">
            <v>G</v>
          </cell>
          <cell r="V1844" t="str">
            <v>D+R</v>
          </cell>
          <cell r="W1844" t="str">
            <v>-</v>
          </cell>
          <cell r="X1844" t="str">
            <v>CLP 220 (-15/+40°C)</v>
          </cell>
          <cell r="Y1844" t="str">
            <v>FA67/G DRN80M4 /BEHF</v>
          </cell>
          <cell r="Z1844" t="str">
            <v>SEW</v>
          </cell>
          <cell r="AB1844" t="str">
            <v>-</v>
          </cell>
          <cell r="AF1844">
            <v>18</v>
          </cell>
          <cell r="AG1844" t="str">
            <v>DRN80M4</v>
          </cell>
          <cell r="AH1844" t="str">
            <v>FA67G-DRN80M4270-X</v>
          </cell>
        </row>
        <row r="1845">
          <cell r="A1845" t="str">
            <v>MR001841</v>
          </cell>
          <cell r="B1845" t="str">
            <v>MR</v>
          </cell>
          <cell r="C1845">
            <v>0.75</v>
          </cell>
          <cell r="D1845">
            <v>18</v>
          </cell>
          <cell r="E1845" t="str">
            <v>FA67</v>
          </cell>
          <cell r="F1845">
            <v>395</v>
          </cell>
          <cell r="G1845">
            <v>79.760000000000005</v>
          </cell>
          <cell r="H1845">
            <v>2.1</v>
          </cell>
          <cell r="I1845" t="str">
            <v>From M5 to M3 - 15°</v>
          </cell>
          <cell r="J1845" t="str">
            <v>IE3</v>
          </cell>
          <cell r="K1845" t="str">
            <v>230/400</v>
          </cell>
          <cell r="L1845">
            <v>50</v>
          </cell>
          <cell r="M1845">
            <v>1.75</v>
          </cell>
          <cell r="N1845">
            <v>55</v>
          </cell>
          <cell r="O1845" t="str">
            <v>155(F)</v>
          </cell>
          <cell r="P1845" t="str">
            <v>270°</v>
          </cell>
          <cell r="Q1845" t="str">
            <v>-</v>
          </cell>
          <cell r="R1845" t="str">
            <v>-</v>
          </cell>
          <cell r="S1845" t="str">
            <v>-</v>
          </cell>
          <cell r="T1845" t="str">
            <v>BEHF</v>
          </cell>
          <cell r="U1845" t="str">
            <v>G</v>
          </cell>
          <cell r="V1845" t="str">
            <v>D+R</v>
          </cell>
          <cell r="W1845" t="str">
            <v>-</v>
          </cell>
          <cell r="X1845" t="str">
            <v>CLP 220 (-15/+40°C)</v>
          </cell>
          <cell r="Y1845" t="str">
            <v>FA67/G DRN80M4 /BEHF</v>
          </cell>
          <cell r="Z1845" t="str">
            <v>SEW</v>
          </cell>
          <cell r="AB1845" t="str">
            <v>-</v>
          </cell>
          <cell r="AF1845">
            <v>18</v>
          </cell>
          <cell r="AG1845" t="str">
            <v>DRN80M4</v>
          </cell>
          <cell r="AH1845" t="str">
            <v>FA67G-DRN80M4270-X</v>
          </cell>
        </row>
        <row r="1846">
          <cell r="A1846" t="str">
            <v>MR001842</v>
          </cell>
          <cell r="B1846" t="str">
            <v>MR</v>
          </cell>
          <cell r="C1846">
            <v>30</v>
          </cell>
          <cell r="D1846">
            <v>15</v>
          </cell>
          <cell r="E1846" t="str">
            <v>KH157</v>
          </cell>
          <cell r="F1846">
            <v>19400</v>
          </cell>
          <cell r="G1846">
            <v>100.22</v>
          </cell>
          <cell r="H1846">
            <v>1.05</v>
          </cell>
          <cell r="I1846" t="str">
            <v>From M1B to M4B - 50°</v>
          </cell>
          <cell r="J1846" t="str">
            <v>IE3</v>
          </cell>
          <cell r="K1846" t="str">
            <v>400/690</v>
          </cell>
          <cell r="L1846">
            <v>50</v>
          </cell>
          <cell r="M1846">
            <v>56</v>
          </cell>
          <cell r="N1846">
            <v>55</v>
          </cell>
          <cell r="O1846" t="str">
            <v>155(F)</v>
          </cell>
          <cell r="P1846" t="str">
            <v>270°</v>
          </cell>
          <cell r="Q1846" t="str">
            <v>TF</v>
          </cell>
          <cell r="R1846" t="str">
            <v>V(VE)</v>
          </cell>
          <cell r="S1846" t="str">
            <v>-</v>
          </cell>
          <cell r="T1846" t="str">
            <v>-</v>
          </cell>
          <cell r="U1846" t="str">
            <v>-</v>
          </cell>
          <cell r="V1846" t="str">
            <v>FC</v>
          </cell>
          <cell r="W1846" t="str">
            <v>-</v>
          </cell>
          <cell r="X1846" t="str">
            <v>CLP 220 (-15/+40°C)</v>
          </cell>
          <cell r="Y1846" t="str">
            <v>KH157DRN200L4 /TF/V</v>
          </cell>
          <cell r="Z1846" t="str">
            <v>SEW</v>
          </cell>
          <cell r="AB1846" t="str">
            <v>-</v>
          </cell>
          <cell r="AF1846">
            <v>15</v>
          </cell>
          <cell r="AG1846" t="str">
            <v>DRN200L4</v>
          </cell>
          <cell r="AH1846" t="str">
            <v>KH157-DRN200L4B270-X#</v>
          </cell>
        </row>
        <row r="1847">
          <cell r="A1847" t="str">
            <v>MR001843</v>
          </cell>
          <cell r="B1847" t="str">
            <v>MR</v>
          </cell>
          <cell r="C1847">
            <v>11</v>
          </cell>
          <cell r="D1847">
            <v>59</v>
          </cell>
          <cell r="E1847" t="str">
            <v>KH87</v>
          </cell>
          <cell r="F1847">
            <v>1770</v>
          </cell>
          <cell r="G1847">
            <v>24.92</v>
          </cell>
          <cell r="H1847">
            <v>1.4</v>
          </cell>
          <cell r="I1847" t="str">
            <v>M4B</v>
          </cell>
          <cell r="J1847" t="str">
            <v>IE3</v>
          </cell>
          <cell r="K1847">
            <v>415</v>
          </cell>
          <cell r="L1847">
            <v>50</v>
          </cell>
          <cell r="M1847">
            <v>21</v>
          </cell>
          <cell r="N1847">
            <v>55</v>
          </cell>
          <cell r="O1847" t="str">
            <v>F(105°C)</v>
          </cell>
          <cell r="P1847" t="str">
            <v>270°</v>
          </cell>
          <cell r="Q1847" t="str">
            <v>-</v>
          </cell>
          <cell r="R1847" t="str">
            <v>-</v>
          </cell>
          <cell r="S1847" t="str">
            <v>Free rotation CW</v>
          </cell>
          <cell r="T1847" t="str">
            <v>-</v>
          </cell>
          <cell r="U1847" t="str">
            <v>T</v>
          </cell>
          <cell r="V1847" t="str">
            <v>SS</v>
          </cell>
          <cell r="W1847" t="str">
            <v>-</v>
          </cell>
          <cell r="X1847" t="str">
            <v>CLP VG 220 = -15° + 40°</v>
          </cell>
          <cell r="Y1847" t="str">
            <v>KH87/T DRN160M4 /RS</v>
          </cell>
          <cell r="Z1847" t="str">
            <v>SEW</v>
          </cell>
          <cell r="AB1847" t="str">
            <v>-</v>
          </cell>
          <cell r="AF1847">
            <v>59</v>
          </cell>
          <cell r="AG1847" t="str">
            <v>DRN160M4</v>
          </cell>
          <cell r="AH1847" t="str">
            <v>KH87T-DRN160M4B270-X</v>
          </cell>
        </row>
        <row r="1848">
          <cell r="A1848" t="str">
            <v>MR001844</v>
          </cell>
          <cell r="B1848" t="str">
            <v>MR</v>
          </cell>
          <cell r="C1848">
            <v>0.75</v>
          </cell>
          <cell r="D1848">
            <v>162</v>
          </cell>
          <cell r="E1848" t="str">
            <v>KA37</v>
          </cell>
          <cell r="F1848">
            <v>44</v>
          </cell>
          <cell r="G1848">
            <v>8.91</v>
          </cell>
          <cell r="H1848">
            <v>3.6</v>
          </cell>
          <cell r="I1848" t="str">
            <v>From M1B to M2B - 20°</v>
          </cell>
          <cell r="J1848" t="str">
            <v>IE3</v>
          </cell>
          <cell r="K1848">
            <v>415</v>
          </cell>
          <cell r="L1848">
            <v>50</v>
          </cell>
          <cell r="M1848">
            <v>1.75</v>
          </cell>
          <cell r="N1848">
            <v>55</v>
          </cell>
          <cell r="O1848" t="str">
            <v>F(105°C)</v>
          </cell>
          <cell r="P1848" t="str">
            <v>0°</v>
          </cell>
          <cell r="Q1848" t="str">
            <v>-</v>
          </cell>
          <cell r="R1848" t="str">
            <v>-</v>
          </cell>
          <cell r="S1848" t="str">
            <v>-</v>
          </cell>
          <cell r="T1848" t="str">
            <v>-</v>
          </cell>
          <cell r="U1848" t="str">
            <v>T</v>
          </cell>
          <cell r="V1848" t="str">
            <v>D</v>
          </cell>
          <cell r="W1848" t="str">
            <v>-</v>
          </cell>
          <cell r="X1848" t="str">
            <v>CLP VG 220 = -15° + 40°</v>
          </cell>
          <cell r="Y1848" t="str">
            <v>KA37/T DRN80M4</v>
          </cell>
          <cell r="Z1848" t="str">
            <v>SEW</v>
          </cell>
          <cell r="AB1848" t="str">
            <v>-</v>
          </cell>
          <cell r="AF1848">
            <v>162</v>
          </cell>
          <cell r="AG1848" t="str">
            <v>DRN80M4</v>
          </cell>
          <cell r="AH1848" t="str">
            <v>KA37T-DRN80M4B0-X</v>
          </cell>
        </row>
        <row r="1849">
          <cell r="A1849" t="str">
            <v>MR001845</v>
          </cell>
          <cell r="B1849" t="str">
            <v>MR</v>
          </cell>
          <cell r="C1849">
            <v>15</v>
          </cell>
          <cell r="D1849">
            <v>30</v>
          </cell>
          <cell r="E1849" t="str">
            <v>R127</v>
          </cell>
          <cell r="F1849">
            <v>4840</v>
          </cell>
          <cell r="G1849">
            <v>49.81</v>
          </cell>
          <cell r="H1849">
            <v>1.25</v>
          </cell>
          <cell r="I1849" t="str">
            <v>From M1 to M2 - 15°</v>
          </cell>
          <cell r="J1849" t="str">
            <v>IE3</v>
          </cell>
          <cell r="K1849">
            <v>415</v>
          </cell>
          <cell r="L1849">
            <v>50</v>
          </cell>
          <cell r="M1849">
            <v>29</v>
          </cell>
          <cell r="N1849">
            <v>55</v>
          </cell>
          <cell r="O1849" t="str">
            <v>155(F)</v>
          </cell>
          <cell r="P1849" t="str">
            <v>270°</v>
          </cell>
          <cell r="Q1849" t="str">
            <v>TF</v>
          </cell>
          <cell r="R1849" t="str">
            <v>V(VE)</v>
          </cell>
          <cell r="S1849" t="str">
            <v>-</v>
          </cell>
          <cell r="T1849" t="str">
            <v>-</v>
          </cell>
          <cell r="U1849" t="str">
            <v>-</v>
          </cell>
          <cell r="V1849" t="str">
            <v>FC</v>
          </cell>
          <cell r="W1849" t="str">
            <v>-</v>
          </cell>
          <cell r="X1849" t="str">
            <v>CLP 220 (-15/+40°C)</v>
          </cell>
          <cell r="Y1849" t="str">
            <v>R127DRN160L4 /TF/V</v>
          </cell>
          <cell r="Z1849" t="str">
            <v>SEW</v>
          </cell>
          <cell r="AB1849" t="str">
            <v>-</v>
          </cell>
          <cell r="AF1849">
            <v>30</v>
          </cell>
          <cell r="AG1849" t="str">
            <v>DRN160L4</v>
          </cell>
          <cell r="AH1849" t="str">
            <v>R127-DRN160L4270-X#</v>
          </cell>
        </row>
        <row r="1850">
          <cell r="A1850" t="str">
            <v>MR001846</v>
          </cell>
          <cell r="B1850" t="str">
            <v>MR</v>
          </cell>
          <cell r="C1850">
            <v>5.5</v>
          </cell>
          <cell r="D1850">
            <v>62</v>
          </cell>
          <cell r="E1850" t="str">
            <v>R87</v>
          </cell>
          <cell r="F1850">
            <v>840</v>
          </cell>
          <cell r="G1850">
            <v>23.4</v>
          </cell>
          <cell r="H1850">
            <v>1.85</v>
          </cell>
          <cell r="I1850" t="str">
            <v>From M5 to M2 - 15°</v>
          </cell>
          <cell r="J1850" t="str">
            <v>IE3</v>
          </cell>
          <cell r="K1850" t="str">
            <v>230/400</v>
          </cell>
          <cell r="L1850">
            <v>50</v>
          </cell>
          <cell r="M1850" t="str">
            <v>18,2/10,5</v>
          </cell>
          <cell r="N1850">
            <v>55</v>
          </cell>
          <cell r="O1850" t="str">
            <v>F(105°C)</v>
          </cell>
          <cell r="P1850" t="str">
            <v>270°</v>
          </cell>
          <cell r="Q1850" t="str">
            <v>-</v>
          </cell>
          <cell r="R1850" t="str">
            <v>-</v>
          </cell>
          <cell r="S1850" t="str">
            <v>-</v>
          </cell>
          <cell r="T1850" t="str">
            <v>-</v>
          </cell>
          <cell r="U1850" t="str">
            <v>-</v>
          </cell>
          <cell r="V1850" t="str">
            <v>D</v>
          </cell>
          <cell r="W1850" t="str">
            <v>-</v>
          </cell>
          <cell r="X1850" t="str">
            <v>CLP HC VG 220 = -20° + 60°</v>
          </cell>
          <cell r="Y1850" t="str">
            <v>R87DRN132S4</v>
          </cell>
          <cell r="Z1850" t="str">
            <v>SEW</v>
          </cell>
          <cell r="AB1850" t="str">
            <v>-</v>
          </cell>
          <cell r="AF1850">
            <v>62</v>
          </cell>
          <cell r="AG1850" t="str">
            <v>DRN132S4</v>
          </cell>
          <cell r="AH1850" t="str">
            <v>R87-DRN132S4270-X</v>
          </cell>
        </row>
        <row r="1851">
          <cell r="A1851" t="str">
            <v>MR001847</v>
          </cell>
          <cell r="B1851" t="str">
            <v>MR</v>
          </cell>
          <cell r="C1851">
            <v>30</v>
          </cell>
          <cell r="D1851">
            <v>15</v>
          </cell>
          <cell r="E1851" t="str">
            <v>KH157</v>
          </cell>
          <cell r="F1851">
            <v>19400</v>
          </cell>
          <cell r="G1851">
            <v>100.22</v>
          </cell>
          <cell r="H1851">
            <v>1.05</v>
          </cell>
          <cell r="I1851" t="str">
            <v>From M1A to M4A - 50°</v>
          </cell>
          <cell r="J1851" t="str">
            <v>IE3</v>
          </cell>
          <cell r="K1851" t="str">
            <v>400/690</v>
          </cell>
          <cell r="L1851">
            <v>50</v>
          </cell>
          <cell r="M1851">
            <v>56</v>
          </cell>
          <cell r="N1851">
            <v>55</v>
          </cell>
          <cell r="O1851" t="str">
            <v>155(F)</v>
          </cell>
          <cell r="P1851" t="str">
            <v>270°</v>
          </cell>
          <cell r="Q1851" t="str">
            <v>TF</v>
          </cell>
          <cell r="R1851" t="str">
            <v>V(VE)</v>
          </cell>
          <cell r="S1851" t="str">
            <v>-</v>
          </cell>
          <cell r="T1851" t="str">
            <v>-</v>
          </cell>
          <cell r="U1851" t="str">
            <v>-</v>
          </cell>
          <cell r="V1851" t="str">
            <v>FC</v>
          </cell>
          <cell r="W1851" t="str">
            <v>-</v>
          </cell>
          <cell r="X1851" t="str">
            <v>CLP 220 (-15/+40°C)</v>
          </cell>
          <cell r="Y1851" t="str">
            <v>KH157DRN200L4 /TF/V</v>
          </cell>
          <cell r="Z1851" t="str">
            <v>SEW</v>
          </cell>
          <cell r="AB1851" t="str">
            <v>-</v>
          </cell>
          <cell r="AF1851">
            <v>15</v>
          </cell>
          <cell r="AG1851" t="str">
            <v>DRN200L4</v>
          </cell>
          <cell r="AH1851" t="str">
            <v>KH157-DRN200L4A270-X#</v>
          </cell>
        </row>
        <row r="1852">
          <cell r="A1852" t="str">
            <v>MR001848</v>
          </cell>
          <cell r="B1852" t="str">
            <v>MR</v>
          </cell>
          <cell r="C1852">
            <v>11</v>
          </cell>
          <cell r="D1852">
            <v>17</v>
          </cell>
          <cell r="E1852" t="str">
            <v>R137</v>
          </cell>
          <cell r="F1852">
            <v>6330</v>
          </cell>
          <cell r="G1852">
            <v>88.7</v>
          </cell>
          <cell r="H1852">
            <v>1.25</v>
          </cell>
          <cell r="I1852" t="str">
            <v>M1</v>
          </cell>
          <cell r="J1852" t="str">
            <v>IE3</v>
          </cell>
          <cell r="K1852" t="str">
            <v>400/690</v>
          </cell>
          <cell r="L1852">
            <v>50</v>
          </cell>
          <cell r="M1852" t="str">
            <v>21,5/12,4</v>
          </cell>
          <cell r="N1852">
            <v>55</v>
          </cell>
          <cell r="O1852" t="str">
            <v>155(F)</v>
          </cell>
          <cell r="P1852" t="str">
            <v>270°</v>
          </cell>
          <cell r="Q1852" t="str">
            <v>TF</v>
          </cell>
          <cell r="R1852" t="str">
            <v>V(VE)</v>
          </cell>
          <cell r="S1852" t="str">
            <v>-</v>
          </cell>
          <cell r="T1852" t="str">
            <v>-</v>
          </cell>
          <cell r="U1852" t="str">
            <v>-</v>
          </cell>
          <cell r="V1852" t="str">
            <v>FC</v>
          </cell>
          <cell r="W1852" t="str">
            <v>-</v>
          </cell>
          <cell r="X1852" t="str">
            <v>CLP HC 150 (-30/+50°C)</v>
          </cell>
          <cell r="Y1852" t="str">
            <v>R137EDRN160M4 /TF/VE</v>
          </cell>
          <cell r="Z1852" t="str">
            <v>SEW</v>
          </cell>
          <cell r="AB1852" t="str">
            <v>ATEX22</v>
          </cell>
          <cell r="AF1852">
            <v>17</v>
          </cell>
          <cell r="AG1852" t="str">
            <v>EDRN160M4</v>
          </cell>
          <cell r="AH1852" t="str">
            <v>R137-EDRN160M4270-X#</v>
          </cell>
        </row>
        <row r="1853">
          <cell r="A1853" t="str">
            <v>MR001849</v>
          </cell>
          <cell r="B1853" t="str">
            <v>MR</v>
          </cell>
          <cell r="C1853">
            <v>11</v>
          </cell>
          <cell r="D1853">
            <v>16</v>
          </cell>
          <cell r="E1853" t="str">
            <v>KH107</v>
          </cell>
          <cell r="F1853">
            <v>6480</v>
          </cell>
          <cell r="G1853">
            <v>90.96</v>
          </cell>
          <cell r="H1853">
            <v>1.25</v>
          </cell>
          <cell r="I1853" t="str">
            <v>From M1A to M2A - 40°</v>
          </cell>
          <cell r="J1853" t="str">
            <v>IE3</v>
          </cell>
          <cell r="K1853" t="str">
            <v>400/690</v>
          </cell>
          <cell r="L1853">
            <v>50</v>
          </cell>
          <cell r="M1853" t="str">
            <v>21/12,2</v>
          </cell>
          <cell r="N1853">
            <v>55</v>
          </cell>
          <cell r="O1853" t="str">
            <v>F(105°C)</v>
          </cell>
          <cell r="P1853" t="str">
            <v>270°</v>
          </cell>
          <cell r="Q1853" t="str">
            <v>TF</v>
          </cell>
          <cell r="R1853" t="str">
            <v>V(VE)</v>
          </cell>
          <cell r="S1853" t="str">
            <v>-</v>
          </cell>
          <cell r="T1853" t="str">
            <v>-</v>
          </cell>
          <cell r="U1853" t="str">
            <v>-</v>
          </cell>
          <cell r="V1853" t="str">
            <v>FC</v>
          </cell>
          <cell r="W1853" t="str">
            <v>-</v>
          </cell>
          <cell r="X1853" t="str">
            <v>CLP HC VG 150 = -40° + 40°</v>
          </cell>
          <cell r="Y1853" t="str">
            <v>KH107DRN160M4 /TF/V</v>
          </cell>
          <cell r="Z1853" t="str">
            <v>SEW</v>
          </cell>
          <cell r="AB1853" t="str">
            <v>-</v>
          </cell>
          <cell r="AF1853">
            <v>16</v>
          </cell>
          <cell r="AG1853" t="str">
            <v>DRN160M4</v>
          </cell>
          <cell r="AH1853" t="str">
            <v>KH107-DRN160M4A270-X#</v>
          </cell>
        </row>
        <row r="1854">
          <cell r="A1854" t="str">
            <v>MR001850</v>
          </cell>
          <cell r="B1854" t="str">
            <v>MR</v>
          </cell>
          <cell r="C1854">
            <v>11</v>
          </cell>
          <cell r="D1854">
            <v>16</v>
          </cell>
          <cell r="E1854" t="str">
            <v>KH107</v>
          </cell>
          <cell r="F1854">
            <v>6480</v>
          </cell>
          <cell r="G1854">
            <v>90.96</v>
          </cell>
          <cell r="H1854">
            <v>1.25</v>
          </cell>
          <cell r="I1854" t="str">
            <v>From M1B to M2B - 40°</v>
          </cell>
          <cell r="J1854" t="str">
            <v>IE3</v>
          </cell>
          <cell r="K1854" t="str">
            <v>400/690</v>
          </cell>
          <cell r="L1854">
            <v>50</v>
          </cell>
          <cell r="M1854" t="str">
            <v>21/12,2</v>
          </cell>
          <cell r="N1854">
            <v>55</v>
          </cell>
          <cell r="O1854" t="str">
            <v>F(105°C)</v>
          </cell>
          <cell r="P1854" t="str">
            <v>270°</v>
          </cell>
          <cell r="Q1854" t="str">
            <v>TF</v>
          </cell>
          <cell r="R1854" t="str">
            <v>V(VE)</v>
          </cell>
          <cell r="S1854" t="str">
            <v>-</v>
          </cell>
          <cell r="T1854" t="str">
            <v>-</v>
          </cell>
          <cell r="U1854" t="str">
            <v>-</v>
          </cell>
          <cell r="V1854" t="str">
            <v>FC</v>
          </cell>
          <cell r="W1854" t="str">
            <v>-</v>
          </cell>
          <cell r="X1854" t="str">
            <v>CLP HC VG 150 = -40° + 40°</v>
          </cell>
          <cell r="Y1854" t="str">
            <v>KH107DRN160M4 /TF/V</v>
          </cell>
          <cell r="Z1854" t="str">
            <v>SEW</v>
          </cell>
          <cell r="AB1854" t="str">
            <v>-</v>
          </cell>
          <cell r="AF1854">
            <v>16</v>
          </cell>
          <cell r="AG1854" t="str">
            <v>DRN160M4</v>
          </cell>
          <cell r="AH1854" t="str">
            <v>KH107-DRN160M4B270-X#</v>
          </cell>
        </row>
        <row r="1855">
          <cell r="A1855" t="str">
            <v>MR001851</v>
          </cell>
          <cell r="B1855" t="str">
            <v>MR</v>
          </cell>
          <cell r="C1855">
            <v>18.5</v>
          </cell>
          <cell r="D1855">
            <v>25</v>
          </cell>
          <cell r="E1855" t="str">
            <v>R137</v>
          </cell>
          <cell r="F1855">
            <v>7070</v>
          </cell>
          <cell r="G1855">
            <v>59.17</v>
          </cell>
          <cell r="H1855">
            <v>1.1499999999999999</v>
          </cell>
          <cell r="I1855" t="str">
            <v>From M1 to M2-15°</v>
          </cell>
          <cell r="J1855" t="str">
            <v>IE3</v>
          </cell>
          <cell r="K1855">
            <v>400</v>
          </cell>
          <cell r="L1855">
            <v>50</v>
          </cell>
          <cell r="M1855">
            <v>33.5</v>
          </cell>
          <cell r="N1855">
            <v>55</v>
          </cell>
          <cell r="O1855" t="str">
            <v>155(F)</v>
          </cell>
          <cell r="P1855" t="str">
            <v>270°</v>
          </cell>
          <cell r="Q1855" t="str">
            <v>TF</v>
          </cell>
          <cell r="R1855" t="str">
            <v>V(VE)</v>
          </cell>
          <cell r="S1855" t="str">
            <v>-</v>
          </cell>
          <cell r="T1855" t="str">
            <v>-</v>
          </cell>
          <cell r="U1855" t="str">
            <v>-</v>
          </cell>
          <cell r="V1855" t="str">
            <v>FC</v>
          </cell>
          <cell r="W1855" t="str">
            <v>-</v>
          </cell>
          <cell r="X1855" t="str">
            <v>CLP 220 (-15/+40°C)</v>
          </cell>
          <cell r="Y1855" t="str">
            <v>R137DRN180M4 /TF/V</v>
          </cell>
          <cell r="Z1855" t="str">
            <v>SEW</v>
          </cell>
          <cell r="AB1855" t="str">
            <v>-</v>
          </cell>
          <cell r="AF1855">
            <v>25</v>
          </cell>
          <cell r="AG1855" t="str">
            <v>DRN180M4</v>
          </cell>
          <cell r="AH1855" t="str">
            <v>R137-DRN180M4270-X#</v>
          </cell>
        </row>
        <row r="1856">
          <cell r="A1856" t="str">
            <v>MR001852</v>
          </cell>
          <cell r="B1856" t="str">
            <v>MR</v>
          </cell>
          <cell r="C1856">
            <v>11</v>
          </cell>
          <cell r="D1856">
            <v>59</v>
          </cell>
          <cell r="E1856" t="str">
            <v>KH87</v>
          </cell>
          <cell r="F1856">
            <v>1770</v>
          </cell>
          <cell r="G1856">
            <v>24.92</v>
          </cell>
          <cell r="H1856">
            <v>1.4</v>
          </cell>
          <cell r="I1856" t="str">
            <v>M4A</v>
          </cell>
          <cell r="J1856" t="str">
            <v>IE3</v>
          </cell>
          <cell r="K1856">
            <v>400</v>
          </cell>
          <cell r="L1856">
            <v>50</v>
          </cell>
          <cell r="M1856">
            <v>21</v>
          </cell>
          <cell r="N1856">
            <v>55</v>
          </cell>
          <cell r="O1856" t="str">
            <v>155(F)</v>
          </cell>
          <cell r="P1856" t="str">
            <v>270°</v>
          </cell>
          <cell r="Q1856" t="str">
            <v>TF</v>
          </cell>
          <cell r="R1856" t="str">
            <v>V(VE)</v>
          </cell>
          <cell r="S1856" t="str">
            <v>Free rotation CCW</v>
          </cell>
          <cell r="T1856" t="str">
            <v>-</v>
          </cell>
          <cell r="U1856" t="str">
            <v>T</v>
          </cell>
          <cell r="V1856" t="str">
            <v>FC</v>
          </cell>
          <cell r="W1856" t="str">
            <v>-</v>
          </cell>
          <cell r="X1856" t="str">
            <v>CLP 220 (-15/+40°C)</v>
          </cell>
          <cell r="Y1856" t="str">
            <v>KH87/T DRN160M4 /RS /TF/V</v>
          </cell>
          <cell r="Z1856" t="str">
            <v>SEW</v>
          </cell>
          <cell r="AB1856" t="str">
            <v>-</v>
          </cell>
          <cell r="AF1856">
            <v>59</v>
          </cell>
          <cell r="AG1856" t="str">
            <v>DRN160M4</v>
          </cell>
          <cell r="AH1856" t="str">
            <v>KH87T-DRN160M4A270-X#</v>
          </cell>
        </row>
        <row r="1857">
          <cell r="A1857" t="str">
            <v>MR001853</v>
          </cell>
          <cell r="B1857" t="str">
            <v>MR</v>
          </cell>
          <cell r="C1857">
            <v>0.75</v>
          </cell>
          <cell r="D1857">
            <v>162</v>
          </cell>
          <cell r="E1857" t="str">
            <v>KA37</v>
          </cell>
          <cell r="F1857">
            <v>44</v>
          </cell>
          <cell r="G1857">
            <v>8.91</v>
          </cell>
          <cell r="H1857">
            <v>3.6</v>
          </cell>
          <cell r="I1857" t="str">
            <v>From M1A to M2A - 15°</v>
          </cell>
          <cell r="J1857" t="str">
            <v>IE3</v>
          </cell>
          <cell r="K1857">
            <v>400</v>
          </cell>
          <cell r="L1857">
            <v>50</v>
          </cell>
          <cell r="M1857">
            <v>1.75</v>
          </cell>
          <cell r="N1857">
            <v>55</v>
          </cell>
          <cell r="O1857" t="str">
            <v>155(F)</v>
          </cell>
          <cell r="P1857" t="str">
            <v>180°</v>
          </cell>
          <cell r="Q1857" t="str">
            <v>-</v>
          </cell>
          <cell r="R1857" t="str">
            <v>-</v>
          </cell>
          <cell r="S1857" t="str">
            <v>-</v>
          </cell>
          <cell r="T1857" t="str">
            <v>-</v>
          </cell>
          <cell r="U1857" t="str">
            <v>T</v>
          </cell>
          <cell r="V1857" t="str">
            <v>D</v>
          </cell>
          <cell r="W1857" t="str">
            <v>-</v>
          </cell>
          <cell r="X1857" t="str">
            <v>CLP 220 (-15/+40°C)</v>
          </cell>
          <cell r="Y1857" t="str">
            <v>KA37/T DRN80M4</v>
          </cell>
          <cell r="Z1857" t="str">
            <v>SEW</v>
          </cell>
          <cell r="AB1857" t="str">
            <v>-</v>
          </cell>
          <cell r="AF1857">
            <v>162</v>
          </cell>
          <cell r="AG1857" t="str">
            <v>DRN80M4</v>
          </cell>
          <cell r="AH1857" t="str">
            <v>KA37T-DRN80M4A180-X</v>
          </cell>
        </row>
        <row r="1858">
          <cell r="A1858" t="str">
            <v>MR001854</v>
          </cell>
          <cell r="B1858" t="str">
            <v>MR</v>
          </cell>
          <cell r="C1858">
            <v>11</v>
          </cell>
          <cell r="D1858">
            <v>15</v>
          </cell>
          <cell r="E1858" t="str">
            <v>KH107</v>
          </cell>
          <cell r="F1858">
            <v>7180</v>
          </cell>
          <cell r="G1858">
            <v>100.75</v>
          </cell>
          <cell r="H1858">
            <v>1.1000000000000001</v>
          </cell>
          <cell r="I1858" t="str">
            <v>From M1B to M2B - 25°</v>
          </cell>
          <cell r="J1858" t="str">
            <v>IE3</v>
          </cell>
          <cell r="K1858">
            <v>400</v>
          </cell>
          <cell r="L1858">
            <v>50</v>
          </cell>
          <cell r="M1858">
            <v>21</v>
          </cell>
          <cell r="N1858">
            <v>55</v>
          </cell>
          <cell r="O1858" t="str">
            <v>155(F)</v>
          </cell>
          <cell r="P1858" t="str">
            <v>0°</v>
          </cell>
          <cell r="Q1858" t="str">
            <v>TF</v>
          </cell>
          <cell r="R1858" t="str">
            <v>V(VE)</v>
          </cell>
          <cell r="S1858" t="str">
            <v>-</v>
          </cell>
          <cell r="T1858" t="str">
            <v>-</v>
          </cell>
          <cell r="U1858" t="str">
            <v>-</v>
          </cell>
          <cell r="V1858" t="str">
            <v>FC</v>
          </cell>
          <cell r="W1858" t="str">
            <v>-</v>
          </cell>
          <cell r="X1858" t="str">
            <v>CLP 220 (-15/+40°C)</v>
          </cell>
          <cell r="Y1858" t="str">
            <v>KH107DRN160M4 /TF/V</v>
          </cell>
          <cell r="Z1858" t="str">
            <v>SEW</v>
          </cell>
          <cell r="AB1858" t="str">
            <v>-</v>
          </cell>
          <cell r="AF1858">
            <v>15</v>
          </cell>
          <cell r="AG1858" t="str">
            <v>DRN160M4</v>
          </cell>
          <cell r="AH1858" t="str">
            <v>KH107-DRN160M4B0-X#</v>
          </cell>
        </row>
        <row r="1859">
          <cell r="A1859" t="str">
            <v>MR001855</v>
          </cell>
          <cell r="B1859" t="str">
            <v>MR</v>
          </cell>
          <cell r="C1859">
            <v>11</v>
          </cell>
          <cell r="D1859">
            <v>27</v>
          </cell>
          <cell r="E1859" t="str">
            <v>R127</v>
          </cell>
          <cell r="F1859">
            <v>3920</v>
          </cell>
          <cell r="G1859">
            <v>55.09</v>
          </cell>
          <cell r="H1859">
            <v>1.55</v>
          </cell>
          <cell r="I1859" t="str">
            <v>From M1 to M2 - 15°</v>
          </cell>
          <cell r="J1859" t="str">
            <v>IE3</v>
          </cell>
          <cell r="K1859">
            <v>400</v>
          </cell>
          <cell r="L1859">
            <v>50</v>
          </cell>
          <cell r="M1859">
            <v>21</v>
          </cell>
          <cell r="N1859">
            <v>55</v>
          </cell>
          <cell r="O1859" t="str">
            <v>155(F)</v>
          </cell>
          <cell r="P1859" t="str">
            <v>270°</v>
          </cell>
          <cell r="Q1859" t="str">
            <v>TF</v>
          </cell>
          <cell r="R1859" t="str">
            <v>V(VE)</v>
          </cell>
          <cell r="S1859" t="str">
            <v>-</v>
          </cell>
          <cell r="T1859" t="str">
            <v>-</v>
          </cell>
          <cell r="U1859" t="str">
            <v>-</v>
          </cell>
          <cell r="V1859" t="str">
            <v>FC</v>
          </cell>
          <cell r="W1859" t="str">
            <v>-</v>
          </cell>
          <cell r="X1859" t="str">
            <v>CLP 220 (-15/+40°C)</v>
          </cell>
          <cell r="Y1859" t="str">
            <v>R127DRN160M4 /TF/V</v>
          </cell>
          <cell r="Z1859" t="str">
            <v>SEW</v>
          </cell>
          <cell r="AB1859" t="str">
            <v>-</v>
          </cell>
          <cell r="AF1859">
            <v>27</v>
          </cell>
          <cell r="AG1859" t="str">
            <v>DRN160M4</v>
          </cell>
          <cell r="AH1859" t="str">
            <v>R127-DRN160M4270-X#</v>
          </cell>
        </row>
        <row r="1860">
          <cell r="A1860" t="str">
            <v>MR001856</v>
          </cell>
          <cell r="B1860" t="str">
            <v>MR</v>
          </cell>
          <cell r="C1860">
            <v>7.5</v>
          </cell>
          <cell r="D1860">
            <v>57</v>
          </cell>
          <cell r="E1860" t="str">
            <v>KH77</v>
          </cell>
          <cell r="F1860">
            <v>1240</v>
          </cell>
          <cell r="G1860">
            <v>25.62</v>
          </cell>
          <cell r="H1860">
            <v>1.25</v>
          </cell>
          <cell r="I1860" t="str">
            <v>M4A</v>
          </cell>
          <cell r="J1860" t="str">
            <v>IE3</v>
          </cell>
          <cell r="K1860">
            <v>400</v>
          </cell>
          <cell r="L1860">
            <v>50</v>
          </cell>
          <cell r="M1860">
            <v>15.2</v>
          </cell>
          <cell r="N1860">
            <v>55</v>
          </cell>
          <cell r="O1860" t="str">
            <v>155(F)</v>
          </cell>
          <cell r="P1860" t="str">
            <v>270°</v>
          </cell>
          <cell r="Q1860" t="str">
            <v>TF</v>
          </cell>
          <cell r="R1860" t="str">
            <v>V(VE)</v>
          </cell>
          <cell r="S1860" t="str">
            <v>Free rotation CCW</v>
          </cell>
          <cell r="T1860" t="str">
            <v>-</v>
          </cell>
          <cell r="U1860" t="str">
            <v>T</v>
          </cell>
          <cell r="V1860" t="str">
            <v>FC</v>
          </cell>
          <cell r="W1860" t="str">
            <v>-</v>
          </cell>
          <cell r="X1860" t="str">
            <v>CLP 220 (-15/+40°C)</v>
          </cell>
          <cell r="Y1860" t="str">
            <v>KH77/T DRN132M4 /RS /TF/V</v>
          </cell>
          <cell r="Z1860" t="str">
            <v>SEW</v>
          </cell>
          <cell r="AB1860" t="str">
            <v>-</v>
          </cell>
          <cell r="AF1860">
            <v>57</v>
          </cell>
          <cell r="AG1860" t="str">
            <v>DRN132M4</v>
          </cell>
          <cell r="AH1860" t="str">
            <v>KH77T-DRN132M4A270-X#</v>
          </cell>
        </row>
        <row r="1861">
          <cell r="A1861" t="str">
            <v>MR001857</v>
          </cell>
          <cell r="B1861" t="str">
            <v>MR</v>
          </cell>
          <cell r="C1861">
            <v>0.75</v>
          </cell>
          <cell r="D1861">
            <v>162</v>
          </cell>
          <cell r="E1861" t="str">
            <v>KA37</v>
          </cell>
          <cell r="F1861">
            <v>44</v>
          </cell>
          <cell r="G1861">
            <v>8.91</v>
          </cell>
          <cell r="H1861">
            <v>3.6</v>
          </cell>
          <cell r="I1861" t="str">
            <v>From M1A to M2A - 10°</v>
          </cell>
          <cell r="J1861" t="str">
            <v>IE3</v>
          </cell>
          <cell r="K1861">
            <v>400</v>
          </cell>
          <cell r="L1861">
            <v>50</v>
          </cell>
          <cell r="M1861">
            <v>1.75</v>
          </cell>
          <cell r="N1861">
            <v>55</v>
          </cell>
          <cell r="O1861" t="str">
            <v>155(F)</v>
          </cell>
          <cell r="P1861" t="str">
            <v>180°</v>
          </cell>
          <cell r="Q1861" t="str">
            <v>-</v>
          </cell>
          <cell r="R1861" t="str">
            <v>-</v>
          </cell>
          <cell r="S1861" t="str">
            <v>-</v>
          </cell>
          <cell r="T1861" t="str">
            <v>-</v>
          </cell>
          <cell r="U1861" t="str">
            <v>T</v>
          </cell>
          <cell r="V1861" t="str">
            <v>D</v>
          </cell>
          <cell r="W1861" t="str">
            <v>-</v>
          </cell>
          <cell r="X1861" t="str">
            <v>CLP 220 (-15/+40°C)</v>
          </cell>
          <cell r="Y1861" t="str">
            <v>KA37/T DRN80M4</v>
          </cell>
          <cell r="Z1861" t="str">
            <v>SEW</v>
          </cell>
          <cell r="AB1861" t="str">
            <v>-</v>
          </cell>
          <cell r="AF1861">
            <v>162</v>
          </cell>
          <cell r="AG1861" t="str">
            <v>DRN80M4</v>
          </cell>
          <cell r="AH1861" t="str">
            <v>KA37T-DRN80M4A180-X</v>
          </cell>
        </row>
        <row r="1862">
          <cell r="A1862" t="str">
            <v>MR001858</v>
          </cell>
          <cell r="B1862" t="str">
            <v>MR</v>
          </cell>
          <cell r="C1862">
            <v>11</v>
          </cell>
          <cell r="D1862">
            <v>16</v>
          </cell>
          <cell r="E1862" t="str">
            <v>KH107</v>
          </cell>
          <cell r="F1862">
            <v>6490</v>
          </cell>
          <cell r="G1862">
            <v>90.96</v>
          </cell>
          <cell r="H1862">
            <v>1.25</v>
          </cell>
          <cell r="I1862" t="str">
            <v>From M1A to M4A - 45°</v>
          </cell>
          <cell r="J1862" t="str">
            <v>IE3</v>
          </cell>
          <cell r="K1862" t="str">
            <v>400/690</v>
          </cell>
          <cell r="L1862">
            <v>50</v>
          </cell>
          <cell r="M1862" t="str">
            <v>21/12,2</v>
          </cell>
          <cell r="N1862">
            <v>55</v>
          </cell>
          <cell r="O1862" t="str">
            <v>F(105°C)</v>
          </cell>
          <cell r="P1862" t="str">
            <v>270°</v>
          </cell>
          <cell r="Q1862" t="str">
            <v>TF</v>
          </cell>
          <cell r="R1862" t="str">
            <v>V(VE)</v>
          </cell>
          <cell r="S1862" t="str">
            <v>-</v>
          </cell>
          <cell r="T1862" t="str">
            <v>-</v>
          </cell>
          <cell r="U1862" t="str">
            <v>-</v>
          </cell>
          <cell r="V1862" t="str">
            <v>FC</v>
          </cell>
          <cell r="W1862" t="str">
            <v>-</v>
          </cell>
          <cell r="X1862" t="str">
            <v>CLP HC VG 220 = -20° + 60°</v>
          </cell>
          <cell r="Y1862" t="str">
            <v>KH107DRN160M4 /TF/V</v>
          </cell>
          <cell r="Z1862" t="str">
            <v>SEW</v>
          </cell>
          <cell r="AB1862" t="str">
            <v>-</v>
          </cell>
          <cell r="AF1862">
            <v>16</v>
          </cell>
          <cell r="AG1862" t="str">
            <v>DRN160M4</v>
          </cell>
          <cell r="AH1862" t="str">
            <v>KH107-DRN160M4A270-X#</v>
          </cell>
        </row>
        <row r="1863">
          <cell r="A1863" t="str">
            <v>MR001859</v>
          </cell>
          <cell r="B1863" t="str">
            <v>MR</v>
          </cell>
          <cell r="C1863">
            <v>11</v>
          </cell>
          <cell r="D1863">
            <v>16</v>
          </cell>
          <cell r="E1863" t="str">
            <v>KH107</v>
          </cell>
          <cell r="F1863">
            <v>6490</v>
          </cell>
          <cell r="G1863">
            <v>90.96</v>
          </cell>
          <cell r="H1863">
            <v>1.25</v>
          </cell>
          <cell r="I1863" t="str">
            <v>From M1B to M4B - 45°</v>
          </cell>
          <cell r="J1863" t="str">
            <v>IE3</v>
          </cell>
          <cell r="K1863" t="str">
            <v>400/690</v>
          </cell>
          <cell r="L1863">
            <v>50</v>
          </cell>
          <cell r="M1863" t="str">
            <v>21/12,2</v>
          </cell>
          <cell r="N1863">
            <v>55</v>
          </cell>
          <cell r="O1863" t="str">
            <v>F(105°C)</v>
          </cell>
          <cell r="P1863" t="str">
            <v>270°</v>
          </cell>
          <cell r="Q1863" t="str">
            <v>TF</v>
          </cell>
          <cell r="R1863" t="str">
            <v>V(VE)</v>
          </cell>
          <cell r="S1863" t="str">
            <v>-</v>
          </cell>
          <cell r="T1863" t="str">
            <v>-</v>
          </cell>
          <cell r="U1863" t="str">
            <v>-</v>
          </cell>
          <cell r="V1863" t="str">
            <v>FC</v>
          </cell>
          <cell r="W1863" t="str">
            <v>-</v>
          </cell>
          <cell r="X1863" t="str">
            <v>CLP HC VG 220 = -20° + 60°</v>
          </cell>
          <cell r="Y1863" t="str">
            <v>KH107DRN160M4 /TF/V</v>
          </cell>
          <cell r="Z1863" t="str">
            <v>SEW</v>
          </cell>
          <cell r="AB1863" t="str">
            <v>-</v>
          </cell>
          <cell r="AF1863">
            <v>16</v>
          </cell>
          <cell r="AG1863" t="str">
            <v>DRN160M4</v>
          </cell>
          <cell r="AH1863" t="str">
            <v>KH107-DRN160M4B270-X#</v>
          </cell>
        </row>
        <row r="1864">
          <cell r="A1864" t="str">
            <v>MR001860</v>
          </cell>
          <cell r="B1864" t="str">
            <v>MR</v>
          </cell>
          <cell r="C1864">
            <v>11</v>
          </cell>
          <cell r="D1864">
            <v>15</v>
          </cell>
          <cell r="E1864" t="str">
            <v>KH107</v>
          </cell>
          <cell r="F1864">
            <v>7190</v>
          </cell>
          <cell r="G1864">
            <v>100.75</v>
          </cell>
          <cell r="H1864">
            <v>1.1000000000000001</v>
          </cell>
          <cell r="I1864" t="str">
            <v>From M1A to M2A - 15°</v>
          </cell>
          <cell r="J1864" t="str">
            <v>IE3</v>
          </cell>
          <cell r="K1864" t="str">
            <v>400/690</v>
          </cell>
          <cell r="L1864">
            <v>50</v>
          </cell>
          <cell r="M1864" t="str">
            <v>21/12,2</v>
          </cell>
          <cell r="N1864">
            <v>55</v>
          </cell>
          <cell r="O1864" t="str">
            <v>F(105°C)</v>
          </cell>
          <cell r="P1864" t="str">
            <v>270°</v>
          </cell>
          <cell r="Q1864" t="str">
            <v>-</v>
          </cell>
          <cell r="R1864" t="str">
            <v>-</v>
          </cell>
          <cell r="S1864" t="str">
            <v>-</v>
          </cell>
          <cell r="T1864" t="str">
            <v>-</v>
          </cell>
          <cell r="U1864" t="str">
            <v>-</v>
          </cell>
          <cell r="V1864" t="str">
            <v>SS</v>
          </cell>
          <cell r="W1864" t="str">
            <v>-</v>
          </cell>
          <cell r="X1864" t="str">
            <v>CLP HC VG 220 = -20° + 60°</v>
          </cell>
          <cell r="Y1864" t="str">
            <v>KH107DRN160M4</v>
          </cell>
          <cell r="Z1864" t="str">
            <v>SEW</v>
          </cell>
          <cell r="AB1864" t="str">
            <v>-</v>
          </cell>
          <cell r="AF1864">
            <v>15</v>
          </cell>
          <cell r="AG1864" t="str">
            <v>DRN160M4</v>
          </cell>
          <cell r="AH1864" t="str">
            <v>KH107-DRN160M4A270-X</v>
          </cell>
        </row>
        <row r="1865">
          <cell r="A1865" t="str">
            <v>MR001861</v>
          </cell>
          <cell r="B1865" t="str">
            <v>MR</v>
          </cell>
          <cell r="C1865">
            <v>11</v>
          </cell>
          <cell r="D1865">
            <v>15</v>
          </cell>
          <cell r="E1865" t="str">
            <v>KH107</v>
          </cell>
          <cell r="F1865">
            <v>7190</v>
          </cell>
          <cell r="G1865">
            <v>100.75</v>
          </cell>
          <cell r="H1865">
            <v>1.1000000000000001</v>
          </cell>
          <cell r="I1865" t="str">
            <v>From M1B to M2B - 15°</v>
          </cell>
          <cell r="J1865" t="str">
            <v>IE3</v>
          </cell>
          <cell r="K1865" t="str">
            <v>400/690</v>
          </cell>
          <cell r="L1865">
            <v>50</v>
          </cell>
          <cell r="M1865" t="str">
            <v>21/12,2</v>
          </cell>
          <cell r="N1865">
            <v>55</v>
          </cell>
          <cell r="O1865" t="str">
            <v>F(105°C)</v>
          </cell>
          <cell r="P1865" t="str">
            <v>270°</v>
          </cell>
          <cell r="Q1865" t="str">
            <v>-</v>
          </cell>
          <cell r="R1865" t="str">
            <v>-</v>
          </cell>
          <cell r="S1865" t="str">
            <v>-</v>
          </cell>
          <cell r="T1865" t="str">
            <v>-</v>
          </cell>
          <cell r="U1865" t="str">
            <v>-</v>
          </cell>
          <cell r="V1865" t="str">
            <v>SS</v>
          </cell>
          <cell r="W1865" t="str">
            <v>-</v>
          </cell>
          <cell r="X1865" t="str">
            <v>CLP HC VG 220 = -20° + 60°</v>
          </cell>
          <cell r="Y1865" t="str">
            <v>KH107DRN160M4</v>
          </cell>
          <cell r="Z1865" t="str">
            <v>SEW</v>
          </cell>
          <cell r="AB1865" t="str">
            <v>-</v>
          </cell>
          <cell r="AF1865">
            <v>15</v>
          </cell>
          <cell r="AG1865" t="str">
            <v>DRN160M4</v>
          </cell>
          <cell r="AH1865" t="str">
            <v>KH107-DRN160M4B270-X</v>
          </cell>
        </row>
        <row r="1866">
          <cell r="A1866" t="str">
            <v>MR001862</v>
          </cell>
          <cell r="B1866" t="str">
            <v>MR</v>
          </cell>
          <cell r="C1866">
            <v>7.5</v>
          </cell>
          <cell r="D1866">
            <v>28</v>
          </cell>
          <cell r="E1866" t="str">
            <v>R97</v>
          </cell>
          <cell r="F1866">
            <v>2600</v>
          </cell>
          <cell r="G1866">
            <v>53.21</v>
          </cell>
          <cell r="H1866">
            <v>1.1499999999999999</v>
          </cell>
          <cell r="I1866" t="str">
            <v>M1</v>
          </cell>
          <cell r="J1866" t="str">
            <v>IE3</v>
          </cell>
          <cell r="K1866" t="str">
            <v>400/690</v>
          </cell>
          <cell r="L1866">
            <v>50</v>
          </cell>
          <cell r="M1866" t="str">
            <v>15,2/8.8</v>
          </cell>
          <cell r="N1866">
            <v>55</v>
          </cell>
          <cell r="O1866" t="str">
            <v>F(105°C)</v>
          </cell>
          <cell r="P1866" t="str">
            <v>270°</v>
          </cell>
          <cell r="Q1866" t="str">
            <v>TF</v>
          </cell>
          <cell r="R1866" t="str">
            <v>V(VE)</v>
          </cell>
          <cell r="S1866" t="str">
            <v>-</v>
          </cell>
          <cell r="T1866" t="str">
            <v>-</v>
          </cell>
          <cell r="U1866" t="str">
            <v>-</v>
          </cell>
          <cell r="V1866" t="str">
            <v>FC+R</v>
          </cell>
          <cell r="W1866" t="str">
            <v>-</v>
          </cell>
          <cell r="X1866" t="str">
            <v>CLP HC VG 220 = -20° + 60°</v>
          </cell>
          <cell r="Y1866" t="str">
            <v>R97DRN132M4 /TF/V</v>
          </cell>
          <cell r="Z1866" t="str">
            <v>SEW</v>
          </cell>
          <cell r="AB1866" t="str">
            <v>-</v>
          </cell>
          <cell r="AF1866">
            <v>28</v>
          </cell>
          <cell r="AG1866" t="str">
            <v>DRN132M4</v>
          </cell>
          <cell r="AH1866" t="str">
            <v>R97-DRN132M4270-X#</v>
          </cell>
        </row>
        <row r="1867">
          <cell r="A1867" t="str">
            <v>MR001863</v>
          </cell>
          <cell r="B1867" t="str">
            <v>MR</v>
          </cell>
          <cell r="C1867">
            <v>4</v>
          </cell>
          <cell r="D1867">
            <v>14</v>
          </cell>
          <cell r="E1867" t="str">
            <v>KH97</v>
          </cell>
          <cell r="F1867">
            <v>2740</v>
          </cell>
          <cell r="G1867">
            <v>105.13</v>
          </cell>
          <cell r="H1867">
            <v>1.55</v>
          </cell>
          <cell r="I1867" t="str">
            <v>From M1A to M2A - 15°</v>
          </cell>
          <cell r="J1867" t="str">
            <v>IE3</v>
          </cell>
          <cell r="K1867" t="str">
            <v>230/400</v>
          </cell>
          <cell r="L1867">
            <v>50</v>
          </cell>
          <cell r="M1867" t="str">
            <v>13,8/7,9</v>
          </cell>
          <cell r="N1867">
            <v>55</v>
          </cell>
          <cell r="O1867" t="str">
            <v>F(105°C)</v>
          </cell>
          <cell r="P1867" t="str">
            <v>270°</v>
          </cell>
          <cell r="Q1867" t="str">
            <v>-</v>
          </cell>
          <cell r="R1867" t="str">
            <v>-</v>
          </cell>
          <cell r="S1867" t="str">
            <v>-</v>
          </cell>
          <cell r="T1867" t="str">
            <v>-</v>
          </cell>
          <cell r="U1867" t="str">
            <v>-</v>
          </cell>
          <cell r="V1867" t="str">
            <v>SS</v>
          </cell>
          <cell r="W1867" t="str">
            <v>-</v>
          </cell>
          <cell r="X1867" t="str">
            <v>CLP HC VG 220 = -20° + 60°</v>
          </cell>
          <cell r="Y1867" t="str">
            <v>KH97DRN112M4</v>
          </cell>
          <cell r="Z1867" t="str">
            <v>SEW</v>
          </cell>
          <cell r="AB1867" t="str">
            <v>-</v>
          </cell>
          <cell r="AF1867">
            <v>14</v>
          </cell>
          <cell r="AG1867" t="str">
            <v>DRN112M4</v>
          </cell>
          <cell r="AH1867" t="str">
            <v>KH97-DRN112M4A270-X</v>
          </cell>
        </row>
        <row r="1868">
          <cell r="A1868" t="str">
            <v>MR001864</v>
          </cell>
          <cell r="B1868" t="str">
            <v>MR</v>
          </cell>
          <cell r="C1868">
            <v>4</v>
          </cell>
          <cell r="D1868">
            <v>14</v>
          </cell>
          <cell r="E1868" t="str">
            <v>KH97</v>
          </cell>
          <cell r="F1868">
            <v>2740</v>
          </cell>
          <cell r="G1868">
            <v>105.13</v>
          </cell>
          <cell r="H1868">
            <v>1.55</v>
          </cell>
          <cell r="I1868" t="str">
            <v>From M1B to M2B - 15°</v>
          </cell>
          <cell r="J1868" t="str">
            <v>IE3</v>
          </cell>
          <cell r="K1868" t="str">
            <v>230/400</v>
          </cell>
          <cell r="L1868">
            <v>50</v>
          </cell>
          <cell r="M1868" t="str">
            <v>13,8/7,9</v>
          </cell>
          <cell r="N1868">
            <v>55</v>
          </cell>
          <cell r="O1868" t="str">
            <v>F(105°C)</v>
          </cell>
          <cell r="P1868" t="str">
            <v>270°</v>
          </cell>
          <cell r="Q1868" t="str">
            <v>-</v>
          </cell>
          <cell r="R1868" t="str">
            <v>-</v>
          </cell>
          <cell r="S1868" t="str">
            <v>-</v>
          </cell>
          <cell r="T1868" t="str">
            <v>-</v>
          </cell>
          <cell r="U1868" t="str">
            <v>-</v>
          </cell>
          <cell r="V1868" t="str">
            <v>SS</v>
          </cell>
          <cell r="W1868" t="str">
            <v>-</v>
          </cell>
          <cell r="X1868" t="str">
            <v>CLP HC VG 220 = -20° + 60°</v>
          </cell>
          <cell r="Y1868" t="str">
            <v>KH97DRN112M4</v>
          </cell>
          <cell r="Z1868" t="str">
            <v>SEW</v>
          </cell>
          <cell r="AB1868" t="str">
            <v>-</v>
          </cell>
          <cell r="AF1868">
            <v>14</v>
          </cell>
          <cell r="AG1868" t="str">
            <v>DRN112M4</v>
          </cell>
          <cell r="AH1868" t="str">
            <v>KH97-DRN112M4B270-X</v>
          </cell>
        </row>
        <row r="1869">
          <cell r="A1869" t="str">
            <v>MR001865</v>
          </cell>
          <cell r="B1869" t="str">
            <v>MR</v>
          </cell>
          <cell r="C1869">
            <v>7.5</v>
          </cell>
          <cell r="D1869">
            <v>15</v>
          </cell>
          <cell r="E1869" t="str">
            <v>KH107</v>
          </cell>
          <cell r="F1869">
            <v>4920</v>
          </cell>
          <cell r="G1869">
            <v>100.75</v>
          </cell>
          <cell r="H1869">
            <v>1.65</v>
          </cell>
          <cell r="I1869" t="str">
            <v>From M1A to M2A - 40°</v>
          </cell>
          <cell r="J1869" t="str">
            <v>IE3</v>
          </cell>
          <cell r="K1869" t="str">
            <v>400/690</v>
          </cell>
          <cell r="L1869">
            <v>50</v>
          </cell>
          <cell r="M1869" t="str">
            <v>15,2/8,8</v>
          </cell>
          <cell r="N1869">
            <v>55</v>
          </cell>
          <cell r="O1869" t="str">
            <v>F(105°C)</v>
          </cell>
          <cell r="P1869" t="str">
            <v>270°</v>
          </cell>
          <cell r="Q1869" t="str">
            <v>-</v>
          </cell>
          <cell r="R1869" t="str">
            <v>-</v>
          </cell>
          <cell r="S1869" t="str">
            <v>-</v>
          </cell>
          <cell r="T1869" t="str">
            <v>-</v>
          </cell>
          <cell r="U1869" t="str">
            <v>-</v>
          </cell>
          <cell r="V1869" t="str">
            <v>SS</v>
          </cell>
          <cell r="W1869" t="str">
            <v>-</v>
          </cell>
          <cell r="X1869" t="str">
            <v>CLP HC VG 220 = -20° + 60°</v>
          </cell>
          <cell r="Y1869" t="str">
            <v>KH107DRN132M4</v>
          </cell>
          <cell r="Z1869" t="str">
            <v>SEW</v>
          </cell>
          <cell r="AB1869" t="str">
            <v>-</v>
          </cell>
          <cell r="AF1869">
            <v>15</v>
          </cell>
          <cell r="AG1869" t="str">
            <v>DRN132M4</v>
          </cell>
          <cell r="AH1869" t="str">
            <v>KH107-DRN132M4A270-X</v>
          </cell>
        </row>
        <row r="1870">
          <cell r="A1870" t="str">
            <v>MR001866</v>
          </cell>
          <cell r="B1870" t="str">
            <v>MR</v>
          </cell>
          <cell r="C1870">
            <v>7.5</v>
          </cell>
          <cell r="D1870">
            <v>15</v>
          </cell>
          <cell r="E1870" t="str">
            <v>KH107</v>
          </cell>
          <cell r="F1870">
            <v>4920</v>
          </cell>
          <cell r="G1870">
            <v>100.75</v>
          </cell>
          <cell r="H1870">
            <v>1.65</v>
          </cell>
          <cell r="I1870" t="str">
            <v>From M1A to M2A - 35°</v>
          </cell>
          <cell r="J1870" t="str">
            <v>IE3</v>
          </cell>
          <cell r="K1870" t="str">
            <v>400/690</v>
          </cell>
          <cell r="L1870">
            <v>50</v>
          </cell>
          <cell r="M1870" t="str">
            <v>15,2/8,8</v>
          </cell>
          <cell r="N1870">
            <v>55</v>
          </cell>
          <cell r="O1870" t="str">
            <v>F(105°C)</v>
          </cell>
          <cell r="P1870" t="str">
            <v>270°</v>
          </cell>
          <cell r="Q1870" t="str">
            <v>-</v>
          </cell>
          <cell r="R1870" t="str">
            <v>-</v>
          </cell>
          <cell r="S1870" t="str">
            <v>-</v>
          </cell>
          <cell r="T1870" t="str">
            <v>-</v>
          </cell>
          <cell r="U1870" t="str">
            <v>-</v>
          </cell>
          <cell r="V1870" t="str">
            <v>SS</v>
          </cell>
          <cell r="W1870" t="str">
            <v>-</v>
          </cell>
          <cell r="X1870" t="str">
            <v>CLP HC VG 220 = -20° + 60°</v>
          </cell>
          <cell r="Y1870" t="str">
            <v>KH107DRN132M4</v>
          </cell>
          <cell r="Z1870" t="str">
            <v>SEW</v>
          </cell>
          <cell r="AB1870" t="str">
            <v>-</v>
          </cell>
          <cell r="AF1870">
            <v>15</v>
          </cell>
          <cell r="AG1870" t="str">
            <v>DRN132M4</v>
          </cell>
          <cell r="AH1870" t="str">
            <v>KH107-DRN132M4A270-X</v>
          </cell>
        </row>
        <row r="1871">
          <cell r="A1871" t="str">
            <v>MR001867</v>
          </cell>
          <cell r="B1871" t="str">
            <v>MR</v>
          </cell>
          <cell r="C1871">
            <v>11</v>
          </cell>
          <cell r="D1871">
            <v>15</v>
          </cell>
          <cell r="E1871" t="str">
            <v>KH107</v>
          </cell>
          <cell r="F1871">
            <v>7190</v>
          </cell>
          <cell r="G1871">
            <v>100.75</v>
          </cell>
          <cell r="H1871">
            <v>1.05</v>
          </cell>
          <cell r="I1871" t="str">
            <v>From M1B to M2B - 30°</v>
          </cell>
          <cell r="J1871" t="str">
            <v>IE3</v>
          </cell>
          <cell r="K1871" t="str">
            <v>400/690</v>
          </cell>
          <cell r="L1871">
            <v>50</v>
          </cell>
          <cell r="M1871" t="str">
            <v>21/12,2</v>
          </cell>
          <cell r="N1871">
            <v>55</v>
          </cell>
          <cell r="O1871" t="str">
            <v>F(105°C)</v>
          </cell>
          <cell r="P1871" t="str">
            <v>270°</v>
          </cell>
          <cell r="Q1871" t="str">
            <v>-</v>
          </cell>
          <cell r="R1871" t="str">
            <v>-</v>
          </cell>
          <cell r="S1871" t="str">
            <v>-</v>
          </cell>
          <cell r="T1871" t="str">
            <v>-</v>
          </cell>
          <cell r="U1871" t="str">
            <v>-</v>
          </cell>
          <cell r="V1871" t="str">
            <v>SS</v>
          </cell>
          <cell r="W1871" t="str">
            <v>-</v>
          </cell>
          <cell r="X1871" t="str">
            <v>CLP HC VG 220 = -20° + 60°</v>
          </cell>
          <cell r="Y1871" t="str">
            <v>KH107EDRN160M4</v>
          </cell>
          <cell r="Z1871" t="str">
            <v>SEW</v>
          </cell>
          <cell r="AB1871" t="str">
            <v>ATEX22</v>
          </cell>
          <cell r="AF1871">
            <v>15</v>
          </cell>
          <cell r="AG1871" t="str">
            <v>EDRN160M4</v>
          </cell>
          <cell r="AH1871" t="str">
            <v>KH107-EDRN160M4B270-X</v>
          </cell>
        </row>
        <row r="1872">
          <cell r="A1872" t="str">
            <v>MR001868</v>
          </cell>
          <cell r="B1872" t="str">
            <v>MR</v>
          </cell>
          <cell r="C1872">
            <v>5.5</v>
          </cell>
          <cell r="D1872">
            <v>14</v>
          </cell>
          <cell r="E1872" t="str">
            <v>KH97</v>
          </cell>
          <cell r="F1872">
            <v>3780</v>
          </cell>
          <cell r="G1872">
            <v>105.13</v>
          </cell>
          <cell r="H1872">
            <v>1</v>
          </cell>
          <cell r="I1872" t="str">
            <v>From M1A to M2A - 45°</v>
          </cell>
          <cell r="J1872" t="str">
            <v>IE3</v>
          </cell>
          <cell r="K1872" t="str">
            <v>230/400</v>
          </cell>
          <cell r="L1872">
            <v>50</v>
          </cell>
          <cell r="M1872" t="str">
            <v>18,2/10,5</v>
          </cell>
          <cell r="N1872">
            <v>55</v>
          </cell>
          <cell r="O1872" t="str">
            <v>F(105°C)</v>
          </cell>
          <cell r="P1872" t="str">
            <v>270°</v>
          </cell>
          <cell r="Q1872" t="str">
            <v>TF</v>
          </cell>
          <cell r="R1872" t="str">
            <v>V(VE)</v>
          </cell>
          <cell r="S1872" t="str">
            <v>-</v>
          </cell>
          <cell r="T1872" t="str">
            <v>-</v>
          </cell>
          <cell r="U1872" t="str">
            <v>-</v>
          </cell>
          <cell r="V1872" t="str">
            <v>FC</v>
          </cell>
          <cell r="W1872" t="str">
            <v>-</v>
          </cell>
          <cell r="X1872" t="str">
            <v>CLP HC VG 220 = -20° + 60°</v>
          </cell>
          <cell r="Y1872" t="str">
            <v>KH97EDRN132S4 /TF/VE</v>
          </cell>
          <cell r="Z1872" t="str">
            <v>SEW</v>
          </cell>
          <cell r="AB1872" t="str">
            <v>ATEX22</v>
          </cell>
          <cell r="AF1872">
            <v>14</v>
          </cell>
          <cell r="AG1872" t="str">
            <v>EDRN132S4</v>
          </cell>
          <cell r="AH1872" t="str">
            <v>KH97-EDRN132S4A270-X#</v>
          </cell>
        </row>
        <row r="1873">
          <cell r="A1873" t="str">
            <v>MR001869</v>
          </cell>
          <cell r="B1873" t="str">
            <v>MR</v>
          </cell>
          <cell r="C1873">
            <v>0.75</v>
          </cell>
          <cell r="D1873">
            <v>62</v>
          </cell>
          <cell r="E1873" t="str">
            <v>FH27</v>
          </cell>
          <cell r="F1873">
            <v>116</v>
          </cell>
          <cell r="G1873">
            <v>23.25</v>
          </cell>
          <cell r="H1873">
            <v>1.1000000000000001</v>
          </cell>
          <cell r="I1873" t="str">
            <v>M1</v>
          </cell>
          <cell r="J1873" t="str">
            <v>IE3</v>
          </cell>
          <cell r="K1873" t="str">
            <v>230/400</v>
          </cell>
          <cell r="L1873">
            <v>50</v>
          </cell>
          <cell r="M1873" t="str">
            <v>3,05/1,75</v>
          </cell>
          <cell r="N1873">
            <v>55</v>
          </cell>
          <cell r="O1873" t="str">
            <v>F(105°C)</v>
          </cell>
          <cell r="P1873" t="str">
            <v>270°</v>
          </cell>
          <cell r="Q1873" t="str">
            <v>-</v>
          </cell>
          <cell r="R1873" t="str">
            <v>-</v>
          </cell>
          <cell r="S1873" t="str">
            <v>-</v>
          </cell>
          <cell r="T1873" t="str">
            <v>-</v>
          </cell>
          <cell r="U1873" t="str">
            <v>G</v>
          </cell>
          <cell r="V1873" t="str">
            <v>D</v>
          </cell>
          <cell r="W1873" t="str">
            <v>-</v>
          </cell>
          <cell r="X1873" t="str">
            <v>CLP HC VG 220 = -20° + 60°</v>
          </cell>
          <cell r="Y1873" t="str">
            <v>FH27/G EDRN80M4</v>
          </cell>
          <cell r="Z1873" t="str">
            <v>SEW</v>
          </cell>
          <cell r="AB1873" t="str">
            <v>ATEX22</v>
          </cell>
          <cell r="AF1873">
            <v>62</v>
          </cell>
          <cell r="AG1873" t="str">
            <v>EDRN80M4</v>
          </cell>
          <cell r="AH1873" t="str">
            <v>FH27G-EDRN80M4270-X</v>
          </cell>
        </row>
        <row r="1874">
          <cell r="A1874" t="str">
            <v>MR001870</v>
          </cell>
          <cell r="B1874" t="str">
            <v>MR</v>
          </cell>
          <cell r="C1874">
            <v>5.5</v>
          </cell>
          <cell r="D1874">
            <v>62</v>
          </cell>
          <cell r="E1874" t="str">
            <v>R87</v>
          </cell>
          <cell r="F1874">
            <v>840</v>
          </cell>
          <cell r="G1874">
            <v>23.4</v>
          </cell>
          <cell r="H1874">
            <v>1.45</v>
          </cell>
          <cell r="I1874" t="str">
            <v>M1</v>
          </cell>
          <cell r="J1874" t="str">
            <v>IE3</v>
          </cell>
          <cell r="K1874" t="str">
            <v>230/400</v>
          </cell>
          <cell r="L1874">
            <v>50</v>
          </cell>
          <cell r="M1874" t="str">
            <v>18,2/10,5</v>
          </cell>
          <cell r="N1874">
            <v>55</v>
          </cell>
          <cell r="O1874" t="str">
            <v>F(105°C)</v>
          </cell>
          <cell r="P1874" t="str">
            <v>270°</v>
          </cell>
          <cell r="Q1874" t="str">
            <v>-</v>
          </cell>
          <cell r="R1874" t="str">
            <v>-</v>
          </cell>
          <cell r="S1874" t="str">
            <v>-</v>
          </cell>
          <cell r="T1874" t="str">
            <v>-</v>
          </cell>
          <cell r="U1874" t="str">
            <v>-</v>
          </cell>
          <cell r="V1874" t="str">
            <v>D</v>
          </cell>
          <cell r="W1874" t="str">
            <v>-</v>
          </cell>
          <cell r="X1874" t="str">
            <v>CLP HC VG 220 = -20° + 60°</v>
          </cell>
          <cell r="Y1874" t="str">
            <v>R87EDRN132S4</v>
          </cell>
          <cell r="Z1874" t="str">
            <v>SEW</v>
          </cell>
          <cell r="AB1874" t="str">
            <v>ATEX22</v>
          </cell>
          <cell r="AF1874">
            <v>62</v>
          </cell>
          <cell r="AG1874" t="str">
            <v>EDRN132S4</v>
          </cell>
          <cell r="AH1874" t="str">
            <v>R87-EDRN132S4270-X</v>
          </cell>
        </row>
        <row r="1875">
          <cell r="A1875" t="str">
            <v>MR001871</v>
          </cell>
          <cell r="B1875" t="str">
            <v>MR</v>
          </cell>
          <cell r="C1875">
            <v>4</v>
          </cell>
          <cell r="D1875">
            <v>58</v>
          </cell>
          <cell r="E1875" t="str">
            <v>R77</v>
          </cell>
          <cell r="F1875">
            <v>660</v>
          </cell>
          <cell r="G1875">
            <v>25.23</v>
          </cell>
          <cell r="H1875">
            <v>1.2</v>
          </cell>
          <cell r="I1875" t="str">
            <v>M1</v>
          </cell>
          <cell r="J1875" t="str">
            <v>IE3</v>
          </cell>
          <cell r="K1875" t="str">
            <v>230/400</v>
          </cell>
          <cell r="L1875">
            <v>50</v>
          </cell>
          <cell r="M1875" t="str">
            <v>13,8/7,9</v>
          </cell>
          <cell r="N1875">
            <v>55</v>
          </cell>
          <cell r="O1875" t="str">
            <v>155(F)</v>
          </cell>
          <cell r="P1875" t="str">
            <v>270°</v>
          </cell>
          <cell r="Q1875" t="str">
            <v>-</v>
          </cell>
          <cell r="R1875" t="str">
            <v>-</v>
          </cell>
          <cell r="S1875" t="str">
            <v>-</v>
          </cell>
          <cell r="T1875" t="str">
            <v>-</v>
          </cell>
          <cell r="U1875" t="str">
            <v>-</v>
          </cell>
          <cell r="V1875" t="str">
            <v>D</v>
          </cell>
          <cell r="W1875" t="str">
            <v>-</v>
          </cell>
          <cell r="X1875" t="str">
            <v>CLP HC VG 220 = -20° + 60°</v>
          </cell>
          <cell r="Y1875" t="str">
            <v>R77DRN112M4</v>
          </cell>
          <cell r="Z1875" t="str">
            <v>SEW</v>
          </cell>
          <cell r="AB1875" t="str">
            <v>-</v>
          </cell>
          <cell r="AF1875">
            <v>58</v>
          </cell>
          <cell r="AG1875" t="str">
            <v>DRN112M4</v>
          </cell>
          <cell r="AH1875" t="str">
            <v>R77-DRN112M4270-X</v>
          </cell>
        </row>
        <row r="1876">
          <cell r="A1876" t="str">
            <v>MR001872</v>
          </cell>
          <cell r="B1876" t="str">
            <v>MR</v>
          </cell>
          <cell r="C1876">
            <v>5.5</v>
          </cell>
          <cell r="D1876">
            <v>57</v>
          </cell>
          <cell r="E1876" t="str">
            <v>KH77</v>
          </cell>
          <cell r="F1876">
            <v>920</v>
          </cell>
          <cell r="G1876">
            <v>25.62</v>
          </cell>
          <cell r="H1876">
            <v>1.7</v>
          </cell>
          <cell r="I1876" t="str">
            <v>M4A</v>
          </cell>
          <cell r="J1876" t="str">
            <v>IE3</v>
          </cell>
          <cell r="K1876" t="str">
            <v>230/400</v>
          </cell>
          <cell r="L1876">
            <v>50</v>
          </cell>
          <cell r="M1876" t="str">
            <v>18,2/10,5</v>
          </cell>
          <cell r="N1876">
            <v>55</v>
          </cell>
          <cell r="O1876" t="str">
            <v>F(105°C)</v>
          </cell>
          <cell r="P1876" t="str">
            <v>270°</v>
          </cell>
          <cell r="Q1876" t="str">
            <v>-</v>
          </cell>
          <cell r="R1876" t="str">
            <v>-</v>
          </cell>
          <cell r="S1876" t="str">
            <v>-</v>
          </cell>
          <cell r="T1876" t="str">
            <v>-</v>
          </cell>
          <cell r="U1876" t="str">
            <v>T</v>
          </cell>
          <cell r="V1876" t="str">
            <v>D+R</v>
          </cell>
          <cell r="W1876" t="str">
            <v>-</v>
          </cell>
          <cell r="X1876" t="str">
            <v>CLP HC VG 220 = -20° + 60°</v>
          </cell>
          <cell r="Y1876" t="str">
            <v>KH77/T DRN132S4</v>
          </cell>
          <cell r="Z1876" t="str">
            <v>SEW</v>
          </cell>
          <cell r="AB1876" t="str">
            <v>-</v>
          </cell>
          <cell r="AF1876">
            <v>57</v>
          </cell>
          <cell r="AG1876" t="str">
            <v>DRN132S4</v>
          </cell>
          <cell r="AH1876" t="str">
            <v>KH77T-DRN132S4A270-X</v>
          </cell>
        </row>
        <row r="1877">
          <cell r="A1877" t="str">
            <v>MR001873</v>
          </cell>
          <cell r="B1877" t="str">
            <v>MR</v>
          </cell>
          <cell r="C1877">
            <v>7.5</v>
          </cell>
          <cell r="D1877">
            <v>15</v>
          </cell>
          <cell r="E1877" t="str">
            <v>KH107</v>
          </cell>
          <cell r="F1877">
            <v>4920</v>
          </cell>
          <cell r="G1877">
            <v>100.75</v>
          </cell>
          <cell r="H1877">
            <v>1.65</v>
          </cell>
          <cell r="I1877" t="str">
            <v>From M1B to M2B - 40°</v>
          </cell>
          <cell r="J1877" t="str">
            <v>IE3</v>
          </cell>
          <cell r="K1877" t="str">
            <v>400/690</v>
          </cell>
          <cell r="L1877">
            <v>50</v>
          </cell>
          <cell r="M1877" t="str">
            <v>15,2/8,8</v>
          </cell>
          <cell r="N1877">
            <v>55</v>
          </cell>
          <cell r="O1877" t="str">
            <v>F(105°C)</v>
          </cell>
          <cell r="P1877" t="str">
            <v>270°</v>
          </cell>
          <cell r="Q1877" t="str">
            <v>-</v>
          </cell>
          <cell r="R1877" t="str">
            <v>-</v>
          </cell>
          <cell r="S1877" t="str">
            <v>-</v>
          </cell>
          <cell r="T1877" t="str">
            <v>-</v>
          </cell>
          <cell r="U1877" t="str">
            <v>-</v>
          </cell>
          <cell r="V1877" t="str">
            <v>SS</v>
          </cell>
          <cell r="W1877" t="str">
            <v>-</v>
          </cell>
          <cell r="X1877" t="str">
            <v>CLP HC VG 220 = -20° + 60°</v>
          </cell>
          <cell r="Y1877" t="str">
            <v>KH107DRN132M4</v>
          </cell>
          <cell r="Z1877" t="str">
            <v>SEW</v>
          </cell>
          <cell r="AB1877" t="str">
            <v>-</v>
          </cell>
          <cell r="AF1877">
            <v>15</v>
          </cell>
          <cell r="AG1877" t="str">
            <v>DRN132M4</v>
          </cell>
          <cell r="AH1877" t="str">
            <v>KH107-DRN132M4B270-X</v>
          </cell>
        </row>
        <row r="1878">
          <cell r="A1878" t="str">
            <v>MR001874</v>
          </cell>
          <cell r="B1878" t="str">
            <v>MR</v>
          </cell>
          <cell r="C1878">
            <v>3</v>
          </cell>
          <cell r="D1878">
            <v>7.2</v>
          </cell>
          <cell r="E1878" t="str">
            <v>R107</v>
          </cell>
          <cell r="F1878">
            <v>3990</v>
          </cell>
          <cell r="G1878">
            <v>203.16</v>
          </cell>
          <cell r="H1878">
            <v>1.1000000000000001</v>
          </cell>
          <cell r="I1878" t="str">
            <v>From M1 to M2 - 20°</v>
          </cell>
          <cell r="J1878" t="str">
            <v>IE3</v>
          </cell>
          <cell r="K1878" t="str">
            <v>230/400</v>
          </cell>
          <cell r="L1878">
            <v>50</v>
          </cell>
          <cell r="M1878" t="str">
            <v>11,2/6,4</v>
          </cell>
          <cell r="N1878">
            <v>55</v>
          </cell>
          <cell r="O1878" t="str">
            <v>F(105°C)</v>
          </cell>
          <cell r="P1878" t="str">
            <v>270°</v>
          </cell>
          <cell r="Q1878" t="str">
            <v>TF</v>
          </cell>
          <cell r="R1878" t="str">
            <v>V(VE)</v>
          </cell>
          <cell r="S1878" t="str">
            <v>-</v>
          </cell>
          <cell r="T1878" t="str">
            <v>-</v>
          </cell>
          <cell r="U1878" t="str">
            <v>-</v>
          </cell>
          <cell r="V1878" t="str">
            <v>FC</v>
          </cell>
          <cell r="W1878" t="str">
            <v>-</v>
          </cell>
          <cell r="X1878" t="str">
            <v>CLP HC VG 220 = -20° + 60°</v>
          </cell>
          <cell r="Y1878" t="str">
            <v>R107DRN100L4 /TF/V</v>
          </cell>
          <cell r="Z1878" t="str">
            <v>SEW</v>
          </cell>
          <cell r="AB1878" t="str">
            <v>-</v>
          </cell>
          <cell r="AF1878">
            <v>7.2</v>
          </cell>
          <cell r="AG1878" t="str">
            <v>DRN100L4</v>
          </cell>
          <cell r="AH1878" t="str">
            <v>R107-DRN100L4270-X#</v>
          </cell>
        </row>
        <row r="1879">
          <cell r="A1879" t="str">
            <v>MR001875</v>
          </cell>
          <cell r="B1879" t="str">
            <v>MR</v>
          </cell>
          <cell r="C1879">
            <v>7.5</v>
          </cell>
          <cell r="D1879">
            <v>57</v>
          </cell>
          <cell r="E1879" t="str">
            <v>KH77</v>
          </cell>
          <cell r="F1879">
            <v>1240</v>
          </cell>
          <cell r="G1879">
            <v>25.62</v>
          </cell>
          <cell r="H1879">
            <v>1.25</v>
          </cell>
          <cell r="I1879" t="str">
            <v>M4B</v>
          </cell>
          <cell r="J1879" t="str">
            <v>IE3</v>
          </cell>
          <cell r="K1879" t="str">
            <v>\</v>
          </cell>
          <cell r="L1879">
            <v>50</v>
          </cell>
          <cell r="M1879">
            <v>15.2</v>
          </cell>
          <cell r="N1879">
            <v>55</v>
          </cell>
          <cell r="O1879" t="str">
            <v>155(F)</v>
          </cell>
          <cell r="P1879" t="str">
            <v>270°</v>
          </cell>
          <cell r="Q1879" t="str">
            <v>TF</v>
          </cell>
          <cell r="R1879" t="str">
            <v>V(VE)</v>
          </cell>
          <cell r="S1879" t="str">
            <v>Free rotation CW</v>
          </cell>
          <cell r="T1879" t="str">
            <v>-</v>
          </cell>
          <cell r="U1879" t="str">
            <v>T</v>
          </cell>
          <cell r="V1879" t="str">
            <v>FC</v>
          </cell>
          <cell r="W1879" t="str">
            <v>-</v>
          </cell>
          <cell r="X1879" t="str">
            <v>CLP 220 (-15/+40°C)</v>
          </cell>
          <cell r="Y1879" t="str">
            <v>KH77/T DRN132M4 /RS /TF/V</v>
          </cell>
          <cell r="Z1879" t="str">
            <v>SEW</v>
          </cell>
          <cell r="AB1879" t="str">
            <v>-</v>
          </cell>
          <cell r="AF1879">
            <v>57</v>
          </cell>
          <cell r="AG1879" t="str">
            <v>DRN132M4</v>
          </cell>
          <cell r="AH1879" t="str">
            <v>KH77T-DRN132M4B270-X#</v>
          </cell>
        </row>
        <row r="1880">
          <cell r="A1880" t="str">
            <v>MR001876</v>
          </cell>
          <cell r="B1880" t="str">
            <v>MR</v>
          </cell>
          <cell r="C1880">
            <v>0.75</v>
          </cell>
          <cell r="D1880">
            <v>162</v>
          </cell>
          <cell r="E1880" t="str">
            <v>KA37</v>
          </cell>
          <cell r="F1880">
            <v>44</v>
          </cell>
          <cell r="G1880">
            <v>8.91</v>
          </cell>
          <cell r="H1880">
            <v>3.6</v>
          </cell>
          <cell r="I1880" t="str">
            <v>From M1B to M2B - 10°</v>
          </cell>
          <cell r="J1880" t="str">
            <v>IE3</v>
          </cell>
          <cell r="K1880">
            <v>400</v>
          </cell>
          <cell r="L1880">
            <v>50</v>
          </cell>
          <cell r="M1880">
            <v>1.75</v>
          </cell>
          <cell r="N1880">
            <v>55</v>
          </cell>
          <cell r="O1880" t="str">
            <v>155(F)</v>
          </cell>
          <cell r="P1880" t="str">
            <v>0°</v>
          </cell>
          <cell r="Q1880" t="str">
            <v>-</v>
          </cell>
          <cell r="R1880" t="str">
            <v>-</v>
          </cell>
          <cell r="S1880" t="str">
            <v>-</v>
          </cell>
          <cell r="T1880" t="str">
            <v>-</v>
          </cell>
          <cell r="U1880" t="str">
            <v>T</v>
          </cell>
          <cell r="V1880" t="str">
            <v>D</v>
          </cell>
          <cell r="W1880" t="str">
            <v>-</v>
          </cell>
          <cell r="X1880" t="str">
            <v>CLP 220 (-15/+40°C)</v>
          </cell>
          <cell r="Y1880" t="str">
            <v>KA37/T DRN80M4</v>
          </cell>
          <cell r="Z1880" t="str">
            <v>SEW</v>
          </cell>
          <cell r="AB1880" t="str">
            <v>-</v>
          </cell>
          <cell r="AF1880">
            <v>162</v>
          </cell>
          <cell r="AG1880" t="str">
            <v>DRN80M4</v>
          </cell>
          <cell r="AH1880" t="str">
            <v>KA37T-DRN80M4B0-X</v>
          </cell>
        </row>
        <row r="1881">
          <cell r="A1881" t="str">
            <v>MR001877</v>
          </cell>
          <cell r="B1881" t="str">
            <v>MR</v>
          </cell>
          <cell r="C1881">
            <v>7.5</v>
          </cell>
          <cell r="D1881">
            <v>63</v>
          </cell>
          <cell r="E1881" t="str">
            <v>R87</v>
          </cell>
          <cell r="F1881">
            <v>1140</v>
          </cell>
          <cell r="G1881">
            <v>23.4</v>
          </cell>
          <cell r="H1881">
            <v>1.35</v>
          </cell>
          <cell r="I1881" t="str">
            <v>From M1 to M4 - 20°</v>
          </cell>
          <cell r="J1881" t="str">
            <v>IE3</v>
          </cell>
          <cell r="K1881">
            <v>400</v>
          </cell>
          <cell r="L1881">
            <v>50</v>
          </cell>
          <cell r="M1881">
            <v>15.2</v>
          </cell>
          <cell r="N1881">
            <v>55</v>
          </cell>
          <cell r="O1881" t="str">
            <v>F(105°C)</v>
          </cell>
          <cell r="P1881" t="str">
            <v>270°</v>
          </cell>
          <cell r="Q1881" t="str">
            <v>-</v>
          </cell>
          <cell r="R1881" t="str">
            <v>-</v>
          </cell>
          <cell r="S1881" t="str">
            <v>-</v>
          </cell>
          <cell r="T1881" t="str">
            <v>-</v>
          </cell>
          <cell r="U1881" t="str">
            <v>-</v>
          </cell>
          <cell r="V1881" t="str">
            <v>D</v>
          </cell>
          <cell r="W1881" t="str">
            <v>-</v>
          </cell>
          <cell r="X1881" t="str">
            <v>CLP 220 (-15/+40°C)</v>
          </cell>
          <cell r="Y1881" t="str">
            <v>R87DRN132M4</v>
          </cell>
          <cell r="Z1881" t="str">
            <v>SEW</v>
          </cell>
          <cell r="AB1881" t="str">
            <v>-</v>
          </cell>
          <cell r="AF1881">
            <v>63</v>
          </cell>
          <cell r="AG1881" t="str">
            <v>DRN132M4</v>
          </cell>
          <cell r="AH1881" t="str">
            <v>R87-DRN132M4270-X</v>
          </cell>
        </row>
        <row r="1882">
          <cell r="A1882" t="str">
            <v>MR001878</v>
          </cell>
          <cell r="B1882" t="str">
            <v>MR</v>
          </cell>
          <cell r="C1882">
            <v>7.5</v>
          </cell>
          <cell r="D1882">
            <v>15</v>
          </cell>
          <cell r="E1882" t="str">
            <v>KH107</v>
          </cell>
          <cell r="F1882">
            <v>4910</v>
          </cell>
          <cell r="G1882">
            <v>100.75</v>
          </cell>
          <cell r="H1882">
            <v>1.65</v>
          </cell>
          <cell r="I1882" t="str">
            <v>From M1A to M2A - 10°</v>
          </cell>
          <cell r="J1882" t="str">
            <v>IE3</v>
          </cell>
          <cell r="K1882" t="str">
            <v>400/690</v>
          </cell>
          <cell r="L1882">
            <v>50</v>
          </cell>
          <cell r="M1882" t="str">
            <v>15,2/8,8</v>
          </cell>
          <cell r="N1882">
            <v>55</v>
          </cell>
          <cell r="O1882" t="str">
            <v>F(105°C)</v>
          </cell>
          <cell r="P1882" t="str">
            <v>270°</v>
          </cell>
          <cell r="Q1882" t="str">
            <v>TF</v>
          </cell>
          <cell r="R1882" t="str">
            <v>-</v>
          </cell>
          <cell r="S1882" t="str">
            <v>-</v>
          </cell>
          <cell r="T1882" t="str">
            <v>-</v>
          </cell>
          <cell r="U1882" t="str">
            <v>-</v>
          </cell>
          <cell r="V1882" t="str">
            <v>SS</v>
          </cell>
          <cell r="W1882" t="str">
            <v>-</v>
          </cell>
          <cell r="X1882" t="str">
            <v>CLP 220 (-15/+40°C)</v>
          </cell>
          <cell r="Y1882" t="str">
            <v>KH107DRN132M4 /TF</v>
          </cell>
          <cell r="Z1882" t="str">
            <v>SEW</v>
          </cell>
          <cell r="AB1882" t="str">
            <v>-</v>
          </cell>
          <cell r="AF1882">
            <v>15</v>
          </cell>
          <cell r="AG1882" t="str">
            <v>DRN132M4</v>
          </cell>
          <cell r="AH1882" t="str">
            <v>KH107-DRN132M4A270-X</v>
          </cell>
        </row>
        <row r="1883">
          <cell r="A1883" t="str">
            <v>MR001879</v>
          </cell>
          <cell r="B1883" t="str">
            <v>MR</v>
          </cell>
          <cell r="C1883">
            <v>11</v>
          </cell>
          <cell r="D1883">
            <v>15</v>
          </cell>
          <cell r="E1883" t="str">
            <v>KH107</v>
          </cell>
          <cell r="F1883">
            <v>7180</v>
          </cell>
          <cell r="G1883">
            <v>100.75</v>
          </cell>
          <cell r="H1883">
            <v>1.1000000000000001</v>
          </cell>
          <cell r="I1883" t="str">
            <v>From M1A to M2A - 45°</v>
          </cell>
          <cell r="J1883" t="str">
            <v>IE3</v>
          </cell>
          <cell r="K1883" t="str">
            <v>400/690</v>
          </cell>
          <cell r="L1883">
            <v>50</v>
          </cell>
          <cell r="M1883" t="str">
            <v>21/12,2</v>
          </cell>
          <cell r="N1883">
            <v>55</v>
          </cell>
          <cell r="O1883" t="str">
            <v>F(105°C)</v>
          </cell>
          <cell r="P1883" t="str">
            <v>270°</v>
          </cell>
          <cell r="Q1883" t="str">
            <v>TF</v>
          </cell>
          <cell r="R1883" t="str">
            <v>-</v>
          </cell>
          <cell r="S1883" t="str">
            <v>-</v>
          </cell>
          <cell r="T1883" t="str">
            <v>-</v>
          </cell>
          <cell r="U1883" t="str">
            <v>-</v>
          </cell>
          <cell r="V1883" t="str">
            <v>SS</v>
          </cell>
          <cell r="W1883" t="str">
            <v>-</v>
          </cell>
          <cell r="X1883" t="str">
            <v>CLP 220 (-15/+40°C)</v>
          </cell>
          <cell r="Y1883" t="str">
            <v>KH107DRN160M4 /TF</v>
          </cell>
          <cell r="Z1883" t="str">
            <v>SEW</v>
          </cell>
          <cell r="AB1883" t="str">
            <v>-</v>
          </cell>
          <cell r="AF1883">
            <v>15</v>
          </cell>
          <cell r="AG1883" t="str">
            <v>DRN160M4</v>
          </cell>
          <cell r="AH1883" t="str">
            <v>KH107-DRN160M4A270-X</v>
          </cell>
        </row>
        <row r="1884">
          <cell r="A1884" t="str">
            <v>MR001880</v>
          </cell>
          <cell r="B1884" t="str">
            <v>MR</v>
          </cell>
          <cell r="C1884">
            <v>9.1999999999999993</v>
          </cell>
          <cell r="D1884" t="str">
            <v>15</v>
          </cell>
          <cell r="E1884" t="str">
            <v>KH107</v>
          </cell>
          <cell r="F1884">
            <v>6020</v>
          </cell>
          <cell r="G1884">
            <v>100.75</v>
          </cell>
          <cell r="H1884">
            <v>1.25</v>
          </cell>
          <cell r="I1884" t="str">
            <v>From M1A to M2A - 45°</v>
          </cell>
          <cell r="J1884" t="str">
            <v>IE3</v>
          </cell>
          <cell r="K1884" t="str">
            <v>400/690</v>
          </cell>
          <cell r="L1884">
            <v>50</v>
          </cell>
          <cell r="M1884">
            <v>18.7</v>
          </cell>
          <cell r="N1884">
            <v>54</v>
          </cell>
          <cell r="O1884" t="str">
            <v>F(105°C)</v>
          </cell>
          <cell r="P1884" t="str">
            <v>270°</v>
          </cell>
          <cell r="Q1884" t="str">
            <v>TF</v>
          </cell>
          <cell r="R1884" t="str">
            <v>-</v>
          </cell>
          <cell r="S1884" t="str">
            <v>-</v>
          </cell>
          <cell r="T1884" t="str">
            <v>-</v>
          </cell>
          <cell r="U1884" t="str">
            <v>-</v>
          </cell>
          <cell r="V1884" t="str">
            <v>SS</v>
          </cell>
          <cell r="W1884" t="str">
            <v>-</v>
          </cell>
          <cell r="X1884" t="str">
            <v>CLP 220 (-15/+40°C)</v>
          </cell>
          <cell r="Y1884" t="str">
            <v>KH107DRN132L4 /TF</v>
          </cell>
          <cell r="Z1884" t="str">
            <v>SEW</v>
          </cell>
          <cell r="AB1884" t="str">
            <v>-</v>
          </cell>
          <cell r="AF1884">
            <v>15</v>
          </cell>
          <cell r="AG1884" t="str">
            <v>DRN132L4</v>
          </cell>
          <cell r="AH1884" t="str">
            <v>KH107-DRN132L4A270-X</v>
          </cell>
        </row>
        <row r="1885">
          <cell r="A1885" t="str">
            <v>MR001881</v>
          </cell>
          <cell r="B1885" t="str">
            <v>MR</v>
          </cell>
          <cell r="C1885">
            <v>5.5</v>
          </cell>
          <cell r="D1885">
            <v>15</v>
          </cell>
          <cell r="E1885" t="str">
            <v>KH97</v>
          </cell>
          <cell r="F1885">
            <v>3470</v>
          </cell>
          <cell r="G1885">
            <v>96.8</v>
          </cell>
          <cell r="H1885">
            <v>1.25</v>
          </cell>
          <cell r="I1885" t="str">
            <v>From M1A to M2A - 45°</v>
          </cell>
          <cell r="J1885" t="str">
            <v>IE3</v>
          </cell>
          <cell r="K1885" t="str">
            <v>230/400</v>
          </cell>
          <cell r="L1885">
            <v>50</v>
          </cell>
          <cell r="M1885" t="str">
            <v>18,2/10,5</v>
          </cell>
          <cell r="N1885">
            <v>54</v>
          </cell>
          <cell r="O1885" t="str">
            <v>F(105°C)</v>
          </cell>
          <cell r="P1885" t="str">
            <v>270°</v>
          </cell>
          <cell r="Q1885" t="str">
            <v>TF</v>
          </cell>
          <cell r="R1885" t="str">
            <v>-</v>
          </cell>
          <cell r="S1885" t="str">
            <v>-</v>
          </cell>
          <cell r="T1885" t="str">
            <v>-</v>
          </cell>
          <cell r="U1885" t="str">
            <v>-</v>
          </cell>
          <cell r="V1885" t="str">
            <v>SS</v>
          </cell>
          <cell r="W1885" t="str">
            <v>-</v>
          </cell>
          <cell r="X1885" t="str">
            <v>CLP 220 (-15/+40°C)</v>
          </cell>
          <cell r="Y1885" t="str">
            <v>KH97DRN132S4 /TF</v>
          </cell>
          <cell r="Z1885" t="str">
            <v>SEW</v>
          </cell>
          <cell r="AB1885" t="str">
            <v>-</v>
          </cell>
          <cell r="AF1885">
            <v>15</v>
          </cell>
          <cell r="AG1885" t="str">
            <v>DRN132S4</v>
          </cell>
          <cell r="AH1885" t="str">
            <v>KH97-DRN132S4A270-X</v>
          </cell>
        </row>
        <row r="1886">
          <cell r="A1886" t="str">
            <v>MR001882</v>
          </cell>
          <cell r="B1886" t="str">
            <v>MR</v>
          </cell>
          <cell r="C1886">
            <v>5.5</v>
          </cell>
          <cell r="D1886">
            <v>15</v>
          </cell>
          <cell r="E1886" t="str">
            <v>KH97</v>
          </cell>
          <cell r="F1886">
            <v>3470</v>
          </cell>
          <cell r="G1886">
            <v>96.8</v>
          </cell>
          <cell r="H1886">
            <v>1.25</v>
          </cell>
          <cell r="I1886" t="str">
            <v>From M1B to M2B - 45°</v>
          </cell>
          <cell r="J1886" t="str">
            <v>IE3</v>
          </cell>
          <cell r="K1886" t="str">
            <v>230/400</v>
          </cell>
          <cell r="L1886">
            <v>50</v>
          </cell>
          <cell r="M1886" t="str">
            <v>18,2/10,5</v>
          </cell>
          <cell r="N1886">
            <v>54</v>
          </cell>
          <cell r="O1886" t="str">
            <v>F(105°C)</v>
          </cell>
          <cell r="P1886" t="str">
            <v>270°</v>
          </cell>
          <cell r="Q1886" t="str">
            <v>TF</v>
          </cell>
          <cell r="R1886" t="str">
            <v>-</v>
          </cell>
          <cell r="S1886" t="str">
            <v>-</v>
          </cell>
          <cell r="T1886" t="str">
            <v>-</v>
          </cell>
          <cell r="U1886" t="str">
            <v>-</v>
          </cell>
          <cell r="V1886" t="str">
            <v>SS</v>
          </cell>
          <cell r="W1886" t="str">
            <v>-</v>
          </cell>
          <cell r="X1886" t="str">
            <v>CLP 220 (-15/+40°C)</v>
          </cell>
          <cell r="Y1886" t="str">
            <v>KH97DRN132S4 /TF</v>
          </cell>
          <cell r="Z1886" t="str">
            <v>SEW</v>
          </cell>
          <cell r="AB1886" t="str">
            <v>-</v>
          </cell>
          <cell r="AF1886">
            <v>15</v>
          </cell>
          <cell r="AG1886" t="str">
            <v>DRN132S4</v>
          </cell>
          <cell r="AH1886" t="str">
            <v>KH97-DRN132S4B270-X</v>
          </cell>
        </row>
        <row r="1887">
          <cell r="A1887" t="str">
            <v>MR001883</v>
          </cell>
          <cell r="B1887" t="str">
            <v>MR</v>
          </cell>
          <cell r="C1887">
            <v>5.5</v>
          </cell>
          <cell r="D1887">
            <v>15</v>
          </cell>
          <cell r="E1887" t="str">
            <v>KH97</v>
          </cell>
          <cell r="F1887">
            <v>3470</v>
          </cell>
          <cell r="G1887">
            <v>96.8</v>
          </cell>
          <cell r="H1887">
            <v>1.25</v>
          </cell>
          <cell r="I1887" t="str">
            <v>M1A</v>
          </cell>
          <cell r="J1887" t="str">
            <v>IE3</v>
          </cell>
          <cell r="K1887" t="str">
            <v>230/400</v>
          </cell>
          <cell r="L1887">
            <v>50</v>
          </cell>
          <cell r="M1887" t="str">
            <v>18,2/10,5</v>
          </cell>
          <cell r="N1887">
            <v>54</v>
          </cell>
          <cell r="O1887" t="str">
            <v>F(105°C)</v>
          </cell>
          <cell r="P1887" t="str">
            <v>270°</v>
          </cell>
          <cell r="Q1887" t="str">
            <v>TF</v>
          </cell>
          <cell r="R1887" t="str">
            <v>-</v>
          </cell>
          <cell r="S1887" t="str">
            <v>-</v>
          </cell>
          <cell r="T1887" t="str">
            <v>-</v>
          </cell>
          <cell r="U1887" t="str">
            <v>-</v>
          </cell>
          <cell r="V1887" t="str">
            <v>SS</v>
          </cell>
          <cell r="W1887" t="str">
            <v>-</v>
          </cell>
          <cell r="X1887" t="str">
            <v>CLP 220 (-15/+40°C)</v>
          </cell>
          <cell r="Y1887" t="str">
            <v>KH97DRN132S4 /TF</v>
          </cell>
          <cell r="Z1887" t="str">
            <v>SEW</v>
          </cell>
          <cell r="AB1887" t="str">
            <v>-</v>
          </cell>
          <cell r="AF1887">
            <v>15</v>
          </cell>
          <cell r="AG1887" t="str">
            <v>DRN132S4</v>
          </cell>
          <cell r="AH1887" t="str">
            <v>KH97-DRN132S4A270-X</v>
          </cell>
        </row>
        <row r="1888">
          <cell r="A1888" t="str">
            <v>MR001884</v>
          </cell>
          <cell r="B1888" t="str">
            <v>MR</v>
          </cell>
          <cell r="C1888">
            <v>7.5</v>
          </cell>
          <cell r="D1888">
            <v>15</v>
          </cell>
          <cell r="E1888" t="str">
            <v>KH107</v>
          </cell>
          <cell r="F1888">
            <v>4910</v>
          </cell>
          <cell r="G1888">
            <v>100.75</v>
          </cell>
          <cell r="H1888">
            <v>1.65</v>
          </cell>
          <cell r="I1888" t="str">
            <v>From M1A to M2A - 10°</v>
          </cell>
          <cell r="J1888" t="str">
            <v>IE3</v>
          </cell>
          <cell r="K1888" t="str">
            <v>400/690</v>
          </cell>
          <cell r="L1888">
            <v>50</v>
          </cell>
          <cell r="M1888" t="str">
            <v>15,2/8,8</v>
          </cell>
          <cell r="N1888">
            <v>54</v>
          </cell>
          <cell r="O1888" t="str">
            <v>F(105°C)</v>
          </cell>
          <cell r="P1888" t="str">
            <v>270°</v>
          </cell>
          <cell r="Q1888" t="str">
            <v>TF</v>
          </cell>
          <cell r="R1888" t="str">
            <v>-</v>
          </cell>
          <cell r="S1888" t="str">
            <v>-</v>
          </cell>
          <cell r="T1888" t="str">
            <v>-</v>
          </cell>
          <cell r="U1888" t="str">
            <v>-</v>
          </cell>
          <cell r="V1888" t="str">
            <v>SS</v>
          </cell>
          <cell r="W1888" t="str">
            <v>-</v>
          </cell>
          <cell r="X1888" t="str">
            <v>CLP 220 (-15/+40°C)</v>
          </cell>
          <cell r="Y1888" t="str">
            <v>KH107DRN132M4 /TF</v>
          </cell>
          <cell r="Z1888" t="str">
            <v>SEW</v>
          </cell>
          <cell r="AB1888" t="str">
            <v>-</v>
          </cell>
          <cell r="AF1888">
            <v>15</v>
          </cell>
          <cell r="AG1888" t="str">
            <v>DRN132M4</v>
          </cell>
          <cell r="AH1888" t="str">
            <v>KH107-DRN132M4A270-X</v>
          </cell>
        </row>
        <row r="1889">
          <cell r="A1889" t="str">
            <v>MR001885</v>
          </cell>
          <cell r="B1889" t="str">
            <v>MR</v>
          </cell>
          <cell r="C1889">
            <v>22</v>
          </cell>
          <cell r="D1889">
            <v>12</v>
          </cell>
          <cell r="E1889" t="str">
            <v>KH157</v>
          </cell>
          <cell r="F1889">
            <v>17400</v>
          </cell>
          <cell r="G1889">
            <v>122.39</v>
          </cell>
          <cell r="H1889">
            <v>1.1499999999999999</v>
          </cell>
          <cell r="I1889" t="str">
            <v>M4A</v>
          </cell>
          <cell r="J1889" t="str">
            <v>IE3</v>
          </cell>
          <cell r="K1889" t="str">
            <v>400/690</v>
          </cell>
          <cell r="L1889">
            <v>50</v>
          </cell>
          <cell r="M1889" t="str">
            <v>38,5/22,5</v>
          </cell>
          <cell r="N1889">
            <v>54</v>
          </cell>
          <cell r="O1889" t="str">
            <v>F(105°C)</v>
          </cell>
          <cell r="P1889" t="str">
            <v>0°</v>
          </cell>
          <cell r="Q1889" t="str">
            <v>TF</v>
          </cell>
          <cell r="R1889" t="str">
            <v>-</v>
          </cell>
          <cell r="S1889" t="str">
            <v>-</v>
          </cell>
          <cell r="T1889" t="str">
            <v>-</v>
          </cell>
          <cell r="U1889" t="str">
            <v>-</v>
          </cell>
          <cell r="V1889" t="str">
            <v>SS</v>
          </cell>
          <cell r="W1889" t="str">
            <v>-</v>
          </cell>
          <cell r="X1889" t="str">
            <v>CLP 220 (-15/+40°C)</v>
          </cell>
          <cell r="Y1889" t="str">
            <v>KH157DRN180L4 /TF</v>
          </cell>
          <cell r="Z1889" t="str">
            <v>SEW</v>
          </cell>
          <cell r="AB1889" t="str">
            <v>-</v>
          </cell>
          <cell r="AF1889">
            <v>12</v>
          </cell>
          <cell r="AG1889" t="str">
            <v>DRN180L4</v>
          </cell>
          <cell r="AH1889" t="str">
            <v>KH157-DRN180L4A0-X</v>
          </cell>
        </row>
        <row r="1890">
          <cell r="A1890" t="str">
            <v>MR001886</v>
          </cell>
          <cell r="B1890" t="str">
            <v>MR</v>
          </cell>
          <cell r="C1890">
            <v>22</v>
          </cell>
          <cell r="D1890">
            <v>12</v>
          </cell>
          <cell r="E1890" t="str">
            <v>KH157</v>
          </cell>
          <cell r="F1890">
            <v>17400</v>
          </cell>
          <cell r="G1890">
            <v>122.39</v>
          </cell>
          <cell r="H1890">
            <v>1.1499999999999999</v>
          </cell>
          <cell r="I1890" t="str">
            <v>M4B</v>
          </cell>
          <cell r="J1890" t="str">
            <v>IE3</v>
          </cell>
          <cell r="K1890" t="str">
            <v>400/690</v>
          </cell>
          <cell r="L1890">
            <v>50</v>
          </cell>
          <cell r="M1890" t="str">
            <v>38,5/22,5</v>
          </cell>
          <cell r="N1890">
            <v>54</v>
          </cell>
          <cell r="O1890" t="str">
            <v>F(105°C)</v>
          </cell>
          <cell r="P1890" t="str">
            <v>0°</v>
          </cell>
          <cell r="Q1890" t="str">
            <v>TF</v>
          </cell>
          <cell r="R1890" t="str">
            <v>-</v>
          </cell>
          <cell r="S1890" t="str">
            <v>-</v>
          </cell>
          <cell r="T1890" t="str">
            <v>-</v>
          </cell>
          <cell r="U1890" t="str">
            <v>-</v>
          </cell>
          <cell r="V1890" t="str">
            <v>SS</v>
          </cell>
          <cell r="W1890" t="str">
            <v>-</v>
          </cell>
          <cell r="X1890" t="str">
            <v>CLP 220 (-15/+40°C)</v>
          </cell>
          <cell r="Y1890" t="str">
            <v>KH157DRN180L4 /TF</v>
          </cell>
          <cell r="Z1890" t="str">
            <v>SEW</v>
          </cell>
          <cell r="AB1890" t="str">
            <v>-</v>
          </cell>
          <cell r="AF1890">
            <v>12</v>
          </cell>
          <cell r="AG1890" t="str">
            <v>DRN180L4</v>
          </cell>
          <cell r="AH1890" t="str">
            <v>KH157-DRN180L4B0-X</v>
          </cell>
        </row>
        <row r="1891">
          <cell r="A1891" t="str">
            <v>MR001887</v>
          </cell>
          <cell r="B1891" t="str">
            <v>MR</v>
          </cell>
          <cell r="C1891">
            <v>15</v>
          </cell>
          <cell r="D1891">
            <v>9.8000000000000007</v>
          </cell>
          <cell r="E1891" t="str">
            <v>KH157</v>
          </cell>
          <cell r="F1891">
            <v>14600</v>
          </cell>
          <cell r="G1891">
            <v>150.41</v>
          </cell>
          <cell r="H1891">
            <v>1.35</v>
          </cell>
          <cell r="I1891" t="str">
            <v>From M1A to M2A - 35°</v>
          </cell>
          <cell r="J1891" t="str">
            <v>IE3</v>
          </cell>
          <cell r="K1891" t="str">
            <v>400/690</v>
          </cell>
          <cell r="L1891">
            <v>50</v>
          </cell>
          <cell r="M1891" t="str">
            <v>29/16,7</v>
          </cell>
          <cell r="N1891">
            <v>54</v>
          </cell>
          <cell r="O1891" t="str">
            <v>F(105°C)</v>
          </cell>
          <cell r="P1891" t="str">
            <v>270°</v>
          </cell>
          <cell r="Q1891" t="str">
            <v>TF</v>
          </cell>
          <cell r="R1891" t="str">
            <v>-</v>
          </cell>
          <cell r="S1891" t="str">
            <v>-</v>
          </cell>
          <cell r="T1891" t="str">
            <v>-</v>
          </cell>
          <cell r="U1891" t="str">
            <v>-</v>
          </cell>
          <cell r="V1891" t="str">
            <v>SS</v>
          </cell>
          <cell r="W1891" t="str">
            <v>-</v>
          </cell>
          <cell r="X1891" t="str">
            <v>CLP 220 (-15/+40°C)</v>
          </cell>
          <cell r="Y1891" t="str">
            <v>KH157DRN160L4 /TF</v>
          </cell>
          <cell r="Z1891" t="str">
            <v>SEW</v>
          </cell>
          <cell r="AB1891" t="str">
            <v>-</v>
          </cell>
          <cell r="AF1891">
            <v>9.8000000000000007</v>
          </cell>
          <cell r="AG1891" t="str">
            <v>DRN160L4</v>
          </cell>
          <cell r="AH1891" t="str">
            <v>KH157-DRN160L4A270-X</v>
          </cell>
        </row>
        <row r="1892">
          <cell r="A1892" t="str">
            <v>MR001888</v>
          </cell>
          <cell r="B1892" t="str">
            <v>MR</v>
          </cell>
          <cell r="C1892">
            <v>15</v>
          </cell>
          <cell r="D1892">
            <v>9.8000000000000007</v>
          </cell>
          <cell r="E1892" t="str">
            <v>KH157</v>
          </cell>
          <cell r="F1892">
            <v>14600</v>
          </cell>
          <cell r="G1892">
            <v>150.41</v>
          </cell>
          <cell r="H1892">
            <v>1.35</v>
          </cell>
          <cell r="I1892" t="str">
            <v>From M1B to M2B - 35°</v>
          </cell>
          <cell r="J1892" t="str">
            <v>IE3</v>
          </cell>
          <cell r="K1892" t="str">
            <v>400/690</v>
          </cell>
          <cell r="L1892">
            <v>50</v>
          </cell>
          <cell r="M1892" t="str">
            <v>29/16,7</v>
          </cell>
          <cell r="N1892">
            <v>54</v>
          </cell>
          <cell r="O1892" t="str">
            <v>F(105°C)</v>
          </cell>
          <cell r="P1892" t="str">
            <v>270°</v>
          </cell>
          <cell r="Q1892" t="str">
            <v>TF</v>
          </cell>
          <cell r="R1892" t="str">
            <v>-</v>
          </cell>
          <cell r="S1892" t="str">
            <v>-</v>
          </cell>
          <cell r="T1892" t="str">
            <v>-</v>
          </cell>
          <cell r="U1892" t="str">
            <v>-</v>
          </cell>
          <cell r="V1892" t="str">
            <v>SS</v>
          </cell>
          <cell r="W1892" t="str">
            <v>-</v>
          </cell>
          <cell r="X1892" t="str">
            <v>CLP 220 (-15/+40°C)</v>
          </cell>
          <cell r="Y1892" t="str">
            <v>KH157DRN160L4 /TF</v>
          </cell>
          <cell r="Z1892" t="str">
            <v>SEW</v>
          </cell>
          <cell r="AB1892" t="str">
            <v>-</v>
          </cell>
          <cell r="AF1892">
            <v>9.8000000000000007</v>
          </cell>
          <cell r="AG1892" t="str">
            <v>DRN160L4</v>
          </cell>
          <cell r="AH1892" t="str">
            <v>KH157-DRN160L4B270-X</v>
          </cell>
        </row>
        <row r="1893">
          <cell r="A1893" t="str">
            <v>MR001889</v>
          </cell>
          <cell r="B1893" t="str">
            <v>MR</v>
          </cell>
          <cell r="C1893">
            <v>11</v>
          </cell>
          <cell r="D1893">
            <v>15</v>
          </cell>
          <cell r="E1893" t="str">
            <v>KH107</v>
          </cell>
          <cell r="F1893">
            <v>7180</v>
          </cell>
          <cell r="G1893">
            <v>100.75</v>
          </cell>
          <cell r="H1893">
            <v>1.1000000000000001</v>
          </cell>
          <cell r="I1893" t="str">
            <v>From M1A to M2A - 45°</v>
          </cell>
          <cell r="J1893" t="str">
            <v>IE3</v>
          </cell>
          <cell r="K1893" t="str">
            <v>400/690</v>
          </cell>
          <cell r="L1893">
            <v>50</v>
          </cell>
          <cell r="M1893" t="str">
            <v>21/12,2</v>
          </cell>
          <cell r="N1893">
            <v>54</v>
          </cell>
          <cell r="O1893" t="str">
            <v>F(105°C)</v>
          </cell>
          <cell r="P1893" t="str">
            <v>270°</v>
          </cell>
          <cell r="Q1893" t="str">
            <v>TF</v>
          </cell>
          <cell r="R1893" t="str">
            <v>-</v>
          </cell>
          <cell r="S1893" t="str">
            <v>-</v>
          </cell>
          <cell r="T1893" t="str">
            <v>-</v>
          </cell>
          <cell r="U1893" t="str">
            <v>-</v>
          </cell>
          <cell r="V1893" t="str">
            <v>SS</v>
          </cell>
          <cell r="W1893" t="str">
            <v>-</v>
          </cell>
          <cell r="X1893" t="str">
            <v>CLP 220 (-15/+40°C)</v>
          </cell>
          <cell r="Y1893" t="str">
            <v>KH107DRN160M4 /TF</v>
          </cell>
          <cell r="Z1893" t="str">
            <v>SEW</v>
          </cell>
          <cell r="AB1893" t="str">
            <v>-</v>
          </cell>
          <cell r="AF1893">
            <v>15</v>
          </cell>
          <cell r="AG1893" t="str">
            <v>DRN160M4</v>
          </cell>
          <cell r="AH1893" t="str">
            <v>KH107-DRN160M4A270-X</v>
          </cell>
        </row>
        <row r="1894">
          <cell r="A1894" t="str">
            <v>MR001890</v>
          </cell>
          <cell r="B1894" t="str">
            <v>MR</v>
          </cell>
          <cell r="C1894">
            <v>1.5</v>
          </cell>
          <cell r="D1894">
            <v>22</v>
          </cell>
          <cell r="E1894" t="str">
            <v>FA67</v>
          </cell>
          <cell r="F1894">
            <v>660</v>
          </cell>
          <cell r="G1894">
            <v>67.650000000000006</v>
          </cell>
          <cell r="H1894">
            <v>1.25</v>
          </cell>
          <cell r="I1894" t="str">
            <v>From M6 to M1 - 35°</v>
          </cell>
          <cell r="J1894" t="str">
            <v>IE3</v>
          </cell>
          <cell r="K1894" t="str">
            <v>400/690</v>
          </cell>
          <cell r="L1894">
            <v>50</v>
          </cell>
          <cell r="M1894" t="str">
            <v>5,9/3,4</v>
          </cell>
          <cell r="N1894">
            <v>54</v>
          </cell>
          <cell r="O1894" t="str">
            <v>F(105°C)</v>
          </cell>
          <cell r="P1894" t="str">
            <v>270°</v>
          </cell>
          <cell r="Q1894" t="str">
            <v>TF</v>
          </cell>
          <cell r="R1894" t="str">
            <v>-</v>
          </cell>
          <cell r="S1894" t="str">
            <v>-</v>
          </cell>
          <cell r="T1894" t="str">
            <v>BEHF</v>
          </cell>
          <cell r="U1894" t="str">
            <v>G</v>
          </cell>
          <cell r="V1894" t="str">
            <v>D+R</v>
          </cell>
          <cell r="X1894" t="str">
            <v>CLP 220 (-15/+40°C)</v>
          </cell>
          <cell r="Y1894" t="str">
            <v>FA67/G DRN90L4 /BEHF /TF</v>
          </cell>
          <cell r="Z1894" t="str">
            <v>SEW</v>
          </cell>
          <cell r="AB1894" t="str">
            <v>-</v>
          </cell>
          <cell r="AF1894">
            <v>22</v>
          </cell>
          <cell r="AG1894" t="str">
            <v>DRN90L4</v>
          </cell>
          <cell r="AH1894" t="str">
            <v>FA67G-DRN90L4270-X</v>
          </cell>
        </row>
        <row r="1895">
          <cell r="A1895" t="str">
            <v>MR001891</v>
          </cell>
          <cell r="B1895" t="str">
            <v>MR</v>
          </cell>
          <cell r="C1895">
            <v>22</v>
          </cell>
          <cell r="D1895">
            <v>12</v>
          </cell>
          <cell r="E1895" t="str">
            <v>KH157</v>
          </cell>
          <cell r="F1895">
            <v>17400</v>
          </cell>
          <cell r="G1895">
            <v>122.39</v>
          </cell>
          <cell r="H1895">
            <v>1.1499999999999999</v>
          </cell>
          <cell r="I1895" t="str">
            <v>From M1A to M2A - 30°</v>
          </cell>
          <cell r="J1895" t="str">
            <v>IE3</v>
          </cell>
          <cell r="K1895" t="str">
            <v>400/690</v>
          </cell>
          <cell r="L1895">
            <v>50</v>
          </cell>
          <cell r="M1895" t="str">
            <v>38,5/22,5</v>
          </cell>
          <cell r="N1895">
            <v>54</v>
          </cell>
          <cell r="O1895" t="str">
            <v>F(105°C)</v>
          </cell>
          <cell r="P1895" t="str">
            <v>270°</v>
          </cell>
          <cell r="Q1895" t="str">
            <v>TF</v>
          </cell>
          <cell r="R1895" t="str">
            <v>V(VE)</v>
          </cell>
          <cell r="S1895" t="str">
            <v>-</v>
          </cell>
          <cell r="T1895" t="str">
            <v>-</v>
          </cell>
          <cell r="U1895" t="str">
            <v>-</v>
          </cell>
          <cell r="V1895" t="str">
            <v>FC</v>
          </cell>
          <cell r="W1895" t="str">
            <v>-</v>
          </cell>
          <cell r="X1895" t="str">
            <v>CLP 220 (-15/+40°C)</v>
          </cell>
          <cell r="Y1895" t="str">
            <v>KH157DRN180L4 /TF/V</v>
          </cell>
          <cell r="Z1895" t="str">
            <v>SEW</v>
          </cell>
          <cell r="AB1895" t="str">
            <v>-</v>
          </cell>
          <cell r="AE1895" t="str">
            <v>Work frequency 37,5Hz for 0,4m/sec</v>
          </cell>
          <cell r="AF1895">
            <v>12</v>
          </cell>
          <cell r="AG1895" t="str">
            <v>DRN180L4</v>
          </cell>
          <cell r="AH1895" t="str">
            <v>KH157-DRN180L4A270-X#</v>
          </cell>
        </row>
        <row r="1896">
          <cell r="A1896" t="str">
            <v>MR001892</v>
          </cell>
          <cell r="B1896" t="str">
            <v>MR</v>
          </cell>
          <cell r="C1896">
            <v>22</v>
          </cell>
          <cell r="D1896">
            <v>12</v>
          </cell>
          <cell r="E1896" t="str">
            <v>KH157</v>
          </cell>
          <cell r="F1896">
            <v>17400</v>
          </cell>
          <cell r="G1896">
            <v>122.39</v>
          </cell>
          <cell r="H1896">
            <v>1.1499999999999999</v>
          </cell>
          <cell r="I1896" t="str">
            <v>From M1B to M2B - 30°</v>
          </cell>
          <cell r="J1896" t="str">
            <v>IE3</v>
          </cell>
          <cell r="K1896" t="str">
            <v>400/690</v>
          </cell>
          <cell r="L1896">
            <v>50</v>
          </cell>
          <cell r="M1896" t="str">
            <v>38,5/22,5</v>
          </cell>
          <cell r="N1896">
            <v>54</v>
          </cell>
          <cell r="O1896" t="str">
            <v>F(105°C)</v>
          </cell>
          <cell r="P1896" t="str">
            <v>270°</v>
          </cell>
          <cell r="Q1896" t="str">
            <v>TF</v>
          </cell>
          <cell r="R1896" t="str">
            <v>V(VE)</v>
          </cell>
          <cell r="S1896" t="str">
            <v>-</v>
          </cell>
          <cell r="T1896" t="str">
            <v>-</v>
          </cell>
          <cell r="U1896" t="str">
            <v>-</v>
          </cell>
          <cell r="V1896" t="str">
            <v>FC</v>
          </cell>
          <cell r="W1896" t="str">
            <v>-</v>
          </cell>
          <cell r="X1896" t="str">
            <v>CLP 220 (-15/+40°C)</v>
          </cell>
          <cell r="Y1896" t="str">
            <v>KH157DRN180L4 /TF/V</v>
          </cell>
          <cell r="Z1896" t="str">
            <v>SEW</v>
          </cell>
          <cell r="AB1896" t="str">
            <v>-</v>
          </cell>
          <cell r="AE1896" t="str">
            <v>Work frequency 37,5Hz for 0,4m/sec</v>
          </cell>
          <cell r="AF1896">
            <v>12</v>
          </cell>
          <cell r="AG1896" t="str">
            <v>DRN180L4</v>
          </cell>
          <cell r="AH1896" t="str">
            <v>KH157-DRN180L4B270-X#</v>
          </cell>
        </row>
        <row r="1897">
          <cell r="A1897" t="str">
            <v>MR001893</v>
          </cell>
          <cell r="B1897" t="str">
            <v>MR</v>
          </cell>
          <cell r="C1897">
            <v>7.5</v>
          </cell>
          <cell r="D1897">
            <v>10</v>
          </cell>
          <cell r="E1897" t="str">
            <v>KH107</v>
          </cell>
          <cell r="F1897">
            <v>6990</v>
          </cell>
          <cell r="G1897">
            <v>143.47</v>
          </cell>
          <cell r="H1897">
            <v>1.1499999999999999</v>
          </cell>
          <cell r="I1897" t="str">
            <v>From M4B to M3B - 10°</v>
          </cell>
          <cell r="J1897" t="str">
            <v>IE3</v>
          </cell>
          <cell r="K1897" t="str">
            <v>400/690</v>
          </cell>
          <cell r="L1897">
            <v>50</v>
          </cell>
          <cell r="M1897" t="str">
            <v>15,2/8,8</v>
          </cell>
          <cell r="N1897">
            <v>54</v>
          </cell>
          <cell r="O1897" t="str">
            <v>F(105°C)</v>
          </cell>
          <cell r="P1897" t="str">
            <v>270°</v>
          </cell>
          <cell r="Q1897" t="str">
            <v>TF</v>
          </cell>
          <cell r="R1897" t="str">
            <v>V(VE)</v>
          </cell>
          <cell r="S1897" t="str">
            <v>-</v>
          </cell>
          <cell r="T1897" t="str">
            <v>-</v>
          </cell>
          <cell r="U1897" t="str">
            <v>-</v>
          </cell>
          <cell r="V1897" t="str">
            <v>FC</v>
          </cell>
          <cell r="W1897" t="str">
            <v>-</v>
          </cell>
          <cell r="X1897" t="str">
            <v>CLP 220 (-15/+40°C)</v>
          </cell>
          <cell r="Y1897" t="str">
            <v>KH107DRN132M4 /TF/V</v>
          </cell>
          <cell r="Z1897" t="str">
            <v>SEW</v>
          </cell>
          <cell r="AB1897" t="str">
            <v>-</v>
          </cell>
          <cell r="AE1897" t="str">
            <v>Work frequency 50Hz for 0,2m/sec</v>
          </cell>
          <cell r="AF1897">
            <v>10</v>
          </cell>
          <cell r="AG1897" t="str">
            <v>DRN132M4</v>
          </cell>
          <cell r="AH1897" t="str">
            <v>KH107-DRN132M4B270-X#</v>
          </cell>
        </row>
        <row r="1898">
          <cell r="A1898" t="str">
            <v>MR001894</v>
          </cell>
          <cell r="B1898" t="str">
            <v>MR</v>
          </cell>
          <cell r="C1898">
            <v>7.5</v>
          </cell>
          <cell r="D1898">
            <v>10</v>
          </cell>
          <cell r="E1898" t="str">
            <v>KH107</v>
          </cell>
          <cell r="F1898">
            <v>6990</v>
          </cell>
          <cell r="G1898">
            <v>143.47</v>
          </cell>
          <cell r="H1898">
            <v>1.1499999999999999</v>
          </cell>
          <cell r="I1898" t="str">
            <v>From M4B to M3B - 20°</v>
          </cell>
          <cell r="J1898" t="str">
            <v>IE3</v>
          </cell>
          <cell r="K1898" t="str">
            <v>400/690</v>
          </cell>
          <cell r="L1898">
            <v>50</v>
          </cell>
          <cell r="M1898" t="str">
            <v>15,2/8,8</v>
          </cell>
          <cell r="N1898">
            <v>54</v>
          </cell>
          <cell r="O1898" t="str">
            <v>F(105°C)</v>
          </cell>
          <cell r="P1898" t="str">
            <v>270°</v>
          </cell>
          <cell r="Q1898" t="str">
            <v>TF</v>
          </cell>
          <cell r="R1898" t="str">
            <v>V(VE)</v>
          </cell>
          <cell r="S1898" t="str">
            <v>-</v>
          </cell>
          <cell r="T1898" t="str">
            <v>-</v>
          </cell>
          <cell r="U1898" t="str">
            <v>-</v>
          </cell>
          <cell r="V1898" t="str">
            <v>FC</v>
          </cell>
          <cell r="W1898" t="str">
            <v>-</v>
          </cell>
          <cell r="X1898" t="str">
            <v>CLP 220 (-15/+40°C)</v>
          </cell>
          <cell r="Y1898" t="str">
            <v>KH107DRN132M4 /TF/V</v>
          </cell>
          <cell r="Z1898" t="str">
            <v>SEW</v>
          </cell>
          <cell r="AB1898" t="str">
            <v>-</v>
          </cell>
          <cell r="AE1898" t="str">
            <v>Work frequency 50Hz for 0,2m/sec</v>
          </cell>
          <cell r="AF1898">
            <v>10</v>
          </cell>
          <cell r="AG1898" t="str">
            <v>DRN132M4</v>
          </cell>
          <cell r="AH1898" t="str">
            <v>KH107-DRN132M4B270-X#</v>
          </cell>
        </row>
        <row r="1899">
          <cell r="A1899" t="str">
            <v>MR001895</v>
          </cell>
          <cell r="B1899" t="str">
            <v>MR</v>
          </cell>
          <cell r="C1899">
            <v>18.5</v>
          </cell>
          <cell r="D1899">
            <v>10</v>
          </cell>
          <cell r="E1899" t="str">
            <v>FH157</v>
          </cell>
          <cell r="F1899">
            <v>16900</v>
          </cell>
          <cell r="G1899">
            <v>141.80000000000001</v>
          </cell>
          <cell r="H1899">
            <v>1.2</v>
          </cell>
          <cell r="I1899" t="str">
            <v>From M1 to M4 - 10°</v>
          </cell>
          <cell r="J1899" t="str">
            <v>IE3</v>
          </cell>
          <cell r="K1899" t="str">
            <v>400/690</v>
          </cell>
          <cell r="L1899">
            <v>50</v>
          </cell>
          <cell r="M1899" t="str">
            <v>33,5/19,3</v>
          </cell>
          <cell r="N1899">
            <v>65</v>
          </cell>
          <cell r="O1899" t="str">
            <v>155(F)</v>
          </cell>
          <cell r="P1899" t="str">
            <v>270°</v>
          </cell>
          <cell r="Q1899" t="str">
            <v>TF</v>
          </cell>
          <cell r="R1899" t="str">
            <v>V(VE)</v>
          </cell>
          <cell r="S1899" t="str">
            <v>-</v>
          </cell>
          <cell r="T1899" t="str">
            <v>-</v>
          </cell>
          <cell r="U1899" t="str">
            <v>G</v>
          </cell>
          <cell r="V1899" t="str">
            <v>FC</v>
          </cell>
          <cell r="W1899" t="str">
            <v>-</v>
          </cell>
          <cell r="X1899" t="str">
            <v>CLP 220 (-15/+40°C)</v>
          </cell>
          <cell r="Y1899" t="str">
            <v>FH157/G DRN180M4 /TF/V</v>
          </cell>
          <cell r="Z1899" t="str">
            <v>SEW</v>
          </cell>
          <cell r="AB1899" t="str">
            <v>-</v>
          </cell>
          <cell r="AF1899">
            <v>10</v>
          </cell>
          <cell r="AG1899" t="str">
            <v>DRN180M4</v>
          </cell>
          <cell r="AH1899" t="str">
            <v>FH157G-DRN180M4270-X#</v>
          </cell>
        </row>
        <row r="1900">
          <cell r="A1900" t="str">
            <v>MR001896</v>
          </cell>
          <cell r="B1900" t="str">
            <v>MR</v>
          </cell>
          <cell r="C1900">
            <v>18.5</v>
          </cell>
          <cell r="D1900">
            <v>12</v>
          </cell>
          <cell r="E1900" t="str">
            <v>KH157</v>
          </cell>
          <cell r="F1900">
            <v>14600</v>
          </cell>
          <cell r="G1900">
            <v>122.39</v>
          </cell>
          <cell r="H1900">
            <v>1.35</v>
          </cell>
          <cell r="I1900" t="str">
            <v>From M1B to M2B - 5°</v>
          </cell>
          <cell r="J1900" t="str">
            <v>IE3</v>
          </cell>
          <cell r="K1900" t="str">
            <v>400/690</v>
          </cell>
          <cell r="L1900">
            <v>50</v>
          </cell>
          <cell r="M1900" t="str">
            <v>33,5/19,3</v>
          </cell>
          <cell r="N1900">
            <v>65</v>
          </cell>
          <cell r="O1900" t="str">
            <v>155(F)</v>
          </cell>
          <cell r="P1900" t="str">
            <v>0°</v>
          </cell>
          <cell r="Q1900" t="str">
            <v>TF</v>
          </cell>
          <cell r="R1900" t="str">
            <v>V(VE)</v>
          </cell>
          <cell r="S1900" t="str">
            <v>-</v>
          </cell>
          <cell r="T1900" t="str">
            <v>-</v>
          </cell>
          <cell r="U1900" t="str">
            <v>-</v>
          </cell>
          <cell r="V1900" t="str">
            <v>FC</v>
          </cell>
          <cell r="W1900" t="str">
            <v>-</v>
          </cell>
          <cell r="X1900" t="str">
            <v>CLP 220 (-15/+40°C)</v>
          </cell>
          <cell r="Y1900" t="str">
            <v>KH157DRN180M4 /TF/V</v>
          </cell>
          <cell r="Z1900" t="str">
            <v>SEW</v>
          </cell>
          <cell r="AB1900" t="str">
            <v>-</v>
          </cell>
          <cell r="AF1900">
            <v>12</v>
          </cell>
          <cell r="AG1900" t="str">
            <v>DRN180M4</v>
          </cell>
          <cell r="AH1900" t="str">
            <v>KH157-DRN180M4B0-X#</v>
          </cell>
        </row>
        <row r="1901">
          <cell r="A1901" t="str">
            <v>MR001897</v>
          </cell>
          <cell r="B1901" t="str">
            <v>MR</v>
          </cell>
          <cell r="C1901">
            <v>18.5</v>
          </cell>
          <cell r="D1901">
            <v>12</v>
          </cell>
          <cell r="E1901" t="str">
            <v>KH157</v>
          </cell>
          <cell r="F1901">
            <v>14600</v>
          </cell>
          <cell r="G1901">
            <v>122.39</v>
          </cell>
          <cell r="H1901">
            <v>1.35</v>
          </cell>
          <cell r="I1901" t="str">
            <v>From M1A to M2A - 5°</v>
          </cell>
          <cell r="J1901" t="str">
            <v>IE3</v>
          </cell>
          <cell r="K1901" t="str">
            <v>400/690</v>
          </cell>
          <cell r="L1901">
            <v>50</v>
          </cell>
          <cell r="M1901" t="str">
            <v>33,5/19,3</v>
          </cell>
          <cell r="N1901">
            <v>65</v>
          </cell>
          <cell r="O1901" t="str">
            <v>155(F)</v>
          </cell>
          <cell r="P1901" t="str">
            <v>180°</v>
          </cell>
          <cell r="Q1901" t="str">
            <v>TF</v>
          </cell>
          <cell r="R1901" t="str">
            <v>V(VE)</v>
          </cell>
          <cell r="S1901" t="str">
            <v>-</v>
          </cell>
          <cell r="T1901" t="str">
            <v>-</v>
          </cell>
          <cell r="U1901" t="str">
            <v>-</v>
          </cell>
          <cell r="V1901" t="str">
            <v>FC</v>
          </cell>
          <cell r="W1901" t="str">
            <v>-</v>
          </cell>
          <cell r="X1901" t="str">
            <v>CLP 220 (-15/+40°C)</v>
          </cell>
          <cell r="Y1901" t="str">
            <v>KH157DRN180M4 /TF/V</v>
          </cell>
          <cell r="Z1901" t="str">
            <v>SEW</v>
          </cell>
          <cell r="AB1901" t="str">
            <v>-</v>
          </cell>
          <cell r="AF1901">
            <v>12</v>
          </cell>
          <cell r="AG1901" t="str">
            <v>DRN180M4</v>
          </cell>
          <cell r="AH1901" t="str">
            <v>KH157-DRN180M4A180-X#</v>
          </cell>
        </row>
        <row r="1902">
          <cell r="A1902" t="str">
            <v>MR001898</v>
          </cell>
          <cell r="B1902" t="str">
            <v>MR</v>
          </cell>
          <cell r="C1902">
            <v>5.5</v>
          </cell>
          <cell r="D1902">
            <v>14</v>
          </cell>
          <cell r="E1902" t="str">
            <v>KH97</v>
          </cell>
          <cell r="F1902">
            <v>3770</v>
          </cell>
          <cell r="G1902">
            <v>105.13</v>
          </cell>
          <cell r="H1902">
            <v>1.1499999999999999</v>
          </cell>
          <cell r="I1902" t="str">
            <v>From M1B to M2B - 30°</v>
          </cell>
          <cell r="J1902" t="str">
            <v>IE3</v>
          </cell>
          <cell r="K1902" t="str">
            <v>230/400</v>
          </cell>
          <cell r="L1902">
            <v>50</v>
          </cell>
          <cell r="M1902" t="str">
            <v>18,2/10,5</v>
          </cell>
          <cell r="N1902">
            <v>65</v>
          </cell>
          <cell r="O1902" t="str">
            <v>155(F)</v>
          </cell>
          <cell r="P1902" t="str">
            <v>0°</v>
          </cell>
          <cell r="Q1902" t="str">
            <v>-</v>
          </cell>
          <cell r="R1902" t="str">
            <v>-</v>
          </cell>
          <cell r="S1902" t="str">
            <v>-</v>
          </cell>
          <cell r="T1902" t="str">
            <v>-</v>
          </cell>
          <cell r="U1902" t="str">
            <v>-</v>
          </cell>
          <cell r="V1902" t="str">
            <v>SS</v>
          </cell>
          <cell r="W1902" t="str">
            <v>-</v>
          </cell>
          <cell r="X1902" t="str">
            <v>CLP 220 (-15/+40°C)</v>
          </cell>
          <cell r="Y1902" t="str">
            <v>KH97DRN132S4</v>
          </cell>
          <cell r="Z1902" t="str">
            <v>SEW</v>
          </cell>
          <cell r="AB1902" t="str">
            <v>-</v>
          </cell>
          <cell r="AF1902">
            <v>14</v>
          </cell>
          <cell r="AG1902" t="str">
            <v>DRN132S4</v>
          </cell>
          <cell r="AH1902" t="str">
            <v>KH97-DRN132S4B0-X</v>
          </cell>
        </row>
        <row r="1903">
          <cell r="A1903" t="str">
            <v>MR001899</v>
          </cell>
          <cell r="B1903" t="str">
            <v>MR</v>
          </cell>
          <cell r="C1903">
            <v>5.5</v>
          </cell>
          <cell r="D1903">
            <v>14</v>
          </cell>
          <cell r="E1903" t="str">
            <v>KH97</v>
          </cell>
          <cell r="F1903">
            <v>3770</v>
          </cell>
          <cell r="G1903">
            <v>105.13</v>
          </cell>
          <cell r="H1903">
            <v>1.1499999999999999</v>
          </cell>
          <cell r="I1903" t="str">
            <v>From M1A to M2A - 30°</v>
          </cell>
          <cell r="J1903" t="str">
            <v>IE3</v>
          </cell>
          <cell r="K1903" t="str">
            <v>230/400</v>
          </cell>
          <cell r="L1903">
            <v>50</v>
          </cell>
          <cell r="M1903" t="str">
            <v>18,2/10,5</v>
          </cell>
          <cell r="N1903">
            <v>65</v>
          </cell>
          <cell r="O1903" t="str">
            <v>155(F)</v>
          </cell>
          <cell r="P1903" t="str">
            <v>180°</v>
          </cell>
          <cell r="Q1903" t="str">
            <v>-</v>
          </cell>
          <cell r="R1903" t="str">
            <v>-</v>
          </cell>
          <cell r="S1903" t="str">
            <v>-</v>
          </cell>
          <cell r="T1903" t="str">
            <v>-</v>
          </cell>
          <cell r="U1903" t="str">
            <v>-</v>
          </cell>
          <cell r="V1903" t="str">
            <v>SS</v>
          </cell>
          <cell r="W1903" t="str">
            <v>-</v>
          </cell>
          <cell r="X1903" t="str">
            <v>CLP 220 (-15/+40°C)</v>
          </cell>
          <cell r="Y1903" t="str">
            <v>KH97DRN132S4</v>
          </cell>
          <cell r="Z1903" t="str">
            <v>SEW</v>
          </cell>
          <cell r="AB1903" t="str">
            <v>-</v>
          </cell>
          <cell r="AF1903">
            <v>14</v>
          </cell>
          <cell r="AG1903" t="str">
            <v>DRN132S4</v>
          </cell>
          <cell r="AH1903" t="str">
            <v>KH97-DRN132S4A180-X</v>
          </cell>
        </row>
        <row r="1904">
          <cell r="A1904" t="str">
            <v>MR001900</v>
          </cell>
          <cell r="B1904" t="str">
            <v>MR</v>
          </cell>
          <cell r="C1904">
            <v>5.5</v>
          </cell>
          <cell r="D1904">
            <v>68</v>
          </cell>
          <cell r="E1904" t="str">
            <v>FH77</v>
          </cell>
          <cell r="F1904">
            <v>770</v>
          </cell>
          <cell r="G1904">
            <v>21.43</v>
          </cell>
          <cell r="H1904">
            <v>1.95</v>
          </cell>
          <cell r="I1904" t="str">
            <v>M1</v>
          </cell>
          <cell r="J1904" t="str">
            <v>IE3</v>
          </cell>
          <cell r="K1904" t="str">
            <v>230/400</v>
          </cell>
          <cell r="L1904">
            <v>50</v>
          </cell>
          <cell r="M1904" t="str">
            <v>18,2/10,5</v>
          </cell>
          <cell r="N1904">
            <v>65</v>
          </cell>
          <cell r="O1904" t="str">
            <v>155(F)</v>
          </cell>
          <cell r="P1904" t="str">
            <v>270°</v>
          </cell>
          <cell r="Q1904" t="str">
            <v>-</v>
          </cell>
          <cell r="R1904" t="str">
            <v>-</v>
          </cell>
          <cell r="S1904" t="str">
            <v>-</v>
          </cell>
          <cell r="T1904" t="str">
            <v>-</v>
          </cell>
          <cell r="U1904" t="str">
            <v>G</v>
          </cell>
          <cell r="V1904" t="str">
            <v>D</v>
          </cell>
          <cell r="W1904" t="str">
            <v>-</v>
          </cell>
          <cell r="X1904" t="str">
            <v>CLP 220 (-15/+40°C)</v>
          </cell>
          <cell r="Y1904" t="str">
            <v>FH77/G DRN132S4</v>
          </cell>
          <cell r="Z1904" t="str">
            <v>SEW</v>
          </cell>
          <cell r="AB1904" t="str">
            <v>-</v>
          </cell>
          <cell r="AF1904">
            <v>68</v>
          </cell>
          <cell r="AG1904" t="str">
            <v>DRN132S4</v>
          </cell>
          <cell r="AH1904" t="str">
            <v>FH77G-DRN132S4270-X</v>
          </cell>
        </row>
        <row r="1905">
          <cell r="A1905" t="str">
            <v>MR001901</v>
          </cell>
          <cell r="B1905" t="str">
            <v>MR</v>
          </cell>
          <cell r="C1905">
            <v>9.1999999999999993</v>
          </cell>
          <cell r="D1905">
            <v>13</v>
          </cell>
          <cell r="E1905" t="str">
            <v>KH107</v>
          </cell>
          <cell r="F1905">
            <v>6710</v>
          </cell>
          <cell r="G1905">
            <v>112.41</v>
          </cell>
          <cell r="H1905">
            <v>1.2</v>
          </cell>
          <cell r="I1905" t="str">
            <v>From M1B to M2B - 10°</v>
          </cell>
          <cell r="J1905" t="str">
            <v>IE3</v>
          </cell>
          <cell r="K1905" t="str">
            <v>400/690</v>
          </cell>
          <cell r="L1905">
            <v>50</v>
          </cell>
          <cell r="M1905" t="str">
            <v>18,7/10,8</v>
          </cell>
          <cell r="N1905">
            <v>65</v>
          </cell>
          <cell r="O1905" t="str">
            <v>155(F)</v>
          </cell>
          <cell r="P1905" t="str">
            <v>0°</v>
          </cell>
          <cell r="Q1905" t="str">
            <v>-</v>
          </cell>
          <cell r="R1905" t="str">
            <v>-</v>
          </cell>
          <cell r="S1905" t="str">
            <v>-</v>
          </cell>
          <cell r="T1905" t="str">
            <v>-</v>
          </cell>
          <cell r="U1905" t="str">
            <v>-</v>
          </cell>
          <cell r="V1905" t="str">
            <v>SS</v>
          </cell>
          <cell r="W1905" t="str">
            <v>-</v>
          </cell>
          <cell r="X1905" t="str">
            <v>CLP 220 (-15/+40°C)</v>
          </cell>
          <cell r="Y1905" t="str">
            <v>KH107DRN132L4</v>
          </cell>
          <cell r="Z1905" t="str">
            <v>SEW</v>
          </cell>
          <cell r="AB1905" t="str">
            <v>-</v>
          </cell>
          <cell r="AF1905">
            <v>13</v>
          </cell>
          <cell r="AG1905" t="str">
            <v>DRN132L4</v>
          </cell>
          <cell r="AH1905" t="str">
            <v>KH107-DRN132L4B0-X</v>
          </cell>
        </row>
        <row r="1906">
          <cell r="A1906" t="str">
            <v>MR001902</v>
          </cell>
          <cell r="B1906" t="str">
            <v>MR</v>
          </cell>
          <cell r="C1906">
            <v>9.1999999999999993</v>
          </cell>
          <cell r="D1906">
            <v>13</v>
          </cell>
          <cell r="E1906" t="str">
            <v>KH107</v>
          </cell>
          <cell r="F1906">
            <v>6710</v>
          </cell>
          <cell r="G1906">
            <v>112.41</v>
          </cell>
          <cell r="H1906">
            <v>1.2</v>
          </cell>
          <cell r="I1906" t="str">
            <v>From M1A to M2A - 10°</v>
          </cell>
          <cell r="J1906" t="str">
            <v>IE3</v>
          </cell>
          <cell r="K1906" t="str">
            <v>400/690</v>
          </cell>
          <cell r="L1906">
            <v>50</v>
          </cell>
          <cell r="M1906" t="str">
            <v>18,7/10,8</v>
          </cell>
          <cell r="N1906">
            <v>65</v>
          </cell>
          <cell r="O1906" t="str">
            <v>155(F)</v>
          </cell>
          <cell r="P1906" t="str">
            <v>180°</v>
          </cell>
          <cell r="Q1906" t="str">
            <v>-</v>
          </cell>
          <cell r="R1906" t="str">
            <v>-</v>
          </cell>
          <cell r="S1906" t="str">
            <v>-</v>
          </cell>
          <cell r="T1906" t="str">
            <v>-</v>
          </cell>
          <cell r="U1906" t="str">
            <v>-</v>
          </cell>
          <cell r="V1906" t="str">
            <v>SS</v>
          </cell>
          <cell r="W1906" t="str">
            <v>-</v>
          </cell>
          <cell r="X1906" t="str">
            <v>CLP 220 (-15/+40°C)</v>
          </cell>
          <cell r="Y1906" t="str">
            <v>KH107DRN132L4</v>
          </cell>
          <cell r="Z1906" t="str">
            <v>SEW</v>
          </cell>
          <cell r="AB1906" t="str">
            <v>-</v>
          </cell>
          <cell r="AF1906">
            <v>13</v>
          </cell>
          <cell r="AG1906" t="str">
            <v>DRN132L4</v>
          </cell>
          <cell r="AH1906" t="str">
            <v>KH107-DRN132L4A180-X</v>
          </cell>
        </row>
        <row r="1907">
          <cell r="A1907" t="str">
            <v>MR001903</v>
          </cell>
          <cell r="B1907" t="str">
            <v>MR</v>
          </cell>
          <cell r="C1907">
            <v>3</v>
          </cell>
          <cell r="D1907">
            <v>75</v>
          </cell>
          <cell r="E1907" t="str">
            <v>KH67</v>
          </cell>
          <cell r="F1907">
            <v>375</v>
          </cell>
          <cell r="G1907">
            <v>19.3</v>
          </cell>
          <cell r="H1907">
            <v>2</v>
          </cell>
          <cell r="I1907" t="str">
            <v>M4A</v>
          </cell>
          <cell r="J1907" t="str">
            <v>IE3</v>
          </cell>
          <cell r="K1907" t="str">
            <v>230/400</v>
          </cell>
          <cell r="L1907">
            <v>50</v>
          </cell>
          <cell r="M1907" t="str">
            <v>11,2/6,4</v>
          </cell>
          <cell r="N1907">
            <v>65</v>
          </cell>
          <cell r="O1907" t="str">
            <v>155(F)</v>
          </cell>
          <cell r="P1907" t="str">
            <v>270°</v>
          </cell>
          <cell r="Q1907" t="str">
            <v>-</v>
          </cell>
          <cell r="R1907" t="str">
            <v>-</v>
          </cell>
          <cell r="S1907" t="str">
            <v>-</v>
          </cell>
          <cell r="T1907" t="str">
            <v>-</v>
          </cell>
          <cell r="U1907" t="str">
            <v>T</v>
          </cell>
          <cell r="V1907" t="str">
            <v>D</v>
          </cell>
          <cell r="W1907" t="str">
            <v>-</v>
          </cell>
          <cell r="X1907" t="str">
            <v>CLP 220 (-15/+40°C)</v>
          </cell>
          <cell r="Y1907" t="str">
            <v>KH67/T DRN100L4</v>
          </cell>
          <cell r="Z1907" t="str">
            <v>SEW</v>
          </cell>
          <cell r="AB1907" t="str">
            <v>-</v>
          </cell>
          <cell r="AF1907">
            <v>75</v>
          </cell>
          <cell r="AG1907" t="str">
            <v>DRN100L4</v>
          </cell>
          <cell r="AH1907" t="str">
            <v>KH67T-DRN100L4A270-X</v>
          </cell>
        </row>
        <row r="1908">
          <cell r="A1908" t="str">
            <v>MR001904</v>
          </cell>
          <cell r="B1908" t="str">
            <v>MR</v>
          </cell>
          <cell r="C1908">
            <v>15</v>
          </cell>
          <cell r="D1908">
            <v>16</v>
          </cell>
          <cell r="E1908" t="str">
            <v>KH127</v>
          </cell>
          <cell r="F1908">
            <v>8730</v>
          </cell>
          <cell r="G1908">
            <v>89.89</v>
          </cell>
          <cell r="H1908">
            <v>1.5</v>
          </cell>
          <cell r="I1908" t="str">
            <v>From M1B to M2B - 10°</v>
          </cell>
          <cell r="J1908" t="str">
            <v>IE3</v>
          </cell>
          <cell r="K1908" t="str">
            <v>400/690</v>
          </cell>
          <cell r="L1908">
            <v>50</v>
          </cell>
          <cell r="M1908" t="str">
            <v>29/16,7</v>
          </cell>
          <cell r="N1908">
            <v>65</v>
          </cell>
          <cell r="O1908" t="str">
            <v>155(F)</v>
          </cell>
          <cell r="P1908" t="str">
            <v>0°</v>
          </cell>
          <cell r="Q1908" t="str">
            <v>-</v>
          </cell>
          <cell r="R1908" t="str">
            <v>-</v>
          </cell>
          <cell r="S1908" t="str">
            <v>-</v>
          </cell>
          <cell r="T1908" t="str">
            <v>-</v>
          </cell>
          <cell r="U1908" t="str">
            <v>-</v>
          </cell>
          <cell r="V1908" t="str">
            <v>SS</v>
          </cell>
          <cell r="W1908" t="str">
            <v>-</v>
          </cell>
          <cell r="X1908" t="str">
            <v>CLP 220 (-15/+40°C)</v>
          </cell>
          <cell r="Y1908" t="str">
            <v>KH127DRN160L4</v>
          </cell>
          <cell r="Z1908" t="str">
            <v>SEW</v>
          </cell>
          <cell r="AB1908" t="str">
            <v>-</v>
          </cell>
          <cell r="AF1908">
            <v>16</v>
          </cell>
          <cell r="AG1908" t="str">
            <v>DRN160L4</v>
          </cell>
          <cell r="AH1908" t="str">
            <v>KH127-DRN160L4B0-X</v>
          </cell>
        </row>
        <row r="1909">
          <cell r="A1909" t="str">
            <v>MR001905</v>
          </cell>
          <cell r="B1909" t="str">
            <v>MR</v>
          </cell>
          <cell r="C1909">
            <v>5.5</v>
          </cell>
          <cell r="D1909">
            <v>55</v>
          </cell>
          <cell r="E1909" t="str">
            <v>FH87</v>
          </cell>
          <cell r="F1909">
            <v>950</v>
          </cell>
          <cell r="G1909">
            <v>26.5</v>
          </cell>
          <cell r="H1909">
            <v>3.2</v>
          </cell>
          <cell r="I1909" t="str">
            <v>M1</v>
          </cell>
          <cell r="J1909" t="str">
            <v>IE3</v>
          </cell>
          <cell r="K1909" t="str">
            <v>230/400</v>
          </cell>
          <cell r="L1909">
            <v>50</v>
          </cell>
          <cell r="M1909" t="str">
            <v>18,2/10,5</v>
          </cell>
          <cell r="N1909">
            <v>65</v>
          </cell>
          <cell r="O1909" t="str">
            <v>155(F)</v>
          </cell>
          <cell r="P1909" t="str">
            <v>270°</v>
          </cell>
          <cell r="Q1909" t="str">
            <v>-</v>
          </cell>
          <cell r="R1909" t="str">
            <v>-</v>
          </cell>
          <cell r="S1909" t="str">
            <v>-</v>
          </cell>
          <cell r="T1909" t="str">
            <v>-</v>
          </cell>
          <cell r="U1909" t="str">
            <v>G</v>
          </cell>
          <cell r="V1909" t="str">
            <v>D+R</v>
          </cell>
          <cell r="W1909" t="str">
            <v>-</v>
          </cell>
          <cell r="X1909" t="str">
            <v>CLP 220 (-15/+40°C)</v>
          </cell>
          <cell r="Y1909" t="str">
            <v>FH87/G DRN132S4</v>
          </cell>
          <cell r="Z1909" t="str">
            <v>SEW</v>
          </cell>
          <cell r="AB1909" t="str">
            <v>-</v>
          </cell>
          <cell r="AF1909">
            <v>55</v>
          </cell>
          <cell r="AG1909" t="str">
            <v>DRN132S4</v>
          </cell>
          <cell r="AH1909" t="str">
            <v>FH87G-DRN132S4270-X</v>
          </cell>
        </row>
        <row r="1910">
          <cell r="A1910" t="str">
            <v>MR001906</v>
          </cell>
          <cell r="B1910" t="str">
            <v>MR</v>
          </cell>
          <cell r="C1910">
            <v>5.5</v>
          </cell>
          <cell r="D1910">
            <v>55</v>
          </cell>
          <cell r="E1910" t="str">
            <v>FH87</v>
          </cell>
          <cell r="F1910">
            <v>950</v>
          </cell>
          <cell r="G1910">
            <v>26.5</v>
          </cell>
          <cell r="H1910">
            <v>3.2</v>
          </cell>
          <cell r="I1910" t="str">
            <v>M1</v>
          </cell>
          <cell r="J1910" t="str">
            <v>IE3</v>
          </cell>
          <cell r="K1910" t="str">
            <v>230/400</v>
          </cell>
          <cell r="L1910">
            <v>50</v>
          </cell>
          <cell r="M1910" t="str">
            <v>18,2/10,5</v>
          </cell>
          <cell r="N1910">
            <v>65</v>
          </cell>
          <cell r="O1910" t="str">
            <v>155(F)</v>
          </cell>
          <cell r="P1910" t="str">
            <v>270°</v>
          </cell>
          <cell r="Q1910" t="str">
            <v>-</v>
          </cell>
          <cell r="R1910" t="str">
            <v>-</v>
          </cell>
          <cell r="S1910" t="str">
            <v>-</v>
          </cell>
          <cell r="T1910" t="str">
            <v>-</v>
          </cell>
          <cell r="U1910" t="str">
            <v>G</v>
          </cell>
          <cell r="V1910" t="str">
            <v>D</v>
          </cell>
          <cell r="W1910" t="str">
            <v>-</v>
          </cell>
          <cell r="X1910" t="str">
            <v>CLP 220 (-15/+40°C)</v>
          </cell>
          <cell r="Y1910" t="str">
            <v>FH87/G DRN132S4</v>
          </cell>
          <cell r="Z1910" t="str">
            <v>SEW</v>
          </cell>
          <cell r="AB1910" t="str">
            <v>-</v>
          </cell>
          <cell r="AF1910">
            <v>55</v>
          </cell>
          <cell r="AG1910" t="str">
            <v>DRN132S4</v>
          </cell>
          <cell r="AH1910" t="str">
            <v>FH87G-DRN132S4270-X</v>
          </cell>
        </row>
        <row r="1911">
          <cell r="A1911" t="str">
            <v>MR001907</v>
          </cell>
          <cell r="B1911" t="str">
            <v>MR</v>
          </cell>
          <cell r="C1911">
            <v>4</v>
          </cell>
          <cell r="D1911">
            <v>15</v>
          </cell>
          <cell r="E1911" t="str">
            <v>FH87</v>
          </cell>
          <cell r="F1911">
            <v>2250</v>
          </cell>
          <cell r="G1911">
            <v>97.89</v>
          </cell>
          <cell r="H1911">
            <v>1.1499999999999999</v>
          </cell>
          <cell r="I1911" t="str">
            <v>M1</v>
          </cell>
          <cell r="J1911" t="str">
            <v>IE3</v>
          </cell>
          <cell r="K1911" t="str">
            <v>230/400</v>
          </cell>
          <cell r="L1911">
            <v>50</v>
          </cell>
          <cell r="M1911" t="str">
            <v>13,8/7,9</v>
          </cell>
          <cell r="N1911">
            <v>65</v>
          </cell>
          <cell r="O1911" t="str">
            <v>155(F)</v>
          </cell>
          <cell r="P1911" t="str">
            <v>270°</v>
          </cell>
          <cell r="Q1911" t="str">
            <v>TF</v>
          </cell>
          <cell r="R1911" t="str">
            <v>V(VE)</v>
          </cell>
          <cell r="S1911" t="str">
            <v>-</v>
          </cell>
          <cell r="T1911" t="str">
            <v>-</v>
          </cell>
          <cell r="U1911" t="str">
            <v>G</v>
          </cell>
          <cell r="V1911" t="str">
            <v>FC</v>
          </cell>
          <cell r="W1911" t="str">
            <v>-</v>
          </cell>
          <cell r="X1911" t="str">
            <v>CLP 220 (-15/+40°C)</v>
          </cell>
          <cell r="Y1911" t="str">
            <v>FH87/G DRN112M4 /TF/V</v>
          </cell>
          <cell r="Z1911" t="str">
            <v>SEW</v>
          </cell>
          <cell r="AB1911" t="str">
            <v>-</v>
          </cell>
          <cell r="AF1911">
            <v>15</v>
          </cell>
          <cell r="AG1911" t="str">
            <v>DRN112M4</v>
          </cell>
          <cell r="AH1911" t="str">
            <v>FH87G-DRN112M4270-X#</v>
          </cell>
        </row>
        <row r="1912">
          <cell r="A1912" t="str">
            <v>MR001908</v>
          </cell>
          <cell r="B1912" t="str">
            <v>MR</v>
          </cell>
          <cell r="C1912">
            <v>7.5</v>
          </cell>
          <cell r="D1912">
            <v>51</v>
          </cell>
          <cell r="E1912" t="str">
            <v>FH87</v>
          </cell>
          <cell r="F1912">
            <v>1400</v>
          </cell>
          <cell r="G1912">
            <v>28.78</v>
          </cell>
          <cell r="H1912">
            <v>1.75</v>
          </cell>
          <cell r="I1912" t="str">
            <v>M1</v>
          </cell>
          <cell r="J1912" t="str">
            <v>IE3</v>
          </cell>
          <cell r="K1912" t="str">
            <v>400/690</v>
          </cell>
          <cell r="L1912">
            <v>50</v>
          </cell>
          <cell r="M1912" t="str">
            <v>15,2/8,8</v>
          </cell>
          <cell r="N1912">
            <v>65</v>
          </cell>
          <cell r="O1912" t="str">
            <v>155(F)</v>
          </cell>
          <cell r="P1912" t="str">
            <v>270°</v>
          </cell>
          <cell r="Q1912" t="str">
            <v>-</v>
          </cell>
          <cell r="R1912" t="str">
            <v>-</v>
          </cell>
          <cell r="S1912" t="str">
            <v>-</v>
          </cell>
          <cell r="T1912" t="str">
            <v>-</v>
          </cell>
          <cell r="U1912" t="str">
            <v>G</v>
          </cell>
          <cell r="V1912" t="str">
            <v>D</v>
          </cell>
          <cell r="W1912" t="str">
            <v>-</v>
          </cell>
          <cell r="X1912" t="str">
            <v>CLP 220 (-15/+40°C)</v>
          </cell>
          <cell r="Y1912" t="str">
            <v>FH87/G DRN132M4</v>
          </cell>
          <cell r="Z1912" t="str">
            <v>SEW</v>
          </cell>
          <cell r="AB1912" t="str">
            <v>-</v>
          </cell>
          <cell r="AF1912">
            <v>51</v>
          </cell>
          <cell r="AG1912" t="str">
            <v>DRN132M4</v>
          </cell>
          <cell r="AH1912" t="str">
            <v>FH87G-DRN132M4270-X</v>
          </cell>
        </row>
        <row r="1913">
          <cell r="A1913" t="str">
            <v>MR001909</v>
          </cell>
          <cell r="B1913" t="str">
            <v>MR</v>
          </cell>
          <cell r="C1913">
            <v>11</v>
          </cell>
          <cell r="D1913">
            <v>76</v>
          </cell>
          <cell r="E1913" t="str">
            <v>FH87</v>
          </cell>
          <cell r="F1913">
            <v>1370</v>
          </cell>
          <cell r="G1913">
            <v>19.309999999999999</v>
          </cell>
          <cell r="H1913">
            <v>2.2000000000000002</v>
          </cell>
          <cell r="I1913" t="str">
            <v>From M1 to M4 - 30°</v>
          </cell>
          <cell r="J1913" t="str">
            <v>IE3</v>
          </cell>
          <cell r="K1913" t="str">
            <v>400/690</v>
          </cell>
          <cell r="L1913">
            <v>50</v>
          </cell>
          <cell r="M1913" t="str">
            <v>21/12,2</v>
          </cell>
          <cell r="N1913">
            <v>65</v>
          </cell>
          <cell r="O1913" t="str">
            <v>155(F)</v>
          </cell>
          <cell r="P1913" t="str">
            <v>270°</v>
          </cell>
          <cell r="Q1913" t="str">
            <v>-</v>
          </cell>
          <cell r="R1913" t="str">
            <v>-</v>
          </cell>
          <cell r="S1913" t="str">
            <v>-</v>
          </cell>
          <cell r="T1913" t="str">
            <v>-</v>
          </cell>
          <cell r="U1913" t="str">
            <v>G</v>
          </cell>
          <cell r="V1913" t="str">
            <v>D</v>
          </cell>
          <cell r="W1913" t="str">
            <v>-</v>
          </cell>
          <cell r="X1913" t="str">
            <v>CLP 220 (-15/+40°C)</v>
          </cell>
          <cell r="Y1913" t="str">
            <v>FH87/G DRN160M4</v>
          </cell>
          <cell r="Z1913" t="str">
            <v>SEW</v>
          </cell>
          <cell r="AB1913" t="str">
            <v>-</v>
          </cell>
          <cell r="AF1913">
            <v>76</v>
          </cell>
          <cell r="AG1913" t="str">
            <v>DRN160M4</v>
          </cell>
          <cell r="AH1913" t="str">
            <v>FH87G-DRN160M4270-X</v>
          </cell>
        </row>
        <row r="1914">
          <cell r="A1914" t="str">
            <v>MR001910</v>
          </cell>
          <cell r="B1914" t="str">
            <v>MR</v>
          </cell>
          <cell r="C1914">
            <v>5.5</v>
          </cell>
          <cell r="D1914">
            <v>84</v>
          </cell>
          <cell r="E1914" t="str">
            <v>FH77</v>
          </cell>
          <cell r="F1914">
            <v>625</v>
          </cell>
          <cell r="G1914">
            <v>17.489999999999998</v>
          </cell>
          <cell r="H1914">
            <v>2.4</v>
          </cell>
          <cell r="I1914" t="str">
            <v>From M1 to M2 - 15°</v>
          </cell>
          <cell r="J1914" t="str">
            <v>IE3</v>
          </cell>
          <cell r="K1914" t="str">
            <v>230/400</v>
          </cell>
          <cell r="L1914">
            <v>50</v>
          </cell>
          <cell r="M1914" t="str">
            <v>18,2/10,5</v>
          </cell>
          <cell r="N1914">
            <v>65</v>
          </cell>
          <cell r="O1914" t="str">
            <v>155(F)</v>
          </cell>
          <cell r="P1914" t="str">
            <v>270°</v>
          </cell>
          <cell r="Q1914" t="str">
            <v>-</v>
          </cell>
          <cell r="R1914" t="str">
            <v>-</v>
          </cell>
          <cell r="S1914" t="str">
            <v>-</v>
          </cell>
          <cell r="T1914" t="str">
            <v>-</v>
          </cell>
          <cell r="U1914" t="str">
            <v>G</v>
          </cell>
          <cell r="V1914" t="str">
            <v>D</v>
          </cell>
          <cell r="W1914" t="str">
            <v>-</v>
          </cell>
          <cell r="X1914" t="str">
            <v>CLP 220 (-15/+40°C)</v>
          </cell>
          <cell r="Y1914" t="str">
            <v>FH77/G DRN132S4</v>
          </cell>
          <cell r="Z1914" t="str">
            <v>SEW</v>
          </cell>
          <cell r="AB1914" t="str">
            <v>-</v>
          </cell>
          <cell r="AF1914">
            <v>84</v>
          </cell>
          <cell r="AG1914" t="str">
            <v>DRN132S4</v>
          </cell>
          <cell r="AH1914" t="str">
            <v>FH77G-DRN132S4270-X</v>
          </cell>
        </row>
        <row r="1915">
          <cell r="A1915" t="str">
            <v>MR001911</v>
          </cell>
          <cell r="B1915" t="str">
            <v>MR</v>
          </cell>
          <cell r="C1915">
            <v>22</v>
          </cell>
          <cell r="D1915">
            <v>33</v>
          </cell>
          <cell r="E1915" t="str">
            <v>R137</v>
          </cell>
          <cell r="F1915">
            <v>6310</v>
          </cell>
          <cell r="G1915">
            <v>44.39</v>
          </cell>
          <cell r="H1915">
            <v>1.25</v>
          </cell>
          <cell r="I1915" t="str">
            <v>M1</v>
          </cell>
          <cell r="J1915" t="str">
            <v>IE3</v>
          </cell>
          <cell r="K1915" t="str">
            <v>400/690</v>
          </cell>
          <cell r="L1915">
            <v>50</v>
          </cell>
          <cell r="M1915" t="str">
            <v>38,5/22,5</v>
          </cell>
          <cell r="N1915">
            <v>65</v>
          </cell>
          <cell r="O1915" t="str">
            <v>155(F)</v>
          </cell>
          <cell r="P1915" t="str">
            <v>270°</v>
          </cell>
          <cell r="Q1915" t="str">
            <v>-</v>
          </cell>
          <cell r="R1915" t="str">
            <v>-</v>
          </cell>
          <cell r="S1915" t="str">
            <v>Free rotation CW</v>
          </cell>
          <cell r="T1915" t="str">
            <v>-</v>
          </cell>
          <cell r="U1915" t="str">
            <v>-</v>
          </cell>
          <cell r="V1915" t="str">
            <v>SS</v>
          </cell>
          <cell r="W1915" t="str">
            <v>-</v>
          </cell>
          <cell r="X1915" t="str">
            <v>CLP 220 (-15/+40°C)</v>
          </cell>
          <cell r="Y1915" t="str">
            <v>R137DRN180L4 /RS</v>
          </cell>
          <cell r="Z1915" t="str">
            <v>SEW</v>
          </cell>
          <cell r="AB1915" t="str">
            <v>-</v>
          </cell>
          <cell r="AF1915">
            <v>33</v>
          </cell>
          <cell r="AG1915" t="str">
            <v>DRN180L4</v>
          </cell>
          <cell r="AH1915" t="str">
            <v>R137-DRN180L4270-X</v>
          </cell>
        </row>
        <row r="1916">
          <cell r="A1916" t="str">
            <v>MR001912</v>
          </cell>
          <cell r="B1916" t="str">
            <v>MR</v>
          </cell>
          <cell r="C1916">
            <v>9.1999999999999993</v>
          </cell>
          <cell r="D1916">
            <v>62</v>
          </cell>
          <cell r="E1916" t="str">
            <v>FH87</v>
          </cell>
          <cell r="F1916">
            <v>1410</v>
          </cell>
          <cell r="G1916">
            <v>23.68</v>
          </cell>
          <cell r="H1916">
            <v>2.1</v>
          </cell>
          <cell r="I1916" t="str">
            <v>M1</v>
          </cell>
          <cell r="J1916" t="str">
            <v>IE3</v>
          </cell>
          <cell r="K1916" t="str">
            <v>400/690</v>
          </cell>
          <cell r="L1916">
            <v>50</v>
          </cell>
          <cell r="M1916" t="str">
            <v>18,7/10,8</v>
          </cell>
          <cell r="N1916">
            <v>65</v>
          </cell>
          <cell r="O1916" t="str">
            <v>155(F)</v>
          </cell>
          <cell r="P1916" t="str">
            <v>270°</v>
          </cell>
          <cell r="Q1916" t="str">
            <v>-</v>
          </cell>
          <cell r="R1916" t="str">
            <v>-</v>
          </cell>
          <cell r="S1916" t="str">
            <v>-</v>
          </cell>
          <cell r="T1916" t="str">
            <v>-</v>
          </cell>
          <cell r="U1916" t="str">
            <v>G</v>
          </cell>
          <cell r="V1916" t="str">
            <v>D+R</v>
          </cell>
          <cell r="W1916" t="str">
            <v>-</v>
          </cell>
          <cell r="X1916" t="str">
            <v>CLP 220 (-15/+40°C)</v>
          </cell>
          <cell r="Y1916" t="str">
            <v>FH87/G DRN132L4</v>
          </cell>
          <cell r="Z1916" t="str">
            <v>SEW</v>
          </cell>
          <cell r="AB1916" t="str">
            <v>-</v>
          </cell>
          <cell r="AF1916">
            <v>62</v>
          </cell>
          <cell r="AG1916" t="str">
            <v>DRN132L4</v>
          </cell>
          <cell r="AH1916" t="str">
            <v>FH87G-DRN132L4270-X</v>
          </cell>
        </row>
        <row r="1917">
          <cell r="A1917" t="str">
            <v>MR001913</v>
          </cell>
          <cell r="B1917" t="str">
            <v>MR</v>
          </cell>
          <cell r="C1917">
            <v>22</v>
          </cell>
          <cell r="D1917">
            <v>12</v>
          </cell>
          <cell r="E1917" t="str">
            <v>KH157</v>
          </cell>
          <cell r="F1917">
            <v>17400</v>
          </cell>
          <cell r="G1917">
            <v>122.39</v>
          </cell>
          <cell r="H1917">
            <v>1.1499999999999999</v>
          </cell>
          <cell r="I1917" t="str">
            <v>M1B</v>
          </cell>
          <cell r="J1917" t="str">
            <v>IE3</v>
          </cell>
          <cell r="K1917" t="str">
            <v>400/690</v>
          </cell>
          <cell r="L1917">
            <v>50</v>
          </cell>
          <cell r="M1917" t="str">
            <v>38,5/22,5</v>
          </cell>
          <cell r="N1917">
            <v>65</v>
          </cell>
          <cell r="O1917" t="str">
            <v>155(F)</v>
          </cell>
          <cell r="P1917" t="str">
            <v>0°</v>
          </cell>
          <cell r="Q1917" t="str">
            <v>TF</v>
          </cell>
          <cell r="R1917" t="str">
            <v>V(VE)</v>
          </cell>
          <cell r="S1917" t="str">
            <v>-</v>
          </cell>
          <cell r="T1917" t="str">
            <v>-</v>
          </cell>
          <cell r="U1917" t="str">
            <v>-</v>
          </cell>
          <cell r="V1917" t="str">
            <v>FC</v>
          </cell>
          <cell r="W1917" t="str">
            <v>-</v>
          </cell>
          <cell r="X1917" t="str">
            <v>CLP 220 (-15/+40°C)</v>
          </cell>
          <cell r="Y1917" t="str">
            <v>KH157DRN180L4 /TF/V</v>
          </cell>
          <cell r="Z1917" t="str">
            <v>SEW</v>
          </cell>
          <cell r="AB1917" t="str">
            <v>-</v>
          </cell>
          <cell r="AF1917">
            <v>12</v>
          </cell>
          <cell r="AG1917" t="str">
            <v>DRN180L4</v>
          </cell>
          <cell r="AH1917" t="str">
            <v>KH157-DRN180L4B0-X#</v>
          </cell>
        </row>
        <row r="1918">
          <cell r="A1918" t="str">
            <v>MR001914</v>
          </cell>
          <cell r="B1918" t="str">
            <v>MR</v>
          </cell>
          <cell r="C1918">
            <v>22</v>
          </cell>
          <cell r="D1918">
            <v>12</v>
          </cell>
          <cell r="E1918" t="str">
            <v>KH157</v>
          </cell>
          <cell r="F1918">
            <v>17400</v>
          </cell>
          <cell r="G1918">
            <v>122.39</v>
          </cell>
          <cell r="H1918">
            <v>1.1499999999999999</v>
          </cell>
          <cell r="I1918" t="str">
            <v>M1A</v>
          </cell>
          <cell r="J1918" t="str">
            <v>IE3</v>
          </cell>
          <cell r="K1918" t="str">
            <v>400/690</v>
          </cell>
          <cell r="L1918">
            <v>50</v>
          </cell>
          <cell r="M1918" t="str">
            <v>38,5/22,5</v>
          </cell>
          <cell r="N1918">
            <v>65</v>
          </cell>
          <cell r="O1918" t="str">
            <v>155(F)</v>
          </cell>
          <cell r="P1918" t="str">
            <v>180°</v>
          </cell>
          <cell r="Q1918" t="str">
            <v>TF</v>
          </cell>
          <cell r="R1918" t="str">
            <v>V(VE)</v>
          </cell>
          <cell r="S1918" t="str">
            <v>-</v>
          </cell>
          <cell r="T1918" t="str">
            <v>-</v>
          </cell>
          <cell r="U1918" t="str">
            <v>-</v>
          </cell>
          <cell r="V1918" t="str">
            <v>FC</v>
          </cell>
          <cell r="W1918" t="str">
            <v>-</v>
          </cell>
          <cell r="X1918" t="str">
            <v>CLP 220 (-15/+40°C)</v>
          </cell>
          <cell r="Y1918" t="str">
            <v>KH157DRN180L4 /TF/V</v>
          </cell>
          <cell r="Z1918" t="str">
            <v>SEW</v>
          </cell>
          <cell r="AB1918" t="str">
            <v>-</v>
          </cell>
          <cell r="AF1918">
            <v>12</v>
          </cell>
          <cell r="AG1918" t="str">
            <v>DRN180L4</v>
          </cell>
          <cell r="AH1918" t="str">
            <v>KH157-DRN180L4A180-X#</v>
          </cell>
        </row>
        <row r="1919">
          <cell r="A1919" t="str">
            <v>MR001915</v>
          </cell>
          <cell r="B1919" t="str">
            <v>MR</v>
          </cell>
          <cell r="C1919">
            <v>5.5</v>
          </cell>
          <cell r="D1919">
            <v>14</v>
          </cell>
          <cell r="E1919" t="str">
            <v>KH97</v>
          </cell>
          <cell r="F1919">
            <v>3770</v>
          </cell>
          <cell r="G1919">
            <v>105.13</v>
          </cell>
          <cell r="H1919">
            <v>1.1499999999999999</v>
          </cell>
          <cell r="I1919" t="str">
            <v>M1B</v>
          </cell>
          <cell r="J1919" t="str">
            <v>IE3</v>
          </cell>
          <cell r="K1919" t="str">
            <v>230/400</v>
          </cell>
          <cell r="L1919">
            <v>50</v>
          </cell>
          <cell r="M1919" t="str">
            <v>18,2/10,5</v>
          </cell>
          <cell r="N1919">
            <v>65</v>
          </cell>
          <cell r="O1919" t="str">
            <v>155(F)</v>
          </cell>
          <cell r="P1919" t="str">
            <v>0°</v>
          </cell>
          <cell r="Q1919" t="str">
            <v>-</v>
          </cell>
          <cell r="R1919" t="str">
            <v>-</v>
          </cell>
          <cell r="S1919" t="str">
            <v>-</v>
          </cell>
          <cell r="T1919" t="str">
            <v>-</v>
          </cell>
          <cell r="U1919" t="str">
            <v>-</v>
          </cell>
          <cell r="V1919" t="str">
            <v>SS</v>
          </cell>
          <cell r="W1919" t="str">
            <v>-</v>
          </cell>
          <cell r="X1919" t="str">
            <v>CLP 220 (-15/+40°C)</v>
          </cell>
          <cell r="Y1919" t="str">
            <v>KH97DRN132S4</v>
          </cell>
          <cell r="Z1919" t="str">
            <v>SEW</v>
          </cell>
          <cell r="AB1919" t="str">
            <v>-</v>
          </cell>
          <cell r="AF1919">
            <v>14</v>
          </cell>
          <cell r="AG1919" t="str">
            <v>DRN132S4</v>
          </cell>
          <cell r="AH1919" t="str">
            <v>KH97-DRN132S4B0-X</v>
          </cell>
        </row>
        <row r="1920">
          <cell r="A1920" t="str">
            <v>MR001916</v>
          </cell>
          <cell r="B1920" t="str">
            <v>MR</v>
          </cell>
          <cell r="C1920">
            <v>5.5</v>
          </cell>
          <cell r="D1920">
            <v>14</v>
          </cell>
          <cell r="E1920" t="str">
            <v>KH97</v>
          </cell>
          <cell r="F1920">
            <v>3770</v>
          </cell>
          <cell r="G1920">
            <v>105.13</v>
          </cell>
          <cell r="H1920">
            <v>1.1499999999999999</v>
          </cell>
          <cell r="I1920" t="str">
            <v>M1A</v>
          </cell>
          <cell r="J1920" t="str">
            <v>IE3</v>
          </cell>
          <cell r="K1920" t="str">
            <v>230/400</v>
          </cell>
          <cell r="L1920">
            <v>50</v>
          </cell>
          <cell r="M1920" t="str">
            <v>18,2/10,5</v>
          </cell>
          <cell r="N1920">
            <v>65</v>
          </cell>
          <cell r="O1920" t="str">
            <v>155(F)</v>
          </cell>
          <cell r="P1920" t="str">
            <v>180°</v>
          </cell>
          <cell r="Q1920" t="str">
            <v>-</v>
          </cell>
          <cell r="R1920" t="str">
            <v>-</v>
          </cell>
          <cell r="S1920" t="str">
            <v>-</v>
          </cell>
          <cell r="T1920" t="str">
            <v>-</v>
          </cell>
          <cell r="U1920" t="str">
            <v>-</v>
          </cell>
          <cell r="V1920" t="str">
            <v>SS</v>
          </cell>
          <cell r="W1920" t="str">
            <v>-</v>
          </cell>
          <cell r="X1920" t="str">
            <v>CLP 220 (-15/+40°C)</v>
          </cell>
          <cell r="Y1920" t="str">
            <v>KH97DRN132S4</v>
          </cell>
          <cell r="Z1920" t="str">
            <v>SEW</v>
          </cell>
          <cell r="AB1920" t="str">
            <v>-</v>
          </cell>
          <cell r="AF1920">
            <v>14</v>
          </cell>
          <cell r="AG1920" t="str">
            <v>DRN132S4</v>
          </cell>
          <cell r="AH1920" t="str">
            <v>KH97-DRN132S4A180-X</v>
          </cell>
        </row>
        <row r="1921">
          <cell r="A1921" t="str">
            <v>MR001917</v>
          </cell>
          <cell r="B1921" t="str">
            <v>MR</v>
          </cell>
          <cell r="C1921">
            <v>11</v>
          </cell>
          <cell r="D1921">
            <v>15</v>
          </cell>
          <cell r="E1921" t="str">
            <v>KH107</v>
          </cell>
          <cell r="F1921">
            <v>7190</v>
          </cell>
          <cell r="G1921">
            <v>100.75</v>
          </cell>
          <cell r="H1921">
            <v>1.1000000000000001</v>
          </cell>
          <cell r="I1921" t="str">
            <v>M1B</v>
          </cell>
          <cell r="J1921" t="str">
            <v>IE3</v>
          </cell>
          <cell r="K1921" t="str">
            <v>400/690</v>
          </cell>
          <cell r="L1921">
            <v>50</v>
          </cell>
          <cell r="M1921" t="str">
            <v>21/12,2</v>
          </cell>
          <cell r="N1921">
            <v>65</v>
          </cell>
          <cell r="O1921" t="str">
            <v>155(F)</v>
          </cell>
          <cell r="P1921" t="str">
            <v>0°</v>
          </cell>
          <cell r="Q1921" t="str">
            <v>-</v>
          </cell>
          <cell r="R1921" t="str">
            <v>-</v>
          </cell>
          <cell r="S1921" t="str">
            <v>-</v>
          </cell>
          <cell r="T1921" t="str">
            <v>-</v>
          </cell>
          <cell r="U1921" t="str">
            <v>-</v>
          </cell>
          <cell r="V1921" t="str">
            <v>SS</v>
          </cell>
          <cell r="W1921" t="str">
            <v>-</v>
          </cell>
          <cell r="X1921" t="str">
            <v>CLP 220 (-15/+40°C)</v>
          </cell>
          <cell r="Y1921" t="str">
            <v>KH107DRN160M4</v>
          </cell>
          <cell r="Z1921" t="str">
            <v>SEW</v>
          </cell>
          <cell r="AB1921" t="str">
            <v>-</v>
          </cell>
          <cell r="AF1921">
            <v>15</v>
          </cell>
          <cell r="AG1921" t="str">
            <v>DRN160M4</v>
          </cell>
          <cell r="AH1921" t="str">
            <v>KH107-DRN160M4B0-X</v>
          </cell>
        </row>
        <row r="1922">
          <cell r="A1922" t="str">
            <v>MR001918</v>
          </cell>
          <cell r="B1922" t="str">
            <v>MR</v>
          </cell>
          <cell r="C1922">
            <v>11</v>
          </cell>
          <cell r="D1922">
            <v>15</v>
          </cell>
          <cell r="E1922" t="str">
            <v>KH107</v>
          </cell>
          <cell r="F1922">
            <v>7180</v>
          </cell>
          <cell r="G1922">
            <v>100.75</v>
          </cell>
          <cell r="H1922">
            <v>1.1000000000000001</v>
          </cell>
          <cell r="I1922" t="str">
            <v>M1A</v>
          </cell>
          <cell r="J1922" t="str">
            <v>IE3</v>
          </cell>
          <cell r="K1922" t="str">
            <v>400/690</v>
          </cell>
          <cell r="L1922">
            <v>50</v>
          </cell>
          <cell r="M1922" t="str">
            <v>21/12,2</v>
          </cell>
          <cell r="N1922">
            <v>65</v>
          </cell>
          <cell r="O1922" t="str">
            <v>155(F)</v>
          </cell>
          <cell r="P1922" t="str">
            <v>180°</v>
          </cell>
          <cell r="Q1922" t="str">
            <v>-</v>
          </cell>
          <cell r="R1922" t="str">
            <v>-</v>
          </cell>
          <cell r="S1922" t="str">
            <v>-</v>
          </cell>
          <cell r="T1922" t="str">
            <v>-</v>
          </cell>
          <cell r="U1922" t="str">
            <v>-</v>
          </cell>
          <cell r="V1922" t="str">
            <v>SS</v>
          </cell>
          <cell r="W1922" t="str">
            <v>-</v>
          </cell>
          <cell r="X1922" t="str">
            <v>CLP 220 (-15/+40°C)</v>
          </cell>
          <cell r="Y1922" t="str">
            <v>KH107DRN160M4</v>
          </cell>
          <cell r="Z1922" t="str">
            <v>SEW</v>
          </cell>
          <cell r="AB1922" t="str">
            <v>-</v>
          </cell>
          <cell r="AF1922">
            <v>15</v>
          </cell>
          <cell r="AG1922" t="str">
            <v>DRN160M4</v>
          </cell>
          <cell r="AH1922" t="str">
            <v>KH107-DRN160M4A180-X</v>
          </cell>
        </row>
        <row r="1923">
          <cell r="A1923" t="str">
            <v>MR001919</v>
          </cell>
          <cell r="B1923" t="str">
            <v>MR</v>
          </cell>
          <cell r="C1923">
            <v>22</v>
          </cell>
          <cell r="D1923">
            <v>33</v>
          </cell>
          <cell r="E1923" t="str">
            <v>R137</v>
          </cell>
          <cell r="F1923">
            <v>6310</v>
          </cell>
          <cell r="G1923">
            <v>44.39</v>
          </cell>
          <cell r="H1923">
            <v>1.25</v>
          </cell>
          <cell r="I1923" t="str">
            <v>M1</v>
          </cell>
          <cell r="J1923" t="str">
            <v>IE3</v>
          </cell>
          <cell r="K1923" t="str">
            <v>400/690</v>
          </cell>
          <cell r="L1923">
            <v>50</v>
          </cell>
          <cell r="M1923" t="str">
            <v>38,5/22,5</v>
          </cell>
          <cell r="N1923">
            <v>65</v>
          </cell>
          <cell r="O1923" t="str">
            <v>155(F)</v>
          </cell>
          <cell r="P1923" t="str">
            <v>270°</v>
          </cell>
          <cell r="Q1923" t="str">
            <v>-</v>
          </cell>
          <cell r="R1923" t="str">
            <v>-</v>
          </cell>
          <cell r="S1923" t="str">
            <v>Free rotation CCW</v>
          </cell>
          <cell r="T1923" t="str">
            <v>-</v>
          </cell>
          <cell r="U1923" t="str">
            <v>-</v>
          </cell>
          <cell r="V1923" t="str">
            <v>SS</v>
          </cell>
          <cell r="W1923" t="str">
            <v>-</v>
          </cell>
          <cell r="X1923" t="str">
            <v>CLP 220 (-15/+40°C)</v>
          </cell>
          <cell r="Y1923" t="str">
            <v>R137DRN180L4 /RS</v>
          </cell>
          <cell r="Z1923" t="str">
            <v>SEW</v>
          </cell>
          <cell r="AB1923" t="str">
            <v>-</v>
          </cell>
          <cell r="AF1923">
            <v>33</v>
          </cell>
          <cell r="AG1923" t="str">
            <v>DRN180L4</v>
          </cell>
          <cell r="AH1923" t="str">
            <v>R137-DRN180L4270-X</v>
          </cell>
        </row>
        <row r="1924">
          <cell r="A1924" t="str">
            <v>MR001920</v>
          </cell>
          <cell r="B1924" t="str">
            <v>MR</v>
          </cell>
          <cell r="C1924">
            <v>15</v>
          </cell>
          <cell r="D1924">
            <v>62</v>
          </cell>
          <cell r="E1924" t="str">
            <v>FH87</v>
          </cell>
          <cell r="F1924">
            <v>2300</v>
          </cell>
          <cell r="G1924">
            <v>23.68</v>
          </cell>
          <cell r="H1924">
            <v>1.3</v>
          </cell>
          <cell r="I1924" t="str">
            <v>From M1 to M4 - 30°</v>
          </cell>
          <cell r="J1924" t="str">
            <v>IE3</v>
          </cell>
          <cell r="K1924" t="str">
            <v>400/690</v>
          </cell>
          <cell r="L1924">
            <v>50</v>
          </cell>
          <cell r="M1924" t="str">
            <v>29/16,7</v>
          </cell>
          <cell r="N1924">
            <v>65</v>
          </cell>
          <cell r="O1924" t="str">
            <v>155(F)</v>
          </cell>
          <cell r="P1924" t="str">
            <v>270°</v>
          </cell>
          <cell r="Q1924" t="str">
            <v>-</v>
          </cell>
          <cell r="R1924" t="str">
            <v>-</v>
          </cell>
          <cell r="S1924" t="str">
            <v>-</v>
          </cell>
          <cell r="T1924" t="str">
            <v>-</v>
          </cell>
          <cell r="U1924" t="str">
            <v>G</v>
          </cell>
          <cell r="V1924" t="str">
            <v>D</v>
          </cell>
          <cell r="W1924" t="str">
            <v>-</v>
          </cell>
          <cell r="X1924" t="str">
            <v>CLP 220 (-15/+40°C)</v>
          </cell>
          <cell r="Y1924" t="str">
            <v>FH87/G DRN160L4</v>
          </cell>
          <cell r="Z1924" t="str">
            <v>SEW</v>
          </cell>
          <cell r="AB1924" t="str">
            <v>-</v>
          </cell>
          <cell r="AF1924">
            <v>62</v>
          </cell>
          <cell r="AG1924" t="str">
            <v>DRN160L4</v>
          </cell>
          <cell r="AH1924" t="str">
            <v>FH87G-DRN160L4270-X</v>
          </cell>
        </row>
        <row r="1925">
          <cell r="A1925" t="str">
            <v>MR001921</v>
          </cell>
          <cell r="B1925" t="str">
            <v>MR</v>
          </cell>
          <cell r="C1925">
            <v>15</v>
          </cell>
          <cell r="D1925">
            <v>59</v>
          </cell>
          <cell r="E1925" t="str">
            <v>FH97</v>
          </cell>
          <cell r="F1925">
            <v>2420</v>
          </cell>
          <cell r="G1925">
            <v>24.92</v>
          </cell>
          <cell r="H1925">
            <v>1.8</v>
          </cell>
          <cell r="I1925" t="str">
            <v>M1</v>
          </cell>
          <cell r="J1925" t="str">
            <v>IE3</v>
          </cell>
          <cell r="K1925" t="str">
            <v>400/690</v>
          </cell>
          <cell r="L1925">
            <v>50</v>
          </cell>
          <cell r="M1925" t="str">
            <v>29/16,7</v>
          </cell>
          <cell r="N1925">
            <v>65</v>
          </cell>
          <cell r="O1925" t="str">
            <v>155(F)</v>
          </cell>
          <cell r="P1925" t="str">
            <v>270°</v>
          </cell>
          <cell r="Q1925" t="str">
            <v>-</v>
          </cell>
          <cell r="R1925" t="str">
            <v>-</v>
          </cell>
          <cell r="S1925" t="str">
            <v>-</v>
          </cell>
          <cell r="T1925" t="str">
            <v>-</v>
          </cell>
          <cell r="U1925" t="str">
            <v>G</v>
          </cell>
          <cell r="V1925" t="str">
            <v>D+R</v>
          </cell>
          <cell r="W1925" t="str">
            <v>-</v>
          </cell>
          <cell r="X1925" t="str">
            <v>CLP 220 (-15/+40°C)</v>
          </cell>
          <cell r="Y1925" t="str">
            <v>FH97/G DRN160L4</v>
          </cell>
          <cell r="Z1925" t="str">
            <v>SEW</v>
          </cell>
          <cell r="AB1925" t="str">
            <v>-</v>
          </cell>
          <cell r="AF1925">
            <v>59</v>
          </cell>
          <cell r="AG1925" t="str">
            <v>DRN160L4</v>
          </cell>
          <cell r="AH1925" t="str">
            <v>FH97G-DRN160L4270-X</v>
          </cell>
        </row>
        <row r="1926">
          <cell r="A1926" t="str">
            <v>MR001922</v>
          </cell>
          <cell r="B1926" t="str">
            <v>MR</v>
          </cell>
          <cell r="C1926">
            <v>5.5</v>
          </cell>
          <cell r="D1926">
            <v>72</v>
          </cell>
          <cell r="E1926" t="str">
            <v>KH77</v>
          </cell>
          <cell r="F1926">
            <v>725</v>
          </cell>
          <cell r="G1926">
            <v>20.25</v>
          </cell>
          <cell r="H1926">
            <v>2.1</v>
          </cell>
          <cell r="I1926" t="str">
            <v>M4B</v>
          </cell>
          <cell r="J1926" t="str">
            <v>IE3</v>
          </cell>
          <cell r="K1926" t="str">
            <v>230/400</v>
          </cell>
          <cell r="L1926">
            <v>50</v>
          </cell>
          <cell r="M1926" t="str">
            <v>18,2/10,5</v>
          </cell>
          <cell r="N1926">
            <v>65</v>
          </cell>
          <cell r="O1926" t="str">
            <v>155(F)</v>
          </cell>
          <cell r="P1926" t="str">
            <v>270°</v>
          </cell>
          <cell r="Q1926" t="str">
            <v>-</v>
          </cell>
          <cell r="R1926" t="str">
            <v>-</v>
          </cell>
          <cell r="S1926" t="str">
            <v>Free rotation CW</v>
          </cell>
          <cell r="T1926" t="str">
            <v>-</v>
          </cell>
          <cell r="U1926" t="str">
            <v>T</v>
          </cell>
          <cell r="V1926" t="str">
            <v>SS</v>
          </cell>
          <cell r="W1926" t="str">
            <v>-</v>
          </cell>
          <cell r="X1926" t="str">
            <v>CLP 220 (-15/+40°C)</v>
          </cell>
          <cell r="Y1926" t="str">
            <v>KH77/T DRN132S4 /RS</v>
          </cell>
          <cell r="Z1926" t="str">
            <v>SEW</v>
          </cell>
          <cell r="AB1926" t="str">
            <v>-</v>
          </cell>
          <cell r="AF1926">
            <v>72</v>
          </cell>
          <cell r="AG1926" t="str">
            <v>DRN132S4</v>
          </cell>
          <cell r="AH1926" t="str">
            <v>KH77T-DRN132S4B270-X</v>
          </cell>
        </row>
        <row r="1927">
          <cell r="A1927" t="str">
            <v>MR001923</v>
          </cell>
          <cell r="B1927" t="str">
            <v>MR</v>
          </cell>
          <cell r="C1927">
            <v>0.75</v>
          </cell>
          <cell r="D1927">
            <v>162</v>
          </cell>
          <cell r="E1927" t="str">
            <v>KA37</v>
          </cell>
          <cell r="F1927">
            <v>44</v>
          </cell>
          <cell r="G1927">
            <v>8.91</v>
          </cell>
          <cell r="H1927">
            <v>3.6</v>
          </cell>
          <cell r="I1927" t="str">
            <v>From M1B to M2B - 25°</v>
          </cell>
          <cell r="J1927" t="str">
            <v>IE3</v>
          </cell>
          <cell r="K1927">
            <v>400</v>
          </cell>
          <cell r="L1927">
            <v>50</v>
          </cell>
          <cell r="M1927">
            <v>1.75</v>
          </cell>
          <cell r="N1927">
            <v>65</v>
          </cell>
          <cell r="O1927" t="str">
            <v>155(F)</v>
          </cell>
          <cell r="P1927" t="str">
            <v>0°</v>
          </cell>
          <cell r="Q1927" t="str">
            <v>-</v>
          </cell>
          <cell r="R1927" t="str">
            <v>-</v>
          </cell>
          <cell r="S1927" t="str">
            <v>-</v>
          </cell>
          <cell r="T1927" t="str">
            <v>-</v>
          </cell>
          <cell r="U1927" t="str">
            <v>T</v>
          </cell>
          <cell r="V1927" t="str">
            <v>D</v>
          </cell>
          <cell r="W1927" t="str">
            <v>-</v>
          </cell>
          <cell r="X1927" t="str">
            <v>CLP 220 (-15/+40°C)</v>
          </cell>
          <cell r="Y1927" t="str">
            <v>KA37/T DRN80M4</v>
          </cell>
          <cell r="Z1927" t="str">
            <v>SEW</v>
          </cell>
          <cell r="AB1927" t="str">
            <v>-</v>
          </cell>
          <cell r="AF1927">
            <v>162</v>
          </cell>
          <cell r="AG1927" t="str">
            <v>DRN80M4</v>
          </cell>
          <cell r="AH1927" t="str">
            <v>KA37T-DRN80M4B0-X</v>
          </cell>
        </row>
        <row r="1928">
          <cell r="A1928" t="str">
            <v>MR001924</v>
          </cell>
          <cell r="B1928" t="str">
            <v>MR</v>
          </cell>
          <cell r="C1928">
            <v>0.55000000000000004</v>
          </cell>
          <cell r="D1928">
            <v>3.9</v>
          </cell>
          <cell r="E1928" t="str">
            <v>KA77R37</v>
          </cell>
          <cell r="F1928">
            <v>1210</v>
          </cell>
          <cell r="G1928">
            <v>367</v>
          </cell>
          <cell r="H1928">
            <v>1.25</v>
          </cell>
          <cell r="I1928" t="str">
            <v>M3B</v>
          </cell>
          <cell r="J1928" t="str">
            <v>IE3</v>
          </cell>
          <cell r="K1928" t="str">
            <v>230/400</v>
          </cell>
          <cell r="L1928">
            <v>50</v>
          </cell>
          <cell r="M1928" t="str">
            <v>2,25/1,29</v>
          </cell>
          <cell r="N1928">
            <v>65</v>
          </cell>
          <cell r="O1928" t="str">
            <v>155(F)</v>
          </cell>
          <cell r="P1928" t="str">
            <v>0°</v>
          </cell>
          <cell r="Q1928" t="str">
            <v>-</v>
          </cell>
          <cell r="R1928" t="str">
            <v>-</v>
          </cell>
          <cell r="S1928" t="str">
            <v>-</v>
          </cell>
          <cell r="T1928" t="str">
            <v>BEHF</v>
          </cell>
          <cell r="U1928" t="str">
            <v>T</v>
          </cell>
          <cell r="V1928" t="str">
            <v>D+R</v>
          </cell>
          <cell r="W1928" t="str">
            <v>-</v>
          </cell>
          <cell r="X1928" t="str">
            <v>CLP 220 (-15/+40°C)</v>
          </cell>
          <cell r="Y1928" t="str">
            <v>KA77R37/T DRN80MK4 /BEHF</v>
          </cell>
          <cell r="Z1928" t="str">
            <v>SEW</v>
          </cell>
          <cell r="AB1928" t="str">
            <v>-</v>
          </cell>
          <cell r="AF1928">
            <v>3.9</v>
          </cell>
          <cell r="AG1928" t="str">
            <v>DRN80MK4</v>
          </cell>
          <cell r="AH1928" t="str">
            <v>KA77R37T-DRN80MK4B0-X</v>
          </cell>
        </row>
        <row r="1929">
          <cell r="A1929" t="str">
            <v>MR001925</v>
          </cell>
          <cell r="B1929" t="str">
            <v>MR</v>
          </cell>
          <cell r="C1929">
            <v>9.1999999999999993</v>
          </cell>
          <cell r="D1929">
            <v>62</v>
          </cell>
          <cell r="E1929" t="str">
            <v>FH87</v>
          </cell>
          <cell r="F1929">
            <v>1410</v>
          </cell>
          <cell r="G1929">
            <v>23.68</v>
          </cell>
          <cell r="H1929">
            <v>2.1</v>
          </cell>
          <cell r="I1929" t="str">
            <v>From M1 to M4 - 20°</v>
          </cell>
          <cell r="J1929" t="str">
            <v>IE3</v>
          </cell>
          <cell r="K1929" t="str">
            <v>400/690</v>
          </cell>
          <cell r="L1929">
            <v>50</v>
          </cell>
          <cell r="M1929" t="str">
            <v>18,7/10,8</v>
          </cell>
          <cell r="N1929">
            <v>65</v>
          </cell>
          <cell r="O1929" t="str">
            <v>155(F)</v>
          </cell>
          <cell r="P1929" t="str">
            <v>270°</v>
          </cell>
          <cell r="Q1929" t="str">
            <v>-</v>
          </cell>
          <cell r="R1929" t="str">
            <v>-</v>
          </cell>
          <cell r="S1929" t="str">
            <v>-</v>
          </cell>
          <cell r="T1929" t="str">
            <v>-</v>
          </cell>
          <cell r="U1929" t="str">
            <v>G</v>
          </cell>
          <cell r="V1929" t="str">
            <v>D</v>
          </cell>
          <cell r="W1929" t="str">
            <v>-</v>
          </cell>
          <cell r="X1929" t="str">
            <v>CLP 220 (-15/+40°C)</v>
          </cell>
          <cell r="Y1929" t="str">
            <v>FH87/G DRN132L4</v>
          </cell>
          <cell r="Z1929" t="str">
            <v>SEW</v>
          </cell>
          <cell r="AB1929" t="str">
            <v>-</v>
          </cell>
          <cell r="AF1929">
            <v>62</v>
          </cell>
          <cell r="AG1929" t="str">
            <v>DRN132L4</v>
          </cell>
          <cell r="AH1929" t="str">
            <v>FH87G-DRN132L4270-X</v>
          </cell>
        </row>
        <row r="1930">
          <cell r="A1930" t="str">
            <v>MR001926</v>
          </cell>
          <cell r="B1930" t="str">
            <v>MR</v>
          </cell>
          <cell r="C1930">
            <v>7.5</v>
          </cell>
          <cell r="D1930">
            <v>62</v>
          </cell>
          <cell r="E1930" t="str">
            <v>FH87</v>
          </cell>
          <cell r="F1930">
            <v>1150</v>
          </cell>
          <cell r="G1930">
            <v>23.68</v>
          </cell>
          <cell r="H1930">
            <v>2.6</v>
          </cell>
          <cell r="I1930" t="str">
            <v>From M1 to M4 - 15°</v>
          </cell>
          <cell r="J1930" t="str">
            <v>IE3</v>
          </cell>
          <cell r="K1930" t="str">
            <v>400/690</v>
          </cell>
          <cell r="L1930">
            <v>50</v>
          </cell>
          <cell r="M1930" t="str">
            <v>15,2/8,8</v>
          </cell>
          <cell r="N1930">
            <v>65</v>
          </cell>
          <cell r="O1930" t="str">
            <v>155(F)</v>
          </cell>
          <cell r="P1930" t="str">
            <v>270°</v>
          </cell>
          <cell r="Q1930" t="str">
            <v>-</v>
          </cell>
          <cell r="R1930" t="str">
            <v>-</v>
          </cell>
          <cell r="S1930" t="str">
            <v>-</v>
          </cell>
          <cell r="T1930" t="str">
            <v>-</v>
          </cell>
          <cell r="U1930" t="str">
            <v>G</v>
          </cell>
          <cell r="V1930" t="str">
            <v>D</v>
          </cell>
          <cell r="W1930" t="str">
            <v>-</v>
          </cell>
          <cell r="X1930" t="str">
            <v>CLP 220 (-15/+40°C)</v>
          </cell>
          <cell r="Y1930" t="str">
            <v>FH87/G DRN132M4</v>
          </cell>
          <cell r="Z1930" t="str">
            <v>SEW</v>
          </cell>
          <cell r="AB1930" t="str">
            <v>-</v>
          </cell>
          <cell r="AF1930">
            <v>62</v>
          </cell>
          <cell r="AG1930" t="str">
            <v>DRN132M4</v>
          </cell>
          <cell r="AH1930" t="str">
            <v>FH87G-DRN132M4270-X</v>
          </cell>
        </row>
        <row r="1931">
          <cell r="A1931" t="str">
            <v>MR001927</v>
          </cell>
          <cell r="B1931" t="str">
            <v>MR</v>
          </cell>
          <cell r="C1931">
            <v>4</v>
          </cell>
          <cell r="D1931">
            <v>73</v>
          </cell>
          <cell r="E1931" t="str">
            <v>KH77</v>
          </cell>
          <cell r="F1931">
            <v>525</v>
          </cell>
          <cell r="G1931">
            <v>20.25</v>
          </cell>
          <cell r="H1931">
            <v>2.8</v>
          </cell>
          <cell r="I1931" t="str">
            <v>M4A</v>
          </cell>
          <cell r="J1931" t="str">
            <v>IE3</v>
          </cell>
          <cell r="K1931" t="str">
            <v>230/400</v>
          </cell>
          <cell r="L1931">
            <v>50</v>
          </cell>
          <cell r="M1931" t="str">
            <v>13,8/7,9</v>
          </cell>
          <cell r="N1931">
            <v>65</v>
          </cell>
          <cell r="O1931" t="str">
            <v>155(F)</v>
          </cell>
          <cell r="P1931" t="str">
            <v>270°</v>
          </cell>
          <cell r="Q1931" t="str">
            <v>-</v>
          </cell>
          <cell r="R1931" t="str">
            <v>-</v>
          </cell>
          <cell r="S1931" t="str">
            <v>Free rotation CCW</v>
          </cell>
          <cell r="T1931" t="str">
            <v>-</v>
          </cell>
          <cell r="U1931" t="str">
            <v>T</v>
          </cell>
          <cell r="V1931" t="str">
            <v>SS</v>
          </cell>
          <cell r="W1931" t="str">
            <v>-</v>
          </cell>
          <cell r="X1931" t="str">
            <v>CLP 220 (-15/+40°C)</v>
          </cell>
          <cell r="Y1931" t="str">
            <v>KH77/T DRN112M4 /RS</v>
          </cell>
          <cell r="Z1931" t="str">
            <v>SEW</v>
          </cell>
          <cell r="AB1931" t="str">
            <v>-</v>
          </cell>
          <cell r="AF1931">
            <v>73</v>
          </cell>
          <cell r="AG1931" t="str">
            <v>DRN112M4</v>
          </cell>
          <cell r="AH1931" t="str">
            <v>KH77T-DRN112M4A270-X</v>
          </cell>
        </row>
        <row r="1932">
          <cell r="A1932" t="str">
            <v>MR001928</v>
          </cell>
          <cell r="B1932" t="str">
            <v>MR</v>
          </cell>
          <cell r="C1932">
            <v>4</v>
          </cell>
          <cell r="D1932">
            <v>73</v>
          </cell>
          <cell r="E1932" t="str">
            <v>KH77</v>
          </cell>
          <cell r="F1932">
            <v>525</v>
          </cell>
          <cell r="G1932">
            <v>20.25</v>
          </cell>
          <cell r="H1932">
            <v>2.8</v>
          </cell>
          <cell r="I1932" t="str">
            <v>M4A</v>
          </cell>
          <cell r="J1932" t="str">
            <v>IE3</v>
          </cell>
          <cell r="K1932" t="str">
            <v>230/400</v>
          </cell>
          <cell r="L1932">
            <v>50</v>
          </cell>
          <cell r="M1932" t="str">
            <v>13,8/7,9</v>
          </cell>
          <cell r="N1932">
            <v>65</v>
          </cell>
          <cell r="O1932" t="str">
            <v>155(F)</v>
          </cell>
          <cell r="P1932" t="str">
            <v>270°</v>
          </cell>
          <cell r="Q1932" t="str">
            <v>-</v>
          </cell>
          <cell r="R1932" t="str">
            <v>-</v>
          </cell>
          <cell r="S1932" t="str">
            <v>-</v>
          </cell>
          <cell r="T1932" t="str">
            <v>-</v>
          </cell>
          <cell r="U1932" t="str">
            <v>T</v>
          </cell>
          <cell r="V1932" t="str">
            <v>SS</v>
          </cell>
          <cell r="W1932" t="str">
            <v>-</v>
          </cell>
          <cell r="X1932" t="str">
            <v>CLP 220 (-15/+40°C)</v>
          </cell>
          <cell r="Y1932" t="str">
            <v>KH77/T DRN112M4</v>
          </cell>
          <cell r="Z1932" t="str">
            <v>SEW</v>
          </cell>
          <cell r="AB1932" t="str">
            <v>-</v>
          </cell>
          <cell r="AF1932">
            <v>73</v>
          </cell>
          <cell r="AG1932" t="str">
            <v>DRN112M4</v>
          </cell>
          <cell r="AH1932" t="str">
            <v>KH77T-DRN112M4A270-X</v>
          </cell>
        </row>
        <row r="1933">
          <cell r="A1933" t="str">
            <v>MR001929</v>
          </cell>
          <cell r="B1933" t="str">
            <v>MR</v>
          </cell>
          <cell r="C1933">
            <v>0.75</v>
          </cell>
          <cell r="D1933">
            <v>162</v>
          </cell>
          <cell r="E1933" t="str">
            <v>KA37</v>
          </cell>
          <cell r="F1933">
            <v>44</v>
          </cell>
          <cell r="G1933">
            <v>8.91</v>
          </cell>
          <cell r="H1933">
            <v>3.6</v>
          </cell>
          <cell r="I1933" t="str">
            <v>From M1A to M2A - 20°</v>
          </cell>
          <cell r="J1933" t="str">
            <v>IE3</v>
          </cell>
          <cell r="K1933">
            <v>400</v>
          </cell>
          <cell r="L1933">
            <v>50</v>
          </cell>
          <cell r="M1933">
            <v>1.75</v>
          </cell>
          <cell r="N1933">
            <v>65</v>
          </cell>
          <cell r="O1933" t="str">
            <v>155(F)</v>
          </cell>
          <cell r="P1933" t="str">
            <v>180°</v>
          </cell>
          <cell r="Q1933" t="str">
            <v>-</v>
          </cell>
          <cell r="R1933" t="str">
            <v>-</v>
          </cell>
          <cell r="S1933" t="str">
            <v>-</v>
          </cell>
          <cell r="T1933" t="str">
            <v>-</v>
          </cell>
          <cell r="U1933" t="str">
            <v>T</v>
          </cell>
          <cell r="V1933" t="str">
            <v>D</v>
          </cell>
          <cell r="W1933" t="str">
            <v>-</v>
          </cell>
          <cell r="X1933" t="str">
            <v>CLP 220 (-15/+40°C)</v>
          </cell>
          <cell r="Y1933" t="str">
            <v>KA37/T DRN80M4</v>
          </cell>
          <cell r="Z1933" t="str">
            <v>SEW</v>
          </cell>
          <cell r="AB1933" t="str">
            <v>-</v>
          </cell>
          <cell r="AF1933">
            <v>162</v>
          </cell>
          <cell r="AG1933" t="str">
            <v>DRN80M4</v>
          </cell>
          <cell r="AH1933" t="str">
            <v>KA37T-DRN80M4A180-X</v>
          </cell>
        </row>
        <row r="1934">
          <cell r="A1934" t="str">
            <v>MR001930</v>
          </cell>
          <cell r="B1934" t="str">
            <v>MR</v>
          </cell>
          <cell r="C1934">
            <v>4</v>
          </cell>
          <cell r="D1934">
            <v>73</v>
          </cell>
          <cell r="E1934" t="str">
            <v>KH77</v>
          </cell>
          <cell r="F1934">
            <v>525</v>
          </cell>
          <cell r="G1934">
            <v>20.25</v>
          </cell>
          <cell r="H1934">
            <v>2.8</v>
          </cell>
          <cell r="I1934" t="str">
            <v>M4B</v>
          </cell>
          <cell r="J1934" t="str">
            <v>IE3</v>
          </cell>
          <cell r="K1934" t="str">
            <v>230/400</v>
          </cell>
          <cell r="L1934">
            <v>50</v>
          </cell>
          <cell r="M1934" t="str">
            <v>13,8/7,9</v>
          </cell>
          <cell r="N1934">
            <v>65</v>
          </cell>
          <cell r="O1934" t="str">
            <v>155(F)</v>
          </cell>
          <cell r="P1934" t="str">
            <v>270°</v>
          </cell>
          <cell r="Q1934" t="str">
            <v>-</v>
          </cell>
          <cell r="R1934" t="str">
            <v>-</v>
          </cell>
          <cell r="S1934" t="str">
            <v>Free rotation CW</v>
          </cell>
          <cell r="T1934" t="str">
            <v>-</v>
          </cell>
          <cell r="U1934" t="str">
            <v>T</v>
          </cell>
          <cell r="V1934" t="str">
            <v>SS</v>
          </cell>
          <cell r="W1934" t="str">
            <v>-</v>
          </cell>
          <cell r="X1934" t="str">
            <v>CLP 220 (-15/+40°C)</v>
          </cell>
          <cell r="Y1934" t="str">
            <v>KH77/T DRN112M4 /RS</v>
          </cell>
          <cell r="Z1934" t="str">
            <v>SEW</v>
          </cell>
          <cell r="AB1934" t="str">
            <v>-</v>
          </cell>
          <cell r="AF1934">
            <v>73</v>
          </cell>
          <cell r="AG1934" t="str">
            <v>DRN112M4</v>
          </cell>
          <cell r="AH1934" t="str">
            <v>KH77T-DRN112M4B270-X</v>
          </cell>
        </row>
        <row r="1935">
          <cell r="A1935" t="str">
            <v>MR001931</v>
          </cell>
          <cell r="B1935" t="str">
            <v>MR</v>
          </cell>
          <cell r="C1935">
            <v>4</v>
          </cell>
          <cell r="D1935">
            <v>73</v>
          </cell>
          <cell r="E1935" t="str">
            <v>KH77</v>
          </cell>
          <cell r="F1935">
            <v>525</v>
          </cell>
          <cell r="G1935">
            <v>20.25</v>
          </cell>
          <cell r="H1935">
            <v>2.8</v>
          </cell>
          <cell r="I1935" t="str">
            <v>M4B</v>
          </cell>
          <cell r="J1935" t="str">
            <v>IE3</v>
          </cell>
          <cell r="K1935" t="str">
            <v>230/400</v>
          </cell>
          <cell r="L1935">
            <v>50</v>
          </cell>
          <cell r="M1935" t="str">
            <v>13,8/7,9</v>
          </cell>
          <cell r="N1935">
            <v>65</v>
          </cell>
          <cell r="O1935" t="str">
            <v>155(F)</v>
          </cell>
          <cell r="P1935" t="str">
            <v>270°</v>
          </cell>
          <cell r="Q1935" t="str">
            <v>-</v>
          </cell>
          <cell r="R1935" t="str">
            <v>-</v>
          </cell>
          <cell r="S1935" t="str">
            <v>-</v>
          </cell>
          <cell r="T1935" t="str">
            <v>-</v>
          </cell>
          <cell r="U1935" t="str">
            <v>T</v>
          </cell>
          <cell r="V1935" t="str">
            <v>SS</v>
          </cell>
          <cell r="W1935" t="str">
            <v>-</v>
          </cell>
          <cell r="X1935" t="str">
            <v>CLP 220 (-15/+40°C)</v>
          </cell>
          <cell r="Y1935" t="str">
            <v>KH77/T DRN112M4</v>
          </cell>
          <cell r="Z1935" t="str">
            <v>SEW</v>
          </cell>
          <cell r="AB1935" t="str">
            <v>-</v>
          </cell>
          <cell r="AF1935">
            <v>73</v>
          </cell>
          <cell r="AG1935" t="str">
            <v>DRN112M4</v>
          </cell>
          <cell r="AH1935" t="str">
            <v>KH77T-DRN112M4B270-X</v>
          </cell>
        </row>
        <row r="1936">
          <cell r="A1936" t="str">
            <v>MR001932</v>
          </cell>
          <cell r="B1936" t="str">
            <v>MR</v>
          </cell>
          <cell r="C1936">
            <v>0.75</v>
          </cell>
          <cell r="D1936">
            <v>162</v>
          </cell>
          <cell r="E1936" t="str">
            <v>KA37</v>
          </cell>
          <cell r="F1936">
            <v>44</v>
          </cell>
          <cell r="G1936">
            <v>8.91</v>
          </cell>
          <cell r="H1936">
            <v>3.6</v>
          </cell>
          <cell r="I1936" t="str">
            <v>From M1B to M2B - 20°</v>
          </cell>
          <cell r="J1936" t="str">
            <v>IE3</v>
          </cell>
          <cell r="K1936">
            <v>400</v>
          </cell>
          <cell r="L1936">
            <v>50</v>
          </cell>
          <cell r="M1936">
            <v>1.75</v>
          </cell>
          <cell r="N1936">
            <v>65</v>
          </cell>
          <cell r="O1936" t="str">
            <v>155(F)</v>
          </cell>
          <cell r="P1936" t="str">
            <v>0°</v>
          </cell>
          <cell r="Q1936" t="str">
            <v>-</v>
          </cell>
          <cell r="R1936" t="str">
            <v>-</v>
          </cell>
          <cell r="S1936" t="str">
            <v>-</v>
          </cell>
          <cell r="T1936" t="str">
            <v>-</v>
          </cell>
          <cell r="U1936" t="str">
            <v>T</v>
          </cell>
          <cell r="V1936" t="str">
            <v>D</v>
          </cell>
          <cell r="W1936" t="str">
            <v>-</v>
          </cell>
          <cell r="X1936" t="str">
            <v>CLP 220 (-15/+40°C)</v>
          </cell>
          <cell r="Y1936" t="str">
            <v>KA37/T DRN80M4</v>
          </cell>
          <cell r="Z1936" t="str">
            <v>SEW</v>
          </cell>
          <cell r="AB1936" t="str">
            <v>-</v>
          </cell>
          <cell r="AF1936">
            <v>162</v>
          </cell>
          <cell r="AG1936" t="str">
            <v>DRN80M4</v>
          </cell>
          <cell r="AH1936" t="str">
            <v>KA37T-DRN80M4B0-X</v>
          </cell>
        </row>
        <row r="1937">
          <cell r="A1937" t="str">
            <v>MR001933</v>
          </cell>
          <cell r="B1937" t="str">
            <v>MR</v>
          </cell>
          <cell r="C1937">
            <v>18.5</v>
          </cell>
          <cell r="D1937">
            <v>15</v>
          </cell>
          <cell r="E1937" t="str">
            <v>KH157</v>
          </cell>
          <cell r="F1937">
            <v>12000</v>
          </cell>
          <cell r="G1937">
            <v>100.22</v>
          </cell>
          <cell r="H1937">
            <v>1.65</v>
          </cell>
          <cell r="I1937" t="str">
            <v>From M1B to M2B - 5°</v>
          </cell>
          <cell r="J1937" t="str">
            <v>IE3</v>
          </cell>
          <cell r="K1937" t="str">
            <v>400/690</v>
          </cell>
          <cell r="L1937">
            <v>50</v>
          </cell>
          <cell r="M1937" t="str">
            <v>33,5/19,3</v>
          </cell>
          <cell r="N1937">
            <v>65</v>
          </cell>
          <cell r="O1937" t="str">
            <v>155(F)</v>
          </cell>
          <cell r="P1937" t="str">
            <v>0°</v>
          </cell>
          <cell r="Q1937" t="str">
            <v>-</v>
          </cell>
          <cell r="R1937" t="str">
            <v>-</v>
          </cell>
          <cell r="S1937" t="str">
            <v>-</v>
          </cell>
          <cell r="T1937" t="str">
            <v>-</v>
          </cell>
          <cell r="U1937" t="str">
            <v>-</v>
          </cell>
          <cell r="V1937" t="str">
            <v>SS</v>
          </cell>
          <cell r="W1937" t="str">
            <v>-</v>
          </cell>
          <cell r="X1937" t="str">
            <v>CLP 220 (-15/+40°C)</v>
          </cell>
          <cell r="Y1937" t="str">
            <v>KH157DRN180M4</v>
          </cell>
          <cell r="Z1937" t="str">
            <v>SEW</v>
          </cell>
          <cell r="AB1937" t="str">
            <v>-</v>
          </cell>
          <cell r="AF1937">
            <v>15</v>
          </cell>
          <cell r="AG1937" t="str">
            <v>DRN180M4</v>
          </cell>
          <cell r="AH1937" t="str">
            <v>KH157-DRN180M4B0-X</v>
          </cell>
        </row>
        <row r="1938">
          <cell r="A1938" t="str">
            <v>MR001934</v>
          </cell>
          <cell r="B1938" t="str">
            <v>MR</v>
          </cell>
          <cell r="C1938">
            <v>22</v>
          </cell>
          <cell r="D1938">
            <v>12</v>
          </cell>
          <cell r="E1938" t="str">
            <v>KH157</v>
          </cell>
          <cell r="F1938">
            <v>17400</v>
          </cell>
          <cell r="G1938">
            <v>122.39</v>
          </cell>
          <cell r="H1938">
            <v>1.1499999999999999</v>
          </cell>
          <cell r="I1938" t="str">
            <v>From M1A to M4A - 50°</v>
          </cell>
          <cell r="J1938" t="str">
            <v>IE3</v>
          </cell>
          <cell r="K1938" t="str">
            <v>400/690</v>
          </cell>
          <cell r="L1938">
            <v>50</v>
          </cell>
          <cell r="M1938" t="str">
            <v>38,5/22,5</v>
          </cell>
          <cell r="N1938">
            <v>65</v>
          </cell>
          <cell r="O1938" t="str">
            <v>155(F)</v>
          </cell>
          <cell r="P1938" t="str">
            <v>270°</v>
          </cell>
          <cell r="Q1938" t="str">
            <v>TF</v>
          </cell>
          <cell r="R1938" t="str">
            <v>V(VE)</v>
          </cell>
          <cell r="S1938" t="str">
            <v>-</v>
          </cell>
          <cell r="T1938" t="str">
            <v>-</v>
          </cell>
          <cell r="U1938" t="str">
            <v>-</v>
          </cell>
          <cell r="V1938" t="str">
            <v>FC</v>
          </cell>
          <cell r="W1938" t="str">
            <v>YES</v>
          </cell>
          <cell r="X1938" t="str">
            <v>CLP HC 220 (-25/+60°C)</v>
          </cell>
          <cell r="Y1938" t="str">
            <v>KH157DRN180L4 /TF/V</v>
          </cell>
          <cell r="Z1938" t="str">
            <v>SEW</v>
          </cell>
          <cell r="AB1938" t="str">
            <v>-</v>
          </cell>
          <cell r="AF1938">
            <v>12</v>
          </cell>
          <cell r="AG1938" t="str">
            <v>DRN180L4</v>
          </cell>
          <cell r="AH1938" t="str">
            <v>KH157-DRN180L4A270-X#</v>
          </cell>
        </row>
        <row r="1939">
          <cell r="A1939" t="str">
            <v>MR001935</v>
          </cell>
          <cell r="B1939" t="str">
            <v>MR</v>
          </cell>
          <cell r="C1939">
            <v>22</v>
          </cell>
          <cell r="D1939">
            <v>12</v>
          </cell>
          <cell r="E1939" t="str">
            <v>KH157</v>
          </cell>
          <cell r="F1939">
            <v>17400</v>
          </cell>
          <cell r="G1939">
            <v>122.39</v>
          </cell>
          <cell r="H1939">
            <v>1.1499999999999999</v>
          </cell>
          <cell r="I1939" t="str">
            <v>From M1B to M4B - 50°</v>
          </cell>
          <cell r="J1939" t="str">
            <v>IE3</v>
          </cell>
          <cell r="K1939" t="str">
            <v>400/690</v>
          </cell>
          <cell r="L1939">
            <v>50</v>
          </cell>
          <cell r="M1939" t="str">
            <v>38,5/22,5</v>
          </cell>
          <cell r="N1939">
            <v>65</v>
          </cell>
          <cell r="O1939" t="str">
            <v>155(F)</v>
          </cell>
          <cell r="P1939" t="str">
            <v>270°</v>
          </cell>
          <cell r="Q1939" t="str">
            <v>TF</v>
          </cell>
          <cell r="R1939" t="str">
            <v>V(VE)</v>
          </cell>
          <cell r="S1939" t="str">
            <v>-</v>
          </cell>
          <cell r="T1939" t="str">
            <v>-</v>
          </cell>
          <cell r="U1939" t="str">
            <v>-</v>
          </cell>
          <cell r="V1939" t="str">
            <v>FC</v>
          </cell>
          <cell r="W1939" t="str">
            <v>YES</v>
          </cell>
          <cell r="X1939" t="str">
            <v>CLP HC 220 (-25/+60°C)</v>
          </cell>
          <cell r="Y1939" t="str">
            <v>KH157DRN180L4 /TF/V</v>
          </cell>
          <cell r="Z1939" t="str">
            <v>SEW</v>
          </cell>
          <cell r="AB1939" t="str">
            <v>-</v>
          </cell>
          <cell r="AF1939">
            <v>12</v>
          </cell>
          <cell r="AG1939" t="str">
            <v>DRN180L4</v>
          </cell>
          <cell r="AH1939" t="str">
            <v>KH157-DRN180L4B270-X#</v>
          </cell>
        </row>
        <row r="1940">
          <cell r="A1940" t="str">
            <v>MR001936</v>
          </cell>
          <cell r="B1940" t="str">
            <v>MR</v>
          </cell>
          <cell r="C1940">
            <v>15</v>
          </cell>
          <cell r="D1940">
            <v>9</v>
          </cell>
          <cell r="E1940" t="str">
            <v>FH157</v>
          </cell>
          <cell r="F1940">
            <v>15800</v>
          </cell>
          <cell r="G1940">
            <v>162.96</v>
          </cell>
          <cell r="H1940">
            <v>1.25</v>
          </cell>
          <cell r="I1940" t="str">
            <v>From M1 to M2 - 15°</v>
          </cell>
          <cell r="J1940" t="str">
            <v>IE3</v>
          </cell>
          <cell r="K1940" t="str">
            <v>400/690</v>
          </cell>
          <cell r="L1940">
            <v>50</v>
          </cell>
          <cell r="M1940" t="str">
            <v>29/16,7</v>
          </cell>
          <cell r="N1940">
            <v>65</v>
          </cell>
          <cell r="O1940" t="str">
            <v>155(F)</v>
          </cell>
          <cell r="P1940" t="str">
            <v>270°</v>
          </cell>
          <cell r="Q1940" t="str">
            <v>TF</v>
          </cell>
          <cell r="R1940" t="str">
            <v>V(VE)</v>
          </cell>
          <cell r="S1940" t="str">
            <v>-</v>
          </cell>
          <cell r="T1940" t="str">
            <v>-</v>
          </cell>
          <cell r="U1940" t="str">
            <v>G</v>
          </cell>
          <cell r="V1940" t="str">
            <v>FC</v>
          </cell>
          <cell r="W1940" t="str">
            <v>YES</v>
          </cell>
          <cell r="X1940" t="str">
            <v>CLP HC 220 (-25/+60°C)</v>
          </cell>
          <cell r="Y1940" t="str">
            <v>FH157/G DRN160L4 /TF/V</v>
          </cell>
          <cell r="Z1940" t="str">
            <v>SEW</v>
          </cell>
          <cell r="AB1940" t="str">
            <v>-</v>
          </cell>
          <cell r="AF1940">
            <v>9</v>
          </cell>
          <cell r="AG1940" t="str">
            <v>DRN160L4</v>
          </cell>
          <cell r="AH1940" t="str">
            <v>FH157G-DRN160L4270-X#</v>
          </cell>
        </row>
        <row r="1941">
          <cell r="A1941" t="str">
            <v>MR001937</v>
          </cell>
          <cell r="B1941" t="str">
            <v>MR</v>
          </cell>
          <cell r="C1941">
            <v>5.5</v>
          </cell>
          <cell r="D1941">
            <v>76</v>
          </cell>
          <cell r="E1941" t="str">
            <v>R87</v>
          </cell>
          <cell r="F1941">
            <v>685</v>
          </cell>
          <cell r="G1941">
            <v>19.100000000000001</v>
          </cell>
          <cell r="H1941">
            <v>2.1</v>
          </cell>
          <cell r="I1941" t="str">
            <v>From M1 to M2 - 15°</v>
          </cell>
          <cell r="J1941" t="str">
            <v>IE3</v>
          </cell>
          <cell r="K1941" t="str">
            <v>230/400</v>
          </cell>
          <cell r="L1941">
            <v>50</v>
          </cell>
          <cell r="M1941" t="str">
            <v>18,2/10,5</v>
          </cell>
          <cell r="N1941">
            <v>65</v>
          </cell>
          <cell r="O1941" t="str">
            <v>155(F)</v>
          </cell>
          <cell r="P1941" t="str">
            <v>270°</v>
          </cell>
          <cell r="Q1941" t="str">
            <v>-</v>
          </cell>
          <cell r="R1941" t="str">
            <v>-</v>
          </cell>
          <cell r="S1941" t="str">
            <v>-</v>
          </cell>
          <cell r="T1941" t="str">
            <v>-</v>
          </cell>
          <cell r="U1941" t="str">
            <v>-</v>
          </cell>
          <cell r="V1941" t="str">
            <v>D</v>
          </cell>
          <cell r="W1941" t="str">
            <v>YES</v>
          </cell>
          <cell r="X1941" t="str">
            <v>CLP HC 220 (-25/+60°C)</v>
          </cell>
          <cell r="Y1941" t="str">
            <v>R87DRN132S4</v>
          </cell>
          <cell r="Z1941" t="str">
            <v>SEW</v>
          </cell>
          <cell r="AB1941" t="str">
            <v>-</v>
          </cell>
          <cell r="AF1941">
            <v>76</v>
          </cell>
          <cell r="AG1941" t="str">
            <v>DRN132S4</v>
          </cell>
          <cell r="AH1941" t="str">
            <v>R87-DRN132S4270-X</v>
          </cell>
        </row>
        <row r="1942">
          <cell r="A1942" t="str">
            <v>MR001938</v>
          </cell>
          <cell r="B1942" t="str">
            <v>MR</v>
          </cell>
          <cell r="C1942">
            <v>30</v>
          </cell>
          <cell r="D1942">
            <v>37</v>
          </cell>
          <cell r="E1942" t="str">
            <v>R147</v>
          </cell>
          <cell r="F1942">
            <v>7800</v>
          </cell>
          <cell r="G1942">
            <v>40.29</v>
          </cell>
          <cell r="H1942">
            <v>1.65</v>
          </cell>
          <cell r="I1942" t="str">
            <v>M1</v>
          </cell>
          <cell r="J1942" t="str">
            <v>IE3</v>
          </cell>
          <cell r="K1942" t="str">
            <v>400/690</v>
          </cell>
          <cell r="L1942">
            <v>50</v>
          </cell>
          <cell r="M1942" t="str">
            <v>56/32,5</v>
          </cell>
          <cell r="N1942">
            <v>65</v>
          </cell>
          <cell r="O1942" t="str">
            <v>155(F)</v>
          </cell>
          <cell r="P1942" t="str">
            <v>270°</v>
          </cell>
          <cell r="Q1942" t="str">
            <v>-</v>
          </cell>
          <cell r="R1942" t="str">
            <v>-</v>
          </cell>
          <cell r="S1942" t="str">
            <v>Free rotation CW</v>
          </cell>
          <cell r="T1942" t="str">
            <v>-</v>
          </cell>
          <cell r="U1942" t="str">
            <v>-</v>
          </cell>
          <cell r="V1942" t="str">
            <v>SS</v>
          </cell>
          <cell r="W1942" t="str">
            <v>YES</v>
          </cell>
          <cell r="X1942" t="str">
            <v>CLP HC 220 (-25/+60°C)</v>
          </cell>
          <cell r="Y1942" t="str">
            <v>R147DRN200L4 /RS</v>
          </cell>
          <cell r="Z1942" t="str">
            <v>SEW</v>
          </cell>
          <cell r="AB1942" t="str">
            <v>-</v>
          </cell>
          <cell r="AF1942">
            <v>37</v>
          </cell>
          <cell r="AG1942" t="str">
            <v>DRN200L4</v>
          </cell>
          <cell r="AH1942" t="str">
            <v>R147-DRN200L4270-X</v>
          </cell>
        </row>
        <row r="1943">
          <cell r="A1943" t="str">
            <v>MR001939</v>
          </cell>
          <cell r="B1943" t="str">
            <v>MR</v>
          </cell>
          <cell r="C1943">
            <v>30</v>
          </cell>
          <cell r="D1943">
            <v>107</v>
          </cell>
          <cell r="E1943" t="str">
            <v>KH97</v>
          </cell>
          <cell r="F1943">
            <v>2680</v>
          </cell>
          <cell r="G1943">
            <v>13.85</v>
          </cell>
          <cell r="H1943">
            <v>1.6</v>
          </cell>
          <cell r="I1943" t="str">
            <v>M4A</v>
          </cell>
          <cell r="J1943" t="str">
            <v>IE3</v>
          </cell>
          <cell r="K1943" t="str">
            <v>400/690</v>
          </cell>
          <cell r="L1943">
            <v>50</v>
          </cell>
          <cell r="M1943" t="str">
            <v>56/32,5</v>
          </cell>
          <cell r="N1943">
            <v>65</v>
          </cell>
          <cell r="O1943" t="str">
            <v>155(F)</v>
          </cell>
          <cell r="P1943" t="str">
            <v>270°</v>
          </cell>
          <cell r="Q1943" t="str">
            <v>TF</v>
          </cell>
          <cell r="R1943" t="str">
            <v>V(VE)</v>
          </cell>
          <cell r="S1943" t="str">
            <v>Free rotation CCW</v>
          </cell>
          <cell r="T1943" t="str">
            <v>-</v>
          </cell>
          <cell r="U1943" t="str">
            <v>T</v>
          </cell>
          <cell r="V1943" t="str">
            <v>FC</v>
          </cell>
          <cell r="W1943" t="str">
            <v>YES</v>
          </cell>
          <cell r="X1943" t="str">
            <v>CLP HC 220 (-25/+60°C)</v>
          </cell>
          <cell r="Y1943" t="str">
            <v>KH97/T DRN200L4 /RS /TF/V</v>
          </cell>
          <cell r="Z1943" t="str">
            <v>SEW</v>
          </cell>
          <cell r="AB1943" t="str">
            <v>-</v>
          </cell>
          <cell r="AF1943">
            <v>107</v>
          </cell>
          <cell r="AG1943" t="str">
            <v>DRN200L4</v>
          </cell>
          <cell r="AH1943" t="str">
            <v>KH97T-DRN200L4A270-X#</v>
          </cell>
        </row>
        <row r="1944">
          <cell r="A1944" t="str">
            <v>MR001940</v>
          </cell>
          <cell r="B1944" t="str">
            <v>MR</v>
          </cell>
          <cell r="C1944">
            <v>0.75</v>
          </cell>
          <cell r="D1944">
            <v>162</v>
          </cell>
          <cell r="E1944" t="str">
            <v>KA37</v>
          </cell>
          <cell r="F1944">
            <v>44</v>
          </cell>
          <cell r="G1944">
            <v>8.91</v>
          </cell>
          <cell r="H1944">
            <v>3.6</v>
          </cell>
          <cell r="I1944" t="str">
            <v>M3A</v>
          </cell>
          <cell r="J1944" t="str">
            <v>IE3</v>
          </cell>
          <cell r="K1944" t="str">
            <v>230/400</v>
          </cell>
          <cell r="L1944">
            <v>50</v>
          </cell>
          <cell r="M1944" t="str">
            <v>3,05/1,75</v>
          </cell>
          <cell r="N1944">
            <v>65</v>
          </cell>
          <cell r="O1944" t="str">
            <v>155(F)</v>
          </cell>
          <cell r="P1944" t="str">
            <v>180°</v>
          </cell>
          <cell r="Q1944" t="str">
            <v>-</v>
          </cell>
          <cell r="R1944" t="str">
            <v>-</v>
          </cell>
          <cell r="S1944" t="str">
            <v>-</v>
          </cell>
          <cell r="T1944" t="str">
            <v>-</v>
          </cell>
          <cell r="U1944" t="str">
            <v>T</v>
          </cell>
          <cell r="V1944" t="str">
            <v>D</v>
          </cell>
          <cell r="W1944" t="str">
            <v>YES</v>
          </cell>
          <cell r="X1944" t="str">
            <v>CLP HC 220 (-25/+60°C)</v>
          </cell>
          <cell r="Y1944" t="str">
            <v>KA37/T DRN80M4</v>
          </cell>
          <cell r="Z1944" t="str">
            <v>SEW</v>
          </cell>
          <cell r="AB1944" t="str">
            <v>-</v>
          </cell>
          <cell r="AF1944">
            <v>162</v>
          </cell>
          <cell r="AG1944" t="str">
            <v>DRN80M4</v>
          </cell>
          <cell r="AH1944" t="str">
            <v>KA37T-DRN80M4A180-X</v>
          </cell>
        </row>
        <row r="1945">
          <cell r="A1945" t="str">
            <v>MR001941</v>
          </cell>
          <cell r="B1945" t="str">
            <v>ME</v>
          </cell>
          <cell r="C1945">
            <v>45</v>
          </cell>
          <cell r="D1945">
            <v>1478</v>
          </cell>
          <cell r="F1945">
            <v>290</v>
          </cell>
          <cell r="I1945" t="str">
            <v>IM B5 V</v>
          </cell>
          <cell r="J1945" t="str">
            <v>IE3</v>
          </cell>
          <cell r="K1945">
            <v>400</v>
          </cell>
          <cell r="L1945">
            <v>50</v>
          </cell>
          <cell r="M1945">
            <v>80</v>
          </cell>
          <cell r="N1945">
            <v>55</v>
          </cell>
          <cell r="O1945" t="str">
            <v>155(F)</v>
          </cell>
          <cell r="P1945" t="str">
            <v>Top</v>
          </cell>
          <cell r="Q1945" t="str">
            <v>-</v>
          </cell>
          <cell r="R1945" t="str">
            <v>-</v>
          </cell>
          <cell r="S1945" t="str">
            <v>-</v>
          </cell>
          <cell r="T1945" t="str">
            <v>-</v>
          </cell>
          <cell r="U1945" t="str">
            <v>-</v>
          </cell>
          <cell r="V1945" t="str">
            <v>D</v>
          </cell>
          <cell r="W1945" t="str">
            <v>-</v>
          </cell>
          <cell r="X1945" t="str">
            <v>-</v>
          </cell>
          <cell r="Y1945" t="str">
            <v>1MB1523-2BB23-4GA4-Z H00</v>
          </cell>
          <cell r="Z1945" t="str">
            <v>SIEMENS</v>
          </cell>
          <cell r="AB1945" t="str">
            <v>ATEX22</v>
          </cell>
          <cell r="AE1945" t="str">
            <v>4 POLES</v>
          </cell>
          <cell r="AF1945">
            <v>1478</v>
          </cell>
          <cell r="AG1945" t="str">
            <v>EDRN225M4</v>
          </cell>
          <cell r="AH1945" t="str">
            <v>-EDRN225M4BTop-X</v>
          </cell>
        </row>
        <row r="1946">
          <cell r="A1946" t="str">
            <v>MR001942</v>
          </cell>
          <cell r="B1946" t="str">
            <v>ME</v>
          </cell>
          <cell r="C1946">
            <v>3</v>
          </cell>
          <cell r="D1946">
            <v>2920</v>
          </cell>
          <cell r="F1946">
            <v>9.8000000000000007</v>
          </cell>
          <cell r="I1946" t="str">
            <v>IM B5</v>
          </cell>
          <cell r="J1946" t="str">
            <v>IE3</v>
          </cell>
          <cell r="K1946">
            <v>400</v>
          </cell>
          <cell r="L1946">
            <v>50</v>
          </cell>
          <cell r="M1946">
            <v>5.6</v>
          </cell>
          <cell r="N1946">
            <v>55</v>
          </cell>
          <cell r="O1946" t="str">
            <v>155(F)</v>
          </cell>
          <cell r="P1946" t="str">
            <v>Top</v>
          </cell>
          <cell r="Q1946" t="str">
            <v>-</v>
          </cell>
          <cell r="R1946" t="str">
            <v>-</v>
          </cell>
          <cell r="S1946" t="str">
            <v>-</v>
          </cell>
          <cell r="T1946" t="str">
            <v>-</v>
          </cell>
          <cell r="U1946" t="str">
            <v>-</v>
          </cell>
          <cell r="V1946" t="str">
            <v>D</v>
          </cell>
          <cell r="W1946" t="str">
            <v>-</v>
          </cell>
          <cell r="X1946" t="str">
            <v>-</v>
          </cell>
          <cell r="Y1946" t="str">
            <v>1MB1023-1AA42-2GA4-Z H00</v>
          </cell>
          <cell r="Z1946" t="str">
            <v>SIEMENS</v>
          </cell>
          <cell r="AB1946" t="str">
            <v>ATEX22</v>
          </cell>
          <cell r="AE1946" t="str">
            <v>2 POLES</v>
          </cell>
          <cell r="AF1946">
            <v>2920</v>
          </cell>
          <cell r="AG1946" t="str">
            <v>EDRN100L4</v>
          </cell>
          <cell r="AH1946" t="str">
            <v>-EDRN100L4BTop-X</v>
          </cell>
        </row>
        <row r="1947">
          <cell r="A1947" t="str">
            <v>MR001943</v>
          </cell>
          <cell r="B1947" t="str">
            <v>MR</v>
          </cell>
          <cell r="C1947">
            <v>11</v>
          </cell>
          <cell r="D1947">
            <v>45</v>
          </cell>
          <cell r="E1947" t="str">
            <v>FH97</v>
          </cell>
          <cell r="F1947">
            <v>2320</v>
          </cell>
          <cell r="G1947">
            <v>32.5</v>
          </cell>
          <cell r="H1947">
            <v>1.85</v>
          </cell>
          <cell r="I1947" t="str">
            <v>M1</v>
          </cell>
          <cell r="J1947" t="str">
            <v>IE3</v>
          </cell>
          <cell r="K1947" t="str">
            <v>400/690</v>
          </cell>
          <cell r="L1947">
            <v>50</v>
          </cell>
          <cell r="M1947" t="str">
            <v>21/12,2</v>
          </cell>
          <cell r="N1947">
            <v>65</v>
          </cell>
          <cell r="O1947" t="str">
            <v>155(F)</v>
          </cell>
          <cell r="P1947" t="str">
            <v>270°</v>
          </cell>
          <cell r="Q1947" t="str">
            <v>-</v>
          </cell>
          <cell r="R1947" t="str">
            <v>-</v>
          </cell>
          <cell r="S1947" t="str">
            <v>-</v>
          </cell>
          <cell r="T1947" t="str">
            <v>-</v>
          </cell>
          <cell r="U1947" t="str">
            <v>G</v>
          </cell>
          <cell r="V1947" t="str">
            <v>D</v>
          </cell>
          <cell r="W1947" t="str">
            <v>YES</v>
          </cell>
          <cell r="X1947" t="str">
            <v>CLP HC 220 (-25/+60°C)</v>
          </cell>
          <cell r="Y1947" t="str">
            <v>FH97/GDRN160M4</v>
          </cell>
          <cell r="Z1947" t="str">
            <v>SEW</v>
          </cell>
          <cell r="AB1947" t="str">
            <v>-</v>
          </cell>
          <cell r="AF1947">
            <v>45</v>
          </cell>
          <cell r="AG1947" t="str">
            <v>DRN160M4</v>
          </cell>
          <cell r="AH1947" t="str">
            <v>FH97G-DRN160M4270-X</v>
          </cell>
        </row>
        <row r="1948">
          <cell r="A1948" t="str">
            <v>MR001944</v>
          </cell>
          <cell r="B1948" t="str">
            <v>MR</v>
          </cell>
          <cell r="C1948">
            <v>11</v>
          </cell>
          <cell r="D1948">
            <v>16</v>
          </cell>
          <cell r="E1948" t="str">
            <v>FH107</v>
          </cell>
          <cell r="F1948">
            <v>6590</v>
          </cell>
          <cell r="G1948">
            <v>92.47</v>
          </cell>
          <cell r="H1948">
            <v>1.1499999999999999</v>
          </cell>
          <cell r="I1948" t="str">
            <v>M1</v>
          </cell>
          <cell r="J1948" t="str">
            <v>IE3</v>
          </cell>
          <cell r="K1948" t="str">
            <v>400/690</v>
          </cell>
          <cell r="L1948">
            <v>50</v>
          </cell>
          <cell r="M1948" t="str">
            <v>21/12,2</v>
          </cell>
          <cell r="N1948">
            <v>55</v>
          </cell>
          <cell r="O1948" t="str">
            <v>155(F)</v>
          </cell>
          <cell r="P1948" t="str">
            <v>270°</v>
          </cell>
          <cell r="Q1948" t="str">
            <v>TF</v>
          </cell>
          <cell r="R1948" t="str">
            <v>V(VE)</v>
          </cell>
          <cell r="S1948" t="str">
            <v>-</v>
          </cell>
          <cell r="T1948" t="str">
            <v>-</v>
          </cell>
          <cell r="U1948" t="str">
            <v>G</v>
          </cell>
          <cell r="V1948" t="str">
            <v>FC</v>
          </cell>
          <cell r="W1948" t="str">
            <v>-</v>
          </cell>
          <cell r="X1948" t="str">
            <v>CLP 220 (-15/+40°C)</v>
          </cell>
          <cell r="Y1948" t="str">
            <v>FH107/G DRN160M4 /TF/V</v>
          </cell>
          <cell r="Z1948" t="str">
            <v>SEW</v>
          </cell>
          <cell r="AB1948" t="str">
            <v>-</v>
          </cell>
          <cell r="AF1948">
            <v>16</v>
          </cell>
          <cell r="AG1948" t="str">
            <v>DRN160M4</v>
          </cell>
          <cell r="AH1948" t="str">
            <v>FH107G-DRN160M4270-X#</v>
          </cell>
        </row>
        <row r="1949">
          <cell r="A1949" t="str">
            <v>MR001945</v>
          </cell>
          <cell r="B1949" t="str">
            <v>MR</v>
          </cell>
          <cell r="C1949">
            <v>7.5</v>
          </cell>
          <cell r="D1949">
            <v>57</v>
          </cell>
          <cell r="E1949" t="str">
            <v>KH77</v>
          </cell>
          <cell r="F1949">
            <v>1240</v>
          </cell>
          <cell r="G1949">
            <v>25.62</v>
          </cell>
          <cell r="H1949">
            <v>1.25</v>
          </cell>
          <cell r="I1949" t="str">
            <v>M4B</v>
          </cell>
          <cell r="J1949" t="str">
            <v>IE3</v>
          </cell>
          <cell r="K1949" t="str">
            <v>400/690</v>
          </cell>
          <cell r="L1949">
            <v>50</v>
          </cell>
          <cell r="M1949" t="str">
            <v>15,2/8,8</v>
          </cell>
          <cell r="N1949">
            <v>65</v>
          </cell>
          <cell r="O1949" t="str">
            <v>155(F)</v>
          </cell>
          <cell r="P1949" t="str">
            <v>270°</v>
          </cell>
          <cell r="Q1949" t="str">
            <v>-</v>
          </cell>
          <cell r="R1949" t="str">
            <v>-</v>
          </cell>
          <cell r="S1949" t="str">
            <v>Free rotation CW</v>
          </cell>
          <cell r="T1949" t="str">
            <v>-</v>
          </cell>
          <cell r="U1949" t="str">
            <v>T</v>
          </cell>
          <cell r="V1949" t="str">
            <v>SS</v>
          </cell>
          <cell r="W1949" t="str">
            <v>-</v>
          </cell>
          <cell r="X1949" t="str">
            <v>CLP 220 (-15/+40°C)</v>
          </cell>
          <cell r="Y1949" t="str">
            <v>KH77/T DRN132M4 /RS</v>
          </cell>
          <cell r="Z1949" t="str">
            <v>SEW</v>
          </cell>
          <cell r="AB1949" t="str">
            <v>-</v>
          </cell>
          <cell r="AF1949">
            <v>57</v>
          </cell>
          <cell r="AG1949" t="str">
            <v>DRN132M4</v>
          </cell>
          <cell r="AH1949" t="str">
            <v>KH77T-DRN132M4B270-X</v>
          </cell>
        </row>
        <row r="1950">
          <cell r="A1950" t="str">
            <v>MR001946</v>
          </cell>
          <cell r="B1950" t="str">
            <v>MR</v>
          </cell>
          <cell r="C1950">
            <v>0.75</v>
          </cell>
          <cell r="D1950">
            <v>162</v>
          </cell>
          <cell r="E1950" t="str">
            <v>KA37</v>
          </cell>
          <cell r="F1950">
            <v>44</v>
          </cell>
          <cell r="G1950">
            <v>8.91</v>
          </cell>
          <cell r="H1950">
            <v>3.6</v>
          </cell>
          <cell r="I1950" t="str">
            <v>From M1B to M2B - 15°</v>
          </cell>
          <cell r="J1950" t="str">
            <v>IE3</v>
          </cell>
          <cell r="K1950">
            <v>400</v>
          </cell>
          <cell r="L1950">
            <v>50</v>
          </cell>
          <cell r="M1950">
            <v>1.75</v>
          </cell>
          <cell r="N1950">
            <v>65</v>
          </cell>
          <cell r="O1950" t="str">
            <v>155(F)</v>
          </cell>
          <cell r="P1950" t="str">
            <v>0°</v>
          </cell>
          <cell r="Q1950" t="str">
            <v>-</v>
          </cell>
          <cell r="R1950" t="str">
            <v>-</v>
          </cell>
          <cell r="S1950" t="str">
            <v>-</v>
          </cell>
          <cell r="T1950" t="str">
            <v>-</v>
          </cell>
          <cell r="U1950" t="str">
            <v>T</v>
          </cell>
          <cell r="V1950" t="str">
            <v>D</v>
          </cell>
          <cell r="W1950" t="str">
            <v>-</v>
          </cell>
          <cell r="X1950" t="str">
            <v>CLP 220 (-15/+40°C)</v>
          </cell>
          <cell r="Y1950" t="str">
            <v>KA37/T DRN80M4</v>
          </cell>
          <cell r="Z1950" t="str">
            <v>SEW</v>
          </cell>
          <cell r="AB1950" t="str">
            <v>-</v>
          </cell>
          <cell r="AF1950">
            <v>162</v>
          </cell>
          <cell r="AG1950" t="str">
            <v>DRN80M4</v>
          </cell>
          <cell r="AH1950" t="str">
            <v>KA37T-DRN80M4B0-X</v>
          </cell>
        </row>
        <row r="1951">
          <cell r="A1951" t="str">
            <v>MR001947</v>
          </cell>
          <cell r="B1951" t="str">
            <v>MR</v>
          </cell>
          <cell r="C1951">
            <v>9.1999999999999993</v>
          </cell>
          <cell r="D1951">
            <v>62</v>
          </cell>
          <cell r="E1951" t="str">
            <v>FH87</v>
          </cell>
          <cell r="F1951">
            <v>1410</v>
          </cell>
          <cell r="G1951">
            <v>23.68</v>
          </cell>
          <cell r="H1951">
            <v>2.1</v>
          </cell>
          <cell r="I1951" t="str">
            <v>From M1 to M4 - 35°</v>
          </cell>
          <cell r="J1951" t="str">
            <v>IE3</v>
          </cell>
          <cell r="K1951" t="str">
            <v>400/690</v>
          </cell>
          <cell r="L1951">
            <v>50</v>
          </cell>
          <cell r="M1951" t="str">
            <v>18,7/10,8</v>
          </cell>
          <cell r="N1951">
            <v>65</v>
          </cell>
          <cell r="O1951" t="str">
            <v>155(F)</v>
          </cell>
          <cell r="P1951" t="str">
            <v>270°</v>
          </cell>
          <cell r="Q1951" t="str">
            <v>-</v>
          </cell>
          <cell r="R1951" t="str">
            <v>-</v>
          </cell>
          <cell r="S1951" t="str">
            <v>-</v>
          </cell>
          <cell r="T1951" t="str">
            <v>-</v>
          </cell>
          <cell r="U1951" t="str">
            <v>G</v>
          </cell>
          <cell r="V1951" t="str">
            <v>D</v>
          </cell>
          <cell r="W1951" t="str">
            <v>-</v>
          </cell>
          <cell r="X1951" t="str">
            <v>CLP 220 (-15/+40°C)</v>
          </cell>
          <cell r="Y1951" t="str">
            <v>FH87/G DRN132L4</v>
          </cell>
          <cell r="Z1951" t="str">
            <v>SEW</v>
          </cell>
          <cell r="AB1951" t="str">
            <v>-</v>
          </cell>
          <cell r="AF1951">
            <v>62</v>
          </cell>
          <cell r="AG1951" t="str">
            <v>DRN132L4</v>
          </cell>
          <cell r="AH1951" t="str">
            <v>FH87G-DRN132L4270-X</v>
          </cell>
        </row>
        <row r="1952">
          <cell r="A1952" t="str">
            <v>MR001948</v>
          </cell>
          <cell r="B1952" t="str">
            <v>MR</v>
          </cell>
          <cell r="C1952">
            <v>18.5</v>
          </cell>
          <cell r="D1952">
            <v>102</v>
          </cell>
          <cell r="E1952" t="str">
            <v>KH87</v>
          </cell>
          <cell r="F1952">
            <v>1730</v>
          </cell>
          <cell r="G1952">
            <v>14.45</v>
          </cell>
          <cell r="H1952">
            <v>1.2</v>
          </cell>
          <cell r="I1952" t="str">
            <v>M4A</v>
          </cell>
          <cell r="J1952" t="str">
            <v>IE3</v>
          </cell>
          <cell r="K1952" t="str">
            <v>400/690</v>
          </cell>
          <cell r="L1952">
            <v>50</v>
          </cell>
          <cell r="M1952" t="str">
            <v>33,5/19,3</v>
          </cell>
          <cell r="N1952">
            <v>65</v>
          </cell>
          <cell r="O1952" t="str">
            <v>155(F)</v>
          </cell>
          <cell r="P1952" t="str">
            <v>270°</v>
          </cell>
          <cell r="Q1952" t="str">
            <v>TF</v>
          </cell>
          <cell r="R1952" t="str">
            <v>V(VE)</v>
          </cell>
          <cell r="S1952" t="str">
            <v>Free rotation CCW</v>
          </cell>
          <cell r="T1952" t="str">
            <v>-</v>
          </cell>
          <cell r="U1952" t="str">
            <v>T</v>
          </cell>
          <cell r="V1952" t="str">
            <v>FC</v>
          </cell>
          <cell r="W1952" t="str">
            <v>YES</v>
          </cell>
          <cell r="X1952" t="str">
            <v>CLP HC 220 (-25/+60°C)</v>
          </cell>
          <cell r="Y1952" t="str">
            <v>KH87/T DRN180M4 /RS /TF/V</v>
          </cell>
          <cell r="Z1952" t="str">
            <v>SEW</v>
          </cell>
          <cell r="AB1952" t="str">
            <v>-</v>
          </cell>
          <cell r="AF1952">
            <v>102</v>
          </cell>
          <cell r="AG1952" t="str">
            <v>DRN180M4</v>
          </cell>
          <cell r="AH1952" t="str">
            <v>KH87T-DRN180M4A270-X#</v>
          </cell>
        </row>
        <row r="1953">
          <cell r="A1953" t="str">
            <v>MR001949</v>
          </cell>
          <cell r="B1953" t="str">
            <v>MR</v>
          </cell>
          <cell r="C1953">
            <v>15</v>
          </cell>
          <cell r="D1953">
            <v>59</v>
          </cell>
          <cell r="E1953" t="str">
            <v>FH97</v>
          </cell>
          <cell r="F1953">
            <v>2420</v>
          </cell>
          <cell r="G1953">
            <v>24.92</v>
          </cell>
          <cell r="H1953">
            <v>1.8</v>
          </cell>
          <cell r="I1953" t="str">
            <v>From M1 to M4 - 30°</v>
          </cell>
          <cell r="J1953" t="str">
            <v>IE3</v>
          </cell>
          <cell r="K1953" t="str">
            <v>400/690</v>
          </cell>
          <cell r="L1953">
            <v>50</v>
          </cell>
          <cell r="M1953" t="str">
            <v>29/16,7</v>
          </cell>
          <cell r="N1953">
            <v>65</v>
          </cell>
          <cell r="O1953" t="str">
            <v>155(F)</v>
          </cell>
          <cell r="P1953" t="str">
            <v>270°</v>
          </cell>
          <cell r="Q1953" t="str">
            <v>-</v>
          </cell>
          <cell r="R1953" t="str">
            <v>-</v>
          </cell>
          <cell r="S1953" t="str">
            <v>-</v>
          </cell>
          <cell r="T1953" t="str">
            <v>-</v>
          </cell>
          <cell r="U1953" t="str">
            <v>G</v>
          </cell>
          <cell r="V1953" t="str">
            <v>D</v>
          </cell>
          <cell r="W1953" t="str">
            <v>-</v>
          </cell>
          <cell r="X1953" t="str">
            <v>CLP 220 (-15/+40°C)</v>
          </cell>
          <cell r="Y1953" t="str">
            <v>FH97/G DRN160L4</v>
          </cell>
          <cell r="Z1953" t="str">
            <v>SEW</v>
          </cell>
          <cell r="AB1953" t="str">
            <v>-</v>
          </cell>
          <cell r="AF1953">
            <v>59</v>
          </cell>
          <cell r="AG1953" t="str">
            <v>DRN160L4</v>
          </cell>
          <cell r="AH1953" t="str">
            <v>FH97G-DRN160L4270-X</v>
          </cell>
        </row>
        <row r="1954">
          <cell r="A1954" t="str">
            <v>MR001950</v>
          </cell>
          <cell r="B1954" t="str">
            <v>ME</v>
          </cell>
          <cell r="C1954">
            <v>45</v>
          </cell>
          <cell r="D1954">
            <v>1475</v>
          </cell>
          <cell r="E1954" t="str">
            <v>1LE1503</v>
          </cell>
          <cell r="F1954">
            <v>291.39999999999998</v>
          </cell>
          <cell r="I1954" t="str">
            <v>V1/B5</v>
          </cell>
          <cell r="J1954" t="str">
            <v>IE3</v>
          </cell>
          <cell r="K1954">
            <v>400</v>
          </cell>
          <cell r="L1954">
            <v>50</v>
          </cell>
          <cell r="M1954">
            <v>81</v>
          </cell>
          <cell r="N1954">
            <v>65</v>
          </cell>
          <cell r="O1954" t="str">
            <v>155(F)</v>
          </cell>
          <cell r="R1954" t="str">
            <v>-</v>
          </cell>
          <cell r="V1954" t="str">
            <v>D</v>
          </cell>
          <cell r="W1954" t="str">
            <v>YES</v>
          </cell>
          <cell r="Y1954" t="str">
            <v>1LE1503-2BB23-4FA4-Z</v>
          </cell>
          <cell r="Z1954" t="str">
            <v>SIEMENS</v>
          </cell>
          <cell r="AB1954" t="str">
            <v>-</v>
          </cell>
          <cell r="AE1954" t="str">
            <v>4 POLES</v>
          </cell>
          <cell r="AF1954">
            <v>1475</v>
          </cell>
          <cell r="AG1954" t="str">
            <v>DRN225M4</v>
          </cell>
          <cell r="AH1954" t="str">
            <v>1LE1503-DRN225M4B-X</v>
          </cell>
        </row>
        <row r="1955">
          <cell r="A1955" t="str">
            <v>MR001951</v>
          </cell>
          <cell r="B1955" t="str">
            <v>ME</v>
          </cell>
          <cell r="C1955">
            <v>4</v>
          </cell>
          <cell r="D1955">
            <v>3000</v>
          </cell>
          <cell r="E1955" t="str">
            <v>1LE1003</v>
          </cell>
          <cell r="F1955">
            <v>9.8000000000000007</v>
          </cell>
          <cell r="I1955" t="str">
            <v>B5</v>
          </cell>
          <cell r="J1955" t="str">
            <v>IE3</v>
          </cell>
          <cell r="K1955">
            <v>400</v>
          </cell>
          <cell r="L1955">
            <v>50</v>
          </cell>
          <cell r="M1955">
            <v>7.9</v>
          </cell>
          <cell r="N1955">
            <v>65</v>
          </cell>
          <cell r="O1955" t="str">
            <v>155(F)</v>
          </cell>
          <cell r="R1955" t="str">
            <v>-</v>
          </cell>
          <cell r="V1955" t="str">
            <v>D</v>
          </cell>
          <cell r="W1955" t="str">
            <v>YES</v>
          </cell>
          <cell r="Y1955" t="str">
            <v>1LE1003-1BA22-2FA4-Z</v>
          </cell>
          <cell r="Z1955" t="str">
            <v>SIEMENS</v>
          </cell>
          <cell r="AB1955" t="str">
            <v>-</v>
          </cell>
          <cell r="AE1955" t="str">
            <v>2 POLES</v>
          </cell>
          <cell r="AF1955">
            <v>3000</v>
          </cell>
          <cell r="AG1955" t="str">
            <v>DRN112M4</v>
          </cell>
          <cell r="AH1955" t="str">
            <v>1LE1003-DRN112M4B-X</v>
          </cell>
        </row>
        <row r="1956">
          <cell r="A1956" t="str">
            <v>MR001952</v>
          </cell>
          <cell r="B1956" t="str">
            <v>ME</v>
          </cell>
          <cell r="C1956">
            <v>45</v>
          </cell>
          <cell r="D1956">
            <v>1475</v>
          </cell>
          <cell r="E1956" t="str">
            <v>1LE1503</v>
          </cell>
          <cell r="F1956">
            <v>291.39999999999998</v>
          </cell>
          <cell r="I1956" t="str">
            <v>V1/B5</v>
          </cell>
          <cell r="J1956" t="str">
            <v>IE3</v>
          </cell>
          <cell r="K1956" t="str">
            <v>400/690</v>
          </cell>
          <cell r="L1956">
            <v>50</v>
          </cell>
          <cell r="N1956">
            <v>55</v>
          </cell>
          <cell r="O1956" t="str">
            <v>155(F)</v>
          </cell>
          <cell r="Q1956" t="str">
            <v>TF</v>
          </cell>
          <cell r="R1956" t="str">
            <v>-</v>
          </cell>
          <cell r="S1956" t="str">
            <v>-</v>
          </cell>
          <cell r="T1956" t="str">
            <v>-</v>
          </cell>
          <cell r="U1956" t="str">
            <v>-</v>
          </cell>
          <cell r="V1956" t="str">
            <v>D</v>
          </cell>
          <cell r="W1956" t="str">
            <v>-</v>
          </cell>
          <cell r="Y1956" t="str">
            <v>1LE1503-2BB23-4FB4</v>
          </cell>
          <cell r="Z1956" t="str">
            <v>SIEMENS</v>
          </cell>
          <cell r="AE1956" t="str">
            <v>4 POLES</v>
          </cell>
          <cell r="AF1956">
            <v>1475</v>
          </cell>
          <cell r="AG1956" t="str">
            <v>DRN225M4</v>
          </cell>
          <cell r="AH1956" t="str">
            <v>1LE1503-DRN225M4B-X</v>
          </cell>
        </row>
        <row r="1957">
          <cell r="A1957" t="str">
            <v>MR001953</v>
          </cell>
          <cell r="B1957" t="str">
            <v>MR</v>
          </cell>
          <cell r="C1957">
            <v>4</v>
          </cell>
          <cell r="D1957">
            <v>67</v>
          </cell>
          <cell r="E1957" t="str">
            <v>FH67</v>
          </cell>
          <cell r="F1957">
            <v>575</v>
          </cell>
          <cell r="G1957">
            <v>22.05</v>
          </cell>
          <cell r="H1957">
            <v>1.45</v>
          </cell>
          <cell r="I1957" t="str">
            <v>From M1 to M6 - 20°</v>
          </cell>
          <cell r="J1957" t="str">
            <v>IE3</v>
          </cell>
          <cell r="K1957" t="str">
            <v>230/400</v>
          </cell>
          <cell r="L1957">
            <v>50</v>
          </cell>
          <cell r="M1957" t="str">
            <v>13,8/7,9</v>
          </cell>
          <cell r="N1957">
            <v>55</v>
          </cell>
          <cell r="O1957" t="str">
            <v>F(105°C)</v>
          </cell>
          <cell r="P1957" t="str">
            <v>270°</v>
          </cell>
          <cell r="Q1957" t="str">
            <v>TF</v>
          </cell>
          <cell r="R1957" t="str">
            <v>-</v>
          </cell>
          <cell r="S1957" t="str">
            <v>-</v>
          </cell>
          <cell r="T1957" t="str">
            <v>-</v>
          </cell>
          <cell r="U1957" t="str">
            <v>G</v>
          </cell>
          <cell r="V1957" t="str">
            <v>D</v>
          </cell>
          <cell r="W1957" t="str">
            <v>-</v>
          </cell>
          <cell r="X1957" t="str">
            <v>CLP 220 (-15/+40°C)</v>
          </cell>
          <cell r="Y1957" t="str">
            <v>FH67/G DRN112M4 /TF</v>
          </cell>
          <cell r="Z1957" t="str">
            <v>SEW</v>
          </cell>
          <cell r="AB1957" t="str">
            <v>-</v>
          </cell>
          <cell r="AF1957">
            <v>67</v>
          </cell>
          <cell r="AG1957" t="str">
            <v>DRN112M4</v>
          </cell>
          <cell r="AH1957" t="str">
            <v>FH67G-DRN112M4270-X</v>
          </cell>
        </row>
        <row r="1958">
          <cell r="A1958" t="str">
            <v>MR001954</v>
          </cell>
          <cell r="B1958" t="str">
            <v>MR</v>
          </cell>
          <cell r="C1958">
            <v>7.5</v>
          </cell>
          <cell r="D1958">
            <v>10</v>
          </cell>
          <cell r="E1958" t="str">
            <v>KH107</v>
          </cell>
          <cell r="F1958">
            <v>6990</v>
          </cell>
          <cell r="G1958">
            <v>143.47</v>
          </cell>
          <cell r="H1958">
            <v>1.1499999999999999</v>
          </cell>
          <cell r="I1958" t="str">
            <v>From M4B to M3B - 10°</v>
          </cell>
          <cell r="J1958" t="str">
            <v>IE3</v>
          </cell>
          <cell r="K1958" t="str">
            <v>400/690</v>
          </cell>
          <cell r="L1958">
            <v>50</v>
          </cell>
          <cell r="M1958" t="str">
            <v>15,2/8,8</v>
          </cell>
          <cell r="N1958">
            <v>55</v>
          </cell>
          <cell r="O1958" t="str">
            <v>F(105°C)</v>
          </cell>
          <cell r="P1958" t="str">
            <v>270°</v>
          </cell>
          <cell r="Q1958" t="str">
            <v>TF</v>
          </cell>
          <cell r="R1958" t="str">
            <v>V(VE)</v>
          </cell>
          <cell r="S1958" t="str">
            <v>-</v>
          </cell>
          <cell r="T1958" t="str">
            <v>-</v>
          </cell>
          <cell r="U1958" t="str">
            <v>-</v>
          </cell>
          <cell r="V1958" t="str">
            <v>FC</v>
          </cell>
          <cell r="W1958" t="str">
            <v>-</v>
          </cell>
          <cell r="X1958" t="str">
            <v>CLP 220 (-15/+40°C)</v>
          </cell>
          <cell r="Y1958" t="str">
            <v>KH107DRN132M4 /TF/V</v>
          </cell>
          <cell r="Z1958" t="str">
            <v>SEW</v>
          </cell>
          <cell r="AB1958" t="str">
            <v>-</v>
          </cell>
          <cell r="AE1958" t="str">
            <v>Work frequency 50Hz for 0,2m/sec</v>
          </cell>
          <cell r="AF1958">
            <v>10</v>
          </cell>
          <cell r="AG1958" t="str">
            <v>DRN132M4</v>
          </cell>
          <cell r="AH1958" t="str">
            <v>KH107-DRN132M4B270-X#</v>
          </cell>
        </row>
        <row r="1959">
          <cell r="A1959" t="str">
            <v>MR001955</v>
          </cell>
          <cell r="B1959" t="str">
            <v>MR</v>
          </cell>
          <cell r="C1959">
            <v>7.5</v>
          </cell>
          <cell r="D1959">
            <v>10</v>
          </cell>
          <cell r="E1959" t="str">
            <v>KH107</v>
          </cell>
          <cell r="F1959">
            <v>6990</v>
          </cell>
          <cell r="G1959">
            <v>143.47</v>
          </cell>
          <cell r="H1959">
            <v>1.1499999999999999</v>
          </cell>
          <cell r="I1959" t="str">
            <v>From M4B to M3B - 20°</v>
          </cell>
          <cell r="J1959" t="str">
            <v>IE3</v>
          </cell>
          <cell r="K1959" t="str">
            <v>400/690</v>
          </cell>
          <cell r="L1959">
            <v>50</v>
          </cell>
          <cell r="M1959" t="str">
            <v>15,2/8,8</v>
          </cell>
          <cell r="N1959">
            <v>55</v>
          </cell>
          <cell r="O1959" t="str">
            <v>F(105°C)</v>
          </cell>
          <cell r="P1959" t="str">
            <v>270°</v>
          </cell>
          <cell r="Q1959" t="str">
            <v>TF</v>
          </cell>
          <cell r="R1959" t="str">
            <v>V(VE)</v>
          </cell>
          <cell r="S1959" t="str">
            <v>-</v>
          </cell>
          <cell r="T1959" t="str">
            <v>-</v>
          </cell>
          <cell r="U1959" t="str">
            <v>-</v>
          </cell>
          <cell r="V1959" t="str">
            <v>FC</v>
          </cell>
          <cell r="W1959" t="str">
            <v>-</v>
          </cell>
          <cell r="X1959" t="str">
            <v>CLP 220 (-15/+40°C)</v>
          </cell>
          <cell r="Y1959" t="str">
            <v>KH107DRN132M4 /TF/V</v>
          </cell>
          <cell r="Z1959" t="str">
            <v>SEW</v>
          </cell>
          <cell r="AB1959" t="str">
            <v>-</v>
          </cell>
          <cell r="AE1959" t="str">
            <v>Work frequency 50Hz for 0,2m/sec</v>
          </cell>
          <cell r="AF1959">
            <v>10</v>
          </cell>
          <cell r="AG1959" t="str">
            <v>DRN132M4</v>
          </cell>
          <cell r="AH1959" t="str">
            <v>KH107-DRN132M4B270-X#</v>
          </cell>
        </row>
        <row r="1960">
          <cell r="A1960" t="str">
            <v>MR001956</v>
          </cell>
          <cell r="B1960" t="str">
            <v>MR</v>
          </cell>
          <cell r="C1960">
            <v>5.5</v>
          </cell>
          <cell r="D1960">
            <v>47</v>
          </cell>
          <cell r="E1960" t="str">
            <v>K77</v>
          </cell>
          <cell r="F1960">
            <v>1110</v>
          </cell>
          <cell r="G1960">
            <v>30.89</v>
          </cell>
          <cell r="H1960">
            <v>1.4</v>
          </cell>
          <cell r="I1960" t="str">
            <v>M4A</v>
          </cell>
          <cell r="J1960" t="str">
            <v>IE3</v>
          </cell>
          <cell r="K1960" t="str">
            <v>230/400</v>
          </cell>
          <cell r="L1960">
            <v>50</v>
          </cell>
          <cell r="M1960" t="str">
            <v>18,2/10,5</v>
          </cell>
          <cell r="N1960">
            <v>55</v>
          </cell>
          <cell r="O1960" t="str">
            <v>F(105°C)</v>
          </cell>
          <cell r="P1960" t="str">
            <v>270°</v>
          </cell>
          <cell r="Q1960" t="str">
            <v>TF</v>
          </cell>
          <cell r="R1960" t="str">
            <v>V(VE)</v>
          </cell>
          <cell r="S1960" t="str">
            <v>-</v>
          </cell>
          <cell r="T1960" t="str">
            <v>-</v>
          </cell>
          <cell r="U1960" t="str">
            <v>-</v>
          </cell>
          <cell r="V1960" t="str">
            <v>FC</v>
          </cell>
          <cell r="W1960" t="str">
            <v>-</v>
          </cell>
          <cell r="X1960" t="str">
            <v>CLP 220 (-15/+40°C)</v>
          </cell>
          <cell r="Y1960" t="str">
            <v>K77DRN132S4 /TF/V</v>
          </cell>
          <cell r="Z1960" t="str">
            <v>SEW</v>
          </cell>
          <cell r="AB1960" t="str">
            <v>-</v>
          </cell>
          <cell r="AF1960">
            <v>47</v>
          </cell>
          <cell r="AG1960" t="str">
            <v>DRN132S4</v>
          </cell>
          <cell r="AH1960" t="str">
            <v>K77-DRN132S4A270-X#</v>
          </cell>
        </row>
        <row r="1961">
          <cell r="A1961" t="str">
            <v>MR001957</v>
          </cell>
          <cell r="B1961" t="str">
            <v>MR</v>
          </cell>
          <cell r="C1961">
            <v>15</v>
          </cell>
          <cell r="D1961">
            <v>12</v>
          </cell>
          <cell r="E1961" t="str">
            <v>KH127</v>
          </cell>
          <cell r="F1961">
            <v>11900</v>
          </cell>
          <cell r="G1961">
            <v>122.48</v>
          </cell>
          <cell r="H1961">
            <v>1.1000000000000001</v>
          </cell>
          <cell r="I1961" t="str">
            <v>From M4A to M1A - 45°</v>
          </cell>
          <cell r="J1961" t="str">
            <v>IE3</v>
          </cell>
          <cell r="K1961" t="str">
            <v>400/690</v>
          </cell>
          <cell r="L1961">
            <v>50</v>
          </cell>
          <cell r="M1961" t="str">
            <v>29/16,7</v>
          </cell>
          <cell r="N1961">
            <v>55</v>
          </cell>
          <cell r="O1961" t="str">
            <v>F(105°C)</v>
          </cell>
          <cell r="P1961" t="str">
            <v>270°</v>
          </cell>
          <cell r="Q1961" t="str">
            <v>TF</v>
          </cell>
          <cell r="R1961" t="str">
            <v>-</v>
          </cell>
          <cell r="S1961" t="str">
            <v>-</v>
          </cell>
          <cell r="T1961" t="str">
            <v>-</v>
          </cell>
          <cell r="U1961" t="str">
            <v>-</v>
          </cell>
          <cell r="V1961" t="str">
            <v>SS</v>
          </cell>
          <cell r="W1961" t="str">
            <v>-</v>
          </cell>
          <cell r="X1961" t="str">
            <v>CLP 220 (-15/+40°C)</v>
          </cell>
          <cell r="Y1961" t="str">
            <v>KH127DRN160L4 /TF</v>
          </cell>
          <cell r="Z1961" t="str">
            <v>SEW</v>
          </cell>
          <cell r="AB1961" t="str">
            <v>-</v>
          </cell>
          <cell r="AF1961">
            <v>12</v>
          </cell>
          <cell r="AG1961" t="str">
            <v>DRN160L4</v>
          </cell>
          <cell r="AH1961" t="str">
            <v>KH127-DRN160L4A270-X</v>
          </cell>
        </row>
        <row r="1962">
          <cell r="A1962" t="str">
            <v>MR001958</v>
          </cell>
          <cell r="B1962" t="str">
            <v>MR</v>
          </cell>
          <cell r="C1962">
            <v>15</v>
          </cell>
          <cell r="D1962">
            <v>12</v>
          </cell>
          <cell r="E1962" t="str">
            <v>KH127</v>
          </cell>
          <cell r="F1962">
            <v>11900</v>
          </cell>
          <cell r="G1962">
            <v>122.48</v>
          </cell>
          <cell r="H1962">
            <v>1.1000000000000001</v>
          </cell>
          <cell r="I1962" t="str">
            <v>From M4B to M1B - 45°</v>
          </cell>
          <cell r="J1962" t="str">
            <v>IE3</v>
          </cell>
          <cell r="K1962" t="str">
            <v>400/690</v>
          </cell>
          <cell r="L1962">
            <v>50</v>
          </cell>
          <cell r="M1962" t="str">
            <v>29/16,7</v>
          </cell>
          <cell r="N1962">
            <v>55</v>
          </cell>
          <cell r="O1962" t="str">
            <v>F(105°C)</v>
          </cell>
          <cell r="P1962" t="str">
            <v>270°</v>
          </cell>
          <cell r="Q1962" t="str">
            <v>TF</v>
          </cell>
          <cell r="R1962" t="str">
            <v>-</v>
          </cell>
          <cell r="S1962" t="str">
            <v>-</v>
          </cell>
          <cell r="T1962" t="str">
            <v>-</v>
          </cell>
          <cell r="U1962" t="str">
            <v>-</v>
          </cell>
          <cell r="V1962" t="str">
            <v>SS</v>
          </cell>
          <cell r="W1962" t="str">
            <v>-</v>
          </cell>
          <cell r="X1962" t="str">
            <v>CLP 220 (-15/+40°C)</v>
          </cell>
          <cell r="Y1962" t="str">
            <v>KH127DRN160L4 /TF</v>
          </cell>
          <cell r="Z1962" t="str">
            <v>SEW</v>
          </cell>
          <cell r="AB1962" t="str">
            <v>-</v>
          </cell>
          <cell r="AF1962">
            <v>12</v>
          </cell>
          <cell r="AG1962" t="str">
            <v>DRN160L4</v>
          </cell>
          <cell r="AH1962" t="str">
            <v>KH127-DRN160L4B270-X</v>
          </cell>
        </row>
        <row r="1963">
          <cell r="A1963" t="str">
            <v>MR001959</v>
          </cell>
          <cell r="B1963" t="str">
            <v>ME</v>
          </cell>
          <cell r="C1963">
            <v>45</v>
          </cell>
          <cell r="D1963">
            <v>1480</v>
          </cell>
          <cell r="E1963" t="str">
            <v>225S/M</v>
          </cell>
          <cell r="F1963">
            <v>291</v>
          </cell>
          <cell r="H1963">
            <v>1</v>
          </cell>
          <cell r="I1963" t="str">
            <v>V1/B5</v>
          </cell>
          <cell r="J1963" t="str">
            <v>IE3</v>
          </cell>
          <cell r="K1963" t="str">
            <v>400/690</v>
          </cell>
          <cell r="L1963">
            <v>50</v>
          </cell>
          <cell r="M1963" t="str">
            <v>80.9/46,9</v>
          </cell>
          <cell r="N1963">
            <v>55</v>
          </cell>
          <cell r="O1963" t="str">
            <v>155(F)</v>
          </cell>
          <cell r="Q1963" t="str">
            <v>TF</v>
          </cell>
          <cell r="R1963" t="str">
            <v>-</v>
          </cell>
          <cell r="S1963" t="str">
            <v>-</v>
          </cell>
          <cell r="T1963" t="str">
            <v>-</v>
          </cell>
          <cell r="U1963" t="str">
            <v>-</v>
          </cell>
          <cell r="V1963" t="str">
            <v>D</v>
          </cell>
          <cell r="W1963" t="str">
            <v>-</v>
          </cell>
          <cell r="Y1963" t="str">
            <v>225S/M-KW45-4POLES-B5/V1</v>
          </cell>
          <cell r="Z1963" t="str">
            <v>WEG</v>
          </cell>
          <cell r="AE1963" t="str">
            <v>4 POLES- BODY CAST IRON</v>
          </cell>
          <cell r="AF1963">
            <v>1480</v>
          </cell>
          <cell r="AG1963" t="str">
            <v>225S/M</v>
          </cell>
          <cell r="AH1963" t="str">
            <v>225S/M-225S/MB-X</v>
          </cell>
        </row>
        <row r="1964">
          <cell r="A1964" t="str">
            <v>MR001960</v>
          </cell>
          <cell r="B1964" t="str">
            <v>ME</v>
          </cell>
          <cell r="C1964">
            <v>3</v>
          </cell>
          <cell r="D1964">
            <v>2910</v>
          </cell>
          <cell r="E1964" t="str">
            <v>100L</v>
          </cell>
          <cell r="F1964">
            <v>9.85</v>
          </cell>
          <cell r="H1964">
            <v>1</v>
          </cell>
          <cell r="I1964" t="str">
            <v>V1/B5</v>
          </cell>
          <cell r="J1964" t="str">
            <v>IE2</v>
          </cell>
          <cell r="K1964" t="str">
            <v>230/400</v>
          </cell>
          <cell r="L1964">
            <v>50</v>
          </cell>
          <cell r="M1964" t="str">
            <v>10,5/5,77</v>
          </cell>
          <cell r="N1964">
            <v>55</v>
          </cell>
          <cell r="O1964" t="str">
            <v>155(F)</v>
          </cell>
          <cell r="Q1964" t="str">
            <v>-</v>
          </cell>
          <cell r="R1964" t="str">
            <v>-</v>
          </cell>
          <cell r="S1964" t="str">
            <v>-</v>
          </cell>
          <cell r="T1964" t="str">
            <v>-</v>
          </cell>
          <cell r="U1964" t="str">
            <v>-</v>
          </cell>
          <cell r="V1964" t="str">
            <v>D</v>
          </cell>
          <cell r="W1964" t="str">
            <v>-</v>
          </cell>
          <cell r="Y1964" t="str">
            <v>100L-KW3-2POLES-B5/V1</v>
          </cell>
          <cell r="Z1964" t="str">
            <v>WEG</v>
          </cell>
          <cell r="AB1964" t="str">
            <v>-</v>
          </cell>
          <cell r="AE1964" t="str">
            <v>2 POLES - BODY ALUMINIUM</v>
          </cell>
          <cell r="AF1964">
            <v>2910</v>
          </cell>
          <cell r="AG1964" t="str">
            <v>100L</v>
          </cell>
          <cell r="AH1964" t="str">
            <v>100L-100LB-X</v>
          </cell>
        </row>
        <row r="1965">
          <cell r="A1965" t="str">
            <v>MR001961</v>
          </cell>
          <cell r="B1965" t="str">
            <v>MR</v>
          </cell>
          <cell r="C1965">
            <v>5.5</v>
          </cell>
          <cell r="D1965">
            <v>201</v>
          </cell>
          <cell r="E1965" t="str">
            <v>K67</v>
          </cell>
          <cell r="F1965">
            <v>260</v>
          </cell>
          <cell r="G1965">
            <v>7.28</v>
          </cell>
          <cell r="H1965">
            <v>1.6</v>
          </cell>
          <cell r="I1965" t="str">
            <v>M1A</v>
          </cell>
          <cell r="J1965" t="str">
            <v>IE3</v>
          </cell>
          <cell r="K1965" t="str">
            <v>230/400</v>
          </cell>
          <cell r="L1965">
            <v>50</v>
          </cell>
          <cell r="M1965" t="str">
            <v>18,2/10,5</v>
          </cell>
          <cell r="N1965">
            <v>54</v>
          </cell>
          <cell r="O1965" t="str">
            <v>155(F)</v>
          </cell>
          <cell r="P1965" t="str">
            <v>270°</v>
          </cell>
          <cell r="Q1965" t="str">
            <v>TF</v>
          </cell>
          <cell r="R1965" t="str">
            <v>-</v>
          </cell>
          <cell r="S1965" t="str">
            <v>-</v>
          </cell>
          <cell r="T1965" t="str">
            <v>-</v>
          </cell>
          <cell r="U1965" t="str">
            <v>-</v>
          </cell>
          <cell r="V1965" t="str">
            <v>-</v>
          </cell>
          <cell r="W1965" t="str">
            <v>-</v>
          </cell>
          <cell r="X1965" t="str">
            <v>CLP 220 (-15/+40°C)</v>
          </cell>
          <cell r="Y1965" t="str">
            <v>K67DRN132S4 /TF</v>
          </cell>
          <cell r="Z1965" t="str">
            <v>SEW</v>
          </cell>
          <cell r="AB1965" t="str">
            <v>-</v>
          </cell>
          <cell r="AF1965">
            <v>201</v>
          </cell>
          <cell r="AG1965" t="str">
            <v>DRN132S4</v>
          </cell>
          <cell r="AH1965" t="str">
            <v>K67-DRN132S4A270-X</v>
          </cell>
        </row>
        <row r="1966">
          <cell r="A1966" t="str">
            <v>MR001962</v>
          </cell>
          <cell r="B1966" t="str">
            <v>MR</v>
          </cell>
          <cell r="C1966">
            <v>5.5</v>
          </cell>
          <cell r="D1966">
            <v>15</v>
          </cell>
          <cell r="E1966" t="str">
            <v>KH97</v>
          </cell>
          <cell r="F1966">
            <v>3470</v>
          </cell>
          <cell r="G1966">
            <v>96.8</v>
          </cell>
          <cell r="H1966">
            <v>1.25</v>
          </cell>
          <cell r="I1966" t="str">
            <v>M1A</v>
          </cell>
          <cell r="J1966" t="str">
            <v>IE3</v>
          </cell>
          <cell r="K1966" t="str">
            <v>230/400</v>
          </cell>
          <cell r="L1966">
            <v>50</v>
          </cell>
          <cell r="M1966" t="str">
            <v>18,2/10,5</v>
          </cell>
          <cell r="N1966">
            <v>55</v>
          </cell>
          <cell r="O1966" t="str">
            <v>F(105°C)</v>
          </cell>
          <cell r="P1966" t="str">
            <v>270°</v>
          </cell>
          <cell r="Q1966" t="str">
            <v>TF</v>
          </cell>
          <cell r="R1966" t="str">
            <v>-</v>
          </cell>
          <cell r="S1966" t="str">
            <v>-</v>
          </cell>
          <cell r="T1966" t="str">
            <v>-</v>
          </cell>
          <cell r="U1966" t="str">
            <v>-</v>
          </cell>
          <cell r="V1966" t="str">
            <v>SS</v>
          </cell>
          <cell r="W1966" t="str">
            <v>-</v>
          </cell>
          <cell r="X1966" t="str">
            <v>CLP 220 (-15/+40°C)</v>
          </cell>
          <cell r="Y1966" t="str">
            <v>KH97DRN132S4 /TF</v>
          </cell>
          <cell r="Z1966" t="str">
            <v>SEW</v>
          </cell>
          <cell r="AB1966" t="str">
            <v>-</v>
          </cell>
          <cell r="AF1966">
            <v>15</v>
          </cell>
          <cell r="AG1966" t="str">
            <v>DRN132S4</v>
          </cell>
          <cell r="AH1966" t="str">
            <v>KH97-DRN132S4A270-X</v>
          </cell>
        </row>
        <row r="1967">
          <cell r="A1967" t="str">
            <v>MR001963</v>
          </cell>
          <cell r="B1967" t="str">
            <v>MR</v>
          </cell>
          <cell r="C1967">
            <v>22</v>
          </cell>
          <cell r="D1967">
            <v>12</v>
          </cell>
          <cell r="E1967" t="str">
            <v>KH157</v>
          </cell>
          <cell r="F1967">
            <v>17400</v>
          </cell>
          <cell r="G1967">
            <v>122.39</v>
          </cell>
          <cell r="H1967">
            <v>1.1499999999999999</v>
          </cell>
          <cell r="I1967" t="str">
            <v>From M1A to M2A - 35°</v>
          </cell>
          <cell r="J1967" t="str">
            <v>IE3</v>
          </cell>
          <cell r="K1967" t="str">
            <v>400/690</v>
          </cell>
          <cell r="L1967">
            <v>50</v>
          </cell>
          <cell r="M1967" t="str">
            <v>38,5/22,5</v>
          </cell>
          <cell r="N1967">
            <v>55</v>
          </cell>
          <cell r="O1967" t="str">
            <v>F(105°C)</v>
          </cell>
          <cell r="P1967" t="str">
            <v>270°</v>
          </cell>
          <cell r="Q1967" t="str">
            <v>TF</v>
          </cell>
          <cell r="R1967" t="str">
            <v>V(VE)</v>
          </cell>
          <cell r="S1967" t="str">
            <v>-</v>
          </cell>
          <cell r="T1967" t="str">
            <v>-</v>
          </cell>
          <cell r="U1967" t="str">
            <v>-</v>
          </cell>
          <cell r="V1967" t="str">
            <v>FC</v>
          </cell>
          <cell r="W1967" t="str">
            <v>-</v>
          </cell>
          <cell r="X1967" t="str">
            <v>CLP 220 (-15/+40°C)</v>
          </cell>
          <cell r="Y1967" t="str">
            <v>KH157DRN180L4 /TF/V</v>
          </cell>
          <cell r="Z1967" t="str">
            <v>SEW</v>
          </cell>
          <cell r="AB1967" t="str">
            <v>-</v>
          </cell>
          <cell r="AF1967">
            <v>12</v>
          </cell>
          <cell r="AG1967" t="str">
            <v>DRN180L4</v>
          </cell>
          <cell r="AH1967" t="str">
            <v>KH157-DRN180L4A270-X#</v>
          </cell>
        </row>
        <row r="1968">
          <cell r="A1968" t="str">
            <v>MR001964</v>
          </cell>
          <cell r="B1968" t="str">
            <v>MR</v>
          </cell>
          <cell r="C1968">
            <v>22</v>
          </cell>
          <cell r="D1968">
            <v>12</v>
          </cell>
          <cell r="E1968" t="str">
            <v>KH157</v>
          </cell>
          <cell r="F1968">
            <v>17400</v>
          </cell>
          <cell r="G1968">
            <v>122.39</v>
          </cell>
          <cell r="H1968">
            <v>1.1499999999999999</v>
          </cell>
          <cell r="I1968" t="str">
            <v>From M1B to M2B - 35°</v>
          </cell>
          <cell r="J1968" t="str">
            <v>IE3</v>
          </cell>
          <cell r="K1968" t="str">
            <v>400/690</v>
          </cell>
          <cell r="L1968">
            <v>50</v>
          </cell>
          <cell r="M1968" t="str">
            <v>38,5/22,5</v>
          </cell>
          <cell r="N1968">
            <v>55</v>
          </cell>
          <cell r="O1968" t="str">
            <v>F(105°C)</v>
          </cell>
          <cell r="P1968" t="str">
            <v>270°</v>
          </cell>
          <cell r="Q1968" t="str">
            <v>TF</v>
          </cell>
          <cell r="R1968" t="str">
            <v>V(VE)</v>
          </cell>
          <cell r="S1968" t="str">
            <v>-</v>
          </cell>
          <cell r="T1968" t="str">
            <v>-</v>
          </cell>
          <cell r="U1968" t="str">
            <v>-</v>
          </cell>
          <cell r="V1968" t="str">
            <v>FC</v>
          </cell>
          <cell r="W1968" t="str">
            <v>-</v>
          </cell>
          <cell r="X1968" t="str">
            <v>CLP 220 (-15/+40°C)</v>
          </cell>
          <cell r="Y1968" t="str">
            <v>KH157DRN180L4 /TF/V</v>
          </cell>
          <cell r="Z1968" t="str">
            <v>SEW</v>
          </cell>
          <cell r="AB1968" t="str">
            <v>-</v>
          </cell>
          <cell r="AE1968" t="str">
            <v>UGUALE A MR001535</v>
          </cell>
          <cell r="AF1968">
            <v>12</v>
          </cell>
          <cell r="AG1968" t="str">
            <v>DRN180L4</v>
          </cell>
          <cell r="AH1968" t="str">
            <v>KH157-DRN180L4B270-X#</v>
          </cell>
        </row>
        <row r="1969">
          <cell r="A1969" t="str">
            <v>MR001965</v>
          </cell>
          <cell r="B1969" t="str">
            <v>MR</v>
          </cell>
          <cell r="C1969">
            <v>9.1999999999999993</v>
          </cell>
          <cell r="D1969" t="str">
            <v>15</v>
          </cell>
          <cell r="E1969" t="str">
            <v>KH107</v>
          </cell>
          <cell r="F1969">
            <v>6020</v>
          </cell>
          <cell r="G1969">
            <v>100.75</v>
          </cell>
          <cell r="H1969">
            <v>1.25</v>
          </cell>
          <cell r="I1969" t="str">
            <v>From M1A to M2A - 45°</v>
          </cell>
          <cell r="J1969" t="str">
            <v>IE3</v>
          </cell>
          <cell r="K1969" t="str">
            <v>400/690</v>
          </cell>
          <cell r="L1969">
            <v>50</v>
          </cell>
          <cell r="M1969">
            <v>18.7</v>
          </cell>
          <cell r="N1969">
            <v>55</v>
          </cell>
          <cell r="O1969" t="str">
            <v>F(105°C)</v>
          </cell>
          <cell r="P1969" t="str">
            <v>270°</v>
          </cell>
          <cell r="Q1969" t="str">
            <v>TF</v>
          </cell>
          <cell r="R1969" t="str">
            <v>-</v>
          </cell>
          <cell r="S1969" t="str">
            <v>-</v>
          </cell>
          <cell r="T1969" t="str">
            <v>-</v>
          </cell>
          <cell r="U1969" t="str">
            <v>-</v>
          </cell>
          <cell r="V1969" t="str">
            <v>SS</v>
          </cell>
          <cell r="W1969" t="str">
            <v>-</v>
          </cell>
          <cell r="X1969" t="str">
            <v>CLP 220 (-15/+40°C)</v>
          </cell>
          <cell r="Y1969" t="str">
            <v>KH107DRN132L4 /TF</v>
          </cell>
          <cell r="Z1969" t="str">
            <v>SEW</v>
          </cell>
          <cell r="AB1969" t="str">
            <v>-</v>
          </cell>
          <cell r="AF1969">
            <v>15</v>
          </cell>
          <cell r="AG1969" t="str">
            <v>DRN132L4</v>
          </cell>
          <cell r="AH1969" t="str">
            <v>KH107-DRN132L4A270-X</v>
          </cell>
        </row>
        <row r="1970">
          <cell r="A1970" t="str">
            <v>MR001966</v>
          </cell>
          <cell r="B1970" t="str">
            <v>MR</v>
          </cell>
          <cell r="C1970">
            <v>5.5</v>
          </cell>
          <cell r="D1970">
            <v>15</v>
          </cell>
          <cell r="E1970" t="str">
            <v>KH97</v>
          </cell>
          <cell r="F1970">
            <v>3470</v>
          </cell>
          <cell r="G1970">
            <v>96.8</v>
          </cell>
          <cell r="H1970">
            <v>1.25</v>
          </cell>
          <cell r="I1970" t="str">
            <v>From M1A to M2A - 45°</v>
          </cell>
          <cell r="J1970" t="str">
            <v>IE3</v>
          </cell>
          <cell r="K1970" t="str">
            <v>230/400</v>
          </cell>
          <cell r="L1970">
            <v>50</v>
          </cell>
          <cell r="M1970" t="str">
            <v>18,2/10,5</v>
          </cell>
          <cell r="N1970">
            <v>55</v>
          </cell>
          <cell r="O1970" t="str">
            <v>F(105°C)</v>
          </cell>
          <cell r="P1970" t="str">
            <v>270°</v>
          </cell>
          <cell r="Q1970" t="str">
            <v>TF</v>
          </cell>
          <cell r="R1970" t="str">
            <v>-</v>
          </cell>
          <cell r="S1970" t="str">
            <v>-</v>
          </cell>
          <cell r="T1970" t="str">
            <v>-</v>
          </cell>
          <cell r="U1970" t="str">
            <v>-</v>
          </cell>
          <cell r="V1970" t="str">
            <v>SS</v>
          </cell>
          <cell r="W1970" t="str">
            <v>-</v>
          </cell>
          <cell r="X1970" t="str">
            <v>CLP 220 (-15/+40°C)</v>
          </cell>
          <cell r="Y1970" t="str">
            <v>KH97DRN132S4 /TF</v>
          </cell>
          <cell r="Z1970" t="str">
            <v>SEW</v>
          </cell>
          <cell r="AB1970" t="str">
            <v>-</v>
          </cell>
          <cell r="AF1970">
            <v>15</v>
          </cell>
          <cell r="AG1970" t="str">
            <v>DRN132S4</v>
          </cell>
          <cell r="AH1970" t="str">
            <v>KH97-DRN132S4A270-X</v>
          </cell>
        </row>
        <row r="1971">
          <cell r="A1971" t="str">
            <v>MR001967</v>
          </cell>
          <cell r="B1971" t="str">
            <v>MR</v>
          </cell>
          <cell r="C1971">
            <v>5.5</v>
          </cell>
          <cell r="D1971">
            <v>15</v>
          </cell>
          <cell r="E1971" t="str">
            <v>KH97</v>
          </cell>
          <cell r="F1971">
            <v>3470</v>
          </cell>
          <cell r="G1971">
            <v>96.8</v>
          </cell>
          <cell r="H1971">
            <v>1.25</v>
          </cell>
          <cell r="I1971" t="str">
            <v>From M1B to M2B - 45°</v>
          </cell>
          <cell r="J1971" t="str">
            <v>IE3</v>
          </cell>
          <cell r="K1971" t="str">
            <v>230/400</v>
          </cell>
          <cell r="L1971">
            <v>50</v>
          </cell>
          <cell r="M1971" t="str">
            <v>18,2/10,5</v>
          </cell>
          <cell r="N1971">
            <v>55</v>
          </cell>
          <cell r="O1971" t="str">
            <v>F(105°C)</v>
          </cell>
          <cell r="P1971" t="str">
            <v>270°</v>
          </cell>
          <cell r="Q1971" t="str">
            <v>TF</v>
          </cell>
          <cell r="R1971" t="str">
            <v>-</v>
          </cell>
          <cell r="S1971" t="str">
            <v>-</v>
          </cell>
          <cell r="T1971" t="str">
            <v>-</v>
          </cell>
          <cell r="U1971" t="str">
            <v>-</v>
          </cell>
          <cell r="V1971" t="str">
            <v>SS</v>
          </cell>
          <cell r="W1971" t="str">
            <v>-</v>
          </cell>
          <cell r="X1971" t="str">
            <v>CLP 220 (-15/+40°C)</v>
          </cell>
          <cell r="Y1971" t="str">
            <v>KH97DRN132S4 /TF</v>
          </cell>
          <cell r="Z1971" t="str">
            <v>SEW</v>
          </cell>
          <cell r="AB1971" t="str">
            <v>-</v>
          </cell>
          <cell r="AF1971">
            <v>15</v>
          </cell>
          <cell r="AG1971" t="str">
            <v>DRN132S4</v>
          </cell>
          <cell r="AH1971" t="str">
            <v>KH97-DRN132S4B270-X</v>
          </cell>
        </row>
        <row r="1972">
          <cell r="A1972" t="str">
            <v>MR001968</v>
          </cell>
          <cell r="B1972" t="str">
            <v>MR</v>
          </cell>
          <cell r="C1972">
            <v>15</v>
          </cell>
          <cell r="D1972">
            <v>9.8000000000000007</v>
          </cell>
          <cell r="E1972" t="str">
            <v>KH157</v>
          </cell>
          <cell r="F1972">
            <v>14600</v>
          </cell>
          <cell r="G1972">
            <v>150.41</v>
          </cell>
          <cell r="H1972">
            <v>1.35</v>
          </cell>
          <cell r="I1972" t="str">
            <v>From M1A to M2A - 30°</v>
          </cell>
          <cell r="J1972" t="str">
            <v>IE3</v>
          </cell>
          <cell r="K1972" t="str">
            <v>400/690</v>
          </cell>
          <cell r="L1972">
            <v>50</v>
          </cell>
          <cell r="M1972" t="str">
            <v>29/16,7</v>
          </cell>
          <cell r="N1972">
            <v>55</v>
          </cell>
          <cell r="O1972" t="str">
            <v>F(105°C)</v>
          </cell>
          <cell r="P1972" t="str">
            <v>270°</v>
          </cell>
          <cell r="Q1972" t="str">
            <v>TF</v>
          </cell>
          <cell r="R1972" t="str">
            <v>-</v>
          </cell>
          <cell r="S1972" t="str">
            <v>-</v>
          </cell>
          <cell r="T1972" t="str">
            <v>-</v>
          </cell>
          <cell r="U1972" t="str">
            <v>-</v>
          </cell>
          <cell r="V1972" t="str">
            <v>SS</v>
          </cell>
          <cell r="W1972" t="str">
            <v>-</v>
          </cell>
          <cell r="X1972" t="str">
            <v>CLP 220 (-15/+40°C)</v>
          </cell>
          <cell r="Y1972" t="str">
            <v>KH157DRN160L4 /TF</v>
          </cell>
          <cell r="Z1972" t="str">
            <v>SEW</v>
          </cell>
          <cell r="AB1972" t="str">
            <v>-</v>
          </cell>
          <cell r="AF1972">
            <v>9.8000000000000007</v>
          </cell>
          <cell r="AG1972" t="str">
            <v>DRN160L4</v>
          </cell>
          <cell r="AH1972" t="str">
            <v>KH157-DRN160L4A270-X</v>
          </cell>
        </row>
        <row r="1973">
          <cell r="A1973" t="str">
            <v>MR001969</v>
          </cell>
          <cell r="B1973" t="str">
            <v>MR</v>
          </cell>
          <cell r="C1973">
            <v>15</v>
          </cell>
          <cell r="D1973">
            <v>9.8000000000000007</v>
          </cell>
          <cell r="E1973" t="str">
            <v>KH157</v>
          </cell>
          <cell r="F1973">
            <v>14600</v>
          </cell>
          <cell r="G1973">
            <v>150.41</v>
          </cell>
          <cell r="H1973">
            <v>1.35</v>
          </cell>
          <cell r="I1973" t="str">
            <v>From M1B to M2B - 30°</v>
          </cell>
          <cell r="J1973" t="str">
            <v>IE3</v>
          </cell>
          <cell r="K1973" t="str">
            <v>400/690</v>
          </cell>
          <cell r="L1973">
            <v>50</v>
          </cell>
          <cell r="M1973" t="str">
            <v>29/16,7</v>
          </cell>
          <cell r="N1973">
            <v>55</v>
          </cell>
          <cell r="O1973" t="str">
            <v>F(105°C)</v>
          </cell>
          <cell r="P1973" t="str">
            <v>270°</v>
          </cell>
          <cell r="Q1973" t="str">
            <v>TF</v>
          </cell>
          <cell r="R1973" t="str">
            <v>-</v>
          </cell>
          <cell r="S1973" t="str">
            <v>-</v>
          </cell>
          <cell r="T1973" t="str">
            <v>-</v>
          </cell>
          <cell r="U1973" t="str">
            <v>-</v>
          </cell>
          <cell r="V1973" t="str">
            <v>SS</v>
          </cell>
          <cell r="W1973" t="str">
            <v>-</v>
          </cell>
          <cell r="X1973" t="str">
            <v>CLP 220 (-15/+40°C)</v>
          </cell>
          <cell r="Y1973" t="str">
            <v>KH157DRN160L4 /TF</v>
          </cell>
          <cell r="Z1973" t="str">
            <v>SEW</v>
          </cell>
          <cell r="AB1973" t="str">
            <v>-</v>
          </cell>
          <cell r="AF1973">
            <v>9.8000000000000007</v>
          </cell>
          <cell r="AG1973" t="str">
            <v>DRN160L4</v>
          </cell>
          <cell r="AH1973" t="str">
            <v>KH157-DRN160L4B270-X</v>
          </cell>
        </row>
        <row r="1974">
          <cell r="A1974" t="str">
            <v>MR001970</v>
          </cell>
          <cell r="B1974" t="str">
            <v>MR</v>
          </cell>
          <cell r="C1974">
            <v>22</v>
          </cell>
          <cell r="D1974">
            <v>12</v>
          </cell>
          <cell r="E1974" t="str">
            <v>KH157</v>
          </cell>
          <cell r="F1974">
            <v>17400</v>
          </cell>
          <cell r="G1974">
            <v>122.39</v>
          </cell>
          <cell r="H1974">
            <v>1.1499999999999999</v>
          </cell>
          <cell r="I1974" t="str">
            <v>From M1A to M2A - 45°</v>
          </cell>
          <cell r="J1974" t="str">
            <v>IE3</v>
          </cell>
          <cell r="K1974" t="str">
            <v>400/690</v>
          </cell>
          <cell r="L1974">
            <v>50</v>
          </cell>
          <cell r="M1974" t="str">
            <v>38,5/22,5</v>
          </cell>
          <cell r="N1974">
            <v>55</v>
          </cell>
          <cell r="O1974" t="str">
            <v>F(105°C)</v>
          </cell>
          <cell r="P1974" t="str">
            <v>270°</v>
          </cell>
          <cell r="Q1974" t="str">
            <v>TF</v>
          </cell>
          <cell r="R1974" t="str">
            <v>V(VE)</v>
          </cell>
          <cell r="S1974" t="str">
            <v>-</v>
          </cell>
          <cell r="T1974" t="str">
            <v>-</v>
          </cell>
          <cell r="U1974" t="str">
            <v>-</v>
          </cell>
          <cell r="V1974" t="str">
            <v>FC</v>
          </cell>
          <cell r="W1974" t="str">
            <v>-</v>
          </cell>
          <cell r="X1974" t="str">
            <v>CLP VG 220 = -15° + 40°</v>
          </cell>
          <cell r="Y1974" t="str">
            <v>KH157DRN180L4 /TF/V</v>
          </cell>
          <cell r="Z1974" t="str">
            <v>SEW</v>
          </cell>
          <cell r="AB1974" t="str">
            <v>-</v>
          </cell>
          <cell r="AE1974" t="str">
            <v>Work frequency 37,5Hz for 0,4m/sec</v>
          </cell>
          <cell r="AF1974">
            <v>12</v>
          </cell>
          <cell r="AG1974" t="str">
            <v>DRN180L4</v>
          </cell>
          <cell r="AH1974" t="str">
            <v>KH157-DRN180L4A270-X#</v>
          </cell>
        </row>
        <row r="1975">
          <cell r="A1975" t="str">
            <v>MR001971</v>
          </cell>
          <cell r="B1975" t="str">
            <v>MR</v>
          </cell>
          <cell r="C1975">
            <v>22</v>
          </cell>
          <cell r="D1975">
            <v>12</v>
          </cell>
          <cell r="E1975" t="str">
            <v>KH157</v>
          </cell>
          <cell r="F1975">
            <v>17400</v>
          </cell>
          <cell r="G1975">
            <v>122.39</v>
          </cell>
          <cell r="H1975">
            <v>1.1499999999999999</v>
          </cell>
          <cell r="I1975" t="str">
            <v>From M1B to M2B - 45°</v>
          </cell>
          <cell r="J1975" t="str">
            <v>IE3</v>
          </cell>
          <cell r="K1975" t="str">
            <v>400/690</v>
          </cell>
          <cell r="L1975">
            <v>50</v>
          </cell>
          <cell r="M1975" t="str">
            <v>38,5/22,5</v>
          </cell>
          <cell r="N1975">
            <v>55</v>
          </cell>
          <cell r="O1975" t="str">
            <v>F(105°C)</v>
          </cell>
          <cell r="P1975" t="str">
            <v>270°</v>
          </cell>
          <cell r="Q1975" t="str">
            <v>TF</v>
          </cell>
          <cell r="R1975" t="str">
            <v>V(VE)</v>
          </cell>
          <cell r="S1975" t="str">
            <v>-</v>
          </cell>
          <cell r="T1975" t="str">
            <v>-</v>
          </cell>
          <cell r="U1975" t="str">
            <v>-</v>
          </cell>
          <cell r="V1975" t="str">
            <v>FC</v>
          </cell>
          <cell r="W1975" t="str">
            <v>-</v>
          </cell>
          <cell r="X1975" t="str">
            <v>CLP VG 220 = -15° + 40°</v>
          </cell>
          <cell r="Y1975" t="str">
            <v>KH157DRN180L4 /TF/V</v>
          </cell>
          <cell r="Z1975" t="str">
            <v>SEW</v>
          </cell>
          <cell r="AB1975" t="str">
            <v>-</v>
          </cell>
          <cell r="AE1975" t="str">
            <v>Work frequency 37,5Hz for 0,4m/sec</v>
          </cell>
          <cell r="AF1975">
            <v>12</v>
          </cell>
          <cell r="AG1975" t="str">
            <v>DRN180L4</v>
          </cell>
          <cell r="AH1975" t="str">
            <v>KH157-DRN180L4B270-X#</v>
          </cell>
        </row>
        <row r="1976">
          <cell r="A1976" t="str">
            <v>MR001972</v>
          </cell>
          <cell r="B1976" t="str">
            <v>MR</v>
          </cell>
          <cell r="C1976">
            <v>5.5</v>
          </cell>
          <cell r="D1976">
            <v>15</v>
          </cell>
          <cell r="E1976" t="str">
            <v>KH97</v>
          </cell>
          <cell r="F1976">
            <v>3470</v>
          </cell>
          <cell r="G1976">
            <v>96.8</v>
          </cell>
          <cell r="H1976">
            <v>1.25</v>
          </cell>
          <cell r="I1976" t="str">
            <v>From M1B to M2B - 5°</v>
          </cell>
          <cell r="J1976" t="str">
            <v>IE3</v>
          </cell>
          <cell r="K1976" t="str">
            <v>230/400</v>
          </cell>
          <cell r="L1976">
            <v>50</v>
          </cell>
          <cell r="M1976" t="str">
            <v>18,2/10,5</v>
          </cell>
          <cell r="N1976">
            <v>55</v>
          </cell>
          <cell r="O1976" t="str">
            <v>F(105°C)</v>
          </cell>
          <cell r="P1976" t="str">
            <v>270°</v>
          </cell>
          <cell r="Q1976" t="str">
            <v>TF</v>
          </cell>
          <cell r="R1976" t="str">
            <v>-</v>
          </cell>
          <cell r="S1976" t="str">
            <v>-</v>
          </cell>
          <cell r="T1976" t="str">
            <v>-</v>
          </cell>
          <cell r="U1976" t="str">
            <v>-</v>
          </cell>
          <cell r="V1976" t="str">
            <v>SS</v>
          </cell>
          <cell r="W1976" t="str">
            <v>-</v>
          </cell>
          <cell r="X1976" t="str">
            <v>CLP VG 220 = -15° + 40°</v>
          </cell>
          <cell r="Y1976" t="str">
            <v>KH97DRN132S4 /TF</v>
          </cell>
          <cell r="Z1976" t="str">
            <v>SEW</v>
          </cell>
          <cell r="AB1976" t="str">
            <v>-</v>
          </cell>
          <cell r="AF1976">
            <v>15</v>
          </cell>
          <cell r="AG1976" t="str">
            <v>DRN132S4</v>
          </cell>
          <cell r="AH1976" t="str">
            <v>KH97-DRN132S4B270-X</v>
          </cell>
        </row>
        <row r="1977">
          <cell r="A1977" t="str">
            <v>MR001973</v>
          </cell>
          <cell r="B1977" t="str">
            <v>MR</v>
          </cell>
          <cell r="C1977">
            <v>15</v>
          </cell>
          <cell r="D1977">
            <v>9.8000000000000007</v>
          </cell>
          <cell r="E1977" t="str">
            <v>KH157</v>
          </cell>
          <cell r="F1977">
            <v>14600</v>
          </cell>
          <cell r="G1977">
            <v>150.41</v>
          </cell>
          <cell r="H1977">
            <v>1.35</v>
          </cell>
          <cell r="I1977" t="str">
            <v>From M1A to M2A - 45°</v>
          </cell>
          <cell r="J1977" t="str">
            <v>IE3</v>
          </cell>
          <cell r="K1977" t="str">
            <v>400/690</v>
          </cell>
          <cell r="L1977">
            <v>50</v>
          </cell>
          <cell r="M1977" t="str">
            <v>29/16,7</v>
          </cell>
          <cell r="N1977">
            <v>55</v>
          </cell>
          <cell r="O1977" t="str">
            <v>F(105°C)</v>
          </cell>
          <cell r="P1977" t="str">
            <v>270°</v>
          </cell>
          <cell r="Q1977" t="str">
            <v>TF</v>
          </cell>
          <cell r="R1977" t="str">
            <v>-</v>
          </cell>
          <cell r="S1977" t="str">
            <v>-</v>
          </cell>
          <cell r="T1977" t="str">
            <v>-</v>
          </cell>
          <cell r="U1977" t="str">
            <v>-</v>
          </cell>
          <cell r="V1977" t="str">
            <v>SS</v>
          </cell>
          <cell r="W1977" t="str">
            <v>-</v>
          </cell>
          <cell r="X1977" t="str">
            <v>CLP VG 220 = -15° + 40°</v>
          </cell>
          <cell r="Y1977" t="str">
            <v>KH157DRN160L4 /TF</v>
          </cell>
          <cell r="Z1977" t="str">
            <v>SEW</v>
          </cell>
          <cell r="AB1977" t="str">
            <v>-</v>
          </cell>
          <cell r="AF1977">
            <v>9.8000000000000007</v>
          </cell>
          <cell r="AG1977" t="str">
            <v>DRN160L4</v>
          </cell>
          <cell r="AH1977" t="str">
            <v>KH157-DRN160L4A270-X</v>
          </cell>
        </row>
        <row r="1978">
          <cell r="A1978" t="str">
            <v>MR001974</v>
          </cell>
          <cell r="B1978" t="str">
            <v>MR</v>
          </cell>
          <cell r="C1978">
            <v>15</v>
          </cell>
          <cell r="D1978">
            <v>9.8000000000000007</v>
          </cell>
          <cell r="E1978" t="str">
            <v>KH157</v>
          </cell>
          <cell r="F1978">
            <v>14600</v>
          </cell>
          <cell r="G1978">
            <v>150.41</v>
          </cell>
          <cell r="H1978">
            <v>1.35</v>
          </cell>
          <cell r="I1978" t="str">
            <v>From M1B to M2B - 45°</v>
          </cell>
          <cell r="J1978" t="str">
            <v>IE3</v>
          </cell>
          <cell r="K1978" t="str">
            <v>400/690</v>
          </cell>
          <cell r="L1978">
            <v>50</v>
          </cell>
          <cell r="M1978" t="str">
            <v>29/16,7</v>
          </cell>
          <cell r="N1978">
            <v>55</v>
          </cell>
          <cell r="O1978" t="str">
            <v>F(105°C)</v>
          </cell>
          <cell r="P1978" t="str">
            <v>270°</v>
          </cell>
          <cell r="Q1978" t="str">
            <v>TF</v>
          </cell>
          <cell r="R1978" t="str">
            <v>-</v>
          </cell>
          <cell r="S1978" t="str">
            <v>-</v>
          </cell>
          <cell r="T1978" t="str">
            <v>-</v>
          </cell>
          <cell r="U1978" t="str">
            <v>-</v>
          </cell>
          <cell r="V1978" t="str">
            <v>SS</v>
          </cell>
          <cell r="W1978" t="str">
            <v>-</v>
          </cell>
          <cell r="X1978" t="str">
            <v>CLP VG 220 = -15° + 40°</v>
          </cell>
          <cell r="Y1978" t="str">
            <v>KH157DRN160L4 /TF</v>
          </cell>
          <cell r="Z1978" t="str">
            <v>SEW</v>
          </cell>
          <cell r="AB1978" t="str">
            <v>-</v>
          </cell>
          <cell r="AF1978">
            <v>9.8000000000000007</v>
          </cell>
          <cell r="AG1978" t="str">
            <v>DRN160L4</v>
          </cell>
          <cell r="AH1978" t="str">
            <v>KH157-DRN160L4B270-X</v>
          </cell>
        </row>
        <row r="1979">
          <cell r="A1979" t="str">
            <v>MR001975</v>
          </cell>
          <cell r="B1979" t="str">
            <v>MR</v>
          </cell>
          <cell r="C1979">
            <v>15</v>
          </cell>
          <cell r="D1979">
            <v>16</v>
          </cell>
          <cell r="E1979" t="str">
            <v>KH127</v>
          </cell>
          <cell r="F1979">
            <v>8730</v>
          </cell>
          <cell r="G1979">
            <v>89.89</v>
          </cell>
          <cell r="H1979">
            <v>1.5</v>
          </cell>
          <cell r="I1979" t="str">
            <v>From M1A to M2A - 45°</v>
          </cell>
          <cell r="J1979" t="str">
            <v>IE3</v>
          </cell>
          <cell r="K1979" t="str">
            <v>400/690</v>
          </cell>
          <cell r="L1979">
            <v>50</v>
          </cell>
          <cell r="M1979" t="str">
            <v>29/16,7</v>
          </cell>
          <cell r="N1979">
            <v>55</v>
          </cell>
          <cell r="O1979" t="str">
            <v>F(105°C)</v>
          </cell>
          <cell r="P1979" t="str">
            <v>270°</v>
          </cell>
          <cell r="Q1979" t="str">
            <v>TF</v>
          </cell>
          <cell r="R1979" t="str">
            <v>-</v>
          </cell>
          <cell r="S1979" t="str">
            <v>-</v>
          </cell>
          <cell r="T1979" t="str">
            <v>-</v>
          </cell>
          <cell r="U1979" t="str">
            <v>-</v>
          </cell>
          <cell r="V1979" t="str">
            <v>SS</v>
          </cell>
          <cell r="W1979" t="str">
            <v>-</v>
          </cell>
          <cell r="X1979" t="str">
            <v>CLP 220 (-15/+40°C)</v>
          </cell>
          <cell r="Y1979" t="str">
            <v>KH127DRN160L4 /TF</v>
          </cell>
          <cell r="Z1979" t="str">
            <v>SEW</v>
          </cell>
          <cell r="AB1979" t="str">
            <v>-</v>
          </cell>
          <cell r="AF1979">
            <v>16</v>
          </cell>
          <cell r="AG1979" t="str">
            <v>DRN160L4</v>
          </cell>
          <cell r="AH1979" t="str">
            <v>KH127-DRN160L4A270-X</v>
          </cell>
        </row>
        <row r="1980">
          <cell r="A1980" t="str">
            <v>MR001976</v>
          </cell>
          <cell r="B1980" t="str">
            <v>MR</v>
          </cell>
          <cell r="C1980">
            <v>3</v>
          </cell>
          <cell r="D1980">
            <v>8.3000000000000007</v>
          </cell>
          <cell r="E1980" t="str">
            <v>KH97</v>
          </cell>
          <cell r="F1980">
            <v>3460</v>
          </cell>
          <cell r="G1980">
            <v>176.05</v>
          </cell>
          <cell r="H1980">
            <v>1.25</v>
          </cell>
          <cell r="I1980" t="str">
            <v>From M1A to M2A - 20°</v>
          </cell>
          <cell r="J1980" t="str">
            <v>IE3</v>
          </cell>
          <cell r="K1980" t="str">
            <v>230/400</v>
          </cell>
          <cell r="L1980">
            <v>50</v>
          </cell>
          <cell r="M1980" t="str">
            <v>11,2/6,4</v>
          </cell>
          <cell r="N1980">
            <v>55</v>
          </cell>
          <cell r="O1980" t="str">
            <v>F(105°C)</v>
          </cell>
          <cell r="P1980" t="str">
            <v>270°</v>
          </cell>
          <cell r="Q1980" t="str">
            <v>TF</v>
          </cell>
          <cell r="R1980" t="str">
            <v>-</v>
          </cell>
          <cell r="S1980" t="str">
            <v>-</v>
          </cell>
          <cell r="T1980" t="str">
            <v>-</v>
          </cell>
          <cell r="U1980" t="str">
            <v>-</v>
          </cell>
          <cell r="V1980" t="str">
            <v>SS</v>
          </cell>
          <cell r="W1980" t="str">
            <v>-</v>
          </cell>
          <cell r="X1980" t="str">
            <v>CLP 220 (-15/+40°C)</v>
          </cell>
          <cell r="Y1980" t="str">
            <v>KH97DRN100L4 /TF</v>
          </cell>
          <cell r="Z1980" t="str">
            <v>SEW</v>
          </cell>
          <cell r="AB1980" t="str">
            <v>-</v>
          </cell>
          <cell r="AF1980">
            <v>8.3000000000000007</v>
          </cell>
          <cell r="AG1980" t="str">
            <v>DRN100L4</v>
          </cell>
          <cell r="AH1980" t="str">
            <v>KH97-DRN100L4A270-X</v>
          </cell>
        </row>
        <row r="1981">
          <cell r="A1981" t="str">
            <v>MR001977</v>
          </cell>
          <cell r="B1981" t="str">
            <v>MR</v>
          </cell>
          <cell r="C1981">
            <v>3</v>
          </cell>
          <cell r="D1981">
            <v>8.3000000000000007</v>
          </cell>
          <cell r="E1981" t="str">
            <v>KH97</v>
          </cell>
          <cell r="F1981">
            <v>3460</v>
          </cell>
          <cell r="G1981">
            <v>176.05</v>
          </cell>
          <cell r="H1981">
            <v>1.25</v>
          </cell>
          <cell r="I1981" t="str">
            <v>From M1B to M2B - 20°</v>
          </cell>
          <cell r="J1981" t="str">
            <v>IE3</v>
          </cell>
          <cell r="K1981" t="str">
            <v>230/400</v>
          </cell>
          <cell r="L1981">
            <v>50</v>
          </cell>
          <cell r="M1981" t="str">
            <v>11,2/6,4</v>
          </cell>
          <cell r="N1981">
            <v>55</v>
          </cell>
          <cell r="O1981" t="str">
            <v>F(105°C)</v>
          </cell>
          <cell r="P1981" t="str">
            <v>270°</v>
          </cell>
          <cell r="Q1981" t="str">
            <v>TF</v>
          </cell>
          <cell r="R1981" t="str">
            <v>-</v>
          </cell>
          <cell r="S1981" t="str">
            <v>-</v>
          </cell>
          <cell r="T1981" t="str">
            <v>-</v>
          </cell>
          <cell r="U1981" t="str">
            <v>-</v>
          </cell>
          <cell r="V1981" t="str">
            <v>SS</v>
          </cell>
          <cell r="W1981" t="str">
            <v>-</v>
          </cell>
          <cell r="X1981" t="str">
            <v>CLP 220 (-15/+40°C)</v>
          </cell>
          <cell r="Y1981" t="str">
            <v>KH97DRN100L4 /TF</v>
          </cell>
          <cell r="Z1981" t="str">
            <v>SEW</v>
          </cell>
          <cell r="AB1981" t="str">
            <v>-</v>
          </cell>
          <cell r="AF1981">
            <v>8.3000000000000007</v>
          </cell>
          <cell r="AG1981" t="str">
            <v>DRN100L4</v>
          </cell>
          <cell r="AH1981" t="str">
            <v>KH97-DRN100L4B270-X</v>
          </cell>
        </row>
        <row r="1982">
          <cell r="A1982" t="str">
            <v>MR001978</v>
          </cell>
          <cell r="B1982" t="str">
            <v>MR</v>
          </cell>
          <cell r="C1982">
            <v>0.75</v>
          </cell>
          <cell r="D1982">
            <v>18</v>
          </cell>
          <cell r="E1982" t="str">
            <v>FA67</v>
          </cell>
          <cell r="F1982">
            <v>395</v>
          </cell>
          <cell r="G1982">
            <v>79.760000000000005</v>
          </cell>
          <cell r="H1982">
            <v>2.1</v>
          </cell>
          <cell r="I1982" t="str">
            <v>M5</v>
          </cell>
          <cell r="J1982" t="str">
            <v>IE3</v>
          </cell>
          <cell r="K1982" t="str">
            <v>230/400</v>
          </cell>
          <cell r="L1982">
            <v>50</v>
          </cell>
          <cell r="M1982" t="str">
            <v>3,05/1,75</v>
          </cell>
          <cell r="N1982">
            <v>55</v>
          </cell>
          <cell r="O1982" t="str">
            <v>F(105°C)</v>
          </cell>
          <cell r="P1982" t="str">
            <v>270°</v>
          </cell>
          <cell r="Q1982" t="str">
            <v>TF</v>
          </cell>
          <cell r="R1982" t="str">
            <v>-</v>
          </cell>
          <cell r="S1982" t="str">
            <v>-</v>
          </cell>
          <cell r="T1982" t="str">
            <v>BEHF</v>
          </cell>
          <cell r="U1982" t="str">
            <v>G</v>
          </cell>
          <cell r="V1982" t="str">
            <v>D+R</v>
          </cell>
          <cell r="W1982" t="str">
            <v>-</v>
          </cell>
          <cell r="X1982" t="str">
            <v>CLP 220 (-15/+40°C)</v>
          </cell>
          <cell r="Y1982" t="str">
            <v>FA67/G DRN80M4 /BEHF /TF</v>
          </cell>
          <cell r="Z1982" t="str">
            <v>SEW</v>
          </cell>
          <cell r="AB1982" t="str">
            <v>-</v>
          </cell>
          <cell r="AF1982">
            <v>18</v>
          </cell>
          <cell r="AG1982" t="str">
            <v>DRN80M4</v>
          </cell>
          <cell r="AH1982" t="str">
            <v>FA67G-DRN80M4270-X</v>
          </cell>
        </row>
        <row r="1983">
          <cell r="A1983" t="str">
            <v>MR001979</v>
          </cell>
          <cell r="B1983" t="str">
            <v>MR</v>
          </cell>
          <cell r="C1983">
            <v>7.5</v>
          </cell>
          <cell r="D1983">
            <v>15</v>
          </cell>
          <cell r="E1983" t="str">
            <v>KH97</v>
          </cell>
          <cell r="F1983">
            <v>4720</v>
          </cell>
          <cell r="G1983">
            <v>96.8</v>
          </cell>
          <cell r="H1983">
            <v>0.9</v>
          </cell>
          <cell r="I1983" t="str">
            <v>From M1A to M2A - 20°</v>
          </cell>
          <cell r="J1983" t="str">
            <v>IE3</v>
          </cell>
          <cell r="K1983" t="str">
            <v>400/690</v>
          </cell>
          <cell r="L1983">
            <v>50</v>
          </cell>
          <cell r="M1983" t="str">
            <v>15,2/8,8</v>
          </cell>
          <cell r="N1983">
            <v>55</v>
          </cell>
          <cell r="O1983" t="str">
            <v>F(105°C)</v>
          </cell>
          <cell r="P1983" t="str">
            <v>270°</v>
          </cell>
          <cell r="Q1983" t="str">
            <v>TF</v>
          </cell>
          <cell r="R1983" t="str">
            <v>-</v>
          </cell>
          <cell r="S1983" t="str">
            <v>-</v>
          </cell>
          <cell r="T1983" t="str">
            <v>-</v>
          </cell>
          <cell r="U1983" t="str">
            <v>-</v>
          </cell>
          <cell r="V1983" t="str">
            <v>SS</v>
          </cell>
          <cell r="W1983" t="str">
            <v>-</v>
          </cell>
          <cell r="X1983" t="str">
            <v>CLP 220 (-15/+40°C)</v>
          </cell>
          <cell r="Y1983" t="str">
            <v>KH97DRN132M4 /TF</v>
          </cell>
          <cell r="Z1983" t="str">
            <v>SEW</v>
          </cell>
          <cell r="AB1983" t="str">
            <v>-</v>
          </cell>
          <cell r="AE1983" t="str">
            <v>NON USARE, FS BASSO</v>
          </cell>
          <cell r="AF1983">
            <v>15</v>
          </cell>
          <cell r="AG1983" t="str">
            <v>DRN132M4</v>
          </cell>
          <cell r="AH1983" t="str">
            <v>KH97-DRN132M4A270-X</v>
          </cell>
        </row>
        <row r="1984">
          <cell r="A1984" t="str">
            <v>MR001980</v>
          </cell>
          <cell r="B1984" t="str">
            <v>MR</v>
          </cell>
          <cell r="C1984">
            <v>7.5</v>
          </cell>
          <cell r="D1984">
            <v>15</v>
          </cell>
          <cell r="E1984" t="str">
            <v>KH97</v>
          </cell>
          <cell r="F1984">
            <v>4720</v>
          </cell>
          <cell r="G1984">
            <v>96.8</v>
          </cell>
          <cell r="H1984">
            <v>0.9</v>
          </cell>
          <cell r="I1984" t="str">
            <v>From M1B to M2B - 20°</v>
          </cell>
          <cell r="J1984" t="str">
            <v>IE3</v>
          </cell>
          <cell r="K1984" t="str">
            <v>400/690</v>
          </cell>
          <cell r="L1984">
            <v>50</v>
          </cell>
          <cell r="M1984" t="str">
            <v>15,2/8,8</v>
          </cell>
          <cell r="N1984">
            <v>55</v>
          </cell>
          <cell r="O1984" t="str">
            <v>F(105°C)</v>
          </cell>
          <cell r="P1984" t="str">
            <v>270°</v>
          </cell>
          <cell r="Q1984" t="str">
            <v>TF</v>
          </cell>
          <cell r="R1984" t="str">
            <v>-</v>
          </cell>
          <cell r="S1984" t="str">
            <v>-</v>
          </cell>
          <cell r="T1984" t="str">
            <v>-</v>
          </cell>
          <cell r="U1984" t="str">
            <v>-</v>
          </cell>
          <cell r="V1984" t="str">
            <v>SS</v>
          </cell>
          <cell r="W1984" t="str">
            <v>-</v>
          </cell>
          <cell r="X1984" t="str">
            <v>CLP 220 (-15/+40°C)</v>
          </cell>
          <cell r="Y1984" t="str">
            <v>KH97DRN132M4 /TF</v>
          </cell>
          <cell r="Z1984" t="str">
            <v>SEW</v>
          </cell>
          <cell r="AB1984" t="str">
            <v>-</v>
          </cell>
          <cell r="AE1984" t="str">
            <v>NON USARE, FS BASSO</v>
          </cell>
          <cell r="AF1984">
            <v>15</v>
          </cell>
          <cell r="AG1984" t="str">
            <v>DRN132M4</v>
          </cell>
          <cell r="AH1984" t="str">
            <v>KH97-DRN132M4B270-X</v>
          </cell>
        </row>
        <row r="1985">
          <cell r="A1985" t="str">
            <v>MR001981</v>
          </cell>
          <cell r="B1985" t="str">
            <v>MR</v>
          </cell>
          <cell r="C1985">
            <v>30</v>
          </cell>
          <cell r="D1985">
            <v>42</v>
          </cell>
          <cell r="E1985" t="str">
            <v>R147</v>
          </cell>
          <cell r="F1985">
            <v>6890</v>
          </cell>
          <cell r="G1985">
            <v>35.64</v>
          </cell>
          <cell r="H1985">
            <v>1.9</v>
          </cell>
          <cell r="I1985" t="str">
            <v>From M1 to M2 - 10°</v>
          </cell>
          <cell r="J1985" t="str">
            <v>IE3</v>
          </cell>
          <cell r="K1985" t="str">
            <v>400/690</v>
          </cell>
          <cell r="L1985">
            <v>50</v>
          </cell>
          <cell r="M1985" t="str">
            <v>56,32,5</v>
          </cell>
          <cell r="N1985">
            <v>55</v>
          </cell>
          <cell r="O1985" t="str">
            <v>F(105°C)</v>
          </cell>
          <cell r="P1985" t="str">
            <v>270°</v>
          </cell>
          <cell r="Q1985" t="str">
            <v>TF</v>
          </cell>
          <cell r="R1985" t="str">
            <v>V(VE)</v>
          </cell>
          <cell r="S1985" t="str">
            <v>-</v>
          </cell>
          <cell r="T1985" t="str">
            <v>-</v>
          </cell>
          <cell r="U1985" t="str">
            <v>-</v>
          </cell>
          <cell r="V1985" t="str">
            <v>FC</v>
          </cell>
          <cell r="W1985" t="str">
            <v>-</v>
          </cell>
          <cell r="X1985" t="str">
            <v>CLP 220 (-15/+40°C)</v>
          </cell>
          <cell r="Y1985" t="str">
            <v>R147DRN200L4 /TF/V</v>
          </cell>
          <cell r="Z1985" t="str">
            <v>SEW</v>
          </cell>
          <cell r="AB1985" t="str">
            <v>-</v>
          </cell>
          <cell r="AF1985">
            <v>42</v>
          </cell>
          <cell r="AG1985" t="str">
            <v>DRN200L4</v>
          </cell>
          <cell r="AH1985" t="str">
            <v>R147-DRN200L4270-X#</v>
          </cell>
        </row>
        <row r="1986">
          <cell r="A1986" t="str">
            <v>MR001982</v>
          </cell>
          <cell r="B1986" t="str">
            <v>ME</v>
          </cell>
          <cell r="C1986">
            <v>3</v>
          </cell>
          <cell r="D1986">
            <v>3000</v>
          </cell>
          <cell r="I1986" t="str">
            <v>B5</v>
          </cell>
          <cell r="J1986" t="str">
            <v>IE3</v>
          </cell>
          <cell r="K1986" t="str">
            <v>400/690</v>
          </cell>
          <cell r="L1986">
            <v>50</v>
          </cell>
          <cell r="M1986">
            <v>6.5</v>
          </cell>
          <cell r="N1986">
            <v>55</v>
          </cell>
          <cell r="O1986" t="str">
            <v>F(105°C)</v>
          </cell>
          <cell r="Q1986" t="str">
            <v>TF</v>
          </cell>
          <cell r="R1986" t="str">
            <v>-</v>
          </cell>
          <cell r="S1986" t="str">
            <v>-</v>
          </cell>
          <cell r="T1986" t="str">
            <v>-</v>
          </cell>
          <cell r="U1986" t="str">
            <v>-</v>
          </cell>
          <cell r="V1986" t="str">
            <v>D</v>
          </cell>
          <cell r="W1986" t="str">
            <v>-</v>
          </cell>
          <cell r="X1986" t="str">
            <v>-</v>
          </cell>
          <cell r="Y1986" t="str">
            <v>1LE1003-1AA42-2FB4</v>
          </cell>
          <cell r="Z1986" t="str">
            <v>SIEMENS</v>
          </cell>
          <cell r="AB1986" t="str">
            <v>-</v>
          </cell>
          <cell r="AE1986" t="str">
            <v>PTC</v>
          </cell>
          <cell r="AF1986">
            <v>3000</v>
          </cell>
          <cell r="AH1986" t="str">
            <v>-B-X</v>
          </cell>
        </row>
        <row r="1987">
          <cell r="A1987" t="str">
            <v>MR001983</v>
          </cell>
          <cell r="B1987" t="str">
            <v>MR</v>
          </cell>
          <cell r="C1987">
            <v>15</v>
          </cell>
          <cell r="D1987">
            <v>9.8000000000000007</v>
          </cell>
          <cell r="E1987" t="str">
            <v>KH157</v>
          </cell>
          <cell r="F1987">
            <v>14600</v>
          </cell>
          <cell r="G1987">
            <v>150.41</v>
          </cell>
          <cell r="H1987">
            <v>1.35</v>
          </cell>
          <cell r="I1987" t="str">
            <v>From M1A to M2A - 20°</v>
          </cell>
          <cell r="J1987" t="str">
            <v>IE3</v>
          </cell>
          <cell r="K1987" t="str">
            <v>400/690</v>
          </cell>
          <cell r="L1987">
            <v>50</v>
          </cell>
          <cell r="M1987" t="str">
            <v>29/16,7</v>
          </cell>
          <cell r="N1987">
            <v>55</v>
          </cell>
          <cell r="O1987" t="str">
            <v>F(105°C)</v>
          </cell>
          <cell r="P1987" t="str">
            <v>270°</v>
          </cell>
          <cell r="Q1987" t="str">
            <v>TF</v>
          </cell>
          <cell r="R1987" t="str">
            <v>-</v>
          </cell>
          <cell r="S1987" t="str">
            <v>-</v>
          </cell>
          <cell r="T1987" t="str">
            <v>-</v>
          </cell>
          <cell r="U1987" t="str">
            <v>-</v>
          </cell>
          <cell r="V1987" t="str">
            <v>SS</v>
          </cell>
          <cell r="W1987" t="str">
            <v>-</v>
          </cell>
          <cell r="X1987" t="str">
            <v>CLP VG 220 = -15° + 40°</v>
          </cell>
          <cell r="Y1987" t="str">
            <v>KH157DRN160L4 /TF</v>
          </cell>
          <cell r="Z1987" t="str">
            <v>SEW</v>
          </cell>
          <cell r="AB1987" t="str">
            <v>-</v>
          </cell>
          <cell r="AF1987">
            <v>9.8000000000000007</v>
          </cell>
          <cell r="AG1987" t="str">
            <v>DRN160L4</v>
          </cell>
          <cell r="AH1987" t="str">
            <v>KH157-DRN160L4A270-X</v>
          </cell>
        </row>
        <row r="1988">
          <cell r="A1988" t="str">
            <v>MR001984</v>
          </cell>
          <cell r="B1988" t="str">
            <v>MR</v>
          </cell>
          <cell r="C1988">
            <v>15</v>
          </cell>
          <cell r="D1988">
            <v>9.8000000000000007</v>
          </cell>
          <cell r="E1988" t="str">
            <v>KH157</v>
          </cell>
          <cell r="F1988">
            <v>14600</v>
          </cell>
          <cell r="G1988">
            <v>150.41</v>
          </cell>
          <cell r="H1988">
            <v>1.35</v>
          </cell>
          <cell r="I1988" t="str">
            <v>From M1B to M2B - 20°</v>
          </cell>
          <cell r="J1988" t="str">
            <v>IE3</v>
          </cell>
          <cell r="K1988" t="str">
            <v>400/690</v>
          </cell>
          <cell r="L1988">
            <v>50</v>
          </cell>
          <cell r="M1988" t="str">
            <v>29/16,7</v>
          </cell>
          <cell r="N1988">
            <v>55</v>
          </cell>
          <cell r="O1988" t="str">
            <v>F(105°C)</v>
          </cell>
          <cell r="P1988" t="str">
            <v>270°</v>
          </cell>
          <cell r="Q1988" t="str">
            <v>TF</v>
          </cell>
          <cell r="R1988" t="str">
            <v>-</v>
          </cell>
          <cell r="S1988" t="str">
            <v>-</v>
          </cell>
          <cell r="T1988" t="str">
            <v>-</v>
          </cell>
          <cell r="U1988" t="str">
            <v>-</v>
          </cell>
          <cell r="V1988" t="str">
            <v>SS</v>
          </cell>
          <cell r="W1988" t="str">
            <v>-</v>
          </cell>
          <cell r="X1988" t="str">
            <v>CLP VG 220 = -15° + 40°</v>
          </cell>
          <cell r="Y1988" t="str">
            <v>KH157DRN160L4 /TF</v>
          </cell>
          <cell r="Z1988" t="str">
            <v>SEW</v>
          </cell>
          <cell r="AB1988" t="str">
            <v>-</v>
          </cell>
          <cell r="AF1988">
            <v>9.8000000000000007</v>
          </cell>
          <cell r="AG1988" t="str">
            <v>DRN160L4</v>
          </cell>
          <cell r="AH1988" t="str">
            <v>KH157-DRN160L4B270-X</v>
          </cell>
        </row>
        <row r="1989">
          <cell r="A1989" t="str">
            <v>MR001985</v>
          </cell>
          <cell r="B1989" t="str">
            <v>MR</v>
          </cell>
          <cell r="C1989">
            <v>15</v>
          </cell>
          <cell r="D1989">
            <v>20</v>
          </cell>
          <cell r="E1989" t="str">
            <v>R137</v>
          </cell>
          <cell r="F1989">
            <v>7140</v>
          </cell>
          <cell r="G1989">
            <v>73.489999999999995</v>
          </cell>
          <cell r="H1989">
            <v>1.1000000000000001</v>
          </cell>
          <cell r="I1989" t="str">
            <v>M1</v>
          </cell>
          <cell r="J1989" t="str">
            <v>IE3</v>
          </cell>
          <cell r="K1989" t="str">
            <v>400/690</v>
          </cell>
          <cell r="L1989">
            <v>50</v>
          </cell>
          <cell r="M1989" t="str">
            <v>29/16,7</v>
          </cell>
          <cell r="N1989">
            <v>55</v>
          </cell>
          <cell r="O1989" t="str">
            <v>F(105°C)</v>
          </cell>
          <cell r="P1989" t="str">
            <v>270°</v>
          </cell>
          <cell r="Q1989" t="str">
            <v>TF</v>
          </cell>
          <cell r="R1989" t="str">
            <v>V(VE)</v>
          </cell>
          <cell r="S1989" t="str">
            <v>-</v>
          </cell>
          <cell r="T1989" t="str">
            <v>-</v>
          </cell>
          <cell r="U1989" t="str">
            <v>-</v>
          </cell>
          <cell r="V1989" t="str">
            <v>FC</v>
          </cell>
          <cell r="W1989" t="str">
            <v>-</v>
          </cell>
          <cell r="X1989" t="str">
            <v>CLP HC VG 220 = -20° + 60°</v>
          </cell>
          <cell r="Y1989" t="str">
            <v>R137DRN160L4 /TF/V</v>
          </cell>
          <cell r="Z1989" t="str">
            <v>SEW</v>
          </cell>
          <cell r="AB1989" t="str">
            <v>-</v>
          </cell>
          <cell r="AF1989">
            <v>20</v>
          </cell>
          <cell r="AG1989" t="str">
            <v>DRN160L4</v>
          </cell>
          <cell r="AH1989" t="str">
            <v>R137-DRN160L4270-X#</v>
          </cell>
        </row>
        <row r="1990">
          <cell r="A1990" t="str">
            <v>MR001986</v>
          </cell>
          <cell r="B1990" t="str">
            <v>MR</v>
          </cell>
          <cell r="C1990">
            <v>22</v>
          </cell>
          <cell r="D1990">
            <v>33</v>
          </cell>
          <cell r="E1990" t="str">
            <v>R137</v>
          </cell>
          <cell r="F1990">
            <v>5230</v>
          </cell>
          <cell r="G1990">
            <v>44.39</v>
          </cell>
          <cell r="H1990">
            <v>1.55</v>
          </cell>
          <cell r="I1990" t="str">
            <v>From M1 to M6 - 10°</v>
          </cell>
          <cell r="J1990" t="str">
            <v>IE3</v>
          </cell>
          <cell r="K1990">
            <v>440</v>
          </cell>
          <cell r="L1990">
            <v>60</v>
          </cell>
          <cell r="M1990">
            <v>70</v>
          </cell>
          <cell r="N1990">
            <v>65</v>
          </cell>
          <cell r="O1990" t="str">
            <v>F(105°C)</v>
          </cell>
          <cell r="P1990" t="str">
            <v>270°</v>
          </cell>
          <cell r="Q1990" t="str">
            <v>-</v>
          </cell>
          <cell r="R1990" t="str">
            <v>-</v>
          </cell>
          <cell r="S1990" t="str">
            <v>-</v>
          </cell>
          <cell r="T1990" t="str">
            <v>-</v>
          </cell>
          <cell r="U1990" t="str">
            <v>-</v>
          </cell>
          <cell r="V1990" t="str">
            <v>SS</v>
          </cell>
          <cell r="W1990" t="str">
            <v>-</v>
          </cell>
          <cell r="X1990" t="str">
            <v>CLP VG 220 = -15° + 40°</v>
          </cell>
          <cell r="Y1990" t="str">
            <v>R137DRN180L4</v>
          </cell>
          <cell r="Z1990" t="str">
            <v>SEW</v>
          </cell>
          <cell r="AB1990" t="str">
            <v>-</v>
          </cell>
          <cell r="AE1990" t="str">
            <v>Japanese plant</v>
          </cell>
          <cell r="AF1990">
            <v>39.6</v>
          </cell>
          <cell r="AG1990" t="str">
            <v>DRN180L4</v>
          </cell>
          <cell r="AH1990" t="str">
            <v>R137-DRN180L4270-X</v>
          </cell>
        </row>
        <row r="1991">
          <cell r="A1991" t="str">
            <v>MR001987</v>
          </cell>
          <cell r="B1991" t="str">
            <v>MR</v>
          </cell>
          <cell r="C1991">
            <v>15</v>
          </cell>
          <cell r="D1991">
            <v>31</v>
          </cell>
          <cell r="E1991" t="str">
            <v>R107</v>
          </cell>
          <cell r="F1991">
            <v>3830</v>
          </cell>
          <cell r="G1991">
            <v>47.63</v>
          </cell>
          <cell r="H1991">
            <v>1.1000000000000001</v>
          </cell>
          <cell r="I1991" t="str">
            <v>From M1 to M6 - 45°</v>
          </cell>
          <cell r="J1991" t="str">
            <v>IE3</v>
          </cell>
          <cell r="K1991">
            <v>440</v>
          </cell>
          <cell r="L1991">
            <v>60</v>
          </cell>
          <cell r="M1991">
            <v>55</v>
          </cell>
          <cell r="N1991">
            <v>65</v>
          </cell>
          <cell r="O1991" t="str">
            <v>F(105°C)</v>
          </cell>
          <cell r="P1991" t="str">
            <v>270°</v>
          </cell>
          <cell r="Q1991" t="str">
            <v>-</v>
          </cell>
          <cell r="R1991" t="str">
            <v>-</v>
          </cell>
          <cell r="S1991" t="str">
            <v>-</v>
          </cell>
          <cell r="T1991" t="str">
            <v>-</v>
          </cell>
          <cell r="U1991" t="str">
            <v>-</v>
          </cell>
          <cell r="V1991" t="str">
            <v>SS</v>
          </cell>
          <cell r="W1991" t="str">
            <v>-</v>
          </cell>
          <cell r="X1991" t="str">
            <v>CLP 220 (-15/+40°C)</v>
          </cell>
          <cell r="Y1991" t="str">
            <v>R107DRN160L4</v>
          </cell>
          <cell r="Z1991" t="str">
            <v>SEW</v>
          </cell>
          <cell r="AB1991" t="str">
            <v>-</v>
          </cell>
          <cell r="AE1991" t="str">
            <v>Japanese plant</v>
          </cell>
          <cell r="AF1991">
            <v>37.200000000000003</v>
          </cell>
          <cell r="AG1991" t="str">
            <v>DRN160L4</v>
          </cell>
          <cell r="AH1991" t="str">
            <v>R107-DRN160L4270-X</v>
          </cell>
        </row>
        <row r="1992">
          <cell r="A1992" t="str">
            <v>MR001988</v>
          </cell>
          <cell r="B1992" t="str">
            <v>MR</v>
          </cell>
          <cell r="C1992">
            <v>0.55000000000000004</v>
          </cell>
          <cell r="D1992">
            <v>0.71</v>
          </cell>
          <cell r="E1992" t="str">
            <v>KA107R77</v>
          </cell>
          <cell r="F1992">
            <v>6540</v>
          </cell>
          <cell r="G1992">
            <v>1939</v>
          </cell>
          <cell r="H1992">
            <v>1.2</v>
          </cell>
          <cell r="I1992" t="str">
            <v>From M1 to M2 B 40°</v>
          </cell>
          <cell r="J1992" t="str">
            <v>IE3</v>
          </cell>
          <cell r="K1992">
            <v>400</v>
          </cell>
          <cell r="L1992">
            <v>50</v>
          </cell>
          <cell r="N1992">
            <v>55</v>
          </cell>
          <cell r="O1992" t="str">
            <v>F(105°C)</v>
          </cell>
          <cell r="P1992" t="str">
            <v>0°</v>
          </cell>
          <cell r="Q1992" t="str">
            <v>-</v>
          </cell>
          <cell r="R1992" t="str">
            <v>-</v>
          </cell>
          <cell r="S1992" t="str">
            <v>-</v>
          </cell>
          <cell r="T1992" t="str">
            <v>-</v>
          </cell>
          <cell r="U1992" t="str">
            <v>T</v>
          </cell>
          <cell r="V1992" t="str">
            <v>SS</v>
          </cell>
          <cell r="W1992" t="str">
            <v>-</v>
          </cell>
          <cell r="X1992" t="str">
            <v>CLP VG 220 = -15° + 40°</v>
          </cell>
          <cell r="Y1992" t="str">
            <v>KA107R77/T DRN80MK4</v>
          </cell>
          <cell r="Z1992" t="str">
            <v>SEW</v>
          </cell>
          <cell r="AB1992" t="str">
            <v>-</v>
          </cell>
          <cell r="AF1992">
            <v>0.71</v>
          </cell>
          <cell r="AG1992" t="str">
            <v>DRN80MK4</v>
          </cell>
          <cell r="AH1992" t="str">
            <v>KA107R77T-DRN80MK4B0-X</v>
          </cell>
        </row>
        <row r="1993">
          <cell r="A1993" t="str">
            <v>MR001989</v>
          </cell>
          <cell r="B1993" t="str">
            <v>MR</v>
          </cell>
          <cell r="C1993">
            <v>18.5</v>
          </cell>
          <cell r="D1993">
            <v>16</v>
          </cell>
          <cell r="E1993" t="str">
            <v>KH127</v>
          </cell>
          <cell r="F1993">
            <v>10700</v>
          </cell>
          <cell r="G1993">
            <v>89.89</v>
          </cell>
          <cell r="H1993">
            <v>1.2</v>
          </cell>
          <cell r="I1993" t="str">
            <v>M1B</v>
          </cell>
          <cell r="J1993" t="str">
            <v>IE3</v>
          </cell>
          <cell r="K1993" t="str">
            <v>400/690</v>
          </cell>
          <cell r="L1993">
            <v>50</v>
          </cell>
          <cell r="M1993" t="str">
            <v>33,5/19,3</v>
          </cell>
          <cell r="N1993">
            <v>55</v>
          </cell>
          <cell r="O1993" t="str">
            <v>F(105°C)</v>
          </cell>
          <cell r="P1993" t="str">
            <v>0°</v>
          </cell>
          <cell r="Q1993" t="str">
            <v>TF</v>
          </cell>
          <cell r="R1993" t="str">
            <v>-</v>
          </cell>
          <cell r="S1993" t="str">
            <v>-</v>
          </cell>
          <cell r="T1993" t="str">
            <v>-</v>
          </cell>
          <cell r="U1993" t="str">
            <v>-</v>
          </cell>
          <cell r="V1993" t="str">
            <v>FC</v>
          </cell>
          <cell r="W1993" t="str">
            <v>-</v>
          </cell>
          <cell r="X1993" t="str">
            <v>CLP 220 (-15/+40°C)</v>
          </cell>
          <cell r="Y1993" t="str">
            <v>KH127DRN180M4 /TF</v>
          </cell>
          <cell r="Z1993" t="str">
            <v>SEW</v>
          </cell>
          <cell r="AB1993" t="str">
            <v>-</v>
          </cell>
          <cell r="AF1993">
            <v>16</v>
          </cell>
          <cell r="AG1993" t="str">
            <v>DRN180M4</v>
          </cell>
          <cell r="AH1993" t="str">
            <v>KH127-DRN180M4B0-X</v>
          </cell>
        </row>
        <row r="1994">
          <cell r="A1994" t="str">
            <v>MR001990</v>
          </cell>
          <cell r="B1994" t="str">
            <v>MR</v>
          </cell>
          <cell r="C1994">
            <v>15</v>
          </cell>
          <cell r="D1994">
            <v>30</v>
          </cell>
          <cell r="E1994" t="str">
            <v>R127</v>
          </cell>
          <cell r="F1994">
            <v>4840</v>
          </cell>
          <cell r="G1994">
            <v>49.81</v>
          </cell>
          <cell r="H1994">
            <v>1.25</v>
          </cell>
          <cell r="I1994" t="str">
            <v>From M5 to M4 - 5°</v>
          </cell>
          <cell r="J1994" t="str">
            <v>IE3</v>
          </cell>
          <cell r="K1994" t="str">
            <v>400/690</v>
          </cell>
          <cell r="L1994">
            <v>50</v>
          </cell>
          <cell r="M1994" t="str">
            <v>29/16,7</v>
          </cell>
          <cell r="N1994">
            <v>55</v>
          </cell>
          <cell r="O1994" t="str">
            <v>F(105°C)</v>
          </cell>
          <cell r="P1994" t="str">
            <v>270°</v>
          </cell>
          <cell r="Q1994" t="str">
            <v>TF</v>
          </cell>
          <cell r="R1994" t="str">
            <v>V(VE)</v>
          </cell>
          <cell r="S1994" t="str">
            <v>-</v>
          </cell>
          <cell r="T1994" t="str">
            <v>-</v>
          </cell>
          <cell r="U1994" t="str">
            <v>-</v>
          </cell>
          <cell r="V1994" t="str">
            <v>FC</v>
          </cell>
          <cell r="W1994" t="str">
            <v>-</v>
          </cell>
          <cell r="X1994" t="str">
            <v>CLP HC VG 220 = -20° + 60°</v>
          </cell>
          <cell r="Y1994" t="str">
            <v>R127DRN160L4 /TF/V</v>
          </cell>
          <cell r="Z1994" t="str">
            <v>SEW</v>
          </cell>
          <cell r="AB1994" t="str">
            <v>-</v>
          </cell>
          <cell r="AF1994">
            <v>30</v>
          </cell>
          <cell r="AG1994" t="str">
            <v>DRN160L4</v>
          </cell>
          <cell r="AH1994" t="str">
            <v>R127-DRN160L4270-X#</v>
          </cell>
        </row>
        <row r="1995">
          <cell r="A1995" t="str">
            <v>MR001991</v>
          </cell>
          <cell r="B1995" t="str">
            <v>MR</v>
          </cell>
          <cell r="C1995">
            <v>15</v>
          </cell>
          <cell r="D1995">
            <v>30</v>
          </cell>
          <cell r="E1995" t="str">
            <v>R127</v>
          </cell>
          <cell r="F1995">
            <v>4840</v>
          </cell>
          <cell r="G1995">
            <v>49.81</v>
          </cell>
          <cell r="H1995">
            <v>1.25</v>
          </cell>
          <cell r="I1995" t="str">
            <v>From M6 to M4 - 5°</v>
          </cell>
          <cell r="J1995" t="str">
            <v>IE3</v>
          </cell>
          <cell r="K1995" t="str">
            <v>400/690</v>
          </cell>
          <cell r="L1995">
            <v>50</v>
          </cell>
          <cell r="M1995" t="str">
            <v>29/16,7</v>
          </cell>
          <cell r="N1995">
            <v>55</v>
          </cell>
          <cell r="O1995" t="str">
            <v>F(105°C)</v>
          </cell>
          <cell r="P1995" t="str">
            <v>270°</v>
          </cell>
          <cell r="Q1995" t="str">
            <v>TF</v>
          </cell>
          <cell r="R1995" t="str">
            <v>V(VE)</v>
          </cell>
          <cell r="S1995" t="str">
            <v>-</v>
          </cell>
          <cell r="T1995" t="str">
            <v>-</v>
          </cell>
          <cell r="U1995" t="str">
            <v>-</v>
          </cell>
          <cell r="V1995" t="str">
            <v>FC</v>
          </cell>
          <cell r="W1995" t="str">
            <v>-</v>
          </cell>
          <cell r="X1995" t="str">
            <v>CLP HC VG 220 = -20° + 60°</v>
          </cell>
          <cell r="Y1995" t="str">
            <v>R127DRN160L4 /TF/V</v>
          </cell>
          <cell r="Z1995" t="str">
            <v>SEW</v>
          </cell>
          <cell r="AB1995" t="str">
            <v>-</v>
          </cell>
          <cell r="AF1995">
            <v>30</v>
          </cell>
          <cell r="AG1995" t="str">
            <v>DRN160L4</v>
          </cell>
          <cell r="AH1995" t="str">
            <v>R127-DRN160L4270-X#</v>
          </cell>
        </row>
        <row r="1996">
          <cell r="A1996" t="str">
            <v>MR001992</v>
          </cell>
          <cell r="B1996" t="str">
            <v>MR</v>
          </cell>
          <cell r="C1996">
            <v>2.2000000000000002</v>
          </cell>
          <cell r="D1996">
            <v>75</v>
          </cell>
          <cell r="E1996" t="str">
            <v>KH67</v>
          </cell>
          <cell r="F1996">
            <v>280</v>
          </cell>
          <cell r="G1996">
            <v>19.3</v>
          </cell>
          <cell r="H1996">
            <v>2.7</v>
          </cell>
          <cell r="I1996" t="str">
            <v>From M1A to M2A - 5°</v>
          </cell>
          <cell r="J1996" t="str">
            <v>IE3</v>
          </cell>
          <cell r="K1996" t="str">
            <v>230/400</v>
          </cell>
          <cell r="L1996">
            <v>50</v>
          </cell>
          <cell r="M1996" t="str">
            <v>8,3/4,75</v>
          </cell>
          <cell r="N1996">
            <v>55</v>
          </cell>
          <cell r="O1996" t="str">
            <v>F(105°C)</v>
          </cell>
          <cell r="P1996" t="str">
            <v>270°</v>
          </cell>
          <cell r="Q1996" t="str">
            <v>-</v>
          </cell>
          <cell r="R1996" t="str">
            <v>-</v>
          </cell>
          <cell r="S1996" t="str">
            <v>-</v>
          </cell>
          <cell r="T1996" t="str">
            <v>-</v>
          </cell>
          <cell r="U1996" t="str">
            <v>T</v>
          </cell>
          <cell r="V1996" t="str">
            <v>D</v>
          </cell>
          <cell r="W1996" t="str">
            <v>-</v>
          </cell>
          <cell r="X1996" t="str">
            <v>CLP HC VG 220 = -20° + 60°</v>
          </cell>
          <cell r="Y1996" t="str">
            <v>KH67/TDRN100LS4</v>
          </cell>
          <cell r="Z1996" t="str">
            <v>SEW</v>
          </cell>
          <cell r="AB1996" t="str">
            <v>-</v>
          </cell>
          <cell r="AF1996">
            <v>75</v>
          </cell>
          <cell r="AG1996" t="str">
            <v>DRN100LS4</v>
          </cell>
          <cell r="AH1996" t="str">
            <v>KH67T-DRN100LS4A270-X</v>
          </cell>
        </row>
        <row r="1997">
          <cell r="A1997" t="str">
            <v>MR001993</v>
          </cell>
          <cell r="B1997" t="str">
            <v>MR</v>
          </cell>
          <cell r="C1997">
            <v>1.1000000000000001</v>
          </cell>
          <cell r="D1997">
            <v>12</v>
          </cell>
          <cell r="E1997" t="str">
            <v>R97</v>
          </cell>
          <cell r="F1997">
            <v>840</v>
          </cell>
          <cell r="G1997">
            <v>116.48</v>
          </cell>
          <cell r="H1997">
            <v>3.6</v>
          </cell>
          <cell r="I1997" t="str">
            <v>M1</v>
          </cell>
          <cell r="J1997" t="str">
            <v>IE3</v>
          </cell>
          <cell r="K1997">
            <v>400</v>
          </cell>
          <cell r="L1997">
            <v>50</v>
          </cell>
          <cell r="N1997">
            <v>55</v>
          </cell>
          <cell r="O1997" t="str">
            <v>F(105°C)</v>
          </cell>
          <cell r="P1997" t="str">
            <v>270°</v>
          </cell>
          <cell r="Q1997" t="str">
            <v>-</v>
          </cell>
          <cell r="R1997" t="str">
            <v>-</v>
          </cell>
          <cell r="S1997" t="str">
            <v>-</v>
          </cell>
          <cell r="T1997" t="str">
            <v>-</v>
          </cell>
          <cell r="U1997" t="str">
            <v>-</v>
          </cell>
          <cell r="V1997" t="str">
            <v>D</v>
          </cell>
          <cell r="W1997" t="str">
            <v>-</v>
          </cell>
          <cell r="X1997" t="str">
            <v>CLP 220 (-15/+40°C)</v>
          </cell>
          <cell r="Y1997" t="str">
            <v>R97DRN90S4</v>
          </cell>
          <cell r="Z1997" t="str">
            <v>SEW</v>
          </cell>
          <cell r="AB1997" t="str">
            <v>-</v>
          </cell>
          <cell r="AF1997">
            <v>12</v>
          </cell>
          <cell r="AG1997" t="str">
            <v>DRN90S4</v>
          </cell>
          <cell r="AH1997" t="str">
            <v>R97-DRN90S4270-X</v>
          </cell>
        </row>
        <row r="1998">
          <cell r="A1998" t="str">
            <v>MR001994</v>
          </cell>
          <cell r="B1998" t="str">
            <v>MR</v>
          </cell>
          <cell r="C1998">
            <v>7.5</v>
          </cell>
          <cell r="D1998">
            <v>104</v>
          </cell>
          <cell r="E1998" t="str">
            <v>R77</v>
          </cell>
          <cell r="F1998">
            <v>685</v>
          </cell>
          <cell r="G1998">
            <v>14.05</v>
          </cell>
          <cell r="H1998">
            <v>1.05</v>
          </cell>
          <cell r="I1998" t="str">
            <v>M1</v>
          </cell>
          <cell r="J1998" t="str">
            <v>IE3</v>
          </cell>
          <cell r="K1998" t="str">
            <v>230/400</v>
          </cell>
          <cell r="L1998">
            <v>50</v>
          </cell>
          <cell r="M1998" t="str">
            <v>26,5/15,2</v>
          </cell>
          <cell r="N1998">
            <v>55</v>
          </cell>
          <cell r="O1998" t="str">
            <v>F(105°C)</v>
          </cell>
          <cell r="P1998" t="str">
            <v>270°</v>
          </cell>
          <cell r="Q1998" t="str">
            <v>-</v>
          </cell>
          <cell r="R1998" t="str">
            <v>V(VE)</v>
          </cell>
          <cell r="S1998" t="str">
            <v>-</v>
          </cell>
          <cell r="T1998" t="str">
            <v>BE11</v>
          </cell>
          <cell r="U1998" t="str">
            <v>-</v>
          </cell>
          <cell r="V1998" t="str">
            <v>D</v>
          </cell>
          <cell r="W1998" t="str">
            <v>-</v>
          </cell>
          <cell r="X1998" t="str">
            <v>CLP 220 (-15/+40°C)</v>
          </cell>
          <cell r="Y1998" t="str">
            <v>R77DRN132M4 /BE11/V</v>
          </cell>
          <cell r="Z1998" t="str">
            <v>SEW</v>
          </cell>
          <cell r="AB1998" t="str">
            <v>-</v>
          </cell>
          <cell r="AF1998">
            <v>104</v>
          </cell>
          <cell r="AG1998" t="str">
            <v>DRN132M4</v>
          </cell>
          <cell r="AH1998" t="str">
            <v>R77-DRN132M4270-X#</v>
          </cell>
        </row>
        <row r="1999">
          <cell r="A1999" t="str">
            <v>MR001995</v>
          </cell>
          <cell r="B1999" t="str">
            <v>MR</v>
          </cell>
          <cell r="C1999">
            <v>18.5</v>
          </cell>
          <cell r="D1999">
            <v>33</v>
          </cell>
          <cell r="E1999" t="str">
            <v>R137</v>
          </cell>
          <cell r="F1999">
            <v>4400</v>
          </cell>
          <cell r="G1999">
            <v>44.39</v>
          </cell>
          <cell r="H1999">
            <v>1.8</v>
          </cell>
          <cell r="I1999" t="str">
            <v>From M1 to M6 - 10°</v>
          </cell>
          <cell r="J1999" t="str">
            <v>IE3</v>
          </cell>
          <cell r="K1999">
            <v>440</v>
          </cell>
          <cell r="L1999">
            <v>60</v>
          </cell>
          <cell r="M1999">
            <v>64</v>
          </cell>
          <cell r="N1999">
            <v>65</v>
          </cell>
          <cell r="O1999" t="str">
            <v>F(105°C)</v>
          </cell>
          <cell r="P1999" t="str">
            <v>270°</v>
          </cell>
          <cell r="Q1999" t="str">
            <v>-</v>
          </cell>
          <cell r="R1999" t="str">
            <v>-</v>
          </cell>
          <cell r="S1999" t="str">
            <v>-</v>
          </cell>
          <cell r="T1999" t="str">
            <v>-</v>
          </cell>
          <cell r="U1999" t="str">
            <v>-</v>
          </cell>
          <cell r="V1999" t="str">
            <v>SS</v>
          </cell>
          <cell r="W1999" t="str">
            <v>-</v>
          </cell>
          <cell r="X1999" t="str">
            <v>CLP 220 (-15/+40°C)</v>
          </cell>
          <cell r="Y1999" t="str">
            <v>R137DRN180M4</v>
          </cell>
          <cell r="Z1999" t="str">
            <v>SEW</v>
          </cell>
          <cell r="AB1999" t="str">
            <v>-</v>
          </cell>
          <cell r="AE1999" t="str">
            <v>Japanese plant</v>
          </cell>
          <cell r="AF1999">
            <v>39.6</v>
          </cell>
          <cell r="AG1999" t="str">
            <v>DRN180M4</v>
          </cell>
          <cell r="AH1999" t="str">
            <v>R137-DRN180M4270-X</v>
          </cell>
        </row>
        <row r="2000">
          <cell r="A2000" t="str">
            <v>MR001996</v>
          </cell>
          <cell r="B2000" t="str">
            <v>MR</v>
          </cell>
          <cell r="C2000">
            <v>18.5</v>
          </cell>
          <cell r="D2000">
            <v>10</v>
          </cell>
          <cell r="E2000" t="str">
            <v>FH157</v>
          </cell>
          <cell r="F2000">
            <v>16900</v>
          </cell>
          <cell r="G2000">
            <v>141.80000000000001</v>
          </cell>
          <cell r="H2000">
            <v>1.2</v>
          </cell>
          <cell r="I2000" t="str">
            <v>From M1 to M2 - 10°</v>
          </cell>
          <cell r="J2000" t="str">
            <v>IE3</v>
          </cell>
          <cell r="K2000" t="str">
            <v>400/690</v>
          </cell>
          <cell r="L2000">
            <v>50</v>
          </cell>
          <cell r="M2000" t="str">
            <v>33,5/19,3</v>
          </cell>
          <cell r="N2000">
            <v>65</v>
          </cell>
          <cell r="O2000" t="str">
            <v>F(105°C)</v>
          </cell>
          <cell r="P2000" t="str">
            <v>270°</v>
          </cell>
          <cell r="Q2000" t="str">
            <v>TF</v>
          </cell>
          <cell r="R2000" t="str">
            <v>V(VE)</v>
          </cell>
          <cell r="S2000" t="str">
            <v>-</v>
          </cell>
          <cell r="T2000" t="str">
            <v>-</v>
          </cell>
          <cell r="U2000" t="str">
            <v>G</v>
          </cell>
          <cell r="V2000" t="str">
            <v>FC</v>
          </cell>
          <cell r="W2000" t="str">
            <v>-</v>
          </cell>
          <cell r="X2000" t="str">
            <v>CLP PG VG 220 = -20° + 80°</v>
          </cell>
          <cell r="Y2000" t="str">
            <v>FH157/G DRN180M4 /TF/V</v>
          </cell>
          <cell r="Z2000" t="str">
            <v>SEW</v>
          </cell>
          <cell r="AB2000" t="str">
            <v>-</v>
          </cell>
          <cell r="AF2000">
            <v>10</v>
          </cell>
          <cell r="AG2000" t="str">
            <v>DRN180M4</v>
          </cell>
          <cell r="AH2000" t="str">
            <v>FH157G-DRN180M4270-X#</v>
          </cell>
        </row>
        <row r="2001">
          <cell r="A2001" t="str">
            <v>MR001997</v>
          </cell>
          <cell r="B2001" t="str">
            <v>MR</v>
          </cell>
          <cell r="C2001">
            <v>18.5</v>
          </cell>
          <cell r="D2001">
            <v>10</v>
          </cell>
          <cell r="E2001" t="str">
            <v>FH157</v>
          </cell>
          <cell r="F2001">
            <v>16900</v>
          </cell>
          <cell r="G2001">
            <v>141.80000000000001</v>
          </cell>
          <cell r="H2001">
            <v>1.2</v>
          </cell>
          <cell r="I2001" t="str">
            <v>From M1 to M4 - 10°</v>
          </cell>
          <cell r="J2001" t="str">
            <v>IE3</v>
          </cell>
          <cell r="K2001" t="str">
            <v>400/690</v>
          </cell>
          <cell r="L2001">
            <v>50</v>
          </cell>
          <cell r="M2001" t="str">
            <v>33,5/19,3</v>
          </cell>
          <cell r="N2001">
            <v>65</v>
          </cell>
          <cell r="O2001" t="str">
            <v>F(105°C)</v>
          </cell>
          <cell r="P2001" t="str">
            <v>270°</v>
          </cell>
          <cell r="Q2001" t="str">
            <v>TF</v>
          </cell>
          <cell r="R2001" t="str">
            <v>V(VE)</v>
          </cell>
          <cell r="S2001" t="str">
            <v>-</v>
          </cell>
          <cell r="T2001" t="str">
            <v>-</v>
          </cell>
          <cell r="U2001" t="str">
            <v>G</v>
          </cell>
          <cell r="V2001" t="str">
            <v>FC</v>
          </cell>
          <cell r="W2001" t="str">
            <v>-</v>
          </cell>
          <cell r="X2001" t="str">
            <v>CLP PG VG 220 = -20° + 80°</v>
          </cell>
          <cell r="Y2001" t="str">
            <v>FH157/G DRN180M4 /TF/V</v>
          </cell>
          <cell r="Z2001" t="str">
            <v>SEW</v>
          </cell>
          <cell r="AB2001" t="str">
            <v>-</v>
          </cell>
          <cell r="AF2001">
            <v>10</v>
          </cell>
          <cell r="AG2001" t="str">
            <v>DRN180M4</v>
          </cell>
          <cell r="AH2001" t="str">
            <v>FH157G-DRN180M4270-X#</v>
          </cell>
        </row>
        <row r="2002">
          <cell r="A2002" t="str">
            <v>MR001998</v>
          </cell>
          <cell r="B2002" t="str">
            <v>MR</v>
          </cell>
          <cell r="C2002">
            <v>11</v>
          </cell>
          <cell r="D2002">
            <v>16</v>
          </cell>
          <cell r="E2002" t="str">
            <v>KH107</v>
          </cell>
          <cell r="F2002">
            <v>6490</v>
          </cell>
          <cell r="G2002">
            <v>90.96</v>
          </cell>
          <cell r="H2002">
            <v>1.25</v>
          </cell>
          <cell r="I2002" t="str">
            <v>From M1A to M2A - 5°</v>
          </cell>
          <cell r="J2002" t="str">
            <v>IE3</v>
          </cell>
          <cell r="K2002" t="str">
            <v>400/690</v>
          </cell>
          <cell r="L2002">
            <v>50</v>
          </cell>
          <cell r="M2002" t="str">
            <v>21/12,2</v>
          </cell>
          <cell r="N2002">
            <v>55</v>
          </cell>
          <cell r="O2002" t="str">
            <v>F(105°C)</v>
          </cell>
          <cell r="P2002" t="str">
            <v>270°</v>
          </cell>
          <cell r="Q2002" t="str">
            <v>-</v>
          </cell>
          <cell r="R2002" t="str">
            <v>-</v>
          </cell>
          <cell r="S2002" t="str">
            <v>-</v>
          </cell>
          <cell r="T2002" t="str">
            <v>-</v>
          </cell>
          <cell r="U2002" t="str">
            <v>-</v>
          </cell>
          <cell r="V2002" t="str">
            <v>SS</v>
          </cell>
          <cell r="W2002" t="str">
            <v>-</v>
          </cell>
          <cell r="X2002" t="str">
            <v>CLP VG 220 = -15° + 40°</v>
          </cell>
          <cell r="Y2002" t="str">
            <v>KH107DRN160M4</v>
          </cell>
          <cell r="Z2002" t="str">
            <v>SEW</v>
          </cell>
          <cell r="AB2002" t="str">
            <v>-</v>
          </cell>
          <cell r="AF2002">
            <v>16</v>
          </cell>
          <cell r="AG2002" t="str">
            <v>DRN160M4</v>
          </cell>
          <cell r="AH2002" t="str">
            <v>KH107-DRN160M4A270-X</v>
          </cell>
        </row>
        <row r="2003">
          <cell r="A2003" t="str">
            <v>MR001999</v>
          </cell>
          <cell r="B2003" t="str">
            <v>MR</v>
          </cell>
          <cell r="C2003">
            <v>11</v>
          </cell>
          <cell r="D2003">
            <v>16</v>
          </cell>
          <cell r="E2003" t="str">
            <v>KH107</v>
          </cell>
          <cell r="F2003">
            <v>6490</v>
          </cell>
          <cell r="G2003">
            <v>90.96</v>
          </cell>
          <cell r="H2003">
            <v>1.25</v>
          </cell>
          <cell r="I2003" t="str">
            <v>From M1B to M2B - 5°</v>
          </cell>
          <cell r="J2003" t="str">
            <v>IE3</v>
          </cell>
          <cell r="K2003" t="str">
            <v>400/690</v>
          </cell>
          <cell r="L2003">
            <v>50</v>
          </cell>
          <cell r="M2003" t="str">
            <v>21/12,2</v>
          </cell>
          <cell r="N2003">
            <v>55</v>
          </cell>
          <cell r="O2003" t="str">
            <v>F(105°C)</v>
          </cell>
          <cell r="P2003" t="str">
            <v>270°</v>
          </cell>
          <cell r="Q2003" t="str">
            <v>-</v>
          </cell>
          <cell r="R2003" t="str">
            <v>-</v>
          </cell>
          <cell r="S2003" t="str">
            <v>-</v>
          </cell>
          <cell r="T2003" t="str">
            <v>-</v>
          </cell>
          <cell r="U2003" t="str">
            <v>-</v>
          </cell>
          <cell r="V2003" t="str">
            <v>SS</v>
          </cell>
          <cell r="W2003" t="str">
            <v>-</v>
          </cell>
          <cell r="X2003" t="str">
            <v>CLP VG 220 = -15° + 40°</v>
          </cell>
          <cell r="Y2003" t="str">
            <v>KH107DRN160M4</v>
          </cell>
          <cell r="Z2003" t="str">
            <v>SEW</v>
          </cell>
          <cell r="AB2003" t="str">
            <v>-</v>
          </cell>
          <cell r="AF2003">
            <v>16</v>
          </cell>
          <cell r="AG2003" t="str">
            <v>DRN160M4</v>
          </cell>
          <cell r="AH2003" t="str">
            <v>KH107-DRN160M4B270-X</v>
          </cell>
        </row>
        <row r="2004">
          <cell r="A2004" t="str">
            <v>MR002000</v>
          </cell>
          <cell r="B2004" t="str">
            <v>MR</v>
          </cell>
          <cell r="C2004">
            <v>45</v>
          </cell>
          <cell r="D2004">
            <v>89</v>
          </cell>
          <cell r="E2004" t="str">
            <v>KH107</v>
          </cell>
          <cell r="F2004">
            <v>4850</v>
          </cell>
          <cell r="G2004">
            <v>16.75</v>
          </cell>
          <cell r="H2004">
            <v>1.45</v>
          </cell>
          <cell r="I2004" t="str">
            <v>M4A</v>
          </cell>
          <cell r="J2004" t="str">
            <v>IE3</v>
          </cell>
          <cell r="K2004" t="str">
            <v>400/690</v>
          </cell>
          <cell r="L2004">
            <v>50</v>
          </cell>
          <cell r="M2004" t="str">
            <v>81/47</v>
          </cell>
          <cell r="N2004">
            <v>55</v>
          </cell>
          <cell r="O2004" t="str">
            <v>155(F)</v>
          </cell>
          <cell r="P2004" t="str">
            <v>270°</v>
          </cell>
          <cell r="Q2004" t="str">
            <v>-</v>
          </cell>
          <cell r="R2004" t="str">
            <v>-</v>
          </cell>
          <cell r="S2004" t="str">
            <v>Free rotation CCW</v>
          </cell>
          <cell r="T2004" t="str">
            <v>-</v>
          </cell>
          <cell r="U2004" t="str">
            <v>T</v>
          </cell>
          <cell r="V2004" t="str">
            <v>SS</v>
          </cell>
          <cell r="W2004" t="str">
            <v>-</v>
          </cell>
          <cell r="X2004" t="str">
            <v>CLP HC 150 (-30/+50°C)</v>
          </cell>
          <cell r="Y2004" t="str">
            <v>KH107/T EDRN225M4 /RS</v>
          </cell>
          <cell r="Z2004" t="str">
            <v>SEW</v>
          </cell>
          <cell r="AB2004" t="str">
            <v>ATEX22</v>
          </cell>
          <cell r="AF2004">
            <v>89</v>
          </cell>
          <cell r="AG2004" t="str">
            <v>EDRN225M4</v>
          </cell>
          <cell r="AH2004" t="str">
            <v>KH107T-EDRN225M4A270-X</v>
          </cell>
        </row>
        <row r="2005">
          <cell r="A2005" t="str">
            <v>MR002001</v>
          </cell>
          <cell r="B2005" t="str">
            <v>ME</v>
          </cell>
          <cell r="C2005">
            <v>45</v>
          </cell>
          <cell r="D2005">
            <v>1482</v>
          </cell>
          <cell r="I2005" t="str">
            <v>M4A</v>
          </cell>
          <cell r="J2005" t="str">
            <v>IE3</v>
          </cell>
          <cell r="K2005" t="str">
            <v>400/690</v>
          </cell>
          <cell r="L2005">
            <v>50</v>
          </cell>
          <cell r="M2005" t="str">
            <v>81/47</v>
          </cell>
          <cell r="N2005">
            <v>55</v>
          </cell>
          <cell r="O2005" t="str">
            <v>155(F)</v>
          </cell>
          <cell r="P2005" t="str">
            <v>270°</v>
          </cell>
          <cell r="Q2005" t="str">
            <v>-</v>
          </cell>
          <cell r="R2005" t="str">
            <v>-</v>
          </cell>
          <cell r="S2005" t="str">
            <v>-</v>
          </cell>
          <cell r="T2005" t="str">
            <v>-</v>
          </cell>
          <cell r="U2005" t="str">
            <v>-</v>
          </cell>
          <cell r="V2005" t="str">
            <v>-</v>
          </cell>
          <cell r="W2005" t="str">
            <v>-</v>
          </cell>
          <cell r="X2005" t="str">
            <v>-</v>
          </cell>
          <cell r="Y2005" t="str">
            <v>DRN225M4/FG</v>
          </cell>
          <cell r="Z2005" t="str">
            <v>SEW</v>
          </cell>
          <cell r="AB2005" t="str">
            <v>-</v>
          </cell>
          <cell r="AF2005">
            <v>1482</v>
          </cell>
          <cell r="AG2005" t="str">
            <v>DRN225M4</v>
          </cell>
          <cell r="AH2005" t="str">
            <v>-DRN225M4A270-X</v>
          </cell>
        </row>
        <row r="2006">
          <cell r="A2006" t="str">
            <v>MR002002</v>
          </cell>
          <cell r="B2006" t="str">
            <v>MR</v>
          </cell>
          <cell r="C2006">
            <v>30</v>
          </cell>
          <cell r="D2006">
            <v>15</v>
          </cell>
          <cell r="E2006" t="str">
            <v>KH157</v>
          </cell>
          <cell r="F2006">
            <v>16100</v>
          </cell>
          <cell r="G2006">
            <v>100.22</v>
          </cell>
          <cell r="H2006">
            <v>1.25</v>
          </cell>
          <cell r="I2006" t="str">
            <v>From M1A to M2A - 25°</v>
          </cell>
          <cell r="J2006" t="str">
            <v>IE3</v>
          </cell>
          <cell r="K2006" t="str">
            <v>277/480</v>
          </cell>
          <cell r="L2006">
            <v>60</v>
          </cell>
          <cell r="M2006" t="str">
            <v>81/46,5</v>
          </cell>
          <cell r="N2006">
            <v>55</v>
          </cell>
          <cell r="O2006" t="str">
            <v>F(105°C)</v>
          </cell>
          <cell r="P2006" t="str">
            <v>270°</v>
          </cell>
          <cell r="Q2006" t="str">
            <v>TF</v>
          </cell>
          <cell r="R2006" t="str">
            <v>V(VE)</v>
          </cell>
          <cell r="S2006" t="str">
            <v>-</v>
          </cell>
          <cell r="T2006" t="str">
            <v>-</v>
          </cell>
          <cell r="U2006" t="str">
            <v>-</v>
          </cell>
          <cell r="V2006" t="str">
            <v>FC</v>
          </cell>
          <cell r="W2006" t="str">
            <v>-</v>
          </cell>
          <cell r="X2006" t="str">
            <v>CLP 220 (-15/+40°C)</v>
          </cell>
          <cell r="Y2006" t="str">
            <v>KH157DRN200L4 /TF/V</v>
          </cell>
          <cell r="Z2006" t="str">
            <v>SEW</v>
          </cell>
          <cell r="AB2006" t="str">
            <v>-</v>
          </cell>
          <cell r="AF2006">
            <v>18</v>
          </cell>
          <cell r="AG2006" t="str">
            <v>DRN200L4</v>
          </cell>
          <cell r="AH2006" t="str">
            <v>KH157-DRN200L4A270-X#</v>
          </cell>
        </row>
        <row r="2007">
          <cell r="A2007" t="str">
            <v>MR002003</v>
          </cell>
          <cell r="B2007" t="str">
            <v>MR</v>
          </cell>
          <cell r="C2007">
            <v>30</v>
          </cell>
          <cell r="D2007">
            <v>15</v>
          </cell>
          <cell r="E2007" t="str">
            <v>KH157</v>
          </cell>
          <cell r="F2007">
            <v>16100</v>
          </cell>
          <cell r="G2007">
            <v>100.22</v>
          </cell>
          <cell r="H2007">
            <v>1.25</v>
          </cell>
          <cell r="I2007" t="str">
            <v>From M1B to M2B - 25°</v>
          </cell>
          <cell r="J2007" t="str">
            <v>IE3</v>
          </cell>
          <cell r="K2007" t="str">
            <v>277/480</v>
          </cell>
          <cell r="L2007">
            <v>60</v>
          </cell>
          <cell r="M2007" t="str">
            <v>81/46,5</v>
          </cell>
          <cell r="N2007">
            <v>55</v>
          </cell>
          <cell r="O2007" t="str">
            <v>F(105°C)</v>
          </cell>
          <cell r="P2007" t="str">
            <v>270°</v>
          </cell>
          <cell r="Q2007" t="str">
            <v>TF</v>
          </cell>
          <cell r="R2007" t="str">
            <v>V(VE)</v>
          </cell>
          <cell r="S2007" t="str">
            <v>-</v>
          </cell>
          <cell r="T2007" t="str">
            <v>-</v>
          </cell>
          <cell r="U2007" t="str">
            <v>-</v>
          </cell>
          <cell r="V2007" t="str">
            <v>FC</v>
          </cell>
          <cell r="W2007" t="str">
            <v>-</v>
          </cell>
          <cell r="X2007" t="str">
            <v>CLP 220 (-15/+40°C)</v>
          </cell>
          <cell r="Y2007" t="str">
            <v>KH157DRN200L4 /TF/V</v>
          </cell>
          <cell r="Z2007" t="str">
            <v>SEW</v>
          </cell>
          <cell r="AB2007" t="str">
            <v>-</v>
          </cell>
          <cell r="AF2007">
            <v>18</v>
          </cell>
          <cell r="AG2007" t="str">
            <v>DRN200L4</v>
          </cell>
          <cell r="AH2007" t="str">
            <v>KH157-DRN200L4B270-X#</v>
          </cell>
        </row>
        <row r="2008">
          <cell r="A2008" t="str">
            <v>MR002004</v>
          </cell>
          <cell r="B2008" t="str">
            <v>MR</v>
          </cell>
          <cell r="C2008">
            <v>9.1999999999999993</v>
          </cell>
          <cell r="D2008">
            <v>22</v>
          </cell>
          <cell r="E2008" t="str">
            <v>KAF107</v>
          </cell>
          <cell r="F2008">
            <v>3980</v>
          </cell>
          <cell r="G2008">
            <v>66.52</v>
          </cell>
          <cell r="H2008">
            <v>1.75</v>
          </cell>
          <cell r="I2008" t="str">
            <v>M1B</v>
          </cell>
          <cell r="J2008" t="str">
            <v>IE2</v>
          </cell>
          <cell r="K2008" t="str">
            <v>400/690</v>
          </cell>
          <cell r="L2008">
            <v>50</v>
          </cell>
          <cell r="M2008" t="str">
            <v>19,1/11,1</v>
          </cell>
          <cell r="N2008">
            <v>55</v>
          </cell>
          <cell r="O2008" t="str">
            <v>F(105°C)</v>
          </cell>
          <cell r="P2008" t="str">
            <v>0°</v>
          </cell>
          <cell r="Q2008" t="str">
            <v>TF</v>
          </cell>
          <cell r="R2008" t="str">
            <v>-</v>
          </cell>
          <cell r="S2008" t="str">
            <v>-</v>
          </cell>
          <cell r="T2008" t="str">
            <v>BGE1,5</v>
          </cell>
          <cell r="U2008" t="str">
            <v>-</v>
          </cell>
          <cell r="V2008" t="str">
            <v>D</v>
          </cell>
          <cell r="W2008" t="str">
            <v>-</v>
          </cell>
          <cell r="X2008" t="str">
            <v>CLP HC 220 (-25/+60°C)</v>
          </cell>
          <cell r="Y2008" t="str">
            <v>KAF107/II2GD EDRE160M4 /BE20HR/3D/TF/AL</v>
          </cell>
          <cell r="Z2008" t="str">
            <v>SEW</v>
          </cell>
          <cell r="AB2008" t="str">
            <v>ATEX22</v>
          </cell>
          <cell r="AE2008" t="str">
            <v>Rectifier for brake in the terminal box</v>
          </cell>
          <cell r="AF2008">
            <v>22</v>
          </cell>
          <cell r="AG2008" t="str">
            <v>EDRE160M4</v>
          </cell>
          <cell r="AH2008" t="str">
            <v>KAF107-EDRE160M4B0-X</v>
          </cell>
        </row>
        <row r="2009">
          <cell r="A2009" t="str">
            <v>MR002005</v>
          </cell>
          <cell r="B2009" t="str">
            <v>MR</v>
          </cell>
          <cell r="C2009">
            <v>1.5</v>
          </cell>
          <cell r="D2009">
            <v>28</v>
          </cell>
          <cell r="E2009" t="str">
            <v>R77</v>
          </cell>
          <cell r="F2009">
            <v>510</v>
          </cell>
          <cell r="G2009">
            <v>52.07</v>
          </cell>
          <cell r="H2009">
            <v>1.6</v>
          </cell>
          <cell r="I2009" t="str">
            <v>M1</v>
          </cell>
          <cell r="J2009" t="str">
            <v>IE3</v>
          </cell>
          <cell r="K2009" t="str">
            <v>230/400</v>
          </cell>
          <cell r="L2009">
            <v>50</v>
          </cell>
          <cell r="M2009" t="str">
            <v>5,9/3,4</v>
          </cell>
          <cell r="N2009">
            <v>55</v>
          </cell>
          <cell r="O2009" t="str">
            <v>F(105°C)</v>
          </cell>
          <cell r="P2009" t="str">
            <v>0°</v>
          </cell>
          <cell r="Q2009" t="str">
            <v>-</v>
          </cell>
          <cell r="R2009" t="str">
            <v>-</v>
          </cell>
          <cell r="S2009" t="str">
            <v>-</v>
          </cell>
          <cell r="T2009" t="str">
            <v>-</v>
          </cell>
          <cell r="U2009" t="str">
            <v>-</v>
          </cell>
          <cell r="V2009" t="str">
            <v>D</v>
          </cell>
          <cell r="W2009" t="str">
            <v>-</v>
          </cell>
          <cell r="X2009" t="str">
            <v>CLP 220 (-15/+40°C)</v>
          </cell>
          <cell r="Y2009" t="str">
            <v>R77DRN90L4</v>
          </cell>
          <cell r="Z2009" t="str">
            <v>SEW</v>
          </cell>
          <cell r="AB2009" t="str">
            <v>-</v>
          </cell>
          <cell r="AF2009">
            <v>28</v>
          </cell>
          <cell r="AG2009" t="str">
            <v>DRN90L4</v>
          </cell>
          <cell r="AH2009" t="str">
            <v>R77-DRN90L40-X</v>
          </cell>
        </row>
        <row r="2010">
          <cell r="A2010" t="str">
            <v>MR002006</v>
          </cell>
          <cell r="B2010" t="str">
            <v>MR</v>
          </cell>
          <cell r="C2010">
            <v>18.5</v>
          </cell>
          <cell r="D2010">
            <v>89</v>
          </cell>
          <cell r="E2010" t="str">
            <v>KADS129</v>
          </cell>
          <cell r="F2010">
            <v>1990</v>
          </cell>
          <cell r="G2010">
            <v>16.559999999999999</v>
          </cell>
          <cell r="H2010">
            <v>2.02</v>
          </cell>
          <cell r="I2010" t="str">
            <v>M4B</v>
          </cell>
          <cell r="J2010" t="str">
            <v>IE3</v>
          </cell>
          <cell r="K2010" t="str">
            <v>400/690</v>
          </cell>
          <cell r="L2010">
            <v>50</v>
          </cell>
          <cell r="M2010">
            <v>35</v>
          </cell>
          <cell r="N2010">
            <v>55</v>
          </cell>
          <cell r="O2010" t="str">
            <v>155(F)</v>
          </cell>
          <cell r="P2010" t="str">
            <v>270°</v>
          </cell>
          <cell r="Q2010" t="str">
            <v>-</v>
          </cell>
          <cell r="R2010" t="str">
            <v>-</v>
          </cell>
          <cell r="S2010" t="str">
            <v>-</v>
          </cell>
          <cell r="T2010" t="str">
            <v>-</v>
          </cell>
          <cell r="U2010" t="str">
            <v>T</v>
          </cell>
          <cell r="V2010" t="str">
            <v>SS</v>
          </cell>
          <cell r="W2010" t="str">
            <v>-</v>
          </cell>
          <cell r="X2010" t="str">
            <v>CLP PG 220 (-25/+80°C)</v>
          </cell>
          <cell r="Y2010" t="str">
            <v>KADS129-LES180MQ4P
2KJ3512-9KL33-4CH1-Z D24+H3A+K01+K07+K41+L02+L68+59</v>
          </cell>
          <cell r="Z2010" t="str">
            <v>SIEMENS</v>
          </cell>
          <cell r="AA2010" t="str">
            <v>RAL5010</v>
          </cell>
          <cell r="AB2010" t="str">
            <v>ATEX22</v>
          </cell>
          <cell r="AF2010">
            <v>89</v>
          </cell>
          <cell r="AH2010" t="str">
            <v>KADS129T-B270-X</v>
          </cell>
        </row>
        <row r="2011">
          <cell r="A2011" t="str">
            <v>MR002007</v>
          </cell>
          <cell r="B2011" t="str">
            <v>MR</v>
          </cell>
          <cell r="C2011">
            <v>0.75</v>
          </cell>
          <cell r="D2011">
            <v>164</v>
          </cell>
          <cell r="E2011" t="str">
            <v>KAD39</v>
          </cell>
          <cell r="F2011">
            <v>44</v>
          </cell>
          <cell r="G2011">
            <v>8.81</v>
          </cell>
          <cell r="H2011">
            <v>4.2</v>
          </cell>
          <cell r="I2011" t="str">
            <v>M1B</v>
          </cell>
          <cell r="J2011" t="str">
            <v>IE3</v>
          </cell>
          <cell r="K2011" t="str">
            <v>230/400</v>
          </cell>
          <cell r="L2011">
            <v>50</v>
          </cell>
          <cell r="M2011">
            <v>1.75</v>
          </cell>
          <cell r="N2011">
            <v>55</v>
          </cell>
          <cell r="O2011" t="str">
            <v>155(F)</v>
          </cell>
          <cell r="P2011" t="str">
            <v>0°</v>
          </cell>
          <cell r="Q2011" t="str">
            <v>-</v>
          </cell>
          <cell r="R2011" t="str">
            <v>-</v>
          </cell>
          <cell r="S2011" t="str">
            <v>-</v>
          </cell>
          <cell r="T2011" t="str">
            <v>-</v>
          </cell>
          <cell r="U2011" t="str">
            <v>T</v>
          </cell>
          <cell r="V2011" t="str">
            <v>D</v>
          </cell>
          <cell r="W2011" t="str">
            <v>-</v>
          </cell>
          <cell r="X2011" t="str">
            <v>CLP PG 220 (-25/+80°C)</v>
          </cell>
          <cell r="Y2011" t="str">
            <v>KAD39-LE80ZMQ4P
2KJ3504-5DF23-4CE1-Z
D21+K01+K07+K41+L02+L68+M55</v>
          </cell>
          <cell r="Z2011" t="str">
            <v>SIEMENS</v>
          </cell>
          <cell r="AA2011" t="str">
            <v>RAL5010</v>
          </cell>
          <cell r="AB2011" t="str">
            <v>ATEX22</v>
          </cell>
          <cell r="AF2011">
            <v>164</v>
          </cell>
          <cell r="AH2011" t="str">
            <v>KAD39T-B0-X</v>
          </cell>
        </row>
        <row r="2012">
          <cell r="A2012" t="str">
            <v>MR002008</v>
          </cell>
          <cell r="B2012" t="str">
            <v>MR</v>
          </cell>
          <cell r="C2012">
            <v>5.5</v>
          </cell>
          <cell r="D2012">
            <v>84</v>
          </cell>
          <cell r="E2012" t="str">
            <v>Z89</v>
          </cell>
          <cell r="F2012">
            <v>627</v>
          </cell>
          <cell r="G2012">
            <v>17.54</v>
          </cell>
          <cell r="H2012">
            <v>2.68</v>
          </cell>
          <cell r="I2012" t="str">
            <v>M1 to M2 - 20°</v>
          </cell>
          <cell r="J2012" t="str">
            <v>IE3</v>
          </cell>
          <cell r="K2012" t="str">
            <v>230/400</v>
          </cell>
          <cell r="L2012">
            <v>50</v>
          </cell>
          <cell r="M2012">
            <v>10.5</v>
          </cell>
          <cell r="N2012">
            <v>55</v>
          </cell>
          <cell r="O2012" t="str">
            <v>155(F)</v>
          </cell>
          <cell r="P2012" t="str">
            <v>270°</v>
          </cell>
          <cell r="Q2012" t="str">
            <v>-</v>
          </cell>
          <cell r="R2012" t="str">
            <v>-</v>
          </cell>
          <cell r="S2012" t="str">
            <v>-</v>
          </cell>
          <cell r="T2012" t="str">
            <v>-</v>
          </cell>
          <cell r="U2012" t="str">
            <v>-</v>
          </cell>
          <cell r="V2012" t="str">
            <v>D</v>
          </cell>
          <cell r="W2012" t="str">
            <v>-</v>
          </cell>
          <cell r="X2012" t="str">
            <v>CLP PG 220 (-25/+80°C)</v>
          </cell>
          <cell r="Y2012" t="str">
            <v>Z89-LE132ZST4P
2KJ3108-1HJ23-9AM1-Z
D01+E04+K01+K06+K41+L02+L68+M59+N3A</v>
          </cell>
          <cell r="Z2012" t="str">
            <v>SIEMENS</v>
          </cell>
          <cell r="AA2012" t="str">
            <v>RAL5010</v>
          </cell>
          <cell r="AB2012" t="str">
            <v>ATEX22</v>
          </cell>
          <cell r="AF2012">
            <v>84</v>
          </cell>
          <cell r="AH2012" t="str">
            <v>Z89-270-X</v>
          </cell>
        </row>
        <row r="2013">
          <cell r="A2013" t="str">
            <v>MR002009</v>
          </cell>
          <cell r="B2013" t="str">
            <v>MR</v>
          </cell>
          <cell r="D2013">
            <v>33</v>
          </cell>
          <cell r="E2013" t="str">
            <v>D169-K2X-(200)</v>
          </cell>
          <cell r="F2013">
            <v>8606</v>
          </cell>
          <cell r="G2013">
            <v>45.06</v>
          </cell>
          <cell r="H2013">
            <v>1.63</v>
          </cell>
          <cell r="I2013" t="str">
            <v xml:space="preserve">M1 </v>
          </cell>
          <cell r="O2013" t="str">
            <v>155(F)</v>
          </cell>
          <cell r="P2013" t="str">
            <v>270°</v>
          </cell>
          <cell r="Q2013" t="str">
            <v>-</v>
          </cell>
          <cell r="R2013" t="str">
            <v>-</v>
          </cell>
          <cell r="S2013" t="str">
            <v>Free rotation CCW</v>
          </cell>
          <cell r="T2013" t="str">
            <v>-</v>
          </cell>
          <cell r="U2013" t="str">
            <v>-</v>
          </cell>
          <cell r="V2013" t="str">
            <v>SS</v>
          </cell>
          <cell r="W2013" t="str">
            <v>-</v>
          </cell>
          <cell r="X2013" t="str">
            <v>CLP PG 220 (-25/+80°C)</v>
          </cell>
          <cell r="Y2013" t="str">
            <v>D169-K2X-(200)
2KJ3213-1LA02-0AD1-Z
A15+D01+K07+K19+K41+K74+K75+K81+L02+L68+Y00</v>
          </cell>
          <cell r="Z2013" t="str">
            <v>SIEMENS</v>
          </cell>
          <cell r="AA2013" t="str">
            <v>RAL5010</v>
          </cell>
          <cell r="AB2013" t="str">
            <v>ATEX22</v>
          </cell>
          <cell r="AE2013" t="str">
            <v>RIDUTTORE + CAMPANA ADATTAMENTO</v>
          </cell>
          <cell r="AF2013">
            <v>0</v>
          </cell>
          <cell r="AH2013" t="str">
            <v>D169-K2X-(200)-270-X</v>
          </cell>
        </row>
        <row r="2014">
          <cell r="A2014" t="str">
            <v>MR002010</v>
          </cell>
          <cell r="B2014" t="str">
            <v>MR</v>
          </cell>
          <cell r="C2014">
            <v>22</v>
          </cell>
          <cell r="D2014">
            <v>34</v>
          </cell>
          <cell r="E2014" t="str">
            <v>D149</v>
          </cell>
          <cell r="F2014">
            <v>6220</v>
          </cell>
          <cell r="G2014">
            <v>43.51</v>
          </cell>
          <cell r="H2014">
            <v>1.29</v>
          </cell>
          <cell r="I2014" t="str">
            <v xml:space="preserve">M1 </v>
          </cell>
          <cell r="J2014" t="str">
            <v>IE3</v>
          </cell>
          <cell r="K2014" t="str">
            <v>400/690</v>
          </cell>
          <cell r="L2014">
            <v>50</v>
          </cell>
          <cell r="M2014">
            <v>41</v>
          </cell>
          <cell r="N2014">
            <v>55</v>
          </cell>
          <cell r="O2014" t="str">
            <v>155(F)</v>
          </cell>
          <cell r="P2014" t="str">
            <v>270°</v>
          </cell>
          <cell r="Q2014" t="str">
            <v>TF</v>
          </cell>
          <cell r="R2014" t="str">
            <v>V(VE)</v>
          </cell>
          <cell r="S2014" t="str">
            <v>-</v>
          </cell>
          <cell r="T2014" t="str">
            <v>-</v>
          </cell>
          <cell r="U2014" t="str">
            <v>-</v>
          </cell>
          <cell r="V2014" t="str">
            <v>FC</v>
          </cell>
          <cell r="W2014" t="str">
            <v>-</v>
          </cell>
          <cell r="X2014" t="str">
            <v>CLP PG 220 (-25/+80°C)</v>
          </cell>
          <cell r="Y2014" t="str">
            <v>D149-LES180ZLN4PF
2KJ3212-1KN33-9AD1-Z
D01+K01+K07+K41+L02+L68+M10+M23+M59+N6C+P91</v>
          </cell>
          <cell r="Z2014" t="str">
            <v>SIEMENS</v>
          </cell>
          <cell r="AA2014" t="str">
            <v>RAL5010</v>
          </cell>
          <cell r="AB2014" t="str">
            <v>ATEX22</v>
          </cell>
          <cell r="AF2014">
            <v>34</v>
          </cell>
          <cell r="AH2014" t="str">
            <v>D149-270-X#</v>
          </cell>
        </row>
        <row r="2015">
          <cell r="A2015" t="str">
            <v>MR002011</v>
          </cell>
          <cell r="B2015" t="str">
            <v>MR</v>
          </cell>
          <cell r="C2015">
            <v>1.5</v>
          </cell>
          <cell r="D2015">
            <v>20</v>
          </cell>
          <cell r="E2015" t="str">
            <v>FDAD79</v>
          </cell>
          <cell r="F2015">
            <v>715</v>
          </cell>
          <cell r="G2015">
            <v>72.09</v>
          </cell>
          <cell r="H2015">
            <v>1.4</v>
          </cell>
          <cell r="I2015" t="str">
            <v>M5</v>
          </cell>
          <cell r="J2015" t="str">
            <v>IE3</v>
          </cell>
          <cell r="K2015" t="str">
            <v>230/400</v>
          </cell>
          <cell r="L2015">
            <v>50</v>
          </cell>
          <cell r="M2015">
            <v>3.15</v>
          </cell>
          <cell r="N2015">
            <v>55</v>
          </cell>
          <cell r="O2015" t="str">
            <v>155(F)</v>
          </cell>
          <cell r="P2015" t="str">
            <v>270°</v>
          </cell>
          <cell r="Q2015" t="str">
            <v>TF</v>
          </cell>
          <cell r="R2015" t="str">
            <v>-</v>
          </cell>
          <cell r="S2015" t="str">
            <v>-</v>
          </cell>
          <cell r="T2015" t="str">
            <v>BEHF</v>
          </cell>
          <cell r="U2015" t="str">
            <v>G</v>
          </cell>
          <cell r="V2015" t="str">
            <v>D</v>
          </cell>
          <cell r="W2015" t="str">
            <v>-</v>
          </cell>
          <cell r="X2015" t="str">
            <v>CLP PG 220 (-25/+80°C)</v>
          </cell>
          <cell r="Y2015" t="str">
            <v>FDAD79-LE90ZLR4P-L16NH
2KJ3405-5EM23-4DC1-Z
B10+C02+C27+C47+D05+K01+K07+K41+L02+L68+M10+M59</v>
          </cell>
          <cell r="Z2015" t="str">
            <v>SIEMENS</v>
          </cell>
          <cell r="AA2015" t="str">
            <v>RAL5010</v>
          </cell>
          <cell r="AB2015" t="str">
            <v>ATEX22</v>
          </cell>
          <cell r="AE2015" t="str">
            <v>Rectifier for brake in the terminal box</v>
          </cell>
          <cell r="AF2015">
            <v>20</v>
          </cell>
          <cell r="AH2015" t="str">
            <v>FDAD79G-270-X</v>
          </cell>
        </row>
        <row r="2016">
          <cell r="A2016" t="str">
            <v>MR002012</v>
          </cell>
          <cell r="B2016" t="str">
            <v>MR</v>
          </cell>
          <cell r="C2016">
            <v>1.5</v>
          </cell>
          <cell r="D2016">
            <v>20</v>
          </cell>
          <cell r="E2016" t="str">
            <v>FDAD79</v>
          </cell>
          <cell r="F2016">
            <v>715</v>
          </cell>
          <cell r="G2016">
            <v>72.09</v>
          </cell>
          <cell r="H2016">
            <v>1.4</v>
          </cell>
          <cell r="I2016" t="str">
            <v>M6</v>
          </cell>
          <cell r="J2016" t="str">
            <v>IE3</v>
          </cell>
          <cell r="K2016" t="str">
            <v>230/400</v>
          </cell>
          <cell r="L2016">
            <v>50</v>
          </cell>
          <cell r="M2016">
            <v>3.15</v>
          </cell>
          <cell r="N2016">
            <v>55</v>
          </cell>
          <cell r="O2016" t="str">
            <v>155(F)</v>
          </cell>
          <cell r="P2016" t="str">
            <v>270°</v>
          </cell>
          <cell r="Q2016" t="str">
            <v>TF</v>
          </cell>
          <cell r="R2016" t="str">
            <v>-</v>
          </cell>
          <cell r="S2016" t="str">
            <v>-</v>
          </cell>
          <cell r="T2016" t="str">
            <v>BEHF</v>
          </cell>
          <cell r="U2016" t="str">
            <v>G</v>
          </cell>
          <cell r="V2016" t="str">
            <v>D</v>
          </cell>
          <cell r="W2016" t="str">
            <v>-</v>
          </cell>
          <cell r="X2016" t="str">
            <v>CLP PG 220 (-25/+80°C)</v>
          </cell>
          <cell r="Y2016" t="str">
            <v>FDAD79-LE90ZLR4P-L16NH
2KJ3405-5EM23-4DC1-Z
B10+C02+C27+C47+D06+K01+K07+K41+L02+L68+M10+M59</v>
          </cell>
          <cell r="Z2016" t="str">
            <v>SIEMENS</v>
          </cell>
          <cell r="AA2016" t="str">
            <v>RAL5010</v>
          </cell>
          <cell r="AB2016" t="str">
            <v>ATEX22</v>
          </cell>
          <cell r="AE2016" t="str">
            <v>Rectifier for brake in the terminal box</v>
          </cell>
          <cell r="AF2016">
            <v>20</v>
          </cell>
          <cell r="AH2016" t="str">
            <v>FDAD79G-270-X</v>
          </cell>
        </row>
        <row r="2017">
          <cell r="A2017" t="str">
            <v>MR002013</v>
          </cell>
          <cell r="B2017" t="str">
            <v>MR</v>
          </cell>
          <cell r="D2017">
            <v>33</v>
          </cell>
          <cell r="E2017" t="str">
            <v>D169-K2-(200)</v>
          </cell>
          <cell r="F2017">
            <v>8606</v>
          </cell>
          <cell r="G2017">
            <v>45.06</v>
          </cell>
          <cell r="H2017">
            <v>1.63</v>
          </cell>
          <cell r="I2017" t="str">
            <v xml:space="preserve">M1 </v>
          </cell>
          <cell r="O2017" t="str">
            <v>155(F)</v>
          </cell>
          <cell r="P2017" t="str">
            <v>270°</v>
          </cell>
          <cell r="Q2017" t="str">
            <v>-</v>
          </cell>
          <cell r="R2017" t="str">
            <v>-</v>
          </cell>
          <cell r="S2017" t="str">
            <v>Free rotation CW</v>
          </cell>
          <cell r="T2017" t="str">
            <v>-</v>
          </cell>
          <cell r="U2017" t="str">
            <v>-</v>
          </cell>
          <cell r="V2017" t="str">
            <v>SS</v>
          </cell>
          <cell r="W2017" t="str">
            <v>-</v>
          </cell>
          <cell r="X2017" t="str">
            <v>CLP PG 220 (-25/+80°C)</v>
          </cell>
          <cell r="Y2017" t="str">
            <v>D169-K2-(200)
2KJ3213-1LA02-0AD1-Z
A15+D01+K07+K18+K41+K74+K75+K81+L02+L68+Y00</v>
          </cell>
          <cell r="Z2017" t="str">
            <v>SIEMENS</v>
          </cell>
          <cell r="AA2017" t="str">
            <v>RAL5010</v>
          </cell>
          <cell r="AB2017" t="str">
            <v>ATEX22</v>
          </cell>
          <cell r="AE2017" t="str">
            <v>RIDUTTORE + CAMPANA ADATTAMENTO</v>
          </cell>
          <cell r="AF2017">
            <v>0</v>
          </cell>
          <cell r="AH2017" t="str">
            <v>D169-K2-(200)-270-X</v>
          </cell>
        </row>
        <row r="2018">
          <cell r="A2018" t="str">
            <v>MR002014</v>
          </cell>
          <cell r="B2018" t="str">
            <v>MR</v>
          </cell>
          <cell r="D2018">
            <v>106</v>
          </cell>
          <cell r="E2018" t="str">
            <v>KADS149-K2X-(200)</v>
          </cell>
          <cell r="F2018">
            <v>2703</v>
          </cell>
          <cell r="G2018">
            <v>14.15</v>
          </cell>
          <cell r="H2018">
            <v>1.53</v>
          </cell>
          <cell r="I2018" t="str">
            <v>M4A</v>
          </cell>
          <cell r="O2018" t="str">
            <v>155(F)</v>
          </cell>
          <cell r="P2018" t="str">
            <v>270°</v>
          </cell>
          <cell r="Q2018" t="str">
            <v>-</v>
          </cell>
          <cell r="R2018" t="str">
            <v>-</v>
          </cell>
          <cell r="S2018" t="str">
            <v>Free rotation CCW</v>
          </cell>
          <cell r="T2018" t="str">
            <v>-</v>
          </cell>
          <cell r="U2018" t="str">
            <v>T</v>
          </cell>
          <cell r="V2018" t="str">
            <v>SS</v>
          </cell>
          <cell r="W2018" t="str">
            <v>-</v>
          </cell>
          <cell r="X2018" t="str">
            <v>CLP PG 220 (-25/+80°C)</v>
          </cell>
          <cell r="Y2018" t="str">
            <v>KADS149-K2X-(200)
2KJ3513-9LA02-0CG1-Z
A15+D14+G60+H3A+K07+K19+K41+K74+K75+K81+L02+L68+Y00</v>
          </cell>
          <cell r="Z2018" t="str">
            <v>SIEMENS</v>
          </cell>
          <cell r="AA2018" t="str">
            <v>RAL5010</v>
          </cell>
          <cell r="AB2018" t="str">
            <v>ATEX22</v>
          </cell>
          <cell r="AE2018" t="str">
            <v xml:space="preserve">RIDUTTORE + CAMPANA ADATTAMENTO </v>
          </cell>
          <cell r="AF2018">
            <v>0</v>
          </cell>
          <cell r="AH2018" t="str">
            <v>KADS149-K2X-(200)T-A270-X</v>
          </cell>
        </row>
        <row r="2019">
          <cell r="A2019" t="str">
            <v>MR002015</v>
          </cell>
          <cell r="B2019" t="str">
            <v>MR</v>
          </cell>
          <cell r="C2019">
            <v>0.75</v>
          </cell>
          <cell r="D2019">
            <v>165</v>
          </cell>
          <cell r="E2019" t="str">
            <v>KAD39</v>
          </cell>
          <cell r="F2019">
            <v>44</v>
          </cell>
          <cell r="G2019">
            <v>8.81</v>
          </cell>
          <cell r="H2019">
            <v>4.2</v>
          </cell>
          <cell r="I2019" t="str">
            <v>M3A to M4A - 10°</v>
          </cell>
          <cell r="J2019" t="str">
            <v>IE3</v>
          </cell>
          <cell r="K2019" t="str">
            <v>230/400</v>
          </cell>
          <cell r="L2019">
            <v>50</v>
          </cell>
          <cell r="M2019">
            <v>1.75</v>
          </cell>
          <cell r="N2019">
            <v>55</v>
          </cell>
          <cell r="O2019" t="str">
            <v>155(F)</v>
          </cell>
          <cell r="P2019" t="str">
            <v>180°</v>
          </cell>
          <cell r="Q2019" t="str">
            <v>-</v>
          </cell>
          <cell r="R2019" t="str">
            <v>-</v>
          </cell>
          <cell r="S2019" t="str">
            <v>-</v>
          </cell>
          <cell r="T2019" t="str">
            <v>-</v>
          </cell>
          <cell r="U2019" t="str">
            <v>T</v>
          </cell>
          <cell r="V2019" t="str">
            <v>D</v>
          </cell>
          <cell r="W2019" t="str">
            <v>-</v>
          </cell>
          <cell r="X2019" t="str">
            <v>CLP PG 220 (-25/+80°C)</v>
          </cell>
          <cell r="Y2019" t="str">
            <v>KAD39-LE80ZMQ4P
2KJ3504-5DF23-4CE1-Z
D13+E02+K01+K07+K41+L02+L68+M64</v>
          </cell>
          <cell r="Z2019" t="str">
            <v>SIEMENS</v>
          </cell>
          <cell r="AA2019" t="str">
            <v>RAL5010</v>
          </cell>
          <cell r="AB2019" t="str">
            <v>ATEX22</v>
          </cell>
          <cell r="AF2019">
            <v>165</v>
          </cell>
          <cell r="AH2019" t="str">
            <v>KAD39T-A180-X</v>
          </cell>
        </row>
        <row r="2020">
          <cell r="A2020" t="str">
            <v>MR002016</v>
          </cell>
          <cell r="B2020" t="str">
            <v>MR</v>
          </cell>
          <cell r="D2020">
            <v>5.4</v>
          </cell>
          <cell r="E2020" t="str">
            <v>FDAD79-K4-(71)</v>
          </cell>
          <cell r="F2020">
            <v>650</v>
          </cell>
          <cell r="G2020">
            <v>276.08999999999997</v>
          </cell>
          <cell r="H2020">
            <v>1.54</v>
          </cell>
          <cell r="I2020" t="str">
            <v>M5 to M3 - 10°</v>
          </cell>
          <cell r="O2020" t="str">
            <v>155(F)</v>
          </cell>
          <cell r="P2020" t="str">
            <v>270°</v>
          </cell>
          <cell r="Q2020" t="str">
            <v>-</v>
          </cell>
          <cell r="R2020" t="str">
            <v>-</v>
          </cell>
          <cell r="S2020" t="str">
            <v>-</v>
          </cell>
          <cell r="T2020" t="str">
            <v>-</v>
          </cell>
          <cell r="U2020" t="str">
            <v>G</v>
          </cell>
          <cell r="V2020" t="str">
            <v>D</v>
          </cell>
          <cell r="W2020" t="str">
            <v>-</v>
          </cell>
          <cell r="X2020" t="str">
            <v>CLP PG 220 (-25/+80°C)</v>
          </cell>
          <cell r="Y2020" t="str">
            <v>FDAD79-K4-(71)
2KJ3405-5CA04-0DQ1-Z
D05+E22+K07+K41+K74+K75+K81+L02+L68+Y00</v>
          </cell>
          <cell r="Z2020" t="str">
            <v>SIEMENS</v>
          </cell>
          <cell r="AA2020" t="str">
            <v>RAL5010</v>
          </cell>
          <cell r="AB2020" t="str">
            <v>ATEX22</v>
          </cell>
          <cell r="AE2020" t="str">
            <v>RIDUTTORE + CAMPANA ADATTAMENTO</v>
          </cell>
          <cell r="AF2020">
            <v>0</v>
          </cell>
          <cell r="AH2020" t="str">
            <v>FDAD79-K4-(71)G-270-X</v>
          </cell>
        </row>
        <row r="2021">
          <cell r="A2021" t="str">
            <v>MR002017</v>
          </cell>
          <cell r="B2021" t="str">
            <v>ME</v>
          </cell>
          <cell r="C2021">
            <v>2.2000000000000002</v>
          </cell>
          <cell r="D2021">
            <v>2910</v>
          </cell>
          <cell r="F2021">
            <v>7.2</v>
          </cell>
          <cell r="G2021" t="str">
            <v xml:space="preserve"> -</v>
          </cell>
          <cell r="H2021" t="str">
            <v xml:space="preserve"> -</v>
          </cell>
          <cell r="I2021" t="str">
            <v>B5</v>
          </cell>
          <cell r="J2021" t="str">
            <v>IE3</v>
          </cell>
          <cell r="K2021" t="str">
            <v>230/400</v>
          </cell>
          <cell r="L2021">
            <v>50</v>
          </cell>
          <cell r="M2021" t="str">
            <v>7,3/4,2</v>
          </cell>
          <cell r="N2021">
            <v>55</v>
          </cell>
          <cell r="O2021" t="str">
            <v>155(F)</v>
          </cell>
          <cell r="P2021" t="str">
            <v>-</v>
          </cell>
          <cell r="Q2021" t="str">
            <v>-</v>
          </cell>
          <cell r="R2021" t="str">
            <v>-</v>
          </cell>
          <cell r="S2021" t="str">
            <v>-</v>
          </cell>
          <cell r="T2021" t="str">
            <v>-</v>
          </cell>
          <cell r="U2021" t="str">
            <v>-</v>
          </cell>
          <cell r="V2021" t="str">
            <v>D</v>
          </cell>
          <cell r="W2021" t="str">
            <v>-</v>
          </cell>
          <cell r="X2021" t="str">
            <v>-</v>
          </cell>
          <cell r="Y2021" t="str">
            <v>1MB1023-0EA42-2FA4</v>
          </cell>
          <cell r="Z2021" t="str">
            <v>SIEMENS</v>
          </cell>
          <cell r="AA2021" t="str">
            <v>RAL5010</v>
          </cell>
          <cell r="AB2021" t="str">
            <v>ATEX22</v>
          </cell>
          <cell r="AF2021">
            <v>2910</v>
          </cell>
          <cell r="AH2021" t="str">
            <v>-B--X</v>
          </cell>
        </row>
        <row r="2022">
          <cell r="A2022" t="str">
            <v>MR002018</v>
          </cell>
          <cell r="B2022" t="str">
            <v>MR</v>
          </cell>
          <cell r="C2022">
            <v>22</v>
          </cell>
          <cell r="D2022">
            <v>104</v>
          </cell>
          <cell r="E2022" t="str">
            <v>KADS149</v>
          </cell>
          <cell r="F2022">
            <v>2022</v>
          </cell>
          <cell r="G2022">
            <v>14.15</v>
          </cell>
          <cell r="H2022">
            <v>2.0499999999999998</v>
          </cell>
          <cell r="I2022" t="str">
            <v>M4A</v>
          </cell>
          <cell r="J2022" t="str">
            <v>IE3</v>
          </cell>
          <cell r="K2022" t="str">
            <v>400/690</v>
          </cell>
          <cell r="L2022">
            <v>50</v>
          </cell>
          <cell r="M2022">
            <v>41</v>
          </cell>
          <cell r="N2022">
            <v>55</v>
          </cell>
          <cell r="O2022" t="str">
            <v>155(F)</v>
          </cell>
          <cell r="P2022" t="str">
            <v>270°</v>
          </cell>
          <cell r="Q2022" t="str">
            <v>-</v>
          </cell>
          <cell r="R2022" t="str">
            <v>-</v>
          </cell>
          <cell r="S2022" t="str">
            <v>-</v>
          </cell>
          <cell r="T2022" t="str">
            <v>-</v>
          </cell>
          <cell r="U2022" t="str">
            <v>T</v>
          </cell>
          <cell r="V2022" t="str">
            <v>SS</v>
          </cell>
          <cell r="W2022" t="str">
            <v>-</v>
          </cell>
          <cell r="X2022" t="str">
            <v>CLP PG 220 (-25/+80°C)</v>
          </cell>
          <cell r="Y2022" t="str">
            <v>KADS149-LES180ZLN4P
2KJ3513-9KN33-4CG1-Z
D14+H3A+K01+K07+K41+L02+L68+M59</v>
          </cell>
          <cell r="Z2022" t="str">
            <v>SIEMENS</v>
          </cell>
          <cell r="AA2022" t="str">
            <v>RAL5010</v>
          </cell>
          <cell r="AB2022" t="str">
            <v>ATEX22</v>
          </cell>
          <cell r="AF2022">
            <v>104</v>
          </cell>
          <cell r="AH2022" t="str">
            <v>KADS149T-A270-X</v>
          </cell>
        </row>
        <row r="2023">
          <cell r="A2023" t="str">
            <v>MR002019</v>
          </cell>
          <cell r="B2023" t="str">
            <v>MR</v>
          </cell>
          <cell r="C2023">
            <v>5.5</v>
          </cell>
          <cell r="D2023">
            <v>64</v>
          </cell>
          <cell r="E2023" t="str">
            <v>Z89</v>
          </cell>
          <cell r="F2023">
            <v>820</v>
          </cell>
          <cell r="G2023">
            <v>22.92</v>
          </cell>
          <cell r="H2023">
            <v>2.0499999999999998</v>
          </cell>
          <cell r="I2023" t="str">
            <v>M1</v>
          </cell>
          <cell r="J2023" t="str">
            <v>IE3</v>
          </cell>
          <cell r="K2023" t="str">
            <v>230/400</v>
          </cell>
          <cell r="L2023">
            <v>50</v>
          </cell>
          <cell r="M2023">
            <v>10.5</v>
          </cell>
          <cell r="N2023">
            <v>55</v>
          </cell>
          <cell r="O2023" t="str">
            <v>155(F)</v>
          </cell>
          <cell r="P2023" t="str">
            <v>270°</v>
          </cell>
          <cell r="Q2023" t="str">
            <v>-</v>
          </cell>
          <cell r="R2023" t="str">
            <v>-</v>
          </cell>
          <cell r="S2023" t="str">
            <v>-</v>
          </cell>
          <cell r="T2023" t="str">
            <v>-</v>
          </cell>
          <cell r="U2023" t="str">
            <v>-</v>
          </cell>
          <cell r="V2023" t="str">
            <v>D</v>
          </cell>
          <cell r="W2023" t="str">
            <v>-</v>
          </cell>
          <cell r="X2023" t="str">
            <v>CLP PG 220 (-25/+80°C)</v>
          </cell>
          <cell r="Y2023" t="str">
            <v>Z89-LE132ZST4P
2KJ3108-1HJ23-9AP1-Z
D01+K01+K07+K41+L02+L68+M59+N3A</v>
          </cell>
          <cell r="Z2023" t="str">
            <v>SIEMENS</v>
          </cell>
          <cell r="AA2023" t="str">
            <v>RAL5010</v>
          </cell>
          <cell r="AB2023" t="str">
            <v>ATEX22</v>
          </cell>
          <cell r="AF2023">
            <v>64</v>
          </cell>
          <cell r="AH2023" t="str">
            <v>Z89-270-X</v>
          </cell>
        </row>
        <row r="2024">
          <cell r="A2024" t="str">
            <v>MR002020</v>
          </cell>
          <cell r="B2024" t="str">
            <v>MR</v>
          </cell>
          <cell r="D2024">
            <v>110</v>
          </cell>
          <cell r="E2024" t="str">
            <v>KADS149-K2X-(200)</v>
          </cell>
          <cell r="F2024">
            <v>1980</v>
          </cell>
          <cell r="G2024">
            <v>14.15</v>
          </cell>
          <cell r="H2024">
            <v>2.09</v>
          </cell>
          <cell r="I2024" t="str">
            <v>M4A</v>
          </cell>
          <cell r="O2024" t="str">
            <v>155(F)</v>
          </cell>
          <cell r="P2024" t="str">
            <v>270°</v>
          </cell>
          <cell r="Q2024" t="str">
            <v>-</v>
          </cell>
          <cell r="R2024" t="str">
            <v>-</v>
          </cell>
          <cell r="S2024" t="str">
            <v>-</v>
          </cell>
          <cell r="T2024" t="str">
            <v>-</v>
          </cell>
          <cell r="U2024" t="str">
            <v>T</v>
          </cell>
          <cell r="V2024" t="str">
            <v>SS</v>
          </cell>
          <cell r="W2024" t="str">
            <v>-</v>
          </cell>
          <cell r="X2024" t="str">
            <v>CLP PG 220 (-25/+80°C)</v>
          </cell>
          <cell r="Y2024" t="str">
            <v>D149-K2X-(200)
2KJ3513-9LA02-0CG1-Z
D14+G60+H3A+K07+K74+K75+K81+L02+L68+Y00</v>
          </cell>
          <cell r="Z2024" t="str">
            <v>SIEMENS</v>
          </cell>
          <cell r="AA2024" t="str">
            <v>RAL5010</v>
          </cell>
          <cell r="AB2024" t="str">
            <v>ATEX22</v>
          </cell>
          <cell r="AE2024" t="str">
            <v>RIDUTTORE + CAMPANA ADATTAMENTO</v>
          </cell>
          <cell r="AF2024">
            <v>0</v>
          </cell>
          <cell r="AH2024" t="str">
            <v>KADS149-K2X-(200)T-A270-X</v>
          </cell>
        </row>
        <row r="2025">
          <cell r="A2025" t="str">
            <v>MR002021</v>
          </cell>
          <cell r="B2025" t="str">
            <v>MR</v>
          </cell>
          <cell r="C2025">
            <v>18.5</v>
          </cell>
          <cell r="D2025">
            <v>68</v>
          </cell>
          <cell r="E2025" t="str">
            <v>Z149</v>
          </cell>
          <cell r="F2025">
            <v>2600</v>
          </cell>
          <cell r="G2025">
            <v>21.69</v>
          </cell>
          <cell r="H2025">
            <v>3.07</v>
          </cell>
          <cell r="I2025" t="str">
            <v>M1</v>
          </cell>
          <cell r="J2025" t="str">
            <v>IE3</v>
          </cell>
          <cell r="K2025" t="str">
            <v>400/690</v>
          </cell>
          <cell r="L2025">
            <v>50</v>
          </cell>
          <cell r="M2025">
            <v>35</v>
          </cell>
          <cell r="N2025">
            <v>55</v>
          </cell>
          <cell r="O2025" t="str">
            <v>155(F)</v>
          </cell>
          <cell r="P2025" t="str">
            <v>270°</v>
          </cell>
          <cell r="Q2025" t="str">
            <v>-</v>
          </cell>
          <cell r="R2025" t="str">
            <v>-</v>
          </cell>
          <cell r="S2025" t="str">
            <v>-</v>
          </cell>
          <cell r="T2025" t="str">
            <v>-</v>
          </cell>
          <cell r="U2025" t="str">
            <v>-</v>
          </cell>
          <cell r="V2025" t="str">
            <v>D</v>
          </cell>
          <cell r="W2025" t="str">
            <v>-</v>
          </cell>
          <cell r="X2025" t="str">
            <v>CLP PG 220 (-25/+80°C)</v>
          </cell>
          <cell r="Y2025" t="str">
            <v>Z149-LES180MQ4P
2KJ3112-1KL33-4AM1-Z
D01+K01+K07+K41+L02+L68+M59</v>
          </cell>
          <cell r="Z2025" t="str">
            <v>SIEMENS</v>
          </cell>
          <cell r="AA2025" t="str">
            <v>RAL5010</v>
          </cell>
          <cell r="AB2025" t="str">
            <v>ATEX22</v>
          </cell>
          <cell r="AF2025">
            <v>68</v>
          </cell>
          <cell r="AH2025" t="str">
            <v>Z149-270-X</v>
          </cell>
        </row>
        <row r="2026">
          <cell r="A2026" t="str">
            <v>MR002022</v>
          </cell>
          <cell r="B2026" t="str">
            <v>MR</v>
          </cell>
          <cell r="C2026">
            <v>0.75</v>
          </cell>
          <cell r="D2026">
            <v>165</v>
          </cell>
          <cell r="E2026" t="str">
            <v>KAD39</v>
          </cell>
          <cell r="F2026">
            <v>44</v>
          </cell>
          <cell r="G2026">
            <v>8.81</v>
          </cell>
          <cell r="H2026">
            <v>4.2</v>
          </cell>
          <cell r="I2026" t="str">
            <v xml:space="preserve">M3A </v>
          </cell>
          <cell r="J2026" t="str">
            <v>IE3</v>
          </cell>
          <cell r="K2026" t="str">
            <v>230/400</v>
          </cell>
          <cell r="L2026">
            <v>50</v>
          </cell>
          <cell r="M2026">
            <v>1.75</v>
          </cell>
          <cell r="N2026">
            <v>55</v>
          </cell>
          <cell r="O2026" t="str">
            <v>155(F)</v>
          </cell>
          <cell r="P2026" t="str">
            <v>180°</v>
          </cell>
          <cell r="Q2026" t="str">
            <v>-</v>
          </cell>
          <cell r="R2026" t="str">
            <v>-</v>
          </cell>
          <cell r="S2026" t="str">
            <v>-</v>
          </cell>
          <cell r="T2026" t="str">
            <v>-</v>
          </cell>
          <cell r="U2026" t="str">
            <v>T</v>
          </cell>
          <cell r="V2026" t="str">
            <v>D</v>
          </cell>
          <cell r="W2026" t="str">
            <v>-</v>
          </cell>
          <cell r="X2026" t="str">
            <v>CLP PG 220 (-25/+80°C)</v>
          </cell>
          <cell r="Y2026" t="str">
            <v>KAD39-LE80ZMQ4P
2KJ3504-5DF23-4CE1-Z
D13+K01+K07+K41+L02+L68+M63</v>
          </cell>
          <cell r="Z2026" t="str">
            <v>SIEMENS</v>
          </cell>
          <cell r="AA2026" t="str">
            <v>RAL5010</v>
          </cell>
          <cell r="AB2026" t="str">
            <v>ATEX22</v>
          </cell>
          <cell r="AF2026">
            <v>165</v>
          </cell>
          <cell r="AH2026" t="str">
            <v>KAD39T-A180-X</v>
          </cell>
        </row>
        <row r="2027">
          <cell r="A2027" t="str">
            <v>MR002023</v>
          </cell>
          <cell r="B2027" t="str">
            <v>MR</v>
          </cell>
          <cell r="D2027">
            <v>5.4</v>
          </cell>
          <cell r="E2027" t="str">
            <v>FDAD79-K4-(71)</v>
          </cell>
          <cell r="F2027">
            <v>650</v>
          </cell>
          <cell r="G2027">
            <v>276.08999999999997</v>
          </cell>
          <cell r="H2027">
            <v>1.54</v>
          </cell>
          <cell r="I2027" t="str">
            <v>M5</v>
          </cell>
          <cell r="O2027" t="str">
            <v>155(F)</v>
          </cell>
          <cell r="P2027" t="str">
            <v>270°</v>
          </cell>
          <cell r="Q2027" t="str">
            <v>-</v>
          </cell>
          <cell r="R2027" t="str">
            <v>-</v>
          </cell>
          <cell r="S2027" t="str">
            <v>-</v>
          </cell>
          <cell r="T2027" t="str">
            <v>-</v>
          </cell>
          <cell r="U2027" t="str">
            <v>G</v>
          </cell>
          <cell r="V2027" t="str">
            <v>D</v>
          </cell>
          <cell r="W2027" t="str">
            <v>-</v>
          </cell>
          <cell r="X2027" t="str">
            <v>CLP PG 220 (-25/+80°C)</v>
          </cell>
          <cell r="Y2027" t="str">
            <v>FDAD79-K4-(71)
2KJ3405-5CA04-0DQ1-Z
D05+K07+K41+K74+K75+K81+L02+L68+Y00</v>
          </cell>
          <cell r="Z2027" t="str">
            <v>SIEMENS</v>
          </cell>
          <cell r="AA2027" t="str">
            <v>RAL5010</v>
          </cell>
          <cell r="AB2027" t="str">
            <v>ATEX22</v>
          </cell>
          <cell r="AE2027" t="str">
            <v>RIDUTTORE + CAMPANA ADATTAMENTO</v>
          </cell>
          <cell r="AF2027">
            <v>0</v>
          </cell>
          <cell r="AH2027" t="str">
            <v>FDAD79-K4-(71)G-270-X</v>
          </cell>
        </row>
        <row r="2028">
          <cell r="A2028" t="str">
            <v>MR002024</v>
          </cell>
          <cell r="B2028" t="str">
            <v>MR</v>
          </cell>
          <cell r="C2028">
            <v>22</v>
          </cell>
          <cell r="D2028">
            <v>110</v>
          </cell>
          <cell r="E2028" t="str">
            <v>KADS149</v>
          </cell>
          <cell r="F2028">
            <v>2020</v>
          </cell>
          <cell r="G2028">
            <v>14.15</v>
          </cell>
          <cell r="H2028">
            <v>2.0499999999999998</v>
          </cell>
          <cell r="I2028" t="str">
            <v>M4A</v>
          </cell>
          <cell r="J2028" t="str">
            <v>IE3</v>
          </cell>
          <cell r="K2028" t="str">
            <v>400/690</v>
          </cell>
          <cell r="L2028">
            <v>50</v>
          </cell>
          <cell r="M2028">
            <v>41</v>
          </cell>
          <cell r="N2028">
            <v>55</v>
          </cell>
          <cell r="O2028" t="str">
            <v>155(F)</v>
          </cell>
          <cell r="P2028" t="str">
            <v>270°</v>
          </cell>
          <cell r="Q2028" t="str">
            <v>-</v>
          </cell>
          <cell r="R2028" t="str">
            <v>-</v>
          </cell>
          <cell r="S2028" t="str">
            <v>Free rotation CCW</v>
          </cell>
          <cell r="T2028" t="str">
            <v>-</v>
          </cell>
          <cell r="U2028" t="str">
            <v>T</v>
          </cell>
          <cell r="V2028" t="str">
            <v>SS</v>
          </cell>
          <cell r="W2028" t="str">
            <v>-</v>
          </cell>
          <cell r="X2028" t="str">
            <v>CLP PG 220 (-25/+80°C)</v>
          </cell>
          <cell r="Y2028" t="str">
            <v>KADS149-LES180ZLN4PX
2KJ3513-9KN33-4CG1-Z
D14+H3A+K01+K07+K19+K41+L02+L68+M59+N23</v>
          </cell>
          <cell r="Z2028" t="str">
            <v>SIEMENS</v>
          </cell>
          <cell r="AA2028" t="str">
            <v>RAL5010</v>
          </cell>
          <cell r="AB2028" t="str">
            <v>ATEX22</v>
          </cell>
          <cell r="AF2028">
            <v>110</v>
          </cell>
          <cell r="AH2028" t="str">
            <v>KADS149T-A270-X</v>
          </cell>
        </row>
        <row r="2029">
          <cell r="A2029" t="str">
            <v>MR002025</v>
          </cell>
          <cell r="B2029" t="str">
            <v>MR</v>
          </cell>
          <cell r="C2029">
            <v>5.5</v>
          </cell>
          <cell r="D2029">
            <v>15</v>
          </cell>
          <cell r="E2029" t="str">
            <v>KH97</v>
          </cell>
          <cell r="F2029">
            <v>3470</v>
          </cell>
          <cell r="G2029">
            <v>96.8</v>
          </cell>
          <cell r="H2029">
            <v>1.25</v>
          </cell>
          <cell r="I2029" t="str">
            <v>From M1A to M2A - 20°</v>
          </cell>
          <cell r="J2029" t="str">
            <v>IE3</v>
          </cell>
          <cell r="K2029" t="str">
            <v>230/400</v>
          </cell>
          <cell r="L2029">
            <v>50</v>
          </cell>
          <cell r="M2029" t="str">
            <v>18,2/10,5</v>
          </cell>
          <cell r="N2029">
            <v>55</v>
          </cell>
          <cell r="O2029" t="str">
            <v>155(F)</v>
          </cell>
          <cell r="P2029" t="str">
            <v>270°</v>
          </cell>
          <cell r="Q2029" t="str">
            <v>TF</v>
          </cell>
          <cell r="R2029" t="str">
            <v>-</v>
          </cell>
          <cell r="S2029" t="str">
            <v>-</v>
          </cell>
          <cell r="T2029" t="str">
            <v>-</v>
          </cell>
          <cell r="U2029" t="str">
            <v>-</v>
          </cell>
          <cell r="V2029" t="str">
            <v>SS</v>
          </cell>
          <cell r="W2029" t="str">
            <v>-</v>
          </cell>
          <cell r="X2029" t="str">
            <v>CLP 220 (-15/+40°C)</v>
          </cell>
          <cell r="Y2029" t="str">
            <v>KH97DRN132S4 /TF</v>
          </cell>
          <cell r="Z2029" t="str">
            <v>SEW</v>
          </cell>
          <cell r="AB2029" t="str">
            <v>-</v>
          </cell>
          <cell r="AF2029">
            <v>15</v>
          </cell>
          <cell r="AG2029" t="str">
            <v>DRN132S4</v>
          </cell>
          <cell r="AH2029" t="str">
            <v>KH97-DRN132S4A270-X</v>
          </cell>
        </row>
        <row r="2030">
          <cell r="A2030" t="str">
            <v>MR002026</v>
          </cell>
          <cell r="B2030" t="str">
            <v>MR</v>
          </cell>
          <cell r="C2030">
            <v>5.5</v>
          </cell>
          <cell r="D2030">
            <v>15</v>
          </cell>
          <cell r="E2030" t="str">
            <v>KH97</v>
          </cell>
          <cell r="F2030">
            <v>3470</v>
          </cell>
          <cell r="G2030">
            <v>96.8</v>
          </cell>
          <cell r="H2030">
            <v>1.25</v>
          </cell>
          <cell r="I2030" t="str">
            <v>From M1B to M2B - 20°</v>
          </cell>
          <cell r="J2030" t="str">
            <v>IE3</v>
          </cell>
          <cell r="K2030" t="str">
            <v>230/400</v>
          </cell>
          <cell r="L2030">
            <v>50</v>
          </cell>
          <cell r="M2030" t="str">
            <v>18,2/10,5</v>
          </cell>
          <cell r="N2030">
            <v>55</v>
          </cell>
          <cell r="O2030" t="str">
            <v>155(F)</v>
          </cell>
          <cell r="P2030" t="str">
            <v>270°</v>
          </cell>
          <cell r="Q2030" t="str">
            <v>TF</v>
          </cell>
          <cell r="R2030" t="str">
            <v>-</v>
          </cell>
          <cell r="S2030" t="str">
            <v>-</v>
          </cell>
          <cell r="T2030" t="str">
            <v>-</v>
          </cell>
          <cell r="U2030" t="str">
            <v>-</v>
          </cell>
          <cell r="V2030" t="str">
            <v>SS</v>
          </cell>
          <cell r="W2030" t="str">
            <v>-</v>
          </cell>
          <cell r="X2030" t="str">
            <v>CLP 220 (-15/+40°C)</v>
          </cell>
          <cell r="Y2030" t="str">
            <v>KH97DRN132S4 /TF</v>
          </cell>
          <cell r="Z2030" t="str">
            <v>SEW</v>
          </cell>
          <cell r="AB2030" t="str">
            <v>-</v>
          </cell>
          <cell r="AF2030">
            <v>15</v>
          </cell>
          <cell r="AG2030" t="str">
            <v>DRN132S4</v>
          </cell>
          <cell r="AH2030" t="str">
            <v>KH97-DRN132S4B270-X</v>
          </cell>
        </row>
        <row r="2031">
          <cell r="A2031" t="str">
            <v>MR002027</v>
          </cell>
          <cell r="B2031" t="str">
            <v>MR</v>
          </cell>
          <cell r="C2031">
            <v>11</v>
          </cell>
          <cell r="D2031">
            <v>47</v>
          </cell>
          <cell r="E2031" t="str">
            <v>KH87</v>
          </cell>
          <cell r="F2031">
            <v>2230</v>
          </cell>
          <cell r="G2031">
            <v>31.39</v>
          </cell>
          <cell r="H2031">
            <v>1.2</v>
          </cell>
          <cell r="I2031" t="str">
            <v>M4B</v>
          </cell>
          <cell r="J2031" t="str">
            <v>IE3</v>
          </cell>
          <cell r="K2031" t="str">
            <v>400/690</v>
          </cell>
          <cell r="L2031">
            <v>50</v>
          </cell>
          <cell r="M2031" t="str">
            <v>21/12,2</v>
          </cell>
          <cell r="N2031">
            <v>55</v>
          </cell>
          <cell r="O2031" t="str">
            <v>155(F)</v>
          </cell>
          <cell r="P2031" t="str">
            <v>0°</v>
          </cell>
          <cell r="Q2031" t="str">
            <v>TF</v>
          </cell>
          <cell r="R2031" t="str">
            <v>V(VE)</v>
          </cell>
          <cell r="S2031" t="str">
            <v>Free rotation CW</v>
          </cell>
          <cell r="T2031" t="str">
            <v>-</v>
          </cell>
          <cell r="U2031" t="str">
            <v>T</v>
          </cell>
          <cell r="V2031" t="str">
            <v>FC</v>
          </cell>
          <cell r="W2031" t="str">
            <v>-</v>
          </cell>
          <cell r="X2031" t="str">
            <v>CLP 220 (-15/+40°C)</v>
          </cell>
          <cell r="Y2031" t="str">
            <v>KH87/T DRN160M4 /RS /TF/V</v>
          </cell>
          <cell r="Z2031" t="str">
            <v>SEW</v>
          </cell>
          <cell r="AB2031" t="str">
            <v>-</v>
          </cell>
          <cell r="AF2031">
            <v>47</v>
          </cell>
          <cell r="AG2031" t="str">
            <v>DRN160M4</v>
          </cell>
          <cell r="AH2031" t="str">
            <v>KH87T-DRN160M4B0-X#</v>
          </cell>
        </row>
        <row r="2032">
          <cell r="A2032" t="str">
            <v>MR002028</v>
          </cell>
          <cell r="B2032" t="str">
            <v>MR</v>
          </cell>
          <cell r="C2032">
            <v>11</v>
          </cell>
          <cell r="D2032">
            <v>47</v>
          </cell>
          <cell r="E2032" t="str">
            <v>KH87</v>
          </cell>
          <cell r="F2032">
            <v>2230</v>
          </cell>
          <cell r="G2032">
            <v>31.39</v>
          </cell>
          <cell r="H2032">
            <v>1.2</v>
          </cell>
          <cell r="I2032" t="str">
            <v>M4A</v>
          </cell>
          <cell r="J2032" t="str">
            <v>IE3</v>
          </cell>
          <cell r="K2032" t="str">
            <v>400/690</v>
          </cell>
          <cell r="L2032">
            <v>50</v>
          </cell>
          <cell r="M2032" t="str">
            <v>21/12,2</v>
          </cell>
          <cell r="N2032">
            <v>55</v>
          </cell>
          <cell r="O2032" t="str">
            <v>155(F)</v>
          </cell>
          <cell r="P2032" t="str">
            <v>180°</v>
          </cell>
          <cell r="Q2032" t="str">
            <v>TF</v>
          </cell>
          <cell r="R2032" t="str">
            <v>V(VE)</v>
          </cell>
          <cell r="S2032" t="str">
            <v>-</v>
          </cell>
          <cell r="T2032" t="str">
            <v>-</v>
          </cell>
          <cell r="U2032" t="str">
            <v>T</v>
          </cell>
          <cell r="V2032" t="str">
            <v>FC</v>
          </cell>
          <cell r="W2032" t="str">
            <v>-</v>
          </cell>
          <cell r="X2032" t="str">
            <v>CLP 220 (-15/+40°C)</v>
          </cell>
          <cell r="Y2032" t="str">
            <v>KH87/T DRN160M4 /TF/V</v>
          </cell>
          <cell r="Z2032" t="str">
            <v>SEW</v>
          </cell>
          <cell r="AB2032" t="str">
            <v>-</v>
          </cell>
          <cell r="AF2032">
            <v>47</v>
          </cell>
          <cell r="AG2032" t="str">
            <v>DRN160M4</v>
          </cell>
          <cell r="AH2032" t="str">
            <v>KH87T-DRN160M4A180-X#</v>
          </cell>
        </row>
        <row r="2033">
          <cell r="A2033" t="str">
            <v>MR002029</v>
          </cell>
          <cell r="B2033" t="str">
            <v>MR</v>
          </cell>
          <cell r="C2033">
            <v>15</v>
          </cell>
          <cell r="D2033">
            <v>48</v>
          </cell>
          <cell r="E2033" t="str">
            <v>KH97</v>
          </cell>
          <cell r="F2033">
            <v>2990</v>
          </cell>
          <cell r="G2033">
            <v>30.82</v>
          </cell>
          <cell r="H2033">
            <v>1.45</v>
          </cell>
          <cell r="I2033" t="str">
            <v>M4B</v>
          </cell>
          <cell r="J2033" t="str">
            <v>IE3</v>
          </cell>
          <cell r="K2033" t="str">
            <v>400/690</v>
          </cell>
          <cell r="L2033">
            <v>50</v>
          </cell>
          <cell r="M2033" t="str">
            <v>29/16,7</v>
          </cell>
          <cell r="N2033">
            <v>55</v>
          </cell>
          <cell r="O2033" t="str">
            <v>155(F)</v>
          </cell>
          <cell r="P2033" t="str">
            <v>0°</v>
          </cell>
          <cell r="Q2033" t="str">
            <v>TF</v>
          </cell>
          <cell r="R2033" t="str">
            <v>V(VE)</v>
          </cell>
          <cell r="S2033" t="str">
            <v>Free rotation CW</v>
          </cell>
          <cell r="T2033" t="str">
            <v>-</v>
          </cell>
          <cell r="U2033" t="str">
            <v>T</v>
          </cell>
          <cell r="V2033" t="str">
            <v>FC</v>
          </cell>
          <cell r="W2033" t="str">
            <v>-</v>
          </cell>
          <cell r="X2033" t="str">
            <v>CLP 220 (-15/+40°C)</v>
          </cell>
          <cell r="Y2033" t="str">
            <v>KH97/T DRN160L4 /RS /TF/V</v>
          </cell>
          <cell r="Z2033" t="str">
            <v>SEW</v>
          </cell>
          <cell r="AB2033" t="str">
            <v>-</v>
          </cell>
          <cell r="AF2033">
            <v>48</v>
          </cell>
          <cell r="AG2033" t="str">
            <v>DRN160L4</v>
          </cell>
          <cell r="AH2033" t="str">
            <v>KH97T-DRN160L4B0-X#</v>
          </cell>
        </row>
        <row r="2034">
          <cell r="A2034" t="str">
            <v>MR002030</v>
          </cell>
          <cell r="B2034" t="str">
            <v>MR</v>
          </cell>
          <cell r="C2034">
            <v>22</v>
          </cell>
          <cell r="D2034">
            <v>53</v>
          </cell>
          <cell r="E2034" t="str">
            <v>KH97</v>
          </cell>
          <cell r="F2034">
            <v>3960</v>
          </cell>
          <cell r="G2034">
            <v>27.91</v>
          </cell>
          <cell r="H2034">
            <v>1.1000000000000001</v>
          </cell>
          <cell r="I2034" t="str">
            <v>M4B</v>
          </cell>
          <cell r="J2034" t="str">
            <v>IE3</v>
          </cell>
          <cell r="K2034" t="str">
            <v>400/690</v>
          </cell>
          <cell r="L2034">
            <v>50</v>
          </cell>
          <cell r="M2034" t="str">
            <v>38,5/22,5</v>
          </cell>
          <cell r="N2034">
            <v>55</v>
          </cell>
          <cell r="O2034" t="str">
            <v>155(F)</v>
          </cell>
          <cell r="P2034" t="str">
            <v>0°</v>
          </cell>
          <cell r="Q2034" t="str">
            <v>TF</v>
          </cell>
          <cell r="R2034" t="str">
            <v>V(VE)</v>
          </cell>
          <cell r="S2034" t="str">
            <v>Free rotation CW</v>
          </cell>
          <cell r="T2034" t="str">
            <v>-</v>
          </cell>
          <cell r="U2034" t="str">
            <v>T</v>
          </cell>
          <cell r="V2034" t="str">
            <v>FC</v>
          </cell>
          <cell r="W2034" t="str">
            <v>-</v>
          </cell>
          <cell r="X2034" t="str">
            <v>CLP 220 (-15/+40°C)</v>
          </cell>
          <cell r="Y2034" t="str">
            <v>KH97/T DRN180L4 /RS /TF/V</v>
          </cell>
          <cell r="Z2034" t="str">
            <v>SEW</v>
          </cell>
          <cell r="AB2034" t="str">
            <v>-</v>
          </cell>
          <cell r="AF2034">
            <v>53</v>
          </cell>
          <cell r="AG2034" t="str">
            <v>DRN180L4</v>
          </cell>
          <cell r="AH2034" t="str">
            <v>KH97T-DRN180L4B0-X#</v>
          </cell>
        </row>
        <row r="2035">
          <cell r="A2035" t="str">
            <v>MR002031</v>
          </cell>
          <cell r="B2035" t="str">
            <v>MR</v>
          </cell>
          <cell r="C2035">
            <v>2.2000000000000002</v>
          </cell>
          <cell r="D2035">
            <v>58</v>
          </cell>
          <cell r="E2035" t="str">
            <v>FA67</v>
          </cell>
          <cell r="F2035">
            <v>360</v>
          </cell>
          <cell r="G2035">
            <v>25.13</v>
          </cell>
          <cell r="H2035">
            <v>2.2999999999999998</v>
          </cell>
          <cell r="I2035" t="str">
            <v>M1</v>
          </cell>
          <cell r="J2035" t="str">
            <v>IE3</v>
          </cell>
          <cell r="K2035" t="str">
            <v>230/400</v>
          </cell>
          <cell r="L2035">
            <v>50</v>
          </cell>
          <cell r="M2035" t="str">
            <v>8,3/4,75</v>
          </cell>
          <cell r="N2035">
            <v>55</v>
          </cell>
          <cell r="O2035" t="str">
            <v>155(F)</v>
          </cell>
          <cell r="P2035" t="str">
            <v>270°</v>
          </cell>
          <cell r="Q2035" t="str">
            <v>TF</v>
          </cell>
          <cell r="R2035" t="str">
            <v>V(VE)</v>
          </cell>
          <cell r="S2035" t="str">
            <v>-</v>
          </cell>
          <cell r="T2035" t="str">
            <v>-</v>
          </cell>
          <cell r="U2035" t="str">
            <v>G</v>
          </cell>
          <cell r="V2035" t="str">
            <v>FC</v>
          </cell>
          <cell r="W2035" t="str">
            <v>-</v>
          </cell>
          <cell r="X2035" t="str">
            <v>CLP 220 (-15/+40°C)</v>
          </cell>
          <cell r="Y2035" t="str">
            <v>FA67/G DRN100LS4 /TF/V</v>
          </cell>
          <cell r="Z2035" t="str">
            <v>SEW</v>
          </cell>
          <cell r="AB2035" t="str">
            <v>-</v>
          </cell>
          <cell r="AF2035">
            <v>58</v>
          </cell>
          <cell r="AG2035" t="str">
            <v>DRN100LS4</v>
          </cell>
          <cell r="AH2035" t="str">
            <v>FA67G-DRN100LS4270-X#</v>
          </cell>
        </row>
        <row r="2036">
          <cell r="A2036" t="str">
            <v>MR002032</v>
          </cell>
          <cell r="B2036" t="str">
            <v>MR</v>
          </cell>
          <cell r="C2036">
            <v>9.1999999999999993</v>
          </cell>
          <cell r="D2036">
            <v>6.9</v>
          </cell>
          <cell r="E2036" t="str">
            <v>R147R87</v>
          </cell>
          <cell r="F2036">
            <v>11800</v>
          </cell>
          <cell r="G2036">
            <v>214</v>
          </cell>
          <cell r="H2036">
            <v>1.1000000000000001</v>
          </cell>
          <cell r="I2036" t="str">
            <v>From M1 to M2 - 15°</v>
          </cell>
          <cell r="J2036" t="str">
            <v>IE3</v>
          </cell>
          <cell r="K2036" t="str">
            <v>400/690</v>
          </cell>
          <cell r="L2036">
            <v>50</v>
          </cell>
          <cell r="M2036" t="str">
            <v>18,7/10,8</v>
          </cell>
          <cell r="N2036">
            <v>55</v>
          </cell>
          <cell r="O2036" t="str">
            <v>155(F)</v>
          </cell>
          <cell r="P2036" t="str">
            <v>270°</v>
          </cell>
          <cell r="Q2036" t="str">
            <v>TF</v>
          </cell>
          <cell r="R2036" t="str">
            <v>V(VE)</v>
          </cell>
          <cell r="S2036" t="str">
            <v>-</v>
          </cell>
          <cell r="T2036" t="str">
            <v>-</v>
          </cell>
          <cell r="U2036" t="str">
            <v>-</v>
          </cell>
          <cell r="V2036" t="str">
            <v>FC</v>
          </cell>
          <cell r="W2036" t="str">
            <v>-</v>
          </cell>
          <cell r="X2036" t="str">
            <v>CLP 220 (-15/+40°C)</v>
          </cell>
          <cell r="Y2036" t="str">
            <v>R147R87DRN132L4 /TF/V</v>
          </cell>
          <cell r="Z2036" t="str">
            <v>SEW</v>
          </cell>
          <cell r="AB2036" t="str">
            <v>-</v>
          </cell>
          <cell r="AF2036">
            <v>6.9</v>
          </cell>
          <cell r="AG2036" t="str">
            <v>DRN132L4</v>
          </cell>
          <cell r="AH2036" t="str">
            <v>R147R87-DRN132L4270-X#</v>
          </cell>
        </row>
        <row r="2037">
          <cell r="A2037" t="str">
            <v>MR002033</v>
          </cell>
          <cell r="B2037" t="str">
            <v>MR</v>
          </cell>
          <cell r="C2037">
            <v>1.5</v>
          </cell>
          <cell r="D2037">
            <v>1.1000000000000001</v>
          </cell>
          <cell r="E2037" t="str">
            <v>KH127R77</v>
          </cell>
          <cell r="F2037">
            <v>12000</v>
          </cell>
          <cell r="G2037">
            <v>1342</v>
          </cell>
          <cell r="H2037">
            <v>1.1000000000000001</v>
          </cell>
          <cell r="I2037" t="str">
            <v>M4A</v>
          </cell>
          <cell r="J2037" t="str">
            <v>IE3</v>
          </cell>
          <cell r="K2037" t="str">
            <v>230/400</v>
          </cell>
          <cell r="L2037">
            <v>50</v>
          </cell>
          <cell r="M2037" t="str">
            <v>5,9/3,4</v>
          </cell>
          <cell r="N2037">
            <v>55</v>
          </cell>
          <cell r="O2037" t="str">
            <v>F(105°C)</v>
          </cell>
          <cell r="P2037" t="str">
            <v>270°</v>
          </cell>
          <cell r="Q2037" t="str">
            <v>-</v>
          </cell>
          <cell r="R2037" t="str">
            <v>-</v>
          </cell>
          <cell r="S2037" t="str">
            <v>-</v>
          </cell>
          <cell r="T2037" t="str">
            <v>-</v>
          </cell>
          <cell r="U2037" t="str">
            <v>T</v>
          </cell>
          <cell r="V2037" t="str">
            <v>SS</v>
          </cell>
          <cell r="W2037" t="str">
            <v>-</v>
          </cell>
          <cell r="X2037" t="str">
            <v>CLP 220 (-15/+40°C)</v>
          </cell>
          <cell r="Y2037" t="str">
            <v>KH127R77/T DRN90L4</v>
          </cell>
          <cell r="Z2037" t="str">
            <v>SEW</v>
          </cell>
          <cell r="AB2037" t="str">
            <v>-</v>
          </cell>
          <cell r="AF2037">
            <v>1.1000000000000001</v>
          </cell>
          <cell r="AG2037" t="str">
            <v>DRN90L4</v>
          </cell>
          <cell r="AH2037" t="str">
            <v>KH127R77T-DRN90L4A270-X</v>
          </cell>
        </row>
        <row r="2038">
          <cell r="A2038" t="str">
            <v>MR002034</v>
          </cell>
          <cell r="B2038" t="str">
            <v>MR</v>
          </cell>
          <cell r="C2038">
            <v>0.75</v>
          </cell>
          <cell r="D2038">
            <v>18</v>
          </cell>
          <cell r="E2038" t="str">
            <v>FA67</v>
          </cell>
          <cell r="F2038">
            <v>395</v>
          </cell>
          <cell r="G2038">
            <v>79.760000000000005</v>
          </cell>
          <cell r="H2038">
            <v>2.1</v>
          </cell>
          <cell r="I2038" t="str">
            <v>M6</v>
          </cell>
          <cell r="J2038" t="str">
            <v>IE3</v>
          </cell>
          <cell r="K2038" t="str">
            <v>230/400</v>
          </cell>
          <cell r="L2038">
            <v>50</v>
          </cell>
          <cell r="M2038" t="str">
            <v>3,05/1,75</v>
          </cell>
          <cell r="N2038">
            <v>55</v>
          </cell>
          <cell r="O2038" t="str">
            <v>F(105°C)</v>
          </cell>
          <cell r="P2038" t="str">
            <v>270°</v>
          </cell>
          <cell r="Q2038" t="str">
            <v>-</v>
          </cell>
          <cell r="R2038" t="str">
            <v>-</v>
          </cell>
          <cell r="S2038" t="str">
            <v>-</v>
          </cell>
          <cell r="T2038" t="str">
            <v>BEHF</v>
          </cell>
          <cell r="U2038" t="str">
            <v>G</v>
          </cell>
          <cell r="V2038" t="str">
            <v>D+R</v>
          </cell>
          <cell r="W2038" t="str">
            <v>-</v>
          </cell>
          <cell r="X2038" t="str">
            <v>CLP 220 (-15/+40°C)</v>
          </cell>
          <cell r="Y2038" t="str">
            <v>FA67/G DRN80M4 /BEHF</v>
          </cell>
          <cell r="Z2038" t="str">
            <v>SEW</v>
          </cell>
          <cell r="AB2038" t="str">
            <v>-</v>
          </cell>
          <cell r="AF2038">
            <v>18</v>
          </cell>
          <cell r="AG2038" t="str">
            <v>DRN80M4</v>
          </cell>
          <cell r="AH2038" t="str">
            <v>FA67G-DRN80M4270-X</v>
          </cell>
        </row>
        <row r="2039">
          <cell r="A2039" t="str">
            <v>MR002035</v>
          </cell>
          <cell r="B2039" t="str">
            <v>MR</v>
          </cell>
          <cell r="C2039">
            <v>1.1000000000000001</v>
          </cell>
          <cell r="D2039">
            <v>5.4</v>
          </cell>
          <cell r="E2039" t="str">
            <v>FA87</v>
          </cell>
          <cell r="F2039">
            <v>1950</v>
          </cell>
          <cell r="G2039">
            <v>270.68</v>
          </cell>
          <cell r="H2039">
            <v>1.55</v>
          </cell>
          <cell r="I2039" t="str">
            <v>From M1 to M4 - 15°</v>
          </cell>
          <cell r="J2039" t="str">
            <v>IE3</v>
          </cell>
          <cell r="K2039" t="str">
            <v>230/400</v>
          </cell>
          <cell r="L2039">
            <v>50</v>
          </cell>
          <cell r="M2039" t="str">
            <v>4,45/2,55</v>
          </cell>
          <cell r="N2039">
            <v>55</v>
          </cell>
          <cell r="O2039" t="str">
            <v>F(105°C)</v>
          </cell>
          <cell r="P2039" t="str">
            <v>0°</v>
          </cell>
          <cell r="Q2039" t="str">
            <v>-</v>
          </cell>
          <cell r="R2039" t="str">
            <v>-</v>
          </cell>
          <cell r="S2039" t="str">
            <v>-</v>
          </cell>
          <cell r="T2039" t="str">
            <v>-</v>
          </cell>
          <cell r="U2039" t="str">
            <v>G</v>
          </cell>
          <cell r="V2039" t="str">
            <v>D</v>
          </cell>
          <cell r="W2039" t="str">
            <v>-</v>
          </cell>
          <cell r="X2039" t="str">
            <v>CLP 220 (-15/+40°C)</v>
          </cell>
          <cell r="Y2039" t="str">
            <v>FA87/G DRN90S4</v>
          </cell>
          <cell r="Z2039" t="str">
            <v>SEW</v>
          </cell>
          <cell r="AB2039" t="str">
            <v>-</v>
          </cell>
          <cell r="AF2039">
            <v>5.4</v>
          </cell>
          <cell r="AG2039" t="str">
            <v>DRN90S4</v>
          </cell>
          <cell r="AH2039" t="str">
            <v>FA87G-DRN90S40-X</v>
          </cell>
        </row>
        <row r="2040">
          <cell r="A2040" t="str">
            <v>MR002036</v>
          </cell>
          <cell r="B2040" t="str">
            <v>MR</v>
          </cell>
          <cell r="C2040">
            <v>1.1000000000000001</v>
          </cell>
          <cell r="D2040">
            <v>5.4</v>
          </cell>
          <cell r="E2040" t="str">
            <v>FA87</v>
          </cell>
          <cell r="F2040">
            <v>1950</v>
          </cell>
          <cell r="G2040">
            <v>270.68</v>
          </cell>
          <cell r="H2040">
            <v>1.55</v>
          </cell>
          <cell r="I2040" t="str">
            <v>M1</v>
          </cell>
          <cell r="J2040" t="str">
            <v>IE3</v>
          </cell>
          <cell r="K2040" t="str">
            <v>230/400</v>
          </cell>
          <cell r="L2040">
            <v>50</v>
          </cell>
          <cell r="M2040" t="str">
            <v>4,45/2,55</v>
          </cell>
          <cell r="N2040">
            <v>55</v>
          </cell>
          <cell r="O2040" t="str">
            <v>F(105°C)</v>
          </cell>
          <cell r="P2040" t="str">
            <v>0°</v>
          </cell>
          <cell r="Q2040" t="str">
            <v>-</v>
          </cell>
          <cell r="R2040" t="str">
            <v>-</v>
          </cell>
          <cell r="S2040" t="str">
            <v>-</v>
          </cell>
          <cell r="T2040" t="str">
            <v>-</v>
          </cell>
          <cell r="U2040" t="str">
            <v>G</v>
          </cell>
          <cell r="V2040" t="str">
            <v>D</v>
          </cell>
          <cell r="W2040" t="str">
            <v>-</v>
          </cell>
          <cell r="X2040" t="str">
            <v>CLP 220 (-15/+40°C)</v>
          </cell>
          <cell r="Y2040" t="str">
            <v>FA87/G DRN90S4</v>
          </cell>
          <cell r="Z2040" t="str">
            <v>SEW</v>
          </cell>
          <cell r="AB2040" t="str">
            <v>-</v>
          </cell>
          <cell r="AF2040">
            <v>5.4</v>
          </cell>
          <cell r="AG2040" t="str">
            <v>DRN90S4</v>
          </cell>
          <cell r="AH2040" t="str">
            <v>FA87G-DRN90S40-X</v>
          </cell>
        </row>
        <row r="2041">
          <cell r="A2041" t="str">
            <v>MR002037</v>
          </cell>
          <cell r="B2041" t="str">
            <v>MR</v>
          </cell>
          <cell r="C2041">
            <v>2.2000000000000002</v>
          </cell>
          <cell r="D2041">
            <v>11</v>
          </cell>
          <cell r="E2041" t="str">
            <v>FA87</v>
          </cell>
          <cell r="F2041">
            <v>1940</v>
          </cell>
          <cell r="G2041">
            <v>134.16</v>
          </cell>
          <cell r="H2041">
            <v>1.55</v>
          </cell>
          <cell r="I2041" t="str">
            <v>From M1 to M4 - 15°</v>
          </cell>
          <cell r="J2041" t="str">
            <v>IE3</v>
          </cell>
          <cell r="K2041" t="str">
            <v>230/400</v>
          </cell>
          <cell r="L2041">
            <v>50</v>
          </cell>
          <cell r="M2041" t="str">
            <v>8,3/4,75</v>
          </cell>
          <cell r="N2041">
            <v>55</v>
          </cell>
          <cell r="O2041" t="str">
            <v>F(105°C)</v>
          </cell>
          <cell r="P2041" t="str">
            <v>0°</v>
          </cell>
          <cell r="Q2041" t="str">
            <v>-</v>
          </cell>
          <cell r="R2041" t="str">
            <v>-</v>
          </cell>
          <cell r="S2041" t="str">
            <v>-</v>
          </cell>
          <cell r="T2041" t="str">
            <v>-</v>
          </cell>
          <cell r="U2041" t="str">
            <v>G</v>
          </cell>
          <cell r="V2041" t="str">
            <v>D</v>
          </cell>
          <cell r="W2041" t="str">
            <v>-</v>
          </cell>
          <cell r="X2041" t="str">
            <v>CLP 220 (-15/+40°C)</v>
          </cell>
          <cell r="Y2041" t="str">
            <v>FA87/G DRN100LS4</v>
          </cell>
          <cell r="Z2041" t="str">
            <v>SEW</v>
          </cell>
          <cell r="AB2041" t="str">
            <v>-</v>
          </cell>
          <cell r="AF2041">
            <v>11</v>
          </cell>
          <cell r="AG2041" t="str">
            <v>DRN100LS4</v>
          </cell>
          <cell r="AH2041" t="str">
            <v>FA87G-DRN100LS40-X</v>
          </cell>
        </row>
        <row r="2042">
          <cell r="A2042" t="str">
            <v>MR002038</v>
          </cell>
          <cell r="B2042" t="str">
            <v>MR</v>
          </cell>
          <cell r="C2042">
            <v>22</v>
          </cell>
          <cell r="D2042">
            <v>53</v>
          </cell>
          <cell r="E2042" t="str">
            <v>KH97</v>
          </cell>
          <cell r="F2042">
            <v>3960</v>
          </cell>
          <cell r="G2042">
            <v>27.91</v>
          </cell>
          <cell r="H2042">
            <v>1.1000000000000001</v>
          </cell>
          <cell r="I2042" t="str">
            <v>M4A</v>
          </cell>
          <cell r="J2042" t="str">
            <v>IE3</v>
          </cell>
          <cell r="K2042" t="str">
            <v>400/690</v>
          </cell>
          <cell r="L2042">
            <v>50</v>
          </cell>
          <cell r="M2042" t="str">
            <v>38,5/22,5</v>
          </cell>
          <cell r="N2042">
            <v>55</v>
          </cell>
          <cell r="O2042" t="str">
            <v>155(F)</v>
          </cell>
          <cell r="P2042" t="str">
            <v>0°</v>
          </cell>
          <cell r="Q2042" t="str">
            <v>TF</v>
          </cell>
          <cell r="R2042" t="str">
            <v>V(VE)</v>
          </cell>
          <cell r="S2042" t="str">
            <v>Free rotation CCW</v>
          </cell>
          <cell r="T2042" t="str">
            <v>-</v>
          </cell>
          <cell r="U2042" t="str">
            <v>T</v>
          </cell>
          <cell r="V2042" t="str">
            <v>FC</v>
          </cell>
          <cell r="W2042" t="str">
            <v>-</v>
          </cell>
          <cell r="X2042" t="str">
            <v>CLP 220 (-15/+40°C)</v>
          </cell>
          <cell r="Y2042" t="str">
            <v>KH97/T DRN180L4 /RS /TF/V</v>
          </cell>
          <cell r="Z2042" t="str">
            <v>SEW</v>
          </cell>
          <cell r="AB2042" t="str">
            <v>-</v>
          </cell>
          <cell r="AF2042">
            <v>53</v>
          </cell>
          <cell r="AG2042" t="str">
            <v>DRN180L4</v>
          </cell>
          <cell r="AH2042" t="str">
            <v>KH97T-DRN180L4A0-X#</v>
          </cell>
        </row>
        <row r="2043">
          <cell r="A2043" t="str">
            <v>MR002039</v>
          </cell>
          <cell r="B2043" t="str">
            <v>MR</v>
          </cell>
          <cell r="C2043">
            <v>15</v>
          </cell>
          <cell r="D2043">
            <v>16</v>
          </cell>
          <cell r="E2043" t="str">
            <v>KH127</v>
          </cell>
          <cell r="F2043">
            <v>8730</v>
          </cell>
          <cell r="G2043">
            <v>89.89</v>
          </cell>
          <cell r="H2043">
            <v>1.5</v>
          </cell>
          <cell r="I2043" t="str">
            <v>M1B</v>
          </cell>
          <cell r="J2043" t="str">
            <v>IE3</v>
          </cell>
          <cell r="K2043">
            <v>415</v>
          </cell>
          <cell r="L2043">
            <v>50</v>
          </cell>
          <cell r="M2043">
            <v>29</v>
          </cell>
          <cell r="N2043">
            <v>55</v>
          </cell>
          <cell r="O2043" t="str">
            <v>155(F)</v>
          </cell>
          <cell r="P2043" t="str">
            <v>270°</v>
          </cell>
          <cell r="Q2043" t="str">
            <v>TF</v>
          </cell>
          <cell r="R2043" t="str">
            <v>-</v>
          </cell>
          <cell r="S2043" t="str">
            <v>-</v>
          </cell>
          <cell r="T2043" t="str">
            <v>-</v>
          </cell>
          <cell r="U2043" t="str">
            <v>-</v>
          </cell>
          <cell r="V2043" t="str">
            <v>SS</v>
          </cell>
          <cell r="W2043" t="str">
            <v>-</v>
          </cell>
          <cell r="X2043" t="str">
            <v>CLP 220 (-15/+40°C)</v>
          </cell>
          <cell r="Y2043" t="str">
            <v>KH127DRN160L4 /TF</v>
          </cell>
          <cell r="Z2043" t="str">
            <v>SEW</v>
          </cell>
          <cell r="AB2043" t="str">
            <v>-</v>
          </cell>
          <cell r="AF2043">
            <v>16</v>
          </cell>
          <cell r="AG2043" t="str">
            <v>DRN160L4</v>
          </cell>
          <cell r="AH2043" t="str">
            <v>KH127-DRN160L4B270-X</v>
          </cell>
        </row>
        <row r="2044">
          <cell r="A2044" t="str">
            <v>MR002040</v>
          </cell>
          <cell r="B2044" t="str">
            <v>MR</v>
          </cell>
          <cell r="C2044">
            <v>4</v>
          </cell>
          <cell r="D2044">
            <v>14</v>
          </cell>
          <cell r="E2044" t="str">
            <v>KH87</v>
          </cell>
          <cell r="F2044">
            <v>2670</v>
          </cell>
          <cell r="G2044">
            <v>102.71</v>
          </cell>
          <cell r="H2044">
            <v>1</v>
          </cell>
          <cell r="I2044" t="str">
            <v>From M1A to M2A 20°</v>
          </cell>
          <cell r="J2044" t="str">
            <v>IE3</v>
          </cell>
          <cell r="K2044">
            <v>415</v>
          </cell>
          <cell r="L2044">
            <v>50</v>
          </cell>
          <cell r="M2044">
            <v>7.9</v>
          </cell>
          <cell r="N2044">
            <v>55</v>
          </cell>
          <cell r="O2044" t="str">
            <v>155(F)</v>
          </cell>
          <cell r="P2044" t="str">
            <v>270°</v>
          </cell>
          <cell r="Q2044" t="str">
            <v>TF</v>
          </cell>
          <cell r="R2044" t="str">
            <v>-</v>
          </cell>
          <cell r="S2044" t="str">
            <v>-</v>
          </cell>
          <cell r="T2044" t="str">
            <v>-</v>
          </cell>
          <cell r="U2044" t="str">
            <v>-</v>
          </cell>
          <cell r="V2044" t="str">
            <v>SS</v>
          </cell>
          <cell r="W2044" t="str">
            <v>-</v>
          </cell>
          <cell r="X2044" t="str">
            <v>CLP 220 (-15/+40°C)</v>
          </cell>
          <cell r="Y2044" t="str">
            <v>KH87DRN112M4 /TF</v>
          </cell>
          <cell r="Z2044" t="str">
            <v>SEW</v>
          </cell>
          <cell r="AB2044" t="str">
            <v>-</v>
          </cell>
          <cell r="AF2044">
            <v>14</v>
          </cell>
          <cell r="AG2044" t="str">
            <v>DRN112M4</v>
          </cell>
          <cell r="AH2044" t="str">
            <v>KH87-DRN112M4A270-X</v>
          </cell>
        </row>
        <row r="2045">
          <cell r="A2045" t="str">
            <v>MR002041</v>
          </cell>
          <cell r="B2045" t="str">
            <v>MR</v>
          </cell>
          <cell r="C2045">
            <v>4</v>
          </cell>
          <cell r="D2045">
            <v>14</v>
          </cell>
          <cell r="E2045" t="str">
            <v>KH87</v>
          </cell>
          <cell r="F2045">
            <v>2670</v>
          </cell>
          <cell r="G2045">
            <v>102.71</v>
          </cell>
          <cell r="H2045">
            <v>1</v>
          </cell>
          <cell r="I2045" t="str">
            <v>From M1B to M2B 20°</v>
          </cell>
          <cell r="J2045" t="str">
            <v>IE3</v>
          </cell>
          <cell r="K2045">
            <v>415</v>
          </cell>
          <cell r="L2045">
            <v>50</v>
          </cell>
          <cell r="M2045">
            <v>7.9</v>
          </cell>
          <cell r="N2045">
            <v>55</v>
          </cell>
          <cell r="O2045" t="str">
            <v>155(F)</v>
          </cell>
          <cell r="P2045" t="str">
            <v>270°</v>
          </cell>
          <cell r="Q2045" t="str">
            <v>TF</v>
          </cell>
          <cell r="R2045" t="str">
            <v>-</v>
          </cell>
          <cell r="S2045" t="str">
            <v>-</v>
          </cell>
          <cell r="T2045" t="str">
            <v>-</v>
          </cell>
          <cell r="U2045" t="str">
            <v>-</v>
          </cell>
          <cell r="V2045" t="str">
            <v>SS</v>
          </cell>
          <cell r="W2045" t="str">
            <v>-</v>
          </cell>
          <cell r="X2045" t="str">
            <v>CLP 220 (-15/+40°C)</v>
          </cell>
          <cell r="Y2045" t="str">
            <v>KH87DRN112M4 /TF</v>
          </cell>
          <cell r="Z2045" t="str">
            <v>SEW</v>
          </cell>
          <cell r="AB2045" t="str">
            <v>-</v>
          </cell>
          <cell r="AF2045">
            <v>14</v>
          </cell>
          <cell r="AG2045" t="str">
            <v>DRN112M4</v>
          </cell>
          <cell r="AH2045" t="str">
            <v>KH87-DRN112M4B270-X</v>
          </cell>
        </row>
        <row r="2046">
          <cell r="A2046" t="str">
            <v>MR002042</v>
          </cell>
          <cell r="B2046" t="str">
            <v>MR</v>
          </cell>
          <cell r="C2046">
            <v>1.5</v>
          </cell>
          <cell r="D2046">
            <v>22</v>
          </cell>
          <cell r="E2046" t="str">
            <v>FA67</v>
          </cell>
          <cell r="F2046">
            <v>660</v>
          </cell>
          <cell r="G2046">
            <v>67.650000000000006</v>
          </cell>
          <cell r="H2046">
            <v>1.25</v>
          </cell>
          <cell r="I2046" t="str">
            <v>From M5 to M3 - 10°</v>
          </cell>
          <cell r="J2046" t="str">
            <v>IE3</v>
          </cell>
          <cell r="K2046" t="str">
            <v>230/400</v>
          </cell>
          <cell r="L2046">
            <v>50</v>
          </cell>
          <cell r="M2046" t="str">
            <v>5,9/3,4</v>
          </cell>
          <cell r="N2046">
            <v>55</v>
          </cell>
          <cell r="O2046" t="str">
            <v>F(105°C)</v>
          </cell>
          <cell r="P2046" t="str">
            <v>270°</v>
          </cell>
          <cell r="Q2046" t="str">
            <v>-</v>
          </cell>
          <cell r="R2046" t="str">
            <v>-</v>
          </cell>
          <cell r="S2046" t="str">
            <v>-</v>
          </cell>
          <cell r="T2046" t="str">
            <v>BEHF</v>
          </cell>
          <cell r="U2046" t="str">
            <v>G</v>
          </cell>
          <cell r="V2046" t="str">
            <v>D+R</v>
          </cell>
          <cell r="W2046" t="str">
            <v>-</v>
          </cell>
          <cell r="X2046" t="str">
            <v>CLP HC VG 220 = -20° + 60°</v>
          </cell>
          <cell r="Y2046" t="str">
            <v>FA67/G DRN90L4 /BEHF</v>
          </cell>
          <cell r="Z2046" t="str">
            <v>SEW</v>
          </cell>
          <cell r="AB2046" t="str">
            <v>-</v>
          </cell>
          <cell r="AF2046">
            <v>22</v>
          </cell>
          <cell r="AG2046" t="str">
            <v>DRN90L4</v>
          </cell>
          <cell r="AH2046" t="str">
            <v>FA67G-DRN90L4270-X</v>
          </cell>
        </row>
        <row r="2047">
          <cell r="A2047" t="str">
            <v>MR002043</v>
          </cell>
          <cell r="B2047" t="str">
            <v>ME</v>
          </cell>
          <cell r="C2047">
            <v>1.5</v>
          </cell>
          <cell r="D2047">
            <v>1461</v>
          </cell>
          <cell r="E2047" t="str">
            <v>-</v>
          </cell>
          <cell r="J2047" t="str">
            <v>IE3</v>
          </cell>
          <cell r="K2047" t="str">
            <v>230/400</v>
          </cell>
          <cell r="L2047">
            <v>50</v>
          </cell>
          <cell r="M2047" t="str">
            <v>5,9/3,4</v>
          </cell>
          <cell r="N2047">
            <v>55</v>
          </cell>
          <cell r="O2047" t="str">
            <v>F(105°C)</v>
          </cell>
          <cell r="P2047" t="str">
            <v>270°</v>
          </cell>
          <cell r="Q2047" t="str">
            <v>-</v>
          </cell>
          <cell r="R2047" t="str">
            <v>-</v>
          </cell>
          <cell r="S2047" t="str">
            <v>-</v>
          </cell>
          <cell r="T2047" t="str">
            <v>BEHF</v>
          </cell>
          <cell r="U2047" t="str">
            <v>-</v>
          </cell>
          <cell r="V2047" t="str">
            <v>D+R</v>
          </cell>
          <cell r="W2047" t="str">
            <v>-</v>
          </cell>
          <cell r="X2047" t="str">
            <v>-</v>
          </cell>
          <cell r="Y2047" t="str">
            <v>DRN90L4/BE2HF/FG</v>
          </cell>
          <cell r="Z2047" t="str">
            <v>SEW</v>
          </cell>
          <cell r="AB2047" t="str">
            <v>-</v>
          </cell>
          <cell r="AE2047" t="str">
            <v>Motore per MR002043</v>
          </cell>
          <cell r="AF2047">
            <v>1461</v>
          </cell>
          <cell r="AG2047" t="str">
            <v>DRN90L4</v>
          </cell>
          <cell r="AH2047" t="str">
            <v>--DRN90L4270-X</v>
          </cell>
        </row>
        <row r="2048">
          <cell r="A2048" t="str">
            <v>MR002044</v>
          </cell>
          <cell r="B2048" t="str">
            <v>MR</v>
          </cell>
          <cell r="C2048">
            <v>5.5</v>
          </cell>
          <cell r="D2048">
            <v>62</v>
          </cell>
          <cell r="E2048" t="str">
            <v>R87</v>
          </cell>
          <cell r="F2048">
            <v>840</v>
          </cell>
          <cell r="G2048">
            <v>23.4</v>
          </cell>
          <cell r="H2048">
            <v>1.85</v>
          </cell>
          <cell r="I2048" t="str">
            <v>M1</v>
          </cell>
          <cell r="J2048" t="str">
            <v>IE3</v>
          </cell>
          <cell r="K2048" t="str">
            <v>230/400</v>
          </cell>
          <cell r="L2048">
            <v>50</v>
          </cell>
          <cell r="M2048" t="str">
            <v>18,2/10,5</v>
          </cell>
          <cell r="N2048">
            <v>55</v>
          </cell>
          <cell r="O2048" t="str">
            <v>F(105°C)</v>
          </cell>
          <cell r="P2048" t="str">
            <v>270°</v>
          </cell>
          <cell r="Q2048" t="str">
            <v>-</v>
          </cell>
          <cell r="R2048" t="str">
            <v>-</v>
          </cell>
          <cell r="S2048" t="str">
            <v>-</v>
          </cell>
          <cell r="T2048" t="str">
            <v>-</v>
          </cell>
          <cell r="U2048" t="str">
            <v>-</v>
          </cell>
          <cell r="V2048" t="str">
            <v>D</v>
          </cell>
          <cell r="W2048" t="str">
            <v>-</v>
          </cell>
          <cell r="X2048" t="str">
            <v>CLP HC 220 (-25/+60°C)</v>
          </cell>
          <cell r="Y2048" t="str">
            <v>R87DRN132S4</v>
          </cell>
          <cell r="Z2048" t="str">
            <v>SEW</v>
          </cell>
          <cell r="AB2048" t="str">
            <v>-</v>
          </cell>
          <cell r="AF2048">
            <v>62</v>
          </cell>
          <cell r="AG2048" t="str">
            <v>DRN132S4</v>
          </cell>
          <cell r="AH2048" t="str">
            <v>R87-DRN132S4270-X</v>
          </cell>
        </row>
        <row r="2049">
          <cell r="A2049" t="str">
            <v>MR002045</v>
          </cell>
          <cell r="B2049" t="str">
            <v>MR</v>
          </cell>
          <cell r="C2049">
            <v>5.5</v>
          </cell>
          <cell r="D2049">
            <v>62</v>
          </cell>
          <cell r="E2049" t="str">
            <v>R87</v>
          </cell>
          <cell r="F2049">
            <v>840</v>
          </cell>
          <cell r="G2049">
            <v>23.4</v>
          </cell>
          <cell r="H2049">
            <v>1.45</v>
          </cell>
          <cell r="I2049" t="str">
            <v>From M5 to M4 - 15°</v>
          </cell>
          <cell r="J2049" t="str">
            <v>IE3</v>
          </cell>
          <cell r="K2049" t="str">
            <v>230/400</v>
          </cell>
          <cell r="L2049">
            <v>50</v>
          </cell>
          <cell r="M2049" t="str">
            <v>18,2/10,5</v>
          </cell>
          <cell r="N2049">
            <v>55</v>
          </cell>
          <cell r="O2049" t="str">
            <v>F(105°C)</v>
          </cell>
          <cell r="P2049" t="str">
            <v>270°</v>
          </cell>
          <cell r="Q2049" t="str">
            <v>-</v>
          </cell>
          <cell r="R2049" t="str">
            <v>-</v>
          </cell>
          <cell r="S2049" t="str">
            <v>-</v>
          </cell>
          <cell r="T2049" t="str">
            <v>-</v>
          </cell>
          <cell r="U2049" t="str">
            <v>-</v>
          </cell>
          <cell r="V2049" t="str">
            <v>D</v>
          </cell>
          <cell r="W2049" t="str">
            <v>-</v>
          </cell>
          <cell r="X2049" t="str">
            <v>CLP HC 220 (-25/+60°C)</v>
          </cell>
          <cell r="Y2049" t="str">
            <v>R87EDRN132S4</v>
          </cell>
          <cell r="Z2049" t="str">
            <v>SEW</v>
          </cell>
          <cell r="AB2049" t="str">
            <v>ATEX22</v>
          </cell>
          <cell r="AF2049">
            <v>62</v>
          </cell>
          <cell r="AG2049" t="str">
            <v>EDRN132S4</v>
          </cell>
          <cell r="AH2049" t="str">
            <v>R87-EDRN132S4270-X</v>
          </cell>
        </row>
        <row r="2050">
          <cell r="A2050" t="str">
            <v>MR002046</v>
          </cell>
          <cell r="B2050" t="str">
            <v>MR</v>
          </cell>
          <cell r="C2050">
            <v>11</v>
          </cell>
          <cell r="D2050">
            <v>15</v>
          </cell>
          <cell r="E2050" t="str">
            <v>KH107</v>
          </cell>
          <cell r="F2050">
            <v>7180</v>
          </cell>
          <cell r="G2050">
            <v>100.75</v>
          </cell>
          <cell r="H2050">
            <v>1.05</v>
          </cell>
          <cell r="I2050" t="str">
            <v>M1A</v>
          </cell>
          <cell r="J2050" t="str">
            <v>IE3</v>
          </cell>
          <cell r="K2050" t="str">
            <v>400/690</v>
          </cell>
          <cell r="L2050">
            <v>50</v>
          </cell>
          <cell r="M2050" t="str">
            <v>21/12,2</v>
          </cell>
          <cell r="N2050">
            <v>55</v>
          </cell>
          <cell r="O2050" t="str">
            <v>F(105°C)</v>
          </cell>
          <cell r="P2050" t="str">
            <v>270°</v>
          </cell>
          <cell r="Q2050" t="str">
            <v>-</v>
          </cell>
          <cell r="R2050" t="str">
            <v>-</v>
          </cell>
          <cell r="S2050" t="str">
            <v>-</v>
          </cell>
          <cell r="T2050" t="str">
            <v>-</v>
          </cell>
          <cell r="U2050" t="str">
            <v>-</v>
          </cell>
          <cell r="V2050" t="str">
            <v>SS</v>
          </cell>
          <cell r="W2050" t="str">
            <v>-</v>
          </cell>
          <cell r="X2050" t="str">
            <v>CLP HC 220 (-25/+60°C)</v>
          </cell>
          <cell r="Y2050" t="str">
            <v>KH107EDRN160M4</v>
          </cell>
          <cell r="Z2050" t="str">
            <v>SEW</v>
          </cell>
          <cell r="AB2050" t="str">
            <v>ATEX22</v>
          </cell>
          <cell r="AF2050">
            <v>15</v>
          </cell>
          <cell r="AG2050" t="str">
            <v>EDRN160M4</v>
          </cell>
          <cell r="AH2050" t="str">
            <v>KH107-EDRN160M4A270-X</v>
          </cell>
        </row>
        <row r="2051">
          <cell r="A2051" t="str">
            <v>MR002047</v>
          </cell>
          <cell r="B2051" t="str">
            <v>MR</v>
          </cell>
          <cell r="C2051">
            <v>0.75</v>
          </cell>
          <cell r="D2051">
            <v>18</v>
          </cell>
          <cell r="E2051" t="str">
            <v>FA67</v>
          </cell>
          <cell r="F2051">
            <v>395</v>
          </cell>
          <cell r="G2051">
            <v>79.760000000000005</v>
          </cell>
          <cell r="H2051">
            <v>2.1</v>
          </cell>
          <cell r="I2051" t="str">
            <v>M6</v>
          </cell>
          <cell r="J2051" t="str">
            <v>IE3</v>
          </cell>
          <cell r="K2051" t="str">
            <v>230/400</v>
          </cell>
          <cell r="L2051">
            <v>50</v>
          </cell>
          <cell r="M2051" t="str">
            <v>3,05/1,75</v>
          </cell>
          <cell r="N2051">
            <v>55</v>
          </cell>
          <cell r="O2051" t="str">
            <v>F(105°C)</v>
          </cell>
          <cell r="P2051" t="str">
            <v>270°</v>
          </cell>
          <cell r="Q2051" t="str">
            <v>TF</v>
          </cell>
          <cell r="R2051" t="str">
            <v>-</v>
          </cell>
          <cell r="S2051" t="str">
            <v>-</v>
          </cell>
          <cell r="T2051" t="str">
            <v>BEHF</v>
          </cell>
          <cell r="U2051" t="str">
            <v>G</v>
          </cell>
          <cell r="V2051" t="str">
            <v>D+R</v>
          </cell>
          <cell r="W2051" t="str">
            <v>-</v>
          </cell>
          <cell r="X2051" t="str">
            <v>CLP HC 220 (-25/+60°C)</v>
          </cell>
          <cell r="Y2051" t="str">
            <v>FA67/G EDRN80M4 /BEHF /TF</v>
          </cell>
          <cell r="Z2051" t="str">
            <v>SEW</v>
          </cell>
          <cell r="AB2051" t="str">
            <v>ATEX22</v>
          </cell>
          <cell r="AE2051" t="str">
            <v>Rectifier for brake in the terminal box</v>
          </cell>
          <cell r="AF2051">
            <v>18</v>
          </cell>
          <cell r="AG2051" t="str">
            <v>EDRN80M4</v>
          </cell>
          <cell r="AH2051" t="str">
            <v>FA67G-EDRN80M4270-X</v>
          </cell>
        </row>
        <row r="2052">
          <cell r="A2052" t="str">
            <v>MR002048</v>
          </cell>
          <cell r="B2052" t="str">
            <v>MR</v>
          </cell>
          <cell r="C2052">
            <v>7.5</v>
          </cell>
          <cell r="D2052">
            <v>15</v>
          </cell>
          <cell r="E2052" t="str">
            <v>KH107</v>
          </cell>
          <cell r="F2052">
            <v>4920</v>
          </cell>
          <cell r="G2052">
            <v>100.75</v>
          </cell>
          <cell r="H2052">
            <v>1.55</v>
          </cell>
          <cell r="I2052" t="str">
            <v>From M1A to M2A - 45°</v>
          </cell>
          <cell r="J2052" t="str">
            <v>IE3</v>
          </cell>
          <cell r="K2052" t="str">
            <v>400/690</v>
          </cell>
          <cell r="L2052">
            <v>50</v>
          </cell>
          <cell r="M2052" t="str">
            <v>15,2/8,8</v>
          </cell>
          <cell r="N2052">
            <v>55</v>
          </cell>
          <cell r="O2052" t="str">
            <v>F(105°C)</v>
          </cell>
          <cell r="P2052" t="str">
            <v>270°</v>
          </cell>
          <cell r="Q2052" t="str">
            <v>-</v>
          </cell>
          <cell r="R2052" t="str">
            <v>-</v>
          </cell>
          <cell r="S2052" t="str">
            <v>-</v>
          </cell>
          <cell r="T2052" t="str">
            <v>-</v>
          </cell>
          <cell r="U2052" t="str">
            <v>-</v>
          </cell>
          <cell r="V2052" t="str">
            <v>SS</v>
          </cell>
          <cell r="W2052" t="str">
            <v>-</v>
          </cell>
          <cell r="X2052" t="str">
            <v>CLP HC 220 (-25/+60°C)</v>
          </cell>
          <cell r="Y2052" t="str">
            <v>KH107EDRN132M4</v>
          </cell>
          <cell r="Z2052" t="str">
            <v>SEW</v>
          </cell>
          <cell r="AB2052" t="str">
            <v>ATEX22</v>
          </cell>
          <cell r="AF2052">
            <v>15</v>
          </cell>
          <cell r="AG2052" t="str">
            <v>EDRN132M4</v>
          </cell>
          <cell r="AH2052" t="str">
            <v>KH107-EDRN132M4A270-X</v>
          </cell>
        </row>
        <row r="2053">
          <cell r="A2053" t="str">
            <v>MR002049</v>
          </cell>
          <cell r="B2053" t="str">
            <v>MR</v>
          </cell>
          <cell r="C2053">
            <v>7.5</v>
          </cell>
          <cell r="D2053">
            <v>15</v>
          </cell>
          <cell r="E2053" t="str">
            <v>KH107</v>
          </cell>
          <cell r="F2053">
            <v>4910</v>
          </cell>
          <cell r="G2053">
            <v>100.75</v>
          </cell>
          <cell r="H2053">
            <v>1.65</v>
          </cell>
          <cell r="I2053" t="str">
            <v>From M1A to M2A - 20°</v>
          </cell>
          <cell r="J2053" t="str">
            <v>IE3</v>
          </cell>
          <cell r="K2053" t="str">
            <v>400/690</v>
          </cell>
          <cell r="L2053">
            <v>50</v>
          </cell>
          <cell r="M2053" t="str">
            <v>15,2/8,8</v>
          </cell>
          <cell r="N2053">
            <v>55</v>
          </cell>
          <cell r="O2053" t="str">
            <v>F(105°C)</v>
          </cell>
          <cell r="P2053" t="str">
            <v>270°</v>
          </cell>
          <cell r="Q2053" t="str">
            <v>-</v>
          </cell>
          <cell r="R2053" t="str">
            <v>-</v>
          </cell>
          <cell r="S2053" t="str">
            <v>-</v>
          </cell>
          <cell r="T2053" t="str">
            <v>-</v>
          </cell>
          <cell r="U2053" t="str">
            <v>-</v>
          </cell>
          <cell r="V2053" t="str">
            <v>SS</v>
          </cell>
          <cell r="W2053" t="str">
            <v>-</v>
          </cell>
          <cell r="X2053" t="str">
            <v>CLP HC 220 (-25/+60°C)</v>
          </cell>
          <cell r="Y2053" t="str">
            <v>KH107DRN132M4</v>
          </cell>
          <cell r="Z2053" t="str">
            <v>SEW</v>
          </cell>
          <cell r="AB2053" t="str">
            <v>-</v>
          </cell>
          <cell r="AF2053">
            <v>15</v>
          </cell>
          <cell r="AG2053" t="str">
            <v>DRN132M4</v>
          </cell>
          <cell r="AH2053" t="str">
            <v>KH107-DRN132M4A270-X</v>
          </cell>
        </row>
        <row r="2054">
          <cell r="A2054" t="str">
            <v>MR002050</v>
          </cell>
          <cell r="B2054" t="str">
            <v>MR</v>
          </cell>
          <cell r="C2054">
            <v>7.5</v>
          </cell>
          <cell r="D2054">
            <v>15</v>
          </cell>
          <cell r="E2054" t="str">
            <v>KH107</v>
          </cell>
          <cell r="F2054">
            <v>4910</v>
          </cell>
          <cell r="G2054">
            <v>100.75</v>
          </cell>
          <cell r="H2054">
            <v>1.65</v>
          </cell>
          <cell r="I2054" t="str">
            <v>From M1B to M2B - 20°</v>
          </cell>
          <cell r="J2054" t="str">
            <v>IE3</v>
          </cell>
          <cell r="K2054" t="str">
            <v>400/690</v>
          </cell>
          <cell r="L2054">
            <v>50</v>
          </cell>
          <cell r="M2054" t="str">
            <v>15,2/8,8</v>
          </cell>
          <cell r="N2054">
            <v>55</v>
          </cell>
          <cell r="O2054" t="str">
            <v>F(105°C)</v>
          </cell>
          <cell r="P2054" t="str">
            <v>270°</v>
          </cell>
          <cell r="Q2054" t="str">
            <v>-</v>
          </cell>
          <cell r="R2054" t="str">
            <v>-</v>
          </cell>
          <cell r="S2054" t="str">
            <v>-</v>
          </cell>
          <cell r="T2054" t="str">
            <v>-</v>
          </cell>
          <cell r="U2054" t="str">
            <v>-</v>
          </cell>
          <cell r="V2054" t="str">
            <v>SS</v>
          </cell>
          <cell r="W2054" t="str">
            <v>-</v>
          </cell>
          <cell r="X2054" t="str">
            <v>CLP HC 220 (-25/+60°C)</v>
          </cell>
          <cell r="Y2054" t="str">
            <v>KH107DRN132M4</v>
          </cell>
          <cell r="Z2054" t="str">
            <v>SEW</v>
          </cell>
          <cell r="AB2054" t="str">
            <v>-</v>
          </cell>
          <cell r="AF2054">
            <v>15</v>
          </cell>
          <cell r="AG2054" t="str">
            <v>DRN132M4</v>
          </cell>
          <cell r="AH2054" t="str">
            <v>KH107-DRN132M4B270-X</v>
          </cell>
        </row>
        <row r="2055">
          <cell r="A2055" t="str">
            <v>MR002051</v>
          </cell>
          <cell r="B2055" t="str">
            <v>MR</v>
          </cell>
          <cell r="C2055">
            <v>7.5</v>
          </cell>
          <cell r="D2055">
            <v>63</v>
          </cell>
          <cell r="E2055" t="str">
            <v>R87</v>
          </cell>
          <cell r="F2055">
            <v>1140</v>
          </cell>
          <cell r="G2055">
            <v>23.4</v>
          </cell>
          <cell r="H2055">
            <v>1.05</v>
          </cell>
          <cell r="I2055" t="str">
            <v>M1</v>
          </cell>
          <cell r="J2055" t="str">
            <v>IE3</v>
          </cell>
          <cell r="K2055" t="str">
            <v>400/690</v>
          </cell>
          <cell r="L2055">
            <v>50</v>
          </cell>
          <cell r="M2055" t="str">
            <v>15,2/8,8</v>
          </cell>
          <cell r="N2055">
            <v>55</v>
          </cell>
          <cell r="O2055" t="str">
            <v>F(105°C)</v>
          </cell>
          <cell r="P2055" t="str">
            <v>270°</v>
          </cell>
          <cell r="Q2055" t="str">
            <v>-</v>
          </cell>
          <cell r="R2055" t="str">
            <v>-</v>
          </cell>
          <cell r="S2055" t="str">
            <v>-</v>
          </cell>
          <cell r="T2055" t="str">
            <v>-</v>
          </cell>
          <cell r="U2055" t="str">
            <v>-</v>
          </cell>
          <cell r="V2055" t="str">
            <v>D</v>
          </cell>
          <cell r="W2055" t="str">
            <v>-</v>
          </cell>
          <cell r="X2055" t="str">
            <v>CLP HC 220 (-25/+60°C)</v>
          </cell>
          <cell r="Y2055" t="str">
            <v>R87EDRN132M4</v>
          </cell>
          <cell r="Z2055" t="str">
            <v>SEW</v>
          </cell>
          <cell r="AB2055" t="str">
            <v>ATEX22</v>
          </cell>
          <cell r="AF2055">
            <v>63</v>
          </cell>
          <cell r="AG2055" t="str">
            <v>EDRN132M4</v>
          </cell>
          <cell r="AH2055" t="str">
            <v>R87-EDRN132M4270-X</v>
          </cell>
        </row>
        <row r="2056">
          <cell r="A2056" t="str">
            <v>MR002052</v>
          </cell>
          <cell r="B2056" t="str">
            <v>MR</v>
          </cell>
          <cell r="C2056">
            <v>11</v>
          </cell>
          <cell r="D2056">
            <v>15</v>
          </cell>
          <cell r="E2056" t="str">
            <v>KH107</v>
          </cell>
          <cell r="F2056">
            <v>7180</v>
          </cell>
          <cell r="G2056">
            <v>100.75</v>
          </cell>
          <cell r="H2056">
            <v>1.05</v>
          </cell>
          <cell r="I2056" t="str">
            <v>From M1A to M2A - 5°</v>
          </cell>
          <cell r="J2056" t="str">
            <v>IE3</v>
          </cell>
          <cell r="K2056" t="str">
            <v>400/690</v>
          </cell>
          <cell r="L2056">
            <v>50</v>
          </cell>
          <cell r="M2056" t="str">
            <v>21/12,2</v>
          </cell>
          <cell r="N2056">
            <v>55</v>
          </cell>
          <cell r="O2056" t="str">
            <v>F(105°C)</v>
          </cell>
          <cell r="P2056" t="str">
            <v>270°</v>
          </cell>
          <cell r="Q2056" t="str">
            <v>-</v>
          </cell>
          <cell r="R2056" t="str">
            <v>-</v>
          </cell>
          <cell r="S2056" t="str">
            <v>-</v>
          </cell>
          <cell r="T2056" t="str">
            <v>-</v>
          </cell>
          <cell r="U2056" t="str">
            <v>-</v>
          </cell>
          <cell r="V2056" t="str">
            <v>SS</v>
          </cell>
          <cell r="W2056" t="str">
            <v>-</v>
          </cell>
          <cell r="X2056" t="str">
            <v>CLP HC 220 (-25/+60°C)</v>
          </cell>
          <cell r="Y2056" t="str">
            <v>KH107EDRN160M4</v>
          </cell>
          <cell r="Z2056" t="str">
            <v>SEW</v>
          </cell>
          <cell r="AB2056" t="str">
            <v>ATEX22</v>
          </cell>
          <cell r="AF2056">
            <v>15</v>
          </cell>
          <cell r="AG2056" t="str">
            <v>EDRN160M4</v>
          </cell>
          <cell r="AH2056" t="str">
            <v>KH107-EDRN160M4A270-X</v>
          </cell>
        </row>
        <row r="2057">
          <cell r="A2057" t="str">
            <v>MR002053</v>
          </cell>
          <cell r="B2057" t="str">
            <v>MR</v>
          </cell>
          <cell r="C2057">
            <v>11</v>
          </cell>
          <cell r="D2057">
            <v>15</v>
          </cell>
          <cell r="E2057" t="str">
            <v>KH107</v>
          </cell>
          <cell r="F2057">
            <v>7180</v>
          </cell>
          <cell r="G2057">
            <v>100.75</v>
          </cell>
          <cell r="H2057">
            <v>1.05</v>
          </cell>
          <cell r="I2057" t="str">
            <v>From M1B to M2B - 5°</v>
          </cell>
          <cell r="J2057" t="str">
            <v>IE3</v>
          </cell>
          <cell r="K2057" t="str">
            <v>400/690</v>
          </cell>
          <cell r="L2057">
            <v>50</v>
          </cell>
          <cell r="M2057" t="str">
            <v>21/12,2</v>
          </cell>
          <cell r="N2057">
            <v>55</v>
          </cell>
          <cell r="O2057" t="str">
            <v>F(105°C)</v>
          </cell>
          <cell r="P2057" t="str">
            <v>270°</v>
          </cell>
          <cell r="Q2057" t="str">
            <v>-</v>
          </cell>
          <cell r="R2057" t="str">
            <v>-</v>
          </cell>
          <cell r="S2057" t="str">
            <v>-</v>
          </cell>
          <cell r="T2057" t="str">
            <v>-</v>
          </cell>
          <cell r="U2057" t="str">
            <v>-</v>
          </cell>
          <cell r="V2057" t="str">
            <v>SS</v>
          </cell>
          <cell r="W2057" t="str">
            <v>-</v>
          </cell>
          <cell r="X2057" t="str">
            <v>CLP HC 220 (-25/+60°C)</v>
          </cell>
          <cell r="Y2057" t="str">
            <v>KH107EDRN160M4</v>
          </cell>
          <cell r="Z2057" t="str">
            <v>SEW</v>
          </cell>
          <cell r="AB2057" t="str">
            <v>ATEX22</v>
          </cell>
          <cell r="AF2057">
            <v>15</v>
          </cell>
          <cell r="AG2057" t="str">
            <v>EDRN160M4</v>
          </cell>
          <cell r="AH2057" t="str">
            <v>KH107-EDRN160M4B270-X</v>
          </cell>
        </row>
        <row r="2058">
          <cell r="A2058" t="str">
            <v>MR002054</v>
          </cell>
          <cell r="B2058" t="str">
            <v>MR</v>
          </cell>
          <cell r="C2058">
            <v>15</v>
          </cell>
          <cell r="D2058">
            <v>27</v>
          </cell>
          <cell r="E2058" t="str">
            <v>R127</v>
          </cell>
          <cell r="F2058">
            <v>5350</v>
          </cell>
          <cell r="G2058">
            <v>55.09</v>
          </cell>
          <cell r="H2058">
            <v>1.05</v>
          </cell>
          <cell r="I2058" t="str">
            <v>From M5 to M4 - 15°</v>
          </cell>
          <cell r="J2058" t="str">
            <v>IE3</v>
          </cell>
          <cell r="K2058" t="str">
            <v>400/690</v>
          </cell>
          <cell r="L2058">
            <v>50</v>
          </cell>
          <cell r="M2058" t="str">
            <v>16,7/9,6</v>
          </cell>
          <cell r="N2058">
            <v>55</v>
          </cell>
          <cell r="O2058" t="str">
            <v>F(105°C)</v>
          </cell>
          <cell r="P2058" t="str">
            <v>270°</v>
          </cell>
          <cell r="Q2058" t="str">
            <v>TF</v>
          </cell>
          <cell r="R2058" t="str">
            <v>V(VE)</v>
          </cell>
          <cell r="S2058" t="str">
            <v>-</v>
          </cell>
          <cell r="T2058" t="str">
            <v>-</v>
          </cell>
          <cell r="U2058" t="str">
            <v>-</v>
          </cell>
          <cell r="V2058" t="str">
            <v>FC</v>
          </cell>
          <cell r="W2058" t="str">
            <v>-</v>
          </cell>
          <cell r="X2058" t="str">
            <v>CLP HC 220 (-25/+60°C)</v>
          </cell>
          <cell r="Y2058" t="str">
            <v>R127EDRN160L4 /TF/VE</v>
          </cell>
          <cell r="Z2058" t="str">
            <v>SEW</v>
          </cell>
          <cell r="AB2058" t="str">
            <v>ATEX22</v>
          </cell>
          <cell r="AF2058">
            <v>27</v>
          </cell>
          <cell r="AG2058" t="str">
            <v>EDRN160L4</v>
          </cell>
          <cell r="AH2058" t="str">
            <v>R127-EDRN160L4270-X#</v>
          </cell>
        </row>
        <row r="2059">
          <cell r="A2059" t="str">
            <v>MR002055</v>
          </cell>
          <cell r="B2059" t="str">
            <v>MR</v>
          </cell>
          <cell r="C2059">
            <v>15</v>
          </cell>
          <cell r="D2059">
            <v>27</v>
          </cell>
          <cell r="E2059" t="str">
            <v>R127</v>
          </cell>
          <cell r="F2059">
            <v>5350</v>
          </cell>
          <cell r="G2059">
            <v>55.09</v>
          </cell>
          <cell r="H2059">
            <v>1.05</v>
          </cell>
          <cell r="I2059" t="str">
            <v>From M6 to M4 - 15°</v>
          </cell>
          <cell r="J2059" t="str">
            <v>IE3</v>
          </cell>
          <cell r="K2059" t="str">
            <v>400/690</v>
          </cell>
          <cell r="L2059">
            <v>50</v>
          </cell>
          <cell r="M2059" t="str">
            <v>16,7/9,6</v>
          </cell>
          <cell r="N2059">
            <v>55</v>
          </cell>
          <cell r="O2059" t="str">
            <v>F(105°C)</v>
          </cell>
          <cell r="P2059" t="str">
            <v>270°</v>
          </cell>
          <cell r="Q2059" t="str">
            <v>TF</v>
          </cell>
          <cell r="R2059" t="str">
            <v>V(VE)</v>
          </cell>
          <cell r="S2059" t="str">
            <v>-</v>
          </cell>
          <cell r="T2059" t="str">
            <v>-</v>
          </cell>
          <cell r="U2059" t="str">
            <v>-</v>
          </cell>
          <cell r="V2059" t="str">
            <v>FC</v>
          </cell>
          <cell r="W2059" t="str">
            <v>-</v>
          </cell>
          <cell r="X2059" t="str">
            <v>CLP HC 220 (-25/+60°C)</v>
          </cell>
          <cell r="Y2059" t="str">
            <v>R127EDRN160L4 /TF/VE</v>
          </cell>
          <cell r="Z2059" t="str">
            <v>SEW</v>
          </cell>
          <cell r="AB2059" t="str">
            <v>ATEX22</v>
          </cell>
          <cell r="AF2059">
            <v>27</v>
          </cell>
          <cell r="AG2059" t="str">
            <v>EDRN160L4</v>
          </cell>
          <cell r="AH2059" t="str">
            <v>R127-EDRN160L4270-X#</v>
          </cell>
        </row>
        <row r="2060">
          <cell r="A2060" t="str">
            <v>MR002056</v>
          </cell>
          <cell r="B2060" t="str">
            <v>MR</v>
          </cell>
          <cell r="C2060">
            <v>7.5</v>
          </cell>
          <cell r="D2060">
            <v>15</v>
          </cell>
          <cell r="E2060" t="str">
            <v>KH107</v>
          </cell>
          <cell r="F2060">
            <v>4920</v>
          </cell>
          <cell r="G2060">
            <v>100.75</v>
          </cell>
          <cell r="H2060">
            <v>1.55</v>
          </cell>
          <cell r="I2060" t="str">
            <v>From M1A to M2A - 20°</v>
          </cell>
          <cell r="J2060" t="str">
            <v>IE3</v>
          </cell>
          <cell r="K2060" t="str">
            <v>400/690</v>
          </cell>
          <cell r="L2060">
            <v>50</v>
          </cell>
          <cell r="M2060" t="str">
            <v>15,2/8,8</v>
          </cell>
          <cell r="N2060">
            <v>55</v>
          </cell>
          <cell r="O2060" t="str">
            <v>F(105°C)</v>
          </cell>
          <cell r="P2060" t="str">
            <v>270°</v>
          </cell>
          <cell r="Q2060" t="str">
            <v>-</v>
          </cell>
          <cell r="R2060" t="str">
            <v>-</v>
          </cell>
          <cell r="S2060" t="str">
            <v>-</v>
          </cell>
          <cell r="T2060" t="str">
            <v>-</v>
          </cell>
          <cell r="U2060" t="str">
            <v>-</v>
          </cell>
          <cell r="V2060" t="str">
            <v>SS</v>
          </cell>
          <cell r="W2060" t="str">
            <v>-</v>
          </cell>
          <cell r="X2060" t="str">
            <v>CLP HC 220 (-25/+60°C)</v>
          </cell>
          <cell r="Y2060" t="str">
            <v>KH107EDRN132M4</v>
          </cell>
          <cell r="Z2060" t="str">
            <v>SEW</v>
          </cell>
          <cell r="AB2060" t="str">
            <v>ATEX22</v>
          </cell>
          <cell r="AF2060">
            <v>15</v>
          </cell>
          <cell r="AG2060" t="str">
            <v>EDRN132M4</v>
          </cell>
          <cell r="AH2060" t="str">
            <v>KH107-EDRN132M4A270-X</v>
          </cell>
        </row>
        <row r="2061">
          <cell r="A2061" t="str">
            <v>MR002057</v>
          </cell>
          <cell r="B2061" t="str">
            <v>MR</v>
          </cell>
          <cell r="C2061">
            <v>7.5</v>
          </cell>
          <cell r="D2061">
            <v>15</v>
          </cell>
          <cell r="E2061" t="str">
            <v>KH107</v>
          </cell>
          <cell r="F2061">
            <v>4920</v>
          </cell>
          <cell r="G2061">
            <v>100.75</v>
          </cell>
          <cell r="H2061">
            <v>1.55</v>
          </cell>
          <cell r="I2061" t="str">
            <v>From M1B to M2B - 20°</v>
          </cell>
          <cell r="J2061" t="str">
            <v>IE3</v>
          </cell>
          <cell r="K2061" t="str">
            <v>400/690</v>
          </cell>
          <cell r="L2061">
            <v>50</v>
          </cell>
          <cell r="M2061" t="str">
            <v>15,2/8,8</v>
          </cell>
          <cell r="N2061">
            <v>55</v>
          </cell>
          <cell r="O2061" t="str">
            <v>F(105°C)</v>
          </cell>
          <cell r="P2061" t="str">
            <v>270°</v>
          </cell>
          <cell r="Q2061" t="str">
            <v>-</v>
          </cell>
          <cell r="R2061" t="str">
            <v>-</v>
          </cell>
          <cell r="S2061" t="str">
            <v>-</v>
          </cell>
          <cell r="T2061" t="str">
            <v>-</v>
          </cell>
          <cell r="U2061" t="str">
            <v>-</v>
          </cell>
          <cell r="V2061" t="str">
            <v>SS</v>
          </cell>
          <cell r="W2061" t="str">
            <v>-</v>
          </cell>
          <cell r="X2061" t="str">
            <v>CLP HC 220 (-25/+60°C)</v>
          </cell>
          <cell r="Y2061" t="str">
            <v>KH107EDRN132M4</v>
          </cell>
          <cell r="Z2061" t="str">
            <v>SEW</v>
          </cell>
          <cell r="AB2061" t="str">
            <v>ATEX22</v>
          </cell>
          <cell r="AF2061">
            <v>15</v>
          </cell>
          <cell r="AG2061" t="str">
            <v>EDRN132M4</v>
          </cell>
          <cell r="AH2061" t="str">
            <v>KH107-EDRN132M4B270-X</v>
          </cell>
        </row>
        <row r="2062">
          <cell r="A2062" t="str">
            <v>MR002058</v>
          </cell>
          <cell r="B2062" t="str">
            <v>MR</v>
          </cell>
          <cell r="C2062">
            <v>15</v>
          </cell>
          <cell r="D2062">
            <v>20</v>
          </cell>
          <cell r="E2062" t="str">
            <v>R137</v>
          </cell>
          <cell r="F2062">
            <v>7140</v>
          </cell>
          <cell r="G2062">
            <v>73.489999999999995</v>
          </cell>
          <cell r="H2062">
            <v>1.1000000000000001</v>
          </cell>
          <cell r="I2062" t="str">
            <v>From M1 to M2 - 15°</v>
          </cell>
          <cell r="J2062" t="str">
            <v>IE3</v>
          </cell>
          <cell r="K2062" t="str">
            <v>400/690</v>
          </cell>
          <cell r="L2062">
            <v>50</v>
          </cell>
          <cell r="M2062" t="str">
            <v>29/16,7</v>
          </cell>
          <cell r="N2062">
            <v>55</v>
          </cell>
          <cell r="O2062" t="str">
            <v>155(F)</v>
          </cell>
          <cell r="P2062" t="str">
            <v>270°</v>
          </cell>
          <cell r="Q2062" t="str">
            <v>TF</v>
          </cell>
          <cell r="R2062" t="str">
            <v>V(VE)</v>
          </cell>
          <cell r="S2062" t="str">
            <v>-</v>
          </cell>
          <cell r="T2062" t="str">
            <v>-</v>
          </cell>
          <cell r="U2062" t="str">
            <v>-</v>
          </cell>
          <cell r="V2062" t="str">
            <v>FC</v>
          </cell>
          <cell r="W2062" t="str">
            <v>-</v>
          </cell>
          <cell r="X2062" t="str">
            <v>CLP HC 220 (-25/+60°C)</v>
          </cell>
          <cell r="Y2062" t="str">
            <v>R137EDRN160L4 /TF/VE</v>
          </cell>
          <cell r="Z2062" t="str">
            <v>SEW</v>
          </cell>
          <cell r="AB2062" t="str">
            <v>ATEX22</v>
          </cell>
          <cell r="AF2062">
            <v>20</v>
          </cell>
          <cell r="AG2062" t="str">
            <v>EDRN160L4</v>
          </cell>
          <cell r="AH2062" t="str">
            <v>R137-EDRN160L4270-X#</v>
          </cell>
        </row>
        <row r="2063">
          <cell r="A2063" t="str">
            <v>MR002059</v>
          </cell>
          <cell r="B2063" t="str">
            <v>MR</v>
          </cell>
          <cell r="C2063">
            <v>3</v>
          </cell>
          <cell r="D2063">
            <v>7.2</v>
          </cell>
          <cell r="E2063" t="str">
            <v>R107</v>
          </cell>
          <cell r="F2063">
            <v>4000</v>
          </cell>
          <cell r="G2063">
            <v>203.16</v>
          </cell>
          <cell r="H2063">
            <v>1.1000000000000001</v>
          </cell>
          <cell r="I2063" t="str">
            <v>From M1 to M2 - 15°</v>
          </cell>
          <cell r="J2063" t="str">
            <v>IE3</v>
          </cell>
          <cell r="K2063" t="str">
            <v>230/400</v>
          </cell>
          <cell r="L2063">
            <v>50</v>
          </cell>
          <cell r="M2063" t="str">
            <v>11,1/6,4</v>
          </cell>
          <cell r="N2063">
            <v>55</v>
          </cell>
          <cell r="O2063" t="str">
            <v>155(F)</v>
          </cell>
          <cell r="P2063" t="str">
            <v>270°</v>
          </cell>
          <cell r="Q2063" t="str">
            <v>TF</v>
          </cell>
          <cell r="R2063" t="str">
            <v>V(VE)</v>
          </cell>
          <cell r="S2063" t="str">
            <v>-</v>
          </cell>
          <cell r="T2063" t="str">
            <v>-</v>
          </cell>
          <cell r="U2063" t="str">
            <v>-</v>
          </cell>
          <cell r="V2063" t="str">
            <v>FC</v>
          </cell>
          <cell r="W2063" t="str">
            <v>-</v>
          </cell>
          <cell r="X2063" t="str">
            <v>CLP HC 220 (-25/+60°C)</v>
          </cell>
          <cell r="Y2063" t="str">
            <v>R107EDRN100L4 /TF/VE</v>
          </cell>
          <cell r="Z2063" t="str">
            <v>SEW</v>
          </cell>
          <cell r="AB2063" t="str">
            <v>ATEX22</v>
          </cell>
          <cell r="AF2063">
            <v>7.2</v>
          </cell>
          <cell r="AG2063" t="str">
            <v>EDRN100L4</v>
          </cell>
          <cell r="AH2063" t="str">
            <v>R107-EDRN100L4270-X#</v>
          </cell>
        </row>
        <row r="2064">
          <cell r="A2064" t="str">
            <v>MR002060</v>
          </cell>
          <cell r="B2064" t="str">
            <v>MR</v>
          </cell>
          <cell r="C2064">
            <v>11</v>
          </cell>
          <cell r="D2064">
            <v>15</v>
          </cell>
          <cell r="E2064" t="str">
            <v>KH107</v>
          </cell>
          <cell r="F2064">
            <v>7180</v>
          </cell>
          <cell r="G2064">
            <v>100.75</v>
          </cell>
          <cell r="H2064">
            <v>1.05</v>
          </cell>
          <cell r="I2064" t="str">
            <v>From M1A to M2A - 10°</v>
          </cell>
          <cell r="J2064" t="str">
            <v>IE3</v>
          </cell>
          <cell r="K2064" t="str">
            <v>400/690</v>
          </cell>
          <cell r="L2064">
            <v>50</v>
          </cell>
          <cell r="M2064" t="str">
            <v>21/12,2</v>
          </cell>
          <cell r="N2064">
            <v>55</v>
          </cell>
          <cell r="O2064" t="str">
            <v>155(F)</v>
          </cell>
          <cell r="P2064" t="str">
            <v>270°</v>
          </cell>
          <cell r="Q2064" t="str">
            <v>TF</v>
          </cell>
          <cell r="R2064" t="str">
            <v>V(VE)</v>
          </cell>
          <cell r="S2064" t="str">
            <v>-</v>
          </cell>
          <cell r="T2064" t="str">
            <v>-</v>
          </cell>
          <cell r="U2064" t="str">
            <v>-</v>
          </cell>
          <cell r="V2064" t="str">
            <v>FC</v>
          </cell>
          <cell r="W2064" t="str">
            <v>-</v>
          </cell>
          <cell r="X2064" t="str">
            <v>CLP HC 220 (-25/+60°C)</v>
          </cell>
          <cell r="Y2064" t="str">
            <v>KH107EDRN160M4 /TF/VE</v>
          </cell>
          <cell r="Z2064" t="str">
            <v>SEW</v>
          </cell>
          <cell r="AB2064" t="str">
            <v>ATEX22</v>
          </cell>
          <cell r="AF2064">
            <v>15</v>
          </cell>
          <cell r="AG2064" t="str">
            <v>EDRN160M4</v>
          </cell>
          <cell r="AH2064" t="str">
            <v>KH107-EDRN160M4A270-X#</v>
          </cell>
        </row>
        <row r="2065">
          <cell r="A2065" t="str">
            <v>MR002061</v>
          </cell>
          <cell r="B2065" t="str">
            <v>MR</v>
          </cell>
          <cell r="C2065">
            <v>11</v>
          </cell>
          <cell r="D2065">
            <v>16</v>
          </cell>
          <cell r="E2065" t="str">
            <v>KH107</v>
          </cell>
          <cell r="F2065">
            <v>6480</v>
          </cell>
          <cell r="G2065">
            <v>90.96</v>
          </cell>
          <cell r="H2065">
            <v>1.25</v>
          </cell>
          <cell r="I2065" t="str">
            <v>From M4A to M1A -30°</v>
          </cell>
          <cell r="J2065" t="str">
            <v>IE3</v>
          </cell>
          <cell r="K2065" t="str">
            <v>400/690</v>
          </cell>
          <cell r="L2065">
            <v>50</v>
          </cell>
          <cell r="M2065" t="str">
            <v>21/12,2</v>
          </cell>
          <cell r="N2065">
            <v>55</v>
          </cell>
          <cell r="O2065" t="str">
            <v>155(F)</v>
          </cell>
          <cell r="P2065" t="str">
            <v>270°</v>
          </cell>
          <cell r="Q2065" t="str">
            <v>TF</v>
          </cell>
          <cell r="R2065" t="str">
            <v>V(VE)</v>
          </cell>
          <cell r="S2065" t="str">
            <v>-</v>
          </cell>
          <cell r="T2065" t="str">
            <v>-</v>
          </cell>
          <cell r="U2065" t="str">
            <v>-</v>
          </cell>
          <cell r="V2065" t="str">
            <v>FC</v>
          </cell>
          <cell r="W2065" t="str">
            <v>-</v>
          </cell>
          <cell r="X2065" t="str">
            <v>CLP HC 220 (-25/+60°C)</v>
          </cell>
          <cell r="Y2065" t="str">
            <v>KH107DRN160M4 /TF/V</v>
          </cell>
          <cell r="Z2065" t="str">
            <v>SEW</v>
          </cell>
          <cell r="AB2065" t="str">
            <v>-</v>
          </cell>
          <cell r="AF2065">
            <v>16</v>
          </cell>
          <cell r="AG2065" t="str">
            <v>DRN160M4</v>
          </cell>
          <cell r="AH2065" t="str">
            <v>KH107-DRN160M4A270-X#</v>
          </cell>
        </row>
        <row r="2066">
          <cell r="A2066" t="str">
            <v>MR002062</v>
          </cell>
          <cell r="B2066" t="str">
            <v>MR</v>
          </cell>
          <cell r="C2066">
            <v>11</v>
          </cell>
          <cell r="D2066">
            <v>16</v>
          </cell>
          <cell r="E2066" t="str">
            <v>KH107</v>
          </cell>
          <cell r="F2066">
            <v>6480</v>
          </cell>
          <cell r="G2066">
            <v>90.96</v>
          </cell>
          <cell r="H2066">
            <v>1.25</v>
          </cell>
          <cell r="I2066" t="str">
            <v>M4B</v>
          </cell>
          <cell r="J2066" t="str">
            <v>IE3</v>
          </cell>
          <cell r="K2066" t="str">
            <v>400/690</v>
          </cell>
          <cell r="L2066">
            <v>50</v>
          </cell>
          <cell r="M2066" t="str">
            <v>21/12,2</v>
          </cell>
          <cell r="N2066">
            <v>55</v>
          </cell>
          <cell r="O2066" t="str">
            <v>155(F)</v>
          </cell>
          <cell r="P2066" t="str">
            <v>270°</v>
          </cell>
          <cell r="Q2066" t="str">
            <v>TF</v>
          </cell>
          <cell r="R2066" t="str">
            <v>V(VE)</v>
          </cell>
          <cell r="S2066" t="str">
            <v>-</v>
          </cell>
          <cell r="T2066" t="str">
            <v>-</v>
          </cell>
          <cell r="U2066" t="str">
            <v>-</v>
          </cell>
          <cell r="V2066" t="str">
            <v>FC</v>
          </cell>
          <cell r="W2066" t="str">
            <v>-</v>
          </cell>
          <cell r="X2066" t="str">
            <v>CLP HC 220 (-25/+60°C)</v>
          </cell>
          <cell r="Y2066" t="str">
            <v>KH107DRN160M4 /TF/V</v>
          </cell>
          <cell r="Z2066" t="str">
            <v>SEW</v>
          </cell>
          <cell r="AB2066" t="str">
            <v>-</v>
          </cell>
          <cell r="AF2066">
            <v>16</v>
          </cell>
          <cell r="AG2066" t="str">
            <v>DRN160M4</v>
          </cell>
          <cell r="AH2066" t="str">
            <v>KH107-DRN160M4B270-X#</v>
          </cell>
        </row>
        <row r="2067">
          <cell r="A2067" t="str">
            <v>MR002063</v>
          </cell>
          <cell r="B2067" t="str">
            <v>MR</v>
          </cell>
          <cell r="C2067">
            <v>5.5</v>
          </cell>
          <cell r="D2067">
            <v>24</v>
          </cell>
          <cell r="E2067" t="str">
            <v>R97</v>
          </cell>
          <cell r="F2067">
            <v>2150</v>
          </cell>
          <cell r="G2067">
            <v>59.92</v>
          </cell>
          <cell r="H2067">
            <v>1.3</v>
          </cell>
          <cell r="I2067" t="str">
            <v>M1</v>
          </cell>
          <cell r="J2067" t="str">
            <v>IE3</v>
          </cell>
          <cell r="K2067" t="str">
            <v>230/400</v>
          </cell>
          <cell r="L2067">
            <v>50</v>
          </cell>
          <cell r="M2067" t="str">
            <v>18,2/10,5</v>
          </cell>
          <cell r="N2067">
            <v>55</v>
          </cell>
          <cell r="O2067" t="str">
            <v>155(F)</v>
          </cell>
          <cell r="P2067" t="str">
            <v>270°</v>
          </cell>
          <cell r="Q2067" t="str">
            <v>TF</v>
          </cell>
          <cell r="R2067" t="str">
            <v>V(VE)</v>
          </cell>
          <cell r="S2067" t="str">
            <v>-</v>
          </cell>
          <cell r="T2067" t="str">
            <v>-</v>
          </cell>
          <cell r="U2067" t="str">
            <v>-</v>
          </cell>
          <cell r="V2067" t="str">
            <v>FC</v>
          </cell>
          <cell r="W2067" t="str">
            <v>-</v>
          </cell>
          <cell r="X2067" t="str">
            <v>CLP HC 220 (-25/+60°C)</v>
          </cell>
          <cell r="Y2067" t="str">
            <v>R97EDRN132S4 /TF/VE</v>
          </cell>
          <cell r="Z2067" t="str">
            <v>SEW</v>
          </cell>
          <cell r="AB2067" t="str">
            <v>ATEX22</v>
          </cell>
          <cell r="AF2067">
            <v>24</v>
          </cell>
          <cell r="AG2067" t="str">
            <v>EDRN132S4</v>
          </cell>
          <cell r="AH2067" t="str">
            <v>R97-EDRN132S4270-X#</v>
          </cell>
        </row>
        <row r="2068">
          <cell r="A2068" t="str">
            <v>MR002064</v>
          </cell>
          <cell r="B2068" t="str">
            <v>MR</v>
          </cell>
          <cell r="C2068">
            <v>2.2000000000000002</v>
          </cell>
          <cell r="D2068">
            <v>75</v>
          </cell>
          <cell r="E2068" t="str">
            <v>KH67</v>
          </cell>
          <cell r="F2068">
            <v>275</v>
          </cell>
          <cell r="G2068">
            <v>19.3</v>
          </cell>
          <cell r="H2068">
            <v>2.7</v>
          </cell>
          <cell r="I2068" t="str">
            <v>M4A</v>
          </cell>
          <cell r="J2068" t="str">
            <v>IE3</v>
          </cell>
          <cell r="K2068" t="str">
            <v>230/400</v>
          </cell>
          <cell r="L2068">
            <v>50</v>
          </cell>
          <cell r="M2068" t="str">
            <v>8,3/4,75</v>
          </cell>
          <cell r="N2068">
            <v>55</v>
          </cell>
          <cell r="O2068" t="str">
            <v>155(F)</v>
          </cell>
          <cell r="P2068" t="str">
            <v>270°</v>
          </cell>
          <cell r="Q2068" t="str">
            <v>-</v>
          </cell>
          <cell r="R2068" t="str">
            <v>-</v>
          </cell>
          <cell r="S2068" t="str">
            <v>-</v>
          </cell>
          <cell r="T2068" t="str">
            <v>-</v>
          </cell>
          <cell r="U2068" t="str">
            <v>-</v>
          </cell>
          <cell r="V2068" t="str">
            <v>D</v>
          </cell>
          <cell r="W2068" t="str">
            <v>-</v>
          </cell>
          <cell r="X2068" t="str">
            <v>CLP HC 220 (-25/+60°C)</v>
          </cell>
          <cell r="Y2068" t="str">
            <v>KH67DRN100LS4</v>
          </cell>
          <cell r="Z2068" t="str">
            <v>SEW</v>
          </cell>
          <cell r="AB2068" t="str">
            <v>-</v>
          </cell>
          <cell r="AF2068">
            <v>75</v>
          </cell>
          <cell r="AG2068" t="str">
            <v>DRN100LS4</v>
          </cell>
          <cell r="AH2068" t="str">
            <v>KH67-DRN100LS4A270-X</v>
          </cell>
        </row>
        <row r="2069">
          <cell r="A2069" t="str">
            <v>MR002065</v>
          </cell>
          <cell r="B2069" t="str">
            <v>MR</v>
          </cell>
          <cell r="C2069">
            <v>7.5</v>
          </cell>
          <cell r="D2069">
            <v>57</v>
          </cell>
          <cell r="E2069" t="str">
            <v>KH77</v>
          </cell>
          <cell r="F2069">
            <v>1250</v>
          </cell>
          <cell r="G2069">
            <v>25.62</v>
          </cell>
          <cell r="H2069">
            <v>1.25</v>
          </cell>
          <cell r="I2069" t="str">
            <v>M4A</v>
          </cell>
          <cell r="J2069" t="str">
            <v>IE3</v>
          </cell>
          <cell r="K2069">
            <v>400</v>
          </cell>
          <cell r="L2069">
            <v>50</v>
          </cell>
          <cell r="M2069">
            <v>15.2</v>
          </cell>
          <cell r="N2069">
            <v>65</v>
          </cell>
          <cell r="O2069" t="str">
            <v>155(F)</v>
          </cell>
          <cell r="P2069" t="str">
            <v>270°</v>
          </cell>
          <cell r="Q2069" t="str">
            <v>TF</v>
          </cell>
          <cell r="R2069" t="str">
            <v>-</v>
          </cell>
          <cell r="S2069" t="str">
            <v>Free rotation CCW</v>
          </cell>
          <cell r="T2069" t="str">
            <v>-</v>
          </cell>
          <cell r="U2069" t="str">
            <v>T</v>
          </cell>
          <cell r="V2069" t="str">
            <v>SS</v>
          </cell>
          <cell r="W2069" t="str">
            <v>-</v>
          </cell>
          <cell r="X2069" t="str">
            <v>CLP PG 220 (-25/+80°C)</v>
          </cell>
          <cell r="Y2069" t="str">
            <v>KH77/T DRN132M4 /RS /TF</v>
          </cell>
          <cell r="Z2069" t="str">
            <v>SEW</v>
          </cell>
          <cell r="AB2069" t="str">
            <v>-</v>
          </cell>
          <cell r="AE2069" t="str">
            <v>Temperatura ambiente +60°C</v>
          </cell>
          <cell r="AF2069">
            <v>57</v>
          </cell>
          <cell r="AG2069" t="str">
            <v>DRN132M4</v>
          </cell>
          <cell r="AH2069" t="str">
            <v>KH77T-DRN132M4A270-X</v>
          </cell>
        </row>
        <row r="2070">
          <cell r="A2070" t="str">
            <v>MR002066</v>
          </cell>
          <cell r="B2070" t="str">
            <v>MR</v>
          </cell>
          <cell r="C2070">
            <v>0.75</v>
          </cell>
          <cell r="D2070">
            <v>162</v>
          </cell>
          <cell r="E2070" t="str">
            <v>KA37</v>
          </cell>
          <cell r="F2070">
            <v>44</v>
          </cell>
          <cell r="G2070">
            <v>8.91</v>
          </cell>
          <cell r="H2070">
            <v>3.6</v>
          </cell>
          <cell r="I2070" t="str">
            <v>From M1A to M2A - 15°</v>
          </cell>
          <cell r="J2070" t="str">
            <v>IE3</v>
          </cell>
          <cell r="K2070">
            <v>400</v>
          </cell>
          <cell r="L2070">
            <v>50</v>
          </cell>
          <cell r="M2070">
            <v>1.75</v>
          </cell>
          <cell r="N2070">
            <v>65</v>
          </cell>
          <cell r="O2070" t="str">
            <v>155(F)</v>
          </cell>
          <cell r="P2070" t="str">
            <v>180°</v>
          </cell>
          <cell r="Q2070" t="str">
            <v>-</v>
          </cell>
          <cell r="R2070" t="str">
            <v>-</v>
          </cell>
          <cell r="S2070" t="str">
            <v>-</v>
          </cell>
          <cell r="T2070" t="str">
            <v>-</v>
          </cell>
          <cell r="U2070" t="str">
            <v>T</v>
          </cell>
          <cell r="V2070" t="str">
            <v>D</v>
          </cell>
          <cell r="W2070" t="str">
            <v>-</v>
          </cell>
          <cell r="X2070" t="str">
            <v>CLP PG 220 (-25/+80°C)</v>
          </cell>
          <cell r="Y2070" t="str">
            <v>KA37/T DRN80M4</v>
          </cell>
          <cell r="Z2070" t="str">
            <v>SEW</v>
          </cell>
          <cell r="AB2070" t="str">
            <v>-</v>
          </cell>
          <cell r="AE2070" t="str">
            <v>Temperatura ambiente +60°C</v>
          </cell>
          <cell r="AF2070">
            <v>162</v>
          </cell>
          <cell r="AG2070" t="str">
            <v>DRN80M4</v>
          </cell>
          <cell r="AH2070" t="str">
            <v>KA37T-DRN80M4A180-X</v>
          </cell>
        </row>
        <row r="2071">
          <cell r="A2071" t="str">
            <v>MR002067</v>
          </cell>
          <cell r="B2071" t="str">
            <v>MR</v>
          </cell>
          <cell r="C2071">
            <v>18.5</v>
          </cell>
          <cell r="D2071">
            <v>35</v>
          </cell>
          <cell r="E2071" t="str">
            <v>R127</v>
          </cell>
          <cell r="F2071">
            <v>5040</v>
          </cell>
          <cell r="G2071">
            <v>42.22</v>
          </cell>
          <cell r="H2071">
            <v>1.2</v>
          </cell>
          <cell r="I2071" t="str">
            <v>From M1 to M2 - 20°</v>
          </cell>
          <cell r="J2071" t="str">
            <v>IE3</v>
          </cell>
          <cell r="K2071">
            <v>400</v>
          </cell>
          <cell r="L2071">
            <v>50</v>
          </cell>
          <cell r="M2071">
            <v>33.5</v>
          </cell>
          <cell r="N2071">
            <v>65</v>
          </cell>
          <cell r="O2071" t="str">
            <v>155(F)</v>
          </cell>
          <cell r="P2071" t="str">
            <v>270°</v>
          </cell>
          <cell r="Q2071" t="str">
            <v>TF</v>
          </cell>
          <cell r="R2071" t="str">
            <v>V(VE)</v>
          </cell>
          <cell r="S2071" t="str">
            <v>-</v>
          </cell>
          <cell r="T2071" t="str">
            <v>-</v>
          </cell>
          <cell r="U2071" t="str">
            <v>-</v>
          </cell>
          <cell r="V2071" t="str">
            <v>FC</v>
          </cell>
          <cell r="W2071" t="str">
            <v>-</v>
          </cell>
          <cell r="X2071" t="str">
            <v>CLP PG 220 (-25/+80°C)</v>
          </cell>
          <cell r="Y2071" t="str">
            <v>R127DRN180M4 /TF/V</v>
          </cell>
          <cell r="Z2071" t="str">
            <v>SEW</v>
          </cell>
          <cell r="AB2071" t="str">
            <v>-</v>
          </cell>
          <cell r="AE2071" t="str">
            <v>Temperatura ambiente +60°C</v>
          </cell>
          <cell r="AF2071">
            <v>35</v>
          </cell>
          <cell r="AG2071" t="str">
            <v>DRN180M4</v>
          </cell>
          <cell r="AH2071" t="str">
            <v>R127-DRN180M4270-X#</v>
          </cell>
        </row>
        <row r="2072">
          <cell r="A2072" t="str">
            <v>MR002068</v>
          </cell>
          <cell r="B2072" t="str">
            <v>MR</v>
          </cell>
          <cell r="C2072">
            <v>11</v>
          </cell>
          <cell r="D2072">
            <v>66</v>
          </cell>
          <cell r="E2072" t="str">
            <v>KH87</v>
          </cell>
          <cell r="F2072">
            <v>1600</v>
          </cell>
          <cell r="G2072">
            <v>22.41</v>
          </cell>
          <cell r="H2072">
            <v>1.45</v>
          </cell>
          <cell r="I2072" t="str">
            <v>M4A</v>
          </cell>
          <cell r="J2072" t="str">
            <v>IE3</v>
          </cell>
          <cell r="K2072">
            <v>400</v>
          </cell>
          <cell r="L2072">
            <v>50</v>
          </cell>
          <cell r="M2072">
            <v>21</v>
          </cell>
          <cell r="N2072">
            <v>65</v>
          </cell>
          <cell r="O2072" t="str">
            <v>155(F)</v>
          </cell>
          <cell r="P2072" t="str">
            <v>270°</v>
          </cell>
          <cell r="Q2072" t="str">
            <v>TF</v>
          </cell>
          <cell r="R2072" t="str">
            <v>-</v>
          </cell>
          <cell r="S2072" t="str">
            <v>Free rotation CCW</v>
          </cell>
          <cell r="T2072" t="str">
            <v>-</v>
          </cell>
          <cell r="U2072" t="str">
            <v>T</v>
          </cell>
          <cell r="V2072" t="str">
            <v>SS</v>
          </cell>
          <cell r="W2072" t="str">
            <v>-</v>
          </cell>
          <cell r="X2072" t="str">
            <v>CLP PG 220 (-25/+80°C)</v>
          </cell>
          <cell r="Y2072" t="str">
            <v>KH87/T DRN160M4 /RS /TF</v>
          </cell>
          <cell r="Z2072" t="str">
            <v>SEW</v>
          </cell>
          <cell r="AB2072" t="str">
            <v>-</v>
          </cell>
          <cell r="AE2072" t="str">
            <v>Temperatura ambiente +60°C</v>
          </cell>
          <cell r="AF2072">
            <v>66</v>
          </cell>
          <cell r="AG2072" t="str">
            <v>DRN160M4</v>
          </cell>
          <cell r="AH2072" t="str">
            <v>KH87T-DRN160M4A270-X</v>
          </cell>
        </row>
        <row r="2073">
          <cell r="A2073" t="str">
            <v>MR002069</v>
          </cell>
          <cell r="B2073" t="str">
            <v>MR</v>
          </cell>
          <cell r="C2073">
            <v>0.75</v>
          </cell>
          <cell r="D2073">
            <v>162</v>
          </cell>
          <cell r="E2073" t="str">
            <v>KA37</v>
          </cell>
          <cell r="F2073">
            <v>44</v>
          </cell>
          <cell r="G2073">
            <v>8.91</v>
          </cell>
          <cell r="H2073">
            <v>3.6</v>
          </cell>
          <cell r="I2073" t="str">
            <v>From M1A to M2A - 25°</v>
          </cell>
          <cell r="J2073" t="str">
            <v>IE3</v>
          </cell>
          <cell r="K2073">
            <v>400</v>
          </cell>
          <cell r="L2073">
            <v>50</v>
          </cell>
          <cell r="M2073">
            <v>1.75</v>
          </cell>
          <cell r="N2073">
            <v>65</v>
          </cell>
          <cell r="O2073" t="str">
            <v>155(F)</v>
          </cell>
          <cell r="P2073" t="str">
            <v>180°</v>
          </cell>
          <cell r="Q2073" t="str">
            <v>-</v>
          </cell>
          <cell r="R2073" t="str">
            <v>-</v>
          </cell>
          <cell r="S2073" t="str">
            <v>-</v>
          </cell>
          <cell r="T2073" t="str">
            <v>-</v>
          </cell>
          <cell r="U2073" t="str">
            <v>T</v>
          </cell>
          <cell r="V2073" t="str">
            <v>D</v>
          </cell>
          <cell r="W2073" t="str">
            <v>-</v>
          </cell>
          <cell r="X2073" t="str">
            <v>CLP PG 220 (-25/+80°C)</v>
          </cell>
          <cell r="Y2073" t="str">
            <v>KA37/T DRN80M4</v>
          </cell>
          <cell r="Z2073" t="str">
            <v>SEW</v>
          </cell>
          <cell r="AB2073" t="str">
            <v>-</v>
          </cell>
          <cell r="AE2073" t="str">
            <v>Temperatura ambiente +60°C</v>
          </cell>
          <cell r="AF2073">
            <v>162</v>
          </cell>
          <cell r="AG2073" t="str">
            <v>DRN80M4</v>
          </cell>
          <cell r="AH2073" t="str">
            <v>KA37T-DRN80M4A180-X</v>
          </cell>
        </row>
        <row r="2074">
          <cell r="A2074" t="str">
            <v>MR002070</v>
          </cell>
          <cell r="B2074" t="str">
            <v>MR</v>
          </cell>
          <cell r="C2074">
            <v>5.5</v>
          </cell>
          <cell r="D2074">
            <v>57</v>
          </cell>
          <cell r="E2074" t="str">
            <v>KH77</v>
          </cell>
          <cell r="F2074">
            <v>920</v>
          </cell>
          <cell r="G2074">
            <v>25.62</v>
          </cell>
          <cell r="H2074">
            <v>1.7</v>
          </cell>
          <cell r="I2074" t="str">
            <v>M4B</v>
          </cell>
          <cell r="J2074" t="str">
            <v>IE3</v>
          </cell>
          <cell r="K2074" t="str">
            <v>230/400</v>
          </cell>
          <cell r="L2074">
            <v>50</v>
          </cell>
          <cell r="M2074" t="str">
            <v>18,2/10,5</v>
          </cell>
          <cell r="N2074">
            <v>65</v>
          </cell>
          <cell r="O2074" t="str">
            <v>155(F)</v>
          </cell>
          <cell r="P2074" t="str">
            <v>270°</v>
          </cell>
          <cell r="Q2074" t="str">
            <v>TF</v>
          </cell>
          <cell r="R2074" t="str">
            <v>-</v>
          </cell>
          <cell r="S2074" t="str">
            <v>Free rotation CW</v>
          </cell>
          <cell r="T2074" t="str">
            <v>-</v>
          </cell>
          <cell r="U2074" t="str">
            <v>T</v>
          </cell>
          <cell r="V2074" t="str">
            <v>SS</v>
          </cell>
          <cell r="W2074" t="str">
            <v>-</v>
          </cell>
          <cell r="X2074" t="str">
            <v>CLP PG 220 (-25/+80°C)</v>
          </cell>
          <cell r="Y2074" t="str">
            <v>KH77/T DRN132S4 /RS /TF</v>
          </cell>
          <cell r="Z2074" t="str">
            <v>SEW</v>
          </cell>
          <cell r="AB2074" t="str">
            <v>-</v>
          </cell>
          <cell r="AE2074" t="str">
            <v>Temperatura ambiente +60°C</v>
          </cell>
          <cell r="AF2074">
            <v>57</v>
          </cell>
          <cell r="AG2074" t="str">
            <v>DRN132S4</v>
          </cell>
          <cell r="AH2074" t="str">
            <v>KH77T-DRN132S4B270-X</v>
          </cell>
        </row>
        <row r="2075">
          <cell r="A2075" t="str">
            <v>MR002071</v>
          </cell>
          <cell r="B2075" t="str">
            <v>MR</v>
          </cell>
          <cell r="C2075">
            <v>0.75</v>
          </cell>
          <cell r="D2075">
            <v>162</v>
          </cell>
          <cell r="E2075" t="str">
            <v>KA37</v>
          </cell>
          <cell r="F2075">
            <v>44</v>
          </cell>
          <cell r="G2075">
            <v>8.91</v>
          </cell>
          <cell r="H2075">
            <v>3.6</v>
          </cell>
          <cell r="I2075" t="str">
            <v>From M1B to M2B - 10°</v>
          </cell>
          <cell r="J2075" t="str">
            <v>IE3</v>
          </cell>
          <cell r="K2075">
            <v>400</v>
          </cell>
          <cell r="L2075">
            <v>50</v>
          </cell>
          <cell r="M2075">
            <v>1.75</v>
          </cell>
          <cell r="N2075">
            <v>65</v>
          </cell>
          <cell r="O2075" t="str">
            <v>155(F)</v>
          </cell>
          <cell r="P2075" t="str">
            <v>0°</v>
          </cell>
          <cell r="Q2075" t="str">
            <v>-</v>
          </cell>
          <cell r="R2075" t="str">
            <v>-</v>
          </cell>
          <cell r="S2075" t="str">
            <v>-</v>
          </cell>
          <cell r="T2075" t="str">
            <v>-</v>
          </cell>
          <cell r="U2075" t="str">
            <v>T</v>
          </cell>
          <cell r="V2075" t="str">
            <v>D</v>
          </cell>
          <cell r="W2075" t="str">
            <v>-</v>
          </cell>
          <cell r="X2075" t="str">
            <v>CLP PG 220 (-25/+80°C)</v>
          </cell>
          <cell r="Y2075" t="str">
            <v>KA37/T DRN80M4</v>
          </cell>
          <cell r="Z2075" t="str">
            <v>SEW</v>
          </cell>
          <cell r="AB2075" t="str">
            <v>-</v>
          </cell>
          <cell r="AE2075" t="str">
            <v>Temperatura ambiente +60°C</v>
          </cell>
          <cell r="AF2075">
            <v>162</v>
          </cell>
          <cell r="AG2075" t="str">
            <v>DRN80M4</v>
          </cell>
          <cell r="AH2075" t="str">
            <v>KA37T-DRN80M4B0-X</v>
          </cell>
        </row>
        <row r="2076">
          <cell r="A2076" t="str">
            <v>MR002072</v>
          </cell>
          <cell r="B2076" t="str">
            <v>MR</v>
          </cell>
          <cell r="C2076">
            <v>5.5</v>
          </cell>
          <cell r="D2076">
            <v>57</v>
          </cell>
          <cell r="E2076" t="str">
            <v>KH77</v>
          </cell>
          <cell r="F2076">
            <v>920</v>
          </cell>
          <cell r="G2076">
            <v>25.62</v>
          </cell>
          <cell r="H2076">
            <v>1.7</v>
          </cell>
          <cell r="I2076" t="str">
            <v>M4A</v>
          </cell>
          <cell r="J2076" t="str">
            <v>IE3</v>
          </cell>
          <cell r="K2076">
            <v>400</v>
          </cell>
          <cell r="L2076">
            <v>50</v>
          </cell>
          <cell r="M2076">
            <v>10.5</v>
          </cell>
          <cell r="N2076">
            <v>65</v>
          </cell>
          <cell r="O2076" t="str">
            <v>155(F)</v>
          </cell>
          <cell r="P2076" t="str">
            <v>270°</v>
          </cell>
          <cell r="Q2076" t="str">
            <v>TF</v>
          </cell>
          <cell r="R2076" t="str">
            <v>-</v>
          </cell>
          <cell r="S2076" t="str">
            <v>Free rotation CCW</v>
          </cell>
          <cell r="T2076" t="str">
            <v>-</v>
          </cell>
          <cell r="U2076" t="str">
            <v>T</v>
          </cell>
          <cell r="V2076" t="str">
            <v>SS</v>
          </cell>
          <cell r="W2076" t="str">
            <v>-</v>
          </cell>
          <cell r="X2076" t="str">
            <v>CLP PG 220 (-25/+80°C)</v>
          </cell>
          <cell r="Y2076" t="str">
            <v>KH77/T DRN132S4 /RS /TF</v>
          </cell>
          <cell r="Z2076" t="str">
            <v>SEW</v>
          </cell>
          <cell r="AB2076" t="str">
            <v>-</v>
          </cell>
          <cell r="AE2076" t="str">
            <v>Temperatura ambiente +60°C</v>
          </cell>
          <cell r="AF2076">
            <v>57</v>
          </cell>
          <cell r="AG2076" t="str">
            <v>DRN132S4</v>
          </cell>
          <cell r="AH2076" t="str">
            <v>KH77T-DRN132S4A270-X</v>
          </cell>
        </row>
        <row r="2077">
          <cell r="A2077" t="str">
            <v>MR002073</v>
          </cell>
          <cell r="B2077" t="str">
            <v>MR</v>
          </cell>
          <cell r="C2077">
            <v>0.75</v>
          </cell>
          <cell r="D2077">
            <v>162</v>
          </cell>
          <cell r="E2077" t="str">
            <v>KA37</v>
          </cell>
          <cell r="F2077">
            <v>44</v>
          </cell>
          <cell r="G2077">
            <v>8.91</v>
          </cell>
          <cell r="H2077">
            <v>3.6</v>
          </cell>
          <cell r="I2077" t="str">
            <v>From M1A to M2A - 10°</v>
          </cell>
          <cell r="J2077" t="str">
            <v>IE3</v>
          </cell>
          <cell r="K2077">
            <v>400</v>
          </cell>
          <cell r="L2077">
            <v>50</v>
          </cell>
          <cell r="M2077">
            <v>1.75</v>
          </cell>
          <cell r="N2077">
            <v>65</v>
          </cell>
          <cell r="O2077" t="str">
            <v>155(F)</v>
          </cell>
          <cell r="P2077" t="str">
            <v>180°</v>
          </cell>
          <cell r="Q2077" t="str">
            <v>-</v>
          </cell>
          <cell r="R2077" t="str">
            <v>-</v>
          </cell>
          <cell r="S2077" t="str">
            <v>-</v>
          </cell>
          <cell r="T2077" t="str">
            <v>-</v>
          </cell>
          <cell r="U2077" t="str">
            <v>T</v>
          </cell>
          <cell r="V2077" t="str">
            <v>D</v>
          </cell>
          <cell r="W2077" t="str">
            <v>-</v>
          </cell>
          <cell r="X2077" t="str">
            <v>CLP PG 220 (-25/+80°C)</v>
          </cell>
          <cell r="Y2077" t="str">
            <v>KA37/T DRN80M4</v>
          </cell>
          <cell r="Z2077" t="str">
            <v>SEW</v>
          </cell>
          <cell r="AB2077" t="str">
            <v>-</v>
          </cell>
          <cell r="AE2077" t="str">
            <v>Temperatura ambiente +60°C</v>
          </cell>
          <cell r="AF2077">
            <v>162</v>
          </cell>
          <cell r="AG2077" t="str">
            <v>DRN80M4</v>
          </cell>
          <cell r="AH2077" t="str">
            <v>KA37T-DRN80M4A180-X</v>
          </cell>
        </row>
        <row r="2078">
          <cell r="A2078" t="str">
            <v>MR002074</v>
          </cell>
          <cell r="B2078" t="str">
            <v>MR</v>
          </cell>
          <cell r="C2078">
            <v>7.5</v>
          </cell>
          <cell r="D2078">
            <v>57</v>
          </cell>
          <cell r="E2078" t="str">
            <v>KH77</v>
          </cell>
          <cell r="F2078">
            <v>1250</v>
          </cell>
          <cell r="G2078">
            <v>25.62</v>
          </cell>
          <cell r="H2078">
            <v>1.25</v>
          </cell>
          <cell r="I2078" t="str">
            <v>M4B</v>
          </cell>
          <cell r="J2078" t="str">
            <v>IE3</v>
          </cell>
          <cell r="K2078">
            <v>400</v>
          </cell>
          <cell r="L2078">
            <v>50</v>
          </cell>
          <cell r="M2078">
            <v>15.2</v>
          </cell>
          <cell r="N2078">
            <v>65</v>
          </cell>
          <cell r="O2078" t="str">
            <v>155(F)</v>
          </cell>
          <cell r="P2078" t="str">
            <v>270°</v>
          </cell>
          <cell r="Q2078" t="str">
            <v>TF</v>
          </cell>
          <cell r="R2078" t="str">
            <v>-</v>
          </cell>
          <cell r="S2078" t="str">
            <v>Free rotation CW</v>
          </cell>
          <cell r="T2078" t="str">
            <v>-</v>
          </cell>
          <cell r="U2078" t="str">
            <v>T</v>
          </cell>
          <cell r="V2078" t="str">
            <v>SS</v>
          </cell>
          <cell r="W2078" t="str">
            <v>-</v>
          </cell>
          <cell r="X2078" t="str">
            <v>CLP PG 220 (-25/+80°C)</v>
          </cell>
          <cell r="Y2078" t="str">
            <v>KH77/T DRN132M4 /RS /TF</v>
          </cell>
          <cell r="Z2078" t="str">
            <v>SEW</v>
          </cell>
          <cell r="AB2078" t="str">
            <v>-</v>
          </cell>
          <cell r="AE2078" t="str">
            <v>Temperatura ambiente +60°C</v>
          </cell>
          <cell r="AF2078">
            <v>57</v>
          </cell>
          <cell r="AG2078" t="str">
            <v>DRN132M4</v>
          </cell>
          <cell r="AH2078" t="str">
            <v>KH77T-DRN132M4B270-X</v>
          </cell>
        </row>
        <row r="2079">
          <cell r="A2079" t="str">
            <v>MR002075</v>
          </cell>
          <cell r="B2079" t="str">
            <v>MR</v>
          </cell>
          <cell r="C2079">
            <v>0.75</v>
          </cell>
          <cell r="D2079">
            <v>162</v>
          </cell>
          <cell r="E2079" t="str">
            <v>KA37</v>
          </cell>
          <cell r="F2079">
            <v>44</v>
          </cell>
          <cell r="G2079">
            <v>8.91</v>
          </cell>
          <cell r="H2079">
            <v>3.6</v>
          </cell>
          <cell r="I2079" t="str">
            <v>From M1B to M2B - 25°</v>
          </cell>
          <cell r="J2079" t="str">
            <v>IE3</v>
          </cell>
          <cell r="K2079">
            <v>400</v>
          </cell>
          <cell r="L2079">
            <v>50</v>
          </cell>
          <cell r="M2079">
            <v>1.75</v>
          </cell>
          <cell r="N2079">
            <v>65</v>
          </cell>
          <cell r="O2079" t="str">
            <v>155(F)</v>
          </cell>
          <cell r="P2079" t="str">
            <v>0°</v>
          </cell>
          <cell r="Q2079" t="str">
            <v>-</v>
          </cell>
          <cell r="R2079" t="str">
            <v>-</v>
          </cell>
          <cell r="S2079" t="str">
            <v>-</v>
          </cell>
          <cell r="T2079" t="str">
            <v>-</v>
          </cell>
          <cell r="U2079" t="str">
            <v>T</v>
          </cell>
          <cell r="V2079" t="str">
            <v>D</v>
          </cell>
          <cell r="W2079" t="str">
            <v>-</v>
          </cell>
          <cell r="X2079" t="str">
            <v>CLP PG 220 (-25/+80°C)</v>
          </cell>
          <cell r="Y2079" t="str">
            <v>KA37/T DRN80M4</v>
          </cell>
          <cell r="Z2079" t="str">
            <v>SEW</v>
          </cell>
          <cell r="AB2079" t="str">
            <v>-</v>
          </cell>
          <cell r="AE2079" t="str">
            <v>Temperatura ambiente +60°C</v>
          </cell>
          <cell r="AF2079">
            <v>162</v>
          </cell>
          <cell r="AG2079" t="str">
            <v>DRN80M4</v>
          </cell>
          <cell r="AH2079" t="str">
            <v>KA37T-DRN80M4B0-X</v>
          </cell>
        </row>
        <row r="2080">
          <cell r="A2080" t="str">
            <v>MR002076</v>
          </cell>
          <cell r="B2080" t="str">
            <v>MR</v>
          </cell>
          <cell r="C2080">
            <v>3</v>
          </cell>
          <cell r="D2080">
            <v>57</v>
          </cell>
          <cell r="E2080" t="str">
            <v>KH77</v>
          </cell>
          <cell r="F2080">
            <v>505</v>
          </cell>
          <cell r="G2080">
            <v>25.62</v>
          </cell>
          <cell r="H2080">
            <v>3.1</v>
          </cell>
          <cell r="I2080" t="str">
            <v>M4B</v>
          </cell>
          <cell r="J2080" t="str">
            <v>IE3</v>
          </cell>
          <cell r="K2080">
            <v>400</v>
          </cell>
          <cell r="L2080">
            <v>50</v>
          </cell>
          <cell r="M2080">
            <v>6.4</v>
          </cell>
          <cell r="N2080">
            <v>65</v>
          </cell>
          <cell r="O2080" t="str">
            <v>155(F)</v>
          </cell>
          <cell r="P2080" t="str">
            <v>270°</v>
          </cell>
          <cell r="Q2080" t="str">
            <v>TF</v>
          </cell>
          <cell r="R2080" t="str">
            <v>-</v>
          </cell>
          <cell r="S2080" t="str">
            <v>-</v>
          </cell>
          <cell r="T2080" t="str">
            <v>-</v>
          </cell>
          <cell r="U2080" t="str">
            <v>T</v>
          </cell>
          <cell r="V2080" t="str">
            <v>SS+R</v>
          </cell>
          <cell r="W2080" t="str">
            <v>-</v>
          </cell>
          <cell r="X2080" t="str">
            <v>CLP PG 220 (-25/+80°C)</v>
          </cell>
          <cell r="Y2080" t="str">
            <v>KH77/T DRN100L4 /TF</v>
          </cell>
          <cell r="Z2080" t="str">
            <v>SEW</v>
          </cell>
          <cell r="AB2080" t="str">
            <v>-</v>
          </cell>
          <cell r="AE2080" t="str">
            <v>Temperatura ambiente +60°C</v>
          </cell>
          <cell r="AF2080">
            <v>57</v>
          </cell>
          <cell r="AG2080" t="str">
            <v>DRN100L4</v>
          </cell>
          <cell r="AH2080" t="str">
            <v>KH77T-DRN100L4B270-X</v>
          </cell>
        </row>
        <row r="2081">
          <cell r="A2081" t="str">
            <v>MR002077</v>
          </cell>
          <cell r="B2081" t="str">
            <v>MR</v>
          </cell>
          <cell r="C2081">
            <v>3</v>
          </cell>
          <cell r="D2081">
            <v>57</v>
          </cell>
          <cell r="E2081" t="str">
            <v>KH77</v>
          </cell>
          <cell r="F2081">
            <v>505</v>
          </cell>
          <cell r="G2081">
            <v>25.62</v>
          </cell>
          <cell r="H2081">
            <v>3.1</v>
          </cell>
          <cell r="I2081" t="str">
            <v>M4A</v>
          </cell>
          <cell r="J2081" t="str">
            <v>IE3</v>
          </cell>
          <cell r="K2081">
            <v>400</v>
          </cell>
          <cell r="L2081">
            <v>50</v>
          </cell>
          <cell r="M2081">
            <v>6.4</v>
          </cell>
          <cell r="N2081">
            <v>65</v>
          </cell>
          <cell r="O2081" t="str">
            <v>155(F)</v>
          </cell>
          <cell r="P2081" t="str">
            <v>270°</v>
          </cell>
          <cell r="Q2081" t="str">
            <v>TF</v>
          </cell>
          <cell r="R2081" t="str">
            <v>-</v>
          </cell>
          <cell r="S2081" t="str">
            <v>-</v>
          </cell>
          <cell r="T2081" t="str">
            <v>-</v>
          </cell>
          <cell r="U2081" t="str">
            <v>T</v>
          </cell>
          <cell r="V2081" t="str">
            <v>SS+R</v>
          </cell>
          <cell r="W2081" t="str">
            <v>-</v>
          </cell>
          <cell r="X2081" t="str">
            <v>CLP PG 220 (-25/+80°C)</v>
          </cell>
          <cell r="Y2081" t="str">
            <v>KH77/T DRN100L4 /TF</v>
          </cell>
          <cell r="Z2081" t="str">
            <v>SEW</v>
          </cell>
          <cell r="AB2081" t="str">
            <v>-</v>
          </cell>
          <cell r="AE2081" t="str">
            <v>Temperatura ambiente +60°C</v>
          </cell>
          <cell r="AF2081">
            <v>57</v>
          </cell>
          <cell r="AG2081" t="str">
            <v>DRN100L4</v>
          </cell>
          <cell r="AH2081" t="str">
            <v>KH77T-DRN100L4A270-X</v>
          </cell>
        </row>
        <row r="2082">
          <cell r="A2082" t="str">
            <v>MR002078</v>
          </cell>
          <cell r="B2082" t="str">
            <v>MR</v>
          </cell>
          <cell r="C2082">
            <v>18.5</v>
          </cell>
          <cell r="D2082">
            <v>40</v>
          </cell>
          <cell r="E2082" t="str">
            <v>R127</v>
          </cell>
          <cell r="F2082">
            <v>4400</v>
          </cell>
          <cell r="G2082">
            <v>36.880000000000003</v>
          </cell>
          <cell r="H2082">
            <v>1.3</v>
          </cell>
          <cell r="I2082" t="str">
            <v>M1</v>
          </cell>
          <cell r="J2082" t="str">
            <v>IE3</v>
          </cell>
          <cell r="K2082">
            <v>400</v>
          </cell>
          <cell r="L2082">
            <v>50</v>
          </cell>
          <cell r="M2082">
            <v>33.5</v>
          </cell>
          <cell r="N2082">
            <v>65</v>
          </cell>
          <cell r="O2082" t="str">
            <v>155(F)</v>
          </cell>
          <cell r="P2082" t="str">
            <v>270°</v>
          </cell>
          <cell r="Q2082" t="str">
            <v>TF</v>
          </cell>
          <cell r="R2082" t="str">
            <v>V(VE)</v>
          </cell>
          <cell r="S2082" t="str">
            <v>-</v>
          </cell>
          <cell r="T2082" t="str">
            <v>-</v>
          </cell>
          <cell r="U2082" t="str">
            <v>-</v>
          </cell>
          <cell r="V2082" t="str">
            <v>FC</v>
          </cell>
          <cell r="W2082" t="str">
            <v>-</v>
          </cell>
          <cell r="X2082" t="str">
            <v>CLP PG 220 (-25/+80°C)</v>
          </cell>
          <cell r="Y2082" t="str">
            <v>R127DRN180M4 /TF/V</v>
          </cell>
          <cell r="Z2082" t="str">
            <v>SEW</v>
          </cell>
          <cell r="AB2082" t="str">
            <v>-</v>
          </cell>
          <cell r="AE2082" t="str">
            <v>Temperatura ambiente +60°C</v>
          </cell>
          <cell r="AF2082">
            <v>40</v>
          </cell>
          <cell r="AG2082" t="str">
            <v>DRN180M4</v>
          </cell>
          <cell r="AH2082" t="str">
            <v>R127-DRN180M4270-X#</v>
          </cell>
        </row>
        <row r="2083">
          <cell r="A2083" t="str">
            <v>MR002079</v>
          </cell>
          <cell r="B2083" t="str">
            <v>MR</v>
          </cell>
          <cell r="C2083">
            <v>9.1999999999999993</v>
          </cell>
          <cell r="D2083">
            <v>15</v>
          </cell>
          <cell r="E2083" t="str">
            <v>KH107</v>
          </cell>
          <cell r="F2083">
            <v>6020</v>
          </cell>
          <cell r="G2083">
            <v>100.75</v>
          </cell>
          <cell r="H2083">
            <v>1.35</v>
          </cell>
          <cell r="I2083" t="str">
            <v>From M1A to M2A - 25°</v>
          </cell>
          <cell r="J2083" t="str">
            <v>IE3</v>
          </cell>
          <cell r="K2083">
            <v>400</v>
          </cell>
          <cell r="L2083">
            <v>50</v>
          </cell>
          <cell r="M2083">
            <v>18.7</v>
          </cell>
          <cell r="N2083">
            <v>65</v>
          </cell>
          <cell r="O2083" t="str">
            <v>155(F)</v>
          </cell>
          <cell r="P2083" t="str">
            <v>180°</v>
          </cell>
          <cell r="Q2083" t="str">
            <v>TF</v>
          </cell>
          <cell r="R2083" t="str">
            <v>-</v>
          </cell>
          <cell r="S2083" t="str">
            <v>-</v>
          </cell>
          <cell r="T2083" t="str">
            <v>-</v>
          </cell>
          <cell r="U2083" t="str">
            <v>-</v>
          </cell>
          <cell r="V2083" t="str">
            <v>SS</v>
          </cell>
          <cell r="W2083" t="str">
            <v>-</v>
          </cell>
          <cell r="X2083" t="str">
            <v>CLP PG 220 (-25/+80°C)</v>
          </cell>
          <cell r="Y2083" t="str">
            <v>KH107DRN132L4 /TF</v>
          </cell>
          <cell r="Z2083" t="str">
            <v>SEW</v>
          </cell>
          <cell r="AB2083" t="str">
            <v>-</v>
          </cell>
          <cell r="AE2083" t="str">
            <v>Temperatura ambiente +60°C</v>
          </cell>
          <cell r="AF2083">
            <v>15</v>
          </cell>
          <cell r="AG2083" t="str">
            <v>DRN132L4</v>
          </cell>
          <cell r="AH2083" t="str">
            <v>KH107-DRN132L4A180-X</v>
          </cell>
        </row>
        <row r="2084">
          <cell r="A2084" t="str">
            <v>MR002080</v>
          </cell>
          <cell r="B2084" t="str">
            <v>MR</v>
          </cell>
          <cell r="C2084">
            <v>9.1999999999999993</v>
          </cell>
          <cell r="D2084">
            <v>15</v>
          </cell>
          <cell r="E2084" t="str">
            <v>KH107</v>
          </cell>
          <cell r="F2084">
            <v>6020</v>
          </cell>
          <cell r="G2084">
            <v>100.75</v>
          </cell>
          <cell r="H2084">
            <v>1.35</v>
          </cell>
          <cell r="I2084" t="str">
            <v>From M1B to M2B - 25°</v>
          </cell>
          <cell r="J2084" t="str">
            <v>IE3</v>
          </cell>
          <cell r="K2084">
            <v>400</v>
          </cell>
          <cell r="L2084">
            <v>50</v>
          </cell>
          <cell r="M2084">
            <v>18.7</v>
          </cell>
          <cell r="N2084">
            <v>65</v>
          </cell>
          <cell r="O2084" t="str">
            <v>155(F)</v>
          </cell>
          <cell r="P2084" t="str">
            <v>0°</v>
          </cell>
          <cell r="Q2084" t="str">
            <v>TF</v>
          </cell>
          <cell r="R2084" t="str">
            <v>-</v>
          </cell>
          <cell r="S2084" t="str">
            <v>-</v>
          </cell>
          <cell r="T2084" t="str">
            <v>-</v>
          </cell>
          <cell r="U2084" t="str">
            <v>-</v>
          </cell>
          <cell r="V2084" t="str">
            <v>SS</v>
          </cell>
          <cell r="W2084" t="str">
            <v>-</v>
          </cell>
          <cell r="X2084" t="str">
            <v>CLP PG 220 (-25/+80°C)</v>
          </cell>
          <cell r="Y2084" t="str">
            <v>KH107DRN132L4 /TF</v>
          </cell>
          <cell r="Z2084" t="str">
            <v>SEW</v>
          </cell>
          <cell r="AB2084" t="str">
            <v>-</v>
          </cell>
          <cell r="AE2084" t="str">
            <v>Temperatura ambiente +60°C</v>
          </cell>
          <cell r="AF2084">
            <v>15</v>
          </cell>
          <cell r="AG2084" t="str">
            <v>DRN132L4</v>
          </cell>
          <cell r="AH2084" t="str">
            <v>KH107-DRN132L4B0-X</v>
          </cell>
        </row>
        <row r="2085">
          <cell r="A2085" t="str">
            <v>MR002081</v>
          </cell>
          <cell r="B2085" t="str">
            <v>MR</v>
          </cell>
          <cell r="C2085">
            <v>22</v>
          </cell>
          <cell r="D2085">
            <v>21</v>
          </cell>
          <cell r="E2085" t="str">
            <v>KH127</v>
          </cell>
          <cell r="F2085">
            <v>10000</v>
          </cell>
          <cell r="G2085">
            <v>70.95</v>
          </cell>
          <cell r="H2085">
            <v>1.3</v>
          </cell>
          <cell r="I2085" t="str">
            <v>From M4A to M1A - 35°</v>
          </cell>
          <cell r="J2085" t="str">
            <v>IE3</v>
          </cell>
          <cell r="K2085">
            <v>400</v>
          </cell>
          <cell r="L2085">
            <v>50</v>
          </cell>
          <cell r="M2085">
            <v>38.5</v>
          </cell>
          <cell r="N2085">
            <v>65</v>
          </cell>
          <cell r="O2085" t="str">
            <v>155(F)</v>
          </cell>
          <cell r="P2085" t="str">
            <v>0°</v>
          </cell>
          <cell r="Q2085" t="str">
            <v>TF</v>
          </cell>
          <cell r="R2085" t="str">
            <v>-</v>
          </cell>
          <cell r="S2085" t="str">
            <v>-</v>
          </cell>
          <cell r="T2085" t="str">
            <v>-</v>
          </cell>
          <cell r="U2085" t="str">
            <v>-</v>
          </cell>
          <cell r="V2085" t="str">
            <v>SS</v>
          </cell>
          <cell r="W2085" t="str">
            <v>-</v>
          </cell>
          <cell r="X2085" t="str">
            <v>CLP PG 220 (-25/+80°C)</v>
          </cell>
          <cell r="Y2085" t="str">
            <v>KH127DRN180L4 /TF</v>
          </cell>
          <cell r="Z2085" t="str">
            <v>SEW</v>
          </cell>
          <cell r="AB2085" t="str">
            <v>-</v>
          </cell>
          <cell r="AE2085" t="str">
            <v>Temperatura ambiente +60°C</v>
          </cell>
          <cell r="AF2085">
            <v>21</v>
          </cell>
          <cell r="AG2085" t="str">
            <v>DRN180L4</v>
          </cell>
          <cell r="AH2085" t="str">
            <v>KH127-DRN180L4A0-X</v>
          </cell>
        </row>
        <row r="2086">
          <cell r="A2086" t="str">
            <v>MR002082</v>
          </cell>
          <cell r="B2086" t="str">
            <v>MR</v>
          </cell>
          <cell r="C2086">
            <v>0.75</v>
          </cell>
          <cell r="D2086">
            <v>162</v>
          </cell>
          <cell r="E2086" t="str">
            <v>KA37</v>
          </cell>
          <cell r="F2086">
            <v>44</v>
          </cell>
          <cell r="G2086">
            <v>8.91</v>
          </cell>
          <cell r="H2086">
            <v>3.6</v>
          </cell>
          <cell r="I2086" t="str">
            <v>M1A</v>
          </cell>
          <cell r="J2086" t="str">
            <v>IE3</v>
          </cell>
          <cell r="K2086">
            <v>400</v>
          </cell>
          <cell r="L2086">
            <v>50</v>
          </cell>
          <cell r="M2086">
            <v>1.75</v>
          </cell>
          <cell r="N2086">
            <v>65</v>
          </cell>
          <cell r="O2086" t="str">
            <v>155(F)</v>
          </cell>
          <cell r="P2086" t="str">
            <v>180°</v>
          </cell>
          <cell r="Q2086" t="str">
            <v>-</v>
          </cell>
          <cell r="R2086" t="str">
            <v>-</v>
          </cell>
          <cell r="S2086" t="str">
            <v>-</v>
          </cell>
          <cell r="T2086" t="str">
            <v>-</v>
          </cell>
          <cell r="U2086" t="str">
            <v>T</v>
          </cell>
          <cell r="V2086" t="str">
            <v>D</v>
          </cell>
          <cell r="W2086" t="str">
            <v>-</v>
          </cell>
          <cell r="X2086" t="str">
            <v>CLP PG 220 (-25/+80°C)</v>
          </cell>
          <cell r="Y2086" t="str">
            <v>KA37/T DRN80M4</v>
          </cell>
          <cell r="Z2086" t="str">
            <v>SEW</v>
          </cell>
          <cell r="AB2086" t="str">
            <v>-</v>
          </cell>
          <cell r="AE2086" t="str">
            <v>Temperatura ambiente +60°C</v>
          </cell>
          <cell r="AF2086">
            <v>162</v>
          </cell>
          <cell r="AG2086" t="str">
            <v>DRN80M4</v>
          </cell>
          <cell r="AH2086" t="str">
            <v>KA37T-DRN80M4A180-X</v>
          </cell>
        </row>
        <row r="2087">
          <cell r="A2087" t="str">
            <v>MR002083</v>
          </cell>
          <cell r="B2087" t="str">
            <v>MR</v>
          </cell>
          <cell r="C2087">
            <v>15</v>
          </cell>
          <cell r="D2087">
            <v>59</v>
          </cell>
          <cell r="E2087" t="str">
            <v>KH87</v>
          </cell>
          <cell r="F2087">
            <v>2420</v>
          </cell>
          <cell r="G2087">
            <v>24.92</v>
          </cell>
          <cell r="H2087">
            <v>1.05</v>
          </cell>
          <cell r="I2087" t="str">
            <v>M4A</v>
          </cell>
          <cell r="J2087" t="str">
            <v>IE3</v>
          </cell>
          <cell r="K2087">
            <v>400</v>
          </cell>
          <cell r="L2087">
            <v>50</v>
          </cell>
          <cell r="M2087">
            <v>29</v>
          </cell>
          <cell r="N2087">
            <v>65</v>
          </cell>
          <cell r="O2087" t="str">
            <v>155(F)</v>
          </cell>
          <cell r="P2087" t="str">
            <v>270°</v>
          </cell>
          <cell r="Q2087" t="str">
            <v>TF</v>
          </cell>
          <cell r="R2087" t="str">
            <v>-</v>
          </cell>
          <cell r="S2087" t="str">
            <v>Free rotation CCW</v>
          </cell>
          <cell r="T2087" t="str">
            <v>-</v>
          </cell>
          <cell r="U2087" t="str">
            <v>T</v>
          </cell>
          <cell r="V2087" t="str">
            <v>SS</v>
          </cell>
          <cell r="W2087" t="str">
            <v>-</v>
          </cell>
          <cell r="X2087" t="str">
            <v>CLP PG 220 (-25/+80°C)</v>
          </cell>
          <cell r="Y2087" t="str">
            <v>KH87/T DRN160L4 /RS /TF</v>
          </cell>
          <cell r="Z2087" t="str">
            <v>SEW</v>
          </cell>
          <cell r="AB2087" t="str">
            <v>-</v>
          </cell>
          <cell r="AE2087" t="str">
            <v>Temperatura ambiente +60°C</v>
          </cell>
          <cell r="AF2087">
            <v>59</v>
          </cell>
          <cell r="AG2087" t="str">
            <v>DRN160L4</v>
          </cell>
          <cell r="AH2087" t="str">
            <v>KH87T-DRN160L4A270-X</v>
          </cell>
        </row>
        <row r="2088">
          <cell r="A2088" t="str">
            <v>MR002084</v>
          </cell>
          <cell r="B2088" t="str">
            <v>MR</v>
          </cell>
          <cell r="C2088">
            <v>0.75</v>
          </cell>
          <cell r="D2088">
            <v>162</v>
          </cell>
          <cell r="E2088" t="str">
            <v>KA37</v>
          </cell>
          <cell r="F2088">
            <v>44</v>
          </cell>
          <cell r="G2088">
            <v>8.91</v>
          </cell>
          <cell r="H2088">
            <v>3.6</v>
          </cell>
          <cell r="I2088" t="str">
            <v>From M1B to M2B - 15°</v>
          </cell>
          <cell r="J2088" t="str">
            <v>IE3</v>
          </cell>
          <cell r="K2088" t="str">
            <v>230/400</v>
          </cell>
          <cell r="L2088">
            <v>50</v>
          </cell>
          <cell r="M2088" t="str">
            <v>3,05/1,75</v>
          </cell>
          <cell r="N2088">
            <v>65</v>
          </cell>
          <cell r="O2088" t="str">
            <v>155(F)</v>
          </cell>
          <cell r="P2088" t="str">
            <v>0°</v>
          </cell>
          <cell r="Q2088" t="str">
            <v>-</v>
          </cell>
          <cell r="R2088" t="str">
            <v>-</v>
          </cell>
          <cell r="S2088" t="str">
            <v>-</v>
          </cell>
          <cell r="T2088" t="str">
            <v>-</v>
          </cell>
          <cell r="U2088" t="str">
            <v>T</v>
          </cell>
          <cell r="V2088" t="str">
            <v>D</v>
          </cell>
          <cell r="W2088" t="str">
            <v>-</v>
          </cell>
          <cell r="X2088" t="str">
            <v>CLP PG 220 (-25/+80°C)</v>
          </cell>
          <cell r="Y2088" t="str">
            <v>KA37/T DRN80M4</v>
          </cell>
          <cell r="Z2088" t="str">
            <v>SEW</v>
          </cell>
          <cell r="AB2088" t="str">
            <v>-</v>
          </cell>
          <cell r="AE2088" t="str">
            <v>Temperatura ambiente +60°C</v>
          </cell>
          <cell r="AF2088">
            <v>162</v>
          </cell>
          <cell r="AG2088" t="str">
            <v>DRN80M4</v>
          </cell>
          <cell r="AH2088" t="str">
            <v>KA37T-DRN80M4B0-X</v>
          </cell>
        </row>
        <row r="2089">
          <cell r="A2089" t="str">
            <v>MR002085</v>
          </cell>
          <cell r="B2089" t="str">
            <v>MR</v>
          </cell>
          <cell r="C2089">
            <v>15</v>
          </cell>
          <cell r="D2089">
            <v>16</v>
          </cell>
          <cell r="E2089" t="str">
            <v>KH127</v>
          </cell>
          <cell r="F2089">
            <v>8730</v>
          </cell>
          <cell r="G2089">
            <v>89.89</v>
          </cell>
          <cell r="H2089">
            <v>1.5</v>
          </cell>
          <cell r="I2089" t="str">
            <v>From M4A to M1A - 40°</v>
          </cell>
          <cell r="J2089" t="str">
            <v>IE3</v>
          </cell>
          <cell r="K2089">
            <v>400</v>
          </cell>
          <cell r="L2089">
            <v>50</v>
          </cell>
          <cell r="M2089">
            <v>29</v>
          </cell>
          <cell r="N2089">
            <v>65</v>
          </cell>
          <cell r="O2089" t="str">
            <v>155(F)</v>
          </cell>
          <cell r="P2089" t="str">
            <v>270°</v>
          </cell>
          <cell r="Q2089" t="str">
            <v>TF</v>
          </cell>
          <cell r="R2089" t="str">
            <v>-</v>
          </cell>
          <cell r="S2089" t="str">
            <v>-</v>
          </cell>
          <cell r="T2089" t="str">
            <v>-</v>
          </cell>
          <cell r="U2089" t="str">
            <v>-</v>
          </cell>
          <cell r="V2089" t="str">
            <v>SS</v>
          </cell>
          <cell r="W2089" t="str">
            <v>-</v>
          </cell>
          <cell r="X2089" t="str">
            <v>CLP PG 220 (-25/+80°C)</v>
          </cell>
          <cell r="Y2089" t="str">
            <v>KH127DRN160L4 /TF</v>
          </cell>
          <cell r="Z2089" t="str">
            <v>SEW</v>
          </cell>
          <cell r="AB2089" t="str">
            <v>-</v>
          </cell>
          <cell r="AE2089" t="str">
            <v>Temperatura ambiente +60°C</v>
          </cell>
          <cell r="AF2089">
            <v>16</v>
          </cell>
          <cell r="AG2089" t="str">
            <v>DRN160L4</v>
          </cell>
          <cell r="AH2089" t="str">
            <v>KH127-DRN160L4A270-X</v>
          </cell>
        </row>
        <row r="2090">
          <cell r="A2090" t="str">
            <v>MR002086</v>
          </cell>
          <cell r="B2090" t="str">
            <v>MR</v>
          </cell>
          <cell r="C2090">
            <v>5.5</v>
          </cell>
          <cell r="D2090">
            <v>62</v>
          </cell>
          <cell r="E2090" t="str">
            <v>R87</v>
          </cell>
          <cell r="F2090">
            <v>840</v>
          </cell>
          <cell r="G2090">
            <v>23.4</v>
          </cell>
          <cell r="H2090">
            <v>1.85</v>
          </cell>
          <cell r="I2090" t="str">
            <v>From M1 to M4 - 15°</v>
          </cell>
          <cell r="J2090" t="str">
            <v>IE3</v>
          </cell>
          <cell r="K2090">
            <v>400</v>
          </cell>
          <cell r="L2090">
            <v>50</v>
          </cell>
          <cell r="M2090">
            <v>10.5</v>
          </cell>
          <cell r="N2090">
            <v>65</v>
          </cell>
          <cell r="O2090" t="str">
            <v>155(F)</v>
          </cell>
          <cell r="P2090" t="str">
            <v>270°</v>
          </cell>
          <cell r="Q2090" t="str">
            <v>-</v>
          </cell>
          <cell r="R2090" t="str">
            <v>-</v>
          </cell>
          <cell r="S2090" t="str">
            <v>-</v>
          </cell>
          <cell r="T2090" t="str">
            <v>-</v>
          </cell>
          <cell r="U2090" t="str">
            <v>-</v>
          </cell>
          <cell r="V2090" t="str">
            <v>D</v>
          </cell>
          <cell r="W2090" t="str">
            <v>-</v>
          </cell>
          <cell r="X2090" t="str">
            <v>CLP PG 220 (-25/+80°C)</v>
          </cell>
          <cell r="Y2090" t="str">
            <v>R87DRN132S4</v>
          </cell>
          <cell r="Z2090" t="str">
            <v>SEW</v>
          </cell>
          <cell r="AB2090" t="str">
            <v>-</v>
          </cell>
          <cell r="AE2090" t="str">
            <v>Temperatura ambiente +60°C</v>
          </cell>
          <cell r="AF2090">
            <v>62</v>
          </cell>
          <cell r="AG2090" t="str">
            <v>DRN132S4</v>
          </cell>
          <cell r="AH2090" t="str">
            <v>R87-DRN132S4270-X</v>
          </cell>
        </row>
        <row r="2091">
          <cell r="A2091" t="str">
            <v>MR002087</v>
          </cell>
          <cell r="B2091" t="str">
            <v>MR</v>
          </cell>
          <cell r="C2091">
            <v>2.2000000000000002</v>
          </cell>
          <cell r="D2091">
            <v>62</v>
          </cell>
          <cell r="E2091" t="str">
            <v>R77</v>
          </cell>
          <cell r="F2091">
            <v>335</v>
          </cell>
          <cell r="G2091">
            <v>23.37</v>
          </cell>
          <cell r="H2091">
            <v>2.4</v>
          </cell>
          <cell r="I2091" t="str">
            <v>From M1 to M4 - 15°</v>
          </cell>
          <cell r="J2091" t="str">
            <v>IE3</v>
          </cell>
          <cell r="K2091">
            <v>400</v>
          </cell>
          <cell r="L2091">
            <v>50</v>
          </cell>
          <cell r="M2091">
            <v>4.75</v>
          </cell>
          <cell r="N2091">
            <v>65</v>
          </cell>
          <cell r="O2091" t="str">
            <v>155(F)</v>
          </cell>
          <cell r="P2091" t="str">
            <v>270°</v>
          </cell>
          <cell r="Q2091" t="str">
            <v>-</v>
          </cell>
          <cell r="R2091" t="str">
            <v>-</v>
          </cell>
          <cell r="S2091" t="str">
            <v>-</v>
          </cell>
          <cell r="T2091" t="str">
            <v>-</v>
          </cell>
          <cell r="U2091" t="str">
            <v>-</v>
          </cell>
          <cell r="V2091" t="str">
            <v>D</v>
          </cell>
          <cell r="W2091" t="str">
            <v>-</v>
          </cell>
          <cell r="X2091" t="str">
            <v>CLP PG 220 (-25/+80°C)</v>
          </cell>
          <cell r="Y2091" t="str">
            <v>R77DRN100LS4</v>
          </cell>
          <cell r="Z2091" t="str">
            <v>SEW</v>
          </cell>
          <cell r="AB2091" t="str">
            <v>-</v>
          </cell>
          <cell r="AE2091" t="str">
            <v>Temperatura ambiente +60°C</v>
          </cell>
          <cell r="AF2091">
            <v>62</v>
          </cell>
          <cell r="AG2091" t="str">
            <v>DRN100LS4</v>
          </cell>
          <cell r="AH2091" t="str">
            <v>R77-DRN100LS4270-X</v>
          </cell>
        </row>
        <row r="2092">
          <cell r="A2092" t="str">
            <v>MR002088</v>
          </cell>
          <cell r="B2092" t="str">
            <v>MR</v>
          </cell>
          <cell r="C2092">
            <v>4</v>
          </cell>
          <cell r="D2092">
            <v>57</v>
          </cell>
          <cell r="E2092" t="str">
            <v>KH77</v>
          </cell>
          <cell r="F2092">
            <v>670</v>
          </cell>
          <cell r="G2092">
            <v>25.62</v>
          </cell>
          <cell r="H2092">
            <v>2.2999999999999998</v>
          </cell>
          <cell r="I2092" t="str">
            <v>M4A</v>
          </cell>
          <cell r="J2092" t="str">
            <v>IE3</v>
          </cell>
          <cell r="K2092">
            <v>400</v>
          </cell>
          <cell r="L2092">
            <v>50</v>
          </cell>
          <cell r="M2092">
            <v>7.9</v>
          </cell>
          <cell r="N2092">
            <v>65</v>
          </cell>
          <cell r="O2092" t="str">
            <v>155(F)</v>
          </cell>
          <cell r="P2092" t="str">
            <v>270°</v>
          </cell>
          <cell r="Q2092" t="str">
            <v>TF</v>
          </cell>
          <cell r="R2092" t="str">
            <v>-</v>
          </cell>
          <cell r="S2092" t="str">
            <v>-</v>
          </cell>
          <cell r="T2092" t="str">
            <v>BEHF</v>
          </cell>
          <cell r="U2092" t="str">
            <v>T</v>
          </cell>
          <cell r="V2092" t="str">
            <v>SS+R</v>
          </cell>
          <cell r="W2092" t="str">
            <v>-</v>
          </cell>
          <cell r="X2092" t="str">
            <v>CLP PG 220 (-25/+80°C)</v>
          </cell>
          <cell r="Y2092" t="str">
            <v>KH77/T DRN112M4 /BEHF /TF</v>
          </cell>
          <cell r="Z2092" t="str">
            <v>SEW</v>
          </cell>
          <cell r="AB2092" t="str">
            <v>-</v>
          </cell>
          <cell r="AE2092" t="str">
            <v>Temperatura ambiente +60°C</v>
          </cell>
          <cell r="AF2092">
            <v>57</v>
          </cell>
          <cell r="AG2092" t="str">
            <v>DRN112M4</v>
          </cell>
          <cell r="AH2092" t="str">
            <v>KH77T-DRN112M4A270-X</v>
          </cell>
        </row>
        <row r="2093">
          <cell r="A2093" t="str">
            <v>MR002089</v>
          </cell>
          <cell r="B2093" t="str">
            <v>MR</v>
          </cell>
          <cell r="C2093">
            <v>4</v>
          </cell>
          <cell r="D2093">
            <v>57</v>
          </cell>
          <cell r="E2093" t="str">
            <v>KH77</v>
          </cell>
          <cell r="F2093">
            <v>670</v>
          </cell>
          <cell r="G2093">
            <v>25.62</v>
          </cell>
          <cell r="H2093">
            <v>2.2999999999999998</v>
          </cell>
          <cell r="I2093" t="str">
            <v>M4B</v>
          </cell>
          <cell r="J2093" t="str">
            <v>IE3</v>
          </cell>
          <cell r="K2093">
            <v>400</v>
          </cell>
          <cell r="L2093">
            <v>50</v>
          </cell>
          <cell r="M2093">
            <v>7.9</v>
          </cell>
          <cell r="N2093">
            <v>65</v>
          </cell>
          <cell r="O2093" t="str">
            <v>155(F)</v>
          </cell>
          <cell r="P2093" t="str">
            <v>270°</v>
          </cell>
          <cell r="Q2093" t="str">
            <v>TF</v>
          </cell>
          <cell r="R2093" t="str">
            <v>-</v>
          </cell>
          <cell r="S2093" t="str">
            <v>-</v>
          </cell>
          <cell r="T2093" t="str">
            <v>-</v>
          </cell>
          <cell r="U2093" t="str">
            <v>T</v>
          </cell>
          <cell r="V2093" t="str">
            <v>SS+R</v>
          </cell>
          <cell r="W2093" t="str">
            <v>-</v>
          </cell>
          <cell r="X2093" t="str">
            <v>CLP PG 220 (-25/+80°C)</v>
          </cell>
          <cell r="Y2093" t="str">
            <v>KH77/T DRN112M4 /TF</v>
          </cell>
          <cell r="Z2093" t="str">
            <v>SEW</v>
          </cell>
          <cell r="AB2093" t="str">
            <v>-</v>
          </cell>
          <cell r="AE2093" t="str">
            <v>Temperatura ambiente +60°C</v>
          </cell>
          <cell r="AF2093">
            <v>57</v>
          </cell>
          <cell r="AG2093" t="str">
            <v>DRN112M4</v>
          </cell>
          <cell r="AH2093" t="str">
            <v>KH77T-DRN112M4B270-X</v>
          </cell>
        </row>
        <row r="2094">
          <cell r="A2094" t="str">
            <v>MR002090</v>
          </cell>
          <cell r="B2094" t="str">
            <v>MR</v>
          </cell>
          <cell r="C2094">
            <v>5.5</v>
          </cell>
          <cell r="D2094">
            <v>57</v>
          </cell>
          <cell r="E2094" t="str">
            <v>KH77</v>
          </cell>
          <cell r="F2094">
            <v>920</v>
          </cell>
          <cell r="G2094">
            <v>25.62</v>
          </cell>
          <cell r="H2094">
            <v>1.7</v>
          </cell>
          <cell r="I2094" t="str">
            <v>M4A</v>
          </cell>
          <cell r="J2094" t="str">
            <v>IE3</v>
          </cell>
          <cell r="K2094">
            <v>400</v>
          </cell>
          <cell r="L2094">
            <v>50</v>
          </cell>
          <cell r="M2094">
            <v>10.5</v>
          </cell>
          <cell r="N2094">
            <v>65</v>
          </cell>
          <cell r="O2094" t="str">
            <v>155(F)</v>
          </cell>
          <cell r="P2094" t="str">
            <v>270°</v>
          </cell>
          <cell r="Q2094" t="str">
            <v>TF</v>
          </cell>
          <cell r="R2094" t="str">
            <v>-</v>
          </cell>
          <cell r="S2094" t="str">
            <v>-</v>
          </cell>
          <cell r="T2094" t="str">
            <v>-</v>
          </cell>
          <cell r="U2094" t="str">
            <v>T</v>
          </cell>
          <cell r="V2094" t="str">
            <v>SS</v>
          </cell>
          <cell r="W2094" t="str">
            <v>-</v>
          </cell>
          <cell r="X2094" t="str">
            <v>CLP PG 220 (-25/+80°C)</v>
          </cell>
          <cell r="Y2094" t="str">
            <v>KH77/T DRN132S4 /TF</v>
          </cell>
          <cell r="Z2094" t="str">
            <v>SEW</v>
          </cell>
          <cell r="AB2094" t="str">
            <v>-</v>
          </cell>
          <cell r="AE2094" t="str">
            <v>Temperatura ambiente +60°C</v>
          </cell>
          <cell r="AF2094">
            <v>57</v>
          </cell>
          <cell r="AG2094" t="str">
            <v>DRN132S4</v>
          </cell>
          <cell r="AH2094" t="str">
            <v>KH77T-DRN132S4A270-X</v>
          </cell>
        </row>
        <row r="2095">
          <cell r="A2095" t="str">
            <v>MR002091</v>
          </cell>
          <cell r="B2095" t="str">
            <v>MR</v>
          </cell>
          <cell r="C2095">
            <v>7.5</v>
          </cell>
          <cell r="D2095">
            <v>16</v>
          </cell>
          <cell r="E2095" t="str">
            <v>KH107</v>
          </cell>
          <cell r="F2095">
            <v>4430</v>
          </cell>
          <cell r="G2095">
            <v>90.96</v>
          </cell>
          <cell r="H2095">
            <v>1.8</v>
          </cell>
          <cell r="I2095" t="str">
            <v>From M4A to M1A - 40°</v>
          </cell>
          <cell r="J2095" t="str">
            <v>IE3</v>
          </cell>
          <cell r="K2095">
            <v>400</v>
          </cell>
          <cell r="L2095">
            <v>50</v>
          </cell>
          <cell r="M2095">
            <v>15.2</v>
          </cell>
          <cell r="N2095">
            <v>65</v>
          </cell>
          <cell r="O2095" t="str">
            <v>155(F)</v>
          </cell>
          <cell r="P2095" t="str">
            <v>270°</v>
          </cell>
          <cell r="Q2095" t="str">
            <v>TF</v>
          </cell>
          <cell r="R2095" t="str">
            <v>-</v>
          </cell>
          <cell r="S2095" t="str">
            <v>-</v>
          </cell>
          <cell r="T2095" t="str">
            <v>-</v>
          </cell>
          <cell r="U2095" t="str">
            <v>-</v>
          </cell>
          <cell r="V2095" t="str">
            <v>SS</v>
          </cell>
          <cell r="W2095" t="str">
            <v>-</v>
          </cell>
          <cell r="X2095" t="str">
            <v>CLP PG 220 (-25/+80°C)</v>
          </cell>
          <cell r="Y2095" t="str">
            <v>KH107DRN132M4 /TF</v>
          </cell>
          <cell r="Z2095" t="str">
            <v>SEW</v>
          </cell>
          <cell r="AB2095" t="str">
            <v>-</v>
          </cell>
          <cell r="AE2095" t="str">
            <v>Temperatura ambiente +60°C</v>
          </cell>
          <cell r="AF2095">
            <v>16</v>
          </cell>
          <cell r="AG2095" t="str">
            <v>DRN132M4</v>
          </cell>
          <cell r="AH2095" t="str">
            <v>KH107-DRN132M4A270-X</v>
          </cell>
        </row>
        <row r="2096">
          <cell r="A2096" t="str">
            <v>MR002092</v>
          </cell>
          <cell r="B2096" t="str">
            <v>MR</v>
          </cell>
          <cell r="C2096">
            <v>7.5</v>
          </cell>
          <cell r="D2096">
            <v>16</v>
          </cell>
          <cell r="E2096" t="str">
            <v>KH107</v>
          </cell>
          <cell r="F2096">
            <v>4430</v>
          </cell>
          <cell r="G2096">
            <v>90.96</v>
          </cell>
          <cell r="H2096">
            <v>1.8</v>
          </cell>
          <cell r="I2096" t="str">
            <v>From M4A to M1A - 15°</v>
          </cell>
          <cell r="J2096" t="str">
            <v>IE3</v>
          </cell>
          <cell r="K2096">
            <v>400</v>
          </cell>
          <cell r="L2096">
            <v>50</v>
          </cell>
          <cell r="M2096">
            <v>15.2</v>
          </cell>
          <cell r="N2096">
            <v>65</v>
          </cell>
          <cell r="O2096" t="str">
            <v>155(F)</v>
          </cell>
          <cell r="P2096" t="str">
            <v>270°</v>
          </cell>
          <cell r="Q2096" t="str">
            <v>TF</v>
          </cell>
          <cell r="R2096" t="str">
            <v>-</v>
          </cell>
          <cell r="S2096" t="str">
            <v>-</v>
          </cell>
          <cell r="T2096" t="str">
            <v>-</v>
          </cell>
          <cell r="U2096" t="str">
            <v>-</v>
          </cell>
          <cell r="V2096" t="str">
            <v>SS</v>
          </cell>
          <cell r="W2096" t="str">
            <v>-</v>
          </cell>
          <cell r="X2096" t="str">
            <v>CLP PG 220 (-25/+80°C)</v>
          </cell>
          <cell r="Y2096" t="str">
            <v>KH107DRN132M4 /TF</v>
          </cell>
          <cell r="Z2096" t="str">
            <v>SEW</v>
          </cell>
          <cell r="AB2096" t="str">
            <v>-</v>
          </cell>
          <cell r="AE2096" t="str">
            <v>Temperatura ambiente +60°C</v>
          </cell>
          <cell r="AF2096">
            <v>16</v>
          </cell>
          <cell r="AG2096" t="str">
            <v>DRN132M4</v>
          </cell>
          <cell r="AH2096" t="str">
            <v>KH107-DRN132M4A270-X</v>
          </cell>
        </row>
        <row r="2097">
          <cell r="A2097" t="str">
            <v>MR002093</v>
          </cell>
          <cell r="B2097" t="str">
            <v>MR</v>
          </cell>
          <cell r="C2097">
            <v>15</v>
          </cell>
          <cell r="D2097">
            <v>42</v>
          </cell>
          <cell r="E2097" t="str">
            <v>R107</v>
          </cell>
          <cell r="F2097">
            <v>3420</v>
          </cell>
          <cell r="G2097">
            <v>35.26</v>
          </cell>
          <cell r="H2097">
            <v>1.25</v>
          </cell>
          <cell r="I2097" t="str">
            <v>From M1 to M2 - 20°</v>
          </cell>
          <cell r="J2097" t="str">
            <v>IE3</v>
          </cell>
          <cell r="K2097">
            <v>400</v>
          </cell>
          <cell r="L2097">
            <v>50</v>
          </cell>
          <cell r="M2097">
            <v>29</v>
          </cell>
          <cell r="N2097">
            <v>65</v>
          </cell>
          <cell r="O2097" t="str">
            <v>155(F)</v>
          </cell>
          <cell r="P2097" t="str">
            <v>270°</v>
          </cell>
          <cell r="Q2097" t="str">
            <v>TF</v>
          </cell>
          <cell r="R2097" t="str">
            <v>V(VE)</v>
          </cell>
          <cell r="S2097" t="str">
            <v>-</v>
          </cell>
          <cell r="T2097" t="str">
            <v>-</v>
          </cell>
          <cell r="U2097" t="str">
            <v>-</v>
          </cell>
          <cell r="V2097" t="str">
            <v>FC</v>
          </cell>
          <cell r="W2097" t="str">
            <v>-</v>
          </cell>
          <cell r="X2097" t="str">
            <v>CLP PG 220 (-25/+80°C)</v>
          </cell>
          <cell r="Y2097" t="str">
            <v>R107DRN160L4 /TF/V</v>
          </cell>
          <cell r="Z2097" t="str">
            <v>SEW</v>
          </cell>
          <cell r="AB2097" t="str">
            <v>-</v>
          </cell>
          <cell r="AE2097" t="str">
            <v>Temperatura ambiente +60°C</v>
          </cell>
          <cell r="AF2097">
            <v>42</v>
          </cell>
          <cell r="AG2097" t="str">
            <v>DRN160L4</v>
          </cell>
          <cell r="AH2097" t="str">
            <v>R107-DRN160L4270-X#</v>
          </cell>
        </row>
        <row r="2098">
          <cell r="A2098" t="str">
            <v>MR002094</v>
          </cell>
          <cell r="B2098" t="str">
            <v>MR</v>
          </cell>
          <cell r="C2098">
            <v>15</v>
          </cell>
          <cell r="D2098">
            <v>16</v>
          </cell>
          <cell r="E2098" t="str">
            <v>KH127</v>
          </cell>
          <cell r="F2098">
            <v>8730</v>
          </cell>
          <cell r="G2098">
            <v>89.89</v>
          </cell>
          <cell r="H2098">
            <v>1.5</v>
          </cell>
          <cell r="I2098" t="str">
            <v>From M4A to M1A - 10°</v>
          </cell>
          <cell r="J2098" t="str">
            <v>IE3</v>
          </cell>
          <cell r="K2098">
            <v>400</v>
          </cell>
          <cell r="L2098">
            <v>50</v>
          </cell>
          <cell r="M2098">
            <v>29</v>
          </cell>
          <cell r="N2098">
            <v>65</v>
          </cell>
          <cell r="O2098" t="str">
            <v>155(F)</v>
          </cell>
          <cell r="P2098" t="str">
            <v>270°</v>
          </cell>
          <cell r="Q2098" t="str">
            <v>TF</v>
          </cell>
          <cell r="R2098" t="str">
            <v>-</v>
          </cell>
          <cell r="S2098" t="str">
            <v>-</v>
          </cell>
          <cell r="T2098" t="str">
            <v>-</v>
          </cell>
          <cell r="U2098" t="str">
            <v>-</v>
          </cell>
          <cell r="V2098" t="str">
            <v>SS</v>
          </cell>
          <cell r="W2098" t="str">
            <v>-</v>
          </cell>
          <cell r="X2098" t="str">
            <v>CLP PG 220 (-25/+80°C)</v>
          </cell>
          <cell r="Y2098" t="str">
            <v>KH127DRN160L4 /TF</v>
          </cell>
          <cell r="Z2098" t="str">
            <v>SEW</v>
          </cell>
          <cell r="AB2098" t="str">
            <v>-</v>
          </cell>
          <cell r="AE2098" t="str">
            <v>Temperatura ambiente +60°C</v>
          </cell>
          <cell r="AF2098">
            <v>16</v>
          </cell>
          <cell r="AG2098" t="str">
            <v>DRN160L4</v>
          </cell>
          <cell r="AH2098" t="str">
            <v>KH127-DRN160L4A270-X</v>
          </cell>
        </row>
        <row r="2099">
          <cell r="A2099" t="str">
            <v>MR002095</v>
          </cell>
          <cell r="B2099" t="str">
            <v>MR</v>
          </cell>
          <cell r="C2099">
            <v>7.5</v>
          </cell>
          <cell r="D2099">
            <v>66</v>
          </cell>
          <cell r="E2099" t="str">
            <v>R97</v>
          </cell>
          <cell r="F2099">
            <v>1090</v>
          </cell>
          <cell r="G2099">
            <v>22.37</v>
          </cell>
          <cell r="H2099">
            <v>2.5</v>
          </cell>
          <cell r="I2099" t="str">
            <v>From M1 to M2 - 35°</v>
          </cell>
          <cell r="J2099" t="str">
            <v>IE3</v>
          </cell>
          <cell r="K2099">
            <v>400</v>
          </cell>
          <cell r="L2099">
            <v>50</v>
          </cell>
          <cell r="M2099">
            <v>15.2</v>
          </cell>
          <cell r="N2099">
            <v>65</v>
          </cell>
          <cell r="O2099" t="str">
            <v>155(F)</v>
          </cell>
          <cell r="P2099" t="str">
            <v>270°</v>
          </cell>
          <cell r="Q2099" t="str">
            <v>-</v>
          </cell>
          <cell r="R2099" t="str">
            <v>-</v>
          </cell>
          <cell r="S2099" t="str">
            <v>-</v>
          </cell>
          <cell r="T2099" t="str">
            <v>-</v>
          </cell>
          <cell r="U2099" t="str">
            <v>-</v>
          </cell>
          <cell r="V2099" t="str">
            <v>D</v>
          </cell>
          <cell r="W2099" t="str">
            <v>-</v>
          </cell>
          <cell r="X2099" t="str">
            <v>CLP PG 220 (-25/+80°C)</v>
          </cell>
          <cell r="Y2099" t="str">
            <v>R97DRN132M4</v>
          </cell>
          <cell r="Z2099" t="str">
            <v>SEW</v>
          </cell>
          <cell r="AB2099" t="str">
            <v>-</v>
          </cell>
          <cell r="AE2099" t="str">
            <v>Temperatura ambiente +60°C</v>
          </cell>
          <cell r="AF2099">
            <v>66</v>
          </cell>
          <cell r="AG2099" t="str">
            <v>DRN132M4</v>
          </cell>
          <cell r="AH2099" t="str">
            <v>R97-DRN132M4270-X</v>
          </cell>
        </row>
        <row r="2100">
          <cell r="A2100" t="str">
            <v>MR002096</v>
          </cell>
          <cell r="B2100" t="str">
            <v>MR</v>
          </cell>
          <cell r="C2100">
            <v>3</v>
          </cell>
          <cell r="D2100">
            <v>68</v>
          </cell>
          <cell r="E2100" t="str">
            <v>R77</v>
          </cell>
          <cell r="F2100">
            <v>420</v>
          </cell>
          <cell r="G2100">
            <v>21.43</v>
          </cell>
          <cell r="H2100">
            <v>1.95</v>
          </cell>
          <cell r="I2100" t="str">
            <v>From M1 to M4 - 15°</v>
          </cell>
          <cell r="J2100" t="str">
            <v>IE3</v>
          </cell>
          <cell r="K2100">
            <v>400</v>
          </cell>
          <cell r="L2100">
            <v>50</v>
          </cell>
          <cell r="M2100">
            <v>6.4</v>
          </cell>
          <cell r="N2100">
            <v>65</v>
          </cell>
          <cell r="O2100" t="str">
            <v>155(F)</v>
          </cell>
          <cell r="P2100" t="str">
            <v>270°</v>
          </cell>
          <cell r="Q2100" t="str">
            <v>-</v>
          </cell>
          <cell r="R2100" t="str">
            <v>-</v>
          </cell>
          <cell r="S2100" t="str">
            <v>-</v>
          </cell>
          <cell r="T2100" t="str">
            <v>-</v>
          </cell>
          <cell r="U2100" t="str">
            <v>-</v>
          </cell>
          <cell r="V2100" t="str">
            <v>D</v>
          </cell>
          <cell r="W2100" t="str">
            <v>-</v>
          </cell>
          <cell r="X2100" t="str">
            <v>CLP PG 220 (-25/+80°C)</v>
          </cell>
          <cell r="Y2100" t="str">
            <v>R77DRN100L4</v>
          </cell>
          <cell r="Z2100" t="str">
            <v>SEW</v>
          </cell>
          <cell r="AB2100" t="str">
            <v>-</v>
          </cell>
          <cell r="AE2100" t="str">
            <v>Temperatura ambiente +60°C</v>
          </cell>
          <cell r="AF2100">
            <v>68</v>
          </cell>
          <cell r="AG2100" t="str">
            <v>DRN100L4</v>
          </cell>
          <cell r="AH2100" t="str">
            <v>R77-DRN100L4270-X</v>
          </cell>
        </row>
        <row r="2101">
          <cell r="A2101" t="str">
            <v>MR002097</v>
          </cell>
          <cell r="B2101" t="str">
            <v>MR</v>
          </cell>
          <cell r="C2101">
            <v>7.5</v>
          </cell>
          <cell r="D2101">
            <v>57</v>
          </cell>
          <cell r="E2101" t="str">
            <v>KH77</v>
          </cell>
          <cell r="F2101">
            <v>1250</v>
          </cell>
          <cell r="G2101">
            <v>25.62</v>
          </cell>
          <cell r="H2101">
            <v>1.25</v>
          </cell>
          <cell r="I2101" t="str">
            <v>M4A</v>
          </cell>
          <cell r="J2101" t="str">
            <v>IE3</v>
          </cell>
          <cell r="K2101">
            <v>400</v>
          </cell>
          <cell r="L2101">
            <v>50</v>
          </cell>
          <cell r="M2101">
            <v>15.2</v>
          </cell>
          <cell r="N2101">
            <v>65</v>
          </cell>
          <cell r="O2101" t="str">
            <v>155(F)</v>
          </cell>
          <cell r="P2101" t="str">
            <v>270°</v>
          </cell>
          <cell r="Q2101" t="str">
            <v>TF</v>
          </cell>
          <cell r="R2101" t="str">
            <v>V(VE)</v>
          </cell>
          <cell r="S2101" t="str">
            <v>-</v>
          </cell>
          <cell r="T2101" t="str">
            <v>-</v>
          </cell>
          <cell r="U2101" t="str">
            <v>T</v>
          </cell>
          <cell r="V2101" t="str">
            <v>FC</v>
          </cell>
          <cell r="W2101" t="str">
            <v>-</v>
          </cell>
          <cell r="X2101" t="str">
            <v>CLP PG 220 (-25/+80°C)</v>
          </cell>
          <cell r="Y2101" t="str">
            <v>KH77/T DRN132M4 /TF/V</v>
          </cell>
          <cell r="Z2101" t="str">
            <v>SEW</v>
          </cell>
          <cell r="AB2101" t="str">
            <v>-</v>
          </cell>
          <cell r="AE2101" t="str">
            <v>Temperatura ambiente +60°C</v>
          </cell>
          <cell r="AF2101">
            <v>57</v>
          </cell>
          <cell r="AG2101" t="str">
            <v>DRN132M4</v>
          </cell>
          <cell r="AH2101" t="str">
            <v>KH77T-DRN132M4A270-X#</v>
          </cell>
        </row>
        <row r="2102">
          <cell r="A2102" t="str">
            <v>MR002098</v>
          </cell>
          <cell r="B2102" t="str">
            <v>MR</v>
          </cell>
          <cell r="C2102">
            <v>11</v>
          </cell>
          <cell r="D2102">
            <v>16</v>
          </cell>
          <cell r="E2102" t="str">
            <v>KH107</v>
          </cell>
          <cell r="F2102">
            <v>6480</v>
          </cell>
          <cell r="G2102">
            <v>90.96</v>
          </cell>
          <cell r="H2102">
            <v>1.25</v>
          </cell>
          <cell r="I2102" t="str">
            <v>From M4A to M1A - 25°</v>
          </cell>
          <cell r="J2102" t="str">
            <v>IE3</v>
          </cell>
          <cell r="K2102">
            <v>400</v>
          </cell>
          <cell r="L2102">
            <v>50</v>
          </cell>
          <cell r="M2102">
            <v>21</v>
          </cell>
          <cell r="N2102">
            <v>65</v>
          </cell>
          <cell r="O2102" t="str">
            <v>155(F)</v>
          </cell>
          <cell r="P2102" t="str">
            <v>270°</v>
          </cell>
          <cell r="Q2102" t="str">
            <v>TF</v>
          </cell>
          <cell r="R2102" t="str">
            <v>V(VE)</v>
          </cell>
          <cell r="S2102" t="str">
            <v>-</v>
          </cell>
          <cell r="T2102" t="str">
            <v>-</v>
          </cell>
          <cell r="U2102" t="str">
            <v>-</v>
          </cell>
          <cell r="V2102" t="str">
            <v>FC</v>
          </cell>
          <cell r="W2102" t="str">
            <v>-</v>
          </cell>
          <cell r="X2102" t="str">
            <v>CLP PG 220 (-25/+80°C)</v>
          </cell>
          <cell r="Y2102" t="str">
            <v>KH107DRN160M4 /TF/V</v>
          </cell>
          <cell r="Z2102" t="str">
            <v>SEW</v>
          </cell>
          <cell r="AB2102" t="str">
            <v>-</v>
          </cell>
          <cell r="AE2102" t="str">
            <v>Temperatura ambiente +60°C</v>
          </cell>
          <cell r="AF2102">
            <v>16</v>
          </cell>
          <cell r="AG2102" t="str">
            <v>DRN160M4</v>
          </cell>
          <cell r="AH2102" t="str">
            <v>KH107-DRN160M4A270-X#</v>
          </cell>
        </row>
        <row r="2103">
          <cell r="A2103" t="str">
            <v>MR002099</v>
          </cell>
          <cell r="B2103" t="str">
            <v>MR</v>
          </cell>
          <cell r="C2103">
            <v>18.5</v>
          </cell>
          <cell r="D2103">
            <v>16</v>
          </cell>
          <cell r="E2103" t="str">
            <v>KH127</v>
          </cell>
          <cell r="F2103">
            <v>10700</v>
          </cell>
          <cell r="G2103">
            <v>89.89</v>
          </cell>
          <cell r="H2103">
            <v>1.2</v>
          </cell>
          <cell r="I2103" t="str">
            <v>From M4A to M1A - 45°</v>
          </cell>
          <cell r="J2103" t="str">
            <v>IE3</v>
          </cell>
          <cell r="K2103">
            <v>400</v>
          </cell>
          <cell r="L2103">
            <v>50</v>
          </cell>
          <cell r="M2103">
            <v>33.5</v>
          </cell>
          <cell r="N2103">
            <v>65</v>
          </cell>
          <cell r="O2103" t="str">
            <v>155(F)</v>
          </cell>
          <cell r="P2103" t="str">
            <v>270°</v>
          </cell>
          <cell r="Q2103" t="str">
            <v>TF</v>
          </cell>
          <cell r="R2103" t="str">
            <v>V(VE)</v>
          </cell>
          <cell r="S2103" t="str">
            <v>-</v>
          </cell>
          <cell r="T2103" t="str">
            <v>-</v>
          </cell>
          <cell r="U2103" t="str">
            <v>-</v>
          </cell>
          <cell r="V2103" t="str">
            <v>FC</v>
          </cell>
          <cell r="W2103" t="str">
            <v>-</v>
          </cell>
          <cell r="X2103" t="str">
            <v>CLP PG 220 (-25/+80°C)</v>
          </cell>
          <cell r="Y2103" t="str">
            <v>KH127DRN180M4 /TF/V</v>
          </cell>
          <cell r="Z2103" t="str">
            <v>SEW</v>
          </cell>
          <cell r="AB2103" t="str">
            <v>-</v>
          </cell>
          <cell r="AE2103" t="str">
            <v>Temperatura ambiente +60°C</v>
          </cell>
          <cell r="AF2103">
            <v>16</v>
          </cell>
          <cell r="AG2103" t="str">
            <v>DRN180M4</v>
          </cell>
          <cell r="AH2103" t="str">
            <v>KH127-DRN180M4A270-X#</v>
          </cell>
        </row>
        <row r="2104">
          <cell r="A2104" t="str">
            <v>MR002100</v>
          </cell>
          <cell r="B2104" t="str">
            <v>MR</v>
          </cell>
          <cell r="C2104">
            <v>7.5</v>
          </cell>
          <cell r="D2104">
            <v>75</v>
          </cell>
          <cell r="E2104" t="str">
            <v>KH87</v>
          </cell>
          <cell r="F2104">
            <v>950</v>
          </cell>
          <cell r="G2104">
            <v>19.45</v>
          </cell>
          <cell r="H2104">
            <v>2.4</v>
          </cell>
          <cell r="I2104" t="str">
            <v>From M3A to M4A - 15°</v>
          </cell>
          <cell r="J2104" t="str">
            <v>IE3</v>
          </cell>
          <cell r="K2104">
            <v>400</v>
          </cell>
          <cell r="L2104">
            <v>50</v>
          </cell>
          <cell r="M2104">
            <v>15.2</v>
          </cell>
          <cell r="N2104">
            <v>65</v>
          </cell>
          <cell r="O2104" t="str">
            <v>155(F)</v>
          </cell>
          <cell r="P2104" t="str">
            <v>180°</v>
          </cell>
          <cell r="Q2104" t="str">
            <v>TF</v>
          </cell>
          <cell r="R2104" t="str">
            <v>V(VE)</v>
          </cell>
          <cell r="S2104" t="str">
            <v>-</v>
          </cell>
          <cell r="T2104" t="str">
            <v>-</v>
          </cell>
          <cell r="U2104" t="str">
            <v>T</v>
          </cell>
          <cell r="V2104" t="str">
            <v>FC</v>
          </cell>
          <cell r="W2104" t="str">
            <v>-</v>
          </cell>
          <cell r="X2104" t="str">
            <v>CLP PG 220 (-25/+80°C)</v>
          </cell>
          <cell r="Y2104" t="str">
            <v>KH87/T DRN132M4 /TF/V</v>
          </cell>
          <cell r="Z2104" t="str">
            <v>SEW</v>
          </cell>
          <cell r="AB2104" t="str">
            <v>-</v>
          </cell>
          <cell r="AE2104" t="str">
            <v>Temperatura ambiente +60°C</v>
          </cell>
          <cell r="AF2104">
            <v>75</v>
          </cell>
          <cell r="AG2104" t="str">
            <v>DRN132M4</v>
          </cell>
          <cell r="AH2104" t="str">
            <v>KH87T-DRN132M4A180-X#</v>
          </cell>
        </row>
        <row r="2105">
          <cell r="A2105" t="str">
            <v>MR002101</v>
          </cell>
          <cell r="B2105" t="str">
            <v>MR</v>
          </cell>
          <cell r="C2105">
            <v>0.75</v>
          </cell>
          <cell r="D2105">
            <v>162</v>
          </cell>
          <cell r="E2105" t="str">
            <v>KA37</v>
          </cell>
          <cell r="F2105">
            <v>44</v>
          </cell>
          <cell r="G2105">
            <v>8.91</v>
          </cell>
          <cell r="H2105">
            <v>3.6</v>
          </cell>
          <cell r="I2105" t="str">
            <v>From M3A to M4A - 15°</v>
          </cell>
          <cell r="J2105" t="str">
            <v>IE3</v>
          </cell>
          <cell r="K2105">
            <v>400</v>
          </cell>
          <cell r="L2105">
            <v>50</v>
          </cell>
          <cell r="M2105">
            <v>1.75</v>
          </cell>
          <cell r="N2105">
            <v>65</v>
          </cell>
          <cell r="O2105" t="str">
            <v>155(F)</v>
          </cell>
          <cell r="P2105" t="str">
            <v>180°</v>
          </cell>
          <cell r="Q2105" t="str">
            <v>-</v>
          </cell>
          <cell r="R2105" t="str">
            <v>-</v>
          </cell>
          <cell r="S2105" t="str">
            <v>-</v>
          </cell>
          <cell r="T2105" t="str">
            <v>-</v>
          </cell>
          <cell r="U2105" t="str">
            <v>T</v>
          </cell>
          <cell r="V2105" t="str">
            <v>D</v>
          </cell>
          <cell r="W2105" t="str">
            <v>-</v>
          </cell>
          <cell r="X2105" t="str">
            <v>CLP PG 220 (-25/+80°C)</v>
          </cell>
          <cell r="Y2105" t="str">
            <v>KA37/T DRN80M4</v>
          </cell>
          <cell r="Z2105" t="str">
            <v>SEW</v>
          </cell>
          <cell r="AB2105" t="str">
            <v>-</v>
          </cell>
          <cell r="AE2105" t="str">
            <v>Temperatura ambiente +60°C</v>
          </cell>
          <cell r="AF2105">
            <v>162</v>
          </cell>
          <cell r="AG2105" t="str">
            <v>DRN80M4</v>
          </cell>
          <cell r="AH2105" t="str">
            <v>KA37T-DRN80M4A180-X</v>
          </cell>
        </row>
        <row r="2106">
          <cell r="A2106" t="str">
            <v>MR002102</v>
          </cell>
          <cell r="B2106" t="str">
            <v>MR</v>
          </cell>
          <cell r="C2106">
            <v>0.25</v>
          </cell>
          <cell r="D2106">
            <v>32</v>
          </cell>
          <cell r="E2106" t="str">
            <v>FA37</v>
          </cell>
          <cell r="F2106">
            <v>74</v>
          </cell>
          <cell r="G2106">
            <v>43.83</v>
          </cell>
          <cell r="H2106">
            <v>2.7</v>
          </cell>
          <cell r="I2106" t="str">
            <v>M1</v>
          </cell>
          <cell r="J2106" t="str">
            <v>IE3</v>
          </cell>
          <cell r="K2106">
            <v>400</v>
          </cell>
          <cell r="L2106">
            <v>50</v>
          </cell>
          <cell r="M2106">
            <v>0.72</v>
          </cell>
          <cell r="N2106">
            <v>65</v>
          </cell>
          <cell r="O2106" t="str">
            <v>155(F)</v>
          </cell>
          <cell r="P2106" t="str">
            <v>270°</v>
          </cell>
          <cell r="Q2106" t="str">
            <v>-</v>
          </cell>
          <cell r="R2106" t="str">
            <v>-</v>
          </cell>
          <cell r="S2106" t="str">
            <v>-</v>
          </cell>
          <cell r="T2106" t="str">
            <v>-</v>
          </cell>
          <cell r="U2106" t="str">
            <v>G</v>
          </cell>
          <cell r="V2106" t="str">
            <v>D</v>
          </cell>
          <cell r="W2106" t="str">
            <v>-</v>
          </cell>
          <cell r="X2106" t="str">
            <v>CLP PG 220 (-25/+80°C)</v>
          </cell>
          <cell r="Y2106" t="str">
            <v>FA37/G DRN71MS4</v>
          </cell>
          <cell r="Z2106" t="str">
            <v>SEW</v>
          </cell>
          <cell r="AB2106" t="str">
            <v>-</v>
          </cell>
          <cell r="AE2106" t="str">
            <v>Temperatura ambiente +60°C</v>
          </cell>
          <cell r="AF2106">
            <v>32</v>
          </cell>
          <cell r="AG2106" t="str">
            <v>DRN71MS4</v>
          </cell>
          <cell r="AH2106" t="str">
            <v>FA37G-DRN71MS4270-X</v>
          </cell>
        </row>
        <row r="2107">
          <cell r="A2107" t="str">
            <v>MR002103</v>
          </cell>
          <cell r="B2107" t="str">
            <v>MR</v>
          </cell>
          <cell r="C2107">
            <v>7.5</v>
          </cell>
          <cell r="D2107">
            <v>75</v>
          </cell>
          <cell r="E2107" t="str">
            <v>KH87</v>
          </cell>
          <cell r="F2107">
            <v>950</v>
          </cell>
          <cell r="G2107">
            <v>19.45</v>
          </cell>
          <cell r="H2107">
            <v>2.4</v>
          </cell>
          <cell r="I2107" t="str">
            <v>From M3B to M4B - 20°</v>
          </cell>
          <cell r="J2107" t="str">
            <v>IE3</v>
          </cell>
          <cell r="K2107">
            <v>400</v>
          </cell>
          <cell r="L2107">
            <v>50</v>
          </cell>
          <cell r="M2107">
            <v>15.2</v>
          </cell>
          <cell r="N2107">
            <v>65</v>
          </cell>
          <cell r="O2107" t="str">
            <v>155(F)</v>
          </cell>
          <cell r="P2107" t="str">
            <v>0°</v>
          </cell>
          <cell r="Q2107" t="str">
            <v>TF</v>
          </cell>
          <cell r="R2107" t="str">
            <v>V(VE)</v>
          </cell>
          <cell r="S2107" t="str">
            <v>-</v>
          </cell>
          <cell r="T2107" t="str">
            <v>-</v>
          </cell>
          <cell r="U2107" t="str">
            <v>T</v>
          </cell>
          <cell r="V2107" t="str">
            <v>FC</v>
          </cell>
          <cell r="W2107" t="str">
            <v>-</v>
          </cell>
          <cell r="X2107" t="str">
            <v>CLP PG 220 (-25/+80°C)</v>
          </cell>
          <cell r="Y2107" t="str">
            <v>KH87/T DRN132M4 /TF/V</v>
          </cell>
          <cell r="Z2107" t="str">
            <v>SEW</v>
          </cell>
          <cell r="AB2107" t="str">
            <v>-</v>
          </cell>
          <cell r="AE2107" t="str">
            <v>Temperatura ambiente +60°C</v>
          </cell>
          <cell r="AF2107">
            <v>75</v>
          </cell>
          <cell r="AG2107" t="str">
            <v>DRN132M4</v>
          </cell>
          <cell r="AH2107" t="str">
            <v>KH87T-DRN132M4B0-X#</v>
          </cell>
        </row>
        <row r="2108">
          <cell r="A2108" t="str">
            <v>MR002104</v>
          </cell>
          <cell r="B2108" t="str">
            <v>MR</v>
          </cell>
          <cell r="C2108">
            <v>0.75</v>
          </cell>
          <cell r="D2108">
            <v>162</v>
          </cell>
          <cell r="E2108" t="str">
            <v>KA37</v>
          </cell>
          <cell r="F2108">
            <v>44</v>
          </cell>
          <cell r="G2108">
            <v>8.91</v>
          </cell>
          <cell r="H2108">
            <v>3.6</v>
          </cell>
          <cell r="I2108" t="str">
            <v>From M3B to M4B - 20°</v>
          </cell>
          <cell r="J2108" t="str">
            <v>IE3</v>
          </cell>
          <cell r="K2108">
            <v>400</v>
          </cell>
          <cell r="L2108">
            <v>50</v>
          </cell>
          <cell r="M2108">
            <v>1.75</v>
          </cell>
          <cell r="N2108">
            <v>65</v>
          </cell>
          <cell r="O2108" t="str">
            <v>155(F)</v>
          </cell>
          <cell r="P2108" t="str">
            <v>0°</v>
          </cell>
          <cell r="Q2108" t="str">
            <v>-</v>
          </cell>
          <cell r="R2108" t="str">
            <v>-</v>
          </cell>
          <cell r="S2108" t="str">
            <v>-</v>
          </cell>
          <cell r="T2108" t="str">
            <v>-</v>
          </cell>
          <cell r="U2108" t="str">
            <v>T</v>
          </cell>
          <cell r="V2108" t="str">
            <v>D</v>
          </cell>
          <cell r="W2108" t="str">
            <v>-</v>
          </cell>
          <cell r="X2108" t="str">
            <v>CLP PG 220 (-25/+80°C)</v>
          </cell>
          <cell r="Y2108" t="str">
            <v>KA37/T DRN80M4</v>
          </cell>
          <cell r="Z2108" t="str">
            <v>SEW</v>
          </cell>
          <cell r="AB2108" t="str">
            <v>-</v>
          </cell>
          <cell r="AE2108" t="str">
            <v>Temperatura ambiente +60°C</v>
          </cell>
          <cell r="AF2108">
            <v>162</v>
          </cell>
          <cell r="AG2108" t="str">
            <v>DRN80M4</v>
          </cell>
          <cell r="AH2108" t="str">
            <v>KA37T-DRN80M4B0-X</v>
          </cell>
        </row>
        <row r="2109">
          <cell r="A2109" t="str">
            <v>MR002105</v>
          </cell>
          <cell r="B2109" t="str">
            <v>MR</v>
          </cell>
          <cell r="C2109">
            <v>5.5</v>
          </cell>
          <cell r="D2109">
            <v>62</v>
          </cell>
          <cell r="E2109" t="str">
            <v>R87</v>
          </cell>
          <cell r="F2109">
            <v>840</v>
          </cell>
          <cell r="G2109">
            <v>23.4</v>
          </cell>
          <cell r="H2109">
            <v>1.85</v>
          </cell>
          <cell r="I2109" t="str">
            <v>M1</v>
          </cell>
          <cell r="J2109" t="str">
            <v>IE3</v>
          </cell>
          <cell r="K2109">
            <v>400</v>
          </cell>
          <cell r="L2109">
            <v>50</v>
          </cell>
          <cell r="M2109">
            <v>10.5</v>
          </cell>
          <cell r="N2109">
            <v>65</v>
          </cell>
          <cell r="O2109" t="str">
            <v>155(F)</v>
          </cell>
          <cell r="P2109" t="str">
            <v>270°</v>
          </cell>
          <cell r="Q2109" t="str">
            <v>-</v>
          </cell>
          <cell r="R2109" t="str">
            <v>-</v>
          </cell>
          <cell r="S2109" t="str">
            <v>-</v>
          </cell>
          <cell r="T2109" t="str">
            <v>-</v>
          </cell>
          <cell r="U2109" t="str">
            <v>-</v>
          </cell>
          <cell r="V2109" t="str">
            <v>D</v>
          </cell>
          <cell r="W2109" t="str">
            <v>-</v>
          </cell>
          <cell r="X2109" t="str">
            <v>CLP PG 220 (-25/+80°C)</v>
          </cell>
          <cell r="Y2109" t="str">
            <v>R87DRN132S4</v>
          </cell>
          <cell r="Z2109" t="str">
            <v>SEW</v>
          </cell>
          <cell r="AB2109" t="str">
            <v>-</v>
          </cell>
          <cell r="AE2109" t="str">
            <v>Temperatura ambiente +60°C</v>
          </cell>
          <cell r="AF2109">
            <v>62</v>
          </cell>
          <cell r="AG2109" t="str">
            <v>DRN132S4</v>
          </cell>
          <cell r="AH2109" t="str">
            <v>R87-DRN132S4270-X</v>
          </cell>
        </row>
        <row r="2110">
          <cell r="A2110" t="str">
            <v>MR002106</v>
          </cell>
          <cell r="B2110" t="str">
            <v>MR</v>
          </cell>
          <cell r="C2110">
            <v>18.5</v>
          </cell>
          <cell r="D2110">
            <v>12</v>
          </cell>
          <cell r="E2110" t="str">
            <v>KH157</v>
          </cell>
          <cell r="F2110">
            <v>14600</v>
          </cell>
          <cell r="G2110">
            <v>122.39</v>
          </cell>
          <cell r="H2110">
            <v>1.35</v>
          </cell>
          <cell r="I2110" t="str">
            <v>From M1A to M2A - 45°</v>
          </cell>
          <cell r="J2110" t="str">
            <v>IE3</v>
          </cell>
          <cell r="K2110" t="str">
            <v>400/690</v>
          </cell>
          <cell r="L2110">
            <v>50</v>
          </cell>
          <cell r="M2110" t="str">
            <v>33,5/19,3</v>
          </cell>
          <cell r="N2110">
            <v>55</v>
          </cell>
          <cell r="O2110" t="str">
            <v>155(F)</v>
          </cell>
          <cell r="P2110" t="str">
            <v>270°</v>
          </cell>
          <cell r="Q2110" t="str">
            <v>TF</v>
          </cell>
          <cell r="R2110" t="str">
            <v>V(VE)</v>
          </cell>
          <cell r="S2110" t="str">
            <v>-</v>
          </cell>
          <cell r="T2110" t="str">
            <v>-</v>
          </cell>
          <cell r="U2110" t="str">
            <v>-</v>
          </cell>
          <cell r="V2110" t="str">
            <v>FC</v>
          </cell>
          <cell r="W2110" t="str">
            <v>-</v>
          </cell>
          <cell r="X2110" t="str">
            <v>CLP 220 (-15/+40°C)</v>
          </cell>
          <cell r="Y2110" t="str">
            <v>KH157DRN180M4 /TF/V</v>
          </cell>
          <cell r="Z2110" t="str">
            <v>SEW</v>
          </cell>
          <cell r="AB2110" t="str">
            <v>-</v>
          </cell>
          <cell r="AE2110" t="str">
            <v>Work frequency 37,5Hz for 0,4m/sec</v>
          </cell>
          <cell r="AF2110">
            <v>12</v>
          </cell>
          <cell r="AG2110" t="str">
            <v>DRN180M4</v>
          </cell>
          <cell r="AH2110" t="str">
            <v>KH157-DRN180M4A270-X#</v>
          </cell>
        </row>
        <row r="2111">
          <cell r="A2111" t="str">
            <v>MR002107</v>
          </cell>
          <cell r="B2111" t="str">
            <v>MR</v>
          </cell>
          <cell r="C2111">
            <v>18.5</v>
          </cell>
          <cell r="D2111">
            <v>12</v>
          </cell>
          <cell r="E2111" t="str">
            <v>KH157</v>
          </cell>
          <cell r="F2111">
            <v>14600</v>
          </cell>
          <cell r="G2111">
            <v>122.39</v>
          </cell>
          <cell r="H2111">
            <v>1.35</v>
          </cell>
          <cell r="I2111" t="str">
            <v>From M1B to M2B - 45°</v>
          </cell>
          <cell r="J2111" t="str">
            <v>IE3</v>
          </cell>
          <cell r="K2111" t="str">
            <v>400/690</v>
          </cell>
          <cell r="L2111">
            <v>50</v>
          </cell>
          <cell r="M2111" t="str">
            <v>33,5/19,3</v>
          </cell>
          <cell r="N2111">
            <v>55</v>
          </cell>
          <cell r="O2111" t="str">
            <v>155(F)</v>
          </cell>
          <cell r="P2111" t="str">
            <v>270°</v>
          </cell>
          <cell r="Q2111" t="str">
            <v>TF</v>
          </cell>
          <cell r="R2111" t="str">
            <v>V(VE)</v>
          </cell>
          <cell r="S2111" t="str">
            <v>-</v>
          </cell>
          <cell r="T2111" t="str">
            <v>-</v>
          </cell>
          <cell r="U2111" t="str">
            <v>-</v>
          </cell>
          <cell r="V2111" t="str">
            <v>FC</v>
          </cell>
          <cell r="W2111" t="str">
            <v>-</v>
          </cell>
          <cell r="X2111" t="str">
            <v>CLP 220 (-15/+40°C)</v>
          </cell>
          <cell r="Y2111" t="str">
            <v>KH157DRN180M4 /TF/V</v>
          </cell>
          <cell r="Z2111" t="str">
            <v>SEW</v>
          </cell>
          <cell r="AB2111" t="str">
            <v>-</v>
          </cell>
          <cell r="AE2111" t="str">
            <v>Work frequency 37,5Hz for 0,4m/sec</v>
          </cell>
          <cell r="AF2111">
            <v>12</v>
          </cell>
          <cell r="AG2111" t="str">
            <v>DRN180M4</v>
          </cell>
          <cell r="AH2111" t="str">
            <v>KH157-DRN180M4B270-X#</v>
          </cell>
        </row>
        <row r="2112">
          <cell r="A2112" t="str">
            <v>MR002108</v>
          </cell>
          <cell r="B2112" t="str">
            <v>MR</v>
          </cell>
          <cell r="C2112">
            <v>9.1999999999999993</v>
          </cell>
          <cell r="D2112">
            <v>15</v>
          </cell>
          <cell r="E2112" t="str">
            <v>KH107</v>
          </cell>
          <cell r="F2112">
            <v>6020</v>
          </cell>
          <cell r="G2112">
            <v>100.75</v>
          </cell>
          <cell r="H2112">
            <v>1.35</v>
          </cell>
          <cell r="I2112" t="str">
            <v>From M1B to M2B - 25°</v>
          </cell>
          <cell r="J2112" t="str">
            <v>IE3</v>
          </cell>
          <cell r="K2112" t="str">
            <v>400/690</v>
          </cell>
          <cell r="L2112">
            <v>50</v>
          </cell>
          <cell r="M2112" t="str">
            <v>18,7/10,8</v>
          </cell>
          <cell r="N2112">
            <v>55</v>
          </cell>
          <cell r="O2112" t="str">
            <v>155(F)</v>
          </cell>
          <cell r="P2112" t="str">
            <v>270°</v>
          </cell>
          <cell r="Q2112" t="str">
            <v>-</v>
          </cell>
          <cell r="R2112" t="str">
            <v>-</v>
          </cell>
          <cell r="S2112" t="str">
            <v>-</v>
          </cell>
          <cell r="T2112" t="str">
            <v>-</v>
          </cell>
          <cell r="U2112" t="str">
            <v>-</v>
          </cell>
          <cell r="V2112" t="str">
            <v>SS</v>
          </cell>
          <cell r="W2112" t="str">
            <v>-</v>
          </cell>
          <cell r="X2112" t="str">
            <v>CLP 220 (-15/+40°C)</v>
          </cell>
          <cell r="Y2112" t="str">
            <v>KH107DRN132L4</v>
          </cell>
          <cell r="Z2112" t="str">
            <v>SEW</v>
          </cell>
          <cell r="AB2112" t="str">
            <v>-</v>
          </cell>
          <cell r="AF2112">
            <v>15</v>
          </cell>
          <cell r="AG2112" t="str">
            <v>DRN132L4</v>
          </cell>
          <cell r="AH2112" t="str">
            <v>KH107-DRN132L4B270-X</v>
          </cell>
        </row>
        <row r="2113">
          <cell r="A2113" t="str">
            <v>MR002109</v>
          </cell>
          <cell r="B2113" t="str">
            <v>MR</v>
          </cell>
          <cell r="C2113">
            <v>7.5</v>
          </cell>
          <cell r="D2113">
            <v>15</v>
          </cell>
          <cell r="E2113" t="str">
            <v>KH97</v>
          </cell>
          <cell r="F2113">
            <v>4720</v>
          </cell>
          <cell r="G2113">
            <v>96.8</v>
          </cell>
          <cell r="H2113">
            <v>0.9</v>
          </cell>
          <cell r="I2113" t="str">
            <v>From M1A to M2A - 35°</v>
          </cell>
          <cell r="J2113" t="str">
            <v>IE3</v>
          </cell>
          <cell r="K2113" t="str">
            <v>400/690</v>
          </cell>
          <cell r="L2113">
            <v>50</v>
          </cell>
          <cell r="M2113" t="str">
            <v>15,2/8,8</v>
          </cell>
          <cell r="N2113">
            <v>55</v>
          </cell>
          <cell r="O2113" t="str">
            <v>155(F)</v>
          </cell>
          <cell r="P2113" t="str">
            <v>270°</v>
          </cell>
          <cell r="Q2113" t="str">
            <v>-</v>
          </cell>
          <cell r="R2113" t="str">
            <v>-</v>
          </cell>
          <cell r="S2113" t="str">
            <v>-</v>
          </cell>
          <cell r="T2113" t="str">
            <v>-</v>
          </cell>
          <cell r="U2113" t="str">
            <v>-</v>
          </cell>
          <cell r="V2113" t="str">
            <v>SS</v>
          </cell>
          <cell r="W2113" t="str">
            <v>-</v>
          </cell>
          <cell r="X2113" t="str">
            <v>CLP 220 (-15/+40°C)</v>
          </cell>
          <cell r="Y2113" t="str">
            <v>KH97DRN132M4</v>
          </cell>
          <cell r="Z2113" t="str">
            <v>SEW</v>
          </cell>
          <cell r="AB2113" t="str">
            <v>-</v>
          </cell>
          <cell r="AF2113">
            <v>15</v>
          </cell>
          <cell r="AG2113" t="str">
            <v>DRN132M4</v>
          </cell>
          <cell r="AH2113" t="str">
            <v>KH97-DRN132M4A270-X</v>
          </cell>
        </row>
        <row r="2114">
          <cell r="A2114" t="str">
            <v>MR002110</v>
          </cell>
          <cell r="B2114" t="str">
            <v>MR</v>
          </cell>
          <cell r="C2114">
            <v>7.5</v>
          </cell>
          <cell r="D2114">
            <v>15</v>
          </cell>
          <cell r="E2114" t="str">
            <v>KH97</v>
          </cell>
          <cell r="F2114">
            <v>4720</v>
          </cell>
          <cell r="G2114">
            <v>96.8</v>
          </cell>
          <cell r="H2114">
            <v>0.9</v>
          </cell>
          <cell r="I2114" t="str">
            <v>From M1B to M2B - 40°</v>
          </cell>
          <cell r="J2114" t="str">
            <v>IE3</v>
          </cell>
          <cell r="K2114" t="str">
            <v>400/690</v>
          </cell>
          <cell r="L2114">
            <v>50</v>
          </cell>
          <cell r="M2114" t="str">
            <v>15,2/8,8</v>
          </cell>
          <cell r="N2114">
            <v>55</v>
          </cell>
          <cell r="O2114" t="str">
            <v>155(F)</v>
          </cell>
          <cell r="P2114" t="str">
            <v>270°</v>
          </cell>
          <cell r="Q2114" t="str">
            <v>-</v>
          </cell>
          <cell r="R2114" t="str">
            <v>-</v>
          </cell>
          <cell r="S2114" t="str">
            <v>-</v>
          </cell>
          <cell r="T2114" t="str">
            <v>-</v>
          </cell>
          <cell r="U2114" t="str">
            <v>-</v>
          </cell>
          <cell r="V2114" t="str">
            <v>SS</v>
          </cell>
          <cell r="W2114" t="str">
            <v>-</v>
          </cell>
          <cell r="X2114" t="str">
            <v>CLP 220 (-15/+40°C)</v>
          </cell>
          <cell r="Y2114" t="str">
            <v>KH97DRN132M4</v>
          </cell>
          <cell r="Z2114" t="str">
            <v>SEW</v>
          </cell>
          <cell r="AB2114" t="str">
            <v>-</v>
          </cell>
          <cell r="AF2114">
            <v>15</v>
          </cell>
          <cell r="AG2114" t="str">
            <v>DRN132M4</v>
          </cell>
          <cell r="AH2114" t="str">
            <v>KH97-DRN132M4B270-X</v>
          </cell>
        </row>
        <row r="2115">
          <cell r="A2115" t="str">
            <v>MR002111</v>
          </cell>
          <cell r="B2115" t="str">
            <v>MR</v>
          </cell>
          <cell r="C2115">
            <v>7.5</v>
          </cell>
          <cell r="D2115">
            <v>12</v>
          </cell>
          <cell r="E2115" t="str">
            <v>KH107</v>
          </cell>
          <cell r="F2115">
            <v>5920</v>
          </cell>
          <cell r="G2115">
            <v>121.46</v>
          </cell>
          <cell r="H2115">
            <v>1.35</v>
          </cell>
          <cell r="I2115" t="str">
            <v>From M1A to M2A - 40°</v>
          </cell>
          <cell r="J2115" t="str">
            <v>IE3</v>
          </cell>
          <cell r="K2115" t="str">
            <v>400/690</v>
          </cell>
          <cell r="L2115">
            <v>50</v>
          </cell>
          <cell r="M2115" t="str">
            <v>15,2/8,8</v>
          </cell>
          <cell r="N2115">
            <v>55</v>
          </cell>
          <cell r="O2115" t="str">
            <v>155(F)</v>
          </cell>
          <cell r="P2115" t="str">
            <v>270°</v>
          </cell>
          <cell r="Q2115" t="str">
            <v>-</v>
          </cell>
          <cell r="R2115" t="str">
            <v>-</v>
          </cell>
          <cell r="S2115" t="str">
            <v>-</v>
          </cell>
          <cell r="T2115" t="str">
            <v>-</v>
          </cell>
          <cell r="U2115" t="str">
            <v>-</v>
          </cell>
          <cell r="V2115" t="str">
            <v>SS</v>
          </cell>
          <cell r="W2115" t="str">
            <v>-</v>
          </cell>
          <cell r="X2115" t="str">
            <v>CLP 220 (-15/+40°C)</v>
          </cell>
          <cell r="Y2115" t="str">
            <v>KH107DRN132M4</v>
          </cell>
          <cell r="Z2115" t="str">
            <v>SEW</v>
          </cell>
          <cell r="AB2115" t="str">
            <v>-</v>
          </cell>
          <cell r="AF2115">
            <v>12</v>
          </cell>
          <cell r="AG2115" t="str">
            <v>DRN132M4</v>
          </cell>
          <cell r="AH2115" t="str">
            <v>KH107-DRN132M4A270-X</v>
          </cell>
        </row>
        <row r="2116">
          <cell r="A2116" t="str">
            <v>MR002112</v>
          </cell>
          <cell r="B2116" t="str">
            <v>MR</v>
          </cell>
          <cell r="C2116">
            <v>15</v>
          </cell>
          <cell r="D2116">
            <v>16</v>
          </cell>
          <cell r="E2116" t="str">
            <v>KH127</v>
          </cell>
          <cell r="F2116">
            <v>8740</v>
          </cell>
          <cell r="G2116">
            <v>89.89</v>
          </cell>
          <cell r="H2116">
            <v>1.5</v>
          </cell>
          <cell r="I2116" t="str">
            <v>From M1A to M2A - 40°</v>
          </cell>
          <cell r="J2116" t="str">
            <v>IE3</v>
          </cell>
          <cell r="K2116">
            <v>415</v>
          </cell>
          <cell r="L2116">
            <v>50</v>
          </cell>
          <cell r="M2116">
            <v>27.5</v>
          </cell>
          <cell r="N2116">
            <v>65</v>
          </cell>
          <cell r="O2116" t="str">
            <v>155(F)</v>
          </cell>
          <cell r="P2116" t="str">
            <v>270°</v>
          </cell>
          <cell r="Q2116" t="str">
            <v>TF</v>
          </cell>
          <cell r="R2116" t="str">
            <v>-</v>
          </cell>
          <cell r="S2116" t="str">
            <v>-</v>
          </cell>
          <cell r="T2116" t="str">
            <v>-</v>
          </cell>
          <cell r="U2116" t="str">
            <v>-</v>
          </cell>
          <cell r="V2116" t="str">
            <v>SS</v>
          </cell>
          <cell r="W2116" t="str">
            <v>-</v>
          </cell>
          <cell r="X2116" t="str">
            <v>CLP 220 (-15/+40°C)</v>
          </cell>
          <cell r="Y2116" t="str">
            <v>KH127DRN160L4 /TF</v>
          </cell>
          <cell r="Z2116" t="str">
            <v>SEW</v>
          </cell>
          <cell r="AB2116" t="str">
            <v>-</v>
          </cell>
          <cell r="AF2116">
            <v>16</v>
          </cell>
          <cell r="AG2116" t="str">
            <v>DRN160L4</v>
          </cell>
          <cell r="AH2116" t="str">
            <v>KH127-DRN160L4A270-X</v>
          </cell>
        </row>
        <row r="2117">
          <cell r="A2117" t="str">
            <v>MR002113</v>
          </cell>
          <cell r="B2117" t="str">
            <v>MR</v>
          </cell>
          <cell r="C2117">
            <v>7.5</v>
          </cell>
          <cell r="D2117">
            <v>15</v>
          </cell>
          <cell r="E2117" t="str">
            <v>KH107</v>
          </cell>
          <cell r="F2117">
            <v>4920</v>
          </cell>
          <cell r="G2117">
            <v>100.75</v>
          </cell>
          <cell r="H2117">
            <v>1.65</v>
          </cell>
          <cell r="I2117" t="str">
            <v>From M1B to M2B - 45°</v>
          </cell>
          <cell r="J2117" t="str">
            <v>IE3</v>
          </cell>
          <cell r="K2117">
            <v>415</v>
          </cell>
          <cell r="L2117">
            <v>50</v>
          </cell>
          <cell r="M2117">
            <v>14.7</v>
          </cell>
          <cell r="N2117">
            <v>65</v>
          </cell>
          <cell r="O2117" t="str">
            <v>155(F)</v>
          </cell>
          <cell r="P2117" t="str">
            <v>270°</v>
          </cell>
          <cell r="Q2117" t="str">
            <v>TF</v>
          </cell>
          <cell r="R2117" t="str">
            <v>-</v>
          </cell>
          <cell r="S2117" t="str">
            <v>-</v>
          </cell>
          <cell r="T2117" t="str">
            <v>-</v>
          </cell>
          <cell r="U2117" t="str">
            <v>-</v>
          </cell>
          <cell r="V2117" t="str">
            <v>SS</v>
          </cell>
          <cell r="W2117" t="str">
            <v>-</v>
          </cell>
          <cell r="X2117" t="str">
            <v>CLP 220 (-15/+40°C)</v>
          </cell>
          <cell r="Y2117" t="str">
            <v>KH107DRN132M4 /TF</v>
          </cell>
          <cell r="Z2117" t="str">
            <v>SEW</v>
          </cell>
          <cell r="AB2117" t="str">
            <v>-</v>
          </cell>
          <cell r="AF2117">
            <v>15</v>
          </cell>
          <cell r="AG2117" t="str">
            <v>DRN132M4</v>
          </cell>
          <cell r="AH2117" t="str">
            <v>KH107-DRN132M4B270-X</v>
          </cell>
        </row>
        <row r="2118">
          <cell r="A2118" t="str">
            <v>MR002114</v>
          </cell>
          <cell r="B2118" t="str">
            <v>MR</v>
          </cell>
          <cell r="C2118">
            <v>11</v>
          </cell>
          <cell r="D2118">
            <v>15</v>
          </cell>
          <cell r="E2118" t="str">
            <v>KH107</v>
          </cell>
          <cell r="F2118">
            <v>7180</v>
          </cell>
          <cell r="G2118">
            <v>100.75</v>
          </cell>
          <cell r="H2118">
            <v>1.05</v>
          </cell>
          <cell r="I2118" t="str">
            <v>M1A</v>
          </cell>
          <cell r="J2118" t="str">
            <v>IE3</v>
          </cell>
          <cell r="K2118" t="str">
            <v>400/690</v>
          </cell>
          <cell r="L2118">
            <v>50</v>
          </cell>
          <cell r="M2118" t="str">
            <v>21/12,2</v>
          </cell>
          <cell r="N2118">
            <v>55</v>
          </cell>
          <cell r="O2118" t="str">
            <v>F(105°C)</v>
          </cell>
          <cell r="P2118" t="str">
            <v>270°</v>
          </cell>
          <cell r="Q2118" t="str">
            <v>TF</v>
          </cell>
          <cell r="R2118" t="str">
            <v>V(VE)</v>
          </cell>
          <cell r="S2118" t="str">
            <v>-</v>
          </cell>
          <cell r="T2118" t="str">
            <v>-</v>
          </cell>
          <cell r="U2118" t="str">
            <v>-</v>
          </cell>
          <cell r="V2118" t="str">
            <v>FC</v>
          </cell>
          <cell r="W2118" t="str">
            <v>-</v>
          </cell>
          <cell r="X2118" t="str">
            <v>CLP HC 220 (-25/+60°C)</v>
          </cell>
          <cell r="Y2118" t="str">
            <v>KH107EDRN160M4 /TF/VE</v>
          </cell>
          <cell r="Z2118" t="str">
            <v>SEW</v>
          </cell>
          <cell r="AB2118" t="str">
            <v>ATEX22</v>
          </cell>
          <cell r="AF2118">
            <v>15</v>
          </cell>
          <cell r="AG2118" t="str">
            <v>EDRN160M4</v>
          </cell>
          <cell r="AH2118" t="str">
            <v>KH107-EDRN160M4A270-X#</v>
          </cell>
        </row>
        <row r="2119">
          <cell r="A2119" t="str">
            <v>MR002115</v>
          </cell>
          <cell r="B2119" t="str">
            <v>MR</v>
          </cell>
          <cell r="C2119">
            <v>11</v>
          </cell>
          <cell r="D2119">
            <v>15</v>
          </cell>
          <cell r="E2119" t="str">
            <v>KH107</v>
          </cell>
          <cell r="F2119">
            <v>7180</v>
          </cell>
          <cell r="G2119">
            <v>100.75</v>
          </cell>
          <cell r="H2119">
            <v>1.05</v>
          </cell>
          <cell r="I2119" t="str">
            <v>M1B</v>
          </cell>
          <cell r="J2119" t="str">
            <v>IE3</v>
          </cell>
          <cell r="K2119" t="str">
            <v>400/690</v>
          </cell>
          <cell r="L2119">
            <v>50</v>
          </cell>
          <cell r="M2119" t="str">
            <v>21/12,2</v>
          </cell>
          <cell r="N2119">
            <v>55</v>
          </cell>
          <cell r="O2119" t="str">
            <v>F(105°C)</v>
          </cell>
          <cell r="P2119" t="str">
            <v>270°</v>
          </cell>
          <cell r="Q2119" t="str">
            <v>TF</v>
          </cell>
          <cell r="R2119" t="str">
            <v>V(VE)</v>
          </cell>
          <cell r="S2119" t="str">
            <v>-</v>
          </cell>
          <cell r="T2119" t="str">
            <v>-</v>
          </cell>
          <cell r="U2119" t="str">
            <v>-</v>
          </cell>
          <cell r="V2119" t="str">
            <v>FC</v>
          </cell>
          <cell r="W2119" t="str">
            <v>-</v>
          </cell>
          <cell r="X2119" t="str">
            <v>CLP HC 220 (-25/+60°C)</v>
          </cell>
          <cell r="Y2119" t="str">
            <v>KH107EDRN160M4 /TF/VE</v>
          </cell>
          <cell r="Z2119" t="str">
            <v>SEW</v>
          </cell>
          <cell r="AB2119" t="str">
            <v>ATEX22</v>
          </cell>
          <cell r="AF2119">
            <v>15</v>
          </cell>
          <cell r="AG2119" t="str">
            <v>EDRN160M4</v>
          </cell>
          <cell r="AH2119" t="str">
            <v>KH107-EDRN160M4B270-X#</v>
          </cell>
        </row>
        <row r="2120">
          <cell r="A2120" t="str">
            <v>MR002116</v>
          </cell>
          <cell r="B2120" t="str">
            <v>MR</v>
          </cell>
          <cell r="C2120">
            <v>15</v>
          </cell>
          <cell r="D2120">
            <v>16</v>
          </cell>
          <cell r="E2120" t="str">
            <v>KH127</v>
          </cell>
          <cell r="F2120">
            <v>8730</v>
          </cell>
          <cell r="G2120">
            <v>89.89</v>
          </cell>
          <cell r="H2120">
            <v>1.5</v>
          </cell>
          <cell r="I2120" t="str">
            <v>From M4B to M1B - 40°</v>
          </cell>
          <cell r="J2120" t="str">
            <v>IE3</v>
          </cell>
          <cell r="K2120" t="str">
            <v>400/690</v>
          </cell>
          <cell r="L2120">
            <v>50</v>
          </cell>
          <cell r="M2120" t="str">
            <v>29/16,7</v>
          </cell>
          <cell r="N2120">
            <v>55</v>
          </cell>
          <cell r="O2120" t="str">
            <v>155(F)</v>
          </cell>
          <cell r="P2120" t="str">
            <v>270°</v>
          </cell>
          <cell r="Q2120" t="str">
            <v>-</v>
          </cell>
          <cell r="R2120" t="str">
            <v>-</v>
          </cell>
          <cell r="S2120" t="str">
            <v>-</v>
          </cell>
          <cell r="T2120" t="str">
            <v>-</v>
          </cell>
          <cell r="U2120" t="str">
            <v>-</v>
          </cell>
          <cell r="V2120" t="str">
            <v>SS</v>
          </cell>
          <cell r="W2120" t="str">
            <v>-</v>
          </cell>
          <cell r="X2120" t="str">
            <v>CLP HC 220 (-25/+60°C)</v>
          </cell>
          <cell r="Y2120" t="str">
            <v>KH127DRN160L4</v>
          </cell>
          <cell r="Z2120" t="str">
            <v>SEW</v>
          </cell>
          <cell r="AB2120" t="str">
            <v>-</v>
          </cell>
          <cell r="AF2120">
            <v>16</v>
          </cell>
          <cell r="AG2120" t="str">
            <v>DRN160L4</v>
          </cell>
          <cell r="AH2120" t="str">
            <v>KH127-DRN160L4B270-X</v>
          </cell>
        </row>
        <row r="2121">
          <cell r="A2121" t="str">
            <v>MR002117</v>
          </cell>
          <cell r="B2121" t="str">
            <v>MR</v>
          </cell>
          <cell r="C2121">
            <v>5.5</v>
          </cell>
          <cell r="D2121">
            <v>17</v>
          </cell>
          <cell r="E2121" t="str">
            <v>KH97</v>
          </cell>
          <cell r="F2121">
            <v>3110</v>
          </cell>
          <cell r="G2121">
            <v>86.52</v>
          </cell>
          <cell r="H2121">
            <v>1.4</v>
          </cell>
          <cell r="I2121" t="str">
            <v>From M1B to M2B - 45°</v>
          </cell>
          <cell r="J2121" t="str">
            <v>IE2</v>
          </cell>
          <cell r="K2121" t="str">
            <v>400/690</v>
          </cell>
          <cell r="L2121">
            <v>50</v>
          </cell>
          <cell r="M2121" t="str">
            <v>18,2/10,5</v>
          </cell>
          <cell r="N2121">
            <v>55</v>
          </cell>
          <cell r="O2121" t="str">
            <v>155(F)</v>
          </cell>
          <cell r="P2121" t="str">
            <v>0°</v>
          </cell>
          <cell r="Q2121" t="str">
            <v>-</v>
          </cell>
          <cell r="R2121" t="str">
            <v>-</v>
          </cell>
          <cell r="S2121" t="str">
            <v>-</v>
          </cell>
          <cell r="T2121" t="str">
            <v>-</v>
          </cell>
          <cell r="U2121" t="str">
            <v>-</v>
          </cell>
          <cell r="V2121" t="str">
            <v>SS</v>
          </cell>
          <cell r="W2121" t="str">
            <v>-</v>
          </cell>
          <cell r="X2121" t="str">
            <v>CLP HC 220 (-25/+60°C)</v>
          </cell>
          <cell r="Y2121" t="str">
            <v>KH97DRN132S4</v>
          </cell>
          <cell r="Z2121" t="str">
            <v>SEW</v>
          </cell>
          <cell r="AB2121" t="str">
            <v>-</v>
          </cell>
          <cell r="AF2121">
            <v>17</v>
          </cell>
          <cell r="AG2121" t="str">
            <v>DRN132S4</v>
          </cell>
          <cell r="AH2121" t="str">
            <v>KH97-DRN132S4B0-X</v>
          </cell>
        </row>
        <row r="2122">
          <cell r="A2122" t="str">
            <v>MR002118</v>
          </cell>
          <cell r="B2122" t="str">
            <v>MR</v>
          </cell>
          <cell r="C2122">
            <v>5.5</v>
          </cell>
          <cell r="D2122">
            <v>17</v>
          </cell>
          <cell r="E2122" t="str">
            <v>KH97</v>
          </cell>
          <cell r="F2122">
            <v>3110</v>
          </cell>
          <cell r="G2122">
            <v>86.52</v>
          </cell>
          <cell r="H2122">
            <v>1.4</v>
          </cell>
          <cell r="I2122" t="str">
            <v>From M1A to M2A - 45°</v>
          </cell>
          <cell r="J2122" t="str">
            <v>IE2</v>
          </cell>
          <cell r="K2122" t="str">
            <v>400/690</v>
          </cell>
          <cell r="L2122">
            <v>50</v>
          </cell>
          <cell r="M2122" t="str">
            <v>18,2/10,5</v>
          </cell>
          <cell r="N2122">
            <v>55</v>
          </cell>
          <cell r="O2122" t="str">
            <v>155(F)</v>
          </cell>
          <cell r="P2122" t="str">
            <v>180°</v>
          </cell>
          <cell r="Q2122" t="str">
            <v>-</v>
          </cell>
          <cell r="R2122" t="str">
            <v>-</v>
          </cell>
          <cell r="S2122" t="str">
            <v>-</v>
          </cell>
          <cell r="T2122" t="str">
            <v>-</v>
          </cell>
          <cell r="U2122" t="str">
            <v>-</v>
          </cell>
          <cell r="V2122" t="str">
            <v>SS</v>
          </cell>
          <cell r="W2122" t="str">
            <v>-</v>
          </cell>
          <cell r="X2122" t="str">
            <v>CLP HC 220 (-25/+60°C)</v>
          </cell>
          <cell r="Y2122" t="str">
            <v>KH97DRN132S4</v>
          </cell>
          <cell r="Z2122" t="str">
            <v>SEW</v>
          </cell>
          <cell r="AB2122" t="str">
            <v>-</v>
          </cell>
          <cell r="AF2122">
            <v>17</v>
          </cell>
          <cell r="AG2122" t="str">
            <v>DRN132S4</v>
          </cell>
          <cell r="AH2122" t="str">
            <v>KH97-DRN132S4A180-X</v>
          </cell>
        </row>
        <row r="2123">
          <cell r="A2123" t="str">
            <v>MR002119</v>
          </cell>
          <cell r="B2123" t="str">
            <v>MR</v>
          </cell>
          <cell r="C2123">
            <v>15</v>
          </cell>
          <cell r="D2123">
            <v>59</v>
          </cell>
          <cell r="E2123" t="str">
            <v>R97</v>
          </cell>
          <cell r="F2123">
            <v>2430</v>
          </cell>
          <cell r="G2123">
            <v>25.03</v>
          </cell>
          <cell r="H2123">
            <v>1.1499999999999999</v>
          </cell>
          <cell r="I2123" t="str">
            <v>From M1 to M2 - 15°</v>
          </cell>
          <cell r="J2123" t="str">
            <v>IE3</v>
          </cell>
          <cell r="K2123" t="str">
            <v>400/690</v>
          </cell>
          <cell r="L2123">
            <v>50</v>
          </cell>
          <cell r="M2123" t="str">
            <v>29/16,7</v>
          </cell>
          <cell r="N2123">
            <v>55</v>
          </cell>
          <cell r="O2123" t="str">
            <v>155(F)</v>
          </cell>
          <cell r="P2123" t="str">
            <v>270°</v>
          </cell>
          <cell r="Q2123" t="str">
            <v>TF</v>
          </cell>
          <cell r="R2123" t="str">
            <v>V(VE)</v>
          </cell>
          <cell r="S2123" t="str">
            <v>-</v>
          </cell>
          <cell r="T2123" t="str">
            <v>-</v>
          </cell>
          <cell r="U2123" t="str">
            <v>-</v>
          </cell>
          <cell r="V2123" t="str">
            <v>FC</v>
          </cell>
          <cell r="W2123" t="str">
            <v>-</v>
          </cell>
          <cell r="X2123" t="str">
            <v>CLP HC 220 (-25/+60°C)</v>
          </cell>
          <cell r="Y2123" t="str">
            <v>R97DRN160L4 /TF/V</v>
          </cell>
          <cell r="Z2123" t="str">
            <v>SEW</v>
          </cell>
          <cell r="AB2123" t="str">
            <v>-</v>
          </cell>
          <cell r="AF2123">
            <v>59</v>
          </cell>
          <cell r="AG2123" t="str">
            <v>DRN160L4</v>
          </cell>
          <cell r="AH2123" t="str">
            <v>R97-DRN160L4270-X#</v>
          </cell>
        </row>
        <row r="2124">
          <cell r="A2124" t="str">
            <v>MR002120</v>
          </cell>
          <cell r="B2124" t="str">
            <v>MR</v>
          </cell>
          <cell r="C2124">
            <v>9.1999999999999993</v>
          </cell>
          <cell r="D2124">
            <v>15</v>
          </cell>
          <cell r="E2124" t="str">
            <v>KH107</v>
          </cell>
          <cell r="F2124">
            <v>6020</v>
          </cell>
          <cell r="G2124">
            <v>100.75</v>
          </cell>
          <cell r="H2124">
            <v>1.35</v>
          </cell>
          <cell r="I2124" t="str">
            <v>From M1A to M2A - 40°</v>
          </cell>
          <cell r="J2124" t="str">
            <v>IE3</v>
          </cell>
          <cell r="K2124" t="str">
            <v>400/690</v>
          </cell>
          <cell r="L2124">
            <v>50</v>
          </cell>
          <cell r="M2124" t="str">
            <v>18,7/10,8</v>
          </cell>
          <cell r="N2124">
            <v>55</v>
          </cell>
          <cell r="O2124" t="str">
            <v>155(F)</v>
          </cell>
          <cell r="P2124" t="str">
            <v>180°</v>
          </cell>
          <cell r="Q2124" t="str">
            <v>-</v>
          </cell>
          <cell r="R2124" t="str">
            <v>-</v>
          </cell>
          <cell r="S2124" t="str">
            <v>-</v>
          </cell>
          <cell r="T2124" t="str">
            <v>-</v>
          </cell>
          <cell r="U2124" t="str">
            <v>-</v>
          </cell>
          <cell r="V2124" t="str">
            <v>SS</v>
          </cell>
          <cell r="W2124" t="str">
            <v>-</v>
          </cell>
          <cell r="X2124" t="str">
            <v>CLP HC 220 (-25/+60°C)</v>
          </cell>
          <cell r="Y2124" t="str">
            <v>KH107DRN132L4</v>
          </cell>
          <cell r="Z2124" t="str">
            <v>SEW</v>
          </cell>
          <cell r="AB2124" t="str">
            <v>-</v>
          </cell>
          <cell r="AF2124">
            <v>15</v>
          </cell>
          <cell r="AG2124" t="str">
            <v>DRN132L4</v>
          </cell>
          <cell r="AH2124" t="str">
            <v>KH107-DRN132L4A180-X</v>
          </cell>
        </row>
        <row r="2125">
          <cell r="A2125" t="str">
            <v>MR002121</v>
          </cell>
          <cell r="B2125" t="str">
            <v>MR</v>
          </cell>
          <cell r="C2125">
            <v>11</v>
          </cell>
          <cell r="D2125">
            <v>15</v>
          </cell>
          <cell r="E2125" t="str">
            <v>KH107</v>
          </cell>
          <cell r="F2125">
            <v>7180</v>
          </cell>
          <cell r="G2125">
            <v>100.75</v>
          </cell>
          <cell r="H2125">
            <v>1.1000000000000001</v>
          </cell>
          <cell r="I2125" t="str">
            <v>From M1A to M2A - 35°</v>
          </cell>
          <cell r="J2125" t="str">
            <v>IE3</v>
          </cell>
          <cell r="K2125" t="str">
            <v>400/690</v>
          </cell>
          <cell r="L2125">
            <v>50</v>
          </cell>
          <cell r="M2125" t="str">
            <v>21/12,2</v>
          </cell>
          <cell r="N2125">
            <v>55</v>
          </cell>
          <cell r="O2125" t="str">
            <v>155(F)</v>
          </cell>
          <cell r="P2125" t="str">
            <v>180°</v>
          </cell>
          <cell r="Q2125" t="str">
            <v>-</v>
          </cell>
          <cell r="R2125" t="str">
            <v>-</v>
          </cell>
          <cell r="S2125" t="str">
            <v>-</v>
          </cell>
          <cell r="T2125" t="str">
            <v>-</v>
          </cell>
          <cell r="U2125" t="str">
            <v>-</v>
          </cell>
          <cell r="V2125" t="str">
            <v>SS</v>
          </cell>
          <cell r="W2125" t="str">
            <v>-</v>
          </cell>
          <cell r="X2125" t="str">
            <v>CLP HC 220 (-25/+60°C)</v>
          </cell>
          <cell r="Y2125" t="str">
            <v>KH107DRN160M4</v>
          </cell>
          <cell r="Z2125" t="str">
            <v>SEW</v>
          </cell>
          <cell r="AB2125" t="str">
            <v>-</v>
          </cell>
          <cell r="AF2125">
            <v>15</v>
          </cell>
          <cell r="AG2125" t="str">
            <v>DRN160M4</v>
          </cell>
          <cell r="AH2125" t="str">
            <v>KH107-DRN160M4A180-X</v>
          </cell>
        </row>
        <row r="2126">
          <cell r="A2126" t="str">
            <v>MR002122</v>
          </cell>
          <cell r="B2126" t="str">
            <v>MR</v>
          </cell>
          <cell r="C2126">
            <v>5.5</v>
          </cell>
          <cell r="D2126">
            <v>14</v>
          </cell>
          <cell r="E2126" t="str">
            <v>KH97</v>
          </cell>
          <cell r="F2126">
            <v>3770</v>
          </cell>
          <cell r="G2126">
            <v>105.13</v>
          </cell>
          <cell r="H2126">
            <v>1.1499999999999999</v>
          </cell>
          <cell r="I2126" t="str">
            <v>From M1A to M2A - 40°</v>
          </cell>
          <cell r="J2126" t="str">
            <v>IE3</v>
          </cell>
          <cell r="K2126" t="str">
            <v>400/690</v>
          </cell>
          <cell r="L2126">
            <v>50</v>
          </cell>
          <cell r="M2126" t="str">
            <v>18,2/10,5</v>
          </cell>
          <cell r="N2126">
            <v>55</v>
          </cell>
          <cell r="O2126" t="str">
            <v>155(F)</v>
          </cell>
          <cell r="P2126" t="str">
            <v>0°</v>
          </cell>
          <cell r="Q2126" t="str">
            <v>-</v>
          </cell>
          <cell r="R2126" t="str">
            <v>-</v>
          </cell>
          <cell r="S2126" t="str">
            <v>-</v>
          </cell>
          <cell r="T2126" t="str">
            <v>-</v>
          </cell>
          <cell r="U2126" t="str">
            <v>-</v>
          </cell>
          <cell r="V2126" t="str">
            <v>SS</v>
          </cell>
          <cell r="W2126" t="str">
            <v>-</v>
          </cell>
          <cell r="X2126" t="str">
            <v>CLP HC 220 (-25/+60°C)</v>
          </cell>
          <cell r="Y2126" t="str">
            <v>KH97DRN132S4</v>
          </cell>
          <cell r="Z2126" t="str">
            <v>SEW</v>
          </cell>
          <cell r="AB2126" t="str">
            <v>-</v>
          </cell>
          <cell r="AF2126">
            <v>14</v>
          </cell>
          <cell r="AG2126" t="str">
            <v>DRN132S4</v>
          </cell>
          <cell r="AH2126" t="str">
            <v>KH97-DRN132S4A0-X</v>
          </cell>
        </row>
        <row r="2127">
          <cell r="A2127" t="str">
            <v>MR002123</v>
          </cell>
          <cell r="B2127" t="str">
            <v>MR</v>
          </cell>
          <cell r="C2127">
            <v>7.5</v>
          </cell>
          <cell r="D2127">
            <v>63</v>
          </cell>
          <cell r="E2127" t="str">
            <v>R87</v>
          </cell>
          <cell r="F2127">
            <v>1140</v>
          </cell>
          <cell r="G2127">
            <v>23.4</v>
          </cell>
          <cell r="H2127">
            <v>1.35</v>
          </cell>
          <cell r="I2127" t="str">
            <v>From M1 to M2 - 10°</v>
          </cell>
          <cell r="J2127" t="str">
            <v>IE3</v>
          </cell>
          <cell r="K2127" t="str">
            <v>400/690</v>
          </cell>
          <cell r="L2127">
            <v>50</v>
          </cell>
          <cell r="M2127" t="str">
            <v>15,2/8,8</v>
          </cell>
          <cell r="N2127">
            <v>55</v>
          </cell>
          <cell r="O2127" t="str">
            <v>155(F)</v>
          </cell>
          <cell r="P2127" t="str">
            <v>270°</v>
          </cell>
          <cell r="Q2127" t="str">
            <v>-</v>
          </cell>
          <cell r="R2127" t="str">
            <v>-</v>
          </cell>
          <cell r="S2127" t="str">
            <v>-</v>
          </cell>
          <cell r="T2127" t="str">
            <v>-</v>
          </cell>
          <cell r="U2127" t="str">
            <v>-</v>
          </cell>
          <cell r="V2127" t="str">
            <v>D</v>
          </cell>
          <cell r="W2127" t="str">
            <v>-</v>
          </cell>
          <cell r="X2127" t="str">
            <v>CLP HC 220 (-25/+60°C)</v>
          </cell>
          <cell r="Y2127" t="str">
            <v>R87DRN132M4</v>
          </cell>
          <cell r="Z2127" t="str">
            <v>SEW</v>
          </cell>
          <cell r="AB2127" t="str">
            <v>-</v>
          </cell>
          <cell r="AF2127">
            <v>63</v>
          </cell>
          <cell r="AG2127" t="str">
            <v>DRN132M4</v>
          </cell>
          <cell r="AH2127" t="str">
            <v>R87-DRN132M4270-X</v>
          </cell>
        </row>
        <row r="2128">
          <cell r="A2128" t="str">
            <v>MR002124</v>
          </cell>
          <cell r="B2128" t="str">
            <v>MR</v>
          </cell>
          <cell r="C2128">
            <v>11</v>
          </cell>
          <cell r="D2128">
            <v>19</v>
          </cell>
          <cell r="E2128" t="str">
            <v>R127</v>
          </cell>
          <cell r="F2128">
            <v>5430</v>
          </cell>
          <cell r="G2128">
            <v>76.209999999999994</v>
          </cell>
          <cell r="H2128">
            <v>1.1000000000000001</v>
          </cell>
          <cell r="I2128" t="str">
            <v>From M1 to M2 - 15°</v>
          </cell>
          <cell r="J2128" t="str">
            <v>IE3</v>
          </cell>
          <cell r="K2128" t="str">
            <v>400/690</v>
          </cell>
          <cell r="L2128">
            <v>50</v>
          </cell>
          <cell r="M2128" t="str">
            <v>21/12,2</v>
          </cell>
          <cell r="N2128">
            <v>55</v>
          </cell>
          <cell r="O2128" t="str">
            <v>155(F)</v>
          </cell>
          <cell r="P2128" t="str">
            <v>270°</v>
          </cell>
          <cell r="Q2128" t="str">
            <v>TF</v>
          </cell>
          <cell r="R2128" t="str">
            <v>V(VE)</v>
          </cell>
          <cell r="S2128" t="str">
            <v>-</v>
          </cell>
          <cell r="T2128" t="str">
            <v>-</v>
          </cell>
          <cell r="U2128" t="str">
            <v>-</v>
          </cell>
          <cell r="V2128" t="str">
            <v>FC</v>
          </cell>
          <cell r="W2128" t="str">
            <v>-</v>
          </cell>
          <cell r="X2128" t="str">
            <v>CLP HC 220 (-25/+60°C)</v>
          </cell>
          <cell r="Y2128" t="str">
            <v>R127DRN160M4 /TF/V</v>
          </cell>
          <cell r="Z2128" t="str">
            <v>SEW</v>
          </cell>
          <cell r="AB2128" t="str">
            <v>-</v>
          </cell>
          <cell r="AF2128">
            <v>19</v>
          </cell>
          <cell r="AG2128" t="str">
            <v>DRN160M4</v>
          </cell>
          <cell r="AH2128" t="str">
            <v>R127-DRN160M4270-X#</v>
          </cell>
        </row>
        <row r="2129">
          <cell r="A2129" t="str">
            <v>MR002125</v>
          </cell>
          <cell r="B2129" t="str">
            <v>MR</v>
          </cell>
          <cell r="C2129">
            <v>15</v>
          </cell>
          <cell r="D2129">
            <v>12</v>
          </cell>
          <cell r="E2129" t="str">
            <v>KH127</v>
          </cell>
          <cell r="F2129">
            <v>11900</v>
          </cell>
          <cell r="G2129">
            <v>122.48</v>
          </cell>
          <cell r="H2129">
            <v>1.1000000000000001</v>
          </cell>
          <cell r="I2129" t="str">
            <v>From M1A to M2A - 40°</v>
          </cell>
          <cell r="J2129" t="str">
            <v>IE3</v>
          </cell>
          <cell r="K2129" t="str">
            <v>400/690</v>
          </cell>
          <cell r="L2129">
            <v>50</v>
          </cell>
          <cell r="M2129" t="str">
            <v>29/16,7</v>
          </cell>
          <cell r="N2129">
            <v>55</v>
          </cell>
          <cell r="O2129" t="str">
            <v>155(F)</v>
          </cell>
          <cell r="P2129" t="str">
            <v>270°</v>
          </cell>
          <cell r="Q2129" t="str">
            <v>-</v>
          </cell>
          <cell r="R2129" t="str">
            <v>-</v>
          </cell>
          <cell r="S2129" t="str">
            <v>-</v>
          </cell>
          <cell r="T2129" t="str">
            <v>-</v>
          </cell>
          <cell r="U2129" t="str">
            <v>-</v>
          </cell>
          <cell r="V2129" t="str">
            <v>SS</v>
          </cell>
          <cell r="W2129" t="str">
            <v>-</v>
          </cell>
          <cell r="X2129" t="str">
            <v>CLP 220 (-15/+40°C)</v>
          </cell>
          <cell r="Y2129" t="str">
            <v>KH127DRN160L4</v>
          </cell>
          <cell r="Z2129" t="str">
            <v>SEW</v>
          </cell>
          <cell r="AB2129" t="str">
            <v>-</v>
          </cell>
          <cell r="AF2129">
            <v>12</v>
          </cell>
          <cell r="AG2129" t="str">
            <v>DRN160L4</v>
          </cell>
          <cell r="AH2129" t="str">
            <v>KH127-DRN160L4A270-X</v>
          </cell>
        </row>
        <row r="2130">
          <cell r="A2130" t="str">
            <v>MR002126</v>
          </cell>
          <cell r="B2130" t="str">
            <v>MR</v>
          </cell>
          <cell r="C2130">
            <v>15</v>
          </cell>
          <cell r="D2130">
            <v>12</v>
          </cell>
          <cell r="E2130" t="str">
            <v>KH127</v>
          </cell>
          <cell r="F2130">
            <v>11900</v>
          </cell>
          <cell r="G2130">
            <v>122.48</v>
          </cell>
          <cell r="H2130">
            <v>1.1000000000000001</v>
          </cell>
          <cell r="I2130" t="str">
            <v>M1A</v>
          </cell>
          <cell r="J2130" t="str">
            <v>IE3</v>
          </cell>
          <cell r="K2130" t="str">
            <v>400/690</v>
          </cell>
          <cell r="L2130">
            <v>50</v>
          </cell>
          <cell r="M2130" t="str">
            <v>29/16,7</v>
          </cell>
          <cell r="N2130">
            <v>55</v>
          </cell>
          <cell r="O2130" t="str">
            <v>155(F)</v>
          </cell>
          <cell r="P2130" t="str">
            <v>270°</v>
          </cell>
          <cell r="Q2130" t="str">
            <v>-</v>
          </cell>
          <cell r="R2130" t="str">
            <v>-</v>
          </cell>
          <cell r="S2130" t="str">
            <v>-</v>
          </cell>
          <cell r="T2130" t="str">
            <v>-</v>
          </cell>
          <cell r="U2130" t="str">
            <v>-</v>
          </cell>
          <cell r="V2130" t="str">
            <v>SS</v>
          </cell>
          <cell r="W2130" t="str">
            <v>-</v>
          </cell>
          <cell r="X2130" t="str">
            <v>CLP 220 (-15/+40°C)</v>
          </cell>
          <cell r="Y2130" t="str">
            <v>KH127DRN160L4</v>
          </cell>
          <cell r="Z2130" t="str">
            <v>SEW</v>
          </cell>
          <cell r="AB2130" t="str">
            <v>-</v>
          </cell>
          <cell r="AF2130">
            <v>12</v>
          </cell>
          <cell r="AG2130" t="str">
            <v>DRN160L4</v>
          </cell>
          <cell r="AH2130" t="str">
            <v>KH127-DRN160L4A270-X</v>
          </cell>
        </row>
        <row r="2131">
          <cell r="A2131" t="str">
            <v>MR002127</v>
          </cell>
          <cell r="B2131" t="str">
            <v>MR</v>
          </cell>
          <cell r="C2131">
            <v>9.1999999999999993</v>
          </cell>
          <cell r="D2131">
            <v>11</v>
          </cell>
          <cell r="E2131" t="str">
            <v>KH127</v>
          </cell>
          <cell r="F2131">
            <v>8130</v>
          </cell>
          <cell r="G2131">
            <v>136.13999999999999</v>
          </cell>
          <cell r="H2131">
            <v>1.6</v>
          </cell>
          <cell r="I2131" t="str">
            <v>From M1B to M2B - 40°</v>
          </cell>
          <cell r="J2131" t="str">
            <v>IE3</v>
          </cell>
          <cell r="K2131" t="str">
            <v>400/690</v>
          </cell>
          <cell r="L2131">
            <v>50</v>
          </cell>
          <cell r="M2131" t="str">
            <v>18,7/10,8</v>
          </cell>
          <cell r="N2131">
            <v>55</v>
          </cell>
          <cell r="O2131" t="str">
            <v>155(F)</v>
          </cell>
          <cell r="P2131" t="str">
            <v>270°</v>
          </cell>
          <cell r="Q2131" t="str">
            <v>-</v>
          </cell>
          <cell r="R2131" t="str">
            <v>-</v>
          </cell>
          <cell r="S2131" t="str">
            <v>-</v>
          </cell>
          <cell r="T2131" t="str">
            <v>-</v>
          </cell>
          <cell r="U2131" t="str">
            <v>-</v>
          </cell>
          <cell r="V2131" t="str">
            <v>SS</v>
          </cell>
          <cell r="W2131" t="str">
            <v>-</v>
          </cell>
          <cell r="X2131" t="str">
            <v>CLP 220 (-15/+40°C)</v>
          </cell>
          <cell r="Y2131" t="str">
            <v>KH127DRN132L4</v>
          </cell>
          <cell r="Z2131" t="str">
            <v>SEW</v>
          </cell>
          <cell r="AB2131" t="str">
            <v>-</v>
          </cell>
          <cell r="AF2131">
            <v>11</v>
          </cell>
          <cell r="AG2131" t="str">
            <v>DRN132L4</v>
          </cell>
          <cell r="AH2131" t="str">
            <v>KH127-DRN132L4B270-X</v>
          </cell>
        </row>
        <row r="2132">
          <cell r="A2132" t="str">
            <v>MR002128</v>
          </cell>
          <cell r="B2132" t="str">
            <v>MR</v>
          </cell>
          <cell r="C2132">
            <v>11</v>
          </cell>
          <cell r="D2132">
            <v>11</v>
          </cell>
          <cell r="E2132" t="str">
            <v>KH127</v>
          </cell>
          <cell r="F2132">
            <v>9700</v>
          </cell>
          <cell r="G2132">
            <v>136.13999999999999</v>
          </cell>
          <cell r="H2132">
            <v>1.35</v>
          </cell>
          <cell r="I2132" t="str">
            <v>From M1A to M2A - 30°</v>
          </cell>
          <cell r="J2132" t="str">
            <v>IE3</v>
          </cell>
          <cell r="K2132" t="str">
            <v>400/690</v>
          </cell>
          <cell r="L2132">
            <v>50</v>
          </cell>
          <cell r="M2132" t="str">
            <v>21/12,2</v>
          </cell>
          <cell r="N2132">
            <v>55</v>
          </cell>
          <cell r="O2132" t="str">
            <v>155(F)</v>
          </cell>
          <cell r="P2132" t="str">
            <v>270°</v>
          </cell>
          <cell r="Q2132" t="str">
            <v>-</v>
          </cell>
          <cell r="R2132" t="str">
            <v>-</v>
          </cell>
          <cell r="S2132" t="str">
            <v>-</v>
          </cell>
          <cell r="T2132" t="str">
            <v>-</v>
          </cell>
          <cell r="U2132" t="str">
            <v>-</v>
          </cell>
          <cell r="V2132" t="str">
            <v>SS</v>
          </cell>
          <cell r="W2132" t="str">
            <v>-</v>
          </cell>
          <cell r="X2132" t="str">
            <v>CLP 220 (-15/+40°C)</v>
          </cell>
          <cell r="Y2132" t="str">
            <v>KH127DRN160M4</v>
          </cell>
          <cell r="Z2132" t="str">
            <v>SEW</v>
          </cell>
          <cell r="AB2132" t="str">
            <v>-</v>
          </cell>
          <cell r="AF2132">
            <v>11</v>
          </cell>
          <cell r="AG2132" t="str">
            <v>DRN160M4</v>
          </cell>
          <cell r="AH2132" t="str">
            <v>KH127-DRN160M4A270-X</v>
          </cell>
        </row>
        <row r="2133">
          <cell r="A2133" t="str">
            <v>MR002129</v>
          </cell>
          <cell r="B2133" t="str">
            <v>MR</v>
          </cell>
          <cell r="C2133">
            <v>11</v>
          </cell>
          <cell r="D2133">
            <v>11</v>
          </cell>
          <cell r="E2133" t="str">
            <v>KH127</v>
          </cell>
          <cell r="F2133">
            <v>9700</v>
          </cell>
          <cell r="G2133">
            <v>136.13999999999999</v>
          </cell>
          <cell r="H2133">
            <v>1.35</v>
          </cell>
          <cell r="I2133" t="str">
            <v>From M1B to M2B - 30°</v>
          </cell>
          <cell r="J2133" t="str">
            <v>IE3</v>
          </cell>
          <cell r="K2133" t="str">
            <v>400/690</v>
          </cell>
          <cell r="L2133">
            <v>50</v>
          </cell>
          <cell r="M2133" t="str">
            <v>21/12,2</v>
          </cell>
          <cell r="N2133">
            <v>55</v>
          </cell>
          <cell r="O2133" t="str">
            <v>155(F)</v>
          </cell>
          <cell r="P2133" t="str">
            <v>270°</v>
          </cell>
          <cell r="Q2133" t="str">
            <v>-</v>
          </cell>
          <cell r="R2133" t="str">
            <v>-</v>
          </cell>
          <cell r="S2133" t="str">
            <v>-</v>
          </cell>
          <cell r="T2133" t="str">
            <v>-</v>
          </cell>
          <cell r="U2133" t="str">
            <v>-</v>
          </cell>
          <cell r="V2133" t="str">
            <v>SS</v>
          </cell>
          <cell r="W2133" t="str">
            <v>-</v>
          </cell>
          <cell r="X2133" t="str">
            <v>CLP 220 (-15/+40°C)</v>
          </cell>
          <cell r="Y2133" t="str">
            <v>KH127DRN160M4</v>
          </cell>
          <cell r="Z2133" t="str">
            <v>SEW</v>
          </cell>
          <cell r="AB2133" t="str">
            <v>-</v>
          </cell>
          <cell r="AF2133">
            <v>11</v>
          </cell>
          <cell r="AG2133" t="str">
            <v>DRN160M4</v>
          </cell>
          <cell r="AH2133" t="str">
            <v>KH127-DRN160M4B270-X</v>
          </cell>
        </row>
        <row r="2134">
          <cell r="A2134" t="str">
            <v>MR002130</v>
          </cell>
          <cell r="B2134" t="str">
            <v>MR</v>
          </cell>
          <cell r="C2134">
            <v>15</v>
          </cell>
          <cell r="D2134">
            <v>12</v>
          </cell>
          <cell r="E2134" t="str">
            <v>KH157</v>
          </cell>
          <cell r="F2134">
            <v>11900</v>
          </cell>
          <cell r="G2134">
            <v>122.39</v>
          </cell>
          <cell r="H2134">
            <v>1.7</v>
          </cell>
          <cell r="I2134" t="str">
            <v>From M1A to M2A - 5°</v>
          </cell>
          <cell r="J2134" t="str">
            <v>IE3</v>
          </cell>
          <cell r="K2134" t="str">
            <v>400/690</v>
          </cell>
          <cell r="L2134">
            <v>50</v>
          </cell>
          <cell r="M2134" t="str">
            <v>29/16,7</v>
          </cell>
          <cell r="N2134">
            <v>55</v>
          </cell>
          <cell r="O2134" t="str">
            <v>155(F)</v>
          </cell>
          <cell r="P2134" t="str">
            <v>270°</v>
          </cell>
          <cell r="Q2134" t="str">
            <v>-</v>
          </cell>
          <cell r="R2134" t="str">
            <v>-</v>
          </cell>
          <cell r="S2134" t="str">
            <v>-</v>
          </cell>
          <cell r="T2134" t="str">
            <v>-</v>
          </cell>
          <cell r="U2134" t="str">
            <v>-</v>
          </cell>
          <cell r="V2134" t="str">
            <v>SS</v>
          </cell>
          <cell r="W2134" t="str">
            <v>-</v>
          </cell>
          <cell r="X2134" t="str">
            <v>CLP 220 (-15/+40°C)</v>
          </cell>
          <cell r="Y2134" t="str">
            <v>KH157DRN160L4</v>
          </cell>
          <cell r="Z2134" t="str">
            <v>SEW</v>
          </cell>
          <cell r="AB2134" t="str">
            <v>-</v>
          </cell>
          <cell r="AF2134">
            <v>12</v>
          </cell>
          <cell r="AG2134" t="str">
            <v>DRN160L4</v>
          </cell>
          <cell r="AH2134" t="str">
            <v>KH157-DRN160L4A270-X</v>
          </cell>
        </row>
        <row r="2135">
          <cell r="A2135" t="str">
            <v>MR002131</v>
          </cell>
          <cell r="B2135" t="str">
            <v>MR</v>
          </cell>
          <cell r="C2135">
            <v>15</v>
          </cell>
          <cell r="D2135">
            <v>12</v>
          </cell>
          <cell r="E2135" t="str">
            <v>KH157</v>
          </cell>
          <cell r="F2135">
            <v>11900</v>
          </cell>
          <cell r="G2135">
            <v>122.39</v>
          </cell>
          <cell r="H2135">
            <v>1.7</v>
          </cell>
          <cell r="I2135" t="str">
            <v>From M1B to M2B - 5°</v>
          </cell>
          <cell r="J2135" t="str">
            <v>IE3</v>
          </cell>
          <cell r="K2135" t="str">
            <v>400/690</v>
          </cell>
          <cell r="L2135">
            <v>50</v>
          </cell>
          <cell r="M2135" t="str">
            <v>29/16,7</v>
          </cell>
          <cell r="N2135">
            <v>55</v>
          </cell>
          <cell r="O2135" t="str">
            <v>155(F)</v>
          </cell>
          <cell r="P2135" t="str">
            <v>270°</v>
          </cell>
          <cell r="Q2135" t="str">
            <v>-</v>
          </cell>
          <cell r="R2135" t="str">
            <v>-</v>
          </cell>
          <cell r="S2135" t="str">
            <v>-</v>
          </cell>
          <cell r="T2135" t="str">
            <v>-</v>
          </cell>
          <cell r="U2135" t="str">
            <v>-</v>
          </cell>
          <cell r="V2135" t="str">
            <v>SS</v>
          </cell>
          <cell r="W2135" t="str">
            <v>-</v>
          </cell>
          <cell r="X2135" t="str">
            <v>CLP 220 (-15/+40°C)</v>
          </cell>
          <cell r="Y2135" t="str">
            <v>KH157DRN160L4</v>
          </cell>
          <cell r="Z2135" t="str">
            <v>SEW</v>
          </cell>
          <cell r="AB2135" t="str">
            <v>-</v>
          </cell>
          <cell r="AF2135">
            <v>12</v>
          </cell>
          <cell r="AG2135" t="str">
            <v>DRN160L4</v>
          </cell>
          <cell r="AH2135" t="str">
            <v>KH157-DRN160L4B270-X</v>
          </cell>
        </row>
        <row r="2136">
          <cell r="A2136" t="str">
            <v>MR002132</v>
          </cell>
          <cell r="B2136" t="str">
            <v>MR</v>
          </cell>
          <cell r="C2136">
            <v>11</v>
          </cell>
          <cell r="D2136">
            <v>15</v>
          </cell>
          <cell r="E2136" t="str">
            <v>KH107</v>
          </cell>
          <cell r="F2136">
            <v>7180</v>
          </cell>
          <cell r="G2136">
            <v>100.75</v>
          </cell>
          <cell r="H2136">
            <v>1.1000000000000001</v>
          </cell>
          <cell r="I2136" t="str">
            <v>From M1A to M2A - 40°</v>
          </cell>
          <cell r="J2136" t="str">
            <v>IE3</v>
          </cell>
          <cell r="K2136" t="str">
            <v>400/690</v>
          </cell>
          <cell r="L2136">
            <v>50</v>
          </cell>
          <cell r="M2136" t="str">
            <v>21/12,2</v>
          </cell>
          <cell r="N2136">
            <v>55</v>
          </cell>
          <cell r="O2136" t="str">
            <v>155(F)</v>
          </cell>
          <cell r="P2136" t="str">
            <v>270°</v>
          </cell>
          <cell r="Q2136" t="str">
            <v>TF</v>
          </cell>
          <cell r="R2136" t="str">
            <v>V(VE)</v>
          </cell>
          <cell r="S2136" t="str">
            <v>-</v>
          </cell>
          <cell r="T2136" t="str">
            <v>-</v>
          </cell>
          <cell r="U2136" t="str">
            <v>-</v>
          </cell>
          <cell r="V2136" t="str">
            <v>FC</v>
          </cell>
          <cell r="W2136" t="str">
            <v>-</v>
          </cell>
          <cell r="X2136" t="str">
            <v>CLP 220 (-15/+40°C)</v>
          </cell>
          <cell r="Y2136" t="str">
            <v>KH107DRN160M4 /TF/V</v>
          </cell>
          <cell r="Z2136" t="str">
            <v>SEW</v>
          </cell>
          <cell r="AB2136" t="str">
            <v>-</v>
          </cell>
          <cell r="AE2136" t="str">
            <v>Work frequency 46,5Hz for 0,4m/sec</v>
          </cell>
          <cell r="AF2136">
            <v>15</v>
          </cell>
          <cell r="AG2136" t="str">
            <v>DRN160M4</v>
          </cell>
          <cell r="AH2136" t="str">
            <v>KH107-DRN160M4A270-X#</v>
          </cell>
        </row>
        <row r="2137">
          <cell r="A2137" t="str">
            <v>MR002133</v>
          </cell>
          <cell r="B2137" t="str">
            <v>MR</v>
          </cell>
          <cell r="C2137">
            <v>11</v>
          </cell>
          <cell r="D2137">
            <v>15</v>
          </cell>
          <cell r="E2137" t="str">
            <v>KH107</v>
          </cell>
          <cell r="F2137">
            <v>7180</v>
          </cell>
          <cell r="G2137">
            <v>100.75</v>
          </cell>
          <cell r="H2137">
            <v>1.1000000000000001</v>
          </cell>
          <cell r="I2137" t="str">
            <v>From M1B to M2B - 40°</v>
          </cell>
          <cell r="J2137" t="str">
            <v>IE3</v>
          </cell>
          <cell r="K2137" t="str">
            <v>400/690</v>
          </cell>
          <cell r="L2137">
            <v>50</v>
          </cell>
          <cell r="M2137" t="str">
            <v>21/12,2</v>
          </cell>
          <cell r="N2137">
            <v>55</v>
          </cell>
          <cell r="O2137" t="str">
            <v>155(F)</v>
          </cell>
          <cell r="P2137" t="str">
            <v>270°</v>
          </cell>
          <cell r="Q2137" t="str">
            <v>TF</v>
          </cell>
          <cell r="R2137" t="str">
            <v>V(VE)</v>
          </cell>
          <cell r="S2137" t="str">
            <v>-</v>
          </cell>
          <cell r="T2137" t="str">
            <v>-</v>
          </cell>
          <cell r="U2137" t="str">
            <v>-</v>
          </cell>
          <cell r="V2137" t="str">
            <v>FC</v>
          </cell>
          <cell r="W2137" t="str">
            <v>-</v>
          </cell>
          <cell r="X2137" t="str">
            <v>CLP 220 (-15/+40°C)</v>
          </cell>
          <cell r="Y2137" t="str">
            <v>KH107DRN160M4 /TF/V</v>
          </cell>
          <cell r="Z2137" t="str">
            <v>SEW</v>
          </cell>
          <cell r="AB2137" t="str">
            <v>-</v>
          </cell>
          <cell r="AE2137" t="str">
            <v>Work frequency 46,5Hz for 0,4m/sec</v>
          </cell>
          <cell r="AF2137">
            <v>15</v>
          </cell>
          <cell r="AG2137" t="str">
            <v>DRN160M4</v>
          </cell>
          <cell r="AH2137" t="str">
            <v>KH107-DRN160M4B270-X#</v>
          </cell>
        </row>
        <row r="2138">
          <cell r="A2138" t="str">
            <v>MR002134</v>
          </cell>
          <cell r="B2138" t="str">
            <v>MR</v>
          </cell>
          <cell r="C2138">
            <v>22</v>
          </cell>
          <cell r="D2138">
            <v>33</v>
          </cell>
          <cell r="E2138" t="str">
            <v>R137</v>
          </cell>
          <cell r="F2138">
            <v>6310</v>
          </cell>
          <cell r="G2138">
            <v>44.39</v>
          </cell>
          <cell r="H2138" t="str">
            <v>1.25</v>
          </cell>
          <cell r="I2138" t="str">
            <v>From M1 to M2 - 15°</v>
          </cell>
          <cell r="J2138" t="str">
            <v>IE3</v>
          </cell>
          <cell r="K2138" t="str">
            <v>400/690</v>
          </cell>
          <cell r="L2138">
            <v>50</v>
          </cell>
          <cell r="M2138" t="str">
            <v>38,5/22,5</v>
          </cell>
          <cell r="N2138">
            <v>65</v>
          </cell>
          <cell r="O2138" t="str">
            <v>155(F)</v>
          </cell>
          <cell r="P2138" t="str">
            <v>270°</v>
          </cell>
          <cell r="Q2138" t="str">
            <v>TF</v>
          </cell>
          <cell r="R2138" t="str">
            <v>V(VE)</v>
          </cell>
          <cell r="S2138" t="str">
            <v>-</v>
          </cell>
          <cell r="T2138" t="str">
            <v>-</v>
          </cell>
          <cell r="U2138" t="str">
            <v>-</v>
          </cell>
          <cell r="V2138" t="str">
            <v>FC</v>
          </cell>
          <cell r="W2138" t="str">
            <v>-</v>
          </cell>
          <cell r="X2138" t="str">
            <v>CLP 220 (-15/+40°C)</v>
          </cell>
          <cell r="Y2138" t="str">
            <v>R137DRN180L4/TF/V</v>
          </cell>
          <cell r="Z2138" t="str">
            <v>SEW</v>
          </cell>
          <cell r="AB2138" t="str">
            <v>-</v>
          </cell>
          <cell r="AF2138">
            <v>33</v>
          </cell>
          <cell r="AG2138" t="str">
            <v>DRN180L4</v>
          </cell>
          <cell r="AH2138" t="str">
            <v>R137-DRN180L4270-X#</v>
          </cell>
        </row>
        <row r="2139">
          <cell r="A2139" t="str">
            <v>MR002135</v>
          </cell>
          <cell r="B2139" t="str">
            <v>MR</v>
          </cell>
          <cell r="C2139">
            <v>37</v>
          </cell>
          <cell r="D2139">
            <v>37</v>
          </cell>
          <cell r="E2139" t="str">
            <v>KH127</v>
          </cell>
          <cell r="F2139">
            <v>9580</v>
          </cell>
          <cell r="G2139">
            <v>40.19</v>
          </cell>
          <cell r="H2139">
            <v>1.35</v>
          </cell>
          <cell r="I2139" t="str">
            <v>M4B</v>
          </cell>
          <cell r="J2139" t="str">
            <v>IE3</v>
          </cell>
          <cell r="K2139" t="str">
            <v>400/690</v>
          </cell>
          <cell r="L2139">
            <v>50</v>
          </cell>
          <cell r="M2139" t="str">
            <v>64/37</v>
          </cell>
          <cell r="N2139">
            <v>65</v>
          </cell>
          <cell r="O2139" t="str">
            <v>155(F)</v>
          </cell>
          <cell r="P2139" t="str">
            <v>270°</v>
          </cell>
          <cell r="Q2139" t="str">
            <v>TF</v>
          </cell>
          <cell r="R2139" t="str">
            <v>V(VE)</v>
          </cell>
          <cell r="S2139" t="str">
            <v>Free rotation CW</v>
          </cell>
          <cell r="T2139" t="str">
            <v>-</v>
          </cell>
          <cell r="U2139" t="str">
            <v>T</v>
          </cell>
          <cell r="V2139" t="str">
            <v>FC</v>
          </cell>
          <cell r="W2139" t="str">
            <v>-</v>
          </cell>
          <cell r="X2139" t="str">
            <v>CLP 220 (-15/+40°C)</v>
          </cell>
          <cell r="Y2139" t="str">
            <v>KH127/T DRN225S4 /RS /TF/V</v>
          </cell>
          <cell r="Z2139" t="str">
            <v>SEW</v>
          </cell>
          <cell r="AB2139" t="str">
            <v>-</v>
          </cell>
          <cell r="AF2139">
            <v>37</v>
          </cell>
          <cell r="AG2139" t="str">
            <v>DRN225S4</v>
          </cell>
          <cell r="AH2139" t="str">
            <v>KH127T-DRN225S4B270-X#</v>
          </cell>
        </row>
        <row r="2140">
          <cell r="A2140" t="str">
            <v>MR002136</v>
          </cell>
          <cell r="B2140" t="str">
            <v>MR</v>
          </cell>
          <cell r="C2140">
            <v>0.75</v>
          </cell>
          <cell r="D2140">
            <v>162</v>
          </cell>
          <cell r="E2140" t="str">
            <v>KA37</v>
          </cell>
          <cell r="F2140">
            <v>44</v>
          </cell>
          <cell r="G2140">
            <v>8.91</v>
          </cell>
          <cell r="H2140">
            <v>3.6</v>
          </cell>
          <cell r="I2140" t="str">
            <v>From M1B to M2B - 20°</v>
          </cell>
          <cell r="J2140" t="str">
            <v>IE3</v>
          </cell>
          <cell r="K2140" t="str">
            <v>230/400</v>
          </cell>
          <cell r="L2140">
            <v>50</v>
          </cell>
          <cell r="M2140" t="str">
            <v>3,05/1,75</v>
          </cell>
          <cell r="N2140">
            <v>65</v>
          </cell>
          <cell r="O2140" t="str">
            <v>155(F)</v>
          </cell>
          <cell r="P2140" t="str">
            <v>270°</v>
          </cell>
          <cell r="Q2140" t="str">
            <v>-</v>
          </cell>
          <cell r="R2140" t="str">
            <v>-</v>
          </cell>
          <cell r="S2140" t="str">
            <v>-</v>
          </cell>
          <cell r="T2140" t="str">
            <v>-</v>
          </cell>
          <cell r="U2140" t="str">
            <v>T</v>
          </cell>
          <cell r="V2140" t="str">
            <v>D</v>
          </cell>
          <cell r="W2140" t="str">
            <v>-</v>
          </cell>
          <cell r="X2140" t="str">
            <v>CLP 220 (-15/+40°C)</v>
          </cell>
          <cell r="Y2140" t="str">
            <v>KA37/T DRN80M4</v>
          </cell>
          <cell r="Z2140" t="str">
            <v>SEW</v>
          </cell>
          <cell r="AB2140" t="str">
            <v>-</v>
          </cell>
          <cell r="AF2140">
            <v>162</v>
          </cell>
          <cell r="AG2140" t="str">
            <v>DRN80M4</v>
          </cell>
          <cell r="AH2140" t="str">
            <v>KA37T-DRN80M4B270-X</v>
          </cell>
        </row>
        <row r="2141">
          <cell r="A2141" t="str">
            <v>MR002137</v>
          </cell>
          <cell r="B2141" t="str">
            <v>MR</v>
          </cell>
          <cell r="C2141">
            <v>15</v>
          </cell>
          <cell r="D2141">
            <v>48</v>
          </cell>
          <cell r="E2141" t="str">
            <v>KH97</v>
          </cell>
          <cell r="F2141">
            <v>2990</v>
          </cell>
          <cell r="G2141">
            <v>30.82</v>
          </cell>
          <cell r="H2141">
            <v>1.45</v>
          </cell>
          <cell r="I2141" t="str">
            <v>M4B</v>
          </cell>
          <cell r="J2141" t="str">
            <v>IE3</v>
          </cell>
          <cell r="K2141" t="str">
            <v>400/690</v>
          </cell>
          <cell r="L2141">
            <v>50</v>
          </cell>
          <cell r="M2141" t="str">
            <v>29/16,7</v>
          </cell>
          <cell r="N2141">
            <v>65</v>
          </cell>
          <cell r="O2141" t="str">
            <v>155(F)</v>
          </cell>
          <cell r="P2141" t="str">
            <v>270°</v>
          </cell>
          <cell r="Q2141" t="str">
            <v>TF</v>
          </cell>
          <cell r="R2141" t="str">
            <v>V(VE)</v>
          </cell>
          <cell r="S2141" t="str">
            <v>Free rotation CW</v>
          </cell>
          <cell r="T2141" t="str">
            <v>-</v>
          </cell>
          <cell r="U2141" t="str">
            <v>T</v>
          </cell>
          <cell r="V2141" t="str">
            <v>FC</v>
          </cell>
          <cell r="W2141" t="str">
            <v>-</v>
          </cell>
          <cell r="X2141" t="str">
            <v>CLP 220 (-15/+40°C)</v>
          </cell>
          <cell r="Y2141" t="str">
            <v>KH97/T DRN160L4 /RS /TF/V</v>
          </cell>
          <cell r="Z2141" t="str">
            <v>SEW</v>
          </cell>
          <cell r="AB2141" t="str">
            <v>-</v>
          </cell>
          <cell r="AF2141">
            <v>48</v>
          </cell>
          <cell r="AG2141" t="str">
            <v>DRN160L4</v>
          </cell>
          <cell r="AH2141" t="str">
            <v>KH97T-DRN160L4B270-X#</v>
          </cell>
        </row>
        <row r="2142">
          <cell r="A2142" t="str">
            <v>MR002138</v>
          </cell>
          <cell r="B2142" t="str">
            <v>MR</v>
          </cell>
          <cell r="C2142">
            <v>1.1000000000000001</v>
          </cell>
          <cell r="D2142">
            <v>7.3</v>
          </cell>
          <cell r="E2142" t="str">
            <v>FV77</v>
          </cell>
          <cell r="F2142">
            <v>1430</v>
          </cell>
          <cell r="G2142">
            <v>198.31</v>
          </cell>
          <cell r="H2142">
            <v>1.05</v>
          </cell>
          <cell r="I2142" t="str">
            <v>M5</v>
          </cell>
          <cell r="J2142" t="str">
            <v>IE3</v>
          </cell>
          <cell r="K2142" t="str">
            <v>230/400</v>
          </cell>
          <cell r="L2142">
            <v>50</v>
          </cell>
          <cell r="M2142" t="str">
            <v>4,45/2,55</v>
          </cell>
          <cell r="N2142">
            <v>65</v>
          </cell>
          <cell r="O2142" t="str">
            <v>155(F)</v>
          </cell>
          <cell r="P2142" t="str">
            <v>180°</v>
          </cell>
          <cell r="Q2142" t="str">
            <v>TF</v>
          </cell>
          <cell r="R2142" t="str">
            <v>-</v>
          </cell>
          <cell r="S2142" t="str">
            <v>-</v>
          </cell>
          <cell r="T2142" t="str">
            <v>BEHF</v>
          </cell>
          <cell r="U2142" t="str">
            <v>G</v>
          </cell>
          <cell r="V2142" t="str">
            <v>FC+R</v>
          </cell>
          <cell r="W2142" t="str">
            <v>-</v>
          </cell>
          <cell r="X2142" t="str">
            <v>CLP 220 (-15/+40°C)</v>
          </cell>
          <cell r="Y2142" t="str">
            <v>FV77/G DRN90S4 /BEHF /TF</v>
          </cell>
          <cell r="Z2142" t="str">
            <v>SEW</v>
          </cell>
          <cell r="AB2142" t="str">
            <v>-</v>
          </cell>
          <cell r="AE2142" t="str">
            <v>BROCCIATURA PER FV67-DIN 5480N45x2x30x21xH9</v>
          </cell>
          <cell r="AF2142">
            <v>7.3</v>
          </cell>
          <cell r="AG2142" t="str">
            <v>DRN90S4</v>
          </cell>
          <cell r="AH2142" t="str">
            <v>FV77G-DRN90S4180-X</v>
          </cell>
        </row>
        <row r="2143">
          <cell r="A2143" t="str">
            <v>MR002139</v>
          </cell>
          <cell r="B2143" t="str">
            <v>MR</v>
          </cell>
          <cell r="C2143">
            <v>1.1000000000000001</v>
          </cell>
          <cell r="D2143">
            <v>7.3</v>
          </cell>
          <cell r="E2143" t="str">
            <v>FV77</v>
          </cell>
          <cell r="F2143">
            <v>1430</v>
          </cell>
          <cell r="G2143">
            <v>198.31</v>
          </cell>
          <cell r="H2143">
            <v>1.05</v>
          </cell>
          <cell r="I2143" t="str">
            <v>M6</v>
          </cell>
          <cell r="J2143" t="str">
            <v>IE3</v>
          </cell>
          <cell r="K2143" t="str">
            <v>230/400</v>
          </cell>
          <cell r="L2143">
            <v>50</v>
          </cell>
          <cell r="M2143" t="str">
            <v>4,45/2,55</v>
          </cell>
          <cell r="N2143">
            <v>65</v>
          </cell>
          <cell r="O2143" t="str">
            <v>155(F)</v>
          </cell>
          <cell r="P2143" t="str">
            <v>0°</v>
          </cell>
          <cell r="Q2143" t="str">
            <v>TF</v>
          </cell>
          <cell r="R2143" t="str">
            <v>-</v>
          </cell>
          <cell r="S2143" t="str">
            <v>-</v>
          </cell>
          <cell r="T2143" t="str">
            <v>BEHF</v>
          </cell>
          <cell r="U2143" t="str">
            <v>G</v>
          </cell>
          <cell r="V2143" t="str">
            <v>FC+R</v>
          </cell>
          <cell r="W2143" t="str">
            <v>-</v>
          </cell>
          <cell r="X2143" t="str">
            <v>CLP 220 (-15/+40°C)</v>
          </cell>
          <cell r="Y2143" t="str">
            <v>FV77/G DRN90S4 /BEHF /TF</v>
          </cell>
          <cell r="Z2143" t="str">
            <v>SEW</v>
          </cell>
          <cell r="AB2143" t="str">
            <v>-</v>
          </cell>
          <cell r="AE2143" t="str">
            <v>BROCCIATURA PER FV67-DIN 5480N45x2x30x21xH9</v>
          </cell>
          <cell r="AF2143">
            <v>7.3</v>
          </cell>
          <cell r="AG2143" t="str">
            <v>DRN90S4</v>
          </cell>
          <cell r="AH2143" t="str">
            <v>FV77G-DRN90S40-X</v>
          </cell>
        </row>
        <row r="2144">
          <cell r="A2144" t="str">
            <v>MR002140</v>
          </cell>
          <cell r="B2144" t="str">
            <v>MR</v>
          </cell>
          <cell r="C2144">
            <v>4</v>
          </cell>
          <cell r="D2144">
            <v>138</v>
          </cell>
          <cell r="E2144" t="str">
            <v>KH67</v>
          </cell>
          <cell r="F2144">
            <v>275</v>
          </cell>
          <cell r="G2144">
            <v>10.63</v>
          </cell>
          <cell r="H2144">
            <v>1.8</v>
          </cell>
          <cell r="I2144" t="str">
            <v>M4B</v>
          </cell>
          <cell r="J2144" t="str">
            <v>IE3</v>
          </cell>
          <cell r="K2144" t="str">
            <v>230/400</v>
          </cell>
          <cell r="L2144">
            <v>50</v>
          </cell>
          <cell r="M2144" t="str">
            <v>13,8/7,9</v>
          </cell>
          <cell r="N2144">
            <v>65</v>
          </cell>
          <cell r="O2144" t="str">
            <v>155(F)</v>
          </cell>
          <cell r="P2144" t="str">
            <v>270°</v>
          </cell>
          <cell r="Q2144" t="str">
            <v>TF</v>
          </cell>
          <cell r="R2144" t="str">
            <v>-</v>
          </cell>
          <cell r="S2144" t="str">
            <v>-</v>
          </cell>
          <cell r="T2144" t="str">
            <v>-</v>
          </cell>
          <cell r="U2144" t="str">
            <v>T</v>
          </cell>
          <cell r="V2144" t="str">
            <v>FC+R</v>
          </cell>
          <cell r="W2144" t="str">
            <v>-</v>
          </cell>
          <cell r="X2144" t="str">
            <v>CLP 220 (-15/+40°C)</v>
          </cell>
          <cell r="Y2144" t="str">
            <v>KH67/T DRN112M4 /TF</v>
          </cell>
          <cell r="Z2144" t="str">
            <v>SEW</v>
          </cell>
          <cell r="AB2144" t="str">
            <v>-</v>
          </cell>
          <cell r="AF2144">
            <v>138</v>
          </cell>
          <cell r="AG2144" t="str">
            <v>DRN112M4</v>
          </cell>
          <cell r="AH2144" t="str">
            <v>KH67T-DRN112M4B270-X</v>
          </cell>
        </row>
        <row r="2145">
          <cell r="A2145" t="str">
            <v>MR002141</v>
          </cell>
          <cell r="B2145" t="str">
            <v>MR</v>
          </cell>
          <cell r="C2145">
            <v>30</v>
          </cell>
          <cell r="D2145">
            <v>37</v>
          </cell>
          <cell r="E2145" t="str">
            <v>KH127</v>
          </cell>
          <cell r="F2145">
            <v>7770</v>
          </cell>
          <cell r="G2145">
            <v>40.19</v>
          </cell>
          <cell r="H2145">
            <v>1.65</v>
          </cell>
          <cell r="I2145" t="str">
            <v>M4A</v>
          </cell>
          <cell r="J2145" t="str">
            <v>IE3</v>
          </cell>
          <cell r="K2145" t="str">
            <v>400/690</v>
          </cell>
          <cell r="L2145">
            <v>50</v>
          </cell>
          <cell r="M2145" t="str">
            <v>56/32,5</v>
          </cell>
          <cell r="N2145">
            <v>65</v>
          </cell>
          <cell r="O2145" t="str">
            <v>155(F)</v>
          </cell>
          <cell r="P2145" t="str">
            <v>270°</v>
          </cell>
          <cell r="Q2145" t="str">
            <v>-</v>
          </cell>
          <cell r="R2145" t="str">
            <v>-</v>
          </cell>
          <cell r="S2145" t="str">
            <v>-</v>
          </cell>
          <cell r="T2145" t="str">
            <v>-</v>
          </cell>
          <cell r="U2145" t="str">
            <v>T</v>
          </cell>
          <cell r="V2145" t="str">
            <v>SS</v>
          </cell>
          <cell r="W2145" t="str">
            <v>-</v>
          </cell>
          <cell r="X2145" t="str">
            <v>CLP 220 (-15/+40°C)</v>
          </cell>
          <cell r="Y2145" t="str">
            <v>KH127/T DRN200L4</v>
          </cell>
          <cell r="Z2145" t="str">
            <v>SEW</v>
          </cell>
          <cell r="AB2145" t="str">
            <v>-</v>
          </cell>
          <cell r="AF2145">
            <v>37</v>
          </cell>
          <cell r="AG2145" t="str">
            <v>DRN200L4</v>
          </cell>
          <cell r="AH2145" t="str">
            <v>KH127T-DRN200L4A270-X</v>
          </cell>
        </row>
        <row r="2146">
          <cell r="A2146" t="str">
            <v>MR002142</v>
          </cell>
          <cell r="B2146" t="str">
            <v>MR</v>
          </cell>
          <cell r="C2146">
            <v>11</v>
          </cell>
          <cell r="D2146">
            <v>47</v>
          </cell>
          <cell r="E2146" t="str">
            <v>KH87</v>
          </cell>
          <cell r="F2146">
            <v>2230</v>
          </cell>
          <cell r="G2146">
            <v>31.39</v>
          </cell>
          <cell r="H2146">
            <v>1.2</v>
          </cell>
          <cell r="I2146" t="str">
            <v>M4B</v>
          </cell>
          <cell r="J2146" t="str">
            <v>IE3</v>
          </cell>
          <cell r="K2146" t="str">
            <v>400/690</v>
          </cell>
          <cell r="L2146">
            <v>50</v>
          </cell>
          <cell r="M2146" t="str">
            <v>21/12,2</v>
          </cell>
          <cell r="N2146">
            <v>65</v>
          </cell>
          <cell r="O2146" t="str">
            <v>155(F)</v>
          </cell>
          <cell r="P2146" t="str">
            <v>270°</v>
          </cell>
          <cell r="Q2146" t="str">
            <v>TF</v>
          </cell>
          <cell r="R2146" t="str">
            <v>V(VE)</v>
          </cell>
          <cell r="S2146" t="str">
            <v>Free rotation CW</v>
          </cell>
          <cell r="T2146" t="str">
            <v>-</v>
          </cell>
          <cell r="U2146" t="str">
            <v>T</v>
          </cell>
          <cell r="V2146" t="str">
            <v>FC</v>
          </cell>
          <cell r="W2146" t="str">
            <v>-</v>
          </cell>
          <cell r="X2146" t="str">
            <v>CLP 220 (-15/+40°C)</v>
          </cell>
          <cell r="Y2146" t="str">
            <v>KH87/T DRN160M4 /RS /TF/V</v>
          </cell>
          <cell r="Z2146" t="str">
            <v>SEW</v>
          </cell>
          <cell r="AB2146" t="str">
            <v>-</v>
          </cell>
          <cell r="AF2146">
            <v>47</v>
          </cell>
          <cell r="AG2146" t="str">
            <v>DRN160M4</v>
          </cell>
          <cell r="AH2146" t="str">
            <v>KH87T-DRN160M4B270-X#</v>
          </cell>
        </row>
        <row r="2147">
          <cell r="A2147" t="str">
            <v>MR002143</v>
          </cell>
          <cell r="B2147" t="str">
            <v>MR</v>
          </cell>
          <cell r="C2147">
            <v>11</v>
          </cell>
          <cell r="D2147">
            <v>47</v>
          </cell>
          <cell r="E2147" t="str">
            <v>KH87</v>
          </cell>
          <cell r="F2147">
            <v>2230</v>
          </cell>
          <cell r="G2147">
            <v>31.39</v>
          </cell>
          <cell r="H2147">
            <v>1.2</v>
          </cell>
          <cell r="I2147" t="str">
            <v>M4B</v>
          </cell>
          <cell r="J2147" t="str">
            <v>IE3</v>
          </cell>
          <cell r="K2147" t="str">
            <v>400/690</v>
          </cell>
          <cell r="L2147">
            <v>50</v>
          </cell>
          <cell r="M2147" t="str">
            <v>21/12,2</v>
          </cell>
          <cell r="N2147">
            <v>65</v>
          </cell>
          <cell r="O2147" t="str">
            <v>155(F)</v>
          </cell>
          <cell r="P2147" t="str">
            <v>270°</v>
          </cell>
          <cell r="Q2147" t="str">
            <v>TF</v>
          </cell>
          <cell r="R2147" t="str">
            <v>V(VE)</v>
          </cell>
          <cell r="S2147" t="str">
            <v>-</v>
          </cell>
          <cell r="T2147" t="str">
            <v>-</v>
          </cell>
          <cell r="U2147" t="str">
            <v>T</v>
          </cell>
          <cell r="V2147" t="str">
            <v>FC</v>
          </cell>
          <cell r="W2147" t="str">
            <v>-</v>
          </cell>
          <cell r="X2147" t="str">
            <v>CLP 220 (-15/+40°C)</v>
          </cell>
          <cell r="Y2147" t="str">
            <v>KH87/T DRN160M4 /TF/V</v>
          </cell>
          <cell r="Z2147" t="str">
            <v>SEW</v>
          </cell>
          <cell r="AB2147" t="str">
            <v>-</v>
          </cell>
          <cell r="AF2147">
            <v>47</v>
          </cell>
          <cell r="AG2147" t="str">
            <v>DRN160M4</v>
          </cell>
          <cell r="AH2147" t="str">
            <v>KH87T-DRN160M4B270-X#</v>
          </cell>
        </row>
        <row r="2148">
          <cell r="A2148" t="str">
            <v>MR002144</v>
          </cell>
          <cell r="B2148" t="str">
            <v>MR</v>
          </cell>
          <cell r="C2148">
            <v>11</v>
          </cell>
          <cell r="D2148">
            <v>76</v>
          </cell>
          <cell r="E2148" t="str">
            <v>KH87</v>
          </cell>
          <cell r="F2148">
            <v>1380</v>
          </cell>
          <cell r="G2148">
            <v>19.45</v>
          </cell>
          <cell r="H2148">
            <v>1.65</v>
          </cell>
          <cell r="I2148" t="str">
            <v>M4A</v>
          </cell>
          <cell r="J2148" t="str">
            <v>IE3</v>
          </cell>
          <cell r="K2148" t="str">
            <v>400/690</v>
          </cell>
          <cell r="L2148">
            <v>50</v>
          </cell>
          <cell r="M2148" t="str">
            <v>21/12,2</v>
          </cell>
          <cell r="N2148">
            <v>65</v>
          </cell>
          <cell r="O2148" t="str">
            <v>155(F)</v>
          </cell>
          <cell r="P2148" t="str">
            <v>270°</v>
          </cell>
          <cell r="Q2148" t="str">
            <v>TF</v>
          </cell>
          <cell r="R2148" t="str">
            <v>V(VE)</v>
          </cell>
          <cell r="S2148" t="str">
            <v>Free rotation CCW</v>
          </cell>
          <cell r="T2148" t="str">
            <v>-</v>
          </cell>
          <cell r="U2148" t="str">
            <v>T</v>
          </cell>
          <cell r="V2148" t="str">
            <v>FC</v>
          </cell>
          <cell r="W2148" t="str">
            <v>-</v>
          </cell>
          <cell r="X2148" t="str">
            <v>CLP 220 (-15/+40°C)</v>
          </cell>
          <cell r="Y2148" t="str">
            <v>KH87/T DRN160M4 /RS /TF/V</v>
          </cell>
          <cell r="Z2148" t="str">
            <v>SEW</v>
          </cell>
          <cell r="AB2148" t="str">
            <v>-</v>
          </cell>
          <cell r="AF2148">
            <v>76</v>
          </cell>
          <cell r="AG2148" t="str">
            <v>DRN160M4</v>
          </cell>
          <cell r="AH2148" t="str">
            <v>KH87T-DRN160M4A270-X#</v>
          </cell>
        </row>
        <row r="2149">
          <cell r="A2149" t="str">
            <v>MR002145</v>
          </cell>
          <cell r="B2149" t="str">
            <v>MR</v>
          </cell>
          <cell r="C2149">
            <v>11</v>
          </cell>
          <cell r="D2149">
            <v>76</v>
          </cell>
          <cell r="E2149" t="str">
            <v>KH87</v>
          </cell>
          <cell r="F2149">
            <v>1380</v>
          </cell>
          <cell r="G2149">
            <v>19.45</v>
          </cell>
          <cell r="H2149">
            <v>1.65</v>
          </cell>
          <cell r="I2149" t="str">
            <v>M4A</v>
          </cell>
          <cell r="J2149" t="str">
            <v>IE3</v>
          </cell>
          <cell r="K2149" t="str">
            <v>400/690</v>
          </cell>
          <cell r="L2149">
            <v>50</v>
          </cell>
          <cell r="M2149" t="str">
            <v>21/12,2</v>
          </cell>
          <cell r="N2149">
            <v>65</v>
          </cell>
          <cell r="O2149" t="str">
            <v>155(F)</v>
          </cell>
          <cell r="P2149" t="str">
            <v>270°</v>
          </cell>
          <cell r="Q2149" t="str">
            <v>TF</v>
          </cell>
          <cell r="R2149" t="str">
            <v>V(VE)</v>
          </cell>
          <cell r="S2149" t="str">
            <v>-</v>
          </cell>
          <cell r="T2149" t="str">
            <v>-</v>
          </cell>
          <cell r="U2149" t="str">
            <v>T</v>
          </cell>
          <cell r="V2149" t="str">
            <v>FC</v>
          </cell>
          <cell r="W2149" t="str">
            <v>-</v>
          </cell>
          <cell r="X2149" t="str">
            <v>CLP 220 (-15/+40°C)</v>
          </cell>
          <cell r="Y2149" t="str">
            <v>KH87/T DRN160M4 /TF/V</v>
          </cell>
          <cell r="Z2149" t="str">
            <v>SEW</v>
          </cell>
          <cell r="AB2149" t="str">
            <v>-</v>
          </cell>
          <cell r="AF2149">
            <v>76</v>
          </cell>
          <cell r="AG2149" t="str">
            <v>DRN160M4</v>
          </cell>
          <cell r="AH2149" t="str">
            <v>KH87T-DRN160M4A270-X#</v>
          </cell>
        </row>
        <row r="2150">
          <cell r="A2150" t="str">
            <v>MR002146</v>
          </cell>
          <cell r="B2150" t="str">
            <v>MR</v>
          </cell>
          <cell r="C2150">
            <v>0.75</v>
          </cell>
          <cell r="D2150">
            <v>162</v>
          </cell>
          <cell r="E2150" t="str">
            <v>KA37</v>
          </cell>
          <cell r="F2150">
            <v>44</v>
          </cell>
          <cell r="G2150">
            <v>8.91</v>
          </cell>
          <cell r="H2150">
            <v>3.6</v>
          </cell>
          <cell r="I2150" t="str">
            <v>From M1A to M2A - 20°</v>
          </cell>
          <cell r="J2150" t="str">
            <v>IE3</v>
          </cell>
          <cell r="K2150" t="str">
            <v>230/400</v>
          </cell>
          <cell r="L2150">
            <v>50</v>
          </cell>
          <cell r="M2150" t="str">
            <v>3,05/1,75</v>
          </cell>
          <cell r="N2150">
            <v>65</v>
          </cell>
          <cell r="O2150" t="str">
            <v>155(F)</v>
          </cell>
          <cell r="P2150" t="str">
            <v>270°</v>
          </cell>
          <cell r="Q2150" t="str">
            <v>-</v>
          </cell>
          <cell r="R2150" t="str">
            <v>-</v>
          </cell>
          <cell r="S2150" t="str">
            <v>-</v>
          </cell>
          <cell r="T2150" t="str">
            <v>-</v>
          </cell>
          <cell r="U2150" t="str">
            <v>T</v>
          </cell>
          <cell r="V2150" t="str">
            <v>D</v>
          </cell>
          <cell r="W2150" t="str">
            <v>-</v>
          </cell>
          <cell r="X2150" t="str">
            <v>CLP 220 (-15/+40°C)</v>
          </cell>
          <cell r="Y2150" t="str">
            <v>KA37/T DRN80M4</v>
          </cell>
          <cell r="Z2150" t="str">
            <v>SEW</v>
          </cell>
          <cell r="AB2150" t="str">
            <v>-</v>
          </cell>
          <cell r="AF2150">
            <v>162</v>
          </cell>
          <cell r="AG2150" t="str">
            <v>DRN80M4</v>
          </cell>
          <cell r="AH2150" t="str">
            <v>KA37T-DRN80M4A270-X</v>
          </cell>
        </row>
        <row r="2151">
          <cell r="A2151" t="str">
            <v>MR002147</v>
          </cell>
          <cell r="B2151" t="str">
            <v>MR</v>
          </cell>
          <cell r="C2151">
            <v>11</v>
          </cell>
          <cell r="D2151">
            <v>20</v>
          </cell>
          <cell r="E2151" t="str">
            <v>KH107</v>
          </cell>
          <cell r="F2151">
            <v>5220</v>
          </cell>
          <cell r="G2151">
            <v>73.3</v>
          </cell>
          <cell r="H2151">
            <v>1.55</v>
          </cell>
          <cell r="I2151" t="str">
            <v>From M1A to M2A -20°</v>
          </cell>
          <cell r="J2151" t="str">
            <v>IE3</v>
          </cell>
          <cell r="K2151" t="str">
            <v>400/690</v>
          </cell>
          <cell r="L2151">
            <v>50</v>
          </cell>
          <cell r="M2151" t="str">
            <v>21/12,2</v>
          </cell>
          <cell r="N2151">
            <v>65</v>
          </cell>
          <cell r="O2151" t="str">
            <v>155(F)</v>
          </cell>
          <cell r="P2151" t="str">
            <v>180°</v>
          </cell>
          <cell r="Q2151" t="str">
            <v>-</v>
          </cell>
          <cell r="R2151" t="str">
            <v>-</v>
          </cell>
          <cell r="S2151" t="str">
            <v>-</v>
          </cell>
          <cell r="T2151" t="str">
            <v>-</v>
          </cell>
          <cell r="U2151" t="str">
            <v>-</v>
          </cell>
          <cell r="V2151" t="str">
            <v>SS</v>
          </cell>
          <cell r="W2151" t="str">
            <v>-</v>
          </cell>
          <cell r="X2151" t="str">
            <v>CLP 220 (-15/+40°C)</v>
          </cell>
          <cell r="Y2151" t="str">
            <v>KH107DRN160M4</v>
          </cell>
          <cell r="Z2151" t="str">
            <v>SEW</v>
          </cell>
          <cell r="AB2151" t="str">
            <v>-</v>
          </cell>
          <cell r="AF2151">
            <v>20</v>
          </cell>
          <cell r="AG2151" t="str">
            <v>DRN160M4</v>
          </cell>
          <cell r="AH2151" t="str">
            <v>KH107-DRN160M4A180-X</v>
          </cell>
        </row>
        <row r="2152">
          <cell r="A2152" t="str">
            <v>MR002148</v>
          </cell>
          <cell r="B2152" t="str">
            <v>MR</v>
          </cell>
          <cell r="C2152">
            <v>11</v>
          </cell>
          <cell r="D2152">
            <v>20</v>
          </cell>
          <cell r="E2152" t="str">
            <v>KH107</v>
          </cell>
          <cell r="F2152">
            <v>5220</v>
          </cell>
          <cell r="G2152">
            <v>73.3</v>
          </cell>
          <cell r="H2152">
            <v>1.55</v>
          </cell>
          <cell r="I2152" t="str">
            <v>From M1B to M2B -20°</v>
          </cell>
          <cell r="J2152" t="str">
            <v>IE3</v>
          </cell>
          <cell r="K2152" t="str">
            <v>400/690</v>
          </cell>
          <cell r="L2152">
            <v>50</v>
          </cell>
          <cell r="M2152" t="str">
            <v>21/12,2</v>
          </cell>
          <cell r="N2152">
            <v>65</v>
          </cell>
          <cell r="O2152" t="str">
            <v>155(F)</v>
          </cell>
          <cell r="P2152" t="str">
            <v>0°</v>
          </cell>
          <cell r="Q2152" t="str">
            <v>-</v>
          </cell>
          <cell r="R2152" t="str">
            <v>-</v>
          </cell>
          <cell r="S2152" t="str">
            <v>-</v>
          </cell>
          <cell r="T2152" t="str">
            <v>-</v>
          </cell>
          <cell r="U2152" t="str">
            <v>-</v>
          </cell>
          <cell r="V2152" t="str">
            <v>SS</v>
          </cell>
          <cell r="W2152" t="str">
            <v>-</v>
          </cell>
          <cell r="X2152" t="str">
            <v>CLP 220 (-15/+40°C)</v>
          </cell>
          <cell r="Y2152" t="str">
            <v>KH107DRN160M4</v>
          </cell>
          <cell r="Z2152" t="str">
            <v>SEW</v>
          </cell>
          <cell r="AB2152" t="str">
            <v>-</v>
          </cell>
          <cell r="AF2152">
            <v>20</v>
          </cell>
          <cell r="AG2152" t="str">
            <v>DRN160M4</v>
          </cell>
          <cell r="AH2152" t="str">
            <v>KH107-DRN160M4B0-X</v>
          </cell>
        </row>
        <row r="2153">
          <cell r="A2153" t="str">
            <v>MR002149</v>
          </cell>
          <cell r="B2153" t="str">
            <v>MR</v>
          </cell>
          <cell r="C2153">
            <v>7.5</v>
          </cell>
          <cell r="D2153">
            <v>86</v>
          </cell>
          <cell r="E2153" t="str">
            <v>R87</v>
          </cell>
          <cell r="F2153">
            <v>830</v>
          </cell>
          <cell r="G2153">
            <v>17.079999999999998</v>
          </cell>
          <cell r="H2153">
            <v>1.65</v>
          </cell>
          <cell r="I2153" t="str">
            <v>M1</v>
          </cell>
          <cell r="J2153" t="str">
            <v>IE3</v>
          </cell>
          <cell r="K2153" t="str">
            <v>400/690</v>
          </cell>
          <cell r="L2153">
            <v>50</v>
          </cell>
          <cell r="M2153" t="str">
            <v>15,2/8,8</v>
          </cell>
          <cell r="N2153">
            <v>55</v>
          </cell>
          <cell r="O2153" t="str">
            <v>155(F)</v>
          </cell>
          <cell r="P2153" t="str">
            <v>270°</v>
          </cell>
          <cell r="Q2153" t="str">
            <v>-</v>
          </cell>
          <cell r="R2153" t="str">
            <v>-</v>
          </cell>
          <cell r="S2153" t="str">
            <v>-</v>
          </cell>
          <cell r="T2153" t="str">
            <v>-</v>
          </cell>
          <cell r="U2153" t="str">
            <v>-</v>
          </cell>
          <cell r="V2153" t="str">
            <v>D</v>
          </cell>
          <cell r="W2153" t="str">
            <v>-</v>
          </cell>
          <cell r="X2153" t="str">
            <v>CLP 220 (-15/+40°C)</v>
          </cell>
          <cell r="Y2153" t="str">
            <v>R87DRN132M4</v>
          </cell>
          <cell r="Z2153" t="str">
            <v>SEW</v>
          </cell>
          <cell r="AB2153" t="str">
            <v>-</v>
          </cell>
          <cell r="AF2153">
            <v>86</v>
          </cell>
          <cell r="AG2153" t="str">
            <v>DRN132M4</v>
          </cell>
          <cell r="AH2153" t="str">
            <v>R87-DRN132M4270-X</v>
          </cell>
        </row>
        <row r="2154">
          <cell r="A2154" t="str">
            <v>MR002150</v>
          </cell>
          <cell r="B2154" t="str">
            <v>MR</v>
          </cell>
          <cell r="C2154">
            <v>18.5</v>
          </cell>
          <cell r="D2154">
            <v>102</v>
          </cell>
          <cell r="E2154" t="str">
            <v>KH87</v>
          </cell>
          <cell r="F2154">
            <v>1720</v>
          </cell>
          <cell r="G2154">
            <v>14.45</v>
          </cell>
          <cell r="H2154">
            <v>1.2</v>
          </cell>
          <cell r="I2154" t="str">
            <v>M4A</v>
          </cell>
          <cell r="J2154" t="str">
            <v>IE3</v>
          </cell>
          <cell r="K2154" t="str">
            <v>400/690</v>
          </cell>
          <cell r="L2154">
            <v>50</v>
          </cell>
          <cell r="M2154" t="str">
            <v>33,5/19,3</v>
          </cell>
          <cell r="N2154">
            <v>65</v>
          </cell>
          <cell r="O2154" t="str">
            <v>155(F)</v>
          </cell>
          <cell r="P2154" t="str">
            <v>270°</v>
          </cell>
          <cell r="Q2154" t="str">
            <v>TF</v>
          </cell>
          <cell r="R2154" t="str">
            <v>V(VE)</v>
          </cell>
          <cell r="S2154" t="str">
            <v>Free rotation CCW</v>
          </cell>
          <cell r="T2154" t="str">
            <v>-</v>
          </cell>
          <cell r="U2154" t="str">
            <v>T</v>
          </cell>
          <cell r="V2154" t="str">
            <v>FC</v>
          </cell>
          <cell r="W2154" t="str">
            <v>-</v>
          </cell>
          <cell r="X2154" t="str">
            <v>CLP 220 (-15/+40°C)</v>
          </cell>
          <cell r="Y2154" t="str">
            <v>KH87/T DRN180M4 /RS /TF/V</v>
          </cell>
          <cell r="Z2154" t="str">
            <v>SEW</v>
          </cell>
          <cell r="AB2154" t="str">
            <v>-</v>
          </cell>
          <cell r="AF2154">
            <v>102</v>
          </cell>
          <cell r="AG2154" t="str">
            <v>DRN180M4</v>
          </cell>
          <cell r="AH2154" t="str">
            <v>KH87T-DRN180M4A270-X#</v>
          </cell>
        </row>
        <row r="2155">
          <cell r="A2155" t="str">
            <v>MR002151</v>
          </cell>
          <cell r="B2155" t="str">
            <v>MR</v>
          </cell>
          <cell r="C2155">
            <v>0.75</v>
          </cell>
          <cell r="D2155">
            <v>162</v>
          </cell>
          <cell r="E2155" t="str">
            <v>KA37</v>
          </cell>
          <cell r="F2155">
            <v>44</v>
          </cell>
          <cell r="G2155">
            <v>8.91</v>
          </cell>
          <cell r="H2155">
            <v>3.6</v>
          </cell>
          <cell r="I2155" t="str">
            <v>M3A</v>
          </cell>
          <cell r="J2155" t="str">
            <v>IE3</v>
          </cell>
          <cell r="K2155" t="str">
            <v>230/400</v>
          </cell>
          <cell r="L2155">
            <v>50</v>
          </cell>
          <cell r="M2155" t="str">
            <v>3,05/1,75</v>
          </cell>
          <cell r="N2155">
            <v>65</v>
          </cell>
          <cell r="O2155" t="str">
            <v>155(F)</v>
          </cell>
          <cell r="P2155" t="str">
            <v>270°</v>
          </cell>
          <cell r="Q2155" t="str">
            <v>-</v>
          </cell>
          <cell r="R2155" t="str">
            <v>-</v>
          </cell>
          <cell r="S2155" t="str">
            <v>-</v>
          </cell>
          <cell r="T2155" t="str">
            <v>-</v>
          </cell>
          <cell r="U2155" t="str">
            <v>T</v>
          </cell>
          <cell r="V2155" t="str">
            <v>D</v>
          </cell>
          <cell r="W2155" t="str">
            <v>-</v>
          </cell>
          <cell r="X2155" t="str">
            <v>CLP 220 (-15/+40°C)</v>
          </cell>
          <cell r="Y2155" t="str">
            <v>KA37/T DRN80M4</v>
          </cell>
          <cell r="Z2155" t="str">
            <v>SEW</v>
          </cell>
          <cell r="AB2155" t="str">
            <v>-</v>
          </cell>
          <cell r="AF2155">
            <v>162</v>
          </cell>
          <cell r="AG2155" t="str">
            <v>DRN80M4</v>
          </cell>
          <cell r="AH2155" t="str">
            <v>KA37T-DRN80M4A270-X</v>
          </cell>
        </row>
        <row r="2156">
          <cell r="A2156" t="str">
            <v>MR002152</v>
          </cell>
          <cell r="B2156" t="str">
            <v>MR</v>
          </cell>
          <cell r="C2156">
            <v>11</v>
          </cell>
          <cell r="D2156">
            <v>59</v>
          </cell>
          <cell r="E2156" t="str">
            <v>R97</v>
          </cell>
          <cell r="F2156">
            <v>1780</v>
          </cell>
          <cell r="G2156">
            <v>25.03</v>
          </cell>
          <cell r="H2156">
            <v>1.6</v>
          </cell>
          <cell r="I2156" t="str">
            <v>M1</v>
          </cell>
          <cell r="J2156" t="str">
            <v>IE3</v>
          </cell>
          <cell r="K2156" t="str">
            <v>400/690</v>
          </cell>
          <cell r="L2156">
            <v>50</v>
          </cell>
          <cell r="M2156" t="str">
            <v>21/12,2</v>
          </cell>
          <cell r="N2156">
            <v>65</v>
          </cell>
          <cell r="O2156" t="str">
            <v>155(F)</v>
          </cell>
          <cell r="P2156" t="str">
            <v>270°</v>
          </cell>
          <cell r="Q2156" t="str">
            <v>-</v>
          </cell>
          <cell r="R2156" t="str">
            <v>-</v>
          </cell>
          <cell r="S2156" t="str">
            <v>-</v>
          </cell>
          <cell r="T2156" t="str">
            <v>-</v>
          </cell>
          <cell r="U2156" t="str">
            <v>-</v>
          </cell>
          <cell r="V2156" t="str">
            <v>D</v>
          </cell>
          <cell r="W2156" t="str">
            <v>-</v>
          </cell>
          <cell r="X2156" t="str">
            <v>CLP 220 (-15/+40°C)</v>
          </cell>
          <cell r="Y2156" t="str">
            <v>R97DRN160M4</v>
          </cell>
          <cell r="Z2156" t="str">
            <v>SEW</v>
          </cell>
          <cell r="AB2156" t="str">
            <v>-</v>
          </cell>
          <cell r="AF2156">
            <v>59</v>
          </cell>
          <cell r="AG2156" t="str">
            <v>DRN160M4</v>
          </cell>
          <cell r="AH2156" t="str">
            <v>R97-DRN160M4270-X</v>
          </cell>
        </row>
        <row r="2157">
          <cell r="A2157" t="str">
            <v>MR002153</v>
          </cell>
          <cell r="B2157" t="str">
            <v>MR</v>
          </cell>
          <cell r="C2157">
            <v>30</v>
          </cell>
          <cell r="D2157">
            <v>45</v>
          </cell>
          <cell r="E2157" t="str">
            <v>R137</v>
          </cell>
          <cell r="F2157">
            <v>6370</v>
          </cell>
          <cell r="G2157">
            <v>32.909999999999997</v>
          </cell>
          <cell r="H2157">
            <v>1.25</v>
          </cell>
          <cell r="I2157" t="str">
            <v>M1</v>
          </cell>
          <cell r="J2157" t="str">
            <v>IE3</v>
          </cell>
          <cell r="K2157" t="str">
            <v>400/690</v>
          </cell>
          <cell r="L2157">
            <v>50</v>
          </cell>
          <cell r="M2157" t="str">
            <v>56/32,5</v>
          </cell>
          <cell r="N2157">
            <v>65</v>
          </cell>
          <cell r="O2157" t="str">
            <v>155(F)</v>
          </cell>
          <cell r="P2157" t="str">
            <v>270°</v>
          </cell>
          <cell r="Q2157" t="str">
            <v>TF</v>
          </cell>
          <cell r="R2157" t="str">
            <v>V(VE)</v>
          </cell>
          <cell r="S2157" t="str">
            <v>-</v>
          </cell>
          <cell r="T2157" t="str">
            <v>-</v>
          </cell>
          <cell r="U2157" t="str">
            <v>-</v>
          </cell>
          <cell r="V2157" t="str">
            <v>FC</v>
          </cell>
          <cell r="W2157" t="str">
            <v>-</v>
          </cell>
          <cell r="X2157" t="str">
            <v>CLP 220 (-15/+40°C)</v>
          </cell>
          <cell r="Y2157" t="str">
            <v>R137DRN200L4 /TF/V</v>
          </cell>
          <cell r="Z2157" t="str">
            <v>SEW</v>
          </cell>
          <cell r="AB2157" t="str">
            <v>-</v>
          </cell>
          <cell r="AF2157">
            <v>45</v>
          </cell>
          <cell r="AG2157" t="str">
            <v>DRN200L4</v>
          </cell>
          <cell r="AH2157" t="str">
            <v>R137-DRN200L4270-X#</v>
          </cell>
        </row>
        <row r="2158">
          <cell r="A2158" t="str">
            <v>MR002154</v>
          </cell>
          <cell r="B2158" t="str">
            <v>MR</v>
          </cell>
          <cell r="C2158">
            <v>37</v>
          </cell>
          <cell r="D2158">
            <v>107</v>
          </cell>
          <cell r="E2158" t="str">
            <v>KH97</v>
          </cell>
          <cell r="F2158">
            <v>3300</v>
          </cell>
          <cell r="G2158">
            <v>13.85</v>
          </cell>
          <cell r="H2158">
            <v>1.3</v>
          </cell>
          <cell r="I2158" t="str">
            <v>M4B</v>
          </cell>
          <cell r="J2158" t="str">
            <v>IE3</v>
          </cell>
          <cell r="K2158" t="str">
            <v>400/690</v>
          </cell>
          <cell r="L2158">
            <v>50</v>
          </cell>
          <cell r="M2158" t="str">
            <v>64/37</v>
          </cell>
          <cell r="N2158">
            <v>65</v>
          </cell>
          <cell r="O2158" t="str">
            <v>155(F)</v>
          </cell>
          <cell r="P2158" t="str">
            <v>270°</v>
          </cell>
          <cell r="Q2158" t="str">
            <v>TF</v>
          </cell>
          <cell r="R2158" t="str">
            <v>V(VE)</v>
          </cell>
          <cell r="S2158" t="str">
            <v>Free rotation CW</v>
          </cell>
          <cell r="T2158" t="str">
            <v>-</v>
          </cell>
          <cell r="U2158" t="str">
            <v>T</v>
          </cell>
          <cell r="V2158" t="str">
            <v>FC</v>
          </cell>
          <cell r="W2158" t="str">
            <v>-</v>
          </cell>
          <cell r="X2158" t="str">
            <v>CLP 220 (-15/+40°C)</v>
          </cell>
          <cell r="Y2158" t="str">
            <v>KH97/T DRN225S4 /RS /TF/V</v>
          </cell>
          <cell r="Z2158" t="str">
            <v>SEW</v>
          </cell>
          <cell r="AB2158" t="str">
            <v>-</v>
          </cell>
          <cell r="AF2158">
            <v>107</v>
          </cell>
          <cell r="AG2158" t="str">
            <v>DRN225S4</v>
          </cell>
          <cell r="AH2158" t="str">
            <v>KH97T-DRN225S4B270-X#</v>
          </cell>
        </row>
        <row r="2159">
          <cell r="A2159" t="str">
            <v>MR002155</v>
          </cell>
          <cell r="B2159" t="str">
            <v>MR</v>
          </cell>
          <cell r="C2159">
            <v>15</v>
          </cell>
          <cell r="D2159">
            <v>102</v>
          </cell>
          <cell r="E2159" t="str">
            <v>KH87</v>
          </cell>
          <cell r="F2159">
            <v>1400</v>
          </cell>
          <cell r="G2159">
            <v>14.45</v>
          </cell>
          <cell r="H2159">
            <v>1.5</v>
          </cell>
          <cell r="I2159" t="str">
            <v>M4A</v>
          </cell>
          <cell r="J2159" t="str">
            <v>IE3</v>
          </cell>
          <cell r="K2159" t="str">
            <v>400/690</v>
          </cell>
          <cell r="L2159">
            <v>50</v>
          </cell>
          <cell r="M2159" t="str">
            <v>29/16,7</v>
          </cell>
          <cell r="N2159">
            <v>65</v>
          </cell>
          <cell r="O2159" t="str">
            <v>F(105°C)</v>
          </cell>
          <cell r="P2159" t="str">
            <v>270°</v>
          </cell>
          <cell r="Q2159" t="str">
            <v>TF</v>
          </cell>
          <cell r="R2159" t="str">
            <v>V(VE)</v>
          </cell>
          <cell r="S2159" t="str">
            <v>Free rotation CCW</v>
          </cell>
          <cell r="T2159" t="str">
            <v>-</v>
          </cell>
          <cell r="U2159" t="str">
            <v>T</v>
          </cell>
          <cell r="V2159" t="str">
            <v>FC</v>
          </cell>
          <cell r="W2159" t="str">
            <v>-</v>
          </cell>
          <cell r="X2159" t="str">
            <v>CLP 220 (-15/+40°C)</v>
          </cell>
          <cell r="Y2159" t="str">
            <v>KH87/T DRN160L4 /RS /TF/V</v>
          </cell>
          <cell r="Z2159" t="str">
            <v>SEW</v>
          </cell>
          <cell r="AB2159" t="str">
            <v>-</v>
          </cell>
          <cell r="AF2159">
            <v>102</v>
          </cell>
          <cell r="AG2159" t="str">
            <v>DRN160L4</v>
          </cell>
          <cell r="AH2159" t="str">
            <v>KH87T-DRN160L4A270-X#</v>
          </cell>
        </row>
        <row r="2160">
          <cell r="A2160" t="str">
            <v>MR002156</v>
          </cell>
          <cell r="B2160" t="str">
            <v>MR</v>
          </cell>
          <cell r="C2160">
            <v>22</v>
          </cell>
          <cell r="D2160">
            <v>107</v>
          </cell>
          <cell r="E2160" t="str">
            <v>KH97</v>
          </cell>
          <cell r="F2160">
            <v>1960</v>
          </cell>
          <cell r="G2160">
            <v>13.85</v>
          </cell>
          <cell r="H2160">
            <v>2.2000000000000002</v>
          </cell>
          <cell r="I2160" t="str">
            <v>M4A</v>
          </cell>
          <cell r="J2160" t="str">
            <v>IE3</v>
          </cell>
          <cell r="K2160" t="str">
            <v>400/690</v>
          </cell>
          <cell r="L2160">
            <v>50</v>
          </cell>
          <cell r="M2160" t="str">
            <v>38,5/22,5</v>
          </cell>
          <cell r="N2160">
            <v>65</v>
          </cell>
          <cell r="O2160" t="str">
            <v>155(F)</v>
          </cell>
          <cell r="P2160" t="str">
            <v>270°</v>
          </cell>
          <cell r="Q2160" t="str">
            <v>TF</v>
          </cell>
          <cell r="R2160" t="str">
            <v>V(VE)</v>
          </cell>
          <cell r="S2160" t="str">
            <v>Free rotation CCW</v>
          </cell>
          <cell r="T2160" t="str">
            <v>-</v>
          </cell>
          <cell r="U2160" t="str">
            <v>T</v>
          </cell>
          <cell r="V2160" t="str">
            <v>FC</v>
          </cell>
          <cell r="W2160" t="str">
            <v>-</v>
          </cell>
          <cell r="X2160" t="str">
            <v>CLP 220 (-15/+40°C)</v>
          </cell>
          <cell r="Y2160" t="str">
            <v>KH97/T DRN180L4 /RS /TF/V</v>
          </cell>
          <cell r="Z2160" t="str">
            <v>SEW</v>
          </cell>
          <cell r="AB2160" t="str">
            <v>-</v>
          </cell>
          <cell r="AF2160">
            <v>107</v>
          </cell>
          <cell r="AG2160" t="str">
            <v>DRN180L4</v>
          </cell>
          <cell r="AH2160" t="str">
            <v>KH97T-DRN180L4A270-X#</v>
          </cell>
        </row>
        <row r="2161">
          <cell r="A2161" t="str">
            <v>MR002157</v>
          </cell>
          <cell r="B2161" t="str">
            <v>MR</v>
          </cell>
          <cell r="C2161">
            <v>37</v>
          </cell>
          <cell r="D2161">
            <v>107</v>
          </cell>
          <cell r="E2161" t="str">
            <v>KH97</v>
          </cell>
          <cell r="F2161">
            <v>3300</v>
          </cell>
          <cell r="G2161">
            <v>13.85</v>
          </cell>
          <cell r="H2161">
            <v>1.3</v>
          </cell>
          <cell r="I2161" t="str">
            <v>M4A</v>
          </cell>
          <cell r="J2161" t="str">
            <v>IE3</v>
          </cell>
          <cell r="K2161" t="str">
            <v>400/690</v>
          </cell>
          <cell r="L2161">
            <v>50</v>
          </cell>
          <cell r="M2161" t="str">
            <v>64/37</v>
          </cell>
          <cell r="N2161">
            <v>65</v>
          </cell>
          <cell r="O2161" t="str">
            <v>155(F)</v>
          </cell>
          <cell r="P2161" t="str">
            <v>270°</v>
          </cell>
          <cell r="Q2161" t="str">
            <v>TF</v>
          </cell>
          <cell r="R2161" t="str">
            <v>V(VE)</v>
          </cell>
          <cell r="S2161" t="str">
            <v>Free rotation CCW</v>
          </cell>
          <cell r="T2161" t="str">
            <v>-</v>
          </cell>
          <cell r="U2161" t="str">
            <v>T</v>
          </cell>
          <cell r="V2161" t="str">
            <v>FC</v>
          </cell>
          <cell r="W2161" t="str">
            <v>-</v>
          </cell>
          <cell r="X2161" t="str">
            <v>CLP 220 (-15/+40°C)</v>
          </cell>
          <cell r="Y2161" t="str">
            <v>KH97/T DRN225S4 /RS /TF/V</v>
          </cell>
          <cell r="Z2161" t="str">
            <v>SEW</v>
          </cell>
          <cell r="AB2161" t="str">
            <v>-</v>
          </cell>
          <cell r="AF2161">
            <v>107</v>
          </cell>
          <cell r="AG2161" t="str">
            <v>DRN225S4</v>
          </cell>
          <cell r="AH2161" t="str">
            <v>KH97T-DRN225S4A270-X#</v>
          </cell>
        </row>
        <row r="2162">
          <cell r="A2162" t="str">
            <v>MR002158</v>
          </cell>
          <cell r="B2162" t="str">
            <v>MR</v>
          </cell>
          <cell r="C2162">
            <v>22</v>
          </cell>
          <cell r="D2162">
            <v>107</v>
          </cell>
          <cell r="E2162" t="str">
            <v>KH97</v>
          </cell>
          <cell r="F2162">
            <v>1960</v>
          </cell>
          <cell r="G2162">
            <v>13.85</v>
          </cell>
          <cell r="H2162">
            <v>2.2000000000000002</v>
          </cell>
          <cell r="I2162" t="str">
            <v>M4B</v>
          </cell>
          <cell r="J2162" t="str">
            <v>IE3</v>
          </cell>
          <cell r="K2162" t="str">
            <v>400/690</v>
          </cell>
          <cell r="L2162">
            <v>50</v>
          </cell>
          <cell r="M2162" t="str">
            <v>38,5/22,5</v>
          </cell>
          <cell r="N2162">
            <v>65</v>
          </cell>
          <cell r="O2162" t="str">
            <v>155(F)</v>
          </cell>
          <cell r="P2162" t="str">
            <v>270°</v>
          </cell>
          <cell r="Q2162" t="str">
            <v>TF</v>
          </cell>
          <cell r="R2162" t="str">
            <v>V(VE)</v>
          </cell>
          <cell r="S2162" t="str">
            <v>Free rotation CW</v>
          </cell>
          <cell r="T2162" t="str">
            <v>-</v>
          </cell>
          <cell r="U2162" t="str">
            <v>T</v>
          </cell>
          <cell r="V2162" t="str">
            <v>FC</v>
          </cell>
          <cell r="W2162" t="str">
            <v>-</v>
          </cell>
          <cell r="X2162" t="str">
            <v>CLP 220 (-15/+40°C)</v>
          </cell>
          <cell r="Y2162" t="str">
            <v>KH97/T DRN180L4 /RS /TF/V</v>
          </cell>
          <cell r="Z2162" t="str">
            <v>SEW</v>
          </cell>
          <cell r="AB2162" t="str">
            <v>-</v>
          </cell>
          <cell r="AF2162">
            <v>107</v>
          </cell>
          <cell r="AG2162" t="str">
            <v>DRN180L4</v>
          </cell>
          <cell r="AH2162" t="str">
            <v>KH97T-DRN180L4B270-X#</v>
          </cell>
        </row>
        <row r="2163">
          <cell r="A2163" t="str">
            <v>MR002159</v>
          </cell>
          <cell r="B2163" t="str">
            <v>MR</v>
          </cell>
          <cell r="C2163">
            <v>0.75</v>
          </cell>
          <cell r="D2163">
            <v>162</v>
          </cell>
          <cell r="E2163" t="str">
            <v>KA37</v>
          </cell>
          <cell r="F2163">
            <v>44</v>
          </cell>
          <cell r="G2163">
            <v>8.91</v>
          </cell>
          <cell r="H2163">
            <v>3.6</v>
          </cell>
          <cell r="I2163" t="str">
            <v>From M1A to M2A - 10°</v>
          </cell>
          <cell r="J2163" t="str">
            <v>IE3</v>
          </cell>
          <cell r="K2163" t="str">
            <v>230/400</v>
          </cell>
          <cell r="L2163">
            <v>50</v>
          </cell>
          <cell r="M2163" t="str">
            <v>3,05/1,75</v>
          </cell>
          <cell r="N2163">
            <v>65</v>
          </cell>
          <cell r="O2163" t="str">
            <v>155(F)</v>
          </cell>
          <cell r="P2163" t="str">
            <v>270°</v>
          </cell>
          <cell r="Q2163" t="str">
            <v>-</v>
          </cell>
          <cell r="R2163" t="str">
            <v>-</v>
          </cell>
          <cell r="S2163" t="str">
            <v>-</v>
          </cell>
          <cell r="T2163" t="str">
            <v>-</v>
          </cell>
          <cell r="U2163" t="str">
            <v>T</v>
          </cell>
          <cell r="V2163" t="str">
            <v>D</v>
          </cell>
          <cell r="W2163" t="str">
            <v>-</v>
          </cell>
          <cell r="X2163" t="str">
            <v>CLP 220 (-15/+40°C)</v>
          </cell>
          <cell r="Y2163" t="str">
            <v>KA37/T DRN80M4</v>
          </cell>
          <cell r="Z2163" t="str">
            <v>SEW</v>
          </cell>
          <cell r="AB2163" t="str">
            <v>-</v>
          </cell>
          <cell r="AF2163">
            <v>162</v>
          </cell>
          <cell r="AG2163" t="str">
            <v>DRN80M4</v>
          </cell>
          <cell r="AH2163" t="str">
            <v>KA37T-DRN80M4A270-X</v>
          </cell>
        </row>
        <row r="2164">
          <cell r="A2164" t="str">
            <v>MR002160</v>
          </cell>
          <cell r="B2164" t="str">
            <v>MR</v>
          </cell>
          <cell r="C2164">
            <v>7.5</v>
          </cell>
          <cell r="D2164">
            <v>57</v>
          </cell>
          <cell r="E2164" t="str">
            <v>KH77</v>
          </cell>
          <cell r="F2164">
            <v>1240</v>
          </cell>
          <cell r="G2164">
            <v>25.62</v>
          </cell>
          <cell r="H2164">
            <v>1.25</v>
          </cell>
          <cell r="I2164" t="str">
            <v>M4A</v>
          </cell>
          <cell r="J2164" t="str">
            <v>IE3</v>
          </cell>
          <cell r="K2164" t="str">
            <v>230/400</v>
          </cell>
          <cell r="L2164">
            <v>50</v>
          </cell>
          <cell r="M2164" t="str">
            <v>15,2/8,8</v>
          </cell>
          <cell r="N2164">
            <v>65</v>
          </cell>
          <cell r="O2164" t="str">
            <v>155(F)</v>
          </cell>
          <cell r="P2164" t="str">
            <v>270°</v>
          </cell>
          <cell r="Q2164" t="str">
            <v>TF</v>
          </cell>
          <cell r="R2164" t="str">
            <v>V(VE)</v>
          </cell>
          <cell r="S2164" t="str">
            <v>Free rotation CCW</v>
          </cell>
          <cell r="T2164" t="str">
            <v>-</v>
          </cell>
          <cell r="U2164" t="str">
            <v>T</v>
          </cell>
          <cell r="V2164" t="str">
            <v>FC</v>
          </cell>
          <cell r="W2164" t="str">
            <v>-</v>
          </cell>
          <cell r="X2164" t="str">
            <v>CLP 220 (-15/+40°C)</v>
          </cell>
          <cell r="Y2164" t="str">
            <v>KH77/T DRN132M4 /RS /TF/V</v>
          </cell>
          <cell r="Z2164" t="str">
            <v>SEW</v>
          </cell>
          <cell r="AB2164" t="str">
            <v>-</v>
          </cell>
          <cell r="AF2164">
            <v>57</v>
          </cell>
          <cell r="AG2164" t="str">
            <v>DRN132M4</v>
          </cell>
          <cell r="AH2164" t="str">
            <v>KH77T-DRN132M4A270-X#</v>
          </cell>
        </row>
        <row r="2165">
          <cell r="A2165" t="str">
            <v>MR002161</v>
          </cell>
          <cell r="B2165" t="str">
            <v>MR</v>
          </cell>
          <cell r="C2165">
            <v>0.37</v>
          </cell>
          <cell r="D2165">
            <v>3.4</v>
          </cell>
          <cell r="E2165" t="str">
            <v>KA67R37</v>
          </cell>
          <cell r="F2165">
            <v>920</v>
          </cell>
          <cell r="G2165">
            <v>420</v>
          </cell>
          <cell r="H2165">
            <v>0.9</v>
          </cell>
          <cell r="I2165" t="str">
            <v>M3B</v>
          </cell>
          <cell r="J2165" t="str">
            <v>IE3</v>
          </cell>
          <cell r="K2165" t="str">
            <v>230/400</v>
          </cell>
          <cell r="L2165">
            <v>50</v>
          </cell>
          <cell r="M2165" t="str">
            <v>1,78/1,02</v>
          </cell>
          <cell r="N2165">
            <v>65</v>
          </cell>
          <cell r="O2165" t="str">
            <v>F(105°C)</v>
          </cell>
          <cell r="P2165" t="str">
            <v>270°</v>
          </cell>
          <cell r="Q2165" t="str">
            <v>-</v>
          </cell>
          <cell r="R2165" t="str">
            <v>-</v>
          </cell>
          <cell r="S2165" t="str">
            <v>-</v>
          </cell>
          <cell r="T2165" t="str">
            <v>BEHF</v>
          </cell>
          <cell r="U2165" t="str">
            <v>T</v>
          </cell>
          <cell r="V2165" t="str">
            <v>D+R</v>
          </cell>
          <cell r="W2165" t="str">
            <v>-</v>
          </cell>
          <cell r="X2165" t="str">
            <v>CLP 220 (-15/+40°C)</v>
          </cell>
          <cell r="Y2165" t="str">
            <v>KA67R37/T DRS71S4 /BEHF</v>
          </cell>
          <cell r="Z2165" t="str">
            <v>SEW</v>
          </cell>
          <cell r="AB2165" t="str">
            <v>-</v>
          </cell>
          <cell r="AF2165">
            <v>3.4</v>
          </cell>
          <cell r="AG2165" t="str">
            <v>DRS71S4</v>
          </cell>
          <cell r="AH2165" t="str">
            <v>KA67R37T-DRS71S4B270-X</v>
          </cell>
        </row>
        <row r="2166">
          <cell r="A2166" t="str">
            <v>MR002162</v>
          </cell>
          <cell r="B2166" t="str">
            <v>MR</v>
          </cell>
          <cell r="C2166">
            <v>7.5</v>
          </cell>
          <cell r="D2166">
            <v>54</v>
          </cell>
          <cell r="E2166" t="str">
            <v>FH97</v>
          </cell>
          <cell r="F2166">
            <v>1330</v>
          </cell>
          <cell r="G2166">
            <v>27.44</v>
          </cell>
          <cell r="H2166">
            <v>3.2</v>
          </cell>
          <cell r="I2166" t="str">
            <v>M1</v>
          </cell>
          <cell r="J2166" t="str">
            <v>IE3</v>
          </cell>
          <cell r="K2166" t="str">
            <v>400/690</v>
          </cell>
          <cell r="L2166">
            <v>50</v>
          </cell>
          <cell r="M2166" t="str">
            <v>15,2/8,8</v>
          </cell>
          <cell r="N2166">
            <v>65</v>
          </cell>
          <cell r="O2166" t="str">
            <v>155(F)</v>
          </cell>
          <cell r="P2166" t="str">
            <v>270°</v>
          </cell>
          <cell r="Q2166" t="str">
            <v>TF</v>
          </cell>
          <cell r="R2166" t="str">
            <v>V(VE)</v>
          </cell>
          <cell r="S2166" t="str">
            <v>-</v>
          </cell>
          <cell r="T2166" t="str">
            <v>-</v>
          </cell>
          <cell r="U2166" t="str">
            <v>G</v>
          </cell>
          <cell r="V2166" t="str">
            <v>FC+R</v>
          </cell>
          <cell r="W2166" t="str">
            <v>-</v>
          </cell>
          <cell r="X2166" t="str">
            <v>CLP 220 (-15/+40°C)</v>
          </cell>
          <cell r="Y2166" t="str">
            <v>FH97/G DRN132M4 /TF/V</v>
          </cell>
          <cell r="Z2166" t="str">
            <v>SEW</v>
          </cell>
          <cell r="AB2166" t="str">
            <v>-</v>
          </cell>
          <cell r="AF2166">
            <v>54</v>
          </cell>
          <cell r="AG2166" t="str">
            <v>DRN132M4</v>
          </cell>
          <cell r="AH2166" t="str">
            <v>FH97G-DRN132M4270-X#</v>
          </cell>
        </row>
        <row r="2167">
          <cell r="A2167" t="str">
            <v>MR002163</v>
          </cell>
          <cell r="B2167" t="str">
            <v>MR</v>
          </cell>
          <cell r="C2167">
            <v>11</v>
          </cell>
          <cell r="D2167">
            <v>13</v>
          </cell>
          <cell r="E2167" t="str">
            <v>KH127</v>
          </cell>
          <cell r="F2167">
            <v>7850</v>
          </cell>
          <cell r="G2167">
            <v>110.18</v>
          </cell>
          <cell r="H2167">
            <v>1.65</v>
          </cell>
          <cell r="I2167" t="str">
            <v>M1B</v>
          </cell>
          <cell r="J2167" t="str">
            <v>IE3</v>
          </cell>
          <cell r="K2167" t="str">
            <v>400/690</v>
          </cell>
          <cell r="L2167">
            <v>50</v>
          </cell>
          <cell r="M2167" t="str">
            <v>21/12,2</v>
          </cell>
          <cell r="N2167">
            <v>65</v>
          </cell>
          <cell r="O2167" t="str">
            <v>155(F)</v>
          </cell>
          <cell r="P2167" t="str">
            <v>0°</v>
          </cell>
          <cell r="Q2167" t="str">
            <v>-</v>
          </cell>
          <cell r="R2167" t="str">
            <v>-</v>
          </cell>
          <cell r="S2167" t="str">
            <v>-</v>
          </cell>
          <cell r="T2167" t="str">
            <v>-</v>
          </cell>
          <cell r="U2167" t="str">
            <v>-</v>
          </cell>
          <cell r="V2167" t="str">
            <v>SS</v>
          </cell>
          <cell r="W2167" t="str">
            <v>-</v>
          </cell>
          <cell r="X2167" t="str">
            <v>CLP 220 (-15/+40°C)</v>
          </cell>
          <cell r="Y2167" t="str">
            <v>KH127DRN160M4</v>
          </cell>
          <cell r="Z2167" t="str">
            <v>SEW</v>
          </cell>
          <cell r="AB2167" t="str">
            <v>-</v>
          </cell>
          <cell r="AF2167">
            <v>13</v>
          </cell>
          <cell r="AG2167" t="str">
            <v>DRN160M4</v>
          </cell>
          <cell r="AH2167" t="str">
            <v>KH127-DRN160M4B0-X</v>
          </cell>
        </row>
        <row r="2168">
          <cell r="A2168" t="str">
            <v>MR002164</v>
          </cell>
          <cell r="B2168" t="str">
            <v>MR</v>
          </cell>
          <cell r="C2168">
            <v>9.1999999999999993</v>
          </cell>
          <cell r="D2168">
            <v>66</v>
          </cell>
          <cell r="E2168" t="str">
            <v>R97</v>
          </cell>
          <cell r="F2168">
            <v>1330</v>
          </cell>
          <cell r="G2168">
            <v>22.37</v>
          </cell>
          <cell r="H2168">
            <v>2</v>
          </cell>
          <cell r="I2168" t="str">
            <v>From M1 to M2 - 15°</v>
          </cell>
          <cell r="J2168" t="str">
            <v>IE3</v>
          </cell>
          <cell r="K2168" t="str">
            <v>400/690</v>
          </cell>
          <cell r="L2168">
            <v>50</v>
          </cell>
          <cell r="M2168" t="str">
            <v>18,7/10,8</v>
          </cell>
          <cell r="N2168">
            <v>55</v>
          </cell>
          <cell r="O2168" t="str">
            <v>155(F)</v>
          </cell>
          <cell r="P2168" t="str">
            <v>270°</v>
          </cell>
          <cell r="Q2168" t="str">
            <v>-</v>
          </cell>
          <cell r="R2168" t="str">
            <v>-</v>
          </cell>
          <cell r="S2168" t="str">
            <v>-</v>
          </cell>
          <cell r="T2168" t="str">
            <v>-</v>
          </cell>
          <cell r="U2168" t="str">
            <v>-</v>
          </cell>
          <cell r="V2168" t="str">
            <v>D</v>
          </cell>
          <cell r="W2168" t="str">
            <v>-</v>
          </cell>
          <cell r="X2168" t="str">
            <v>CLP 220 (-15/+40°C)</v>
          </cell>
          <cell r="Y2168" t="str">
            <v>R97DRN132L4</v>
          </cell>
          <cell r="Z2168" t="str">
            <v>SEW</v>
          </cell>
          <cell r="AB2168" t="str">
            <v>-</v>
          </cell>
          <cell r="AF2168">
            <v>66</v>
          </cell>
          <cell r="AG2168" t="str">
            <v>DRN132L4</v>
          </cell>
          <cell r="AH2168" t="str">
            <v>R97-DRN132L4270-X</v>
          </cell>
        </row>
        <row r="2169">
          <cell r="A2169" t="str">
            <v>MR002165</v>
          </cell>
          <cell r="B2169" t="str">
            <v>MR</v>
          </cell>
          <cell r="C2169">
            <v>9.1999999999999993</v>
          </cell>
          <cell r="D2169">
            <v>66</v>
          </cell>
          <cell r="E2169" t="str">
            <v>R97</v>
          </cell>
          <cell r="F2169">
            <v>1330</v>
          </cell>
          <cell r="G2169">
            <v>22.37</v>
          </cell>
          <cell r="H2169">
            <v>2</v>
          </cell>
          <cell r="I2169" t="str">
            <v>M1</v>
          </cell>
          <cell r="J2169" t="str">
            <v>IE3</v>
          </cell>
          <cell r="K2169" t="str">
            <v>400/690</v>
          </cell>
          <cell r="L2169">
            <v>50</v>
          </cell>
          <cell r="M2169" t="str">
            <v>18,7/10,8</v>
          </cell>
          <cell r="N2169">
            <v>55</v>
          </cell>
          <cell r="O2169" t="str">
            <v>155(F)</v>
          </cell>
          <cell r="P2169" t="str">
            <v>270°</v>
          </cell>
          <cell r="Q2169" t="str">
            <v>-</v>
          </cell>
          <cell r="R2169" t="str">
            <v>-</v>
          </cell>
          <cell r="S2169" t="str">
            <v>-</v>
          </cell>
          <cell r="T2169" t="str">
            <v>-</v>
          </cell>
          <cell r="U2169" t="str">
            <v>-</v>
          </cell>
          <cell r="V2169" t="str">
            <v>D</v>
          </cell>
          <cell r="W2169" t="str">
            <v>-</v>
          </cell>
          <cell r="X2169" t="str">
            <v>CLP 220 (-15/+40°C)</v>
          </cell>
          <cell r="Y2169" t="str">
            <v>R97DRN132L4</v>
          </cell>
          <cell r="Z2169" t="str">
            <v>SEW</v>
          </cell>
          <cell r="AB2169" t="str">
            <v>-</v>
          </cell>
          <cell r="AF2169">
            <v>66</v>
          </cell>
          <cell r="AG2169" t="str">
            <v>DRN132L4</v>
          </cell>
          <cell r="AH2169" t="str">
            <v>R97-DRN132L4270-X</v>
          </cell>
        </row>
        <row r="2170">
          <cell r="A2170" t="str">
            <v>MR002166</v>
          </cell>
          <cell r="B2170" t="str">
            <v>MR</v>
          </cell>
          <cell r="C2170">
            <v>15</v>
          </cell>
          <cell r="D2170">
            <v>12</v>
          </cell>
          <cell r="E2170" t="str">
            <v>K169</v>
          </cell>
          <cell r="F2170">
            <v>11637.83</v>
          </cell>
          <cell r="G2170">
            <v>119.83</v>
          </cell>
          <cell r="H2170">
            <v>1.1200000000000001</v>
          </cell>
          <cell r="I2170" t="str">
            <v>From M4B to M1B - 30°</v>
          </cell>
          <cell r="J2170" t="str">
            <v>IE3</v>
          </cell>
          <cell r="K2170">
            <v>400</v>
          </cell>
          <cell r="L2170">
            <v>50</v>
          </cell>
          <cell r="M2170">
            <v>28.5</v>
          </cell>
          <cell r="N2170">
            <v>55</v>
          </cell>
          <cell r="O2170" t="str">
            <v>155(F)</v>
          </cell>
          <cell r="P2170" t="str">
            <v>1D</v>
          </cell>
          <cell r="Q2170" t="str">
            <v>TF</v>
          </cell>
          <cell r="R2170" t="str">
            <v>-</v>
          </cell>
          <cell r="S2170" t="str">
            <v>-</v>
          </cell>
          <cell r="T2170" t="str">
            <v>-</v>
          </cell>
          <cell r="U2170" t="str">
            <v>-</v>
          </cell>
          <cell r="V2170" t="str">
            <v>SS</v>
          </cell>
          <cell r="W2170" t="str">
            <v>-</v>
          </cell>
          <cell r="X2170" t="str">
            <v>CLP PG 220 (-25/+80°C)</v>
          </cell>
          <cell r="Y2170" t="str">
            <v>KAS169-LE160ZLL4P</v>
          </cell>
          <cell r="Z2170" t="str">
            <v>SIEMENS</v>
          </cell>
          <cell r="AB2170" t="str">
            <v>ATEX22</v>
          </cell>
          <cell r="AE2170" t="str">
            <v>2KJ3514-9JU23-9AX1-Z D24+E06+G23+G60+H3A+K01+K07+K41+K96+L03+L75+M10+M21+M58+N3A+N41</v>
          </cell>
          <cell r="AF2170">
            <v>12</v>
          </cell>
          <cell r="AG2170" t="str">
            <v>EDRN160L4</v>
          </cell>
          <cell r="AH2170" t="str">
            <v>K169-EDRN160L4B1D-X</v>
          </cell>
        </row>
        <row r="2171">
          <cell r="A2171" t="str">
            <v>MR002167</v>
          </cell>
          <cell r="B2171" t="str">
            <v>MR</v>
          </cell>
          <cell r="C2171">
            <v>1.5</v>
          </cell>
          <cell r="D2171">
            <v>13</v>
          </cell>
          <cell r="E2171" t="str">
            <v>FD89</v>
          </cell>
          <cell r="F2171">
            <v>1850</v>
          </cell>
          <cell r="G2171">
            <v>106.52</v>
          </cell>
          <cell r="H2171">
            <v>1.75</v>
          </cell>
          <cell r="I2171" t="str">
            <v>From M5 to M4 - 30°</v>
          </cell>
          <cell r="J2171" t="str">
            <v>IE3</v>
          </cell>
          <cell r="K2171">
            <v>400</v>
          </cell>
          <cell r="L2171">
            <v>50</v>
          </cell>
          <cell r="M2171">
            <v>3.15</v>
          </cell>
          <cell r="N2171">
            <v>55</v>
          </cell>
          <cell r="O2171" t="str">
            <v>155(F)</v>
          </cell>
          <cell r="P2171" t="str">
            <v>1A</v>
          </cell>
          <cell r="Q2171" t="str">
            <v>TF</v>
          </cell>
          <cell r="R2171" t="str">
            <v>-</v>
          </cell>
          <cell r="S2171" t="str">
            <v>-</v>
          </cell>
          <cell r="T2171" t="str">
            <v>Brake 180V DC + leva</v>
          </cell>
          <cell r="U2171" t="str">
            <v>G</v>
          </cell>
          <cell r="V2171" t="str">
            <v>D+R</v>
          </cell>
          <cell r="W2171" t="str">
            <v>-</v>
          </cell>
          <cell r="X2171" t="str">
            <v>CLP PG 220 (-25/+80°C)</v>
          </cell>
          <cell r="Y2171" t="str">
            <v>FDAD89-LE90ZLR4PL16NHA</v>
          </cell>
          <cell r="Z2171" t="str">
            <v>SIEMENS</v>
          </cell>
          <cell r="AB2171" t="str">
            <v>ATEX22</v>
          </cell>
          <cell r="AE2171" t="str">
            <v>2KJ3406-5EM23-4DF1-Z B10+C03+C27+C53+D04+E52+G23+G60+K01+K07+K41+L03+L75+M10+M21+M55+N41</v>
          </cell>
          <cell r="AF2171">
            <v>13</v>
          </cell>
          <cell r="AG2171" t="str">
            <v>EDRN90L4</v>
          </cell>
          <cell r="AH2171" t="str">
            <v>FD89G-EDRN90L41A-X</v>
          </cell>
        </row>
        <row r="2172">
          <cell r="A2172" t="str">
            <v>MR002168</v>
          </cell>
          <cell r="B2172" t="str">
            <v>MR</v>
          </cell>
          <cell r="C2172">
            <v>1.5</v>
          </cell>
          <cell r="D2172">
            <v>13</v>
          </cell>
          <cell r="E2172" t="str">
            <v>FD89</v>
          </cell>
          <cell r="F2172">
            <v>1850</v>
          </cell>
          <cell r="G2172">
            <v>106.52</v>
          </cell>
          <cell r="H2172">
            <v>1.75</v>
          </cell>
          <cell r="I2172" t="str">
            <v>From M6 to M4 - 30°</v>
          </cell>
          <cell r="J2172" t="str">
            <v>IE3</v>
          </cell>
          <cell r="K2172">
            <v>400</v>
          </cell>
          <cell r="L2172">
            <v>50</v>
          </cell>
          <cell r="M2172">
            <v>3.15</v>
          </cell>
          <cell r="N2172">
            <v>55</v>
          </cell>
          <cell r="O2172" t="str">
            <v>155(F)</v>
          </cell>
          <cell r="P2172" t="str">
            <v>1A</v>
          </cell>
          <cell r="Q2172" t="str">
            <v>TF</v>
          </cell>
          <cell r="R2172" t="str">
            <v>-</v>
          </cell>
          <cell r="S2172" t="str">
            <v>-</v>
          </cell>
          <cell r="T2172" t="str">
            <v>Brake 180V DC + leva</v>
          </cell>
          <cell r="U2172" t="str">
            <v>G</v>
          </cell>
          <cell r="V2172" t="str">
            <v>D+R</v>
          </cell>
          <cell r="W2172" t="str">
            <v>-</v>
          </cell>
          <cell r="X2172" t="str">
            <v>CLP PG 220 (-25/+80°C)</v>
          </cell>
          <cell r="Y2172" t="str">
            <v>FDAD89-LE90ZLR4PL16NHA</v>
          </cell>
          <cell r="Z2172" t="str">
            <v>SIEMENS</v>
          </cell>
          <cell r="AB2172" t="str">
            <v>ATEX22</v>
          </cell>
          <cell r="AE2172" t="str">
            <v>2KJ3406-5EM23-4DF1-Z B10+C03+C27+C53+D06+E46+G23+G60+K01+K07+K41+L03+L75+M10+M21+M55+N41</v>
          </cell>
          <cell r="AF2172">
            <v>13</v>
          </cell>
          <cell r="AG2172" t="str">
            <v>EDRN90L4</v>
          </cell>
          <cell r="AH2172" t="str">
            <v>FD89G-EDRN90L41A-X</v>
          </cell>
        </row>
        <row r="2173">
          <cell r="A2173" t="str">
            <v>MR002169</v>
          </cell>
          <cell r="B2173" t="str">
            <v>MR</v>
          </cell>
          <cell r="C2173">
            <v>22</v>
          </cell>
          <cell r="D2173">
            <v>12</v>
          </cell>
          <cell r="E2173" t="str">
            <v>K189</v>
          </cell>
          <cell r="F2173">
            <v>16722.400000000001</v>
          </cell>
          <cell r="G2173">
            <v>117</v>
          </cell>
          <cell r="H2173">
            <v>1.17</v>
          </cell>
          <cell r="I2173" t="str">
            <v>From M4B to M1B - 30°</v>
          </cell>
          <cell r="J2173" t="str">
            <v>IE3</v>
          </cell>
          <cell r="K2173">
            <v>400</v>
          </cell>
          <cell r="L2173">
            <v>50</v>
          </cell>
          <cell r="M2173">
            <v>41</v>
          </cell>
          <cell r="N2173">
            <v>55</v>
          </cell>
          <cell r="O2173" t="str">
            <v>155(F)</v>
          </cell>
          <cell r="P2173" t="str">
            <v>2D</v>
          </cell>
          <cell r="Q2173" t="str">
            <v>TF</v>
          </cell>
          <cell r="R2173" t="str">
            <v>-</v>
          </cell>
          <cell r="S2173" t="str">
            <v>-</v>
          </cell>
          <cell r="T2173" t="str">
            <v>-</v>
          </cell>
          <cell r="U2173" t="str">
            <v>-</v>
          </cell>
          <cell r="V2173" t="str">
            <v>SS</v>
          </cell>
          <cell r="W2173" t="str">
            <v>-</v>
          </cell>
          <cell r="X2173" t="str">
            <v>CLP PG 220 (-25/+80°C)</v>
          </cell>
          <cell r="Y2173" t="str">
            <v>KAS189-LES180ZLN4P</v>
          </cell>
          <cell r="Z2173" t="str">
            <v>SIEMENS</v>
          </cell>
          <cell r="AB2173" t="str">
            <v>ATEX22</v>
          </cell>
          <cell r="AE2173" t="str">
            <v>2KJ3515-9KN33-9AR1-Z D24+E06+G23+G60+H3A+K01+K07+K41+K96+L03+L75+M10+M21+M62+N3A+N41</v>
          </cell>
          <cell r="AF2173">
            <v>12</v>
          </cell>
          <cell r="AG2173" t="str">
            <v>EDRN180L4</v>
          </cell>
          <cell r="AH2173" t="str">
            <v>K189-EDRN180L4B2D-X</v>
          </cell>
        </row>
        <row r="2174">
          <cell r="A2174" t="str">
            <v>MR002170</v>
          </cell>
          <cell r="B2174" t="str">
            <v>MR</v>
          </cell>
          <cell r="C2174">
            <v>15</v>
          </cell>
          <cell r="D2174">
            <v>12</v>
          </cell>
          <cell r="E2174" t="str">
            <v>K169</v>
          </cell>
          <cell r="F2174">
            <v>11637.83</v>
          </cell>
          <cell r="G2174">
            <v>119.83</v>
          </cell>
          <cell r="H2174">
            <v>1.1200000000000001</v>
          </cell>
          <cell r="I2174" t="str">
            <v>From M4A to M1A - 20°</v>
          </cell>
          <cell r="J2174" t="str">
            <v>IE3</v>
          </cell>
          <cell r="K2174">
            <v>400</v>
          </cell>
          <cell r="L2174">
            <v>50</v>
          </cell>
          <cell r="M2174">
            <v>28.5</v>
          </cell>
          <cell r="N2174">
            <v>55</v>
          </cell>
          <cell r="O2174" t="str">
            <v>155(F)</v>
          </cell>
          <cell r="P2174" t="str">
            <v>3D</v>
          </cell>
          <cell r="Q2174" t="str">
            <v>TF</v>
          </cell>
          <cell r="R2174" t="str">
            <v>V(VE)</v>
          </cell>
          <cell r="S2174" t="str">
            <v>-</v>
          </cell>
          <cell r="T2174" t="str">
            <v>-</v>
          </cell>
          <cell r="U2174" t="str">
            <v>-</v>
          </cell>
          <cell r="V2174" t="str">
            <v>FC</v>
          </cell>
          <cell r="W2174" t="str">
            <v>-</v>
          </cell>
          <cell r="X2174" t="str">
            <v>CLP PG 220 (-25/+80°C)</v>
          </cell>
          <cell r="Y2174" t="str">
            <v>KAS169-LE160ZLL4PF</v>
          </cell>
          <cell r="Z2174" t="str">
            <v>SIEMENS</v>
          </cell>
          <cell r="AB2174" t="str">
            <v>-</v>
          </cell>
          <cell r="AE2174" t="str">
            <v>2KJ3514-9JU23-9AX1-Z D14+E04+G23+G60+H3A+K01+K07+K41+L03+L75+M10+M23+M66+N41+N54+N6B+P80+P91</v>
          </cell>
          <cell r="AF2174">
            <v>12</v>
          </cell>
          <cell r="AG2174" t="str">
            <v>DRN160L4</v>
          </cell>
          <cell r="AH2174" t="str">
            <v>K169-DRN160L4A3D-X#</v>
          </cell>
        </row>
        <row r="2175">
          <cell r="A2175" t="str">
            <v>MR002171</v>
          </cell>
          <cell r="B2175" t="str">
            <v>MR</v>
          </cell>
          <cell r="C2175">
            <v>15</v>
          </cell>
          <cell r="D2175">
            <v>12</v>
          </cell>
          <cell r="E2175" t="str">
            <v>K169</v>
          </cell>
          <cell r="F2175">
            <v>11637.83</v>
          </cell>
          <cell r="G2175">
            <v>119.83</v>
          </cell>
          <cell r="H2175">
            <v>1.1200000000000001</v>
          </cell>
          <cell r="I2175" t="str">
            <v>From M4B to M1B - 20°</v>
          </cell>
          <cell r="J2175" t="str">
            <v>IE3</v>
          </cell>
          <cell r="K2175">
            <v>400</v>
          </cell>
          <cell r="L2175">
            <v>50</v>
          </cell>
          <cell r="M2175">
            <v>28.5</v>
          </cell>
          <cell r="N2175">
            <v>55</v>
          </cell>
          <cell r="O2175" t="str">
            <v>155(F)</v>
          </cell>
          <cell r="P2175" t="str">
            <v>1D</v>
          </cell>
          <cell r="Q2175" t="str">
            <v>TF</v>
          </cell>
          <cell r="R2175" t="str">
            <v>V(VE)</v>
          </cell>
          <cell r="S2175" t="str">
            <v>-</v>
          </cell>
          <cell r="T2175" t="str">
            <v>-</v>
          </cell>
          <cell r="U2175" t="str">
            <v>-</v>
          </cell>
          <cell r="V2175" t="str">
            <v>FC</v>
          </cell>
          <cell r="W2175" t="str">
            <v>-</v>
          </cell>
          <cell r="X2175" t="str">
            <v>CLP PG 220 (-25/+80°C)</v>
          </cell>
          <cell r="Y2175" t="str">
            <v>KAS169-LE160ZLL4PF</v>
          </cell>
          <cell r="Z2175" t="str">
            <v>SIEMENS</v>
          </cell>
          <cell r="AB2175" t="str">
            <v>-</v>
          </cell>
          <cell r="AE2175" t="str">
            <v>2KJ3514-9JU23-9AX1-Z D24+E04+G23+G60+H3A+K01+K07+K41+L03+L75+M10+M23+M58+N41+N54+N6B+P80+P91</v>
          </cell>
          <cell r="AF2175">
            <v>12</v>
          </cell>
          <cell r="AG2175" t="str">
            <v>DRN160L4</v>
          </cell>
          <cell r="AH2175" t="str">
            <v>K169-DRN160L4B1D-X#</v>
          </cell>
        </row>
        <row r="2176">
          <cell r="A2176" t="str">
            <v>MR002172</v>
          </cell>
          <cell r="B2176" t="str">
            <v>MR</v>
          </cell>
          <cell r="C2176">
            <v>15</v>
          </cell>
          <cell r="D2176">
            <v>9</v>
          </cell>
          <cell r="E2176" t="str">
            <v>K189</v>
          </cell>
          <cell r="F2176">
            <v>15663.53</v>
          </cell>
          <cell r="G2176">
            <v>161</v>
          </cell>
          <cell r="H2176">
            <v>1.25</v>
          </cell>
          <cell r="I2176" t="str">
            <v>From M4A to M1A - 35°</v>
          </cell>
          <cell r="J2176" t="str">
            <v>IE3</v>
          </cell>
          <cell r="K2176">
            <v>400</v>
          </cell>
          <cell r="L2176">
            <v>50</v>
          </cell>
          <cell r="M2176">
            <v>28.5</v>
          </cell>
          <cell r="N2176">
            <v>55</v>
          </cell>
          <cell r="O2176" t="str">
            <v>155(F)</v>
          </cell>
          <cell r="P2176" t="str">
            <v>3A</v>
          </cell>
          <cell r="Q2176" t="str">
            <v>TF</v>
          </cell>
          <cell r="R2176" t="str">
            <v>V(VE)</v>
          </cell>
          <cell r="S2176" t="str">
            <v>-</v>
          </cell>
          <cell r="T2176" t="str">
            <v>-</v>
          </cell>
          <cell r="U2176" t="str">
            <v>-</v>
          </cell>
          <cell r="V2176" t="str">
            <v>FC</v>
          </cell>
          <cell r="W2176" t="str">
            <v>-</v>
          </cell>
          <cell r="X2176" t="str">
            <v>CLP PG 220 (-25/+80°C)</v>
          </cell>
          <cell r="Y2176" t="str">
            <v>KAS189-LE160ZLL4PF</v>
          </cell>
          <cell r="Z2176" t="str">
            <v>SIEMENS</v>
          </cell>
          <cell r="AB2176" t="str">
            <v>-</v>
          </cell>
          <cell r="AE2176" t="str">
            <v>2KJ3515-9JU23-9AU1-Z D14+E07+G23+G60+H3A+K01+K07+K41+L03+L75+M10+M23+M63+N54+N6B+P80+P91</v>
          </cell>
          <cell r="AF2176">
            <v>9</v>
          </cell>
          <cell r="AG2176" t="str">
            <v>DRN160L4</v>
          </cell>
          <cell r="AH2176" t="str">
            <v>K189-DRN160L4A3A-X#</v>
          </cell>
        </row>
        <row r="2177">
          <cell r="A2177" t="str">
            <v>MR002173</v>
          </cell>
          <cell r="B2177" t="str">
            <v>MR</v>
          </cell>
          <cell r="C2177">
            <v>15</v>
          </cell>
          <cell r="D2177">
            <v>9</v>
          </cell>
          <cell r="E2177" t="str">
            <v>K189</v>
          </cell>
          <cell r="F2177">
            <v>15663.53</v>
          </cell>
          <cell r="G2177">
            <v>161</v>
          </cell>
          <cell r="H2177">
            <v>1.25</v>
          </cell>
          <cell r="I2177" t="str">
            <v>From M4B to M1B - 35°</v>
          </cell>
          <cell r="J2177" t="str">
            <v>IE3</v>
          </cell>
          <cell r="K2177">
            <v>400</v>
          </cell>
          <cell r="L2177">
            <v>50</v>
          </cell>
          <cell r="M2177">
            <v>28.5</v>
          </cell>
          <cell r="N2177">
            <v>55</v>
          </cell>
          <cell r="O2177" t="str">
            <v>155(F)</v>
          </cell>
          <cell r="P2177" t="str">
            <v>1A</v>
          </cell>
          <cell r="Q2177" t="str">
            <v>TF</v>
          </cell>
          <cell r="R2177" t="str">
            <v>V(VE)</v>
          </cell>
          <cell r="S2177" t="str">
            <v>-</v>
          </cell>
          <cell r="T2177" t="str">
            <v>-</v>
          </cell>
          <cell r="U2177" t="str">
            <v>-</v>
          </cell>
          <cell r="V2177" t="str">
            <v>FC</v>
          </cell>
          <cell r="W2177" t="str">
            <v>-</v>
          </cell>
          <cell r="X2177" t="str">
            <v>CLP PG 220 (-25/+80°C)</v>
          </cell>
          <cell r="Y2177" t="str">
            <v>KAS189-LE160ZLL4PF</v>
          </cell>
          <cell r="Z2177" t="str">
            <v>SIEMENS</v>
          </cell>
          <cell r="AB2177" t="str">
            <v>-</v>
          </cell>
          <cell r="AE2177" t="str">
            <v>2KJ3515-9JU23-9AU1-Z D24+E07+G23+G60+H3A+K01+K07+K41+L03+L75+M10+M23+M55+N54+N6B+P80+P91</v>
          </cell>
          <cell r="AF2177">
            <v>9</v>
          </cell>
          <cell r="AG2177" t="str">
            <v>DRN160L4</v>
          </cell>
          <cell r="AH2177" t="str">
            <v>K189-DRN160L4B1A-X#</v>
          </cell>
        </row>
        <row r="2178">
          <cell r="A2178" t="str">
            <v>MR002174</v>
          </cell>
          <cell r="B2178" t="str">
            <v>MR</v>
          </cell>
          <cell r="C2178">
            <v>22</v>
          </cell>
          <cell r="D2178">
            <v>12</v>
          </cell>
          <cell r="E2178" t="str">
            <v>K189</v>
          </cell>
          <cell r="F2178">
            <v>16772.38</v>
          </cell>
          <cell r="G2178">
            <v>117</v>
          </cell>
          <cell r="H2178">
            <v>1.17</v>
          </cell>
          <cell r="I2178" t="str">
            <v>From M4A to M1A - 10°</v>
          </cell>
          <cell r="J2178" t="str">
            <v>IE3</v>
          </cell>
          <cell r="K2178">
            <v>400</v>
          </cell>
          <cell r="L2178">
            <v>50</v>
          </cell>
          <cell r="M2178">
            <v>41</v>
          </cell>
          <cell r="N2178">
            <v>55</v>
          </cell>
          <cell r="O2178" t="str">
            <v>155(F)</v>
          </cell>
          <cell r="P2178" t="str">
            <v>3A</v>
          </cell>
          <cell r="Q2178" t="str">
            <v>TF</v>
          </cell>
          <cell r="R2178" t="str">
            <v>V(VE)</v>
          </cell>
          <cell r="S2178" t="str">
            <v>-</v>
          </cell>
          <cell r="T2178" t="str">
            <v>-</v>
          </cell>
          <cell r="U2178" t="str">
            <v>-</v>
          </cell>
          <cell r="V2178" t="str">
            <v>FC</v>
          </cell>
          <cell r="W2178" t="str">
            <v>-</v>
          </cell>
          <cell r="X2178" t="str">
            <v>CLP PG 220 (-25/+80°C)</v>
          </cell>
          <cell r="Y2178" t="str">
            <v>KAS189-LES180ZLN4PF</v>
          </cell>
          <cell r="Z2178" t="str">
            <v>SIEMENS</v>
          </cell>
          <cell r="AB2178" t="str">
            <v>-</v>
          </cell>
          <cell r="AE2178" t="str">
            <v>2KJ3515-9KN33-9AR1-Z D14+E02+G23+G60+H3A+K01+K07+K41+L03+L75+M10+M23+M63+N54+N6B+P80+P91</v>
          </cell>
          <cell r="AF2178">
            <v>12</v>
          </cell>
          <cell r="AG2178" t="str">
            <v>DRN180L4</v>
          </cell>
          <cell r="AH2178" t="str">
            <v>K189-DRN180L4A3A-X#</v>
          </cell>
        </row>
        <row r="2179">
          <cell r="A2179" t="str">
            <v>MR002175</v>
          </cell>
          <cell r="B2179" t="str">
            <v>MR</v>
          </cell>
          <cell r="C2179">
            <v>22</v>
          </cell>
          <cell r="D2179">
            <v>12</v>
          </cell>
          <cell r="E2179" t="str">
            <v>K189</v>
          </cell>
          <cell r="F2179">
            <v>16772.38</v>
          </cell>
          <cell r="G2179">
            <v>117</v>
          </cell>
          <cell r="H2179">
            <v>1.17</v>
          </cell>
          <cell r="I2179" t="str">
            <v>From M4B to M1B - 10°</v>
          </cell>
          <cell r="J2179" t="str">
            <v>IE3</v>
          </cell>
          <cell r="K2179">
            <v>400</v>
          </cell>
          <cell r="L2179">
            <v>50</v>
          </cell>
          <cell r="M2179">
            <v>41</v>
          </cell>
          <cell r="N2179">
            <v>55</v>
          </cell>
          <cell r="O2179" t="str">
            <v>155(F)</v>
          </cell>
          <cell r="P2179" t="str">
            <v>1A</v>
          </cell>
          <cell r="Q2179" t="str">
            <v>TF</v>
          </cell>
          <cell r="R2179" t="str">
            <v>V(VE)</v>
          </cell>
          <cell r="S2179" t="str">
            <v>-</v>
          </cell>
          <cell r="T2179" t="str">
            <v>-</v>
          </cell>
          <cell r="U2179" t="str">
            <v>-</v>
          </cell>
          <cell r="V2179" t="str">
            <v>FC</v>
          </cell>
          <cell r="W2179" t="str">
            <v>-</v>
          </cell>
          <cell r="X2179" t="str">
            <v>CLP PG 220 (-25/+80°C)</v>
          </cell>
          <cell r="Y2179" t="str">
            <v>KAS189-LES180ZLN4PF</v>
          </cell>
          <cell r="Z2179" t="str">
            <v>SIEMENS</v>
          </cell>
          <cell r="AB2179" t="str">
            <v>-</v>
          </cell>
          <cell r="AE2179" t="str">
            <v>2KJ3515-9KN33-9AR1-Z D24+E02+G23+G60+H3A+K01+K07+K41+L03+L75+M10+M23+M55+N54+N6B+P80+P91</v>
          </cell>
          <cell r="AF2179">
            <v>12</v>
          </cell>
          <cell r="AG2179" t="str">
            <v>DRN180L4</v>
          </cell>
          <cell r="AH2179" t="str">
            <v>K189-DRN180L4B1A-X#</v>
          </cell>
        </row>
        <row r="2180">
          <cell r="A2180" t="str">
            <v>MR002176</v>
          </cell>
          <cell r="B2180" t="str">
            <v>MR</v>
          </cell>
          <cell r="C2180">
            <v>7.5</v>
          </cell>
          <cell r="D2180">
            <v>16</v>
          </cell>
          <cell r="E2180" t="str">
            <v>K149</v>
          </cell>
          <cell r="F2180">
            <v>4327.2700000000004</v>
          </cell>
          <cell r="G2180">
            <v>88.81</v>
          </cell>
          <cell r="H2180">
            <v>1.85</v>
          </cell>
          <cell r="I2180" t="str">
            <v>From M4A to M1A - 20°</v>
          </cell>
          <cell r="J2180" t="str">
            <v>IE3</v>
          </cell>
          <cell r="K2180">
            <v>400</v>
          </cell>
          <cell r="L2180">
            <v>50</v>
          </cell>
          <cell r="M2180">
            <v>14.3</v>
          </cell>
          <cell r="N2180">
            <v>55</v>
          </cell>
          <cell r="O2180" t="str">
            <v>155(F)</v>
          </cell>
          <cell r="P2180" t="str">
            <v>3A</v>
          </cell>
          <cell r="Q2180" t="str">
            <v>TF</v>
          </cell>
          <cell r="R2180" t="str">
            <v>-</v>
          </cell>
          <cell r="S2180" t="str">
            <v>-</v>
          </cell>
          <cell r="T2180" t="str">
            <v>-</v>
          </cell>
          <cell r="U2180" t="str">
            <v>-</v>
          </cell>
          <cell r="V2180" t="str">
            <v>SS</v>
          </cell>
          <cell r="W2180" t="str">
            <v>-</v>
          </cell>
          <cell r="X2180" t="str">
            <v>CLP PG 220 (-25/+80°C)</v>
          </cell>
          <cell r="Y2180" t="str">
            <v>KAS149-LE132ZMS4P</v>
          </cell>
          <cell r="Z2180" t="str">
            <v>SIEMENS</v>
          </cell>
          <cell r="AB2180" t="str">
            <v>-</v>
          </cell>
          <cell r="AE2180" t="str">
            <v>2KJ3513-9HL23-9AX1-Z D14+E04+G23+H3A+K01+K07+K41+L03+L75+M10+M63+N3A+N54+P80</v>
          </cell>
          <cell r="AF2180">
            <v>16</v>
          </cell>
          <cell r="AG2180" t="str">
            <v>DRN132M4</v>
          </cell>
          <cell r="AH2180" t="str">
            <v>K149-DRN132M4A3A-X</v>
          </cell>
        </row>
        <row r="2181">
          <cell r="A2181" t="str">
            <v>MR002177</v>
          </cell>
          <cell r="B2181" t="str">
            <v>MR</v>
          </cell>
          <cell r="C2181">
            <v>3</v>
          </cell>
          <cell r="D2181">
            <v>60</v>
          </cell>
          <cell r="E2181" t="str">
            <v>Z79</v>
          </cell>
          <cell r="F2181">
            <v>473.31</v>
          </cell>
          <cell r="G2181">
            <v>24.12</v>
          </cell>
          <cell r="H2181">
            <v>1.77</v>
          </cell>
          <cell r="I2181" t="str">
            <v>M1</v>
          </cell>
          <cell r="J2181" t="str">
            <v>IE3</v>
          </cell>
          <cell r="K2181">
            <v>400</v>
          </cell>
          <cell r="L2181">
            <v>50</v>
          </cell>
          <cell r="M2181">
            <v>5.9</v>
          </cell>
          <cell r="N2181">
            <v>55</v>
          </cell>
          <cell r="O2181" t="str">
            <v>155(F)</v>
          </cell>
          <cell r="P2181" t="str">
            <v>1A</v>
          </cell>
          <cell r="Q2181" t="str">
            <v>TF</v>
          </cell>
          <cell r="R2181" t="str">
            <v>-</v>
          </cell>
          <cell r="S2181" t="str">
            <v>-</v>
          </cell>
          <cell r="T2181" t="str">
            <v>-</v>
          </cell>
          <cell r="U2181" t="str">
            <v>-</v>
          </cell>
          <cell r="V2181" t="str">
            <v>D</v>
          </cell>
          <cell r="W2181" t="str">
            <v>-</v>
          </cell>
          <cell r="X2181" t="str">
            <v>CLP PG 220 (-25/+80°C)</v>
          </cell>
          <cell r="Y2181" t="str">
            <v>Z79-LE100ZLSB4P</v>
          </cell>
          <cell r="Z2181" t="str">
            <v>SIEMENS</v>
          </cell>
          <cell r="AB2181" t="str">
            <v>-</v>
          </cell>
          <cell r="AE2181" t="str">
            <v>2KJ3107-1FP23-4AQ1-Z D01+G23+K01+K07+K41+L03+L75+M10+M55+N54+P80</v>
          </cell>
          <cell r="AF2181">
            <v>60</v>
          </cell>
          <cell r="AG2181" t="str">
            <v>DRN100L4</v>
          </cell>
          <cell r="AH2181" t="str">
            <v>Z79-DRN100L41A-X</v>
          </cell>
        </row>
        <row r="2182">
          <cell r="A2182" t="str">
            <v>MR002178</v>
          </cell>
          <cell r="B2182" t="str">
            <v>MR</v>
          </cell>
          <cell r="C2182">
            <v>4</v>
          </cell>
          <cell r="D2182">
            <v>60</v>
          </cell>
          <cell r="E2182" t="str">
            <v>Z79</v>
          </cell>
          <cell r="F2182">
            <v>631.08000000000004</v>
          </cell>
          <cell r="G2182">
            <v>24.12</v>
          </cell>
          <cell r="H2182">
            <v>1.33</v>
          </cell>
          <cell r="I2182" t="str">
            <v>From M1 to M4 - 10°</v>
          </cell>
          <cell r="J2182" t="str">
            <v>IE3</v>
          </cell>
          <cell r="K2182">
            <v>230</v>
          </cell>
          <cell r="L2182">
            <v>50</v>
          </cell>
          <cell r="M2182">
            <v>7.9</v>
          </cell>
          <cell r="N2182">
            <v>55</v>
          </cell>
          <cell r="O2182" t="str">
            <v>155(F)</v>
          </cell>
          <cell r="P2182" t="str">
            <v>1A</v>
          </cell>
          <cell r="Q2182" t="str">
            <v>TF</v>
          </cell>
          <cell r="R2182" t="str">
            <v>-</v>
          </cell>
          <cell r="S2182" t="str">
            <v>-</v>
          </cell>
          <cell r="T2182" t="str">
            <v>-</v>
          </cell>
          <cell r="U2182" t="str">
            <v>-</v>
          </cell>
          <cell r="V2182" t="str">
            <v>D</v>
          </cell>
          <cell r="W2182" t="str">
            <v>-</v>
          </cell>
          <cell r="X2182" t="str">
            <v>CLP PG 220 (-25/+80°C)</v>
          </cell>
          <cell r="Y2182" t="str">
            <v>Z79-LE112ZMKB4P</v>
          </cell>
          <cell r="Z2182" t="str">
            <v>SIEMENS</v>
          </cell>
          <cell r="AB2182" t="str">
            <v>-</v>
          </cell>
          <cell r="AE2182" t="str">
            <v>2KJ3107-1GJ23-4AQ1-Z D04+E16+G23+K01+K07+K41+L03+L75+M10+M55+N54+P80</v>
          </cell>
          <cell r="AF2182">
            <v>60</v>
          </cell>
          <cell r="AG2182" t="str">
            <v>DRN112M4</v>
          </cell>
          <cell r="AH2182" t="str">
            <v>Z79-DRN112M41A-X</v>
          </cell>
        </row>
        <row r="2183">
          <cell r="A2183" t="str">
            <v>MR002179</v>
          </cell>
          <cell r="B2183" t="str">
            <v>R</v>
          </cell>
          <cell r="C2183" t="str">
            <v>-</v>
          </cell>
          <cell r="D2183" t="str">
            <v>-</v>
          </cell>
          <cell r="E2183" t="str">
            <v>B2SH10A16</v>
          </cell>
          <cell r="G2183">
            <v>15.584</v>
          </cell>
          <cell r="H2183">
            <v>1.78</v>
          </cell>
          <cell r="I2183" t="str">
            <v>A</v>
          </cell>
          <cell r="J2183" t="str">
            <v>-</v>
          </cell>
          <cell r="K2183" t="str">
            <v>-</v>
          </cell>
          <cell r="L2183" t="str">
            <v>-</v>
          </cell>
          <cell r="M2183" t="str">
            <v>-</v>
          </cell>
          <cell r="N2183" t="str">
            <v>-</v>
          </cell>
          <cell r="O2183" t="str">
            <v>-</v>
          </cell>
          <cell r="P2183" t="str">
            <v>-</v>
          </cell>
          <cell r="Q2183" t="str">
            <v>-</v>
          </cell>
          <cell r="R2183" t="str">
            <v>-</v>
          </cell>
          <cell r="S2183" t="str">
            <v>-</v>
          </cell>
          <cell r="T2183" t="str">
            <v>-</v>
          </cell>
          <cell r="U2183" t="str">
            <v>-</v>
          </cell>
          <cell r="V2183" t="str">
            <v>-</v>
          </cell>
          <cell r="W2183" t="str">
            <v>-</v>
          </cell>
          <cell r="X2183" t="str">
            <v>CLP PG 220 (-25/+80°C)</v>
          </cell>
          <cell r="Y2183" t="str">
            <v>B2SH10B16</v>
          </cell>
          <cell r="Z2183" t="str">
            <v>FLENDER</v>
          </cell>
          <cell r="AA2183" t="str">
            <v>RAL5010</v>
          </cell>
          <cell r="AB2183" t="str">
            <v>ATEX22</v>
          </cell>
          <cell r="AE2183" t="str">
            <v>TO COUPLE ON MR002288</v>
          </cell>
          <cell r="AF2183" t="e">
            <v>#VALUE!</v>
          </cell>
          <cell r="AG2183" t="str">
            <v>-</v>
          </cell>
          <cell r="AH2183" t="str">
            <v>B2SH10A16--A--X</v>
          </cell>
        </row>
        <row r="2184">
          <cell r="A2184" t="str">
            <v>MR002180</v>
          </cell>
          <cell r="B2184" t="str">
            <v>R</v>
          </cell>
          <cell r="C2184" t="str">
            <v>-</v>
          </cell>
          <cell r="D2184" t="str">
            <v>-</v>
          </cell>
          <cell r="E2184" t="str">
            <v>O5R55D4368K4-100</v>
          </cell>
          <cell r="G2184">
            <v>4439</v>
          </cell>
          <cell r="H2184">
            <v>1.02</v>
          </cell>
          <cell r="J2184" t="str">
            <v>-</v>
          </cell>
          <cell r="K2184" t="str">
            <v>-</v>
          </cell>
          <cell r="L2184" t="str">
            <v>-</v>
          </cell>
          <cell r="M2184" t="str">
            <v>-</v>
          </cell>
          <cell r="N2184" t="str">
            <v>-</v>
          </cell>
          <cell r="O2184" t="str">
            <v>-</v>
          </cell>
          <cell r="P2184" t="str">
            <v>-</v>
          </cell>
          <cell r="Q2184" t="str">
            <v>-</v>
          </cell>
          <cell r="R2184" t="str">
            <v>-</v>
          </cell>
          <cell r="S2184" t="str">
            <v>-</v>
          </cell>
          <cell r="T2184" t="str">
            <v>-</v>
          </cell>
          <cell r="U2184" t="str">
            <v>-</v>
          </cell>
          <cell r="V2184" t="str">
            <v>-</v>
          </cell>
          <cell r="W2184" t="str">
            <v>-</v>
          </cell>
          <cell r="X2184" t="str">
            <v>CLP ISO PAO VG220</v>
          </cell>
          <cell r="Y2184" t="str">
            <v>O5R55D4368K4-100</v>
          </cell>
          <cell r="Z2184" t="str">
            <v>FLENDER</v>
          </cell>
          <cell r="AA2184" t="str">
            <v>RAL5010</v>
          </cell>
          <cell r="AB2184" t="str">
            <v>ATEX22</v>
          </cell>
          <cell r="AE2184" t="str">
            <v>TO COUPLE ON MR002289</v>
          </cell>
          <cell r="AF2184" t="e">
            <v>#VALUE!</v>
          </cell>
          <cell r="AG2184" t="str">
            <v>-</v>
          </cell>
          <cell r="AH2184" t="str">
            <v>O5R55D4368K4-100----X</v>
          </cell>
        </row>
        <row r="2185">
          <cell r="A2185" t="str">
            <v>MR002181</v>
          </cell>
          <cell r="B2185" t="str">
            <v>MR</v>
          </cell>
          <cell r="C2185">
            <v>3</v>
          </cell>
          <cell r="D2185">
            <v>10.101000000000001</v>
          </cell>
          <cell r="E2185" t="str">
            <v>KAZS129</v>
          </cell>
          <cell r="F2185">
            <v>4400</v>
          </cell>
          <cell r="G2185">
            <v>144.53</v>
          </cell>
          <cell r="H2185">
            <v>1.55</v>
          </cell>
          <cell r="I2185" t="str">
            <v>From M4B to M3B - 30°</v>
          </cell>
          <cell r="J2185" t="str">
            <v>IE3</v>
          </cell>
          <cell r="K2185">
            <v>400</v>
          </cell>
          <cell r="L2185">
            <v>50</v>
          </cell>
          <cell r="M2185">
            <v>5.9</v>
          </cell>
          <cell r="N2185">
            <v>55</v>
          </cell>
          <cell r="O2185" t="str">
            <v>155(F)</v>
          </cell>
          <cell r="P2185" t="str">
            <v>270°</v>
          </cell>
          <cell r="Q2185" t="str">
            <v>TF</v>
          </cell>
          <cell r="R2185" t="str">
            <v>V(VE)</v>
          </cell>
          <cell r="S2185" t="str">
            <v>-</v>
          </cell>
          <cell r="T2185" t="str">
            <v>-</v>
          </cell>
          <cell r="U2185" t="str">
            <v>-</v>
          </cell>
          <cell r="V2185" t="str">
            <v>FC</v>
          </cell>
          <cell r="W2185" t="str">
            <v>-</v>
          </cell>
          <cell r="X2185" t="str">
            <v>CLP PG 220 (-25/+80°C)</v>
          </cell>
          <cell r="Y2185" t="str">
            <v>KAZS129-LE100ZLSB4PF                                                              2KJ3512-9FP23-4HD2-Z_D23+E12+G60+H3A+K01+K07+K41+L02+L68+M10+M23+M59+P91</v>
          </cell>
          <cell r="Z2185" t="str">
            <v>SIEMENS</v>
          </cell>
          <cell r="AA2185" t="str">
            <v>RAL5010</v>
          </cell>
          <cell r="AB2185" t="str">
            <v>ATEX22</v>
          </cell>
          <cell r="AH2185" t="str">
            <v>KAZS129-B270-X#</v>
          </cell>
        </row>
        <row r="2186">
          <cell r="A2186" t="str">
            <v>MR002182</v>
          </cell>
          <cell r="B2186" t="str">
            <v>MR</v>
          </cell>
          <cell r="C2186">
            <v>7.5</v>
          </cell>
          <cell r="D2186">
            <v>10.43</v>
          </cell>
          <cell r="E2186" t="str">
            <v>KAZS149</v>
          </cell>
          <cell r="F2186">
            <v>8000</v>
          </cell>
          <cell r="G2186">
            <v>140.93</v>
          </cell>
          <cell r="H2186">
            <v>1.17</v>
          </cell>
          <cell r="I2186" t="str">
            <v>M4B</v>
          </cell>
          <cell r="J2186" t="str">
            <v>IE3</v>
          </cell>
          <cell r="K2186">
            <v>400</v>
          </cell>
          <cell r="L2186">
            <v>50</v>
          </cell>
          <cell r="M2186">
            <v>14.3</v>
          </cell>
          <cell r="N2186">
            <v>55</v>
          </cell>
          <cell r="O2186" t="str">
            <v>155(F)</v>
          </cell>
          <cell r="P2186" t="str">
            <v>270°</v>
          </cell>
          <cell r="Q2186" t="str">
            <v>TF</v>
          </cell>
          <cell r="R2186" t="str">
            <v>V(VE)</v>
          </cell>
          <cell r="S2186" t="str">
            <v>-</v>
          </cell>
          <cell r="T2186" t="str">
            <v>-</v>
          </cell>
          <cell r="U2186" t="str">
            <v>-</v>
          </cell>
          <cell r="V2186" t="str">
            <v>FC</v>
          </cell>
          <cell r="W2186" t="str">
            <v>-</v>
          </cell>
          <cell r="X2186" t="str">
            <v>CLP PG 220 (-25/+80°C)</v>
          </cell>
          <cell r="Y2186" t="str">
            <v>KAZS149-LE132MS4PF                                                                               2KJ3513-9HL23-9HD2-Z_D24+G60+H3B+K01+K07+K41+L02+L68+M10+M23+M59+N3A+P91</v>
          </cell>
          <cell r="Z2186" t="str">
            <v>SIEMENS</v>
          </cell>
          <cell r="AA2186" t="str">
            <v>RAL5010</v>
          </cell>
          <cell r="AB2186" t="str">
            <v>ATEX22</v>
          </cell>
          <cell r="AH2186" t="str">
            <v>KAZS149-B270-X#</v>
          </cell>
        </row>
        <row r="2187">
          <cell r="A2187" t="str">
            <v>MR002183</v>
          </cell>
          <cell r="B2187" t="str">
            <v>MR</v>
          </cell>
          <cell r="C2187">
            <v>4</v>
          </cell>
          <cell r="D2187">
            <v>65.972999999999999</v>
          </cell>
          <cell r="E2187" t="str">
            <v>Z79</v>
          </cell>
          <cell r="F2187">
            <v>840</v>
          </cell>
          <cell r="G2187">
            <v>22.13</v>
          </cell>
          <cell r="H2187">
            <v>1.45</v>
          </cell>
          <cell r="I2187" t="str">
            <v>From M1 to M6 - 25°</v>
          </cell>
          <cell r="J2187" t="str">
            <v>IE3</v>
          </cell>
          <cell r="K2187">
            <v>400</v>
          </cell>
          <cell r="L2187">
            <v>50</v>
          </cell>
          <cell r="M2187">
            <v>7.9</v>
          </cell>
          <cell r="N2187">
            <v>55</v>
          </cell>
          <cell r="O2187" t="str">
            <v>155(F)</v>
          </cell>
          <cell r="P2187" t="str">
            <v>270°</v>
          </cell>
          <cell r="Q2187" t="str">
            <v>-</v>
          </cell>
          <cell r="R2187" t="str">
            <v>-</v>
          </cell>
          <cell r="S2187" t="str">
            <v>-</v>
          </cell>
          <cell r="T2187" t="str">
            <v>-</v>
          </cell>
          <cell r="U2187" t="str">
            <v>-</v>
          </cell>
          <cell r="V2187" t="str">
            <v>D</v>
          </cell>
          <cell r="W2187" t="str">
            <v>-</v>
          </cell>
          <cell r="X2187" t="str">
            <v>CLP PG 220 (-25/+80°C)</v>
          </cell>
          <cell r="Y2187" t="str">
            <v>Z79-LE112ZMKB4P                                                      2KJ3107-1GJ23-4AP1-Z_D06+E33+K01+K07+K41+L02+L68+M59</v>
          </cell>
          <cell r="Z2187" t="str">
            <v>SIEMENS</v>
          </cell>
          <cell r="AA2187" t="str">
            <v>RAL5010</v>
          </cell>
          <cell r="AB2187" t="str">
            <v>ATEX22</v>
          </cell>
          <cell r="AH2187" t="str">
            <v>Z79-270-X</v>
          </cell>
        </row>
        <row r="2188">
          <cell r="A2188" t="str">
            <v>MR002184</v>
          </cell>
          <cell r="B2188" t="str">
            <v>MR</v>
          </cell>
          <cell r="C2188">
            <v>11</v>
          </cell>
          <cell r="D2188">
            <v>54.488</v>
          </cell>
          <cell r="E2188" t="str">
            <v>Z109</v>
          </cell>
          <cell r="F2188">
            <v>3040</v>
          </cell>
          <cell r="G2188">
            <v>27.07</v>
          </cell>
          <cell r="H2188">
            <v>1.58</v>
          </cell>
          <cell r="I2188" t="str">
            <v>M1</v>
          </cell>
          <cell r="J2188" t="str">
            <v>IE3</v>
          </cell>
          <cell r="K2188">
            <v>400</v>
          </cell>
          <cell r="L2188">
            <v>50</v>
          </cell>
          <cell r="M2188">
            <v>20.5</v>
          </cell>
          <cell r="N2188">
            <v>55</v>
          </cell>
          <cell r="O2188" t="str">
            <v>155(F)</v>
          </cell>
          <cell r="P2188" t="str">
            <v>270°</v>
          </cell>
          <cell r="Q2188" t="str">
            <v>-</v>
          </cell>
          <cell r="R2188" t="str">
            <v>-</v>
          </cell>
          <cell r="S2188" t="str">
            <v>-</v>
          </cell>
          <cell r="T2188" t="str">
            <v>-</v>
          </cell>
          <cell r="U2188" t="str">
            <v>-</v>
          </cell>
          <cell r="V2188" t="str">
            <v>D</v>
          </cell>
          <cell r="W2188" t="str">
            <v>-</v>
          </cell>
          <cell r="X2188" t="str">
            <v>CLP PG 220 (-25/+80°C)</v>
          </cell>
          <cell r="Y2188" t="str">
            <v>Z109-LE160MPB4P                                          2KJ3110-1JR23-9AR1-Z_D01+K01+K07+K41+L02+L68+M59+N3A</v>
          </cell>
          <cell r="Z2188" t="str">
            <v>SIEMENS</v>
          </cell>
          <cell r="AA2188" t="str">
            <v>RAL5010</v>
          </cell>
          <cell r="AB2188" t="str">
            <v>ATEX22</v>
          </cell>
          <cell r="AH2188" t="str">
            <v>Z109-270-X</v>
          </cell>
        </row>
        <row r="2189">
          <cell r="A2189" t="str">
            <v>MR002185</v>
          </cell>
          <cell r="B2189" t="str">
            <v>MR</v>
          </cell>
          <cell r="C2189">
            <v>7.5</v>
          </cell>
          <cell r="D2189">
            <v>10</v>
          </cell>
          <cell r="E2189" t="str">
            <v>KH107</v>
          </cell>
          <cell r="F2189">
            <v>6990</v>
          </cell>
          <cell r="G2189">
            <v>143.47</v>
          </cell>
          <cell r="H2189">
            <v>1.1499999999999999</v>
          </cell>
          <cell r="I2189" t="str">
            <v>From M4A to M3A - 10°</v>
          </cell>
          <cell r="J2189" t="str">
            <v>IE3</v>
          </cell>
          <cell r="K2189" t="str">
            <v>400/690</v>
          </cell>
          <cell r="L2189">
            <v>50</v>
          </cell>
          <cell r="M2189" t="str">
            <v>15,2/8,8</v>
          </cell>
          <cell r="N2189">
            <v>55</v>
          </cell>
          <cell r="O2189" t="str">
            <v>F(105°C)</v>
          </cell>
          <cell r="P2189" t="str">
            <v>270°</v>
          </cell>
          <cell r="Q2189" t="str">
            <v>TF</v>
          </cell>
          <cell r="R2189" t="str">
            <v>V(VE)</v>
          </cell>
          <cell r="S2189" t="str">
            <v>-</v>
          </cell>
          <cell r="T2189" t="str">
            <v>-</v>
          </cell>
          <cell r="U2189" t="str">
            <v>-</v>
          </cell>
          <cell r="V2189" t="str">
            <v>FC</v>
          </cell>
          <cell r="W2189" t="str">
            <v>-</v>
          </cell>
          <cell r="X2189" t="str">
            <v>CLP 220 (-15/+40°C)</v>
          </cell>
          <cell r="Y2189" t="str">
            <v>KH107DRN132M4 /TF/V</v>
          </cell>
          <cell r="Z2189" t="str">
            <v>SEW</v>
          </cell>
          <cell r="AB2189" t="str">
            <v>-</v>
          </cell>
          <cell r="AE2189" t="str">
            <v>Work frequency 50Hz for 0,2m/sec</v>
          </cell>
          <cell r="AF2189">
            <v>10</v>
          </cell>
          <cell r="AG2189" t="str">
            <v>DRN132M4</v>
          </cell>
          <cell r="AH2189" t="str">
            <v>KH107-DRN132M4A270-X#</v>
          </cell>
        </row>
        <row r="2190">
          <cell r="A2190" t="str">
            <v>MR002186</v>
          </cell>
          <cell r="B2190" t="str">
            <v>MR</v>
          </cell>
          <cell r="C2190">
            <v>7.5</v>
          </cell>
          <cell r="D2190">
            <v>10</v>
          </cell>
          <cell r="E2190" t="str">
            <v>KH107</v>
          </cell>
          <cell r="F2190">
            <v>6990</v>
          </cell>
          <cell r="G2190">
            <v>143.47</v>
          </cell>
          <cell r="H2190">
            <v>1.1499999999999999</v>
          </cell>
          <cell r="I2190" t="str">
            <v>From M4A to M3A - 20°</v>
          </cell>
          <cell r="J2190" t="str">
            <v>IE3</v>
          </cell>
          <cell r="K2190" t="str">
            <v>400/690</v>
          </cell>
          <cell r="L2190">
            <v>50</v>
          </cell>
          <cell r="M2190" t="str">
            <v>15,2/8,8</v>
          </cell>
          <cell r="N2190">
            <v>55</v>
          </cell>
          <cell r="O2190" t="str">
            <v>F(105°C)</v>
          </cell>
          <cell r="P2190" t="str">
            <v>270°</v>
          </cell>
          <cell r="Q2190" t="str">
            <v>TF</v>
          </cell>
          <cell r="R2190" t="str">
            <v>V(VE)</v>
          </cell>
          <cell r="S2190" t="str">
            <v>-</v>
          </cell>
          <cell r="T2190" t="str">
            <v>-</v>
          </cell>
          <cell r="U2190" t="str">
            <v>-</v>
          </cell>
          <cell r="V2190" t="str">
            <v>FC</v>
          </cell>
          <cell r="W2190" t="str">
            <v>-</v>
          </cell>
          <cell r="X2190" t="str">
            <v>CLP 220 (-15/+40°C)</v>
          </cell>
          <cell r="Y2190" t="str">
            <v>KH107DRN132M4 /TF/V</v>
          </cell>
          <cell r="Z2190" t="str">
            <v>SEW</v>
          </cell>
          <cell r="AB2190" t="str">
            <v>-</v>
          </cell>
          <cell r="AE2190" t="str">
            <v>Work frequency 50Hz for 0,2m/sec</v>
          </cell>
          <cell r="AF2190">
            <v>10</v>
          </cell>
          <cell r="AG2190" t="str">
            <v>DRN132M4</v>
          </cell>
          <cell r="AH2190" t="str">
            <v>KH107-DRN132M4A270-X#</v>
          </cell>
        </row>
        <row r="2191">
          <cell r="A2191" t="str">
            <v>MR002187</v>
          </cell>
          <cell r="B2191" t="str">
            <v>MR</v>
          </cell>
          <cell r="C2191">
            <v>11</v>
          </cell>
          <cell r="D2191">
            <v>18.532</v>
          </cell>
          <cell r="E2191" t="str">
            <v>KAZS149</v>
          </cell>
          <cell r="F2191">
            <v>8000</v>
          </cell>
          <cell r="G2191">
            <v>79.59</v>
          </cell>
          <cell r="H2191">
            <v>1.41</v>
          </cell>
          <cell r="I2191" t="str">
            <v>From M4A to M1A - 10°</v>
          </cell>
          <cell r="J2191" t="str">
            <v>IE3</v>
          </cell>
          <cell r="K2191">
            <v>400</v>
          </cell>
          <cell r="L2191">
            <v>50</v>
          </cell>
          <cell r="M2191">
            <v>20.5</v>
          </cell>
          <cell r="N2191">
            <v>55</v>
          </cell>
          <cell r="O2191" t="str">
            <v>155(F)</v>
          </cell>
          <cell r="P2191" t="str">
            <v>270°</v>
          </cell>
          <cell r="Q2191" t="str">
            <v>-</v>
          </cell>
          <cell r="R2191" t="str">
            <v>-</v>
          </cell>
          <cell r="S2191" t="str">
            <v>-</v>
          </cell>
          <cell r="T2191" t="str">
            <v>-</v>
          </cell>
          <cell r="U2191" t="str">
            <v>-</v>
          </cell>
          <cell r="V2191" t="str">
            <v>SS</v>
          </cell>
          <cell r="W2191" t="str">
            <v>-</v>
          </cell>
          <cell r="X2191" t="str">
            <v>CLP PG 220 (-25/+80°C)</v>
          </cell>
          <cell r="Y2191" t="str">
            <v>KAZS149-LE160MPB4P                                                 2KJ3513-9JR23-9HW1-Z_D14+E02+G60+H3A+K01+K07+K41+L02+L68+M59+N3A</v>
          </cell>
          <cell r="Z2191" t="str">
            <v>SIEMENS</v>
          </cell>
          <cell r="AA2191" t="str">
            <v>RAL5010</v>
          </cell>
          <cell r="AB2191" t="str">
            <v>ATEX22</v>
          </cell>
          <cell r="AH2191" t="str">
            <v>KAZS149-A270-X</v>
          </cell>
        </row>
        <row r="2192">
          <cell r="A2192" t="str">
            <v>MR002188</v>
          </cell>
          <cell r="B2192" t="str">
            <v>MR</v>
          </cell>
          <cell r="C2192">
            <v>11</v>
          </cell>
          <cell r="D2192">
            <v>18.532</v>
          </cell>
          <cell r="E2192" t="str">
            <v>KAZS149</v>
          </cell>
          <cell r="F2192">
            <v>8000</v>
          </cell>
          <cell r="G2192">
            <v>79.59</v>
          </cell>
          <cell r="H2192">
            <v>1.1399999999999999</v>
          </cell>
          <cell r="I2192" t="str">
            <v>From M4B to M1B - 10°</v>
          </cell>
          <cell r="J2192" t="str">
            <v>IE3</v>
          </cell>
          <cell r="K2192">
            <v>400</v>
          </cell>
          <cell r="L2192">
            <v>50</v>
          </cell>
          <cell r="M2192">
            <v>20.5</v>
          </cell>
          <cell r="N2192">
            <v>55</v>
          </cell>
          <cell r="O2192" t="str">
            <v>155(F)</v>
          </cell>
          <cell r="P2192" t="str">
            <v>270°</v>
          </cell>
          <cell r="Q2192" t="str">
            <v>-</v>
          </cell>
          <cell r="R2192" t="str">
            <v>-</v>
          </cell>
          <cell r="S2192" t="str">
            <v>-</v>
          </cell>
          <cell r="T2192" t="str">
            <v>-</v>
          </cell>
          <cell r="U2192" t="str">
            <v>-</v>
          </cell>
          <cell r="V2192" t="str">
            <v>SS</v>
          </cell>
          <cell r="W2192" t="str">
            <v>-</v>
          </cell>
          <cell r="X2192" t="str">
            <v>CLP PG 220 (-25/+80°C)</v>
          </cell>
          <cell r="Y2192" t="str">
            <v>KAZS149-LE160MPB4P                                                              2KJ3513-9JR23-9HW1-Z_D24+E02+G60+H3A+K01+K07+K41+L02+L68+M59+N3A</v>
          </cell>
          <cell r="Z2192" t="str">
            <v>SIEMENS</v>
          </cell>
          <cell r="AA2192" t="str">
            <v>RAL5010</v>
          </cell>
          <cell r="AB2192" t="str">
            <v>ATEX22</v>
          </cell>
          <cell r="AH2192" t="str">
            <v>KAZS149-B270-X</v>
          </cell>
        </row>
        <row r="2193">
          <cell r="A2193" t="str">
            <v>MR002189</v>
          </cell>
          <cell r="B2193" t="str">
            <v>R</v>
          </cell>
          <cell r="D2193">
            <v>33.289000000000001</v>
          </cell>
          <cell r="E2193" t="str">
            <v>D169 - K4 (200)</v>
          </cell>
          <cell r="F2193">
            <v>14000</v>
          </cell>
          <cell r="G2193">
            <v>45.06</v>
          </cell>
          <cell r="H2193">
            <v>1.63</v>
          </cell>
          <cell r="I2193" t="str">
            <v>From M1 to M2 - 15°</v>
          </cell>
          <cell r="S2193" t="str">
            <v>-</v>
          </cell>
          <cell r="T2193" t="str">
            <v>-</v>
          </cell>
          <cell r="U2193" t="str">
            <v>-</v>
          </cell>
          <cell r="W2193" t="str">
            <v>-</v>
          </cell>
          <cell r="X2193" t="str">
            <v>CLP PG 220 (-25/+80°C)</v>
          </cell>
          <cell r="Y2193" t="str">
            <v>D169-K4-(200)                                                       2KJ3213-1LA04-0AD1-Z_D01+E03+K07+K41+K74+K75+K81+L02+L68+Y00</v>
          </cell>
          <cell r="Z2193" t="str">
            <v>SIEMENS</v>
          </cell>
          <cell r="AA2193" t="str">
            <v>RAL5010</v>
          </cell>
          <cell r="AB2193" t="str">
            <v>ATEX22</v>
          </cell>
          <cell r="AH2193" t="str">
            <v>D169 - K4 (200)--X#</v>
          </cell>
        </row>
        <row r="2194">
          <cell r="A2194" t="str">
            <v>MR002189.1</v>
          </cell>
          <cell r="B2194" t="str">
            <v>ME</v>
          </cell>
          <cell r="C2194">
            <v>30</v>
          </cell>
          <cell r="D2194">
            <v>1470</v>
          </cell>
          <cell r="E2194" t="str">
            <v>1CV3205B</v>
          </cell>
          <cell r="F2194">
            <v>195</v>
          </cell>
          <cell r="J2194" t="str">
            <v>IE3</v>
          </cell>
          <cell r="K2194">
            <v>400</v>
          </cell>
          <cell r="L2194">
            <v>50</v>
          </cell>
          <cell r="M2194">
            <v>55</v>
          </cell>
          <cell r="N2194">
            <v>55</v>
          </cell>
          <cell r="O2194" t="str">
            <v>155(F)</v>
          </cell>
          <cell r="P2194" t="str">
            <v>270°</v>
          </cell>
          <cell r="Q2194" t="str">
            <v>TF</v>
          </cell>
          <cell r="R2194" t="str">
            <v>V(VE)</v>
          </cell>
          <cell r="S2194" t="str">
            <v>-</v>
          </cell>
          <cell r="T2194" t="str">
            <v>-</v>
          </cell>
          <cell r="U2194" t="str">
            <v>-</v>
          </cell>
          <cell r="V2194" t="str">
            <v>FC</v>
          </cell>
          <cell r="W2194" t="str">
            <v>-</v>
          </cell>
          <cell r="Y2194" t="str">
            <v>1MB1523-2AB59-0FB4-Z_B43+F70+M10+M4B+Y53</v>
          </cell>
          <cell r="Z2194" t="str">
            <v>SIEMENS</v>
          </cell>
          <cell r="AA2194" t="str">
            <v>RAL5010</v>
          </cell>
          <cell r="AB2194" t="str">
            <v>ATEX22</v>
          </cell>
          <cell r="AH2194" t="str">
            <v>1CV3205B-270-X#</v>
          </cell>
        </row>
        <row r="2195">
          <cell r="A2195" t="str">
            <v>MR002190</v>
          </cell>
          <cell r="B2195" t="str">
            <v>MR</v>
          </cell>
          <cell r="C2195">
            <v>22</v>
          </cell>
          <cell r="D2195">
            <v>14.058</v>
          </cell>
          <cell r="E2195" t="str">
            <v>KAS189</v>
          </cell>
          <cell r="F2195">
            <v>19500</v>
          </cell>
          <cell r="G2195">
            <v>104.56</v>
          </cell>
          <cell r="H2195">
            <v>1.3</v>
          </cell>
          <cell r="I2195" t="str">
            <v>From M4A to M1A - 15°</v>
          </cell>
          <cell r="J2195" t="str">
            <v>IE3</v>
          </cell>
          <cell r="K2195">
            <v>400</v>
          </cell>
          <cell r="L2195">
            <v>50</v>
          </cell>
          <cell r="M2195">
            <v>41</v>
          </cell>
          <cell r="N2195">
            <v>55</v>
          </cell>
          <cell r="O2195" t="str">
            <v>155(F)</v>
          </cell>
          <cell r="P2195" t="str">
            <v>270°</v>
          </cell>
          <cell r="Q2195" t="str">
            <v>TF</v>
          </cell>
          <cell r="R2195" t="str">
            <v>V(VE)</v>
          </cell>
          <cell r="S2195" t="str">
            <v>-</v>
          </cell>
          <cell r="T2195" t="str">
            <v>-</v>
          </cell>
          <cell r="U2195" t="str">
            <v>-</v>
          </cell>
          <cell r="V2195" t="str">
            <v>FC</v>
          </cell>
          <cell r="W2195" t="str">
            <v>-</v>
          </cell>
          <cell r="X2195" t="str">
            <v>CLP PG 220 (-25/+80°C)</v>
          </cell>
          <cell r="Y2195" t="str">
            <v>KAS189-LES180ZLN4PF                                   2KJ3515-9KN33-9AQ1-Z_D14+E03+H3A+K01+K07+K41+L02+L68+M10+M23+M59+N6C+P91</v>
          </cell>
          <cell r="Z2195" t="str">
            <v>SIEMENS</v>
          </cell>
          <cell r="AA2195" t="str">
            <v>RAL5010</v>
          </cell>
          <cell r="AB2195" t="str">
            <v>ATEX22</v>
          </cell>
          <cell r="AH2195" t="str">
            <v>KAS189-A270-X#</v>
          </cell>
        </row>
        <row r="2196">
          <cell r="A2196" t="str">
            <v>MR002191</v>
          </cell>
          <cell r="B2196" t="str">
            <v>MR</v>
          </cell>
          <cell r="C2196">
            <v>22</v>
          </cell>
          <cell r="D2196">
            <v>14.058</v>
          </cell>
          <cell r="E2196" t="str">
            <v>KAS189</v>
          </cell>
          <cell r="F2196">
            <v>19500</v>
          </cell>
          <cell r="G2196">
            <v>104.56</v>
          </cell>
          <cell r="H2196">
            <v>1.3</v>
          </cell>
          <cell r="I2196" t="str">
            <v>From M4B to M1B - 15°</v>
          </cell>
          <cell r="J2196" t="str">
            <v>IE3</v>
          </cell>
          <cell r="K2196">
            <v>400</v>
          </cell>
          <cell r="L2196">
            <v>50</v>
          </cell>
          <cell r="M2196">
            <v>41</v>
          </cell>
          <cell r="N2196">
            <v>55</v>
          </cell>
          <cell r="O2196" t="str">
            <v>155(F)</v>
          </cell>
          <cell r="P2196" t="str">
            <v>270°</v>
          </cell>
          <cell r="Q2196" t="str">
            <v>TF</v>
          </cell>
          <cell r="R2196" t="str">
            <v>V(VE)</v>
          </cell>
          <cell r="S2196" t="str">
            <v>-</v>
          </cell>
          <cell r="T2196" t="str">
            <v>-</v>
          </cell>
          <cell r="U2196" t="str">
            <v>-</v>
          </cell>
          <cell r="V2196" t="str">
            <v>FC</v>
          </cell>
          <cell r="W2196" t="str">
            <v>-</v>
          </cell>
          <cell r="X2196" t="str">
            <v>CLP PG 220 (-25/+80°C)</v>
          </cell>
          <cell r="Y2196" t="str">
            <v>KAS189-LES180ZLN4PF                                                       2KJ3515-9KN33-9AQ1-Z_D24+E03+H3A+K01+K07+K41+L02+L68+M10+M23+M59+N6C+P91</v>
          </cell>
          <cell r="Z2196" t="str">
            <v>SIEMENS</v>
          </cell>
          <cell r="AA2196" t="str">
            <v>RAL5010</v>
          </cell>
          <cell r="AB2196" t="str">
            <v>ATEX22</v>
          </cell>
          <cell r="AH2196" t="str">
            <v>KAS189-B270-X#</v>
          </cell>
        </row>
        <row r="2197">
          <cell r="A2197" t="str">
            <v>MR002192</v>
          </cell>
          <cell r="B2197" t="str">
            <v>MR</v>
          </cell>
          <cell r="C2197">
            <v>5.5</v>
          </cell>
          <cell r="D2197">
            <v>64.135999999999996</v>
          </cell>
          <cell r="E2197" t="str">
            <v>Z89</v>
          </cell>
          <cell r="F2197">
            <v>1680</v>
          </cell>
          <cell r="G2197">
            <v>22.92</v>
          </cell>
          <cell r="H2197">
            <v>2.0499999999999998</v>
          </cell>
          <cell r="I2197" t="str">
            <v>M1</v>
          </cell>
          <cell r="J2197" t="str">
            <v>IE3</v>
          </cell>
          <cell r="K2197">
            <v>400</v>
          </cell>
          <cell r="L2197">
            <v>50</v>
          </cell>
          <cell r="M2197">
            <v>10.5</v>
          </cell>
          <cell r="N2197">
            <v>55</v>
          </cell>
          <cell r="O2197" t="str">
            <v>155(F)</v>
          </cell>
          <cell r="P2197" t="str">
            <v>270°</v>
          </cell>
          <cell r="Q2197" t="str">
            <v>-</v>
          </cell>
          <cell r="R2197" t="str">
            <v>-</v>
          </cell>
          <cell r="S2197" t="str">
            <v>-</v>
          </cell>
          <cell r="T2197" t="str">
            <v>-</v>
          </cell>
          <cell r="U2197" t="str">
            <v>-</v>
          </cell>
          <cell r="V2197" t="str">
            <v>D</v>
          </cell>
          <cell r="W2197" t="str">
            <v>-</v>
          </cell>
          <cell r="X2197" t="str">
            <v>CLP PG 220 (-25/+80°C)</v>
          </cell>
          <cell r="Y2197" t="str">
            <v>Z89-LE132ZST4P                                                                 2KJ3108-1HJ23-9AP1-Z_D01+K01+K07+K41+L02+L68+M59+N3A</v>
          </cell>
          <cell r="Z2197" t="str">
            <v>SIEMENS</v>
          </cell>
          <cell r="AA2197" t="str">
            <v>RAL5010</v>
          </cell>
          <cell r="AB2197" t="str">
            <v>ATEX22</v>
          </cell>
          <cell r="AH2197" t="str">
            <v>Z89-270-X</v>
          </cell>
        </row>
        <row r="2198">
          <cell r="A2198" t="str">
            <v>MR002193</v>
          </cell>
          <cell r="B2198" t="str">
            <v>MR</v>
          </cell>
          <cell r="C2198">
            <v>5.5</v>
          </cell>
          <cell r="D2198">
            <v>14.321</v>
          </cell>
          <cell r="E2198" t="str">
            <v>KAZS129</v>
          </cell>
          <cell r="F2198">
            <v>4400</v>
          </cell>
          <cell r="G2198">
            <v>102.64</v>
          </cell>
          <cell r="H2198">
            <v>1.2</v>
          </cell>
          <cell r="I2198" t="str">
            <v>From M1A to M2A - 25°</v>
          </cell>
          <cell r="J2198" t="str">
            <v>IE3</v>
          </cell>
          <cell r="K2198">
            <v>400</v>
          </cell>
          <cell r="L2198">
            <v>50</v>
          </cell>
          <cell r="M2198">
            <v>10.5</v>
          </cell>
          <cell r="N2198">
            <v>55</v>
          </cell>
          <cell r="O2198" t="str">
            <v>155(F)</v>
          </cell>
          <cell r="P2198" t="str">
            <v>180°</v>
          </cell>
          <cell r="Q2198" t="str">
            <v>-</v>
          </cell>
          <cell r="R2198" t="str">
            <v>-</v>
          </cell>
          <cell r="S2198" t="str">
            <v>-</v>
          </cell>
          <cell r="T2198" t="str">
            <v>-</v>
          </cell>
          <cell r="U2198" t="str">
            <v>-</v>
          </cell>
          <cell r="V2198" t="str">
            <v>SS</v>
          </cell>
          <cell r="W2198" t="str">
            <v>-</v>
          </cell>
          <cell r="X2198" t="str">
            <v>CLP PG 220 (-25/+80°C)</v>
          </cell>
          <cell r="Y2198" t="str">
            <v>KAZS129-LE132ZST4P                                                                 2KJ3512-9HJ23-9HA2-Z_D11+E05+G60+H3A+K01+K07+K41+L02+L68+M63+N3A</v>
          </cell>
          <cell r="Z2198" t="str">
            <v>SIEMENS</v>
          </cell>
          <cell r="AA2198" t="str">
            <v>RAL5010</v>
          </cell>
          <cell r="AB2198" t="str">
            <v>ATEX22</v>
          </cell>
          <cell r="AH2198" t="str">
            <v>KAZS129-A180-X</v>
          </cell>
        </row>
        <row r="2199">
          <cell r="A2199" t="str">
            <v>MR002194</v>
          </cell>
          <cell r="B2199" t="str">
            <v>MR</v>
          </cell>
          <cell r="C2199">
            <v>11</v>
          </cell>
          <cell r="D2199">
            <v>14.781000000000001</v>
          </cell>
          <cell r="E2199" t="str">
            <v>KAZS149</v>
          </cell>
          <cell r="F2199">
            <v>8000</v>
          </cell>
          <cell r="G2199">
            <v>99.79</v>
          </cell>
          <cell r="H2199">
            <v>1.1299999999999999</v>
          </cell>
          <cell r="I2199" t="str">
            <v>From M1A to M2A - 40°</v>
          </cell>
          <cell r="J2199" t="str">
            <v>IE3</v>
          </cell>
          <cell r="K2199">
            <v>400</v>
          </cell>
          <cell r="L2199">
            <v>50</v>
          </cell>
          <cell r="M2199">
            <v>20.5</v>
          </cell>
          <cell r="N2199">
            <v>55</v>
          </cell>
          <cell r="O2199" t="str">
            <v>155(F)</v>
          </cell>
          <cell r="P2199" t="str">
            <v>180°</v>
          </cell>
          <cell r="Q2199" t="str">
            <v>-</v>
          </cell>
          <cell r="R2199" t="str">
            <v>-</v>
          </cell>
          <cell r="S2199" t="str">
            <v>-</v>
          </cell>
          <cell r="T2199" t="str">
            <v>-</v>
          </cell>
          <cell r="U2199" t="str">
            <v>-</v>
          </cell>
          <cell r="V2199" t="str">
            <v>SS</v>
          </cell>
          <cell r="W2199" t="str">
            <v>-</v>
          </cell>
          <cell r="X2199" t="str">
            <v>CLP PG 220 (-25/+80°C)</v>
          </cell>
          <cell r="Y2199" t="str">
            <v>KAZS149-LE160MPB4P                                                                     2KJ3513-9JR23-9HA2-Z_D11+E08+G60+H3A+K01+K07+K41+L02+L68+M63+N3A</v>
          </cell>
          <cell r="Z2199" t="str">
            <v>SIEMENS</v>
          </cell>
          <cell r="AA2199" t="str">
            <v>RAL5010</v>
          </cell>
          <cell r="AB2199" t="str">
            <v>ATEX22</v>
          </cell>
          <cell r="AH2199" t="str">
            <v>KAZS149-A180-X</v>
          </cell>
        </row>
        <row r="2200">
          <cell r="A2200" t="str">
            <v>MR002195</v>
          </cell>
          <cell r="B2200" t="str">
            <v>MR</v>
          </cell>
          <cell r="C2200">
            <v>15</v>
          </cell>
          <cell r="D2200">
            <v>13.821</v>
          </cell>
          <cell r="E2200" t="str">
            <v>KAS169</v>
          </cell>
          <cell r="F2200">
            <v>13000</v>
          </cell>
          <cell r="G2200">
            <v>106.72</v>
          </cell>
          <cell r="H2200">
            <v>1.25</v>
          </cell>
          <cell r="I2200" t="str">
            <v>From M4A to M1A - 45°</v>
          </cell>
          <cell r="J2200" t="str">
            <v>IE3</v>
          </cell>
          <cell r="K2200">
            <v>400</v>
          </cell>
          <cell r="L2200">
            <v>50</v>
          </cell>
          <cell r="M2200">
            <v>28.5</v>
          </cell>
          <cell r="N2200">
            <v>55</v>
          </cell>
          <cell r="O2200" t="str">
            <v>155(F)</v>
          </cell>
          <cell r="P2200" t="str">
            <v>270°</v>
          </cell>
          <cell r="Q2200" t="str">
            <v>TF</v>
          </cell>
          <cell r="R2200" t="str">
            <v>V(VE)</v>
          </cell>
          <cell r="S2200" t="str">
            <v>-</v>
          </cell>
          <cell r="T2200" t="str">
            <v>-</v>
          </cell>
          <cell r="U2200" t="str">
            <v>-</v>
          </cell>
          <cell r="V2200" t="str">
            <v>FC</v>
          </cell>
          <cell r="W2200" t="str">
            <v>-</v>
          </cell>
          <cell r="X2200" t="str">
            <v>CLP PG 220 (-25/+80°C)</v>
          </cell>
          <cell r="Y2200" t="str">
            <v>KAS169-LE160ZLL4PF                                                                         2KJ3514-9JU23-9AW1-Z_D14+E09+H3A+K01+K07+K41+L02+L68+M10+M23+M59+N6C+P91</v>
          </cell>
          <cell r="Z2200" t="str">
            <v>SIEMENS</v>
          </cell>
          <cell r="AA2200" t="str">
            <v>RAL5010</v>
          </cell>
          <cell r="AB2200" t="str">
            <v>ATEX22</v>
          </cell>
          <cell r="AH2200" t="str">
            <v>KAS169-A270-X#</v>
          </cell>
        </row>
        <row r="2201">
          <cell r="A2201" t="str">
            <v>MR002196</v>
          </cell>
          <cell r="B2201" t="str">
            <v>MR</v>
          </cell>
          <cell r="C2201">
            <v>15</v>
          </cell>
          <cell r="D2201">
            <v>13.821</v>
          </cell>
          <cell r="E2201" t="str">
            <v>KAS169</v>
          </cell>
          <cell r="F2201">
            <v>13000</v>
          </cell>
          <cell r="G2201">
            <v>106.72</v>
          </cell>
          <cell r="H2201">
            <v>1.25</v>
          </cell>
          <cell r="I2201" t="str">
            <v>From M4B to M1B - 45°</v>
          </cell>
          <cell r="J2201" t="str">
            <v>IE3</v>
          </cell>
          <cell r="K2201">
            <v>400</v>
          </cell>
          <cell r="L2201">
            <v>50</v>
          </cell>
          <cell r="M2201">
            <v>28.5</v>
          </cell>
          <cell r="N2201">
            <v>55</v>
          </cell>
          <cell r="O2201" t="str">
            <v>155(F)</v>
          </cell>
          <cell r="P2201" t="str">
            <v>270°</v>
          </cell>
          <cell r="Q2201" t="str">
            <v>TF</v>
          </cell>
          <cell r="R2201" t="str">
            <v>V(VE)</v>
          </cell>
          <cell r="S2201" t="str">
            <v>-</v>
          </cell>
          <cell r="T2201" t="str">
            <v>-</v>
          </cell>
          <cell r="U2201" t="str">
            <v>-</v>
          </cell>
          <cell r="V2201" t="str">
            <v>FC</v>
          </cell>
          <cell r="W2201" t="str">
            <v>-</v>
          </cell>
          <cell r="X2201" t="str">
            <v>CLP PG 220 (-25/+80°C)</v>
          </cell>
          <cell r="Y2201" t="str">
            <v>KAS169-LE160ZLL4PF                                                                         2KJ3514-9JU23-9AW1-Z_D24+E09+H3A+K01+K07+K41+L02+L68+M10+M23+M59+N6C+P91</v>
          </cell>
          <cell r="Z2201" t="str">
            <v>SIEMENS</v>
          </cell>
          <cell r="AA2201" t="str">
            <v>RAL5010</v>
          </cell>
          <cell r="AB2201" t="str">
            <v>ATEX22</v>
          </cell>
          <cell r="AH2201" t="str">
            <v>KAS169-B270-X#</v>
          </cell>
        </row>
        <row r="2202">
          <cell r="A2202" t="str">
            <v>MR002197</v>
          </cell>
          <cell r="B2202" t="str">
            <v>R</v>
          </cell>
          <cell r="D2202">
            <v>20.175000000000001</v>
          </cell>
          <cell r="E2202" t="str">
            <v>KAS189-K4-(200)</v>
          </cell>
          <cell r="F2202">
            <v>19500</v>
          </cell>
          <cell r="G2202">
            <v>74.349999999999994</v>
          </cell>
          <cell r="H2202">
            <v>1.37</v>
          </cell>
          <cell r="I2202" t="str">
            <v>M4B</v>
          </cell>
          <cell r="S2202" t="str">
            <v>-</v>
          </cell>
          <cell r="T2202" t="str">
            <v>-</v>
          </cell>
          <cell r="U2202" t="str">
            <v>-</v>
          </cell>
          <cell r="W2202" t="str">
            <v>-</v>
          </cell>
          <cell r="X2202" t="str">
            <v>CLP PG 220 (-25/+80°C)</v>
          </cell>
          <cell r="Y2202" t="str">
            <v>KAS189-K4-(200)                                                                  2KJ3515-9LA04-0AM1-Z_D24+G60+H3A+K07+K41+K74+K75+K81+L02+L68+Y00</v>
          </cell>
          <cell r="Z2202" t="str">
            <v>SIEMENS</v>
          </cell>
          <cell r="AA2202" t="str">
            <v>RAL5010</v>
          </cell>
          <cell r="AB2202" t="str">
            <v>ATEX22</v>
          </cell>
          <cell r="AH2202" t="str">
            <v>KAS189-K4-(200)-B-X#</v>
          </cell>
        </row>
        <row r="2203">
          <cell r="A2203" t="str">
            <v>MR002198</v>
          </cell>
          <cell r="B2203" t="str">
            <v>R</v>
          </cell>
          <cell r="D2203">
            <v>20.175000000000001</v>
          </cell>
          <cell r="E2203" t="str">
            <v>KAS189-K4-(200)</v>
          </cell>
          <cell r="F2203">
            <v>19500</v>
          </cell>
          <cell r="G2203">
            <v>74.349999999999994</v>
          </cell>
          <cell r="H2203">
            <v>1.37</v>
          </cell>
          <cell r="I2203" t="str">
            <v>M4A</v>
          </cell>
          <cell r="S2203" t="str">
            <v>-</v>
          </cell>
          <cell r="T2203" t="str">
            <v>-</v>
          </cell>
          <cell r="U2203" t="str">
            <v>-</v>
          </cell>
          <cell r="W2203" t="str">
            <v>-</v>
          </cell>
          <cell r="X2203" t="str">
            <v>CLP PG 220 (-25/+80°C)</v>
          </cell>
          <cell r="Y2203" t="str">
            <v>KAS189-K4-(200)                                                                       2KJ3515-9LA04-0AM1-Z_D14+G60+H3A+K07+K41+K74+K75+K81+L02+L68+Y00</v>
          </cell>
          <cell r="Z2203" t="str">
            <v>SIEMENS</v>
          </cell>
          <cell r="AA2203" t="str">
            <v>RAL5010</v>
          </cell>
          <cell r="AB2203" t="str">
            <v>ATEX22</v>
          </cell>
          <cell r="AH2203" t="str">
            <v>KAS189-K4-(200)-A-X#</v>
          </cell>
        </row>
        <row r="2204">
          <cell r="A2204" t="str">
            <v>MR002199</v>
          </cell>
          <cell r="B2204" t="str">
            <v>MR</v>
          </cell>
          <cell r="C2204">
            <v>1.5</v>
          </cell>
          <cell r="D2204">
            <v>17.623999999999999</v>
          </cell>
          <cell r="E2204" t="str">
            <v>FDAD79</v>
          </cell>
          <cell r="F2204">
            <v>1000</v>
          </cell>
          <cell r="G2204">
            <v>81.99</v>
          </cell>
          <cell r="H2204">
            <v>1.23</v>
          </cell>
          <cell r="I2204" t="str">
            <v>M6</v>
          </cell>
          <cell r="J2204" t="str">
            <v>IE3</v>
          </cell>
          <cell r="K2204">
            <v>400</v>
          </cell>
          <cell r="L2204">
            <v>50</v>
          </cell>
          <cell r="M2204">
            <v>3.15</v>
          </cell>
          <cell r="N2204">
            <v>55</v>
          </cell>
          <cell r="O2204" t="str">
            <v>155(F)</v>
          </cell>
          <cell r="P2204" t="str">
            <v>0°</v>
          </cell>
          <cell r="Q2204" t="str">
            <v>-</v>
          </cell>
          <cell r="R2204" t="str">
            <v>-</v>
          </cell>
          <cell r="S2204" t="str">
            <v>-</v>
          </cell>
          <cell r="T2204" t="str">
            <v>(B10) L16</v>
          </cell>
          <cell r="U2204" t="str">
            <v>G</v>
          </cell>
          <cell r="V2204" t="str">
            <v>D+R</v>
          </cell>
          <cell r="W2204" t="str">
            <v>-</v>
          </cell>
          <cell r="X2204" t="str">
            <v>CLP PG 220 (-25/+80°C)</v>
          </cell>
          <cell r="Y2204" t="str">
            <v>FDAD79-LE90ZLR4P-L16NHA                                                                                  2KJ3405-5EM23-4DD1-Z_B10+C03+C27+C47+D06+K01+K07+K41+L02+L68+M55</v>
          </cell>
          <cell r="Z2204" t="str">
            <v>SIEMENS</v>
          </cell>
          <cell r="AA2204" t="str">
            <v>RAL5010</v>
          </cell>
          <cell r="AB2204" t="str">
            <v>ATEX22</v>
          </cell>
          <cell r="AE2204" t="str">
            <v>Rectifier for brake in the terminal box</v>
          </cell>
          <cell r="AH2204" t="str">
            <v>FDAD79G-0-X</v>
          </cell>
        </row>
        <row r="2205">
          <cell r="A2205" t="str">
            <v>MR002200</v>
          </cell>
          <cell r="B2205" t="str">
            <v>MR</v>
          </cell>
          <cell r="C2205">
            <v>22</v>
          </cell>
          <cell r="D2205">
            <v>62.792999999999999</v>
          </cell>
          <cell r="E2205" t="str">
            <v>Z129</v>
          </cell>
          <cell r="F2205">
            <v>5000</v>
          </cell>
          <cell r="G2205">
            <v>23.41</v>
          </cell>
          <cell r="H2205">
            <v>1.49</v>
          </cell>
          <cell r="I2205" t="str">
            <v>M1</v>
          </cell>
          <cell r="J2205" t="str">
            <v>IE3</v>
          </cell>
          <cell r="K2205">
            <v>400</v>
          </cell>
          <cell r="L2205">
            <v>50</v>
          </cell>
          <cell r="M2205">
            <v>41</v>
          </cell>
          <cell r="N2205">
            <v>55</v>
          </cell>
          <cell r="O2205" t="str">
            <v>155(F)</v>
          </cell>
          <cell r="P2205" t="str">
            <v>270°</v>
          </cell>
          <cell r="Q2205" t="str">
            <v>-</v>
          </cell>
          <cell r="R2205" t="str">
            <v>-</v>
          </cell>
          <cell r="S2205" t="str">
            <v>-</v>
          </cell>
          <cell r="T2205" t="str">
            <v>-</v>
          </cell>
          <cell r="U2205" t="str">
            <v>-</v>
          </cell>
          <cell r="V2205" t="str">
            <v>D</v>
          </cell>
          <cell r="W2205" t="str">
            <v>-</v>
          </cell>
          <cell r="X2205" t="str">
            <v>CLP PG 220 (-25/+80°C)</v>
          </cell>
          <cell r="Y2205" t="str">
            <v>Z129-LES180ZLN4P                                                                        2KJ3111-1KN33-9AN1-Z_D01+K01+K07+K41+L02+L68+M59+N6C</v>
          </cell>
          <cell r="Z2205" t="str">
            <v>SIEMENS</v>
          </cell>
          <cell r="AA2205" t="str">
            <v>RAL5010</v>
          </cell>
          <cell r="AB2205" t="str">
            <v>ATEX22</v>
          </cell>
          <cell r="AH2205" t="str">
            <v>Z129-270-X</v>
          </cell>
        </row>
        <row r="2206">
          <cell r="A2206" t="str">
            <v>MR002201</v>
          </cell>
          <cell r="B2206" t="str">
            <v>ME</v>
          </cell>
          <cell r="C2206">
            <v>55</v>
          </cell>
          <cell r="D2206">
            <v>1482</v>
          </cell>
          <cell r="E2206" t="str">
            <v>1CV3252B</v>
          </cell>
          <cell r="F2206">
            <v>354</v>
          </cell>
          <cell r="I2206" t="str">
            <v>V1/B5</v>
          </cell>
          <cell r="J2206" t="str">
            <v>IE3</v>
          </cell>
          <cell r="K2206">
            <v>400</v>
          </cell>
          <cell r="L2206">
            <v>50</v>
          </cell>
          <cell r="M2206">
            <v>96</v>
          </cell>
          <cell r="N2206">
            <v>55</v>
          </cell>
          <cell r="O2206" t="str">
            <v>155(F)</v>
          </cell>
          <cell r="P2206" t="str">
            <v>270°</v>
          </cell>
          <cell r="Q2206" t="str">
            <v>-</v>
          </cell>
          <cell r="R2206" t="str">
            <v>-</v>
          </cell>
          <cell r="S2206" t="str">
            <v>-</v>
          </cell>
          <cell r="T2206" t="str">
            <v>-</v>
          </cell>
          <cell r="U2206" t="str">
            <v>-</v>
          </cell>
          <cell r="V2206" t="str">
            <v>D</v>
          </cell>
          <cell r="W2206" t="str">
            <v>-</v>
          </cell>
          <cell r="Y2206" t="str">
            <v>1MB1523-2CB23-4FA4-Z</v>
          </cell>
          <cell r="Z2206" t="str">
            <v>SIEMENS</v>
          </cell>
          <cell r="AA2206" t="str">
            <v>RAL5010</v>
          </cell>
          <cell r="AB2206" t="str">
            <v>ATEX22</v>
          </cell>
          <cell r="AE2206" t="str">
            <v>n.3 PTC per controllo temperatura</v>
          </cell>
          <cell r="AF2206">
            <v>1482</v>
          </cell>
          <cell r="AG2206" t="str">
            <v>1CV3252B</v>
          </cell>
          <cell r="AH2206" t="str">
            <v>1CV3252B-1CV3252BB270-X</v>
          </cell>
        </row>
        <row r="2207">
          <cell r="A2207" t="str">
            <v>MR002202</v>
          </cell>
          <cell r="B2207" t="str">
            <v>ME</v>
          </cell>
          <cell r="C2207">
            <v>3</v>
          </cell>
          <cell r="D2207">
            <v>2920</v>
          </cell>
          <cell r="E2207" t="str">
            <v>1AV3104A</v>
          </cell>
          <cell r="F2207">
            <v>9.8000000000000007</v>
          </cell>
          <cell r="I2207" t="str">
            <v>B5</v>
          </cell>
          <cell r="J2207" t="str">
            <v>IE3</v>
          </cell>
          <cell r="K2207">
            <v>400</v>
          </cell>
          <cell r="L2207">
            <v>50</v>
          </cell>
          <cell r="M2207">
            <v>5.6</v>
          </cell>
          <cell r="N2207">
            <v>55</v>
          </cell>
          <cell r="O2207" t="str">
            <v>155(F)</v>
          </cell>
          <cell r="P2207" t="str">
            <v>270°</v>
          </cell>
          <cell r="Q2207" t="str">
            <v>-</v>
          </cell>
          <cell r="R2207" t="str">
            <v>-</v>
          </cell>
          <cell r="S2207" t="str">
            <v>-</v>
          </cell>
          <cell r="T2207" t="str">
            <v>-</v>
          </cell>
          <cell r="U2207" t="str">
            <v>-</v>
          </cell>
          <cell r="V2207" t="str">
            <v>D</v>
          </cell>
          <cell r="W2207" t="str">
            <v>-</v>
          </cell>
          <cell r="Y2207" t="str">
            <v>1MB1023-1AA42-2FA4-Z</v>
          </cell>
          <cell r="Z2207" t="str">
            <v>SIEMENS</v>
          </cell>
          <cell r="AA2207" t="str">
            <v>RAL5010</v>
          </cell>
          <cell r="AB2207" t="str">
            <v>ATEX22</v>
          </cell>
          <cell r="AF2207">
            <v>2920</v>
          </cell>
          <cell r="AG2207" t="str">
            <v>1AV3104A</v>
          </cell>
          <cell r="AH2207" t="str">
            <v>1AV3104A-1AV3104AB270-X</v>
          </cell>
        </row>
        <row r="2208">
          <cell r="A2208" t="str">
            <v>MR002203</v>
          </cell>
          <cell r="B2208" t="str">
            <v>R</v>
          </cell>
          <cell r="D2208">
            <v>41.287999999999997</v>
          </cell>
          <cell r="E2208" t="str">
            <v>D169 - K4 (225)</v>
          </cell>
          <cell r="F2208">
            <v>14000</v>
          </cell>
          <cell r="G2208">
            <v>36.33</v>
          </cell>
          <cell r="H2208">
            <v>1.35</v>
          </cell>
          <cell r="I2208" t="str">
            <v>M1</v>
          </cell>
          <cell r="S2208" t="str">
            <v>-</v>
          </cell>
          <cell r="T2208" t="str">
            <v>-</v>
          </cell>
          <cell r="U2208" t="str">
            <v>-</v>
          </cell>
          <cell r="W2208" t="str">
            <v>-</v>
          </cell>
          <cell r="X2208" t="str">
            <v>CLP PG 220 (-25/+80°C)</v>
          </cell>
          <cell r="Y2208" t="str">
            <v>D169-K4-(225)                                                                                         2KJ3213-1MA04-0AB1-Z_D01+K07+K41+K74+K75+K81+L02+L68+Y00</v>
          </cell>
          <cell r="Z2208" t="str">
            <v>SIEMENS</v>
          </cell>
          <cell r="AA2208" t="str">
            <v>RAL5010</v>
          </cell>
          <cell r="AB2208" t="str">
            <v>ATEX22</v>
          </cell>
          <cell r="AH2208" t="str">
            <v>D169 - K4 (225)--X#</v>
          </cell>
        </row>
        <row r="2209">
          <cell r="A2209" t="str">
            <v>MR002203.1</v>
          </cell>
          <cell r="B2209" t="str">
            <v>ME</v>
          </cell>
          <cell r="C2209">
            <v>45</v>
          </cell>
          <cell r="D2209">
            <v>1478</v>
          </cell>
          <cell r="E2209" t="str">
            <v>1CV3222B</v>
          </cell>
          <cell r="F2209">
            <v>290</v>
          </cell>
          <cell r="H2209">
            <v>1.1499999999999999</v>
          </cell>
          <cell r="J2209" t="str">
            <v>IE3</v>
          </cell>
          <cell r="K2209">
            <v>400</v>
          </cell>
          <cell r="L2209">
            <v>50</v>
          </cell>
          <cell r="M2209">
            <v>80</v>
          </cell>
          <cell r="N2209">
            <v>55</v>
          </cell>
          <cell r="O2209" t="str">
            <v>155(F)</v>
          </cell>
          <cell r="P2209" t="str">
            <v>270°</v>
          </cell>
          <cell r="Q2209" t="str">
            <v>TF</v>
          </cell>
          <cell r="R2209" t="str">
            <v>V(VE)</v>
          </cell>
          <cell r="S2209" t="str">
            <v>-</v>
          </cell>
          <cell r="T2209" t="str">
            <v>-</v>
          </cell>
          <cell r="U2209" t="str">
            <v>-</v>
          </cell>
          <cell r="V2209" t="str">
            <v>FC</v>
          </cell>
          <cell r="W2209" t="str">
            <v>-</v>
          </cell>
          <cell r="Y2209" t="str">
            <v>1MB1523-2BB29-0FB4-Z_B43+F70+M10+M4B+Y53</v>
          </cell>
          <cell r="Z2209" t="str">
            <v>SIEMENS</v>
          </cell>
          <cell r="AA2209" t="str">
            <v>RAL5010</v>
          </cell>
          <cell r="AB2209" t="str">
            <v>ATEX22</v>
          </cell>
          <cell r="AH2209" t="str">
            <v>1CV3222B-270-X#</v>
          </cell>
        </row>
        <row r="2210">
          <cell r="A2210" t="str">
            <v>MR002204</v>
          </cell>
          <cell r="B2210" t="str">
            <v>MR</v>
          </cell>
          <cell r="C2210">
            <v>0.55000000000000004</v>
          </cell>
          <cell r="D2210">
            <v>3.403</v>
          </cell>
          <cell r="E2210" t="str">
            <v>KAD89-Z39</v>
          </cell>
          <cell r="F2210">
            <v>1600</v>
          </cell>
          <cell r="G2210">
            <v>401</v>
          </cell>
          <cell r="H2210">
            <v>1.1399999999999999</v>
          </cell>
          <cell r="I2210" t="str">
            <v>M3B</v>
          </cell>
          <cell r="J2210" t="str">
            <v>IE3</v>
          </cell>
          <cell r="K2210">
            <v>400</v>
          </cell>
          <cell r="L2210">
            <v>50</v>
          </cell>
          <cell r="M2210">
            <v>1.62</v>
          </cell>
          <cell r="N2210">
            <v>55</v>
          </cell>
          <cell r="O2210" t="str">
            <v>155(F)</v>
          </cell>
          <cell r="P2210" t="str">
            <v>0°</v>
          </cell>
          <cell r="Q2210" t="str">
            <v>-</v>
          </cell>
          <cell r="R2210" t="str">
            <v>-</v>
          </cell>
          <cell r="S2210" t="str">
            <v>-</v>
          </cell>
          <cell r="T2210" t="str">
            <v>(B04) L8</v>
          </cell>
          <cell r="U2210" t="str">
            <v>T</v>
          </cell>
          <cell r="V2210" t="str">
            <v>D+R</v>
          </cell>
          <cell r="W2210" t="str">
            <v>-</v>
          </cell>
          <cell r="X2210" t="str">
            <v>CLP PG 220 (-25/+80°C)</v>
          </cell>
          <cell r="Y2210" t="str">
            <v>KAD89-Z39-LE71ZMK4-L8NHA                                                                                 2KJ3528-5CF21-4CD1-Z_B04+C03+C27+C47+D23+K01+K07+K41+L02+L68+M55</v>
          </cell>
          <cell r="Z2210" t="str">
            <v>SIEMENS</v>
          </cell>
          <cell r="AA2210" t="str">
            <v>RAL5010</v>
          </cell>
          <cell r="AB2210" t="str">
            <v>ATEX22</v>
          </cell>
          <cell r="AE2210" t="str">
            <v>Rectifier for brake in the terminal box</v>
          </cell>
          <cell r="AH2210" t="str">
            <v>KAD89-Z39T-B0-X</v>
          </cell>
        </row>
        <row r="2211">
          <cell r="A2211" t="str">
            <v>MR002205</v>
          </cell>
          <cell r="B2211" t="str">
            <v>MR</v>
          </cell>
          <cell r="C2211">
            <v>18.5</v>
          </cell>
          <cell r="D2211">
            <v>11.303000000000001</v>
          </cell>
          <cell r="E2211" t="str">
            <v>KAS189</v>
          </cell>
          <cell r="F2211">
            <v>19500</v>
          </cell>
          <cell r="G2211">
            <v>130.05000000000001</v>
          </cell>
          <cell r="H2211">
            <v>1.25</v>
          </cell>
          <cell r="I2211" t="str">
            <v>M4A to M1A - 30°</v>
          </cell>
          <cell r="J2211" t="str">
            <v>IE3</v>
          </cell>
          <cell r="K2211">
            <v>400</v>
          </cell>
          <cell r="L2211">
            <v>50</v>
          </cell>
          <cell r="M2211">
            <v>35</v>
          </cell>
          <cell r="N2211">
            <v>55</v>
          </cell>
          <cell r="O2211" t="str">
            <v>155(F)</v>
          </cell>
          <cell r="P2211" t="str">
            <v>270°</v>
          </cell>
          <cell r="Q2211" t="str">
            <v>TF</v>
          </cell>
          <cell r="R2211" t="str">
            <v>V(VE)</v>
          </cell>
          <cell r="S2211" t="str">
            <v>-</v>
          </cell>
          <cell r="T2211" t="str">
            <v>-</v>
          </cell>
          <cell r="U2211" t="str">
            <v>-</v>
          </cell>
          <cell r="V2211" t="str">
            <v>FC</v>
          </cell>
          <cell r="W2211" t="str">
            <v>-</v>
          </cell>
          <cell r="X2211" t="str">
            <v>CLP PG 220 (-25/+80°C)</v>
          </cell>
          <cell r="Y2211" t="str">
            <v>KAS189-LES180MQ4PF                                                                                    2KJ3515-9KL33-9AS1-Z_D14+E06+H3A+K01+K07+K41+L02+L68+M10+M23+M59+N6C+P91</v>
          </cell>
          <cell r="Z2211" t="str">
            <v>SIEMENS</v>
          </cell>
          <cell r="AA2211" t="str">
            <v>RAL5010</v>
          </cell>
          <cell r="AB2211" t="str">
            <v>ATEX22</v>
          </cell>
          <cell r="AH2211" t="str">
            <v>KAS189-A270-X#</v>
          </cell>
        </row>
        <row r="2212">
          <cell r="A2212" t="str">
            <v>MR002206</v>
          </cell>
          <cell r="B2212" t="str">
            <v>MR</v>
          </cell>
          <cell r="C2212">
            <v>18.5</v>
          </cell>
          <cell r="D2212">
            <v>11.303000000000001</v>
          </cell>
          <cell r="E2212" t="str">
            <v>KAS189</v>
          </cell>
          <cell r="F2212">
            <v>19500</v>
          </cell>
          <cell r="G2212">
            <v>130.05000000000001</v>
          </cell>
          <cell r="H2212">
            <v>1.25</v>
          </cell>
          <cell r="I2212" t="str">
            <v>M4B to M1B - 30°</v>
          </cell>
          <cell r="J2212" t="str">
            <v>IE3</v>
          </cell>
          <cell r="K2212">
            <v>400</v>
          </cell>
          <cell r="L2212">
            <v>50</v>
          </cell>
          <cell r="M2212">
            <v>35</v>
          </cell>
          <cell r="N2212">
            <v>55</v>
          </cell>
          <cell r="O2212" t="str">
            <v>155(F)</v>
          </cell>
          <cell r="P2212" t="str">
            <v>270°</v>
          </cell>
          <cell r="Q2212" t="str">
            <v>TF</v>
          </cell>
          <cell r="R2212" t="str">
            <v>V(VE)</v>
          </cell>
          <cell r="S2212" t="str">
            <v>-</v>
          </cell>
          <cell r="T2212" t="str">
            <v>-</v>
          </cell>
          <cell r="U2212" t="str">
            <v>-</v>
          </cell>
          <cell r="V2212" t="str">
            <v>FC</v>
          </cell>
          <cell r="W2212" t="str">
            <v>-</v>
          </cell>
          <cell r="X2212" t="str">
            <v>CLP PG 220 (-25/+80°C)</v>
          </cell>
          <cell r="Y2212" t="str">
            <v>KAS189-LES180MQ4PF                                                                      2KJ3515-9KL33-9AS1-Z_D24+E06+H3A+K01+K07+K41+L02+L68+M10+M23+M59+N6C+P91</v>
          </cell>
          <cell r="Z2212" t="str">
            <v>SIEMENS</v>
          </cell>
          <cell r="AA2212" t="str">
            <v>RAL5010</v>
          </cell>
          <cell r="AB2212" t="str">
            <v>ATEX22</v>
          </cell>
          <cell r="AH2212" t="str">
            <v>KAS189-B270-X#</v>
          </cell>
        </row>
        <row r="2213">
          <cell r="A2213" t="str">
            <v>MR002207</v>
          </cell>
          <cell r="B2213" t="str">
            <v>MR</v>
          </cell>
          <cell r="C2213">
            <v>15</v>
          </cell>
          <cell r="D2213">
            <v>63.006999999999998</v>
          </cell>
          <cell r="E2213" t="str">
            <v>Z129</v>
          </cell>
          <cell r="F2213">
            <v>5000</v>
          </cell>
          <cell r="G2213">
            <v>23.41</v>
          </cell>
          <cell r="H2213">
            <v>1.8</v>
          </cell>
          <cell r="I2213" t="str">
            <v>M1</v>
          </cell>
          <cell r="J2213" t="str">
            <v>IE3</v>
          </cell>
          <cell r="K2213">
            <v>400</v>
          </cell>
          <cell r="L2213">
            <v>50</v>
          </cell>
          <cell r="M2213">
            <v>28.5</v>
          </cell>
          <cell r="N2213">
            <v>55</v>
          </cell>
          <cell r="O2213" t="str">
            <v>155(F)</v>
          </cell>
          <cell r="P2213" t="str">
            <v>270°</v>
          </cell>
          <cell r="Q2213" t="str">
            <v>-</v>
          </cell>
          <cell r="R2213" t="str">
            <v>-</v>
          </cell>
          <cell r="S2213" t="str">
            <v>-</v>
          </cell>
          <cell r="T2213" t="str">
            <v>-</v>
          </cell>
          <cell r="U2213" t="str">
            <v>-</v>
          </cell>
          <cell r="V2213" t="str">
            <v>D</v>
          </cell>
          <cell r="W2213" t="str">
            <v>-</v>
          </cell>
          <cell r="X2213" t="str">
            <v>CLP PG 220 (-25/+80°C)</v>
          </cell>
          <cell r="Y2213" t="str">
            <v>Z129-LE160ZLL4P                                                                       2KJ3111-1JU23-9AN1-Z_D01+K01+K07+K41+L02+L68+M59+N6C</v>
          </cell>
          <cell r="Z2213" t="str">
            <v>SIEMENS</v>
          </cell>
          <cell r="AA2213" t="str">
            <v>RAL5010</v>
          </cell>
          <cell r="AB2213" t="str">
            <v>ATEX22</v>
          </cell>
          <cell r="AH2213" t="str">
            <v>Z129-270-X</v>
          </cell>
        </row>
        <row r="2214">
          <cell r="A2214" t="str">
            <v>MR002208</v>
          </cell>
          <cell r="B2214" t="str">
            <v>MR</v>
          </cell>
          <cell r="C2214">
            <v>1.5</v>
          </cell>
          <cell r="D2214">
            <v>17.623999999999999</v>
          </cell>
          <cell r="E2214" t="str">
            <v>FDAD79</v>
          </cell>
          <cell r="F2214">
            <v>1000</v>
          </cell>
          <cell r="G2214">
            <v>81.99</v>
          </cell>
          <cell r="H2214">
            <v>1.23</v>
          </cell>
          <cell r="I2214" t="str">
            <v>M5</v>
          </cell>
          <cell r="J2214" t="str">
            <v>IE3</v>
          </cell>
          <cell r="K2214">
            <v>400</v>
          </cell>
          <cell r="L2214">
            <v>50</v>
          </cell>
          <cell r="M2214">
            <v>3.15</v>
          </cell>
          <cell r="N2214">
            <v>55</v>
          </cell>
          <cell r="O2214" t="str">
            <v>155(F)</v>
          </cell>
          <cell r="P2214" t="str">
            <v>180°</v>
          </cell>
          <cell r="Q2214" t="str">
            <v>-</v>
          </cell>
          <cell r="R2214" t="str">
            <v>-</v>
          </cell>
          <cell r="S2214" t="str">
            <v>-</v>
          </cell>
          <cell r="T2214" t="str">
            <v>(B10) L16</v>
          </cell>
          <cell r="U2214" t="str">
            <v>G</v>
          </cell>
          <cell r="V2214" t="str">
            <v>D+R</v>
          </cell>
          <cell r="W2214" t="str">
            <v>-</v>
          </cell>
          <cell r="X2214" t="str">
            <v>CLP PG 220 (-25/+80°C)</v>
          </cell>
          <cell r="Y2214" t="str">
            <v>FDAD79-LE90ZLR4P-L16NHA                                                                                 2KJ3405-5EM23-4DD1-Z_B10+C03+C26+C47+D05+K01+K07+K41+L02+L68+M63</v>
          </cell>
          <cell r="Z2214" t="str">
            <v>SIEMENS</v>
          </cell>
          <cell r="AA2214" t="str">
            <v>RAL5010</v>
          </cell>
          <cell r="AB2214" t="str">
            <v>ATEX22</v>
          </cell>
          <cell r="AE2214" t="str">
            <v>Rectifier for brake in the terminal box</v>
          </cell>
          <cell r="AH2214" t="str">
            <v>FDAD79G-180-X</v>
          </cell>
        </row>
        <row r="2215">
          <cell r="A2215" t="str">
            <v>MR002209</v>
          </cell>
          <cell r="B2215" t="str">
            <v>MR</v>
          </cell>
          <cell r="C2215">
            <v>22</v>
          </cell>
          <cell r="D2215">
            <v>62.792999999999999</v>
          </cell>
          <cell r="E2215" t="str">
            <v>Z129</v>
          </cell>
          <cell r="F2215">
            <v>5000</v>
          </cell>
          <cell r="G2215">
            <v>23.41</v>
          </cell>
          <cell r="H2215">
            <v>1.49</v>
          </cell>
          <cell r="I2215" t="str">
            <v>From M1 to M4 - 25°</v>
          </cell>
          <cell r="J2215" t="str">
            <v>IE3</v>
          </cell>
          <cell r="K2215">
            <v>400</v>
          </cell>
          <cell r="L2215">
            <v>50</v>
          </cell>
          <cell r="M2215">
            <v>41</v>
          </cell>
          <cell r="N2215">
            <v>55</v>
          </cell>
          <cell r="O2215" t="str">
            <v>155(F)</v>
          </cell>
          <cell r="P2215" t="str">
            <v>270°</v>
          </cell>
          <cell r="Q2215" t="str">
            <v>-</v>
          </cell>
          <cell r="R2215" t="str">
            <v>-</v>
          </cell>
          <cell r="S2215" t="str">
            <v>-</v>
          </cell>
          <cell r="T2215" t="str">
            <v>-</v>
          </cell>
          <cell r="U2215" t="str">
            <v>-</v>
          </cell>
          <cell r="V2215" t="str">
            <v>D</v>
          </cell>
          <cell r="W2215" t="str">
            <v>-</v>
          </cell>
          <cell r="X2215" t="str">
            <v>CLP PG 220 (-25/+80°C)</v>
          </cell>
          <cell r="Y2215" t="str">
            <v>Z129-LES180ZLN4P                                                                                2KJ3111-1KN33-9AN1-Z_D04+E13+K01+K07+K41+L02+L68+M59+N6C</v>
          </cell>
          <cell r="Z2215" t="str">
            <v>SIEMENS</v>
          </cell>
          <cell r="AA2215" t="str">
            <v>RAL5010</v>
          </cell>
          <cell r="AB2215" t="str">
            <v>ATEX22</v>
          </cell>
          <cell r="AH2215" t="str">
            <v>Z129-270-X</v>
          </cell>
        </row>
        <row r="2216">
          <cell r="A2216" t="str">
            <v>MR002210</v>
          </cell>
          <cell r="B2216" t="str">
            <v>R</v>
          </cell>
          <cell r="D2216">
            <v>104.4</v>
          </cell>
          <cell r="E2216" t="str">
            <v xml:space="preserve">KADS149-K2X-(225) </v>
          </cell>
          <cell r="F2216">
            <v>4140</v>
          </cell>
          <cell r="G2216">
            <v>14.15</v>
          </cell>
          <cell r="H2216">
            <v>1.24</v>
          </cell>
          <cell r="I2216" t="str">
            <v>M4A</v>
          </cell>
          <cell r="S2216" t="str">
            <v>Free rotation CCW</v>
          </cell>
          <cell r="T2216" t="str">
            <v>-</v>
          </cell>
          <cell r="U2216" t="str">
            <v>T</v>
          </cell>
          <cell r="W2216" t="str">
            <v>-</v>
          </cell>
          <cell r="X2216" t="str">
            <v>CLP PG 220 (-25/+80°C)</v>
          </cell>
          <cell r="Y2216" t="str">
            <v>KADS149-K2X-(225)                                                                                    2KJ3513-9MA02-0CG1-Z_A15+D14+G60+H3A+K07+K19+K41+K74+K75+K81+L02+L68+Y00</v>
          </cell>
          <cell r="Z2216" t="str">
            <v>SIEMENS</v>
          </cell>
          <cell r="AA2216" t="str">
            <v>RAL5010</v>
          </cell>
          <cell r="AB2216" t="str">
            <v>ATEX22</v>
          </cell>
          <cell r="AH2216" t="str">
            <v>KADS149-K2X-(225) T-A-X#</v>
          </cell>
        </row>
        <row r="2217">
          <cell r="A2217" t="str">
            <v>MR002210.1</v>
          </cell>
          <cell r="B2217" t="str">
            <v>ME</v>
          </cell>
          <cell r="C2217">
            <v>37</v>
          </cell>
          <cell r="D2217">
            <v>1478</v>
          </cell>
          <cell r="E2217" t="str">
            <v>1CV3220B</v>
          </cell>
          <cell r="F2217">
            <v>239</v>
          </cell>
          <cell r="J2217" t="str">
            <v>IE3</v>
          </cell>
          <cell r="K2217">
            <v>400</v>
          </cell>
          <cell r="L2217">
            <v>50</v>
          </cell>
          <cell r="M2217">
            <v>66</v>
          </cell>
          <cell r="N2217">
            <v>55</v>
          </cell>
          <cell r="O2217" t="str">
            <v>155(F)</v>
          </cell>
          <cell r="P2217" t="str">
            <v>270°</v>
          </cell>
          <cell r="Q2217" t="str">
            <v>TF</v>
          </cell>
          <cell r="R2217" t="str">
            <v>V(VE)</v>
          </cell>
          <cell r="T2217" t="str">
            <v>-</v>
          </cell>
          <cell r="V2217" t="str">
            <v>FC</v>
          </cell>
          <cell r="W2217" t="str">
            <v>-</v>
          </cell>
          <cell r="X2217" t="str">
            <v>CLP PG 220 (-25/+80°C)</v>
          </cell>
          <cell r="Y2217" t="str">
            <v>1MB1523-2BB09-0FB4-Z_B43+F70+M10+M4B+Y53</v>
          </cell>
          <cell r="Z2217" t="str">
            <v>SIEMENS</v>
          </cell>
          <cell r="AA2217" t="str">
            <v>RAL5010</v>
          </cell>
          <cell r="AB2217" t="str">
            <v>ATEX22</v>
          </cell>
          <cell r="AH2217" t="str">
            <v>1CV3220B-270-X#</v>
          </cell>
        </row>
        <row r="2218">
          <cell r="A2218" t="str">
            <v>MR002211</v>
          </cell>
          <cell r="B2218" t="str">
            <v>MR</v>
          </cell>
          <cell r="C2218">
            <v>0.75</v>
          </cell>
          <cell r="D2218">
            <v>164.58500000000001</v>
          </cell>
          <cell r="E2218" t="str">
            <v>KAD39</v>
          </cell>
          <cell r="F2218">
            <v>183</v>
          </cell>
          <cell r="G2218">
            <v>8.81</v>
          </cell>
          <cell r="H2218">
            <v>4.2</v>
          </cell>
          <cell r="I2218" t="str">
            <v>M3A</v>
          </cell>
          <cell r="J2218" t="str">
            <v>IE3</v>
          </cell>
          <cell r="K2218">
            <v>400</v>
          </cell>
          <cell r="L2218">
            <v>50</v>
          </cell>
          <cell r="M2218">
            <v>1.75</v>
          </cell>
          <cell r="N2218">
            <v>55</v>
          </cell>
          <cell r="O2218" t="str">
            <v>155(F)</v>
          </cell>
          <cell r="P2218" t="str">
            <v>180°</v>
          </cell>
          <cell r="Q2218" t="str">
            <v>-</v>
          </cell>
          <cell r="R2218" t="str">
            <v>-</v>
          </cell>
          <cell r="S2218" t="str">
            <v>-</v>
          </cell>
          <cell r="T2218" t="str">
            <v>-</v>
          </cell>
          <cell r="U2218" t="str">
            <v>T</v>
          </cell>
          <cell r="V2218" t="str">
            <v>D</v>
          </cell>
          <cell r="W2218" t="str">
            <v>-</v>
          </cell>
          <cell r="X2218" t="str">
            <v>CLP PG 220 (-25/+80°C)</v>
          </cell>
          <cell r="Y2218" t="str">
            <v>KAD39-LE80ZMQ4P                                                   2KJ3504-5DF23-4CE1-Z_D13+K01+K07+K41+L02+L68+M64</v>
          </cell>
          <cell r="Z2218" t="str">
            <v>SIEMENS</v>
          </cell>
          <cell r="AA2218" t="str">
            <v>RAL5010</v>
          </cell>
          <cell r="AB2218" t="str">
            <v>ATEX22</v>
          </cell>
          <cell r="AH2218" t="str">
            <v>KAD39T-A180-X</v>
          </cell>
        </row>
        <row r="2219">
          <cell r="A2219" t="str">
            <v>MR002212</v>
          </cell>
          <cell r="B2219" t="str">
            <v>ME</v>
          </cell>
          <cell r="C2219">
            <v>2.2000000000000002</v>
          </cell>
          <cell r="D2219">
            <v>2910</v>
          </cell>
          <cell r="E2219" t="str">
            <v>1AV3094A</v>
          </cell>
          <cell r="F2219">
            <v>7.2</v>
          </cell>
          <cell r="G2219" t="str">
            <v xml:space="preserve"> -</v>
          </cell>
          <cell r="H2219" t="str">
            <v xml:space="preserve"> -</v>
          </cell>
          <cell r="I2219" t="str">
            <v>B5</v>
          </cell>
          <cell r="J2219" t="str">
            <v>IE3</v>
          </cell>
          <cell r="K2219">
            <v>400</v>
          </cell>
          <cell r="L2219">
            <v>50</v>
          </cell>
          <cell r="M2219">
            <v>4.2</v>
          </cell>
          <cell r="N2219">
            <v>55</v>
          </cell>
          <cell r="O2219" t="str">
            <v>155(F)</v>
          </cell>
          <cell r="P2219" t="str">
            <v>-</v>
          </cell>
          <cell r="Q2219" t="str">
            <v>-</v>
          </cell>
          <cell r="R2219" t="str">
            <v>-</v>
          </cell>
          <cell r="S2219" t="str">
            <v>-</v>
          </cell>
          <cell r="T2219" t="str">
            <v>-</v>
          </cell>
          <cell r="U2219" t="str">
            <v>-</v>
          </cell>
          <cell r="V2219" t="str">
            <v>D</v>
          </cell>
          <cell r="W2219" t="str">
            <v>-</v>
          </cell>
          <cell r="X2219" t="str">
            <v>-</v>
          </cell>
          <cell r="Y2219" t="str">
            <v>1MB1023-0EA42-2FA4-Z</v>
          </cell>
          <cell r="Z2219" t="str">
            <v>SIEMENS</v>
          </cell>
          <cell r="AA2219" t="str">
            <v>RAL5010</v>
          </cell>
          <cell r="AB2219" t="str">
            <v>ATEX22</v>
          </cell>
          <cell r="AF2219">
            <v>2910</v>
          </cell>
          <cell r="AG2219" t="str">
            <v>1AV3094A</v>
          </cell>
          <cell r="AH2219" t="str">
            <v>1AV3094A-1AV3094AB--X</v>
          </cell>
        </row>
        <row r="2220">
          <cell r="A2220" t="str">
            <v>MR002213</v>
          </cell>
          <cell r="B2220" t="str">
            <v>R</v>
          </cell>
          <cell r="D2220">
            <v>5.4329999999999998</v>
          </cell>
          <cell r="E2220" t="str">
            <v>FDAD79-K4-(71)</v>
          </cell>
          <cell r="F2220">
            <v>650.38</v>
          </cell>
          <cell r="G2220">
            <v>276.08999999999997</v>
          </cell>
          <cell r="H2220">
            <v>1.54</v>
          </cell>
          <cell r="I2220" t="str">
            <v>M5 to M3 - 10°</v>
          </cell>
          <cell r="Q2220" t="str">
            <v>-</v>
          </cell>
          <cell r="R2220" t="str">
            <v>-</v>
          </cell>
          <cell r="S2220" t="str">
            <v>-</v>
          </cell>
          <cell r="T2220" t="str">
            <v>-</v>
          </cell>
          <cell r="U2220" t="str">
            <v>G</v>
          </cell>
          <cell r="W2220" t="str">
            <v>-</v>
          </cell>
          <cell r="X2220" t="str">
            <v>CLP PG 220 (-25/+80°C)</v>
          </cell>
          <cell r="Y2220" t="str">
            <v>FDAD79-K4-(71)                                                                                  2KJ3405-5CA04-0DQ1-Z_D05+E22+K07+K41+K74+K75+K81+L02+L68+Y00</v>
          </cell>
          <cell r="Z2220" t="str">
            <v>SIEMENS</v>
          </cell>
          <cell r="AA2220" t="str">
            <v>RAL5010</v>
          </cell>
          <cell r="AB2220" t="str">
            <v>ATEX22</v>
          </cell>
          <cell r="AH2220" t="str">
            <v>FDAD79-K4-(71)G--X</v>
          </cell>
        </row>
        <row r="2221">
          <cell r="A2221" t="str">
            <v>MR002213.1</v>
          </cell>
          <cell r="B2221" t="str">
            <v>ME</v>
          </cell>
          <cell r="C2221">
            <v>0.37</v>
          </cell>
          <cell r="D2221">
            <v>1410</v>
          </cell>
          <cell r="E2221" t="str">
            <v>1CV3073B</v>
          </cell>
          <cell r="F2221">
            <v>2.5</v>
          </cell>
          <cell r="J2221" t="str">
            <v>IE3</v>
          </cell>
          <cell r="K2221">
            <v>400</v>
          </cell>
          <cell r="L2221">
            <v>50</v>
          </cell>
          <cell r="M2221">
            <v>0.99</v>
          </cell>
          <cell r="N2221">
            <v>55</v>
          </cell>
          <cell r="O2221" t="str">
            <v>155(F)</v>
          </cell>
          <cell r="P2221" t="str">
            <v>180°</v>
          </cell>
          <cell r="Q2221" t="str">
            <v>-</v>
          </cell>
          <cell r="R2221" t="str">
            <v>-</v>
          </cell>
          <cell r="S2221" t="str">
            <v>-</v>
          </cell>
          <cell r="T2221" t="str">
            <v>-</v>
          </cell>
          <cell r="V2221" t="str">
            <v>D</v>
          </cell>
          <cell r="W2221" t="str">
            <v>-</v>
          </cell>
          <cell r="Y2221" t="str">
            <v>1MB1523-0CB32-2FA4-Z_M10+Y53</v>
          </cell>
          <cell r="Z2221" t="str">
            <v>SIEMENS</v>
          </cell>
          <cell r="AA2221" t="str">
            <v>RAL5010</v>
          </cell>
          <cell r="AB2221" t="str">
            <v>ATEX22</v>
          </cell>
          <cell r="AH2221" t="str">
            <v>1CV3073B-180-X</v>
          </cell>
        </row>
        <row r="2222">
          <cell r="A2222" t="str">
            <v>MR002214</v>
          </cell>
          <cell r="B2222" t="str">
            <v>MR</v>
          </cell>
          <cell r="C2222">
            <v>15</v>
          </cell>
          <cell r="D2222">
            <v>19.440999999999999</v>
          </cell>
          <cell r="E2222" t="str">
            <v>D149</v>
          </cell>
          <cell r="F2222">
            <v>8000</v>
          </cell>
          <cell r="G2222">
            <v>75.87</v>
          </cell>
          <cell r="H2222">
            <v>1.0900000000000001</v>
          </cell>
          <cell r="I2222" t="str">
            <v>From M1 to M2 - 15°</v>
          </cell>
          <cell r="J2222" t="str">
            <v>IE3</v>
          </cell>
          <cell r="K2222">
            <v>400</v>
          </cell>
          <cell r="L2222">
            <v>50</v>
          </cell>
          <cell r="M2222">
            <v>28.5</v>
          </cell>
          <cell r="N2222">
            <v>55</v>
          </cell>
          <cell r="O2222" t="str">
            <v>155(F)</v>
          </cell>
          <cell r="P2222" t="str">
            <v>270°</v>
          </cell>
          <cell r="Q2222" t="str">
            <v>TF</v>
          </cell>
          <cell r="R2222" t="str">
            <v>V(VE)</v>
          </cell>
          <cell r="S2222" t="str">
            <v>-</v>
          </cell>
          <cell r="T2222" t="str">
            <v>-</v>
          </cell>
          <cell r="U2222" t="str">
            <v>-</v>
          </cell>
          <cell r="V2222" t="str">
            <v>FC</v>
          </cell>
          <cell r="W2222" t="str">
            <v>-</v>
          </cell>
          <cell r="X2222" t="str">
            <v>CLP PG 220 (-25/+80°C)</v>
          </cell>
          <cell r="Y2222" t="str">
            <v>D149-LE160ZLL4PF                                                                      2KJ3212-1JU23-9AH1-Z_D01+E03+K01+K07+K41+L02+L68+M10+M23+M59+N6C+P91</v>
          </cell>
          <cell r="Z2222" t="str">
            <v>SIEMENS</v>
          </cell>
          <cell r="AA2222" t="str">
            <v>RAL5010</v>
          </cell>
          <cell r="AB2222" t="str">
            <v>ATEX22</v>
          </cell>
          <cell r="AH2222" t="str">
            <v>D149-270-X#</v>
          </cell>
        </row>
        <row r="2223">
          <cell r="A2223" t="str">
            <v>MR002215</v>
          </cell>
          <cell r="B2223" t="str">
            <v>MR</v>
          </cell>
          <cell r="C2223">
            <v>18.5</v>
          </cell>
          <cell r="D2223">
            <v>55.893000000000001</v>
          </cell>
          <cell r="E2223" t="str">
            <v>Z129</v>
          </cell>
          <cell r="F2223">
            <v>5000</v>
          </cell>
          <cell r="G2223">
            <v>26.3</v>
          </cell>
          <cell r="H2223">
            <v>1.58</v>
          </cell>
          <cell r="I2223" t="str">
            <v>M1</v>
          </cell>
          <cell r="J2223" t="str">
            <v>IE3</v>
          </cell>
          <cell r="K2223">
            <v>400</v>
          </cell>
          <cell r="L2223">
            <v>50</v>
          </cell>
          <cell r="M2223">
            <v>35</v>
          </cell>
          <cell r="N2223">
            <v>55</v>
          </cell>
          <cell r="O2223" t="str">
            <v>155(F)</v>
          </cell>
          <cell r="P2223" t="str">
            <v>270°</v>
          </cell>
          <cell r="Q2223" t="str">
            <v>-</v>
          </cell>
          <cell r="R2223" t="str">
            <v>-</v>
          </cell>
          <cell r="S2223" t="str">
            <v>-</v>
          </cell>
          <cell r="T2223" t="str">
            <v>-</v>
          </cell>
          <cell r="U2223" t="str">
            <v>-</v>
          </cell>
          <cell r="V2223" t="str">
            <v>D+R</v>
          </cell>
          <cell r="W2223" t="str">
            <v>-</v>
          </cell>
          <cell r="X2223" t="str">
            <v>CLP PG 220 (-25/+80°C)</v>
          </cell>
          <cell r="Y2223" t="str">
            <v>Z129-LES180MQ4P                                                         2KJ3111-1KL33-9AP1-Z_D01+K01+K07+K41+L02+L68+M59+N6C</v>
          </cell>
          <cell r="Z2223" t="str">
            <v>SIEMENS</v>
          </cell>
          <cell r="AA2223" t="str">
            <v>RAL5010</v>
          </cell>
          <cell r="AB2223" t="str">
            <v>ATEX22</v>
          </cell>
          <cell r="AH2223" t="str">
            <v>Z129-270-X</v>
          </cell>
        </row>
        <row r="2224">
          <cell r="A2224" t="str">
            <v>MR002216</v>
          </cell>
          <cell r="B2224" t="str">
            <v>MR</v>
          </cell>
          <cell r="C2224">
            <v>11</v>
          </cell>
          <cell r="D2224">
            <v>62.792000000000002</v>
          </cell>
          <cell r="E2224" t="str">
            <v>Z109</v>
          </cell>
          <cell r="F2224">
            <v>2920</v>
          </cell>
          <cell r="G2224">
            <v>23.49</v>
          </cell>
          <cell r="H2224">
            <v>1.75</v>
          </cell>
          <cell r="I2224" t="str">
            <v>M1</v>
          </cell>
          <cell r="J2224" t="str">
            <v>IE3</v>
          </cell>
          <cell r="K2224">
            <v>400</v>
          </cell>
          <cell r="L2224">
            <v>50</v>
          </cell>
          <cell r="M2224">
            <v>20.5</v>
          </cell>
          <cell r="N2224">
            <v>55</v>
          </cell>
          <cell r="O2224" t="str">
            <v>155(F)</v>
          </cell>
          <cell r="P2224" t="str">
            <v>270°</v>
          </cell>
          <cell r="Q2224" t="str">
            <v>-</v>
          </cell>
          <cell r="R2224" t="str">
            <v>-</v>
          </cell>
          <cell r="S2224" t="str">
            <v>-</v>
          </cell>
          <cell r="T2224" t="str">
            <v>-</v>
          </cell>
          <cell r="U2224" t="str">
            <v>-</v>
          </cell>
          <cell r="V2224" t="str">
            <v>D</v>
          </cell>
          <cell r="W2224" t="str">
            <v>-</v>
          </cell>
          <cell r="X2224" t="str">
            <v>CLP PG 220 (-25/+80°C)</v>
          </cell>
          <cell r="Y2224" t="str">
            <v>Z109-LE160MPB4P                                                                        2KJ3110-1JR23-9AQ1-Z_D01+K01+K07+K41+L02+L68+M59+N3A</v>
          </cell>
          <cell r="Z2224" t="str">
            <v>SIEMENS</v>
          </cell>
          <cell r="AA2224" t="str">
            <v>RAL5010</v>
          </cell>
          <cell r="AB2224" t="str">
            <v>ATEX22</v>
          </cell>
          <cell r="AH2224" t="str">
            <v>Z109-270-X</v>
          </cell>
        </row>
        <row r="2225">
          <cell r="A2225" t="str">
            <v>MR002217</v>
          </cell>
          <cell r="B2225" t="str">
            <v>MR</v>
          </cell>
          <cell r="C2225">
            <v>22</v>
          </cell>
          <cell r="D2225">
            <v>12.564</v>
          </cell>
          <cell r="E2225" t="str">
            <v>KAS189</v>
          </cell>
          <cell r="F2225">
            <v>19500</v>
          </cell>
          <cell r="G2225">
            <v>117</v>
          </cell>
          <cell r="H2225">
            <v>1.17</v>
          </cell>
          <cell r="I2225" t="str">
            <v>From M1A to M2A - 30°</v>
          </cell>
          <cell r="J2225" t="str">
            <v>IE3</v>
          </cell>
          <cell r="K2225">
            <v>400</v>
          </cell>
          <cell r="L2225">
            <v>50</v>
          </cell>
          <cell r="M2225">
            <v>41</v>
          </cell>
          <cell r="N2225">
            <v>55</v>
          </cell>
          <cell r="O2225" t="str">
            <v>155(F)</v>
          </cell>
          <cell r="P2225" t="str">
            <v>180°</v>
          </cell>
          <cell r="Q2225" t="str">
            <v>TF</v>
          </cell>
          <cell r="R2225" t="str">
            <v>V(VE)</v>
          </cell>
          <cell r="S2225" t="str">
            <v>-</v>
          </cell>
          <cell r="T2225" t="str">
            <v>-</v>
          </cell>
          <cell r="U2225" t="str">
            <v>-</v>
          </cell>
          <cell r="V2225" t="str">
            <v>FC</v>
          </cell>
          <cell r="W2225" t="str">
            <v>-</v>
          </cell>
          <cell r="X2225" t="str">
            <v>CLP PG 220 (-25/+80°C)</v>
          </cell>
          <cell r="Y2225" t="str">
            <v>KAS189-LES180ZLN4PF                                          KJ3515-9KN33-9AR1-Z_D11+E06+H3A+K01+K07+K41+L02+L68+M10+M23+M63+N6C+P91</v>
          </cell>
          <cell r="Z2225" t="str">
            <v>SIEMENS</v>
          </cell>
          <cell r="AA2225" t="str">
            <v>RAL5010</v>
          </cell>
          <cell r="AB2225" t="str">
            <v>ATEX22</v>
          </cell>
          <cell r="AH2225" t="str">
            <v>KAS189-A180-X#</v>
          </cell>
        </row>
        <row r="2226">
          <cell r="A2226" t="str">
            <v>MR002218</v>
          </cell>
          <cell r="B2226" t="str">
            <v>MR</v>
          </cell>
          <cell r="C2226">
            <v>22</v>
          </cell>
          <cell r="D2226">
            <v>12.564</v>
          </cell>
          <cell r="E2226" t="str">
            <v>KAS189</v>
          </cell>
          <cell r="F2226">
            <v>19500</v>
          </cell>
          <cell r="G2226">
            <v>117</v>
          </cell>
          <cell r="H2226">
            <v>1.17</v>
          </cell>
          <cell r="I2226" t="str">
            <v>From M1B to M2B - 30°</v>
          </cell>
          <cell r="J2226" t="str">
            <v>IE3</v>
          </cell>
          <cell r="K2226">
            <v>400</v>
          </cell>
          <cell r="L2226">
            <v>50</v>
          </cell>
          <cell r="M2226">
            <v>41</v>
          </cell>
          <cell r="N2226">
            <v>55</v>
          </cell>
          <cell r="O2226" t="str">
            <v>155(F)</v>
          </cell>
          <cell r="P2226" t="str">
            <v>0°</v>
          </cell>
          <cell r="Q2226" t="str">
            <v>TF</v>
          </cell>
          <cell r="R2226" t="str">
            <v>V(VE)</v>
          </cell>
          <cell r="S2226" t="str">
            <v>-</v>
          </cell>
          <cell r="T2226" t="str">
            <v>-</v>
          </cell>
          <cell r="U2226" t="str">
            <v>-</v>
          </cell>
          <cell r="V2226" t="str">
            <v>FC</v>
          </cell>
          <cell r="W2226" t="str">
            <v>-</v>
          </cell>
          <cell r="X2226" t="str">
            <v>CLP PG 220 (-25/+80°C)</v>
          </cell>
          <cell r="Y2226" t="str">
            <v>KAS189-LES180ZLN4PF                                                 2KJ3515-9KN33-9AR1-Z_D21+E06+H3A+K01+K07+K41+L02+L68+M10+M23+M55+N6C+P91</v>
          </cell>
          <cell r="Z2226" t="str">
            <v>SIEMENS</v>
          </cell>
          <cell r="AA2226" t="str">
            <v>RAL5010</v>
          </cell>
          <cell r="AB2226" t="str">
            <v>ATEX22</v>
          </cell>
          <cell r="AH2226" t="str">
            <v>KAS189-B0-X#</v>
          </cell>
        </row>
        <row r="2227">
          <cell r="A2227" t="str">
            <v>MR002219</v>
          </cell>
          <cell r="B2227" t="str">
            <v>MR</v>
          </cell>
          <cell r="C2227">
            <v>11</v>
          </cell>
          <cell r="D2227">
            <v>62.792000000000002</v>
          </cell>
          <cell r="E2227" t="str">
            <v>Z109</v>
          </cell>
          <cell r="F2227">
            <v>2920</v>
          </cell>
          <cell r="G2227">
            <v>23.49</v>
          </cell>
          <cell r="H2227">
            <v>1.75</v>
          </cell>
          <cell r="I2227" t="str">
            <v>From M1 to M4 - 15°</v>
          </cell>
          <cell r="J2227" t="str">
            <v>IE3</v>
          </cell>
          <cell r="K2227">
            <v>400</v>
          </cell>
          <cell r="L2227">
            <v>50</v>
          </cell>
          <cell r="M2227">
            <v>20.5</v>
          </cell>
          <cell r="N2227">
            <v>55</v>
          </cell>
          <cell r="O2227" t="str">
            <v>155(F)</v>
          </cell>
          <cell r="P2227" t="str">
            <v>270°</v>
          </cell>
          <cell r="Q2227" t="str">
            <v>-</v>
          </cell>
          <cell r="R2227" t="str">
            <v>-</v>
          </cell>
          <cell r="S2227" t="str">
            <v>-</v>
          </cell>
          <cell r="T2227" t="str">
            <v>-</v>
          </cell>
          <cell r="U2227" t="str">
            <v>-</v>
          </cell>
          <cell r="V2227" t="str">
            <v>D</v>
          </cell>
          <cell r="W2227" t="str">
            <v>-</v>
          </cell>
          <cell r="X2227" t="str">
            <v>CLP PG 220 (-25/+80°C)</v>
          </cell>
          <cell r="Y2227" t="str">
            <v>Z109-LE160MPB4P                                                                     2KJ3110-1JR23-9AQ1-Z_D04+E15+K01+K07+K41+L02+L68+M59+N6C</v>
          </cell>
          <cell r="Z2227" t="str">
            <v>SIEMENS</v>
          </cell>
          <cell r="AA2227" t="str">
            <v>RAL5010</v>
          </cell>
          <cell r="AB2227" t="str">
            <v>ATEX22</v>
          </cell>
          <cell r="AH2227" t="str">
            <v>Z109-270-X</v>
          </cell>
        </row>
        <row r="2228">
          <cell r="A2228" t="str">
            <v>MR002220</v>
          </cell>
          <cell r="B2228" t="str">
            <v>MR</v>
          </cell>
          <cell r="C2228">
            <v>15</v>
          </cell>
          <cell r="D2228">
            <v>39.703000000000003</v>
          </cell>
          <cell r="E2228" t="str">
            <v>Z129</v>
          </cell>
          <cell r="F2228">
            <v>5000</v>
          </cell>
          <cell r="G2228">
            <v>37.15</v>
          </cell>
          <cell r="H2228">
            <v>1.39</v>
          </cell>
          <cell r="I2228" t="str">
            <v>From M1 to M2 - 15°</v>
          </cell>
          <cell r="J2228" t="str">
            <v>IE3</v>
          </cell>
          <cell r="K2228">
            <v>400</v>
          </cell>
          <cell r="L2228">
            <v>50</v>
          </cell>
          <cell r="M2228">
            <v>28.5</v>
          </cell>
          <cell r="N2228">
            <v>55</v>
          </cell>
          <cell r="O2228" t="str">
            <v>155(F)</v>
          </cell>
          <cell r="P2228" t="str">
            <v>270°</v>
          </cell>
          <cell r="Q2228" t="str">
            <v>TF</v>
          </cell>
          <cell r="R2228" t="str">
            <v>V(VE)</v>
          </cell>
          <cell r="S2228" t="str">
            <v>-</v>
          </cell>
          <cell r="T2228" t="str">
            <v>-</v>
          </cell>
          <cell r="U2228" t="str">
            <v>-</v>
          </cell>
          <cell r="V2228" t="str">
            <v>FC</v>
          </cell>
          <cell r="W2228" t="str">
            <v>-</v>
          </cell>
          <cell r="X2228" t="str">
            <v>CLP PG 220 (-25/+80°C)</v>
          </cell>
          <cell r="Y2228" t="str">
            <v>Z129-LE160ZLL4PF                                                                             2KJ3111-1JU23-9AS1-Z_D01+E03+K01+K07+K41+L02+L68+M10+M23+M59+N6C+P91</v>
          </cell>
          <cell r="Z2228" t="str">
            <v>SIEMENS</v>
          </cell>
          <cell r="AA2228" t="str">
            <v>RAL5010</v>
          </cell>
          <cell r="AB2228" t="str">
            <v>ATEX22</v>
          </cell>
          <cell r="AH2228" t="str">
            <v>Z129-270-X#</v>
          </cell>
        </row>
        <row r="2229">
          <cell r="A2229" t="str">
            <v>MR002221</v>
          </cell>
          <cell r="B2229" t="str">
            <v>MR</v>
          </cell>
          <cell r="C2229">
            <v>15</v>
          </cell>
          <cell r="D2229">
            <v>56.082999999999998</v>
          </cell>
          <cell r="E2229" t="str">
            <v>Z129</v>
          </cell>
          <cell r="F2229">
            <v>5000</v>
          </cell>
          <cell r="G2229">
            <v>26.3</v>
          </cell>
          <cell r="H2229">
            <v>1.96</v>
          </cell>
          <cell r="I2229" t="str">
            <v>M1</v>
          </cell>
          <cell r="J2229" t="str">
            <v>IE3</v>
          </cell>
          <cell r="K2229">
            <v>400</v>
          </cell>
          <cell r="L2229">
            <v>50</v>
          </cell>
          <cell r="M2229">
            <v>28.5</v>
          </cell>
          <cell r="N2229">
            <v>55</v>
          </cell>
          <cell r="O2229" t="str">
            <v>155(F)</v>
          </cell>
          <cell r="P2229" t="str">
            <v>270°</v>
          </cell>
          <cell r="Q2229" t="str">
            <v>-</v>
          </cell>
          <cell r="R2229" t="str">
            <v>-</v>
          </cell>
          <cell r="S2229" t="str">
            <v>-</v>
          </cell>
          <cell r="T2229" t="str">
            <v>-</v>
          </cell>
          <cell r="U2229" t="str">
            <v>-</v>
          </cell>
          <cell r="V2229" t="str">
            <v>D+R</v>
          </cell>
          <cell r="W2229" t="str">
            <v>-</v>
          </cell>
          <cell r="X2229" t="str">
            <v>CLP PG 220 (-25/+80°C)</v>
          </cell>
          <cell r="Y2229" t="str">
            <v>Z129-LE160ZLL4P                                                                       2KJ3111-1JU23-9AP1-Z_D01+K01+K07+K41+L02+L68+M59+N6C</v>
          </cell>
          <cell r="Z2229" t="str">
            <v>SIEMENS</v>
          </cell>
          <cell r="AA2229" t="str">
            <v>RAL5010</v>
          </cell>
          <cell r="AB2229" t="str">
            <v>ATEX22</v>
          </cell>
          <cell r="AH2229" t="str">
            <v>Z129-270-X</v>
          </cell>
        </row>
        <row r="2230">
          <cell r="A2230" t="str">
            <v>MR002222</v>
          </cell>
          <cell r="B2230" t="str">
            <v>MR</v>
          </cell>
          <cell r="C2230">
            <v>18.5</v>
          </cell>
          <cell r="D2230">
            <v>12.564</v>
          </cell>
          <cell r="E2230" t="str">
            <v>KAS189</v>
          </cell>
          <cell r="F2230">
            <v>19500</v>
          </cell>
          <cell r="G2230">
            <v>117</v>
          </cell>
          <cell r="H2230">
            <v>1.39</v>
          </cell>
          <cell r="I2230" t="str">
            <v>M1A</v>
          </cell>
          <cell r="J2230" t="str">
            <v>IE3</v>
          </cell>
          <cell r="K2230">
            <v>400</v>
          </cell>
          <cell r="L2230">
            <v>50</v>
          </cell>
          <cell r="M2230">
            <v>35</v>
          </cell>
          <cell r="N2230">
            <v>55</v>
          </cell>
          <cell r="O2230" t="str">
            <v>155(F)</v>
          </cell>
          <cell r="P2230" t="str">
            <v>180°</v>
          </cell>
          <cell r="Q2230" t="str">
            <v>TF</v>
          </cell>
          <cell r="R2230" t="str">
            <v>V(VE)</v>
          </cell>
          <cell r="S2230" t="str">
            <v>-</v>
          </cell>
          <cell r="T2230" t="str">
            <v>-</v>
          </cell>
          <cell r="U2230" t="str">
            <v>-</v>
          </cell>
          <cell r="V2230" t="str">
            <v>FC</v>
          </cell>
          <cell r="W2230" t="str">
            <v>-</v>
          </cell>
          <cell r="X2230" t="str">
            <v>CLP PG 220 (-25/+80°C)</v>
          </cell>
          <cell r="Y2230" t="str">
            <v>KAS189-LES180MQ4PF                                                                   2KJ3515-9KL33-9AR1-Z_D11+H3A+K01+K07+K41+L02+L68+M10+M23+M63+N6C+P91</v>
          </cell>
          <cell r="Z2230" t="str">
            <v>SIEMENS</v>
          </cell>
          <cell r="AA2230" t="str">
            <v>RAL5010</v>
          </cell>
          <cell r="AB2230" t="str">
            <v>ATEX22</v>
          </cell>
          <cell r="AH2230" t="str">
            <v>KAS189-A180-X#</v>
          </cell>
        </row>
        <row r="2231">
          <cell r="A2231" t="str">
            <v>MR002223</v>
          </cell>
          <cell r="B2231" t="str">
            <v>MR</v>
          </cell>
          <cell r="C2231">
            <v>18.5</v>
          </cell>
          <cell r="D2231">
            <v>12.564</v>
          </cell>
          <cell r="E2231" t="str">
            <v>KAS189</v>
          </cell>
          <cell r="F2231">
            <v>19500</v>
          </cell>
          <cell r="G2231">
            <v>117</v>
          </cell>
          <cell r="H2231">
            <v>1.39</v>
          </cell>
          <cell r="I2231" t="str">
            <v>From M1A to M2A - 25°</v>
          </cell>
          <cell r="J2231" t="str">
            <v>IE3</v>
          </cell>
          <cell r="K2231">
            <v>400</v>
          </cell>
          <cell r="L2231">
            <v>50</v>
          </cell>
          <cell r="M2231">
            <v>35</v>
          </cell>
          <cell r="N2231">
            <v>55</v>
          </cell>
          <cell r="O2231" t="str">
            <v>155(F)</v>
          </cell>
          <cell r="P2231" t="str">
            <v>180°</v>
          </cell>
          <cell r="Q2231" t="str">
            <v>TF</v>
          </cell>
          <cell r="R2231" t="str">
            <v>V(VE)</v>
          </cell>
          <cell r="S2231" t="str">
            <v>-</v>
          </cell>
          <cell r="T2231" t="str">
            <v>-</v>
          </cell>
          <cell r="U2231" t="str">
            <v>-</v>
          </cell>
          <cell r="V2231" t="str">
            <v>FC</v>
          </cell>
          <cell r="W2231" t="str">
            <v>-</v>
          </cell>
          <cell r="X2231" t="str">
            <v>CLP PG 220 (-25/+80°C)</v>
          </cell>
          <cell r="Y2231" t="str">
            <v>KAS189-LES180MQ4PF                                                               2KJ3515-9KL33-9AR1-Z_D11+E05+H3A+K01+K07+K41+L02+L68+M10+M23+M63+N6C+P91</v>
          </cell>
          <cell r="Z2231" t="str">
            <v>SIEMENS</v>
          </cell>
          <cell r="AA2231" t="str">
            <v>RAL5010</v>
          </cell>
          <cell r="AB2231" t="str">
            <v>ATEX22</v>
          </cell>
          <cell r="AH2231" t="str">
            <v>KAS189-A180-X#</v>
          </cell>
        </row>
        <row r="2232">
          <cell r="A2232" t="str">
            <v>MR002224</v>
          </cell>
          <cell r="B2232" t="str">
            <v>MR</v>
          </cell>
          <cell r="C2232">
            <v>18.5</v>
          </cell>
          <cell r="D2232">
            <v>12.564</v>
          </cell>
          <cell r="E2232" t="str">
            <v>KAS189</v>
          </cell>
          <cell r="F2232">
            <v>19500</v>
          </cell>
          <cell r="G2232">
            <v>117</v>
          </cell>
          <cell r="H2232">
            <v>1.39</v>
          </cell>
          <cell r="I2232" t="str">
            <v>From M1B to M2B - 25°</v>
          </cell>
          <cell r="J2232" t="str">
            <v>IE3</v>
          </cell>
          <cell r="K2232">
            <v>400</v>
          </cell>
          <cell r="L2232">
            <v>50</v>
          </cell>
          <cell r="M2232">
            <v>35</v>
          </cell>
          <cell r="N2232">
            <v>55</v>
          </cell>
          <cell r="O2232" t="str">
            <v>155(F)</v>
          </cell>
          <cell r="P2232" t="str">
            <v>0°</v>
          </cell>
          <cell r="Q2232" t="str">
            <v>TF</v>
          </cell>
          <cell r="R2232" t="str">
            <v>V(VE)</v>
          </cell>
          <cell r="S2232" t="str">
            <v>-</v>
          </cell>
          <cell r="T2232" t="str">
            <v>-</v>
          </cell>
          <cell r="U2232" t="str">
            <v>-</v>
          </cell>
          <cell r="V2232" t="str">
            <v>FC</v>
          </cell>
          <cell r="W2232" t="str">
            <v>-</v>
          </cell>
          <cell r="X2232" t="str">
            <v>CLP PG 220 (-25/+80°C)</v>
          </cell>
          <cell r="Y2232" t="str">
            <v>KAS 189-LES180MQ4PF                                                                     2KJ3515-9KL33-9AR1-Z_D21+E05+H3A+K01+K07+K41+L02+L68+M10+M23+M55+N6C+P91</v>
          </cell>
          <cell r="Z2232" t="str">
            <v>SIEMENS</v>
          </cell>
          <cell r="AA2232" t="str">
            <v>RAL5010</v>
          </cell>
          <cell r="AB2232" t="str">
            <v>ATEX22</v>
          </cell>
          <cell r="AH2232" t="str">
            <v>KAS189-B0-X#</v>
          </cell>
        </row>
        <row r="2233">
          <cell r="A2233" t="str">
            <v>MR002225</v>
          </cell>
          <cell r="B2233" t="str">
            <v>MR</v>
          </cell>
          <cell r="C2233">
            <v>0.55000000000000004</v>
          </cell>
          <cell r="D2233">
            <v>3.0459999999999998</v>
          </cell>
          <cell r="E2233" t="str">
            <v>KAD89-Z39</v>
          </cell>
          <cell r="F2233">
            <v>1600</v>
          </cell>
          <cell r="G2233">
            <v>448</v>
          </cell>
          <cell r="H2233">
            <v>1.02</v>
          </cell>
          <cell r="I2233" t="str">
            <v>M3B</v>
          </cell>
          <cell r="J2233" t="str">
            <v>IE3</v>
          </cell>
          <cell r="K2233">
            <v>400</v>
          </cell>
          <cell r="L2233">
            <v>50</v>
          </cell>
          <cell r="M2233">
            <v>1.62</v>
          </cell>
          <cell r="N2233">
            <v>55</v>
          </cell>
          <cell r="O2233" t="str">
            <v>155(F)</v>
          </cell>
          <cell r="P2233" t="str">
            <v>0°</v>
          </cell>
          <cell r="Q2233" t="str">
            <v>-</v>
          </cell>
          <cell r="R2233" t="str">
            <v>-</v>
          </cell>
          <cell r="S2233" t="str">
            <v>-</v>
          </cell>
          <cell r="T2233" t="str">
            <v>(B00) L4</v>
          </cell>
          <cell r="U2233" t="str">
            <v>T</v>
          </cell>
          <cell r="V2233" t="str">
            <v>D+R</v>
          </cell>
          <cell r="W2233" t="str">
            <v>-</v>
          </cell>
          <cell r="X2233" t="str">
            <v>CLP PG 220 (-25/+80°C)</v>
          </cell>
          <cell r="Y2233" t="str">
            <v>KAD89-Z39-LE71ZMK4-L4NHA                                                                             2KJ3528-5CF21-4CE1-Z_B00+C03+C27+C47+D23+K01+K07+K41+L02+L68+M55</v>
          </cell>
          <cell r="Z2233" t="str">
            <v>SIEMENS</v>
          </cell>
          <cell r="AA2233" t="str">
            <v>RAL5010</v>
          </cell>
          <cell r="AB2233" t="str">
            <v>ATEX22</v>
          </cell>
          <cell r="AE2233" t="str">
            <v>Rectifier for brake in the terminal box</v>
          </cell>
          <cell r="AH2233" t="str">
            <v>KAD89-Z39T-B0-X</v>
          </cell>
        </row>
        <row r="2234">
          <cell r="A2234" t="str">
            <v>MR002226</v>
          </cell>
          <cell r="B2234" t="str">
            <v>MR</v>
          </cell>
          <cell r="C2234">
            <v>11</v>
          </cell>
          <cell r="D2234">
            <v>62.792000000000002</v>
          </cell>
          <cell r="E2234" t="str">
            <v>Z109</v>
          </cell>
          <cell r="F2234">
            <v>2920</v>
          </cell>
          <cell r="G2234">
            <v>23.49</v>
          </cell>
          <cell r="H2234">
            <v>1.75</v>
          </cell>
          <cell r="I2234" t="str">
            <v>M1</v>
          </cell>
          <cell r="J2234" t="str">
            <v>IE3</v>
          </cell>
          <cell r="K2234">
            <v>400</v>
          </cell>
          <cell r="L2234">
            <v>50</v>
          </cell>
          <cell r="M2234">
            <v>20.5</v>
          </cell>
          <cell r="N2234">
            <v>55</v>
          </cell>
          <cell r="O2234" t="str">
            <v>155(F)</v>
          </cell>
          <cell r="P2234" t="str">
            <v>270°</v>
          </cell>
          <cell r="Q2234" t="str">
            <v>-</v>
          </cell>
          <cell r="R2234" t="str">
            <v>-</v>
          </cell>
          <cell r="S2234" t="str">
            <v>-</v>
          </cell>
          <cell r="T2234" t="str">
            <v>-</v>
          </cell>
          <cell r="U2234" t="str">
            <v>-</v>
          </cell>
          <cell r="V2234" t="str">
            <v>D</v>
          </cell>
          <cell r="W2234" t="str">
            <v>-</v>
          </cell>
          <cell r="X2234" t="str">
            <v>CLP PG 220 (-25/+80°C)</v>
          </cell>
          <cell r="Y2234" t="str">
            <v>Z109-LE160MPB4P                                                            2KJ3110-1JR23-9AQ1-Z_D01+K01+K07+K41+L02+L68+M59+N6C</v>
          </cell>
          <cell r="Z2234" t="str">
            <v>SIEMENS</v>
          </cell>
          <cell r="AA2234" t="str">
            <v>RAL5010</v>
          </cell>
          <cell r="AB2234" t="str">
            <v>ATEX22</v>
          </cell>
          <cell r="AH2234" t="str">
            <v>Z109-270-X</v>
          </cell>
        </row>
        <row r="2235">
          <cell r="A2235" t="str">
            <v>MR002227</v>
          </cell>
          <cell r="B2235" t="str">
            <v>MR</v>
          </cell>
          <cell r="C2235">
            <v>11</v>
          </cell>
          <cell r="D2235">
            <v>62.792000000000002</v>
          </cell>
          <cell r="E2235" t="str">
            <v>Z109</v>
          </cell>
          <cell r="F2235">
            <v>2920</v>
          </cell>
          <cell r="G2235">
            <v>23.49</v>
          </cell>
          <cell r="H2235">
            <v>1.75</v>
          </cell>
          <cell r="I2235" t="str">
            <v>M1</v>
          </cell>
          <cell r="J2235" t="str">
            <v>IE3</v>
          </cell>
          <cell r="K2235">
            <v>400</v>
          </cell>
          <cell r="L2235">
            <v>50</v>
          </cell>
          <cell r="M2235">
            <v>20.5</v>
          </cell>
          <cell r="N2235">
            <v>55</v>
          </cell>
          <cell r="O2235" t="str">
            <v>155(F)</v>
          </cell>
          <cell r="P2235" t="str">
            <v>270°</v>
          </cell>
          <cell r="Q2235" t="str">
            <v>-</v>
          </cell>
          <cell r="R2235" t="str">
            <v>-</v>
          </cell>
          <cell r="S2235" t="str">
            <v>-</v>
          </cell>
          <cell r="T2235" t="str">
            <v>-</v>
          </cell>
          <cell r="U2235" t="str">
            <v>-</v>
          </cell>
          <cell r="V2235" t="str">
            <v>D+R</v>
          </cell>
          <cell r="W2235" t="str">
            <v>-</v>
          </cell>
          <cell r="X2235" t="str">
            <v>CLP PG 220 (-25/+80°C)</v>
          </cell>
          <cell r="Y2235" t="str">
            <v>Z109-LE160MPB4P                                                                2KJ3110-1JR23-9AQ1-Z_D01+K01+K07+K41+L02+L68+M59+N6C</v>
          </cell>
          <cell r="Z2235" t="str">
            <v>SIEMENS</v>
          </cell>
          <cell r="AA2235" t="str">
            <v>RAL5010</v>
          </cell>
          <cell r="AB2235" t="str">
            <v>ATEX22</v>
          </cell>
          <cell r="AH2235" t="str">
            <v>Z109-270-X</v>
          </cell>
        </row>
        <row r="2236">
          <cell r="A2236" t="str">
            <v>MR002228</v>
          </cell>
          <cell r="B2236" t="str">
            <v>MR</v>
          </cell>
          <cell r="C2236">
            <v>7.5</v>
          </cell>
          <cell r="D2236">
            <v>14.73</v>
          </cell>
          <cell r="E2236" t="str">
            <v>KAZS149</v>
          </cell>
          <cell r="F2236">
            <v>80000</v>
          </cell>
          <cell r="G2236">
            <v>99.79</v>
          </cell>
          <cell r="H2236">
            <v>1.65</v>
          </cell>
          <cell r="I2236" t="str">
            <v>M1B</v>
          </cell>
          <cell r="J2236" t="str">
            <v>IE3</v>
          </cell>
          <cell r="K2236">
            <v>400</v>
          </cell>
          <cell r="L2236">
            <v>50</v>
          </cell>
          <cell r="M2236">
            <v>14.3</v>
          </cell>
          <cell r="N2236">
            <v>55</v>
          </cell>
          <cell r="O2236" t="str">
            <v>155(F)</v>
          </cell>
          <cell r="P2236" t="str">
            <v>0°</v>
          </cell>
          <cell r="Q2236" t="str">
            <v>-</v>
          </cell>
          <cell r="R2236" t="str">
            <v>-</v>
          </cell>
          <cell r="S2236" t="str">
            <v>-</v>
          </cell>
          <cell r="T2236" t="str">
            <v>-</v>
          </cell>
          <cell r="U2236" t="str">
            <v>-</v>
          </cell>
          <cell r="V2236" t="str">
            <v>SS</v>
          </cell>
          <cell r="W2236" t="str">
            <v>-</v>
          </cell>
          <cell r="X2236" t="str">
            <v>CLP PG 220 (-25/+80°C)</v>
          </cell>
          <cell r="Y2236" t="str">
            <v>KAZS149-LE132ZMS4P                                                                   2KJ3513-9HL23-9HA2-Z_D21+G60+H3A+K01+K07+K41+L02+L68+M55+N3A</v>
          </cell>
          <cell r="Z2236" t="str">
            <v>SIEMENS</v>
          </cell>
          <cell r="AA2236" t="str">
            <v>RAL5010</v>
          </cell>
          <cell r="AB2236" t="str">
            <v>ATEX22</v>
          </cell>
          <cell r="AH2236" t="str">
            <v>KAZS149-B0-X</v>
          </cell>
        </row>
        <row r="2237">
          <cell r="A2237" t="str">
            <v>MR002229</v>
          </cell>
          <cell r="B2237" t="str">
            <v>MR</v>
          </cell>
          <cell r="C2237">
            <v>15</v>
          </cell>
          <cell r="D2237">
            <v>15.391</v>
          </cell>
          <cell r="E2237" t="str">
            <v>KAS169</v>
          </cell>
          <cell r="F2237">
            <v>13000</v>
          </cell>
          <cell r="G2237">
            <v>95.83</v>
          </cell>
          <cell r="H2237">
            <v>1.4</v>
          </cell>
          <cell r="I2237" t="str">
            <v>From M1A to M2A - 45°</v>
          </cell>
          <cell r="J2237" t="str">
            <v>IE3</v>
          </cell>
          <cell r="K2237">
            <v>400</v>
          </cell>
          <cell r="L2237">
            <v>50</v>
          </cell>
          <cell r="M2237">
            <v>28.5</v>
          </cell>
          <cell r="N2237">
            <v>55</v>
          </cell>
          <cell r="O2237" t="str">
            <v>155(F)</v>
          </cell>
          <cell r="P2237" t="str">
            <v>180°</v>
          </cell>
          <cell r="Q2237" t="str">
            <v>-</v>
          </cell>
          <cell r="R2237" t="str">
            <v>-</v>
          </cell>
          <cell r="S2237" t="str">
            <v>-</v>
          </cell>
          <cell r="T2237" t="str">
            <v>-</v>
          </cell>
          <cell r="U2237" t="str">
            <v>-</v>
          </cell>
          <cell r="V2237" t="str">
            <v>SS</v>
          </cell>
          <cell r="W2237" t="str">
            <v>-</v>
          </cell>
          <cell r="X2237" t="str">
            <v>CLP PG 220 (-25/+80°C)</v>
          </cell>
          <cell r="Y2237" t="str">
            <v>KAS169-LE160ZLL4P                                                                2KJ3514-9JU23-9AV1-Z_D11+E09+H3A+K01+K07+K41+L02+L68+M63+N6C</v>
          </cell>
          <cell r="Z2237" t="str">
            <v>SIEMENS</v>
          </cell>
          <cell r="AA2237" t="str">
            <v>RAL5010</v>
          </cell>
          <cell r="AB2237" t="str">
            <v>ATEX22</v>
          </cell>
          <cell r="AH2237" t="str">
            <v>KAS169-A180-X</v>
          </cell>
        </row>
        <row r="2238">
          <cell r="A2238" t="str">
            <v>MR002230</v>
          </cell>
          <cell r="B2238" t="str">
            <v>MR</v>
          </cell>
          <cell r="C2238">
            <v>7.5</v>
          </cell>
          <cell r="D2238">
            <v>14.73</v>
          </cell>
          <cell r="E2238" t="str">
            <v>KAZS149</v>
          </cell>
          <cell r="F2238">
            <v>8000</v>
          </cell>
          <cell r="G2238">
            <v>99.79</v>
          </cell>
          <cell r="H2238">
            <v>1.65</v>
          </cell>
          <cell r="I2238" t="str">
            <v>M1A</v>
          </cell>
          <cell r="J2238" t="str">
            <v>IE3</v>
          </cell>
          <cell r="K2238">
            <v>400</v>
          </cell>
          <cell r="L2238">
            <v>50</v>
          </cell>
          <cell r="M2238">
            <v>14.3</v>
          </cell>
          <cell r="N2238">
            <v>55</v>
          </cell>
          <cell r="O2238" t="str">
            <v>155(F)</v>
          </cell>
          <cell r="P2238" t="str">
            <v>180°</v>
          </cell>
          <cell r="Q2238" t="str">
            <v>-</v>
          </cell>
          <cell r="R2238" t="str">
            <v>-</v>
          </cell>
          <cell r="S2238" t="str">
            <v>-</v>
          </cell>
          <cell r="T2238" t="str">
            <v>-</v>
          </cell>
          <cell r="U2238" t="str">
            <v>-</v>
          </cell>
          <cell r="V2238" t="str">
            <v>SS</v>
          </cell>
          <cell r="W2238" t="str">
            <v>-</v>
          </cell>
          <cell r="X2238" t="str">
            <v>CLP PG 220 (-25/+80°C)</v>
          </cell>
          <cell r="Y2238" t="str">
            <v>KAZS149-LE132ZMS4P                                                                 2KJ3513-9HL23-9HA2-Z_D11+G60+H3A+K01+K07+K41+L02+L68+M63+N3A</v>
          </cell>
          <cell r="Z2238" t="str">
            <v>SIEMENS</v>
          </cell>
          <cell r="AA2238" t="str">
            <v>RAL5010</v>
          </cell>
          <cell r="AB2238" t="str">
            <v>ATEX22</v>
          </cell>
          <cell r="AH2238" t="str">
            <v>KAZS149-A180-X</v>
          </cell>
        </row>
        <row r="2239">
          <cell r="A2239" t="str">
            <v>MR002231</v>
          </cell>
          <cell r="B2239" t="str">
            <v>MR</v>
          </cell>
          <cell r="C2239">
            <v>7.5</v>
          </cell>
          <cell r="D2239">
            <v>64.135999999999996</v>
          </cell>
          <cell r="E2239" t="str">
            <v>Z89</v>
          </cell>
          <cell r="F2239">
            <v>1680</v>
          </cell>
          <cell r="G2239">
            <v>22.92</v>
          </cell>
          <cell r="H2239">
            <v>1.5</v>
          </cell>
          <cell r="I2239" t="str">
            <v>M1</v>
          </cell>
          <cell r="J2239" t="str">
            <v>IE3</v>
          </cell>
          <cell r="K2239">
            <v>400</v>
          </cell>
          <cell r="L2239">
            <v>50</v>
          </cell>
          <cell r="M2239">
            <v>14.3</v>
          </cell>
          <cell r="N2239">
            <v>55</v>
          </cell>
          <cell r="O2239" t="str">
            <v>155(F)</v>
          </cell>
          <cell r="P2239" t="str">
            <v>270°</v>
          </cell>
          <cell r="Q2239" t="str">
            <v>-</v>
          </cell>
          <cell r="R2239" t="str">
            <v>-</v>
          </cell>
          <cell r="S2239" t="str">
            <v>-</v>
          </cell>
          <cell r="T2239" t="str">
            <v>-</v>
          </cell>
          <cell r="U2239" t="str">
            <v>-</v>
          </cell>
          <cell r="V2239" t="str">
            <v>D</v>
          </cell>
          <cell r="W2239" t="str">
            <v>-</v>
          </cell>
          <cell r="X2239" t="str">
            <v>CLP PG 220 (-25/+80°C)</v>
          </cell>
          <cell r="Y2239" t="str">
            <v>Z89-LE132ZMS4P                                                                    2KJ3108-1HL23-9AP1-Z_D01+K01+K07+K41+L02+L68+M59+N3A</v>
          </cell>
          <cell r="Z2239" t="str">
            <v>SIEMENS</v>
          </cell>
          <cell r="AA2239" t="str">
            <v>RAL5010</v>
          </cell>
          <cell r="AB2239" t="str">
            <v>ATEX22</v>
          </cell>
          <cell r="AH2239" t="str">
            <v>Z89-270-X</v>
          </cell>
        </row>
        <row r="2240">
          <cell r="A2240" t="str">
            <v>MR002232</v>
          </cell>
          <cell r="B2240" t="str">
            <v>MR</v>
          </cell>
          <cell r="C2240">
            <v>0.55000000000000004</v>
          </cell>
          <cell r="D2240">
            <v>29.488</v>
          </cell>
          <cell r="E2240" t="str">
            <v>FZAD39</v>
          </cell>
          <cell r="F2240">
            <v>255</v>
          </cell>
          <cell r="G2240">
            <v>46.29</v>
          </cell>
          <cell r="H2240">
            <v>1.43</v>
          </cell>
          <cell r="I2240" t="str">
            <v>M5</v>
          </cell>
          <cell r="J2240" t="str">
            <v>IE3</v>
          </cell>
          <cell r="K2240">
            <v>400</v>
          </cell>
          <cell r="L2240">
            <v>50</v>
          </cell>
          <cell r="M2240">
            <v>1.62</v>
          </cell>
          <cell r="N2240">
            <v>55</v>
          </cell>
          <cell r="O2240" t="str">
            <v>155(F)</v>
          </cell>
          <cell r="P2240" t="str">
            <v>180°</v>
          </cell>
          <cell r="Q2240" t="str">
            <v>-</v>
          </cell>
          <cell r="R2240" t="str">
            <v>-</v>
          </cell>
          <cell r="S2240" t="str">
            <v>-</v>
          </cell>
          <cell r="T2240" t="str">
            <v>(B00) L4</v>
          </cell>
          <cell r="U2240" t="str">
            <v>G</v>
          </cell>
          <cell r="V2240" t="str">
            <v>D+R</v>
          </cell>
          <cell r="W2240" t="str">
            <v>-</v>
          </cell>
          <cell r="X2240" t="str">
            <v>CLP PG 220 (-25/+80°C)</v>
          </cell>
          <cell r="Y2240" t="str">
            <v>FZAD39-LE71ZMK4-L4NHA                                                                         2KJ3302-5CF21-4DW1-Z_B00+C03+C26+C47+D05+K01+K07+K41+L02+L68+M63</v>
          </cell>
          <cell r="Z2240" t="str">
            <v>SIEMENS</v>
          </cell>
          <cell r="AA2240" t="str">
            <v>RAL5010</v>
          </cell>
          <cell r="AB2240" t="str">
            <v>ATEX22</v>
          </cell>
          <cell r="AE2240" t="str">
            <v>Rectifier for brake in the terminal box</v>
          </cell>
          <cell r="AH2240" t="str">
            <v>FZAD39G-180-X</v>
          </cell>
        </row>
        <row r="2241">
          <cell r="A2241" t="str">
            <v>MR002233</v>
          </cell>
          <cell r="B2241" t="str">
            <v>MR</v>
          </cell>
          <cell r="C2241">
            <v>0.55000000000000004</v>
          </cell>
          <cell r="D2241">
            <v>29.488</v>
          </cell>
          <cell r="E2241" t="str">
            <v>FZAD39</v>
          </cell>
          <cell r="F2241">
            <v>255</v>
          </cell>
          <cell r="G2241">
            <v>46.29</v>
          </cell>
          <cell r="H2241">
            <v>1.43</v>
          </cell>
          <cell r="I2241" t="str">
            <v>M6</v>
          </cell>
          <cell r="J2241" t="str">
            <v>IE3</v>
          </cell>
          <cell r="K2241">
            <v>400</v>
          </cell>
          <cell r="L2241">
            <v>50</v>
          </cell>
          <cell r="M2241">
            <v>1.62</v>
          </cell>
          <cell r="N2241">
            <v>55</v>
          </cell>
          <cell r="O2241" t="str">
            <v>155(F)</v>
          </cell>
          <cell r="P2241" t="str">
            <v>0°</v>
          </cell>
          <cell r="Q2241" t="str">
            <v>-</v>
          </cell>
          <cell r="R2241" t="str">
            <v>-</v>
          </cell>
          <cell r="S2241" t="str">
            <v>-</v>
          </cell>
          <cell r="T2241" t="str">
            <v>(B00) L4</v>
          </cell>
          <cell r="U2241" t="str">
            <v>G</v>
          </cell>
          <cell r="V2241" t="str">
            <v>D+R</v>
          </cell>
          <cell r="W2241" t="str">
            <v>-</v>
          </cell>
          <cell r="X2241" t="str">
            <v>CLP PG 220 (-25/+80°C)</v>
          </cell>
          <cell r="Y2241" t="str">
            <v>FZAD39-LE71ZMK4-L4NHA                                                           2KJ3302-5CF21-4DW1-Z_B00+C03+C26+C47+D06+K01+K07+K41+L02+L68+M63</v>
          </cell>
          <cell r="Z2241" t="str">
            <v>SIEMENS</v>
          </cell>
          <cell r="AA2241" t="str">
            <v>RAL5010</v>
          </cell>
          <cell r="AB2241" t="str">
            <v>ATEX22</v>
          </cell>
          <cell r="AE2241" t="str">
            <v>Rectifier for brake in the terminal box</v>
          </cell>
          <cell r="AH2241" t="str">
            <v>FZAD39G-0-X</v>
          </cell>
        </row>
        <row r="2242">
          <cell r="A2242" t="str">
            <v>MR002234</v>
          </cell>
          <cell r="B2242" t="str">
            <v>R</v>
          </cell>
          <cell r="D2242">
            <v>16.683</v>
          </cell>
          <cell r="E2242" t="str">
            <v>D129</v>
          </cell>
          <cell r="F2242">
            <v>5000</v>
          </cell>
          <cell r="G2242">
            <v>89.91</v>
          </cell>
          <cell r="H2242">
            <v>1.59</v>
          </cell>
          <cell r="I2242" t="str">
            <v>From M1 to M5 - 45°</v>
          </cell>
          <cell r="Q2242" t="str">
            <v>-</v>
          </cell>
          <cell r="R2242" t="str">
            <v>-</v>
          </cell>
          <cell r="S2242" t="str">
            <v>-</v>
          </cell>
          <cell r="T2242" t="str">
            <v>-</v>
          </cell>
          <cell r="U2242" t="str">
            <v>T</v>
          </cell>
          <cell r="W2242" t="str">
            <v>-</v>
          </cell>
          <cell r="X2242" t="str">
            <v>CLP PG 220 (-25/+80°C)</v>
          </cell>
          <cell r="Y2242" t="str">
            <v>D129-K4-(132)                                                         2KJ3211-1HA04-0AD1-Z_D01+E29+K07+K41+K74+K75+K81+L02+L68+Y00</v>
          </cell>
          <cell r="Z2242" t="str">
            <v>SIEMENS</v>
          </cell>
          <cell r="AA2242" t="str">
            <v>RAL5010</v>
          </cell>
          <cell r="AB2242" t="str">
            <v>ATEX22</v>
          </cell>
          <cell r="AH2242" t="str">
            <v>D129T--X</v>
          </cell>
        </row>
        <row r="2243">
          <cell r="A2243" t="str">
            <v>MR002234.1</v>
          </cell>
          <cell r="B2243" t="str">
            <v>ME</v>
          </cell>
          <cell r="C2243">
            <v>5.5</v>
          </cell>
          <cell r="D2243">
            <v>1470</v>
          </cell>
          <cell r="E2243" t="str">
            <v>1CV3130B</v>
          </cell>
          <cell r="F2243">
            <v>35.5</v>
          </cell>
          <cell r="J2243" t="str">
            <v>IE3</v>
          </cell>
          <cell r="K2243">
            <v>400</v>
          </cell>
          <cell r="L2243">
            <v>50</v>
          </cell>
          <cell r="M2243">
            <v>10.8</v>
          </cell>
          <cell r="N2243">
            <v>55</v>
          </cell>
          <cell r="O2243" t="str">
            <v>155(F)</v>
          </cell>
          <cell r="P2243" t="str">
            <v>270°</v>
          </cell>
          <cell r="Q2243" t="str">
            <v>TF</v>
          </cell>
          <cell r="R2243" t="str">
            <v>V(VE)</v>
          </cell>
          <cell r="S2243" t="str">
            <v>-</v>
          </cell>
          <cell r="T2243" t="str">
            <v>-</v>
          </cell>
          <cell r="V2243" t="str">
            <v>FC</v>
          </cell>
          <cell r="W2243" t="str">
            <v>-</v>
          </cell>
          <cell r="Y2243" t="str">
            <v>1MB1523-1CB09-0FB4-Z_B43+F70+M10+M4B+Y53</v>
          </cell>
          <cell r="Z2243" t="str">
            <v>SIEMENS</v>
          </cell>
          <cell r="AA2243" t="str">
            <v>RAL5010</v>
          </cell>
          <cell r="AB2243" t="str">
            <v>ATEX22</v>
          </cell>
          <cell r="AF2243">
            <v>1470</v>
          </cell>
          <cell r="AH2243" t="str">
            <v>1CV3130B-270-X#</v>
          </cell>
        </row>
        <row r="2244">
          <cell r="A2244" t="str">
            <v>MR002235</v>
          </cell>
          <cell r="B2244" t="str">
            <v>R</v>
          </cell>
          <cell r="D2244">
            <v>44.378999999999998</v>
          </cell>
          <cell r="E2244" t="str">
            <v>FZAD89-K4-(132)</v>
          </cell>
          <cell r="F2244">
            <v>1850</v>
          </cell>
          <cell r="G2244">
            <v>33.799999999999997</v>
          </cell>
          <cell r="H2244">
            <v>1.56</v>
          </cell>
          <cell r="I2244" t="str">
            <v>From M3 to M4 - 35°</v>
          </cell>
          <cell r="Q2244" t="str">
            <v>-</v>
          </cell>
          <cell r="R2244" t="str">
            <v>-</v>
          </cell>
          <cell r="S2244" t="str">
            <v>-</v>
          </cell>
          <cell r="T2244" t="str">
            <v>-</v>
          </cell>
          <cell r="U2244" t="str">
            <v>G</v>
          </cell>
          <cell r="W2244" t="str">
            <v>-</v>
          </cell>
          <cell r="X2244" t="str">
            <v>CLP PG 220 (-25/+80°C)</v>
          </cell>
          <cell r="Y2244" t="str">
            <v xml:space="preserve">2KJ3306-5HA04-0DT1-Z_D03+E07+K07+K41+K74+K75+K81+L02+L68+Y00                                 </v>
          </cell>
          <cell r="Z2244" t="str">
            <v>SIEMENS</v>
          </cell>
          <cell r="AA2244" t="str">
            <v>RAL5010</v>
          </cell>
          <cell r="AB2244" t="str">
            <v>ATEX22</v>
          </cell>
          <cell r="AH2244" t="str">
            <v>FZAD89-K4-(132)G--X</v>
          </cell>
        </row>
        <row r="2245">
          <cell r="A2245" t="str">
            <v>MR002235.1</v>
          </cell>
          <cell r="B2245" t="str">
            <v>ME</v>
          </cell>
          <cell r="C2245">
            <v>5.5</v>
          </cell>
          <cell r="D2245">
            <v>1470</v>
          </cell>
          <cell r="E2245" t="str">
            <v>1CV3130B</v>
          </cell>
          <cell r="F2245">
            <v>35.5</v>
          </cell>
          <cell r="J2245" t="str">
            <v>IE3</v>
          </cell>
          <cell r="K2245">
            <v>400</v>
          </cell>
          <cell r="L2245">
            <v>50</v>
          </cell>
          <cell r="M2245">
            <v>10.8</v>
          </cell>
          <cell r="N2245">
            <v>55</v>
          </cell>
          <cell r="O2245" t="str">
            <v>155(F)</v>
          </cell>
          <cell r="P2245" t="str">
            <v>270°</v>
          </cell>
          <cell r="Q2245" t="str">
            <v>-</v>
          </cell>
          <cell r="R2245" t="str">
            <v>-</v>
          </cell>
          <cell r="S2245" t="str">
            <v>-</v>
          </cell>
          <cell r="T2245" t="str">
            <v>-</v>
          </cell>
          <cell r="V2245" t="str">
            <v>D</v>
          </cell>
          <cell r="W2245" t="str">
            <v>-</v>
          </cell>
          <cell r="Y2245" t="str">
            <v>1MB1523-1CB02-2FA4-Z_M10+Y53</v>
          </cell>
          <cell r="Z2245" t="str">
            <v>SIEMENS</v>
          </cell>
          <cell r="AA2245" t="str">
            <v>RAL5010</v>
          </cell>
          <cell r="AB2245" t="str">
            <v>ATEX22</v>
          </cell>
          <cell r="AF2245">
            <v>1470</v>
          </cell>
          <cell r="AH2245" t="str">
            <v>1CV3130B-270-X</v>
          </cell>
        </row>
        <row r="2246">
          <cell r="A2246" t="str">
            <v>MR002236</v>
          </cell>
          <cell r="B2246" t="str">
            <v>MR</v>
          </cell>
          <cell r="C2246">
            <v>3</v>
          </cell>
          <cell r="D2246">
            <v>10.101000000000001</v>
          </cell>
          <cell r="E2246" t="str">
            <v>KAZS129</v>
          </cell>
          <cell r="F2246">
            <v>4400</v>
          </cell>
          <cell r="G2246">
            <v>144.53</v>
          </cell>
          <cell r="H2246">
            <v>1.55</v>
          </cell>
          <cell r="I2246" t="str">
            <v>From M4B to M3B - 20°</v>
          </cell>
          <cell r="J2246" t="str">
            <v>IE3</v>
          </cell>
          <cell r="K2246">
            <v>400</v>
          </cell>
          <cell r="L2246">
            <v>50</v>
          </cell>
          <cell r="M2246">
            <v>5.9</v>
          </cell>
          <cell r="N2246">
            <v>55</v>
          </cell>
          <cell r="O2246" t="str">
            <v>155(F)</v>
          </cell>
          <cell r="P2246" t="str">
            <v>270°</v>
          </cell>
          <cell r="Q2246" t="str">
            <v>TF</v>
          </cell>
          <cell r="R2246" t="str">
            <v>V(VE)</v>
          </cell>
          <cell r="S2246" t="str">
            <v>-</v>
          </cell>
          <cell r="T2246" t="str">
            <v>-</v>
          </cell>
          <cell r="U2246" t="str">
            <v>-</v>
          </cell>
          <cell r="V2246" t="str">
            <v>FC</v>
          </cell>
          <cell r="W2246" t="str">
            <v>-</v>
          </cell>
          <cell r="X2246" t="str">
            <v>CLP PG 220 (-25/+80°C)</v>
          </cell>
          <cell r="Y2246" t="str">
            <v>KAZS129-LE100ZLSB4PF                                                                   2KJ3512-9FP23-4HD2-Z_D23+E14+G60+H3A+K01+K07+K41+L02+L68+M10+M23+M59+P91</v>
          </cell>
          <cell r="Z2246" t="str">
            <v>SIEMENS</v>
          </cell>
          <cell r="AA2246" t="str">
            <v>RAL5010</v>
          </cell>
          <cell r="AB2246" t="str">
            <v>ATEX22</v>
          </cell>
          <cell r="AH2246" t="str">
            <v>KAZS129-B270-X#</v>
          </cell>
        </row>
        <row r="2247">
          <cell r="A2247" t="str">
            <v>MR002237</v>
          </cell>
          <cell r="B2247" t="str">
            <v>MR</v>
          </cell>
          <cell r="C2247">
            <v>7.5</v>
          </cell>
          <cell r="D2247">
            <v>20.91</v>
          </cell>
          <cell r="E2247" t="str">
            <v>KAZS129</v>
          </cell>
          <cell r="F2247">
            <v>4400</v>
          </cell>
          <cell r="G2247">
            <v>70.03</v>
          </cell>
          <cell r="H2247">
            <v>1.29</v>
          </cell>
          <cell r="I2247" t="str">
            <v>From M4B to M3B - 30°</v>
          </cell>
          <cell r="J2247" t="str">
            <v>IE3</v>
          </cell>
          <cell r="K2247">
            <v>400</v>
          </cell>
          <cell r="L2247">
            <v>50</v>
          </cell>
          <cell r="M2247">
            <v>14.3</v>
          </cell>
          <cell r="N2247">
            <v>55</v>
          </cell>
          <cell r="O2247" t="str">
            <v>155(F)</v>
          </cell>
          <cell r="P2247" t="str">
            <v>270°</v>
          </cell>
          <cell r="Q2247" t="str">
            <v>TF</v>
          </cell>
          <cell r="R2247" t="str">
            <v>V(VE)</v>
          </cell>
          <cell r="S2247" t="str">
            <v>-</v>
          </cell>
          <cell r="T2247" t="str">
            <v>-</v>
          </cell>
          <cell r="U2247" t="str">
            <v>-</v>
          </cell>
          <cell r="V2247" t="str">
            <v>FC</v>
          </cell>
          <cell r="W2247" t="str">
            <v>-</v>
          </cell>
          <cell r="X2247" t="str">
            <v>CLP PG 220 (-25/+80°C)</v>
          </cell>
          <cell r="Y2247" t="str">
            <v>KAZS129-LE132ZMS4PF                                                                      2KJ3512-9HL23-9HV1-Z_D23+E12+G60+H3A+K01+K07+K41+L02+L68+M10+M23+M59+N3A+P91</v>
          </cell>
          <cell r="Z2247" t="str">
            <v>SIEMENS</v>
          </cell>
          <cell r="AA2247" t="str">
            <v>RAL5010</v>
          </cell>
          <cell r="AB2247" t="str">
            <v>ATEX22</v>
          </cell>
          <cell r="AH2247" t="str">
            <v>KAZS129-B270-X#</v>
          </cell>
        </row>
        <row r="2248">
          <cell r="A2248" t="str">
            <v>MR002238</v>
          </cell>
          <cell r="B2248" t="str">
            <v>MR</v>
          </cell>
          <cell r="C2248">
            <v>7.5</v>
          </cell>
          <cell r="D2248">
            <v>20.991</v>
          </cell>
          <cell r="E2248" t="str">
            <v>KAZS129</v>
          </cell>
          <cell r="F2248">
            <v>4400</v>
          </cell>
          <cell r="G2248">
            <v>70.03</v>
          </cell>
          <cell r="H2248">
            <v>1.29</v>
          </cell>
          <cell r="I2248" t="str">
            <v>From M4B to M3B - 10°</v>
          </cell>
          <cell r="J2248" t="str">
            <v>IE3</v>
          </cell>
          <cell r="K2248">
            <v>400</v>
          </cell>
          <cell r="L2248">
            <v>50</v>
          </cell>
          <cell r="M2248">
            <v>14.3</v>
          </cell>
          <cell r="N2248">
            <v>55</v>
          </cell>
          <cell r="O2248" t="str">
            <v>155(F)</v>
          </cell>
          <cell r="P2248" t="str">
            <v>270°</v>
          </cell>
          <cell r="Q2248" t="str">
            <v>TF</v>
          </cell>
          <cell r="R2248" t="str">
            <v>V(VE)</v>
          </cell>
          <cell r="S2248" t="str">
            <v>-</v>
          </cell>
          <cell r="T2248" t="str">
            <v>-</v>
          </cell>
          <cell r="U2248" t="str">
            <v>-</v>
          </cell>
          <cell r="V2248" t="str">
            <v>FC</v>
          </cell>
          <cell r="W2248" t="str">
            <v>-</v>
          </cell>
          <cell r="X2248" t="str">
            <v>CLP PG 220 (-25/+80°C)</v>
          </cell>
          <cell r="Y2248" t="str">
            <v>KAZS129-LE132ZMS4PF                                                   2KJ3512-9HL23-9HV1-Z_D23+E16+G60+H3A+K01+K07+K41+L02+L68+M10+M23+M59+N3A+P91</v>
          </cell>
          <cell r="Z2248" t="str">
            <v>SIEMENS</v>
          </cell>
          <cell r="AA2248" t="str">
            <v>RAL5010</v>
          </cell>
          <cell r="AB2248" t="str">
            <v>ATEX22</v>
          </cell>
          <cell r="AH2248" t="str">
            <v>KAZS129-B270-X#</v>
          </cell>
        </row>
        <row r="2249">
          <cell r="A2249" t="str">
            <v>MR002239</v>
          </cell>
          <cell r="B2249" t="str">
            <v>MR</v>
          </cell>
          <cell r="C2249">
            <v>7.5</v>
          </cell>
          <cell r="D2249">
            <v>20.991</v>
          </cell>
          <cell r="E2249" t="str">
            <v>KAZS129</v>
          </cell>
          <cell r="F2249">
            <v>4400</v>
          </cell>
          <cell r="G2249">
            <v>70.03</v>
          </cell>
          <cell r="H2249">
            <v>1.29</v>
          </cell>
          <cell r="I2249" t="str">
            <v>From M4A to M3A - 30°</v>
          </cell>
          <cell r="J2249" t="str">
            <v>IE3</v>
          </cell>
          <cell r="K2249">
            <v>400</v>
          </cell>
          <cell r="L2249">
            <v>50</v>
          </cell>
          <cell r="M2249">
            <v>14.3</v>
          </cell>
          <cell r="N2249">
            <v>55</v>
          </cell>
          <cell r="O2249" t="str">
            <v>155(F)</v>
          </cell>
          <cell r="P2249" t="str">
            <v>270°</v>
          </cell>
          <cell r="Q2249" t="str">
            <v>TF</v>
          </cell>
          <cell r="R2249" t="str">
            <v>V(VE)</v>
          </cell>
          <cell r="S2249" t="str">
            <v>-</v>
          </cell>
          <cell r="T2249" t="str">
            <v>-</v>
          </cell>
          <cell r="U2249" t="str">
            <v>-</v>
          </cell>
          <cell r="V2249" t="str">
            <v>FC</v>
          </cell>
          <cell r="W2249" t="str">
            <v>-</v>
          </cell>
          <cell r="X2249" t="str">
            <v>CLP PG 220 (-25/+80°C)</v>
          </cell>
          <cell r="Y2249" t="str">
            <v>KAZS129-LE132ZMS4PF                                                                   2KJ3512-9HL23-9HV1-Z_D13+E12+G60+H3A+K01+K07+K41+L02+L68+M10+M23+M59+N3A+P91</v>
          </cell>
          <cell r="Z2249" t="str">
            <v>SIEMENS</v>
          </cell>
          <cell r="AA2249" t="str">
            <v>RAL5010</v>
          </cell>
          <cell r="AB2249" t="str">
            <v>ATEX22</v>
          </cell>
          <cell r="AH2249" t="str">
            <v>KAZS129-A270-X#</v>
          </cell>
        </row>
        <row r="2250">
          <cell r="A2250" t="str">
            <v>MR002240</v>
          </cell>
          <cell r="B2250" t="str">
            <v>MR</v>
          </cell>
          <cell r="C2250">
            <v>11</v>
          </cell>
          <cell r="D2250">
            <v>14.781000000000001</v>
          </cell>
          <cell r="E2250" t="str">
            <v>KAZS149</v>
          </cell>
          <cell r="F2250">
            <v>8000</v>
          </cell>
          <cell r="G2250">
            <v>99.79</v>
          </cell>
          <cell r="H2250">
            <v>1.1299999999999999</v>
          </cell>
          <cell r="I2250" t="str">
            <v>From M1A to M2A - 20°</v>
          </cell>
          <cell r="J2250" t="str">
            <v>IE3</v>
          </cell>
          <cell r="K2250">
            <v>400</v>
          </cell>
          <cell r="L2250">
            <v>50</v>
          </cell>
          <cell r="M2250">
            <v>20.5</v>
          </cell>
          <cell r="N2250">
            <v>55</v>
          </cell>
          <cell r="O2250" t="str">
            <v>155(F)</v>
          </cell>
          <cell r="P2250" t="str">
            <v>180°</v>
          </cell>
          <cell r="Q2250" t="str">
            <v>-</v>
          </cell>
          <cell r="R2250" t="str">
            <v>-</v>
          </cell>
          <cell r="S2250" t="str">
            <v>-</v>
          </cell>
          <cell r="T2250" t="str">
            <v>-</v>
          </cell>
          <cell r="U2250" t="str">
            <v>-</v>
          </cell>
          <cell r="V2250" t="str">
            <v>SS</v>
          </cell>
          <cell r="W2250" t="str">
            <v>-</v>
          </cell>
          <cell r="X2250" t="str">
            <v>CLP PG 220 (-25/+80°C)</v>
          </cell>
          <cell r="Y2250" t="str">
            <v>KAZS149-LE160MOB4P                                               2KJ3513-9JR23-9HA2-Z_D11+E04+G60+H3A+K01+K07+K41+L02+L68+M63+N3A</v>
          </cell>
          <cell r="Z2250" t="str">
            <v>SIEMENS</v>
          </cell>
          <cell r="AA2250" t="str">
            <v>RAL5010</v>
          </cell>
          <cell r="AB2250" t="str">
            <v>ATEX22</v>
          </cell>
          <cell r="AH2250" t="str">
            <v>KAZS149-A180-X</v>
          </cell>
        </row>
        <row r="2251">
          <cell r="A2251" t="str">
            <v>MR002241</v>
          </cell>
          <cell r="B2251" t="str">
            <v>MR</v>
          </cell>
          <cell r="C2251">
            <v>11</v>
          </cell>
          <cell r="D2251">
            <v>14.781000000000001</v>
          </cell>
          <cell r="E2251" t="str">
            <v>KAZS149</v>
          </cell>
          <cell r="F2251">
            <v>8000</v>
          </cell>
          <cell r="G2251">
            <v>99.79</v>
          </cell>
          <cell r="H2251">
            <v>1.1299999999999999</v>
          </cell>
          <cell r="I2251" t="str">
            <v>From M1B to M2B - 20°</v>
          </cell>
          <cell r="J2251" t="str">
            <v>IE3</v>
          </cell>
          <cell r="K2251">
            <v>400</v>
          </cell>
          <cell r="L2251">
            <v>50</v>
          </cell>
          <cell r="M2251">
            <v>20.5</v>
          </cell>
          <cell r="N2251">
            <v>55</v>
          </cell>
          <cell r="O2251" t="str">
            <v>155(F)</v>
          </cell>
          <cell r="P2251" t="str">
            <v>0°</v>
          </cell>
          <cell r="Q2251" t="str">
            <v>-</v>
          </cell>
          <cell r="R2251" t="str">
            <v>-</v>
          </cell>
          <cell r="S2251" t="str">
            <v>-</v>
          </cell>
          <cell r="T2251" t="str">
            <v>-</v>
          </cell>
          <cell r="U2251" t="str">
            <v>-</v>
          </cell>
          <cell r="V2251" t="str">
            <v>SS</v>
          </cell>
          <cell r="W2251" t="str">
            <v>-</v>
          </cell>
          <cell r="X2251" t="str">
            <v>CLP PG 220 (-25/+80°C)</v>
          </cell>
          <cell r="Y2251" t="str">
            <v>KAZS149-LE160MPB4P                                               2KJ3513-9JR23-9HA2-Z_D21+E04+G60+H3A+K01+K07+K41+L02+L68+M55+N3A</v>
          </cell>
          <cell r="Z2251" t="str">
            <v>SIEMENS</v>
          </cell>
          <cell r="AA2251" t="str">
            <v>RAL5010</v>
          </cell>
          <cell r="AB2251" t="str">
            <v>ATEX22</v>
          </cell>
          <cell r="AH2251" t="str">
            <v>KAZS149-B0-X</v>
          </cell>
        </row>
        <row r="2252">
          <cell r="A2252" t="str">
            <v>MR002242</v>
          </cell>
          <cell r="B2252" t="str">
            <v>MR</v>
          </cell>
          <cell r="C2252">
            <v>5.5</v>
          </cell>
          <cell r="D2252">
            <v>59.131</v>
          </cell>
          <cell r="E2252" t="str">
            <v>KAZS149</v>
          </cell>
          <cell r="F2252">
            <v>1600</v>
          </cell>
          <cell r="G2252">
            <v>24.86</v>
          </cell>
          <cell r="H2252">
            <v>1.8</v>
          </cell>
          <cell r="I2252" t="str">
            <v>M4A</v>
          </cell>
          <cell r="J2252" t="str">
            <v>IE3</v>
          </cell>
          <cell r="K2252">
            <v>400</v>
          </cell>
          <cell r="L2252">
            <v>50</v>
          </cell>
          <cell r="M2252">
            <v>10.5</v>
          </cell>
          <cell r="N2252">
            <v>55</v>
          </cell>
          <cell r="O2252" t="str">
            <v>155(F)</v>
          </cell>
          <cell r="P2252" t="str">
            <v>270°</v>
          </cell>
          <cell r="Q2252" t="str">
            <v>-</v>
          </cell>
          <cell r="R2252" t="str">
            <v>-</v>
          </cell>
          <cell r="S2252" t="str">
            <v>-</v>
          </cell>
          <cell r="T2252" t="str">
            <v>-</v>
          </cell>
          <cell r="U2252" t="str">
            <v>T</v>
          </cell>
          <cell r="V2252" t="str">
            <v>SS</v>
          </cell>
          <cell r="W2252" t="str">
            <v>-</v>
          </cell>
          <cell r="X2252" t="str">
            <v>CLP PG 220 (-25/+80°C)</v>
          </cell>
          <cell r="Y2252" t="str">
            <v>KADS89-LE132ZST4P                                                           2KJ3510-9HJ23-9CM1-Z_D14+H3A+K01+K07+L02+L75+M59+N3A</v>
          </cell>
          <cell r="Z2252" t="str">
            <v>SIEMENS</v>
          </cell>
          <cell r="AA2252" t="str">
            <v>RAL5010</v>
          </cell>
          <cell r="AB2252" t="str">
            <v>ATEX22</v>
          </cell>
          <cell r="AH2252" t="str">
            <v>KAZS149T-A270-X</v>
          </cell>
        </row>
        <row r="2253">
          <cell r="A2253" t="str">
            <v>MR002243</v>
          </cell>
          <cell r="B2253" t="str">
            <v>MR</v>
          </cell>
          <cell r="C2253">
            <v>2.2000000000000002</v>
          </cell>
          <cell r="D2253">
            <v>71.22</v>
          </cell>
          <cell r="E2253" t="str">
            <v>KADS79</v>
          </cell>
          <cell r="F2253">
            <v>740</v>
          </cell>
          <cell r="G2253">
            <v>20.57</v>
          </cell>
          <cell r="H2253">
            <v>2.5099999999999998</v>
          </cell>
          <cell r="I2253" t="str">
            <v>M3B</v>
          </cell>
          <cell r="J2253" t="str">
            <v>IE3</v>
          </cell>
          <cell r="K2253">
            <v>400</v>
          </cell>
          <cell r="L2253">
            <v>50</v>
          </cell>
          <cell r="N2253">
            <v>55</v>
          </cell>
          <cell r="O2253" t="str">
            <v>155(F)</v>
          </cell>
          <cell r="P2253" t="str">
            <v>0°</v>
          </cell>
          <cell r="Q2253" t="str">
            <v>-</v>
          </cell>
          <cell r="R2253" t="str">
            <v>-</v>
          </cell>
          <cell r="S2253" t="str">
            <v>-</v>
          </cell>
          <cell r="T2253" t="str">
            <v>-</v>
          </cell>
          <cell r="U2253" t="str">
            <v>T</v>
          </cell>
          <cell r="V2253" t="str">
            <v>SS</v>
          </cell>
          <cell r="W2253" t="str">
            <v>-</v>
          </cell>
          <cell r="X2253" t="str">
            <v>CLP PG 220 (-25/+80°C)</v>
          </cell>
          <cell r="Y2253" t="str">
            <v>KADS79-LE100ZLSA4P                                                  2KJ3508-9FN23-4CK1-Z_D23+H3A+K01+K07+K41+L02+L68+M55</v>
          </cell>
          <cell r="Z2253" t="str">
            <v>SIEMENS</v>
          </cell>
          <cell r="AA2253" t="str">
            <v>RAL5010</v>
          </cell>
          <cell r="AB2253" t="str">
            <v>ATEX22</v>
          </cell>
          <cell r="AH2253" t="str">
            <v>KADS79T-B0-X</v>
          </cell>
        </row>
        <row r="2254">
          <cell r="A2254" t="str">
            <v>MR002244</v>
          </cell>
          <cell r="B2254" t="str">
            <v>MR</v>
          </cell>
          <cell r="C2254">
            <v>5.5</v>
          </cell>
          <cell r="D2254">
            <v>59.131</v>
          </cell>
          <cell r="E2254" t="str">
            <v>KADS89</v>
          </cell>
          <cell r="F2254">
            <v>1600</v>
          </cell>
          <cell r="G2254">
            <v>24.86</v>
          </cell>
          <cell r="H2254">
            <v>1.8</v>
          </cell>
          <cell r="I2254" t="str">
            <v>M4A</v>
          </cell>
          <cell r="J2254" t="str">
            <v>IE3</v>
          </cell>
          <cell r="K2254">
            <v>400</v>
          </cell>
          <cell r="L2254">
            <v>50</v>
          </cell>
          <cell r="M2254">
            <v>10.5</v>
          </cell>
          <cell r="N2254">
            <v>55</v>
          </cell>
          <cell r="O2254" t="str">
            <v>155(F)</v>
          </cell>
          <cell r="P2254" t="str">
            <v>270°</v>
          </cell>
          <cell r="Q2254" t="str">
            <v>-</v>
          </cell>
          <cell r="R2254" t="str">
            <v>-</v>
          </cell>
          <cell r="S2254" t="str">
            <v>-</v>
          </cell>
          <cell r="T2254" t="str">
            <v>-</v>
          </cell>
          <cell r="U2254" t="str">
            <v>T</v>
          </cell>
          <cell r="V2254" t="str">
            <v>SS</v>
          </cell>
          <cell r="W2254" t="str">
            <v>-</v>
          </cell>
          <cell r="X2254" t="str">
            <v>CLP PG 220 (-25/+80°C)</v>
          </cell>
          <cell r="Y2254" t="str">
            <v>KADS89-LE132ZST4P                                                                 2KJ3510-9HJ23-9CM1-Z_D14+H3A+K01+K07+L02+L75+M59+N3A</v>
          </cell>
          <cell r="Z2254" t="str">
            <v>SIEMENS</v>
          </cell>
          <cell r="AA2254" t="str">
            <v>RAL5010</v>
          </cell>
          <cell r="AB2254" t="str">
            <v>ATEX22</v>
          </cell>
          <cell r="AH2254" t="str">
            <v>KADS89T-A270-X</v>
          </cell>
        </row>
        <row r="2255">
          <cell r="A2255" t="str">
            <v>MR002245</v>
          </cell>
          <cell r="B2255" t="str">
            <v>MR</v>
          </cell>
          <cell r="C2255">
            <v>0.75</v>
          </cell>
          <cell r="D2255">
            <v>164.58500000000001</v>
          </cell>
          <cell r="E2255" t="str">
            <v>KAD39</v>
          </cell>
          <cell r="F2255">
            <v>183</v>
          </cell>
          <cell r="G2255">
            <v>8.81</v>
          </cell>
          <cell r="H2255">
            <v>4.2</v>
          </cell>
          <cell r="I2255" t="str">
            <v>M1A</v>
          </cell>
          <cell r="J2255" t="str">
            <v>IE3</v>
          </cell>
          <cell r="K2255">
            <v>400</v>
          </cell>
          <cell r="L2255">
            <v>50</v>
          </cell>
          <cell r="M2255">
            <v>1.75</v>
          </cell>
          <cell r="N2255">
            <v>55</v>
          </cell>
          <cell r="O2255" t="str">
            <v>155(F)</v>
          </cell>
          <cell r="P2255" t="str">
            <v>180°</v>
          </cell>
          <cell r="Q2255" t="str">
            <v>-</v>
          </cell>
          <cell r="R2255" t="str">
            <v>-</v>
          </cell>
          <cell r="S2255" t="str">
            <v>-</v>
          </cell>
          <cell r="T2255" t="str">
            <v>-</v>
          </cell>
          <cell r="U2255" t="str">
            <v>T</v>
          </cell>
          <cell r="V2255" t="str">
            <v>D</v>
          </cell>
          <cell r="W2255" t="str">
            <v>-</v>
          </cell>
          <cell r="X2255" t="str">
            <v>CLP PG 220 (-25/+80°C)</v>
          </cell>
          <cell r="Y2255" t="str">
            <v>KAD39-LE80ZMQ4P                                            2KJ3504-5DF23-4CE1-Z_D11+K01+K07+K41+L02+L68+M63</v>
          </cell>
          <cell r="Z2255" t="str">
            <v>SIEMENS</v>
          </cell>
          <cell r="AA2255" t="str">
            <v>RAL5010</v>
          </cell>
          <cell r="AB2255" t="str">
            <v>ATEX22</v>
          </cell>
          <cell r="AH2255" t="str">
            <v>KAD39T-A180-X</v>
          </cell>
        </row>
        <row r="2256">
          <cell r="A2256" t="str">
            <v>MR002246</v>
          </cell>
          <cell r="B2256" t="str">
            <v>R</v>
          </cell>
          <cell r="D2256">
            <v>59.046999999999997</v>
          </cell>
          <cell r="E2256" t="str">
            <v>KADS109-K2X-(160)</v>
          </cell>
          <cell r="F2256">
            <v>2380</v>
          </cell>
          <cell r="G2256">
            <v>24.98</v>
          </cell>
          <cell r="H2256">
            <v>1.36</v>
          </cell>
          <cell r="I2256" t="str">
            <v>M4A</v>
          </cell>
          <cell r="Q2256" t="str">
            <v>-</v>
          </cell>
          <cell r="R2256" t="str">
            <v>-</v>
          </cell>
          <cell r="S2256" t="str">
            <v>Free rotation CCW</v>
          </cell>
          <cell r="T2256" t="str">
            <v>-</v>
          </cell>
          <cell r="U2256" t="str">
            <v>T</v>
          </cell>
          <cell r="W2256" t="str">
            <v>-</v>
          </cell>
          <cell r="X2256" t="str">
            <v>CLP PG 220 (-25/+80°C)</v>
          </cell>
          <cell r="Y2256" t="str">
            <v>KADS109-K2X-(160)                                                                                  2KJ3511-9JA02-0CM1-Z_A15+D14+G60+H3C+K07+K19+K41+K74+K75+K81+L02+L68+Y00</v>
          </cell>
          <cell r="Z2256" t="str">
            <v>SIEMENS</v>
          </cell>
          <cell r="AA2256" t="str">
            <v>RAL5010</v>
          </cell>
          <cell r="AB2256" t="str">
            <v>ATEX22</v>
          </cell>
          <cell r="AH2256" t="str">
            <v>KADS109-K2X-(160)T-A-X</v>
          </cell>
        </row>
        <row r="2257">
          <cell r="A2257" t="str">
            <v>MR002246.1</v>
          </cell>
          <cell r="B2257" t="str">
            <v>ME</v>
          </cell>
          <cell r="C2257">
            <v>11</v>
          </cell>
          <cell r="D2257">
            <v>1475</v>
          </cell>
          <cell r="E2257" t="str">
            <v>1CV3162B</v>
          </cell>
          <cell r="F2257">
            <v>71</v>
          </cell>
          <cell r="J2257" t="str">
            <v>IE3</v>
          </cell>
          <cell r="K2257">
            <v>400</v>
          </cell>
          <cell r="L2257">
            <v>50</v>
          </cell>
          <cell r="M2257">
            <v>20.5</v>
          </cell>
          <cell r="N2257">
            <v>55</v>
          </cell>
          <cell r="O2257" t="str">
            <v>155(F)</v>
          </cell>
          <cell r="P2257" t="str">
            <v>270°</v>
          </cell>
          <cell r="Q2257" t="str">
            <v>-</v>
          </cell>
          <cell r="R2257" t="str">
            <v>-</v>
          </cell>
          <cell r="T2257" t="str">
            <v>-</v>
          </cell>
          <cell r="V2257" t="str">
            <v>SS</v>
          </cell>
          <cell r="W2257" t="str">
            <v>-</v>
          </cell>
          <cell r="Y2257" t="str">
            <v>1MB1523-1DB22-2FA4-Z_M10+Y53</v>
          </cell>
          <cell r="Z2257" t="str">
            <v>SIEMENS</v>
          </cell>
          <cell r="AA2257" t="str">
            <v>RAL5010</v>
          </cell>
          <cell r="AB2257" t="str">
            <v>ATEX22</v>
          </cell>
          <cell r="AH2257" t="str">
            <v>1CV3162B-270-X</v>
          </cell>
        </row>
        <row r="2258">
          <cell r="A2258" t="str">
            <v>MR002247</v>
          </cell>
          <cell r="B2258" t="str">
            <v>MR</v>
          </cell>
          <cell r="C2258">
            <v>3</v>
          </cell>
          <cell r="D2258">
            <v>70.977000000000004</v>
          </cell>
          <cell r="E2258" t="str">
            <v>KADS79</v>
          </cell>
          <cell r="F2258">
            <v>740</v>
          </cell>
          <cell r="G2258">
            <v>20.57</v>
          </cell>
          <cell r="H2258">
            <v>1.83</v>
          </cell>
          <cell r="I2258" t="str">
            <v>M3B</v>
          </cell>
          <cell r="J2258" t="str">
            <v>IE3</v>
          </cell>
          <cell r="K2258">
            <v>400</v>
          </cell>
          <cell r="L2258">
            <v>50</v>
          </cell>
          <cell r="M2258">
            <v>5.9</v>
          </cell>
          <cell r="N2258">
            <v>55</v>
          </cell>
          <cell r="O2258" t="str">
            <v>155(F)</v>
          </cell>
          <cell r="P2258" t="str">
            <v>0°</v>
          </cell>
          <cell r="Q2258" t="str">
            <v>-</v>
          </cell>
          <cell r="R2258" t="str">
            <v>-</v>
          </cell>
          <cell r="S2258" t="str">
            <v>-</v>
          </cell>
          <cell r="T2258" t="str">
            <v>-</v>
          </cell>
          <cell r="U2258" t="str">
            <v>T</v>
          </cell>
          <cell r="V2258" t="str">
            <v>SS</v>
          </cell>
          <cell r="W2258" t="str">
            <v>-</v>
          </cell>
          <cell r="X2258" t="str">
            <v>CLP PG 220 (-25/+80°C)</v>
          </cell>
          <cell r="Y2258" t="str">
            <v>KADS79-LE100ZLSB4P                                                               2KJ3508-9FP23-4CK1-Z_D23+H3A+K01+K07+K41+L02+L68+M55</v>
          </cell>
          <cell r="Z2258" t="str">
            <v>SIEMENS</v>
          </cell>
          <cell r="AA2258" t="str">
            <v>RAL5010</v>
          </cell>
          <cell r="AB2258" t="str">
            <v>ATEX22</v>
          </cell>
          <cell r="AH2258" t="str">
            <v>KADS79T-B0-X</v>
          </cell>
        </row>
        <row r="2259">
          <cell r="A2259" t="str">
            <v>MR002248</v>
          </cell>
          <cell r="B2259" t="str">
            <v>R</v>
          </cell>
          <cell r="D2259">
            <v>4.3890000000000002</v>
          </cell>
          <cell r="E2259" t="str">
            <v>KADS89-Z39-K4-(71)</v>
          </cell>
          <cell r="F2259">
            <v>1600</v>
          </cell>
          <cell r="G2259">
            <v>341.78</v>
          </cell>
          <cell r="H2259">
            <v>2.2400000000000002</v>
          </cell>
          <cell r="I2259" t="str">
            <v>M4B</v>
          </cell>
          <cell r="Q2259" t="str">
            <v>-</v>
          </cell>
          <cell r="R2259" t="str">
            <v>-</v>
          </cell>
          <cell r="S2259" t="str">
            <v>-</v>
          </cell>
          <cell r="T2259" t="str">
            <v>-</v>
          </cell>
          <cell r="U2259" t="str">
            <v>T</v>
          </cell>
          <cell r="W2259" t="str">
            <v>-</v>
          </cell>
          <cell r="X2259" t="str">
            <v>CLP PG 220 (-25/+80°C)</v>
          </cell>
          <cell r="Y2259" t="str">
            <v>KADS89-Z39-K4-(71)                                                              2KJ3528-9CA04-0CC1-Z_D24+G60+H3A+K07+K41+K74+K75+K81+L02+L68+Y00</v>
          </cell>
          <cell r="Z2259" t="str">
            <v>SIEMENS</v>
          </cell>
          <cell r="AA2259" t="str">
            <v>RAL5010</v>
          </cell>
          <cell r="AB2259" t="str">
            <v>ATEX22</v>
          </cell>
          <cell r="AH2259" t="str">
            <v>KADS89-Z39-K4-(71)T-B-X</v>
          </cell>
        </row>
        <row r="2260">
          <cell r="A2260" t="str">
            <v>MR002248.1</v>
          </cell>
          <cell r="B2260" t="str">
            <v>ME</v>
          </cell>
          <cell r="C2260">
            <v>0.25</v>
          </cell>
          <cell r="D2260">
            <v>1395</v>
          </cell>
          <cell r="E2260" t="str">
            <v>1CV3072B</v>
          </cell>
          <cell r="F2260">
            <v>1.7</v>
          </cell>
          <cell r="J2260" t="str">
            <v>IE3</v>
          </cell>
          <cell r="K2260">
            <v>400</v>
          </cell>
          <cell r="L2260">
            <v>50</v>
          </cell>
          <cell r="M2260">
            <v>0.68</v>
          </cell>
          <cell r="N2260">
            <v>55</v>
          </cell>
          <cell r="O2260" t="str">
            <v>155(F)</v>
          </cell>
          <cell r="P2260" t="str">
            <v>270°</v>
          </cell>
          <cell r="Q2260" t="str">
            <v>-</v>
          </cell>
          <cell r="R2260" t="str">
            <v>-</v>
          </cell>
          <cell r="S2260" t="str">
            <v>-</v>
          </cell>
          <cell r="T2260" t="str">
            <v>-</v>
          </cell>
          <cell r="V2260" t="str">
            <v>SS</v>
          </cell>
          <cell r="W2260" t="str">
            <v>-</v>
          </cell>
          <cell r="Y2260" t="str">
            <v>1MB1523-0CB22-2FA4-Z_M10+Y53</v>
          </cell>
          <cell r="Z2260" t="str">
            <v>SIEMENS</v>
          </cell>
          <cell r="AA2260" t="str">
            <v>RAL5010</v>
          </cell>
          <cell r="AB2260" t="str">
            <v>ATEX22</v>
          </cell>
          <cell r="AF2260">
            <v>1395</v>
          </cell>
          <cell r="AG2260" t="str">
            <v>n/a</v>
          </cell>
          <cell r="AH2260" t="str">
            <v>1CV3072B-n/a270-X</v>
          </cell>
          <cell r="AI2260" t="str">
            <v>NON USARE</v>
          </cell>
        </row>
        <row r="2261">
          <cell r="A2261" t="str">
            <v>MR002249</v>
          </cell>
          <cell r="B2261" t="str">
            <v>MR</v>
          </cell>
          <cell r="C2261">
            <v>4</v>
          </cell>
          <cell r="D2261">
            <v>60.405000000000001</v>
          </cell>
          <cell r="E2261" t="str">
            <v>KADS79</v>
          </cell>
          <cell r="F2261">
            <v>770</v>
          </cell>
          <cell r="G2261">
            <v>24.17</v>
          </cell>
          <cell r="H2261">
            <v>1.22</v>
          </cell>
          <cell r="I2261" t="str">
            <v>M4A</v>
          </cell>
          <cell r="J2261" t="str">
            <v>IE3</v>
          </cell>
          <cell r="K2261">
            <v>400</v>
          </cell>
          <cell r="L2261">
            <v>50</v>
          </cell>
          <cell r="M2261">
            <v>7.9</v>
          </cell>
          <cell r="N2261">
            <v>55</v>
          </cell>
          <cell r="O2261" t="str">
            <v>155(F)</v>
          </cell>
          <cell r="P2261" t="str">
            <v>270°</v>
          </cell>
          <cell r="Q2261" t="str">
            <v>-</v>
          </cell>
          <cell r="R2261" t="str">
            <v>-</v>
          </cell>
          <cell r="S2261" t="str">
            <v>-</v>
          </cell>
          <cell r="T2261" t="str">
            <v>-</v>
          </cell>
          <cell r="U2261" t="str">
            <v>T</v>
          </cell>
          <cell r="V2261" t="str">
            <v>SS+R</v>
          </cell>
          <cell r="W2261" t="str">
            <v>-</v>
          </cell>
          <cell r="X2261" t="str">
            <v>CLP PG 220 (-25/+80°C)</v>
          </cell>
          <cell r="Y2261" t="str">
            <v>KADS79-LE112ZMKB4P                                                                    2KJ3508-9GJ23-4CL1-Z_D14+H3A+K01+K07+K41+L02+L68+M59</v>
          </cell>
          <cell r="Z2261" t="str">
            <v>SIEMENS</v>
          </cell>
          <cell r="AA2261" t="str">
            <v>RAL5010</v>
          </cell>
          <cell r="AB2261" t="str">
            <v>ATEX22</v>
          </cell>
          <cell r="AH2261" t="str">
            <v>KADS79T-A270-X</v>
          </cell>
        </row>
        <row r="2262">
          <cell r="A2262" t="str">
            <v>MR002250</v>
          </cell>
          <cell r="B2262" t="str">
            <v>MR</v>
          </cell>
          <cell r="C2262">
            <v>0.75</v>
          </cell>
          <cell r="D2262">
            <v>164.58500000000001</v>
          </cell>
          <cell r="E2262" t="str">
            <v>KADS39</v>
          </cell>
          <cell r="F2262">
            <v>183</v>
          </cell>
          <cell r="G2262">
            <v>8.81</v>
          </cell>
          <cell r="H2262">
            <v>4.2</v>
          </cell>
          <cell r="I2262" t="str">
            <v>M1A</v>
          </cell>
          <cell r="J2262" t="str">
            <v>IE3</v>
          </cell>
          <cell r="K2262">
            <v>400</v>
          </cell>
          <cell r="L2262">
            <v>50</v>
          </cell>
          <cell r="M2262">
            <v>1.75</v>
          </cell>
          <cell r="N2262">
            <v>55</v>
          </cell>
          <cell r="O2262" t="str">
            <v>155(F)</v>
          </cell>
          <cell r="P2262" t="str">
            <v>180°</v>
          </cell>
          <cell r="Q2262" t="str">
            <v>-</v>
          </cell>
          <cell r="R2262" t="str">
            <v>-</v>
          </cell>
          <cell r="S2262" t="str">
            <v>-</v>
          </cell>
          <cell r="T2262" t="str">
            <v>-</v>
          </cell>
          <cell r="U2262" t="str">
            <v>T</v>
          </cell>
          <cell r="V2262" t="str">
            <v>D</v>
          </cell>
          <cell r="W2262" t="str">
            <v>-</v>
          </cell>
          <cell r="X2262" t="str">
            <v>CLP PG 220 (-25/+80°C)</v>
          </cell>
          <cell r="Y2262" t="str">
            <v>KAD39-LE80ZMQ4P                                                    2KJ3504-5DF23-4CE1-Z_D11+K01+K07+K41+L02+L68+M63</v>
          </cell>
          <cell r="Z2262" t="str">
            <v>SIEMENS</v>
          </cell>
          <cell r="AA2262" t="str">
            <v>RAL5010</v>
          </cell>
          <cell r="AB2262" t="str">
            <v>ATEX22</v>
          </cell>
          <cell r="AH2262" t="str">
            <v>KADS39T-A180-X</v>
          </cell>
        </row>
        <row r="2263">
          <cell r="A2263" t="str">
            <v>MR002251</v>
          </cell>
          <cell r="B2263" t="str">
            <v>MR</v>
          </cell>
          <cell r="C2263">
            <v>0.75</v>
          </cell>
          <cell r="D2263">
            <v>4.016</v>
          </cell>
          <cell r="E2263" t="str">
            <v>KADS109-Z39</v>
          </cell>
          <cell r="F2263">
            <v>2900</v>
          </cell>
          <cell r="G2263">
            <v>361</v>
          </cell>
          <cell r="H2263">
            <v>1.77</v>
          </cell>
          <cell r="I2263" t="str">
            <v>M4B</v>
          </cell>
          <cell r="J2263" t="str">
            <v>IE3</v>
          </cell>
          <cell r="K2263">
            <v>400</v>
          </cell>
          <cell r="L2263">
            <v>50</v>
          </cell>
          <cell r="M2263">
            <v>1.75</v>
          </cell>
          <cell r="N2263">
            <v>55</v>
          </cell>
          <cell r="O2263" t="str">
            <v>155(F)</v>
          </cell>
          <cell r="P2263" t="str">
            <v>270°</v>
          </cell>
          <cell r="Q2263" t="str">
            <v>-</v>
          </cell>
          <cell r="R2263" t="str">
            <v>-</v>
          </cell>
          <cell r="S2263" t="str">
            <v>-</v>
          </cell>
          <cell r="T2263" t="str">
            <v>-</v>
          </cell>
          <cell r="U2263" t="str">
            <v>T</v>
          </cell>
          <cell r="V2263" t="str">
            <v>SS</v>
          </cell>
          <cell r="W2263" t="str">
            <v>-</v>
          </cell>
          <cell r="X2263" t="str">
            <v>CLP PG 220 (-25/+80°C)</v>
          </cell>
          <cell r="Y2263" t="str">
            <v>KADS109-Z39-LE80ZMQ4P                                                             2KJ3531-9DF23-4CD1-Z_D24+H3C+K01+K07+K41+L02+L68+M59</v>
          </cell>
          <cell r="Z2263" t="str">
            <v>SIEMENS</v>
          </cell>
          <cell r="AA2263" t="str">
            <v>RAL5010</v>
          </cell>
          <cell r="AB2263" t="str">
            <v>ATEX22</v>
          </cell>
          <cell r="AH2263" t="str">
            <v>KADS109-Z39T-B270-X</v>
          </cell>
        </row>
        <row r="2264">
          <cell r="A2264" t="str">
            <v>MR002252</v>
          </cell>
          <cell r="B2264" t="str">
            <v>MR</v>
          </cell>
          <cell r="C2264">
            <v>22</v>
          </cell>
          <cell r="D2264">
            <v>21</v>
          </cell>
          <cell r="E2264" t="str">
            <v>FH127</v>
          </cell>
          <cell r="F2264">
            <v>9960</v>
          </cell>
          <cell r="G2264">
            <v>70.069999999999993</v>
          </cell>
          <cell r="H2264">
            <v>1.2</v>
          </cell>
          <cell r="I2264" t="str">
            <v>From M1 to M2 - 20°</v>
          </cell>
          <cell r="J2264" t="str">
            <v>IE3</v>
          </cell>
          <cell r="K2264" t="str">
            <v>400/690</v>
          </cell>
          <cell r="L2264">
            <v>50</v>
          </cell>
          <cell r="M2264" t="str">
            <v>38,5/22,5</v>
          </cell>
          <cell r="N2264">
            <v>65</v>
          </cell>
          <cell r="O2264" t="str">
            <v>155(F)</v>
          </cell>
          <cell r="P2264" t="str">
            <v>270°</v>
          </cell>
          <cell r="Q2264" t="str">
            <v>TF</v>
          </cell>
          <cell r="R2264" t="str">
            <v>V(VE)</v>
          </cell>
          <cell r="S2264" t="str">
            <v>-</v>
          </cell>
          <cell r="T2264" t="str">
            <v>-</v>
          </cell>
          <cell r="U2264" t="str">
            <v>G</v>
          </cell>
          <cell r="V2264" t="str">
            <v>FC</v>
          </cell>
          <cell r="W2264" t="str">
            <v>-</v>
          </cell>
          <cell r="X2264" t="str">
            <v>CLP PG 220 (-25/+80°C)</v>
          </cell>
          <cell r="Y2264" t="str">
            <v>FH127/G DRN180L4 /TF/V</v>
          </cell>
          <cell r="Z2264" t="str">
            <v>SEW</v>
          </cell>
          <cell r="AB2264" t="str">
            <v>-</v>
          </cell>
          <cell r="AF2264">
            <v>21</v>
          </cell>
          <cell r="AG2264" t="str">
            <v>DRN180L4</v>
          </cell>
          <cell r="AH2264" t="str">
            <v>FH127G-DRN180L4270-X#</v>
          </cell>
        </row>
        <row r="2265">
          <cell r="A2265" t="str">
            <v>MR002253</v>
          </cell>
          <cell r="B2265" t="str">
            <v>MR</v>
          </cell>
          <cell r="C2265">
            <v>0.75</v>
          </cell>
          <cell r="D2265">
            <v>1.7</v>
          </cell>
          <cell r="E2265" t="str">
            <v>KA97R57</v>
          </cell>
          <cell r="F2265">
            <v>3930</v>
          </cell>
          <cell r="G2265">
            <v>855</v>
          </cell>
          <cell r="H2265">
            <v>1.1000000000000001</v>
          </cell>
          <cell r="I2265" t="str">
            <v>M3B</v>
          </cell>
          <cell r="J2265" t="str">
            <v>IE3</v>
          </cell>
          <cell r="K2265" t="str">
            <v>230/400</v>
          </cell>
          <cell r="L2265">
            <v>50</v>
          </cell>
          <cell r="M2265" t="str">
            <v>3,05/1,75</v>
          </cell>
          <cell r="N2265">
            <v>65</v>
          </cell>
          <cell r="O2265" t="str">
            <v>155(F)</v>
          </cell>
          <cell r="P2265" t="str">
            <v>0°</v>
          </cell>
          <cell r="Q2265" t="str">
            <v>TF</v>
          </cell>
          <cell r="R2265" t="str">
            <v>V(VE)</v>
          </cell>
          <cell r="S2265" t="str">
            <v>-</v>
          </cell>
          <cell r="T2265" t="str">
            <v>BEHF</v>
          </cell>
          <cell r="U2265" t="str">
            <v>T</v>
          </cell>
          <cell r="V2265" t="str">
            <v>FC+R</v>
          </cell>
          <cell r="W2265" t="str">
            <v>-</v>
          </cell>
          <cell r="X2265" t="str">
            <v>CLP PG 220 (-25/+80°C)</v>
          </cell>
          <cell r="Y2265" t="str">
            <v>KA97R57/T DRN80M4 /BEHF /TF/V</v>
          </cell>
          <cell r="Z2265" t="str">
            <v>SEW</v>
          </cell>
          <cell r="AB2265" t="str">
            <v>-</v>
          </cell>
          <cell r="AF2265">
            <v>1.7</v>
          </cell>
          <cell r="AG2265" t="str">
            <v>DRN80M4</v>
          </cell>
          <cell r="AH2265" t="str">
            <v>KA97R57T-DRN80M4B0-X#</v>
          </cell>
        </row>
        <row r="2266">
          <cell r="A2266" t="str">
            <v>MR002254</v>
          </cell>
          <cell r="B2266" t="str">
            <v>MR</v>
          </cell>
          <cell r="C2266">
            <v>11</v>
          </cell>
          <cell r="D2266">
            <v>53</v>
          </cell>
          <cell r="E2266" t="str">
            <v>R97</v>
          </cell>
          <cell r="F2266">
            <v>1960</v>
          </cell>
          <cell r="G2266">
            <v>27.58</v>
          </cell>
          <cell r="H2266">
            <v>1.35</v>
          </cell>
          <cell r="I2266" t="str">
            <v>M1</v>
          </cell>
          <cell r="J2266" t="str">
            <v>IE3</v>
          </cell>
          <cell r="K2266" t="str">
            <v>400/690</v>
          </cell>
          <cell r="L2266">
            <v>50</v>
          </cell>
          <cell r="M2266">
            <v>21712.2</v>
          </cell>
          <cell r="N2266">
            <v>65</v>
          </cell>
          <cell r="O2266" t="str">
            <v>155(F)</v>
          </cell>
          <cell r="P2266" t="str">
            <v>270°</v>
          </cell>
          <cell r="Q2266" t="str">
            <v>-</v>
          </cell>
          <cell r="R2266" t="str">
            <v>-</v>
          </cell>
          <cell r="S2266" t="str">
            <v>-</v>
          </cell>
          <cell r="T2266" t="str">
            <v>-</v>
          </cell>
          <cell r="U2266" t="str">
            <v>-</v>
          </cell>
          <cell r="V2266" t="str">
            <v>D</v>
          </cell>
          <cell r="W2266" t="str">
            <v>-</v>
          </cell>
          <cell r="X2266" t="str">
            <v>CLP PG 220 (-25/+80°C)</v>
          </cell>
          <cell r="Y2266" t="str">
            <v>R97DRN160M4</v>
          </cell>
          <cell r="Z2266" t="str">
            <v>SEW</v>
          </cell>
          <cell r="AB2266" t="str">
            <v>-</v>
          </cell>
          <cell r="AF2266">
            <v>53</v>
          </cell>
          <cell r="AG2266" t="str">
            <v>DRN160M4</v>
          </cell>
          <cell r="AH2266" t="str">
            <v>R97-DRN160M4270-X</v>
          </cell>
        </row>
        <row r="2267">
          <cell r="A2267" t="str">
            <v>MR002255</v>
          </cell>
          <cell r="B2267" t="str">
            <v>MR</v>
          </cell>
          <cell r="C2267">
            <v>22</v>
          </cell>
          <cell r="D2267">
            <v>12</v>
          </cell>
          <cell r="E2267" t="str">
            <v>KH157</v>
          </cell>
          <cell r="F2267">
            <v>17400</v>
          </cell>
          <cell r="G2267">
            <v>122.39</v>
          </cell>
          <cell r="H2267">
            <v>1.1499999999999999</v>
          </cell>
          <cell r="I2267" t="str">
            <v>From M1A to M4A - 50°</v>
          </cell>
          <cell r="J2267" t="str">
            <v>IE3</v>
          </cell>
          <cell r="K2267" t="str">
            <v>400/690</v>
          </cell>
          <cell r="L2267">
            <v>50</v>
          </cell>
          <cell r="M2267" t="str">
            <v>38,5/22,5</v>
          </cell>
          <cell r="N2267">
            <v>65</v>
          </cell>
          <cell r="O2267" t="str">
            <v>155(F)</v>
          </cell>
          <cell r="P2267" t="str">
            <v>270°</v>
          </cell>
          <cell r="Q2267" t="str">
            <v>TF</v>
          </cell>
          <cell r="R2267" t="str">
            <v>V(VE)</v>
          </cell>
          <cell r="S2267" t="str">
            <v>-</v>
          </cell>
          <cell r="T2267" t="str">
            <v>-</v>
          </cell>
          <cell r="U2267" t="str">
            <v>-</v>
          </cell>
          <cell r="V2267" t="str">
            <v>FC</v>
          </cell>
          <cell r="W2267" t="str">
            <v>-</v>
          </cell>
          <cell r="X2267" t="str">
            <v>CLP PG 220 (-25/+80°C)</v>
          </cell>
          <cell r="Y2267" t="str">
            <v>KH157DRN180L4 /TF/V</v>
          </cell>
          <cell r="Z2267" t="str">
            <v>SEW</v>
          </cell>
          <cell r="AB2267" t="str">
            <v>-</v>
          </cell>
          <cell r="AF2267">
            <v>12</v>
          </cell>
          <cell r="AG2267" t="str">
            <v>DRN180L4</v>
          </cell>
          <cell r="AH2267" t="str">
            <v>KH157-DRN180L4A270-X#</v>
          </cell>
        </row>
        <row r="2268">
          <cell r="A2268" t="str">
            <v>MR002256</v>
          </cell>
          <cell r="B2268" t="str">
            <v>MR</v>
          </cell>
          <cell r="C2268">
            <v>22</v>
          </cell>
          <cell r="D2268">
            <v>12</v>
          </cell>
          <cell r="E2268" t="str">
            <v>KH157</v>
          </cell>
          <cell r="F2268">
            <v>17400</v>
          </cell>
          <cell r="G2268">
            <v>122.39</v>
          </cell>
          <cell r="H2268">
            <v>1.1499999999999999</v>
          </cell>
          <cell r="I2268" t="str">
            <v>From M1B to M4B - 50°</v>
          </cell>
          <cell r="J2268" t="str">
            <v>IE3</v>
          </cell>
          <cell r="K2268" t="str">
            <v>400/690</v>
          </cell>
          <cell r="L2268">
            <v>50</v>
          </cell>
          <cell r="M2268" t="str">
            <v>38,5/22,5</v>
          </cell>
          <cell r="N2268">
            <v>65</v>
          </cell>
          <cell r="O2268" t="str">
            <v>155(F)</v>
          </cell>
          <cell r="P2268" t="str">
            <v>270°</v>
          </cell>
          <cell r="Q2268" t="str">
            <v>TF</v>
          </cell>
          <cell r="R2268" t="str">
            <v>V(VE)</v>
          </cell>
          <cell r="S2268" t="str">
            <v>-</v>
          </cell>
          <cell r="T2268" t="str">
            <v>-</v>
          </cell>
          <cell r="U2268" t="str">
            <v>-</v>
          </cell>
          <cell r="V2268" t="str">
            <v>FC</v>
          </cell>
          <cell r="W2268" t="str">
            <v>-</v>
          </cell>
          <cell r="X2268" t="str">
            <v>CLP PG 220 (-25/+80°C)</v>
          </cell>
          <cell r="Y2268" t="str">
            <v>KH157DRN180L4 /TF/V</v>
          </cell>
          <cell r="Z2268" t="str">
            <v>SEW</v>
          </cell>
          <cell r="AB2268" t="str">
            <v>-</v>
          </cell>
          <cell r="AF2268">
            <v>12</v>
          </cell>
          <cell r="AG2268" t="str">
            <v>DRN180L4</v>
          </cell>
          <cell r="AH2268" t="str">
            <v>KH157-DRN180L4B270-X#</v>
          </cell>
        </row>
        <row r="2269">
          <cell r="A2269" t="str">
            <v>MR002257</v>
          </cell>
          <cell r="B2269" t="str">
            <v>MR</v>
          </cell>
          <cell r="C2269">
            <v>3</v>
          </cell>
          <cell r="D2269">
            <v>73</v>
          </cell>
          <cell r="E2269" t="str">
            <v>KH49</v>
          </cell>
          <cell r="F2269">
            <v>390</v>
          </cell>
          <cell r="G2269">
            <v>20.03</v>
          </cell>
          <cell r="H2269">
            <v>1.25</v>
          </cell>
          <cell r="I2269" t="str">
            <v>M4B</v>
          </cell>
          <cell r="J2269" t="str">
            <v>IE3</v>
          </cell>
          <cell r="K2269" t="str">
            <v>230/400</v>
          </cell>
          <cell r="L2269">
            <v>50</v>
          </cell>
          <cell r="M2269" t="str">
            <v>11,2/6,4</v>
          </cell>
          <cell r="N2269">
            <v>65</v>
          </cell>
          <cell r="O2269" t="str">
            <v>155(F)</v>
          </cell>
          <cell r="P2269" t="str">
            <v>270°</v>
          </cell>
          <cell r="Q2269" t="str">
            <v>-</v>
          </cell>
          <cell r="R2269" t="str">
            <v>-</v>
          </cell>
          <cell r="S2269" t="str">
            <v>-</v>
          </cell>
          <cell r="T2269" t="str">
            <v>-</v>
          </cell>
          <cell r="U2269" t="str">
            <v>T</v>
          </cell>
          <cell r="V2269" t="str">
            <v>D</v>
          </cell>
          <cell r="W2269" t="str">
            <v>-</v>
          </cell>
          <cell r="X2269" t="str">
            <v>CLP PG 220 (-25/+80°C)</v>
          </cell>
          <cell r="Y2269" t="str">
            <v>KH49/T DRN100L4</v>
          </cell>
          <cell r="Z2269" t="str">
            <v>SEW</v>
          </cell>
          <cell r="AB2269" t="str">
            <v>-</v>
          </cell>
          <cell r="AF2269">
            <v>73</v>
          </cell>
          <cell r="AG2269" t="str">
            <v>DRN100L4</v>
          </cell>
          <cell r="AH2269" t="str">
            <v>KH49T-DRN100L4B270-X</v>
          </cell>
        </row>
        <row r="2270">
          <cell r="A2270" t="str">
            <v>MR002258</v>
          </cell>
          <cell r="B2270" t="str">
            <v>MR</v>
          </cell>
          <cell r="C2270">
            <v>5.5</v>
          </cell>
          <cell r="D2270">
            <v>57</v>
          </cell>
          <cell r="E2270" t="str">
            <v>KH77</v>
          </cell>
          <cell r="F2270">
            <v>920</v>
          </cell>
          <cell r="G2270">
            <v>25.62</v>
          </cell>
          <cell r="H2270">
            <v>1.7</v>
          </cell>
          <cell r="I2270" t="str">
            <v>M4B</v>
          </cell>
          <cell r="J2270" t="str">
            <v>IE3</v>
          </cell>
          <cell r="K2270" t="str">
            <v>230/400</v>
          </cell>
          <cell r="L2270">
            <v>50</v>
          </cell>
          <cell r="M2270" t="str">
            <v>18,2/10,5</v>
          </cell>
          <cell r="N2270">
            <v>65</v>
          </cell>
          <cell r="O2270" t="str">
            <v>155(F)</v>
          </cell>
          <cell r="P2270" t="str">
            <v>270°</v>
          </cell>
          <cell r="Q2270" t="str">
            <v>-</v>
          </cell>
          <cell r="R2270" t="str">
            <v>-</v>
          </cell>
          <cell r="S2270" t="str">
            <v>Free rotation CW</v>
          </cell>
          <cell r="T2270" t="str">
            <v>-</v>
          </cell>
          <cell r="U2270" t="str">
            <v>T</v>
          </cell>
          <cell r="V2270" t="str">
            <v>SS</v>
          </cell>
          <cell r="W2270" t="str">
            <v>-</v>
          </cell>
          <cell r="X2270" t="str">
            <v>CLP PG 220 (-25/+80°C)</v>
          </cell>
          <cell r="Y2270" t="str">
            <v>KH77/T DRN132S4 /RS</v>
          </cell>
          <cell r="Z2270" t="str">
            <v>SEW</v>
          </cell>
          <cell r="AB2270" t="str">
            <v>-</v>
          </cell>
          <cell r="AF2270">
            <v>57</v>
          </cell>
          <cell r="AG2270" t="str">
            <v>DRN132S4</v>
          </cell>
          <cell r="AH2270" t="str">
            <v>KH77T-DRN132S4B270-X</v>
          </cell>
        </row>
        <row r="2271">
          <cell r="A2271" t="str">
            <v>MR002259</v>
          </cell>
          <cell r="B2271" t="str">
            <v>MR</v>
          </cell>
          <cell r="C2271">
            <v>0.55000000000000004</v>
          </cell>
          <cell r="D2271">
            <v>3.9</v>
          </cell>
          <cell r="E2271" t="str">
            <v>KA77R37</v>
          </cell>
          <cell r="F2271">
            <v>1210</v>
          </cell>
          <cell r="G2271">
            <v>367</v>
          </cell>
          <cell r="H2271">
            <v>1.25</v>
          </cell>
          <cell r="I2271" t="str">
            <v>M3B</v>
          </cell>
          <cell r="J2271" t="str">
            <v>IE3</v>
          </cell>
          <cell r="K2271" t="str">
            <v>230/400</v>
          </cell>
          <cell r="L2271">
            <v>50</v>
          </cell>
          <cell r="M2271" t="str">
            <v>2,25/1,29</v>
          </cell>
          <cell r="N2271">
            <v>65</v>
          </cell>
          <cell r="O2271" t="str">
            <v>155(F)</v>
          </cell>
          <cell r="P2271" t="str">
            <v>0°</v>
          </cell>
          <cell r="Q2271" t="str">
            <v>-</v>
          </cell>
          <cell r="R2271" t="str">
            <v>-</v>
          </cell>
          <cell r="S2271" t="str">
            <v>-</v>
          </cell>
          <cell r="T2271" t="str">
            <v>BEHF</v>
          </cell>
          <cell r="U2271" t="str">
            <v>T</v>
          </cell>
          <cell r="V2271" t="str">
            <v>D+R</v>
          </cell>
          <cell r="W2271" t="str">
            <v>-</v>
          </cell>
          <cell r="X2271" t="str">
            <v>CLP PG 220 (-25/+80°C)</v>
          </cell>
          <cell r="Y2271" t="str">
            <v>KA77R37/T DRN80MK4 /BEHF</v>
          </cell>
          <cell r="Z2271" t="str">
            <v>SEW</v>
          </cell>
          <cell r="AB2271" t="str">
            <v>-</v>
          </cell>
          <cell r="AF2271">
            <v>3.9</v>
          </cell>
          <cell r="AG2271" t="str">
            <v>DRN80MK4</v>
          </cell>
          <cell r="AH2271" t="str">
            <v>KA77R37T-DRN80MK4B0-X</v>
          </cell>
        </row>
        <row r="2272">
          <cell r="A2272" t="str">
            <v>MR002260</v>
          </cell>
          <cell r="B2272" t="str">
            <v>MR</v>
          </cell>
          <cell r="C2272">
            <v>15</v>
          </cell>
          <cell r="D2272">
            <v>53</v>
          </cell>
          <cell r="E2272" t="str">
            <v>KH97</v>
          </cell>
          <cell r="F2272">
            <v>2710</v>
          </cell>
          <cell r="G2272">
            <v>27.91</v>
          </cell>
          <cell r="H2272">
            <v>1.6</v>
          </cell>
          <cell r="I2272" t="str">
            <v>M4B</v>
          </cell>
          <cell r="J2272" t="str">
            <v>IE3</v>
          </cell>
          <cell r="K2272" t="str">
            <v>400/690</v>
          </cell>
          <cell r="L2272">
            <v>50</v>
          </cell>
          <cell r="M2272" t="str">
            <v>29/16,7</v>
          </cell>
          <cell r="N2272">
            <v>65</v>
          </cell>
          <cell r="O2272" t="str">
            <v>155(F)</v>
          </cell>
          <cell r="P2272" t="str">
            <v>270°</v>
          </cell>
          <cell r="Q2272" t="str">
            <v>-</v>
          </cell>
          <cell r="R2272" t="str">
            <v>-</v>
          </cell>
          <cell r="S2272" t="str">
            <v>Free rotation CW</v>
          </cell>
          <cell r="T2272" t="str">
            <v>-</v>
          </cell>
          <cell r="U2272" t="str">
            <v>T</v>
          </cell>
          <cell r="V2272" t="str">
            <v>SS</v>
          </cell>
          <cell r="W2272" t="str">
            <v>-</v>
          </cell>
          <cell r="X2272" t="str">
            <v>CLP PG 220 (-25/+80°C)</v>
          </cell>
          <cell r="Y2272" t="str">
            <v>KH97/T DRN160L4 /RS</v>
          </cell>
          <cell r="Z2272" t="str">
            <v>SEW</v>
          </cell>
          <cell r="AB2272" t="str">
            <v>-</v>
          </cell>
          <cell r="AF2272">
            <v>53</v>
          </cell>
          <cell r="AG2272" t="str">
            <v>DRN160L4</v>
          </cell>
          <cell r="AH2272" t="str">
            <v>KH97T-DRN160L4B270-X</v>
          </cell>
        </row>
        <row r="2273">
          <cell r="A2273" t="str">
            <v>MR002261</v>
          </cell>
          <cell r="B2273" t="str">
            <v>MR</v>
          </cell>
          <cell r="C2273">
            <v>22</v>
          </cell>
          <cell r="D2273">
            <v>12</v>
          </cell>
          <cell r="E2273" t="str">
            <v>KH157</v>
          </cell>
          <cell r="F2273">
            <v>17400</v>
          </cell>
          <cell r="G2273">
            <v>122.4</v>
          </cell>
          <cell r="H2273">
            <v>1.1499999999999999</v>
          </cell>
          <cell r="I2273" t="str">
            <v>From M1A to M2A - 10°</v>
          </cell>
          <cell r="J2273" t="str">
            <v>IE3</v>
          </cell>
          <cell r="K2273" t="str">
            <v>400/690</v>
          </cell>
          <cell r="L2273">
            <v>50</v>
          </cell>
          <cell r="M2273" t="str">
            <v>38,5/22,5</v>
          </cell>
          <cell r="N2273">
            <v>65</v>
          </cell>
          <cell r="O2273" t="str">
            <v>155(F)</v>
          </cell>
          <cell r="P2273" t="str">
            <v>270°</v>
          </cell>
          <cell r="Q2273" t="str">
            <v>TF</v>
          </cell>
          <cell r="R2273" t="str">
            <v>V(VE)</v>
          </cell>
          <cell r="S2273" t="str">
            <v>-</v>
          </cell>
          <cell r="T2273" t="str">
            <v>-</v>
          </cell>
          <cell r="U2273" t="str">
            <v>-</v>
          </cell>
          <cell r="V2273" t="str">
            <v>FC</v>
          </cell>
          <cell r="W2273" t="str">
            <v>-</v>
          </cell>
          <cell r="X2273" t="str">
            <v>CLP PG 220 (-25/+80°C)</v>
          </cell>
          <cell r="Y2273" t="str">
            <v>KH157DRN180L4 /TF/V</v>
          </cell>
          <cell r="Z2273" t="str">
            <v>SEW</v>
          </cell>
          <cell r="AB2273" t="str">
            <v>-</v>
          </cell>
          <cell r="AF2273">
            <v>12</v>
          </cell>
          <cell r="AG2273" t="str">
            <v>DRN180L4</v>
          </cell>
          <cell r="AH2273" t="str">
            <v>KH157-DRN180L4A270-X#</v>
          </cell>
        </row>
        <row r="2274">
          <cell r="A2274" t="str">
            <v>MR002262</v>
          </cell>
          <cell r="B2274" t="str">
            <v>MR</v>
          </cell>
          <cell r="C2274">
            <v>22</v>
          </cell>
          <cell r="D2274">
            <v>12</v>
          </cell>
          <cell r="E2274" t="str">
            <v>KH157</v>
          </cell>
          <cell r="F2274">
            <v>17400</v>
          </cell>
          <cell r="G2274">
            <v>122.4</v>
          </cell>
          <cell r="H2274">
            <v>1.1499999999999999</v>
          </cell>
          <cell r="I2274" t="str">
            <v>From M1B to M2B - 10°</v>
          </cell>
          <cell r="J2274" t="str">
            <v>IE3</v>
          </cell>
          <cell r="K2274" t="str">
            <v>400/690</v>
          </cell>
          <cell r="L2274">
            <v>50</v>
          </cell>
          <cell r="M2274" t="str">
            <v>38,5/22,5</v>
          </cell>
          <cell r="N2274">
            <v>65</v>
          </cell>
          <cell r="O2274" t="str">
            <v>155(F)</v>
          </cell>
          <cell r="P2274" t="str">
            <v>270°</v>
          </cell>
          <cell r="Q2274" t="str">
            <v>TF</v>
          </cell>
          <cell r="R2274" t="str">
            <v>V(VE)</v>
          </cell>
          <cell r="S2274" t="str">
            <v>-</v>
          </cell>
          <cell r="T2274" t="str">
            <v>-</v>
          </cell>
          <cell r="U2274" t="str">
            <v>-</v>
          </cell>
          <cell r="V2274" t="str">
            <v>FC</v>
          </cell>
          <cell r="W2274" t="str">
            <v>-</v>
          </cell>
          <cell r="X2274" t="str">
            <v>CLP PG 220 (-25/+80°C)</v>
          </cell>
          <cell r="Y2274" t="str">
            <v>KH157DRN180L4 /TF/V</v>
          </cell>
          <cell r="Z2274" t="str">
            <v>SEW</v>
          </cell>
          <cell r="AB2274" t="str">
            <v>-</v>
          </cell>
          <cell r="AF2274">
            <v>12</v>
          </cell>
          <cell r="AG2274" t="str">
            <v>DRN180L4</v>
          </cell>
          <cell r="AH2274" t="str">
            <v>KH157-DRN180L4B270-X#</v>
          </cell>
        </row>
        <row r="2275">
          <cell r="A2275" t="str">
            <v>MR002263</v>
          </cell>
          <cell r="B2275" t="str">
            <v>MR</v>
          </cell>
          <cell r="C2275">
            <v>5.5</v>
          </cell>
          <cell r="D2275">
            <v>57</v>
          </cell>
          <cell r="E2275" t="str">
            <v>FH77</v>
          </cell>
          <cell r="F2275">
            <v>910</v>
          </cell>
          <cell r="G2275">
            <v>25.54</v>
          </cell>
          <cell r="H2275">
            <v>1.6</v>
          </cell>
          <cell r="I2275" t="str">
            <v>M1</v>
          </cell>
          <cell r="J2275" t="str">
            <v>IE3</v>
          </cell>
          <cell r="K2275" t="str">
            <v>230/400</v>
          </cell>
          <cell r="L2275">
            <v>50</v>
          </cell>
          <cell r="M2275" t="str">
            <v>18,2/10,5</v>
          </cell>
          <cell r="N2275">
            <v>65</v>
          </cell>
          <cell r="O2275" t="str">
            <v>155(F)</v>
          </cell>
          <cell r="P2275" t="str">
            <v>270°</v>
          </cell>
          <cell r="Q2275" t="str">
            <v>-</v>
          </cell>
          <cell r="R2275" t="str">
            <v>-</v>
          </cell>
          <cell r="S2275" t="str">
            <v>-</v>
          </cell>
          <cell r="T2275" t="str">
            <v>-</v>
          </cell>
          <cell r="U2275" t="str">
            <v>G</v>
          </cell>
          <cell r="V2275" t="str">
            <v>D+R</v>
          </cell>
          <cell r="W2275" t="str">
            <v>-</v>
          </cell>
          <cell r="X2275" t="str">
            <v>CLP PG 220 (-25/+80°C)</v>
          </cell>
          <cell r="Y2275" t="str">
            <v>FH77/G DRN132S4</v>
          </cell>
          <cell r="Z2275" t="str">
            <v>SEW</v>
          </cell>
          <cell r="AB2275" t="str">
            <v>-</v>
          </cell>
          <cell r="AF2275">
            <v>57</v>
          </cell>
          <cell r="AG2275" t="str">
            <v>DRN132S4</v>
          </cell>
          <cell r="AH2275" t="str">
            <v>FH77G-DRN132S4270-X</v>
          </cell>
        </row>
        <row r="2276">
          <cell r="A2276" t="str">
            <v>MR002264</v>
          </cell>
          <cell r="B2276" t="str">
            <v>MR</v>
          </cell>
          <cell r="C2276">
            <v>7.5</v>
          </cell>
          <cell r="D2276">
            <v>15</v>
          </cell>
          <cell r="E2276" t="str">
            <v>KH107</v>
          </cell>
          <cell r="F2276">
            <v>4920</v>
          </cell>
          <cell r="G2276">
            <v>100.75</v>
          </cell>
          <cell r="H2276">
            <v>1.55</v>
          </cell>
          <cell r="I2276" t="str">
            <v>M1A</v>
          </cell>
          <cell r="J2276" t="str">
            <v>IE3</v>
          </cell>
          <cell r="K2276" t="str">
            <v>400/690</v>
          </cell>
          <cell r="L2276">
            <v>50</v>
          </cell>
          <cell r="M2276" t="str">
            <v>15,2/8,8</v>
          </cell>
          <cell r="N2276">
            <v>65</v>
          </cell>
          <cell r="O2276" t="str">
            <v>155(F)</v>
          </cell>
          <cell r="P2276" t="str">
            <v>270°</v>
          </cell>
          <cell r="Q2276" t="str">
            <v>-</v>
          </cell>
          <cell r="R2276" t="str">
            <v>-</v>
          </cell>
          <cell r="S2276" t="str">
            <v>-</v>
          </cell>
          <cell r="T2276" t="str">
            <v>-</v>
          </cell>
          <cell r="U2276" t="str">
            <v>-</v>
          </cell>
          <cell r="V2276" t="str">
            <v>SS</v>
          </cell>
          <cell r="W2276" t="str">
            <v>-</v>
          </cell>
          <cell r="X2276" t="str">
            <v>CLP PG 220 (-25/+80°C)</v>
          </cell>
          <cell r="Y2276" t="str">
            <v>KH107DRN132M4</v>
          </cell>
          <cell r="Z2276" t="str">
            <v>SEW</v>
          </cell>
          <cell r="AB2276" t="str">
            <v>-</v>
          </cell>
          <cell r="AF2276">
            <v>15</v>
          </cell>
          <cell r="AG2276" t="str">
            <v>DRN132M4</v>
          </cell>
          <cell r="AH2276" t="str">
            <v>KH107-DRN132M4A270-X</v>
          </cell>
        </row>
        <row r="2277">
          <cell r="A2277" t="str">
            <v>MR002265</v>
          </cell>
          <cell r="B2277" t="str">
            <v>MR</v>
          </cell>
          <cell r="C2277">
            <v>5.5</v>
          </cell>
          <cell r="D2277">
            <v>19</v>
          </cell>
          <cell r="E2277" t="str">
            <v>FH87</v>
          </cell>
          <cell r="F2277">
            <v>2740</v>
          </cell>
          <cell r="G2277">
            <v>76.39</v>
          </cell>
          <cell r="H2277">
            <v>1.1000000000000001</v>
          </cell>
          <cell r="I2277" t="str">
            <v>M1</v>
          </cell>
          <cell r="J2277" t="str">
            <v>IE3</v>
          </cell>
          <cell r="K2277" t="str">
            <v>230/400</v>
          </cell>
          <cell r="L2277">
            <v>50</v>
          </cell>
          <cell r="M2277" t="str">
            <v>18,2/10,5</v>
          </cell>
          <cell r="N2277">
            <v>65</v>
          </cell>
          <cell r="O2277" t="str">
            <v>155(F)</v>
          </cell>
          <cell r="P2277" t="str">
            <v>270°</v>
          </cell>
          <cell r="Q2277" t="str">
            <v>TF</v>
          </cell>
          <cell r="R2277" t="str">
            <v>V(VE)</v>
          </cell>
          <cell r="S2277" t="str">
            <v>-</v>
          </cell>
          <cell r="T2277" t="str">
            <v>-</v>
          </cell>
          <cell r="U2277" t="str">
            <v>G</v>
          </cell>
          <cell r="V2277" t="str">
            <v>FC</v>
          </cell>
          <cell r="W2277" t="str">
            <v>-</v>
          </cell>
          <cell r="X2277" t="str">
            <v>CLP PG 220 (-25/+80°C)</v>
          </cell>
          <cell r="Y2277" t="str">
            <v>FH87/G DRN132S4 /TF/V</v>
          </cell>
          <cell r="Z2277" t="str">
            <v>SEW</v>
          </cell>
          <cell r="AB2277" t="str">
            <v>-</v>
          </cell>
          <cell r="AF2277">
            <v>19</v>
          </cell>
          <cell r="AG2277" t="str">
            <v>DRN132S4</v>
          </cell>
          <cell r="AH2277" t="str">
            <v>FH87G-DRN132S4270-X#</v>
          </cell>
        </row>
        <row r="2278">
          <cell r="A2278" t="str">
            <v>MR002266</v>
          </cell>
          <cell r="B2278" t="str">
            <v>MR</v>
          </cell>
          <cell r="C2278">
            <v>5.5</v>
          </cell>
          <cell r="D2278">
            <v>14</v>
          </cell>
          <cell r="E2278" t="str">
            <v>KH97</v>
          </cell>
          <cell r="F2278">
            <v>3770</v>
          </cell>
          <cell r="G2278">
            <v>105.13</v>
          </cell>
          <cell r="H2278">
            <v>1.1499999999999999</v>
          </cell>
          <cell r="I2278" t="str">
            <v>From M1B to M2B - 15°</v>
          </cell>
          <cell r="J2278" t="str">
            <v>IE3</v>
          </cell>
          <cell r="K2278" t="str">
            <v>230/400</v>
          </cell>
          <cell r="L2278">
            <v>50</v>
          </cell>
          <cell r="M2278" t="str">
            <v>18,2/10,5</v>
          </cell>
          <cell r="N2278">
            <v>65</v>
          </cell>
          <cell r="O2278" t="str">
            <v>155(F)</v>
          </cell>
          <cell r="P2278" t="str">
            <v>270°</v>
          </cell>
          <cell r="Q2278" t="str">
            <v>-</v>
          </cell>
          <cell r="R2278" t="str">
            <v>-</v>
          </cell>
          <cell r="S2278" t="str">
            <v>-</v>
          </cell>
          <cell r="T2278" t="str">
            <v>-</v>
          </cell>
          <cell r="U2278" t="str">
            <v>-</v>
          </cell>
          <cell r="V2278" t="str">
            <v>SS</v>
          </cell>
          <cell r="W2278" t="str">
            <v>-</v>
          </cell>
          <cell r="X2278" t="str">
            <v>CLP PG 220 (-25/+80°C)</v>
          </cell>
          <cell r="Y2278" t="str">
            <v>KH97DRN132S4</v>
          </cell>
          <cell r="Z2278" t="str">
            <v>SEW</v>
          </cell>
          <cell r="AB2278" t="str">
            <v>-</v>
          </cell>
          <cell r="AF2278">
            <v>14</v>
          </cell>
          <cell r="AG2278" t="str">
            <v>DRN132S4</v>
          </cell>
          <cell r="AH2278" t="str">
            <v>KH97-DRN132S4B270-X</v>
          </cell>
        </row>
        <row r="2279">
          <cell r="A2279" t="str">
            <v>MR002267</v>
          </cell>
          <cell r="B2279" t="str">
            <v>MR</v>
          </cell>
          <cell r="C2279">
            <v>22</v>
          </cell>
          <cell r="D2279">
            <v>12</v>
          </cell>
          <cell r="E2279" t="str">
            <v>KH157</v>
          </cell>
          <cell r="F2279">
            <v>17400</v>
          </cell>
          <cell r="G2279">
            <v>122.4</v>
          </cell>
          <cell r="H2279">
            <v>1.1499999999999999</v>
          </cell>
          <cell r="I2279" t="str">
            <v>From M1A to M2A - 5°</v>
          </cell>
          <cell r="J2279" t="str">
            <v>IE3</v>
          </cell>
          <cell r="K2279" t="str">
            <v>400/690</v>
          </cell>
          <cell r="L2279">
            <v>50</v>
          </cell>
          <cell r="M2279" t="str">
            <v>38,5/22,5</v>
          </cell>
          <cell r="N2279">
            <v>65</v>
          </cell>
          <cell r="O2279" t="str">
            <v>155(F)</v>
          </cell>
          <cell r="P2279" t="str">
            <v>270°</v>
          </cell>
          <cell r="Q2279" t="str">
            <v>TF</v>
          </cell>
          <cell r="R2279" t="str">
            <v>V(VE)</v>
          </cell>
          <cell r="S2279" t="str">
            <v>-</v>
          </cell>
          <cell r="T2279" t="str">
            <v>-</v>
          </cell>
          <cell r="U2279" t="str">
            <v>-</v>
          </cell>
          <cell r="V2279" t="str">
            <v>FC</v>
          </cell>
          <cell r="W2279" t="str">
            <v>-</v>
          </cell>
          <cell r="X2279" t="str">
            <v>CLP PG 220 (-25/+80°C)</v>
          </cell>
          <cell r="Y2279" t="str">
            <v>KH157DRN180L4 /TF/V</v>
          </cell>
          <cell r="Z2279" t="str">
            <v>SEW</v>
          </cell>
          <cell r="AB2279" t="str">
            <v>-</v>
          </cell>
          <cell r="AF2279">
            <v>12</v>
          </cell>
          <cell r="AG2279" t="str">
            <v>DRN180L4</v>
          </cell>
          <cell r="AH2279" t="str">
            <v>KH157-DRN180L4A270-X#</v>
          </cell>
        </row>
        <row r="2280">
          <cell r="A2280" t="str">
            <v>MR002268</v>
          </cell>
          <cell r="B2280" t="str">
            <v>MR</v>
          </cell>
          <cell r="C2280">
            <v>22</v>
          </cell>
          <cell r="D2280">
            <v>12</v>
          </cell>
          <cell r="E2280" t="str">
            <v>KH157</v>
          </cell>
          <cell r="F2280">
            <v>17400</v>
          </cell>
          <cell r="G2280">
            <v>122.4</v>
          </cell>
          <cell r="H2280">
            <v>1.1499999999999999</v>
          </cell>
          <cell r="I2280" t="str">
            <v>From M1B to M2B - 5°</v>
          </cell>
          <cell r="J2280" t="str">
            <v>IE3</v>
          </cell>
          <cell r="K2280" t="str">
            <v>400/690</v>
          </cell>
          <cell r="L2280">
            <v>50</v>
          </cell>
          <cell r="M2280" t="str">
            <v>38,5/22,5</v>
          </cell>
          <cell r="N2280">
            <v>65</v>
          </cell>
          <cell r="O2280" t="str">
            <v>155(F)</v>
          </cell>
          <cell r="P2280" t="str">
            <v>270°</v>
          </cell>
          <cell r="Q2280" t="str">
            <v>TF</v>
          </cell>
          <cell r="R2280" t="str">
            <v>V(VE)</v>
          </cell>
          <cell r="S2280" t="str">
            <v>-</v>
          </cell>
          <cell r="T2280" t="str">
            <v>-</v>
          </cell>
          <cell r="U2280" t="str">
            <v>-</v>
          </cell>
          <cell r="V2280" t="str">
            <v>FC</v>
          </cell>
          <cell r="W2280" t="str">
            <v>-</v>
          </cell>
          <cell r="X2280" t="str">
            <v>CLP PG 220 (-25/+80°C)</v>
          </cell>
          <cell r="Y2280" t="str">
            <v>KH157DRN180L4 /TF/V</v>
          </cell>
          <cell r="Z2280" t="str">
            <v>SEW</v>
          </cell>
          <cell r="AB2280" t="str">
            <v>-</v>
          </cell>
          <cell r="AF2280">
            <v>12</v>
          </cell>
          <cell r="AG2280" t="str">
            <v>DRN180L4</v>
          </cell>
          <cell r="AH2280" t="str">
            <v>KH157-DRN180L4B270-X#</v>
          </cell>
        </row>
        <row r="2281">
          <cell r="A2281" t="str">
            <v>MR002269</v>
          </cell>
          <cell r="B2281" t="str">
            <v>MR</v>
          </cell>
          <cell r="C2281">
            <v>18.5</v>
          </cell>
          <cell r="D2281">
            <v>12</v>
          </cell>
          <cell r="E2281" t="str">
            <v>KH157</v>
          </cell>
          <cell r="F2281">
            <v>14600</v>
          </cell>
          <cell r="G2281">
            <v>122.4</v>
          </cell>
          <cell r="H2281">
            <v>1.35</v>
          </cell>
          <cell r="I2281" t="str">
            <v>M1A</v>
          </cell>
          <cell r="J2281" t="str">
            <v>IE3</v>
          </cell>
          <cell r="K2281" t="str">
            <v>400/690</v>
          </cell>
          <cell r="L2281">
            <v>50</v>
          </cell>
          <cell r="M2281" t="str">
            <v>33,5/19,3</v>
          </cell>
          <cell r="N2281">
            <v>65</v>
          </cell>
          <cell r="O2281" t="str">
            <v>155(F)</v>
          </cell>
          <cell r="P2281" t="str">
            <v>270°</v>
          </cell>
          <cell r="Q2281" t="str">
            <v>TF</v>
          </cell>
          <cell r="R2281" t="str">
            <v>V(VE)</v>
          </cell>
          <cell r="S2281" t="str">
            <v>-</v>
          </cell>
          <cell r="T2281" t="str">
            <v>-</v>
          </cell>
          <cell r="U2281" t="str">
            <v>-</v>
          </cell>
          <cell r="V2281" t="str">
            <v>FC</v>
          </cell>
          <cell r="W2281" t="str">
            <v>-</v>
          </cell>
          <cell r="X2281" t="str">
            <v>CLP PG 220 (-25/+80°C)</v>
          </cell>
          <cell r="Y2281" t="str">
            <v>KH157DRN180M4 /TF/V</v>
          </cell>
          <cell r="Z2281" t="str">
            <v>SEW</v>
          </cell>
          <cell r="AB2281" t="str">
            <v>-</v>
          </cell>
          <cell r="AF2281">
            <v>12</v>
          </cell>
          <cell r="AG2281" t="str">
            <v>DRN180M4</v>
          </cell>
          <cell r="AH2281" t="str">
            <v>KH157-DRN180M4A270-X#</v>
          </cell>
        </row>
        <row r="2282">
          <cell r="A2282" t="str">
            <v>MR002270</v>
          </cell>
          <cell r="B2282" t="str">
            <v>MR</v>
          </cell>
          <cell r="C2282">
            <v>18.5</v>
          </cell>
          <cell r="D2282">
            <v>59</v>
          </cell>
          <cell r="E2282" t="str">
            <v>FH97</v>
          </cell>
          <cell r="F2282">
            <v>2970</v>
          </cell>
          <cell r="G2282">
            <v>24.92</v>
          </cell>
          <cell r="H2282">
            <v>1.45</v>
          </cell>
          <cell r="I2282" t="str">
            <v>M1</v>
          </cell>
          <cell r="J2282" t="str">
            <v>IE3</v>
          </cell>
          <cell r="K2282" t="str">
            <v>400/690</v>
          </cell>
          <cell r="L2282">
            <v>50</v>
          </cell>
          <cell r="M2282" t="str">
            <v>33,5/19,3</v>
          </cell>
          <cell r="N2282">
            <v>65</v>
          </cell>
          <cell r="O2282" t="str">
            <v>155(F)</v>
          </cell>
          <cell r="P2282" t="str">
            <v>270°</v>
          </cell>
          <cell r="Q2282" t="str">
            <v>-</v>
          </cell>
          <cell r="R2282" t="str">
            <v>-</v>
          </cell>
          <cell r="S2282" t="str">
            <v>-</v>
          </cell>
          <cell r="T2282" t="str">
            <v>-</v>
          </cell>
          <cell r="U2282" t="str">
            <v>G</v>
          </cell>
          <cell r="V2282" t="str">
            <v>D+R</v>
          </cell>
          <cell r="W2282" t="str">
            <v>-</v>
          </cell>
          <cell r="X2282" t="str">
            <v>CLP PG 220 (-25/+80°C)</v>
          </cell>
          <cell r="Y2282" t="str">
            <v>FH97/G DRN180M4</v>
          </cell>
          <cell r="Z2282" t="str">
            <v>SEW</v>
          </cell>
          <cell r="AB2282" t="str">
            <v>-</v>
          </cell>
          <cell r="AF2282">
            <v>59</v>
          </cell>
          <cell r="AG2282" t="str">
            <v>DRN180M4</v>
          </cell>
          <cell r="AH2282" t="str">
            <v>FH97G-DRN180M4270-X</v>
          </cell>
        </row>
        <row r="2283">
          <cell r="A2283" t="str">
            <v>MR002271</v>
          </cell>
          <cell r="B2283" t="str">
            <v>MR</v>
          </cell>
          <cell r="C2283">
            <v>18.5</v>
          </cell>
          <cell r="D2283">
            <v>12</v>
          </cell>
          <cell r="E2283" t="str">
            <v>KH157</v>
          </cell>
          <cell r="F2283">
            <v>14600</v>
          </cell>
          <cell r="G2283">
            <v>122.4</v>
          </cell>
          <cell r="H2283">
            <v>1.35</v>
          </cell>
          <cell r="I2283" t="str">
            <v>From M1A to M2A - 30°</v>
          </cell>
          <cell r="J2283" t="str">
            <v>IE3</v>
          </cell>
          <cell r="K2283" t="str">
            <v>400/690</v>
          </cell>
          <cell r="L2283">
            <v>50</v>
          </cell>
          <cell r="M2283" t="str">
            <v>33,5/19,3</v>
          </cell>
          <cell r="N2283">
            <v>65</v>
          </cell>
          <cell r="O2283" t="str">
            <v>155(F)</v>
          </cell>
          <cell r="P2283" t="str">
            <v>270°</v>
          </cell>
          <cell r="Q2283" t="str">
            <v>TF</v>
          </cell>
          <cell r="R2283" t="str">
            <v>V(VE)</v>
          </cell>
          <cell r="S2283" t="str">
            <v>-</v>
          </cell>
          <cell r="T2283" t="str">
            <v>-</v>
          </cell>
          <cell r="U2283" t="str">
            <v>-</v>
          </cell>
          <cell r="V2283" t="str">
            <v>FC</v>
          </cell>
          <cell r="W2283" t="str">
            <v>-</v>
          </cell>
          <cell r="X2283" t="str">
            <v>CLP PG 220 (-25/+80°C)</v>
          </cell>
          <cell r="Y2283" t="str">
            <v>KH157DRN180M4 /TF/V</v>
          </cell>
          <cell r="Z2283" t="str">
            <v>SEW</v>
          </cell>
          <cell r="AB2283" t="str">
            <v>-</v>
          </cell>
          <cell r="AF2283">
            <v>12</v>
          </cell>
          <cell r="AG2283" t="str">
            <v>DRN180M4</v>
          </cell>
          <cell r="AH2283" t="str">
            <v>KH157-DRN180M4A270-X#</v>
          </cell>
        </row>
        <row r="2284">
          <cell r="A2284" t="str">
            <v>MR002272</v>
          </cell>
          <cell r="B2284" t="str">
            <v>MR</v>
          </cell>
          <cell r="C2284">
            <v>5.5</v>
          </cell>
          <cell r="D2284">
            <v>14</v>
          </cell>
          <cell r="E2284" t="str">
            <v>KH97</v>
          </cell>
          <cell r="F2284">
            <v>3770</v>
          </cell>
          <cell r="G2284">
            <v>105.13</v>
          </cell>
          <cell r="H2284">
            <v>1.1499999999999999</v>
          </cell>
          <cell r="I2284" t="str">
            <v>From M1B to M2B - 10°</v>
          </cell>
          <cell r="J2284" t="str">
            <v>IE3</v>
          </cell>
          <cell r="K2284" t="str">
            <v>230/400</v>
          </cell>
          <cell r="L2284">
            <v>50</v>
          </cell>
          <cell r="M2284" t="str">
            <v>18,2/10,5</v>
          </cell>
          <cell r="N2284">
            <v>65</v>
          </cell>
          <cell r="O2284" t="str">
            <v>155(F)</v>
          </cell>
          <cell r="P2284" t="str">
            <v>270°</v>
          </cell>
          <cell r="Q2284" t="str">
            <v>-</v>
          </cell>
          <cell r="R2284" t="str">
            <v>-</v>
          </cell>
          <cell r="S2284" t="str">
            <v>-</v>
          </cell>
          <cell r="T2284" t="str">
            <v>-</v>
          </cell>
          <cell r="U2284" t="str">
            <v>-</v>
          </cell>
          <cell r="V2284" t="str">
            <v>SS</v>
          </cell>
          <cell r="W2284" t="str">
            <v>-</v>
          </cell>
          <cell r="X2284" t="str">
            <v>CLP PG 220 (-25/+80°C)</v>
          </cell>
          <cell r="Y2284" t="str">
            <v>KH97DRN132S4</v>
          </cell>
          <cell r="Z2284" t="str">
            <v>SEW</v>
          </cell>
          <cell r="AB2284" t="str">
            <v>-</v>
          </cell>
          <cell r="AF2284">
            <v>14</v>
          </cell>
          <cell r="AG2284" t="str">
            <v>DRN132S4</v>
          </cell>
          <cell r="AH2284" t="str">
            <v>KH97-DRN132S4B270-X</v>
          </cell>
        </row>
        <row r="2285">
          <cell r="A2285" t="str">
            <v>MR002273</v>
          </cell>
          <cell r="B2285" t="str">
            <v>MR</v>
          </cell>
          <cell r="C2285">
            <v>30</v>
          </cell>
          <cell r="D2285">
            <v>37</v>
          </cell>
          <cell r="E2285" t="str">
            <v>KH127</v>
          </cell>
          <cell r="F2285">
            <v>7780</v>
          </cell>
          <cell r="G2285">
            <v>40.19</v>
          </cell>
          <cell r="H2285">
            <v>1.65</v>
          </cell>
          <cell r="I2285" t="str">
            <v>M4A</v>
          </cell>
          <cell r="J2285" t="str">
            <v>IE3</v>
          </cell>
          <cell r="K2285" t="str">
            <v>400/690</v>
          </cell>
          <cell r="L2285">
            <v>50</v>
          </cell>
          <cell r="M2285" t="str">
            <v>57/33</v>
          </cell>
          <cell r="N2285">
            <v>65</v>
          </cell>
          <cell r="O2285" t="str">
            <v>155(F)</v>
          </cell>
          <cell r="P2285" t="str">
            <v>270°</v>
          </cell>
          <cell r="Q2285" t="str">
            <v>-</v>
          </cell>
          <cell r="R2285" t="str">
            <v>-</v>
          </cell>
          <cell r="S2285" t="str">
            <v>-</v>
          </cell>
          <cell r="T2285" t="str">
            <v>-</v>
          </cell>
          <cell r="U2285" t="str">
            <v>T</v>
          </cell>
          <cell r="V2285" t="str">
            <v>SS</v>
          </cell>
          <cell r="W2285" t="str">
            <v>YES</v>
          </cell>
          <cell r="X2285" t="str">
            <v>CLP PG 220 (-25/+80°C)</v>
          </cell>
          <cell r="Y2285" t="str">
            <v>KH127/T EDRN200L4</v>
          </cell>
          <cell r="Z2285" t="str">
            <v>SEW</v>
          </cell>
          <cell r="AB2285" t="str">
            <v>ATEX22</v>
          </cell>
          <cell r="AF2285">
            <v>37</v>
          </cell>
          <cell r="AG2285" t="str">
            <v>EDRN200L4</v>
          </cell>
          <cell r="AH2285" t="str">
            <v>KH127T-EDRN200L4A270-X</v>
          </cell>
        </row>
        <row r="2286">
          <cell r="A2286" t="str">
            <v>MR002274</v>
          </cell>
          <cell r="B2286" t="str">
            <v>MR</v>
          </cell>
          <cell r="C2286">
            <v>0.75</v>
          </cell>
          <cell r="D2286">
            <v>162</v>
          </cell>
          <cell r="E2286" t="str">
            <v>KA37</v>
          </cell>
          <cell r="F2286">
            <v>44</v>
          </cell>
          <cell r="G2286">
            <v>8.91</v>
          </cell>
          <cell r="H2286">
            <v>3.1</v>
          </cell>
          <cell r="I2286" t="str">
            <v>M1A</v>
          </cell>
          <cell r="J2286" t="str">
            <v>IE3</v>
          </cell>
          <cell r="K2286" t="str">
            <v>230/400</v>
          </cell>
          <cell r="L2286">
            <v>50</v>
          </cell>
          <cell r="M2286" t="str">
            <v>3,1/1,79</v>
          </cell>
          <cell r="N2286">
            <v>65</v>
          </cell>
          <cell r="O2286" t="str">
            <v>155(F)</v>
          </cell>
          <cell r="P2286" t="str">
            <v>180°</v>
          </cell>
          <cell r="Q2286" t="str">
            <v>-</v>
          </cell>
          <cell r="R2286" t="str">
            <v>-</v>
          </cell>
          <cell r="S2286" t="str">
            <v>-</v>
          </cell>
          <cell r="T2286" t="str">
            <v>-</v>
          </cell>
          <cell r="U2286" t="str">
            <v>T</v>
          </cell>
          <cell r="V2286" t="str">
            <v>D</v>
          </cell>
          <cell r="W2286" t="str">
            <v>-</v>
          </cell>
          <cell r="X2286" t="str">
            <v>CLP PG 220 (-25/+80°C)</v>
          </cell>
          <cell r="Y2286" t="str">
            <v>KA37/T EDRN80M4</v>
          </cell>
          <cell r="Z2286" t="str">
            <v>SEW</v>
          </cell>
          <cell r="AB2286" t="str">
            <v>ATEX22</v>
          </cell>
          <cell r="AF2286">
            <v>162</v>
          </cell>
          <cell r="AG2286" t="str">
            <v>EDRN80M4</v>
          </cell>
          <cell r="AH2286" t="str">
            <v>KA37T-EDRN80M4A180-X</v>
          </cell>
        </row>
        <row r="2287">
          <cell r="A2287" t="str">
            <v>MR002275</v>
          </cell>
          <cell r="B2287" t="str">
            <v>ME</v>
          </cell>
          <cell r="C2287">
            <v>1.5</v>
          </cell>
          <cell r="D2287">
            <v>1445</v>
          </cell>
          <cell r="F2287">
            <v>9.9</v>
          </cell>
          <cell r="I2287" t="str">
            <v>B3</v>
          </cell>
          <cell r="J2287" t="str">
            <v>IE3</v>
          </cell>
          <cell r="K2287" t="str">
            <v>230/400</v>
          </cell>
          <cell r="L2287">
            <v>50</v>
          </cell>
          <cell r="M2287" t="str">
            <v>5,5/3,15</v>
          </cell>
          <cell r="N2287">
            <v>55</v>
          </cell>
          <cell r="O2287" t="str">
            <v>155(F)</v>
          </cell>
          <cell r="Q2287" t="str">
            <v>-</v>
          </cell>
          <cell r="R2287" t="str">
            <v>-</v>
          </cell>
          <cell r="S2287" t="str">
            <v>-</v>
          </cell>
          <cell r="T2287" t="str">
            <v>-</v>
          </cell>
          <cell r="U2287" t="str">
            <v>-</v>
          </cell>
          <cell r="V2287" t="str">
            <v>D</v>
          </cell>
          <cell r="W2287" t="str">
            <v>YES</v>
          </cell>
          <cell r="X2287" t="str">
            <v>-</v>
          </cell>
          <cell r="Y2287" t="str">
            <v>1MB1023-0EB42-2AA4-Z  D03+Q02</v>
          </cell>
          <cell r="Z2287" t="str">
            <v>SIEMENS</v>
          </cell>
          <cell r="AB2287" t="str">
            <v>ATEX22</v>
          </cell>
          <cell r="AF2287">
            <v>1445</v>
          </cell>
          <cell r="AG2287" t="str">
            <v>EDRN90L4</v>
          </cell>
          <cell r="AH2287" t="str">
            <v>-EDRN90L4B-X</v>
          </cell>
        </row>
        <row r="2288">
          <cell r="A2288" t="str">
            <v>MR002276</v>
          </cell>
          <cell r="B2288" t="str">
            <v>MR</v>
          </cell>
          <cell r="C2288">
            <v>5.5</v>
          </cell>
          <cell r="D2288">
            <v>94</v>
          </cell>
          <cell r="E2288" t="str">
            <v>R77</v>
          </cell>
          <cell r="F2288">
            <v>560</v>
          </cell>
          <cell r="G2288">
            <v>15.6</v>
          </cell>
          <cell r="H2288">
            <v>1.3</v>
          </cell>
          <cell r="I2288" t="str">
            <v>M3</v>
          </cell>
          <cell r="J2288" t="str">
            <v>IE3</v>
          </cell>
          <cell r="K2288" t="str">
            <v>230/400</v>
          </cell>
          <cell r="L2288">
            <v>50</v>
          </cell>
          <cell r="M2288" t="str">
            <v>18,2/10,5</v>
          </cell>
          <cell r="N2288">
            <v>55</v>
          </cell>
          <cell r="O2288" t="str">
            <v>155(F)</v>
          </cell>
          <cell r="P2288" t="str">
            <v>0°</v>
          </cell>
          <cell r="Q2288" t="str">
            <v>-</v>
          </cell>
          <cell r="R2288" t="str">
            <v>-</v>
          </cell>
          <cell r="S2288" t="str">
            <v>-</v>
          </cell>
          <cell r="T2288" t="str">
            <v>-</v>
          </cell>
          <cell r="U2288" t="str">
            <v>-</v>
          </cell>
          <cell r="V2288" t="str">
            <v>D</v>
          </cell>
          <cell r="W2288" t="str">
            <v>-</v>
          </cell>
          <cell r="X2288" t="str">
            <v>CLP 220 (-15/+40°C)</v>
          </cell>
          <cell r="Y2288" t="str">
            <v>R77DRN132S4</v>
          </cell>
          <cell r="Z2288" t="str">
            <v>SEW</v>
          </cell>
          <cell r="AB2288" t="str">
            <v>-</v>
          </cell>
          <cell r="AF2288">
            <v>94</v>
          </cell>
          <cell r="AG2288" t="str">
            <v>DRN132S4</v>
          </cell>
          <cell r="AH2288" t="str">
            <v>R77-DRN132S40-X</v>
          </cell>
        </row>
        <row r="2289">
          <cell r="A2289" t="str">
            <v>MR002277</v>
          </cell>
          <cell r="B2289" t="str">
            <v>MR</v>
          </cell>
          <cell r="C2289">
            <v>15</v>
          </cell>
          <cell r="D2289">
            <v>60</v>
          </cell>
          <cell r="E2289" t="str">
            <v>KH97</v>
          </cell>
          <cell r="F2289">
            <v>2400</v>
          </cell>
          <cell r="G2289">
            <v>24.75</v>
          </cell>
          <cell r="H2289">
            <v>1.7</v>
          </cell>
          <cell r="I2289" t="str">
            <v>M4B</v>
          </cell>
          <cell r="J2289" t="str">
            <v>IE3</v>
          </cell>
          <cell r="K2289" t="str">
            <v>400/690</v>
          </cell>
          <cell r="L2289">
            <v>50</v>
          </cell>
          <cell r="M2289" t="str">
            <v>29,5/16,9</v>
          </cell>
          <cell r="N2289">
            <v>65</v>
          </cell>
          <cell r="O2289" t="str">
            <v>155(F)</v>
          </cell>
          <cell r="P2289" t="str">
            <v>270°</v>
          </cell>
          <cell r="Q2289" t="str">
            <v>-</v>
          </cell>
          <cell r="R2289" t="str">
            <v>-</v>
          </cell>
          <cell r="S2289" t="str">
            <v>Free rotation CW</v>
          </cell>
          <cell r="T2289" t="str">
            <v>-</v>
          </cell>
          <cell r="U2289" t="str">
            <v>T</v>
          </cell>
          <cell r="V2289" t="str">
            <v>SS</v>
          </cell>
          <cell r="W2289" t="str">
            <v>YES</v>
          </cell>
          <cell r="X2289" t="str">
            <v>CLP PG 220 (-25/+80°C)</v>
          </cell>
          <cell r="Y2289" t="str">
            <v>KH97/T EDRN160L4 /RS</v>
          </cell>
          <cell r="Z2289" t="str">
            <v>SEW</v>
          </cell>
          <cell r="AB2289" t="str">
            <v>ATEX22</v>
          </cell>
          <cell r="AF2289">
            <v>60</v>
          </cell>
          <cell r="AG2289" t="str">
            <v>EDRN160L4</v>
          </cell>
          <cell r="AH2289" t="str">
            <v>KH97T-EDRN160L4B270-X</v>
          </cell>
        </row>
        <row r="2290">
          <cell r="A2290" t="str">
            <v>MR002278</v>
          </cell>
          <cell r="B2290" t="str">
            <v>MR</v>
          </cell>
          <cell r="C2290">
            <v>0.75</v>
          </cell>
          <cell r="D2290">
            <v>162</v>
          </cell>
          <cell r="E2290" t="str">
            <v>KA37</v>
          </cell>
          <cell r="F2290">
            <v>44</v>
          </cell>
          <cell r="G2290">
            <v>8.91</v>
          </cell>
          <cell r="H2290">
            <v>3.1</v>
          </cell>
          <cell r="I2290" t="str">
            <v>M1B</v>
          </cell>
          <cell r="J2290" t="str">
            <v>IE3</v>
          </cell>
          <cell r="K2290" t="str">
            <v>230/400</v>
          </cell>
          <cell r="L2290">
            <v>50</v>
          </cell>
          <cell r="M2290" t="str">
            <v>3,1/1,79</v>
          </cell>
          <cell r="N2290">
            <v>65</v>
          </cell>
          <cell r="O2290" t="str">
            <v>155(F)</v>
          </cell>
          <cell r="P2290" t="str">
            <v>0°</v>
          </cell>
          <cell r="Q2290" t="str">
            <v>-</v>
          </cell>
          <cell r="R2290" t="str">
            <v>-</v>
          </cell>
          <cell r="S2290" t="str">
            <v>-</v>
          </cell>
          <cell r="T2290" t="str">
            <v>-</v>
          </cell>
          <cell r="U2290" t="str">
            <v>T</v>
          </cell>
          <cell r="V2290" t="str">
            <v>D</v>
          </cell>
          <cell r="W2290" t="str">
            <v>-</v>
          </cell>
          <cell r="X2290" t="str">
            <v>CLP PG 220 (-25/+80°C)</v>
          </cell>
          <cell r="Y2290" t="str">
            <v>KA37/T EDRN80M4</v>
          </cell>
          <cell r="Z2290" t="str">
            <v>SEW</v>
          </cell>
          <cell r="AB2290" t="str">
            <v>ATEX22</v>
          </cell>
          <cell r="AF2290">
            <v>162</v>
          </cell>
          <cell r="AG2290" t="str">
            <v>EDRN80M4</v>
          </cell>
          <cell r="AH2290" t="str">
            <v>KA37T-EDRN80M4B0-X</v>
          </cell>
        </row>
        <row r="2291">
          <cell r="A2291" t="str">
            <v>MR002279</v>
          </cell>
          <cell r="B2291" t="str">
            <v>MR</v>
          </cell>
          <cell r="C2291">
            <v>15</v>
          </cell>
          <cell r="D2291">
            <v>60</v>
          </cell>
          <cell r="E2291" t="str">
            <v>KH97</v>
          </cell>
          <cell r="F2291">
            <v>2400</v>
          </cell>
          <cell r="G2291">
            <v>24.75</v>
          </cell>
          <cell r="H2291">
            <v>1.7</v>
          </cell>
          <cell r="I2291" t="str">
            <v>M4A</v>
          </cell>
          <cell r="J2291" t="str">
            <v>IE3</v>
          </cell>
          <cell r="K2291" t="str">
            <v>400/690</v>
          </cell>
          <cell r="L2291">
            <v>50</v>
          </cell>
          <cell r="M2291" t="str">
            <v>29,5/16,9</v>
          </cell>
          <cell r="N2291">
            <v>65</v>
          </cell>
          <cell r="O2291" t="str">
            <v>155(F)</v>
          </cell>
          <cell r="P2291" t="str">
            <v>270°</v>
          </cell>
          <cell r="Q2291" t="str">
            <v>-</v>
          </cell>
          <cell r="R2291" t="str">
            <v>-</v>
          </cell>
          <cell r="S2291" t="str">
            <v>-</v>
          </cell>
          <cell r="T2291" t="str">
            <v>-</v>
          </cell>
          <cell r="U2291" t="str">
            <v>T</v>
          </cell>
          <cell r="V2291" t="str">
            <v>SS</v>
          </cell>
          <cell r="W2291" t="str">
            <v>YES</v>
          </cell>
          <cell r="X2291" t="str">
            <v>CLP PG 220 (-25/+80°C)</v>
          </cell>
          <cell r="Y2291" t="str">
            <v>KH97/T EDRN160L4</v>
          </cell>
          <cell r="Z2291" t="str">
            <v>SEW</v>
          </cell>
          <cell r="AB2291" t="str">
            <v>ATEX22</v>
          </cell>
          <cell r="AF2291">
            <v>60</v>
          </cell>
          <cell r="AG2291" t="str">
            <v>EDRN160L4</v>
          </cell>
          <cell r="AH2291" t="str">
            <v>KH97T-EDRN160L4A270-X</v>
          </cell>
        </row>
        <row r="2292">
          <cell r="A2292" t="str">
            <v>MR002280</v>
          </cell>
          <cell r="B2292" t="str">
            <v>MR</v>
          </cell>
          <cell r="C2292">
            <v>2.2000000000000002</v>
          </cell>
          <cell r="D2292">
            <v>95</v>
          </cell>
          <cell r="E2292" t="str">
            <v>KA67</v>
          </cell>
          <cell r="F2292">
            <v>220</v>
          </cell>
          <cell r="G2292">
            <v>15.19</v>
          </cell>
          <cell r="H2292">
            <v>2.7</v>
          </cell>
          <cell r="I2292" t="str">
            <v>M1AB</v>
          </cell>
          <cell r="J2292" t="str">
            <v>IE3</v>
          </cell>
          <cell r="K2292" t="str">
            <v>230/400</v>
          </cell>
          <cell r="L2292">
            <v>50</v>
          </cell>
          <cell r="M2292" t="str">
            <v>8,3/4,8</v>
          </cell>
          <cell r="N2292">
            <v>65</v>
          </cell>
          <cell r="O2292" t="str">
            <v>155(F)</v>
          </cell>
          <cell r="P2292" t="str">
            <v>270°</v>
          </cell>
          <cell r="Q2292" t="str">
            <v>-</v>
          </cell>
          <cell r="R2292" t="str">
            <v>-</v>
          </cell>
          <cell r="S2292" t="str">
            <v>-</v>
          </cell>
          <cell r="T2292" t="str">
            <v>-</v>
          </cell>
          <cell r="U2292" t="str">
            <v>T</v>
          </cell>
          <cell r="V2292" t="str">
            <v>D</v>
          </cell>
          <cell r="W2292" t="str">
            <v>YES</v>
          </cell>
          <cell r="X2292" t="str">
            <v>CLP PG 220 (-25/+80°C)</v>
          </cell>
          <cell r="Y2292" t="str">
            <v>KA67/T EDRN100LS4</v>
          </cell>
          <cell r="Z2292" t="str">
            <v>SEW</v>
          </cell>
          <cell r="AB2292" t="str">
            <v>ATEX22</v>
          </cell>
          <cell r="AF2292">
            <v>95</v>
          </cell>
          <cell r="AG2292" t="str">
            <v>EDRN100LS4</v>
          </cell>
          <cell r="AH2292" t="str">
            <v>KA67T-EDRN100LS4B270-X</v>
          </cell>
        </row>
        <row r="2293">
          <cell r="A2293" t="str">
            <v>MR002281</v>
          </cell>
          <cell r="B2293" t="str">
            <v>MR</v>
          </cell>
          <cell r="C2293">
            <v>15</v>
          </cell>
          <cell r="D2293">
            <v>60</v>
          </cell>
          <cell r="E2293" t="str">
            <v>KH97</v>
          </cell>
          <cell r="F2293">
            <v>2400</v>
          </cell>
          <cell r="G2293">
            <v>24.75</v>
          </cell>
          <cell r="H2293">
            <v>1.7</v>
          </cell>
          <cell r="I2293" t="str">
            <v>M4A</v>
          </cell>
          <cell r="J2293" t="str">
            <v>IE3</v>
          </cell>
          <cell r="K2293" t="str">
            <v>400/690</v>
          </cell>
          <cell r="L2293">
            <v>50</v>
          </cell>
          <cell r="M2293" t="str">
            <v>29,5/16,9</v>
          </cell>
          <cell r="N2293">
            <v>65</v>
          </cell>
          <cell r="O2293" t="str">
            <v>155(F)</v>
          </cell>
          <cell r="P2293" t="str">
            <v>270°</v>
          </cell>
          <cell r="Q2293" t="str">
            <v>-</v>
          </cell>
          <cell r="R2293" t="str">
            <v>-</v>
          </cell>
          <cell r="S2293" t="str">
            <v>Free rotation CCW</v>
          </cell>
          <cell r="T2293" t="str">
            <v>-</v>
          </cell>
          <cell r="U2293" t="str">
            <v>T</v>
          </cell>
          <cell r="V2293" t="str">
            <v>SS</v>
          </cell>
          <cell r="W2293" t="str">
            <v>YES</v>
          </cell>
          <cell r="X2293" t="str">
            <v>CLP PG 220 (-25/+80°C)</v>
          </cell>
          <cell r="Y2293" t="str">
            <v>KH97/T EDRN160L4 /RS</v>
          </cell>
          <cell r="Z2293" t="str">
            <v>SEW</v>
          </cell>
          <cell r="AB2293" t="str">
            <v>ATEX22</v>
          </cell>
          <cell r="AF2293">
            <v>60</v>
          </cell>
          <cell r="AG2293" t="str">
            <v>EDRN160L4</v>
          </cell>
          <cell r="AH2293" t="str">
            <v>KH97T-EDRN160L4A270-X</v>
          </cell>
        </row>
        <row r="2294">
          <cell r="A2294" t="str">
            <v>MR002282</v>
          </cell>
          <cell r="B2294" t="str">
            <v>MR</v>
          </cell>
          <cell r="C2294">
            <v>0.75</v>
          </cell>
          <cell r="D2294">
            <v>162</v>
          </cell>
          <cell r="E2294" t="str">
            <v>KA37</v>
          </cell>
          <cell r="F2294">
            <v>44</v>
          </cell>
          <cell r="G2294">
            <v>8.91</v>
          </cell>
          <cell r="H2294">
            <v>3.1</v>
          </cell>
          <cell r="I2294" t="str">
            <v>M1A</v>
          </cell>
          <cell r="J2294" t="str">
            <v>IE3</v>
          </cell>
          <cell r="K2294" t="str">
            <v>230/400</v>
          </cell>
          <cell r="L2294">
            <v>50</v>
          </cell>
          <cell r="M2294" t="str">
            <v>3,1/1,79</v>
          </cell>
          <cell r="N2294">
            <v>65</v>
          </cell>
          <cell r="O2294" t="str">
            <v>155(F)</v>
          </cell>
          <cell r="P2294" t="str">
            <v>180°</v>
          </cell>
          <cell r="Q2294" t="str">
            <v>-</v>
          </cell>
          <cell r="R2294" t="str">
            <v>-</v>
          </cell>
          <cell r="S2294" t="str">
            <v>-</v>
          </cell>
          <cell r="T2294" t="str">
            <v>-</v>
          </cell>
          <cell r="U2294" t="str">
            <v>T</v>
          </cell>
          <cell r="V2294" t="str">
            <v>D</v>
          </cell>
          <cell r="W2294" t="str">
            <v>-</v>
          </cell>
          <cell r="X2294" t="str">
            <v>CLP PG 220 (-25/+80°C)</v>
          </cell>
          <cell r="Y2294" t="str">
            <v>KA37/T EDRN80M4</v>
          </cell>
          <cell r="Z2294" t="str">
            <v>SEW</v>
          </cell>
          <cell r="AB2294" t="str">
            <v>ATEX22</v>
          </cell>
          <cell r="AF2294">
            <v>162</v>
          </cell>
          <cell r="AG2294" t="str">
            <v>EDRN80M4</v>
          </cell>
          <cell r="AH2294" t="str">
            <v>KA37T-EDRN80M4A180-X</v>
          </cell>
        </row>
        <row r="2295">
          <cell r="A2295" t="str">
            <v>MR002283</v>
          </cell>
          <cell r="B2295" t="str">
            <v>MR</v>
          </cell>
          <cell r="C2295">
            <v>18.5</v>
          </cell>
          <cell r="D2295">
            <v>60</v>
          </cell>
          <cell r="E2295" t="str">
            <v>KH97</v>
          </cell>
          <cell r="F2295">
            <v>2960</v>
          </cell>
          <cell r="G2295">
            <v>24.75</v>
          </cell>
          <cell r="H2295">
            <v>1.4</v>
          </cell>
          <cell r="I2295" t="str">
            <v>M4B</v>
          </cell>
          <cell r="J2295" t="str">
            <v>IE3</v>
          </cell>
          <cell r="K2295" t="str">
            <v>400/690</v>
          </cell>
          <cell r="L2295">
            <v>50</v>
          </cell>
          <cell r="M2295" t="str">
            <v>35/20</v>
          </cell>
          <cell r="N2295">
            <v>65</v>
          </cell>
          <cell r="O2295" t="str">
            <v>155(F)</v>
          </cell>
          <cell r="P2295" t="str">
            <v>270°</v>
          </cell>
          <cell r="Q2295" t="str">
            <v>-</v>
          </cell>
          <cell r="R2295" t="str">
            <v>-</v>
          </cell>
          <cell r="S2295" t="str">
            <v>Free rotation CW</v>
          </cell>
          <cell r="T2295" t="str">
            <v>-</v>
          </cell>
          <cell r="U2295" t="str">
            <v>T</v>
          </cell>
          <cell r="V2295" t="str">
            <v>SS</v>
          </cell>
          <cell r="W2295" t="str">
            <v>YES</v>
          </cell>
          <cell r="X2295" t="str">
            <v>CLP PG 220 (-25/+80°C)</v>
          </cell>
          <cell r="Y2295" t="str">
            <v>KH97/T/II2GD EDRN180M4/3D/RS/AL/C</v>
          </cell>
          <cell r="Z2295" t="str">
            <v>SEW</v>
          </cell>
          <cell r="AB2295" t="str">
            <v>ATEX22</v>
          </cell>
          <cell r="AF2295">
            <v>60</v>
          </cell>
          <cell r="AG2295" t="str">
            <v>EDRN180M4</v>
          </cell>
          <cell r="AH2295" t="str">
            <v>KH97T-EDRN180M4B270-X</v>
          </cell>
        </row>
        <row r="2296">
          <cell r="A2296" t="str">
            <v>MR002284</v>
          </cell>
          <cell r="B2296" t="str">
            <v>MR</v>
          </cell>
          <cell r="C2296">
            <v>7.5</v>
          </cell>
          <cell r="D2296">
            <v>64</v>
          </cell>
          <cell r="E2296" t="str">
            <v>K77</v>
          </cell>
          <cell r="F2296">
            <v>1130</v>
          </cell>
          <cell r="G2296">
            <v>23.08</v>
          </cell>
          <cell r="H2296">
            <v>1.1499999999999999</v>
          </cell>
          <cell r="I2296" t="str">
            <v>M4A</v>
          </cell>
          <cell r="J2296" t="str">
            <v>IE3</v>
          </cell>
          <cell r="K2296" t="str">
            <v>400/690</v>
          </cell>
          <cell r="L2296">
            <v>50</v>
          </cell>
          <cell r="M2296" t="str">
            <v>15,2/8,8</v>
          </cell>
          <cell r="N2296">
            <v>65</v>
          </cell>
          <cell r="O2296" t="str">
            <v>155(F)</v>
          </cell>
          <cell r="P2296" t="str">
            <v>180°</v>
          </cell>
          <cell r="Q2296" t="str">
            <v>TF</v>
          </cell>
          <cell r="R2296" t="str">
            <v>V(VE)</v>
          </cell>
          <cell r="S2296" t="str">
            <v>-</v>
          </cell>
          <cell r="T2296" t="str">
            <v>-</v>
          </cell>
          <cell r="U2296" t="str">
            <v>-</v>
          </cell>
          <cell r="V2296" t="str">
            <v>FC+R</v>
          </cell>
          <cell r="W2296" t="str">
            <v>YES</v>
          </cell>
          <cell r="X2296" t="str">
            <v>CLP PG 220 (-25/+80°C)</v>
          </cell>
          <cell r="Y2296" t="str">
            <v>K77EDRN132M4 /TF/VE</v>
          </cell>
          <cell r="Z2296" t="str">
            <v>SEW</v>
          </cell>
          <cell r="AB2296" t="str">
            <v>ATEX22</v>
          </cell>
          <cell r="AF2296">
            <v>64</v>
          </cell>
          <cell r="AG2296" t="str">
            <v>EDRN132M4</v>
          </cell>
          <cell r="AH2296" t="str">
            <v>K77-EDRN132M4A180-X#</v>
          </cell>
        </row>
        <row r="2297">
          <cell r="A2297" t="str">
            <v>MR002285</v>
          </cell>
          <cell r="B2297" t="str">
            <v>MR</v>
          </cell>
          <cell r="C2297">
            <v>3</v>
          </cell>
          <cell r="D2297">
            <v>61</v>
          </cell>
          <cell r="E2297" t="str">
            <v>KH67</v>
          </cell>
          <cell r="F2297">
            <v>470</v>
          </cell>
          <cell r="G2297">
            <v>24</v>
          </cell>
          <cell r="H2297">
            <v>1.45</v>
          </cell>
          <cell r="I2297" t="str">
            <v>M4A</v>
          </cell>
          <cell r="J2297" t="str">
            <v>IE3</v>
          </cell>
          <cell r="K2297" t="str">
            <v>230/400</v>
          </cell>
          <cell r="L2297">
            <v>50</v>
          </cell>
          <cell r="M2297" t="str">
            <v>11,2/6,4</v>
          </cell>
          <cell r="N2297">
            <v>65</v>
          </cell>
          <cell r="O2297" t="str">
            <v>155(F)</v>
          </cell>
          <cell r="P2297" t="str">
            <v>180°</v>
          </cell>
          <cell r="Q2297" t="str">
            <v>-</v>
          </cell>
          <cell r="R2297" t="str">
            <v>-</v>
          </cell>
          <cell r="S2297" t="str">
            <v>-</v>
          </cell>
          <cell r="T2297" t="str">
            <v>-</v>
          </cell>
          <cell r="U2297" t="str">
            <v>T</v>
          </cell>
          <cell r="V2297" t="str">
            <v>D</v>
          </cell>
          <cell r="W2297" t="str">
            <v>YES</v>
          </cell>
          <cell r="X2297" t="str">
            <v>CLP PG 220 (-25/+80°C)</v>
          </cell>
          <cell r="Y2297" t="str">
            <v>KH67/T EDRN100L4</v>
          </cell>
          <cell r="Z2297" t="str">
            <v>SEW</v>
          </cell>
          <cell r="AB2297" t="str">
            <v>ATEX22</v>
          </cell>
          <cell r="AF2297">
            <v>61</v>
          </cell>
          <cell r="AG2297" t="str">
            <v>EDRN100L4</v>
          </cell>
          <cell r="AH2297" t="str">
            <v>KH67T-EDRN100L4A180-X</v>
          </cell>
        </row>
        <row r="2298">
          <cell r="A2298" t="str">
            <v>MR002286</v>
          </cell>
          <cell r="B2298" t="str">
            <v>MR</v>
          </cell>
          <cell r="C2298">
            <v>0.75</v>
          </cell>
          <cell r="D2298">
            <v>162</v>
          </cell>
          <cell r="E2298" t="str">
            <v>KA37</v>
          </cell>
          <cell r="F2298">
            <v>44</v>
          </cell>
          <cell r="G2298">
            <v>8.91</v>
          </cell>
          <cell r="H2298">
            <v>3</v>
          </cell>
          <cell r="I2298" t="str">
            <v>M3B</v>
          </cell>
          <cell r="J2298" t="str">
            <v>IE3</v>
          </cell>
          <cell r="K2298" t="str">
            <v>230/400</v>
          </cell>
          <cell r="L2298">
            <v>50</v>
          </cell>
          <cell r="M2298" t="str">
            <v>3,05/1,75</v>
          </cell>
          <cell r="N2298">
            <v>65</v>
          </cell>
          <cell r="O2298" t="str">
            <v>155(F)</v>
          </cell>
          <cell r="P2298" t="str">
            <v>0°</v>
          </cell>
          <cell r="Q2298" t="str">
            <v>-</v>
          </cell>
          <cell r="R2298" t="str">
            <v>-</v>
          </cell>
          <cell r="S2298" t="str">
            <v>-</v>
          </cell>
          <cell r="T2298" t="str">
            <v>-</v>
          </cell>
          <cell r="U2298" t="str">
            <v>T</v>
          </cell>
          <cell r="V2298" t="str">
            <v>D</v>
          </cell>
          <cell r="W2298" t="str">
            <v>-</v>
          </cell>
          <cell r="X2298" t="str">
            <v>CLP PG 220 (-25/+80°C)</v>
          </cell>
          <cell r="Y2298" t="str">
            <v>KA37/T EDRN80M4</v>
          </cell>
          <cell r="Z2298" t="str">
            <v>SEW</v>
          </cell>
          <cell r="AB2298" t="str">
            <v>ATEX22</v>
          </cell>
          <cell r="AF2298">
            <v>162</v>
          </cell>
          <cell r="AG2298" t="str">
            <v>EDRN80M4</v>
          </cell>
          <cell r="AH2298" t="str">
            <v>KA37T-EDRN80M4B0-X</v>
          </cell>
        </row>
        <row r="2299">
          <cell r="A2299" t="str">
            <v>MR002287</v>
          </cell>
          <cell r="B2299" t="str">
            <v>MR</v>
          </cell>
          <cell r="C2299">
            <v>0.37</v>
          </cell>
          <cell r="D2299">
            <v>4.5999999999999996</v>
          </cell>
          <cell r="E2299" t="str">
            <v>FA67/GR37</v>
          </cell>
          <cell r="F2299">
            <v>690</v>
          </cell>
          <cell r="G2299">
            <v>305</v>
          </cell>
          <cell r="H2299">
            <v>1.2</v>
          </cell>
          <cell r="I2299" t="str">
            <v>M5</v>
          </cell>
          <cell r="J2299" t="str">
            <v>IE3</v>
          </cell>
          <cell r="K2299" t="str">
            <v>230/400</v>
          </cell>
          <cell r="L2299">
            <v>50</v>
          </cell>
          <cell r="M2299" t="str">
            <v>1,98/1,14</v>
          </cell>
          <cell r="N2299">
            <v>65</v>
          </cell>
          <cell r="O2299" t="str">
            <v>155(F)</v>
          </cell>
          <cell r="P2299" t="str">
            <v>180°</v>
          </cell>
          <cell r="Q2299" t="str">
            <v>-</v>
          </cell>
          <cell r="R2299" t="str">
            <v>-</v>
          </cell>
          <cell r="S2299" t="str">
            <v>-</v>
          </cell>
          <cell r="T2299" t="str">
            <v>-</v>
          </cell>
          <cell r="U2299" t="str">
            <v>G</v>
          </cell>
          <cell r="V2299" t="str">
            <v>D</v>
          </cell>
          <cell r="W2299" t="str">
            <v>-</v>
          </cell>
          <cell r="X2299" t="str">
            <v>CLP PG 220 (-25/+80°C)</v>
          </cell>
          <cell r="Y2299" t="str">
            <v>FA67/GR37/II2GDEDRN71M4/3D/KCC/AL</v>
          </cell>
          <cell r="Z2299" t="str">
            <v>SEW</v>
          </cell>
          <cell r="AB2299" t="str">
            <v>ATEX22</v>
          </cell>
          <cell r="AF2299">
            <v>4.5999999999999996</v>
          </cell>
          <cell r="AG2299" t="str">
            <v>EDRN71M4</v>
          </cell>
          <cell r="AH2299" t="str">
            <v>FA67/GR37G-EDRN71M4180-X</v>
          </cell>
        </row>
        <row r="2300">
          <cell r="A2300" t="str">
            <v>MR002288</v>
          </cell>
          <cell r="B2300" t="str">
            <v>ME</v>
          </cell>
          <cell r="C2300">
            <v>200</v>
          </cell>
          <cell r="D2300">
            <v>1488</v>
          </cell>
          <cell r="E2300" t="str">
            <v>-</v>
          </cell>
          <cell r="F2300">
            <v>1284</v>
          </cell>
          <cell r="G2300" t="str">
            <v>-</v>
          </cell>
          <cell r="H2300" t="str">
            <v>-</v>
          </cell>
          <cell r="I2300" t="str">
            <v>IM B35</v>
          </cell>
          <cell r="J2300" t="str">
            <v>IE3</v>
          </cell>
          <cell r="K2300">
            <v>400</v>
          </cell>
          <cell r="L2300">
            <v>50</v>
          </cell>
          <cell r="M2300">
            <v>340</v>
          </cell>
          <cell r="N2300">
            <v>55</v>
          </cell>
          <cell r="O2300" t="str">
            <v>155(F)</v>
          </cell>
          <cell r="P2300" t="str">
            <v>270°</v>
          </cell>
          <cell r="Q2300" t="str">
            <v>TF</v>
          </cell>
          <cell r="R2300" t="str">
            <v>V(VE)</v>
          </cell>
          <cell r="S2300" t="str">
            <v>-</v>
          </cell>
          <cell r="T2300" t="str">
            <v>-</v>
          </cell>
          <cell r="U2300" t="str">
            <v>-</v>
          </cell>
          <cell r="V2300" t="str">
            <v>FC</v>
          </cell>
          <cell r="W2300" t="str">
            <v>-</v>
          </cell>
          <cell r="X2300" t="str">
            <v>-</v>
          </cell>
          <cell r="Y2300" t="str">
            <v>1MB1523-3AB59-0AB6-Z</v>
          </cell>
          <cell r="Z2300" t="str">
            <v>SIEMENS</v>
          </cell>
          <cell r="AA2300" t="str">
            <v>RAL5010</v>
          </cell>
          <cell r="AB2300" t="str">
            <v>ATEX22</v>
          </cell>
          <cell r="AE2300" t="str">
            <v>TO COUPLE ON MR002178</v>
          </cell>
          <cell r="AF2300">
            <v>1488</v>
          </cell>
          <cell r="AG2300" t="e">
            <v>#N/A</v>
          </cell>
          <cell r="AH2300" t="e">
            <v>#N/A</v>
          </cell>
        </row>
        <row r="2301">
          <cell r="A2301" t="str">
            <v>MR002289</v>
          </cell>
          <cell r="B2301" t="str">
            <v>ME</v>
          </cell>
          <cell r="C2301">
            <v>2.2000000000000002</v>
          </cell>
          <cell r="D2301">
            <v>1465</v>
          </cell>
          <cell r="E2301" t="str">
            <v>-</v>
          </cell>
          <cell r="F2301">
            <v>14.3</v>
          </cell>
          <cell r="G2301" t="str">
            <v>-</v>
          </cell>
          <cell r="H2301" t="str">
            <v>-</v>
          </cell>
          <cell r="I2301" t="str">
            <v>IM B5</v>
          </cell>
          <cell r="J2301" t="str">
            <v>IE3</v>
          </cell>
          <cell r="K2301">
            <v>400</v>
          </cell>
          <cell r="L2301">
            <v>50</v>
          </cell>
          <cell r="M2301">
            <v>4.4000000000000004</v>
          </cell>
          <cell r="N2301">
            <v>55</v>
          </cell>
          <cell r="O2301" t="str">
            <v>155(F)</v>
          </cell>
          <cell r="P2301" t="str">
            <v>270°</v>
          </cell>
          <cell r="Q2301" t="str">
            <v>TF</v>
          </cell>
          <cell r="R2301" t="str">
            <v>V(VE)</v>
          </cell>
          <cell r="S2301" t="str">
            <v>-</v>
          </cell>
          <cell r="T2301" t="str">
            <v>-</v>
          </cell>
          <cell r="U2301" t="str">
            <v>-</v>
          </cell>
          <cell r="V2301" t="str">
            <v>FC</v>
          </cell>
          <cell r="W2301" t="str">
            <v>-</v>
          </cell>
          <cell r="X2301" t="str">
            <v>-</v>
          </cell>
          <cell r="Y2301" t="str">
            <v>1MB1523-1AB49-0GB4-Z</v>
          </cell>
          <cell r="Z2301" t="str">
            <v>SIEMENS</v>
          </cell>
          <cell r="AA2301" t="str">
            <v>RAL5010</v>
          </cell>
          <cell r="AB2301" t="str">
            <v>ATEX22</v>
          </cell>
          <cell r="AE2301" t="str">
            <v>TO COUPLE ON MR002180</v>
          </cell>
          <cell r="AF2301">
            <v>1465</v>
          </cell>
          <cell r="AG2301" t="str">
            <v>EDRN100LS4</v>
          </cell>
          <cell r="AH2301" t="str">
            <v>--EDRN100LS4B270-X#</v>
          </cell>
        </row>
        <row r="2302">
          <cell r="A2302" t="str">
            <v>MR002290</v>
          </cell>
          <cell r="B2302" t="str">
            <v>MR</v>
          </cell>
          <cell r="C2302">
            <v>11</v>
          </cell>
          <cell r="D2302">
            <v>18</v>
          </cell>
          <cell r="E2302" t="str">
            <v>KH107</v>
          </cell>
          <cell r="F2302">
            <v>5890</v>
          </cell>
          <cell r="G2302">
            <v>82.61</v>
          </cell>
          <cell r="H2302">
            <v>1.35</v>
          </cell>
          <cell r="I2302" t="str">
            <v>From M3 to M4 B 45°</v>
          </cell>
          <cell r="J2302" t="str">
            <v>IE3</v>
          </cell>
          <cell r="K2302" t="str">
            <v>400/690</v>
          </cell>
          <cell r="L2302">
            <v>50</v>
          </cell>
          <cell r="M2302" t="str">
            <v>21/12,2</v>
          </cell>
          <cell r="N2302">
            <v>55</v>
          </cell>
          <cell r="O2302" t="str">
            <v>155(F)</v>
          </cell>
          <cell r="P2302" t="str">
            <v>0°</v>
          </cell>
          <cell r="Q2302" t="str">
            <v>-</v>
          </cell>
          <cell r="R2302" t="str">
            <v>-</v>
          </cell>
          <cell r="S2302" t="str">
            <v>-</v>
          </cell>
          <cell r="T2302" t="str">
            <v>-</v>
          </cell>
          <cell r="U2302" t="str">
            <v>T</v>
          </cell>
          <cell r="V2302" t="str">
            <v>FC</v>
          </cell>
          <cell r="W2302" t="str">
            <v>-</v>
          </cell>
          <cell r="X2302" t="str">
            <v>CLP HC 220 (-25/+60°C)</v>
          </cell>
          <cell r="Y2302" t="str">
            <v>KH107/T DRN160M4</v>
          </cell>
          <cell r="Z2302" t="str">
            <v>SEW</v>
          </cell>
          <cell r="AB2302" t="str">
            <v>-</v>
          </cell>
          <cell r="AF2302">
            <v>18</v>
          </cell>
          <cell r="AG2302" t="str">
            <v>DRN160M4</v>
          </cell>
          <cell r="AH2302" t="str">
            <v>KH107T-DRN160M4B0-X</v>
          </cell>
        </row>
        <row r="2303">
          <cell r="A2303" t="str">
            <v>MR002291</v>
          </cell>
          <cell r="B2303" t="str">
            <v>MR</v>
          </cell>
          <cell r="C2303">
            <v>1.5</v>
          </cell>
          <cell r="D2303">
            <v>1.1000000000000001</v>
          </cell>
          <cell r="E2303" t="str">
            <v>KH127R77</v>
          </cell>
          <cell r="F2303">
            <v>12000</v>
          </cell>
          <cell r="G2303">
            <v>1342</v>
          </cell>
          <cell r="H2303">
            <v>1.1000000000000001</v>
          </cell>
          <cell r="I2303" t="str">
            <v>From M1 to M4 A 60°</v>
          </cell>
          <cell r="J2303" t="str">
            <v>IE3</v>
          </cell>
          <cell r="K2303" t="str">
            <v>230/400</v>
          </cell>
          <cell r="L2303">
            <v>50</v>
          </cell>
          <cell r="M2303" t="str">
            <v>5,9/3,4</v>
          </cell>
          <cell r="N2303">
            <v>55</v>
          </cell>
          <cell r="O2303" t="str">
            <v>155(F)</v>
          </cell>
          <cell r="P2303" t="str">
            <v>270°</v>
          </cell>
          <cell r="Q2303" t="str">
            <v>-</v>
          </cell>
          <cell r="R2303" t="str">
            <v>-</v>
          </cell>
          <cell r="S2303" t="str">
            <v>-</v>
          </cell>
          <cell r="T2303" t="str">
            <v>-</v>
          </cell>
          <cell r="U2303" t="str">
            <v>T</v>
          </cell>
          <cell r="V2303" t="str">
            <v>SS</v>
          </cell>
          <cell r="W2303" t="str">
            <v>-</v>
          </cell>
          <cell r="X2303" t="str">
            <v>CLP 220 (-15/+40°C)</v>
          </cell>
          <cell r="Y2303" t="str">
            <v>KH127R77/T DRN90L4</v>
          </cell>
          <cell r="Z2303" t="str">
            <v>SEW</v>
          </cell>
          <cell r="AB2303" t="str">
            <v>-</v>
          </cell>
          <cell r="AF2303">
            <v>1.1000000000000001</v>
          </cell>
          <cell r="AG2303" t="str">
            <v>DRN90L4</v>
          </cell>
          <cell r="AH2303" t="str">
            <v>KH127R77T-DRN90L4A270-X</v>
          </cell>
        </row>
        <row r="2304">
          <cell r="A2304" t="str">
            <v>MR002292</v>
          </cell>
          <cell r="B2304" t="str">
            <v>MR</v>
          </cell>
          <cell r="C2304">
            <v>3</v>
          </cell>
          <cell r="D2304">
            <v>1.5</v>
          </cell>
          <cell r="E2304" t="str">
            <v>KH157R97</v>
          </cell>
          <cell r="F2304">
            <v>16800</v>
          </cell>
          <cell r="G2304">
            <v>942</v>
          </cell>
          <cell r="H2304">
            <v>1.2</v>
          </cell>
          <cell r="I2304" t="str">
            <v>From M4A to M1A 30°</v>
          </cell>
          <cell r="J2304" t="str">
            <v>IE3</v>
          </cell>
          <cell r="K2304" t="str">
            <v>230/400</v>
          </cell>
          <cell r="L2304">
            <v>50</v>
          </cell>
          <cell r="M2304" t="str">
            <v>11,2/6,4</v>
          </cell>
          <cell r="N2304">
            <v>55</v>
          </cell>
          <cell r="O2304" t="str">
            <v>155(F)</v>
          </cell>
          <cell r="P2304" t="str">
            <v>270°</v>
          </cell>
          <cell r="Q2304" t="str">
            <v>TF</v>
          </cell>
          <cell r="R2304" t="str">
            <v>V(VE)</v>
          </cell>
          <cell r="S2304" t="str">
            <v>-</v>
          </cell>
          <cell r="T2304" t="str">
            <v>-</v>
          </cell>
          <cell r="U2304" t="str">
            <v>-</v>
          </cell>
          <cell r="V2304" t="str">
            <v>FC</v>
          </cell>
          <cell r="W2304" t="str">
            <v>-</v>
          </cell>
          <cell r="X2304" t="str">
            <v>CLP PG 220 (-25/+80°C)</v>
          </cell>
          <cell r="Y2304" t="str">
            <v>KH157R97DRN100L4 /TF/V</v>
          </cell>
          <cell r="Z2304" t="str">
            <v>SEW</v>
          </cell>
          <cell r="AB2304" t="str">
            <v>-</v>
          </cell>
          <cell r="AF2304">
            <v>1.5</v>
          </cell>
          <cell r="AG2304" t="str">
            <v>DRN100L4</v>
          </cell>
          <cell r="AH2304" t="str">
            <v>KH157R97-DRN100L4A270-X#</v>
          </cell>
        </row>
        <row r="2305">
          <cell r="A2305" t="str">
            <v>MR002293</v>
          </cell>
          <cell r="B2305" t="str">
            <v>MR</v>
          </cell>
          <cell r="C2305">
            <v>0.55000000000000004</v>
          </cell>
          <cell r="D2305">
            <v>0.74</v>
          </cell>
          <cell r="E2305" t="str">
            <v>KA107R77</v>
          </cell>
          <cell r="F2305">
            <v>6170</v>
          </cell>
          <cell r="G2305">
            <v>1939</v>
          </cell>
          <cell r="H2305">
            <v>1.3</v>
          </cell>
          <cell r="I2305" t="str">
            <v>From M1 to M2 A 30°</v>
          </cell>
          <cell r="J2305" t="str">
            <v>IE3</v>
          </cell>
          <cell r="K2305" t="str">
            <v>230/400</v>
          </cell>
          <cell r="L2305">
            <v>50</v>
          </cell>
          <cell r="M2305" t="str">
            <v>2,25/1,29</v>
          </cell>
          <cell r="N2305">
            <v>55</v>
          </cell>
          <cell r="O2305" t="str">
            <v>155(F)</v>
          </cell>
          <cell r="P2305" t="str">
            <v>180°</v>
          </cell>
          <cell r="Q2305" t="str">
            <v>-</v>
          </cell>
          <cell r="R2305" t="str">
            <v>-</v>
          </cell>
          <cell r="S2305" t="str">
            <v>-</v>
          </cell>
          <cell r="T2305" t="str">
            <v>-</v>
          </cell>
          <cell r="U2305" t="str">
            <v>T</v>
          </cell>
          <cell r="V2305" t="str">
            <v>SS</v>
          </cell>
          <cell r="W2305" t="str">
            <v>-</v>
          </cell>
          <cell r="X2305" t="str">
            <v>CLP 220 (-15/+40°C)</v>
          </cell>
          <cell r="Y2305" t="str">
            <v>KA107R77/T DRN80MK4</v>
          </cell>
          <cell r="Z2305" t="str">
            <v>SEW</v>
          </cell>
          <cell r="AB2305" t="str">
            <v>-</v>
          </cell>
          <cell r="AF2305">
            <v>0.74</v>
          </cell>
          <cell r="AG2305" t="str">
            <v>DRN80MK4</v>
          </cell>
          <cell r="AH2305" t="str">
            <v>KA107R77T-DRN80MK4A180-X</v>
          </cell>
        </row>
        <row r="2306">
          <cell r="A2306" t="str">
            <v>MR002294</v>
          </cell>
          <cell r="B2306" t="str">
            <v>MR</v>
          </cell>
          <cell r="C2306">
            <v>0.75</v>
          </cell>
          <cell r="D2306">
            <v>6.4</v>
          </cell>
          <cell r="E2306" t="str">
            <v>FA77</v>
          </cell>
          <cell r="F2306">
            <v>1120</v>
          </cell>
          <cell r="G2306">
            <v>225.8</v>
          </cell>
          <cell r="H2306">
            <v>1.35</v>
          </cell>
          <cell r="I2306" t="str">
            <v>M1</v>
          </cell>
          <cell r="J2306" t="str">
            <v>IE3</v>
          </cell>
          <cell r="K2306" t="str">
            <v>230/400</v>
          </cell>
          <cell r="L2306">
            <v>50</v>
          </cell>
          <cell r="M2306" t="str">
            <v>3,05/1,75</v>
          </cell>
          <cell r="N2306">
            <v>55</v>
          </cell>
          <cell r="O2306" t="str">
            <v>155(F)</v>
          </cell>
          <cell r="P2306" t="str">
            <v>0°</v>
          </cell>
          <cell r="Q2306" t="str">
            <v>-</v>
          </cell>
          <cell r="R2306" t="str">
            <v>-</v>
          </cell>
          <cell r="S2306" t="str">
            <v>-</v>
          </cell>
          <cell r="T2306" t="str">
            <v>-</v>
          </cell>
          <cell r="U2306" t="str">
            <v>G</v>
          </cell>
          <cell r="V2306" t="str">
            <v>D</v>
          </cell>
          <cell r="W2306" t="str">
            <v>-</v>
          </cell>
          <cell r="X2306" t="str">
            <v>CLP 220 (-15/+40°C)</v>
          </cell>
          <cell r="Y2306" t="str">
            <v>FA77/G DRN80M4</v>
          </cell>
          <cell r="Z2306" t="str">
            <v>SEW</v>
          </cell>
          <cell r="AB2306" t="str">
            <v>-</v>
          </cell>
          <cell r="AF2306">
            <v>6.4</v>
          </cell>
          <cell r="AG2306" t="str">
            <v>DRN80M4</v>
          </cell>
          <cell r="AH2306" t="str">
            <v>FA77G-DRN80M40-X</v>
          </cell>
        </row>
        <row r="2307">
          <cell r="A2307" t="str">
            <v>MR002295</v>
          </cell>
          <cell r="B2307" t="str">
            <v>MR</v>
          </cell>
          <cell r="C2307">
            <v>0.75</v>
          </cell>
          <cell r="D2307">
            <v>6.4</v>
          </cell>
          <cell r="E2307" t="str">
            <v>FA77</v>
          </cell>
          <cell r="F2307">
            <v>1120</v>
          </cell>
          <cell r="G2307">
            <v>225.8</v>
          </cell>
          <cell r="H2307">
            <v>1.35</v>
          </cell>
          <cell r="I2307" t="str">
            <v>From M1 to M4 - 5°</v>
          </cell>
          <cell r="J2307" t="str">
            <v>IE3</v>
          </cell>
          <cell r="K2307" t="str">
            <v>230/400</v>
          </cell>
          <cell r="L2307">
            <v>50</v>
          </cell>
          <cell r="M2307" t="str">
            <v>3,05/1,75</v>
          </cell>
          <cell r="N2307">
            <v>55</v>
          </cell>
          <cell r="O2307" t="str">
            <v>155(F)</v>
          </cell>
          <cell r="P2307" t="str">
            <v>0°</v>
          </cell>
          <cell r="Q2307" t="str">
            <v>-</v>
          </cell>
          <cell r="R2307" t="str">
            <v>-</v>
          </cell>
          <cell r="S2307" t="str">
            <v>-</v>
          </cell>
          <cell r="T2307" t="str">
            <v>-</v>
          </cell>
          <cell r="U2307" t="str">
            <v>G</v>
          </cell>
          <cell r="V2307" t="str">
            <v>D</v>
          </cell>
          <cell r="W2307" t="str">
            <v>-</v>
          </cell>
          <cell r="X2307" t="str">
            <v>CLP 220 (-15/+40°C)</v>
          </cell>
          <cell r="Y2307" t="str">
            <v>FA77/G DRN80M4</v>
          </cell>
          <cell r="Z2307" t="str">
            <v>SEW</v>
          </cell>
          <cell r="AB2307" t="str">
            <v>-</v>
          </cell>
          <cell r="AF2307">
            <v>6.4</v>
          </cell>
          <cell r="AG2307" t="str">
            <v>DRN80M4</v>
          </cell>
          <cell r="AH2307" t="str">
            <v>FA77G-DRN80M40-X</v>
          </cell>
        </row>
        <row r="2308">
          <cell r="A2308" t="str">
            <v>MR002296</v>
          </cell>
          <cell r="B2308" t="str">
            <v>MR</v>
          </cell>
          <cell r="C2308">
            <v>15</v>
          </cell>
          <cell r="D2308">
            <v>59</v>
          </cell>
          <cell r="E2308" t="str">
            <v>R107</v>
          </cell>
          <cell r="F2308">
            <v>2410</v>
          </cell>
          <cell r="G2308">
            <v>24.9</v>
          </cell>
          <cell r="H2308">
            <v>1.8</v>
          </cell>
          <cell r="I2308" t="str">
            <v>M1</v>
          </cell>
          <cell r="J2308" t="str">
            <v>IE3</v>
          </cell>
          <cell r="K2308" t="str">
            <v>400/690</v>
          </cell>
          <cell r="L2308">
            <v>50</v>
          </cell>
          <cell r="M2308" t="str">
            <v>29/16,7</v>
          </cell>
          <cell r="N2308">
            <v>55</v>
          </cell>
          <cell r="O2308" t="str">
            <v>155(F)</v>
          </cell>
          <cell r="P2308" t="str">
            <v>270°</v>
          </cell>
          <cell r="Q2308" t="str">
            <v>-</v>
          </cell>
          <cell r="R2308" t="str">
            <v>-</v>
          </cell>
          <cell r="S2308" t="str">
            <v>-</v>
          </cell>
          <cell r="T2308" t="str">
            <v>-</v>
          </cell>
          <cell r="U2308" t="str">
            <v>-</v>
          </cell>
          <cell r="V2308" t="str">
            <v>D+R</v>
          </cell>
          <cell r="W2308" t="str">
            <v>-</v>
          </cell>
          <cell r="X2308" t="str">
            <v>CLP 220 (-15/+40°C)</v>
          </cell>
          <cell r="Y2308" t="str">
            <v>R107DRN160L4</v>
          </cell>
          <cell r="Z2308" t="str">
            <v>SEW</v>
          </cell>
          <cell r="AB2308" t="str">
            <v>-</v>
          </cell>
          <cell r="AF2308">
            <v>59</v>
          </cell>
          <cell r="AG2308" t="str">
            <v>DRN160L4</v>
          </cell>
          <cell r="AH2308" t="str">
            <v>R107-DRN160L4270-X</v>
          </cell>
        </row>
        <row r="2309">
          <cell r="A2309" t="str">
            <v>MR002297</v>
          </cell>
          <cell r="B2309" t="str">
            <v>MR</v>
          </cell>
          <cell r="C2309">
            <v>22</v>
          </cell>
          <cell r="D2309">
            <v>56</v>
          </cell>
          <cell r="E2309" t="str">
            <v>KH107</v>
          </cell>
          <cell r="F2309">
            <v>3740</v>
          </cell>
          <cell r="G2309">
            <v>26.32</v>
          </cell>
          <cell r="H2309">
            <v>1.9</v>
          </cell>
          <cell r="I2309" t="str">
            <v>M4A</v>
          </cell>
          <cell r="J2309" t="str">
            <v>IE3</v>
          </cell>
          <cell r="K2309" t="str">
            <v>400/690</v>
          </cell>
          <cell r="L2309">
            <v>50</v>
          </cell>
          <cell r="M2309" t="str">
            <v>38,5/22,5</v>
          </cell>
          <cell r="N2309">
            <v>55</v>
          </cell>
          <cell r="O2309" t="str">
            <v>155(F)</v>
          </cell>
          <cell r="P2309" t="str">
            <v>270°</v>
          </cell>
          <cell r="Q2309" t="str">
            <v>-</v>
          </cell>
          <cell r="R2309" t="str">
            <v>-</v>
          </cell>
          <cell r="S2309" t="str">
            <v>Free rotation CCW</v>
          </cell>
          <cell r="T2309" t="str">
            <v>-</v>
          </cell>
          <cell r="U2309" t="str">
            <v>T</v>
          </cell>
          <cell r="V2309" t="str">
            <v>SS</v>
          </cell>
          <cell r="W2309" t="str">
            <v>-</v>
          </cell>
          <cell r="X2309" t="str">
            <v>CLP 220 (-15/+40°C)</v>
          </cell>
          <cell r="Y2309" t="str">
            <v>KH107/T DRN180L4 /RS</v>
          </cell>
          <cell r="Z2309" t="str">
            <v>SEW</v>
          </cell>
          <cell r="AB2309" t="str">
            <v>-</v>
          </cell>
          <cell r="AF2309">
            <v>56</v>
          </cell>
          <cell r="AG2309" t="str">
            <v>DRN180L4</v>
          </cell>
          <cell r="AH2309" t="str">
            <v>KH107T-DRN180L4A270-X</v>
          </cell>
        </row>
        <row r="2310">
          <cell r="A2310" t="str">
            <v>MR002298</v>
          </cell>
          <cell r="B2310" t="str">
            <v>MR</v>
          </cell>
          <cell r="C2310">
            <v>22</v>
          </cell>
          <cell r="D2310">
            <v>33</v>
          </cell>
          <cell r="E2310" t="str">
            <v>R137</v>
          </cell>
          <cell r="F2310">
            <v>6310</v>
          </cell>
          <cell r="G2310">
            <v>44.39</v>
          </cell>
          <cell r="H2310">
            <v>1.25</v>
          </cell>
          <cell r="I2310" t="str">
            <v>M1</v>
          </cell>
          <cell r="J2310" t="str">
            <v>IE3</v>
          </cell>
          <cell r="K2310" t="str">
            <v>400/690</v>
          </cell>
          <cell r="L2310">
            <v>50</v>
          </cell>
          <cell r="M2310" t="str">
            <v>38,5/22,5</v>
          </cell>
          <cell r="N2310">
            <v>55</v>
          </cell>
          <cell r="O2310" t="str">
            <v>155(F)</v>
          </cell>
          <cell r="P2310" t="str">
            <v>270°</v>
          </cell>
          <cell r="Q2310" t="str">
            <v>-</v>
          </cell>
          <cell r="R2310" t="str">
            <v>-</v>
          </cell>
          <cell r="S2310" t="str">
            <v>-</v>
          </cell>
          <cell r="T2310" t="str">
            <v>-</v>
          </cell>
          <cell r="U2310" t="str">
            <v>-</v>
          </cell>
          <cell r="V2310" t="str">
            <v>D+R</v>
          </cell>
          <cell r="W2310" t="str">
            <v>-</v>
          </cell>
          <cell r="X2310" t="str">
            <v>CLP 220 (-15/+40°C)</v>
          </cell>
          <cell r="Y2310" t="str">
            <v>R137DRN180L4</v>
          </cell>
          <cell r="Z2310" t="str">
            <v>SEW</v>
          </cell>
          <cell r="AB2310" t="str">
            <v>-</v>
          </cell>
          <cell r="AF2310">
            <v>33</v>
          </cell>
          <cell r="AG2310" t="str">
            <v>DRN180L4</v>
          </cell>
          <cell r="AH2310" t="str">
            <v>R137-DRN180L4270-X</v>
          </cell>
        </row>
        <row r="2311">
          <cell r="A2311" t="str">
            <v>MR002299</v>
          </cell>
          <cell r="B2311" t="str">
            <v>MR</v>
          </cell>
          <cell r="C2311">
            <v>30</v>
          </cell>
          <cell r="D2311">
            <v>81</v>
          </cell>
          <cell r="E2311" t="str">
            <v>R107</v>
          </cell>
          <cell r="F2311">
            <v>3520</v>
          </cell>
          <cell r="G2311">
            <v>18.21</v>
          </cell>
          <cell r="H2311">
            <v>1.2</v>
          </cell>
          <cell r="I2311" t="str">
            <v>M1</v>
          </cell>
          <cell r="J2311" t="str">
            <v>IE3</v>
          </cell>
          <cell r="K2311" t="str">
            <v>400/690</v>
          </cell>
          <cell r="L2311">
            <v>50</v>
          </cell>
          <cell r="M2311" t="str">
            <v>56/32,5</v>
          </cell>
          <cell r="N2311">
            <v>55</v>
          </cell>
          <cell r="O2311" t="str">
            <v>155(F)</v>
          </cell>
          <cell r="P2311" t="str">
            <v>270°</v>
          </cell>
          <cell r="Q2311" t="str">
            <v>-</v>
          </cell>
          <cell r="R2311" t="str">
            <v>-</v>
          </cell>
          <cell r="S2311" t="str">
            <v>-</v>
          </cell>
          <cell r="T2311" t="str">
            <v>-</v>
          </cell>
          <cell r="U2311" t="str">
            <v>-</v>
          </cell>
          <cell r="V2311" t="str">
            <v>D</v>
          </cell>
          <cell r="W2311" t="str">
            <v>-</v>
          </cell>
          <cell r="X2311" t="str">
            <v>CLP 220 (-15/+40°C)</v>
          </cell>
          <cell r="Y2311" t="str">
            <v>R107DRN200L4</v>
          </cell>
          <cell r="Z2311" t="str">
            <v>SEW</v>
          </cell>
          <cell r="AB2311" t="str">
            <v>-</v>
          </cell>
          <cell r="AF2311">
            <v>81</v>
          </cell>
          <cell r="AG2311" t="str">
            <v>DRN200L4</v>
          </cell>
          <cell r="AH2311" t="str">
            <v>R107-DRN200L4270-X</v>
          </cell>
        </row>
        <row r="2312">
          <cell r="A2312" t="str">
            <v>MR002300</v>
          </cell>
          <cell r="B2312" t="str">
            <v>MR</v>
          </cell>
          <cell r="C2312">
            <v>55</v>
          </cell>
          <cell r="D2312">
            <v>72</v>
          </cell>
          <cell r="E2312" t="str">
            <v>R147</v>
          </cell>
          <cell r="F2312">
            <v>7240</v>
          </cell>
          <cell r="G2312">
            <v>20.440000000000001</v>
          </cell>
          <cell r="H2312">
            <v>1.65</v>
          </cell>
          <cell r="I2312" t="str">
            <v>M4</v>
          </cell>
          <cell r="J2312" t="str">
            <v>IE3</v>
          </cell>
          <cell r="K2312" t="str">
            <v>400/690</v>
          </cell>
          <cell r="L2312">
            <v>50</v>
          </cell>
          <cell r="M2312" t="str">
            <v>104/61</v>
          </cell>
          <cell r="N2312">
            <v>55</v>
          </cell>
          <cell r="O2312" t="str">
            <v>155(F)</v>
          </cell>
          <cell r="P2312" t="str">
            <v>270°</v>
          </cell>
          <cell r="Q2312" t="str">
            <v>-</v>
          </cell>
          <cell r="R2312" t="str">
            <v>-</v>
          </cell>
          <cell r="S2312" t="str">
            <v>-</v>
          </cell>
          <cell r="T2312" t="str">
            <v>-</v>
          </cell>
          <cell r="U2312" t="str">
            <v>-</v>
          </cell>
          <cell r="V2312" t="str">
            <v>D</v>
          </cell>
          <cell r="W2312" t="str">
            <v>-</v>
          </cell>
          <cell r="X2312" t="str">
            <v>CLP 220 (-15/+40°C)</v>
          </cell>
          <cell r="Y2312" t="str">
            <v>R147DRN250M4</v>
          </cell>
          <cell r="Z2312" t="str">
            <v>SEW</v>
          </cell>
          <cell r="AB2312" t="str">
            <v>-</v>
          </cell>
          <cell r="AF2312">
            <v>72</v>
          </cell>
          <cell r="AG2312" t="str">
            <v>DRN250M4</v>
          </cell>
          <cell r="AH2312" t="str">
            <v>R147-DRN250M4270-X</v>
          </cell>
        </row>
        <row r="2313">
          <cell r="A2313" t="str">
            <v>MR002301</v>
          </cell>
          <cell r="B2313" t="str">
            <v>MR</v>
          </cell>
          <cell r="C2313">
            <v>55</v>
          </cell>
          <cell r="D2313">
            <v>61</v>
          </cell>
          <cell r="E2313" t="str">
            <v>R147</v>
          </cell>
          <cell r="F2313">
            <v>8570</v>
          </cell>
          <cell r="G2313">
            <v>24.19</v>
          </cell>
          <cell r="H2313">
            <v>1.4</v>
          </cell>
          <cell r="I2313" t="str">
            <v>M1</v>
          </cell>
          <cell r="J2313" t="str">
            <v>IE3</v>
          </cell>
          <cell r="K2313" t="str">
            <v>400/690</v>
          </cell>
          <cell r="L2313">
            <v>50</v>
          </cell>
          <cell r="M2313" t="str">
            <v>104/61</v>
          </cell>
          <cell r="N2313">
            <v>55</v>
          </cell>
          <cell r="O2313" t="str">
            <v>155(F)</v>
          </cell>
          <cell r="P2313" t="str">
            <v>270°</v>
          </cell>
          <cell r="Q2313" t="str">
            <v>-</v>
          </cell>
          <cell r="R2313" t="str">
            <v>-</v>
          </cell>
          <cell r="S2313" t="str">
            <v>-</v>
          </cell>
          <cell r="T2313" t="str">
            <v>-</v>
          </cell>
          <cell r="U2313" t="str">
            <v>-</v>
          </cell>
          <cell r="V2313" t="str">
            <v>D</v>
          </cell>
          <cell r="W2313" t="str">
            <v>-</v>
          </cell>
          <cell r="X2313" t="str">
            <v>CLP 220 (-15/+40°C)</v>
          </cell>
          <cell r="Y2313" t="str">
            <v>R147DRN250M4</v>
          </cell>
          <cell r="Z2313" t="str">
            <v>SEW</v>
          </cell>
          <cell r="AB2313" t="str">
            <v>-</v>
          </cell>
          <cell r="AF2313">
            <v>61</v>
          </cell>
          <cell r="AG2313" t="str">
            <v>DRN250M4</v>
          </cell>
          <cell r="AH2313" t="str">
            <v>R147-DRN250M4270-X</v>
          </cell>
        </row>
        <row r="2314">
          <cell r="A2314" t="str">
            <v>MR002302</v>
          </cell>
          <cell r="B2314" t="str">
            <v>MR</v>
          </cell>
          <cell r="C2314">
            <v>11</v>
          </cell>
          <cell r="D2314">
            <v>44</v>
          </cell>
          <cell r="E2314" t="str">
            <v>R97</v>
          </cell>
          <cell r="F2314">
            <v>2370</v>
          </cell>
          <cell r="G2314">
            <v>33.25</v>
          </cell>
          <cell r="H2314">
            <v>1.2</v>
          </cell>
          <cell r="I2314" t="str">
            <v>From M1 to M5 - 35°</v>
          </cell>
          <cell r="J2314" t="str">
            <v>IE3</v>
          </cell>
          <cell r="K2314" t="str">
            <v>400/690</v>
          </cell>
          <cell r="L2314">
            <v>50</v>
          </cell>
          <cell r="M2314" t="str">
            <v>21/12,2</v>
          </cell>
          <cell r="N2314">
            <v>55</v>
          </cell>
          <cell r="O2314" t="str">
            <v>155(F)</v>
          </cell>
          <cell r="P2314" t="str">
            <v>270°</v>
          </cell>
          <cell r="Q2314" t="str">
            <v>-</v>
          </cell>
          <cell r="R2314" t="str">
            <v>-</v>
          </cell>
          <cell r="S2314" t="str">
            <v>-</v>
          </cell>
          <cell r="T2314" t="str">
            <v>-</v>
          </cell>
          <cell r="U2314" t="str">
            <v>-</v>
          </cell>
          <cell r="V2314" t="str">
            <v>D</v>
          </cell>
          <cell r="W2314" t="str">
            <v>-</v>
          </cell>
          <cell r="X2314" t="str">
            <v>CLP 220 (-15/+40°C)</v>
          </cell>
          <cell r="Y2314" t="str">
            <v>R97DRN160M4</v>
          </cell>
          <cell r="Z2314" t="str">
            <v>SEW</v>
          </cell>
          <cell r="AB2314" t="str">
            <v>-</v>
          </cell>
          <cell r="AF2314">
            <v>44</v>
          </cell>
          <cell r="AG2314" t="str">
            <v>DRN160M4</v>
          </cell>
          <cell r="AH2314" t="str">
            <v>R97-DRN160M4270-X</v>
          </cell>
        </row>
        <row r="2315">
          <cell r="A2315" t="str">
            <v>MR002303</v>
          </cell>
          <cell r="B2315" t="str">
            <v>MR</v>
          </cell>
          <cell r="C2315">
            <v>9.1999999999999993</v>
          </cell>
          <cell r="D2315">
            <v>66</v>
          </cell>
          <cell r="E2315" t="str">
            <v>R97</v>
          </cell>
          <cell r="F2315">
            <v>1330</v>
          </cell>
          <cell r="G2315">
            <v>22.37</v>
          </cell>
          <cell r="H2315">
            <v>2</v>
          </cell>
          <cell r="I2315" t="str">
            <v>M1</v>
          </cell>
          <cell r="J2315" t="str">
            <v>IE3</v>
          </cell>
          <cell r="K2315" t="str">
            <v>400/690</v>
          </cell>
          <cell r="L2315">
            <v>50</v>
          </cell>
          <cell r="M2315" t="str">
            <v>18,7/10,8</v>
          </cell>
          <cell r="N2315">
            <v>55</v>
          </cell>
          <cell r="O2315" t="str">
            <v>155(F)</v>
          </cell>
          <cell r="P2315" t="str">
            <v>270°</v>
          </cell>
          <cell r="Q2315" t="str">
            <v>-</v>
          </cell>
          <cell r="R2315" t="str">
            <v>-</v>
          </cell>
          <cell r="S2315" t="str">
            <v>-</v>
          </cell>
          <cell r="T2315" t="str">
            <v>-</v>
          </cell>
          <cell r="U2315" t="str">
            <v>-</v>
          </cell>
          <cell r="V2315" t="str">
            <v>D+R</v>
          </cell>
          <cell r="W2315" t="str">
            <v>-</v>
          </cell>
          <cell r="X2315" t="str">
            <v>CLP 220 (-15/+40°C)</v>
          </cell>
          <cell r="Y2315" t="str">
            <v>R97DRN132L4</v>
          </cell>
          <cell r="Z2315" t="str">
            <v>SEW</v>
          </cell>
          <cell r="AB2315" t="str">
            <v>-</v>
          </cell>
          <cell r="AF2315">
            <v>66</v>
          </cell>
          <cell r="AG2315" t="str">
            <v>DRN132L4</v>
          </cell>
          <cell r="AH2315" t="str">
            <v>R97-DRN132L4270-X</v>
          </cell>
        </row>
        <row r="2316">
          <cell r="A2316" t="str">
            <v>MR002304</v>
          </cell>
          <cell r="B2316" t="str">
            <v>MR</v>
          </cell>
          <cell r="C2316">
            <v>22</v>
          </cell>
          <cell r="D2316">
            <v>12</v>
          </cell>
          <cell r="E2316" t="str">
            <v>KH157</v>
          </cell>
          <cell r="F2316">
            <v>17400</v>
          </cell>
          <cell r="G2316">
            <v>122.39</v>
          </cell>
          <cell r="H2316">
            <v>1.1499999999999999</v>
          </cell>
          <cell r="I2316" t="str">
            <v>From M1A to M2A - 5°</v>
          </cell>
          <cell r="J2316" t="str">
            <v>IE3</v>
          </cell>
          <cell r="K2316" t="str">
            <v>400/690</v>
          </cell>
          <cell r="L2316">
            <v>50</v>
          </cell>
          <cell r="M2316" t="str">
            <v>38,5/22,5</v>
          </cell>
          <cell r="N2316">
            <v>55</v>
          </cell>
          <cell r="O2316" t="str">
            <v>155(F)</v>
          </cell>
          <cell r="P2316" t="str">
            <v>180°</v>
          </cell>
          <cell r="Q2316" t="str">
            <v>TF</v>
          </cell>
          <cell r="R2316" t="str">
            <v>V(VE)</v>
          </cell>
          <cell r="S2316" t="str">
            <v>-</v>
          </cell>
          <cell r="T2316" t="str">
            <v>-</v>
          </cell>
          <cell r="U2316" t="str">
            <v>-</v>
          </cell>
          <cell r="V2316" t="str">
            <v>FC</v>
          </cell>
          <cell r="W2316" t="str">
            <v>-</v>
          </cell>
          <cell r="X2316" t="str">
            <v>CLP 220 (-15/+40°C)</v>
          </cell>
          <cell r="Y2316" t="str">
            <v>KH157DRN180L4 /TF/V</v>
          </cell>
          <cell r="Z2316" t="str">
            <v>SEW</v>
          </cell>
          <cell r="AB2316" t="str">
            <v>-</v>
          </cell>
          <cell r="AF2316">
            <v>12</v>
          </cell>
          <cell r="AG2316" t="str">
            <v>DRN180L4</v>
          </cell>
          <cell r="AH2316" t="str">
            <v>KH157-DRN180L4A180-X#</v>
          </cell>
        </row>
        <row r="2317">
          <cell r="A2317" t="str">
            <v>MR002305</v>
          </cell>
          <cell r="B2317" t="str">
            <v>MR</v>
          </cell>
          <cell r="C2317">
            <v>22</v>
          </cell>
          <cell r="D2317">
            <v>12</v>
          </cell>
          <cell r="E2317" t="str">
            <v>KH157</v>
          </cell>
          <cell r="F2317">
            <v>17400</v>
          </cell>
          <cell r="G2317">
            <v>122.39</v>
          </cell>
          <cell r="H2317">
            <v>1.1499999999999999</v>
          </cell>
          <cell r="I2317" t="str">
            <v>From M1B to M2B - 5°</v>
          </cell>
          <cell r="J2317" t="str">
            <v>IE3</v>
          </cell>
          <cell r="K2317" t="str">
            <v>400/690</v>
          </cell>
          <cell r="L2317">
            <v>50</v>
          </cell>
          <cell r="M2317" t="str">
            <v>38,5/22,5</v>
          </cell>
          <cell r="N2317">
            <v>55</v>
          </cell>
          <cell r="O2317" t="str">
            <v>155(F)</v>
          </cell>
          <cell r="P2317" t="str">
            <v>0°</v>
          </cell>
          <cell r="Q2317" t="str">
            <v>TF</v>
          </cell>
          <cell r="R2317" t="str">
            <v>V(VE)</v>
          </cell>
          <cell r="S2317" t="str">
            <v>-</v>
          </cell>
          <cell r="T2317" t="str">
            <v>-</v>
          </cell>
          <cell r="U2317" t="str">
            <v>-</v>
          </cell>
          <cell r="V2317" t="str">
            <v>FC</v>
          </cell>
          <cell r="W2317" t="str">
            <v>-</v>
          </cell>
          <cell r="X2317" t="str">
            <v>CLP 220 (-15/+40°C)</v>
          </cell>
          <cell r="Y2317" t="str">
            <v>KH157DRN180L4 /TF/V</v>
          </cell>
          <cell r="Z2317" t="str">
            <v>SEW</v>
          </cell>
          <cell r="AB2317" t="str">
            <v>-</v>
          </cell>
          <cell r="AF2317">
            <v>12</v>
          </cell>
          <cell r="AG2317" t="str">
            <v>DRN180L4</v>
          </cell>
          <cell r="AH2317" t="str">
            <v>KH157-DRN180L4B0-X#</v>
          </cell>
        </row>
        <row r="2318">
          <cell r="A2318" t="str">
            <v>MR002306</v>
          </cell>
          <cell r="B2318" t="str">
            <v>MR</v>
          </cell>
          <cell r="C2318">
            <v>15</v>
          </cell>
          <cell r="D2318">
            <v>12</v>
          </cell>
          <cell r="E2318" t="str">
            <v>KH127</v>
          </cell>
          <cell r="F2318">
            <v>11900</v>
          </cell>
          <cell r="G2318">
            <v>122.48</v>
          </cell>
          <cell r="H2318">
            <v>1.1000000000000001</v>
          </cell>
          <cell r="I2318" t="str">
            <v>M1A</v>
          </cell>
          <cell r="J2318" t="str">
            <v>IE3</v>
          </cell>
          <cell r="K2318" t="str">
            <v>400/690</v>
          </cell>
          <cell r="L2318">
            <v>50</v>
          </cell>
          <cell r="M2318" t="str">
            <v>29,5/16,9</v>
          </cell>
          <cell r="N2318">
            <v>65</v>
          </cell>
          <cell r="O2318" t="str">
            <v>155(F)</v>
          </cell>
          <cell r="P2318" t="str">
            <v>180°</v>
          </cell>
          <cell r="Q2318" t="str">
            <v>TF</v>
          </cell>
          <cell r="R2318" t="str">
            <v>V(VE)</v>
          </cell>
          <cell r="S2318" t="str">
            <v>-</v>
          </cell>
          <cell r="T2318" t="str">
            <v>-</v>
          </cell>
          <cell r="U2318" t="str">
            <v>-</v>
          </cell>
          <cell r="V2318" t="str">
            <v>FC</v>
          </cell>
          <cell r="W2318" t="str">
            <v>-</v>
          </cell>
          <cell r="X2318" t="str">
            <v>CLP HC 220 (-25/+60°C)</v>
          </cell>
          <cell r="Y2318" t="str">
            <v>KH127EDRN160L4 /TF/VE</v>
          </cell>
          <cell r="Z2318" t="str">
            <v>SEW</v>
          </cell>
          <cell r="AB2318" t="str">
            <v>ATEX22</v>
          </cell>
          <cell r="AF2318">
            <v>12</v>
          </cell>
          <cell r="AG2318" t="str">
            <v>EDRN160L4</v>
          </cell>
          <cell r="AH2318" t="str">
            <v>KH127-EDRN160L4A180-X#</v>
          </cell>
        </row>
        <row r="2319">
          <cell r="A2319" t="str">
            <v>MR002307</v>
          </cell>
          <cell r="B2319" t="str">
            <v>MR</v>
          </cell>
          <cell r="C2319">
            <v>15</v>
          </cell>
          <cell r="D2319">
            <v>12</v>
          </cell>
          <cell r="E2319" t="str">
            <v>KH127</v>
          </cell>
          <cell r="F2319">
            <v>11900</v>
          </cell>
          <cell r="G2319">
            <v>122.48</v>
          </cell>
          <cell r="H2319">
            <v>1.1000000000000001</v>
          </cell>
          <cell r="I2319" t="str">
            <v>M1B</v>
          </cell>
          <cell r="J2319" t="str">
            <v>IE3</v>
          </cell>
          <cell r="K2319" t="str">
            <v>400/690</v>
          </cell>
          <cell r="L2319">
            <v>50</v>
          </cell>
          <cell r="M2319" t="str">
            <v>29,5/16,9</v>
          </cell>
          <cell r="N2319">
            <v>65</v>
          </cell>
          <cell r="O2319" t="str">
            <v>155(F)</v>
          </cell>
          <cell r="P2319" t="str">
            <v>0°</v>
          </cell>
          <cell r="Q2319" t="str">
            <v>TF</v>
          </cell>
          <cell r="R2319" t="str">
            <v>V(VE)</v>
          </cell>
          <cell r="S2319" t="str">
            <v>-</v>
          </cell>
          <cell r="T2319" t="str">
            <v>-</v>
          </cell>
          <cell r="U2319" t="str">
            <v>-</v>
          </cell>
          <cell r="V2319" t="str">
            <v>FC</v>
          </cell>
          <cell r="W2319" t="str">
            <v>-</v>
          </cell>
          <cell r="X2319" t="str">
            <v>CLP HC 220 (-25/+60°C)</v>
          </cell>
          <cell r="Y2319" t="str">
            <v>KH127EDRN160L4 /TF/VE</v>
          </cell>
          <cell r="Z2319" t="str">
            <v>SEW</v>
          </cell>
          <cell r="AB2319" t="str">
            <v>ATEX22</v>
          </cell>
          <cell r="AF2319">
            <v>12</v>
          </cell>
          <cell r="AG2319" t="str">
            <v>EDRN160L4</v>
          </cell>
          <cell r="AH2319" t="str">
            <v>KH127-EDRN160L4B0-X#</v>
          </cell>
        </row>
        <row r="2320">
          <cell r="A2320" t="str">
            <v>MR002308</v>
          </cell>
          <cell r="B2320" t="str">
            <v>MR</v>
          </cell>
          <cell r="C2320">
            <v>22</v>
          </cell>
          <cell r="D2320">
            <v>59</v>
          </cell>
          <cell r="E2320" t="str">
            <v>R107</v>
          </cell>
          <cell r="F2320">
            <v>3540</v>
          </cell>
          <cell r="G2320">
            <v>24.9</v>
          </cell>
          <cell r="H2320">
            <v>1.2</v>
          </cell>
          <cell r="I2320" t="str">
            <v>M1</v>
          </cell>
          <cell r="J2320" t="str">
            <v>IE3</v>
          </cell>
          <cell r="K2320" t="str">
            <v>400/690</v>
          </cell>
          <cell r="L2320">
            <v>50</v>
          </cell>
          <cell r="M2320" t="str">
            <v>38,5/22,5</v>
          </cell>
          <cell r="N2320">
            <v>65</v>
          </cell>
          <cell r="O2320" t="str">
            <v>155(F)</v>
          </cell>
          <cell r="P2320" t="str">
            <v>270°</v>
          </cell>
          <cell r="Q2320" t="str">
            <v>-</v>
          </cell>
          <cell r="R2320" t="str">
            <v>-</v>
          </cell>
          <cell r="S2320" t="str">
            <v>-</v>
          </cell>
          <cell r="T2320" t="str">
            <v>-</v>
          </cell>
          <cell r="U2320" t="str">
            <v>-</v>
          </cell>
          <cell r="V2320" t="str">
            <v>D+R</v>
          </cell>
          <cell r="W2320" t="str">
            <v>-</v>
          </cell>
          <cell r="X2320" t="str">
            <v>CLP HC 220 (-25/+60°C)</v>
          </cell>
          <cell r="Y2320" t="str">
            <v>R107/II2GDEDRN180L4/3D/AL</v>
          </cell>
          <cell r="Z2320" t="str">
            <v>SEW</v>
          </cell>
          <cell r="AB2320" t="str">
            <v>ATEX22</v>
          </cell>
          <cell r="AF2320">
            <v>59</v>
          </cell>
          <cell r="AG2320" t="str">
            <v>EDRN180L4</v>
          </cell>
          <cell r="AH2320" t="str">
            <v>R107-EDRN180L4270-X</v>
          </cell>
        </row>
        <row r="2321">
          <cell r="A2321" t="str">
            <v>MR002309</v>
          </cell>
          <cell r="B2321" t="str">
            <v>MR</v>
          </cell>
          <cell r="C2321">
            <v>3</v>
          </cell>
          <cell r="D2321">
            <v>8.5</v>
          </cell>
          <cell r="E2321" t="str">
            <v>R107</v>
          </cell>
          <cell r="F2321">
            <v>3390</v>
          </cell>
          <cell r="G2321">
            <v>172.34</v>
          </cell>
          <cell r="H2321">
            <v>1.25</v>
          </cell>
          <cell r="I2321" t="str">
            <v>M1</v>
          </cell>
          <cell r="J2321" t="str">
            <v>IE3</v>
          </cell>
          <cell r="K2321" t="str">
            <v>230/400</v>
          </cell>
          <cell r="L2321">
            <v>50</v>
          </cell>
          <cell r="M2321" t="str">
            <v>11,2/6,4</v>
          </cell>
          <cell r="N2321">
            <v>55</v>
          </cell>
          <cell r="O2321" t="str">
            <v>155(F)</v>
          </cell>
          <cell r="P2321" t="str">
            <v>270°</v>
          </cell>
          <cell r="Q2321" t="str">
            <v>-</v>
          </cell>
          <cell r="R2321" t="str">
            <v>-</v>
          </cell>
          <cell r="S2321" t="str">
            <v>-</v>
          </cell>
          <cell r="T2321" t="str">
            <v>-</v>
          </cell>
          <cell r="U2321" t="str">
            <v>-</v>
          </cell>
          <cell r="V2321" t="str">
            <v>D</v>
          </cell>
          <cell r="W2321" t="str">
            <v>-</v>
          </cell>
          <cell r="X2321" t="str">
            <v>CLP 220 (-15/+40°C)</v>
          </cell>
          <cell r="Y2321" t="str">
            <v>R107DRN100L4</v>
          </cell>
          <cell r="Z2321" t="str">
            <v>SEW</v>
          </cell>
          <cell r="AB2321" t="str">
            <v>-</v>
          </cell>
          <cell r="AF2321">
            <v>8.5</v>
          </cell>
          <cell r="AG2321" t="str">
            <v>DRN100L4</v>
          </cell>
          <cell r="AH2321" t="str">
            <v>R107-DRN100L4270-X</v>
          </cell>
        </row>
        <row r="2322">
          <cell r="A2322" t="str">
            <v>MR002310</v>
          </cell>
          <cell r="B2322" t="str">
            <v>MR</v>
          </cell>
          <cell r="C2322">
            <v>3</v>
          </cell>
          <cell r="D2322">
            <v>23</v>
          </cell>
          <cell r="E2322" t="str">
            <v>R87</v>
          </cell>
          <cell r="F2322">
            <v>1250</v>
          </cell>
          <cell r="G2322">
            <v>63.68</v>
          </cell>
          <cell r="H2322">
            <v>1.25</v>
          </cell>
          <cell r="I2322" t="str">
            <v>M1</v>
          </cell>
          <cell r="J2322" t="str">
            <v>IE3</v>
          </cell>
          <cell r="K2322" t="str">
            <v>230/400</v>
          </cell>
          <cell r="L2322">
            <v>50</v>
          </cell>
          <cell r="M2322" t="str">
            <v>11,2/6,4</v>
          </cell>
          <cell r="N2322">
            <v>55</v>
          </cell>
          <cell r="O2322" t="str">
            <v>155(F)</v>
          </cell>
          <cell r="P2322" t="str">
            <v>270°</v>
          </cell>
          <cell r="Q2322" t="str">
            <v>-</v>
          </cell>
          <cell r="R2322" t="str">
            <v>-</v>
          </cell>
          <cell r="S2322" t="str">
            <v>-</v>
          </cell>
          <cell r="T2322" t="str">
            <v>-</v>
          </cell>
          <cell r="U2322" t="str">
            <v>-</v>
          </cell>
          <cell r="V2322" t="str">
            <v>D</v>
          </cell>
          <cell r="W2322" t="str">
            <v>-</v>
          </cell>
          <cell r="X2322" t="str">
            <v>CLP 220 (-15/+40°C)</v>
          </cell>
          <cell r="Y2322" t="str">
            <v>R87DRN100L4</v>
          </cell>
          <cell r="Z2322" t="str">
            <v>SEW</v>
          </cell>
          <cell r="AB2322" t="str">
            <v>-</v>
          </cell>
          <cell r="AF2322">
            <v>23</v>
          </cell>
          <cell r="AG2322" t="str">
            <v>DRN100L4</v>
          </cell>
          <cell r="AH2322" t="str">
            <v>R87-DRN100L4270-X</v>
          </cell>
        </row>
        <row r="2323">
          <cell r="A2323" t="str">
            <v>MR002311</v>
          </cell>
          <cell r="B2323" t="str">
            <v>MR</v>
          </cell>
          <cell r="C2323">
            <v>22</v>
          </cell>
          <cell r="D2323">
            <v>81</v>
          </cell>
          <cell r="E2323" t="str">
            <v>R107</v>
          </cell>
          <cell r="F2323">
            <v>2590</v>
          </cell>
          <cell r="G2323">
            <v>18.21</v>
          </cell>
          <cell r="H2323">
            <v>1.65</v>
          </cell>
          <cell r="I2323" t="str">
            <v>M1</v>
          </cell>
          <cell r="J2323" t="str">
            <v>IE3</v>
          </cell>
          <cell r="K2323" t="str">
            <v>400/690</v>
          </cell>
          <cell r="L2323">
            <v>50</v>
          </cell>
          <cell r="M2323" t="str">
            <v>38,5/22,5</v>
          </cell>
          <cell r="N2323">
            <v>65</v>
          </cell>
          <cell r="O2323" t="str">
            <v>155(F)</v>
          </cell>
          <cell r="P2323" t="str">
            <v>270°</v>
          </cell>
          <cell r="Q2323" t="str">
            <v>-</v>
          </cell>
          <cell r="R2323" t="str">
            <v>-</v>
          </cell>
          <cell r="S2323" t="str">
            <v>-</v>
          </cell>
          <cell r="T2323" t="str">
            <v>-</v>
          </cell>
          <cell r="U2323" t="str">
            <v>-</v>
          </cell>
          <cell r="V2323" t="str">
            <v>D</v>
          </cell>
          <cell r="W2323" t="str">
            <v>-</v>
          </cell>
          <cell r="X2323" t="str">
            <v>CLP HC 220 (-25/+60°C)</v>
          </cell>
          <cell r="Y2323" t="str">
            <v>R107EDRN180L4</v>
          </cell>
          <cell r="Z2323" t="str">
            <v>SEW</v>
          </cell>
          <cell r="AB2323" t="str">
            <v>ATEX22</v>
          </cell>
          <cell r="AF2323">
            <v>81</v>
          </cell>
          <cell r="AG2323" t="str">
            <v>EDRN180L4</v>
          </cell>
          <cell r="AH2323" t="str">
            <v>R107-EDRN180L4270-X</v>
          </cell>
        </row>
        <row r="2324">
          <cell r="A2324" t="str">
            <v>MR002312</v>
          </cell>
          <cell r="B2324" t="str">
            <v>MR</v>
          </cell>
          <cell r="C2324">
            <v>15</v>
          </cell>
          <cell r="D2324">
            <v>73</v>
          </cell>
          <cell r="E2324" t="str">
            <v>R97</v>
          </cell>
          <cell r="F2324">
            <v>1960</v>
          </cell>
          <cell r="G2324">
            <v>20.14</v>
          </cell>
          <cell r="H2324">
            <v>1.05</v>
          </cell>
          <cell r="I2324" t="str">
            <v>From M4 to M1 - 35°</v>
          </cell>
          <cell r="J2324" t="str">
            <v>IE3</v>
          </cell>
          <cell r="K2324" t="str">
            <v>400/690</v>
          </cell>
          <cell r="L2324">
            <v>50</v>
          </cell>
          <cell r="M2324" t="str">
            <v>29/16,7</v>
          </cell>
          <cell r="N2324">
            <v>65</v>
          </cell>
          <cell r="O2324" t="str">
            <v>155(F)</v>
          </cell>
          <cell r="P2324" t="str">
            <v>270°</v>
          </cell>
          <cell r="Q2324" t="str">
            <v>-</v>
          </cell>
          <cell r="R2324" t="str">
            <v>-</v>
          </cell>
          <cell r="S2324" t="str">
            <v>-</v>
          </cell>
          <cell r="T2324" t="str">
            <v>-</v>
          </cell>
          <cell r="U2324" t="str">
            <v>-</v>
          </cell>
          <cell r="V2324" t="str">
            <v>D</v>
          </cell>
          <cell r="W2324" t="str">
            <v>-</v>
          </cell>
          <cell r="X2324" t="str">
            <v>CLP HC 220 (-25/+60°C)</v>
          </cell>
          <cell r="Y2324" t="str">
            <v>R97EDRN160L4</v>
          </cell>
          <cell r="Z2324" t="str">
            <v>SEW</v>
          </cell>
          <cell r="AB2324" t="str">
            <v>ATEX22</v>
          </cell>
          <cell r="AF2324">
            <v>73</v>
          </cell>
          <cell r="AG2324" t="str">
            <v>EDRN160L4</v>
          </cell>
          <cell r="AH2324" t="str">
            <v>R97-EDRN160L4270-X</v>
          </cell>
        </row>
        <row r="2325">
          <cell r="A2325" t="str">
            <v>MR002313</v>
          </cell>
          <cell r="B2325" t="str">
            <v>MR</v>
          </cell>
          <cell r="C2325">
            <v>15</v>
          </cell>
          <cell r="D2325">
            <v>73</v>
          </cell>
          <cell r="E2325" t="str">
            <v>R97</v>
          </cell>
          <cell r="F2325">
            <v>1960</v>
          </cell>
          <cell r="G2325">
            <v>20.14</v>
          </cell>
          <cell r="H2325">
            <v>1.05</v>
          </cell>
          <cell r="I2325" t="str">
            <v>From M1 to M4 - 25°</v>
          </cell>
          <cell r="J2325" t="str">
            <v>IE3</v>
          </cell>
          <cell r="K2325" t="str">
            <v>400/690</v>
          </cell>
          <cell r="L2325">
            <v>50</v>
          </cell>
          <cell r="M2325" t="str">
            <v>29/16,7</v>
          </cell>
          <cell r="N2325">
            <v>65</v>
          </cell>
          <cell r="O2325" t="str">
            <v>155(F)</v>
          </cell>
          <cell r="P2325" t="str">
            <v>270°</v>
          </cell>
          <cell r="Q2325" t="str">
            <v>-</v>
          </cell>
          <cell r="R2325" t="str">
            <v>-</v>
          </cell>
          <cell r="S2325" t="str">
            <v>-</v>
          </cell>
          <cell r="T2325" t="str">
            <v>-</v>
          </cell>
          <cell r="U2325" t="str">
            <v>-</v>
          </cell>
          <cell r="V2325" t="str">
            <v>D</v>
          </cell>
          <cell r="W2325" t="str">
            <v>-</v>
          </cell>
          <cell r="X2325" t="str">
            <v>CLP HC 220 (-25/+60°C)</v>
          </cell>
          <cell r="Y2325" t="str">
            <v>R97EDRN160L4</v>
          </cell>
          <cell r="Z2325" t="str">
            <v>SEW</v>
          </cell>
          <cell r="AB2325" t="str">
            <v>ATEX22</v>
          </cell>
          <cell r="AF2325">
            <v>73</v>
          </cell>
          <cell r="AG2325" t="str">
            <v>EDRN160L4</v>
          </cell>
          <cell r="AH2325" t="str">
            <v>R97-EDRN160L4270-X</v>
          </cell>
        </row>
        <row r="2326">
          <cell r="A2326" t="str">
            <v>MR002314</v>
          </cell>
          <cell r="B2326" t="str">
            <v>MR</v>
          </cell>
          <cell r="C2326">
            <v>1.1000000000000001</v>
          </cell>
          <cell r="D2326">
            <v>25</v>
          </cell>
          <cell r="E2326" t="str">
            <v>R77</v>
          </cell>
          <cell r="F2326">
            <v>415</v>
          </cell>
          <cell r="G2326">
            <v>57.68</v>
          </cell>
          <cell r="H2326">
            <v>1.95</v>
          </cell>
          <cell r="I2326" t="str">
            <v>M1</v>
          </cell>
          <cell r="J2326" t="str">
            <v>IE3</v>
          </cell>
          <cell r="K2326">
            <v>415</v>
          </cell>
          <cell r="L2326">
            <v>50</v>
          </cell>
          <cell r="N2326">
            <v>55</v>
          </cell>
          <cell r="O2326" t="str">
            <v>155(F)</v>
          </cell>
          <cell r="P2326" t="str">
            <v>270°</v>
          </cell>
          <cell r="Q2326" t="str">
            <v>-</v>
          </cell>
          <cell r="R2326" t="str">
            <v>-</v>
          </cell>
          <cell r="S2326" t="str">
            <v>-</v>
          </cell>
          <cell r="T2326" t="str">
            <v>-</v>
          </cell>
          <cell r="U2326" t="str">
            <v>-</v>
          </cell>
          <cell r="V2326" t="str">
            <v>-</v>
          </cell>
          <cell r="W2326" t="str">
            <v>-</v>
          </cell>
          <cell r="X2326" t="str">
            <v>CLP 220 (-15/+40°C)</v>
          </cell>
          <cell r="Y2326" t="str">
            <v>R77DRN90S4</v>
          </cell>
          <cell r="Z2326" t="str">
            <v>SEW</v>
          </cell>
          <cell r="AB2326" t="str">
            <v>-</v>
          </cell>
          <cell r="AF2326">
            <v>25</v>
          </cell>
          <cell r="AG2326" t="str">
            <v>DRN90S4</v>
          </cell>
          <cell r="AH2326" t="str">
            <v>R77-DRN90S4270-X</v>
          </cell>
        </row>
        <row r="2327">
          <cell r="A2327" t="str">
            <v>MR002315</v>
          </cell>
          <cell r="B2327" t="str">
            <v>MR</v>
          </cell>
          <cell r="C2327">
            <v>4</v>
          </cell>
          <cell r="D2327">
            <v>37</v>
          </cell>
          <cell r="E2327" t="str">
            <v>KAZ77</v>
          </cell>
          <cell r="F2327">
            <v>1040</v>
          </cell>
          <cell r="G2327">
            <v>40.04</v>
          </cell>
          <cell r="H2327">
            <v>1.5</v>
          </cell>
          <cell r="I2327" t="str">
            <v>M3B</v>
          </cell>
          <cell r="J2327" t="str">
            <v>IE3</v>
          </cell>
          <cell r="K2327" t="str">
            <v>230/400</v>
          </cell>
          <cell r="L2327">
            <v>50</v>
          </cell>
          <cell r="M2327" t="str">
            <v>14,2/8,1</v>
          </cell>
          <cell r="N2327">
            <v>54</v>
          </cell>
          <cell r="O2327" t="str">
            <v>155(F)</v>
          </cell>
          <cell r="P2327" t="str">
            <v>0°</v>
          </cell>
          <cell r="Q2327" t="str">
            <v>TF</v>
          </cell>
          <cell r="R2327" t="str">
            <v>-</v>
          </cell>
          <cell r="S2327" t="str">
            <v>-</v>
          </cell>
          <cell r="T2327" t="str">
            <v>-</v>
          </cell>
          <cell r="U2327" t="str">
            <v>-</v>
          </cell>
          <cell r="V2327" t="str">
            <v>D</v>
          </cell>
          <cell r="W2327" t="str">
            <v>-</v>
          </cell>
          <cell r="X2327" t="str">
            <v>CLP 220 (-15/+40°C)</v>
          </cell>
          <cell r="Y2327" t="str">
            <v>KAZ77 DRN112M4/BE5/T</v>
          </cell>
          <cell r="Z2327" t="str">
            <v>SEW</v>
          </cell>
          <cell r="AB2327" t="str">
            <v>-</v>
          </cell>
          <cell r="AF2327">
            <v>37</v>
          </cell>
          <cell r="AG2327" t="str">
            <v>DRN112M4</v>
          </cell>
          <cell r="AH2327" t="str">
            <v>KAZ77-DRN112M4B0-X</v>
          </cell>
        </row>
        <row r="2328">
          <cell r="A2328" t="str">
            <v>MR002316</v>
          </cell>
          <cell r="B2328" t="str">
            <v>ME</v>
          </cell>
          <cell r="C2328">
            <v>0.55000000000000004</v>
          </cell>
          <cell r="I2328" t="str">
            <v>B14</v>
          </cell>
          <cell r="J2328" t="str">
            <v>IE3</v>
          </cell>
          <cell r="K2328" t="str">
            <v>230/400</v>
          </cell>
          <cell r="L2328">
            <v>50</v>
          </cell>
          <cell r="O2328" t="str">
            <v>-</v>
          </cell>
          <cell r="Q2328" t="str">
            <v>-</v>
          </cell>
          <cell r="R2328" t="str">
            <v>-</v>
          </cell>
          <cell r="S2328" t="str">
            <v>-</v>
          </cell>
          <cell r="T2328" t="str">
            <v>-</v>
          </cell>
          <cell r="U2328" t="str">
            <v>-</v>
          </cell>
          <cell r="V2328" t="str">
            <v>-</v>
          </cell>
          <cell r="W2328" t="str">
            <v>-</v>
          </cell>
          <cell r="X2328" t="str">
            <v>-</v>
          </cell>
          <cell r="Y2328" t="str">
            <v>W21</v>
          </cell>
          <cell r="Z2328" t="str">
            <v>WEG</v>
          </cell>
          <cell r="AB2328" t="str">
            <v>-</v>
          </cell>
          <cell r="AE2328" t="str">
            <v>4 POLES - BODY ALUMINIUM</v>
          </cell>
          <cell r="AF2328">
            <v>0</v>
          </cell>
          <cell r="AH2328" t="str">
            <v>-B-X</v>
          </cell>
        </row>
        <row r="2329">
          <cell r="A2329" t="str">
            <v>MR002317</v>
          </cell>
          <cell r="B2329" t="str">
            <v>MR</v>
          </cell>
          <cell r="C2329">
            <v>15</v>
          </cell>
          <cell r="D2329">
            <v>12</v>
          </cell>
          <cell r="E2329" t="str">
            <v>KH127</v>
          </cell>
          <cell r="F2329">
            <v>11900</v>
          </cell>
          <cell r="G2329">
            <v>122.48</v>
          </cell>
          <cell r="H2329">
            <v>1.1000000000000001</v>
          </cell>
          <cell r="I2329" t="str">
            <v>M1A</v>
          </cell>
          <cell r="J2329" t="str">
            <v>IE3</v>
          </cell>
          <cell r="K2329" t="str">
            <v>400/690</v>
          </cell>
          <cell r="L2329">
            <v>50</v>
          </cell>
          <cell r="M2329" t="str">
            <v>29/16,7</v>
          </cell>
          <cell r="N2329">
            <v>65</v>
          </cell>
          <cell r="O2329" t="str">
            <v>155(F)</v>
          </cell>
          <cell r="P2329" t="str">
            <v>180°</v>
          </cell>
          <cell r="Q2329" t="str">
            <v>-</v>
          </cell>
          <cell r="R2329" t="str">
            <v>-</v>
          </cell>
          <cell r="S2329" t="str">
            <v>-</v>
          </cell>
          <cell r="T2329" t="str">
            <v>-</v>
          </cell>
          <cell r="U2329" t="str">
            <v>-</v>
          </cell>
          <cell r="V2329" t="str">
            <v>SS</v>
          </cell>
          <cell r="W2329" t="str">
            <v>YES</v>
          </cell>
          <cell r="X2329" t="str">
            <v>CLP PG 220 (-25/+80°C)</v>
          </cell>
          <cell r="Y2329" t="str">
            <v>KH127EDRN160L4</v>
          </cell>
          <cell r="Z2329" t="str">
            <v>SEW</v>
          </cell>
          <cell r="AB2329" t="str">
            <v>ATEX22</v>
          </cell>
          <cell r="AF2329">
            <v>12</v>
          </cell>
          <cell r="AG2329" t="str">
            <v>EDRN160L4</v>
          </cell>
          <cell r="AH2329" t="str">
            <v>KH127-EDRN160L4A180-X</v>
          </cell>
        </row>
        <row r="2330">
          <cell r="A2330" t="str">
            <v>MR002318</v>
          </cell>
          <cell r="B2330" t="str">
            <v>MR</v>
          </cell>
          <cell r="C2330">
            <v>15</v>
          </cell>
          <cell r="D2330">
            <v>9.8000000000000007</v>
          </cell>
          <cell r="E2330" t="str">
            <v>KH157</v>
          </cell>
          <cell r="F2330">
            <v>14600</v>
          </cell>
          <cell r="G2330">
            <v>150.41</v>
          </cell>
          <cell r="H2330">
            <v>1.25</v>
          </cell>
          <cell r="I2330" t="str">
            <v>From M1A to M2A - 45°</v>
          </cell>
          <cell r="J2330" t="str">
            <v>IE3</v>
          </cell>
          <cell r="K2330" t="str">
            <v>400/690</v>
          </cell>
          <cell r="L2330">
            <v>50</v>
          </cell>
          <cell r="M2330" t="str">
            <v>29/16,7</v>
          </cell>
          <cell r="N2330">
            <v>65</v>
          </cell>
          <cell r="O2330" t="str">
            <v>155(F)</v>
          </cell>
          <cell r="P2330" t="str">
            <v>180°</v>
          </cell>
          <cell r="Q2330" t="str">
            <v>TF</v>
          </cell>
          <cell r="R2330" t="str">
            <v>V(VE)</v>
          </cell>
          <cell r="S2330" t="str">
            <v>-</v>
          </cell>
          <cell r="T2330" t="str">
            <v>-</v>
          </cell>
          <cell r="U2330" t="str">
            <v>-</v>
          </cell>
          <cell r="V2330" t="str">
            <v>FC</v>
          </cell>
          <cell r="W2330" t="str">
            <v>YES</v>
          </cell>
          <cell r="X2330" t="str">
            <v>CLP PG 220 (-25/+80°C)</v>
          </cell>
          <cell r="Y2330" t="str">
            <v>KH157EDRN160L4 /TF/VE</v>
          </cell>
          <cell r="Z2330" t="str">
            <v>SEW</v>
          </cell>
          <cell r="AB2330" t="str">
            <v>ATEX22</v>
          </cell>
          <cell r="AF2330">
            <v>9.8000000000000007</v>
          </cell>
          <cell r="AG2330" t="str">
            <v>EDRN160L4</v>
          </cell>
          <cell r="AH2330" t="str">
            <v>KH157-EDRN160L4A180-X#</v>
          </cell>
        </row>
        <row r="2331">
          <cell r="A2331" t="str">
            <v>MR002319</v>
          </cell>
          <cell r="B2331" t="str">
            <v>MR</v>
          </cell>
          <cell r="C2331">
            <v>15</v>
          </cell>
          <cell r="D2331">
            <v>9.8000000000000007</v>
          </cell>
          <cell r="E2331" t="str">
            <v>KH157</v>
          </cell>
          <cell r="F2331">
            <v>14600</v>
          </cell>
          <cell r="G2331">
            <v>150.41</v>
          </cell>
          <cell r="H2331">
            <v>1.25</v>
          </cell>
          <cell r="I2331" t="str">
            <v>M1A</v>
          </cell>
          <cell r="J2331" t="str">
            <v>IE3</v>
          </cell>
          <cell r="K2331" t="str">
            <v>400/690</v>
          </cell>
          <cell r="L2331">
            <v>50</v>
          </cell>
          <cell r="M2331" t="str">
            <v>29/16,7</v>
          </cell>
          <cell r="N2331">
            <v>65</v>
          </cell>
          <cell r="O2331" t="str">
            <v>155(F)</v>
          </cell>
          <cell r="P2331" t="str">
            <v>180°</v>
          </cell>
          <cell r="Q2331" t="str">
            <v>TF</v>
          </cell>
          <cell r="R2331" t="str">
            <v>V(VE)</v>
          </cell>
          <cell r="S2331" t="str">
            <v>-</v>
          </cell>
          <cell r="T2331" t="str">
            <v>-</v>
          </cell>
          <cell r="U2331" t="str">
            <v>-</v>
          </cell>
          <cell r="V2331" t="str">
            <v>FC</v>
          </cell>
          <cell r="W2331" t="str">
            <v>YES</v>
          </cell>
          <cell r="X2331" t="str">
            <v>CLP PG 220 (-25/+80°C)</v>
          </cell>
          <cell r="Y2331" t="str">
            <v>KH157EDRN160L4 /TF/VE</v>
          </cell>
          <cell r="Z2331" t="str">
            <v>SEW</v>
          </cell>
          <cell r="AB2331" t="str">
            <v>ATEX22</v>
          </cell>
          <cell r="AF2331">
            <v>9.8000000000000007</v>
          </cell>
          <cell r="AG2331" t="str">
            <v>EDRN160L4</v>
          </cell>
          <cell r="AH2331" t="str">
            <v>KH157-EDRN160L4A180-X#</v>
          </cell>
        </row>
        <row r="2332">
          <cell r="A2332" t="str">
            <v>MR002320</v>
          </cell>
          <cell r="B2332" t="str">
            <v>MR</v>
          </cell>
          <cell r="C2332">
            <v>15</v>
          </cell>
          <cell r="D2332">
            <v>9.8000000000000007</v>
          </cell>
          <cell r="E2332" t="str">
            <v>KH157</v>
          </cell>
          <cell r="F2332">
            <v>14600</v>
          </cell>
          <cell r="G2332">
            <v>150.41</v>
          </cell>
          <cell r="H2332">
            <v>1.25</v>
          </cell>
          <cell r="I2332" t="str">
            <v>M1B</v>
          </cell>
          <cell r="J2332" t="str">
            <v>IE3</v>
          </cell>
          <cell r="K2332" t="str">
            <v>400/690</v>
          </cell>
          <cell r="L2332">
            <v>50</v>
          </cell>
          <cell r="M2332" t="str">
            <v>29/16,7</v>
          </cell>
          <cell r="N2332">
            <v>65</v>
          </cell>
          <cell r="O2332" t="str">
            <v>155(F)</v>
          </cell>
          <cell r="P2332" t="str">
            <v>0°</v>
          </cell>
          <cell r="Q2332" t="str">
            <v>TF</v>
          </cell>
          <cell r="R2332" t="str">
            <v>V(VE)</v>
          </cell>
          <cell r="S2332" t="str">
            <v>-</v>
          </cell>
          <cell r="T2332" t="str">
            <v>-</v>
          </cell>
          <cell r="U2332" t="str">
            <v>-</v>
          </cell>
          <cell r="V2332" t="str">
            <v>FC</v>
          </cell>
          <cell r="W2332" t="str">
            <v>YES</v>
          </cell>
          <cell r="X2332" t="str">
            <v>CLP PG 220 (-25/+80°C)</v>
          </cell>
          <cell r="Y2332" t="str">
            <v>KH157EDRN160L4 /TF/VE</v>
          </cell>
          <cell r="Z2332" t="str">
            <v>SEW</v>
          </cell>
          <cell r="AB2332" t="str">
            <v>ATEX22</v>
          </cell>
          <cell r="AF2332">
            <v>9.8000000000000007</v>
          </cell>
          <cell r="AG2332" t="str">
            <v>EDRN160L4</v>
          </cell>
          <cell r="AH2332" t="str">
            <v>KH157-EDRN160L4B0-X#</v>
          </cell>
        </row>
        <row r="2333">
          <cell r="A2333" t="str">
            <v>MR002321</v>
          </cell>
          <cell r="B2333" t="str">
            <v>MR</v>
          </cell>
          <cell r="C2333">
            <v>37</v>
          </cell>
          <cell r="D2333">
            <v>13</v>
          </cell>
          <cell r="E2333" t="str">
            <v>KH167</v>
          </cell>
          <cell r="F2333">
            <v>26200</v>
          </cell>
          <cell r="G2333">
            <v>109.83</v>
          </cell>
          <cell r="H2333">
            <v>1.2</v>
          </cell>
          <cell r="I2333" t="str">
            <v>M4A</v>
          </cell>
          <cell r="J2333" t="str">
            <v>IE3</v>
          </cell>
          <cell r="K2333" t="str">
            <v>400/690</v>
          </cell>
          <cell r="L2333">
            <v>50</v>
          </cell>
          <cell r="M2333" t="str">
            <v>64/37</v>
          </cell>
          <cell r="N2333">
            <v>65</v>
          </cell>
          <cell r="O2333" t="str">
            <v>155(F)</v>
          </cell>
          <cell r="P2333" t="str">
            <v>270°</v>
          </cell>
          <cell r="Q2333" t="str">
            <v>TF</v>
          </cell>
          <cell r="R2333" t="str">
            <v>V(VE)</v>
          </cell>
          <cell r="S2333" t="str">
            <v>-</v>
          </cell>
          <cell r="T2333" t="str">
            <v>-</v>
          </cell>
          <cell r="U2333" t="str">
            <v>-</v>
          </cell>
          <cell r="V2333" t="str">
            <v>FC</v>
          </cell>
          <cell r="W2333" t="str">
            <v>YES</v>
          </cell>
          <cell r="X2333" t="str">
            <v>CLP PG 220 (-25/+80°C)</v>
          </cell>
          <cell r="Y2333" t="str">
            <v>KH167EDRN225S4 /TF/VE</v>
          </cell>
          <cell r="Z2333" t="str">
            <v>SEW</v>
          </cell>
          <cell r="AB2333" t="str">
            <v>ATEX22</v>
          </cell>
          <cell r="AF2333">
            <v>13</v>
          </cell>
          <cell r="AG2333" t="str">
            <v>EDRN225S4</v>
          </cell>
          <cell r="AH2333" t="str">
            <v>KH167-EDRN225S4A270-X#</v>
          </cell>
        </row>
        <row r="2334">
          <cell r="A2334" t="str">
            <v>MR002322</v>
          </cell>
          <cell r="B2334" t="str">
            <v>MR</v>
          </cell>
          <cell r="C2334">
            <v>37</v>
          </cell>
          <cell r="D2334">
            <v>13</v>
          </cell>
          <cell r="E2334" t="str">
            <v>KH167</v>
          </cell>
          <cell r="F2334">
            <v>26200</v>
          </cell>
          <cell r="G2334">
            <v>109.83</v>
          </cell>
          <cell r="H2334">
            <v>1.2</v>
          </cell>
          <cell r="I2334" t="str">
            <v>M4B</v>
          </cell>
          <cell r="J2334" t="str">
            <v>IE3</v>
          </cell>
          <cell r="K2334" t="str">
            <v>400/690</v>
          </cell>
          <cell r="L2334">
            <v>50</v>
          </cell>
          <cell r="M2334" t="str">
            <v>64/37</v>
          </cell>
          <cell r="N2334">
            <v>65</v>
          </cell>
          <cell r="O2334" t="str">
            <v>155(F)</v>
          </cell>
          <cell r="P2334" t="str">
            <v>270°</v>
          </cell>
          <cell r="Q2334" t="str">
            <v>TF</v>
          </cell>
          <cell r="R2334" t="str">
            <v>V(VE)</v>
          </cell>
          <cell r="S2334" t="str">
            <v>-</v>
          </cell>
          <cell r="T2334" t="str">
            <v>-</v>
          </cell>
          <cell r="U2334" t="str">
            <v>-</v>
          </cell>
          <cell r="V2334" t="str">
            <v>FC</v>
          </cell>
          <cell r="W2334" t="str">
            <v>YES</v>
          </cell>
          <cell r="X2334" t="str">
            <v>CLP PG 220 (-25/+80°C)</v>
          </cell>
          <cell r="Y2334" t="str">
            <v>KH167EDRN225S4 /TF/VE</v>
          </cell>
          <cell r="Z2334" t="str">
            <v>SEW</v>
          </cell>
          <cell r="AB2334" t="str">
            <v>ATEX22</v>
          </cell>
          <cell r="AF2334">
            <v>13</v>
          </cell>
          <cell r="AG2334" t="str">
            <v>EDRN225S4</v>
          </cell>
          <cell r="AH2334" t="str">
            <v>KH167-EDRN225S4B270-X#</v>
          </cell>
        </row>
        <row r="2335">
          <cell r="A2335" t="str">
            <v>MR002323</v>
          </cell>
          <cell r="B2335" t="str">
            <v>MR</v>
          </cell>
          <cell r="C2335">
            <v>18.5</v>
          </cell>
          <cell r="D2335">
            <v>12</v>
          </cell>
          <cell r="E2335" t="str">
            <v>KH157</v>
          </cell>
          <cell r="F2335">
            <v>14600</v>
          </cell>
          <cell r="G2335">
            <v>122.39</v>
          </cell>
          <cell r="H2335">
            <v>1.25</v>
          </cell>
          <cell r="I2335" t="str">
            <v>M1A</v>
          </cell>
          <cell r="J2335" t="str">
            <v>IE3</v>
          </cell>
          <cell r="K2335" t="str">
            <v>400/690</v>
          </cell>
          <cell r="L2335">
            <v>50</v>
          </cell>
          <cell r="M2335" t="str">
            <v>33,5/19,3</v>
          </cell>
          <cell r="N2335">
            <v>65</v>
          </cell>
          <cell r="O2335" t="str">
            <v>155(F)</v>
          </cell>
          <cell r="P2335" t="str">
            <v>180°</v>
          </cell>
          <cell r="Q2335" t="str">
            <v>TF</v>
          </cell>
          <cell r="R2335" t="str">
            <v>V(VE)</v>
          </cell>
          <cell r="S2335" t="str">
            <v>-</v>
          </cell>
          <cell r="T2335" t="str">
            <v>-</v>
          </cell>
          <cell r="U2335" t="str">
            <v>-</v>
          </cell>
          <cell r="V2335" t="str">
            <v>FC</v>
          </cell>
          <cell r="W2335" t="str">
            <v>YES</v>
          </cell>
          <cell r="X2335" t="str">
            <v>CLP PG 220 (-25/+80°C)</v>
          </cell>
          <cell r="Y2335" t="str">
            <v>KH157/II2GD EDRN180M4/3D/TF/VE</v>
          </cell>
          <cell r="Z2335" t="str">
            <v>SEW</v>
          </cell>
          <cell r="AB2335" t="str">
            <v>ATEX22</v>
          </cell>
          <cell r="AF2335">
            <v>12</v>
          </cell>
          <cell r="AG2335" t="str">
            <v>EDRN180M4</v>
          </cell>
          <cell r="AH2335" t="str">
            <v>KH157-EDRN180M4A180-X#</v>
          </cell>
        </row>
        <row r="2336">
          <cell r="A2336" t="str">
            <v>MR002324</v>
          </cell>
          <cell r="B2336" t="str">
            <v>MR</v>
          </cell>
          <cell r="C2336">
            <v>18.5</v>
          </cell>
          <cell r="D2336">
            <v>12</v>
          </cell>
          <cell r="E2336" t="str">
            <v>KH157</v>
          </cell>
          <cell r="F2336">
            <v>14600</v>
          </cell>
          <cell r="G2336">
            <v>122.39</v>
          </cell>
          <cell r="H2336">
            <v>1.25</v>
          </cell>
          <cell r="I2336" t="str">
            <v>M1B</v>
          </cell>
          <cell r="J2336" t="str">
            <v>IE3</v>
          </cell>
          <cell r="K2336" t="str">
            <v>400/690</v>
          </cell>
          <cell r="L2336">
            <v>50</v>
          </cell>
          <cell r="M2336" t="str">
            <v>33,5/19,3</v>
          </cell>
          <cell r="N2336">
            <v>65</v>
          </cell>
          <cell r="O2336" t="str">
            <v>155(F)</v>
          </cell>
          <cell r="P2336" t="str">
            <v>0°</v>
          </cell>
          <cell r="Q2336" t="str">
            <v>TF</v>
          </cell>
          <cell r="R2336" t="str">
            <v>V(VE)</v>
          </cell>
          <cell r="S2336" t="str">
            <v>-</v>
          </cell>
          <cell r="T2336" t="str">
            <v>-</v>
          </cell>
          <cell r="U2336" t="str">
            <v>-</v>
          </cell>
          <cell r="V2336" t="str">
            <v>FC</v>
          </cell>
          <cell r="W2336" t="str">
            <v>YES</v>
          </cell>
          <cell r="X2336" t="str">
            <v>CLP PG 220 (-25/+80°C)</v>
          </cell>
          <cell r="Y2336" t="str">
            <v>KH157/II2GD EDRN180M4/3D/TF/VE</v>
          </cell>
          <cell r="Z2336" t="str">
            <v>SEW</v>
          </cell>
          <cell r="AB2336" t="str">
            <v>ATEX22</v>
          </cell>
          <cell r="AF2336">
            <v>12</v>
          </cell>
          <cell r="AG2336" t="str">
            <v>EDRN180M4</v>
          </cell>
          <cell r="AH2336" t="str">
            <v>KH157-EDRN180M4B0-X#</v>
          </cell>
        </row>
        <row r="2337">
          <cell r="A2337" t="str">
            <v>MR002325</v>
          </cell>
          <cell r="B2337" t="str">
            <v>MR</v>
          </cell>
          <cell r="C2337">
            <v>5.5</v>
          </cell>
          <cell r="D2337">
            <v>84</v>
          </cell>
          <cell r="E2337" t="str">
            <v>FH77</v>
          </cell>
          <cell r="F2337">
            <v>630</v>
          </cell>
          <cell r="G2337">
            <v>17.489999999999998</v>
          </cell>
          <cell r="H2337">
            <v>2.4</v>
          </cell>
          <cell r="I2337" t="str">
            <v>M1</v>
          </cell>
          <cell r="J2337" t="str">
            <v>IE3</v>
          </cell>
          <cell r="K2337" t="str">
            <v>230/400</v>
          </cell>
          <cell r="L2337">
            <v>50</v>
          </cell>
          <cell r="M2337" t="str">
            <v>18,2/10,5</v>
          </cell>
          <cell r="N2337">
            <v>65</v>
          </cell>
          <cell r="O2337" t="str">
            <v>155(F)</v>
          </cell>
          <cell r="P2337" t="str">
            <v>270°</v>
          </cell>
          <cell r="Q2337" t="str">
            <v>-</v>
          </cell>
          <cell r="R2337" t="str">
            <v>-</v>
          </cell>
          <cell r="S2337" t="str">
            <v>-</v>
          </cell>
          <cell r="T2337" t="str">
            <v>-</v>
          </cell>
          <cell r="U2337" t="str">
            <v>G</v>
          </cell>
          <cell r="V2337" t="str">
            <v>D</v>
          </cell>
          <cell r="W2337" t="str">
            <v>YES</v>
          </cell>
          <cell r="X2337" t="str">
            <v>CLP PG 220 (-25/+80°C)</v>
          </cell>
          <cell r="Y2337" t="str">
            <v>FH77/G EDRN132S4</v>
          </cell>
          <cell r="Z2337" t="str">
            <v>SEW</v>
          </cell>
          <cell r="AB2337" t="str">
            <v>ATEX22</v>
          </cell>
          <cell r="AF2337">
            <v>84</v>
          </cell>
          <cell r="AG2337" t="str">
            <v>EDRN132S4</v>
          </cell>
          <cell r="AH2337" t="str">
            <v>FH77G-EDRN132S4270-X</v>
          </cell>
        </row>
        <row r="2338">
          <cell r="A2338" t="str">
            <v>MR002326</v>
          </cell>
          <cell r="B2338" t="str">
            <v>MR</v>
          </cell>
          <cell r="C2338">
            <v>37</v>
          </cell>
          <cell r="D2338">
            <v>32</v>
          </cell>
          <cell r="E2338" t="str">
            <v>R147</v>
          </cell>
          <cell r="F2338">
            <v>11100</v>
          </cell>
          <cell r="G2338">
            <v>46.65</v>
          </cell>
          <cell r="H2338">
            <v>1.1000000000000001</v>
          </cell>
          <cell r="I2338" t="str">
            <v>M1</v>
          </cell>
          <cell r="J2338" t="str">
            <v>IE3</v>
          </cell>
          <cell r="K2338" t="str">
            <v>400/690</v>
          </cell>
          <cell r="L2338">
            <v>50</v>
          </cell>
          <cell r="M2338" t="str">
            <v>64/37</v>
          </cell>
          <cell r="N2338">
            <v>65</v>
          </cell>
          <cell r="O2338" t="str">
            <v>155(F)</v>
          </cell>
          <cell r="P2338" t="str">
            <v>270°</v>
          </cell>
          <cell r="Q2338" t="str">
            <v>-</v>
          </cell>
          <cell r="R2338" t="str">
            <v>-</v>
          </cell>
          <cell r="S2338" t="str">
            <v>Free rotation CCW</v>
          </cell>
          <cell r="T2338" t="str">
            <v>-</v>
          </cell>
          <cell r="U2338" t="str">
            <v>-</v>
          </cell>
          <cell r="V2338" t="str">
            <v>SS</v>
          </cell>
          <cell r="W2338" t="str">
            <v>YES</v>
          </cell>
          <cell r="X2338" t="str">
            <v>CLP PG 220 (-25/+80°C)</v>
          </cell>
          <cell r="Y2338" t="str">
            <v>R147EDRN225S4 /RS</v>
          </cell>
          <cell r="Z2338" t="str">
            <v>SEW</v>
          </cell>
          <cell r="AB2338" t="str">
            <v>ATEX22</v>
          </cell>
          <cell r="AF2338">
            <v>32</v>
          </cell>
          <cell r="AG2338" t="str">
            <v>EDRN225S4</v>
          </cell>
          <cell r="AH2338" t="str">
            <v>R147-EDRN225S4270-X</v>
          </cell>
        </row>
        <row r="2339">
          <cell r="A2339" t="str">
            <v>MR002327</v>
          </cell>
          <cell r="B2339" t="str">
            <v>MR</v>
          </cell>
          <cell r="C2339">
            <v>9.1999999999999993</v>
          </cell>
          <cell r="D2339">
            <v>76</v>
          </cell>
          <cell r="E2339" t="str">
            <v>FH87</v>
          </cell>
          <cell r="F2339">
            <v>1150</v>
          </cell>
          <cell r="G2339">
            <v>19.309999999999999</v>
          </cell>
          <cell r="H2339">
            <v>2.2000000000000002</v>
          </cell>
          <cell r="I2339" t="str">
            <v>From M1 to M2 - 15°</v>
          </cell>
          <cell r="J2339" t="str">
            <v>IE3</v>
          </cell>
          <cell r="K2339" t="str">
            <v>400/690</v>
          </cell>
          <cell r="L2339">
            <v>50</v>
          </cell>
          <cell r="M2339" t="str">
            <v>18,7/10,8</v>
          </cell>
          <cell r="N2339">
            <v>65</v>
          </cell>
          <cell r="O2339" t="str">
            <v>155(F)</v>
          </cell>
          <cell r="P2339" t="str">
            <v>270°</v>
          </cell>
          <cell r="Q2339" t="str">
            <v>-</v>
          </cell>
          <cell r="R2339" t="str">
            <v>-</v>
          </cell>
          <cell r="S2339" t="str">
            <v>-</v>
          </cell>
          <cell r="T2339" t="str">
            <v>-</v>
          </cell>
          <cell r="U2339" t="str">
            <v>G</v>
          </cell>
          <cell r="V2339" t="str">
            <v>D</v>
          </cell>
          <cell r="W2339" t="str">
            <v>YES</v>
          </cell>
          <cell r="X2339" t="str">
            <v>CLP PG 220 (-25/+80°C)</v>
          </cell>
          <cell r="Y2339" t="str">
            <v>FH87/G EDRN132L4</v>
          </cell>
          <cell r="Z2339" t="str">
            <v>SEW</v>
          </cell>
          <cell r="AB2339" t="str">
            <v>ATEX22</v>
          </cell>
          <cell r="AF2339">
            <v>76</v>
          </cell>
          <cell r="AG2339" t="str">
            <v>EDRN132L4</v>
          </cell>
          <cell r="AH2339" t="str">
            <v>FH87G-EDRN132L4270-X</v>
          </cell>
        </row>
        <row r="2340">
          <cell r="A2340" t="str">
            <v>MR002328</v>
          </cell>
          <cell r="B2340" t="str">
            <v>MR</v>
          </cell>
          <cell r="C2340">
            <v>45</v>
          </cell>
          <cell r="D2340">
            <v>33</v>
          </cell>
          <cell r="E2340" t="str">
            <v>R167</v>
          </cell>
          <cell r="F2340">
            <v>13000</v>
          </cell>
          <cell r="G2340">
            <v>44.87</v>
          </cell>
          <cell r="H2340">
            <v>1.4</v>
          </cell>
          <cell r="I2340" t="str">
            <v>M1</v>
          </cell>
          <cell r="J2340" t="str">
            <v>IE3</v>
          </cell>
          <cell r="K2340" t="str">
            <v>400/690</v>
          </cell>
          <cell r="L2340">
            <v>50</v>
          </cell>
          <cell r="M2340" t="str">
            <v>81/47</v>
          </cell>
          <cell r="N2340">
            <v>65</v>
          </cell>
          <cell r="O2340" t="str">
            <v>155(F)</v>
          </cell>
          <cell r="P2340" t="str">
            <v>270°</v>
          </cell>
          <cell r="Q2340" t="str">
            <v>-</v>
          </cell>
          <cell r="R2340" t="str">
            <v>-</v>
          </cell>
          <cell r="S2340" t="str">
            <v>Free rotation CCW</v>
          </cell>
          <cell r="T2340" t="str">
            <v>-</v>
          </cell>
          <cell r="U2340" t="str">
            <v>-</v>
          </cell>
          <cell r="V2340" t="str">
            <v>SS</v>
          </cell>
          <cell r="W2340" t="str">
            <v>YES</v>
          </cell>
          <cell r="X2340" t="str">
            <v>CLP PG 220 (-25/+80°C)</v>
          </cell>
          <cell r="Y2340" t="str">
            <v>R167EDRN225M4 /RS</v>
          </cell>
          <cell r="Z2340" t="str">
            <v>SEW</v>
          </cell>
          <cell r="AB2340" t="str">
            <v>ATEX22</v>
          </cell>
          <cell r="AF2340">
            <v>33</v>
          </cell>
          <cell r="AG2340" t="str">
            <v>EDRN225M4</v>
          </cell>
          <cell r="AH2340" t="str">
            <v>R167-EDRN225M4270-X</v>
          </cell>
        </row>
        <row r="2341">
          <cell r="A2341" t="str">
            <v>MR002329</v>
          </cell>
          <cell r="B2341" t="str">
            <v>MR</v>
          </cell>
          <cell r="C2341">
            <v>30</v>
          </cell>
          <cell r="D2341">
            <v>16</v>
          </cell>
          <cell r="E2341" t="str">
            <v>KH157</v>
          </cell>
          <cell r="F2341">
            <v>17700</v>
          </cell>
          <cell r="G2341">
            <v>91.65</v>
          </cell>
          <cell r="H2341">
            <v>1</v>
          </cell>
          <cell r="I2341" t="str">
            <v>M4A</v>
          </cell>
          <cell r="J2341" t="str">
            <v>IE3</v>
          </cell>
          <cell r="K2341" t="str">
            <v>400/690</v>
          </cell>
          <cell r="L2341">
            <v>50</v>
          </cell>
          <cell r="M2341" t="str">
            <v>56/32,5</v>
          </cell>
          <cell r="N2341">
            <v>65</v>
          </cell>
          <cell r="O2341" t="str">
            <v>155(F)</v>
          </cell>
          <cell r="P2341" t="str">
            <v>270°</v>
          </cell>
          <cell r="Q2341" t="str">
            <v>-</v>
          </cell>
          <cell r="R2341" t="str">
            <v>-</v>
          </cell>
          <cell r="S2341" t="str">
            <v>-</v>
          </cell>
          <cell r="T2341" t="str">
            <v>-</v>
          </cell>
          <cell r="U2341" t="str">
            <v>-</v>
          </cell>
          <cell r="V2341" t="str">
            <v>SS</v>
          </cell>
          <cell r="W2341" t="str">
            <v>YES</v>
          </cell>
          <cell r="X2341" t="str">
            <v>CLP PG 220 (-25/+80°C)</v>
          </cell>
          <cell r="Y2341" t="str">
            <v>KH157EDRN200L4</v>
          </cell>
          <cell r="Z2341" t="str">
            <v>SEW</v>
          </cell>
          <cell r="AB2341" t="str">
            <v>ATEX22</v>
          </cell>
          <cell r="AF2341">
            <v>16</v>
          </cell>
          <cell r="AG2341" t="str">
            <v>EDRN200L4</v>
          </cell>
          <cell r="AH2341" t="str">
            <v>KH157-EDRN200L4A270-X</v>
          </cell>
        </row>
        <row r="2342">
          <cell r="A2342" t="str">
            <v>MR002330</v>
          </cell>
          <cell r="B2342" t="str">
            <v>MR</v>
          </cell>
          <cell r="C2342">
            <v>1.5</v>
          </cell>
          <cell r="D2342">
            <v>30</v>
          </cell>
          <cell r="E2342" t="str">
            <v>FZ79</v>
          </cell>
          <cell r="F2342">
            <v>9.91</v>
          </cell>
          <cell r="G2342">
            <v>48</v>
          </cell>
          <cell r="H2342">
            <v>2.1</v>
          </cell>
          <cell r="I2342" t="str">
            <v>M1</v>
          </cell>
          <cell r="J2342" t="str">
            <v>IE3</v>
          </cell>
          <cell r="K2342">
            <v>400</v>
          </cell>
          <cell r="L2342">
            <v>50</v>
          </cell>
          <cell r="M2342">
            <v>3.15</v>
          </cell>
          <cell r="N2342">
            <v>55</v>
          </cell>
          <cell r="O2342" t="str">
            <v>155(F)</v>
          </cell>
          <cell r="P2342" t="str">
            <v>1A</v>
          </cell>
          <cell r="Q2342" t="str">
            <v>TF</v>
          </cell>
          <cell r="R2342" t="str">
            <v>-</v>
          </cell>
          <cell r="S2342" t="str">
            <v>-</v>
          </cell>
          <cell r="T2342" t="str">
            <v>-</v>
          </cell>
          <cell r="U2342" t="str">
            <v>-</v>
          </cell>
          <cell r="V2342" t="str">
            <v>D</v>
          </cell>
          <cell r="W2342" t="str">
            <v>-</v>
          </cell>
          <cell r="X2342" t="str">
            <v>CLP PG 220 (-25/+80°C)</v>
          </cell>
          <cell r="Y2342" t="str">
            <v>FZADS79-LE90ZLR4P</v>
          </cell>
          <cell r="Z2342" t="str">
            <v>SIEMENS</v>
          </cell>
          <cell r="AB2342" t="str">
            <v>-</v>
          </cell>
          <cell r="AE2342" t="str">
            <v>2KJ3305-9EM23-4DW1-Z D01+G23+H3A+K01+K07+K41+L03+L75+M10+M55+N54+P80</v>
          </cell>
          <cell r="AF2342">
            <v>30</v>
          </cell>
          <cell r="AG2342" t="str">
            <v>DRN90L4</v>
          </cell>
          <cell r="AH2342" t="str">
            <v>FZ79-DRN90L41A-X</v>
          </cell>
        </row>
        <row r="2343">
          <cell r="A2343" t="str">
            <v>MR002331</v>
          </cell>
          <cell r="B2343" t="str">
            <v>MR</v>
          </cell>
          <cell r="C2343">
            <v>22</v>
          </cell>
          <cell r="D2343">
            <v>12</v>
          </cell>
          <cell r="E2343" t="str">
            <v>KH157</v>
          </cell>
          <cell r="F2343">
            <v>17400</v>
          </cell>
          <cell r="G2343">
            <v>122.39</v>
          </cell>
          <cell r="H2343">
            <v>1.1499999999999999</v>
          </cell>
          <cell r="I2343" t="str">
            <v>From M1A to M2A - 20°</v>
          </cell>
          <cell r="J2343" t="str">
            <v>IE3</v>
          </cell>
          <cell r="K2343" t="str">
            <v>400/690</v>
          </cell>
          <cell r="L2343">
            <v>50</v>
          </cell>
          <cell r="M2343" t="str">
            <v>38,5/22,5</v>
          </cell>
          <cell r="N2343">
            <v>65</v>
          </cell>
          <cell r="O2343" t="str">
            <v>155(F)</v>
          </cell>
          <cell r="P2343" t="str">
            <v>180°</v>
          </cell>
          <cell r="Q2343" t="str">
            <v>TF</v>
          </cell>
          <cell r="R2343" t="str">
            <v>V(VE)</v>
          </cell>
          <cell r="S2343" t="str">
            <v>-</v>
          </cell>
          <cell r="T2343" t="str">
            <v>-</v>
          </cell>
          <cell r="U2343" t="str">
            <v>-</v>
          </cell>
          <cell r="V2343" t="str">
            <v>FC</v>
          </cell>
          <cell r="W2343" t="str">
            <v>-</v>
          </cell>
          <cell r="X2343" t="str">
            <v>CLP 220 (-15/+40°C)</v>
          </cell>
          <cell r="Y2343" t="str">
            <v>KH157DRN180L4 /TF/V</v>
          </cell>
          <cell r="Z2343" t="str">
            <v>SEW</v>
          </cell>
          <cell r="AB2343" t="str">
            <v>-</v>
          </cell>
          <cell r="AF2343">
            <v>12</v>
          </cell>
          <cell r="AG2343" t="str">
            <v>DRN180L4</v>
          </cell>
          <cell r="AH2343" t="str">
            <v>KH157-DRN180L4A180-X#</v>
          </cell>
        </row>
        <row r="2344">
          <cell r="A2344" t="str">
            <v>MR002332</v>
          </cell>
          <cell r="B2344" t="str">
            <v>MR</v>
          </cell>
          <cell r="C2344">
            <v>22</v>
          </cell>
          <cell r="D2344">
            <v>60</v>
          </cell>
          <cell r="E2344" t="str">
            <v>KH97</v>
          </cell>
          <cell r="F2344">
            <v>3510</v>
          </cell>
          <cell r="G2344">
            <v>24.75</v>
          </cell>
          <cell r="H2344">
            <v>1.2</v>
          </cell>
          <cell r="I2344" t="str">
            <v>From M3B to M4B - 20°</v>
          </cell>
          <cell r="J2344" t="str">
            <v>IE3</v>
          </cell>
          <cell r="K2344" t="str">
            <v>400/690</v>
          </cell>
          <cell r="L2344">
            <v>50</v>
          </cell>
          <cell r="M2344" t="str">
            <v>38,5/22,5</v>
          </cell>
          <cell r="N2344">
            <v>55</v>
          </cell>
          <cell r="O2344" t="str">
            <v>155(F)</v>
          </cell>
          <cell r="P2344" t="str">
            <v>0°</v>
          </cell>
          <cell r="Q2344" t="str">
            <v>TF</v>
          </cell>
          <cell r="R2344" t="str">
            <v>V(VE)</v>
          </cell>
          <cell r="S2344" t="str">
            <v>Free rotation CW</v>
          </cell>
          <cell r="T2344" t="str">
            <v>-</v>
          </cell>
          <cell r="U2344" t="str">
            <v>T</v>
          </cell>
          <cell r="V2344" t="str">
            <v>FC</v>
          </cell>
          <cell r="W2344" t="str">
            <v>-</v>
          </cell>
          <cell r="X2344" t="str">
            <v>CLP 220 (-15/+40°C)</v>
          </cell>
          <cell r="Y2344" t="str">
            <v>KH97/T DRN180L4 /RS /TF/V</v>
          </cell>
          <cell r="Z2344" t="str">
            <v>SEW</v>
          </cell>
          <cell r="AB2344" t="str">
            <v>-</v>
          </cell>
          <cell r="AF2344">
            <v>60</v>
          </cell>
          <cell r="AG2344" t="str">
            <v>DRN180L4</v>
          </cell>
          <cell r="AH2344" t="str">
            <v>KH97T-DRN180L4B0-X#</v>
          </cell>
        </row>
        <row r="2345">
          <cell r="A2345" t="str">
            <v>MR002333</v>
          </cell>
          <cell r="B2345" t="str">
            <v>MR</v>
          </cell>
          <cell r="C2345">
            <v>18.5</v>
          </cell>
          <cell r="D2345">
            <v>60</v>
          </cell>
          <cell r="E2345" t="str">
            <v>KH97</v>
          </cell>
          <cell r="F2345">
            <v>2950</v>
          </cell>
          <cell r="G2345">
            <v>24.75</v>
          </cell>
          <cell r="H2345">
            <v>1.45</v>
          </cell>
          <cell r="I2345" t="str">
            <v>From M3B to M4B - 20°</v>
          </cell>
          <cell r="J2345" t="str">
            <v>IE3</v>
          </cell>
          <cell r="K2345" t="str">
            <v>400/690</v>
          </cell>
          <cell r="L2345">
            <v>50</v>
          </cell>
          <cell r="M2345" t="str">
            <v>33,5/19,3</v>
          </cell>
          <cell r="N2345">
            <v>55</v>
          </cell>
          <cell r="O2345" t="str">
            <v>155(F)</v>
          </cell>
          <cell r="P2345" t="str">
            <v>0°</v>
          </cell>
          <cell r="Q2345" t="str">
            <v>TF</v>
          </cell>
          <cell r="R2345" t="str">
            <v>V(VE)</v>
          </cell>
          <cell r="S2345" t="str">
            <v>Free rotation CW</v>
          </cell>
          <cell r="T2345" t="str">
            <v>-</v>
          </cell>
          <cell r="U2345" t="str">
            <v>T</v>
          </cell>
          <cell r="V2345" t="str">
            <v>FC</v>
          </cell>
          <cell r="W2345" t="str">
            <v>-</v>
          </cell>
          <cell r="X2345" t="str">
            <v>CLP 220 (-15/+40°C)</v>
          </cell>
          <cell r="Y2345" t="str">
            <v>KH97/T DRN180M4 /RS /TF/V</v>
          </cell>
          <cell r="Z2345" t="str">
            <v>SEW</v>
          </cell>
          <cell r="AB2345" t="str">
            <v>-</v>
          </cell>
          <cell r="AF2345">
            <v>60</v>
          </cell>
          <cell r="AG2345" t="str">
            <v>DRN180M4</v>
          </cell>
          <cell r="AH2345" t="str">
            <v>KH97T-DRN180M4B0-X#</v>
          </cell>
        </row>
        <row r="2346">
          <cell r="A2346" t="str">
            <v>MR002334</v>
          </cell>
          <cell r="B2346" t="str">
            <v>MR</v>
          </cell>
          <cell r="C2346">
            <v>0.75</v>
          </cell>
          <cell r="D2346">
            <v>162</v>
          </cell>
          <cell r="E2346" t="str">
            <v>KA37</v>
          </cell>
          <cell r="F2346">
            <v>44</v>
          </cell>
          <cell r="G2346">
            <v>8.91</v>
          </cell>
          <cell r="H2346">
            <v>3.6</v>
          </cell>
          <cell r="I2346" t="str">
            <v>From M3B to M4B - 20°</v>
          </cell>
          <cell r="J2346" t="str">
            <v>IE3</v>
          </cell>
          <cell r="K2346" t="str">
            <v>230/400</v>
          </cell>
          <cell r="L2346">
            <v>50</v>
          </cell>
          <cell r="M2346" t="str">
            <v>3,05/1,75</v>
          </cell>
          <cell r="N2346">
            <v>55</v>
          </cell>
          <cell r="O2346" t="str">
            <v>155(F)</v>
          </cell>
          <cell r="P2346" t="str">
            <v>0°</v>
          </cell>
          <cell r="Q2346" t="str">
            <v>-</v>
          </cell>
          <cell r="R2346" t="str">
            <v>-</v>
          </cell>
          <cell r="S2346" t="str">
            <v>-</v>
          </cell>
          <cell r="T2346" t="str">
            <v>-</v>
          </cell>
          <cell r="U2346" t="str">
            <v>T</v>
          </cell>
          <cell r="V2346" t="str">
            <v>D</v>
          </cell>
          <cell r="W2346" t="str">
            <v>-</v>
          </cell>
          <cell r="X2346" t="str">
            <v>CLP 220 (-15/+40°C)</v>
          </cell>
          <cell r="Y2346" t="str">
            <v>KA37/T DRN80M4</v>
          </cell>
          <cell r="Z2346" t="str">
            <v>SEW</v>
          </cell>
          <cell r="AB2346" t="str">
            <v>-</v>
          </cell>
          <cell r="AF2346">
            <v>162</v>
          </cell>
          <cell r="AG2346" t="str">
            <v>DRN80M4</v>
          </cell>
          <cell r="AH2346" t="str">
            <v>KA37T-DRN80M4B0-X</v>
          </cell>
        </row>
        <row r="2347">
          <cell r="A2347" t="str">
            <v>MR002335</v>
          </cell>
          <cell r="B2347" t="str">
            <v>MR</v>
          </cell>
          <cell r="C2347">
            <v>0.25</v>
          </cell>
          <cell r="D2347">
            <v>32</v>
          </cell>
          <cell r="E2347" t="str">
            <v>FA37</v>
          </cell>
          <cell r="F2347">
            <v>74</v>
          </cell>
          <cell r="G2347">
            <v>43.83</v>
          </cell>
          <cell r="H2347">
            <v>2.7</v>
          </cell>
          <cell r="I2347" t="str">
            <v>M1</v>
          </cell>
          <cell r="J2347" t="str">
            <v>IE3</v>
          </cell>
          <cell r="K2347" t="str">
            <v>230/400</v>
          </cell>
          <cell r="L2347">
            <v>50</v>
          </cell>
          <cell r="M2347" t="str">
            <v>1,26/0,72</v>
          </cell>
          <cell r="N2347">
            <v>55</v>
          </cell>
          <cell r="O2347" t="str">
            <v>155(F)</v>
          </cell>
          <cell r="P2347" t="str">
            <v>270°</v>
          </cell>
          <cell r="Q2347" t="str">
            <v>-</v>
          </cell>
          <cell r="R2347" t="str">
            <v>-</v>
          </cell>
          <cell r="S2347" t="str">
            <v>-</v>
          </cell>
          <cell r="T2347" t="str">
            <v>-</v>
          </cell>
          <cell r="U2347" t="str">
            <v>G</v>
          </cell>
          <cell r="V2347" t="str">
            <v>D</v>
          </cell>
          <cell r="W2347" t="str">
            <v>-</v>
          </cell>
          <cell r="X2347" t="str">
            <v>CLP 220 (-15/+40°C)</v>
          </cell>
          <cell r="Y2347" t="str">
            <v>FA37/G DRN71MS4</v>
          </cell>
          <cell r="Z2347" t="str">
            <v>SEW</v>
          </cell>
          <cell r="AB2347" t="str">
            <v>-</v>
          </cell>
          <cell r="AF2347">
            <v>32</v>
          </cell>
          <cell r="AG2347" t="str">
            <v>DRN71MS4</v>
          </cell>
          <cell r="AH2347" t="str">
            <v>FA37G-DRN71MS4270-X</v>
          </cell>
        </row>
        <row r="2348">
          <cell r="A2348" t="str">
            <v>MR002336</v>
          </cell>
          <cell r="B2348" t="str">
            <v>MR</v>
          </cell>
          <cell r="C2348">
            <v>30</v>
          </cell>
          <cell r="D2348">
            <v>16</v>
          </cell>
          <cell r="E2348" t="str">
            <v>KH157</v>
          </cell>
          <cell r="F2348">
            <v>17700</v>
          </cell>
          <cell r="G2348">
            <v>91.65</v>
          </cell>
          <cell r="H2348">
            <v>1.1499999999999999</v>
          </cell>
          <cell r="I2348" t="str">
            <v>From M1A to M2A - 5°</v>
          </cell>
          <cell r="J2348" t="str">
            <v>IE3</v>
          </cell>
          <cell r="K2348" t="str">
            <v>400/690</v>
          </cell>
          <cell r="L2348">
            <v>50</v>
          </cell>
          <cell r="M2348" t="str">
            <v>56/32,5</v>
          </cell>
          <cell r="N2348">
            <v>55</v>
          </cell>
          <cell r="O2348" t="str">
            <v>155(F)</v>
          </cell>
          <cell r="P2348" t="str">
            <v>180°</v>
          </cell>
          <cell r="Q2348" t="str">
            <v>TF</v>
          </cell>
          <cell r="R2348" t="str">
            <v>V(VE)</v>
          </cell>
          <cell r="S2348" t="str">
            <v>-</v>
          </cell>
          <cell r="T2348" t="str">
            <v>-</v>
          </cell>
          <cell r="U2348" t="str">
            <v>-</v>
          </cell>
          <cell r="V2348" t="str">
            <v>FC</v>
          </cell>
          <cell r="W2348" t="str">
            <v>-</v>
          </cell>
          <cell r="X2348" t="str">
            <v>CLP 220 (-15/+40°C)</v>
          </cell>
          <cell r="Y2348" t="str">
            <v>KH157DRN200L4 /TF/V</v>
          </cell>
          <cell r="Z2348" t="str">
            <v>SEW</v>
          </cell>
          <cell r="AB2348" t="str">
            <v>-</v>
          </cell>
          <cell r="AF2348">
            <v>16</v>
          </cell>
          <cell r="AG2348" t="str">
            <v>DRN200L4</v>
          </cell>
          <cell r="AH2348" t="str">
            <v>KH157-DRN200L4A180-X#</v>
          </cell>
        </row>
        <row r="2349">
          <cell r="A2349" t="str">
            <v>MR002337</v>
          </cell>
          <cell r="B2349" t="str">
            <v>MR</v>
          </cell>
          <cell r="C2349">
            <v>15</v>
          </cell>
          <cell r="D2349">
            <v>9.8000000000000007</v>
          </cell>
          <cell r="E2349" t="str">
            <v>KH157</v>
          </cell>
          <cell r="F2349">
            <v>14600</v>
          </cell>
          <cell r="G2349">
            <v>150.41</v>
          </cell>
          <cell r="H2349">
            <v>1.35</v>
          </cell>
          <cell r="I2349" t="str">
            <v>From M1A to M2A - 5°</v>
          </cell>
          <cell r="J2349" t="str">
            <v>IE3</v>
          </cell>
          <cell r="K2349" t="str">
            <v>400/690</v>
          </cell>
          <cell r="L2349">
            <v>50</v>
          </cell>
          <cell r="M2349" t="str">
            <v>29/16,7</v>
          </cell>
          <cell r="N2349">
            <v>55</v>
          </cell>
          <cell r="O2349" t="str">
            <v>155(F)</v>
          </cell>
          <cell r="P2349" t="str">
            <v>180°</v>
          </cell>
          <cell r="Q2349" t="str">
            <v>TF</v>
          </cell>
          <cell r="R2349" t="str">
            <v>V(VE)</v>
          </cell>
          <cell r="S2349" t="str">
            <v>-</v>
          </cell>
          <cell r="T2349" t="str">
            <v>-</v>
          </cell>
          <cell r="U2349" t="str">
            <v>-</v>
          </cell>
          <cell r="V2349" t="str">
            <v>FC</v>
          </cell>
          <cell r="W2349" t="str">
            <v>-</v>
          </cell>
          <cell r="X2349" t="str">
            <v>CLP 220 (-15/+40°C)</v>
          </cell>
          <cell r="Y2349" t="str">
            <v>KH157DRN160L4 /TF/V</v>
          </cell>
          <cell r="Z2349" t="str">
            <v>SEW</v>
          </cell>
          <cell r="AB2349" t="str">
            <v>-</v>
          </cell>
          <cell r="AF2349">
            <v>9.8000000000000007</v>
          </cell>
          <cell r="AG2349" t="str">
            <v>DRN160L4</v>
          </cell>
          <cell r="AH2349" t="str">
            <v>KH157-DRN160L4A180-X#</v>
          </cell>
        </row>
        <row r="2350">
          <cell r="A2350" t="str">
            <v>MR002338</v>
          </cell>
          <cell r="B2350" t="str">
            <v>MR</v>
          </cell>
          <cell r="C2350">
            <v>15</v>
          </cell>
          <cell r="D2350">
            <v>9.8000000000000007</v>
          </cell>
          <cell r="E2350" t="str">
            <v>KH157</v>
          </cell>
          <cell r="F2350">
            <v>14600</v>
          </cell>
          <cell r="G2350">
            <v>150.41</v>
          </cell>
          <cell r="H2350">
            <v>1.35</v>
          </cell>
          <cell r="I2350" t="str">
            <v>From M1B to M2B - 5°</v>
          </cell>
          <cell r="J2350" t="str">
            <v>IE3</v>
          </cell>
          <cell r="K2350" t="str">
            <v>400/690</v>
          </cell>
          <cell r="L2350">
            <v>50</v>
          </cell>
          <cell r="M2350" t="str">
            <v>29/16,7</v>
          </cell>
          <cell r="N2350">
            <v>55</v>
          </cell>
          <cell r="O2350" t="str">
            <v>155(F)</v>
          </cell>
          <cell r="P2350" t="str">
            <v>0°</v>
          </cell>
          <cell r="Q2350" t="str">
            <v>TF</v>
          </cell>
          <cell r="R2350" t="str">
            <v>V(VE)</v>
          </cell>
          <cell r="S2350" t="str">
            <v>-</v>
          </cell>
          <cell r="T2350" t="str">
            <v>-</v>
          </cell>
          <cell r="U2350" t="str">
            <v>-</v>
          </cell>
          <cell r="V2350" t="str">
            <v>FC</v>
          </cell>
          <cell r="W2350" t="str">
            <v>-</v>
          </cell>
          <cell r="X2350" t="str">
            <v>CLP 220 (-15/+40°C)</v>
          </cell>
          <cell r="Y2350" t="str">
            <v>KH157DRN160L4 /TF/V</v>
          </cell>
          <cell r="Z2350" t="str">
            <v>SEW</v>
          </cell>
          <cell r="AB2350" t="str">
            <v>-</v>
          </cell>
          <cell r="AF2350">
            <v>9.8000000000000007</v>
          </cell>
          <cell r="AG2350" t="str">
            <v>DRN160L4</v>
          </cell>
          <cell r="AH2350" t="str">
            <v>KH157-DRN160L4B0-X#</v>
          </cell>
        </row>
        <row r="2351">
          <cell r="A2351" t="str">
            <v>MR002339</v>
          </cell>
          <cell r="B2351" t="str">
            <v>MR</v>
          </cell>
          <cell r="C2351">
            <v>5.5</v>
          </cell>
          <cell r="D2351">
            <v>14</v>
          </cell>
          <cell r="E2351" t="str">
            <v>KH97</v>
          </cell>
          <cell r="F2351">
            <v>3770</v>
          </cell>
          <cell r="G2351">
            <v>105.13</v>
          </cell>
          <cell r="H2351">
            <v>1.1499999999999999</v>
          </cell>
          <cell r="I2351" t="str">
            <v>From M1A to M2A - 15°</v>
          </cell>
          <cell r="J2351" t="str">
            <v>IE3</v>
          </cell>
          <cell r="K2351" t="str">
            <v>230/400</v>
          </cell>
          <cell r="L2351">
            <v>50</v>
          </cell>
          <cell r="M2351" t="str">
            <v>18,2/10,5</v>
          </cell>
          <cell r="N2351">
            <v>65</v>
          </cell>
          <cell r="O2351" t="str">
            <v>155(F)</v>
          </cell>
          <cell r="P2351" t="str">
            <v>270°</v>
          </cell>
          <cell r="Q2351" t="str">
            <v>-</v>
          </cell>
          <cell r="R2351" t="str">
            <v>-</v>
          </cell>
          <cell r="S2351" t="str">
            <v>-</v>
          </cell>
          <cell r="T2351" t="str">
            <v>-</v>
          </cell>
          <cell r="U2351" t="str">
            <v>-</v>
          </cell>
          <cell r="V2351" t="str">
            <v>SS</v>
          </cell>
          <cell r="W2351" t="str">
            <v>-</v>
          </cell>
          <cell r="X2351" t="str">
            <v>CLP PG 220 (-25/+80°C)</v>
          </cell>
          <cell r="Y2351" t="str">
            <v>KH97DRN132S4</v>
          </cell>
          <cell r="Z2351" t="str">
            <v>SEW</v>
          </cell>
          <cell r="AB2351" t="str">
            <v>-</v>
          </cell>
          <cell r="AF2351">
            <v>14</v>
          </cell>
          <cell r="AG2351" t="str">
            <v>DRN132S4</v>
          </cell>
          <cell r="AH2351" t="str">
            <v>KH97-DRN132S4A270-X</v>
          </cell>
        </row>
        <row r="2352">
          <cell r="A2352" t="str">
            <v>MR002340</v>
          </cell>
          <cell r="B2352" t="str">
            <v>ME</v>
          </cell>
          <cell r="C2352">
            <v>45</v>
          </cell>
          <cell r="D2352">
            <v>1478</v>
          </cell>
          <cell r="E2352" t="str">
            <v>-</v>
          </cell>
          <cell r="F2352">
            <v>290</v>
          </cell>
          <cell r="G2352" t="str">
            <v>-</v>
          </cell>
          <cell r="H2352" t="str">
            <v>-</v>
          </cell>
          <cell r="I2352" t="str">
            <v>V1</v>
          </cell>
          <cell r="J2352" t="str">
            <v>IE3</v>
          </cell>
          <cell r="K2352">
            <v>400</v>
          </cell>
          <cell r="L2352">
            <v>50</v>
          </cell>
          <cell r="M2352">
            <v>80</v>
          </cell>
          <cell r="N2352">
            <v>55</v>
          </cell>
          <cell r="O2352" t="str">
            <v>155(F)</v>
          </cell>
          <cell r="P2352" t="str">
            <v>270°</v>
          </cell>
          <cell r="Q2352" t="str">
            <v>TF</v>
          </cell>
          <cell r="R2352" t="str">
            <v>V(VE)</v>
          </cell>
          <cell r="S2352" t="str">
            <v>-</v>
          </cell>
          <cell r="T2352" t="str">
            <v>-</v>
          </cell>
          <cell r="U2352" t="str">
            <v>-</v>
          </cell>
          <cell r="V2352" t="str">
            <v>FC</v>
          </cell>
          <cell r="W2352" t="str">
            <v>-</v>
          </cell>
          <cell r="X2352" t="str">
            <v>-</v>
          </cell>
          <cell r="Y2352" t="str">
            <v>1MB1523-2BB29-0GB4-Z</v>
          </cell>
          <cell r="Z2352" t="str">
            <v>SIEMENS</v>
          </cell>
          <cell r="AA2352" t="str">
            <v>RAL5010</v>
          </cell>
          <cell r="AB2352" t="str">
            <v>ATEX22</v>
          </cell>
          <cell r="AE2352" t="str">
            <v>To couple on MR002341</v>
          </cell>
          <cell r="AF2352">
            <v>1478</v>
          </cell>
          <cell r="AG2352" t="str">
            <v>EDRN225M4</v>
          </cell>
          <cell r="AH2352" t="str">
            <v>--EDRN225M4270-X#</v>
          </cell>
        </row>
        <row r="2353">
          <cell r="A2353" t="str">
            <v>MR002341</v>
          </cell>
          <cell r="B2353" t="str">
            <v>R</v>
          </cell>
          <cell r="C2353" t="str">
            <v>-</v>
          </cell>
          <cell r="D2353" t="str">
            <v>-</v>
          </cell>
          <cell r="E2353" t="str">
            <v>O5R60D282K4-225</v>
          </cell>
          <cell r="F2353" t="str">
            <v>-</v>
          </cell>
          <cell r="G2353">
            <v>282</v>
          </cell>
          <cell r="H2353">
            <v>0.98</v>
          </cell>
          <cell r="I2353" t="str">
            <v>-</v>
          </cell>
          <cell r="J2353" t="str">
            <v>-</v>
          </cell>
          <cell r="K2353" t="str">
            <v>-</v>
          </cell>
          <cell r="L2353" t="str">
            <v>-</v>
          </cell>
          <cell r="M2353" t="str">
            <v>-</v>
          </cell>
          <cell r="N2353" t="str">
            <v>-</v>
          </cell>
          <cell r="O2353" t="str">
            <v>-</v>
          </cell>
          <cell r="Q2353" t="str">
            <v>-</v>
          </cell>
          <cell r="R2353" t="str">
            <v>-</v>
          </cell>
          <cell r="S2353" t="str">
            <v>-</v>
          </cell>
          <cell r="T2353" t="str">
            <v>-</v>
          </cell>
          <cell r="U2353" t="str">
            <v>-</v>
          </cell>
          <cell r="V2353" t="str">
            <v>-</v>
          </cell>
          <cell r="W2353" t="str">
            <v>-</v>
          </cell>
          <cell r="X2353" t="str">
            <v>CLP ISO PAO VG220</v>
          </cell>
          <cell r="Y2353" t="str">
            <v>2KJ3513-9MA04-0FE1-Z</v>
          </cell>
          <cell r="Z2353" t="str">
            <v>FLENDER</v>
          </cell>
          <cell r="AA2353" t="str">
            <v>RAL5010</v>
          </cell>
          <cell r="AB2353" t="str">
            <v>ATEX22</v>
          </cell>
          <cell r="AE2353" t="str">
            <v>To couple on MR002340</v>
          </cell>
          <cell r="AF2353" t="e">
            <v>#VALUE!</v>
          </cell>
          <cell r="AG2353" t="str">
            <v>-</v>
          </cell>
          <cell r="AH2353" t="str">
            <v>O5R60D282K4-225---X</v>
          </cell>
        </row>
        <row r="2354">
          <cell r="A2354" t="str">
            <v>MR002342</v>
          </cell>
          <cell r="B2354" t="str">
            <v>MR</v>
          </cell>
          <cell r="C2354">
            <v>15</v>
          </cell>
          <cell r="D2354">
            <v>16</v>
          </cell>
          <cell r="E2354" t="str">
            <v>R147</v>
          </cell>
          <cell r="F2354">
            <v>9190</v>
          </cell>
          <cell r="G2354">
            <v>94.6</v>
          </cell>
          <cell r="H2354">
            <v>1.4</v>
          </cell>
          <cell r="I2354" t="str">
            <v>M3</v>
          </cell>
          <cell r="J2354" t="str">
            <v>IE3</v>
          </cell>
          <cell r="K2354">
            <v>415</v>
          </cell>
          <cell r="L2354">
            <v>50</v>
          </cell>
          <cell r="M2354">
            <v>29</v>
          </cell>
          <cell r="N2354">
            <v>55</v>
          </cell>
          <cell r="O2354" t="str">
            <v>155(F)</v>
          </cell>
          <cell r="P2354" t="str">
            <v>270°</v>
          </cell>
          <cell r="Q2354" t="str">
            <v>TF</v>
          </cell>
          <cell r="R2354" t="str">
            <v>V(VE)</v>
          </cell>
          <cell r="S2354" t="str">
            <v>-</v>
          </cell>
          <cell r="T2354" t="str">
            <v>-</v>
          </cell>
          <cell r="U2354" t="str">
            <v>-</v>
          </cell>
          <cell r="V2354" t="str">
            <v>FC</v>
          </cell>
          <cell r="W2354" t="str">
            <v>-</v>
          </cell>
          <cell r="X2354" t="str">
            <v>CLP 220 (-15/+40°C)</v>
          </cell>
          <cell r="Y2354" t="str">
            <v>R147DRN160L4 /TF/V</v>
          </cell>
          <cell r="Z2354" t="str">
            <v>SEW</v>
          </cell>
          <cell r="AB2354" t="str">
            <v>-</v>
          </cell>
          <cell r="AF2354">
            <v>16</v>
          </cell>
          <cell r="AG2354" t="str">
            <v>DRN160L4</v>
          </cell>
          <cell r="AH2354" t="str">
            <v>R147-DRN160L4270-X#</v>
          </cell>
        </row>
        <row r="2355">
          <cell r="A2355" t="str">
            <v>MR002343</v>
          </cell>
          <cell r="B2355" t="str">
            <v>MR</v>
          </cell>
          <cell r="C2355">
            <v>22</v>
          </cell>
          <cell r="D2355">
            <v>29</v>
          </cell>
          <cell r="E2355" t="str">
            <v>R137</v>
          </cell>
          <cell r="F2355">
            <v>7230</v>
          </cell>
          <cell r="G2355">
            <v>50.86</v>
          </cell>
          <cell r="H2355">
            <v>1.1000000000000001</v>
          </cell>
          <cell r="I2355" t="str">
            <v>M1</v>
          </cell>
          <cell r="J2355" t="str">
            <v>IE3</v>
          </cell>
          <cell r="K2355">
            <v>415</v>
          </cell>
          <cell r="L2355">
            <v>50</v>
          </cell>
          <cell r="M2355">
            <v>38.5</v>
          </cell>
          <cell r="N2355">
            <v>55</v>
          </cell>
          <cell r="O2355" t="str">
            <v>155(F)</v>
          </cell>
          <cell r="P2355" t="str">
            <v>270°</v>
          </cell>
          <cell r="Q2355" t="str">
            <v>TF</v>
          </cell>
          <cell r="R2355" t="str">
            <v>V(VE)</v>
          </cell>
          <cell r="S2355" t="str">
            <v>-</v>
          </cell>
          <cell r="T2355" t="str">
            <v>-</v>
          </cell>
          <cell r="U2355" t="str">
            <v>-</v>
          </cell>
          <cell r="V2355" t="str">
            <v>FC</v>
          </cell>
          <cell r="W2355" t="str">
            <v>-</v>
          </cell>
          <cell r="X2355" t="str">
            <v>CLP 220 (-15/+40°C)</v>
          </cell>
          <cell r="Y2355" t="str">
            <v>R137DRN180L4 /TF/V</v>
          </cell>
          <cell r="Z2355" t="str">
            <v>SEW</v>
          </cell>
          <cell r="AB2355" t="str">
            <v>-</v>
          </cell>
          <cell r="AF2355">
            <v>29</v>
          </cell>
          <cell r="AG2355" t="str">
            <v>DRN180L4</v>
          </cell>
          <cell r="AH2355" t="str">
            <v>R137-DRN180L4270-X#</v>
          </cell>
        </row>
        <row r="2356">
          <cell r="A2356" t="str">
            <v>MR002344</v>
          </cell>
          <cell r="B2356" t="str">
            <v>MR</v>
          </cell>
          <cell r="C2356">
            <v>11</v>
          </cell>
          <cell r="D2356">
            <v>53</v>
          </cell>
          <cell r="E2356" t="str">
            <v>KH87</v>
          </cell>
          <cell r="F2356">
            <v>1980</v>
          </cell>
          <cell r="G2356">
            <v>27.88</v>
          </cell>
          <cell r="H2356">
            <v>1.3</v>
          </cell>
          <cell r="I2356" t="str">
            <v>M4B</v>
          </cell>
          <cell r="J2356" t="str">
            <v>IE3</v>
          </cell>
          <cell r="K2356">
            <v>415</v>
          </cell>
          <cell r="L2356">
            <v>50</v>
          </cell>
          <cell r="M2356">
            <v>21</v>
          </cell>
          <cell r="N2356">
            <v>55</v>
          </cell>
          <cell r="O2356" t="str">
            <v>155(F)</v>
          </cell>
          <cell r="P2356" t="str">
            <v>270°</v>
          </cell>
          <cell r="Q2356" t="str">
            <v>TF</v>
          </cell>
          <cell r="R2356" t="str">
            <v>V(VE)</v>
          </cell>
          <cell r="S2356" t="str">
            <v>Free rotation CW</v>
          </cell>
          <cell r="T2356" t="str">
            <v>-</v>
          </cell>
          <cell r="U2356" t="str">
            <v>T</v>
          </cell>
          <cell r="V2356" t="str">
            <v>FC</v>
          </cell>
          <cell r="W2356" t="str">
            <v>-</v>
          </cell>
          <cell r="X2356" t="str">
            <v>CLP 220 (-15/+40°C)</v>
          </cell>
          <cell r="Y2356" t="str">
            <v>KH87/T DRN160M4 /RS /TF/V</v>
          </cell>
          <cell r="Z2356" t="str">
            <v>SEW</v>
          </cell>
          <cell r="AB2356" t="str">
            <v>-</v>
          </cell>
          <cell r="AE2356" t="str">
            <v>Work frequency : 42Hz</v>
          </cell>
          <cell r="AF2356">
            <v>53</v>
          </cell>
          <cell r="AG2356" t="str">
            <v>DRN160M4</v>
          </cell>
          <cell r="AH2356" t="str">
            <v>KH87T-DRN160M4B270-X#</v>
          </cell>
        </row>
        <row r="2357">
          <cell r="A2357" t="str">
            <v>MR002345</v>
          </cell>
          <cell r="B2357" t="str">
            <v>MR</v>
          </cell>
          <cell r="C2357">
            <v>11</v>
          </cell>
          <cell r="D2357">
            <v>53</v>
          </cell>
          <cell r="E2357" t="str">
            <v>KH87</v>
          </cell>
          <cell r="F2357">
            <v>1980</v>
          </cell>
          <cell r="G2357">
            <v>27.88</v>
          </cell>
          <cell r="H2357">
            <v>1.3</v>
          </cell>
          <cell r="I2357" t="str">
            <v>M4B</v>
          </cell>
          <cell r="J2357" t="str">
            <v>IE3</v>
          </cell>
          <cell r="K2357">
            <v>415</v>
          </cell>
          <cell r="L2357">
            <v>50</v>
          </cell>
          <cell r="M2357">
            <v>21</v>
          </cell>
          <cell r="N2357">
            <v>55</v>
          </cell>
          <cell r="O2357" t="str">
            <v>155(F)</v>
          </cell>
          <cell r="P2357" t="str">
            <v>270°</v>
          </cell>
          <cell r="Q2357" t="str">
            <v>TF</v>
          </cell>
          <cell r="R2357" t="str">
            <v>V(VE)</v>
          </cell>
          <cell r="S2357" t="str">
            <v>-</v>
          </cell>
          <cell r="T2357" t="str">
            <v>-</v>
          </cell>
          <cell r="U2357" t="str">
            <v>T</v>
          </cell>
          <cell r="V2357" t="str">
            <v>FC</v>
          </cell>
          <cell r="W2357" t="str">
            <v>-</v>
          </cell>
          <cell r="X2357" t="str">
            <v>CLP 220 (-15/+40°C)</v>
          </cell>
          <cell r="Y2357" t="str">
            <v>KH87/T DRN160M4 /TF/V</v>
          </cell>
          <cell r="Z2357" t="str">
            <v>SEW</v>
          </cell>
          <cell r="AB2357" t="str">
            <v>-</v>
          </cell>
          <cell r="AE2357" t="str">
            <v>Work frequency : 42Hz</v>
          </cell>
          <cell r="AF2357">
            <v>53</v>
          </cell>
          <cell r="AG2357" t="str">
            <v>DRN160M4</v>
          </cell>
          <cell r="AH2357" t="str">
            <v>KH87T-DRN160M4B270-X#</v>
          </cell>
        </row>
        <row r="2358">
          <cell r="A2358" t="str">
            <v>MR002346</v>
          </cell>
          <cell r="B2358" t="str">
            <v>MR</v>
          </cell>
          <cell r="C2358">
            <v>1.1000000000000001</v>
          </cell>
          <cell r="D2358">
            <v>4.2</v>
          </cell>
          <cell r="E2358" t="str">
            <v>FA87R57</v>
          </cell>
          <cell r="F2358">
            <v>2270</v>
          </cell>
          <cell r="G2358">
            <v>3.45</v>
          </cell>
          <cell r="H2358">
            <v>1.3</v>
          </cell>
          <cell r="I2358" t="str">
            <v>From M6 to M3 - 30°</v>
          </cell>
          <cell r="J2358" t="str">
            <v>IE3</v>
          </cell>
          <cell r="K2358">
            <v>415</v>
          </cell>
          <cell r="L2358">
            <v>50</v>
          </cell>
          <cell r="M2358">
            <v>2.5499999999999998</v>
          </cell>
          <cell r="N2358">
            <v>55</v>
          </cell>
          <cell r="O2358" t="str">
            <v>155(F)</v>
          </cell>
          <cell r="P2358" t="str">
            <v>270°</v>
          </cell>
          <cell r="Q2358" t="str">
            <v>-</v>
          </cell>
          <cell r="R2358" t="str">
            <v>-</v>
          </cell>
          <cell r="S2358" t="str">
            <v>-</v>
          </cell>
          <cell r="T2358" t="str">
            <v>-</v>
          </cell>
          <cell r="U2358" t="str">
            <v>G</v>
          </cell>
          <cell r="V2358" t="str">
            <v>D</v>
          </cell>
          <cell r="W2358" t="str">
            <v>-</v>
          </cell>
          <cell r="X2358" t="str">
            <v>CLP 220 (-15/+40°C)</v>
          </cell>
          <cell r="Y2358" t="str">
            <v>FA87R57/G DRN90S4</v>
          </cell>
          <cell r="Z2358" t="str">
            <v>SEW</v>
          </cell>
          <cell r="AB2358" t="str">
            <v>-</v>
          </cell>
          <cell r="AF2358">
            <v>4.2</v>
          </cell>
          <cell r="AG2358" t="str">
            <v>DRN90S4</v>
          </cell>
          <cell r="AH2358" t="str">
            <v>FA87R57G-DRN90S4270-X</v>
          </cell>
        </row>
        <row r="2359">
          <cell r="A2359" t="str">
            <v>MR002347</v>
          </cell>
          <cell r="B2359" t="str">
            <v>MR</v>
          </cell>
          <cell r="C2359">
            <v>22</v>
          </cell>
          <cell r="D2359">
            <v>15</v>
          </cell>
          <cell r="E2359" t="str">
            <v>KH157</v>
          </cell>
          <cell r="F2359">
            <v>14300</v>
          </cell>
          <cell r="G2359">
            <v>100.22</v>
          </cell>
          <cell r="H2359">
            <v>1.4</v>
          </cell>
          <cell r="I2359" t="str">
            <v>From M1A to M2A - 25°</v>
          </cell>
          <cell r="J2359" t="str">
            <v>IE3</v>
          </cell>
          <cell r="K2359">
            <v>415</v>
          </cell>
          <cell r="L2359">
            <v>50</v>
          </cell>
          <cell r="M2359">
            <v>38.5</v>
          </cell>
          <cell r="N2359">
            <v>55</v>
          </cell>
          <cell r="O2359" t="str">
            <v>155(F)</v>
          </cell>
          <cell r="P2359" t="str">
            <v>270°</v>
          </cell>
          <cell r="Q2359" t="str">
            <v>TF</v>
          </cell>
          <cell r="R2359" t="str">
            <v>V(VE)</v>
          </cell>
          <cell r="S2359" t="str">
            <v>-</v>
          </cell>
          <cell r="T2359" t="str">
            <v>-</v>
          </cell>
          <cell r="U2359" t="str">
            <v>T</v>
          </cell>
          <cell r="V2359" t="str">
            <v>FC</v>
          </cell>
          <cell r="W2359" t="str">
            <v>-</v>
          </cell>
          <cell r="X2359" t="str">
            <v>CLP 220 (-15/+40°C)</v>
          </cell>
          <cell r="Y2359" t="str">
            <v>KH157/T DRN180L4 /TF/V</v>
          </cell>
          <cell r="Z2359" t="str">
            <v>SEW</v>
          </cell>
          <cell r="AB2359" t="str">
            <v>-</v>
          </cell>
          <cell r="AF2359">
            <v>15</v>
          </cell>
          <cell r="AG2359" t="str">
            <v>DRN180L4</v>
          </cell>
          <cell r="AH2359" t="str">
            <v>KH157T-DRN180L4A270-X#</v>
          </cell>
        </row>
        <row r="2360">
          <cell r="A2360" t="str">
            <v>MR002348</v>
          </cell>
          <cell r="B2360" t="str">
            <v>MR</v>
          </cell>
          <cell r="C2360">
            <v>30</v>
          </cell>
          <cell r="D2360">
            <v>110</v>
          </cell>
          <cell r="E2360" t="str">
            <v>KH107</v>
          </cell>
          <cell r="F2360">
            <v>2590</v>
          </cell>
          <cell r="G2360">
            <v>13.43</v>
          </cell>
          <cell r="H2360">
            <v>1.65</v>
          </cell>
          <cell r="I2360" t="str">
            <v>From M4B to M1B - 10°</v>
          </cell>
          <cell r="J2360" t="str">
            <v>IE3</v>
          </cell>
          <cell r="K2360">
            <v>415</v>
          </cell>
          <cell r="L2360">
            <v>50</v>
          </cell>
          <cell r="M2360">
            <v>56</v>
          </cell>
          <cell r="N2360">
            <v>55</v>
          </cell>
          <cell r="O2360" t="str">
            <v>155(F)</v>
          </cell>
          <cell r="P2360" t="str">
            <v>270°</v>
          </cell>
          <cell r="Q2360" t="str">
            <v>TF</v>
          </cell>
          <cell r="R2360" t="str">
            <v>V(VE)</v>
          </cell>
          <cell r="S2360" t="str">
            <v>Free rotation CW</v>
          </cell>
          <cell r="T2360" t="str">
            <v>-</v>
          </cell>
          <cell r="U2360" t="str">
            <v>T</v>
          </cell>
          <cell r="V2360" t="str">
            <v>FC</v>
          </cell>
          <cell r="W2360" t="str">
            <v>-</v>
          </cell>
          <cell r="X2360" t="str">
            <v>CLP 220 (-15/+40°C)</v>
          </cell>
          <cell r="Y2360" t="str">
            <v>KH107/T DRN200L4 /RS /TF/V</v>
          </cell>
          <cell r="Z2360" t="str">
            <v>SEW</v>
          </cell>
          <cell r="AB2360" t="str">
            <v>-</v>
          </cell>
          <cell r="AF2360">
            <v>110</v>
          </cell>
          <cell r="AG2360" t="str">
            <v>DRN200L4</v>
          </cell>
          <cell r="AH2360" t="str">
            <v>KH107T-DRN200L4B270-X#</v>
          </cell>
        </row>
        <row r="2361">
          <cell r="A2361" t="str">
            <v>MR002349</v>
          </cell>
          <cell r="B2361" t="str">
            <v>MR</v>
          </cell>
          <cell r="C2361">
            <v>0.75</v>
          </cell>
          <cell r="D2361">
            <v>162</v>
          </cell>
          <cell r="E2361" t="str">
            <v>KA37</v>
          </cell>
          <cell r="F2361">
            <v>44</v>
          </cell>
          <cell r="G2361">
            <v>8.91</v>
          </cell>
          <cell r="H2361">
            <v>3.6</v>
          </cell>
          <cell r="I2361" t="str">
            <v>From M3B to M4B - 10°</v>
          </cell>
          <cell r="J2361" t="str">
            <v>IE3</v>
          </cell>
          <cell r="K2361">
            <v>415</v>
          </cell>
          <cell r="L2361">
            <v>50</v>
          </cell>
          <cell r="M2361">
            <v>1.75</v>
          </cell>
          <cell r="N2361">
            <v>55</v>
          </cell>
          <cell r="O2361" t="str">
            <v>155(F)</v>
          </cell>
          <cell r="P2361" t="str">
            <v>270°</v>
          </cell>
          <cell r="Q2361" t="str">
            <v>-</v>
          </cell>
          <cell r="R2361" t="str">
            <v>-</v>
          </cell>
          <cell r="S2361" t="str">
            <v>-</v>
          </cell>
          <cell r="T2361" t="str">
            <v>-</v>
          </cell>
          <cell r="U2361" t="str">
            <v>T</v>
          </cell>
          <cell r="V2361" t="str">
            <v>D</v>
          </cell>
          <cell r="W2361" t="str">
            <v>-</v>
          </cell>
          <cell r="X2361" t="str">
            <v>CLP 220 (-15/+40°C)</v>
          </cell>
          <cell r="Y2361" t="str">
            <v>KA37/T DRN80M4</v>
          </cell>
          <cell r="Z2361" t="str">
            <v>SEW</v>
          </cell>
          <cell r="AB2361" t="str">
            <v>-</v>
          </cell>
          <cell r="AF2361">
            <v>162</v>
          </cell>
          <cell r="AG2361" t="str">
            <v>DRN80M4</v>
          </cell>
          <cell r="AH2361" t="str">
            <v>KA37T-DRN80M4B270-X</v>
          </cell>
        </row>
        <row r="2362">
          <cell r="A2362" t="str">
            <v>MR002350</v>
          </cell>
          <cell r="B2362" t="str">
            <v>MR</v>
          </cell>
          <cell r="C2362">
            <v>5.5</v>
          </cell>
          <cell r="D2362">
            <v>14</v>
          </cell>
          <cell r="E2362" t="str">
            <v>KH97</v>
          </cell>
          <cell r="F2362">
            <v>3370</v>
          </cell>
          <cell r="G2362">
            <v>105.13</v>
          </cell>
          <cell r="H2362">
            <v>1.1499999999999999</v>
          </cell>
          <cell r="I2362" t="str">
            <v>From M1A to M2A - 25°</v>
          </cell>
          <cell r="J2362" t="str">
            <v>IE3</v>
          </cell>
          <cell r="K2362">
            <v>415</v>
          </cell>
          <cell r="L2362">
            <v>50</v>
          </cell>
          <cell r="M2362">
            <v>10.5</v>
          </cell>
          <cell r="N2362">
            <v>55</v>
          </cell>
          <cell r="O2362" t="str">
            <v>155(F)</v>
          </cell>
          <cell r="P2362" t="str">
            <v>270°</v>
          </cell>
          <cell r="Q2362" t="str">
            <v>TF</v>
          </cell>
          <cell r="R2362" t="str">
            <v>V(VE)</v>
          </cell>
          <cell r="S2362" t="str">
            <v>-</v>
          </cell>
          <cell r="T2362" t="str">
            <v>-</v>
          </cell>
          <cell r="U2362" t="str">
            <v>T</v>
          </cell>
          <cell r="V2362" t="str">
            <v>FC</v>
          </cell>
          <cell r="W2362" t="str">
            <v>-</v>
          </cell>
          <cell r="X2362" t="str">
            <v>CLP 220 (-15/+40°C)</v>
          </cell>
          <cell r="Y2362" t="str">
            <v>KH97/T DRN132S4 /TF/V</v>
          </cell>
          <cell r="Z2362" t="str">
            <v>SEW</v>
          </cell>
          <cell r="AB2362" t="str">
            <v>-</v>
          </cell>
          <cell r="AF2362">
            <v>14</v>
          </cell>
          <cell r="AG2362" t="str">
            <v>DRN132S4</v>
          </cell>
          <cell r="AH2362" t="str">
            <v>KH97T-DRN132S4A270-X#</v>
          </cell>
        </row>
        <row r="2363">
          <cell r="A2363" t="str">
            <v>MR002351</v>
          </cell>
          <cell r="B2363" t="str">
            <v>MR</v>
          </cell>
          <cell r="C2363">
            <v>5.5</v>
          </cell>
          <cell r="D2363">
            <v>14</v>
          </cell>
          <cell r="E2363" t="str">
            <v>KH97</v>
          </cell>
          <cell r="F2363">
            <v>3370</v>
          </cell>
          <cell r="G2363">
            <v>105.13</v>
          </cell>
          <cell r="H2363">
            <v>1.1499999999999999</v>
          </cell>
          <cell r="I2363" t="str">
            <v>From M1B to M2B - 25°</v>
          </cell>
          <cell r="J2363" t="str">
            <v>IE3</v>
          </cell>
          <cell r="K2363">
            <v>415</v>
          </cell>
          <cell r="L2363">
            <v>50</v>
          </cell>
          <cell r="M2363">
            <v>10.5</v>
          </cell>
          <cell r="N2363">
            <v>55</v>
          </cell>
          <cell r="O2363" t="str">
            <v>155(F)</v>
          </cell>
          <cell r="P2363" t="str">
            <v>270°</v>
          </cell>
          <cell r="Q2363" t="str">
            <v>TF</v>
          </cell>
          <cell r="R2363" t="str">
            <v>V(VE)</v>
          </cell>
          <cell r="S2363" t="str">
            <v>-</v>
          </cell>
          <cell r="T2363" t="str">
            <v>-</v>
          </cell>
          <cell r="U2363" t="str">
            <v>T</v>
          </cell>
          <cell r="V2363" t="str">
            <v>FC</v>
          </cell>
          <cell r="W2363" t="str">
            <v>-</v>
          </cell>
          <cell r="X2363" t="str">
            <v>CLP 220 (-15/+40°C)</v>
          </cell>
          <cell r="Y2363" t="str">
            <v>KH97/T DRN132S4 /TF/V</v>
          </cell>
          <cell r="Z2363" t="str">
            <v>SEW</v>
          </cell>
          <cell r="AB2363" t="str">
            <v>-</v>
          </cell>
          <cell r="AF2363">
            <v>14</v>
          </cell>
          <cell r="AG2363" t="str">
            <v>DRN132S4</v>
          </cell>
          <cell r="AH2363" t="str">
            <v>KH97T-DRN132S4B270-X#</v>
          </cell>
        </row>
        <row r="2364">
          <cell r="A2364" t="str">
            <v>MR002352</v>
          </cell>
          <cell r="B2364" t="str">
            <v>MR</v>
          </cell>
          <cell r="C2364">
            <v>11</v>
          </cell>
          <cell r="D2364">
            <v>40</v>
          </cell>
          <cell r="E2364" t="str">
            <v>R97</v>
          </cell>
          <cell r="F2364">
            <v>2640</v>
          </cell>
          <cell r="G2364">
            <v>37.130000000000003</v>
          </cell>
          <cell r="H2364">
            <v>1.1499999999999999</v>
          </cell>
          <cell r="I2364" t="str">
            <v>From M1 to M2 - 15°</v>
          </cell>
          <cell r="J2364" t="str">
            <v>IE3</v>
          </cell>
          <cell r="K2364">
            <v>415</v>
          </cell>
          <cell r="L2364">
            <v>50</v>
          </cell>
          <cell r="M2364">
            <v>21</v>
          </cell>
          <cell r="N2364">
            <v>55</v>
          </cell>
          <cell r="O2364" t="str">
            <v>155(F)</v>
          </cell>
          <cell r="P2364" t="str">
            <v>270°</v>
          </cell>
          <cell r="Q2364" t="str">
            <v>TF</v>
          </cell>
          <cell r="R2364" t="str">
            <v>V(VE)</v>
          </cell>
          <cell r="S2364" t="str">
            <v>-</v>
          </cell>
          <cell r="T2364" t="str">
            <v>-</v>
          </cell>
          <cell r="U2364" t="str">
            <v>-</v>
          </cell>
          <cell r="V2364" t="str">
            <v>FC</v>
          </cell>
          <cell r="W2364" t="str">
            <v>-</v>
          </cell>
          <cell r="X2364" t="str">
            <v>CLP 220 (-15/+40°C)</v>
          </cell>
          <cell r="Y2364" t="str">
            <v>R97DRN160M4 /TF/V</v>
          </cell>
          <cell r="Z2364" t="str">
            <v>SEW</v>
          </cell>
          <cell r="AB2364" t="str">
            <v>-</v>
          </cell>
          <cell r="AF2364">
            <v>40</v>
          </cell>
          <cell r="AG2364" t="str">
            <v>DRN160M4</v>
          </cell>
          <cell r="AH2364" t="str">
            <v>R97-DRN160M4270-X#</v>
          </cell>
        </row>
        <row r="2365">
          <cell r="A2365" t="str">
            <v>MR002353</v>
          </cell>
          <cell r="B2365" t="str">
            <v>MR</v>
          </cell>
          <cell r="C2365">
            <v>11</v>
          </cell>
          <cell r="D2365">
            <v>15</v>
          </cell>
          <cell r="E2365" t="str">
            <v>KH107</v>
          </cell>
          <cell r="F2365">
            <v>7180</v>
          </cell>
          <cell r="G2365">
            <v>100.75</v>
          </cell>
          <cell r="H2365">
            <v>1.1000000000000001</v>
          </cell>
          <cell r="I2365" t="str">
            <v>From M1A to M2A - 25°</v>
          </cell>
          <cell r="J2365" t="str">
            <v>IE3</v>
          </cell>
          <cell r="K2365">
            <v>415</v>
          </cell>
          <cell r="L2365">
            <v>50</v>
          </cell>
          <cell r="M2365">
            <v>21</v>
          </cell>
          <cell r="N2365">
            <v>55</v>
          </cell>
          <cell r="O2365" t="str">
            <v>155(F)</v>
          </cell>
          <cell r="P2365" t="str">
            <v>270°</v>
          </cell>
          <cell r="Q2365" t="str">
            <v>TF</v>
          </cell>
          <cell r="R2365" t="str">
            <v>V(VE)</v>
          </cell>
          <cell r="S2365" t="str">
            <v>-</v>
          </cell>
          <cell r="T2365" t="str">
            <v>-</v>
          </cell>
          <cell r="U2365" t="str">
            <v>T</v>
          </cell>
          <cell r="V2365" t="str">
            <v>FC</v>
          </cell>
          <cell r="W2365" t="str">
            <v>-</v>
          </cell>
          <cell r="X2365" t="str">
            <v>CLP 220 (-15/+40°C)</v>
          </cell>
          <cell r="Y2365" t="str">
            <v>KH107/T DRN160M4 /TF/V</v>
          </cell>
          <cell r="Z2365" t="str">
            <v>SEW</v>
          </cell>
          <cell r="AB2365" t="str">
            <v>-</v>
          </cell>
          <cell r="AF2365">
            <v>15</v>
          </cell>
          <cell r="AG2365" t="str">
            <v>DRN160M4</v>
          </cell>
          <cell r="AH2365" t="str">
            <v>KH107T-DRN160M4A270-X#</v>
          </cell>
        </row>
        <row r="2366">
          <cell r="A2366" t="str">
            <v>MR002354</v>
          </cell>
          <cell r="B2366" t="str">
            <v>MR</v>
          </cell>
          <cell r="C2366">
            <v>11</v>
          </cell>
          <cell r="D2366">
            <v>15</v>
          </cell>
          <cell r="E2366" t="str">
            <v>KH107</v>
          </cell>
          <cell r="F2366">
            <v>7180</v>
          </cell>
          <cell r="G2366">
            <v>100.75</v>
          </cell>
          <cell r="H2366">
            <v>1.1000000000000001</v>
          </cell>
          <cell r="I2366" t="str">
            <v>From M1B to M2B - 25°</v>
          </cell>
          <cell r="J2366" t="str">
            <v>IE3</v>
          </cell>
          <cell r="K2366">
            <v>415</v>
          </cell>
          <cell r="L2366">
            <v>50</v>
          </cell>
          <cell r="M2366">
            <v>21</v>
          </cell>
          <cell r="N2366">
            <v>55</v>
          </cell>
          <cell r="O2366" t="str">
            <v>155(F)</v>
          </cell>
          <cell r="P2366" t="str">
            <v>270°</v>
          </cell>
          <cell r="Q2366" t="str">
            <v>TF</v>
          </cell>
          <cell r="R2366" t="str">
            <v>V(VE)</v>
          </cell>
          <cell r="S2366" t="str">
            <v>-</v>
          </cell>
          <cell r="T2366" t="str">
            <v>-</v>
          </cell>
          <cell r="U2366" t="str">
            <v>T</v>
          </cell>
          <cell r="V2366" t="str">
            <v>FC</v>
          </cell>
          <cell r="W2366" t="str">
            <v>-</v>
          </cell>
          <cell r="X2366" t="str">
            <v>CLP 220 (-15/+40°C)</v>
          </cell>
          <cell r="Y2366" t="str">
            <v>KH107/T DRN160M4 /TF/V</v>
          </cell>
          <cell r="Z2366" t="str">
            <v>SEW</v>
          </cell>
          <cell r="AB2366" t="str">
            <v>-</v>
          </cell>
          <cell r="AF2366">
            <v>15</v>
          </cell>
          <cell r="AG2366" t="str">
            <v>DRN160M4</v>
          </cell>
          <cell r="AH2366" t="str">
            <v>KH107T-DRN160M4B270-X#</v>
          </cell>
        </row>
        <row r="2367">
          <cell r="A2367" t="str">
            <v>MR002355</v>
          </cell>
          <cell r="B2367" t="str">
            <v>MR</v>
          </cell>
          <cell r="C2367">
            <v>55</v>
          </cell>
          <cell r="D2367">
            <v>73</v>
          </cell>
          <cell r="E2367" t="str">
            <v>R147</v>
          </cell>
          <cell r="F2367">
            <v>7240</v>
          </cell>
          <cell r="G2367">
            <v>20.440000000000001</v>
          </cell>
          <cell r="H2367">
            <v>1.65</v>
          </cell>
          <cell r="I2367" t="str">
            <v>M4</v>
          </cell>
          <cell r="J2367" t="str">
            <v>IE3</v>
          </cell>
          <cell r="K2367" t="str">
            <v>400/690</v>
          </cell>
          <cell r="L2367">
            <v>50</v>
          </cell>
          <cell r="M2367" t="str">
            <v>105/60</v>
          </cell>
          <cell r="N2367">
            <v>65</v>
          </cell>
          <cell r="O2367" t="str">
            <v>155(F)</v>
          </cell>
          <cell r="P2367" t="str">
            <v>270°</v>
          </cell>
          <cell r="Q2367" t="str">
            <v>-</v>
          </cell>
          <cell r="R2367" t="str">
            <v>-</v>
          </cell>
          <cell r="S2367" t="str">
            <v>-</v>
          </cell>
          <cell r="T2367" t="str">
            <v>-</v>
          </cell>
          <cell r="U2367" t="str">
            <v>-</v>
          </cell>
          <cell r="V2367" t="str">
            <v>D</v>
          </cell>
          <cell r="W2367" t="str">
            <v>-</v>
          </cell>
          <cell r="X2367" t="str">
            <v>CLP HC 220 (-25/+60°C)</v>
          </cell>
          <cell r="Y2367" t="str">
            <v>R147EDRN250M4</v>
          </cell>
          <cell r="Z2367" t="str">
            <v>SEW</v>
          </cell>
          <cell r="AB2367" t="str">
            <v>ATEX22</v>
          </cell>
          <cell r="AF2367">
            <v>73</v>
          </cell>
          <cell r="AG2367" t="str">
            <v>EDRN250M4</v>
          </cell>
          <cell r="AH2367" t="str">
            <v>R147-EDRN250M4270-X</v>
          </cell>
        </row>
        <row r="2368">
          <cell r="A2368" t="str">
            <v>MR002356</v>
          </cell>
          <cell r="B2368" t="str">
            <v>MR</v>
          </cell>
          <cell r="C2368">
            <v>5.5</v>
          </cell>
          <cell r="D2368">
            <v>76</v>
          </cell>
          <cell r="E2368" t="str">
            <v>R87</v>
          </cell>
          <cell r="F2368">
            <v>685</v>
          </cell>
          <cell r="G2368">
            <v>19.100000000000001</v>
          </cell>
          <cell r="H2368">
            <v>1.7</v>
          </cell>
          <cell r="I2368" t="str">
            <v>M1</v>
          </cell>
          <cell r="J2368" t="str">
            <v>IE3</v>
          </cell>
          <cell r="K2368" t="str">
            <v>230/400</v>
          </cell>
          <cell r="L2368">
            <v>50</v>
          </cell>
          <cell r="M2368" t="str">
            <v>18,8/10,9</v>
          </cell>
          <cell r="N2368">
            <v>55</v>
          </cell>
          <cell r="O2368" t="str">
            <v>155(F)</v>
          </cell>
          <cell r="P2368" t="str">
            <v>270°</v>
          </cell>
          <cell r="Q2368" t="str">
            <v>-</v>
          </cell>
          <cell r="R2368" t="str">
            <v>-</v>
          </cell>
          <cell r="S2368" t="str">
            <v>-</v>
          </cell>
          <cell r="T2368" t="str">
            <v>-</v>
          </cell>
          <cell r="U2368" t="str">
            <v>-</v>
          </cell>
          <cell r="V2368" t="str">
            <v>D</v>
          </cell>
          <cell r="W2368" t="str">
            <v>-</v>
          </cell>
          <cell r="X2368" t="str">
            <v>CLP HC 150 (-30/+50°C)</v>
          </cell>
          <cell r="Y2368" t="str">
            <v>R87/II2GDEDRN132S4/3D/KCC/AL</v>
          </cell>
          <cell r="Z2368" t="str">
            <v>SEW</v>
          </cell>
          <cell r="AB2368" t="str">
            <v>ATEX22</v>
          </cell>
          <cell r="AF2368">
            <v>76</v>
          </cell>
          <cell r="AG2368" t="str">
            <v>EDRN132S4</v>
          </cell>
          <cell r="AH2368" t="str">
            <v>R87-EDRN132S4270-X</v>
          </cell>
        </row>
        <row r="2369">
          <cell r="A2369" t="str">
            <v>MR002357</v>
          </cell>
          <cell r="B2369" t="str">
            <v>MR</v>
          </cell>
          <cell r="C2369">
            <v>18.5</v>
          </cell>
          <cell r="D2369">
            <v>108</v>
          </cell>
          <cell r="E2369" t="str">
            <v>R107</v>
          </cell>
          <cell r="F2369">
            <v>1630</v>
          </cell>
          <cell r="G2369">
            <v>13.66</v>
          </cell>
          <cell r="H2369">
            <v>2.6</v>
          </cell>
          <cell r="I2369" t="str">
            <v>M4</v>
          </cell>
          <cell r="J2369" t="str">
            <v>IE3</v>
          </cell>
          <cell r="K2369" t="str">
            <v>400/690</v>
          </cell>
          <cell r="L2369">
            <v>50</v>
          </cell>
          <cell r="M2369" t="str">
            <v>35/20</v>
          </cell>
          <cell r="N2369">
            <v>55</v>
          </cell>
          <cell r="O2369" t="str">
            <v>155(F)</v>
          </cell>
          <cell r="P2369" t="str">
            <v>270°</v>
          </cell>
          <cell r="Q2369" t="str">
            <v>-</v>
          </cell>
          <cell r="R2369" t="str">
            <v>-</v>
          </cell>
          <cell r="S2369" t="str">
            <v>-</v>
          </cell>
          <cell r="T2369" t="str">
            <v>-</v>
          </cell>
          <cell r="U2369" t="str">
            <v>-</v>
          </cell>
          <cell r="V2369" t="str">
            <v>D</v>
          </cell>
          <cell r="W2369" t="str">
            <v>-</v>
          </cell>
          <cell r="X2369" t="str">
            <v>CLP HC 150 (-30/+50°C)</v>
          </cell>
          <cell r="Y2369" t="str">
            <v>R107/II2GDEDRN180M4/3D/AL/C</v>
          </cell>
          <cell r="Z2369" t="str">
            <v>SEW</v>
          </cell>
          <cell r="AB2369" t="str">
            <v>ATEX22</v>
          </cell>
          <cell r="AF2369">
            <v>108</v>
          </cell>
          <cell r="AG2369" t="str">
            <v>EDRN180M4</v>
          </cell>
          <cell r="AH2369" t="str">
            <v>R107-EDRN180M4270-X</v>
          </cell>
        </row>
        <row r="2370">
          <cell r="A2370" t="str">
            <v>MR002358</v>
          </cell>
          <cell r="B2370" t="str">
            <v>MR</v>
          </cell>
          <cell r="C2370">
            <v>4</v>
          </cell>
          <cell r="D2370">
            <v>63</v>
          </cell>
          <cell r="E2370" t="str">
            <v>R87</v>
          </cell>
          <cell r="F2370">
            <v>610</v>
          </cell>
          <cell r="G2370">
            <v>23.4</v>
          </cell>
          <cell r="H2370">
            <v>2</v>
          </cell>
          <cell r="I2370" t="str">
            <v>M1</v>
          </cell>
          <cell r="J2370" t="str">
            <v>IE3</v>
          </cell>
          <cell r="K2370" t="str">
            <v>230/400</v>
          </cell>
          <cell r="L2370">
            <v>50</v>
          </cell>
          <cell r="M2370" t="str">
            <v>14,2/8,2</v>
          </cell>
          <cell r="N2370">
            <v>55</v>
          </cell>
          <cell r="O2370" t="str">
            <v>155(F)</v>
          </cell>
          <cell r="P2370" t="str">
            <v>270°</v>
          </cell>
          <cell r="Q2370" t="str">
            <v>-</v>
          </cell>
          <cell r="R2370" t="str">
            <v>-</v>
          </cell>
          <cell r="S2370" t="str">
            <v>-</v>
          </cell>
          <cell r="T2370" t="str">
            <v>-</v>
          </cell>
          <cell r="U2370" t="str">
            <v>-</v>
          </cell>
          <cell r="V2370" t="str">
            <v>D</v>
          </cell>
          <cell r="W2370" t="str">
            <v>-</v>
          </cell>
          <cell r="X2370" t="str">
            <v>CLP HC 150 (-30/+50°C)</v>
          </cell>
          <cell r="Y2370" t="str">
            <v>R87/II2GDEDRN112M4/3D</v>
          </cell>
          <cell r="Z2370" t="str">
            <v>SEW</v>
          </cell>
          <cell r="AB2370" t="str">
            <v>ATEX22</v>
          </cell>
          <cell r="AF2370">
            <v>63</v>
          </cell>
          <cell r="AG2370" t="str">
            <v>EDRN112M4</v>
          </cell>
          <cell r="AH2370" t="str">
            <v>R87-EDRN112M4270-X</v>
          </cell>
        </row>
        <row r="2371">
          <cell r="A2371" t="str">
            <v>MR002359</v>
          </cell>
          <cell r="B2371" t="str">
            <v>MR</v>
          </cell>
          <cell r="C2371">
            <v>2.2000000000000002</v>
          </cell>
          <cell r="D2371">
            <v>81</v>
          </cell>
          <cell r="E2371" t="str">
            <v>R67</v>
          </cell>
          <cell r="F2371">
            <v>260</v>
          </cell>
          <cell r="G2371">
            <v>17.95</v>
          </cell>
          <cell r="H2371">
            <v>1.8</v>
          </cell>
          <cell r="I2371" t="str">
            <v>M1</v>
          </cell>
          <cell r="J2371" t="str">
            <v>IE3</v>
          </cell>
          <cell r="K2371" t="str">
            <v>230/400</v>
          </cell>
          <cell r="L2371">
            <v>50</v>
          </cell>
          <cell r="M2371" t="str">
            <v>8,3/4,8</v>
          </cell>
          <cell r="N2371">
            <v>55</v>
          </cell>
          <cell r="O2371" t="str">
            <v>155(F)</v>
          </cell>
          <cell r="P2371" t="str">
            <v>270°</v>
          </cell>
          <cell r="Q2371" t="str">
            <v>-</v>
          </cell>
          <cell r="R2371" t="str">
            <v>-</v>
          </cell>
          <cell r="S2371" t="str">
            <v>-</v>
          </cell>
          <cell r="T2371" t="str">
            <v>-</v>
          </cell>
          <cell r="U2371" t="str">
            <v>-</v>
          </cell>
          <cell r="V2371" t="str">
            <v>D</v>
          </cell>
          <cell r="W2371" t="str">
            <v>-</v>
          </cell>
          <cell r="X2371" t="str">
            <v>CLP HC 150 (-30/+50°C)</v>
          </cell>
          <cell r="Y2371" t="str">
            <v>R67/II2GDEDRN100LS4/3D</v>
          </cell>
          <cell r="Z2371" t="str">
            <v>SEW</v>
          </cell>
          <cell r="AB2371" t="str">
            <v>ATEX22</v>
          </cell>
          <cell r="AF2371">
            <v>81</v>
          </cell>
          <cell r="AG2371" t="str">
            <v>EDRN100LS4</v>
          </cell>
          <cell r="AH2371" t="str">
            <v>R67-EDRN100LS4270-X</v>
          </cell>
        </row>
        <row r="2372">
          <cell r="A2372" t="str">
            <v>MR002360</v>
          </cell>
          <cell r="B2372" t="str">
            <v>MR</v>
          </cell>
          <cell r="C2372">
            <v>1.5</v>
          </cell>
          <cell r="D2372">
            <v>22</v>
          </cell>
          <cell r="E2372" t="str">
            <v>FA67</v>
          </cell>
          <cell r="F2372">
            <v>660</v>
          </cell>
          <cell r="G2372">
            <v>67.650000000000006</v>
          </cell>
          <cell r="H2372">
            <v>1.25</v>
          </cell>
          <cell r="I2372" t="str">
            <v>M5</v>
          </cell>
          <cell r="J2372" t="str">
            <v>IE3</v>
          </cell>
          <cell r="K2372" t="str">
            <v>230/400</v>
          </cell>
          <cell r="L2372">
            <v>50</v>
          </cell>
          <cell r="M2372" t="str">
            <v>5,9/3,4</v>
          </cell>
          <cell r="N2372">
            <v>55</v>
          </cell>
          <cell r="O2372" t="str">
            <v>155(F)</v>
          </cell>
          <cell r="P2372" t="str">
            <v>270°</v>
          </cell>
          <cell r="Q2372" t="str">
            <v>-</v>
          </cell>
          <cell r="R2372" t="str">
            <v>-</v>
          </cell>
          <cell r="S2372" t="str">
            <v>-</v>
          </cell>
          <cell r="T2372" t="str">
            <v>BEHF</v>
          </cell>
          <cell r="U2372" t="str">
            <v>G</v>
          </cell>
          <cell r="V2372" t="str">
            <v>D</v>
          </cell>
          <cell r="W2372" t="str">
            <v>-</v>
          </cell>
          <cell r="X2372" t="str">
            <v>CLP 220 (-15/+40°C)</v>
          </cell>
          <cell r="Y2372" t="str">
            <v>FA67/G DRN90L4 /BEHF</v>
          </cell>
          <cell r="Z2372" t="str">
            <v>SEW</v>
          </cell>
          <cell r="AB2372" t="str">
            <v>-</v>
          </cell>
          <cell r="AF2372">
            <v>22</v>
          </cell>
          <cell r="AG2372" t="str">
            <v>DRN90L4</v>
          </cell>
          <cell r="AH2372" t="str">
            <v>FA67G-DRN90L4270-X</v>
          </cell>
        </row>
        <row r="2373">
          <cell r="A2373" t="str">
            <v>MR002361</v>
          </cell>
          <cell r="B2373" t="str">
            <v>ME</v>
          </cell>
          <cell r="C2373">
            <v>30</v>
          </cell>
          <cell r="D2373">
            <v>1470</v>
          </cell>
          <cell r="F2373">
            <v>195</v>
          </cell>
          <cell r="I2373" t="str">
            <v>IM B5</v>
          </cell>
          <cell r="J2373" t="str">
            <v>IE3</v>
          </cell>
          <cell r="K2373" t="str">
            <v>400/690</v>
          </cell>
          <cell r="L2373">
            <v>50</v>
          </cell>
          <cell r="M2373" t="str">
            <v>55/32</v>
          </cell>
          <cell r="N2373">
            <v>55</v>
          </cell>
          <cell r="O2373" t="str">
            <v>-</v>
          </cell>
          <cell r="P2373" t="str">
            <v>-</v>
          </cell>
          <cell r="Q2373" t="str">
            <v>-</v>
          </cell>
          <cell r="R2373" t="str">
            <v>-</v>
          </cell>
          <cell r="S2373" t="str">
            <v>-</v>
          </cell>
          <cell r="T2373" t="str">
            <v>-</v>
          </cell>
          <cell r="U2373" t="str">
            <v>-</v>
          </cell>
          <cell r="V2373" t="str">
            <v>SS</v>
          </cell>
          <cell r="W2373" t="str">
            <v>-</v>
          </cell>
          <cell r="X2373" t="str">
            <v>-</v>
          </cell>
          <cell r="Y2373" t="str">
            <v>1MB1523-2AB53-4FA4-Z M10+Y53</v>
          </cell>
          <cell r="Z2373" t="str">
            <v>SIEMENS</v>
          </cell>
          <cell r="AA2373" t="str">
            <v>RAL5010</v>
          </cell>
          <cell r="AB2373" t="str">
            <v>ATEX22</v>
          </cell>
          <cell r="AF2373">
            <v>1470</v>
          </cell>
          <cell r="AH2373" t="str">
            <v>-B--X</v>
          </cell>
        </row>
        <row r="2374">
          <cell r="A2374" t="str">
            <v>MR002362</v>
          </cell>
          <cell r="B2374" t="str">
            <v>ME</v>
          </cell>
          <cell r="C2374">
            <v>0.37</v>
          </cell>
          <cell r="D2374">
            <v>1410</v>
          </cell>
          <cell r="F2374">
            <v>2.5</v>
          </cell>
          <cell r="I2374" t="str">
            <v>IM B5</v>
          </cell>
          <cell r="J2374" t="str">
            <v>IE3</v>
          </cell>
          <cell r="K2374" t="str">
            <v>230/400</v>
          </cell>
          <cell r="L2374">
            <v>50</v>
          </cell>
          <cell r="M2374" t="str">
            <v>1,72/0,99</v>
          </cell>
          <cell r="N2374">
            <v>55</v>
          </cell>
          <cell r="O2374" t="str">
            <v>-</v>
          </cell>
          <cell r="Q2374" t="str">
            <v>-</v>
          </cell>
          <cell r="R2374" t="str">
            <v>-</v>
          </cell>
          <cell r="S2374" t="str">
            <v>-</v>
          </cell>
          <cell r="T2374" t="str">
            <v>-</v>
          </cell>
          <cell r="U2374" t="str">
            <v>-</v>
          </cell>
          <cell r="V2374" t="str">
            <v>D</v>
          </cell>
          <cell r="W2374" t="str">
            <v>-</v>
          </cell>
          <cell r="X2374" t="str">
            <v>-</v>
          </cell>
          <cell r="Y2374" t="str">
            <v>1MB1523-0CB32-2FA4-Z M10+Y53</v>
          </cell>
          <cell r="Z2374" t="str">
            <v>SIEMENS</v>
          </cell>
          <cell r="AA2374" t="str">
            <v>RAL5010</v>
          </cell>
          <cell r="AB2374" t="str">
            <v>ATEX22</v>
          </cell>
          <cell r="AF2374">
            <v>1410</v>
          </cell>
          <cell r="AH2374" t="str">
            <v>-B-X</v>
          </cell>
        </row>
        <row r="2375">
          <cell r="A2375" t="str">
            <v>MR002363</v>
          </cell>
          <cell r="B2375" t="str">
            <v>R</v>
          </cell>
          <cell r="C2375" t="str">
            <v>-</v>
          </cell>
          <cell r="D2375" t="str">
            <v>-</v>
          </cell>
          <cell r="E2375" t="str">
            <v>R77</v>
          </cell>
          <cell r="F2375">
            <v>820</v>
          </cell>
          <cell r="G2375">
            <v>121.42</v>
          </cell>
          <cell r="I2375" t="str">
            <v>M1</v>
          </cell>
          <cell r="J2375" t="str">
            <v>-</v>
          </cell>
          <cell r="K2375" t="str">
            <v>-</v>
          </cell>
          <cell r="L2375" t="str">
            <v>-</v>
          </cell>
          <cell r="M2375" t="str">
            <v>-</v>
          </cell>
          <cell r="N2375" t="str">
            <v>-</v>
          </cell>
          <cell r="O2375" t="str">
            <v>-</v>
          </cell>
          <cell r="Q2375" t="str">
            <v>-</v>
          </cell>
          <cell r="R2375" t="str">
            <v>-</v>
          </cell>
          <cell r="S2375" t="str">
            <v>-</v>
          </cell>
          <cell r="T2375" t="str">
            <v>-</v>
          </cell>
          <cell r="U2375" t="str">
            <v>-</v>
          </cell>
          <cell r="V2375" t="str">
            <v>-</v>
          </cell>
          <cell r="W2375" t="str">
            <v>-</v>
          </cell>
          <cell r="X2375" t="str">
            <v>CLP 220 (-15/+40°C)</v>
          </cell>
          <cell r="Y2375" t="str">
            <v>R77/A</v>
          </cell>
          <cell r="Z2375" t="str">
            <v>SEW</v>
          </cell>
          <cell r="AB2375" t="str">
            <v>-</v>
          </cell>
          <cell r="AF2375" t="e">
            <v>#VALUE!</v>
          </cell>
          <cell r="AG2375" t="str">
            <v>-</v>
          </cell>
          <cell r="AH2375" t="str">
            <v>R77---X</v>
          </cell>
        </row>
        <row r="2376">
          <cell r="A2376" t="str">
            <v>MR002364</v>
          </cell>
          <cell r="B2376" t="str">
            <v>MR</v>
          </cell>
          <cell r="C2376">
            <v>5.5</v>
          </cell>
          <cell r="D2376">
            <v>78</v>
          </cell>
          <cell r="E2376" t="str">
            <v>R77</v>
          </cell>
          <cell r="F2376">
            <v>560</v>
          </cell>
          <cell r="G2376">
            <v>18.8</v>
          </cell>
          <cell r="H2376">
            <v>1.4</v>
          </cell>
          <cell r="I2376" t="str">
            <v>From M1 to M2 - 15°</v>
          </cell>
          <cell r="J2376" t="str">
            <v>IE3</v>
          </cell>
          <cell r="K2376">
            <v>460</v>
          </cell>
          <cell r="L2376">
            <v>60</v>
          </cell>
          <cell r="M2376">
            <v>9.1999999999999993</v>
          </cell>
          <cell r="N2376">
            <v>55</v>
          </cell>
          <cell r="O2376" t="str">
            <v>155(F)</v>
          </cell>
          <cell r="P2376" t="str">
            <v>270°</v>
          </cell>
          <cell r="Q2376" t="str">
            <v>-</v>
          </cell>
          <cell r="R2376" t="str">
            <v>-</v>
          </cell>
          <cell r="S2376" t="str">
            <v>-</v>
          </cell>
          <cell r="T2376" t="str">
            <v>-</v>
          </cell>
          <cell r="U2376" t="str">
            <v>-</v>
          </cell>
          <cell r="V2376" t="str">
            <v>D</v>
          </cell>
          <cell r="W2376" t="str">
            <v>-</v>
          </cell>
          <cell r="X2376" t="str">
            <v>CLP PG 680 (-20 / +80 °C)</v>
          </cell>
          <cell r="Y2376" t="str">
            <v>R77DRN132S4</v>
          </cell>
          <cell r="Z2376" t="str">
            <v>SEW</v>
          </cell>
          <cell r="AB2376" t="str">
            <v>-</v>
          </cell>
          <cell r="AE2376" t="str">
            <v>UL APPROVED; cosfi=0,82</v>
          </cell>
          <cell r="AF2376">
            <v>93.6</v>
          </cell>
          <cell r="AG2376" t="str">
            <v>DRN132S4</v>
          </cell>
          <cell r="AH2376" t="str">
            <v>R77-DRN132S4270-X</v>
          </cell>
        </row>
        <row r="2377">
          <cell r="A2377" t="str">
            <v>MR002365</v>
          </cell>
          <cell r="B2377" t="str">
            <v>MR</v>
          </cell>
          <cell r="C2377">
            <v>22</v>
          </cell>
          <cell r="D2377">
            <v>82</v>
          </cell>
          <cell r="E2377" t="str">
            <v>R107</v>
          </cell>
          <cell r="F2377">
            <v>2140</v>
          </cell>
          <cell r="G2377">
            <v>18.21</v>
          </cell>
          <cell r="H2377">
            <v>2</v>
          </cell>
          <cell r="I2377" t="str">
            <v>M4</v>
          </cell>
          <cell r="J2377" t="str">
            <v>IE3</v>
          </cell>
          <cell r="K2377">
            <v>460</v>
          </cell>
          <cell r="L2377">
            <v>60</v>
          </cell>
          <cell r="M2377">
            <v>34</v>
          </cell>
          <cell r="N2377">
            <v>55</v>
          </cell>
          <cell r="O2377" t="str">
            <v>155(F)</v>
          </cell>
          <cell r="P2377" t="str">
            <v>270°</v>
          </cell>
          <cell r="Q2377" t="str">
            <v>-</v>
          </cell>
          <cell r="R2377" t="str">
            <v>-</v>
          </cell>
          <cell r="S2377" t="str">
            <v>-</v>
          </cell>
          <cell r="T2377" t="str">
            <v>-</v>
          </cell>
          <cell r="U2377" t="str">
            <v>-</v>
          </cell>
          <cell r="V2377" t="str">
            <v>D</v>
          </cell>
          <cell r="W2377" t="str">
            <v>-</v>
          </cell>
          <cell r="X2377" t="str">
            <v>CLP PG 680 (-20 / +80 °C)</v>
          </cell>
          <cell r="Y2377" t="str">
            <v>R107DRN180L4</v>
          </cell>
          <cell r="Z2377" t="str">
            <v>SEW</v>
          </cell>
          <cell r="AB2377" t="str">
            <v>-</v>
          </cell>
          <cell r="AE2377" t="str">
            <v>UL APPROVED; cosfi=0,86</v>
          </cell>
          <cell r="AF2377">
            <v>98.4</v>
          </cell>
          <cell r="AG2377" t="str">
            <v>DRN180L4</v>
          </cell>
          <cell r="AH2377" t="str">
            <v>R107-DRN180L4270-X</v>
          </cell>
        </row>
        <row r="2378">
          <cell r="A2378" t="str">
            <v>MR002366</v>
          </cell>
          <cell r="B2378" t="str">
            <v>MR</v>
          </cell>
          <cell r="C2378">
            <v>9.1999999999999993</v>
          </cell>
          <cell r="D2378">
            <v>44</v>
          </cell>
          <cell r="E2378" t="str">
            <v>R97</v>
          </cell>
          <cell r="F2378">
            <v>1980</v>
          </cell>
          <cell r="G2378">
            <v>33.25</v>
          </cell>
          <cell r="H2378">
            <v>1.45</v>
          </cell>
          <cell r="I2378" t="str">
            <v>From M1 to M5 - 30°</v>
          </cell>
          <cell r="J2378" t="str">
            <v>IE3</v>
          </cell>
          <cell r="K2378" t="str">
            <v>400/690</v>
          </cell>
          <cell r="L2378">
            <v>50</v>
          </cell>
          <cell r="M2378" t="str">
            <v>18,7/10,8</v>
          </cell>
          <cell r="N2378">
            <v>55</v>
          </cell>
          <cell r="O2378" t="str">
            <v>155(F)</v>
          </cell>
          <cell r="P2378" t="str">
            <v>270°</v>
          </cell>
          <cell r="Q2378" t="str">
            <v>-</v>
          </cell>
          <cell r="R2378" t="str">
            <v>-</v>
          </cell>
          <cell r="S2378" t="str">
            <v>-</v>
          </cell>
          <cell r="T2378" t="str">
            <v>-</v>
          </cell>
          <cell r="U2378" t="str">
            <v>-</v>
          </cell>
          <cell r="V2378" t="str">
            <v>SS</v>
          </cell>
          <cell r="W2378" t="str">
            <v>-</v>
          </cell>
          <cell r="X2378" t="str">
            <v>CLP 220 (-15/+40°C)</v>
          </cell>
          <cell r="Y2378" t="str">
            <v>R97DRN132L4</v>
          </cell>
          <cell r="Z2378" t="str">
            <v>SEW</v>
          </cell>
          <cell r="AB2378" t="str">
            <v>-</v>
          </cell>
          <cell r="AF2378">
            <v>44</v>
          </cell>
          <cell r="AG2378" t="str">
            <v>DRN132L4</v>
          </cell>
          <cell r="AH2378" t="str">
            <v>R97-DRN132L4270-X</v>
          </cell>
        </row>
        <row r="2379">
          <cell r="A2379" t="str">
            <v>MR002367</v>
          </cell>
          <cell r="B2379" t="str">
            <v>MR</v>
          </cell>
          <cell r="C2379">
            <v>22</v>
          </cell>
          <cell r="D2379">
            <v>50</v>
          </cell>
          <cell r="E2379" t="str">
            <v>R107</v>
          </cell>
          <cell r="F2379">
            <v>4190</v>
          </cell>
          <cell r="G2379">
            <v>29.49</v>
          </cell>
          <cell r="H2379">
            <v>1.05</v>
          </cell>
          <cell r="I2379" t="str">
            <v>From M1 to M5 - 20°</v>
          </cell>
          <cell r="J2379" t="str">
            <v>IE3</v>
          </cell>
          <cell r="K2379" t="str">
            <v>400/690</v>
          </cell>
          <cell r="L2379">
            <v>50</v>
          </cell>
          <cell r="M2379" t="str">
            <v>38,5/22,5</v>
          </cell>
          <cell r="N2379">
            <v>55</v>
          </cell>
          <cell r="O2379" t="str">
            <v>155(F)</v>
          </cell>
          <cell r="P2379" t="str">
            <v>270°</v>
          </cell>
          <cell r="Q2379" t="str">
            <v>-</v>
          </cell>
          <cell r="R2379" t="str">
            <v>-</v>
          </cell>
          <cell r="S2379" t="str">
            <v>-</v>
          </cell>
          <cell r="T2379" t="str">
            <v>-</v>
          </cell>
          <cell r="U2379" t="str">
            <v>-</v>
          </cell>
          <cell r="V2379" t="str">
            <v>SS</v>
          </cell>
          <cell r="W2379" t="str">
            <v>-</v>
          </cell>
          <cell r="X2379" t="str">
            <v>CLP 220 (-15/+40°C)</v>
          </cell>
          <cell r="Y2379" t="str">
            <v>R107DRN180L4</v>
          </cell>
          <cell r="Z2379" t="str">
            <v>SEW</v>
          </cell>
          <cell r="AB2379" t="str">
            <v>-</v>
          </cell>
          <cell r="AF2379">
            <v>50</v>
          </cell>
          <cell r="AG2379" t="str">
            <v>DRN180L4</v>
          </cell>
          <cell r="AH2379" t="str">
            <v>R107-DRN180L4270-X</v>
          </cell>
        </row>
        <row r="2380">
          <cell r="A2380" t="str">
            <v>MR002368</v>
          </cell>
          <cell r="B2380" t="str">
            <v>MR</v>
          </cell>
          <cell r="C2380">
            <v>2.2000000000000002</v>
          </cell>
          <cell r="D2380">
            <v>95</v>
          </cell>
          <cell r="E2380" t="str">
            <v>KH67</v>
          </cell>
          <cell r="F2380">
            <v>220</v>
          </cell>
          <cell r="G2380">
            <v>15.19</v>
          </cell>
          <cell r="H2380">
            <v>3.2</v>
          </cell>
          <cell r="I2380" t="str">
            <v>M1B</v>
          </cell>
          <cell r="J2380" t="str">
            <v>IE3</v>
          </cell>
          <cell r="K2380">
            <v>415</v>
          </cell>
          <cell r="L2380">
            <v>50</v>
          </cell>
          <cell r="M2380">
            <v>4.75</v>
          </cell>
          <cell r="N2380">
            <v>55</v>
          </cell>
          <cell r="O2380" t="str">
            <v>155(F)</v>
          </cell>
          <cell r="P2380" t="str">
            <v>270°</v>
          </cell>
          <cell r="Q2380" t="str">
            <v>-</v>
          </cell>
          <cell r="R2380" t="str">
            <v>-</v>
          </cell>
          <cell r="S2380" t="str">
            <v>-</v>
          </cell>
          <cell r="T2380" t="str">
            <v>-</v>
          </cell>
          <cell r="U2380" t="str">
            <v>T</v>
          </cell>
          <cell r="V2380" t="str">
            <v>D</v>
          </cell>
          <cell r="W2380" t="str">
            <v>-</v>
          </cell>
          <cell r="X2380" t="str">
            <v>CLP 220 (-15/+40°C)</v>
          </cell>
          <cell r="Y2380" t="str">
            <v>KH67/T DRN100LS4</v>
          </cell>
          <cell r="Z2380" t="str">
            <v>SEW</v>
          </cell>
          <cell r="AB2380" t="str">
            <v>-</v>
          </cell>
          <cell r="AF2380">
            <v>95</v>
          </cell>
          <cell r="AG2380" t="str">
            <v>DRN100LS4</v>
          </cell>
          <cell r="AH2380" t="str">
            <v>KH67T-DRN100LS4B270-X</v>
          </cell>
        </row>
        <row r="2381">
          <cell r="A2381" t="str">
            <v>MR002369</v>
          </cell>
          <cell r="B2381" t="str">
            <v>MR</v>
          </cell>
          <cell r="C2381">
            <v>2.2000000000000002</v>
          </cell>
          <cell r="D2381">
            <v>72</v>
          </cell>
          <cell r="E2381" t="str">
            <v>KH49</v>
          </cell>
          <cell r="F2381">
            <v>290</v>
          </cell>
          <cell r="G2381">
            <v>20.03</v>
          </cell>
          <cell r="H2381">
            <v>1.7</v>
          </cell>
          <cell r="I2381" t="str">
            <v>M1B</v>
          </cell>
          <cell r="J2381" t="str">
            <v>IE3</v>
          </cell>
          <cell r="K2381" t="str">
            <v>230/400</v>
          </cell>
          <cell r="L2381">
            <v>50</v>
          </cell>
          <cell r="M2381" t="str">
            <v>8,3/4,75</v>
          </cell>
          <cell r="N2381">
            <v>65</v>
          </cell>
          <cell r="O2381" t="str">
            <v>155(F)</v>
          </cell>
          <cell r="P2381" t="str">
            <v>270°</v>
          </cell>
          <cell r="Q2381" t="str">
            <v>-</v>
          </cell>
          <cell r="R2381" t="str">
            <v>-</v>
          </cell>
          <cell r="S2381" t="str">
            <v>-</v>
          </cell>
          <cell r="T2381" t="str">
            <v>-</v>
          </cell>
          <cell r="U2381" t="str">
            <v>T</v>
          </cell>
          <cell r="V2381" t="str">
            <v>D</v>
          </cell>
          <cell r="W2381" t="str">
            <v>-</v>
          </cell>
          <cell r="X2381" t="str">
            <v>CLP PG 220 (-25/+80°C)</v>
          </cell>
          <cell r="Y2381" t="str">
            <v>KH49/T DRN100LS4</v>
          </cell>
          <cell r="Z2381" t="str">
            <v>SEW</v>
          </cell>
          <cell r="AB2381" t="str">
            <v>-</v>
          </cell>
          <cell r="AF2381">
            <v>72</v>
          </cell>
          <cell r="AG2381" t="str">
            <v>DRN100LS4</v>
          </cell>
          <cell r="AH2381" t="str">
            <v>KH49T-DRN100LS4B270-X</v>
          </cell>
        </row>
        <row r="2382">
          <cell r="A2382" t="str">
            <v>MR002370</v>
          </cell>
          <cell r="B2382" t="str">
            <v>MR</v>
          </cell>
          <cell r="C2382">
            <v>0.75</v>
          </cell>
          <cell r="D2382">
            <v>162</v>
          </cell>
          <cell r="E2382" t="str">
            <v>KA37</v>
          </cell>
          <cell r="F2382">
            <v>44</v>
          </cell>
          <cell r="G2382">
            <v>8.91</v>
          </cell>
          <cell r="H2382">
            <v>3.6</v>
          </cell>
          <cell r="I2382" t="str">
            <v>M1B</v>
          </cell>
          <cell r="J2382" t="str">
            <v>IE3</v>
          </cell>
          <cell r="K2382" t="str">
            <v>230/400</v>
          </cell>
          <cell r="L2382">
            <v>50</v>
          </cell>
          <cell r="M2382" t="str">
            <v>3,05/1,75</v>
          </cell>
          <cell r="N2382">
            <v>65</v>
          </cell>
          <cell r="O2382" t="str">
            <v>155(F)</v>
          </cell>
          <cell r="P2382" t="str">
            <v>270°</v>
          </cell>
          <cell r="Q2382" t="str">
            <v>-</v>
          </cell>
          <cell r="R2382" t="str">
            <v>-</v>
          </cell>
          <cell r="S2382" t="str">
            <v>-</v>
          </cell>
          <cell r="T2382" t="str">
            <v>-</v>
          </cell>
          <cell r="U2382" t="str">
            <v>T</v>
          </cell>
          <cell r="V2382" t="str">
            <v>D</v>
          </cell>
          <cell r="W2382" t="str">
            <v>-</v>
          </cell>
          <cell r="X2382" t="str">
            <v>CLP PG 220 (-25/+80°C)</v>
          </cell>
          <cell r="Y2382" t="str">
            <v>KA37/T DRN80M4</v>
          </cell>
          <cell r="Z2382" t="str">
            <v>SEW</v>
          </cell>
          <cell r="AB2382" t="str">
            <v>-</v>
          </cell>
          <cell r="AF2382">
            <v>162</v>
          </cell>
          <cell r="AG2382" t="str">
            <v>DRN80M4</v>
          </cell>
          <cell r="AH2382" t="str">
            <v>KA37T-DRN80M4B270-X</v>
          </cell>
        </row>
        <row r="2383">
          <cell r="A2383" t="str">
            <v>MR002371</v>
          </cell>
          <cell r="B2383" t="str">
            <v>MR</v>
          </cell>
          <cell r="C2383">
            <v>7.5</v>
          </cell>
          <cell r="D2383">
            <v>62</v>
          </cell>
          <cell r="E2383" t="str">
            <v>FH87</v>
          </cell>
          <cell r="F2383">
            <v>1150</v>
          </cell>
          <cell r="G2383">
            <v>23.68</v>
          </cell>
          <cell r="H2383">
            <v>2.6</v>
          </cell>
          <cell r="I2383" t="str">
            <v>M1</v>
          </cell>
          <cell r="J2383" t="str">
            <v>IE3</v>
          </cell>
          <cell r="K2383" t="str">
            <v>400/690</v>
          </cell>
          <cell r="L2383">
            <v>50</v>
          </cell>
          <cell r="M2383" t="str">
            <v>15,2/8,8</v>
          </cell>
          <cell r="N2383">
            <v>65</v>
          </cell>
          <cell r="O2383" t="str">
            <v>155(F)</v>
          </cell>
          <cell r="P2383" t="str">
            <v>0°</v>
          </cell>
          <cell r="Q2383" t="str">
            <v>-</v>
          </cell>
          <cell r="R2383" t="str">
            <v>-</v>
          </cell>
          <cell r="S2383" t="str">
            <v>-</v>
          </cell>
          <cell r="T2383" t="str">
            <v>-</v>
          </cell>
          <cell r="U2383" t="str">
            <v>G</v>
          </cell>
          <cell r="V2383" t="str">
            <v>D</v>
          </cell>
          <cell r="W2383" t="str">
            <v>-</v>
          </cell>
          <cell r="X2383" t="str">
            <v>CLP 220 (-15/+40°C)</v>
          </cell>
          <cell r="Y2383" t="str">
            <v>FH87/G DRN132M4</v>
          </cell>
          <cell r="Z2383" t="str">
            <v>SEW</v>
          </cell>
          <cell r="AB2383" t="str">
            <v>-</v>
          </cell>
          <cell r="AF2383">
            <v>62</v>
          </cell>
          <cell r="AG2383" t="str">
            <v>DRN132M4</v>
          </cell>
          <cell r="AH2383" t="str">
            <v>FH87G-DRN132M40-X</v>
          </cell>
        </row>
        <row r="2384">
          <cell r="A2384" t="str">
            <v>MR002372</v>
          </cell>
          <cell r="B2384" t="str">
            <v>MR</v>
          </cell>
          <cell r="C2384">
            <v>18.5</v>
          </cell>
          <cell r="D2384">
            <v>69</v>
          </cell>
          <cell r="E2384" t="str">
            <v>FH87</v>
          </cell>
          <cell r="F2384">
            <v>2540</v>
          </cell>
          <cell r="G2384">
            <v>21.32</v>
          </cell>
          <cell r="H2384">
            <v>1.2</v>
          </cell>
          <cell r="I2384" t="str">
            <v>From M3 to M4 - 20°</v>
          </cell>
          <cell r="J2384" t="str">
            <v>IE3</v>
          </cell>
          <cell r="K2384" t="str">
            <v>400/690</v>
          </cell>
          <cell r="L2384">
            <v>50</v>
          </cell>
          <cell r="M2384" t="str">
            <v>33,5/19,3</v>
          </cell>
          <cell r="N2384">
            <v>65</v>
          </cell>
          <cell r="O2384" t="str">
            <v>155(F)</v>
          </cell>
          <cell r="P2384" t="str">
            <v>0°</v>
          </cell>
          <cell r="Q2384" t="str">
            <v>-</v>
          </cell>
          <cell r="R2384" t="str">
            <v>-</v>
          </cell>
          <cell r="S2384" t="str">
            <v>-</v>
          </cell>
          <cell r="T2384" t="str">
            <v>-</v>
          </cell>
          <cell r="U2384" t="str">
            <v>G</v>
          </cell>
          <cell r="V2384" t="str">
            <v>D</v>
          </cell>
          <cell r="W2384" t="str">
            <v>-</v>
          </cell>
          <cell r="X2384" t="str">
            <v>CLP 220 (-15/+40°C)</v>
          </cell>
          <cell r="Y2384" t="str">
            <v>FH87/G DRN180M4</v>
          </cell>
          <cell r="Z2384" t="str">
            <v>SEW</v>
          </cell>
          <cell r="AB2384" t="str">
            <v>-</v>
          </cell>
          <cell r="AF2384">
            <v>69</v>
          </cell>
          <cell r="AG2384" t="str">
            <v>DRN180M4</v>
          </cell>
          <cell r="AH2384" t="str">
            <v>FH87G-DRN180M40-X</v>
          </cell>
        </row>
        <row r="2385">
          <cell r="A2385" t="str">
            <v>MR002373</v>
          </cell>
          <cell r="B2385" t="str">
            <v>MR</v>
          </cell>
          <cell r="C2385">
            <v>15</v>
          </cell>
          <cell r="D2385">
            <v>62</v>
          </cell>
          <cell r="E2385" t="str">
            <v>FH87</v>
          </cell>
          <cell r="F2385">
            <v>2300</v>
          </cell>
          <cell r="G2385">
            <v>23.68</v>
          </cell>
          <cell r="H2385">
            <v>1.3</v>
          </cell>
          <cell r="I2385" t="str">
            <v>M1</v>
          </cell>
          <cell r="J2385" t="str">
            <v>IE3</v>
          </cell>
          <cell r="K2385" t="str">
            <v>400/690</v>
          </cell>
          <cell r="L2385">
            <v>50</v>
          </cell>
          <cell r="M2385" t="str">
            <v>29/16,7</v>
          </cell>
          <cell r="N2385">
            <v>65</v>
          </cell>
          <cell r="O2385" t="str">
            <v>155(F)</v>
          </cell>
          <cell r="P2385" t="str">
            <v>0°</v>
          </cell>
          <cell r="Q2385" t="str">
            <v>-</v>
          </cell>
          <cell r="R2385" t="str">
            <v>-</v>
          </cell>
          <cell r="S2385" t="str">
            <v>-</v>
          </cell>
          <cell r="T2385" t="str">
            <v>-</v>
          </cell>
          <cell r="U2385" t="str">
            <v>G</v>
          </cell>
          <cell r="V2385" t="str">
            <v>D</v>
          </cell>
          <cell r="W2385" t="str">
            <v>-</v>
          </cell>
          <cell r="X2385" t="str">
            <v>CLP 220 (-15/+40°C)</v>
          </cell>
          <cell r="Y2385" t="str">
            <v>FH87/G DRN160L4</v>
          </cell>
          <cell r="Z2385" t="str">
            <v>SEW</v>
          </cell>
          <cell r="AB2385" t="str">
            <v>-</v>
          </cell>
          <cell r="AF2385">
            <v>62</v>
          </cell>
          <cell r="AG2385" t="str">
            <v>DRN160L4</v>
          </cell>
          <cell r="AH2385" t="str">
            <v>FH87G-DRN160L40-X</v>
          </cell>
        </row>
        <row r="2386">
          <cell r="A2386" t="str">
            <v>MR002374</v>
          </cell>
          <cell r="B2386" t="str">
            <v>MR</v>
          </cell>
          <cell r="C2386">
            <v>0.55000000000000004</v>
          </cell>
          <cell r="D2386">
            <v>3.4</v>
          </cell>
          <cell r="E2386" t="str">
            <v>KA77R37</v>
          </cell>
          <cell r="F2386">
            <v>1400</v>
          </cell>
          <cell r="G2386">
            <v>428</v>
          </cell>
          <cell r="H2386">
            <v>1.1000000000000001</v>
          </cell>
          <cell r="I2386" t="str">
            <v>M3-B</v>
          </cell>
          <cell r="J2386" t="str">
            <v>IE3</v>
          </cell>
          <cell r="K2386" t="str">
            <v>230/400</v>
          </cell>
          <cell r="L2386">
            <v>50</v>
          </cell>
          <cell r="M2386" t="str">
            <v>2,25/1,29</v>
          </cell>
          <cell r="N2386">
            <v>65</v>
          </cell>
          <cell r="O2386" t="str">
            <v>155(F)</v>
          </cell>
          <cell r="P2386" t="str">
            <v>0°</v>
          </cell>
          <cell r="Q2386" t="str">
            <v>-</v>
          </cell>
          <cell r="R2386" t="str">
            <v>-</v>
          </cell>
          <cell r="S2386" t="str">
            <v>-</v>
          </cell>
          <cell r="T2386" t="str">
            <v>BE1</v>
          </cell>
          <cell r="U2386" t="str">
            <v>T</v>
          </cell>
          <cell r="V2386" t="str">
            <v>D+R</v>
          </cell>
          <cell r="W2386" t="str">
            <v>-</v>
          </cell>
          <cell r="X2386" t="str">
            <v>CLP 220 (-15/+40°C)</v>
          </cell>
          <cell r="Y2386" t="str">
            <v>KA77R37/T DRN80MK4 /BE1</v>
          </cell>
          <cell r="Z2386" t="str">
            <v>SEW</v>
          </cell>
          <cell r="AB2386" t="str">
            <v>-</v>
          </cell>
          <cell r="AF2386">
            <v>3.4</v>
          </cell>
          <cell r="AG2386" t="str">
            <v>DRN80MK4</v>
          </cell>
          <cell r="AH2386" t="str">
            <v>KA77R37T-DRN80MK4B0-X</v>
          </cell>
        </row>
        <row r="2387">
          <cell r="A2387" t="str">
            <v>MR002375</v>
          </cell>
          <cell r="B2387" t="str">
            <v>MR</v>
          </cell>
          <cell r="C2387">
            <v>15</v>
          </cell>
          <cell r="D2387">
            <v>16</v>
          </cell>
          <cell r="E2387" t="str">
            <v>KH127</v>
          </cell>
          <cell r="F2387">
            <v>8730</v>
          </cell>
          <cell r="G2387">
            <v>89.89</v>
          </cell>
          <cell r="H2387">
            <v>1.5</v>
          </cell>
          <cell r="I2387" t="str">
            <v>From M1B to M2B - 25°</v>
          </cell>
          <cell r="J2387" t="str">
            <v>IE3</v>
          </cell>
          <cell r="K2387" t="str">
            <v>400/690</v>
          </cell>
          <cell r="L2387">
            <v>50</v>
          </cell>
          <cell r="M2387" t="str">
            <v>29/16,7</v>
          </cell>
          <cell r="N2387">
            <v>65</v>
          </cell>
          <cell r="O2387" t="str">
            <v>155(F)</v>
          </cell>
          <cell r="P2387" t="str">
            <v>0°</v>
          </cell>
          <cell r="Q2387" t="str">
            <v>-</v>
          </cell>
          <cell r="R2387" t="str">
            <v>-</v>
          </cell>
          <cell r="S2387" t="str">
            <v>-</v>
          </cell>
          <cell r="T2387" t="str">
            <v>-</v>
          </cell>
          <cell r="U2387" t="str">
            <v>-</v>
          </cell>
          <cell r="V2387" t="str">
            <v>SS</v>
          </cell>
          <cell r="W2387" t="str">
            <v>-</v>
          </cell>
          <cell r="X2387" t="str">
            <v>CLP 220 (-15/+40°C)</v>
          </cell>
          <cell r="Y2387" t="str">
            <v>KH127DRN160L4</v>
          </cell>
          <cell r="Z2387" t="str">
            <v>SEW</v>
          </cell>
          <cell r="AB2387" t="str">
            <v>-</v>
          </cell>
          <cell r="AF2387">
            <v>16</v>
          </cell>
          <cell r="AG2387" t="str">
            <v>DRN160L4</v>
          </cell>
          <cell r="AH2387" t="str">
            <v>KH127-DRN160L4B0-X</v>
          </cell>
        </row>
        <row r="2388">
          <cell r="A2388" t="str">
            <v>MR002376</v>
          </cell>
          <cell r="B2388" t="str">
            <v>MR</v>
          </cell>
          <cell r="C2388">
            <v>9.1999999999999993</v>
          </cell>
          <cell r="D2388">
            <v>15</v>
          </cell>
          <cell r="E2388" t="str">
            <v>KA107</v>
          </cell>
          <cell r="F2388">
            <v>6020</v>
          </cell>
          <cell r="G2388">
            <v>100.75</v>
          </cell>
          <cell r="H2388">
            <v>1.25</v>
          </cell>
          <cell r="I2388" t="str">
            <v>From M1A to M2A - 30°</v>
          </cell>
          <cell r="J2388" t="str">
            <v>IE3</v>
          </cell>
          <cell r="K2388" t="str">
            <v>400/690</v>
          </cell>
          <cell r="L2388">
            <v>50</v>
          </cell>
          <cell r="M2388" t="str">
            <v>18,7/10,8</v>
          </cell>
          <cell r="N2388">
            <v>55</v>
          </cell>
          <cell r="O2388" t="str">
            <v>155(F)</v>
          </cell>
          <cell r="P2388" t="str">
            <v>270°</v>
          </cell>
          <cell r="Q2388" t="str">
            <v>TF</v>
          </cell>
          <cell r="R2388" t="str">
            <v>-</v>
          </cell>
          <cell r="S2388" t="str">
            <v>-</v>
          </cell>
          <cell r="T2388" t="str">
            <v>-</v>
          </cell>
          <cell r="U2388" t="str">
            <v>-</v>
          </cell>
          <cell r="V2388" t="str">
            <v>SS</v>
          </cell>
          <cell r="W2388" t="str">
            <v>YES</v>
          </cell>
          <cell r="X2388" t="str">
            <v>CLP HC 220 (-25/+60°C)</v>
          </cell>
          <cell r="Y2388" t="str">
            <v>KA107/II2GD EDRN132L4/3D/TF/AL</v>
          </cell>
          <cell r="Z2388" t="str">
            <v>SEW</v>
          </cell>
          <cell r="AB2388" t="str">
            <v>ATEX22</v>
          </cell>
          <cell r="AF2388">
            <v>15</v>
          </cell>
          <cell r="AG2388" t="str">
            <v>EDRN132L4</v>
          </cell>
          <cell r="AH2388" t="str">
            <v>KA107-EDRN132L4A270-X</v>
          </cell>
        </row>
        <row r="2389">
          <cell r="A2389" t="str">
            <v>MR002377</v>
          </cell>
          <cell r="B2389" t="str">
            <v>MR</v>
          </cell>
          <cell r="C2389">
            <v>22</v>
          </cell>
          <cell r="D2389">
            <v>15</v>
          </cell>
          <cell r="E2389" t="str">
            <v>KH157</v>
          </cell>
          <cell r="F2389">
            <v>14300</v>
          </cell>
          <cell r="G2389">
            <v>100.22</v>
          </cell>
          <cell r="H2389">
            <v>1.4</v>
          </cell>
          <cell r="I2389" t="str">
            <v>From M1A to M2A - 5°</v>
          </cell>
          <cell r="J2389" t="str">
            <v>IE3</v>
          </cell>
          <cell r="K2389" t="str">
            <v>400/690</v>
          </cell>
          <cell r="L2389">
            <v>50</v>
          </cell>
          <cell r="M2389" t="str">
            <v>38,5/22,5</v>
          </cell>
          <cell r="N2389">
            <v>55</v>
          </cell>
          <cell r="O2389" t="str">
            <v>155(F)</v>
          </cell>
          <cell r="P2389" t="str">
            <v>180°</v>
          </cell>
          <cell r="Q2389" t="str">
            <v>TF</v>
          </cell>
          <cell r="R2389" t="str">
            <v>V(VE)</v>
          </cell>
          <cell r="S2389" t="str">
            <v>-</v>
          </cell>
          <cell r="T2389" t="str">
            <v>-</v>
          </cell>
          <cell r="U2389" t="str">
            <v>-</v>
          </cell>
          <cell r="V2389" t="str">
            <v>FC</v>
          </cell>
          <cell r="W2389" t="str">
            <v>-</v>
          </cell>
          <cell r="X2389" t="str">
            <v>CLP 220 (-15/+40°C)</v>
          </cell>
          <cell r="Y2389" t="str">
            <v>KH157DRN180L4 /TF/V</v>
          </cell>
          <cell r="Z2389" t="str">
            <v>SEW</v>
          </cell>
          <cell r="AB2389" t="str">
            <v>-</v>
          </cell>
          <cell r="AF2389">
            <v>15</v>
          </cell>
          <cell r="AG2389" t="str">
            <v>DRN180L4</v>
          </cell>
          <cell r="AH2389" t="str">
            <v>KH157-DRN180L4A180-X#</v>
          </cell>
        </row>
        <row r="2390">
          <cell r="A2390" t="str">
            <v>MR002378</v>
          </cell>
          <cell r="B2390" t="str">
            <v>MR</v>
          </cell>
          <cell r="C2390">
            <v>11</v>
          </cell>
          <cell r="D2390">
            <v>69.805000000000007</v>
          </cell>
          <cell r="E2390" t="str">
            <v>Z109</v>
          </cell>
          <cell r="F2390">
            <v>2830</v>
          </cell>
          <cell r="G2390">
            <v>21.13</v>
          </cell>
          <cell r="H2390">
            <v>1.88</v>
          </cell>
          <cell r="I2390" t="str">
            <v>M1</v>
          </cell>
          <cell r="J2390" t="str">
            <v>IE3</v>
          </cell>
          <cell r="K2390">
            <v>400</v>
          </cell>
          <cell r="L2390">
            <v>50</v>
          </cell>
          <cell r="M2390">
            <v>20.5</v>
          </cell>
          <cell r="N2390">
            <v>55</v>
          </cell>
          <cell r="O2390" t="str">
            <v>155(F)</v>
          </cell>
          <cell r="P2390" t="str">
            <v>270°</v>
          </cell>
          <cell r="Q2390" t="str">
            <v>-</v>
          </cell>
          <cell r="R2390" t="str">
            <v>-</v>
          </cell>
          <cell r="S2390" t="str">
            <v>-</v>
          </cell>
          <cell r="T2390" t="str">
            <v>-</v>
          </cell>
          <cell r="U2390" t="str">
            <v>-</v>
          </cell>
          <cell r="V2390" t="str">
            <v>D</v>
          </cell>
          <cell r="W2390" t="str">
            <v>-</v>
          </cell>
          <cell r="X2390" t="str">
            <v>CLP PG 220 (-25/+80°C)</v>
          </cell>
          <cell r="Y2390" t="str">
            <v>Z109-LE160MPB4P                                                            2KJ3110-1JR23-4AP1-Z_    D01+K01+K07+K41+L02+L68+M21+M59</v>
          </cell>
          <cell r="Z2390" t="str">
            <v>SIEMENS</v>
          </cell>
          <cell r="AA2390" t="str">
            <v>RAL 5010</v>
          </cell>
          <cell r="AB2390" t="str">
            <v>ATEX22</v>
          </cell>
          <cell r="AF2390">
            <v>69.805000000000007</v>
          </cell>
          <cell r="AG2390" t="str">
            <v>EDRN160M4</v>
          </cell>
          <cell r="AH2390" t="str">
            <v>Z109-EDRN160M4270-X</v>
          </cell>
        </row>
        <row r="2391">
          <cell r="A2391" t="str">
            <v>MR002379</v>
          </cell>
          <cell r="B2391" t="str">
            <v>MR</v>
          </cell>
          <cell r="C2391">
            <v>7.5</v>
          </cell>
          <cell r="D2391">
            <v>64.135999999999996</v>
          </cell>
          <cell r="E2391" t="str">
            <v>Z89</v>
          </cell>
          <cell r="F2391">
            <v>1680</v>
          </cell>
          <cell r="G2391">
            <v>22.92</v>
          </cell>
          <cell r="H2391">
            <v>1.5</v>
          </cell>
          <cell r="I2391" t="str">
            <v>M1</v>
          </cell>
          <cell r="J2391" t="str">
            <v>IE3</v>
          </cell>
          <cell r="K2391">
            <v>400</v>
          </cell>
          <cell r="L2391">
            <v>50</v>
          </cell>
          <cell r="M2391">
            <v>14.3</v>
          </cell>
          <cell r="N2391">
            <v>55</v>
          </cell>
          <cell r="O2391" t="str">
            <v>155(F)</v>
          </cell>
          <cell r="P2391" t="str">
            <v>270°</v>
          </cell>
          <cell r="Q2391" t="str">
            <v>-</v>
          </cell>
          <cell r="R2391" t="str">
            <v>-</v>
          </cell>
          <cell r="S2391" t="str">
            <v>-</v>
          </cell>
          <cell r="T2391" t="str">
            <v>-</v>
          </cell>
          <cell r="U2391" t="str">
            <v>-</v>
          </cell>
          <cell r="V2391" t="str">
            <v>D</v>
          </cell>
          <cell r="W2391" t="str">
            <v>-</v>
          </cell>
          <cell r="X2391" t="str">
            <v>CLP PG 220 (-25/+80°C)</v>
          </cell>
          <cell r="Y2391" t="str">
            <v>Z89-LE132ZMS4P                                                            2KJ3108-1HL23-4AP1-Z_    D01+K01+K07+K41+L02+L68+M21+M59</v>
          </cell>
          <cell r="Z2391" t="str">
            <v>SIEMENS</v>
          </cell>
          <cell r="AA2391" t="str">
            <v>RAL 5010</v>
          </cell>
          <cell r="AB2391" t="str">
            <v>ATEX22</v>
          </cell>
          <cell r="AF2391">
            <v>64.135999999999996</v>
          </cell>
          <cell r="AG2391" t="str">
            <v>EDRN132M4</v>
          </cell>
          <cell r="AH2391" t="str">
            <v>Z89-EDRN132M4270-X</v>
          </cell>
        </row>
        <row r="2392">
          <cell r="A2392" t="str">
            <v>MR002380</v>
          </cell>
          <cell r="B2392" t="str">
            <v>MR</v>
          </cell>
          <cell r="C2392">
            <v>1.1000000000000001</v>
          </cell>
          <cell r="D2392">
            <v>4.4000000000000004</v>
          </cell>
          <cell r="E2392" t="str">
            <v>KH87R57</v>
          </cell>
          <cell r="F2392">
            <v>2160</v>
          </cell>
          <cell r="G2392">
            <v>330</v>
          </cell>
          <cell r="H2392">
            <v>1.25</v>
          </cell>
          <cell r="I2392" t="str">
            <v>From M1A to M2A - 25°</v>
          </cell>
          <cell r="J2392" t="str">
            <v>IE3</v>
          </cell>
          <cell r="K2392" t="str">
            <v>230/400</v>
          </cell>
          <cell r="L2392">
            <v>50</v>
          </cell>
          <cell r="M2392">
            <v>2.5499999999999998</v>
          </cell>
          <cell r="N2392">
            <v>55</v>
          </cell>
          <cell r="O2392" t="str">
            <v>155(F)</v>
          </cell>
          <cell r="P2392" t="str">
            <v>270°</v>
          </cell>
          <cell r="Q2392" t="str">
            <v>-</v>
          </cell>
          <cell r="R2392" t="str">
            <v>-</v>
          </cell>
          <cell r="S2392" t="str">
            <v>-</v>
          </cell>
          <cell r="T2392" t="str">
            <v>-</v>
          </cell>
          <cell r="U2392" t="str">
            <v>T</v>
          </cell>
          <cell r="V2392" t="str">
            <v>SS</v>
          </cell>
          <cell r="W2392" t="str">
            <v>-</v>
          </cell>
          <cell r="X2392" t="str">
            <v>CLP 220 (-15/+40°C)</v>
          </cell>
          <cell r="Y2392" t="str">
            <v>KH87R57/T DRN90S4</v>
          </cell>
          <cell r="Z2392" t="str">
            <v>SEW</v>
          </cell>
          <cell r="AA2392" t="str">
            <v xml:space="preserve">RAL7031 </v>
          </cell>
          <cell r="AB2392" t="str">
            <v>-</v>
          </cell>
          <cell r="AF2392">
            <v>4.4000000000000004</v>
          </cell>
          <cell r="AG2392" t="str">
            <v>DRN90S4</v>
          </cell>
          <cell r="AH2392" t="str">
            <v>KH87R57T-DRN90S4A270-X</v>
          </cell>
        </row>
        <row r="2393">
          <cell r="A2393" t="str">
            <v>MR002381</v>
          </cell>
          <cell r="B2393" t="str">
            <v>MR</v>
          </cell>
          <cell r="C2393">
            <v>18.5</v>
          </cell>
          <cell r="D2393">
            <v>16</v>
          </cell>
          <cell r="E2393" t="str">
            <v>KH127</v>
          </cell>
          <cell r="F2393">
            <v>10700</v>
          </cell>
          <cell r="G2393">
            <v>89.89</v>
          </cell>
          <cell r="H2393">
            <v>1.2</v>
          </cell>
          <cell r="I2393" t="str">
            <v>From M4A to M1A - 5°</v>
          </cell>
          <cell r="J2393" t="str">
            <v>IE3</v>
          </cell>
          <cell r="K2393" t="str">
            <v>400/690</v>
          </cell>
          <cell r="L2393">
            <v>50</v>
          </cell>
          <cell r="M2393" t="str">
            <v>33,5/19,3</v>
          </cell>
          <cell r="N2393">
            <v>55</v>
          </cell>
          <cell r="O2393" t="str">
            <v>155(F)</v>
          </cell>
          <cell r="P2393" t="str">
            <v>270°</v>
          </cell>
          <cell r="Q2393" t="str">
            <v>TF</v>
          </cell>
          <cell r="R2393" t="str">
            <v>-</v>
          </cell>
          <cell r="S2393" t="str">
            <v>-</v>
          </cell>
          <cell r="T2393" t="str">
            <v>-</v>
          </cell>
          <cell r="U2393" t="str">
            <v>-</v>
          </cell>
          <cell r="V2393" t="str">
            <v>FC</v>
          </cell>
          <cell r="W2393" t="str">
            <v>-</v>
          </cell>
          <cell r="X2393" t="str">
            <v>CLP 220 (-15/+40°C)</v>
          </cell>
          <cell r="Y2393" t="str">
            <v>KH127DRN180M4 /TF</v>
          </cell>
          <cell r="Z2393" t="str">
            <v>SEW</v>
          </cell>
          <cell r="AB2393" t="str">
            <v>-</v>
          </cell>
          <cell r="AF2393">
            <v>16</v>
          </cell>
          <cell r="AG2393" t="str">
            <v>DRN180M4</v>
          </cell>
          <cell r="AH2393" t="str">
            <v>KH127-DRN180M4A270-X</v>
          </cell>
        </row>
        <row r="2394">
          <cell r="A2394" t="str">
            <v>MR002382</v>
          </cell>
          <cell r="B2394" t="str">
            <v>MR</v>
          </cell>
          <cell r="C2394">
            <v>18.5</v>
          </cell>
          <cell r="D2394">
            <v>16</v>
          </cell>
          <cell r="E2394" t="str">
            <v>KH127</v>
          </cell>
          <cell r="F2394">
            <v>10700</v>
          </cell>
          <cell r="G2394">
            <v>89.89</v>
          </cell>
          <cell r="H2394">
            <v>1.2</v>
          </cell>
          <cell r="I2394" t="str">
            <v>From M4B to M1B - 5°</v>
          </cell>
          <cell r="J2394" t="str">
            <v>IE3</v>
          </cell>
          <cell r="K2394" t="str">
            <v>400/690</v>
          </cell>
          <cell r="L2394">
            <v>50</v>
          </cell>
          <cell r="M2394" t="str">
            <v>33,5/19,3</v>
          </cell>
          <cell r="N2394">
            <v>55</v>
          </cell>
          <cell r="O2394" t="str">
            <v>155(F)</v>
          </cell>
          <cell r="P2394" t="str">
            <v>270°</v>
          </cell>
          <cell r="Q2394" t="str">
            <v>TF</v>
          </cell>
          <cell r="R2394" t="str">
            <v>-</v>
          </cell>
          <cell r="S2394" t="str">
            <v>-</v>
          </cell>
          <cell r="T2394" t="str">
            <v>-</v>
          </cell>
          <cell r="U2394" t="str">
            <v>-</v>
          </cell>
          <cell r="V2394" t="str">
            <v>FC</v>
          </cell>
          <cell r="W2394" t="str">
            <v>-</v>
          </cell>
          <cell r="X2394" t="str">
            <v>CLP 220 (-15/+40°C)</v>
          </cell>
          <cell r="Y2394" t="str">
            <v>KH127DRN180M4 /TF</v>
          </cell>
          <cell r="Z2394" t="str">
            <v>SEW</v>
          </cell>
          <cell r="AB2394" t="str">
            <v>-</v>
          </cell>
          <cell r="AF2394">
            <v>16</v>
          </cell>
          <cell r="AG2394" t="str">
            <v>DRN180M4</v>
          </cell>
          <cell r="AH2394" t="str">
            <v>KH127-DRN180M4B270-X</v>
          </cell>
        </row>
        <row r="2395">
          <cell r="A2395" t="str">
            <v>MR002383</v>
          </cell>
          <cell r="B2395" t="str">
            <v>MR</v>
          </cell>
          <cell r="C2395">
            <v>18.5</v>
          </cell>
          <cell r="D2395">
            <v>16</v>
          </cell>
          <cell r="E2395" t="str">
            <v>KH127</v>
          </cell>
          <cell r="F2395">
            <v>10700</v>
          </cell>
          <cell r="G2395">
            <v>89.89</v>
          </cell>
          <cell r="H2395">
            <v>1.2</v>
          </cell>
          <cell r="I2395" t="str">
            <v>From M1B to M2B - 5°</v>
          </cell>
          <cell r="J2395" t="str">
            <v>IE3</v>
          </cell>
          <cell r="K2395" t="str">
            <v>400/690</v>
          </cell>
          <cell r="L2395">
            <v>50</v>
          </cell>
          <cell r="M2395" t="str">
            <v>33,5/19,3</v>
          </cell>
          <cell r="N2395">
            <v>55</v>
          </cell>
          <cell r="O2395" t="str">
            <v>155(F)</v>
          </cell>
          <cell r="P2395" t="str">
            <v>0°</v>
          </cell>
          <cell r="Q2395" t="str">
            <v>TF</v>
          </cell>
          <cell r="R2395" t="str">
            <v>-</v>
          </cell>
          <cell r="S2395" t="str">
            <v>-</v>
          </cell>
          <cell r="T2395" t="str">
            <v>-</v>
          </cell>
          <cell r="U2395" t="str">
            <v>-</v>
          </cell>
          <cell r="V2395" t="str">
            <v>FC</v>
          </cell>
          <cell r="W2395" t="str">
            <v>-</v>
          </cell>
          <cell r="X2395" t="str">
            <v>CLP 220 (-15/+40°C)</v>
          </cell>
          <cell r="Y2395" t="str">
            <v>KH127DRN180M4 /TF</v>
          </cell>
          <cell r="Z2395" t="str">
            <v>SEW</v>
          </cell>
          <cell r="AB2395" t="str">
            <v>-</v>
          </cell>
          <cell r="AF2395">
            <v>16</v>
          </cell>
          <cell r="AG2395" t="str">
            <v>DRN180M4</v>
          </cell>
          <cell r="AH2395" t="str">
            <v>KH127-DRN180M4B0-X</v>
          </cell>
        </row>
        <row r="2396">
          <cell r="A2396" t="str">
            <v>MR002384</v>
          </cell>
          <cell r="B2396" t="str">
            <v>MR</v>
          </cell>
          <cell r="C2396">
            <v>1.5</v>
          </cell>
          <cell r="D2396">
            <v>22</v>
          </cell>
          <cell r="E2396" t="str">
            <v>FA67</v>
          </cell>
          <cell r="F2396">
            <v>660</v>
          </cell>
          <cell r="G2396">
            <v>67.650000000000006</v>
          </cell>
          <cell r="H2396">
            <v>1.25</v>
          </cell>
          <cell r="I2396" t="str">
            <v>M5</v>
          </cell>
          <cell r="J2396" t="str">
            <v>IE3</v>
          </cell>
          <cell r="K2396" t="str">
            <v>230/400</v>
          </cell>
          <cell r="L2396">
            <v>50</v>
          </cell>
          <cell r="M2396" t="str">
            <v>5,9/3,4</v>
          </cell>
          <cell r="N2396">
            <v>55</v>
          </cell>
          <cell r="O2396" t="str">
            <v>155(F)</v>
          </cell>
          <cell r="P2396" t="str">
            <v>270°</v>
          </cell>
          <cell r="Q2396" t="str">
            <v>-</v>
          </cell>
          <cell r="R2396" t="str">
            <v>-</v>
          </cell>
          <cell r="S2396" t="str">
            <v>-</v>
          </cell>
          <cell r="T2396" t="str">
            <v>BEHF</v>
          </cell>
          <cell r="U2396" t="str">
            <v>G</v>
          </cell>
          <cell r="V2396" t="str">
            <v>D+R</v>
          </cell>
          <cell r="W2396" t="str">
            <v>-</v>
          </cell>
          <cell r="X2396" t="str">
            <v>CLP 220 (-15/+40°C)</v>
          </cell>
          <cell r="Y2396" t="str">
            <v>FA67/G DRN90L4 /BEHF</v>
          </cell>
          <cell r="Z2396" t="str">
            <v>SEW</v>
          </cell>
          <cell r="AB2396" t="str">
            <v>-</v>
          </cell>
          <cell r="AF2396">
            <v>22</v>
          </cell>
          <cell r="AG2396" t="str">
            <v>DRN90L4</v>
          </cell>
          <cell r="AH2396" t="str">
            <v>FA67G-DRN90L4270-X</v>
          </cell>
        </row>
        <row r="2397">
          <cell r="A2397" t="str">
            <v>MR002385</v>
          </cell>
          <cell r="B2397" t="str">
            <v>MR</v>
          </cell>
          <cell r="C2397">
            <v>15</v>
          </cell>
          <cell r="D2397">
            <v>12</v>
          </cell>
          <cell r="E2397" t="str">
            <v>KH127</v>
          </cell>
          <cell r="F2397">
            <v>11900</v>
          </cell>
          <cell r="G2397">
            <v>122.48</v>
          </cell>
          <cell r="H2397">
            <v>1.1000000000000001</v>
          </cell>
          <cell r="I2397" t="str">
            <v>M1A</v>
          </cell>
          <cell r="J2397" t="str">
            <v>IE3</v>
          </cell>
          <cell r="K2397" t="str">
            <v>400/690</v>
          </cell>
          <cell r="L2397">
            <v>50</v>
          </cell>
          <cell r="M2397" t="str">
            <v>29/16,7</v>
          </cell>
          <cell r="N2397">
            <v>55</v>
          </cell>
          <cell r="O2397" t="str">
            <v>155(F)</v>
          </cell>
          <cell r="P2397" t="str">
            <v>180°</v>
          </cell>
          <cell r="Q2397" t="str">
            <v>TF</v>
          </cell>
          <cell r="R2397" t="str">
            <v>V(VE)</v>
          </cell>
          <cell r="S2397" t="str">
            <v>-</v>
          </cell>
          <cell r="T2397" t="str">
            <v>-</v>
          </cell>
          <cell r="U2397" t="str">
            <v>-</v>
          </cell>
          <cell r="V2397" t="str">
            <v>FC</v>
          </cell>
          <cell r="W2397" t="str">
            <v>-</v>
          </cell>
          <cell r="X2397" t="str">
            <v>CLP 220 (-15/+40°C)</v>
          </cell>
          <cell r="Y2397" t="str">
            <v>KH127DRN160L4 /TF/V</v>
          </cell>
          <cell r="Z2397" t="str">
            <v>SEW</v>
          </cell>
          <cell r="AB2397" t="str">
            <v>-</v>
          </cell>
          <cell r="AF2397">
            <v>12</v>
          </cell>
          <cell r="AG2397" t="str">
            <v>DRN160L4</v>
          </cell>
          <cell r="AH2397" t="str">
            <v>KH127-DRN160L4A180-X#</v>
          </cell>
        </row>
        <row r="2398">
          <cell r="A2398" t="str">
            <v>MR002386</v>
          </cell>
          <cell r="B2398" t="str">
            <v>MR</v>
          </cell>
          <cell r="C2398">
            <v>1.5</v>
          </cell>
          <cell r="D2398">
            <v>22</v>
          </cell>
          <cell r="E2398" t="str">
            <v>FA67</v>
          </cell>
          <cell r="F2398">
            <v>660</v>
          </cell>
          <cell r="G2398">
            <v>67.650000000000006</v>
          </cell>
          <cell r="H2398">
            <v>1.25</v>
          </cell>
          <cell r="I2398" t="str">
            <v>From M5 to M3 - 5°</v>
          </cell>
          <cell r="J2398" t="str">
            <v>IE3</v>
          </cell>
          <cell r="K2398" t="str">
            <v>230/400</v>
          </cell>
          <cell r="L2398">
            <v>50</v>
          </cell>
          <cell r="M2398" t="str">
            <v>5,9/3,4</v>
          </cell>
          <cell r="N2398">
            <v>55</v>
          </cell>
          <cell r="O2398" t="str">
            <v>155(F)</v>
          </cell>
          <cell r="P2398" t="str">
            <v>270°</v>
          </cell>
          <cell r="Q2398" t="str">
            <v>-</v>
          </cell>
          <cell r="R2398" t="str">
            <v>-</v>
          </cell>
          <cell r="S2398" t="str">
            <v>-</v>
          </cell>
          <cell r="T2398" t="str">
            <v>BEHF</v>
          </cell>
          <cell r="U2398" t="str">
            <v>G</v>
          </cell>
          <cell r="V2398" t="str">
            <v>D+R</v>
          </cell>
          <cell r="W2398" t="str">
            <v>-</v>
          </cell>
          <cell r="X2398" t="str">
            <v>CLP 220 (-15/+40°C)</v>
          </cell>
          <cell r="Y2398" t="str">
            <v>FA67/G DRN90L4 /BEHF</v>
          </cell>
          <cell r="Z2398" t="str">
            <v>SEW</v>
          </cell>
          <cell r="AB2398" t="str">
            <v>-</v>
          </cell>
          <cell r="AF2398">
            <v>22</v>
          </cell>
          <cell r="AG2398" t="str">
            <v>DRN90L4</v>
          </cell>
          <cell r="AH2398" t="str">
            <v>FA67G-DRN90L4270-X</v>
          </cell>
        </row>
        <row r="2399">
          <cell r="A2399" t="str">
            <v>MR002387</v>
          </cell>
          <cell r="B2399" t="str">
            <v>MR</v>
          </cell>
          <cell r="C2399">
            <v>22</v>
          </cell>
          <cell r="D2399">
            <v>12</v>
          </cell>
          <cell r="E2399" t="str">
            <v>KH157</v>
          </cell>
          <cell r="F2399">
            <v>17400</v>
          </cell>
          <cell r="G2399">
            <v>122.39</v>
          </cell>
          <cell r="H2399">
            <v>1.1499999999999999</v>
          </cell>
          <cell r="I2399" t="str">
            <v>M1A</v>
          </cell>
          <cell r="J2399" t="str">
            <v>IE3</v>
          </cell>
          <cell r="K2399" t="str">
            <v>400/690</v>
          </cell>
          <cell r="L2399">
            <v>50</v>
          </cell>
          <cell r="M2399" t="str">
            <v>38,5/22,5</v>
          </cell>
          <cell r="N2399">
            <v>55</v>
          </cell>
          <cell r="O2399" t="str">
            <v>155(F)</v>
          </cell>
          <cell r="P2399" t="str">
            <v>180°</v>
          </cell>
          <cell r="Q2399" t="str">
            <v>TF</v>
          </cell>
          <cell r="R2399" t="str">
            <v>V(VE)</v>
          </cell>
          <cell r="S2399" t="str">
            <v>-</v>
          </cell>
          <cell r="T2399" t="str">
            <v>-</v>
          </cell>
          <cell r="U2399" t="str">
            <v>-</v>
          </cell>
          <cell r="V2399" t="str">
            <v>FC</v>
          </cell>
          <cell r="W2399" t="str">
            <v>-</v>
          </cell>
          <cell r="X2399" t="str">
            <v>CLP 220 (-15/+40°C)</v>
          </cell>
          <cell r="Y2399" t="str">
            <v>KH157DRN180L4 /TF/V</v>
          </cell>
          <cell r="Z2399" t="str">
            <v>SEW</v>
          </cell>
          <cell r="AB2399" t="str">
            <v>-</v>
          </cell>
          <cell r="AF2399">
            <v>12</v>
          </cell>
          <cell r="AG2399" t="str">
            <v>DRN180L4</v>
          </cell>
          <cell r="AH2399" t="str">
            <v>KH157-DRN180L4A180-X#</v>
          </cell>
        </row>
        <row r="2400">
          <cell r="A2400" t="str">
            <v>MR002388</v>
          </cell>
          <cell r="B2400" t="str">
            <v>MR</v>
          </cell>
          <cell r="C2400">
            <v>18.5</v>
          </cell>
          <cell r="D2400">
            <v>12</v>
          </cell>
          <cell r="E2400" t="str">
            <v>KH157</v>
          </cell>
          <cell r="F2400">
            <v>14600</v>
          </cell>
          <cell r="G2400">
            <v>122.39</v>
          </cell>
          <cell r="H2400">
            <v>1.35</v>
          </cell>
          <cell r="I2400" t="str">
            <v>From M1A to M2A - 40°</v>
          </cell>
          <cell r="J2400" t="str">
            <v>IE3</v>
          </cell>
          <cell r="K2400" t="str">
            <v>400/690</v>
          </cell>
          <cell r="L2400">
            <v>50</v>
          </cell>
          <cell r="M2400" t="str">
            <v>33,5/19,3</v>
          </cell>
          <cell r="N2400">
            <v>55</v>
          </cell>
          <cell r="O2400" t="str">
            <v>155(F)</v>
          </cell>
          <cell r="P2400" t="str">
            <v>180°</v>
          </cell>
          <cell r="Q2400" t="str">
            <v>TF</v>
          </cell>
          <cell r="R2400" t="str">
            <v>V(VE)</v>
          </cell>
          <cell r="S2400" t="str">
            <v>-</v>
          </cell>
          <cell r="T2400" t="str">
            <v>-</v>
          </cell>
          <cell r="U2400" t="str">
            <v>-</v>
          </cell>
          <cell r="V2400" t="str">
            <v>FC</v>
          </cell>
          <cell r="W2400" t="str">
            <v>-</v>
          </cell>
          <cell r="X2400" t="str">
            <v>CLP 220 (-15/+40°C)</v>
          </cell>
          <cell r="Y2400" t="str">
            <v>KH157DRN180M4 /TF/V</v>
          </cell>
          <cell r="Z2400" t="str">
            <v>SEW</v>
          </cell>
          <cell r="AB2400" t="str">
            <v>-</v>
          </cell>
          <cell r="AF2400">
            <v>12</v>
          </cell>
          <cell r="AG2400" t="str">
            <v>DRN180M4</v>
          </cell>
          <cell r="AH2400" t="str">
            <v>KH157-DRN180M4A180-X#</v>
          </cell>
        </row>
        <row r="2401">
          <cell r="A2401" t="str">
            <v>MR002389</v>
          </cell>
          <cell r="B2401" t="str">
            <v>MR</v>
          </cell>
          <cell r="C2401">
            <v>11</v>
          </cell>
          <cell r="D2401">
            <v>15</v>
          </cell>
          <cell r="E2401" t="str">
            <v>KH107</v>
          </cell>
          <cell r="F2401">
            <v>7180</v>
          </cell>
          <cell r="G2401">
            <v>100.75</v>
          </cell>
          <cell r="H2401">
            <v>1.1000000000000001</v>
          </cell>
          <cell r="I2401" t="str">
            <v>From M1B to M2B - 40°</v>
          </cell>
          <cell r="J2401" t="str">
            <v>IE3</v>
          </cell>
          <cell r="K2401" t="str">
            <v>400/690</v>
          </cell>
          <cell r="L2401">
            <v>50</v>
          </cell>
          <cell r="M2401" t="str">
            <v>21/12,2</v>
          </cell>
          <cell r="N2401">
            <v>55</v>
          </cell>
          <cell r="O2401" t="str">
            <v>155(F)</v>
          </cell>
          <cell r="P2401" t="str">
            <v>0°</v>
          </cell>
          <cell r="Q2401" t="str">
            <v>TF</v>
          </cell>
          <cell r="R2401" t="str">
            <v>-</v>
          </cell>
          <cell r="S2401" t="str">
            <v>-</v>
          </cell>
          <cell r="T2401" t="str">
            <v>-</v>
          </cell>
          <cell r="U2401" t="str">
            <v>-</v>
          </cell>
          <cell r="V2401" t="str">
            <v>FC</v>
          </cell>
          <cell r="W2401" t="str">
            <v>-</v>
          </cell>
          <cell r="X2401" t="str">
            <v>CLP 220 (-15/+40°C)</v>
          </cell>
          <cell r="Y2401" t="str">
            <v>KH107DRN160M4 /TF</v>
          </cell>
          <cell r="Z2401" t="str">
            <v>SEW</v>
          </cell>
          <cell r="AB2401" t="str">
            <v>-</v>
          </cell>
          <cell r="AF2401">
            <v>15</v>
          </cell>
          <cell r="AG2401" t="str">
            <v>DRN160M4</v>
          </cell>
          <cell r="AH2401" t="str">
            <v>KH107-DRN160M4B0-X</v>
          </cell>
        </row>
        <row r="2402">
          <cell r="A2402" t="str">
            <v>MR002390</v>
          </cell>
          <cell r="B2402" t="str">
            <v>MR</v>
          </cell>
          <cell r="C2402">
            <v>1.5</v>
          </cell>
          <cell r="D2402">
            <v>22</v>
          </cell>
          <cell r="E2402" t="str">
            <v>FA67</v>
          </cell>
          <cell r="F2402">
            <v>660</v>
          </cell>
          <cell r="G2402">
            <v>67.650000000000006</v>
          </cell>
          <cell r="H2402">
            <v>1.25</v>
          </cell>
          <cell r="I2402" t="str">
            <v>From M6 to M3 - 40°</v>
          </cell>
          <cell r="J2402" t="str">
            <v>IE3</v>
          </cell>
          <cell r="K2402" t="str">
            <v>230/400</v>
          </cell>
          <cell r="L2402">
            <v>50</v>
          </cell>
          <cell r="M2402" t="str">
            <v>5,9/3,4</v>
          </cell>
          <cell r="N2402">
            <v>55</v>
          </cell>
          <cell r="O2402" t="str">
            <v>155(F)</v>
          </cell>
          <cell r="P2402" t="str">
            <v>270°</v>
          </cell>
          <cell r="Q2402" t="str">
            <v>-</v>
          </cell>
          <cell r="R2402" t="str">
            <v>-</v>
          </cell>
          <cell r="S2402" t="str">
            <v>-</v>
          </cell>
          <cell r="T2402" t="str">
            <v>BEHF</v>
          </cell>
          <cell r="U2402" t="str">
            <v>G</v>
          </cell>
          <cell r="V2402" t="str">
            <v>D+R</v>
          </cell>
          <cell r="W2402" t="str">
            <v>-</v>
          </cell>
          <cell r="X2402" t="str">
            <v>CLP 220 (-15/+40°C)</v>
          </cell>
          <cell r="Y2402" t="str">
            <v>FA67/G DRN90L4 /BEHF</v>
          </cell>
          <cell r="Z2402" t="str">
            <v>SEW</v>
          </cell>
          <cell r="AB2402" t="str">
            <v>-</v>
          </cell>
          <cell r="AF2402">
            <v>22</v>
          </cell>
          <cell r="AG2402" t="str">
            <v>DRN90L4</v>
          </cell>
          <cell r="AH2402" t="str">
            <v>FA67G-DRN90L4270-X</v>
          </cell>
        </row>
        <row r="2403">
          <cell r="A2403" t="str">
            <v>MR002391</v>
          </cell>
          <cell r="B2403" t="str">
            <v>MR</v>
          </cell>
          <cell r="C2403">
            <v>22</v>
          </cell>
          <cell r="D2403">
            <v>16</v>
          </cell>
          <cell r="E2403" t="str">
            <v>KH157</v>
          </cell>
          <cell r="F2403">
            <v>13000</v>
          </cell>
          <cell r="G2403">
            <v>91.65</v>
          </cell>
          <cell r="H2403">
            <v>1.55</v>
          </cell>
          <cell r="I2403" t="str">
            <v>M1A</v>
          </cell>
          <cell r="J2403" t="str">
            <v>IE3</v>
          </cell>
          <cell r="K2403" t="str">
            <v>400/690</v>
          </cell>
          <cell r="L2403">
            <v>50</v>
          </cell>
          <cell r="M2403" t="str">
            <v>38,5/22,5</v>
          </cell>
          <cell r="N2403">
            <v>55</v>
          </cell>
          <cell r="O2403" t="str">
            <v>155(F)</v>
          </cell>
          <cell r="P2403" t="str">
            <v>180°</v>
          </cell>
          <cell r="Q2403" t="str">
            <v>TF</v>
          </cell>
          <cell r="R2403" t="str">
            <v>-</v>
          </cell>
          <cell r="S2403" t="str">
            <v>-</v>
          </cell>
          <cell r="T2403" t="str">
            <v>-</v>
          </cell>
          <cell r="U2403" t="str">
            <v>-</v>
          </cell>
          <cell r="V2403" t="str">
            <v>FC</v>
          </cell>
          <cell r="W2403" t="str">
            <v>-</v>
          </cell>
          <cell r="X2403" t="str">
            <v>CLP 220 (-15/+40°C)</v>
          </cell>
          <cell r="Y2403" t="str">
            <v>KH157DRN180L4 /TF</v>
          </cell>
          <cell r="Z2403" t="str">
            <v>SEW</v>
          </cell>
          <cell r="AB2403" t="str">
            <v>-</v>
          </cell>
          <cell r="AF2403">
            <v>16</v>
          </cell>
          <cell r="AG2403" t="str">
            <v>DRN180L4</v>
          </cell>
          <cell r="AH2403" t="str">
            <v>KH157-DRN180L4A180-X</v>
          </cell>
        </row>
        <row r="2404">
          <cell r="A2404" t="str">
            <v>MR002392</v>
          </cell>
          <cell r="B2404" t="str">
            <v>MR</v>
          </cell>
          <cell r="C2404">
            <v>1.5</v>
          </cell>
          <cell r="D2404">
            <v>22</v>
          </cell>
          <cell r="E2404" t="str">
            <v>FA67</v>
          </cell>
          <cell r="F2404">
            <v>660</v>
          </cell>
          <cell r="G2404">
            <v>67.650000000000006</v>
          </cell>
          <cell r="H2404">
            <v>1.25</v>
          </cell>
          <cell r="I2404" t="str">
            <v>From M5 to M3- 40°</v>
          </cell>
          <cell r="J2404" t="str">
            <v>IE3</v>
          </cell>
          <cell r="K2404" t="str">
            <v>230/400</v>
          </cell>
          <cell r="L2404">
            <v>50</v>
          </cell>
          <cell r="M2404" t="str">
            <v>5,9/3,4</v>
          </cell>
          <cell r="N2404">
            <v>55</v>
          </cell>
          <cell r="O2404" t="str">
            <v>155(F)</v>
          </cell>
          <cell r="P2404" t="str">
            <v>270°</v>
          </cell>
          <cell r="Q2404" t="str">
            <v>-</v>
          </cell>
          <cell r="R2404" t="str">
            <v>-</v>
          </cell>
          <cell r="S2404" t="str">
            <v>-</v>
          </cell>
          <cell r="T2404" t="str">
            <v>BEHF</v>
          </cell>
          <cell r="U2404" t="str">
            <v>G</v>
          </cell>
          <cell r="V2404" t="str">
            <v>D+R</v>
          </cell>
          <cell r="W2404" t="str">
            <v>-</v>
          </cell>
          <cell r="X2404" t="str">
            <v>CLP 220 (-15/+40°C)</v>
          </cell>
          <cell r="Y2404" t="str">
            <v>FA67/G DRN90L4 /BEHF</v>
          </cell>
          <cell r="Z2404" t="str">
            <v>SEW</v>
          </cell>
          <cell r="AB2404" t="str">
            <v>-</v>
          </cell>
          <cell r="AF2404">
            <v>22</v>
          </cell>
          <cell r="AG2404" t="str">
            <v>DRN90L4</v>
          </cell>
          <cell r="AH2404" t="str">
            <v>FA67G-DRN90L4270-X</v>
          </cell>
        </row>
        <row r="2405">
          <cell r="A2405" t="str">
            <v>MR002393</v>
          </cell>
          <cell r="B2405" t="str">
            <v>MR</v>
          </cell>
          <cell r="C2405">
            <v>18.5</v>
          </cell>
          <cell r="D2405">
            <v>16</v>
          </cell>
          <cell r="E2405" t="str">
            <v>KH127</v>
          </cell>
          <cell r="F2405">
            <v>10700</v>
          </cell>
          <cell r="G2405">
            <v>89.89</v>
          </cell>
          <cell r="H2405">
            <v>1.2</v>
          </cell>
          <cell r="I2405" t="str">
            <v>From M1A to M2A - 5°</v>
          </cell>
          <cell r="J2405" t="str">
            <v>IE3</v>
          </cell>
          <cell r="K2405" t="str">
            <v>400/690</v>
          </cell>
          <cell r="L2405">
            <v>50</v>
          </cell>
          <cell r="M2405" t="str">
            <v>33,5/19,3</v>
          </cell>
          <cell r="N2405">
            <v>55</v>
          </cell>
          <cell r="O2405" t="str">
            <v>155(F)</v>
          </cell>
          <cell r="P2405" t="str">
            <v>180°</v>
          </cell>
          <cell r="Q2405" t="str">
            <v>TF</v>
          </cell>
          <cell r="R2405" t="str">
            <v>-</v>
          </cell>
          <cell r="S2405" t="str">
            <v>-</v>
          </cell>
          <cell r="T2405" t="str">
            <v>-</v>
          </cell>
          <cell r="U2405" t="str">
            <v>-</v>
          </cell>
          <cell r="V2405" t="str">
            <v>FC</v>
          </cell>
          <cell r="W2405" t="str">
            <v>-</v>
          </cell>
          <cell r="X2405" t="str">
            <v>CLP 220 (-15/+40°C)</v>
          </cell>
          <cell r="Y2405" t="str">
            <v>KH127DRN180M4 /TF</v>
          </cell>
          <cell r="Z2405" t="str">
            <v>SEW</v>
          </cell>
          <cell r="AB2405" t="str">
            <v>-</v>
          </cell>
          <cell r="AF2405">
            <v>16</v>
          </cell>
          <cell r="AG2405" t="str">
            <v>DRN180M4</v>
          </cell>
          <cell r="AH2405" t="str">
            <v>KH127-DRN180M4A180-X</v>
          </cell>
        </row>
        <row r="2406">
          <cell r="A2406" t="str">
            <v>MR002394</v>
          </cell>
          <cell r="B2406" t="str">
            <v>MR</v>
          </cell>
          <cell r="C2406">
            <v>11</v>
          </cell>
          <cell r="D2406">
            <v>9.8000000000000007</v>
          </cell>
          <cell r="E2406" t="str">
            <v>KH157</v>
          </cell>
          <cell r="F2406">
            <v>10700</v>
          </cell>
          <cell r="G2406">
            <v>150.41</v>
          </cell>
          <cell r="H2406">
            <v>1.85</v>
          </cell>
          <cell r="I2406" t="str">
            <v>From M1A to M2A - 20°</v>
          </cell>
          <cell r="J2406" t="str">
            <v>IE3</v>
          </cell>
          <cell r="K2406" t="str">
            <v>400/690</v>
          </cell>
          <cell r="L2406">
            <v>50</v>
          </cell>
          <cell r="M2406" t="str">
            <v>21/12,2</v>
          </cell>
          <cell r="N2406">
            <v>55</v>
          </cell>
          <cell r="O2406" t="str">
            <v>155(F)</v>
          </cell>
          <cell r="P2406" t="str">
            <v>180°</v>
          </cell>
          <cell r="Q2406" t="str">
            <v>TF</v>
          </cell>
          <cell r="R2406" t="str">
            <v>V(VE)</v>
          </cell>
          <cell r="S2406" t="str">
            <v>-</v>
          </cell>
          <cell r="T2406" t="str">
            <v>-</v>
          </cell>
          <cell r="U2406" t="str">
            <v>-</v>
          </cell>
          <cell r="V2406" t="str">
            <v>FC</v>
          </cell>
          <cell r="W2406" t="str">
            <v>-</v>
          </cell>
          <cell r="X2406" t="str">
            <v>CLP 220 (-15/+40°C)</v>
          </cell>
          <cell r="Y2406" t="str">
            <v>KH157DRN160M4 /TF/V</v>
          </cell>
          <cell r="Z2406" t="str">
            <v>SEW</v>
          </cell>
          <cell r="AB2406" t="str">
            <v>-</v>
          </cell>
          <cell r="AF2406">
            <v>9.8000000000000007</v>
          </cell>
          <cell r="AG2406" t="str">
            <v>DRN160M4</v>
          </cell>
          <cell r="AH2406" t="str">
            <v>KH157-DRN160M4A180-X#</v>
          </cell>
        </row>
        <row r="2407">
          <cell r="A2407" t="str">
            <v>MR002395</v>
          </cell>
          <cell r="B2407" t="str">
            <v>MR</v>
          </cell>
          <cell r="C2407">
            <v>11</v>
          </cell>
          <cell r="D2407">
            <v>9.8000000000000007</v>
          </cell>
          <cell r="E2407" t="str">
            <v>KH157</v>
          </cell>
          <cell r="F2407">
            <v>10700</v>
          </cell>
          <cell r="G2407">
            <v>150.41</v>
          </cell>
          <cell r="H2407">
            <v>1.85</v>
          </cell>
          <cell r="I2407" t="str">
            <v>From M1B to M2B - 20°</v>
          </cell>
          <cell r="J2407" t="str">
            <v>IE3</v>
          </cell>
          <cell r="K2407" t="str">
            <v>400/690</v>
          </cell>
          <cell r="L2407">
            <v>50</v>
          </cell>
          <cell r="M2407" t="str">
            <v>21/12,2</v>
          </cell>
          <cell r="N2407">
            <v>55</v>
          </cell>
          <cell r="O2407" t="str">
            <v>155(F)</v>
          </cell>
          <cell r="P2407" t="str">
            <v>0°</v>
          </cell>
          <cell r="Q2407" t="str">
            <v>TF</v>
          </cell>
          <cell r="R2407" t="str">
            <v>V(VE)</v>
          </cell>
          <cell r="S2407" t="str">
            <v>-</v>
          </cell>
          <cell r="T2407" t="str">
            <v>-</v>
          </cell>
          <cell r="U2407" t="str">
            <v>-</v>
          </cell>
          <cell r="V2407" t="str">
            <v>FC</v>
          </cell>
          <cell r="W2407" t="str">
            <v>-</v>
          </cell>
          <cell r="X2407" t="str">
            <v>CLP 220 (-15/+40°C)</v>
          </cell>
          <cell r="Y2407" t="str">
            <v>KH157DRN160M4 /TF/V</v>
          </cell>
          <cell r="Z2407" t="str">
            <v>SEW</v>
          </cell>
          <cell r="AB2407" t="str">
            <v>-</v>
          </cell>
          <cell r="AF2407">
            <v>9.8000000000000007</v>
          </cell>
          <cell r="AG2407" t="str">
            <v>DRN160M4</v>
          </cell>
          <cell r="AH2407" t="str">
            <v>KH157-DRN160M4B0-X#</v>
          </cell>
        </row>
        <row r="2408">
          <cell r="A2408" t="str">
            <v>MR002396</v>
          </cell>
          <cell r="B2408" t="str">
            <v>MR</v>
          </cell>
          <cell r="C2408">
            <v>1.5</v>
          </cell>
          <cell r="D2408">
            <v>22</v>
          </cell>
          <cell r="E2408" t="str">
            <v>FA67</v>
          </cell>
          <cell r="F2408">
            <v>660</v>
          </cell>
          <cell r="G2408">
            <v>67.650000000000006</v>
          </cell>
          <cell r="H2408">
            <v>1.25</v>
          </cell>
          <cell r="I2408" t="str">
            <v>From M5 to M3- 20°</v>
          </cell>
          <cell r="J2408" t="str">
            <v>IE3</v>
          </cell>
          <cell r="K2408" t="str">
            <v>230/400</v>
          </cell>
          <cell r="L2408">
            <v>50</v>
          </cell>
          <cell r="M2408" t="str">
            <v>5,9/3,4</v>
          </cell>
          <cell r="N2408">
            <v>55</v>
          </cell>
          <cell r="O2408" t="str">
            <v>155(F)</v>
          </cell>
          <cell r="P2408" t="str">
            <v>270°</v>
          </cell>
          <cell r="Q2408" t="str">
            <v>-</v>
          </cell>
          <cell r="R2408" t="str">
            <v>-</v>
          </cell>
          <cell r="S2408" t="str">
            <v>-</v>
          </cell>
          <cell r="T2408" t="str">
            <v>BEHF</v>
          </cell>
          <cell r="U2408" t="str">
            <v>G</v>
          </cell>
          <cell r="V2408" t="str">
            <v>D+R</v>
          </cell>
          <cell r="W2408" t="str">
            <v>-</v>
          </cell>
          <cell r="X2408" t="str">
            <v>CLP 220 (-15/+40°C)</v>
          </cell>
          <cell r="Y2408" t="str">
            <v>FA67/G DRN90L4 /BEHF</v>
          </cell>
          <cell r="Z2408" t="str">
            <v>SEW</v>
          </cell>
          <cell r="AB2408" t="str">
            <v>-</v>
          </cell>
          <cell r="AF2408">
            <v>22</v>
          </cell>
          <cell r="AG2408" t="str">
            <v>DRN90L4</v>
          </cell>
          <cell r="AH2408" t="str">
            <v>FA67G-DRN90L4270-X</v>
          </cell>
        </row>
        <row r="2409">
          <cell r="A2409" t="str">
            <v>MR002397</v>
          </cell>
          <cell r="B2409" t="str">
            <v>MR</v>
          </cell>
          <cell r="C2409">
            <v>22</v>
          </cell>
          <cell r="D2409">
            <v>15</v>
          </cell>
          <cell r="E2409" t="str">
            <v>FH157</v>
          </cell>
          <cell r="F2409">
            <v>13700</v>
          </cell>
          <cell r="G2409">
            <v>96.53</v>
          </cell>
          <cell r="H2409">
            <v>1.45</v>
          </cell>
          <cell r="I2409" t="str">
            <v>From M1 to M4 - 10°</v>
          </cell>
          <cell r="J2409" t="str">
            <v>IE3</v>
          </cell>
          <cell r="K2409" t="str">
            <v>400/690</v>
          </cell>
          <cell r="L2409">
            <v>50</v>
          </cell>
          <cell r="M2409" t="str">
            <v>38,5/22,5</v>
          </cell>
          <cell r="N2409">
            <v>55</v>
          </cell>
          <cell r="O2409" t="str">
            <v>155(F)</v>
          </cell>
          <cell r="P2409" t="str">
            <v>270°</v>
          </cell>
          <cell r="Q2409" t="str">
            <v>TF</v>
          </cell>
          <cell r="R2409" t="str">
            <v>V(VE)</v>
          </cell>
          <cell r="S2409" t="str">
            <v>-</v>
          </cell>
          <cell r="T2409" t="str">
            <v>-</v>
          </cell>
          <cell r="U2409" t="str">
            <v>G</v>
          </cell>
          <cell r="V2409" t="str">
            <v>FC</v>
          </cell>
          <cell r="W2409" t="str">
            <v>-</v>
          </cell>
          <cell r="X2409" t="str">
            <v>CLP 220 (-15/+40°C)</v>
          </cell>
          <cell r="Y2409" t="str">
            <v>FH157/G DRN180L4 /TF/V</v>
          </cell>
          <cell r="Z2409" t="str">
            <v>SEW</v>
          </cell>
          <cell r="AB2409" t="str">
            <v>-</v>
          </cell>
          <cell r="AF2409">
            <v>15</v>
          </cell>
          <cell r="AG2409" t="str">
            <v>DRN180L4</v>
          </cell>
          <cell r="AH2409" t="str">
            <v>FH157G-DRN180L4270-X#</v>
          </cell>
        </row>
        <row r="2410">
          <cell r="A2410" t="str">
            <v>MR002398</v>
          </cell>
          <cell r="B2410" t="str">
            <v>MR</v>
          </cell>
          <cell r="C2410">
            <v>7.5</v>
          </cell>
          <cell r="D2410">
            <v>37</v>
          </cell>
          <cell r="E2410" t="str">
            <v>FH87</v>
          </cell>
          <cell r="F2410">
            <v>1910</v>
          </cell>
          <cell r="G2410">
            <v>39.299999999999997</v>
          </cell>
          <cell r="H2410">
            <v>1.4</v>
          </cell>
          <cell r="I2410" t="str">
            <v>M1</v>
          </cell>
          <cell r="J2410" t="str">
            <v>IE3</v>
          </cell>
          <cell r="K2410" t="str">
            <v>400/690</v>
          </cell>
          <cell r="L2410">
            <v>50</v>
          </cell>
          <cell r="M2410" t="str">
            <v>15,2/8,8</v>
          </cell>
          <cell r="N2410">
            <v>55</v>
          </cell>
          <cell r="O2410" t="str">
            <v>155(F)</v>
          </cell>
          <cell r="P2410" t="str">
            <v>270°</v>
          </cell>
          <cell r="Q2410" t="str">
            <v>TF</v>
          </cell>
          <cell r="R2410" t="str">
            <v>-</v>
          </cell>
          <cell r="S2410" t="str">
            <v>-</v>
          </cell>
          <cell r="T2410" t="str">
            <v>-</v>
          </cell>
          <cell r="U2410" t="str">
            <v>G</v>
          </cell>
          <cell r="V2410" t="str">
            <v>FC</v>
          </cell>
          <cell r="W2410" t="str">
            <v>-</v>
          </cell>
          <cell r="X2410" t="str">
            <v>CLP 220 (-15/+40°C)</v>
          </cell>
          <cell r="Y2410" t="str">
            <v>FH87/G DRN132M4 /TF</v>
          </cell>
          <cell r="Z2410" t="str">
            <v>SEW</v>
          </cell>
          <cell r="AB2410" t="str">
            <v>-</v>
          </cell>
          <cell r="AF2410">
            <v>37</v>
          </cell>
          <cell r="AG2410" t="str">
            <v>DRN132M4</v>
          </cell>
          <cell r="AH2410" t="str">
            <v>FH87G-DRN132M4270-X</v>
          </cell>
        </row>
        <row r="2411">
          <cell r="A2411" t="str">
            <v>MR002399</v>
          </cell>
          <cell r="B2411" t="str">
            <v>MR</v>
          </cell>
          <cell r="C2411">
            <v>7.5</v>
          </cell>
          <cell r="D2411">
            <v>50</v>
          </cell>
          <cell r="E2411" t="str">
            <v>FH87</v>
          </cell>
          <cell r="F2411">
            <v>1420</v>
          </cell>
          <cell r="G2411">
            <v>29.2</v>
          </cell>
          <cell r="H2411">
            <v>1.75</v>
          </cell>
          <cell r="I2411" t="str">
            <v>M1</v>
          </cell>
          <cell r="J2411" t="str">
            <v>IE3</v>
          </cell>
          <cell r="K2411" t="str">
            <v>400/690</v>
          </cell>
          <cell r="L2411">
            <v>50</v>
          </cell>
          <cell r="M2411" t="str">
            <v>15,2/8,8</v>
          </cell>
          <cell r="N2411">
            <v>55</v>
          </cell>
          <cell r="O2411" t="str">
            <v>155(F)</v>
          </cell>
          <cell r="P2411" t="str">
            <v>270°</v>
          </cell>
          <cell r="Q2411" t="str">
            <v>TF</v>
          </cell>
          <cell r="R2411" t="str">
            <v>-</v>
          </cell>
          <cell r="S2411" t="str">
            <v>-</v>
          </cell>
          <cell r="T2411" t="str">
            <v>-</v>
          </cell>
          <cell r="U2411" t="str">
            <v>G</v>
          </cell>
          <cell r="V2411" t="str">
            <v>FC</v>
          </cell>
          <cell r="W2411" t="str">
            <v>-</v>
          </cell>
          <cell r="X2411" t="str">
            <v>CLP 220 (-15/+40°C)</v>
          </cell>
          <cell r="Y2411" t="str">
            <v>FH87/G DRN132M4 /TF</v>
          </cell>
          <cell r="Z2411" t="str">
            <v>SEW</v>
          </cell>
          <cell r="AB2411" t="str">
            <v>-</v>
          </cell>
          <cell r="AF2411">
            <v>50</v>
          </cell>
          <cell r="AG2411" t="str">
            <v>DRN132M4</v>
          </cell>
          <cell r="AH2411" t="str">
            <v>FH87G-DRN132M4270-X</v>
          </cell>
        </row>
        <row r="2412">
          <cell r="A2412" t="str">
            <v>MR002400</v>
          </cell>
          <cell r="B2412" t="str">
            <v>MR</v>
          </cell>
          <cell r="C2412">
            <v>5.5</v>
          </cell>
          <cell r="D2412">
            <v>49</v>
          </cell>
          <cell r="E2412" t="str">
            <v>FH77</v>
          </cell>
          <cell r="F2412">
            <v>1070</v>
          </cell>
          <cell r="G2412">
            <v>29.91</v>
          </cell>
          <cell r="H2412">
            <v>1.4</v>
          </cell>
          <cell r="I2412" t="str">
            <v>M1</v>
          </cell>
          <cell r="J2412" t="str">
            <v>IE3</v>
          </cell>
          <cell r="K2412" t="str">
            <v>230/400</v>
          </cell>
          <cell r="L2412">
            <v>50</v>
          </cell>
          <cell r="M2412" t="str">
            <v>18,2/10,5</v>
          </cell>
          <cell r="N2412">
            <v>55</v>
          </cell>
          <cell r="O2412" t="str">
            <v>155(F)</v>
          </cell>
          <cell r="P2412" t="str">
            <v>270°</v>
          </cell>
          <cell r="Q2412" t="str">
            <v>TF</v>
          </cell>
          <cell r="R2412" t="str">
            <v>-</v>
          </cell>
          <cell r="S2412" t="str">
            <v>-</v>
          </cell>
          <cell r="T2412" t="str">
            <v>-</v>
          </cell>
          <cell r="U2412" t="str">
            <v>G</v>
          </cell>
          <cell r="V2412" t="str">
            <v>FC</v>
          </cell>
          <cell r="W2412" t="str">
            <v>-</v>
          </cell>
          <cell r="X2412" t="str">
            <v>CLP 220 (-15/+40°C)</v>
          </cell>
          <cell r="Y2412" t="str">
            <v>FH77/G DRN132S4 /TF</v>
          </cell>
          <cell r="Z2412" t="str">
            <v>SEW</v>
          </cell>
          <cell r="AB2412" t="str">
            <v>-</v>
          </cell>
          <cell r="AF2412">
            <v>49</v>
          </cell>
          <cell r="AG2412" t="str">
            <v>DRN132S4</v>
          </cell>
          <cell r="AH2412" t="str">
            <v>FH77G-DRN132S4270-X</v>
          </cell>
        </row>
        <row r="2413">
          <cell r="A2413" t="str">
            <v>MR002401</v>
          </cell>
          <cell r="B2413" t="str">
            <v>R</v>
          </cell>
          <cell r="E2413" t="str">
            <v>FA57</v>
          </cell>
          <cell r="H2413">
            <v>136.16</v>
          </cell>
          <cell r="I2413" t="str">
            <v>M6</v>
          </cell>
          <cell r="O2413" t="str">
            <v>-</v>
          </cell>
          <cell r="Q2413" t="str">
            <v>-</v>
          </cell>
          <cell r="R2413" t="str">
            <v>-</v>
          </cell>
          <cell r="S2413" t="str">
            <v>-</v>
          </cell>
          <cell r="T2413" t="str">
            <v>-</v>
          </cell>
          <cell r="U2413" t="str">
            <v>-</v>
          </cell>
          <cell r="V2413" t="str">
            <v>-</v>
          </cell>
          <cell r="W2413" t="str">
            <v>-</v>
          </cell>
          <cell r="X2413" t="str">
            <v>CLP 220 (-15/+40°C)</v>
          </cell>
          <cell r="Y2413" t="e">
            <v>#N/A</v>
          </cell>
          <cell r="Z2413" t="str">
            <v>SEW</v>
          </cell>
          <cell r="AB2413" t="str">
            <v>-</v>
          </cell>
          <cell r="AE2413" t="str">
            <v>da installare su MR000674</v>
          </cell>
          <cell r="AF2413">
            <v>0</v>
          </cell>
          <cell r="AG2413" t="e">
            <v>#N/A</v>
          </cell>
          <cell r="AH2413" t="e">
            <v>#N/A</v>
          </cell>
        </row>
        <row r="2414">
          <cell r="A2414" t="str">
            <v>MR002402</v>
          </cell>
          <cell r="B2414" t="str">
            <v>MR</v>
          </cell>
          <cell r="C2414">
            <v>9.1999999999999993</v>
          </cell>
          <cell r="D2414">
            <v>13</v>
          </cell>
          <cell r="E2414" t="str">
            <v>KH107</v>
          </cell>
          <cell r="F2414">
            <v>6710</v>
          </cell>
          <cell r="G2414">
            <v>112.41</v>
          </cell>
          <cell r="H2414">
            <v>1.2</v>
          </cell>
          <cell r="I2414" t="str">
            <v>From M1B to M2B - 20°</v>
          </cell>
          <cell r="J2414" t="str">
            <v>IE3</v>
          </cell>
          <cell r="K2414" t="str">
            <v>400/690</v>
          </cell>
          <cell r="L2414">
            <v>50</v>
          </cell>
          <cell r="M2414" t="str">
            <v>18,7/10,8</v>
          </cell>
          <cell r="N2414">
            <v>55</v>
          </cell>
          <cell r="O2414" t="str">
            <v>155(F)</v>
          </cell>
          <cell r="P2414" t="str">
            <v>270°</v>
          </cell>
          <cell r="Q2414" t="str">
            <v>-</v>
          </cell>
          <cell r="R2414" t="str">
            <v>-</v>
          </cell>
          <cell r="S2414" t="str">
            <v>-</v>
          </cell>
          <cell r="T2414" t="str">
            <v>-</v>
          </cell>
          <cell r="U2414" t="str">
            <v>-</v>
          </cell>
          <cell r="V2414" t="str">
            <v>SS</v>
          </cell>
          <cell r="W2414" t="str">
            <v>-</v>
          </cell>
          <cell r="X2414" t="str">
            <v>CLP 220 (-15/+40°C)</v>
          </cell>
          <cell r="Y2414" t="str">
            <v>KH107DRN132L4</v>
          </cell>
          <cell r="Z2414" t="str">
            <v>SEW</v>
          </cell>
          <cell r="AB2414" t="str">
            <v>-</v>
          </cell>
          <cell r="AF2414">
            <v>13</v>
          </cell>
          <cell r="AG2414" t="str">
            <v>DRN132L4</v>
          </cell>
          <cell r="AH2414" t="str">
            <v>KH107-DRN132L4B270-X</v>
          </cell>
        </row>
        <row r="2415">
          <cell r="A2415" t="str">
            <v>MR002403</v>
          </cell>
          <cell r="B2415" t="str">
            <v>MR</v>
          </cell>
          <cell r="C2415">
            <v>0.55000000000000004</v>
          </cell>
          <cell r="D2415">
            <v>11</v>
          </cell>
          <cell r="E2415" t="str">
            <v>FA57</v>
          </cell>
          <cell r="F2415">
            <v>495</v>
          </cell>
          <cell r="G2415">
            <v>136.16</v>
          </cell>
          <cell r="H2415">
            <v>1.2</v>
          </cell>
          <cell r="I2415" t="str">
            <v>M6</v>
          </cell>
          <cell r="J2415" t="str">
            <v>IE3</v>
          </cell>
          <cell r="K2415" t="str">
            <v>230/400</v>
          </cell>
          <cell r="L2415">
            <v>50</v>
          </cell>
          <cell r="M2415" t="str">
            <v>2,25/1,29</v>
          </cell>
          <cell r="N2415">
            <v>55</v>
          </cell>
          <cell r="O2415" t="str">
            <v>F(105°C)</v>
          </cell>
          <cell r="P2415" t="str">
            <v>270°</v>
          </cell>
          <cell r="Q2415" t="str">
            <v>-</v>
          </cell>
          <cell r="R2415" t="str">
            <v>-</v>
          </cell>
          <cell r="S2415" t="str">
            <v>-</v>
          </cell>
          <cell r="T2415" t="str">
            <v>BE</v>
          </cell>
          <cell r="U2415" t="str">
            <v>G</v>
          </cell>
          <cell r="V2415" t="str">
            <v>D+R</v>
          </cell>
          <cell r="W2415" t="str">
            <v>-</v>
          </cell>
          <cell r="X2415" t="str">
            <v>CLP 220 (-15/+40°C)</v>
          </cell>
          <cell r="Y2415" t="str">
            <v>FA57/G DRN80MK4 /BE</v>
          </cell>
          <cell r="Z2415" t="str">
            <v>SEW</v>
          </cell>
          <cell r="AB2415" t="str">
            <v>-</v>
          </cell>
          <cell r="AF2415">
            <v>11</v>
          </cell>
          <cell r="AG2415" t="str">
            <v>DRN80MK4</v>
          </cell>
          <cell r="AH2415" t="str">
            <v>FA57G-DRN80MK4270-X</v>
          </cell>
        </row>
        <row r="2416">
          <cell r="A2416" t="str">
            <v>MR002404</v>
          </cell>
          <cell r="B2416" t="str">
            <v>MR</v>
          </cell>
          <cell r="C2416">
            <v>11</v>
          </cell>
          <cell r="D2416">
            <v>59</v>
          </cell>
          <cell r="E2416" t="str">
            <v>R97</v>
          </cell>
          <cell r="F2416">
            <v>1780</v>
          </cell>
          <cell r="G2416">
            <v>25.03</v>
          </cell>
          <cell r="H2416">
            <v>1.6</v>
          </cell>
          <cell r="I2416" t="str">
            <v>M1</v>
          </cell>
          <cell r="J2416" t="str">
            <v>IE3</v>
          </cell>
          <cell r="K2416" t="str">
            <v>400/690</v>
          </cell>
          <cell r="L2416">
            <v>50</v>
          </cell>
          <cell r="M2416" t="str">
            <v>21/12,2</v>
          </cell>
          <cell r="N2416">
            <v>55</v>
          </cell>
          <cell r="O2416" t="str">
            <v>F(105°C)</v>
          </cell>
          <cell r="P2416" t="str">
            <v>270°</v>
          </cell>
          <cell r="Q2416" t="str">
            <v>-</v>
          </cell>
          <cell r="R2416" t="str">
            <v>-</v>
          </cell>
          <cell r="S2416" t="str">
            <v>-</v>
          </cell>
          <cell r="T2416" t="str">
            <v>-</v>
          </cell>
          <cell r="U2416" t="str">
            <v>-</v>
          </cell>
          <cell r="V2416" t="str">
            <v>D</v>
          </cell>
          <cell r="W2416" t="str">
            <v>-</v>
          </cell>
          <cell r="X2416" t="str">
            <v>CLP 220 (-15/+40°C)</v>
          </cell>
          <cell r="Y2416" t="str">
            <v>R97DRN160M4</v>
          </cell>
          <cell r="Z2416" t="str">
            <v>SEW</v>
          </cell>
          <cell r="AB2416" t="str">
            <v>-</v>
          </cell>
          <cell r="AF2416">
            <v>59</v>
          </cell>
          <cell r="AG2416" t="str">
            <v>DRN160M4</v>
          </cell>
          <cell r="AH2416" t="str">
            <v>R97-DRN160M4270-X</v>
          </cell>
        </row>
        <row r="2417">
          <cell r="A2417" t="str">
            <v>MR002405</v>
          </cell>
          <cell r="B2417" t="str">
            <v>MR</v>
          </cell>
          <cell r="C2417">
            <v>18.5</v>
          </cell>
          <cell r="D2417">
            <v>19</v>
          </cell>
          <cell r="E2417" t="str">
            <v>KH157</v>
          </cell>
          <cell r="F2417">
            <v>9530</v>
          </cell>
          <cell r="G2417">
            <v>79.75</v>
          </cell>
          <cell r="H2417">
            <v>2.1</v>
          </cell>
          <cell r="I2417" t="str">
            <v>From M1A to M2A - 35°</v>
          </cell>
          <cell r="J2417" t="str">
            <v>IE3</v>
          </cell>
          <cell r="K2417" t="str">
            <v>400/690</v>
          </cell>
          <cell r="L2417">
            <v>50</v>
          </cell>
          <cell r="M2417" t="str">
            <v>33,5/19,3</v>
          </cell>
          <cell r="N2417">
            <v>55</v>
          </cell>
          <cell r="O2417" t="str">
            <v>F(105°C)</v>
          </cell>
          <cell r="P2417" t="str">
            <v>270°</v>
          </cell>
          <cell r="Q2417" t="str">
            <v>-</v>
          </cell>
          <cell r="R2417" t="str">
            <v>-</v>
          </cell>
          <cell r="S2417" t="str">
            <v>-</v>
          </cell>
          <cell r="T2417" t="str">
            <v>-</v>
          </cell>
          <cell r="U2417" t="str">
            <v>-</v>
          </cell>
          <cell r="V2417" t="str">
            <v>SS</v>
          </cell>
          <cell r="W2417" t="str">
            <v>-</v>
          </cell>
          <cell r="X2417" t="str">
            <v>CLP HC 220 (-25/+60°C)</v>
          </cell>
          <cell r="Y2417" t="str">
            <v>KH157DRN180M4</v>
          </cell>
          <cell r="Z2417" t="str">
            <v>SEW</v>
          </cell>
          <cell r="AB2417" t="str">
            <v>-</v>
          </cell>
          <cell r="AF2417">
            <v>19</v>
          </cell>
          <cell r="AG2417" t="str">
            <v>DRN180M4</v>
          </cell>
          <cell r="AH2417" t="str">
            <v>KH157-DRN180M4A270-X</v>
          </cell>
        </row>
        <row r="2418">
          <cell r="A2418" t="str">
            <v>MR002406</v>
          </cell>
          <cell r="B2418" t="str">
            <v>MR</v>
          </cell>
          <cell r="C2418">
            <v>5.5</v>
          </cell>
          <cell r="D2418">
            <v>14</v>
          </cell>
          <cell r="E2418" t="str">
            <v>KH97</v>
          </cell>
          <cell r="F2418">
            <v>3780</v>
          </cell>
          <cell r="G2418">
            <v>105.13</v>
          </cell>
          <cell r="H2418">
            <v>1.1000000000000001</v>
          </cell>
          <cell r="I2418" t="str">
            <v>From M1B to M2B - 40°</v>
          </cell>
          <cell r="J2418" t="str">
            <v>IE3</v>
          </cell>
          <cell r="K2418" t="str">
            <v>230/400</v>
          </cell>
          <cell r="L2418">
            <v>50</v>
          </cell>
          <cell r="M2418" t="str">
            <v>18,8/10,9</v>
          </cell>
          <cell r="N2418">
            <v>65</v>
          </cell>
          <cell r="O2418" t="str">
            <v>155(F)</v>
          </cell>
          <cell r="P2418" t="str">
            <v>0°</v>
          </cell>
          <cell r="Q2418" t="str">
            <v>-</v>
          </cell>
          <cell r="R2418" t="str">
            <v>-</v>
          </cell>
          <cell r="S2418" t="str">
            <v>-</v>
          </cell>
          <cell r="T2418" t="str">
            <v>-</v>
          </cell>
          <cell r="U2418" t="str">
            <v>-</v>
          </cell>
          <cell r="V2418" t="str">
            <v>SS</v>
          </cell>
          <cell r="W2418" t="str">
            <v>-</v>
          </cell>
          <cell r="X2418" t="str">
            <v>CLP PG 220 (-25/+80°C)</v>
          </cell>
          <cell r="Y2418" t="str">
            <v>KH97/II2GDEDRN132S4/3D/KCC/AL</v>
          </cell>
          <cell r="Z2418" t="str">
            <v>SEW</v>
          </cell>
          <cell r="AB2418" t="str">
            <v>ATEX22</v>
          </cell>
          <cell r="AF2418">
            <v>14</v>
          </cell>
          <cell r="AG2418" t="str">
            <v>EDRN132S4</v>
          </cell>
          <cell r="AH2418" t="str">
            <v>KH97-EDRN132S4B0-X</v>
          </cell>
        </row>
        <row r="2419">
          <cell r="A2419" t="str">
            <v>MR002407</v>
          </cell>
          <cell r="B2419" t="str">
            <v>MR</v>
          </cell>
          <cell r="C2419">
            <v>2.2000000000000002</v>
          </cell>
          <cell r="D2419">
            <v>75</v>
          </cell>
          <cell r="E2419" t="str">
            <v>KH67</v>
          </cell>
          <cell r="F2419">
            <v>275</v>
          </cell>
          <cell r="G2419">
            <v>19.3</v>
          </cell>
          <cell r="H2419">
            <v>2.7</v>
          </cell>
          <cell r="I2419" t="str">
            <v>M3A</v>
          </cell>
          <cell r="J2419" t="str">
            <v>IE3</v>
          </cell>
          <cell r="K2419" t="str">
            <v>230/400</v>
          </cell>
          <cell r="L2419">
            <v>50</v>
          </cell>
          <cell r="M2419" t="str">
            <v>8,3/4,75</v>
          </cell>
          <cell r="N2419">
            <v>65</v>
          </cell>
          <cell r="O2419" t="str">
            <v>155(F)</v>
          </cell>
          <cell r="P2419" t="str">
            <v>180°</v>
          </cell>
          <cell r="Q2419" t="str">
            <v>-</v>
          </cell>
          <cell r="R2419" t="str">
            <v>-</v>
          </cell>
          <cell r="S2419" t="str">
            <v>-</v>
          </cell>
          <cell r="T2419" t="str">
            <v>-</v>
          </cell>
          <cell r="U2419" t="str">
            <v>T</v>
          </cell>
          <cell r="V2419" t="str">
            <v>D</v>
          </cell>
          <cell r="W2419" t="str">
            <v>-</v>
          </cell>
          <cell r="X2419" t="str">
            <v>CLP HC 220 (-25/+60°C)</v>
          </cell>
          <cell r="Y2419" t="str">
            <v>KH67/T DRN100LS4</v>
          </cell>
          <cell r="Z2419" t="str">
            <v>SEW</v>
          </cell>
          <cell r="AB2419" t="str">
            <v>-</v>
          </cell>
          <cell r="AF2419">
            <v>75</v>
          </cell>
          <cell r="AG2419" t="str">
            <v>DRN100LS4</v>
          </cell>
          <cell r="AH2419" t="str">
            <v>KH67T-DRN100LS4A180-X</v>
          </cell>
        </row>
        <row r="2420">
          <cell r="A2420" t="str">
            <v>MR002408</v>
          </cell>
          <cell r="B2420" t="str">
            <v>MR</v>
          </cell>
          <cell r="C2420">
            <v>0.75</v>
          </cell>
          <cell r="D2420">
            <v>162</v>
          </cell>
          <cell r="E2420" t="str">
            <v>KA37</v>
          </cell>
          <cell r="F2420">
            <v>44</v>
          </cell>
          <cell r="G2420">
            <v>8.91</v>
          </cell>
          <cell r="H2420">
            <v>3.6</v>
          </cell>
          <cell r="I2420" t="str">
            <v>M1B</v>
          </cell>
          <cell r="J2420" t="str">
            <v>IE3</v>
          </cell>
          <cell r="K2420" t="str">
            <v>230/400</v>
          </cell>
          <cell r="L2420">
            <v>50</v>
          </cell>
          <cell r="M2420" t="str">
            <v>3,05/1,75</v>
          </cell>
          <cell r="N2420">
            <v>65</v>
          </cell>
          <cell r="O2420" t="str">
            <v>155(F)</v>
          </cell>
          <cell r="P2420" t="str">
            <v>0°</v>
          </cell>
          <cell r="Q2420" t="str">
            <v>-</v>
          </cell>
          <cell r="R2420" t="str">
            <v>-</v>
          </cell>
          <cell r="S2420" t="str">
            <v>-</v>
          </cell>
          <cell r="T2420" t="str">
            <v>-</v>
          </cell>
          <cell r="U2420" t="str">
            <v>T</v>
          </cell>
          <cell r="V2420" t="str">
            <v>D</v>
          </cell>
          <cell r="W2420" t="str">
            <v>-</v>
          </cell>
          <cell r="X2420" t="str">
            <v>CLP HC 220 (-25/+60°C)</v>
          </cell>
          <cell r="Y2420" t="str">
            <v>KA37/T DRN80M4</v>
          </cell>
          <cell r="Z2420" t="str">
            <v>SEW</v>
          </cell>
          <cell r="AB2420" t="str">
            <v>-</v>
          </cell>
          <cell r="AF2420">
            <v>162</v>
          </cell>
          <cell r="AG2420" t="str">
            <v>DRN80M4</v>
          </cell>
          <cell r="AH2420" t="str">
            <v>KA37T-DRN80M4B0-X</v>
          </cell>
        </row>
        <row r="2421">
          <cell r="A2421" t="str">
            <v>MR002409</v>
          </cell>
          <cell r="B2421" t="str">
            <v>MR</v>
          </cell>
          <cell r="C2421">
            <v>15</v>
          </cell>
          <cell r="D2421">
            <v>12</v>
          </cell>
          <cell r="E2421" t="str">
            <v>KH127</v>
          </cell>
          <cell r="F2421">
            <v>11900</v>
          </cell>
          <cell r="G2421">
            <v>122.48</v>
          </cell>
          <cell r="H2421">
            <v>1.1000000000000001</v>
          </cell>
          <cell r="I2421" t="str">
            <v>From M1A to M2A - 20°</v>
          </cell>
          <cell r="J2421" t="str">
            <v>IE3</v>
          </cell>
          <cell r="K2421" t="str">
            <v>400/690</v>
          </cell>
          <cell r="L2421">
            <v>50</v>
          </cell>
          <cell r="M2421" t="str">
            <v>29/16,7</v>
          </cell>
          <cell r="N2421">
            <v>65</v>
          </cell>
          <cell r="O2421" t="str">
            <v>155(F)</v>
          </cell>
          <cell r="P2421" t="str">
            <v>180°</v>
          </cell>
          <cell r="Q2421" t="str">
            <v>-</v>
          </cell>
          <cell r="R2421" t="str">
            <v>-</v>
          </cell>
          <cell r="S2421" t="str">
            <v>-</v>
          </cell>
          <cell r="T2421" t="str">
            <v>-</v>
          </cell>
          <cell r="U2421" t="str">
            <v>-</v>
          </cell>
          <cell r="V2421" t="str">
            <v>SS</v>
          </cell>
          <cell r="W2421" t="str">
            <v>-</v>
          </cell>
          <cell r="X2421" t="str">
            <v>CLP HC 220 (-25/+60°C)</v>
          </cell>
          <cell r="Y2421" t="str">
            <v>KH127DRN160L4</v>
          </cell>
          <cell r="Z2421" t="str">
            <v>SEW</v>
          </cell>
          <cell r="AB2421" t="str">
            <v>-</v>
          </cell>
          <cell r="AF2421">
            <v>12</v>
          </cell>
          <cell r="AG2421" t="str">
            <v>DRN160L4</v>
          </cell>
          <cell r="AH2421" t="str">
            <v>KH127-DRN160L4A180-X</v>
          </cell>
        </row>
        <row r="2422">
          <cell r="A2422" t="str">
            <v>MR002410</v>
          </cell>
          <cell r="B2422" t="str">
            <v>MR</v>
          </cell>
          <cell r="C2422">
            <v>0.75</v>
          </cell>
          <cell r="D2422">
            <v>162</v>
          </cell>
          <cell r="E2422" t="str">
            <v>KA37</v>
          </cell>
          <cell r="F2422">
            <v>44</v>
          </cell>
          <cell r="G2422">
            <v>8.91</v>
          </cell>
          <cell r="H2422">
            <v>3.6</v>
          </cell>
          <cell r="I2422" t="str">
            <v>M3A</v>
          </cell>
          <cell r="J2422" t="str">
            <v>IE3</v>
          </cell>
          <cell r="K2422" t="str">
            <v>230/400</v>
          </cell>
          <cell r="L2422">
            <v>50</v>
          </cell>
          <cell r="M2422" t="str">
            <v>3,05/1,75</v>
          </cell>
          <cell r="N2422">
            <v>65</v>
          </cell>
          <cell r="O2422" t="str">
            <v>155(F)</v>
          </cell>
          <cell r="P2422" t="str">
            <v>180°</v>
          </cell>
          <cell r="Q2422" t="str">
            <v>-</v>
          </cell>
          <cell r="R2422" t="str">
            <v>-</v>
          </cell>
          <cell r="S2422" t="str">
            <v>-</v>
          </cell>
          <cell r="T2422" t="str">
            <v>-</v>
          </cell>
          <cell r="U2422" t="str">
            <v>T</v>
          </cell>
          <cell r="V2422" t="str">
            <v>D</v>
          </cell>
          <cell r="W2422" t="str">
            <v>-</v>
          </cell>
          <cell r="X2422" t="str">
            <v>CLP 220 (-15/+40°C)</v>
          </cell>
          <cell r="Y2422" t="str">
            <v>KA37/T DRN80M4</v>
          </cell>
          <cell r="Z2422" t="str">
            <v>SEW</v>
          </cell>
          <cell r="AB2422" t="str">
            <v>-</v>
          </cell>
          <cell r="AF2422">
            <v>162</v>
          </cell>
          <cell r="AG2422" t="str">
            <v>DRN80M4</v>
          </cell>
          <cell r="AH2422" t="str">
            <v>KA37T-DRN80M4A180-X</v>
          </cell>
        </row>
        <row r="2423">
          <cell r="A2423" t="str">
            <v>MR002411</v>
          </cell>
          <cell r="B2423" t="str">
            <v>MR</v>
          </cell>
          <cell r="C2423">
            <v>18.5</v>
          </cell>
          <cell r="D2423">
            <v>48</v>
          </cell>
          <cell r="E2423" t="str">
            <v>R127</v>
          </cell>
          <cell r="F2423">
            <v>3680</v>
          </cell>
          <cell r="G2423">
            <v>30.84</v>
          </cell>
          <cell r="H2423">
            <v>1.45</v>
          </cell>
          <cell r="I2423" t="str">
            <v>M1</v>
          </cell>
          <cell r="J2423" t="str">
            <v>IE3</v>
          </cell>
          <cell r="K2423" t="str">
            <v>400/690</v>
          </cell>
          <cell r="L2423">
            <v>50</v>
          </cell>
          <cell r="M2423" t="str">
            <v>33,5/19,3</v>
          </cell>
          <cell r="N2423">
            <v>55</v>
          </cell>
          <cell r="O2423" t="str">
            <v>155(F)</v>
          </cell>
          <cell r="P2423" t="str">
            <v>270°</v>
          </cell>
          <cell r="Q2423" t="str">
            <v>TF</v>
          </cell>
          <cell r="R2423" t="str">
            <v>V(VE)</v>
          </cell>
          <cell r="S2423" t="str">
            <v>-</v>
          </cell>
          <cell r="T2423" t="str">
            <v>-</v>
          </cell>
          <cell r="U2423" t="str">
            <v>-</v>
          </cell>
          <cell r="V2423" t="str">
            <v>FC</v>
          </cell>
          <cell r="W2423" t="str">
            <v>-</v>
          </cell>
          <cell r="X2423" t="str">
            <v>CLP 220 (-15/+40°C)</v>
          </cell>
          <cell r="Y2423" t="str">
            <v>R127DRN180M4 /TF/V</v>
          </cell>
          <cell r="Z2423" t="str">
            <v>SEW</v>
          </cell>
          <cell r="AB2423" t="str">
            <v>-</v>
          </cell>
          <cell r="AF2423">
            <v>48</v>
          </cell>
          <cell r="AG2423" t="str">
            <v>DRN180M4</v>
          </cell>
          <cell r="AH2423" t="str">
            <v>R127-DRN180M4270-X#</v>
          </cell>
        </row>
        <row r="2424">
          <cell r="A2424" t="str">
            <v>MR002412</v>
          </cell>
          <cell r="B2424" t="str">
            <v>MR</v>
          </cell>
          <cell r="C2424">
            <v>37</v>
          </cell>
          <cell r="D2424">
            <v>13</v>
          </cell>
          <cell r="E2424" t="str">
            <v>KH167</v>
          </cell>
          <cell r="F2424">
            <v>26200</v>
          </cell>
          <cell r="G2424">
            <v>109.83</v>
          </cell>
          <cell r="H2424">
            <v>1.35</v>
          </cell>
          <cell r="I2424" t="str">
            <v>From M1A to M4A - 45°</v>
          </cell>
          <cell r="J2424" t="str">
            <v>IE3</v>
          </cell>
          <cell r="K2424" t="str">
            <v>400/690</v>
          </cell>
          <cell r="L2424">
            <v>50</v>
          </cell>
          <cell r="M2424" t="str">
            <v>64/37</v>
          </cell>
          <cell r="N2424">
            <v>65</v>
          </cell>
          <cell r="O2424" t="str">
            <v>155(F)</v>
          </cell>
          <cell r="P2424" t="str">
            <v>270°</v>
          </cell>
          <cell r="Q2424" t="str">
            <v>TF</v>
          </cell>
          <cell r="R2424" t="str">
            <v>-</v>
          </cell>
          <cell r="S2424" t="str">
            <v>-</v>
          </cell>
          <cell r="T2424" t="str">
            <v>-</v>
          </cell>
          <cell r="U2424" t="str">
            <v>-</v>
          </cell>
          <cell r="V2424" t="str">
            <v>FC</v>
          </cell>
          <cell r="W2424" t="str">
            <v>-</v>
          </cell>
          <cell r="X2424" t="str">
            <v>CLP 220 (-15/+40°C)</v>
          </cell>
          <cell r="Y2424" t="str">
            <v>KH167DRN225S4 /TF/C/DH</v>
          </cell>
          <cell r="Z2424" t="str">
            <v>SEW</v>
          </cell>
          <cell r="AB2424" t="str">
            <v>-</v>
          </cell>
          <cell r="AE2424" t="str">
            <v>Protezione OS2, targhetta in francese; Cappellotto C; scarico condensa DH</v>
          </cell>
          <cell r="AF2424">
            <v>13</v>
          </cell>
          <cell r="AG2424" t="str">
            <v>DRN225S4</v>
          </cell>
          <cell r="AH2424" t="str">
            <v>KH167-DRN225S4A270-X</v>
          </cell>
        </row>
        <row r="2425">
          <cell r="A2425" t="str">
            <v>MR002413</v>
          </cell>
          <cell r="B2425" t="str">
            <v>MR</v>
          </cell>
          <cell r="C2425">
            <v>37</v>
          </cell>
          <cell r="D2425">
            <v>13</v>
          </cell>
          <cell r="E2425" t="str">
            <v>KH167</v>
          </cell>
          <cell r="F2425">
            <v>26200</v>
          </cell>
          <cell r="G2425">
            <v>109.83</v>
          </cell>
          <cell r="H2425">
            <v>1.35</v>
          </cell>
          <cell r="I2425" t="str">
            <v>From M1B to M4B - 45°</v>
          </cell>
          <cell r="J2425" t="str">
            <v>IE3</v>
          </cell>
          <cell r="K2425" t="str">
            <v>400/690</v>
          </cell>
          <cell r="L2425">
            <v>50</v>
          </cell>
          <cell r="M2425" t="str">
            <v>64/37</v>
          </cell>
          <cell r="N2425">
            <v>65</v>
          </cell>
          <cell r="O2425" t="str">
            <v>155(F)</v>
          </cell>
          <cell r="P2425" t="str">
            <v>270°</v>
          </cell>
          <cell r="Q2425" t="str">
            <v>TF</v>
          </cell>
          <cell r="R2425" t="str">
            <v>-</v>
          </cell>
          <cell r="S2425" t="str">
            <v>-</v>
          </cell>
          <cell r="T2425" t="str">
            <v>-</v>
          </cell>
          <cell r="U2425" t="str">
            <v>-</v>
          </cell>
          <cell r="V2425" t="str">
            <v>FC</v>
          </cell>
          <cell r="W2425" t="str">
            <v>-</v>
          </cell>
          <cell r="X2425" t="str">
            <v>CLP 220 (-15/+40°C)</v>
          </cell>
          <cell r="Y2425" t="str">
            <v>KH167DRN225S4 /TF/C/DH</v>
          </cell>
          <cell r="Z2425" t="str">
            <v>SEW</v>
          </cell>
          <cell r="AB2425" t="str">
            <v>-</v>
          </cell>
          <cell r="AE2425" t="str">
            <v>Protezione OS2, targhetta in francese; Cappellotto C; scarico condensa DH</v>
          </cell>
          <cell r="AF2425">
            <v>13</v>
          </cell>
          <cell r="AG2425" t="str">
            <v>DRN225S4</v>
          </cell>
          <cell r="AH2425" t="str">
            <v>KH167-DRN225S4B270-X</v>
          </cell>
        </row>
        <row r="2426">
          <cell r="A2426" t="str">
            <v>MR002414</v>
          </cell>
          <cell r="B2426" t="str">
            <v>MR</v>
          </cell>
          <cell r="C2426">
            <v>22</v>
          </cell>
          <cell r="D2426">
            <v>12</v>
          </cell>
          <cell r="E2426" t="str">
            <v>KH157</v>
          </cell>
          <cell r="F2426">
            <v>17400</v>
          </cell>
          <cell r="G2426">
            <v>122.39</v>
          </cell>
          <cell r="H2426">
            <v>1.1499999999999999</v>
          </cell>
          <cell r="I2426" t="str">
            <v>M4A</v>
          </cell>
          <cell r="J2426" t="str">
            <v>IE3</v>
          </cell>
          <cell r="K2426" t="str">
            <v>400/690</v>
          </cell>
          <cell r="L2426">
            <v>50</v>
          </cell>
          <cell r="M2426" t="str">
            <v>38,5/22,5</v>
          </cell>
          <cell r="N2426">
            <v>65</v>
          </cell>
          <cell r="O2426" t="str">
            <v>155(F)</v>
          </cell>
          <cell r="P2426" t="str">
            <v>270°</v>
          </cell>
          <cell r="Q2426" t="str">
            <v>TF</v>
          </cell>
          <cell r="R2426" t="str">
            <v>-</v>
          </cell>
          <cell r="S2426" t="str">
            <v>-</v>
          </cell>
          <cell r="T2426" t="str">
            <v>-</v>
          </cell>
          <cell r="U2426" t="str">
            <v>-</v>
          </cell>
          <cell r="V2426" t="str">
            <v>FC</v>
          </cell>
          <cell r="W2426" t="str">
            <v>-</v>
          </cell>
          <cell r="X2426" t="str">
            <v>CLP 220 (-15/+40°C)</v>
          </cell>
          <cell r="Y2426" t="str">
            <v>KH157DRN180L4 /TF/C/DH/B51</v>
          </cell>
          <cell r="Z2426" t="str">
            <v>SEW</v>
          </cell>
          <cell r="AB2426" t="str">
            <v>-</v>
          </cell>
          <cell r="AE2426" t="str">
            <v>Protezione OS2, targhetta in francese; Cappellotto C; scarico condensa DH; livello olio B61</v>
          </cell>
          <cell r="AF2426">
            <v>12</v>
          </cell>
          <cell r="AG2426" t="str">
            <v>DRN180L4</v>
          </cell>
          <cell r="AH2426" t="str">
            <v>KH157-DRN180L4A270-X</v>
          </cell>
        </row>
        <row r="2427">
          <cell r="A2427" t="str">
            <v>MR002415</v>
          </cell>
          <cell r="B2427" t="str">
            <v>MR</v>
          </cell>
          <cell r="C2427">
            <v>22</v>
          </cell>
          <cell r="D2427">
            <v>12</v>
          </cell>
          <cell r="E2427" t="str">
            <v>KH157</v>
          </cell>
          <cell r="F2427">
            <v>17400</v>
          </cell>
          <cell r="G2427">
            <v>122.39</v>
          </cell>
          <cell r="H2427">
            <v>1.1499999999999999</v>
          </cell>
          <cell r="I2427" t="str">
            <v>M4B</v>
          </cell>
          <cell r="J2427" t="str">
            <v>IE3</v>
          </cell>
          <cell r="K2427" t="str">
            <v>400/690</v>
          </cell>
          <cell r="L2427">
            <v>50</v>
          </cell>
          <cell r="M2427" t="str">
            <v>38,5/22,5</v>
          </cell>
          <cell r="N2427">
            <v>65</v>
          </cell>
          <cell r="O2427" t="str">
            <v>155(F)</v>
          </cell>
          <cell r="P2427" t="str">
            <v>270°</v>
          </cell>
          <cell r="Q2427" t="str">
            <v>TF</v>
          </cell>
          <cell r="R2427" t="str">
            <v>-</v>
          </cell>
          <cell r="S2427" t="str">
            <v>-</v>
          </cell>
          <cell r="T2427" t="str">
            <v>-</v>
          </cell>
          <cell r="U2427" t="str">
            <v>-</v>
          </cell>
          <cell r="V2427" t="str">
            <v>FC</v>
          </cell>
          <cell r="W2427" t="str">
            <v>-</v>
          </cell>
          <cell r="X2427" t="str">
            <v>CLP 220 (-15/+40°C)</v>
          </cell>
          <cell r="Y2427" t="str">
            <v>KH157DRN180L4 /TF/C/DH/B51</v>
          </cell>
          <cell r="Z2427" t="str">
            <v>SEW</v>
          </cell>
          <cell r="AB2427" t="str">
            <v>-</v>
          </cell>
          <cell r="AE2427" t="str">
            <v>Protezione OS2, targhetta in francese; Cappellotto C; scarico condensa DH; livello olio B51</v>
          </cell>
          <cell r="AF2427">
            <v>12</v>
          </cell>
          <cell r="AG2427" t="str">
            <v>DRN180L4</v>
          </cell>
          <cell r="AH2427" t="str">
            <v>KH157-DRN180L4B270-X</v>
          </cell>
        </row>
        <row r="2428">
          <cell r="A2428" t="str">
            <v>MR002416</v>
          </cell>
          <cell r="B2428" t="str">
            <v>MR</v>
          </cell>
          <cell r="C2428">
            <v>18.5</v>
          </cell>
          <cell r="D2428">
            <v>16</v>
          </cell>
          <cell r="E2428" t="str">
            <v>KH127</v>
          </cell>
          <cell r="F2428">
            <v>10700</v>
          </cell>
          <cell r="G2428">
            <v>89.89</v>
          </cell>
          <cell r="H2428">
            <v>1.2</v>
          </cell>
          <cell r="I2428" t="str">
            <v>From M1A to M4A - 55°</v>
          </cell>
          <cell r="J2428" t="str">
            <v>IE3</v>
          </cell>
          <cell r="K2428" t="str">
            <v>400/690</v>
          </cell>
          <cell r="L2428">
            <v>50</v>
          </cell>
          <cell r="M2428" t="str">
            <v>33,5/19,3</v>
          </cell>
          <cell r="N2428">
            <v>65</v>
          </cell>
          <cell r="O2428" t="str">
            <v>155(F)</v>
          </cell>
          <cell r="P2428" t="str">
            <v>270°</v>
          </cell>
          <cell r="Q2428" t="str">
            <v>TF</v>
          </cell>
          <cell r="R2428" t="str">
            <v>-</v>
          </cell>
          <cell r="S2428" t="str">
            <v>-</v>
          </cell>
          <cell r="T2428" t="str">
            <v>-</v>
          </cell>
          <cell r="U2428" t="str">
            <v>-</v>
          </cell>
          <cell r="V2428" t="str">
            <v>FC</v>
          </cell>
          <cell r="W2428" t="str">
            <v>-</v>
          </cell>
          <cell r="X2428" t="str">
            <v>CLP 220 (-15/+40°C)</v>
          </cell>
          <cell r="Y2428" t="str">
            <v>KH127DRN180M4 /TF/DH</v>
          </cell>
          <cell r="Z2428" t="str">
            <v>SEW</v>
          </cell>
          <cell r="AB2428" t="str">
            <v>-</v>
          </cell>
          <cell r="AE2428" t="str">
            <v xml:space="preserve">Protezione OS2, targhetta in francese; scarico condensa DH; </v>
          </cell>
          <cell r="AF2428">
            <v>16</v>
          </cell>
          <cell r="AG2428" t="str">
            <v>DRN180M4</v>
          </cell>
          <cell r="AH2428" t="str">
            <v>KH127-DRN180M4A270-X</v>
          </cell>
        </row>
        <row r="2429">
          <cell r="A2429" t="str">
            <v>MR002417</v>
          </cell>
          <cell r="B2429" t="str">
            <v>MR</v>
          </cell>
          <cell r="C2429">
            <v>18.5</v>
          </cell>
          <cell r="D2429">
            <v>16</v>
          </cell>
          <cell r="E2429" t="str">
            <v>KH127</v>
          </cell>
          <cell r="F2429">
            <v>10700</v>
          </cell>
          <cell r="G2429">
            <v>89.89</v>
          </cell>
          <cell r="H2429">
            <v>1.2</v>
          </cell>
          <cell r="I2429" t="str">
            <v>From M1B to M4B - 55°</v>
          </cell>
          <cell r="J2429" t="str">
            <v>IE3</v>
          </cell>
          <cell r="K2429" t="str">
            <v>400/690</v>
          </cell>
          <cell r="L2429">
            <v>50</v>
          </cell>
          <cell r="M2429" t="str">
            <v>33,5/19,3</v>
          </cell>
          <cell r="N2429">
            <v>65</v>
          </cell>
          <cell r="O2429" t="str">
            <v>155(F)</v>
          </cell>
          <cell r="P2429" t="str">
            <v>270°</v>
          </cell>
          <cell r="Q2429" t="str">
            <v>TF</v>
          </cell>
          <cell r="R2429" t="str">
            <v>-</v>
          </cell>
          <cell r="S2429" t="str">
            <v>-</v>
          </cell>
          <cell r="T2429" t="str">
            <v>-</v>
          </cell>
          <cell r="U2429" t="str">
            <v>-</v>
          </cell>
          <cell r="V2429" t="str">
            <v>FC</v>
          </cell>
          <cell r="W2429" t="str">
            <v>-</v>
          </cell>
          <cell r="X2429" t="str">
            <v>CLP 220 (-15/+40°C)</v>
          </cell>
          <cell r="Y2429" t="str">
            <v>KH127DRN180M4 /TF/DH</v>
          </cell>
          <cell r="Z2429" t="str">
            <v>SEW</v>
          </cell>
          <cell r="AB2429" t="str">
            <v>-</v>
          </cell>
          <cell r="AE2429" t="str">
            <v xml:space="preserve">Protezione OS2, targhetta in francese; scarico condensa DH; </v>
          </cell>
          <cell r="AF2429">
            <v>16</v>
          </cell>
          <cell r="AG2429" t="str">
            <v>DRN180M4</v>
          </cell>
          <cell r="AH2429" t="str">
            <v>KH127-DRN180M4B270-X</v>
          </cell>
        </row>
        <row r="2430">
          <cell r="A2430" t="str">
            <v>MR002418</v>
          </cell>
          <cell r="B2430" t="str">
            <v>MR</v>
          </cell>
          <cell r="C2430">
            <v>15</v>
          </cell>
          <cell r="D2430">
            <v>16</v>
          </cell>
          <cell r="E2430" t="str">
            <v>KH127</v>
          </cell>
          <cell r="F2430">
            <v>8740</v>
          </cell>
          <cell r="G2430">
            <v>89.89</v>
          </cell>
          <cell r="H2430">
            <v>1.5</v>
          </cell>
          <cell r="I2430" t="str">
            <v>From M1B to M4B - 45°</v>
          </cell>
          <cell r="J2430" t="str">
            <v>IE3</v>
          </cell>
          <cell r="K2430" t="str">
            <v>400/690</v>
          </cell>
          <cell r="L2430">
            <v>50</v>
          </cell>
          <cell r="M2430" t="str">
            <v>29/16,7</v>
          </cell>
          <cell r="N2430">
            <v>65</v>
          </cell>
          <cell r="O2430" t="str">
            <v>155(F)</v>
          </cell>
          <cell r="P2430" t="str">
            <v>270°</v>
          </cell>
          <cell r="Q2430" t="str">
            <v>TF</v>
          </cell>
          <cell r="R2430" t="str">
            <v>-</v>
          </cell>
          <cell r="S2430" t="str">
            <v>-</v>
          </cell>
          <cell r="T2430" t="str">
            <v>-</v>
          </cell>
          <cell r="U2430" t="str">
            <v>-</v>
          </cell>
          <cell r="V2430" t="str">
            <v>FC</v>
          </cell>
          <cell r="W2430" t="str">
            <v>-</v>
          </cell>
          <cell r="X2430" t="str">
            <v>CLP 220 (-15/+40°C)</v>
          </cell>
          <cell r="Y2430" t="str">
            <v>KH127DRN160L4 /TF/C/DH</v>
          </cell>
          <cell r="Z2430" t="str">
            <v>SEW</v>
          </cell>
          <cell r="AB2430" t="str">
            <v>-</v>
          </cell>
          <cell r="AE2430" t="str">
            <v>Protezione OS2, targhetta in francese; Cappellotto C; scarico condensa DH</v>
          </cell>
          <cell r="AF2430">
            <v>16</v>
          </cell>
          <cell r="AG2430" t="str">
            <v>DRN160L4</v>
          </cell>
          <cell r="AH2430" t="str">
            <v>KH127-DRN160L4B270-X</v>
          </cell>
        </row>
        <row r="2431">
          <cell r="A2431" t="str">
            <v>MR002419</v>
          </cell>
          <cell r="B2431" t="str">
            <v>MR</v>
          </cell>
          <cell r="C2431">
            <v>18.5</v>
          </cell>
          <cell r="D2431">
            <v>16</v>
          </cell>
          <cell r="E2431" t="str">
            <v>KH127</v>
          </cell>
          <cell r="F2431">
            <v>10700</v>
          </cell>
          <cell r="G2431">
            <v>89.89</v>
          </cell>
          <cell r="H2431">
            <v>1.2</v>
          </cell>
          <cell r="I2431" t="str">
            <v>From M1A to M4A - 60°</v>
          </cell>
          <cell r="J2431" t="str">
            <v>IE3</v>
          </cell>
          <cell r="K2431" t="str">
            <v>400/690</v>
          </cell>
          <cell r="L2431">
            <v>50</v>
          </cell>
          <cell r="M2431" t="str">
            <v>33,5/19,3</v>
          </cell>
          <cell r="N2431">
            <v>65</v>
          </cell>
          <cell r="O2431" t="str">
            <v>155(F)</v>
          </cell>
          <cell r="P2431" t="str">
            <v>270°</v>
          </cell>
          <cell r="Q2431" t="str">
            <v>TF</v>
          </cell>
          <cell r="R2431" t="str">
            <v>-</v>
          </cell>
          <cell r="S2431" t="str">
            <v>-</v>
          </cell>
          <cell r="T2431" t="str">
            <v>-</v>
          </cell>
          <cell r="U2431" t="str">
            <v>-</v>
          </cell>
          <cell r="V2431" t="str">
            <v>FC</v>
          </cell>
          <cell r="W2431" t="str">
            <v>-</v>
          </cell>
          <cell r="X2431" t="str">
            <v>CLP 220 (-15/+40°C)</v>
          </cell>
          <cell r="Y2431" t="str">
            <v>KH127DRN180M4 /TF/C/DH</v>
          </cell>
          <cell r="Z2431" t="str">
            <v>SEW</v>
          </cell>
          <cell r="AB2431" t="str">
            <v>-</v>
          </cell>
          <cell r="AE2431" t="str">
            <v>Protezione OS2, targhetta in francese; Cappellotto C; scarico condensa DH</v>
          </cell>
          <cell r="AF2431">
            <v>16</v>
          </cell>
          <cell r="AG2431" t="str">
            <v>DRN180M4</v>
          </cell>
          <cell r="AH2431" t="str">
            <v>KH127-DRN180M4A270-X</v>
          </cell>
        </row>
        <row r="2432">
          <cell r="A2432" t="str">
            <v>MR002420</v>
          </cell>
          <cell r="B2432" t="str">
            <v>MR</v>
          </cell>
          <cell r="C2432">
            <v>18.5</v>
          </cell>
          <cell r="D2432">
            <v>16</v>
          </cell>
          <cell r="E2432" t="str">
            <v>KH127</v>
          </cell>
          <cell r="F2432">
            <v>10700</v>
          </cell>
          <cell r="G2432">
            <v>89.89</v>
          </cell>
          <cell r="H2432">
            <v>1.2</v>
          </cell>
          <cell r="I2432" t="str">
            <v>From M1B to M4B - 60°</v>
          </cell>
          <cell r="J2432" t="str">
            <v>IE3</v>
          </cell>
          <cell r="K2432" t="str">
            <v>400/690</v>
          </cell>
          <cell r="L2432">
            <v>50</v>
          </cell>
          <cell r="M2432" t="str">
            <v>33,5/19,3</v>
          </cell>
          <cell r="N2432">
            <v>65</v>
          </cell>
          <cell r="O2432" t="str">
            <v>155(F)</v>
          </cell>
          <cell r="P2432" t="str">
            <v>270°</v>
          </cell>
          <cell r="Q2432" t="str">
            <v>TF</v>
          </cell>
          <cell r="R2432" t="str">
            <v>-</v>
          </cell>
          <cell r="S2432" t="str">
            <v>-</v>
          </cell>
          <cell r="T2432" t="str">
            <v>-</v>
          </cell>
          <cell r="U2432" t="str">
            <v>-</v>
          </cell>
          <cell r="V2432" t="str">
            <v>FC</v>
          </cell>
          <cell r="W2432" t="str">
            <v>-</v>
          </cell>
          <cell r="X2432" t="str">
            <v>CLP 220 (-15/+40°C)</v>
          </cell>
          <cell r="Y2432" t="str">
            <v>KH127DRN180M4 /TF/C/DH</v>
          </cell>
          <cell r="Z2432" t="str">
            <v>SEW</v>
          </cell>
          <cell r="AB2432" t="str">
            <v>-</v>
          </cell>
          <cell r="AE2432" t="str">
            <v>Protezione OS2, targhetta in francese; Cappellotto C; scarico condensa DH</v>
          </cell>
          <cell r="AF2432">
            <v>16</v>
          </cell>
          <cell r="AG2432" t="str">
            <v>DRN180M4</v>
          </cell>
          <cell r="AH2432" t="str">
            <v>KH127-DRN180M4B270-X</v>
          </cell>
        </row>
        <row r="2433">
          <cell r="A2433" t="str">
            <v>MR002421</v>
          </cell>
          <cell r="B2433" t="str">
            <v>MR</v>
          </cell>
          <cell r="C2433">
            <v>1.5</v>
          </cell>
          <cell r="D2433">
            <v>22</v>
          </cell>
          <cell r="E2433" t="str">
            <v>FA67</v>
          </cell>
          <cell r="F2433">
            <v>665</v>
          </cell>
          <cell r="G2433">
            <v>67.650000000000006</v>
          </cell>
          <cell r="H2433">
            <v>1.25</v>
          </cell>
          <cell r="I2433" t="str">
            <v>M5</v>
          </cell>
          <cell r="J2433" t="str">
            <v>IE3</v>
          </cell>
          <cell r="K2433" t="str">
            <v>230/400</v>
          </cell>
          <cell r="L2433">
            <v>50</v>
          </cell>
          <cell r="M2433" t="str">
            <v>5,9/3,4</v>
          </cell>
          <cell r="N2433">
            <v>65</v>
          </cell>
          <cell r="O2433" t="str">
            <v>155(F)</v>
          </cell>
          <cell r="P2433" t="str">
            <v>270°</v>
          </cell>
          <cell r="Q2433" t="str">
            <v>TF</v>
          </cell>
          <cell r="R2433" t="str">
            <v>-</v>
          </cell>
          <cell r="S2433" t="str">
            <v>-</v>
          </cell>
          <cell r="T2433" t="str">
            <v>BEHF</v>
          </cell>
          <cell r="U2433" t="str">
            <v>G</v>
          </cell>
          <cell r="V2433" t="str">
            <v>D+R</v>
          </cell>
          <cell r="W2433" t="str">
            <v>-</v>
          </cell>
          <cell r="X2433" t="str">
            <v>CLP 220 (-15/+40°C)</v>
          </cell>
          <cell r="Y2433" t="str">
            <v>FA67/G DRN90L4 /BEHF /TF/DH/B11</v>
          </cell>
          <cell r="Z2433" t="str">
            <v>SEW</v>
          </cell>
          <cell r="AB2433" t="str">
            <v>-</v>
          </cell>
          <cell r="AE2433" t="str">
            <v>Protezione OS2, targhetta in francese; scarico condensa DH; livello olio B11</v>
          </cell>
          <cell r="AF2433">
            <v>22</v>
          </cell>
          <cell r="AG2433" t="str">
            <v>DRN90L4</v>
          </cell>
          <cell r="AH2433" t="str">
            <v>FA67G-DRN90L4270-X</v>
          </cell>
        </row>
        <row r="2434">
          <cell r="A2434" t="str">
            <v>MR002422</v>
          </cell>
          <cell r="B2434" t="str">
            <v>MR</v>
          </cell>
          <cell r="C2434">
            <v>0.75</v>
          </cell>
          <cell r="D2434">
            <v>18</v>
          </cell>
          <cell r="E2434" t="str">
            <v>FA67</v>
          </cell>
          <cell r="F2434">
            <v>395</v>
          </cell>
          <cell r="G2434">
            <v>79.760000000000005</v>
          </cell>
          <cell r="H2434">
            <v>2.1</v>
          </cell>
          <cell r="I2434" t="str">
            <v>From M6 to M2 - 45°</v>
          </cell>
          <cell r="J2434" t="str">
            <v>IE3</v>
          </cell>
          <cell r="K2434" t="str">
            <v>230/400</v>
          </cell>
          <cell r="L2434">
            <v>50</v>
          </cell>
          <cell r="M2434" t="str">
            <v>3,05/1,75</v>
          </cell>
          <cell r="N2434">
            <v>65</v>
          </cell>
          <cell r="O2434" t="str">
            <v>155(F)</v>
          </cell>
          <cell r="P2434" t="str">
            <v>270°</v>
          </cell>
          <cell r="Q2434" t="str">
            <v>TF</v>
          </cell>
          <cell r="R2434" t="str">
            <v>-</v>
          </cell>
          <cell r="S2434" t="str">
            <v>-</v>
          </cell>
          <cell r="T2434" t="str">
            <v>BEHF</v>
          </cell>
          <cell r="U2434" t="str">
            <v>G</v>
          </cell>
          <cell r="V2434" t="str">
            <v>D+R</v>
          </cell>
          <cell r="W2434" t="str">
            <v>-</v>
          </cell>
          <cell r="X2434" t="str">
            <v>CLP 220 (-15/+40°C)</v>
          </cell>
          <cell r="Y2434" t="str">
            <v>FA67/G DRN80M4 /BEHF /TF/DH</v>
          </cell>
          <cell r="Z2434" t="str">
            <v>SEW</v>
          </cell>
          <cell r="AB2434" t="str">
            <v>-</v>
          </cell>
          <cell r="AE2434" t="str">
            <v>Protezione OS2, targhetta in francese; scarico condensa DH</v>
          </cell>
          <cell r="AF2434">
            <v>18</v>
          </cell>
          <cell r="AG2434" t="str">
            <v>DRN80M4</v>
          </cell>
          <cell r="AH2434" t="str">
            <v>FA67G-DRN80M4270-X</v>
          </cell>
        </row>
        <row r="2435">
          <cell r="A2435" t="str">
            <v>MR002423</v>
          </cell>
          <cell r="B2435" t="str">
            <v>MR</v>
          </cell>
          <cell r="C2435">
            <v>7.5</v>
          </cell>
          <cell r="D2435">
            <v>34</v>
          </cell>
          <cell r="E2435" t="str">
            <v>R97</v>
          </cell>
          <cell r="F2435">
            <v>2090</v>
          </cell>
          <cell r="G2435">
            <v>42.78</v>
          </cell>
          <cell r="H2435">
            <v>1.25</v>
          </cell>
          <cell r="I2435" t="str">
            <v>Fom M1 to M2 - 25°</v>
          </cell>
          <cell r="J2435" t="str">
            <v>IE3</v>
          </cell>
          <cell r="K2435" t="str">
            <v>400/690</v>
          </cell>
          <cell r="L2435">
            <v>50</v>
          </cell>
          <cell r="M2435" t="str">
            <v>15,7/9</v>
          </cell>
          <cell r="N2435">
            <v>65</v>
          </cell>
          <cell r="O2435" t="str">
            <v>155(F)</v>
          </cell>
          <cell r="P2435" t="str">
            <v>270°</v>
          </cell>
          <cell r="Q2435" t="str">
            <v>-</v>
          </cell>
          <cell r="R2435" t="str">
            <v>-</v>
          </cell>
          <cell r="S2435" t="str">
            <v>-</v>
          </cell>
          <cell r="T2435" t="str">
            <v>-</v>
          </cell>
          <cell r="U2435" t="str">
            <v>-</v>
          </cell>
          <cell r="V2435" t="str">
            <v>D</v>
          </cell>
          <cell r="W2435" t="str">
            <v>-</v>
          </cell>
          <cell r="X2435" t="str">
            <v>CLP HC 220 (-25/+60°C)</v>
          </cell>
          <cell r="Y2435" t="str">
            <v>R97EDRN132M4</v>
          </cell>
          <cell r="Z2435" t="str">
            <v>SEW</v>
          </cell>
          <cell r="AB2435" t="str">
            <v>ATEX22</v>
          </cell>
          <cell r="AF2435">
            <v>34</v>
          </cell>
          <cell r="AG2435" t="str">
            <v>EDRN132M4</v>
          </cell>
          <cell r="AH2435" t="str">
            <v>R97-EDRN132M4270-X</v>
          </cell>
        </row>
        <row r="2436">
          <cell r="A2436" t="str">
            <v>MR002424</v>
          </cell>
          <cell r="B2436" t="str">
            <v>MR</v>
          </cell>
          <cell r="C2436">
            <v>15</v>
          </cell>
          <cell r="D2436">
            <v>12</v>
          </cell>
          <cell r="E2436" t="str">
            <v>KH157</v>
          </cell>
          <cell r="F2436">
            <v>11900</v>
          </cell>
          <cell r="G2436">
            <v>122.39</v>
          </cell>
          <cell r="H2436">
            <v>1.7</v>
          </cell>
          <cell r="I2436" t="str">
            <v>From M1A to M2A - 40°</v>
          </cell>
          <cell r="J2436" t="str">
            <v>IE3</v>
          </cell>
          <cell r="K2436" t="str">
            <v>400/690</v>
          </cell>
          <cell r="L2436">
            <v>50</v>
          </cell>
          <cell r="M2436" t="str">
            <v>29/16,7</v>
          </cell>
          <cell r="N2436">
            <v>55</v>
          </cell>
          <cell r="O2436" t="str">
            <v>155(F)</v>
          </cell>
          <cell r="P2436" t="str">
            <v>270°</v>
          </cell>
          <cell r="Q2436" t="str">
            <v>TF</v>
          </cell>
          <cell r="R2436" t="str">
            <v>V(VE)</v>
          </cell>
          <cell r="S2436" t="str">
            <v>-</v>
          </cell>
          <cell r="T2436" t="str">
            <v>-</v>
          </cell>
          <cell r="U2436" t="str">
            <v>-</v>
          </cell>
          <cell r="V2436" t="str">
            <v>FC</v>
          </cell>
          <cell r="W2436" t="str">
            <v>-</v>
          </cell>
          <cell r="X2436" t="str">
            <v>CLP 220 (-15/+40°C)</v>
          </cell>
          <cell r="Y2436" t="str">
            <v>KH157DRN160L4 /TF/V</v>
          </cell>
          <cell r="Z2436" t="str">
            <v>SEW</v>
          </cell>
          <cell r="AB2436" t="str">
            <v>-</v>
          </cell>
          <cell r="AF2436">
            <v>12</v>
          </cell>
          <cell r="AG2436" t="str">
            <v>DRN160L4</v>
          </cell>
          <cell r="AH2436" t="str">
            <v>KH157-DRN160L4A270-X#</v>
          </cell>
        </row>
        <row r="2437">
          <cell r="A2437" t="str">
            <v>MR002425</v>
          </cell>
          <cell r="B2437" t="str">
            <v>MR</v>
          </cell>
          <cell r="C2437">
            <v>15</v>
          </cell>
          <cell r="D2437">
            <v>12</v>
          </cell>
          <cell r="E2437" t="str">
            <v>KH157</v>
          </cell>
          <cell r="F2437">
            <v>11900</v>
          </cell>
          <cell r="G2437">
            <v>122.39</v>
          </cell>
          <cell r="H2437">
            <v>1.7</v>
          </cell>
          <cell r="I2437" t="str">
            <v>From M1B to M2B - 40°</v>
          </cell>
          <cell r="J2437" t="str">
            <v>IE3</v>
          </cell>
          <cell r="K2437" t="str">
            <v>400/690</v>
          </cell>
          <cell r="L2437">
            <v>50</v>
          </cell>
          <cell r="M2437" t="str">
            <v>29/16,7</v>
          </cell>
          <cell r="N2437">
            <v>55</v>
          </cell>
          <cell r="O2437" t="str">
            <v>155(F)</v>
          </cell>
          <cell r="P2437" t="str">
            <v>270°</v>
          </cell>
          <cell r="Q2437" t="str">
            <v>TF</v>
          </cell>
          <cell r="R2437" t="str">
            <v>V(VE)</v>
          </cell>
          <cell r="S2437" t="str">
            <v>-</v>
          </cell>
          <cell r="T2437" t="str">
            <v>-</v>
          </cell>
          <cell r="U2437" t="str">
            <v>-</v>
          </cell>
          <cell r="V2437" t="str">
            <v>FC</v>
          </cell>
          <cell r="W2437" t="str">
            <v>-</v>
          </cell>
          <cell r="X2437" t="str">
            <v>CLP 220 (-15/+40°C)</v>
          </cell>
          <cell r="Y2437" t="str">
            <v>KH157DRN160L4 /TF/V</v>
          </cell>
          <cell r="Z2437" t="str">
            <v>SEW</v>
          </cell>
          <cell r="AB2437" t="str">
            <v>-</v>
          </cell>
          <cell r="AF2437">
            <v>12</v>
          </cell>
          <cell r="AG2437" t="str">
            <v>DRN160L4</v>
          </cell>
          <cell r="AH2437" t="str">
            <v>KH157-DRN160L4B270-X#</v>
          </cell>
        </row>
        <row r="2438">
          <cell r="A2438" t="str">
            <v>MR002426</v>
          </cell>
          <cell r="B2438" t="str">
            <v>MR</v>
          </cell>
          <cell r="C2438">
            <v>11</v>
          </cell>
          <cell r="D2438">
            <v>9.8000000000000007</v>
          </cell>
          <cell r="E2438" t="str">
            <v>KH157</v>
          </cell>
          <cell r="F2438">
            <v>10700</v>
          </cell>
          <cell r="G2438">
            <v>150.41</v>
          </cell>
          <cell r="H2438">
            <v>1.85</v>
          </cell>
          <cell r="I2438" t="str">
            <v>From M1A to M2A - 35°</v>
          </cell>
          <cell r="J2438" t="str">
            <v>IE3</v>
          </cell>
          <cell r="K2438" t="str">
            <v>400/690</v>
          </cell>
          <cell r="L2438">
            <v>50</v>
          </cell>
          <cell r="M2438" t="str">
            <v>21/12,2</v>
          </cell>
          <cell r="N2438">
            <v>55</v>
          </cell>
          <cell r="O2438" t="str">
            <v>155(F)</v>
          </cell>
          <cell r="P2438" t="str">
            <v>270°</v>
          </cell>
          <cell r="Q2438" t="str">
            <v>TF</v>
          </cell>
          <cell r="R2438" t="str">
            <v>V(VE)</v>
          </cell>
          <cell r="S2438" t="str">
            <v>-</v>
          </cell>
          <cell r="T2438" t="str">
            <v>-</v>
          </cell>
          <cell r="U2438" t="str">
            <v>-</v>
          </cell>
          <cell r="V2438" t="str">
            <v>FC</v>
          </cell>
          <cell r="W2438" t="str">
            <v>-</v>
          </cell>
          <cell r="X2438" t="str">
            <v>CLP 220 (-15/+40°C)</v>
          </cell>
          <cell r="Y2438" t="str">
            <v>KH157DRN160M4 /TF/V</v>
          </cell>
          <cell r="Z2438" t="str">
            <v>SEW</v>
          </cell>
          <cell r="AB2438" t="str">
            <v>-</v>
          </cell>
          <cell r="AF2438">
            <v>9.8000000000000007</v>
          </cell>
          <cell r="AG2438" t="str">
            <v>DRN160M4</v>
          </cell>
          <cell r="AH2438" t="str">
            <v>KH157-DRN160M4A270-X#</v>
          </cell>
        </row>
        <row r="2439">
          <cell r="A2439" t="str">
            <v>MR002427</v>
          </cell>
          <cell r="B2439" t="str">
            <v>MR</v>
          </cell>
          <cell r="C2439">
            <v>11</v>
          </cell>
          <cell r="D2439">
            <v>9.8000000000000007</v>
          </cell>
          <cell r="E2439" t="str">
            <v>KH157</v>
          </cell>
          <cell r="F2439">
            <v>10700</v>
          </cell>
          <cell r="G2439">
            <v>150.41</v>
          </cell>
          <cell r="H2439">
            <v>1.85</v>
          </cell>
          <cell r="I2439" t="str">
            <v>From M1B to M2B - 35°</v>
          </cell>
          <cell r="J2439" t="str">
            <v>IE3</v>
          </cell>
          <cell r="K2439" t="str">
            <v>400/690</v>
          </cell>
          <cell r="L2439">
            <v>50</v>
          </cell>
          <cell r="M2439" t="str">
            <v>21/12,2</v>
          </cell>
          <cell r="N2439">
            <v>55</v>
          </cell>
          <cell r="O2439" t="str">
            <v>155(F)</v>
          </cell>
          <cell r="P2439" t="str">
            <v>270°</v>
          </cell>
          <cell r="Q2439" t="str">
            <v>TF</v>
          </cell>
          <cell r="R2439" t="str">
            <v>V(VE)</v>
          </cell>
          <cell r="S2439" t="str">
            <v>-</v>
          </cell>
          <cell r="T2439" t="str">
            <v>-</v>
          </cell>
          <cell r="U2439" t="str">
            <v>-</v>
          </cell>
          <cell r="V2439" t="str">
            <v>FC</v>
          </cell>
          <cell r="W2439" t="str">
            <v>-</v>
          </cell>
          <cell r="X2439" t="str">
            <v>CLP 220 (-15/+40°C)</v>
          </cell>
          <cell r="Y2439" t="str">
            <v>KH157DRN160M4 /TF/V</v>
          </cell>
          <cell r="Z2439" t="str">
            <v>SEW</v>
          </cell>
          <cell r="AB2439" t="str">
            <v>-</v>
          </cell>
          <cell r="AF2439">
            <v>9.8000000000000007</v>
          </cell>
          <cell r="AG2439" t="str">
            <v>DRN160M4</v>
          </cell>
          <cell r="AH2439" t="str">
            <v>KH157-DRN160M4B270-X#</v>
          </cell>
        </row>
        <row r="2440">
          <cell r="A2440" t="str">
            <v>MR002428</v>
          </cell>
          <cell r="B2440" t="str">
            <v>MR</v>
          </cell>
          <cell r="C2440">
            <v>15</v>
          </cell>
          <cell r="D2440">
            <v>12</v>
          </cell>
          <cell r="E2440" t="str">
            <v>KH127</v>
          </cell>
          <cell r="F2440">
            <v>11900</v>
          </cell>
          <cell r="G2440">
            <v>122.48</v>
          </cell>
          <cell r="H2440">
            <v>1.1000000000000001</v>
          </cell>
          <cell r="I2440" t="str">
            <v>From M1A to M2A - 20°</v>
          </cell>
          <cell r="J2440" t="str">
            <v>IE3</v>
          </cell>
          <cell r="K2440" t="str">
            <v>400/690</v>
          </cell>
          <cell r="L2440">
            <v>50</v>
          </cell>
          <cell r="M2440" t="str">
            <v>29/16,7</v>
          </cell>
          <cell r="N2440">
            <v>55</v>
          </cell>
          <cell r="O2440" t="str">
            <v>155(F)</v>
          </cell>
          <cell r="P2440" t="str">
            <v>270°</v>
          </cell>
          <cell r="Q2440" t="str">
            <v>TF</v>
          </cell>
          <cell r="R2440" t="str">
            <v>V(VE)</v>
          </cell>
          <cell r="S2440" t="str">
            <v>-</v>
          </cell>
          <cell r="T2440" t="str">
            <v>-</v>
          </cell>
          <cell r="U2440" t="str">
            <v>-</v>
          </cell>
          <cell r="V2440" t="str">
            <v>FC</v>
          </cell>
          <cell r="W2440" t="str">
            <v>-</v>
          </cell>
          <cell r="X2440" t="str">
            <v>CLP 220 (-15/+40°C)</v>
          </cell>
          <cell r="Y2440" t="str">
            <v>KH127DRN160L4 /TF/V</v>
          </cell>
          <cell r="Z2440" t="str">
            <v>SEW</v>
          </cell>
          <cell r="AB2440" t="str">
            <v>-</v>
          </cell>
          <cell r="AF2440">
            <v>12</v>
          </cell>
          <cell r="AG2440" t="str">
            <v>DRN160L4</v>
          </cell>
          <cell r="AH2440" t="str">
            <v>KH127-DRN160L4A270-X#</v>
          </cell>
        </row>
        <row r="2441">
          <cell r="A2441" t="str">
            <v>MR002429</v>
          </cell>
          <cell r="B2441" t="str">
            <v>MR</v>
          </cell>
          <cell r="C2441">
            <v>15</v>
          </cell>
          <cell r="D2441">
            <v>12</v>
          </cell>
          <cell r="E2441" t="str">
            <v>KH127</v>
          </cell>
          <cell r="F2441">
            <v>11900</v>
          </cell>
          <cell r="G2441">
            <v>122.48</v>
          </cell>
          <cell r="H2441">
            <v>1.1000000000000001</v>
          </cell>
          <cell r="I2441" t="str">
            <v>From M1B to M2B - 20°</v>
          </cell>
          <cell r="J2441" t="str">
            <v>IE3</v>
          </cell>
          <cell r="K2441" t="str">
            <v>400/690</v>
          </cell>
          <cell r="L2441">
            <v>50</v>
          </cell>
          <cell r="M2441" t="str">
            <v>29/16,7</v>
          </cell>
          <cell r="N2441">
            <v>55</v>
          </cell>
          <cell r="O2441" t="str">
            <v>155(F)</v>
          </cell>
          <cell r="P2441" t="str">
            <v>270°</v>
          </cell>
          <cell r="Q2441" t="str">
            <v>TF</v>
          </cell>
          <cell r="R2441" t="str">
            <v>V(VE)</v>
          </cell>
          <cell r="S2441" t="str">
            <v>-</v>
          </cell>
          <cell r="T2441" t="str">
            <v>-</v>
          </cell>
          <cell r="U2441" t="str">
            <v>-</v>
          </cell>
          <cell r="V2441" t="str">
            <v>FC</v>
          </cell>
          <cell r="W2441" t="str">
            <v>-</v>
          </cell>
          <cell r="X2441" t="str">
            <v>CLP 220 (-15/+40°C)</v>
          </cell>
          <cell r="Y2441" t="str">
            <v>KH127DRN160L4 /TF/V</v>
          </cell>
          <cell r="Z2441" t="str">
            <v>SEW</v>
          </cell>
          <cell r="AB2441" t="str">
            <v>-</v>
          </cell>
          <cell r="AF2441">
            <v>12</v>
          </cell>
          <cell r="AG2441" t="str">
            <v>DRN160L4</v>
          </cell>
          <cell r="AH2441" t="str">
            <v>KH127-DRN160L4B270-X#</v>
          </cell>
        </row>
        <row r="2442">
          <cell r="A2442" t="str">
            <v>MR002430</v>
          </cell>
          <cell r="B2442" t="str">
            <v>MR</v>
          </cell>
          <cell r="C2442">
            <v>18.5</v>
          </cell>
          <cell r="D2442">
            <v>12</v>
          </cell>
          <cell r="E2442" t="str">
            <v>KH157</v>
          </cell>
          <cell r="F2442">
            <v>14600</v>
          </cell>
          <cell r="G2442">
            <v>122.4</v>
          </cell>
          <cell r="H2442">
            <v>1.35</v>
          </cell>
          <cell r="I2442" t="str">
            <v>M1A</v>
          </cell>
          <cell r="J2442" t="str">
            <v>IE3</v>
          </cell>
          <cell r="K2442" t="str">
            <v>400/690</v>
          </cell>
          <cell r="L2442">
            <v>50</v>
          </cell>
          <cell r="M2442" t="str">
            <v>33,5/19,3</v>
          </cell>
          <cell r="N2442">
            <v>55</v>
          </cell>
          <cell r="O2442" t="str">
            <v>155(F)</v>
          </cell>
          <cell r="P2442" t="str">
            <v>270°</v>
          </cell>
          <cell r="Q2442" t="str">
            <v>TF</v>
          </cell>
          <cell r="R2442" t="str">
            <v>V(VE)</v>
          </cell>
          <cell r="S2442" t="str">
            <v>-</v>
          </cell>
          <cell r="T2442" t="str">
            <v>-</v>
          </cell>
          <cell r="U2442" t="str">
            <v>-</v>
          </cell>
          <cell r="V2442" t="str">
            <v>FC</v>
          </cell>
          <cell r="W2442" t="str">
            <v>-</v>
          </cell>
          <cell r="X2442" t="str">
            <v>CLP 220 (-15/+40°C)</v>
          </cell>
          <cell r="Y2442" t="str">
            <v>KH157DRN180M4 /TF/V</v>
          </cell>
          <cell r="Z2442" t="str">
            <v>SEW</v>
          </cell>
          <cell r="AB2442" t="str">
            <v>-</v>
          </cell>
          <cell r="AF2442">
            <v>12</v>
          </cell>
          <cell r="AG2442" t="str">
            <v>DRN180M4</v>
          </cell>
          <cell r="AH2442" t="str">
            <v>KH157-DRN180M4A270-X#</v>
          </cell>
        </row>
        <row r="2443">
          <cell r="A2443" t="str">
            <v>MR002431</v>
          </cell>
          <cell r="B2443" t="str">
            <v>MR</v>
          </cell>
          <cell r="C2443">
            <v>5.5</v>
          </cell>
          <cell r="D2443">
            <v>14</v>
          </cell>
          <cell r="E2443" t="str">
            <v>KH97</v>
          </cell>
          <cell r="F2443">
            <v>3770</v>
          </cell>
          <cell r="G2443">
            <v>105.13</v>
          </cell>
          <cell r="H2443">
            <v>1.1499999999999999</v>
          </cell>
          <cell r="I2443" t="str">
            <v>From M1B to M2B - 20°</v>
          </cell>
          <cell r="J2443" t="str">
            <v>IE3</v>
          </cell>
          <cell r="K2443" t="str">
            <v>230/400</v>
          </cell>
          <cell r="L2443">
            <v>50</v>
          </cell>
          <cell r="M2443" t="str">
            <v>18,2/10,5</v>
          </cell>
          <cell r="N2443">
            <v>55</v>
          </cell>
          <cell r="O2443" t="str">
            <v>155(F)</v>
          </cell>
          <cell r="P2443" t="str">
            <v>270°</v>
          </cell>
          <cell r="Q2443" t="str">
            <v>TF</v>
          </cell>
          <cell r="R2443" t="str">
            <v>-</v>
          </cell>
          <cell r="S2443" t="str">
            <v>-</v>
          </cell>
          <cell r="T2443" t="str">
            <v>-</v>
          </cell>
          <cell r="V2443" t="str">
            <v>FC</v>
          </cell>
          <cell r="W2443" t="str">
            <v>-</v>
          </cell>
          <cell r="X2443" t="str">
            <v>CLP 220 (-15/+40°C)</v>
          </cell>
          <cell r="Y2443" t="str">
            <v>KH97/ DRN132S4 /TF</v>
          </cell>
          <cell r="Z2443" t="str">
            <v>SEW</v>
          </cell>
          <cell r="AB2443" t="str">
            <v>-</v>
          </cell>
          <cell r="AF2443">
            <v>14</v>
          </cell>
          <cell r="AG2443" t="str">
            <v>DRN132S4</v>
          </cell>
          <cell r="AH2443" t="str">
            <v>KH97-DRN132S4B270-X</v>
          </cell>
        </row>
        <row r="2444">
          <cell r="A2444" t="str">
            <v>MR002432</v>
          </cell>
          <cell r="B2444" t="str">
            <v>MR</v>
          </cell>
          <cell r="C2444">
            <v>11</v>
          </cell>
          <cell r="D2444">
            <v>15</v>
          </cell>
          <cell r="E2444" t="str">
            <v>KH107</v>
          </cell>
          <cell r="F2444">
            <v>7180</v>
          </cell>
          <cell r="G2444">
            <v>100.75</v>
          </cell>
          <cell r="H2444">
            <v>1.1000000000000001</v>
          </cell>
          <cell r="I2444" t="str">
            <v>From M1B to M2B - 35°</v>
          </cell>
          <cell r="J2444" t="str">
            <v>IE3</v>
          </cell>
          <cell r="K2444" t="str">
            <v>400/690</v>
          </cell>
          <cell r="L2444">
            <v>50</v>
          </cell>
          <cell r="M2444" t="str">
            <v>21/12,2</v>
          </cell>
          <cell r="N2444">
            <v>55</v>
          </cell>
          <cell r="O2444" t="str">
            <v>155(F)</v>
          </cell>
          <cell r="P2444" t="str">
            <v>270°</v>
          </cell>
          <cell r="Q2444" t="str">
            <v>TF</v>
          </cell>
          <cell r="R2444" t="str">
            <v>-</v>
          </cell>
          <cell r="S2444" t="str">
            <v>-</v>
          </cell>
          <cell r="T2444" t="str">
            <v>-</v>
          </cell>
          <cell r="U2444" t="str">
            <v>-</v>
          </cell>
          <cell r="V2444" t="str">
            <v>FC</v>
          </cell>
          <cell r="W2444" t="str">
            <v>-</v>
          </cell>
          <cell r="X2444" t="str">
            <v>CLP 220 (-15/+40°C)</v>
          </cell>
          <cell r="Y2444" t="str">
            <v>KH107DRN160M4 /TF</v>
          </cell>
          <cell r="Z2444" t="str">
            <v>SEW</v>
          </cell>
          <cell r="AB2444" t="str">
            <v>-</v>
          </cell>
          <cell r="AF2444">
            <v>15</v>
          </cell>
          <cell r="AG2444" t="str">
            <v>DRN160M4</v>
          </cell>
          <cell r="AH2444" t="str">
            <v>KH107-DRN160M4B270-X</v>
          </cell>
        </row>
        <row r="2445">
          <cell r="A2445" t="str">
            <v>MR002433</v>
          </cell>
          <cell r="B2445" t="str">
            <v>MR</v>
          </cell>
          <cell r="C2445">
            <v>9.1999999999999993</v>
          </cell>
          <cell r="D2445">
            <v>15</v>
          </cell>
          <cell r="E2445" t="str">
            <v>KH107</v>
          </cell>
          <cell r="F2445">
            <v>6020</v>
          </cell>
          <cell r="G2445">
            <v>100.75</v>
          </cell>
          <cell r="H2445">
            <v>1.35</v>
          </cell>
          <cell r="I2445" t="str">
            <v>From M1A to M2A - 30°</v>
          </cell>
          <cell r="J2445" t="str">
            <v>IE3</v>
          </cell>
          <cell r="K2445" t="str">
            <v>400/690</v>
          </cell>
          <cell r="L2445">
            <v>50</v>
          </cell>
          <cell r="M2445" t="str">
            <v>18,7/10,8</v>
          </cell>
          <cell r="N2445">
            <v>55</v>
          </cell>
          <cell r="O2445" t="str">
            <v>155(F)</v>
          </cell>
          <cell r="P2445" t="str">
            <v>270°</v>
          </cell>
          <cell r="Q2445" t="str">
            <v>TF</v>
          </cell>
          <cell r="R2445" t="str">
            <v>-</v>
          </cell>
          <cell r="S2445" t="str">
            <v>-</v>
          </cell>
          <cell r="T2445" t="str">
            <v>-</v>
          </cell>
          <cell r="U2445" t="str">
            <v>-</v>
          </cell>
          <cell r="V2445" t="str">
            <v>FC</v>
          </cell>
          <cell r="W2445" t="str">
            <v>-</v>
          </cell>
          <cell r="X2445" t="str">
            <v>CLP 220 (-15/+40°C)</v>
          </cell>
          <cell r="Y2445" t="str">
            <v>KH107DRN132L4 /TF</v>
          </cell>
          <cell r="Z2445" t="str">
            <v>SEW</v>
          </cell>
          <cell r="AB2445" t="str">
            <v>-</v>
          </cell>
          <cell r="AF2445">
            <v>15</v>
          </cell>
          <cell r="AG2445" t="str">
            <v>DRN132L4</v>
          </cell>
          <cell r="AH2445" t="str">
            <v>KH107-DRN132L4A270-X</v>
          </cell>
        </row>
        <row r="2446">
          <cell r="A2446" t="str">
            <v>MR002434</v>
          </cell>
          <cell r="B2446" t="str">
            <v>MR</v>
          </cell>
          <cell r="C2446">
            <v>9.1999999999999993</v>
          </cell>
          <cell r="D2446">
            <v>12</v>
          </cell>
          <cell r="E2446" t="str">
            <v>KH127</v>
          </cell>
          <cell r="F2446">
            <v>7320</v>
          </cell>
          <cell r="G2446">
            <v>122.48</v>
          </cell>
          <cell r="H2446">
            <v>1.8</v>
          </cell>
          <cell r="I2446" t="str">
            <v>From M1A to M2A - 30°</v>
          </cell>
          <cell r="J2446" t="str">
            <v>IE3</v>
          </cell>
          <cell r="K2446" t="str">
            <v>400/690</v>
          </cell>
          <cell r="L2446">
            <v>50</v>
          </cell>
          <cell r="M2446" t="str">
            <v>18,7/10,8</v>
          </cell>
          <cell r="N2446">
            <v>55</v>
          </cell>
          <cell r="O2446" t="str">
            <v>155(F)</v>
          </cell>
          <cell r="P2446" t="str">
            <v>270°</v>
          </cell>
          <cell r="Q2446" t="str">
            <v>TF</v>
          </cell>
          <cell r="R2446" t="str">
            <v>-</v>
          </cell>
          <cell r="S2446" t="str">
            <v>-</v>
          </cell>
          <cell r="T2446" t="str">
            <v>-</v>
          </cell>
          <cell r="U2446" t="str">
            <v>-</v>
          </cell>
          <cell r="V2446" t="str">
            <v>FC</v>
          </cell>
          <cell r="W2446" t="str">
            <v>-</v>
          </cell>
          <cell r="X2446" t="str">
            <v>CLP 220 (-15/+40°C)</v>
          </cell>
          <cell r="Y2446" t="str">
            <v>KH127DRN132L4 /TF</v>
          </cell>
          <cell r="Z2446" t="str">
            <v>SEW</v>
          </cell>
          <cell r="AB2446" t="str">
            <v>-</v>
          </cell>
          <cell r="AF2446">
            <v>12</v>
          </cell>
          <cell r="AG2446" t="str">
            <v>DRN132L4</v>
          </cell>
          <cell r="AH2446" t="str">
            <v>KH127-DRN132L4A270-X</v>
          </cell>
        </row>
        <row r="2447">
          <cell r="A2447" t="str">
            <v>MR002435</v>
          </cell>
          <cell r="B2447" t="str">
            <v>MR</v>
          </cell>
          <cell r="C2447">
            <v>18.5</v>
          </cell>
          <cell r="D2447">
            <v>23</v>
          </cell>
          <cell r="E2447" t="str">
            <v>FH127</v>
          </cell>
          <cell r="F2447">
            <v>7790</v>
          </cell>
          <cell r="G2447">
            <v>65.2</v>
          </cell>
          <cell r="H2447">
            <v>1.05</v>
          </cell>
          <cell r="I2447" t="str">
            <v>From M1 to M4 - 20°</v>
          </cell>
          <cell r="J2447" t="str">
            <v>IE3</v>
          </cell>
          <cell r="K2447" t="str">
            <v>400/690</v>
          </cell>
          <cell r="L2447">
            <v>50</v>
          </cell>
          <cell r="M2447" t="str">
            <v>33,5/19,3</v>
          </cell>
          <cell r="N2447">
            <v>55</v>
          </cell>
          <cell r="O2447" t="str">
            <v>155(F)</v>
          </cell>
          <cell r="P2447" t="str">
            <v>270°</v>
          </cell>
          <cell r="Q2447" t="str">
            <v>TF</v>
          </cell>
          <cell r="R2447" t="str">
            <v>V(VE)</v>
          </cell>
          <cell r="S2447" t="str">
            <v>-</v>
          </cell>
          <cell r="T2447" t="str">
            <v>-</v>
          </cell>
          <cell r="U2447" t="str">
            <v>G</v>
          </cell>
          <cell r="V2447" t="str">
            <v>FC</v>
          </cell>
          <cell r="W2447" t="str">
            <v>-</v>
          </cell>
          <cell r="X2447" t="str">
            <v>CLP 220 (-15/+40°C)</v>
          </cell>
          <cell r="Y2447" t="str">
            <v>FH127/G DRN180M4 /TF/V</v>
          </cell>
          <cell r="Z2447" t="str">
            <v>SEW</v>
          </cell>
          <cell r="AB2447" t="str">
            <v>-</v>
          </cell>
          <cell r="AF2447">
            <v>23</v>
          </cell>
          <cell r="AG2447" t="str">
            <v>DRN180M4</v>
          </cell>
          <cell r="AH2447" t="str">
            <v>FH127G-DRN180M4270-X#</v>
          </cell>
        </row>
        <row r="2448">
          <cell r="A2448" t="str">
            <v>MR002436</v>
          </cell>
          <cell r="B2448" t="str">
            <v>MR</v>
          </cell>
          <cell r="C2448">
            <v>22</v>
          </cell>
          <cell r="D2448">
            <v>39</v>
          </cell>
          <cell r="E2448" t="str">
            <v>R137</v>
          </cell>
          <cell r="F2448">
            <v>5350</v>
          </cell>
          <cell r="G2448">
            <v>37.65</v>
          </cell>
          <cell r="H2448">
            <v>1.5</v>
          </cell>
          <cell r="I2448" t="str">
            <v>M1</v>
          </cell>
          <cell r="J2448" t="str">
            <v>IE3</v>
          </cell>
          <cell r="K2448" t="str">
            <v>400/690</v>
          </cell>
          <cell r="L2448">
            <v>50</v>
          </cell>
          <cell r="M2448" t="str">
            <v>38,5/22,5</v>
          </cell>
          <cell r="N2448">
            <v>55</v>
          </cell>
          <cell r="O2448" t="str">
            <v>155(F)</v>
          </cell>
          <cell r="P2448" t="str">
            <v>270°</v>
          </cell>
          <cell r="Q2448" t="str">
            <v>TF</v>
          </cell>
          <cell r="R2448" t="str">
            <v>V(VE)</v>
          </cell>
          <cell r="S2448" t="str">
            <v>-</v>
          </cell>
          <cell r="T2448" t="str">
            <v>-</v>
          </cell>
          <cell r="U2448" t="str">
            <v>-</v>
          </cell>
          <cell r="V2448" t="str">
            <v>FC</v>
          </cell>
          <cell r="W2448" t="str">
            <v>-</v>
          </cell>
          <cell r="X2448" t="str">
            <v>CLP 220 (-15/+40°C)</v>
          </cell>
          <cell r="Y2448" t="str">
            <v>R137DRN180L4 /TF/V</v>
          </cell>
          <cell r="Z2448" t="str">
            <v>SEW</v>
          </cell>
          <cell r="AB2448" t="str">
            <v>-</v>
          </cell>
          <cell r="AF2448">
            <v>39</v>
          </cell>
          <cell r="AG2448" t="str">
            <v>DRN180L4</v>
          </cell>
          <cell r="AH2448" t="str">
            <v>R137-DRN180L4270-X#</v>
          </cell>
        </row>
        <row r="2449">
          <cell r="A2449" t="str">
            <v>MR002437</v>
          </cell>
          <cell r="B2449" t="str">
            <v>MR</v>
          </cell>
          <cell r="C2449">
            <v>11</v>
          </cell>
          <cell r="D2449">
            <v>19</v>
          </cell>
          <cell r="E2449" t="str">
            <v>R127</v>
          </cell>
          <cell r="F2449">
            <v>5430</v>
          </cell>
          <cell r="G2449">
            <v>76.209999999999994</v>
          </cell>
          <cell r="H2449">
            <v>1.1000000000000001</v>
          </cell>
          <cell r="I2449" t="str">
            <v>From M1 to M2 15°</v>
          </cell>
          <cell r="J2449" t="str">
            <v>IE3</v>
          </cell>
          <cell r="K2449">
            <v>380</v>
          </cell>
          <cell r="L2449">
            <v>50</v>
          </cell>
          <cell r="M2449">
            <v>21</v>
          </cell>
          <cell r="N2449">
            <v>55</v>
          </cell>
          <cell r="O2449" t="str">
            <v>155(F)</v>
          </cell>
          <cell r="P2449" t="str">
            <v>270°</v>
          </cell>
          <cell r="Q2449" t="str">
            <v>TF</v>
          </cell>
          <cell r="R2449" t="str">
            <v>V(VE)</v>
          </cell>
          <cell r="S2449" t="str">
            <v>-</v>
          </cell>
          <cell r="T2449" t="str">
            <v>-</v>
          </cell>
          <cell r="U2449" t="str">
            <v>-</v>
          </cell>
          <cell r="V2449" t="str">
            <v>FC</v>
          </cell>
          <cell r="W2449" t="str">
            <v>-</v>
          </cell>
          <cell r="X2449" t="str">
            <v>CLP 220 (-15/+40°C)</v>
          </cell>
          <cell r="Y2449" t="str">
            <v>R127DRN160M4 /TF/V</v>
          </cell>
          <cell r="Z2449" t="str">
            <v>SEW</v>
          </cell>
          <cell r="AB2449" t="str">
            <v>-</v>
          </cell>
          <cell r="AF2449">
            <v>19</v>
          </cell>
          <cell r="AG2449" t="str">
            <v>DRN160M4</v>
          </cell>
          <cell r="AH2449" t="str">
            <v>R127-DRN160M4270-X#</v>
          </cell>
        </row>
        <row r="2450">
          <cell r="A2450" t="str">
            <v>MR002438</v>
          </cell>
          <cell r="B2450" t="str">
            <v>MR</v>
          </cell>
          <cell r="C2450">
            <v>2.2000000000000002</v>
          </cell>
          <cell r="D2450">
            <v>3</v>
          </cell>
          <cell r="E2450" t="str">
            <v>KH127R77</v>
          </cell>
          <cell r="F2450">
            <v>6390</v>
          </cell>
          <cell r="G2450">
            <v>480</v>
          </cell>
          <cell r="H2450">
            <v>0.95</v>
          </cell>
          <cell r="I2450" t="str">
            <v>From M1 to M2 15°</v>
          </cell>
          <cell r="J2450" t="str">
            <v>IE3</v>
          </cell>
          <cell r="K2450">
            <v>380</v>
          </cell>
          <cell r="L2450">
            <v>50</v>
          </cell>
          <cell r="M2450">
            <v>4.75</v>
          </cell>
          <cell r="N2450">
            <v>55</v>
          </cell>
          <cell r="O2450" t="str">
            <v>155(F)</v>
          </cell>
          <cell r="P2450" t="str">
            <v>270°</v>
          </cell>
          <cell r="Q2450" t="str">
            <v>TF</v>
          </cell>
          <cell r="R2450" t="str">
            <v>V(VE)</v>
          </cell>
          <cell r="S2450" t="str">
            <v>-</v>
          </cell>
          <cell r="T2450" t="str">
            <v>-</v>
          </cell>
          <cell r="U2450" t="str">
            <v>-</v>
          </cell>
          <cell r="V2450" t="str">
            <v>FC</v>
          </cell>
          <cell r="W2450" t="str">
            <v>-</v>
          </cell>
          <cell r="X2450" t="str">
            <v>CLP 220 (-15/+40°C)</v>
          </cell>
          <cell r="Y2450" t="str">
            <v>KH127R77DRN100LS4 /TF/V</v>
          </cell>
          <cell r="Z2450" t="str">
            <v>SEW</v>
          </cell>
          <cell r="AB2450" t="str">
            <v>-</v>
          </cell>
          <cell r="AF2450">
            <v>3</v>
          </cell>
          <cell r="AG2450" t="str">
            <v>DRN100LS4</v>
          </cell>
          <cell r="AH2450" t="str">
            <v>KH127R77-DRN100LS4270-X#</v>
          </cell>
        </row>
        <row r="2451">
          <cell r="A2451" t="str">
            <v>MR002439</v>
          </cell>
          <cell r="B2451" t="str">
            <v>MR</v>
          </cell>
          <cell r="C2451">
            <v>11</v>
          </cell>
          <cell r="D2451">
            <v>16</v>
          </cell>
          <cell r="E2451" t="str">
            <v>KH107</v>
          </cell>
          <cell r="F2451">
            <v>6480</v>
          </cell>
          <cell r="G2451">
            <v>90.96</v>
          </cell>
          <cell r="H2451">
            <v>1.25</v>
          </cell>
          <cell r="I2451" t="str">
            <v>From M1 to M4A 60°</v>
          </cell>
          <cell r="J2451" t="str">
            <v>IE3</v>
          </cell>
          <cell r="K2451">
            <v>380</v>
          </cell>
          <cell r="L2451">
            <v>50</v>
          </cell>
          <cell r="M2451">
            <v>21</v>
          </cell>
          <cell r="N2451">
            <v>55</v>
          </cell>
          <cell r="O2451" t="str">
            <v>155(F)</v>
          </cell>
          <cell r="P2451" t="str">
            <v>180°</v>
          </cell>
          <cell r="Q2451" t="str">
            <v>TF</v>
          </cell>
          <cell r="R2451" t="str">
            <v>-</v>
          </cell>
          <cell r="S2451" t="str">
            <v>-</v>
          </cell>
          <cell r="T2451" t="str">
            <v>-</v>
          </cell>
          <cell r="U2451" t="str">
            <v>T</v>
          </cell>
          <cell r="V2451" t="str">
            <v>FC</v>
          </cell>
          <cell r="W2451" t="str">
            <v>-</v>
          </cell>
          <cell r="X2451" t="str">
            <v>CLP 220 (-15/+40°C)</v>
          </cell>
          <cell r="Y2451" t="str">
            <v>KH107/T DRN160M4 /TF</v>
          </cell>
          <cell r="Z2451" t="str">
            <v>SEW</v>
          </cell>
          <cell r="AB2451" t="str">
            <v>-</v>
          </cell>
          <cell r="AF2451">
            <v>16</v>
          </cell>
          <cell r="AG2451" t="str">
            <v>DRN160M4</v>
          </cell>
          <cell r="AH2451" t="str">
            <v>KH107T-DRN160M4A180-X</v>
          </cell>
        </row>
        <row r="2452">
          <cell r="A2452" t="str">
            <v>MR002440</v>
          </cell>
          <cell r="B2452" t="str">
            <v>MR</v>
          </cell>
          <cell r="C2452">
            <v>18.5</v>
          </cell>
          <cell r="D2452">
            <v>20</v>
          </cell>
          <cell r="E2452" t="str">
            <v>FH127</v>
          </cell>
          <cell r="F2452">
            <v>9010</v>
          </cell>
          <cell r="G2452">
            <v>75.41</v>
          </cell>
          <cell r="H2452">
            <v>1.35</v>
          </cell>
          <cell r="I2452" t="str">
            <v>From M1 to M4 - 20°</v>
          </cell>
          <cell r="J2452" t="str">
            <v>IE3</v>
          </cell>
          <cell r="K2452" t="str">
            <v>400/690</v>
          </cell>
          <cell r="L2452">
            <v>50</v>
          </cell>
          <cell r="M2452" t="str">
            <v>33,5/19,3</v>
          </cell>
          <cell r="N2452">
            <v>55</v>
          </cell>
          <cell r="O2452" t="str">
            <v>155(F)</v>
          </cell>
          <cell r="P2452" t="str">
            <v>270°</v>
          </cell>
          <cell r="Q2452" t="str">
            <v>TF</v>
          </cell>
          <cell r="R2452" t="str">
            <v>V(VE)</v>
          </cell>
          <cell r="S2452" t="str">
            <v>-</v>
          </cell>
          <cell r="T2452" t="str">
            <v>-</v>
          </cell>
          <cell r="U2452" t="str">
            <v>G</v>
          </cell>
          <cell r="V2452" t="str">
            <v>FC</v>
          </cell>
          <cell r="W2452" t="str">
            <v>-</v>
          </cell>
          <cell r="X2452" t="str">
            <v>CLP 220 (-15/+40°C)</v>
          </cell>
          <cell r="Y2452" t="str">
            <v>FH127/G DRN180M4 /TF/V</v>
          </cell>
          <cell r="Z2452" t="str">
            <v>SEW</v>
          </cell>
          <cell r="AB2452" t="str">
            <v>-</v>
          </cell>
          <cell r="AF2452">
            <v>20</v>
          </cell>
          <cell r="AG2452" t="str">
            <v>DRN180M4</v>
          </cell>
          <cell r="AH2452" t="str">
            <v>FH127G-DRN180M4270-X#</v>
          </cell>
        </row>
        <row r="2453">
          <cell r="A2453" t="str">
            <v>MR002441</v>
          </cell>
          <cell r="B2453" t="str">
            <v>MR</v>
          </cell>
          <cell r="C2453">
            <v>15</v>
          </cell>
          <cell r="D2453">
            <v>50</v>
          </cell>
          <cell r="E2453" t="str">
            <v>R107</v>
          </cell>
          <cell r="F2453">
            <v>2860</v>
          </cell>
          <cell r="G2453">
            <v>29.49</v>
          </cell>
          <cell r="H2453">
            <v>1.5</v>
          </cell>
          <cell r="I2453" t="str">
            <v>M1</v>
          </cell>
          <cell r="J2453" t="str">
            <v>IE3</v>
          </cell>
          <cell r="K2453" t="str">
            <v>400/690</v>
          </cell>
          <cell r="L2453">
            <v>50</v>
          </cell>
          <cell r="M2453" t="str">
            <v>29/16,7</v>
          </cell>
          <cell r="N2453">
            <v>55</v>
          </cell>
          <cell r="O2453" t="str">
            <v>155(F)</v>
          </cell>
          <cell r="P2453" t="str">
            <v>270°</v>
          </cell>
          <cell r="Q2453" t="str">
            <v>TF</v>
          </cell>
          <cell r="R2453" t="str">
            <v>V(VE)</v>
          </cell>
          <cell r="S2453" t="str">
            <v>-</v>
          </cell>
          <cell r="T2453" t="str">
            <v>-</v>
          </cell>
          <cell r="U2453" t="str">
            <v>-</v>
          </cell>
          <cell r="V2453" t="str">
            <v>FC</v>
          </cell>
          <cell r="W2453" t="str">
            <v>-</v>
          </cell>
          <cell r="X2453" t="str">
            <v>CLP 220 (-15/+40°C)</v>
          </cell>
          <cell r="Y2453" t="str">
            <v>R107DRN160L4 /TF/V</v>
          </cell>
          <cell r="Z2453" t="str">
            <v>SEW</v>
          </cell>
          <cell r="AB2453" t="str">
            <v>-</v>
          </cell>
          <cell r="AF2453">
            <v>50</v>
          </cell>
          <cell r="AG2453" t="str">
            <v>DRN160L4</v>
          </cell>
          <cell r="AH2453" t="str">
            <v>R107-DRN160L4270-X#</v>
          </cell>
        </row>
        <row r="2454">
          <cell r="A2454" t="str">
            <v>MR002442</v>
          </cell>
          <cell r="B2454" t="str">
            <v>MR</v>
          </cell>
          <cell r="C2454">
            <v>18.5</v>
          </cell>
          <cell r="D2454">
            <v>29</v>
          </cell>
          <cell r="E2454" t="str">
            <v>FH107</v>
          </cell>
          <cell r="F2454">
            <v>6060</v>
          </cell>
          <cell r="G2454">
            <v>50.73</v>
          </cell>
          <cell r="H2454">
            <v>1.25</v>
          </cell>
          <cell r="I2454" t="str">
            <v>M1</v>
          </cell>
          <cell r="J2454" t="str">
            <v>IE3</v>
          </cell>
          <cell r="K2454" t="str">
            <v>400/690</v>
          </cell>
          <cell r="L2454">
            <v>50</v>
          </cell>
          <cell r="M2454" t="str">
            <v>33,5/19,3</v>
          </cell>
          <cell r="N2454">
            <v>55</v>
          </cell>
          <cell r="O2454" t="str">
            <v>155(F)</v>
          </cell>
          <cell r="P2454" t="str">
            <v>270°</v>
          </cell>
          <cell r="Q2454" t="str">
            <v>TF</v>
          </cell>
          <cell r="R2454" t="str">
            <v>-</v>
          </cell>
          <cell r="S2454" t="str">
            <v>-</v>
          </cell>
          <cell r="T2454" t="str">
            <v>-</v>
          </cell>
          <cell r="U2454" t="str">
            <v>G</v>
          </cell>
          <cell r="V2454" t="str">
            <v>FC</v>
          </cell>
          <cell r="W2454" t="str">
            <v>-</v>
          </cell>
          <cell r="X2454" t="str">
            <v>CLP 220 (-15/+40°C)</v>
          </cell>
          <cell r="Y2454" t="str">
            <v>FH107/G DRN180M4 /TF</v>
          </cell>
          <cell r="Z2454" t="str">
            <v>SEW</v>
          </cell>
          <cell r="AB2454" t="str">
            <v>-</v>
          </cell>
          <cell r="AF2454">
            <v>29</v>
          </cell>
          <cell r="AG2454" t="str">
            <v>DRN180M4</v>
          </cell>
          <cell r="AH2454" t="str">
            <v>FH107G-DRN180M4270-X</v>
          </cell>
        </row>
        <row r="2455">
          <cell r="A2455" t="str">
            <v>MR002443</v>
          </cell>
          <cell r="B2455" t="str">
            <v>MR</v>
          </cell>
          <cell r="C2455">
            <v>7.5</v>
          </cell>
          <cell r="D2455">
            <v>34</v>
          </cell>
          <cell r="E2455" t="str">
            <v>FH97</v>
          </cell>
          <cell r="F2455">
            <v>2110</v>
          </cell>
          <cell r="G2455">
            <v>43.28</v>
          </cell>
          <cell r="H2455">
            <v>1.45</v>
          </cell>
          <cell r="I2455" t="str">
            <v>M1</v>
          </cell>
          <cell r="J2455" t="str">
            <v>IE3</v>
          </cell>
          <cell r="K2455" t="str">
            <v>400/690</v>
          </cell>
          <cell r="L2455">
            <v>50</v>
          </cell>
          <cell r="M2455" t="str">
            <v>15,2/8,8</v>
          </cell>
          <cell r="N2455">
            <v>55</v>
          </cell>
          <cell r="O2455" t="str">
            <v>155(F)</v>
          </cell>
          <cell r="P2455" t="str">
            <v>270°</v>
          </cell>
          <cell r="Q2455" t="str">
            <v>TF</v>
          </cell>
          <cell r="R2455" t="str">
            <v>-</v>
          </cell>
          <cell r="S2455" t="str">
            <v>-</v>
          </cell>
          <cell r="T2455" t="str">
            <v>-</v>
          </cell>
          <cell r="U2455" t="str">
            <v>G</v>
          </cell>
          <cell r="V2455" t="str">
            <v>FC</v>
          </cell>
          <cell r="W2455" t="str">
            <v>-</v>
          </cell>
          <cell r="X2455" t="str">
            <v>CLP 220 (-15/+40°C)</v>
          </cell>
          <cell r="Y2455" t="str">
            <v>FH97/G DRN132M4 /TF</v>
          </cell>
          <cell r="Z2455" t="str">
            <v>SEW</v>
          </cell>
          <cell r="AB2455" t="str">
            <v>-</v>
          </cell>
          <cell r="AF2455">
            <v>34</v>
          </cell>
          <cell r="AG2455" t="str">
            <v>DRN132M4</v>
          </cell>
          <cell r="AH2455" t="str">
            <v>FH97G-DRN132M4270-X</v>
          </cell>
        </row>
        <row r="2456">
          <cell r="A2456" t="str">
            <v>MR002444</v>
          </cell>
          <cell r="B2456" t="str">
            <v>MR</v>
          </cell>
          <cell r="C2456">
            <v>9.1999999999999993</v>
          </cell>
          <cell r="D2456">
            <v>28</v>
          </cell>
          <cell r="E2456" t="str">
            <v>FH97</v>
          </cell>
          <cell r="F2456">
            <v>3130</v>
          </cell>
          <cell r="G2456">
            <v>52.49</v>
          </cell>
          <cell r="H2456">
            <v>1.35</v>
          </cell>
          <cell r="I2456" t="str">
            <v>M1</v>
          </cell>
          <cell r="J2456" t="str">
            <v>IE3</v>
          </cell>
          <cell r="K2456" t="str">
            <v>400/690</v>
          </cell>
          <cell r="L2456">
            <v>50</v>
          </cell>
          <cell r="M2456" t="str">
            <v>18,7/10,8</v>
          </cell>
          <cell r="N2456">
            <v>55</v>
          </cell>
          <cell r="O2456" t="str">
            <v>155(F)</v>
          </cell>
          <cell r="P2456" t="str">
            <v>270°</v>
          </cell>
          <cell r="Q2456" t="str">
            <v>TF</v>
          </cell>
          <cell r="R2456" t="str">
            <v>V(VE)</v>
          </cell>
          <cell r="S2456" t="str">
            <v>-</v>
          </cell>
          <cell r="T2456" t="str">
            <v>-</v>
          </cell>
          <cell r="U2456" t="str">
            <v>G</v>
          </cell>
          <cell r="V2456" t="str">
            <v>FC+R</v>
          </cell>
          <cell r="W2456" t="str">
            <v>-</v>
          </cell>
          <cell r="X2456" t="str">
            <v>CLP 220 (-15/+40°C)</v>
          </cell>
          <cell r="Y2456" t="str">
            <v>FH97/G DRN132L4 /TF/V</v>
          </cell>
          <cell r="Z2456" t="str">
            <v>SEW</v>
          </cell>
          <cell r="AB2456" t="str">
            <v>-</v>
          </cell>
          <cell r="AF2456">
            <v>28</v>
          </cell>
          <cell r="AG2456" t="str">
            <v>DRN132L4</v>
          </cell>
          <cell r="AH2456" t="str">
            <v>FH97G-DRN132L4270-X#</v>
          </cell>
        </row>
        <row r="2457">
          <cell r="A2457" t="str">
            <v>MR002445</v>
          </cell>
          <cell r="B2457" t="str">
            <v>MR</v>
          </cell>
          <cell r="C2457">
            <v>11</v>
          </cell>
          <cell r="D2457">
            <v>86</v>
          </cell>
          <cell r="E2457" t="str">
            <v>R87</v>
          </cell>
          <cell r="F2457">
            <v>1210</v>
          </cell>
          <cell r="G2457">
            <v>17.079999999999998</v>
          </cell>
          <cell r="H2457">
            <v>1.1499999999999999</v>
          </cell>
          <cell r="I2457" t="str">
            <v>M1</v>
          </cell>
          <cell r="J2457" t="str">
            <v>IE3</v>
          </cell>
          <cell r="K2457" t="str">
            <v>400/690</v>
          </cell>
          <cell r="L2457">
            <v>50</v>
          </cell>
          <cell r="M2457" t="str">
            <v>21/12,2</v>
          </cell>
          <cell r="N2457">
            <v>55</v>
          </cell>
          <cell r="O2457" t="str">
            <v>155(F)</v>
          </cell>
          <cell r="P2457" t="str">
            <v>270°</v>
          </cell>
          <cell r="Q2457" t="str">
            <v>TF</v>
          </cell>
          <cell r="R2457" t="str">
            <v>-</v>
          </cell>
          <cell r="S2457" t="str">
            <v>-</v>
          </cell>
          <cell r="T2457" t="str">
            <v>-</v>
          </cell>
          <cell r="U2457" t="str">
            <v>-</v>
          </cell>
          <cell r="V2457" t="str">
            <v>FC</v>
          </cell>
          <cell r="W2457" t="str">
            <v>-</v>
          </cell>
          <cell r="X2457" t="str">
            <v>CLP 220 (-15/+40°C)</v>
          </cell>
          <cell r="Y2457" t="str">
            <v>R87DRN160M4 /TF</v>
          </cell>
          <cell r="Z2457" t="str">
            <v>SEW</v>
          </cell>
          <cell r="AB2457" t="str">
            <v>-</v>
          </cell>
          <cell r="AF2457">
            <v>86</v>
          </cell>
          <cell r="AG2457" t="str">
            <v>DRN160M4</v>
          </cell>
          <cell r="AH2457" t="str">
            <v>R87-DRN160M4270-X</v>
          </cell>
        </row>
        <row r="2458">
          <cell r="A2458" t="str">
            <v>MR002446</v>
          </cell>
          <cell r="B2458" t="str">
            <v>MR</v>
          </cell>
          <cell r="C2458">
            <v>30</v>
          </cell>
          <cell r="D2458">
            <v>72</v>
          </cell>
          <cell r="E2458" t="str">
            <v>R147</v>
          </cell>
          <cell r="F2458">
            <v>3950</v>
          </cell>
          <cell r="G2458">
            <v>20.440000000000001</v>
          </cell>
          <cell r="H2458">
            <v>3</v>
          </cell>
          <cell r="I2458" t="str">
            <v>M4</v>
          </cell>
          <cell r="J2458" t="str">
            <v>IE3</v>
          </cell>
          <cell r="K2458" t="str">
            <v>400/690</v>
          </cell>
          <cell r="L2458">
            <v>50</v>
          </cell>
          <cell r="M2458" t="str">
            <v>56/32,5</v>
          </cell>
          <cell r="N2458">
            <v>55</v>
          </cell>
          <cell r="O2458" t="str">
            <v>155(F)</v>
          </cell>
          <cell r="P2458" t="str">
            <v>270°</v>
          </cell>
          <cell r="Q2458" t="str">
            <v>TF</v>
          </cell>
          <cell r="R2458" t="str">
            <v>-</v>
          </cell>
          <cell r="S2458" t="str">
            <v>-</v>
          </cell>
          <cell r="T2458" t="str">
            <v>-</v>
          </cell>
          <cell r="U2458" t="str">
            <v>-</v>
          </cell>
          <cell r="V2458" t="str">
            <v>FC</v>
          </cell>
          <cell r="W2458" t="str">
            <v>-</v>
          </cell>
          <cell r="X2458" t="str">
            <v>CLP 220 (-15/+40°C)</v>
          </cell>
          <cell r="Y2458" t="str">
            <v>R147DRN200L4 /TF</v>
          </cell>
          <cell r="Z2458" t="str">
            <v>SEW</v>
          </cell>
          <cell r="AB2458" t="str">
            <v>-</v>
          </cell>
          <cell r="AF2458">
            <v>72</v>
          </cell>
          <cell r="AG2458" t="str">
            <v>DRN200L4</v>
          </cell>
          <cell r="AH2458" t="str">
            <v>R147-DRN200L4270-X</v>
          </cell>
        </row>
        <row r="2459">
          <cell r="A2459" t="str">
            <v>MR002447</v>
          </cell>
          <cell r="B2459" t="str">
            <v>MR</v>
          </cell>
          <cell r="C2459">
            <v>5.5</v>
          </cell>
          <cell r="D2459">
            <v>47</v>
          </cell>
          <cell r="E2459" t="str">
            <v>K77</v>
          </cell>
          <cell r="F2459">
            <v>1110</v>
          </cell>
          <cell r="G2459">
            <v>30.89</v>
          </cell>
          <cell r="H2459">
            <v>1.25</v>
          </cell>
          <cell r="I2459" t="str">
            <v>M4A</v>
          </cell>
          <cell r="J2459" t="str">
            <v>IE3</v>
          </cell>
          <cell r="K2459" t="str">
            <v>230/400</v>
          </cell>
          <cell r="L2459">
            <v>50</v>
          </cell>
          <cell r="M2459" t="str">
            <v>18,2/10,5</v>
          </cell>
          <cell r="N2459">
            <v>65</v>
          </cell>
          <cell r="O2459" t="str">
            <v>155(F)</v>
          </cell>
          <cell r="P2459" t="str">
            <v>180°</v>
          </cell>
          <cell r="Q2459" t="str">
            <v>TF</v>
          </cell>
          <cell r="R2459" t="str">
            <v>V(VE)</v>
          </cell>
          <cell r="V2459" t="str">
            <v>FC+R</v>
          </cell>
          <cell r="W2459" t="str">
            <v>YES</v>
          </cell>
          <cell r="X2459" t="str">
            <v>CLP HC VG 150 = -40° + 40°</v>
          </cell>
          <cell r="Y2459" t="str">
            <v>K77/II2GDEDRN132S4/3D/KCC/TF/VE/C</v>
          </cell>
          <cell r="Z2459" t="str">
            <v>SEW</v>
          </cell>
          <cell r="AB2459" t="str">
            <v>ATEX22</v>
          </cell>
          <cell r="AF2459">
            <v>47</v>
          </cell>
          <cell r="AH2459" t="str">
            <v>K77-A180-X#</v>
          </cell>
        </row>
        <row r="2460">
          <cell r="A2460" t="str">
            <v>MR002448</v>
          </cell>
          <cell r="B2460" t="str">
            <v>MR</v>
          </cell>
          <cell r="C2460">
            <v>5.5</v>
          </cell>
          <cell r="D2460">
            <v>57</v>
          </cell>
          <cell r="E2460" t="str">
            <v>KH77</v>
          </cell>
          <cell r="F2460">
            <v>920</v>
          </cell>
          <cell r="G2460">
            <v>25.62</v>
          </cell>
          <cell r="H2460">
            <v>1.35</v>
          </cell>
          <cell r="I2460" t="str">
            <v>M4B</v>
          </cell>
          <cell r="J2460" t="str">
            <v>IE3</v>
          </cell>
          <cell r="K2460" t="str">
            <v>230/400</v>
          </cell>
          <cell r="L2460">
            <v>50</v>
          </cell>
          <cell r="M2460" t="str">
            <v>18,2/10,5</v>
          </cell>
          <cell r="N2460">
            <v>65</v>
          </cell>
          <cell r="O2460" t="str">
            <v>155(F)</v>
          </cell>
          <cell r="P2460" t="str">
            <v>270°</v>
          </cell>
          <cell r="Q2460" t="str">
            <v>TF</v>
          </cell>
          <cell r="R2460" t="str">
            <v>-</v>
          </cell>
          <cell r="S2460" t="str">
            <v>Free rotation CW</v>
          </cell>
          <cell r="T2460" t="str">
            <v>-</v>
          </cell>
          <cell r="U2460" t="str">
            <v>T</v>
          </cell>
          <cell r="V2460" t="str">
            <v>SS</v>
          </cell>
          <cell r="W2460" t="str">
            <v>YES</v>
          </cell>
          <cell r="X2460" t="str">
            <v>CLP HC VG 150 = -40° + 40°</v>
          </cell>
          <cell r="Y2460" t="str">
            <v>KH77/T EDRN132S4 /RS /TF</v>
          </cell>
          <cell r="Z2460" t="str">
            <v>SEW</v>
          </cell>
          <cell r="AB2460" t="str">
            <v>ATEX22</v>
          </cell>
          <cell r="AF2460">
            <v>57</v>
          </cell>
          <cell r="AG2460" t="str">
            <v>EDRN132S4</v>
          </cell>
          <cell r="AH2460" t="str">
            <v>KH77T-EDRN132S4B270-X</v>
          </cell>
        </row>
        <row r="2461">
          <cell r="A2461" t="str">
            <v>MR002449</v>
          </cell>
          <cell r="B2461" t="str">
            <v>MR</v>
          </cell>
          <cell r="C2461">
            <v>5.5</v>
          </cell>
          <cell r="D2461">
            <v>57</v>
          </cell>
          <cell r="E2461" t="str">
            <v>KH77</v>
          </cell>
          <cell r="F2461">
            <v>920</v>
          </cell>
          <cell r="G2461">
            <v>25.62</v>
          </cell>
          <cell r="H2461">
            <v>1.35</v>
          </cell>
          <cell r="I2461" t="str">
            <v>M4A</v>
          </cell>
          <cell r="J2461" t="str">
            <v>IE3</v>
          </cell>
          <cell r="K2461" t="str">
            <v>230/400</v>
          </cell>
          <cell r="L2461">
            <v>50</v>
          </cell>
          <cell r="M2461" t="str">
            <v>18,2/10,5</v>
          </cell>
          <cell r="N2461">
            <v>65</v>
          </cell>
          <cell r="O2461" t="str">
            <v>155(F)</v>
          </cell>
          <cell r="P2461" t="str">
            <v>270°</v>
          </cell>
          <cell r="Q2461" t="str">
            <v>TF</v>
          </cell>
          <cell r="R2461" t="str">
            <v>-</v>
          </cell>
          <cell r="S2461" t="str">
            <v>-</v>
          </cell>
          <cell r="T2461" t="str">
            <v>-</v>
          </cell>
          <cell r="U2461" t="str">
            <v>T</v>
          </cell>
          <cell r="V2461" t="str">
            <v>SS</v>
          </cell>
          <cell r="W2461" t="str">
            <v>YES</v>
          </cell>
          <cell r="X2461" t="str">
            <v>CLP HC VG 150 = -40° + 40°</v>
          </cell>
          <cell r="Y2461" t="str">
            <v>KH77/T EDRN132S4 /TF</v>
          </cell>
          <cell r="Z2461" t="str">
            <v>SEW</v>
          </cell>
          <cell r="AB2461" t="str">
            <v>ATEX22</v>
          </cell>
          <cell r="AF2461">
            <v>57</v>
          </cell>
          <cell r="AG2461" t="str">
            <v>EDRN132S4</v>
          </cell>
          <cell r="AH2461" t="str">
            <v>KH77T-EDRN132S4A270-X</v>
          </cell>
        </row>
        <row r="2462">
          <cell r="A2462" t="str">
            <v>MR002450</v>
          </cell>
          <cell r="B2462" t="str">
            <v>MR</v>
          </cell>
          <cell r="C2462">
            <v>0.75</v>
          </cell>
          <cell r="D2462">
            <v>162</v>
          </cell>
          <cell r="E2462" t="str">
            <v>KA37</v>
          </cell>
          <cell r="F2462">
            <v>44</v>
          </cell>
          <cell r="G2462">
            <v>8.91</v>
          </cell>
          <cell r="H2462">
            <v>3.1</v>
          </cell>
          <cell r="I2462" t="str">
            <v>From M3A to M2A - 30°</v>
          </cell>
          <cell r="J2462" t="str">
            <v>IE3</v>
          </cell>
          <cell r="K2462" t="str">
            <v>230/400</v>
          </cell>
          <cell r="L2462">
            <v>50</v>
          </cell>
          <cell r="M2462" t="str">
            <v>3,05/1,75</v>
          </cell>
          <cell r="N2462">
            <v>65</v>
          </cell>
          <cell r="O2462" t="str">
            <v>155(F)</v>
          </cell>
          <cell r="P2462" t="str">
            <v>180°</v>
          </cell>
          <cell r="Q2462" t="str">
            <v>TF</v>
          </cell>
          <cell r="R2462" t="str">
            <v>-</v>
          </cell>
          <cell r="S2462" t="str">
            <v>-</v>
          </cell>
          <cell r="T2462" t="str">
            <v>-</v>
          </cell>
          <cell r="U2462" t="str">
            <v>T</v>
          </cell>
          <cell r="V2462" t="str">
            <v>D</v>
          </cell>
          <cell r="W2462" t="str">
            <v>YES</v>
          </cell>
          <cell r="X2462" t="str">
            <v>CLP HC VG 150 = -40° + 40°</v>
          </cell>
          <cell r="Y2462" t="str">
            <v>KA37/T EDRN80M4 /TF</v>
          </cell>
          <cell r="Z2462" t="str">
            <v>SEW</v>
          </cell>
          <cell r="AB2462" t="str">
            <v>ATEX22</v>
          </cell>
          <cell r="AF2462">
            <v>162</v>
          </cell>
          <cell r="AG2462" t="str">
            <v>EDRN80M4</v>
          </cell>
          <cell r="AH2462" t="str">
            <v>KA37T-EDRN80M4A180-X</v>
          </cell>
        </row>
        <row r="2463">
          <cell r="A2463" t="str">
            <v>MR002451</v>
          </cell>
          <cell r="B2463" t="str">
            <v>MR</v>
          </cell>
          <cell r="C2463">
            <v>22</v>
          </cell>
          <cell r="D2463">
            <v>12</v>
          </cell>
          <cell r="E2463" t="str">
            <v>KH157</v>
          </cell>
          <cell r="F2463">
            <v>17400</v>
          </cell>
          <cell r="G2463">
            <v>122.39</v>
          </cell>
          <cell r="H2463">
            <v>1.25</v>
          </cell>
          <cell r="I2463" t="str">
            <v>From M4A to M1A - 40°</v>
          </cell>
          <cell r="J2463" t="str">
            <v>IE3</v>
          </cell>
          <cell r="K2463" t="str">
            <v>400/690</v>
          </cell>
          <cell r="L2463">
            <v>50</v>
          </cell>
          <cell r="M2463" t="str">
            <v>38,5/22,5</v>
          </cell>
          <cell r="N2463">
            <v>65</v>
          </cell>
          <cell r="O2463" t="str">
            <v>155(F)</v>
          </cell>
          <cell r="P2463" t="str">
            <v>270°</v>
          </cell>
          <cell r="Q2463" t="str">
            <v>TF</v>
          </cell>
          <cell r="R2463" t="str">
            <v>-</v>
          </cell>
          <cell r="S2463" t="str">
            <v>-</v>
          </cell>
          <cell r="T2463" t="str">
            <v>-</v>
          </cell>
          <cell r="U2463" t="str">
            <v>-</v>
          </cell>
          <cell r="V2463" t="str">
            <v>SS</v>
          </cell>
          <cell r="W2463" t="str">
            <v>YES</v>
          </cell>
          <cell r="X2463" t="str">
            <v>CLP HC VG 150 = -40° + 40°</v>
          </cell>
          <cell r="Y2463" t="str">
            <v>KH157EDRN180L4 /TF</v>
          </cell>
          <cell r="Z2463" t="str">
            <v>SEW</v>
          </cell>
          <cell r="AB2463" t="str">
            <v>ATEX22</v>
          </cell>
          <cell r="AF2463">
            <v>12</v>
          </cell>
          <cell r="AG2463" t="str">
            <v>EDRN180L4</v>
          </cell>
          <cell r="AH2463" t="str">
            <v>KH157-EDRN180L4A270-X</v>
          </cell>
        </row>
        <row r="2464">
          <cell r="A2464" t="str">
            <v>MR002452</v>
          </cell>
          <cell r="B2464" t="str">
            <v>MR</v>
          </cell>
          <cell r="C2464">
            <v>22</v>
          </cell>
          <cell r="D2464">
            <v>12</v>
          </cell>
          <cell r="E2464" t="str">
            <v>KH157</v>
          </cell>
          <cell r="F2464">
            <v>17400</v>
          </cell>
          <cell r="G2464">
            <v>122.39</v>
          </cell>
          <cell r="H2464">
            <v>1.25</v>
          </cell>
          <cell r="I2464" t="str">
            <v>From M4B to M1B - 40°</v>
          </cell>
          <cell r="J2464" t="str">
            <v>IE3</v>
          </cell>
          <cell r="K2464" t="str">
            <v>400/690</v>
          </cell>
          <cell r="L2464">
            <v>50</v>
          </cell>
          <cell r="M2464" t="str">
            <v>38,5/22,5</v>
          </cell>
          <cell r="N2464">
            <v>65</v>
          </cell>
          <cell r="O2464" t="str">
            <v>155(F)</v>
          </cell>
          <cell r="P2464" t="str">
            <v>270°</v>
          </cell>
          <cell r="Q2464" t="str">
            <v>TF</v>
          </cell>
          <cell r="R2464" t="str">
            <v>-</v>
          </cell>
          <cell r="S2464" t="str">
            <v>-</v>
          </cell>
          <cell r="T2464" t="str">
            <v>-</v>
          </cell>
          <cell r="U2464" t="str">
            <v>-</v>
          </cell>
          <cell r="V2464" t="str">
            <v>SS</v>
          </cell>
          <cell r="W2464" t="str">
            <v>YES</v>
          </cell>
          <cell r="X2464" t="str">
            <v>CLP HC VG 150 = -40° + 40°</v>
          </cell>
          <cell r="Y2464" t="str">
            <v>KH157EDRN180L4 /TF</v>
          </cell>
          <cell r="Z2464" t="str">
            <v>SEW</v>
          </cell>
          <cell r="AB2464" t="str">
            <v>ATEX22</v>
          </cell>
          <cell r="AF2464">
            <v>12</v>
          </cell>
          <cell r="AG2464" t="str">
            <v>EDRN180L4</v>
          </cell>
          <cell r="AH2464" t="str">
            <v>KH157-EDRN180L4B270-X</v>
          </cell>
        </row>
        <row r="2465">
          <cell r="A2465" t="str">
            <v>MR002453</v>
          </cell>
          <cell r="B2465" t="str">
            <v>MR</v>
          </cell>
          <cell r="C2465">
            <v>15</v>
          </cell>
          <cell r="D2465">
            <v>59</v>
          </cell>
          <cell r="E2465" t="str">
            <v>KH87</v>
          </cell>
          <cell r="F2465">
            <v>2420</v>
          </cell>
          <cell r="G2465">
            <v>24.92</v>
          </cell>
          <cell r="H2465">
            <v>1.05</v>
          </cell>
          <cell r="I2465" t="str">
            <v>M4A</v>
          </cell>
          <cell r="J2465" t="str">
            <v>IE3</v>
          </cell>
          <cell r="K2465" t="str">
            <v>400/690</v>
          </cell>
          <cell r="L2465">
            <v>50</v>
          </cell>
          <cell r="M2465" t="str">
            <v>29/16,7</v>
          </cell>
          <cell r="N2465">
            <v>55</v>
          </cell>
          <cell r="O2465" t="str">
            <v>155(F)</v>
          </cell>
          <cell r="P2465" t="str">
            <v>270°</v>
          </cell>
          <cell r="Q2465" t="str">
            <v>TF</v>
          </cell>
          <cell r="R2465" t="str">
            <v>V(VE)</v>
          </cell>
          <cell r="S2465" t="str">
            <v>Free rotation CCW</v>
          </cell>
          <cell r="T2465" t="str">
            <v>-</v>
          </cell>
          <cell r="U2465" t="str">
            <v>T</v>
          </cell>
          <cell r="V2465" t="str">
            <v>FC</v>
          </cell>
          <cell r="W2465" t="str">
            <v>-</v>
          </cell>
          <cell r="X2465" t="str">
            <v>CLP 220 (-15/+40°C)</v>
          </cell>
          <cell r="Y2465" t="str">
            <v>KH87/T DRN160L4 /RS /TF/V</v>
          </cell>
          <cell r="Z2465" t="str">
            <v>SEW</v>
          </cell>
          <cell r="AB2465" t="str">
            <v>-</v>
          </cell>
          <cell r="AF2465">
            <v>59</v>
          </cell>
          <cell r="AG2465" t="str">
            <v>DRN160L4</v>
          </cell>
          <cell r="AH2465" t="str">
            <v>KH87T-DRN160L4A270-X#</v>
          </cell>
        </row>
        <row r="2466">
          <cell r="A2466" t="str">
            <v>MR002454</v>
          </cell>
          <cell r="B2466" t="str">
            <v>MR</v>
          </cell>
          <cell r="C2466">
            <v>0.75</v>
          </cell>
          <cell r="D2466">
            <v>162</v>
          </cell>
          <cell r="E2466" t="str">
            <v>KA37</v>
          </cell>
          <cell r="F2466">
            <v>44</v>
          </cell>
          <cell r="G2466">
            <v>8.91</v>
          </cell>
          <cell r="H2466">
            <v>3.6</v>
          </cell>
          <cell r="I2466" t="str">
            <v>From M1A to M2A - 15°</v>
          </cell>
          <cell r="J2466" t="str">
            <v>IE3</v>
          </cell>
          <cell r="K2466" t="str">
            <v>230/400</v>
          </cell>
          <cell r="L2466">
            <v>50</v>
          </cell>
          <cell r="M2466" t="str">
            <v>3,05/1,75</v>
          </cell>
          <cell r="N2466">
            <v>55</v>
          </cell>
          <cell r="O2466" t="str">
            <v>155(F)</v>
          </cell>
          <cell r="P2466" t="str">
            <v>180°</v>
          </cell>
          <cell r="Q2466" t="str">
            <v>-</v>
          </cell>
          <cell r="R2466" t="str">
            <v>-</v>
          </cell>
          <cell r="S2466" t="str">
            <v>-</v>
          </cell>
          <cell r="T2466" t="str">
            <v>-</v>
          </cell>
          <cell r="U2466" t="str">
            <v>T</v>
          </cell>
          <cell r="V2466" t="str">
            <v>D</v>
          </cell>
          <cell r="W2466" t="str">
            <v>-</v>
          </cell>
          <cell r="X2466" t="str">
            <v>CLP 220 (-15/+40°C)</v>
          </cell>
          <cell r="Y2466" t="str">
            <v>KA37/T DRN80M4</v>
          </cell>
          <cell r="Z2466" t="str">
            <v>SEW</v>
          </cell>
          <cell r="AB2466" t="str">
            <v>-</v>
          </cell>
          <cell r="AF2466">
            <v>162</v>
          </cell>
          <cell r="AG2466" t="str">
            <v>DRN80M4</v>
          </cell>
          <cell r="AH2466" t="str">
            <v>KA37T-DRN80M4A180-X</v>
          </cell>
        </row>
        <row r="2467">
          <cell r="A2467" t="str">
            <v>MR002455</v>
          </cell>
          <cell r="B2467" t="str">
            <v>MR</v>
          </cell>
          <cell r="C2467">
            <v>9.1999999999999993</v>
          </cell>
          <cell r="D2467">
            <v>66</v>
          </cell>
          <cell r="E2467" t="str">
            <v>KH87</v>
          </cell>
          <cell r="F2467">
            <v>1330</v>
          </cell>
          <cell r="G2467">
            <v>22.41</v>
          </cell>
          <cell r="H2467">
            <v>1.7</v>
          </cell>
          <cell r="I2467" t="str">
            <v>M4A</v>
          </cell>
          <cell r="J2467" t="str">
            <v>IE3</v>
          </cell>
          <cell r="K2467" t="str">
            <v>400/690</v>
          </cell>
          <cell r="L2467">
            <v>50</v>
          </cell>
          <cell r="M2467" t="str">
            <v>18,7/10,8</v>
          </cell>
          <cell r="N2467">
            <v>55</v>
          </cell>
          <cell r="O2467" t="str">
            <v>155(F)</v>
          </cell>
          <cell r="P2467" t="str">
            <v>270°</v>
          </cell>
          <cell r="Q2467" t="str">
            <v>TF</v>
          </cell>
          <cell r="R2467" t="str">
            <v>V(VE)</v>
          </cell>
          <cell r="S2467" t="str">
            <v>-</v>
          </cell>
          <cell r="T2467" t="str">
            <v>-</v>
          </cell>
          <cell r="U2467" t="str">
            <v>T</v>
          </cell>
          <cell r="V2467" t="str">
            <v>FC+R</v>
          </cell>
          <cell r="W2467" t="str">
            <v>-</v>
          </cell>
          <cell r="X2467" t="str">
            <v>CLP 220 (-15/+40°C)</v>
          </cell>
          <cell r="Y2467" t="str">
            <v>KH87/T DRN132L4 /TF/V</v>
          </cell>
          <cell r="Z2467" t="str">
            <v>SEW</v>
          </cell>
          <cell r="AB2467" t="str">
            <v>-</v>
          </cell>
          <cell r="AF2467">
            <v>66</v>
          </cell>
          <cell r="AG2467" t="str">
            <v>DRN132L4</v>
          </cell>
          <cell r="AH2467" t="str">
            <v>KH87T-DRN132L4A270-X#</v>
          </cell>
        </row>
        <row r="2468">
          <cell r="A2468" t="str">
            <v>MR002456</v>
          </cell>
          <cell r="B2468" t="str">
            <v>MR</v>
          </cell>
          <cell r="C2468">
            <v>9.1999999999999993</v>
          </cell>
          <cell r="D2468">
            <v>66</v>
          </cell>
          <cell r="E2468" t="str">
            <v>KH87</v>
          </cell>
          <cell r="F2468">
            <v>1330</v>
          </cell>
          <cell r="G2468">
            <v>22.41</v>
          </cell>
          <cell r="H2468">
            <v>1.7</v>
          </cell>
          <cell r="I2468" t="str">
            <v>M4B</v>
          </cell>
          <cell r="J2468" t="str">
            <v>IE3</v>
          </cell>
          <cell r="K2468" t="str">
            <v>400/690</v>
          </cell>
          <cell r="L2468">
            <v>50</v>
          </cell>
          <cell r="M2468" t="str">
            <v>18,7/10,8</v>
          </cell>
          <cell r="N2468">
            <v>55</v>
          </cell>
          <cell r="O2468" t="str">
            <v>155(F)</v>
          </cell>
          <cell r="P2468" t="str">
            <v>270°</v>
          </cell>
          <cell r="Q2468" t="str">
            <v>TF</v>
          </cell>
          <cell r="R2468" t="str">
            <v>V(VE)</v>
          </cell>
          <cell r="S2468" t="str">
            <v>-</v>
          </cell>
          <cell r="T2468" t="str">
            <v>-</v>
          </cell>
          <cell r="U2468" t="str">
            <v>T</v>
          </cell>
          <cell r="V2468" t="str">
            <v>FC+R</v>
          </cell>
          <cell r="W2468" t="str">
            <v>-</v>
          </cell>
          <cell r="X2468" t="str">
            <v>CLP 220 (-15/+40°C)</v>
          </cell>
          <cell r="Y2468" t="str">
            <v>KH87/T DRN132L4 /TF/V</v>
          </cell>
          <cell r="Z2468" t="str">
            <v>SEW</v>
          </cell>
          <cell r="AB2468" t="str">
            <v>-</v>
          </cell>
          <cell r="AF2468">
            <v>66</v>
          </cell>
          <cell r="AG2468" t="str">
            <v>DRN132L4</v>
          </cell>
          <cell r="AH2468" t="str">
            <v>KH87T-DRN132L4B270-X#</v>
          </cell>
        </row>
        <row r="2469">
          <cell r="A2469" t="str">
            <v>MR002457</v>
          </cell>
          <cell r="B2469" t="str">
            <v>MR</v>
          </cell>
          <cell r="C2469">
            <v>2.2000000000000002</v>
          </cell>
          <cell r="D2469">
            <v>15</v>
          </cell>
          <cell r="E2469" t="str">
            <v>FH77</v>
          </cell>
          <cell r="F2469">
            <v>1370</v>
          </cell>
          <cell r="G2469">
            <v>94.93</v>
          </cell>
          <cell r="H2469">
            <v>1.1000000000000001</v>
          </cell>
          <cell r="I2469" t="str">
            <v>M1</v>
          </cell>
          <cell r="J2469" t="str">
            <v>IE3</v>
          </cell>
          <cell r="K2469" t="str">
            <v>230/400</v>
          </cell>
          <cell r="L2469">
            <v>50</v>
          </cell>
          <cell r="M2469" t="str">
            <v>8,3/4,75</v>
          </cell>
          <cell r="N2469">
            <v>55</v>
          </cell>
          <cell r="O2469" t="str">
            <v>155(F)</v>
          </cell>
          <cell r="P2469" t="str">
            <v>270°</v>
          </cell>
          <cell r="Q2469" t="str">
            <v>-</v>
          </cell>
          <cell r="R2469" t="str">
            <v>-</v>
          </cell>
          <cell r="S2469" t="str">
            <v>-</v>
          </cell>
          <cell r="T2469" t="str">
            <v>-</v>
          </cell>
          <cell r="U2469" t="str">
            <v>G</v>
          </cell>
          <cell r="V2469" t="str">
            <v>-</v>
          </cell>
          <cell r="W2469" t="str">
            <v>-</v>
          </cell>
          <cell r="X2469" t="str">
            <v>CLP 220 (-15/+40°C)</v>
          </cell>
          <cell r="Y2469" t="str">
            <v>FH77/G DRN100LS4</v>
          </cell>
          <cell r="Z2469" t="str">
            <v>SEW</v>
          </cell>
          <cell r="AB2469" t="str">
            <v>-</v>
          </cell>
          <cell r="AF2469">
            <v>15</v>
          </cell>
          <cell r="AG2469" t="str">
            <v>DRN100LS4</v>
          </cell>
          <cell r="AH2469" t="str">
            <v>FH77G-DRN100LS4270-X</v>
          </cell>
        </row>
        <row r="2470">
          <cell r="A2470" t="str">
            <v>MR002458</v>
          </cell>
          <cell r="B2470" t="str">
            <v>MR</v>
          </cell>
          <cell r="C2470">
            <v>0.55000000000000004</v>
          </cell>
          <cell r="D2470">
            <v>0.74</v>
          </cell>
          <cell r="E2470" t="str">
            <v>KH107R77</v>
          </cell>
          <cell r="F2470">
            <v>6170</v>
          </cell>
          <cell r="G2470">
            <v>1939</v>
          </cell>
          <cell r="H2470">
            <v>1.3</v>
          </cell>
          <cell r="I2470" t="str">
            <v>From M1 to M4 B 65°</v>
          </cell>
          <cell r="J2470" t="str">
            <v>IE3</v>
          </cell>
          <cell r="K2470" t="str">
            <v>230/400</v>
          </cell>
          <cell r="L2470">
            <v>50</v>
          </cell>
          <cell r="M2470" t="str">
            <v>2,25/1,29</v>
          </cell>
          <cell r="N2470">
            <v>55</v>
          </cell>
          <cell r="O2470" t="str">
            <v>155(F)</v>
          </cell>
          <cell r="P2470" t="str">
            <v>270°</v>
          </cell>
          <cell r="Q2470" t="str">
            <v>-</v>
          </cell>
          <cell r="R2470" t="str">
            <v>-</v>
          </cell>
          <cell r="S2470" t="str">
            <v>-</v>
          </cell>
          <cell r="T2470" t="str">
            <v>-</v>
          </cell>
          <cell r="U2470" t="str">
            <v>T</v>
          </cell>
          <cell r="V2470" t="str">
            <v>D</v>
          </cell>
          <cell r="W2470" t="str">
            <v>-</v>
          </cell>
          <cell r="X2470" t="str">
            <v>CLP 220 (-15/+40°C)</v>
          </cell>
          <cell r="Y2470" t="str">
            <v>KH107R77/T DRN80MK4</v>
          </cell>
          <cell r="Z2470" t="str">
            <v>SEW</v>
          </cell>
          <cell r="AB2470" t="str">
            <v>-</v>
          </cell>
          <cell r="AF2470">
            <v>0.74</v>
          </cell>
          <cell r="AG2470" t="str">
            <v>DRN80MK4</v>
          </cell>
          <cell r="AH2470" t="str">
            <v>KH107R77T-DRN80MK4B270-X</v>
          </cell>
        </row>
        <row r="2471">
          <cell r="A2471" t="str">
            <v>MR002459</v>
          </cell>
          <cell r="B2471" t="str">
            <v>MR</v>
          </cell>
          <cell r="C2471">
            <v>0.75</v>
          </cell>
          <cell r="D2471">
            <v>5.8</v>
          </cell>
          <cell r="E2471" t="str">
            <v>R87</v>
          </cell>
          <cell r="F2471">
            <v>1220</v>
          </cell>
          <cell r="G2471">
            <v>246.54</v>
          </cell>
          <cell r="H2471">
            <v>1.25</v>
          </cell>
          <cell r="I2471" t="str">
            <v>M1</v>
          </cell>
          <cell r="J2471" t="str">
            <v>IE3</v>
          </cell>
          <cell r="K2471" t="str">
            <v>230/400</v>
          </cell>
          <cell r="L2471">
            <v>50</v>
          </cell>
          <cell r="M2471" t="str">
            <v>3,05/1,75</v>
          </cell>
          <cell r="N2471">
            <v>55</v>
          </cell>
          <cell r="O2471" t="str">
            <v>155(F)</v>
          </cell>
          <cell r="P2471" t="str">
            <v>270°</v>
          </cell>
          <cell r="Q2471" t="str">
            <v>-</v>
          </cell>
          <cell r="R2471" t="str">
            <v>-</v>
          </cell>
          <cell r="S2471" t="str">
            <v>-</v>
          </cell>
          <cell r="T2471" t="str">
            <v>-</v>
          </cell>
          <cell r="U2471" t="str">
            <v>-</v>
          </cell>
          <cell r="V2471" t="str">
            <v>D</v>
          </cell>
          <cell r="W2471" t="str">
            <v>-</v>
          </cell>
          <cell r="X2471" t="str">
            <v>CLP 220 (-15/+40°C)</v>
          </cell>
          <cell r="Y2471" t="str">
            <v>R87DRN80M4</v>
          </cell>
          <cell r="Z2471" t="str">
            <v>SEW</v>
          </cell>
          <cell r="AB2471" t="str">
            <v>-</v>
          </cell>
          <cell r="AF2471">
            <v>5.8</v>
          </cell>
          <cell r="AG2471" t="str">
            <v>DRN80M4</v>
          </cell>
          <cell r="AH2471" t="str">
            <v>R87-DRN80M4270-X</v>
          </cell>
        </row>
        <row r="2472">
          <cell r="A2472" t="str">
            <v>MR002460</v>
          </cell>
          <cell r="B2472" t="str">
            <v>MR</v>
          </cell>
          <cell r="C2472">
            <v>0.55000000000000004</v>
          </cell>
          <cell r="D2472">
            <v>0.71</v>
          </cell>
          <cell r="E2472" t="str">
            <v>KH107R77</v>
          </cell>
          <cell r="F2472">
            <v>6540</v>
          </cell>
          <cell r="G2472">
            <v>1939</v>
          </cell>
          <cell r="H2472">
            <v>1.2</v>
          </cell>
          <cell r="I2472" t="str">
            <v>From M1 to M4 B 65°</v>
          </cell>
          <cell r="J2472" t="str">
            <v>IE1</v>
          </cell>
          <cell r="K2472" t="str">
            <v>230/400</v>
          </cell>
          <cell r="L2472">
            <v>50</v>
          </cell>
          <cell r="M2472" t="str">
            <v>2,7/1,55</v>
          </cell>
          <cell r="N2472">
            <v>55</v>
          </cell>
          <cell r="O2472" t="str">
            <v>155(F)</v>
          </cell>
          <cell r="P2472" t="str">
            <v>270°</v>
          </cell>
          <cell r="Q2472" t="str">
            <v>-</v>
          </cell>
          <cell r="R2472" t="str">
            <v>-</v>
          </cell>
          <cell r="S2472" t="str">
            <v>-</v>
          </cell>
          <cell r="T2472" t="str">
            <v>-</v>
          </cell>
          <cell r="U2472" t="str">
            <v>-</v>
          </cell>
          <cell r="V2472" t="str">
            <v>D</v>
          </cell>
          <cell r="W2472" t="str">
            <v>-</v>
          </cell>
          <cell r="X2472" t="str">
            <v>CLP 220 (-15/+40°C)</v>
          </cell>
          <cell r="Y2472" t="str">
            <v>KH107R77DRN80MK4</v>
          </cell>
          <cell r="AB2472" t="str">
            <v>-</v>
          </cell>
          <cell r="AF2472">
            <v>0.71</v>
          </cell>
          <cell r="AG2472" t="str">
            <v>DRN80MK4</v>
          </cell>
          <cell r="AH2472" t="str">
            <v>KH107R77-DRN80MK4B270-X</v>
          </cell>
        </row>
        <row r="2473">
          <cell r="A2473" t="str">
            <v>MR002461</v>
          </cell>
          <cell r="B2473" t="str">
            <v>MR</v>
          </cell>
          <cell r="C2473">
            <v>9.1999999999999993</v>
          </cell>
          <cell r="D2473">
            <v>29</v>
          </cell>
          <cell r="E2473" t="str">
            <v>FH87</v>
          </cell>
          <cell r="F2473">
            <v>3000</v>
          </cell>
          <cell r="G2473">
            <v>50.36</v>
          </cell>
          <cell r="H2473">
            <v>1</v>
          </cell>
          <cell r="I2473" t="str">
            <v>M1</v>
          </cell>
          <cell r="J2473" t="str">
            <v>IE3</v>
          </cell>
          <cell r="K2473" t="str">
            <v>400/690</v>
          </cell>
          <cell r="L2473">
            <v>50</v>
          </cell>
          <cell r="M2473" t="str">
            <v>18,7/10,8</v>
          </cell>
          <cell r="N2473">
            <v>55</v>
          </cell>
          <cell r="O2473" t="str">
            <v>155(F)</v>
          </cell>
          <cell r="P2473" t="str">
            <v>270°</v>
          </cell>
          <cell r="Q2473" t="str">
            <v>TF</v>
          </cell>
          <cell r="R2473" t="str">
            <v>-</v>
          </cell>
          <cell r="S2473" t="str">
            <v>-</v>
          </cell>
          <cell r="T2473" t="str">
            <v>-</v>
          </cell>
          <cell r="U2473" t="str">
            <v>G</v>
          </cell>
          <cell r="V2473" t="str">
            <v>D+R</v>
          </cell>
          <cell r="W2473" t="str">
            <v>-</v>
          </cell>
          <cell r="X2473" t="str">
            <v>CLP 220 (-15/+40°C)</v>
          </cell>
          <cell r="Y2473" t="str">
            <v>FH87/G DRN132L4 /TF</v>
          </cell>
          <cell r="Z2473" t="str">
            <v>SEW</v>
          </cell>
          <cell r="AB2473" t="str">
            <v>-</v>
          </cell>
          <cell r="AF2473">
            <v>29</v>
          </cell>
          <cell r="AG2473" t="str">
            <v>DRN132L4</v>
          </cell>
          <cell r="AH2473" t="str">
            <v>FH87G-DRN132L4270-X</v>
          </cell>
        </row>
        <row r="2474">
          <cell r="A2474" t="str">
            <v>MR002462</v>
          </cell>
          <cell r="B2474" t="str">
            <v>MR</v>
          </cell>
          <cell r="C2474">
            <v>7.5</v>
          </cell>
          <cell r="D2474">
            <v>29</v>
          </cell>
          <cell r="E2474" t="str">
            <v>FH87</v>
          </cell>
          <cell r="F2474">
            <v>2450</v>
          </cell>
          <cell r="G2474">
            <v>50.36</v>
          </cell>
          <cell r="H2474">
            <v>1.2</v>
          </cell>
          <cell r="I2474" t="str">
            <v>From M1 to M4 35°</v>
          </cell>
          <cell r="J2474" t="str">
            <v>IE3</v>
          </cell>
          <cell r="K2474" t="str">
            <v>400/690</v>
          </cell>
          <cell r="L2474">
            <v>50</v>
          </cell>
          <cell r="M2474" t="str">
            <v>15,2/8,8</v>
          </cell>
          <cell r="N2474">
            <v>55</v>
          </cell>
          <cell r="O2474" t="str">
            <v>155(F)</v>
          </cell>
          <cell r="P2474" t="str">
            <v>270°</v>
          </cell>
          <cell r="Q2474" t="str">
            <v>TF</v>
          </cell>
          <cell r="R2474" t="str">
            <v>V(VE)</v>
          </cell>
          <cell r="S2474" t="str">
            <v>-</v>
          </cell>
          <cell r="T2474" t="str">
            <v>-</v>
          </cell>
          <cell r="U2474" t="str">
            <v>G</v>
          </cell>
          <cell r="V2474" t="str">
            <v>FC</v>
          </cell>
          <cell r="W2474" t="str">
            <v>-</v>
          </cell>
          <cell r="X2474" t="str">
            <v>CLP 220 (-15/+40°C)</v>
          </cell>
          <cell r="Y2474" t="str">
            <v>FH87/G DRN132M4 /TF/V</v>
          </cell>
          <cell r="Z2474" t="str">
            <v>SEW</v>
          </cell>
          <cell r="AB2474" t="str">
            <v>-</v>
          </cell>
          <cell r="AF2474">
            <v>29</v>
          </cell>
          <cell r="AG2474" t="str">
            <v>DRN132M4</v>
          </cell>
          <cell r="AH2474" t="str">
            <v>FH87G-DRN132M4270-X#</v>
          </cell>
          <cell r="AI2474" t="str">
            <v>non usare</v>
          </cell>
        </row>
        <row r="2475">
          <cell r="A2475" t="str">
            <v>MR002463</v>
          </cell>
          <cell r="B2475" t="str">
            <v>MR</v>
          </cell>
          <cell r="C2475">
            <v>11</v>
          </cell>
          <cell r="D2475">
            <v>38</v>
          </cell>
          <cell r="E2475" t="str">
            <v>FH97</v>
          </cell>
          <cell r="F2475">
            <v>2770</v>
          </cell>
          <cell r="G2475">
            <v>38.86</v>
          </cell>
          <cell r="H2475">
            <v>1.55</v>
          </cell>
          <cell r="I2475" t="str">
            <v>M1</v>
          </cell>
          <cell r="J2475" t="str">
            <v>IE3</v>
          </cell>
          <cell r="K2475" t="str">
            <v>400/690</v>
          </cell>
          <cell r="L2475">
            <v>50</v>
          </cell>
          <cell r="M2475" t="str">
            <v>21/12,2</v>
          </cell>
          <cell r="N2475">
            <v>55</v>
          </cell>
          <cell r="O2475" t="str">
            <v>155(F)</v>
          </cell>
          <cell r="P2475" t="str">
            <v>270°</v>
          </cell>
          <cell r="Q2475" t="str">
            <v>TF</v>
          </cell>
          <cell r="R2475" t="str">
            <v>V(VE)</v>
          </cell>
          <cell r="S2475" t="str">
            <v>-</v>
          </cell>
          <cell r="T2475" t="str">
            <v>-</v>
          </cell>
          <cell r="U2475" t="str">
            <v>G</v>
          </cell>
          <cell r="V2475" t="str">
            <v>FC</v>
          </cell>
          <cell r="W2475" t="str">
            <v>-</v>
          </cell>
          <cell r="X2475" t="str">
            <v>CLP 220 (-15/+40°C)</v>
          </cell>
          <cell r="Y2475" t="str">
            <v>FH97/G DRN160M4 /TF/V</v>
          </cell>
          <cell r="Z2475" t="str">
            <v>SEW</v>
          </cell>
          <cell r="AB2475" t="str">
            <v>-</v>
          </cell>
          <cell r="AF2475">
            <v>38</v>
          </cell>
          <cell r="AG2475" t="str">
            <v>DRN160M4</v>
          </cell>
          <cell r="AH2475" t="str">
            <v>FH97G-DRN160M4270-X#</v>
          </cell>
        </row>
        <row r="2476">
          <cell r="A2476" t="str">
            <v>MR002464</v>
          </cell>
          <cell r="B2476" t="str">
            <v>MR</v>
          </cell>
          <cell r="C2476">
            <v>7.5</v>
          </cell>
          <cell r="D2476">
            <v>77</v>
          </cell>
          <cell r="E2476" t="str">
            <v>R87</v>
          </cell>
          <cell r="F2476">
            <v>930</v>
          </cell>
          <cell r="G2476">
            <v>19.100000000000001</v>
          </cell>
          <cell r="H2476">
            <v>1.55</v>
          </cell>
          <cell r="I2476" t="str">
            <v>From M1 to M2 - 15°</v>
          </cell>
          <cell r="J2476" t="str">
            <v>IE3</v>
          </cell>
          <cell r="K2476" t="str">
            <v>400/690</v>
          </cell>
          <cell r="L2476">
            <v>50</v>
          </cell>
          <cell r="M2476" t="str">
            <v>15,2/8,8</v>
          </cell>
          <cell r="N2476">
            <v>55</v>
          </cell>
          <cell r="O2476" t="str">
            <v>155(F)</v>
          </cell>
          <cell r="P2476" t="str">
            <v>270°</v>
          </cell>
          <cell r="Q2476" t="str">
            <v>TF</v>
          </cell>
          <cell r="R2476" t="str">
            <v>-</v>
          </cell>
          <cell r="S2476" t="str">
            <v>-</v>
          </cell>
          <cell r="T2476" t="str">
            <v>-</v>
          </cell>
          <cell r="U2476" t="str">
            <v>-</v>
          </cell>
          <cell r="V2476" t="str">
            <v>FC</v>
          </cell>
          <cell r="W2476" t="str">
            <v>-</v>
          </cell>
          <cell r="X2476" t="str">
            <v>CLP 220 (-15/+40°C)</v>
          </cell>
          <cell r="Y2476" t="str">
            <v>R87DRN132M4 /TF</v>
          </cell>
          <cell r="Z2476" t="str">
            <v>SEW</v>
          </cell>
          <cell r="AB2476" t="str">
            <v>-</v>
          </cell>
          <cell r="AF2476">
            <v>77</v>
          </cell>
          <cell r="AG2476" t="str">
            <v>DRN132M4</v>
          </cell>
          <cell r="AH2476" t="str">
            <v>R87-DRN132M4270-X</v>
          </cell>
        </row>
        <row r="2477">
          <cell r="A2477" t="str">
            <v>MR002465</v>
          </cell>
          <cell r="B2477" t="str">
            <v>MR</v>
          </cell>
          <cell r="C2477">
            <v>18.5</v>
          </cell>
          <cell r="D2477">
            <v>94</v>
          </cell>
          <cell r="E2477" t="str">
            <v>R107</v>
          </cell>
          <cell r="F2477">
            <v>1870</v>
          </cell>
          <cell r="G2477">
            <v>15.65</v>
          </cell>
          <cell r="H2477">
            <v>2.2999999999999998</v>
          </cell>
          <cell r="I2477" t="str">
            <v>M4</v>
          </cell>
          <cell r="J2477" t="str">
            <v>IE3</v>
          </cell>
          <cell r="K2477" t="str">
            <v>400/690</v>
          </cell>
          <cell r="L2477">
            <v>50</v>
          </cell>
          <cell r="M2477" t="str">
            <v>33,5/19,3</v>
          </cell>
          <cell r="N2477">
            <v>55</v>
          </cell>
          <cell r="O2477" t="str">
            <v>155(F)</v>
          </cell>
          <cell r="P2477" t="str">
            <v>270°</v>
          </cell>
          <cell r="Q2477" t="str">
            <v>TF</v>
          </cell>
          <cell r="R2477" t="str">
            <v>-</v>
          </cell>
          <cell r="S2477" t="str">
            <v>-</v>
          </cell>
          <cell r="T2477" t="str">
            <v>-</v>
          </cell>
          <cell r="U2477" t="str">
            <v>-</v>
          </cell>
          <cell r="V2477" t="str">
            <v>FC</v>
          </cell>
          <cell r="W2477" t="str">
            <v>-</v>
          </cell>
          <cell r="X2477" t="str">
            <v>CLP 220 (-15/+40°C)</v>
          </cell>
          <cell r="Y2477" t="str">
            <v>R107DRN180M4 /TF</v>
          </cell>
          <cell r="Z2477" t="str">
            <v>SEW</v>
          </cell>
          <cell r="AB2477" t="str">
            <v>-</v>
          </cell>
          <cell r="AF2477">
            <v>94</v>
          </cell>
          <cell r="AG2477" t="str">
            <v>DRN180M4</v>
          </cell>
          <cell r="AH2477" t="str">
            <v>R107-DRN180M4270-X</v>
          </cell>
        </row>
        <row r="2478">
          <cell r="A2478" t="str">
            <v>MR002466</v>
          </cell>
          <cell r="B2478" t="str">
            <v>MR</v>
          </cell>
          <cell r="C2478">
            <v>22</v>
          </cell>
          <cell r="D2478">
            <v>15.833333333333334</v>
          </cell>
          <cell r="E2478" t="str">
            <v>KH157</v>
          </cell>
          <cell r="F2478">
            <v>10800</v>
          </cell>
          <cell r="G2478">
            <v>91.65</v>
          </cell>
          <cell r="H2478">
            <v>1.85</v>
          </cell>
          <cell r="I2478" t="str">
            <v>From M1A to M4A - 45°</v>
          </cell>
          <cell r="J2478" t="str">
            <v>IE3</v>
          </cell>
          <cell r="K2478" t="str">
            <v>230/460</v>
          </cell>
          <cell r="L2478">
            <v>60</v>
          </cell>
          <cell r="M2478" t="str">
            <v>68/34</v>
          </cell>
          <cell r="N2478">
            <v>55</v>
          </cell>
          <cell r="O2478" t="str">
            <v>155(F)</v>
          </cell>
          <cell r="P2478" t="str">
            <v>270°</v>
          </cell>
          <cell r="Q2478" t="str">
            <v>TF</v>
          </cell>
          <cell r="R2478" t="str">
            <v>-</v>
          </cell>
          <cell r="S2478" t="str">
            <v>-</v>
          </cell>
          <cell r="T2478" t="str">
            <v>-</v>
          </cell>
          <cell r="U2478" t="str">
            <v>-</v>
          </cell>
          <cell r="V2478" t="str">
            <v>SS</v>
          </cell>
          <cell r="W2478" t="str">
            <v>-</v>
          </cell>
          <cell r="X2478" t="str">
            <v>CLP PG 680 (-20 / +80 °C)</v>
          </cell>
          <cell r="Y2478" t="str">
            <v>KH157DRN180L4 /TF</v>
          </cell>
          <cell r="Z2478" t="str">
            <v>SEW</v>
          </cell>
          <cell r="AB2478" t="str">
            <v>-</v>
          </cell>
          <cell r="AE2478" t="str">
            <v>UL APPROVED; cosfi=0,86</v>
          </cell>
          <cell r="AF2478">
            <v>19</v>
          </cell>
          <cell r="AG2478" t="str">
            <v>DRN180L4</v>
          </cell>
          <cell r="AH2478" t="str">
            <v>KH157-DRN180L4A270-X</v>
          </cell>
        </row>
        <row r="2479">
          <cell r="A2479" t="str">
            <v>MR002467</v>
          </cell>
          <cell r="B2479" t="str">
            <v>MR</v>
          </cell>
          <cell r="C2479">
            <v>7.5</v>
          </cell>
          <cell r="D2479">
            <v>29</v>
          </cell>
          <cell r="E2479" t="str">
            <v>FH87</v>
          </cell>
          <cell r="F2479">
            <v>2450</v>
          </cell>
          <cell r="G2479">
            <v>50.36</v>
          </cell>
          <cell r="H2479">
            <v>1.2</v>
          </cell>
          <cell r="I2479" t="str">
            <v>From M1 to M4 - 30°</v>
          </cell>
          <cell r="J2479" t="str">
            <v>IE3</v>
          </cell>
          <cell r="K2479" t="str">
            <v>400/690</v>
          </cell>
          <cell r="L2479">
            <v>50</v>
          </cell>
          <cell r="M2479" t="str">
            <v>15,2/8,8</v>
          </cell>
          <cell r="N2479">
            <v>55</v>
          </cell>
          <cell r="O2479" t="str">
            <v>155(F)</v>
          </cell>
          <cell r="P2479" t="str">
            <v>270°</v>
          </cell>
          <cell r="Q2479" t="str">
            <v>TF</v>
          </cell>
          <cell r="R2479" t="str">
            <v>V(VE)</v>
          </cell>
          <cell r="S2479" t="str">
            <v>-</v>
          </cell>
          <cell r="T2479" t="str">
            <v>-</v>
          </cell>
          <cell r="U2479" t="str">
            <v>G</v>
          </cell>
          <cell r="V2479" t="str">
            <v>FC</v>
          </cell>
          <cell r="W2479" t="str">
            <v>-</v>
          </cell>
          <cell r="X2479" t="str">
            <v>CLP 220 (-15/+40°C)</v>
          </cell>
          <cell r="Y2479" t="str">
            <v>FH87/G DRN132M4 /TF/V</v>
          </cell>
          <cell r="Z2479" t="str">
            <v>SEW</v>
          </cell>
          <cell r="AB2479" t="str">
            <v>-</v>
          </cell>
          <cell r="AF2479">
            <v>29</v>
          </cell>
          <cell r="AG2479" t="str">
            <v>DRN132M4</v>
          </cell>
          <cell r="AH2479" t="str">
            <v>FH87G-DRN132M4270-X#</v>
          </cell>
          <cell r="AI2479" t="str">
            <v>non usare</v>
          </cell>
        </row>
        <row r="2480">
          <cell r="A2480" t="str">
            <v>MR002468</v>
          </cell>
          <cell r="B2480" t="str">
            <v>MR</v>
          </cell>
          <cell r="C2480">
            <v>1.1000000000000001</v>
          </cell>
          <cell r="D2480">
            <v>7.3</v>
          </cell>
          <cell r="E2480" t="str">
            <v>FV77</v>
          </cell>
          <cell r="F2480">
            <v>1430</v>
          </cell>
          <cell r="G2480">
            <v>198.31</v>
          </cell>
          <cell r="H2480">
            <v>1.05</v>
          </cell>
          <cell r="I2480" t="str">
            <v>M5</v>
          </cell>
          <cell r="J2480" t="str">
            <v>IE3</v>
          </cell>
          <cell r="K2480" t="str">
            <v>230/400</v>
          </cell>
          <cell r="L2480">
            <v>50</v>
          </cell>
          <cell r="M2480" t="str">
            <v>4,45/2,55</v>
          </cell>
          <cell r="N2480">
            <v>55</v>
          </cell>
          <cell r="O2480" t="str">
            <v>155(F)</v>
          </cell>
          <cell r="P2480" t="str">
            <v>180°</v>
          </cell>
          <cell r="Q2480" t="str">
            <v>TF</v>
          </cell>
          <cell r="R2480" t="str">
            <v>-</v>
          </cell>
          <cell r="S2480" t="str">
            <v>-</v>
          </cell>
          <cell r="T2480" t="str">
            <v>-</v>
          </cell>
          <cell r="U2480" t="str">
            <v>G</v>
          </cell>
          <cell r="V2480" t="str">
            <v>FC+R</v>
          </cell>
          <cell r="W2480" t="str">
            <v>YES</v>
          </cell>
          <cell r="X2480" t="str">
            <v>CLP HC 220 (-25/+60°C)</v>
          </cell>
          <cell r="Y2480" t="str">
            <v>FV77/G DRN90S4 /TF</v>
          </cell>
          <cell r="Z2480" t="str">
            <v>SEW</v>
          </cell>
          <cell r="AB2480" t="str">
            <v>-</v>
          </cell>
          <cell r="AE2480" t="str">
            <v>BROCCIATURA PER FV67-DIN 5480N45x2x30x21xH9</v>
          </cell>
          <cell r="AF2480">
            <v>7.3</v>
          </cell>
          <cell r="AG2480" t="str">
            <v>DRN90S4</v>
          </cell>
          <cell r="AH2480" t="str">
            <v>FV77G-DRN90S4180-X</v>
          </cell>
        </row>
        <row r="2481">
          <cell r="A2481" t="str">
            <v>MR002469</v>
          </cell>
          <cell r="B2481" t="str">
            <v>MR</v>
          </cell>
          <cell r="C2481">
            <v>1.1000000000000001</v>
          </cell>
          <cell r="D2481">
            <v>7.3</v>
          </cell>
          <cell r="E2481" t="str">
            <v>FV77</v>
          </cell>
          <cell r="F2481">
            <v>1430</v>
          </cell>
          <cell r="G2481">
            <v>198.31</v>
          </cell>
          <cell r="H2481">
            <v>1.05</v>
          </cell>
          <cell r="I2481" t="str">
            <v>M6</v>
          </cell>
          <cell r="J2481" t="str">
            <v>IE3</v>
          </cell>
          <cell r="K2481" t="str">
            <v>230/400</v>
          </cell>
          <cell r="L2481">
            <v>50</v>
          </cell>
          <cell r="M2481" t="str">
            <v>4,45/2,55</v>
          </cell>
          <cell r="N2481">
            <v>55</v>
          </cell>
          <cell r="O2481" t="str">
            <v>155(F)</v>
          </cell>
          <cell r="P2481" t="str">
            <v>0°</v>
          </cell>
          <cell r="Q2481" t="str">
            <v>TF</v>
          </cell>
          <cell r="R2481" t="str">
            <v>-</v>
          </cell>
          <cell r="S2481" t="str">
            <v>-</v>
          </cell>
          <cell r="T2481" t="str">
            <v>-</v>
          </cell>
          <cell r="U2481" t="str">
            <v>G</v>
          </cell>
          <cell r="V2481" t="str">
            <v>FC+R</v>
          </cell>
          <cell r="W2481" t="str">
            <v>YES</v>
          </cell>
          <cell r="X2481" t="str">
            <v>CLP HC 220 (-25/+60°C)</v>
          </cell>
          <cell r="Y2481" t="str">
            <v>FV77/G DRN90S4 /TF</v>
          </cell>
          <cell r="Z2481" t="str">
            <v>SEW</v>
          </cell>
          <cell r="AB2481" t="str">
            <v>-</v>
          </cell>
          <cell r="AE2481" t="str">
            <v>BROCCIATURA PER FV67-DIN 5480N45x2x30x21xH9</v>
          </cell>
          <cell r="AF2481">
            <v>7.3</v>
          </cell>
          <cell r="AG2481" t="str">
            <v>DRN90S4</v>
          </cell>
          <cell r="AH2481" t="str">
            <v>FV77G-DRN90S40-X</v>
          </cell>
        </row>
        <row r="2482">
          <cell r="A2482" t="str">
            <v>MR002470</v>
          </cell>
          <cell r="B2482" t="str">
            <v>MR</v>
          </cell>
          <cell r="C2482">
            <v>4</v>
          </cell>
          <cell r="D2482">
            <v>138</v>
          </cell>
          <cell r="E2482" t="str">
            <v>KH67</v>
          </cell>
          <cell r="F2482">
            <v>275</v>
          </cell>
          <cell r="G2482">
            <v>10.63</v>
          </cell>
          <cell r="H2482">
            <v>1.8</v>
          </cell>
          <cell r="I2482" t="str">
            <v>M4B</v>
          </cell>
          <cell r="J2482" t="str">
            <v>IE3</v>
          </cell>
          <cell r="K2482" t="str">
            <v>230/400</v>
          </cell>
          <cell r="L2482">
            <v>50</v>
          </cell>
          <cell r="M2482" t="str">
            <v>13,8/7,9</v>
          </cell>
          <cell r="N2482">
            <v>55</v>
          </cell>
          <cell r="O2482" t="str">
            <v>155(F)</v>
          </cell>
          <cell r="P2482" t="str">
            <v>270°</v>
          </cell>
          <cell r="Q2482" t="str">
            <v>TF</v>
          </cell>
          <cell r="R2482" t="str">
            <v>-</v>
          </cell>
          <cell r="S2482" t="str">
            <v>-</v>
          </cell>
          <cell r="T2482" t="str">
            <v>-</v>
          </cell>
          <cell r="U2482" t="str">
            <v>T</v>
          </cell>
          <cell r="V2482" t="str">
            <v>FC+R</v>
          </cell>
          <cell r="W2482" t="str">
            <v>YES</v>
          </cell>
          <cell r="X2482" t="str">
            <v>CLP HC 220 (-25/+60°C)</v>
          </cell>
          <cell r="Y2482" t="str">
            <v>KH67/T DRN112M4 /TF</v>
          </cell>
          <cell r="Z2482" t="str">
            <v>SEW</v>
          </cell>
          <cell r="AB2482" t="str">
            <v>-</v>
          </cell>
          <cell r="AF2482">
            <v>138</v>
          </cell>
          <cell r="AG2482" t="str">
            <v>DRN112M4</v>
          </cell>
          <cell r="AH2482" t="str">
            <v>KH67T-DRN112M4B270-X</v>
          </cell>
        </row>
        <row r="2483">
          <cell r="A2483" t="str">
            <v>MR002471</v>
          </cell>
          <cell r="B2483" t="str">
            <v>MR</v>
          </cell>
          <cell r="C2483">
            <v>0.75</v>
          </cell>
          <cell r="D2483">
            <v>162</v>
          </cell>
          <cell r="E2483" t="str">
            <v>KA37</v>
          </cell>
          <cell r="F2483">
            <v>44</v>
          </cell>
          <cell r="G2483">
            <v>8.91</v>
          </cell>
          <cell r="H2483">
            <v>3.6</v>
          </cell>
          <cell r="I2483" t="str">
            <v>M1B</v>
          </cell>
          <cell r="J2483" t="str">
            <v>IE3</v>
          </cell>
          <cell r="K2483" t="str">
            <v>230/400</v>
          </cell>
          <cell r="L2483">
            <v>50</v>
          </cell>
          <cell r="M2483" t="str">
            <v>3,05/1,75</v>
          </cell>
          <cell r="N2483">
            <v>55</v>
          </cell>
          <cell r="O2483" t="str">
            <v>155(F)</v>
          </cell>
          <cell r="P2483" t="str">
            <v>180°</v>
          </cell>
          <cell r="Q2483" t="str">
            <v>-</v>
          </cell>
          <cell r="R2483" t="str">
            <v>-</v>
          </cell>
          <cell r="S2483" t="str">
            <v>-</v>
          </cell>
          <cell r="T2483" t="str">
            <v>-</v>
          </cell>
          <cell r="U2483" t="str">
            <v>T</v>
          </cell>
          <cell r="V2483" t="str">
            <v>D</v>
          </cell>
          <cell r="W2483" t="str">
            <v>YES</v>
          </cell>
          <cell r="X2483" t="str">
            <v>CLP HC 220 (-25/+60°C)</v>
          </cell>
          <cell r="Y2483" t="str">
            <v>KA37/T DRN80M4</v>
          </cell>
          <cell r="Z2483" t="str">
            <v>SEW</v>
          </cell>
          <cell r="AB2483" t="str">
            <v>-</v>
          </cell>
          <cell r="AF2483">
            <v>162</v>
          </cell>
          <cell r="AG2483" t="str">
            <v>DRN80M4</v>
          </cell>
          <cell r="AH2483" t="str">
            <v>KA37T-DRN80M4B180-X</v>
          </cell>
        </row>
        <row r="2484">
          <cell r="A2484" t="str">
            <v>MR002472</v>
          </cell>
          <cell r="B2484" t="str">
            <v>MR</v>
          </cell>
          <cell r="C2484">
            <v>22</v>
          </cell>
          <cell r="D2484">
            <v>35</v>
          </cell>
          <cell r="E2484" t="str">
            <v>KH107</v>
          </cell>
          <cell r="F2484">
            <v>6020</v>
          </cell>
          <cell r="G2484">
            <v>42.33</v>
          </cell>
          <cell r="H2484">
            <v>1.2</v>
          </cell>
          <cell r="I2484" t="str">
            <v>M4A</v>
          </cell>
          <cell r="J2484" t="str">
            <v>IE3</v>
          </cell>
          <cell r="K2484" t="str">
            <v>400/690</v>
          </cell>
          <cell r="L2484">
            <v>50</v>
          </cell>
          <cell r="M2484" t="str">
            <v>38,5/22,5</v>
          </cell>
          <cell r="N2484">
            <v>55</v>
          </cell>
          <cell r="O2484" t="str">
            <v>155(F)</v>
          </cell>
          <cell r="P2484" t="str">
            <v>270°</v>
          </cell>
          <cell r="Q2484" t="str">
            <v>-</v>
          </cell>
          <cell r="R2484" t="str">
            <v>-</v>
          </cell>
          <cell r="S2484" t="str">
            <v>-</v>
          </cell>
          <cell r="T2484" t="str">
            <v>-</v>
          </cell>
          <cell r="U2484" t="str">
            <v>T</v>
          </cell>
          <cell r="V2484" t="str">
            <v>SS</v>
          </cell>
          <cell r="W2484" t="str">
            <v>YES</v>
          </cell>
          <cell r="X2484" t="str">
            <v>CLP HC 220 (-25/+60°C)</v>
          </cell>
          <cell r="Y2484" t="str">
            <v>KH107/T DRN180L4</v>
          </cell>
          <cell r="Z2484" t="str">
            <v>SEW</v>
          </cell>
          <cell r="AB2484" t="str">
            <v>-</v>
          </cell>
          <cell r="AF2484">
            <v>35</v>
          </cell>
          <cell r="AG2484" t="str">
            <v>DRN180L4</v>
          </cell>
          <cell r="AH2484" t="str">
            <v>KH107T-DRN180L4A270-X</v>
          </cell>
        </row>
        <row r="2485">
          <cell r="A2485" t="str">
            <v>MR002473</v>
          </cell>
          <cell r="B2485" t="str">
            <v>MR</v>
          </cell>
          <cell r="C2485">
            <v>1.5</v>
          </cell>
          <cell r="D2485">
            <v>13</v>
          </cell>
          <cell r="E2485" t="str">
            <v>FA77</v>
          </cell>
          <cell r="F2485">
            <v>1120</v>
          </cell>
          <cell r="G2485">
            <v>114.45</v>
          </cell>
          <cell r="H2485">
            <v>1.35</v>
          </cell>
          <cell r="I2485" t="str">
            <v>From M5 to M2 - 30°</v>
          </cell>
          <cell r="J2485" t="str">
            <v>IE3</v>
          </cell>
          <cell r="K2485" t="str">
            <v>230/400</v>
          </cell>
          <cell r="L2485">
            <v>50</v>
          </cell>
          <cell r="M2485" t="str">
            <v>5,9/3,4</v>
          </cell>
          <cell r="N2485">
            <v>55</v>
          </cell>
          <cell r="O2485" t="str">
            <v>155(F)</v>
          </cell>
          <cell r="P2485" t="str">
            <v>180°</v>
          </cell>
          <cell r="Q2485" t="str">
            <v>TF</v>
          </cell>
          <cell r="R2485" t="str">
            <v>-</v>
          </cell>
          <cell r="S2485" t="str">
            <v>-</v>
          </cell>
          <cell r="T2485" t="str">
            <v>BEHF</v>
          </cell>
          <cell r="U2485" t="str">
            <v>G</v>
          </cell>
          <cell r="V2485" t="str">
            <v>D+R</v>
          </cell>
          <cell r="W2485" t="str">
            <v>YES</v>
          </cell>
          <cell r="X2485" t="str">
            <v>CLP HC 150 (-30/+50°C)</v>
          </cell>
          <cell r="Y2485" t="str">
            <v>FA77/G DRN90L4 /BEHF /TF</v>
          </cell>
          <cell r="Z2485" t="str">
            <v>SEW</v>
          </cell>
          <cell r="AB2485" t="str">
            <v>-</v>
          </cell>
          <cell r="AF2485">
            <v>13</v>
          </cell>
          <cell r="AG2485" t="str">
            <v>DRN90L4</v>
          </cell>
          <cell r="AH2485" t="str">
            <v>FA77G-DRN90L4180-X</v>
          </cell>
        </row>
        <row r="2486">
          <cell r="A2486" t="str">
            <v>MR002474</v>
          </cell>
          <cell r="B2486" t="str">
            <v>MR</v>
          </cell>
          <cell r="C2486">
            <v>1.5</v>
          </cell>
          <cell r="D2486">
            <v>13</v>
          </cell>
          <cell r="E2486" t="str">
            <v>FA77</v>
          </cell>
          <cell r="F2486">
            <v>1120</v>
          </cell>
          <cell r="G2486">
            <v>114.45</v>
          </cell>
          <cell r="H2486">
            <v>1.35</v>
          </cell>
          <cell r="I2486" t="str">
            <v>From M6 to M2 - 30°</v>
          </cell>
          <cell r="J2486" t="str">
            <v>IE3</v>
          </cell>
          <cell r="K2486" t="str">
            <v>230/400</v>
          </cell>
          <cell r="L2486">
            <v>50</v>
          </cell>
          <cell r="M2486" t="str">
            <v>5,9/3,4</v>
          </cell>
          <cell r="N2486">
            <v>55</v>
          </cell>
          <cell r="O2486" t="str">
            <v>155(F)</v>
          </cell>
          <cell r="P2486" t="str">
            <v>0°</v>
          </cell>
          <cell r="Q2486" t="str">
            <v>TF</v>
          </cell>
          <cell r="R2486" t="str">
            <v>-</v>
          </cell>
          <cell r="S2486" t="str">
            <v>-</v>
          </cell>
          <cell r="T2486" t="str">
            <v>BEHF</v>
          </cell>
          <cell r="U2486" t="str">
            <v>G</v>
          </cell>
          <cell r="V2486" t="str">
            <v>D+R</v>
          </cell>
          <cell r="W2486" t="str">
            <v>YES</v>
          </cell>
          <cell r="X2486" t="str">
            <v>CLP HC 150 (-30/+50°C)</v>
          </cell>
          <cell r="Y2486" t="str">
            <v>FA77/G DRN90L4 /BEHF /TF</v>
          </cell>
          <cell r="Z2486" t="str">
            <v>SEW</v>
          </cell>
          <cell r="AB2486" t="str">
            <v>-</v>
          </cell>
          <cell r="AF2486">
            <v>13</v>
          </cell>
          <cell r="AG2486" t="str">
            <v>DRN90L4</v>
          </cell>
          <cell r="AH2486" t="str">
            <v>FA77G-DRN90L40-X</v>
          </cell>
        </row>
        <row r="2487">
          <cell r="A2487" t="str">
            <v>MR002475</v>
          </cell>
          <cell r="B2487" t="str">
            <v>MR</v>
          </cell>
          <cell r="C2487">
            <v>22</v>
          </cell>
          <cell r="D2487">
            <v>21</v>
          </cell>
          <cell r="E2487" t="str">
            <v>FH127</v>
          </cell>
          <cell r="F2487">
            <v>9960</v>
          </cell>
          <cell r="G2487">
            <v>70.069999999999993</v>
          </cell>
          <cell r="H2487">
            <v>1.2</v>
          </cell>
          <cell r="I2487" t="str">
            <v>From M1 to M2 - 20°</v>
          </cell>
          <cell r="J2487" t="str">
            <v>IE3</v>
          </cell>
          <cell r="K2487" t="str">
            <v>400/690</v>
          </cell>
          <cell r="L2487">
            <v>50</v>
          </cell>
          <cell r="M2487" t="str">
            <v>38,5/22,5</v>
          </cell>
          <cell r="N2487">
            <v>55</v>
          </cell>
          <cell r="O2487" t="str">
            <v>155(F)</v>
          </cell>
          <cell r="P2487" t="str">
            <v>270°</v>
          </cell>
          <cell r="Q2487" t="str">
            <v>TF</v>
          </cell>
          <cell r="R2487" t="str">
            <v>V(VE)</v>
          </cell>
          <cell r="S2487" t="str">
            <v>-</v>
          </cell>
          <cell r="T2487" t="str">
            <v>-</v>
          </cell>
          <cell r="U2487" t="str">
            <v>G</v>
          </cell>
          <cell r="V2487" t="str">
            <v>FC</v>
          </cell>
          <cell r="W2487" t="str">
            <v>YES</v>
          </cell>
          <cell r="X2487" t="str">
            <v>CLP HC 220 (-25/+60°C)</v>
          </cell>
          <cell r="Y2487" t="str">
            <v>FH127/G DRN180L4 /TF/V</v>
          </cell>
          <cell r="Z2487" t="str">
            <v>SEW</v>
          </cell>
          <cell r="AB2487" t="str">
            <v>-</v>
          </cell>
          <cell r="AF2487">
            <v>21</v>
          </cell>
          <cell r="AG2487" t="str">
            <v>DRN180L4</v>
          </cell>
          <cell r="AH2487" t="str">
            <v>FH127G-DRN180L4270-X#</v>
          </cell>
        </row>
        <row r="2488">
          <cell r="A2488" t="str">
            <v>MR002476</v>
          </cell>
          <cell r="B2488" t="str">
            <v>MR</v>
          </cell>
          <cell r="C2488">
            <v>22</v>
          </cell>
          <cell r="D2488">
            <v>12</v>
          </cell>
          <cell r="E2488" t="str">
            <v>KH157</v>
          </cell>
          <cell r="F2488">
            <v>17400</v>
          </cell>
          <cell r="G2488">
            <v>122.39</v>
          </cell>
          <cell r="H2488">
            <v>1.1499999999999999</v>
          </cell>
          <cell r="I2488" t="str">
            <v>From M1A to M2A - 45°</v>
          </cell>
          <cell r="J2488" t="str">
            <v>IE3</v>
          </cell>
          <cell r="K2488" t="str">
            <v>400/690</v>
          </cell>
          <cell r="L2488">
            <v>50</v>
          </cell>
          <cell r="M2488" t="str">
            <v>38,5/22,5</v>
          </cell>
          <cell r="N2488">
            <v>55</v>
          </cell>
          <cell r="O2488" t="str">
            <v>155(F)</v>
          </cell>
          <cell r="P2488" t="str">
            <v>270°</v>
          </cell>
          <cell r="Q2488" t="str">
            <v>TF</v>
          </cell>
          <cell r="R2488" t="str">
            <v>V(VE)</v>
          </cell>
          <cell r="S2488" t="str">
            <v>-</v>
          </cell>
          <cell r="T2488" t="str">
            <v>-</v>
          </cell>
          <cell r="U2488" t="str">
            <v>-</v>
          </cell>
          <cell r="V2488" t="str">
            <v>FC</v>
          </cell>
          <cell r="W2488" t="str">
            <v>YES</v>
          </cell>
          <cell r="X2488" t="str">
            <v>CLP HC 220 (-25/+60°C)</v>
          </cell>
          <cell r="Y2488" t="str">
            <v>KH157DRN180L4 /TF/V</v>
          </cell>
          <cell r="Z2488" t="str">
            <v>SEW</v>
          </cell>
          <cell r="AB2488" t="str">
            <v>-</v>
          </cell>
          <cell r="AF2488">
            <v>12</v>
          </cell>
          <cell r="AG2488" t="str">
            <v>DRN180L4</v>
          </cell>
          <cell r="AH2488" t="str">
            <v>KH157-DRN180L4A270-X#</v>
          </cell>
        </row>
        <row r="2489">
          <cell r="A2489" t="str">
            <v>MR002477</v>
          </cell>
          <cell r="B2489" t="str">
            <v>MR</v>
          </cell>
          <cell r="C2489">
            <v>22</v>
          </cell>
          <cell r="D2489">
            <v>12</v>
          </cell>
          <cell r="E2489" t="str">
            <v>KH157</v>
          </cell>
          <cell r="F2489">
            <v>17400</v>
          </cell>
          <cell r="G2489">
            <v>122.39</v>
          </cell>
          <cell r="H2489">
            <v>1.1499999999999999</v>
          </cell>
          <cell r="I2489" t="str">
            <v>From M1B to M2B - 45°</v>
          </cell>
          <cell r="J2489" t="str">
            <v>IE3</v>
          </cell>
          <cell r="K2489" t="str">
            <v>400/690</v>
          </cell>
          <cell r="L2489">
            <v>50</v>
          </cell>
          <cell r="M2489" t="str">
            <v>38,5/22,5</v>
          </cell>
          <cell r="N2489">
            <v>55</v>
          </cell>
          <cell r="O2489" t="str">
            <v>155(F)</v>
          </cell>
          <cell r="P2489" t="str">
            <v>270°</v>
          </cell>
          <cell r="Q2489" t="str">
            <v>TF</v>
          </cell>
          <cell r="R2489" t="str">
            <v>V(VE)</v>
          </cell>
          <cell r="S2489" t="str">
            <v>-</v>
          </cell>
          <cell r="T2489" t="str">
            <v>-</v>
          </cell>
          <cell r="U2489" t="str">
            <v>-</v>
          </cell>
          <cell r="V2489" t="str">
            <v>FC</v>
          </cell>
          <cell r="W2489" t="str">
            <v>YES</v>
          </cell>
          <cell r="X2489" t="str">
            <v>CLP HC 220 (-25/+60°C)</v>
          </cell>
          <cell r="Y2489" t="str">
            <v>KH157DRN180L4 /TF/V</v>
          </cell>
          <cell r="Z2489" t="str">
            <v>SEW</v>
          </cell>
          <cell r="AB2489" t="str">
            <v>-</v>
          </cell>
          <cell r="AF2489">
            <v>12</v>
          </cell>
          <cell r="AG2489" t="str">
            <v>DRN180L4</v>
          </cell>
          <cell r="AH2489" t="str">
            <v>KH157-DRN180L4B270-X#</v>
          </cell>
        </row>
        <row r="2490">
          <cell r="A2490" t="str">
            <v>MR002478</v>
          </cell>
          <cell r="B2490" t="str">
            <v>MR</v>
          </cell>
          <cell r="C2490">
            <v>9.1999999999999993</v>
          </cell>
          <cell r="D2490">
            <v>15</v>
          </cell>
          <cell r="E2490" t="str">
            <v>KA107</v>
          </cell>
          <cell r="F2490">
            <v>6020</v>
          </cell>
          <cell r="G2490">
            <v>100.75</v>
          </cell>
          <cell r="H2490">
            <v>1.35</v>
          </cell>
          <cell r="I2490" t="str">
            <v>From M1A to M2A - 15°</v>
          </cell>
          <cell r="J2490" t="str">
            <v>IE3</v>
          </cell>
          <cell r="K2490" t="str">
            <v>400/690</v>
          </cell>
          <cell r="L2490">
            <v>50</v>
          </cell>
          <cell r="M2490" t="str">
            <v>18,7/10,8</v>
          </cell>
          <cell r="N2490">
            <v>55</v>
          </cell>
          <cell r="O2490" t="str">
            <v>155(F)</v>
          </cell>
          <cell r="P2490" t="str">
            <v>270°</v>
          </cell>
          <cell r="Q2490" t="str">
            <v>-</v>
          </cell>
          <cell r="R2490" t="str">
            <v>-</v>
          </cell>
          <cell r="S2490" t="str">
            <v>-</v>
          </cell>
          <cell r="T2490" t="str">
            <v>-</v>
          </cell>
          <cell r="U2490" t="str">
            <v>-</v>
          </cell>
          <cell r="V2490" t="str">
            <v>SS</v>
          </cell>
          <cell r="W2490" t="str">
            <v>-</v>
          </cell>
          <cell r="X2490" t="str">
            <v>CLP 220 (-15/+40°C)</v>
          </cell>
          <cell r="Y2490" t="str">
            <v>KA107DRN132L4</v>
          </cell>
          <cell r="Z2490" t="str">
            <v>SEW</v>
          </cell>
          <cell r="AB2490" t="str">
            <v>-</v>
          </cell>
          <cell r="AF2490">
            <v>15</v>
          </cell>
          <cell r="AG2490" t="str">
            <v>DRN132L4</v>
          </cell>
          <cell r="AH2490" t="str">
            <v>KA107-DRN132L4A270-X</v>
          </cell>
        </row>
        <row r="2491">
          <cell r="A2491" t="str">
            <v>MR002479</v>
          </cell>
          <cell r="B2491" t="str">
            <v>MR</v>
          </cell>
          <cell r="C2491">
            <v>9.1999999999999993</v>
          </cell>
          <cell r="D2491">
            <v>15</v>
          </cell>
          <cell r="E2491" t="str">
            <v>KA107</v>
          </cell>
          <cell r="F2491">
            <v>6020</v>
          </cell>
          <cell r="G2491">
            <v>100.75</v>
          </cell>
          <cell r="H2491">
            <v>1.35</v>
          </cell>
          <cell r="I2491" t="str">
            <v>From M1B to M2B - 15°</v>
          </cell>
          <cell r="J2491" t="str">
            <v>IE3</v>
          </cell>
          <cell r="K2491" t="str">
            <v>400/690</v>
          </cell>
          <cell r="L2491">
            <v>50</v>
          </cell>
          <cell r="M2491" t="str">
            <v>18,7/10,8</v>
          </cell>
          <cell r="N2491">
            <v>55</v>
          </cell>
          <cell r="O2491" t="str">
            <v>155(F)</v>
          </cell>
          <cell r="P2491" t="str">
            <v>270°</v>
          </cell>
          <cell r="Q2491" t="str">
            <v>-</v>
          </cell>
          <cell r="R2491" t="str">
            <v>-</v>
          </cell>
          <cell r="S2491" t="str">
            <v>-</v>
          </cell>
          <cell r="T2491" t="str">
            <v>-</v>
          </cell>
          <cell r="U2491" t="str">
            <v>-</v>
          </cell>
          <cell r="V2491" t="str">
            <v>SS</v>
          </cell>
          <cell r="W2491" t="str">
            <v>-</v>
          </cell>
          <cell r="X2491" t="str">
            <v>CLP 220 (-15/+40°C)</v>
          </cell>
          <cell r="Y2491" t="str">
            <v>KA107DRN132L4</v>
          </cell>
          <cell r="Z2491" t="str">
            <v>SEW</v>
          </cell>
          <cell r="AB2491" t="str">
            <v>-</v>
          </cell>
          <cell r="AF2491">
            <v>15</v>
          </cell>
          <cell r="AG2491" t="str">
            <v>DRN132L4</v>
          </cell>
          <cell r="AH2491" t="str">
            <v>KA107-DRN132L4B270-X</v>
          </cell>
        </row>
        <row r="2492">
          <cell r="A2492" t="str">
            <v>MR002480</v>
          </cell>
          <cell r="B2492" t="str">
            <v>MR</v>
          </cell>
          <cell r="C2492">
            <v>4</v>
          </cell>
          <cell r="D2492">
            <v>63</v>
          </cell>
          <cell r="E2492" t="str">
            <v>R77</v>
          </cell>
          <cell r="F2492">
            <v>605</v>
          </cell>
          <cell r="G2492">
            <v>23.37</v>
          </cell>
          <cell r="H2492">
            <v>1.35</v>
          </cell>
          <cell r="I2492" t="str">
            <v>M1</v>
          </cell>
          <cell r="J2492" t="str">
            <v>IE3</v>
          </cell>
          <cell r="K2492" t="str">
            <v>230/400</v>
          </cell>
          <cell r="L2492">
            <v>50</v>
          </cell>
          <cell r="M2492" t="str">
            <v>13,8/7,9</v>
          </cell>
          <cell r="N2492">
            <v>55</v>
          </cell>
          <cell r="O2492" t="str">
            <v>155(F)</v>
          </cell>
          <cell r="P2492" t="str">
            <v>270°</v>
          </cell>
          <cell r="Q2492" t="str">
            <v>-</v>
          </cell>
          <cell r="R2492" t="str">
            <v>-</v>
          </cell>
          <cell r="S2492" t="str">
            <v>-</v>
          </cell>
          <cell r="T2492" t="str">
            <v>-</v>
          </cell>
          <cell r="U2492" t="str">
            <v>-</v>
          </cell>
          <cell r="V2492" t="str">
            <v>D</v>
          </cell>
          <cell r="W2492" t="str">
            <v>-</v>
          </cell>
          <cell r="X2492" t="str">
            <v>CLP 220 (-15/+40°C)</v>
          </cell>
          <cell r="Y2492" t="str">
            <v>R77DRN112M4</v>
          </cell>
          <cell r="Z2492" t="str">
            <v>SEW</v>
          </cell>
          <cell r="AB2492" t="str">
            <v>-</v>
          </cell>
          <cell r="AF2492">
            <v>63</v>
          </cell>
          <cell r="AG2492" t="str">
            <v>DRN112M4</v>
          </cell>
          <cell r="AH2492" t="str">
            <v>R77-DRN112M4270-X</v>
          </cell>
        </row>
        <row r="2493">
          <cell r="A2493" t="str">
            <v>MR002481</v>
          </cell>
          <cell r="B2493" t="str">
            <v>MR</v>
          </cell>
          <cell r="C2493">
            <v>9.1999999999999993</v>
          </cell>
          <cell r="D2493">
            <v>53</v>
          </cell>
          <cell r="E2493" t="str">
            <v>R97</v>
          </cell>
          <cell r="F2493">
            <v>1640</v>
          </cell>
          <cell r="G2493">
            <v>27.58</v>
          </cell>
          <cell r="H2493">
            <v>1.6</v>
          </cell>
          <cell r="I2493" t="str">
            <v>From M1 to M4 - 15°</v>
          </cell>
          <cell r="J2493" t="str">
            <v>IE3</v>
          </cell>
          <cell r="K2493" t="str">
            <v>400/690</v>
          </cell>
          <cell r="L2493">
            <v>50</v>
          </cell>
          <cell r="M2493" t="str">
            <v>18,7/10,8</v>
          </cell>
          <cell r="N2493">
            <v>55</v>
          </cell>
          <cell r="O2493" t="str">
            <v>155(F)</v>
          </cell>
          <cell r="P2493" t="str">
            <v>270°</v>
          </cell>
          <cell r="Q2493" t="str">
            <v>-</v>
          </cell>
          <cell r="R2493" t="str">
            <v>-</v>
          </cell>
          <cell r="S2493" t="str">
            <v>-</v>
          </cell>
          <cell r="T2493" t="str">
            <v>-</v>
          </cell>
          <cell r="U2493" t="str">
            <v>-</v>
          </cell>
          <cell r="V2493" t="str">
            <v>D</v>
          </cell>
          <cell r="W2493" t="str">
            <v>-</v>
          </cell>
          <cell r="X2493" t="str">
            <v>CLP 220 (-15/+40°C)</v>
          </cell>
          <cell r="Y2493" t="str">
            <v>R97DRN132L4</v>
          </cell>
          <cell r="Z2493" t="str">
            <v>SEW</v>
          </cell>
          <cell r="AB2493" t="str">
            <v>-</v>
          </cell>
          <cell r="AF2493">
            <v>53</v>
          </cell>
          <cell r="AG2493" t="str">
            <v>DRN132L4</v>
          </cell>
          <cell r="AH2493" t="str">
            <v>R97-DRN132L4270-X</v>
          </cell>
        </row>
        <row r="2494">
          <cell r="A2494" t="str">
            <v>MR002482</v>
          </cell>
          <cell r="B2494" t="str">
            <v>MR</v>
          </cell>
          <cell r="C2494">
            <v>7.5</v>
          </cell>
          <cell r="D2494">
            <v>53</v>
          </cell>
          <cell r="E2494" t="str">
            <v>R97</v>
          </cell>
          <cell r="F2494">
            <v>1340</v>
          </cell>
          <cell r="G2494">
            <v>27.58</v>
          </cell>
          <cell r="H2494">
            <v>2</v>
          </cell>
          <cell r="I2494" t="str">
            <v>From M1 to M4 - 15°</v>
          </cell>
          <cell r="J2494" t="str">
            <v>IE3</v>
          </cell>
          <cell r="K2494" t="str">
            <v>400/690</v>
          </cell>
          <cell r="L2494">
            <v>50</v>
          </cell>
          <cell r="M2494" t="str">
            <v>15,2/8,8</v>
          </cell>
          <cell r="N2494">
            <v>55</v>
          </cell>
          <cell r="O2494" t="str">
            <v>155(F)</v>
          </cell>
          <cell r="P2494" t="str">
            <v>270°</v>
          </cell>
          <cell r="Q2494" t="str">
            <v>-</v>
          </cell>
          <cell r="R2494" t="str">
            <v>-</v>
          </cell>
          <cell r="S2494" t="str">
            <v>-</v>
          </cell>
          <cell r="T2494" t="str">
            <v>-</v>
          </cell>
          <cell r="U2494" t="str">
            <v>-</v>
          </cell>
          <cell r="V2494" t="str">
            <v>D</v>
          </cell>
          <cell r="W2494" t="str">
            <v>-</v>
          </cell>
          <cell r="X2494" t="str">
            <v>CLP 220 (-15/+40°C)</v>
          </cell>
          <cell r="Y2494" t="str">
            <v>R97DRN132M4</v>
          </cell>
          <cell r="Z2494" t="str">
            <v>SEW</v>
          </cell>
          <cell r="AB2494" t="str">
            <v>-</v>
          </cell>
          <cell r="AF2494">
            <v>53</v>
          </cell>
          <cell r="AG2494" t="str">
            <v>DRN132M4</v>
          </cell>
          <cell r="AH2494" t="str">
            <v>R97-DRN132M4270-X</v>
          </cell>
        </row>
        <row r="2495">
          <cell r="A2495" t="str">
            <v>MR002483</v>
          </cell>
          <cell r="B2495" t="str">
            <v>MR</v>
          </cell>
          <cell r="C2495">
            <v>11</v>
          </cell>
          <cell r="D2495">
            <v>59</v>
          </cell>
          <cell r="E2495" t="str">
            <v>R107</v>
          </cell>
          <cell r="F2495">
            <v>1770</v>
          </cell>
          <cell r="G2495">
            <v>24.9</v>
          </cell>
          <cell r="H2495">
            <v>2.4</v>
          </cell>
          <cell r="I2495" t="str">
            <v>From M1 to M4 - 20°</v>
          </cell>
          <cell r="J2495" t="str">
            <v>IE3</v>
          </cell>
          <cell r="K2495" t="str">
            <v>400/690</v>
          </cell>
          <cell r="L2495">
            <v>50</v>
          </cell>
          <cell r="M2495" t="str">
            <v>21/12,2</v>
          </cell>
          <cell r="N2495">
            <v>55</v>
          </cell>
          <cell r="O2495" t="str">
            <v>155(F)</v>
          </cell>
          <cell r="P2495" t="str">
            <v>270°</v>
          </cell>
          <cell r="Q2495" t="str">
            <v>-</v>
          </cell>
          <cell r="R2495" t="str">
            <v>-</v>
          </cell>
          <cell r="S2495" t="str">
            <v>-</v>
          </cell>
          <cell r="T2495" t="str">
            <v>-</v>
          </cell>
          <cell r="U2495" t="str">
            <v>-</v>
          </cell>
          <cell r="V2495" t="str">
            <v>D</v>
          </cell>
          <cell r="W2495" t="str">
            <v>-</v>
          </cell>
          <cell r="X2495" t="str">
            <v>CLP 220 (-15/+40°C)</v>
          </cell>
          <cell r="Y2495" t="str">
            <v>R107DRN160M4</v>
          </cell>
          <cell r="Z2495" t="str">
            <v>SEW</v>
          </cell>
          <cell r="AB2495" t="str">
            <v>-</v>
          </cell>
          <cell r="AF2495">
            <v>59</v>
          </cell>
          <cell r="AG2495" t="str">
            <v>DRN160M4</v>
          </cell>
          <cell r="AH2495" t="str">
            <v>R107-DRN160M4270-X</v>
          </cell>
        </row>
        <row r="2496">
          <cell r="A2496" t="str">
            <v>MR002484</v>
          </cell>
          <cell r="B2496" t="str">
            <v>MR</v>
          </cell>
          <cell r="C2496">
            <v>9.1999999999999993</v>
          </cell>
          <cell r="D2496">
            <v>15</v>
          </cell>
          <cell r="E2496" t="str">
            <v>KH107</v>
          </cell>
          <cell r="F2496">
            <v>6020</v>
          </cell>
          <cell r="G2496">
            <v>100.75</v>
          </cell>
          <cell r="H2496">
            <v>1.35</v>
          </cell>
          <cell r="I2496" t="str">
            <v>From M1A to M2A - 15°</v>
          </cell>
          <cell r="J2496" t="str">
            <v>IE3</v>
          </cell>
          <cell r="K2496" t="str">
            <v>380/660</v>
          </cell>
          <cell r="L2496">
            <v>50</v>
          </cell>
          <cell r="M2496" t="str">
            <v>19,7/11,3</v>
          </cell>
          <cell r="N2496">
            <v>65</v>
          </cell>
          <cell r="O2496" t="str">
            <v>155(F)</v>
          </cell>
          <cell r="P2496" t="str">
            <v>270°</v>
          </cell>
          <cell r="Q2496" t="str">
            <v>-</v>
          </cell>
          <cell r="R2496" t="str">
            <v>-</v>
          </cell>
          <cell r="S2496" t="str">
            <v>-</v>
          </cell>
          <cell r="T2496" t="str">
            <v>-</v>
          </cell>
          <cell r="U2496" t="str">
            <v>-</v>
          </cell>
          <cell r="V2496" t="str">
            <v>SS</v>
          </cell>
          <cell r="W2496" t="str">
            <v>YES</v>
          </cell>
          <cell r="X2496" t="str">
            <v>CLP HC 220 (-25/+60°C)</v>
          </cell>
          <cell r="Y2496" t="str">
            <v>KH107DRN132L4</v>
          </cell>
          <cell r="Z2496" t="str">
            <v>SEW</v>
          </cell>
          <cell r="AB2496" t="str">
            <v>-</v>
          </cell>
          <cell r="AE2496" t="str">
            <v>EAC Certified</v>
          </cell>
          <cell r="AF2496">
            <v>15</v>
          </cell>
          <cell r="AG2496" t="str">
            <v>DRN132L4</v>
          </cell>
          <cell r="AH2496" t="str">
            <v>KH107-DRN132L4A270-X</v>
          </cell>
        </row>
        <row r="2497">
          <cell r="A2497" t="str">
            <v>MR002485</v>
          </cell>
          <cell r="B2497" t="str">
            <v>MR</v>
          </cell>
          <cell r="C2497">
            <v>9.1999999999999993</v>
          </cell>
          <cell r="D2497">
            <v>15</v>
          </cell>
          <cell r="E2497" t="str">
            <v>KH107</v>
          </cell>
          <cell r="F2497">
            <v>6020</v>
          </cell>
          <cell r="G2497">
            <v>100.75</v>
          </cell>
          <cell r="H2497">
            <v>1.35</v>
          </cell>
          <cell r="I2497" t="str">
            <v>From M1B to M2B - 15°</v>
          </cell>
          <cell r="J2497" t="str">
            <v>IE3</v>
          </cell>
          <cell r="K2497" t="str">
            <v>380/660</v>
          </cell>
          <cell r="L2497">
            <v>50</v>
          </cell>
          <cell r="M2497" t="str">
            <v>19,7/11,3</v>
          </cell>
          <cell r="N2497">
            <v>65</v>
          </cell>
          <cell r="O2497" t="str">
            <v>155(F)</v>
          </cell>
          <cell r="P2497" t="str">
            <v>270°</v>
          </cell>
          <cell r="Q2497" t="str">
            <v>-</v>
          </cell>
          <cell r="R2497" t="str">
            <v>-</v>
          </cell>
          <cell r="S2497" t="str">
            <v>-</v>
          </cell>
          <cell r="T2497" t="str">
            <v>-</v>
          </cell>
          <cell r="U2497" t="str">
            <v>-</v>
          </cell>
          <cell r="V2497" t="str">
            <v>SS</v>
          </cell>
          <cell r="W2497" t="str">
            <v>YES</v>
          </cell>
          <cell r="X2497" t="str">
            <v>CLP HC 220 (-25/+60°C)</v>
          </cell>
          <cell r="Y2497" t="str">
            <v>KH107DRN132L4</v>
          </cell>
          <cell r="Z2497" t="str">
            <v>SEW</v>
          </cell>
          <cell r="AB2497" t="str">
            <v>-</v>
          </cell>
          <cell r="AE2497" t="str">
            <v>EAC Certified</v>
          </cell>
          <cell r="AF2497">
            <v>15</v>
          </cell>
          <cell r="AG2497" t="str">
            <v>DRN132L4</v>
          </cell>
          <cell r="AH2497" t="str">
            <v>KH107-DRN132L4B270-X</v>
          </cell>
        </row>
        <row r="2498">
          <cell r="A2498" t="str">
            <v>MR002486</v>
          </cell>
          <cell r="B2498" t="str">
            <v>MR</v>
          </cell>
          <cell r="C2498">
            <v>7.5</v>
          </cell>
          <cell r="D2498">
            <v>15</v>
          </cell>
          <cell r="E2498" t="str">
            <v>KH107</v>
          </cell>
          <cell r="F2498">
            <v>4920</v>
          </cell>
          <cell r="G2498">
            <v>100.75</v>
          </cell>
          <cell r="H2498">
            <v>1.65</v>
          </cell>
          <cell r="I2498" t="str">
            <v>From M1A to M2A - 40°</v>
          </cell>
          <cell r="J2498" t="str">
            <v>IE3</v>
          </cell>
          <cell r="K2498" t="str">
            <v>380/660</v>
          </cell>
          <cell r="L2498">
            <v>50</v>
          </cell>
          <cell r="M2498" t="str">
            <v>16/9,2</v>
          </cell>
          <cell r="N2498">
            <v>65</v>
          </cell>
          <cell r="O2498" t="str">
            <v>155(F)</v>
          </cell>
          <cell r="P2498" t="str">
            <v>270°</v>
          </cell>
          <cell r="Q2498" t="str">
            <v>-</v>
          </cell>
          <cell r="R2498" t="str">
            <v>-</v>
          </cell>
          <cell r="S2498" t="str">
            <v>-</v>
          </cell>
          <cell r="T2498" t="str">
            <v>-</v>
          </cell>
          <cell r="U2498" t="str">
            <v>-</v>
          </cell>
          <cell r="V2498" t="str">
            <v>SS</v>
          </cell>
          <cell r="W2498" t="str">
            <v>YES</v>
          </cell>
          <cell r="X2498" t="str">
            <v>CLP HC 220 (-25/+60°C)</v>
          </cell>
          <cell r="Y2498" t="str">
            <v>KH107DRN132M4</v>
          </cell>
          <cell r="Z2498" t="str">
            <v>SEW</v>
          </cell>
          <cell r="AB2498" t="str">
            <v>-</v>
          </cell>
          <cell r="AE2498" t="str">
            <v>EAC Certified</v>
          </cell>
          <cell r="AF2498">
            <v>15</v>
          </cell>
          <cell r="AG2498" t="str">
            <v>DRN132M4</v>
          </cell>
          <cell r="AH2498" t="str">
            <v>KH107-DRN132M4A270-X</v>
          </cell>
        </row>
        <row r="2499">
          <cell r="A2499" t="str">
            <v>MR002487</v>
          </cell>
          <cell r="B2499" t="str">
            <v>MR</v>
          </cell>
          <cell r="C2499">
            <v>7.5</v>
          </cell>
          <cell r="D2499">
            <v>15</v>
          </cell>
          <cell r="E2499" t="str">
            <v>KH107</v>
          </cell>
          <cell r="F2499">
            <v>4920</v>
          </cell>
          <cell r="G2499">
            <v>100.75</v>
          </cell>
          <cell r="H2499">
            <v>1.65</v>
          </cell>
          <cell r="I2499" t="str">
            <v>From M1B to M2B - 40°</v>
          </cell>
          <cell r="J2499" t="str">
            <v>IE3</v>
          </cell>
          <cell r="K2499" t="str">
            <v>380/660</v>
          </cell>
          <cell r="L2499">
            <v>50</v>
          </cell>
          <cell r="M2499" t="str">
            <v>16/9,2</v>
          </cell>
          <cell r="N2499">
            <v>65</v>
          </cell>
          <cell r="O2499" t="str">
            <v>155(F)</v>
          </cell>
          <cell r="P2499" t="str">
            <v>270°</v>
          </cell>
          <cell r="Q2499" t="str">
            <v>-</v>
          </cell>
          <cell r="R2499" t="str">
            <v>-</v>
          </cell>
          <cell r="S2499" t="str">
            <v>-</v>
          </cell>
          <cell r="T2499" t="str">
            <v>-</v>
          </cell>
          <cell r="U2499" t="str">
            <v>-</v>
          </cell>
          <cell r="V2499" t="str">
            <v>SS</v>
          </cell>
          <cell r="W2499" t="str">
            <v>YES</v>
          </cell>
          <cell r="X2499" t="str">
            <v>CLP HC 220 (-25/+60°C)</v>
          </cell>
          <cell r="Y2499" t="str">
            <v>KH107DRN132M4</v>
          </cell>
          <cell r="Z2499" t="str">
            <v>SEW</v>
          </cell>
          <cell r="AB2499" t="str">
            <v>-</v>
          </cell>
          <cell r="AE2499" t="str">
            <v>EAC Certified</v>
          </cell>
          <cell r="AF2499">
            <v>15</v>
          </cell>
          <cell r="AG2499" t="str">
            <v>DRN132M4</v>
          </cell>
          <cell r="AH2499" t="str">
            <v>KH107-DRN132M4B270-X</v>
          </cell>
        </row>
        <row r="2500">
          <cell r="A2500" t="str">
            <v>MR002488</v>
          </cell>
          <cell r="B2500" t="str">
            <v>MR</v>
          </cell>
          <cell r="C2500">
            <v>9.1999999999999993</v>
          </cell>
          <cell r="D2500">
            <v>15</v>
          </cell>
          <cell r="E2500" t="str">
            <v>KH107</v>
          </cell>
          <cell r="F2500">
            <v>6020</v>
          </cell>
          <cell r="G2500">
            <v>100.75</v>
          </cell>
          <cell r="H2500">
            <v>1.35</v>
          </cell>
          <cell r="I2500" t="str">
            <v>From M1A to M2A - 30°</v>
          </cell>
          <cell r="J2500" t="str">
            <v>IE3</v>
          </cell>
          <cell r="K2500" t="str">
            <v>380/660</v>
          </cell>
          <cell r="L2500">
            <v>50</v>
          </cell>
          <cell r="M2500" t="str">
            <v>19,7/11,3</v>
          </cell>
          <cell r="N2500">
            <v>65</v>
          </cell>
          <cell r="O2500" t="str">
            <v>155(F)</v>
          </cell>
          <cell r="P2500" t="str">
            <v>270°</v>
          </cell>
          <cell r="Q2500" t="str">
            <v>TF</v>
          </cell>
          <cell r="R2500" t="str">
            <v>V(VE)</v>
          </cell>
          <cell r="S2500" t="str">
            <v>-</v>
          </cell>
          <cell r="T2500" t="str">
            <v>-</v>
          </cell>
          <cell r="U2500" t="str">
            <v>-</v>
          </cell>
          <cell r="V2500" t="str">
            <v>FC</v>
          </cell>
          <cell r="W2500" t="str">
            <v>YES</v>
          </cell>
          <cell r="X2500" t="str">
            <v>CLP HC 220 (-25/+60°C)</v>
          </cell>
          <cell r="Y2500" t="str">
            <v>KH107DRN132L4 /TF/V</v>
          </cell>
          <cell r="Z2500" t="str">
            <v>SEW</v>
          </cell>
          <cell r="AB2500" t="str">
            <v>-</v>
          </cell>
          <cell r="AE2500" t="str">
            <v>EAC Certified</v>
          </cell>
          <cell r="AF2500">
            <v>15</v>
          </cell>
          <cell r="AG2500" t="str">
            <v>DRN132L4</v>
          </cell>
          <cell r="AH2500" t="str">
            <v>KH107-DRN132L4A270-X#</v>
          </cell>
        </row>
        <row r="2501">
          <cell r="A2501" t="str">
            <v>MR002489</v>
          </cell>
          <cell r="B2501" t="str">
            <v>MR</v>
          </cell>
          <cell r="C2501">
            <v>22</v>
          </cell>
          <cell r="D2501">
            <v>46</v>
          </cell>
          <cell r="E2501" t="str">
            <v>FH107</v>
          </cell>
          <cell r="F2501">
            <v>4520</v>
          </cell>
          <cell r="G2501">
            <v>31.8</v>
          </cell>
          <cell r="H2501">
            <v>1.7</v>
          </cell>
          <cell r="I2501" t="str">
            <v>From M1  to M4 - 15°</v>
          </cell>
          <cell r="J2501" t="str">
            <v>IE3</v>
          </cell>
          <cell r="K2501" t="str">
            <v>400/690</v>
          </cell>
          <cell r="L2501">
            <v>50</v>
          </cell>
          <cell r="M2501" t="str">
            <v>38,5/22,5</v>
          </cell>
          <cell r="N2501">
            <v>55</v>
          </cell>
          <cell r="O2501" t="str">
            <v>155(F)</v>
          </cell>
          <cell r="P2501" t="str">
            <v>270°</v>
          </cell>
          <cell r="Q2501" t="str">
            <v>-</v>
          </cell>
          <cell r="R2501" t="str">
            <v>-</v>
          </cell>
          <cell r="S2501" t="str">
            <v>-</v>
          </cell>
          <cell r="T2501" t="str">
            <v>-</v>
          </cell>
          <cell r="U2501" t="str">
            <v>G</v>
          </cell>
          <cell r="V2501" t="str">
            <v>D</v>
          </cell>
          <cell r="W2501" t="str">
            <v>-</v>
          </cell>
          <cell r="X2501" t="str">
            <v>CLP 220 (-15/+40°C)</v>
          </cell>
          <cell r="Y2501" t="str">
            <v>FH107/G DRN180L4</v>
          </cell>
          <cell r="Z2501" t="str">
            <v>SEW</v>
          </cell>
          <cell r="AB2501" t="str">
            <v>-</v>
          </cell>
          <cell r="AF2501">
            <v>46</v>
          </cell>
          <cell r="AG2501" t="str">
            <v>DRN180L4</v>
          </cell>
          <cell r="AH2501" t="str">
            <v>FH107G-DRN180L4270-X</v>
          </cell>
        </row>
        <row r="2502">
          <cell r="A2502" t="str">
            <v>MR002490</v>
          </cell>
          <cell r="B2502" t="str">
            <v>MR</v>
          </cell>
          <cell r="C2502">
            <v>0.55000000000000004</v>
          </cell>
          <cell r="D2502">
            <v>0.74</v>
          </cell>
          <cell r="E2502" t="str">
            <v>KH107R77</v>
          </cell>
          <cell r="F2502">
            <v>6260</v>
          </cell>
          <cell r="G2502">
            <v>1939</v>
          </cell>
          <cell r="H2502">
            <v>1.3</v>
          </cell>
          <cell r="I2502" t="str">
            <v>From M4A to M1A - 40°</v>
          </cell>
          <cell r="J2502" t="str">
            <v>IE3</v>
          </cell>
          <cell r="K2502" t="str">
            <v>230/400</v>
          </cell>
          <cell r="L2502">
            <v>50</v>
          </cell>
          <cell r="M2502" t="str">
            <v>2,25/1,29</v>
          </cell>
          <cell r="N2502">
            <v>55</v>
          </cell>
          <cell r="O2502" t="str">
            <v>155(F)</v>
          </cell>
          <cell r="P2502" t="str">
            <v>270°</v>
          </cell>
          <cell r="Q2502" t="str">
            <v>TH</v>
          </cell>
          <cell r="R2502" t="str">
            <v>-</v>
          </cell>
          <cell r="S2502" t="str">
            <v>-</v>
          </cell>
          <cell r="T2502" t="str">
            <v>-</v>
          </cell>
          <cell r="U2502" t="str">
            <v>-</v>
          </cell>
          <cell r="V2502" t="str">
            <v>FC</v>
          </cell>
          <cell r="W2502" t="str">
            <v>-</v>
          </cell>
          <cell r="X2502" t="str">
            <v>CLP 220 (-15/+40°C)</v>
          </cell>
          <cell r="Y2502" t="str">
            <v>KH107R77DRN80MK4/TH/RI</v>
          </cell>
          <cell r="Z2502" t="str">
            <v>SEW</v>
          </cell>
          <cell r="AB2502" t="str">
            <v>-</v>
          </cell>
          <cell r="AE2502" t="str">
            <v>Opzione isolamento rinforzato (RI)</v>
          </cell>
          <cell r="AF2502">
            <v>0.74</v>
          </cell>
          <cell r="AG2502" t="str">
            <v>DRN80MK4</v>
          </cell>
          <cell r="AH2502" t="str">
            <v>KH107R77-DRN80MK4A270-X</v>
          </cell>
        </row>
        <row r="2503">
          <cell r="A2503" t="str">
            <v>MR002491</v>
          </cell>
          <cell r="B2503" t="str">
            <v>ME</v>
          </cell>
          <cell r="C2503">
            <v>45</v>
          </cell>
          <cell r="D2503">
            <v>1478</v>
          </cell>
          <cell r="E2503" t="str">
            <v>-</v>
          </cell>
          <cell r="F2503">
            <v>290</v>
          </cell>
          <cell r="I2503" t="str">
            <v>IM V1</v>
          </cell>
          <cell r="J2503" t="str">
            <v>IE3</v>
          </cell>
          <cell r="K2503" t="str">
            <v>400/690</v>
          </cell>
          <cell r="L2503">
            <v>50</v>
          </cell>
          <cell r="M2503" t="str">
            <v>80/46,5</v>
          </cell>
          <cell r="N2503">
            <v>55</v>
          </cell>
          <cell r="O2503" t="str">
            <v>155(F)</v>
          </cell>
          <cell r="P2503" t="str">
            <v>TOP</v>
          </cell>
          <cell r="Q2503" t="str">
            <v>-</v>
          </cell>
          <cell r="R2503" t="str">
            <v>-</v>
          </cell>
          <cell r="S2503" t="str">
            <v>-</v>
          </cell>
          <cell r="T2503" t="str">
            <v>-</v>
          </cell>
          <cell r="U2503" t="str">
            <v>-</v>
          </cell>
          <cell r="V2503" t="str">
            <v>D</v>
          </cell>
          <cell r="W2503" t="str">
            <v>-</v>
          </cell>
          <cell r="X2503" t="str">
            <v>(if ATEX, synthetic only!)</v>
          </cell>
          <cell r="Y2503" t="str">
            <v>1LE1503-2BB23-4GA4-Z N11</v>
          </cell>
          <cell r="Z2503" t="str">
            <v>SIEMENS</v>
          </cell>
          <cell r="AB2503" t="str">
            <v>-</v>
          </cell>
          <cell r="AF2503">
            <v>1478</v>
          </cell>
          <cell r="AG2503" t="str">
            <v>DRN225M4</v>
          </cell>
          <cell r="AH2503" t="str">
            <v>--DRN225M4TOP-X</v>
          </cell>
        </row>
        <row r="2504">
          <cell r="A2504" t="str">
            <v>MR002492</v>
          </cell>
          <cell r="B2504" t="str">
            <v>ME</v>
          </cell>
          <cell r="C2504">
            <v>4</v>
          </cell>
          <cell r="D2504">
            <v>2950</v>
          </cell>
          <cell r="E2504" t="str">
            <v>-</v>
          </cell>
          <cell r="F2504">
            <v>12.9</v>
          </cell>
          <cell r="I2504" t="str">
            <v>IM B5</v>
          </cell>
          <cell r="J2504" t="str">
            <v>IE3</v>
          </cell>
          <cell r="K2504" t="str">
            <v>230/400</v>
          </cell>
          <cell r="L2504">
            <v>50</v>
          </cell>
          <cell r="M2504" t="str">
            <v>12,8/7,4</v>
          </cell>
          <cell r="N2504">
            <v>55</v>
          </cell>
          <cell r="O2504" t="str">
            <v>155(F)</v>
          </cell>
          <cell r="P2504" t="str">
            <v>TOP</v>
          </cell>
          <cell r="Q2504" t="str">
            <v>-</v>
          </cell>
          <cell r="R2504" t="str">
            <v>-</v>
          </cell>
          <cell r="S2504" t="str">
            <v>-</v>
          </cell>
          <cell r="T2504" t="str">
            <v>-</v>
          </cell>
          <cell r="U2504" t="str">
            <v>-</v>
          </cell>
          <cell r="V2504" t="str">
            <v>D</v>
          </cell>
          <cell r="W2504" t="str">
            <v>-</v>
          </cell>
          <cell r="X2504" t="str">
            <v>(if ATEX, synthetic only!)</v>
          </cell>
          <cell r="Y2504" t="str">
            <v>1LE1003-1BA22-2FA4-Z N11</v>
          </cell>
          <cell r="Z2504" t="str">
            <v>SIEMENS</v>
          </cell>
          <cell r="AB2504" t="str">
            <v>-</v>
          </cell>
          <cell r="AF2504">
            <v>2950</v>
          </cell>
          <cell r="AG2504" t="str">
            <v>DRN112M4</v>
          </cell>
          <cell r="AH2504" t="str">
            <v>--DRN112M4BTOP-X</v>
          </cell>
        </row>
        <row r="2505">
          <cell r="A2505" t="str">
            <v>MR002493</v>
          </cell>
          <cell r="B2505" t="str">
            <v>MR</v>
          </cell>
          <cell r="C2505">
            <v>7.5</v>
          </cell>
          <cell r="D2505">
            <v>53</v>
          </cell>
          <cell r="E2505" t="str">
            <v>R97</v>
          </cell>
          <cell r="F2505">
            <v>1340</v>
          </cell>
          <cell r="G2505">
            <v>27.58</v>
          </cell>
          <cell r="H2505">
            <v>2</v>
          </cell>
          <cell r="I2505" t="str">
            <v>M1</v>
          </cell>
          <cell r="J2505" t="str">
            <v>IE3</v>
          </cell>
          <cell r="K2505" t="str">
            <v>400/690</v>
          </cell>
          <cell r="L2505">
            <v>50</v>
          </cell>
          <cell r="M2505" t="str">
            <v>15,2/8,8</v>
          </cell>
          <cell r="N2505">
            <v>55</v>
          </cell>
          <cell r="O2505" t="str">
            <v>155(F)</v>
          </cell>
          <cell r="P2505" t="str">
            <v>270°</v>
          </cell>
          <cell r="Q2505" t="str">
            <v>-</v>
          </cell>
          <cell r="R2505" t="str">
            <v>-</v>
          </cell>
          <cell r="S2505" t="str">
            <v>-</v>
          </cell>
          <cell r="T2505" t="str">
            <v>-</v>
          </cell>
          <cell r="U2505" t="str">
            <v>-</v>
          </cell>
          <cell r="V2505" t="str">
            <v>D</v>
          </cell>
          <cell r="W2505" t="str">
            <v>-</v>
          </cell>
          <cell r="X2505" t="str">
            <v>CLP 220 (-15/+40°C)</v>
          </cell>
          <cell r="Y2505" t="str">
            <v>R97DRN132M4</v>
          </cell>
          <cell r="Z2505" t="str">
            <v>SEW</v>
          </cell>
          <cell r="AB2505" t="str">
            <v>-</v>
          </cell>
          <cell r="AF2505">
            <v>53</v>
          </cell>
          <cell r="AG2505" t="str">
            <v>DRN132M4</v>
          </cell>
          <cell r="AH2505" t="str">
            <v>R97-DRN132M4270-X</v>
          </cell>
        </row>
        <row r="2506">
          <cell r="A2506" t="str">
            <v>MR002494</v>
          </cell>
          <cell r="B2506" t="str">
            <v>ME</v>
          </cell>
          <cell r="C2506">
            <v>30</v>
          </cell>
          <cell r="D2506">
            <v>1483</v>
          </cell>
          <cell r="E2506" t="str">
            <v>-</v>
          </cell>
          <cell r="F2506">
            <v>193.2</v>
          </cell>
          <cell r="I2506" t="str">
            <v>IM B5</v>
          </cell>
          <cell r="J2506" t="str">
            <v>IE3</v>
          </cell>
          <cell r="K2506" t="str">
            <v>400/690</v>
          </cell>
          <cell r="L2506">
            <v>50</v>
          </cell>
          <cell r="M2506">
            <v>54.8</v>
          </cell>
          <cell r="N2506">
            <v>55</v>
          </cell>
          <cell r="O2506" t="str">
            <v>155(F)</v>
          </cell>
          <cell r="Q2506" t="str">
            <v>TF</v>
          </cell>
          <cell r="R2506" t="str">
            <v>V(VE)</v>
          </cell>
          <cell r="S2506" t="str">
            <v>-</v>
          </cell>
          <cell r="T2506" t="str">
            <v>-</v>
          </cell>
          <cell r="U2506" t="str">
            <v>-</v>
          </cell>
          <cell r="V2506" t="str">
            <v>FC</v>
          </cell>
          <cell r="W2506" t="str">
            <v>-</v>
          </cell>
          <cell r="X2506" t="str">
            <v>(if ATEX, synthetic only!)</v>
          </cell>
          <cell r="Y2506" t="str">
            <v>BX200 LA4 400/690-50 IP55 CLF B5 N E3 U1</v>
          </cell>
          <cell r="Z2506" t="str">
            <v>ABB</v>
          </cell>
          <cell r="AB2506" t="str">
            <v>-</v>
          </cell>
          <cell r="AF2506">
            <v>1483</v>
          </cell>
          <cell r="AG2506" t="str">
            <v>DRN200L4</v>
          </cell>
          <cell r="AH2506" t="str">
            <v>--DRN200L4B-X#</v>
          </cell>
        </row>
        <row r="2507">
          <cell r="A2507" t="str">
            <v>MR002495</v>
          </cell>
          <cell r="B2507" t="str">
            <v>R</v>
          </cell>
          <cell r="C2507" t="str">
            <v>-</v>
          </cell>
          <cell r="D2507">
            <v>8.1300000000000008</v>
          </cell>
          <cell r="E2507" t="str">
            <v>-</v>
          </cell>
          <cell r="F2507">
            <v>28200</v>
          </cell>
          <cell r="G2507">
            <v>182.4</v>
          </cell>
          <cell r="I2507" t="str">
            <v>AF</v>
          </cell>
          <cell r="L2507">
            <v>50</v>
          </cell>
          <cell r="Q2507" t="str">
            <v>-</v>
          </cell>
          <cell r="R2507" t="str">
            <v>-</v>
          </cell>
          <cell r="S2507" t="str">
            <v>-</v>
          </cell>
          <cell r="T2507" t="str">
            <v>-</v>
          </cell>
          <cell r="U2507" t="str">
            <v>-</v>
          </cell>
          <cell r="V2507" t="str">
            <v>-</v>
          </cell>
          <cell r="W2507" t="str">
            <v>-</v>
          </cell>
          <cell r="X2507" t="str">
            <v>SHELL OMALA S4 WE 320</v>
          </cell>
          <cell r="Y2507" t="str">
            <v>3/A 11M L2 182,4 FP P200 AF LM G0A</v>
          </cell>
          <cell r="Z2507" t="str">
            <v>BONFIGLIOLI</v>
          </cell>
          <cell r="AB2507" t="str">
            <v>-</v>
          </cell>
          <cell r="AF2507">
            <v>8.1300000000000008</v>
          </cell>
          <cell r="AG2507" t="str">
            <v>-</v>
          </cell>
          <cell r="AH2507" t="str">
            <v>---A-X</v>
          </cell>
        </row>
        <row r="2508">
          <cell r="A2508" t="str">
            <v>MR002496</v>
          </cell>
          <cell r="B2508" t="str">
            <v>MR</v>
          </cell>
          <cell r="C2508">
            <v>30</v>
          </cell>
          <cell r="D2508">
            <v>15</v>
          </cell>
          <cell r="E2508" t="str">
            <v>KH157</v>
          </cell>
          <cell r="F2508">
            <v>19400</v>
          </cell>
          <cell r="G2508">
            <v>100.22</v>
          </cell>
          <cell r="H2508">
            <v>1.05</v>
          </cell>
          <cell r="I2508" t="str">
            <v>From M4A to M1A - 20°</v>
          </cell>
          <cell r="J2508" t="str">
            <v>IE3</v>
          </cell>
          <cell r="K2508" t="str">
            <v>400/690</v>
          </cell>
          <cell r="L2508">
            <v>50</v>
          </cell>
          <cell r="M2508" t="str">
            <v>56/32,5</v>
          </cell>
          <cell r="N2508">
            <v>55</v>
          </cell>
          <cell r="O2508" t="str">
            <v>155(F)</v>
          </cell>
          <cell r="P2508" t="str">
            <v>270°</v>
          </cell>
          <cell r="Q2508" t="str">
            <v>TF</v>
          </cell>
          <cell r="R2508" t="str">
            <v>V(VE)</v>
          </cell>
          <cell r="S2508" t="str">
            <v>-</v>
          </cell>
          <cell r="T2508" t="str">
            <v>-</v>
          </cell>
          <cell r="U2508" t="str">
            <v>-</v>
          </cell>
          <cell r="V2508" t="str">
            <v>FC</v>
          </cell>
          <cell r="W2508" t="str">
            <v>YES</v>
          </cell>
          <cell r="X2508" t="str">
            <v>CLP HC 150 (-30/+50°C)</v>
          </cell>
          <cell r="Y2508" t="str">
            <v>KH157DRN200L4/TF/V/C</v>
          </cell>
          <cell r="Z2508" t="str">
            <v>SEW</v>
          </cell>
          <cell r="AB2508" t="str">
            <v>-</v>
          </cell>
          <cell r="AE2508" t="str">
            <v>con cappellotto protezione ventola</v>
          </cell>
          <cell r="AF2508">
            <v>15</v>
          </cell>
          <cell r="AG2508" t="str">
            <v>DRN200L4</v>
          </cell>
          <cell r="AH2508" t="str">
            <v>KH157-DRN200L4A270-X#</v>
          </cell>
        </row>
        <row r="2509">
          <cell r="A2509" t="str">
            <v>MR002497</v>
          </cell>
          <cell r="B2509" t="str">
            <v>MR</v>
          </cell>
          <cell r="C2509">
            <v>30</v>
          </cell>
          <cell r="D2509">
            <v>15</v>
          </cell>
          <cell r="E2509" t="str">
            <v>KH157</v>
          </cell>
          <cell r="F2509">
            <v>19400</v>
          </cell>
          <cell r="G2509">
            <v>100.22</v>
          </cell>
          <cell r="H2509">
            <v>1.05</v>
          </cell>
          <cell r="I2509" t="str">
            <v>From M4B to M1B - 20°</v>
          </cell>
          <cell r="J2509" t="str">
            <v>IE3</v>
          </cell>
          <cell r="K2509" t="str">
            <v>400/690</v>
          </cell>
          <cell r="L2509">
            <v>50</v>
          </cell>
          <cell r="M2509" t="str">
            <v>56/32,5</v>
          </cell>
          <cell r="N2509">
            <v>55</v>
          </cell>
          <cell r="O2509" t="str">
            <v>155(F)</v>
          </cell>
          <cell r="P2509" t="str">
            <v>270°</v>
          </cell>
          <cell r="Q2509" t="str">
            <v>TF</v>
          </cell>
          <cell r="R2509" t="str">
            <v>V(VE)</v>
          </cell>
          <cell r="S2509" t="str">
            <v>-</v>
          </cell>
          <cell r="T2509" t="str">
            <v>-</v>
          </cell>
          <cell r="U2509" t="str">
            <v>-</v>
          </cell>
          <cell r="V2509" t="str">
            <v>FC</v>
          </cell>
          <cell r="W2509" t="str">
            <v>YES</v>
          </cell>
          <cell r="X2509" t="str">
            <v>CLP HC 150 (-30/+50°C)</v>
          </cell>
          <cell r="Y2509" t="str">
            <v>KH157DRN200L4/TF/V/C</v>
          </cell>
          <cell r="Z2509" t="str">
            <v>SEW</v>
          </cell>
          <cell r="AB2509" t="str">
            <v>-</v>
          </cell>
          <cell r="AE2509" t="str">
            <v>con cappellotto protezione ventola</v>
          </cell>
          <cell r="AF2509">
            <v>15</v>
          </cell>
          <cell r="AG2509" t="str">
            <v>DRN200L4</v>
          </cell>
          <cell r="AH2509" t="str">
            <v>KH157-DRN200L4B270-X#</v>
          </cell>
        </row>
        <row r="2510">
          <cell r="A2510" t="str">
            <v>MR002498</v>
          </cell>
          <cell r="B2510" t="str">
            <v>MR</v>
          </cell>
          <cell r="C2510">
            <v>15</v>
          </cell>
          <cell r="D2510">
            <v>22</v>
          </cell>
          <cell r="E2510" t="str">
            <v>KH107</v>
          </cell>
          <cell r="F2510">
            <v>6460</v>
          </cell>
          <cell r="G2510">
            <v>66.52</v>
          </cell>
          <cell r="H2510">
            <v>1.25</v>
          </cell>
          <cell r="I2510" t="str">
            <v>From M1B to M2B - 25°</v>
          </cell>
          <cell r="J2510" t="str">
            <v>IE3</v>
          </cell>
          <cell r="K2510" t="str">
            <v>230/400</v>
          </cell>
          <cell r="L2510">
            <v>50</v>
          </cell>
          <cell r="M2510" t="str">
            <v>50/29</v>
          </cell>
          <cell r="N2510">
            <v>55</v>
          </cell>
          <cell r="O2510" t="str">
            <v>155(F)</v>
          </cell>
          <cell r="P2510" t="str">
            <v>270°</v>
          </cell>
          <cell r="Q2510" t="str">
            <v>TF</v>
          </cell>
          <cell r="R2510" t="str">
            <v>V(VE)</v>
          </cell>
          <cell r="S2510" t="str">
            <v>-</v>
          </cell>
          <cell r="T2510" t="str">
            <v>-</v>
          </cell>
          <cell r="U2510" t="str">
            <v>-</v>
          </cell>
          <cell r="V2510" t="str">
            <v>FC</v>
          </cell>
          <cell r="W2510" t="str">
            <v>YES</v>
          </cell>
          <cell r="X2510" t="str">
            <v>CLP HC 150 (-30/+50°C)</v>
          </cell>
          <cell r="Y2510" t="str">
            <v>KH107DRN160L4 /TF/V</v>
          </cell>
          <cell r="Z2510" t="str">
            <v>SEW</v>
          </cell>
          <cell r="AB2510" t="str">
            <v>-</v>
          </cell>
          <cell r="AF2510">
            <v>22</v>
          </cell>
          <cell r="AG2510" t="str">
            <v>DRN160L4</v>
          </cell>
          <cell r="AH2510" t="str">
            <v>KH107-DRN160L4B270-X#</v>
          </cell>
        </row>
        <row r="2511">
          <cell r="A2511" t="str">
            <v>MR002499</v>
          </cell>
          <cell r="B2511" t="str">
            <v>MR</v>
          </cell>
          <cell r="C2511">
            <v>30</v>
          </cell>
          <cell r="D2511">
            <v>16</v>
          </cell>
          <cell r="E2511" t="str">
            <v>KH157</v>
          </cell>
          <cell r="F2511">
            <v>17700</v>
          </cell>
          <cell r="G2511">
            <v>91.65</v>
          </cell>
          <cell r="H2511">
            <v>1</v>
          </cell>
          <cell r="I2511" t="str">
            <v>From M4A to M1A - 15°</v>
          </cell>
          <cell r="J2511" t="str">
            <v>IE3</v>
          </cell>
          <cell r="K2511" t="str">
            <v>400/690</v>
          </cell>
          <cell r="L2511">
            <v>50</v>
          </cell>
          <cell r="M2511" t="str">
            <v>57/33</v>
          </cell>
          <cell r="N2511">
            <v>55</v>
          </cell>
          <cell r="O2511" t="str">
            <v>155(F)</v>
          </cell>
          <cell r="P2511" t="str">
            <v>270°</v>
          </cell>
          <cell r="Q2511" t="str">
            <v>TF</v>
          </cell>
          <cell r="R2511" t="str">
            <v>V(VE)</v>
          </cell>
          <cell r="S2511" t="str">
            <v>-</v>
          </cell>
          <cell r="T2511" t="str">
            <v>-</v>
          </cell>
          <cell r="U2511" t="str">
            <v>-</v>
          </cell>
          <cell r="V2511" t="str">
            <v>FC</v>
          </cell>
          <cell r="W2511" t="str">
            <v>YES</v>
          </cell>
          <cell r="X2511" t="str">
            <v>CLP HC 150 (-30/+50°C)</v>
          </cell>
          <cell r="Y2511" t="str">
            <v>KH157/II2GDEDRN200L4/3D/TF/VE/C</v>
          </cell>
          <cell r="Z2511" t="str">
            <v>SEW</v>
          </cell>
          <cell r="AB2511" t="str">
            <v>ATEX22</v>
          </cell>
          <cell r="AE2511" t="str">
            <v>con cappellotto protezione ventola</v>
          </cell>
          <cell r="AF2511">
            <v>16</v>
          </cell>
          <cell r="AG2511" t="str">
            <v>EDRN200L4</v>
          </cell>
          <cell r="AH2511" t="str">
            <v>KH157-EDRN200L4A270-X#</v>
          </cell>
        </row>
        <row r="2512">
          <cell r="A2512" t="str">
            <v>MR002500</v>
          </cell>
          <cell r="B2512" t="str">
            <v>MR</v>
          </cell>
          <cell r="C2512">
            <v>30</v>
          </cell>
          <cell r="D2512">
            <v>16</v>
          </cell>
          <cell r="E2512" t="str">
            <v>KH157</v>
          </cell>
          <cell r="F2512">
            <v>17700</v>
          </cell>
          <cell r="G2512">
            <v>91.65</v>
          </cell>
          <cell r="H2512">
            <v>1</v>
          </cell>
          <cell r="I2512" t="str">
            <v>From M4B to M1B - 15°</v>
          </cell>
          <cell r="J2512" t="str">
            <v>IE3</v>
          </cell>
          <cell r="K2512" t="str">
            <v>400/690</v>
          </cell>
          <cell r="L2512">
            <v>50</v>
          </cell>
          <cell r="M2512" t="str">
            <v>57/33</v>
          </cell>
          <cell r="N2512">
            <v>55</v>
          </cell>
          <cell r="O2512" t="str">
            <v>155(F)</v>
          </cell>
          <cell r="P2512" t="str">
            <v>270°</v>
          </cell>
          <cell r="Q2512" t="str">
            <v>TF</v>
          </cell>
          <cell r="R2512" t="str">
            <v>V(VE)</v>
          </cell>
          <cell r="S2512" t="str">
            <v>-</v>
          </cell>
          <cell r="T2512" t="str">
            <v>-</v>
          </cell>
          <cell r="U2512" t="str">
            <v>-</v>
          </cell>
          <cell r="V2512" t="str">
            <v>FC</v>
          </cell>
          <cell r="W2512" t="str">
            <v>YES</v>
          </cell>
          <cell r="X2512" t="str">
            <v>CLP HC 150 (-30/+50°C)</v>
          </cell>
          <cell r="Y2512" t="str">
            <v>KH157/II2GDEDRN200L4/3D/TF/VE/C</v>
          </cell>
          <cell r="Z2512" t="str">
            <v>SEW</v>
          </cell>
          <cell r="AB2512" t="str">
            <v>ATEX22</v>
          </cell>
          <cell r="AE2512" t="str">
            <v>con cappellotto protezione ventola</v>
          </cell>
          <cell r="AF2512">
            <v>16</v>
          </cell>
          <cell r="AG2512" t="str">
            <v>EDRN200L4</v>
          </cell>
          <cell r="AH2512" t="str">
            <v>KH157-EDRN200L4B270-X#</v>
          </cell>
        </row>
        <row r="2513">
          <cell r="A2513" t="str">
            <v>MR002501</v>
          </cell>
          <cell r="B2513" t="str">
            <v>MR</v>
          </cell>
          <cell r="C2513">
            <v>1.5</v>
          </cell>
          <cell r="D2513">
            <v>1.3</v>
          </cell>
          <cell r="E2513" t="str">
            <v>KA97R57</v>
          </cell>
          <cell r="F2513">
            <v>9860</v>
          </cell>
          <cell r="G2513">
            <v>1102</v>
          </cell>
          <cell r="H2513">
            <v>0.45</v>
          </cell>
          <cell r="I2513" t="str">
            <v>M3A</v>
          </cell>
          <cell r="J2513" t="str">
            <v>IE3</v>
          </cell>
          <cell r="K2513" t="str">
            <v>230/400</v>
          </cell>
          <cell r="L2513">
            <v>50</v>
          </cell>
          <cell r="M2513" t="str">
            <v>5,9/3,4</v>
          </cell>
          <cell r="N2513">
            <v>65</v>
          </cell>
          <cell r="O2513" t="str">
            <v>155(F)</v>
          </cell>
          <cell r="P2513" t="str">
            <v>270°</v>
          </cell>
          <cell r="Q2513" t="str">
            <v>TF</v>
          </cell>
          <cell r="R2513" t="str">
            <v>-</v>
          </cell>
          <cell r="S2513" t="str">
            <v>-</v>
          </cell>
          <cell r="T2513" t="str">
            <v>BEHF</v>
          </cell>
          <cell r="U2513" t="str">
            <v>T</v>
          </cell>
          <cell r="V2513" t="str">
            <v>FC+R</v>
          </cell>
          <cell r="W2513" t="str">
            <v>-</v>
          </cell>
          <cell r="X2513" t="str">
            <v>CLP HC 150 (-30/+50°C)</v>
          </cell>
          <cell r="Y2513" t="str">
            <v>KA97R57/T DRN90L4 /BEHF /TF</v>
          </cell>
          <cell r="Z2513" t="str">
            <v>SEW</v>
          </cell>
          <cell r="AB2513" t="str">
            <v>-</v>
          </cell>
          <cell r="AF2513">
            <v>1.3</v>
          </cell>
          <cell r="AG2513" t="str">
            <v>DRN90L4</v>
          </cell>
          <cell r="AH2513" t="str">
            <v>KA97R57T-DRN90L4A270-X</v>
          </cell>
        </row>
        <row r="2514">
          <cell r="A2514" t="str">
            <v>MR002502</v>
          </cell>
          <cell r="B2514" t="str">
            <v>MR</v>
          </cell>
          <cell r="C2514">
            <v>22</v>
          </cell>
          <cell r="D2514">
            <v>15</v>
          </cell>
          <cell r="E2514" t="str">
            <v>KH157</v>
          </cell>
          <cell r="F2514">
            <v>14200</v>
          </cell>
          <cell r="G2514">
            <v>100.22</v>
          </cell>
          <cell r="H2514">
            <v>1.25</v>
          </cell>
          <cell r="I2514" t="str">
            <v>M4B</v>
          </cell>
          <cell r="J2514" t="str">
            <v>IE2</v>
          </cell>
          <cell r="K2514" t="str">
            <v>230/400</v>
          </cell>
          <cell r="L2514">
            <v>50</v>
          </cell>
          <cell r="M2514" t="str">
            <v>73/41,50</v>
          </cell>
          <cell r="N2514">
            <v>55</v>
          </cell>
          <cell r="O2514" t="str">
            <v>155(F)</v>
          </cell>
          <cell r="P2514" t="str">
            <v>0°</v>
          </cell>
          <cell r="Q2514" t="str">
            <v>TF</v>
          </cell>
          <cell r="R2514" t="str">
            <v>V(VE)</v>
          </cell>
          <cell r="S2514" t="str">
            <v>-</v>
          </cell>
          <cell r="T2514" t="str">
            <v>-</v>
          </cell>
          <cell r="U2514" t="str">
            <v>-</v>
          </cell>
          <cell r="V2514" t="str">
            <v>FC</v>
          </cell>
          <cell r="W2514" t="str">
            <v>YES</v>
          </cell>
          <cell r="X2514" t="str">
            <v>CLP HC 150 (-30/+50°C)</v>
          </cell>
          <cell r="Y2514" t="str">
            <v>KH157/II2GDEDRE200L4/3GD/TF/VE/C</v>
          </cell>
          <cell r="Z2514" t="str">
            <v>SEW</v>
          </cell>
          <cell r="AB2514" t="str">
            <v>ATEX22</v>
          </cell>
          <cell r="AF2514">
            <v>15</v>
          </cell>
          <cell r="AG2514" t="str">
            <v>EDRE200L4</v>
          </cell>
          <cell r="AH2514" t="str">
            <v>KH157-EDRE200L4B0-X#</v>
          </cell>
        </row>
        <row r="2515">
          <cell r="A2515" t="str">
            <v>MR002503</v>
          </cell>
          <cell r="B2515" t="str">
            <v>ME</v>
          </cell>
          <cell r="C2515">
            <v>0.25</v>
          </cell>
          <cell r="E2515" t="str">
            <v>-</v>
          </cell>
          <cell r="K2515" t="str">
            <v>400/690</v>
          </cell>
          <cell r="L2515">
            <v>50</v>
          </cell>
          <cell r="M2515">
            <v>0.64</v>
          </cell>
          <cell r="Q2515" t="str">
            <v>-</v>
          </cell>
          <cell r="R2515" t="str">
            <v>-</v>
          </cell>
          <cell r="S2515" t="str">
            <v>-</v>
          </cell>
          <cell r="T2515" t="str">
            <v>-</v>
          </cell>
          <cell r="U2515" t="str">
            <v>-</v>
          </cell>
          <cell r="V2515" t="str">
            <v>D</v>
          </cell>
          <cell r="W2515" t="str">
            <v>-</v>
          </cell>
          <cell r="X2515" t="str">
            <v>(if ATEX, synthetic only!)</v>
          </cell>
          <cell r="Y2515" t="str">
            <v>U1</v>
          </cell>
          <cell r="Z2515" t="str">
            <v>BONFIGLIOLI</v>
          </cell>
          <cell r="AB2515" t="str">
            <v>-</v>
          </cell>
          <cell r="AF2515">
            <v>0</v>
          </cell>
          <cell r="AG2515" t="str">
            <v>DRN71MS4</v>
          </cell>
          <cell r="AH2515" t="str">
            <v>--DRN71MS4-X</v>
          </cell>
        </row>
        <row r="2516">
          <cell r="A2516" t="str">
            <v>MR002504</v>
          </cell>
          <cell r="B2516" t="str">
            <v>MR</v>
          </cell>
          <cell r="C2516">
            <v>7.5</v>
          </cell>
          <cell r="D2516">
            <v>30</v>
          </cell>
          <cell r="E2516" t="str">
            <v>KH87</v>
          </cell>
          <cell r="F2516">
            <v>2390</v>
          </cell>
          <cell r="G2516">
            <v>49.16</v>
          </cell>
          <cell r="H2516">
            <v>1.1499999999999999</v>
          </cell>
          <cell r="I2516" t="str">
            <v>From M4A to M3A - 15°</v>
          </cell>
          <cell r="J2516" t="str">
            <v>IE3</v>
          </cell>
          <cell r="K2516" t="str">
            <v>400/690</v>
          </cell>
          <cell r="L2516">
            <v>50</v>
          </cell>
          <cell r="M2516" t="str">
            <v>15,2/8,8</v>
          </cell>
          <cell r="N2516">
            <v>55</v>
          </cell>
          <cell r="O2516" t="str">
            <v>155(F)</v>
          </cell>
          <cell r="P2516" t="str">
            <v>90°</v>
          </cell>
          <cell r="Q2516" t="str">
            <v>-</v>
          </cell>
          <cell r="R2516" t="str">
            <v>-</v>
          </cell>
          <cell r="S2516" t="str">
            <v>Free rotation CW</v>
          </cell>
          <cell r="T2516" t="str">
            <v>-</v>
          </cell>
          <cell r="U2516" t="str">
            <v>T</v>
          </cell>
          <cell r="V2516" t="str">
            <v>D</v>
          </cell>
          <cell r="W2516" t="str">
            <v>-</v>
          </cell>
          <cell r="X2516" t="str">
            <v>CLP HC 220 (-25/+60°C)</v>
          </cell>
          <cell r="Y2516" t="str">
            <v>KH87/T DRN132M4 /RS</v>
          </cell>
          <cell r="Z2516" t="str">
            <v>SEW</v>
          </cell>
          <cell r="AB2516" t="str">
            <v>-</v>
          </cell>
          <cell r="AE2516" t="str">
            <v>MOTOR FOR T MAX. 60°C</v>
          </cell>
          <cell r="AF2516">
            <v>30</v>
          </cell>
          <cell r="AG2516" t="str">
            <v>DRN132M4</v>
          </cell>
          <cell r="AH2516" t="str">
            <v>KH87T-DRN132M4A90-X</v>
          </cell>
        </row>
        <row r="2517">
          <cell r="A2517" t="str">
            <v>MR002505</v>
          </cell>
          <cell r="B2517" t="str">
            <v>MR</v>
          </cell>
          <cell r="C2517">
            <v>30</v>
          </cell>
          <cell r="D2517">
            <v>42</v>
          </cell>
          <cell r="E2517" t="str">
            <v>R147</v>
          </cell>
          <cell r="F2517">
            <v>6890</v>
          </cell>
          <cell r="G2517">
            <v>35.64</v>
          </cell>
          <cell r="H2517">
            <v>1.9</v>
          </cell>
          <cell r="I2517" t="str">
            <v>From M1 to M2 - 15°</v>
          </cell>
          <cell r="J2517" t="str">
            <v>IE3</v>
          </cell>
          <cell r="K2517" t="str">
            <v>400/690</v>
          </cell>
          <cell r="L2517">
            <v>50</v>
          </cell>
          <cell r="M2517" t="str">
            <v>56/32,5</v>
          </cell>
          <cell r="N2517">
            <v>55</v>
          </cell>
          <cell r="O2517" t="str">
            <v>155(F)</v>
          </cell>
          <cell r="P2517" t="str">
            <v>270°</v>
          </cell>
          <cell r="Q2517" t="str">
            <v>TF</v>
          </cell>
          <cell r="R2517" t="str">
            <v>V(VE)</v>
          </cell>
          <cell r="S2517" t="str">
            <v>-</v>
          </cell>
          <cell r="T2517" t="str">
            <v>-</v>
          </cell>
          <cell r="U2517" t="str">
            <v>-</v>
          </cell>
          <cell r="V2517" t="str">
            <v>FC</v>
          </cell>
          <cell r="W2517" t="str">
            <v>-</v>
          </cell>
          <cell r="X2517" t="str">
            <v>CLP HC 220 (-25/+60°C)</v>
          </cell>
          <cell r="Y2517" t="str">
            <v>R147DRN200L4 /TF/V</v>
          </cell>
          <cell r="Z2517" t="str">
            <v>SEW</v>
          </cell>
          <cell r="AB2517" t="str">
            <v>-</v>
          </cell>
          <cell r="AE2517" t="str">
            <v>MOTOR FOR T MAX. 60°C</v>
          </cell>
          <cell r="AF2517">
            <v>42</v>
          </cell>
          <cell r="AG2517" t="str">
            <v>DRN200L4</v>
          </cell>
          <cell r="AH2517" t="str">
            <v>R147-DRN200L4270-X#</v>
          </cell>
        </row>
        <row r="2518">
          <cell r="A2518" t="str">
            <v>MR002506</v>
          </cell>
          <cell r="B2518" t="str">
            <v>MR</v>
          </cell>
          <cell r="C2518">
            <v>45</v>
          </cell>
          <cell r="D2518">
            <v>41</v>
          </cell>
          <cell r="E2518" t="str">
            <v>KH127</v>
          </cell>
          <cell r="F2518">
            <v>10500</v>
          </cell>
          <cell r="G2518">
            <v>36.25</v>
          </cell>
          <cell r="H2518">
            <v>1.25</v>
          </cell>
          <cell r="I2518" t="str">
            <v>M4A</v>
          </cell>
          <cell r="J2518" t="str">
            <v>IE3</v>
          </cell>
          <cell r="K2518" t="str">
            <v>400/690</v>
          </cell>
          <cell r="L2518">
            <v>50</v>
          </cell>
          <cell r="M2518" t="str">
            <v>81/47</v>
          </cell>
          <cell r="N2518">
            <v>55</v>
          </cell>
          <cell r="O2518" t="str">
            <v>155(F)</v>
          </cell>
          <cell r="P2518" t="str">
            <v>270°</v>
          </cell>
          <cell r="Q2518" t="str">
            <v>-</v>
          </cell>
          <cell r="R2518" t="str">
            <v>-</v>
          </cell>
          <cell r="S2518" t="str">
            <v>Free rotation CCW</v>
          </cell>
          <cell r="T2518" t="str">
            <v>-</v>
          </cell>
          <cell r="U2518" t="str">
            <v>T</v>
          </cell>
          <cell r="V2518" t="str">
            <v>SS</v>
          </cell>
          <cell r="W2518" t="str">
            <v>-</v>
          </cell>
          <cell r="X2518" t="str">
            <v>CLP HC 220 (-25/+60°C)</v>
          </cell>
          <cell r="Y2518" t="str">
            <v>KH127/T DRN225M4 /RS</v>
          </cell>
          <cell r="Z2518" t="str">
            <v>SEW</v>
          </cell>
          <cell r="AB2518" t="str">
            <v>-</v>
          </cell>
          <cell r="AE2518" t="str">
            <v>MOTOR FOR T MAX. 60°C</v>
          </cell>
          <cell r="AF2518">
            <v>41</v>
          </cell>
          <cell r="AG2518" t="str">
            <v>DRN225M4</v>
          </cell>
          <cell r="AH2518" t="str">
            <v>KH127T-DRN225M4A270-X</v>
          </cell>
        </row>
        <row r="2519">
          <cell r="A2519" t="str">
            <v>MR002507</v>
          </cell>
          <cell r="B2519" t="str">
            <v>MR</v>
          </cell>
          <cell r="C2519">
            <v>45</v>
          </cell>
          <cell r="D2519">
            <v>41</v>
          </cell>
          <cell r="E2519" t="str">
            <v>KH127</v>
          </cell>
          <cell r="F2519">
            <v>10500</v>
          </cell>
          <cell r="G2519">
            <v>36.25</v>
          </cell>
          <cell r="H2519">
            <v>1.25</v>
          </cell>
          <cell r="I2519" t="str">
            <v>From M4A to M1A - 15°</v>
          </cell>
          <cell r="J2519" t="str">
            <v>IE3</v>
          </cell>
          <cell r="K2519" t="str">
            <v>400/690</v>
          </cell>
          <cell r="L2519">
            <v>50</v>
          </cell>
          <cell r="M2519" t="str">
            <v>81/47</v>
          </cell>
          <cell r="N2519">
            <v>55</v>
          </cell>
          <cell r="O2519" t="str">
            <v>155(F)</v>
          </cell>
          <cell r="P2519" t="str">
            <v>270°</v>
          </cell>
          <cell r="Q2519" t="str">
            <v>-</v>
          </cell>
          <cell r="R2519" t="str">
            <v>-</v>
          </cell>
          <cell r="S2519" t="str">
            <v>Free rotation CCW</v>
          </cell>
          <cell r="T2519" t="str">
            <v>-</v>
          </cell>
          <cell r="U2519" t="str">
            <v>T</v>
          </cell>
          <cell r="V2519" t="str">
            <v>SS</v>
          </cell>
          <cell r="W2519" t="str">
            <v>-</v>
          </cell>
          <cell r="X2519" t="str">
            <v>CLP HC 220 (-25/+60°C)</v>
          </cell>
          <cell r="Y2519" t="str">
            <v>KH127/T DRN225M4 /RS</v>
          </cell>
          <cell r="Z2519" t="str">
            <v>SEW</v>
          </cell>
          <cell r="AB2519" t="str">
            <v>-</v>
          </cell>
          <cell r="AE2519" t="str">
            <v>MOTOR FOR T MAX. 60°C</v>
          </cell>
          <cell r="AF2519">
            <v>41</v>
          </cell>
          <cell r="AG2519" t="str">
            <v>DRN225M4</v>
          </cell>
          <cell r="AH2519" t="str">
            <v>KH127T-DRN225M4A270-X</v>
          </cell>
        </row>
        <row r="2520">
          <cell r="A2520" t="str">
            <v>MR002508</v>
          </cell>
          <cell r="B2520" t="str">
            <v>MR</v>
          </cell>
          <cell r="C2520">
            <v>4</v>
          </cell>
          <cell r="D2520">
            <v>152</v>
          </cell>
          <cell r="E2520" t="str">
            <v>KH67</v>
          </cell>
          <cell r="F2520">
            <v>250</v>
          </cell>
          <cell r="G2520">
            <v>9.66</v>
          </cell>
          <cell r="H2520">
            <v>1.9</v>
          </cell>
          <cell r="I2520" t="str">
            <v>M4B</v>
          </cell>
          <cell r="J2520" t="str">
            <v>IE3</v>
          </cell>
          <cell r="K2520" t="str">
            <v>230/400</v>
          </cell>
          <cell r="L2520">
            <v>50</v>
          </cell>
          <cell r="M2520" t="str">
            <v>13,8/7,9</v>
          </cell>
          <cell r="N2520">
            <v>55</v>
          </cell>
          <cell r="O2520" t="str">
            <v>155(F)</v>
          </cell>
          <cell r="P2520" t="str">
            <v>270°</v>
          </cell>
          <cell r="Q2520" t="str">
            <v>TF</v>
          </cell>
          <cell r="R2520" t="str">
            <v>V(VE)</v>
          </cell>
          <cell r="S2520" t="str">
            <v>-</v>
          </cell>
          <cell r="T2520" t="str">
            <v>-</v>
          </cell>
          <cell r="U2520" t="str">
            <v>T</v>
          </cell>
          <cell r="V2520" t="str">
            <v>FC+R</v>
          </cell>
          <cell r="W2520" t="str">
            <v>-</v>
          </cell>
          <cell r="X2520" t="str">
            <v>CLP HC 220 (-25/+60°C)</v>
          </cell>
          <cell r="Y2520" t="str">
            <v>KH67/T DRN112M4 /TF/V</v>
          </cell>
          <cell r="Z2520" t="str">
            <v>SEW</v>
          </cell>
          <cell r="AB2520" t="str">
            <v>-</v>
          </cell>
          <cell r="AE2520" t="str">
            <v>MOTOR FOR T MAX. 60°C</v>
          </cell>
          <cell r="AF2520">
            <v>152</v>
          </cell>
          <cell r="AG2520" t="str">
            <v>DRN112M4</v>
          </cell>
          <cell r="AH2520" t="str">
            <v>KH67T-DRN112M4B270-X#</v>
          </cell>
        </row>
        <row r="2521">
          <cell r="A2521" t="str">
            <v>MR002509</v>
          </cell>
          <cell r="B2521" t="str">
            <v>MR</v>
          </cell>
          <cell r="C2521">
            <v>1.1000000000000001</v>
          </cell>
          <cell r="D2521">
            <v>7.3</v>
          </cell>
          <cell r="E2521" t="str">
            <v>FV77</v>
          </cell>
          <cell r="F2521">
            <v>1430</v>
          </cell>
          <cell r="G2521">
            <v>198.31</v>
          </cell>
          <cell r="H2521">
            <v>1.05</v>
          </cell>
          <cell r="I2521" t="str">
            <v>M5</v>
          </cell>
          <cell r="J2521" t="str">
            <v>IE3</v>
          </cell>
          <cell r="K2521" t="str">
            <v>230/400</v>
          </cell>
          <cell r="L2521">
            <v>50</v>
          </cell>
          <cell r="M2521" t="str">
            <v>4,45/2,55</v>
          </cell>
          <cell r="N2521">
            <v>55</v>
          </cell>
          <cell r="O2521" t="str">
            <v>155(F)</v>
          </cell>
          <cell r="P2521" t="str">
            <v>180°</v>
          </cell>
          <cell r="Q2521" t="str">
            <v>TF</v>
          </cell>
          <cell r="R2521" t="str">
            <v>-</v>
          </cell>
          <cell r="S2521" t="str">
            <v>-</v>
          </cell>
          <cell r="T2521" t="str">
            <v>BEHF</v>
          </cell>
          <cell r="U2521" t="str">
            <v>G</v>
          </cell>
          <cell r="V2521" t="str">
            <v>FC+R</v>
          </cell>
          <cell r="W2521" t="str">
            <v>-</v>
          </cell>
          <cell r="X2521" t="str">
            <v>CLP HC 220 (-25/+60°C)</v>
          </cell>
          <cell r="Y2521" t="str">
            <v>FV77/G DRN90S4 /BEHF /TF</v>
          </cell>
          <cell r="Z2521" t="str">
            <v>SEW</v>
          </cell>
          <cell r="AB2521" t="str">
            <v>-</v>
          </cell>
          <cell r="AE2521" t="str">
            <v>BROCCIATURA PER FV67-DIN 5480N45x2x30x21xH9
MOTOR FOR T MAX. 60°C</v>
          </cell>
          <cell r="AF2521">
            <v>7.3</v>
          </cell>
          <cell r="AG2521" t="str">
            <v>DRN90S4</v>
          </cell>
          <cell r="AH2521" t="str">
            <v>FV77G-DRN90S4180-X</v>
          </cell>
        </row>
        <row r="2522">
          <cell r="A2522" t="str">
            <v>MR002510</v>
          </cell>
          <cell r="B2522" t="str">
            <v>MR</v>
          </cell>
          <cell r="C2522">
            <v>1.1000000000000001</v>
          </cell>
          <cell r="D2522">
            <v>7.3</v>
          </cell>
          <cell r="E2522" t="str">
            <v>FV77</v>
          </cell>
          <cell r="F2522">
            <v>1430</v>
          </cell>
          <cell r="G2522">
            <v>198.31</v>
          </cell>
          <cell r="H2522">
            <v>1.05</v>
          </cell>
          <cell r="I2522" t="str">
            <v>M6</v>
          </cell>
          <cell r="J2522" t="str">
            <v>IE3</v>
          </cell>
          <cell r="K2522" t="str">
            <v>230/400</v>
          </cell>
          <cell r="L2522">
            <v>50</v>
          </cell>
          <cell r="M2522" t="str">
            <v>4,45/2,55</v>
          </cell>
          <cell r="N2522">
            <v>55</v>
          </cell>
          <cell r="O2522" t="str">
            <v>155(F)</v>
          </cell>
          <cell r="P2522" t="str">
            <v>0°</v>
          </cell>
          <cell r="Q2522" t="str">
            <v>TF</v>
          </cell>
          <cell r="R2522" t="str">
            <v>-</v>
          </cell>
          <cell r="S2522" t="str">
            <v>-</v>
          </cell>
          <cell r="T2522" t="str">
            <v>BEHF</v>
          </cell>
          <cell r="U2522" t="str">
            <v>G</v>
          </cell>
          <cell r="V2522" t="str">
            <v>FC+R</v>
          </cell>
          <cell r="W2522" t="str">
            <v>-</v>
          </cell>
          <cell r="X2522" t="str">
            <v>CLP HC 220 (-25/+60°C)</v>
          </cell>
          <cell r="Y2522" t="str">
            <v>FV77/G DRN90S4 /BEHF /TF</v>
          </cell>
          <cell r="Z2522" t="str">
            <v>SEW</v>
          </cell>
          <cell r="AB2522" t="str">
            <v>-</v>
          </cell>
          <cell r="AE2522" t="str">
            <v>BROCCIATURA PER FV67-DIN 5480N45x2x30x21xH9
MOTOR FOR T MAX. 60°C</v>
          </cell>
          <cell r="AF2522">
            <v>7.3</v>
          </cell>
          <cell r="AG2522" t="str">
            <v>DRN90S4</v>
          </cell>
          <cell r="AH2522" t="str">
            <v>FV77G-DRN90S40-X</v>
          </cell>
        </row>
        <row r="2523">
          <cell r="A2523" t="str">
            <v>MR002511</v>
          </cell>
          <cell r="B2523" t="str">
            <v>MR</v>
          </cell>
          <cell r="C2523">
            <v>30</v>
          </cell>
          <cell r="D2523">
            <v>45</v>
          </cell>
          <cell r="E2523" t="str">
            <v>R137</v>
          </cell>
          <cell r="F2523">
            <v>6370</v>
          </cell>
          <cell r="G2523">
            <v>32.909999999999997</v>
          </cell>
          <cell r="H2523">
            <v>1.25</v>
          </cell>
          <cell r="I2523" t="str">
            <v>M6</v>
          </cell>
          <cell r="J2523" t="str">
            <v>IE3</v>
          </cell>
          <cell r="K2523" t="str">
            <v>400/690</v>
          </cell>
          <cell r="L2523">
            <v>50</v>
          </cell>
          <cell r="M2523" t="str">
            <v>56/32,5</v>
          </cell>
          <cell r="N2523">
            <v>55</v>
          </cell>
          <cell r="O2523" t="str">
            <v>155(F)</v>
          </cell>
          <cell r="P2523" t="str">
            <v>0°</v>
          </cell>
          <cell r="Q2523" t="str">
            <v>TF</v>
          </cell>
          <cell r="R2523" t="str">
            <v>V(VE)</v>
          </cell>
          <cell r="S2523" t="str">
            <v>-</v>
          </cell>
          <cell r="T2523" t="str">
            <v>-</v>
          </cell>
          <cell r="U2523" t="str">
            <v>-</v>
          </cell>
          <cell r="V2523" t="str">
            <v>FC</v>
          </cell>
          <cell r="W2523" t="str">
            <v>-</v>
          </cell>
          <cell r="X2523" t="str">
            <v>CLP HC 220 (-25/+60°C)</v>
          </cell>
          <cell r="Y2523" t="str">
            <v>R137DRN200L4 /TF/V</v>
          </cell>
          <cell r="Z2523" t="str">
            <v>SEW</v>
          </cell>
          <cell r="AB2523" t="str">
            <v>-</v>
          </cell>
          <cell r="AE2523" t="str">
            <v>MOTOR FOR T MAX. 60°C</v>
          </cell>
          <cell r="AF2523">
            <v>45</v>
          </cell>
          <cell r="AG2523" t="str">
            <v>DRN200L4</v>
          </cell>
          <cell r="AH2523" t="str">
            <v>R137-DRN200L40-X#</v>
          </cell>
        </row>
        <row r="2524">
          <cell r="A2524" t="str">
            <v>MR002512</v>
          </cell>
          <cell r="B2524" t="str">
            <v>MR</v>
          </cell>
          <cell r="C2524">
            <v>11</v>
          </cell>
          <cell r="D2524">
            <v>47</v>
          </cell>
          <cell r="E2524" t="str">
            <v>KH87</v>
          </cell>
          <cell r="F2524">
            <v>2230</v>
          </cell>
          <cell r="G2524">
            <v>31.39</v>
          </cell>
          <cell r="H2524">
            <v>1.2</v>
          </cell>
          <cell r="I2524" t="str">
            <v>From M4B to M1B - 20°</v>
          </cell>
          <cell r="J2524" t="str">
            <v>IE3</v>
          </cell>
          <cell r="K2524" t="str">
            <v>400/690</v>
          </cell>
          <cell r="L2524">
            <v>50</v>
          </cell>
          <cell r="M2524" t="str">
            <v>21/12,2</v>
          </cell>
          <cell r="N2524">
            <v>55</v>
          </cell>
          <cell r="O2524" t="str">
            <v>155(F)</v>
          </cell>
          <cell r="P2524" t="str">
            <v>270°</v>
          </cell>
          <cell r="Q2524" t="str">
            <v>-</v>
          </cell>
          <cell r="R2524" t="str">
            <v>-</v>
          </cell>
          <cell r="S2524" t="str">
            <v>Free rotation CW</v>
          </cell>
          <cell r="T2524" t="str">
            <v>-</v>
          </cell>
          <cell r="U2524" t="str">
            <v>T</v>
          </cell>
          <cell r="V2524" t="str">
            <v>SS</v>
          </cell>
          <cell r="W2524" t="str">
            <v>-</v>
          </cell>
          <cell r="X2524" t="str">
            <v>CLP HC 220 (-25/+60°C)</v>
          </cell>
          <cell r="Y2524" t="str">
            <v>KH87/T DRN160M4 /RS</v>
          </cell>
          <cell r="Z2524" t="str">
            <v>SEW</v>
          </cell>
          <cell r="AB2524" t="str">
            <v>-</v>
          </cell>
          <cell r="AE2524" t="str">
            <v>MOTOR FOR T MAX. 60°C</v>
          </cell>
          <cell r="AF2524">
            <v>47</v>
          </cell>
          <cell r="AG2524" t="str">
            <v>DRN160M4</v>
          </cell>
          <cell r="AH2524" t="str">
            <v>KH87T-DRN160M4B270-X</v>
          </cell>
        </row>
        <row r="2525">
          <cell r="A2525" t="str">
            <v>MR002513</v>
          </cell>
          <cell r="B2525" t="str">
            <v>MR</v>
          </cell>
          <cell r="C2525">
            <v>11</v>
          </cell>
          <cell r="D2525">
            <v>47</v>
          </cell>
          <cell r="E2525" t="str">
            <v>KH87</v>
          </cell>
          <cell r="F2525">
            <v>2230</v>
          </cell>
          <cell r="G2525">
            <v>31.39</v>
          </cell>
          <cell r="H2525">
            <v>1.2</v>
          </cell>
          <cell r="I2525" t="str">
            <v>M4A</v>
          </cell>
          <cell r="J2525" t="str">
            <v>IE3</v>
          </cell>
          <cell r="K2525" t="str">
            <v>400/690</v>
          </cell>
          <cell r="L2525">
            <v>50</v>
          </cell>
          <cell r="M2525" t="str">
            <v>21/12,2</v>
          </cell>
          <cell r="N2525">
            <v>55</v>
          </cell>
          <cell r="O2525" t="str">
            <v>155(F)</v>
          </cell>
          <cell r="P2525" t="str">
            <v>270°</v>
          </cell>
          <cell r="Q2525" t="str">
            <v>-</v>
          </cell>
          <cell r="R2525" t="str">
            <v>-</v>
          </cell>
          <cell r="S2525" t="str">
            <v>-</v>
          </cell>
          <cell r="T2525" t="str">
            <v>-</v>
          </cell>
          <cell r="U2525" t="str">
            <v>T</v>
          </cell>
          <cell r="V2525" t="str">
            <v>SS</v>
          </cell>
          <cell r="W2525" t="str">
            <v>-</v>
          </cell>
          <cell r="X2525" t="str">
            <v>CLP HC 220 (-25/+60°C)</v>
          </cell>
          <cell r="Y2525" t="str">
            <v>KH87/T DRN160M4</v>
          </cell>
          <cell r="Z2525" t="str">
            <v>SEW</v>
          </cell>
          <cell r="AB2525" t="str">
            <v>-</v>
          </cell>
          <cell r="AE2525" t="str">
            <v>MOTOR FOR T MAX. 60°C</v>
          </cell>
          <cell r="AF2525">
            <v>47</v>
          </cell>
          <cell r="AG2525" t="str">
            <v>DRN160M4</v>
          </cell>
          <cell r="AH2525" t="str">
            <v>KH87T-DRN160M4A270-X</v>
          </cell>
        </row>
        <row r="2526">
          <cell r="A2526" t="str">
            <v>MR002514</v>
          </cell>
          <cell r="B2526" t="str">
            <v>MR</v>
          </cell>
          <cell r="C2526">
            <v>22</v>
          </cell>
          <cell r="D2526">
            <v>78</v>
          </cell>
          <cell r="E2526" t="str">
            <v>KH97</v>
          </cell>
          <cell r="F2526">
            <v>2690</v>
          </cell>
          <cell r="G2526">
            <v>18.96</v>
          </cell>
          <cell r="H2526">
            <v>1.6</v>
          </cell>
          <cell r="I2526" t="str">
            <v>M4A</v>
          </cell>
          <cell r="J2526" t="str">
            <v>IE3</v>
          </cell>
          <cell r="K2526" t="str">
            <v>400/690</v>
          </cell>
          <cell r="L2526">
            <v>50</v>
          </cell>
          <cell r="M2526" t="str">
            <v>38,5/22,5</v>
          </cell>
          <cell r="N2526">
            <v>55</v>
          </cell>
          <cell r="O2526" t="str">
            <v>155(F)</v>
          </cell>
          <cell r="P2526" t="str">
            <v>270°</v>
          </cell>
          <cell r="Q2526" t="str">
            <v>-</v>
          </cell>
          <cell r="R2526" t="str">
            <v>-</v>
          </cell>
          <cell r="S2526" t="str">
            <v>Free rotation CCW</v>
          </cell>
          <cell r="T2526" t="str">
            <v>-</v>
          </cell>
          <cell r="U2526" t="str">
            <v>T</v>
          </cell>
          <cell r="V2526" t="str">
            <v>SS</v>
          </cell>
          <cell r="W2526" t="str">
            <v>-</v>
          </cell>
          <cell r="X2526" t="str">
            <v>CLP HC 220 (-25/+60°C)</v>
          </cell>
          <cell r="Y2526" t="str">
            <v>KH97/T DRN180L4 /RS</v>
          </cell>
          <cell r="Z2526" t="str">
            <v>SEW</v>
          </cell>
          <cell r="AB2526" t="str">
            <v>-</v>
          </cell>
          <cell r="AE2526" t="str">
            <v>MOTOR FOR T MAX. 60°C</v>
          </cell>
          <cell r="AF2526">
            <v>78</v>
          </cell>
          <cell r="AG2526" t="str">
            <v>DRN180L4</v>
          </cell>
          <cell r="AH2526" t="str">
            <v>KH97T-DRN180L4A270-X</v>
          </cell>
        </row>
        <row r="2527">
          <cell r="A2527" t="str">
            <v>MR002515</v>
          </cell>
          <cell r="B2527" t="str">
            <v>MR</v>
          </cell>
          <cell r="C2527">
            <v>0.75</v>
          </cell>
          <cell r="D2527">
            <v>162</v>
          </cell>
          <cell r="E2527" t="str">
            <v>KA37</v>
          </cell>
          <cell r="F2527">
            <v>44</v>
          </cell>
          <cell r="G2527">
            <v>8.91</v>
          </cell>
          <cell r="H2527">
            <v>3.6</v>
          </cell>
          <cell r="I2527" t="str">
            <v>M1B</v>
          </cell>
          <cell r="J2527" t="str">
            <v>IE3</v>
          </cell>
          <cell r="K2527" t="str">
            <v>230/400</v>
          </cell>
          <cell r="L2527">
            <v>50</v>
          </cell>
          <cell r="M2527" t="str">
            <v>3,05/1,75</v>
          </cell>
          <cell r="N2527">
            <v>55</v>
          </cell>
          <cell r="O2527" t="str">
            <v>155(F)</v>
          </cell>
          <cell r="P2527" t="str">
            <v>0°</v>
          </cell>
          <cell r="Q2527" t="str">
            <v>-</v>
          </cell>
          <cell r="R2527" t="str">
            <v>-</v>
          </cell>
          <cell r="S2527" t="str">
            <v>-</v>
          </cell>
          <cell r="T2527" t="str">
            <v>-</v>
          </cell>
          <cell r="U2527" t="str">
            <v>T</v>
          </cell>
          <cell r="V2527" t="str">
            <v>D</v>
          </cell>
          <cell r="W2527" t="str">
            <v>-</v>
          </cell>
          <cell r="X2527" t="str">
            <v>CLP HC 220 (-25/+60°C)</v>
          </cell>
          <cell r="Y2527" t="str">
            <v>KA37/T DRN80M4</v>
          </cell>
          <cell r="Z2527" t="str">
            <v>SEW</v>
          </cell>
          <cell r="AB2527" t="str">
            <v>-</v>
          </cell>
          <cell r="AE2527" t="str">
            <v>MOTOR FOR T MAX. 60°C</v>
          </cell>
          <cell r="AF2527">
            <v>162</v>
          </cell>
          <cell r="AG2527" t="str">
            <v>DRN80M4</v>
          </cell>
          <cell r="AH2527" t="str">
            <v>KA37T-DRN80M4B0-X</v>
          </cell>
        </row>
        <row r="2528">
          <cell r="A2528" t="str">
            <v>MR002516</v>
          </cell>
          <cell r="B2528" t="str">
            <v>MR</v>
          </cell>
          <cell r="C2528">
            <v>2.2000000000000002</v>
          </cell>
          <cell r="D2528">
            <v>93</v>
          </cell>
          <cell r="E2528" t="str">
            <v>SA67</v>
          </cell>
          <cell r="F2528">
            <v>226</v>
          </cell>
          <cell r="G2528">
            <v>15.6</v>
          </cell>
          <cell r="I2528" t="str">
            <v>M4</v>
          </cell>
          <cell r="J2528" t="str">
            <v>IE3</v>
          </cell>
          <cell r="K2528" t="str">
            <v>230/400</v>
          </cell>
          <cell r="L2528">
            <v>50</v>
          </cell>
          <cell r="M2528" t="str">
            <v>8,3/4,75</v>
          </cell>
          <cell r="N2528">
            <v>55</v>
          </cell>
          <cell r="O2528" t="str">
            <v>155(F)</v>
          </cell>
          <cell r="P2528" t="str">
            <v>270°</v>
          </cell>
          <cell r="Q2528" t="str">
            <v>-</v>
          </cell>
          <cell r="R2528" t="str">
            <v>-</v>
          </cell>
          <cell r="S2528" t="str">
            <v>-</v>
          </cell>
          <cell r="T2528" t="str">
            <v>-</v>
          </cell>
          <cell r="U2528" t="str">
            <v>T</v>
          </cell>
          <cell r="V2528" t="str">
            <v>D</v>
          </cell>
          <cell r="W2528" t="str">
            <v>-</v>
          </cell>
          <cell r="X2528" t="str">
            <v>CLP HC 220 (-25/+60°C)</v>
          </cell>
          <cell r="Y2528" t="str">
            <v>SA67/T DRN100LS4</v>
          </cell>
          <cell r="Z2528" t="str">
            <v>SEW</v>
          </cell>
          <cell r="AB2528" t="str">
            <v>-</v>
          </cell>
          <cell r="AE2528" t="str">
            <v>MOTOR FOR T MAX. 60°C</v>
          </cell>
          <cell r="AF2528">
            <v>93</v>
          </cell>
          <cell r="AG2528" t="str">
            <v>DRN100LS4</v>
          </cell>
          <cell r="AH2528" t="str">
            <v>SA67T-DRN100LS4270-X</v>
          </cell>
        </row>
        <row r="2529">
          <cell r="A2529" t="str">
            <v>MR002517</v>
          </cell>
          <cell r="B2529" t="str">
            <v>MR</v>
          </cell>
          <cell r="C2529">
            <v>11</v>
          </cell>
          <cell r="D2529">
            <v>15</v>
          </cell>
          <cell r="E2529" t="str">
            <v>KH107</v>
          </cell>
          <cell r="F2529">
            <v>7180</v>
          </cell>
          <cell r="G2529">
            <v>100.75</v>
          </cell>
          <cell r="H2529">
            <v>1.05</v>
          </cell>
          <cell r="I2529" t="str">
            <v>From M1A to M2A - 15°</v>
          </cell>
          <cell r="J2529" t="str">
            <v>IE3</v>
          </cell>
          <cell r="K2529" t="str">
            <v>400/690</v>
          </cell>
          <cell r="L2529">
            <v>50</v>
          </cell>
          <cell r="M2529" t="str">
            <v>21,5/12,4</v>
          </cell>
          <cell r="N2529">
            <v>55</v>
          </cell>
          <cell r="O2529" t="str">
            <v>155(F)</v>
          </cell>
          <cell r="P2529" t="str">
            <v>270°</v>
          </cell>
          <cell r="Q2529" t="str">
            <v>-</v>
          </cell>
          <cell r="R2529" t="str">
            <v>-</v>
          </cell>
          <cell r="S2529" t="str">
            <v>-</v>
          </cell>
          <cell r="T2529" t="str">
            <v>-</v>
          </cell>
          <cell r="U2529" t="str">
            <v>-</v>
          </cell>
          <cell r="V2529" t="str">
            <v>SS</v>
          </cell>
          <cell r="W2529" t="str">
            <v>-</v>
          </cell>
          <cell r="X2529" t="str">
            <v>CLP HC 220 (-25/+60°C)</v>
          </cell>
          <cell r="Y2529" t="str">
            <v>KH107EDRN160M4</v>
          </cell>
          <cell r="Z2529" t="str">
            <v>SEW</v>
          </cell>
          <cell r="AB2529" t="str">
            <v>ATEX22</v>
          </cell>
          <cell r="AF2529">
            <v>15</v>
          </cell>
          <cell r="AG2529" t="str">
            <v>EDRN160M4</v>
          </cell>
          <cell r="AH2529" t="str">
            <v>KH107-EDRN160M4A270-X</v>
          </cell>
        </row>
        <row r="2530">
          <cell r="A2530" t="str">
            <v>MR002518</v>
          </cell>
          <cell r="B2530" t="str">
            <v>MR</v>
          </cell>
          <cell r="C2530">
            <v>11</v>
          </cell>
          <cell r="D2530">
            <v>15</v>
          </cell>
          <cell r="E2530" t="str">
            <v>KH107</v>
          </cell>
          <cell r="F2530">
            <v>7180</v>
          </cell>
          <cell r="G2530">
            <v>100.75</v>
          </cell>
          <cell r="H2530">
            <v>1.05</v>
          </cell>
          <cell r="I2530" t="str">
            <v>From M1B to M2B - 15°</v>
          </cell>
          <cell r="J2530" t="str">
            <v>IE3</v>
          </cell>
          <cell r="K2530" t="str">
            <v>400/690</v>
          </cell>
          <cell r="L2530">
            <v>50</v>
          </cell>
          <cell r="M2530" t="str">
            <v>21,5/12,4</v>
          </cell>
          <cell r="N2530">
            <v>55</v>
          </cell>
          <cell r="O2530" t="str">
            <v>155(F)</v>
          </cell>
          <cell r="P2530" t="str">
            <v>270°</v>
          </cell>
          <cell r="Q2530" t="str">
            <v>-</v>
          </cell>
          <cell r="R2530" t="str">
            <v>-</v>
          </cell>
          <cell r="S2530" t="str">
            <v>-</v>
          </cell>
          <cell r="T2530" t="str">
            <v>-</v>
          </cell>
          <cell r="U2530" t="str">
            <v>-</v>
          </cell>
          <cell r="V2530" t="str">
            <v>SS</v>
          </cell>
          <cell r="W2530" t="str">
            <v>-</v>
          </cell>
          <cell r="X2530" t="str">
            <v>CLP HC 220 (-25/+60°C)</v>
          </cell>
          <cell r="Y2530" t="str">
            <v>KH107EDRN160M4</v>
          </cell>
          <cell r="Z2530" t="str">
            <v>SEW</v>
          </cell>
          <cell r="AB2530" t="str">
            <v>ATEX22</v>
          </cell>
          <cell r="AF2530">
            <v>15</v>
          </cell>
          <cell r="AG2530" t="str">
            <v>EDRN160M4</v>
          </cell>
          <cell r="AH2530" t="str">
            <v>KH107-EDRN160M4B270-X</v>
          </cell>
        </row>
        <row r="2531">
          <cell r="A2531" t="str">
            <v>MR002519</v>
          </cell>
          <cell r="B2531" t="str">
            <v>MR</v>
          </cell>
          <cell r="C2531">
            <v>9.1999999999999993</v>
          </cell>
          <cell r="D2531">
            <v>15</v>
          </cell>
          <cell r="E2531" t="str">
            <v>KH107</v>
          </cell>
          <cell r="F2531">
            <v>6020</v>
          </cell>
          <cell r="G2531">
            <v>100.75</v>
          </cell>
          <cell r="H2531">
            <v>1.25</v>
          </cell>
          <cell r="I2531" t="str">
            <v>M1B</v>
          </cell>
          <cell r="J2531" t="str">
            <v>IE3</v>
          </cell>
          <cell r="K2531" t="str">
            <v>400/690</v>
          </cell>
          <cell r="L2531">
            <v>50</v>
          </cell>
          <cell r="M2531" t="str">
            <v>19,2/11,1</v>
          </cell>
          <cell r="N2531">
            <v>55</v>
          </cell>
          <cell r="O2531" t="str">
            <v>155(F)</v>
          </cell>
          <cell r="P2531" t="str">
            <v>270°</v>
          </cell>
          <cell r="Q2531" t="str">
            <v>-</v>
          </cell>
          <cell r="R2531" t="str">
            <v>-</v>
          </cell>
          <cell r="S2531" t="str">
            <v>-</v>
          </cell>
          <cell r="T2531" t="str">
            <v>-</v>
          </cell>
          <cell r="U2531" t="str">
            <v>-</v>
          </cell>
          <cell r="V2531" t="str">
            <v>SS</v>
          </cell>
          <cell r="W2531" t="str">
            <v>-</v>
          </cell>
          <cell r="X2531" t="str">
            <v>CLP HC 220 (-25/+60°C)</v>
          </cell>
          <cell r="Y2531" t="str">
            <v>KH107EDRN132L4</v>
          </cell>
          <cell r="Z2531" t="str">
            <v>SEW</v>
          </cell>
          <cell r="AB2531" t="str">
            <v>ATEX22</v>
          </cell>
          <cell r="AF2531">
            <v>15</v>
          </cell>
          <cell r="AG2531" t="str">
            <v>EDRN132L4</v>
          </cell>
          <cell r="AH2531" t="str">
            <v>KH107-EDRN132L4B270-X</v>
          </cell>
        </row>
        <row r="2532">
          <cell r="A2532" t="str">
            <v>MR002520</v>
          </cell>
          <cell r="B2532" t="str">
            <v>MR</v>
          </cell>
          <cell r="C2532">
            <v>0.75</v>
          </cell>
          <cell r="D2532">
            <v>18</v>
          </cell>
          <cell r="E2532" t="str">
            <v>FA67</v>
          </cell>
          <cell r="F2532">
            <v>395</v>
          </cell>
          <cell r="G2532">
            <v>79.760000000000005</v>
          </cell>
          <cell r="H2532">
            <v>2</v>
          </cell>
          <cell r="I2532" t="str">
            <v>M6</v>
          </cell>
          <cell r="J2532" t="str">
            <v>IE3</v>
          </cell>
          <cell r="K2532" t="str">
            <v>230/400</v>
          </cell>
          <cell r="L2532">
            <v>50</v>
          </cell>
          <cell r="M2532" t="str">
            <v>3,1/1,79</v>
          </cell>
          <cell r="N2532">
            <v>55</v>
          </cell>
          <cell r="O2532" t="str">
            <v>155(F)</v>
          </cell>
          <cell r="P2532" t="str">
            <v>0°</v>
          </cell>
          <cell r="Q2532" t="str">
            <v>TF</v>
          </cell>
          <cell r="R2532" t="str">
            <v>-</v>
          </cell>
          <cell r="S2532" t="str">
            <v>-</v>
          </cell>
          <cell r="T2532" t="str">
            <v>BEHF</v>
          </cell>
          <cell r="U2532" t="str">
            <v>G</v>
          </cell>
          <cell r="V2532" t="str">
            <v>D+R</v>
          </cell>
          <cell r="W2532" t="str">
            <v>-</v>
          </cell>
          <cell r="X2532" t="str">
            <v>CLP HC 220 (-25/+60°C)</v>
          </cell>
          <cell r="Y2532" t="str">
            <v>FA67/G EDRN80M4 /BEHF /TF</v>
          </cell>
          <cell r="Z2532" t="str">
            <v>SEW</v>
          </cell>
          <cell r="AB2532" t="str">
            <v>ATEX22</v>
          </cell>
          <cell r="AE2532" t="str">
            <v>Rectifier for brake in the terminal box</v>
          </cell>
          <cell r="AF2532">
            <v>18</v>
          </cell>
          <cell r="AG2532" t="str">
            <v>EDRN80M4</v>
          </cell>
          <cell r="AH2532" t="str">
            <v>FA67G-EDRN80M40-X</v>
          </cell>
        </row>
        <row r="2533">
          <cell r="A2533" t="str">
            <v>MR002521</v>
          </cell>
          <cell r="B2533" t="str">
            <v>MR</v>
          </cell>
          <cell r="C2533">
            <v>7.5</v>
          </cell>
          <cell r="D2533">
            <v>63</v>
          </cell>
          <cell r="E2533" t="str">
            <v>R87</v>
          </cell>
          <cell r="F2533">
            <v>1140</v>
          </cell>
          <cell r="G2533">
            <v>23.4</v>
          </cell>
          <cell r="H2533">
            <v>1.05</v>
          </cell>
          <cell r="I2533" t="str">
            <v>M1</v>
          </cell>
          <cell r="J2533" t="str">
            <v>IE3</v>
          </cell>
          <cell r="K2533" t="str">
            <v>400/690</v>
          </cell>
          <cell r="L2533">
            <v>50</v>
          </cell>
          <cell r="M2533" t="str">
            <v>15,2/8,8</v>
          </cell>
          <cell r="N2533">
            <v>55</v>
          </cell>
          <cell r="O2533" t="str">
            <v>155(F)</v>
          </cell>
          <cell r="P2533" t="str">
            <v>270°</v>
          </cell>
          <cell r="Q2533" t="str">
            <v>-</v>
          </cell>
          <cell r="R2533" t="str">
            <v>-</v>
          </cell>
          <cell r="S2533" t="str">
            <v>-</v>
          </cell>
          <cell r="T2533" t="str">
            <v>-</v>
          </cell>
          <cell r="U2533" t="str">
            <v>-</v>
          </cell>
          <cell r="V2533" t="str">
            <v>D+R</v>
          </cell>
          <cell r="W2533" t="str">
            <v>-</v>
          </cell>
          <cell r="X2533" t="str">
            <v>CLP HC 220 (-25/+60°C)</v>
          </cell>
          <cell r="Y2533" t="str">
            <v>R87EDRN132M4</v>
          </cell>
          <cell r="Z2533" t="str">
            <v>SEW</v>
          </cell>
          <cell r="AB2533" t="str">
            <v>ATEX22</v>
          </cell>
          <cell r="AF2533">
            <v>63</v>
          </cell>
          <cell r="AG2533" t="str">
            <v>EDRN132M4</v>
          </cell>
          <cell r="AH2533" t="str">
            <v>R87-EDRN132M4270-X</v>
          </cell>
        </row>
        <row r="2534">
          <cell r="A2534" t="str">
            <v>MR002522</v>
          </cell>
          <cell r="B2534" t="str">
            <v>MR</v>
          </cell>
          <cell r="C2534">
            <v>5.5</v>
          </cell>
          <cell r="D2534">
            <v>14</v>
          </cell>
          <cell r="E2534" t="str">
            <v>KH97</v>
          </cell>
          <cell r="F2534">
            <v>3770</v>
          </cell>
          <cell r="G2534">
            <v>105.13</v>
          </cell>
          <cell r="H2534">
            <v>1.1000000000000001</v>
          </cell>
          <cell r="I2534" t="str">
            <v>From M1A to M2A - 25°</v>
          </cell>
          <cell r="J2534" t="str">
            <v>IE3</v>
          </cell>
          <cell r="K2534" t="str">
            <v>230/400</v>
          </cell>
          <cell r="L2534">
            <v>50</v>
          </cell>
          <cell r="M2534" t="str">
            <v>18,2/10,5</v>
          </cell>
          <cell r="N2534">
            <v>55</v>
          </cell>
          <cell r="O2534" t="str">
            <v>155(F)</v>
          </cell>
          <cell r="P2534" t="str">
            <v>270°</v>
          </cell>
          <cell r="Q2534" t="str">
            <v>-</v>
          </cell>
          <cell r="R2534" t="str">
            <v>-</v>
          </cell>
          <cell r="S2534" t="str">
            <v>-</v>
          </cell>
          <cell r="T2534" t="str">
            <v>-</v>
          </cell>
          <cell r="U2534" t="str">
            <v>-</v>
          </cell>
          <cell r="V2534" t="str">
            <v>SS</v>
          </cell>
          <cell r="W2534" t="str">
            <v>-</v>
          </cell>
          <cell r="X2534" t="str">
            <v>CLP HC 220 (-25/+60°C)</v>
          </cell>
          <cell r="Y2534" t="str">
            <v>KH97EDRN132S4</v>
          </cell>
          <cell r="Z2534" t="str">
            <v>SEW</v>
          </cell>
          <cell r="AB2534" t="str">
            <v>ATEX22</v>
          </cell>
          <cell r="AF2534">
            <v>14</v>
          </cell>
          <cell r="AG2534" t="str">
            <v>EDRN132S4</v>
          </cell>
          <cell r="AH2534" t="str">
            <v>KH97-EDRN132S4A270-X</v>
          </cell>
        </row>
        <row r="2535">
          <cell r="A2535" t="str">
            <v>MR002523</v>
          </cell>
          <cell r="B2535" t="str">
            <v>MR</v>
          </cell>
          <cell r="C2535">
            <v>5.5</v>
          </cell>
          <cell r="D2535">
            <v>14</v>
          </cell>
          <cell r="E2535" t="str">
            <v>KH97</v>
          </cell>
          <cell r="F2535">
            <v>3770</v>
          </cell>
          <cell r="G2535">
            <v>105.13</v>
          </cell>
          <cell r="H2535">
            <v>1.1000000000000001</v>
          </cell>
          <cell r="I2535" t="str">
            <v>From M1A to M2A - 10°</v>
          </cell>
          <cell r="J2535" t="str">
            <v>IE3</v>
          </cell>
          <cell r="K2535" t="str">
            <v>230/400</v>
          </cell>
          <cell r="L2535">
            <v>50</v>
          </cell>
          <cell r="M2535" t="str">
            <v>18,2/10,5</v>
          </cell>
          <cell r="N2535">
            <v>55</v>
          </cell>
          <cell r="O2535" t="str">
            <v>155(F)</v>
          </cell>
          <cell r="P2535" t="str">
            <v>270°</v>
          </cell>
          <cell r="Q2535" t="str">
            <v>-</v>
          </cell>
          <cell r="R2535" t="str">
            <v>-</v>
          </cell>
          <cell r="S2535" t="str">
            <v>-</v>
          </cell>
          <cell r="T2535" t="str">
            <v>-</v>
          </cell>
          <cell r="U2535" t="str">
            <v>-</v>
          </cell>
          <cell r="V2535" t="str">
            <v>SS</v>
          </cell>
          <cell r="W2535" t="str">
            <v>-</v>
          </cell>
          <cell r="X2535" t="str">
            <v>CLP HC 220 (-25/+60°C)</v>
          </cell>
          <cell r="Y2535" t="str">
            <v>KH97EDRN132S4</v>
          </cell>
          <cell r="Z2535" t="str">
            <v>SEW</v>
          </cell>
          <cell r="AB2535" t="str">
            <v>ATEX22</v>
          </cell>
          <cell r="AF2535">
            <v>14</v>
          </cell>
          <cell r="AG2535" t="str">
            <v>EDRN132S4</v>
          </cell>
          <cell r="AH2535" t="str">
            <v>KH97-EDRN132S4A270-X</v>
          </cell>
        </row>
        <row r="2536">
          <cell r="A2536" t="str">
            <v>MR002524</v>
          </cell>
          <cell r="B2536" t="str">
            <v>MR</v>
          </cell>
          <cell r="C2536">
            <v>5.5</v>
          </cell>
          <cell r="D2536">
            <v>14</v>
          </cell>
          <cell r="E2536" t="str">
            <v>KH97</v>
          </cell>
          <cell r="F2536">
            <v>3770</v>
          </cell>
          <cell r="G2536">
            <v>105.13</v>
          </cell>
          <cell r="H2536">
            <v>1.1000000000000001</v>
          </cell>
          <cell r="I2536" t="str">
            <v>From M1B to M2B - 10°</v>
          </cell>
          <cell r="J2536" t="str">
            <v>IE3</v>
          </cell>
          <cell r="K2536" t="str">
            <v>230/400</v>
          </cell>
          <cell r="L2536">
            <v>50</v>
          </cell>
          <cell r="M2536" t="str">
            <v>18,2/10,5</v>
          </cell>
          <cell r="N2536">
            <v>55</v>
          </cell>
          <cell r="O2536" t="str">
            <v>155(F)</v>
          </cell>
          <cell r="P2536" t="str">
            <v>270°</v>
          </cell>
          <cell r="Q2536" t="str">
            <v>-</v>
          </cell>
          <cell r="R2536" t="str">
            <v>-</v>
          </cell>
          <cell r="S2536" t="str">
            <v>-</v>
          </cell>
          <cell r="T2536" t="str">
            <v>-</v>
          </cell>
          <cell r="U2536" t="str">
            <v>-</v>
          </cell>
          <cell r="V2536" t="str">
            <v>SS</v>
          </cell>
          <cell r="W2536" t="str">
            <v>-</v>
          </cell>
          <cell r="X2536" t="str">
            <v>CLP HC 220 (-25/+60°C)</v>
          </cell>
          <cell r="Y2536" t="str">
            <v>KH97EDRN132S4</v>
          </cell>
          <cell r="Z2536" t="str">
            <v>SEW</v>
          </cell>
          <cell r="AB2536" t="str">
            <v>ATEX22</v>
          </cell>
          <cell r="AF2536">
            <v>14</v>
          </cell>
          <cell r="AG2536" t="str">
            <v>EDRN132S4</v>
          </cell>
          <cell r="AH2536" t="str">
            <v>KH97-EDRN132S4B270-X</v>
          </cell>
        </row>
        <row r="2537">
          <cell r="A2537" t="str">
            <v>MR002525</v>
          </cell>
          <cell r="B2537" t="str">
            <v>MR</v>
          </cell>
          <cell r="C2537">
            <v>5.5</v>
          </cell>
          <cell r="D2537">
            <v>14</v>
          </cell>
          <cell r="E2537" t="str">
            <v>KH97</v>
          </cell>
          <cell r="F2537">
            <v>3770</v>
          </cell>
          <cell r="G2537">
            <v>105.13</v>
          </cell>
          <cell r="H2537">
            <v>1.1000000000000001</v>
          </cell>
          <cell r="I2537" t="str">
            <v>M1A</v>
          </cell>
          <cell r="J2537" t="str">
            <v>IE3</v>
          </cell>
          <cell r="K2537" t="str">
            <v>230/400</v>
          </cell>
          <cell r="L2537">
            <v>50</v>
          </cell>
          <cell r="M2537" t="str">
            <v>18,2/10,5</v>
          </cell>
          <cell r="N2537">
            <v>55</v>
          </cell>
          <cell r="O2537" t="str">
            <v>155(F)</v>
          </cell>
          <cell r="P2537" t="str">
            <v>270°</v>
          </cell>
          <cell r="Q2537" t="str">
            <v>-</v>
          </cell>
          <cell r="R2537" t="str">
            <v>-</v>
          </cell>
          <cell r="S2537" t="str">
            <v>-</v>
          </cell>
          <cell r="T2537" t="str">
            <v>-</v>
          </cell>
          <cell r="U2537" t="str">
            <v>-</v>
          </cell>
          <cell r="V2537" t="str">
            <v>SS</v>
          </cell>
          <cell r="W2537" t="str">
            <v>-</v>
          </cell>
          <cell r="X2537" t="str">
            <v>CLP HC 220 (-25/+60°C)</v>
          </cell>
          <cell r="Y2537" t="str">
            <v>KH97EDRN132S4</v>
          </cell>
          <cell r="Z2537" t="str">
            <v>SEW</v>
          </cell>
          <cell r="AB2537" t="str">
            <v>ATEX22</v>
          </cell>
          <cell r="AF2537">
            <v>14</v>
          </cell>
          <cell r="AG2537" t="str">
            <v>EDRN132S4</v>
          </cell>
          <cell r="AH2537" t="str">
            <v>KH97-EDRN132S4A270-X</v>
          </cell>
        </row>
        <row r="2538">
          <cell r="A2538" t="str">
            <v>MR002526</v>
          </cell>
          <cell r="B2538" t="str">
            <v>MR</v>
          </cell>
          <cell r="C2538">
            <v>5.5</v>
          </cell>
          <cell r="D2538">
            <v>14</v>
          </cell>
          <cell r="E2538" t="str">
            <v>KH97</v>
          </cell>
          <cell r="F2538">
            <v>3770</v>
          </cell>
          <cell r="G2538">
            <v>105.13</v>
          </cell>
          <cell r="H2538">
            <v>1.1000000000000001</v>
          </cell>
          <cell r="I2538" t="str">
            <v>M1B</v>
          </cell>
          <cell r="J2538" t="str">
            <v>IE3</v>
          </cell>
          <cell r="K2538" t="str">
            <v>230/400</v>
          </cell>
          <cell r="L2538">
            <v>50</v>
          </cell>
          <cell r="M2538" t="str">
            <v>18,2/10,5</v>
          </cell>
          <cell r="N2538">
            <v>55</v>
          </cell>
          <cell r="O2538" t="str">
            <v>155(F)</v>
          </cell>
          <cell r="P2538" t="str">
            <v>270°</v>
          </cell>
          <cell r="Q2538" t="str">
            <v>-</v>
          </cell>
          <cell r="R2538" t="str">
            <v>-</v>
          </cell>
          <cell r="S2538" t="str">
            <v>-</v>
          </cell>
          <cell r="T2538" t="str">
            <v>-</v>
          </cell>
          <cell r="U2538" t="str">
            <v>-</v>
          </cell>
          <cell r="V2538" t="str">
            <v>SS</v>
          </cell>
          <cell r="W2538" t="str">
            <v>-</v>
          </cell>
          <cell r="X2538" t="str">
            <v>CLP HC 220 (-25/+60°C)</v>
          </cell>
          <cell r="Y2538" t="str">
            <v>KH97EDRN132S4</v>
          </cell>
          <cell r="Z2538" t="str">
            <v>SEW</v>
          </cell>
          <cell r="AB2538" t="str">
            <v>ATEX22</v>
          </cell>
          <cell r="AF2538">
            <v>14</v>
          </cell>
          <cell r="AG2538" t="str">
            <v>EDRN132S4</v>
          </cell>
          <cell r="AH2538" t="str">
            <v>KH97-EDRN132S4B270-X</v>
          </cell>
        </row>
        <row r="2539">
          <cell r="A2539" t="str">
            <v>MR002527</v>
          </cell>
          <cell r="B2539" t="str">
            <v>MR</v>
          </cell>
          <cell r="C2539">
            <v>0.75</v>
          </cell>
          <cell r="D2539">
            <v>162</v>
          </cell>
          <cell r="E2539" t="str">
            <v>KA37</v>
          </cell>
          <cell r="F2539">
            <v>44</v>
          </cell>
          <cell r="G2539">
            <v>8.91</v>
          </cell>
          <cell r="H2539">
            <v>3.6</v>
          </cell>
          <cell r="I2539" t="str">
            <v>From M3A to M4A - 10°</v>
          </cell>
          <cell r="J2539" t="str">
            <v>IE3</v>
          </cell>
          <cell r="K2539" t="str">
            <v>230/400</v>
          </cell>
          <cell r="L2539">
            <v>50</v>
          </cell>
          <cell r="M2539" t="str">
            <v>3,05/1,75</v>
          </cell>
          <cell r="N2539">
            <v>55</v>
          </cell>
          <cell r="O2539" t="str">
            <v>155(F)</v>
          </cell>
          <cell r="P2539" t="str">
            <v>180°</v>
          </cell>
          <cell r="Q2539" t="str">
            <v>-</v>
          </cell>
          <cell r="R2539" t="str">
            <v>-</v>
          </cell>
          <cell r="S2539" t="str">
            <v>-</v>
          </cell>
          <cell r="T2539" t="str">
            <v>-</v>
          </cell>
          <cell r="U2539" t="str">
            <v>T</v>
          </cell>
          <cell r="V2539" t="str">
            <v>D</v>
          </cell>
          <cell r="W2539" t="str">
            <v>-</v>
          </cell>
          <cell r="X2539" t="str">
            <v>CLP HC 220 (-25/+60°C)</v>
          </cell>
          <cell r="Y2539" t="str">
            <v>KA37/T DRN80M4</v>
          </cell>
          <cell r="Z2539" t="str">
            <v>SEW</v>
          </cell>
          <cell r="AB2539" t="str">
            <v>-</v>
          </cell>
          <cell r="AE2539" t="str">
            <v>MOTOR FOR T MAX. 60°C</v>
          </cell>
          <cell r="AF2539">
            <v>162</v>
          </cell>
          <cell r="AG2539" t="str">
            <v>DRN80M4</v>
          </cell>
          <cell r="AH2539" t="str">
            <v>KA37T-DRN80M4A180-X</v>
          </cell>
        </row>
        <row r="2540">
          <cell r="A2540" t="str">
            <v>MR002528</v>
          </cell>
          <cell r="B2540" t="str">
            <v>MR</v>
          </cell>
          <cell r="C2540">
            <v>5.5</v>
          </cell>
          <cell r="D2540">
            <v>49</v>
          </cell>
          <cell r="E2540" t="str">
            <v>FA77</v>
          </cell>
          <cell r="F2540">
            <v>1080</v>
          </cell>
          <cell r="G2540">
            <v>29.91</v>
          </cell>
          <cell r="H2540">
            <v>1.4</v>
          </cell>
          <cell r="I2540" t="str">
            <v>M1</v>
          </cell>
          <cell r="J2540" t="str">
            <v>IE3</v>
          </cell>
          <cell r="K2540" t="str">
            <v>230/400</v>
          </cell>
          <cell r="L2540">
            <v>50</v>
          </cell>
          <cell r="M2540" t="str">
            <v>18,2/10,5</v>
          </cell>
          <cell r="N2540">
            <v>55</v>
          </cell>
          <cell r="O2540" t="str">
            <v>155(F)</v>
          </cell>
          <cell r="P2540" t="str">
            <v>270°</v>
          </cell>
          <cell r="Q2540" t="str">
            <v>-</v>
          </cell>
          <cell r="R2540" t="str">
            <v>-</v>
          </cell>
          <cell r="S2540" t="str">
            <v>-</v>
          </cell>
          <cell r="T2540" t="str">
            <v>-</v>
          </cell>
          <cell r="U2540" t="str">
            <v>G</v>
          </cell>
          <cell r="V2540" t="str">
            <v>D</v>
          </cell>
          <cell r="W2540" t="str">
            <v>-</v>
          </cell>
          <cell r="X2540" t="str">
            <v>CLP HC 220 (-25/+60°C)</v>
          </cell>
          <cell r="Y2540" t="str">
            <v>FA77/G DRN132S4</v>
          </cell>
          <cell r="Z2540" t="str">
            <v>SEW</v>
          </cell>
          <cell r="AB2540" t="str">
            <v>-</v>
          </cell>
          <cell r="AE2540" t="str">
            <v>MOTOR FOR T MAX. 60°C</v>
          </cell>
          <cell r="AF2540">
            <v>49</v>
          </cell>
          <cell r="AG2540" t="str">
            <v>DRN132S4</v>
          </cell>
          <cell r="AH2540" t="str">
            <v>FA77G-DRN132S4270-X</v>
          </cell>
        </row>
        <row r="2541">
          <cell r="A2541" t="str">
            <v>MR002529</v>
          </cell>
          <cell r="B2541" t="str">
            <v>MR</v>
          </cell>
          <cell r="C2541">
            <v>7.5</v>
          </cell>
          <cell r="D2541">
            <v>134</v>
          </cell>
          <cell r="E2541" t="str">
            <v>FA77</v>
          </cell>
          <cell r="F2541">
            <v>530</v>
          </cell>
          <cell r="G2541">
            <v>10.93</v>
          </cell>
          <cell r="H2541">
            <v>2.8</v>
          </cell>
          <cell r="I2541" t="str">
            <v>M6</v>
          </cell>
          <cell r="J2541" t="str">
            <v>IE3</v>
          </cell>
          <cell r="K2541" t="str">
            <v>400/690</v>
          </cell>
          <cell r="L2541">
            <v>50</v>
          </cell>
          <cell r="M2541" t="str">
            <v>15,2/8,8</v>
          </cell>
          <cell r="N2541">
            <v>55</v>
          </cell>
          <cell r="O2541" t="str">
            <v>155(F)</v>
          </cell>
          <cell r="P2541" t="str">
            <v>90°</v>
          </cell>
          <cell r="Q2541" t="str">
            <v>-</v>
          </cell>
          <cell r="R2541" t="str">
            <v>-</v>
          </cell>
          <cell r="S2541" t="str">
            <v>-</v>
          </cell>
          <cell r="T2541" t="str">
            <v>-</v>
          </cell>
          <cell r="U2541" t="str">
            <v>G</v>
          </cell>
          <cell r="V2541" t="str">
            <v>D</v>
          </cell>
          <cell r="W2541" t="str">
            <v>-</v>
          </cell>
          <cell r="X2541" t="str">
            <v>CLP HC 220 (-25/+60°C)</v>
          </cell>
          <cell r="Y2541" t="str">
            <v>FA77/G DRN132M4</v>
          </cell>
          <cell r="Z2541" t="str">
            <v>SEW</v>
          </cell>
          <cell r="AB2541" t="str">
            <v>-</v>
          </cell>
          <cell r="AE2541" t="str">
            <v>MOTOR FOR T MAX. 60°C</v>
          </cell>
          <cell r="AF2541">
            <v>134</v>
          </cell>
          <cell r="AG2541" t="str">
            <v>DRN132M4</v>
          </cell>
          <cell r="AH2541" t="str">
            <v>FA77G-DRN132M490-X</v>
          </cell>
        </row>
        <row r="2542">
          <cell r="A2542" t="str">
            <v>MR002530</v>
          </cell>
          <cell r="B2542" t="str">
            <v>MR</v>
          </cell>
          <cell r="C2542">
            <v>7.5</v>
          </cell>
          <cell r="D2542">
            <v>63</v>
          </cell>
          <cell r="E2542" t="str">
            <v>R87</v>
          </cell>
          <cell r="F2542">
            <v>1140</v>
          </cell>
          <cell r="G2542">
            <v>23.4</v>
          </cell>
          <cell r="H2542">
            <v>1.35</v>
          </cell>
          <cell r="I2542" t="str">
            <v>M1</v>
          </cell>
          <cell r="J2542" t="str">
            <v>IE3</v>
          </cell>
          <cell r="K2542" t="str">
            <v>400/690</v>
          </cell>
          <cell r="L2542">
            <v>50</v>
          </cell>
          <cell r="M2542" t="str">
            <v>15,2/8,8</v>
          </cell>
          <cell r="N2542">
            <v>55</v>
          </cell>
          <cell r="O2542" t="str">
            <v>155(F)</v>
          </cell>
          <cell r="P2542" t="str">
            <v>270°</v>
          </cell>
          <cell r="Q2542" t="str">
            <v>-</v>
          </cell>
          <cell r="R2542" t="str">
            <v>-</v>
          </cell>
          <cell r="S2542" t="str">
            <v>-</v>
          </cell>
          <cell r="T2542" t="str">
            <v>-</v>
          </cell>
          <cell r="U2542" t="str">
            <v>-</v>
          </cell>
          <cell r="V2542" t="str">
            <v>D</v>
          </cell>
          <cell r="W2542" t="str">
            <v>-</v>
          </cell>
          <cell r="X2542" t="str">
            <v>CLP HC 220 (-25/+60°C)</v>
          </cell>
          <cell r="Y2542" t="str">
            <v>R87DRN132M4</v>
          </cell>
          <cell r="Z2542" t="str">
            <v>SEW</v>
          </cell>
          <cell r="AB2542" t="str">
            <v>-</v>
          </cell>
          <cell r="AE2542" t="str">
            <v>MOTOR FOR T MAX. 60°C</v>
          </cell>
          <cell r="AF2542">
            <v>63</v>
          </cell>
          <cell r="AG2542" t="str">
            <v>DRN132M4</v>
          </cell>
          <cell r="AH2542" t="str">
            <v>R87-DRN132M4270-X</v>
          </cell>
        </row>
        <row r="2543">
          <cell r="A2543" t="str">
            <v>MR002531</v>
          </cell>
          <cell r="B2543" t="str">
            <v>MR</v>
          </cell>
          <cell r="C2543">
            <v>15</v>
          </cell>
          <cell r="D2543">
            <v>20</v>
          </cell>
          <cell r="E2543" t="str">
            <v>R137</v>
          </cell>
          <cell r="F2543">
            <v>7140</v>
          </cell>
          <cell r="G2543">
            <v>73.489999999999995</v>
          </cell>
          <cell r="H2543">
            <v>1.1000000000000001</v>
          </cell>
          <cell r="I2543" t="str">
            <v>From M1 to M2 - 20°</v>
          </cell>
          <cell r="J2543" t="str">
            <v>IE3</v>
          </cell>
          <cell r="K2543" t="str">
            <v>400/690</v>
          </cell>
          <cell r="L2543">
            <v>50</v>
          </cell>
          <cell r="M2543" t="str">
            <v>29/16,7</v>
          </cell>
          <cell r="N2543">
            <v>55</v>
          </cell>
          <cell r="O2543" t="str">
            <v>155(F)</v>
          </cell>
          <cell r="P2543" t="str">
            <v>270°</v>
          </cell>
          <cell r="Q2543" t="str">
            <v>TF</v>
          </cell>
          <cell r="R2543" t="str">
            <v>V(VE)</v>
          </cell>
          <cell r="S2543" t="str">
            <v>-</v>
          </cell>
          <cell r="T2543" t="str">
            <v>-</v>
          </cell>
          <cell r="U2543" t="str">
            <v>-</v>
          </cell>
          <cell r="V2543" t="str">
            <v>FC</v>
          </cell>
          <cell r="W2543" t="str">
            <v>-</v>
          </cell>
          <cell r="X2543" t="str">
            <v>CLP HC 220 (-25/+60°C)</v>
          </cell>
          <cell r="Y2543" t="str">
            <v>R137DRN160L4 /TF/V</v>
          </cell>
          <cell r="Z2543" t="str">
            <v>SEW</v>
          </cell>
          <cell r="AB2543" t="str">
            <v>-</v>
          </cell>
          <cell r="AE2543" t="str">
            <v>MOTOR FOR T MAX. 60°C</v>
          </cell>
          <cell r="AF2543">
            <v>20</v>
          </cell>
          <cell r="AG2543" t="str">
            <v>DRN160L4</v>
          </cell>
          <cell r="AH2543" t="str">
            <v>R137-DRN160L4270-X#</v>
          </cell>
        </row>
        <row r="2544">
          <cell r="A2544" t="str">
            <v>MR002532</v>
          </cell>
          <cell r="B2544" t="str">
            <v>MR</v>
          </cell>
          <cell r="C2544">
            <v>30</v>
          </cell>
          <cell r="D2544">
            <v>78</v>
          </cell>
          <cell r="E2544" t="str">
            <v>KH97</v>
          </cell>
          <cell r="F2544">
            <v>3660</v>
          </cell>
          <cell r="G2544">
            <v>18.96</v>
          </cell>
          <cell r="H2544">
            <v>1.1499999999999999</v>
          </cell>
          <cell r="I2544" t="str">
            <v>M4B</v>
          </cell>
          <cell r="J2544" t="str">
            <v>IE3</v>
          </cell>
          <cell r="K2544" t="str">
            <v>400/690</v>
          </cell>
          <cell r="L2544">
            <v>50</v>
          </cell>
          <cell r="M2544" t="str">
            <v>56/32,5</v>
          </cell>
          <cell r="N2544">
            <v>55</v>
          </cell>
          <cell r="O2544" t="str">
            <v>155(F)</v>
          </cell>
          <cell r="P2544" t="str">
            <v>270°</v>
          </cell>
          <cell r="Q2544" t="str">
            <v>-</v>
          </cell>
          <cell r="R2544" t="str">
            <v>-</v>
          </cell>
          <cell r="S2544" t="str">
            <v>Free rotation CW</v>
          </cell>
          <cell r="T2544" t="str">
            <v>-</v>
          </cell>
          <cell r="U2544" t="str">
            <v>T</v>
          </cell>
          <cell r="V2544" t="str">
            <v>SS</v>
          </cell>
          <cell r="W2544" t="str">
            <v>-</v>
          </cell>
          <cell r="X2544" t="str">
            <v>CLP HC 220 (-25/+60°C)</v>
          </cell>
          <cell r="Y2544" t="str">
            <v>KH97/T DRN200L4 /RS</v>
          </cell>
          <cell r="Z2544" t="str">
            <v>SEW</v>
          </cell>
          <cell r="AB2544" t="str">
            <v>-</v>
          </cell>
          <cell r="AE2544" t="str">
            <v>MOTOR FOR T MAX. 60°C</v>
          </cell>
          <cell r="AF2544">
            <v>78</v>
          </cell>
          <cell r="AG2544" t="str">
            <v>DRN200L4</v>
          </cell>
          <cell r="AH2544" t="str">
            <v>KH97T-DRN200L4B270-X</v>
          </cell>
        </row>
        <row r="2545">
          <cell r="A2545" t="str">
            <v>MR002533</v>
          </cell>
          <cell r="B2545" t="str">
            <v>MR</v>
          </cell>
          <cell r="C2545">
            <v>7.5</v>
          </cell>
          <cell r="D2545">
            <v>57</v>
          </cell>
          <cell r="E2545" t="str">
            <v>KH77</v>
          </cell>
          <cell r="F2545">
            <v>1240</v>
          </cell>
          <cell r="G2545">
            <v>25.62</v>
          </cell>
          <cell r="H2545">
            <v>1.25</v>
          </cell>
          <cell r="I2545" t="str">
            <v xml:space="preserve"> From M4A to M1A - 15°</v>
          </cell>
          <cell r="J2545" t="str">
            <v>IE3</v>
          </cell>
          <cell r="K2545" t="str">
            <v>400/690</v>
          </cell>
          <cell r="L2545">
            <v>50</v>
          </cell>
          <cell r="M2545" t="str">
            <v>15,2/8,8</v>
          </cell>
          <cell r="N2545">
            <v>55</v>
          </cell>
          <cell r="O2545" t="str">
            <v>155(F)</v>
          </cell>
          <cell r="P2545" t="str">
            <v>270°</v>
          </cell>
          <cell r="Q2545" t="str">
            <v>-</v>
          </cell>
          <cell r="R2545" t="str">
            <v>-</v>
          </cell>
          <cell r="S2545" t="str">
            <v>Free rotation CCW</v>
          </cell>
          <cell r="T2545" t="str">
            <v>-</v>
          </cell>
          <cell r="U2545" t="str">
            <v>T</v>
          </cell>
          <cell r="V2545" t="str">
            <v>SS</v>
          </cell>
          <cell r="W2545" t="str">
            <v>-</v>
          </cell>
          <cell r="X2545" t="str">
            <v>CLP HC 220 (-25/+60°C)</v>
          </cell>
          <cell r="Y2545" t="str">
            <v>KH77/T DRN132M4 /RS</v>
          </cell>
          <cell r="Z2545" t="str">
            <v>SEW</v>
          </cell>
          <cell r="AB2545" t="str">
            <v>-</v>
          </cell>
          <cell r="AE2545" t="str">
            <v>MOTOR FOR T MAX. 60°C</v>
          </cell>
          <cell r="AF2545">
            <v>57</v>
          </cell>
          <cell r="AG2545" t="str">
            <v>DRN132M4</v>
          </cell>
          <cell r="AH2545" t="str">
            <v>KH77T-DRN132M4A270-X</v>
          </cell>
        </row>
        <row r="2546">
          <cell r="A2546" t="str">
            <v>MR002534</v>
          </cell>
          <cell r="B2546" t="str">
            <v>MR</v>
          </cell>
          <cell r="C2546">
            <v>0.75</v>
          </cell>
          <cell r="D2546">
            <v>162</v>
          </cell>
          <cell r="E2546" t="str">
            <v>KA37</v>
          </cell>
          <cell r="F2546">
            <v>44</v>
          </cell>
          <cell r="G2546">
            <v>8.91</v>
          </cell>
          <cell r="H2546">
            <v>3.6</v>
          </cell>
          <cell r="I2546" t="str">
            <v>From M3A to M2A - 20°</v>
          </cell>
          <cell r="J2546" t="str">
            <v>IE3</v>
          </cell>
          <cell r="K2546" t="str">
            <v>230/400</v>
          </cell>
          <cell r="L2546">
            <v>50</v>
          </cell>
          <cell r="M2546" t="str">
            <v>3,05/1,75</v>
          </cell>
          <cell r="N2546">
            <v>55</v>
          </cell>
          <cell r="O2546" t="str">
            <v>155(F)</v>
          </cell>
          <cell r="P2546" t="str">
            <v>180°</v>
          </cell>
          <cell r="Q2546" t="str">
            <v>-</v>
          </cell>
          <cell r="R2546" t="str">
            <v>-</v>
          </cell>
          <cell r="S2546" t="str">
            <v>-</v>
          </cell>
          <cell r="T2546" t="str">
            <v>-</v>
          </cell>
          <cell r="U2546" t="str">
            <v>T</v>
          </cell>
          <cell r="V2546" t="str">
            <v>D</v>
          </cell>
          <cell r="W2546" t="str">
            <v>-</v>
          </cell>
          <cell r="X2546" t="str">
            <v>CLP HC 220 (-25/+60°C)</v>
          </cell>
          <cell r="Y2546" t="str">
            <v>KA37/T DRN80M4</v>
          </cell>
          <cell r="Z2546" t="str">
            <v>SEW</v>
          </cell>
          <cell r="AB2546" t="str">
            <v>-</v>
          </cell>
          <cell r="AE2546" t="str">
            <v>MOTOR FOR T MAX. 60°C</v>
          </cell>
          <cell r="AF2546">
            <v>162</v>
          </cell>
          <cell r="AG2546" t="str">
            <v>DRN80M4</v>
          </cell>
          <cell r="AH2546" t="str">
            <v>KA37T-DRN80M4A180-X</v>
          </cell>
        </row>
        <row r="2547">
          <cell r="A2547" t="str">
            <v>MR002535</v>
          </cell>
          <cell r="B2547" t="str">
            <v>MR</v>
          </cell>
          <cell r="C2547">
            <v>0.75</v>
          </cell>
          <cell r="D2547">
            <v>162</v>
          </cell>
          <cell r="E2547" t="str">
            <v>KA37</v>
          </cell>
          <cell r="F2547">
            <v>44</v>
          </cell>
          <cell r="G2547">
            <v>8.91</v>
          </cell>
          <cell r="H2547">
            <v>3.6</v>
          </cell>
          <cell r="I2547" t="str">
            <v>From M3B to M4B - 15°</v>
          </cell>
          <cell r="J2547" t="str">
            <v>IE3</v>
          </cell>
          <cell r="K2547" t="str">
            <v>230/400</v>
          </cell>
          <cell r="L2547">
            <v>50</v>
          </cell>
          <cell r="M2547" t="str">
            <v>3,05/1,75</v>
          </cell>
          <cell r="N2547">
            <v>55</v>
          </cell>
          <cell r="O2547" t="str">
            <v>155(F)</v>
          </cell>
          <cell r="P2547" t="str">
            <v>0°</v>
          </cell>
          <cell r="Q2547" t="str">
            <v>-</v>
          </cell>
          <cell r="R2547" t="str">
            <v>-</v>
          </cell>
          <cell r="S2547" t="str">
            <v>-</v>
          </cell>
          <cell r="T2547" t="str">
            <v>-</v>
          </cell>
          <cell r="U2547" t="str">
            <v>T</v>
          </cell>
          <cell r="V2547" t="str">
            <v>D</v>
          </cell>
          <cell r="W2547" t="str">
            <v>-</v>
          </cell>
          <cell r="X2547" t="str">
            <v>CLP HC 220 (-25/+60°C)</v>
          </cell>
          <cell r="Y2547" t="str">
            <v>KA37/T DRN80M4</v>
          </cell>
          <cell r="Z2547" t="str">
            <v>SEW</v>
          </cell>
          <cell r="AB2547" t="str">
            <v>-</v>
          </cell>
          <cell r="AE2547" t="str">
            <v>MOTOR FOR T MAX. 60°C</v>
          </cell>
          <cell r="AF2547">
            <v>162</v>
          </cell>
          <cell r="AG2547" t="str">
            <v>DRN80M4</v>
          </cell>
          <cell r="AH2547" t="str">
            <v>KA37T-DRN80M4B0-X</v>
          </cell>
        </row>
        <row r="2548">
          <cell r="A2548" t="str">
            <v>MR002536</v>
          </cell>
          <cell r="B2548" t="str">
            <v>MR</v>
          </cell>
          <cell r="C2548">
            <v>0.75</v>
          </cell>
          <cell r="D2548">
            <v>162</v>
          </cell>
          <cell r="E2548" t="str">
            <v>KA37</v>
          </cell>
          <cell r="F2548">
            <v>44</v>
          </cell>
          <cell r="G2548">
            <v>8.91</v>
          </cell>
          <cell r="H2548">
            <v>3.6</v>
          </cell>
          <cell r="I2548" t="str">
            <v>From M3B to M2B - 15°</v>
          </cell>
          <cell r="J2548" t="str">
            <v>IE3</v>
          </cell>
          <cell r="K2548" t="str">
            <v>230/400</v>
          </cell>
          <cell r="L2548">
            <v>50</v>
          </cell>
          <cell r="M2548" t="str">
            <v>3,05/1,75</v>
          </cell>
          <cell r="N2548">
            <v>55</v>
          </cell>
          <cell r="O2548" t="str">
            <v>155(F)</v>
          </cell>
          <cell r="P2548" t="str">
            <v>0°</v>
          </cell>
          <cell r="Q2548" t="str">
            <v>-</v>
          </cell>
          <cell r="R2548" t="str">
            <v>-</v>
          </cell>
          <cell r="S2548" t="str">
            <v>-</v>
          </cell>
          <cell r="T2548" t="str">
            <v>-</v>
          </cell>
          <cell r="U2548" t="str">
            <v>T</v>
          </cell>
          <cell r="V2548" t="str">
            <v>D</v>
          </cell>
          <cell r="W2548" t="str">
            <v>-</v>
          </cell>
          <cell r="X2548" t="str">
            <v>CLP HC 220 (-25/+60°C)</v>
          </cell>
          <cell r="Y2548" t="str">
            <v>KA37/T DRN80M4</v>
          </cell>
          <cell r="Z2548" t="str">
            <v>SEW</v>
          </cell>
          <cell r="AB2548" t="str">
            <v>-</v>
          </cell>
          <cell r="AE2548" t="str">
            <v>MOTOR FOR T MAX. 60°C</v>
          </cell>
          <cell r="AF2548">
            <v>162</v>
          </cell>
          <cell r="AG2548" t="str">
            <v>DRN80M4</v>
          </cell>
          <cell r="AH2548" t="str">
            <v>KA37T-DRN80M4B0-X</v>
          </cell>
        </row>
        <row r="2549">
          <cell r="A2549" t="str">
            <v>MR002537</v>
          </cell>
          <cell r="B2549" t="str">
            <v>MR</v>
          </cell>
          <cell r="C2549">
            <v>11</v>
          </cell>
          <cell r="D2549">
            <v>109</v>
          </cell>
          <cell r="E2549" t="str">
            <v>KH77</v>
          </cell>
          <cell r="F2549">
            <v>960</v>
          </cell>
          <cell r="G2549">
            <v>13.52</v>
          </cell>
          <cell r="H2549">
            <v>1.4</v>
          </cell>
          <cell r="I2549" t="str">
            <v xml:space="preserve"> From M4B to M1B - 5°</v>
          </cell>
          <cell r="J2549" t="str">
            <v>IE3</v>
          </cell>
          <cell r="K2549" t="str">
            <v>400/690</v>
          </cell>
          <cell r="L2549">
            <v>50</v>
          </cell>
          <cell r="M2549" t="str">
            <v>21/12,2</v>
          </cell>
          <cell r="N2549">
            <v>55</v>
          </cell>
          <cell r="O2549" t="str">
            <v>155(F)</v>
          </cell>
          <cell r="P2549" t="str">
            <v>270°</v>
          </cell>
          <cell r="Q2549" t="str">
            <v>-</v>
          </cell>
          <cell r="R2549" t="str">
            <v>-</v>
          </cell>
          <cell r="S2549" t="str">
            <v>Free rotation CW</v>
          </cell>
          <cell r="T2549" t="str">
            <v>-</v>
          </cell>
          <cell r="U2549" t="str">
            <v>T</v>
          </cell>
          <cell r="V2549" t="str">
            <v>SS</v>
          </cell>
          <cell r="W2549" t="str">
            <v>-</v>
          </cell>
          <cell r="X2549" t="str">
            <v>CLP HC 150 (-30/+50°C)</v>
          </cell>
          <cell r="Y2549" t="str">
            <v>KH77/T DRN160M4 /RS</v>
          </cell>
          <cell r="Z2549" t="str">
            <v>SEW</v>
          </cell>
          <cell r="AB2549" t="str">
            <v>-</v>
          </cell>
          <cell r="AF2549">
            <v>109</v>
          </cell>
          <cell r="AG2549" t="str">
            <v>DRN160M4</v>
          </cell>
          <cell r="AH2549" t="str">
            <v>KH77T-DRN160M4B270-X</v>
          </cell>
        </row>
        <row r="2550">
          <cell r="A2550" t="str">
            <v>MR002538</v>
          </cell>
          <cell r="B2550" t="str">
            <v>MR</v>
          </cell>
          <cell r="C2550">
            <v>0.75</v>
          </cell>
          <cell r="D2550">
            <v>162</v>
          </cell>
          <cell r="E2550" t="str">
            <v>KA37</v>
          </cell>
          <cell r="F2550">
            <v>44</v>
          </cell>
          <cell r="G2550">
            <v>8.91</v>
          </cell>
          <cell r="H2550">
            <v>3.6</v>
          </cell>
          <cell r="I2550" t="str">
            <v>From M3B to M4B - 5°</v>
          </cell>
          <cell r="J2550" t="str">
            <v>IE3</v>
          </cell>
          <cell r="K2550" t="str">
            <v>230/400</v>
          </cell>
          <cell r="L2550">
            <v>50</v>
          </cell>
          <cell r="M2550" t="str">
            <v>3,05/1,75</v>
          </cell>
          <cell r="N2550">
            <v>55</v>
          </cell>
          <cell r="O2550" t="str">
            <v>155(F)</v>
          </cell>
          <cell r="P2550" t="str">
            <v>0°</v>
          </cell>
          <cell r="Q2550" t="str">
            <v>-</v>
          </cell>
          <cell r="R2550" t="str">
            <v>-</v>
          </cell>
          <cell r="S2550" t="str">
            <v>-</v>
          </cell>
          <cell r="T2550" t="str">
            <v>-</v>
          </cell>
          <cell r="U2550" t="str">
            <v>T</v>
          </cell>
          <cell r="V2550" t="str">
            <v>D</v>
          </cell>
          <cell r="W2550" t="str">
            <v>-</v>
          </cell>
          <cell r="X2550" t="str">
            <v>CLP HC 150 (-30/+50°C)</v>
          </cell>
          <cell r="Y2550" t="str">
            <v>KA37/T DRN80M4</v>
          </cell>
          <cell r="Z2550" t="str">
            <v>SEW</v>
          </cell>
          <cell r="AB2550" t="str">
            <v>-</v>
          </cell>
          <cell r="AF2550">
            <v>162</v>
          </cell>
          <cell r="AG2550" t="str">
            <v>DRN80M4</v>
          </cell>
          <cell r="AH2550" t="str">
            <v>KA37T-DRN80M4B0-X</v>
          </cell>
        </row>
        <row r="2551">
          <cell r="A2551" t="str">
            <v>MR002539</v>
          </cell>
          <cell r="B2551" t="str">
            <v>MR</v>
          </cell>
          <cell r="C2551">
            <v>7.5</v>
          </cell>
          <cell r="D2551">
            <v>15</v>
          </cell>
          <cell r="E2551" t="str">
            <v>KH107</v>
          </cell>
          <cell r="F2551">
            <v>4910</v>
          </cell>
          <cell r="G2551">
            <v>100.75</v>
          </cell>
          <cell r="H2551">
            <v>1.55</v>
          </cell>
          <cell r="I2551" t="str">
            <v>From M1A to M2A - 10°</v>
          </cell>
          <cell r="J2551" t="str">
            <v>IE3</v>
          </cell>
          <cell r="K2551" t="str">
            <v>400/690</v>
          </cell>
          <cell r="L2551">
            <v>50</v>
          </cell>
          <cell r="M2551" t="str">
            <v>15,2/8,8</v>
          </cell>
          <cell r="N2551">
            <v>65</v>
          </cell>
          <cell r="O2551" t="str">
            <v>155(F)</v>
          </cell>
          <cell r="P2551" t="str">
            <v>270°</v>
          </cell>
          <cell r="Q2551" t="str">
            <v>-</v>
          </cell>
          <cell r="R2551" t="str">
            <v>-</v>
          </cell>
          <cell r="S2551" t="str">
            <v>-</v>
          </cell>
          <cell r="T2551" t="str">
            <v>-</v>
          </cell>
          <cell r="U2551" t="str">
            <v>-</v>
          </cell>
          <cell r="V2551" t="str">
            <v>SS</v>
          </cell>
          <cell r="W2551" t="str">
            <v>-</v>
          </cell>
          <cell r="X2551" t="str">
            <v>CLP HC 220 (-25/+60°C)</v>
          </cell>
          <cell r="Y2551" t="str">
            <v>KH107EDRN132M4</v>
          </cell>
          <cell r="Z2551" t="str">
            <v>SEW</v>
          </cell>
          <cell r="AB2551" t="str">
            <v>ATEX22</v>
          </cell>
          <cell r="AF2551">
            <v>15</v>
          </cell>
          <cell r="AG2551" t="str">
            <v>EDRN132M4</v>
          </cell>
          <cell r="AH2551" t="str">
            <v>KH107-EDRN132M4A270-X</v>
          </cell>
        </row>
        <row r="2552">
          <cell r="A2552" t="str">
            <v>MR002540</v>
          </cell>
          <cell r="B2552" t="str">
            <v>MR</v>
          </cell>
          <cell r="C2552">
            <v>7.5</v>
          </cell>
          <cell r="D2552">
            <v>15</v>
          </cell>
          <cell r="E2552" t="str">
            <v>KH107</v>
          </cell>
          <cell r="F2552">
            <v>4910</v>
          </cell>
          <cell r="G2552">
            <v>100.75</v>
          </cell>
          <cell r="H2552">
            <v>1.55</v>
          </cell>
          <cell r="I2552" t="str">
            <v>From M1B to M2B - 10°</v>
          </cell>
          <cell r="J2552" t="str">
            <v>IE3</v>
          </cell>
          <cell r="K2552" t="str">
            <v>400/690</v>
          </cell>
          <cell r="L2552">
            <v>50</v>
          </cell>
          <cell r="M2552" t="str">
            <v>15,2/8,8</v>
          </cell>
          <cell r="N2552">
            <v>65</v>
          </cell>
          <cell r="O2552" t="str">
            <v>155(F)</v>
          </cell>
          <cell r="P2552" t="str">
            <v>270°</v>
          </cell>
          <cell r="Q2552" t="str">
            <v>-</v>
          </cell>
          <cell r="R2552" t="str">
            <v>-</v>
          </cell>
          <cell r="S2552" t="str">
            <v>-</v>
          </cell>
          <cell r="T2552" t="str">
            <v>-</v>
          </cell>
          <cell r="U2552" t="str">
            <v>-</v>
          </cell>
          <cell r="V2552" t="str">
            <v>SS</v>
          </cell>
          <cell r="W2552" t="str">
            <v>-</v>
          </cell>
          <cell r="X2552" t="str">
            <v>CLP HC 220 (-25/+60°C)</v>
          </cell>
          <cell r="Y2552" t="str">
            <v>KH107EDRN132M4</v>
          </cell>
          <cell r="Z2552" t="str">
            <v>SEW</v>
          </cell>
          <cell r="AB2552" t="str">
            <v>ATEX22</v>
          </cell>
          <cell r="AF2552">
            <v>15</v>
          </cell>
          <cell r="AG2552" t="str">
            <v>EDRN132M4</v>
          </cell>
          <cell r="AH2552" t="str">
            <v>KH107-EDRN132M4B270-X</v>
          </cell>
        </row>
        <row r="2553">
          <cell r="A2553" t="str">
            <v>MR002541</v>
          </cell>
          <cell r="B2553" t="str">
            <v>MR</v>
          </cell>
          <cell r="C2553">
            <v>5.5</v>
          </cell>
          <cell r="D2553">
            <v>15</v>
          </cell>
          <cell r="E2553" t="str">
            <v>KH97</v>
          </cell>
          <cell r="F2553">
            <v>3470</v>
          </cell>
          <cell r="G2553">
            <v>96.8</v>
          </cell>
          <cell r="H2553">
            <v>1.25</v>
          </cell>
          <cell r="I2553" t="str">
            <v>From M1A to M2A - 20°</v>
          </cell>
          <cell r="J2553" t="str">
            <v>IE3</v>
          </cell>
          <cell r="K2553" t="str">
            <v>230/400</v>
          </cell>
          <cell r="L2553">
            <v>50</v>
          </cell>
          <cell r="M2553" t="str">
            <v>18,2/10,5</v>
          </cell>
          <cell r="N2553">
            <v>65</v>
          </cell>
          <cell r="O2553" t="str">
            <v>155(F)</v>
          </cell>
          <cell r="P2553" t="str">
            <v>270°</v>
          </cell>
          <cell r="Q2553" t="str">
            <v>TF</v>
          </cell>
          <cell r="R2553" t="str">
            <v>-</v>
          </cell>
          <cell r="S2553" t="str">
            <v>-</v>
          </cell>
          <cell r="T2553" t="str">
            <v>-</v>
          </cell>
          <cell r="U2553" t="str">
            <v>-</v>
          </cell>
          <cell r="V2553" t="str">
            <v>FC</v>
          </cell>
          <cell r="W2553" t="str">
            <v>-</v>
          </cell>
          <cell r="X2553" t="str">
            <v>CLP HC 220 (-25/+60°C)</v>
          </cell>
          <cell r="Y2553" t="str">
            <v>KH97EDRN132S4 /TF</v>
          </cell>
          <cell r="Z2553" t="str">
            <v>SEW</v>
          </cell>
          <cell r="AB2553" t="str">
            <v>ATEX22</v>
          </cell>
          <cell r="AF2553">
            <v>15</v>
          </cell>
          <cell r="AG2553" t="str">
            <v>EDRN132S4</v>
          </cell>
          <cell r="AH2553" t="str">
            <v>KH97-EDRN132S4A270-X</v>
          </cell>
        </row>
        <row r="2554">
          <cell r="A2554" t="str">
            <v>MR002542</v>
          </cell>
          <cell r="B2554" t="str">
            <v>MR</v>
          </cell>
          <cell r="C2554">
            <v>11</v>
          </cell>
          <cell r="D2554">
            <v>15</v>
          </cell>
          <cell r="E2554" t="str">
            <v>KH107</v>
          </cell>
          <cell r="F2554">
            <v>7180</v>
          </cell>
          <cell r="G2554">
            <v>100.75</v>
          </cell>
          <cell r="H2554">
            <v>1.1000000000000001</v>
          </cell>
          <cell r="I2554" t="str">
            <v>From M1A to M2A - 25°</v>
          </cell>
          <cell r="J2554" t="str">
            <v>IE3</v>
          </cell>
          <cell r="K2554" t="str">
            <v>400/690</v>
          </cell>
          <cell r="L2554">
            <v>50</v>
          </cell>
          <cell r="M2554" t="str">
            <v>21/12,2</v>
          </cell>
          <cell r="N2554">
            <v>65</v>
          </cell>
          <cell r="O2554" t="str">
            <v>155(F)</v>
          </cell>
          <cell r="P2554" t="str">
            <v>270°</v>
          </cell>
          <cell r="Q2554" t="str">
            <v>-</v>
          </cell>
          <cell r="R2554" t="str">
            <v>-</v>
          </cell>
          <cell r="S2554" t="str">
            <v>-</v>
          </cell>
          <cell r="T2554" t="str">
            <v>-</v>
          </cell>
          <cell r="U2554" t="str">
            <v>-</v>
          </cell>
          <cell r="V2554" t="str">
            <v>SS</v>
          </cell>
          <cell r="W2554" t="str">
            <v>-</v>
          </cell>
          <cell r="X2554" t="str">
            <v>CLP HC 220 (-25/+60°C)</v>
          </cell>
          <cell r="Y2554" t="str">
            <v>KH107EDRN160M4</v>
          </cell>
          <cell r="Z2554" t="str">
            <v>SEW</v>
          </cell>
          <cell r="AB2554" t="str">
            <v>ATEX22</v>
          </cell>
          <cell r="AF2554">
            <v>15</v>
          </cell>
          <cell r="AG2554" t="str">
            <v>EDRN160M4</v>
          </cell>
          <cell r="AH2554" t="str">
            <v>KH107-EDRN160M4A270-X</v>
          </cell>
        </row>
        <row r="2555">
          <cell r="A2555" t="str">
            <v>MR002543</v>
          </cell>
          <cell r="B2555" t="str">
            <v>MR</v>
          </cell>
          <cell r="C2555">
            <v>11</v>
          </cell>
          <cell r="D2555">
            <v>15</v>
          </cell>
          <cell r="E2555" t="str">
            <v>KH107</v>
          </cell>
          <cell r="F2555">
            <v>7180</v>
          </cell>
          <cell r="G2555">
            <v>100.75</v>
          </cell>
          <cell r="H2555">
            <v>1.1000000000000001</v>
          </cell>
          <cell r="I2555" t="str">
            <v>From M1B to M2B - 25°</v>
          </cell>
          <cell r="J2555" t="str">
            <v>IE3</v>
          </cell>
          <cell r="K2555" t="str">
            <v>400/690</v>
          </cell>
          <cell r="L2555">
            <v>50</v>
          </cell>
          <cell r="M2555" t="str">
            <v>21/12,2</v>
          </cell>
          <cell r="N2555">
            <v>65</v>
          </cell>
          <cell r="O2555" t="str">
            <v>155(F)</v>
          </cell>
          <cell r="P2555" t="str">
            <v>270°</v>
          </cell>
          <cell r="Q2555" t="str">
            <v>-</v>
          </cell>
          <cell r="R2555" t="str">
            <v>-</v>
          </cell>
          <cell r="S2555" t="str">
            <v>-</v>
          </cell>
          <cell r="T2555" t="str">
            <v>-</v>
          </cell>
          <cell r="U2555" t="str">
            <v>-</v>
          </cell>
          <cell r="V2555" t="str">
            <v>SS</v>
          </cell>
          <cell r="W2555" t="str">
            <v>-</v>
          </cell>
          <cell r="X2555" t="str">
            <v>CLP HC 220 (-25/+60°C)</v>
          </cell>
          <cell r="Y2555" t="str">
            <v>KH107EDRN160M4</v>
          </cell>
          <cell r="Z2555" t="str">
            <v>SEW</v>
          </cell>
          <cell r="AB2555" t="str">
            <v>ATEX22</v>
          </cell>
          <cell r="AF2555">
            <v>15</v>
          </cell>
          <cell r="AG2555" t="str">
            <v>EDRN160M4</v>
          </cell>
          <cell r="AH2555" t="str">
            <v>KH107-EDRN160M4B270-X</v>
          </cell>
        </row>
        <row r="2556">
          <cell r="A2556" t="str">
            <v>MR002544</v>
          </cell>
          <cell r="B2556" t="str">
            <v>MR</v>
          </cell>
          <cell r="C2556">
            <v>5.5</v>
          </cell>
          <cell r="D2556">
            <v>62</v>
          </cell>
          <cell r="E2556" t="str">
            <v>R87</v>
          </cell>
          <cell r="F2556">
            <v>840</v>
          </cell>
          <cell r="G2556">
            <v>23.4</v>
          </cell>
          <cell r="H2556">
            <v>1.45</v>
          </cell>
          <cell r="I2556" t="str">
            <v>From M6 to M2 - 20°</v>
          </cell>
          <cell r="J2556" t="str">
            <v>IE3</v>
          </cell>
          <cell r="K2556" t="str">
            <v>230/400</v>
          </cell>
          <cell r="L2556">
            <v>50</v>
          </cell>
          <cell r="M2556" t="str">
            <v>18,2/10,5</v>
          </cell>
          <cell r="N2556">
            <v>65</v>
          </cell>
          <cell r="O2556" t="str">
            <v>155(F)</v>
          </cell>
          <cell r="P2556" t="str">
            <v>270°</v>
          </cell>
          <cell r="Q2556" t="str">
            <v>-</v>
          </cell>
          <cell r="R2556" t="str">
            <v>-</v>
          </cell>
          <cell r="S2556" t="str">
            <v>-</v>
          </cell>
          <cell r="T2556" t="str">
            <v>-</v>
          </cell>
          <cell r="U2556" t="str">
            <v>-</v>
          </cell>
          <cell r="V2556" t="str">
            <v>D</v>
          </cell>
          <cell r="W2556" t="str">
            <v>-</v>
          </cell>
          <cell r="X2556" t="str">
            <v>CLP HC 220 (-25/+60°C)</v>
          </cell>
          <cell r="Y2556" t="str">
            <v>R87EDRN132S4</v>
          </cell>
          <cell r="Z2556" t="str">
            <v>SEW</v>
          </cell>
          <cell r="AB2556" t="str">
            <v>ATEX22</v>
          </cell>
          <cell r="AF2556">
            <v>62</v>
          </cell>
          <cell r="AG2556" t="str">
            <v>EDRN132S4</v>
          </cell>
          <cell r="AH2556" t="str">
            <v>R87-EDRN132S4270-X</v>
          </cell>
        </row>
        <row r="2557">
          <cell r="A2557" t="str">
            <v>MR002545</v>
          </cell>
          <cell r="B2557" t="str">
            <v>MR</v>
          </cell>
          <cell r="C2557">
            <v>5.5</v>
          </cell>
          <cell r="D2557">
            <v>62</v>
          </cell>
          <cell r="E2557" t="str">
            <v>R87</v>
          </cell>
          <cell r="F2557">
            <v>840</v>
          </cell>
          <cell r="G2557">
            <v>23.4</v>
          </cell>
          <cell r="H2557">
            <v>1.45</v>
          </cell>
          <cell r="I2557" t="str">
            <v>From M5 to M2 - 15°</v>
          </cell>
          <cell r="J2557" t="str">
            <v>IE3</v>
          </cell>
          <cell r="K2557" t="str">
            <v>230/400</v>
          </cell>
          <cell r="L2557">
            <v>50</v>
          </cell>
          <cell r="M2557" t="str">
            <v>18,2/10,5</v>
          </cell>
          <cell r="N2557">
            <v>65</v>
          </cell>
          <cell r="O2557" t="str">
            <v>155(F)</v>
          </cell>
          <cell r="P2557" t="str">
            <v>270°</v>
          </cell>
          <cell r="Q2557" t="str">
            <v>-</v>
          </cell>
          <cell r="R2557" t="str">
            <v>-</v>
          </cell>
          <cell r="S2557" t="str">
            <v>-</v>
          </cell>
          <cell r="T2557" t="str">
            <v>-</v>
          </cell>
          <cell r="U2557" t="str">
            <v>-</v>
          </cell>
          <cell r="V2557" t="str">
            <v>D</v>
          </cell>
          <cell r="W2557" t="str">
            <v>-</v>
          </cell>
          <cell r="X2557" t="str">
            <v>CLP HC 220 (-25/+60°C)</v>
          </cell>
          <cell r="Y2557" t="str">
            <v>R87EDRN132S4</v>
          </cell>
          <cell r="Z2557" t="str">
            <v>SEW</v>
          </cell>
          <cell r="AB2557" t="str">
            <v>ATEX22</v>
          </cell>
          <cell r="AF2557">
            <v>62</v>
          </cell>
          <cell r="AG2557" t="str">
            <v>EDRN132S4</v>
          </cell>
          <cell r="AH2557" t="str">
            <v>R87-EDRN132S4270-X</v>
          </cell>
        </row>
        <row r="2558">
          <cell r="A2558" t="str">
            <v>MR002546</v>
          </cell>
          <cell r="B2558" t="str">
            <v>MR</v>
          </cell>
          <cell r="C2558">
            <v>5.5</v>
          </cell>
          <cell r="D2558">
            <v>62</v>
          </cell>
          <cell r="E2558" t="str">
            <v>R87</v>
          </cell>
          <cell r="F2558">
            <v>840</v>
          </cell>
          <cell r="G2558">
            <v>23.4</v>
          </cell>
          <cell r="H2558">
            <v>1.45</v>
          </cell>
          <cell r="I2558" t="str">
            <v>From M6 to M4 - 10°</v>
          </cell>
          <cell r="J2558" t="str">
            <v>IE3</v>
          </cell>
          <cell r="K2558" t="str">
            <v>230/400</v>
          </cell>
          <cell r="L2558">
            <v>50</v>
          </cell>
          <cell r="M2558" t="str">
            <v>18,2/10,5</v>
          </cell>
          <cell r="N2558">
            <v>65</v>
          </cell>
          <cell r="O2558" t="str">
            <v>155(F)</v>
          </cell>
          <cell r="P2558" t="str">
            <v>270°</v>
          </cell>
          <cell r="Q2558" t="str">
            <v>-</v>
          </cell>
          <cell r="R2558" t="str">
            <v>-</v>
          </cell>
          <cell r="S2558" t="str">
            <v>-</v>
          </cell>
          <cell r="T2558" t="str">
            <v>-</v>
          </cell>
          <cell r="U2558" t="str">
            <v>-</v>
          </cell>
          <cell r="V2558" t="str">
            <v>D</v>
          </cell>
          <cell r="W2558" t="str">
            <v>-</v>
          </cell>
          <cell r="X2558" t="str">
            <v>CLP HC 220 (-25/+60°C)</v>
          </cell>
          <cell r="Y2558" t="str">
            <v>R87EDRN132S4</v>
          </cell>
          <cell r="Z2558" t="str">
            <v>SEW</v>
          </cell>
          <cell r="AB2558" t="str">
            <v>ATEX22</v>
          </cell>
          <cell r="AF2558">
            <v>62</v>
          </cell>
          <cell r="AG2558" t="str">
            <v>EDRN132S4</v>
          </cell>
          <cell r="AH2558" t="str">
            <v>R87-EDRN132S4270-X</v>
          </cell>
        </row>
        <row r="2559">
          <cell r="A2559" t="str">
            <v>MR002547</v>
          </cell>
          <cell r="B2559" t="str">
            <v>MR</v>
          </cell>
          <cell r="C2559">
            <v>7.5</v>
          </cell>
          <cell r="D2559">
            <v>15</v>
          </cell>
          <cell r="E2559" t="str">
            <v>KH107</v>
          </cell>
          <cell r="F2559">
            <v>4910</v>
          </cell>
          <cell r="G2559">
            <v>100.75</v>
          </cell>
          <cell r="H2559">
            <v>1.55</v>
          </cell>
          <cell r="I2559" t="str">
            <v>From M1A to M2A - 20°</v>
          </cell>
          <cell r="J2559" t="str">
            <v>IE3</v>
          </cell>
          <cell r="K2559" t="str">
            <v>400/690</v>
          </cell>
          <cell r="L2559">
            <v>50</v>
          </cell>
          <cell r="M2559" t="str">
            <v>15,2/8,8</v>
          </cell>
          <cell r="N2559">
            <v>65</v>
          </cell>
          <cell r="O2559" t="str">
            <v>155(F)</v>
          </cell>
          <cell r="P2559" t="str">
            <v>270°</v>
          </cell>
          <cell r="Q2559" t="str">
            <v>-</v>
          </cell>
          <cell r="R2559" t="str">
            <v>-</v>
          </cell>
          <cell r="S2559" t="str">
            <v>-</v>
          </cell>
          <cell r="T2559" t="str">
            <v>-</v>
          </cell>
          <cell r="U2559" t="str">
            <v>-</v>
          </cell>
          <cell r="V2559" t="str">
            <v>SS</v>
          </cell>
          <cell r="W2559" t="str">
            <v>-</v>
          </cell>
          <cell r="X2559" t="str">
            <v>CLP HC 220 (-25/+60°C)</v>
          </cell>
          <cell r="Y2559" t="str">
            <v>KH107EDRN132M4</v>
          </cell>
          <cell r="Z2559" t="str">
            <v>SEW</v>
          </cell>
          <cell r="AB2559" t="str">
            <v>ATEX22</v>
          </cell>
          <cell r="AF2559">
            <v>15</v>
          </cell>
          <cell r="AG2559" t="str">
            <v>EDRN132M4</v>
          </cell>
          <cell r="AH2559" t="str">
            <v>KH107-EDRN132M4A270-X</v>
          </cell>
        </row>
        <row r="2560">
          <cell r="A2560" t="str">
            <v>MR002548</v>
          </cell>
          <cell r="B2560" t="str">
            <v>MR</v>
          </cell>
          <cell r="C2560">
            <v>15</v>
          </cell>
          <cell r="D2560">
            <v>30</v>
          </cell>
          <cell r="E2560" t="str">
            <v>R127</v>
          </cell>
          <cell r="F2560">
            <v>4840</v>
          </cell>
          <cell r="G2560">
            <v>49.81</v>
          </cell>
          <cell r="H2560">
            <v>1.1499999999999999</v>
          </cell>
          <cell r="I2560" t="str">
            <v>From M1 to M2 - 10°</v>
          </cell>
          <cell r="J2560" t="str">
            <v>IE3</v>
          </cell>
          <cell r="K2560" t="str">
            <v>400/690</v>
          </cell>
          <cell r="L2560">
            <v>50</v>
          </cell>
          <cell r="M2560" t="str">
            <v>29,5/16,9</v>
          </cell>
          <cell r="N2560">
            <v>65</v>
          </cell>
          <cell r="O2560" t="str">
            <v>155(F)</v>
          </cell>
          <cell r="P2560" t="str">
            <v>270°</v>
          </cell>
          <cell r="Q2560" t="str">
            <v>TF</v>
          </cell>
          <cell r="R2560" t="str">
            <v>V(VE)</v>
          </cell>
          <cell r="S2560" t="str">
            <v>-</v>
          </cell>
          <cell r="T2560" t="str">
            <v>-</v>
          </cell>
          <cell r="U2560" t="str">
            <v>-</v>
          </cell>
          <cell r="V2560" t="str">
            <v>FC</v>
          </cell>
          <cell r="W2560" t="str">
            <v>-</v>
          </cell>
          <cell r="X2560" t="str">
            <v>CLP HC 220 (-25/+60°C)</v>
          </cell>
          <cell r="Y2560" t="str">
            <v>R127EDRN160L4 /TF/VE</v>
          </cell>
          <cell r="Z2560" t="str">
            <v>SEW</v>
          </cell>
          <cell r="AB2560" t="str">
            <v>ATEX22</v>
          </cell>
          <cell r="AF2560">
            <v>30</v>
          </cell>
          <cell r="AG2560" t="str">
            <v>EDRN160L4</v>
          </cell>
          <cell r="AH2560" t="str">
            <v>R127-EDRN160L4270-X#</v>
          </cell>
        </row>
        <row r="2561">
          <cell r="A2561" t="str">
            <v>MR002549</v>
          </cell>
          <cell r="B2561" t="str">
            <v>MR</v>
          </cell>
          <cell r="C2561">
            <v>7.5</v>
          </cell>
          <cell r="D2561">
            <v>63</v>
          </cell>
          <cell r="E2561" t="str">
            <v>R87</v>
          </cell>
          <cell r="F2561">
            <v>1140</v>
          </cell>
          <cell r="G2561">
            <v>23.4</v>
          </cell>
          <cell r="H2561">
            <v>1.05</v>
          </cell>
          <cell r="I2561" t="str">
            <v>M1</v>
          </cell>
          <cell r="J2561" t="str">
            <v>IE3</v>
          </cell>
          <cell r="K2561" t="str">
            <v>400/690</v>
          </cell>
          <cell r="L2561">
            <v>50</v>
          </cell>
          <cell r="M2561" t="str">
            <v>15,2/8,8</v>
          </cell>
          <cell r="N2561">
            <v>65</v>
          </cell>
          <cell r="O2561" t="str">
            <v>155(F)</v>
          </cell>
          <cell r="P2561" t="str">
            <v>270°</v>
          </cell>
          <cell r="Q2561" t="str">
            <v>TF</v>
          </cell>
          <cell r="R2561" t="str">
            <v>-</v>
          </cell>
          <cell r="S2561" t="str">
            <v>-</v>
          </cell>
          <cell r="T2561" t="str">
            <v>-</v>
          </cell>
          <cell r="U2561" t="str">
            <v>-</v>
          </cell>
          <cell r="V2561" t="str">
            <v>FC</v>
          </cell>
          <cell r="W2561" t="str">
            <v>-</v>
          </cell>
          <cell r="X2561" t="str">
            <v>CLP HC 220 (-25/+60°C)</v>
          </cell>
          <cell r="Y2561" t="str">
            <v>R87EDRN132M4 /TF</v>
          </cell>
          <cell r="Z2561" t="str">
            <v>SEW</v>
          </cell>
          <cell r="AB2561" t="str">
            <v>ATEX22</v>
          </cell>
          <cell r="AF2561">
            <v>63</v>
          </cell>
          <cell r="AG2561" t="str">
            <v>EDRN132M4</v>
          </cell>
          <cell r="AH2561" t="str">
            <v>R87-EDRN132M4270-X</v>
          </cell>
        </row>
        <row r="2562">
          <cell r="A2562" t="str">
            <v>MR002550</v>
          </cell>
          <cell r="B2562" t="str">
            <v>MR</v>
          </cell>
          <cell r="C2562">
            <v>11</v>
          </cell>
          <cell r="D2562">
            <v>19</v>
          </cell>
          <cell r="E2562" t="str">
            <v>R127</v>
          </cell>
          <cell r="F2562">
            <v>5430</v>
          </cell>
          <cell r="G2562">
            <v>76.209999999999994</v>
          </cell>
          <cell r="H2562">
            <v>1.1000000000000001</v>
          </cell>
          <cell r="I2562" t="str">
            <v>From M1 to M2 - 15°</v>
          </cell>
          <cell r="J2562" t="str">
            <v>IE3</v>
          </cell>
          <cell r="K2562" t="str">
            <v>400/690</v>
          </cell>
          <cell r="L2562">
            <v>50</v>
          </cell>
          <cell r="M2562" t="str">
            <v>21,5/12,3</v>
          </cell>
          <cell r="N2562">
            <v>65</v>
          </cell>
          <cell r="O2562" t="str">
            <v>155(F)</v>
          </cell>
          <cell r="P2562" t="str">
            <v>270°</v>
          </cell>
          <cell r="Q2562" t="str">
            <v>TF</v>
          </cell>
          <cell r="R2562" t="str">
            <v>V(VE)</v>
          </cell>
          <cell r="S2562" t="str">
            <v>-</v>
          </cell>
          <cell r="T2562" t="str">
            <v>-</v>
          </cell>
          <cell r="U2562" t="str">
            <v>-</v>
          </cell>
          <cell r="V2562" t="str">
            <v>FC</v>
          </cell>
          <cell r="W2562" t="str">
            <v>-</v>
          </cell>
          <cell r="X2562" t="str">
            <v>CLP HC 220 (-25/+60°C)</v>
          </cell>
          <cell r="Y2562" t="str">
            <v>R127EDRN160M4 /TF/VE</v>
          </cell>
          <cell r="Z2562" t="str">
            <v>SEW</v>
          </cell>
          <cell r="AB2562" t="str">
            <v>ATEX22</v>
          </cell>
          <cell r="AF2562">
            <v>19</v>
          </cell>
          <cell r="AG2562" t="str">
            <v>EDRN160M4</v>
          </cell>
          <cell r="AH2562" t="str">
            <v>R127-EDRN160M4270-X#</v>
          </cell>
        </row>
        <row r="2563">
          <cell r="A2563" t="str">
            <v>MR002551</v>
          </cell>
          <cell r="B2563" t="str">
            <v>MR</v>
          </cell>
          <cell r="C2563">
            <v>11</v>
          </cell>
          <cell r="D2563">
            <v>73</v>
          </cell>
          <cell r="E2563" t="str">
            <v>R97</v>
          </cell>
          <cell r="F2563">
            <v>1440</v>
          </cell>
          <cell r="G2563">
            <v>20.14</v>
          </cell>
          <cell r="H2563">
            <v>1.45</v>
          </cell>
          <cell r="I2563" t="str">
            <v>From M1 to M2 - 30°</v>
          </cell>
          <cell r="J2563" t="str">
            <v>IE3</v>
          </cell>
          <cell r="K2563" t="str">
            <v>400/690</v>
          </cell>
          <cell r="L2563">
            <v>50</v>
          </cell>
          <cell r="M2563" t="str">
            <v>21,5/12,3</v>
          </cell>
          <cell r="N2563">
            <v>65</v>
          </cell>
          <cell r="O2563" t="str">
            <v>155(F)</v>
          </cell>
          <cell r="P2563" t="str">
            <v>270°</v>
          </cell>
          <cell r="Q2563" t="str">
            <v>TF</v>
          </cell>
          <cell r="R2563" t="str">
            <v>-</v>
          </cell>
          <cell r="S2563" t="str">
            <v>-</v>
          </cell>
          <cell r="T2563" t="str">
            <v>-</v>
          </cell>
          <cell r="U2563" t="str">
            <v>-</v>
          </cell>
          <cell r="V2563" t="str">
            <v>FC</v>
          </cell>
          <cell r="W2563" t="str">
            <v>-</v>
          </cell>
          <cell r="X2563" t="str">
            <v>CLP HC 220 (-25/+60°C)</v>
          </cell>
          <cell r="Y2563" t="str">
            <v>R97EDRN160M4 /TF</v>
          </cell>
          <cell r="Z2563" t="str">
            <v>SEW</v>
          </cell>
          <cell r="AB2563" t="str">
            <v>ATEX22</v>
          </cell>
          <cell r="AF2563">
            <v>73</v>
          </cell>
          <cell r="AG2563" t="str">
            <v>EDRN160M4</v>
          </cell>
          <cell r="AH2563" t="str">
            <v>R97-EDRN160M4270-X</v>
          </cell>
        </row>
        <row r="2564">
          <cell r="A2564" t="str">
            <v>MR002552</v>
          </cell>
          <cell r="B2564" t="str">
            <v>MR</v>
          </cell>
          <cell r="C2564">
            <v>4</v>
          </cell>
          <cell r="D2564">
            <v>94</v>
          </cell>
          <cell r="E2564" t="str">
            <v>R77</v>
          </cell>
          <cell r="F2564">
            <v>405</v>
          </cell>
          <cell r="G2564">
            <v>15.6</v>
          </cell>
          <cell r="H2564">
            <v>1.35</v>
          </cell>
          <cell r="I2564" t="str">
            <v>From M1 to M4 - 10°</v>
          </cell>
          <cell r="J2564" t="str">
            <v>IE3</v>
          </cell>
          <cell r="K2564" t="str">
            <v>230/400</v>
          </cell>
          <cell r="L2564">
            <v>50</v>
          </cell>
          <cell r="M2564" t="str">
            <v>14,2/8,2</v>
          </cell>
          <cell r="N2564">
            <v>65</v>
          </cell>
          <cell r="O2564" t="str">
            <v>155(F)</v>
          </cell>
          <cell r="P2564" t="str">
            <v>270°</v>
          </cell>
          <cell r="Q2564" t="str">
            <v>-</v>
          </cell>
          <cell r="R2564" t="str">
            <v>-</v>
          </cell>
          <cell r="S2564" t="str">
            <v>-</v>
          </cell>
          <cell r="T2564" t="str">
            <v>-</v>
          </cell>
          <cell r="U2564" t="str">
            <v>-</v>
          </cell>
          <cell r="V2564" t="str">
            <v>D</v>
          </cell>
          <cell r="W2564" t="str">
            <v>-</v>
          </cell>
          <cell r="X2564" t="str">
            <v>CLP HC 220 (-25/+60°C)</v>
          </cell>
          <cell r="Y2564" t="str">
            <v>R77EDRN112M4</v>
          </cell>
          <cell r="Z2564" t="str">
            <v>SEW</v>
          </cell>
          <cell r="AB2564" t="str">
            <v>ATEX22</v>
          </cell>
          <cell r="AF2564">
            <v>94</v>
          </cell>
          <cell r="AG2564" t="str">
            <v>EDRN112M4</v>
          </cell>
          <cell r="AH2564" t="str">
            <v>R77-EDRN112M4270-X</v>
          </cell>
        </row>
        <row r="2565">
          <cell r="A2565" t="str">
            <v>MR002553</v>
          </cell>
          <cell r="B2565" t="str">
            <v>MR</v>
          </cell>
          <cell r="C2565">
            <v>11</v>
          </cell>
          <cell r="D2565">
            <v>111</v>
          </cell>
          <cell r="E2565" t="str">
            <v>R87</v>
          </cell>
          <cell r="F2565">
            <v>950</v>
          </cell>
          <cell r="G2565">
            <v>13.33</v>
          </cell>
          <cell r="H2565">
            <v>1.1499999999999999</v>
          </cell>
          <cell r="I2565" t="str">
            <v>M2</v>
          </cell>
          <cell r="J2565" t="str">
            <v>IE3</v>
          </cell>
          <cell r="K2565" t="str">
            <v>400/690</v>
          </cell>
          <cell r="L2565">
            <v>50</v>
          </cell>
          <cell r="M2565" t="str">
            <v>21,5/12,3</v>
          </cell>
          <cell r="N2565">
            <v>65</v>
          </cell>
          <cell r="O2565" t="str">
            <v>155(F)</v>
          </cell>
          <cell r="P2565" t="str">
            <v>270°</v>
          </cell>
          <cell r="Q2565" t="str">
            <v>-</v>
          </cell>
          <cell r="R2565" t="str">
            <v>-</v>
          </cell>
          <cell r="S2565" t="str">
            <v>-</v>
          </cell>
          <cell r="T2565" t="str">
            <v>-</v>
          </cell>
          <cell r="U2565" t="str">
            <v>-</v>
          </cell>
          <cell r="V2565" t="str">
            <v>D</v>
          </cell>
          <cell r="W2565" t="str">
            <v>-</v>
          </cell>
          <cell r="X2565" t="str">
            <v>CLP HC 220 (-25/+60°C)</v>
          </cell>
          <cell r="Y2565" t="str">
            <v>R87EDRN160M4</v>
          </cell>
          <cell r="Z2565" t="str">
            <v>SEW</v>
          </cell>
          <cell r="AB2565" t="str">
            <v>ATEX22</v>
          </cell>
          <cell r="AF2565">
            <v>111</v>
          </cell>
          <cell r="AG2565" t="str">
            <v>EDRN160M4</v>
          </cell>
          <cell r="AH2565" t="str">
            <v>R87-EDRN160M4270-X</v>
          </cell>
        </row>
        <row r="2566">
          <cell r="A2566" t="str">
            <v>MR002554</v>
          </cell>
          <cell r="B2566" t="str">
            <v>MR</v>
          </cell>
          <cell r="C2566">
            <v>30</v>
          </cell>
          <cell r="D2566">
            <v>32</v>
          </cell>
          <cell r="E2566" t="str">
            <v>R147</v>
          </cell>
          <cell r="F2566">
            <v>9030</v>
          </cell>
          <cell r="G2566">
            <v>46.65</v>
          </cell>
          <cell r="H2566">
            <v>1.45</v>
          </cell>
          <cell r="I2566" t="str">
            <v>From M1 to M2 - 15°</v>
          </cell>
          <cell r="J2566" t="str">
            <v>IE3</v>
          </cell>
          <cell r="K2566" t="str">
            <v>400/690</v>
          </cell>
          <cell r="L2566">
            <v>50</v>
          </cell>
          <cell r="M2566" t="str">
            <v>56/32,5</v>
          </cell>
          <cell r="N2566">
            <v>65</v>
          </cell>
          <cell r="O2566" t="str">
            <v>155(F)</v>
          </cell>
          <cell r="P2566" t="str">
            <v>270°</v>
          </cell>
          <cell r="Q2566" t="str">
            <v>TF</v>
          </cell>
          <cell r="R2566" t="str">
            <v>V(VE)</v>
          </cell>
          <cell r="S2566" t="str">
            <v>-</v>
          </cell>
          <cell r="T2566" t="str">
            <v>-</v>
          </cell>
          <cell r="U2566" t="str">
            <v>-</v>
          </cell>
          <cell r="V2566" t="str">
            <v>FC</v>
          </cell>
          <cell r="W2566" t="str">
            <v>-</v>
          </cell>
          <cell r="X2566" t="str">
            <v>CLP 220 (-15/+40°C)</v>
          </cell>
          <cell r="Y2566" t="str">
            <v>R147DRN200L4 /TF/V</v>
          </cell>
          <cell r="Z2566" t="str">
            <v>SEW</v>
          </cell>
          <cell r="AB2566" t="str">
            <v>-</v>
          </cell>
          <cell r="AF2566">
            <v>32</v>
          </cell>
          <cell r="AG2566" t="str">
            <v>DRN200L4</v>
          </cell>
          <cell r="AH2566" t="str">
            <v>R147-DRN200L4270-X#</v>
          </cell>
        </row>
        <row r="2567">
          <cell r="A2567" t="str">
            <v>MR002555</v>
          </cell>
          <cell r="B2567" t="str">
            <v>MR</v>
          </cell>
          <cell r="C2567">
            <v>0.75</v>
          </cell>
          <cell r="D2567">
            <v>162</v>
          </cell>
          <cell r="E2567" t="str">
            <v>KA37</v>
          </cell>
          <cell r="F2567">
            <v>44</v>
          </cell>
          <cell r="G2567">
            <v>8.91</v>
          </cell>
          <cell r="H2567">
            <v>3.6</v>
          </cell>
          <cell r="I2567" t="str">
            <v>From M3A to M2A - 20°</v>
          </cell>
          <cell r="J2567" t="str">
            <v>IE3</v>
          </cell>
          <cell r="K2567" t="str">
            <v>230/400</v>
          </cell>
          <cell r="L2567">
            <v>50</v>
          </cell>
          <cell r="M2567" t="str">
            <v>3,05/1,75</v>
          </cell>
          <cell r="N2567">
            <v>65</v>
          </cell>
          <cell r="O2567" t="str">
            <v>155(F)</v>
          </cell>
          <cell r="P2567" t="str">
            <v>180°</v>
          </cell>
          <cell r="Q2567" t="str">
            <v>-</v>
          </cell>
          <cell r="R2567" t="str">
            <v>-</v>
          </cell>
          <cell r="S2567" t="str">
            <v>-</v>
          </cell>
          <cell r="T2567" t="str">
            <v>-</v>
          </cell>
          <cell r="U2567" t="str">
            <v>T</v>
          </cell>
          <cell r="V2567" t="str">
            <v>D</v>
          </cell>
          <cell r="W2567" t="str">
            <v>-</v>
          </cell>
          <cell r="X2567" t="str">
            <v>CLP 220 (-15/+40°C)</v>
          </cell>
          <cell r="Y2567" t="str">
            <v>KA37/T DRN80M4</v>
          </cell>
          <cell r="Z2567" t="str">
            <v>SEW</v>
          </cell>
          <cell r="AB2567" t="str">
            <v>-</v>
          </cell>
          <cell r="AF2567">
            <v>162</v>
          </cell>
          <cell r="AG2567" t="str">
            <v>DRN80M4</v>
          </cell>
          <cell r="AH2567" t="str">
            <v>KA37T-DRN80M4A180-X</v>
          </cell>
        </row>
        <row r="2568">
          <cell r="A2568" t="str">
            <v>MR002556</v>
          </cell>
          <cell r="B2568" t="str">
            <v>MR</v>
          </cell>
          <cell r="C2568">
            <v>15</v>
          </cell>
          <cell r="D2568">
            <v>48</v>
          </cell>
          <cell r="E2568" t="str">
            <v>KH97</v>
          </cell>
          <cell r="F2568">
            <v>2990</v>
          </cell>
          <cell r="G2568">
            <v>30.82</v>
          </cell>
          <cell r="H2568">
            <v>1.45</v>
          </cell>
          <cell r="I2568" t="str">
            <v>From M4B to M1B - 20°</v>
          </cell>
          <cell r="J2568" t="str">
            <v>IE3</v>
          </cell>
          <cell r="K2568" t="str">
            <v>400/690</v>
          </cell>
          <cell r="L2568">
            <v>50</v>
          </cell>
          <cell r="M2568" t="str">
            <v>29/16,7</v>
          </cell>
          <cell r="N2568">
            <v>65</v>
          </cell>
          <cell r="O2568" t="str">
            <v>155(F)</v>
          </cell>
          <cell r="P2568" t="str">
            <v>270°</v>
          </cell>
          <cell r="Q2568" t="str">
            <v>-</v>
          </cell>
          <cell r="R2568" t="str">
            <v>-</v>
          </cell>
          <cell r="S2568" t="str">
            <v>Free rotation CW</v>
          </cell>
          <cell r="T2568" t="str">
            <v>-</v>
          </cell>
          <cell r="U2568" t="str">
            <v>T</v>
          </cell>
          <cell r="V2568" t="str">
            <v>SS</v>
          </cell>
          <cell r="W2568" t="str">
            <v>-</v>
          </cell>
          <cell r="X2568" t="str">
            <v>CLP 220 (-15/+40°C)</v>
          </cell>
          <cell r="Y2568" t="str">
            <v>KH97/T DRN160L4 /RS</v>
          </cell>
          <cell r="Z2568" t="str">
            <v>SEW</v>
          </cell>
          <cell r="AB2568" t="str">
            <v>-</v>
          </cell>
          <cell r="AF2568">
            <v>48</v>
          </cell>
          <cell r="AG2568" t="str">
            <v>DRN160L4</v>
          </cell>
          <cell r="AH2568" t="str">
            <v>KH97T-DRN160L4B270-X</v>
          </cell>
        </row>
        <row r="2569">
          <cell r="A2569" t="str">
            <v>MR002557</v>
          </cell>
          <cell r="B2569" t="str">
            <v>MR</v>
          </cell>
          <cell r="C2569">
            <v>2.2000000000000002</v>
          </cell>
          <cell r="D2569">
            <v>84</v>
          </cell>
          <cell r="E2569" t="str">
            <v>FH47</v>
          </cell>
          <cell r="F2569">
            <v>250</v>
          </cell>
          <cell r="G2569">
            <v>17.329999999999998</v>
          </cell>
          <cell r="H2569">
            <v>1.6</v>
          </cell>
          <cell r="I2569" t="str">
            <v>M1</v>
          </cell>
          <cell r="J2569" t="str">
            <v>IE3</v>
          </cell>
          <cell r="K2569" t="str">
            <v>230/400</v>
          </cell>
          <cell r="L2569">
            <v>50</v>
          </cell>
          <cell r="M2569" t="str">
            <v>8,3/4,75</v>
          </cell>
          <cell r="N2569">
            <v>65</v>
          </cell>
          <cell r="O2569" t="str">
            <v>155(F)</v>
          </cell>
          <cell r="P2569" t="str">
            <v>270°</v>
          </cell>
          <cell r="Q2569" t="str">
            <v>-</v>
          </cell>
          <cell r="R2569" t="str">
            <v>-</v>
          </cell>
          <cell r="S2569" t="str">
            <v>-</v>
          </cell>
          <cell r="T2569" t="str">
            <v>-</v>
          </cell>
          <cell r="U2569" t="str">
            <v>G</v>
          </cell>
          <cell r="V2569" t="str">
            <v>D</v>
          </cell>
          <cell r="W2569" t="str">
            <v>-</v>
          </cell>
          <cell r="X2569" t="str">
            <v>CLP 220 (-15/+40°C)</v>
          </cell>
          <cell r="Y2569" t="str">
            <v>FH47/G DRN100LS4</v>
          </cell>
          <cell r="Z2569" t="str">
            <v>SEW</v>
          </cell>
          <cell r="AB2569" t="str">
            <v>-</v>
          </cell>
          <cell r="AF2569">
            <v>84</v>
          </cell>
          <cell r="AG2569" t="str">
            <v>DRN100LS4</v>
          </cell>
          <cell r="AH2569" t="str">
            <v>FH47G-DRN100LS4270-X</v>
          </cell>
        </row>
        <row r="2570">
          <cell r="A2570" t="str">
            <v>MR002558</v>
          </cell>
          <cell r="B2570" t="str">
            <v>MR</v>
          </cell>
          <cell r="C2570">
            <v>7.5</v>
          </cell>
          <cell r="D2570">
            <v>62</v>
          </cell>
          <cell r="E2570" t="str">
            <v>FH87</v>
          </cell>
          <cell r="F2570">
            <v>1150</v>
          </cell>
          <cell r="G2570">
            <v>23.68</v>
          </cell>
          <cell r="H2570">
            <v>2.6</v>
          </cell>
          <cell r="I2570" t="str">
            <v>From M1 to M4 - 5°</v>
          </cell>
          <cell r="J2570" t="str">
            <v>IE3</v>
          </cell>
          <cell r="K2570" t="str">
            <v>400/690</v>
          </cell>
          <cell r="L2570">
            <v>50</v>
          </cell>
          <cell r="M2570" t="str">
            <v>15,2/8,8</v>
          </cell>
          <cell r="N2570">
            <v>65</v>
          </cell>
          <cell r="O2570" t="str">
            <v>155(F)</v>
          </cell>
          <cell r="P2570" t="str">
            <v>270°</v>
          </cell>
          <cell r="Q2570" t="str">
            <v>-</v>
          </cell>
          <cell r="R2570" t="str">
            <v>-</v>
          </cell>
          <cell r="S2570" t="str">
            <v>-</v>
          </cell>
          <cell r="T2570" t="str">
            <v>-</v>
          </cell>
          <cell r="U2570" t="str">
            <v>G</v>
          </cell>
          <cell r="V2570" t="str">
            <v>D</v>
          </cell>
          <cell r="W2570" t="str">
            <v>-</v>
          </cell>
          <cell r="X2570" t="str">
            <v>CLP 220 (-15/+40°C)</v>
          </cell>
          <cell r="Y2570" t="str">
            <v>FH87/G DRN132M4</v>
          </cell>
          <cell r="Z2570" t="str">
            <v>SEW</v>
          </cell>
          <cell r="AB2570" t="str">
            <v>-</v>
          </cell>
          <cell r="AF2570">
            <v>62</v>
          </cell>
          <cell r="AG2570" t="str">
            <v>DRN132M4</v>
          </cell>
          <cell r="AH2570" t="str">
            <v>FH87G-DRN132M4270-X</v>
          </cell>
        </row>
        <row r="2571">
          <cell r="A2571" t="str">
            <v>MR002559</v>
          </cell>
          <cell r="B2571" t="str">
            <v>MR</v>
          </cell>
          <cell r="C2571">
            <v>5.5</v>
          </cell>
          <cell r="D2571">
            <v>55</v>
          </cell>
          <cell r="E2571" t="str">
            <v>FH87</v>
          </cell>
          <cell r="F2571">
            <v>950</v>
          </cell>
          <cell r="G2571">
            <v>26.5</v>
          </cell>
          <cell r="H2571">
            <v>3.2</v>
          </cell>
          <cell r="I2571" t="str">
            <v>From M1 to M2 - 10°</v>
          </cell>
          <cell r="J2571" t="str">
            <v>IE3</v>
          </cell>
          <cell r="K2571" t="str">
            <v>230/400</v>
          </cell>
          <cell r="L2571">
            <v>50</v>
          </cell>
          <cell r="M2571" t="str">
            <v>18,2/10,5</v>
          </cell>
          <cell r="N2571">
            <v>65</v>
          </cell>
          <cell r="O2571" t="str">
            <v>155(F)</v>
          </cell>
          <cell r="P2571" t="str">
            <v>270°</v>
          </cell>
          <cell r="Q2571" t="str">
            <v>-</v>
          </cell>
          <cell r="R2571" t="str">
            <v>-</v>
          </cell>
          <cell r="S2571" t="str">
            <v>-</v>
          </cell>
          <cell r="T2571" t="str">
            <v>-</v>
          </cell>
          <cell r="U2571" t="str">
            <v>G</v>
          </cell>
          <cell r="V2571" t="str">
            <v>D</v>
          </cell>
          <cell r="W2571" t="str">
            <v>-</v>
          </cell>
          <cell r="X2571" t="str">
            <v>CLP 220 (-15/+40°C)</v>
          </cell>
          <cell r="Y2571" t="str">
            <v>FH87/G DRN132S4</v>
          </cell>
          <cell r="Z2571" t="str">
            <v>SEW</v>
          </cell>
          <cell r="AB2571" t="str">
            <v>-</v>
          </cell>
          <cell r="AF2571">
            <v>55</v>
          </cell>
          <cell r="AG2571" t="str">
            <v>DRN132S4</v>
          </cell>
          <cell r="AH2571" t="str">
            <v>FH87G-DRN132S4270-X</v>
          </cell>
        </row>
        <row r="2572">
          <cell r="A2572" t="str">
            <v>MR002560</v>
          </cell>
          <cell r="B2572" t="str">
            <v>MR</v>
          </cell>
          <cell r="C2572">
            <v>4</v>
          </cell>
          <cell r="D2572">
            <v>80</v>
          </cell>
          <cell r="E2572" t="str">
            <v>FH67</v>
          </cell>
          <cell r="F2572">
            <v>475</v>
          </cell>
          <cell r="G2572">
            <v>18.29</v>
          </cell>
          <cell r="H2572">
            <v>1.7</v>
          </cell>
          <cell r="I2572" t="str">
            <v>M1</v>
          </cell>
          <cell r="J2572" t="str">
            <v>IE3</v>
          </cell>
          <cell r="K2572" t="str">
            <v>230/400</v>
          </cell>
          <cell r="L2572">
            <v>50</v>
          </cell>
          <cell r="M2572" t="str">
            <v>13,8/7,9</v>
          </cell>
          <cell r="N2572">
            <v>65</v>
          </cell>
          <cell r="O2572" t="str">
            <v>155(F)</v>
          </cell>
          <cell r="P2572" t="str">
            <v>270°</v>
          </cell>
          <cell r="Q2572" t="str">
            <v>-</v>
          </cell>
          <cell r="R2572" t="str">
            <v>-</v>
          </cell>
          <cell r="S2572" t="str">
            <v>-</v>
          </cell>
          <cell r="T2572" t="str">
            <v>-</v>
          </cell>
          <cell r="U2572" t="str">
            <v>G</v>
          </cell>
          <cell r="V2572" t="str">
            <v>D</v>
          </cell>
          <cell r="W2572" t="str">
            <v>-</v>
          </cell>
          <cell r="X2572" t="str">
            <v>CLP 220 (-15/+40°C)</v>
          </cell>
          <cell r="Y2572" t="str">
            <v>FH67/G DRN112M4</v>
          </cell>
          <cell r="Z2572" t="str">
            <v>SEW</v>
          </cell>
          <cell r="AB2572" t="str">
            <v>-</v>
          </cell>
          <cell r="AF2572">
            <v>80</v>
          </cell>
          <cell r="AG2572" t="str">
            <v>DRN112M4</v>
          </cell>
          <cell r="AH2572" t="str">
            <v>FH67G-DRN112M4270-X</v>
          </cell>
        </row>
        <row r="2573">
          <cell r="A2573" t="str">
            <v>MR002561</v>
          </cell>
          <cell r="B2573" t="str">
            <v>MR</v>
          </cell>
          <cell r="C2573">
            <v>4</v>
          </cell>
          <cell r="D2573">
            <v>80</v>
          </cell>
          <cell r="E2573" t="str">
            <v>FH67</v>
          </cell>
          <cell r="F2573">
            <v>475</v>
          </cell>
          <cell r="G2573">
            <v>18.29</v>
          </cell>
          <cell r="H2573">
            <v>1.7</v>
          </cell>
          <cell r="I2573" t="str">
            <v>From M1 to M5 - 10°</v>
          </cell>
          <cell r="J2573" t="str">
            <v>IE3</v>
          </cell>
          <cell r="K2573" t="str">
            <v>230/400</v>
          </cell>
          <cell r="L2573">
            <v>50</v>
          </cell>
          <cell r="M2573" t="str">
            <v>13,8/7,9</v>
          </cell>
          <cell r="N2573">
            <v>65</v>
          </cell>
          <cell r="O2573" t="str">
            <v>155(F)</v>
          </cell>
          <cell r="P2573" t="str">
            <v>270°</v>
          </cell>
          <cell r="Q2573" t="str">
            <v>-</v>
          </cell>
          <cell r="R2573" t="str">
            <v>-</v>
          </cell>
          <cell r="S2573" t="str">
            <v>Free rotation CCW</v>
          </cell>
          <cell r="T2573" t="str">
            <v>-</v>
          </cell>
          <cell r="U2573" t="str">
            <v>G</v>
          </cell>
          <cell r="V2573" t="str">
            <v>D</v>
          </cell>
          <cell r="W2573" t="str">
            <v>-</v>
          </cell>
          <cell r="X2573" t="str">
            <v>CLP 220 (-15/+40°C)</v>
          </cell>
          <cell r="Y2573" t="str">
            <v>FH67/G DRN112M4 /RS</v>
          </cell>
          <cell r="Z2573" t="str">
            <v>SEW</v>
          </cell>
          <cell r="AB2573" t="str">
            <v>-</v>
          </cell>
          <cell r="AF2573">
            <v>80</v>
          </cell>
          <cell r="AG2573" t="str">
            <v>DRN112M4</v>
          </cell>
          <cell r="AH2573" t="str">
            <v>FH67G-DRN112M4270-X</v>
          </cell>
        </row>
        <row r="2574">
          <cell r="A2574" t="str">
            <v>MR002562</v>
          </cell>
          <cell r="B2574" t="str">
            <v>MR</v>
          </cell>
          <cell r="C2574">
            <v>4</v>
          </cell>
          <cell r="D2574">
            <v>80</v>
          </cell>
          <cell r="E2574" t="str">
            <v>FH67</v>
          </cell>
          <cell r="F2574">
            <v>475</v>
          </cell>
          <cell r="G2574">
            <v>18.29</v>
          </cell>
          <cell r="H2574">
            <v>1.7</v>
          </cell>
          <cell r="I2574" t="str">
            <v>From M1 to M6 - 20°</v>
          </cell>
          <cell r="J2574" t="str">
            <v>IE3</v>
          </cell>
          <cell r="K2574" t="str">
            <v>230/400</v>
          </cell>
          <cell r="L2574">
            <v>50</v>
          </cell>
          <cell r="M2574" t="str">
            <v>13,8/7,9</v>
          </cell>
          <cell r="N2574">
            <v>65</v>
          </cell>
          <cell r="O2574" t="str">
            <v>155(F)</v>
          </cell>
          <cell r="P2574" t="str">
            <v>270°</v>
          </cell>
          <cell r="Q2574" t="str">
            <v>-</v>
          </cell>
          <cell r="R2574" t="str">
            <v>-</v>
          </cell>
          <cell r="S2574" t="str">
            <v>Free rotation CW</v>
          </cell>
          <cell r="T2574" t="str">
            <v>-</v>
          </cell>
          <cell r="U2574" t="str">
            <v>G</v>
          </cell>
          <cell r="V2574" t="str">
            <v>D</v>
          </cell>
          <cell r="W2574" t="str">
            <v>-</v>
          </cell>
          <cell r="X2574" t="str">
            <v>CLP 220 (-15/+40°C)</v>
          </cell>
          <cell r="Y2574" t="str">
            <v>FH67/G DRN112M4 /RS</v>
          </cell>
          <cell r="Z2574" t="str">
            <v>SEW</v>
          </cell>
          <cell r="AB2574" t="str">
            <v>-</v>
          </cell>
          <cell r="AF2574">
            <v>80</v>
          </cell>
          <cell r="AG2574" t="str">
            <v>DRN112M4</v>
          </cell>
          <cell r="AH2574" t="str">
            <v>FH67G-DRN112M4270-X</v>
          </cell>
        </row>
        <row r="2575">
          <cell r="A2575" t="str">
            <v>MR002563</v>
          </cell>
          <cell r="B2575" t="str">
            <v>MR</v>
          </cell>
          <cell r="C2575">
            <v>15</v>
          </cell>
          <cell r="D2575">
            <v>20</v>
          </cell>
          <cell r="E2575" t="str">
            <v>FH127</v>
          </cell>
          <cell r="F2575">
            <v>7330</v>
          </cell>
          <cell r="G2575">
            <v>75.41</v>
          </cell>
          <cell r="H2575">
            <v>1.65</v>
          </cell>
          <cell r="I2575" t="str">
            <v>From M1 to M4 - 15°</v>
          </cell>
          <cell r="J2575" t="str">
            <v>IE3</v>
          </cell>
          <cell r="K2575" t="str">
            <v>400/690</v>
          </cell>
          <cell r="L2575">
            <v>50</v>
          </cell>
          <cell r="M2575" t="str">
            <v>29,5/16,9</v>
          </cell>
          <cell r="N2575">
            <v>65</v>
          </cell>
          <cell r="O2575" t="str">
            <v>155(F)</v>
          </cell>
          <cell r="P2575" t="str">
            <v>270°</v>
          </cell>
          <cell r="Q2575" t="str">
            <v>TF</v>
          </cell>
          <cell r="R2575" t="str">
            <v>V(VE)</v>
          </cell>
          <cell r="S2575" t="str">
            <v>-</v>
          </cell>
          <cell r="T2575" t="str">
            <v>-</v>
          </cell>
          <cell r="U2575" t="str">
            <v>G</v>
          </cell>
          <cell r="V2575" t="str">
            <v>FC</v>
          </cell>
          <cell r="W2575" t="str">
            <v>-</v>
          </cell>
          <cell r="X2575" t="str">
            <v>CLP HC 220 (-25/+60°C)</v>
          </cell>
          <cell r="Y2575" t="str">
            <v>FH127/G EDRN160L4 /TF/VE</v>
          </cell>
          <cell r="Z2575" t="str">
            <v>SEW</v>
          </cell>
          <cell r="AB2575" t="str">
            <v>ATEX22</v>
          </cell>
          <cell r="AF2575">
            <v>20</v>
          </cell>
          <cell r="AG2575" t="str">
            <v>EDRN160L4</v>
          </cell>
          <cell r="AH2575" t="str">
            <v>FH127G-EDRN160L4270-X#</v>
          </cell>
        </row>
        <row r="2576">
          <cell r="A2576" t="str">
            <v>MR002564</v>
          </cell>
          <cell r="B2576" t="str">
            <v>MR</v>
          </cell>
          <cell r="C2576">
            <v>5.5</v>
          </cell>
          <cell r="D2576">
            <v>7.4</v>
          </cell>
          <cell r="E2576" t="str">
            <v>KA107R77</v>
          </cell>
          <cell r="F2576">
            <v>6530</v>
          </cell>
          <cell r="G2576">
            <v>196</v>
          </cell>
          <cell r="H2576">
            <v>1.2</v>
          </cell>
          <cell r="I2576" t="str">
            <v>From M1A to M2A - 35°</v>
          </cell>
          <cell r="J2576" t="str">
            <v>IE3</v>
          </cell>
          <cell r="K2576" t="str">
            <v>230/400</v>
          </cell>
          <cell r="L2576">
            <v>50</v>
          </cell>
          <cell r="M2576" t="str">
            <v>18,2/10,5</v>
          </cell>
          <cell r="N2576">
            <v>65</v>
          </cell>
          <cell r="O2576" t="str">
            <v>155(F)</v>
          </cell>
          <cell r="P2576" t="str">
            <v>270°</v>
          </cell>
          <cell r="Q2576" t="str">
            <v>-</v>
          </cell>
          <cell r="R2576" t="str">
            <v>-</v>
          </cell>
          <cell r="S2576" t="str">
            <v>-</v>
          </cell>
          <cell r="T2576" t="str">
            <v>-</v>
          </cell>
          <cell r="U2576" t="str">
            <v>-</v>
          </cell>
          <cell r="V2576" t="str">
            <v>SS</v>
          </cell>
          <cell r="W2576" t="str">
            <v>-</v>
          </cell>
          <cell r="X2576" t="str">
            <v>CLP 220 (-15/+40°C)</v>
          </cell>
          <cell r="Y2576" t="str">
            <v>KA107R77DRN132S4</v>
          </cell>
          <cell r="Z2576" t="str">
            <v>SEW</v>
          </cell>
          <cell r="AB2576" t="str">
            <v>-</v>
          </cell>
          <cell r="AF2576">
            <v>7.4</v>
          </cell>
          <cell r="AG2576" t="str">
            <v>DRN132S4</v>
          </cell>
          <cell r="AH2576" t="str">
            <v>KA107R77-DRN132S4A270-X</v>
          </cell>
        </row>
        <row r="2577">
          <cell r="A2577" t="str">
            <v>MR002565</v>
          </cell>
          <cell r="B2577" t="str">
            <v>MR</v>
          </cell>
          <cell r="C2577">
            <v>5.5</v>
          </cell>
          <cell r="D2577">
            <v>7.4</v>
          </cell>
          <cell r="E2577" t="str">
            <v>KA107R77</v>
          </cell>
          <cell r="F2577">
            <v>6530</v>
          </cell>
          <cell r="G2577">
            <v>196</v>
          </cell>
          <cell r="H2577">
            <v>1.2</v>
          </cell>
          <cell r="I2577" t="str">
            <v>From M1B to M2B - 35°</v>
          </cell>
          <cell r="J2577" t="str">
            <v>IE3</v>
          </cell>
          <cell r="K2577" t="str">
            <v>230/400</v>
          </cell>
          <cell r="L2577">
            <v>50</v>
          </cell>
          <cell r="M2577" t="str">
            <v>18,2/10,5</v>
          </cell>
          <cell r="N2577">
            <v>65</v>
          </cell>
          <cell r="O2577" t="str">
            <v>155(F)</v>
          </cell>
          <cell r="P2577" t="str">
            <v>270°</v>
          </cell>
          <cell r="Q2577" t="str">
            <v>-</v>
          </cell>
          <cell r="R2577" t="str">
            <v>-</v>
          </cell>
          <cell r="S2577" t="str">
            <v>-</v>
          </cell>
          <cell r="T2577" t="str">
            <v>-</v>
          </cell>
          <cell r="U2577" t="str">
            <v>-</v>
          </cell>
          <cell r="V2577" t="str">
            <v>SS</v>
          </cell>
          <cell r="W2577" t="str">
            <v>-</v>
          </cell>
          <cell r="X2577" t="str">
            <v>CLP 220 (-15/+40°C)</v>
          </cell>
          <cell r="Y2577" t="str">
            <v>KA107R77DRN132S4</v>
          </cell>
          <cell r="Z2577" t="str">
            <v>SEW</v>
          </cell>
          <cell r="AB2577" t="str">
            <v>-</v>
          </cell>
          <cell r="AF2577">
            <v>7.4</v>
          </cell>
          <cell r="AG2577" t="str">
            <v>DRN132S4</v>
          </cell>
          <cell r="AH2577" t="str">
            <v>KA107R77-DRN132S4B270-X</v>
          </cell>
        </row>
        <row r="2578">
          <cell r="A2578" t="str">
            <v>MR002566</v>
          </cell>
          <cell r="B2578" t="str">
            <v>MR</v>
          </cell>
          <cell r="C2578">
            <v>7.5</v>
          </cell>
          <cell r="D2578">
            <v>62</v>
          </cell>
          <cell r="E2578" t="str">
            <v>FH87</v>
          </cell>
          <cell r="F2578">
            <v>1160</v>
          </cell>
          <cell r="G2578">
            <v>23.68</v>
          </cell>
          <cell r="H2578">
            <v>2.2999999999999998</v>
          </cell>
          <cell r="I2578" t="str">
            <v>From M1 to M4 - 15°</v>
          </cell>
          <cell r="J2578" t="str">
            <v>IE3</v>
          </cell>
          <cell r="K2578" t="str">
            <v>400/690</v>
          </cell>
          <cell r="L2578">
            <v>50</v>
          </cell>
          <cell r="M2578" t="str">
            <v>15,7/9</v>
          </cell>
          <cell r="N2578">
            <v>65</v>
          </cell>
          <cell r="O2578" t="str">
            <v>155(F)</v>
          </cell>
          <cell r="P2578" t="str">
            <v>270°</v>
          </cell>
          <cell r="Q2578" t="str">
            <v>-</v>
          </cell>
          <cell r="R2578" t="str">
            <v>-</v>
          </cell>
          <cell r="S2578" t="str">
            <v>-</v>
          </cell>
          <cell r="T2578" t="str">
            <v>-</v>
          </cell>
          <cell r="U2578" t="str">
            <v>G</v>
          </cell>
          <cell r="V2578" t="str">
            <v>D</v>
          </cell>
          <cell r="W2578" t="str">
            <v>-</v>
          </cell>
          <cell r="X2578" t="str">
            <v>CLP HC 220 (-25/+60°C)</v>
          </cell>
          <cell r="Y2578" t="str">
            <v>FH87/G EDRN132M4</v>
          </cell>
          <cell r="Z2578" t="str">
            <v>SEW</v>
          </cell>
          <cell r="AB2578" t="str">
            <v>ATEX22</v>
          </cell>
          <cell r="AF2578">
            <v>62</v>
          </cell>
          <cell r="AG2578" t="str">
            <v>EDRN132M4</v>
          </cell>
          <cell r="AH2578" t="str">
            <v>FH87G-EDRN132M4270-X</v>
          </cell>
        </row>
        <row r="2579">
          <cell r="A2579" t="str">
            <v>MR002567</v>
          </cell>
          <cell r="B2579" t="str">
            <v>MR</v>
          </cell>
          <cell r="C2579">
            <v>11</v>
          </cell>
          <cell r="D2579">
            <v>16</v>
          </cell>
          <cell r="E2579" t="str">
            <v>KH107</v>
          </cell>
          <cell r="F2579">
            <v>6480</v>
          </cell>
          <cell r="G2579">
            <v>90.96</v>
          </cell>
          <cell r="H2579">
            <v>1.25</v>
          </cell>
          <cell r="I2579" t="str">
            <v>From M1A to M2A - 35°</v>
          </cell>
          <cell r="J2579" t="str">
            <v>IE3</v>
          </cell>
          <cell r="K2579" t="str">
            <v>400/690</v>
          </cell>
          <cell r="L2579">
            <v>50</v>
          </cell>
          <cell r="M2579" t="str">
            <v>21/12,2</v>
          </cell>
          <cell r="N2579">
            <v>65</v>
          </cell>
          <cell r="O2579" t="str">
            <v>155(F)</v>
          </cell>
          <cell r="P2579" t="str">
            <v>270°</v>
          </cell>
          <cell r="Q2579" t="str">
            <v>TF</v>
          </cell>
          <cell r="R2579" t="str">
            <v>V(VE)</v>
          </cell>
          <cell r="S2579" t="str">
            <v>-</v>
          </cell>
          <cell r="T2579" t="str">
            <v>-</v>
          </cell>
          <cell r="U2579" t="str">
            <v>-</v>
          </cell>
          <cell r="V2579" t="str">
            <v>FC</v>
          </cell>
          <cell r="W2579" t="str">
            <v>-</v>
          </cell>
          <cell r="X2579" t="str">
            <v>CLP 220 (-15/+40°C)</v>
          </cell>
          <cell r="Y2579" t="str">
            <v>KH107DRN160M4 /TF/V</v>
          </cell>
          <cell r="Z2579" t="str">
            <v>SEW</v>
          </cell>
          <cell r="AB2579" t="str">
            <v>-</v>
          </cell>
          <cell r="AF2579">
            <v>16</v>
          </cell>
          <cell r="AG2579" t="str">
            <v>DRN160M4</v>
          </cell>
          <cell r="AH2579" t="str">
            <v>KH107-DRN160M4A270-X#</v>
          </cell>
        </row>
        <row r="2580">
          <cell r="A2580" t="str">
            <v>MR002568</v>
          </cell>
          <cell r="B2580" t="str">
            <v>MR</v>
          </cell>
          <cell r="C2580">
            <v>11</v>
          </cell>
          <cell r="D2580">
            <v>16</v>
          </cell>
          <cell r="E2580" t="str">
            <v>KH107</v>
          </cell>
          <cell r="F2580">
            <v>6480</v>
          </cell>
          <cell r="G2580">
            <v>90.96</v>
          </cell>
          <cell r="H2580">
            <v>1.25</v>
          </cell>
          <cell r="I2580" t="str">
            <v>From M1B to M2B - 35°</v>
          </cell>
          <cell r="J2580" t="str">
            <v>IE3</v>
          </cell>
          <cell r="K2580" t="str">
            <v>400/690</v>
          </cell>
          <cell r="L2580">
            <v>50</v>
          </cell>
          <cell r="M2580" t="str">
            <v>21/12,2</v>
          </cell>
          <cell r="N2580">
            <v>65</v>
          </cell>
          <cell r="O2580" t="str">
            <v>155(F)</v>
          </cell>
          <cell r="P2580" t="str">
            <v>270°</v>
          </cell>
          <cell r="Q2580" t="str">
            <v>TF</v>
          </cell>
          <cell r="R2580" t="str">
            <v>V(VE)</v>
          </cell>
          <cell r="S2580" t="str">
            <v>-</v>
          </cell>
          <cell r="T2580" t="str">
            <v>-</v>
          </cell>
          <cell r="U2580" t="str">
            <v>-</v>
          </cell>
          <cell r="V2580" t="str">
            <v>FC</v>
          </cell>
          <cell r="W2580" t="str">
            <v>-</v>
          </cell>
          <cell r="X2580" t="str">
            <v>CLP 220 (-15/+40°C)</v>
          </cell>
          <cell r="Y2580" t="str">
            <v>KH107DRN160M4 /TF/V</v>
          </cell>
          <cell r="Z2580" t="str">
            <v>SEW</v>
          </cell>
          <cell r="AB2580" t="str">
            <v>-</v>
          </cell>
          <cell r="AF2580">
            <v>16</v>
          </cell>
          <cell r="AG2580" t="str">
            <v>DRN160M4</v>
          </cell>
          <cell r="AH2580" t="str">
            <v>KH107-DRN160M4B270-X#</v>
          </cell>
        </row>
        <row r="2581">
          <cell r="A2581" t="str">
            <v>MR002569</v>
          </cell>
          <cell r="B2581" t="str">
            <v>MR</v>
          </cell>
          <cell r="C2581">
            <v>5.5</v>
          </cell>
          <cell r="D2581">
            <v>62</v>
          </cell>
          <cell r="E2581" t="str">
            <v>FH87</v>
          </cell>
          <cell r="F2581">
            <v>850</v>
          </cell>
          <cell r="G2581">
            <v>23.68</v>
          </cell>
          <cell r="H2581">
            <v>3.1</v>
          </cell>
          <cell r="I2581" t="str">
            <v>From M1 to M2 - 15°</v>
          </cell>
          <cell r="J2581" t="str">
            <v>IE3</v>
          </cell>
          <cell r="K2581" t="str">
            <v>230/400</v>
          </cell>
          <cell r="L2581">
            <v>50</v>
          </cell>
          <cell r="M2581" t="str">
            <v>18,8/10,9</v>
          </cell>
          <cell r="N2581">
            <v>65</v>
          </cell>
          <cell r="O2581" t="str">
            <v>155(F)</v>
          </cell>
          <cell r="P2581" t="str">
            <v>270°</v>
          </cell>
          <cell r="Q2581" t="str">
            <v>-</v>
          </cell>
          <cell r="R2581" t="str">
            <v>-</v>
          </cell>
          <cell r="S2581" t="str">
            <v>-</v>
          </cell>
          <cell r="T2581" t="str">
            <v>-</v>
          </cell>
          <cell r="U2581" t="str">
            <v>G</v>
          </cell>
          <cell r="V2581" t="str">
            <v>D</v>
          </cell>
          <cell r="W2581" t="str">
            <v>-</v>
          </cell>
          <cell r="X2581" t="str">
            <v>CLP HC 220 (-25/+60°C)</v>
          </cell>
          <cell r="Y2581" t="str">
            <v>FH87/G EDRN132S4</v>
          </cell>
          <cell r="Z2581" t="str">
            <v>SEW</v>
          </cell>
          <cell r="AB2581" t="str">
            <v>ATEX22</v>
          </cell>
          <cell r="AF2581">
            <v>62</v>
          </cell>
          <cell r="AG2581" t="str">
            <v>EDRN132S4</v>
          </cell>
          <cell r="AH2581" t="str">
            <v>FH87G-EDRN132S4270-X</v>
          </cell>
        </row>
        <row r="2582">
          <cell r="A2582" t="str">
            <v>MR002570</v>
          </cell>
          <cell r="B2582" t="str">
            <v>MR</v>
          </cell>
          <cell r="C2582">
            <v>22</v>
          </cell>
          <cell r="D2582">
            <v>12</v>
          </cell>
          <cell r="E2582" t="str">
            <v>KH157</v>
          </cell>
          <cell r="F2582">
            <v>17400</v>
          </cell>
          <cell r="G2582">
            <v>122.39</v>
          </cell>
          <cell r="H2582">
            <v>1.1499999999999999</v>
          </cell>
          <cell r="I2582" t="str">
            <v>From M1A to M2A - 40°</v>
          </cell>
          <cell r="J2582" t="str">
            <v>IE3</v>
          </cell>
          <cell r="K2582" t="str">
            <v>400/690</v>
          </cell>
          <cell r="L2582">
            <v>50</v>
          </cell>
          <cell r="M2582" t="str">
            <v>38,5/22,5</v>
          </cell>
          <cell r="N2582">
            <v>65</v>
          </cell>
          <cell r="O2582" t="str">
            <v>155(F)</v>
          </cell>
          <cell r="P2582" t="str">
            <v>270°</v>
          </cell>
          <cell r="Q2582" t="str">
            <v>TF</v>
          </cell>
          <cell r="R2582" t="str">
            <v>V(VE)</v>
          </cell>
          <cell r="S2582" t="str">
            <v>-</v>
          </cell>
          <cell r="T2582" t="str">
            <v>-</v>
          </cell>
          <cell r="U2582" t="str">
            <v>-</v>
          </cell>
          <cell r="V2582" t="str">
            <v>FC</v>
          </cell>
          <cell r="W2582" t="str">
            <v>-</v>
          </cell>
          <cell r="X2582" t="str">
            <v>CLP 220 (-15/+40°C)</v>
          </cell>
          <cell r="Y2582" t="str">
            <v>KH157DRN180L4 /TF/V</v>
          </cell>
          <cell r="Z2582" t="str">
            <v>SEW</v>
          </cell>
          <cell r="AB2582" t="str">
            <v>-</v>
          </cell>
          <cell r="AF2582">
            <v>12</v>
          </cell>
          <cell r="AG2582" t="str">
            <v>DRN180L4</v>
          </cell>
          <cell r="AH2582" t="str">
            <v>KH157-DRN180L4A270-X#</v>
          </cell>
        </row>
        <row r="2583">
          <cell r="A2583" t="str">
            <v>MR002571</v>
          </cell>
          <cell r="B2583" t="str">
            <v>MR</v>
          </cell>
          <cell r="C2583">
            <v>22</v>
          </cell>
          <cell r="D2583">
            <v>12</v>
          </cell>
          <cell r="E2583" t="str">
            <v>KH157</v>
          </cell>
          <cell r="F2583">
            <v>17400</v>
          </cell>
          <cell r="G2583">
            <v>122.39</v>
          </cell>
          <cell r="H2583">
            <v>1.1499999999999999</v>
          </cell>
          <cell r="I2583" t="str">
            <v>From M1B to M2B - 40°</v>
          </cell>
          <cell r="J2583" t="str">
            <v>IE3</v>
          </cell>
          <cell r="K2583" t="str">
            <v>400/690</v>
          </cell>
          <cell r="L2583">
            <v>50</v>
          </cell>
          <cell r="M2583" t="str">
            <v>38,5/22,5</v>
          </cell>
          <cell r="N2583">
            <v>65</v>
          </cell>
          <cell r="O2583" t="str">
            <v>155(F)</v>
          </cell>
          <cell r="P2583" t="str">
            <v>270°</v>
          </cell>
          <cell r="Q2583" t="str">
            <v>TF</v>
          </cell>
          <cell r="R2583" t="str">
            <v>V(VE)</v>
          </cell>
          <cell r="S2583" t="str">
            <v>-</v>
          </cell>
          <cell r="T2583" t="str">
            <v>-</v>
          </cell>
          <cell r="U2583" t="str">
            <v>-</v>
          </cell>
          <cell r="V2583" t="str">
            <v>FC</v>
          </cell>
          <cell r="W2583" t="str">
            <v>-</v>
          </cell>
          <cell r="X2583" t="str">
            <v>CLP 220 (-15/+40°C)</v>
          </cell>
          <cell r="Y2583" t="str">
            <v>KH157DRN180L4 /TF/V</v>
          </cell>
          <cell r="Z2583" t="str">
            <v>SEW</v>
          </cell>
          <cell r="AB2583" t="str">
            <v>-</v>
          </cell>
          <cell r="AF2583">
            <v>12</v>
          </cell>
          <cell r="AG2583" t="str">
            <v>DRN180L4</v>
          </cell>
          <cell r="AH2583" t="str">
            <v>KH157-DRN180L4B270-X#</v>
          </cell>
        </row>
        <row r="2584">
          <cell r="A2584" t="str">
            <v>MR002572</v>
          </cell>
          <cell r="B2584" t="str">
            <v>MR</v>
          </cell>
          <cell r="C2584">
            <v>9.1999999999999993</v>
          </cell>
          <cell r="D2584">
            <v>62</v>
          </cell>
          <cell r="E2584" t="str">
            <v>FH87</v>
          </cell>
          <cell r="F2584">
            <v>1410</v>
          </cell>
          <cell r="G2584">
            <v>23.68</v>
          </cell>
          <cell r="H2584">
            <v>2.1</v>
          </cell>
          <cell r="I2584" t="str">
            <v>M1</v>
          </cell>
          <cell r="J2584" t="str">
            <v>IE3</v>
          </cell>
          <cell r="K2584" t="str">
            <v>400/690</v>
          </cell>
          <cell r="L2584">
            <v>50</v>
          </cell>
          <cell r="M2584" t="str">
            <v>18,7/10,8</v>
          </cell>
          <cell r="N2584">
            <v>65</v>
          </cell>
          <cell r="O2584" t="str">
            <v>155(F)</v>
          </cell>
          <cell r="P2584" t="str">
            <v>270°</v>
          </cell>
          <cell r="Q2584" t="str">
            <v>-</v>
          </cell>
          <cell r="R2584" t="str">
            <v>-</v>
          </cell>
          <cell r="S2584" t="str">
            <v>-</v>
          </cell>
          <cell r="T2584" t="str">
            <v>-</v>
          </cell>
          <cell r="U2584" t="str">
            <v>G</v>
          </cell>
          <cell r="V2584" t="str">
            <v>D+R</v>
          </cell>
          <cell r="W2584" t="str">
            <v>-</v>
          </cell>
          <cell r="X2584" t="str">
            <v>CLP 220 (-15/+40°C)</v>
          </cell>
          <cell r="Y2584" t="str">
            <v>FH87/G DRN132L4</v>
          </cell>
          <cell r="Z2584" t="str">
            <v>SEW</v>
          </cell>
          <cell r="AB2584" t="str">
            <v>-</v>
          </cell>
          <cell r="AF2584">
            <v>62</v>
          </cell>
          <cell r="AG2584" t="str">
            <v>DRN132L4</v>
          </cell>
          <cell r="AH2584" t="str">
            <v>FH87G-DRN132L4270-X</v>
          </cell>
        </row>
        <row r="2585">
          <cell r="A2585" t="str">
            <v>MR002573</v>
          </cell>
          <cell r="B2585" t="str">
            <v>MR</v>
          </cell>
          <cell r="C2585">
            <v>7.5</v>
          </cell>
          <cell r="D2585">
            <v>48</v>
          </cell>
          <cell r="E2585" t="str">
            <v>KH77</v>
          </cell>
          <cell r="F2585">
            <v>1500</v>
          </cell>
          <cell r="G2585">
            <v>30.89</v>
          </cell>
          <cell r="H2585">
            <v>1.05</v>
          </cell>
          <cell r="I2585" t="str">
            <v>From M4B to M1B - 20°</v>
          </cell>
          <cell r="J2585" t="str">
            <v>IE3</v>
          </cell>
          <cell r="K2585" t="str">
            <v>400/690</v>
          </cell>
          <cell r="L2585">
            <v>50</v>
          </cell>
          <cell r="M2585" t="str">
            <v>15,2/8,8</v>
          </cell>
          <cell r="N2585">
            <v>65</v>
          </cell>
          <cell r="O2585" t="str">
            <v>155(F)</v>
          </cell>
          <cell r="P2585" t="str">
            <v>270°</v>
          </cell>
          <cell r="Q2585" t="str">
            <v>-</v>
          </cell>
          <cell r="R2585" t="str">
            <v>-</v>
          </cell>
          <cell r="S2585" t="str">
            <v>Free rotation CW</v>
          </cell>
          <cell r="T2585" t="str">
            <v>-</v>
          </cell>
          <cell r="U2585" t="str">
            <v>T</v>
          </cell>
          <cell r="V2585" t="str">
            <v>SS</v>
          </cell>
          <cell r="W2585" t="str">
            <v>-</v>
          </cell>
          <cell r="X2585" t="str">
            <v>CLP 220 (-15/+40°C)</v>
          </cell>
          <cell r="Y2585" t="str">
            <v>KH77/T DRN132M4 /RS</v>
          </cell>
          <cell r="Z2585" t="str">
            <v>SEW</v>
          </cell>
          <cell r="AB2585" t="str">
            <v>-</v>
          </cell>
          <cell r="AF2585">
            <v>48</v>
          </cell>
          <cell r="AG2585" t="str">
            <v>DRN132M4</v>
          </cell>
          <cell r="AH2585" t="str">
            <v>KH77T-DRN132M4B270-X</v>
          </cell>
        </row>
        <row r="2586">
          <cell r="A2586" t="str">
            <v>MR002574</v>
          </cell>
          <cell r="B2586" t="str">
            <v>MR</v>
          </cell>
          <cell r="C2586">
            <v>7.5</v>
          </cell>
          <cell r="D2586">
            <v>48</v>
          </cell>
          <cell r="E2586" t="str">
            <v>KH77</v>
          </cell>
          <cell r="F2586">
            <v>1500</v>
          </cell>
          <cell r="G2586">
            <v>30.89</v>
          </cell>
          <cell r="H2586">
            <v>1.05</v>
          </cell>
          <cell r="I2586" t="str">
            <v>M4A</v>
          </cell>
          <cell r="J2586" t="str">
            <v>IE3</v>
          </cell>
          <cell r="K2586" t="str">
            <v>400/690</v>
          </cell>
          <cell r="L2586">
            <v>50</v>
          </cell>
          <cell r="M2586" t="str">
            <v>15,2/8,8</v>
          </cell>
          <cell r="N2586">
            <v>65</v>
          </cell>
          <cell r="O2586" t="str">
            <v>155(F)</v>
          </cell>
          <cell r="P2586" t="str">
            <v>270°</v>
          </cell>
          <cell r="Q2586" t="str">
            <v>-</v>
          </cell>
          <cell r="R2586" t="str">
            <v>-</v>
          </cell>
          <cell r="S2586" t="str">
            <v>-</v>
          </cell>
          <cell r="T2586" t="str">
            <v>-</v>
          </cell>
          <cell r="U2586" t="str">
            <v>T</v>
          </cell>
          <cell r="V2586" t="str">
            <v>SS</v>
          </cell>
          <cell r="W2586" t="str">
            <v>-</v>
          </cell>
          <cell r="X2586" t="str">
            <v>CLP 220 (-15/+40°C)</v>
          </cell>
          <cell r="Y2586" t="str">
            <v>KH77/T DRN132M4</v>
          </cell>
          <cell r="Z2586" t="str">
            <v>SEW</v>
          </cell>
          <cell r="AB2586" t="str">
            <v>-</v>
          </cell>
          <cell r="AF2586">
            <v>48</v>
          </cell>
          <cell r="AG2586" t="str">
            <v>DRN132M4</v>
          </cell>
          <cell r="AH2586" t="str">
            <v>KH77T-DRN132M4A270-X</v>
          </cell>
        </row>
        <row r="2587">
          <cell r="A2587" t="str">
            <v>MR002575</v>
          </cell>
          <cell r="B2587" t="str">
            <v>MR</v>
          </cell>
          <cell r="C2587">
            <v>9.1999999999999993</v>
          </cell>
          <cell r="D2587">
            <v>16</v>
          </cell>
          <cell r="E2587" t="str">
            <v>KH107</v>
          </cell>
          <cell r="F2587">
            <v>5440</v>
          </cell>
          <cell r="G2587">
            <v>90.96</v>
          </cell>
          <cell r="H2587">
            <v>1.35</v>
          </cell>
          <cell r="I2587" t="str">
            <v>From M1A to M2A - 15°</v>
          </cell>
          <cell r="J2587" t="str">
            <v>IE3</v>
          </cell>
          <cell r="K2587" t="str">
            <v>400/690</v>
          </cell>
          <cell r="L2587">
            <v>50</v>
          </cell>
          <cell r="M2587" t="str">
            <v>19,2/11,1</v>
          </cell>
          <cell r="N2587">
            <v>65</v>
          </cell>
          <cell r="O2587" t="str">
            <v>155(F)</v>
          </cell>
          <cell r="P2587" t="str">
            <v>270°</v>
          </cell>
          <cell r="Q2587" t="str">
            <v>-</v>
          </cell>
          <cell r="R2587" t="str">
            <v>-</v>
          </cell>
          <cell r="S2587" t="str">
            <v>-</v>
          </cell>
          <cell r="T2587" t="str">
            <v>-</v>
          </cell>
          <cell r="U2587" t="str">
            <v>-</v>
          </cell>
          <cell r="V2587" t="str">
            <v>SS</v>
          </cell>
          <cell r="W2587" t="str">
            <v>-</v>
          </cell>
          <cell r="X2587" t="str">
            <v>CLP HC 220 (-25/+60°C)</v>
          </cell>
          <cell r="Y2587" t="str">
            <v>KH107EDRN132L4</v>
          </cell>
          <cell r="Z2587" t="str">
            <v>SEW</v>
          </cell>
          <cell r="AB2587" t="str">
            <v>ATEX22</v>
          </cell>
          <cell r="AF2587">
            <v>16</v>
          </cell>
          <cell r="AG2587" t="str">
            <v>EDRN132L4</v>
          </cell>
          <cell r="AH2587" t="str">
            <v>KH107-EDRN132L4A270-X</v>
          </cell>
        </row>
        <row r="2588">
          <cell r="A2588" t="str">
            <v>MR002576</v>
          </cell>
          <cell r="B2588" t="str">
            <v>MR</v>
          </cell>
          <cell r="C2588">
            <v>1.5</v>
          </cell>
          <cell r="D2588">
            <v>2.1</v>
          </cell>
          <cell r="E2588" t="str">
            <v>KH107R77</v>
          </cell>
          <cell r="F2588">
            <v>6230</v>
          </cell>
          <cell r="G2588">
            <v>696</v>
          </cell>
          <cell r="H2588">
            <v>1.3</v>
          </cell>
          <cell r="I2588" t="str">
            <v>M4B</v>
          </cell>
          <cell r="J2588" t="str">
            <v>IE3</v>
          </cell>
          <cell r="K2588" t="str">
            <v>230/400</v>
          </cell>
          <cell r="L2588">
            <v>50</v>
          </cell>
          <cell r="M2588" t="str">
            <v>5,9/3,4</v>
          </cell>
          <cell r="N2588">
            <v>55</v>
          </cell>
          <cell r="O2588" t="str">
            <v>155(F)</v>
          </cell>
          <cell r="P2588" t="str">
            <v>270°</v>
          </cell>
          <cell r="Q2588" t="str">
            <v>TF</v>
          </cell>
          <cell r="R2588" t="str">
            <v>-</v>
          </cell>
          <cell r="S2588" t="str">
            <v>-</v>
          </cell>
          <cell r="T2588" t="str">
            <v>-</v>
          </cell>
          <cell r="U2588" t="str">
            <v>T</v>
          </cell>
          <cell r="V2588" t="str">
            <v>FC</v>
          </cell>
          <cell r="W2588" t="str">
            <v>-</v>
          </cell>
          <cell r="X2588" t="str">
            <v>CLP 220 (-15/+40°C)</v>
          </cell>
          <cell r="Y2588" t="str">
            <v>KH107R77/T DRN90L4 /TF</v>
          </cell>
          <cell r="Z2588" t="str">
            <v>SEW</v>
          </cell>
          <cell r="AB2588" t="str">
            <v>-</v>
          </cell>
          <cell r="AF2588">
            <v>2.1</v>
          </cell>
          <cell r="AG2588" t="str">
            <v>DRN90L4</v>
          </cell>
          <cell r="AH2588" t="str">
            <v>KH107R77T-DRN90L4B270-X</v>
          </cell>
        </row>
        <row r="2589">
          <cell r="A2589" t="str">
            <v>MR002577</v>
          </cell>
          <cell r="B2589" t="str">
            <v>MR</v>
          </cell>
          <cell r="C2589">
            <v>1.5</v>
          </cell>
          <cell r="D2589">
            <v>2.1</v>
          </cell>
          <cell r="E2589" t="str">
            <v>KH107R77</v>
          </cell>
          <cell r="F2589">
            <v>6230</v>
          </cell>
          <cell r="G2589">
            <v>696</v>
          </cell>
          <cell r="H2589">
            <v>1.3</v>
          </cell>
          <cell r="I2589" t="str">
            <v>From M4A to M1A - 5°</v>
          </cell>
          <cell r="J2589" t="str">
            <v>IE3</v>
          </cell>
          <cell r="K2589" t="str">
            <v>230/400</v>
          </cell>
          <cell r="L2589">
            <v>50</v>
          </cell>
          <cell r="M2589" t="str">
            <v>5,9/3,4</v>
          </cell>
          <cell r="N2589">
            <v>55</v>
          </cell>
          <cell r="O2589" t="str">
            <v>155(F)</v>
          </cell>
          <cell r="P2589" t="str">
            <v>270°</v>
          </cell>
          <cell r="Q2589" t="str">
            <v>TF</v>
          </cell>
          <cell r="R2589" t="str">
            <v>-</v>
          </cell>
          <cell r="S2589" t="str">
            <v>-</v>
          </cell>
          <cell r="T2589" t="str">
            <v>-</v>
          </cell>
          <cell r="U2589" t="str">
            <v>T</v>
          </cell>
          <cell r="V2589" t="str">
            <v>FC</v>
          </cell>
          <cell r="W2589" t="str">
            <v>-</v>
          </cell>
          <cell r="X2589" t="str">
            <v>CLP 220 (-15/+40°C)</v>
          </cell>
          <cell r="Y2589" t="str">
            <v>KH107R77/T DRN90L4 /TF</v>
          </cell>
          <cell r="Z2589" t="str">
            <v>SEW</v>
          </cell>
          <cell r="AB2589" t="str">
            <v>-</v>
          </cell>
          <cell r="AF2589">
            <v>2.1</v>
          </cell>
          <cell r="AG2589" t="str">
            <v>DRN90L4</v>
          </cell>
          <cell r="AH2589" t="str">
            <v>KH107R77T-DRN90L4A270-X</v>
          </cell>
        </row>
        <row r="2590">
          <cell r="A2590" t="str">
            <v>MR002578</v>
          </cell>
          <cell r="B2590" t="str">
            <v>MR</v>
          </cell>
          <cell r="C2590">
            <v>11</v>
          </cell>
          <cell r="D2590">
            <v>18</v>
          </cell>
          <cell r="E2590" t="str">
            <v>KH107</v>
          </cell>
          <cell r="F2590">
            <v>5890</v>
          </cell>
          <cell r="G2590">
            <v>82.61</v>
          </cell>
          <cell r="H2590">
            <v>1.35</v>
          </cell>
          <cell r="I2590" t="str">
            <v>From M1A to M2A - 45°</v>
          </cell>
          <cell r="J2590" t="str">
            <v>IE3</v>
          </cell>
          <cell r="K2590" t="str">
            <v>400/690</v>
          </cell>
          <cell r="L2590">
            <v>50</v>
          </cell>
          <cell r="M2590" t="str">
            <v>22/12,7</v>
          </cell>
          <cell r="N2590">
            <v>55</v>
          </cell>
          <cell r="O2590" t="str">
            <v>155(F)</v>
          </cell>
          <cell r="P2590" t="str">
            <v>270°</v>
          </cell>
          <cell r="Q2590" t="str">
            <v>TF</v>
          </cell>
          <cell r="R2590" t="str">
            <v>-</v>
          </cell>
          <cell r="S2590" t="str">
            <v>-</v>
          </cell>
          <cell r="T2590" t="str">
            <v>-</v>
          </cell>
          <cell r="U2590" t="str">
            <v>-</v>
          </cell>
          <cell r="V2590" t="str">
            <v>FC</v>
          </cell>
          <cell r="W2590" t="str">
            <v>-</v>
          </cell>
          <cell r="X2590" t="str">
            <v>CLP 220 (-15/+40°C)</v>
          </cell>
          <cell r="Y2590" t="str">
            <v>KH107DRN160M4 /TF</v>
          </cell>
          <cell r="Z2590" t="str">
            <v>SEW</v>
          </cell>
          <cell r="AB2590" t="str">
            <v>-</v>
          </cell>
          <cell r="AF2590">
            <v>18</v>
          </cell>
          <cell r="AG2590" t="str">
            <v>DRN160M4</v>
          </cell>
          <cell r="AH2590" t="str">
            <v>KH107-DRN160M4A270-X</v>
          </cell>
        </row>
        <row r="2591">
          <cell r="A2591" t="str">
            <v>MR002579</v>
          </cell>
          <cell r="B2591" t="str">
            <v>MR</v>
          </cell>
          <cell r="C2591">
            <v>11</v>
          </cell>
          <cell r="D2591">
            <v>18</v>
          </cell>
          <cell r="E2591" t="str">
            <v>KH107</v>
          </cell>
          <cell r="F2591">
            <v>5890</v>
          </cell>
          <cell r="G2591">
            <v>82.61</v>
          </cell>
          <cell r="H2591">
            <v>1.35</v>
          </cell>
          <cell r="I2591" t="str">
            <v>From M1B to M2B - 45°</v>
          </cell>
          <cell r="J2591" t="str">
            <v>IE3</v>
          </cell>
          <cell r="K2591" t="str">
            <v>400/690</v>
          </cell>
          <cell r="L2591">
            <v>50</v>
          </cell>
          <cell r="M2591" t="str">
            <v>22/12,7</v>
          </cell>
          <cell r="N2591">
            <v>55</v>
          </cell>
          <cell r="O2591" t="str">
            <v>155(F)</v>
          </cell>
          <cell r="P2591" t="str">
            <v>270°</v>
          </cell>
          <cell r="Q2591" t="str">
            <v>TF</v>
          </cell>
          <cell r="R2591" t="str">
            <v>-</v>
          </cell>
          <cell r="S2591" t="str">
            <v>-</v>
          </cell>
          <cell r="T2591" t="str">
            <v>-</v>
          </cell>
          <cell r="U2591" t="str">
            <v>-</v>
          </cell>
          <cell r="V2591" t="str">
            <v>FC</v>
          </cell>
          <cell r="W2591" t="str">
            <v>-</v>
          </cell>
          <cell r="X2591" t="str">
            <v>CLP 220 (-15/+40°C)</v>
          </cell>
          <cell r="Y2591" t="str">
            <v>KH107DRN160M4 /TF</v>
          </cell>
          <cell r="Z2591" t="str">
            <v>SEW</v>
          </cell>
          <cell r="AB2591" t="str">
            <v>-</v>
          </cell>
          <cell r="AF2591">
            <v>18</v>
          </cell>
          <cell r="AG2591" t="str">
            <v>DRN160M4</v>
          </cell>
          <cell r="AH2591" t="str">
            <v>KH107-DRN160M4B270-X</v>
          </cell>
        </row>
        <row r="2592">
          <cell r="A2592" t="str">
            <v>MR002580</v>
          </cell>
          <cell r="B2592" t="str">
            <v>MR</v>
          </cell>
          <cell r="C2592">
            <v>11</v>
          </cell>
          <cell r="D2592">
            <v>16</v>
          </cell>
          <cell r="E2592" t="str">
            <v>KH107</v>
          </cell>
          <cell r="F2592">
            <v>6480</v>
          </cell>
          <cell r="G2592">
            <v>90.96</v>
          </cell>
          <cell r="H2592">
            <v>1.25</v>
          </cell>
          <cell r="I2592" t="str">
            <v>From M1A to M4A - 45°</v>
          </cell>
          <cell r="J2592" t="str">
            <v>IE3</v>
          </cell>
          <cell r="K2592" t="str">
            <v>400/690</v>
          </cell>
          <cell r="L2592">
            <v>50</v>
          </cell>
          <cell r="M2592" t="str">
            <v>21/12,2</v>
          </cell>
          <cell r="N2592">
            <v>55</v>
          </cell>
          <cell r="O2592" t="str">
            <v>155(F)</v>
          </cell>
          <cell r="P2592" t="str">
            <v>270°</v>
          </cell>
          <cell r="Q2592" t="str">
            <v>TF</v>
          </cell>
          <cell r="R2592" t="str">
            <v>-</v>
          </cell>
          <cell r="S2592" t="str">
            <v>-</v>
          </cell>
          <cell r="T2592" t="str">
            <v>-</v>
          </cell>
          <cell r="U2592" t="str">
            <v>-</v>
          </cell>
          <cell r="V2592" t="str">
            <v>FC</v>
          </cell>
          <cell r="W2592" t="str">
            <v>-</v>
          </cell>
          <cell r="X2592" t="str">
            <v>CLP 220 (-15/+40°C)</v>
          </cell>
          <cell r="Y2592" t="str">
            <v>KH107DRN160M4 /TF</v>
          </cell>
          <cell r="Z2592" t="str">
            <v>SEW</v>
          </cell>
          <cell r="AB2592" t="str">
            <v>-</v>
          </cell>
          <cell r="AF2592">
            <v>16</v>
          </cell>
          <cell r="AG2592" t="str">
            <v>DRN160M4</v>
          </cell>
          <cell r="AH2592" t="str">
            <v>KH107-DRN160M4A270-X</v>
          </cell>
        </row>
        <row r="2593">
          <cell r="A2593" t="str">
            <v>MR002581</v>
          </cell>
          <cell r="B2593" t="str">
            <v>MR</v>
          </cell>
          <cell r="C2593">
            <v>11</v>
          </cell>
          <cell r="D2593">
            <v>16</v>
          </cell>
          <cell r="E2593" t="str">
            <v>KH107</v>
          </cell>
          <cell r="F2593">
            <v>6480</v>
          </cell>
          <cell r="G2593">
            <v>90.96</v>
          </cell>
          <cell r="H2593">
            <v>1.25</v>
          </cell>
          <cell r="I2593" t="str">
            <v>From M1B to M4B - 45°</v>
          </cell>
          <cell r="J2593" t="str">
            <v>IE3</v>
          </cell>
          <cell r="K2593" t="str">
            <v>400/690</v>
          </cell>
          <cell r="L2593">
            <v>50</v>
          </cell>
          <cell r="M2593" t="str">
            <v>21/12,2</v>
          </cell>
          <cell r="N2593">
            <v>55</v>
          </cell>
          <cell r="O2593" t="str">
            <v>155(F)</v>
          </cell>
          <cell r="P2593" t="str">
            <v>270°</v>
          </cell>
          <cell r="Q2593" t="str">
            <v>TF</v>
          </cell>
          <cell r="R2593" t="str">
            <v>-</v>
          </cell>
          <cell r="S2593" t="str">
            <v>-</v>
          </cell>
          <cell r="T2593" t="str">
            <v>-</v>
          </cell>
          <cell r="U2593" t="str">
            <v>-</v>
          </cell>
          <cell r="V2593" t="str">
            <v>FC</v>
          </cell>
          <cell r="W2593" t="str">
            <v>-</v>
          </cell>
          <cell r="X2593" t="str">
            <v>CLP 220 (-15/+40°C)</v>
          </cell>
          <cell r="Y2593" t="str">
            <v>KH107DRN160M4 /TF</v>
          </cell>
          <cell r="Z2593" t="str">
            <v>SEW</v>
          </cell>
          <cell r="AB2593" t="str">
            <v>-</v>
          </cell>
          <cell r="AF2593">
            <v>16</v>
          </cell>
          <cell r="AG2593" t="str">
            <v>DRN160M4</v>
          </cell>
          <cell r="AH2593" t="str">
            <v>KH107-DRN160M4B270-X</v>
          </cell>
        </row>
        <row r="2594">
          <cell r="A2594" t="str">
            <v>MR002582</v>
          </cell>
          <cell r="B2594" t="str">
            <v>MR</v>
          </cell>
          <cell r="C2594">
            <v>11</v>
          </cell>
          <cell r="D2594">
            <v>16</v>
          </cell>
          <cell r="E2594" t="str">
            <v>KH107</v>
          </cell>
          <cell r="F2594">
            <v>6480</v>
          </cell>
          <cell r="G2594">
            <v>90.96</v>
          </cell>
          <cell r="H2594">
            <v>1.25</v>
          </cell>
          <cell r="I2594" t="str">
            <v>From M1A to M4A - 50°</v>
          </cell>
          <cell r="J2594" t="str">
            <v>IE3</v>
          </cell>
          <cell r="K2594" t="str">
            <v>400/690</v>
          </cell>
          <cell r="L2594">
            <v>50</v>
          </cell>
          <cell r="M2594" t="str">
            <v>21/12,2</v>
          </cell>
          <cell r="N2594">
            <v>55</v>
          </cell>
          <cell r="O2594" t="str">
            <v>155(F)</v>
          </cell>
          <cell r="P2594" t="str">
            <v>270°</v>
          </cell>
          <cell r="Q2594" t="str">
            <v>TF</v>
          </cell>
          <cell r="R2594" t="str">
            <v>-</v>
          </cell>
          <cell r="S2594" t="str">
            <v>-</v>
          </cell>
          <cell r="T2594" t="str">
            <v>-</v>
          </cell>
          <cell r="U2594" t="str">
            <v>-</v>
          </cell>
          <cell r="V2594" t="str">
            <v>FC</v>
          </cell>
          <cell r="W2594" t="str">
            <v>-</v>
          </cell>
          <cell r="X2594" t="str">
            <v>CLP 220 (-15/+40°C)</v>
          </cell>
          <cell r="Y2594" t="str">
            <v>KH107DRN160M4 /TF</v>
          </cell>
          <cell r="Z2594" t="str">
            <v>SEW</v>
          </cell>
          <cell r="AB2594" t="str">
            <v>-</v>
          </cell>
          <cell r="AF2594">
            <v>16</v>
          </cell>
          <cell r="AG2594" t="str">
            <v>DRN160M4</v>
          </cell>
          <cell r="AH2594" t="str">
            <v>KH107-DRN160M4A270-X</v>
          </cell>
        </row>
        <row r="2595">
          <cell r="A2595" t="str">
            <v>MR002583</v>
          </cell>
          <cell r="B2595" t="str">
            <v>MR</v>
          </cell>
          <cell r="C2595">
            <v>11</v>
          </cell>
          <cell r="D2595">
            <v>16</v>
          </cell>
          <cell r="E2595" t="str">
            <v>KH107</v>
          </cell>
          <cell r="F2595">
            <v>6480</v>
          </cell>
          <cell r="G2595">
            <v>90.96</v>
          </cell>
          <cell r="H2595">
            <v>1.25</v>
          </cell>
          <cell r="I2595" t="str">
            <v>From M1B to M4B - 50°</v>
          </cell>
          <cell r="J2595" t="str">
            <v>IE3</v>
          </cell>
          <cell r="K2595" t="str">
            <v>400/690</v>
          </cell>
          <cell r="L2595">
            <v>50</v>
          </cell>
          <cell r="M2595" t="str">
            <v>21/12,2</v>
          </cell>
          <cell r="N2595">
            <v>55</v>
          </cell>
          <cell r="O2595" t="str">
            <v>155(F)</v>
          </cell>
          <cell r="P2595" t="str">
            <v>270°</v>
          </cell>
          <cell r="Q2595" t="str">
            <v>TF</v>
          </cell>
          <cell r="R2595" t="str">
            <v>-</v>
          </cell>
          <cell r="S2595" t="str">
            <v>-</v>
          </cell>
          <cell r="T2595" t="str">
            <v>-</v>
          </cell>
          <cell r="U2595" t="str">
            <v>-</v>
          </cell>
          <cell r="V2595" t="str">
            <v>FC</v>
          </cell>
          <cell r="W2595" t="str">
            <v>-</v>
          </cell>
          <cell r="X2595" t="str">
            <v>CLP 220 (-15/+40°C)</v>
          </cell>
          <cell r="Y2595" t="str">
            <v>KH107DRN160M4 /TF</v>
          </cell>
          <cell r="Z2595" t="str">
            <v>SEW</v>
          </cell>
          <cell r="AB2595" t="str">
            <v>-</v>
          </cell>
          <cell r="AF2595">
            <v>16</v>
          </cell>
          <cell r="AG2595" t="str">
            <v>DRN160M4</v>
          </cell>
          <cell r="AH2595" t="str">
            <v>KH107-DRN160M4B270-X</v>
          </cell>
        </row>
        <row r="2596">
          <cell r="A2596" t="str">
            <v>MR002584</v>
          </cell>
          <cell r="B2596" t="str">
            <v>MR</v>
          </cell>
          <cell r="C2596">
            <v>11</v>
          </cell>
          <cell r="D2596">
            <v>15</v>
          </cell>
          <cell r="E2596" t="str">
            <v>KH107</v>
          </cell>
          <cell r="F2596">
            <v>7180</v>
          </cell>
          <cell r="G2596">
            <v>100.75</v>
          </cell>
          <cell r="H2596">
            <v>1.1000000000000001</v>
          </cell>
          <cell r="I2596" t="str">
            <v>From M1A to M4A - 45°</v>
          </cell>
          <cell r="J2596" t="str">
            <v>IE3</v>
          </cell>
          <cell r="K2596" t="str">
            <v>400/690</v>
          </cell>
          <cell r="L2596">
            <v>50</v>
          </cell>
          <cell r="M2596" t="str">
            <v>21/12,2</v>
          </cell>
          <cell r="N2596">
            <v>55</v>
          </cell>
          <cell r="O2596" t="str">
            <v>155(F)</v>
          </cell>
          <cell r="P2596" t="str">
            <v>270°</v>
          </cell>
          <cell r="Q2596" t="str">
            <v>TF</v>
          </cell>
          <cell r="R2596" t="str">
            <v>-</v>
          </cell>
          <cell r="S2596" t="str">
            <v>-</v>
          </cell>
          <cell r="T2596" t="str">
            <v>-</v>
          </cell>
          <cell r="U2596" t="str">
            <v>-</v>
          </cell>
          <cell r="V2596" t="str">
            <v>FC</v>
          </cell>
          <cell r="W2596" t="str">
            <v>-</v>
          </cell>
          <cell r="X2596" t="str">
            <v>CLP 220 (-15/+40°C)</v>
          </cell>
          <cell r="Y2596" t="str">
            <v>KH107DRN160M4 /TF</v>
          </cell>
          <cell r="Z2596" t="str">
            <v>SEW</v>
          </cell>
          <cell r="AB2596" t="str">
            <v>-</v>
          </cell>
          <cell r="AF2596">
            <v>15</v>
          </cell>
          <cell r="AG2596" t="str">
            <v>DRN160M4</v>
          </cell>
          <cell r="AH2596" t="str">
            <v>KH107-DRN160M4A270-X</v>
          </cell>
        </row>
        <row r="2597">
          <cell r="A2597" t="str">
            <v>MR002585</v>
          </cell>
          <cell r="B2597" t="str">
            <v>MR</v>
          </cell>
          <cell r="C2597">
            <v>0.75</v>
          </cell>
          <cell r="D2597">
            <v>18</v>
          </cell>
          <cell r="E2597" t="str">
            <v>FA67</v>
          </cell>
          <cell r="F2597">
            <v>395</v>
          </cell>
          <cell r="G2597">
            <v>79.760000000000005</v>
          </cell>
          <cell r="H2597">
            <v>2.1</v>
          </cell>
          <cell r="I2597" t="str">
            <v>From M6 to M3 - 45°</v>
          </cell>
          <cell r="J2597" t="str">
            <v>IE3</v>
          </cell>
          <cell r="K2597" t="str">
            <v>230/400</v>
          </cell>
          <cell r="L2597">
            <v>50</v>
          </cell>
          <cell r="M2597" t="str">
            <v>3,05/1,75</v>
          </cell>
          <cell r="N2597">
            <v>55</v>
          </cell>
          <cell r="O2597" t="str">
            <v>155(F)</v>
          </cell>
          <cell r="P2597" t="str">
            <v>270°</v>
          </cell>
          <cell r="Q2597" t="str">
            <v>-</v>
          </cell>
          <cell r="R2597" t="str">
            <v>-</v>
          </cell>
          <cell r="S2597" t="str">
            <v>-</v>
          </cell>
          <cell r="T2597" t="str">
            <v>BEHF</v>
          </cell>
          <cell r="U2597" t="str">
            <v>G</v>
          </cell>
          <cell r="V2597" t="str">
            <v>D+R</v>
          </cell>
          <cell r="W2597" t="str">
            <v>-</v>
          </cell>
          <cell r="X2597" t="str">
            <v>CLP 220 (-15/+40°C)</v>
          </cell>
          <cell r="Y2597" t="str">
            <v>FA67/G DRN80M4 /BEHF</v>
          </cell>
          <cell r="Z2597" t="str">
            <v>SEW</v>
          </cell>
          <cell r="AB2597" t="str">
            <v>-</v>
          </cell>
          <cell r="AF2597">
            <v>18</v>
          </cell>
          <cell r="AG2597" t="str">
            <v>DRN80M4</v>
          </cell>
          <cell r="AH2597" t="str">
            <v>FA67G-DRN80M4270-X</v>
          </cell>
        </row>
        <row r="2598">
          <cell r="A2598" t="str">
            <v>MR002586</v>
          </cell>
          <cell r="B2598" t="str">
            <v>MR</v>
          </cell>
          <cell r="C2598">
            <v>9.1999999999999993</v>
          </cell>
          <cell r="D2598">
            <v>59</v>
          </cell>
          <cell r="E2598" t="str">
            <v>R97</v>
          </cell>
          <cell r="F2598">
            <v>1500</v>
          </cell>
          <cell r="G2598">
            <v>25.03</v>
          </cell>
          <cell r="H2598">
            <v>1.45</v>
          </cell>
          <cell r="I2598" t="str">
            <v>From M1 to M4 - 40°</v>
          </cell>
          <cell r="J2598" t="str">
            <v>IE3</v>
          </cell>
          <cell r="K2598" t="str">
            <v>400/690</v>
          </cell>
          <cell r="L2598">
            <v>50</v>
          </cell>
          <cell r="M2598" t="str">
            <v>18,7/10,8</v>
          </cell>
          <cell r="N2598">
            <v>65</v>
          </cell>
          <cell r="O2598" t="str">
            <v>155(F)</v>
          </cell>
          <cell r="P2598" t="str">
            <v>270°</v>
          </cell>
          <cell r="Q2598" t="str">
            <v>-</v>
          </cell>
          <cell r="R2598" t="str">
            <v>-</v>
          </cell>
          <cell r="S2598" t="str">
            <v>-</v>
          </cell>
          <cell r="T2598" t="str">
            <v>-</v>
          </cell>
          <cell r="U2598" t="str">
            <v>-</v>
          </cell>
          <cell r="V2598" t="str">
            <v>D+R</v>
          </cell>
          <cell r="W2598" t="str">
            <v>-</v>
          </cell>
          <cell r="X2598" t="str">
            <v>CLP HC 150 (-30/+50°C)</v>
          </cell>
          <cell r="Y2598" t="str">
            <v>R97/II2GDEDRN132L4/3D/AL/C</v>
          </cell>
          <cell r="Z2598" t="str">
            <v>SEW</v>
          </cell>
          <cell r="AB2598" t="str">
            <v>ATEX22</v>
          </cell>
          <cell r="AF2598">
            <v>59</v>
          </cell>
          <cell r="AG2598" t="str">
            <v>EDRN132L4</v>
          </cell>
          <cell r="AH2598" t="str">
            <v>R97-EDRN132L4270-X</v>
          </cell>
        </row>
        <row r="2599">
          <cell r="A2599" t="str">
            <v>MR002587</v>
          </cell>
          <cell r="B2599" t="str">
            <v>MR</v>
          </cell>
          <cell r="C2599">
            <v>2.2000000000000002</v>
          </cell>
          <cell r="D2599">
            <v>62</v>
          </cell>
          <cell r="E2599" t="str">
            <v>R67</v>
          </cell>
          <cell r="F2599">
            <v>340</v>
          </cell>
          <cell r="G2599">
            <v>23.44</v>
          </cell>
          <cell r="H2599">
            <v>1.45</v>
          </cell>
          <cell r="I2599" t="str">
            <v>From M1 to M2 - 20°</v>
          </cell>
          <cell r="J2599" t="str">
            <v>IE3</v>
          </cell>
          <cell r="K2599" t="str">
            <v>230/400</v>
          </cell>
          <cell r="L2599">
            <v>50</v>
          </cell>
          <cell r="M2599" t="str">
            <v>8,3/4,8</v>
          </cell>
          <cell r="N2599">
            <v>65</v>
          </cell>
          <cell r="O2599" t="str">
            <v>155(F)</v>
          </cell>
          <cell r="P2599" t="str">
            <v>270°</v>
          </cell>
          <cell r="Q2599" t="str">
            <v>-</v>
          </cell>
          <cell r="R2599" t="str">
            <v>-</v>
          </cell>
          <cell r="S2599" t="str">
            <v>-</v>
          </cell>
          <cell r="T2599" t="str">
            <v>-</v>
          </cell>
          <cell r="U2599" t="str">
            <v>-</v>
          </cell>
          <cell r="V2599" t="str">
            <v>D</v>
          </cell>
          <cell r="W2599" t="str">
            <v>-</v>
          </cell>
          <cell r="X2599" t="str">
            <v>CLP HC 150 (-30/+50°C)</v>
          </cell>
          <cell r="Y2599" t="str">
            <v>R67/II2GDEDRN100LS4/3D/KCC/AL</v>
          </cell>
          <cell r="Z2599" t="str">
            <v>SEW</v>
          </cell>
          <cell r="AB2599" t="str">
            <v>ATEX22</v>
          </cell>
          <cell r="AF2599">
            <v>62</v>
          </cell>
          <cell r="AG2599" t="str">
            <v>EDRN100LS4</v>
          </cell>
          <cell r="AH2599" t="str">
            <v>R67-EDRN100LS4270-X</v>
          </cell>
        </row>
        <row r="2600">
          <cell r="A2600" t="str">
            <v>MR002588</v>
          </cell>
          <cell r="B2600" t="str">
            <v>MR</v>
          </cell>
          <cell r="C2600">
            <v>1.5</v>
          </cell>
          <cell r="D2600">
            <v>22</v>
          </cell>
          <cell r="E2600" t="str">
            <v>FA67</v>
          </cell>
          <cell r="F2600">
            <v>665</v>
          </cell>
          <cell r="G2600">
            <v>67.650000000000006</v>
          </cell>
          <cell r="H2600">
            <v>1.1499999999999999</v>
          </cell>
          <cell r="I2600" t="str">
            <v>From M1 to M5 - 50°</v>
          </cell>
          <cell r="J2600" t="str">
            <v>IE3</v>
          </cell>
          <cell r="K2600" t="str">
            <v>230/400</v>
          </cell>
          <cell r="L2600">
            <v>50</v>
          </cell>
          <cell r="M2600" t="str">
            <v>5,9/3,4</v>
          </cell>
          <cell r="N2600">
            <v>65</v>
          </cell>
          <cell r="O2600" t="str">
            <v>155(F)</v>
          </cell>
          <cell r="P2600" t="str">
            <v>270°</v>
          </cell>
          <cell r="Q2600" t="str">
            <v>TF</v>
          </cell>
          <cell r="R2600" t="str">
            <v>-</v>
          </cell>
          <cell r="S2600" t="str">
            <v>-</v>
          </cell>
          <cell r="T2600" t="str">
            <v>BEHF</v>
          </cell>
          <cell r="U2600" t="str">
            <v>G</v>
          </cell>
          <cell r="V2600" t="str">
            <v>D+R</v>
          </cell>
          <cell r="W2600" t="str">
            <v>-</v>
          </cell>
          <cell r="X2600" t="str">
            <v>CLP HC 150 (-30/+50°C)</v>
          </cell>
          <cell r="Y2600" t="str">
            <v>FA67/G/II2GD EDRN90L4/BE5HF/3D/KCC/TF/AL</v>
          </cell>
          <cell r="Z2600" t="str">
            <v>SEW</v>
          </cell>
          <cell r="AB2600" t="str">
            <v>ATEX22</v>
          </cell>
          <cell r="AE2600" t="str">
            <v>Rectifier for brake in the terminal box</v>
          </cell>
          <cell r="AF2600">
            <v>22</v>
          </cell>
          <cell r="AG2600" t="str">
            <v>EDRN90L4</v>
          </cell>
          <cell r="AH2600" t="str">
            <v>FA67G-EDRN90L4270-X</v>
          </cell>
        </row>
        <row r="2601">
          <cell r="A2601" t="str">
            <v>MR002589</v>
          </cell>
          <cell r="B2601" t="str">
            <v>MR</v>
          </cell>
          <cell r="C2601">
            <v>11</v>
          </cell>
          <cell r="D2601">
            <v>59</v>
          </cell>
          <cell r="E2601" t="str">
            <v>R97</v>
          </cell>
          <cell r="F2601">
            <v>1780</v>
          </cell>
          <cell r="G2601">
            <v>25.03</v>
          </cell>
          <cell r="H2601">
            <v>1.6</v>
          </cell>
          <cell r="I2601" t="str">
            <v>M1</v>
          </cell>
          <cell r="J2601" t="str">
            <v>IE3</v>
          </cell>
          <cell r="K2601" t="str">
            <v>400/690</v>
          </cell>
          <cell r="L2601">
            <v>50</v>
          </cell>
          <cell r="M2601" t="str">
            <v>21/12,2</v>
          </cell>
          <cell r="N2601">
            <v>65</v>
          </cell>
          <cell r="O2601" t="str">
            <v>155(F)</v>
          </cell>
          <cell r="P2601" t="str">
            <v>270°</v>
          </cell>
          <cell r="Q2601" t="str">
            <v>-</v>
          </cell>
          <cell r="R2601" t="str">
            <v>-</v>
          </cell>
          <cell r="S2601" t="str">
            <v>-</v>
          </cell>
          <cell r="T2601" t="str">
            <v>-</v>
          </cell>
          <cell r="U2601" t="str">
            <v>-</v>
          </cell>
          <cell r="V2601" t="str">
            <v>D</v>
          </cell>
          <cell r="W2601" t="str">
            <v>-</v>
          </cell>
          <cell r="X2601" t="str">
            <v>CLP HC 220 (-25/+60°C)</v>
          </cell>
          <cell r="Y2601" t="str">
            <v>R97DRN160M4</v>
          </cell>
          <cell r="Z2601" t="str">
            <v>SEW</v>
          </cell>
          <cell r="AB2601" t="str">
            <v>-</v>
          </cell>
          <cell r="AF2601">
            <v>59</v>
          </cell>
          <cell r="AG2601" t="str">
            <v>DRN160M4</v>
          </cell>
          <cell r="AH2601" t="str">
            <v>R97-DRN160M4270-X</v>
          </cell>
        </row>
        <row r="2602">
          <cell r="A2602" t="str">
            <v>MR002590</v>
          </cell>
          <cell r="B2602" t="str">
            <v>MR</v>
          </cell>
          <cell r="C2602">
            <v>0.55000000000000004</v>
          </cell>
          <cell r="D2602">
            <v>0.74</v>
          </cell>
          <cell r="E2602" t="str">
            <v>KH107R77</v>
          </cell>
          <cell r="F2602">
            <v>6260</v>
          </cell>
          <cell r="G2602">
            <v>1939</v>
          </cell>
          <cell r="H2602">
            <v>1.3</v>
          </cell>
          <cell r="I2602" t="str">
            <v>From M1 to M4 B 55°</v>
          </cell>
          <cell r="J2602" t="str">
            <v>IE3</v>
          </cell>
          <cell r="K2602" t="str">
            <v>220/380</v>
          </cell>
          <cell r="L2602">
            <v>50</v>
          </cell>
          <cell r="M2602" t="str">
            <v>2,35/1,36</v>
          </cell>
          <cell r="N2602">
            <v>55</v>
          </cell>
          <cell r="O2602" t="str">
            <v>155(F)</v>
          </cell>
          <cell r="P2602" t="str">
            <v>0°</v>
          </cell>
          <cell r="Q2602" t="str">
            <v>-</v>
          </cell>
          <cell r="R2602" t="str">
            <v>-</v>
          </cell>
          <cell r="S2602" t="str">
            <v>-</v>
          </cell>
          <cell r="T2602" t="str">
            <v>-</v>
          </cell>
          <cell r="U2602" t="str">
            <v>T</v>
          </cell>
          <cell r="V2602" t="str">
            <v>D</v>
          </cell>
          <cell r="W2602" t="str">
            <v>-</v>
          </cell>
          <cell r="X2602" t="str">
            <v>CLP 220 (-15/+40°C)</v>
          </cell>
          <cell r="Y2602" t="str">
            <v>KH107R77/T DRN80MK4</v>
          </cell>
          <cell r="Z2602" t="str">
            <v>SEW</v>
          </cell>
          <cell r="AB2602" t="str">
            <v>-</v>
          </cell>
          <cell r="AF2602">
            <v>0.74</v>
          </cell>
          <cell r="AG2602" t="str">
            <v>DRN80MK4</v>
          </cell>
          <cell r="AH2602" t="str">
            <v>KH107R77T-DRN80MK4B0-X</v>
          </cell>
        </row>
        <row r="2603">
          <cell r="A2603" t="str">
            <v>MR002591</v>
          </cell>
          <cell r="B2603" t="str">
            <v>MR</v>
          </cell>
          <cell r="C2603">
            <v>0.75</v>
          </cell>
          <cell r="D2603">
            <v>6.4</v>
          </cell>
          <cell r="E2603" t="str">
            <v>FA77</v>
          </cell>
          <cell r="F2603">
            <v>1120</v>
          </cell>
          <cell r="G2603">
            <v>225.79</v>
          </cell>
          <cell r="H2603">
            <v>1.35</v>
          </cell>
          <cell r="I2603" t="str">
            <v>M1</v>
          </cell>
          <cell r="J2603" t="str">
            <v>IE3</v>
          </cell>
          <cell r="K2603" t="str">
            <v>220/380</v>
          </cell>
          <cell r="L2603">
            <v>50</v>
          </cell>
          <cell r="M2603" t="str">
            <v>3,2/1,84</v>
          </cell>
          <cell r="N2603">
            <v>55</v>
          </cell>
          <cell r="O2603" t="str">
            <v>155(F)</v>
          </cell>
          <cell r="P2603" t="str">
            <v>0°</v>
          </cell>
          <cell r="Q2603" t="str">
            <v>-</v>
          </cell>
          <cell r="R2603" t="str">
            <v>-</v>
          </cell>
          <cell r="S2603" t="str">
            <v>-</v>
          </cell>
          <cell r="T2603" t="str">
            <v>-</v>
          </cell>
          <cell r="U2603" t="str">
            <v>G</v>
          </cell>
          <cell r="V2603" t="str">
            <v>D</v>
          </cell>
          <cell r="W2603" t="str">
            <v>-</v>
          </cell>
          <cell r="X2603" t="str">
            <v>CLP 220 (-15/+40°C)</v>
          </cell>
          <cell r="Y2603" t="str">
            <v>FA77/G DRN80M4</v>
          </cell>
          <cell r="Z2603" t="str">
            <v>SEW</v>
          </cell>
          <cell r="AB2603" t="str">
            <v>-</v>
          </cell>
          <cell r="AF2603">
            <v>6.4</v>
          </cell>
          <cell r="AG2603" t="str">
            <v>DRN80M4</v>
          </cell>
          <cell r="AH2603" t="str">
            <v>FA77G-DRN80M40-X</v>
          </cell>
        </row>
        <row r="2604">
          <cell r="A2604" t="str">
            <v>MR002592</v>
          </cell>
          <cell r="B2604" t="str">
            <v>MR</v>
          </cell>
          <cell r="C2604">
            <v>1.1000000000000001</v>
          </cell>
          <cell r="D2604">
            <v>10</v>
          </cell>
          <cell r="E2604" t="str">
            <v>FA77</v>
          </cell>
          <cell r="F2604">
            <v>1030</v>
          </cell>
          <cell r="G2604">
            <v>142.27000000000001</v>
          </cell>
          <cell r="H2604">
            <v>1.45</v>
          </cell>
          <cell r="I2604" t="str">
            <v>From M1 to M4 5°</v>
          </cell>
          <cell r="J2604" t="str">
            <v>IE3</v>
          </cell>
          <cell r="K2604" t="str">
            <v>220/380</v>
          </cell>
          <cell r="L2604">
            <v>50</v>
          </cell>
          <cell r="M2604" t="str">
            <v>4,65/2,7</v>
          </cell>
          <cell r="N2604">
            <v>55</v>
          </cell>
          <cell r="O2604" t="str">
            <v>155(F)</v>
          </cell>
          <cell r="P2604" t="str">
            <v>0°</v>
          </cell>
          <cell r="Q2604" t="str">
            <v>-</v>
          </cell>
          <cell r="R2604" t="str">
            <v>-</v>
          </cell>
          <cell r="S2604" t="str">
            <v>-</v>
          </cell>
          <cell r="T2604" t="str">
            <v>-</v>
          </cell>
          <cell r="U2604" t="str">
            <v>G</v>
          </cell>
          <cell r="V2604" t="str">
            <v>D</v>
          </cell>
          <cell r="W2604" t="str">
            <v>-</v>
          </cell>
          <cell r="X2604" t="str">
            <v>CLP 220 (-15/+40°C)</v>
          </cell>
          <cell r="Y2604" t="str">
            <v>FA77/G DRN90S4</v>
          </cell>
          <cell r="Z2604" t="str">
            <v>SEW</v>
          </cell>
          <cell r="AB2604" t="str">
            <v>-</v>
          </cell>
          <cell r="AF2604">
            <v>10</v>
          </cell>
          <cell r="AG2604" t="str">
            <v>DRN90S4</v>
          </cell>
          <cell r="AH2604" t="str">
            <v>FA77G-DRN90S40-X</v>
          </cell>
        </row>
        <row r="2605">
          <cell r="A2605" t="str">
            <v>MR002593</v>
          </cell>
          <cell r="B2605" t="str">
            <v>MR</v>
          </cell>
          <cell r="C2605">
            <v>0.75</v>
          </cell>
          <cell r="D2605">
            <v>6.4</v>
          </cell>
          <cell r="E2605" t="str">
            <v>FA77</v>
          </cell>
          <cell r="F2605">
            <v>1120</v>
          </cell>
          <cell r="G2605">
            <v>225.79</v>
          </cell>
          <cell r="H2605">
            <v>1.35</v>
          </cell>
          <cell r="I2605" t="str">
            <v>From M1 to M4 5°</v>
          </cell>
          <cell r="J2605" t="str">
            <v>IE3</v>
          </cell>
          <cell r="K2605" t="str">
            <v>220/380</v>
          </cell>
          <cell r="L2605">
            <v>50</v>
          </cell>
          <cell r="M2605" t="str">
            <v>3,2/1,84</v>
          </cell>
          <cell r="N2605">
            <v>55</v>
          </cell>
          <cell r="O2605" t="str">
            <v>155(F)</v>
          </cell>
          <cell r="P2605" t="str">
            <v>0°</v>
          </cell>
          <cell r="Q2605" t="str">
            <v>-</v>
          </cell>
          <cell r="R2605" t="str">
            <v>-</v>
          </cell>
          <cell r="S2605" t="str">
            <v>-</v>
          </cell>
          <cell r="T2605" t="str">
            <v>-</v>
          </cell>
          <cell r="U2605" t="str">
            <v>G</v>
          </cell>
          <cell r="V2605" t="str">
            <v>D</v>
          </cell>
          <cell r="W2605" t="str">
            <v>-</v>
          </cell>
          <cell r="X2605" t="str">
            <v>CLP 220 (-15/+40°C)</v>
          </cell>
          <cell r="Y2605" t="str">
            <v>FA77/G DRN80M4</v>
          </cell>
          <cell r="Z2605" t="str">
            <v>SEW</v>
          </cell>
          <cell r="AB2605" t="str">
            <v>-</v>
          </cell>
          <cell r="AF2605">
            <v>6.4</v>
          </cell>
          <cell r="AG2605" t="str">
            <v>DRN80M4</v>
          </cell>
          <cell r="AH2605" t="str">
            <v>FA77G-DRN80M40-X</v>
          </cell>
        </row>
        <row r="2606">
          <cell r="A2606" t="str">
            <v>MR002594</v>
          </cell>
          <cell r="B2606" t="str">
            <v>MR</v>
          </cell>
          <cell r="C2606">
            <v>1.1000000000000001</v>
          </cell>
          <cell r="D2606">
            <v>10</v>
          </cell>
          <cell r="E2606" t="str">
            <v>FA77</v>
          </cell>
          <cell r="F2606">
            <v>1030</v>
          </cell>
          <cell r="G2606">
            <v>142.27000000000001</v>
          </cell>
          <cell r="H2606">
            <v>1.45</v>
          </cell>
          <cell r="I2606" t="str">
            <v>From M1 to M4 15°</v>
          </cell>
          <cell r="J2606" t="str">
            <v>IE3</v>
          </cell>
          <cell r="K2606" t="str">
            <v>220/380</v>
          </cell>
          <cell r="L2606">
            <v>50</v>
          </cell>
          <cell r="M2606" t="str">
            <v>4,65/2,7</v>
          </cell>
          <cell r="N2606">
            <v>55</v>
          </cell>
          <cell r="O2606" t="str">
            <v>155(F)</v>
          </cell>
          <cell r="P2606" t="str">
            <v>0°</v>
          </cell>
          <cell r="Q2606" t="str">
            <v>-</v>
          </cell>
          <cell r="R2606" t="str">
            <v>-</v>
          </cell>
          <cell r="S2606" t="str">
            <v>-</v>
          </cell>
          <cell r="T2606" t="str">
            <v>-</v>
          </cell>
          <cell r="U2606" t="str">
            <v>G</v>
          </cell>
          <cell r="V2606" t="str">
            <v>D</v>
          </cell>
          <cell r="W2606" t="str">
            <v>-</v>
          </cell>
          <cell r="X2606" t="str">
            <v>CLP 220 (-15/+40°C)</v>
          </cell>
          <cell r="Y2606" t="str">
            <v>FA77/G DRN90S4</v>
          </cell>
          <cell r="Z2606" t="str">
            <v>SEW</v>
          </cell>
          <cell r="AB2606" t="str">
            <v>-</v>
          </cell>
          <cell r="AF2606">
            <v>10</v>
          </cell>
          <cell r="AG2606" t="str">
            <v>DRN90S4</v>
          </cell>
          <cell r="AH2606" t="str">
            <v>FA77G-DRN90S40-X</v>
          </cell>
        </row>
        <row r="2607">
          <cell r="A2607" t="str">
            <v>MR002595</v>
          </cell>
          <cell r="B2607" t="str">
            <v>MR</v>
          </cell>
          <cell r="C2607">
            <v>0.75</v>
          </cell>
          <cell r="D2607">
            <v>6.4</v>
          </cell>
          <cell r="E2607" t="str">
            <v>FA77</v>
          </cell>
          <cell r="F2607">
            <v>1120</v>
          </cell>
          <cell r="G2607">
            <v>225.79</v>
          </cell>
          <cell r="H2607">
            <v>1.35</v>
          </cell>
          <cell r="I2607" t="str">
            <v>M5</v>
          </cell>
          <cell r="J2607" t="str">
            <v>IE3</v>
          </cell>
          <cell r="K2607" t="str">
            <v>220/380</v>
          </cell>
          <cell r="L2607">
            <v>50</v>
          </cell>
          <cell r="M2607" t="str">
            <v>3,2/1,84</v>
          </cell>
          <cell r="N2607">
            <v>55</v>
          </cell>
          <cell r="O2607" t="str">
            <v>155(F)</v>
          </cell>
          <cell r="P2607" t="str">
            <v>270°</v>
          </cell>
          <cell r="Q2607" t="str">
            <v>TF</v>
          </cell>
          <cell r="R2607" t="str">
            <v>V(VE)</v>
          </cell>
          <cell r="S2607" t="str">
            <v>-</v>
          </cell>
          <cell r="T2607" t="str">
            <v>-</v>
          </cell>
          <cell r="U2607" t="str">
            <v>G</v>
          </cell>
          <cell r="V2607" t="str">
            <v>FC</v>
          </cell>
          <cell r="W2607" t="str">
            <v>-</v>
          </cell>
          <cell r="X2607" t="str">
            <v>CLP 220 (-15/+40°C)</v>
          </cell>
          <cell r="Y2607" t="str">
            <v>FA77/G DRN80M4 /TF/V</v>
          </cell>
          <cell r="Z2607" t="str">
            <v>SEW</v>
          </cell>
          <cell r="AB2607" t="str">
            <v>-</v>
          </cell>
          <cell r="AE2607" t="str">
            <v>Cooling fan with power supply 230V single phase</v>
          </cell>
          <cell r="AF2607">
            <v>6.4</v>
          </cell>
          <cell r="AG2607" t="str">
            <v>DRN80M4</v>
          </cell>
          <cell r="AH2607" t="str">
            <v>FA77G-DRN80M4270-X#</v>
          </cell>
        </row>
        <row r="2608">
          <cell r="A2608" t="str">
            <v>MR002596</v>
          </cell>
          <cell r="B2608" t="str">
            <v>MR</v>
          </cell>
          <cell r="C2608">
            <v>0.75</v>
          </cell>
          <cell r="D2608">
            <v>6.4</v>
          </cell>
          <cell r="E2608" t="str">
            <v>FA77</v>
          </cell>
          <cell r="F2608">
            <v>1120</v>
          </cell>
          <cell r="G2608">
            <v>225.79</v>
          </cell>
          <cell r="H2608">
            <v>1.35</v>
          </cell>
          <cell r="I2608" t="str">
            <v>M6</v>
          </cell>
          <cell r="J2608" t="str">
            <v>IE3</v>
          </cell>
          <cell r="K2608" t="str">
            <v>220/380</v>
          </cell>
          <cell r="L2608">
            <v>50</v>
          </cell>
          <cell r="M2608" t="str">
            <v>3,2/1,84</v>
          </cell>
          <cell r="N2608">
            <v>55</v>
          </cell>
          <cell r="O2608" t="str">
            <v>155(F)</v>
          </cell>
          <cell r="P2608" t="str">
            <v>270°</v>
          </cell>
          <cell r="Q2608" t="str">
            <v>TF</v>
          </cell>
          <cell r="R2608" t="str">
            <v>V(VE)</v>
          </cell>
          <cell r="S2608" t="str">
            <v>-</v>
          </cell>
          <cell r="T2608" t="str">
            <v>-</v>
          </cell>
          <cell r="U2608" t="str">
            <v>G</v>
          </cell>
          <cell r="V2608" t="str">
            <v>FC</v>
          </cell>
          <cell r="W2608" t="str">
            <v>-</v>
          </cell>
          <cell r="X2608" t="str">
            <v>CLP 220 (-15/+40°C)</v>
          </cell>
          <cell r="Y2608" t="str">
            <v>FA77/G DRN80M4 /TF/V</v>
          </cell>
          <cell r="Z2608" t="str">
            <v>SEW</v>
          </cell>
          <cell r="AB2608" t="str">
            <v>-</v>
          </cell>
          <cell r="AE2608" t="str">
            <v>Cooling fan with power supply 230V single phase</v>
          </cell>
          <cell r="AF2608">
            <v>6.4</v>
          </cell>
          <cell r="AG2608" t="str">
            <v>DRN80M4</v>
          </cell>
          <cell r="AH2608" t="str">
            <v>FA77G-DRN80M4270-X#</v>
          </cell>
        </row>
        <row r="2609">
          <cell r="A2609" t="str">
            <v>MR002597</v>
          </cell>
          <cell r="B2609" t="str">
            <v>MR</v>
          </cell>
          <cell r="C2609">
            <v>18.5</v>
          </cell>
          <cell r="D2609">
            <v>16</v>
          </cell>
          <cell r="E2609" t="str">
            <v>KH127</v>
          </cell>
          <cell r="F2609">
            <v>10700</v>
          </cell>
          <cell r="G2609">
            <v>89.89</v>
          </cell>
          <cell r="H2609">
            <v>1.2</v>
          </cell>
          <cell r="I2609" t="str">
            <v>From M1 to M4 B 50°</v>
          </cell>
          <cell r="J2609" t="str">
            <v>IE3</v>
          </cell>
          <cell r="K2609" t="str">
            <v>380/660</v>
          </cell>
          <cell r="L2609">
            <v>50</v>
          </cell>
          <cell r="M2609" t="str">
            <v>35/20</v>
          </cell>
          <cell r="N2609">
            <v>55</v>
          </cell>
          <cell r="O2609" t="str">
            <v>155(F)</v>
          </cell>
          <cell r="P2609" t="str">
            <v>0°</v>
          </cell>
          <cell r="Q2609" t="str">
            <v>TF</v>
          </cell>
          <cell r="R2609" t="str">
            <v>-</v>
          </cell>
          <cell r="S2609" t="str">
            <v>-</v>
          </cell>
          <cell r="T2609" t="str">
            <v>-</v>
          </cell>
          <cell r="U2609" t="str">
            <v>-</v>
          </cell>
          <cell r="V2609" t="str">
            <v>FC</v>
          </cell>
          <cell r="W2609" t="str">
            <v>-</v>
          </cell>
          <cell r="X2609" t="str">
            <v>CLP 220 (-15/+40°C)</v>
          </cell>
          <cell r="Y2609" t="str">
            <v>KH127DRN180M4 /TF</v>
          </cell>
          <cell r="Z2609" t="str">
            <v>SEW</v>
          </cell>
          <cell r="AB2609" t="str">
            <v>-</v>
          </cell>
          <cell r="AF2609">
            <v>16</v>
          </cell>
          <cell r="AG2609" t="str">
            <v>DRN180M4</v>
          </cell>
          <cell r="AH2609" t="str">
            <v>KH127-DRN180M4B0-X</v>
          </cell>
        </row>
        <row r="2610">
          <cell r="A2610" t="str">
            <v>MR002598</v>
          </cell>
          <cell r="B2610" t="str">
            <v>MR</v>
          </cell>
          <cell r="C2610">
            <v>0.75</v>
          </cell>
          <cell r="D2610">
            <v>18</v>
          </cell>
          <cell r="E2610" t="str">
            <v>FA67</v>
          </cell>
          <cell r="F2610">
            <v>395</v>
          </cell>
          <cell r="G2610">
            <v>79.760000000000005</v>
          </cell>
          <cell r="H2610">
            <v>2.1</v>
          </cell>
          <cell r="I2610" t="str">
            <v>From M3 to M5 50°</v>
          </cell>
          <cell r="J2610" t="str">
            <v>IE3</v>
          </cell>
          <cell r="K2610" t="str">
            <v>220/380</v>
          </cell>
          <cell r="L2610">
            <v>50</v>
          </cell>
          <cell r="M2610" t="str">
            <v>3,2/1,84</v>
          </cell>
          <cell r="N2610">
            <v>55</v>
          </cell>
          <cell r="O2610" t="str">
            <v>155(F)</v>
          </cell>
          <cell r="P2610" t="str">
            <v>270°</v>
          </cell>
          <cell r="Q2610" t="str">
            <v>-</v>
          </cell>
          <cell r="R2610" t="str">
            <v>-</v>
          </cell>
          <cell r="S2610" t="str">
            <v>-</v>
          </cell>
          <cell r="T2610" t="str">
            <v>BEHF</v>
          </cell>
          <cell r="U2610" t="str">
            <v>G</v>
          </cell>
          <cell r="V2610" t="str">
            <v>D</v>
          </cell>
          <cell r="W2610" t="str">
            <v>-</v>
          </cell>
          <cell r="X2610" t="str">
            <v>CLP 220 (-15/+40°C)</v>
          </cell>
          <cell r="Y2610" t="str">
            <v>FA67/G DRN80M4 /BEHF</v>
          </cell>
          <cell r="Z2610" t="str">
            <v>SEW</v>
          </cell>
          <cell r="AB2610" t="str">
            <v>-</v>
          </cell>
          <cell r="AF2610">
            <v>18</v>
          </cell>
          <cell r="AG2610" t="str">
            <v>DRN80M4</v>
          </cell>
          <cell r="AH2610" t="str">
            <v>FA67G-DRN80M4270-X</v>
          </cell>
        </row>
        <row r="2611">
          <cell r="A2611" t="str">
            <v>MR002599</v>
          </cell>
          <cell r="B2611" t="str">
            <v>MR</v>
          </cell>
          <cell r="C2611">
            <v>11</v>
          </cell>
          <cell r="D2611">
            <v>18</v>
          </cell>
          <cell r="E2611" t="str">
            <v>KH107</v>
          </cell>
          <cell r="F2611">
            <v>5890</v>
          </cell>
          <cell r="G2611">
            <v>82.61</v>
          </cell>
          <cell r="H2611">
            <v>1.35</v>
          </cell>
          <cell r="I2611" t="str">
            <v>From M1A to M4A - 45°</v>
          </cell>
          <cell r="J2611" t="str">
            <v>IE3</v>
          </cell>
          <cell r="K2611" t="str">
            <v>400/690</v>
          </cell>
          <cell r="L2611">
            <v>50</v>
          </cell>
          <cell r="M2611" t="str">
            <v>22/12,7</v>
          </cell>
          <cell r="N2611">
            <v>55</v>
          </cell>
          <cell r="O2611" t="str">
            <v>155(F)</v>
          </cell>
          <cell r="P2611" t="str">
            <v>270°</v>
          </cell>
          <cell r="Q2611" t="str">
            <v>TF</v>
          </cell>
          <cell r="R2611" t="str">
            <v>V(VE)</v>
          </cell>
          <cell r="S2611" t="str">
            <v>-</v>
          </cell>
          <cell r="T2611" t="str">
            <v>-</v>
          </cell>
          <cell r="U2611" t="str">
            <v>-</v>
          </cell>
          <cell r="V2611" t="str">
            <v>FC</v>
          </cell>
          <cell r="W2611" t="str">
            <v>-</v>
          </cell>
          <cell r="X2611" t="str">
            <v>CLP 220 (-15/+40°C)</v>
          </cell>
          <cell r="Y2611" t="str">
            <v>KH107DRN160M4 /TF/V</v>
          </cell>
          <cell r="Z2611" t="str">
            <v>SEW</v>
          </cell>
          <cell r="AB2611" t="str">
            <v>-</v>
          </cell>
          <cell r="AF2611">
            <v>18</v>
          </cell>
          <cell r="AG2611" t="str">
            <v>DRN160M4</v>
          </cell>
          <cell r="AH2611" t="str">
            <v>KH107-DRN160M4A270-X#</v>
          </cell>
        </row>
        <row r="2612">
          <cell r="A2612" t="str">
            <v>MR002600</v>
          </cell>
          <cell r="B2612" t="str">
            <v>MR</v>
          </cell>
          <cell r="C2612">
            <v>11</v>
          </cell>
          <cell r="D2612">
            <v>18</v>
          </cell>
          <cell r="E2612" t="str">
            <v>KH107</v>
          </cell>
          <cell r="F2612">
            <v>5890</v>
          </cell>
          <cell r="G2612">
            <v>82.61</v>
          </cell>
          <cell r="H2612">
            <v>1.35</v>
          </cell>
          <cell r="I2612" t="str">
            <v>From M1B to M4B - 45°</v>
          </cell>
          <cell r="J2612" t="str">
            <v>IE3</v>
          </cell>
          <cell r="K2612" t="str">
            <v>400/690</v>
          </cell>
          <cell r="L2612">
            <v>50</v>
          </cell>
          <cell r="M2612" t="str">
            <v>22/12,7</v>
          </cell>
          <cell r="N2612">
            <v>55</v>
          </cell>
          <cell r="O2612" t="str">
            <v>155(F)</v>
          </cell>
          <cell r="P2612" t="str">
            <v>270°</v>
          </cell>
          <cell r="Q2612" t="str">
            <v>TF</v>
          </cell>
          <cell r="R2612" t="str">
            <v>V(VE)</v>
          </cell>
          <cell r="S2612" t="str">
            <v>-</v>
          </cell>
          <cell r="T2612" t="str">
            <v>-</v>
          </cell>
          <cell r="U2612" t="str">
            <v>-</v>
          </cell>
          <cell r="V2612" t="str">
            <v>FC</v>
          </cell>
          <cell r="W2612" t="str">
            <v>-</v>
          </cell>
          <cell r="X2612" t="str">
            <v>CLP 220 (-15/+40°C)</v>
          </cell>
          <cell r="Y2612" t="str">
            <v>KH107DRN160M4 /TF/V</v>
          </cell>
          <cell r="Z2612" t="str">
            <v>SEW</v>
          </cell>
          <cell r="AB2612" t="str">
            <v>-</v>
          </cell>
          <cell r="AF2612">
            <v>18</v>
          </cell>
          <cell r="AG2612" t="str">
            <v>DRN160M4</v>
          </cell>
          <cell r="AH2612" t="str">
            <v>KH107-DRN160M4B270-X#</v>
          </cell>
        </row>
        <row r="2613">
          <cell r="A2613" t="str">
            <v>MR002601</v>
          </cell>
          <cell r="B2613" t="str">
            <v>MR</v>
          </cell>
          <cell r="C2613">
            <v>15</v>
          </cell>
          <cell r="D2613">
            <v>30</v>
          </cell>
          <cell r="E2613" t="str">
            <v>R127</v>
          </cell>
          <cell r="F2613">
            <v>4840</v>
          </cell>
          <cell r="G2613">
            <v>49.81</v>
          </cell>
          <cell r="H2613">
            <v>1.25</v>
          </cell>
          <cell r="I2613" t="str">
            <v>M1</v>
          </cell>
          <cell r="J2613" t="str">
            <v>IE3</v>
          </cell>
          <cell r="K2613" t="str">
            <v>230/400</v>
          </cell>
          <cell r="L2613">
            <v>50</v>
          </cell>
          <cell r="M2613" t="str">
            <v>50/29</v>
          </cell>
          <cell r="N2613">
            <v>55</v>
          </cell>
          <cell r="O2613" t="str">
            <v>155(F)</v>
          </cell>
          <cell r="P2613" t="str">
            <v>270°</v>
          </cell>
          <cell r="Q2613" t="str">
            <v>TF</v>
          </cell>
          <cell r="R2613" t="str">
            <v>V(VE)</v>
          </cell>
          <cell r="S2613" t="str">
            <v>-</v>
          </cell>
          <cell r="T2613" t="str">
            <v>-</v>
          </cell>
          <cell r="U2613" t="str">
            <v>-</v>
          </cell>
          <cell r="V2613" t="str">
            <v>FC</v>
          </cell>
          <cell r="W2613" t="str">
            <v>-</v>
          </cell>
          <cell r="X2613" t="str">
            <v>CLP 220 (-15/+40°C)</v>
          </cell>
          <cell r="Y2613" t="str">
            <v>R127DRN160L4 /TF/V</v>
          </cell>
          <cell r="Z2613" t="str">
            <v>SEW</v>
          </cell>
          <cell r="AB2613" t="str">
            <v>-</v>
          </cell>
          <cell r="AF2613">
            <v>30</v>
          </cell>
          <cell r="AG2613" t="str">
            <v>DRN160L4</v>
          </cell>
          <cell r="AH2613" t="str">
            <v>R127-DRN160L4270-X#</v>
          </cell>
        </row>
        <row r="2614">
          <cell r="A2614" t="str">
            <v>MR002602</v>
          </cell>
          <cell r="B2614" t="str">
            <v>MR</v>
          </cell>
          <cell r="C2614">
            <v>11</v>
          </cell>
          <cell r="D2614">
            <v>18</v>
          </cell>
          <cell r="E2614" t="str">
            <v>KH107</v>
          </cell>
          <cell r="F2614">
            <v>5890</v>
          </cell>
          <cell r="G2614">
            <v>82.61</v>
          </cell>
          <cell r="H2614">
            <v>1.35</v>
          </cell>
          <cell r="I2614" t="str">
            <v>From M1A to M2A - 40°</v>
          </cell>
          <cell r="J2614" t="str">
            <v>IE3</v>
          </cell>
          <cell r="K2614" t="str">
            <v>400/690</v>
          </cell>
          <cell r="L2614">
            <v>50</v>
          </cell>
          <cell r="M2614" t="str">
            <v>21/12,2</v>
          </cell>
          <cell r="N2614">
            <v>55</v>
          </cell>
          <cell r="O2614" t="str">
            <v>155(F)</v>
          </cell>
          <cell r="P2614" t="str">
            <v>270°</v>
          </cell>
          <cell r="Q2614" t="str">
            <v>TF</v>
          </cell>
          <cell r="R2614" t="str">
            <v>-</v>
          </cell>
          <cell r="S2614" t="str">
            <v>-</v>
          </cell>
          <cell r="T2614" t="str">
            <v>-</v>
          </cell>
          <cell r="U2614" t="str">
            <v>-</v>
          </cell>
          <cell r="V2614" t="str">
            <v>FC</v>
          </cell>
          <cell r="W2614" t="str">
            <v>-</v>
          </cell>
          <cell r="X2614" t="str">
            <v>CLP 220 (-15/+40°C)</v>
          </cell>
          <cell r="Y2614" t="str">
            <v>KH107DRN160M4 /TF</v>
          </cell>
          <cell r="Z2614" t="str">
            <v>SEW</v>
          </cell>
          <cell r="AB2614" t="str">
            <v>-</v>
          </cell>
          <cell r="AF2614">
            <v>18</v>
          </cell>
          <cell r="AG2614" t="str">
            <v>DRN160M4</v>
          </cell>
          <cell r="AH2614" t="str">
            <v>KH107-DRN160M4A270-X</v>
          </cell>
        </row>
        <row r="2615">
          <cell r="A2615" t="str">
            <v>MR002603</v>
          </cell>
          <cell r="B2615" t="str">
            <v>MR</v>
          </cell>
          <cell r="C2615">
            <v>11</v>
          </cell>
          <cell r="D2615">
            <v>18</v>
          </cell>
          <cell r="E2615" t="str">
            <v>KH107</v>
          </cell>
          <cell r="F2615">
            <v>5890</v>
          </cell>
          <cell r="G2615">
            <v>82.61</v>
          </cell>
          <cell r="H2615">
            <v>1.35</v>
          </cell>
          <cell r="I2615" t="str">
            <v>From M1B to M2B - 40°</v>
          </cell>
          <cell r="J2615" t="str">
            <v>IE3</v>
          </cell>
          <cell r="K2615" t="str">
            <v>400/690</v>
          </cell>
          <cell r="L2615">
            <v>50</v>
          </cell>
          <cell r="M2615" t="str">
            <v>21/12,2</v>
          </cell>
          <cell r="N2615">
            <v>55</v>
          </cell>
          <cell r="O2615" t="str">
            <v>155(F)</v>
          </cell>
          <cell r="P2615" t="str">
            <v>270°</v>
          </cell>
          <cell r="Q2615" t="str">
            <v>TF</v>
          </cell>
          <cell r="R2615" t="str">
            <v>-</v>
          </cell>
          <cell r="S2615" t="str">
            <v>-</v>
          </cell>
          <cell r="T2615" t="str">
            <v>-</v>
          </cell>
          <cell r="U2615" t="str">
            <v>-</v>
          </cell>
          <cell r="V2615" t="str">
            <v>FC</v>
          </cell>
          <cell r="W2615" t="str">
            <v>-</v>
          </cell>
          <cell r="X2615" t="str">
            <v>CLP 220 (-15/+40°C)</v>
          </cell>
          <cell r="Y2615" t="str">
            <v>KH107DRN160M4 /TF</v>
          </cell>
          <cell r="Z2615" t="str">
            <v>SEW</v>
          </cell>
          <cell r="AB2615" t="str">
            <v>-</v>
          </cell>
          <cell r="AF2615">
            <v>18</v>
          </cell>
          <cell r="AG2615" t="str">
            <v>DRN160M4</v>
          </cell>
          <cell r="AH2615" t="str">
            <v>KH107-DRN160M4B270-X</v>
          </cell>
        </row>
        <row r="2616">
          <cell r="A2616" t="str">
            <v>MR002604</v>
          </cell>
          <cell r="B2616" t="str">
            <v>MR</v>
          </cell>
          <cell r="C2616">
            <v>15</v>
          </cell>
          <cell r="D2616">
            <v>18</v>
          </cell>
          <cell r="E2616" t="str">
            <v>KH107</v>
          </cell>
          <cell r="F2616">
            <v>8020</v>
          </cell>
          <cell r="G2616">
            <v>82.61</v>
          </cell>
          <cell r="H2616">
            <v>1</v>
          </cell>
          <cell r="I2616" t="str">
            <v>From M1A to M2A - 40°</v>
          </cell>
          <cell r="J2616" t="str">
            <v>IE3</v>
          </cell>
          <cell r="K2616" t="str">
            <v>400/690</v>
          </cell>
          <cell r="L2616">
            <v>50</v>
          </cell>
          <cell r="M2616" t="str">
            <v>29/16,7</v>
          </cell>
          <cell r="N2616">
            <v>55</v>
          </cell>
          <cell r="O2616" t="str">
            <v>155(F)</v>
          </cell>
          <cell r="P2616" t="str">
            <v>270°</v>
          </cell>
          <cell r="Q2616" t="str">
            <v>TF</v>
          </cell>
          <cell r="R2616" t="str">
            <v>-</v>
          </cell>
          <cell r="S2616" t="str">
            <v>-</v>
          </cell>
          <cell r="T2616" t="str">
            <v>-</v>
          </cell>
          <cell r="U2616" t="str">
            <v>-</v>
          </cell>
          <cell r="V2616" t="str">
            <v>FC</v>
          </cell>
          <cell r="W2616" t="str">
            <v>-</v>
          </cell>
          <cell r="X2616" t="str">
            <v>CLP 220 (-15/+40°C)</v>
          </cell>
          <cell r="Y2616" t="str">
            <v>KH107DRN160L4 /TF</v>
          </cell>
          <cell r="Z2616" t="str">
            <v>SEW</v>
          </cell>
          <cell r="AB2616" t="str">
            <v>-</v>
          </cell>
          <cell r="AF2616">
            <v>18</v>
          </cell>
          <cell r="AG2616" t="str">
            <v>DRN160L4</v>
          </cell>
          <cell r="AH2616" t="str">
            <v>KH107-DRN160L4A270-X</v>
          </cell>
        </row>
        <row r="2617">
          <cell r="A2617" t="str">
            <v>MR002605</v>
          </cell>
          <cell r="B2617" t="str">
            <v>MR</v>
          </cell>
          <cell r="C2617">
            <v>15</v>
          </cell>
          <cell r="D2617">
            <v>18</v>
          </cell>
          <cell r="E2617" t="str">
            <v>KH127</v>
          </cell>
          <cell r="F2617">
            <v>7960</v>
          </cell>
          <cell r="G2617">
            <v>81.98</v>
          </cell>
          <cell r="H2617">
            <v>1.65</v>
          </cell>
          <cell r="I2617" t="str">
            <v>From M1B to M4B - 45°</v>
          </cell>
          <cell r="J2617" t="str">
            <v>IE3</v>
          </cell>
          <cell r="K2617" t="str">
            <v>400/690</v>
          </cell>
          <cell r="L2617">
            <v>50</v>
          </cell>
          <cell r="M2617" t="str">
            <v>29/16,7</v>
          </cell>
          <cell r="N2617">
            <v>55</v>
          </cell>
          <cell r="O2617" t="str">
            <v>155(F)</v>
          </cell>
          <cell r="P2617" t="str">
            <v>270°</v>
          </cell>
          <cell r="Q2617" t="str">
            <v>TF</v>
          </cell>
          <cell r="R2617" t="str">
            <v>-</v>
          </cell>
          <cell r="S2617" t="str">
            <v>-</v>
          </cell>
          <cell r="T2617" t="str">
            <v>-</v>
          </cell>
          <cell r="U2617" t="str">
            <v>-</v>
          </cell>
          <cell r="V2617" t="str">
            <v>FC</v>
          </cell>
          <cell r="W2617" t="str">
            <v>-</v>
          </cell>
          <cell r="X2617" t="str">
            <v>CLP 220 (-15/+40°C)</v>
          </cell>
          <cell r="Y2617" t="str">
            <v>KH127DRN160L4 /TF</v>
          </cell>
          <cell r="Z2617" t="str">
            <v>SEW</v>
          </cell>
          <cell r="AB2617" t="str">
            <v>-</v>
          </cell>
          <cell r="AF2617">
            <v>18</v>
          </cell>
          <cell r="AG2617" t="str">
            <v>DRN160L4</v>
          </cell>
          <cell r="AH2617" t="str">
            <v>KH127-DRN160L4B270-X</v>
          </cell>
        </row>
        <row r="2618">
          <cell r="A2618" t="str">
            <v>MR002606</v>
          </cell>
          <cell r="B2618" t="str">
            <v>MR</v>
          </cell>
          <cell r="C2618">
            <v>5.5</v>
          </cell>
          <cell r="D2618">
            <v>63</v>
          </cell>
          <cell r="E2618" t="str">
            <v>K77</v>
          </cell>
          <cell r="F2618">
            <v>820</v>
          </cell>
          <cell r="G2618">
            <v>23.08</v>
          </cell>
          <cell r="H2618">
            <v>1.85</v>
          </cell>
          <cell r="I2618" t="str">
            <v>M4A</v>
          </cell>
          <cell r="J2618" t="str">
            <v>IE3</v>
          </cell>
          <cell r="K2618" t="str">
            <v>230/400</v>
          </cell>
          <cell r="L2618">
            <v>50</v>
          </cell>
          <cell r="M2618" t="str">
            <v>18,2/10,5</v>
          </cell>
          <cell r="N2618">
            <v>55</v>
          </cell>
          <cell r="O2618" t="str">
            <v>155(F)</v>
          </cell>
          <cell r="P2618" t="str">
            <v>270°</v>
          </cell>
          <cell r="Q2618" t="str">
            <v>TF</v>
          </cell>
          <cell r="R2618" t="str">
            <v>V(VE)</v>
          </cell>
          <cell r="S2618" t="str">
            <v>-</v>
          </cell>
          <cell r="T2618" t="str">
            <v>-</v>
          </cell>
          <cell r="U2618" t="str">
            <v>-</v>
          </cell>
          <cell r="V2618" t="str">
            <v>FC</v>
          </cell>
          <cell r="W2618" t="str">
            <v>-</v>
          </cell>
          <cell r="X2618" t="str">
            <v>CLP 220 (-15/+40°C)</v>
          </cell>
          <cell r="Y2618" t="str">
            <v>K77DRN132S4 /TF/V</v>
          </cell>
          <cell r="Z2618" t="str">
            <v>SEW</v>
          </cell>
          <cell r="AB2618" t="str">
            <v>-</v>
          </cell>
          <cell r="AF2618">
            <v>63</v>
          </cell>
          <cell r="AG2618" t="str">
            <v>DRN132S4</v>
          </cell>
          <cell r="AH2618" t="str">
            <v>K77-DRN132S4A270-X#</v>
          </cell>
        </row>
        <row r="2619">
          <cell r="A2619" t="str">
            <v>MR002607</v>
          </cell>
          <cell r="B2619" t="str">
            <v>MR</v>
          </cell>
          <cell r="C2619">
            <v>9.1999999999999993</v>
          </cell>
          <cell r="D2619">
            <v>83</v>
          </cell>
          <cell r="E2619" t="str">
            <v>R87</v>
          </cell>
          <cell r="F2619">
            <v>1060</v>
          </cell>
          <cell r="G2619">
            <v>21.51</v>
          </cell>
          <cell r="H2619">
            <v>1.4</v>
          </cell>
          <cell r="I2619" t="str">
            <v>From M1 to M2 - 15°</v>
          </cell>
          <cell r="J2619" t="str">
            <v>IE3</v>
          </cell>
          <cell r="K2619" t="str">
            <v>266/460</v>
          </cell>
          <cell r="L2619">
            <v>60</v>
          </cell>
          <cell r="M2619" t="str">
            <v>28,5/16,5</v>
          </cell>
          <cell r="N2619">
            <v>55</v>
          </cell>
          <cell r="O2619" t="str">
            <v>155(F)</v>
          </cell>
          <cell r="P2619" t="str">
            <v>270°</v>
          </cell>
          <cell r="Q2619" t="str">
            <v>-</v>
          </cell>
          <cell r="R2619" t="str">
            <v>-</v>
          </cell>
          <cell r="S2619" t="str">
            <v>-</v>
          </cell>
          <cell r="T2619" t="str">
            <v>-</v>
          </cell>
          <cell r="U2619" t="str">
            <v>-</v>
          </cell>
          <cell r="V2619" t="str">
            <v>-</v>
          </cell>
          <cell r="W2619" t="str">
            <v>-</v>
          </cell>
          <cell r="X2619" t="str">
            <v>CLP 220 (-15/+40°C)</v>
          </cell>
          <cell r="Y2619" t="str">
            <v>R87DRN132L4</v>
          </cell>
          <cell r="Z2619" t="str">
            <v>SEW</v>
          </cell>
          <cell r="AB2619" t="str">
            <v>-</v>
          </cell>
          <cell r="AF2619">
            <v>99.6</v>
          </cell>
          <cell r="AG2619" t="str">
            <v>DRN132L4</v>
          </cell>
          <cell r="AH2619" t="str">
            <v>R87-DRN132L4270-X</v>
          </cell>
        </row>
        <row r="2620">
          <cell r="A2620" t="str">
            <v>MR002608</v>
          </cell>
          <cell r="B2620" t="str">
            <v>MR</v>
          </cell>
          <cell r="C2620">
            <v>37</v>
          </cell>
          <cell r="D2620">
            <v>98</v>
          </cell>
          <cell r="E2620" t="str">
            <v>R107</v>
          </cell>
          <cell r="F2620">
            <v>3600</v>
          </cell>
          <cell r="G2620">
            <v>18.21</v>
          </cell>
          <cell r="H2620">
            <v>1.2</v>
          </cell>
          <cell r="I2620" t="str">
            <v>M4</v>
          </cell>
          <cell r="J2620" t="str">
            <v>IE3</v>
          </cell>
          <cell r="K2620">
            <v>460</v>
          </cell>
          <cell r="L2620">
            <v>60</v>
          </cell>
          <cell r="M2620">
            <v>56</v>
          </cell>
          <cell r="N2620">
            <v>55</v>
          </cell>
          <cell r="O2620" t="str">
            <v>155(F)</v>
          </cell>
          <cell r="P2620" t="str">
            <v>270°</v>
          </cell>
          <cell r="Q2620" t="str">
            <v>-</v>
          </cell>
          <cell r="R2620" t="str">
            <v>-</v>
          </cell>
          <cell r="S2620" t="str">
            <v>-</v>
          </cell>
          <cell r="T2620" t="str">
            <v>-</v>
          </cell>
          <cell r="U2620" t="str">
            <v>-</v>
          </cell>
          <cell r="V2620" t="str">
            <v>-</v>
          </cell>
          <cell r="W2620" t="str">
            <v>-</v>
          </cell>
          <cell r="X2620" t="str">
            <v>CLP 220 (-15/+40°C)</v>
          </cell>
          <cell r="Y2620" t="str">
            <v>R107DRN225S4</v>
          </cell>
          <cell r="Z2620" t="str">
            <v>SEW</v>
          </cell>
          <cell r="AB2620" t="str">
            <v>-</v>
          </cell>
          <cell r="AF2620">
            <v>117.6</v>
          </cell>
          <cell r="AG2620" t="str">
            <v>DRN225S4</v>
          </cell>
          <cell r="AH2620" t="str">
            <v>R107-DRN225S4270-X</v>
          </cell>
        </row>
        <row r="2621">
          <cell r="A2621" t="str">
            <v>MR002609</v>
          </cell>
          <cell r="B2621" t="str">
            <v>ME</v>
          </cell>
          <cell r="C2621">
            <v>45</v>
          </cell>
          <cell r="D2621">
            <v>1478</v>
          </cell>
          <cell r="E2621" t="str">
            <v>1CV3222B</v>
          </cell>
          <cell r="F2621">
            <v>290</v>
          </cell>
          <cell r="I2621" t="str">
            <v>V1/B5</v>
          </cell>
          <cell r="J2621" t="str">
            <v>IE3</v>
          </cell>
          <cell r="K2621" t="str">
            <v>400/690</v>
          </cell>
          <cell r="L2621">
            <v>50</v>
          </cell>
          <cell r="M2621" t="str">
            <v>80/46,5</v>
          </cell>
          <cell r="N2621">
            <v>65</v>
          </cell>
          <cell r="O2621" t="str">
            <v>155(F)</v>
          </cell>
          <cell r="Q2621" t="str">
            <v>TF</v>
          </cell>
          <cell r="R2621" t="str">
            <v>-</v>
          </cell>
          <cell r="S2621" t="str">
            <v>-</v>
          </cell>
          <cell r="T2621" t="str">
            <v>-</v>
          </cell>
          <cell r="U2621" t="str">
            <v>-</v>
          </cell>
          <cell r="V2621" t="str">
            <v>D</v>
          </cell>
          <cell r="W2621" t="str">
            <v>-</v>
          </cell>
          <cell r="X2621" t="str">
            <v>-</v>
          </cell>
          <cell r="Y2621" t="str">
            <v>1LE1503-2BB23-4GB4-Z +H20</v>
          </cell>
          <cell r="Z2621" t="str">
            <v>SIEMENS</v>
          </cell>
          <cell r="AB2621" t="str">
            <v>-</v>
          </cell>
          <cell r="AE2621" t="str">
            <v>IP65, ok per +45°C</v>
          </cell>
          <cell r="AF2621">
            <v>1478</v>
          </cell>
          <cell r="AG2621" t="str">
            <v>DRN225M4</v>
          </cell>
          <cell r="AH2621" t="str">
            <v>1CV3222B-DRN225M4B-X</v>
          </cell>
        </row>
        <row r="2622">
          <cell r="A2622" t="str">
            <v>MR002610</v>
          </cell>
          <cell r="B2622" t="str">
            <v>ME</v>
          </cell>
          <cell r="C2622">
            <v>4</v>
          </cell>
          <cell r="D2622">
            <v>2950</v>
          </cell>
          <cell r="E2622" t="str">
            <v>1LE1003</v>
          </cell>
          <cell r="F2622">
            <v>12.9</v>
          </cell>
          <cell r="I2622" t="str">
            <v>B5</v>
          </cell>
          <cell r="J2622" t="str">
            <v>IE3</v>
          </cell>
          <cell r="K2622">
            <v>400</v>
          </cell>
          <cell r="L2622">
            <v>50</v>
          </cell>
          <cell r="M2622">
            <v>7.4</v>
          </cell>
          <cell r="N2622">
            <v>65</v>
          </cell>
          <cell r="O2622" t="str">
            <v>155(F)</v>
          </cell>
          <cell r="Q2622" t="str">
            <v>TF</v>
          </cell>
          <cell r="R2622" t="str">
            <v>-</v>
          </cell>
          <cell r="S2622" t="str">
            <v>-</v>
          </cell>
          <cell r="T2622" t="str">
            <v>-</v>
          </cell>
          <cell r="U2622" t="str">
            <v>-</v>
          </cell>
          <cell r="V2622" t="str">
            <v>D</v>
          </cell>
          <cell r="W2622" t="str">
            <v>-</v>
          </cell>
          <cell r="X2622" t="str">
            <v>-</v>
          </cell>
          <cell r="Y2622" t="str">
            <v>1LE1003-1BA23-4FB4-Z +H20+N11</v>
          </cell>
          <cell r="Z2622" t="str">
            <v>SIEMENS</v>
          </cell>
          <cell r="AB2622" t="str">
            <v>-</v>
          </cell>
          <cell r="AE2622" t="str">
            <v>IP65, ok per +45°C</v>
          </cell>
          <cell r="AF2622">
            <v>2950</v>
          </cell>
          <cell r="AG2622" t="str">
            <v>DRN112M4</v>
          </cell>
          <cell r="AH2622" t="str">
            <v>1LE1003-DRN112M4B-X</v>
          </cell>
        </row>
        <row r="2623">
          <cell r="A2623" t="str">
            <v>MR002611</v>
          </cell>
          <cell r="B2623" t="str">
            <v>ME</v>
          </cell>
          <cell r="C2623">
            <v>37</v>
          </cell>
          <cell r="D2623">
            <v>1478</v>
          </cell>
          <cell r="E2623" t="str">
            <v>1CV3220B</v>
          </cell>
          <cell r="F2623">
            <v>240</v>
          </cell>
          <cell r="I2623" t="str">
            <v>V1/B5</v>
          </cell>
          <cell r="J2623" t="str">
            <v>IE3</v>
          </cell>
          <cell r="K2623" t="str">
            <v>400/690</v>
          </cell>
          <cell r="L2623">
            <v>50</v>
          </cell>
          <cell r="M2623" t="str">
            <v>66/38,5</v>
          </cell>
          <cell r="N2623">
            <v>65</v>
          </cell>
          <cell r="O2623" t="str">
            <v>155(F)</v>
          </cell>
          <cell r="Q2623" t="str">
            <v>TF</v>
          </cell>
          <cell r="R2623" t="str">
            <v>-</v>
          </cell>
          <cell r="S2623" t="str">
            <v>-</v>
          </cell>
          <cell r="T2623" t="str">
            <v>-</v>
          </cell>
          <cell r="U2623" t="str">
            <v>-</v>
          </cell>
          <cell r="V2623" t="str">
            <v>D</v>
          </cell>
          <cell r="W2623" t="str">
            <v>-</v>
          </cell>
          <cell r="X2623" t="str">
            <v>-</v>
          </cell>
          <cell r="Y2623" t="str">
            <v>1LE1503-2BB03-4GB4-Z +H20</v>
          </cell>
          <cell r="Z2623" t="str">
            <v>SIEMENS</v>
          </cell>
          <cell r="AB2623" t="str">
            <v>-</v>
          </cell>
          <cell r="AE2623" t="str">
            <v>IP65, ok per +45°C</v>
          </cell>
          <cell r="AF2623">
            <v>1478</v>
          </cell>
          <cell r="AH2623" t="str">
            <v>1CV3220B-B-X</v>
          </cell>
        </row>
        <row r="2624">
          <cell r="A2624" t="str">
            <v>MR002612</v>
          </cell>
          <cell r="B2624" t="str">
            <v>MR</v>
          </cell>
          <cell r="C2624">
            <v>1.5</v>
          </cell>
          <cell r="D2624">
            <v>2.1</v>
          </cell>
          <cell r="E2624" t="str">
            <v>KH107R77</v>
          </cell>
          <cell r="F2624">
            <v>6230</v>
          </cell>
          <cell r="G2624">
            <v>696</v>
          </cell>
          <cell r="H2624">
            <v>1.3</v>
          </cell>
          <cell r="I2624" t="str">
            <v>From M4A to M1A - 30°</v>
          </cell>
          <cell r="J2624" t="str">
            <v>IE3</v>
          </cell>
          <cell r="K2624" t="str">
            <v>230/400</v>
          </cell>
          <cell r="L2624">
            <v>50</v>
          </cell>
          <cell r="M2624" t="str">
            <v>5,9/3,4</v>
          </cell>
          <cell r="N2624">
            <v>55</v>
          </cell>
          <cell r="O2624" t="str">
            <v>155(F)</v>
          </cell>
          <cell r="P2624" t="str">
            <v>270°</v>
          </cell>
          <cell r="Q2624" t="str">
            <v>TF</v>
          </cell>
          <cell r="R2624" t="str">
            <v>-</v>
          </cell>
          <cell r="S2624" t="str">
            <v>-</v>
          </cell>
          <cell r="T2624" t="str">
            <v>-</v>
          </cell>
          <cell r="U2624" t="str">
            <v>T</v>
          </cell>
          <cell r="V2624" t="str">
            <v>FC</v>
          </cell>
          <cell r="W2624" t="str">
            <v>-</v>
          </cell>
          <cell r="X2624" t="str">
            <v>CLP 220 (-15/+40°C)</v>
          </cell>
          <cell r="Y2624" t="str">
            <v>KH107R77/T DRN90L4 /TF</v>
          </cell>
          <cell r="Z2624" t="str">
            <v>SEW</v>
          </cell>
          <cell r="AB2624" t="str">
            <v>-</v>
          </cell>
          <cell r="AF2624">
            <v>2.1</v>
          </cell>
          <cell r="AG2624" t="str">
            <v>DRN90L4</v>
          </cell>
          <cell r="AH2624" t="str">
            <v>KH107R77T-DRN90L4A270-X</v>
          </cell>
        </row>
        <row r="2625">
          <cell r="A2625" t="str">
            <v>MR002613</v>
          </cell>
          <cell r="B2625" t="str">
            <v>MR</v>
          </cell>
          <cell r="C2625">
            <v>4</v>
          </cell>
          <cell r="D2625">
            <v>66</v>
          </cell>
          <cell r="E2625" t="str">
            <v>FH67</v>
          </cell>
          <cell r="F2625">
            <v>575</v>
          </cell>
          <cell r="G2625">
            <v>22.05</v>
          </cell>
          <cell r="H2625">
            <v>1.45</v>
          </cell>
          <cell r="I2625" t="str">
            <v>From M1 to M2 - 20°</v>
          </cell>
          <cell r="J2625" t="str">
            <v>IE3</v>
          </cell>
          <cell r="K2625" t="str">
            <v>230/400</v>
          </cell>
          <cell r="L2625">
            <v>50</v>
          </cell>
          <cell r="M2625" t="str">
            <v>14,2/8,2</v>
          </cell>
          <cell r="N2625">
            <v>55</v>
          </cell>
          <cell r="O2625" t="str">
            <v>155(F)</v>
          </cell>
          <cell r="P2625" t="str">
            <v>270°</v>
          </cell>
          <cell r="Q2625" t="str">
            <v>-</v>
          </cell>
          <cell r="R2625" t="str">
            <v>-</v>
          </cell>
          <cell r="S2625" t="str">
            <v>-</v>
          </cell>
          <cell r="T2625" t="str">
            <v>-</v>
          </cell>
          <cell r="U2625" t="str">
            <v>G</v>
          </cell>
          <cell r="V2625" t="str">
            <v>D</v>
          </cell>
          <cell r="W2625" t="str">
            <v>-</v>
          </cell>
          <cell r="X2625" t="str">
            <v>CLP HC 220 (-25/+60°C)</v>
          </cell>
          <cell r="Y2625" t="str">
            <v>FH67/G EDRN112M4</v>
          </cell>
          <cell r="Z2625" t="str">
            <v>SEW</v>
          </cell>
          <cell r="AB2625" t="str">
            <v>ATEX22</v>
          </cell>
          <cell r="AF2625">
            <v>66</v>
          </cell>
          <cell r="AG2625" t="str">
            <v>EDRN112M4</v>
          </cell>
          <cell r="AH2625" t="str">
            <v>FH67G-EDRN112M4270-X</v>
          </cell>
        </row>
        <row r="2626">
          <cell r="A2626" t="str">
            <v>MR002614</v>
          </cell>
          <cell r="B2626" t="str">
            <v>MR</v>
          </cell>
          <cell r="C2626">
            <v>15</v>
          </cell>
          <cell r="D2626">
            <v>94</v>
          </cell>
          <cell r="E2626" t="str">
            <v>R107</v>
          </cell>
          <cell r="F2626">
            <v>1520</v>
          </cell>
          <cell r="G2626">
            <v>15.65</v>
          </cell>
          <cell r="H2626">
            <v>2.8</v>
          </cell>
          <cell r="I2626" t="str">
            <v>M4</v>
          </cell>
          <cell r="J2626" t="str">
            <v>IE3</v>
          </cell>
          <cell r="K2626" t="str">
            <v>400/690</v>
          </cell>
          <cell r="L2626">
            <v>50</v>
          </cell>
          <cell r="M2626" t="str">
            <v>29,5/16,9</v>
          </cell>
          <cell r="N2626">
            <v>55</v>
          </cell>
          <cell r="O2626" t="str">
            <v>155(F)</v>
          </cell>
          <cell r="P2626" t="str">
            <v>270°</v>
          </cell>
          <cell r="Q2626" t="str">
            <v>-</v>
          </cell>
          <cell r="R2626" t="str">
            <v>-</v>
          </cell>
          <cell r="S2626" t="str">
            <v>-</v>
          </cell>
          <cell r="T2626" t="str">
            <v>-</v>
          </cell>
          <cell r="U2626" t="str">
            <v>-</v>
          </cell>
          <cell r="V2626" t="str">
            <v>D</v>
          </cell>
          <cell r="W2626" t="str">
            <v>-</v>
          </cell>
          <cell r="X2626" t="str">
            <v>CLP HC 220 (-25/+60°C)</v>
          </cell>
          <cell r="Y2626" t="str">
            <v>R107EDRN160L4</v>
          </cell>
          <cell r="Z2626" t="str">
            <v>SEW</v>
          </cell>
          <cell r="AB2626" t="str">
            <v>ATEX22</v>
          </cell>
          <cell r="AF2626">
            <v>94</v>
          </cell>
          <cell r="AG2626" t="str">
            <v>EDRN160L4</v>
          </cell>
          <cell r="AH2626" t="str">
            <v>R107-EDRN160L4270-X</v>
          </cell>
        </row>
        <row r="2627">
          <cell r="A2627" t="str">
            <v>MR002615</v>
          </cell>
          <cell r="B2627" t="str">
            <v>MR</v>
          </cell>
          <cell r="C2627">
            <v>5.5</v>
          </cell>
          <cell r="D2627">
            <v>5.7</v>
          </cell>
          <cell r="E2627" t="str">
            <v>FH127R87</v>
          </cell>
          <cell r="F2627">
            <v>8590</v>
          </cell>
          <cell r="G2627">
            <v>259</v>
          </cell>
          <cell r="H2627">
            <v>1.4</v>
          </cell>
          <cell r="I2627" t="str">
            <v>From M3 to M4 - 20°</v>
          </cell>
          <cell r="J2627" t="str">
            <v>IE3</v>
          </cell>
          <cell r="K2627" t="str">
            <v>230/400</v>
          </cell>
          <cell r="L2627">
            <v>50</v>
          </cell>
          <cell r="M2627" t="str">
            <v>18,8/10,9</v>
          </cell>
          <cell r="N2627">
            <v>55</v>
          </cell>
          <cell r="O2627" t="str">
            <v>155(F)</v>
          </cell>
          <cell r="P2627" t="str">
            <v>0°</v>
          </cell>
          <cell r="Q2627" t="str">
            <v>TF</v>
          </cell>
          <cell r="R2627" t="str">
            <v>V(VE)</v>
          </cell>
          <cell r="S2627" t="str">
            <v>-</v>
          </cell>
          <cell r="T2627" t="str">
            <v>-</v>
          </cell>
          <cell r="U2627" t="str">
            <v>G</v>
          </cell>
          <cell r="V2627" t="str">
            <v>FC</v>
          </cell>
          <cell r="W2627" t="str">
            <v>-</v>
          </cell>
          <cell r="X2627" t="str">
            <v>CLP HC 220 (-25/+60°C)</v>
          </cell>
          <cell r="Y2627" t="str">
            <v>FH127R87/G EDRN132S4 /TF/VE</v>
          </cell>
          <cell r="Z2627" t="str">
            <v>SEW</v>
          </cell>
          <cell r="AB2627" t="str">
            <v>ATEX22</v>
          </cell>
          <cell r="AF2627">
            <v>5.7</v>
          </cell>
          <cell r="AG2627" t="str">
            <v>EDRN132S4</v>
          </cell>
          <cell r="AH2627" t="str">
            <v>FH127R87G-EDRN132S40-X#</v>
          </cell>
        </row>
        <row r="2628">
          <cell r="A2628" t="str">
            <v>MR002616</v>
          </cell>
          <cell r="B2628" t="str">
            <v>MR</v>
          </cell>
          <cell r="C2628">
            <v>0.37</v>
          </cell>
          <cell r="D2628">
            <v>3.9</v>
          </cell>
          <cell r="E2628" t="str">
            <v>KA67R37</v>
          </cell>
          <cell r="F2628">
            <v>820</v>
          </cell>
          <cell r="G2628">
            <v>361</v>
          </cell>
          <cell r="H2628">
            <v>1</v>
          </cell>
          <cell r="I2628" t="str">
            <v>M3B</v>
          </cell>
          <cell r="J2628" t="str">
            <v>IE3</v>
          </cell>
          <cell r="K2628" t="str">
            <v>230/400</v>
          </cell>
          <cell r="L2628">
            <v>50</v>
          </cell>
          <cell r="M2628" t="str">
            <v>1,98/1,14</v>
          </cell>
          <cell r="N2628">
            <v>55</v>
          </cell>
          <cell r="O2628" t="str">
            <v>155(F)</v>
          </cell>
          <cell r="P2628" t="str">
            <v>90°</v>
          </cell>
          <cell r="Q2628" t="str">
            <v>TF</v>
          </cell>
          <cell r="R2628" t="str">
            <v>-</v>
          </cell>
          <cell r="S2628" t="str">
            <v>-</v>
          </cell>
          <cell r="T2628" t="str">
            <v>BEHF</v>
          </cell>
          <cell r="U2628" t="str">
            <v>T</v>
          </cell>
          <cell r="V2628" t="str">
            <v>D</v>
          </cell>
          <cell r="W2628" t="str">
            <v>-</v>
          </cell>
          <cell r="X2628" t="str">
            <v>CLP HC 220 (-25/+60°C)</v>
          </cell>
          <cell r="Y2628" t="str">
            <v>KA67R37/T EDRN71M4 /BEHF /TF</v>
          </cell>
          <cell r="Z2628" t="str">
            <v>SEW</v>
          </cell>
          <cell r="AB2628" t="str">
            <v>ATEX22</v>
          </cell>
          <cell r="AE2628" t="str">
            <v>Rectifier for brake in the terminal box</v>
          </cell>
          <cell r="AF2628">
            <v>3.9</v>
          </cell>
          <cell r="AG2628" t="str">
            <v>EDRN71M4</v>
          </cell>
          <cell r="AH2628" t="str">
            <v>KA67R37T-EDRN71M4B90-X</v>
          </cell>
        </row>
        <row r="2629">
          <cell r="A2629" t="str">
            <v>MR002617</v>
          </cell>
          <cell r="B2629" t="str">
            <v>MR</v>
          </cell>
          <cell r="C2629">
            <v>11</v>
          </cell>
          <cell r="D2629">
            <v>42</v>
          </cell>
          <cell r="E2629" t="str">
            <v>R107</v>
          </cell>
          <cell r="F2629">
            <v>2510</v>
          </cell>
          <cell r="G2629">
            <v>35.26</v>
          </cell>
          <cell r="H2629">
            <v>1.7</v>
          </cell>
          <cell r="I2629" t="str">
            <v>From M1 to M5 - 15°</v>
          </cell>
          <cell r="J2629" t="str">
            <v>IE3</v>
          </cell>
          <cell r="K2629" t="str">
            <v>400/690</v>
          </cell>
          <cell r="L2629">
            <v>50</v>
          </cell>
          <cell r="M2629" t="str">
            <v>21/12,2</v>
          </cell>
          <cell r="N2629">
            <v>55</v>
          </cell>
          <cell r="O2629" t="str">
            <v>155(F)</v>
          </cell>
          <cell r="P2629" t="str">
            <v>270°</v>
          </cell>
          <cell r="Q2629" t="str">
            <v>-</v>
          </cell>
          <cell r="R2629" t="str">
            <v>-</v>
          </cell>
          <cell r="S2629" t="str">
            <v>-</v>
          </cell>
          <cell r="T2629" t="str">
            <v>-</v>
          </cell>
          <cell r="U2629" t="str">
            <v>-</v>
          </cell>
          <cell r="V2629" t="str">
            <v>SS</v>
          </cell>
          <cell r="W2629" t="str">
            <v>-</v>
          </cell>
          <cell r="X2629" t="str">
            <v>CLP 220 (-15/+40°C)</v>
          </cell>
          <cell r="Y2629" t="str">
            <v>R107DRN160M4</v>
          </cell>
          <cell r="Z2629" t="str">
            <v>SEW</v>
          </cell>
          <cell r="AB2629" t="str">
            <v>-</v>
          </cell>
          <cell r="AF2629">
            <v>42</v>
          </cell>
          <cell r="AG2629" t="str">
            <v>DRN160M4</v>
          </cell>
          <cell r="AH2629" t="str">
            <v>R107-DRN160M4270-X</v>
          </cell>
        </row>
        <row r="2630">
          <cell r="A2630" t="str">
            <v>MR002618</v>
          </cell>
          <cell r="B2630" t="str">
            <v>MR</v>
          </cell>
          <cell r="C2630">
            <v>15</v>
          </cell>
          <cell r="D2630">
            <v>12</v>
          </cell>
          <cell r="E2630" t="str">
            <v>KH127</v>
          </cell>
          <cell r="F2630">
            <v>11900</v>
          </cell>
          <cell r="G2630">
            <v>122.48</v>
          </cell>
          <cell r="H2630">
            <v>1.1000000000000001</v>
          </cell>
          <cell r="I2630" t="str">
            <v>From M4A to M1A - 40°</v>
          </cell>
          <cell r="J2630" t="str">
            <v>IE3</v>
          </cell>
          <cell r="K2630" t="str">
            <v>400/690</v>
          </cell>
          <cell r="L2630">
            <v>50</v>
          </cell>
          <cell r="M2630" t="str">
            <v>29,0/16,7</v>
          </cell>
          <cell r="N2630">
            <v>55</v>
          </cell>
          <cell r="O2630" t="str">
            <v>F(105°C)</v>
          </cell>
          <cell r="P2630" t="str">
            <v>270°</v>
          </cell>
          <cell r="Q2630" t="str">
            <v>-</v>
          </cell>
          <cell r="R2630" t="str">
            <v>-</v>
          </cell>
          <cell r="S2630" t="str">
            <v>-</v>
          </cell>
          <cell r="T2630" t="str">
            <v>-</v>
          </cell>
          <cell r="U2630" t="str">
            <v>-</v>
          </cell>
          <cell r="V2630" t="str">
            <v>SS</v>
          </cell>
          <cell r="W2630" t="str">
            <v>-</v>
          </cell>
          <cell r="X2630" t="str">
            <v>CLP HC VG 220 = -20° + 60°</v>
          </cell>
          <cell r="Y2630" t="str">
            <v>KH127EDRN160L4</v>
          </cell>
          <cell r="Z2630" t="str">
            <v>SEW</v>
          </cell>
          <cell r="AB2630" t="str">
            <v>ATEX22</v>
          </cell>
          <cell r="AF2630">
            <v>12</v>
          </cell>
          <cell r="AG2630" t="str">
            <v>EDRN160L4</v>
          </cell>
          <cell r="AH2630" t="str">
            <v>KH127-EDRN160L4A270-X</v>
          </cell>
        </row>
        <row r="2631">
          <cell r="A2631" t="str">
            <v>MR002619</v>
          </cell>
          <cell r="B2631" t="str">
            <v>MR</v>
          </cell>
          <cell r="C2631">
            <v>15</v>
          </cell>
          <cell r="D2631">
            <v>12</v>
          </cell>
          <cell r="E2631" t="str">
            <v>KH127</v>
          </cell>
          <cell r="F2631">
            <v>11900</v>
          </cell>
          <cell r="G2631">
            <v>122.48</v>
          </cell>
          <cell r="H2631">
            <v>1.1000000000000001</v>
          </cell>
          <cell r="I2631" t="str">
            <v>M4B</v>
          </cell>
          <cell r="J2631" t="str">
            <v>IE3</v>
          </cell>
          <cell r="K2631" t="str">
            <v>400/690</v>
          </cell>
          <cell r="L2631">
            <v>50</v>
          </cell>
          <cell r="M2631" t="str">
            <v>29,0/16,7</v>
          </cell>
          <cell r="N2631">
            <v>55</v>
          </cell>
          <cell r="O2631" t="str">
            <v>F(105°C)</v>
          </cell>
          <cell r="P2631" t="str">
            <v>270°</v>
          </cell>
          <cell r="Q2631" t="str">
            <v>-</v>
          </cell>
          <cell r="R2631" t="str">
            <v>-</v>
          </cell>
          <cell r="S2631" t="str">
            <v>-</v>
          </cell>
          <cell r="T2631" t="str">
            <v>-</v>
          </cell>
          <cell r="U2631" t="str">
            <v>-</v>
          </cell>
          <cell r="V2631" t="str">
            <v>SS</v>
          </cell>
          <cell r="W2631" t="str">
            <v>-</v>
          </cell>
          <cell r="X2631" t="str">
            <v>CLP HC VG 220 = -20° + 60°</v>
          </cell>
          <cell r="Y2631" t="str">
            <v>KH127EDRN160L4</v>
          </cell>
          <cell r="Z2631" t="str">
            <v>SEW</v>
          </cell>
          <cell r="AB2631" t="str">
            <v>ATEX22</v>
          </cell>
          <cell r="AF2631">
            <v>12</v>
          </cell>
          <cell r="AG2631" t="str">
            <v>EDRN160L4</v>
          </cell>
          <cell r="AH2631" t="str">
            <v>KH127-EDRN160L4B270-X</v>
          </cell>
        </row>
        <row r="2632">
          <cell r="A2632" t="str">
            <v>MR002620</v>
          </cell>
          <cell r="B2632" t="str">
            <v>MR</v>
          </cell>
          <cell r="C2632">
            <v>15</v>
          </cell>
          <cell r="D2632">
            <v>12</v>
          </cell>
          <cell r="E2632" t="str">
            <v>KH127</v>
          </cell>
          <cell r="F2632">
            <v>11900</v>
          </cell>
          <cell r="G2632">
            <v>122.48</v>
          </cell>
          <cell r="H2632">
            <v>1.1000000000000001</v>
          </cell>
          <cell r="I2632" t="str">
            <v>From M4A to M1A - 35°</v>
          </cell>
          <cell r="J2632" t="str">
            <v>IE3</v>
          </cell>
          <cell r="K2632" t="str">
            <v>400/690</v>
          </cell>
          <cell r="L2632">
            <v>50</v>
          </cell>
          <cell r="M2632" t="str">
            <v>29,0/16,7</v>
          </cell>
          <cell r="N2632">
            <v>55</v>
          </cell>
          <cell r="O2632" t="str">
            <v>F(105°C)</v>
          </cell>
          <cell r="P2632" t="str">
            <v>270°</v>
          </cell>
          <cell r="Q2632" t="str">
            <v>-</v>
          </cell>
          <cell r="R2632" t="str">
            <v>-</v>
          </cell>
          <cell r="S2632" t="str">
            <v>-</v>
          </cell>
          <cell r="T2632" t="str">
            <v>-</v>
          </cell>
          <cell r="U2632" t="str">
            <v>-</v>
          </cell>
          <cell r="V2632" t="str">
            <v>SS</v>
          </cell>
          <cell r="W2632" t="str">
            <v>-</v>
          </cell>
          <cell r="X2632" t="str">
            <v>CLP HC VG 220 = -20° + 60°</v>
          </cell>
          <cell r="Y2632" t="str">
            <v>KH127EDRN160L4</v>
          </cell>
          <cell r="Z2632" t="str">
            <v>SEW</v>
          </cell>
          <cell r="AB2632" t="str">
            <v>ATEX22</v>
          </cell>
          <cell r="AF2632">
            <v>12</v>
          </cell>
          <cell r="AG2632" t="str">
            <v>EDRN160L4</v>
          </cell>
          <cell r="AH2632" t="str">
            <v>KH127-EDRN160L4A270-X</v>
          </cell>
        </row>
        <row r="2633">
          <cell r="A2633" t="str">
            <v>MR002621</v>
          </cell>
          <cell r="B2633" t="str">
            <v>MR</v>
          </cell>
          <cell r="C2633">
            <v>15</v>
          </cell>
          <cell r="D2633">
            <v>12</v>
          </cell>
          <cell r="E2633" t="str">
            <v>KH127</v>
          </cell>
          <cell r="F2633">
            <v>11900</v>
          </cell>
          <cell r="G2633">
            <v>122.48</v>
          </cell>
          <cell r="H2633">
            <v>1.1000000000000001</v>
          </cell>
          <cell r="I2633" t="str">
            <v>From M4A to M1A - 20°</v>
          </cell>
          <cell r="J2633" t="str">
            <v>IE3</v>
          </cell>
          <cell r="K2633" t="str">
            <v>400/690</v>
          </cell>
          <cell r="L2633">
            <v>50</v>
          </cell>
          <cell r="M2633" t="str">
            <v>29,0/16,7</v>
          </cell>
          <cell r="N2633">
            <v>55</v>
          </cell>
          <cell r="O2633" t="str">
            <v>F(105°C)</v>
          </cell>
          <cell r="P2633" t="str">
            <v>270°</v>
          </cell>
          <cell r="Q2633" t="str">
            <v>-</v>
          </cell>
          <cell r="R2633" t="str">
            <v>-</v>
          </cell>
          <cell r="S2633" t="str">
            <v>-</v>
          </cell>
          <cell r="T2633" t="str">
            <v>-</v>
          </cell>
          <cell r="U2633" t="str">
            <v>-</v>
          </cell>
          <cell r="V2633" t="str">
            <v>SS</v>
          </cell>
          <cell r="W2633" t="str">
            <v>-</v>
          </cell>
          <cell r="X2633" t="str">
            <v>CLP HC VG 220 = -20° + 60°</v>
          </cell>
          <cell r="Y2633" t="str">
            <v>KH127EDRN160L4</v>
          </cell>
          <cell r="Z2633" t="str">
            <v>SEW</v>
          </cell>
          <cell r="AB2633" t="str">
            <v>ATEX22</v>
          </cell>
          <cell r="AF2633">
            <v>12</v>
          </cell>
          <cell r="AG2633" t="str">
            <v>EDRN160L4</v>
          </cell>
          <cell r="AH2633" t="str">
            <v>KH127-EDRN160L4A270-X</v>
          </cell>
        </row>
        <row r="2634">
          <cell r="A2634" t="str">
            <v>MR002622</v>
          </cell>
          <cell r="B2634" t="str">
            <v>MR</v>
          </cell>
          <cell r="C2634">
            <v>15</v>
          </cell>
          <cell r="D2634">
            <v>12</v>
          </cell>
          <cell r="E2634" t="str">
            <v>KH127</v>
          </cell>
          <cell r="F2634">
            <v>11900</v>
          </cell>
          <cell r="G2634">
            <v>122.48</v>
          </cell>
          <cell r="H2634">
            <v>1.1000000000000001</v>
          </cell>
          <cell r="I2634" t="str">
            <v>From M4B to M1B - 20°</v>
          </cell>
          <cell r="J2634" t="str">
            <v>IE3</v>
          </cell>
          <cell r="K2634" t="str">
            <v>400/690</v>
          </cell>
          <cell r="L2634">
            <v>50</v>
          </cell>
          <cell r="M2634" t="str">
            <v>29,0/16,7</v>
          </cell>
          <cell r="N2634">
            <v>55</v>
          </cell>
          <cell r="O2634" t="str">
            <v>F(105°C)</v>
          </cell>
          <cell r="P2634" t="str">
            <v>270°</v>
          </cell>
          <cell r="Q2634" t="str">
            <v>-</v>
          </cell>
          <cell r="R2634" t="str">
            <v>-</v>
          </cell>
          <cell r="S2634" t="str">
            <v>-</v>
          </cell>
          <cell r="T2634" t="str">
            <v>-</v>
          </cell>
          <cell r="U2634" t="str">
            <v>-</v>
          </cell>
          <cell r="V2634" t="str">
            <v>SS</v>
          </cell>
          <cell r="W2634" t="str">
            <v>-</v>
          </cell>
          <cell r="X2634" t="str">
            <v>CLP HC VG 220 = -20° + 60°</v>
          </cell>
          <cell r="Y2634" t="str">
            <v>KH127EDRN160L4</v>
          </cell>
          <cell r="Z2634" t="str">
            <v>SEW</v>
          </cell>
          <cell r="AB2634" t="str">
            <v>ATEX22</v>
          </cell>
          <cell r="AF2634">
            <v>12</v>
          </cell>
          <cell r="AG2634" t="str">
            <v>EDRN160L4</v>
          </cell>
          <cell r="AH2634" t="str">
            <v>KH127-EDRN160L4B270-X</v>
          </cell>
        </row>
        <row r="2635">
          <cell r="A2635" t="str">
            <v>MR002623</v>
          </cell>
          <cell r="B2635" t="str">
            <v>MR</v>
          </cell>
          <cell r="C2635">
            <v>5.5</v>
          </cell>
          <cell r="D2635">
            <v>15</v>
          </cell>
          <cell r="E2635" t="str">
            <v>KH97</v>
          </cell>
          <cell r="F2635">
            <v>3470</v>
          </cell>
          <cell r="G2635">
            <v>96.8</v>
          </cell>
          <cell r="H2635">
            <v>1.25</v>
          </cell>
          <cell r="I2635" t="str">
            <v>From M1A to M2A - 25°</v>
          </cell>
          <cell r="J2635" t="str">
            <v>IE3</v>
          </cell>
          <cell r="K2635" t="str">
            <v>230/400</v>
          </cell>
          <cell r="L2635">
            <v>50</v>
          </cell>
          <cell r="M2635" t="str">
            <v>18,2/10,5</v>
          </cell>
          <cell r="N2635">
            <v>65</v>
          </cell>
          <cell r="O2635" t="str">
            <v>155(F)</v>
          </cell>
          <cell r="P2635" t="str">
            <v>180°</v>
          </cell>
          <cell r="Q2635" t="str">
            <v>-</v>
          </cell>
          <cell r="R2635" t="str">
            <v>-</v>
          </cell>
          <cell r="S2635" t="str">
            <v>-</v>
          </cell>
          <cell r="T2635" t="str">
            <v>-</v>
          </cell>
          <cell r="U2635" t="str">
            <v>-</v>
          </cell>
          <cell r="V2635" t="str">
            <v>SS</v>
          </cell>
          <cell r="W2635" t="str">
            <v>-</v>
          </cell>
          <cell r="X2635" t="str">
            <v>CLP 220 (-15/+40°C)</v>
          </cell>
          <cell r="Y2635" t="str">
            <v>KH97DRN132S4</v>
          </cell>
          <cell r="Z2635" t="str">
            <v>SEW</v>
          </cell>
          <cell r="AB2635" t="str">
            <v>-</v>
          </cell>
          <cell r="AF2635">
            <v>15</v>
          </cell>
          <cell r="AG2635" t="str">
            <v>DRN132S4</v>
          </cell>
          <cell r="AH2635" t="str">
            <v>KH97-DRN132S4A180-X</v>
          </cell>
        </row>
        <row r="2636">
          <cell r="A2636" t="str">
            <v>MR002624</v>
          </cell>
          <cell r="B2636" t="str">
            <v>MR</v>
          </cell>
          <cell r="C2636">
            <v>9.1999999999999993</v>
          </cell>
          <cell r="D2636">
            <v>15</v>
          </cell>
          <cell r="E2636" t="str">
            <v>KH107</v>
          </cell>
          <cell r="F2636">
            <v>6020</v>
          </cell>
          <cell r="G2636">
            <v>100.75</v>
          </cell>
          <cell r="H2636">
            <v>1.35</v>
          </cell>
          <cell r="I2636" t="str">
            <v>From M1A to M2A - 20°</v>
          </cell>
          <cell r="J2636" t="str">
            <v>IE3</v>
          </cell>
          <cell r="K2636" t="str">
            <v>400/690</v>
          </cell>
          <cell r="L2636">
            <v>50</v>
          </cell>
          <cell r="M2636" t="str">
            <v>18,7/10,8</v>
          </cell>
          <cell r="N2636">
            <v>55</v>
          </cell>
          <cell r="O2636" t="str">
            <v>F(105°C)</v>
          </cell>
          <cell r="P2636" t="str">
            <v>270°</v>
          </cell>
          <cell r="Q2636" t="str">
            <v>TF</v>
          </cell>
          <cell r="R2636" t="str">
            <v>-</v>
          </cell>
          <cell r="S2636" t="str">
            <v>-</v>
          </cell>
          <cell r="T2636" t="str">
            <v>-</v>
          </cell>
          <cell r="U2636" t="str">
            <v>-</v>
          </cell>
          <cell r="V2636" t="str">
            <v>SS</v>
          </cell>
          <cell r="W2636" t="str">
            <v>-</v>
          </cell>
          <cell r="X2636" t="str">
            <v>CLP 220 (-15/+40°C)</v>
          </cell>
          <cell r="Y2636" t="str">
            <v>KH107DRN132L4 /TF</v>
          </cell>
          <cell r="Z2636" t="str">
            <v>SEW</v>
          </cell>
          <cell r="AB2636" t="str">
            <v>-</v>
          </cell>
          <cell r="AF2636">
            <v>15</v>
          </cell>
          <cell r="AG2636" t="str">
            <v>DRN132L4</v>
          </cell>
          <cell r="AH2636" t="str">
            <v>KH107-DRN132L4A270-X</v>
          </cell>
        </row>
        <row r="2637">
          <cell r="A2637" t="str">
            <v>MR002625</v>
          </cell>
          <cell r="B2637" t="str">
            <v>MR</v>
          </cell>
          <cell r="C2637">
            <v>11</v>
          </cell>
          <cell r="D2637">
            <v>16</v>
          </cell>
          <cell r="E2637" t="str">
            <v>KH107</v>
          </cell>
          <cell r="F2637">
            <v>6480</v>
          </cell>
          <cell r="G2637">
            <v>90.96</v>
          </cell>
          <cell r="H2637">
            <v>1.25</v>
          </cell>
          <cell r="I2637" t="str">
            <v>From M1A to M2A - 20°</v>
          </cell>
          <cell r="J2637" t="str">
            <v>IE3</v>
          </cell>
          <cell r="K2637" t="str">
            <v>400/690</v>
          </cell>
          <cell r="L2637">
            <v>50</v>
          </cell>
          <cell r="M2637" t="str">
            <v>21/12,2</v>
          </cell>
          <cell r="N2637">
            <v>55</v>
          </cell>
          <cell r="O2637" t="str">
            <v>F(105°C)</v>
          </cell>
          <cell r="P2637" t="str">
            <v>270°</v>
          </cell>
          <cell r="Q2637" t="str">
            <v>TF</v>
          </cell>
          <cell r="R2637" t="str">
            <v>-</v>
          </cell>
          <cell r="S2637" t="str">
            <v>-</v>
          </cell>
          <cell r="T2637" t="str">
            <v>-</v>
          </cell>
          <cell r="U2637" t="str">
            <v>-</v>
          </cell>
          <cell r="V2637" t="str">
            <v>SS</v>
          </cell>
          <cell r="W2637" t="str">
            <v>-</v>
          </cell>
          <cell r="X2637" t="str">
            <v>CLP 220 (-15/+40°C)</v>
          </cell>
          <cell r="Y2637" t="str">
            <v>KH107DRN160M4 /TF</v>
          </cell>
          <cell r="Z2637" t="str">
            <v>SEW</v>
          </cell>
          <cell r="AB2637" t="str">
            <v>-</v>
          </cell>
          <cell r="AF2637">
            <v>16</v>
          </cell>
          <cell r="AG2637" t="str">
            <v>DRN160M4</v>
          </cell>
          <cell r="AH2637" t="str">
            <v>KH107-DRN160M4A270-X</v>
          </cell>
        </row>
        <row r="2638">
          <cell r="A2638" t="str">
            <v>MR002626</v>
          </cell>
          <cell r="B2638" t="str">
            <v>MR</v>
          </cell>
          <cell r="C2638">
            <v>11</v>
          </cell>
          <cell r="D2638">
            <v>15</v>
          </cell>
          <cell r="E2638" t="str">
            <v>KH107</v>
          </cell>
          <cell r="F2638">
            <v>7180</v>
          </cell>
          <cell r="G2638">
            <v>100.75</v>
          </cell>
          <cell r="H2638">
            <v>1.1000000000000001</v>
          </cell>
          <cell r="I2638" t="str">
            <v>From M1A to M2A - 10°</v>
          </cell>
          <cell r="J2638" t="str">
            <v>IE3</v>
          </cell>
          <cell r="K2638" t="str">
            <v>400/690</v>
          </cell>
          <cell r="L2638">
            <v>50</v>
          </cell>
          <cell r="M2638" t="str">
            <v>21/12,2</v>
          </cell>
          <cell r="N2638">
            <v>55</v>
          </cell>
          <cell r="O2638" t="str">
            <v>155(F)</v>
          </cell>
          <cell r="P2638" t="str">
            <v>270°</v>
          </cell>
          <cell r="Q2638" t="str">
            <v>TF</v>
          </cell>
          <cell r="R2638" t="str">
            <v>-</v>
          </cell>
          <cell r="S2638" t="str">
            <v>-</v>
          </cell>
          <cell r="T2638" t="str">
            <v>-</v>
          </cell>
          <cell r="U2638" t="str">
            <v>-</v>
          </cell>
          <cell r="V2638" t="str">
            <v>SS</v>
          </cell>
          <cell r="W2638" t="str">
            <v>-</v>
          </cell>
          <cell r="X2638" t="str">
            <v>CLP 220 (-15/+40°C)</v>
          </cell>
          <cell r="Y2638" t="str">
            <v>KH107DRN160M4 /TF</v>
          </cell>
          <cell r="Z2638" t="str">
            <v>SEW</v>
          </cell>
          <cell r="AB2638" t="str">
            <v>-</v>
          </cell>
          <cell r="AF2638">
            <v>15</v>
          </cell>
          <cell r="AG2638" t="str">
            <v>DRN160M4</v>
          </cell>
          <cell r="AH2638" t="str">
            <v>KH107-DRN160M4A270-X</v>
          </cell>
        </row>
        <row r="2639">
          <cell r="A2639" t="str">
            <v>MR002627</v>
          </cell>
          <cell r="B2639" t="str">
            <v>MR</v>
          </cell>
          <cell r="C2639">
            <v>11</v>
          </cell>
          <cell r="D2639">
            <v>15</v>
          </cell>
          <cell r="E2639" t="str">
            <v>KH107</v>
          </cell>
          <cell r="F2639">
            <v>7180</v>
          </cell>
          <cell r="G2639">
            <v>100.75</v>
          </cell>
          <cell r="H2639">
            <v>1.1000000000000001</v>
          </cell>
          <cell r="I2639" t="str">
            <v>From M1A to M2A - 20°</v>
          </cell>
          <cell r="J2639" t="str">
            <v>IE3</v>
          </cell>
          <cell r="K2639" t="str">
            <v>400/690</v>
          </cell>
          <cell r="L2639">
            <v>50</v>
          </cell>
          <cell r="M2639" t="str">
            <v>21/12,2</v>
          </cell>
          <cell r="N2639">
            <v>55</v>
          </cell>
          <cell r="O2639" t="str">
            <v>155(F)</v>
          </cell>
          <cell r="P2639" t="str">
            <v>270°</v>
          </cell>
          <cell r="Q2639" t="str">
            <v>TF</v>
          </cell>
          <cell r="R2639" t="str">
            <v>-</v>
          </cell>
          <cell r="S2639" t="str">
            <v>-</v>
          </cell>
          <cell r="T2639" t="str">
            <v>-</v>
          </cell>
          <cell r="U2639" t="str">
            <v>-</v>
          </cell>
          <cell r="V2639" t="str">
            <v>SS</v>
          </cell>
          <cell r="W2639" t="str">
            <v>-</v>
          </cell>
          <cell r="X2639" t="str">
            <v>CLP 220 (-15/+40°C)</v>
          </cell>
          <cell r="Y2639" t="str">
            <v>KH107DRN160M4 /TF</v>
          </cell>
          <cell r="Z2639" t="str">
            <v>SEW</v>
          </cell>
          <cell r="AB2639" t="str">
            <v>-</v>
          </cell>
          <cell r="AF2639">
            <v>15</v>
          </cell>
          <cell r="AG2639" t="str">
            <v>DRN160M4</v>
          </cell>
          <cell r="AH2639" t="str">
            <v>KH107-DRN160M4A270-X</v>
          </cell>
        </row>
        <row r="2640">
          <cell r="A2640" t="str">
            <v>MR002628</v>
          </cell>
          <cell r="B2640" t="str">
            <v>MR</v>
          </cell>
          <cell r="C2640">
            <v>9.1999999999999993</v>
          </cell>
          <cell r="D2640">
            <v>15</v>
          </cell>
          <cell r="E2640" t="str">
            <v>KH107</v>
          </cell>
          <cell r="F2640">
            <v>6020</v>
          </cell>
          <cell r="G2640">
            <v>100.75</v>
          </cell>
          <cell r="H2640">
            <v>1.35</v>
          </cell>
          <cell r="I2640" t="str">
            <v>From M1B to M2B - 20°</v>
          </cell>
          <cell r="J2640" t="str">
            <v>IE3</v>
          </cell>
          <cell r="K2640" t="str">
            <v>400/690</v>
          </cell>
          <cell r="L2640">
            <v>50</v>
          </cell>
          <cell r="M2640" t="str">
            <v>18,7/10,8</v>
          </cell>
          <cell r="N2640">
            <v>55</v>
          </cell>
          <cell r="O2640" t="str">
            <v>155(F)</v>
          </cell>
          <cell r="P2640" t="str">
            <v>270°</v>
          </cell>
          <cell r="Q2640" t="str">
            <v>TF</v>
          </cell>
          <cell r="R2640" t="str">
            <v>-</v>
          </cell>
          <cell r="S2640" t="str">
            <v>-</v>
          </cell>
          <cell r="T2640" t="str">
            <v>-</v>
          </cell>
          <cell r="U2640" t="str">
            <v>-</v>
          </cell>
          <cell r="V2640" t="str">
            <v>SS</v>
          </cell>
          <cell r="W2640" t="str">
            <v>-</v>
          </cell>
          <cell r="X2640" t="str">
            <v>CLP 220 (-15/+40°C)</v>
          </cell>
          <cell r="Y2640" t="str">
            <v>KH107DRN132L4 /TF</v>
          </cell>
          <cell r="Z2640" t="str">
            <v>SEW</v>
          </cell>
          <cell r="AB2640" t="str">
            <v>-</v>
          </cell>
          <cell r="AF2640">
            <v>15</v>
          </cell>
          <cell r="AG2640" t="str">
            <v>DRN132L4</v>
          </cell>
          <cell r="AH2640" t="str">
            <v>KH107-DRN132L4B270-X</v>
          </cell>
        </row>
        <row r="2641">
          <cell r="A2641" t="str">
            <v>MR002629</v>
          </cell>
          <cell r="B2641" t="str">
            <v>MR</v>
          </cell>
          <cell r="C2641">
            <v>7.5</v>
          </cell>
          <cell r="D2641">
            <v>16</v>
          </cell>
          <cell r="E2641" t="str">
            <v>KH107</v>
          </cell>
          <cell r="F2641">
            <v>4430</v>
          </cell>
          <cell r="G2641">
            <v>90.96</v>
          </cell>
          <cell r="H2641">
            <v>1.8</v>
          </cell>
          <cell r="I2641" t="str">
            <v>From M1A to M2A - 50°</v>
          </cell>
          <cell r="J2641" t="str">
            <v>IE3</v>
          </cell>
          <cell r="K2641" t="str">
            <v>400/690</v>
          </cell>
          <cell r="L2641">
            <v>50</v>
          </cell>
          <cell r="M2641" t="str">
            <v>15,2/8,8</v>
          </cell>
          <cell r="N2641">
            <v>55</v>
          </cell>
          <cell r="O2641" t="str">
            <v>155(F)</v>
          </cell>
          <cell r="P2641" t="str">
            <v>270°</v>
          </cell>
          <cell r="Q2641" t="str">
            <v>TF</v>
          </cell>
          <cell r="R2641" t="str">
            <v>-</v>
          </cell>
          <cell r="S2641" t="str">
            <v>-</v>
          </cell>
          <cell r="T2641" t="str">
            <v>-</v>
          </cell>
          <cell r="U2641" t="str">
            <v>-</v>
          </cell>
          <cell r="V2641" t="str">
            <v>SS</v>
          </cell>
          <cell r="W2641" t="str">
            <v>-</v>
          </cell>
          <cell r="X2641" t="str">
            <v>CLP 220 (-15/+40°C)</v>
          </cell>
          <cell r="Y2641" t="str">
            <v>KH107DRN132M4 /TF</v>
          </cell>
          <cell r="Z2641" t="str">
            <v>SEW</v>
          </cell>
          <cell r="AB2641" t="str">
            <v>-</v>
          </cell>
          <cell r="AF2641">
            <v>16</v>
          </cell>
          <cell r="AG2641" t="str">
            <v>DRN132M4</v>
          </cell>
          <cell r="AH2641" t="str">
            <v>KH107-DRN132M4A270-X</v>
          </cell>
        </row>
        <row r="2642">
          <cell r="A2642" t="str">
            <v>MR002630</v>
          </cell>
          <cell r="B2642" t="str">
            <v>MR</v>
          </cell>
          <cell r="C2642">
            <v>11</v>
          </cell>
          <cell r="D2642">
            <v>18</v>
          </cell>
          <cell r="E2642" t="str">
            <v>KH107</v>
          </cell>
          <cell r="F2642">
            <v>5890</v>
          </cell>
          <cell r="G2642">
            <v>82.61</v>
          </cell>
          <cell r="H2642">
            <v>1.35</v>
          </cell>
          <cell r="I2642" t="str">
            <v>From M1A to M2A - 50°</v>
          </cell>
          <cell r="J2642" t="str">
            <v>IE3</v>
          </cell>
          <cell r="K2642" t="str">
            <v>400/690</v>
          </cell>
          <cell r="L2642">
            <v>50</v>
          </cell>
          <cell r="M2642" t="str">
            <v>21/12,2</v>
          </cell>
          <cell r="N2642">
            <v>55</v>
          </cell>
          <cell r="O2642" t="str">
            <v>155(F)</v>
          </cell>
          <cell r="P2642" t="str">
            <v>270°</v>
          </cell>
          <cell r="Q2642" t="str">
            <v>TF</v>
          </cell>
          <cell r="R2642" t="str">
            <v>-</v>
          </cell>
          <cell r="S2642" t="str">
            <v>-</v>
          </cell>
          <cell r="T2642" t="str">
            <v>-</v>
          </cell>
          <cell r="U2642" t="str">
            <v>-</v>
          </cell>
          <cell r="V2642" t="str">
            <v>SS</v>
          </cell>
          <cell r="W2642" t="str">
            <v>-</v>
          </cell>
          <cell r="X2642" t="str">
            <v>CLP 220 (-15/+40°C)</v>
          </cell>
          <cell r="Y2642" t="str">
            <v>KH107DRN160M4 /TF</v>
          </cell>
          <cell r="Z2642" t="str">
            <v>SEW</v>
          </cell>
          <cell r="AB2642" t="str">
            <v>-</v>
          </cell>
          <cell r="AF2642">
            <v>18</v>
          </cell>
          <cell r="AG2642" t="str">
            <v>DRN160M4</v>
          </cell>
          <cell r="AH2642" t="str">
            <v>KH107-DRN160M4A270-X</v>
          </cell>
        </row>
        <row r="2643">
          <cell r="A2643" t="str">
            <v>MR002631</v>
          </cell>
          <cell r="B2643" t="str">
            <v>MR</v>
          </cell>
          <cell r="C2643">
            <v>22</v>
          </cell>
          <cell r="D2643">
            <v>24</v>
          </cell>
          <cell r="E2643" t="str">
            <v>R147</v>
          </cell>
          <cell r="F2643">
            <v>8680</v>
          </cell>
          <cell r="G2643">
            <v>61.09</v>
          </cell>
          <cell r="H2643">
            <v>1.5</v>
          </cell>
          <cell r="I2643" t="str">
            <v>From M1 to M2 - 10°</v>
          </cell>
          <cell r="J2643" t="str">
            <v>IE3</v>
          </cell>
          <cell r="K2643" t="str">
            <v>400/690</v>
          </cell>
          <cell r="L2643">
            <v>50</v>
          </cell>
          <cell r="M2643" t="str">
            <v>38,5/22,5</v>
          </cell>
          <cell r="N2643">
            <v>55</v>
          </cell>
          <cell r="O2643" t="str">
            <v>155(F)</v>
          </cell>
          <cell r="P2643" t="str">
            <v>270°</v>
          </cell>
          <cell r="Q2643" t="str">
            <v>TF</v>
          </cell>
          <cell r="R2643" t="str">
            <v>V(VE)</v>
          </cell>
          <cell r="S2643" t="str">
            <v>-</v>
          </cell>
          <cell r="T2643" t="str">
            <v>-</v>
          </cell>
          <cell r="U2643" t="str">
            <v>-</v>
          </cell>
          <cell r="V2643" t="str">
            <v>FC</v>
          </cell>
          <cell r="W2643" t="str">
            <v>-</v>
          </cell>
          <cell r="X2643" t="str">
            <v>CLP PG 220 (-25/+80°C)</v>
          </cell>
          <cell r="Y2643" t="str">
            <v>R147DRN180L4 /TF/V</v>
          </cell>
          <cell r="Z2643" t="str">
            <v>SEW</v>
          </cell>
          <cell r="AB2643" t="str">
            <v>-</v>
          </cell>
          <cell r="AF2643">
            <v>24</v>
          </cell>
          <cell r="AG2643" t="str">
            <v>DRN180L4</v>
          </cell>
          <cell r="AH2643" t="str">
            <v>R147-DRN180L4270-X#</v>
          </cell>
        </row>
        <row r="2644">
          <cell r="A2644" t="str">
            <v>MR002632</v>
          </cell>
          <cell r="B2644" t="str">
            <v>MR</v>
          </cell>
          <cell r="C2644">
            <v>15</v>
          </cell>
          <cell r="D2644">
            <v>12</v>
          </cell>
          <cell r="E2644" t="str">
            <v>KH127</v>
          </cell>
          <cell r="F2644">
            <v>11900</v>
          </cell>
          <cell r="G2644">
            <v>122.48</v>
          </cell>
          <cell r="H2644">
            <v>1.1000000000000001</v>
          </cell>
          <cell r="I2644" t="str">
            <v>From M4A to M1A - 45°</v>
          </cell>
          <cell r="J2644" t="str">
            <v>IE3</v>
          </cell>
          <cell r="K2644" t="str">
            <v>400/690</v>
          </cell>
          <cell r="L2644">
            <v>50</v>
          </cell>
          <cell r="M2644" t="str">
            <v>29/16,7</v>
          </cell>
          <cell r="N2644">
            <v>55</v>
          </cell>
          <cell r="O2644" t="str">
            <v>155(F)</v>
          </cell>
          <cell r="P2644" t="str">
            <v>270°</v>
          </cell>
          <cell r="Q2644" t="str">
            <v>TF</v>
          </cell>
          <cell r="R2644" t="str">
            <v>-</v>
          </cell>
          <cell r="S2644" t="str">
            <v>-</v>
          </cell>
          <cell r="T2644" t="str">
            <v>-</v>
          </cell>
          <cell r="U2644" t="str">
            <v>-</v>
          </cell>
          <cell r="V2644" t="str">
            <v>FC</v>
          </cell>
          <cell r="W2644" t="str">
            <v>YES</v>
          </cell>
          <cell r="X2644" t="str">
            <v>CLP HC 68 Mobilgear</v>
          </cell>
          <cell r="Y2644" t="str">
            <v>KH127DRN160L4 /TF</v>
          </cell>
          <cell r="Z2644" t="str">
            <v>SEW</v>
          </cell>
          <cell r="AB2644" t="str">
            <v>-</v>
          </cell>
          <cell r="AE2644" t="str">
            <v>OS1 + KS + Fori Anticondensa</v>
          </cell>
          <cell r="AF2644">
            <v>12</v>
          </cell>
          <cell r="AG2644" t="str">
            <v>DRN160L4</v>
          </cell>
          <cell r="AH2644" t="str">
            <v>KH127-DRN160L4A270-X</v>
          </cell>
        </row>
        <row r="2645">
          <cell r="A2645" t="str">
            <v>MR002633</v>
          </cell>
          <cell r="B2645" t="str">
            <v>MR</v>
          </cell>
          <cell r="C2645">
            <v>15</v>
          </cell>
          <cell r="D2645">
            <v>12</v>
          </cell>
          <cell r="E2645" t="str">
            <v>KH127</v>
          </cell>
          <cell r="F2645">
            <v>11900</v>
          </cell>
          <cell r="G2645">
            <v>122.48</v>
          </cell>
          <cell r="H2645">
            <v>1.1000000000000001</v>
          </cell>
          <cell r="I2645" t="str">
            <v>From M4B to M1B - 45°</v>
          </cell>
          <cell r="J2645" t="str">
            <v>IE3</v>
          </cell>
          <cell r="K2645" t="str">
            <v>400/690</v>
          </cell>
          <cell r="L2645">
            <v>50</v>
          </cell>
          <cell r="M2645" t="str">
            <v>29/16,7</v>
          </cell>
          <cell r="N2645">
            <v>55</v>
          </cell>
          <cell r="O2645" t="str">
            <v>155(F)</v>
          </cell>
          <cell r="P2645" t="str">
            <v>270°</v>
          </cell>
          <cell r="Q2645" t="str">
            <v>TF</v>
          </cell>
          <cell r="R2645" t="str">
            <v>-</v>
          </cell>
          <cell r="S2645" t="str">
            <v>-</v>
          </cell>
          <cell r="T2645" t="str">
            <v>-</v>
          </cell>
          <cell r="U2645" t="str">
            <v>-</v>
          </cell>
          <cell r="V2645" t="str">
            <v>FC</v>
          </cell>
          <cell r="W2645" t="str">
            <v>YES</v>
          </cell>
          <cell r="X2645" t="str">
            <v>CLP HC 68 Mobilgear</v>
          </cell>
          <cell r="Y2645" t="str">
            <v>KH127DRN160L4 /TF</v>
          </cell>
          <cell r="Z2645" t="str">
            <v>SEW</v>
          </cell>
          <cell r="AB2645" t="str">
            <v>-</v>
          </cell>
          <cell r="AE2645" t="str">
            <v>OS1 + KS + Fori Anticondensa</v>
          </cell>
          <cell r="AF2645">
            <v>12</v>
          </cell>
          <cell r="AG2645" t="str">
            <v>DRN160L4</v>
          </cell>
          <cell r="AH2645" t="str">
            <v>KH127-DRN160L4B270-X</v>
          </cell>
        </row>
        <row r="2646">
          <cell r="A2646" t="str">
            <v>MR002634</v>
          </cell>
          <cell r="B2646" t="str">
            <v>MR</v>
          </cell>
          <cell r="C2646">
            <v>15</v>
          </cell>
          <cell r="D2646">
            <v>12</v>
          </cell>
          <cell r="E2646" t="str">
            <v>KH127</v>
          </cell>
          <cell r="F2646">
            <v>11900</v>
          </cell>
          <cell r="G2646">
            <v>122.48</v>
          </cell>
          <cell r="H2646">
            <v>1.1000000000000001</v>
          </cell>
          <cell r="I2646" t="str">
            <v>From M4A to M1A - 20°</v>
          </cell>
          <cell r="J2646" t="str">
            <v>IE3</v>
          </cell>
          <cell r="K2646" t="str">
            <v>400/690</v>
          </cell>
          <cell r="L2646">
            <v>50</v>
          </cell>
          <cell r="M2646" t="str">
            <v>29/16,7</v>
          </cell>
          <cell r="N2646">
            <v>55</v>
          </cell>
          <cell r="O2646" t="str">
            <v>155(F)</v>
          </cell>
          <cell r="P2646" t="str">
            <v>270°</v>
          </cell>
          <cell r="Q2646" t="str">
            <v>TF</v>
          </cell>
          <cell r="R2646" t="str">
            <v>-</v>
          </cell>
          <cell r="S2646" t="str">
            <v>-</v>
          </cell>
          <cell r="T2646" t="str">
            <v>-</v>
          </cell>
          <cell r="U2646" t="str">
            <v>-</v>
          </cell>
          <cell r="V2646" t="str">
            <v>FC</v>
          </cell>
          <cell r="W2646" t="str">
            <v>-</v>
          </cell>
          <cell r="X2646" t="str">
            <v>CLP PG 220 (-25/+80°C)</v>
          </cell>
          <cell r="Y2646" t="str">
            <v>KH127DRN160L4 /TF</v>
          </cell>
          <cell r="Z2646" t="str">
            <v>SEW</v>
          </cell>
          <cell r="AB2646" t="str">
            <v>-</v>
          </cell>
          <cell r="AF2646">
            <v>12</v>
          </cell>
          <cell r="AG2646" t="str">
            <v>DRN160L4</v>
          </cell>
          <cell r="AH2646" t="str">
            <v>KH127-DRN160L4A270-X</v>
          </cell>
        </row>
        <row r="2647">
          <cell r="A2647" t="str">
            <v>MR002635</v>
          </cell>
          <cell r="B2647" t="str">
            <v>MR</v>
          </cell>
          <cell r="C2647">
            <v>15</v>
          </cell>
          <cell r="D2647">
            <v>12</v>
          </cell>
          <cell r="E2647" t="str">
            <v>KH127</v>
          </cell>
          <cell r="F2647">
            <v>11900</v>
          </cell>
          <cell r="G2647">
            <v>122.48</v>
          </cell>
          <cell r="H2647">
            <v>1.1000000000000001</v>
          </cell>
          <cell r="I2647" t="str">
            <v>From M4B to M1B - 20°</v>
          </cell>
          <cell r="J2647" t="str">
            <v>IE3</v>
          </cell>
          <cell r="K2647" t="str">
            <v>400/690</v>
          </cell>
          <cell r="L2647">
            <v>50</v>
          </cell>
          <cell r="M2647" t="str">
            <v>29/16,7</v>
          </cell>
          <cell r="N2647">
            <v>55</v>
          </cell>
          <cell r="O2647" t="str">
            <v>155(F)</v>
          </cell>
          <cell r="P2647" t="str">
            <v>270°</v>
          </cell>
          <cell r="Q2647" t="str">
            <v>TF</v>
          </cell>
          <cell r="R2647" t="str">
            <v>-</v>
          </cell>
          <cell r="S2647" t="str">
            <v>-</v>
          </cell>
          <cell r="T2647" t="str">
            <v>-</v>
          </cell>
          <cell r="U2647" t="str">
            <v>-</v>
          </cell>
          <cell r="V2647" t="str">
            <v>FC</v>
          </cell>
          <cell r="W2647" t="str">
            <v>-</v>
          </cell>
          <cell r="X2647" t="str">
            <v>CLP PG 220 (-25/+80°C)</v>
          </cell>
          <cell r="Y2647" t="str">
            <v>KH127DRN160L4 /TF</v>
          </cell>
          <cell r="Z2647" t="str">
            <v>SEW</v>
          </cell>
          <cell r="AB2647" t="str">
            <v>-</v>
          </cell>
          <cell r="AF2647">
            <v>12</v>
          </cell>
          <cell r="AG2647" t="str">
            <v>DRN160L4</v>
          </cell>
          <cell r="AH2647" t="str">
            <v>KH127-DRN160L4B270-X</v>
          </cell>
        </row>
        <row r="2648">
          <cell r="A2648" t="str">
            <v>MR002636</v>
          </cell>
          <cell r="B2648" t="str">
            <v>MR</v>
          </cell>
          <cell r="C2648">
            <v>15</v>
          </cell>
          <cell r="D2648">
            <v>12</v>
          </cell>
          <cell r="E2648" t="str">
            <v>KH127</v>
          </cell>
          <cell r="F2648">
            <v>11900</v>
          </cell>
          <cell r="G2648">
            <v>122.48</v>
          </cell>
          <cell r="H2648">
            <v>1.1000000000000001</v>
          </cell>
          <cell r="I2648" t="str">
            <v>M4A</v>
          </cell>
          <cell r="J2648" t="str">
            <v>IE3</v>
          </cell>
          <cell r="K2648" t="str">
            <v>400/690</v>
          </cell>
          <cell r="L2648">
            <v>50</v>
          </cell>
          <cell r="M2648" t="str">
            <v>29/16,7</v>
          </cell>
          <cell r="N2648">
            <v>55</v>
          </cell>
          <cell r="O2648" t="str">
            <v>155(F)</v>
          </cell>
          <cell r="P2648" t="str">
            <v>270°</v>
          </cell>
          <cell r="Q2648" t="str">
            <v>TF</v>
          </cell>
          <cell r="R2648" t="str">
            <v>-</v>
          </cell>
          <cell r="S2648" t="str">
            <v>-</v>
          </cell>
          <cell r="T2648" t="str">
            <v>-</v>
          </cell>
          <cell r="U2648" t="str">
            <v>-</v>
          </cell>
          <cell r="V2648" t="str">
            <v>FC</v>
          </cell>
          <cell r="W2648" t="str">
            <v>-</v>
          </cell>
          <cell r="X2648" t="str">
            <v>CLP PG 220 (-25/+80°C)</v>
          </cell>
          <cell r="Y2648" t="str">
            <v>KH127DRN160L4 /TF</v>
          </cell>
          <cell r="Z2648" t="str">
            <v>SEW</v>
          </cell>
          <cell r="AB2648" t="str">
            <v>-</v>
          </cell>
          <cell r="AF2648">
            <v>12</v>
          </cell>
          <cell r="AG2648" t="str">
            <v>DRN160L4</v>
          </cell>
          <cell r="AH2648" t="str">
            <v>KH127-DRN160L4A270-X</v>
          </cell>
        </row>
        <row r="2649">
          <cell r="A2649" t="str">
            <v>MR002637</v>
          </cell>
          <cell r="B2649" t="str">
            <v>MR</v>
          </cell>
          <cell r="C2649">
            <v>15</v>
          </cell>
          <cell r="D2649">
            <v>12</v>
          </cell>
          <cell r="E2649" t="str">
            <v>KH127</v>
          </cell>
          <cell r="F2649">
            <v>11900</v>
          </cell>
          <cell r="G2649">
            <v>122.48</v>
          </cell>
          <cell r="H2649">
            <v>1.1000000000000001</v>
          </cell>
          <cell r="I2649" t="str">
            <v>M4B</v>
          </cell>
          <cell r="J2649" t="str">
            <v>IE3</v>
          </cell>
          <cell r="K2649" t="str">
            <v>400/690</v>
          </cell>
          <cell r="L2649">
            <v>50</v>
          </cell>
          <cell r="M2649" t="str">
            <v>29/16,7</v>
          </cell>
          <cell r="N2649">
            <v>55</v>
          </cell>
          <cell r="O2649" t="str">
            <v>155(F)</v>
          </cell>
          <cell r="P2649" t="str">
            <v>270°</v>
          </cell>
          <cell r="Q2649" t="str">
            <v>TF</v>
          </cell>
          <cell r="R2649" t="str">
            <v>-</v>
          </cell>
          <cell r="S2649" t="str">
            <v>-</v>
          </cell>
          <cell r="T2649" t="str">
            <v>-</v>
          </cell>
          <cell r="U2649" t="str">
            <v>-</v>
          </cell>
          <cell r="V2649" t="str">
            <v>FC</v>
          </cell>
          <cell r="W2649" t="str">
            <v>-</v>
          </cell>
          <cell r="X2649" t="str">
            <v>CLP PG 220 (-25/+80°C)</v>
          </cell>
          <cell r="Y2649" t="str">
            <v>KH127DRN160L4 /TF</v>
          </cell>
          <cell r="Z2649" t="str">
            <v>SEW</v>
          </cell>
          <cell r="AB2649" t="str">
            <v>-</v>
          </cell>
          <cell r="AF2649">
            <v>12</v>
          </cell>
          <cell r="AG2649" t="str">
            <v>DRN160L4</v>
          </cell>
          <cell r="AH2649" t="str">
            <v>KH127-DRN160L4B270-X</v>
          </cell>
        </row>
        <row r="2650">
          <cell r="A2650" t="str">
            <v>MR002638</v>
          </cell>
          <cell r="B2650" t="str">
            <v>MR</v>
          </cell>
          <cell r="C2650">
            <v>11</v>
          </cell>
          <cell r="D2650">
            <v>16</v>
          </cell>
          <cell r="E2650" t="str">
            <v>KH107</v>
          </cell>
          <cell r="F2650">
            <v>6480</v>
          </cell>
          <cell r="G2650">
            <v>90.96</v>
          </cell>
          <cell r="H2650">
            <v>1.25</v>
          </cell>
          <cell r="I2650" t="str">
            <v>From M4A to M1A - 25°</v>
          </cell>
          <cell r="J2650" t="str">
            <v>IE3</v>
          </cell>
          <cell r="K2650" t="str">
            <v>400/690</v>
          </cell>
          <cell r="L2650">
            <v>50</v>
          </cell>
          <cell r="M2650" t="str">
            <v>21/12,2</v>
          </cell>
          <cell r="N2650">
            <v>55</v>
          </cell>
          <cell r="O2650" t="str">
            <v>155(F)</v>
          </cell>
          <cell r="P2650" t="str">
            <v>270°</v>
          </cell>
          <cell r="Q2650" t="str">
            <v>TF</v>
          </cell>
          <cell r="R2650" t="str">
            <v>-</v>
          </cell>
          <cell r="S2650" t="str">
            <v>-</v>
          </cell>
          <cell r="T2650" t="str">
            <v>-</v>
          </cell>
          <cell r="U2650" t="str">
            <v>-</v>
          </cell>
          <cell r="V2650" t="str">
            <v>FC</v>
          </cell>
          <cell r="W2650" t="str">
            <v>-</v>
          </cell>
          <cell r="X2650" t="str">
            <v>CLP PG 220 (-25/+80°C)</v>
          </cell>
          <cell r="Y2650" t="str">
            <v>KH107DRN160M4 /TF</v>
          </cell>
          <cell r="Z2650" t="str">
            <v>SEW</v>
          </cell>
          <cell r="AB2650" t="str">
            <v>-</v>
          </cell>
          <cell r="AF2650">
            <v>16</v>
          </cell>
          <cell r="AG2650" t="str">
            <v>DRN160M4</v>
          </cell>
          <cell r="AH2650" t="str">
            <v>KH107-DRN160M4A270-X</v>
          </cell>
        </row>
        <row r="2651">
          <cell r="A2651" t="str">
            <v>MR002639</v>
          </cell>
          <cell r="B2651" t="str">
            <v>MR</v>
          </cell>
          <cell r="C2651">
            <v>11</v>
          </cell>
          <cell r="D2651">
            <v>16</v>
          </cell>
          <cell r="E2651" t="str">
            <v>KH107</v>
          </cell>
          <cell r="F2651">
            <v>6480</v>
          </cell>
          <cell r="G2651">
            <v>90.96</v>
          </cell>
          <cell r="H2651">
            <v>1.25</v>
          </cell>
          <cell r="I2651" t="str">
            <v>From M4B to M1B - 25°</v>
          </cell>
          <cell r="J2651" t="str">
            <v>IE3</v>
          </cell>
          <cell r="K2651" t="str">
            <v>400/690</v>
          </cell>
          <cell r="L2651">
            <v>50</v>
          </cell>
          <cell r="M2651" t="str">
            <v>21/12,2</v>
          </cell>
          <cell r="N2651">
            <v>55</v>
          </cell>
          <cell r="O2651" t="str">
            <v>155(F)</v>
          </cell>
          <cell r="P2651" t="str">
            <v>270°</v>
          </cell>
          <cell r="Q2651" t="str">
            <v>TF</v>
          </cell>
          <cell r="R2651" t="str">
            <v>-</v>
          </cell>
          <cell r="S2651" t="str">
            <v>-</v>
          </cell>
          <cell r="T2651" t="str">
            <v>-</v>
          </cell>
          <cell r="U2651" t="str">
            <v>-</v>
          </cell>
          <cell r="V2651" t="str">
            <v>FC</v>
          </cell>
          <cell r="W2651" t="str">
            <v>-</v>
          </cell>
          <cell r="X2651" t="str">
            <v>CLP PG 220 (-25/+80°C)</v>
          </cell>
          <cell r="Y2651" t="str">
            <v>KH107DRN160M4 /TF</v>
          </cell>
          <cell r="Z2651" t="str">
            <v>SEW</v>
          </cell>
          <cell r="AB2651" t="str">
            <v>-</v>
          </cell>
          <cell r="AF2651">
            <v>16</v>
          </cell>
          <cell r="AG2651" t="str">
            <v>DRN160M4</v>
          </cell>
          <cell r="AH2651" t="str">
            <v>KH107-DRN160M4B270-X</v>
          </cell>
        </row>
        <row r="2652">
          <cell r="A2652" t="str">
            <v>MR002640</v>
          </cell>
          <cell r="B2652" t="str">
            <v>MR</v>
          </cell>
          <cell r="C2652">
            <v>22</v>
          </cell>
          <cell r="D2652">
            <v>12</v>
          </cell>
          <cell r="E2652" t="str">
            <v>KH157</v>
          </cell>
          <cell r="F2652">
            <v>17400</v>
          </cell>
          <cell r="G2652">
            <v>122.39</v>
          </cell>
          <cell r="H2652">
            <v>1.1499999999999999</v>
          </cell>
          <cell r="I2652" t="str">
            <v>From M4A to M1A - 25°</v>
          </cell>
          <cell r="J2652" t="str">
            <v>IE3</v>
          </cell>
          <cell r="K2652" t="str">
            <v>400/690</v>
          </cell>
          <cell r="L2652">
            <v>50</v>
          </cell>
          <cell r="M2652" t="str">
            <v>38,5/22,5</v>
          </cell>
          <cell r="N2652">
            <v>55</v>
          </cell>
          <cell r="O2652" t="str">
            <v>155(F)</v>
          </cell>
          <cell r="P2652" t="str">
            <v>270°</v>
          </cell>
          <cell r="Q2652" t="str">
            <v>TF</v>
          </cell>
          <cell r="R2652" t="str">
            <v>-</v>
          </cell>
          <cell r="S2652" t="str">
            <v>-</v>
          </cell>
          <cell r="T2652" t="str">
            <v>-</v>
          </cell>
          <cell r="U2652" t="str">
            <v>-</v>
          </cell>
          <cell r="V2652" t="str">
            <v>FC</v>
          </cell>
          <cell r="W2652" t="str">
            <v>YES</v>
          </cell>
          <cell r="X2652" t="str">
            <v>CLP HC 68 Mobilgear</v>
          </cell>
          <cell r="Y2652" t="str">
            <v>KH157DRN180L4 /TF</v>
          </cell>
          <cell r="Z2652" t="str">
            <v>SEW</v>
          </cell>
          <cell r="AB2652" t="str">
            <v>-</v>
          </cell>
          <cell r="AE2652" t="str">
            <v>OS1 + KS + Fori Anticondensa</v>
          </cell>
          <cell r="AF2652">
            <v>12</v>
          </cell>
          <cell r="AG2652" t="str">
            <v>DRN180L4</v>
          </cell>
          <cell r="AH2652" t="str">
            <v>KH157-DRN180L4A270-X</v>
          </cell>
        </row>
        <row r="2653">
          <cell r="A2653" t="str">
            <v>MR002641</v>
          </cell>
          <cell r="B2653" t="str">
            <v>MR</v>
          </cell>
          <cell r="C2653">
            <v>22</v>
          </cell>
          <cell r="D2653">
            <v>12</v>
          </cell>
          <cell r="E2653" t="str">
            <v>KH157</v>
          </cell>
          <cell r="F2653">
            <v>17400</v>
          </cell>
          <cell r="G2653">
            <v>122.39</v>
          </cell>
          <cell r="H2653">
            <v>1.1499999999999999</v>
          </cell>
          <cell r="I2653" t="str">
            <v>From M4B to M1B - 25°</v>
          </cell>
          <cell r="J2653" t="str">
            <v>IE3</v>
          </cell>
          <cell r="K2653" t="str">
            <v>400/690</v>
          </cell>
          <cell r="L2653">
            <v>50</v>
          </cell>
          <cell r="M2653" t="str">
            <v>38,5/22,5</v>
          </cell>
          <cell r="N2653">
            <v>55</v>
          </cell>
          <cell r="O2653" t="str">
            <v>155(F)</v>
          </cell>
          <cell r="P2653" t="str">
            <v>270°</v>
          </cell>
          <cell r="Q2653" t="str">
            <v>TF</v>
          </cell>
          <cell r="R2653" t="str">
            <v>-</v>
          </cell>
          <cell r="S2653" t="str">
            <v>-</v>
          </cell>
          <cell r="T2653" t="str">
            <v>-</v>
          </cell>
          <cell r="U2653" t="str">
            <v>-</v>
          </cell>
          <cell r="V2653" t="str">
            <v>FC</v>
          </cell>
          <cell r="W2653" t="str">
            <v>YES</v>
          </cell>
          <cell r="X2653" t="str">
            <v>CLP HC 68 Mobilgear</v>
          </cell>
          <cell r="Y2653" t="str">
            <v>KH157DRN180L4 /TF</v>
          </cell>
          <cell r="Z2653" t="str">
            <v>SEW</v>
          </cell>
          <cell r="AB2653" t="str">
            <v>-</v>
          </cell>
          <cell r="AE2653" t="str">
            <v>OS1 + KS + Fori Anticondensa</v>
          </cell>
          <cell r="AF2653">
            <v>12</v>
          </cell>
          <cell r="AG2653" t="str">
            <v>DRN180L4</v>
          </cell>
          <cell r="AH2653" t="str">
            <v>KH157-DRN180L4B270-X</v>
          </cell>
        </row>
        <row r="2654">
          <cell r="A2654" t="str">
            <v>MR002642</v>
          </cell>
          <cell r="B2654" t="str">
            <v>MR</v>
          </cell>
          <cell r="C2654">
            <v>1.5</v>
          </cell>
          <cell r="D2654">
            <v>3.8</v>
          </cell>
          <cell r="E2654" t="str">
            <v>KA97R57</v>
          </cell>
          <cell r="F2654">
            <v>3440</v>
          </cell>
          <cell r="G2654">
            <v>382</v>
          </cell>
          <cell r="H2654">
            <v>1.25</v>
          </cell>
          <cell r="I2654" t="str">
            <v>M3B</v>
          </cell>
          <cell r="J2654" t="str">
            <v>IE3</v>
          </cell>
          <cell r="K2654" t="str">
            <v>230/400</v>
          </cell>
          <cell r="L2654">
            <v>50</v>
          </cell>
          <cell r="M2654" t="str">
            <v>5,9/3,4</v>
          </cell>
          <cell r="N2654">
            <v>55</v>
          </cell>
          <cell r="O2654" t="str">
            <v>155(F)</v>
          </cell>
          <cell r="P2654" t="str">
            <v>0°</v>
          </cell>
          <cell r="Q2654" t="str">
            <v>TF</v>
          </cell>
          <cell r="R2654" t="str">
            <v>V(VE)</v>
          </cell>
          <cell r="S2654" t="str">
            <v>-</v>
          </cell>
          <cell r="T2654" t="str">
            <v>BEHF</v>
          </cell>
          <cell r="U2654" t="str">
            <v>T</v>
          </cell>
          <cell r="V2654" t="str">
            <v>FC+R</v>
          </cell>
          <cell r="W2654" t="str">
            <v>YES</v>
          </cell>
          <cell r="X2654" t="str">
            <v>CLP HC 68 Mobilgear</v>
          </cell>
          <cell r="Y2654" t="str">
            <v>KA97R57/T DRN90L4 /BEHF /TF/V</v>
          </cell>
          <cell r="Z2654" t="str">
            <v>SEW</v>
          </cell>
          <cell r="AB2654" t="str">
            <v>-</v>
          </cell>
          <cell r="AE2654" t="str">
            <v>OS1 + KS + Fori Anticondensa</v>
          </cell>
          <cell r="AF2654">
            <v>3.8</v>
          </cell>
          <cell r="AG2654" t="str">
            <v>DRN90L4</v>
          </cell>
          <cell r="AH2654" t="str">
            <v>KA97R57T-DRN90L4B0-X#</v>
          </cell>
        </row>
        <row r="2655">
          <cell r="A2655" t="str">
            <v>MR002643</v>
          </cell>
          <cell r="B2655" t="str">
            <v>MR</v>
          </cell>
          <cell r="C2655">
            <v>7.5</v>
          </cell>
          <cell r="D2655">
            <v>63</v>
          </cell>
          <cell r="E2655" t="str">
            <v>R87</v>
          </cell>
          <cell r="F2655">
            <v>1140</v>
          </cell>
          <cell r="G2655">
            <v>23.4</v>
          </cell>
          <cell r="H2655">
            <v>1.35</v>
          </cell>
          <cell r="I2655" t="str">
            <v>From M1 to M2 - 15°</v>
          </cell>
          <cell r="J2655" t="str">
            <v>IE3</v>
          </cell>
          <cell r="K2655" t="str">
            <v>400/690</v>
          </cell>
          <cell r="L2655">
            <v>50</v>
          </cell>
          <cell r="M2655" t="str">
            <v>15,2/8,8</v>
          </cell>
          <cell r="N2655">
            <v>55</v>
          </cell>
          <cell r="O2655" t="str">
            <v>155(F)</v>
          </cell>
          <cell r="P2655" t="str">
            <v>270°</v>
          </cell>
          <cell r="Q2655" t="str">
            <v>TF</v>
          </cell>
          <cell r="R2655" t="str">
            <v>-</v>
          </cell>
          <cell r="S2655" t="str">
            <v>-</v>
          </cell>
          <cell r="T2655" t="str">
            <v>-</v>
          </cell>
          <cell r="U2655" t="str">
            <v>-</v>
          </cell>
          <cell r="V2655" t="str">
            <v>D</v>
          </cell>
          <cell r="W2655" t="str">
            <v>YES</v>
          </cell>
          <cell r="X2655" t="str">
            <v>CLP HC 68 Mobilgear</v>
          </cell>
          <cell r="Y2655" t="str">
            <v>R87DRN132M4 /TF</v>
          </cell>
          <cell r="Z2655" t="str">
            <v>SEW</v>
          </cell>
          <cell r="AB2655" t="str">
            <v>-</v>
          </cell>
          <cell r="AE2655" t="str">
            <v>OS1 + KS + Fori Anticondensa</v>
          </cell>
          <cell r="AF2655">
            <v>63</v>
          </cell>
          <cell r="AG2655" t="str">
            <v>DRN132M4</v>
          </cell>
          <cell r="AH2655" t="str">
            <v>R87-DRN132M4270-X</v>
          </cell>
        </row>
        <row r="2656">
          <cell r="A2656" t="str">
            <v>MR002644</v>
          </cell>
          <cell r="B2656" t="str">
            <v>MR</v>
          </cell>
          <cell r="C2656">
            <v>0.37</v>
          </cell>
          <cell r="D2656">
            <v>3.4</v>
          </cell>
          <cell r="E2656" t="str">
            <v>KA67R37</v>
          </cell>
          <cell r="F2656">
            <v>920</v>
          </cell>
          <cell r="G2656">
            <v>420</v>
          </cell>
          <cell r="H2656">
            <v>0.9</v>
          </cell>
          <cell r="I2656" t="str">
            <v>M3B</v>
          </cell>
          <cell r="J2656" t="str">
            <v>IE3</v>
          </cell>
          <cell r="K2656" t="str">
            <v>230/400</v>
          </cell>
          <cell r="L2656">
            <v>50</v>
          </cell>
          <cell r="M2656" t="str">
            <v>1,78/1,02</v>
          </cell>
          <cell r="N2656">
            <v>55</v>
          </cell>
          <cell r="O2656" t="str">
            <v>155(F)</v>
          </cell>
          <cell r="P2656" t="str">
            <v>0°</v>
          </cell>
          <cell r="Q2656" t="str">
            <v>TF</v>
          </cell>
          <cell r="R2656" t="str">
            <v>-</v>
          </cell>
          <cell r="S2656" t="str">
            <v>-</v>
          </cell>
          <cell r="T2656" t="str">
            <v>BEHF</v>
          </cell>
          <cell r="U2656" t="str">
            <v>T</v>
          </cell>
          <cell r="V2656" t="str">
            <v>D+R</v>
          </cell>
          <cell r="W2656" t="str">
            <v>YES</v>
          </cell>
          <cell r="X2656" t="str">
            <v>CLP HC 68 Mobilgear</v>
          </cell>
          <cell r="Y2656" t="str">
            <v>KA67R37/T DRN71M4 /BEHF /TF</v>
          </cell>
          <cell r="Z2656" t="str">
            <v>SEW</v>
          </cell>
          <cell r="AB2656" t="str">
            <v>-</v>
          </cell>
          <cell r="AE2656" t="str">
            <v>OS1 + KS + Fori Anticondensa</v>
          </cell>
          <cell r="AF2656">
            <v>3.4</v>
          </cell>
          <cell r="AG2656" t="str">
            <v>DRN71M4</v>
          </cell>
          <cell r="AH2656" t="str">
            <v>KA67R37T-DRN71M4B0-X</v>
          </cell>
        </row>
        <row r="2657">
          <cell r="A2657" t="str">
            <v>MR002645</v>
          </cell>
          <cell r="B2657" t="str">
            <v>MR</v>
          </cell>
          <cell r="C2657">
            <v>9.1999999999999993</v>
          </cell>
          <cell r="D2657">
            <v>59</v>
          </cell>
          <cell r="E2657" t="str">
            <v>R97</v>
          </cell>
          <cell r="F2657">
            <v>1490</v>
          </cell>
          <cell r="G2657">
            <v>25.03</v>
          </cell>
          <cell r="H2657">
            <v>1.9</v>
          </cell>
          <cell r="I2657" t="str">
            <v>M1</v>
          </cell>
          <cell r="J2657" t="str">
            <v>IE3</v>
          </cell>
          <cell r="K2657" t="str">
            <v>400/690</v>
          </cell>
          <cell r="L2657">
            <v>50</v>
          </cell>
          <cell r="M2657" t="str">
            <v>18,7/10,8</v>
          </cell>
          <cell r="N2657">
            <v>55</v>
          </cell>
          <cell r="O2657" t="str">
            <v>155(F)</v>
          </cell>
          <cell r="P2657" t="str">
            <v>270°</v>
          </cell>
          <cell r="Q2657" t="str">
            <v>TF</v>
          </cell>
          <cell r="R2657" t="str">
            <v>-</v>
          </cell>
          <cell r="S2657" t="str">
            <v>-</v>
          </cell>
          <cell r="T2657" t="str">
            <v>-</v>
          </cell>
          <cell r="U2657" t="str">
            <v>-</v>
          </cell>
          <cell r="V2657" t="str">
            <v>D</v>
          </cell>
          <cell r="W2657" t="str">
            <v>YES</v>
          </cell>
          <cell r="X2657" t="str">
            <v>CLP HC 68 Mobilgear</v>
          </cell>
          <cell r="Y2657" t="str">
            <v>R97DRN132L4 /TF</v>
          </cell>
          <cell r="Z2657" t="str">
            <v>SEW</v>
          </cell>
          <cell r="AB2657" t="str">
            <v>-</v>
          </cell>
          <cell r="AE2657" t="str">
            <v>OS1 + KS + Fori Anticondensa</v>
          </cell>
          <cell r="AF2657">
            <v>59</v>
          </cell>
          <cell r="AG2657" t="str">
            <v>DRN132L4</v>
          </cell>
          <cell r="AH2657" t="str">
            <v>R97-DRN132L4270-X</v>
          </cell>
        </row>
        <row r="2658">
          <cell r="A2658" t="str">
            <v>MR002646</v>
          </cell>
          <cell r="B2658" t="str">
            <v>MR</v>
          </cell>
          <cell r="C2658">
            <v>15</v>
          </cell>
          <cell r="D2658">
            <v>16</v>
          </cell>
          <cell r="E2658" t="str">
            <v>KH127</v>
          </cell>
          <cell r="F2658">
            <v>8730</v>
          </cell>
          <cell r="G2658">
            <v>89.89</v>
          </cell>
          <cell r="H2658">
            <v>1.5</v>
          </cell>
          <cell r="I2658" t="str">
            <v>From M4A to M1A - 30°</v>
          </cell>
          <cell r="J2658" t="str">
            <v>IE3</v>
          </cell>
          <cell r="K2658" t="str">
            <v>400/690</v>
          </cell>
          <cell r="L2658">
            <v>50</v>
          </cell>
          <cell r="M2658" t="str">
            <v>29/16,7</v>
          </cell>
          <cell r="N2658">
            <v>55</v>
          </cell>
          <cell r="O2658" t="str">
            <v>155(F)</v>
          </cell>
          <cell r="P2658" t="str">
            <v>270°</v>
          </cell>
          <cell r="Q2658" t="str">
            <v>TF</v>
          </cell>
          <cell r="R2658" t="str">
            <v>-</v>
          </cell>
          <cell r="S2658" t="str">
            <v>-</v>
          </cell>
          <cell r="T2658" t="str">
            <v>-</v>
          </cell>
          <cell r="U2658" t="str">
            <v>-</v>
          </cell>
          <cell r="V2658" t="str">
            <v>SS</v>
          </cell>
          <cell r="W2658" t="str">
            <v>YES</v>
          </cell>
          <cell r="X2658" t="str">
            <v>CLP HC 68 Mobilgear</v>
          </cell>
          <cell r="Y2658" t="str">
            <v>KH127DRN160L4 /TF</v>
          </cell>
          <cell r="Z2658" t="str">
            <v>SEW</v>
          </cell>
          <cell r="AB2658" t="str">
            <v>-</v>
          </cell>
          <cell r="AE2658" t="str">
            <v>OS1 + KS + Fori Anticondensa</v>
          </cell>
          <cell r="AF2658">
            <v>16</v>
          </cell>
          <cell r="AG2658" t="str">
            <v>DRN160L4</v>
          </cell>
          <cell r="AH2658" t="str">
            <v>KH127-DRN160L4A270-X</v>
          </cell>
        </row>
        <row r="2659">
          <cell r="A2659" t="str">
            <v>MR002647</v>
          </cell>
          <cell r="B2659" t="str">
            <v>MR</v>
          </cell>
          <cell r="C2659">
            <v>15</v>
          </cell>
          <cell r="D2659">
            <v>16</v>
          </cell>
          <cell r="E2659" t="str">
            <v>KH127</v>
          </cell>
          <cell r="F2659">
            <v>8730</v>
          </cell>
          <cell r="G2659">
            <v>89.89</v>
          </cell>
          <cell r="H2659">
            <v>1.5</v>
          </cell>
          <cell r="I2659" t="str">
            <v>From M4B to M1B - 30°</v>
          </cell>
          <cell r="J2659" t="str">
            <v>IE3</v>
          </cell>
          <cell r="K2659" t="str">
            <v>400/690</v>
          </cell>
          <cell r="L2659">
            <v>50</v>
          </cell>
          <cell r="M2659" t="str">
            <v>29/16,7</v>
          </cell>
          <cell r="N2659">
            <v>55</v>
          </cell>
          <cell r="O2659" t="str">
            <v>155(F)</v>
          </cell>
          <cell r="P2659" t="str">
            <v>270°</v>
          </cell>
          <cell r="Q2659" t="str">
            <v>TF</v>
          </cell>
          <cell r="R2659" t="str">
            <v>-</v>
          </cell>
          <cell r="S2659" t="str">
            <v>-</v>
          </cell>
          <cell r="T2659" t="str">
            <v>-</v>
          </cell>
          <cell r="U2659" t="str">
            <v>-</v>
          </cell>
          <cell r="V2659" t="str">
            <v>SS</v>
          </cell>
          <cell r="W2659" t="str">
            <v>YES</v>
          </cell>
          <cell r="X2659" t="str">
            <v>CLP HC 68 Mobilgear</v>
          </cell>
          <cell r="Y2659" t="str">
            <v>KH127DRN160L4 /TF</v>
          </cell>
          <cell r="Z2659" t="str">
            <v>SEW</v>
          </cell>
          <cell r="AB2659" t="str">
            <v>-</v>
          </cell>
          <cell r="AE2659" t="str">
            <v>OS1 + KS + Fori Anticondensa</v>
          </cell>
          <cell r="AF2659">
            <v>16</v>
          </cell>
          <cell r="AG2659" t="str">
            <v>DRN160L4</v>
          </cell>
          <cell r="AH2659" t="str">
            <v>KH127-DRN160L4B270-X</v>
          </cell>
        </row>
        <row r="2660">
          <cell r="A2660" t="str">
            <v>MR002648</v>
          </cell>
          <cell r="B2660" t="str">
            <v>MR</v>
          </cell>
          <cell r="C2660">
            <v>22</v>
          </cell>
          <cell r="D2660">
            <v>107</v>
          </cell>
          <cell r="E2660" t="str">
            <v>KH97</v>
          </cell>
          <cell r="F2660">
            <v>1960</v>
          </cell>
          <cell r="G2660">
            <v>13.85</v>
          </cell>
          <cell r="H2660">
            <v>2.2000000000000002</v>
          </cell>
          <cell r="I2660" t="str">
            <v>From M4A to M1A - 20°</v>
          </cell>
          <cell r="J2660" t="str">
            <v>IE3</v>
          </cell>
          <cell r="K2660" t="str">
            <v>380/660</v>
          </cell>
          <cell r="L2660">
            <v>50</v>
          </cell>
          <cell r="M2660" t="str">
            <v>40,5/23,5</v>
          </cell>
          <cell r="N2660">
            <v>55</v>
          </cell>
          <cell r="O2660" t="str">
            <v>155(F)</v>
          </cell>
          <cell r="P2660" t="str">
            <v>270°</v>
          </cell>
          <cell r="Q2660" t="str">
            <v>TF</v>
          </cell>
          <cell r="R2660" t="str">
            <v>V(VE)</v>
          </cell>
          <cell r="S2660" t="str">
            <v>Free rotation CCW</v>
          </cell>
          <cell r="T2660" t="str">
            <v>-</v>
          </cell>
          <cell r="U2660" t="str">
            <v>T</v>
          </cell>
          <cell r="V2660" t="str">
            <v>FC</v>
          </cell>
          <cell r="W2660" t="str">
            <v>-</v>
          </cell>
          <cell r="X2660" t="str">
            <v>CLP 220 (-15/+40°C)</v>
          </cell>
          <cell r="Y2660" t="str">
            <v>KH97/T DRN180L4 /RS /TF/V</v>
          </cell>
          <cell r="Z2660" t="str">
            <v>SEW</v>
          </cell>
          <cell r="AB2660" t="str">
            <v>-</v>
          </cell>
          <cell r="AF2660">
            <v>107</v>
          </cell>
          <cell r="AG2660" t="str">
            <v>DRN180L4</v>
          </cell>
          <cell r="AH2660" t="str">
            <v>KH97T-DRN180L4A270-X#</v>
          </cell>
        </row>
        <row r="2661">
          <cell r="A2661" t="str">
            <v>MR002649</v>
          </cell>
          <cell r="B2661" t="str">
            <v>MR</v>
          </cell>
          <cell r="C2661">
            <v>0.75</v>
          </cell>
          <cell r="D2661">
            <v>162</v>
          </cell>
          <cell r="E2661" t="str">
            <v>KA37</v>
          </cell>
          <cell r="F2661">
            <v>44</v>
          </cell>
          <cell r="G2661">
            <v>8.91</v>
          </cell>
          <cell r="H2661">
            <v>3.6</v>
          </cell>
          <cell r="I2661" t="str">
            <v>From M3A to M4A - 20°</v>
          </cell>
          <cell r="J2661" t="str">
            <v>IE3</v>
          </cell>
          <cell r="K2661" t="str">
            <v>220/380</v>
          </cell>
          <cell r="L2661">
            <v>50</v>
          </cell>
          <cell r="M2661" t="str">
            <v>3,2/1,85</v>
          </cell>
          <cell r="N2661">
            <v>55</v>
          </cell>
          <cell r="O2661" t="str">
            <v>155(F)</v>
          </cell>
          <cell r="P2661" t="str">
            <v>180°</v>
          </cell>
          <cell r="Q2661" t="str">
            <v>-</v>
          </cell>
          <cell r="R2661" t="str">
            <v>-</v>
          </cell>
          <cell r="S2661" t="str">
            <v>-</v>
          </cell>
          <cell r="T2661" t="str">
            <v>-</v>
          </cell>
          <cell r="U2661" t="str">
            <v>T</v>
          </cell>
          <cell r="V2661" t="str">
            <v>D</v>
          </cell>
          <cell r="W2661" t="str">
            <v>-</v>
          </cell>
          <cell r="X2661" t="str">
            <v>CLP 220 (-15/+40°C)</v>
          </cell>
          <cell r="Y2661" t="str">
            <v>KA37/T DRN80M4</v>
          </cell>
          <cell r="Z2661" t="str">
            <v>SEW</v>
          </cell>
          <cell r="AB2661" t="str">
            <v>-</v>
          </cell>
          <cell r="AF2661">
            <v>162</v>
          </cell>
          <cell r="AG2661" t="str">
            <v>DRN80M4</v>
          </cell>
          <cell r="AH2661" t="str">
            <v>KA37T-DRN80M4A180-X</v>
          </cell>
        </row>
        <row r="2662">
          <cell r="A2662" t="str">
            <v>MR002650</v>
          </cell>
          <cell r="B2662" t="str">
            <v>MR</v>
          </cell>
          <cell r="C2662">
            <v>0.37</v>
          </cell>
          <cell r="D2662">
            <v>4.7</v>
          </cell>
          <cell r="E2662" t="str">
            <v>FA67/R37</v>
          </cell>
          <cell r="F2662">
            <v>685</v>
          </cell>
          <cell r="G2662">
            <v>305</v>
          </cell>
          <cell r="H2662">
            <v>1.2</v>
          </cell>
          <cell r="I2662" t="str">
            <v>From M5 to M3 - 20°</v>
          </cell>
          <cell r="J2662" t="str">
            <v>IE3</v>
          </cell>
          <cell r="K2662" t="str">
            <v>220/380</v>
          </cell>
          <cell r="L2662">
            <v>50</v>
          </cell>
          <cell r="M2662" t="str">
            <v>1,78/1,02</v>
          </cell>
          <cell r="N2662">
            <v>55</v>
          </cell>
          <cell r="O2662" t="str">
            <v>155(F)</v>
          </cell>
          <cell r="P2662" t="str">
            <v>180°</v>
          </cell>
          <cell r="Q2662" t="str">
            <v>-</v>
          </cell>
          <cell r="R2662" t="str">
            <v>-</v>
          </cell>
          <cell r="S2662" t="str">
            <v>-</v>
          </cell>
          <cell r="T2662" t="str">
            <v>-</v>
          </cell>
          <cell r="U2662" t="str">
            <v>G</v>
          </cell>
          <cell r="V2662" t="str">
            <v>D</v>
          </cell>
          <cell r="W2662" t="str">
            <v>-</v>
          </cell>
          <cell r="X2662" t="str">
            <v>CLP 220 (-15/+40°C)</v>
          </cell>
          <cell r="Y2662" t="str">
            <v>FA67/R37/G DRN71M4</v>
          </cell>
          <cell r="Z2662" t="str">
            <v>SEW</v>
          </cell>
          <cell r="AB2662" t="str">
            <v>-</v>
          </cell>
          <cell r="AF2662">
            <v>4.7</v>
          </cell>
          <cell r="AG2662" t="str">
            <v>DRN71M4</v>
          </cell>
          <cell r="AH2662" t="str">
            <v>FA67/R37G-DRN71M4180-X</v>
          </cell>
        </row>
        <row r="2663">
          <cell r="A2663" t="str">
            <v>MR002651</v>
          </cell>
          <cell r="B2663" t="str">
            <v>MR</v>
          </cell>
          <cell r="C2663">
            <v>11</v>
          </cell>
          <cell r="D2663">
            <v>14</v>
          </cell>
          <cell r="E2663" t="str">
            <v>R137</v>
          </cell>
          <cell r="F2663">
            <v>7350</v>
          </cell>
          <cell r="G2663">
            <v>103.2</v>
          </cell>
          <cell r="H2663">
            <v>1.1000000000000001</v>
          </cell>
          <cell r="I2663" t="str">
            <v>From M1 to M2 - 20°</v>
          </cell>
          <cell r="J2663" t="str">
            <v>IE3</v>
          </cell>
          <cell r="K2663" t="str">
            <v>380/660</v>
          </cell>
          <cell r="L2663">
            <v>50</v>
          </cell>
          <cell r="M2663" t="str">
            <v>22/12,7</v>
          </cell>
          <cell r="N2663">
            <v>55</v>
          </cell>
          <cell r="O2663" t="str">
            <v>155(F)</v>
          </cell>
          <cell r="P2663" t="str">
            <v>270°</v>
          </cell>
          <cell r="Q2663" t="str">
            <v>TF</v>
          </cell>
          <cell r="R2663" t="str">
            <v>V(VE)</v>
          </cell>
          <cell r="S2663" t="str">
            <v>-</v>
          </cell>
          <cell r="T2663" t="str">
            <v>-</v>
          </cell>
          <cell r="U2663" t="str">
            <v>-</v>
          </cell>
          <cell r="V2663" t="str">
            <v>FC</v>
          </cell>
          <cell r="W2663" t="str">
            <v>-</v>
          </cell>
          <cell r="X2663" t="str">
            <v>CLP 220 (-15/+40°C)</v>
          </cell>
          <cell r="Y2663" t="str">
            <v>R137DRN160M4 /TF/V</v>
          </cell>
          <cell r="Z2663" t="str">
            <v>SEW</v>
          </cell>
          <cell r="AB2663" t="str">
            <v>-</v>
          </cell>
          <cell r="AF2663">
            <v>14</v>
          </cell>
          <cell r="AG2663" t="str">
            <v>DRN160M4</v>
          </cell>
          <cell r="AH2663" t="str">
            <v>R137-DRN160M4270-X#</v>
          </cell>
        </row>
        <row r="2664">
          <cell r="A2664" t="str">
            <v>MR002652</v>
          </cell>
          <cell r="B2664" t="str">
            <v>MR</v>
          </cell>
          <cell r="C2664">
            <v>0.55000000000000004</v>
          </cell>
          <cell r="D2664">
            <v>67</v>
          </cell>
          <cell r="E2664" t="str">
            <v>FA37</v>
          </cell>
          <cell r="F2664">
            <v>75</v>
          </cell>
          <cell r="G2664">
            <v>20.57</v>
          </cell>
          <cell r="H2664">
            <v>2.7</v>
          </cell>
          <cell r="I2664" t="str">
            <v>From M1 to M6 - 5°</v>
          </cell>
          <cell r="J2664" t="str">
            <v>IE3</v>
          </cell>
          <cell r="K2664" t="str">
            <v>220/380</v>
          </cell>
          <cell r="L2664">
            <v>50</v>
          </cell>
          <cell r="M2664" t="str">
            <v>2,35/1,36</v>
          </cell>
          <cell r="N2664">
            <v>55</v>
          </cell>
          <cell r="O2664" t="str">
            <v>155(F)</v>
          </cell>
          <cell r="P2664" t="str">
            <v>270°</v>
          </cell>
          <cell r="Q2664" t="str">
            <v>TF</v>
          </cell>
          <cell r="R2664" t="str">
            <v>-</v>
          </cell>
          <cell r="S2664" t="str">
            <v>-</v>
          </cell>
          <cell r="T2664" t="str">
            <v>-</v>
          </cell>
          <cell r="U2664" t="str">
            <v>G</v>
          </cell>
          <cell r="V2664" t="str">
            <v>D+R</v>
          </cell>
          <cell r="W2664" t="str">
            <v>-</v>
          </cell>
          <cell r="X2664" t="str">
            <v>CLP 220 (-15/+40°C)</v>
          </cell>
          <cell r="Y2664" t="str">
            <v>FA37/G DRN80MK4 /TF</v>
          </cell>
          <cell r="Z2664" t="str">
            <v>SEW</v>
          </cell>
          <cell r="AB2664" t="str">
            <v>-</v>
          </cell>
          <cell r="AF2664">
            <v>67</v>
          </cell>
          <cell r="AG2664" t="str">
            <v>DRN80MK4</v>
          </cell>
          <cell r="AH2664" t="str">
            <v>FA37G-DRN80MK4270-X</v>
          </cell>
        </row>
        <row r="2665">
          <cell r="A2665" t="str">
            <v>MR002653</v>
          </cell>
          <cell r="B2665" t="str">
            <v>MR</v>
          </cell>
          <cell r="C2665">
            <v>0.55000000000000004</v>
          </cell>
          <cell r="D2665">
            <v>67</v>
          </cell>
          <cell r="E2665" t="str">
            <v>FA37</v>
          </cell>
          <cell r="F2665">
            <v>75</v>
          </cell>
          <cell r="G2665">
            <v>20.57</v>
          </cell>
          <cell r="H2665">
            <v>2.7</v>
          </cell>
          <cell r="I2665" t="str">
            <v>From M1 to M5 - 5°</v>
          </cell>
          <cell r="J2665" t="str">
            <v>IE3</v>
          </cell>
          <cell r="K2665" t="str">
            <v>220/380</v>
          </cell>
          <cell r="L2665">
            <v>50</v>
          </cell>
          <cell r="M2665" t="str">
            <v>2,35/1,36</v>
          </cell>
          <cell r="N2665">
            <v>55</v>
          </cell>
          <cell r="O2665" t="str">
            <v>155(F)</v>
          </cell>
          <cell r="P2665" t="str">
            <v>270°</v>
          </cell>
          <cell r="Q2665" t="str">
            <v>TF</v>
          </cell>
          <cell r="R2665" t="str">
            <v>-</v>
          </cell>
          <cell r="S2665" t="str">
            <v>-</v>
          </cell>
          <cell r="T2665" t="str">
            <v>-</v>
          </cell>
          <cell r="U2665" t="str">
            <v>G</v>
          </cell>
          <cell r="V2665" t="str">
            <v>D+R</v>
          </cell>
          <cell r="W2665" t="str">
            <v>-</v>
          </cell>
          <cell r="X2665" t="str">
            <v>CLP 220 (-15/+40°C)</v>
          </cell>
          <cell r="Y2665" t="str">
            <v>FA37/G DRN80MK4 /TF</v>
          </cell>
          <cell r="Z2665" t="str">
            <v>SEW</v>
          </cell>
          <cell r="AB2665" t="str">
            <v>-</v>
          </cell>
          <cell r="AF2665">
            <v>67</v>
          </cell>
          <cell r="AG2665" t="str">
            <v>DRN80MK4</v>
          </cell>
          <cell r="AH2665" t="str">
            <v>FA37G-DRN80MK4270-X</v>
          </cell>
        </row>
        <row r="2666">
          <cell r="A2666" t="str">
            <v>MR002654</v>
          </cell>
          <cell r="B2666" t="str">
            <v>MR</v>
          </cell>
          <cell r="C2666">
            <v>0.75</v>
          </cell>
          <cell r="D2666">
            <v>1.7</v>
          </cell>
          <cell r="E2666" t="str">
            <v>KA97R57</v>
          </cell>
          <cell r="F2666">
            <v>3930</v>
          </cell>
          <cell r="G2666">
            <v>855</v>
          </cell>
          <cell r="H2666">
            <v>1.1000000000000001</v>
          </cell>
          <cell r="I2666" t="str">
            <v>M3B</v>
          </cell>
          <cell r="J2666" t="str">
            <v>IE3</v>
          </cell>
          <cell r="K2666" t="str">
            <v>230/400</v>
          </cell>
          <cell r="L2666">
            <v>50</v>
          </cell>
          <cell r="M2666" t="str">
            <v>3,05/1,75</v>
          </cell>
          <cell r="N2666">
            <v>55</v>
          </cell>
          <cell r="O2666" t="str">
            <v>155(F)</v>
          </cell>
          <cell r="P2666" t="str">
            <v>0°</v>
          </cell>
          <cell r="Q2666" t="str">
            <v>TF</v>
          </cell>
          <cell r="R2666" t="str">
            <v>V(VE)</v>
          </cell>
          <cell r="S2666" t="str">
            <v>-</v>
          </cell>
          <cell r="T2666" t="str">
            <v>BEHF</v>
          </cell>
          <cell r="U2666" t="str">
            <v>T</v>
          </cell>
          <cell r="V2666" t="str">
            <v>FC+R</v>
          </cell>
          <cell r="W2666" t="str">
            <v>YES</v>
          </cell>
          <cell r="X2666" t="str">
            <v>CLP HC 68 Mobilgear</v>
          </cell>
          <cell r="Y2666" t="str">
            <v>KA97R57/T DRN80M4 /BEHF /TF/V</v>
          </cell>
          <cell r="Z2666" t="str">
            <v>SEW</v>
          </cell>
          <cell r="AB2666" t="str">
            <v>-</v>
          </cell>
          <cell r="AE2666" t="str">
            <v>OS1 + KS + Fori Anticondensa</v>
          </cell>
          <cell r="AF2666">
            <v>1.7</v>
          </cell>
          <cell r="AG2666" t="str">
            <v>DRN80M4</v>
          </cell>
          <cell r="AH2666" t="str">
            <v>KA97R57T-DRN80M4B0-X#</v>
          </cell>
        </row>
        <row r="2667">
          <cell r="A2667" t="str">
            <v>MR002655</v>
          </cell>
          <cell r="B2667" t="str">
            <v>MR</v>
          </cell>
          <cell r="C2667">
            <v>22</v>
          </cell>
          <cell r="D2667">
            <v>16</v>
          </cell>
          <cell r="E2667" t="str">
            <v>KH157</v>
          </cell>
          <cell r="F2667">
            <v>13000</v>
          </cell>
          <cell r="G2667">
            <v>91.65</v>
          </cell>
          <cell r="H2667">
            <v>1.55</v>
          </cell>
          <cell r="I2667" t="str">
            <v>M4A</v>
          </cell>
          <cell r="J2667" t="str">
            <v>IE3</v>
          </cell>
          <cell r="K2667" t="str">
            <v>400/690</v>
          </cell>
          <cell r="L2667">
            <v>50</v>
          </cell>
          <cell r="M2667" t="str">
            <v>38,5/22,5</v>
          </cell>
          <cell r="N2667">
            <v>55</v>
          </cell>
          <cell r="O2667" t="str">
            <v>155(F)</v>
          </cell>
          <cell r="P2667" t="str">
            <v>270°</v>
          </cell>
          <cell r="Q2667" t="str">
            <v>-</v>
          </cell>
          <cell r="R2667" t="str">
            <v>-</v>
          </cell>
          <cell r="S2667" t="str">
            <v>-</v>
          </cell>
          <cell r="T2667" t="str">
            <v>-</v>
          </cell>
          <cell r="U2667" t="str">
            <v>-</v>
          </cell>
          <cell r="V2667" t="str">
            <v>SS</v>
          </cell>
          <cell r="W2667" t="str">
            <v>-</v>
          </cell>
          <cell r="X2667" t="str">
            <v>CLP PG 220 (-25/+80°C)</v>
          </cell>
          <cell r="Y2667" t="str">
            <v>KH157DRN180L4</v>
          </cell>
          <cell r="Z2667" t="str">
            <v>SEW</v>
          </cell>
          <cell r="AB2667" t="str">
            <v>-</v>
          </cell>
          <cell r="AF2667">
            <v>16</v>
          </cell>
          <cell r="AG2667" t="str">
            <v>DRN180L4</v>
          </cell>
          <cell r="AH2667" t="str">
            <v>KH157-DRN180L4A270-X</v>
          </cell>
        </row>
        <row r="2668">
          <cell r="A2668" t="str">
            <v>MR002656</v>
          </cell>
          <cell r="B2668" t="str">
            <v>MR</v>
          </cell>
          <cell r="C2668">
            <v>22</v>
          </cell>
          <cell r="D2668">
            <v>16</v>
          </cell>
          <cell r="E2668" t="str">
            <v>KH157</v>
          </cell>
          <cell r="F2668">
            <v>13000</v>
          </cell>
          <cell r="G2668">
            <v>91.65</v>
          </cell>
          <cell r="H2668">
            <v>1.55</v>
          </cell>
          <cell r="I2668" t="str">
            <v>M4B</v>
          </cell>
          <cell r="J2668" t="str">
            <v>IE3</v>
          </cell>
          <cell r="K2668" t="str">
            <v>400/690</v>
          </cell>
          <cell r="L2668">
            <v>50</v>
          </cell>
          <cell r="M2668" t="str">
            <v>38,5/22,5</v>
          </cell>
          <cell r="N2668">
            <v>55</v>
          </cell>
          <cell r="O2668" t="str">
            <v>155(F)</v>
          </cell>
          <cell r="P2668" t="str">
            <v>270°</v>
          </cell>
          <cell r="Q2668" t="str">
            <v>-</v>
          </cell>
          <cell r="R2668" t="str">
            <v>-</v>
          </cell>
          <cell r="S2668" t="str">
            <v>-</v>
          </cell>
          <cell r="T2668" t="str">
            <v>-</v>
          </cell>
          <cell r="U2668" t="str">
            <v>-</v>
          </cell>
          <cell r="V2668" t="str">
            <v>SS</v>
          </cell>
          <cell r="W2668" t="str">
            <v>-</v>
          </cell>
          <cell r="X2668" t="str">
            <v>CLP PG 220 (-25/+80°C)</v>
          </cell>
          <cell r="Y2668" t="str">
            <v>KH157DRN180L4</v>
          </cell>
          <cell r="Z2668" t="str">
            <v>SEW</v>
          </cell>
          <cell r="AB2668" t="str">
            <v>-</v>
          </cell>
          <cell r="AF2668">
            <v>16</v>
          </cell>
          <cell r="AG2668" t="str">
            <v>DRN180L4</v>
          </cell>
          <cell r="AH2668" t="str">
            <v>KH157-DRN180L4B270-X</v>
          </cell>
        </row>
        <row r="2669">
          <cell r="A2669" t="str">
            <v>MR002657</v>
          </cell>
          <cell r="B2669" t="str">
            <v>MR</v>
          </cell>
          <cell r="C2669">
            <v>15</v>
          </cell>
          <cell r="D2669">
            <v>12</v>
          </cell>
          <cell r="E2669" t="str">
            <v>KH127</v>
          </cell>
          <cell r="F2669">
            <v>11900</v>
          </cell>
          <cell r="G2669">
            <v>122.48</v>
          </cell>
          <cell r="H2669">
            <v>1.1000000000000001</v>
          </cell>
          <cell r="I2669" t="str">
            <v>From M4A to M1A - 30°</v>
          </cell>
          <cell r="J2669" t="str">
            <v>IE3</v>
          </cell>
          <cell r="K2669" t="str">
            <v>400/690</v>
          </cell>
          <cell r="L2669">
            <v>50</v>
          </cell>
          <cell r="M2669" t="str">
            <v>29/16,7</v>
          </cell>
          <cell r="N2669">
            <v>55</v>
          </cell>
          <cell r="O2669" t="str">
            <v>155(F)</v>
          </cell>
          <cell r="P2669" t="str">
            <v>270°</v>
          </cell>
          <cell r="Q2669" t="str">
            <v>TF</v>
          </cell>
          <cell r="R2669" t="str">
            <v>-</v>
          </cell>
          <cell r="S2669" t="str">
            <v>-</v>
          </cell>
          <cell r="T2669" t="str">
            <v>-</v>
          </cell>
          <cell r="U2669" t="str">
            <v>-</v>
          </cell>
          <cell r="V2669" t="str">
            <v>SS</v>
          </cell>
          <cell r="W2669" t="str">
            <v>YES</v>
          </cell>
          <cell r="X2669" t="str">
            <v>CLP HC 68 Mobilgear</v>
          </cell>
          <cell r="Y2669" t="str">
            <v>KH127DRN160L4 /TF</v>
          </cell>
          <cell r="Z2669" t="str">
            <v>SEW</v>
          </cell>
          <cell r="AB2669" t="str">
            <v>-</v>
          </cell>
          <cell r="AE2669" t="str">
            <v>OS1 + KS + Fori Anticondensa</v>
          </cell>
          <cell r="AF2669">
            <v>12</v>
          </cell>
          <cell r="AG2669" t="str">
            <v>DRN160L4</v>
          </cell>
          <cell r="AH2669" t="str">
            <v>KH127-DRN160L4A270-X</v>
          </cell>
        </row>
        <row r="2670">
          <cell r="A2670" t="str">
            <v>MR002658</v>
          </cell>
          <cell r="B2670" t="str">
            <v>MR</v>
          </cell>
          <cell r="C2670">
            <v>15</v>
          </cell>
          <cell r="D2670">
            <v>12</v>
          </cell>
          <cell r="E2670" t="str">
            <v>KH127</v>
          </cell>
          <cell r="F2670">
            <v>11900</v>
          </cell>
          <cell r="G2670">
            <v>122.48</v>
          </cell>
          <cell r="H2670">
            <v>1.1000000000000001</v>
          </cell>
          <cell r="I2670" t="str">
            <v>From M4B to M1B - 30°</v>
          </cell>
          <cell r="J2670" t="str">
            <v>IE3</v>
          </cell>
          <cell r="K2670" t="str">
            <v>400/690</v>
          </cell>
          <cell r="L2670">
            <v>50</v>
          </cell>
          <cell r="M2670" t="str">
            <v>29/16,7</v>
          </cell>
          <cell r="N2670">
            <v>55</v>
          </cell>
          <cell r="O2670" t="str">
            <v>155(F)</v>
          </cell>
          <cell r="P2670" t="str">
            <v>270°</v>
          </cell>
          <cell r="Q2670" t="str">
            <v>TF</v>
          </cell>
          <cell r="R2670" t="str">
            <v>-</v>
          </cell>
          <cell r="S2670" t="str">
            <v>-</v>
          </cell>
          <cell r="T2670" t="str">
            <v>-</v>
          </cell>
          <cell r="U2670" t="str">
            <v>-</v>
          </cell>
          <cell r="V2670" t="str">
            <v>SS</v>
          </cell>
          <cell r="W2670" t="str">
            <v>YES</v>
          </cell>
          <cell r="X2670" t="str">
            <v>CLP HC 68 Mobilgear</v>
          </cell>
          <cell r="Y2670" t="str">
            <v>KH127DRN160L4 /TF</v>
          </cell>
          <cell r="Z2670" t="str">
            <v>SEW</v>
          </cell>
          <cell r="AB2670" t="str">
            <v>-</v>
          </cell>
          <cell r="AE2670" t="str">
            <v>OS1 + KS + Fori Anticondensa</v>
          </cell>
          <cell r="AF2670">
            <v>12</v>
          </cell>
          <cell r="AG2670" t="str">
            <v>DRN160L4</v>
          </cell>
          <cell r="AH2670" t="str">
            <v>KH127-DRN160L4B270-X</v>
          </cell>
        </row>
        <row r="2671">
          <cell r="A2671" t="str">
            <v>MR002659</v>
          </cell>
          <cell r="B2671" t="str">
            <v>MR</v>
          </cell>
          <cell r="C2671">
            <v>22</v>
          </cell>
          <cell r="D2671">
            <v>12</v>
          </cell>
          <cell r="E2671" t="str">
            <v>KH157</v>
          </cell>
          <cell r="F2671">
            <v>17400</v>
          </cell>
          <cell r="G2671">
            <v>122.39</v>
          </cell>
          <cell r="H2671">
            <v>1.1499999999999999</v>
          </cell>
          <cell r="I2671" t="str">
            <v>M4A</v>
          </cell>
          <cell r="J2671" t="str">
            <v>IE3</v>
          </cell>
          <cell r="K2671" t="str">
            <v>400/690</v>
          </cell>
          <cell r="L2671">
            <v>50</v>
          </cell>
          <cell r="M2671" t="str">
            <v>38,5/22,5</v>
          </cell>
          <cell r="N2671">
            <v>55</v>
          </cell>
          <cell r="O2671" t="str">
            <v>155(F)</v>
          </cell>
          <cell r="P2671" t="str">
            <v>270°</v>
          </cell>
          <cell r="Q2671" t="str">
            <v>-</v>
          </cell>
          <cell r="R2671" t="str">
            <v>-</v>
          </cell>
          <cell r="S2671" t="str">
            <v>-</v>
          </cell>
          <cell r="T2671" t="str">
            <v>-</v>
          </cell>
          <cell r="U2671" t="str">
            <v>-</v>
          </cell>
          <cell r="V2671" t="str">
            <v>SS</v>
          </cell>
          <cell r="W2671" t="str">
            <v>-</v>
          </cell>
          <cell r="X2671" t="str">
            <v>CLP PG 220 (-25/+80°C)</v>
          </cell>
          <cell r="Y2671" t="str">
            <v>KH157DRN180L4</v>
          </cell>
          <cell r="Z2671" t="str">
            <v>SEW</v>
          </cell>
          <cell r="AB2671" t="str">
            <v>-</v>
          </cell>
          <cell r="AF2671">
            <v>12</v>
          </cell>
          <cell r="AG2671" t="str">
            <v>DRN180L4</v>
          </cell>
          <cell r="AH2671" t="str">
            <v>KH157-DRN180L4A270-X</v>
          </cell>
        </row>
        <row r="2672">
          <cell r="A2672" t="str">
            <v>MR002660</v>
          </cell>
          <cell r="B2672" t="str">
            <v>MR</v>
          </cell>
          <cell r="C2672">
            <v>22</v>
          </cell>
          <cell r="D2672">
            <v>12</v>
          </cell>
          <cell r="E2672" t="str">
            <v>KH157</v>
          </cell>
          <cell r="F2672">
            <v>17400</v>
          </cell>
          <cell r="G2672">
            <v>122.39</v>
          </cell>
          <cell r="H2672">
            <v>1.1499999999999999</v>
          </cell>
          <cell r="I2672" t="str">
            <v>M4B</v>
          </cell>
          <cell r="J2672" t="str">
            <v>IE3</v>
          </cell>
          <cell r="K2672" t="str">
            <v>400/690</v>
          </cell>
          <cell r="L2672">
            <v>50</v>
          </cell>
          <cell r="M2672" t="str">
            <v>38,5/22,5</v>
          </cell>
          <cell r="N2672">
            <v>55</v>
          </cell>
          <cell r="O2672" t="str">
            <v>155(F)</v>
          </cell>
          <cell r="P2672" t="str">
            <v>270°</v>
          </cell>
          <cell r="Q2672" t="str">
            <v>-</v>
          </cell>
          <cell r="R2672" t="str">
            <v>-</v>
          </cell>
          <cell r="S2672" t="str">
            <v>-</v>
          </cell>
          <cell r="T2672" t="str">
            <v>-</v>
          </cell>
          <cell r="U2672" t="str">
            <v>-</v>
          </cell>
          <cell r="V2672" t="str">
            <v>SS</v>
          </cell>
          <cell r="W2672" t="str">
            <v>-</v>
          </cell>
          <cell r="X2672" t="str">
            <v>CLP PG 220 (-25/+80°C)</v>
          </cell>
          <cell r="Y2672" t="str">
            <v>KH157DRN180L4</v>
          </cell>
          <cell r="Z2672" t="str">
            <v>SEW</v>
          </cell>
          <cell r="AB2672" t="str">
            <v>-</v>
          </cell>
          <cell r="AF2672">
            <v>12</v>
          </cell>
          <cell r="AG2672" t="str">
            <v>DRN180L4</v>
          </cell>
          <cell r="AH2672" t="str">
            <v>KH157-DRN180L4B270-X</v>
          </cell>
        </row>
        <row r="2673">
          <cell r="A2673" t="str">
            <v>MR002661</v>
          </cell>
          <cell r="B2673" t="str">
            <v>MR</v>
          </cell>
          <cell r="C2673">
            <v>11</v>
          </cell>
          <cell r="D2673">
            <v>59</v>
          </cell>
          <cell r="E2673" t="str">
            <v>R97</v>
          </cell>
          <cell r="F2673">
            <v>1780</v>
          </cell>
          <cell r="G2673">
            <v>25.03</v>
          </cell>
          <cell r="H2673">
            <v>1.6</v>
          </cell>
          <cell r="I2673" t="str">
            <v>M1</v>
          </cell>
          <cell r="J2673" t="str">
            <v>IE3</v>
          </cell>
          <cell r="K2673" t="str">
            <v>400/690</v>
          </cell>
          <cell r="L2673">
            <v>50</v>
          </cell>
          <cell r="M2673" t="str">
            <v>21/12,2</v>
          </cell>
          <cell r="N2673">
            <v>55</v>
          </cell>
          <cell r="O2673" t="str">
            <v>155(F)</v>
          </cell>
          <cell r="P2673" t="str">
            <v>270°</v>
          </cell>
          <cell r="Q2673" t="str">
            <v>TF</v>
          </cell>
          <cell r="R2673" t="str">
            <v>-</v>
          </cell>
          <cell r="S2673" t="str">
            <v>-</v>
          </cell>
          <cell r="T2673" t="str">
            <v>-</v>
          </cell>
          <cell r="U2673" t="str">
            <v>-</v>
          </cell>
          <cell r="V2673" t="str">
            <v>D</v>
          </cell>
          <cell r="W2673" t="str">
            <v>YES</v>
          </cell>
          <cell r="X2673" t="str">
            <v>CLP HC 68 Mobilgear</v>
          </cell>
          <cell r="Y2673" t="str">
            <v>R97DRN160M4 /TF</v>
          </cell>
          <cell r="Z2673" t="str">
            <v>SEW</v>
          </cell>
          <cell r="AB2673" t="str">
            <v>-</v>
          </cell>
          <cell r="AE2673" t="str">
            <v>OS1 + KS + Fori Anticondensa</v>
          </cell>
          <cell r="AF2673">
            <v>59</v>
          </cell>
          <cell r="AG2673" t="str">
            <v>DRN160M4</v>
          </cell>
          <cell r="AH2673" t="str">
            <v>R97-DRN160M4270-X</v>
          </cell>
        </row>
        <row r="2674">
          <cell r="A2674" t="str">
            <v>MR002662</v>
          </cell>
          <cell r="B2674" t="str">
            <v>MR</v>
          </cell>
          <cell r="C2674">
            <v>15</v>
          </cell>
          <cell r="D2674">
            <v>12</v>
          </cell>
          <cell r="E2674" t="str">
            <v>KH127</v>
          </cell>
          <cell r="F2674">
            <v>11900</v>
          </cell>
          <cell r="G2674">
            <v>122.48</v>
          </cell>
          <cell r="H2674">
            <v>1.1000000000000001</v>
          </cell>
          <cell r="I2674" t="str">
            <v>From M4A to M1A - 35°</v>
          </cell>
          <cell r="J2674" t="str">
            <v>IE3</v>
          </cell>
          <cell r="K2674" t="str">
            <v>400/690</v>
          </cell>
          <cell r="L2674">
            <v>50</v>
          </cell>
          <cell r="M2674" t="str">
            <v>29/16,7</v>
          </cell>
          <cell r="N2674">
            <v>55</v>
          </cell>
          <cell r="O2674" t="str">
            <v>155(F)</v>
          </cell>
          <cell r="P2674" t="str">
            <v>270°</v>
          </cell>
          <cell r="Q2674" t="str">
            <v>TF</v>
          </cell>
          <cell r="R2674" t="str">
            <v>-</v>
          </cell>
          <cell r="S2674" t="str">
            <v>-</v>
          </cell>
          <cell r="T2674" t="str">
            <v>-</v>
          </cell>
          <cell r="U2674" t="str">
            <v>-</v>
          </cell>
          <cell r="V2674" t="str">
            <v>FC</v>
          </cell>
          <cell r="W2674" t="str">
            <v>-</v>
          </cell>
          <cell r="X2674" t="str">
            <v>CLP PG 220 (-25/+80°C)</v>
          </cell>
          <cell r="Y2674" t="str">
            <v>KH127DRN160L4 /TF</v>
          </cell>
          <cell r="Z2674" t="str">
            <v>SEW</v>
          </cell>
          <cell r="AB2674" t="str">
            <v>-</v>
          </cell>
          <cell r="AF2674">
            <v>12</v>
          </cell>
          <cell r="AG2674" t="str">
            <v>DRN160L4</v>
          </cell>
          <cell r="AH2674" t="str">
            <v>KH127-DRN160L4A270-X</v>
          </cell>
        </row>
        <row r="2675">
          <cell r="A2675" t="str">
            <v>MR002663</v>
          </cell>
          <cell r="B2675" t="str">
            <v>MR</v>
          </cell>
          <cell r="C2675">
            <v>15</v>
          </cell>
          <cell r="D2675">
            <v>12</v>
          </cell>
          <cell r="E2675" t="str">
            <v>KH127</v>
          </cell>
          <cell r="F2675">
            <v>11900</v>
          </cell>
          <cell r="G2675">
            <v>122.48</v>
          </cell>
          <cell r="H2675">
            <v>1.1000000000000001</v>
          </cell>
          <cell r="I2675" t="str">
            <v>From M4B to M1B - 35°</v>
          </cell>
          <cell r="J2675" t="str">
            <v>IE3</v>
          </cell>
          <cell r="K2675" t="str">
            <v>400/690</v>
          </cell>
          <cell r="L2675">
            <v>50</v>
          </cell>
          <cell r="M2675" t="str">
            <v>29/16,7</v>
          </cell>
          <cell r="N2675">
            <v>55</v>
          </cell>
          <cell r="O2675" t="str">
            <v>155(F)</v>
          </cell>
          <cell r="P2675" t="str">
            <v>270°</v>
          </cell>
          <cell r="Q2675" t="str">
            <v>TF</v>
          </cell>
          <cell r="R2675" t="str">
            <v>-</v>
          </cell>
          <cell r="S2675" t="str">
            <v>-</v>
          </cell>
          <cell r="T2675" t="str">
            <v>-</v>
          </cell>
          <cell r="U2675" t="str">
            <v>-</v>
          </cell>
          <cell r="V2675" t="str">
            <v>FC</v>
          </cell>
          <cell r="W2675" t="str">
            <v>-</v>
          </cell>
          <cell r="X2675" t="str">
            <v>CLP PG 220 (-25/+80°C)</v>
          </cell>
          <cell r="Y2675" t="str">
            <v>KH127DRN160L4 /TF</v>
          </cell>
          <cell r="Z2675" t="str">
            <v>SEW</v>
          </cell>
          <cell r="AB2675" t="str">
            <v>-</v>
          </cell>
          <cell r="AF2675">
            <v>12</v>
          </cell>
          <cell r="AG2675" t="str">
            <v>DRN160L4</v>
          </cell>
          <cell r="AH2675" t="str">
            <v>KH127-DRN160L4B270-X</v>
          </cell>
        </row>
        <row r="2676">
          <cell r="A2676" t="str">
            <v>MR002664</v>
          </cell>
          <cell r="B2676" t="str">
            <v>MR</v>
          </cell>
          <cell r="C2676">
            <v>15</v>
          </cell>
          <cell r="D2676">
            <v>12</v>
          </cell>
          <cell r="E2676" t="str">
            <v>KH127</v>
          </cell>
          <cell r="F2676">
            <v>11900</v>
          </cell>
          <cell r="G2676">
            <v>122.48</v>
          </cell>
          <cell r="H2676">
            <v>1.1000000000000001</v>
          </cell>
          <cell r="I2676" t="str">
            <v>From M4A to M1A - 5°</v>
          </cell>
          <cell r="J2676" t="str">
            <v>IE3</v>
          </cell>
          <cell r="K2676" t="str">
            <v>400/690</v>
          </cell>
          <cell r="L2676">
            <v>50</v>
          </cell>
          <cell r="M2676" t="str">
            <v>29/16,7</v>
          </cell>
          <cell r="N2676">
            <v>55</v>
          </cell>
          <cell r="O2676" t="str">
            <v>155(F)</v>
          </cell>
          <cell r="P2676" t="str">
            <v>270°</v>
          </cell>
          <cell r="Q2676" t="str">
            <v>TF</v>
          </cell>
          <cell r="R2676" t="str">
            <v>-</v>
          </cell>
          <cell r="S2676" t="str">
            <v>-</v>
          </cell>
          <cell r="T2676" t="str">
            <v>-</v>
          </cell>
          <cell r="U2676" t="str">
            <v>-</v>
          </cell>
          <cell r="V2676" t="str">
            <v>FC</v>
          </cell>
          <cell r="W2676" t="str">
            <v>-</v>
          </cell>
          <cell r="X2676" t="str">
            <v>CLP PG 220 (-25/+80°C)</v>
          </cell>
          <cell r="Y2676" t="str">
            <v>KH127DRN160L4 /TF</v>
          </cell>
          <cell r="Z2676" t="str">
            <v>SEW</v>
          </cell>
          <cell r="AB2676" t="str">
            <v>-</v>
          </cell>
          <cell r="AF2676">
            <v>12</v>
          </cell>
          <cell r="AG2676" t="str">
            <v>DRN160L4</v>
          </cell>
          <cell r="AH2676" t="str">
            <v>KH127-DRN160L4A270-X</v>
          </cell>
        </row>
        <row r="2677">
          <cell r="A2677" t="str">
            <v>MR002665</v>
          </cell>
          <cell r="B2677" t="str">
            <v>MR</v>
          </cell>
          <cell r="C2677">
            <v>15</v>
          </cell>
          <cell r="D2677">
            <v>12</v>
          </cell>
          <cell r="E2677" t="str">
            <v>KH127</v>
          </cell>
          <cell r="F2677">
            <v>11900</v>
          </cell>
          <cell r="G2677">
            <v>122.48</v>
          </cell>
          <cell r="H2677">
            <v>1.1000000000000001</v>
          </cell>
          <cell r="I2677" t="str">
            <v>From M4B to M1B - 5°</v>
          </cell>
          <cell r="J2677" t="str">
            <v>IE3</v>
          </cell>
          <cell r="K2677" t="str">
            <v>400/690</v>
          </cell>
          <cell r="L2677">
            <v>50</v>
          </cell>
          <cell r="M2677" t="str">
            <v>29/16,7</v>
          </cell>
          <cell r="N2677">
            <v>55</v>
          </cell>
          <cell r="O2677" t="str">
            <v>155(F)</v>
          </cell>
          <cell r="P2677" t="str">
            <v>270°</v>
          </cell>
          <cell r="Q2677" t="str">
            <v>TF</v>
          </cell>
          <cell r="R2677" t="str">
            <v>-</v>
          </cell>
          <cell r="S2677" t="str">
            <v>-</v>
          </cell>
          <cell r="T2677" t="str">
            <v>-</v>
          </cell>
          <cell r="U2677" t="str">
            <v>-</v>
          </cell>
          <cell r="V2677" t="str">
            <v>FC</v>
          </cell>
          <cell r="W2677" t="str">
            <v>-</v>
          </cell>
          <cell r="X2677" t="str">
            <v>CLP PG 220 (-25/+80°C)</v>
          </cell>
          <cell r="Y2677" t="str">
            <v>KH127DRN160L4 /TF</v>
          </cell>
          <cell r="Z2677" t="str">
            <v>SEW</v>
          </cell>
          <cell r="AB2677" t="str">
            <v>-</v>
          </cell>
          <cell r="AF2677">
            <v>12</v>
          </cell>
          <cell r="AG2677" t="str">
            <v>DRN160L4</v>
          </cell>
          <cell r="AH2677" t="str">
            <v>KH127-DRN160L4B270-X</v>
          </cell>
        </row>
        <row r="2678">
          <cell r="A2678" t="str">
            <v>MR002666</v>
          </cell>
          <cell r="B2678" t="str">
            <v>MR</v>
          </cell>
          <cell r="C2678">
            <v>1.5</v>
          </cell>
          <cell r="D2678">
            <v>22</v>
          </cell>
          <cell r="E2678" t="str">
            <v>FA67</v>
          </cell>
          <cell r="F2678">
            <v>660</v>
          </cell>
          <cell r="G2678">
            <v>67.650000000000006</v>
          </cell>
          <cell r="H2678">
            <v>1.25</v>
          </cell>
          <cell r="I2678" t="str">
            <v>From M6 to M3 - 5°</v>
          </cell>
          <cell r="J2678" t="str">
            <v>IE3</v>
          </cell>
          <cell r="K2678" t="str">
            <v>230/400</v>
          </cell>
          <cell r="L2678">
            <v>50</v>
          </cell>
          <cell r="M2678" t="str">
            <v>5,9/3,4</v>
          </cell>
          <cell r="N2678">
            <v>55</v>
          </cell>
          <cell r="O2678" t="str">
            <v>155(F)</v>
          </cell>
          <cell r="P2678" t="str">
            <v>0°</v>
          </cell>
          <cell r="Q2678" t="str">
            <v>-</v>
          </cell>
          <cell r="R2678" t="str">
            <v>-</v>
          </cell>
          <cell r="S2678" t="str">
            <v>-</v>
          </cell>
          <cell r="T2678" t="str">
            <v>BEHF</v>
          </cell>
          <cell r="U2678" t="str">
            <v>G</v>
          </cell>
          <cell r="V2678" t="str">
            <v>D+R</v>
          </cell>
          <cell r="W2678" t="str">
            <v>-</v>
          </cell>
          <cell r="X2678" t="str">
            <v>CLP PG 220 (-25/+80°C)</v>
          </cell>
          <cell r="Y2678" t="str">
            <v>FA67/G DRN90L4 /BEHF</v>
          </cell>
          <cell r="Z2678" t="str">
            <v>SEW</v>
          </cell>
          <cell r="AB2678" t="str">
            <v>-</v>
          </cell>
          <cell r="AF2678">
            <v>22</v>
          </cell>
          <cell r="AG2678" t="str">
            <v>DRN90L4</v>
          </cell>
          <cell r="AH2678" t="str">
            <v>FA67G-DRN90L40-X</v>
          </cell>
        </row>
        <row r="2679">
          <cell r="A2679" t="str">
            <v>MR002667</v>
          </cell>
          <cell r="B2679" t="str">
            <v>MR</v>
          </cell>
          <cell r="C2679">
            <v>15</v>
          </cell>
          <cell r="D2679">
            <v>23</v>
          </cell>
          <cell r="E2679" t="str">
            <v>R137</v>
          </cell>
          <cell r="F2679">
            <v>6330</v>
          </cell>
          <cell r="G2679">
            <v>65.2</v>
          </cell>
          <cell r="H2679">
            <v>1.25</v>
          </cell>
          <cell r="I2679" t="str">
            <v>M1</v>
          </cell>
          <cell r="J2679" t="str">
            <v>IE3</v>
          </cell>
          <cell r="K2679" t="str">
            <v>400/690</v>
          </cell>
          <cell r="L2679">
            <v>50</v>
          </cell>
          <cell r="M2679" t="str">
            <v>29/16,7</v>
          </cell>
          <cell r="N2679">
            <v>55</v>
          </cell>
          <cell r="O2679" t="str">
            <v>155(F)</v>
          </cell>
          <cell r="P2679" t="str">
            <v>270°</v>
          </cell>
          <cell r="Q2679" t="str">
            <v>TF</v>
          </cell>
          <cell r="R2679" t="str">
            <v>V(VE)</v>
          </cell>
          <cell r="S2679" t="str">
            <v>-</v>
          </cell>
          <cell r="T2679" t="str">
            <v>-</v>
          </cell>
          <cell r="U2679" t="str">
            <v>-</v>
          </cell>
          <cell r="V2679" t="str">
            <v>FC</v>
          </cell>
          <cell r="W2679" t="str">
            <v>-</v>
          </cell>
          <cell r="X2679" t="str">
            <v>CLP PG 220 (-25/+80°C)</v>
          </cell>
          <cell r="Y2679" t="str">
            <v>R137DRN160L4 /TF/V</v>
          </cell>
          <cell r="Z2679" t="str">
            <v>SEW</v>
          </cell>
          <cell r="AB2679" t="str">
            <v>-</v>
          </cell>
          <cell r="AF2679">
            <v>23</v>
          </cell>
          <cell r="AG2679" t="str">
            <v>DRN160L4</v>
          </cell>
          <cell r="AH2679" t="str">
            <v>R137-DRN160L4270-X#</v>
          </cell>
        </row>
        <row r="2680">
          <cell r="A2680" t="str">
            <v>MR002668</v>
          </cell>
          <cell r="B2680" t="str">
            <v>MR</v>
          </cell>
          <cell r="C2680">
            <v>15</v>
          </cell>
          <cell r="D2680">
            <v>16</v>
          </cell>
          <cell r="E2680" t="str">
            <v>KH127</v>
          </cell>
          <cell r="F2680">
            <v>8730</v>
          </cell>
          <cell r="G2680">
            <v>89.89</v>
          </cell>
          <cell r="H2680">
            <v>1.5</v>
          </cell>
          <cell r="I2680" t="str">
            <v>From M4A to M1A - 30°</v>
          </cell>
          <cell r="J2680" t="str">
            <v>IE3</v>
          </cell>
          <cell r="K2680" t="str">
            <v>400/690</v>
          </cell>
          <cell r="L2680">
            <v>50</v>
          </cell>
          <cell r="M2680" t="str">
            <v>29/16,7</v>
          </cell>
          <cell r="N2680">
            <v>55</v>
          </cell>
          <cell r="O2680" t="str">
            <v>155(F)</v>
          </cell>
          <cell r="P2680" t="str">
            <v>270°</v>
          </cell>
          <cell r="Q2680" t="str">
            <v>TF</v>
          </cell>
          <cell r="R2680" t="str">
            <v>V(VE)</v>
          </cell>
          <cell r="S2680" t="str">
            <v>-</v>
          </cell>
          <cell r="T2680" t="str">
            <v>-</v>
          </cell>
          <cell r="U2680" t="str">
            <v>-</v>
          </cell>
          <cell r="V2680" t="str">
            <v>FC</v>
          </cell>
          <cell r="W2680" t="str">
            <v>-</v>
          </cell>
          <cell r="X2680" t="str">
            <v>CLP PG 220 (-25/+80°C)</v>
          </cell>
          <cell r="Y2680" t="str">
            <v>KH127DRN160L4 /TF/V</v>
          </cell>
          <cell r="Z2680" t="str">
            <v>SEW</v>
          </cell>
          <cell r="AB2680" t="str">
            <v>-</v>
          </cell>
          <cell r="AF2680">
            <v>16</v>
          </cell>
          <cell r="AG2680" t="str">
            <v>DRN160L4</v>
          </cell>
          <cell r="AH2680" t="str">
            <v>KH127-DRN160L4A270-X#</v>
          </cell>
        </row>
        <row r="2681">
          <cell r="A2681" t="str">
            <v>MR002669</v>
          </cell>
          <cell r="B2681" t="str">
            <v>MR</v>
          </cell>
          <cell r="C2681">
            <v>15</v>
          </cell>
          <cell r="D2681">
            <v>16</v>
          </cell>
          <cell r="E2681" t="str">
            <v>KH127</v>
          </cell>
          <cell r="F2681">
            <v>8730</v>
          </cell>
          <cell r="G2681">
            <v>89.89</v>
          </cell>
          <cell r="H2681">
            <v>1.5</v>
          </cell>
          <cell r="I2681" t="str">
            <v>From M4B to M1B - 30°</v>
          </cell>
          <cell r="J2681" t="str">
            <v>IE3</v>
          </cell>
          <cell r="K2681" t="str">
            <v>400/690</v>
          </cell>
          <cell r="L2681">
            <v>50</v>
          </cell>
          <cell r="M2681" t="str">
            <v>29/16,7</v>
          </cell>
          <cell r="N2681">
            <v>55</v>
          </cell>
          <cell r="O2681" t="str">
            <v>155(F)</v>
          </cell>
          <cell r="P2681" t="str">
            <v>270°</v>
          </cell>
          <cell r="Q2681" t="str">
            <v>TF</v>
          </cell>
          <cell r="R2681" t="str">
            <v>V(VE)</v>
          </cell>
          <cell r="S2681" t="str">
            <v>-</v>
          </cell>
          <cell r="T2681" t="str">
            <v>-</v>
          </cell>
          <cell r="U2681" t="str">
            <v>-</v>
          </cell>
          <cell r="V2681" t="str">
            <v>FC</v>
          </cell>
          <cell r="W2681" t="str">
            <v>-</v>
          </cell>
          <cell r="X2681" t="str">
            <v>CLP PG 220 (-25/+80°C)</v>
          </cell>
          <cell r="Y2681" t="str">
            <v>KH127DRN160L4 /TF/V</v>
          </cell>
          <cell r="Z2681" t="str">
            <v>SEW</v>
          </cell>
          <cell r="AB2681" t="str">
            <v>-</v>
          </cell>
          <cell r="AF2681">
            <v>16</v>
          </cell>
          <cell r="AG2681" t="str">
            <v>DRN160L4</v>
          </cell>
          <cell r="AH2681" t="str">
            <v>KH127-DRN160L4B270-X#</v>
          </cell>
        </row>
        <row r="2682">
          <cell r="A2682" t="str">
            <v>MR002670</v>
          </cell>
          <cell r="B2682" t="str">
            <v>MR</v>
          </cell>
          <cell r="C2682">
            <v>18.5</v>
          </cell>
          <cell r="D2682">
            <v>12</v>
          </cell>
          <cell r="E2682" t="str">
            <v>KH157</v>
          </cell>
          <cell r="F2682">
            <v>14600</v>
          </cell>
          <cell r="G2682">
            <v>122.39</v>
          </cell>
          <cell r="H2682">
            <v>1.35</v>
          </cell>
          <cell r="I2682" t="str">
            <v>From M4A to M1A - 35°</v>
          </cell>
          <cell r="J2682" t="str">
            <v>IE3</v>
          </cell>
          <cell r="K2682" t="str">
            <v>400/690</v>
          </cell>
          <cell r="L2682">
            <v>50</v>
          </cell>
          <cell r="M2682" t="str">
            <v>33,5/19,3</v>
          </cell>
          <cell r="N2682">
            <v>55</v>
          </cell>
          <cell r="O2682" t="str">
            <v>155(F)</v>
          </cell>
          <cell r="P2682" t="str">
            <v>270°</v>
          </cell>
          <cell r="Q2682" t="str">
            <v>TF</v>
          </cell>
          <cell r="R2682" t="str">
            <v>V(VE)</v>
          </cell>
          <cell r="S2682" t="str">
            <v>-</v>
          </cell>
          <cell r="T2682" t="str">
            <v>-</v>
          </cell>
          <cell r="U2682" t="str">
            <v>-</v>
          </cell>
          <cell r="V2682" t="str">
            <v>FC</v>
          </cell>
          <cell r="W2682" t="str">
            <v>-</v>
          </cell>
          <cell r="X2682" t="str">
            <v>CLP PG 220 (-25/+80°C)</v>
          </cell>
          <cell r="Y2682" t="str">
            <v>KH157DRN180M4 /TF/V</v>
          </cell>
          <cell r="Z2682" t="str">
            <v>SEW</v>
          </cell>
          <cell r="AB2682" t="str">
            <v>-</v>
          </cell>
          <cell r="AF2682">
            <v>12</v>
          </cell>
          <cell r="AG2682" t="str">
            <v>DRN180M4</v>
          </cell>
          <cell r="AH2682" t="str">
            <v>KH157-DRN180M4A270-X#</v>
          </cell>
        </row>
        <row r="2683">
          <cell r="A2683" t="str">
            <v>MR002671</v>
          </cell>
          <cell r="B2683" t="str">
            <v>MR</v>
          </cell>
          <cell r="C2683">
            <v>18.5</v>
          </cell>
          <cell r="D2683">
            <v>12</v>
          </cell>
          <cell r="E2683" t="str">
            <v>KH157</v>
          </cell>
          <cell r="F2683">
            <v>14600</v>
          </cell>
          <cell r="G2683">
            <v>122.39</v>
          </cell>
          <cell r="H2683">
            <v>1.35</v>
          </cell>
          <cell r="I2683" t="str">
            <v>From M4B to M1B - 35°</v>
          </cell>
          <cell r="J2683" t="str">
            <v>IE3</v>
          </cell>
          <cell r="K2683" t="str">
            <v>400/690</v>
          </cell>
          <cell r="L2683">
            <v>50</v>
          </cell>
          <cell r="M2683" t="str">
            <v>33,5/19,3</v>
          </cell>
          <cell r="N2683">
            <v>55</v>
          </cell>
          <cell r="O2683" t="str">
            <v>155(F)</v>
          </cell>
          <cell r="P2683" t="str">
            <v>270°</v>
          </cell>
          <cell r="Q2683" t="str">
            <v>TF</v>
          </cell>
          <cell r="R2683" t="str">
            <v>V(VE)</v>
          </cell>
          <cell r="S2683" t="str">
            <v>-</v>
          </cell>
          <cell r="T2683" t="str">
            <v>-</v>
          </cell>
          <cell r="U2683" t="str">
            <v>-</v>
          </cell>
          <cell r="V2683" t="str">
            <v>FC</v>
          </cell>
          <cell r="W2683" t="str">
            <v>-</v>
          </cell>
          <cell r="X2683" t="str">
            <v>CLP PG 220 (-25/+80°C)</v>
          </cell>
          <cell r="Y2683" t="str">
            <v>KH157DRN180M4 /TF/V</v>
          </cell>
          <cell r="Z2683" t="str">
            <v>SEW</v>
          </cell>
          <cell r="AB2683" t="str">
            <v>-</v>
          </cell>
          <cell r="AF2683">
            <v>12</v>
          </cell>
          <cell r="AG2683" t="str">
            <v>DRN180M4</v>
          </cell>
          <cell r="AH2683" t="str">
            <v>KH157-DRN180M4B270-X#</v>
          </cell>
        </row>
        <row r="2684">
          <cell r="A2684" t="str">
            <v>MR002672</v>
          </cell>
          <cell r="B2684" t="str">
            <v>MR</v>
          </cell>
          <cell r="C2684">
            <v>11</v>
          </cell>
          <cell r="D2684">
            <v>16</v>
          </cell>
          <cell r="E2684" t="str">
            <v>KH107</v>
          </cell>
          <cell r="F2684">
            <v>6480</v>
          </cell>
          <cell r="G2684">
            <v>90.96</v>
          </cell>
          <cell r="H2684">
            <v>1.25</v>
          </cell>
          <cell r="I2684" t="str">
            <v>M4A</v>
          </cell>
          <cell r="J2684" t="str">
            <v>IE3</v>
          </cell>
          <cell r="K2684" t="str">
            <v>400/690</v>
          </cell>
          <cell r="L2684">
            <v>50</v>
          </cell>
          <cell r="M2684" t="str">
            <v>21/12,2</v>
          </cell>
          <cell r="N2684">
            <v>55</v>
          </cell>
          <cell r="O2684" t="str">
            <v>155(F)</v>
          </cell>
          <cell r="P2684" t="str">
            <v>270°</v>
          </cell>
          <cell r="Q2684" t="str">
            <v>TF</v>
          </cell>
          <cell r="R2684" t="str">
            <v>V(VE)</v>
          </cell>
          <cell r="S2684" t="str">
            <v>-</v>
          </cell>
          <cell r="T2684" t="str">
            <v>-</v>
          </cell>
          <cell r="U2684" t="str">
            <v>-</v>
          </cell>
          <cell r="V2684" t="str">
            <v>FC</v>
          </cell>
          <cell r="W2684" t="str">
            <v>-</v>
          </cell>
          <cell r="X2684" t="str">
            <v>CLP PG 220 (-25/+80°C)</v>
          </cell>
          <cell r="Y2684" t="str">
            <v>KH107DRN160M4 /TF/V</v>
          </cell>
          <cell r="Z2684" t="str">
            <v>SEW</v>
          </cell>
          <cell r="AB2684" t="str">
            <v>-</v>
          </cell>
          <cell r="AF2684">
            <v>16</v>
          </cell>
          <cell r="AG2684" t="str">
            <v>DRN160M4</v>
          </cell>
          <cell r="AH2684" t="str">
            <v>KH107-DRN160M4A270-X#</v>
          </cell>
        </row>
        <row r="2685">
          <cell r="A2685" t="str">
            <v>MR002673</v>
          </cell>
          <cell r="B2685" t="str">
            <v>MR</v>
          </cell>
          <cell r="C2685">
            <v>9.1999999999999993</v>
          </cell>
          <cell r="D2685">
            <v>16</v>
          </cell>
          <cell r="E2685" t="str">
            <v>KH107</v>
          </cell>
          <cell r="F2685">
            <v>5430</v>
          </cell>
          <cell r="G2685">
            <v>90.96</v>
          </cell>
          <cell r="H2685">
            <v>1.45</v>
          </cell>
          <cell r="I2685" t="str">
            <v>M4B</v>
          </cell>
          <cell r="J2685" t="str">
            <v>IE3</v>
          </cell>
          <cell r="K2685" t="str">
            <v>400/690</v>
          </cell>
          <cell r="L2685">
            <v>50</v>
          </cell>
          <cell r="M2685" t="str">
            <v>18,7/10,8</v>
          </cell>
          <cell r="N2685">
            <v>55</v>
          </cell>
          <cell r="O2685" t="str">
            <v>155(F)</v>
          </cell>
          <cell r="P2685" t="str">
            <v>270°</v>
          </cell>
          <cell r="Q2685" t="str">
            <v>TF</v>
          </cell>
          <cell r="R2685" t="str">
            <v>V(VE)</v>
          </cell>
          <cell r="S2685" t="str">
            <v>-</v>
          </cell>
          <cell r="T2685" t="str">
            <v>-</v>
          </cell>
          <cell r="U2685" t="str">
            <v>-</v>
          </cell>
          <cell r="V2685" t="str">
            <v>FC</v>
          </cell>
          <cell r="W2685" t="str">
            <v>-</v>
          </cell>
          <cell r="X2685" t="str">
            <v>CLP PG 220 (-25/+80°C)</v>
          </cell>
          <cell r="Y2685" t="str">
            <v>KH107DRN132L4 /TF/V</v>
          </cell>
          <cell r="Z2685" t="str">
            <v>SEW</v>
          </cell>
          <cell r="AB2685" t="str">
            <v>-</v>
          </cell>
          <cell r="AF2685">
            <v>16</v>
          </cell>
          <cell r="AG2685" t="str">
            <v>DRN132L4</v>
          </cell>
          <cell r="AH2685" t="str">
            <v>KH107-DRN132L4B270-X#</v>
          </cell>
        </row>
        <row r="2686">
          <cell r="A2686" t="str">
            <v>MR002674</v>
          </cell>
          <cell r="B2686" t="str">
            <v>MR</v>
          </cell>
          <cell r="C2686">
            <v>7.5</v>
          </cell>
          <cell r="D2686">
            <v>15</v>
          </cell>
          <cell r="E2686" t="str">
            <v>KH107</v>
          </cell>
          <cell r="F2686">
            <v>4920</v>
          </cell>
          <cell r="G2686">
            <v>100.75</v>
          </cell>
          <cell r="H2686">
            <v>1.5</v>
          </cell>
          <cell r="I2686" t="str">
            <v>From M1A to M2A - 15°</v>
          </cell>
          <cell r="J2686" t="str">
            <v>IE3</v>
          </cell>
          <cell r="K2686" t="str">
            <v>400/690</v>
          </cell>
          <cell r="L2686">
            <v>50</v>
          </cell>
          <cell r="M2686" t="str">
            <v>15,2/8,8</v>
          </cell>
          <cell r="N2686">
            <v>65</v>
          </cell>
          <cell r="O2686" t="str">
            <v>155(F)</v>
          </cell>
          <cell r="P2686" t="str">
            <v>270°</v>
          </cell>
          <cell r="Q2686" t="str">
            <v>-</v>
          </cell>
          <cell r="R2686" t="str">
            <v>-</v>
          </cell>
          <cell r="S2686" t="str">
            <v>-</v>
          </cell>
          <cell r="T2686" t="str">
            <v>-</v>
          </cell>
          <cell r="U2686" t="str">
            <v>-</v>
          </cell>
          <cell r="V2686" t="str">
            <v>SS</v>
          </cell>
          <cell r="W2686" t="str">
            <v>-</v>
          </cell>
          <cell r="X2686" t="str">
            <v>CLP HC 220 (-25/+60°C)</v>
          </cell>
          <cell r="Y2686" t="str">
            <v>KH107EDRN132M4</v>
          </cell>
          <cell r="Z2686" t="str">
            <v>SEW</v>
          </cell>
          <cell r="AB2686" t="str">
            <v>ATEX22</v>
          </cell>
          <cell r="AF2686">
            <v>15</v>
          </cell>
          <cell r="AG2686" t="str">
            <v>EDRN132M4</v>
          </cell>
          <cell r="AH2686" t="str">
            <v>KH107-EDRN132M4A270-X</v>
          </cell>
        </row>
        <row r="2687">
          <cell r="A2687" t="str">
            <v>MR002675</v>
          </cell>
          <cell r="B2687" t="str">
            <v>MR</v>
          </cell>
          <cell r="C2687">
            <v>7.5</v>
          </cell>
          <cell r="D2687">
            <v>15</v>
          </cell>
          <cell r="E2687" t="str">
            <v>KH107</v>
          </cell>
          <cell r="F2687">
            <v>4920</v>
          </cell>
          <cell r="G2687">
            <v>100.75</v>
          </cell>
          <cell r="H2687">
            <v>1.5</v>
          </cell>
          <cell r="I2687" t="str">
            <v>From M1B to M2B - 15°</v>
          </cell>
          <cell r="J2687" t="str">
            <v>IE3</v>
          </cell>
          <cell r="K2687" t="str">
            <v>400/690</v>
          </cell>
          <cell r="L2687">
            <v>50</v>
          </cell>
          <cell r="M2687" t="str">
            <v>15,2/8,8</v>
          </cell>
          <cell r="N2687">
            <v>65</v>
          </cell>
          <cell r="O2687" t="str">
            <v>155(F)</v>
          </cell>
          <cell r="P2687" t="str">
            <v>270°</v>
          </cell>
          <cell r="Q2687" t="str">
            <v>-</v>
          </cell>
          <cell r="R2687" t="str">
            <v>-</v>
          </cell>
          <cell r="S2687" t="str">
            <v>-</v>
          </cell>
          <cell r="T2687" t="str">
            <v>-</v>
          </cell>
          <cell r="U2687" t="str">
            <v>-</v>
          </cell>
          <cell r="V2687" t="str">
            <v>SS</v>
          </cell>
          <cell r="W2687" t="str">
            <v>-</v>
          </cell>
          <cell r="X2687" t="str">
            <v>CLP HC 220 (-25/+60°C)</v>
          </cell>
          <cell r="Y2687" t="str">
            <v>KH107EDRN132M4</v>
          </cell>
          <cell r="Z2687" t="str">
            <v>SEW</v>
          </cell>
          <cell r="AB2687" t="str">
            <v>ATEX22</v>
          </cell>
          <cell r="AF2687">
            <v>15</v>
          </cell>
          <cell r="AG2687" t="str">
            <v>EDRN132M4</v>
          </cell>
          <cell r="AH2687" t="str">
            <v>KH107-EDRN132M4B270-X</v>
          </cell>
        </row>
        <row r="2688">
          <cell r="A2688" t="str">
            <v>MR002676</v>
          </cell>
          <cell r="B2688" t="str">
            <v>MR</v>
          </cell>
          <cell r="C2688">
            <v>3</v>
          </cell>
          <cell r="D2688">
            <v>73</v>
          </cell>
          <cell r="E2688" t="str">
            <v>KH49</v>
          </cell>
          <cell r="F2688">
            <v>390</v>
          </cell>
          <cell r="G2688">
            <v>20.03</v>
          </cell>
          <cell r="H2688">
            <v>1.25</v>
          </cell>
          <cell r="I2688" t="str">
            <v>M1A</v>
          </cell>
          <cell r="J2688" t="str">
            <v>IE3</v>
          </cell>
          <cell r="K2688" t="str">
            <v>230/400</v>
          </cell>
          <cell r="L2688">
            <v>50</v>
          </cell>
          <cell r="M2688" t="str">
            <v>11,2/6,4</v>
          </cell>
          <cell r="N2688">
            <v>65</v>
          </cell>
          <cell r="O2688" t="str">
            <v>155(F)</v>
          </cell>
          <cell r="P2688" t="str">
            <v>270°</v>
          </cell>
          <cell r="Q2688" t="str">
            <v>TF</v>
          </cell>
          <cell r="R2688" t="str">
            <v>-</v>
          </cell>
          <cell r="S2688" t="str">
            <v>-</v>
          </cell>
          <cell r="T2688" t="str">
            <v>-</v>
          </cell>
          <cell r="U2688" t="str">
            <v>T</v>
          </cell>
          <cell r="V2688" t="str">
            <v>D</v>
          </cell>
          <cell r="W2688" t="str">
            <v>-</v>
          </cell>
          <cell r="X2688" t="str">
            <v>CLP PG 220 (-25/+80°C)</v>
          </cell>
          <cell r="Y2688" t="str">
            <v>KH49/T DRN100L4 /TF</v>
          </cell>
          <cell r="Z2688" t="str">
            <v>SEW</v>
          </cell>
          <cell r="AB2688" t="str">
            <v>-</v>
          </cell>
          <cell r="AF2688">
            <v>73</v>
          </cell>
          <cell r="AG2688" t="str">
            <v>DRN100L4</v>
          </cell>
          <cell r="AH2688" t="str">
            <v>KH49T-DRN100L4A270-X</v>
          </cell>
        </row>
        <row r="2689">
          <cell r="A2689" t="str">
            <v>MR002677</v>
          </cell>
          <cell r="B2689" t="str">
            <v>MR</v>
          </cell>
          <cell r="C2689">
            <v>0.75</v>
          </cell>
          <cell r="D2689">
            <v>162</v>
          </cell>
          <cell r="E2689" t="str">
            <v>KA37</v>
          </cell>
          <cell r="F2689">
            <v>44</v>
          </cell>
          <cell r="G2689">
            <v>8.91</v>
          </cell>
          <cell r="H2689">
            <v>3.6</v>
          </cell>
          <cell r="I2689" t="str">
            <v>M1A</v>
          </cell>
          <cell r="J2689" t="str">
            <v>IE3</v>
          </cell>
          <cell r="K2689" t="str">
            <v>230/400</v>
          </cell>
          <cell r="L2689">
            <v>50</v>
          </cell>
          <cell r="M2689" t="str">
            <v>3,05/1,75</v>
          </cell>
          <cell r="N2689">
            <v>65</v>
          </cell>
          <cell r="O2689" t="str">
            <v>155(F)</v>
          </cell>
          <cell r="P2689" t="str">
            <v>270°</v>
          </cell>
          <cell r="Q2689" t="str">
            <v>TF</v>
          </cell>
          <cell r="R2689" t="str">
            <v>-</v>
          </cell>
          <cell r="S2689" t="str">
            <v>-</v>
          </cell>
          <cell r="T2689" t="str">
            <v>-</v>
          </cell>
          <cell r="U2689" t="str">
            <v>T</v>
          </cell>
          <cell r="V2689" t="str">
            <v>D</v>
          </cell>
          <cell r="W2689" t="str">
            <v>-</v>
          </cell>
          <cell r="X2689" t="str">
            <v>CLP PG 220 (-25/+80°C)</v>
          </cell>
          <cell r="Y2689" t="str">
            <v>KA37/T DRN80M4 /TF</v>
          </cell>
          <cell r="Z2689" t="str">
            <v>SEW</v>
          </cell>
          <cell r="AB2689" t="str">
            <v>-</v>
          </cell>
          <cell r="AF2689">
            <v>162</v>
          </cell>
          <cell r="AG2689" t="str">
            <v>DRN80M4</v>
          </cell>
          <cell r="AH2689" t="str">
            <v>KA37T-DRN80M4A270-X</v>
          </cell>
        </row>
        <row r="2690">
          <cell r="A2690" t="str">
            <v>MR002678</v>
          </cell>
          <cell r="B2690" t="str">
            <v>MR</v>
          </cell>
          <cell r="C2690">
            <v>4</v>
          </cell>
          <cell r="D2690">
            <v>12</v>
          </cell>
          <cell r="E2690" t="str">
            <v>KH97</v>
          </cell>
          <cell r="F2690">
            <v>2680</v>
          </cell>
          <cell r="G2690">
            <v>123.93</v>
          </cell>
          <cell r="H2690">
            <v>1.56</v>
          </cell>
          <cell r="I2690" t="str">
            <v>From M1A to M2A - 25°</v>
          </cell>
          <cell r="J2690" t="str">
            <v>IE3</v>
          </cell>
          <cell r="K2690" t="str">
            <v>254/440</v>
          </cell>
          <cell r="L2690">
            <v>60</v>
          </cell>
          <cell r="M2690" t="str">
            <v>12,4/7,2</v>
          </cell>
          <cell r="N2690">
            <v>55</v>
          </cell>
          <cell r="O2690" t="str">
            <v>155(F)</v>
          </cell>
          <cell r="P2690" t="str">
            <v>270°</v>
          </cell>
          <cell r="Q2690" t="str">
            <v>-</v>
          </cell>
          <cell r="R2690" t="str">
            <v>-</v>
          </cell>
          <cell r="S2690" t="str">
            <v>-</v>
          </cell>
          <cell r="T2690" t="str">
            <v>-</v>
          </cell>
          <cell r="U2690" t="str">
            <v>-</v>
          </cell>
          <cell r="V2690" t="str">
            <v>SS</v>
          </cell>
          <cell r="W2690" t="str">
            <v>-</v>
          </cell>
          <cell r="X2690" t="str">
            <v>CLP HC 220 (-25/+60°C)</v>
          </cell>
          <cell r="Y2690" t="str">
            <v>KH97EDRN112M4</v>
          </cell>
          <cell r="Z2690" t="str">
            <v>SEW</v>
          </cell>
          <cell r="AB2690" t="str">
            <v>ATEX22</v>
          </cell>
          <cell r="AF2690">
            <v>14.4</v>
          </cell>
          <cell r="AG2690" t="str">
            <v>EDRN112M4</v>
          </cell>
          <cell r="AH2690" t="str">
            <v>KH97-EDRN112M4A270-X</v>
          </cell>
        </row>
        <row r="2691">
          <cell r="A2691" t="str">
            <v>MR002679</v>
          </cell>
          <cell r="B2691" t="str">
            <v>MR</v>
          </cell>
          <cell r="C2691">
            <v>4</v>
          </cell>
          <cell r="D2691">
            <v>12</v>
          </cell>
          <cell r="E2691" t="str">
            <v>KH97</v>
          </cell>
          <cell r="F2691">
            <v>2680</v>
          </cell>
          <cell r="G2691">
            <v>123.93</v>
          </cell>
          <cell r="H2691">
            <v>1.56</v>
          </cell>
          <cell r="I2691" t="str">
            <v>From M1B to M2B - 25°</v>
          </cell>
          <cell r="J2691" t="str">
            <v>IE3</v>
          </cell>
          <cell r="K2691" t="str">
            <v>254/440</v>
          </cell>
          <cell r="L2691">
            <v>60</v>
          </cell>
          <cell r="M2691" t="str">
            <v>12,4/7,2</v>
          </cell>
          <cell r="N2691">
            <v>55</v>
          </cell>
          <cell r="O2691" t="str">
            <v>155(F)</v>
          </cell>
          <cell r="P2691" t="str">
            <v>270°</v>
          </cell>
          <cell r="Q2691" t="str">
            <v>-</v>
          </cell>
          <cell r="R2691" t="str">
            <v>-</v>
          </cell>
          <cell r="S2691" t="str">
            <v>-</v>
          </cell>
          <cell r="T2691" t="str">
            <v>-</v>
          </cell>
          <cell r="U2691" t="str">
            <v>-</v>
          </cell>
          <cell r="V2691" t="str">
            <v>SS</v>
          </cell>
          <cell r="W2691" t="str">
            <v>-</v>
          </cell>
          <cell r="X2691" t="str">
            <v>CLP HC 220 (-25/+60°C)</v>
          </cell>
          <cell r="Y2691" t="str">
            <v>KH97EDRN112M4</v>
          </cell>
          <cell r="Z2691" t="str">
            <v>SEW</v>
          </cell>
          <cell r="AB2691" t="str">
            <v>ATEX22</v>
          </cell>
          <cell r="AF2691">
            <v>14.4</v>
          </cell>
          <cell r="AG2691" t="str">
            <v>EDRN112M4</v>
          </cell>
          <cell r="AH2691" t="str">
            <v>KH97-EDRN112M4B270-X</v>
          </cell>
        </row>
        <row r="2692">
          <cell r="A2692" t="str">
            <v>MR002680</v>
          </cell>
          <cell r="B2692" t="str">
            <v>MR</v>
          </cell>
          <cell r="C2692">
            <v>4</v>
          </cell>
          <cell r="D2692">
            <v>14</v>
          </cell>
          <cell r="E2692" t="str">
            <v>KH97</v>
          </cell>
          <cell r="F2692">
            <v>2740</v>
          </cell>
          <cell r="G2692">
            <v>105.13</v>
          </cell>
          <cell r="H2692">
            <v>1.55</v>
          </cell>
          <cell r="I2692" t="str">
            <v>From M1A to M2A - 30°</v>
          </cell>
          <cell r="J2692" t="str">
            <v>IE3</v>
          </cell>
          <cell r="K2692" t="str">
            <v>230/400</v>
          </cell>
          <cell r="L2692">
            <v>50</v>
          </cell>
          <cell r="M2692" t="str">
            <v>13,8/7,9</v>
          </cell>
          <cell r="N2692">
            <v>65</v>
          </cell>
          <cell r="O2692" t="str">
            <v>155(F)</v>
          </cell>
          <cell r="P2692" t="str">
            <v>270°</v>
          </cell>
          <cell r="Q2692" t="str">
            <v>-</v>
          </cell>
          <cell r="R2692" t="str">
            <v>-</v>
          </cell>
          <cell r="S2692" t="str">
            <v>-</v>
          </cell>
          <cell r="T2692" t="str">
            <v>-</v>
          </cell>
          <cell r="U2692" t="str">
            <v>-</v>
          </cell>
          <cell r="V2692" t="str">
            <v>SS</v>
          </cell>
          <cell r="W2692" t="str">
            <v>-</v>
          </cell>
          <cell r="X2692" t="str">
            <v>CLP 220 (-15/+40°C)</v>
          </cell>
          <cell r="Y2692" t="str">
            <v>KH97DRN112M4</v>
          </cell>
          <cell r="Z2692" t="str">
            <v>SEW</v>
          </cell>
          <cell r="AB2692" t="str">
            <v>-</v>
          </cell>
          <cell r="AF2692">
            <v>14</v>
          </cell>
          <cell r="AG2692" t="str">
            <v>DRN112M4</v>
          </cell>
          <cell r="AH2692" t="str">
            <v>KH97-DRN112M4A270-X</v>
          </cell>
        </row>
        <row r="2693">
          <cell r="A2693" t="str">
            <v>MR002681</v>
          </cell>
          <cell r="B2693" t="str">
            <v>MR</v>
          </cell>
          <cell r="C2693">
            <v>15</v>
          </cell>
          <cell r="D2693">
            <v>20</v>
          </cell>
          <cell r="E2693" t="str">
            <v>R137</v>
          </cell>
          <cell r="F2693">
            <v>7140</v>
          </cell>
          <cell r="G2693">
            <v>73.489999999999995</v>
          </cell>
          <cell r="H2693">
            <v>1.1000000000000001</v>
          </cell>
          <cell r="I2693" t="str">
            <v>M1</v>
          </cell>
          <cell r="J2693" t="str">
            <v>IE3</v>
          </cell>
          <cell r="K2693" t="str">
            <v>380/660</v>
          </cell>
          <cell r="L2693">
            <v>50</v>
          </cell>
          <cell r="M2693" t="str">
            <v>30,5/17,4</v>
          </cell>
          <cell r="N2693">
            <v>65</v>
          </cell>
          <cell r="O2693" t="str">
            <v>155(F)</v>
          </cell>
          <cell r="P2693" t="str">
            <v>270°</v>
          </cell>
          <cell r="Q2693" t="str">
            <v>TF</v>
          </cell>
          <cell r="R2693" t="str">
            <v>V(VE)</v>
          </cell>
          <cell r="S2693" t="str">
            <v>-</v>
          </cell>
          <cell r="T2693" t="str">
            <v>-</v>
          </cell>
          <cell r="U2693" t="str">
            <v>-</v>
          </cell>
          <cell r="V2693" t="str">
            <v>FC</v>
          </cell>
          <cell r="W2693" t="str">
            <v>-</v>
          </cell>
          <cell r="X2693" t="str">
            <v>CLP HC 220 (-25/+60°C)</v>
          </cell>
          <cell r="Y2693" t="str">
            <v>R137DRN160L4 /TF/V</v>
          </cell>
          <cell r="Z2693" t="str">
            <v>SEW</v>
          </cell>
          <cell r="AB2693" t="str">
            <v>-</v>
          </cell>
          <cell r="AF2693">
            <v>20</v>
          </cell>
          <cell r="AG2693" t="str">
            <v>DRN160L4</v>
          </cell>
          <cell r="AH2693" t="str">
            <v>R137-DRN160L4270-X#</v>
          </cell>
        </row>
        <row r="2694">
          <cell r="A2694" t="str">
            <v>MR002682</v>
          </cell>
          <cell r="B2694" t="str">
            <v>MR</v>
          </cell>
          <cell r="C2694">
            <v>4</v>
          </cell>
          <cell r="D2694">
            <v>67</v>
          </cell>
          <cell r="E2694" t="str">
            <v>FA67</v>
          </cell>
          <cell r="F2694">
            <v>575</v>
          </cell>
          <cell r="G2694">
            <v>22.05</v>
          </cell>
          <cell r="H2694">
            <v>1.45</v>
          </cell>
          <cell r="I2694" t="str">
            <v>M1</v>
          </cell>
          <cell r="J2694" t="str">
            <v>IE3</v>
          </cell>
          <cell r="K2694" t="str">
            <v>230/400</v>
          </cell>
          <cell r="L2694">
            <v>50</v>
          </cell>
          <cell r="M2694" t="str">
            <v>13,8/7,9</v>
          </cell>
          <cell r="N2694">
            <v>65</v>
          </cell>
          <cell r="O2694" t="str">
            <v>155(F)</v>
          </cell>
          <cell r="P2694" t="str">
            <v>0°</v>
          </cell>
          <cell r="Q2694" t="str">
            <v>-</v>
          </cell>
          <cell r="R2694" t="str">
            <v>-</v>
          </cell>
          <cell r="S2694" t="str">
            <v>-</v>
          </cell>
          <cell r="T2694" t="str">
            <v>-</v>
          </cell>
          <cell r="U2694" t="str">
            <v>G</v>
          </cell>
          <cell r="V2694" t="str">
            <v>-</v>
          </cell>
          <cell r="W2694" t="str">
            <v>-</v>
          </cell>
          <cell r="X2694" t="str">
            <v>CLP 220 (-15/+40°C)</v>
          </cell>
          <cell r="Y2694" t="str">
            <v>FA67/G DRN112M4</v>
          </cell>
          <cell r="Z2694" t="str">
            <v>SEW</v>
          </cell>
          <cell r="AB2694" t="str">
            <v>-</v>
          </cell>
          <cell r="AF2694">
            <v>67</v>
          </cell>
          <cell r="AG2694" t="str">
            <v>DRN112M4</v>
          </cell>
          <cell r="AH2694" t="str">
            <v>FA67G-DRN112M40-X</v>
          </cell>
        </row>
        <row r="2695">
          <cell r="A2695" t="str">
            <v>MR002683</v>
          </cell>
          <cell r="B2695" t="str">
            <v>MR</v>
          </cell>
          <cell r="C2695">
            <v>5.5</v>
          </cell>
          <cell r="D2695">
            <v>57</v>
          </cell>
          <cell r="E2695" t="str">
            <v>FH77</v>
          </cell>
          <cell r="F2695">
            <v>910</v>
          </cell>
          <cell r="G2695">
            <v>25.54</v>
          </cell>
          <cell r="H2695">
            <v>1.6</v>
          </cell>
          <cell r="I2695" t="str">
            <v>M1</v>
          </cell>
          <cell r="J2695" t="str">
            <v>IE3</v>
          </cell>
          <cell r="K2695" t="str">
            <v>230/400</v>
          </cell>
          <cell r="L2695">
            <v>50</v>
          </cell>
          <cell r="M2695" t="str">
            <v>18,2/10,5</v>
          </cell>
          <cell r="N2695">
            <v>65</v>
          </cell>
          <cell r="O2695" t="str">
            <v>155(F)</v>
          </cell>
          <cell r="P2695" t="str">
            <v>0°</v>
          </cell>
          <cell r="Q2695" t="str">
            <v>-</v>
          </cell>
          <cell r="R2695" t="str">
            <v>-</v>
          </cell>
          <cell r="S2695" t="str">
            <v>-</v>
          </cell>
          <cell r="T2695" t="str">
            <v>-</v>
          </cell>
          <cell r="U2695" t="str">
            <v>G</v>
          </cell>
          <cell r="V2695" t="str">
            <v>-</v>
          </cell>
          <cell r="W2695" t="str">
            <v>-</v>
          </cell>
          <cell r="X2695" t="str">
            <v>CLP 220 (-15/+40°C)</v>
          </cell>
          <cell r="Y2695" t="str">
            <v>FH77/G DRN132S4</v>
          </cell>
          <cell r="Z2695" t="str">
            <v>SEW</v>
          </cell>
          <cell r="AB2695" t="str">
            <v>-</v>
          </cell>
          <cell r="AF2695">
            <v>57</v>
          </cell>
          <cell r="AG2695" t="str">
            <v>DRN132S4</v>
          </cell>
          <cell r="AH2695" t="str">
            <v>FH77G-DRN132S40-X</v>
          </cell>
        </row>
        <row r="2696">
          <cell r="A2696" t="str">
            <v>MR002684</v>
          </cell>
          <cell r="B2696" t="str">
            <v>MR</v>
          </cell>
          <cell r="C2696">
            <v>5.5</v>
          </cell>
          <cell r="D2696">
            <v>14</v>
          </cell>
          <cell r="E2696" t="str">
            <v>KH97</v>
          </cell>
          <cell r="F2696">
            <v>3770</v>
          </cell>
          <cell r="G2696">
            <v>105.15</v>
          </cell>
          <cell r="H2696">
            <v>1.1499999999999999</v>
          </cell>
          <cell r="I2696" t="str">
            <v>From M1A to M2A - 20°</v>
          </cell>
          <cell r="J2696" t="str">
            <v>IE3</v>
          </cell>
          <cell r="K2696" t="str">
            <v>230/400</v>
          </cell>
          <cell r="L2696">
            <v>50</v>
          </cell>
          <cell r="M2696" t="str">
            <v>18,2/10,5</v>
          </cell>
          <cell r="N2696">
            <v>55</v>
          </cell>
          <cell r="O2696" t="str">
            <v>F(105°C)</v>
          </cell>
          <cell r="P2696" t="str">
            <v>270°</v>
          </cell>
          <cell r="Q2696" t="str">
            <v>TF</v>
          </cell>
          <cell r="R2696" t="str">
            <v>-</v>
          </cell>
          <cell r="S2696" t="str">
            <v>-</v>
          </cell>
          <cell r="T2696" t="str">
            <v>-</v>
          </cell>
          <cell r="U2696" t="str">
            <v>-</v>
          </cell>
          <cell r="V2696" t="str">
            <v>SS</v>
          </cell>
          <cell r="W2696" t="str">
            <v>-</v>
          </cell>
          <cell r="X2696" t="str">
            <v>CLP 220 (-15/+40°C)</v>
          </cell>
          <cell r="Y2696" t="str">
            <v>KH97DRN132S4 /TF</v>
          </cell>
          <cell r="Z2696" t="str">
            <v>SEW</v>
          </cell>
          <cell r="AB2696" t="str">
            <v>-</v>
          </cell>
          <cell r="AF2696">
            <v>14</v>
          </cell>
          <cell r="AG2696" t="str">
            <v>DRN132S4</v>
          </cell>
          <cell r="AH2696" t="str">
            <v>KH97-DRN132S4A270-X</v>
          </cell>
        </row>
        <row r="2697">
          <cell r="A2697" t="str">
            <v>MR002685</v>
          </cell>
          <cell r="B2697" t="str">
            <v>MR</v>
          </cell>
          <cell r="C2697">
            <v>5.5</v>
          </cell>
          <cell r="D2697">
            <v>14</v>
          </cell>
          <cell r="E2697" t="str">
            <v>KH97</v>
          </cell>
          <cell r="F2697">
            <v>3770</v>
          </cell>
          <cell r="G2697">
            <v>105.15</v>
          </cell>
          <cell r="H2697">
            <v>1.1499999999999999</v>
          </cell>
          <cell r="I2697" t="str">
            <v>From M1B to M2B - 20°</v>
          </cell>
          <cell r="J2697" t="str">
            <v>IE3</v>
          </cell>
          <cell r="K2697" t="str">
            <v>230/400</v>
          </cell>
          <cell r="L2697">
            <v>50</v>
          </cell>
          <cell r="M2697" t="str">
            <v>18,2/10,5</v>
          </cell>
          <cell r="N2697">
            <v>55</v>
          </cell>
          <cell r="O2697" t="str">
            <v>F(105°C)</v>
          </cell>
          <cell r="P2697" t="str">
            <v>270°</v>
          </cell>
          <cell r="Q2697" t="str">
            <v>TF</v>
          </cell>
          <cell r="R2697" t="str">
            <v>-</v>
          </cell>
          <cell r="S2697" t="str">
            <v>-</v>
          </cell>
          <cell r="T2697" t="str">
            <v>-</v>
          </cell>
          <cell r="U2697" t="str">
            <v>-</v>
          </cell>
          <cell r="V2697" t="str">
            <v>SS</v>
          </cell>
          <cell r="W2697" t="str">
            <v>-</v>
          </cell>
          <cell r="X2697" t="str">
            <v>CLP 220 (-15/+40°C)</v>
          </cell>
          <cell r="Y2697" t="str">
            <v>KH97DRN132S4 /TF</v>
          </cell>
          <cell r="Z2697" t="str">
            <v>SEW</v>
          </cell>
          <cell r="AB2697" t="str">
            <v>-</v>
          </cell>
          <cell r="AF2697">
            <v>14</v>
          </cell>
          <cell r="AG2697" t="str">
            <v>DRN132S4</v>
          </cell>
          <cell r="AH2697" t="str">
            <v>KH97-DRN132S4B270-X</v>
          </cell>
        </row>
        <row r="2698">
          <cell r="A2698" t="str">
            <v>MR002686</v>
          </cell>
          <cell r="B2698" t="str">
            <v>MR</v>
          </cell>
          <cell r="C2698">
            <v>11</v>
          </cell>
          <cell r="D2698">
            <v>60</v>
          </cell>
          <cell r="E2698" t="str">
            <v>KH97</v>
          </cell>
          <cell r="F2698">
            <v>1760</v>
          </cell>
          <cell r="G2698">
            <v>24.75</v>
          </cell>
          <cell r="H2698">
            <v>2.4</v>
          </cell>
          <cell r="I2698" t="str">
            <v>M4A</v>
          </cell>
          <cell r="J2698" t="str">
            <v>IE3</v>
          </cell>
          <cell r="K2698" t="str">
            <v>400/690</v>
          </cell>
          <cell r="L2698">
            <v>50</v>
          </cell>
          <cell r="M2698" t="str">
            <v>21/12,2</v>
          </cell>
          <cell r="N2698">
            <v>55</v>
          </cell>
          <cell r="O2698" t="str">
            <v>155(F)</v>
          </cell>
          <cell r="P2698" t="str">
            <v>270°</v>
          </cell>
          <cell r="Q2698" t="str">
            <v>-</v>
          </cell>
          <cell r="R2698" t="str">
            <v>-</v>
          </cell>
          <cell r="S2698" t="str">
            <v>Free rotation CCW</v>
          </cell>
          <cell r="T2698" t="str">
            <v>-</v>
          </cell>
          <cell r="U2698" t="str">
            <v>T</v>
          </cell>
          <cell r="V2698" t="str">
            <v>SS</v>
          </cell>
          <cell r="W2698" t="str">
            <v>-</v>
          </cell>
          <cell r="X2698" t="str">
            <v>CLP 220 (-15/+40°C)</v>
          </cell>
          <cell r="Y2698" t="str">
            <v>KH97/T DRN160M4 /RS</v>
          </cell>
          <cell r="Z2698" t="str">
            <v>SEW</v>
          </cell>
          <cell r="AB2698" t="str">
            <v>-</v>
          </cell>
          <cell r="AF2698">
            <v>60</v>
          </cell>
          <cell r="AG2698" t="str">
            <v>DRN160M4</v>
          </cell>
          <cell r="AH2698" t="str">
            <v>KH97T-DRN160M4A270-X</v>
          </cell>
        </row>
        <row r="2699">
          <cell r="A2699" t="str">
            <v>MR002687</v>
          </cell>
          <cell r="B2699" t="str">
            <v>MR</v>
          </cell>
          <cell r="C2699">
            <v>15</v>
          </cell>
          <cell r="D2699">
            <v>16</v>
          </cell>
          <cell r="E2699" t="str">
            <v>KH127</v>
          </cell>
          <cell r="F2699">
            <v>8730</v>
          </cell>
          <cell r="G2699">
            <v>89.89</v>
          </cell>
          <cell r="H2699">
            <v>1.5</v>
          </cell>
          <cell r="I2699" t="str">
            <v>M4A</v>
          </cell>
          <cell r="J2699" t="str">
            <v>IE3</v>
          </cell>
          <cell r="K2699" t="str">
            <v>400/690</v>
          </cell>
          <cell r="L2699">
            <v>50</v>
          </cell>
          <cell r="M2699" t="str">
            <v>29/16,7</v>
          </cell>
          <cell r="N2699">
            <v>55</v>
          </cell>
          <cell r="O2699" t="str">
            <v>155(F)</v>
          </cell>
          <cell r="P2699" t="str">
            <v>270°</v>
          </cell>
          <cell r="Q2699" t="str">
            <v>TF</v>
          </cell>
          <cell r="R2699" t="str">
            <v>-</v>
          </cell>
          <cell r="S2699" t="str">
            <v>-</v>
          </cell>
          <cell r="T2699" t="str">
            <v>-</v>
          </cell>
          <cell r="U2699" t="str">
            <v>-</v>
          </cell>
          <cell r="V2699" t="str">
            <v>FC</v>
          </cell>
          <cell r="W2699" t="str">
            <v>-</v>
          </cell>
          <cell r="X2699" t="str">
            <v>CLP 220 (-15/+40°C)</v>
          </cell>
          <cell r="Y2699" t="str">
            <v>KH127DRN160L4 /TF</v>
          </cell>
          <cell r="Z2699" t="str">
            <v>SEW</v>
          </cell>
          <cell r="AB2699" t="str">
            <v>-</v>
          </cell>
          <cell r="AF2699">
            <v>16</v>
          </cell>
          <cell r="AG2699" t="str">
            <v>DRN160L4</v>
          </cell>
          <cell r="AH2699" t="str">
            <v>KH127-DRN160L4A270-X</v>
          </cell>
        </row>
        <row r="2700">
          <cell r="A2700" t="str">
            <v>MR002688</v>
          </cell>
          <cell r="B2700" t="str">
            <v>MR</v>
          </cell>
          <cell r="C2700">
            <v>15</v>
          </cell>
          <cell r="D2700">
            <v>16</v>
          </cell>
          <cell r="E2700" t="str">
            <v>KH127</v>
          </cell>
          <cell r="F2700">
            <v>8730</v>
          </cell>
          <cell r="G2700">
            <v>89.89</v>
          </cell>
          <cell r="H2700">
            <v>1.5</v>
          </cell>
          <cell r="I2700" t="str">
            <v>M4B</v>
          </cell>
          <cell r="J2700" t="str">
            <v>IE3</v>
          </cell>
          <cell r="K2700" t="str">
            <v>400/690</v>
          </cell>
          <cell r="L2700">
            <v>50</v>
          </cell>
          <cell r="M2700" t="str">
            <v>29/16,7</v>
          </cell>
          <cell r="N2700">
            <v>55</v>
          </cell>
          <cell r="O2700" t="str">
            <v>155(F)</v>
          </cell>
          <cell r="P2700" t="str">
            <v>270°</v>
          </cell>
          <cell r="Q2700" t="str">
            <v>TF</v>
          </cell>
          <cell r="R2700" t="str">
            <v>-</v>
          </cell>
          <cell r="S2700" t="str">
            <v>-</v>
          </cell>
          <cell r="T2700" t="str">
            <v>-</v>
          </cell>
          <cell r="U2700" t="str">
            <v>-</v>
          </cell>
          <cell r="V2700" t="str">
            <v>FC</v>
          </cell>
          <cell r="W2700" t="str">
            <v>-</v>
          </cell>
          <cell r="X2700" t="str">
            <v>CLP 220 (-15/+40°C)</v>
          </cell>
          <cell r="Y2700" t="str">
            <v>KH127DRN160L4 /TF</v>
          </cell>
          <cell r="Z2700" t="str">
            <v>SEW</v>
          </cell>
          <cell r="AB2700" t="str">
            <v>-</v>
          </cell>
          <cell r="AF2700">
            <v>16</v>
          </cell>
          <cell r="AG2700" t="str">
            <v>DRN160L4</v>
          </cell>
          <cell r="AH2700" t="str">
            <v>KH127-DRN160L4B270-X</v>
          </cell>
        </row>
        <row r="2701">
          <cell r="A2701" t="str">
            <v>MR002689</v>
          </cell>
          <cell r="B2701" t="str">
            <v>MR</v>
          </cell>
          <cell r="C2701">
            <v>5.5</v>
          </cell>
          <cell r="D2701">
            <v>14</v>
          </cell>
          <cell r="E2701" t="str">
            <v>R107</v>
          </cell>
          <cell r="F2701">
            <v>3680</v>
          </cell>
          <cell r="G2701">
            <v>102.53</v>
          </cell>
          <cell r="H2701">
            <v>1.1499999999999999</v>
          </cell>
          <cell r="I2701" t="str">
            <v>M1</v>
          </cell>
          <cell r="J2701" t="str">
            <v>IE3</v>
          </cell>
          <cell r="K2701" t="str">
            <v>230/400</v>
          </cell>
          <cell r="L2701">
            <v>50</v>
          </cell>
          <cell r="M2701" t="str">
            <v>18,2/10,5</v>
          </cell>
          <cell r="N2701">
            <v>55</v>
          </cell>
          <cell r="O2701" t="str">
            <v>155(F)</v>
          </cell>
          <cell r="P2701" t="str">
            <v>270°</v>
          </cell>
          <cell r="Q2701" t="str">
            <v>TF</v>
          </cell>
          <cell r="R2701" t="str">
            <v>V(VE)</v>
          </cell>
          <cell r="S2701" t="str">
            <v>-</v>
          </cell>
          <cell r="T2701" t="str">
            <v>-</v>
          </cell>
          <cell r="U2701" t="str">
            <v>-</v>
          </cell>
          <cell r="V2701" t="str">
            <v>FC</v>
          </cell>
          <cell r="W2701" t="str">
            <v>-</v>
          </cell>
          <cell r="X2701" t="str">
            <v>CLP 220 (-15/+40°C)</v>
          </cell>
          <cell r="Y2701" t="str">
            <v>R107DRN132S4 /TF/V</v>
          </cell>
          <cell r="Z2701" t="str">
            <v>SEW</v>
          </cell>
          <cell r="AB2701" t="str">
            <v>-</v>
          </cell>
          <cell r="AF2701">
            <v>14</v>
          </cell>
          <cell r="AG2701" t="str">
            <v>DRN132S4</v>
          </cell>
          <cell r="AH2701" t="str">
            <v>R107-DRN132S4270-X#</v>
          </cell>
        </row>
        <row r="2702">
          <cell r="A2702" t="str">
            <v>MR002690</v>
          </cell>
          <cell r="B2702" t="str">
            <v>MR</v>
          </cell>
          <cell r="C2702">
            <v>5.5</v>
          </cell>
          <cell r="D2702">
            <v>14</v>
          </cell>
          <cell r="E2702" t="str">
            <v>R107</v>
          </cell>
          <cell r="F2702">
            <v>3680</v>
          </cell>
          <cell r="G2702">
            <v>102.53</v>
          </cell>
          <cell r="H2702">
            <v>1.1499999999999999</v>
          </cell>
          <cell r="I2702" t="str">
            <v>M1</v>
          </cell>
          <cell r="J2702" t="str">
            <v>IE3</v>
          </cell>
          <cell r="K2702" t="str">
            <v>230/400</v>
          </cell>
          <cell r="L2702">
            <v>50</v>
          </cell>
          <cell r="M2702" t="str">
            <v>18,2/10,5</v>
          </cell>
          <cell r="N2702">
            <v>55</v>
          </cell>
          <cell r="O2702" t="str">
            <v>155(F)</v>
          </cell>
          <cell r="P2702" t="str">
            <v>270°</v>
          </cell>
          <cell r="Q2702" t="str">
            <v>TF</v>
          </cell>
          <cell r="R2702" t="str">
            <v>-</v>
          </cell>
          <cell r="S2702" t="str">
            <v>-</v>
          </cell>
          <cell r="T2702" t="str">
            <v>-</v>
          </cell>
          <cell r="U2702" t="str">
            <v>-</v>
          </cell>
          <cell r="V2702" t="str">
            <v>FC</v>
          </cell>
          <cell r="W2702" t="str">
            <v>-</v>
          </cell>
          <cell r="X2702" t="str">
            <v>CLP 220 (-15/+40°C)</v>
          </cell>
          <cell r="Y2702" t="str">
            <v>R107DRN132S4 /TF</v>
          </cell>
          <cell r="Z2702" t="str">
            <v>SEW</v>
          </cell>
          <cell r="AB2702" t="str">
            <v>-</v>
          </cell>
          <cell r="AF2702">
            <v>14</v>
          </cell>
          <cell r="AG2702" t="str">
            <v>DRN132S4</v>
          </cell>
          <cell r="AH2702" t="str">
            <v>R107-DRN132S4270-X</v>
          </cell>
        </row>
        <row r="2703">
          <cell r="A2703" t="str">
            <v>MR002691</v>
          </cell>
          <cell r="B2703" t="str">
            <v>MR</v>
          </cell>
          <cell r="C2703">
            <v>11</v>
          </cell>
          <cell r="D2703">
            <v>65</v>
          </cell>
          <cell r="E2703" t="str">
            <v>R107</v>
          </cell>
          <cell r="F2703">
            <v>1610</v>
          </cell>
          <cell r="G2703">
            <v>22.62</v>
          </cell>
          <cell r="H2703">
            <v>2.7</v>
          </cell>
          <cell r="I2703" t="str">
            <v>M1</v>
          </cell>
          <cell r="J2703" t="str">
            <v>IE3</v>
          </cell>
          <cell r="K2703" t="str">
            <v>400/690</v>
          </cell>
          <cell r="L2703">
            <v>50</v>
          </cell>
          <cell r="M2703" t="str">
            <v>21/12,2</v>
          </cell>
          <cell r="N2703">
            <v>55</v>
          </cell>
          <cell r="O2703" t="str">
            <v>155(F)</v>
          </cell>
          <cell r="P2703" t="str">
            <v>270°</v>
          </cell>
          <cell r="Q2703" t="str">
            <v>-</v>
          </cell>
          <cell r="R2703" t="str">
            <v>-</v>
          </cell>
          <cell r="S2703" t="str">
            <v>-</v>
          </cell>
          <cell r="T2703" t="str">
            <v>-</v>
          </cell>
          <cell r="U2703" t="str">
            <v>-</v>
          </cell>
          <cell r="V2703" t="str">
            <v>D</v>
          </cell>
          <cell r="W2703" t="str">
            <v>-</v>
          </cell>
          <cell r="X2703" t="str">
            <v>CLP 220 (-15/+40°C)</v>
          </cell>
          <cell r="Y2703" t="str">
            <v>R107DRN160M4</v>
          </cell>
          <cell r="Z2703" t="str">
            <v>SEW</v>
          </cell>
          <cell r="AB2703" t="str">
            <v>-</v>
          </cell>
          <cell r="AF2703">
            <v>65</v>
          </cell>
          <cell r="AG2703" t="str">
            <v>DRN160M4</v>
          </cell>
          <cell r="AH2703" t="str">
            <v>R107-DRN160M4270-X</v>
          </cell>
        </row>
        <row r="2704">
          <cell r="A2704" t="str">
            <v>MR002692</v>
          </cell>
          <cell r="B2704" t="str">
            <v>MR</v>
          </cell>
          <cell r="C2704">
            <v>30</v>
          </cell>
          <cell r="D2704">
            <v>15</v>
          </cell>
          <cell r="E2704" t="str">
            <v>KH157</v>
          </cell>
          <cell r="F2704">
            <v>19400</v>
          </cell>
          <cell r="G2704">
            <v>100.22</v>
          </cell>
          <cell r="H2704">
            <v>1.05</v>
          </cell>
          <cell r="I2704" t="str">
            <v>M4A</v>
          </cell>
          <cell r="J2704" t="str">
            <v>IE3</v>
          </cell>
          <cell r="K2704" t="str">
            <v>400/690</v>
          </cell>
          <cell r="L2704">
            <v>50</v>
          </cell>
          <cell r="M2704" t="str">
            <v>56/32,5</v>
          </cell>
          <cell r="N2704">
            <v>55</v>
          </cell>
          <cell r="O2704" t="str">
            <v>155(F)</v>
          </cell>
          <cell r="P2704" t="str">
            <v>270°</v>
          </cell>
          <cell r="Q2704" t="str">
            <v>TF</v>
          </cell>
          <cell r="R2704" t="str">
            <v>-</v>
          </cell>
          <cell r="S2704" t="str">
            <v>-</v>
          </cell>
          <cell r="T2704" t="str">
            <v>-</v>
          </cell>
          <cell r="U2704" t="str">
            <v>-</v>
          </cell>
          <cell r="V2704" t="str">
            <v>FC</v>
          </cell>
          <cell r="W2704" t="str">
            <v>-</v>
          </cell>
          <cell r="X2704" t="str">
            <v>CLP 220 (-15/+40°C)</v>
          </cell>
          <cell r="Y2704" t="str">
            <v>KH157DRN200L4 /TF</v>
          </cell>
          <cell r="Z2704" t="str">
            <v>SEW</v>
          </cell>
          <cell r="AB2704" t="str">
            <v>-</v>
          </cell>
          <cell r="AF2704">
            <v>15</v>
          </cell>
          <cell r="AG2704" t="str">
            <v>DRN200L4</v>
          </cell>
          <cell r="AH2704" t="str">
            <v>KH157-DRN200L4A270-X</v>
          </cell>
        </row>
        <row r="2705">
          <cell r="A2705" t="str">
            <v>MR002693</v>
          </cell>
          <cell r="B2705" t="str">
            <v>MR</v>
          </cell>
          <cell r="C2705">
            <v>4</v>
          </cell>
          <cell r="D2705">
            <v>96</v>
          </cell>
          <cell r="E2705" t="str">
            <v>R87</v>
          </cell>
          <cell r="F2705">
            <v>400</v>
          </cell>
          <cell r="G2705">
            <v>15.35</v>
          </cell>
          <cell r="H2705">
            <v>3.3</v>
          </cell>
          <cell r="I2705" t="str">
            <v>M1</v>
          </cell>
          <cell r="J2705" t="str">
            <v>IE3</v>
          </cell>
          <cell r="K2705" t="str">
            <v>230/400</v>
          </cell>
          <cell r="L2705">
            <v>50</v>
          </cell>
          <cell r="M2705" t="str">
            <v>13,8/7,9</v>
          </cell>
          <cell r="N2705">
            <v>55</v>
          </cell>
          <cell r="O2705" t="str">
            <v>155(F)</v>
          </cell>
          <cell r="P2705" t="str">
            <v>270°</v>
          </cell>
          <cell r="Q2705" t="str">
            <v>-</v>
          </cell>
          <cell r="R2705" t="str">
            <v>-</v>
          </cell>
          <cell r="S2705" t="str">
            <v>-</v>
          </cell>
          <cell r="T2705" t="str">
            <v>-</v>
          </cell>
          <cell r="U2705" t="str">
            <v>-</v>
          </cell>
          <cell r="V2705" t="str">
            <v>D</v>
          </cell>
          <cell r="W2705" t="str">
            <v>-</v>
          </cell>
          <cell r="X2705" t="str">
            <v>CLP 220 (-15/+40°C)</v>
          </cell>
          <cell r="Y2705" t="str">
            <v>R87DRN112M4</v>
          </cell>
          <cell r="Z2705" t="str">
            <v>SEW</v>
          </cell>
          <cell r="AB2705" t="str">
            <v>-</v>
          </cell>
          <cell r="AF2705">
            <v>96</v>
          </cell>
          <cell r="AG2705" t="str">
            <v>DRN112M4</v>
          </cell>
          <cell r="AH2705" t="str">
            <v>R87-DRN112M4270-X</v>
          </cell>
        </row>
        <row r="2706">
          <cell r="A2706" t="str">
            <v>MR002694</v>
          </cell>
          <cell r="B2706" t="str">
            <v>MR</v>
          </cell>
          <cell r="C2706">
            <v>30</v>
          </cell>
          <cell r="D2706">
            <v>32</v>
          </cell>
          <cell r="E2706" t="str">
            <v>R147</v>
          </cell>
          <cell r="F2706">
            <v>9030</v>
          </cell>
          <cell r="G2706">
            <v>46.65</v>
          </cell>
          <cell r="H2706">
            <v>1.45</v>
          </cell>
          <cell r="I2706" t="str">
            <v>M1</v>
          </cell>
          <cell r="J2706" t="str">
            <v>IE3</v>
          </cell>
          <cell r="K2706" t="str">
            <v>400/690</v>
          </cell>
          <cell r="L2706">
            <v>50</v>
          </cell>
          <cell r="M2706" t="str">
            <v>56/32,5</v>
          </cell>
          <cell r="N2706">
            <v>55</v>
          </cell>
          <cell r="O2706" t="str">
            <v>155(F)</v>
          </cell>
          <cell r="P2706" t="str">
            <v>270°</v>
          </cell>
          <cell r="Q2706" t="str">
            <v>-</v>
          </cell>
          <cell r="R2706" t="str">
            <v>-</v>
          </cell>
          <cell r="S2706" t="str">
            <v>Free rotation CCW</v>
          </cell>
          <cell r="T2706" t="str">
            <v>-</v>
          </cell>
          <cell r="U2706" t="str">
            <v>-</v>
          </cell>
          <cell r="V2706" t="str">
            <v>SS</v>
          </cell>
          <cell r="W2706" t="str">
            <v>-</v>
          </cell>
          <cell r="X2706" t="str">
            <v>CLP 220 (-15/+40°C)</v>
          </cell>
          <cell r="Y2706" t="str">
            <v>R147DRN200L4/RS/2W</v>
          </cell>
          <cell r="Z2706" t="str">
            <v>SEW</v>
          </cell>
          <cell r="AB2706" t="str">
            <v>-</v>
          </cell>
          <cell r="AE2706" t="str">
            <v>ALBERINO SU LATO VENTOLA MOTORE</v>
          </cell>
          <cell r="AF2706">
            <v>32</v>
          </cell>
          <cell r="AG2706" t="str">
            <v>DRN200L4</v>
          </cell>
          <cell r="AH2706" t="str">
            <v>R147-DRN200L4270-X</v>
          </cell>
        </row>
        <row r="2707">
          <cell r="A2707" t="str">
            <v>MR002695</v>
          </cell>
          <cell r="B2707" t="str">
            <v>MR</v>
          </cell>
          <cell r="C2707">
            <v>1.5</v>
          </cell>
          <cell r="D2707">
            <v>34</v>
          </cell>
          <cell r="E2707" t="str">
            <v>R57</v>
          </cell>
          <cell r="F2707">
            <v>420</v>
          </cell>
          <cell r="G2707">
            <v>43.3</v>
          </cell>
          <cell r="H2707">
            <v>1.05</v>
          </cell>
          <cell r="I2707" t="str">
            <v>M1</v>
          </cell>
          <cell r="J2707" t="str">
            <v>IE3</v>
          </cell>
          <cell r="K2707" t="str">
            <v>230/400</v>
          </cell>
          <cell r="L2707">
            <v>50</v>
          </cell>
          <cell r="M2707" t="str">
            <v>5,9/3,4</v>
          </cell>
          <cell r="N2707">
            <v>55</v>
          </cell>
          <cell r="O2707" t="str">
            <v>155(F)</v>
          </cell>
          <cell r="P2707" t="str">
            <v>270°</v>
          </cell>
          <cell r="Q2707" t="str">
            <v>-</v>
          </cell>
          <cell r="R2707" t="str">
            <v>-</v>
          </cell>
          <cell r="S2707" t="str">
            <v>-</v>
          </cell>
          <cell r="T2707" t="str">
            <v>-</v>
          </cell>
          <cell r="U2707" t="str">
            <v>-</v>
          </cell>
          <cell r="V2707" t="str">
            <v>SS</v>
          </cell>
          <cell r="W2707" t="str">
            <v>-</v>
          </cell>
          <cell r="X2707" t="str">
            <v>CLP 220 (-15/+40°C)</v>
          </cell>
          <cell r="Y2707" t="str">
            <v>R57DRN90L4</v>
          </cell>
          <cell r="Z2707" t="str">
            <v>SEW</v>
          </cell>
          <cell r="AB2707" t="str">
            <v>-</v>
          </cell>
          <cell r="AF2707">
            <v>34</v>
          </cell>
          <cell r="AG2707" t="str">
            <v>DRN90L4</v>
          </cell>
          <cell r="AH2707" t="str">
            <v>R57-DRN90L4270-X</v>
          </cell>
        </row>
        <row r="2708">
          <cell r="A2708" t="str">
            <v>MR002696</v>
          </cell>
          <cell r="B2708" t="str">
            <v>MR</v>
          </cell>
          <cell r="C2708">
            <v>22</v>
          </cell>
          <cell r="D2708">
            <v>48</v>
          </cell>
          <cell r="E2708" t="str">
            <v>R127</v>
          </cell>
          <cell r="F2708">
            <v>4390</v>
          </cell>
          <cell r="G2708">
            <v>30.84</v>
          </cell>
          <cell r="H2708">
            <v>1.25</v>
          </cell>
          <cell r="I2708" t="str">
            <v>M1</v>
          </cell>
          <cell r="J2708" t="str">
            <v>IE3</v>
          </cell>
          <cell r="K2708" t="str">
            <v>400/690</v>
          </cell>
          <cell r="L2708">
            <v>50</v>
          </cell>
          <cell r="M2708" t="str">
            <v>38,5/22,5</v>
          </cell>
          <cell r="N2708">
            <v>55</v>
          </cell>
          <cell r="O2708" t="str">
            <v>155(F)</v>
          </cell>
          <cell r="P2708" t="str">
            <v>270°</v>
          </cell>
          <cell r="Q2708" t="str">
            <v>-</v>
          </cell>
          <cell r="R2708" t="str">
            <v>-</v>
          </cell>
          <cell r="S2708" t="str">
            <v>-</v>
          </cell>
          <cell r="T2708" t="str">
            <v>-</v>
          </cell>
          <cell r="U2708" t="str">
            <v>-</v>
          </cell>
          <cell r="V2708" t="str">
            <v>D</v>
          </cell>
          <cell r="W2708" t="str">
            <v>-</v>
          </cell>
          <cell r="X2708" t="str">
            <v>CLP 220 (-15/+40°C)</v>
          </cell>
          <cell r="Y2708" t="str">
            <v>R127DRN180L4</v>
          </cell>
          <cell r="Z2708" t="str">
            <v>SEW</v>
          </cell>
          <cell r="AB2708" t="str">
            <v>-</v>
          </cell>
          <cell r="AF2708">
            <v>48</v>
          </cell>
          <cell r="AG2708" t="str">
            <v>DRN180L4</v>
          </cell>
          <cell r="AH2708" t="str">
            <v>R127-DRN180L4270-X</v>
          </cell>
        </row>
        <row r="2709">
          <cell r="A2709" t="str">
            <v>MR002697</v>
          </cell>
          <cell r="B2709" t="str">
            <v>MR</v>
          </cell>
          <cell r="C2709">
            <v>18.5</v>
          </cell>
          <cell r="D2709">
            <v>42</v>
          </cell>
          <cell r="E2709" t="str">
            <v>R107</v>
          </cell>
          <cell r="F2709">
            <v>4210</v>
          </cell>
          <cell r="G2709">
            <v>35.26</v>
          </cell>
          <cell r="H2709">
            <v>1</v>
          </cell>
          <cell r="I2709" t="str">
            <v>M1</v>
          </cell>
          <cell r="J2709" t="str">
            <v>IE3</v>
          </cell>
          <cell r="K2709" t="str">
            <v>380/660</v>
          </cell>
          <cell r="L2709">
            <v>50</v>
          </cell>
          <cell r="M2709" t="str">
            <v>35/20</v>
          </cell>
          <cell r="N2709">
            <v>65</v>
          </cell>
          <cell r="O2709" t="str">
            <v>155(F)</v>
          </cell>
          <cell r="P2709" t="str">
            <v>270°</v>
          </cell>
          <cell r="Q2709" t="str">
            <v>TF</v>
          </cell>
          <cell r="R2709" t="str">
            <v>V(VE)</v>
          </cell>
          <cell r="S2709" t="str">
            <v>-</v>
          </cell>
          <cell r="T2709" t="str">
            <v>-</v>
          </cell>
          <cell r="U2709" t="str">
            <v>-</v>
          </cell>
          <cell r="V2709" t="str">
            <v>FC</v>
          </cell>
          <cell r="W2709" t="str">
            <v>-</v>
          </cell>
          <cell r="X2709" t="str">
            <v>CLP HC 220 (-25/+60°C)</v>
          </cell>
          <cell r="Y2709" t="str">
            <v>R107DRN180M4 /TF/V</v>
          </cell>
          <cell r="Z2709" t="str">
            <v>SEW</v>
          </cell>
          <cell r="AB2709" t="str">
            <v>-</v>
          </cell>
          <cell r="AF2709">
            <v>42</v>
          </cell>
          <cell r="AG2709" t="str">
            <v>DRN180M4</v>
          </cell>
          <cell r="AH2709" t="str">
            <v>R107-DRN180M4270-X#</v>
          </cell>
        </row>
        <row r="2710">
          <cell r="A2710" t="str">
            <v>MR002698</v>
          </cell>
          <cell r="B2710" t="str">
            <v>MR</v>
          </cell>
          <cell r="C2710">
            <v>22</v>
          </cell>
          <cell r="D2710">
            <v>40</v>
          </cell>
          <cell r="E2710" t="str">
            <v>R127</v>
          </cell>
          <cell r="F2710">
            <v>5240</v>
          </cell>
          <cell r="G2710">
            <v>36.880000000000003</v>
          </cell>
          <cell r="H2710">
            <v>1.1000000000000001</v>
          </cell>
          <cell r="I2710" t="str">
            <v>M1</v>
          </cell>
          <cell r="J2710" t="str">
            <v>IE3</v>
          </cell>
          <cell r="K2710" t="str">
            <v>380/660</v>
          </cell>
          <cell r="L2710">
            <v>50</v>
          </cell>
          <cell r="M2710" t="str">
            <v>40,5/23,5</v>
          </cell>
          <cell r="N2710">
            <v>65</v>
          </cell>
          <cell r="O2710" t="str">
            <v>155(F)</v>
          </cell>
          <cell r="P2710" t="str">
            <v>270°</v>
          </cell>
          <cell r="Q2710" t="str">
            <v>TF</v>
          </cell>
          <cell r="R2710" t="str">
            <v>V(VE)</v>
          </cell>
          <cell r="S2710" t="str">
            <v>-</v>
          </cell>
          <cell r="T2710" t="str">
            <v>-</v>
          </cell>
          <cell r="U2710" t="str">
            <v>-</v>
          </cell>
          <cell r="V2710" t="str">
            <v>FC</v>
          </cell>
          <cell r="W2710" t="str">
            <v>-</v>
          </cell>
          <cell r="X2710" t="str">
            <v>CLP HC 220 (-25/+60°C)</v>
          </cell>
          <cell r="Y2710" t="str">
            <v>R127DRN180L4 /TF/V</v>
          </cell>
          <cell r="Z2710" t="str">
            <v>SEW</v>
          </cell>
          <cell r="AB2710" t="str">
            <v>-</v>
          </cell>
          <cell r="AF2710">
            <v>40</v>
          </cell>
          <cell r="AG2710" t="str">
            <v>DRN180L4</v>
          </cell>
          <cell r="AH2710" t="str">
            <v>R127-DRN180L4270-X#</v>
          </cell>
        </row>
        <row r="2711">
          <cell r="A2711" t="str">
            <v>MR002699</v>
          </cell>
          <cell r="B2711" t="str">
            <v>MR</v>
          </cell>
          <cell r="C2711">
            <v>18.5</v>
          </cell>
          <cell r="D2711">
            <v>66</v>
          </cell>
          <cell r="E2711" t="str">
            <v>KH97</v>
          </cell>
          <cell r="F2711">
            <v>2670</v>
          </cell>
          <cell r="G2711">
            <v>22.37</v>
          </cell>
          <cell r="H2711">
            <v>1.6</v>
          </cell>
          <cell r="I2711" t="str">
            <v>From M1B to M4B - 75°</v>
          </cell>
          <cell r="J2711" t="str">
            <v>IE3</v>
          </cell>
          <cell r="K2711" t="str">
            <v>380/660</v>
          </cell>
          <cell r="L2711">
            <v>50</v>
          </cell>
          <cell r="M2711" t="str">
            <v>35/20</v>
          </cell>
          <cell r="N2711">
            <v>65</v>
          </cell>
          <cell r="O2711" t="str">
            <v>155(F)</v>
          </cell>
          <cell r="P2711" t="str">
            <v>270°</v>
          </cell>
          <cell r="Q2711" t="str">
            <v>TF</v>
          </cell>
          <cell r="R2711" t="str">
            <v>-</v>
          </cell>
          <cell r="S2711" t="str">
            <v>Free rotation CW</v>
          </cell>
          <cell r="T2711" t="str">
            <v>-</v>
          </cell>
          <cell r="U2711" t="str">
            <v>T</v>
          </cell>
          <cell r="V2711" t="str">
            <v>SS</v>
          </cell>
          <cell r="W2711" t="str">
            <v>-</v>
          </cell>
          <cell r="X2711" t="str">
            <v>CLP HC 220 (-25/+60°C)</v>
          </cell>
          <cell r="Y2711" t="str">
            <v>KH97/T DRN180M4 /RS /TF</v>
          </cell>
          <cell r="Z2711" t="str">
            <v>SEW</v>
          </cell>
          <cell r="AB2711" t="str">
            <v>-</v>
          </cell>
          <cell r="AF2711">
            <v>66</v>
          </cell>
          <cell r="AG2711" t="str">
            <v>DRN180M4</v>
          </cell>
          <cell r="AH2711" t="str">
            <v>KH97T-DRN180M4B270-X</v>
          </cell>
        </row>
        <row r="2712">
          <cell r="A2712" t="str">
            <v>MR002700</v>
          </cell>
          <cell r="B2712" t="str">
            <v>MR</v>
          </cell>
          <cell r="C2712">
            <v>0.75</v>
          </cell>
          <cell r="D2712">
            <v>162</v>
          </cell>
          <cell r="E2712" t="str">
            <v>KA37</v>
          </cell>
          <cell r="F2712">
            <v>44</v>
          </cell>
          <cell r="G2712">
            <v>8.91</v>
          </cell>
          <cell r="H2712">
            <v>3.6</v>
          </cell>
          <cell r="I2712" t="str">
            <v>From M3A to M2A - 15°</v>
          </cell>
          <cell r="J2712" t="str">
            <v>IE3</v>
          </cell>
          <cell r="K2712" t="str">
            <v>220/380</v>
          </cell>
          <cell r="L2712">
            <v>50</v>
          </cell>
          <cell r="M2712" t="str">
            <v>3,2/1,84</v>
          </cell>
          <cell r="N2712">
            <v>65</v>
          </cell>
          <cell r="O2712" t="str">
            <v>155(F)</v>
          </cell>
          <cell r="P2712" t="str">
            <v>270°</v>
          </cell>
          <cell r="Q2712" t="str">
            <v>TF</v>
          </cell>
          <cell r="R2712" t="str">
            <v>-</v>
          </cell>
          <cell r="S2712" t="str">
            <v>-</v>
          </cell>
          <cell r="T2712" t="str">
            <v>-</v>
          </cell>
          <cell r="U2712" t="str">
            <v>T</v>
          </cell>
          <cell r="V2712" t="str">
            <v>D</v>
          </cell>
          <cell r="W2712" t="str">
            <v>-</v>
          </cell>
          <cell r="X2712" t="str">
            <v>CLP HC 220 (-25/+60°C)</v>
          </cell>
          <cell r="Y2712" t="str">
            <v>KA37/T DRN80M4 /TF</v>
          </cell>
          <cell r="Z2712" t="str">
            <v>SEW</v>
          </cell>
          <cell r="AB2712" t="str">
            <v>-</v>
          </cell>
          <cell r="AF2712">
            <v>162</v>
          </cell>
          <cell r="AG2712" t="str">
            <v>DRN80M4</v>
          </cell>
          <cell r="AH2712" t="str">
            <v>KA37T-DRN80M4A270-X</v>
          </cell>
        </row>
        <row r="2713">
          <cell r="A2713" t="str">
            <v>MR002701</v>
          </cell>
          <cell r="B2713" t="str">
            <v>MR</v>
          </cell>
          <cell r="C2713">
            <v>9.1999999999999993</v>
          </cell>
          <cell r="D2713">
            <v>64</v>
          </cell>
          <cell r="E2713" t="str">
            <v>KH77</v>
          </cell>
          <cell r="F2713">
            <v>1370</v>
          </cell>
          <cell r="G2713">
            <v>23.08</v>
          </cell>
          <cell r="H2713">
            <v>1.1000000000000001</v>
          </cell>
          <cell r="I2713" t="str">
            <v>From M1B to M4B - 75°</v>
          </cell>
          <cell r="J2713" t="str">
            <v>IE3</v>
          </cell>
          <cell r="K2713" t="str">
            <v>380/660</v>
          </cell>
          <cell r="L2713">
            <v>50</v>
          </cell>
          <cell r="M2713" t="str">
            <v>19,7/11,3</v>
          </cell>
          <cell r="N2713">
            <v>65</v>
          </cell>
          <cell r="O2713" t="str">
            <v>155(F)</v>
          </cell>
          <cell r="P2713" t="str">
            <v>270°</v>
          </cell>
          <cell r="Q2713" t="str">
            <v>TF</v>
          </cell>
          <cell r="R2713" t="str">
            <v>-</v>
          </cell>
          <cell r="S2713" t="str">
            <v>Free rotation CW</v>
          </cell>
          <cell r="T2713" t="str">
            <v>-</v>
          </cell>
          <cell r="U2713" t="str">
            <v>T</v>
          </cell>
          <cell r="V2713" t="str">
            <v>SS</v>
          </cell>
          <cell r="W2713" t="str">
            <v>-</v>
          </cell>
          <cell r="X2713" t="str">
            <v>CLP HC 220 (-25/+60°C)</v>
          </cell>
          <cell r="Y2713" t="str">
            <v>KH77/T DRN132L4 /RS /TF</v>
          </cell>
          <cell r="Z2713" t="str">
            <v>SEW</v>
          </cell>
          <cell r="AB2713" t="str">
            <v>-</v>
          </cell>
          <cell r="AF2713">
            <v>64</v>
          </cell>
          <cell r="AG2713" t="str">
            <v>DRN132L4</v>
          </cell>
          <cell r="AH2713" t="str">
            <v>KH77T-DRN132L4B270-X</v>
          </cell>
        </row>
        <row r="2714">
          <cell r="A2714" t="str">
            <v>MR002702</v>
          </cell>
          <cell r="B2714" t="str">
            <v>MR</v>
          </cell>
          <cell r="C2714">
            <v>9.1999999999999993</v>
          </cell>
          <cell r="D2714">
            <v>64</v>
          </cell>
          <cell r="E2714" t="str">
            <v>KH77</v>
          </cell>
          <cell r="F2714">
            <v>1370</v>
          </cell>
          <cell r="G2714">
            <v>23.08</v>
          </cell>
          <cell r="H2714">
            <v>1.1000000000000001</v>
          </cell>
          <cell r="I2714" t="str">
            <v>M4A</v>
          </cell>
          <cell r="J2714" t="str">
            <v>IE3</v>
          </cell>
          <cell r="K2714" t="str">
            <v>380/660</v>
          </cell>
          <cell r="L2714">
            <v>50</v>
          </cell>
          <cell r="M2714" t="str">
            <v>19,7/11,3</v>
          </cell>
          <cell r="N2714">
            <v>65</v>
          </cell>
          <cell r="O2714" t="str">
            <v>155(F)</v>
          </cell>
          <cell r="P2714" t="str">
            <v>270°</v>
          </cell>
          <cell r="Q2714" t="str">
            <v>TF</v>
          </cell>
          <cell r="R2714" t="str">
            <v>-</v>
          </cell>
          <cell r="S2714" t="str">
            <v>-</v>
          </cell>
          <cell r="T2714" t="str">
            <v>-</v>
          </cell>
          <cell r="U2714" t="str">
            <v>T</v>
          </cell>
          <cell r="V2714" t="str">
            <v>SS</v>
          </cell>
          <cell r="W2714" t="str">
            <v>-</v>
          </cell>
          <cell r="X2714" t="str">
            <v>CLP HC 220 (-25/+60°C)</v>
          </cell>
          <cell r="Y2714" t="str">
            <v>KH77/T DRN132L4 /TF</v>
          </cell>
          <cell r="Z2714" t="str">
            <v>SEW</v>
          </cell>
          <cell r="AB2714" t="str">
            <v>-</v>
          </cell>
          <cell r="AF2714">
            <v>64</v>
          </cell>
          <cell r="AG2714" t="str">
            <v>DRN132L4</v>
          </cell>
          <cell r="AH2714" t="str">
            <v>KH77T-DRN132L4A270-X</v>
          </cell>
        </row>
        <row r="2715">
          <cell r="A2715" t="str">
            <v>MR002703</v>
          </cell>
          <cell r="B2715" t="str">
            <v>MR</v>
          </cell>
          <cell r="C2715">
            <v>11</v>
          </cell>
          <cell r="D2715">
            <v>66</v>
          </cell>
          <cell r="E2715" t="str">
            <v>KA87</v>
          </cell>
          <cell r="F2715">
            <v>1590</v>
          </cell>
          <cell r="G2715">
            <v>22.41</v>
          </cell>
          <cell r="H2715">
            <v>1.45</v>
          </cell>
          <cell r="I2715" t="str">
            <v>From M1B to M4B - 75°</v>
          </cell>
          <cell r="J2715" t="str">
            <v>IE3</v>
          </cell>
          <cell r="K2715" t="str">
            <v>380/660</v>
          </cell>
          <cell r="L2715">
            <v>50</v>
          </cell>
          <cell r="M2715" t="str">
            <v>22/12,7</v>
          </cell>
          <cell r="N2715">
            <v>65</v>
          </cell>
          <cell r="O2715" t="str">
            <v>155(F)</v>
          </cell>
          <cell r="P2715" t="str">
            <v>270°</v>
          </cell>
          <cell r="Q2715" t="str">
            <v>TF</v>
          </cell>
          <cell r="R2715" t="str">
            <v>-</v>
          </cell>
          <cell r="S2715" t="str">
            <v>Free rotation CW</v>
          </cell>
          <cell r="T2715" t="str">
            <v>-</v>
          </cell>
          <cell r="U2715" t="str">
            <v>T</v>
          </cell>
          <cell r="V2715" t="str">
            <v>SS</v>
          </cell>
          <cell r="W2715" t="str">
            <v>-</v>
          </cell>
          <cell r="X2715" t="str">
            <v>CLP HC 220 (-25/+60°C)</v>
          </cell>
          <cell r="Y2715" t="str">
            <v>KA87/T DRN160M4 /RS /TF</v>
          </cell>
          <cell r="Z2715" t="str">
            <v>SEW</v>
          </cell>
          <cell r="AB2715" t="str">
            <v>-</v>
          </cell>
          <cell r="AF2715">
            <v>66</v>
          </cell>
          <cell r="AG2715" t="str">
            <v>DRN160M4</v>
          </cell>
          <cell r="AH2715" t="str">
            <v>KA87T-DRN160M4B270-X</v>
          </cell>
        </row>
        <row r="2716">
          <cell r="A2716" t="str">
            <v>MR002704</v>
          </cell>
          <cell r="B2716" t="str">
            <v>MR</v>
          </cell>
          <cell r="C2716">
            <v>4</v>
          </cell>
          <cell r="D2716">
            <v>54</v>
          </cell>
          <cell r="E2716" t="str">
            <v>KA67</v>
          </cell>
          <cell r="F2716">
            <v>710</v>
          </cell>
          <cell r="G2716">
            <v>27.28</v>
          </cell>
          <cell r="H2716">
            <v>1.1499999999999999</v>
          </cell>
          <cell r="I2716" t="str">
            <v>From M1B to M4B - 80°</v>
          </cell>
          <cell r="J2716" t="str">
            <v>IE3</v>
          </cell>
          <cell r="K2716" t="str">
            <v>220/380</v>
          </cell>
          <cell r="L2716">
            <v>50</v>
          </cell>
          <cell r="M2716" t="str">
            <v>14,4/8,4</v>
          </cell>
          <cell r="N2716">
            <v>65</v>
          </cell>
          <cell r="O2716" t="str">
            <v>155(F)</v>
          </cell>
          <cell r="P2716" t="str">
            <v>270°</v>
          </cell>
          <cell r="Q2716" t="str">
            <v>TF</v>
          </cell>
          <cell r="R2716" t="str">
            <v>-</v>
          </cell>
          <cell r="S2716" t="str">
            <v>Free rotation CW</v>
          </cell>
          <cell r="T2716" t="str">
            <v>-</v>
          </cell>
          <cell r="U2716" t="str">
            <v>T</v>
          </cell>
          <cell r="V2716" t="str">
            <v>SS</v>
          </cell>
          <cell r="W2716" t="str">
            <v>-</v>
          </cell>
          <cell r="X2716" t="str">
            <v>CLP HC 220 (-25/+60°C)</v>
          </cell>
          <cell r="Y2716" t="str">
            <v>KA67/T DRN112M4 /RS /TF</v>
          </cell>
          <cell r="Z2716" t="str">
            <v>SEW</v>
          </cell>
          <cell r="AB2716" t="str">
            <v>-</v>
          </cell>
          <cell r="AF2716">
            <v>54</v>
          </cell>
          <cell r="AG2716" t="str">
            <v>DRN112M4</v>
          </cell>
          <cell r="AH2716" t="str">
            <v>KA67T-DRN112M4B270-X</v>
          </cell>
        </row>
        <row r="2717">
          <cell r="A2717" t="str">
            <v>MR002705</v>
          </cell>
          <cell r="B2717" t="str">
            <v>MR</v>
          </cell>
          <cell r="C2717">
            <v>0.75</v>
          </cell>
          <cell r="D2717">
            <v>162</v>
          </cell>
          <cell r="E2717" t="str">
            <v>KA37</v>
          </cell>
          <cell r="F2717">
            <v>44</v>
          </cell>
          <cell r="G2717">
            <v>8.91</v>
          </cell>
          <cell r="H2717">
            <v>3.6</v>
          </cell>
          <cell r="I2717" t="str">
            <v>From M3A to M2A - 10°</v>
          </cell>
          <cell r="J2717" t="str">
            <v>IE3</v>
          </cell>
          <cell r="K2717" t="str">
            <v>220/380</v>
          </cell>
          <cell r="L2717">
            <v>50</v>
          </cell>
          <cell r="M2717" t="str">
            <v>3,2/1,84</v>
          </cell>
          <cell r="N2717">
            <v>65</v>
          </cell>
          <cell r="O2717" t="str">
            <v>155(F)</v>
          </cell>
          <cell r="P2717" t="str">
            <v>270°</v>
          </cell>
          <cell r="Q2717" t="str">
            <v>TF</v>
          </cell>
          <cell r="R2717" t="str">
            <v>-</v>
          </cell>
          <cell r="S2717" t="str">
            <v>-</v>
          </cell>
          <cell r="T2717" t="str">
            <v>-</v>
          </cell>
          <cell r="U2717" t="str">
            <v>T</v>
          </cell>
          <cell r="V2717" t="str">
            <v>D</v>
          </cell>
          <cell r="W2717" t="str">
            <v>-</v>
          </cell>
          <cell r="X2717" t="str">
            <v>CLP HC 220 (-25/+60°C)</v>
          </cell>
          <cell r="Y2717" t="str">
            <v>KA37/T DRN80M4 /TF</v>
          </cell>
          <cell r="Z2717" t="str">
            <v>SEW</v>
          </cell>
          <cell r="AB2717" t="str">
            <v>-</v>
          </cell>
          <cell r="AF2717">
            <v>162</v>
          </cell>
          <cell r="AG2717" t="str">
            <v>DRN80M4</v>
          </cell>
          <cell r="AH2717" t="str">
            <v>KA37T-DRN80M4A270-X</v>
          </cell>
        </row>
        <row r="2718">
          <cell r="A2718" t="str">
            <v>MR002706</v>
          </cell>
          <cell r="B2718" t="str">
            <v>MR</v>
          </cell>
          <cell r="C2718">
            <v>5.5</v>
          </cell>
          <cell r="D2718">
            <v>50</v>
          </cell>
          <cell r="E2718" t="str">
            <v>KA77</v>
          </cell>
          <cell r="F2718">
            <v>1050</v>
          </cell>
          <cell r="G2718">
            <v>29.27</v>
          </cell>
          <cell r="H2718">
            <v>1.45</v>
          </cell>
          <cell r="I2718" t="str">
            <v>From M1B to M4B - 75°</v>
          </cell>
          <cell r="J2718" t="str">
            <v>IE3</v>
          </cell>
          <cell r="K2718" t="str">
            <v>220/380</v>
          </cell>
          <cell r="L2718">
            <v>50</v>
          </cell>
          <cell r="M2718" t="str">
            <v>19/11</v>
          </cell>
          <cell r="N2718">
            <v>65</v>
          </cell>
          <cell r="O2718" t="str">
            <v>155(F)</v>
          </cell>
          <cell r="P2718" t="str">
            <v>270°</v>
          </cell>
          <cell r="Q2718" t="str">
            <v>TF</v>
          </cell>
          <cell r="R2718" t="str">
            <v>-</v>
          </cell>
          <cell r="S2718" t="str">
            <v>Free rotation CW</v>
          </cell>
          <cell r="T2718" t="str">
            <v>-</v>
          </cell>
          <cell r="U2718" t="str">
            <v>T</v>
          </cell>
          <cell r="V2718" t="str">
            <v>SS</v>
          </cell>
          <cell r="W2718" t="str">
            <v>-</v>
          </cell>
          <cell r="X2718" t="str">
            <v>CLP HC 220 (-25/+60°C)</v>
          </cell>
          <cell r="Y2718" t="str">
            <v>KA77/T DRN132S4 /RS /TF</v>
          </cell>
          <cell r="Z2718" t="str">
            <v>SEW</v>
          </cell>
          <cell r="AB2718" t="str">
            <v>-</v>
          </cell>
          <cell r="AF2718">
            <v>50</v>
          </cell>
          <cell r="AG2718" t="str">
            <v>DRN132S4</v>
          </cell>
          <cell r="AH2718" t="str">
            <v>KA77T-DRN132S4B270-X</v>
          </cell>
        </row>
        <row r="2719">
          <cell r="A2719" t="str">
            <v>MR002707</v>
          </cell>
          <cell r="B2719" t="str">
            <v>MR</v>
          </cell>
          <cell r="C2719">
            <v>5.5</v>
          </cell>
          <cell r="D2719">
            <v>63</v>
          </cell>
          <cell r="E2719" t="str">
            <v>KA77</v>
          </cell>
          <cell r="F2719">
            <v>820</v>
          </cell>
          <cell r="G2719">
            <v>23.08</v>
          </cell>
          <cell r="H2719">
            <v>1.85</v>
          </cell>
          <cell r="I2719" t="str">
            <v>From M1B to M4B - 75°</v>
          </cell>
          <cell r="J2719" t="str">
            <v>IE3</v>
          </cell>
          <cell r="K2719" t="str">
            <v>220/380</v>
          </cell>
          <cell r="L2719">
            <v>50</v>
          </cell>
          <cell r="M2719" t="str">
            <v>19/11</v>
          </cell>
          <cell r="N2719">
            <v>65</v>
          </cell>
          <cell r="O2719" t="str">
            <v>155(F)</v>
          </cell>
          <cell r="P2719" t="str">
            <v>270°</v>
          </cell>
          <cell r="Q2719" t="str">
            <v>TF</v>
          </cell>
          <cell r="R2719" t="str">
            <v>-</v>
          </cell>
          <cell r="S2719" t="str">
            <v>Free rotation CW</v>
          </cell>
          <cell r="T2719" t="str">
            <v>-</v>
          </cell>
          <cell r="U2719" t="str">
            <v>T</v>
          </cell>
          <cell r="V2719" t="str">
            <v>SS</v>
          </cell>
          <cell r="W2719" t="str">
            <v>-</v>
          </cell>
          <cell r="X2719" t="str">
            <v>CLP HC 220 (-25/+60°C)</v>
          </cell>
          <cell r="Y2719" t="str">
            <v>KA77/T DRN132S4 /RS /TF</v>
          </cell>
          <cell r="Z2719" t="str">
            <v>SEW</v>
          </cell>
          <cell r="AB2719" t="str">
            <v>-</v>
          </cell>
          <cell r="AF2719">
            <v>63</v>
          </cell>
          <cell r="AG2719" t="str">
            <v>DRN132S4</v>
          </cell>
          <cell r="AH2719" t="str">
            <v>KA77T-DRN132S4B270-X</v>
          </cell>
        </row>
        <row r="2720">
          <cell r="A2720" t="str">
            <v>MR002708</v>
          </cell>
          <cell r="B2720" t="str">
            <v>MR</v>
          </cell>
          <cell r="C2720">
            <v>11</v>
          </cell>
          <cell r="D2720">
            <v>35</v>
          </cell>
          <cell r="E2720" t="str">
            <v>KH97</v>
          </cell>
          <cell r="F2720">
            <v>2980</v>
          </cell>
          <cell r="G2720">
            <v>41.87</v>
          </cell>
          <cell r="H2720">
            <v>1.45</v>
          </cell>
          <cell r="I2720" t="str">
            <v>M4B</v>
          </cell>
          <cell r="J2720" t="str">
            <v>IE3</v>
          </cell>
          <cell r="K2720" t="str">
            <v>380/660</v>
          </cell>
          <cell r="L2720">
            <v>50</v>
          </cell>
          <cell r="M2720" t="str">
            <v>22/12,7</v>
          </cell>
          <cell r="N2720">
            <v>65</v>
          </cell>
          <cell r="O2720" t="str">
            <v>155(F)</v>
          </cell>
          <cell r="P2720" t="str">
            <v>270°</v>
          </cell>
          <cell r="Q2720" t="str">
            <v>TF</v>
          </cell>
          <cell r="R2720" t="str">
            <v>-</v>
          </cell>
          <cell r="S2720" t="str">
            <v>-</v>
          </cell>
          <cell r="T2720" t="str">
            <v>-</v>
          </cell>
          <cell r="U2720" t="str">
            <v>T</v>
          </cell>
          <cell r="V2720" t="str">
            <v>SS</v>
          </cell>
          <cell r="W2720" t="str">
            <v>-</v>
          </cell>
          <cell r="X2720" t="str">
            <v>CLP HC 220 (-25/+60°C)</v>
          </cell>
          <cell r="Y2720" t="str">
            <v>KH97/T DRN160M4 /TF</v>
          </cell>
          <cell r="Z2720" t="str">
            <v>SEW</v>
          </cell>
          <cell r="AB2720" t="str">
            <v>-</v>
          </cell>
          <cell r="AF2720">
            <v>35</v>
          </cell>
          <cell r="AG2720" t="str">
            <v>DRN160M4</v>
          </cell>
          <cell r="AH2720" t="str">
            <v>KH97T-DRN160M4B270-X</v>
          </cell>
        </row>
        <row r="2721">
          <cell r="A2721" t="str">
            <v>MR002709</v>
          </cell>
          <cell r="B2721" t="str">
            <v>MR</v>
          </cell>
          <cell r="C2721">
            <v>0.75</v>
          </cell>
          <cell r="D2721">
            <v>162</v>
          </cell>
          <cell r="E2721" t="str">
            <v>KA37</v>
          </cell>
          <cell r="F2721">
            <v>44</v>
          </cell>
          <cell r="G2721">
            <v>8.91</v>
          </cell>
          <cell r="H2721">
            <v>3.6</v>
          </cell>
          <cell r="I2721" t="str">
            <v>M1A</v>
          </cell>
          <cell r="J2721" t="str">
            <v>IE3</v>
          </cell>
          <cell r="K2721" t="str">
            <v>220/380</v>
          </cell>
          <cell r="L2721">
            <v>50</v>
          </cell>
          <cell r="M2721" t="str">
            <v>3,2/1,84</v>
          </cell>
          <cell r="N2721">
            <v>65</v>
          </cell>
          <cell r="O2721" t="str">
            <v>155(F)</v>
          </cell>
          <cell r="P2721" t="str">
            <v>270°</v>
          </cell>
          <cell r="Q2721" t="str">
            <v>TF</v>
          </cell>
          <cell r="R2721" t="str">
            <v>-</v>
          </cell>
          <cell r="S2721" t="str">
            <v>-</v>
          </cell>
          <cell r="T2721" t="str">
            <v>-</v>
          </cell>
          <cell r="U2721" t="str">
            <v>T</v>
          </cell>
          <cell r="V2721" t="str">
            <v>D</v>
          </cell>
          <cell r="W2721" t="str">
            <v>-</v>
          </cell>
          <cell r="X2721" t="str">
            <v>CLP HC 220 (-25/+60°C)</v>
          </cell>
          <cell r="Y2721" t="str">
            <v>KA37/T DRN80M4 /TF</v>
          </cell>
          <cell r="Z2721" t="str">
            <v>SEW</v>
          </cell>
          <cell r="AB2721" t="str">
            <v>-</v>
          </cell>
          <cell r="AF2721">
            <v>162</v>
          </cell>
          <cell r="AG2721" t="str">
            <v>DRN80M4</v>
          </cell>
          <cell r="AH2721" t="str">
            <v>KA37T-DRN80M4A270-X</v>
          </cell>
        </row>
        <row r="2722">
          <cell r="A2722" t="str">
            <v>MR002710</v>
          </cell>
          <cell r="B2722" t="str">
            <v>MR</v>
          </cell>
          <cell r="C2722">
            <v>4</v>
          </cell>
          <cell r="D2722">
            <v>138</v>
          </cell>
          <cell r="E2722" t="str">
            <v>KH67</v>
          </cell>
          <cell r="F2722">
            <v>275</v>
          </cell>
          <cell r="G2722">
            <v>10.63</v>
          </cell>
          <cell r="H2722">
            <v>1.8</v>
          </cell>
          <cell r="I2722" t="str">
            <v>M4B</v>
          </cell>
          <cell r="J2722" t="str">
            <v>IE3</v>
          </cell>
          <cell r="K2722" t="str">
            <v>220/380</v>
          </cell>
          <cell r="L2722">
            <v>50</v>
          </cell>
          <cell r="M2722" t="str">
            <v>14,4/8,4</v>
          </cell>
          <cell r="N2722">
            <v>65</v>
          </cell>
          <cell r="O2722" t="str">
            <v>155(F)</v>
          </cell>
          <cell r="P2722" t="str">
            <v>270°</v>
          </cell>
          <cell r="Q2722" t="str">
            <v>TF</v>
          </cell>
          <cell r="R2722" t="str">
            <v>V(VE)</v>
          </cell>
          <cell r="S2722" t="str">
            <v>-</v>
          </cell>
          <cell r="T2722" t="str">
            <v>-</v>
          </cell>
          <cell r="U2722" t="str">
            <v>T</v>
          </cell>
          <cell r="V2722" t="str">
            <v>FC+R</v>
          </cell>
          <cell r="W2722" t="str">
            <v>-</v>
          </cell>
          <cell r="X2722" t="str">
            <v>CLP HC 220 (-25/+60°C)</v>
          </cell>
          <cell r="Y2722" t="str">
            <v>KH67/T DRN112M4 /TF/V</v>
          </cell>
          <cell r="Z2722" t="str">
            <v>SEW</v>
          </cell>
          <cell r="AB2722" t="str">
            <v>-</v>
          </cell>
          <cell r="AF2722">
            <v>138</v>
          </cell>
          <cell r="AG2722" t="str">
            <v>DRN112M4</v>
          </cell>
          <cell r="AH2722" t="str">
            <v>KH67T-DRN112M4B270-X#</v>
          </cell>
        </row>
        <row r="2723">
          <cell r="A2723" t="str">
            <v>MR002711</v>
          </cell>
          <cell r="B2723" t="str">
            <v>MR</v>
          </cell>
          <cell r="C2723">
            <v>1.1000000000000001</v>
          </cell>
          <cell r="D2723">
            <v>7.3</v>
          </cell>
          <cell r="E2723" t="str">
            <v>FV77R37</v>
          </cell>
          <cell r="F2723">
            <v>1320</v>
          </cell>
          <cell r="G2723">
            <v>199</v>
          </cell>
          <cell r="H2723">
            <v>1.1499999999999999</v>
          </cell>
          <cell r="I2723" t="str">
            <v>M5</v>
          </cell>
          <cell r="J2723" t="str">
            <v>IE3</v>
          </cell>
          <cell r="K2723" t="str">
            <v>220/380</v>
          </cell>
          <cell r="L2723">
            <v>50</v>
          </cell>
          <cell r="M2723" t="str">
            <v>4,65/2,7</v>
          </cell>
          <cell r="N2723">
            <v>65</v>
          </cell>
          <cell r="O2723" t="str">
            <v>155(F)</v>
          </cell>
          <cell r="P2723" t="str">
            <v>270°</v>
          </cell>
          <cell r="Q2723" t="str">
            <v>TF</v>
          </cell>
          <cell r="R2723" t="str">
            <v>V(VE)</v>
          </cell>
          <cell r="S2723" t="str">
            <v>-</v>
          </cell>
          <cell r="T2723" t="str">
            <v>-</v>
          </cell>
          <cell r="U2723" t="str">
            <v>G</v>
          </cell>
          <cell r="V2723" t="str">
            <v>FC+R</v>
          </cell>
          <cell r="W2723" t="str">
            <v>-</v>
          </cell>
          <cell r="X2723" t="str">
            <v>CLP HC 220 (-25/+60°C)</v>
          </cell>
          <cell r="Y2723" t="str">
            <v>FV77R37/G DRN90S4 /TF/V</v>
          </cell>
          <cell r="Z2723" t="str">
            <v>SEW</v>
          </cell>
          <cell r="AB2723" t="str">
            <v>-</v>
          </cell>
          <cell r="AE2723" t="str">
            <v>BROCCIATURA PER FV67-DIN 5480N45x2x30x21xH9</v>
          </cell>
          <cell r="AF2723">
            <v>7.3</v>
          </cell>
          <cell r="AG2723" t="str">
            <v>DRN90S4</v>
          </cell>
          <cell r="AH2723" t="str">
            <v>FV77R37G-DRN90S4270-X#</v>
          </cell>
          <cell r="AI2723" t="str">
            <v>NON USARE, MANCA FRENO</v>
          </cell>
        </row>
        <row r="2724">
          <cell r="A2724" t="str">
            <v>MR002712</v>
          </cell>
          <cell r="B2724" t="str">
            <v>MR</v>
          </cell>
          <cell r="C2724">
            <v>1.1000000000000001</v>
          </cell>
          <cell r="D2724">
            <v>7.3</v>
          </cell>
          <cell r="E2724" t="str">
            <v>FV77R37</v>
          </cell>
          <cell r="F2724">
            <v>1320</v>
          </cell>
          <cell r="G2724">
            <v>199</v>
          </cell>
          <cell r="H2724">
            <v>1.1499999999999999</v>
          </cell>
          <cell r="I2724" t="str">
            <v>M6</v>
          </cell>
          <cell r="J2724" t="str">
            <v>IE3</v>
          </cell>
          <cell r="K2724" t="str">
            <v>220/380</v>
          </cell>
          <cell r="L2724">
            <v>50</v>
          </cell>
          <cell r="M2724" t="str">
            <v>4,65/2,7</v>
          </cell>
          <cell r="N2724">
            <v>65</v>
          </cell>
          <cell r="O2724" t="str">
            <v>155(F)</v>
          </cell>
          <cell r="P2724" t="str">
            <v>270°</v>
          </cell>
          <cell r="Q2724" t="str">
            <v>TF</v>
          </cell>
          <cell r="R2724" t="str">
            <v>V(VE)</v>
          </cell>
          <cell r="S2724" t="str">
            <v>-</v>
          </cell>
          <cell r="T2724" t="str">
            <v>-</v>
          </cell>
          <cell r="U2724" t="str">
            <v>G</v>
          </cell>
          <cell r="V2724" t="str">
            <v>FC+R</v>
          </cell>
          <cell r="W2724" t="str">
            <v>-</v>
          </cell>
          <cell r="X2724" t="str">
            <v>CLP HC 220 (-25/+60°C)</v>
          </cell>
          <cell r="Y2724" t="str">
            <v>FV77R37/G DRN90S4 /TF/V</v>
          </cell>
          <cell r="Z2724" t="str">
            <v>SEW</v>
          </cell>
          <cell r="AB2724" t="str">
            <v>-</v>
          </cell>
          <cell r="AE2724" t="str">
            <v>BROCCIATURA PER FV67-DIN 5480N45x2x30x21xH9</v>
          </cell>
          <cell r="AF2724">
            <v>7.3</v>
          </cell>
          <cell r="AG2724" t="str">
            <v>DRN90S4</v>
          </cell>
          <cell r="AH2724" t="str">
            <v>FV77R37G-DRN90S4270-X#</v>
          </cell>
          <cell r="AI2724" t="str">
            <v>NON USARE, MANCA FRENO</v>
          </cell>
        </row>
        <row r="2725">
          <cell r="A2725" t="str">
            <v>MR002713</v>
          </cell>
          <cell r="B2725" t="str">
            <v>MR</v>
          </cell>
          <cell r="C2725">
            <v>11</v>
          </cell>
          <cell r="D2725">
            <v>59</v>
          </cell>
          <cell r="E2725" t="str">
            <v>R97</v>
          </cell>
          <cell r="F2725">
            <v>1780</v>
          </cell>
          <cell r="G2725">
            <v>25.03</v>
          </cell>
          <cell r="H2725">
            <v>1.6</v>
          </cell>
          <cell r="I2725" t="str">
            <v>M1</v>
          </cell>
          <cell r="J2725" t="str">
            <v>IE3</v>
          </cell>
          <cell r="K2725" t="str">
            <v>400/690</v>
          </cell>
          <cell r="L2725">
            <v>50</v>
          </cell>
          <cell r="M2725" t="str">
            <v>21/12,2</v>
          </cell>
          <cell r="N2725">
            <v>55</v>
          </cell>
          <cell r="O2725" t="str">
            <v>155(F)</v>
          </cell>
          <cell r="P2725" t="str">
            <v>270°</v>
          </cell>
          <cell r="Q2725" t="str">
            <v>-</v>
          </cell>
          <cell r="R2725" t="str">
            <v>-</v>
          </cell>
          <cell r="S2725" t="str">
            <v>-</v>
          </cell>
          <cell r="T2725" t="str">
            <v>-</v>
          </cell>
          <cell r="U2725" t="str">
            <v>-</v>
          </cell>
          <cell r="V2725" t="str">
            <v>D</v>
          </cell>
          <cell r="W2725" t="str">
            <v>-</v>
          </cell>
          <cell r="X2725" t="str">
            <v>CLP PG 220 (-25/+80°C)</v>
          </cell>
          <cell r="Y2725" t="str">
            <v>R97DRN160M4</v>
          </cell>
          <cell r="Z2725" t="str">
            <v>SEW</v>
          </cell>
          <cell r="AB2725" t="str">
            <v>-</v>
          </cell>
          <cell r="AF2725">
            <v>59</v>
          </cell>
          <cell r="AG2725" t="str">
            <v>DRN160M4</v>
          </cell>
          <cell r="AH2725" t="str">
            <v>R97-DRN160M4270-X</v>
          </cell>
          <cell r="AI2725" t="str">
            <v>non usare</v>
          </cell>
        </row>
        <row r="2726">
          <cell r="A2726" t="str">
            <v>MR002714</v>
          </cell>
          <cell r="B2726" t="str">
            <v>MR</v>
          </cell>
          <cell r="C2726">
            <v>0.75</v>
          </cell>
          <cell r="D2726">
            <v>1.7</v>
          </cell>
          <cell r="E2726" t="str">
            <v>KA97R57</v>
          </cell>
          <cell r="F2726">
            <v>3930</v>
          </cell>
          <cell r="G2726">
            <v>855</v>
          </cell>
          <cell r="H2726">
            <v>1.1000000000000001</v>
          </cell>
          <cell r="I2726" t="str">
            <v>M3B</v>
          </cell>
          <cell r="J2726" t="str">
            <v>IE3</v>
          </cell>
          <cell r="K2726" t="str">
            <v>230/400</v>
          </cell>
          <cell r="L2726">
            <v>50</v>
          </cell>
          <cell r="M2726" t="str">
            <v>3,05/1,75</v>
          </cell>
          <cell r="N2726">
            <v>55</v>
          </cell>
          <cell r="O2726" t="str">
            <v>155(F)</v>
          </cell>
          <cell r="P2726" t="str">
            <v>0°</v>
          </cell>
          <cell r="Q2726" t="str">
            <v>TF</v>
          </cell>
          <cell r="R2726" t="str">
            <v>V(VE)</v>
          </cell>
          <cell r="S2726" t="str">
            <v>-</v>
          </cell>
          <cell r="T2726" t="str">
            <v>BEHF</v>
          </cell>
          <cell r="U2726" t="str">
            <v>T</v>
          </cell>
          <cell r="V2726" t="str">
            <v>FC+R</v>
          </cell>
          <cell r="W2726" t="str">
            <v>-</v>
          </cell>
          <cell r="X2726" t="str">
            <v>CLP PG 220 (-25/+80°C)</v>
          </cell>
          <cell r="Y2726" t="str">
            <v>KA97R57/T DRN80M4 /BEHF /TF/V</v>
          </cell>
          <cell r="Z2726" t="str">
            <v>SEW</v>
          </cell>
          <cell r="AB2726" t="str">
            <v>-</v>
          </cell>
          <cell r="AF2726">
            <v>1.7</v>
          </cell>
          <cell r="AG2726" t="str">
            <v>DRN80M4</v>
          </cell>
          <cell r="AH2726" t="str">
            <v>KA97R57T-DRN80M4B0-X#</v>
          </cell>
          <cell r="AI2726" t="str">
            <v>non usare</v>
          </cell>
        </row>
        <row r="2727">
          <cell r="A2727" t="str">
            <v>MR002715</v>
          </cell>
          <cell r="B2727" t="str">
            <v>ME</v>
          </cell>
          <cell r="C2727">
            <v>45</v>
          </cell>
          <cell r="D2727">
            <v>1478</v>
          </cell>
          <cell r="E2727" t="str">
            <v>1LE1503</v>
          </cell>
          <cell r="F2727">
            <v>291.39999999999998</v>
          </cell>
          <cell r="I2727" t="str">
            <v>V1/B5</v>
          </cell>
          <cell r="J2727" t="str">
            <v>IE3</v>
          </cell>
          <cell r="K2727">
            <v>380</v>
          </cell>
          <cell r="L2727">
            <v>50</v>
          </cell>
          <cell r="M2727">
            <v>80</v>
          </cell>
          <cell r="N2727">
            <v>65</v>
          </cell>
          <cell r="O2727" t="str">
            <v>155(F)</v>
          </cell>
          <cell r="Q2727" t="str">
            <v>TF</v>
          </cell>
          <cell r="R2727" t="str">
            <v>-</v>
          </cell>
          <cell r="S2727" t="str">
            <v>-</v>
          </cell>
          <cell r="T2727" t="str">
            <v>-</v>
          </cell>
          <cell r="U2727" t="str">
            <v>-</v>
          </cell>
          <cell r="V2727" t="str">
            <v>D</v>
          </cell>
          <cell r="W2727" t="str">
            <v>-</v>
          </cell>
          <cell r="X2727" t="str">
            <v>-</v>
          </cell>
          <cell r="Y2727" t="str">
            <v>1LE1503-2BB23-4GB4-Z +H20+N11</v>
          </cell>
          <cell r="Z2727" t="str">
            <v>SIEMENS</v>
          </cell>
          <cell r="AB2727" t="str">
            <v>-</v>
          </cell>
          <cell r="AE2727" t="str">
            <v>IP65, ok per +45°C</v>
          </cell>
          <cell r="AF2727">
            <v>1478</v>
          </cell>
          <cell r="AG2727" t="str">
            <v>DRN225M4</v>
          </cell>
          <cell r="AH2727" t="str">
            <v>1LE1503-DRN225M4B-X</v>
          </cell>
        </row>
        <row r="2728">
          <cell r="A2728" t="str">
            <v>MR002716</v>
          </cell>
          <cell r="B2728" t="str">
            <v>ME</v>
          </cell>
          <cell r="C2728">
            <v>4</v>
          </cell>
          <cell r="D2728">
            <v>2950</v>
          </cell>
          <cell r="E2728" t="str">
            <v>1LE1003</v>
          </cell>
          <cell r="F2728">
            <v>12.9</v>
          </cell>
          <cell r="I2728" t="str">
            <v>B5</v>
          </cell>
          <cell r="J2728" t="str">
            <v>IE3</v>
          </cell>
          <cell r="K2728">
            <v>380</v>
          </cell>
          <cell r="L2728">
            <v>50</v>
          </cell>
          <cell r="M2728">
            <v>7.4</v>
          </cell>
          <cell r="N2728">
            <v>65</v>
          </cell>
          <cell r="O2728" t="str">
            <v>155(F)</v>
          </cell>
          <cell r="Q2728" t="str">
            <v>TF</v>
          </cell>
          <cell r="R2728" t="str">
            <v>-</v>
          </cell>
          <cell r="S2728" t="str">
            <v>-</v>
          </cell>
          <cell r="T2728" t="str">
            <v>-</v>
          </cell>
          <cell r="U2728" t="str">
            <v>-</v>
          </cell>
          <cell r="V2728" t="str">
            <v>D</v>
          </cell>
          <cell r="W2728" t="str">
            <v>-</v>
          </cell>
          <cell r="X2728" t="str">
            <v>-</v>
          </cell>
          <cell r="Y2728" t="str">
            <v>1LE1003-1BA23-4FB4-Z +H20+N11</v>
          </cell>
          <cell r="Z2728" t="str">
            <v>SIEMENS</v>
          </cell>
          <cell r="AB2728" t="str">
            <v>-</v>
          </cell>
          <cell r="AE2728" t="str">
            <v>IP65, ok per +45°C</v>
          </cell>
          <cell r="AF2728">
            <v>2950</v>
          </cell>
          <cell r="AG2728" t="str">
            <v>DRN112M4</v>
          </cell>
          <cell r="AH2728" t="str">
            <v>1LE1003-DRN112M4B-X</v>
          </cell>
        </row>
        <row r="2729">
          <cell r="A2729" t="str">
            <v>MR002717</v>
          </cell>
          <cell r="B2729" t="str">
            <v>ME</v>
          </cell>
          <cell r="C2729">
            <v>37</v>
          </cell>
          <cell r="D2729">
            <v>1478</v>
          </cell>
          <cell r="E2729" t="str">
            <v>1LE1503</v>
          </cell>
          <cell r="I2729" t="str">
            <v>V1/B5</v>
          </cell>
          <cell r="J2729" t="str">
            <v>IE3</v>
          </cell>
          <cell r="K2729">
            <v>380</v>
          </cell>
          <cell r="L2729">
            <v>50</v>
          </cell>
          <cell r="M2729">
            <v>66</v>
          </cell>
          <cell r="N2729">
            <v>65</v>
          </cell>
          <cell r="O2729" t="str">
            <v>155(F)</v>
          </cell>
          <cell r="Q2729" t="str">
            <v>TF</v>
          </cell>
          <cell r="R2729" t="str">
            <v>-</v>
          </cell>
          <cell r="S2729" t="str">
            <v>-</v>
          </cell>
          <cell r="T2729" t="str">
            <v>-</v>
          </cell>
          <cell r="U2729" t="str">
            <v>-</v>
          </cell>
          <cell r="V2729" t="str">
            <v>D</v>
          </cell>
          <cell r="W2729" t="str">
            <v>-</v>
          </cell>
          <cell r="X2729" t="str">
            <v>-</v>
          </cell>
          <cell r="Y2729" t="str">
            <v>1LE1503-2BB03-4GB4-Z +H20+N11</v>
          </cell>
          <cell r="Z2729" t="str">
            <v>SIEMENS</v>
          </cell>
          <cell r="AB2729" t="str">
            <v>-</v>
          </cell>
          <cell r="AE2729" t="str">
            <v>IP65, ok per +45°C</v>
          </cell>
          <cell r="AF2729">
            <v>1478</v>
          </cell>
          <cell r="AH2729" t="str">
            <v>1LE1503-B-X</v>
          </cell>
        </row>
        <row r="2730">
          <cell r="A2730" t="str">
            <v>MR002718</v>
          </cell>
          <cell r="B2730" t="str">
            <v>MR</v>
          </cell>
          <cell r="C2730">
            <v>5.5</v>
          </cell>
          <cell r="D2730">
            <v>63</v>
          </cell>
          <cell r="E2730" t="str">
            <v>K77</v>
          </cell>
          <cell r="F2730">
            <v>820</v>
          </cell>
          <cell r="G2730">
            <v>23.08</v>
          </cell>
          <cell r="H2730">
            <v>1.85</v>
          </cell>
          <cell r="I2730" t="str">
            <v>M4B</v>
          </cell>
          <cell r="J2730" t="str">
            <v>IE3</v>
          </cell>
          <cell r="K2730">
            <v>415</v>
          </cell>
          <cell r="L2730">
            <v>50</v>
          </cell>
          <cell r="N2730">
            <v>55</v>
          </cell>
          <cell r="O2730" t="str">
            <v>155(F)</v>
          </cell>
          <cell r="P2730" t="str">
            <v>270°</v>
          </cell>
          <cell r="Q2730" t="str">
            <v>TF</v>
          </cell>
          <cell r="R2730" t="str">
            <v>V(VE)</v>
          </cell>
          <cell r="S2730" t="str">
            <v>-</v>
          </cell>
          <cell r="T2730" t="str">
            <v>-</v>
          </cell>
          <cell r="U2730" t="str">
            <v>-</v>
          </cell>
          <cell r="V2730" t="str">
            <v>FC+R</v>
          </cell>
          <cell r="W2730" t="str">
            <v>-</v>
          </cell>
          <cell r="X2730" t="str">
            <v>CLP 220 (-15/+40°C)</v>
          </cell>
          <cell r="Y2730" t="str">
            <v>K77DRN132S4 /TF/V</v>
          </cell>
          <cell r="Z2730" t="str">
            <v>SEW</v>
          </cell>
          <cell r="AB2730" t="str">
            <v>-</v>
          </cell>
          <cell r="AF2730">
            <v>63</v>
          </cell>
          <cell r="AG2730" t="str">
            <v>DRN132S4</v>
          </cell>
          <cell r="AH2730" t="str">
            <v>K77-DRN132S4B270-X#</v>
          </cell>
        </row>
        <row r="2731">
          <cell r="A2731" t="str">
            <v>MR002719</v>
          </cell>
          <cell r="B2731" t="str">
            <v>MR</v>
          </cell>
          <cell r="C2731">
            <v>4</v>
          </cell>
          <cell r="D2731">
            <v>61</v>
          </cell>
          <cell r="E2731" t="str">
            <v>KH67</v>
          </cell>
          <cell r="F2731">
            <v>625</v>
          </cell>
          <cell r="G2731">
            <v>24</v>
          </cell>
          <cell r="H2731">
            <v>1.3</v>
          </cell>
          <cell r="I2731" t="str">
            <v>M4A</v>
          </cell>
          <cell r="J2731" t="str">
            <v>IE3</v>
          </cell>
          <cell r="K2731">
            <v>415</v>
          </cell>
          <cell r="L2731">
            <v>50</v>
          </cell>
          <cell r="N2731">
            <v>55</v>
          </cell>
          <cell r="O2731" t="str">
            <v>155(F)</v>
          </cell>
          <cell r="P2731" t="str">
            <v>270°</v>
          </cell>
          <cell r="Q2731" t="str">
            <v>-</v>
          </cell>
          <cell r="R2731" t="str">
            <v>-</v>
          </cell>
          <cell r="S2731" t="str">
            <v>-</v>
          </cell>
          <cell r="T2731" t="str">
            <v>-</v>
          </cell>
          <cell r="U2731" t="str">
            <v>T</v>
          </cell>
          <cell r="V2731" t="str">
            <v>D+R</v>
          </cell>
          <cell r="W2731" t="str">
            <v>-</v>
          </cell>
          <cell r="X2731" t="str">
            <v>CLP 220 (-15/+40°C)</v>
          </cell>
          <cell r="Y2731" t="str">
            <v>KH67/T DRN112M4</v>
          </cell>
          <cell r="Z2731" t="str">
            <v>SEW</v>
          </cell>
          <cell r="AB2731" t="str">
            <v>-</v>
          </cell>
          <cell r="AF2731">
            <v>61</v>
          </cell>
          <cell r="AG2731" t="str">
            <v>DRN112M4</v>
          </cell>
          <cell r="AH2731" t="str">
            <v>KH67T-DRN112M4A270-X</v>
          </cell>
        </row>
        <row r="2732">
          <cell r="A2732" t="str">
            <v>MR002720</v>
          </cell>
          <cell r="B2732" t="str">
            <v>MR</v>
          </cell>
          <cell r="C2732">
            <v>4</v>
          </cell>
          <cell r="D2732">
            <v>61</v>
          </cell>
          <cell r="E2732" t="str">
            <v>KH67</v>
          </cell>
          <cell r="F2732">
            <v>625</v>
          </cell>
          <cell r="G2732">
            <v>24</v>
          </cell>
          <cell r="H2732">
            <v>1.3</v>
          </cell>
          <cell r="I2732" t="str">
            <v>from M4Bto M1B - 15°</v>
          </cell>
          <cell r="J2732" t="str">
            <v>IE3</v>
          </cell>
          <cell r="K2732">
            <v>415</v>
          </cell>
          <cell r="L2732">
            <v>50</v>
          </cell>
          <cell r="N2732">
            <v>55</v>
          </cell>
          <cell r="O2732" t="str">
            <v>155(F)</v>
          </cell>
          <cell r="P2732" t="str">
            <v>270°</v>
          </cell>
          <cell r="Q2732" t="str">
            <v>-</v>
          </cell>
          <cell r="R2732" t="str">
            <v>-</v>
          </cell>
          <cell r="S2732" t="str">
            <v>Free rotation CW</v>
          </cell>
          <cell r="T2732" t="str">
            <v>-</v>
          </cell>
          <cell r="U2732" t="str">
            <v>T</v>
          </cell>
          <cell r="V2732" t="str">
            <v>D+R</v>
          </cell>
          <cell r="W2732" t="str">
            <v>-</v>
          </cell>
          <cell r="X2732" t="str">
            <v>CLP 220 (-15/+40°C)</v>
          </cell>
          <cell r="Y2732" t="str">
            <v>KH67/T DRN112M4 /RS</v>
          </cell>
          <cell r="Z2732" t="str">
            <v>SEW</v>
          </cell>
          <cell r="AB2732" t="str">
            <v>-</v>
          </cell>
          <cell r="AF2732">
            <v>61</v>
          </cell>
          <cell r="AG2732" t="str">
            <v>DRN112M4</v>
          </cell>
          <cell r="AH2732" t="str">
            <v>KH67T-DRN112M4B270-X</v>
          </cell>
        </row>
        <row r="2733">
          <cell r="A2733" t="str">
            <v>MR002721</v>
          </cell>
          <cell r="B2733" t="str">
            <v>MR</v>
          </cell>
          <cell r="C2733">
            <v>0.75</v>
          </cell>
          <cell r="D2733">
            <v>4.5</v>
          </cell>
          <cell r="E2733" t="str">
            <v>FA77R37</v>
          </cell>
          <cell r="F2733">
            <v>1480</v>
          </cell>
          <cell r="G2733">
            <v>323</v>
          </cell>
          <cell r="H2733">
            <v>1</v>
          </cell>
          <cell r="I2733" t="str">
            <v>from M6 to M3-15°</v>
          </cell>
          <cell r="J2733" t="str">
            <v>IE3</v>
          </cell>
          <cell r="K2733">
            <v>415</v>
          </cell>
          <cell r="L2733">
            <v>50</v>
          </cell>
          <cell r="N2733">
            <v>55</v>
          </cell>
          <cell r="O2733" t="str">
            <v>155(F)</v>
          </cell>
          <cell r="P2733" t="str">
            <v>270°</v>
          </cell>
          <cell r="Q2733" t="str">
            <v>-</v>
          </cell>
          <cell r="R2733" t="str">
            <v>-</v>
          </cell>
          <cell r="S2733" t="str">
            <v>-</v>
          </cell>
          <cell r="T2733" t="str">
            <v>-</v>
          </cell>
          <cell r="U2733" t="str">
            <v>G</v>
          </cell>
          <cell r="V2733" t="str">
            <v>D</v>
          </cell>
          <cell r="W2733" t="str">
            <v>-</v>
          </cell>
          <cell r="X2733" t="str">
            <v>CLP 220 (-15/+40°C)</v>
          </cell>
          <cell r="Y2733" t="str">
            <v>FA77R37/G DRN80M4</v>
          </cell>
          <cell r="Z2733" t="str">
            <v>SEW</v>
          </cell>
          <cell r="AB2733" t="str">
            <v>-</v>
          </cell>
          <cell r="AF2733">
            <v>4.5</v>
          </cell>
          <cell r="AG2733" t="str">
            <v>DRN80M4</v>
          </cell>
          <cell r="AH2733" t="str">
            <v>FA77R37G-DRN80M4270-X</v>
          </cell>
        </row>
        <row r="2734">
          <cell r="A2734" t="str">
            <v>MR002722</v>
          </cell>
          <cell r="B2734" t="str">
            <v>MR</v>
          </cell>
          <cell r="C2734">
            <v>2.2000000000000002</v>
          </cell>
          <cell r="D2734">
            <v>95</v>
          </cell>
          <cell r="E2734" t="str">
            <v>KH67</v>
          </cell>
          <cell r="F2734">
            <v>220</v>
          </cell>
          <cell r="G2734">
            <v>15.19</v>
          </cell>
          <cell r="H2734">
            <v>3.2</v>
          </cell>
          <cell r="I2734" t="str">
            <v>M1A</v>
          </cell>
          <cell r="J2734" t="str">
            <v>IE3</v>
          </cell>
          <cell r="K2734">
            <v>415</v>
          </cell>
          <cell r="L2734">
            <v>50</v>
          </cell>
          <cell r="M2734">
            <v>4.75</v>
          </cell>
          <cell r="N2734">
            <v>55</v>
          </cell>
          <cell r="O2734" t="str">
            <v>155(F)</v>
          </cell>
          <cell r="P2734" t="str">
            <v>270°</v>
          </cell>
          <cell r="Q2734" t="str">
            <v>-</v>
          </cell>
          <cell r="R2734" t="str">
            <v>-</v>
          </cell>
          <cell r="S2734" t="str">
            <v>-</v>
          </cell>
          <cell r="T2734" t="str">
            <v>-</v>
          </cell>
          <cell r="U2734" t="str">
            <v>T</v>
          </cell>
          <cell r="V2734" t="str">
            <v>D</v>
          </cell>
          <cell r="W2734" t="str">
            <v>-</v>
          </cell>
          <cell r="X2734" t="str">
            <v>CLP 220 (-15/+40°C)</v>
          </cell>
          <cell r="Y2734" t="str">
            <v>KH67/T DRN100LS4</v>
          </cell>
          <cell r="Z2734" t="str">
            <v>SEW</v>
          </cell>
          <cell r="AB2734" t="str">
            <v>-</v>
          </cell>
          <cell r="AF2734">
            <v>95</v>
          </cell>
          <cell r="AG2734" t="str">
            <v>DRN100LS4</v>
          </cell>
          <cell r="AH2734" t="str">
            <v>KH67T-DRN100LS4A270-X</v>
          </cell>
        </row>
        <row r="2735">
          <cell r="A2735" t="str">
            <v>MR002723</v>
          </cell>
          <cell r="B2735" t="str">
            <v>MR</v>
          </cell>
          <cell r="C2735">
            <v>15</v>
          </cell>
          <cell r="D2735">
            <v>13</v>
          </cell>
          <cell r="E2735" t="str">
            <v>KH127</v>
          </cell>
          <cell r="F2735">
            <v>10700</v>
          </cell>
          <cell r="G2735">
            <v>110.18</v>
          </cell>
          <cell r="H2735">
            <v>1.2</v>
          </cell>
          <cell r="I2735" t="str">
            <v>from M4B to M1B-40°</v>
          </cell>
          <cell r="J2735" t="str">
            <v>IE3</v>
          </cell>
          <cell r="K2735">
            <v>415</v>
          </cell>
          <cell r="L2735">
            <v>50</v>
          </cell>
          <cell r="N2735">
            <v>55</v>
          </cell>
          <cell r="O2735" t="str">
            <v>155(F)</v>
          </cell>
          <cell r="P2735" t="str">
            <v>270°</v>
          </cell>
          <cell r="Q2735" t="str">
            <v>TF</v>
          </cell>
          <cell r="R2735" t="str">
            <v>V(VE)</v>
          </cell>
          <cell r="S2735" t="str">
            <v>-</v>
          </cell>
          <cell r="T2735" t="str">
            <v>-</v>
          </cell>
          <cell r="U2735" t="str">
            <v>-</v>
          </cell>
          <cell r="V2735" t="str">
            <v>FC</v>
          </cell>
          <cell r="W2735" t="str">
            <v>-</v>
          </cell>
          <cell r="X2735" t="str">
            <v>CLP 220 (-15/+40°C)</v>
          </cell>
          <cell r="Y2735" t="str">
            <v>KH127DRN160L4 /TF/V</v>
          </cell>
          <cell r="Z2735" t="str">
            <v>SEW</v>
          </cell>
          <cell r="AB2735" t="str">
            <v>-</v>
          </cell>
          <cell r="AF2735">
            <v>13</v>
          </cell>
          <cell r="AG2735" t="str">
            <v>DRN160L4</v>
          </cell>
          <cell r="AH2735" t="str">
            <v>KH127-DRN160L4B270-X#</v>
          </cell>
        </row>
        <row r="2736">
          <cell r="A2736" t="str">
            <v>MR002724</v>
          </cell>
          <cell r="B2736" t="str">
            <v>MR</v>
          </cell>
          <cell r="C2736">
            <v>15</v>
          </cell>
          <cell r="D2736">
            <v>13</v>
          </cell>
          <cell r="E2736" t="str">
            <v>KH127</v>
          </cell>
          <cell r="F2736">
            <v>10700</v>
          </cell>
          <cell r="G2736">
            <v>110.18</v>
          </cell>
          <cell r="H2736">
            <v>1.2</v>
          </cell>
          <cell r="I2736" t="str">
            <v>from M4A to M1A-40°</v>
          </cell>
          <cell r="J2736" t="str">
            <v>IE3</v>
          </cell>
          <cell r="K2736">
            <v>415</v>
          </cell>
          <cell r="L2736">
            <v>50</v>
          </cell>
          <cell r="N2736">
            <v>55</v>
          </cell>
          <cell r="O2736" t="str">
            <v>155(F)</v>
          </cell>
          <cell r="P2736" t="str">
            <v>270°</v>
          </cell>
          <cell r="Q2736" t="str">
            <v>TF</v>
          </cell>
          <cell r="R2736" t="str">
            <v>V(VE)</v>
          </cell>
          <cell r="S2736" t="str">
            <v>-</v>
          </cell>
          <cell r="T2736" t="str">
            <v>-</v>
          </cell>
          <cell r="U2736" t="str">
            <v>-</v>
          </cell>
          <cell r="V2736" t="str">
            <v>FC</v>
          </cell>
          <cell r="W2736" t="str">
            <v>-</v>
          </cell>
          <cell r="X2736" t="str">
            <v>CLP 220 (-15/+40°C)</v>
          </cell>
          <cell r="Y2736" t="str">
            <v>KH127DRN160L4 /TF/V</v>
          </cell>
          <cell r="Z2736" t="str">
            <v>SEW</v>
          </cell>
          <cell r="AB2736" t="str">
            <v>-</v>
          </cell>
          <cell r="AF2736">
            <v>13</v>
          </cell>
          <cell r="AG2736" t="str">
            <v>DRN160L4</v>
          </cell>
          <cell r="AH2736" t="str">
            <v>KH127-DRN160L4A270-X#</v>
          </cell>
        </row>
        <row r="2737">
          <cell r="A2737" t="str">
            <v>MR002725</v>
          </cell>
          <cell r="B2737" t="str">
            <v>MR</v>
          </cell>
          <cell r="C2737">
            <v>15</v>
          </cell>
          <cell r="D2737">
            <v>13</v>
          </cell>
          <cell r="E2737" t="str">
            <v>KH127</v>
          </cell>
          <cell r="F2737">
            <v>10700</v>
          </cell>
          <cell r="G2737">
            <v>110.18</v>
          </cell>
          <cell r="H2737">
            <v>1.2</v>
          </cell>
          <cell r="I2737" t="str">
            <v>from M4B to M1B-20°</v>
          </cell>
          <cell r="J2737" t="str">
            <v>IE3</v>
          </cell>
          <cell r="K2737">
            <v>415</v>
          </cell>
          <cell r="L2737">
            <v>50</v>
          </cell>
          <cell r="N2737">
            <v>55</v>
          </cell>
          <cell r="O2737" t="str">
            <v>155(F)</v>
          </cell>
          <cell r="P2737" t="str">
            <v>270°</v>
          </cell>
          <cell r="Q2737" t="str">
            <v>TF</v>
          </cell>
          <cell r="R2737" t="str">
            <v>V(VE)</v>
          </cell>
          <cell r="S2737" t="str">
            <v>-</v>
          </cell>
          <cell r="T2737" t="str">
            <v>-</v>
          </cell>
          <cell r="U2737" t="str">
            <v>-</v>
          </cell>
          <cell r="V2737" t="str">
            <v>FC</v>
          </cell>
          <cell r="W2737" t="str">
            <v>-</v>
          </cell>
          <cell r="X2737" t="str">
            <v>CLP 220 (-15/+40°C)</v>
          </cell>
          <cell r="Y2737" t="str">
            <v>KH127DRN160L4 /TF/V</v>
          </cell>
          <cell r="Z2737" t="str">
            <v>SEW</v>
          </cell>
          <cell r="AB2737" t="str">
            <v>-</v>
          </cell>
          <cell r="AF2737">
            <v>13</v>
          </cell>
          <cell r="AG2737" t="str">
            <v>DRN160L4</v>
          </cell>
          <cell r="AH2737" t="str">
            <v>KH127-DRN160L4B270-X#</v>
          </cell>
        </row>
        <row r="2738">
          <cell r="A2738" t="str">
            <v>MR002726</v>
          </cell>
          <cell r="B2738" t="str">
            <v>MR</v>
          </cell>
          <cell r="C2738">
            <v>15</v>
          </cell>
          <cell r="D2738">
            <v>13</v>
          </cell>
          <cell r="E2738" t="str">
            <v>KH127</v>
          </cell>
          <cell r="F2738">
            <v>10700</v>
          </cell>
          <cell r="G2738">
            <v>110.18</v>
          </cell>
          <cell r="H2738">
            <v>1.2</v>
          </cell>
          <cell r="I2738" t="str">
            <v>from M4A to M1A-20°</v>
          </cell>
          <cell r="J2738" t="str">
            <v>IE3</v>
          </cell>
          <cell r="K2738">
            <v>415</v>
          </cell>
          <cell r="L2738">
            <v>50</v>
          </cell>
          <cell r="N2738">
            <v>55</v>
          </cell>
          <cell r="O2738" t="str">
            <v>155(F)</v>
          </cell>
          <cell r="P2738" t="str">
            <v>270°</v>
          </cell>
          <cell r="Q2738" t="str">
            <v>TF</v>
          </cell>
          <cell r="R2738" t="str">
            <v>V(VE)</v>
          </cell>
          <cell r="S2738" t="str">
            <v>-</v>
          </cell>
          <cell r="T2738" t="str">
            <v>-</v>
          </cell>
          <cell r="U2738" t="str">
            <v>-</v>
          </cell>
          <cell r="V2738" t="str">
            <v>FC</v>
          </cell>
          <cell r="W2738" t="str">
            <v>-</v>
          </cell>
          <cell r="X2738" t="str">
            <v>CLP 220 (-15/+40°C)</v>
          </cell>
          <cell r="Y2738" t="str">
            <v>KH127DRN160L4 /TF/V</v>
          </cell>
          <cell r="Z2738" t="str">
            <v>SEW</v>
          </cell>
          <cell r="AB2738" t="str">
            <v>-</v>
          </cell>
          <cell r="AF2738">
            <v>13</v>
          </cell>
          <cell r="AG2738" t="str">
            <v>DRN160L4</v>
          </cell>
          <cell r="AH2738" t="str">
            <v>KH127-DRN160L4A270-X#</v>
          </cell>
        </row>
        <row r="2739">
          <cell r="A2739" t="str">
            <v>MR002727</v>
          </cell>
          <cell r="B2739" t="str">
            <v>MR</v>
          </cell>
          <cell r="C2739">
            <v>22</v>
          </cell>
          <cell r="D2739">
            <v>107</v>
          </cell>
          <cell r="E2739" t="str">
            <v>KH97</v>
          </cell>
          <cell r="F2739">
            <v>1960</v>
          </cell>
          <cell r="G2739">
            <v>13.85</v>
          </cell>
          <cell r="H2739">
            <v>2.2000000000000002</v>
          </cell>
          <cell r="I2739" t="str">
            <v>From M4A to M1A - 20°</v>
          </cell>
          <cell r="J2739" t="str">
            <v>IE3</v>
          </cell>
          <cell r="K2739">
            <v>415</v>
          </cell>
          <cell r="L2739">
            <v>50</v>
          </cell>
          <cell r="N2739">
            <v>55</v>
          </cell>
          <cell r="O2739" t="str">
            <v>155(F)</v>
          </cell>
          <cell r="P2739" t="str">
            <v>270°</v>
          </cell>
          <cell r="Q2739" t="str">
            <v>TF</v>
          </cell>
          <cell r="R2739" t="str">
            <v>V(VE)</v>
          </cell>
          <cell r="S2739" t="str">
            <v>Free rotation CCW</v>
          </cell>
          <cell r="T2739" t="str">
            <v>-</v>
          </cell>
          <cell r="U2739" t="str">
            <v>T</v>
          </cell>
          <cell r="V2739" t="str">
            <v>FC</v>
          </cell>
          <cell r="W2739" t="str">
            <v>-</v>
          </cell>
          <cell r="X2739" t="str">
            <v>CLP 220 (-15/+40°C)</v>
          </cell>
          <cell r="Y2739" t="str">
            <v>KH97/T DRN180L4 /RS /TF/V</v>
          </cell>
          <cell r="Z2739" t="str">
            <v>SEW</v>
          </cell>
          <cell r="AB2739" t="str">
            <v>-</v>
          </cell>
          <cell r="AF2739">
            <v>107</v>
          </cell>
          <cell r="AG2739" t="str">
            <v>DRN180L4</v>
          </cell>
          <cell r="AH2739" t="str">
            <v>KH97T-DRN180L4A270-X#</v>
          </cell>
        </row>
        <row r="2740">
          <cell r="A2740" t="str">
            <v>MR002728</v>
          </cell>
          <cell r="B2740" t="str">
            <v>MR</v>
          </cell>
          <cell r="C2740">
            <v>0.75</v>
          </cell>
          <cell r="D2740">
            <v>162</v>
          </cell>
          <cell r="E2740" t="str">
            <v>KA37</v>
          </cell>
          <cell r="F2740">
            <v>44</v>
          </cell>
          <cell r="G2740">
            <v>8.91</v>
          </cell>
          <cell r="H2740">
            <v>3.6</v>
          </cell>
          <cell r="I2740" t="str">
            <v>From M3A to M2A - 20°</v>
          </cell>
          <cell r="J2740" t="str">
            <v>IE3</v>
          </cell>
          <cell r="K2740">
            <v>415</v>
          </cell>
          <cell r="L2740">
            <v>50</v>
          </cell>
          <cell r="N2740">
            <v>55</v>
          </cell>
          <cell r="O2740" t="str">
            <v>155(F)</v>
          </cell>
          <cell r="P2740" t="str">
            <v>180°</v>
          </cell>
          <cell r="Q2740" t="str">
            <v>-</v>
          </cell>
          <cell r="R2740" t="str">
            <v>-</v>
          </cell>
          <cell r="S2740" t="str">
            <v>-</v>
          </cell>
          <cell r="T2740" t="str">
            <v>-</v>
          </cell>
          <cell r="U2740" t="str">
            <v>T</v>
          </cell>
          <cell r="V2740" t="str">
            <v>D</v>
          </cell>
          <cell r="W2740" t="str">
            <v>-</v>
          </cell>
          <cell r="X2740" t="str">
            <v>CLP 220 (-15/+40°C)</v>
          </cell>
          <cell r="Y2740" t="str">
            <v>KA37/T DRN80M4</v>
          </cell>
          <cell r="Z2740" t="str">
            <v>SEW</v>
          </cell>
          <cell r="AB2740" t="str">
            <v>-</v>
          </cell>
          <cell r="AF2740">
            <v>162</v>
          </cell>
          <cell r="AG2740" t="str">
            <v>DRN80M4</v>
          </cell>
          <cell r="AH2740" t="str">
            <v>KA37T-DRN80M4A180-X</v>
          </cell>
        </row>
        <row r="2741">
          <cell r="A2741" t="str">
            <v>MR002729</v>
          </cell>
          <cell r="B2741" t="str">
            <v>MR</v>
          </cell>
          <cell r="C2741">
            <v>7.5</v>
          </cell>
          <cell r="D2741">
            <v>68</v>
          </cell>
          <cell r="E2741" t="str">
            <v>R87</v>
          </cell>
          <cell r="F2741">
            <v>1040</v>
          </cell>
          <cell r="G2741">
            <v>21.51</v>
          </cell>
          <cell r="H2741">
            <v>1.4</v>
          </cell>
          <cell r="I2741" t="str">
            <v>From M1 to M4 - 35°</v>
          </cell>
          <cell r="J2741" t="str">
            <v>IE3</v>
          </cell>
          <cell r="K2741">
            <v>415</v>
          </cell>
          <cell r="L2741">
            <v>50</v>
          </cell>
          <cell r="N2741">
            <v>55</v>
          </cell>
          <cell r="O2741" t="str">
            <v>155(F)</v>
          </cell>
          <cell r="P2741" t="str">
            <v>270°</v>
          </cell>
          <cell r="Q2741" t="str">
            <v>-</v>
          </cell>
          <cell r="R2741" t="str">
            <v>-</v>
          </cell>
          <cell r="S2741" t="str">
            <v>-</v>
          </cell>
          <cell r="T2741" t="str">
            <v>-</v>
          </cell>
          <cell r="U2741" t="str">
            <v>-</v>
          </cell>
          <cell r="V2741" t="str">
            <v>D</v>
          </cell>
          <cell r="W2741" t="str">
            <v>-</v>
          </cell>
          <cell r="X2741" t="str">
            <v>CLP 220 (-15/+40°C)</v>
          </cell>
          <cell r="Y2741" t="str">
            <v>R87DRN132M4</v>
          </cell>
          <cell r="Z2741" t="str">
            <v>SEW</v>
          </cell>
          <cell r="AB2741" t="str">
            <v>-</v>
          </cell>
          <cell r="AF2741">
            <v>68</v>
          </cell>
          <cell r="AG2741" t="str">
            <v>DRN132M4</v>
          </cell>
          <cell r="AH2741" t="str">
            <v>R87-DRN132M4270-X</v>
          </cell>
        </row>
        <row r="2742">
          <cell r="A2742" t="str">
            <v>MR002730</v>
          </cell>
          <cell r="B2742" t="str">
            <v>MR</v>
          </cell>
          <cell r="C2742">
            <v>0.75</v>
          </cell>
          <cell r="D2742">
            <v>18</v>
          </cell>
          <cell r="E2742" t="str">
            <v>FA67</v>
          </cell>
          <cell r="F2742">
            <v>395</v>
          </cell>
          <cell r="G2742">
            <v>79.760000000000005</v>
          </cell>
          <cell r="H2742">
            <v>2.1</v>
          </cell>
          <cell r="I2742" t="str">
            <v>From M5 to M3 - 35°</v>
          </cell>
          <cell r="J2742" t="str">
            <v>IE3</v>
          </cell>
          <cell r="K2742">
            <v>415</v>
          </cell>
          <cell r="L2742">
            <v>50</v>
          </cell>
          <cell r="N2742">
            <v>55</v>
          </cell>
          <cell r="O2742" t="str">
            <v>155(F)</v>
          </cell>
          <cell r="P2742" t="str">
            <v>270°</v>
          </cell>
          <cell r="Q2742" t="str">
            <v>-</v>
          </cell>
          <cell r="R2742" t="str">
            <v>-</v>
          </cell>
          <cell r="S2742" t="str">
            <v>-</v>
          </cell>
          <cell r="T2742" t="str">
            <v>BEHF</v>
          </cell>
          <cell r="U2742" t="str">
            <v>G</v>
          </cell>
          <cell r="V2742" t="str">
            <v>D+R</v>
          </cell>
          <cell r="W2742" t="str">
            <v>-</v>
          </cell>
          <cell r="X2742" t="str">
            <v>CLP 220 (-15/+40°C)</v>
          </cell>
          <cell r="Y2742" t="str">
            <v>FA67/G DRN80M4 /BEHF</v>
          </cell>
          <cell r="Z2742" t="str">
            <v>SEW</v>
          </cell>
          <cell r="AB2742" t="str">
            <v>-</v>
          </cell>
          <cell r="AF2742">
            <v>18</v>
          </cell>
          <cell r="AG2742" t="str">
            <v>DRN80M4</v>
          </cell>
          <cell r="AH2742" t="str">
            <v>FA67G-DRN80M4270-X</v>
          </cell>
        </row>
        <row r="2743">
          <cell r="A2743" t="str">
            <v>MR002731</v>
          </cell>
          <cell r="B2743" t="str">
            <v>MR</v>
          </cell>
          <cell r="C2743">
            <v>30</v>
          </cell>
          <cell r="D2743">
            <v>107</v>
          </cell>
          <cell r="E2743" t="str">
            <v>KH97</v>
          </cell>
          <cell r="F2743">
            <v>2680</v>
          </cell>
          <cell r="G2743">
            <v>13.85</v>
          </cell>
          <cell r="H2743">
            <v>1.6</v>
          </cell>
          <cell r="I2743" t="str">
            <v>From M4A to M1A - 10°</v>
          </cell>
          <cell r="J2743" t="str">
            <v>IE3</v>
          </cell>
          <cell r="K2743">
            <v>415</v>
          </cell>
          <cell r="L2743">
            <v>50</v>
          </cell>
          <cell r="N2743">
            <v>55</v>
          </cell>
          <cell r="O2743" t="str">
            <v>155(F)</v>
          </cell>
          <cell r="P2743" t="str">
            <v>270°</v>
          </cell>
          <cell r="Q2743" t="str">
            <v>TF</v>
          </cell>
          <cell r="R2743" t="str">
            <v>V(VE)</v>
          </cell>
          <cell r="S2743" t="str">
            <v>Free rotation CCW</v>
          </cell>
          <cell r="T2743" t="str">
            <v>-</v>
          </cell>
          <cell r="U2743" t="str">
            <v>T</v>
          </cell>
          <cell r="V2743" t="str">
            <v>FC</v>
          </cell>
          <cell r="W2743" t="str">
            <v>-</v>
          </cell>
          <cell r="X2743" t="str">
            <v>CLP 220 (-15/+40°C)</v>
          </cell>
          <cell r="Y2743" t="str">
            <v>KH97/T DRN200L4 /RS /TF/V</v>
          </cell>
          <cell r="Z2743" t="str">
            <v>SEW</v>
          </cell>
          <cell r="AB2743" t="str">
            <v>-</v>
          </cell>
          <cell r="AF2743">
            <v>107</v>
          </cell>
          <cell r="AG2743" t="str">
            <v>DRN200L4</v>
          </cell>
          <cell r="AH2743" t="str">
            <v>KH97T-DRN200L4A270-X#</v>
          </cell>
        </row>
        <row r="2744">
          <cell r="A2744" t="str">
            <v>MR002732</v>
          </cell>
          <cell r="B2744" t="str">
            <v>MR</v>
          </cell>
          <cell r="C2744">
            <v>0.75</v>
          </cell>
          <cell r="D2744">
            <v>162</v>
          </cell>
          <cell r="E2744" t="str">
            <v>KA37</v>
          </cell>
          <cell r="F2744">
            <v>44</v>
          </cell>
          <cell r="G2744">
            <v>8.91</v>
          </cell>
          <cell r="H2744">
            <v>3.6</v>
          </cell>
          <cell r="I2744" t="str">
            <v>From M3A to M2A - 10°</v>
          </cell>
          <cell r="J2744" t="str">
            <v>IE3</v>
          </cell>
          <cell r="K2744">
            <v>415</v>
          </cell>
          <cell r="L2744">
            <v>50</v>
          </cell>
          <cell r="N2744">
            <v>55</v>
          </cell>
          <cell r="O2744" t="str">
            <v>155(F)</v>
          </cell>
          <cell r="P2744" t="str">
            <v>180°</v>
          </cell>
          <cell r="Q2744" t="str">
            <v>-</v>
          </cell>
          <cell r="R2744" t="str">
            <v>-</v>
          </cell>
          <cell r="S2744" t="str">
            <v>-</v>
          </cell>
          <cell r="T2744" t="str">
            <v>-</v>
          </cell>
          <cell r="U2744" t="str">
            <v>T</v>
          </cell>
          <cell r="V2744" t="str">
            <v>D</v>
          </cell>
          <cell r="W2744" t="str">
            <v>-</v>
          </cell>
          <cell r="X2744" t="str">
            <v>CLP 220 (-15/+40°C)</v>
          </cell>
          <cell r="Y2744" t="str">
            <v>KA37/T DRN80M4</v>
          </cell>
          <cell r="Z2744" t="str">
            <v>SEW</v>
          </cell>
          <cell r="AB2744" t="str">
            <v>-</v>
          </cell>
          <cell r="AF2744">
            <v>162</v>
          </cell>
          <cell r="AG2744" t="str">
            <v>DRN80M4</v>
          </cell>
          <cell r="AH2744" t="str">
            <v>KA37T-DRN80M4A180-X</v>
          </cell>
        </row>
        <row r="2745">
          <cell r="A2745" t="str">
            <v>MR002733</v>
          </cell>
          <cell r="B2745" t="str">
            <v>MR</v>
          </cell>
          <cell r="C2745">
            <v>30</v>
          </cell>
          <cell r="D2745">
            <v>107</v>
          </cell>
          <cell r="E2745" t="str">
            <v>KH97</v>
          </cell>
          <cell r="F2745">
            <v>2680</v>
          </cell>
          <cell r="G2745">
            <v>13.85</v>
          </cell>
          <cell r="H2745">
            <v>1.6</v>
          </cell>
          <cell r="I2745" t="str">
            <v>From M4A to M1A - 20°</v>
          </cell>
          <cell r="J2745" t="str">
            <v>IE3</v>
          </cell>
          <cell r="K2745">
            <v>415</v>
          </cell>
          <cell r="L2745">
            <v>50</v>
          </cell>
          <cell r="N2745">
            <v>55</v>
          </cell>
          <cell r="O2745" t="str">
            <v>155(F)</v>
          </cell>
          <cell r="P2745" t="str">
            <v>270°</v>
          </cell>
          <cell r="Q2745" t="str">
            <v>TF</v>
          </cell>
          <cell r="R2745" t="str">
            <v>V(VE)</v>
          </cell>
          <cell r="S2745" t="str">
            <v>Free rotation CCW</v>
          </cell>
          <cell r="T2745" t="str">
            <v>-</v>
          </cell>
          <cell r="U2745" t="str">
            <v>T</v>
          </cell>
          <cell r="V2745" t="str">
            <v>FC</v>
          </cell>
          <cell r="W2745" t="str">
            <v>-</v>
          </cell>
          <cell r="X2745" t="str">
            <v>CLP 220 (-15/+40°C)</v>
          </cell>
          <cell r="Y2745" t="str">
            <v>KH97/T DRN200L4 /RS /TF/V</v>
          </cell>
          <cell r="Z2745" t="str">
            <v>SEW</v>
          </cell>
          <cell r="AB2745" t="str">
            <v>-</v>
          </cell>
          <cell r="AF2745">
            <v>107</v>
          </cell>
          <cell r="AG2745" t="str">
            <v>DRN200L4</v>
          </cell>
          <cell r="AH2745" t="str">
            <v>KH97T-DRN200L4A270-X#</v>
          </cell>
        </row>
        <row r="2746">
          <cell r="A2746" t="str">
            <v>MR002734</v>
          </cell>
          <cell r="B2746" t="str">
            <v>MR</v>
          </cell>
          <cell r="C2746">
            <v>18.5</v>
          </cell>
          <cell r="D2746">
            <v>29</v>
          </cell>
          <cell r="E2746" t="str">
            <v>R137</v>
          </cell>
          <cell r="F2746">
            <v>6070</v>
          </cell>
          <cell r="G2746">
            <v>50.86</v>
          </cell>
          <cell r="H2746">
            <v>1.3</v>
          </cell>
          <cell r="I2746" t="str">
            <v>From M1 to M2 - 15°</v>
          </cell>
          <cell r="J2746" t="str">
            <v>IE3</v>
          </cell>
          <cell r="K2746">
            <v>415</v>
          </cell>
          <cell r="L2746">
            <v>50</v>
          </cell>
          <cell r="N2746">
            <v>55</v>
          </cell>
          <cell r="O2746" t="str">
            <v>155(F)</v>
          </cell>
          <cell r="P2746" t="str">
            <v>180°</v>
          </cell>
          <cell r="Q2746" t="str">
            <v>TF</v>
          </cell>
          <cell r="R2746" t="str">
            <v>V(VE)</v>
          </cell>
          <cell r="S2746" t="str">
            <v>-</v>
          </cell>
          <cell r="T2746" t="str">
            <v>-</v>
          </cell>
          <cell r="U2746" t="str">
            <v>-</v>
          </cell>
          <cell r="V2746" t="str">
            <v>FC</v>
          </cell>
          <cell r="W2746" t="str">
            <v>-</v>
          </cell>
          <cell r="X2746" t="str">
            <v>CLP 220 (-15/+40°C)</v>
          </cell>
          <cell r="Y2746" t="str">
            <v>R137DRN180M4 /TF/V</v>
          </cell>
          <cell r="Z2746" t="str">
            <v>SEW</v>
          </cell>
          <cell r="AB2746" t="str">
            <v>-</v>
          </cell>
          <cell r="AF2746">
            <v>29</v>
          </cell>
          <cell r="AG2746" t="str">
            <v>DRN180M4</v>
          </cell>
          <cell r="AH2746" t="str">
            <v>R137-DRN180M4180-X#</v>
          </cell>
        </row>
        <row r="2747">
          <cell r="A2747" t="str">
            <v>MR002735</v>
          </cell>
          <cell r="B2747" t="str">
            <v>MR</v>
          </cell>
          <cell r="C2747">
            <v>7.5</v>
          </cell>
          <cell r="D2747">
            <v>63</v>
          </cell>
          <cell r="E2747" t="str">
            <v>R87</v>
          </cell>
          <cell r="F2747">
            <v>1140</v>
          </cell>
          <cell r="G2747">
            <v>23.4</v>
          </cell>
          <cell r="H2747">
            <v>1.35</v>
          </cell>
          <cell r="I2747" t="str">
            <v>M1</v>
          </cell>
          <cell r="J2747" t="str">
            <v>IE3</v>
          </cell>
          <cell r="K2747">
            <v>415</v>
          </cell>
          <cell r="L2747">
            <v>50</v>
          </cell>
          <cell r="N2747">
            <v>55</v>
          </cell>
          <cell r="O2747" t="str">
            <v>155(F)</v>
          </cell>
          <cell r="P2747" t="str">
            <v>270°</v>
          </cell>
          <cell r="Q2747" t="str">
            <v>-</v>
          </cell>
          <cell r="R2747" t="str">
            <v>-</v>
          </cell>
          <cell r="S2747" t="str">
            <v>-</v>
          </cell>
          <cell r="T2747" t="str">
            <v>-</v>
          </cell>
          <cell r="U2747" t="str">
            <v>-</v>
          </cell>
          <cell r="V2747" t="str">
            <v>D</v>
          </cell>
          <cell r="W2747" t="str">
            <v>-</v>
          </cell>
          <cell r="X2747" t="str">
            <v>CLP 220 (-15/+40°C)</v>
          </cell>
          <cell r="Y2747" t="str">
            <v>R87DRN132M4</v>
          </cell>
          <cell r="Z2747" t="str">
            <v>SEW</v>
          </cell>
          <cell r="AB2747" t="str">
            <v>-</v>
          </cell>
          <cell r="AE2747" t="str">
            <v>MOTOR FOR T MAX. 60°C</v>
          </cell>
          <cell r="AF2747">
            <v>63</v>
          </cell>
          <cell r="AG2747" t="str">
            <v>DRN132M4</v>
          </cell>
          <cell r="AH2747" t="str">
            <v>R87-DRN132M4270-X</v>
          </cell>
        </row>
        <row r="2748">
          <cell r="A2748" t="str">
            <v>MR002736</v>
          </cell>
          <cell r="B2748" t="str">
            <v>MR</v>
          </cell>
          <cell r="C2748">
            <v>11</v>
          </cell>
          <cell r="D2748">
            <v>12</v>
          </cell>
          <cell r="E2748" t="str">
            <v>KH127</v>
          </cell>
          <cell r="F2748">
            <v>8730</v>
          </cell>
          <cell r="G2748">
            <v>122.48</v>
          </cell>
          <cell r="H2748">
            <v>1.5</v>
          </cell>
          <cell r="I2748" t="str">
            <v>From M4A to M1A - 20°</v>
          </cell>
          <cell r="J2748" t="str">
            <v>IE3</v>
          </cell>
          <cell r="K2748">
            <v>415</v>
          </cell>
          <cell r="L2748">
            <v>50</v>
          </cell>
          <cell r="N2748">
            <v>55</v>
          </cell>
          <cell r="O2748" t="str">
            <v>155(F)</v>
          </cell>
          <cell r="P2748" t="str">
            <v>270°</v>
          </cell>
          <cell r="Q2748" t="str">
            <v>-</v>
          </cell>
          <cell r="R2748" t="str">
            <v>-</v>
          </cell>
          <cell r="S2748" t="str">
            <v>-</v>
          </cell>
          <cell r="T2748" t="str">
            <v>-</v>
          </cell>
          <cell r="U2748" t="str">
            <v>-</v>
          </cell>
          <cell r="V2748" t="str">
            <v>SS</v>
          </cell>
          <cell r="W2748" t="str">
            <v>-</v>
          </cell>
          <cell r="X2748" t="str">
            <v>CLP 220 (-15/+40°C)</v>
          </cell>
          <cell r="Y2748" t="str">
            <v>KH127DRN160M4</v>
          </cell>
          <cell r="Z2748" t="str">
            <v>SEW</v>
          </cell>
          <cell r="AB2748" t="str">
            <v>-</v>
          </cell>
          <cell r="AF2748">
            <v>12</v>
          </cell>
          <cell r="AG2748" t="str">
            <v>DRN160M4</v>
          </cell>
          <cell r="AH2748" t="str">
            <v>KH127-DRN160M4A270-X</v>
          </cell>
        </row>
        <row r="2749">
          <cell r="A2749" t="str">
            <v>MR002737</v>
          </cell>
          <cell r="B2749" t="str">
            <v>MR</v>
          </cell>
          <cell r="C2749">
            <v>11</v>
          </cell>
          <cell r="D2749">
            <v>12</v>
          </cell>
          <cell r="E2749" t="str">
            <v>KH127</v>
          </cell>
          <cell r="F2749">
            <v>8730</v>
          </cell>
          <cell r="G2749">
            <v>122.48</v>
          </cell>
          <cell r="H2749">
            <v>1.5</v>
          </cell>
          <cell r="I2749" t="str">
            <v>From M4B to M1B - 20°</v>
          </cell>
          <cell r="J2749" t="str">
            <v>IE3</v>
          </cell>
          <cell r="K2749">
            <v>415</v>
          </cell>
          <cell r="L2749">
            <v>50</v>
          </cell>
          <cell r="N2749">
            <v>55</v>
          </cell>
          <cell r="O2749" t="str">
            <v>155(F)</v>
          </cell>
          <cell r="P2749" t="str">
            <v>270°</v>
          </cell>
          <cell r="Q2749" t="str">
            <v>-</v>
          </cell>
          <cell r="R2749" t="str">
            <v>-</v>
          </cell>
          <cell r="S2749" t="str">
            <v>-</v>
          </cell>
          <cell r="T2749" t="str">
            <v>-</v>
          </cell>
          <cell r="U2749" t="str">
            <v>-</v>
          </cell>
          <cell r="V2749" t="str">
            <v>SS</v>
          </cell>
          <cell r="W2749" t="str">
            <v>-</v>
          </cell>
          <cell r="X2749" t="str">
            <v>CLP 220 (-15/+40°C)</v>
          </cell>
          <cell r="Y2749" t="str">
            <v>KH127DRN160M4</v>
          </cell>
          <cell r="Z2749" t="str">
            <v>SEW</v>
          </cell>
          <cell r="AB2749" t="str">
            <v>-</v>
          </cell>
          <cell r="AF2749">
            <v>12</v>
          </cell>
          <cell r="AG2749" t="str">
            <v>DRN160M4</v>
          </cell>
          <cell r="AH2749" t="str">
            <v>KH127-DRN160M4B270-X</v>
          </cell>
        </row>
        <row r="2750">
          <cell r="A2750" t="str">
            <v>MR002738</v>
          </cell>
          <cell r="B2750" t="str">
            <v>MR</v>
          </cell>
          <cell r="C2750">
            <v>11</v>
          </cell>
          <cell r="D2750">
            <v>12</v>
          </cell>
          <cell r="E2750" t="str">
            <v>FH107</v>
          </cell>
          <cell r="F2750">
            <v>8410</v>
          </cell>
          <cell r="G2750">
            <v>117.94</v>
          </cell>
          <cell r="H2750">
            <v>0.9</v>
          </cell>
          <cell r="I2750" t="str">
            <v>M1</v>
          </cell>
          <cell r="J2750" t="str">
            <v>IE3</v>
          </cell>
          <cell r="K2750">
            <v>400</v>
          </cell>
          <cell r="L2750">
            <v>50</v>
          </cell>
          <cell r="N2750">
            <v>55</v>
          </cell>
          <cell r="O2750" t="str">
            <v>155(F)</v>
          </cell>
          <cell r="P2750" t="str">
            <v>270°</v>
          </cell>
          <cell r="Q2750" t="str">
            <v>TF</v>
          </cell>
          <cell r="R2750" t="str">
            <v>V(VE)</v>
          </cell>
          <cell r="S2750" t="str">
            <v>-</v>
          </cell>
          <cell r="T2750" t="str">
            <v>-</v>
          </cell>
          <cell r="U2750" t="str">
            <v>G</v>
          </cell>
          <cell r="V2750" t="str">
            <v>-</v>
          </cell>
          <cell r="W2750" t="str">
            <v>-</v>
          </cell>
          <cell r="X2750" t="str">
            <v>CLP 220 (-15/+40°C)</v>
          </cell>
          <cell r="Y2750" t="str">
            <v>FH107/G DRN160M4 /TF/V</v>
          </cell>
          <cell r="Z2750" t="str">
            <v>SEW</v>
          </cell>
          <cell r="AB2750" t="str">
            <v>-</v>
          </cell>
          <cell r="AF2750">
            <v>12</v>
          </cell>
          <cell r="AG2750" t="str">
            <v>DRN160M4</v>
          </cell>
          <cell r="AH2750" t="str">
            <v>FH107G-DRN160M4270-X#</v>
          </cell>
        </row>
        <row r="2751">
          <cell r="A2751" t="str">
            <v>MR002739</v>
          </cell>
          <cell r="B2751" t="str">
            <v>MR</v>
          </cell>
          <cell r="C2751">
            <v>9.1999999999999993</v>
          </cell>
          <cell r="D2751">
            <v>16</v>
          </cell>
          <cell r="E2751" t="str">
            <v>KH107</v>
          </cell>
          <cell r="F2751">
            <v>5430</v>
          </cell>
          <cell r="G2751">
            <v>90.96</v>
          </cell>
          <cell r="H2751">
            <v>1.45</v>
          </cell>
          <cell r="I2751" t="str">
            <v>From M1A to M4A - 45°</v>
          </cell>
          <cell r="J2751" t="str">
            <v>IE3</v>
          </cell>
          <cell r="K2751" t="str">
            <v>400/690</v>
          </cell>
          <cell r="L2751">
            <v>50</v>
          </cell>
          <cell r="M2751" t="str">
            <v>18,7/10,8</v>
          </cell>
          <cell r="N2751">
            <v>65</v>
          </cell>
          <cell r="O2751" t="str">
            <v>155(F)</v>
          </cell>
          <cell r="P2751" t="str">
            <v>270°</v>
          </cell>
          <cell r="Q2751" t="str">
            <v>-</v>
          </cell>
          <cell r="R2751" t="str">
            <v>-</v>
          </cell>
          <cell r="S2751" t="str">
            <v>-</v>
          </cell>
          <cell r="T2751" t="str">
            <v>-</v>
          </cell>
          <cell r="U2751" t="str">
            <v>-</v>
          </cell>
          <cell r="V2751" t="str">
            <v>SS</v>
          </cell>
          <cell r="W2751" t="str">
            <v>-</v>
          </cell>
          <cell r="X2751" t="str">
            <v>CLP 220 (-15/+40°C)</v>
          </cell>
          <cell r="Y2751" t="str">
            <v>KH107DRN132L4</v>
          </cell>
          <cell r="Z2751" t="str">
            <v>SEW</v>
          </cell>
          <cell r="AB2751" t="str">
            <v>-</v>
          </cell>
          <cell r="AF2751">
            <v>16</v>
          </cell>
          <cell r="AG2751" t="str">
            <v>DRN132L4</v>
          </cell>
          <cell r="AH2751" t="str">
            <v>KH107-DRN132L4A270-X</v>
          </cell>
        </row>
        <row r="2752">
          <cell r="A2752" t="str">
            <v>MR002740</v>
          </cell>
          <cell r="B2752" t="str">
            <v>MR</v>
          </cell>
          <cell r="C2752">
            <v>15</v>
          </cell>
          <cell r="D2752">
            <v>16</v>
          </cell>
          <cell r="E2752" t="str">
            <v>KH127</v>
          </cell>
          <cell r="F2752">
            <v>8730</v>
          </cell>
          <cell r="G2752">
            <v>89.89</v>
          </cell>
          <cell r="H2752">
            <v>1.5</v>
          </cell>
          <cell r="I2752" t="str">
            <v>From M1A to M2A - 35°</v>
          </cell>
          <cell r="J2752" t="str">
            <v>IE3</v>
          </cell>
          <cell r="K2752" t="str">
            <v>380/660</v>
          </cell>
          <cell r="L2752">
            <v>50</v>
          </cell>
          <cell r="M2752" t="str">
            <v>30,5/17,4</v>
          </cell>
          <cell r="N2752">
            <v>55</v>
          </cell>
          <cell r="O2752" t="str">
            <v>155(F)</v>
          </cell>
          <cell r="P2752" t="str">
            <v>180°</v>
          </cell>
          <cell r="Q2752" t="str">
            <v>-</v>
          </cell>
          <cell r="R2752" t="str">
            <v>-</v>
          </cell>
          <cell r="S2752" t="str">
            <v>-</v>
          </cell>
          <cell r="T2752" t="str">
            <v>-</v>
          </cell>
          <cell r="U2752" t="str">
            <v>-</v>
          </cell>
          <cell r="V2752" t="str">
            <v>SS</v>
          </cell>
          <cell r="W2752" t="str">
            <v>-</v>
          </cell>
          <cell r="X2752" t="str">
            <v>CLP 220 (-15/+40°C)</v>
          </cell>
          <cell r="Y2752" t="str">
            <v>KH127DRN160L4</v>
          </cell>
          <cell r="Z2752" t="str">
            <v>SEW</v>
          </cell>
          <cell r="AB2752" t="str">
            <v>-</v>
          </cell>
          <cell r="AF2752">
            <v>16</v>
          </cell>
          <cell r="AG2752" t="str">
            <v>DRN160L4</v>
          </cell>
          <cell r="AH2752" t="str">
            <v>KH127-DRN160L4A180-X</v>
          </cell>
        </row>
        <row r="2753">
          <cell r="A2753" t="str">
            <v>MR002741</v>
          </cell>
          <cell r="B2753" t="str">
            <v>MR</v>
          </cell>
          <cell r="C2753">
            <v>15</v>
          </cell>
          <cell r="D2753">
            <v>16</v>
          </cell>
          <cell r="E2753" t="str">
            <v>KH127</v>
          </cell>
          <cell r="F2753">
            <v>8730</v>
          </cell>
          <cell r="G2753">
            <v>89.89</v>
          </cell>
          <cell r="H2753">
            <v>1.5</v>
          </cell>
          <cell r="I2753" t="str">
            <v>From M1B to M2B - 35°</v>
          </cell>
          <cell r="J2753" t="str">
            <v>IE3</v>
          </cell>
          <cell r="K2753" t="str">
            <v>380/660</v>
          </cell>
          <cell r="L2753">
            <v>50</v>
          </cell>
          <cell r="M2753" t="str">
            <v>30,5/17,4</v>
          </cell>
          <cell r="N2753">
            <v>55</v>
          </cell>
          <cell r="O2753" t="str">
            <v>155(F)</v>
          </cell>
          <cell r="P2753" t="str">
            <v>0°</v>
          </cell>
          <cell r="Q2753" t="str">
            <v>-</v>
          </cell>
          <cell r="R2753" t="str">
            <v>-</v>
          </cell>
          <cell r="S2753" t="str">
            <v>-</v>
          </cell>
          <cell r="T2753" t="str">
            <v>-</v>
          </cell>
          <cell r="U2753" t="str">
            <v>-</v>
          </cell>
          <cell r="V2753" t="str">
            <v>SS</v>
          </cell>
          <cell r="W2753" t="str">
            <v>-</v>
          </cell>
          <cell r="X2753" t="str">
            <v>CLP 220 (-15/+40°C)</v>
          </cell>
          <cell r="Y2753" t="str">
            <v>KH127DRN160L4</v>
          </cell>
          <cell r="Z2753" t="str">
            <v>SEW</v>
          </cell>
          <cell r="AB2753" t="str">
            <v>-</v>
          </cell>
          <cell r="AF2753">
            <v>16</v>
          </cell>
          <cell r="AG2753" t="str">
            <v>DRN160L4</v>
          </cell>
          <cell r="AH2753" t="str">
            <v>KH127-DRN160L4B0-X</v>
          </cell>
        </row>
        <row r="2754">
          <cell r="A2754" t="str">
            <v>MR002742</v>
          </cell>
          <cell r="B2754" t="str">
            <v>MR</v>
          </cell>
          <cell r="C2754">
            <v>11</v>
          </cell>
          <cell r="D2754">
            <v>15</v>
          </cell>
          <cell r="E2754" t="str">
            <v>KH107</v>
          </cell>
          <cell r="F2754">
            <v>7180</v>
          </cell>
          <cell r="G2754">
            <v>100.75</v>
          </cell>
          <cell r="H2754">
            <v>1.1000000000000001</v>
          </cell>
          <cell r="I2754" t="str">
            <v>From M1A to M2A - 30°</v>
          </cell>
          <cell r="J2754" t="str">
            <v>IE3</v>
          </cell>
          <cell r="K2754" t="str">
            <v>380/660</v>
          </cell>
          <cell r="L2754">
            <v>50</v>
          </cell>
          <cell r="M2754" t="str">
            <v>22/12,7</v>
          </cell>
          <cell r="N2754">
            <v>55</v>
          </cell>
          <cell r="O2754" t="str">
            <v>155(F)</v>
          </cell>
          <cell r="P2754" t="str">
            <v>180°</v>
          </cell>
          <cell r="Q2754" t="str">
            <v>-</v>
          </cell>
          <cell r="R2754" t="str">
            <v>-</v>
          </cell>
          <cell r="S2754" t="str">
            <v>-</v>
          </cell>
          <cell r="T2754" t="str">
            <v>-</v>
          </cell>
          <cell r="U2754" t="str">
            <v>-</v>
          </cell>
          <cell r="V2754" t="str">
            <v>SS</v>
          </cell>
          <cell r="W2754" t="str">
            <v>-</v>
          </cell>
          <cell r="X2754" t="str">
            <v>CLP 220 (-15/+40°C)</v>
          </cell>
          <cell r="Y2754" t="str">
            <v>KH107DRN160M4</v>
          </cell>
          <cell r="Z2754" t="str">
            <v>SEW</v>
          </cell>
          <cell r="AB2754" t="str">
            <v>-</v>
          </cell>
          <cell r="AF2754">
            <v>15</v>
          </cell>
          <cell r="AG2754" t="str">
            <v>DRN160M4</v>
          </cell>
          <cell r="AH2754" t="str">
            <v>KH107-DRN160M4A180-X</v>
          </cell>
        </row>
        <row r="2755">
          <cell r="A2755" t="str">
            <v>MR002743</v>
          </cell>
          <cell r="B2755" t="str">
            <v>MR</v>
          </cell>
          <cell r="C2755">
            <v>11</v>
          </cell>
          <cell r="D2755">
            <v>15</v>
          </cell>
          <cell r="E2755" t="str">
            <v>KH107</v>
          </cell>
          <cell r="F2755">
            <v>7180</v>
          </cell>
          <cell r="G2755">
            <v>100.75</v>
          </cell>
          <cell r="H2755">
            <v>1.1000000000000001</v>
          </cell>
          <cell r="I2755" t="str">
            <v>From M1B to M2B - 30°</v>
          </cell>
          <cell r="J2755" t="str">
            <v>IE3</v>
          </cell>
          <cell r="K2755" t="str">
            <v>380/660</v>
          </cell>
          <cell r="L2755">
            <v>50</v>
          </cell>
          <cell r="M2755" t="str">
            <v>22/12,7</v>
          </cell>
          <cell r="N2755">
            <v>55</v>
          </cell>
          <cell r="O2755" t="str">
            <v>155(F)</v>
          </cell>
          <cell r="P2755" t="str">
            <v>0°</v>
          </cell>
          <cell r="Q2755" t="str">
            <v>-</v>
          </cell>
          <cell r="R2755" t="str">
            <v>-</v>
          </cell>
          <cell r="S2755" t="str">
            <v>-</v>
          </cell>
          <cell r="T2755" t="str">
            <v>-</v>
          </cell>
          <cell r="U2755" t="str">
            <v>-</v>
          </cell>
          <cell r="V2755" t="str">
            <v>SS</v>
          </cell>
          <cell r="W2755" t="str">
            <v>-</v>
          </cell>
          <cell r="X2755" t="str">
            <v>CLP 220 (-15/+40°C)</v>
          </cell>
          <cell r="Y2755" t="str">
            <v>KH107DRN160M4</v>
          </cell>
          <cell r="Z2755" t="str">
            <v>SEW</v>
          </cell>
          <cell r="AB2755" t="str">
            <v>-</v>
          </cell>
          <cell r="AF2755">
            <v>15</v>
          </cell>
          <cell r="AG2755" t="str">
            <v>DRN160M4</v>
          </cell>
          <cell r="AH2755" t="str">
            <v>KH107-DRN160M4B0-X</v>
          </cell>
        </row>
        <row r="2756">
          <cell r="A2756" t="str">
            <v>MR002744</v>
          </cell>
          <cell r="B2756" t="str">
            <v>MR</v>
          </cell>
          <cell r="C2756">
            <v>15</v>
          </cell>
          <cell r="D2756">
            <v>16</v>
          </cell>
          <cell r="E2756" t="str">
            <v>KH127</v>
          </cell>
          <cell r="F2756">
            <v>8730</v>
          </cell>
          <cell r="G2756">
            <v>89.89</v>
          </cell>
          <cell r="H2756">
            <v>1.5</v>
          </cell>
          <cell r="I2756" t="str">
            <v>From M1A to M2A - 30°</v>
          </cell>
          <cell r="J2756" t="str">
            <v>IE3</v>
          </cell>
          <cell r="K2756" t="str">
            <v>380/660</v>
          </cell>
          <cell r="L2756">
            <v>50</v>
          </cell>
          <cell r="M2756" t="str">
            <v>30,5/17,4</v>
          </cell>
          <cell r="N2756">
            <v>55</v>
          </cell>
          <cell r="O2756" t="str">
            <v>155(F)</v>
          </cell>
          <cell r="P2756" t="str">
            <v>180°</v>
          </cell>
          <cell r="Q2756" t="str">
            <v>-</v>
          </cell>
          <cell r="R2756" t="str">
            <v>-</v>
          </cell>
          <cell r="S2756" t="str">
            <v>-</v>
          </cell>
          <cell r="T2756" t="str">
            <v>-</v>
          </cell>
          <cell r="U2756" t="str">
            <v>-</v>
          </cell>
          <cell r="V2756" t="str">
            <v>SS</v>
          </cell>
          <cell r="W2756" t="str">
            <v>-</v>
          </cell>
          <cell r="X2756" t="str">
            <v>CLP 220 (-15/+40°C)</v>
          </cell>
          <cell r="Y2756" t="str">
            <v>KH127DRN160L4</v>
          </cell>
          <cell r="Z2756" t="str">
            <v>SEW</v>
          </cell>
          <cell r="AB2756" t="str">
            <v>-</v>
          </cell>
          <cell r="AF2756">
            <v>16</v>
          </cell>
          <cell r="AG2756" t="str">
            <v>DRN160L4</v>
          </cell>
          <cell r="AH2756" t="str">
            <v>KH127-DRN160L4A180-X</v>
          </cell>
        </row>
        <row r="2757">
          <cell r="A2757" t="str">
            <v>MR002745</v>
          </cell>
          <cell r="B2757" t="str">
            <v>MR</v>
          </cell>
          <cell r="C2757">
            <v>15</v>
          </cell>
          <cell r="D2757">
            <v>16</v>
          </cell>
          <cell r="E2757" t="str">
            <v>KH127</v>
          </cell>
          <cell r="F2757">
            <v>8730</v>
          </cell>
          <cell r="G2757">
            <v>89.89</v>
          </cell>
          <cell r="H2757">
            <v>1.5</v>
          </cell>
          <cell r="I2757" t="str">
            <v>From M1B to M2B - 30°</v>
          </cell>
          <cell r="J2757" t="str">
            <v>IE3</v>
          </cell>
          <cell r="K2757" t="str">
            <v>380/660</v>
          </cell>
          <cell r="L2757">
            <v>50</v>
          </cell>
          <cell r="M2757" t="str">
            <v>30,5/17,4</v>
          </cell>
          <cell r="N2757">
            <v>55</v>
          </cell>
          <cell r="O2757" t="str">
            <v>155(F)</v>
          </cell>
          <cell r="P2757" t="str">
            <v>0°</v>
          </cell>
          <cell r="Q2757" t="str">
            <v>-</v>
          </cell>
          <cell r="R2757" t="str">
            <v>-</v>
          </cell>
          <cell r="S2757" t="str">
            <v>-</v>
          </cell>
          <cell r="T2757" t="str">
            <v>-</v>
          </cell>
          <cell r="U2757" t="str">
            <v>-</v>
          </cell>
          <cell r="V2757" t="str">
            <v>SS</v>
          </cell>
          <cell r="W2757" t="str">
            <v>-</v>
          </cell>
          <cell r="X2757" t="str">
            <v>CLP 220 (-15/+40°C)</v>
          </cell>
          <cell r="Y2757" t="str">
            <v>KH127DRN160L4</v>
          </cell>
          <cell r="Z2757" t="str">
            <v>SEW</v>
          </cell>
          <cell r="AB2757" t="str">
            <v>-</v>
          </cell>
          <cell r="AF2757">
            <v>16</v>
          </cell>
          <cell r="AG2757" t="str">
            <v>DRN160L4</v>
          </cell>
          <cell r="AH2757" t="str">
            <v>KH127-DRN160L4B0-X</v>
          </cell>
        </row>
        <row r="2758">
          <cell r="A2758" t="str">
            <v>MR002746</v>
          </cell>
          <cell r="B2758" t="str">
            <v>MR</v>
          </cell>
          <cell r="C2758">
            <v>7.5</v>
          </cell>
          <cell r="D2758">
            <v>63</v>
          </cell>
          <cell r="E2758" t="str">
            <v>R87</v>
          </cell>
          <cell r="F2758">
            <v>1140</v>
          </cell>
          <cell r="G2758">
            <v>23.4</v>
          </cell>
          <cell r="H2758">
            <v>1.35</v>
          </cell>
          <cell r="I2758" t="str">
            <v>M1</v>
          </cell>
          <cell r="J2758" t="str">
            <v>IE3</v>
          </cell>
          <cell r="K2758" t="str">
            <v>380/660</v>
          </cell>
          <cell r="L2758">
            <v>50</v>
          </cell>
          <cell r="M2758" t="str">
            <v>16/9,2</v>
          </cell>
          <cell r="N2758">
            <v>55</v>
          </cell>
          <cell r="O2758" t="str">
            <v>155(F)</v>
          </cell>
          <cell r="P2758" t="str">
            <v>270°</v>
          </cell>
          <cell r="Q2758" t="str">
            <v>-</v>
          </cell>
          <cell r="R2758" t="str">
            <v>-</v>
          </cell>
          <cell r="S2758" t="str">
            <v>-</v>
          </cell>
          <cell r="T2758" t="str">
            <v>-</v>
          </cell>
          <cell r="U2758" t="str">
            <v>-</v>
          </cell>
          <cell r="V2758" t="str">
            <v>D+R</v>
          </cell>
          <cell r="W2758" t="str">
            <v>-</v>
          </cell>
          <cell r="X2758" t="str">
            <v>CLP 220 (-15/+40°C)</v>
          </cell>
          <cell r="Y2758" t="str">
            <v>R87DRN132M4</v>
          </cell>
          <cell r="Z2758" t="str">
            <v>SEW</v>
          </cell>
          <cell r="AB2758" t="str">
            <v>-</v>
          </cell>
          <cell r="AF2758">
            <v>63</v>
          </cell>
          <cell r="AG2758" t="str">
            <v>DRN132M4</v>
          </cell>
          <cell r="AH2758" t="str">
            <v>R87-DRN132M4270-X</v>
          </cell>
        </row>
        <row r="2759">
          <cell r="A2759" t="str">
            <v>MR002747</v>
          </cell>
          <cell r="B2759" t="str">
            <v>MR</v>
          </cell>
          <cell r="C2759">
            <v>5.5</v>
          </cell>
          <cell r="D2759">
            <v>14</v>
          </cell>
          <cell r="E2759" t="str">
            <v>KH97</v>
          </cell>
          <cell r="F2759">
            <v>3770</v>
          </cell>
          <cell r="G2759">
            <v>105.13</v>
          </cell>
          <cell r="H2759">
            <v>1.1499999999999999</v>
          </cell>
          <cell r="I2759" t="str">
            <v>From M1A to M2A - 25°</v>
          </cell>
          <cell r="J2759" t="str">
            <v>IE3</v>
          </cell>
          <cell r="K2759" t="str">
            <v>220/380</v>
          </cell>
          <cell r="L2759">
            <v>50</v>
          </cell>
          <cell r="M2759" t="str">
            <v>19/11</v>
          </cell>
          <cell r="N2759">
            <v>55</v>
          </cell>
          <cell r="O2759" t="str">
            <v>155(F)</v>
          </cell>
          <cell r="P2759" t="str">
            <v>180°</v>
          </cell>
          <cell r="Q2759" t="str">
            <v>-</v>
          </cell>
          <cell r="R2759" t="str">
            <v>-</v>
          </cell>
          <cell r="S2759" t="str">
            <v>-</v>
          </cell>
          <cell r="T2759" t="str">
            <v>-</v>
          </cell>
          <cell r="U2759" t="str">
            <v>-</v>
          </cell>
          <cell r="V2759" t="str">
            <v>SS</v>
          </cell>
          <cell r="W2759" t="str">
            <v>-</v>
          </cell>
          <cell r="X2759" t="str">
            <v>CLP 220 (-15/+40°C)</v>
          </cell>
          <cell r="Y2759" t="str">
            <v>KH97DRN132S4</v>
          </cell>
          <cell r="Z2759" t="str">
            <v>SEW</v>
          </cell>
          <cell r="AB2759" t="str">
            <v>-</v>
          </cell>
          <cell r="AF2759">
            <v>14</v>
          </cell>
          <cell r="AG2759" t="str">
            <v>DRN132S4</v>
          </cell>
          <cell r="AH2759" t="str">
            <v>KH97-DRN132S4A180-X</v>
          </cell>
        </row>
        <row r="2760">
          <cell r="A2760" t="str">
            <v>MR002748</v>
          </cell>
          <cell r="B2760" t="str">
            <v>MR</v>
          </cell>
          <cell r="C2760">
            <v>11</v>
          </cell>
          <cell r="D2760">
            <v>15</v>
          </cell>
          <cell r="E2760" t="str">
            <v>KH107</v>
          </cell>
          <cell r="F2760">
            <v>7180</v>
          </cell>
          <cell r="G2760">
            <v>100.75</v>
          </cell>
          <cell r="H2760">
            <v>1.1000000000000001</v>
          </cell>
          <cell r="I2760" t="str">
            <v xml:space="preserve"> M1A </v>
          </cell>
          <cell r="J2760" t="str">
            <v>IE3</v>
          </cell>
          <cell r="K2760" t="str">
            <v>380/660</v>
          </cell>
          <cell r="L2760">
            <v>50</v>
          </cell>
          <cell r="M2760" t="str">
            <v>22/12,7</v>
          </cell>
          <cell r="N2760">
            <v>55</v>
          </cell>
          <cell r="O2760" t="str">
            <v>155(F)</v>
          </cell>
          <cell r="P2760" t="str">
            <v>180°</v>
          </cell>
          <cell r="Q2760" t="str">
            <v>-</v>
          </cell>
          <cell r="R2760" t="str">
            <v>-</v>
          </cell>
          <cell r="S2760" t="str">
            <v>-</v>
          </cell>
          <cell r="T2760" t="str">
            <v>-</v>
          </cell>
          <cell r="U2760" t="str">
            <v>-</v>
          </cell>
          <cell r="V2760" t="str">
            <v>SS</v>
          </cell>
          <cell r="W2760" t="str">
            <v>-</v>
          </cell>
          <cell r="X2760" t="str">
            <v>CLP 220 (-15/+40°C)</v>
          </cell>
          <cell r="Y2760" t="str">
            <v>KH107DRN160M4</v>
          </cell>
          <cell r="Z2760" t="str">
            <v>SEW</v>
          </cell>
          <cell r="AB2760" t="str">
            <v>-</v>
          </cell>
          <cell r="AF2760">
            <v>15</v>
          </cell>
          <cell r="AG2760" t="str">
            <v>DRN160M4</v>
          </cell>
          <cell r="AH2760" t="str">
            <v>KH107-DRN160M4A180-X</v>
          </cell>
        </row>
        <row r="2761">
          <cell r="A2761" t="str">
            <v>MR002749</v>
          </cell>
          <cell r="B2761" t="str">
            <v>MR</v>
          </cell>
          <cell r="C2761">
            <v>4</v>
          </cell>
          <cell r="D2761">
            <v>63</v>
          </cell>
          <cell r="E2761" t="str">
            <v>R77</v>
          </cell>
          <cell r="F2761">
            <v>605</v>
          </cell>
          <cell r="G2761">
            <v>23.37</v>
          </cell>
          <cell r="H2761">
            <v>1.35</v>
          </cell>
          <cell r="I2761" t="str">
            <v>M1</v>
          </cell>
          <cell r="J2761" t="str">
            <v>IE3</v>
          </cell>
          <cell r="K2761" t="str">
            <v>220/380</v>
          </cell>
          <cell r="L2761">
            <v>50</v>
          </cell>
          <cell r="M2761" t="str">
            <v>14,4/8,4</v>
          </cell>
          <cell r="N2761">
            <v>55</v>
          </cell>
          <cell r="O2761" t="str">
            <v>155(F)</v>
          </cell>
          <cell r="P2761" t="str">
            <v>270°</v>
          </cell>
          <cell r="Q2761" t="str">
            <v>-</v>
          </cell>
          <cell r="R2761" t="str">
            <v>-</v>
          </cell>
          <cell r="S2761" t="str">
            <v>-</v>
          </cell>
          <cell r="T2761" t="str">
            <v>-</v>
          </cell>
          <cell r="U2761" t="str">
            <v>-</v>
          </cell>
          <cell r="V2761" t="str">
            <v>D+R</v>
          </cell>
          <cell r="W2761" t="str">
            <v>-</v>
          </cell>
          <cell r="X2761" t="str">
            <v>CLP 220 (-15/+40°C)</v>
          </cell>
          <cell r="Y2761" t="str">
            <v>R77DRN112M4</v>
          </cell>
          <cell r="Z2761" t="str">
            <v>SEW</v>
          </cell>
          <cell r="AB2761" t="str">
            <v>-</v>
          </cell>
          <cell r="AF2761">
            <v>63</v>
          </cell>
          <cell r="AG2761" t="str">
            <v>DRN112M4</v>
          </cell>
          <cell r="AH2761" t="str">
            <v>R77-DRN112M4270-X</v>
          </cell>
        </row>
        <row r="2762">
          <cell r="A2762" t="str">
            <v>MR002750</v>
          </cell>
          <cell r="B2762" t="str">
            <v>MR</v>
          </cell>
          <cell r="C2762">
            <v>4</v>
          </cell>
          <cell r="D2762">
            <v>14</v>
          </cell>
          <cell r="E2762" t="str">
            <v>KH97</v>
          </cell>
          <cell r="F2762">
            <v>2740</v>
          </cell>
          <cell r="G2762">
            <v>105.13</v>
          </cell>
          <cell r="H2762">
            <v>1.55</v>
          </cell>
          <cell r="I2762" t="str">
            <v xml:space="preserve"> M1A </v>
          </cell>
          <cell r="J2762" t="str">
            <v>IE3</v>
          </cell>
          <cell r="K2762" t="str">
            <v>220/380</v>
          </cell>
          <cell r="L2762">
            <v>50</v>
          </cell>
          <cell r="M2762" t="str">
            <v>14,4/8,4</v>
          </cell>
          <cell r="N2762">
            <v>55</v>
          </cell>
          <cell r="O2762" t="str">
            <v>155(F)</v>
          </cell>
          <cell r="P2762" t="str">
            <v>180°</v>
          </cell>
          <cell r="Q2762" t="str">
            <v>-</v>
          </cell>
          <cell r="R2762" t="str">
            <v>-</v>
          </cell>
          <cell r="S2762" t="str">
            <v>-</v>
          </cell>
          <cell r="T2762" t="str">
            <v>-</v>
          </cell>
          <cell r="U2762" t="str">
            <v>-</v>
          </cell>
          <cell r="V2762" t="str">
            <v>SS</v>
          </cell>
          <cell r="W2762" t="str">
            <v>-</v>
          </cell>
          <cell r="X2762" t="str">
            <v>CLP 220 (-15/+40°C)</v>
          </cell>
          <cell r="Y2762" t="str">
            <v>KH97DRN112M4</v>
          </cell>
          <cell r="Z2762" t="str">
            <v>SEW</v>
          </cell>
          <cell r="AB2762" t="str">
            <v>-</v>
          </cell>
          <cell r="AF2762">
            <v>14</v>
          </cell>
          <cell r="AG2762" t="str">
            <v>DRN112M4</v>
          </cell>
          <cell r="AH2762" t="str">
            <v>KH97-DRN112M4A180-X</v>
          </cell>
        </row>
        <row r="2763">
          <cell r="A2763" t="str">
            <v>MR002751</v>
          </cell>
          <cell r="B2763" t="str">
            <v>MR</v>
          </cell>
          <cell r="C2763">
            <v>4</v>
          </cell>
          <cell r="D2763">
            <v>14</v>
          </cell>
          <cell r="E2763" t="str">
            <v>KH97</v>
          </cell>
          <cell r="F2763">
            <v>2740</v>
          </cell>
          <cell r="G2763">
            <v>105.13</v>
          </cell>
          <cell r="H2763">
            <v>1.55</v>
          </cell>
          <cell r="I2763" t="str">
            <v xml:space="preserve"> M1B</v>
          </cell>
          <cell r="J2763" t="str">
            <v>IE3</v>
          </cell>
          <cell r="K2763" t="str">
            <v>220/380</v>
          </cell>
          <cell r="L2763">
            <v>50</v>
          </cell>
          <cell r="M2763" t="str">
            <v>14,4/8,4</v>
          </cell>
          <cell r="N2763">
            <v>55</v>
          </cell>
          <cell r="O2763" t="str">
            <v>155(F)</v>
          </cell>
          <cell r="P2763" t="str">
            <v>0°</v>
          </cell>
          <cell r="Q2763" t="str">
            <v>-</v>
          </cell>
          <cell r="R2763" t="str">
            <v>-</v>
          </cell>
          <cell r="S2763" t="str">
            <v>-</v>
          </cell>
          <cell r="T2763" t="str">
            <v>-</v>
          </cell>
          <cell r="U2763" t="str">
            <v>-</v>
          </cell>
          <cell r="V2763" t="str">
            <v>SS</v>
          </cell>
          <cell r="W2763" t="str">
            <v>-</v>
          </cell>
          <cell r="X2763" t="str">
            <v>CLP 220 (-15/+40°C)</v>
          </cell>
          <cell r="Y2763" t="str">
            <v>KH97DRN112M4</v>
          </cell>
          <cell r="Z2763" t="str">
            <v>SEW</v>
          </cell>
          <cell r="AB2763" t="str">
            <v>-</v>
          </cell>
          <cell r="AF2763">
            <v>14</v>
          </cell>
          <cell r="AG2763" t="str">
            <v>DRN112M4</v>
          </cell>
          <cell r="AH2763" t="str">
            <v>KH97-DRN112M4B0-X</v>
          </cell>
        </row>
        <row r="2764">
          <cell r="A2764" t="str">
            <v>MR002752</v>
          </cell>
          <cell r="B2764" t="str">
            <v>MR</v>
          </cell>
          <cell r="C2764">
            <v>18.5</v>
          </cell>
          <cell r="D2764">
            <v>21</v>
          </cell>
          <cell r="E2764" t="str">
            <v>KH127</v>
          </cell>
          <cell r="F2764">
            <v>8480</v>
          </cell>
          <cell r="G2764">
            <v>70.95</v>
          </cell>
          <cell r="H2764">
            <v>1.55</v>
          </cell>
          <cell r="I2764" t="str">
            <v>From M4A to M1A - 50°</v>
          </cell>
          <cell r="J2764" t="str">
            <v>IE3</v>
          </cell>
          <cell r="K2764" t="str">
            <v>400/690</v>
          </cell>
          <cell r="L2764">
            <v>50</v>
          </cell>
          <cell r="M2764" t="str">
            <v>33,5/19,3</v>
          </cell>
          <cell r="N2764">
            <v>65</v>
          </cell>
          <cell r="O2764" t="str">
            <v>155(F)</v>
          </cell>
          <cell r="P2764" t="str">
            <v>270°</v>
          </cell>
          <cell r="Q2764" t="str">
            <v>TF</v>
          </cell>
          <cell r="R2764" t="str">
            <v>V(VE)</v>
          </cell>
          <cell r="S2764" t="str">
            <v>-</v>
          </cell>
          <cell r="T2764" t="str">
            <v>-</v>
          </cell>
          <cell r="U2764" t="str">
            <v>-</v>
          </cell>
          <cell r="V2764" t="str">
            <v>FC</v>
          </cell>
          <cell r="W2764" t="str">
            <v>-</v>
          </cell>
          <cell r="X2764" t="str">
            <v>CLP HC 220 (-25/+60°C)</v>
          </cell>
          <cell r="Y2764" t="str">
            <v>KH127DRN180M4 /TF/V</v>
          </cell>
          <cell r="Z2764" t="str">
            <v>SEW</v>
          </cell>
          <cell r="AB2764" t="str">
            <v>-</v>
          </cell>
          <cell r="AF2764">
            <v>21</v>
          </cell>
          <cell r="AG2764" t="str">
            <v>DRN180M4</v>
          </cell>
          <cell r="AH2764" t="str">
            <v>KH127-DRN180M4A270-X#</v>
          </cell>
        </row>
        <row r="2765">
          <cell r="A2765" t="str">
            <v>MR002753</v>
          </cell>
          <cell r="B2765" t="str">
            <v>MR</v>
          </cell>
          <cell r="C2765">
            <v>18.5</v>
          </cell>
          <cell r="D2765">
            <v>21</v>
          </cell>
          <cell r="E2765" t="str">
            <v>KH127</v>
          </cell>
          <cell r="F2765">
            <v>8480</v>
          </cell>
          <cell r="G2765">
            <v>70.95</v>
          </cell>
          <cell r="H2765">
            <v>1.55</v>
          </cell>
          <cell r="I2765" t="str">
            <v>From M4B to M1B - 50°</v>
          </cell>
          <cell r="J2765" t="str">
            <v>IE3</v>
          </cell>
          <cell r="K2765" t="str">
            <v>400/690</v>
          </cell>
          <cell r="L2765">
            <v>50</v>
          </cell>
          <cell r="M2765" t="str">
            <v>33,5/19,3</v>
          </cell>
          <cell r="N2765">
            <v>65</v>
          </cell>
          <cell r="O2765" t="str">
            <v>155(F)</v>
          </cell>
          <cell r="P2765" t="str">
            <v>270°</v>
          </cell>
          <cell r="Q2765" t="str">
            <v>TF</v>
          </cell>
          <cell r="R2765" t="str">
            <v>V(VE)</v>
          </cell>
          <cell r="S2765" t="str">
            <v>-</v>
          </cell>
          <cell r="T2765" t="str">
            <v>-</v>
          </cell>
          <cell r="U2765" t="str">
            <v>-</v>
          </cell>
          <cell r="V2765" t="str">
            <v>FC</v>
          </cell>
          <cell r="W2765" t="str">
            <v>-</v>
          </cell>
          <cell r="X2765" t="str">
            <v>CLP HC 220 (-25/+60°C)</v>
          </cell>
          <cell r="Y2765" t="str">
            <v>KH127DRN180M4 /TF/V</v>
          </cell>
          <cell r="Z2765" t="str">
            <v>SEW</v>
          </cell>
          <cell r="AB2765" t="str">
            <v>-</v>
          </cell>
          <cell r="AF2765">
            <v>21</v>
          </cell>
          <cell r="AG2765" t="str">
            <v>DRN180M4</v>
          </cell>
          <cell r="AH2765" t="str">
            <v>KH127-DRN180M4B270-X#</v>
          </cell>
        </row>
        <row r="2766">
          <cell r="A2766" t="str">
            <v>MR002754</v>
          </cell>
          <cell r="B2766" t="str">
            <v>MR</v>
          </cell>
          <cell r="C2766">
            <v>5.5</v>
          </cell>
          <cell r="D2766">
            <v>96</v>
          </cell>
          <cell r="E2766" t="str">
            <v>KH67</v>
          </cell>
          <cell r="F2766">
            <v>545</v>
          </cell>
          <cell r="G2766">
            <v>15.19</v>
          </cell>
          <cell r="H2766">
            <v>1.3</v>
          </cell>
          <cell r="I2766" t="str">
            <v>From M4B to M3B - 5°</v>
          </cell>
          <cell r="J2766" t="str">
            <v>IE3</v>
          </cell>
          <cell r="K2766" t="str">
            <v>230/400</v>
          </cell>
          <cell r="L2766">
            <v>50</v>
          </cell>
          <cell r="M2766" t="str">
            <v>18,2/10,5</v>
          </cell>
          <cell r="N2766">
            <v>65</v>
          </cell>
          <cell r="O2766" t="str">
            <v>155(F)</v>
          </cell>
          <cell r="P2766" t="str">
            <v>270°</v>
          </cell>
          <cell r="Q2766" t="str">
            <v>-</v>
          </cell>
          <cell r="R2766" t="str">
            <v>-</v>
          </cell>
          <cell r="S2766" t="str">
            <v>-</v>
          </cell>
          <cell r="T2766" t="str">
            <v>-</v>
          </cell>
          <cell r="U2766" t="str">
            <v>T</v>
          </cell>
          <cell r="V2766" t="str">
            <v>D+R</v>
          </cell>
          <cell r="W2766" t="str">
            <v>-</v>
          </cell>
          <cell r="X2766" t="str">
            <v>CLP HC 220 (-25/+60°C)</v>
          </cell>
          <cell r="Y2766" t="str">
            <v>KH67/T DRN132S4</v>
          </cell>
          <cell r="Z2766" t="str">
            <v>SEW</v>
          </cell>
          <cell r="AB2766" t="str">
            <v>-</v>
          </cell>
          <cell r="AF2766">
            <v>96</v>
          </cell>
          <cell r="AG2766" t="str">
            <v>DRN132S4</v>
          </cell>
          <cell r="AH2766" t="str">
            <v>KH67T-DRN132S4B270-X</v>
          </cell>
        </row>
        <row r="2767">
          <cell r="A2767" t="str">
            <v>MR002755</v>
          </cell>
          <cell r="B2767" t="str">
            <v>MR</v>
          </cell>
          <cell r="C2767">
            <v>22</v>
          </cell>
          <cell r="D2767">
            <v>16</v>
          </cell>
          <cell r="E2767" t="str">
            <v>KH157</v>
          </cell>
          <cell r="F2767">
            <v>13000</v>
          </cell>
          <cell r="G2767">
            <v>91.65</v>
          </cell>
          <cell r="H2767">
            <v>1.55</v>
          </cell>
          <cell r="I2767" t="str">
            <v>From M4A to M1A - 20°</v>
          </cell>
          <cell r="J2767" t="str">
            <v>IE3</v>
          </cell>
          <cell r="K2767" t="str">
            <v>400/690</v>
          </cell>
          <cell r="L2767">
            <v>50</v>
          </cell>
          <cell r="M2767" t="str">
            <v>38,5/22,5</v>
          </cell>
          <cell r="N2767">
            <v>65</v>
          </cell>
          <cell r="O2767" t="str">
            <v>155(F)</v>
          </cell>
          <cell r="P2767" t="str">
            <v>270°</v>
          </cell>
          <cell r="Q2767" t="str">
            <v>TF</v>
          </cell>
          <cell r="R2767" t="str">
            <v>V(VE)</v>
          </cell>
          <cell r="S2767" t="str">
            <v>-</v>
          </cell>
          <cell r="T2767" t="str">
            <v>-</v>
          </cell>
          <cell r="U2767" t="str">
            <v>-</v>
          </cell>
          <cell r="V2767" t="str">
            <v>FC</v>
          </cell>
          <cell r="W2767" t="str">
            <v>-</v>
          </cell>
          <cell r="X2767" t="str">
            <v>CLP HC 220 (-25/+60°C)</v>
          </cell>
          <cell r="Y2767" t="str">
            <v>KH157DRN180L4 /TF/V</v>
          </cell>
          <cell r="Z2767" t="str">
            <v>SEW</v>
          </cell>
          <cell r="AB2767" t="str">
            <v>-</v>
          </cell>
          <cell r="AF2767">
            <v>16</v>
          </cell>
          <cell r="AG2767" t="str">
            <v>DRN180L4</v>
          </cell>
          <cell r="AH2767" t="str">
            <v>KH157-DRN180L4A270-X#</v>
          </cell>
        </row>
        <row r="2768">
          <cell r="A2768" t="str">
            <v>MR002756</v>
          </cell>
          <cell r="B2768" t="str">
            <v>MR</v>
          </cell>
          <cell r="C2768">
            <v>22</v>
          </cell>
          <cell r="D2768">
            <v>16</v>
          </cell>
          <cell r="E2768" t="str">
            <v>KH157</v>
          </cell>
          <cell r="F2768">
            <v>13000</v>
          </cell>
          <cell r="G2768">
            <v>91.65</v>
          </cell>
          <cell r="H2768">
            <v>1.55</v>
          </cell>
          <cell r="I2768" t="str">
            <v>From M4B to M1B - 20°</v>
          </cell>
          <cell r="J2768" t="str">
            <v>IE3</v>
          </cell>
          <cell r="K2768" t="str">
            <v>400/690</v>
          </cell>
          <cell r="L2768">
            <v>50</v>
          </cell>
          <cell r="M2768" t="str">
            <v>38,5/22,5</v>
          </cell>
          <cell r="N2768">
            <v>65</v>
          </cell>
          <cell r="O2768" t="str">
            <v>155(F)</v>
          </cell>
          <cell r="P2768" t="str">
            <v>270°</v>
          </cell>
          <cell r="Q2768" t="str">
            <v>TF</v>
          </cell>
          <cell r="R2768" t="str">
            <v>V(VE)</v>
          </cell>
          <cell r="S2768" t="str">
            <v>-</v>
          </cell>
          <cell r="T2768" t="str">
            <v>-</v>
          </cell>
          <cell r="U2768" t="str">
            <v>-</v>
          </cell>
          <cell r="V2768" t="str">
            <v>FC</v>
          </cell>
          <cell r="W2768" t="str">
            <v>-</v>
          </cell>
          <cell r="X2768" t="str">
            <v>CLP HC 220 (-25/+60°C)</v>
          </cell>
          <cell r="Y2768" t="str">
            <v>KH157DRN180L4 /TF/V</v>
          </cell>
          <cell r="Z2768" t="str">
            <v>SEW</v>
          </cell>
          <cell r="AB2768" t="str">
            <v>-</v>
          </cell>
          <cell r="AF2768">
            <v>16</v>
          </cell>
          <cell r="AG2768" t="str">
            <v>DRN180L4</v>
          </cell>
          <cell r="AH2768" t="str">
            <v>KH157-DRN180L4B270-X#</v>
          </cell>
        </row>
        <row r="2769">
          <cell r="A2769" t="str">
            <v>MR002757</v>
          </cell>
          <cell r="B2769" t="str">
            <v>MR</v>
          </cell>
          <cell r="C2769">
            <v>0.75</v>
          </cell>
          <cell r="D2769">
            <v>18</v>
          </cell>
          <cell r="E2769" t="str">
            <v>FA67</v>
          </cell>
          <cell r="F2769">
            <v>395</v>
          </cell>
          <cell r="G2769">
            <v>79.760000000000005</v>
          </cell>
          <cell r="H2769">
            <v>2.1</v>
          </cell>
          <cell r="I2769" t="str">
            <v>From M5 to M3 - 20°</v>
          </cell>
          <cell r="J2769" t="str">
            <v>IE3</v>
          </cell>
          <cell r="K2769" t="str">
            <v>230/400</v>
          </cell>
          <cell r="L2769">
            <v>50</v>
          </cell>
          <cell r="M2769" t="str">
            <v>3,05/1,75</v>
          </cell>
          <cell r="N2769">
            <v>65</v>
          </cell>
          <cell r="O2769" t="str">
            <v>155(F)</v>
          </cell>
          <cell r="P2769" t="str">
            <v>180°</v>
          </cell>
          <cell r="Q2769" t="str">
            <v>-</v>
          </cell>
          <cell r="R2769" t="str">
            <v>-</v>
          </cell>
          <cell r="S2769" t="str">
            <v>-</v>
          </cell>
          <cell r="T2769" t="str">
            <v>BEHF</v>
          </cell>
          <cell r="U2769" t="str">
            <v>G</v>
          </cell>
          <cell r="V2769" t="str">
            <v>D+R</v>
          </cell>
          <cell r="W2769" t="str">
            <v>-</v>
          </cell>
          <cell r="X2769" t="str">
            <v>CLP HC 220 (-25/+60°C)</v>
          </cell>
          <cell r="Y2769" t="str">
            <v>FA67/G DRN80M4 /BEHF</v>
          </cell>
          <cell r="Z2769" t="str">
            <v>SEW</v>
          </cell>
          <cell r="AB2769" t="str">
            <v>-</v>
          </cell>
          <cell r="AF2769">
            <v>18</v>
          </cell>
          <cell r="AG2769" t="str">
            <v>DRN80M4</v>
          </cell>
          <cell r="AH2769" t="str">
            <v>FA67G-DRN80M4180-X</v>
          </cell>
        </row>
        <row r="2770">
          <cell r="A2770" t="str">
            <v>MR002758</v>
          </cell>
          <cell r="B2770" t="str">
            <v>MR</v>
          </cell>
          <cell r="C2770">
            <v>0.75</v>
          </cell>
          <cell r="D2770">
            <v>18</v>
          </cell>
          <cell r="E2770" t="str">
            <v>FA67</v>
          </cell>
          <cell r="F2770">
            <v>395</v>
          </cell>
          <cell r="G2770">
            <v>79.760000000000005</v>
          </cell>
          <cell r="H2770">
            <v>2.1</v>
          </cell>
          <cell r="I2770" t="str">
            <v>M5</v>
          </cell>
          <cell r="J2770" t="str">
            <v>IE3</v>
          </cell>
          <cell r="K2770" t="str">
            <v>230/400</v>
          </cell>
          <cell r="L2770">
            <v>50</v>
          </cell>
          <cell r="M2770" t="str">
            <v>3,05/1,75</v>
          </cell>
          <cell r="N2770">
            <v>65</v>
          </cell>
          <cell r="O2770" t="str">
            <v>155(F)</v>
          </cell>
          <cell r="P2770" t="str">
            <v>180°</v>
          </cell>
          <cell r="Q2770" t="str">
            <v>-</v>
          </cell>
          <cell r="R2770" t="str">
            <v>-</v>
          </cell>
          <cell r="S2770" t="str">
            <v>-</v>
          </cell>
          <cell r="T2770" t="str">
            <v>BEHF</v>
          </cell>
          <cell r="U2770" t="str">
            <v>G</v>
          </cell>
          <cell r="V2770" t="str">
            <v>D+R</v>
          </cell>
          <cell r="W2770" t="str">
            <v>-</v>
          </cell>
          <cell r="X2770" t="str">
            <v>CLP HC 220 (-25/+60°C)</v>
          </cell>
          <cell r="Y2770" t="str">
            <v>FA67/G DRN80M4 /BEHF</v>
          </cell>
          <cell r="Z2770" t="str">
            <v>SEW</v>
          </cell>
          <cell r="AB2770" t="str">
            <v>-</v>
          </cell>
          <cell r="AF2770">
            <v>18</v>
          </cell>
          <cell r="AG2770" t="str">
            <v>DRN80M4</v>
          </cell>
          <cell r="AH2770" t="str">
            <v>FA67G-DRN80M4180-X</v>
          </cell>
        </row>
        <row r="2771">
          <cell r="A2771" t="str">
            <v>MR002759</v>
          </cell>
          <cell r="B2771" t="str">
            <v>MR</v>
          </cell>
          <cell r="C2771">
            <v>15</v>
          </cell>
          <cell r="D2771">
            <v>16</v>
          </cell>
          <cell r="E2771" t="str">
            <v>KH127</v>
          </cell>
          <cell r="F2771">
            <v>8730</v>
          </cell>
          <cell r="G2771">
            <v>89.89</v>
          </cell>
          <cell r="H2771">
            <v>1.5</v>
          </cell>
          <cell r="I2771" t="str">
            <v>M4A</v>
          </cell>
          <cell r="J2771" t="str">
            <v>IE3</v>
          </cell>
          <cell r="K2771" t="str">
            <v>400/690</v>
          </cell>
          <cell r="L2771">
            <v>50</v>
          </cell>
          <cell r="M2771" t="str">
            <v>29/16,7</v>
          </cell>
          <cell r="N2771">
            <v>65</v>
          </cell>
          <cell r="O2771" t="str">
            <v>155(F)</v>
          </cell>
          <cell r="P2771" t="str">
            <v>270°</v>
          </cell>
          <cell r="Q2771" t="str">
            <v>TF</v>
          </cell>
          <cell r="R2771" t="str">
            <v>V(VE)</v>
          </cell>
          <cell r="S2771" t="str">
            <v>-</v>
          </cell>
          <cell r="T2771" t="str">
            <v>-</v>
          </cell>
          <cell r="U2771" t="str">
            <v>-</v>
          </cell>
          <cell r="V2771" t="str">
            <v>FC</v>
          </cell>
          <cell r="W2771" t="str">
            <v>-</v>
          </cell>
          <cell r="X2771" t="str">
            <v>CLP HC 220 (-25/+60°C)</v>
          </cell>
          <cell r="Y2771" t="str">
            <v>KH127DRN160L4 /TF/V</v>
          </cell>
          <cell r="Z2771" t="str">
            <v>SEW</v>
          </cell>
          <cell r="AB2771" t="str">
            <v>-</v>
          </cell>
          <cell r="AF2771">
            <v>16</v>
          </cell>
          <cell r="AG2771" t="str">
            <v>DRN160L4</v>
          </cell>
          <cell r="AH2771" t="str">
            <v>KH127-DRN160L4A270-X#</v>
          </cell>
        </row>
        <row r="2772">
          <cell r="A2772" t="str">
            <v>MR002760</v>
          </cell>
          <cell r="B2772" t="str">
            <v>MR</v>
          </cell>
          <cell r="C2772">
            <v>15</v>
          </cell>
          <cell r="D2772">
            <v>16</v>
          </cell>
          <cell r="E2772" t="str">
            <v>KH127</v>
          </cell>
          <cell r="F2772">
            <v>8730</v>
          </cell>
          <cell r="G2772">
            <v>89.89</v>
          </cell>
          <cell r="H2772">
            <v>1.5</v>
          </cell>
          <cell r="I2772" t="str">
            <v>M4B</v>
          </cell>
          <cell r="J2772" t="str">
            <v>IE3</v>
          </cell>
          <cell r="K2772" t="str">
            <v>400/690</v>
          </cell>
          <cell r="L2772">
            <v>50</v>
          </cell>
          <cell r="M2772" t="str">
            <v>29/16,7</v>
          </cell>
          <cell r="N2772">
            <v>65</v>
          </cell>
          <cell r="O2772" t="str">
            <v>155(F)</v>
          </cell>
          <cell r="P2772" t="str">
            <v>270°</v>
          </cell>
          <cell r="Q2772" t="str">
            <v>TF</v>
          </cell>
          <cell r="R2772" t="str">
            <v>V(VE)</v>
          </cell>
          <cell r="S2772" t="str">
            <v>-</v>
          </cell>
          <cell r="T2772" t="str">
            <v>-</v>
          </cell>
          <cell r="U2772" t="str">
            <v>-</v>
          </cell>
          <cell r="V2772" t="str">
            <v>FC</v>
          </cell>
          <cell r="W2772" t="str">
            <v>-</v>
          </cell>
          <cell r="X2772" t="str">
            <v>CLP HC 220 (-25/+60°C)</v>
          </cell>
          <cell r="Y2772" t="str">
            <v>KH127DRN160L4 /TF/V</v>
          </cell>
          <cell r="Z2772" t="str">
            <v>SEW</v>
          </cell>
          <cell r="AB2772" t="str">
            <v>-</v>
          </cell>
          <cell r="AF2772">
            <v>16</v>
          </cell>
          <cell r="AG2772" t="str">
            <v>DRN160L4</v>
          </cell>
          <cell r="AH2772" t="str">
            <v>KH127-DRN160L4B270-X#</v>
          </cell>
        </row>
        <row r="2773">
          <cell r="A2773" t="str">
            <v>MR002761</v>
          </cell>
          <cell r="B2773" t="str">
            <v>MR</v>
          </cell>
          <cell r="C2773">
            <v>15</v>
          </cell>
          <cell r="D2773">
            <v>16</v>
          </cell>
          <cell r="E2773" t="str">
            <v>KH127</v>
          </cell>
          <cell r="F2773">
            <v>8740</v>
          </cell>
          <cell r="G2773">
            <v>89.89</v>
          </cell>
          <cell r="H2773">
            <v>1.5</v>
          </cell>
          <cell r="I2773" t="str">
            <v>From M4A to M1A - 30°</v>
          </cell>
          <cell r="J2773" t="str">
            <v>IE3</v>
          </cell>
          <cell r="K2773" t="str">
            <v>400/690</v>
          </cell>
          <cell r="L2773">
            <v>50</v>
          </cell>
          <cell r="M2773" t="str">
            <v>29,5/16,9</v>
          </cell>
          <cell r="N2773">
            <v>65</v>
          </cell>
          <cell r="O2773" t="str">
            <v>155(F)</v>
          </cell>
          <cell r="P2773" t="str">
            <v>270°</v>
          </cell>
          <cell r="Q2773" t="str">
            <v>TF</v>
          </cell>
          <cell r="R2773" t="str">
            <v>V(VE)</v>
          </cell>
          <cell r="S2773" t="str">
            <v>-</v>
          </cell>
          <cell r="T2773" t="str">
            <v>-</v>
          </cell>
          <cell r="U2773" t="str">
            <v>-</v>
          </cell>
          <cell r="V2773" t="str">
            <v>FC</v>
          </cell>
          <cell r="W2773" t="str">
            <v>-</v>
          </cell>
          <cell r="X2773" t="str">
            <v>CLP HC 220 (-25/+60°C)</v>
          </cell>
          <cell r="Y2773" t="str">
            <v>KH127EDRN160L4 /TF/VE</v>
          </cell>
          <cell r="Z2773" t="str">
            <v>SEW</v>
          </cell>
          <cell r="AB2773" t="str">
            <v>ATEX22</v>
          </cell>
          <cell r="AF2773">
            <v>16</v>
          </cell>
          <cell r="AG2773" t="str">
            <v>EDRN160L4</v>
          </cell>
          <cell r="AH2773" t="str">
            <v>KH127-EDRN160L4A270-X#</v>
          </cell>
        </row>
        <row r="2774">
          <cell r="A2774" t="str">
            <v>MR002762</v>
          </cell>
          <cell r="B2774" t="str">
            <v>MR</v>
          </cell>
          <cell r="C2774">
            <v>11</v>
          </cell>
          <cell r="D2774">
            <v>16</v>
          </cell>
          <cell r="E2774" t="str">
            <v>KH107</v>
          </cell>
          <cell r="F2774">
            <v>6490</v>
          </cell>
          <cell r="G2774">
            <v>90.96</v>
          </cell>
          <cell r="H2774">
            <v>1.1000000000000001</v>
          </cell>
          <cell r="I2774" t="str">
            <v>From M4B to M1B - 40°</v>
          </cell>
          <cell r="J2774" t="str">
            <v>IE3</v>
          </cell>
          <cell r="K2774" t="str">
            <v>400/690</v>
          </cell>
          <cell r="L2774">
            <v>50</v>
          </cell>
          <cell r="M2774" t="str">
            <v>21,5/12,4</v>
          </cell>
          <cell r="N2774">
            <v>65</v>
          </cell>
          <cell r="O2774" t="str">
            <v>155(F)</v>
          </cell>
          <cell r="P2774" t="str">
            <v>270°</v>
          </cell>
          <cell r="Q2774" t="str">
            <v>TF</v>
          </cell>
          <cell r="R2774" t="str">
            <v>V(VE)</v>
          </cell>
          <cell r="S2774" t="str">
            <v>-</v>
          </cell>
          <cell r="T2774" t="str">
            <v>-</v>
          </cell>
          <cell r="U2774" t="str">
            <v>-</v>
          </cell>
          <cell r="V2774" t="str">
            <v>FC</v>
          </cell>
          <cell r="W2774" t="str">
            <v>-</v>
          </cell>
          <cell r="X2774" t="str">
            <v>CLP HC 220 (-25/+60°C)</v>
          </cell>
          <cell r="Y2774" t="str">
            <v>KH107EDRN160M4 /TF/VE</v>
          </cell>
          <cell r="Z2774" t="str">
            <v>SEW</v>
          </cell>
          <cell r="AB2774" t="str">
            <v>ATEX22</v>
          </cell>
          <cell r="AF2774">
            <v>16</v>
          </cell>
          <cell r="AG2774" t="str">
            <v>EDRN160M4</v>
          </cell>
          <cell r="AH2774" t="str">
            <v>KH107-EDRN160M4B270-X#</v>
          </cell>
        </row>
        <row r="2775">
          <cell r="A2775" t="str">
            <v>MR002763</v>
          </cell>
          <cell r="B2775" t="str">
            <v>MR</v>
          </cell>
          <cell r="C2775">
            <v>9.1999999999999993</v>
          </cell>
          <cell r="D2775">
            <v>59</v>
          </cell>
          <cell r="E2775" t="str">
            <v>R97</v>
          </cell>
          <cell r="F2775">
            <v>1500</v>
          </cell>
          <cell r="G2775">
            <v>25.03</v>
          </cell>
          <cell r="H2775">
            <v>1.45</v>
          </cell>
          <cell r="I2775" t="str">
            <v>M1</v>
          </cell>
          <cell r="J2775" t="str">
            <v>IE3</v>
          </cell>
          <cell r="K2775" t="str">
            <v>400/690</v>
          </cell>
          <cell r="L2775">
            <v>50</v>
          </cell>
          <cell r="M2775" t="str">
            <v>18,7/10,8</v>
          </cell>
          <cell r="N2775">
            <v>65</v>
          </cell>
          <cell r="O2775" t="str">
            <v>155(F)</v>
          </cell>
          <cell r="P2775" t="str">
            <v>270°</v>
          </cell>
          <cell r="Q2775" t="str">
            <v>-</v>
          </cell>
          <cell r="R2775" t="str">
            <v>-</v>
          </cell>
          <cell r="S2775" t="str">
            <v>-</v>
          </cell>
          <cell r="T2775" t="str">
            <v>-</v>
          </cell>
          <cell r="U2775" t="str">
            <v>-</v>
          </cell>
          <cell r="V2775" t="str">
            <v>D+R</v>
          </cell>
          <cell r="W2775" t="str">
            <v>-</v>
          </cell>
          <cell r="X2775" t="str">
            <v>CLP HC 220 (-25/+60°C)</v>
          </cell>
          <cell r="Y2775" t="str">
            <v>R97EDRN132L4</v>
          </cell>
          <cell r="Z2775" t="str">
            <v>SEW</v>
          </cell>
          <cell r="AB2775" t="str">
            <v>ATEX22</v>
          </cell>
          <cell r="AF2775">
            <v>59</v>
          </cell>
          <cell r="AG2775" t="str">
            <v>EDRN132L4</v>
          </cell>
          <cell r="AH2775" t="str">
            <v>R97-EDRN132L4270-X</v>
          </cell>
        </row>
        <row r="2776">
          <cell r="A2776" t="str">
            <v>MR002764</v>
          </cell>
          <cell r="B2776" t="str">
            <v>MR</v>
          </cell>
          <cell r="C2776">
            <v>5.5</v>
          </cell>
          <cell r="D2776">
            <v>62</v>
          </cell>
          <cell r="E2776" t="str">
            <v>R87</v>
          </cell>
          <cell r="F2776">
            <v>840</v>
          </cell>
          <cell r="G2776">
            <v>23.4</v>
          </cell>
          <cell r="H2776">
            <v>1.45</v>
          </cell>
          <cell r="I2776" t="str">
            <v>From M1 to M2 - 10°</v>
          </cell>
          <cell r="J2776" t="str">
            <v>IE3</v>
          </cell>
          <cell r="K2776" t="str">
            <v>230/400</v>
          </cell>
          <cell r="L2776">
            <v>50</v>
          </cell>
          <cell r="M2776" t="str">
            <v>18,2/10,5</v>
          </cell>
          <cell r="N2776">
            <v>65</v>
          </cell>
          <cell r="O2776" t="str">
            <v>155(F)</v>
          </cell>
          <cell r="P2776" t="str">
            <v>270°</v>
          </cell>
          <cell r="Q2776" t="str">
            <v>TF</v>
          </cell>
          <cell r="R2776" t="str">
            <v>V(VE)</v>
          </cell>
          <cell r="S2776" t="str">
            <v>-</v>
          </cell>
          <cell r="T2776" t="str">
            <v>-</v>
          </cell>
          <cell r="U2776" t="str">
            <v>-</v>
          </cell>
          <cell r="V2776" t="str">
            <v>FC</v>
          </cell>
          <cell r="W2776" t="str">
            <v>-</v>
          </cell>
          <cell r="X2776" t="str">
            <v>CLP HC 220 (-25/+60°C)</v>
          </cell>
          <cell r="Y2776" t="str">
            <v>R87EDRN132S4 /TF/VE</v>
          </cell>
          <cell r="Z2776" t="str">
            <v>SEW</v>
          </cell>
          <cell r="AB2776" t="str">
            <v>ATEX22</v>
          </cell>
          <cell r="AF2776">
            <v>62</v>
          </cell>
          <cell r="AG2776" t="str">
            <v>EDRN132S4</v>
          </cell>
          <cell r="AH2776" t="str">
            <v>R87-EDRN132S4270-X#</v>
          </cell>
        </row>
        <row r="2777">
          <cell r="A2777" t="str">
            <v>MR002765</v>
          </cell>
          <cell r="B2777" t="str">
            <v>MR</v>
          </cell>
          <cell r="C2777">
            <v>5.5</v>
          </cell>
          <cell r="D2777">
            <v>62</v>
          </cell>
          <cell r="E2777" t="str">
            <v>R87</v>
          </cell>
          <cell r="F2777">
            <v>840</v>
          </cell>
          <cell r="G2777">
            <v>23.4</v>
          </cell>
          <cell r="H2777">
            <v>1.45</v>
          </cell>
          <cell r="I2777" t="str">
            <v>From M1 to M4 - 10°</v>
          </cell>
          <cell r="J2777" t="str">
            <v>IE3</v>
          </cell>
          <cell r="K2777" t="str">
            <v>230/400</v>
          </cell>
          <cell r="L2777">
            <v>50</v>
          </cell>
          <cell r="M2777" t="str">
            <v>18,2/10,5</v>
          </cell>
          <cell r="N2777">
            <v>65</v>
          </cell>
          <cell r="O2777" t="str">
            <v>155(F)</v>
          </cell>
          <cell r="P2777" t="str">
            <v>270°</v>
          </cell>
          <cell r="Q2777" t="str">
            <v>TF</v>
          </cell>
          <cell r="R2777" t="str">
            <v>V(VE)</v>
          </cell>
          <cell r="S2777" t="str">
            <v>-</v>
          </cell>
          <cell r="T2777" t="str">
            <v>-</v>
          </cell>
          <cell r="U2777" t="str">
            <v>-</v>
          </cell>
          <cell r="V2777" t="str">
            <v>FC</v>
          </cell>
          <cell r="W2777" t="str">
            <v>-</v>
          </cell>
          <cell r="X2777" t="str">
            <v>CLP HC 220 (-25/+60°C)</v>
          </cell>
          <cell r="Y2777" t="str">
            <v>R87EDRN132S4 /TF/VE</v>
          </cell>
          <cell r="Z2777" t="str">
            <v>SEW</v>
          </cell>
          <cell r="AB2777" t="str">
            <v>ATEX22</v>
          </cell>
          <cell r="AF2777">
            <v>62</v>
          </cell>
          <cell r="AG2777" t="str">
            <v>EDRN132S4</v>
          </cell>
          <cell r="AH2777" t="str">
            <v>R87-EDRN132S4270-X#</v>
          </cell>
        </row>
        <row r="2778">
          <cell r="A2778" t="str">
            <v>MR002766</v>
          </cell>
          <cell r="B2778" t="str">
            <v>MR</v>
          </cell>
          <cell r="C2778">
            <v>0.75</v>
          </cell>
          <cell r="D2778">
            <v>162</v>
          </cell>
          <cell r="E2778" t="str">
            <v>KA37</v>
          </cell>
          <cell r="F2778">
            <v>44</v>
          </cell>
          <cell r="G2778">
            <v>8.91</v>
          </cell>
          <cell r="H2778">
            <v>3.6</v>
          </cell>
          <cell r="I2778" t="str">
            <v>From M1A to M2A - 15°</v>
          </cell>
          <cell r="J2778" t="str">
            <v>IE3</v>
          </cell>
          <cell r="K2778" t="str">
            <v>230/400</v>
          </cell>
          <cell r="L2778">
            <v>50</v>
          </cell>
          <cell r="M2778" t="str">
            <v>3,2/1,84</v>
          </cell>
          <cell r="N2778">
            <v>65</v>
          </cell>
          <cell r="O2778" t="str">
            <v>155(F)</v>
          </cell>
          <cell r="P2778" t="str">
            <v>180°</v>
          </cell>
          <cell r="Q2778" t="str">
            <v>-</v>
          </cell>
          <cell r="R2778" t="str">
            <v>-</v>
          </cell>
          <cell r="S2778" t="str">
            <v>-</v>
          </cell>
          <cell r="T2778" t="str">
            <v>-</v>
          </cell>
          <cell r="U2778" t="str">
            <v>T</v>
          </cell>
          <cell r="V2778" t="str">
            <v>D</v>
          </cell>
          <cell r="W2778" t="str">
            <v>-</v>
          </cell>
          <cell r="X2778" t="str">
            <v>CLP HC 220 (-25/+60°C)</v>
          </cell>
          <cell r="Y2778" t="str">
            <v>KA37/T DRN80M4</v>
          </cell>
          <cell r="Z2778" t="str">
            <v>SEW</v>
          </cell>
          <cell r="AB2778" t="str">
            <v>-</v>
          </cell>
          <cell r="AF2778">
            <v>162</v>
          </cell>
          <cell r="AG2778" t="str">
            <v>DRN80M4</v>
          </cell>
          <cell r="AH2778" t="str">
            <v>KA37T-DRN80M4A180-X</v>
          </cell>
        </row>
        <row r="2779">
          <cell r="A2779" t="str">
            <v>MR002767</v>
          </cell>
          <cell r="B2779" t="str">
            <v>MR</v>
          </cell>
          <cell r="C2779">
            <v>7.5</v>
          </cell>
          <cell r="D2779">
            <v>15</v>
          </cell>
          <cell r="E2779" t="str">
            <v>KH107</v>
          </cell>
          <cell r="F2779">
            <v>4920</v>
          </cell>
          <cell r="G2779">
            <v>100.75</v>
          </cell>
          <cell r="H2779">
            <v>1.55</v>
          </cell>
          <cell r="I2779" t="str">
            <v>From M1A to M2A - 35°</v>
          </cell>
          <cell r="J2779" t="str">
            <v>IE3</v>
          </cell>
          <cell r="K2779" t="str">
            <v>400/690</v>
          </cell>
          <cell r="L2779">
            <v>50</v>
          </cell>
          <cell r="M2779" t="str">
            <v>15,2/8,8</v>
          </cell>
          <cell r="N2779">
            <v>65</v>
          </cell>
          <cell r="O2779" t="str">
            <v>155(F)</v>
          </cell>
          <cell r="P2779" t="str">
            <v>180°</v>
          </cell>
          <cell r="Q2779" t="str">
            <v>-</v>
          </cell>
          <cell r="R2779" t="str">
            <v>-</v>
          </cell>
          <cell r="S2779" t="str">
            <v>-</v>
          </cell>
          <cell r="T2779" t="str">
            <v>-</v>
          </cell>
          <cell r="U2779" t="str">
            <v>-</v>
          </cell>
          <cell r="V2779" t="str">
            <v>SS</v>
          </cell>
          <cell r="W2779" t="str">
            <v>-</v>
          </cell>
          <cell r="X2779" t="str">
            <v>CLP HC 220 (-25/+60°C)</v>
          </cell>
          <cell r="Y2779" t="str">
            <v>KH107DRN132M4</v>
          </cell>
          <cell r="Z2779" t="str">
            <v>SEW</v>
          </cell>
          <cell r="AB2779" t="str">
            <v>-</v>
          </cell>
          <cell r="AF2779">
            <v>15</v>
          </cell>
          <cell r="AG2779" t="str">
            <v>DRN132M4</v>
          </cell>
          <cell r="AH2779" t="str">
            <v>KH107-DRN132M4A180-X</v>
          </cell>
        </row>
        <row r="2780">
          <cell r="A2780" t="str">
            <v>MR002768</v>
          </cell>
          <cell r="B2780" t="str">
            <v>MR</v>
          </cell>
          <cell r="C2780">
            <v>7.5</v>
          </cell>
          <cell r="D2780">
            <v>15</v>
          </cell>
          <cell r="E2780" t="str">
            <v>KH107</v>
          </cell>
          <cell r="F2780">
            <v>4920</v>
          </cell>
          <cell r="G2780">
            <v>100.75</v>
          </cell>
          <cell r="H2780">
            <v>1.55</v>
          </cell>
          <cell r="I2780" t="str">
            <v>From M1B to M2B - 35°</v>
          </cell>
          <cell r="J2780" t="str">
            <v>IE3</v>
          </cell>
          <cell r="K2780" t="str">
            <v>400/690</v>
          </cell>
          <cell r="L2780">
            <v>50</v>
          </cell>
          <cell r="M2780" t="str">
            <v>15,2/8,8</v>
          </cell>
          <cell r="N2780">
            <v>65</v>
          </cell>
          <cell r="O2780" t="str">
            <v>155(F)</v>
          </cell>
          <cell r="P2780" t="str">
            <v>0°</v>
          </cell>
          <cell r="Q2780" t="str">
            <v>-</v>
          </cell>
          <cell r="R2780" t="str">
            <v>-</v>
          </cell>
          <cell r="S2780" t="str">
            <v>-</v>
          </cell>
          <cell r="T2780" t="str">
            <v>-</v>
          </cell>
          <cell r="U2780" t="str">
            <v>-</v>
          </cell>
          <cell r="V2780" t="str">
            <v>SS</v>
          </cell>
          <cell r="W2780" t="str">
            <v>-</v>
          </cell>
          <cell r="X2780" t="str">
            <v>CLP HC 220 (-25/+60°C)</v>
          </cell>
          <cell r="Y2780" t="str">
            <v>KH107DRN132M4</v>
          </cell>
          <cell r="Z2780" t="str">
            <v>SEW</v>
          </cell>
          <cell r="AB2780" t="str">
            <v>-</v>
          </cell>
          <cell r="AF2780">
            <v>15</v>
          </cell>
          <cell r="AG2780" t="str">
            <v>DRN132M4</v>
          </cell>
          <cell r="AH2780" t="str">
            <v>KH107-DRN132M4B0-X</v>
          </cell>
        </row>
        <row r="2781">
          <cell r="A2781" t="str">
            <v>MR002769</v>
          </cell>
          <cell r="B2781" t="str">
            <v>MR</v>
          </cell>
          <cell r="C2781">
            <v>7.5</v>
          </cell>
          <cell r="D2781">
            <v>15</v>
          </cell>
          <cell r="E2781" t="str">
            <v>KH107</v>
          </cell>
          <cell r="F2781">
            <v>4920</v>
          </cell>
          <cell r="G2781">
            <v>100.75</v>
          </cell>
          <cell r="H2781">
            <v>1.55</v>
          </cell>
          <cell r="I2781" t="str">
            <v>From M1A to M2A - 10°</v>
          </cell>
          <cell r="J2781" t="str">
            <v>IE3</v>
          </cell>
          <cell r="K2781" t="str">
            <v>400/690</v>
          </cell>
          <cell r="L2781">
            <v>50</v>
          </cell>
          <cell r="M2781" t="str">
            <v>15,2/8,8</v>
          </cell>
          <cell r="N2781">
            <v>65</v>
          </cell>
          <cell r="O2781" t="str">
            <v>155(F)</v>
          </cell>
          <cell r="P2781" t="str">
            <v>180°</v>
          </cell>
          <cell r="Q2781" t="str">
            <v>-</v>
          </cell>
          <cell r="R2781" t="str">
            <v>-</v>
          </cell>
          <cell r="S2781" t="str">
            <v>-</v>
          </cell>
          <cell r="T2781" t="str">
            <v>-</v>
          </cell>
          <cell r="U2781" t="str">
            <v>-</v>
          </cell>
          <cell r="V2781" t="str">
            <v>SS</v>
          </cell>
          <cell r="W2781" t="str">
            <v>-</v>
          </cell>
          <cell r="X2781" t="str">
            <v>CLP HC 220 (-25/+60°C)</v>
          </cell>
          <cell r="Y2781" t="str">
            <v>KH107DRN132M4</v>
          </cell>
          <cell r="Z2781" t="str">
            <v>SEW</v>
          </cell>
          <cell r="AB2781" t="str">
            <v>-</v>
          </cell>
          <cell r="AF2781">
            <v>15</v>
          </cell>
          <cell r="AG2781" t="str">
            <v>DRN132M4</v>
          </cell>
          <cell r="AH2781" t="str">
            <v>KH107-DRN132M4A180-X</v>
          </cell>
        </row>
        <row r="2782">
          <cell r="A2782" t="str">
            <v>MR002770</v>
          </cell>
          <cell r="B2782" t="str">
            <v>MR</v>
          </cell>
          <cell r="C2782">
            <v>7.5</v>
          </cell>
          <cell r="D2782">
            <v>15</v>
          </cell>
          <cell r="E2782" t="str">
            <v>KH107</v>
          </cell>
          <cell r="F2782">
            <v>4920</v>
          </cell>
          <cell r="G2782">
            <v>100.75</v>
          </cell>
          <cell r="H2782">
            <v>1.55</v>
          </cell>
          <cell r="I2782" t="str">
            <v>From M1B to M2B - 10°</v>
          </cell>
          <cell r="J2782" t="str">
            <v>IE3</v>
          </cell>
          <cell r="K2782" t="str">
            <v>400/690</v>
          </cell>
          <cell r="L2782">
            <v>50</v>
          </cell>
          <cell r="M2782" t="str">
            <v>15,2/8,8</v>
          </cell>
          <cell r="N2782">
            <v>65</v>
          </cell>
          <cell r="O2782" t="str">
            <v>155(F)</v>
          </cell>
          <cell r="P2782" t="str">
            <v>0°</v>
          </cell>
          <cell r="Q2782" t="str">
            <v>-</v>
          </cell>
          <cell r="R2782" t="str">
            <v>-</v>
          </cell>
          <cell r="S2782" t="str">
            <v>-</v>
          </cell>
          <cell r="T2782" t="str">
            <v>-</v>
          </cell>
          <cell r="U2782" t="str">
            <v>-</v>
          </cell>
          <cell r="V2782" t="str">
            <v>SS</v>
          </cell>
          <cell r="W2782" t="str">
            <v>-</v>
          </cell>
          <cell r="X2782" t="str">
            <v>CLP HC 220 (-25/+60°C)</v>
          </cell>
          <cell r="Y2782" t="str">
            <v>KH107DRN132M4</v>
          </cell>
          <cell r="Z2782" t="str">
            <v>SEW</v>
          </cell>
          <cell r="AB2782" t="str">
            <v>-</v>
          </cell>
          <cell r="AF2782">
            <v>15</v>
          </cell>
          <cell r="AG2782" t="str">
            <v>DRN132M4</v>
          </cell>
          <cell r="AH2782" t="str">
            <v>KH107-DRN132M4B0-X</v>
          </cell>
        </row>
        <row r="2783">
          <cell r="A2783" t="str">
            <v>MR002771</v>
          </cell>
          <cell r="B2783" t="str">
            <v>MR</v>
          </cell>
          <cell r="C2783">
            <v>5.5</v>
          </cell>
          <cell r="D2783">
            <v>62</v>
          </cell>
          <cell r="E2783" t="str">
            <v>R87</v>
          </cell>
          <cell r="F2783">
            <v>840</v>
          </cell>
          <cell r="G2783">
            <v>23.4</v>
          </cell>
          <cell r="H2783">
            <v>1.45</v>
          </cell>
          <cell r="I2783" t="str">
            <v>From M1 to M4 - 15°</v>
          </cell>
          <cell r="J2783" t="str">
            <v>IE3</v>
          </cell>
          <cell r="K2783" t="str">
            <v>230/400</v>
          </cell>
          <cell r="L2783">
            <v>50</v>
          </cell>
          <cell r="M2783" t="str">
            <v>18,2/10,5</v>
          </cell>
          <cell r="N2783">
            <v>65</v>
          </cell>
          <cell r="O2783" t="str">
            <v>155(F)</v>
          </cell>
          <cell r="P2783" t="str">
            <v>270°</v>
          </cell>
          <cell r="Q2783" t="str">
            <v>-</v>
          </cell>
          <cell r="R2783" t="str">
            <v>-</v>
          </cell>
          <cell r="S2783" t="str">
            <v>-</v>
          </cell>
          <cell r="T2783" t="str">
            <v>-</v>
          </cell>
          <cell r="U2783" t="str">
            <v>-</v>
          </cell>
          <cell r="V2783" t="str">
            <v>D</v>
          </cell>
          <cell r="W2783" t="str">
            <v>-</v>
          </cell>
          <cell r="X2783" t="str">
            <v>CLP HC 220 (-25/+60°C)</v>
          </cell>
          <cell r="Y2783" t="str">
            <v>R87DRN132S4</v>
          </cell>
          <cell r="Z2783" t="str">
            <v>SEW</v>
          </cell>
          <cell r="AB2783" t="str">
            <v>-</v>
          </cell>
          <cell r="AF2783">
            <v>62</v>
          </cell>
          <cell r="AG2783" t="str">
            <v>DRN132S4</v>
          </cell>
          <cell r="AH2783" t="str">
            <v>R87-DRN132S4270-X</v>
          </cell>
        </row>
        <row r="2784">
          <cell r="A2784" t="str">
            <v>MR002772</v>
          </cell>
          <cell r="B2784" t="str">
            <v>MR</v>
          </cell>
          <cell r="C2784">
            <v>7.5</v>
          </cell>
          <cell r="D2784">
            <v>15</v>
          </cell>
          <cell r="E2784" t="str">
            <v>KH107</v>
          </cell>
          <cell r="F2784">
            <v>4920</v>
          </cell>
          <cell r="G2784">
            <v>100.75</v>
          </cell>
          <cell r="H2784">
            <v>1.55</v>
          </cell>
          <cell r="I2784" t="str">
            <v>From M1A to M2A - 35°</v>
          </cell>
          <cell r="J2784" t="str">
            <v>IE3</v>
          </cell>
          <cell r="K2784" t="str">
            <v>400/690</v>
          </cell>
          <cell r="L2784">
            <v>50</v>
          </cell>
          <cell r="M2784" t="str">
            <v>15,2/8,8</v>
          </cell>
          <cell r="N2784">
            <v>65</v>
          </cell>
          <cell r="O2784" t="str">
            <v>155(F)</v>
          </cell>
          <cell r="P2784" t="str">
            <v>0°</v>
          </cell>
          <cell r="Q2784" t="str">
            <v>-</v>
          </cell>
          <cell r="R2784" t="str">
            <v>-</v>
          </cell>
          <cell r="S2784" t="str">
            <v>-</v>
          </cell>
          <cell r="T2784" t="str">
            <v>-</v>
          </cell>
          <cell r="U2784" t="str">
            <v>-</v>
          </cell>
          <cell r="V2784" t="str">
            <v>SS</v>
          </cell>
          <cell r="W2784" t="str">
            <v>-</v>
          </cell>
          <cell r="X2784" t="str">
            <v>CLP HC 220 (-25/+60°C)</v>
          </cell>
          <cell r="Y2784" t="str">
            <v>KH107DRN132M4</v>
          </cell>
          <cell r="Z2784" t="str">
            <v>SEW</v>
          </cell>
          <cell r="AB2784" t="str">
            <v>-</v>
          </cell>
          <cell r="AF2784">
            <v>15</v>
          </cell>
          <cell r="AG2784" t="str">
            <v>DRN132M4</v>
          </cell>
          <cell r="AH2784" t="str">
            <v>KH107-DRN132M4A0-X</v>
          </cell>
        </row>
        <row r="2785">
          <cell r="A2785" t="str">
            <v>MR002773</v>
          </cell>
          <cell r="B2785" t="str">
            <v>MR</v>
          </cell>
          <cell r="C2785">
            <v>1.5</v>
          </cell>
          <cell r="D2785">
            <v>1.1000000000000001</v>
          </cell>
          <cell r="E2785" t="str">
            <v>KH127R77</v>
          </cell>
          <cell r="F2785">
            <v>12100</v>
          </cell>
          <cell r="G2785">
            <v>1342</v>
          </cell>
          <cell r="H2785">
            <v>1.1000000000000001</v>
          </cell>
          <cell r="I2785" t="str">
            <v>From M4A to M1A-25°</v>
          </cell>
          <cell r="J2785" t="str">
            <v>IE3</v>
          </cell>
          <cell r="K2785" t="str">
            <v>230/400</v>
          </cell>
          <cell r="L2785">
            <v>50</v>
          </cell>
          <cell r="M2785" t="str">
            <v>5,9/3,4</v>
          </cell>
          <cell r="N2785">
            <v>65</v>
          </cell>
          <cell r="O2785" t="str">
            <v>155(F)</v>
          </cell>
          <cell r="P2785" t="str">
            <v>270°</v>
          </cell>
          <cell r="Q2785" t="str">
            <v>TF</v>
          </cell>
          <cell r="R2785" t="str">
            <v>V(VE)</v>
          </cell>
          <cell r="S2785" t="str">
            <v>-</v>
          </cell>
          <cell r="T2785" t="str">
            <v>-</v>
          </cell>
          <cell r="U2785" t="str">
            <v>T</v>
          </cell>
          <cell r="V2785" t="str">
            <v>FC</v>
          </cell>
          <cell r="W2785" t="str">
            <v>-</v>
          </cell>
          <cell r="X2785" t="str">
            <v>CLP HC 220 (-25/+60°C)</v>
          </cell>
          <cell r="Y2785" t="str">
            <v>KH127R77/T DRN90L4 /TF/V</v>
          </cell>
          <cell r="Z2785" t="str">
            <v>SEW</v>
          </cell>
          <cell r="AB2785" t="str">
            <v>-</v>
          </cell>
          <cell r="AF2785">
            <v>1.1000000000000001</v>
          </cell>
          <cell r="AG2785" t="str">
            <v>DRN90L4</v>
          </cell>
          <cell r="AH2785" t="str">
            <v>KH127R77T-DRN90L4A270-X#</v>
          </cell>
        </row>
        <row r="2786">
          <cell r="A2786" t="str">
            <v>MR002774</v>
          </cell>
          <cell r="B2786" t="str">
            <v>MR</v>
          </cell>
          <cell r="C2786">
            <v>5.5</v>
          </cell>
          <cell r="D2786">
            <v>68</v>
          </cell>
          <cell r="E2786" t="str">
            <v>R87</v>
          </cell>
          <cell r="F2786">
            <v>770</v>
          </cell>
          <cell r="G2786">
            <v>21.51</v>
          </cell>
          <cell r="H2786">
            <v>1.95</v>
          </cell>
          <cell r="I2786" t="str">
            <v>M1</v>
          </cell>
          <cell r="J2786" t="str">
            <v>IE3</v>
          </cell>
          <cell r="K2786" t="str">
            <v>220/380</v>
          </cell>
          <cell r="L2786">
            <v>50</v>
          </cell>
          <cell r="M2786" t="str">
            <v>19/11</v>
          </cell>
          <cell r="N2786">
            <v>54</v>
          </cell>
          <cell r="O2786" t="str">
            <v>155(F)</v>
          </cell>
          <cell r="P2786" t="str">
            <v>270°</v>
          </cell>
          <cell r="Q2786" t="str">
            <v>-</v>
          </cell>
          <cell r="R2786" t="str">
            <v>-</v>
          </cell>
          <cell r="S2786" t="str">
            <v>-</v>
          </cell>
          <cell r="T2786" t="str">
            <v>-</v>
          </cell>
          <cell r="U2786" t="str">
            <v>-</v>
          </cell>
          <cell r="V2786" t="str">
            <v>D</v>
          </cell>
          <cell r="W2786" t="str">
            <v>-</v>
          </cell>
          <cell r="X2786" t="str">
            <v>CLP 220 (-15/+40°C)</v>
          </cell>
          <cell r="Y2786" t="str">
            <v>R87DRN132S4</v>
          </cell>
          <cell r="Z2786" t="str">
            <v>SEW</v>
          </cell>
          <cell r="AB2786" t="str">
            <v>-</v>
          </cell>
          <cell r="AF2786">
            <v>68</v>
          </cell>
          <cell r="AG2786" t="str">
            <v>DRN132S4</v>
          </cell>
          <cell r="AH2786" t="str">
            <v>R87-DRN132S4270-X</v>
          </cell>
        </row>
        <row r="2787">
          <cell r="A2787" t="str">
            <v>MR002775</v>
          </cell>
          <cell r="B2787" t="str">
            <v>MR</v>
          </cell>
          <cell r="C2787">
            <v>4</v>
          </cell>
          <cell r="D2787">
            <v>68</v>
          </cell>
          <cell r="E2787" t="str">
            <v>R87</v>
          </cell>
          <cell r="F2787">
            <v>560</v>
          </cell>
          <cell r="G2787">
            <v>21.51</v>
          </cell>
          <cell r="H2787">
            <v>2.7</v>
          </cell>
          <cell r="I2787" t="str">
            <v>From M1 to M2 - 15°</v>
          </cell>
          <cell r="J2787" t="str">
            <v>IE3</v>
          </cell>
          <cell r="K2787" t="str">
            <v>220/380</v>
          </cell>
          <cell r="L2787">
            <v>50</v>
          </cell>
          <cell r="M2787" t="str">
            <v>14,4/8,4</v>
          </cell>
          <cell r="N2787">
            <v>54</v>
          </cell>
          <cell r="O2787" t="str">
            <v>155(F)</v>
          </cell>
          <cell r="P2787" t="str">
            <v>270°</v>
          </cell>
          <cell r="Q2787" t="str">
            <v>-</v>
          </cell>
          <cell r="R2787" t="str">
            <v>-</v>
          </cell>
          <cell r="S2787" t="str">
            <v>-</v>
          </cell>
          <cell r="T2787" t="str">
            <v>-</v>
          </cell>
          <cell r="U2787" t="str">
            <v>-</v>
          </cell>
          <cell r="V2787" t="str">
            <v>D</v>
          </cell>
          <cell r="W2787" t="str">
            <v>-</v>
          </cell>
          <cell r="X2787" t="str">
            <v>CLP 220 (-15/+40°C)</v>
          </cell>
          <cell r="Y2787" t="str">
            <v>R87DRN112M4</v>
          </cell>
          <cell r="Z2787" t="str">
            <v>SEW</v>
          </cell>
          <cell r="AB2787" t="str">
            <v>-</v>
          </cell>
          <cell r="AF2787">
            <v>68</v>
          </cell>
          <cell r="AG2787" t="str">
            <v>DRN112M4</v>
          </cell>
          <cell r="AH2787" t="str">
            <v>R87-DRN112M4270-X</v>
          </cell>
        </row>
        <row r="2788">
          <cell r="A2788" t="str">
            <v>MR002776</v>
          </cell>
          <cell r="B2788" t="str">
            <v>MR</v>
          </cell>
          <cell r="C2788">
            <v>5.5</v>
          </cell>
          <cell r="D2788">
            <v>68</v>
          </cell>
          <cell r="E2788" t="str">
            <v>R87</v>
          </cell>
          <cell r="F2788">
            <v>770</v>
          </cell>
          <cell r="G2788">
            <v>21.51</v>
          </cell>
          <cell r="H2788">
            <v>1.95</v>
          </cell>
          <cell r="I2788" t="str">
            <v>From M1 to M2 - 15°</v>
          </cell>
          <cell r="J2788" t="str">
            <v>IE3</v>
          </cell>
          <cell r="K2788" t="str">
            <v>220/380</v>
          </cell>
          <cell r="L2788">
            <v>50</v>
          </cell>
          <cell r="M2788" t="str">
            <v>19/11</v>
          </cell>
          <cell r="N2788">
            <v>54</v>
          </cell>
          <cell r="O2788" t="str">
            <v>155(F)</v>
          </cell>
          <cell r="P2788" t="str">
            <v>270°</v>
          </cell>
          <cell r="Q2788" t="str">
            <v>-</v>
          </cell>
          <cell r="R2788" t="str">
            <v>-</v>
          </cell>
          <cell r="S2788" t="str">
            <v>-</v>
          </cell>
          <cell r="T2788" t="str">
            <v>-</v>
          </cell>
          <cell r="U2788" t="str">
            <v>-</v>
          </cell>
          <cell r="V2788" t="str">
            <v>D</v>
          </cell>
          <cell r="W2788" t="str">
            <v>-</v>
          </cell>
          <cell r="X2788" t="str">
            <v>CLP 220 (-15/+40°C)</v>
          </cell>
          <cell r="Y2788" t="str">
            <v>R87DRN132S4</v>
          </cell>
          <cell r="Z2788" t="str">
            <v>SEW</v>
          </cell>
          <cell r="AB2788" t="str">
            <v>-</v>
          </cell>
          <cell r="AF2788">
            <v>68</v>
          </cell>
          <cell r="AG2788" t="str">
            <v>DRN132S4</v>
          </cell>
          <cell r="AH2788" t="str">
            <v>R87-DRN132S4270-X</v>
          </cell>
        </row>
        <row r="2789">
          <cell r="A2789" t="str">
            <v>MR002777</v>
          </cell>
          <cell r="B2789" t="str">
            <v>MR</v>
          </cell>
          <cell r="C2789">
            <v>9.1999999999999993</v>
          </cell>
          <cell r="D2789">
            <v>119</v>
          </cell>
          <cell r="E2789" t="str">
            <v>R97</v>
          </cell>
          <cell r="F2789">
            <v>740</v>
          </cell>
          <cell r="G2789">
            <v>12.39</v>
          </cell>
          <cell r="H2789">
            <v>3</v>
          </cell>
          <cell r="I2789" t="str">
            <v>M2</v>
          </cell>
          <cell r="J2789" t="str">
            <v>IE3</v>
          </cell>
          <cell r="K2789" t="str">
            <v>220/380</v>
          </cell>
          <cell r="L2789">
            <v>50</v>
          </cell>
          <cell r="M2789" t="str">
            <v>34/19,7</v>
          </cell>
          <cell r="N2789">
            <v>54</v>
          </cell>
          <cell r="O2789" t="str">
            <v>155(F)</v>
          </cell>
          <cell r="P2789" t="str">
            <v>270°</v>
          </cell>
          <cell r="Q2789" t="str">
            <v>-</v>
          </cell>
          <cell r="R2789" t="str">
            <v>-</v>
          </cell>
          <cell r="S2789" t="str">
            <v>-</v>
          </cell>
          <cell r="T2789" t="str">
            <v>-</v>
          </cell>
          <cell r="U2789" t="str">
            <v>-</v>
          </cell>
          <cell r="V2789" t="str">
            <v>D</v>
          </cell>
          <cell r="W2789" t="str">
            <v>-</v>
          </cell>
          <cell r="X2789" t="str">
            <v>CLP 220 (-15/+40°C)</v>
          </cell>
          <cell r="Y2789" t="str">
            <v>R97DRN132L4</v>
          </cell>
          <cell r="Z2789" t="str">
            <v>SEW</v>
          </cell>
          <cell r="AB2789" t="str">
            <v>-</v>
          </cell>
          <cell r="AF2789">
            <v>119</v>
          </cell>
          <cell r="AG2789" t="str">
            <v>DRN132L4</v>
          </cell>
          <cell r="AH2789" t="str">
            <v>R97-DRN132L4270-X</v>
          </cell>
        </row>
        <row r="2790">
          <cell r="A2790" t="str">
            <v>MR002778</v>
          </cell>
          <cell r="B2790" t="str">
            <v>MR</v>
          </cell>
          <cell r="C2790">
            <v>5.5</v>
          </cell>
          <cell r="D2790">
            <v>76</v>
          </cell>
          <cell r="E2790" t="str">
            <v>R87</v>
          </cell>
          <cell r="F2790">
            <v>685</v>
          </cell>
          <cell r="G2790">
            <v>19.100000000000001</v>
          </cell>
          <cell r="H2790">
            <v>2.1</v>
          </cell>
          <cell r="I2790" t="str">
            <v>From M1 to M2 - 15°</v>
          </cell>
          <cell r="J2790" t="str">
            <v>IE3</v>
          </cell>
          <cell r="K2790" t="str">
            <v>220/380</v>
          </cell>
          <cell r="L2790">
            <v>50</v>
          </cell>
          <cell r="M2790" t="str">
            <v>19/11</v>
          </cell>
          <cell r="N2790">
            <v>54</v>
          </cell>
          <cell r="O2790" t="str">
            <v>155(F)</v>
          </cell>
          <cell r="P2790" t="str">
            <v>270°</v>
          </cell>
          <cell r="Q2790" t="str">
            <v>-</v>
          </cell>
          <cell r="R2790" t="str">
            <v>-</v>
          </cell>
          <cell r="S2790" t="str">
            <v>-</v>
          </cell>
          <cell r="T2790" t="str">
            <v>-</v>
          </cell>
          <cell r="U2790" t="str">
            <v>-</v>
          </cell>
          <cell r="V2790" t="str">
            <v>D</v>
          </cell>
          <cell r="W2790" t="str">
            <v>-</v>
          </cell>
          <cell r="X2790" t="str">
            <v>CLP 220 (-15/+40°C)</v>
          </cell>
          <cell r="Y2790" t="str">
            <v>R87DRN132S4</v>
          </cell>
          <cell r="Z2790" t="str">
            <v>SEW</v>
          </cell>
          <cell r="AB2790" t="str">
            <v>-</v>
          </cell>
          <cell r="AF2790">
            <v>76</v>
          </cell>
          <cell r="AG2790" t="str">
            <v>DRN132S4</v>
          </cell>
          <cell r="AH2790" t="str">
            <v>R87-DRN132S4270-X</v>
          </cell>
        </row>
        <row r="2791">
          <cell r="A2791" t="str">
            <v>MR002779</v>
          </cell>
          <cell r="B2791" t="str">
            <v>ME</v>
          </cell>
          <cell r="C2791">
            <v>90</v>
          </cell>
          <cell r="D2791">
            <v>1481</v>
          </cell>
          <cell r="E2791" t="str">
            <v>-</v>
          </cell>
          <cell r="F2791" t="str">
            <v>-</v>
          </cell>
          <cell r="G2791" t="str">
            <v>-</v>
          </cell>
          <cell r="H2791" t="str">
            <v>-</v>
          </cell>
          <cell r="I2791" t="str">
            <v>DR..FF B5 + IEC</v>
          </cell>
          <cell r="J2791" t="str">
            <v>IE3</v>
          </cell>
          <cell r="K2791" t="str">
            <v>400/690</v>
          </cell>
          <cell r="L2791">
            <v>50</v>
          </cell>
          <cell r="M2791" t="str">
            <v>161/93</v>
          </cell>
          <cell r="N2791">
            <v>54</v>
          </cell>
          <cell r="O2791" t="str">
            <v>130 (B)</v>
          </cell>
          <cell r="P2791" t="str">
            <v>0°</v>
          </cell>
          <cell r="Q2791" t="str">
            <v>TF</v>
          </cell>
          <cell r="R2791" t="str">
            <v>-</v>
          </cell>
          <cell r="S2791" t="str">
            <v>-</v>
          </cell>
          <cell r="T2791" t="str">
            <v>-</v>
          </cell>
          <cell r="U2791" t="str">
            <v>-</v>
          </cell>
          <cell r="V2791" t="str">
            <v>-</v>
          </cell>
          <cell r="W2791" t="str">
            <v>-</v>
          </cell>
          <cell r="X2791" t="str">
            <v>-</v>
          </cell>
          <cell r="Y2791" t="str">
            <v>DRN280M4/FF/TF/C/DH/NIB</v>
          </cell>
          <cell r="Z2791" t="str">
            <v>SEW</v>
          </cell>
          <cell r="AB2791" t="str">
            <v>-</v>
          </cell>
          <cell r="AF2791">
            <v>1481</v>
          </cell>
          <cell r="AG2791" t="e">
            <v>#N/A</v>
          </cell>
          <cell r="AH2791" t="e">
            <v>#N/A</v>
          </cell>
        </row>
        <row r="2792">
          <cell r="A2792" t="str">
            <v>MR002780</v>
          </cell>
          <cell r="B2792" t="str">
            <v>ME</v>
          </cell>
          <cell r="C2792">
            <v>7.5</v>
          </cell>
          <cell r="D2792">
            <v>1468</v>
          </cell>
          <cell r="E2792" t="str">
            <v>-</v>
          </cell>
          <cell r="F2792" t="str">
            <v>-</v>
          </cell>
          <cell r="G2792" t="str">
            <v>-</v>
          </cell>
          <cell r="H2792" t="str">
            <v>-</v>
          </cell>
          <cell r="I2792" t="str">
            <v>DR..FF B5 + IEC</v>
          </cell>
          <cell r="J2792" t="str">
            <v>IE3</v>
          </cell>
          <cell r="K2792" t="str">
            <v>400/690</v>
          </cell>
          <cell r="L2792">
            <v>50</v>
          </cell>
          <cell r="M2792" t="str">
            <v>15,2/8,8</v>
          </cell>
          <cell r="N2792">
            <v>54</v>
          </cell>
          <cell r="O2792" t="str">
            <v>130 (B)</v>
          </cell>
          <cell r="P2792" t="str">
            <v>270°</v>
          </cell>
          <cell r="Q2792" t="str">
            <v>-</v>
          </cell>
          <cell r="R2792" t="str">
            <v>-</v>
          </cell>
          <cell r="S2792" t="str">
            <v>-</v>
          </cell>
          <cell r="T2792" t="str">
            <v>-</v>
          </cell>
          <cell r="U2792" t="str">
            <v>-</v>
          </cell>
          <cell r="V2792" t="str">
            <v>-</v>
          </cell>
          <cell r="W2792" t="str">
            <v>-</v>
          </cell>
          <cell r="X2792" t="str">
            <v>-</v>
          </cell>
          <cell r="Y2792" t="str">
            <v>DRN132M4/FF</v>
          </cell>
          <cell r="Z2792" t="str">
            <v>SEW</v>
          </cell>
          <cell r="AB2792" t="str">
            <v>-</v>
          </cell>
          <cell r="AF2792">
            <v>1468</v>
          </cell>
          <cell r="AG2792" t="str">
            <v>DRN132M4</v>
          </cell>
          <cell r="AH2792" t="str">
            <v>--DRN132M4B270-X</v>
          </cell>
        </row>
        <row r="2793">
          <cell r="A2793" t="str">
            <v>MR002781</v>
          </cell>
          <cell r="B2793" t="str">
            <v>ME</v>
          </cell>
          <cell r="C2793">
            <v>7.5</v>
          </cell>
          <cell r="D2793">
            <v>66</v>
          </cell>
          <cell r="E2793" t="str">
            <v>K87</v>
          </cell>
          <cell r="F2793">
            <v>1090</v>
          </cell>
          <cell r="G2793">
            <v>22.41</v>
          </cell>
          <cell r="H2793">
            <v>2.1</v>
          </cell>
          <cell r="I2793" t="str">
            <v>M4B</v>
          </cell>
          <cell r="J2793" t="str">
            <v>IE3</v>
          </cell>
          <cell r="K2793" t="str">
            <v>400/690</v>
          </cell>
          <cell r="L2793">
            <v>50</v>
          </cell>
          <cell r="M2793" t="str">
            <v>15,2/8,8</v>
          </cell>
          <cell r="N2793">
            <v>65</v>
          </cell>
          <cell r="O2793" t="str">
            <v>F(105°C)</v>
          </cell>
          <cell r="P2793" t="str">
            <v>270°</v>
          </cell>
          <cell r="Q2793" t="str">
            <v>TF</v>
          </cell>
          <cell r="R2793" t="str">
            <v>V(VE)</v>
          </cell>
          <cell r="S2793" t="str">
            <v>-</v>
          </cell>
          <cell r="T2793" t="str">
            <v>-</v>
          </cell>
          <cell r="U2793" t="str">
            <v>-</v>
          </cell>
          <cell r="V2793" t="str">
            <v>FC</v>
          </cell>
          <cell r="W2793" t="str">
            <v>-</v>
          </cell>
          <cell r="X2793" t="str">
            <v>CLP 220 (-15/+40°C)</v>
          </cell>
          <cell r="Y2793" t="str">
            <v>K87DRN132M4 /TF/V</v>
          </cell>
          <cell r="Z2793" t="str">
            <v>SEW</v>
          </cell>
          <cell r="AB2793" t="str">
            <v>-</v>
          </cell>
          <cell r="AF2793">
            <v>66</v>
          </cell>
          <cell r="AG2793" t="str">
            <v>DRN132M4</v>
          </cell>
          <cell r="AH2793" t="str">
            <v>K87-DRN132M4B270-X#</v>
          </cell>
        </row>
        <row r="2794">
          <cell r="A2794" t="str">
            <v>MR002782</v>
          </cell>
          <cell r="B2794" t="str">
            <v>MR</v>
          </cell>
          <cell r="C2794">
            <v>18.5</v>
          </cell>
          <cell r="D2794">
            <v>50</v>
          </cell>
          <cell r="E2794" t="str">
            <v>R107</v>
          </cell>
          <cell r="F2794">
            <v>3530</v>
          </cell>
          <cell r="G2794">
            <v>29.49</v>
          </cell>
          <cell r="H2794">
            <v>1.2</v>
          </cell>
          <cell r="I2794" t="str">
            <v>From M1 to M2 - 15°</v>
          </cell>
          <cell r="J2794" t="str">
            <v>IE3</v>
          </cell>
          <cell r="K2794" t="str">
            <v>380/660</v>
          </cell>
          <cell r="L2794">
            <v>50</v>
          </cell>
          <cell r="M2794" t="str">
            <v>35/20</v>
          </cell>
          <cell r="N2794">
            <v>65</v>
          </cell>
          <cell r="O2794" t="str">
            <v>155(F)</v>
          </cell>
          <cell r="P2794" t="str">
            <v>270°</v>
          </cell>
          <cell r="Q2794" t="str">
            <v>TF</v>
          </cell>
          <cell r="R2794" t="str">
            <v>V(VE)</v>
          </cell>
          <cell r="S2794" t="str">
            <v>-</v>
          </cell>
          <cell r="T2794" t="str">
            <v>-</v>
          </cell>
          <cell r="U2794" t="str">
            <v>-</v>
          </cell>
          <cell r="V2794" t="str">
            <v>FC</v>
          </cell>
          <cell r="W2794" t="str">
            <v>-</v>
          </cell>
          <cell r="X2794" t="str">
            <v>CLP HC 220 (-25/+60°C)</v>
          </cell>
          <cell r="Y2794" t="str">
            <v>R107DRN180M4 /TF/V</v>
          </cell>
          <cell r="Z2794" t="str">
            <v>SEW</v>
          </cell>
          <cell r="AB2794" t="str">
            <v>-</v>
          </cell>
          <cell r="AF2794">
            <v>50</v>
          </cell>
          <cell r="AG2794" t="str">
            <v>DRN180M4</v>
          </cell>
          <cell r="AH2794" t="str">
            <v>R107-DRN180M4270-X#</v>
          </cell>
        </row>
        <row r="2795">
          <cell r="A2795" t="str">
            <v>MR002783</v>
          </cell>
          <cell r="B2795" t="str">
            <v>MR</v>
          </cell>
          <cell r="C2795">
            <v>7.5</v>
          </cell>
          <cell r="D2795">
            <v>57</v>
          </cell>
          <cell r="E2795" t="str">
            <v>KH77</v>
          </cell>
          <cell r="F2795">
            <v>1240</v>
          </cell>
          <cell r="G2795">
            <v>25.62</v>
          </cell>
          <cell r="H2795">
            <v>1.25</v>
          </cell>
          <cell r="I2795" t="str">
            <v xml:space="preserve">  M4A</v>
          </cell>
          <cell r="J2795" t="str">
            <v>IE3</v>
          </cell>
          <cell r="K2795" t="str">
            <v>400/690</v>
          </cell>
          <cell r="L2795">
            <v>50</v>
          </cell>
          <cell r="M2795" t="str">
            <v>15,2/8,8</v>
          </cell>
          <cell r="N2795">
            <v>65</v>
          </cell>
          <cell r="O2795" t="str">
            <v>155(F)</v>
          </cell>
          <cell r="P2795" t="str">
            <v>270°</v>
          </cell>
          <cell r="Q2795" t="str">
            <v>-</v>
          </cell>
          <cell r="R2795" t="str">
            <v>-</v>
          </cell>
          <cell r="S2795" t="str">
            <v>Free rotation CCW</v>
          </cell>
          <cell r="T2795" t="str">
            <v>-</v>
          </cell>
          <cell r="U2795" t="str">
            <v>T</v>
          </cell>
          <cell r="V2795" t="str">
            <v>SS</v>
          </cell>
          <cell r="W2795" t="str">
            <v>-</v>
          </cell>
          <cell r="X2795" t="str">
            <v>CLP HC 220 (-25/+60°C)</v>
          </cell>
          <cell r="Y2795" t="str">
            <v>KH77/T DRN132M4 /RS</v>
          </cell>
          <cell r="Z2795" t="str">
            <v>SEW</v>
          </cell>
          <cell r="AB2795" t="str">
            <v>-</v>
          </cell>
          <cell r="AE2795" t="str">
            <v>MOTOR FOR T MAX. 60°C</v>
          </cell>
          <cell r="AF2795">
            <v>57</v>
          </cell>
          <cell r="AG2795" t="str">
            <v>DRN132M4</v>
          </cell>
          <cell r="AH2795" t="str">
            <v>KH77T-DRN132M4A270-X</v>
          </cell>
        </row>
        <row r="2796">
          <cell r="A2796" t="str">
            <v>MR002784</v>
          </cell>
          <cell r="B2796" t="str">
            <v>MR</v>
          </cell>
          <cell r="C2796">
            <v>5.5</v>
          </cell>
          <cell r="D2796">
            <v>15</v>
          </cell>
          <cell r="E2796" t="str">
            <v>KH97</v>
          </cell>
          <cell r="F2796">
            <v>3480</v>
          </cell>
          <cell r="G2796">
            <v>96.8</v>
          </cell>
          <cell r="H2796">
            <v>1.1000000000000001</v>
          </cell>
          <cell r="I2796" t="str">
            <v>From M1A to M2A - 10°</v>
          </cell>
          <cell r="J2796" t="str">
            <v>IE3</v>
          </cell>
          <cell r="K2796" t="str">
            <v>230/400</v>
          </cell>
          <cell r="L2796">
            <v>50</v>
          </cell>
          <cell r="M2796" t="str">
            <v>18,2/10,5</v>
          </cell>
          <cell r="N2796">
            <v>65</v>
          </cell>
          <cell r="O2796" t="str">
            <v>155(F)</v>
          </cell>
          <cell r="P2796" t="str">
            <v>270°</v>
          </cell>
          <cell r="Q2796" t="str">
            <v>TF</v>
          </cell>
          <cell r="R2796" t="str">
            <v>-</v>
          </cell>
          <cell r="S2796" t="str">
            <v>-</v>
          </cell>
          <cell r="T2796" t="str">
            <v>-</v>
          </cell>
          <cell r="U2796" t="str">
            <v>-</v>
          </cell>
          <cell r="V2796" t="str">
            <v>FC</v>
          </cell>
          <cell r="W2796" t="str">
            <v>-</v>
          </cell>
          <cell r="X2796" t="str">
            <v>CLP HC 220 (-25/+60°C)</v>
          </cell>
          <cell r="Y2796" t="str">
            <v>KH97EDRN132S4 /TF</v>
          </cell>
          <cell r="Z2796" t="str">
            <v>SEW</v>
          </cell>
          <cell r="AB2796" t="str">
            <v>ATEX22</v>
          </cell>
          <cell r="AF2796">
            <v>15</v>
          </cell>
          <cell r="AG2796" t="str">
            <v>EDRN132S4</v>
          </cell>
          <cell r="AH2796" t="str">
            <v>KH97-EDRN132S4A270-X</v>
          </cell>
        </row>
        <row r="2797">
          <cell r="A2797" t="str">
            <v>MR002785</v>
          </cell>
          <cell r="B2797" t="str">
            <v>MR</v>
          </cell>
          <cell r="C2797">
            <v>5.5</v>
          </cell>
          <cell r="D2797">
            <v>15</v>
          </cell>
          <cell r="E2797" t="str">
            <v>KH97</v>
          </cell>
          <cell r="F2797">
            <v>3480</v>
          </cell>
          <cell r="G2797">
            <v>96.8</v>
          </cell>
          <cell r="H2797">
            <v>1.1000000000000001</v>
          </cell>
          <cell r="I2797" t="str">
            <v>From M1B to M2B - 10°</v>
          </cell>
          <cell r="J2797" t="str">
            <v>IE3</v>
          </cell>
          <cell r="K2797" t="str">
            <v>230/400</v>
          </cell>
          <cell r="L2797">
            <v>50</v>
          </cell>
          <cell r="M2797" t="str">
            <v>18,2/10,5</v>
          </cell>
          <cell r="N2797">
            <v>65</v>
          </cell>
          <cell r="O2797" t="str">
            <v>155(F)</v>
          </cell>
          <cell r="P2797" t="str">
            <v>270°</v>
          </cell>
          <cell r="Q2797" t="str">
            <v>TF</v>
          </cell>
          <cell r="R2797" t="str">
            <v>-</v>
          </cell>
          <cell r="S2797" t="str">
            <v>-</v>
          </cell>
          <cell r="T2797" t="str">
            <v>-</v>
          </cell>
          <cell r="U2797" t="str">
            <v>-</v>
          </cell>
          <cell r="V2797" t="str">
            <v>FC</v>
          </cell>
          <cell r="W2797" t="str">
            <v>-</v>
          </cell>
          <cell r="X2797" t="str">
            <v>CLP HC 220 (-25/+60°C)</v>
          </cell>
          <cell r="Y2797" t="str">
            <v>KH97EDRN132S4 /TF</v>
          </cell>
          <cell r="Z2797" t="str">
            <v>SEW</v>
          </cell>
          <cell r="AB2797" t="str">
            <v>ATEX22</v>
          </cell>
          <cell r="AF2797">
            <v>15</v>
          </cell>
          <cell r="AG2797" t="str">
            <v>EDRN132S4</v>
          </cell>
          <cell r="AH2797" t="str">
            <v>KH97-EDRN132S4B270-X</v>
          </cell>
        </row>
        <row r="2798">
          <cell r="A2798" t="str">
            <v>MR002786</v>
          </cell>
          <cell r="B2798" t="str">
            <v>MR</v>
          </cell>
          <cell r="C2798">
            <v>37</v>
          </cell>
          <cell r="D2798">
            <v>13</v>
          </cell>
          <cell r="E2798" t="str">
            <v>KH167</v>
          </cell>
          <cell r="F2798">
            <v>26200</v>
          </cell>
          <cell r="G2798">
            <v>109.83</v>
          </cell>
          <cell r="H2798">
            <v>1.2</v>
          </cell>
          <cell r="I2798" t="str">
            <v>From M1A to M4A - 70°</v>
          </cell>
          <cell r="J2798" t="str">
            <v>IE3</v>
          </cell>
          <cell r="K2798" t="str">
            <v>400/690</v>
          </cell>
          <cell r="L2798">
            <v>50</v>
          </cell>
          <cell r="M2798" t="str">
            <v>65/37,5</v>
          </cell>
          <cell r="N2798">
            <v>55</v>
          </cell>
          <cell r="O2798" t="str">
            <v>155(F)</v>
          </cell>
          <cell r="P2798" t="str">
            <v>270°</v>
          </cell>
          <cell r="Q2798" t="str">
            <v>TF</v>
          </cell>
          <cell r="R2798" t="str">
            <v>230/400</v>
          </cell>
          <cell r="S2798" t="str">
            <v>-</v>
          </cell>
          <cell r="T2798" t="str">
            <v>-</v>
          </cell>
          <cell r="U2798" t="str">
            <v>-</v>
          </cell>
          <cell r="V2798" t="str">
            <v>FC</v>
          </cell>
          <cell r="W2798" t="str">
            <v>-</v>
          </cell>
          <cell r="X2798" t="str">
            <v>CLP HC 220 (-25/+60°C)</v>
          </cell>
          <cell r="Y2798" t="str">
            <v>KH167EDRN225S4 /TF/VE</v>
          </cell>
          <cell r="Z2798" t="str">
            <v>SEW</v>
          </cell>
          <cell r="AB2798" t="str">
            <v>ATEX22</v>
          </cell>
          <cell r="AE2798" t="str">
            <v>Work freq. 35Hz, painting OS2 for C3 corrosive environment, canopy C, cast iron body, french language</v>
          </cell>
          <cell r="AF2798">
            <v>13</v>
          </cell>
          <cell r="AG2798" t="str">
            <v>EDRN225S4</v>
          </cell>
          <cell r="AH2798" t="str">
            <v>KH167-EDRN225S4A270-X#</v>
          </cell>
        </row>
        <row r="2799">
          <cell r="A2799" t="str">
            <v>MR002787</v>
          </cell>
          <cell r="B2799" t="str">
            <v>MR</v>
          </cell>
          <cell r="C2799">
            <v>37</v>
          </cell>
          <cell r="D2799">
            <v>13</v>
          </cell>
          <cell r="E2799" t="str">
            <v>KH167</v>
          </cell>
          <cell r="F2799">
            <v>26200</v>
          </cell>
          <cell r="G2799">
            <v>109.83</v>
          </cell>
          <cell r="H2799">
            <v>1.2</v>
          </cell>
          <cell r="I2799" t="str">
            <v>From M1B to M4B - 70°</v>
          </cell>
          <cell r="J2799" t="str">
            <v>IE3</v>
          </cell>
          <cell r="K2799" t="str">
            <v>400/690</v>
          </cell>
          <cell r="L2799">
            <v>50</v>
          </cell>
          <cell r="M2799" t="str">
            <v>65/37,5</v>
          </cell>
          <cell r="N2799">
            <v>55</v>
          </cell>
          <cell r="O2799" t="str">
            <v>155(F)</v>
          </cell>
          <cell r="P2799" t="str">
            <v>270°</v>
          </cell>
          <cell r="Q2799" t="str">
            <v>TF</v>
          </cell>
          <cell r="R2799" t="str">
            <v>230/400</v>
          </cell>
          <cell r="S2799" t="str">
            <v>-</v>
          </cell>
          <cell r="T2799" t="str">
            <v>-</v>
          </cell>
          <cell r="U2799" t="str">
            <v>-</v>
          </cell>
          <cell r="V2799" t="str">
            <v>FC</v>
          </cell>
          <cell r="W2799" t="str">
            <v>-</v>
          </cell>
          <cell r="X2799" t="str">
            <v>CLP HC 220 (-25/+60°C)</v>
          </cell>
          <cell r="Y2799" t="str">
            <v>KH167EDRN225S4 /TF/VE</v>
          </cell>
          <cell r="Z2799" t="str">
            <v>SEW</v>
          </cell>
          <cell r="AB2799" t="str">
            <v>ATEX22</v>
          </cell>
          <cell r="AE2799" t="str">
            <v>Work freq. 35Hz, painting OS2 for C3 corrosive environment, canopy C, cast iron body, french language</v>
          </cell>
          <cell r="AF2799">
            <v>13</v>
          </cell>
          <cell r="AG2799" t="str">
            <v>EDRN225S4</v>
          </cell>
          <cell r="AH2799" t="str">
            <v>KH167-EDRN225S4B270-X#</v>
          </cell>
        </row>
        <row r="2800">
          <cell r="A2800" t="str">
            <v>MR002788</v>
          </cell>
          <cell r="B2800" t="str">
            <v>MR</v>
          </cell>
          <cell r="C2800">
            <v>5.5</v>
          </cell>
          <cell r="D2800">
            <v>62</v>
          </cell>
          <cell r="E2800" t="str">
            <v>FH87</v>
          </cell>
          <cell r="F2800">
            <v>850</v>
          </cell>
          <cell r="G2800">
            <v>23.68</v>
          </cell>
          <cell r="H2800">
            <v>3.1</v>
          </cell>
          <cell r="I2800" t="str">
            <v>M1</v>
          </cell>
          <cell r="J2800" t="str">
            <v>IE3</v>
          </cell>
          <cell r="K2800" t="str">
            <v>230/400</v>
          </cell>
          <cell r="L2800">
            <v>50</v>
          </cell>
          <cell r="M2800" t="str">
            <v>18,8/10,9</v>
          </cell>
          <cell r="N2800">
            <v>65</v>
          </cell>
          <cell r="O2800" t="str">
            <v>155(F)</v>
          </cell>
          <cell r="P2800" t="str">
            <v>270°</v>
          </cell>
          <cell r="Q2800" t="str">
            <v>-</v>
          </cell>
          <cell r="R2800" t="str">
            <v>-</v>
          </cell>
          <cell r="S2800" t="str">
            <v>-</v>
          </cell>
          <cell r="T2800" t="str">
            <v>-</v>
          </cell>
          <cell r="U2800" t="str">
            <v>G</v>
          </cell>
          <cell r="V2800" t="str">
            <v>D</v>
          </cell>
          <cell r="W2800" t="str">
            <v>-</v>
          </cell>
          <cell r="X2800" t="str">
            <v>CLP HC 220 (-25/+60°C)</v>
          </cell>
          <cell r="Y2800" t="str">
            <v>FH87/II2GDEDRN132S4/3D/KCC/AL</v>
          </cell>
          <cell r="Z2800" t="str">
            <v>SEW</v>
          </cell>
          <cell r="AB2800" t="str">
            <v>ATEX22</v>
          </cell>
          <cell r="AF2800">
            <v>62</v>
          </cell>
          <cell r="AG2800" t="str">
            <v>EDRN132S4</v>
          </cell>
          <cell r="AH2800" t="str">
            <v>FH87G-EDRN132S4270-X</v>
          </cell>
        </row>
        <row r="2801">
          <cell r="A2801" t="str">
            <v>MR002789</v>
          </cell>
          <cell r="B2801" t="str">
            <v>MR</v>
          </cell>
          <cell r="C2801">
            <v>22</v>
          </cell>
          <cell r="D2801">
            <v>12</v>
          </cell>
          <cell r="E2801" t="str">
            <v>KH157</v>
          </cell>
          <cell r="F2801">
            <v>17400</v>
          </cell>
          <cell r="G2801">
            <v>122.39</v>
          </cell>
          <cell r="H2801">
            <v>1.1499999999999999</v>
          </cell>
          <cell r="I2801" t="str">
            <v>From M1A to M4A - 85°</v>
          </cell>
          <cell r="J2801" t="str">
            <v>IE3</v>
          </cell>
          <cell r="K2801" t="str">
            <v>380/660</v>
          </cell>
          <cell r="L2801">
            <v>50</v>
          </cell>
          <cell r="M2801" t="str">
            <v>38,5/22,5</v>
          </cell>
          <cell r="N2801">
            <v>65</v>
          </cell>
          <cell r="O2801" t="str">
            <v>155(F)</v>
          </cell>
          <cell r="P2801" t="str">
            <v>270°</v>
          </cell>
          <cell r="Q2801" t="str">
            <v>TF</v>
          </cell>
          <cell r="R2801" t="str">
            <v>V(VE)</v>
          </cell>
          <cell r="S2801" t="str">
            <v>-</v>
          </cell>
          <cell r="T2801" t="str">
            <v>-</v>
          </cell>
          <cell r="U2801" t="str">
            <v>-</v>
          </cell>
          <cell r="V2801" t="str">
            <v>FC</v>
          </cell>
          <cell r="W2801" t="str">
            <v>-</v>
          </cell>
          <cell r="X2801" t="str">
            <v>CLP 220 (-15/+40°C)</v>
          </cell>
          <cell r="Y2801" t="str">
            <v>KH157DRN180L4 /TF/V</v>
          </cell>
          <cell r="Z2801" t="str">
            <v>SEW</v>
          </cell>
          <cell r="AB2801" t="str">
            <v>-</v>
          </cell>
          <cell r="AE2801" t="str">
            <v>Superficial protection C4: IK8; oil level B51; canopy C, drain DH</v>
          </cell>
          <cell r="AF2801">
            <v>12</v>
          </cell>
          <cell r="AG2801" t="str">
            <v>DRN180L4</v>
          </cell>
          <cell r="AH2801" t="str">
            <v>KH157-DRN180L4A270-X#</v>
          </cell>
        </row>
        <row r="2802">
          <cell r="A2802" t="str">
            <v>MR002790</v>
          </cell>
          <cell r="B2802" t="str">
            <v>MR</v>
          </cell>
          <cell r="C2802">
            <v>0.37</v>
          </cell>
          <cell r="D2802">
            <v>3.4</v>
          </cell>
          <cell r="E2802" t="str">
            <v>KA67R37</v>
          </cell>
          <cell r="F2802">
            <v>920</v>
          </cell>
          <cell r="G2802">
            <v>420</v>
          </cell>
          <cell r="H2802">
            <v>0.9</v>
          </cell>
          <cell r="I2802" t="str">
            <v>M3B</v>
          </cell>
          <cell r="J2802" t="str">
            <v>IE3</v>
          </cell>
          <cell r="K2802" t="str">
            <v>220/380</v>
          </cell>
          <cell r="L2802">
            <v>50</v>
          </cell>
          <cell r="M2802" t="str">
            <v>1,86/1,08</v>
          </cell>
          <cell r="N2802">
            <v>65</v>
          </cell>
          <cell r="O2802" t="str">
            <v>155(F)</v>
          </cell>
          <cell r="P2802" t="str">
            <v>270°</v>
          </cell>
          <cell r="Q2802" t="str">
            <v>TF</v>
          </cell>
          <cell r="R2802" t="str">
            <v>-</v>
          </cell>
          <cell r="S2802" t="str">
            <v>-</v>
          </cell>
          <cell r="T2802" t="str">
            <v>BEHF</v>
          </cell>
          <cell r="U2802" t="str">
            <v>T</v>
          </cell>
          <cell r="V2802" t="str">
            <v>D+R</v>
          </cell>
          <cell r="W2802" t="str">
            <v>-</v>
          </cell>
          <cell r="X2802" t="str">
            <v>CLP HC 220 (-25/+60°C)</v>
          </cell>
          <cell r="Y2802" t="str">
            <v>KA67R37/T DRN71M4 /BEHF /TF</v>
          </cell>
          <cell r="Z2802" t="str">
            <v>SEW</v>
          </cell>
          <cell r="AB2802" t="str">
            <v>-</v>
          </cell>
          <cell r="AF2802">
            <v>3.4</v>
          </cell>
          <cell r="AG2802" t="str">
            <v>DRN71M4</v>
          </cell>
          <cell r="AH2802" t="str">
            <v>KA67R37T-DRN71M4B270-X</v>
          </cell>
        </row>
        <row r="2803">
          <cell r="A2803" t="str">
            <v>MR002791</v>
          </cell>
          <cell r="B2803" t="str">
            <v>MR</v>
          </cell>
          <cell r="C2803">
            <v>0.75</v>
          </cell>
          <cell r="D2803">
            <v>162</v>
          </cell>
          <cell r="E2803" t="str">
            <v>KA37</v>
          </cell>
          <cell r="F2803">
            <v>44</v>
          </cell>
          <cell r="G2803">
            <v>8.91</v>
          </cell>
          <cell r="H2803">
            <v>3.6</v>
          </cell>
          <cell r="I2803" t="str">
            <v>From M1B to M2B - 15°</v>
          </cell>
          <cell r="J2803" t="str">
            <v>IE3</v>
          </cell>
          <cell r="K2803" t="str">
            <v>220/380</v>
          </cell>
          <cell r="L2803">
            <v>50</v>
          </cell>
          <cell r="M2803" t="str">
            <v>3,2/1,84</v>
          </cell>
          <cell r="N2803">
            <v>65</v>
          </cell>
          <cell r="O2803" t="str">
            <v>155(F)</v>
          </cell>
          <cell r="P2803" t="str">
            <v>270°</v>
          </cell>
          <cell r="Q2803" t="str">
            <v>TF</v>
          </cell>
          <cell r="R2803" t="str">
            <v>-</v>
          </cell>
          <cell r="S2803" t="str">
            <v>-</v>
          </cell>
          <cell r="T2803" t="str">
            <v>-</v>
          </cell>
          <cell r="U2803" t="str">
            <v>T</v>
          </cell>
          <cell r="V2803" t="str">
            <v>D</v>
          </cell>
          <cell r="W2803" t="str">
            <v>-</v>
          </cell>
          <cell r="X2803" t="str">
            <v>CLP HC 220 (-25/+60°C)</v>
          </cell>
          <cell r="Y2803" t="str">
            <v>KA37/T DRN80M4 /TF</v>
          </cell>
          <cell r="Z2803" t="str">
            <v>SEW</v>
          </cell>
          <cell r="AB2803" t="str">
            <v>-</v>
          </cell>
          <cell r="AF2803">
            <v>162</v>
          </cell>
          <cell r="AG2803" t="str">
            <v>DRN80M4</v>
          </cell>
          <cell r="AH2803" t="str">
            <v>KA37T-DRN80M4B270-X</v>
          </cell>
        </row>
        <row r="2804">
          <cell r="A2804" t="str">
            <v>MR002792</v>
          </cell>
          <cell r="B2804" t="str">
            <v>MR</v>
          </cell>
          <cell r="C2804">
            <v>30</v>
          </cell>
          <cell r="D2804">
            <v>51</v>
          </cell>
          <cell r="E2804" t="str">
            <v>KH107</v>
          </cell>
          <cell r="F2804">
            <v>5610</v>
          </cell>
          <cell r="G2804">
            <v>29</v>
          </cell>
          <cell r="H2804">
            <v>1.3</v>
          </cell>
          <cell r="I2804" t="str">
            <v>M4B</v>
          </cell>
          <cell r="J2804" t="str">
            <v>IE3</v>
          </cell>
          <cell r="K2804" t="str">
            <v>380/660</v>
          </cell>
          <cell r="L2804">
            <v>50</v>
          </cell>
          <cell r="M2804" t="str">
            <v>59/34</v>
          </cell>
          <cell r="N2804">
            <v>65</v>
          </cell>
          <cell r="O2804" t="str">
            <v>155(F)</v>
          </cell>
          <cell r="P2804" t="str">
            <v>270°</v>
          </cell>
          <cell r="Q2804" t="str">
            <v>TF</v>
          </cell>
          <cell r="R2804" t="str">
            <v>V(VE)</v>
          </cell>
          <cell r="S2804" t="str">
            <v>Free rotation CW</v>
          </cell>
          <cell r="T2804" t="str">
            <v>-</v>
          </cell>
          <cell r="U2804" t="str">
            <v>T</v>
          </cell>
          <cell r="V2804" t="str">
            <v>FC</v>
          </cell>
          <cell r="W2804" t="str">
            <v>-</v>
          </cell>
          <cell r="X2804" t="str">
            <v>CLP HC 220 (-25/+60°C)</v>
          </cell>
          <cell r="Y2804" t="str">
            <v>KH107/T DRN200L4 /RS /TF/V</v>
          </cell>
          <cell r="Z2804" t="str">
            <v>SEW</v>
          </cell>
          <cell r="AB2804" t="str">
            <v>-</v>
          </cell>
          <cell r="AF2804">
            <v>51</v>
          </cell>
          <cell r="AG2804" t="str">
            <v>DRN200L4</v>
          </cell>
          <cell r="AH2804" t="str">
            <v>KH107T-DRN200L4B270-X#</v>
          </cell>
        </row>
        <row r="2805">
          <cell r="A2805" t="str">
            <v>MR002793</v>
          </cell>
          <cell r="B2805" t="str">
            <v>MR</v>
          </cell>
          <cell r="C2805">
            <v>7.5</v>
          </cell>
          <cell r="D2805">
            <v>57</v>
          </cell>
          <cell r="E2805" t="str">
            <v>KH77</v>
          </cell>
          <cell r="F2805">
            <v>1240</v>
          </cell>
          <cell r="G2805">
            <v>25.62</v>
          </cell>
          <cell r="H2805">
            <v>1.25</v>
          </cell>
          <cell r="I2805" t="str">
            <v>From M1B to M4B - 80°</v>
          </cell>
          <cell r="J2805" t="str">
            <v>IE3</v>
          </cell>
          <cell r="K2805" t="str">
            <v>380/660</v>
          </cell>
          <cell r="L2805">
            <v>50</v>
          </cell>
          <cell r="M2805" t="str">
            <v>16/9,2</v>
          </cell>
          <cell r="N2805">
            <v>65</v>
          </cell>
          <cell r="O2805" t="str">
            <v>155(F)</v>
          </cell>
          <cell r="P2805" t="str">
            <v>270°</v>
          </cell>
          <cell r="Q2805" t="str">
            <v>TF</v>
          </cell>
          <cell r="R2805" t="str">
            <v>-</v>
          </cell>
          <cell r="S2805" t="str">
            <v>Free rotation CW</v>
          </cell>
          <cell r="T2805" t="str">
            <v>-</v>
          </cell>
          <cell r="U2805" t="str">
            <v>T</v>
          </cell>
          <cell r="V2805" t="str">
            <v>SS</v>
          </cell>
          <cell r="W2805" t="str">
            <v>-</v>
          </cell>
          <cell r="X2805" t="str">
            <v>CLP HC 220 (-25/+60°C)</v>
          </cell>
          <cell r="Y2805" t="str">
            <v>KH77/T DRN132M4 /RS /TF</v>
          </cell>
          <cell r="Z2805" t="str">
            <v>SEW</v>
          </cell>
          <cell r="AB2805" t="str">
            <v>-</v>
          </cell>
          <cell r="AF2805">
            <v>57</v>
          </cell>
          <cell r="AG2805" t="str">
            <v>DRN132M4</v>
          </cell>
          <cell r="AH2805" t="str">
            <v>KH77T-DRN132M4B270-X</v>
          </cell>
        </row>
        <row r="2806">
          <cell r="A2806" t="str">
            <v>MR002794</v>
          </cell>
          <cell r="B2806" t="str">
            <v>MR</v>
          </cell>
          <cell r="C2806">
            <v>0.75</v>
          </cell>
          <cell r="D2806">
            <v>162</v>
          </cell>
          <cell r="E2806" t="str">
            <v>KA37</v>
          </cell>
          <cell r="F2806">
            <v>44</v>
          </cell>
          <cell r="G2806">
            <v>8.91</v>
          </cell>
          <cell r="H2806">
            <v>3.6</v>
          </cell>
          <cell r="I2806" t="str">
            <v>From M3 to M2A - 10°</v>
          </cell>
          <cell r="J2806" t="str">
            <v>IE3</v>
          </cell>
          <cell r="K2806" t="str">
            <v>220/380</v>
          </cell>
          <cell r="L2806">
            <v>50</v>
          </cell>
          <cell r="M2806" t="str">
            <v>3,2/1,84</v>
          </cell>
          <cell r="N2806">
            <v>65</v>
          </cell>
          <cell r="O2806" t="str">
            <v>155(F)</v>
          </cell>
          <cell r="P2806" t="str">
            <v>270°</v>
          </cell>
          <cell r="Q2806" t="str">
            <v>TF</v>
          </cell>
          <cell r="R2806" t="str">
            <v>-</v>
          </cell>
          <cell r="S2806" t="str">
            <v>-</v>
          </cell>
          <cell r="T2806" t="str">
            <v>-</v>
          </cell>
          <cell r="U2806" t="str">
            <v>T</v>
          </cell>
          <cell r="V2806" t="str">
            <v>D</v>
          </cell>
          <cell r="W2806" t="str">
            <v>-</v>
          </cell>
          <cell r="X2806" t="str">
            <v>CLP HC 220 (-25/+60°C)</v>
          </cell>
          <cell r="Y2806" t="str">
            <v>KA37/T DRN80M4 /TF</v>
          </cell>
          <cell r="Z2806" t="str">
            <v>SEW</v>
          </cell>
          <cell r="AB2806" t="str">
            <v>-</v>
          </cell>
          <cell r="AF2806">
            <v>162</v>
          </cell>
          <cell r="AG2806" t="str">
            <v>DRN80M4</v>
          </cell>
          <cell r="AH2806" t="str">
            <v>KA37T-DRN80M4A270-X</v>
          </cell>
        </row>
        <row r="2807">
          <cell r="A2807" t="str">
            <v>MR002795</v>
          </cell>
          <cell r="B2807" t="str">
            <v>MR</v>
          </cell>
          <cell r="C2807">
            <v>7.5</v>
          </cell>
          <cell r="D2807">
            <v>57</v>
          </cell>
          <cell r="E2807" t="str">
            <v>KH77</v>
          </cell>
          <cell r="F2807">
            <v>1240</v>
          </cell>
          <cell r="G2807">
            <v>25.62</v>
          </cell>
          <cell r="H2807">
            <v>1.25</v>
          </cell>
          <cell r="I2807" t="str">
            <v>From M1B to M4B - 70°</v>
          </cell>
          <cell r="J2807" t="str">
            <v>IE3</v>
          </cell>
          <cell r="K2807" t="str">
            <v>380/660</v>
          </cell>
          <cell r="L2807">
            <v>50</v>
          </cell>
          <cell r="M2807" t="str">
            <v>16/9,2</v>
          </cell>
          <cell r="N2807">
            <v>65</v>
          </cell>
          <cell r="O2807" t="str">
            <v>155(F)</v>
          </cell>
          <cell r="P2807" t="str">
            <v>270°</v>
          </cell>
          <cell r="Q2807" t="str">
            <v>TF</v>
          </cell>
          <cell r="R2807" t="str">
            <v>V(VE)</v>
          </cell>
          <cell r="S2807" t="str">
            <v>Free rotation CW</v>
          </cell>
          <cell r="T2807" t="str">
            <v>-</v>
          </cell>
          <cell r="U2807" t="str">
            <v>T</v>
          </cell>
          <cell r="V2807" t="str">
            <v>FC</v>
          </cell>
          <cell r="W2807" t="str">
            <v>-</v>
          </cell>
          <cell r="X2807" t="str">
            <v>CLP HC 220 (-25/+60°C)</v>
          </cell>
          <cell r="Y2807" t="str">
            <v>KH77/T DRN132M4 /RS /TF/V</v>
          </cell>
          <cell r="Z2807" t="str">
            <v>SEW</v>
          </cell>
          <cell r="AB2807" t="str">
            <v>-</v>
          </cell>
          <cell r="AF2807">
            <v>57</v>
          </cell>
          <cell r="AG2807" t="str">
            <v>DRN132M4</v>
          </cell>
          <cell r="AH2807" t="str">
            <v>KH77T-DRN132M4B270-X#</v>
          </cell>
        </row>
        <row r="2808">
          <cell r="A2808" t="str">
            <v>MR002796</v>
          </cell>
          <cell r="B2808" t="str">
            <v>MR</v>
          </cell>
          <cell r="C2808">
            <v>0.75</v>
          </cell>
          <cell r="D2808">
            <v>162</v>
          </cell>
          <cell r="E2808" t="str">
            <v>KA37</v>
          </cell>
          <cell r="F2808">
            <v>44</v>
          </cell>
          <cell r="G2808">
            <v>8.91</v>
          </cell>
          <cell r="H2808">
            <v>3.6</v>
          </cell>
          <cell r="I2808" t="str">
            <v>From M3 to M2A - 20°</v>
          </cell>
          <cell r="J2808" t="str">
            <v>IE3</v>
          </cell>
          <cell r="K2808" t="str">
            <v>220/380</v>
          </cell>
          <cell r="L2808">
            <v>50</v>
          </cell>
          <cell r="M2808" t="str">
            <v>3,2/1,84</v>
          </cell>
          <cell r="N2808">
            <v>65</v>
          </cell>
          <cell r="O2808" t="str">
            <v>155(F)</v>
          </cell>
          <cell r="P2808" t="str">
            <v>270°</v>
          </cell>
          <cell r="Q2808" t="str">
            <v>TF</v>
          </cell>
          <cell r="R2808" t="str">
            <v>-</v>
          </cell>
          <cell r="S2808" t="str">
            <v>-</v>
          </cell>
          <cell r="T2808" t="str">
            <v>-</v>
          </cell>
          <cell r="U2808" t="str">
            <v>T</v>
          </cell>
          <cell r="V2808" t="str">
            <v>D</v>
          </cell>
          <cell r="W2808" t="str">
            <v>-</v>
          </cell>
          <cell r="X2808" t="str">
            <v>CLP HC 220 (-25/+60°C)</v>
          </cell>
          <cell r="Y2808" t="str">
            <v>KA37/T DRN80M4 /TF</v>
          </cell>
          <cell r="Z2808" t="str">
            <v>SEW</v>
          </cell>
          <cell r="AB2808" t="str">
            <v>-</v>
          </cell>
          <cell r="AF2808">
            <v>162</v>
          </cell>
          <cell r="AG2808" t="str">
            <v>DRN80M4</v>
          </cell>
          <cell r="AH2808" t="str">
            <v>KA37T-DRN80M4A270-X</v>
          </cell>
        </row>
        <row r="2809">
          <cell r="A2809" t="str">
            <v>MR002797</v>
          </cell>
          <cell r="B2809" t="str">
            <v>MR</v>
          </cell>
          <cell r="C2809">
            <v>7.5</v>
          </cell>
          <cell r="D2809">
            <v>57</v>
          </cell>
          <cell r="E2809" t="str">
            <v>KH77</v>
          </cell>
          <cell r="F2809">
            <v>1240</v>
          </cell>
          <cell r="G2809">
            <v>25.62</v>
          </cell>
          <cell r="H2809">
            <v>1.25</v>
          </cell>
          <cell r="I2809" t="str">
            <v>From M1B to M4B - 75°</v>
          </cell>
          <cell r="J2809" t="str">
            <v>IE3</v>
          </cell>
          <cell r="K2809" t="str">
            <v>380/660</v>
          </cell>
          <cell r="L2809">
            <v>50</v>
          </cell>
          <cell r="M2809" t="str">
            <v>16/9,2</v>
          </cell>
          <cell r="N2809">
            <v>65</v>
          </cell>
          <cell r="O2809" t="str">
            <v>155(F)</v>
          </cell>
          <cell r="P2809" t="str">
            <v>270°</v>
          </cell>
          <cell r="Q2809" t="str">
            <v>TF</v>
          </cell>
          <cell r="R2809" t="str">
            <v>V(VE)</v>
          </cell>
          <cell r="S2809" t="str">
            <v>Free rotation CW</v>
          </cell>
          <cell r="T2809" t="str">
            <v>-</v>
          </cell>
          <cell r="U2809" t="str">
            <v>T</v>
          </cell>
          <cell r="V2809" t="str">
            <v>FC</v>
          </cell>
          <cell r="W2809" t="str">
            <v>-</v>
          </cell>
          <cell r="X2809" t="str">
            <v>CLP HC 220 (-25/+60°C)</v>
          </cell>
          <cell r="Y2809" t="str">
            <v>KH77/T DRN132M4 /RS /TF/V</v>
          </cell>
          <cell r="Z2809" t="str">
            <v>SEW</v>
          </cell>
          <cell r="AB2809" t="str">
            <v>-</v>
          </cell>
          <cell r="AF2809">
            <v>57</v>
          </cell>
          <cell r="AG2809" t="str">
            <v>DRN132M4</v>
          </cell>
          <cell r="AH2809" t="str">
            <v>KH77T-DRN132M4B270-X#</v>
          </cell>
        </row>
        <row r="2810">
          <cell r="A2810" t="str">
            <v>MR002798</v>
          </cell>
          <cell r="B2810" t="str">
            <v>MR</v>
          </cell>
          <cell r="C2810">
            <v>0.75</v>
          </cell>
          <cell r="D2810">
            <v>162</v>
          </cell>
          <cell r="E2810" t="str">
            <v>KA37</v>
          </cell>
          <cell r="F2810">
            <v>44</v>
          </cell>
          <cell r="G2810">
            <v>8.91</v>
          </cell>
          <cell r="H2810">
            <v>3.6</v>
          </cell>
          <cell r="I2810" t="str">
            <v>From M3A to M2A - 15°</v>
          </cell>
          <cell r="J2810" t="str">
            <v>IE3</v>
          </cell>
          <cell r="K2810" t="str">
            <v>220/380</v>
          </cell>
          <cell r="L2810">
            <v>50</v>
          </cell>
          <cell r="M2810" t="str">
            <v>3,2/1,84</v>
          </cell>
          <cell r="N2810">
            <v>65</v>
          </cell>
          <cell r="O2810" t="str">
            <v>155(F)</v>
          </cell>
          <cell r="P2810" t="str">
            <v>270°</v>
          </cell>
          <cell r="Q2810" t="str">
            <v>TF</v>
          </cell>
          <cell r="R2810" t="str">
            <v>-</v>
          </cell>
          <cell r="S2810" t="str">
            <v>-</v>
          </cell>
          <cell r="T2810" t="str">
            <v>-</v>
          </cell>
          <cell r="U2810" t="str">
            <v>T</v>
          </cell>
          <cell r="V2810" t="str">
            <v>D</v>
          </cell>
          <cell r="W2810" t="str">
            <v>-</v>
          </cell>
          <cell r="X2810" t="str">
            <v>CLP HC 220 (-25/+60°C)</v>
          </cell>
          <cell r="Y2810" t="str">
            <v>KA37/T DRN80M4 /TF</v>
          </cell>
          <cell r="Z2810" t="str">
            <v>SEW</v>
          </cell>
          <cell r="AB2810" t="str">
            <v>-</v>
          </cell>
          <cell r="AF2810">
            <v>162</v>
          </cell>
          <cell r="AG2810" t="str">
            <v>DRN80M4</v>
          </cell>
          <cell r="AH2810" t="str">
            <v>KA37T-DRN80M4A270-X</v>
          </cell>
        </row>
        <row r="2811">
          <cell r="A2811" t="str">
            <v>MR002799</v>
          </cell>
          <cell r="B2811" t="str">
            <v>MR</v>
          </cell>
          <cell r="C2811">
            <v>5.5</v>
          </cell>
          <cell r="D2811">
            <v>23</v>
          </cell>
          <cell r="E2811" t="str">
            <v>KH87</v>
          </cell>
          <cell r="F2811">
            <v>2260</v>
          </cell>
          <cell r="G2811">
            <v>63</v>
          </cell>
          <cell r="H2811">
            <v>1.2</v>
          </cell>
          <cell r="I2811" t="str">
            <v>M4A</v>
          </cell>
          <cell r="J2811" t="str">
            <v>IE3</v>
          </cell>
          <cell r="K2811" t="str">
            <v>220/380</v>
          </cell>
          <cell r="L2811">
            <v>50</v>
          </cell>
          <cell r="M2811" t="str">
            <v>19/11</v>
          </cell>
          <cell r="N2811">
            <v>65</v>
          </cell>
          <cell r="O2811" t="str">
            <v>155(F)</v>
          </cell>
          <cell r="P2811" t="str">
            <v>270°</v>
          </cell>
          <cell r="Q2811" t="str">
            <v>TF</v>
          </cell>
          <cell r="R2811" t="str">
            <v>V(VE)</v>
          </cell>
          <cell r="S2811" t="str">
            <v>-</v>
          </cell>
          <cell r="T2811" t="str">
            <v>-</v>
          </cell>
          <cell r="U2811" t="str">
            <v>T</v>
          </cell>
          <cell r="V2811" t="str">
            <v>FC</v>
          </cell>
          <cell r="W2811" t="str">
            <v>-</v>
          </cell>
          <cell r="X2811" t="str">
            <v>CLP HC 220 (-25/+60°C)</v>
          </cell>
          <cell r="Y2811" t="str">
            <v>KH87/T DRN132S4 /TF/V</v>
          </cell>
          <cell r="Z2811" t="str">
            <v>SEW</v>
          </cell>
          <cell r="AB2811" t="str">
            <v>-</v>
          </cell>
          <cell r="AF2811">
            <v>23</v>
          </cell>
          <cell r="AG2811" t="str">
            <v>DRN132S4</v>
          </cell>
          <cell r="AH2811" t="str">
            <v>KH87T-DRN132S4A270-X#</v>
          </cell>
        </row>
        <row r="2812">
          <cell r="A2812" t="str">
            <v>MR002800</v>
          </cell>
          <cell r="B2812" t="str">
            <v>MR</v>
          </cell>
          <cell r="C2812">
            <v>7.5</v>
          </cell>
          <cell r="D2812">
            <v>93</v>
          </cell>
          <cell r="E2812" t="str">
            <v>KH77</v>
          </cell>
          <cell r="F2812">
            <v>770</v>
          </cell>
          <cell r="G2812">
            <v>15.84</v>
          </cell>
          <cell r="H2812">
            <v>1.8</v>
          </cell>
          <cell r="I2812" t="str">
            <v>From M1B to M4B - 75°</v>
          </cell>
          <cell r="J2812" t="str">
            <v>IE3</v>
          </cell>
          <cell r="K2812" t="str">
            <v>380/660</v>
          </cell>
          <cell r="L2812">
            <v>50</v>
          </cell>
          <cell r="M2812" t="str">
            <v>16/9,2</v>
          </cell>
          <cell r="N2812">
            <v>65</v>
          </cell>
          <cell r="O2812" t="str">
            <v>155(F)</v>
          </cell>
          <cell r="P2812" t="str">
            <v>270°</v>
          </cell>
          <cell r="Q2812" t="str">
            <v>TF</v>
          </cell>
          <cell r="R2812" t="str">
            <v>-</v>
          </cell>
          <cell r="S2812" t="str">
            <v>Free rotation CW</v>
          </cell>
          <cell r="T2812" t="str">
            <v>-</v>
          </cell>
          <cell r="U2812" t="str">
            <v>T</v>
          </cell>
          <cell r="V2812" t="str">
            <v>SS</v>
          </cell>
          <cell r="W2812" t="str">
            <v>-</v>
          </cell>
          <cell r="X2812" t="str">
            <v>CLP HC 220 (-25/+60°C)</v>
          </cell>
          <cell r="Y2812" t="str">
            <v>KH77/T DRN132M4 /RS /TF</v>
          </cell>
          <cell r="Z2812" t="str">
            <v>SEW</v>
          </cell>
          <cell r="AB2812" t="str">
            <v>-</v>
          </cell>
          <cell r="AF2812">
            <v>93</v>
          </cell>
          <cell r="AG2812" t="str">
            <v>DRN132M4</v>
          </cell>
          <cell r="AH2812" t="str">
            <v>KH77T-DRN132M4B270-X</v>
          </cell>
        </row>
        <row r="2813">
          <cell r="A2813" t="str">
            <v>MR002801</v>
          </cell>
          <cell r="B2813" t="str">
            <v>MR</v>
          </cell>
          <cell r="C2813">
            <v>7.5</v>
          </cell>
          <cell r="D2813">
            <v>93</v>
          </cell>
          <cell r="E2813" t="str">
            <v>KH77</v>
          </cell>
          <cell r="F2813">
            <v>770</v>
          </cell>
          <cell r="G2813">
            <v>15.84</v>
          </cell>
          <cell r="H2813">
            <v>1.8</v>
          </cell>
          <cell r="I2813" t="str">
            <v>M4A</v>
          </cell>
          <cell r="J2813" t="str">
            <v>IE3</v>
          </cell>
          <cell r="K2813" t="str">
            <v>380/660</v>
          </cell>
          <cell r="L2813">
            <v>50</v>
          </cell>
          <cell r="M2813" t="str">
            <v>16/9,2</v>
          </cell>
          <cell r="N2813">
            <v>65</v>
          </cell>
          <cell r="O2813" t="str">
            <v>155(F)</v>
          </cell>
          <cell r="P2813" t="str">
            <v>270°</v>
          </cell>
          <cell r="Q2813" t="str">
            <v>TF</v>
          </cell>
          <cell r="R2813" t="str">
            <v>-</v>
          </cell>
          <cell r="S2813" t="str">
            <v>-</v>
          </cell>
          <cell r="T2813" t="str">
            <v>-</v>
          </cell>
          <cell r="U2813" t="str">
            <v>T</v>
          </cell>
          <cell r="V2813" t="str">
            <v>SS</v>
          </cell>
          <cell r="W2813" t="str">
            <v>-</v>
          </cell>
          <cell r="X2813" t="str">
            <v>CLP HC 220 (-25/+60°C)</v>
          </cell>
          <cell r="Y2813" t="str">
            <v>KH77/T DRN132M4 /TF</v>
          </cell>
          <cell r="Z2813" t="str">
            <v>SEW</v>
          </cell>
          <cell r="AB2813" t="str">
            <v>-</v>
          </cell>
          <cell r="AF2813">
            <v>93</v>
          </cell>
          <cell r="AG2813" t="str">
            <v>DRN132M4</v>
          </cell>
          <cell r="AH2813" t="str">
            <v>KH77T-DRN132M4A270-X</v>
          </cell>
        </row>
        <row r="2814">
          <cell r="A2814" t="str">
            <v>MR002802</v>
          </cell>
          <cell r="B2814" t="str">
            <v>MR</v>
          </cell>
          <cell r="C2814">
            <v>0.75</v>
          </cell>
          <cell r="D2814">
            <v>162</v>
          </cell>
          <cell r="E2814" t="str">
            <v>KA37</v>
          </cell>
          <cell r="F2814">
            <v>44</v>
          </cell>
          <cell r="G2814">
            <v>8.91</v>
          </cell>
          <cell r="H2814">
            <v>3.6</v>
          </cell>
          <cell r="I2814" t="str">
            <v>From M3B to M4B - 15°</v>
          </cell>
          <cell r="J2814" t="str">
            <v>IE3</v>
          </cell>
          <cell r="K2814" t="str">
            <v>220/380</v>
          </cell>
          <cell r="L2814">
            <v>50</v>
          </cell>
          <cell r="M2814" t="str">
            <v>3,2/1,84</v>
          </cell>
          <cell r="N2814">
            <v>65</v>
          </cell>
          <cell r="O2814" t="str">
            <v>155(F)</v>
          </cell>
          <cell r="P2814" t="str">
            <v>270°</v>
          </cell>
          <cell r="Q2814" t="str">
            <v>TF</v>
          </cell>
          <cell r="R2814" t="str">
            <v>-</v>
          </cell>
          <cell r="S2814" t="str">
            <v>-</v>
          </cell>
          <cell r="T2814" t="str">
            <v>-</v>
          </cell>
          <cell r="U2814" t="str">
            <v>T</v>
          </cell>
          <cell r="V2814" t="str">
            <v>D</v>
          </cell>
          <cell r="W2814" t="str">
            <v>-</v>
          </cell>
          <cell r="X2814" t="str">
            <v>CLP HC 220 (-25/+60°C)</v>
          </cell>
          <cell r="Y2814" t="str">
            <v>KA37/T DRN80M4 /TF</v>
          </cell>
          <cell r="Z2814" t="str">
            <v>SEW</v>
          </cell>
          <cell r="AB2814" t="str">
            <v>-</v>
          </cell>
          <cell r="AF2814">
            <v>162</v>
          </cell>
          <cell r="AG2814" t="str">
            <v>DRN80M4</v>
          </cell>
          <cell r="AH2814" t="str">
            <v>KA37T-DRN80M4B270-X</v>
          </cell>
        </row>
        <row r="2815">
          <cell r="A2815" t="str">
            <v>MR002803</v>
          </cell>
          <cell r="B2815" t="str">
            <v>MR</v>
          </cell>
          <cell r="C2815">
            <v>2.2000000000000002</v>
          </cell>
          <cell r="D2815">
            <v>95</v>
          </cell>
          <cell r="E2815" t="str">
            <v>KH67</v>
          </cell>
          <cell r="F2815">
            <v>220</v>
          </cell>
          <cell r="G2815">
            <v>15.19</v>
          </cell>
          <cell r="H2815">
            <v>3.2</v>
          </cell>
          <cell r="I2815" t="str">
            <v>From M1B to M4B - 15°</v>
          </cell>
          <cell r="J2815" t="str">
            <v>IE3</v>
          </cell>
          <cell r="K2815" t="str">
            <v>220/380</v>
          </cell>
          <cell r="L2815">
            <v>50</v>
          </cell>
          <cell r="M2815" t="str">
            <v>8,7/5</v>
          </cell>
          <cell r="N2815">
            <v>65</v>
          </cell>
          <cell r="O2815" t="str">
            <v>155(F)</v>
          </cell>
          <cell r="P2815" t="str">
            <v>270°</v>
          </cell>
          <cell r="Q2815" t="str">
            <v>TF</v>
          </cell>
          <cell r="R2815" t="str">
            <v>-</v>
          </cell>
          <cell r="S2815" t="str">
            <v>-</v>
          </cell>
          <cell r="T2815" t="str">
            <v>-</v>
          </cell>
          <cell r="U2815" t="str">
            <v>T</v>
          </cell>
          <cell r="V2815" t="str">
            <v>D</v>
          </cell>
          <cell r="W2815" t="str">
            <v>-</v>
          </cell>
          <cell r="X2815" t="str">
            <v>CLP HC 220 (-25/+60°C)</v>
          </cell>
          <cell r="Y2815" t="str">
            <v>KH67/T DRN100LS4 /TF</v>
          </cell>
          <cell r="Z2815" t="str">
            <v>SEW</v>
          </cell>
          <cell r="AB2815" t="str">
            <v>-</v>
          </cell>
          <cell r="AF2815">
            <v>95</v>
          </cell>
          <cell r="AG2815" t="str">
            <v>DRN100LS4</v>
          </cell>
          <cell r="AH2815" t="str">
            <v>KH67T-DRN100LS4B270-X</v>
          </cell>
        </row>
        <row r="2816">
          <cell r="A2816" t="str">
            <v>MR002804</v>
          </cell>
          <cell r="B2816" t="str">
            <v>MR</v>
          </cell>
          <cell r="C2816">
            <v>7.5</v>
          </cell>
          <cell r="D2816">
            <v>63</v>
          </cell>
          <cell r="E2816" t="str">
            <v>R87</v>
          </cell>
          <cell r="F2816">
            <v>1140</v>
          </cell>
          <cell r="G2816">
            <v>23.4</v>
          </cell>
          <cell r="H2816">
            <v>1.35</v>
          </cell>
          <cell r="I2816" t="str">
            <v>M1</v>
          </cell>
          <cell r="J2816" t="str">
            <v>IE3</v>
          </cell>
          <cell r="K2816" t="str">
            <v>380/660</v>
          </cell>
          <cell r="L2816">
            <v>50</v>
          </cell>
          <cell r="M2816" t="str">
            <v>16/9,2</v>
          </cell>
          <cell r="N2816">
            <v>65</v>
          </cell>
          <cell r="O2816" t="str">
            <v>155(F)</v>
          </cell>
          <cell r="P2816" t="str">
            <v>270°</v>
          </cell>
          <cell r="Q2816" t="str">
            <v>TF</v>
          </cell>
          <cell r="R2816" t="str">
            <v>-</v>
          </cell>
          <cell r="S2816" t="str">
            <v>-</v>
          </cell>
          <cell r="T2816" t="str">
            <v>-</v>
          </cell>
          <cell r="U2816" t="str">
            <v>-</v>
          </cell>
          <cell r="V2816" t="str">
            <v>D</v>
          </cell>
          <cell r="W2816" t="str">
            <v>-</v>
          </cell>
          <cell r="X2816" t="str">
            <v>CLP HC 220 (-25/+60°C)</v>
          </cell>
          <cell r="Y2816" t="str">
            <v>R87DRN132M4 /TF</v>
          </cell>
          <cell r="Z2816" t="str">
            <v>SEW</v>
          </cell>
          <cell r="AB2816" t="str">
            <v>-</v>
          </cell>
          <cell r="AF2816">
            <v>63</v>
          </cell>
          <cell r="AG2816" t="str">
            <v>DRN132M4</v>
          </cell>
          <cell r="AH2816" t="str">
            <v>R87-DRN132M4270-X</v>
          </cell>
        </row>
        <row r="2817">
          <cell r="A2817" t="str">
            <v>MR002805</v>
          </cell>
          <cell r="B2817" t="str">
            <v>MR</v>
          </cell>
          <cell r="C2817">
            <v>5.5</v>
          </cell>
          <cell r="D2817">
            <v>62</v>
          </cell>
          <cell r="E2817" t="str">
            <v>R87</v>
          </cell>
          <cell r="F2817">
            <v>840</v>
          </cell>
          <cell r="G2817">
            <v>23.4</v>
          </cell>
          <cell r="H2817">
            <v>1.85</v>
          </cell>
          <cell r="I2817" t="str">
            <v>From M1 to M2 - 10°</v>
          </cell>
          <cell r="J2817" t="str">
            <v>IE3</v>
          </cell>
          <cell r="K2817" t="str">
            <v>220/380</v>
          </cell>
          <cell r="L2817">
            <v>50</v>
          </cell>
          <cell r="M2817" t="str">
            <v>19/11</v>
          </cell>
          <cell r="N2817">
            <v>65</v>
          </cell>
          <cell r="O2817" t="str">
            <v>155(F)</v>
          </cell>
          <cell r="P2817" t="str">
            <v>270°</v>
          </cell>
          <cell r="Q2817" t="str">
            <v>TF</v>
          </cell>
          <cell r="R2817" t="str">
            <v>V(VE)</v>
          </cell>
          <cell r="S2817" t="str">
            <v>-</v>
          </cell>
          <cell r="T2817" t="str">
            <v>-</v>
          </cell>
          <cell r="U2817" t="str">
            <v>-</v>
          </cell>
          <cell r="V2817" t="str">
            <v>FC</v>
          </cell>
          <cell r="W2817" t="str">
            <v>-</v>
          </cell>
          <cell r="X2817" t="str">
            <v>CLP HC 220 (-25/+60°C)</v>
          </cell>
          <cell r="Y2817" t="str">
            <v>R87DRN132S4 /TF/V</v>
          </cell>
          <cell r="Z2817" t="str">
            <v>SEW</v>
          </cell>
          <cell r="AB2817" t="str">
            <v>-</v>
          </cell>
          <cell r="AF2817">
            <v>62</v>
          </cell>
          <cell r="AG2817" t="str">
            <v>DRN132S4</v>
          </cell>
          <cell r="AH2817" t="str">
            <v>R87-DRN132S4270-X#</v>
          </cell>
        </row>
        <row r="2818">
          <cell r="A2818" t="str">
            <v>MR002806</v>
          </cell>
          <cell r="B2818" t="str">
            <v>MR</v>
          </cell>
          <cell r="C2818">
            <v>2.2000000000000002</v>
          </cell>
          <cell r="D2818">
            <v>57</v>
          </cell>
          <cell r="E2818" t="str">
            <v>FH77</v>
          </cell>
          <cell r="F2818">
            <v>365</v>
          </cell>
          <cell r="G2818">
            <v>25.5</v>
          </cell>
          <cell r="H2818">
            <v>4.0999999999999996</v>
          </cell>
          <cell r="I2818" t="str">
            <v>M1</v>
          </cell>
          <cell r="J2818" t="str">
            <v>IE3</v>
          </cell>
          <cell r="K2818" t="str">
            <v>230/400</v>
          </cell>
          <cell r="L2818">
            <v>50</v>
          </cell>
          <cell r="M2818" t="str">
            <v>8,3/4,75</v>
          </cell>
          <cell r="N2818">
            <v>65</v>
          </cell>
          <cell r="O2818" t="str">
            <v>155(F)</v>
          </cell>
          <cell r="P2818" t="str">
            <v>270°</v>
          </cell>
          <cell r="Q2818" t="str">
            <v>-</v>
          </cell>
          <cell r="R2818" t="str">
            <v>-</v>
          </cell>
          <cell r="S2818" t="str">
            <v>-</v>
          </cell>
          <cell r="T2818" t="str">
            <v>-</v>
          </cell>
          <cell r="U2818" t="str">
            <v>G</v>
          </cell>
          <cell r="V2818" t="str">
            <v>D</v>
          </cell>
          <cell r="W2818" t="str">
            <v>-</v>
          </cell>
          <cell r="X2818" t="str">
            <v>CLP 220 (-15/+40°C)</v>
          </cell>
          <cell r="Y2818" t="str">
            <v>FH77/G DRN100LS4</v>
          </cell>
          <cell r="Z2818" t="str">
            <v>SEW</v>
          </cell>
          <cell r="AB2818" t="str">
            <v>-</v>
          </cell>
          <cell r="AF2818">
            <v>57</v>
          </cell>
          <cell r="AG2818" t="str">
            <v>DRN100LS4</v>
          </cell>
          <cell r="AH2818" t="str">
            <v>FH77G-DRN100LS4270-X</v>
          </cell>
        </row>
        <row r="2819">
          <cell r="A2819" t="str">
            <v>MR002807</v>
          </cell>
          <cell r="B2819" t="str">
            <v>MR</v>
          </cell>
          <cell r="C2819">
            <v>30</v>
          </cell>
          <cell r="D2819">
            <v>16</v>
          </cell>
          <cell r="E2819" t="str">
            <v>KH157</v>
          </cell>
          <cell r="F2819">
            <v>17700</v>
          </cell>
          <cell r="G2819">
            <v>91.65</v>
          </cell>
          <cell r="H2819">
            <v>1</v>
          </cell>
          <cell r="I2819" t="str">
            <v>From M1A to M4A - 70°</v>
          </cell>
          <cell r="J2819" t="str">
            <v>IE3</v>
          </cell>
          <cell r="K2819" t="str">
            <v>400/690</v>
          </cell>
          <cell r="L2819">
            <v>50</v>
          </cell>
          <cell r="M2819" t="str">
            <v>56/32,5</v>
          </cell>
          <cell r="N2819">
            <v>65</v>
          </cell>
          <cell r="O2819" t="str">
            <v>155(F)</v>
          </cell>
          <cell r="P2819" t="str">
            <v>270°</v>
          </cell>
          <cell r="Q2819" t="str">
            <v>TF</v>
          </cell>
          <cell r="R2819" t="str">
            <v>230/400V</v>
          </cell>
          <cell r="S2819" t="str">
            <v>-</v>
          </cell>
          <cell r="T2819" t="str">
            <v>-</v>
          </cell>
          <cell r="U2819" t="str">
            <v>-</v>
          </cell>
          <cell r="V2819" t="str">
            <v>FC</v>
          </cell>
          <cell r="W2819" t="str">
            <v>-</v>
          </cell>
          <cell r="X2819" t="str">
            <v>CLP HC 220 (-25/+60°C)</v>
          </cell>
          <cell r="Y2819" t="str">
            <v>KH157EDRN200L4 /TF/VE/C</v>
          </cell>
          <cell r="Z2819" t="str">
            <v>SEW</v>
          </cell>
          <cell r="AB2819" t="str">
            <v>ATEX22</v>
          </cell>
          <cell r="AE2819" t="str">
            <v>Work frequency: 44Hz - constant work speed; Superficial protection OS2/C3: IK8; canopy C</v>
          </cell>
          <cell r="AF2819">
            <v>16</v>
          </cell>
          <cell r="AG2819" t="str">
            <v>EDRN200L4</v>
          </cell>
          <cell r="AH2819" t="str">
            <v>KH157-EDRN200L4A270-X#</v>
          </cell>
        </row>
        <row r="2820">
          <cell r="A2820" t="str">
            <v>MR002808</v>
          </cell>
          <cell r="B2820" t="str">
            <v>MR</v>
          </cell>
          <cell r="C2820">
            <v>30</v>
          </cell>
          <cell r="D2820">
            <v>16</v>
          </cell>
          <cell r="E2820" t="str">
            <v>KH157</v>
          </cell>
          <cell r="F2820">
            <v>17700</v>
          </cell>
          <cell r="G2820">
            <v>91.65</v>
          </cell>
          <cell r="H2820">
            <v>1</v>
          </cell>
          <cell r="I2820" t="str">
            <v>From M1B to M4B - 70°</v>
          </cell>
          <cell r="J2820" t="str">
            <v>IE3</v>
          </cell>
          <cell r="K2820" t="str">
            <v>400/690</v>
          </cell>
          <cell r="L2820">
            <v>50</v>
          </cell>
          <cell r="M2820" t="str">
            <v>56/32,5</v>
          </cell>
          <cell r="N2820">
            <v>65</v>
          </cell>
          <cell r="O2820" t="str">
            <v>155(F)</v>
          </cell>
          <cell r="P2820" t="str">
            <v>270°</v>
          </cell>
          <cell r="Q2820" t="str">
            <v>TF</v>
          </cell>
          <cell r="R2820" t="str">
            <v>230/400V</v>
          </cell>
          <cell r="S2820" t="str">
            <v>-</v>
          </cell>
          <cell r="T2820" t="str">
            <v>-</v>
          </cell>
          <cell r="U2820" t="str">
            <v>-</v>
          </cell>
          <cell r="V2820" t="str">
            <v>FC</v>
          </cell>
          <cell r="W2820" t="str">
            <v>-</v>
          </cell>
          <cell r="X2820" t="str">
            <v>CLP HC 220 (-25/+60°C)</v>
          </cell>
          <cell r="Y2820" t="str">
            <v>KH157EDRN200L4 /TF/VE/C</v>
          </cell>
          <cell r="Z2820" t="str">
            <v>SEW</v>
          </cell>
          <cell r="AB2820" t="str">
            <v>ATEX22</v>
          </cell>
          <cell r="AE2820" t="str">
            <v>Work frequency: 44Hz - constant work speed; Superficial protection OS2/C3: IK8; canopy C</v>
          </cell>
          <cell r="AF2820">
            <v>16</v>
          </cell>
          <cell r="AG2820" t="str">
            <v>EDRN200L4</v>
          </cell>
          <cell r="AH2820" t="str">
            <v>KH157-EDRN200L4B270-X#</v>
          </cell>
        </row>
        <row r="2821">
          <cell r="A2821" t="str">
            <v>MR002809</v>
          </cell>
          <cell r="B2821" t="str">
            <v>MR</v>
          </cell>
          <cell r="C2821">
            <v>1.5</v>
          </cell>
          <cell r="D2821">
            <v>22</v>
          </cell>
          <cell r="E2821" t="str">
            <v>FA67</v>
          </cell>
          <cell r="F2821">
            <v>665</v>
          </cell>
          <cell r="G2821">
            <v>67.650000000000006</v>
          </cell>
          <cell r="H2821">
            <v>1.1499999999999999</v>
          </cell>
          <cell r="I2821" t="str">
            <v>From M5 to M4 - 55°</v>
          </cell>
          <cell r="J2821" t="str">
            <v>IE3</v>
          </cell>
          <cell r="K2821" t="str">
            <v>230/400</v>
          </cell>
          <cell r="L2821">
            <v>50</v>
          </cell>
          <cell r="M2821" t="str">
            <v>5,9/3,4</v>
          </cell>
          <cell r="N2821">
            <v>65</v>
          </cell>
          <cell r="O2821" t="str">
            <v>155(F)</v>
          </cell>
          <cell r="P2821" t="str">
            <v>270°</v>
          </cell>
          <cell r="Q2821" t="str">
            <v>TF</v>
          </cell>
          <cell r="R2821" t="str">
            <v>-</v>
          </cell>
          <cell r="S2821" t="str">
            <v>-</v>
          </cell>
          <cell r="T2821" t="str">
            <v>-</v>
          </cell>
          <cell r="U2821" t="str">
            <v>G</v>
          </cell>
          <cell r="V2821" t="str">
            <v>D+R</v>
          </cell>
          <cell r="W2821" t="str">
            <v>-</v>
          </cell>
          <cell r="X2821" t="str">
            <v>CLP HC 220 (-25/+60°C)</v>
          </cell>
          <cell r="Y2821" t="str">
            <v>FA67/G EDRN90L4 /TF/C</v>
          </cell>
          <cell r="Z2821" t="str">
            <v>SEW</v>
          </cell>
          <cell r="AB2821" t="str">
            <v>ATEX22</v>
          </cell>
          <cell r="AE2821" t="str">
            <v>Superficial protection OS2/C3: IK8; canopy C</v>
          </cell>
          <cell r="AF2821">
            <v>22</v>
          </cell>
          <cell r="AG2821" t="str">
            <v>EDRN90L4</v>
          </cell>
          <cell r="AH2821" t="str">
            <v>FA67G-EDRN90L4270-X</v>
          </cell>
        </row>
        <row r="2822">
          <cell r="A2822" t="str">
            <v>MR002810</v>
          </cell>
          <cell r="B2822" t="str">
            <v>MR</v>
          </cell>
          <cell r="C2822">
            <v>15</v>
          </cell>
          <cell r="D2822">
            <v>18</v>
          </cell>
          <cell r="E2822" t="str">
            <v>KH127</v>
          </cell>
          <cell r="F2822">
            <v>7970</v>
          </cell>
          <cell r="G2822">
            <v>81.98</v>
          </cell>
          <cell r="H2822">
            <v>1.65</v>
          </cell>
          <cell r="I2822" t="str">
            <v>From M1B to M4B - 60°</v>
          </cell>
          <cell r="J2822" t="str">
            <v>IE3</v>
          </cell>
          <cell r="K2822" t="str">
            <v>400/690</v>
          </cell>
          <cell r="L2822">
            <v>50</v>
          </cell>
          <cell r="M2822" t="str">
            <v>29/16,7</v>
          </cell>
          <cell r="N2822">
            <v>65</v>
          </cell>
          <cell r="O2822" t="str">
            <v>155(F)</v>
          </cell>
          <cell r="P2822" t="str">
            <v>270°</v>
          </cell>
          <cell r="Q2822" t="str">
            <v>TF</v>
          </cell>
          <cell r="R2822" t="str">
            <v>230/400V</v>
          </cell>
          <cell r="S2822" t="str">
            <v>-</v>
          </cell>
          <cell r="T2822" t="str">
            <v>-</v>
          </cell>
          <cell r="U2822" t="str">
            <v>-</v>
          </cell>
          <cell r="V2822" t="str">
            <v>FC</v>
          </cell>
          <cell r="W2822" t="str">
            <v>-</v>
          </cell>
          <cell r="X2822" t="str">
            <v>CLP HC 220 (-25/+60°C)</v>
          </cell>
          <cell r="Y2822" t="str">
            <v>KH127EDRN160L4 /TF/VE/C</v>
          </cell>
          <cell r="Z2822" t="str">
            <v>SEW</v>
          </cell>
          <cell r="AB2822" t="str">
            <v>ATEX22</v>
          </cell>
          <cell r="AE2822" t="str">
            <v>Work frequency: 50Hz - constant work speed; Superficial protection OS2/C3: IK8; canopy C</v>
          </cell>
          <cell r="AF2822">
            <v>18</v>
          </cell>
          <cell r="AG2822" t="str">
            <v>EDRN160L4</v>
          </cell>
          <cell r="AH2822" t="str">
            <v>KH127-EDRN160L4B270-X#</v>
          </cell>
        </row>
        <row r="2823">
          <cell r="A2823" t="str">
            <v>MR002811</v>
          </cell>
          <cell r="B2823" t="str">
            <v>MR</v>
          </cell>
          <cell r="C2823">
            <v>1.5</v>
          </cell>
          <cell r="D2823">
            <v>1.1000000000000001</v>
          </cell>
          <cell r="E2823" t="str">
            <v>KH127R77</v>
          </cell>
          <cell r="F2823">
            <v>12100</v>
          </cell>
          <cell r="G2823">
            <v>1342</v>
          </cell>
          <cell r="H2823">
            <v>1.1000000000000001</v>
          </cell>
          <cell r="I2823" t="str">
            <v>From M4A to M1A-25°</v>
          </cell>
          <cell r="J2823" t="str">
            <v>IE3</v>
          </cell>
          <cell r="K2823" t="str">
            <v>230/400</v>
          </cell>
          <cell r="L2823">
            <v>50</v>
          </cell>
          <cell r="M2823" t="str">
            <v>6,1/3,5</v>
          </cell>
          <cell r="N2823">
            <v>65</v>
          </cell>
          <cell r="O2823" t="str">
            <v>155(F)</v>
          </cell>
          <cell r="P2823" t="str">
            <v>270°</v>
          </cell>
          <cell r="Q2823" t="str">
            <v>TF</v>
          </cell>
          <cell r="R2823" t="str">
            <v>V(VE)</v>
          </cell>
          <cell r="S2823" t="str">
            <v>-</v>
          </cell>
          <cell r="T2823" t="str">
            <v>-</v>
          </cell>
          <cell r="U2823" t="str">
            <v>T</v>
          </cell>
          <cell r="V2823" t="str">
            <v>FC</v>
          </cell>
          <cell r="W2823" t="str">
            <v>-</v>
          </cell>
          <cell r="X2823" t="str">
            <v>CLP HC 220 (-25/+60°C)</v>
          </cell>
          <cell r="Y2823" t="str">
            <v>KH127R77/T EDRN90L4 /TF/VE</v>
          </cell>
          <cell r="Z2823" t="str">
            <v>SEW</v>
          </cell>
          <cell r="AB2823" t="str">
            <v>ATEX22</v>
          </cell>
          <cell r="AF2823">
            <v>1.1000000000000001</v>
          </cell>
          <cell r="AG2823" t="str">
            <v>EDRN90L4</v>
          </cell>
          <cell r="AH2823" t="str">
            <v>KH127R77T-EDRN90L4A270-X#</v>
          </cell>
        </row>
        <row r="2824">
          <cell r="A2824" t="str">
            <v>MR002812</v>
          </cell>
          <cell r="B2824" t="str">
            <v>MR</v>
          </cell>
          <cell r="C2824">
            <v>11</v>
          </cell>
          <cell r="D2824">
            <v>15</v>
          </cell>
          <cell r="E2824" t="str">
            <v>KH107</v>
          </cell>
          <cell r="F2824">
            <v>7180</v>
          </cell>
          <cell r="G2824">
            <v>100.75</v>
          </cell>
          <cell r="H2824">
            <v>1.05</v>
          </cell>
          <cell r="I2824" t="str">
            <v>M1A</v>
          </cell>
          <cell r="J2824" t="str">
            <v>IE3</v>
          </cell>
          <cell r="K2824" t="str">
            <v>400/690</v>
          </cell>
          <cell r="L2824">
            <v>50</v>
          </cell>
          <cell r="M2824" t="str">
            <v>21,5/12,4</v>
          </cell>
          <cell r="N2824">
            <v>55</v>
          </cell>
          <cell r="O2824" t="str">
            <v>155(F)</v>
          </cell>
          <cell r="P2824" t="str">
            <v>270°</v>
          </cell>
          <cell r="Q2824" t="str">
            <v>-</v>
          </cell>
          <cell r="R2824" t="str">
            <v>-</v>
          </cell>
          <cell r="S2824" t="str">
            <v>-</v>
          </cell>
          <cell r="T2824" t="str">
            <v>-</v>
          </cell>
          <cell r="U2824" t="str">
            <v>-</v>
          </cell>
          <cell r="V2824" t="str">
            <v>SS</v>
          </cell>
          <cell r="W2824" t="str">
            <v>-</v>
          </cell>
          <cell r="X2824" t="str">
            <v>CLP HC 220 (-25/+60°C)</v>
          </cell>
          <cell r="Y2824" t="str">
            <v>KH107EDRN160M4</v>
          </cell>
          <cell r="Z2824" t="str">
            <v>SEW</v>
          </cell>
          <cell r="AB2824" t="str">
            <v>ATEX22</v>
          </cell>
          <cell r="AF2824">
            <v>15</v>
          </cell>
          <cell r="AG2824" t="str">
            <v>EDRN160M4</v>
          </cell>
          <cell r="AH2824" t="str">
            <v>KH107-EDRN160M4A270-X</v>
          </cell>
        </row>
        <row r="2825">
          <cell r="A2825" t="str">
            <v>MR002813</v>
          </cell>
          <cell r="B2825" t="str">
            <v>MR</v>
          </cell>
          <cell r="C2825">
            <v>5.5</v>
          </cell>
          <cell r="D2825">
            <v>14</v>
          </cell>
          <cell r="E2825" t="str">
            <v>KH97</v>
          </cell>
          <cell r="F2825">
            <v>3770</v>
          </cell>
          <cell r="G2825">
            <v>105.13</v>
          </cell>
          <cell r="H2825">
            <v>1.1000000000000001</v>
          </cell>
          <cell r="I2825" t="str">
            <v>From M1A to M2A - 30°</v>
          </cell>
          <cell r="J2825" t="str">
            <v>IE3</v>
          </cell>
          <cell r="K2825" t="str">
            <v>230/400</v>
          </cell>
          <cell r="L2825">
            <v>50</v>
          </cell>
          <cell r="M2825" t="str">
            <v>18,2/10,5</v>
          </cell>
          <cell r="N2825">
            <v>55</v>
          </cell>
          <cell r="O2825" t="str">
            <v>155(F)</v>
          </cell>
          <cell r="P2825" t="str">
            <v>270°</v>
          </cell>
          <cell r="Q2825" t="str">
            <v>-</v>
          </cell>
          <cell r="R2825" t="str">
            <v>-</v>
          </cell>
          <cell r="S2825" t="str">
            <v>-</v>
          </cell>
          <cell r="T2825" t="str">
            <v>-</v>
          </cell>
          <cell r="U2825" t="str">
            <v>-</v>
          </cell>
          <cell r="V2825" t="str">
            <v>SS</v>
          </cell>
          <cell r="W2825" t="str">
            <v>-</v>
          </cell>
          <cell r="X2825" t="str">
            <v>CLP HC 220 (-25/+60°C)</v>
          </cell>
          <cell r="Y2825" t="str">
            <v>KH97EDRN132S4</v>
          </cell>
          <cell r="Z2825" t="str">
            <v>SEW</v>
          </cell>
          <cell r="AB2825" t="str">
            <v>ATEX22</v>
          </cell>
          <cell r="AF2825">
            <v>14</v>
          </cell>
          <cell r="AG2825" t="str">
            <v>EDRN132S4</v>
          </cell>
          <cell r="AH2825" t="str">
            <v>KH97-EDRN132S4A270-X</v>
          </cell>
        </row>
        <row r="2826">
          <cell r="A2826" t="str">
            <v>MR002814</v>
          </cell>
          <cell r="B2826" t="str">
            <v>MR</v>
          </cell>
          <cell r="C2826">
            <v>11</v>
          </cell>
          <cell r="D2826">
            <v>15</v>
          </cell>
          <cell r="E2826" t="str">
            <v>KH107</v>
          </cell>
          <cell r="F2826">
            <v>7180</v>
          </cell>
          <cell r="G2826">
            <v>100.75</v>
          </cell>
          <cell r="H2826">
            <v>1.05</v>
          </cell>
          <cell r="I2826" t="str">
            <v>M1B</v>
          </cell>
          <cell r="J2826" t="str">
            <v>IE3</v>
          </cell>
          <cell r="K2826" t="str">
            <v>400/690</v>
          </cell>
          <cell r="L2826">
            <v>50</v>
          </cell>
          <cell r="M2826" t="str">
            <v>21,5/12,4</v>
          </cell>
          <cell r="N2826">
            <v>55</v>
          </cell>
          <cell r="O2826" t="str">
            <v>155(F)</v>
          </cell>
          <cell r="P2826" t="str">
            <v>270°</v>
          </cell>
          <cell r="Q2826" t="str">
            <v>-</v>
          </cell>
          <cell r="R2826" t="str">
            <v>-</v>
          </cell>
          <cell r="S2826" t="str">
            <v>-</v>
          </cell>
          <cell r="T2826" t="str">
            <v>-</v>
          </cell>
          <cell r="U2826" t="str">
            <v>-</v>
          </cell>
          <cell r="V2826" t="str">
            <v>SS</v>
          </cell>
          <cell r="W2826" t="str">
            <v>-</v>
          </cell>
          <cell r="X2826" t="str">
            <v>CLP HC 220 (-25/+60°C)</v>
          </cell>
          <cell r="Y2826" t="str">
            <v>KH107EDRN160M4</v>
          </cell>
          <cell r="Z2826" t="str">
            <v>SEW</v>
          </cell>
          <cell r="AB2826" t="str">
            <v>ATEX22</v>
          </cell>
          <cell r="AF2826">
            <v>15</v>
          </cell>
          <cell r="AG2826" t="str">
            <v>EDRN160M4</v>
          </cell>
          <cell r="AH2826" t="str">
            <v>KH107-EDRN160M4B270-X</v>
          </cell>
        </row>
        <row r="2827">
          <cell r="A2827" t="str">
            <v>MR002815</v>
          </cell>
          <cell r="B2827" t="str">
            <v>MR</v>
          </cell>
          <cell r="C2827">
            <v>22</v>
          </cell>
          <cell r="D2827">
            <v>12</v>
          </cell>
          <cell r="E2827" t="str">
            <v>KH157</v>
          </cell>
          <cell r="F2827">
            <v>17400</v>
          </cell>
          <cell r="G2827">
            <v>122.39</v>
          </cell>
          <cell r="H2827">
            <v>1.1499999999999999</v>
          </cell>
          <cell r="I2827" t="str">
            <v>From M1A to M2A - 40°</v>
          </cell>
          <cell r="J2827" t="str">
            <v>IE3</v>
          </cell>
          <cell r="K2827" t="str">
            <v>230/400</v>
          </cell>
          <cell r="L2827">
            <v>50</v>
          </cell>
          <cell r="M2827" t="str">
            <v>67/38,5</v>
          </cell>
          <cell r="N2827">
            <v>55</v>
          </cell>
          <cell r="O2827" t="str">
            <v>155(F)</v>
          </cell>
          <cell r="P2827" t="str">
            <v>180°</v>
          </cell>
          <cell r="Q2827" t="str">
            <v>TF</v>
          </cell>
          <cell r="R2827" t="str">
            <v>V(VE)</v>
          </cell>
          <cell r="S2827" t="str">
            <v>-</v>
          </cell>
          <cell r="T2827" t="str">
            <v>-</v>
          </cell>
          <cell r="U2827" t="str">
            <v>-</v>
          </cell>
          <cell r="V2827" t="str">
            <v>FC</v>
          </cell>
          <cell r="W2827" t="str">
            <v>-</v>
          </cell>
          <cell r="X2827" t="str">
            <v>CLP 220 (-15/+40°C)</v>
          </cell>
          <cell r="Y2827" t="str">
            <v>KH157DRN180L4 /TF/V</v>
          </cell>
          <cell r="Z2827" t="str">
            <v>SEW</v>
          </cell>
          <cell r="AB2827" t="str">
            <v>-</v>
          </cell>
          <cell r="AF2827">
            <v>12</v>
          </cell>
          <cell r="AG2827" t="str">
            <v>DRN180L4</v>
          </cell>
          <cell r="AH2827" t="str">
            <v>KH157-DRN180L4A180-X#</v>
          </cell>
        </row>
        <row r="2828">
          <cell r="A2828" t="str">
            <v>MR002816</v>
          </cell>
          <cell r="B2828" t="str">
            <v>MR</v>
          </cell>
          <cell r="C2828">
            <v>15</v>
          </cell>
          <cell r="D2828">
            <v>12</v>
          </cell>
          <cell r="E2828" t="str">
            <v>KH127</v>
          </cell>
          <cell r="F2828">
            <v>11900</v>
          </cell>
          <cell r="G2828">
            <v>122.48</v>
          </cell>
          <cell r="H2828">
            <v>1.1000000000000001</v>
          </cell>
          <cell r="I2828" t="str">
            <v>From M1A to M2A - 20°</v>
          </cell>
          <cell r="J2828" t="str">
            <v>IE3</v>
          </cell>
          <cell r="K2828" t="str">
            <v>230/400</v>
          </cell>
          <cell r="L2828">
            <v>50</v>
          </cell>
          <cell r="M2828" t="str">
            <v>50/29</v>
          </cell>
          <cell r="N2828">
            <v>55</v>
          </cell>
          <cell r="O2828" t="str">
            <v>155(F)</v>
          </cell>
          <cell r="P2828" t="str">
            <v>180°</v>
          </cell>
          <cell r="Q2828" t="str">
            <v>TF</v>
          </cell>
          <cell r="R2828" t="str">
            <v>V(VE)</v>
          </cell>
          <cell r="S2828" t="str">
            <v>-</v>
          </cell>
          <cell r="T2828" t="str">
            <v>-</v>
          </cell>
          <cell r="U2828" t="str">
            <v>-</v>
          </cell>
          <cell r="V2828" t="str">
            <v>FC</v>
          </cell>
          <cell r="W2828" t="str">
            <v>-</v>
          </cell>
          <cell r="X2828" t="str">
            <v>CLP 220 (-15/+40°C)</v>
          </cell>
          <cell r="Y2828" t="str">
            <v>KH127DRN160L4 /TF/V</v>
          </cell>
          <cell r="Z2828" t="str">
            <v>SEW</v>
          </cell>
          <cell r="AB2828" t="str">
            <v>-</v>
          </cell>
          <cell r="AF2828">
            <v>12</v>
          </cell>
          <cell r="AG2828" t="str">
            <v>DRN160L4</v>
          </cell>
          <cell r="AH2828" t="str">
            <v>KH127-DRN160L4A180-X#</v>
          </cell>
        </row>
        <row r="2829">
          <cell r="A2829" t="str">
            <v>MR002817</v>
          </cell>
          <cell r="B2829" t="str">
            <v>MR</v>
          </cell>
          <cell r="C2829">
            <v>15</v>
          </cell>
          <cell r="D2829">
            <v>12</v>
          </cell>
          <cell r="E2829" t="str">
            <v>KH127</v>
          </cell>
          <cell r="F2829">
            <v>11900</v>
          </cell>
          <cell r="G2829">
            <v>122.48</v>
          </cell>
          <cell r="H2829">
            <v>1.1000000000000001</v>
          </cell>
          <cell r="I2829" t="str">
            <v>From M1B to M2B - 20°</v>
          </cell>
          <cell r="J2829" t="str">
            <v>IE3</v>
          </cell>
          <cell r="K2829" t="str">
            <v>230/400</v>
          </cell>
          <cell r="L2829">
            <v>50</v>
          </cell>
          <cell r="M2829" t="str">
            <v>50/29</v>
          </cell>
          <cell r="N2829">
            <v>55</v>
          </cell>
          <cell r="O2829" t="str">
            <v>155(F)</v>
          </cell>
          <cell r="P2829" t="str">
            <v>0°</v>
          </cell>
          <cell r="Q2829" t="str">
            <v>TF</v>
          </cell>
          <cell r="R2829" t="str">
            <v>V(VE)</v>
          </cell>
          <cell r="S2829" t="str">
            <v>-</v>
          </cell>
          <cell r="T2829" t="str">
            <v>-</v>
          </cell>
          <cell r="U2829" t="str">
            <v>-</v>
          </cell>
          <cell r="V2829" t="str">
            <v>FC</v>
          </cell>
          <cell r="W2829" t="str">
            <v>-</v>
          </cell>
          <cell r="X2829" t="str">
            <v>CLP 220 (-15/+40°C)</v>
          </cell>
          <cell r="Y2829" t="str">
            <v>KH127DRN160L4 /TF/V</v>
          </cell>
          <cell r="Z2829" t="str">
            <v>SEW</v>
          </cell>
          <cell r="AB2829" t="str">
            <v>-</v>
          </cell>
          <cell r="AF2829">
            <v>12</v>
          </cell>
          <cell r="AG2829" t="str">
            <v>DRN160L4</v>
          </cell>
          <cell r="AH2829" t="str">
            <v>KH127-DRN160L4B0-X#</v>
          </cell>
        </row>
        <row r="2830">
          <cell r="A2830" t="str">
            <v>MR002818</v>
          </cell>
          <cell r="B2830" t="str">
            <v>MR</v>
          </cell>
          <cell r="C2830">
            <v>15</v>
          </cell>
          <cell r="D2830">
            <v>42</v>
          </cell>
          <cell r="E2830" t="str">
            <v>R107</v>
          </cell>
          <cell r="F2830">
            <v>3420</v>
          </cell>
          <cell r="G2830">
            <v>35.26</v>
          </cell>
          <cell r="H2830">
            <v>1.25</v>
          </cell>
          <cell r="I2830" t="str">
            <v>From M1 to M2 - 15°</v>
          </cell>
          <cell r="J2830" t="str">
            <v>IE3</v>
          </cell>
          <cell r="K2830" t="str">
            <v>230/400</v>
          </cell>
          <cell r="L2830">
            <v>50</v>
          </cell>
          <cell r="M2830" t="str">
            <v>50/29</v>
          </cell>
          <cell r="N2830">
            <v>55</v>
          </cell>
          <cell r="O2830" t="str">
            <v>155(F)</v>
          </cell>
          <cell r="P2830" t="str">
            <v>270°</v>
          </cell>
          <cell r="Q2830" t="str">
            <v>TF</v>
          </cell>
          <cell r="R2830" t="str">
            <v>V(VE)</v>
          </cell>
          <cell r="S2830" t="str">
            <v>-</v>
          </cell>
          <cell r="T2830" t="str">
            <v>-</v>
          </cell>
          <cell r="U2830" t="str">
            <v>-</v>
          </cell>
          <cell r="V2830" t="str">
            <v>FC</v>
          </cell>
          <cell r="W2830" t="str">
            <v>-</v>
          </cell>
          <cell r="X2830" t="str">
            <v>CLP 220 (-15/+40°C)</v>
          </cell>
          <cell r="Y2830" t="str">
            <v>R107DRN160L4 /TF/V</v>
          </cell>
          <cell r="Z2830" t="str">
            <v>SEW</v>
          </cell>
          <cell r="AB2830" t="str">
            <v>-</v>
          </cell>
          <cell r="AF2830">
            <v>42</v>
          </cell>
          <cell r="AG2830" t="str">
            <v>DRN160L4</v>
          </cell>
          <cell r="AH2830" t="str">
            <v>R107-DRN160L4270-X#</v>
          </cell>
        </row>
        <row r="2831">
          <cell r="A2831" t="str">
            <v>MR002819</v>
          </cell>
          <cell r="B2831" t="str">
            <v>MR</v>
          </cell>
          <cell r="C2831">
            <v>15</v>
          </cell>
          <cell r="D2831">
            <v>12</v>
          </cell>
          <cell r="E2831" t="str">
            <v>KH127</v>
          </cell>
          <cell r="F2831">
            <v>11900</v>
          </cell>
          <cell r="G2831">
            <v>122.48</v>
          </cell>
          <cell r="H2831">
            <v>1.1000000000000001</v>
          </cell>
          <cell r="I2831" t="str">
            <v>From M1A to M2A - 30°</v>
          </cell>
          <cell r="J2831" t="str">
            <v>IE3</v>
          </cell>
          <cell r="K2831" t="str">
            <v>230/400</v>
          </cell>
          <cell r="L2831">
            <v>50</v>
          </cell>
          <cell r="M2831" t="str">
            <v>50/29</v>
          </cell>
          <cell r="N2831">
            <v>55</v>
          </cell>
          <cell r="O2831" t="str">
            <v>155(F)</v>
          </cell>
          <cell r="P2831" t="str">
            <v>180°</v>
          </cell>
          <cell r="Q2831" t="str">
            <v>-</v>
          </cell>
          <cell r="R2831" t="str">
            <v>-</v>
          </cell>
          <cell r="S2831" t="str">
            <v>-</v>
          </cell>
          <cell r="T2831" t="str">
            <v>-</v>
          </cell>
          <cell r="U2831" t="str">
            <v>-</v>
          </cell>
          <cell r="V2831" t="str">
            <v>SS</v>
          </cell>
          <cell r="W2831" t="str">
            <v>-</v>
          </cell>
          <cell r="X2831" t="str">
            <v>CLP 220 (-15/+40°C)</v>
          </cell>
          <cell r="Y2831" t="str">
            <v>KH127DRN160L4</v>
          </cell>
          <cell r="Z2831" t="str">
            <v>SEW</v>
          </cell>
          <cell r="AB2831" t="str">
            <v>-</v>
          </cell>
          <cell r="AF2831">
            <v>12</v>
          </cell>
          <cell r="AG2831" t="str">
            <v>DRN160L4</v>
          </cell>
          <cell r="AH2831" t="str">
            <v>KH127-DRN160L4A180-X</v>
          </cell>
        </row>
        <row r="2832">
          <cell r="A2832" t="str">
            <v>MR002820</v>
          </cell>
          <cell r="B2832" t="str">
            <v>MR</v>
          </cell>
          <cell r="C2832">
            <v>15</v>
          </cell>
          <cell r="D2832">
            <v>12</v>
          </cell>
          <cell r="E2832" t="str">
            <v>KH127</v>
          </cell>
          <cell r="F2832">
            <v>11900</v>
          </cell>
          <cell r="G2832">
            <v>122.48</v>
          </cell>
          <cell r="H2832">
            <v>1.1000000000000001</v>
          </cell>
          <cell r="I2832" t="str">
            <v>From M1B to M2B - 30°</v>
          </cell>
          <cell r="J2832" t="str">
            <v>IE3</v>
          </cell>
          <cell r="K2832" t="str">
            <v>230/400</v>
          </cell>
          <cell r="L2832">
            <v>50</v>
          </cell>
          <cell r="M2832" t="str">
            <v>50/29</v>
          </cell>
          <cell r="N2832">
            <v>55</v>
          </cell>
          <cell r="O2832" t="str">
            <v>155(F)</v>
          </cell>
          <cell r="P2832" t="str">
            <v>0°</v>
          </cell>
          <cell r="Q2832" t="str">
            <v>-</v>
          </cell>
          <cell r="R2832" t="str">
            <v>-</v>
          </cell>
          <cell r="S2832" t="str">
            <v>-</v>
          </cell>
          <cell r="T2832" t="str">
            <v>-</v>
          </cell>
          <cell r="U2832" t="str">
            <v>-</v>
          </cell>
          <cell r="V2832" t="str">
            <v>SS</v>
          </cell>
          <cell r="W2832" t="str">
            <v>-</v>
          </cell>
          <cell r="X2832" t="str">
            <v>CLP 220 (-15/+40°C)</v>
          </cell>
          <cell r="Y2832" t="str">
            <v>KH127DRN160L4</v>
          </cell>
          <cell r="Z2832" t="str">
            <v>SEW</v>
          </cell>
          <cell r="AB2832" t="str">
            <v>-</v>
          </cell>
          <cell r="AF2832">
            <v>12</v>
          </cell>
          <cell r="AG2832" t="str">
            <v>DRN160L4</v>
          </cell>
          <cell r="AH2832" t="str">
            <v>KH127-DRN160L4B0-X</v>
          </cell>
        </row>
        <row r="2833">
          <cell r="A2833" t="str">
            <v>MR002821</v>
          </cell>
          <cell r="B2833" t="str">
            <v>MR</v>
          </cell>
          <cell r="C2833">
            <v>15</v>
          </cell>
          <cell r="D2833">
            <v>12</v>
          </cell>
          <cell r="E2833" t="str">
            <v>KH127</v>
          </cell>
          <cell r="F2833">
            <v>11900</v>
          </cell>
          <cell r="G2833">
            <v>122.48</v>
          </cell>
          <cell r="H2833">
            <v>1.1000000000000001</v>
          </cell>
          <cell r="I2833" t="str">
            <v>From M1B to M2B - 25°</v>
          </cell>
          <cell r="J2833" t="str">
            <v>IE3</v>
          </cell>
          <cell r="K2833" t="str">
            <v>230/400</v>
          </cell>
          <cell r="L2833">
            <v>50</v>
          </cell>
          <cell r="M2833" t="str">
            <v>50/29</v>
          </cell>
          <cell r="N2833">
            <v>55</v>
          </cell>
          <cell r="O2833" t="str">
            <v>155(F)</v>
          </cell>
          <cell r="P2833" t="str">
            <v>0°</v>
          </cell>
          <cell r="Q2833" t="str">
            <v>-</v>
          </cell>
          <cell r="R2833" t="str">
            <v>-</v>
          </cell>
          <cell r="S2833" t="str">
            <v>-</v>
          </cell>
          <cell r="T2833" t="str">
            <v>-</v>
          </cell>
          <cell r="U2833" t="str">
            <v>-</v>
          </cell>
          <cell r="V2833" t="str">
            <v>SS</v>
          </cell>
          <cell r="W2833" t="str">
            <v>-</v>
          </cell>
          <cell r="X2833" t="str">
            <v>CLP 220 (-15/+40°C)</v>
          </cell>
          <cell r="Y2833" t="str">
            <v>KH127DRN160L4</v>
          </cell>
          <cell r="Z2833" t="str">
            <v>SEW</v>
          </cell>
          <cell r="AB2833" t="str">
            <v>-</v>
          </cell>
          <cell r="AF2833">
            <v>12</v>
          </cell>
          <cell r="AG2833" t="str">
            <v>DRN160L4</v>
          </cell>
          <cell r="AH2833" t="str">
            <v>KH127-DRN160L4B0-X</v>
          </cell>
        </row>
        <row r="2834">
          <cell r="A2834" t="str">
            <v>MR002822</v>
          </cell>
          <cell r="B2834" t="str">
            <v>MR</v>
          </cell>
          <cell r="C2834">
            <v>18.5</v>
          </cell>
          <cell r="D2834">
            <v>16</v>
          </cell>
          <cell r="E2834" t="str">
            <v>KH127</v>
          </cell>
          <cell r="F2834">
            <v>10700</v>
          </cell>
          <cell r="G2834">
            <v>89.89</v>
          </cell>
          <cell r="H2834">
            <v>1.2</v>
          </cell>
          <cell r="I2834" t="str">
            <v>From M1B to M4B - 65°</v>
          </cell>
          <cell r="J2834" t="str">
            <v>IE3</v>
          </cell>
          <cell r="K2834" t="str">
            <v>230/400</v>
          </cell>
          <cell r="L2834">
            <v>50</v>
          </cell>
          <cell r="M2834" t="str">
            <v>58/33,5</v>
          </cell>
          <cell r="N2834">
            <v>65</v>
          </cell>
          <cell r="O2834" t="str">
            <v>155(F)</v>
          </cell>
          <cell r="P2834" t="str">
            <v>270°</v>
          </cell>
          <cell r="Q2834" t="str">
            <v>TF</v>
          </cell>
          <cell r="R2834" t="str">
            <v>V(VE)</v>
          </cell>
          <cell r="S2834" t="str">
            <v>-</v>
          </cell>
          <cell r="T2834" t="str">
            <v>-</v>
          </cell>
          <cell r="U2834" t="str">
            <v>-</v>
          </cell>
          <cell r="V2834" t="str">
            <v>FC</v>
          </cell>
          <cell r="W2834" t="str">
            <v>-</v>
          </cell>
          <cell r="X2834" t="str">
            <v>CLP 220 (-15/+40°C)</v>
          </cell>
          <cell r="Y2834" t="str">
            <v>KH127DRN180M4 /TF/V</v>
          </cell>
          <cell r="Z2834" t="str">
            <v>SEW</v>
          </cell>
          <cell r="AB2834" t="str">
            <v>-</v>
          </cell>
          <cell r="AF2834">
            <v>16</v>
          </cell>
          <cell r="AG2834" t="str">
            <v>DRN180M4</v>
          </cell>
          <cell r="AH2834" t="str">
            <v>KH127-DRN180M4B270-X#</v>
          </cell>
        </row>
        <row r="2835">
          <cell r="A2835" t="str">
            <v>MR002823</v>
          </cell>
          <cell r="B2835" t="str">
            <v>MR</v>
          </cell>
          <cell r="C2835">
            <v>30</v>
          </cell>
          <cell r="D2835">
            <v>42</v>
          </cell>
          <cell r="E2835" t="str">
            <v>R147</v>
          </cell>
          <cell r="F2835">
            <v>6900</v>
          </cell>
          <cell r="G2835">
            <v>35.64</v>
          </cell>
          <cell r="H2835">
            <v>1.9</v>
          </cell>
          <cell r="I2835" t="str">
            <v>From M1 to M4 - 5°</v>
          </cell>
          <cell r="J2835" t="str">
            <v>IE3</v>
          </cell>
          <cell r="K2835" t="str">
            <v>415+-10%</v>
          </cell>
          <cell r="L2835">
            <v>50</v>
          </cell>
          <cell r="M2835">
            <v>54</v>
          </cell>
          <cell r="N2835">
            <v>65</v>
          </cell>
          <cell r="O2835" t="str">
            <v>155(F)</v>
          </cell>
          <cell r="P2835" t="str">
            <v>270°</v>
          </cell>
          <cell r="Q2835" t="str">
            <v>TF</v>
          </cell>
          <cell r="R2835" t="str">
            <v>V(VE)</v>
          </cell>
          <cell r="S2835" t="str">
            <v>-</v>
          </cell>
          <cell r="T2835" t="str">
            <v>-</v>
          </cell>
          <cell r="U2835" t="str">
            <v>-</v>
          </cell>
          <cell r="V2835" t="str">
            <v>FC</v>
          </cell>
          <cell r="W2835" t="str">
            <v>-</v>
          </cell>
          <cell r="X2835" t="str">
            <v>CLP 220 (-15/+40°C)</v>
          </cell>
          <cell r="Y2835" t="str">
            <v>R147DRN200L4 /TF/V</v>
          </cell>
          <cell r="Z2835" t="str">
            <v>SEW</v>
          </cell>
          <cell r="AB2835" t="str">
            <v>-</v>
          </cell>
          <cell r="AE2835" t="str">
            <v>Superficial protection C4M: IK8; canopy C, drain DH</v>
          </cell>
          <cell r="AF2835">
            <v>42</v>
          </cell>
          <cell r="AG2835" t="str">
            <v>DRN200L4</v>
          </cell>
          <cell r="AH2835" t="str">
            <v>R147-DRN200L4270-X#</v>
          </cell>
        </row>
        <row r="2836">
          <cell r="A2836" t="str">
            <v>MR002824</v>
          </cell>
          <cell r="B2836" t="str">
            <v>MR</v>
          </cell>
          <cell r="C2836">
            <v>9.1999999999999993</v>
          </cell>
          <cell r="D2836">
            <v>44</v>
          </cell>
          <cell r="E2836" t="str">
            <v>R97</v>
          </cell>
          <cell r="F2836">
            <v>1980</v>
          </cell>
          <cell r="G2836">
            <v>33.25</v>
          </cell>
          <cell r="H2836">
            <v>1.45</v>
          </cell>
          <cell r="I2836" t="str">
            <v>M1</v>
          </cell>
          <cell r="J2836" t="str">
            <v>IE3</v>
          </cell>
          <cell r="K2836" t="str">
            <v>380/660</v>
          </cell>
          <cell r="L2836">
            <v>50</v>
          </cell>
          <cell r="M2836" t="str">
            <v>19,7/11,3</v>
          </cell>
          <cell r="N2836">
            <v>65</v>
          </cell>
          <cell r="O2836" t="str">
            <v>155(F)</v>
          </cell>
          <cell r="P2836" t="str">
            <v>270°</v>
          </cell>
          <cell r="Q2836" t="str">
            <v>TF</v>
          </cell>
          <cell r="R2836" t="str">
            <v>-</v>
          </cell>
          <cell r="S2836" t="str">
            <v>-</v>
          </cell>
          <cell r="T2836" t="str">
            <v>-</v>
          </cell>
          <cell r="U2836" t="str">
            <v>-</v>
          </cell>
          <cell r="V2836" t="str">
            <v>D</v>
          </cell>
          <cell r="W2836" t="str">
            <v>-</v>
          </cell>
          <cell r="X2836" t="str">
            <v>CLP HC 220 (-25/+60°C)</v>
          </cell>
          <cell r="Y2836" t="str">
            <v>R97DRN132L4 /TF</v>
          </cell>
          <cell r="Z2836" t="str">
            <v>SEW</v>
          </cell>
          <cell r="AB2836" t="str">
            <v>-</v>
          </cell>
          <cell r="AF2836">
            <v>44</v>
          </cell>
          <cell r="AG2836" t="str">
            <v>DRN132L4</v>
          </cell>
          <cell r="AH2836" t="str">
            <v>R97-DRN132L4270-X</v>
          </cell>
        </row>
        <row r="2837">
          <cell r="A2837" t="str">
            <v>MR002825</v>
          </cell>
          <cell r="B2837" t="str">
            <v>MR</v>
          </cell>
          <cell r="C2837">
            <v>30</v>
          </cell>
          <cell r="D2837">
            <v>15</v>
          </cell>
          <cell r="E2837" t="str">
            <v>KH157</v>
          </cell>
          <cell r="F2837">
            <v>19400</v>
          </cell>
          <cell r="G2837">
            <v>100.22</v>
          </cell>
          <cell r="H2837">
            <v>1.05</v>
          </cell>
          <cell r="I2837" t="str">
            <v>From M1A to M2A - 25°</v>
          </cell>
          <cell r="J2837" t="str">
            <v>IE3</v>
          </cell>
          <cell r="K2837" t="str">
            <v>400/690</v>
          </cell>
          <cell r="L2837">
            <v>50</v>
          </cell>
          <cell r="M2837" t="str">
            <v>56/32,5</v>
          </cell>
          <cell r="N2837">
            <v>55</v>
          </cell>
          <cell r="O2837" t="str">
            <v>155(F)</v>
          </cell>
          <cell r="P2837" t="str">
            <v>270°</v>
          </cell>
          <cell r="Q2837" t="str">
            <v>TF</v>
          </cell>
          <cell r="R2837" t="str">
            <v>V(VE)</v>
          </cell>
          <cell r="S2837" t="str">
            <v>-</v>
          </cell>
          <cell r="T2837" t="str">
            <v>-</v>
          </cell>
          <cell r="U2837" t="str">
            <v>-</v>
          </cell>
          <cell r="V2837" t="str">
            <v>FC</v>
          </cell>
          <cell r="W2837" t="str">
            <v>-</v>
          </cell>
          <cell r="X2837" t="str">
            <v>CLP 220 (-15/+40°C)</v>
          </cell>
          <cell r="Y2837" t="str">
            <v>KH157DRN200L4 /TF/V</v>
          </cell>
          <cell r="Z2837" t="str">
            <v>SEW</v>
          </cell>
          <cell r="AB2837" t="str">
            <v>-</v>
          </cell>
          <cell r="AF2837">
            <v>15</v>
          </cell>
          <cell r="AG2837" t="str">
            <v>DRN200L4</v>
          </cell>
          <cell r="AH2837" t="str">
            <v>KH157-DRN200L4A270-X#</v>
          </cell>
        </row>
        <row r="2838">
          <cell r="A2838" t="str">
            <v>MR002826</v>
          </cell>
          <cell r="B2838" t="str">
            <v>MR</v>
          </cell>
          <cell r="C2838">
            <v>30</v>
          </cell>
          <cell r="D2838">
            <v>15</v>
          </cell>
          <cell r="E2838" t="str">
            <v>KH157</v>
          </cell>
          <cell r="F2838">
            <v>19400</v>
          </cell>
          <cell r="G2838">
            <v>100.22</v>
          </cell>
          <cell r="H2838">
            <v>1.05</v>
          </cell>
          <cell r="I2838" t="str">
            <v>From M1B to M2B - 25°</v>
          </cell>
          <cell r="J2838" t="str">
            <v>IE3</v>
          </cell>
          <cell r="K2838" t="str">
            <v>400/690</v>
          </cell>
          <cell r="L2838">
            <v>50</v>
          </cell>
          <cell r="M2838" t="str">
            <v>56/32,5</v>
          </cell>
          <cell r="N2838">
            <v>55</v>
          </cell>
          <cell r="O2838" t="str">
            <v>155(F)</v>
          </cell>
          <cell r="P2838" t="str">
            <v>270°</v>
          </cell>
          <cell r="Q2838" t="str">
            <v>TF</v>
          </cell>
          <cell r="R2838" t="str">
            <v>V(VE)</v>
          </cell>
          <cell r="S2838" t="str">
            <v>-</v>
          </cell>
          <cell r="T2838" t="str">
            <v>-</v>
          </cell>
          <cell r="U2838" t="str">
            <v>-</v>
          </cell>
          <cell r="V2838" t="str">
            <v>FC</v>
          </cell>
          <cell r="W2838" t="str">
            <v>-</v>
          </cell>
          <cell r="X2838" t="str">
            <v>CLP 220 (-15/+40°C)</v>
          </cell>
          <cell r="Y2838" t="str">
            <v>KH157DRN200L4 /TF/V</v>
          </cell>
          <cell r="Z2838" t="str">
            <v>SEW</v>
          </cell>
          <cell r="AB2838" t="str">
            <v>-</v>
          </cell>
          <cell r="AF2838">
            <v>15</v>
          </cell>
          <cell r="AG2838" t="str">
            <v>DRN200L4</v>
          </cell>
          <cell r="AH2838" t="str">
            <v>KH157-DRN200L4B270-X#</v>
          </cell>
        </row>
        <row r="2839">
          <cell r="A2839" t="str">
            <v>MR002827</v>
          </cell>
          <cell r="B2839" t="str">
            <v>MR</v>
          </cell>
          <cell r="C2839">
            <v>22</v>
          </cell>
          <cell r="D2839">
            <v>12</v>
          </cell>
          <cell r="E2839" t="str">
            <v>KH157</v>
          </cell>
          <cell r="F2839">
            <v>17400</v>
          </cell>
          <cell r="G2839">
            <v>122.39</v>
          </cell>
          <cell r="H2839">
            <v>1.1499999999999999</v>
          </cell>
          <cell r="I2839" t="str">
            <v>From M4A to M1A - 40°</v>
          </cell>
          <cell r="J2839" t="str">
            <v>IE3</v>
          </cell>
          <cell r="K2839" t="str">
            <v>400/690</v>
          </cell>
          <cell r="L2839">
            <v>50</v>
          </cell>
          <cell r="M2839" t="str">
            <v>38,5/22,5</v>
          </cell>
          <cell r="N2839">
            <v>65</v>
          </cell>
          <cell r="O2839" t="str">
            <v>155(F)</v>
          </cell>
          <cell r="P2839" t="str">
            <v>270°</v>
          </cell>
          <cell r="Q2839" t="str">
            <v>TF</v>
          </cell>
          <cell r="R2839" t="str">
            <v>V(VE)</v>
          </cell>
          <cell r="S2839" t="str">
            <v>-</v>
          </cell>
          <cell r="T2839" t="str">
            <v>-</v>
          </cell>
          <cell r="U2839" t="str">
            <v>-</v>
          </cell>
          <cell r="V2839" t="str">
            <v>FC</v>
          </cell>
          <cell r="W2839" t="str">
            <v>-</v>
          </cell>
          <cell r="X2839" t="str">
            <v>CLP HC 220 (-25/+60°C)</v>
          </cell>
          <cell r="Y2839" t="str">
            <v>KH157EDRN180L4 /TF/VE</v>
          </cell>
          <cell r="Z2839" t="str">
            <v>SEW</v>
          </cell>
          <cell r="AB2839" t="str">
            <v>ATEX22</v>
          </cell>
          <cell r="AF2839">
            <v>12</v>
          </cell>
          <cell r="AG2839" t="str">
            <v>EDRN180L4</v>
          </cell>
          <cell r="AH2839" t="str">
            <v>KH157-EDRN180L4A270-X#</v>
          </cell>
        </row>
        <row r="2840">
          <cell r="A2840" t="str">
            <v>MR002828</v>
          </cell>
          <cell r="B2840" t="str">
            <v>MR</v>
          </cell>
          <cell r="C2840">
            <v>22</v>
          </cell>
          <cell r="D2840">
            <v>12</v>
          </cell>
          <cell r="E2840" t="str">
            <v>KH157</v>
          </cell>
          <cell r="F2840">
            <v>17400</v>
          </cell>
          <cell r="G2840">
            <v>122.39</v>
          </cell>
          <cell r="H2840">
            <v>1.1499999999999999</v>
          </cell>
          <cell r="I2840" t="str">
            <v>From M4B to M1B - 40°</v>
          </cell>
          <cell r="J2840" t="str">
            <v>IE3</v>
          </cell>
          <cell r="K2840" t="str">
            <v>400/690</v>
          </cell>
          <cell r="L2840">
            <v>50</v>
          </cell>
          <cell r="M2840" t="str">
            <v>38,5/22,5</v>
          </cell>
          <cell r="N2840">
            <v>65</v>
          </cell>
          <cell r="O2840" t="str">
            <v>155(F)</v>
          </cell>
          <cell r="P2840" t="str">
            <v>270°</v>
          </cell>
          <cell r="Q2840" t="str">
            <v>TF</v>
          </cell>
          <cell r="R2840" t="str">
            <v>V(VE)</v>
          </cell>
          <cell r="S2840" t="str">
            <v>-</v>
          </cell>
          <cell r="T2840" t="str">
            <v>-</v>
          </cell>
          <cell r="U2840" t="str">
            <v>-</v>
          </cell>
          <cell r="V2840" t="str">
            <v>FC</v>
          </cell>
          <cell r="W2840" t="str">
            <v>-</v>
          </cell>
          <cell r="X2840" t="str">
            <v>CLP HC 220 (-25/+60°C)</v>
          </cell>
          <cell r="Y2840" t="str">
            <v>KH157EDRN180L4 /TF/VE</v>
          </cell>
          <cell r="Z2840" t="str">
            <v>SEW</v>
          </cell>
          <cell r="AB2840" t="str">
            <v>ATEX22</v>
          </cell>
          <cell r="AF2840">
            <v>12</v>
          </cell>
          <cell r="AG2840" t="str">
            <v>EDRN180L4</v>
          </cell>
          <cell r="AH2840" t="str">
            <v>KH157-EDRN180L4B270-X#</v>
          </cell>
        </row>
        <row r="2841">
          <cell r="A2841" t="str">
            <v>MR002829</v>
          </cell>
          <cell r="B2841" t="str">
            <v>MR</v>
          </cell>
          <cell r="C2841">
            <v>22</v>
          </cell>
          <cell r="D2841">
            <v>12</v>
          </cell>
          <cell r="E2841" t="str">
            <v>KH157</v>
          </cell>
          <cell r="F2841">
            <v>17400</v>
          </cell>
          <cell r="G2841">
            <v>122.39</v>
          </cell>
          <cell r="H2841">
            <v>1.1499999999999999</v>
          </cell>
          <cell r="I2841" t="str">
            <v>From M4A to M1A - 35°</v>
          </cell>
          <cell r="J2841" t="str">
            <v>IE3</v>
          </cell>
          <cell r="K2841" t="str">
            <v>400/690</v>
          </cell>
          <cell r="L2841">
            <v>50</v>
          </cell>
          <cell r="M2841" t="str">
            <v>38,5/22,5</v>
          </cell>
          <cell r="N2841">
            <v>65</v>
          </cell>
          <cell r="O2841" t="str">
            <v>155(F)</v>
          </cell>
          <cell r="P2841" t="str">
            <v>270°</v>
          </cell>
          <cell r="Q2841" t="str">
            <v>TF</v>
          </cell>
          <cell r="R2841" t="str">
            <v>V(VE)</v>
          </cell>
          <cell r="S2841" t="str">
            <v>-</v>
          </cell>
          <cell r="T2841" t="str">
            <v>-</v>
          </cell>
          <cell r="U2841" t="str">
            <v>-</v>
          </cell>
          <cell r="V2841" t="str">
            <v>FC</v>
          </cell>
          <cell r="W2841" t="str">
            <v>-</v>
          </cell>
          <cell r="X2841" t="str">
            <v>CLP HC 220 (-25/+60°C)</v>
          </cell>
          <cell r="Y2841" t="str">
            <v>KH157EDRN180L4 /TF/VE</v>
          </cell>
          <cell r="Z2841" t="str">
            <v>SEW</v>
          </cell>
          <cell r="AB2841" t="str">
            <v>ATEX22</v>
          </cell>
          <cell r="AF2841">
            <v>12</v>
          </cell>
          <cell r="AG2841" t="str">
            <v>EDRN180L4</v>
          </cell>
          <cell r="AH2841" t="str">
            <v>KH157-EDRN180L4A270-X#</v>
          </cell>
        </row>
        <row r="2842">
          <cell r="A2842" t="str">
            <v>MR002830</v>
          </cell>
          <cell r="B2842" t="str">
            <v>MR</v>
          </cell>
          <cell r="C2842">
            <v>22</v>
          </cell>
          <cell r="D2842">
            <v>12</v>
          </cell>
          <cell r="E2842" t="str">
            <v>KH157</v>
          </cell>
          <cell r="F2842">
            <v>17400</v>
          </cell>
          <cell r="G2842">
            <v>122.39</v>
          </cell>
          <cell r="H2842">
            <v>1.1499999999999999</v>
          </cell>
          <cell r="I2842" t="str">
            <v>From M4B to M1B - 35°</v>
          </cell>
          <cell r="J2842" t="str">
            <v>IE3</v>
          </cell>
          <cell r="K2842" t="str">
            <v>400/690</v>
          </cell>
          <cell r="L2842">
            <v>50</v>
          </cell>
          <cell r="M2842" t="str">
            <v>38,5/22,5</v>
          </cell>
          <cell r="N2842">
            <v>65</v>
          </cell>
          <cell r="O2842" t="str">
            <v>155(F)</v>
          </cell>
          <cell r="P2842" t="str">
            <v>270°</v>
          </cell>
          <cell r="Q2842" t="str">
            <v>TF</v>
          </cell>
          <cell r="R2842" t="str">
            <v>V(VE)</v>
          </cell>
          <cell r="S2842" t="str">
            <v>-</v>
          </cell>
          <cell r="T2842" t="str">
            <v>-</v>
          </cell>
          <cell r="U2842" t="str">
            <v>-</v>
          </cell>
          <cell r="V2842" t="str">
            <v>FC</v>
          </cell>
          <cell r="W2842" t="str">
            <v>-</v>
          </cell>
          <cell r="X2842" t="str">
            <v>CLP HC 220 (-25/+60°C)</v>
          </cell>
          <cell r="Y2842" t="str">
            <v>KH157EDRN180L4 /TF/VE</v>
          </cell>
          <cell r="Z2842" t="str">
            <v>SEW</v>
          </cell>
          <cell r="AB2842" t="str">
            <v>ATEX22</v>
          </cell>
          <cell r="AF2842">
            <v>12</v>
          </cell>
          <cell r="AG2842" t="str">
            <v>EDRN180L4</v>
          </cell>
          <cell r="AH2842" t="str">
            <v>KH157-EDRN180L4B270-X#</v>
          </cell>
        </row>
        <row r="2843">
          <cell r="A2843" t="str">
            <v>MR002831</v>
          </cell>
          <cell r="B2843" t="str">
            <v>MR</v>
          </cell>
          <cell r="C2843">
            <v>18.5</v>
          </cell>
          <cell r="D2843">
            <v>12</v>
          </cell>
          <cell r="E2843" t="str">
            <v>KH157</v>
          </cell>
          <cell r="F2843">
            <v>14600</v>
          </cell>
          <cell r="G2843">
            <v>122.39</v>
          </cell>
          <cell r="H2843">
            <v>1.25</v>
          </cell>
          <cell r="I2843" t="str">
            <v>M4A</v>
          </cell>
          <cell r="J2843" t="str">
            <v>IE3</v>
          </cell>
          <cell r="K2843" t="str">
            <v>400/690</v>
          </cell>
          <cell r="L2843">
            <v>50</v>
          </cell>
          <cell r="M2843" t="str">
            <v>33,5/19,3</v>
          </cell>
          <cell r="N2843">
            <v>65</v>
          </cell>
          <cell r="O2843" t="str">
            <v>155(F)</v>
          </cell>
          <cell r="P2843" t="str">
            <v>270°</v>
          </cell>
          <cell r="Q2843" t="str">
            <v>TF</v>
          </cell>
          <cell r="R2843" t="str">
            <v>V(VE)</v>
          </cell>
          <cell r="S2843" t="str">
            <v>-</v>
          </cell>
          <cell r="T2843" t="str">
            <v>-</v>
          </cell>
          <cell r="U2843" t="str">
            <v>-</v>
          </cell>
          <cell r="V2843" t="str">
            <v>FC</v>
          </cell>
          <cell r="W2843" t="str">
            <v>-</v>
          </cell>
          <cell r="X2843" t="str">
            <v>CLP HC 220 (-25/+60°C)</v>
          </cell>
          <cell r="Y2843" t="str">
            <v>KH157EDRN180M4 /TF/VE</v>
          </cell>
          <cell r="Z2843" t="str">
            <v>SEW</v>
          </cell>
          <cell r="AB2843" t="str">
            <v>ATEX22</v>
          </cell>
          <cell r="AF2843">
            <v>12</v>
          </cell>
          <cell r="AG2843" t="str">
            <v>EDRN180M4</v>
          </cell>
          <cell r="AH2843" t="str">
            <v>KH157-EDRN180M4A270-X#</v>
          </cell>
        </row>
        <row r="2844">
          <cell r="A2844" t="str">
            <v>MR002832</v>
          </cell>
          <cell r="B2844" t="str">
            <v>MR</v>
          </cell>
          <cell r="C2844">
            <v>18.5</v>
          </cell>
          <cell r="D2844">
            <v>12</v>
          </cell>
          <cell r="E2844" t="str">
            <v>KH157</v>
          </cell>
          <cell r="F2844">
            <v>14600</v>
          </cell>
          <cell r="G2844">
            <v>122.39</v>
          </cell>
          <cell r="H2844">
            <v>1.25</v>
          </cell>
          <cell r="I2844" t="str">
            <v>M4B</v>
          </cell>
          <cell r="J2844" t="str">
            <v>IE3</v>
          </cell>
          <cell r="K2844" t="str">
            <v>400/690</v>
          </cell>
          <cell r="L2844">
            <v>50</v>
          </cell>
          <cell r="M2844" t="str">
            <v>33,5/19,3</v>
          </cell>
          <cell r="N2844">
            <v>65</v>
          </cell>
          <cell r="O2844" t="str">
            <v>155(F)</v>
          </cell>
          <cell r="P2844" t="str">
            <v>270°</v>
          </cell>
          <cell r="Q2844" t="str">
            <v>TF</v>
          </cell>
          <cell r="R2844" t="str">
            <v>V(VE)</v>
          </cell>
          <cell r="S2844" t="str">
            <v>-</v>
          </cell>
          <cell r="T2844" t="str">
            <v>-</v>
          </cell>
          <cell r="U2844" t="str">
            <v>-</v>
          </cell>
          <cell r="V2844" t="str">
            <v>FC</v>
          </cell>
          <cell r="W2844" t="str">
            <v>-</v>
          </cell>
          <cell r="X2844" t="str">
            <v>CLP HC 220 (-25/+60°C)</v>
          </cell>
          <cell r="Y2844" t="str">
            <v>KH157EDRN180M4 /TF/VE</v>
          </cell>
          <cell r="Z2844" t="str">
            <v>SEW</v>
          </cell>
          <cell r="AB2844" t="str">
            <v>ATEX22</v>
          </cell>
          <cell r="AF2844">
            <v>12</v>
          </cell>
          <cell r="AG2844" t="str">
            <v>EDRN180M4</v>
          </cell>
          <cell r="AH2844" t="str">
            <v>KH157-EDRN180M4B270-X#</v>
          </cell>
        </row>
        <row r="2845">
          <cell r="A2845" t="str">
            <v>MR002833</v>
          </cell>
          <cell r="B2845" t="str">
            <v>MR</v>
          </cell>
          <cell r="C2845">
            <v>15</v>
          </cell>
          <cell r="D2845">
            <v>16</v>
          </cell>
          <cell r="E2845" t="str">
            <v>KH127</v>
          </cell>
          <cell r="F2845">
            <v>8740</v>
          </cell>
          <cell r="G2845">
            <v>89.89</v>
          </cell>
          <cell r="H2845">
            <v>1.5</v>
          </cell>
          <cell r="I2845" t="str">
            <v>From M1A to M2A - 15°</v>
          </cell>
          <cell r="J2845" t="str">
            <v>IE3</v>
          </cell>
          <cell r="K2845" t="str">
            <v>230/400</v>
          </cell>
          <cell r="L2845">
            <v>50</v>
          </cell>
          <cell r="M2845" t="str">
            <v>50/29</v>
          </cell>
          <cell r="N2845">
            <v>55</v>
          </cell>
          <cell r="O2845" t="str">
            <v>155(F)</v>
          </cell>
          <cell r="P2845" t="str">
            <v>270°</v>
          </cell>
          <cell r="Q2845" t="str">
            <v>TF</v>
          </cell>
          <cell r="R2845" t="str">
            <v>-</v>
          </cell>
          <cell r="S2845" t="str">
            <v>-</v>
          </cell>
          <cell r="T2845" t="str">
            <v>-</v>
          </cell>
          <cell r="U2845" t="str">
            <v>-</v>
          </cell>
          <cell r="V2845" t="str">
            <v>FC</v>
          </cell>
          <cell r="W2845" t="str">
            <v>-</v>
          </cell>
          <cell r="X2845" t="str">
            <v>CLP 220 (-15/+40°C)</v>
          </cell>
          <cell r="Y2845" t="str">
            <v>KH127DRN160L4 /TF</v>
          </cell>
          <cell r="Z2845" t="str">
            <v>SEW</v>
          </cell>
          <cell r="AB2845" t="str">
            <v>-</v>
          </cell>
          <cell r="AF2845">
            <v>16</v>
          </cell>
          <cell r="AG2845" t="str">
            <v>DRN160L4</v>
          </cell>
          <cell r="AH2845" t="str">
            <v>KH127-DRN160L4A270-X</v>
          </cell>
        </row>
        <row r="2846">
          <cell r="A2846" t="str">
            <v>MR002834</v>
          </cell>
          <cell r="B2846" t="str">
            <v>MR</v>
          </cell>
          <cell r="C2846">
            <v>15</v>
          </cell>
          <cell r="D2846">
            <v>16</v>
          </cell>
          <cell r="E2846" t="str">
            <v>KH127</v>
          </cell>
          <cell r="F2846">
            <v>8740</v>
          </cell>
          <cell r="G2846">
            <v>89.89</v>
          </cell>
          <cell r="H2846">
            <v>1.5</v>
          </cell>
          <cell r="I2846" t="str">
            <v>From M1B to M2B - 15°</v>
          </cell>
          <cell r="J2846" t="str">
            <v>IE3</v>
          </cell>
          <cell r="K2846" t="str">
            <v>230/400</v>
          </cell>
          <cell r="L2846">
            <v>50</v>
          </cell>
          <cell r="M2846" t="str">
            <v>50/29</v>
          </cell>
          <cell r="N2846">
            <v>55</v>
          </cell>
          <cell r="O2846" t="str">
            <v>155(F)</v>
          </cell>
          <cell r="P2846" t="str">
            <v>270°</v>
          </cell>
          <cell r="Q2846" t="str">
            <v>TF</v>
          </cell>
          <cell r="R2846" t="str">
            <v>-</v>
          </cell>
          <cell r="S2846" t="str">
            <v>-</v>
          </cell>
          <cell r="T2846" t="str">
            <v>-</v>
          </cell>
          <cell r="U2846" t="str">
            <v>-</v>
          </cell>
          <cell r="V2846" t="str">
            <v>FC</v>
          </cell>
          <cell r="W2846" t="str">
            <v>-</v>
          </cell>
          <cell r="X2846" t="str">
            <v>CLP 220 (-15/+40°C)</v>
          </cell>
          <cell r="Y2846" t="str">
            <v>KH127DRN160L4 /TF</v>
          </cell>
          <cell r="Z2846" t="str">
            <v>SEW</v>
          </cell>
          <cell r="AB2846" t="str">
            <v>-</v>
          </cell>
          <cell r="AF2846">
            <v>16</v>
          </cell>
          <cell r="AG2846" t="str">
            <v>DRN160L4</v>
          </cell>
          <cell r="AH2846" t="str">
            <v>KH127-DRN160L4B270-X</v>
          </cell>
        </row>
        <row r="2847">
          <cell r="A2847" t="str">
            <v>MR002835</v>
          </cell>
          <cell r="B2847" t="str">
            <v>ME</v>
          </cell>
          <cell r="C2847">
            <v>9.1999999999999993</v>
          </cell>
          <cell r="D2847">
            <v>1470</v>
          </cell>
          <cell r="E2847" t="str">
            <v>-</v>
          </cell>
          <cell r="F2847" t="str">
            <v>-</v>
          </cell>
          <cell r="G2847" t="str">
            <v>-</v>
          </cell>
          <cell r="H2847" t="str">
            <v>-</v>
          </cell>
          <cell r="I2847" t="str">
            <v>-</v>
          </cell>
          <cell r="J2847" t="str">
            <v>IE3</v>
          </cell>
          <cell r="K2847" t="str">
            <v>230/400</v>
          </cell>
          <cell r="L2847">
            <v>50</v>
          </cell>
          <cell r="M2847" t="str">
            <v>33,5/19,5</v>
          </cell>
          <cell r="N2847">
            <v>55</v>
          </cell>
          <cell r="O2847" t="str">
            <v>155(F)</v>
          </cell>
          <cell r="P2847" t="str">
            <v>-</v>
          </cell>
          <cell r="Q2847" t="str">
            <v>-</v>
          </cell>
          <cell r="R2847" t="str">
            <v>-</v>
          </cell>
          <cell r="S2847" t="str">
            <v>-</v>
          </cell>
          <cell r="T2847" t="str">
            <v>-</v>
          </cell>
          <cell r="U2847" t="str">
            <v>-</v>
          </cell>
          <cell r="V2847" t="str">
            <v>D</v>
          </cell>
          <cell r="W2847" t="str">
            <v>-</v>
          </cell>
          <cell r="X2847" t="str">
            <v>-</v>
          </cell>
          <cell r="Y2847" t="str">
            <v>DRN132L4/FI/AL</v>
          </cell>
          <cell r="Z2847" t="str">
            <v>SEW</v>
          </cell>
          <cell r="AB2847" t="str">
            <v>-</v>
          </cell>
          <cell r="AE2847" t="str">
            <v>Forma costruttiva B3</v>
          </cell>
          <cell r="AF2847">
            <v>1470</v>
          </cell>
          <cell r="AG2847" t="str">
            <v>DRN132L4</v>
          </cell>
          <cell r="AH2847" t="str">
            <v>--DRN132L4--X</v>
          </cell>
        </row>
        <row r="2848">
          <cell r="A2848" t="str">
            <v>MR002836</v>
          </cell>
          <cell r="B2848" t="str">
            <v>MR</v>
          </cell>
          <cell r="C2848">
            <v>0.75</v>
          </cell>
          <cell r="D2848">
            <v>25</v>
          </cell>
          <cell r="E2848" t="str">
            <v>R47</v>
          </cell>
          <cell r="F2848">
            <v>280</v>
          </cell>
          <cell r="G2848">
            <v>56.73</v>
          </cell>
          <cell r="H2848">
            <v>1.05</v>
          </cell>
          <cell r="I2848" t="str">
            <v>M5</v>
          </cell>
          <cell r="J2848" t="str">
            <v>IE3</v>
          </cell>
          <cell r="K2848" t="str">
            <v>230/400</v>
          </cell>
          <cell r="L2848">
            <v>50</v>
          </cell>
          <cell r="M2848" t="str">
            <v>3,05/1,75</v>
          </cell>
          <cell r="N2848">
            <v>55</v>
          </cell>
          <cell r="O2848" t="str">
            <v>155(F)</v>
          </cell>
          <cell r="P2848" t="str">
            <v>270°</v>
          </cell>
          <cell r="Q2848" t="str">
            <v>-</v>
          </cell>
          <cell r="R2848" t="str">
            <v>-</v>
          </cell>
          <cell r="S2848" t="str">
            <v>-</v>
          </cell>
          <cell r="T2848" t="str">
            <v>-</v>
          </cell>
          <cell r="U2848" t="str">
            <v>-</v>
          </cell>
          <cell r="V2848" t="str">
            <v>D</v>
          </cell>
          <cell r="W2848" t="str">
            <v>-</v>
          </cell>
          <cell r="X2848" t="str">
            <v>CLP 220 (-15/+40°C)</v>
          </cell>
          <cell r="Y2848" t="str">
            <v>R47DRN80M4</v>
          </cell>
          <cell r="Z2848" t="str">
            <v>SEW</v>
          </cell>
          <cell r="AB2848" t="str">
            <v>-</v>
          </cell>
          <cell r="AF2848">
            <v>25</v>
          </cell>
          <cell r="AG2848" t="str">
            <v>DRN80M4</v>
          </cell>
          <cell r="AH2848" t="str">
            <v>R47-DRN80M4270-X</v>
          </cell>
        </row>
        <row r="2849">
          <cell r="A2849" t="str">
            <v>MR002837</v>
          </cell>
          <cell r="B2849" t="str">
            <v>R</v>
          </cell>
          <cell r="C2849" t="str">
            <v>-</v>
          </cell>
          <cell r="D2849">
            <v>25</v>
          </cell>
          <cell r="E2849" t="str">
            <v>R107</v>
          </cell>
          <cell r="F2849">
            <v>4300</v>
          </cell>
          <cell r="G2849">
            <v>59.41</v>
          </cell>
          <cell r="H2849">
            <v>1</v>
          </cell>
          <cell r="I2849" t="str">
            <v>M1</v>
          </cell>
          <cell r="J2849" t="str">
            <v>-</v>
          </cell>
          <cell r="K2849" t="str">
            <v>-</v>
          </cell>
          <cell r="L2849" t="str">
            <v>-</v>
          </cell>
          <cell r="M2849" t="str">
            <v>-</v>
          </cell>
          <cell r="N2849" t="str">
            <v>-</v>
          </cell>
          <cell r="O2849" t="str">
            <v>-</v>
          </cell>
          <cell r="P2849" t="str">
            <v>-</v>
          </cell>
          <cell r="Q2849" t="str">
            <v>-</v>
          </cell>
          <cell r="R2849" t="str">
            <v>-</v>
          </cell>
          <cell r="S2849" t="str">
            <v>-</v>
          </cell>
          <cell r="T2849" t="str">
            <v>-</v>
          </cell>
          <cell r="U2849" t="str">
            <v>-</v>
          </cell>
          <cell r="V2849" t="str">
            <v>-</v>
          </cell>
          <cell r="W2849" t="str">
            <v>-</v>
          </cell>
          <cell r="X2849" t="str">
            <v>CLP HC 150 (-30/+50°C)</v>
          </cell>
          <cell r="Y2849" t="str">
            <v>R107 AD4</v>
          </cell>
          <cell r="Z2849" t="str">
            <v>SEW</v>
          </cell>
          <cell r="AB2849" t="str">
            <v>-</v>
          </cell>
          <cell r="AF2849" t="e">
            <v>#VALUE!</v>
          </cell>
          <cell r="AG2849" t="str">
            <v>-</v>
          </cell>
          <cell r="AH2849" t="str">
            <v>R107----X</v>
          </cell>
        </row>
        <row r="2850">
          <cell r="A2850" t="str">
            <v>MR002838</v>
          </cell>
          <cell r="B2850" t="str">
            <v>R</v>
          </cell>
          <cell r="C2850" t="str">
            <v>-</v>
          </cell>
          <cell r="D2850">
            <v>38</v>
          </cell>
          <cell r="E2850" t="str">
            <v>R97</v>
          </cell>
          <cell r="F2850">
            <v>3000</v>
          </cell>
          <cell r="G2850">
            <v>37.130000000000003</v>
          </cell>
          <cell r="H2850">
            <v>1</v>
          </cell>
          <cell r="I2850" t="str">
            <v>M1</v>
          </cell>
          <cell r="J2850" t="str">
            <v>-</v>
          </cell>
          <cell r="K2850" t="str">
            <v>-</v>
          </cell>
          <cell r="L2850" t="str">
            <v>-</v>
          </cell>
          <cell r="M2850" t="str">
            <v>-</v>
          </cell>
          <cell r="N2850" t="str">
            <v>-</v>
          </cell>
          <cell r="O2850" t="str">
            <v>-</v>
          </cell>
          <cell r="P2850" t="str">
            <v>-</v>
          </cell>
          <cell r="Q2850" t="str">
            <v>-</v>
          </cell>
          <cell r="R2850" t="str">
            <v>-</v>
          </cell>
          <cell r="S2850" t="str">
            <v>-</v>
          </cell>
          <cell r="T2850" t="str">
            <v>-</v>
          </cell>
          <cell r="U2850" t="str">
            <v>-</v>
          </cell>
          <cell r="V2850" t="str">
            <v>-</v>
          </cell>
          <cell r="W2850" t="str">
            <v>-</v>
          </cell>
          <cell r="X2850" t="str">
            <v>CLP 220 (-15/+40°C)</v>
          </cell>
          <cell r="Y2850" t="str">
            <v>R97 AD4</v>
          </cell>
          <cell r="Z2850" t="str">
            <v>SEW</v>
          </cell>
          <cell r="AB2850" t="str">
            <v>-</v>
          </cell>
          <cell r="AF2850" t="e">
            <v>#VALUE!</v>
          </cell>
          <cell r="AG2850" t="str">
            <v>-</v>
          </cell>
          <cell r="AH2850" t="str">
            <v>R97----X</v>
          </cell>
        </row>
        <row r="2851">
          <cell r="A2851" t="str">
            <v>MR002839</v>
          </cell>
          <cell r="B2851" t="str">
            <v>ME</v>
          </cell>
          <cell r="C2851">
            <v>5.5</v>
          </cell>
          <cell r="D2851">
            <v>1464</v>
          </cell>
          <cell r="E2851" t="str">
            <v>-</v>
          </cell>
          <cell r="F2851" t="str">
            <v>-</v>
          </cell>
          <cell r="G2851" t="str">
            <v>-</v>
          </cell>
          <cell r="H2851" t="str">
            <v>-</v>
          </cell>
          <cell r="I2851" t="str">
            <v>-</v>
          </cell>
          <cell r="J2851" t="str">
            <v>IE3</v>
          </cell>
          <cell r="K2851" t="str">
            <v>230/400</v>
          </cell>
          <cell r="L2851">
            <v>50</v>
          </cell>
          <cell r="M2851" t="str">
            <v>18,2/10,5</v>
          </cell>
          <cell r="N2851">
            <v>54</v>
          </cell>
          <cell r="O2851" t="str">
            <v>130 (B)</v>
          </cell>
          <cell r="P2851" t="str">
            <v>-</v>
          </cell>
          <cell r="Q2851" t="str">
            <v>-</v>
          </cell>
          <cell r="R2851" t="str">
            <v>-</v>
          </cell>
          <cell r="S2851" t="str">
            <v>-</v>
          </cell>
          <cell r="T2851" t="str">
            <v>-</v>
          </cell>
          <cell r="U2851" t="str">
            <v>-</v>
          </cell>
          <cell r="V2851" t="str">
            <v>D</v>
          </cell>
          <cell r="W2851" t="str">
            <v>-</v>
          </cell>
          <cell r="X2851" t="str">
            <v>-</v>
          </cell>
          <cell r="Y2851" t="str">
            <v>DRN132S4/FI</v>
          </cell>
          <cell r="Z2851" t="str">
            <v>SEW</v>
          </cell>
          <cell r="AB2851" t="str">
            <v>-</v>
          </cell>
          <cell r="AE2851" t="str">
            <v>Forma costruttiva B3</v>
          </cell>
          <cell r="AF2851">
            <v>1464</v>
          </cell>
          <cell r="AG2851" t="str">
            <v>DRN132S4</v>
          </cell>
          <cell r="AH2851" t="str">
            <v>--DRN132S4--X</v>
          </cell>
        </row>
        <row r="2852">
          <cell r="A2852" t="str">
            <v>MR002840</v>
          </cell>
          <cell r="B2852" t="str">
            <v>ME</v>
          </cell>
          <cell r="C2852">
            <v>110</v>
          </cell>
          <cell r="D2852" t="str">
            <v>1488/1790</v>
          </cell>
          <cell r="E2852" t="str">
            <v>-</v>
          </cell>
          <cell r="F2852" t="str">
            <v>-</v>
          </cell>
          <cell r="G2852" t="str">
            <v>-</v>
          </cell>
          <cell r="H2852" t="str">
            <v>-</v>
          </cell>
          <cell r="I2852" t="str">
            <v>-</v>
          </cell>
          <cell r="J2852" t="str">
            <v>IE3</v>
          </cell>
          <cell r="K2852" t="str">
            <v>440-460</v>
          </cell>
          <cell r="L2852" t="str">
            <v>50-60</v>
          </cell>
          <cell r="M2852" t="str">
            <v>198/115</v>
          </cell>
          <cell r="N2852">
            <v>55</v>
          </cell>
          <cell r="O2852" t="str">
            <v>155(F)</v>
          </cell>
          <cell r="P2852" t="str">
            <v>-</v>
          </cell>
          <cell r="Q2852" t="str">
            <v>-</v>
          </cell>
          <cell r="R2852" t="str">
            <v>-</v>
          </cell>
          <cell r="S2852" t="str">
            <v>-</v>
          </cell>
          <cell r="T2852" t="str">
            <v>-</v>
          </cell>
          <cell r="U2852" t="str">
            <v>-</v>
          </cell>
          <cell r="V2852" t="str">
            <v>D</v>
          </cell>
          <cell r="W2852" t="str">
            <v>-</v>
          </cell>
          <cell r="X2852" t="str">
            <v>-</v>
          </cell>
          <cell r="Y2852" t="str">
            <v>DRN315S4/FI</v>
          </cell>
          <cell r="Z2852" t="str">
            <v>SEW</v>
          </cell>
          <cell r="AB2852" t="str">
            <v>-</v>
          </cell>
          <cell r="AE2852" t="str">
            <v>Forma costruttiva B3</v>
          </cell>
          <cell r="AF2852" t="e">
            <v>#VALUE!</v>
          </cell>
          <cell r="AG2852" t="e">
            <v>#N/A</v>
          </cell>
          <cell r="AH2852" t="e">
            <v>#N/A</v>
          </cell>
        </row>
        <row r="2853">
          <cell r="A2853" t="str">
            <v>MR002841</v>
          </cell>
          <cell r="B2853" t="str">
            <v>R</v>
          </cell>
          <cell r="C2853" t="str">
            <v>-</v>
          </cell>
          <cell r="D2853">
            <v>70</v>
          </cell>
          <cell r="E2853" t="str">
            <v>RF97</v>
          </cell>
          <cell r="F2853">
            <v>2610</v>
          </cell>
          <cell r="G2853">
            <v>20.14</v>
          </cell>
          <cell r="H2853">
            <v>1</v>
          </cell>
          <cell r="I2853" t="str">
            <v>From M1 to MA-60°</v>
          </cell>
          <cell r="J2853" t="str">
            <v>-</v>
          </cell>
          <cell r="K2853" t="str">
            <v>-</v>
          </cell>
          <cell r="L2853" t="str">
            <v>-</v>
          </cell>
          <cell r="M2853" t="str">
            <v>-</v>
          </cell>
          <cell r="N2853" t="str">
            <v>-</v>
          </cell>
          <cell r="O2853" t="str">
            <v>-</v>
          </cell>
          <cell r="P2853" t="str">
            <v>-</v>
          </cell>
          <cell r="Q2853" t="str">
            <v>-</v>
          </cell>
          <cell r="R2853" t="str">
            <v>-</v>
          </cell>
          <cell r="S2853" t="str">
            <v>-</v>
          </cell>
          <cell r="T2853" t="str">
            <v>-</v>
          </cell>
          <cell r="U2853" t="str">
            <v>-</v>
          </cell>
          <cell r="V2853" t="str">
            <v>-</v>
          </cell>
          <cell r="W2853" t="str">
            <v>-</v>
          </cell>
          <cell r="X2853" t="str">
            <v>CLP PG 220 (-25/+80°C)</v>
          </cell>
          <cell r="Y2853" t="str">
            <v>RF97/A</v>
          </cell>
          <cell r="Z2853" t="str">
            <v>SEW</v>
          </cell>
          <cell r="AB2853" t="str">
            <v>-</v>
          </cell>
          <cell r="AF2853" t="e">
            <v>#VALUE!</v>
          </cell>
          <cell r="AG2853" t="str">
            <v>-</v>
          </cell>
          <cell r="AH2853" t="str">
            <v>RF97--A--X</v>
          </cell>
        </row>
        <row r="2854">
          <cell r="A2854" t="str">
            <v>MR002842</v>
          </cell>
          <cell r="B2854" t="str">
            <v>MR</v>
          </cell>
          <cell r="C2854">
            <v>22</v>
          </cell>
          <cell r="D2854">
            <v>12</v>
          </cell>
          <cell r="E2854" t="str">
            <v>KH157</v>
          </cell>
          <cell r="F2854">
            <v>17400</v>
          </cell>
          <cell r="G2854">
            <v>122.39</v>
          </cell>
          <cell r="H2854">
            <v>1.1499999999999999</v>
          </cell>
          <cell r="I2854" t="str">
            <v>M4B</v>
          </cell>
          <cell r="J2854" t="str">
            <v>IE3</v>
          </cell>
          <cell r="K2854" t="str">
            <v>400/690</v>
          </cell>
          <cell r="L2854">
            <v>50</v>
          </cell>
          <cell r="M2854" t="str">
            <v>38,5/22,5</v>
          </cell>
          <cell r="N2854">
            <v>65</v>
          </cell>
          <cell r="O2854" t="str">
            <v>155(F)</v>
          </cell>
          <cell r="P2854" t="str">
            <v>270°</v>
          </cell>
          <cell r="Q2854" t="str">
            <v>TF</v>
          </cell>
          <cell r="R2854" t="str">
            <v>V(VE)</v>
          </cell>
          <cell r="S2854" t="str">
            <v>-</v>
          </cell>
          <cell r="T2854" t="str">
            <v>-</v>
          </cell>
          <cell r="U2854" t="str">
            <v>-</v>
          </cell>
          <cell r="V2854" t="str">
            <v>FC</v>
          </cell>
          <cell r="W2854" t="str">
            <v>-</v>
          </cell>
          <cell r="X2854" t="str">
            <v>CLP HC 220 (-25/+60°C)</v>
          </cell>
          <cell r="Y2854" t="str">
            <v>KH157EDRN180L4 /TF/VE</v>
          </cell>
          <cell r="Z2854" t="str">
            <v>SEW</v>
          </cell>
          <cell r="AB2854" t="str">
            <v>ATEX22</v>
          </cell>
          <cell r="AF2854">
            <v>12</v>
          </cell>
          <cell r="AG2854" t="str">
            <v>EDRN180L4</v>
          </cell>
          <cell r="AH2854" t="str">
            <v>KH157-EDRN180L4B270-X#</v>
          </cell>
        </row>
        <row r="2855">
          <cell r="A2855" t="str">
            <v>MR002843</v>
          </cell>
          <cell r="B2855" t="str">
            <v>MR</v>
          </cell>
          <cell r="C2855">
            <v>1.5</v>
          </cell>
          <cell r="D2855">
            <v>11</v>
          </cell>
          <cell r="E2855" t="str">
            <v>KA77</v>
          </cell>
          <cell r="F2855">
            <v>1260</v>
          </cell>
          <cell r="G2855">
            <v>128.52000000000001</v>
          </cell>
          <cell r="H2855">
            <v>1.25</v>
          </cell>
          <cell r="I2855" t="str">
            <v>M1 A+B ( albero passante )</v>
          </cell>
          <cell r="J2855" t="str">
            <v>IE3</v>
          </cell>
          <cell r="K2855" t="str">
            <v>230/400</v>
          </cell>
          <cell r="L2855">
            <v>50</v>
          </cell>
          <cell r="M2855" t="str">
            <v>5,9/3,4</v>
          </cell>
          <cell r="N2855">
            <v>65</v>
          </cell>
          <cell r="O2855" t="str">
            <v>155(F)</v>
          </cell>
          <cell r="P2855" t="str">
            <v>270°</v>
          </cell>
          <cell r="Q2855" t="str">
            <v>-</v>
          </cell>
          <cell r="R2855" t="str">
            <v>-</v>
          </cell>
          <cell r="S2855" t="str">
            <v>-</v>
          </cell>
          <cell r="T2855" t="str">
            <v>-</v>
          </cell>
          <cell r="U2855" t="str">
            <v>-</v>
          </cell>
          <cell r="V2855" t="str">
            <v>D+R</v>
          </cell>
          <cell r="W2855" t="str">
            <v>-</v>
          </cell>
          <cell r="X2855" t="str">
            <v>CLP HC 220 (-25/+60°C)</v>
          </cell>
          <cell r="Y2855" t="str">
            <v>KA77EDRN90L4</v>
          </cell>
          <cell r="Z2855" t="str">
            <v>SEW</v>
          </cell>
          <cell r="AB2855" t="str">
            <v>ATEX22</v>
          </cell>
          <cell r="AF2855">
            <v>11</v>
          </cell>
          <cell r="AG2855" t="str">
            <v>EDRN90L4</v>
          </cell>
          <cell r="AH2855" t="str">
            <v>KA77-EDRN90L4B270-X</v>
          </cell>
        </row>
        <row r="2856">
          <cell r="A2856" t="str">
            <v>MR002844</v>
          </cell>
          <cell r="B2856" t="str">
            <v>MR</v>
          </cell>
          <cell r="C2856">
            <v>1.5</v>
          </cell>
          <cell r="D2856">
            <v>11</v>
          </cell>
          <cell r="E2856" t="str">
            <v>FA77</v>
          </cell>
          <cell r="F2856">
            <v>1280</v>
          </cell>
          <cell r="G2856">
            <v>130.41999999999999</v>
          </cell>
          <cell r="H2856">
            <v>1.1499999999999999</v>
          </cell>
          <cell r="I2856" t="str">
            <v>M5</v>
          </cell>
          <cell r="J2856" t="str">
            <v>IE3</v>
          </cell>
          <cell r="K2856" t="str">
            <v>230/400</v>
          </cell>
          <cell r="L2856">
            <v>50</v>
          </cell>
          <cell r="M2856" t="str">
            <v>5,9/3,4</v>
          </cell>
          <cell r="N2856">
            <v>65</v>
          </cell>
          <cell r="O2856" t="str">
            <v>155(F)</v>
          </cell>
          <cell r="P2856" t="str">
            <v>270°</v>
          </cell>
          <cell r="Q2856" t="str">
            <v>TF</v>
          </cell>
          <cell r="R2856" t="str">
            <v>-</v>
          </cell>
          <cell r="S2856" t="str">
            <v>-</v>
          </cell>
          <cell r="T2856" t="str">
            <v>BEHF</v>
          </cell>
          <cell r="U2856" t="str">
            <v>G</v>
          </cell>
          <cell r="V2856" t="str">
            <v>D+R</v>
          </cell>
          <cell r="W2856" t="str">
            <v>-</v>
          </cell>
          <cell r="X2856" t="str">
            <v>CLP HC 220 (-25/+60°C)</v>
          </cell>
          <cell r="Y2856" t="str">
            <v>FA77/G EDRN90L4 /BEHF /TF</v>
          </cell>
          <cell r="Z2856" t="str">
            <v>SEW</v>
          </cell>
          <cell r="AB2856" t="str">
            <v>ATEX22</v>
          </cell>
          <cell r="AE2856" t="str">
            <v>Rectifier for brake in the terminal box</v>
          </cell>
          <cell r="AF2856">
            <v>11</v>
          </cell>
          <cell r="AG2856" t="str">
            <v>EDRN90L4</v>
          </cell>
          <cell r="AH2856" t="str">
            <v>FA77G-EDRN90L4270-X</v>
          </cell>
        </row>
        <row r="2857">
          <cell r="A2857" t="str">
            <v>MR002845</v>
          </cell>
          <cell r="B2857" t="str">
            <v>MR</v>
          </cell>
          <cell r="C2857">
            <v>1.5</v>
          </cell>
          <cell r="D2857">
            <v>11</v>
          </cell>
          <cell r="E2857" t="str">
            <v>FA77</v>
          </cell>
          <cell r="F2857">
            <v>1280</v>
          </cell>
          <cell r="G2857">
            <v>130.41999999999999</v>
          </cell>
          <cell r="H2857">
            <v>1.1499999999999999</v>
          </cell>
          <cell r="I2857" t="str">
            <v>M6</v>
          </cell>
          <cell r="J2857" t="str">
            <v>IE3</v>
          </cell>
          <cell r="K2857" t="str">
            <v>230/400</v>
          </cell>
          <cell r="L2857">
            <v>50</v>
          </cell>
          <cell r="M2857" t="str">
            <v>5,9/3,4</v>
          </cell>
          <cell r="N2857">
            <v>65</v>
          </cell>
          <cell r="O2857" t="str">
            <v>155(F)</v>
          </cell>
          <cell r="P2857" t="str">
            <v>270°</v>
          </cell>
          <cell r="Q2857" t="str">
            <v>TF</v>
          </cell>
          <cell r="R2857" t="str">
            <v>-</v>
          </cell>
          <cell r="S2857" t="str">
            <v>-</v>
          </cell>
          <cell r="T2857" t="str">
            <v>BEHF</v>
          </cell>
          <cell r="U2857" t="str">
            <v>G</v>
          </cell>
          <cell r="V2857" t="str">
            <v>D+R</v>
          </cell>
          <cell r="W2857" t="str">
            <v>-</v>
          </cell>
          <cell r="X2857" t="str">
            <v>CLP HC 220 (-25/+60°C)</v>
          </cell>
          <cell r="Y2857" t="str">
            <v>FA77/G EDRN90L4 /BEHF /TF</v>
          </cell>
          <cell r="Z2857" t="str">
            <v>SEW</v>
          </cell>
          <cell r="AB2857" t="str">
            <v>ATEX22</v>
          </cell>
          <cell r="AE2857" t="str">
            <v>Rectifier for brake in the terminal box</v>
          </cell>
          <cell r="AF2857">
            <v>11</v>
          </cell>
          <cell r="AG2857" t="str">
            <v>EDRN90L4</v>
          </cell>
          <cell r="AH2857" t="str">
            <v>FA77G-EDRN90L4270-X</v>
          </cell>
        </row>
        <row r="2858">
          <cell r="A2858" t="str">
            <v>MR002846</v>
          </cell>
          <cell r="B2858" t="str">
            <v>MR</v>
          </cell>
          <cell r="C2858">
            <v>7.5</v>
          </cell>
          <cell r="D2858">
            <v>58.93</v>
          </cell>
          <cell r="E2858" t="str">
            <v>KADS89-LE132ZMS4PWX</v>
          </cell>
          <cell r="F2858">
            <v>1600</v>
          </cell>
          <cell r="G2858">
            <v>24.86</v>
          </cell>
          <cell r="H2858">
            <v>1.32</v>
          </cell>
          <cell r="I2858" t="str">
            <v>From M1B to M4B - 80°</v>
          </cell>
          <cell r="J2858" t="str">
            <v>IE3</v>
          </cell>
          <cell r="K2858" t="str">
            <v>230/400</v>
          </cell>
          <cell r="L2858">
            <v>50</v>
          </cell>
          <cell r="M2858" t="str">
            <v>24,9/14,3</v>
          </cell>
          <cell r="N2858">
            <v>55</v>
          </cell>
          <cell r="O2858" t="str">
            <v>155(F)</v>
          </cell>
          <cell r="P2858" t="str">
            <v>2D</v>
          </cell>
          <cell r="Q2858" t="str">
            <v>TF</v>
          </cell>
          <cell r="R2858" t="str">
            <v>-</v>
          </cell>
          <cell r="S2858" t="str">
            <v>Free rotation CW</v>
          </cell>
          <cell r="T2858" t="str">
            <v>-</v>
          </cell>
          <cell r="U2858" t="str">
            <v>T</v>
          </cell>
          <cell r="V2858" t="str">
            <v>SS</v>
          </cell>
          <cell r="W2858" t="str">
            <v>YES</v>
          </cell>
          <cell r="X2858" t="str">
            <v xml:space="preserve">CLP PG VG 220 </v>
          </cell>
          <cell r="Y2858" t="str">
            <v>2KJ3510-9HL23-9CM1-Z_D24+E02+G23+H3A+K01+K07+K18+K41+K95+L03+L75+M10+M41+M62+N22+N23+N30+N38+N3A+N54+N67+P80</v>
          </cell>
          <cell r="Z2858" t="str">
            <v>SIEMENS</v>
          </cell>
          <cell r="AB2858" t="str">
            <v>-</v>
          </cell>
          <cell r="AF2858">
            <v>58.93</v>
          </cell>
          <cell r="AG2858" t="str">
            <v>DRN132M4</v>
          </cell>
          <cell r="AH2858" t="str">
            <v>KADS89-LE132ZMS4PWXT-DRN132M4B2D-X</v>
          </cell>
        </row>
        <row r="2859">
          <cell r="A2859" t="str">
            <v>MR002847</v>
          </cell>
          <cell r="B2859" t="str">
            <v>MR</v>
          </cell>
          <cell r="C2859">
            <v>7.5</v>
          </cell>
          <cell r="D2859">
            <v>58.93</v>
          </cell>
          <cell r="E2859" t="str">
            <v>KADS89-LE132ZMS4PW</v>
          </cell>
          <cell r="F2859">
            <v>1600</v>
          </cell>
          <cell r="G2859">
            <v>24.86</v>
          </cell>
          <cell r="H2859">
            <v>1.32</v>
          </cell>
          <cell r="I2859" t="str">
            <v>M4A</v>
          </cell>
          <cell r="J2859" t="str">
            <v>IE3</v>
          </cell>
          <cell r="K2859" t="str">
            <v>230/400</v>
          </cell>
          <cell r="L2859">
            <v>50</v>
          </cell>
          <cell r="M2859" t="str">
            <v>24,9/14,3</v>
          </cell>
          <cell r="N2859">
            <v>55</v>
          </cell>
          <cell r="O2859" t="str">
            <v>155(F)</v>
          </cell>
          <cell r="P2859" t="str">
            <v>2D</v>
          </cell>
          <cell r="Q2859" t="str">
            <v>TF</v>
          </cell>
          <cell r="R2859" t="str">
            <v>-</v>
          </cell>
          <cell r="S2859" t="str">
            <v>-</v>
          </cell>
          <cell r="T2859" t="str">
            <v>-</v>
          </cell>
          <cell r="U2859" t="str">
            <v>T</v>
          </cell>
          <cell r="V2859" t="str">
            <v>SS</v>
          </cell>
          <cell r="W2859" t="str">
            <v>YES</v>
          </cell>
          <cell r="X2859" t="str">
            <v xml:space="preserve">CLP PG VG 220 </v>
          </cell>
          <cell r="Y2859" t="str">
            <v>2KJ3510-9HL23-9CM1-Z_D14+G23+H3A+K01+K07+K41+K95+L03+L75+M10+M41+M62+N22+N30+N38+N3A+N54+N67+P80</v>
          </cell>
          <cell r="Z2859" t="str">
            <v>SIEMENS</v>
          </cell>
          <cell r="AB2859" t="str">
            <v>-</v>
          </cell>
          <cell r="AF2859">
            <v>58.93</v>
          </cell>
          <cell r="AG2859" t="str">
            <v>DRN132M4</v>
          </cell>
          <cell r="AH2859" t="str">
            <v>KADS89-LE132ZMS4PWT-DRN132M4A2D-X</v>
          </cell>
        </row>
        <row r="2860">
          <cell r="A2860" t="str">
            <v>MR002848</v>
          </cell>
          <cell r="B2860" t="str">
            <v>MR</v>
          </cell>
          <cell r="C2860">
            <v>0.75</v>
          </cell>
          <cell r="D2860">
            <v>157.66999999999999</v>
          </cell>
          <cell r="E2860" t="str">
            <v>KAD39-LE80ZMQ4P</v>
          </cell>
          <cell r="F2860">
            <v>220</v>
          </cell>
          <cell r="G2860">
            <v>31.92</v>
          </cell>
          <cell r="H2860">
            <v>1.4</v>
          </cell>
          <cell r="I2860" t="str">
            <v>From M3A to M2A - 10°</v>
          </cell>
          <cell r="J2860" t="str">
            <v>IE3</v>
          </cell>
          <cell r="K2860" t="str">
            <v>230/400</v>
          </cell>
          <cell r="L2860">
            <v>50</v>
          </cell>
          <cell r="M2860" t="str">
            <v>3,04/1,75</v>
          </cell>
          <cell r="N2860">
            <v>55</v>
          </cell>
          <cell r="O2860" t="str">
            <v>155(F)</v>
          </cell>
          <cell r="P2860" t="str">
            <v>2B</v>
          </cell>
          <cell r="Q2860" t="str">
            <v>TF</v>
          </cell>
          <cell r="R2860" t="str">
            <v>-</v>
          </cell>
          <cell r="S2860" t="str">
            <v>-</v>
          </cell>
          <cell r="T2860" t="str">
            <v>-</v>
          </cell>
          <cell r="U2860" t="str">
            <v>T</v>
          </cell>
          <cell r="V2860" t="str">
            <v>D</v>
          </cell>
          <cell r="W2860" t="str">
            <v>YES</v>
          </cell>
          <cell r="X2860" t="str">
            <v xml:space="preserve">CLP PG VG 220 </v>
          </cell>
          <cell r="Y2860" t="str">
            <v>2KJ3504-5DF23-4CS1-Z_D12+E16+G23+K01+K07+K41+K95+L03+L75+M10+M41+M60+N30+N38+N54+N67+P80</v>
          </cell>
          <cell r="Z2860" t="str">
            <v>SIEMENS</v>
          </cell>
          <cell r="AB2860" t="str">
            <v>-</v>
          </cell>
          <cell r="AF2860">
            <v>157.66999999999999</v>
          </cell>
          <cell r="AG2860" t="str">
            <v>DRN80M4</v>
          </cell>
          <cell r="AH2860" t="str">
            <v>KAD39-LE80ZMQ4PT-DRN80M4A2B-X</v>
          </cell>
        </row>
        <row r="2861">
          <cell r="A2861" t="str">
            <v>MR002849</v>
          </cell>
          <cell r="B2861" t="str">
            <v>MR</v>
          </cell>
          <cell r="C2861">
            <v>11</v>
          </cell>
          <cell r="D2861">
            <v>16.61</v>
          </cell>
          <cell r="E2861" t="str">
            <v>KAS149-LE160MPB4PFW</v>
          </cell>
          <cell r="F2861">
            <v>8000</v>
          </cell>
          <cell r="G2861">
            <v>88.81</v>
          </cell>
          <cell r="H2861">
            <v>1.26</v>
          </cell>
          <cell r="I2861" t="str">
            <v>From M1A to M4A - 60°</v>
          </cell>
          <cell r="J2861" t="str">
            <v>IE3</v>
          </cell>
          <cell r="K2861" t="str">
            <v>230/400</v>
          </cell>
          <cell r="L2861">
            <v>50</v>
          </cell>
          <cell r="M2861" t="str">
            <v>35,7/20,5</v>
          </cell>
          <cell r="N2861">
            <v>55</v>
          </cell>
          <cell r="O2861" t="str">
            <v>155(F)</v>
          </cell>
          <cell r="P2861" t="str">
            <v>2D</v>
          </cell>
          <cell r="Q2861" t="str">
            <v>TF</v>
          </cell>
          <cell r="R2861" t="str">
            <v>V(VE)</v>
          </cell>
          <cell r="S2861" t="str">
            <v>-</v>
          </cell>
          <cell r="T2861" t="str">
            <v>-</v>
          </cell>
          <cell r="U2861" t="str">
            <v>-</v>
          </cell>
          <cell r="V2861" t="str">
            <v>FC</v>
          </cell>
          <cell r="W2861" t="str">
            <v>YES</v>
          </cell>
          <cell r="X2861" t="str">
            <v xml:space="preserve">CLP PG VG 220 </v>
          </cell>
          <cell r="Y2861" t="str">
            <v>2KJ3513-9JR23-9AX1-Z_D14+E06+G23+H3A+K01+K07+K41+K95+L03+L75+M10+M23+M41+M62+N22+N30+N38+N3A+N54+N67+P91</v>
          </cell>
          <cell r="Z2861" t="str">
            <v>SIEMENS</v>
          </cell>
          <cell r="AB2861" t="str">
            <v>-</v>
          </cell>
          <cell r="AF2861">
            <v>16.61</v>
          </cell>
          <cell r="AG2861" t="str">
            <v>DRN160M4</v>
          </cell>
          <cell r="AH2861" t="str">
            <v>KAS149-LE160MPB4PFW-DRN160M4A2D-X#</v>
          </cell>
        </row>
        <row r="2862">
          <cell r="A2862" t="str">
            <v>MR002850</v>
          </cell>
          <cell r="B2862" t="str">
            <v>MR</v>
          </cell>
          <cell r="C2862">
            <v>11</v>
          </cell>
          <cell r="D2862">
            <v>16.61</v>
          </cell>
          <cell r="E2862" t="str">
            <v>KAS149-LE160MPB4PFW</v>
          </cell>
          <cell r="F2862">
            <v>8000</v>
          </cell>
          <cell r="G2862">
            <v>88.81</v>
          </cell>
          <cell r="H2862">
            <v>1.26</v>
          </cell>
          <cell r="I2862" t="str">
            <v>From M1B to M4B - 60°</v>
          </cell>
          <cell r="J2862" t="str">
            <v>IE3</v>
          </cell>
          <cell r="K2862" t="str">
            <v>230/400</v>
          </cell>
          <cell r="L2862">
            <v>50</v>
          </cell>
          <cell r="M2862" t="str">
            <v>35,7/20,5</v>
          </cell>
          <cell r="N2862">
            <v>55</v>
          </cell>
          <cell r="O2862" t="str">
            <v>155(F)</v>
          </cell>
          <cell r="P2862" t="str">
            <v>2D</v>
          </cell>
          <cell r="Q2862" t="str">
            <v>TF</v>
          </cell>
          <cell r="R2862" t="str">
            <v>V(VE)</v>
          </cell>
          <cell r="S2862" t="str">
            <v>-</v>
          </cell>
          <cell r="T2862" t="str">
            <v>-</v>
          </cell>
          <cell r="U2862" t="str">
            <v>-</v>
          </cell>
          <cell r="V2862" t="str">
            <v>FC</v>
          </cell>
          <cell r="W2862" t="str">
            <v>YES</v>
          </cell>
          <cell r="X2862" t="str">
            <v xml:space="preserve">CLP PG VG 220 </v>
          </cell>
          <cell r="Y2862" t="str">
            <v>2KJ3513-9JR23-9AX1-Z_D24+E06+G23+H3A+K01+K07+K41+K95+L03+L75+M10+M23+M41+M62+N22+N30+N38+N3A+N54+N67+P91</v>
          </cell>
          <cell r="Z2862" t="str">
            <v>SIEMENS</v>
          </cell>
          <cell r="AB2862" t="str">
            <v>-</v>
          </cell>
          <cell r="AF2862">
            <v>16.61</v>
          </cell>
          <cell r="AG2862" t="str">
            <v>DRN160M4</v>
          </cell>
          <cell r="AH2862" t="str">
            <v>KAS149-LE160MPB4PFW-DRN160M4B2D-X#</v>
          </cell>
        </row>
        <row r="2863">
          <cell r="A2863" t="str">
            <v>MR002851</v>
          </cell>
          <cell r="B2863" t="str">
            <v>MR</v>
          </cell>
          <cell r="C2863">
            <v>30</v>
          </cell>
          <cell r="D2863">
            <v>15.55</v>
          </cell>
          <cell r="E2863" t="str">
            <v xml:space="preserve"> KAS189-LES200ZLU4PW</v>
          </cell>
          <cell r="F2863">
            <v>19500</v>
          </cell>
          <cell r="G2863">
            <v>94.55</v>
          </cell>
          <cell r="H2863">
            <v>1.06</v>
          </cell>
          <cell r="I2863" t="str">
            <v>From M1A to M4A - 60°</v>
          </cell>
          <cell r="J2863" t="str">
            <v>IE3</v>
          </cell>
          <cell r="K2863" t="str">
            <v>230/400</v>
          </cell>
          <cell r="L2863">
            <v>50</v>
          </cell>
          <cell r="M2863" t="str">
            <v>95,5/55</v>
          </cell>
          <cell r="N2863">
            <v>55</v>
          </cell>
          <cell r="O2863" t="str">
            <v>155(F)</v>
          </cell>
          <cell r="P2863" t="str">
            <v>2D</v>
          </cell>
          <cell r="Q2863" t="str">
            <v>TF</v>
          </cell>
          <cell r="R2863" t="str">
            <v>V(VE)</v>
          </cell>
          <cell r="S2863" t="str">
            <v>-</v>
          </cell>
          <cell r="T2863" t="str">
            <v>-</v>
          </cell>
          <cell r="U2863" t="str">
            <v>-</v>
          </cell>
          <cell r="V2863" t="str">
            <v>FC</v>
          </cell>
          <cell r="W2863" t="str">
            <v>YES</v>
          </cell>
          <cell r="X2863" t="str">
            <v xml:space="preserve">CLP PG VG 220 </v>
          </cell>
          <cell r="Y2863" t="str">
            <v>2KJ3515-9LN33-9AP1-Z_D14+E06+G23+H3A+K01+K07+K41+K95+L03+L75+M10+M23+M41+M62+N22+N30+N38+N3A+N54+N67+P91</v>
          </cell>
          <cell r="Z2863" t="str">
            <v>SIEMENS</v>
          </cell>
          <cell r="AB2863" t="str">
            <v>-</v>
          </cell>
          <cell r="AF2863">
            <v>15.55</v>
          </cell>
          <cell r="AG2863" t="str">
            <v>DRN200L4</v>
          </cell>
          <cell r="AH2863" t="str">
            <v xml:space="preserve"> KAS189-LES200ZLU4PW-DRN200L4A2D-X#</v>
          </cell>
        </row>
        <row r="2864">
          <cell r="A2864" t="str">
            <v>MR002852</v>
          </cell>
          <cell r="B2864" t="str">
            <v>MR</v>
          </cell>
          <cell r="C2864">
            <v>4</v>
          </cell>
          <cell r="D2864">
            <v>14.22</v>
          </cell>
          <cell r="E2864" t="str">
            <v>KAS129-LE112ZMKB4P</v>
          </cell>
          <cell r="F2864">
            <v>4400</v>
          </cell>
          <cell r="G2864">
            <v>102.64</v>
          </cell>
          <cell r="H2864">
            <v>1.64</v>
          </cell>
          <cell r="I2864" t="str">
            <v>From M1A to M2A - 35°</v>
          </cell>
          <cell r="J2864" t="str">
            <v>IE3</v>
          </cell>
          <cell r="K2864" t="str">
            <v>230/400</v>
          </cell>
          <cell r="L2864">
            <v>50</v>
          </cell>
          <cell r="M2864" t="str">
            <v>13,7/7,9</v>
          </cell>
          <cell r="N2864">
            <v>55</v>
          </cell>
          <cell r="O2864" t="str">
            <v>155(F)</v>
          </cell>
          <cell r="P2864" t="str">
            <v>2B</v>
          </cell>
          <cell r="Q2864" t="str">
            <v>TF</v>
          </cell>
          <cell r="R2864" t="str">
            <v>-</v>
          </cell>
          <cell r="S2864" t="str">
            <v>-</v>
          </cell>
          <cell r="T2864" t="str">
            <v>-</v>
          </cell>
          <cell r="U2864" t="str">
            <v>-</v>
          </cell>
          <cell r="V2864" t="str">
            <v>SS</v>
          </cell>
          <cell r="W2864" t="str">
            <v>YES</v>
          </cell>
          <cell r="X2864" t="str">
            <v xml:space="preserve">CLP PG VG 220 </v>
          </cell>
          <cell r="Y2864" t="str">
            <v>2KJ3512-9GJ23-4AA2-Z_D11+E07+G23+H3A+K01+K07+K41+K95+L03+L75+M10+M41+M60+N30+N38+N54+N67+P80</v>
          </cell>
          <cell r="Z2864" t="str">
            <v>SIEMENS</v>
          </cell>
          <cell r="AB2864" t="str">
            <v>-</v>
          </cell>
          <cell r="AF2864">
            <v>14.22</v>
          </cell>
          <cell r="AG2864" t="str">
            <v>DRN112M4</v>
          </cell>
          <cell r="AH2864" t="str">
            <v>KAS129-LE112ZMKB4P-DRN112M4A2B-X</v>
          </cell>
        </row>
        <row r="2865">
          <cell r="A2865" t="str">
            <v>MR002853</v>
          </cell>
          <cell r="B2865" t="str">
            <v>MR</v>
          </cell>
          <cell r="C2865">
            <v>22</v>
          </cell>
          <cell r="D2865">
            <v>12.56</v>
          </cell>
          <cell r="E2865" t="str">
            <v>KAS189-LES180ZLN4PW</v>
          </cell>
          <cell r="F2865">
            <v>19500</v>
          </cell>
          <cell r="G2865">
            <v>117</v>
          </cell>
          <cell r="H2865">
            <v>1.17</v>
          </cell>
          <cell r="I2865" t="str">
            <v>From M1A to M4A - 55°</v>
          </cell>
          <cell r="J2865" t="str">
            <v>IE3</v>
          </cell>
          <cell r="K2865" t="str">
            <v>230/400</v>
          </cell>
          <cell r="L2865">
            <v>50</v>
          </cell>
          <cell r="M2865" t="str">
            <v>71,5/41</v>
          </cell>
          <cell r="N2865">
            <v>55</v>
          </cell>
          <cell r="O2865" t="str">
            <v>155(F)</v>
          </cell>
          <cell r="P2865" t="str">
            <v>2D</v>
          </cell>
          <cell r="Q2865" t="str">
            <v>TF</v>
          </cell>
          <cell r="R2865" t="str">
            <v>-</v>
          </cell>
          <cell r="S2865" t="str">
            <v>-</v>
          </cell>
          <cell r="T2865" t="str">
            <v>-</v>
          </cell>
          <cell r="U2865" t="str">
            <v>-</v>
          </cell>
          <cell r="V2865" t="str">
            <v>SS</v>
          </cell>
          <cell r="W2865" t="str">
            <v>YES</v>
          </cell>
          <cell r="X2865" t="str">
            <v xml:space="preserve">CLP PG VG 220 </v>
          </cell>
          <cell r="Y2865" t="str">
            <v>2KJ3515-9KN33-9AR1-Z_D14+E07+G23+H3A+K01+K07+K41+K95+L03+L75+M10+M41+M62+N22+N30+N38+N3A+N54+N67+P80</v>
          </cell>
          <cell r="Z2865" t="str">
            <v>SIEMENS</v>
          </cell>
          <cell r="AB2865" t="str">
            <v>-</v>
          </cell>
          <cell r="AF2865">
            <v>12.56</v>
          </cell>
          <cell r="AG2865" t="str">
            <v>DRN180L4</v>
          </cell>
          <cell r="AH2865" t="str">
            <v>KAS189-LES180ZLN4PW-DRN180L4A2D-X</v>
          </cell>
        </row>
        <row r="2866">
          <cell r="A2866" t="str">
            <v>MR002854</v>
          </cell>
          <cell r="B2866" t="str">
            <v>MR</v>
          </cell>
          <cell r="C2866">
            <v>9.1999999999999993</v>
          </cell>
          <cell r="D2866">
            <v>66.34</v>
          </cell>
          <cell r="E2866" t="str">
            <v>KADS109-LE160MPA4PW</v>
          </cell>
          <cell r="F2866">
            <v>2380</v>
          </cell>
          <cell r="G2866">
            <v>22.31</v>
          </cell>
          <cell r="H2866">
            <v>1.8</v>
          </cell>
          <cell r="I2866" t="str">
            <v>M4A</v>
          </cell>
          <cell r="J2866" t="str">
            <v>IE3</v>
          </cell>
          <cell r="K2866" t="str">
            <v>230/400</v>
          </cell>
          <cell r="L2866">
            <v>50</v>
          </cell>
          <cell r="M2866" t="str">
            <v>32,5/18,7</v>
          </cell>
          <cell r="N2866">
            <v>55</v>
          </cell>
          <cell r="O2866" t="str">
            <v>155(F)</v>
          </cell>
          <cell r="P2866" t="str">
            <v>2D</v>
          </cell>
          <cell r="Q2866" t="str">
            <v>TF</v>
          </cell>
          <cell r="R2866" t="str">
            <v>-</v>
          </cell>
          <cell r="S2866" t="str">
            <v>-</v>
          </cell>
          <cell r="T2866" t="str">
            <v>-</v>
          </cell>
          <cell r="U2866" t="str">
            <v>T</v>
          </cell>
          <cell r="V2866" t="str">
            <v>SS+R</v>
          </cell>
          <cell r="W2866" t="str">
            <v>YES</v>
          </cell>
          <cell r="X2866" t="str">
            <v xml:space="preserve">CLP PG VG 220 </v>
          </cell>
          <cell r="Y2866" t="str">
            <v>2KJ3511-9JQ23-9CL1-Z_D14+G23+H3A+K01+K07+K41+K95+L03+L75+M10+M41+M62+N22+N30+N38+N3A+N54+P80</v>
          </cell>
          <cell r="Z2866" t="str">
            <v>SIEMENS</v>
          </cell>
          <cell r="AB2866" t="str">
            <v>-</v>
          </cell>
          <cell r="AF2866">
            <v>66.34</v>
          </cell>
          <cell r="AG2866" t="str">
            <v>DRN132L4</v>
          </cell>
          <cell r="AH2866" t="str">
            <v>KADS109-LE160MPA4PWT-DRN132L4A2D-X</v>
          </cell>
        </row>
        <row r="2867">
          <cell r="A2867" t="str">
            <v>MR002855</v>
          </cell>
          <cell r="B2867" t="str">
            <v>MR</v>
          </cell>
          <cell r="C2867">
            <v>0.75</v>
          </cell>
          <cell r="D2867">
            <v>157.66999999999999</v>
          </cell>
          <cell r="E2867" t="str">
            <v>KAD39-LE80ZMQ4P</v>
          </cell>
          <cell r="F2867">
            <v>220</v>
          </cell>
          <cell r="G2867">
            <v>31.92</v>
          </cell>
          <cell r="H2867">
            <v>1.4</v>
          </cell>
          <cell r="I2867" t="str">
            <v>M3A</v>
          </cell>
          <cell r="J2867" t="str">
            <v>IE3</v>
          </cell>
          <cell r="K2867" t="str">
            <v>230/400</v>
          </cell>
          <cell r="L2867">
            <v>50</v>
          </cell>
          <cell r="M2867" t="str">
            <v>3,04/1,75</v>
          </cell>
          <cell r="N2867">
            <v>55</v>
          </cell>
          <cell r="O2867" t="str">
            <v>155(F)</v>
          </cell>
          <cell r="P2867" t="str">
            <v>2B</v>
          </cell>
          <cell r="Q2867" t="str">
            <v>TF</v>
          </cell>
          <cell r="R2867" t="str">
            <v>-</v>
          </cell>
          <cell r="S2867" t="str">
            <v>-</v>
          </cell>
          <cell r="T2867" t="str">
            <v>-</v>
          </cell>
          <cell r="U2867" t="str">
            <v>T</v>
          </cell>
          <cell r="V2867" t="str">
            <v>D</v>
          </cell>
          <cell r="W2867" t="str">
            <v>YES</v>
          </cell>
          <cell r="X2867" t="str">
            <v xml:space="preserve">CLP PG VG 220 </v>
          </cell>
          <cell r="Y2867" t="str">
            <v>2KJ3504-5DF23-4CS1-Z_D13+G23+K01+K07+K41+K95+L03+L75+M10+M41+M60+N30+N38+N54+N67+P80</v>
          </cell>
          <cell r="Z2867" t="str">
            <v>SIEMENS</v>
          </cell>
          <cell r="AB2867" t="str">
            <v>-</v>
          </cell>
          <cell r="AF2867">
            <v>157.66999999999999</v>
          </cell>
          <cell r="AG2867" t="str">
            <v>DRN80M4</v>
          </cell>
          <cell r="AH2867" t="str">
            <v>KAD39-LE80ZMQ4PT-DRN80M4A2B-X</v>
          </cell>
        </row>
        <row r="2868">
          <cell r="A2868" t="str">
            <v>MR002856</v>
          </cell>
          <cell r="B2868" t="str">
            <v>MR</v>
          </cell>
          <cell r="C2868">
            <v>9.1999999999999993</v>
          </cell>
          <cell r="D2868">
            <v>59.25</v>
          </cell>
          <cell r="E2868" t="str">
            <v>KADS109-LE160MPA4PW</v>
          </cell>
          <cell r="F2868">
            <v>2380</v>
          </cell>
          <cell r="G2868">
            <v>24.98</v>
          </cell>
          <cell r="H2868">
            <v>1.6</v>
          </cell>
          <cell r="I2868" t="str">
            <v>M4A</v>
          </cell>
          <cell r="J2868" t="str">
            <v>IE3</v>
          </cell>
          <cell r="K2868" t="str">
            <v>230/400</v>
          </cell>
          <cell r="L2868">
            <v>50</v>
          </cell>
          <cell r="M2868" t="str">
            <v>32,5/18,7</v>
          </cell>
          <cell r="N2868">
            <v>55</v>
          </cell>
          <cell r="O2868" t="str">
            <v>155(F)</v>
          </cell>
          <cell r="P2868" t="str">
            <v>2D</v>
          </cell>
          <cell r="Q2868" t="str">
            <v>TF</v>
          </cell>
          <cell r="R2868" t="str">
            <v>-</v>
          </cell>
          <cell r="S2868" t="str">
            <v>-</v>
          </cell>
          <cell r="T2868" t="str">
            <v>-</v>
          </cell>
          <cell r="U2868" t="str">
            <v>T</v>
          </cell>
          <cell r="V2868" t="str">
            <v>SS</v>
          </cell>
          <cell r="W2868" t="str">
            <v>YES</v>
          </cell>
          <cell r="X2868" t="str">
            <v xml:space="preserve">CLP PG VG 220 </v>
          </cell>
          <cell r="Y2868" t="str">
            <v>2KJ3511-9JQ23-9CM1-Z_D14+G23+H3A+K01+K07+K41+K95+L03+L75+M10+M41+M62+N22+N30+N38+N3A+N54+P80</v>
          </cell>
          <cell r="Z2868" t="str">
            <v>SIEMENS</v>
          </cell>
          <cell r="AB2868" t="str">
            <v>-</v>
          </cell>
          <cell r="AF2868">
            <v>59.25</v>
          </cell>
          <cell r="AG2868" t="str">
            <v>DRN132L4</v>
          </cell>
          <cell r="AH2868" t="str">
            <v>KADS109-LE160MPA4PWT-DRN132L4A2D-X</v>
          </cell>
        </row>
        <row r="2869">
          <cell r="A2869" t="str">
            <v>MR002857</v>
          </cell>
          <cell r="B2869" t="str">
            <v>MR</v>
          </cell>
          <cell r="C2869">
            <v>0.75</v>
          </cell>
          <cell r="D2869">
            <v>157.66999999999999</v>
          </cell>
          <cell r="E2869" t="str">
            <v>KAD39-LE80ZMQ4P</v>
          </cell>
          <cell r="F2869">
            <v>220</v>
          </cell>
          <cell r="G2869">
            <v>31.92</v>
          </cell>
          <cell r="H2869">
            <v>1.4</v>
          </cell>
          <cell r="I2869" t="str">
            <v>M3B</v>
          </cell>
          <cell r="J2869" t="str">
            <v>IE3</v>
          </cell>
          <cell r="K2869" t="str">
            <v>230/400</v>
          </cell>
          <cell r="L2869">
            <v>50</v>
          </cell>
          <cell r="M2869" t="str">
            <v>3,04/1,75</v>
          </cell>
          <cell r="N2869">
            <v>55</v>
          </cell>
          <cell r="O2869" t="str">
            <v>155(F)</v>
          </cell>
          <cell r="P2869" t="str">
            <v>2B</v>
          </cell>
          <cell r="Q2869" t="str">
            <v>TF</v>
          </cell>
          <cell r="R2869" t="str">
            <v>-</v>
          </cell>
          <cell r="S2869" t="str">
            <v>-</v>
          </cell>
          <cell r="T2869" t="str">
            <v>-</v>
          </cell>
          <cell r="U2869" t="str">
            <v>T</v>
          </cell>
          <cell r="V2869" t="str">
            <v>D</v>
          </cell>
          <cell r="W2869" t="str">
            <v>YES</v>
          </cell>
          <cell r="X2869" t="str">
            <v xml:space="preserve">CLP PG VG 220 </v>
          </cell>
          <cell r="Y2869" t="str">
            <v>2KJ3504-5DF23-4CS1-Z_D23+G23+K01+K07+K41+K95+L03+L75+M10+M41+M60+N30+N38+N54+N67+P80</v>
          </cell>
          <cell r="Z2869" t="str">
            <v>SIEMENS</v>
          </cell>
          <cell r="AB2869" t="str">
            <v>-</v>
          </cell>
          <cell r="AF2869">
            <v>157.66999999999999</v>
          </cell>
          <cell r="AG2869" t="str">
            <v>DRN80M4</v>
          </cell>
          <cell r="AH2869" t="str">
            <v>KAD39-LE80ZMQ4PT-DRN80M4B2B-X</v>
          </cell>
        </row>
        <row r="2870">
          <cell r="A2870" t="str">
            <v>MR002858</v>
          </cell>
          <cell r="B2870" t="str">
            <v>ME</v>
          </cell>
          <cell r="C2870">
            <v>1.5</v>
          </cell>
          <cell r="D2870">
            <v>1461</v>
          </cell>
          <cell r="E2870" t="str">
            <v>-</v>
          </cell>
          <cell r="F2870" t="str">
            <v>-</v>
          </cell>
          <cell r="G2870" t="str">
            <v>-</v>
          </cell>
          <cell r="H2870" t="str">
            <v>-</v>
          </cell>
          <cell r="I2870" t="str">
            <v>-</v>
          </cell>
          <cell r="J2870" t="str">
            <v>IE3</v>
          </cell>
          <cell r="K2870" t="str">
            <v>230/400</v>
          </cell>
          <cell r="L2870">
            <v>50</v>
          </cell>
          <cell r="M2870" t="str">
            <v>5,9/3,4</v>
          </cell>
          <cell r="N2870">
            <v>55</v>
          </cell>
          <cell r="O2870" t="str">
            <v>155(F)</v>
          </cell>
          <cell r="P2870" t="str">
            <v>0°</v>
          </cell>
          <cell r="Q2870" t="str">
            <v>-</v>
          </cell>
          <cell r="R2870" t="str">
            <v>-</v>
          </cell>
          <cell r="S2870" t="str">
            <v>-</v>
          </cell>
          <cell r="T2870" t="str">
            <v>-</v>
          </cell>
          <cell r="U2870" t="str">
            <v>-</v>
          </cell>
          <cell r="V2870" t="str">
            <v>D</v>
          </cell>
          <cell r="W2870" t="str">
            <v>-</v>
          </cell>
          <cell r="X2870" t="str">
            <v>-</v>
          </cell>
          <cell r="Y2870" t="str">
            <v>DRN90L4/FG</v>
          </cell>
          <cell r="Z2870" t="str">
            <v>SEW</v>
          </cell>
          <cell r="AB2870" t="str">
            <v>-</v>
          </cell>
          <cell r="AE2870" t="str">
            <v>Forma costruttiva M1</v>
          </cell>
          <cell r="AF2870">
            <v>1461</v>
          </cell>
          <cell r="AG2870" t="str">
            <v>DRN90L4</v>
          </cell>
          <cell r="AH2870" t="str">
            <v>--DRN90L40-X</v>
          </cell>
        </row>
        <row r="2871">
          <cell r="A2871" t="str">
            <v>MR002859</v>
          </cell>
          <cell r="B2871" t="str">
            <v>MR</v>
          </cell>
          <cell r="C2871">
            <v>15</v>
          </cell>
          <cell r="D2871">
            <v>68.040000000000006</v>
          </cell>
          <cell r="E2871" t="str">
            <v>KADS129-LE160ZLL4PWX</v>
          </cell>
          <cell r="F2871">
            <v>4270</v>
          </cell>
          <cell r="G2871">
            <v>21.68</v>
          </cell>
          <cell r="H2871">
            <v>2.0299999999999998</v>
          </cell>
          <cell r="I2871" t="str">
            <v>From M1B to M4B - 80°</v>
          </cell>
          <cell r="J2871" t="str">
            <v>IE3</v>
          </cell>
          <cell r="K2871" t="str">
            <v>230/400</v>
          </cell>
          <cell r="L2871">
            <v>50</v>
          </cell>
          <cell r="M2871" t="str">
            <v>49,6/28,5</v>
          </cell>
          <cell r="N2871">
            <v>55</v>
          </cell>
          <cell r="O2871" t="str">
            <v>155(F)</v>
          </cell>
          <cell r="P2871" t="str">
            <v>2D</v>
          </cell>
          <cell r="Q2871" t="str">
            <v>TF</v>
          </cell>
          <cell r="R2871" t="str">
            <v>-</v>
          </cell>
          <cell r="S2871" t="str">
            <v>Free rotation CW</v>
          </cell>
          <cell r="T2871" t="str">
            <v>-</v>
          </cell>
          <cell r="U2871" t="str">
            <v>T</v>
          </cell>
          <cell r="V2871" t="str">
            <v>SS</v>
          </cell>
          <cell r="W2871" t="str">
            <v>YES</v>
          </cell>
          <cell r="X2871" t="str">
            <v xml:space="preserve">CLP PG VG 220 </v>
          </cell>
          <cell r="Y2871" t="str">
            <v>2KJ3512-9JU23-9CK1-Z_D24+E02+G23+H3A+K01+K07+K18+K41+K95+L03+L75+M10+M41+M62+N22+N23+N30+N38+N3A+N54+N67+P80</v>
          </cell>
          <cell r="Z2871" t="str">
            <v>SIEMENS</v>
          </cell>
          <cell r="AB2871" t="str">
            <v>-</v>
          </cell>
          <cell r="AF2871">
            <v>68.040000000000006</v>
          </cell>
          <cell r="AG2871" t="str">
            <v>DRN160L4</v>
          </cell>
          <cell r="AH2871" t="str">
            <v>KADS129-LE160ZLL4PWXT-DRN160L4B2D-X</v>
          </cell>
        </row>
        <row r="2872">
          <cell r="A2872" t="str">
            <v>MR002860</v>
          </cell>
          <cell r="B2872" t="str">
            <v>MR</v>
          </cell>
          <cell r="C2872">
            <v>0.75</v>
          </cell>
          <cell r="D2872">
            <v>157.66999999999999</v>
          </cell>
          <cell r="E2872" t="str">
            <v>KAD39-LE80ZMQ4P</v>
          </cell>
          <cell r="F2872">
            <v>220</v>
          </cell>
          <cell r="G2872">
            <v>31.92</v>
          </cell>
          <cell r="H2872">
            <v>1.4</v>
          </cell>
          <cell r="I2872" t="str">
            <v>From M3B to M4B - 10°</v>
          </cell>
          <cell r="J2872" t="str">
            <v>IE3</v>
          </cell>
          <cell r="K2872" t="str">
            <v>230/400</v>
          </cell>
          <cell r="L2872">
            <v>50</v>
          </cell>
          <cell r="M2872" t="str">
            <v>3,04/1,75</v>
          </cell>
          <cell r="N2872">
            <v>55</v>
          </cell>
          <cell r="O2872" t="str">
            <v>155(F)</v>
          </cell>
          <cell r="P2872" t="str">
            <v>2B</v>
          </cell>
          <cell r="Q2872" t="str">
            <v>TF</v>
          </cell>
          <cell r="R2872" t="str">
            <v>-</v>
          </cell>
          <cell r="S2872" t="str">
            <v>-</v>
          </cell>
          <cell r="T2872" t="str">
            <v>-</v>
          </cell>
          <cell r="U2872" t="str">
            <v>T</v>
          </cell>
          <cell r="V2872" t="str">
            <v>D</v>
          </cell>
          <cell r="W2872" t="str">
            <v>YES</v>
          </cell>
          <cell r="X2872" t="str">
            <v xml:space="preserve">CLP PG VG 220 </v>
          </cell>
          <cell r="Y2872" t="str">
            <v>2KJ3504-5DF23-4CS1-Z_D23+E02+G23+K01+K07+K41+K95+L03+L75+M10+M41+M60+N30+N38+N54+N67+P80</v>
          </cell>
          <cell r="Z2872" t="str">
            <v>SIEMENS</v>
          </cell>
          <cell r="AB2872" t="str">
            <v>-</v>
          </cell>
          <cell r="AF2872">
            <v>157.66999999999999</v>
          </cell>
          <cell r="AG2872" t="str">
            <v>DRN80M4</v>
          </cell>
          <cell r="AH2872" t="str">
            <v>KAD39-LE80ZMQ4PT-DRN80M4B2B-X</v>
          </cell>
        </row>
        <row r="2873">
          <cell r="A2873" t="str">
            <v>MR002861</v>
          </cell>
          <cell r="B2873" t="str">
            <v>MR</v>
          </cell>
          <cell r="C2873">
            <v>3</v>
          </cell>
          <cell r="D2873">
            <v>67.56</v>
          </cell>
          <cell r="E2873" t="str">
            <v>Z69-LE100ZLSB4P</v>
          </cell>
          <cell r="F2873">
            <v>600</v>
          </cell>
          <cell r="G2873">
            <v>21.61</v>
          </cell>
          <cell r="H2873">
            <v>1.41</v>
          </cell>
          <cell r="I2873" t="str">
            <v>M1</v>
          </cell>
          <cell r="J2873" t="str">
            <v>IE3</v>
          </cell>
          <cell r="K2873" t="str">
            <v>230/400</v>
          </cell>
          <cell r="L2873">
            <v>50</v>
          </cell>
          <cell r="M2873" t="str">
            <v>10,3/5,9</v>
          </cell>
          <cell r="N2873">
            <v>55</v>
          </cell>
          <cell r="O2873" t="str">
            <v>155(F)</v>
          </cell>
          <cell r="P2873" t="str">
            <v>2B</v>
          </cell>
          <cell r="Q2873" t="str">
            <v>TF</v>
          </cell>
          <cell r="R2873" t="str">
            <v>-</v>
          </cell>
          <cell r="S2873" t="str">
            <v>-</v>
          </cell>
          <cell r="T2873" t="str">
            <v>-</v>
          </cell>
          <cell r="U2873" t="str">
            <v>-</v>
          </cell>
          <cell r="V2873" t="str">
            <v>D</v>
          </cell>
          <cell r="W2873" t="str">
            <v>YES</v>
          </cell>
          <cell r="X2873" t="str">
            <v xml:space="preserve">CLP PG VG 220 </v>
          </cell>
          <cell r="Y2873" t="str">
            <v>2KJ3106-1FP23-4AP1-Z_D01+G23+K01+K07+K41+K95+L03+L75+M10+M41+M60+N30+N38+N54+N67+P80</v>
          </cell>
          <cell r="Z2873" t="str">
            <v>SIEMENS</v>
          </cell>
          <cell r="AB2873" t="str">
            <v>-</v>
          </cell>
          <cell r="AF2873">
            <v>67.56</v>
          </cell>
          <cell r="AG2873" t="str">
            <v>DRN100L4</v>
          </cell>
          <cell r="AH2873" t="str">
            <v>Z69-LE100ZLSB4P-DRN100L42B-X</v>
          </cell>
        </row>
        <row r="2874">
          <cell r="A2874" t="str">
            <v>MR002862</v>
          </cell>
          <cell r="B2874" t="str">
            <v>MR</v>
          </cell>
          <cell r="C2874">
            <v>11</v>
          </cell>
          <cell r="D2874">
            <v>64.349999999999994</v>
          </cell>
          <cell r="E2874" t="str">
            <v>Z89-LE160MPB4P</v>
          </cell>
          <cell r="F2874">
            <v>1680</v>
          </cell>
          <cell r="G2874">
            <v>22.92</v>
          </cell>
          <cell r="H2874">
            <v>1.03</v>
          </cell>
          <cell r="I2874" t="str">
            <v>M1</v>
          </cell>
          <cell r="J2874" t="str">
            <v>IE3</v>
          </cell>
          <cell r="K2874" t="str">
            <v>230/400</v>
          </cell>
          <cell r="L2874">
            <v>50</v>
          </cell>
          <cell r="M2874" t="str">
            <v>35,7/20,5</v>
          </cell>
          <cell r="N2874">
            <v>55</v>
          </cell>
          <cell r="O2874" t="str">
            <v>155(F)</v>
          </cell>
          <cell r="P2874" t="str">
            <v>2B</v>
          </cell>
          <cell r="Q2874" t="str">
            <v>TF</v>
          </cell>
          <cell r="R2874" t="str">
            <v>-</v>
          </cell>
          <cell r="S2874" t="str">
            <v>-</v>
          </cell>
          <cell r="T2874" t="str">
            <v>-</v>
          </cell>
          <cell r="U2874" t="str">
            <v>-</v>
          </cell>
          <cell r="V2874" t="str">
            <v>D</v>
          </cell>
          <cell r="W2874" t="str">
            <v>YES</v>
          </cell>
          <cell r="X2874" t="str">
            <v xml:space="preserve">CLP PG VG 220 </v>
          </cell>
          <cell r="Y2874" t="str">
            <v>2KJ3108-1JR23-9AP1-Z_D01+G23+K01+K07+K41+K95+L03+L75+M10+M41+M60+N30+N38+N3A+N54+N67+P80</v>
          </cell>
          <cell r="Z2874" t="str">
            <v>SIEMENS</v>
          </cell>
          <cell r="AB2874" t="str">
            <v>-</v>
          </cell>
          <cell r="AF2874">
            <v>64.349999999999994</v>
          </cell>
          <cell r="AG2874" t="str">
            <v>DRN160M4</v>
          </cell>
          <cell r="AH2874" t="str">
            <v>Z89-LE160MPB4P-DRN160M42B-X</v>
          </cell>
        </row>
        <row r="2875">
          <cell r="A2875" t="str">
            <v>MR002863</v>
          </cell>
          <cell r="B2875" t="str">
            <v>MR</v>
          </cell>
          <cell r="C2875">
            <v>5.5</v>
          </cell>
          <cell r="D2875">
            <v>64.14</v>
          </cell>
          <cell r="E2875" t="str">
            <v>Z89-LE132ZST4PW</v>
          </cell>
          <cell r="F2875">
            <v>1680</v>
          </cell>
          <cell r="G2875">
            <v>22.92</v>
          </cell>
          <cell r="H2875">
            <v>2.0499999999999998</v>
          </cell>
          <cell r="I2875" t="str">
            <v>From M1 to M4 - 25°</v>
          </cell>
          <cell r="J2875" t="str">
            <v>IE3</v>
          </cell>
          <cell r="K2875" t="str">
            <v>230/400</v>
          </cell>
          <cell r="L2875">
            <v>50</v>
          </cell>
          <cell r="M2875" t="str">
            <v>18,8/10,8</v>
          </cell>
          <cell r="N2875">
            <v>55</v>
          </cell>
          <cell r="O2875" t="str">
            <v>155(F)</v>
          </cell>
          <cell r="P2875" t="str">
            <v>2D</v>
          </cell>
          <cell r="Q2875" t="str">
            <v>TF</v>
          </cell>
          <cell r="R2875" t="str">
            <v>-</v>
          </cell>
          <cell r="S2875" t="str">
            <v>-</v>
          </cell>
          <cell r="T2875" t="str">
            <v>-</v>
          </cell>
          <cell r="U2875" t="str">
            <v>-</v>
          </cell>
          <cell r="V2875" t="str">
            <v>D</v>
          </cell>
          <cell r="W2875" t="str">
            <v>YES</v>
          </cell>
          <cell r="X2875" t="str">
            <v xml:space="preserve">CLP PG VG 220 </v>
          </cell>
          <cell r="Y2875" t="str">
            <v>2KJ3108-1HJ23-9AP1-Z_D04+E13+K01+K07+K41+K95+L03+L75+M10+M41+M62+N22+N30+N38+N3A+N54+N67+P80</v>
          </cell>
          <cell r="Z2875" t="str">
            <v>SIEMENS</v>
          </cell>
          <cell r="AB2875" t="str">
            <v>-</v>
          </cell>
          <cell r="AF2875">
            <v>64.14</v>
          </cell>
          <cell r="AG2875" t="str">
            <v>DRN132S4</v>
          </cell>
          <cell r="AH2875" t="str">
            <v>Z89-LE132ZST4PW-DRN132S42D-X</v>
          </cell>
        </row>
        <row r="2876">
          <cell r="A2876" t="str">
            <v>MR002864</v>
          </cell>
          <cell r="B2876" t="str">
            <v>MR</v>
          </cell>
          <cell r="C2876">
            <v>1.5</v>
          </cell>
          <cell r="D2876">
            <v>3.54</v>
          </cell>
          <cell r="E2876" t="str">
            <v>KAD129-Z39-LE90ZLR4PF-L16NHA</v>
          </cell>
          <cell r="F2876">
            <v>4400</v>
          </cell>
          <cell r="G2876">
            <v>408</v>
          </cell>
          <cell r="H2876">
            <v>1.1599999999999999</v>
          </cell>
          <cell r="I2876" t="str">
            <v>M3B</v>
          </cell>
          <cell r="J2876" t="str">
            <v>IE3</v>
          </cell>
          <cell r="K2876" t="str">
            <v>230/400</v>
          </cell>
          <cell r="L2876">
            <v>50</v>
          </cell>
          <cell r="M2876" t="str">
            <v>5,5/3,15</v>
          </cell>
          <cell r="N2876">
            <v>55</v>
          </cell>
          <cell r="O2876" t="str">
            <v>155(F)</v>
          </cell>
          <cell r="P2876" t="str">
            <v>4B</v>
          </cell>
          <cell r="Q2876" t="str">
            <v>TF</v>
          </cell>
          <cell r="R2876" t="str">
            <v>V(VE)</v>
          </cell>
          <cell r="S2876" t="str">
            <v>-</v>
          </cell>
          <cell r="T2876" t="str">
            <v>BEHF</v>
          </cell>
          <cell r="U2876" t="str">
            <v>T</v>
          </cell>
          <cell r="V2876" t="str">
            <v>FC+R</v>
          </cell>
          <cell r="W2876" t="str">
            <v>YES</v>
          </cell>
          <cell r="X2876" t="str">
            <v xml:space="preserve">CLP PG VG 220 </v>
          </cell>
          <cell r="Y2876" t="str">
            <v>2KJ3533-5EM23-4CB1-Z_B10+C03+C26+C47+D23+G23+K01+K07+K41+K95+L03+L75+M10+M23+M41+M68+N30+N38+N54+N67+P91</v>
          </cell>
          <cell r="Z2876" t="str">
            <v>SIEMENS</v>
          </cell>
          <cell r="AB2876" t="str">
            <v>-</v>
          </cell>
          <cell r="AF2876">
            <v>3.54</v>
          </cell>
          <cell r="AG2876" t="str">
            <v>DRN90L4</v>
          </cell>
          <cell r="AH2876" t="str">
            <v>KAD129-Z39-LE90ZLR4PF-L16NHAT-DRN90L4B4B-X#</v>
          </cell>
        </row>
        <row r="2877">
          <cell r="A2877" t="str">
            <v>MR002865</v>
          </cell>
          <cell r="B2877" t="str">
            <v>MR</v>
          </cell>
          <cell r="C2877">
            <v>0.55000000000000004</v>
          </cell>
          <cell r="D2877">
            <v>3.59</v>
          </cell>
          <cell r="E2877" t="str">
            <v>KAD89-Z39-LE80MD4EF-L8NHA</v>
          </cell>
          <cell r="F2877">
            <v>1600</v>
          </cell>
          <cell r="G2877">
            <v>401</v>
          </cell>
          <cell r="H2877">
            <v>1.21</v>
          </cell>
          <cell r="I2877" t="str">
            <v>M3B</v>
          </cell>
          <cell r="J2877" t="str">
            <v>IE3</v>
          </cell>
          <cell r="K2877" t="str">
            <v>230/400</v>
          </cell>
          <cell r="L2877">
            <v>50</v>
          </cell>
          <cell r="M2877" t="str">
            <v>2,42/1,39</v>
          </cell>
          <cell r="N2877">
            <v>55</v>
          </cell>
          <cell r="O2877" t="str">
            <v>155(F)</v>
          </cell>
          <cell r="P2877" t="str">
            <v>4B</v>
          </cell>
          <cell r="Q2877" t="str">
            <v>TF</v>
          </cell>
          <cell r="R2877" t="str">
            <v>V(VE)</v>
          </cell>
          <cell r="S2877" t="str">
            <v>-</v>
          </cell>
          <cell r="T2877" t="str">
            <v>BEHF</v>
          </cell>
          <cell r="U2877" t="str">
            <v>T</v>
          </cell>
          <cell r="V2877" t="str">
            <v>FC+R</v>
          </cell>
          <cell r="W2877" t="str">
            <v>YES</v>
          </cell>
          <cell r="X2877" t="str">
            <v xml:space="preserve">CLP PG VG 220 </v>
          </cell>
          <cell r="Y2877" t="str">
            <v>2KJ3528-5DC22-4CD1-Z_B04+C03+C26+C47+D23+G23+K01+K07+K41+K95+L03+L75+M10+M23+M41+M68+N30+N38+N54+P91</v>
          </cell>
          <cell r="Z2877" t="str">
            <v>SIEMENS</v>
          </cell>
          <cell r="AB2877" t="str">
            <v>-</v>
          </cell>
          <cell r="AF2877">
            <v>3.59</v>
          </cell>
          <cell r="AG2877" t="str">
            <v>DRN80MK4</v>
          </cell>
          <cell r="AH2877" t="str">
            <v>KAD89-Z39-LE80MD4EF-L8NHAT-DRN80MK4B4B-X#</v>
          </cell>
        </row>
        <row r="2878">
          <cell r="A2878" t="str">
            <v>MR002866</v>
          </cell>
          <cell r="B2878" t="str">
            <v>MR</v>
          </cell>
          <cell r="C2878">
            <v>5.5</v>
          </cell>
          <cell r="D2878">
            <v>93.87</v>
          </cell>
          <cell r="E2878" t="str">
            <v>Z89-LE132ZST4P</v>
          </cell>
          <cell r="F2878">
            <v>1680</v>
          </cell>
          <cell r="G2878">
            <v>15.66</v>
          </cell>
          <cell r="H2878">
            <v>3</v>
          </cell>
          <cell r="I2878" t="str">
            <v>From M1 to M2 - 15°</v>
          </cell>
          <cell r="J2878" t="str">
            <v>IE3</v>
          </cell>
          <cell r="K2878" t="str">
            <v>230/400</v>
          </cell>
          <cell r="L2878">
            <v>50</v>
          </cell>
          <cell r="M2878" t="str">
            <v>18,8/10,8</v>
          </cell>
          <cell r="N2878">
            <v>55</v>
          </cell>
          <cell r="O2878" t="str">
            <v>155(F)</v>
          </cell>
          <cell r="P2878" t="str">
            <v>2B</v>
          </cell>
          <cell r="Q2878" t="str">
            <v>TF</v>
          </cell>
          <cell r="R2878" t="str">
            <v>-</v>
          </cell>
          <cell r="S2878" t="str">
            <v>-</v>
          </cell>
          <cell r="T2878" t="str">
            <v>-</v>
          </cell>
          <cell r="U2878" t="str">
            <v>-</v>
          </cell>
          <cell r="V2878" t="str">
            <v>D</v>
          </cell>
          <cell r="W2878" t="str">
            <v>YES</v>
          </cell>
          <cell r="X2878" t="str">
            <v xml:space="preserve">CLP PG VG 220 </v>
          </cell>
          <cell r="Y2878" t="str">
            <v>2KJ3108-1HJ23-9AL1-Z_D01+E03+G23+K01+K07+K41+K95+L03+L75+M10+M41+M60+N30+N38+N3A+N54+N67+P80</v>
          </cell>
          <cell r="Z2878" t="str">
            <v>SIEMENS</v>
          </cell>
          <cell r="AB2878" t="str">
            <v>-</v>
          </cell>
          <cell r="AF2878">
            <v>93.87</v>
          </cell>
          <cell r="AG2878" t="str">
            <v>DRN132S4</v>
          </cell>
          <cell r="AH2878" t="str">
            <v>Z89-LE132ZST4P-DRN132S42B-X</v>
          </cell>
        </row>
        <row r="2879">
          <cell r="A2879" t="str">
            <v>MR002867</v>
          </cell>
          <cell r="B2879" t="str">
            <v>MR</v>
          </cell>
          <cell r="C2879">
            <v>18.5</v>
          </cell>
          <cell r="D2879">
            <v>33.79</v>
          </cell>
          <cell r="E2879" t="str">
            <v>D149-LES180MQ4PX</v>
          </cell>
          <cell r="F2879">
            <v>8000</v>
          </cell>
          <cell r="G2879">
            <v>43.51</v>
          </cell>
          <cell r="H2879">
            <v>1.53</v>
          </cell>
          <cell r="I2879" t="str">
            <v>M1</v>
          </cell>
          <cell r="J2879" t="str">
            <v>IE3</v>
          </cell>
          <cell r="K2879" t="str">
            <v>230/400</v>
          </cell>
          <cell r="L2879">
            <v>50</v>
          </cell>
          <cell r="M2879" t="str">
            <v>61/35</v>
          </cell>
          <cell r="N2879">
            <v>55</v>
          </cell>
          <cell r="O2879" t="str">
            <v>155(F)</v>
          </cell>
          <cell r="P2879" t="str">
            <v>2B</v>
          </cell>
          <cell r="Q2879" t="str">
            <v>TF</v>
          </cell>
          <cell r="R2879" t="str">
            <v>-</v>
          </cell>
          <cell r="S2879" t="str">
            <v>Free rotation CW</v>
          </cell>
          <cell r="T2879" t="str">
            <v>-</v>
          </cell>
          <cell r="U2879" t="str">
            <v>-</v>
          </cell>
          <cell r="V2879" t="str">
            <v>SS</v>
          </cell>
          <cell r="W2879" t="str">
            <v>YES</v>
          </cell>
          <cell r="X2879" t="str">
            <v xml:space="preserve">CLP PG VG 220 </v>
          </cell>
          <cell r="Y2879" t="str">
            <v>2KJ3212-1KL33-9AD1-Z_D01+G23+K01+K07+K18+K41+K95+L03+L75+M10+M41+M60+N23+N3A+N54+P80</v>
          </cell>
          <cell r="Z2879" t="str">
            <v>SIEMENS</v>
          </cell>
          <cell r="AB2879" t="str">
            <v>-</v>
          </cell>
          <cell r="AF2879">
            <v>33.79</v>
          </cell>
          <cell r="AG2879" t="str">
            <v>DRN180M4</v>
          </cell>
          <cell r="AH2879" t="str">
            <v>D149-LES180MQ4PX-DRN180M42B-X</v>
          </cell>
        </row>
        <row r="2880">
          <cell r="A2880" t="str">
            <v>MR002868</v>
          </cell>
          <cell r="B2880" t="str">
            <v>MR</v>
          </cell>
          <cell r="C2880">
            <v>15</v>
          </cell>
          <cell r="D2880">
            <v>79.86</v>
          </cell>
          <cell r="E2880" t="str">
            <v>Z109-MB160ZLL4PF-1</v>
          </cell>
          <cell r="F2880">
            <v>2720</v>
          </cell>
          <cell r="G2880">
            <v>18.45</v>
          </cell>
          <cell r="H2880">
            <v>1.52</v>
          </cell>
          <cell r="I2880" t="str">
            <v>M1</v>
          </cell>
          <cell r="J2880" t="str">
            <v>IE3</v>
          </cell>
          <cell r="K2880" t="str">
            <v>230/400</v>
          </cell>
          <cell r="L2880">
            <v>50</v>
          </cell>
          <cell r="M2880" t="str">
            <v>49,6/28,5</v>
          </cell>
          <cell r="N2880">
            <v>55</v>
          </cell>
          <cell r="O2880" t="str">
            <v>155(F)</v>
          </cell>
          <cell r="P2880" t="str">
            <v>2B</v>
          </cell>
          <cell r="Q2880" t="str">
            <v>TF</v>
          </cell>
          <cell r="R2880" t="str">
            <v>V(VE)</v>
          </cell>
          <cell r="S2880" t="str">
            <v>-</v>
          </cell>
          <cell r="T2880" t="str">
            <v>-</v>
          </cell>
          <cell r="U2880" t="str">
            <v>-</v>
          </cell>
          <cell r="V2880" t="str">
            <v>FC</v>
          </cell>
          <cell r="W2880" t="str">
            <v>YES</v>
          </cell>
          <cell r="X2880" t="str">
            <v xml:space="preserve">CLP PG VG 220 </v>
          </cell>
          <cell r="Y2880" t="str">
            <v>2KJ3110-1JU73-9AN1-Z_D01+G23+K01+K07+K41+K74+K75+K81+K95+L03+L75+M10+M23+M41+M60+N32+N3A+P94+Y00 {Y00:*ANL@15*|*AND@1475*}</v>
          </cell>
          <cell r="Z2880" t="str">
            <v>SIEMENS</v>
          </cell>
          <cell r="AB2880" t="str">
            <v>ATEX22</v>
          </cell>
          <cell r="AF2880">
            <v>79.86</v>
          </cell>
          <cell r="AG2880" t="str">
            <v>EDRN160L4</v>
          </cell>
          <cell r="AH2880" t="str">
            <v>Z109-MB160ZLL4PF-1-EDRN160L42B-X#</v>
          </cell>
        </row>
        <row r="2881">
          <cell r="A2881" t="str">
            <v>MR002869</v>
          </cell>
          <cell r="B2881" t="str">
            <v>MR</v>
          </cell>
          <cell r="C2881">
            <v>9.1999999999999993</v>
          </cell>
          <cell r="D2881">
            <v>66.34</v>
          </cell>
          <cell r="E2881" t="str">
            <v>KADS109-LE160MPA4PW</v>
          </cell>
          <cell r="F2881">
            <v>2380</v>
          </cell>
          <cell r="G2881">
            <v>22.31</v>
          </cell>
          <cell r="H2881">
            <v>1.8</v>
          </cell>
          <cell r="I2881" t="str">
            <v>M4B</v>
          </cell>
          <cell r="J2881" t="str">
            <v>IE3</v>
          </cell>
          <cell r="K2881" t="str">
            <v>230/400</v>
          </cell>
          <cell r="L2881">
            <v>50</v>
          </cell>
          <cell r="M2881" t="str">
            <v>32,5/18,7</v>
          </cell>
          <cell r="N2881">
            <v>55</v>
          </cell>
          <cell r="O2881" t="str">
            <v>155(F)</v>
          </cell>
          <cell r="P2881" t="str">
            <v>2D</v>
          </cell>
          <cell r="Q2881" t="str">
            <v>TF</v>
          </cell>
          <cell r="R2881" t="str">
            <v>-</v>
          </cell>
          <cell r="S2881" t="str">
            <v>-</v>
          </cell>
          <cell r="T2881" t="str">
            <v>-</v>
          </cell>
          <cell r="U2881" t="str">
            <v>T</v>
          </cell>
          <cell r="V2881" t="str">
            <v>SS+R</v>
          </cell>
          <cell r="W2881" t="str">
            <v>YES</v>
          </cell>
          <cell r="X2881" t="str">
            <v xml:space="preserve">CLP PG VG 220 </v>
          </cell>
          <cell r="Y2881" t="str">
            <v>2KJ3511-9JQ23-9CL1-Z_D24+G23+H3A+K01+K07+K41+K95+L03+L75+M10+M41+M62+N22+N30+N38+N3A+N54+P80</v>
          </cell>
          <cell r="Z2881" t="str">
            <v>SIEMENS</v>
          </cell>
          <cell r="AB2881" t="str">
            <v>-</v>
          </cell>
          <cell r="AF2881">
            <v>66.34</v>
          </cell>
          <cell r="AG2881" t="str">
            <v>DRN132L4</v>
          </cell>
          <cell r="AH2881" t="str">
            <v>KADS109-LE160MPA4PWT-DRN132L4B2D-X</v>
          </cell>
        </row>
        <row r="2882">
          <cell r="A2882" t="str">
            <v>MR002870</v>
          </cell>
          <cell r="B2882" t="str">
            <v>MR</v>
          </cell>
          <cell r="C2882">
            <v>15</v>
          </cell>
          <cell r="D2882">
            <v>18</v>
          </cell>
          <cell r="E2882" t="str">
            <v>KH127</v>
          </cell>
          <cell r="F2882">
            <v>7970</v>
          </cell>
          <cell r="G2882">
            <v>81.98</v>
          </cell>
          <cell r="H2882">
            <v>1.65</v>
          </cell>
          <cell r="I2882" t="str">
            <v>M4A</v>
          </cell>
          <cell r="J2882" t="str">
            <v>IE3</v>
          </cell>
          <cell r="K2882" t="str">
            <v>400/690</v>
          </cell>
          <cell r="L2882">
            <v>50</v>
          </cell>
          <cell r="M2882" t="str">
            <v>29/16,7</v>
          </cell>
          <cell r="N2882">
            <v>65</v>
          </cell>
          <cell r="O2882" t="str">
            <v>155(F)</v>
          </cell>
          <cell r="P2882" t="str">
            <v>270°</v>
          </cell>
          <cell r="Q2882" t="str">
            <v>TF</v>
          </cell>
          <cell r="R2882" t="str">
            <v>V(VE)</v>
          </cell>
          <cell r="S2882" t="str">
            <v>-</v>
          </cell>
          <cell r="T2882" t="str">
            <v>-</v>
          </cell>
          <cell r="U2882" t="str">
            <v>-</v>
          </cell>
          <cell r="V2882" t="str">
            <v>FC</v>
          </cell>
          <cell r="W2882" t="str">
            <v>-</v>
          </cell>
          <cell r="X2882" t="str">
            <v>CLP HC 220 (-25/+60°C)</v>
          </cell>
          <cell r="Y2882" t="str">
            <v>KH127EDRN160L4 /TF/VE</v>
          </cell>
          <cell r="Z2882" t="str">
            <v>SEW</v>
          </cell>
          <cell r="AB2882" t="str">
            <v>ATEX22</v>
          </cell>
          <cell r="AF2882">
            <v>18</v>
          </cell>
          <cell r="AG2882" t="str">
            <v>EDRN160L4</v>
          </cell>
          <cell r="AH2882" t="str">
            <v>KH127-EDRN160L4A270-X#</v>
          </cell>
        </row>
        <row r="2883">
          <cell r="A2883" t="str">
            <v>MR002871</v>
          </cell>
          <cell r="B2883" t="str">
            <v>MR</v>
          </cell>
          <cell r="C2883">
            <v>15</v>
          </cell>
          <cell r="D2883">
            <v>18</v>
          </cell>
          <cell r="E2883" t="str">
            <v>KH127</v>
          </cell>
          <cell r="F2883">
            <v>7970</v>
          </cell>
          <cell r="G2883">
            <v>81.98</v>
          </cell>
          <cell r="H2883">
            <v>1.65</v>
          </cell>
          <cell r="I2883" t="str">
            <v>M4B</v>
          </cell>
          <cell r="J2883" t="str">
            <v>IE3</v>
          </cell>
          <cell r="K2883" t="str">
            <v>400/690</v>
          </cell>
          <cell r="L2883">
            <v>50</v>
          </cell>
          <cell r="M2883" t="str">
            <v>29/16,7</v>
          </cell>
          <cell r="N2883">
            <v>65</v>
          </cell>
          <cell r="O2883" t="str">
            <v>155(F)</v>
          </cell>
          <cell r="P2883" t="str">
            <v>270°</v>
          </cell>
          <cell r="Q2883" t="str">
            <v>TF</v>
          </cell>
          <cell r="R2883" t="str">
            <v>V(VE)</v>
          </cell>
          <cell r="S2883" t="str">
            <v>-</v>
          </cell>
          <cell r="T2883" t="str">
            <v>-</v>
          </cell>
          <cell r="U2883" t="str">
            <v>-</v>
          </cell>
          <cell r="V2883" t="str">
            <v>FC</v>
          </cell>
          <cell r="W2883" t="str">
            <v>-</v>
          </cell>
          <cell r="X2883" t="str">
            <v>CLP HC 220 (-25/+60°C)</v>
          </cell>
          <cell r="Y2883" t="str">
            <v>KH127EDRN160L4 /TF/VE</v>
          </cell>
          <cell r="Z2883" t="str">
            <v>SEW</v>
          </cell>
          <cell r="AB2883" t="str">
            <v>ATEX22</v>
          </cell>
          <cell r="AF2883">
            <v>18</v>
          </cell>
          <cell r="AG2883" t="str">
            <v>EDRN160L4</v>
          </cell>
          <cell r="AH2883" t="str">
            <v>KH127-EDRN160L4B270-X#</v>
          </cell>
        </row>
        <row r="2884">
          <cell r="A2884" t="str">
            <v>MR002872</v>
          </cell>
          <cell r="B2884" t="str">
            <v>MR</v>
          </cell>
          <cell r="C2884">
            <v>15</v>
          </cell>
          <cell r="D2884">
            <v>18</v>
          </cell>
          <cell r="E2884" t="str">
            <v>KH127</v>
          </cell>
          <cell r="F2884">
            <v>7970</v>
          </cell>
          <cell r="G2884">
            <v>81.98</v>
          </cell>
          <cell r="H2884">
            <v>1.65</v>
          </cell>
          <cell r="I2884" t="str">
            <v>From M4A to M1A-45°</v>
          </cell>
          <cell r="J2884" t="str">
            <v>IE3</v>
          </cell>
          <cell r="K2884" t="str">
            <v>400/690</v>
          </cell>
          <cell r="L2884">
            <v>50</v>
          </cell>
          <cell r="M2884" t="str">
            <v>29/16,7</v>
          </cell>
          <cell r="N2884">
            <v>65</v>
          </cell>
          <cell r="O2884" t="str">
            <v>155(F)</v>
          </cell>
          <cell r="P2884" t="str">
            <v>270°</v>
          </cell>
          <cell r="Q2884" t="str">
            <v>TF</v>
          </cell>
          <cell r="R2884" t="str">
            <v>V(VE)</v>
          </cell>
          <cell r="S2884" t="str">
            <v>-</v>
          </cell>
          <cell r="T2884" t="str">
            <v>-</v>
          </cell>
          <cell r="U2884" t="str">
            <v>-</v>
          </cell>
          <cell r="V2884" t="str">
            <v>FC</v>
          </cell>
          <cell r="W2884" t="str">
            <v>-</v>
          </cell>
          <cell r="X2884" t="str">
            <v>CLP HC 220 (-25/+60°C)</v>
          </cell>
          <cell r="Y2884" t="str">
            <v>KH127EDRN160L4 /TF/VE</v>
          </cell>
          <cell r="Z2884" t="str">
            <v>SEW</v>
          </cell>
          <cell r="AB2884" t="str">
            <v>ATEX22</v>
          </cell>
          <cell r="AF2884">
            <v>18</v>
          </cell>
          <cell r="AG2884" t="str">
            <v>EDRN160L4</v>
          </cell>
          <cell r="AH2884" t="str">
            <v>KH127-EDRN160L4A270-X#</v>
          </cell>
        </row>
        <row r="2885">
          <cell r="A2885" t="str">
            <v>MR002873</v>
          </cell>
          <cell r="B2885" t="str">
            <v>MR</v>
          </cell>
          <cell r="C2885">
            <v>15</v>
          </cell>
          <cell r="D2885">
            <v>18</v>
          </cell>
          <cell r="E2885" t="str">
            <v>KH127</v>
          </cell>
          <cell r="F2885">
            <v>7970</v>
          </cell>
          <cell r="G2885">
            <v>81.98</v>
          </cell>
          <cell r="H2885">
            <v>1.65</v>
          </cell>
          <cell r="I2885" t="str">
            <v>From M4B to M1B-45°</v>
          </cell>
          <cell r="J2885" t="str">
            <v>IE3</v>
          </cell>
          <cell r="K2885" t="str">
            <v>400/690</v>
          </cell>
          <cell r="L2885">
            <v>50</v>
          </cell>
          <cell r="M2885" t="str">
            <v>29/16,7</v>
          </cell>
          <cell r="N2885">
            <v>65</v>
          </cell>
          <cell r="O2885" t="str">
            <v>155(F)</v>
          </cell>
          <cell r="P2885" t="str">
            <v>270°</v>
          </cell>
          <cell r="Q2885" t="str">
            <v>TF</v>
          </cell>
          <cell r="R2885" t="str">
            <v>V(VE)</v>
          </cell>
          <cell r="S2885" t="str">
            <v>-</v>
          </cell>
          <cell r="T2885" t="str">
            <v>-</v>
          </cell>
          <cell r="U2885" t="str">
            <v>-</v>
          </cell>
          <cell r="V2885" t="str">
            <v>FC</v>
          </cell>
          <cell r="W2885" t="str">
            <v>-</v>
          </cell>
          <cell r="X2885" t="str">
            <v>CLP HC 220 (-25/+60°C)</v>
          </cell>
          <cell r="Y2885" t="str">
            <v>KH127EDRN160L4 /TF/VE</v>
          </cell>
          <cell r="Z2885" t="str">
            <v>SEW</v>
          </cell>
          <cell r="AB2885" t="str">
            <v>ATEX22</v>
          </cell>
          <cell r="AF2885">
            <v>18</v>
          </cell>
          <cell r="AG2885" t="str">
            <v>EDRN160L4</v>
          </cell>
          <cell r="AH2885" t="str">
            <v>KH127-EDRN160L4B270-X#</v>
          </cell>
        </row>
        <row r="2886">
          <cell r="A2886" t="str">
            <v>MR002874</v>
          </cell>
          <cell r="B2886" t="str">
            <v>MR</v>
          </cell>
          <cell r="C2886">
            <v>15</v>
          </cell>
          <cell r="D2886">
            <v>18</v>
          </cell>
          <cell r="E2886" t="str">
            <v>KH127</v>
          </cell>
          <cell r="F2886">
            <v>7970</v>
          </cell>
          <cell r="G2886">
            <v>81.98</v>
          </cell>
          <cell r="H2886">
            <v>1.65</v>
          </cell>
          <cell r="I2886" t="str">
            <v>From M4A to M1A-40°</v>
          </cell>
          <cell r="J2886" t="str">
            <v>IE3</v>
          </cell>
          <cell r="K2886" t="str">
            <v>400/690</v>
          </cell>
          <cell r="L2886">
            <v>50</v>
          </cell>
          <cell r="M2886" t="str">
            <v>29/16,7</v>
          </cell>
          <cell r="N2886">
            <v>65</v>
          </cell>
          <cell r="O2886" t="str">
            <v>155(F)</v>
          </cell>
          <cell r="P2886" t="str">
            <v>270°</v>
          </cell>
          <cell r="Q2886" t="str">
            <v>TF</v>
          </cell>
          <cell r="R2886" t="str">
            <v>V(VE)</v>
          </cell>
          <cell r="S2886" t="str">
            <v>-</v>
          </cell>
          <cell r="T2886" t="str">
            <v>-</v>
          </cell>
          <cell r="U2886" t="str">
            <v>-</v>
          </cell>
          <cell r="V2886" t="str">
            <v>FC</v>
          </cell>
          <cell r="W2886" t="str">
            <v>-</v>
          </cell>
          <cell r="X2886" t="str">
            <v>CLP HC 220 (-25/+60°C)</v>
          </cell>
          <cell r="Y2886" t="str">
            <v>KH127EDRN160L4 /TF/VE</v>
          </cell>
          <cell r="Z2886" t="str">
            <v>SEW</v>
          </cell>
          <cell r="AB2886" t="str">
            <v>ATEX22</v>
          </cell>
          <cell r="AF2886">
            <v>18</v>
          </cell>
          <cell r="AG2886" t="str">
            <v>EDRN160L4</v>
          </cell>
          <cell r="AH2886" t="str">
            <v>KH127-EDRN160L4A270-X#</v>
          </cell>
        </row>
        <row r="2887">
          <cell r="A2887" t="str">
            <v>MR002875</v>
          </cell>
          <cell r="B2887" t="str">
            <v>MR</v>
          </cell>
          <cell r="C2887">
            <v>15</v>
          </cell>
          <cell r="D2887">
            <v>18</v>
          </cell>
          <cell r="E2887" t="str">
            <v>KH127</v>
          </cell>
          <cell r="F2887">
            <v>7970</v>
          </cell>
          <cell r="G2887">
            <v>81.98</v>
          </cell>
          <cell r="H2887">
            <v>1.65</v>
          </cell>
          <cell r="I2887" t="str">
            <v>From M4B to M1B-40°</v>
          </cell>
          <cell r="J2887" t="str">
            <v>IE3</v>
          </cell>
          <cell r="K2887" t="str">
            <v>400/690</v>
          </cell>
          <cell r="L2887">
            <v>50</v>
          </cell>
          <cell r="M2887" t="str">
            <v>29/16,7</v>
          </cell>
          <cell r="N2887">
            <v>65</v>
          </cell>
          <cell r="O2887" t="str">
            <v>155(F)</v>
          </cell>
          <cell r="P2887" t="str">
            <v>270°</v>
          </cell>
          <cell r="Q2887" t="str">
            <v>TF</v>
          </cell>
          <cell r="R2887" t="str">
            <v>V(VE)</v>
          </cell>
          <cell r="S2887" t="str">
            <v>-</v>
          </cell>
          <cell r="T2887" t="str">
            <v>-</v>
          </cell>
          <cell r="U2887" t="str">
            <v>-</v>
          </cell>
          <cell r="V2887" t="str">
            <v>FC</v>
          </cell>
          <cell r="W2887" t="str">
            <v>-</v>
          </cell>
          <cell r="X2887" t="str">
            <v>CLP HC 220 (-25/+60°C)</v>
          </cell>
          <cell r="Y2887" t="str">
            <v>KH127EDRN160L4 /TF/VE</v>
          </cell>
          <cell r="Z2887" t="str">
            <v>SEW</v>
          </cell>
          <cell r="AB2887" t="str">
            <v>ATEX22</v>
          </cell>
          <cell r="AF2887">
            <v>18</v>
          </cell>
          <cell r="AG2887" t="str">
            <v>EDRN160L4</v>
          </cell>
          <cell r="AH2887" t="str">
            <v>KH127-EDRN160L4B270-X#</v>
          </cell>
        </row>
        <row r="2888">
          <cell r="A2888" t="str">
            <v>MR002876</v>
          </cell>
          <cell r="B2888" t="str">
            <v>MR</v>
          </cell>
          <cell r="C2888">
            <v>18.5</v>
          </cell>
          <cell r="D2888">
            <v>12</v>
          </cell>
          <cell r="E2888" t="str">
            <v>KH157</v>
          </cell>
          <cell r="F2888">
            <v>14600</v>
          </cell>
          <cell r="G2888">
            <v>122.39</v>
          </cell>
          <cell r="H2888">
            <v>1.25</v>
          </cell>
          <cell r="I2888" t="str">
            <v>From M4A to M1A-35°</v>
          </cell>
          <cell r="J2888" t="str">
            <v>IE3</v>
          </cell>
          <cell r="K2888" t="str">
            <v>400/690</v>
          </cell>
          <cell r="L2888">
            <v>50</v>
          </cell>
          <cell r="M2888" t="str">
            <v>33,5/19,3</v>
          </cell>
          <cell r="N2888">
            <v>65</v>
          </cell>
          <cell r="O2888" t="str">
            <v>155(F)</v>
          </cell>
          <cell r="P2888" t="str">
            <v>270°</v>
          </cell>
          <cell r="Q2888" t="str">
            <v>TF</v>
          </cell>
          <cell r="R2888" t="str">
            <v>V(VE)</v>
          </cell>
          <cell r="S2888" t="str">
            <v>-</v>
          </cell>
          <cell r="T2888" t="str">
            <v>-</v>
          </cell>
          <cell r="U2888" t="str">
            <v>-</v>
          </cell>
          <cell r="V2888" t="str">
            <v>FC</v>
          </cell>
          <cell r="W2888" t="str">
            <v>-</v>
          </cell>
          <cell r="X2888" t="str">
            <v>CLP HC 220 (-25/+60°C)</v>
          </cell>
          <cell r="Y2888" t="str">
            <v>KH157EDRN180M4 /TF/VE</v>
          </cell>
          <cell r="Z2888" t="str">
            <v>SEW</v>
          </cell>
          <cell r="AB2888" t="str">
            <v>ATEX22</v>
          </cell>
          <cell r="AF2888">
            <v>12</v>
          </cell>
          <cell r="AG2888" t="str">
            <v>EDRN180M4</v>
          </cell>
          <cell r="AH2888" t="str">
            <v>KH157-EDRN180M4A270-X#</v>
          </cell>
        </row>
        <row r="2889">
          <cell r="A2889" t="str">
            <v>MR002877</v>
          </cell>
          <cell r="B2889" t="str">
            <v>MR</v>
          </cell>
          <cell r="C2889">
            <v>18.5</v>
          </cell>
          <cell r="D2889">
            <v>12</v>
          </cell>
          <cell r="E2889" t="str">
            <v>KH157</v>
          </cell>
          <cell r="F2889">
            <v>14600</v>
          </cell>
          <cell r="G2889">
            <v>122.39</v>
          </cell>
          <cell r="H2889">
            <v>1.25</v>
          </cell>
          <cell r="I2889" t="str">
            <v>From M4B to M1B-35°</v>
          </cell>
          <cell r="J2889" t="str">
            <v>IE3</v>
          </cell>
          <cell r="K2889" t="str">
            <v>400/690</v>
          </cell>
          <cell r="L2889">
            <v>50</v>
          </cell>
          <cell r="M2889" t="str">
            <v>33,5/19,3</v>
          </cell>
          <cell r="N2889">
            <v>65</v>
          </cell>
          <cell r="O2889" t="str">
            <v>155(F)</v>
          </cell>
          <cell r="P2889" t="str">
            <v>270°</v>
          </cell>
          <cell r="Q2889" t="str">
            <v>TF</v>
          </cell>
          <cell r="R2889" t="str">
            <v>V(VE)</v>
          </cell>
          <cell r="S2889" t="str">
            <v>-</v>
          </cell>
          <cell r="T2889" t="str">
            <v>-</v>
          </cell>
          <cell r="U2889" t="str">
            <v>-</v>
          </cell>
          <cell r="V2889" t="str">
            <v>FC</v>
          </cell>
          <cell r="W2889" t="str">
            <v>-</v>
          </cell>
          <cell r="X2889" t="str">
            <v>CLP HC 220 (-25/+60°C)</v>
          </cell>
          <cell r="Y2889" t="str">
            <v>KH157EDRN180M4 /TF/VE</v>
          </cell>
          <cell r="Z2889" t="str">
            <v>SEW</v>
          </cell>
          <cell r="AB2889" t="str">
            <v>ATEX22</v>
          </cell>
          <cell r="AF2889">
            <v>12</v>
          </cell>
          <cell r="AG2889" t="str">
            <v>EDRN180M4</v>
          </cell>
          <cell r="AH2889" t="str">
            <v>KH157-EDRN180M4B270-X#</v>
          </cell>
        </row>
        <row r="2890">
          <cell r="A2890" t="str">
            <v>MR002878</v>
          </cell>
          <cell r="B2890" t="str">
            <v>MR</v>
          </cell>
          <cell r="C2890">
            <v>22</v>
          </cell>
          <cell r="D2890">
            <v>12</v>
          </cell>
          <cell r="E2890" t="str">
            <v>KH157</v>
          </cell>
          <cell r="F2890">
            <v>17400</v>
          </cell>
          <cell r="G2890">
            <v>122.39</v>
          </cell>
          <cell r="H2890">
            <v>1.1499999999999999</v>
          </cell>
          <cell r="I2890" t="str">
            <v>From M4A to M1A - 15°</v>
          </cell>
          <cell r="J2890" t="str">
            <v>IE3</v>
          </cell>
          <cell r="K2890" t="str">
            <v>400/690</v>
          </cell>
          <cell r="L2890">
            <v>50</v>
          </cell>
          <cell r="M2890" t="str">
            <v>38,5/22,5</v>
          </cell>
          <cell r="N2890">
            <v>65</v>
          </cell>
          <cell r="O2890" t="str">
            <v>155(F)</v>
          </cell>
          <cell r="P2890" t="str">
            <v>270°</v>
          </cell>
          <cell r="Q2890" t="str">
            <v>TF</v>
          </cell>
          <cell r="R2890" t="str">
            <v>V(VE)</v>
          </cell>
          <cell r="S2890" t="str">
            <v>-</v>
          </cell>
          <cell r="T2890" t="str">
            <v>-</v>
          </cell>
          <cell r="U2890" t="str">
            <v>-</v>
          </cell>
          <cell r="V2890" t="str">
            <v>FC</v>
          </cell>
          <cell r="W2890" t="str">
            <v>-</v>
          </cell>
          <cell r="X2890" t="str">
            <v>CLP HC 220 (-25/+60°C)</v>
          </cell>
          <cell r="Y2890" t="str">
            <v>KH157EDRN180L4 /TF/VE</v>
          </cell>
          <cell r="Z2890" t="str">
            <v>SEW</v>
          </cell>
          <cell r="AB2890" t="str">
            <v>ATEX22</v>
          </cell>
          <cell r="AF2890">
            <v>12</v>
          </cell>
          <cell r="AG2890" t="str">
            <v>EDRN180L4</v>
          </cell>
          <cell r="AH2890" t="str">
            <v>KH157-EDRN180L4A270-X#</v>
          </cell>
        </row>
        <row r="2891">
          <cell r="A2891" t="str">
            <v>MR002879</v>
          </cell>
          <cell r="B2891" t="str">
            <v>MR</v>
          </cell>
          <cell r="C2891">
            <v>22</v>
          </cell>
          <cell r="D2891">
            <v>12</v>
          </cell>
          <cell r="E2891" t="str">
            <v>KH157</v>
          </cell>
          <cell r="F2891">
            <v>17400</v>
          </cell>
          <cell r="G2891">
            <v>122.39</v>
          </cell>
          <cell r="H2891">
            <v>1.1499999999999999</v>
          </cell>
          <cell r="I2891" t="str">
            <v>From M4B to M1B - 15°</v>
          </cell>
          <cell r="J2891" t="str">
            <v>IE3</v>
          </cell>
          <cell r="K2891" t="str">
            <v>400/690</v>
          </cell>
          <cell r="L2891">
            <v>50</v>
          </cell>
          <cell r="M2891" t="str">
            <v>38,5/22,5</v>
          </cell>
          <cell r="N2891">
            <v>65</v>
          </cell>
          <cell r="O2891" t="str">
            <v>155(F)</v>
          </cell>
          <cell r="P2891" t="str">
            <v>270°</v>
          </cell>
          <cell r="Q2891" t="str">
            <v>TF</v>
          </cell>
          <cell r="R2891" t="str">
            <v>V(VE)</v>
          </cell>
          <cell r="S2891" t="str">
            <v>-</v>
          </cell>
          <cell r="T2891" t="str">
            <v>-</v>
          </cell>
          <cell r="U2891" t="str">
            <v>-</v>
          </cell>
          <cell r="V2891" t="str">
            <v>FC</v>
          </cell>
          <cell r="W2891" t="str">
            <v>-</v>
          </cell>
          <cell r="X2891" t="str">
            <v>CLP HC 220 (-25/+60°C)</v>
          </cell>
          <cell r="Y2891" t="str">
            <v>KH157EDRN180L4 /TF/VE</v>
          </cell>
          <cell r="Z2891" t="str">
            <v>SEW</v>
          </cell>
          <cell r="AB2891" t="str">
            <v>ATEX22</v>
          </cell>
          <cell r="AF2891">
            <v>12</v>
          </cell>
          <cell r="AG2891" t="str">
            <v>EDRN180L4</v>
          </cell>
          <cell r="AH2891" t="str">
            <v>KH157-EDRN180L4B270-X#</v>
          </cell>
        </row>
        <row r="2892">
          <cell r="A2892" t="str">
            <v>MR002880</v>
          </cell>
          <cell r="B2892" t="str">
            <v>MR</v>
          </cell>
          <cell r="C2892">
            <v>18.5</v>
          </cell>
          <cell r="D2892">
            <v>12</v>
          </cell>
          <cell r="E2892" t="str">
            <v>KH157</v>
          </cell>
          <cell r="F2892">
            <v>14600</v>
          </cell>
          <cell r="G2892">
            <v>122.39</v>
          </cell>
          <cell r="H2892">
            <v>1.37</v>
          </cell>
          <cell r="I2892" t="str">
            <v>From M4A to M1A-45°</v>
          </cell>
          <cell r="J2892" t="str">
            <v>IE3</v>
          </cell>
          <cell r="K2892" t="str">
            <v>400/690</v>
          </cell>
          <cell r="L2892">
            <v>50</v>
          </cell>
          <cell r="M2892" t="str">
            <v>33,5/19,3</v>
          </cell>
          <cell r="N2892">
            <v>65</v>
          </cell>
          <cell r="O2892" t="str">
            <v>155(F)</v>
          </cell>
          <cell r="P2892" t="str">
            <v>270°</v>
          </cell>
          <cell r="Q2892" t="str">
            <v>TF</v>
          </cell>
          <cell r="R2892" t="str">
            <v>V(VE)</v>
          </cell>
          <cell r="S2892" t="str">
            <v>-</v>
          </cell>
          <cell r="T2892" t="str">
            <v>-</v>
          </cell>
          <cell r="U2892" t="str">
            <v>-</v>
          </cell>
          <cell r="V2892" t="str">
            <v>FC</v>
          </cell>
          <cell r="W2892" t="str">
            <v>-</v>
          </cell>
          <cell r="X2892" t="str">
            <v>CLP HC 220 (-25/+60°C)</v>
          </cell>
          <cell r="Y2892" t="str">
            <v>KH157EDRN180M4 /TF/VE</v>
          </cell>
          <cell r="Z2892" t="str">
            <v>SEW</v>
          </cell>
          <cell r="AB2892" t="str">
            <v>ATEX22</v>
          </cell>
          <cell r="AF2892">
            <v>12</v>
          </cell>
          <cell r="AG2892" t="str">
            <v>EDRN180M4</v>
          </cell>
          <cell r="AH2892" t="str">
            <v>KH157-EDRN180M4A270-X#</v>
          </cell>
        </row>
        <row r="2893">
          <cell r="A2893" t="str">
            <v>MR002881</v>
          </cell>
          <cell r="B2893" t="str">
            <v>MR</v>
          </cell>
          <cell r="C2893">
            <v>18.5</v>
          </cell>
          <cell r="D2893">
            <v>12</v>
          </cell>
          <cell r="E2893" t="str">
            <v>KH157</v>
          </cell>
          <cell r="F2893">
            <v>14600</v>
          </cell>
          <cell r="G2893">
            <v>122.39</v>
          </cell>
          <cell r="H2893">
            <v>1.37</v>
          </cell>
          <cell r="I2893" t="str">
            <v>From M4B to M1B-45°</v>
          </cell>
          <cell r="J2893" t="str">
            <v>IE3</v>
          </cell>
          <cell r="K2893" t="str">
            <v>400/690</v>
          </cell>
          <cell r="L2893">
            <v>50</v>
          </cell>
          <cell r="M2893" t="str">
            <v>33,5/19,3</v>
          </cell>
          <cell r="N2893">
            <v>65</v>
          </cell>
          <cell r="O2893" t="str">
            <v>155(F)</v>
          </cell>
          <cell r="P2893" t="str">
            <v>270°</v>
          </cell>
          <cell r="Q2893" t="str">
            <v>TF</v>
          </cell>
          <cell r="R2893" t="str">
            <v>V(VE)</v>
          </cell>
          <cell r="S2893" t="str">
            <v>-</v>
          </cell>
          <cell r="T2893" t="str">
            <v>-</v>
          </cell>
          <cell r="U2893" t="str">
            <v>-</v>
          </cell>
          <cell r="V2893" t="str">
            <v>FC</v>
          </cell>
          <cell r="W2893" t="str">
            <v>-</v>
          </cell>
          <cell r="X2893" t="str">
            <v>CLP HC 220 (-25/+60°C)</v>
          </cell>
          <cell r="Y2893" t="str">
            <v>KH157EDRN180M4 /TF/VE</v>
          </cell>
          <cell r="Z2893" t="str">
            <v>SEW</v>
          </cell>
          <cell r="AB2893" t="str">
            <v>ATEX22</v>
          </cell>
          <cell r="AF2893">
            <v>12</v>
          </cell>
          <cell r="AG2893" t="str">
            <v>EDRN180M4</v>
          </cell>
          <cell r="AH2893" t="str">
            <v>KH157-EDRN180M4B270-X#</v>
          </cell>
        </row>
        <row r="2894">
          <cell r="A2894" t="str">
            <v>MR002882</v>
          </cell>
          <cell r="B2894" t="str">
            <v>MR</v>
          </cell>
          <cell r="C2894">
            <v>22</v>
          </cell>
          <cell r="D2894">
            <v>12</v>
          </cell>
          <cell r="E2894" t="str">
            <v>KH157</v>
          </cell>
          <cell r="F2894">
            <v>17400</v>
          </cell>
          <cell r="G2894">
            <v>122.39</v>
          </cell>
          <cell r="H2894">
            <v>1.1499999999999999</v>
          </cell>
          <cell r="I2894" t="str">
            <v>M4A</v>
          </cell>
          <cell r="J2894" t="str">
            <v>IE3</v>
          </cell>
          <cell r="K2894" t="str">
            <v>400/690</v>
          </cell>
          <cell r="L2894">
            <v>50</v>
          </cell>
          <cell r="M2894" t="str">
            <v>38,5/22,5</v>
          </cell>
          <cell r="N2894">
            <v>65</v>
          </cell>
          <cell r="O2894" t="str">
            <v>155(F)</v>
          </cell>
          <cell r="P2894" t="str">
            <v>270°</v>
          </cell>
          <cell r="Q2894" t="str">
            <v>TF</v>
          </cell>
          <cell r="R2894" t="str">
            <v>V(VE)</v>
          </cell>
          <cell r="S2894" t="str">
            <v>-</v>
          </cell>
          <cell r="T2894" t="str">
            <v>-</v>
          </cell>
          <cell r="U2894" t="str">
            <v>-</v>
          </cell>
          <cell r="V2894" t="str">
            <v>FC</v>
          </cell>
          <cell r="W2894" t="str">
            <v>-</v>
          </cell>
          <cell r="X2894" t="str">
            <v>CLP HC 220 (-25/+60°C)</v>
          </cell>
          <cell r="Y2894" t="str">
            <v>KH157EDRN180L4 /TF/VE</v>
          </cell>
          <cell r="Z2894" t="str">
            <v>SEW</v>
          </cell>
          <cell r="AB2894" t="str">
            <v>ATEX22</v>
          </cell>
          <cell r="AF2894">
            <v>12</v>
          </cell>
          <cell r="AG2894" t="str">
            <v>EDRN180L4</v>
          </cell>
          <cell r="AH2894" t="str">
            <v>KH157-EDRN180L4A270-X#</v>
          </cell>
        </row>
        <row r="2895">
          <cell r="A2895" t="str">
            <v>MR002883</v>
          </cell>
          <cell r="B2895" t="str">
            <v>MR</v>
          </cell>
          <cell r="C2895">
            <v>11</v>
          </cell>
          <cell r="D2895">
            <v>42</v>
          </cell>
          <cell r="E2895" t="str">
            <v>R107</v>
          </cell>
          <cell r="F2895">
            <v>2520</v>
          </cell>
          <cell r="G2895">
            <v>35.26</v>
          </cell>
          <cell r="H2895">
            <v>1.65</v>
          </cell>
          <cell r="I2895" t="str">
            <v>M1</v>
          </cell>
          <cell r="J2895" t="str">
            <v>IE3</v>
          </cell>
          <cell r="K2895" t="str">
            <v>400/690</v>
          </cell>
          <cell r="L2895">
            <v>50</v>
          </cell>
          <cell r="M2895" t="str">
            <v>21/12,2</v>
          </cell>
          <cell r="N2895">
            <v>65</v>
          </cell>
          <cell r="O2895" t="str">
            <v>155(F)</v>
          </cell>
          <cell r="P2895" t="str">
            <v>270°</v>
          </cell>
          <cell r="Q2895" t="str">
            <v>-</v>
          </cell>
          <cell r="R2895" t="str">
            <v>-</v>
          </cell>
          <cell r="S2895" t="str">
            <v>-</v>
          </cell>
          <cell r="T2895" t="str">
            <v>-</v>
          </cell>
          <cell r="U2895" t="str">
            <v>-</v>
          </cell>
          <cell r="V2895" t="str">
            <v>SS</v>
          </cell>
          <cell r="W2895" t="str">
            <v>-</v>
          </cell>
          <cell r="X2895" t="str">
            <v>CLP HC 220 (-25/+60°C)</v>
          </cell>
          <cell r="Y2895" t="str">
            <v>R107EDRN160M4</v>
          </cell>
          <cell r="Z2895" t="str">
            <v>SEW</v>
          </cell>
          <cell r="AB2895" t="str">
            <v>ATEX22</v>
          </cell>
          <cell r="AF2895">
            <v>42</v>
          </cell>
          <cell r="AG2895" t="str">
            <v>EDRN160M4</v>
          </cell>
          <cell r="AH2895" t="str">
            <v>R107-EDRN160M4270-X</v>
          </cell>
        </row>
        <row r="2896">
          <cell r="A2896" t="str">
            <v>MR002884</v>
          </cell>
          <cell r="B2896" t="str">
            <v>MR</v>
          </cell>
          <cell r="C2896">
            <v>3</v>
          </cell>
          <cell r="D2896">
            <v>83</v>
          </cell>
          <cell r="E2896" t="str">
            <v>KA67</v>
          </cell>
          <cell r="F2896">
            <v>345</v>
          </cell>
          <cell r="G2896">
            <v>17.54</v>
          </cell>
          <cell r="H2896">
            <v>1.8</v>
          </cell>
          <cell r="I2896" t="str">
            <v>M1A</v>
          </cell>
          <cell r="J2896" t="str">
            <v>IE3</v>
          </cell>
          <cell r="K2896" t="str">
            <v>230/400</v>
          </cell>
          <cell r="L2896">
            <v>50</v>
          </cell>
          <cell r="M2896" t="str">
            <v>11,2/6,4</v>
          </cell>
          <cell r="N2896">
            <v>65</v>
          </cell>
          <cell r="O2896" t="str">
            <v>155(F)</v>
          </cell>
          <cell r="P2896" t="str">
            <v>180°</v>
          </cell>
          <cell r="Q2896" t="str">
            <v>-</v>
          </cell>
          <cell r="R2896" t="str">
            <v>-</v>
          </cell>
          <cell r="S2896" t="str">
            <v>-</v>
          </cell>
          <cell r="T2896" t="str">
            <v>-</v>
          </cell>
          <cell r="U2896" t="str">
            <v>T</v>
          </cell>
          <cell r="V2896" t="str">
            <v>D</v>
          </cell>
          <cell r="W2896" t="str">
            <v>-</v>
          </cell>
          <cell r="X2896" t="str">
            <v>CLP HC 220 (-25/+60°C)</v>
          </cell>
          <cell r="Y2896" t="str">
            <v>KA67/T EDRN100L4</v>
          </cell>
          <cell r="Z2896" t="str">
            <v>SEW</v>
          </cell>
          <cell r="AB2896" t="str">
            <v>ATEX22</v>
          </cell>
          <cell r="AF2896">
            <v>83</v>
          </cell>
          <cell r="AG2896" t="str">
            <v>EDRN100L4</v>
          </cell>
          <cell r="AH2896" t="str">
            <v>KA67T-EDRN100L4A180-X</v>
          </cell>
        </row>
        <row r="2897">
          <cell r="A2897" t="str">
            <v>MR002885</v>
          </cell>
          <cell r="B2897" t="str">
            <v>MR</v>
          </cell>
          <cell r="C2897">
            <v>15</v>
          </cell>
          <cell r="D2897">
            <v>9.8000000000000007</v>
          </cell>
          <cell r="E2897" t="str">
            <v>KH157</v>
          </cell>
          <cell r="F2897">
            <v>14600</v>
          </cell>
          <cell r="G2897">
            <v>150.41</v>
          </cell>
          <cell r="H2897">
            <v>1.35</v>
          </cell>
          <cell r="I2897" t="str">
            <v>From M4A to M1A-25°</v>
          </cell>
          <cell r="J2897" t="str">
            <v>IE3</v>
          </cell>
          <cell r="K2897" t="str">
            <v>400/690</v>
          </cell>
          <cell r="L2897">
            <v>50</v>
          </cell>
          <cell r="M2897" t="str">
            <v>29/16,7</v>
          </cell>
          <cell r="N2897">
            <v>65</v>
          </cell>
          <cell r="O2897" t="str">
            <v>155(F)</v>
          </cell>
          <cell r="P2897" t="str">
            <v>270°</v>
          </cell>
          <cell r="Q2897" t="str">
            <v>TF</v>
          </cell>
          <cell r="R2897" t="str">
            <v>V(VE)</v>
          </cell>
          <cell r="S2897" t="str">
            <v>-</v>
          </cell>
          <cell r="T2897" t="str">
            <v>-</v>
          </cell>
          <cell r="U2897" t="str">
            <v>-</v>
          </cell>
          <cell r="V2897" t="str">
            <v>FC</v>
          </cell>
          <cell r="W2897" t="str">
            <v>-</v>
          </cell>
          <cell r="X2897" t="str">
            <v>CLP 220 (-15/+40°C)</v>
          </cell>
          <cell r="Y2897" t="str">
            <v>KH157DRN160L4 /TF/V</v>
          </cell>
          <cell r="Z2897" t="str">
            <v>SEW</v>
          </cell>
          <cell r="AB2897" t="str">
            <v>-</v>
          </cell>
          <cell r="AF2897">
            <v>9.8000000000000007</v>
          </cell>
          <cell r="AG2897" t="str">
            <v>DRN160L4</v>
          </cell>
          <cell r="AH2897" t="str">
            <v>KH157-DRN160L4A270-X#</v>
          </cell>
        </row>
        <row r="2898">
          <cell r="A2898" t="str">
            <v>MR002886</v>
          </cell>
          <cell r="B2898" t="str">
            <v>MR</v>
          </cell>
          <cell r="C2898">
            <v>15</v>
          </cell>
          <cell r="D2898">
            <v>9.8000000000000007</v>
          </cell>
          <cell r="E2898" t="str">
            <v>KH157</v>
          </cell>
          <cell r="F2898">
            <v>14600</v>
          </cell>
          <cell r="G2898">
            <v>150.41</v>
          </cell>
          <cell r="H2898">
            <v>1.35</v>
          </cell>
          <cell r="I2898" t="str">
            <v>From M4B to M1B-25°</v>
          </cell>
          <cell r="J2898" t="str">
            <v>IE3</v>
          </cell>
          <cell r="K2898" t="str">
            <v>400/690</v>
          </cell>
          <cell r="L2898">
            <v>50</v>
          </cell>
          <cell r="M2898" t="str">
            <v>29/16,7</v>
          </cell>
          <cell r="N2898">
            <v>65</v>
          </cell>
          <cell r="O2898" t="str">
            <v>155(F)</v>
          </cell>
          <cell r="P2898" t="str">
            <v>270°</v>
          </cell>
          <cell r="Q2898" t="str">
            <v>TF</v>
          </cell>
          <cell r="R2898" t="str">
            <v>V(VE)</v>
          </cell>
          <cell r="S2898" t="str">
            <v>-</v>
          </cell>
          <cell r="T2898" t="str">
            <v>-</v>
          </cell>
          <cell r="U2898" t="str">
            <v>-</v>
          </cell>
          <cell r="V2898" t="str">
            <v>FC</v>
          </cell>
          <cell r="W2898" t="str">
            <v>-</v>
          </cell>
          <cell r="X2898" t="str">
            <v>CLP 220 (-15/+40°C)</v>
          </cell>
          <cell r="Y2898" t="str">
            <v>KH157DRN160L4 /TF/V</v>
          </cell>
          <cell r="Z2898" t="str">
            <v>SEW</v>
          </cell>
          <cell r="AB2898" t="str">
            <v>-</v>
          </cell>
          <cell r="AF2898">
            <v>9.8000000000000007</v>
          </cell>
          <cell r="AG2898" t="str">
            <v>DRN160L4</v>
          </cell>
          <cell r="AH2898" t="str">
            <v>KH157-DRN160L4B270-X#</v>
          </cell>
        </row>
        <row r="2899">
          <cell r="A2899" t="str">
            <v>MR002887</v>
          </cell>
          <cell r="B2899" t="str">
            <v>MR</v>
          </cell>
          <cell r="C2899">
            <v>11</v>
          </cell>
          <cell r="D2899">
            <v>42</v>
          </cell>
          <cell r="E2899" t="str">
            <v>R107</v>
          </cell>
          <cell r="F2899">
            <v>2510</v>
          </cell>
          <cell r="G2899">
            <v>35.26</v>
          </cell>
          <cell r="H2899">
            <v>1.7</v>
          </cell>
          <cell r="I2899" t="str">
            <v>From M1 to M5-25°</v>
          </cell>
          <cell r="J2899" t="str">
            <v>IE3</v>
          </cell>
          <cell r="K2899" t="str">
            <v>400/690</v>
          </cell>
          <cell r="L2899">
            <v>50</v>
          </cell>
          <cell r="M2899" t="str">
            <v>21/12,2</v>
          </cell>
          <cell r="N2899">
            <v>65</v>
          </cell>
          <cell r="O2899" t="str">
            <v>155(F)</v>
          </cell>
          <cell r="P2899" t="str">
            <v>270°</v>
          </cell>
          <cell r="Q2899" t="str">
            <v>-</v>
          </cell>
          <cell r="R2899" t="str">
            <v>-</v>
          </cell>
          <cell r="S2899" t="str">
            <v>-</v>
          </cell>
          <cell r="T2899" t="str">
            <v>-</v>
          </cell>
          <cell r="U2899" t="str">
            <v>-</v>
          </cell>
          <cell r="V2899" t="str">
            <v>SS</v>
          </cell>
          <cell r="W2899" t="str">
            <v>-</v>
          </cell>
          <cell r="X2899" t="str">
            <v>CLP 220 (-15/+40°C)</v>
          </cell>
          <cell r="Y2899" t="str">
            <v>R107DRN160M4</v>
          </cell>
          <cell r="Z2899" t="str">
            <v>SEW</v>
          </cell>
          <cell r="AB2899" t="str">
            <v>-</v>
          </cell>
          <cell r="AF2899">
            <v>42</v>
          </cell>
          <cell r="AG2899" t="str">
            <v>DRN160M4</v>
          </cell>
          <cell r="AH2899" t="str">
            <v>R107-DRN160M4270-X</v>
          </cell>
        </row>
        <row r="2900">
          <cell r="A2900" t="str">
            <v>MR002888</v>
          </cell>
          <cell r="B2900" t="str">
            <v>MR</v>
          </cell>
          <cell r="C2900">
            <v>3</v>
          </cell>
          <cell r="D2900">
            <v>83</v>
          </cell>
          <cell r="E2900" t="str">
            <v>KA67</v>
          </cell>
          <cell r="F2900">
            <v>340</v>
          </cell>
          <cell r="G2900">
            <v>17.54</v>
          </cell>
          <cell r="H2900">
            <v>2.1</v>
          </cell>
          <cell r="I2900" t="str">
            <v>M1B</v>
          </cell>
          <cell r="J2900" t="str">
            <v>IE3</v>
          </cell>
          <cell r="K2900" t="str">
            <v>230/400</v>
          </cell>
          <cell r="L2900">
            <v>50</v>
          </cell>
          <cell r="M2900" t="str">
            <v>11,2/6,4</v>
          </cell>
          <cell r="N2900">
            <v>65</v>
          </cell>
          <cell r="O2900" t="str">
            <v>155(F)</v>
          </cell>
          <cell r="P2900" t="str">
            <v>0°</v>
          </cell>
          <cell r="Q2900" t="str">
            <v>-</v>
          </cell>
          <cell r="R2900" t="str">
            <v>-</v>
          </cell>
          <cell r="S2900" t="str">
            <v>-</v>
          </cell>
          <cell r="T2900" t="str">
            <v>-</v>
          </cell>
          <cell r="U2900" t="str">
            <v>T</v>
          </cell>
          <cell r="V2900" t="str">
            <v>D</v>
          </cell>
          <cell r="W2900" t="str">
            <v>-</v>
          </cell>
          <cell r="X2900" t="str">
            <v>CLP 220 (-15/+40°C)</v>
          </cell>
          <cell r="Y2900" t="str">
            <v>KA67/T DRN100L4</v>
          </cell>
          <cell r="Z2900" t="str">
            <v>SEW</v>
          </cell>
          <cell r="AB2900" t="str">
            <v>-</v>
          </cell>
          <cell r="AF2900">
            <v>83</v>
          </cell>
          <cell r="AG2900" t="str">
            <v>DRN100L4</v>
          </cell>
          <cell r="AH2900" t="str">
            <v>KA67T-DRN100L4B0-X</v>
          </cell>
        </row>
        <row r="2901">
          <cell r="A2901" t="str">
            <v>MR002889</v>
          </cell>
          <cell r="B2901" t="str">
            <v>MR</v>
          </cell>
          <cell r="C2901">
            <v>30</v>
          </cell>
          <cell r="D2901">
            <v>15</v>
          </cell>
          <cell r="E2901" t="str">
            <v>KH157</v>
          </cell>
          <cell r="F2901">
            <v>19400</v>
          </cell>
          <cell r="G2901">
            <v>100.22</v>
          </cell>
          <cell r="H2901">
            <v>1.05</v>
          </cell>
          <cell r="I2901" t="str">
            <v>From M4B to M1B-35°</v>
          </cell>
          <cell r="J2901" t="str">
            <v>IE3</v>
          </cell>
          <cell r="K2901" t="str">
            <v>400/690</v>
          </cell>
          <cell r="L2901">
            <v>50</v>
          </cell>
          <cell r="M2901" t="str">
            <v>56/32,5</v>
          </cell>
          <cell r="N2901">
            <v>65</v>
          </cell>
          <cell r="O2901" t="str">
            <v>155(F)</v>
          </cell>
          <cell r="P2901" t="str">
            <v>270°</v>
          </cell>
          <cell r="Q2901" t="str">
            <v>TF</v>
          </cell>
          <cell r="R2901" t="str">
            <v>V(VE)</v>
          </cell>
          <cell r="S2901" t="str">
            <v>-</v>
          </cell>
          <cell r="T2901" t="str">
            <v>-</v>
          </cell>
          <cell r="U2901" t="str">
            <v>-</v>
          </cell>
          <cell r="V2901" t="str">
            <v>FC</v>
          </cell>
          <cell r="W2901" t="str">
            <v>-</v>
          </cell>
          <cell r="X2901" t="str">
            <v>CLP 220 (-15/+40°C)</v>
          </cell>
          <cell r="Y2901" t="str">
            <v>KH157DRN200L4 /TF/V</v>
          </cell>
          <cell r="Z2901" t="str">
            <v>SEW</v>
          </cell>
          <cell r="AB2901" t="str">
            <v>-</v>
          </cell>
          <cell r="AF2901">
            <v>15</v>
          </cell>
          <cell r="AG2901" t="str">
            <v>DRN200L4</v>
          </cell>
          <cell r="AH2901" t="str">
            <v>KH157-DRN200L4B270-X#</v>
          </cell>
        </row>
        <row r="2902">
          <cell r="A2902" t="str">
            <v>MR002890</v>
          </cell>
          <cell r="B2902" t="str">
            <v>MR</v>
          </cell>
          <cell r="C2902">
            <v>30</v>
          </cell>
          <cell r="D2902">
            <v>15</v>
          </cell>
          <cell r="E2902" t="str">
            <v>KH157</v>
          </cell>
          <cell r="F2902">
            <v>19400</v>
          </cell>
          <cell r="G2902">
            <v>100.22</v>
          </cell>
          <cell r="H2902">
            <v>1.05</v>
          </cell>
          <cell r="I2902" t="str">
            <v>From M4A to M1A-35°</v>
          </cell>
          <cell r="J2902" t="str">
            <v>IE3</v>
          </cell>
          <cell r="K2902" t="str">
            <v>400/690</v>
          </cell>
          <cell r="L2902">
            <v>50</v>
          </cell>
          <cell r="M2902" t="str">
            <v>56/32,5</v>
          </cell>
          <cell r="N2902">
            <v>65</v>
          </cell>
          <cell r="O2902" t="str">
            <v>155(F)</v>
          </cell>
          <cell r="P2902" t="str">
            <v>270°</v>
          </cell>
          <cell r="Q2902" t="str">
            <v>TF</v>
          </cell>
          <cell r="R2902" t="str">
            <v>V(VE)</v>
          </cell>
          <cell r="S2902" t="str">
            <v>-</v>
          </cell>
          <cell r="T2902" t="str">
            <v>-</v>
          </cell>
          <cell r="U2902" t="str">
            <v>-</v>
          </cell>
          <cell r="V2902" t="str">
            <v>FC</v>
          </cell>
          <cell r="W2902" t="str">
            <v>-</v>
          </cell>
          <cell r="X2902" t="str">
            <v>CLP 220 (-15/+40°C)</v>
          </cell>
          <cell r="Y2902" t="str">
            <v>KH157DRN200L4 /TF/V</v>
          </cell>
          <cell r="Z2902" t="str">
            <v>SEW</v>
          </cell>
          <cell r="AB2902" t="str">
            <v>-</v>
          </cell>
          <cell r="AF2902">
            <v>15</v>
          </cell>
          <cell r="AG2902" t="str">
            <v>DRN200L4</v>
          </cell>
          <cell r="AH2902" t="str">
            <v>KH157-DRN200L4A270-X#</v>
          </cell>
        </row>
        <row r="2903">
          <cell r="A2903" t="str">
            <v>MR002891</v>
          </cell>
          <cell r="B2903" t="str">
            <v>MR</v>
          </cell>
          <cell r="C2903">
            <v>30</v>
          </cell>
          <cell r="D2903">
            <v>15</v>
          </cell>
          <cell r="E2903" t="str">
            <v>KH157</v>
          </cell>
          <cell r="F2903">
            <v>19400</v>
          </cell>
          <cell r="G2903">
            <v>100.22</v>
          </cell>
          <cell r="H2903">
            <v>1.05</v>
          </cell>
          <cell r="I2903" t="str">
            <v>From M4B to M1B-30°</v>
          </cell>
          <cell r="J2903" t="str">
            <v>IE3</v>
          </cell>
          <cell r="K2903" t="str">
            <v>400/690</v>
          </cell>
          <cell r="L2903">
            <v>50</v>
          </cell>
          <cell r="M2903" t="str">
            <v>56/32,5</v>
          </cell>
          <cell r="N2903">
            <v>65</v>
          </cell>
          <cell r="O2903" t="str">
            <v>155(F)</v>
          </cell>
          <cell r="P2903" t="str">
            <v>270°</v>
          </cell>
          <cell r="Q2903" t="str">
            <v>TF</v>
          </cell>
          <cell r="R2903" t="str">
            <v>V(VE)</v>
          </cell>
          <cell r="S2903" t="str">
            <v>-</v>
          </cell>
          <cell r="T2903" t="str">
            <v>-</v>
          </cell>
          <cell r="U2903" t="str">
            <v>-</v>
          </cell>
          <cell r="V2903" t="str">
            <v>FC</v>
          </cell>
          <cell r="W2903" t="str">
            <v>-</v>
          </cell>
          <cell r="X2903" t="str">
            <v>CLP 220 (-15/+40°C)</v>
          </cell>
          <cell r="Y2903" t="str">
            <v>KH157DRN200L4 /TF/V</v>
          </cell>
          <cell r="Z2903" t="str">
            <v>SEW</v>
          </cell>
          <cell r="AB2903" t="str">
            <v>-</v>
          </cell>
          <cell r="AF2903">
            <v>15</v>
          </cell>
          <cell r="AG2903" t="str">
            <v>DRN200L4</v>
          </cell>
          <cell r="AH2903" t="str">
            <v>KH157-DRN200L4B270-X#</v>
          </cell>
        </row>
        <row r="2904">
          <cell r="A2904" t="str">
            <v>MR002892</v>
          </cell>
          <cell r="B2904" t="str">
            <v>MR</v>
          </cell>
          <cell r="C2904">
            <v>30</v>
          </cell>
          <cell r="D2904">
            <v>15</v>
          </cell>
          <cell r="E2904" t="str">
            <v>KH157</v>
          </cell>
          <cell r="F2904">
            <v>19400</v>
          </cell>
          <cell r="G2904">
            <v>100.22</v>
          </cell>
          <cell r="H2904">
            <v>1.05</v>
          </cell>
          <cell r="I2904" t="str">
            <v>From M4A to M1A-30°</v>
          </cell>
          <cell r="J2904" t="str">
            <v>IE3</v>
          </cell>
          <cell r="K2904" t="str">
            <v>400/690</v>
          </cell>
          <cell r="L2904">
            <v>50</v>
          </cell>
          <cell r="M2904" t="str">
            <v>56/32,5</v>
          </cell>
          <cell r="N2904">
            <v>65</v>
          </cell>
          <cell r="O2904" t="str">
            <v>155(F)</v>
          </cell>
          <cell r="P2904" t="str">
            <v>270°</v>
          </cell>
          <cell r="Q2904" t="str">
            <v>TF</v>
          </cell>
          <cell r="R2904" t="str">
            <v>V(VE)</v>
          </cell>
          <cell r="S2904" t="str">
            <v>-</v>
          </cell>
          <cell r="T2904" t="str">
            <v>-</v>
          </cell>
          <cell r="U2904" t="str">
            <v>-</v>
          </cell>
          <cell r="V2904" t="str">
            <v>FC</v>
          </cell>
          <cell r="W2904" t="str">
            <v>-</v>
          </cell>
          <cell r="X2904" t="str">
            <v>CLP 220 (-15/+40°C)</v>
          </cell>
          <cell r="Y2904" t="str">
            <v>KH157DRN200L4 /TF/V</v>
          </cell>
          <cell r="Z2904" t="str">
            <v>SEW</v>
          </cell>
          <cell r="AB2904" t="str">
            <v>-</v>
          </cell>
          <cell r="AF2904">
            <v>15</v>
          </cell>
          <cell r="AG2904" t="str">
            <v>DRN200L4</v>
          </cell>
          <cell r="AH2904" t="str">
            <v>KH157-DRN200L4A270-X#</v>
          </cell>
        </row>
        <row r="2905">
          <cell r="A2905" t="str">
            <v>MR002893</v>
          </cell>
          <cell r="B2905" t="str">
            <v>MR</v>
          </cell>
          <cell r="C2905">
            <v>1.5</v>
          </cell>
          <cell r="D2905">
            <v>3.8</v>
          </cell>
          <cell r="E2905" t="str">
            <v>KA97R57</v>
          </cell>
          <cell r="F2905">
            <v>3450</v>
          </cell>
          <cell r="G2905">
            <v>382</v>
          </cell>
          <cell r="H2905">
            <v>1.25</v>
          </cell>
          <cell r="I2905" t="str">
            <v>M3B</v>
          </cell>
          <cell r="J2905" t="str">
            <v>IE3</v>
          </cell>
          <cell r="K2905" t="str">
            <v>230/400</v>
          </cell>
          <cell r="L2905">
            <v>50</v>
          </cell>
          <cell r="M2905" t="str">
            <v>5,9/3,4</v>
          </cell>
          <cell r="N2905">
            <v>65</v>
          </cell>
          <cell r="O2905" t="str">
            <v>155(F)</v>
          </cell>
          <cell r="P2905" t="str">
            <v>0°</v>
          </cell>
          <cell r="Q2905" t="str">
            <v>-</v>
          </cell>
          <cell r="R2905" t="str">
            <v>-</v>
          </cell>
          <cell r="S2905" t="str">
            <v>-</v>
          </cell>
          <cell r="T2905" t="str">
            <v>BEHF</v>
          </cell>
          <cell r="U2905" t="str">
            <v>T</v>
          </cell>
          <cell r="V2905" t="str">
            <v>D+R</v>
          </cell>
          <cell r="W2905" t="str">
            <v>-</v>
          </cell>
          <cell r="X2905" t="str">
            <v>CLP 220 (-15/+40°C)</v>
          </cell>
          <cell r="Y2905" t="str">
            <v>KA97R57/T DRN90L4 /BEHF</v>
          </cell>
          <cell r="Z2905" t="str">
            <v>SEW</v>
          </cell>
          <cell r="AB2905" t="str">
            <v>-</v>
          </cell>
          <cell r="AF2905">
            <v>3.8</v>
          </cell>
          <cell r="AG2905" t="str">
            <v>DRN90L4</v>
          </cell>
          <cell r="AH2905" t="str">
            <v>KA97R57T-DRN90L4B0-X</v>
          </cell>
        </row>
        <row r="2906">
          <cell r="A2906" t="str">
            <v>MR002894</v>
          </cell>
          <cell r="B2906" t="str">
            <v>MR</v>
          </cell>
          <cell r="C2906">
            <v>9.1999999999999993</v>
          </cell>
          <cell r="D2906">
            <v>12</v>
          </cell>
          <cell r="E2906" t="str">
            <v>KH127</v>
          </cell>
          <cell r="F2906">
            <v>7320</v>
          </cell>
          <cell r="G2906">
            <v>122.48</v>
          </cell>
          <cell r="H2906">
            <v>1.8</v>
          </cell>
          <cell r="I2906" t="str">
            <v>M4B</v>
          </cell>
          <cell r="J2906" t="str">
            <v>IE3</v>
          </cell>
          <cell r="K2906" t="str">
            <v>400/690</v>
          </cell>
          <cell r="L2906">
            <v>50</v>
          </cell>
          <cell r="M2906" t="str">
            <v>18,7/10,8</v>
          </cell>
          <cell r="N2906">
            <v>65</v>
          </cell>
          <cell r="O2906" t="str">
            <v>155(F)</v>
          </cell>
          <cell r="P2906" t="str">
            <v>270°</v>
          </cell>
          <cell r="Q2906" t="str">
            <v>TF</v>
          </cell>
          <cell r="R2906" t="str">
            <v>V(VE)</v>
          </cell>
          <cell r="S2906" t="str">
            <v>-</v>
          </cell>
          <cell r="T2906" t="str">
            <v>-</v>
          </cell>
          <cell r="U2906" t="str">
            <v>-</v>
          </cell>
          <cell r="V2906" t="str">
            <v>FC</v>
          </cell>
          <cell r="W2906" t="str">
            <v>-</v>
          </cell>
          <cell r="X2906" t="str">
            <v>CLP 220 (-15/+40°C)</v>
          </cell>
          <cell r="Y2906" t="str">
            <v>KH127DRN132L4 /TF/V</v>
          </cell>
          <cell r="Z2906" t="str">
            <v>SEW</v>
          </cell>
          <cell r="AB2906" t="str">
            <v>-</v>
          </cell>
          <cell r="AF2906">
            <v>12</v>
          </cell>
          <cell r="AG2906" t="str">
            <v>DRN132L4</v>
          </cell>
          <cell r="AH2906" t="str">
            <v>KH127-DRN132L4B270-X#</v>
          </cell>
        </row>
        <row r="2907">
          <cell r="A2907" t="str">
            <v>MR002895</v>
          </cell>
          <cell r="B2907" t="str">
            <v>MR</v>
          </cell>
          <cell r="C2907">
            <v>9.1999999999999993</v>
          </cell>
          <cell r="D2907">
            <v>12</v>
          </cell>
          <cell r="E2907" t="str">
            <v>KH127</v>
          </cell>
          <cell r="F2907">
            <v>7320</v>
          </cell>
          <cell r="G2907">
            <v>122.48</v>
          </cell>
          <cell r="H2907">
            <v>1.8</v>
          </cell>
          <cell r="I2907" t="str">
            <v>M4A</v>
          </cell>
          <cell r="J2907" t="str">
            <v>IE3</v>
          </cell>
          <cell r="K2907" t="str">
            <v>400/690</v>
          </cell>
          <cell r="L2907">
            <v>50</v>
          </cell>
          <cell r="M2907" t="str">
            <v>18,7/10,8</v>
          </cell>
          <cell r="N2907">
            <v>65</v>
          </cell>
          <cell r="O2907" t="str">
            <v>155(F)</v>
          </cell>
          <cell r="P2907" t="str">
            <v>270°</v>
          </cell>
          <cell r="Q2907" t="str">
            <v>TF</v>
          </cell>
          <cell r="R2907" t="str">
            <v>V(VE)</v>
          </cell>
          <cell r="S2907" t="str">
            <v>-</v>
          </cell>
          <cell r="T2907" t="str">
            <v>-</v>
          </cell>
          <cell r="U2907" t="str">
            <v>-</v>
          </cell>
          <cell r="V2907" t="str">
            <v>FC</v>
          </cell>
          <cell r="W2907" t="str">
            <v>-</v>
          </cell>
          <cell r="X2907" t="str">
            <v>CLP 220 (-15/+40°C)</v>
          </cell>
          <cell r="Y2907" t="str">
            <v>KH127DRN132L4 /TF/V</v>
          </cell>
          <cell r="Z2907" t="str">
            <v>SEW</v>
          </cell>
          <cell r="AB2907" t="str">
            <v>-</v>
          </cell>
          <cell r="AF2907">
            <v>12</v>
          </cell>
          <cell r="AG2907" t="str">
            <v>DRN132L4</v>
          </cell>
          <cell r="AH2907" t="str">
            <v>KH127-DRN132L4A270-X#</v>
          </cell>
        </row>
        <row r="2908">
          <cell r="A2908" t="str">
            <v>MR002896</v>
          </cell>
          <cell r="B2908" t="str">
            <v>MR</v>
          </cell>
          <cell r="C2908">
            <v>11</v>
          </cell>
          <cell r="D2908">
            <v>48</v>
          </cell>
          <cell r="E2908" t="str">
            <v>R107</v>
          </cell>
          <cell r="F2908">
            <v>2190</v>
          </cell>
          <cell r="G2908">
            <v>30.77</v>
          </cell>
          <cell r="H2908">
            <v>1.95</v>
          </cell>
          <cell r="I2908" t="str">
            <v>M1</v>
          </cell>
          <cell r="J2908" t="str">
            <v>IE3</v>
          </cell>
          <cell r="K2908" t="str">
            <v>230/400</v>
          </cell>
          <cell r="L2908">
            <v>50</v>
          </cell>
          <cell r="M2908" t="str">
            <v>36,5/21</v>
          </cell>
          <cell r="N2908">
            <v>65</v>
          </cell>
          <cell r="O2908" t="str">
            <v>155(F)</v>
          </cell>
          <cell r="P2908" t="str">
            <v>270°</v>
          </cell>
          <cell r="Q2908" t="str">
            <v>-</v>
          </cell>
          <cell r="R2908" t="str">
            <v>-</v>
          </cell>
          <cell r="S2908" t="str">
            <v>-</v>
          </cell>
          <cell r="T2908" t="str">
            <v>-</v>
          </cell>
          <cell r="U2908" t="str">
            <v>-</v>
          </cell>
          <cell r="V2908" t="str">
            <v>D</v>
          </cell>
          <cell r="W2908" t="str">
            <v>-</v>
          </cell>
          <cell r="X2908" t="str">
            <v>CLP HC 150 (-30/+50°C)</v>
          </cell>
          <cell r="Y2908" t="str">
            <v>R107/II2GDEDRN160M4/3D/AL</v>
          </cell>
          <cell r="Z2908" t="str">
            <v>SEW</v>
          </cell>
          <cell r="AB2908" t="str">
            <v>ATEX22</v>
          </cell>
          <cell r="AF2908">
            <v>48</v>
          </cell>
          <cell r="AG2908" t="str">
            <v>EDRN160M4</v>
          </cell>
          <cell r="AH2908" t="str">
            <v>R107-EDRN160M4270-X</v>
          </cell>
        </row>
        <row r="2909">
          <cell r="A2909" t="str">
            <v>MR002897</v>
          </cell>
          <cell r="B2909" t="str">
            <v>MR</v>
          </cell>
          <cell r="C2909">
            <v>7.5</v>
          </cell>
          <cell r="D2909">
            <v>15</v>
          </cell>
          <cell r="E2909" t="str">
            <v>KH107</v>
          </cell>
          <cell r="F2909">
            <v>4920</v>
          </cell>
          <cell r="G2909">
            <v>100.75</v>
          </cell>
          <cell r="H2909">
            <v>1.55</v>
          </cell>
          <cell r="I2909" t="str">
            <v>From M1A to M2A - 45°</v>
          </cell>
          <cell r="J2909" t="str">
            <v>IE3</v>
          </cell>
          <cell r="K2909" t="str">
            <v>400/690</v>
          </cell>
          <cell r="L2909">
            <v>50</v>
          </cell>
          <cell r="M2909" t="str">
            <v>15,2/8,8</v>
          </cell>
          <cell r="N2909">
            <v>65</v>
          </cell>
          <cell r="O2909" t="str">
            <v>155(F)</v>
          </cell>
          <cell r="P2909" t="str">
            <v>270°</v>
          </cell>
          <cell r="Q2909" t="str">
            <v>-</v>
          </cell>
          <cell r="R2909" t="str">
            <v>-</v>
          </cell>
          <cell r="S2909" t="str">
            <v>-</v>
          </cell>
          <cell r="T2909" t="str">
            <v>-</v>
          </cell>
          <cell r="U2909" t="str">
            <v>-</v>
          </cell>
          <cell r="V2909" t="str">
            <v>SS</v>
          </cell>
          <cell r="W2909" t="str">
            <v>-</v>
          </cell>
          <cell r="X2909" t="str">
            <v>CLP PG 220 (-25/+80°C)</v>
          </cell>
          <cell r="Y2909" t="str">
            <v>KH107DRN132M4</v>
          </cell>
          <cell r="Z2909" t="str">
            <v>SEW</v>
          </cell>
          <cell r="AB2909" t="str">
            <v>-</v>
          </cell>
          <cell r="AF2909">
            <v>15</v>
          </cell>
          <cell r="AG2909" t="str">
            <v>DRN132M4</v>
          </cell>
          <cell r="AH2909" t="str">
            <v>KH107-DRN132M4A270-X</v>
          </cell>
        </row>
        <row r="2910">
          <cell r="A2910" t="str">
            <v>MR002898</v>
          </cell>
          <cell r="B2910" t="str">
            <v>MR</v>
          </cell>
          <cell r="C2910">
            <v>11</v>
          </cell>
          <cell r="D2910">
            <v>45</v>
          </cell>
          <cell r="E2910" t="str">
            <v>FH97</v>
          </cell>
          <cell r="F2910">
            <v>2320</v>
          </cell>
          <cell r="G2910">
            <v>32.5</v>
          </cell>
          <cell r="H2910">
            <v>1.25</v>
          </cell>
          <cell r="I2910" t="str">
            <v>M1</v>
          </cell>
          <cell r="J2910" t="str">
            <v>IE3</v>
          </cell>
          <cell r="K2910" t="str">
            <v>400/690</v>
          </cell>
          <cell r="L2910">
            <v>50</v>
          </cell>
          <cell r="M2910" t="str">
            <v>21/12,2</v>
          </cell>
          <cell r="N2910">
            <v>65</v>
          </cell>
          <cell r="O2910" t="str">
            <v>155(F)</v>
          </cell>
          <cell r="P2910" t="str">
            <v>270°</v>
          </cell>
          <cell r="Q2910" t="str">
            <v>TF</v>
          </cell>
          <cell r="R2910" t="str">
            <v>V(VE)</v>
          </cell>
          <cell r="S2910" t="str">
            <v>-</v>
          </cell>
          <cell r="T2910" t="str">
            <v>-</v>
          </cell>
          <cell r="U2910" t="str">
            <v>G</v>
          </cell>
          <cell r="V2910" t="str">
            <v>FC+R</v>
          </cell>
          <cell r="W2910" t="str">
            <v>YES</v>
          </cell>
          <cell r="X2910" t="str">
            <v>CLP PG 220 (-25/+80°C)</v>
          </cell>
          <cell r="Y2910" t="str">
            <v>FH97/G EDRN160M4 /TF/VE</v>
          </cell>
          <cell r="Z2910" t="str">
            <v>SEW</v>
          </cell>
          <cell r="AB2910" t="str">
            <v>ATEX22</v>
          </cell>
          <cell r="AF2910">
            <v>45</v>
          </cell>
          <cell r="AG2910" t="str">
            <v>EDRN160M4</v>
          </cell>
          <cell r="AH2910" t="str">
            <v>FH97G-EDRN160M4270-X#</v>
          </cell>
        </row>
        <row r="2911">
          <cell r="A2911" t="str">
            <v>MR002899</v>
          </cell>
          <cell r="B2911" t="str">
            <v>MR</v>
          </cell>
          <cell r="C2911">
            <v>18.5</v>
          </cell>
          <cell r="D2911">
            <v>25</v>
          </cell>
          <cell r="E2911" t="str">
            <v>R137</v>
          </cell>
          <cell r="F2911">
            <v>7070</v>
          </cell>
          <cell r="G2911">
            <v>59.17</v>
          </cell>
          <cell r="H2911">
            <v>1.1000000000000001</v>
          </cell>
          <cell r="I2911" t="str">
            <v>M1</v>
          </cell>
          <cell r="J2911" t="str">
            <v>IE3</v>
          </cell>
          <cell r="K2911" t="str">
            <v>400/690</v>
          </cell>
          <cell r="L2911">
            <v>50</v>
          </cell>
          <cell r="M2911" t="str">
            <v>33,5/19,3</v>
          </cell>
          <cell r="N2911">
            <v>65</v>
          </cell>
          <cell r="O2911" t="str">
            <v>155(F)</v>
          </cell>
          <cell r="P2911" t="str">
            <v>270°</v>
          </cell>
          <cell r="Q2911" t="str">
            <v>TF</v>
          </cell>
          <cell r="R2911" t="str">
            <v>V(VE)</v>
          </cell>
          <cell r="S2911" t="str">
            <v>-</v>
          </cell>
          <cell r="T2911" t="str">
            <v>-</v>
          </cell>
          <cell r="U2911" t="str">
            <v>-</v>
          </cell>
          <cell r="V2911" t="str">
            <v>FC</v>
          </cell>
          <cell r="W2911" t="str">
            <v>YES</v>
          </cell>
          <cell r="X2911" t="str">
            <v>CLP PG 220 (-25/+80°C)</v>
          </cell>
          <cell r="Y2911" t="str">
            <v>R137EDRN180M4 /TF/VE</v>
          </cell>
          <cell r="Z2911" t="str">
            <v>SEW</v>
          </cell>
          <cell r="AB2911" t="str">
            <v>ATEX22</v>
          </cell>
          <cell r="AF2911">
            <v>25</v>
          </cell>
          <cell r="AG2911" t="str">
            <v>EDRN180M4</v>
          </cell>
          <cell r="AH2911" t="str">
            <v>R137-EDRN180M4270-X#</v>
          </cell>
        </row>
        <row r="2912">
          <cell r="A2912" t="str">
            <v>MR002900</v>
          </cell>
          <cell r="B2912" t="str">
            <v>MR</v>
          </cell>
          <cell r="C2912">
            <v>22</v>
          </cell>
          <cell r="D2912">
            <v>45</v>
          </cell>
          <cell r="E2912" t="str">
            <v>R137</v>
          </cell>
          <cell r="F2912">
            <v>4680</v>
          </cell>
          <cell r="G2912">
            <v>32.909999999999997</v>
          </cell>
          <cell r="H2912">
            <v>1.45</v>
          </cell>
          <cell r="I2912" t="str">
            <v>M1</v>
          </cell>
          <cell r="J2912" t="str">
            <v>IE3</v>
          </cell>
          <cell r="K2912" t="str">
            <v>400/690</v>
          </cell>
          <cell r="L2912">
            <v>50</v>
          </cell>
          <cell r="M2912" t="str">
            <v>38,5/22,5</v>
          </cell>
          <cell r="N2912">
            <v>65</v>
          </cell>
          <cell r="O2912" t="str">
            <v>155(F)</v>
          </cell>
          <cell r="P2912" t="str">
            <v>270°</v>
          </cell>
          <cell r="Q2912" t="str">
            <v>TF</v>
          </cell>
          <cell r="R2912" t="str">
            <v>V(VE)</v>
          </cell>
          <cell r="S2912" t="str">
            <v>-</v>
          </cell>
          <cell r="T2912" t="str">
            <v>-</v>
          </cell>
          <cell r="U2912" t="str">
            <v>-</v>
          </cell>
          <cell r="V2912" t="str">
            <v>FC+R</v>
          </cell>
          <cell r="W2912" t="str">
            <v>YES</v>
          </cell>
          <cell r="X2912" t="str">
            <v>CLP PG 220 (-25/+80°C)</v>
          </cell>
          <cell r="Y2912" t="str">
            <v>R137EDRN180L4 /TF/VE</v>
          </cell>
          <cell r="Z2912" t="str">
            <v>SEW</v>
          </cell>
          <cell r="AB2912" t="str">
            <v>ATEX22</v>
          </cell>
          <cell r="AF2912">
            <v>45</v>
          </cell>
          <cell r="AG2912" t="str">
            <v>EDRN180L4</v>
          </cell>
          <cell r="AH2912" t="str">
            <v>R137-EDRN180L4270-X#</v>
          </cell>
        </row>
        <row r="2913">
          <cell r="A2913" t="str">
            <v>MR002901</v>
          </cell>
          <cell r="B2913" t="str">
            <v>MR</v>
          </cell>
          <cell r="C2913">
            <v>30</v>
          </cell>
          <cell r="D2913">
            <v>16</v>
          </cell>
          <cell r="E2913" t="str">
            <v>KH157</v>
          </cell>
          <cell r="F2913">
            <v>17700</v>
          </cell>
          <cell r="G2913">
            <v>91.65</v>
          </cell>
          <cell r="H2913">
            <v>1</v>
          </cell>
          <cell r="I2913" t="str">
            <v>M1A</v>
          </cell>
          <cell r="J2913" t="str">
            <v>IE3</v>
          </cell>
          <cell r="K2913" t="str">
            <v>400/690</v>
          </cell>
          <cell r="L2913">
            <v>50</v>
          </cell>
          <cell r="M2913" t="str">
            <v>56/32,5</v>
          </cell>
          <cell r="N2913">
            <v>65</v>
          </cell>
          <cell r="O2913" t="str">
            <v>155(F)</v>
          </cell>
          <cell r="P2913" t="str">
            <v>270°</v>
          </cell>
          <cell r="Q2913" t="str">
            <v>TF</v>
          </cell>
          <cell r="R2913" t="str">
            <v>V(VE)</v>
          </cell>
          <cell r="S2913" t="str">
            <v>-</v>
          </cell>
          <cell r="T2913" t="str">
            <v>-</v>
          </cell>
          <cell r="U2913" t="str">
            <v>-</v>
          </cell>
          <cell r="V2913" t="str">
            <v>FC</v>
          </cell>
          <cell r="W2913" t="str">
            <v>YES</v>
          </cell>
          <cell r="X2913" t="str">
            <v>CLP PG 220 (-25/+80°C)</v>
          </cell>
          <cell r="Y2913" t="str">
            <v>KH157EDRN200L4 /TF/VE</v>
          </cell>
          <cell r="Z2913" t="str">
            <v>SEW</v>
          </cell>
          <cell r="AB2913" t="str">
            <v>ATEX22</v>
          </cell>
          <cell r="AF2913">
            <v>16</v>
          </cell>
          <cell r="AG2913" t="str">
            <v>EDRN200L4</v>
          </cell>
          <cell r="AH2913" t="str">
            <v>KH157-EDRN200L4A270-X#</v>
          </cell>
        </row>
        <row r="2914">
          <cell r="A2914" t="str">
            <v>MR002902</v>
          </cell>
          <cell r="B2914" t="str">
            <v>MR</v>
          </cell>
          <cell r="C2914">
            <v>22</v>
          </cell>
          <cell r="D2914">
            <v>21</v>
          </cell>
          <cell r="E2914" t="str">
            <v>KH127</v>
          </cell>
          <cell r="F2914">
            <v>10100</v>
          </cell>
          <cell r="G2914">
            <v>70.95</v>
          </cell>
          <cell r="H2914">
            <v>1.3</v>
          </cell>
          <cell r="I2914" t="str">
            <v>From M1A to M2A - 55°</v>
          </cell>
          <cell r="J2914" t="str">
            <v>IE3</v>
          </cell>
          <cell r="K2914" t="str">
            <v>400/690</v>
          </cell>
          <cell r="L2914">
            <v>50</v>
          </cell>
          <cell r="M2914" t="str">
            <v>38,5/22,5</v>
          </cell>
          <cell r="N2914">
            <v>65</v>
          </cell>
          <cell r="O2914" t="str">
            <v>155(F)</v>
          </cell>
          <cell r="P2914" t="str">
            <v>270°</v>
          </cell>
          <cell r="Q2914" t="str">
            <v>TF</v>
          </cell>
          <cell r="R2914" t="str">
            <v>V(VE)</v>
          </cell>
          <cell r="S2914" t="str">
            <v>-</v>
          </cell>
          <cell r="T2914" t="str">
            <v>-</v>
          </cell>
          <cell r="U2914" t="str">
            <v>-</v>
          </cell>
          <cell r="V2914" t="str">
            <v>FC</v>
          </cell>
          <cell r="W2914" t="str">
            <v>YES</v>
          </cell>
          <cell r="X2914" t="str">
            <v>CLP PG 220 (-25/+80°C)</v>
          </cell>
          <cell r="Y2914" t="str">
            <v>KH127EDRN180L4 /TF/VE</v>
          </cell>
          <cell r="Z2914" t="str">
            <v>SEW</v>
          </cell>
          <cell r="AB2914" t="str">
            <v>ATEX22</v>
          </cell>
          <cell r="AF2914">
            <v>21</v>
          </cell>
          <cell r="AG2914" t="str">
            <v>EDRN180L4</v>
          </cell>
          <cell r="AH2914" t="str">
            <v>KH127-EDRN180L4A270-X#</v>
          </cell>
        </row>
        <row r="2915">
          <cell r="A2915" t="str">
            <v>MR002903</v>
          </cell>
          <cell r="B2915" t="str">
            <v>MR</v>
          </cell>
          <cell r="C2915">
            <v>7.5</v>
          </cell>
          <cell r="D2915">
            <v>58.93</v>
          </cell>
          <cell r="E2915" t="str">
            <v>KADS89-LE132ZMS4PWX</v>
          </cell>
          <cell r="F2915">
            <v>1600</v>
          </cell>
          <cell r="G2915">
            <v>24.86</v>
          </cell>
          <cell r="H2915">
            <v>1.32</v>
          </cell>
          <cell r="I2915" t="str">
            <v>From M1B to M4B - 75°</v>
          </cell>
          <cell r="J2915" t="str">
            <v>IE3</v>
          </cell>
          <cell r="K2915" t="str">
            <v>230/400</v>
          </cell>
          <cell r="L2915">
            <v>50</v>
          </cell>
          <cell r="M2915" t="str">
            <v>24,9/14,3</v>
          </cell>
          <cell r="N2915">
            <v>55</v>
          </cell>
          <cell r="O2915" t="str">
            <v>155(F)</v>
          </cell>
          <cell r="P2915" t="str">
            <v>2D</v>
          </cell>
          <cell r="Q2915" t="str">
            <v>TF</v>
          </cell>
          <cell r="R2915" t="str">
            <v>-</v>
          </cell>
          <cell r="S2915" t="str">
            <v>Free rotation CW</v>
          </cell>
          <cell r="T2915" t="str">
            <v>-</v>
          </cell>
          <cell r="U2915" t="str">
            <v>T</v>
          </cell>
          <cell r="V2915" t="str">
            <v>SS</v>
          </cell>
          <cell r="W2915" t="str">
            <v>YES</v>
          </cell>
          <cell r="X2915" t="str">
            <v xml:space="preserve">CLP PG VG 220 </v>
          </cell>
          <cell r="Y2915" t="str">
            <v>2KJ3510-9HL23-9CM1-Z_D24+E03+G23+H3A+K01+K07+K18+K41+K95+L03+L75+M10+M41+M62+N22+N23+N30+N38+N3A+N54+N67+P80</v>
          </cell>
          <cell r="Z2915" t="str">
            <v>SIEMENS</v>
          </cell>
          <cell r="AB2915" t="str">
            <v>-</v>
          </cell>
          <cell r="AF2915">
            <v>58.93</v>
          </cell>
          <cell r="AG2915" t="str">
            <v>DRN132M4</v>
          </cell>
          <cell r="AH2915" t="str">
            <v>KADS89-LE132ZMS4PWXT-DRN132M4B2D-X</v>
          </cell>
        </row>
        <row r="2916">
          <cell r="A2916" t="str">
            <v>MR002904</v>
          </cell>
          <cell r="B2916" t="str">
            <v>MR</v>
          </cell>
          <cell r="C2916">
            <v>0.75</v>
          </cell>
          <cell r="D2916">
            <v>157.66999999999999</v>
          </cell>
          <cell r="E2916" t="str">
            <v>KAD39-LE80ZMQ4P</v>
          </cell>
          <cell r="F2916">
            <v>220</v>
          </cell>
          <cell r="G2916">
            <v>31.92</v>
          </cell>
          <cell r="H2916">
            <v>1.4</v>
          </cell>
          <cell r="I2916" t="str">
            <v>From M3A to M2A - 15°</v>
          </cell>
          <cell r="J2916" t="str">
            <v>IE3</v>
          </cell>
          <cell r="K2916" t="str">
            <v>230/400</v>
          </cell>
          <cell r="L2916">
            <v>50</v>
          </cell>
          <cell r="M2916" t="str">
            <v>3,04/1,75</v>
          </cell>
          <cell r="N2916">
            <v>55</v>
          </cell>
          <cell r="O2916" t="str">
            <v>155(F)</v>
          </cell>
          <cell r="P2916" t="str">
            <v>2B</v>
          </cell>
          <cell r="Q2916" t="str">
            <v>TF</v>
          </cell>
          <cell r="R2916" t="str">
            <v>-</v>
          </cell>
          <cell r="S2916" t="str">
            <v>-</v>
          </cell>
          <cell r="T2916" t="str">
            <v>-</v>
          </cell>
          <cell r="U2916" t="str">
            <v>T</v>
          </cell>
          <cell r="V2916" t="str">
            <v>D</v>
          </cell>
          <cell r="W2916" t="str">
            <v>YES</v>
          </cell>
          <cell r="X2916" t="str">
            <v xml:space="preserve">CLP PG VG 220 </v>
          </cell>
          <cell r="Y2916" t="str">
            <v>2KJ3504-5DF23-4CS1-Z_D12+E15+G23+K01+K07+K41+K95+L03+L75+M10+M41+M60+N30+N38+N54+N67+P80</v>
          </cell>
          <cell r="Z2916" t="str">
            <v>SIEMENS</v>
          </cell>
          <cell r="AB2916" t="str">
            <v>-</v>
          </cell>
          <cell r="AF2916">
            <v>157.66999999999999</v>
          </cell>
          <cell r="AG2916" t="str">
            <v>DRN80M4</v>
          </cell>
          <cell r="AH2916" t="str">
            <v>KAD39-LE80ZMQ4PT-DRN80M4A2B-X</v>
          </cell>
        </row>
        <row r="2917">
          <cell r="A2917" t="str">
            <v>MR002905</v>
          </cell>
          <cell r="B2917" t="str">
            <v>MR</v>
          </cell>
          <cell r="C2917">
            <v>0.75</v>
          </cell>
          <cell r="D2917">
            <v>18</v>
          </cell>
          <cell r="E2917" t="str">
            <v>FA67</v>
          </cell>
          <cell r="F2917">
            <v>390</v>
          </cell>
          <cell r="G2917">
            <v>95.94</v>
          </cell>
          <cell r="H2917">
            <v>2.1</v>
          </cell>
          <cell r="I2917" t="str">
            <v>From M3 to M6 - 35°</v>
          </cell>
          <cell r="J2917" t="str">
            <v>IE3</v>
          </cell>
          <cell r="K2917" t="str">
            <v>277/480</v>
          </cell>
          <cell r="L2917">
            <v>60</v>
          </cell>
          <cell r="M2917" t="str">
            <v>2,6/1,49</v>
          </cell>
          <cell r="N2917">
            <v>56</v>
          </cell>
          <cell r="O2917" t="str">
            <v>155(F)</v>
          </cell>
          <cell r="P2917" t="str">
            <v>270°</v>
          </cell>
          <cell r="Q2917" t="str">
            <v>TF</v>
          </cell>
          <cell r="R2917" t="str">
            <v>-</v>
          </cell>
          <cell r="S2917" t="str">
            <v>-</v>
          </cell>
          <cell r="T2917" t="str">
            <v>BEHF</v>
          </cell>
          <cell r="U2917" t="str">
            <v>G</v>
          </cell>
          <cell r="V2917" t="str">
            <v>D+R</v>
          </cell>
          <cell r="W2917" t="str">
            <v>-</v>
          </cell>
          <cell r="X2917" t="str">
            <v>CLP 220 (-15/+40°C)</v>
          </cell>
          <cell r="Y2917" t="str">
            <v>FA67/G DRN80M4 /BEHF /TF</v>
          </cell>
          <cell r="Z2917" t="str">
            <v>SEW</v>
          </cell>
          <cell r="AB2917" t="str">
            <v>-</v>
          </cell>
          <cell r="AD2917" t="str">
            <v>UL</v>
          </cell>
          <cell r="AE2917" t="str">
            <v>Brake supply: 480V AC Monophase</v>
          </cell>
          <cell r="AF2917">
            <v>21.6</v>
          </cell>
          <cell r="AG2917" t="str">
            <v>DRN80M4</v>
          </cell>
          <cell r="AH2917" t="str">
            <v>FA67G-DRN80M4270-X</v>
          </cell>
        </row>
        <row r="2918">
          <cell r="A2918" t="str">
            <v>MR002906</v>
          </cell>
          <cell r="B2918" t="str">
            <v>MR</v>
          </cell>
          <cell r="C2918">
            <v>0.75</v>
          </cell>
          <cell r="D2918">
            <v>165</v>
          </cell>
          <cell r="E2918" t="str">
            <v>KAD39</v>
          </cell>
          <cell r="F2918">
            <v>44</v>
          </cell>
          <cell r="G2918">
            <v>8.81</v>
          </cell>
          <cell r="H2918">
            <v>4.2</v>
          </cell>
          <cell r="I2918" t="str">
            <v>From M3B to M4B - 20°</v>
          </cell>
          <cell r="J2918" t="str">
            <v>IE3</v>
          </cell>
          <cell r="K2918" t="str">
            <v>230/400</v>
          </cell>
          <cell r="L2918">
            <v>50</v>
          </cell>
          <cell r="M2918" t="str">
            <v>3,05/1,75</v>
          </cell>
          <cell r="N2918">
            <v>55</v>
          </cell>
          <cell r="O2918" t="str">
            <v>155(F)</v>
          </cell>
          <cell r="P2918" t="str">
            <v>270°</v>
          </cell>
          <cell r="Q2918" t="str">
            <v>-</v>
          </cell>
          <cell r="R2918" t="str">
            <v>-</v>
          </cell>
          <cell r="S2918" t="str">
            <v>-</v>
          </cell>
          <cell r="T2918" t="str">
            <v>-</v>
          </cell>
          <cell r="U2918" t="str">
            <v>T</v>
          </cell>
          <cell r="V2918" t="str">
            <v>D</v>
          </cell>
          <cell r="W2918" t="str">
            <v>-</v>
          </cell>
          <cell r="X2918" t="str">
            <v>CLP PG 220 (-25/+80°C)</v>
          </cell>
          <cell r="Y2918" t="str">
            <v>KAD39/T EDRN80M4</v>
          </cell>
          <cell r="Z2918" t="str">
            <v>SIEMENS</v>
          </cell>
          <cell r="AA2918" t="str">
            <v>RAL 5010</v>
          </cell>
          <cell r="AB2918" t="str">
            <v>ATEX22</v>
          </cell>
          <cell r="AF2918">
            <v>165</v>
          </cell>
          <cell r="AG2918" t="str">
            <v>EDRN80M4</v>
          </cell>
          <cell r="AH2918" t="str">
            <v>KAD39T-EDRN80M4B270-X</v>
          </cell>
        </row>
        <row r="2919">
          <cell r="A2919" t="str">
            <v>MR002907</v>
          </cell>
          <cell r="B2919" t="str">
            <v>MR</v>
          </cell>
          <cell r="C2919">
            <v>1.5</v>
          </cell>
          <cell r="D2919">
            <v>22</v>
          </cell>
          <cell r="E2919" t="str">
            <v>FA67</v>
          </cell>
          <cell r="F2919">
            <v>660</v>
          </cell>
          <cell r="G2919">
            <v>67.650000000000006</v>
          </cell>
          <cell r="H2919">
            <v>1.25</v>
          </cell>
          <cell r="I2919" t="str">
            <v>From M5 to M3 - 30°</v>
          </cell>
          <cell r="J2919" t="str">
            <v>IE3</v>
          </cell>
          <cell r="K2919" t="str">
            <v>230/400</v>
          </cell>
          <cell r="L2919">
            <v>50</v>
          </cell>
          <cell r="M2919" t="str">
            <v>5,9/3,4</v>
          </cell>
          <cell r="N2919">
            <v>55</v>
          </cell>
          <cell r="O2919" t="str">
            <v>155(F)</v>
          </cell>
          <cell r="P2919" t="str">
            <v>270°</v>
          </cell>
          <cell r="Q2919" t="str">
            <v>-</v>
          </cell>
          <cell r="R2919" t="str">
            <v>-</v>
          </cell>
          <cell r="S2919" t="str">
            <v>-</v>
          </cell>
          <cell r="T2919" t="str">
            <v>BEHF</v>
          </cell>
          <cell r="U2919" t="str">
            <v>G</v>
          </cell>
          <cell r="V2919" t="str">
            <v>D+R</v>
          </cell>
          <cell r="W2919" t="str">
            <v>-</v>
          </cell>
          <cell r="X2919" t="str">
            <v>CLP 220 (-15/+40°C)</v>
          </cell>
          <cell r="Y2919" t="str">
            <v>FA67/G DRN90L4 /BEHF</v>
          </cell>
          <cell r="Z2919" t="str">
            <v>SEW</v>
          </cell>
          <cell r="AB2919" t="str">
            <v>-</v>
          </cell>
          <cell r="AF2919">
            <v>22</v>
          </cell>
          <cell r="AG2919" t="str">
            <v>DRN90L4</v>
          </cell>
          <cell r="AH2919" t="str">
            <v>FA67G-DRN90L4270-X</v>
          </cell>
        </row>
        <row r="2920">
          <cell r="A2920" t="str">
            <v>MR002908</v>
          </cell>
          <cell r="B2920" t="str">
            <v>MR</v>
          </cell>
          <cell r="C2920">
            <v>22</v>
          </cell>
          <cell r="D2920">
            <v>12</v>
          </cell>
          <cell r="E2920" t="str">
            <v>KH157</v>
          </cell>
          <cell r="F2920">
            <v>17400</v>
          </cell>
          <cell r="G2920">
            <v>122.39</v>
          </cell>
          <cell r="H2920">
            <v>1.1499999999999999</v>
          </cell>
          <cell r="I2920" t="str">
            <v>From M1A to M4A - 65°</v>
          </cell>
          <cell r="J2920" t="str">
            <v>IE3</v>
          </cell>
          <cell r="K2920" t="str">
            <v>230/400</v>
          </cell>
          <cell r="L2920">
            <v>50</v>
          </cell>
          <cell r="M2920" t="str">
            <v>67/38,5</v>
          </cell>
          <cell r="N2920">
            <v>65</v>
          </cell>
          <cell r="O2920" t="str">
            <v>155(F)</v>
          </cell>
          <cell r="P2920" t="str">
            <v>270°</v>
          </cell>
          <cell r="Q2920" t="str">
            <v>TF</v>
          </cell>
          <cell r="R2920" t="str">
            <v>V(VE)</v>
          </cell>
          <cell r="S2920" t="str">
            <v>Free rotation CCW</v>
          </cell>
          <cell r="T2920" t="str">
            <v>-</v>
          </cell>
          <cell r="U2920" t="str">
            <v>T</v>
          </cell>
          <cell r="V2920" t="str">
            <v>FC</v>
          </cell>
          <cell r="W2920" t="str">
            <v>YES</v>
          </cell>
          <cell r="X2920" t="str">
            <v>CLP HC 150 (-30/+50°C)</v>
          </cell>
          <cell r="Y2920" t="str">
            <v>KH157/T DRN180L4 /RS /TF/V</v>
          </cell>
          <cell r="Z2920" t="str">
            <v>SEW</v>
          </cell>
          <cell r="AB2920" t="str">
            <v>-</v>
          </cell>
          <cell r="AF2920">
            <v>12</v>
          </cell>
          <cell r="AG2920" t="str">
            <v>DRN180L4</v>
          </cell>
          <cell r="AH2920" t="str">
            <v>KH157T-DRN180L4A270-X#</v>
          </cell>
        </row>
        <row r="2921">
          <cell r="A2921" t="str">
            <v>MR002909</v>
          </cell>
          <cell r="B2921" t="str">
            <v>MR</v>
          </cell>
          <cell r="C2921">
            <v>22</v>
          </cell>
          <cell r="D2921">
            <v>12</v>
          </cell>
          <cell r="E2921" t="str">
            <v>KH157</v>
          </cell>
          <cell r="F2921">
            <v>17400</v>
          </cell>
          <cell r="G2921">
            <v>122.39</v>
          </cell>
          <cell r="H2921">
            <v>1.1499999999999999</v>
          </cell>
          <cell r="I2921" t="str">
            <v>From M1B to M4B - 65°</v>
          </cell>
          <cell r="J2921" t="str">
            <v>IE3</v>
          </cell>
          <cell r="K2921" t="str">
            <v>230/400</v>
          </cell>
          <cell r="L2921">
            <v>50</v>
          </cell>
          <cell r="M2921" t="str">
            <v>67/38,5</v>
          </cell>
          <cell r="N2921">
            <v>65</v>
          </cell>
          <cell r="O2921" t="str">
            <v>155(F)</v>
          </cell>
          <cell r="P2921" t="str">
            <v>270°</v>
          </cell>
          <cell r="Q2921" t="str">
            <v>TF</v>
          </cell>
          <cell r="R2921" t="str">
            <v>V(VE)</v>
          </cell>
          <cell r="S2921" t="str">
            <v>Free rotation CW</v>
          </cell>
          <cell r="T2921" t="str">
            <v>-</v>
          </cell>
          <cell r="U2921" t="str">
            <v>T</v>
          </cell>
          <cell r="V2921" t="str">
            <v>FC</v>
          </cell>
          <cell r="W2921" t="str">
            <v>YES</v>
          </cell>
          <cell r="X2921" t="str">
            <v>CLP HC 150 (-30/+50°C)</v>
          </cell>
          <cell r="Y2921" t="str">
            <v>KH157/T DRN180L4 /RS /TF/V</v>
          </cell>
          <cell r="Z2921" t="str">
            <v>SEW</v>
          </cell>
          <cell r="AB2921" t="str">
            <v>-</v>
          </cell>
          <cell r="AF2921">
            <v>12</v>
          </cell>
          <cell r="AG2921" t="str">
            <v>DRN180L4</v>
          </cell>
          <cell r="AH2921" t="str">
            <v>KH157T-DRN180L4B270-X#</v>
          </cell>
        </row>
        <row r="2922">
          <cell r="A2922" t="str">
            <v>MR002910</v>
          </cell>
          <cell r="B2922" t="str">
            <v>ME</v>
          </cell>
          <cell r="C2922">
            <v>3</v>
          </cell>
          <cell r="E2922" t="str">
            <v>-</v>
          </cell>
          <cell r="I2922" t="str">
            <v>M1</v>
          </cell>
          <cell r="J2922" t="str">
            <v>IE3</v>
          </cell>
          <cell r="K2922" t="str">
            <v>230/400</v>
          </cell>
          <cell r="L2922">
            <v>50</v>
          </cell>
          <cell r="M2922" t="str">
            <v>11,2/6,4</v>
          </cell>
          <cell r="N2922">
            <v>55</v>
          </cell>
          <cell r="O2922" t="str">
            <v>155(F)</v>
          </cell>
          <cell r="P2922" t="str">
            <v>270°</v>
          </cell>
          <cell r="Q2922" t="str">
            <v>-</v>
          </cell>
          <cell r="R2922" t="str">
            <v>-</v>
          </cell>
          <cell r="S2922" t="str">
            <v>-</v>
          </cell>
          <cell r="T2922" t="str">
            <v>-</v>
          </cell>
          <cell r="U2922" t="str">
            <v>-</v>
          </cell>
          <cell r="V2922" t="str">
            <v>D</v>
          </cell>
          <cell r="W2922" t="str">
            <v>-</v>
          </cell>
          <cell r="X2922" t="str">
            <v>-</v>
          </cell>
          <cell r="Y2922" t="str">
            <v>-DRN100L4</v>
          </cell>
          <cell r="Z2922" t="str">
            <v>SEW</v>
          </cell>
          <cell r="AB2922" t="str">
            <v>-</v>
          </cell>
          <cell r="AE2922" t="str">
            <v>con opzione /FG= motore modulare con flangia per accoppiamento a riduttori SEW</v>
          </cell>
          <cell r="AF2922">
            <v>0</v>
          </cell>
          <cell r="AG2922" t="str">
            <v>DRN100L4</v>
          </cell>
          <cell r="AH2922" t="str">
            <v>--DRN100L4270-X</v>
          </cell>
        </row>
        <row r="2923">
          <cell r="A2923" t="str">
            <v>MR002911</v>
          </cell>
          <cell r="B2923" t="str">
            <v>MR</v>
          </cell>
          <cell r="C2923">
            <v>9.1999999999999993</v>
          </cell>
          <cell r="D2923">
            <v>42</v>
          </cell>
          <cell r="E2923" t="str">
            <v>FH87</v>
          </cell>
          <cell r="F2923">
            <v>2100</v>
          </cell>
          <cell r="G2923">
            <v>35.19</v>
          </cell>
          <cell r="H2923">
            <v>1.25</v>
          </cell>
          <cell r="I2923" t="str">
            <v>From M3 to M4 - 20°</v>
          </cell>
          <cell r="J2923" t="str">
            <v>IE3</v>
          </cell>
          <cell r="K2923" t="str">
            <v>230/400</v>
          </cell>
          <cell r="L2923">
            <v>50</v>
          </cell>
          <cell r="M2923" t="str">
            <v>32,5/18,7</v>
          </cell>
          <cell r="N2923">
            <v>65</v>
          </cell>
          <cell r="O2923" t="str">
            <v>155(F)</v>
          </cell>
          <cell r="P2923" t="str">
            <v>270°</v>
          </cell>
          <cell r="Q2923" t="str">
            <v>TF</v>
          </cell>
          <cell r="R2923" t="str">
            <v>-</v>
          </cell>
          <cell r="S2923" t="str">
            <v>-</v>
          </cell>
          <cell r="T2923" t="str">
            <v>-</v>
          </cell>
          <cell r="U2923" t="str">
            <v>G</v>
          </cell>
          <cell r="V2923" t="str">
            <v>D</v>
          </cell>
          <cell r="W2923" t="str">
            <v>-</v>
          </cell>
          <cell r="X2923" t="str">
            <v>CLP 220 (-15/+40°C)</v>
          </cell>
          <cell r="Y2923" t="str">
            <v>FH87/G DRN132L4 /TF</v>
          </cell>
          <cell r="Z2923" t="str">
            <v>SEW</v>
          </cell>
          <cell r="AB2923" t="str">
            <v>-</v>
          </cell>
          <cell r="AF2923">
            <v>42</v>
          </cell>
          <cell r="AG2923" t="str">
            <v>DRN132L4</v>
          </cell>
          <cell r="AH2923" t="str">
            <v>FH87G-DRN132L4270-X</v>
          </cell>
        </row>
        <row r="2924">
          <cell r="A2924" t="str">
            <v>MR002912</v>
          </cell>
          <cell r="B2924" t="str">
            <v>MR</v>
          </cell>
          <cell r="C2924">
            <v>11</v>
          </cell>
          <cell r="D2924">
            <v>14</v>
          </cell>
          <cell r="E2924" t="str">
            <v>R137</v>
          </cell>
          <cell r="F2924">
            <v>7350</v>
          </cell>
          <cell r="G2924">
            <v>103.2</v>
          </cell>
          <cell r="H2924">
            <v>1.1000000000000001</v>
          </cell>
          <cell r="I2924" t="str">
            <v>M1</v>
          </cell>
          <cell r="J2924" t="str">
            <v>IE3</v>
          </cell>
          <cell r="K2924" t="str">
            <v>230/400</v>
          </cell>
          <cell r="L2924">
            <v>50</v>
          </cell>
          <cell r="M2924" t="str">
            <v>36,5/21</v>
          </cell>
          <cell r="N2924">
            <v>55</v>
          </cell>
          <cell r="O2924" t="str">
            <v>155(F)</v>
          </cell>
          <cell r="P2924" t="str">
            <v>270°</v>
          </cell>
          <cell r="Q2924" t="str">
            <v>TF</v>
          </cell>
          <cell r="R2924" t="str">
            <v>V(VE)</v>
          </cell>
          <cell r="S2924" t="str">
            <v>-</v>
          </cell>
          <cell r="T2924" t="str">
            <v>-</v>
          </cell>
          <cell r="U2924" t="str">
            <v>-</v>
          </cell>
          <cell r="V2924" t="str">
            <v>FC</v>
          </cell>
          <cell r="W2924" t="str">
            <v>-</v>
          </cell>
          <cell r="X2924" t="str">
            <v>CLP 220 (-15/+40°C)</v>
          </cell>
          <cell r="Y2924" t="str">
            <v>R137DRN160M4 /TF/V</v>
          </cell>
          <cell r="Z2924" t="str">
            <v>-</v>
          </cell>
          <cell r="AB2924" t="str">
            <v>-</v>
          </cell>
          <cell r="AF2924">
            <v>14</v>
          </cell>
          <cell r="AG2924" t="str">
            <v>DRN160M4</v>
          </cell>
          <cell r="AH2924" t="str">
            <v>R137-DRN160M4270-X#</v>
          </cell>
        </row>
        <row r="2925">
          <cell r="A2925" t="str">
            <v>MR002913</v>
          </cell>
          <cell r="B2925" t="str">
            <v>MR</v>
          </cell>
          <cell r="C2925">
            <v>11</v>
          </cell>
          <cell r="D2925">
            <v>9.6</v>
          </cell>
          <cell r="E2925" t="str">
            <v>FH127</v>
          </cell>
          <cell r="F2925">
            <v>10950</v>
          </cell>
          <cell r="G2925">
            <v>153.66999999999999</v>
          </cell>
          <cell r="H2925">
            <v>1.1000000000000001</v>
          </cell>
          <cell r="I2925" t="str">
            <v>From M1 to M2 - 15°</v>
          </cell>
          <cell r="J2925" t="str">
            <v>IE3</v>
          </cell>
          <cell r="K2925" t="str">
            <v>400/690</v>
          </cell>
          <cell r="L2925">
            <v>50</v>
          </cell>
          <cell r="M2925" t="str">
            <v>21/12,2</v>
          </cell>
          <cell r="N2925">
            <v>65</v>
          </cell>
          <cell r="O2925" t="str">
            <v>155(F)</v>
          </cell>
          <cell r="P2925" t="str">
            <v>270°</v>
          </cell>
          <cell r="Q2925" t="str">
            <v>TF</v>
          </cell>
          <cell r="R2925" t="str">
            <v>V(VE)</v>
          </cell>
          <cell r="S2925" t="str">
            <v>-</v>
          </cell>
          <cell r="T2925" t="str">
            <v>-</v>
          </cell>
          <cell r="U2925" t="str">
            <v>G</v>
          </cell>
          <cell r="V2925" t="str">
            <v>FC</v>
          </cell>
          <cell r="W2925" t="str">
            <v>-</v>
          </cell>
          <cell r="X2925" t="str">
            <v>CLP HC 220 (-25/+60°C)</v>
          </cell>
          <cell r="Y2925" t="str">
            <v>FH127/G EDRN160M4 /TF/VE</v>
          </cell>
          <cell r="Z2925" t="str">
            <v>SEW</v>
          </cell>
          <cell r="AB2925" t="str">
            <v>ATEX22</v>
          </cell>
          <cell r="AF2925">
            <v>9.6</v>
          </cell>
          <cell r="AG2925" t="str">
            <v>EDRN160M4</v>
          </cell>
          <cell r="AH2925" t="str">
            <v>FH127G-EDRN160M4270-X#</v>
          </cell>
        </row>
        <row r="2926">
          <cell r="A2926" t="str">
            <v>MR002914</v>
          </cell>
          <cell r="B2926" t="str">
            <v>MR</v>
          </cell>
          <cell r="C2926">
            <v>11</v>
          </cell>
          <cell r="D2926">
            <v>109</v>
          </cell>
          <cell r="E2926" t="str">
            <v>KH77</v>
          </cell>
          <cell r="F2926">
            <v>960</v>
          </cell>
          <cell r="G2926">
            <v>13.52</v>
          </cell>
          <cell r="H2926">
            <v>1.1000000000000001</v>
          </cell>
          <cell r="I2926" t="str">
            <v>From M4B to M1B - 15°</v>
          </cell>
          <cell r="J2926" t="str">
            <v>IE3</v>
          </cell>
          <cell r="K2926" t="str">
            <v>400/690</v>
          </cell>
          <cell r="L2926">
            <v>50</v>
          </cell>
          <cell r="M2926" t="str">
            <v>21/12,2</v>
          </cell>
          <cell r="N2926">
            <v>65</v>
          </cell>
          <cell r="O2926" t="str">
            <v>155(F)</v>
          </cell>
          <cell r="P2926" t="str">
            <v>270°</v>
          </cell>
          <cell r="Q2926" t="str">
            <v>TF</v>
          </cell>
          <cell r="R2926" t="str">
            <v>-</v>
          </cell>
          <cell r="S2926" t="str">
            <v>Free rotation CW</v>
          </cell>
          <cell r="T2926" t="str">
            <v>-</v>
          </cell>
          <cell r="U2926" t="str">
            <v>T</v>
          </cell>
          <cell r="V2926" t="str">
            <v>SS</v>
          </cell>
          <cell r="W2926" t="str">
            <v>-</v>
          </cell>
          <cell r="X2926" t="str">
            <v>CLP HC 220 (-25/+60°C)</v>
          </cell>
          <cell r="Y2926" t="str">
            <v>KH77/T EDRN160M4 /RS /TF</v>
          </cell>
          <cell r="Z2926" t="str">
            <v>SEW</v>
          </cell>
          <cell r="AB2926" t="str">
            <v>ATEX22</v>
          </cell>
          <cell r="AF2926">
            <v>109</v>
          </cell>
          <cell r="AG2926" t="str">
            <v>EDRN160M4</v>
          </cell>
          <cell r="AH2926" t="str">
            <v>KH77T-EDRN160M4B270-X</v>
          </cell>
        </row>
        <row r="2927">
          <cell r="A2927" t="str">
            <v>MR002915</v>
          </cell>
          <cell r="B2927" t="str">
            <v>MR</v>
          </cell>
          <cell r="C2927">
            <v>0.75</v>
          </cell>
          <cell r="D2927">
            <v>162</v>
          </cell>
          <cell r="E2927" t="str">
            <v>KA37</v>
          </cell>
          <cell r="F2927">
            <v>44</v>
          </cell>
          <cell r="G2927">
            <v>8.91</v>
          </cell>
          <cell r="H2927">
            <v>3</v>
          </cell>
          <cell r="I2927" t="str">
            <v>From M3B to M4B - 15°</v>
          </cell>
          <cell r="J2927" t="str">
            <v>IE3</v>
          </cell>
          <cell r="K2927" t="str">
            <v>230/400</v>
          </cell>
          <cell r="L2927">
            <v>50</v>
          </cell>
          <cell r="M2927" t="str">
            <v>3,05/1,75</v>
          </cell>
          <cell r="N2927">
            <v>65</v>
          </cell>
          <cell r="O2927" t="str">
            <v>155(F)</v>
          </cell>
          <cell r="P2927" t="str">
            <v>0°</v>
          </cell>
          <cell r="Q2927" t="str">
            <v>-</v>
          </cell>
          <cell r="R2927" t="str">
            <v>-</v>
          </cell>
          <cell r="S2927" t="str">
            <v>-</v>
          </cell>
          <cell r="T2927" t="str">
            <v>-</v>
          </cell>
          <cell r="U2927" t="str">
            <v>T</v>
          </cell>
          <cell r="V2927" t="str">
            <v>D</v>
          </cell>
          <cell r="W2927" t="str">
            <v>-</v>
          </cell>
          <cell r="X2927" t="str">
            <v>CLP HC 220 (-25/+60°C)</v>
          </cell>
          <cell r="Y2927" t="str">
            <v>KA37/T EDRN80M4</v>
          </cell>
          <cell r="Z2927" t="str">
            <v>SEW</v>
          </cell>
          <cell r="AB2927" t="str">
            <v>ATEX22</v>
          </cell>
          <cell r="AF2927">
            <v>162</v>
          </cell>
          <cell r="AG2927" t="str">
            <v>EDRN80M4</v>
          </cell>
          <cell r="AH2927" t="str">
            <v>KA37T-EDRN80M4B0-X</v>
          </cell>
        </row>
        <row r="2928">
          <cell r="A2928" t="str">
            <v>MR002916</v>
          </cell>
          <cell r="B2928" t="str">
            <v>MR</v>
          </cell>
          <cell r="C2928">
            <v>7.5</v>
          </cell>
          <cell r="D2928">
            <v>62</v>
          </cell>
          <cell r="E2928" t="str">
            <v>FH87</v>
          </cell>
          <cell r="F2928">
            <v>1160</v>
          </cell>
          <cell r="G2928">
            <v>23.68</v>
          </cell>
          <cell r="H2928">
            <v>2.2999999999999998</v>
          </cell>
          <cell r="I2928" t="str">
            <v>From M1 to M2- 15°</v>
          </cell>
          <cell r="J2928" t="str">
            <v>IE3</v>
          </cell>
          <cell r="K2928" t="str">
            <v>400/690</v>
          </cell>
          <cell r="L2928">
            <v>50</v>
          </cell>
          <cell r="M2928" t="str">
            <v>15,2/8,8</v>
          </cell>
          <cell r="N2928">
            <v>65</v>
          </cell>
          <cell r="O2928" t="str">
            <v>155(F)</v>
          </cell>
          <cell r="P2928" t="str">
            <v>270°</v>
          </cell>
          <cell r="Q2928" t="str">
            <v>-</v>
          </cell>
          <cell r="R2928" t="str">
            <v>-</v>
          </cell>
          <cell r="S2928" t="str">
            <v>-</v>
          </cell>
          <cell r="T2928" t="str">
            <v>-</v>
          </cell>
          <cell r="U2928" t="str">
            <v>G</v>
          </cell>
          <cell r="V2928" t="str">
            <v>D</v>
          </cell>
          <cell r="W2928" t="str">
            <v>-</v>
          </cell>
          <cell r="X2928" t="str">
            <v>CLP HC 220 (-25/+60°C)</v>
          </cell>
          <cell r="Y2928" t="str">
            <v>FH87/G EDRN132M4</v>
          </cell>
          <cell r="Z2928" t="str">
            <v>SEW</v>
          </cell>
          <cell r="AB2928" t="str">
            <v>ATEX22</v>
          </cell>
          <cell r="AF2928">
            <v>62</v>
          </cell>
          <cell r="AG2928" t="str">
            <v>EDRN132M4</v>
          </cell>
          <cell r="AH2928" t="str">
            <v>FH87G-EDRN132M4270-X</v>
          </cell>
        </row>
        <row r="2929">
          <cell r="A2929" t="str">
            <v>MR002917</v>
          </cell>
          <cell r="B2929" t="str">
            <v>MR</v>
          </cell>
          <cell r="C2929">
            <v>7.5</v>
          </cell>
          <cell r="D2929">
            <v>62</v>
          </cell>
          <cell r="E2929" t="str">
            <v>FH87</v>
          </cell>
          <cell r="F2929">
            <v>1160</v>
          </cell>
          <cell r="G2929">
            <v>23.68</v>
          </cell>
          <cell r="H2929">
            <v>2.2999999999999998</v>
          </cell>
          <cell r="I2929" t="str">
            <v>M1</v>
          </cell>
          <cell r="J2929" t="str">
            <v>IE3</v>
          </cell>
          <cell r="K2929" t="str">
            <v>400/690</v>
          </cell>
          <cell r="L2929">
            <v>50</v>
          </cell>
          <cell r="M2929" t="str">
            <v>15,2/8,8</v>
          </cell>
          <cell r="N2929">
            <v>65</v>
          </cell>
          <cell r="O2929" t="str">
            <v>155(F)</v>
          </cell>
          <cell r="P2929" t="str">
            <v>270°</v>
          </cell>
          <cell r="Q2929" t="str">
            <v>-</v>
          </cell>
          <cell r="R2929" t="str">
            <v>-</v>
          </cell>
          <cell r="S2929" t="str">
            <v>-</v>
          </cell>
          <cell r="T2929" t="str">
            <v>-</v>
          </cell>
          <cell r="U2929" t="str">
            <v>G</v>
          </cell>
          <cell r="V2929" t="str">
            <v>D+R</v>
          </cell>
          <cell r="W2929" t="str">
            <v>-</v>
          </cell>
          <cell r="X2929" t="str">
            <v>CLP HC 220 (-25/+60°C)</v>
          </cell>
          <cell r="Y2929" t="str">
            <v>FH87/G EDRN132M4</v>
          </cell>
          <cell r="Z2929" t="str">
            <v>SEW</v>
          </cell>
          <cell r="AB2929" t="str">
            <v>ATEX22</v>
          </cell>
          <cell r="AF2929">
            <v>62</v>
          </cell>
          <cell r="AG2929" t="str">
            <v>EDRN132M4</v>
          </cell>
          <cell r="AH2929" t="str">
            <v>FH87G-EDRN132M4270-X</v>
          </cell>
        </row>
        <row r="2930">
          <cell r="A2930" t="str">
            <v>MR002918</v>
          </cell>
          <cell r="B2930" t="str">
            <v>MR</v>
          </cell>
          <cell r="C2930">
            <v>11</v>
          </cell>
          <cell r="D2930">
            <v>64.349999999999994</v>
          </cell>
          <cell r="E2930" t="str">
            <v>Z89-LE160MPB4P</v>
          </cell>
          <cell r="F2930">
            <v>1680</v>
          </cell>
          <cell r="G2930">
            <v>22.92</v>
          </cell>
          <cell r="H2930">
            <v>1.03</v>
          </cell>
          <cell r="I2930" t="str">
            <v>M5</v>
          </cell>
          <cell r="J2930" t="str">
            <v>IE3</v>
          </cell>
          <cell r="K2930" t="str">
            <v>230/400</v>
          </cell>
          <cell r="L2930">
            <v>50</v>
          </cell>
          <cell r="M2930" t="str">
            <v>35,7/20,5</v>
          </cell>
          <cell r="N2930">
            <v>55</v>
          </cell>
          <cell r="O2930" t="str">
            <v>155(F)</v>
          </cell>
          <cell r="P2930" t="str">
            <v>3B</v>
          </cell>
          <cell r="Q2930" t="str">
            <v>TF</v>
          </cell>
          <cell r="R2930" t="str">
            <v>-</v>
          </cell>
          <cell r="S2930" t="str">
            <v>-</v>
          </cell>
          <cell r="T2930" t="str">
            <v>-</v>
          </cell>
          <cell r="U2930" t="str">
            <v>-</v>
          </cell>
          <cell r="V2930" t="str">
            <v>D+R</v>
          </cell>
          <cell r="W2930" t="str">
            <v>YES</v>
          </cell>
          <cell r="X2930" t="str">
            <v xml:space="preserve">CLP PG VG 220 </v>
          </cell>
          <cell r="Y2930" t="str">
            <v>2KJ3108-1JR23-9AP1-Z_D05+G23+K01+K07+K41+K95+L03+L75+M10+M41+M64+N30+N38+N3A+N54+N67+P80</v>
          </cell>
          <cell r="Z2930" t="str">
            <v>SIEMENS</v>
          </cell>
          <cell r="AB2930" t="str">
            <v>-</v>
          </cell>
          <cell r="AF2930">
            <v>64.349999999999994</v>
          </cell>
          <cell r="AG2930" t="str">
            <v>DRN160M4</v>
          </cell>
          <cell r="AH2930" t="str">
            <v>Z89-LE160MPB4P-DRN160M43B-X</v>
          </cell>
        </row>
        <row r="2931">
          <cell r="A2931" t="str">
            <v>MR002919</v>
          </cell>
          <cell r="B2931" t="str">
            <v>MR</v>
          </cell>
          <cell r="C2931">
            <v>18.5</v>
          </cell>
          <cell r="D2931">
            <v>59</v>
          </cell>
          <cell r="E2931" t="str">
            <v>R107</v>
          </cell>
          <cell r="F2931">
            <v>2970</v>
          </cell>
          <cell r="G2931">
            <v>24.9</v>
          </cell>
          <cell r="H2931">
            <v>1.45</v>
          </cell>
          <cell r="I2931" t="str">
            <v>M1</v>
          </cell>
          <cell r="J2931" t="str">
            <v>IE3</v>
          </cell>
          <cell r="K2931" t="str">
            <v>230/400</v>
          </cell>
          <cell r="L2931">
            <v>50</v>
          </cell>
          <cell r="M2931" t="str">
            <v>58/33,5</v>
          </cell>
          <cell r="N2931">
            <v>65</v>
          </cell>
          <cell r="O2931" t="str">
            <v>155(F)</v>
          </cell>
          <cell r="P2931" t="str">
            <v>270°</v>
          </cell>
          <cell r="Q2931" t="str">
            <v>TF</v>
          </cell>
          <cell r="R2931" t="str">
            <v>V(VE)</v>
          </cell>
          <cell r="S2931" t="str">
            <v>-</v>
          </cell>
          <cell r="T2931" t="str">
            <v>-</v>
          </cell>
          <cell r="U2931" t="str">
            <v>-</v>
          </cell>
          <cell r="V2931" t="str">
            <v>-</v>
          </cell>
          <cell r="W2931" t="str">
            <v>-</v>
          </cell>
          <cell r="X2931" t="str">
            <v>CLP 220 (-15/+40°C)</v>
          </cell>
          <cell r="Y2931" t="str">
            <v>R107DRN180M4 /TF/V</v>
          </cell>
          <cell r="Z2931" t="str">
            <v>-</v>
          </cell>
          <cell r="AB2931" t="str">
            <v>-</v>
          </cell>
          <cell r="AF2931">
            <v>59</v>
          </cell>
          <cell r="AG2931" t="str">
            <v>DRN180M4</v>
          </cell>
          <cell r="AH2931" t="str">
            <v>R107-DRN180M4270-X#</v>
          </cell>
        </row>
        <row r="2932">
          <cell r="A2932" t="str">
            <v>MR002920</v>
          </cell>
          <cell r="B2932" t="str">
            <v>MR</v>
          </cell>
          <cell r="C2932">
            <v>7.5</v>
          </cell>
          <cell r="D2932">
            <v>15</v>
          </cell>
          <cell r="E2932" t="str">
            <v>KH107</v>
          </cell>
          <cell r="F2932">
            <v>4910</v>
          </cell>
          <cell r="G2932">
            <v>100.75</v>
          </cell>
          <cell r="H2932">
            <v>1.65</v>
          </cell>
          <cell r="I2932" t="str">
            <v>From M1A to M2A - 30°</v>
          </cell>
          <cell r="J2932" t="str">
            <v>IE3</v>
          </cell>
          <cell r="K2932" t="str">
            <v>220/380</v>
          </cell>
          <cell r="L2932">
            <v>50</v>
          </cell>
          <cell r="M2932" t="str">
            <v>27,5/16</v>
          </cell>
          <cell r="N2932">
            <v>55</v>
          </cell>
          <cell r="O2932" t="str">
            <v>155(F)</v>
          </cell>
          <cell r="P2932" t="str">
            <v>270°</v>
          </cell>
          <cell r="Q2932" t="str">
            <v>TF</v>
          </cell>
          <cell r="R2932" t="str">
            <v>V(VE)</v>
          </cell>
          <cell r="S2932" t="str">
            <v>-</v>
          </cell>
          <cell r="T2932" t="str">
            <v>-</v>
          </cell>
          <cell r="U2932" t="str">
            <v>-</v>
          </cell>
          <cell r="V2932" t="str">
            <v>FC</v>
          </cell>
          <cell r="W2932" t="str">
            <v>-</v>
          </cell>
          <cell r="X2932" t="str">
            <v>CLP 220 (-15/+40°C)</v>
          </cell>
          <cell r="Y2932" t="str">
            <v>KH107DRN132M4 /TF/V</v>
          </cell>
          <cell r="Z2932" t="str">
            <v>SEW</v>
          </cell>
          <cell r="AB2932" t="str">
            <v>-</v>
          </cell>
          <cell r="AF2932">
            <v>15</v>
          </cell>
          <cell r="AG2932" t="str">
            <v>DRN132M4</v>
          </cell>
          <cell r="AH2932" t="str">
            <v>KH107-DRN132M4A270-X#</v>
          </cell>
        </row>
        <row r="2933">
          <cell r="A2933" t="str">
            <v>MR002921</v>
          </cell>
          <cell r="B2933" t="str">
            <v>MR</v>
          </cell>
          <cell r="C2933">
            <v>7.5</v>
          </cell>
          <cell r="D2933">
            <v>15</v>
          </cell>
          <cell r="E2933" t="str">
            <v>KH107</v>
          </cell>
          <cell r="F2933">
            <v>4910</v>
          </cell>
          <cell r="G2933">
            <v>100.75</v>
          </cell>
          <cell r="H2933">
            <v>1.65</v>
          </cell>
          <cell r="I2933" t="str">
            <v>From M1B to M2B - 30°</v>
          </cell>
          <cell r="J2933" t="str">
            <v>IE3</v>
          </cell>
          <cell r="K2933" t="str">
            <v>220/380</v>
          </cell>
          <cell r="L2933">
            <v>50</v>
          </cell>
          <cell r="M2933" t="str">
            <v>27,5/16</v>
          </cell>
          <cell r="N2933">
            <v>55</v>
          </cell>
          <cell r="O2933" t="str">
            <v>155(F)</v>
          </cell>
          <cell r="P2933" t="str">
            <v>270°</v>
          </cell>
          <cell r="Q2933" t="str">
            <v>TF</v>
          </cell>
          <cell r="R2933" t="str">
            <v>V(VE)</v>
          </cell>
          <cell r="S2933" t="str">
            <v>-</v>
          </cell>
          <cell r="T2933" t="str">
            <v>-</v>
          </cell>
          <cell r="U2933" t="str">
            <v>-</v>
          </cell>
          <cell r="V2933" t="str">
            <v>FC</v>
          </cell>
          <cell r="W2933" t="str">
            <v>-</v>
          </cell>
          <cell r="X2933" t="str">
            <v>CLP 220 (-15/+40°C)</v>
          </cell>
          <cell r="Y2933" t="str">
            <v>KH107DRN132M4 /TF/V</v>
          </cell>
          <cell r="Z2933" t="str">
            <v>SEW</v>
          </cell>
          <cell r="AB2933" t="str">
            <v>-</v>
          </cell>
          <cell r="AF2933">
            <v>15</v>
          </cell>
          <cell r="AG2933" t="str">
            <v>DRN132M4</v>
          </cell>
          <cell r="AH2933" t="str">
            <v>KH107-DRN132M4B270-X#</v>
          </cell>
        </row>
        <row r="2934">
          <cell r="A2934" t="str">
            <v>MR002922</v>
          </cell>
          <cell r="B2934" t="str">
            <v>MR</v>
          </cell>
          <cell r="C2934">
            <v>37</v>
          </cell>
          <cell r="D2934">
            <v>37</v>
          </cell>
          <cell r="E2934" t="str">
            <v>KH127</v>
          </cell>
          <cell r="F2934">
            <v>9590</v>
          </cell>
          <cell r="G2934">
            <v>40.19</v>
          </cell>
          <cell r="H2934">
            <v>1.35</v>
          </cell>
          <cell r="I2934" t="str">
            <v>M4A</v>
          </cell>
          <cell r="J2934" t="str">
            <v>IE3</v>
          </cell>
          <cell r="K2934" t="str">
            <v>400/690</v>
          </cell>
          <cell r="L2934">
            <v>50</v>
          </cell>
          <cell r="M2934" t="str">
            <v>64/37</v>
          </cell>
          <cell r="N2934">
            <v>65</v>
          </cell>
          <cell r="O2934" t="str">
            <v>155(F)</v>
          </cell>
          <cell r="P2934" t="str">
            <v>270°</v>
          </cell>
          <cell r="Q2934" t="str">
            <v>-</v>
          </cell>
          <cell r="R2934" t="str">
            <v>-</v>
          </cell>
          <cell r="S2934" t="str">
            <v>-</v>
          </cell>
          <cell r="T2934" t="str">
            <v>-</v>
          </cell>
          <cell r="U2934" t="str">
            <v>T</v>
          </cell>
          <cell r="V2934" t="str">
            <v>SS</v>
          </cell>
          <cell r="W2934" t="str">
            <v>-</v>
          </cell>
          <cell r="X2934" t="str">
            <v>CLP 220 (-15/+40°C)</v>
          </cell>
          <cell r="Y2934" t="str">
            <v>KH127/T DRN225S4</v>
          </cell>
          <cell r="Z2934" t="str">
            <v>SEW</v>
          </cell>
          <cell r="AB2934" t="str">
            <v>-</v>
          </cell>
          <cell r="AF2934">
            <v>37</v>
          </cell>
          <cell r="AG2934" t="str">
            <v>DRN225S4</v>
          </cell>
          <cell r="AH2934" t="str">
            <v>KH127T-DRN225S4A270-X</v>
          </cell>
        </row>
        <row r="2935">
          <cell r="A2935" t="str">
            <v>MR002923</v>
          </cell>
          <cell r="B2935" t="str">
            <v>MR</v>
          </cell>
          <cell r="C2935">
            <v>0.75</v>
          </cell>
          <cell r="D2935">
            <v>162</v>
          </cell>
          <cell r="E2935" t="str">
            <v>KA37</v>
          </cell>
          <cell r="F2935">
            <v>44</v>
          </cell>
          <cell r="G2935">
            <v>8.91</v>
          </cell>
          <cell r="H2935">
            <v>3.6</v>
          </cell>
          <cell r="I2935" t="str">
            <v>M1B</v>
          </cell>
          <cell r="J2935" t="str">
            <v>IE3</v>
          </cell>
          <cell r="K2935" t="str">
            <v>230/400</v>
          </cell>
          <cell r="L2935">
            <v>50</v>
          </cell>
          <cell r="M2935" t="str">
            <v>3,05/1,75</v>
          </cell>
          <cell r="N2935">
            <v>65</v>
          </cell>
          <cell r="O2935" t="str">
            <v>155(F)</v>
          </cell>
          <cell r="P2935" t="str">
            <v>0°</v>
          </cell>
          <cell r="Q2935" t="str">
            <v>-</v>
          </cell>
          <cell r="R2935" t="str">
            <v>-</v>
          </cell>
          <cell r="S2935" t="str">
            <v>-</v>
          </cell>
          <cell r="T2935" t="str">
            <v>-</v>
          </cell>
          <cell r="U2935" t="str">
            <v>T</v>
          </cell>
          <cell r="V2935" t="str">
            <v>D</v>
          </cell>
          <cell r="W2935" t="str">
            <v>-</v>
          </cell>
          <cell r="X2935" t="str">
            <v>CLP 220 (-15/+40°C)</v>
          </cell>
          <cell r="Y2935" t="str">
            <v>KA37/T DRN80M4</v>
          </cell>
          <cell r="Z2935" t="str">
            <v>SEW</v>
          </cell>
          <cell r="AB2935" t="str">
            <v>-</v>
          </cell>
          <cell r="AF2935">
            <v>162</v>
          </cell>
          <cell r="AG2935" t="str">
            <v>DRN80M4</v>
          </cell>
          <cell r="AH2935" t="str">
            <v>KA37T-DRN80M4B0-X</v>
          </cell>
        </row>
        <row r="2936">
          <cell r="A2936" t="str">
            <v>MR002924</v>
          </cell>
          <cell r="B2936" t="str">
            <v>ME</v>
          </cell>
          <cell r="C2936">
            <v>3</v>
          </cell>
          <cell r="D2936">
            <v>2910</v>
          </cell>
          <cell r="E2936" t="str">
            <v>1AV3104A</v>
          </cell>
          <cell r="F2936">
            <v>9.8000000000000007</v>
          </cell>
          <cell r="I2936" t="str">
            <v>B5</v>
          </cell>
          <cell r="J2936" t="str">
            <v>IE3</v>
          </cell>
          <cell r="K2936" t="str">
            <v>230/400</v>
          </cell>
          <cell r="L2936">
            <v>50</v>
          </cell>
          <cell r="M2936" t="str">
            <v>9,9/5,7</v>
          </cell>
          <cell r="N2936">
            <v>65</v>
          </cell>
          <cell r="O2936" t="str">
            <v>155(F)</v>
          </cell>
          <cell r="P2936" t="str">
            <v>-</v>
          </cell>
          <cell r="Q2936" t="str">
            <v>-</v>
          </cell>
          <cell r="R2936" t="str">
            <v>-</v>
          </cell>
          <cell r="S2936" t="str">
            <v>-</v>
          </cell>
          <cell r="T2936" t="str">
            <v>-</v>
          </cell>
          <cell r="U2936" t="str">
            <v>-</v>
          </cell>
          <cell r="V2936" t="str">
            <v>D</v>
          </cell>
          <cell r="W2936" t="str">
            <v>-</v>
          </cell>
          <cell r="X2936" t="str">
            <v>-</v>
          </cell>
          <cell r="Y2936" t="str">
            <v>1LE1003-1AA42-2FA4-Z-H20</v>
          </cell>
          <cell r="Z2936" t="str">
            <v>SIEMENS</v>
          </cell>
          <cell r="AB2936" t="str">
            <v>-</v>
          </cell>
          <cell r="AF2936">
            <v>2910</v>
          </cell>
          <cell r="AG2936" t="str">
            <v>DRN100L4</v>
          </cell>
          <cell r="AH2936" t="str">
            <v>1AV3104A-DRN100L4B--X</v>
          </cell>
        </row>
        <row r="2937">
          <cell r="A2937" t="str">
            <v>MR002925</v>
          </cell>
          <cell r="B2937" t="str">
            <v>MR</v>
          </cell>
          <cell r="C2937">
            <v>15</v>
          </cell>
          <cell r="D2937">
            <v>76</v>
          </cell>
          <cell r="E2937" t="str">
            <v>KH87</v>
          </cell>
          <cell r="F2937">
            <v>1880</v>
          </cell>
          <cell r="G2937">
            <v>19.45</v>
          </cell>
          <cell r="H2937">
            <v>1.2</v>
          </cell>
          <cell r="I2937" t="str">
            <v>From M3B to M4B - 15°</v>
          </cell>
          <cell r="J2937" t="str">
            <v>IE3</v>
          </cell>
          <cell r="K2937" t="str">
            <v>400/690</v>
          </cell>
          <cell r="L2937">
            <v>50</v>
          </cell>
          <cell r="M2937" t="str">
            <v>29/16,7</v>
          </cell>
          <cell r="N2937">
            <v>65</v>
          </cell>
          <cell r="O2937" t="str">
            <v>155(F)</v>
          </cell>
          <cell r="P2937" t="str">
            <v>0°</v>
          </cell>
          <cell r="Q2937" t="str">
            <v>TF</v>
          </cell>
          <cell r="R2937" t="str">
            <v>V(VE)</v>
          </cell>
          <cell r="S2937" t="str">
            <v>Free rotation CW</v>
          </cell>
          <cell r="T2937" t="str">
            <v>-</v>
          </cell>
          <cell r="U2937" t="str">
            <v>T</v>
          </cell>
          <cell r="V2937" t="str">
            <v>FC</v>
          </cell>
          <cell r="W2937" t="str">
            <v>-</v>
          </cell>
          <cell r="X2937" t="str">
            <v>CLP 220 (-15/+40°C)</v>
          </cell>
          <cell r="Y2937" t="str">
            <v>KH87/T DRN160L4 /RS /TF/V</v>
          </cell>
          <cell r="Z2937" t="str">
            <v>SEW</v>
          </cell>
          <cell r="AB2937" t="str">
            <v>-</v>
          </cell>
          <cell r="AF2937">
            <v>76</v>
          </cell>
          <cell r="AG2937" t="str">
            <v>DRN160L4</v>
          </cell>
          <cell r="AH2937" t="str">
            <v>KH87T-DRN160L4B0-X#</v>
          </cell>
        </row>
        <row r="2938">
          <cell r="A2938" t="str">
            <v>MR002926</v>
          </cell>
          <cell r="B2938" t="str">
            <v>MR</v>
          </cell>
          <cell r="C2938">
            <v>0.75</v>
          </cell>
          <cell r="D2938">
            <v>162</v>
          </cell>
          <cell r="E2938" t="str">
            <v>KA37</v>
          </cell>
          <cell r="F2938">
            <v>44</v>
          </cell>
          <cell r="G2938">
            <v>8.91</v>
          </cell>
          <cell r="H2938">
            <v>3.6</v>
          </cell>
          <cell r="I2938" t="str">
            <v>From M3B to M4B - 15°</v>
          </cell>
          <cell r="J2938" t="str">
            <v>IE3</v>
          </cell>
          <cell r="K2938" t="str">
            <v>230/400</v>
          </cell>
          <cell r="L2938">
            <v>50</v>
          </cell>
          <cell r="M2938" t="str">
            <v>3,05/1,75</v>
          </cell>
          <cell r="N2938">
            <v>65</v>
          </cell>
          <cell r="O2938" t="str">
            <v>155(F)</v>
          </cell>
          <cell r="P2938" t="str">
            <v>0°</v>
          </cell>
          <cell r="Q2938" t="str">
            <v>-</v>
          </cell>
          <cell r="R2938" t="str">
            <v>-</v>
          </cell>
          <cell r="S2938" t="str">
            <v>-</v>
          </cell>
          <cell r="T2938" t="str">
            <v>-</v>
          </cell>
          <cell r="U2938" t="str">
            <v>T</v>
          </cell>
          <cell r="V2938" t="str">
            <v>D</v>
          </cell>
          <cell r="W2938" t="str">
            <v>-</v>
          </cell>
          <cell r="X2938" t="str">
            <v>CLP 220 (-15/+40°C)</v>
          </cell>
          <cell r="Y2938" t="str">
            <v>KA37/T DRN80M4</v>
          </cell>
          <cell r="Z2938" t="str">
            <v>SEW</v>
          </cell>
          <cell r="AB2938" t="str">
            <v>-</v>
          </cell>
          <cell r="AF2938">
            <v>162</v>
          </cell>
          <cell r="AG2938" t="str">
            <v>DRN80M4</v>
          </cell>
          <cell r="AH2938" t="str">
            <v>KA37T-DRN80M4B0-X</v>
          </cell>
        </row>
        <row r="2939">
          <cell r="A2939" t="str">
            <v>MR002927</v>
          </cell>
          <cell r="B2939" t="str">
            <v>MR</v>
          </cell>
          <cell r="C2939">
            <v>0.25</v>
          </cell>
          <cell r="D2939">
            <v>32</v>
          </cell>
          <cell r="E2939" t="str">
            <v>FA37</v>
          </cell>
          <cell r="F2939">
            <v>74</v>
          </cell>
          <cell r="G2939">
            <v>43.83</v>
          </cell>
          <cell r="H2939">
            <v>2.7</v>
          </cell>
          <cell r="I2939" t="str">
            <v>M1</v>
          </cell>
          <cell r="J2939" t="str">
            <v>IE3</v>
          </cell>
          <cell r="K2939" t="str">
            <v>230/400</v>
          </cell>
          <cell r="L2939">
            <v>50</v>
          </cell>
          <cell r="M2939" t="str">
            <v>1,25/0,72</v>
          </cell>
          <cell r="N2939">
            <v>65</v>
          </cell>
          <cell r="O2939" t="str">
            <v>155(F)</v>
          </cell>
          <cell r="P2939" t="str">
            <v>270°</v>
          </cell>
          <cell r="Q2939" t="str">
            <v>-</v>
          </cell>
          <cell r="R2939" t="str">
            <v>-</v>
          </cell>
          <cell r="S2939" t="str">
            <v>-</v>
          </cell>
          <cell r="T2939" t="str">
            <v>-</v>
          </cell>
          <cell r="U2939" t="str">
            <v>G</v>
          </cell>
          <cell r="V2939" t="str">
            <v>D</v>
          </cell>
          <cell r="W2939" t="str">
            <v>-</v>
          </cell>
          <cell r="X2939" t="str">
            <v>CLP VG 220 = -15° + 40°</v>
          </cell>
          <cell r="Y2939" t="str">
            <v>FA37/G DRN71MS4</v>
          </cell>
          <cell r="Z2939" t="str">
            <v>SEW</v>
          </cell>
          <cell r="AB2939" t="str">
            <v>-</v>
          </cell>
          <cell r="AF2939">
            <v>32</v>
          </cell>
          <cell r="AG2939" t="str">
            <v>DRN71MS4</v>
          </cell>
          <cell r="AH2939" t="str">
            <v>FA37G-DRN71MS4270-X</v>
          </cell>
        </row>
        <row r="2940">
          <cell r="A2940" t="str">
            <v>MR002928</v>
          </cell>
          <cell r="B2940" t="str">
            <v>MR</v>
          </cell>
          <cell r="C2940">
            <v>9.1999999999999993</v>
          </cell>
          <cell r="D2940">
            <v>73</v>
          </cell>
          <cell r="E2940" t="str">
            <v>R97</v>
          </cell>
          <cell r="F2940">
            <v>1200</v>
          </cell>
          <cell r="G2940">
            <v>20.14</v>
          </cell>
          <cell r="H2940">
            <v>2.2000000000000002</v>
          </cell>
          <cell r="I2940" t="str">
            <v>M1</v>
          </cell>
          <cell r="J2940" t="str">
            <v>IE3</v>
          </cell>
          <cell r="K2940">
            <v>415</v>
          </cell>
          <cell r="L2940">
            <v>50</v>
          </cell>
          <cell r="M2940" t="str">
            <v>18,7/10,8</v>
          </cell>
          <cell r="N2940">
            <v>55</v>
          </cell>
          <cell r="O2940" t="str">
            <v>155(F)</v>
          </cell>
          <cell r="P2940" t="str">
            <v>270°</v>
          </cell>
          <cell r="Q2940" t="str">
            <v>-</v>
          </cell>
          <cell r="R2940" t="str">
            <v>-</v>
          </cell>
          <cell r="S2940" t="str">
            <v>-</v>
          </cell>
          <cell r="T2940" t="str">
            <v>-</v>
          </cell>
          <cell r="U2940" t="str">
            <v>-</v>
          </cell>
          <cell r="V2940" t="str">
            <v>D</v>
          </cell>
          <cell r="W2940" t="str">
            <v>-</v>
          </cell>
          <cell r="X2940" t="str">
            <v>CLP 220 (-15/+40°C)</v>
          </cell>
          <cell r="Y2940" t="str">
            <v>R97DRN132L4</v>
          </cell>
          <cell r="Z2940" t="str">
            <v>SEW</v>
          </cell>
          <cell r="AB2940" t="str">
            <v>-</v>
          </cell>
          <cell r="AF2940">
            <v>73</v>
          </cell>
          <cell r="AG2940" t="str">
            <v>DRN132L4</v>
          </cell>
          <cell r="AH2940" t="str">
            <v>R97-DRN132L4270-X</v>
          </cell>
        </row>
        <row r="2941">
          <cell r="A2941" t="str">
            <v>MR002929</v>
          </cell>
          <cell r="B2941" t="str">
            <v>MR</v>
          </cell>
          <cell r="C2941">
            <v>15</v>
          </cell>
          <cell r="D2941">
            <v>85</v>
          </cell>
          <cell r="E2941" t="str">
            <v>KH87</v>
          </cell>
          <cell r="F2941">
            <v>1690</v>
          </cell>
          <cell r="G2941">
            <v>17.420000000000002</v>
          </cell>
          <cell r="H2941">
            <v>1.3</v>
          </cell>
          <cell r="I2941" t="str">
            <v>From M3B to M4B - 15°</v>
          </cell>
          <cell r="J2941" t="str">
            <v>IE3</v>
          </cell>
          <cell r="K2941" t="str">
            <v>400/690</v>
          </cell>
          <cell r="L2941">
            <v>50</v>
          </cell>
          <cell r="M2941" t="str">
            <v>29/16,7</v>
          </cell>
          <cell r="N2941">
            <v>65</v>
          </cell>
          <cell r="O2941" t="str">
            <v>155(F)</v>
          </cell>
          <cell r="P2941" t="str">
            <v>0°</v>
          </cell>
          <cell r="Q2941" t="str">
            <v>TF</v>
          </cell>
          <cell r="R2941" t="str">
            <v>V(VE)</v>
          </cell>
          <cell r="S2941" t="str">
            <v>Free rotation CW</v>
          </cell>
          <cell r="T2941" t="str">
            <v>-</v>
          </cell>
          <cell r="U2941" t="str">
            <v>T</v>
          </cell>
          <cell r="V2941" t="str">
            <v>FC</v>
          </cell>
          <cell r="W2941" t="str">
            <v>-</v>
          </cell>
          <cell r="X2941" t="str">
            <v>CLP 220 (-15/+40°C)</v>
          </cell>
          <cell r="Y2941" t="str">
            <v>KH87/T DRN160L4 /RS /TF/V</v>
          </cell>
          <cell r="Z2941" t="str">
            <v>SEW</v>
          </cell>
          <cell r="AB2941" t="str">
            <v>-</v>
          </cell>
          <cell r="AF2941">
            <v>85</v>
          </cell>
          <cell r="AG2941" t="str">
            <v>DRN160L4</v>
          </cell>
          <cell r="AH2941" t="str">
            <v>KH87T-DRN160L4B0-X#</v>
          </cell>
        </row>
        <row r="2942">
          <cell r="A2942" t="str">
            <v>MR002930</v>
          </cell>
          <cell r="B2942" t="str">
            <v>MR</v>
          </cell>
          <cell r="C2942">
            <v>18.5</v>
          </cell>
          <cell r="D2942">
            <v>48</v>
          </cell>
          <cell r="E2942" t="str">
            <v>KH97</v>
          </cell>
          <cell r="F2942">
            <v>3680</v>
          </cell>
          <cell r="G2942">
            <v>30.82</v>
          </cell>
          <cell r="H2942">
            <v>1.1499999999999999</v>
          </cell>
          <cell r="I2942" t="str">
            <v xml:space="preserve"> From M4B to M1B - 25°</v>
          </cell>
          <cell r="J2942" t="str">
            <v>IE3</v>
          </cell>
          <cell r="K2942" t="str">
            <v>400/690</v>
          </cell>
          <cell r="L2942">
            <v>50</v>
          </cell>
          <cell r="M2942" t="str">
            <v>33,5/19,3</v>
          </cell>
          <cell r="N2942">
            <v>65</v>
          </cell>
          <cell r="O2942" t="str">
            <v>155(F)</v>
          </cell>
          <cell r="P2942" t="str">
            <v>0°</v>
          </cell>
          <cell r="Q2942" t="str">
            <v>-</v>
          </cell>
          <cell r="R2942" t="str">
            <v>-</v>
          </cell>
          <cell r="S2942" t="str">
            <v>Free rotation CW</v>
          </cell>
          <cell r="T2942" t="str">
            <v>-</v>
          </cell>
          <cell r="U2942" t="str">
            <v>T</v>
          </cell>
          <cell r="V2942" t="str">
            <v>SS</v>
          </cell>
          <cell r="W2942" t="str">
            <v>-</v>
          </cell>
          <cell r="X2942" t="str">
            <v>CLP 220 (-15/+40°C)</v>
          </cell>
          <cell r="Y2942" t="str">
            <v>KH97/T DRN180M4 /RS</v>
          </cell>
          <cell r="Z2942" t="str">
            <v>SEW</v>
          </cell>
          <cell r="AB2942" t="str">
            <v>-</v>
          </cell>
          <cell r="AF2942">
            <v>48</v>
          </cell>
          <cell r="AG2942" t="str">
            <v>DRN180M4</v>
          </cell>
          <cell r="AH2942" t="str">
            <v>KH97T-DRN180M4B0-X</v>
          </cell>
        </row>
        <row r="2943">
          <cell r="A2943" t="str">
            <v>MR002931</v>
          </cell>
          <cell r="B2943" t="str">
            <v>MR</v>
          </cell>
          <cell r="C2943">
            <v>37</v>
          </cell>
          <cell r="D2943">
            <v>37</v>
          </cell>
          <cell r="E2943" t="str">
            <v>R147</v>
          </cell>
          <cell r="F2943">
            <v>9600</v>
          </cell>
          <cell r="G2943">
            <v>40.270000000000003</v>
          </cell>
          <cell r="H2943">
            <v>1.35</v>
          </cell>
          <cell r="I2943" t="str">
            <v>M1</v>
          </cell>
          <cell r="J2943" t="str">
            <v>IE3</v>
          </cell>
          <cell r="K2943" t="str">
            <v>400/690</v>
          </cell>
          <cell r="L2943">
            <v>50</v>
          </cell>
          <cell r="M2943" t="str">
            <v>64/37</v>
          </cell>
          <cell r="N2943">
            <v>65</v>
          </cell>
          <cell r="O2943" t="str">
            <v>155(F)</v>
          </cell>
          <cell r="P2943" t="str">
            <v>0°</v>
          </cell>
          <cell r="Q2943" t="str">
            <v>TF</v>
          </cell>
          <cell r="R2943" t="str">
            <v>V(VE)</v>
          </cell>
          <cell r="S2943" t="str">
            <v>-</v>
          </cell>
          <cell r="T2943" t="str">
            <v>-</v>
          </cell>
          <cell r="U2943" t="str">
            <v>-</v>
          </cell>
          <cell r="V2943" t="str">
            <v>FC</v>
          </cell>
          <cell r="W2943" t="str">
            <v>-</v>
          </cell>
          <cell r="X2943" t="str">
            <v>CLP 220 (-15/+40°C)</v>
          </cell>
          <cell r="Y2943" t="str">
            <v>R147DRN225S4 /TF/V</v>
          </cell>
          <cell r="Z2943" t="str">
            <v>SEW</v>
          </cell>
          <cell r="AB2943" t="str">
            <v>-</v>
          </cell>
          <cell r="AF2943">
            <v>37</v>
          </cell>
          <cell r="AG2943" t="str">
            <v>DRN225S4</v>
          </cell>
          <cell r="AH2943" t="str">
            <v>R147-DRN225S40-X#</v>
          </cell>
        </row>
        <row r="2944">
          <cell r="A2944" t="str">
            <v>MR002932</v>
          </cell>
          <cell r="B2944" t="str">
            <v>MR</v>
          </cell>
          <cell r="C2944">
            <v>11</v>
          </cell>
          <cell r="D2944">
            <v>14</v>
          </cell>
          <cell r="E2944" t="str">
            <v>R137</v>
          </cell>
          <cell r="F2944">
            <v>7350</v>
          </cell>
          <cell r="G2944">
            <v>103.2</v>
          </cell>
          <cell r="H2944">
            <v>1.1000000000000001</v>
          </cell>
          <cell r="I2944" t="str">
            <v>M1</v>
          </cell>
          <cell r="J2944" t="str">
            <v>IE3</v>
          </cell>
          <cell r="K2944" t="str">
            <v>400/690</v>
          </cell>
          <cell r="L2944">
            <v>50</v>
          </cell>
          <cell r="M2944" t="str">
            <v>21,5/12,4</v>
          </cell>
          <cell r="N2944">
            <v>55</v>
          </cell>
          <cell r="O2944" t="str">
            <v>155(F)</v>
          </cell>
          <cell r="P2944" t="str">
            <v>270°</v>
          </cell>
          <cell r="Q2944" t="str">
            <v>TF</v>
          </cell>
          <cell r="R2944" t="str">
            <v>V(VE)</v>
          </cell>
          <cell r="S2944" t="str">
            <v>-</v>
          </cell>
          <cell r="T2944" t="str">
            <v>-</v>
          </cell>
          <cell r="U2944" t="str">
            <v>-</v>
          </cell>
          <cell r="V2944" t="str">
            <v>FC</v>
          </cell>
          <cell r="W2944" t="str">
            <v>-</v>
          </cell>
          <cell r="X2944" t="str">
            <v>CLP 220 (-15/+40°C)</v>
          </cell>
          <cell r="Y2944" t="str">
            <v>R137DRN160M4 /TF/V</v>
          </cell>
          <cell r="Z2944" t="str">
            <v>SEW</v>
          </cell>
          <cell r="AB2944" t="str">
            <v>-</v>
          </cell>
          <cell r="AF2944">
            <v>14</v>
          </cell>
          <cell r="AG2944" t="str">
            <v>DRN160M4</v>
          </cell>
          <cell r="AH2944" t="str">
            <v>R137-DRN160M4270-X#</v>
          </cell>
        </row>
        <row r="2945">
          <cell r="A2945" t="str">
            <v>MR002933</v>
          </cell>
          <cell r="B2945" t="str">
            <v>MR</v>
          </cell>
          <cell r="C2945">
            <v>7.5</v>
          </cell>
          <cell r="D2945">
            <v>73</v>
          </cell>
          <cell r="E2945" t="str">
            <v>KH77</v>
          </cell>
          <cell r="F2945">
            <v>980</v>
          </cell>
          <cell r="G2945">
            <v>20.25</v>
          </cell>
          <cell r="H2945">
            <v>1.5</v>
          </cell>
          <cell r="I2945" t="str">
            <v xml:space="preserve"> From M4B to M1B - 25°</v>
          </cell>
          <cell r="J2945" t="str">
            <v>IE3</v>
          </cell>
          <cell r="K2945" t="str">
            <v>400/690</v>
          </cell>
          <cell r="L2945">
            <v>50</v>
          </cell>
          <cell r="M2945" t="str">
            <v>15,2/8,8</v>
          </cell>
          <cell r="N2945">
            <v>65</v>
          </cell>
          <cell r="O2945" t="str">
            <v>155(F)</v>
          </cell>
          <cell r="P2945" t="str">
            <v>0°</v>
          </cell>
          <cell r="Q2945" t="str">
            <v>-</v>
          </cell>
          <cell r="R2945" t="str">
            <v>-</v>
          </cell>
          <cell r="S2945" t="str">
            <v>Free rotation CW</v>
          </cell>
          <cell r="T2945" t="str">
            <v>-</v>
          </cell>
          <cell r="U2945" t="str">
            <v>T</v>
          </cell>
          <cell r="V2945" t="str">
            <v>SS</v>
          </cell>
          <cell r="W2945" t="str">
            <v>-</v>
          </cell>
          <cell r="X2945" t="str">
            <v>CLP 220 (-15/+40°C)</v>
          </cell>
          <cell r="Y2945" t="str">
            <v>KH77/T DRN132M4 /RS</v>
          </cell>
          <cell r="Z2945" t="str">
            <v>SEW</v>
          </cell>
          <cell r="AB2945" t="str">
            <v>-</v>
          </cell>
          <cell r="AF2945">
            <v>73</v>
          </cell>
          <cell r="AG2945" t="str">
            <v>DRN132M4</v>
          </cell>
          <cell r="AH2945" t="str">
            <v>KH77T-DRN132M4B0-X</v>
          </cell>
        </row>
        <row r="2946">
          <cell r="A2946" t="str">
            <v>MR002934</v>
          </cell>
          <cell r="B2946" t="str">
            <v>MR</v>
          </cell>
          <cell r="C2946">
            <v>11</v>
          </cell>
          <cell r="D2946">
            <v>76</v>
          </cell>
          <cell r="E2946" t="str">
            <v>KH87</v>
          </cell>
          <cell r="F2946">
            <v>1380</v>
          </cell>
          <cell r="G2946">
            <v>19.45</v>
          </cell>
          <cell r="H2946">
            <v>1.65</v>
          </cell>
          <cell r="I2946" t="str">
            <v xml:space="preserve"> From M4B to M1B - 25°</v>
          </cell>
          <cell r="J2946" t="str">
            <v>IE3</v>
          </cell>
          <cell r="K2946" t="str">
            <v>400/690</v>
          </cell>
          <cell r="L2946">
            <v>50</v>
          </cell>
          <cell r="M2946" t="str">
            <v>21/12,2</v>
          </cell>
          <cell r="N2946">
            <v>65</v>
          </cell>
          <cell r="O2946" t="str">
            <v>155(F)</v>
          </cell>
          <cell r="P2946" t="str">
            <v>270°</v>
          </cell>
          <cell r="Q2946" t="str">
            <v>-</v>
          </cell>
          <cell r="R2946" t="str">
            <v>-</v>
          </cell>
          <cell r="S2946" t="str">
            <v>Free rotation CW</v>
          </cell>
          <cell r="T2946" t="str">
            <v>-</v>
          </cell>
          <cell r="U2946" t="str">
            <v>T</v>
          </cell>
          <cell r="V2946" t="str">
            <v>SS</v>
          </cell>
          <cell r="W2946" t="str">
            <v>-</v>
          </cell>
          <cell r="X2946" t="str">
            <v>CLP 220 (-15/+40°C)</v>
          </cell>
          <cell r="Y2946" t="str">
            <v>KH87/T DRN160M4 /RS</v>
          </cell>
          <cell r="Z2946" t="str">
            <v>SEW</v>
          </cell>
          <cell r="AB2946" t="str">
            <v>-</v>
          </cell>
          <cell r="AF2946">
            <v>76</v>
          </cell>
          <cell r="AG2946" t="str">
            <v>DRN160M4</v>
          </cell>
          <cell r="AH2946" t="str">
            <v>KH87T-DRN160M4B270-X</v>
          </cell>
        </row>
        <row r="2947">
          <cell r="A2947" t="str">
            <v>MR002935</v>
          </cell>
          <cell r="B2947" t="str">
            <v>MR</v>
          </cell>
          <cell r="C2947">
            <v>15</v>
          </cell>
          <cell r="D2947">
            <v>48</v>
          </cell>
          <cell r="E2947" t="str">
            <v>KH97</v>
          </cell>
          <cell r="F2947">
            <v>2990</v>
          </cell>
          <cell r="G2947">
            <v>30.82</v>
          </cell>
          <cell r="H2947">
            <v>1.45</v>
          </cell>
          <cell r="I2947" t="str">
            <v>M4B</v>
          </cell>
          <cell r="J2947" t="str">
            <v>IE3</v>
          </cell>
          <cell r="K2947" t="str">
            <v>400/690</v>
          </cell>
          <cell r="L2947">
            <v>50</v>
          </cell>
          <cell r="M2947" t="str">
            <v>29/16,7</v>
          </cell>
          <cell r="N2947">
            <v>65</v>
          </cell>
          <cell r="O2947" t="str">
            <v>155(F)</v>
          </cell>
          <cell r="P2947" t="str">
            <v>270°</v>
          </cell>
          <cell r="Q2947" t="str">
            <v>-</v>
          </cell>
          <cell r="R2947" t="str">
            <v>-</v>
          </cell>
          <cell r="S2947" t="str">
            <v>-</v>
          </cell>
          <cell r="T2947" t="str">
            <v>-</v>
          </cell>
          <cell r="U2947" t="str">
            <v>T</v>
          </cell>
          <cell r="V2947" t="str">
            <v>SS</v>
          </cell>
          <cell r="W2947" t="str">
            <v>-</v>
          </cell>
          <cell r="X2947" t="str">
            <v>CLP 220 (-15/+40°C)</v>
          </cell>
          <cell r="Y2947" t="str">
            <v>KH97/T DRN160L4</v>
          </cell>
          <cell r="Z2947" t="str">
            <v>SEW</v>
          </cell>
          <cell r="AB2947" t="str">
            <v>-</v>
          </cell>
          <cell r="AF2947">
            <v>48</v>
          </cell>
          <cell r="AG2947" t="str">
            <v>DRN160L4</v>
          </cell>
          <cell r="AH2947" t="str">
            <v>KH97T-DRN160L4B270-X</v>
          </cell>
        </row>
        <row r="2948">
          <cell r="A2948" t="str">
            <v>MR002936</v>
          </cell>
          <cell r="B2948" t="str">
            <v>MR</v>
          </cell>
          <cell r="C2948">
            <v>18.5</v>
          </cell>
          <cell r="D2948">
            <v>66</v>
          </cell>
          <cell r="E2948" t="str">
            <v>KH97</v>
          </cell>
          <cell r="F2948">
            <v>2670</v>
          </cell>
          <cell r="G2948">
            <v>22.37</v>
          </cell>
          <cell r="H2948">
            <v>1.6</v>
          </cell>
          <cell r="I2948" t="str">
            <v xml:space="preserve"> From M4B to M1B - 25°</v>
          </cell>
          <cell r="J2948" t="str">
            <v>IE3</v>
          </cell>
          <cell r="K2948" t="str">
            <v>400/690</v>
          </cell>
          <cell r="L2948">
            <v>50</v>
          </cell>
          <cell r="M2948" t="str">
            <v>33,5/19,3</v>
          </cell>
          <cell r="N2948">
            <v>65</v>
          </cell>
          <cell r="O2948" t="str">
            <v>155(F)</v>
          </cell>
          <cell r="P2948" t="str">
            <v>270°</v>
          </cell>
          <cell r="Q2948" t="str">
            <v>-</v>
          </cell>
          <cell r="R2948" t="str">
            <v>-</v>
          </cell>
          <cell r="S2948" t="str">
            <v>Free rotation CW</v>
          </cell>
          <cell r="T2948" t="str">
            <v>-</v>
          </cell>
          <cell r="U2948" t="str">
            <v>T</v>
          </cell>
          <cell r="V2948" t="str">
            <v>SS</v>
          </cell>
          <cell r="W2948" t="str">
            <v>-</v>
          </cell>
          <cell r="X2948" t="str">
            <v>CLP 220 (-15/+40°C)</v>
          </cell>
          <cell r="Y2948" t="str">
            <v>KH97/T DRN180M4 /RS</v>
          </cell>
          <cell r="Z2948" t="str">
            <v>SEW</v>
          </cell>
          <cell r="AB2948" t="str">
            <v>-</v>
          </cell>
          <cell r="AF2948">
            <v>66</v>
          </cell>
          <cell r="AG2948" t="str">
            <v>DRN180M4</v>
          </cell>
          <cell r="AH2948" t="str">
            <v>KH97T-DRN180M4B270-X</v>
          </cell>
        </row>
        <row r="2949">
          <cell r="A2949" t="str">
            <v>MR002937</v>
          </cell>
          <cell r="B2949" t="str">
            <v>MR</v>
          </cell>
          <cell r="C2949">
            <v>7.5</v>
          </cell>
          <cell r="D2949">
            <v>59</v>
          </cell>
          <cell r="E2949" t="str">
            <v>KH87</v>
          </cell>
          <cell r="F2949">
            <v>1210</v>
          </cell>
          <cell r="G2949">
            <v>24.92</v>
          </cell>
          <cell r="H2949">
            <v>2.1</v>
          </cell>
          <cell r="I2949" t="str">
            <v>M4B</v>
          </cell>
          <cell r="J2949" t="str">
            <v>IE3</v>
          </cell>
          <cell r="K2949" t="str">
            <v>400/690</v>
          </cell>
          <cell r="L2949">
            <v>50</v>
          </cell>
          <cell r="M2949" t="str">
            <v>15,2/8,8</v>
          </cell>
          <cell r="N2949">
            <v>65</v>
          </cell>
          <cell r="O2949" t="str">
            <v>155(F)</v>
          </cell>
          <cell r="P2949" t="str">
            <v>270°</v>
          </cell>
          <cell r="Q2949" t="str">
            <v>-</v>
          </cell>
          <cell r="R2949" t="str">
            <v>-</v>
          </cell>
          <cell r="S2949" t="str">
            <v>Free rotation CW</v>
          </cell>
          <cell r="T2949" t="str">
            <v>-</v>
          </cell>
          <cell r="U2949" t="str">
            <v>T</v>
          </cell>
          <cell r="V2949" t="str">
            <v>SS</v>
          </cell>
          <cell r="W2949" t="str">
            <v>-</v>
          </cell>
          <cell r="X2949" t="str">
            <v>CLP 220 (-15/+40°C)</v>
          </cell>
          <cell r="Y2949" t="str">
            <v>KH87/T DRN132M4 /RS</v>
          </cell>
          <cell r="Z2949" t="str">
            <v>SEW</v>
          </cell>
          <cell r="AB2949" t="str">
            <v>-</v>
          </cell>
          <cell r="AE2949" t="str">
            <v>NON USARE DA CONFIGURARE PER METRO PB4</v>
          </cell>
          <cell r="AF2949">
            <v>59</v>
          </cell>
          <cell r="AG2949" t="str">
            <v>DRN132M4</v>
          </cell>
          <cell r="AH2949" t="str">
            <v>KH87T-DRN132M4B270-X</v>
          </cell>
        </row>
        <row r="2950">
          <cell r="A2950" t="str">
            <v>MR002938</v>
          </cell>
          <cell r="B2950" t="str">
            <v>MR</v>
          </cell>
          <cell r="C2950">
            <v>30</v>
          </cell>
          <cell r="D2950">
            <v>15</v>
          </cell>
          <cell r="E2950" t="str">
            <v>KH157</v>
          </cell>
          <cell r="F2950">
            <v>19400</v>
          </cell>
          <cell r="G2950">
            <v>100.22</v>
          </cell>
          <cell r="H2950">
            <v>1.05</v>
          </cell>
          <cell r="I2950" t="str">
            <v>From M1A to M2A - 35°</v>
          </cell>
          <cell r="J2950" t="str">
            <v>IE3</v>
          </cell>
          <cell r="K2950" t="str">
            <v>400/690</v>
          </cell>
          <cell r="L2950">
            <v>50</v>
          </cell>
          <cell r="M2950" t="str">
            <v>56/32,5</v>
          </cell>
          <cell r="N2950">
            <v>65</v>
          </cell>
          <cell r="O2950" t="str">
            <v>155(F)</v>
          </cell>
          <cell r="P2950" t="str">
            <v>180°</v>
          </cell>
          <cell r="Q2950" t="str">
            <v>TF</v>
          </cell>
          <cell r="R2950" t="str">
            <v>V(VE)</v>
          </cell>
          <cell r="S2950" t="str">
            <v>-</v>
          </cell>
          <cell r="T2950" t="str">
            <v>-</v>
          </cell>
          <cell r="U2950" t="str">
            <v>-</v>
          </cell>
          <cell r="V2950" t="str">
            <v>FC</v>
          </cell>
          <cell r="W2950" t="str">
            <v>-</v>
          </cell>
          <cell r="X2950" t="str">
            <v>CLP 220 (-15/+40°C)</v>
          </cell>
          <cell r="Y2950" t="str">
            <v>KH157DRN200L4 /TF/V</v>
          </cell>
          <cell r="Z2950" t="str">
            <v>SEW</v>
          </cell>
          <cell r="AB2950" t="str">
            <v>-</v>
          </cell>
          <cell r="AF2950">
            <v>15</v>
          </cell>
          <cell r="AG2950" t="str">
            <v>DRN200L4</v>
          </cell>
          <cell r="AH2950" t="str">
            <v>KH157-DRN200L4A180-X#</v>
          </cell>
        </row>
        <row r="2951">
          <cell r="A2951" t="str">
            <v>MR002939</v>
          </cell>
          <cell r="B2951" t="str">
            <v>MR</v>
          </cell>
          <cell r="C2951">
            <v>30</v>
          </cell>
          <cell r="D2951">
            <v>15</v>
          </cell>
          <cell r="E2951" t="str">
            <v>KH157</v>
          </cell>
          <cell r="F2951">
            <v>19400</v>
          </cell>
          <cell r="G2951">
            <v>100.22</v>
          </cell>
          <cell r="H2951">
            <v>1.05</v>
          </cell>
          <cell r="I2951" t="str">
            <v>From M1B to M2B - 35°</v>
          </cell>
          <cell r="J2951" t="str">
            <v>IE3</v>
          </cell>
          <cell r="K2951" t="str">
            <v>400/690</v>
          </cell>
          <cell r="L2951">
            <v>50</v>
          </cell>
          <cell r="M2951" t="str">
            <v>56/32,5</v>
          </cell>
          <cell r="N2951">
            <v>65</v>
          </cell>
          <cell r="O2951" t="str">
            <v>155(F)</v>
          </cell>
          <cell r="P2951" t="str">
            <v>0°</v>
          </cell>
          <cell r="Q2951" t="str">
            <v>TF</v>
          </cell>
          <cell r="R2951" t="str">
            <v>V(VE)</v>
          </cell>
          <cell r="S2951" t="str">
            <v>-</v>
          </cell>
          <cell r="T2951" t="str">
            <v>-</v>
          </cell>
          <cell r="U2951" t="str">
            <v>-</v>
          </cell>
          <cell r="V2951" t="str">
            <v>FC</v>
          </cell>
          <cell r="W2951" t="str">
            <v>-</v>
          </cell>
          <cell r="X2951" t="str">
            <v>CLP 220 (-15/+40°C)</v>
          </cell>
          <cell r="Y2951" t="str">
            <v>KH157DRN200L4 /TF/V</v>
          </cell>
          <cell r="Z2951" t="str">
            <v>SEW</v>
          </cell>
          <cell r="AB2951" t="str">
            <v>-</v>
          </cell>
          <cell r="AF2951">
            <v>15</v>
          </cell>
          <cell r="AG2951" t="str">
            <v>DRN200L4</v>
          </cell>
          <cell r="AH2951" t="str">
            <v>KH157-DRN200L4B0-X#</v>
          </cell>
        </row>
        <row r="2952">
          <cell r="A2952" t="str">
            <v>MR002940</v>
          </cell>
          <cell r="B2952" t="str">
            <v>MR</v>
          </cell>
          <cell r="C2952">
            <v>11</v>
          </cell>
          <cell r="D2952">
            <v>47</v>
          </cell>
          <cell r="E2952" t="str">
            <v>KH87</v>
          </cell>
          <cell r="F2952">
            <v>2230</v>
          </cell>
          <cell r="G2952">
            <v>31.39</v>
          </cell>
          <cell r="H2952">
            <v>1.2</v>
          </cell>
          <cell r="I2952" t="str">
            <v>From M1B to M2B - 10°</v>
          </cell>
          <cell r="J2952" t="str">
            <v>IE3</v>
          </cell>
          <cell r="K2952" t="str">
            <v>400/690</v>
          </cell>
          <cell r="L2952">
            <v>50</v>
          </cell>
          <cell r="M2952" t="str">
            <v>21/12,2</v>
          </cell>
          <cell r="N2952">
            <v>65</v>
          </cell>
          <cell r="O2952" t="str">
            <v>155(F)</v>
          </cell>
          <cell r="P2952" t="str">
            <v>270°</v>
          </cell>
          <cell r="Q2952" t="str">
            <v>-</v>
          </cell>
          <cell r="R2952" t="str">
            <v>-</v>
          </cell>
          <cell r="S2952" t="str">
            <v>Free rotation CW</v>
          </cell>
          <cell r="T2952" t="str">
            <v>-</v>
          </cell>
          <cell r="U2952" t="str">
            <v>T</v>
          </cell>
          <cell r="V2952" t="str">
            <v>SS</v>
          </cell>
          <cell r="W2952" t="str">
            <v>-</v>
          </cell>
          <cell r="X2952" t="str">
            <v>CLP 220 (-15/+40°C)</v>
          </cell>
          <cell r="Y2952" t="str">
            <v>KH87/T DRN160M4 /RS</v>
          </cell>
          <cell r="Z2952" t="str">
            <v>SEW</v>
          </cell>
          <cell r="AB2952" t="str">
            <v>-</v>
          </cell>
          <cell r="AF2952">
            <v>47</v>
          </cell>
          <cell r="AG2952" t="str">
            <v>DRN160M4</v>
          </cell>
          <cell r="AH2952" t="str">
            <v>KH87T-DRN160M4B270-X</v>
          </cell>
        </row>
        <row r="2953">
          <cell r="A2953" t="str">
            <v>MR002941</v>
          </cell>
          <cell r="B2953" t="str">
            <v>MR</v>
          </cell>
          <cell r="C2953">
            <v>9.1999999999999993</v>
          </cell>
          <cell r="D2953">
            <v>68</v>
          </cell>
          <cell r="E2953" t="str">
            <v>R87</v>
          </cell>
          <cell r="F2953">
            <v>1280</v>
          </cell>
          <cell r="G2953">
            <v>21.51</v>
          </cell>
          <cell r="H2953">
            <v>1.1499999999999999</v>
          </cell>
          <cell r="I2953" t="str">
            <v>M1</v>
          </cell>
          <cell r="J2953" t="str">
            <v>IE3</v>
          </cell>
          <cell r="K2953" t="str">
            <v>400/690</v>
          </cell>
          <cell r="L2953">
            <v>50</v>
          </cell>
          <cell r="M2953" t="str">
            <v>18,7/10,8</v>
          </cell>
          <cell r="N2953">
            <v>65</v>
          </cell>
          <cell r="O2953" t="str">
            <v>155(F)</v>
          </cell>
          <cell r="P2953" t="str">
            <v>270°</v>
          </cell>
          <cell r="Q2953" t="str">
            <v>-</v>
          </cell>
          <cell r="R2953" t="str">
            <v>-</v>
          </cell>
          <cell r="S2953" t="str">
            <v>-</v>
          </cell>
          <cell r="T2953" t="str">
            <v>-</v>
          </cell>
          <cell r="U2953" t="str">
            <v>-</v>
          </cell>
          <cell r="V2953" t="str">
            <v>D</v>
          </cell>
          <cell r="W2953" t="str">
            <v>-</v>
          </cell>
          <cell r="X2953" t="str">
            <v>CLP 220 (-15/+40°C)</v>
          </cell>
          <cell r="Y2953" t="str">
            <v>R87DRN132L4</v>
          </cell>
          <cell r="Z2953" t="str">
            <v>SEW</v>
          </cell>
          <cell r="AB2953" t="str">
            <v>-</v>
          </cell>
          <cell r="AF2953">
            <v>68</v>
          </cell>
          <cell r="AG2953" t="str">
            <v>DRN132L4</v>
          </cell>
          <cell r="AH2953" t="str">
            <v>R87-DRN132L4270-X</v>
          </cell>
        </row>
        <row r="2954">
          <cell r="A2954" t="str">
            <v>MR002942</v>
          </cell>
          <cell r="B2954" t="str">
            <v>MR</v>
          </cell>
          <cell r="C2954">
            <v>7.5</v>
          </cell>
          <cell r="D2954">
            <v>63</v>
          </cell>
          <cell r="E2954" t="str">
            <v>R87</v>
          </cell>
          <cell r="F2954">
            <v>1140</v>
          </cell>
          <cell r="G2954">
            <v>23.4</v>
          </cell>
          <cell r="H2954">
            <v>1.35</v>
          </cell>
          <cell r="I2954" t="str">
            <v>M1</v>
          </cell>
          <cell r="J2954" t="str">
            <v>IE3</v>
          </cell>
          <cell r="K2954" t="str">
            <v>400/690</v>
          </cell>
          <cell r="L2954">
            <v>50</v>
          </cell>
          <cell r="M2954" t="str">
            <v>15,2/8,8</v>
          </cell>
          <cell r="N2954">
            <v>65</v>
          </cell>
          <cell r="O2954" t="str">
            <v>155(F)</v>
          </cell>
          <cell r="P2954" t="str">
            <v>270°</v>
          </cell>
          <cell r="Q2954" t="str">
            <v>-</v>
          </cell>
          <cell r="R2954" t="str">
            <v>-</v>
          </cell>
          <cell r="S2954" t="str">
            <v>-</v>
          </cell>
          <cell r="T2954" t="str">
            <v>-</v>
          </cell>
          <cell r="U2954" t="str">
            <v>-</v>
          </cell>
          <cell r="V2954" t="str">
            <v>D</v>
          </cell>
          <cell r="W2954" t="str">
            <v>-</v>
          </cell>
          <cell r="X2954" t="str">
            <v>CLP 220 (-15/+40°C)</v>
          </cell>
          <cell r="Y2954" t="str">
            <v>R87DRN132M4</v>
          </cell>
          <cell r="Z2954" t="str">
            <v>SEW</v>
          </cell>
          <cell r="AB2954" t="str">
            <v>-</v>
          </cell>
          <cell r="AF2954">
            <v>63</v>
          </cell>
          <cell r="AG2954" t="str">
            <v>DRN132M4</v>
          </cell>
          <cell r="AH2954" t="str">
            <v>R87-DRN132M4270-X</v>
          </cell>
        </row>
        <row r="2955">
          <cell r="A2955" t="str">
            <v>MR002943</v>
          </cell>
          <cell r="B2955" t="str">
            <v>MR</v>
          </cell>
          <cell r="C2955">
            <v>9.1999999999999993</v>
          </cell>
          <cell r="D2955">
            <v>47</v>
          </cell>
          <cell r="E2955" t="str">
            <v>KH87</v>
          </cell>
          <cell r="F2955">
            <v>1870</v>
          </cell>
          <cell r="G2955">
            <v>31.39</v>
          </cell>
          <cell r="H2955">
            <v>1.45</v>
          </cell>
          <cell r="I2955" t="str">
            <v>From M4B to M1B-10°</v>
          </cell>
          <cell r="J2955" t="str">
            <v>IE3</v>
          </cell>
          <cell r="K2955" t="str">
            <v>400/690</v>
          </cell>
          <cell r="L2955">
            <v>50</v>
          </cell>
          <cell r="M2955" t="str">
            <v>18,7/10,8</v>
          </cell>
          <cell r="N2955">
            <v>65</v>
          </cell>
          <cell r="O2955" t="str">
            <v>155(F)</v>
          </cell>
          <cell r="P2955" t="str">
            <v>270°</v>
          </cell>
          <cell r="Q2955" t="str">
            <v>-</v>
          </cell>
          <cell r="R2955" t="str">
            <v>-</v>
          </cell>
          <cell r="S2955" t="str">
            <v>Free rotation CW</v>
          </cell>
          <cell r="T2955" t="str">
            <v>-</v>
          </cell>
          <cell r="U2955" t="str">
            <v>T</v>
          </cell>
          <cell r="V2955" t="str">
            <v>SS</v>
          </cell>
          <cell r="W2955" t="str">
            <v>-</v>
          </cell>
          <cell r="X2955" t="str">
            <v>CLP 220 (-15/+40°C)</v>
          </cell>
          <cell r="Y2955" t="str">
            <v>KH87/T DRN132L4 /RS</v>
          </cell>
          <cell r="Z2955" t="str">
            <v>SEW</v>
          </cell>
          <cell r="AB2955" t="str">
            <v>-</v>
          </cell>
          <cell r="AF2955">
            <v>47</v>
          </cell>
          <cell r="AG2955" t="str">
            <v>DRN132L4</v>
          </cell>
          <cell r="AH2955" t="str">
            <v>KH87T-DRN132L4B270-X</v>
          </cell>
        </row>
        <row r="2956">
          <cell r="A2956" t="str">
            <v>MR002944</v>
          </cell>
          <cell r="B2956" t="str">
            <v>MR</v>
          </cell>
          <cell r="C2956">
            <v>18.5</v>
          </cell>
          <cell r="D2956">
            <v>48</v>
          </cell>
          <cell r="E2956" t="str">
            <v>KH97</v>
          </cell>
          <cell r="F2956">
            <v>3680</v>
          </cell>
          <cell r="G2956">
            <v>30.82</v>
          </cell>
          <cell r="H2956">
            <v>1.1499999999999999</v>
          </cell>
          <cell r="I2956" t="str">
            <v>M4B</v>
          </cell>
          <cell r="J2956" t="str">
            <v>IE3</v>
          </cell>
          <cell r="K2956" t="str">
            <v>400/690</v>
          </cell>
          <cell r="L2956">
            <v>50</v>
          </cell>
          <cell r="M2956" t="str">
            <v>33,5/19,3</v>
          </cell>
          <cell r="N2956">
            <v>65</v>
          </cell>
          <cell r="O2956" t="str">
            <v>155(F)</v>
          </cell>
          <cell r="P2956" t="str">
            <v>270°</v>
          </cell>
          <cell r="Q2956" t="str">
            <v>-</v>
          </cell>
          <cell r="R2956" t="str">
            <v>-</v>
          </cell>
          <cell r="S2956" t="str">
            <v>-</v>
          </cell>
          <cell r="T2956" t="str">
            <v>-</v>
          </cell>
          <cell r="U2956" t="str">
            <v>T</v>
          </cell>
          <cell r="V2956" t="str">
            <v>SS</v>
          </cell>
          <cell r="W2956" t="str">
            <v>-</v>
          </cell>
          <cell r="X2956" t="str">
            <v>CLP 220 (-15/+40°C)</v>
          </cell>
          <cell r="Y2956" t="str">
            <v>KH97/T DRN180M4</v>
          </cell>
          <cell r="Z2956" t="str">
            <v>SEW</v>
          </cell>
          <cell r="AB2956" t="str">
            <v>-</v>
          </cell>
          <cell r="AF2956">
            <v>48</v>
          </cell>
          <cell r="AG2956" t="str">
            <v>DRN180M4</v>
          </cell>
          <cell r="AH2956" t="str">
            <v>KH97T-DRN180M4B270-X</v>
          </cell>
        </row>
        <row r="2957">
          <cell r="A2957" t="str">
            <v>MR002945</v>
          </cell>
          <cell r="B2957" t="str">
            <v>MR</v>
          </cell>
          <cell r="C2957">
            <v>22</v>
          </cell>
          <cell r="D2957">
            <v>45</v>
          </cell>
          <cell r="E2957" t="str">
            <v>KH107</v>
          </cell>
          <cell r="F2957">
            <v>4840</v>
          </cell>
          <cell r="G2957">
            <v>32.69</v>
          </cell>
          <cell r="H2957">
            <v>1.55</v>
          </cell>
          <cell r="I2957" t="str">
            <v>M4B</v>
          </cell>
          <cell r="J2957" t="str">
            <v>IE3</v>
          </cell>
          <cell r="K2957" t="str">
            <v>400/690</v>
          </cell>
          <cell r="L2957">
            <v>50</v>
          </cell>
          <cell r="M2957" t="str">
            <v>38,5/22,5</v>
          </cell>
          <cell r="N2957">
            <v>65</v>
          </cell>
          <cell r="O2957" t="str">
            <v>155(F)</v>
          </cell>
          <cell r="P2957" t="str">
            <v>270°</v>
          </cell>
          <cell r="Q2957" t="str">
            <v>-</v>
          </cell>
          <cell r="R2957" t="str">
            <v>-</v>
          </cell>
          <cell r="S2957" t="str">
            <v>Free rotation CW</v>
          </cell>
          <cell r="T2957" t="str">
            <v>-</v>
          </cell>
          <cell r="U2957" t="str">
            <v>T</v>
          </cell>
          <cell r="V2957" t="str">
            <v>SS</v>
          </cell>
          <cell r="W2957" t="str">
            <v>-</v>
          </cell>
          <cell r="X2957" t="str">
            <v>CLP 220 (-15/+40°C)</v>
          </cell>
          <cell r="Y2957" t="str">
            <v>KH107/T DRN180L4 /RS</v>
          </cell>
          <cell r="Z2957" t="str">
            <v>SEW</v>
          </cell>
          <cell r="AB2957" t="str">
            <v>-</v>
          </cell>
          <cell r="AE2957" t="str">
            <v>NON USARE DA CONFIGURARE PER METRO PB4</v>
          </cell>
          <cell r="AF2957">
            <v>45</v>
          </cell>
          <cell r="AG2957" t="str">
            <v>DRN180L4</v>
          </cell>
          <cell r="AH2957" t="str">
            <v>KH107T-DRN180L4B270-X</v>
          </cell>
        </row>
        <row r="2958">
          <cell r="A2958" t="str">
            <v>MR002946</v>
          </cell>
          <cell r="B2958" t="str">
            <v>MR</v>
          </cell>
          <cell r="C2958">
            <v>15</v>
          </cell>
          <cell r="D2958">
            <v>20</v>
          </cell>
          <cell r="E2958" t="str">
            <v>R137</v>
          </cell>
          <cell r="F2958">
            <v>7140</v>
          </cell>
          <cell r="G2958">
            <v>73.489999999999995</v>
          </cell>
          <cell r="H2958">
            <v>1.1000000000000001</v>
          </cell>
          <cell r="I2958" t="str">
            <v>From M1 to M2-15°</v>
          </cell>
          <cell r="J2958" t="str">
            <v>IE3</v>
          </cell>
          <cell r="K2958" t="str">
            <v>400/690</v>
          </cell>
          <cell r="L2958">
            <v>50</v>
          </cell>
          <cell r="M2958" t="str">
            <v>29/16,7</v>
          </cell>
          <cell r="N2958">
            <v>65</v>
          </cell>
          <cell r="O2958" t="str">
            <v>155(F)</v>
          </cell>
          <cell r="P2958" t="str">
            <v>270°</v>
          </cell>
          <cell r="Q2958" t="str">
            <v>TF</v>
          </cell>
          <cell r="R2958" t="str">
            <v>V(VE)</v>
          </cell>
          <cell r="S2958" t="str">
            <v>-</v>
          </cell>
          <cell r="T2958" t="str">
            <v>-</v>
          </cell>
          <cell r="U2958" t="str">
            <v>-</v>
          </cell>
          <cell r="V2958" t="str">
            <v>FC</v>
          </cell>
          <cell r="W2958" t="str">
            <v>-</v>
          </cell>
          <cell r="X2958" t="str">
            <v>CLP VG 220 = -15° + 40°</v>
          </cell>
          <cell r="Y2958" t="str">
            <v>R137DRN160L4 /TF/V</v>
          </cell>
          <cell r="Z2958" t="str">
            <v>SEW</v>
          </cell>
          <cell r="AB2958" t="str">
            <v>-</v>
          </cell>
          <cell r="AF2958">
            <v>20</v>
          </cell>
          <cell r="AG2958" t="str">
            <v>DRN160L4</v>
          </cell>
          <cell r="AH2958" t="str">
            <v>R137-DRN160L4270-X#</v>
          </cell>
        </row>
        <row r="2959">
          <cell r="A2959" t="str">
            <v>MR002947</v>
          </cell>
          <cell r="B2959" t="str">
            <v>MR</v>
          </cell>
          <cell r="C2959">
            <v>18.5</v>
          </cell>
          <cell r="D2959">
            <v>12</v>
          </cell>
          <cell r="E2959" t="str">
            <v>KH157</v>
          </cell>
          <cell r="F2959">
            <v>14600</v>
          </cell>
          <cell r="G2959">
            <v>122.39</v>
          </cell>
          <cell r="H2959">
            <v>1.35</v>
          </cell>
          <cell r="I2959" t="str">
            <v>From M1A to M2A - 40°</v>
          </cell>
          <cell r="J2959" t="str">
            <v>IE3</v>
          </cell>
          <cell r="K2959" t="str">
            <v>400/690</v>
          </cell>
          <cell r="L2959">
            <v>50</v>
          </cell>
          <cell r="M2959" t="str">
            <v>33,5/19,3</v>
          </cell>
          <cell r="N2959">
            <v>65</v>
          </cell>
          <cell r="O2959" t="str">
            <v>155(F)</v>
          </cell>
          <cell r="P2959" t="str">
            <v>180°</v>
          </cell>
          <cell r="Q2959" t="str">
            <v>TF</v>
          </cell>
          <cell r="R2959" t="str">
            <v>V(VE)</v>
          </cell>
          <cell r="S2959" t="str">
            <v>-</v>
          </cell>
          <cell r="T2959" t="str">
            <v>-</v>
          </cell>
          <cell r="U2959" t="str">
            <v>-</v>
          </cell>
          <cell r="V2959" t="str">
            <v>FC</v>
          </cell>
          <cell r="W2959" t="str">
            <v>-</v>
          </cell>
          <cell r="X2959" t="str">
            <v>CLP 220 (-15/+40°C)</v>
          </cell>
          <cell r="Y2959" t="str">
            <v>KH157DRN180M4 /TF/V</v>
          </cell>
          <cell r="Z2959" t="str">
            <v>SEW</v>
          </cell>
          <cell r="AB2959" t="str">
            <v>-</v>
          </cell>
          <cell r="AF2959">
            <v>12</v>
          </cell>
          <cell r="AG2959" t="str">
            <v>DRN180M4</v>
          </cell>
          <cell r="AH2959" t="str">
            <v>KH157-DRN180M4A180-X#</v>
          </cell>
        </row>
        <row r="2960">
          <cell r="A2960" t="str">
            <v>MR002948</v>
          </cell>
          <cell r="B2960" t="str">
            <v>MR</v>
          </cell>
          <cell r="C2960">
            <v>18.5</v>
          </cell>
          <cell r="D2960">
            <v>12</v>
          </cell>
          <cell r="E2960" t="str">
            <v>KH157</v>
          </cell>
          <cell r="F2960">
            <v>14600</v>
          </cell>
          <cell r="G2960">
            <v>122.39</v>
          </cell>
          <cell r="H2960">
            <v>1.35</v>
          </cell>
          <cell r="I2960" t="str">
            <v>From M1B to M2B - 40°</v>
          </cell>
          <cell r="J2960" t="str">
            <v>IE3</v>
          </cell>
          <cell r="K2960" t="str">
            <v>400/690</v>
          </cell>
          <cell r="L2960">
            <v>50</v>
          </cell>
          <cell r="M2960" t="str">
            <v>33,5/19,3</v>
          </cell>
          <cell r="N2960">
            <v>65</v>
          </cell>
          <cell r="O2960" t="str">
            <v>155(F)</v>
          </cell>
          <cell r="P2960" t="str">
            <v>0°</v>
          </cell>
          <cell r="Q2960" t="str">
            <v>TF</v>
          </cell>
          <cell r="R2960" t="str">
            <v>V(VE)</v>
          </cell>
          <cell r="S2960" t="str">
            <v>-</v>
          </cell>
          <cell r="T2960" t="str">
            <v>-</v>
          </cell>
          <cell r="U2960" t="str">
            <v>-</v>
          </cell>
          <cell r="V2960" t="str">
            <v>FC</v>
          </cell>
          <cell r="W2960" t="str">
            <v>-</v>
          </cell>
          <cell r="X2960" t="str">
            <v>CLP 220 (-15/+40°C)</v>
          </cell>
          <cell r="Y2960" t="str">
            <v>KH157DRN180M4 /TF/V</v>
          </cell>
          <cell r="Z2960" t="str">
            <v>SEW</v>
          </cell>
          <cell r="AB2960" t="str">
            <v>-</v>
          </cell>
          <cell r="AF2960">
            <v>12</v>
          </cell>
          <cell r="AG2960" t="str">
            <v>DRN180M4</v>
          </cell>
          <cell r="AH2960" t="str">
            <v>KH157-DRN180M4B0-X#</v>
          </cell>
        </row>
        <row r="2961">
          <cell r="A2961" t="str">
            <v>MR002949</v>
          </cell>
          <cell r="B2961" t="str">
            <v>MR</v>
          </cell>
          <cell r="C2961">
            <v>9.1999999999999993</v>
          </cell>
          <cell r="D2961">
            <v>68</v>
          </cell>
          <cell r="E2961" t="str">
            <v>R87</v>
          </cell>
          <cell r="F2961">
            <v>1280</v>
          </cell>
          <cell r="G2961">
            <v>21.51</v>
          </cell>
          <cell r="H2961">
            <v>1.1499999999999999</v>
          </cell>
          <cell r="I2961" t="str">
            <v>M1</v>
          </cell>
          <cell r="J2961" t="str">
            <v>IE3</v>
          </cell>
          <cell r="K2961" t="str">
            <v>400/690</v>
          </cell>
          <cell r="L2961">
            <v>50</v>
          </cell>
          <cell r="M2961" t="str">
            <v>18,7/10,8</v>
          </cell>
          <cell r="N2961">
            <v>65</v>
          </cell>
          <cell r="O2961" t="str">
            <v>155(F)</v>
          </cell>
          <cell r="P2961" t="str">
            <v>270°</v>
          </cell>
          <cell r="Q2961" t="str">
            <v>-</v>
          </cell>
          <cell r="R2961" t="str">
            <v>-</v>
          </cell>
          <cell r="S2961" t="str">
            <v>-</v>
          </cell>
          <cell r="T2961" t="str">
            <v>-</v>
          </cell>
          <cell r="U2961" t="str">
            <v>-</v>
          </cell>
          <cell r="V2961" t="str">
            <v>D+R</v>
          </cell>
          <cell r="W2961" t="str">
            <v>-</v>
          </cell>
          <cell r="X2961" t="str">
            <v>CLP 220 (-15/+40°C)</v>
          </cell>
          <cell r="Y2961" t="str">
            <v>R87DRN132L4</v>
          </cell>
          <cell r="Z2961" t="str">
            <v>SEW</v>
          </cell>
          <cell r="AB2961" t="str">
            <v>-</v>
          </cell>
          <cell r="AF2961">
            <v>68</v>
          </cell>
          <cell r="AG2961" t="str">
            <v>DRN132L4</v>
          </cell>
          <cell r="AH2961" t="str">
            <v>R87-DRN132L4270-X</v>
          </cell>
        </row>
        <row r="2962">
          <cell r="A2962" t="str">
            <v>MR002950</v>
          </cell>
          <cell r="B2962" t="str">
            <v>MR</v>
          </cell>
          <cell r="C2962">
            <v>7.5</v>
          </cell>
          <cell r="D2962">
            <v>15</v>
          </cell>
          <cell r="E2962" t="str">
            <v>KH107</v>
          </cell>
          <cell r="F2962">
            <v>4920</v>
          </cell>
          <cell r="G2962">
            <v>100.75</v>
          </cell>
          <cell r="H2962">
            <v>1.55</v>
          </cell>
          <cell r="I2962" t="str">
            <v>From M1A to M2A - 30°</v>
          </cell>
          <cell r="J2962" t="str">
            <v>IE3</v>
          </cell>
          <cell r="K2962" t="str">
            <v>400/690</v>
          </cell>
          <cell r="L2962">
            <v>50</v>
          </cell>
          <cell r="M2962" t="str">
            <v>15,2/8,8</v>
          </cell>
          <cell r="N2962">
            <v>65</v>
          </cell>
          <cell r="O2962" t="str">
            <v>155(F)</v>
          </cell>
          <cell r="P2962" t="str">
            <v>180°</v>
          </cell>
          <cell r="Q2962" t="str">
            <v>-</v>
          </cell>
          <cell r="R2962" t="str">
            <v>-</v>
          </cell>
          <cell r="S2962" t="str">
            <v>-</v>
          </cell>
          <cell r="T2962" t="str">
            <v>-</v>
          </cell>
          <cell r="U2962" t="str">
            <v>-</v>
          </cell>
          <cell r="V2962" t="str">
            <v>SS</v>
          </cell>
          <cell r="W2962" t="str">
            <v>-</v>
          </cell>
          <cell r="X2962" t="str">
            <v>CLP 220 (-15/+40°C)</v>
          </cell>
          <cell r="Y2962" t="str">
            <v>KH107DRN132M4</v>
          </cell>
          <cell r="Z2962" t="str">
            <v>SEW</v>
          </cell>
          <cell r="AB2962" t="str">
            <v>-</v>
          </cell>
          <cell r="AF2962">
            <v>15</v>
          </cell>
          <cell r="AG2962" t="str">
            <v>DRN132M4</v>
          </cell>
          <cell r="AH2962" t="str">
            <v>KH107-DRN132M4A180-X</v>
          </cell>
        </row>
        <row r="2963">
          <cell r="A2963" t="str">
            <v>MR002951</v>
          </cell>
          <cell r="B2963" t="str">
            <v>MR</v>
          </cell>
          <cell r="C2963">
            <v>7.5</v>
          </cell>
          <cell r="D2963">
            <v>15</v>
          </cell>
          <cell r="E2963" t="str">
            <v>KH107</v>
          </cell>
          <cell r="F2963">
            <v>4920</v>
          </cell>
          <cell r="G2963">
            <v>100.75</v>
          </cell>
          <cell r="H2963">
            <v>1.55</v>
          </cell>
          <cell r="I2963" t="str">
            <v>From M1B to M2B - 30°</v>
          </cell>
          <cell r="J2963" t="str">
            <v>IE3</v>
          </cell>
          <cell r="K2963" t="str">
            <v>400/690</v>
          </cell>
          <cell r="L2963">
            <v>50</v>
          </cell>
          <cell r="M2963" t="str">
            <v>15,2/8,8</v>
          </cell>
          <cell r="N2963">
            <v>65</v>
          </cell>
          <cell r="O2963" t="str">
            <v>155(F)</v>
          </cell>
          <cell r="P2963" t="str">
            <v>0°</v>
          </cell>
          <cell r="Q2963" t="str">
            <v>-</v>
          </cell>
          <cell r="R2963" t="str">
            <v>-</v>
          </cell>
          <cell r="S2963" t="str">
            <v>-</v>
          </cell>
          <cell r="T2963" t="str">
            <v>-</v>
          </cell>
          <cell r="U2963" t="str">
            <v>-</v>
          </cell>
          <cell r="V2963" t="str">
            <v>SS</v>
          </cell>
          <cell r="W2963" t="str">
            <v>-</v>
          </cell>
          <cell r="X2963" t="str">
            <v>CLP 220 (-15/+40°C)</v>
          </cell>
          <cell r="Y2963" t="str">
            <v>KH107DRN132M4</v>
          </cell>
          <cell r="Z2963" t="str">
            <v>SEW</v>
          </cell>
          <cell r="AB2963" t="str">
            <v>-</v>
          </cell>
          <cell r="AF2963">
            <v>15</v>
          </cell>
          <cell r="AG2963" t="str">
            <v>DRN132M4</v>
          </cell>
          <cell r="AH2963" t="str">
            <v>KH107-DRN132M4B0-X</v>
          </cell>
        </row>
        <row r="2964">
          <cell r="A2964" t="str">
            <v>MR002952</v>
          </cell>
          <cell r="B2964" t="str">
            <v>MR</v>
          </cell>
          <cell r="C2964">
            <v>11</v>
          </cell>
          <cell r="D2964">
            <v>16</v>
          </cell>
          <cell r="E2964" t="str">
            <v>KH107</v>
          </cell>
          <cell r="F2964">
            <v>6480</v>
          </cell>
          <cell r="G2964">
            <v>90.96</v>
          </cell>
          <cell r="H2964">
            <v>1.25</v>
          </cell>
          <cell r="I2964" t="str">
            <v>From M1A to M2A - 30°</v>
          </cell>
          <cell r="J2964" t="str">
            <v>IE3</v>
          </cell>
          <cell r="K2964" t="str">
            <v>400/690</v>
          </cell>
          <cell r="L2964">
            <v>50</v>
          </cell>
          <cell r="M2964" t="str">
            <v>21/12,2</v>
          </cell>
          <cell r="N2964">
            <v>65</v>
          </cell>
          <cell r="O2964" t="str">
            <v>155(F)</v>
          </cell>
          <cell r="P2964" t="str">
            <v>180°</v>
          </cell>
          <cell r="Q2964" t="str">
            <v>-</v>
          </cell>
          <cell r="R2964" t="str">
            <v>-</v>
          </cell>
          <cell r="S2964" t="str">
            <v>-</v>
          </cell>
          <cell r="T2964" t="str">
            <v>-</v>
          </cell>
          <cell r="U2964" t="str">
            <v>-</v>
          </cell>
          <cell r="V2964" t="str">
            <v>SS</v>
          </cell>
          <cell r="W2964" t="str">
            <v>-</v>
          </cell>
          <cell r="X2964" t="str">
            <v>CLP 220 (-15/+40°C)</v>
          </cell>
          <cell r="Y2964" t="str">
            <v>KH107DRN160M4</v>
          </cell>
          <cell r="Z2964" t="str">
            <v>SEW</v>
          </cell>
          <cell r="AB2964" t="str">
            <v>-</v>
          </cell>
          <cell r="AF2964">
            <v>16</v>
          </cell>
          <cell r="AG2964" t="str">
            <v>DRN160M4</v>
          </cell>
          <cell r="AH2964" t="str">
            <v>KH107-DRN160M4A180-X</v>
          </cell>
        </row>
        <row r="2965">
          <cell r="A2965" t="str">
            <v>MR002953</v>
          </cell>
          <cell r="B2965" t="str">
            <v>MR</v>
          </cell>
          <cell r="C2965">
            <v>11</v>
          </cell>
          <cell r="D2965">
            <v>16</v>
          </cell>
          <cell r="E2965" t="str">
            <v>KH107</v>
          </cell>
          <cell r="F2965">
            <v>6480</v>
          </cell>
          <cell r="G2965">
            <v>90.96</v>
          </cell>
          <cell r="H2965">
            <v>1.25</v>
          </cell>
          <cell r="I2965" t="str">
            <v>From M1B to M2B - 30°</v>
          </cell>
          <cell r="J2965" t="str">
            <v>IE3</v>
          </cell>
          <cell r="K2965" t="str">
            <v>400/690</v>
          </cell>
          <cell r="L2965">
            <v>50</v>
          </cell>
          <cell r="M2965" t="str">
            <v>21/12,2</v>
          </cell>
          <cell r="N2965">
            <v>65</v>
          </cell>
          <cell r="O2965" t="str">
            <v>155(F)</v>
          </cell>
          <cell r="P2965" t="str">
            <v>0°</v>
          </cell>
          <cell r="Q2965" t="str">
            <v>-</v>
          </cell>
          <cell r="R2965" t="str">
            <v>-</v>
          </cell>
          <cell r="S2965" t="str">
            <v>-</v>
          </cell>
          <cell r="T2965" t="str">
            <v>-</v>
          </cell>
          <cell r="U2965" t="str">
            <v>-</v>
          </cell>
          <cell r="V2965" t="str">
            <v>SS</v>
          </cell>
          <cell r="W2965" t="str">
            <v>-</v>
          </cell>
          <cell r="X2965" t="str">
            <v>CLP 220 (-15/+40°C)</v>
          </cell>
          <cell r="Y2965" t="str">
            <v>KH107DRN160M4</v>
          </cell>
          <cell r="Z2965" t="str">
            <v>SEW</v>
          </cell>
          <cell r="AB2965" t="str">
            <v>-</v>
          </cell>
          <cell r="AF2965">
            <v>16</v>
          </cell>
          <cell r="AG2965" t="str">
            <v>DRN160M4</v>
          </cell>
          <cell r="AH2965" t="str">
            <v>KH107-DRN160M4B0-X</v>
          </cell>
        </row>
        <row r="2966">
          <cell r="A2966" t="str">
            <v>MR002954</v>
          </cell>
          <cell r="B2966" t="str">
            <v>MR</v>
          </cell>
          <cell r="C2966">
            <v>15</v>
          </cell>
          <cell r="D2966">
            <v>12</v>
          </cell>
          <cell r="E2966" t="str">
            <v>KH157</v>
          </cell>
          <cell r="F2966">
            <v>11900</v>
          </cell>
          <cell r="G2966">
            <v>122.39</v>
          </cell>
          <cell r="H2966">
            <v>1.7</v>
          </cell>
          <cell r="I2966" t="str">
            <v>From M1A to M2A - 30°</v>
          </cell>
          <cell r="J2966" t="str">
            <v>IE3</v>
          </cell>
          <cell r="K2966" t="str">
            <v>400/690</v>
          </cell>
          <cell r="L2966">
            <v>50</v>
          </cell>
          <cell r="M2966" t="str">
            <v>29/16,7</v>
          </cell>
          <cell r="N2966">
            <v>65</v>
          </cell>
          <cell r="O2966" t="str">
            <v>155(F)</v>
          </cell>
          <cell r="P2966" t="str">
            <v>180°</v>
          </cell>
          <cell r="Q2966" t="str">
            <v>-</v>
          </cell>
          <cell r="R2966" t="str">
            <v>-</v>
          </cell>
          <cell r="S2966" t="str">
            <v>-</v>
          </cell>
          <cell r="T2966" t="str">
            <v>-</v>
          </cell>
          <cell r="U2966" t="str">
            <v>-</v>
          </cell>
          <cell r="V2966" t="str">
            <v>SS</v>
          </cell>
          <cell r="W2966" t="str">
            <v>-</v>
          </cell>
          <cell r="X2966" t="str">
            <v>CLP 220 (-15/+40°C)</v>
          </cell>
          <cell r="Y2966" t="str">
            <v>KH157DRN160L4</v>
          </cell>
          <cell r="Z2966" t="str">
            <v>SEW</v>
          </cell>
          <cell r="AB2966" t="str">
            <v>-</v>
          </cell>
          <cell r="AF2966">
            <v>12</v>
          </cell>
          <cell r="AG2966" t="str">
            <v>DRN160L4</v>
          </cell>
          <cell r="AH2966" t="str">
            <v>KH157-DRN160L4A180-X</v>
          </cell>
        </row>
        <row r="2967">
          <cell r="A2967" t="str">
            <v>MR002955</v>
          </cell>
          <cell r="B2967" t="str">
            <v>MR</v>
          </cell>
          <cell r="C2967">
            <v>15</v>
          </cell>
          <cell r="D2967">
            <v>12</v>
          </cell>
          <cell r="E2967" t="str">
            <v>KH157</v>
          </cell>
          <cell r="F2967">
            <v>11900</v>
          </cell>
          <cell r="G2967">
            <v>122.39</v>
          </cell>
          <cell r="H2967">
            <v>1.7</v>
          </cell>
          <cell r="I2967" t="str">
            <v>From M1B to M2B - 30°</v>
          </cell>
          <cell r="J2967" t="str">
            <v>IE3</v>
          </cell>
          <cell r="K2967" t="str">
            <v>400/690</v>
          </cell>
          <cell r="L2967">
            <v>50</v>
          </cell>
          <cell r="M2967" t="str">
            <v>29/16,7</v>
          </cell>
          <cell r="N2967">
            <v>65</v>
          </cell>
          <cell r="O2967" t="str">
            <v>155(F)</v>
          </cell>
          <cell r="P2967" t="str">
            <v>0°</v>
          </cell>
          <cell r="Q2967" t="str">
            <v>-</v>
          </cell>
          <cell r="R2967" t="str">
            <v>-</v>
          </cell>
          <cell r="S2967" t="str">
            <v>-</v>
          </cell>
          <cell r="T2967" t="str">
            <v>-</v>
          </cell>
          <cell r="U2967" t="str">
            <v>-</v>
          </cell>
          <cell r="V2967" t="str">
            <v>SS</v>
          </cell>
          <cell r="W2967" t="str">
            <v>-</v>
          </cell>
          <cell r="X2967" t="str">
            <v>CLP 220 (-15/+40°C)</v>
          </cell>
          <cell r="Y2967" t="str">
            <v>KH157DRN160L4</v>
          </cell>
          <cell r="Z2967" t="str">
            <v>SEW</v>
          </cell>
          <cell r="AB2967" t="str">
            <v>-</v>
          </cell>
          <cell r="AF2967">
            <v>12</v>
          </cell>
          <cell r="AG2967" t="str">
            <v>DRN160L4</v>
          </cell>
          <cell r="AH2967" t="str">
            <v>KH157-DRN160L4B0-X</v>
          </cell>
        </row>
        <row r="2968">
          <cell r="A2968" t="str">
            <v>MR002956</v>
          </cell>
          <cell r="B2968" t="str">
            <v>MR</v>
          </cell>
          <cell r="C2968">
            <v>11</v>
          </cell>
          <cell r="D2968">
            <v>12</v>
          </cell>
          <cell r="E2968" t="str">
            <v>KH127</v>
          </cell>
          <cell r="F2968">
            <v>8730</v>
          </cell>
          <cell r="G2968">
            <v>122.48</v>
          </cell>
          <cell r="H2968">
            <v>1.5</v>
          </cell>
          <cell r="I2968" t="str">
            <v>M1B</v>
          </cell>
          <cell r="J2968" t="str">
            <v>IE3</v>
          </cell>
          <cell r="K2968" t="str">
            <v>400/690</v>
          </cell>
          <cell r="L2968">
            <v>50</v>
          </cell>
          <cell r="M2968" t="str">
            <v>21/12,2</v>
          </cell>
          <cell r="N2968">
            <v>65</v>
          </cell>
          <cell r="O2968" t="str">
            <v>155(F)</v>
          </cell>
          <cell r="P2968" t="str">
            <v>0°</v>
          </cell>
          <cell r="Q2968" t="str">
            <v>-</v>
          </cell>
          <cell r="R2968" t="str">
            <v>-</v>
          </cell>
          <cell r="S2968" t="str">
            <v>-</v>
          </cell>
          <cell r="T2968" t="str">
            <v>-</v>
          </cell>
          <cell r="U2968" t="str">
            <v>-</v>
          </cell>
          <cell r="V2968" t="str">
            <v>SS</v>
          </cell>
          <cell r="W2968" t="str">
            <v>-</v>
          </cell>
          <cell r="X2968" t="str">
            <v>CLP 220 (-15/+40°C)</v>
          </cell>
          <cell r="Y2968" t="str">
            <v>KH127DRN160M4</v>
          </cell>
          <cell r="Z2968" t="str">
            <v>SEW</v>
          </cell>
          <cell r="AB2968" t="str">
            <v>-</v>
          </cell>
          <cell r="AE2968" t="str">
            <v>NON USARE DA CONFIGURARE PER METRO PB4</v>
          </cell>
          <cell r="AF2968">
            <v>12</v>
          </cell>
          <cell r="AG2968" t="str">
            <v>DRN160M4</v>
          </cell>
          <cell r="AH2968" t="str">
            <v>KH127-DRN160M4B0-X</v>
          </cell>
        </row>
        <row r="2969">
          <cell r="A2969" t="str">
            <v>MR002957</v>
          </cell>
          <cell r="B2969" t="str">
            <v>MR</v>
          </cell>
          <cell r="C2969">
            <v>11</v>
          </cell>
          <cell r="D2969">
            <v>12</v>
          </cell>
          <cell r="E2969" t="str">
            <v>KH127</v>
          </cell>
          <cell r="F2969">
            <v>8730</v>
          </cell>
          <cell r="G2969">
            <v>122.48</v>
          </cell>
          <cell r="H2969">
            <v>1.5</v>
          </cell>
          <cell r="I2969" t="str">
            <v>From M1A to M2A - 40°</v>
          </cell>
          <cell r="J2969" t="str">
            <v>IE3</v>
          </cell>
          <cell r="K2969" t="str">
            <v>400/690</v>
          </cell>
          <cell r="L2969">
            <v>50</v>
          </cell>
          <cell r="M2969" t="str">
            <v>21/12,2</v>
          </cell>
          <cell r="N2969">
            <v>65</v>
          </cell>
          <cell r="O2969" t="str">
            <v>155(F)</v>
          </cell>
          <cell r="P2969" t="str">
            <v>180°</v>
          </cell>
          <cell r="Q2969" t="str">
            <v>-</v>
          </cell>
          <cell r="R2969" t="str">
            <v>-</v>
          </cell>
          <cell r="S2969" t="str">
            <v>-</v>
          </cell>
          <cell r="T2969" t="str">
            <v>-</v>
          </cell>
          <cell r="U2969" t="str">
            <v>-</v>
          </cell>
          <cell r="V2969" t="str">
            <v>SS</v>
          </cell>
          <cell r="W2969" t="str">
            <v>-</v>
          </cell>
          <cell r="X2969" t="str">
            <v>CLP 220 (-15/+40°C)</v>
          </cell>
          <cell r="Y2969" t="str">
            <v>KH127DRN160M4</v>
          </cell>
          <cell r="Z2969" t="str">
            <v>SEW</v>
          </cell>
          <cell r="AB2969" t="str">
            <v>-</v>
          </cell>
          <cell r="AF2969">
            <v>12</v>
          </cell>
          <cell r="AG2969" t="str">
            <v>DRN160M4</v>
          </cell>
          <cell r="AH2969" t="str">
            <v>KH127-DRN160M4A180-X</v>
          </cell>
        </row>
        <row r="2970">
          <cell r="A2970" t="str">
            <v>MR002958</v>
          </cell>
          <cell r="B2970" t="str">
            <v>MR</v>
          </cell>
          <cell r="C2970">
            <v>15</v>
          </cell>
          <cell r="D2970">
            <v>12</v>
          </cell>
          <cell r="E2970" t="str">
            <v>KH127</v>
          </cell>
          <cell r="F2970">
            <v>11900</v>
          </cell>
          <cell r="G2970">
            <v>122.48</v>
          </cell>
          <cell r="H2970">
            <v>1.1000000000000001</v>
          </cell>
          <cell r="I2970" t="str">
            <v>M1A</v>
          </cell>
          <cell r="J2970" t="str">
            <v>IE3</v>
          </cell>
          <cell r="K2970" t="str">
            <v>400/690</v>
          </cell>
          <cell r="L2970">
            <v>50</v>
          </cell>
          <cell r="M2970" t="str">
            <v>29/16,7</v>
          </cell>
          <cell r="N2970">
            <v>65</v>
          </cell>
          <cell r="O2970" t="str">
            <v>155(F)</v>
          </cell>
          <cell r="P2970" t="str">
            <v>180°</v>
          </cell>
          <cell r="Q2970" t="str">
            <v>-</v>
          </cell>
          <cell r="R2970" t="str">
            <v>-</v>
          </cell>
          <cell r="S2970" t="str">
            <v>-</v>
          </cell>
          <cell r="T2970" t="str">
            <v>-</v>
          </cell>
          <cell r="U2970" t="str">
            <v>-</v>
          </cell>
          <cell r="V2970" t="str">
            <v>SS</v>
          </cell>
          <cell r="W2970" t="str">
            <v>-</v>
          </cell>
          <cell r="X2970" t="str">
            <v>CLP 220 (-15/+40°C)</v>
          </cell>
          <cell r="Y2970" t="str">
            <v>KH127DRN160L4</v>
          </cell>
          <cell r="Z2970" t="str">
            <v>SEW</v>
          </cell>
          <cell r="AB2970" t="str">
            <v>-</v>
          </cell>
          <cell r="AF2970">
            <v>12</v>
          </cell>
          <cell r="AG2970" t="str">
            <v>DRN160L4</v>
          </cell>
          <cell r="AH2970" t="str">
            <v>KH127-DRN160L4A180-X</v>
          </cell>
        </row>
        <row r="2971">
          <cell r="A2971" t="str">
            <v>MR002959</v>
          </cell>
          <cell r="B2971" t="str">
            <v>MR</v>
          </cell>
          <cell r="C2971">
            <v>15</v>
          </cell>
          <cell r="D2971">
            <v>12</v>
          </cell>
          <cell r="E2971" t="str">
            <v>KH127</v>
          </cell>
          <cell r="F2971">
            <v>11900</v>
          </cell>
          <cell r="G2971">
            <v>122.48</v>
          </cell>
          <cell r="H2971">
            <v>1.1000000000000001</v>
          </cell>
          <cell r="I2971" t="str">
            <v>M1B</v>
          </cell>
          <cell r="J2971" t="str">
            <v>IE3</v>
          </cell>
          <cell r="K2971" t="str">
            <v>400/690</v>
          </cell>
          <cell r="L2971">
            <v>50</v>
          </cell>
          <cell r="M2971" t="str">
            <v>29/16,7</v>
          </cell>
          <cell r="N2971">
            <v>65</v>
          </cell>
          <cell r="O2971" t="str">
            <v>155(F)</v>
          </cell>
          <cell r="P2971" t="str">
            <v>0°</v>
          </cell>
          <cell r="Q2971" t="str">
            <v>-</v>
          </cell>
          <cell r="R2971" t="str">
            <v>-</v>
          </cell>
          <cell r="S2971" t="str">
            <v>-</v>
          </cell>
          <cell r="T2971" t="str">
            <v>-</v>
          </cell>
          <cell r="U2971" t="str">
            <v>-</v>
          </cell>
          <cell r="V2971" t="str">
            <v>SS</v>
          </cell>
          <cell r="W2971" t="str">
            <v>-</v>
          </cell>
          <cell r="X2971" t="str">
            <v>CLP 220 (-15/+40°C)</v>
          </cell>
          <cell r="Y2971" t="str">
            <v>KH127DRN160L4</v>
          </cell>
          <cell r="Z2971" t="str">
            <v>SEW</v>
          </cell>
          <cell r="AB2971" t="str">
            <v>-</v>
          </cell>
          <cell r="AF2971">
            <v>12</v>
          </cell>
          <cell r="AG2971" t="str">
            <v>DRN160L4</v>
          </cell>
          <cell r="AH2971" t="str">
            <v>KH127-DRN160L4B0-X</v>
          </cell>
        </row>
        <row r="2972">
          <cell r="A2972" t="str">
            <v>MR002960</v>
          </cell>
          <cell r="B2972" t="str">
            <v>MR</v>
          </cell>
          <cell r="C2972">
            <v>5.5</v>
          </cell>
          <cell r="D2972">
            <v>62</v>
          </cell>
          <cell r="E2972" t="str">
            <v>R87</v>
          </cell>
          <cell r="F2972">
            <v>840</v>
          </cell>
          <cell r="G2972">
            <v>23.4</v>
          </cell>
          <cell r="H2972">
            <v>1.85</v>
          </cell>
          <cell r="I2972" t="str">
            <v>From M1 to M4 - 10°</v>
          </cell>
          <cell r="J2972" t="str">
            <v>IE3</v>
          </cell>
          <cell r="K2972" t="str">
            <v>230/400</v>
          </cell>
          <cell r="L2972">
            <v>50</v>
          </cell>
          <cell r="M2972" t="str">
            <v>19/11</v>
          </cell>
          <cell r="N2972">
            <v>65</v>
          </cell>
          <cell r="O2972" t="str">
            <v>155(F)</v>
          </cell>
          <cell r="P2972" t="str">
            <v>270°</v>
          </cell>
          <cell r="Q2972" t="str">
            <v>-</v>
          </cell>
          <cell r="R2972" t="str">
            <v>-</v>
          </cell>
          <cell r="S2972" t="str">
            <v>-</v>
          </cell>
          <cell r="T2972" t="str">
            <v>-</v>
          </cell>
          <cell r="U2972" t="str">
            <v>-</v>
          </cell>
          <cell r="V2972" t="str">
            <v>D</v>
          </cell>
          <cell r="W2972" t="str">
            <v>-</v>
          </cell>
          <cell r="X2972" t="str">
            <v>CLP 220 (-15/+40°C)</v>
          </cell>
          <cell r="Y2972" t="str">
            <v>R87DRN132S4</v>
          </cell>
          <cell r="Z2972" t="str">
            <v>SEW</v>
          </cell>
          <cell r="AB2972" t="str">
            <v>-</v>
          </cell>
          <cell r="AF2972">
            <v>62</v>
          </cell>
          <cell r="AG2972" t="str">
            <v>DRN132S4</v>
          </cell>
          <cell r="AH2972" t="str">
            <v>R87-DRN132S4270-X</v>
          </cell>
        </row>
        <row r="2973">
          <cell r="A2973" t="str">
            <v>MR002961</v>
          </cell>
          <cell r="B2973" t="str">
            <v>MR</v>
          </cell>
          <cell r="C2973">
            <v>4</v>
          </cell>
          <cell r="D2973">
            <v>31</v>
          </cell>
          <cell r="E2973" t="str">
            <v>R87</v>
          </cell>
          <cell r="F2973">
            <v>1240</v>
          </cell>
          <cell r="G2973">
            <v>47.58</v>
          </cell>
          <cell r="H2973">
            <v>1.25</v>
          </cell>
          <cell r="I2973" t="str">
            <v>M1</v>
          </cell>
          <cell r="J2973" t="str">
            <v>IE3</v>
          </cell>
          <cell r="K2973" t="str">
            <v>230/400</v>
          </cell>
          <cell r="L2973">
            <v>50</v>
          </cell>
          <cell r="M2973" t="str">
            <v>13,8/7,9</v>
          </cell>
          <cell r="N2973">
            <v>65</v>
          </cell>
          <cell r="O2973" t="str">
            <v>155(F)</v>
          </cell>
          <cell r="P2973" t="str">
            <v>270°</v>
          </cell>
          <cell r="Q2973" t="str">
            <v>TF</v>
          </cell>
          <cell r="R2973" t="str">
            <v>V(VE)</v>
          </cell>
          <cell r="S2973" t="str">
            <v>-</v>
          </cell>
          <cell r="T2973" t="str">
            <v>-</v>
          </cell>
          <cell r="U2973" t="str">
            <v>-</v>
          </cell>
          <cell r="V2973" t="str">
            <v>FC</v>
          </cell>
          <cell r="W2973" t="str">
            <v>-</v>
          </cell>
          <cell r="X2973" t="str">
            <v>CLP 220 (-15/+40°C)</v>
          </cell>
          <cell r="Y2973" t="str">
            <v>R87DRN112M4 /TF/V</v>
          </cell>
          <cell r="Z2973" t="str">
            <v>SEW</v>
          </cell>
          <cell r="AB2973" t="str">
            <v>-</v>
          </cell>
          <cell r="AF2973">
            <v>31</v>
          </cell>
          <cell r="AG2973" t="str">
            <v>DRN112M4</v>
          </cell>
          <cell r="AH2973" t="str">
            <v>R87-DRN112M4270-X#</v>
          </cell>
        </row>
        <row r="2974">
          <cell r="A2974" t="str">
            <v>MR002962</v>
          </cell>
          <cell r="B2974" t="str">
            <v>MR</v>
          </cell>
          <cell r="C2974">
            <v>11</v>
          </cell>
          <cell r="D2974">
            <v>16</v>
          </cell>
          <cell r="E2974" t="str">
            <v>KH107</v>
          </cell>
          <cell r="F2974">
            <v>6480</v>
          </cell>
          <cell r="G2974">
            <v>90.96</v>
          </cell>
          <cell r="H2974">
            <v>1.25</v>
          </cell>
          <cell r="I2974" t="str">
            <v>From M1B to M2B - 30°</v>
          </cell>
          <cell r="J2974" t="str">
            <v>IE3</v>
          </cell>
          <cell r="K2974" t="str">
            <v>400/690</v>
          </cell>
          <cell r="L2974">
            <v>50</v>
          </cell>
          <cell r="M2974" t="str">
            <v>21/12,2</v>
          </cell>
          <cell r="N2974">
            <v>65</v>
          </cell>
          <cell r="O2974" t="str">
            <v>155(F)</v>
          </cell>
          <cell r="P2974" t="str">
            <v>0°</v>
          </cell>
          <cell r="Q2974" t="str">
            <v>-</v>
          </cell>
          <cell r="R2974" t="str">
            <v>-</v>
          </cell>
          <cell r="S2974" t="str">
            <v>-</v>
          </cell>
          <cell r="T2974" t="str">
            <v>-</v>
          </cell>
          <cell r="U2974" t="str">
            <v>-</v>
          </cell>
          <cell r="V2974" t="str">
            <v>SS</v>
          </cell>
          <cell r="W2974" t="str">
            <v>-</v>
          </cell>
          <cell r="X2974" t="str">
            <v>CLP 220 (-15/+40°C)</v>
          </cell>
          <cell r="Y2974" t="str">
            <v>KH107DRN160M4</v>
          </cell>
          <cell r="Z2974" t="str">
            <v>SEW</v>
          </cell>
          <cell r="AB2974" t="str">
            <v>-</v>
          </cell>
          <cell r="AE2974" t="str">
            <v>NON USARE DA CONFIGURARE PER METRO PB4</v>
          </cell>
          <cell r="AF2974">
            <v>16</v>
          </cell>
          <cell r="AG2974" t="str">
            <v>DRN160M4</v>
          </cell>
          <cell r="AH2974" t="str">
            <v>KH107-DRN160M4B0-X</v>
          </cell>
        </row>
        <row r="2975">
          <cell r="A2975" t="str">
            <v>MR002963</v>
          </cell>
          <cell r="B2975" t="str">
            <v>MR</v>
          </cell>
          <cell r="C2975">
            <v>9.1999999999999993</v>
          </cell>
          <cell r="D2975">
            <v>15</v>
          </cell>
          <cell r="E2975" t="str">
            <v>KH107</v>
          </cell>
          <cell r="F2975">
            <v>6020</v>
          </cell>
          <cell r="G2975">
            <v>100.75</v>
          </cell>
          <cell r="H2975">
            <v>1.25</v>
          </cell>
          <cell r="I2975" t="str">
            <v>From M1B to M2B - 30°</v>
          </cell>
          <cell r="J2975" t="str">
            <v>IE3</v>
          </cell>
          <cell r="K2975" t="str">
            <v>400/690</v>
          </cell>
          <cell r="L2975">
            <v>50</v>
          </cell>
          <cell r="M2975" t="str">
            <v>19,2/11,1</v>
          </cell>
          <cell r="N2975">
            <v>65</v>
          </cell>
          <cell r="O2975" t="str">
            <v>155(F)</v>
          </cell>
          <cell r="P2975" t="str">
            <v>0°</v>
          </cell>
          <cell r="Q2975" t="str">
            <v>-</v>
          </cell>
          <cell r="R2975" t="str">
            <v>-</v>
          </cell>
          <cell r="S2975" t="str">
            <v>-</v>
          </cell>
          <cell r="T2975" t="str">
            <v>-</v>
          </cell>
          <cell r="U2975" t="str">
            <v>-</v>
          </cell>
          <cell r="V2975" t="str">
            <v>SS</v>
          </cell>
          <cell r="W2975" t="str">
            <v>-</v>
          </cell>
          <cell r="X2975" t="str">
            <v>CLP 220 (-15/+40°C)</v>
          </cell>
          <cell r="Y2975" t="str">
            <v>KH107DRN132L4</v>
          </cell>
          <cell r="Z2975" t="str">
            <v>SEW</v>
          </cell>
          <cell r="AB2975" t="str">
            <v>-</v>
          </cell>
          <cell r="AF2975">
            <v>15</v>
          </cell>
          <cell r="AG2975" t="str">
            <v>DRN132L4</v>
          </cell>
          <cell r="AH2975" t="str">
            <v>KH107-DRN132L4B0-X</v>
          </cell>
        </row>
        <row r="2976">
          <cell r="A2976" t="str">
            <v>MR002964</v>
          </cell>
          <cell r="B2976" t="str">
            <v>MR</v>
          </cell>
          <cell r="C2976">
            <v>9.1999999999999993</v>
          </cell>
          <cell r="D2976">
            <v>13</v>
          </cell>
          <cell r="E2976" t="str">
            <v>KH107</v>
          </cell>
          <cell r="F2976">
            <v>6710</v>
          </cell>
          <cell r="G2976">
            <v>122.41</v>
          </cell>
          <cell r="H2976">
            <v>1.2</v>
          </cell>
          <cell r="I2976" t="str">
            <v>From M1B to M2B - 40°</v>
          </cell>
          <cell r="J2976" t="str">
            <v>IE3</v>
          </cell>
          <cell r="K2976" t="str">
            <v>400/690</v>
          </cell>
          <cell r="L2976">
            <v>50</v>
          </cell>
          <cell r="M2976" t="str">
            <v>18,7/10,8</v>
          </cell>
          <cell r="N2976">
            <v>65</v>
          </cell>
          <cell r="O2976" t="str">
            <v>155(F)</v>
          </cell>
          <cell r="P2976" t="str">
            <v>0°</v>
          </cell>
          <cell r="Q2976" t="str">
            <v>TF</v>
          </cell>
          <cell r="R2976" t="str">
            <v>V(VE)</v>
          </cell>
          <cell r="S2976" t="str">
            <v>-</v>
          </cell>
          <cell r="T2976" t="str">
            <v>-</v>
          </cell>
          <cell r="U2976" t="str">
            <v>-</v>
          </cell>
          <cell r="V2976" t="str">
            <v>FC</v>
          </cell>
          <cell r="W2976" t="str">
            <v>-</v>
          </cell>
          <cell r="X2976" t="str">
            <v>CLP 220 (-15/+40°C)</v>
          </cell>
          <cell r="Y2976" t="str">
            <v>KH107DRN132L4 /TF/V</v>
          </cell>
          <cell r="Z2976" t="str">
            <v>SEW</v>
          </cell>
          <cell r="AB2976" t="str">
            <v>-</v>
          </cell>
          <cell r="AE2976" t="str">
            <v>NON USARE DA CONFIGURARE PER METRO PB4</v>
          </cell>
          <cell r="AF2976">
            <v>13</v>
          </cell>
          <cell r="AG2976" t="str">
            <v>DRN132L4</v>
          </cell>
          <cell r="AH2976" t="str">
            <v>KH107-DRN132L4B0-X#</v>
          </cell>
        </row>
        <row r="2977">
          <cell r="A2977" t="str">
            <v>MR002965</v>
          </cell>
          <cell r="B2977" t="str">
            <v>MR</v>
          </cell>
          <cell r="C2977">
            <v>22</v>
          </cell>
          <cell r="D2977">
            <v>12</v>
          </cell>
          <cell r="E2977" t="str">
            <v>KH157</v>
          </cell>
          <cell r="F2977">
            <v>17400</v>
          </cell>
          <cell r="G2977">
            <v>122.39</v>
          </cell>
          <cell r="H2977">
            <v>1.1499999999999999</v>
          </cell>
          <cell r="I2977" t="str">
            <v>From M1A to M2A - 40°</v>
          </cell>
          <cell r="J2977" t="str">
            <v>IE3</v>
          </cell>
          <cell r="K2977" t="str">
            <v>400/690</v>
          </cell>
          <cell r="L2977">
            <v>50</v>
          </cell>
          <cell r="M2977" t="str">
            <v>38,5/22,5</v>
          </cell>
          <cell r="N2977">
            <v>65</v>
          </cell>
          <cell r="O2977" t="str">
            <v>155(F)</v>
          </cell>
          <cell r="P2977" t="str">
            <v>0°</v>
          </cell>
          <cell r="Q2977" t="str">
            <v>TF</v>
          </cell>
          <cell r="R2977" t="str">
            <v>V(VE)</v>
          </cell>
          <cell r="S2977" t="str">
            <v>-</v>
          </cell>
          <cell r="T2977" t="str">
            <v>-</v>
          </cell>
          <cell r="U2977" t="str">
            <v>-</v>
          </cell>
          <cell r="V2977" t="str">
            <v>FC</v>
          </cell>
          <cell r="W2977" t="str">
            <v>-</v>
          </cell>
          <cell r="X2977" t="str">
            <v>CLP 220 (-15/+40°C)</v>
          </cell>
          <cell r="Y2977" t="str">
            <v>KH157DRN180L4 /TF/V</v>
          </cell>
          <cell r="Z2977" t="str">
            <v>SEW</v>
          </cell>
          <cell r="AB2977" t="str">
            <v>-</v>
          </cell>
          <cell r="AF2977">
            <v>12</v>
          </cell>
          <cell r="AG2977" t="str">
            <v>DRN180L4</v>
          </cell>
          <cell r="AH2977" t="str">
            <v>KH157-DRN180L4A0-X#</v>
          </cell>
        </row>
        <row r="2978">
          <cell r="A2978" t="str">
            <v>MR002966</v>
          </cell>
          <cell r="B2978" t="str">
            <v>MR</v>
          </cell>
          <cell r="C2978">
            <v>7.5</v>
          </cell>
          <cell r="D2978">
            <v>63</v>
          </cell>
          <cell r="E2978" t="str">
            <v>R87</v>
          </cell>
          <cell r="F2978">
            <v>1140</v>
          </cell>
          <cell r="G2978">
            <v>23.4</v>
          </cell>
          <cell r="H2978">
            <v>1.35</v>
          </cell>
          <cell r="I2978" t="str">
            <v>M1</v>
          </cell>
          <cell r="J2978" t="str">
            <v>IE3</v>
          </cell>
          <cell r="K2978" t="str">
            <v>400/690</v>
          </cell>
          <cell r="L2978">
            <v>50</v>
          </cell>
          <cell r="M2978" t="str">
            <v>15,2/8,8</v>
          </cell>
          <cell r="N2978">
            <v>65</v>
          </cell>
          <cell r="O2978" t="str">
            <v>155(F)</v>
          </cell>
          <cell r="P2978" t="str">
            <v>270°</v>
          </cell>
          <cell r="Q2978" t="str">
            <v>-</v>
          </cell>
          <cell r="R2978" t="str">
            <v>-</v>
          </cell>
          <cell r="S2978" t="str">
            <v>-</v>
          </cell>
          <cell r="T2978" t="str">
            <v>-</v>
          </cell>
          <cell r="U2978" t="str">
            <v>-</v>
          </cell>
          <cell r="V2978" t="str">
            <v>D+R</v>
          </cell>
          <cell r="W2978" t="str">
            <v>-</v>
          </cell>
          <cell r="X2978" t="str">
            <v>CLP 220 (-15/+40°C)</v>
          </cell>
          <cell r="Y2978" t="str">
            <v>R87DRN132M4</v>
          </cell>
          <cell r="Z2978" t="str">
            <v>SEW</v>
          </cell>
          <cell r="AB2978" t="str">
            <v>-</v>
          </cell>
          <cell r="AF2978">
            <v>63</v>
          </cell>
          <cell r="AG2978" t="str">
            <v>DRN132M4</v>
          </cell>
          <cell r="AH2978" t="str">
            <v>R87-DRN132M4270-X</v>
          </cell>
        </row>
        <row r="2979">
          <cell r="A2979" t="str">
            <v>MR002967</v>
          </cell>
          <cell r="B2979" t="str">
            <v>MR</v>
          </cell>
          <cell r="C2979">
            <v>18.5</v>
          </cell>
          <cell r="D2979">
            <v>60</v>
          </cell>
          <cell r="E2979" t="str">
            <v>KH97</v>
          </cell>
          <cell r="F2979">
            <v>2950</v>
          </cell>
          <cell r="G2979">
            <v>24.75</v>
          </cell>
          <cell r="H2979">
            <v>1.45</v>
          </cell>
          <cell r="I2979" t="str">
            <v>From M4B to M1B -25°</v>
          </cell>
          <cell r="J2979" t="str">
            <v>IE3</v>
          </cell>
          <cell r="K2979" t="str">
            <v>400/690</v>
          </cell>
          <cell r="L2979">
            <v>50</v>
          </cell>
          <cell r="M2979" t="str">
            <v>33,5/19,3</v>
          </cell>
          <cell r="N2979">
            <v>65</v>
          </cell>
          <cell r="O2979" t="str">
            <v>155(F)</v>
          </cell>
          <cell r="P2979" t="str">
            <v>270°</v>
          </cell>
          <cell r="Q2979" t="str">
            <v>TF</v>
          </cell>
          <cell r="R2979" t="str">
            <v>V(VE)</v>
          </cell>
          <cell r="S2979" t="str">
            <v>Free rotation CW</v>
          </cell>
          <cell r="T2979" t="str">
            <v>-</v>
          </cell>
          <cell r="U2979" t="str">
            <v>T</v>
          </cell>
          <cell r="V2979" t="str">
            <v>FC</v>
          </cell>
          <cell r="W2979" t="str">
            <v>-</v>
          </cell>
          <cell r="X2979" t="str">
            <v>CLP 220 (-15/+40°C)</v>
          </cell>
          <cell r="Y2979" t="str">
            <v>KH97/T DRN180M4 /RS /TF/V</v>
          </cell>
          <cell r="Z2979" t="str">
            <v>SEW</v>
          </cell>
          <cell r="AB2979" t="str">
            <v>-</v>
          </cell>
          <cell r="AF2979">
            <v>60</v>
          </cell>
          <cell r="AG2979" t="str">
            <v>DRN180M4</v>
          </cell>
          <cell r="AH2979" t="str">
            <v>KH97T-DRN180M4B270-X#</v>
          </cell>
        </row>
        <row r="2980">
          <cell r="A2980" t="str">
            <v>MR002968</v>
          </cell>
          <cell r="B2980" t="str">
            <v>MR</v>
          </cell>
          <cell r="C2980">
            <v>18.5</v>
          </cell>
          <cell r="D2980">
            <v>60</v>
          </cell>
          <cell r="E2980" t="str">
            <v>KH97</v>
          </cell>
          <cell r="F2980">
            <v>2950</v>
          </cell>
          <cell r="G2980">
            <v>24.75</v>
          </cell>
          <cell r="H2980">
            <v>1.45</v>
          </cell>
          <cell r="I2980" t="str">
            <v>M4A</v>
          </cell>
          <cell r="J2980" t="str">
            <v>IE3</v>
          </cell>
          <cell r="K2980" t="str">
            <v>400/690</v>
          </cell>
          <cell r="L2980">
            <v>50</v>
          </cell>
          <cell r="M2980" t="str">
            <v>33,5/19,3</v>
          </cell>
          <cell r="N2980">
            <v>65</v>
          </cell>
          <cell r="O2980" t="str">
            <v>155(F)</v>
          </cell>
          <cell r="P2980" t="str">
            <v>270°</v>
          </cell>
          <cell r="Q2980" t="str">
            <v>TF</v>
          </cell>
          <cell r="R2980" t="str">
            <v>V(VE)</v>
          </cell>
          <cell r="S2980" t="str">
            <v>-</v>
          </cell>
          <cell r="T2980" t="str">
            <v>-</v>
          </cell>
          <cell r="U2980" t="str">
            <v>T</v>
          </cell>
          <cell r="V2980" t="str">
            <v>FC</v>
          </cell>
          <cell r="W2980" t="str">
            <v>-</v>
          </cell>
          <cell r="X2980" t="str">
            <v>CLP 220 (-15/+40°C)</v>
          </cell>
          <cell r="Y2980" t="str">
            <v>KH97/T DRN180M4 /TF/V</v>
          </cell>
          <cell r="Z2980" t="str">
            <v>SEW</v>
          </cell>
          <cell r="AB2980" t="str">
            <v>-</v>
          </cell>
          <cell r="AF2980">
            <v>60</v>
          </cell>
          <cell r="AG2980" t="str">
            <v>DRN180M4</v>
          </cell>
          <cell r="AH2980" t="str">
            <v>KH97T-DRN180M4A270-X#</v>
          </cell>
        </row>
        <row r="2981">
          <cell r="A2981" t="str">
            <v>MR002969</v>
          </cell>
          <cell r="B2981" t="str">
            <v>MR</v>
          </cell>
          <cell r="C2981">
            <v>5.5</v>
          </cell>
          <cell r="D2981">
            <v>62</v>
          </cell>
          <cell r="E2981" t="str">
            <v>R87</v>
          </cell>
          <cell r="F2981">
            <v>840</v>
          </cell>
          <cell r="G2981">
            <v>23.4</v>
          </cell>
          <cell r="H2981">
            <v>1.45</v>
          </cell>
          <cell r="I2981" t="str">
            <v>M1</v>
          </cell>
          <cell r="J2981" t="str">
            <v>IE3</v>
          </cell>
          <cell r="K2981" t="str">
            <v>240/415</v>
          </cell>
          <cell r="L2981">
            <v>50</v>
          </cell>
          <cell r="M2981" t="str">
            <v>17,4/10,1</v>
          </cell>
          <cell r="N2981">
            <v>65</v>
          </cell>
          <cell r="O2981" t="str">
            <v>155(F)</v>
          </cell>
          <cell r="P2981" t="str">
            <v>270°</v>
          </cell>
          <cell r="Q2981" t="str">
            <v>TF</v>
          </cell>
          <cell r="R2981" t="str">
            <v>-</v>
          </cell>
          <cell r="S2981" t="str">
            <v>-</v>
          </cell>
          <cell r="T2981" t="str">
            <v>-</v>
          </cell>
          <cell r="U2981" t="str">
            <v>-</v>
          </cell>
          <cell r="V2981" t="str">
            <v>D</v>
          </cell>
          <cell r="W2981" t="str">
            <v>-</v>
          </cell>
          <cell r="X2981" t="str">
            <v>CLP HC 220 (-25/+60°C)</v>
          </cell>
          <cell r="Y2981" t="str">
            <v>R87/II2GDEDRN132S4/3D/KCC/TF/AL</v>
          </cell>
          <cell r="Z2981" t="str">
            <v>SEW</v>
          </cell>
          <cell r="AB2981" t="str">
            <v>ATEX22</v>
          </cell>
          <cell r="AF2981">
            <v>62</v>
          </cell>
          <cell r="AG2981" t="str">
            <v>EDRN132S4</v>
          </cell>
          <cell r="AH2981" t="str">
            <v>R87-EDRN132S4270-X</v>
          </cell>
        </row>
        <row r="2982">
          <cell r="A2982" t="str">
            <v>MR002970</v>
          </cell>
          <cell r="B2982" t="str">
            <v>MR</v>
          </cell>
          <cell r="C2982">
            <v>3</v>
          </cell>
          <cell r="D2982">
            <v>118</v>
          </cell>
          <cell r="E2982" t="str">
            <v>R77</v>
          </cell>
          <cell r="F2982">
            <v>245</v>
          </cell>
          <cell r="G2982">
            <v>12.33</v>
          </cell>
          <cell r="H2982">
            <v>2.2999999999999998</v>
          </cell>
          <cell r="I2982" t="str">
            <v>From M1 to M4 - 10°</v>
          </cell>
          <cell r="J2982" t="str">
            <v>IE3</v>
          </cell>
          <cell r="K2982" t="str">
            <v>240/415</v>
          </cell>
          <cell r="L2982">
            <v>50</v>
          </cell>
          <cell r="M2982" t="str">
            <v>10,7/6,2</v>
          </cell>
          <cell r="N2982">
            <v>65</v>
          </cell>
          <cell r="O2982" t="str">
            <v>155(F)</v>
          </cell>
          <cell r="P2982" t="str">
            <v>270°</v>
          </cell>
          <cell r="Q2982" t="str">
            <v>TF</v>
          </cell>
          <cell r="R2982" t="str">
            <v>-</v>
          </cell>
          <cell r="S2982" t="str">
            <v>-</v>
          </cell>
          <cell r="T2982" t="str">
            <v>-</v>
          </cell>
          <cell r="U2982" t="str">
            <v>-</v>
          </cell>
          <cell r="V2982" t="str">
            <v>D</v>
          </cell>
          <cell r="W2982" t="str">
            <v>-</v>
          </cell>
          <cell r="X2982" t="str">
            <v>CLP HC 220 (-25/+60°C)</v>
          </cell>
          <cell r="Y2982" t="str">
            <v>R77/II2GDEDRN100L4/3D/KCC/TF/AL/C</v>
          </cell>
          <cell r="Z2982" t="str">
            <v>SEW</v>
          </cell>
          <cell r="AB2982" t="str">
            <v>ATEX22</v>
          </cell>
          <cell r="AF2982">
            <v>118</v>
          </cell>
          <cell r="AG2982" t="str">
            <v>EDRN100L4</v>
          </cell>
          <cell r="AH2982" t="str">
            <v>R77-EDRN100L4270-X</v>
          </cell>
        </row>
        <row r="2983">
          <cell r="A2983" t="str">
            <v>MR002971</v>
          </cell>
          <cell r="B2983" t="str">
            <v>MR</v>
          </cell>
          <cell r="C2983">
            <v>9.1999999999999993</v>
          </cell>
          <cell r="D2983">
            <v>119</v>
          </cell>
          <cell r="E2983" t="str">
            <v>R97</v>
          </cell>
          <cell r="F2983">
            <v>740</v>
          </cell>
          <cell r="G2983">
            <v>12.39</v>
          </cell>
          <cell r="H2983">
            <v>2.6</v>
          </cell>
          <cell r="I2983" t="str">
            <v>M4</v>
          </cell>
          <cell r="J2983" t="str">
            <v>IE3</v>
          </cell>
          <cell r="K2983">
            <v>415</v>
          </cell>
          <cell r="L2983">
            <v>50</v>
          </cell>
          <cell r="M2983">
            <v>18</v>
          </cell>
          <cell r="N2983">
            <v>65</v>
          </cell>
          <cell r="O2983" t="str">
            <v>155(F)</v>
          </cell>
          <cell r="P2983" t="str">
            <v>270°</v>
          </cell>
          <cell r="Q2983" t="str">
            <v>TF</v>
          </cell>
          <cell r="R2983" t="str">
            <v>-</v>
          </cell>
          <cell r="S2983" t="str">
            <v>-</v>
          </cell>
          <cell r="T2983" t="str">
            <v>-</v>
          </cell>
          <cell r="U2983" t="str">
            <v>-</v>
          </cell>
          <cell r="V2983" t="str">
            <v>D</v>
          </cell>
          <cell r="W2983" t="str">
            <v>-</v>
          </cell>
          <cell r="X2983" t="str">
            <v>CLP HC 220 (-25/+60°C)</v>
          </cell>
          <cell r="Y2983" t="str">
            <v>R97/II2GDEDRN132L4/3D/TF/AL/C</v>
          </cell>
          <cell r="Z2983" t="str">
            <v>SEW</v>
          </cell>
          <cell r="AB2983" t="str">
            <v>ATEX22</v>
          </cell>
          <cell r="AF2983">
            <v>119</v>
          </cell>
          <cell r="AG2983" t="str">
            <v>EDRN132L4</v>
          </cell>
          <cell r="AH2983" t="str">
            <v>R97-EDRN132L4270-X</v>
          </cell>
        </row>
        <row r="2984">
          <cell r="A2984" t="str">
            <v>MR002972</v>
          </cell>
          <cell r="B2984" t="str">
            <v>MR</v>
          </cell>
          <cell r="C2984">
            <v>5.5</v>
          </cell>
          <cell r="D2984">
            <v>62</v>
          </cell>
          <cell r="E2984" t="str">
            <v>R87</v>
          </cell>
          <cell r="F2984">
            <v>840</v>
          </cell>
          <cell r="G2984">
            <v>23.4</v>
          </cell>
          <cell r="H2984">
            <v>1.45</v>
          </cell>
          <cell r="I2984" t="str">
            <v>From M1 to M4 - 15°</v>
          </cell>
          <cell r="J2984" t="str">
            <v>IE3</v>
          </cell>
          <cell r="K2984" t="str">
            <v>240/415</v>
          </cell>
          <cell r="L2984">
            <v>50</v>
          </cell>
          <cell r="M2984" t="str">
            <v>17,4/10,1</v>
          </cell>
          <cell r="N2984">
            <v>65</v>
          </cell>
          <cell r="O2984" t="str">
            <v>155(F)</v>
          </cell>
          <cell r="P2984" t="str">
            <v>270°</v>
          </cell>
          <cell r="Q2984" t="str">
            <v>TF</v>
          </cell>
          <cell r="R2984" t="str">
            <v>-</v>
          </cell>
          <cell r="S2984" t="str">
            <v>-</v>
          </cell>
          <cell r="T2984" t="str">
            <v>-</v>
          </cell>
          <cell r="U2984" t="str">
            <v>-</v>
          </cell>
          <cell r="V2984" t="str">
            <v>D</v>
          </cell>
          <cell r="W2984" t="str">
            <v>-</v>
          </cell>
          <cell r="X2984" t="str">
            <v>CLP HC 220 (-25/+60°C)</v>
          </cell>
          <cell r="Y2984" t="str">
            <v>R87/II2GDEDRN132S4/3D/KCC/TF/AL/C</v>
          </cell>
          <cell r="Z2984" t="str">
            <v>SEW</v>
          </cell>
          <cell r="AB2984" t="str">
            <v>ATEX22</v>
          </cell>
          <cell r="AF2984">
            <v>62</v>
          </cell>
          <cell r="AG2984" t="str">
            <v>EDRN132S4</v>
          </cell>
          <cell r="AH2984" t="str">
            <v>R87-EDRN132S4270-X</v>
          </cell>
        </row>
        <row r="2985">
          <cell r="A2985" t="str">
            <v>MR002973</v>
          </cell>
          <cell r="B2985" t="str">
            <v>MR</v>
          </cell>
          <cell r="C2985">
            <v>5.5</v>
          </cell>
          <cell r="D2985">
            <v>76</v>
          </cell>
          <cell r="E2985" t="str">
            <v>R87</v>
          </cell>
          <cell r="F2985">
            <v>685</v>
          </cell>
          <cell r="G2985">
            <v>19.100000000000001</v>
          </cell>
          <cell r="H2985">
            <v>1.7</v>
          </cell>
          <cell r="I2985" t="str">
            <v>From M1 to M4 - 15°</v>
          </cell>
          <cell r="J2985" t="str">
            <v>IE3</v>
          </cell>
          <cell r="K2985" t="str">
            <v>240/415</v>
          </cell>
          <cell r="L2985">
            <v>50</v>
          </cell>
          <cell r="M2985" t="str">
            <v>17,4/10,1</v>
          </cell>
          <cell r="N2985">
            <v>65</v>
          </cell>
          <cell r="O2985" t="str">
            <v>155(F)</v>
          </cell>
          <cell r="P2985" t="str">
            <v>270°</v>
          </cell>
          <cell r="Q2985" t="str">
            <v>TF</v>
          </cell>
          <cell r="R2985" t="str">
            <v>-</v>
          </cell>
          <cell r="S2985" t="str">
            <v>-</v>
          </cell>
          <cell r="T2985" t="str">
            <v>-</v>
          </cell>
          <cell r="U2985" t="str">
            <v>-</v>
          </cell>
          <cell r="V2985" t="str">
            <v>D</v>
          </cell>
          <cell r="W2985" t="str">
            <v>-</v>
          </cell>
          <cell r="X2985" t="str">
            <v>CLP HC 220 (-25/+60°C)</v>
          </cell>
          <cell r="Y2985" t="str">
            <v>R87/II2GDEDRN132S4/3D/KCC/TF/AL/C</v>
          </cell>
          <cell r="Z2985" t="str">
            <v>SEW</v>
          </cell>
          <cell r="AB2985" t="str">
            <v>ATEX22</v>
          </cell>
          <cell r="AF2985">
            <v>76</v>
          </cell>
          <cell r="AG2985" t="str">
            <v>EDRN132S4</v>
          </cell>
          <cell r="AH2985" t="str">
            <v>R87-EDRN132S4270-X</v>
          </cell>
        </row>
        <row r="2986">
          <cell r="A2986" t="str">
            <v>MR002974</v>
          </cell>
          <cell r="B2986" t="str">
            <v>MR</v>
          </cell>
          <cell r="C2986">
            <v>7.5</v>
          </cell>
          <cell r="D2986">
            <v>68</v>
          </cell>
          <cell r="E2986" t="str">
            <v>R87</v>
          </cell>
          <cell r="F2986">
            <v>1050</v>
          </cell>
          <cell r="G2986">
            <v>21.51</v>
          </cell>
          <cell r="H2986">
            <v>1.1499999999999999</v>
          </cell>
          <cell r="I2986" t="str">
            <v>From M1 to M4 - 10°</v>
          </cell>
          <cell r="J2986" t="str">
            <v>IE3</v>
          </cell>
          <cell r="K2986">
            <v>415</v>
          </cell>
          <cell r="L2986">
            <v>50</v>
          </cell>
          <cell r="M2986">
            <v>14.7</v>
          </cell>
          <cell r="N2986">
            <v>65</v>
          </cell>
          <cell r="O2986" t="str">
            <v>155(F)</v>
          </cell>
          <cell r="P2986" t="str">
            <v>270°</v>
          </cell>
          <cell r="Q2986" t="str">
            <v>TF</v>
          </cell>
          <cell r="R2986" t="str">
            <v>-</v>
          </cell>
          <cell r="S2986" t="str">
            <v>-</v>
          </cell>
          <cell r="T2986" t="str">
            <v>-</v>
          </cell>
          <cell r="U2986" t="str">
            <v>-</v>
          </cell>
          <cell r="V2986" t="str">
            <v>D</v>
          </cell>
          <cell r="W2986" t="str">
            <v>-</v>
          </cell>
          <cell r="X2986" t="str">
            <v>CLP HC 220 (-25/+60°C)</v>
          </cell>
          <cell r="Y2986" t="str">
            <v>R87/II2GDEDRN132M4/3D/TF/AL/C</v>
          </cell>
          <cell r="Z2986" t="str">
            <v>SEW</v>
          </cell>
          <cell r="AB2986" t="str">
            <v>ATEX22</v>
          </cell>
          <cell r="AF2986">
            <v>68</v>
          </cell>
          <cell r="AG2986" t="str">
            <v>EDRN132M4</v>
          </cell>
          <cell r="AH2986" t="str">
            <v>R87-EDRN132M4270-X</v>
          </cell>
        </row>
        <row r="2987">
          <cell r="A2987" t="str">
            <v>MR002975</v>
          </cell>
          <cell r="B2987" t="str">
            <v>ME</v>
          </cell>
          <cell r="C2987">
            <v>45</v>
          </cell>
          <cell r="D2987">
            <v>1478</v>
          </cell>
          <cell r="E2987" t="str">
            <v>1LE1503</v>
          </cell>
          <cell r="F2987">
            <v>291.39999999999998</v>
          </cell>
          <cell r="I2987" t="str">
            <v>V1/B5</v>
          </cell>
          <cell r="J2987" t="str">
            <v>IE3</v>
          </cell>
          <cell r="K2987">
            <v>400</v>
          </cell>
          <cell r="L2987">
            <v>50</v>
          </cell>
          <cell r="M2987">
            <v>80</v>
          </cell>
          <cell r="N2987">
            <v>65</v>
          </cell>
          <cell r="O2987" t="str">
            <v>155(F)</v>
          </cell>
          <cell r="P2987" t="str">
            <v>-</v>
          </cell>
          <cell r="Q2987" t="str">
            <v>TF</v>
          </cell>
          <cell r="R2987" t="str">
            <v>-</v>
          </cell>
          <cell r="S2987" t="str">
            <v>-</v>
          </cell>
          <cell r="T2987" t="str">
            <v>-</v>
          </cell>
          <cell r="U2987" t="str">
            <v>-</v>
          </cell>
          <cell r="V2987" t="str">
            <v>D</v>
          </cell>
          <cell r="W2987" t="str">
            <v>YES</v>
          </cell>
          <cell r="X2987" t="str">
            <v>-</v>
          </cell>
          <cell r="Y2987" t="str">
            <v>1LE1503-2BB23-4GB4-Z H20+Q02</v>
          </cell>
          <cell r="Z2987" t="str">
            <v>SIEMENS</v>
          </cell>
          <cell r="AB2987" t="str">
            <v>-</v>
          </cell>
          <cell r="AF2987">
            <v>1478</v>
          </cell>
          <cell r="AG2987" t="str">
            <v>DRN225M4</v>
          </cell>
          <cell r="AH2987" t="str">
            <v>1LE1503-DRN225M4B--X</v>
          </cell>
        </row>
        <row r="2988">
          <cell r="A2988" t="str">
            <v>MR002976</v>
          </cell>
          <cell r="B2988" t="str">
            <v>ME</v>
          </cell>
          <cell r="C2988">
            <v>4</v>
          </cell>
          <cell r="D2988">
            <v>2950</v>
          </cell>
          <cell r="E2988" t="str">
            <v>1LE1003</v>
          </cell>
          <cell r="F2988">
            <v>12.9</v>
          </cell>
          <cell r="I2988" t="str">
            <v>B5</v>
          </cell>
          <cell r="J2988" t="str">
            <v>IE3</v>
          </cell>
          <cell r="K2988">
            <v>400</v>
          </cell>
          <cell r="L2988">
            <v>50</v>
          </cell>
          <cell r="M2988">
            <v>7.4</v>
          </cell>
          <cell r="N2988">
            <v>65</v>
          </cell>
          <cell r="O2988" t="str">
            <v>155(F)</v>
          </cell>
          <cell r="P2988" t="str">
            <v>-</v>
          </cell>
          <cell r="Q2988" t="str">
            <v>TF</v>
          </cell>
          <cell r="R2988" t="str">
            <v>-</v>
          </cell>
          <cell r="S2988" t="str">
            <v>-</v>
          </cell>
          <cell r="T2988" t="str">
            <v>-</v>
          </cell>
          <cell r="U2988" t="str">
            <v>-</v>
          </cell>
          <cell r="V2988" t="str">
            <v>D</v>
          </cell>
          <cell r="W2988" t="str">
            <v>YES</v>
          </cell>
          <cell r="X2988" t="str">
            <v>-</v>
          </cell>
          <cell r="Y2988" t="str">
            <v>1LE1003-1BA22-2FB4-Z H20+Q02</v>
          </cell>
          <cell r="Z2988" t="str">
            <v>SIEMENS</v>
          </cell>
          <cell r="AB2988" t="str">
            <v>-</v>
          </cell>
          <cell r="AF2988">
            <v>2950</v>
          </cell>
          <cell r="AG2988" t="str">
            <v>DRN112M4</v>
          </cell>
          <cell r="AH2988" t="str">
            <v>1LE1003-DRN112M4B--X</v>
          </cell>
        </row>
        <row r="2989">
          <cell r="A2989" t="str">
            <v>MR002977</v>
          </cell>
          <cell r="B2989" t="str">
            <v>MR</v>
          </cell>
          <cell r="C2989">
            <v>2.2000000000000002</v>
          </cell>
          <cell r="D2989">
            <v>72</v>
          </cell>
          <cell r="E2989" t="str">
            <v>KH49</v>
          </cell>
          <cell r="F2989">
            <v>290</v>
          </cell>
          <cell r="G2989">
            <v>20.03</v>
          </cell>
          <cell r="H2989">
            <v>1.7</v>
          </cell>
          <cell r="I2989" t="str">
            <v>M1B</v>
          </cell>
          <cell r="J2989" t="str">
            <v>IE3</v>
          </cell>
          <cell r="K2989" t="str">
            <v>230/400</v>
          </cell>
          <cell r="L2989">
            <v>50</v>
          </cell>
          <cell r="M2989" t="str">
            <v>8,3/4,75</v>
          </cell>
          <cell r="N2989">
            <v>65</v>
          </cell>
          <cell r="O2989" t="str">
            <v>155(F)</v>
          </cell>
          <cell r="P2989" t="str">
            <v>270°</v>
          </cell>
          <cell r="Q2989" t="str">
            <v>TF</v>
          </cell>
          <cell r="R2989" t="str">
            <v>-</v>
          </cell>
          <cell r="S2989" t="str">
            <v>-</v>
          </cell>
          <cell r="T2989" t="str">
            <v>-</v>
          </cell>
          <cell r="U2989" t="str">
            <v>T</v>
          </cell>
          <cell r="V2989" t="str">
            <v>D</v>
          </cell>
          <cell r="W2989" t="str">
            <v>YES</v>
          </cell>
          <cell r="X2989" t="str">
            <v>CLP HC 150 (-30/+50°C)</v>
          </cell>
          <cell r="Y2989" t="str">
            <v>KH49/T DRN100LS4 /TF</v>
          </cell>
          <cell r="Z2989" t="str">
            <v>SEW</v>
          </cell>
          <cell r="AB2989" t="str">
            <v>-</v>
          </cell>
          <cell r="AF2989">
            <v>72</v>
          </cell>
          <cell r="AG2989" t="str">
            <v>DRN100LS4</v>
          </cell>
          <cell r="AH2989" t="str">
            <v>KH49T-DRN100LS4B270-X</v>
          </cell>
        </row>
        <row r="2990">
          <cell r="A2990" t="str">
            <v>MR002978</v>
          </cell>
          <cell r="B2990" t="str">
            <v>MR</v>
          </cell>
          <cell r="C2990">
            <v>9.1999999999999993</v>
          </cell>
          <cell r="D2990">
            <v>47</v>
          </cell>
          <cell r="E2990" t="str">
            <v>KH87</v>
          </cell>
          <cell r="F2990">
            <v>1880</v>
          </cell>
          <cell r="G2990">
            <v>31.39</v>
          </cell>
          <cell r="H2990">
            <v>1.45</v>
          </cell>
          <cell r="I2990" t="str">
            <v>M4B</v>
          </cell>
          <cell r="J2990" t="str">
            <v>IE3</v>
          </cell>
          <cell r="K2990" t="str">
            <v>400/690</v>
          </cell>
          <cell r="L2990">
            <v>50</v>
          </cell>
          <cell r="M2990" t="str">
            <v>18,7/10,8</v>
          </cell>
          <cell r="N2990">
            <v>65</v>
          </cell>
          <cell r="O2990" t="str">
            <v>155(F)</v>
          </cell>
          <cell r="P2990" t="str">
            <v>270°</v>
          </cell>
          <cell r="Q2990" t="str">
            <v>TF</v>
          </cell>
          <cell r="R2990" t="str">
            <v>-</v>
          </cell>
          <cell r="S2990" t="str">
            <v>Free rotation CW</v>
          </cell>
          <cell r="T2990" t="str">
            <v>-</v>
          </cell>
          <cell r="U2990" t="str">
            <v>T</v>
          </cell>
          <cell r="V2990" t="str">
            <v>SS</v>
          </cell>
          <cell r="W2990" t="str">
            <v>YES</v>
          </cell>
          <cell r="X2990" t="str">
            <v>CLP HC 150 (-30/+50°C)</v>
          </cell>
          <cell r="Y2990" t="str">
            <v>KH87/T DRN132L4 /RS /TF</v>
          </cell>
          <cell r="Z2990" t="str">
            <v>SEW</v>
          </cell>
          <cell r="AB2990" t="str">
            <v>-</v>
          </cell>
          <cell r="AF2990">
            <v>47</v>
          </cell>
          <cell r="AG2990" t="str">
            <v>DRN132L4</v>
          </cell>
          <cell r="AH2990" t="str">
            <v>KH87T-DRN132L4B270-X</v>
          </cell>
        </row>
        <row r="2991">
          <cell r="A2991" t="str">
            <v>MR002979</v>
          </cell>
          <cell r="B2991" t="str">
            <v>MR</v>
          </cell>
          <cell r="C2991">
            <v>9.1999999999999993</v>
          </cell>
          <cell r="D2991">
            <v>47</v>
          </cell>
          <cell r="E2991" t="str">
            <v>KH87</v>
          </cell>
          <cell r="F2991">
            <v>1880</v>
          </cell>
          <cell r="G2991">
            <v>31.39</v>
          </cell>
          <cell r="H2991">
            <v>1.45</v>
          </cell>
          <cell r="I2991" t="str">
            <v>M4B</v>
          </cell>
          <cell r="J2991" t="str">
            <v>IE3</v>
          </cell>
          <cell r="K2991" t="str">
            <v>400/690</v>
          </cell>
          <cell r="L2991">
            <v>50</v>
          </cell>
          <cell r="M2991" t="str">
            <v>18,7/10,8</v>
          </cell>
          <cell r="N2991">
            <v>65</v>
          </cell>
          <cell r="O2991" t="str">
            <v>155(F)</v>
          </cell>
          <cell r="P2991" t="str">
            <v>270°</v>
          </cell>
          <cell r="Q2991" t="str">
            <v>TF</v>
          </cell>
          <cell r="R2991" t="str">
            <v>-</v>
          </cell>
          <cell r="S2991" t="str">
            <v>-</v>
          </cell>
          <cell r="T2991" t="str">
            <v>-</v>
          </cell>
          <cell r="U2991" t="str">
            <v>T</v>
          </cell>
          <cell r="V2991" t="str">
            <v>SS</v>
          </cell>
          <cell r="W2991" t="str">
            <v>YES</v>
          </cell>
          <cell r="X2991" t="str">
            <v>CLP HC 150 (-30/+50°C)</v>
          </cell>
          <cell r="Y2991" t="str">
            <v>KH87/T DRN132L4 /TF</v>
          </cell>
          <cell r="Z2991" t="str">
            <v>SEW</v>
          </cell>
          <cell r="AB2991" t="str">
            <v>-</v>
          </cell>
          <cell r="AF2991">
            <v>47</v>
          </cell>
          <cell r="AG2991" t="str">
            <v>DRN132L4</v>
          </cell>
          <cell r="AH2991" t="str">
            <v>KH87T-DRN132L4B270-X</v>
          </cell>
        </row>
        <row r="2992">
          <cell r="A2992" t="str">
            <v>MR002980</v>
          </cell>
          <cell r="B2992" t="str">
            <v>MR</v>
          </cell>
          <cell r="C2992">
            <v>0.75</v>
          </cell>
          <cell r="D2992">
            <v>162</v>
          </cell>
          <cell r="E2992" t="str">
            <v>KA37</v>
          </cell>
          <cell r="F2992">
            <v>44</v>
          </cell>
          <cell r="G2992">
            <v>8.91</v>
          </cell>
          <cell r="H2992">
            <v>3.6</v>
          </cell>
          <cell r="I2992" t="str">
            <v>From M1B to M2B - 15°</v>
          </cell>
          <cell r="J2992" t="str">
            <v>IE3</v>
          </cell>
          <cell r="K2992" t="str">
            <v>230/400</v>
          </cell>
          <cell r="L2992">
            <v>50</v>
          </cell>
          <cell r="M2992" t="str">
            <v>3,05/1,75</v>
          </cell>
          <cell r="N2992">
            <v>65</v>
          </cell>
          <cell r="O2992" t="str">
            <v>155(F)</v>
          </cell>
          <cell r="P2992" t="str">
            <v>0°</v>
          </cell>
          <cell r="Q2992" t="str">
            <v>TF</v>
          </cell>
          <cell r="R2992" t="str">
            <v>-</v>
          </cell>
          <cell r="S2992" t="str">
            <v>-</v>
          </cell>
          <cell r="T2992" t="str">
            <v>-</v>
          </cell>
          <cell r="U2992" t="str">
            <v>T</v>
          </cell>
          <cell r="V2992" t="str">
            <v>D</v>
          </cell>
          <cell r="W2992" t="str">
            <v>YES</v>
          </cell>
          <cell r="X2992" t="str">
            <v>CLP HC 150 (-30/+50°C)</v>
          </cell>
          <cell r="Y2992" t="str">
            <v>KA37/T DRN80M4 /TF</v>
          </cell>
          <cell r="Z2992" t="str">
            <v>SEW</v>
          </cell>
          <cell r="AB2992" t="str">
            <v>-</v>
          </cell>
          <cell r="AF2992">
            <v>162</v>
          </cell>
          <cell r="AG2992" t="str">
            <v>DRN80M4</v>
          </cell>
          <cell r="AH2992" t="str">
            <v>KA37T-DRN80M4B0-X</v>
          </cell>
        </row>
        <row r="2993">
          <cell r="A2993" t="str">
            <v>MR002981</v>
          </cell>
          <cell r="B2993" t="str">
            <v>MR</v>
          </cell>
          <cell r="C2993">
            <v>15</v>
          </cell>
          <cell r="D2993">
            <v>48</v>
          </cell>
          <cell r="E2993" t="str">
            <v>KH97</v>
          </cell>
          <cell r="F2993">
            <v>3000</v>
          </cell>
          <cell r="G2993">
            <v>30.82</v>
          </cell>
          <cell r="H2993">
            <v>1.45</v>
          </cell>
          <cell r="I2993" t="str">
            <v>M4B</v>
          </cell>
          <cell r="J2993" t="str">
            <v>IE3</v>
          </cell>
          <cell r="K2993" t="str">
            <v>400/690</v>
          </cell>
          <cell r="L2993">
            <v>50</v>
          </cell>
          <cell r="M2993" t="str">
            <v>29/16,7</v>
          </cell>
          <cell r="N2993">
            <v>65</v>
          </cell>
          <cell r="O2993" t="str">
            <v>155(F)</v>
          </cell>
          <cell r="P2993" t="str">
            <v>270°</v>
          </cell>
          <cell r="Q2993" t="str">
            <v>TF</v>
          </cell>
          <cell r="R2993" t="str">
            <v>-</v>
          </cell>
          <cell r="S2993" t="str">
            <v>Free rotation CW</v>
          </cell>
          <cell r="T2993" t="str">
            <v>-</v>
          </cell>
          <cell r="U2993" t="str">
            <v>T</v>
          </cell>
          <cell r="V2993" t="str">
            <v>SS</v>
          </cell>
          <cell r="W2993" t="str">
            <v>YES</v>
          </cell>
          <cell r="X2993" t="str">
            <v>CLP HC 150 (-30/+50°C)</v>
          </cell>
          <cell r="Y2993" t="str">
            <v>KH97/T DRN160L4 /RS /TF</v>
          </cell>
          <cell r="Z2993" t="str">
            <v>SEW</v>
          </cell>
          <cell r="AB2993" t="str">
            <v>-</v>
          </cell>
          <cell r="AF2993">
            <v>48</v>
          </cell>
          <cell r="AG2993" t="str">
            <v>DRN160L4</v>
          </cell>
          <cell r="AH2993" t="str">
            <v>KH97T-DRN160L4B270-X</v>
          </cell>
        </row>
        <row r="2994">
          <cell r="A2994" t="str">
            <v>MR002982</v>
          </cell>
          <cell r="B2994" t="str">
            <v>MR</v>
          </cell>
          <cell r="C2994">
            <v>15</v>
          </cell>
          <cell r="D2994">
            <v>48</v>
          </cell>
          <cell r="E2994" t="str">
            <v>KH97</v>
          </cell>
          <cell r="F2994">
            <v>3000</v>
          </cell>
          <cell r="G2994">
            <v>30.82</v>
          </cell>
          <cell r="H2994">
            <v>1.45</v>
          </cell>
          <cell r="I2994" t="str">
            <v>M4B</v>
          </cell>
          <cell r="J2994" t="str">
            <v>IE3</v>
          </cell>
          <cell r="K2994" t="str">
            <v>400/690</v>
          </cell>
          <cell r="L2994">
            <v>50</v>
          </cell>
          <cell r="M2994" t="str">
            <v>29/16,7</v>
          </cell>
          <cell r="N2994">
            <v>65</v>
          </cell>
          <cell r="O2994" t="str">
            <v>155(F)</v>
          </cell>
          <cell r="P2994" t="str">
            <v>270°</v>
          </cell>
          <cell r="Q2994" t="str">
            <v>TF</v>
          </cell>
          <cell r="R2994" t="str">
            <v>-</v>
          </cell>
          <cell r="S2994" t="str">
            <v>-</v>
          </cell>
          <cell r="T2994" t="str">
            <v>-</v>
          </cell>
          <cell r="U2994" t="str">
            <v>T</v>
          </cell>
          <cell r="V2994" t="str">
            <v>SS</v>
          </cell>
          <cell r="W2994" t="str">
            <v>YES</v>
          </cell>
          <cell r="X2994" t="str">
            <v>CLP HC 150 (-30/+50°C)</v>
          </cell>
          <cell r="Y2994" t="str">
            <v>KH97/T DRN160L4 /TF</v>
          </cell>
          <cell r="Z2994" t="str">
            <v>SEW</v>
          </cell>
          <cell r="AB2994" t="str">
            <v>-</v>
          </cell>
          <cell r="AF2994">
            <v>48</v>
          </cell>
          <cell r="AG2994" t="str">
            <v>DRN160L4</v>
          </cell>
          <cell r="AH2994" t="str">
            <v>KH97T-DRN160L4B270-X</v>
          </cell>
        </row>
        <row r="2995">
          <cell r="A2995" t="str">
            <v>MR002983</v>
          </cell>
          <cell r="B2995" t="str">
            <v>MR</v>
          </cell>
          <cell r="C2995">
            <v>3</v>
          </cell>
          <cell r="D2995">
            <v>73</v>
          </cell>
          <cell r="E2995" t="str">
            <v>KH49</v>
          </cell>
          <cell r="F2995">
            <v>395</v>
          </cell>
          <cell r="G2995">
            <v>20.03</v>
          </cell>
          <cell r="H2995">
            <v>1.25</v>
          </cell>
          <cell r="I2995" t="str">
            <v>M1B</v>
          </cell>
          <cell r="J2995" t="str">
            <v>IE3</v>
          </cell>
          <cell r="K2995" t="str">
            <v>230/400</v>
          </cell>
          <cell r="L2995">
            <v>50</v>
          </cell>
          <cell r="M2995" t="str">
            <v>11,2/6,4</v>
          </cell>
          <cell r="N2995">
            <v>65</v>
          </cell>
          <cell r="O2995" t="str">
            <v>155(F)</v>
          </cell>
          <cell r="P2995" t="str">
            <v>270°</v>
          </cell>
          <cell r="Q2995" t="str">
            <v>TF</v>
          </cell>
          <cell r="R2995" t="str">
            <v>-</v>
          </cell>
          <cell r="S2995" t="str">
            <v>-</v>
          </cell>
          <cell r="T2995" t="str">
            <v>-</v>
          </cell>
          <cell r="U2995" t="str">
            <v>T</v>
          </cell>
          <cell r="V2995" t="str">
            <v>D</v>
          </cell>
          <cell r="W2995" t="str">
            <v>YES</v>
          </cell>
          <cell r="X2995" t="str">
            <v>CLP HC 150 (-30/+50°C)</v>
          </cell>
          <cell r="Y2995" t="str">
            <v>KH49/T DRN100L4 /TF</v>
          </cell>
          <cell r="Z2995" t="str">
            <v>SEW</v>
          </cell>
          <cell r="AB2995" t="str">
            <v>-</v>
          </cell>
          <cell r="AF2995">
            <v>73</v>
          </cell>
          <cell r="AG2995" t="str">
            <v>DRN100L4</v>
          </cell>
          <cell r="AH2995" t="str">
            <v>KH49T-DRN100L4B270-X</v>
          </cell>
        </row>
        <row r="2996">
          <cell r="A2996" t="str">
            <v>MR002984</v>
          </cell>
          <cell r="B2996" t="str">
            <v>MR</v>
          </cell>
          <cell r="C2996">
            <v>15</v>
          </cell>
          <cell r="D2996">
            <v>9.8000000000000007</v>
          </cell>
          <cell r="E2996" t="str">
            <v>KH157</v>
          </cell>
          <cell r="F2996">
            <v>14600</v>
          </cell>
          <cell r="G2996">
            <v>150.41</v>
          </cell>
          <cell r="H2996">
            <v>1.35</v>
          </cell>
          <cell r="I2996" t="str">
            <v>From M4A to M1A - 15°</v>
          </cell>
          <cell r="J2996" t="str">
            <v>IE3</v>
          </cell>
          <cell r="K2996" t="str">
            <v>400/690</v>
          </cell>
          <cell r="L2996">
            <v>50</v>
          </cell>
          <cell r="M2996" t="str">
            <v>29/16,7</v>
          </cell>
          <cell r="N2996">
            <v>65</v>
          </cell>
          <cell r="O2996" t="str">
            <v>155(F)</v>
          </cell>
          <cell r="P2996" t="str">
            <v>270°</v>
          </cell>
          <cell r="Q2996" t="str">
            <v>TF</v>
          </cell>
          <cell r="R2996" t="str">
            <v>-</v>
          </cell>
          <cell r="S2996" t="str">
            <v>-</v>
          </cell>
          <cell r="T2996" t="str">
            <v>-</v>
          </cell>
          <cell r="U2996" t="str">
            <v>-</v>
          </cell>
          <cell r="V2996" t="str">
            <v>SS</v>
          </cell>
          <cell r="W2996" t="str">
            <v>YES</v>
          </cell>
          <cell r="X2996" t="str">
            <v>CLP HC 150 (-30/+50°C)</v>
          </cell>
          <cell r="Y2996" t="str">
            <v>KH157DRN160L4 /TF</v>
          </cell>
          <cell r="Z2996" t="str">
            <v>SEW</v>
          </cell>
          <cell r="AB2996" t="str">
            <v>-</v>
          </cell>
          <cell r="AF2996">
            <v>9.8000000000000007</v>
          </cell>
          <cell r="AG2996" t="str">
            <v>DRN160L4</v>
          </cell>
          <cell r="AH2996" t="str">
            <v>KH157-DRN160L4A270-X</v>
          </cell>
        </row>
        <row r="2997">
          <cell r="A2997" t="str">
            <v>MR002985</v>
          </cell>
          <cell r="B2997" t="str">
            <v>MR</v>
          </cell>
          <cell r="C2997">
            <v>15</v>
          </cell>
          <cell r="D2997">
            <v>9.8000000000000007</v>
          </cell>
          <cell r="E2997" t="str">
            <v>KH157</v>
          </cell>
          <cell r="F2997">
            <v>14600</v>
          </cell>
          <cell r="G2997">
            <v>150.41</v>
          </cell>
          <cell r="H2997">
            <v>1.35</v>
          </cell>
          <cell r="I2997" t="str">
            <v>From M4B to M1B - 15°</v>
          </cell>
          <cell r="J2997" t="str">
            <v>IE3</v>
          </cell>
          <cell r="K2997" t="str">
            <v>400/690</v>
          </cell>
          <cell r="L2997">
            <v>50</v>
          </cell>
          <cell r="M2997" t="str">
            <v>29/16,7</v>
          </cell>
          <cell r="N2997">
            <v>65</v>
          </cell>
          <cell r="O2997" t="str">
            <v>155(F)</v>
          </cell>
          <cell r="P2997" t="str">
            <v>270°</v>
          </cell>
          <cell r="Q2997" t="str">
            <v>TF</v>
          </cell>
          <cell r="R2997" t="str">
            <v>-</v>
          </cell>
          <cell r="S2997" t="str">
            <v>-</v>
          </cell>
          <cell r="T2997" t="str">
            <v>-</v>
          </cell>
          <cell r="U2997" t="str">
            <v>-</v>
          </cell>
          <cell r="V2997" t="str">
            <v>SS</v>
          </cell>
          <cell r="W2997" t="str">
            <v>YES</v>
          </cell>
          <cell r="X2997" t="str">
            <v>CLP HC 150 (-30/+50°C)</v>
          </cell>
          <cell r="Y2997" t="str">
            <v>KH157DRN160L4 /TF</v>
          </cell>
          <cell r="Z2997" t="str">
            <v>SEW</v>
          </cell>
          <cell r="AB2997" t="str">
            <v>-</v>
          </cell>
          <cell r="AF2997">
            <v>9.8000000000000007</v>
          </cell>
          <cell r="AG2997" t="str">
            <v>DRN160L4</v>
          </cell>
          <cell r="AH2997" t="str">
            <v>KH157-DRN160L4B270-X</v>
          </cell>
        </row>
        <row r="2998">
          <cell r="A2998" t="str">
            <v>MR002986</v>
          </cell>
          <cell r="B2998" t="str">
            <v>MR</v>
          </cell>
          <cell r="C2998">
            <v>7.5</v>
          </cell>
          <cell r="D2998">
            <v>64</v>
          </cell>
          <cell r="E2998" t="str">
            <v>KH77</v>
          </cell>
          <cell r="F2998">
            <v>1130</v>
          </cell>
          <cell r="G2998">
            <v>23.08</v>
          </cell>
          <cell r="H2998">
            <v>1.4</v>
          </cell>
          <cell r="I2998" t="str">
            <v>From M4B to M1B - 15°</v>
          </cell>
          <cell r="J2998" t="str">
            <v>IE3</v>
          </cell>
          <cell r="K2998" t="str">
            <v>400/690</v>
          </cell>
          <cell r="L2998">
            <v>50</v>
          </cell>
          <cell r="M2998" t="str">
            <v>15,2/8,8</v>
          </cell>
          <cell r="N2998">
            <v>65</v>
          </cell>
          <cell r="O2998" t="str">
            <v>155(F)</v>
          </cell>
          <cell r="P2998" t="str">
            <v>270°</v>
          </cell>
          <cell r="Q2998" t="str">
            <v>TF</v>
          </cell>
          <cell r="R2998" t="str">
            <v>-</v>
          </cell>
          <cell r="S2998" t="str">
            <v>-</v>
          </cell>
          <cell r="T2998" t="str">
            <v>-</v>
          </cell>
          <cell r="U2998" t="str">
            <v>T</v>
          </cell>
          <cell r="V2998" t="str">
            <v>SS</v>
          </cell>
          <cell r="W2998" t="str">
            <v>YES</v>
          </cell>
          <cell r="X2998" t="str">
            <v>CLP HC 150 (-30/+50°C)</v>
          </cell>
          <cell r="Y2998" t="str">
            <v>KH77/T DRN132M4 /TF</v>
          </cell>
          <cell r="Z2998" t="str">
            <v>SEW</v>
          </cell>
          <cell r="AB2998" t="str">
            <v>-</v>
          </cell>
          <cell r="AF2998">
            <v>64</v>
          </cell>
          <cell r="AG2998" t="str">
            <v>DRN132M4</v>
          </cell>
          <cell r="AH2998" t="str">
            <v>KH77T-DRN132M4B270-X</v>
          </cell>
        </row>
        <row r="2999">
          <cell r="A2999" t="str">
            <v>MR002987</v>
          </cell>
          <cell r="B2999" t="str">
            <v>MR</v>
          </cell>
          <cell r="C2999">
            <v>0.55000000000000004</v>
          </cell>
          <cell r="D2999">
            <v>3.9</v>
          </cell>
          <cell r="E2999" t="str">
            <v>KA77R37</v>
          </cell>
          <cell r="F2999">
            <v>1230</v>
          </cell>
          <cell r="G2999">
            <v>367</v>
          </cell>
          <cell r="H2999">
            <v>1.25</v>
          </cell>
          <cell r="I2999" t="str">
            <v>M3B</v>
          </cell>
          <cell r="J2999" t="str">
            <v>IE3</v>
          </cell>
          <cell r="K2999" t="str">
            <v>230/400</v>
          </cell>
          <cell r="L2999">
            <v>50</v>
          </cell>
          <cell r="M2999" t="str">
            <v>2,25/1,29</v>
          </cell>
          <cell r="N2999">
            <v>65</v>
          </cell>
          <cell r="O2999" t="str">
            <v>155(F)</v>
          </cell>
          <cell r="P2999" t="str">
            <v>0°</v>
          </cell>
          <cell r="Q2999" t="str">
            <v>TF</v>
          </cell>
          <cell r="R2999" t="str">
            <v>-</v>
          </cell>
          <cell r="S2999" t="str">
            <v>-</v>
          </cell>
          <cell r="T2999" t="str">
            <v>BEHF</v>
          </cell>
          <cell r="U2999" t="str">
            <v>T</v>
          </cell>
          <cell r="V2999" t="str">
            <v>D+R</v>
          </cell>
          <cell r="W2999" t="str">
            <v>YES</v>
          </cell>
          <cell r="X2999" t="str">
            <v>CLP HC 150 (-30/+50°C)</v>
          </cell>
          <cell r="Y2999" t="str">
            <v>KA77R37/T DRN80MK4 /BEHF /TF</v>
          </cell>
          <cell r="Z2999" t="str">
            <v>SEW</v>
          </cell>
          <cell r="AB2999" t="str">
            <v>-</v>
          </cell>
          <cell r="AF2999">
            <v>3.9</v>
          </cell>
          <cell r="AG2999" t="str">
            <v>DRN80MK4</v>
          </cell>
          <cell r="AH2999" t="str">
            <v>KA77R37T-DRN80MK4B0-X</v>
          </cell>
        </row>
        <row r="3000">
          <cell r="A3000" t="str">
            <v>MR002988</v>
          </cell>
          <cell r="B3000" t="str">
            <v>MR</v>
          </cell>
          <cell r="C3000">
            <v>18.5</v>
          </cell>
          <cell r="D3000">
            <v>48</v>
          </cell>
          <cell r="E3000" t="str">
            <v>KH97</v>
          </cell>
          <cell r="F3000">
            <v>3680</v>
          </cell>
          <cell r="G3000">
            <v>30.82</v>
          </cell>
          <cell r="H3000">
            <v>1.1499999999999999</v>
          </cell>
          <cell r="I3000" t="str">
            <v>From M4B to M1B -10°</v>
          </cell>
          <cell r="J3000" t="str">
            <v>IE3</v>
          </cell>
          <cell r="K3000" t="str">
            <v>400/690</v>
          </cell>
          <cell r="L3000">
            <v>50</v>
          </cell>
          <cell r="M3000" t="str">
            <v>33,5/19,3</v>
          </cell>
          <cell r="N3000">
            <v>65</v>
          </cell>
          <cell r="O3000" t="str">
            <v>155(F)</v>
          </cell>
          <cell r="P3000" t="str">
            <v>270°</v>
          </cell>
          <cell r="Q3000" t="str">
            <v>TF</v>
          </cell>
          <cell r="R3000" t="str">
            <v>-</v>
          </cell>
          <cell r="S3000" t="str">
            <v>Free rotation CW</v>
          </cell>
          <cell r="T3000" t="str">
            <v>-</v>
          </cell>
          <cell r="U3000" t="str">
            <v>T</v>
          </cell>
          <cell r="V3000" t="str">
            <v>SS</v>
          </cell>
          <cell r="W3000" t="str">
            <v>YES</v>
          </cell>
          <cell r="X3000" t="str">
            <v>CLP HC 150 (-30/+50°C)</v>
          </cell>
          <cell r="Y3000" t="str">
            <v>KH97/T DRN180M4 /RS /TF</v>
          </cell>
          <cell r="Z3000" t="str">
            <v>SEW</v>
          </cell>
          <cell r="AB3000" t="str">
            <v>-</v>
          </cell>
          <cell r="AF3000">
            <v>48</v>
          </cell>
          <cell r="AG3000" t="str">
            <v>DRN180M4</v>
          </cell>
          <cell r="AH3000" t="str">
            <v>KH97T-DRN180M4B270-X</v>
          </cell>
        </row>
        <row r="3001">
          <cell r="A3001" t="str">
            <v>MR002989</v>
          </cell>
          <cell r="B3001" t="str">
            <v>MR</v>
          </cell>
          <cell r="C3001">
            <v>37</v>
          </cell>
          <cell r="D3001">
            <v>88</v>
          </cell>
          <cell r="E3001" t="str">
            <v>KH107</v>
          </cell>
          <cell r="F3001">
            <v>3990</v>
          </cell>
          <cell r="G3001">
            <v>16.75</v>
          </cell>
          <cell r="H3001">
            <v>1.75</v>
          </cell>
          <cell r="I3001" t="str">
            <v>M4A</v>
          </cell>
          <cell r="J3001" t="str">
            <v>IE3</v>
          </cell>
          <cell r="K3001" t="str">
            <v>400/690</v>
          </cell>
          <cell r="L3001">
            <v>50</v>
          </cell>
          <cell r="M3001" t="str">
            <v>64/37</v>
          </cell>
          <cell r="N3001">
            <v>65</v>
          </cell>
          <cell r="O3001" t="str">
            <v>155(F)</v>
          </cell>
          <cell r="P3001" t="str">
            <v>270°</v>
          </cell>
          <cell r="Q3001" t="str">
            <v>TF</v>
          </cell>
          <cell r="R3001" t="str">
            <v>-</v>
          </cell>
          <cell r="S3001" t="str">
            <v>Free rotation CCW</v>
          </cell>
          <cell r="T3001" t="str">
            <v>-</v>
          </cell>
          <cell r="U3001" t="str">
            <v>T</v>
          </cell>
          <cell r="V3001" t="str">
            <v>SS</v>
          </cell>
          <cell r="W3001" t="str">
            <v>YES</v>
          </cell>
          <cell r="X3001" t="str">
            <v>CLP HC 150 (-30/+50°C)</v>
          </cell>
          <cell r="Y3001" t="str">
            <v>KH107/T DRN225S4 /RS /TF</v>
          </cell>
          <cell r="Z3001" t="str">
            <v>SEW</v>
          </cell>
          <cell r="AB3001" t="str">
            <v>-</v>
          </cell>
          <cell r="AF3001">
            <v>88</v>
          </cell>
          <cell r="AG3001" t="str">
            <v>DRN225S4</v>
          </cell>
          <cell r="AH3001" t="str">
            <v>KH107T-DRN225S4A270-X</v>
          </cell>
        </row>
        <row r="3002">
          <cell r="A3002" t="str">
            <v>MR002990</v>
          </cell>
          <cell r="B3002" t="str">
            <v>MR</v>
          </cell>
          <cell r="C3002">
            <v>9.1999999999999993</v>
          </cell>
          <cell r="D3002">
            <v>59</v>
          </cell>
          <cell r="E3002" t="str">
            <v>KH87</v>
          </cell>
          <cell r="F3002">
            <v>1490</v>
          </cell>
          <cell r="G3002">
            <v>24.92</v>
          </cell>
          <cell r="H3002">
            <v>1.7</v>
          </cell>
          <cell r="I3002" t="str">
            <v>From M4B to M1B - 15°</v>
          </cell>
          <cell r="J3002" t="str">
            <v>IE3</v>
          </cell>
          <cell r="K3002" t="str">
            <v>400/690</v>
          </cell>
          <cell r="L3002">
            <v>50</v>
          </cell>
          <cell r="M3002" t="str">
            <v>18,7/10,8</v>
          </cell>
          <cell r="N3002">
            <v>65</v>
          </cell>
          <cell r="O3002" t="str">
            <v>155(F)</v>
          </cell>
          <cell r="P3002" t="str">
            <v>270°</v>
          </cell>
          <cell r="Q3002" t="str">
            <v>TF</v>
          </cell>
          <cell r="R3002" t="str">
            <v>-</v>
          </cell>
          <cell r="S3002" t="str">
            <v>Free rotation CW</v>
          </cell>
          <cell r="T3002" t="str">
            <v>-</v>
          </cell>
          <cell r="U3002" t="str">
            <v>T</v>
          </cell>
          <cell r="V3002" t="str">
            <v>SS</v>
          </cell>
          <cell r="W3002" t="str">
            <v>YES</v>
          </cell>
          <cell r="X3002" t="str">
            <v>CLP HC 150 (-30/+50°C)</v>
          </cell>
          <cell r="Y3002" t="str">
            <v>KH87/T DRN132L4 /RS /TF</v>
          </cell>
          <cell r="Z3002" t="str">
            <v>SEW</v>
          </cell>
          <cell r="AB3002" t="str">
            <v>-</v>
          </cell>
          <cell r="AF3002">
            <v>59</v>
          </cell>
          <cell r="AG3002" t="str">
            <v>DRN132L4</v>
          </cell>
          <cell r="AH3002" t="str">
            <v>KH87T-DRN132L4B270-X</v>
          </cell>
        </row>
        <row r="3003">
          <cell r="A3003" t="str">
            <v>MR002991</v>
          </cell>
          <cell r="B3003" t="str">
            <v>MR</v>
          </cell>
          <cell r="C3003">
            <v>22</v>
          </cell>
          <cell r="D3003">
            <v>45</v>
          </cell>
          <cell r="E3003" t="str">
            <v>KH107</v>
          </cell>
          <cell r="F3003">
            <v>4650</v>
          </cell>
          <cell r="G3003">
            <v>32.69</v>
          </cell>
          <cell r="H3003">
            <v>1.55</v>
          </cell>
          <cell r="I3003" t="str">
            <v>M4A</v>
          </cell>
          <cell r="J3003" t="str">
            <v>IE3</v>
          </cell>
          <cell r="K3003" t="str">
            <v>400/690</v>
          </cell>
          <cell r="L3003">
            <v>50</v>
          </cell>
          <cell r="M3003" t="str">
            <v>38,5/22,5</v>
          </cell>
          <cell r="N3003">
            <v>65</v>
          </cell>
          <cell r="O3003" t="str">
            <v>155(F)</v>
          </cell>
          <cell r="P3003" t="str">
            <v>270°</v>
          </cell>
          <cell r="Q3003" t="str">
            <v>TF</v>
          </cell>
          <cell r="R3003" t="str">
            <v>-</v>
          </cell>
          <cell r="S3003" t="str">
            <v>-</v>
          </cell>
          <cell r="T3003" t="str">
            <v>-</v>
          </cell>
          <cell r="U3003" t="str">
            <v>T</v>
          </cell>
          <cell r="V3003" t="str">
            <v>SS</v>
          </cell>
          <cell r="W3003" t="str">
            <v>YES</v>
          </cell>
          <cell r="X3003" t="str">
            <v>CLP HC 150 (-30/+50°C)</v>
          </cell>
          <cell r="Y3003" t="str">
            <v>KH107/T DRN180L4 /TF</v>
          </cell>
          <cell r="Z3003" t="str">
            <v>SEW</v>
          </cell>
          <cell r="AB3003" t="str">
            <v>-</v>
          </cell>
          <cell r="AF3003">
            <v>45</v>
          </cell>
          <cell r="AG3003" t="str">
            <v>DRN180L4</v>
          </cell>
          <cell r="AH3003" t="str">
            <v>KH107T-DRN180L4A270-X</v>
          </cell>
        </row>
        <row r="3004">
          <cell r="A3004" t="str">
            <v>MR002992</v>
          </cell>
          <cell r="B3004" t="str">
            <v>MR</v>
          </cell>
          <cell r="C3004">
            <v>1.1000000000000001</v>
          </cell>
          <cell r="D3004">
            <v>7.3</v>
          </cell>
          <cell r="E3004" t="str">
            <v>FV77</v>
          </cell>
          <cell r="F3004">
            <v>1430</v>
          </cell>
          <cell r="G3004">
            <v>198.31</v>
          </cell>
          <cell r="H3004">
            <v>1.05</v>
          </cell>
          <cell r="I3004" t="str">
            <v>M5</v>
          </cell>
          <cell r="J3004" t="str">
            <v>IE3</v>
          </cell>
          <cell r="K3004" t="str">
            <v>230/400</v>
          </cell>
          <cell r="L3004">
            <v>50</v>
          </cell>
          <cell r="M3004" t="str">
            <v>4,45/2,55</v>
          </cell>
          <cell r="N3004">
            <v>65</v>
          </cell>
          <cell r="O3004" t="str">
            <v>155(F)</v>
          </cell>
          <cell r="P3004" t="str">
            <v>180°</v>
          </cell>
          <cell r="Q3004" t="str">
            <v>TF</v>
          </cell>
          <cell r="R3004" t="str">
            <v>-</v>
          </cell>
          <cell r="S3004" t="str">
            <v>-</v>
          </cell>
          <cell r="T3004" t="str">
            <v>BEHF</v>
          </cell>
          <cell r="U3004" t="str">
            <v>G</v>
          </cell>
          <cell r="V3004" t="str">
            <v>FC+R</v>
          </cell>
          <cell r="W3004" t="str">
            <v>YES</v>
          </cell>
          <cell r="X3004" t="str">
            <v>CLP HC 150 (-30/+50°C)</v>
          </cell>
          <cell r="Y3004" t="str">
            <v>FV77/G DRN90S4 /BEHF /TF</v>
          </cell>
          <cell r="Z3004" t="str">
            <v>SEW</v>
          </cell>
          <cell r="AB3004" t="str">
            <v>-</v>
          </cell>
          <cell r="AE3004" t="str">
            <v>BROCCIATURA PER FV67-DIN 5480N45x2x30x21xH9</v>
          </cell>
          <cell r="AF3004">
            <v>7.3</v>
          </cell>
          <cell r="AG3004" t="str">
            <v>DRN90S4</v>
          </cell>
          <cell r="AH3004" t="str">
            <v>FV77G-DRN90S4180-X</v>
          </cell>
        </row>
        <row r="3005">
          <cell r="A3005" t="str">
            <v>MR002993</v>
          </cell>
          <cell r="B3005" t="str">
            <v>MR</v>
          </cell>
          <cell r="C3005">
            <v>1.1000000000000001</v>
          </cell>
          <cell r="D3005">
            <v>7.3</v>
          </cell>
          <cell r="E3005" t="str">
            <v>FV77</v>
          </cell>
          <cell r="F3005">
            <v>1430</v>
          </cell>
          <cell r="G3005">
            <v>198.31</v>
          </cell>
          <cell r="H3005">
            <v>1.05</v>
          </cell>
          <cell r="I3005" t="str">
            <v>M6</v>
          </cell>
          <cell r="J3005" t="str">
            <v>IE3</v>
          </cell>
          <cell r="K3005" t="str">
            <v>230/400</v>
          </cell>
          <cell r="L3005">
            <v>50</v>
          </cell>
          <cell r="M3005" t="str">
            <v>4,45/2,55</v>
          </cell>
          <cell r="N3005">
            <v>65</v>
          </cell>
          <cell r="O3005" t="str">
            <v>155(F)</v>
          </cell>
          <cell r="P3005" t="str">
            <v>0°</v>
          </cell>
          <cell r="Q3005" t="str">
            <v>TF</v>
          </cell>
          <cell r="R3005" t="str">
            <v>-</v>
          </cell>
          <cell r="S3005" t="str">
            <v>-</v>
          </cell>
          <cell r="T3005" t="str">
            <v>BEHF</v>
          </cell>
          <cell r="U3005" t="str">
            <v>G</v>
          </cell>
          <cell r="V3005" t="str">
            <v>FC+R</v>
          </cell>
          <cell r="W3005" t="str">
            <v>YES</v>
          </cell>
          <cell r="X3005" t="str">
            <v>CLP HC 150 (-30/+50°C)</v>
          </cell>
          <cell r="Y3005" t="str">
            <v>FV77/G DRN90S4 /BEHF /TF</v>
          </cell>
          <cell r="Z3005" t="str">
            <v>SEW</v>
          </cell>
          <cell r="AB3005" t="str">
            <v>-</v>
          </cell>
          <cell r="AE3005" t="str">
            <v>BROCCIATURA PER FV67-DIN 5480N45x2x30x21xH9</v>
          </cell>
          <cell r="AF3005">
            <v>7.3</v>
          </cell>
          <cell r="AG3005" t="str">
            <v>DRN90S4</v>
          </cell>
          <cell r="AH3005" t="str">
            <v>FV77G-DRN90S40-X</v>
          </cell>
        </row>
        <row r="3006">
          <cell r="A3006" t="str">
            <v>MR002994</v>
          </cell>
          <cell r="B3006" t="str">
            <v>MR</v>
          </cell>
          <cell r="C3006">
            <v>4</v>
          </cell>
          <cell r="D3006">
            <v>138</v>
          </cell>
          <cell r="E3006" t="str">
            <v>KH67</v>
          </cell>
          <cell r="F3006">
            <v>275</v>
          </cell>
          <cell r="G3006">
            <v>10.63</v>
          </cell>
          <cell r="H3006">
            <v>1.8</v>
          </cell>
          <cell r="I3006" t="str">
            <v>M4B</v>
          </cell>
          <cell r="J3006" t="str">
            <v>IE3</v>
          </cell>
          <cell r="K3006" t="str">
            <v>230/400</v>
          </cell>
          <cell r="L3006">
            <v>50</v>
          </cell>
          <cell r="M3006" t="str">
            <v>13,8/7,9</v>
          </cell>
          <cell r="N3006">
            <v>65</v>
          </cell>
          <cell r="O3006" t="str">
            <v>155(F)</v>
          </cell>
          <cell r="P3006" t="str">
            <v>270°</v>
          </cell>
          <cell r="Q3006" t="str">
            <v>TF</v>
          </cell>
          <cell r="R3006" t="str">
            <v>-</v>
          </cell>
          <cell r="S3006" t="str">
            <v>-</v>
          </cell>
          <cell r="T3006" t="str">
            <v>-</v>
          </cell>
          <cell r="U3006" t="str">
            <v>T</v>
          </cell>
          <cell r="V3006" t="str">
            <v>D+R</v>
          </cell>
          <cell r="W3006" t="str">
            <v>YES</v>
          </cell>
          <cell r="X3006" t="str">
            <v>CLP HC 150 (-30/+50°C)</v>
          </cell>
          <cell r="Y3006" t="str">
            <v>KH67/T DRN112M4 /TF</v>
          </cell>
          <cell r="Z3006" t="str">
            <v>SEW</v>
          </cell>
          <cell r="AB3006" t="str">
            <v>-</v>
          </cell>
          <cell r="AF3006">
            <v>138</v>
          </cell>
          <cell r="AG3006" t="str">
            <v>DRN112M4</v>
          </cell>
          <cell r="AH3006" t="str">
            <v>KH67T-DRN112M4B270-X</v>
          </cell>
        </row>
        <row r="3007">
          <cell r="A3007" t="str">
            <v>MR002995</v>
          </cell>
          <cell r="B3007" t="str">
            <v>MR</v>
          </cell>
          <cell r="C3007">
            <v>30</v>
          </cell>
          <cell r="D3007">
            <v>24</v>
          </cell>
          <cell r="E3007" t="str">
            <v>R147</v>
          </cell>
          <cell r="F3007">
            <v>11800</v>
          </cell>
          <cell r="G3007">
            <v>61.09</v>
          </cell>
          <cell r="H3007">
            <v>1.1000000000000001</v>
          </cell>
          <cell r="I3007" t="str">
            <v>M1</v>
          </cell>
          <cell r="J3007" t="str">
            <v>IE3</v>
          </cell>
          <cell r="K3007" t="str">
            <v>400/690</v>
          </cell>
          <cell r="L3007">
            <v>50</v>
          </cell>
          <cell r="M3007" t="str">
            <v>56/32,5</v>
          </cell>
          <cell r="N3007">
            <v>65</v>
          </cell>
          <cell r="O3007" t="str">
            <v>155(F)</v>
          </cell>
          <cell r="P3007" t="str">
            <v>270°</v>
          </cell>
          <cell r="Q3007" t="str">
            <v>TF</v>
          </cell>
          <cell r="R3007" t="str">
            <v>V(VE)</v>
          </cell>
          <cell r="S3007" t="str">
            <v>-</v>
          </cell>
          <cell r="T3007" t="str">
            <v>-</v>
          </cell>
          <cell r="U3007" t="str">
            <v>-</v>
          </cell>
          <cell r="V3007" t="str">
            <v>FC</v>
          </cell>
          <cell r="W3007" t="str">
            <v>YES</v>
          </cell>
          <cell r="X3007" t="str">
            <v>CLP HC 150 (-30/+50°C)</v>
          </cell>
          <cell r="Y3007" t="str">
            <v>R147DRN200L4 /TF/V</v>
          </cell>
          <cell r="Z3007" t="str">
            <v>SEW</v>
          </cell>
          <cell r="AB3007" t="str">
            <v>-</v>
          </cell>
          <cell r="AF3007">
            <v>24</v>
          </cell>
          <cell r="AG3007" t="str">
            <v>DRN200L4</v>
          </cell>
          <cell r="AH3007" t="str">
            <v>R147-DRN200L4270-X#</v>
          </cell>
        </row>
        <row r="3008">
          <cell r="A3008" t="str">
            <v>MR002996</v>
          </cell>
          <cell r="B3008" t="str">
            <v>MR</v>
          </cell>
          <cell r="C3008">
            <v>11</v>
          </cell>
          <cell r="D3008">
            <v>16</v>
          </cell>
          <cell r="E3008" t="str">
            <v>KH107</v>
          </cell>
          <cell r="F3008">
            <v>6490</v>
          </cell>
          <cell r="G3008">
            <v>90.96</v>
          </cell>
          <cell r="H3008">
            <v>1.25</v>
          </cell>
          <cell r="I3008" t="str">
            <v>M4A</v>
          </cell>
          <cell r="J3008" t="str">
            <v>IE3</v>
          </cell>
          <cell r="K3008" t="str">
            <v>400/690</v>
          </cell>
          <cell r="L3008">
            <v>50</v>
          </cell>
          <cell r="M3008" t="str">
            <v>21/12,2</v>
          </cell>
          <cell r="N3008">
            <v>65</v>
          </cell>
          <cell r="O3008" t="str">
            <v>155(F)</v>
          </cell>
          <cell r="P3008" t="str">
            <v>270°</v>
          </cell>
          <cell r="Q3008" t="str">
            <v>TF</v>
          </cell>
          <cell r="R3008" t="str">
            <v>-</v>
          </cell>
          <cell r="S3008" t="str">
            <v>-</v>
          </cell>
          <cell r="T3008" t="str">
            <v>-</v>
          </cell>
          <cell r="U3008" t="str">
            <v>-</v>
          </cell>
          <cell r="V3008" t="str">
            <v>SS</v>
          </cell>
          <cell r="W3008" t="str">
            <v>YES</v>
          </cell>
          <cell r="X3008" t="str">
            <v>CLP HC 150 (-30/+50°C)</v>
          </cell>
          <cell r="Y3008" t="str">
            <v>KH107DRN160M4 /TF</v>
          </cell>
          <cell r="Z3008" t="str">
            <v>SEW</v>
          </cell>
          <cell r="AB3008" t="str">
            <v>-</v>
          </cell>
          <cell r="AF3008">
            <v>16</v>
          </cell>
          <cell r="AG3008" t="str">
            <v>DRN160M4</v>
          </cell>
          <cell r="AH3008" t="str">
            <v>KH107-DRN160M4A270-X</v>
          </cell>
        </row>
        <row r="3009">
          <cell r="A3009" t="str">
            <v>MR002997</v>
          </cell>
          <cell r="B3009" t="str">
            <v>MR</v>
          </cell>
          <cell r="C3009">
            <v>11</v>
          </cell>
          <cell r="D3009">
            <v>16</v>
          </cell>
          <cell r="E3009" t="str">
            <v>KH107</v>
          </cell>
          <cell r="F3009">
            <v>6490</v>
          </cell>
          <cell r="G3009">
            <v>90.96</v>
          </cell>
          <cell r="H3009">
            <v>1.25</v>
          </cell>
          <cell r="I3009" t="str">
            <v>M4B</v>
          </cell>
          <cell r="J3009" t="str">
            <v>IE3</v>
          </cell>
          <cell r="K3009" t="str">
            <v>400/690</v>
          </cell>
          <cell r="L3009">
            <v>50</v>
          </cell>
          <cell r="M3009" t="str">
            <v>21/12,2</v>
          </cell>
          <cell r="N3009">
            <v>65</v>
          </cell>
          <cell r="O3009" t="str">
            <v>155(F)</v>
          </cell>
          <cell r="P3009" t="str">
            <v>270°</v>
          </cell>
          <cell r="Q3009" t="str">
            <v>TF</v>
          </cell>
          <cell r="R3009" t="str">
            <v>-</v>
          </cell>
          <cell r="S3009" t="str">
            <v>-</v>
          </cell>
          <cell r="T3009" t="str">
            <v>-</v>
          </cell>
          <cell r="U3009" t="str">
            <v>-</v>
          </cell>
          <cell r="V3009" t="str">
            <v>SS</v>
          </cell>
          <cell r="W3009" t="str">
            <v>YES</v>
          </cell>
          <cell r="X3009" t="str">
            <v>CLP HC 150 (-30/+50°C)</v>
          </cell>
          <cell r="Y3009" t="str">
            <v>KH107DRN160M4 /TF</v>
          </cell>
          <cell r="Z3009" t="str">
            <v>SEW</v>
          </cell>
          <cell r="AB3009" t="str">
            <v>-</v>
          </cell>
          <cell r="AF3009">
            <v>16</v>
          </cell>
          <cell r="AG3009" t="str">
            <v>DRN160M4</v>
          </cell>
          <cell r="AH3009" t="str">
            <v>KH107-DRN160M4B270-X</v>
          </cell>
        </row>
        <row r="3010">
          <cell r="A3010" t="str">
            <v>MR002998</v>
          </cell>
          <cell r="B3010" t="str">
            <v>MR</v>
          </cell>
          <cell r="C3010">
            <v>22</v>
          </cell>
          <cell r="D3010">
            <v>16</v>
          </cell>
          <cell r="E3010" t="str">
            <v>KH157</v>
          </cell>
          <cell r="F3010">
            <v>13000</v>
          </cell>
          <cell r="G3010">
            <v>91.65</v>
          </cell>
          <cell r="H3010">
            <v>1.55</v>
          </cell>
          <cell r="I3010" t="str">
            <v>From M4A to M1A - 45°</v>
          </cell>
          <cell r="J3010" t="str">
            <v>IE3</v>
          </cell>
          <cell r="K3010" t="str">
            <v>400/690</v>
          </cell>
          <cell r="L3010">
            <v>50</v>
          </cell>
          <cell r="M3010" t="str">
            <v>38,5/22,5</v>
          </cell>
          <cell r="N3010">
            <v>65</v>
          </cell>
          <cell r="O3010" t="str">
            <v>155(F)</v>
          </cell>
          <cell r="P3010" t="str">
            <v>270°</v>
          </cell>
          <cell r="Q3010" t="str">
            <v>TF</v>
          </cell>
          <cell r="R3010" t="str">
            <v>-</v>
          </cell>
          <cell r="S3010" t="str">
            <v>-</v>
          </cell>
          <cell r="T3010" t="str">
            <v>-</v>
          </cell>
          <cell r="U3010" t="str">
            <v>-</v>
          </cell>
          <cell r="V3010" t="str">
            <v>SS</v>
          </cell>
          <cell r="W3010" t="str">
            <v>YES</v>
          </cell>
          <cell r="X3010" t="str">
            <v>CLP HC 150 (-30/+50°C)</v>
          </cell>
          <cell r="Y3010" t="str">
            <v>KH157DRN180L4 /TF</v>
          </cell>
          <cell r="Z3010" t="str">
            <v>SEW</v>
          </cell>
          <cell r="AB3010" t="str">
            <v>-</v>
          </cell>
          <cell r="AF3010">
            <v>16</v>
          </cell>
          <cell r="AG3010" t="str">
            <v>DRN180L4</v>
          </cell>
          <cell r="AH3010" t="str">
            <v>KH157-DRN180L4A270-X</v>
          </cell>
        </row>
        <row r="3011">
          <cell r="A3011" t="str">
            <v>MR002999</v>
          </cell>
          <cell r="B3011" t="str">
            <v>MR</v>
          </cell>
          <cell r="C3011">
            <v>22</v>
          </cell>
          <cell r="D3011">
            <v>16</v>
          </cell>
          <cell r="E3011" t="str">
            <v>KH157</v>
          </cell>
          <cell r="F3011">
            <v>13000</v>
          </cell>
          <cell r="G3011">
            <v>91.65</v>
          </cell>
          <cell r="H3011">
            <v>1.55</v>
          </cell>
          <cell r="I3011" t="str">
            <v>From M4B to M1B - 45°</v>
          </cell>
          <cell r="J3011" t="str">
            <v>IE3</v>
          </cell>
          <cell r="K3011" t="str">
            <v>400/690</v>
          </cell>
          <cell r="L3011">
            <v>50</v>
          </cell>
          <cell r="M3011" t="str">
            <v>38,5/22,5</v>
          </cell>
          <cell r="N3011">
            <v>65</v>
          </cell>
          <cell r="O3011" t="str">
            <v>155(F)</v>
          </cell>
          <cell r="P3011" t="str">
            <v>270°</v>
          </cell>
          <cell r="Q3011" t="str">
            <v>TF</v>
          </cell>
          <cell r="R3011" t="str">
            <v>-</v>
          </cell>
          <cell r="S3011" t="str">
            <v>-</v>
          </cell>
          <cell r="T3011" t="str">
            <v>-</v>
          </cell>
          <cell r="U3011" t="str">
            <v>-</v>
          </cell>
          <cell r="V3011" t="str">
            <v>SS</v>
          </cell>
          <cell r="W3011" t="str">
            <v>YES</v>
          </cell>
          <cell r="X3011" t="str">
            <v>CLP HC 150 (-30/+50°C)</v>
          </cell>
          <cell r="Y3011" t="str">
            <v>KH157DRN180L4 /TF</v>
          </cell>
          <cell r="Z3011" t="str">
            <v>SEW</v>
          </cell>
          <cell r="AB3011" t="str">
            <v>-</v>
          </cell>
          <cell r="AF3011">
            <v>16</v>
          </cell>
          <cell r="AG3011" t="str">
            <v>DRN180L4</v>
          </cell>
          <cell r="AH3011" t="str">
            <v>KH157-DRN180L4B270-X</v>
          </cell>
        </row>
        <row r="3012">
          <cell r="A3012" t="str">
            <v>MR003000</v>
          </cell>
          <cell r="B3012" t="str">
            <v>MR</v>
          </cell>
          <cell r="C3012">
            <v>11</v>
          </cell>
          <cell r="D3012">
            <v>62</v>
          </cell>
          <cell r="E3012" t="str">
            <v>FH87</v>
          </cell>
          <cell r="F3012">
            <v>1690</v>
          </cell>
          <cell r="G3012">
            <v>23.68</v>
          </cell>
          <cell r="H3012">
            <v>1.8</v>
          </cell>
          <cell r="I3012" t="str">
            <v>M1</v>
          </cell>
          <cell r="J3012" t="str">
            <v>IE3</v>
          </cell>
          <cell r="K3012" t="str">
            <v>400/690</v>
          </cell>
          <cell r="L3012">
            <v>50</v>
          </cell>
          <cell r="M3012" t="str">
            <v>21/12,2</v>
          </cell>
          <cell r="N3012">
            <v>65</v>
          </cell>
          <cell r="O3012" t="str">
            <v>155(F)</v>
          </cell>
          <cell r="P3012" t="str">
            <v>270°</v>
          </cell>
          <cell r="Q3012" t="str">
            <v>TF</v>
          </cell>
          <cell r="R3012" t="str">
            <v>-</v>
          </cell>
          <cell r="S3012" t="str">
            <v>-</v>
          </cell>
          <cell r="T3012" t="str">
            <v>-</v>
          </cell>
          <cell r="U3012" t="str">
            <v>G</v>
          </cell>
          <cell r="V3012" t="str">
            <v>D+R</v>
          </cell>
          <cell r="W3012" t="str">
            <v>YES</v>
          </cell>
          <cell r="X3012" t="str">
            <v>CLP HC 150 (-30/+50°C)</v>
          </cell>
          <cell r="Y3012" t="str">
            <v>FH87/G DRN160M4 /TF</v>
          </cell>
          <cell r="Z3012" t="str">
            <v>SEW</v>
          </cell>
          <cell r="AB3012" t="str">
            <v>-</v>
          </cell>
          <cell r="AF3012">
            <v>62</v>
          </cell>
          <cell r="AG3012" t="str">
            <v>DRN160M4</v>
          </cell>
          <cell r="AH3012" t="str">
            <v>FH87G-DRN160M4270-X</v>
          </cell>
        </row>
        <row r="3013">
          <cell r="A3013" t="str">
            <v>MR003001</v>
          </cell>
          <cell r="B3013" t="str">
            <v>MR</v>
          </cell>
          <cell r="C3013">
            <v>1.5</v>
          </cell>
          <cell r="D3013">
            <v>22</v>
          </cell>
          <cell r="E3013" t="str">
            <v>FA67</v>
          </cell>
          <cell r="F3013">
            <v>665</v>
          </cell>
          <cell r="G3013">
            <v>67.650000000000006</v>
          </cell>
          <cell r="H3013">
            <v>1.25</v>
          </cell>
          <cell r="I3013" t="str">
            <v>M5</v>
          </cell>
          <cell r="J3013" t="str">
            <v>IE3</v>
          </cell>
          <cell r="K3013" t="str">
            <v>230/400</v>
          </cell>
          <cell r="L3013">
            <v>50</v>
          </cell>
          <cell r="M3013" t="str">
            <v>5,9/3,4</v>
          </cell>
          <cell r="N3013">
            <v>65</v>
          </cell>
          <cell r="O3013" t="str">
            <v>155(F)</v>
          </cell>
          <cell r="P3013" t="str">
            <v>270°</v>
          </cell>
          <cell r="Q3013" t="str">
            <v>TF</v>
          </cell>
          <cell r="R3013" t="str">
            <v>-</v>
          </cell>
          <cell r="S3013" t="str">
            <v>-</v>
          </cell>
          <cell r="T3013" t="str">
            <v>BEHF</v>
          </cell>
          <cell r="U3013" t="str">
            <v>G</v>
          </cell>
          <cell r="V3013" t="str">
            <v>D+R</v>
          </cell>
          <cell r="W3013" t="str">
            <v>YES</v>
          </cell>
          <cell r="X3013" t="str">
            <v>CLP HC 150 (-30/+50°C)</v>
          </cell>
          <cell r="Y3013" t="str">
            <v>FA67/G DRN90L4 /BEHF /TF</v>
          </cell>
          <cell r="Z3013" t="str">
            <v>SEW</v>
          </cell>
          <cell r="AB3013" t="str">
            <v>-</v>
          </cell>
          <cell r="AF3013">
            <v>22</v>
          </cell>
          <cell r="AG3013" t="str">
            <v>DRN90L4</v>
          </cell>
          <cell r="AH3013" t="str">
            <v>FA67G-DRN90L4270-X</v>
          </cell>
        </row>
        <row r="3014">
          <cell r="A3014" t="str">
            <v>MR003002</v>
          </cell>
          <cell r="B3014" t="str">
            <v>MR</v>
          </cell>
          <cell r="C3014">
            <v>11</v>
          </cell>
          <cell r="D3014">
            <v>62</v>
          </cell>
          <cell r="E3014" t="str">
            <v>FH87</v>
          </cell>
          <cell r="F3014">
            <v>1690</v>
          </cell>
          <cell r="G3014">
            <v>23.68</v>
          </cell>
          <cell r="H3014">
            <v>1.8</v>
          </cell>
          <cell r="I3014" t="str">
            <v>M1</v>
          </cell>
          <cell r="J3014" t="str">
            <v>IE3</v>
          </cell>
          <cell r="K3014" t="str">
            <v>400/690</v>
          </cell>
          <cell r="L3014">
            <v>50</v>
          </cell>
          <cell r="M3014" t="str">
            <v>21/12,2</v>
          </cell>
          <cell r="N3014">
            <v>65</v>
          </cell>
          <cell r="O3014" t="str">
            <v>155(F)</v>
          </cell>
          <cell r="P3014" t="str">
            <v>270°</v>
          </cell>
          <cell r="Q3014" t="str">
            <v>TF</v>
          </cell>
          <cell r="R3014" t="str">
            <v>-</v>
          </cell>
          <cell r="S3014" t="str">
            <v>-</v>
          </cell>
          <cell r="T3014" t="str">
            <v>-</v>
          </cell>
          <cell r="U3014" t="str">
            <v>G</v>
          </cell>
          <cell r="V3014" t="str">
            <v>D</v>
          </cell>
          <cell r="W3014" t="str">
            <v>YES</v>
          </cell>
          <cell r="X3014" t="str">
            <v>CLP HC 150 (-30/+50°C)</v>
          </cell>
          <cell r="Y3014" t="str">
            <v>FH87/G DRN160M4 /TF</v>
          </cell>
          <cell r="Z3014" t="str">
            <v>SEW</v>
          </cell>
          <cell r="AB3014" t="str">
            <v>-</v>
          </cell>
          <cell r="AF3014">
            <v>62</v>
          </cell>
          <cell r="AG3014" t="str">
            <v>DRN160M4</v>
          </cell>
          <cell r="AH3014" t="str">
            <v>FH87G-DRN160M4270-X</v>
          </cell>
        </row>
        <row r="3015">
          <cell r="A3015" t="str">
            <v>MR003003</v>
          </cell>
          <cell r="B3015" t="str">
            <v>MR</v>
          </cell>
          <cell r="C3015">
            <v>4</v>
          </cell>
          <cell r="D3015">
            <v>84</v>
          </cell>
          <cell r="E3015" t="str">
            <v>FH77</v>
          </cell>
          <cell r="F3015">
            <v>455</v>
          </cell>
          <cell r="G3015">
            <v>17.489999999999998</v>
          </cell>
          <cell r="H3015">
            <v>3.3</v>
          </cell>
          <cell r="I3015" t="str">
            <v>From M1 to M2 - 15°</v>
          </cell>
          <cell r="J3015" t="str">
            <v>IE3</v>
          </cell>
          <cell r="K3015" t="str">
            <v>230/400</v>
          </cell>
          <cell r="L3015">
            <v>50</v>
          </cell>
          <cell r="M3015" t="str">
            <v>13,8/7,9</v>
          </cell>
          <cell r="N3015">
            <v>65</v>
          </cell>
          <cell r="O3015" t="str">
            <v>155(F)</v>
          </cell>
          <cell r="P3015" t="str">
            <v>270°</v>
          </cell>
          <cell r="Q3015" t="str">
            <v>TF</v>
          </cell>
          <cell r="R3015" t="str">
            <v>-</v>
          </cell>
          <cell r="S3015" t="str">
            <v>-</v>
          </cell>
          <cell r="T3015" t="str">
            <v>-</v>
          </cell>
          <cell r="U3015" t="str">
            <v>G</v>
          </cell>
          <cell r="V3015" t="str">
            <v>D</v>
          </cell>
          <cell r="W3015" t="str">
            <v>YES</v>
          </cell>
          <cell r="X3015" t="str">
            <v>CLP HC 150 (-30/+50°C)</v>
          </cell>
          <cell r="Y3015" t="str">
            <v>FH77/G DRN112M4 /TF</v>
          </cell>
          <cell r="Z3015" t="str">
            <v>SEW</v>
          </cell>
          <cell r="AB3015" t="str">
            <v>-</v>
          </cell>
          <cell r="AF3015">
            <v>84</v>
          </cell>
          <cell r="AG3015" t="str">
            <v>DRN112M4</v>
          </cell>
          <cell r="AH3015" t="str">
            <v>FH77G-DRN112M4270-X</v>
          </cell>
        </row>
        <row r="3016">
          <cell r="A3016" t="str">
            <v>MR003004</v>
          </cell>
          <cell r="B3016" t="str">
            <v>MR</v>
          </cell>
          <cell r="C3016">
            <v>30</v>
          </cell>
          <cell r="D3016">
            <v>32</v>
          </cell>
          <cell r="E3016" t="str">
            <v>R147</v>
          </cell>
          <cell r="F3016">
            <v>9030</v>
          </cell>
          <cell r="G3016">
            <v>46.65</v>
          </cell>
          <cell r="H3016">
            <v>1.45</v>
          </cell>
          <cell r="I3016" t="str">
            <v>M1</v>
          </cell>
          <cell r="J3016" t="str">
            <v>IE3</v>
          </cell>
          <cell r="K3016" t="str">
            <v>400/690</v>
          </cell>
          <cell r="L3016">
            <v>50</v>
          </cell>
          <cell r="M3016" t="str">
            <v>56/32,5</v>
          </cell>
          <cell r="N3016">
            <v>65</v>
          </cell>
          <cell r="O3016" t="str">
            <v>155(F)</v>
          </cell>
          <cell r="P3016" t="str">
            <v>270°</v>
          </cell>
          <cell r="Q3016" t="str">
            <v>TF</v>
          </cell>
          <cell r="R3016" t="str">
            <v>-</v>
          </cell>
          <cell r="S3016" t="str">
            <v>Free rotation CW</v>
          </cell>
          <cell r="T3016" t="str">
            <v>-</v>
          </cell>
          <cell r="U3016" t="str">
            <v>-</v>
          </cell>
          <cell r="V3016" t="str">
            <v>SS</v>
          </cell>
          <cell r="W3016" t="str">
            <v>YES</v>
          </cell>
          <cell r="X3016" t="str">
            <v>CLP HC 150 (-30/+50°C)</v>
          </cell>
          <cell r="Y3016" t="str">
            <v>R147DRN200L4 /RS /TF</v>
          </cell>
          <cell r="Z3016" t="str">
            <v>SEW</v>
          </cell>
          <cell r="AB3016" t="str">
            <v>-</v>
          </cell>
          <cell r="AF3016">
            <v>32</v>
          </cell>
          <cell r="AG3016" t="str">
            <v>DRN200L4</v>
          </cell>
          <cell r="AH3016" t="str">
            <v>R147-DRN200L4270-X</v>
          </cell>
        </row>
        <row r="3017">
          <cell r="A3017" t="str">
            <v>MR003005</v>
          </cell>
          <cell r="B3017" t="str">
            <v>MR</v>
          </cell>
          <cell r="C3017">
            <v>11</v>
          </cell>
          <cell r="D3017">
            <v>48</v>
          </cell>
          <cell r="E3017" t="str">
            <v>FH97</v>
          </cell>
          <cell r="F3017">
            <v>2170</v>
          </cell>
          <cell r="G3017">
            <v>30.39</v>
          </cell>
          <cell r="H3017">
            <v>2</v>
          </cell>
          <cell r="I3017" t="str">
            <v>M1</v>
          </cell>
          <cell r="J3017" t="str">
            <v>IE3</v>
          </cell>
          <cell r="K3017" t="str">
            <v>400/690</v>
          </cell>
          <cell r="L3017">
            <v>50</v>
          </cell>
          <cell r="M3017" t="str">
            <v>21/12,2</v>
          </cell>
          <cell r="N3017">
            <v>65</v>
          </cell>
          <cell r="O3017" t="str">
            <v>155(F)</v>
          </cell>
          <cell r="P3017" t="str">
            <v>270°</v>
          </cell>
          <cell r="Q3017" t="str">
            <v>TF</v>
          </cell>
          <cell r="R3017" t="str">
            <v>-</v>
          </cell>
          <cell r="S3017" t="str">
            <v>-</v>
          </cell>
          <cell r="T3017" t="str">
            <v>-</v>
          </cell>
          <cell r="U3017" t="str">
            <v>G</v>
          </cell>
          <cell r="V3017" t="str">
            <v>D</v>
          </cell>
          <cell r="W3017" t="str">
            <v>YES</v>
          </cell>
          <cell r="X3017" t="str">
            <v>CLP HC 150 (-30/+50°C)</v>
          </cell>
          <cell r="Y3017" t="str">
            <v>FH97/G DRN160M4 /TF</v>
          </cell>
          <cell r="Z3017" t="str">
            <v>SEW</v>
          </cell>
          <cell r="AB3017" t="str">
            <v>-</v>
          </cell>
          <cell r="AF3017">
            <v>48</v>
          </cell>
          <cell r="AG3017" t="str">
            <v>DRN160M4</v>
          </cell>
          <cell r="AH3017" t="str">
            <v>FH97G-DRN160M4270-X</v>
          </cell>
        </row>
        <row r="3018">
          <cell r="A3018" t="str">
            <v>MR003006</v>
          </cell>
          <cell r="B3018" t="str">
            <v>MR</v>
          </cell>
          <cell r="C3018">
            <v>0.75</v>
          </cell>
          <cell r="D3018">
            <v>162</v>
          </cell>
          <cell r="E3018" t="str">
            <v>KA37</v>
          </cell>
          <cell r="F3018">
            <v>44</v>
          </cell>
          <cell r="G3018">
            <v>8.91</v>
          </cell>
          <cell r="H3018">
            <v>3.6</v>
          </cell>
          <cell r="I3018" t="str">
            <v>From M1B to M2B - 10°</v>
          </cell>
          <cell r="J3018" t="str">
            <v>IE3</v>
          </cell>
          <cell r="K3018" t="str">
            <v>230/400</v>
          </cell>
          <cell r="L3018">
            <v>50</v>
          </cell>
          <cell r="M3018" t="str">
            <v>3,05/1,75</v>
          </cell>
          <cell r="N3018">
            <v>65</v>
          </cell>
          <cell r="O3018" t="str">
            <v>155(F)</v>
          </cell>
          <cell r="P3018" t="str">
            <v>270°</v>
          </cell>
          <cell r="Q3018" t="str">
            <v>TF</v>
          </cell>
          <cell r="R3018" t="str">
            <v>-</v>
          </cell>
          <cell r="S3018" t="str">
            <v>-</v>
          </cell>
          <cell r="T3018" t="str">
            <v>-</v>
          </cell>
          <cell r="U3018" t="str">
            <v>T</v>
          </cell>
          <cell r="V3018" t="str">
            <v>D</v>
          </cell>
          <cell r="W3018" t="str">
            <v>YES</v>
          </cell>
          <cell r="X3018" t="str">
            <v>CLP HC 150 (-30/+50°C)</v>
          </cell>
          <cell r="Y3018" t="str">
            <v>KA37/T DRN80M4 /TF</v>
          </cell>
          <cell r="Z3018" t="str">
            <v>SEW</v>
          </cell>
          <cell r="AB3018" t="str">
            <v>-</v>
          </cell>
          <cell r="AF3018">
            <v>162</v>
          </cell>
          <cell r="AG3018" t="str">
            <v>DRN80M4</v>
          </cell>
          <cell r="AH3018" t="str">
            <v>KA37T-DRN80M4B270-X</v>
          </cell>
        </row>
        <row r="3019">
          <cell r="A3019" t="str">
            <v>MR003007</v>
          </cell>
          <cell r="B3019" t="str">
            <v>MR</v>
          </cell>
          <cell r="C3019">
            <v>4</v>
          </cell>
          <cell r="D3019">
            <v>57</v>
          </cell>
          <cell r="E3019" t="str">
            <v>FH77</v>
          </cell>
          <cell r="F3019">
            <v>665</v>
          </cell>
          <cell r="G3019">
            <v>25.5</v>
          </cell>
          <cell r="H3019">
            <v>2.2999999999999998</v>
          </cell>
          <cell r="I3019" t="str">
            <v>M1</v>
          </cell>
          <cell r="J3019" t="str">
            <v>IE3</v>
          </cell>
          <cell r="K3019" t="str">
            <v>230/400</v>
          </cell>
          <cell r="L3019">
            <v>50</v>
          </cell>
          <cell r="M3019" t="str">
            <v>13,8/7,9</v>
          </cell>
          <cell r="N3019">
            <v>65</v>
          </cell>
          <cell r="O3019" t="str">
            <v>155(F)</v>
          </cell>
          <cell r="P3019" t="str">
            <v>270°</v>
          </cell>
          <cell r="Q3019" t="str">
            <v>TF</v>
          </cell>
          <cell r="R3019" t="str">
            <v>-</v>
          </cell>
          <cell r="S3019" t="str">
            <v>-</v>
          </cell>
          <cell r="T3019" t="str">
            <v>-</v>
          </cell>
          <cell r="U3019" t="str">
            <v>G</v>
          </cell>
          <cell r="V3019" t="str">
            <v>D</v>
          </cell>
          <cell r="W3019" t="str">
            <v>YES</v>
          </cell>
          <cell r="X3019" t="str">
            <v>CLP HC 150 (-30/+50°C)</v>
          </cell>
          <cell r="Y3019" t="str">
            <v>FH77/G DRN112M4 /TF</v>
          </cell>
          <cell r="Z3019" t="str">
            <v>SEW</v>
          </cell>
          <cell r="AB3019" t="str">
            <v>-</v>
          </cell>
          <cell r="AF3019">
            <v>57</v>
          </cell>
          <cell r="AG3019" t="str">
            <v>DRN112M4</v>
          </cell>
          <cell r="AH3019" t="str">
            <v>FH77G-DRN112M4270-X</v>
          </cell>
        </row>
        <row r="3020">
          <cell r="A3020" t="str">
            <v>MR003008</v>
          </cell>
          <cell r="B3020" t="str">
            <v>MR</v>
          </cell>
          <cell r="C3020">
            <v>7.5</v>
          </cell>
          <cell r="D3020">
            <v>62</v>
          </cell>
          <cell r="E3020" t="str">
            <v>FH87</v>
          </cell>
          <cell r="F3020">
            <v>1160</v>
          </cell>
          <cell r="G3020">
            <v>23.68</v>
          </cell>
          <cell r="H3020">
            <v>2.6</v>
          </cell>
          <cell r="I3020" t="str">
            <v>M1</v>
          </cell>
          <cell r="J3020" t="str">
            <v>IE3</v>
          </cell>
          <cell r="K3020" t="str">
            <v>400/690</v>
          </cell>
          <cell r="L3020">
            <v>50</v>
          </cell>
          <cell r="M3020" t="str">
            <v>15,2/8,8</v>
          </cell>
          <cell r="N3020">
            <v>65</v>
          </cell>
          <cell r="O3020" t="str">
            <v>155(F)</v>
          </cell>
          <cell r="P3020" t="str">
            <v>270°</v>
          </cell>
          <cell r="Q3020" t="str">
            <v>TF</v>
          </cell>
          <cell r="R3020" t="str">
            <v>-</v>
          </cell>
          <cell r="S3020" t="str">
            <v>-</v>
          </cell>
          <cell r="T3020" t="str">
            <v>-</v>
          </cell>
          <cell r="U3020" t="str">
            <v>G</v>
          </cell>
          <cell r="V3020" t="str">
            <v>D</v>
          </cell>
          <cell r="W3020" t="str">
            <v>YES</v>
          </cell>
          <cell r="X3020" t="str">
            <v>CLP HC 150 (-30/+50°C)</v>
          </cell>
          <cell r="Y3020" t="str">
            <v>FH87/G DRN132M4 /TF</v>
          </cell>
          <cell r="Z3020" t="str">
            <v>SEW</v>
          </cell>
          <cell r="AB3020" t="str">
            <v>-</v>
          </cell>
          <cell r="AF3020">
            <v>62</v>
          </cell>
          <cell r="AG3020" t="str">
            <v>DRN132M4</v>
          </cell>
          <cell r="AH3020" t="str">
            <v>FH87G-DRN132M4270-X</v>
          </cell>
        </row>
        <row r="3021">
          <cell r="A3021" t="str">
            <v>MR003009</v>
          </cell>
          <cell r="B3021" t="str">
            <v>MR</v>
          </cell>
          <cell r="C3021">
            <v>5.5</v>
          </cell>
          <cell r="D3021">
            <v>15</v>
          </cell>
          <cell r="E3021" t="str">
            <v>KH97</v>
          </cell>
          <cell r="F3021">
            <v>3480</v>
          </cell>
          <cell r="G3021">
            <v>96.8</v>
          </cell>
          <cell r="H3021">
            <v>1.25</v>
          </cell>
          <cell r="I3021" t="str">
            <v>From M1A to M2A - 20°</v>
          </cell>
          <cell r="J3021" t="str">
            <v>IE3</v>
          </cell>
          <cell r="K3021" t="str">
            <v>230/400</v>
          </cell>
          <cell r="L3021">
            <v>50</v>
          </cell>
          <cell r="M3021" t="str">
            <v>18,2/10,5</v>
          </cell>
          <cell r="N3021">
            <v>65</v>
          </cell>
          <cell r="O3021" t="str">
            <v>155(F)</v>
          </cell>
          <cell r="P3021" t="str">
            <v>270°</v>
          </cell>
          <cell r="Q3021" t="str">
            <v>TF</v>
          </cell>
          <cell r="R3021" t="str">
            <v>-</v>
          </cell>
          <cell r="S3021" t="str">
            <v>-</v>
          </cell>
          <cell r="T3021" t="str">
            <v>-</v>
          </cell>
          <cell r="U3021" t="str">
            <v>-</v>
          </cell>
          <cell r="V3021" t="str">
            <v>SS</v>
          </cell>
          <cell r="W3021" t="str">
            <v>YES</v>
          </cell>
          <cell r="X3021" t="str">
            <v>CLP HC 150 (-30/+50°C)</v>
          </cell>
          <cell r="Y3021" t="str">
            <v>KH97DRN132S4 /TF</v>
          </cell>
          <cell r="Z3021" t="str">
            <v>SEW</v>
          </cell>
          <cell r="AB3021" t="str">
            <v>-</v>
          </cell>
          <cell r="AF3021">
            <v>15</v>
          </cell>
          <cell r="AG3021" t="str">
            <v>DRN132S4</v>
          </cell>
          <cell r="AH3021" t="str">
            <v>KH97-DRN132S4A270-X</v>
          </cell>
        </row>
        <row r="3022">
          <cell r="A3022" t="str">
            <v>MR003010</v>
          </cell>
          <cell r="B3022" t="str">
            <v>MR</v>
          </cell>
          <cell r="C3022">
            <v>18.5</v>
          </cell>
          <cell r="D3022">
            <v>12</v>
          </cell>
          <cell r="E3022" t="str">
            <v>KH157</v>
          </cell>
          <cell r="F3022">
            <v>14600</v>
          </cell>
          <cell r="G3022">
            <v>122.39</v>
          </cell>
          <cell r="H3022">
            <v>1.35</v>
          </cell>
          <cell r="I3022" t="str">
            <v>From M1A to M2A - 45°</v>
          </cell>
          <cell r="J3022" t="str">
            <v>IE3</v>
          </cell>
          <cell r="K3022" t="str">
            <v>400/690</v>
          </cell>
          <cell r="L3022">
            <v>50</v>
          </cell>
          <cell r="M3022" t="str">
            <v>33,5/19,3</v>
          </cell>
          <cell r="N3022">
            <v>65</v>
          </cell>
          <cell r="O3022" t="str">
            <v>155(F)</v>
          </cell>
          <cell r="P3022" t="str">
            <v>270°</v>
          </cell>
          <cell r="Q3022" t="str">
            <v>TF</v>
          </cell>
          <cell r="R3022" t="str">
            <v>V(VE)</v>
          </cell>
          <cell r="S3022" t="str">
            <v>-</v>
          </cell>
          <cell r="T3022" t="str">
            <v>-</v>
          </cell>
          <cell r="U3022" t="str">
            <v>-</v>
          </cell>
          <cell r="V3022" t="str">
            <v>FC</v>
          </cell>
          <cell r="W3022" t="str">
            <v>YES</v>
          </cell>
          <cell r="X3022" t="str">
            <v>CLP HC 150 (-30/+50°C)</v>
          </cell>
          <cell r="Y3022" t="str">
            <v>KH157DRN180M4 /TF/V</v>
          </cell>
          <cell r="Z3022" t="str">
            <v>SEW</v>
          </cell>
          <cell r="AB3022" t="str">
            <v>-</v>
          </cell>
          <cell r="AF3022">
            <v>12</v>
          </cell>
          <cell r="AG3022" t="str">
            <v>DRN180M4</v>
          </cell>
          <cell r="AH3022" t="str">
            <v>KH157-DRN180M4A270-X#</v>
          </cell>
        </row>
        <row r="3023">
          <cell r="A3023" t="str">
            <v>MR003011</v>
          </cell>
          <cell r="B3023" t="str">
            <v>MR</v>
          </cell>
          <cell r="C3023">
            <v>1.5</v>
          </cell>
          <cell r="D3023">
            <v>3.8</v>
          </cell>
          <cell r="E3023" t="str">
            <v>KA97R57</v>
          </cell>
          <cell r="F3023">
            <v>3450</v>
          </cell>
          <cell r="G3023">
            <v>382</v>
          </cell>
          <cell r="H3023">
            <v>1.25</v>
          </cell>
          <cell r="I3023" t="str">
            <v>M3B</v>
          </cell>
          <cell r="J3023" t="str">
            <v>IE3</v>
          </cell>
          <cell r="K3023" t="str">
            <v>230/400</v>
          </cell>
          <cell r="L3023">
            <v>50</v>
          </cell>
          <cell r="M3023" t="str">
            <v>5,9/3,4</v>
          </cell>
          <cell r="N3023">
            <v>65</v>
          </cell>
          <cell r="O3023" t="str">
            <v>155(F)</v>
          </cell>
          <cell r="P3023" t="str">
            <v>0°</v>
          </cell>
          <cell r="Q3023" t="str">
            <v>TF</v>
          </cell>
          <cell r="R3023" t="str">
            <v>-</v>
          </cell>
          <cell r="S3023" t="str">
            <v>-</v>
          </cell>
          <cell r="T3023" t="str">
            <v>BEHF</v>
          </cell>
          <cell r="U3023" t="str">
            <v>T</v>
          </cell>
          <cell r="V3023" t="str">
            <v>D+R</v>
          </cell>
          <cell r="W3023" t="str">
            <v>YES</v>
          </cell>
          <cell r="X3023" t="str">
            <v>CLP HC 150 (-30/+50°C)</v>
          </cell>
          <cell r="Y3023" t="str">
            <v>KA97R57/T DRN90L4 /BEHF /TF</v>
          </cell>
          <cell r="Z3023" t="str">
            <v>SEW</v>
          </cell>
          <cell r="AB3023" t="str">
            <v>-</v>
          </cell>
          <cell r="AF3023">
            <v>3.8</v>
          </cell>
          <cell r="AG3023" t="str">
            <v>DRN90L4</v>
          </cell>
          <cell r="AH3023" t="str">
            <v>KA97R57T-DRN90L4B0-X</v>
          </cell>
        </row>
        <row r="3024">
          <cell r="A3024" t="str">
            <v>MR003012</v>
          </cell>
          <cell r="B3024" t="str">
            <v>MR</v>
          </cell>
          <cell r="C3024">
            <v>22</v>
          </cell>
          <cell r="D3024">
            <v>12</v>
          </cell>
          <cell r="E3024" t="str">
            <v>KH157</v>
          </cell>
          <cell r="F3024">
            <v>17400</v>
          </cell>
          <cell r="G3024">
            <v>122.39</v>
          </cell>
          <cell r="H3024">
            <v>1.1499999999999999</v>
          </cell>
          <cell r="I3024" t="str">
            <v>From M4A to M1A - 20°</v>
          </cell>
          <cell r="J3024" t="str">
            <v>IE3</v>
          </cell>
          <cell r="K3024" t="str">
            <v>400/690</v>
          </cell>
          <cell r="L3024">
            <v>50</v>
          </cell>
          <cell r="M3024" t="str">
            <v>38,5/22,5</v>
          </cell>
          <cell r="N3024">
            <v>65</v>
          </cell>
          <cell r="O3024" t="str">
            <v>155(F)</v>
          </cell>
          <cell r="P3024" t="str">
            <v>270°</v>
          </cell>
          <cell r="Q3024" t="str">
            <v>TF</v>
          </cell>
          <cell r="R3024" t="str">
            <v>V(VE)</v>
          </cell>
          <cell r="S3024" t="str">
            <v>-</v>
          </cell>
          <cell r="T3024" t="str">
            <v>-</v>
          </cell>
          <cell r="U3024" t="str">
            <v>-</v>
          </cell>
          <cell r="V3024" t="str">
            <v>FC</v>
          </cell>
          <cell r="W3024" t="str">
            <v>YES</v>
          </cell>
          <cell r="X3024" t="str">
            <v>CLP HC 150 (-30/+50°C)</v>
          </cell>
          <cell r="Y3024" t="str">
            <v>KH157DRN180L4 /TF/V</v>
          </cell>
          <cell r="Z3024" t="str">
            <v>SEW</v>
          </cell>
          <cell r="AB3024" t="str">
            <v>-</v>
          </cell>
          <cell r="AF3024">
            <v>12</v>
          </cell>
          <cell r="AG3024" t="str">
            <v>DRN180L4</v>
          </cell>
          <cell r="AH3024" t="str">
            <v>KH157-DRN180L4A270-X#</v>
          </cell>
        </row>
        <row r="3025">
          <cell r="A3025" t="str">
            <v>MR003013</v>
          </cell>
          <cell r="B3025" t="str">
            <v>MR</v>
          </cell>
          <cell r="C3025">
            <v>22</v>
          </cell>
          <cell r="D3025">
            <v>12</v>
          </cell>
          <cell r="E3025" t="str">
            <v>KH157</v>
          </cell>
          <cell r="F3025">
            <v>17400</v>
          </cell>
          <cell r="G3025">
            <v>122.39</v>
          </cell>
          <cell r="H3025">
            <v>1.1499999999999999</v>
          </cell>
          <cell r="I3025" t="str">
            <v>From M4B to M1B - 20°</v>
          </cell>
          <cell r="J3025" t="str">
            <v>IE3</v>
          </cell>
          <cell r="K3025" t="str">
            <v>400/690</v>
          </cell>
          <cell r="L3025">
            <v>50</v>
          </cell>
          <cell r="M3025" t="str">
            <v>38,5/22,5</v>
          </cell>
          <cell r="N3025">
            <v>65</v>
          </cell>
          <cell r="O3025" t="str">
            <v>155(F)</v>
          </cell>
          <cell r="P3025" t="str">
            <v>270°</v>
          </cell>
          <cell r="Q3025" t="str">
            <v>TF</v>
          </cell>
          <cell r="R3025" t="str">
            <v>V(VE)</v>
          </cell>
          <cell r="S3025" t="str">
            <v>-</v>
          </cell>
          <cell r="T3025" t="str">
            <v>-</v>
          </cell>
          <cell r="U3025" t="str">
            <v>-</v>
          </cell>
          <cell r="V3025" t="str">
            <v>FC</v>
          </cell>
          <cell r="W3025" t="str">
            <v>YES</v>
          </cell>
          <cell r="X3025" t="str">
            <v>CLP HC 150 (-30/+50°C)</v>
          </cell>
          <cell r="Y3025" t="str">
            <v>KH157DRN180L4 /TF/V</v>
          </cell>
          <cell r="Z3025" t="str">
            <v>SEW</v>
          </cell>
          <cell r="AB3025" t="str">
            <v>-</v>
          </cell>
          <cell r="AF3025">
            <v>12</v>
          </cell>
          <cell r="AG3025" t="str">
            <v>DRN180L4</v>
          </cell>
          <cell r="AH3025" t="str">
            <v>KH157-DRN180L4B270-X#</v>
          </cell>
        </row>
        <row r="3026">
          <cell r="A3026" t="str">
            <v>MR003014</v>
          </cell>
          <cell r="B3026" t="str">
            <v>MR</v>
          </cell>
          <cell r="C3026">
            <v>9.1999999999999993</v>
          </cell>
          <cell r="D3026">
            <v>55</v>
          </cell>
          <cell r="E3026" t="str">
            <v>FH87</v>
          </cell>
          <cell r="F3026">
            <v>1580</v>
          </cell>
          <cell r="G3026">
            <v>26.5</v>
          </cell>
          <cell r="H3026">
            <v>1.9</v>
          </cell>
          <cell r="I3026" t="str">
            <v>M1</v>
          </cell>
          <cell r="J3026" t="str">
            <v>IE3</v>
          </cell>
          <cell r="K3026" t="str">
            <v>400/690</v>
          </cell>
          <cell r="L3026">
            <v>50</v>
          </cell>
          <cell r="M3026" t="str">
            <v>18,7/10,8</v>
          </cell>
          <cell r="N3026">
            <v>65</v>
          </cell>
          <cell r="O3026" t="str">
            <v>155(F)</v>
          </cell>
          <cell r="P3026" t="str">
            <v>270°</v>
          </cell>
          <cell r="Q3026" t="str">
            <v>TF</v>
          </cell>
          <cell r="R3026" t="str">
            <v>-</v>
          </cell>
          <cell r="S3026" t="str">
            <v>-</v>
          </cell>
          <cell r="T3026" t="str">
            <v>-</v>
          </cell>
          <cell r="U3026" t="str">
            <v>G</v>
          </cell>
          <cell r="V3026" t="str">
            <v>D</v>
          </cell>
          <cell r="W3026" t="str">
            <v>YES</v>
          </cell>
          <cell r="X3026" t="str">
            <v>CLP HC 150 (-30/+50°C)</v>
          </cell>
          <cell r="Y3026" t="str">
            <v>FH87/G DRN132L4 /TF</v>
          </cell>
          <cell r="Z3026" t="str">
            <v>SEW</v>
          </cell>
          <cell r="AB3026" t="str">
            <v>-</v>
          </cell>
          <cell r="AF3026">
            <v>55</v>
          </cell>
          <cell r="AG3026" t="str">
            <v>DRN132L4</v>
          </cell>
          <cell r="AH3026" t="str">
            <v>FH87G-DRN132L4270-X</v>
          </cell>
        </row>
        <row r="3027">
          <cell r="A3027" t="str">
            <v>MR003015</v>
          </cell>
          <cell r="B3027" t="str">
            <v>MR</v>
          </cell>
          <cell r="C3027">
            <v>18.5</v>
          </cell>
          <cell r="D3027">
            <v>33</v>
          </cell>
          <cell r="E3027" t="str">
            <v>R137</v>
          </cell>
          <cell r="F3027">
            <v>5310</v>
          </cell>
          <cell r="G3027">
            <v>44.39</v>
          </cell>
          <cell r="H3027">
            <v>1.5</v>
          </cell>
          <cell r="I3027" t="str">
            <v>M1</v>
          </cell>
          <cell r="J3027" t="str">
            <v>IE3</v>
          </cell>
          <cell r="K3027" t="str">
            <v>400/690</v>
          </cell>
          <cell r="L3027">
            <v>50</v>
          </cell>
          <cell r="M3027" t="str">
            <v>33,5/19,3</v>
          </cell>
          <cell r="N3027">
            <v>65</v>
          </cell>
          <cell r="O3027" t="str">
            <v>155(F)</v>
          </cell>
          <cell r="P3027" t="str">
            <v>270°</v>
          </cell>
          <cell r="Q3027" t="str">
            <v>TF</v>
          </cell>
          <cell r="R3027" t="str">
            <v>-</v>
          </cell>
          <cell r="S3027" t="str">
            <v>Free rotation CCW</v>
          </cell>
          <cell r="T3027" t="str">
            <v>-</v>
          </cell>
          <cell r="U3027" t="str">
            <v>-</v>
          </cell>
          <cell r="V3027" t="str">
            <v>SS</v>
          </cell>
          <cell r="W3027" t="str">
            <v>YES</v>
          </cell>
          <cell r="X3027" t="str">
            <v>CLP HC 150 (-30/+50°C)</v>
          </cell>
          <cell r="Y3027" t="str">
            <v>R137DRN180M4 /RS /TF</v>
          </cell>
          <cell r="Z3027" t="str">
            <v>SEW</v>
          </cell>
          <cell r="AB3027" t="str">
            <v>-</v>
          </cell>
          <cell r="AF3027">
            <v>33</v>
          </cell>
          <cell r="AG3027" t="str">
            <v>DRN180M4</v>
          </cell>
          <cell r="AH3027" t="str">
            <v>R137-DRN180M4270-X</v>
          </cell>
        </row>
        <row r="3028">
          <cell r="A3028" t="str">
            <v>MR003016</v>
          </cell>
          <cell r="B3028" t="str">
            <v>MR</v>
          </cell>
          <cell r="C3028">
            <v>22</v>
          </cell>
          <cell r="D3028">
            <v>21</v>
          </cell>
          <cell r="E3028" t="str">
            <v>FH127</v>
          </cell>
          <cell r="F3028">
            <v>9970</v>
          </cell>
          <cell r="G3028">
            <v>70.069999999999993</v>
          </cell>
          <cell r="H3028">
            <v>1.2</v>
          </cell>
          <cell r="I3028" t="str">
            <v>M1</v>
          </cell>
          <cell r="J3028" t="str">
            <v>IE3</v>
          </cell>
          <cell r="K3028" t="str">
            <v>400/690</v>
          </cell>
          <cell r="L3028">
            <v>50</v>
          </cell>
          <cell r="M3028" t="str">
            <v>38,5/22,5</v>
          </cell>
          <cell r="N3028">
            <v>65</v>
          </cell>
          <cell r="O3028" t="str">
            <v>155(F)</v>
          </cell>
          <cell r="P3028" t="str">
            <v>270°</v>
          </cell>
          <cell r="Q3028" t="str">
            <v>TF</v>
          </cell>
          <cell r="R3028" t="str">
            <v>V(VE)</v>
          </cell>
          <cell r="S3028" t="str">
            <v>-</v>
          </cell>
          <cell r="T3028" t="str">
            <v>-</v>
          </cell>
          <cell r="U3028" t="str">
            <v>G</v>
          </cell>
          <cell r="V3028" t="str">
            <v>FC</v>
          </cell>
          <cell r="W3028" t="str">
            <v>YES</v>
          </cell>
          <cell r="X3028" t="str">
            <v>CLP HC 150 (-30/+50°C)</v>
          </cell>
          <cell r="Y3028" t="str">
            <v>FH127/G DRN180L4 /TF/V</v>
          </cell>
          <cell r="Z3028" t="str">
            <v>SEW</v>
          </cell>
          <cell r="AB3028" t="str">
            <v>-</v>
          </cell>
          <cell r="AF3028">
            <v>21</v>
          </cell>
          <cell r="AG3028" t="str">
            <v>DRN180L4</v>
          </cell>
          <cell r="AH3028" t="str">
            <v>FH127G-DRN180L4270-X#</v>
          </cell>
        </row>
        <row r="3029">
          <cell r="A3029" t="str">
            <v>MR003017</v>
          </cell>
          <cell r="B3029" t="str">
            <v>MR</v>
          </cell>
          <cell r="C3029">
            <v>9.1999999999999993</v>
          </cell>
          <cell r="D3029">
            <v>15</v>
          </cell>
          <cell r="E3029" t="str">
            <v>KH107</v>
          </cell>
          <cell r="F3029">
            <v>6020</v>
          </cell>
          <cell r="G3029">
            <v>100.75</v>
          </cell>
          <cell r="H3029">
            <v>1.35</v>
          </cell>
          <cell r="I3029" t="str">
            <v>From M1B to M2B - 10°</v>
          </cell>
          <cell r="J3029" t="str">
            <v>IE3</v>
          </cell>
          <cell r="K3029" t="str">
            <v>400/690</v>
          </cell>
          <cell r="L3029">
            <v>50</v>
          </cell>
          <cell r="M3029" t="str">
            <v>18,7/10,8</v>
          </cell>
          <cell r="N3029">
            <v>65</v>
          </cell>
          <cell r="O3029" t="str">
            <v>155(F)</v>
          </cell>
          <cell r="P3029" t="str">
            <v>270°</v>
          </cell>
          <cell r="Q3029" t="str">
            <v>TF</v>
          </cell>
          <cell r="R3029" t="str">
            <v>-</v>
          </cell>
          <cell r="S3029" t="str">
            <v>-</v>
          </cell>
          <cell r="T3029" t="str">
            <v>-</v>
          </cell>
          <cell r="U3029" t="str">
            <v>-</v>
          </cell>
          <cell r="V3029" t="str">
            <v>SS</v>
          </cell>
          <cell r="W3029" t="str">
            <v>YES</v>
          </cell>
          <cell r="X3029" t="str">
            <v>CLP HC 150 (-30/+50°C)</v>
          </cell>
          <cell r="Y3029" t="str">
            <v>KH107DRN132L4 /TF</v>
          </cell>
          <cell r="Z3029" t="str">
            <v>SEW</v>
          </cell>
          <cell r="AB3029" t="str">
            <v>-</v>
          </cell>
          <cell r="AF3029">
            <v>15</v>
          </cell>
          <cell r="AG3029" t="str">
            <v>DRN132L4</v>
          </cell>
          <cell r="AH3029" t="str">
            <v>KH107-DRN132L4B270-X</v>
          </cell>
        </row>
        <row r="3030">
          <cell r="A3030" t="str">
            <v>MR003018</v>
          </cell>
          <cell r="B3030" t="str">
            <v>MR</v>
          </cell>
          <cell r="C3030">
            <v>7.5</v>
          </cell>
          <cell r="D3030">
            <v>15</v>
          </cell>
          <cell r="E3030" t="str">
            <v>KH107</v>
          </cell>
          <cell r="F3030">
            <v>4920</v>
          </cell>
          <cell r="G3030">
            <v>100.75</v>
          </cell>
          <cell r="H3030">
            <v>1.65</v>
          </cell>
          <cell r="I3030" t="str">
            <v>M1A</v>
          </cell>
          <cell r="J3030" t="str">
            <v>IE3</v>
          </cell>
          <cell r="K3030" t="str">
            <v>400/690</v>
          </cell>
          <cell r="L3030">
            <v>50</v>
          </cell>
          <cell r="M3030" t="str">
            <v>15,2/8,8</v>
          </cell>
          <cell r="N3030">
            <v>65</v>
          </cell>
          <cell r="O3030" t="str">
            <v>155(F)</v>
          </cell>
          <cell r="P3030" t="str">
            <v>270°</v>
          </cell>
          <cell r="Q3030" t="str">
            <v>TF</v>
          </cell>
          <cell r="R3030" t="str">
            <v>-</v>
          </cell>
          <cell r="S3030" t="str">
            <v>-</v>
          </cell>
          <cell r="T3030" t="str">
            <v>-</v>
          </cell>
          <cell r="U3030" t="str">
            <v>-</v>
          </cell>
          <cell r="V3030" t="str">
            <v>SS</v>
          </cell>
          <cell r="W3030" t="str">
            <v>YES</v>
          </cell>
          <cell r="X3030" t="str">
            <v>CLP HC 150 (-30/+50°C)</v>
          </cell>
          <cell r="Y3030" t="str">
            <v>KH107DRN132M4 /TF</v>
          </cell>
          <cell r="Z3030" t="str">
            <v>SEW</v>
          </cell>
          <cell r="AB3030" t="str">
            <v>-</v>
          </cell>
          <cell r="AF3030">
            <v>15</v>
          </cell>
          <cell r="AG3030" t="str">
            <v>DRN132M4</v>
          </cell>
          <cell r="AH3030" t="str">
            <v>KH107-DRN132M4A270-X</v>
          </cell>
        </row>
        <row r="3031">
          <cell r="A3031" t="str">
            <v>MR003019</v>
          </cell>
          <cell r="B3031" t="str">
            <v>MR</v>
          </cell>
          <cell r="C3031">
            <v>37</v>
          </cell>
          <cell r="D3031">
            <v>25</v>
          </cell>
          <cell r="E3031" t="str">
            <v>FH157</v>
          </cell>
          <cell r="F3031">
            <v>14400</v>
          </cell>
          <cell r="G3031">
            <v>60.25</v>
          </cell>
          <cell r="H3031">
            <v>1.4</v>
          </cell>
          <cell r="I3031" t="str">
            <v>From M1 to M4 - 10°</v>
          </cell>
          <cell r="J3031" t="str">
            <v>IE3</v>
          </cell>
          <cell r="K3031" t="str">
            <v>400/690</v>
          </cell>
          <cell r="L3031">
            <v>50</v>
          </cell>
          <cell r="M3031" t="str">
            <v>64/37</v>
          </cell>
          <cell r="N3031">
            <v>65</v>
          </cell>
          <cell r="O3031" t="str">
            <v>155(F)</v>
          </cell>
          <cell r="P3031" t="str">
            <v>270°</v>
          </cell>
          <cell r="Q3031" t="str">
            <v>TF</v>
          </cell>
          <cell r="R3031" t="str">
            <v>V(VE)</v>
          </cell>
          <cell r="S3031" t="str">
            <v>-</v>
          </cell>
          <cell r="T3031" t="str">
            <v>-</v>
          </cell>
          <cell r="U3031" t="str">
            <v>G</v>
          </cell>
          <cell r="V3031" t="str">
            <v>FC</v>
          </cell>
          <cell r="W3031" t="str">
            <v>YES</v>
          </cell>
          <cell r="X3031" t="str">
            <v>CLP HC 150 (-30/+50°C)</v>
          </cell>
          <cell r="Y3031" t="str">
            <v>FH157/G DRN225S4 /TF/V</v>
          </cell>
          <cell r="Z3031" t="str">
            <v>SEW</v>
          </cell>
          <cell r="AB3031" t="str">
            <v>-</v>
          </cell>
          <cell r="AF3031">
            <v>25</v>
          </cell>
          <cell r="AG3031" t="str">
            <v>DRN225S4</v>
          </cell>
          <cell r="AH3031" t="str">
            <v>FH157G-DRN225S4270-X#</v>
          </cell>
        </row>
        <row r="3032">
          <cell r="A3032" t="str">
            <v>MR003020</v>
          </cell>
          <cell r="B3032" t="str">
            <v>MR</v>
          </cell>
          <cell r="C3032">
            <v>3</v>
          </cell>
          <cell r="D3032">
            <v>8.3000000000000007</v>
          </cell>
          <cell r="E3032" t="str">
            <v>FH97</v>
          </cell>
          <cell r="F3032">
            <v>3440</v>
          </cell>
          <cell r="G3032">
            <v>174.87</v>
          </cell>
          <cell r="H3032">
            <v>1.25</v>
          </cell>
          <cell r="I3032" t="str">
            <v>From M1 to M4 - 15°</v>
          </cell>
          <cell r="J3032" t="str">
            <v>IE3</v>
          </cell>
          <cell r="K3032" t="str">
            <v>230/400</v>
          </cell>
          <cell r="L3032">
            <v>50</v>
          </cell>
          <cell r="M3032" t="str">
            <v>11,276,4</v>
          </cell>
          <cell r="N3032">
            <v>65</v>
          </cell>
          <cell r="O3032" t="str">
            <v>155(F)</v>
          </cell>
          <cell r="P3032" t="str">
            <v>270°</v>
          </cell>
          <cell r="Q3032" t="str">
            <v>TF</v>
          </cell>
          <cell r="R3032" t="str">
            <v>V(VE)</v>
          </cell>
          <cell r="S3032" t="str">
            <v>-</v>
          </cell>
          <cell r="T3032" t="str">
            <v>-</v>
          </cell>
          <cell r="U3032" t="str">
            <v>G</v>
          </cell>
          <cell r="V3032" t="str">
            <v>FC</v>
          </cell>
          <cell r="W3032" t="str">
            <v>YES</v>
          </cell>
          <cell r="X3032" t="str">
            <v>CLP HC 150 (-30/+50°C)</v>
          </cell>
          <cell r="Y3032" t="str">
            <v>FH97/G DRN100L4 /TF/V</v>
          </cell>
          <cell r="Z3032" t="str">
            <v>SEW</v>
          </cell>
          <cell r="AB3032" t="str">
            <v>-</v>
          </cell>
          <cell r="AF3032">
            <v>8.3000000000000007</v>
          </cell>
          <cell r="AG3032" t="str">
            <v>DRN100L4</v>
          </cell>
          <cell r="AH3032" t="str">
            <v>FH97G-DRN100L4270-X#</v>
          </cell>
        </row>
        <row r="3033">
          <cell r="A3033" t="str">
            <v>MR003021</v>
          </cell>
          <cell r="B3033" t="str">
            <v>MR</v>
          </cell>
          <cell r="C3033">
            <v>0.37</v>
          </cell>
          <cell r="D3033">
            <v>3.4</v>
          </cell>
          <cell r="E3033" t="str">
            <v>KA67R37</v>
          </cell>
          <cell r="F3033">
            <v>920</v>
          </cell>
          <cell r="G3033">
            <v>420</v>
          </cell>
          <cell r="H3033">
            <v>0.9</v>
          </cell>
          <cell r="I3033" t="str">
            <v>M3B</v>
          </cell>
          <cell r="J3033" t="str">
            <v>IE3</v>
          </cell>
          <cell r="K3033" t="str">
            <v>230/400</v>
          </cell>
          <cell r="L3033">
            <v>50</v>
          </cell>
          <cell r="M3033" t="str">
            <v>1,78/1,02</v>
          </cell>
          <cell r="N3033">
            <v>65</v>
          </cell>
          <cell r="O3033" t="str">
            <v>155(F)</v>
          </cell>
          <cell r="P3033" t="str">
            <v>0°</v>
          </cell>
          <cell r="Q3033" t="str">
            <v>TF</v>
          </cell>
          <cell r="R3033" t="str">
            <v>-</v>
          </cell>
          <cell r="S3033" t="str">
            <v>-</v>
          </cell>
          <cell r="T3033" t="str">
            <v>BEHF</v>
          </cell>
          <cell r="U3033" t="str">
            <v>T</v>
          </cell>
          <cell r="V3033" t="str">
            <v>D+R</v>
          </cell>
          <cell r="W3033" t="str">
            <v>YES</v>
          </cell>
          <cell r="X3033" t="str">
            <v>CLP HC 150 (-30/+50°C)</v>
          </cell>
          <cell r="Y3033" t="str">
            <v>KA67R37/T DRN71M4 /BEHF /TF</v>
          </cell>
          <cell r="Z3033" t="str">
            <v>SEW</v>
          </cell>
          <cell r="AB3033" t="str">
            <v>-</v>
          </cell>
          <cell r="AF3033">
            <v>3.4</v>
          </cell>
          <cell r="AG3033" t="str">
            <v>DRN71M4</v>
          </cell>
          <cell r="AH3033" t="str">
            <v>KA67R37T-DRN71M4B0-X</v>
          </cell>
        </row>
        <row r="3034">
          <cell r="A3034" t="str">
            <v>MR003022</v>
          </cell>
          <cell r="B3034" t="str">
            <v>MR</v>
          </cell>
          <cell r="C3034">
            <v>0.75</v>
          </cell>
          <cell r="D3034">
            <v>162</v>
          </cell>
          <cell r="E3034" t="str">
            <v>KA37</v>
          </cell>
          <cell r="F3034">
            <v>44</v>
          </cell>
          <cell r="G3034">
            <v>8.91</v>
          </cell>
          <cell r="H3034">
            <v>3.6</v>
          </cell>
          <cell r="I3034" t="str">
            <v>From M1B to M2B - 20°</v>
          </cell>
          <cell r="J3034" t="str">
            <v>IE3</v>
          </cell>
          <cell r="K3034" t="str">
            <v>230/400</v>
          </cell>
          <cell r="L3034">
            <v>50</v>
          </cell>
          <cell r="M3034" t="str">
            <v>3,05/1,75</v>
          </cell>
          <cell r="N3034">
            <v>65</v>
          </cell>
          <cell r="O3034" t="str">
            <v>155(F)</v>
          </cell>
          <cell r="P3034" t="str">
            <v>270°</v>
          </cell>
          <cell r="Q3034" t="str">
            <v>TF</v>
          </cell>
          <cell r="R3034" t="str">
            <v>-</v>
          </cell>
          <cell r="S3034" t="str">
            <v>-</v>
          </cell>
          <cell r="T3034" t="str">
            <v>-</v>
          </cell>
          <cell r="U3034" t="str">
            <v>T</v>
          </cell>
          <cell r="V3034" t="str">
            <v>D</v>
          </cell>
          <cell r="W3034" t="str">
            <v>YES</v>
          </cell>
          <cell r="X3034" t="str">
            <v>CLP HC 150 (-30/+50°C)</v>
          </cell>
          <cell r="Y3034" t="str">
            <v>KA37/T DRN80M4 /TF</v>
          </cell>
          <cell r="Z3034" t="str">
            <v>SEW</v>
          </cell>
          <cell r="AB3034" t="str">
            <v>-</v>
          </cell>
          <cell r="AF3034">
            <v>162</v>
          </cell>
          <cell r="AG3034" t="str">
            <v>DRN80M4</v>
          </cell>
          <cell r="AH3034" t="str">
            <v>KA37T-DRN80M4B270-X</v>
          </cell>
        </row>
        <row r="3035">
          <cell r="A3035" t="str">
            <v>MR003023</v>
          </cell>
          <cell r="B3035" t="str">
            <v>MR</v>
          </cell>
          <cell r="C3035">
            <v>7.5</v>
          </cell>
          <cell r="D3035">
            <v>64</v>
          </cell>
          <cell r="E3035" t="str">
            <v>KH77</v>
          </cell>
          <cell r="F3035">
            <v>1130</v>
          </cell>
          <cell r="G3035">
            <v>23.08</v>
          </cell>
          <cell r="H3035">
            <v>1.4</v>
          </cell>
          <cell r="I3035" t="str">
            <v>From M4B to M1B - 20°</v>
          </cell>
          <cell r="J3035" t="str">
            <v>IE3</v>
          </cell>
          <cell r="K3035" t="str">
            <v>400/690</v>
          </cell>
          <cell r="L3035">
            <v>50</v>
          </cell>
          <cell r="M3035" t="str">
            <v>15,2/8,8</v>
          </cell>
          <cell r="N3035">
            <v>65</v>
          </cell>
          <cell r="O3035" t="str">
            <v>155(F)</v>
          </cell>
          <cell r="P3035" t="str">
            <v>270°</v>
          </cell>
          <cell r="Q3035" t="str">
            <v>TF</v>
          </cell>
          <cell r="R3035" t="str">
            <v>-</v>
          </cell>
          <cell r="S3035" t="str">
            <v>Free rotation CW</v>
          </cell>
          <cell r="T3035" t="str">
            <v>-</v>
          </cell>
          <cell r="U3035" t="str">
            <v>T</v>
          </cell>
          <cell r="V3035" t="str">
            <v>SS</v>
          </cell>
          <cell r="W3035" t="str">
            <v>YES</v>
          </cell>
          <cell r="X3035" t="str">
            <v>CLP HC 150 (-30/+50°C)</v>
          </cell>
          <cell r="Y3035" t="str">
            <v>KH77/T DRN132M4 /RS /TF</v>
          </cell>
          <cell r="Z3035" t="str">
            <v>SEW</v>
          </cell>
          <cell r="AB3035" t="str">
            <v>-</v>
          </cell>
          <cell r="AF3035">
            <v>64</v>
          </cell>
          <cell r="AG3035" t="str">
            <v>DRN132M4</v>
          </cell>
          <cell r="AH3035" t="str">
            <v>KH77T-DRN132M4B270-X</v>
          </cell>
        </row>
        <row r="3036">
          <cell r="A3036" t="str">
            <v>MR003024</v>
          </cell>
          <cell r="B3036" t="str">
            <v>MR</v>
          </cell>
          <cell r="C3036">
            <v>22</v>
          </cell>
          <cell r="D3036">
            <v>33</v>
          </cell>
          <cell r="E3036" t="str">
            <v>R137</v>
          </cell>
          <cell r="F3036">
            <v>6310</v>
          </cell>
          <cell r="G3036">
            <v>44.39</v>
          </cell>
          <cell r="H3036">
            <v>1.25</v>
          </cell>
          <cell r="I3036" t="str">
            <v>M1</v>
          </cell>
          <cell r="J3036" t="str">
            <v>IE3</v>
          </cell>
          <cell r="K3036" t="str">
            <v>400/690</v>
          </cell>
          <cell r="L3036">
            <v>50</v>
          </cell>
          <cell r="M3036" t="str">
            <v>38,5/22,5</v>
          </cell>
          <cell r="N3036">
            <v>65</v>
          </cell>
          <cell r="O3036" t="str">
            <v>155(F)</v>
          </cell>
          <cell r="P3036" t="str">
            <v>270°</v>
          </cell>
          <cell r="Q3036" t="str">
            <v>TF</v>
          </cell>
          <cell r="R3036" t="str">
            <v>-</v>
          </cell>
          <cell r="S3036" t="str">
            <v>Free rotation CCW</v>
          </cell>
          <cell r="T3036" t="str">
            <v>-</v>
          </cell>
          <cell r="U3036" t="str">
            <v>-</v>
          </cell>
          <cell r="V3036" t="str">
            <v>SS</v>
          </cell>
          <cell r="W3036" t="str">
            <v>YES</v>
          </cell>
          <cell r="X3036" t="str">
            <v>CLP HC 150 (-30/+50°C)</v>
          </cell>
          <cell r="Y3036" t="str">
            <v>R137DRN180L4 /RS /TF</v>
          </cell>
          <cell r="Z3036" t="str">
            <v>SEW</v>
          </cell>
          <cell r="AB3036" t="str">
            <v>-</v>
          </cell>
          <cell r="AF3036">
            <v>33</v>
          </cell>
          <cell r="AG3036" t="str">
            <v>DRN180L4</v>
          </cell>
          <cell r="AH3036" t="str">
            <v>R137-DRN180L4270-X</v>
          </cell>
        </row>
        <row r="3037">
          <cell r="A3037" t="str">
            <v>MR003025</v>
          </cell>
          <cell r="B3037" t="str">
            <v>MR</v>
          </cell>
          <cell r="C3037">
            <v>0.75</v>
          </cell>
          <cell r="D3037">
            <v>18</v>
          </cell>
          <cell r="E3037" t="str">
            <v>FA67</v>
          </cell>
          <cell r="F3037">
            <v>395</v>
          </cell>
          <cell r="G3037">
            <v>79.760000000000005</v>
          </cell>
          <cell r="H3037">
            <v>2.1</v>
          </cell>
          <cell r="I3037" t="str">
            <v>M5</v>
          </cell>
          <cell r="J3037" t="str">
            <v>IE3</v>
          </cell>
          <cell r="K3037" t="str">
            <v>230/400</v>
          </cell>
          <cell r="L3037">
            <v>50</v>
          </cell>
          <cell r="M3037" t="str">
            <v>3,05/1,75</v>
          </cell>
          <cell r="N3037">
            <v>65</v>
          </cell>
          <cell r="O3037" t="str">
            <v>155(F)</v>
          </cell>
          <cell r="P3037" t="str">
            <v>180°</v>
          </cell>
          <cell r="Q3037" t="str">
            <v>TF</v>
          </cell>
          <cell r="R3037" t="str">
            <v>-</v>
          </cell>
          <cell r="S3037" t="str">
            <v>-</v>
          </cell>
          <cell r="T3037" t="str">
            <v>BEHF</v>
          </cell>
          <cell r="U3037" t="str">
            <v>G</v>
          </cell>
          <cell r="V3037" t="str">
            <v>D+R</v>
          </cell>
          <cell r="W3037" t="str">
            <v>YES</v>
          </cell>
          <cell r="X3037" t="str">
            <v>CLP HC 150 (-30/+50°C)</v>
          </cell>
          <cell r="Y3037" t="str">
            <v>FA67/G DRN80M4 /BEHF /TF</v>
          </cell>
          <cell r="Z3037" t="str">
            <v>SEW</v>
          </cell>
          <cell r="AB3037" t="str">
            <v>-</v>
          </cell>
          <cell r="AF3037">
            <v>18</v>
          </cell>
          <cell r="AG3037" t="str">
            <v>DRN80M4</v>
          </cell>
          <cell r="AH3037" t="str">
            <v>FA67G-DRN80M4180-X</v>
          </cell>
        </row>
        <row r="3038">
          <cell r="A3038" t="str">
            <v>MR003026</v>
          </cell>
          <cell r="B3038" t="str">
            <v>MR</v>
          </cell>
          <cell r="C3038">
            <v>5.5</v>
          </cell>
          <cell r="D3038">
            <v>15</v>
          </cell>
          <cell r="E3038" t="str">
            <v>FH97</v>
          </cell>
          <cell r="F3038">
            <v>3510</v>
          </cell>
          <cell r="G3038">
            <v>97.58</v>
          </cell>
          <cell r="H3038">
            <v>1.25</v>
          </cell>
          <cell r="I3038" t="str">
            <v>M3</v>
          </cell>
          <cell r="J3038" t="str">
            <v>IE3</v>
          </cell>
          <cell r="K3038" t="str">
            <v>230/400</v>
          </cell>
          <cell r="L3038">
            <v>50</v>
          </cell>
          <cell r="M3038" t="str">
            <v>18,2/10,5</v>
          </cell>
          <cell r="N3038">
            <v>65</v>
          </cell>
          <cell r="O3038" t="str">
            <v>155(F)</v>
          </cell>
          <cell r="P3038" t="str">
            <v>270°</v>
          </cell>
          <cell r="Q3038" t="str">
            <v>TF</v>
          </cell>
          <cell r="R3038" t="str">
            <v>V(VE)</v>
          </cell>
          <cell r="S3038" t="str">
            <v>-</v>
          </cell>
          <cell r="T3038" t="str">
            <v>-</v>
          </cell>
          <cell r="U3038" t="str">
            <v>G</v>
          </cell>
          <cell r="V3038" t="str">
            <v>FC</v>
          </cell>
          <cell r="W3038" t="str">
            <v>YES</v>
          </cell>
          <cell r="X3038" t="str">
            <v>CLP HC 150 (-30/+50°C)</v>
          </cell>
          <cell r="Y3038" t="str">
            <v>FH97/G DRN132S4 /TF/V</v>
          </cell>
          <cell r="Z3038" t="str">
            <v>SEW</v>
          </cell>
          <cell r="AB3038" t="str">
            <v>-</v>
          </cell>
          <cell r="AF3038">
            <v>15</v>
          </cell>
          <cell r="AG3038" t="str">
            <v>DRN132S4</v>
          </cell>
          <cell r="AH3038" t="str">
            <v>FH97G-DRN132S4270-X#</v>
          </cell>
        </row>
        <row r="3039">
          <cell r="A3039" t="str">
            <v>MR003027</v>
          </cell>
          <cell r="B3039" t="str">
            <v>MR</v>
          </cell>
          <cell r="C3039">
            <v>5.5</v>
          </cell>
          <cell r="D3039">
            <v>57</v>
          </cell>
          <cell r="E3039" t="str">
            <v>FH77</v>
          </cell>
          <cell r="F3039">
            <v>920</v>
          </cell>
          <cell r="G3039">
            <v>25.5</v>
          </cell>
          <cell r="H3039">
            <v>1.65</v>
          </cell>
          <cell r="I3039" t="str">
            <v>M1</v>
          </cell>
          <cell r="J3039" t="str">
            <v>IE3</v>
          </cell>
          <cell r="K3039" t="str">
            <v>230/400</v>
          </cell>
          <cell r="L3039">
            <v>50</v>
          </cell>
          <cell r="M3039" t="str">
            <v>18,2/10,5</v>
          </cell>
          <cell r="N3039">
            <v>65</v>
          </cell>
          <cell r="O3039" t="str">
            <v>155(F)</v>
          </cell>
          <cell r="P3039" t="str">
            <v>270°</v>
          </cell>
          <cell r="Q3039" t="str">
            <v>TF</v>
          </cell>
          <cell r="R3039" t="str">
            <v>-</v>
          </cell>
          <cell r="S3039" t="str">
            <v>-</v>
          </cell>
          <cell r="T3039" t="str">
            <v>-</v>
          </cell>
          <cell r="U3039" t="str">
            <v>G</v>
          </cell>
          <cell r="V3039" t="str">
            <v>D</v>
          </cell>
          <cell r="W3039" t="str">
            <v>YES</v>
          </cell>
          <cell r="X3039" t="str">
            <v>CLP HC 150 (-30/+50°C)</v>
          </cell>
          <cell r="Y3039" t="str">
            <v>FH77/G DRN132S4 /TF</v>
          </cell>
          <cell r="Z3039" t="str">
            <v>SEW</v>
          </cell>
          <cell r="AB3039" t="str">
            <v>-</v>
          </cell>
          <cell r="AF3039">
            <v>57</v>
          </cell>
          <cell r="AG3039" t="str">
            <v>DRN132S4</v>
          </cell>
          <cell r="AH3039" t="str">
            <v>FH77G-DRN132S4270-X</v>
          </cell>
        </row>
        <row r="3040">
          <cell r="A3040" t="str">
            <v>MR003028</v>
          </cell>
          <cell r="B3040" t="str">
            <v>MR</v>
          </cell>
          <cell r="C3040">
            <v>9.1999999999999993</v>
          </cell>
          <cell r="D3040">
            <v>31</v>
          </cell>
          <cell r="E3040" t="str">
            <v>R107</v>
          </cell>
          <cell r="F3040">
            <v>2850</v>
          </cell>
          <cell r="G3040">
            <v>47.63</v>
          </cell>
          <cell r="H3040">
            <v>1.5</v>
          </cell>
          <cell r="I3040" t="str">
            <v>M1</v>
          </cell>
          <cell r="J3040" t="str">
            <v>IE3</v>
          </cell>
          <cell r="K3040" t="str">
            <v>400/690</v>
          </cell>
          <cell r="L3040">
            <v>50</v>
          </cell>
          <cell r="M3040" t="str">
            <v>18,7/10,8</v>
          </cell>
          <cell r="N3040">
            <v>65</v>
          </cell>
          <cell r="O3040" t="str">
            <v>155(F)</v>
          </cell>
          <cell r="P3040" t="str">
            <v>270°</v>
          </cell>
          <cell r="Q3040" t="str">
            <v>TF</v>
          </cell>
          <cell r="R3040" t="str">
            <v>-</v>
          </cell>
          <cell r="S3040" t="str">
            <v>Free rotation CW</v>
          </cell>
          <cell r="T3040" t="str">
            <v>-</v>
          </cell>
          <cell r="U3040" t="str">
            <v>-</v>
          </cell>
          <cell r="V3040" t="str">
            <v>SS</v>
          </cell>
          <cell r="W3040" t="str">
            <v>YES</v>
          </cell>
          <cell r="X3040" t="str">
            <v>CLP HC 150 (-30/+50°C)</v>
          </cell>
          <cell r="Y3040" t="str">
            <v>R107DRN132L4 /RS /TF</v>
          </cell>
          <cell r="Z3040" t="str">
            <v>SEW</v>
          </cell>
          <cell r="AB3040" t="str">
            <v>-</v>
          </cell>
          <cell r="AF3040">
            <v>31</v>
          </cell>
          <cell r="AG3040" t="str">
            <v>DRN132L4</v>
          </cell>
          <cell r="AH3040" t="str">
            <v>R107-DRN132L4270-X</v>
          </cell>
        </row>
        <row r="3041">
          <cell r="A3041" t="str">
            <v>MR003029</v>
          </cell>
          <cell r="B3041" t="str">
            <v>MR</v>
          </cell>
          <cell r="C3041">
            <v>4</v>
          </cell>
          <cell r="D3041">
            <v>15</v>
          </cell>
          <cell r="E3041" t="str">
            <v>KH97</v>
          </cell>
          <cell r="F3041">
            <v>2530</v>
          </cell>
          <cell r="G3041">
            <v>96.8</v>
          </cell>
          <cell r="H3041">
            <v>1.7</v>
          </cell>
          <cell r="I3041" t="str">
            <v>From M1B to M2B - 45°</v>
          </cell>
          <cell r="J3041" t="str">
            <v>IE3</v>
          </cell>
          <cell r="K3041" t="str">
            <v>230/400</v>
          </cell>
          <cell r="L3041">
            <v>50</v>
          </cell>
          <cell r="M3041" t="str">
            <v>13,8/7,9</v>
          </cell>
          <cell r="N3041">
            <v>65</v>
          </cell>
          <cell r="O3041" t="str">
            <v>155(F)</v>
          </cell>
          <cell r="P3041" t="str">
            <v>270°</v>
          </cell>
          <cell r="Q3041" t="str">
            <v>TF</v>
          </cell>
          <cell r="R3041" t="str">
            <v>-</v>
          </cell>
          <cell r="S3041" t="str">
            <v>-</v>
          </cell>
          <cell r="T3041" t="str">
            <v>-</v>
          </cell>
          <cell r="U3041" t="str">
            <v>-</v>
          </cell>
          <cell r="V3041" t="str">
            <v>SS</v>
          </cell>
          <cell r="W3041" t="str">
            <v>YES</v>
          </cell>
          <cell r="X3041" t="str">
            <v>CLP HC 150 (-30/+50°C)</v>
          </cell>
          <cell r="Y3041" t="str">
            <v>KH97DRN112M4 /TF</v>
          </cell>
          <cell r="Z3041" t="str">
            <v>SEW</v>
          </cell>
          <cell r="AB3041" t="str">
            <v>-</v>
          </cell>
          <cell r="AF3041">
            <v>15</v>
          </cell>
          <cell r="AG3041" t="str">
            <v>DRN112M4</v>
          </cell>
          <cell r="AH3041" t="str">
            <v>KH97-DRN112M4B270-X</v>
          </cell>
        </row>
        <row r="3042">
          <cell r="A3042" t="str">
            <v>MR003030</v>
          </cell>
          <cell r="B3042" t="str">
            <v>MR</v>
          </cell>
          <cell r="C3042">
            <v>4</v>
          </cell>
          <cell r="D3042">
            <v>15</v>
          </cell>
          <cell r="E3042" t="str">
            <v>KH97</v>
          </cell>
          <cell r="F3042">
            <v>2530</v>
          </cell>
          <cell r="G3042">
            <v>96.8</v>
          </cell>
          <cell r="H3042">
            <v>1.7</v>
          </cell>
          <cell r="I3042" t="str">
            <v>From M1A to M2A - 45°</v>
          </cell>
          <cell r="J3042" t="str">
            <v>IE3</v>
          </cell>
          <cell r="K3042" t="str">
            <v>230/400</v>
          </cell>
          <cell r="L3042">
            <v>50</v>
          </cell>
          <cell r="M3042" t="str">
            <v>13,8/7,9</v>
          </cell>
          <cell r="N3042">
            <v>65</v>
          </cell>
          <cell r="O3042" t="str">
            <v>155(F)</v>
          </cell>
          <cell r="P3042" t="str">
            <v>270°</v>
          </cell>
          <cell r="Q3042" t="str">
            <v>TF</v>
          </cell>
          <cell r="R3042" t="str">
            <v>-</v>
          </cell>
          <cell r="S3042" t="str">
            <v>-</v>
          </cell>
          <cell r="T3042" t="str">
            <v>-</v>
          </cell>
          <cell r="U3042" t="str">
            <v>-</v>
          </cell>
          <cell r="V3042" t="str">
            <v>SS</v>
          </cell>
          <cell r="W3042" t="str">
            <v>YES</v>
          </cell>
          <cell r="X3042" t="str">
            <v>CLP HC 150 (-30/+50°C)</v>
          </cell>
          <cell r="Y3042" t="str">
            <v>KH97DRN112M4 /TF</v>
          </cell>
          <cell r="Z3042" t="str">
            <v>SEW</v>
          </cell>
          <cell r="AB3042" t="str">
            <v>-</v>
          </cell>
          <cell r="AF3042">
            <v>15</v>
          </cell>
          <cell r="AG3042" t="str">
            <v>DRN112M4</v>
          </cell>
          <cell r="AH3042" t="str">
            <v>KH97-DRN112M4A270-X</v>
          </cell>
        </row>
        <row r="3043">
          <cell r="A3043" t="str">
            <v>MR003031</v>
          </cell>
          <cell r="B3043" t="str">
            <v>MR</v>
          </cell>
          <cell r="C3043">
            <v>9.1999999999999993</v>
          </cell>
          <cell r="D3043">
            <v>15</v>
          </cell>
          <cell r="E3043" t="str">
            <v>KH107</v>
          </cell>
          <cell r="F3043">
            <v>6020</v>
          </cell>
          <cell r="G3043">
            <v>100.75</v>
          </cell>
          <cell r="H3043">
            <v>1.35</v>
          </cell>
          <cell r="I3043" t="str">
            <v>From M4A to M1A - 35°</v>
          </cell>
          <cell r="J3043" t="str">
            <v>IE3</v>
          </cell>
          <cell r="K3043" t="str">
            <v>400/690</v>
          </cell>
          <cell r="L3043">
            <v>50</v>
          </cell>
          <cell r="M3043" t="str">
            <v>18,7/10,8</v>
          </cell>
          <cell r="N3043">
            <v>65</v>
          </cell>
          <cell r="O3043" t="str">
            <v>155(F)</v>
          </cell>
          <cell r="P3043" t="str">
            <v>270°</v>
          </cell>
          <cell r="Q3043" t="str">
            <v>TF</v>
          </cell>
          <cell r="R3043" t="str">
            <v>V(VE)</v>
          </cell>
          <cell r="S3043" t="str">
            <v>-</v>
          </cell>
          <cell r="T3043" t="str">
            <v>-</v>
          </cell>
          <cell r="U3043" t="str">
            <v>-</v>
          </cell>
          <cell r="V3043" t="str">
            <v>FC</v>
          </cell>
          <cell r="W3043" t="str">
            <v>YES</v>
          </cell>
          <cell r="X3043" t="str">
            <v>CLP HC 150 (-30/+50°C)</v>
          </cell>
          <cell r="Y3043" t="str">
            <v>KH107DRN132L4 /TF/V</v>
          </cell>
          <cell r="Z3043" t="str">
            <v>SEW</v>
          </cell>
          <cell r="AB3043" t="str">
            <v>-</v>
          </cell>
          <cell r="AF3043">
            <v>15</v>
          </cell>
          <cell r="AG3043" t="str">
            <v>DRN132L4</v>
          </cell>
          <cell r="AH3043" t="str">
            <v>KH107-DRN132L4A270-X#</v>
          </cell>
        </row>
        <row r="3044">
          <cell r="A3044" t="str">
            <v>MR003032</v>
          </cell>
          <cell r="B3044" t="str">
            <v>MR</v>
          </cell>
          <cell r="C3044">
            <v>9.1999999999999993</v>
          </cell>
          <cell r="D3044">
            <v>15</v>
          </cell>
          <cell r="E3044" t="str">
            <v>KH107</v>
          </cell>
          <cell r="F3044">
            <v>6020</v>
          </cell>
          <cell r="G3044">
            <v>100.75</v>
          </cell>
          <cell r="H3044">
            <v>1.35</v>
          </cell>
          <cell r="I3044" t="str">
            <v>From M4B to M1B - 35°</v>
          </cell>
          <cell r="J3044" t="str">
            <v>IE3</v>
          </cell>
          <cell r="K3044" t="str">
            <v>400/690</v>
          </cell>
          <cell r="L3044">
            <v>50</v>
          </cell>
          <cell r="M3044" t="str">
            <v>18,7/10,8</v>
          </cell>
          <cell r="N3044">
            <v>65</v>
          </cell>
          <cell r="O3044" t="str">
            <v>155(F)</v>
          </cell>
          <cell r="P3044" t="str">
            <v>270°</v>
          </cell>
          <cell r="Q3044" t="str">
            <v>TF</v>
          </cell>
          <cell r="R3044" t="str">
            <v>V(VE)</v>
          </cell>
          <cell r="S3044" t="str">
            <v>-</v>
          </cell>
          <cell r="T3044" t="str">
            <v>-</v>
          </cell>
          <cell r="U3044" t="str">
            <v>-</v>
          </cell>
          <cell r="V3044" t="str">
            <v>FC</v>
          </cell>
          <cell r="W3044" t="str">
            <v>YES</v>
          </cell>
          <cell r="X3044" t="str">
            <v>CLP HC 150 (-30/+50°C)</v>
          </cell>
          <cell r="Y3044" t="str">
            <v>KH107DRN132L4 /TF/V</v>
          </cell>
          <cell r="Z3044" t="str">
            <v>SEW</v>
          </cell>
          <cell r="AB3044" t="str">
            <v>-</v>
          </cell>
          <cell r="AF3044">
            <v>15</v>
          </cell>
          <cell r="AG3044" t="str">
            <v>DRN132L4</v>
          </cell>
          <cell r="AH3044" t="str">
            <v>KH107-DRN132L4B270-X#</v>
          </cell>
        </row>
        <row r="3045">
          <cell r="A3045" t="str">
            <v>MR003033</v>
          </cell>
          <cell r="B3045" t="str">
            <v>MR</v>
          </cell>
          <cell r="C3045">
            <v>0.75</v>
          </cell>
          <cell r="D3045">
            <v>1.7</v>
          </cell>
          <cell r="E3045" t="str">
            <v>KA97R57</v>
          </cell>
          <cell r="F3045">
            <v>3940</v>
          </cell>
          <cell r="G3045">
            <v>855</v>
          </cell>
          <cell r="H3045">
            <v>1.1000000000000001</v>
          </cell>
          <cell r="I3045" t="str">
            <v>M3B</v>
          </cell>
          <cell r="J3045" t="str">
            <v>IE3</v>
          </cell>
          <cell r="K3045" t="str">
            <v>230/400</v>
          </cell>
          <cell r="L3045">
            <v>50</v>
          </cell>
          <cell r="M3045" t="str">
            <v>3,05/1,75</v>
          </cell>
          <cell r="N3045">
            <v>65</v>
          </cell>
          <cell r="O3045" t="str">
            <v>155(F)</v>
          </cell>
          <cell r="P3045" t="str">
            <v>0°</v>
          </cell>
          <cell r="Q3045" t="str">
            <v>TF</v>
          </cell>
          <cell r="R3045" t="str">
            <v>V(VE)</v>
          </cell>
          <cell r="S3045" t="str">
            <v>-</v>
          </cell>
          <cell r="T3045" t="str">
            <v>BEHF</v>
          </cell>
          <cell r="U3045" t="str">
            <v>T</v>
          </cell>
          <cell r="V3045" t="str">
            <v>FC+R</v>
          </cell>
          <cell r="W3045" t="str">
            <v>YES</v>
          </cell>
          <cell r="X3045" t="str">
            <v>CLP HC 150 (-30/+50°C)</v>
          </cell>
          <cell r="Y3045" t="str">
            <v>KA97R57/T DRN80M4 /BEHF /TF/V</v>
          </cell>
          <cell r="Z3045" t="str">
            <v>SEW</v>
          </cell>
          <cell r="AB3045" t="str">
            <v>-</v>
          </cell>
          <cell r="AF3045">
            <v>1.7</v>
          </cell>
          <cell r="AG3045" t="str">
            <v>DRN80M4</v>
          </cell>
          <cell r="AH3045" t="str">
            <v>KA97R57T-DRN80M4B0-X#</v>
          </cell>
        </row>
        <row r="3046">
          <cell r="A3046" t="str">
            <v>MR003034</v>
          </cell>
          <cell r="B3046" t="str">
            <v>MR</v>
          </cell>
          <cell r="C3046">
            <v>9.1999999999999993</v>
          </cell>
          <cell r="D3046">
            <v>13</v>
          </cell>
          <cell r="E3046" t="str">
            <v>KH107</v>
          </cell>
          <cell r="F3046">
            <v>6710</v>
          </cell>
          <cell r="G3046">
            <v>122.41</v>
          </cell>
          <cell r="H3046">
            <v>1.2</v>
          </cell>
          <cell r="I3046" t="str">
            <v>From M1B to M2B - 30°</v>
          </cell>
          <cell r="J3046" t="str">
            <v>IE3</v>
          </cell>
          <cell r="K3046" t="str">
            <v>400/690</v>
          </cell>
          <cell r="L3046">
            <v>50</v>
          </cell>
          <cell r="M3046" t="str">
            <v>18,7/10,8</v>
          </cell>
          <cell r="N3046">
            <v>65</v>
          </cell>
          <cell r="O3046" t="str">
            <v>155(F)</v>
          </cell>
          <cell r="P3046" t="str">
            <v>0°</v>
          </cell>
          <cell r="Q3046" t="str">
            <v>-</v>
          </cell>
          <cell r="R3046" t="str">
            <v>-</v>
          </cell>
          <cell r="S3046" t="str">
            <v>-</v>
          </cell>
          <cell r="T3046" t="str">
            <v>-</v>
          </cell>
          <cell r="U3046" t="str">
            <v>-</v>
          </cell>
          <cell r="V3046" t="str">
            <v>SS</v>
          </cell>
          <cell r="W3046" t="str">
            <v>-</v>
          </cell>
          <cell r="X3046" t="str">
            <v>CLP 220 (-15/+40°C)</v>
          </cell>
          <cell r="Y3046" t="str">
            <v>KH107DRN132L4</v>
          </cell>
          <cell r="Z3046" t="str">
            <v>SEW</v>
          </cell>
          <cell r="AB3046" t="str">
            <v>-</v>
          </cell>
          <cell r="AF3046">
            <v>13</v>
          </cell>
          <cell r="AG3046" t="str">
            <v>DRN132L4</v>
          </cell>
          <cell r="AH3046" t="str">
            <v>KH107-DRN132L4B0-X</v>
          </cell>
        </row>
        <row r="3047">
          <cell r="A3047" t="str">
            <v>MR003035</v>
          </cell>
          <cell r="B3047" t="str">
            <v>MR</v>
          </cell>
          <cell r="C3047">
            <v>9.1999999999999993</v>
          </cell>
          <cell r="D3047">
            <v>13</v>
          </cell>
          <cell r="E3047" t="str">
            <v>KH107</v>
          </cell>
          <cell r="F3047">
            <v>6710</v>
          </cell>
          <cell r="G3047">
            <v>122.41</v>
          </cell>
          <cell r="H3047">
            <v>1.2</v>
          </cell>
          <cell r="I3047" t="str">
            <v>From M1A to M2A - 30°</v>
          </cell>
          <cell r="J3047" t="str">
            <v>IE3</v>
          </cell>
          <cell r="K3047" t="str">
            <v>400/690</v>
          </cell>
          <cell r="L3047">
            <v>50</v>
          </cell>
          <cell r="M3047" t="str">
            <v>18,7/10,8</v>
          </cell>
          <cell r="N3047">
            <v>65</v>
          </cell>
          <cell r="O3047" t="str">
            <v>155(F)</v>
          </cell>
          <cell r="P3047" t="str">
            <v>180°</v>
          </cell>
          <cell r="Q3047" t="str">
            <v>-</v>
          </cell>
          <cell r="R3047" t="str">
            <v>-</v>
          </cell>
          <cell r="S3047" t="str">
            <v>-</v>
          </cell>
          <cell r="T3047" t="str">
            <v>-</v>
          </cell>
          <cell r="U3047" t="str">
            <v>-</v>
          </cell>
          <cell r="V3047" t="str">
            <v>SS</v>
          </cell>
          <cell r="W3047" t="str">
            <v>-</v>
          </cell>
          <cell r="X3047" t="str">
            <v>CLP 220 (-15/+40°C)</v>
          </cell>
          <cell r="Y3047" t="str">
            <v>KH107DRN132L4</v>
          </cell>
          <cell r="Z3047" t="str">
            <v>SEW</v>
          </cell>
          <cell r="AB3047" t="str">
            <v>-</v>
          </cell>
          <cell r="AF3047">
            <v>13</v>
          </cell>
          <cell r="AG3047" t="str">
            <v>DRN132L4</v>
          </cell>
          <cell r="AH3047" t="str">
            <v>KH107-DRN132L4A180-X</v>
          </cell>
        </row>
        <row r="3048">
          <cell r="A3048" t="str">
            <v>MR003036</v>
          </cell>
          <cell r="B3048" t="str">
            <v>MR</v>
          </cell>
          <cell r="C3048">
            <v>7.5</v>
          </cell>
          <cell r="D3048">
            <v>62</v>
          </cell>
          <cell r="E3048" t="str">
            <v>FH87</v>
          </cell>
          <cell r="F3048">
            <v>1160</v>
          </cell>
          <cell r="G3048">
            <v>23.68</v>
          </cell>
          <cell r="H3048">
            <v>2.2999999999999998</v>
          </cell>
          <cell r="I3048" t="str">
            <v>M1</v>
          </cell>
          <cell r="J3048" t="str">
            <v>IE3</v>
          </cell>
          <cell r="K3048" t="str">
            <v>400/690</v>
          </cell>
          <cell r="L3048">
            <v>50</v>
          </cell>
          <cell r="M3048" t="str">
            <v>15,2/8,8</v>
          </cell>
          <cell r="N3048">
            <v>55</v>
          </cell>
          <cell r="O3048" t="str">
            <v>155(F)</v>
          </cell>
          <cell r="P3048" t="str">
            <v>270°</v>
          </cell>
          <cell r="Q3048" t="str">
            <v>-</v>
          </cell>
          <cell r="R3048" t="str">
            <v>-</v>
          </cell>
          <cell r="S3048" t="str">
            <v>-</v>
          </cell>
          <cell r="T3048" t="str">
            <v>-</v>
          </cell>
          <cell r="U3048" t="str">
            <v>G</v>
          </cell>
          <cell r="V3048" t="str">
            <v>D</v>
          </cell>
          <cell r="W3048" t="str">
            <v>-</v>
          </cell>
          <cell r="X3048" t="str">
            <v>CLP HC 220 (-25/+60°C)</v>
          </cell>
          <cell r="Y3048" t="str">
            <v>FH87/G EDRN132M4</v>
          </cell>
          <cell r="Z3048" t="str">
            <v>SEW</v>
          </cell>
          <cell r="AB3048" t="str">
            <v>ATEX22</v>
          </cell>
          <cell r="AF3048">
            <v>62</v>
          </cell>
          <cell r="AG3048" t="str">
            <v>EDRN132M4</v>
          </cell>
          <cell r="AH3048" t="str">
            <v>FH87G-EDRN132M4270-X</v>
          </cell>
        </row>
        <row r="3049">
          <cell r="A3049" t="str">
            <v>MR003037</v>
          </cell>
          <cell r="B3049" t="str">
            <v>MR</v>
          </cell>
          <cell r="C3049">
            <v>1.5</v>
          </cell>
          <cell r="D3049">
            <v>5.8</v>
          </cell>
          <cell r="E3049" t="str">
            <v>KH87R57</v>
          </cell>
          <cell r="F3049">
            <v>2280</v>
          </cell>
          <cell r="G3049">
            <v>250</v>
          </cell>
          <cell r="H3049">
            <v>1.2</v>
          </cell>
          <cell r="I3049" t="str">
            <v>M4A</v>
          </cell>
          <cell r="J3049" t="str">
            <v>IE3</v>
          </cell>
          <cell r="K3049" t="str">
            <v>230/400</v>
          </cell>
          <cell r="L3049">
            <v>50</v>
          </cell>
          <cell r="M3049" t="str">
            <v>5,9/3,4</v>
          </cell>
          <cell r="N3049">
            <v>65</v>
          </cell>
          <cell r="O3049" t="str">
            <v>155(F)</v>
          </cell>
          <cell r="P3049" t="str">
            <v>270°</v>
          </cell>
          <cell r="Q3049" t="str">
            <v>TF</v>
          </cell>
          <cell r="R3049" t="str">
            <v>-</v>
          </cell>
          <cell r="S3049" t="str">
            <v>-</v>
          </cell>
          <cell r="T3049" t="str">
            <v>-</v>
          </cell>
          <cell r="U3049" t="str">
            <v>T</v>
          </cell>
          <cell r="V3049" t="str">
            <v>D</v>
          </cell>
          <cell r="W3049" t="str">
            <v>YES</v>
          </cell>
          <cell r="X3049" t="str">
            <v>CLP HC 150 (-30/+50°C)</v>
          </cell>
          <cell r="Y3049" t="str">
            <v>KH87R57/T DRN90L4 /TF</v>
          </cell>
          <cell r="Z3049" t="str">
            <v>SEW</v>
          </cell>
          <cell r="AB3049" t="str">
            <v>-</v>
          </cell>
          <cell r="AF3049">
            <v>5.8</v>
          </cell>
          <cell r="AG3049" t="str">
            <v>DRN90L4</v>
          </cell>
          <cell r="AH3049" t="str">
            <v>KH87R57T-DRN90L4A270-X</v>
          </cell>
        </row>
        <row r="3050">
          <cell r="A3050" t="str">
            <v>MR003038</v>
          </cell>
          <cell r="B3050" t="str">
            <v>MR</v>
          </cell>
          <cell r="C3050">
            <v>4</v>
          </cell>
          <cell r="D3050">
            <v>152</v>
          </cell>
          <cell r="E3050" t="str">
            <v>KH67</v>
          </cell>
          <cell r="F3050">
            <v>250</v>
          </cell>
          <cell r="G3050">
            <v>9.66</v>
          </cell>
          <cell r="H3050">
            <v>1.9</v>
          </cell>
          <cell r="I3050" t="str">
            <v>M4B</v>
          </cell>
          <cell r="J3050" t="str">
            <v>IE3</v>
          </cell>
          <cell r="K3050" t="str">
            <v>230/400</v>
          </cell>
          <cell r="L3050">
            <v>50</v>
          </cell>
          <cell r="M3050" t="str">
            <v>13,8/7,9</v>
          </cell>
          <cell r="N3050">
            <v>65</v>
          </cell>
          <cell r="O3050" t="str">
            <v>155(F)</v>
          </cell>
          <cell r="P3050" t="str">
            <v>270°</v>
          </cell>
          <cell r="Q3050" t="str">
            <v>-</v>
          </cell>
          <cell r="R3050" t="str">
            <v>-</v>
          </cell>
          <cell r="S3050" t="str">
            <v>-</v>
          </cell>
          <cell r="T3050" t="str">
            <v>-</v>
          </cell>
          <cell r="U3050" t="str">
            <v>T</v>
          </cell>
          <cell r="V3050" t="str">
            <v>D</v>
          </cell>
          <cell r="W3050" t="str">
            <v>-</v>
          </cell>
          <cell r="X3050" t="str">
            <v>CLP 220 (-15/+40°C)</v>
          </cell>
          <cell r="Y3050" t="str">
            <v>KH67/T DRN112M4</v>
          </cell>
          <cell r="Z3050" t="str">
            <v>SEW</v>
          </cell>
          <cell r="AB3050" t="str">
            <v>-</v>
          </cell>
          <cell r="AF3050">
            <v>152</v>
          </cell>
          <cell r="AG3050" t="str">
            <v>DRN112M4</v>
          </cell>
          <cell r="AH3050" t="str">
            <v>KH67T-DRN112M4B270-X</v>
          </cell>
        </row>
        <row r="3051">
          <cell r="A3051" t="str">
            <v>MR003039</v>
          </cell>
          <cell r="B3051" t="str">
            <v>MR</v>
          </cell>
          <cell r="C3051">
            <v>11</v>
          </cell>
          <cell r="D3051">
            <v>16</v>
          </cell>
          <cell r="E3051" t="str">
            <v>KH107</v>
          </cell>
          <cell r="F3051">
            <v>6480</v>
          </cell>
          <cell r="G3051">
            <v>90.96</v>
          </cell>
          <cell r="H3051">
            <v>1.25</v>
          </cell>
          <cell r="I3051" t="str">
            <v>From M4A to M1A -30°</v>
          </cell>
          <cell r="J3051" t="str">
            <v>IE3</v>
          </cell>
          <cell r="K3051" t="str">
            <v>400/690</v>
          </cell>
          <cell r="L3051">
            <v>50</v>
          </cell>
          <cell r="M3051" t="str">
            <v>21/12,2</v>
          </cell>
          <cell r="N3051">
            <v>55</v>
          </cell>
          <cell r="O3051" t="str">
            <v>155(F)</v>
          </cell>
          <cell r="P3051" t="str">
            <v>270°</v>
          </cell>
          <cell r="Q3051" t="str">
            <v>TF</v>
          </cell>
          <cell r="R3051" t="str">
            <v>V(VE)</v>
          </cell>
          <cell r="S3051" t="str">
            <v>-</v>
          </cell>
          <cell r="T3051" t="str">
            <v>-</v>
          </cell>
          <cell r="U3051" t="str">
            <v>-</v>
          </cell>
          <cell r="V3051" t="str">
            <v>FC</v>
          </cell>
          <cell r="W3051" t="str">
            <v>-</v>
          </cell>
          <cell r="X3051" t="str">
            <v>CLP HC 150 (-30/+50°C)</v>
          </cell>
          <cell r="Y3051" t="str">
            <v>KH107DRN160M4 /TF/V</v>
          </cell>
          <cell r="Z3051" t="str">
            <v>SEW</v>
          </cell>
          <cell r="AB3051" t="str">
            <v>-</v>
          </cell>
          <cell r="AF3051">
            <v>16</v>
          </cell>
          <cell r="AG3051" t="str">
            <v>DRN160M4</v>
          </cell>
          <cell r="AH3051" t="str">
            <v>KH107-DRN160M4A270-X#</v>
          </cell>
        </row>
        <row r="3052">
          <cell r="A3052" t="str">
            <v>MR003040</v>
          </cell>
          <cell r="B3052" t="str">
            <v>MR</v>
          </cell>
          <cell r="C3052">
            <v>11</v>
          </cell>
          <cell r="D3052">
            <v>16</v>
          </cell>
          <cell r="E3052" t="str">
            <v>KH107</v>
          </cell>
          <cell r="F3052">
            <v>6480</v>
          </cell>
          <cell r="G3052">
            <v>90.96</v>
          </cell>
          <cell r="H3052">
            <v>1.25</v>
          </cell>
          <cell r="I3052" t="str">
            <v>From M4B to M1B -30°</v>
          </cell>
          <cell r="J3052" t="str">
            <v>IE3</v>
          </cell>
          <cell r="K3052" t="str">
            <v>400/690</v>
          </cell>
          <cell r="L3052">
            <v>50</v>
          </cell>
          <cell r="M3052" t="str">
            <v>21/12,2</v>
          </cell>
          <cell r="N3052">
            <v>55</v>
          </cell>
          <cell r="O3052" t="str">
            <v>155(F)</v>
          </cell>
          <cell r="P3052" t="str">
            <v>270°</v>
          </cell>
          <cell r="Q3052" t="str">
            <v>TF</v>
          </cell>
          <cell r="R3052" t="str">
            <v>V(VE)</v>
          </cell>
          <cell r="S3052" t="str">
            <v>-</v>
          </cell>
          <cell r="T3052" t="str">
            <v>-</v>
          </cell>
          <cell r="U3052" t="str">
            <v>-</v>
          </cell>
          <cell r="V3052" t="str">
            <v>FC</v>
          </cell>
          <cell r="W3052" t="str">
            <v>-</v>
          </cell>
          <cell r="X3052" t="str">
            <v>CLP HC 150 (-30/+50°C)</v>
          </cell>
          <cell r="Y3052" t="str">
            <v>KH107DRN160M4 /TF/V</v>
          </cell>
          <cell r="Z3052" t="str">
            <v>SEW</v>
          </cell>
          <cell r="AB3052" t="str">
            <v>-</v>
          </cell>
          <cell r="AF3052">
            <v>16</v>
          </cell>
          <cell r="AG3052" t="str">
            <v>DRN160M4</v>
          </cell>
          <cell r="AH3052" t="str">
            <v>KH107-DRN160M4B270-X#</v>
          </cell>
        </row>
        <row r="3053">
          <cell r="A3053" t="str">
            <v>MR003041</v>
          </cell>
          <cell r="B3053" t="str">
            <v>MR</v>
          </cell>
          <cell r="C3053">
            <v>30</v>
          </cell>
          <cell r="D3053">
            <v>42</v>
          </cell>
          <cell r="E3053" t="str">
            <v>R147</v>
          </cell>
          <cell r="F3053">
            <v>6890</v>
          </cell>
          <cell r="G3053">
            <v>35.64</v>
          </cell>
          <cell r="H3053">
            <v>1.9</v>
          </cell>
          <cell r="I3053" t="str">
            <v>M1</v>
          </cell>
          <cell r="J3053" t="str">
            <v>IE3</v>
          </cell>
          <cell r="K3053" t="str">
            <v>400/690</v>
          </cell>
          <cell r="L3053">
            <v>50</v>
          </cell>
          <cell r="M3053" t="str">
            <v>56/32,5</v>
          </cell>
          <cell r="N3053">
            <v>65</v>
          </cell>
          <cell r="O3053" t="str">
            <v>155(F)</v>
          </cell>
          <cell r="P3053" t="str">
            <v>270°</v>
          </cell>
          <cell r="Q3053" t="str">
            <v>TF</v>
          </cell>
          <cell r="R3053" t="str">
            <v>230/400</v>
          </cell>
          <cell r="S3053" t="str">
            <v>-</v>
          </cell>
          <cell r="T3053" t="str">
            <v>-</v>
          </cell>
          <cell r="U3053" t="str">
            <v>-</v>
          </cell>
          <cell r="V3053" t="str">
            <v>FC</v>
          </cell>
          <cell r="W3053" t="str">
            <v>-</v>
          </cell>
          <cell r="X3053" t="str">
            <v>CLP HC 220 (-25/+60°C)</v>
          </cell>
          <cell r="Y3053" t="str">
            <v>R147DRN200L4 /TF/V</v>
          </cell>
          <cell r="Z3053" t="str">
            <v>SEW</v>
          </cell>
          <cell r="AB3053" t="str">
            <v>-</v>
          </cell>
          <cell r="AE3053" t="str">
            <v>Work frequency: 50Hz - constant work speed ; CAST IRON FRAME ; B61 sight glass for oil; surface protection OS4;  tropicalized, suitable for high humidity and dustiness</v>
          </cell>
          <cell r="AF3053">
            <v>42</v>
          </cell>
          <cell r="AG3053" t="str">
            <v>DRN200L4</v>
          </cell>
          <cell r="AH3053" t="str">
            <v>R147-DRN200L4270-X#</v>
          </cell>
        </row>
        <row r="3054">
          <cell r="A3054" t="str">
            <v>MR003042</v>
          </cell>
          <cell r="B3054" t="str">
            <v>MR</v>
          </cell>
          <cell r="C3054">
            <v>0.75</v>
          </cell>
          <cell r="D3054">
            <v>19</v>
          </cell>
          <cell r="E3054" t="str">
            <v>KA67</v>
          </cell>
          <cell r="F3054">
            <v>375</v>
          </cell>
          <cell r="G3054">
            <v>76.37</v>
          </cell>
          <cell r="H3054">
            <v>2.2000000000000002</v>
          </cell>
          <cell r="I3054" t="str">
            <v>M4A</v>
          </cell>
          <cell r="J3054" t="str">
            <v>IE3</v>
          </cell>
          <cell r="K3054" t="str">
            <v>230/400</v>
          </cell>
          <cell r="L3054">
            <v>50</v>
          </cell>
          <cell r="M3054" t="str">
            <v>3,05/1,75</v>
          </cell>
          <cell r="N3054">
            <v>65</v>
          </cell>
          <cell r="O3054" t="str">
            <v>155(F)</v>
          </cell>
          <cell r="P3054" t="str">
            <v>270°</v>
          </cell>
          <cell r="Q3054" t="str">
            <v>TF</v>
          </cell>
          <cell r="R3054" t="str">
            <v>-</v>
          </cell>
          <cell r="S3054" t="str">
            <v>-</v>
          </cell>
          <cell r="T3054" t="str">
            <v>BEHF</v>
          </cell>
          <cell r="U3054" t="str">
            <v>T</v>
          </cell>
          <cell r="V3054" t="str">
            <v>FC+R</v>
          </cell>
          <cell r="W3054" t="str">
            <v>-</v>
          </cell>
          <cell r="X3054" t="str">
            <v>CLP HC 220 (-25/+60°C)</v>
          </cell>
          <cell r="Y3054" t="str">
            <v>KA67/T DRN80M4 /BEHF /TF</v>
          </cell>
          <cell r="Z3054" t="str">
            <v>SEW</v>
          </cell>
          <cell r="AB3054" t="str">
            <v>-</v>
          </cell>
          <cell r="AE3054" t="str">
            <v>Brake tension 400V AC; ALUMINIUM FRAME ; B61 sight glass for oil; C protection canopy; surface protection OS4;  tropicalized, suitable for high humidity and dustiness</v>
          </cell>
          <cell r="AF3054">
            <v>19</v>
          </cell>
          <cell r="AG3054" t="str">
            <v>DRN80M4</v>
          </cell>
          <cell r="AH3054" t="str">
            <v>KA67T-DRN80M4A270-X</v>
          </cell>
        </row>
        <row r="3055">
          <cell r="A3055" t="str">
            <v>MR003043</v>
          </cell>
          <cell r="B3055" t="str">
            <v>MR</v>
          </cell>
          <cell r="C3055">
            <v>0.75</v>
          </cell>
          <cell r="D3055">
            <v>19</v>
          </cell>
          <cell r="E3055" t="str">
            <v>KA67</v>
          </cell>
          <cell r="F3055">
            <v>375</v>
          </cell>
          <cell r="G3055">
            <v>76.37</v>
          </cell>
          <cell r="H3055">
            <v>2.2000000000000002</v>
          </cell>
          <cell r="I3055" t="str">
            <v>M4B</v>
          </cell>
          <cell r="J3055" t="str">
            <v>IE3</v>
          </cell>
          <cell r="K3055" t="str">
            <v>230/400</v>
          </cell>
          <cell r="L3055">
            <v>50</v>
          </cell>
          <cell r="M3055" t="str">
            <v>3,05/1,75</v>
          </cell>
          <cell r="N3055">
            <v>65</v>
          </cell>
          <cell r="O3055" t="str">
            <v>155(F)</v>
          </cell>
          <cell r="P3055" t="str">
            <v>0°</v>
          </cell>
          <cell r="Q3055" t="str">
            <v>TF</v>
          </cell>
          <cell r="R3055" t="str">
            <v>-</v>
          </cell>
          <cell r="S3055" t="str">
            <v>-</v>
          </cell>
          <cell r="T3055" t="str">
            <v>BEHF</v>
          </cell>
          <cell r="U3055" t="str">
            <v>T</v>
          </cell>
          <cell r="V3055" t="str">
            <v>FC+R</v>
          </cell>
          <cell r="W3055" t="str">
            <v>-</v>
          </cell>
          <cell r="X3055" t="str">
            <v>CLP HC 220 (-25/+60°C)</v>
          </cell>
          <cell r="Y3055" t="str">
            <v>KA67/T DRN80M4 /BEHF /TF</v>
          </cell>
          <cell r="Z3055" t="str">
            <v>SEW</v>
          </cell>
          <cell r="AB3055" t="str">
            <v>-</v>
          </cell>
          <cell r="AE3055" t="str">
            <v>Brake tension 400V AC; ALUMINIUM FRAME ; B61 sight glass for oil; C protection canopy; surface protection OS4;  tropicalized, suitable for high humidity and dustiness</v>
          </cell>
          <cell r="AF3055">
            <v>19</v>
          </cell>
          <cell r="AG3055" t="str">
            <v>DRN80M4</v>
          </cell>
          <cell r="AH3055" t="str">
            <v>KA67T-DRN80M4B0-X</v>
          </cell>
        </row>
        <row r="3056">
          <cell r="A3056" t="str">
            <v>MR003044</v>
          </cell>
          <cell r="B3056" t="str">
            <v>MR</v>
          </cell>
          <cell r="C3056">
            <v>15</v>
          </cell>
          <cell r="D3056">
            <v>49</v>
          </cell>
          <cell r="E3056" t="str">
            <v>FH97</v>
          </cell>
          <cell r="F3056">
            <v>2950</v>
          </cell>
          <cell r="G3056">
            <v>30.39</v>
          </cell>
          <cell r="H3056">
            <v>1.45</v>
          </cell>
          <cell r="I3056" t="str">
            <v>M1</v>
          </cell>
          <cell r="J3056" t="str">
            <v>IE3</v>
          </cell>
          <cell r="K3056" t="str">
            <v>400/690</v>
          </cell>
          <cell r="L3056">
            <v>50</v>
          </cell>
          <cell r="M3056" t="str">
            <v>29/16,7</v>
          </cell>
          <cell r="N3056">
            <v>65</v>
          </cell>
          <cell r="O3056" t="str">
            <v>155(F)</v>
          </cell>
          <cell r="P3056" t="str">
            <v>270°</v>
          </cell>
          <cell r="Q3056" t="str">
            <v>TF</v>
          </cell>
          <cell r="R3056" t="str">
            <v>-</v>
          </cell>
          <cell r="S3056" t="str">
            <v>-</v>
          </cell>
          <cell r="T3056" t="str">
            <v>-</v>
          </cell>
          <cell r="U3056" t="str">
            <v>G</v>
          </cell>
          <cell r="V3056" t="str">
            <v>D</v>
          </cell>
          <cell r="W3056" t="str">
            <v>YES</v>
          </cell>
          <cell r="X3056" t="str">
            <v>CLP HC 150 (-30/+50°C)</v>
          </cell>
          <cell r="Y3056" t="str">
            <v>FH97/G DRN160L4 /TF</v>
          </cell>
          <cell r="Z3056" t="str">
            <v>SEW</v>
          </cell>
          <cell r="AB3056" t="str">
            <v>-</v>
          </cell>
          <cell r="AF3056">
            <v>49</v>
          </cell>
          <cell r="AG3056" t="str">
            <v>DRN160L4</v>
          </cell>
          <cell r="AH3056" t="str">
            <v>FH97G-DRN160L4270-X</v>
          </cell>
        </row>
        <row r="3057">
          <cell r="A3057" t="str">
            <v>MR003045</v>
          </cell>
          <cell r="B3057" t="str">
            <v>MR</v>
          </cell>
          <cell r="C3057">
            <v>2.2000000000000002</v>
          </cell>
          <cell r="D3057">
            <v>72</v>
          </cell>
          <cell r="E3057" t="str">
            <v>KH49</v>
          </cell>
          <cell r="F3057">
            <v>290</v>
          </cell>
          <cell r="G3057">
            <v>20.03</v>
          </cell>
          <cell r="H3057">
            <v>1.7</v>
          </cell>
          <cell r="I3057" t="str">
            <v>From M1B to M2B - 20°</v>
          </cell>
          <cell r="J3057" t="str">
            <v>IE3</v>
          </cell>
          <cell r="K3057" t="str">
            <v>230/400</v>
          </cell>
          <cell r="L3057">
            <v>50</v>
          </cell>
          <cell r="M3057" t="str">
            <v>8,3/4,75</v>
          </cell>
          <cell r="N3057">
            <v>65</v>
          </cell>
          <cell r="O3057" t="str">
            <v>155(F)</v>
          </cell>
          <cell r="P3057" t="str">
            <v>270°</v>
          </cell>
          <cell r="Q3057" t="str">
            <v>TF</v>
          </cell>
          <cell r="R3057" t="str">
            <v>-</v>
          </cell>
          <cell r="S3057" t="str">
            <v>Free rotation CW</v>
          </cell>
          <cell r="T3057" t="str">
            <v>-</v>
          </cell>
          <cell r="U3057" t="str">
            <v>T</v>
          </cell>
          <cell r="V3057" t="str">
            <v>D</v>
          </cell>
          <cell r="W3057" t="str">
            <v>YES</v>
          </cell>
          <cell r="X3057" t="str">
            <v>CLP HC 150 (-30/+50°C)</v>
          </cell>
          <cell r="Y3057" t="str">
            <v>KH49/T DRN100LS4 /RS /TF</v>
          </cell>
          <cell r="Z3057" t="str">
            <v>SEW</v>
          </cell>
          <cell r="AB3057" t="str">
            <v>-</v>
          </cell>
          <cell r="AF3057">
            <v>72</v>
          </cell>
          <cell r="AG3057" t="str">
            <v>DRN100LS4</v>
          </cell>
          <cell r="AH3057" t="str">
            <v>KH49T-DRN100LS4B270-X</v>
          </cell>
        </row>
        <row r="3058">
          <cell r="A3058" t="str">
            <v>MR003046</v>
          </cell>
          <cell r="B3058" t="str">
            <v>MR</v>
          </cell>
          <cell r="C3058">
            <v>3</v>
          </cell>
          <cell r="D3058">
            <v>73</v>
          </cell>
          <cell r="E3058" t="str">
            <v>KH49</v>
          </cell>
          <cell r="F3058">
            <v>395</v>
          </cell>
          <cell r="G3058">
            <v>20.03</v>
          </cell>
          <cell r="H3058">
            <v>1.25</v>
          </cell>
          <cell r="I3058" t="str">
            <v>From M1B to M2B - 20°</v>
          </cell>
          <cell r="J3058" t="str">
            <v>IE3</v>
          </cell>
          <cell r="K3058" t="str">
            <v>230/400</v>
          </cell>
          <cell r="L3058">
            <v>50</v>
          </cell>
          <cell r="M3058" t="str">
            <v>11,2/6,4</v>
          </cell>
          <cell r="N3058">
            <v>65</v>
          </cell>
          <cell r="O3058" t="str">
            <v>155(F)</v>
          </cell>
          <cell r="P3058" t="str">
            <v>270°</v>
          </cell>
          <cell r="Q3058" t="str">
            <v>TF</v>
          </cell>
          <cell r="R3058" t="str">
            <v>-</v>
          </cell>
          <cell r="S3058" t="str">
            <v>Free rotation CW</v>
          </cell>
          <cell r="T3058" t="str">
            <v>-</v>
          </cell>
          <cell r="U3058" t="str">
            <v>T</v>
          </cell>
          <cell r="V3058" t="str">
            <v>D</v>
          </cell>
          <cell r="W3058" t="str">
            <v>YES</v>
          </cell>
          <cell r="X3058" t="str">
            <v>CLP HC 150 (-30/+50°C)</v>
          </cell>
          <cell r="Y3058" t="str">
            <v>KH49/T DRN100L4 /RS /TF</v>
          </cell>
          <cell r="Z3058" t="str">
            <v>SEW</v>
          </cell>
          <cell r="AB3058" t="str">
            <v>-</v>
          </cell>
          <cell r="AF3058">
            <v>73</v>
          </cell>
          <cell r="AG3058" t="str">
            <v>DRN100L4</v>
          </cell>
          <cell r="AH3058" t="str">
            <v>KH49T-DRN100L4B270-X</v>
          </cell>
        </row>
        <row r="3059">
          <cell r="A3059" t="str">
            <v>MR003047</v>
          </cell>
          <cell r="B3059" t="str">
            <v>MR</v>
          </cell>
          <cell r="C3059">
            <v>3</v>
          </cell>
          <cell r="D3059">
            <v>61</v>
          </cell>
          <cell r="E3059" t="str">
            <v>KH57</v>
          </cell>
          <cell r="F3059">
            <v>475</v>
          </cell>
          <cell r="G3059">
            <v>24.05</v>
          </cell>
          <cell r="H3059">
            <v>1.25</v>
          </cell>
          <cell r="I3059" t="str">
            <v>From M4B to M1B - 15°</v>
          </cell>
          <cell r="J3059" t="str">
            <v>IE3</v>
          </cell>
          <cell r="K3059" t="str">
            <v>230/400</v>
          </cell>
          <cell r="L3059">
            <v>50</v>
          </cell>
          <cell r="M3059" t="str">
            <v>11,2/6,4</v>
          </cell>
          <cell r="N3059">
            <v>65</v>
          </cell>
          <cell r="O3059" t="str">
            <v>155(F)</v>
          </cell>
          <cell r="P3059" t="str">
            <v>270°</v>
          </cell>
          <cell r="Q3059" t="str">
            <v>TF</v>
          </cell>
          <cell r="R3059" t="str">
            <v>-</v>
          </cell>
          <cell r="S3059" t="str">
            <v>Free rotation CW</v>
          </cell>
          <cell r="T3059" t="str">
            <v>-</v>
          </cell>
          <cell r="U3059" t="str">
            <v>T</v>
          </cell>
          <cell r="V3059" t="str">
            <v>D</v>
          </cell>
          <cell r="W3059" t="str">
            <v>YES</v>
          </cell>
          <cell r="X3059" t="str">
            <v>CLP HC 150 (-30/+50°C)</v>
          </cell>
          <cell r="Y3059" t="str">
            <v>KH57/T DRN100L4 /RS /TF</v>
          </cell>
          <cell r="Z3059" t="str">
            <v>SEW</v>
          </cell>
          <cell r="AB3059" t="str">
            <v>-</v>
          </cell>
          <cell r="AF3059">
            <v>61</v>
          </cell>
          <cell r="AG3059" t="str">
            <v>DRN100L4</v>
          </cell>
          <cell r="AH3059" t="str">
            <v>KH57T-DRN100L4B270-X</v>
          </cell>
        </row>
        <row r="3060">
          <cell r="A3060" t="str">
            <v>MR003048</v>
          </cell>
          <cell r="B3060" t="str">
            <v>MR</v>
          </cell>
          <cell r="C3060">
            <v>5.5</v>
          </cell>
          <cell r="D3060">
            <v>15</v>
          </cell>
          <cell r="E3060" t="str">
            <v>KH97</v>
          </cell>
          <cell r="F3060">
            <v>3480</v>
          </cell>
          <cell r="G3060">
            <v>96.8</v>
          </cell>
          <cell r="H3060">
            <v>1.25</v>
          </cell>
          <cell r="I3060" t="str">
            <v>From M1A to M2A - 10°</v>
          </cell>
          <cell r="J3060" t="str">
            <v>IE3</v>
          </cell>
          <cell r="K3060" t="str">
            <v>230/400</v>
          </cell>
          <cell r="L3060">
            <v>50</v>
          </cell>
          <cell r="M3060" t="str">
            <v>18,2/10,5</v>
          </cell>
          <cell r="N3060">
            <v>65</v>
          </cell>
          <cell r="O3060" t="str">
            <v>155(F)</v>
          </cell>
          <cell r="P3060" t="str">
            <v>270°</v>
          </cell>
          <cell r="Q3060" t="str">
            <v>TF</v>
          </cell>
          <cell r="R3060" t="str">
            <v>-</v>
          </cell>
          <cell r="S3060" t="str">
            <v>-</v>
          </cell>
          <cell r="T3060" t="str">
            <v>-</v>
          </cell>
          <cell r="U3060" t="str">
            <v>-</v>
          </cell>
          <cell r="V3060" t="str">
            <v>SS</v>
          </cell>
          <cell r="W3060" t="str">
            <v>YES</v>
          </cell>
          <cell r="X3060" t="str">
            <v>CLP HC 150 (-30/+50°C)</v>
          </cell>
          <cell r="Y3060" t="str">
            <v>KH97DRN132S4 /TF</v>
          </cell>
          <cell r="Z3060" t="str">
            <v>SEW</v>
          </cell>
          <cell r="AB3060" t="str">
            <v>-</v>
          </cell>
          <cell r="AF3060">
            <v>15</v>
          </cell>
          <cell r="AG3060" t="str">
            <v>DRN132S4</v>
          </cell>
          <cell r="AH3060" t="str">
            <v>KH97-DRN132S4A270-X</v>
          </cell>
        </row>
        <row r="3061">
          <cell r="A3061" t="str">
            <v>MR003049</v>
          </cell>
          <cell r="B3061" t="str">
            <v>MR</v>
          </cell>
          <cell r="C3061">
            <v>0.75</v>
          </cell>
          <cell r="D3061">
            <v>162</v>
          </cell>
          <cell r="E3061" t="str">
            <v>KA37</v>
          </cell>
          <cell r="F3061">
            <v>44</v>
          </cell>
          <cell r="G3061">
            <v>8.91</v>
          </cell>
          <cell r="H3061">
            <v>3.6</v>
          </cell>
          <cell r="I3061" t="str">
            <v>M3A</v>
          </cell>
          <cell r="J3061" t="str">
            <v>IE3</v>
          </cell>
          <cell r="K3061" t="str">
            <v>230/400</v>
          </cell>
          <cell r="L3061">
            <v>50</v>
          </cell>
          <cell r="M3061" t="str">
            <v>3,05/1,75</v>
          </cell>
          <cell r="N3061">
            <v>65</v>
          </cell>
          <cell r="O3061" t="str">
            <v>155(F)</v>
          </cell>
          <cell r="P3061" t="str">
            <v>180°</v>
          </cell>
          <cell r="Q3061" t="str">
            <v>TF</v>
          </cell>
          <cell r="R3061" t="str">
            <v>-</v>
          </cell>
          <cell r="S3061" t="str">
            <v>-</v>
          </cell>
          <cell r="T3061" t="str">
            <v>-</v>
          </cell>
          <cell r="U3061" t="str">
            <v>T</v>
          </cell>
          <cell r="V3061" t="str">
            <v>D</v>
          </cell>
          <cell r="W3061" t="str">
            <v>YES</v>
          </cell>
          <cell r="X3061" t="str">
            <v>CLP HC 150 (-30/+50°C)</v>
          </cell>
          <cell r="Y3061" t="str">
            <v>KA37/T DRN80M4 /TF</v>
          </cell>
          <cell r="Z3061" t="str">
            <v>SEW</v>
          </cell>
          <cell r="AB3061" t="str">
            <v>-</v>
          </cell>
          <cell r="AF3061">
            <v>162</v>
          </cell>
          <cell r="AG3061" t="str">
            <v>DRN80M4</v>
          </cell>
          <cell r="AH3061" t="str">
            <v>KA37T-DRN80M4A180-X</v>
          </cell>
        </row>
        <row r="3062">
          <cell r="A3062" t="str">
            <v>MR003050</v>
          </cell>
          <cell r="B3062" t="str">
            <v>MR</v>
          </cell>
          <cell r="C3062">
            <v>37</v>
          </cell>
          <cell r="D3062">
            <v>88</v>
          </cell>
          <cell r="E3062" t="str">
            <v>KH107</v>
          </cell>
          <cell r="F3062">
            <v>3990</v>
          </cell>
          <cell r="G3062">
            <v>16.75</v>
          </cell>
          <cell r="H3062">
            <v>1.75</v>
          </cell>
          <cell r="I3062" t="str">
            <v>From M4A to M1A - 10°</v>
          </cell>
          <cell r="J3062" t="str">
            <v>IE3</v>
          </cell>
          <cell r="K3062" t="str">
            <v>400/690</v>
          </cell>
          <cell r="L3062">
            <v>50</v>
          </cell>
          <cell r="M3062" t="str">
            <v>64/37</v>
          </cell>
          <cell r="N3062">
            <v>65</v>
          </cell>
          <cell r="O3062" t="str">
            <v>155(F)</v>
          </cell>
          <cell r="P3062" t="str">
            <v>270°</v>
          </cell>
          <cell r="Q3062" t="str">
            <v>TF</v>
          </cell>
          <cell r="R3062" t="str">
            <v>-</v>
          </cell>
          <cell r="S3062" t="str">
            <v>Free rotation CCW</v>
          </cell>
          <cell r="T3062" t="str">
            <v>-</v>
          </cell>
          <cell r="U3062" t="str">
            <v>T</v>
          </cell>
          <cell r="V3062" t="str">
            <v>SS</v>
          </cell>
          <cell r="W3062" t="str">
            <v>YES</v>
          </cell>
          <cell r="X3062" t="str">
            <v>CLP HC 150 (-30/+50°C)</v>
          </cell>
          <cell r="Y3062" t="str">
            <v>KH107/T DRN225S4 /RS /TF</v>
          </cell>
          <cell r="Z3062" t="str">
            <v>SEW</v>
          </cell>
          <cell r="AB3062" t="str">
            <v>-</v>
          </cell>
          <cell r="AF3062">
            <v>88</v>
          </cell>
          <cell r="AG3062" t="str">
            <v>DRN225S4</v>
          </cell>
          <cell r="AH3062" t="str">
            <v>KH107T-DRN225S4A270-X</v>
          </cell>
        </row>
        <row r="3063">
          <cell r="A3063" t="str">
            <v>MR003051</v>
          </cell>
          <cell r="B3063" t="str">
            <v>MR</v>
          </cell>
          <cell r="C3063">
            <v>0.75</v>
          </cell>
          <cell r="D3063">
            <v>162</v>
          </cell>
          <cell r="E3063" t="str">
            <v>KA37</v>
          </cell>
          <cell r="F3063">
            <v>44</v>
          </cell>
          <cell r="G3063">
            <v>8.91</v>
          </cell>
          <cell r="H3063">
            <v>3.6</v>
          </cell>
          <cell r="I3063" t="str">
            <v>From M3A to M4A - 10°</v>
          </cell>
          <cell r="J3063" t="str">
            <v>IE3</v>
          </cell>
          <cell r="K3063" t="str">
            <v>230/400</v>
          </cell>
          <cell r="L3063">
            <v>50</v>
          </cell>
          <cell r="M3063" t="str">
            <v>3,05/1,75</v>
          </cell>
          <cell r="N3063">
            <v>65</v>
          </cell>
          <cell r="O3063" t="str">
            <v>155(F)</v>
          </cell>
          <cell r="P3063" t="str">
            <v>180°</v>
          </cell>
          <cell r="Q3063" t="str">
            <v>TF</v>
          </cell>
          <cell r="R3063" t="str">
            <v>-</v>
          </cell>
          <cell r="S3063" t="str">
            <v>-</v>
          </cell>
          <cell r="T3063" t="str">
            <v>-</v>
          </cell>
          <cell r="U3063" t="str">
            <v>T</v>
          </cell>
          <cell r="V3063" t="str">
            <v>D</v>
          </cell>
          <cell r="W3063" t="str">
            <v>YES</v>
          </cell>
          <cell r="X3063" t="str">
            <v>CLP HC 150 (-30/+50°C)</v>
          </cell>
          <cell r="Y3063" t="str">
            <v>KA37/T DRN80M4 /TF</v>
          </cell>
          <cell r="Z3063" t="str">
            <v>SEW</v>
          </cell>
          <cell r="AB3063" t="str">
            <v>-</v>
          </cell>
          <cell r="AF3063">
            <v>162</v>
          </cell>
          <cell r="AG3063" t="str">
            <v>DRN80M4</v>
          </cell>
          <cell r="AH3063" t="str">
            <v>KA37T-DRN80M4A180-X</v>
          </cell>
        </row>
        <row r="3064">
          <cell r="A3064" t="str">
            <v>MR003052</v>
          </cell>
          <cell r="B3064" t="str">
            <v>MR</v>
          </cell>
          <cell r="C3064">
            <v>5.5</v>
          </cell>
          <cell r="D3064">
            <v>84</v>
          </cell>
          <cell r="E3064" t="str">
            <v>FH77</v>
          </cell>
          <cell r="F3064">
            <v>630</v>
          </cell>
          <cell r="G3064">
            <v>17.489999999999998</v>
          </cell>
          <cell r="H3064">
            <v>2.4</v>
          </cell>
          <cell r="I3064" t="str">
            <v>From M1 to M2 - 15°</v>
          </cell>
          <cell r="J3064" t="str">
            <v>IE3</v>
          </cell>
          <cell r="K3064" t="str">
            <v>230/400</v>
          </cell>
          <cell r="L3064">
            <v>50</v>
          </cell>
          <cell r="M3064" t="str">
            <v>18,2/10,5</v>
          </cell>
          <cell r="N3064">
            <v>65</v>
          </cell>
          <cell r="O3064" t="str">
            <v>155(F)</v>
          </cell>
          <cell r="P3064" t="str">
            <v>270°</v>
          </cell>
          <cell r="Q3064" t="str">
            <v>TF</v>
          </cell>
          <cell r="R3064" t="str">
            <v>-</v>
          </cell>
          <cell r="S3064" t="str">
            <v>-</v>
          </cell>
          <cell r="T3064" t="str">
            <v>-</v>
          </cell>
          <cell r="U3064" t="str">
            <v>G</v>
          </cell>
          <cell r="V3064" t="str">
            <v>D</v>
          </cell>
          <cell r="W3064" t="str">
            <v>YES</v>
          </cell>
          <cell r="X3064" t="str">
            <v>CLP HC 150 (-30/+50°C)</v>
          </cell>
          <cell r="Y3064" t="str">
            <v>FH77/G DRN132S4 /TF</v>
          </cell>
          <cell r="Z3064" t="str">
            <v>SEW</v>
          </cell>
          <cell r="AB3064" t="str">
            <v>-</v>
          </cell>
          <cell r="AF3064">
            <v>84</v>
          </cell>
          <cell r="AG3064" t="str">
            <v>DRN132S4</v>
          </cell>
          <cell r="AH3064" t="str">
            <v>FH77G-DRN132S4270-X</v>
          </cell>
        </row>
        <row r="3065">
          <cell r="A3065" t="str">
            <v>MR003053</v>
          </cell>
          <cell r="B3065" t="str">
            <v>MR</v>
          </cell>
          <cell r="C3065">
            <v>0.75</v>
          </cell>
          <cell r="D3065">
            <v>162</v>
          </cell>
          <cell r="E3065" t="str">
            <v>KA37</v>
          </cell>
          <cell r="F3065">
            <v>44</v>
          </cell>
          <cell r="G3065">
            <v>8.91</v>
          </cell>
          <cell r="H3065">
            <v>3.6</v>
          </cell>
          <cell r="I3065" t="str">
            <v>M1B</v>
          </cell>
          <cell r="J3065" t="str">
            <v>IE3</v>
          </cell>
          <cell r="K3065" t="str">
            <v>230/400</v>
          </cell>
          <cell r="L3065">
            <v>50</v>
          </cell>
          <cell r="M3065" t="str">
            <v>3,05/1,75</v>
          </cell>
          <cell r="N3065">
            <v>65</v>
          </cell>
          <cell r="O3065" t="str">
            <v>155(F)</v>
          </cell>
          <cell r="P3065" t="str">
            <v>180°</v>
          </cell>
          <cell r="Q3065" t="str">
            <v>TF</v>
          </cell>
          <cell r="R3065" t="str">
            <v>-</v>
          </cell>
          <cell r="S3065" t="str">
            <v>-</v>
          </cell>
          <cell r="T3065" t="str">
            <v>-</v>
          </cell>
          <cell r="U3065" t="str">
            <v>T</v>
          </cell>
          <cell r="V3065" t="str">
            <v>D</v>
          </cell>
          <cell r="W3065" t="str">
            <v>YES</v>
          </cell>
          <cell r="X3065" t="str">
            <v>CLP HC 150 (-30/+50°C)</v>
          </cell>
          <cell r="Y3065" t="str">
            <v>KA37/T DRN80M4 /TF</v>
          </cell>
          <cell r="Z3065" t="str">
            <v>SEW</v>
          </cell>
          <cell r="AB3065" t="str">
            <v>-</v>
          </cell>
          <cell r="AF3065">
            <v>162</v>
          </cell>
          <cell r="AG3065" t="str">
            <v>DRN80M4</v>
          </cell>
          <cell r="AH3065" t="str">
            <v>KA37T-DRN80M4B180-X</v>
          </cell>
        </row>
        <row r="3066">
          <cell r="A3066" t="str">
            <v>MR003054</v>
          </cell>
          <cell r="B3066" t="str">
            <v>MR</v>
          </cell>
          <cell r="C3066">
            <v>15</v>
          </cell>
          <cell r="D3066">
            <v>38</v>
          </cell>
          <cell r="E3066" t="str">
            <v>FH97</v>
          </cell>
          <cell r="F3066">
            <v>3780</v>
          </cell>
          <cell r="G3066">
            <v>38.86</v>
          </cell>
          <cell r="H3066">
            <v>1.1499999999999999</v>
          </cell>
          <cell r="I3066" t="str">
            <v>M1</v>
          </cell>
          <cell r="J3066" t="str">
            <v>IE3</v>
          </cell>
          <cell r="K3066" t="str">
            <v>400/690</v>
          </cell>
          <cell r="L3066">
            <v>50</v>
          </cell>
          <cell r="M3066" t="str">
            <v>29/16,7</v>
          </cell>
          <cell r="N3066">
            <v>65</v>
          </cell>
          <cell r="O3066" t="str">
            <v>155(F)</v>
          </cell>
          <cell r="P3066" t="str">
            <v>270°</v>
          </cell>
          <cell r="Q3066" t="str">
            <v>TF</v>
          </cell>
          <cell r="R3066" t="str">
            <v>-</v>
          </cell>
          <cell r="S3066" t="str">
            <v>-</v>
          </cell>
          <cell r="T3066" t="str">
            <v>-</v>
          </cell>
          <cell r="U3066" t="str">
            <v>G</v>
          </cell>
          <cell r="V3066" t="str">
            <v>D</v>
          </cell>
          <cell r="W3066" t="str">
            <v>YES</v>
          </cell>
          <cell r="X3066" t="str">
            <v>CLP HC 150 (-30/+50°C)</v>
          </cell>
          <cell r="Y3066" t="str">
            <v>FH97/G DRN160L4 /TF</v>
          </cell>
          <cell r="Z3066" t="str">
            <v>SEW</v>
          </cell>
          <cell r="AB3066" t="str">
            <v>-</v>
          </cell>
          <cell r="AF3066">
            <v>38</v>
          </cell>
          <cell r="AG3066" t="str">
            <v>DRN160L4</v>
          </cell>
          <cell r="AH3066" t="str">
            <v>FH97G-DRN160L4270-X</v>
          </cell>
        </row>
        <row r="3067">
          <cell r="A3067" t="str">
            <v>MR003055</v>
          </cell>
          <cell r="B3067" t="str">
            <v>MR</v>
          </cell>
          <cell r="C3067">
            <v>11</v>
          </cell>
          <cell r="D3067">
            <v>15</v>
          </cell>
          <cell r="E3067" t="str">
            <v>KH107</v>
          </cell>
          <cell r="F3067">
            <v>7190</v>
          </cell>
          <cell r="G3067">
            <v>100.75</v>
          </cell>
          <cell r="H3067">
            <v>1.05</v>
          </cell>
          <cell r="I3067" t="str">
            <v>From M1A to M2A - 30°</v>
          </cell>
          <cell r="J3067" t="str">
            <v>IE3</v>
          </cell>
          <cell r="K3067" t="str">
            <v>400/690</v>
          </cell>
          <cell r="L3067">
            <v>50</v>
          </cell>
          <cell r="M3067" t="str">
            <v>21/12,2</v>
          </cell>
          <cell r="N3067">
            <v>65</v>
          </cell>
          <cell r="O3067" t="str">
            <v>155(F)</v>
          </cell>
          <cell r="P3067" t="str">
            <v>270°</v>
          </cell>
          <cell r="Q3067" t="str">
            <v>-</v>
          </cell>
          <cell r="R3067" t="str">
            <v>-</v>
          </cell>
          <cell r="S3067" t="str">
            <v>-</v>
          </cell>
          <cell r="T3067" t="str">
            <v>-</v>
          </cell>
          <cell r="U3067" t="str">
            <v>-</v>
          </cell>
          <cell r="V3067" t="str">
            <v>SS</v>
          </cell>
          <cell r="W3067" t="str">
            <v>-</v>
          </cell>
          <cell r="X3067" t="str">
            <v>CLP HC 220 (-25/+60°C)</v>
          </cell>
          <cell r="Y3067" t="str">
            <v>KH107EDRN160M4</v>
          </cell>
          <cell r="Z3067" t="str">
            <v>SEW</v>
          </cell>
          <cell r="AB3067" t="str">
            <v>ATEX22</v>
          </cell>
          <cell r="AF3067">
            <v>15</v>
          </cell>
          <cell r="AG3067" t="str">
            <v>EDRN160M4</v>
          </cell>
          <cell r="AH3067" t="str">
            <v>KH107-EDRN160M4A270-X</v>
          </cell>
        </row>
        <row r="3068">
          <cell r="A3068" t="str">
            <v>MR003056</v>
          </cell>
          <cell r="B3068" t="str">
            <v>MR</v>
          </cell>
          <cell r="C3068">
            <v>11</v>
          </cell>
          <cell r="D3068">
            <v>15</v>
          </cell>
          <cell r="E3068" t="str">
            <v>KH107</v>
          </cell>
          <cell r="F3068">
            <v>7190</v>
          </cell>
          <cell r="G3068">
            <v>100.75</v>
          </cell>
          <cell r="H3068">
            <v>1.05</v>
          </cell>
          <cell r="I3068" t="str">
            <v>From M1B to M2B - 30°</v>
          </cell>
          <cell r="J3068" t="str">
            <v>IE3</v>
          </cell>
          <cell r="K3068" t="str">
            <v>400/690</v>
          </cell>
          <cell r="L3068">
            <v>50</v>
          </cell>
          <cell r="M3068" t="str">
            <v>21/12,2</v>
          </cell>
          <cell r="N3068">
            <v>65</v>
          </cell>
          <cell r="O3068" t="str">
            <v>155(F)</v>
          </cell>
          <cell r="P3068" t="str">
            <v>270°</v>
          </cell>
          <cell r="Q3068" t="str">
            <v>-</v>
          </cell>
          <cell r="R3068" t="str">
            <v>-</v>
          </cell>
          <cell r="S3068" t="str">
            <v>-</v>
          </cell>
          <cell r="T3068" t="str">
            <v>-</v>
          </cell>
          <cell r="U3068" t="str">
            <v>-</v>
          </cell>
          <cell r="V3068" t="str">
            <v>SS</v>
          </cell>
          <cell r="W3068" t="str">
            <v>-</v>
          </cell>
          <cell r="X3068" t="str">
            <v>CLP HC 220 (-25/+60°C)</v>
          </cell>
          <cell r="Y3068" t="str">
            <v>KH107EDRN160M4</v>
          </cell>
          <cell r="Z3068" t="str">
            <v>SEW</v>
          </cell>
          <cell r="AB3068" t="str">
            <v>ATEX22</v>
          </cell>
          <cell r="AF3068">
            <v>15</v>
          </cell>
          <cell r="AG3068" t="str">
            <v>EDRN160M4</v>
          </cell>
          <cell r="AH3068" t="str">
            <v>KH107-EDRN160M4B270-X</v>
          </cell>
        </row>
        <row r="3069">
          <cell r="A3069" t="str">
            <v>MR003057</v>
          </cell>
          <cell r="B3069" t="str">
            <v>MR</v>
          </cell>
          <cell r="C3069">
            <v>7.5</v>
          </cell>
          <cell r="D3069">
            <v>15</v>
          </cell>
          <cell r="E3069" t="str">
            <v>KH107</v>
          </cell>
          <cell r="F3069">
            <v>4920</v>
          </cell>
          <cell r="G3069">
            <v>100.75</v>
          </cell>
          <cell r="H3069">
            <v>1.5</v>
          </cell>
          <cell r="I3069" t="str">
            <v>M1B</v>
          </cell>
          <cell r="J3069" t="str">
            <v>IE3</v>
          </cell>
          <cell r="K3069" t="str">
            <v>400/690</v>
          </cell>
          <cell r="L3069">
            <v>50</v>
          </cell>
          <cell r="M3069" t="str">
            <v>15,2/8,8</v>
          </cell>
          <cell r="N3069">
            <v>65</v>
          </cell>
          <cell r="O3069" t="str">
            <v>155(F)</v>
          </cell>
          <cell r="P3069" t="str">
            <v>270°</v>
          </cell>
          <cell r="Q3069" t="str">
            <v>-</v>
          </cell>
          <cell r="R3069" t="str">
            <v>-</v>
          </cell>
          <cell r="S3069" t="str">
            <v>-</v>
          </cell>
          <cell r="T3069" t="str">
            <v>-</v>
          </cell>
          <cell r="U3069" t="str">
            <v>-</v>
          </cell>
          <cell r="V3069" t="str">
            <v>SS</v>
          </cell>
          <cell r="W3069" t="str">
            <v>-</v>
          </cell>
          <cell r="X3069" t="str">
            <v>CLP HC 220 (-25/+60°C)</v>
          </cell>
          <cell r="Y3069" t="str">
            <v>KH107EDRN132M4</v>
          </cell>
          <cell r="Z3069" t="str">
            <v>SEW</v>
          </cell>
          <cell r="AB3069" t="str">
            <v>ATEX22</v>
          </cell>
          <cell r="AF3069">
            <v>15</v>
          </cell>
          <cell r="AG3069" t="str">
            <v>EDRN132M4</v>
          </cell>
          <cell r="AH3069" t="str">
            <v>KH107-EDRN132M4B270-X</v>
          </cell>
        </row>
        <row r="3070">
          <cell r="A3070" t="str">
            <v>MR003058</v>
          </cell>
          <cell r="B3070" t="str">
            <v>MR</v>
          </cell>
          <cell r="C3070">
            <v>7.5</v>
          </cell>
          <cell r="D3070">
            <v>15</v>
          </cell>
          <cell r="E3070" t="str">
            <v>KH107</v>
          </cell>
          <cell r="F3070">
            <v>4920</v>
          </cell>
          <cell r="G3070">
            <v>100.75</v>
          </cell>
          <cell r="H3070">
            <v>1.55</v>
          </cell>
          <cell r="I3070" t="str">
            <v>From M1A to M2A - 20°</v>
          </cell>
          <cell r="J3070" t="str">
            <v>IE3</v>
          </cell>
          <cell r="K3070" t="str">
            <v>400/690</v>
          </cell>
          <cell r="L3070">
            <v>50</v>
          </cell>
          <cell r="M3070" t="str">
            <v>15,2/8,8</v>
          </cell>
          <cell r="N3070">
            <v>65</v>
          </cell>
          <cell r="O3070" t="str">
            <v>155(F)</v>
          </cell>
          <cell r="P3070" t="str">
            <v>270°</v>
          </cell>
          <cell r="Q3070" t="str">
            <v>-</v>
          </cell>
          <cell r="R3070" t="str">
            <v>-</v>
          </cell>
          <cell r="S3070" t="str">
            <v>-</v>
          </cell>
          <cell r="T3070" t="str">
            <v>-</v>
          </cell>
          <cell r="U3070" t="str">
            <v>-</v>
          </cell>
          <cell r="V3070" t="str">
            <v>SS</v>
          </cell>
          <cell r="W3070" t="str">
            <v>-</v>
          </cell>
          <cell r="X3070" t="str">
            <v>CLP HC 220 (-25/+60°C)</v>
          </cell>
          <cell r="Y3070" t="str">
            <v>KH107EDRN132M4</v>
          </cell>
          <cell r="Z3070" t="str">
            <v>SEW</v>
          </cell>
          <cell r="AB3070" t="str">
            <v>ATEX22</v>
          </cell>
          <cell r="AF3070">
            <v>15</v>
          </cell>
          <cell r="AG3070" t="str">
            <v>EDRN132M4</v>
          </cell>
          <cell r="AH3070" t="str">
            <v>KH107-EDRN132M4A270-X</v>
          </cell>
        </row>
        <row r="3071">
          <cell r="A3071" t="str">
            <v>MR003059</v>
          </cell>
          <cell r="B3071" t="str">
            <v>MR</v>
          </cell>
          <cell r="C3071">
            <v>7.5</v>
          </cell>
          <cell r="D3071">
            <v>15</v>
          </cell>
          <cell r="E3071" t="str">
            <v>KH107</v>
          </cell>
          <cell r="F3071">
            <v>4920</v>
          </cell>
          <cell r="G3071">
            <v>100.75</v>
          </cell>
          <cell r="H3071">
            <v>1.5</v>
          </cell>
          <cell r="I3071" t="str">
            <v>From M1B to M2B - 20°</v>
          </cell>
          <cell r="J3071" t="str">
            <v>IE3</v>
          </cell>
          <cell r="K3071" t="str">
            <v>400/690</v>
          </cell>
          <cell r="L3071">
            <v>50</v>
          </cell>
          <cell r="M3071" t="str">
            <v>15,2/8,8</v>
          </cell>
          <cell r="N3071">
            <v>65</v>
          </cell>
          <cell r="O3071" t="str">
            <v>155(F)</v>
          </cell>
          <cell r="P3071" t="str">
            <v>270°</v>
          </cell>
          <cell r="Q3071" t="str">
            <v>-</v>
          </cell>
          <cell r="R3071" t="str">
            <v>-</v>
          </cell>
          <cell r="S3071" t="str">
            <v>-</v>
          </cell>
          <cell r="T3071" t="str">
            <v>-</v>
          </cell>
          <cell r="U3071" t="str">
            <v>-</v>
          </cell>
          <cell r="V3071" t="str">
            <v>SS</v>
          </cell>
          <cell r="W3071" t="str">
            <v>-</v>
          </cell>
          <cell r="X3071" t="str">
            <v>CLP HC 220 (-25/+60°C)</v>
          </cell>
          <cell r="Y3071" t="str">
            <v>KH107EDRN132M4</v>
          </cell>
          <cell r="Z3071" t="str">
            <v>SEW</v>
          </cell>
          <cell r="AB3071" t="str">
            <v>ATEX22</v>
          </cell>
          <cell r="AF3071">
            <v>15</v>
          </cell>
          <cell r="AG3071" t="str">
            <v>EDRN132M4</v>
          </cell>
          <cell r="AH3071" t="str">
            <v>KH107-EDRN132M4B270-X</v>
          </cell>
        </row>
        <row r="3072">
          <cell r="A3072" t="str">
            <v>MR003060</v>
          </cell>
          <cell r="B3072" t="str">
            <v>MR</v>
          </cell>
          <cell r="C3072">
            <v>7.5</v>
          </cell>
          <cell r="D3072">
            <v>15</v>
          </cell>
          <cell r="E3072" t="str">
            <v>KH107</v>
          </cell>
          <cell r="F3072">
            <v>4920</v>
          </cell>
          <cell r="G3072">
            <v>100.75</v>
          </cell>
          <cell r="H3072">
            <v>1.5</v>
          </cell>
          <cell r="I3072" t="str">
            <v>From M1B to M2B - 15°</v>
          </cell>
          <cell r="J3072" t="str">
            <v>IE3</v>
          </cell>
          <cell r="K3072" t="str">
            <v>400/690</v>
          </cell>
          <cell r="L3072">
            <v>50</v>
          </cell>
          <cell r="M3072" t="str">
            <v>15,2/8,8</v>
          </cell>
          <cell r="N3072">
            <v>65</v>
          </cell>
          <cell r="O3072" t="str">
            <v>155(F)</v>
          </cell>
          <cell r="P3072" t="str">
            <v>270°</v>
          </cell>
          <cell r="Q3072" t="str">
            <v>-</v>
          </cell>
          <cell r="R3072" t="str">
            <v>-</v>
          </cell>
          <cell r="S3072" t="str">
            <v>-</v>
          </cell>
          <cell r="T3072" t="str">
            <v>-</v>
          </cell>
          <cell r="U3072" t="str">
            <v>-</v>
          </cell>
          <cell r="V3072" t="str">
            <v>SS</v>
          </cell>
          <cell r="W3072" t="str">
            <v>-</v>
          </cell>
          <cell r="X3072" t="str">
            <v>CLP HC 220 (-25/+60°C)</v>
          </cell>
          <cell r="Y3072" t="str">
            <v>KH107EDRN132M4</v>
          </cell>
          <cell r="Z3072" t="str">
            <v>SEW</v>
          </cell>
          <cell r="AB3072" t="str">
            <v>ATEX22</v>
          </cell>
          <cell r="AF3072">
            <v>15</v>
          </cell>
          <cell r="AG3072" t="str">
            <v>EDRN132M4</v>
          </cell>
          <cell r="AH3072" t="str">
            <v>KH107-EDRN132M4B270-X</v>
          </cell>
        </row>
        <row r="3073">
          <cell r="A3073" t="str">
            <v>MR003061</v>
          </cell>
          <cell r="B3073" t="str">
            <v>MR</v>
          </cell>
          <cell r="C3073">
            <v>11</v>
          </cell>
          <cell r="D3073">
            <v>15</v>
          </cell>
          <cell r="E3073" t="str">
            <v>KH107</v>
          </cell>
          <cell r="F3073">
            <v>7190</v>
          </cell>
          <cell r="G3073">
            <v>100.75</v>
          </cell>
          <cell r="H3073">
            <v>1.05</v>
          </cell>
          <cell r="I3073" t="str">
            <v>From M1B to M2B - 20°</v>
          </cell>
          <cell r="J3073" t="str">
            <v>IE3</v>
          </cell>
          <cell r="K3073" t="str">
            <v>400/690</v>
          </cell>
          <cell r="L3073">
            <v>50</v>
          </cell>
          <cell r="M3073" t="str">
            <v>21/12,2</v>
          </cell>
          <cell r="N3073">
            <v>65</v>
          </cell>
          <cell r="O3073" t="str">
            <v>155(F)</v>
          </cell>
          <cell r="P3073" t="str">
            <v>270°</v>
          </cell>
          <cell r="Q3073" t="str">
            <v>-</v>
          </cell>
          <cell r="R3073" t="str">
            <v>-</v>
          </cell>
          <cell r="S3073" t="str">
            <v>-</v>
          </cell>
          <cell r="T3073" t="str">
            <v>-</v>
          </cell>
          <cell r="U3073" t="str">
            <v>-</v>
          </cell>
          <cell r="V3073" t="str">
            <v>SS</v>
          </cell>
          <cell r="W3073" t="str">
            <v>-</v>
          </cell>
          <cell r="X3073" t="str">
            <v>CLP HC 220 (-25/+60°C)</v>
          </cell>
          <cell r="Y3073" t="str">
            <v>KH107EDRN160M4</v>
          </cell>
          <cell r="Z3073" t="str">
            <v>SEW</v>
          </cell>
          <cell r="AB3073" t="str">
            <v>ATEX22</v>
          </cell>
          <cell r="AF3073">
            <v>15</v>
          </cell>
          <cell r="AG3073" t="str">
            <v>EDRN160M4</v>
          </cell>
          <cell r="AH3073" t="str">
            <v>KH107-EDRN160M4B270-X</v>
          </cell>
        </row>
        <row r="3074">
          <cell r="A3074" t="str">
            <v>MR003062</v>
          </cell>
          <cell r="B3074" t="str">
            <v>MR</v>
          </cell>
          <cell r="C3074">
            <v>15</v>
          </cell>
          <cell r="D3074">
            <v>13</v>
          </cell>
          <cell r="E3074" t="str">
            <v>KH127</v>
          </cell>
          <cell r="F3074">
            <v>10700</v>
          </cell>
          <cell r="G3074">
            <v>110.18</v>
          </cell>
          <cell r="H3074">
            <v>1.2</v>
          </cell>
          <cell r="I3074" t="str">
            <v>From M1A to M2A - 35°</v>
          </cell>
          <cell r="J3074" t="str">
            <v>IE3</v>
          </cell>
          <cell r="K3074" t="str">
            <v>400/690</v>
          </cell>
          <cell r="L3074">
            <v>50</v>
          </cell>
          <cell r="M3074" t="str">
            <v>29/16,7</v>
          </cell>
          <cell r="N3074">
            <v>65</v>
          </cell>
          <cell r="O3074" t="str">
            <v>155(F)</v>
          </cell>
          <cell r="P3074" t="str">
            <v>270°</v>
          </cell>
          <cell r="Q3074" t="str">
            <v>-</v>
          </cell>
          <cell r="R3074" t="str">
            <v>-</v>
          </cell>
          <cell r="S3074" t="str">
            <v>-</v>
          </cell>
          <cell r="T3074" t="str">
            <v>-</v>
          </cell>
          <cell r="U3074" t="str">
            <v>-</v>
          </cell>
          <cell r="V3074" t="str">
            <v>SS</v>
          </cell>
          <cell r="W3074" t="str">
            <v>-</v>
          </cell>
          <cell r="X3074" t="str">
            <v>CLP HC 220 (-25/+60°C)</v>
          </cell>
          <cell r="Y3074" t="str">
            <v>KH127EDRN160L4</v>
          </cell>
          <cell r="Z3074" t="str">
            <v>SEW</v>
          </cell>
          <cell r="AB3074" t="str">
            <v>ATEX22</v>
          </cell>
          <cell r="AF3074">
            <v>13</v>
          </cell>
          <cell r="AG3074" t="str">
            <v>EDRN160L4</v>
          </cell>
          <cell r="AH3074" t="str">
            <v>KH127-EDRN160L4A270-X</v>
          </cell>
        </row>
        <row r="3075">
          <cell r="A3075" t="str">
            <v>MR003063</v>
          </cell>
          <cell r="B3075" t="str">
            <v>MR</v>
          </cell>
          <cell r="C3075">
            <v>15</v>
          </cell>
          <cell r="D3075">
            <v>13</v>
          </cell>
          <cell r="E3075" t="str">
            <v>KH127</v>
          </cell>
          <cell r="F3075">
            <v>10700</v>
          </cell>
          <cell r="G3075">
            <v>110.18</v>
          </cell>
          <cell r="H3075">
            <v>1.2</v>
          </cell>
          <cell r="I3075" t="str">
            <v>From M1B to M2B - 35°</v>
          </cell>
          <cell r="J3075" t="str">
            <v>IE3</v>
          </cell>
          <cell r="K3075" t="str">
            <v>400/690</v>
          </cell>
          <cell r="L3075">
            <v>50</v>
          </cell>
          <cell r="M3075" t="str">
            <v>29/16,7</v>
          </cell>
          <cell r="N3075">
            <v>65</v>
          </cell>
          <cell r="O3075" t="str">
            <v>155(F)</v>
          </cell>
          <cell r="P3075" t="str">
            <v>270°</v>
          </cell>
          <cell r="Q3075" t="str">
            <v>-</v>
          </cell>
          <cell r="R3075" t="str">
            <v>-</v>
          </cell>
          <cell r="S3075" t="str">
            <v>-</v>
          </cell>
          <cell r="T3075" t="str">
            <v>-</v>
          </cell>
          <cell r="U3075" t="str">
            <v>-</v>
          </cell>
          <cell r="V3075" t="str">
            <v>SS</v>
          </cell>
          <cell r="W3075" t="str">
            <v>-</v>
          </cell>
          <cell r="X3075" t="str">
            <v>CLP HC 220 (-25/+60°C)</v>
          </cell>
          <cell r="Y3075" t="str">
            <v>KH127EDRN160L4</v>
          </cell>
          <cell r="Z3075" t="str">
            <v>SEW</v>
          </cell>
          <cell r="AB3075" t="str">
            <v>ATEX22</v>
          </cell>
          <cell r="AF3075">
            <v>13</v>
          </cell>
          <cell r="AG3075" t="str">
            <v>EDRN160L4</v>
          </cell>
          <cell r="AH3075" t="str">
            <v>KH127-EDRN160L4B270-X</v>
          </cell>
        </row>
        <row r="3076">
          <cell r="A3076" t="str">
            <v>MR003064</v>
          </cell>
          <cell r="B3076" t="str">
            <v>MR</v>
          </cell>
          <cell r="C3076">
            <v>7.5</v>
          </cell>
          <cell r="D3076">
            <v>13</v>
          </cell>
          <cell r="E3076" t="str">
            <v>KH107</v>
          </cell>
          <cell r="F3076">
            <v>5480</v>
          </cell>
          <cell r="G3076">
            <v>112.41</v>
          </cell>
          <cell r="H3076">
            <v>1.4</v>
          </cell>
          <cell r="I3076" t="str">
            <v>M1B</v>
          </cell>
          <cell r="J3076" t="str">
            <v>IE3</v>
          </cell>
          <cell r="K3076" t="str">
            <v>400/690</v>
          </cell>
          <cell r="L3076">
            <v>50</v>
          </cell>
          <cell r="M3076" t="str">
            <v>15,2/8,8</v>
          </cell>
          <cell r="N3076">
            <v>65</v>
          </cell>
          <cell r="O3076" t="str">
            <v>155(F)</v>
          </cell>
          <cell r="P3076" t="str">
            <v>270°</v>
          </cell>
          <cell r="Q3076" t="str">
            <v>-</v>
          </cell>
          <cell r="R3076" t="str">
            <v>-</v>
          </cell>
          <cell r="S3076" t="str">
            <v>-</v>
          </cell>
          <cell r="T3076" t="str">
            <v>-</v>
          </cell>
          <cell r="U3076" t="str">
            <v>-</v>
          </cell>
          <cell r="V3076" t="str">
            <v>SS</v>
          </cell>
          <cell r="W3076" t="str">
            <v>-</v>
          </cell>
          <cell r="X3076" t="str">
            <v>CLP HC 220 (-25/+60°C)</v>
          </cell>
          <cell r="Y3076" t="str">
            <v>KH107EDRN132M4</v>
          </cell>
          <cell r="Z3076" t="str">
            <v>SEW</v>
          </cell>
          <cell r="AB3076" t="str">
            <v>ATEX22</v>
          </cell>
          <cell r="AF3076">
            <v>13</v>
          </cell>
          <cell r="AG3076" t="str">
            <v>EDRN132M4</v>
          </cell>
          <cell r="AH3076" t="str">
            <v>KH107-EDRN132M4B270-X</v>
          </cell>
        </row>
        <row r="3077">
          <cell r="A3077" t="str">
            <v>MR003065</v>
          </cell>
          <cell r="B3077" t="str">
            <v>MR</v>
          </cell>
          <cell r="C3077">
            <v>15</v>
          </cell>
          <cell r="D3077">
            <v>13</v>
          </cell>
          <cell r="E3077" t="str">
            <v>KH127</v>
          </cell>
          <cell r="F3077">
            <v>10700</v>
          </cell>
          <cell r="G3077">
            <v>110.18</v>
          </cell>
          <cell r="H3077">
            <v>1.2</v>
          </cell>
          <cell r="I3077" t="str">
            <v>M1B</v>
          </cell>
          <cell r="J3077" t="str">
            <v>IE3</v>
          </cell>
          <cell r="K3077" t="str">
            <v>400/690</v>
          </cell>
          <cell r="L3077">
            <v>50</v>
          </cell>
          <cell r="M3077" t="str">
            <v>29/16,7</v>
          </cell>
          <cell r="N3077">
            <v>65</v>
          </cell>
          <cell r="O3077" t="str">
            <v>155(F)</v>
          </cell>
          <cell r="P3077" t="str">
            <v>270°</v>
          </cell>
          <cell r="Q3077" t="str">
            <v>-</v>
          </cell>
          <cell r="R3077" t="str">
            <v>-</v>
          </cell>
          <cell r="S3077" t="str">
            <v>-</v>
          </cell>
          <cell r="T3077" t="str">
            <v>-</v>
          </cell>
          <cell r="U3077" t="str">
            <v>-</v>
          </cell>
          <cell r="V3077" t="str">
            <v>SS</v>
          </cell>
          <cell r="W3077" t="str">
            <v>-</v>
          </cell>
          <cell r="X3077" t="str">
            <v>CLP HC 220 (-25/+60°C)</v>
          </cell>
          <cell r="Y3077" t="str">
            <v>KH127EDRN160L4</v>
          </cell>
          <cell r="Z3077" t="str">
            <v>SEW</v>
          </cell>
          <cell r="AB3077" t="str">
            <v>ATEX22</v>
          </cell>
          <cell r="AF3077">
            <v>13</v>
          </cell>
          <cell r="AG3077" t="str">
            <v>EDRN160L4</v>
          </cell>
          <cell r="AH3077" t="str">
            <v>KH127-EDRN160L4B270-X</v>
          </cell>
        </row>
        <row r="3078">
          <cell r="A3078" t="str">
            <v>MR003066</v>
          </cell>
          <cell r="B3078" t="str">
            <v>MR</v>
          </cell>
          <cell r="C3078">
            <v>18.5</v>
          </cell>
          <cell r="D3078">
            <v>12</v>
          </cell>
          <cell r="E3078" t="str">
            <v>KH157</v>
          </cell>
          <cell r="F3078">
            <v>14600</v>
          </cell>
          <cell r="G3078">
            <v>122.39</v>
          </cell>
          <cell r="H3078">
            <v>1.35</v>
          </cell>
          <cell r="I3078" t="str">
            <v>M1B</v>
          </cell>
          <cell r="J3078" t="str">
            <v>IE3</v>
          </cell>
          <cell r="K3078" t="str">
            <v>400/690</v>
          </cell>
          <cell r="L3078">
            <v>50</v>
          </cell>
          <cell r="M3078" t="str">
            <v>33,5/19,3</v>
          </cell>
          <cell r="N3078">
            <v>65</v>
          </cell>
          <cell r="O3078" t="str">
            <v>155(F)</v>
          </cell>
          <cell r="P3078" t="str">
            <v>270°</v>
          </cell>
          <cell r="Q3078" t="str">
            <v>-</v>
          </cell>
          <cell r="R3078" t="str">
            <v>-</v>
          </cell>
          <cell r="S3078" t="str">
            <v>-</v>
          </cell>
          <cell r="T3078" t="str">
            <v>-</v>
          </cell>
          <cell r="U3078" t="str">
            <v>-</v>
          </cell>
          <cell r="V3078" t="str">
            <v>SS</v>
          </cell>
          <cell r="W3078" t="str">
            <v>-</v>
          </cell>
          <cell r="X3078" t="str">
            <v>CLP HC 220 (-25/+60°C)</v>
          </cell>
          <cell r="Y3078" t="str">
            <v>KH157EDRN180M4</v>
          </cell>
          <cell r="Z3078" t="str">
            <v>SEW</v>
          </cell>
          <cell r="AB3078" t="str">
            <v>ATEX22</v>
          </cell>
          <cell r="AF3078">
            <v>12</v>
          </cell>
          <cell r="AG3078" t="str">
            <v>EDRN180M4</v>
          </cell>
          <cell r="AH3078" t="str">
            <v>KH157-EDRN180M4B270-X</v>
          </cell>
        </row>
        <row r="3079">
          <cell r="A3079" t="str">
            <v>MR003067</v>
          </cell>
          <cell r="B3079" t="str">
            <v>MR</v>
          </cell>
          <cell r="C3079">
            <v>22</v>
          </cell>
          <cell r="D3079">
            <v>12</v>
          </cell>
          <cell r="E3079" t="str">
            <v>KH157</v>
          </cell>
          <cell r="F3079">
            <v>17400</v>
          </cell>
          <cell r="G3079">
            <v>122.4</v>
          </cell>
          <cell r="H3079">
            <v>1.1499999999999999</v>
          </cell>
          <cell r="I3079" t="str">
            <v>From M1B to M2B - 30°</v>
          </cell>
          <cell r="J3079" t="str">
            <v>IE3</v>
          </cell>
          <cell r="K3079" t="str">
            <v>400/690</v>
          </cell>
          <cell r="L3079">
            <v>50</v>
          </cell>
          <cell r="M3079" t="str">
            <v>38,5/22,5</v>
          </cell>
          <cell r="N3079">
            <v>65</v>
          </cell>
          <cell r="O3079" t="str">
            <v>155(F)</v>
          </cell>
          <cell r="P3079" t="str">
            <v>270°</v>
          </cell>
          <cell r="Q3079" t="str">
            <v>-</v>
          </cell>
          <cell r="R3079" t="str">
            <v>-</v>
          </cell>
          <cell r="S3079" t="str">
            <v>-</v>
          </cell>
          <cell r="T3079" t="str">
            <v>-</v>
          </cell>
          <cell r="U3079" t="str">
            <v>-</v>
          </cell>
          <cell r="V3079" t="str">
            <v>SS</v>
          </cell>
          <cell r="W3079" t="str">
            <v>-</v>
          </cell>
          <cell r="X3079" t="str">
            <v>CLP HC 220 (-25/+60°C)</v>
          </cell>
          <cell r="Y3079" t="str">
            <v>KH157EDRN180L4</v>
          </cell>
          <cell r="Z3079" t="str">
            <v>SEW</v>
          </cell>
          <cell r="AB3079" t="str">
            <v>ATEX22</v>
          </cell>
          <cell r="AF3079">
            <v>12</v>
          </cell>
          <cell r="AG3079" t="str">
            <v>EDRN180L4</v>
          </cell>
          <cell r="AH3079" t="str">
            <v>KH157-EDRN180L4B270-X</v>
          </cell>
        </row>
        <row r="3080">
          <cell r="A3080" t="str">
            <v>MR003068</v>
          </cell>
          <cell r="B3080" t="str">
            <v>MR</v>
          </cell>
          <cell r="C3080">
            <v>18.5</v>
          </cell>
          <cell r="D3080">
            <v>16</v>
          </cell>
          <cell r="E3080" t="str">
            <v>KH127</v>
          </cell>
          <cell r="F3080">
            <v>10700</v>
          </cell>
          <cell r="G3080">
            <v>89.89</v>
          </cell>
          <cell r="H3080">
            <v>1.2</v>
          </cell>
          <cell r="I3080" t="str">
            <v>From M1B to M4B - 75°</v>
          </cell>
          <cell r="J3080" t="str">
            <v>IE3</v>
          </cell>
          <cell r="K3080" t="str">
            <v>400/690</v>
          </cell>
          <cell r="L3080">
            <v>50</v>
          </cell>
          <cell r="M3080" t="str">
            <v>33,5/19,3</v>
          </cell>
          <cell r="N3080">
            <v>65</v>
          </cell>
          <cell r="O3080" t="str">
            <v>155(F)</v>
          </cell>
          <cell r="P3080" t="str">
            <v>270°</v>
          </cell>
          <cell r="Q3080" t="str">
            <v>-</v>
          </cell>
          <cell r="R3080" t="str">
            <v>-</v>
          </cell>
          <cell r="S3080" t="str">
            <v>-</v>
          </cell>
          <cell r="T3080" t="str">
            <v>-</v>
          </cell>
          <cell r="U3080" t="str">
            <v>-</v>
          </cell>
          <cell r="V3080" t="str">
            <v>SS</v>
          </cell>
          <cell r="W3080" t="str">
            <v>-</v>
          </cell>
          <cell r="X3080" t="str">
            <v>CLP HC 220 (-25/+60°C)</v>
          </cell>
          <cell r="Y3080" t="str">
            <v>KH127EDRN180M4</v>
          </cell>
          <cell r="Z3080" t="str">
            <v>SEW</v>
          </cell>
          <cell r="AB3080" t="str">
            <v>ATEX22</v>
          </cell>
          <cell r="AF3080">
            <v>16</v>
          </cell>
          <cell r="AG3080" t="str">
            <v>EDRN180M4</v>
          </cell>
          <cell r="AH3080" t="str">
            <v>KH127-EDRN180M4B270-X</v>
          </cell>
        </row>
        <row r="3081">
          <cell r="A3081" t="str">
            <v>MR003069</v>
          </cell>
          <cell r="B3081" t="str">
            <v>MR</v>
          </cell>
          <cell r="C3081">
            <v>11</v>
          </cell>
          <cell r="D3081">
            <v>16</v>
          </cell>
          <cell r="E3081" t="str">
            <v>KH107</v>
          </cell>
          <cell r="F3081">
            <v>6490</v>
          </cell>
          <cell r="G3081">
            <v>90.96</v>
          </cell>
          <cell r="H3081">
            <v>1.1000000000000001</v>
          </cell>
          <cell r="I3081" t="str">
            <v>M4B</v>
          </cell>
          <cell r="J3081" t="str">
            <v>IE3</v>
          </cell>
          <cell r="K3081" t="str">
            <v>400/690</v>
          </cell>
          <cell r="L3081">
            <v>50</v>
          </cell>
          <cell r="M3081" t="str">
            <v>21/12,2</v>
          </cell>
          <cell r="N3081">
            <v>65</v>
          </cell>
          <cell r="O3081" t="str">
            <v>155(F)</v>
          </cell>
          <cell r="P3081" t="str">
            <v>270°</v>
          </cell>
          <cell r="Q3081" t="str">
            <v>-</v>
          </cell>
          <cell r="R3081" t="str">
            <v>-</v>
          </cell>
          <cell r="S3081" t="str">
            <v>-</v>
          </cell>
          <cell r="T3081" t="str">
            <v>-</v>
          </cell>
          <cell r="U3081" t="str">
            <v>-</v>
          </cell>
          <cell r="V3081" t="str">
            <v>SS</v>
          </cell>
          <cell r="W3081" t="str">
            <v>-</v>
          </cell>
          <cell r="X3081" t="str">
            <v>CLP HC 220 (-25/+60°C)</v>
          </cell>
          <cell r="Y3081" t="str">
            <v>KH107EDRN160M4</v>
          </cell>
          <cell r="Z3081" t="str">
            <v>SEW</v>
          </cell>
          <cell r="AB3081" t="str">
            <v>ATEX22</v>
          </cell>
          <cell r="AF3081">
            <v>16</v>
          </cell>
          <cell r="AG3081" t="str">
            <v>EDRN160M4</v>
          </cell>
          <cell r="AH3081" t="str">
            <v>KH107-EDRN160M4B270-X</v>
          </cell>
        </row>
        <row r="3082">
          <cell r="A3082" t="str">
            <v>MR003070</v>
          </cell>
          <cell r="B3082" t="str">
            <v>MR</v>
          </cell>
          <cell r="C3082">
            <v>11</v>
          </cell>
          <cell r="D3082">
            <v>15</v>
          </cell>
          <cell r="E3082" t="str">
            <v>KH107</v>
          </cell>
          <cell r="F3082">
            <v>7190</v>
          </cell>
          <cell r="G3082">
            <v>100.75</v>
          </cell>
          <cell r="H3082">
            <v>1.05</v>
          </cell>
          <cell r="I3082" t="str">
            <v>M1A</v>
          </cell>
          <cell r="J3082" t="str">
            <v>IE3</v>
          </cell>
          <cell r="K3082" t="str">
            <v>400/690</v>
          </cell>
          <cell r="L3082">
            <v>50</v>
          </cell>
          <cell r="M3082" t="str">
            <v>21/12,2</v>
          </cell>
          <cell r="N3082">
            <v>65</v>
          </cell>
          <cell r="O3082" t="str">
            <v>155(F)</v>
          </cell>
          <cell r="P3082" t="str">
            <v>270°</v>
          </cell>
          <cell r="Q3082" t="str">
            <v>-</v>
          </cell>
          <cell r="R3082" t="str">
            <v>-</v>
          </cell>
          <cell r="S3082" t="str">
            <v>-</v>
          </cell>
          <cell r="T3082" t="str">
            <v>-</v>
          </cell>
          <cell r="U3082" t="str">
            <v>-</v>
          </cell>
          <cell r="V3082" t="str">
            <v>SS</v>
          </cell>
          <cell r="W3082" t="str">
            <v>-</v>
          </cell>
          <cell r="X3082" t="str">
            <v>CLP HC 220 (-25/+60°C)</v>
          </cell>
          <cell r="Y3082" t="str">
            <v>KH107EDRN160M4</v>
          </cell>
          <cell r="Z3082" t="str">
            <v>SEW</v>
          </cell>
          <cell r="AB3082" t="str">
            <v>ATEX22</v>
          </cell>
          <cell r="AF3082">
            <v>15</v>
          </cell>
          <cell r="AG3082" t="str">
            <v>EDRN160M4</v>
          </cell>
          <cell r="AH3082" t="str">
            <v>KH107-EDRN160M4A270-X</v>
          </cell>
        </row>
        <row r="3083">
          <cell r="A3083" t="str">
            <v>MR003071</v>
          </cell>
          <cell r="B3083" t="str">
            <v>MR</v>
          </cell>
          <cell r="C3083">
            <v>7.5</v>
          </cell>
          <cell r="D3083">
            <v>15</v>
          </cell>
          <cell r="E3083" t="str">
            <v>KH107</v>
          </cell>
          <cell r="F3083">
            <v>4920</v>
          </cell>
          <cell r="G3083">
            <v>100.75</v>
          </cell>
          <cell r="H3083">
            <v>1.5</v>
          </cell>
          <cell r="I3083" t="str">
            <v>From M1B to M2B - 40°</v>
          </cell>
          <cell r="J3083" t="str">
            <v>IE3</v>
          </cell>
          <cell r="K3083" t="str">
            <v>400/690</v>
          </cell>
          <cell r="L3083">
            <v>50</v>
          </cell>
          <cell r="M3083" t="str">
            <v>15,2/8,8</v>
          </cell>
          <cell r="N3083">
            <v>65</v>
          </cell>
          <cell r="O3083" t="str">
            <v>155(F)</v>
          </cell>
          <cell r="P3083" t="str">
            <v>270°</v>
          </cell>
          <cell r="Q3083" t="str">
            <v>-</v>
          </cell>
          <cell r="R3083" t="str">
            <v>-</v>
          </cell>
          <cell r="S3083" t="str">
            <v>-</v>
          </cell>
          <cell r="T3083" t="str">
            <v>-</v>
          </cell>
          <cell r="U3083" t="str">
            <v>-</v>
          </cell>
          <cell r="V3083" t="str">
            <v>SS</v>
          </cell>
          <cell r="W3083" t="str">
            <v>-</v>
          </cell>
          <cell r="X3083" t="str">
            <v>CLP HC 220 (-25/+60°C)</v>
          </cell>
          <cell r="Y3083" t="str">
            <v>KH107EDRN132M4</v>
          </cell>
          <cell r="Z3083" t="str">
            <v>SEW</v>
          </cell>
          <cell r="AB3083" t="str">
            <v>ATEX22</v>
          </cell>
          <cell r="AF3083">
            <v>15</v>
          </cell>
          <cell r="AG3083" t="str">
            <v>EDRN132M4</v>
          </cell>
          <cell r="AH3083" t="str">
            <v>KH107-EDRN132M4B270-X</v>
          </cell>
        </row>
        <row r="3084">
          <cell r="A3084" t="str">
            <v>MR003072</v>
          </cell>
          <cell r="B3084" t="str">
            <v>MR</v>
          </cell>
          <cell r="C3084">
            <v>7.5</v>
          </cell>
          <cell r="D3084">
            <v>15</v>
          </cell>
          <cell r="E3084" t="str">
            <v>KH107</v>
          </cell>
          <cell r="F3084">
            <v>4920</v>
          </cell>
          <cell r="G3084">
            <v>100.75</v>
          </cell>
          <cell r="H3084">
            <v>1.55</v>
          </cell>
          <cell r="I3084" t="str">
            <v>From M1A to M2A - 35°</v>
          </cell>
          <cell r="J3084" t="str">
            <v>IE3</v>
          </cell>
          <cell r="K3084" t="str">
            <v>400/690</v>
          </cell>
          <cell r="L3084">
            <v>50</v>
          </cell>
          <cell r="M3084" t="str">
            <v>15,2/8,8</v>
          </cell>
          <cell r="N3084">
            <v>65</v>
          </cell>
          <cell r="O3084" t="str">
            <v>155(F)</v>
          </cell>
          <cell r="P3084" t="str">
            <v>270°</v>
          </cell>
          <cell r="Q3084" t="str">
            <v>-</v>
          </cell>
          <cell r="R3084" t="str">
            <v>-</v>
          </cell>
          <cell r="S3084" t="str">
            <v>-</v>
          </cell>
          <cell r="T3084" t="str">
            <v>-</v>
          </cell>
          <cell r="U3084" t="str">
            <v>-</v>
          </cell>
          <cell r="V3084" t="str">
            <v>SS</v>
          </cell>
          <cell r="W3084" t="str">
            <v>-</v>
          </cell>
          <cell r="X3084" t="str">
            <v>CLP HC 220 (-25/+60°C)</v>
          </cell>
          <cell r="Y3084" t="str">
            <v>KH107EDRN132M4</v>
          </cell>
          <cell r="Z3084" t="str">
            <v>SEW</v>
          </cell>
          <cell r="AB3084" t="str">
            <v>ATEX22</v>
          </cell>
          <cell r="AF3084">
            <v>15</v>
          </cell>
          <cell r="AG3084" t="str">
            <v>EDRN132M4</v>
          </cell>
          <cell r="AH3084" t="str">
            <v>KH107-EDRN132M4A270-X</v>
          </cell>
        </row>
        <row r="3085">
          <cell r="A3085" t="str">
            <v>MR003073</v>
          </cell>
          <cell r="B3085" t="str">
            <v>MR</v>
          </cell>
          <cell r="C3085">
            <v>15</v>
          </cell>
          <cell r="D3085">
            <v>16</v>
          </cell>
          <cell r="E3085" t="str">
            <v>KH127</v>
          </cell>
          <cell r="F3085">
            <v>8740</v>
          </cell>
          <cell r="G3085">
            <v>89.89</v>
          </cell>
          <cell r="H3085">
            <v>1.5</v>
          </cell>
          <cell r="I3085" t="str">
            <v>M4A</v>
          </cell>
          <cell r="J3085" t="str">
            <v>IE3</v>
          </cell>
          <cell r="K3085" t="str">
            <v>400/690</v>
          </cell>
          <cell r="L3085">
            <v>50</v>
          </cell>
          <cell r="M3085" t="str">
            <v>29/16,7</v>
          </cell>
          <cell r="N3085">
            <v>65</v>
          </cell>
          <cell r="O3085" t="str">
            <v>155(F)</v>
          </cell>
          <cell r="P3085" t="str">
            <v>270°</v>
          </cell>
          <cell r="Q3085" t="str">
            <v>-</v>
          </cell>
          <cell r="R3085" t="str">
            <v>-</v>
          </cell>
          <cell r="S3085" t="str">
            <v>-</v>
          </cell>
          <cell r="T3085" t="str">
            <v>-</v>
          </cell>
          <cell r="U3085" t="str">
            <v>-</v>
          </cell>
          <cell r="V3085" t="str">
            <v>SS</v>
          </cell>
          <cell r="W3085" t="str">
            <v>-</v>
          </cell>
          <cell r="X3085" t="str">
            <v>CLP HC 220 (-25/+60°C)</v>
          </cell>
          <cell r="Y3085" t="str">
            <v>KH127EDRN160L4</v>
          </cell>
          <cell r="Z3085" t="str">
            <v>SEW</v>
          </cell>
          <cell r="AB3085" t="str">
            <v>ATEX22</v>
          </cell>
          <cell r="AF3085">
            <v>16</v>
          </cell>
          <cell r="AG3085" t="str">
            <v>EDRN160L4</v>
          </cell>
          <cell r="AH3085" t="str">
            <v>KH127-EDRN160L4A270-X</v>
          </cell>
        </row>
        <row r="3086">
          <cell r="A3086" t="str">
            <v>MR003074</v>
          </cell>
          <cell r="B3086" t="str">
            <v>MR</v>
          </cell>
          <cell r="C3086">
            <v>15</v>
          </cell>
          <cell r="D3086">
            <v>16</v>
          </cell>
          <cell r="E3086" t="str">
            <v>KH127</v>
          </cell>
          <cell r="F3086">
            <v>8740</v>
          </cell>
          <cell r="G3086">
            <v>89.89</v>
          </cell>
          <cell r="H3086">
            <v>1.5</v>
          </cell>
          <cell r="I3086" t="str">
            <v>M4B</v>
          </cell>
          <cell r="J3086" t="str">
            <v>IE3</v>
          </cell>
          <cell r="K3086" t="str">
            <v>400/690</v>
          </cell>
          <cell r="L3086">
            <v>50</v>
          </cell>
          <cell r="M3086" t="str">
            <v>29/16,7</v>
          </cell>
          <cell r="N3086">
            <v>65</v>
          </cell>
          <cell r="O3086" t="str">
            <v>155(F)</v>
          </cell>
          <cell r="P3086" t="str">
            <v>270°</v>
          </cell>
          <cell r="Q3086" t="str">
            <v>-</v>
          </cell>
          <cell r="R3086" t="str">
            <v>-</v>
          </cell>
          <cell r="S3086" t="str">
            <v>-</v>
          </cell>
          <cell r="T3086" t="str">
            <v>-</v>
          </cell>
          <cell r="U3086" t="str">
            <v>-</v>
          </cell>
          <cell r="V3086" t="str">
            <v>SS</v>
          </cell>
          <cell r="W3086" t="str">
            <v>-</v>
          </cell>
          <cell r="X3086" t="str">
            <v>CLP HC 220 (-25/+60°C)</v>
          </cell>
          <cell r="Y3086" t="str">
            <v>KH127EDRN160L4</v>
          </cell>
          <cell r="Z3086" t="str">
            <v>SEW</v>
          </cell>
          <cell r="AB3086" t="str">
            <v>ATEX22</v>
          </cell>
          <cell r="AF3086">
            <v>16</v>
          </cell>
          <cell r="AG3086" t="str">
            <v>EDRN160L4</v>
          </cell>
          <cell r="AH3086" t="str">
            <v>KH127-EDRN160L4B270-X</v>
          </cell>
        </row>
        <row r="3087">
          <cell r="A3087" t="str">
            <v>MR003075</v>
          </cell>
          <cell r="B3087" t="str">
            <v>MR</v>
          </cell>
          <cell r="C3087">
            <v>30</v>
          </cell>
          <cell r="D3087">
            <v>16</v>
          </cell>
          <cell r="E3087" t="str">
            <v>KH157</v>
          </cell>
          <cell r="F3087">
            <v>17700</v>
          </cell>
          <cell r="G3087">
            <v>91.65</v>
          </cell>
          <cell r="H3087">
            <v>1.1499999999999999</v>
          </cell>
          <cell r="I3087" t="str">
            <v>From M1A to M4A - 70°</v>
          </cell>
          <cell r="J3087" t="str">
            <v>IE3</v>
          </cell>
          <cell r="K3087" t="str">
            <v>400/690</v>
          </cell>
          <cell r="L3087">
            <v>50</v>
          </cell>
          <cell r="M3087" t="str">
            <v>56/32,5</v>
          </cell>
          <cell r="N3087">
            <v>65</v>
          </cell>
          <cell r="O3087" t="str">
            <v>155(F)</v>
          </cell>
          <cell r="P3087" t="str">
            <v>270°</v>
          </cell>
          <cell r="Q3087" t="str">
            <v>TF</v>
          </cell>
          <cell r="R3087" t="str">
            <v>V(VE)</v>
          </cell>
          <cell r="S3087" t="str">
            <v>-</v>
          </cell>
          <cell r="T3087" t="str">
            <v>-</v>
          </cell>
          <cell r="U3087" t="str">
            <v>-</v>
          </cell>
          <cell r="V3087" t="str">
            <v>FC</v>
          </cell>
          <cell r="W3087" t="str">
            <v>-</v>
          </cell>
          <cell r="X3087" t="str">
            <v>CLP HC 220 (-25/+60°C)</v>
          </cell>
          <cell r="Y3087" t="str">
            <v>KH157EDRN200L4 /TF/VE</v>
          </cell>
          <cell r="Z3087" t="str">
            <v>SEW</v>
          </cell>
          <cell r="AB3087" t="str">
            <v>ATEX22</v>
          </cell>
          <cell r="AF3087">
            <v>16</v>
          </cell>
          <cell r="AG3087" t="str">
            <v>EDRN200L4</v>
          </cell>
          <cell r="AH3087" t="str">
            <v>KH157-EDRN200L4A270-X#</v>
          </cell>
        </row>
        <row r="3088">
          <cell r="A3088" t="str">
            <v>MR003076</v>
          </cell>
          <cell r="B3088" t="str">
            <v>MR</v>
          </cell>
          <cell r="C3088">
            <v>30</v>
          </cell>
          <cell r="D3088">
            <v>16</v>
          </cell>
          <cell r="E3088" t="str">
            <v>KH157</v>
          </cell>
          <cell r="F3088">
            <v>17700</v>
          </cell>
          <cell r="G3088">
            <v>91.65</v>
          </cell>
          <cell r="H3088">
            <v>1.1499999999999999</v>
          </cell>
          <cell r="I3088" t="str">
            <v>From M1B to M4B - 70°</v>
          </cell>
          <cell r="J3088" t="str">
            <v>IE3</v>
          </cell>
          <cell r="K3088" t="str">
            <v>400/690</v>
          </cell>
          <cell r="L3088">
            <v>50</v>
          </cell>
          <cell r="M3088" t="str">
            <v>56/32,5</v>
          </cell>
          <cell r="N3088">
            <v>65</v>
          </cell>
          <cell r="O3088" t="str">
            <v>155(F)</v>
          </cell>
          <cell r="P3088" t="str">
            <v>270°</v>
          </cell>
          <cell r="Q3088" t="str">
            <v>TF</v>
          </cell>
          <cell r="R3088" t="str">
            <v>V(VE)</v>
          </cell>
          <cell r="S3088" t="str">
            <v>-</v>
          </cell>
          <cell r="T3088" t="str">
            <v>-</v>
          </cell>
          <cell r="U3088" t="str">
            <v>-</v>
          </cell>
          <cell r="V3088" t="str">
            <v>FC</v>
          </cell>
          <cell r="W3088" t="str">
            <v>-</v>
          </cell>
          <cell r="X3088" t="str">
            <v>CLP HC 220 (-25/+60°C)</v>
          </cell>
          <cell r="Y3088" t="str">
            <v>KH157EDRN200L4 /TF/VE</v>
          </cell>
          <cell r="Z3088" t="str">
            <v>SEW</v>
          </cell>
          <cell r="AB3088" t="str">
            <v>ATEX22</v>
          </cell>
          <cell r="AF3088">
            <v>16</v>
          </cell>
          <cell r="AG3088" t="str">
            <v>EDRN200L4</v>
          </cell>
          <cell r="AH3088" t="str">
            <v>KH157-EDRN200L4B270-X#</v>
          </cell>
        </row>
        <row r="3089">
          <cell r="A3089" t="str">
            <v>MR003077</v>
          </cell>
          <cell r="B3089" t="str">
            <v>MR</v>
          </cell>
          <cell r="C3089">
            <v>5.5</v>
          </cell>
          <cell r="D3089">
            <v>7.4</v>
          </cell>
          <cell r="E3089" t="str">
            <v>KA107R77</v>
          </cell>
          <cell r="F3089">
            <v>6530</v>
          </cell>
          <cell r="G3089">
            <v>196</v>
          </cell>
          <cell r="H3089">
            <v>1.2</v>
          </cell>
          <cell r="I3089" t="str">
            <v>From M1A to M2A - 30°</v>
          </cell>
          <cell r="J3089" t="str">
            <v>IE3</v>
          </cell>
          <cell r="K3089" t="str">
            <v>230/400</v>
          </cell>
          <cell r="L3089">
            <v>50</v>
          </cell>
          <cell r="M3089" t="str">
            <v>18,2/10,5</v>
          </cell>
          <cell r="N3089">
            <v>65</v>
          </cell>
          <cell r="O3089" t="str">
            <v>155(F)</v>
          </cell>
          <cell r="P3089" t="str">
            <v>270°</v>
          </cell>
          <cell r="Q3089" t="str">
            <v>-</v>
          </cell>
          <cell r="R3089" t="str">
            <v>-</v>
          </cell>
          <cell r="S3089" t="str">
            <v>-</v>
          </cell>
          <cell r="T3089" t="str">
            <v>-</v>
          </cell>
          <cell r="U3089" t="str">
            <v>-</v>
          </cell>
          <cell r="V3089" t="str">
            <v>SS</v>
          </cell>
          <cell r="W3089" t="str">
            <v>-</v>
          </cell>
          <cell r="X3089" t="str">
            <v>CLP 220 (-15/+40°C)</v>
          </cell>
          <cell r="Y3089" t="str">
            <v>KA107R77DRN132S4</v>
          </cell>
          <cell r="Z3089" t="str">
            <v>SEW</v>
          </cell>
          <cell r="AB3089" t="str">
            <v>-</v>
          </cell>
          <cell r="AF3089">
            <v>7.4</v>
          </cell>
          <cell r="AG3089" t="str">
            <v>DRN132S4</v>
          </cell>
          <cell r="AH3089" t="str">
            <v>KA107R77-DRN132S4A270-X</v>
          </cell>
        </row>
        <row r="3090">
          <cell r="A3090" t="str">
            <v>MR003078</v>
          </cell>
          <cell r="B3090" t="str">
            <v>MR</v>
          </cell>
          <cell r="C3090">
            <v>5.5</v>
          </cell>
          <cell r="D3090">
            <v>7.4</v>
          </cell>
          <cell r="E3090" t="str">
            <v>KA107R77</v>
          </cell>
          <cell r="F3090">
            <v>6530</v>
          </cell>
          <cell r="G3090">
            <v>196</v>
          </cell>
          <cell r="H3090">
            <v>1.2</v>
          </cell>
          <cell r="I3090" t="str">
            <v>From M1B to M2B - 30°</v>
          </cell>
          <cell r="J3090" t="str">
            <v>IE3</v>
          </cell>
          <cell r="K3090" t="str">
            <v>230/400</v>
          </cell>
          <cell r="L3090">
            <v>50</v>
          </cell>
          <cell r="M3090" t="str">
            <v>18,2/10,5</v>
          </cell>
          <cell r="N3090">
            <v>65</v>
          </cell>
          <cell r="O3090" t="str">
            <v>155(F)</v>
          </cell>
          <cell r="P3090" t="str">
            <v>270°</v>
          </cell>
          <cell r="Q3090" t="str">
            <v>-</v>
          </cell>
          <cell r="R3090" t="str">
            <v>-</v>
          </cell>
          <cell r="S3090" t="str">
            <v>-</v>
          </cell>
          <cell r="T3090" t="str">
            <v>-</v>
          </cell>
          <cell r="U3090" t="str">
            <v>-</v>
          </cell>
          <cell r="V3090" t="str">
            <v>SS</v>
          </cell>
          <cell r="W3090" t="str">
            <v>-</v>
          </cell>
          <cell r="X3090" t="str">
            <v>CLP 220 (-15/+40°C)</v>
          </cell>
          <cell r="Y3090" t="str">
            <v>KA107R77DRN132S4</v>
          </cell>
          <cell r="Z3090" t="str">
            <v>SEW</v>
          </cell>
          <cell r="AB3090" t="str">
            <v>-</v>
          </cell>
          <cell r="AF3090">
            <v>7.4</v>
          </cell>
          <cell r="AG3090" t="str">
            <v>DRN132S4</v>
          </cell>
          <cell r="AH3090" t="str">
            <v>KA107R77-DRN132S4B270-X</v>
          </cell>
        </row>
        <row r="3091">
          <cell r="A3091" t="str">
            <v>MR003079</v>
          </cell>
          <cell r="B3091" t="str">
            <v>MR</v>
          </cell>
          <cell r="C3091">
            <v>30</v>
          </cell>
          <cell r="D3091">
            <v>89</v>
          </cell>
          <cell r="E3091" t="str">
            <v>KH97</v>
          </cell>
          <cell r="F3091">
            <v>3210</v>
          </cell>
          <cell r="G3091">
            <v>16.559999999999999</v>
          </cell>
          <cell r="H3091">
            <v>1.35</v>
          </cell>
          <cell r="I3091" t="str">
            <v>From M4A to M1A - 10°</v>
          </cell>
          <cell r="J3091" t="str">
            <v>IE3</v>
          </cell>
          <cell r="K3091" t="str">
            <v>400/690</v>
          </cell>
          <cell r="L3091">
            <v>50</v>
          </cell>
          <cell r="M3091" t="str">
            <v>56/32,5</v>
          </cell>
          <cell r="N3091">
            <v>65</v>
          </cell>
          <cell r="O3091" t="str">
            <v>155(F)</v>
          </cell>
          <cell r="P3091" t="str">
            <v>270°</v>
          </cell>
          <cell r="Q3091" t="str">
            <v>TF</v>
          </cell>
          <cell r="R3091" t="str">
            <v>-</v>
          </cell>
          <cell r="S3091" t="str">
            <v>Free rotation CCW</v>
          </cell>
          <cell r="T3091" t="str">
            <v>-</v>
          </cell>
          <cell r="U3091" t="str">
            <v>T</v>
          </cell>
          <cell r="V3091" t="str">
            <v>SS</v>
          </cell>
          <cell r="W3091" t="str">
            <v>YES</v>
          </cell>
          <cell r="X3091" t="str">
            <v>CLP HC 150 (-30/+50°C)</v>
          </cell>
          <cell r="Y3091" t="str">
            <v>KH97/T DRN200L4 /RS /TF</v>
          </cell>
          <cell r="Z3091" t="str">
            <v>SEW</v>
          </cell>
          <cell r="AB3091" t="str">
            <v>-</v>
          </cell>
          <cell r="AF3091">
            <v>89</v>
          </cell>
          <cell r="AG3091" t="str">
            <v>DRN200L4</v>
          </cell>
          <cell r="AH3091" t="str">
            <v>KH97T-DRN200L4A270-X</v>
          </cell>
        </row>
        <row r="3092">
          <cell r="A3092" t="str">
            <v>MR003080</v>
          </cell>
          <cell r="B3092" t="str">
            <v>MR</v>
          </cell>
          <cell r="C3092">
            <v>37</v>
          </cell>
          <cell r="D3092">
            <v>88</v>
          </cell>
          <cell r="E3092" t="str">
            <v>KH107</v>
          </cell>
          <cell r="F3092">
            <v>3990</v>
          </cell>
          <cell r="G3092">
            <v>16.75</v>
          </cell>
          <cell r="H3092">
            <v>1.75</v>
          </cell>
          <cell r="I3092" t="str">
            <v>From M4A to M1A - 5°</v>
          </cell>
          <cell r="J3092" t="str">
            <v>IE3</v>
          </cell>
          <cell r="K3092" t="str">
            <v>400/690</v>
          </cell>
          <cell r="L3092">
            <v>50</v>
          </cell>
          <cell r="M3092" t="str">
            <v>64/37</v>
          </cell>
          <cell r="N3092">
            <v>65</v>
          </cell>
          <cell r="O3092" t="str">
            <v>155(F)</v>
          </cell>
          <cell r="P3092" t="str">
            <v>270°</v>
          </cell>
          <cell r="Q3092" t="str">
            <v>TF</v>
          </cell>
          <cell r="R3092" t="str">
            <v>-</v>
          </cell>
          <cell r="S3092" t="str">
            <v>Free rotation CCW</v>
          </cell>
          <cell r="T3092" t="str">
            <v>-</v>
          </cell>
          <cell r="U3092" t="str">
            <v>T</v>
          </cell>
          <cell r="V3092" t="str">
            <v>SS</v>
          </cell>
          <cell r="W3092" t="str">
            <v>YES</v>
          </cell>
          <cell r="X3092" t="str">
            <v>CLP HC 150 (-30/+50°C)</v>
          </cell>
          <cell r="Y3092" t="str">
            <v>KH107/T DRN225S4 /RS /TF</v>
          </cell>
          <cell r="Z3092" t="str">
            <v>SEW</v>
          </cell>
          <cell r="AB3092" t="str">
            <v>-</v>
          </cell>
          <cell r="AF3092">
            <v>88</v>
          </cell>
          <cell r="AG3092" t="str">
            <v>DRN225S4</v>
          </cell>
          <cell r="AH3092" t="str">
            <v>KH107T-DRN225S4A270-X</v>
          </cell>
        </row>
        <row r="3093">
          <cell r="A3093" t="str">
            <v>MR003081</v>
          </cell>
          <cell r="B3093" t="str">
            <v>MR</v>
          </cell>
          <cell r="C3093">
            <v>0.75</v>
          </cell>
          <cell r="D3093">
            <v>162</v>
          </cell>
          <cell r="E3093" t="str">
            <v>KA37</v>
          </cell>
          <cell r="F3093">
            <v>44</v>
          </cell>
          <cell r="G3093">
            <v>8.91</v>
          </cell>
          <cell r="H3093">
            <v>3.6</v>
          </cell>
          <cell r="I3093" t="str">
            <v>From M3A to M4A - 5°</v>
          </cell>
          <cell r="J3093" t="str">
            <v>IE3</v>
          </cell>
          <cell r="K3093" t="str">
            <v>230/400</v>
          </cell>
          <cell r="L3093">
            <v>50</v>
          </cell>
          <cell r="M3093" t="str">
            <v>3,2/1,84</v>
          </cell>
          <cell r="N3093">
            <v>65</v>
          </cell>
          <cell r="O3093" t="str">
            <v>155(F)</v>
          </cell>
          <cell r="P3093" t="str">
            <v>180°</v>
          </cell>
          <cell r="Q3093" t="str">
            <v>TF</v>
          </cell>
          <cell r="R3093" t="str">
            <v>-</v>
          </cell>
          <cell r="S3093" t="str">
            <v>-</v>
          </cell>
          <cell r="T3093" t="str">
            <v>-</v>
          </cell>
          <cell r="U3093" t="str">
            <v>T</v>
          </cell>
          <cell r="V3093" t="str">
            <v>D</v>
          </cell>
          <cell r="W3093" t="str">
            <v>YES</v>
          </cell>
          <cell r="X3093" t="str">
            <v>CLP HC 150 (-30/+50°C)</v>
          </cell>
          <cell r="Y3093" t="str">
            <v>KA37/T DRN80M4 /TF</v>
          </cell>
          <cell r="Z3093" t="str">
            <v>SEW</v>
          </cell>
          <cell r="AB3093" t="str">
            <v>-</v>
          </cell>
          <cell r="AF3093">
            <v>162</v>
          </cell>
          <cell r="AG3093" t="str">
            <v>DRN80M4</v>
          </cell>
          <cell r="AH3093" t="str">
            <v>KA37T-DRN80M4A180-X</v>
          </cell>
        </row>
        <row r="3094">
          <cell r="A3094" t="str">
            <v>MR003082</v>
          </cell>
          <cell r="B3094" t="str">
            <v>MR</v>
          </cell>
          <cell r="C3094">
            <v>22</v>
          </cell>
          <cell r="D3094">
            <v>12</v>
          </cell>
          <cell r="E3094" t="str">
            <v>KH157</v>
          </cell>
          <cell r="F3094">
            <v>17400</v>
          </cell>
          <cell r="G3094">
            <v>122.39</v>
          </cell>
          <cell r="H3094">
            <v>1.1499999999999999</v>
          </cell>
          <cell r="I3094" t="str">
            <v>From M1A to M2A - 45°</v>
          </cell>
          <cell r="J3094" t="str">
            <v>IE3</v>
          </cell>
          <cell r="K3094" t="str">
            <v>400/690</v>
          </cell>
          <cell r="L3094">
            <v>50</v>
          </cell>
          <cell r="M3094" t="str">
            <v>38,5/22,5</v>
          </cell>
          <cell r="N3094">
            <v>65</v>
          </cell>
          <cell r="O3094" t="str">
            <v>155(F)</v>
          </cell>
          <cell r="P3094" t="str">
            <v>270°</v>
          </cell>
          <cell r="Q3094" t="str">
            <v>TF</v>
          </cell>
          <cell r="R3094" t="str">
            <v>V(VE)</v>
          </cell>
          <cell r="S3094" t="str">
            <v>-</v>
          </cell>
          <cell r="T3094" t="str">
            <v>-</v>
          </cell>
          <cell r="U3094" t="str">
            <v>-</v>
          </cell>
          <cell r="V3094" t="str">
            <v>FC</v>
          </cell>
          <cell r="W3094" t="str">
            <v>YES</v>
          </cell>
          <cell r="X3094" t="str">
            <v>CLP HC 150 (-30/+50°C)</v>
          </cell>
          <cell r="Y3094" t="str">
            <v>KH157DRN180L4 /TF/V</v>
          </cell>
          <cell r="Z3094" t="str">
            <v>SEW</v>
          </cell>
          <cell r="AB3094" t="str">
            <v>-</v>
          </cell>
          <cell r="AF3094">
            <v>12</v>
          </cell>
          <cell r="AG3094" t="str">
            <v>DRN180L4</v>
          </cell>
          <cell r="AH3094" t="str">
            <v>KH157-DRN180L4A270-X#</v>
          </cell>
        </row>
        <row r="3095">
          <cell r="A3095" t="str">
            <v>MR003083</v>
          </cell>
          <cell r="B3095" t="str">
            <v>MR</v>
          </cell>
          <cell r="C3095">
            <v>22</v>
          </cell>
          <cell r="D3095">
            <v>12</v>
          </cell>
          <cell r="E3095" t="str">
            <v>KH157</v>
          </cell>
          <cell r="F3095">
            <v>17400</v>
          </cell>
          <cell r="G3095">
            <v>122.39</v>
          </cell>
          <cell r="H3095">
            <v>1.1499999999999999</v>
          </cell>
          <cell r="I3095" t="str">
            <v>From M1B to M2B - 45°</v>
          </cell>
          <cell r="J3095" t="str">
            <v>IE3</v>
          </cell>
          <cell r="K3095" t="str">
            <v>400/690</v>
          </cell>
          <cell r="L3095">
            <v>50</v>
          </cell>
          <cell r="M3095" t="str">
            <v>38,5/22,5</v>
          </cell>
          <cell r="N3095">
            <v>65</v>
          </cell>
          <cell r="O3095" t="str">
            <v>155(F)</v>
          </cell>
          <cell r="P3095" t="str">
            <v>270°</v>
          </cell>
          <cell r="Q3095" t="str">
            <v>TF</v>
          </cell>
          <cell r="R3095" t="str">
            <v>V(VE)</v>
          </cell>
          <cell r="S3095" t="str">
            <v>-</v>
          </cell>
          <cell r="T3095" t="str">
            <v>-</v>
          </cell>
          <cell r="U3095" t="str">
            <v>-</v>
          </cell>
          <cell r="V3095" t="str">
            <v>FC</v>
          </cell>
          <cell r="W3095" t="str">
            <v>YES</v>
          </cell>
          <cell r="X3095" t="str">
            <v>CLP HC 150 (-30/+50°C)</v>
          </cell>
          <cell r="Y3095" t="str">
            <v>KH157DRN180L4 /TF/V</v>
          </cell>
          <cell r="Z3095" t="str">
            <v>SEW</v>
          </cell>
          <cell r="AB3095" t="str">
            <v>-</v>
          </cell>
          <cell r="AF3095">
            <v>12</v>
          </cell>
          <cell r="AG3095" t="str">
            <v>DRN180L4</v>
          </cell>
          <cell r="AH3095" t="str">
            <v>KH157-DRN180L4B270-X#</v>
          </cell>
        </row>
        <row r="3096">
          <cell r="A3096" t="str">
            <v>MR003084</v>
          </cell>
          <cell r="B3096" t="str">
            <v>MR</v>
          </cell>
          <cell r="C3096">
            <v>22</v>
          </cell>
          <cell r="D3096">
            <v>12</v>
          </cell>
          <cell r="E3096" t="str">
            <v>KH157</v>
          </cell>
          <cell r="F3096">
            <v>17400</v>
          </cell>
          <cell r="G3096">
            <v>122.39</v>
          </cell>
          <cell r="H3096">
            <v>1.1499999999999999</v>
          </cell>
          <cell r="I3096" t="str">
            <v>From M1A to M2A - 30°</v>
          </cell>
          <cell r="J3096" t="str">
            <v>IE3</v>
          </cell>
          <cell r="K3096" t="str">
            <v>400/690</v>
          </cell>
          <cell r="L3096">
            <v>50</v>
          </cell>
          <cell r="M3096" t="str">
            <v>38,5/22,5</v>
          </cell>
          <cell r="N3096">
            <v>65</v>
          </cell>
          <cell r="O3096" t="str">
            <v>155(F)</v>
          </cell>
          <cell r="P3096" t="str">
            <v>270°</v>
          </cell>
          <cell r="Q3096" t="str">
            <v>TF</v>
          </cell>
          <cell r="R3096" t="str">
            <v>V(VE)</v>
          </cell>
          <cell r="S3096" t="str">
            <v>-</v>
          </cell>
          <cell r="T3096" t="str">
            <v>-</v>
          </cell>
          <cell r="U3096" t="str">
            <v>-</v>
          </cell>
          <cell r="V3096" t="str">
            <v>FC</v>
          </cell>
          <cell r="W3096" t="str">
            <v>YES</v>
          </cell>
          <cell r="X3096" t="str">
            <v>CLP HC 150 (-30/+50°C)</v>
          </cell>
          <cell r="Y3096" t="str">
            <v>KH157DRN180L4 /TF/V</v>
          </cell>
          <cell r="Z3096" t="str">
            <v>SEW</v>
          </cell>
          <cell r="AB3096" t="str">
            <v>-</v>
          </cell>
          <cell r="AF3096">
            <v>12</v>
          </cell>
          <cell r="AG3096" t="str">
            <v>DRN180L4</v>
          </cell>
          <cell r="AH3096" t="str">
            <v>KH157-DRN180L4A270-X#</v>
          </cell>
        </row>
        <row r="3097">
          <cell r="A3097" t="str">
            <v>MR003085</v>
          </cell>
          <cell r="B3097" t="str">
            <v>MR</v>
          </cell>
          <cell r="C3097">
            <v>7.5</v>
          </cell>
          <cell r="D3097">
            <v>62</v>
          </cell>
          <cell r="E3097" t="str">
            <v>FH87</v>
          </cell>
          <cell r="F3097">
            <v>1160</v>
          </cell>
          <cell r="G3097">
            <v>23.68</v>
          </cell>
          <cell r="H3097">
            <v>2.6</v>
          </cell>
          <cell r="I3097" t="str">
            <v>M3</v>
          </cell>
          <cell r="J3097" t="str">
            <v>IE3</v>
          </cell>
          <cell r="K3097" t="str">
            <v>400/690</v>
          </cell>
          <cell r="L3097">
            <v>50</v>
          </cell>
          <cell r="M3097" t="str">
            <v>15,2/8,8</v>
          </cell>
          <cell r="N3097">
            <v>65</v>
          </cell>
          <cell r="O3097" t="str">
            <v>155(F)</v>
          </cell>
          <cell r="P3097" t="str">
            <v>270°</v>
          </cell>
          <cell r="Q3097" t="str">
            <v>TF</v>
          </cell>
          <cell r="R3097" t="str">
            <v>-</v>
          </cell>
          <cell r="S3097" t="str">
            <v>-</v>
          </cell>
          <cell r="T3097" t="str">
            <v>-</v>
          </cell>
          <cell r="U3097" t="str">
            <v>G</v>
          </cell>
          <cell r="V3097" t="str">
            <v>D</v>
          </cell>
          <cell r="W3097" t="str">
            <v>YES</v>
          </cell>
          <cell r="X3097" t="str">
            <v>CLP HC 150 (-30/+50°C)</v>
          </cell>
          <cell r="Y3097" t="str">
            <v>FH87/G DRN132M4 /TF</v>
          </cell>
          <cell r="Z3097" t="str">
            <v>SEW</v>
          </cell>
          <cell r="AB3097" t="str">
            <v>-</v>
          </cell>
          <cell r="AF3097">
            <v>62</v>
          </cell>
          <cell r="AG3097" t="str">
            <v>DRN132M4</v>
          </cell>
          <cell r="AH3097" t="str">
            <v>FH87G-DRN132M4270-X</v>
          </cell>
        </row>
        <row r="3098">
          <cell r="A3098" t="str">
            <v>MR003086</v>
          </cell>
          <cell r="B3098" t="str">
            <v>MR</v>
          </cell>
          <cell r="C3098">
            <v>9.1999999999999993</v>
          </cell>
          <cell r="D3098">
            <v>55</v>
          </cell>
          <cell r="E3098" t="str">
            <v>FH87</v>
          </cell>
          <cell r="F3098">
            <v>1580</v>
          </cell>
          <cell r="G3098">
            <v>26.5</v>
          </cell>
          <cell r="H3098">
            <v>1.9</v>
          </cell>
          <cell r="I3098" t="str">
            <v>M3</v>
          </cell>
          <cell r="J3098" t="str">
            <v>IE3</v>
          </cell>
          <cell r="K3098" t="str">
            <v>400/690</v>
          </cell>
          <cell r="L3098">
            <v>50</v>
          </cell>
          <cell r="M3098" t="str">
            <v>18,7/10,8</v>
          </cell>
          <cell r="N3098">
            <v>65</v>
          </cell>
          <cell r="O3098" t="str">
            <v>155(F)</v>
          </cell>
          <cell r="P3098" t="str">
            <v>270°</v>
          </cell>
          <cell r="Q3098" t="str">
            <v>TF</v>
          </cell>
          <cell r="R3098" t="str">
            <v>-</v>
          </cell>
          <cell r="S3098" t="str">
            <v>-</v>
          </cell>
          <cell r="T3098" t="str">
            <v>-</v>
          </cell>
          <cell r="U3098" t="str">
            <v>G</v>
          </cell>
          <cell r="V3098" t="str">
            <v>D</v>
          </cell>
          <cell r="W3098" t="str">
            <v>YES</v>
          </cell>
          <cell r="X3098" t="str">
            <v>CLP HC 150 (-30/+50°C)</v>
          </cell>
          <cell r="Y3098" t="str">
            <v>FH87/G DRN132L4 /TF</v>
          </cell>
          <cell r="Z3098" t="str">
            <v>SEW</v>
          </cell>
          <cell r="AB3098" t="str">
            <v>-</v>
          </cell>
          <cell r="AF3098">
            <v>55</v>
          </cell>
          <cell r="AG3098" t="str">
            <v>DRN132L4</v>
          </cell>
          <cell r="AH3098" t="str">
            <v>FH87G-DRN132L4270-X</v>
          </cell>
        </row>
        <row r="3099">
          <cell r="A3099" t="str">
            <v>MR003087</v>
          </cell>
          <cell r="B3099" t="str">
            <v>MR</v>
          </cell>
          <cell r="C3099">
            <v>4</v>
          </cell>
          <cell r="D3099">
            <v>53</v>
          </cell>
          <cell r="E3099" t="str">
            <v>R87</v>
          </cell>
          <cell r="F3099">
            <v>725</v>
          </cell>
          <cell r="G3099">
            <v>27.84</v>
          </cell>
          <cell r="H3099">
            <v>2.1</v>
          </cell>
          <cell r="I3099" t="str">
            <v>M1</v>
          </cell>
          <cell r="J3099" t="str">
            <v>IE3</v>
          </cell>
          <cell r="K3099" t="str">
            <v>230/400</v>
          </cell>
          <cell r="L3099">
            <v>50</v>
          </cell>
          <cell r="M3099" t="str">
            <v>13,8/7,9</v>
          </cell>
          <cell r="N3099">
            <v>54</v>
          </cell>
          <cell r="O3099" t="str">
            <v>130 (B)</v>
          </cell>
          <cell r="P3099" t="str">
            <v>0°</v>
          </cell>
          <cell r="Q3099" t="str">
            <v>-</v>
          </cell>
          <cell r="R3099" t="str">
            <v>-</v>
          </cell>
          <cell r="S3099" t="str">
            <v>-</v>
          </cell>
          <cell r="T3099" t="str">
            <v>-</v>
          </cell>
          <cell r="U3099" t="str">
            <v>-</v>
          </cell>
          <cell r="V3099" t="str">
            <v>-</v>
          </cell>
          <cell r="W3099" t="str">
            <v>-</v>
          </cell>
          <cell r="X3099" t="str">
            <v>CLP 220 (-15/+40°C)</v>
          </cell>
          <cell r="Y3099" t="str">
            <v>R87DRN112M4</v>
          </cell>
          <cell r="Z3099" t="str">
            <v>SEW</v>
          </cell>
          <cell r="AB3099" t="str">
            <v>-</v>
          </cell>
          <cell r="AF3099">
            <v>53</v>
          </cell>
          <cell r="AG3099" t="str">
            <v>DRN112M4</v>
          </cell>
          <cell r="AH3099" t="str">
            <v>R87-DRN112M40-X</v>
          </cell>
        </row>
        <row r="3100">
          <cell r="A3100" t="str">
            <v>MR003088</v>
          </cell>
          <cell r="B3100" t="str">
            <v>MR</v>
          </cell>
          <cell r="C3100">
            <v>3</v>
          </cell>
          <cell r="D3100">
            <v>72</v>
          </cell>
          <cell r="E3100" t="str">
            <v>RF97</v>
          </cell>
          <cell r="F3100">
            <v>395</v>
          </cell>
          <cell r="G3100">
            <v>20.14</v>
          </cell>
          <cell r="H3100">
            <v>6.6</v>
          </cell>
          <cell r="I3100" t="str">
            <v>From M1 to M4 - 60°</v>
          </cell>
          <cell r="J3100" t="str">
            <v>IE3</v>
          </cell>
          <cell r="K3100" t="str">
            <v>230/400</v>
          </cell>
          <cell r="L3100">
            <v>50</v>
          </cell>
          <cell r="M3100" t="str">
            <v>11,2/6,4</v>
          </cell>
          <cell r="N3100">
            <v>55</v>
          </cell>
          <cell r="O3100" t="str">
            <v>155(F)</v>
          </cell>
          <cell r="P3100" t="str">
            <v>270°</v>
          </cell>
          <cell r="Q3100" t="str">
            <v>TF</v>
          </cell>
          <cell r="R3100" t="str">
            <v>V(VE)</v>
          </cell>
          <cell r="S3100" t="str">
            <v>-</v>
          </cell>
          <cell r="T3100" t="str">
            <v>-</v>
          </cell>
          <cell r="U3100" t="str">
            <v>-</v>
          </cell>
          <cell r="V3100" t="str">
            <v>FC</v>
          </cell>
          <cell r="W3100" t="str">
            <v>-</v>
          </cell>
          <cell r="X3100" t="str">
            <v>CLP 220 (-15/+40°C)</v>
          </cell>
          <cell r="Y3100" t="str">
            <v>RF97DRN100L4 /TF/V</v>
          </cell>
          <cell r="Z3100" t="str">
            <v>SEW</v>
          </cell>
          <cell r="AB3100" t="str">
            <v>-</v>
          </cell>
          <cell r="AF3100">
            <v>72</v>
          </cell>
          <cell r="AG3100" t="str">
            <v>DRN100L4</v>
          </cell>
          <cell r="AH3100" t="str">
            <v>RF97-DRN100L4270-X#</v>
          </cell>
        </row>
        <row r="3101">
          <cell r="A3101" t="str">
            <v>MR003089</v>
          </cell>
          <cell r="B3101" t="str">
            <v>MR</v>
          </cell>
          <cell r="C3101">
            <v>11</v>
          </cell>
          <cell r="D3101">
            <v>15</v>
          </cell>
          <cell r="E3101" t="str">
            <v>KA107</v>
          </cell>
          <cell r="F3101">
            <v>7190</v>
          </cell>
          <cell r="G3101">
            <v>100.75</v>
          </cell>
          <cell r="H3101">
            <v>1.05</v>
          </cell>
          <cell r="I3101" t="str">
            <v>From M1A to M2A - 20°</v>
          </cell>
          <cell r="J3101" t="str">
            <v>IE3</v>
          </cell>
          <cell r="K3101" t="str">
            <v>400/690</v>
          </cell>
          <cell r="L3101">
            <v>50</v>
          </cell>
          <cell r="M3101" t="str">
            <v>21/12,2</v>
          </cell>
          <cell r="N3101">
            <v>55</v>
          </cell>
          <cell r="O3101" t="str">
            <v>155(F)</v>
          </cell>
          <cell r="P3101" t="str">
            <v>270°</v>
          </cell>
          <cell r="Q3101" t="str">
            <v>TF</v>
          </cell>
          <cell r="R3101" t="str">
            <v>V(VE)</v>
          </cell>
          <cell r="S3101" t="str">
            <v>-</v>
          </cell>
          <cell r="T3101" t="str">
            <v>-</v>
          </cell>
          <cell r="U3101" t="str">
            <v>-</v>
          </cell>
          <cell r="V3101" t="str">
            <v>FC</v>
          </cell>
          <cell r="W3101" t="str">
            <v>-</v>
          </cell>
          <cell r="X3101" t="str">
            <v>CLP HC 220 (-25/+60°C)</v>
          </cell>
          <cell r="Y3101" t="str">
            <v>KA107EDRN160M4 /TF/VE</v>
          </cell>
          <cell r="Z3101" t="str">
            <v>SEW</v>
          </cell>
          <cell r="AB3101" t="str">
            <v>ATEX22</v>
          </cell>
          <cell r="AF3101">
            <v>15</v>
          </cell>
          <cell r="AG3101" t="str">
            <v>EDRN160M4</v>
          </cell>
          <cell r="AH3101" t="str">
            <v>KA107-EDRN160M4A270-X#</v>
          </cell>
        </row>
        <row r="3102">
          <cell r="A3102" t="str">
            <v>MR003090</v>
          </cell>
          <cell r="B3102" t="str">
            <v>MR</v>
          </cell>
          <cell r="C3102">
            <v>5.5</v>
          </cell>
          <cell r="D3102">
            <v>14</v>
          </cell>
          <cell r="E3102" t="str">
            <v>KH97</v>
          </cell>
          <cell r="F3102">
            <v>3780</v>
          </cell>
          <cell r="G3102">
            <v>105.13</v>
          </cell>
          <cell r="H3102">
            <v>1</v>
          </cell>
          <cell r="I3102" t="str">
            <v>From M1A to M2A - 35°</v>
          </cell>
          <cell r="J3102" t="str">
            <v>IE3</v>
          </cell>
          <cell r="K3102" t="str">
            <v>230/400</v>
          </cell>
          <cell r="L3102">
            <v>50</v>
          </cell>
          <cell r="M3102" t="str">
            <v>18,2/10,5</v>
          </cell>
          <cell r="N3102">
            <v>55</v>
          </cell>
          <cell r="O3102" t="str">
            <v>155(F)</v>
          </cell>
          <cell r="P3102" t="str">
            <v>270°</v>
          </cell>
          <cell r="Q3102" t="str">
            <v>TF</v>
          </cell>
          <cell r="R3102" t="str">
            <v>V(VE)</v>
          </cell>
          <cell r="S3102" t="str">
            <v>-</v>
          </cell>
          <cell r="T3102" t="str">
            <v>-</v>
          </cell>
          <cell r="U3102" t="str">
            <v>-</v>
          </cell>
          <cell r="V3102" t="str">
            <v>FC</v>
          </cell>
          <cell r="W3102" t="str">
            <v>-</v>
          </cell>
          <cell r="X3102" t="str">
            <v>CLP HC 220 (-25/+60°C)</v>
          </cell>
          <cell r="Y3102" t="str">
            <v>KH97EDRN132S4 /TF/VE</v>
          </cell>
          <cell r="Z3102" t="str">
            <v>SEW</v>
          </cell>
          <cell r="AB3102" t="str">
            <v>ATEX22</v>
          </cell>
          <cell r="AF3102">
            <v>14</v>
          </cell>
          <cell r="AG3102" t="str">
            <v>EDRN132S4</v>
          </cell>
          <cell r="AH3102" t="str">
            <v>KH97-EDRN132S4A270-X#</v>
          </cell>
        </row>
        <row r="3103">
          <cell r="A3103" t="str">
            <v>MR003091</v>
          </cell>
          <cell r="B3103" t="str">
            <v>MR</v>
          </cell>
          <cell r="C3103">
            <v>5.5</v>
          </cell>
          <cell r="D3103">
            <v>14</v>
          </cell>
          <cell r="E3103" t="str">
            <v>KH97</v>
          </cell>
          <cell r="F3103">
            <v>3780</v>
          </cell>
          <cell r="G3103">
            <v>105.13</v>
          </cell>
          <cell r="H3103">
            <v>1</v>
          </cell>
          <cell r="I3103" t="str">
            <v>From M1B to M2B - 35°</v>
          </cell>
          <cell r="J3103" t="str">
            <v>IE3</v>
          </cell>
          <cell r="K3103" t="str">
            <v>230/400</v>
          </cell>
          <cell r="L3103">
            <v>50</v>
          </cell>
          <cell r="M3103" t="str">
            <v>18,2/10,5</v>
          </cell>
          <cell r="N3103">
            <v>55</v>
          </cell>
          <cell r="O3103" t="str">
            <v>155(F)</v>
          </cell>
          <cell r="P3103" t="str">
            <v>270°</v>
          </cell>
          <cell r="Q3103" t="str">
            <v>TF</v>
          </cell>
          <cell r="R3103" t="str">
            <v>V(VE)</v>
          </cell>
          <cell r="S3103" t="str">
            <v>-</v>
          </cell>
          <cell r="T3103" t="str">
            <v>-</v>
          </cell>
          <cell r="U3103" t="str">
            <v>-</v>
          </cell>
          <cell r="V3103" t="str">
            <v>FC</v>
          </cell>
          <cell r="W3103" t="str">
            <v>-</v>
          </cell>
          <cell r="X3103" t="str">
            <v>CLP HC 220 (-25/+60°C)</v>
          </cell>
          <cell r="Y3103" t="str">
            <v>KH97EDRN132S4 /TF/VE</v>
          </cell>
          <cell r="Z3103" t="str">
            <v>SEW</v>
          </cell>
          <cell r="AB3103" t="str">
            <v>ATEX22</v>
          </cell>
          <cell r="AF3103">
            <v>14</v>
          </cell>
          <cell r="AG3103" t="str">
            <v>EDRN132S4</v>
          </cell>
          <cell r="AH3103" t="str">
            <v>KH97-EDRN132S4B270-X#</v>
          </cell>
        </row>
        <row r="3104">
          <cell r="A3104" t="str">
            <v>MR003092</v>
          </cell>
          <cell r="B3104" t="str">
            <v>MR</v>
          </cell>
          <cell r="C3104">
            <v>5.5</v>
          </cell>
          <cell r="D3104">
            <v>14</v>
          </cell>
          <cell r="E3104" t="str">
            <v>KH97</v>
          </cell>
          <cell r="F3104">
            <v>3780</v>
          </cell>
          <cell r="G3104">
            <v>105.13</v>
          </cell>
          <cell r="H3104">
            <v>1</v>
          </cell>
          <cell r="I3104" t="str">
            <v>From M1A to M2A - 20°</v>
          </cell>
          <cell r="J3104" t="str">
            <v>IE3</v>
          </cell>
          <cell r="K3104" t="str">
            <v>230/400</v>
          </cell>
          <cell r="L3104">
            <v>50</v>
          </cell>
          <cell r="M3104" t="str">
            <v>18,2/10,5</v>
          </cell>
          <cell r="N3104">
            <v>55</v>
          </cell>
          <cell r="O3104" t="str">
            <v>155(F)</v>
          </cell>
          <cell r="P3104" t="str">
            <v>270°</v>
          </cell>
          <cell r="Q3104" t="str">
            <v>TF</v>
          </cell>
          <cell r="R3104" t="str">
            <v>V(VE)</v>
          </cell>
          <cell r="S3104" t="str">
            <v>-</v>
          </cell>
          <cell r="T3104" t="str">
            <v>-</v>
          </cell>
          <cell r="U3104" t="str">
            <v>-</v>
          </cell>
          <cell r="V3104" t="str">
            <v>FC</v>
          </cell>
          <cell r="W3104" t="str">
            <v>-</v>
          </cell>
          <cell r="X3104" t="str">
            <v>CLP HC 220 (-25/+60°C)</v>
          </cell>
          <cell r="Y3104" t="str">
            <v>KH97EDRN132S4 /TF/VE</v>
          </cell>
          <cell r="Z3104" t="str">
            <v>SEW</v>
          </cell>
          <cell r="AB3104" t="str">
            <v>ATEX22</v>
          </cell>
          <cell r="AF3104">
            <v>14</v>
          </cell>
          <cell r="AG3104" t="str">
            <v>EDRN132S4</v>
          </cell>
          <cell r="AH3104" t="str">
            <v>KH97-EDRN132S4A270-X#</v>
          </cell>
        </row>
        <row r="3105">
          <cell r="A3105" t="str">
            <v>MR003093</v>
          </cell>
          <cell r="B3105" t="str">
            <v>MR</v>
          </cell>
          <cell r="C3105">
            <v>5.5</v>
          </cell>
          <cell r="D3105">
            <v>14</v>
          </cell>
          <cell r="E3105" t="str">
            <v>KH97</v>
          </cell>
          <cell r="F3105">
            <v>3780</v>
          </cell>
          <cell r="G3105">
            <v>105.13</v>
          </cell>
          <cell r="H3105">
            <v>1</v>
          </cell>
          <cell r="I3105" t="str">
            <v>From M1B to M2B - 20°</v>
          </cell>
          <cell r="J3105" t="str">
            <v>IE3</v>
          </cell>
          <cell r="K3105" t="str">
            <v>230/400</v>
          </cell>
          <cell r="L3105">
            <v>50</v>
          </cell>
          <cell r="M3105" t="str">
            <v>18,2/10,5</v>
          </cell>
          <cell r="N3105">
            <v>55</v>
          </cell>
          <cell r="O3105" t="str">
            <v>155(F)</v>
          </cell>
          <cell r="P3105" t="str">
            <v>270°</v>
          </cell>
          <cell r="Q3105" t="str">
            <v>TF</v>
          </cell>
          <cell r="R3105" t="str">
            <v>V(VE)</v>
          </cell>
          <cell r="S3105" t="str">
            <v>-</v>
          </cell>
          <cell r="T3105" t="str">
            <v>-</v>
          </cell>
          <cell r="U3105" t="str">
            <v>-</v>
          </cell>
          <cell r="V3105" t="str">
            <v>FC</v>
          </cell>
          <cell r="W3105" t="str">
            <v>-</v>
          </cell>
          <cell r="X3105" t="str">
            <v>CLP HC 220 (-25/+60°C)</v>
          </cell>
          <cell r="Y3105" t="str">
            <v>KH97EDRN132S4 /TF/VE</v>
          </cell>
          <cell r="Z3105" t="str">
            <v>SEW</v>
          </cell>
          <cell r="AB3105" t="str">
            <v>ATEX22</v>
          </cell>
          <cell r="AF3105">
            <v>14</v>
          </cell>
          <cell r="AG3105" t="str">
            <v>EDRN132S4</v>
          </cell>
          <cell r="AH3105" t="str">
            <v>KH97-EDRN132S4B270-X#</v>
          </cell>
        </row>
        <row r="3106">
          <cell r="A3106" t="str">
            <v>MR003094</v>
          </cell>
          <cell r="B3106" t="str">
            <v>MR</v>
          </cell>
          <cell r="C3106">
            <v>0.75</v>
          </cell>
          <cell r="D3106">
            <v>18</v>
          </cell>
          <cell r="E3106" t="str">
            <v>FA67</v>
          </cell>
          <cell r="F3106">
            <v>395</v>
          </cell>
          <cell r="G3106">
            <v>79.760000000000005</v>
          </cell>
          <cell r="H3106">
            <v>2</v>
          </cell>
          <cell r="I3106" t="str">
            <v>From M6 to M1 - 20°</v>
          </cell>
          <cell r="J3106" t="str">
            <v>IE3</v>
          </cell>
          <cell r="K3106" t="str">
            <v>230/400</v>
          </cell>
          <cell r="L3106">
            <v>50</v>
          </cell>
          <cell r="M3106" t="str">
            <v>3,05/1,75</v>
          </cell>
          <cell r="N3106">
            <v>55</v>
          </cell>
          <cell r="O3106" t="str">
            <v>155(F)</v>
          </cell>
          <cell r="P3106" t="str">
            <v>0°</v>
          </cell>
          <cell r="Q3106" t="str">
            <v>TF</v>
          </cell>
          <cell r="R3106" t="str">
            <v>-</v>
          </cell>
          <cell r="S3106" t="str">
            <v>-</v>
          </cell>
          <cell r="T3106" t="str">
            <v>BEHF</v>
          </cell>
          <cell r="U3106" t="str">
            <v>G</v>
          </cell>
          <cell r="V3106" t="str">
            <v>D</v>
          </cell>
          <cell r="W3106" t="str">
            <v>-</v>
          </cell>
          <cell r="X3106" t="str">
            <v>CLP HC 220 (-25/+60°C)</v>
          </cell>
          <cell r="Y3106" t="str">
            <v>FA67/G EDRN80M4 /BEHF /TF</v>
          </cell>
          <cell r="Z3106" t="str">
            <v>SEW</v>
          </cell>
          <cell r="AB3106" t="str">
            <v>ATEX22</v>
          </cell>
          <cell r="AE3106" t="str">
            <v>Rectifier for brake in the terminal box</v>
          </cell>
          <cell r="AF3106">
            <v>18</v>
          </cell>
          <cell r="AG3106" t="str">
            <v>EDRN80M4</v>
          </cell>
          <cell r="AH3106" t="str">
            <v>FA67G-EDRN80M40-X</v>
          </cell>
        </row>
        <row r="3107">
          <cell r="A3107" t="str">
            <v>MR003095</v>
          </cell>
          <cell r="B3107" t="str">
            <v>MR</v>
          </cell>
          <cell r="C3107">
            <v>5.5</v>
          </cell>
          <cell r="D3107">
            <v>14</v>
          </cell>
          <cell r="E3107" t="str">
            <v>KH97</v>
          </cell>
          <cell r="F3107">
            <v>3780</v>
          </cell>
          <cell r="G3107">
            <v>105.13</v>
          </cell>
          <cell r="H3107">
            <v>1</v>
          </cell>
          <cell r="I3107" t="str">
            <v>From M1A to M2A - 25°</v>
          </cell>
          <cell r="J3107" t="str">
            <v>IE3</v>
          </cell>
          <cell r="K3107" t="str">
            <v>230/400</v>
          </cell>
          <cell r="L3107">
            <v>50</v>
          </cell>
          <cell r="M3107" t="str">
            <v>18,2/10,5</v>
          </cell>
          <cell r="N3107">
            <v>55</v>
          </cell>
          <cell r="O3107" t="str">
            <v>155(F)</v>
          </cell>
          <cell r="P3107" t="str">
            <v>270°</v>
          </cell>
          <cell r="Q3107" t="str">
            <v>TF</v>
          </cell>
          <cell r="R3107" t="str">
            <v>V(VE)</v>
          </cell>
          <cell r="S3107" t="str">
            <v>-</v>
          </cell>
          <cell r="T3107" t="str">
            <v>-</v>
          </cell>
          <cell r="U3107" t="str">
            <v>-</v>
          </cell>
          <cell r="V3107" t="str">
            <v>FC</v>
          </cell>
          <cell r="W3107" t="str">
            <v>-</v>
          </cell>
          <cell r="X3107" t="str">
            <v>CLP HC 220 (-25/+60°C)</v>
          </cell>
          <cell r="Y3107" t="str">
            <v>KH97EDRN132S4 /TF/VE</v>
          </cell>
          <cell r="Z3107" t="str">
            <v>SEW</v>
          </cell>
          <cell r="AB3107" t="str">
            <v>ATEX22</v>
          </cell>
          <cell r="AF3107">
            <v>14</v>
          </cell>
          <cell r="AG3107" t="str">
            <v>EDRN132S4</v>
          </cell>
          <cell r="AH3107" t="str">
            <v>KH97-EDRN132S4A270-X#</v>
          </cell>
        </row>
        <row r="3108">
          <cell r="A3108" t="str">
            <v>MR003096</v>
          </cell>
          <cell r="B3108" t="str">
            <v>MR</v>
          </cell>
          <cell r="C3108">
            <v>5.5</v>
          </cell>
          <cell r="D3108">
            <v>14</v>
          </cell>
          <cell r="E3108" t="str">
            <v>KH97</v>
          </cell>
          <cell r="F3108">
            <v>3780</v>
          </cell>
          <cell r="G3108">
            <v>105.13</v>
          </cell>
          <cell r="H3108">
            <v>1</v>
          </cell>
          <cell r="I3108" t="str">
            <v>From M1B to M2B - 25°</v>
          </cell>
          <cell r="J3108" t="str">
            <v>IE3</v>
          </cell>
          <cell r="K3108" t="str">
            <v>230/400</v>
          </cell>
          <cell r="L3108">
            <v>50</v>
          </cell>
          <cell r="M3108" t="str">
            <v>18,2/10,5</v>
          </cell>
          <cell r="N3108">
            <v>55</v>
          </cell>
          <cell r="O3108" t="str">
            <v>155(F)</v>
          </cell>
          <cell r="P3108" t="str">
            <v>270°</v>
          </cell>
          <cell r="Q3108" t="str">
            <v>TF</v>
          </cell>
          <cell r="R3108" t="str">
            <v>V(VE)</v>
          </cell>
          <cell r="S3108" t="str">
            <v>-</v>
          </cell>
          <cell r="T3108" t="str">
            <v>-</v>
          </cell>
          <cell r="U3108" t="str">
            <v>-</v>
          </cell>
          <cell r="V3108" t="str">
            <v>FC</v>
          </cell>
          <cell r="W3108" t="str">
            <v>-</v>
          </cell>
          <cell r="X3108" t="str">
            <v>CLP HC 220 (-25/+60°C)</v>
          </cell>
          <cell r="Y3108" t="str">
            <v>KH97EDRN132S4 /TF/VE</v>
          </cell>
          <cell r="Z3108" t="str">
            <v>SEW</v>
          </cell>
          <cell r="AB3108" t="str">
            <v>ATEX22</v>
          </cell>
          <cell r="AF3108">
            <v>14</v>
          </cell>
          <cell r="AG3108" t="str">
            <v>EDRN132S4</v>
          </cell>
          <cell r="AH3108" t="str">
            <v>KH97-EDRN132S4B270-X#</v>
          </cell>
        </row>
        <row r="3109">
          <cell r="A3109" t="str">
            <v>MR003097</v>
          </cell>
          <cell r="B3109" t="str">
            <v>MR</v>
          </cell>
          <cell r="C3109">
            <v>15</v>
          </cell>
          <cell r="D3109">
            <v>9.8000000000000007</v>
          </cell>
          <cell r="E3109" t="str">
            <v>KH157</v>
          </cell>
          <cell r="F3109">
            <v>14600</v>
          </cell>
          <cell r="G3109">
            <v>150.41</v>
          </cell>
          <cell r="H3109">
            <v>1.35</v>
          </cell>
          <cell r="I3109" t="str">
            <v>From M4A to M1A - 40°</v>
          </cell>
          <cell r="J3109" t="str">
            <v>IE3</v>
          </cell>
          <cell r="K3109" t="str">
            <v>400/690</v>
          </cell>
          <cell r="L3109">
            <v>50</v>
          </cell>
          <cell r="M3109" t="str">
            <v>29/16,7</v>
          </cell>
          <cell r="N3109">
            <v>65</v>
          </cell>
          <cell r="O3109" t="str">
            <v>155(F)</v>
          </cell>
          <cell r="P3109" t="str">
            <v>270°</v>
          </cell>
          <cell r="Q3109" t="str">
            <v>TF</v>
          </cell>
          <cell r="R3109" t="str">
            <v>-</v>
          </cell>
          <cell r="S3109" t="str">
            <v>-</v>
          </cell>
          <cell r="T3109" t="str">
            <v>-</v>
          </cell>
          <cell r="U3109" t="str">
            <v>-</v>
          </cell>
          <cell r="V3109" t="str">
            <v>SS</v>
          </cell>
          <cell r="W3109" t="str">
            <v>YES</v>
          </cell>
          <cell r="X3109" t="str">
            <v>CLP HC 150 (-30/+50°C)</v>
          </cell>
          <cell r="Y3109" t="str">
            <v>KH157DRN160L4 /TF</v>
          </cell>
          <cell r="Z3109" t="str">
            <v>SEW</v>
          </cell>
          <cell r="AB3109" t="str">
            <v>-</v>
          </cell>
          <cell r="AF3109">
            <v>9.8000000000000007</v>
          </cell>
          <cell r="AG3109" t="str">
            <v>DRN160L4</v>
          </cell>
          <cell r="AH3109" t="str">
            <v>KH157-DRN160L4A270-X</v>
          </cell>
        </row>
        <row r="3110">
          <cell r="A3110" t="str">
            <v>MR003098</v>
          </cell>
          <cell r="B3110" t="str">
            <v>MR</v>
          </cell>
          <cell r="C3110">
            <v>15</v>
          </cell>
          <cell r="D3110">
            <v>9.8000000000000007</v>
          </cell>
          <cell r="E3110" t="str">
            <v>KH157</v>
          </cell>
          <cell r="F3110">
            <v>14600</v>
          </cell>
          <cell r="G3110">
            <v>150.41</v>
          </cell>
          <cell r="H3110">
            <v>1.35</v>
          </cell>
          <cell r="I3110" t="str">
            <v>From M4B to M1B - 40°</v>
          </cell>
          <cell r="J3110" t="str">
            <v>IE3</v>
          </cell>
          <cell r="K3110" t="str">
            <v>400/690</v>
          </cell>
          <cell r="L3110">
            <v>50</v>
          </cell>
          <cell r="M3110" t="str">
            <v>29/16,7</v>
          </cell>
          <cell r="N3110">
            <v>65</v>
          </cell>
          <cell r="O3110" t="str">
            <v>155(F)</v>
          </cell>
          <cell r="P3110" t="str">
            <v>270°</v>
          </cell>
          <cell r="Q3110" t="str">
            <v>TF</v>
          </cell>
          <cell r="R3110" t="str">
            <v>-</v>
          </cell>
          <cell r="S3110" t="str">
            <v>-</v>
          </cell>
          <cell r="T3110" t="str">
            <v>-</v>
          </cell>
          <cell r="U3110" t="str">
            <v>-</v>
          </cell>
          <cell r="V3110" t="str">
            <v>SS</v>
          </cell>
          <cell r="W3110" t="str">
            <v>YES</v>
          </cell>
          <cell r="X3110" t="str">
            <v>CLP HC 150 (-30/+50°C)</v>
          </cell>
          <cell r="Y3110" t="str">
            <v>KH157DRN160L4 /TF</v>
          </cell>
          <cell r="Z3110" t="str">
            <v>SEW</v>
          </cell>
          <cell r="AB3110" t="str">
            <v>-</v>
          </cell>
          <cell r="AF3110">
            <v>9.8000000000000007</v>
          </cell>
          <cell r="AG3110" t="str">
            <v>DRN160L4</v>
          </cell>
          <cell r="AH3110" t="str">
            <v>KH157-DRN160L4B270-X</v>
          </cell>
        </row>
        <row r="3111">
          <cell r="A3111" t="str">
            <v>MR003099</v>
          </cell>
          <cell r="B3111" t="str">
            <v>MR</v>
          </cell>
          <cell r="C3111">
            <v>18.5</v>
          </cell>
          <cell r="D3111">
            <v>16</v>
          </cell>
          <cell r="E3111" t="str">
            <v>KH127</v>
          </cell>
          <cell r="F3111">
            <v>10700</v>
          </cell>
          <cell r="G3111">
            <v>89.89</v>
          </cell>
          <cell r="H3111">
            <v>1.2</v>
          </cell>
          <cell r="I3111" t="str">
            <v>From M1A to M2A - 20°</v>
          </cell>
          <cell r="J3111" t="str">
            <v>IE3</v>
          </cell>
          <cell r="K3111" t="str">
            <v>400/690</v>
          </cell>
          <cell r="L3111">
            <v>50</v>
          </cell>
          <cell r="M3111" t="str">
            <v>33,5/19,3</v>
          </cell>
          <cell r="N3111">
            <v>65</v>
          </cell>
          <cell r="O3111" t="str">
            <v>155(F)</v>
          </cell>
          <cell r="P3111" t="str">
            <v>270°</v>
          </cell>
          <cell r="Q3111" t="str">
            <v>TF</v>
          </cell>
          <cell r="R3111" t="str">
            <v>-</v>
          </cell>
          <cell r="S3111" t="str">
            <v>-</v>
          </cell>
          <cell r="T3111" t="str">
            <v>-</v>
          </cell>
          <cell r="U3111" t="str">
            <v>-</v>
          </cell>
          <cell r="V3111" t="str">
            <v>SS</v>
          </cell>
          <cell r="W3111" t="str">
            <v>YES</v>
          </cell>
          <cell r="X3111" t="str">
            <v>CLP HC 150 (-30/+50°C)</v>
          </cell>
          <cell r="Y3111" t="str">
            <v>KH127DRN180M4 /TF</v>
          </cell>
          <cell r="Z3111" t="str">
            <v>SEW</v>
          </cell>
          <cell r="AB3111" t="str">
            <v>-</v>
          </cell>
          <cell r="AF3111">
            <v>16</v>
          </cell>
          <cell r="AG3111" t="str">
            <v>DRN180M4</v>
          </cell>
          <cell r="AH3111" t="str">
            <v>KH127-DRN180M4A270-X</v>
          </cell>
        </row>
        <row r="3112">
          <cell r="A3112" t="str">
            <v>MR003100</v>
          </cell>
          <cell r="B3112" t="str">
            <v>MR</v>
          </cell>
          <cell r="C3112">
            <v>7.5</v>
          </cell>
          <cell r="D3112">
            <v>62</v>
          </cell>
          <cell r="E3112" t="str">
            <v>FH87</v>
          </cell>
          <cell r="F3112">
            <v>1160</v>
          </cell>
          <cell r="G3112">
            <v>23.68</v>
          </cell>
          <cell r="H3112">
            <v>2.6</v>
          </cell>
          <cell r="I3112" t="str">
            <v>From M1 to M4 - 20°</v>
          </cell>
          <cell r="J3112" t="str">
            <v>IE3</v>
          </cell>
          <cell r="K3112" t="str">
            <v>400/690</v>
          </cell>
          <cell r="L3112">
            <v>50</v>
          </cell>
          <cell r="M3112" t="str">
            <v>15,2/8,8</v>
          </cell>
          <cell r="N3112">
            <v>65</v>
          </cell>
          <cell r="O3112" t="str">
            <v>155(F)</v>
          </cell>
          <cell r="P3112" t="str">
            <v>270°</v>
          </cell>
          <cell r="Q3112" t="str">
            <v>TF</v>
          </cell>
          <cell r="R3112" t="str">
            <v>-</v>
          </cell>
          <cell r="S3112" t="str">
            <v>-</v>
          </cell>
          <cell r="T3112" t="str">
            <v>-</v>
          </cell>
          <cell r="U3112" t="str">
            <v>G</v>
          </cell>
          <cell r="V3112" t="str">
            <v>D</v>
          </cell>
          <cell r="W3112" t="str">
            <v>YES</v>
          </cell>
          <cell r="X3112" t="str">
            <v>CLP HC 150 (-30/+50°C)</v>
          </cell>
          <cell r="Y3112" t="str">
            <v>FH87/G DRN132M4 /TF</v>
          </cell>
          <cell r="Z3112" t="str">
            <v>SEW</v>
          </cell>
          <cell r="AB3112" t="str">
            <v>-</v>
          </cell>
          <cell r="AF3112">
            <v>62</v>
          </cell>
          <cell r="AG3112" t="str">
            <v>DRN132M4</v>
          </cell>
          <cell r="AH3112" t="str">
            <v>FH87G-DRN132M4270-X</v>
          </cell>
        </row>
        <row r="3113">
          <cell r="A3113" t="str">
            <v>MR003101</v>
          </cell>
          <cell r="B3113" t="str">
            <v>MR</v>
          </cell>
          <cell r="C3113">
            <v>9.1999999999999993</v>
          </cell>
          <cell r="D3113">
            <v>15</v>
          </cell>
          <cell r="E3113" t="str">
            <v>KH107</v>
          </cell>
          <cell r="F3113">
            <v>6020</v>
          </cell>
          <cell r="G3113">
            <v>100.75</v>
          </cell>
          <cell r="H3113">
            <v>1.35</v>
          </cell>
          <cell r="I3113" t="str">
            <v>From M1A</v>
          </cell>
          <cell r="J3113" t="str">
            <v>IE3</v>
          </cell>
          <cell r="K3113" t="str">
            <v>400/690</v>
          </cell>
          <cell r="L3113">
            <v>50</v>
          </cell>
          <cell r="M3113" t="str">
            <v>18,7/10,8</v>
          </cell>
          <cell r="N3113">
            <v>65</v>
          </cell>
          <cell r="O3113" t="str">
            <v>155(F)</v>
          </cell>
          <cell r="P3113" t="str">
            <v>270°</v>
          </cell>
          <cell r="Q3113" t="str">
            <v>TF</v>
          </cell>
          <cell r="R3113" t="str">
            <v>-</v>
          </cell>
          <cell r="S3113" t="str">
            <v>-</v>
          </cell>
          <cell r="T3113" t="str">
            <v>-</v>
          </cell>
          <cell r="U3113" t="str">
            <v>-</v>
          </cell>
          <cell r="V3113" t="str">
            <v>SS</v>
          </cell>
          <cell r="W3113" t="str">
            <v>YES</v>
          </cell>
          <cell r="X3113" t="str">
            <v>CLP HC 150 (-30/+50°C)</v>
          </cell>
          <cell r="Y3113" t="str">
            <v>KH107DRN132L4 /TF</v>
          </cell>
          <cell r="Z3113" t="str">
            <v>SEW</v>
          </cell>
          <cell r="AB3113" t="str">
            <v>-</v>
          </cell>
          <cell r="AF3113">
            <v>15</v>
          </cell>
          <cell r="AG3113" t="str">
            <v>DRN132L4</v>
          </cell>
          <cell r="AH3113" t="str">
            <v>KH107-DRN132L4A270-X</v>
          </cell>
        </row>
        <row r="3114">
          <cell r="A3114" t="str">
            <v>MR003102</v>
          </cell>
          <cell r="B3114" t="str">
            <v>MR</v>
          </cell>
          <cell r="C3114">
            <v>9.1999999999999993</v>
          </cell>
          <cell r="D3114">
            <v>15</v>
          </cell>
          <cell r="E3114" t="str">
            <v>KH107</v>
          </cell>
          <cell r="F3114">
            <v>6020</v>
          </cell>
          <cell r="G3114">
            <v>100.75</v>
          </cell>
          <cell r="H3114">
            <v>1.35</v>
          </cell>
          <cell r="I3114" t="str">
            <v>From M1B</v>
          </cell>
          <cell r="J3114" t="str">
            <v>IE3</v>
          </cell>
          <cell r="K3114" t="str">
            <v>400/690</v>
          </cell>
          <cell r="L3114">
            <v>50</v>
          </cell>
          <cell r="M3114" t="str">
            <v>18,7/10,8</v>
          </cell>
          <cell r="N3114">
            <v>65</v>
          </cell>
          <cell r="O3114" t="str">
            <v>155(F)</v>
          </cell>
          <cell r="P3114" t="str">
            <v>270°</v>
          </cell>
          <cell r="Q3114" t="str">
            <v>TF</v>
          </cell>
          <cell r="R3114" t="str">
            <v>-</v>
          </cell>
          <cell r="S3114" t="str">
            <v>-</v>
          </cell>
          <cell r="T3114" t="str">
            <v>-</v>
          </cell>
          <cell r="U3114" t="str">
            <v>-</v>
          </cell>
          <cell r="V3114" t="str">
            <v>SS</v>
          </cell>
          <cell r="W3114" t="str">
            <v>YES</v>
          </cell>
          <cell r="X3114" t="str">
            <v>CLP HC 150 (-30/+50°C)</v>
          </cell>
          <cell r="Y3114" t="str">
            <v>KH107DRN132L4 /TF</v>
          </cell>
          <cell r="Z3114" t="str">
            <v>SEW</v>
          </cell>
          <cell r="AB3114" t="str">
            <v>-</v>
          </cell>
          <cell r="AF3114">
            <v>15</v>
          </cell>
          <cell r="AG3114" t="str">
            <v>DRN132L4</v>
          </cell>
          <cell r="AH3114" t="str">
            <v>KH107-DRN132L4B270-X</v>
          </cell>
        </row>
        <row r="3115">
          <cell r="A3115" t="str">
            <v>MR003103</v>
          </cell>
          <cell r="B3115" t="str">
            <v>MR</v>
          </cell>
          <cell r="C3115">
            <v>11</v>
          </cell>
          <cell r="D3115">
            <v>20</v>
          </cell>
          <cell r="E3115" t="str">
            <v>FH107</v>
          </cell>
          <cell r="F3115">
            <v>5310</v>
          </cell>
          <cell r="G3115">
            <v>74.52</v>
          </cell>
          <cell r="H3115">
            <v>1.45</v>
          </cell>
          <cell r="I3115" t="str">
            <v>From M1 to M4 - 15°</v>
          </cell>
          <cell r="J3115" t="str">
            <v>IE3</v>
          </cell>
          <cell r="K3115" t="str">
            <v>400/690</v>
          </cell>
          <cell r="L3115">
            <v>50</v>
          </cell>
          <cell r="M3115" t="str">
            <v>21/12,2</v>
          </cell>
          <cell r="N3115">
            <v>65</v>
          </cell>
          <cell r="O3115" t="str">
            <v>155(F)</v>
          </cell>
          <cell r="P3115" t="str">
            <v>270°</v>
          </cell>
          <cell r="Q3115" t="str">
            <v>TF</v>
          </cell>
          <cell r="R3115" t="str">
            <v>V(VE)</v>
          </cell>
          <cell r="S3115" t="str">
            <v>-</v>
          </cell>
          <cell r="T3115" t="str">
            <v>-</v>
          </cell>
          <cell r="U3115" t="str">
            <v>G</v>
          </cell>
          <cell r="V3115" t="str">
            <v>FC</v>
          </cell>
          <cell r="W3115" t="str">
            <v>YES</v>
          </cell>
          <cell r="X3115" t="str">
            <v>CLP HC 150 (-30/+50°C)</v>
          </cell>
          <cell r="Y3115" t="str">
            <v>FH107/G DRN160M4 /TF/V</v>
          </cell>
          <cell r="Z3115" t="str">
            <v>SEW</v>
          </cell>
          <cell r="AB3115" t="str">
            <v>-</v>
          </cell>
          <cell r="AF3115">
            <v>20</v>
          </cell>
          <cell r="AG3115" t="str">
            <v>DRN160M4</v>
          </cell>
          <cell r="AH3115" t="str">
            <v>FH107G-DRN160M4270-X#</v>
          </cell>
        </row>
        <row r="3116">
          <cell r="A3116" t="str">
            <v>MR003104</v>
          </cell>
          <cell r="B3116" t="str">
            <v>MR</v>
          </cell>
          <cell r="C3116">
            <v>7.5</v>
          </cell>
          <cell r="D3116">
            <v>62</v>
          </cell>
          <cell r="E3116" t="str">
            <v>FH87</v>
          </cell>
          <cell r="F3116">
            <v>1160</v>
          </cell>
          <cell r="G3116">
            <v>23.68</v>
          </cell>
          <cell r="H3116">
            <v>2.6</v>
          </cell>
          <cell r="I3116" t="str">
            <v>From M1 to M2 - 15°</v>
          </cell>
          <cell r="J3116" t="str">
            <v>IE3</v>
          </cell>
          <cell r="K3116" t="str">
            <v>400/690</v>
          </cell>
          <cell r="L3116">
            <v>50</v>
          </cell>
          <cell r="M3116" t="str">
            <v>15,2/8,8</v>
          </cell>
          <cell r="N3116">
            <v>65</v>
          </cell>
          <cell r="O3116" t="str">
            <v>155(F)</v>
          </cell>
          <cell r="P3116" t="str">
            <v>270°</v>
          </cell>
          <cell r="Q3116" t="str">
            <v>TF</v>
          </cell>
          <cell r="R3116" t="str">
            <v>-</v>
          </cell>
          <cell r="S3116" t="str">
            <v>-</v>
          </cell>
          <cell r="T3116" t="str">
            <v>-</v>
          </cell>
          <cell r="U3116" t="str">
            <v>G</v>
          </cell>
          <cell r="V3116" t="str">
            <v>D</v>
          </cell>
          <cell r="W3116" t="str">
            <v>YES</v>
          </cell>
          <cell r="X3116" t="str">
            <v>CLP HC 150 (-30/+50°C)</v>
          </cell>
          <cell r="Y3116" t="str">
            <v>FH87/G DRN132M4 /TF</v>
          </cell>
          <cell r="Z3116" t="str">
            <v>SEW</v>
          </cell>
          <cell r="AB3116" t="str">
            <v>-</v>
          </cell>
          <cell r="AF3116">
            <v>62</v>
          </cell>
          <cell r="AG3116" t="str">
            <v>DRN132M4</v>
          </cell>
          <cell r="AH3116" t="str">
            <v>FH87G-DRN132M4270-X</v>
          </cell>
        </row>
        <row r="3117">
          <cell r="A3117" t="str">
            <v>MR003105</v>
          </cell>
          <cell r="B3117" t="str">
            <v>MR</v>
          </cell>
          <cell r="C3117">
            <v>3</v>
          </cell>
          <cell r="D3117">
            <v>58</v>
          </cell>
          <cell r="E3117" t="str">
            <v>FH67</v>
          </cell>
          <cell r="F3117">
            <v>495</v>
          </cell>
          <cell r="G3117">
            <v>25.13</v>
          </cell>
          <cell r="H3117">
            <v>1.65</v>
          </cell>
          <cell r="I3117" t="str">
            <v>M1</v>
          </cell>
          <cell r="J3117" t="str">
            <v>IE3</v>
          </cell>
          <cell r="K3117" t="str">
            <v>230/400</v>
          </cell>
          <cell r="L3117">
            <v>50</v>
          </cell>
          <cell r="M3117" t="str">
            <v>11,2/6,4</v>
          </cell>
          <cell r="N3117">
            <v>65</v>
          </cell>
          <cell r="O3117" t="str">
            <v>155(F)</v>
          </cell>
          <cell r="P3117" t="str">
            <v>270°</v>
          </cell>
          <cell r="Q3117" t="str">
            <v>TF</v>
          </cell>
          <cell r="R3117" t="str">
            <v>-</v>
          </cell>
          <cell r="S3117" t="str">
            <v>-</v>
          </cell>
          <cell r="T3117" t="str">
            <v>-</v>
          </cell>
          <cell r="U3117" t="str">
            <v>G</v>
          </cell>
          <cell r="V3117" t="str">
            <v>D</v>
          </cell>
          <cell r="W3117" t="str">
            <v>YES</v>
          </cell>
          <cell r="X3117" t="str">
            <v>CLP HC 150 (-30/+50°C)</v>
          </cell>
          <cell r="Y3117" t="str">
            <v>FH67/G DRN100L4 /TF</v>
          </cell>
          <cell r="Z3117" t="str">
            <v>SEW</v>
          </cell>
          <cell r="AB3117" t="str">
            <v>-</v>
          </cell>
          <cell r="AF3117">
            <v>58</v>
          </cell>
          <cell r="AG3117" t="str">
            <v>DRN100L4</v>
          </cell>
          <cell r="AH3117" t="str">
            <v>FH67G-DRN100L4270-X</v>
          </cell>
        </row>
        <row r="3118">
          <cell r="A3118" t="str">
            <v>MR003106</v>
          </cell>
          <cell r="B3118" t="str">
            <v>MR</v>
          </cell>
          <cell r="C3118">
            <v>5.5</v>
          </cell>
          <cell r="D3118">
            <v>57</v>
          </cell>
          <cell r="E3118" t="str">
            <v>FH77</v>
          </cell>
          <cell r="F3118">
            <v>920</v>
          </cell>
          <cell r="G3118">
            <v>25.5</v>
          </cell>
          <cell r="H3118">
            <v>1.65</v>
          </cell>
          <cell r="I3118" t="str">
            <v>From M1 to M2 - 30°</v>
          </cell>
          <cell r="J3118" t="str">
            <v>IE3</v>
          </cell>
          <cell r="K3118" t="str">
            <v>230/400</v>
          </cell>
          <cell r="L3118">
            <v>50</v>
          </cell>
          <cell r="M3118" t="str">
            <v>18,2/10,5</v>
          </cell>
          <cell r="N3118">
            <v>65</v>
          </cell>
          <cell r="O3118" t="str">
            <v>155(F)</v>
          </cell>
          <cell r="P3118" t="str">
            <v>270°</v>
          </cell>
          <cell r="Q3118" t="str">
            <v>TF</v>
          </cell>
          <cell r="R3118" t="str">
            <v>-</v>
          </cell>
          <cell r="S3118" t="str">
            <v>-</v>
          </cell>
          <cell r="T3118" t="str">
            <v>-</v>
          </cell>
          <cell r="U3118" t="str">
            <v>G</v>
          </cell>
          <cell r="V3118" t="str">
            <v>D</v>
          </cell>
          <cell r="W3118" t="str">
            <v>YES</v>
          </cell>
          <cell r="X3118" t="str">
            <v>CLP HC 150 (-30/+50°C)</v>
          </cell>
          <cell r="Y3118" t="str">
            <v>FH77/G DRN132S4 /TF</v>
          </cell>
          <cell r="Z3118" t="str">
            <v>SEW</v>
          </cell>
          <cell r="AB3118" t="str">
            <v>-</v>
          </cell>
          <cell r="AF3118">
            <v>57</v>
          </cell>
          <cell r="AG3118" t="str">
            <v>DRN132S4</v>
          </cell>
          <cell r="AH3118" t="str">
            <v>FH77G-DRN132S4270-X</v>
          </cell>
        </row>
        <row r="3119">
          <cell r="A3119" t="str">
            <v>MR003107</v>
          </cell>
          <cell r="B3119" t="str">
            <v>MR</v>
          </cell>
          <cell r="C3119">
            <v>3</v>
          </cell>
          <cell r="D3119">
            <v>88</v>
          </cell>
          <cell r="E3119" t="str">
            <v>FH67</v>
          </cell>
          <cell r="F3119">
            <v>325</v>
          </cell>
          <cell r="G3119">
            <v>16.48</v>
          </cell>
          <cell r="H3119">
            <v>2.5</v>
          </cell>
          <cell r="I3119" t="str">
            <v>From M3 to M2 - 15°</v>
          </cell>
          <cell r="J3119" t="str">
            <v>IE3</v>
          </cell>
          <cell r="K3119" t="str">
            <v>230/400</v>
          </cell>
          <cell r="L3119">
            <v>50</v>
          </cell>
          <cell r="M3119" t="str">
            <v>11,2/6,4</v>
          </cell>
          <cell r="N3119">
            <v>65</v>
          </cell>
          <cell r="O3119" t="str">
            <v>155(F)</v>
          </cell>
          <cell r="P3119" t="str">
            <v>270°</v>
          </cell>
          <cell r="Q3119" t="str">
            <v>TF</v>
          </cell>
          <cell r="R3119" t="str">
            <v>-</v>
          </cell>
          <cell r="S3119" t="str">
            <v>-</v>
          </cell>
          <cell r="T3119" t="str">
            <v>-</v>
          </cell>
          <cell r="U3119" t="str">
            <v>G</v>
          </cell>
          <cell r="V3119" t="str">
            <v>D</v>
          </cell>
          <cell r="W3119" t="str">
            <v>YES</v>
          </cell>
          <cell r="X3119" t="str">
            <v>CLP HC 150 (-30/+50°C)</v>
          </cell>
          <cell r="Y3119" t="str">
            <v>FH67/G DRN100L4 /TF</v>
          </cell>
          <cell r="Z3119" t="str">
            <v>SEW</v>
          </cell>
          <cell r="AB3119" t="str">
            <v>-</v>
          </cell>
          <cell r="AF3119">
            <v>88</v>
          </cell>
          <cell r="AG3119" t="str">
            <v>DRN100L4</v>
          </cell>
          <cell r="AH3119" t="str">
            <v>FH67G-DRN100L4270-X</v>
          </cell>
        </row>
        <row r="3120">
          <cell r="A3120" t="str">
            <v>MR003108</v>
          </cell>
          <cell r="B3120" t="str">
            <v>MR</v>
          </cell>
          <cell r="C3120">
            <v>2.2000000000000002</v>
          </cell>
          <cell r="D3120">
            <v>64</v>
          </cell>
          <cell r="E3120" t="str">
            <v>KH49</v>
          </cell>
          <cell r="F3120">
            <v>330</v>
          </cell>
          <cell r="G3120">
            <v>22.83</v>
          </cell>
          <cell r="H3120">
            <v>1.5</v>
          </cell>
          <cell r="I3120" t="str">
            <v>M1B</v>
          </cell>
          <cell r="J3120" t="str">
            <v>IE3</v>
          </cell>
          <cell r="K3120" t="str">
            <v>230/400</v>
          </cell>
          <cell r="L3120">
            <v>50</v>
          </cell>
          <cell r="M3120" t="str">
            <v>8,3/4,75</v>
          </cell>
          <cell r="N3120">
            <v>65</v>
          </cell>
          <cell r="O3120" t="str">
            <v>155(F)</v>
          </cell>
          <cell r="P3120" t="str">
            <v>270°</v>
          </cell>
          <cell r="Q3120" t="str">
            <v>TF</v>
          </cell>
          <cell r="R3120" t="str">
            <v>-</v>
          </cell>
          <cell r="S3120" t="str">
            <v>-</v>
          </cell>
          <cell r="T3120" t="str">
            <v>-</v>
          </cell>
          <cell r="U3120" t="str">
            <v>T</v>
          </cell>
          <cell r="V3120" t="str">
            <v>D</v>
          </cell>
          <cell r="W3120" t="str">
            <v>YES</v>
          </cell>
          <cell r="X3120" t="str">
            <v>CLP HC 150 (-30/+50°C)</v>
          </cell>
          <cell r="Y3120" t="str">
            <v>KH49/T DRN100LS4 /TF</v>
          </cell>
          <cell r="Z3120" t="str">
            <v>SEW</v>
          </cell>
          <cell r="AB3120" t="str">
            <v>-</v>
          </cell>
          <cell r="AF3120">
            <v>64</v>
          </cell>
          <cell r="AG3120" t="str">
            <v>DRN100LS4</v>
          </cell>
          <cell r="AH3120" t="str">
            <v>KH49T-DRN100LS4B270-X</v>
          </cell>
        </row>
        <row r="3121">
          <cell r="A3121" t="str">
            <v>MR003109</v>
          </cell>
          <cell r="B3121" t="str">
            <v>MR</v>
          </cell>
          <cell r="C3121">
            <v>0.75</v>
          </cell>
          <cell r="D3121">
            <v>162</v>
          </cell>
          <cell r="E3121" t="str">
            <v>KA37</v>
          </cell>
          <cell r="F3121">
            <v>44</v>
          </cell>
          <cell r="G3121">
            <v>8.91</v>
          </cell>
          <cell r="H3121">
            <v>3.6</v>
          </cell>
          <cell r="I3121" t="str">
            <v>From M1A to M2A - 15°</v>
          </cell>
          <cell r="J3121" t="str">
            <v>IE3</v>
          </cell>
          <cell r="K3121" t="str">
            <v>230/400</v>
          </cell>
          <cell r="L3121">
            <v>50</v>
          </cell>
          <cell r="M3121" t="str">
            <v>3,05/1,75</v>
          </cell>
          <cell r="N3121">
            <v>65</v>
          </cell>
          <cell r="O3121" t="str">
            <v>155(F)</v>
          </cell>
          <cell r="P3121" t="str">
            <v>270°</v>
          </cell>
          <cell r="Q3121" t="str">
            <v>TF</v>
          </cell>
          <cell r="R3121" t="str">
            <v>-</v>
          </cell>
          <cell r="S3121" t="str">
            <v>-</v>
          </cell>
          <cell r="T3121" t="str">
            <v>-</v>
          </cell>
          <cell r="U3121" t="str">
            <v>T</v>
          </cell>
          <cell r="V3121" t="str">
            <v>D</v>
          </cell>
          <cell r="W3121" t="str">
            <v>YES</v>
          </cell>
          <cell r="X3121" t="str">
            <v>CLP HC 150 (-30/+50°C)</v>
          </cell>
          <cell r="Y3121" t="str">
            <v>KA37/T DRN80M4 /TF</v>
          </cell>
          <cell r="Z3121" t="str">
            <v>SEW</v>
          </cell>
          <cell r="AB3121" t="str">
            <v>-</v>
          </cell>
          <cell r="AF3121">
            <v>162</v>
          </cell>
          <cell r="AG3121" t="str">
            <v>DRN80M4</v>
          </cell>
          <cell r="AH3121" t="str">
            <v>KA37T-DRN80M4A270-X</v>
          </cell>
        </row>
        <row r="3122">
          <cell r="A3122" t="str">
            <v>MR003110</v>
          </cell>
          <cell r="B3122" t="str">
            <v>MR</v>
          </cell>
          <cell r="C3122">
            <v>0.75</v>
          </cell>
          <cell r="D3122">
            <v>162</v>
          </cell>
          <cell r="E3122" t="str">
            <v>KA37</v>
          </cell>
          <cell r="F3122">
            <v>44</v>
          </cell>
          <cell r="G3122">
            <v>8.91</v>
          </cell>
          <cell r="H3122">
            <v>3.6</v>
          </cell>
          <cell r="I3122" t="str">
            <v>From M1A to M2A - 25°</v>
          </cell>
          <cell r="J3122" t="str">
            <v>IE3</v>
          </cell>
          <cell r="K3122" t="str">
            <v>230/400</v>
          </cell>
          <cell r="L3122">
            <v>50</v>
          </cell>
          <cell r="M3122" t="str">
            <v>3,05/1,75</v>
          </cell>
          <cell r="N3122">
            <v>65</v>
          </cell>
          <cell r="O3122" t="str">
            <v>155(F)</v>
          </cell>
          <cell r="P3122" t="str">
            <v>270°</v>
          </cell>
          <cell r="Q3122" t="str">
            <v>TF</v>
          </cell>
          <cell r="R3122" t="str">
            <v>-</v>
          </cell>
          <cell r="S3122" t="str">
            <v>-</v>
          </cell>
          <cell r="T3122" t="str">
            <v>-</v>
          </cell>
          <cell r="U3122" t="str">
            <v>T</v>
          </cell>
          <cell r="V3122" t="str">
            <v>D</v>
          </cell>
          <cell r="W3122" t="str">
            <v>YES</v>
          </cell>
          <cell r="X3122" t="str">
            <v>CLP HC 150 (-30/+50°C)</v>
          </cell>
          <cell r="Y3122" t="str">
            <v>KA37/T DRN80M4 /TF</v>
          </cell>
          <cell r="Z3122" t="str">
            <v>SEW</v>
          </cell>
          <cell r="AB3122" t="str">
            <v>-</v>
          </cell>
          <cell r="AF3122">
            <v>162</v>
          </cell>
          <cell r="AG3122" t="str">
            <v>DRN80M4</v>
          </cell>
          <cell r="AH3122" t="str">
            <v>KA37T-DRN80M4A270-X</v>
          </cell>
        </row>
        <row r="3123">
          <cell r="A3123" t="str">
            <v>MR003111</v>
          </cell>
          <cell r="B3123" t="str">
            <v>MR</v>
          </cell>
          <cell r="C3123">
            <v>7.5</v>
          </cell>
          <cell r="D3123">
            <v>77</v>
          </cell>
          <cell r="E3123" t="str">
            <v>R87</v>
          </cell>
          <cell r="F3123">
            <v>930</v>
          </cell>
          <cell r="G3123">
            <v>19.100000000000001</v>
          </cell>
          <cell r="H3123">
            <v>1.55</v>
          </cell>
          <cell r="I3123" t="str">
            <v>M1</v>
          </cell>
          <cell r="J3123" t="str">
            <v>IE3</v>
          </cell>
          <cell r="K3123" t="str">
            <v>230/400</v>
          </cell>
          <cell r="L3123">
            <v>50</v>
          </cell>
          <cell r="M3123" t="str">
            <v>26,5/15,2</v>
          </cell>
          <cell r="N3123">
            <v>65</v>
          </cell>
          <cell r="O3123" t="str">
            <v>155(F)</v>
          </cell>
          <cell r="P3123" t="str">
            <v>270°</v>
          </cell>
          <cell r="Q3123" t="str">
            <v>-</v>
          </cell>
          <cell r="R3123" t="str">
            <v>-</v>
          </cell>
          <cell r="S3123" t="str">
            <v>-</v>
          </cell>
          <cell r="T3123" t="str">
            <v>-</v>
          </cell>
          <cell r="U3123" t="str">
            <v>-</v>
          </cell>
          <cell r="V3123" t="str">
            <v>D</v>
          </cell>
          <cell r="W3123" t="str">
            <v>-</v>
          </cell>
          <cell r="X3123" t="str">
            <v>CLP 220 (-15/+40°C)</v>
          </cell>
          <cell r="Y3123" t="str">
            <v>R87DRN132M4</v>
          </cell>
          <cell r="Z3123" t="str">
            <v>SEW</v>
          </cell>
          <cell r="AB3123" t="str">
            <v>-</v>
          </cell>
          <cell r="AF3123">
            <v>77</v>
          </cell>
          <cell r="AG3123" t="str">
            <v>DRN132M4</v>
          </cell>
          <cell r="AH3123" t="str">
            <v>R87-DRN132M4270-X</v>
          </cell>
        </row>
        <row r="3124">
          <cell r="A3124" t="str">
            <v>MR003112</v>
          </cell>
          <cell r="B3124" t="str">
            <v>MR</v>
          </cell>
          <cell r="C3124">
            <v>7.5</v>
          </cell>
          <cell r="D3124">
            <v>15</v>
          </cell>
          <cell r="E3124" t="str">
            <v>KH107</v>
          </cell>
          <cell r="F3124">
            <v>4910</v>
          </cell>
          <cell r="G3124">
            <v>100.75</v>
          </cell>
          <cell r="H3124">
            <v>1.65</v>
          </cell>
          <cell r="I3124" t="str">
            <v>From M1A to M2A - 20°</v>
          </cell>
          <cell r="J3124" t="str">
            <v>IE3</v>
          </cell>
          <cell r="K3124" t="str">
            <v>400/690</v>
          </cell>
          <cell r="L3124">
            <v>50</v>
          </cell>
          <cell r="M3124" t="str">
            <v>15,2/8,8</v>
          </cell>
          <cell r="N3124">
            <v>65</v>
          </cell>
          <cell r="O3124" t="str">
            <v>155(F)</v>
          </cell>
          <cell r="P3124" t="str">
            <v>270°</v>
          </cell>
          <cell r="Q3124" t="str">
            <v>TF</v>
          </cell>
          <cell r="R3124" t="str">
            <v>-</v>
          </cell>
          <cell r="S3124" t="str">
            <v>-</v>
          </cell>
          <cell r="T3124" t="str">
            <v>-</v>
          </cell>
          <cell r="U3124" t="str">
            <v>-</v>
          </cell>
          <cell r="V3124" t="str">
            <v>SS</v>
          </cell>
          <cell r="W3124" t="str">
            <v>-</v>
          </cell>
          <cell r="X3124" t="str">
            <v>CLP HC 150 (-30/+50°C)</v>
          </cell>
          <cell r="Y3124" t="str">
            <v>KH107DRN132M4 /TF</v>
          </cell>
          <cell r="Z3124" t="str">
            <v>SEW</v>
          </cell>
          <cell r="AB3124" t="str">
            <v>-</v>
          </cell>
          <cell r="AF3124">
            <v>15</v>
          </cell>
          <cell r="AG3124" t="str">
            <v>DRN132M4</v>
          </cell>
          <cell r="AH3124" t="str">
            <v>KH107-DRN132M4A270-X</v>
          </cell>
        </row>
        <row r="3125">
          <cell r="A3125" t="str">
            <v>MR003113</v>
          </cell>
          <cell r="B3125" t="str">
            <v>MR</v>
          </cell>
          <cell r="C3125">
            <v>7.5</v>
          </cell>
          <cell r="D3125">
            <v>15</v>
          </cell>
          <cell r="E3125" t="str">
            <v>KH107</v>
          </cell>
          <cell r="F3125">
            <v>4910</v>
          </cell>
          <cell r="G3125">
            <v>100.75</v>
          </cell>
          <cell r="H3125">
            <v>1.65</v>
          </cell>
          <cell r="I3125" t="str">
            <v>From M1B to M2B - 20°</v>
          </cell>
          <cell r="J3125" t="str">
            <v>IE3</v>
          </cell>
          <cell r="K3125" t="str">
            <v>400/690</v>
          </cell>
          <cell r="L3125">
            <v>50</v>
          </cell>
          <cell r="M3125" t="str">
            <v>15,2/8,8</v>
          </cell>
          <cell r="N3125">
            <v>65</v>
          </cell>
          <cell r="O3125" t="str">
            <v>155(F)</v>
          </cell>
          <cell r="P3125" t="str">
            <v>270°</v>
          </cell>
          <cell r="Q3125" t="str">
            <v>TF</v>
          </cell>
          <cell r="R3125" t="str">
            <v>-</v>
          </cell>
          <cell r="S3125" t="str">
            <v>-</v>
          </cell>
          <cell r="T3125" t="str">
            <v>-</v>
          </cell>
          <cell r="U3125" t="str">
            <v>-</v>
          </cell>
          <cell r="V3125" t="str">
            <v>SS</v>
          </cell>
          <cell r="W3125" t="str">
            <v>-</v>
          </cell>
          <cell r="X3125" t="str">
            <v>CLP HC 150 (-30/+50°C)</v>
          </cell>
          <cell r="Y3125" t="str">
            <v>KH107DRN132M4 /TF</v>
          </cell>
          <cell r="Z3125" t="str">
            <v>SEW</v>
          </cell>
          <cell r="AB3125" t="str">
            <v>-</v>
          </cell>
          <cell r="AF3125">
            <v>15</v>
          </cell>
          <cell r="AG3125" t="str">
            <v>DRN132M4</v>
          </cell>
          <cell r="AH3125" t="str">
            <v>KH107-DRN132M4B270-X</v>
          </cell>
        </row>
        <row r="3126">
          <cell r="A3126" t="str">
            <v>MR003114</v>
          </cell>
          <cell r="B3126" t="str">
            <v>MR</v>
          </cell>
          <cell r="C3126">
            <v>4</v>
          </cell>
          <cell r="D3126">
            <v>91</v>
          </cell>
          <cell r="E3126" t="str">
            <v>RF67</v>
          </cell>
          <cell r="F3126">
            <v>410</v>
          </cell>
          <cell r="G3126">
            <v>15.79</v>
          </cell>
          <cell r="H3126">
            <v>1.35</v>
          </cell>
          <cell r="I3126" t="str">
            <v>M1</v>
          </cell>
          <cell r="J3126" t="str">
            <v>IE3</v>
          </cell>
          <cell r="K3126" t="str">
            <v>230/400</v>
          </cell>
          <cell r="L3126">
            <v>50</v>
          </cell>
          <cell r="M3126" t="str">
            <v>13,8/7,9</v>
          </cell>
          <cell r="N3126">
            <v>55</v>
          </cell>
          <cell r="O3126" t="str">
            <v>155(F)</v>
          </cell>
          <cell r="P3126" t="str">
            <v>0°</v>
          </cell>
          <cell r="Q3126" t="str">
            <v>TF</v>
          </cell>
          <cell r="R3126" t="str">
            <v>-</v>
          </cell>
          <cell r="S3126" t="str">
            <v>-</v>
          </cell>
          <cell r="T3126" t="str">
            <v>-</v>
          </cell>
          <cell r="U3126" t="str">
            <v>-</v>
          </cell>
          <cell r="V3126" t="str">
            <v>-</v>
          </cell>
          <cell r="W3126" t="str">
            <v>-</v>
          </cell>
          <cell r="X3126" t="str">
            <v>CLP 220 (-15/+40°C)</v>
          </cell>
          <cell r="Y3126" t="str">
            <v>RF67DRN112M4 /TF</v>
          </cell>
          <cell r="Z3126" t="str">
            <v>SEW</v>
          </cell>
          <cell r="AB3126" t="str">
            <v>-</v>
          </cell>
          <cell r="AF3126">
            <v>91</v>
          </cell>
          <cell r="AG3126" t="str">
            <v>DRN112M4</v>
          </cell>
          <cell r="AH3126" t="str">
            <v>RF67-DRN112M40-X</v>
          </cell>
        </row>
        <row r="3127">
          <cell r="A3127" t="str">
            <v>MR003115</v>
          </cell>
          <cell r="B3127" t="str">
            <v>MR</v>
          </cell>
          <cell r="C3127">
            <v>18.5</v>
          </cell>
          <cell r="D3127">
            <v>65</v>
          </cell>
          <cell r="E3127" t="str">
            <v>R107</v>
          </cell>
          <cell r="F3127">
            <v>2700</v>
          </cell>
          <cell r="G3127">
            <v>22.62</v>
          </cell>
          <cell r="H3127">
            <v>1.6</v>
          </cell>
          <cell r="I3127" t="str">
            <v>From M1 to M4 - 15°</v>
          </cell>
          <cell r="J3127" t="str">
            <v>IE3</v>
          </cell>
          <cell r="K3127" t="str">
            <v>400/690</v>
          </cell>
          <cell r="L3127">
            <v>50</v>
          </cell>
          <cell r="M3127" t="str">
            <v>33,5/19,3</v>
          </cell>
          <cell r="N3127">
            <v>55</v>
          </cell>
          <cell r="O3127" t="str">
            <v>155(F)</v>
          </cell>
          <cell r="P3127" t="str">
            <v>270°</v>
          </cell>
          <cell r="Q3127" t="str">
            <v>-</v>
          </cell>
          <cell r="R3127" t="str">
            <v>-</v>
          </cell>
          <cell r="S3127" t="str">
            <v>-</v>
          </cell>
          <cell r="T3127" t="str">
            <v>-</v>
          </cell>
          <cell r="U3127" t="str">
            <v>-</v>
          </cell>
          <cell r="V3127" t="str">
            <v>D</v>
          </cell>
          <cell r="W3127" t="str">
            <v>-</v>
          </cell>
          <cell r="X3127" t="str">
            <v>CLP 220 (-15/+40°C)</v>
          </cell>
          <cell r="Y3127" t="str">
            <v>R107DRN180M4</v>
          </cell>
          <cell r="Z3127" t="str">
            <v>SEW</v>
          </cell>
          <cell r="AB3127" t="str">
            <v>-</v>
          </cell>
          <cell r="AF3127">
            <v>65</v>
          </cell>
          <cell r="AG3127" t="str">
            <v>DRN180M4</v>
          </cell>
          <cell r="AH3127" t="str">
            <v>R107-DRN180M4270-X</v>
          </cell>
        </row>
        <row r="3128">
          <cell r="A3128" t="str">
            <v>MR003116</v>
          </cell>
          <cell r="B3128" t="str">
            <v>MR</v>
          </cell>
          <cell r="C3128">
            <v>55</v>
          </cell>
          <cell r="D3128">
            <v>88</v>
          </cell>
          <cell r="E3128" t="str">
            <v>R137</v>
          </cell>
          <cell r="F3128">
            <v>5950</v>
          </cell>
          <cell r="G3128">
            <v>16.8</v>
          </cell>
          <cell r="H3128">
            <v>1.35</v>
          </cell>
          <cell r="I3128" t="str">
            <v>M4</v>
          </cell>
          <cell r="J3128" t="str">
            <v>IE3</v>
          </cell>
          <cell r="K3128" t="str">
            <v>400/690</v>
          </cell>
          <cell r="L3128">
            <v>50</v>
          </cell>
          <cell r="M3128" t="str">
            <v>104/61</v>
          </cell>
          <cell r="N3128">
            <v>55</v>
          </cell>
          <cell r="O3128" t="str">
            <v>155(F)</v>
          </cell>
          <cell r="P3128" t="str">
            <v>270°</v>
          </cell>
          <cell r="Q3128" t="str">
            <v>-</v>
          </cell>
          <cell r="R3128" t="str">
            <v>-</v>
          </cell>
          <cell r="S3128" t="str">
            <v>-</v>
          </cell>
          <cell r="T3128" t="str">
            <v>-</v>
          </cell>
          <cell r="U3128" t="str">
            <v>-</v>
          </cell>
          <cell r="V3128" t="str">
            <v>D</v>
          </cell>
          <cell r="W3128" t="str">
            <v>-</v>
          </cell>
          <cell r="X3128" t="str">
            <v>CLP 220 (-15/+40°C)</v>
          </cell>
          <cell r="Y3128" t="str">
            <v>R137DRN250M4</v>
          </cell>
          <cell r="Z3128" t="str">
            <v>SEW</v>
          </cell>
          <cell r="AB3128" t="str">
            <v>-</v>
          </cell>
          <cell r="AF3128">
            <v>88</v>
          </cell>
          <cell r="AG3128" t="str">
            <v>DRN250M4</v>
          </cell>
          <cell r="AH3128" t="str">
            <v>R137-DRN250M4270-X</v>
          </cell>
        </row>
        <row r="3129">
          <cell r="A3129" t="str">
            <v>MR003117</v>
          </cell>
          <cell r="B3129" t="str">
            <v>MR</v>
          </cell>
          <cell r="C3129">
            <v>18.5</v>
          </cell>
          <cell r="D3129">
            <v>25</v>
          </cell>
          <cell r="E3129" t="str">
            <v>R137</v>
          </cell>
          <cell r="F3129">
            <v>7070</v>
          </cell>
          <cell r="G3129">
            <v>59.17</v>
          </cell>
          <cell r="H3129">
            <v>1.1499999999999999</v>
          </cell>
          <cell r="I3129" t="str">
            <v>M1</v>
          </cell>
          <cell r="J3129" t="str">
            <v>IE3</v>
          </cell>
          <cell r="K3129" t="str">
            <v>400/690</v>
          </cell>
          <cell r="L3129">
            <v>50</v>
          </cell>
          <cell r="M3129" t="str">
            <v>33,5/19,3</v>
          </cell>
          <cell r="N3129">
            <v>55</v>
          </cell>
          <cell r="O3129" t="str">
            <v>155(F)</v>
          </cell>
          <cell r="P3129" t="str">
            <v>270°</v>
          </cell>
          <cell r="Q3129" t="str">
            <v>TF</v>
          </cell>
          <cell r="R3129" t="str">
            <v>V(VE)</v>
          </cell>
          <cell r="S3129" t="str">
            <v>-</v>
          </cell>
          <cell r="T3129" t="str">
            <v>-</v>
          </cell>
          <cell r="U3129" t="str">
            <v>-</v>
          </cell>
          <cell r="V3129" t="str">
            <v>FC</v>
          </cell>
          <cell r="W3129" t="str">
            <v>-</v>
          </cell>
          <cell r="X3129" t="str">
            <v>CLP HC 150 (-30/+50°C)</v>
          </cell>
          <cell r="Y3129" t="str">
            <v>R137DRN180M4 /TF/V</v>
          </cell>
          <cell r="Z3129" t="str">
            <v>SEW</v>
          </cell>
          <cell r="AB3129" t="str">
            <v>-</v>
          </cell>
          <cell r="AF3129">
            <v>25</v>
          </cell>
          <cell r="AG3129" t="str">
            <v>DRN180M4</v>
          </cell>
          <cell r="AH3129" t="str">
            <v>R137-DRN180M4270-X#</v>
          </cell>
        </row>
        <row r="3130">
          <cell r="A3130" t="str">
            <v>MR003118</v>
          </cell>
          <cell r="B3130" t="str">
            <v>MR</v>
          </cell>
          <cell r="C3130">
            <v>9.1999999999999993</v>
          </cell>
          <cell r="D3130">
            <v>13</v>
          </cell>
          <cell r="E3130" t="str">
            <v>KH107</v>
          </cell>
          <cell r="F3130">
            <v>6720</v>
          </cell>
          <cell r="G3130">
            <v>112.41</v>
          </cell>
          <cell r="H3130">
            <v>1.2</v>
          </cell>
          <cell r="I3130" t="str">
            <v>From M1A to M2A - 35°</v>
          </cell>
          <cell r="J3130" t="str">
            <v>IE3</v>
          </cell>
          <cell r="K3130" t="str">
            <v>400/690</v>
          </cell>
          <cell r="L3130">
            <v>50</v>
          </cell>
          <cell r="M3130" t="str">
            <v>18,7/10,8</v>
          </cell>
          <cell r="N3130">
            <v>55</v>
          </cell>
          <cell r="O3130" t="str">
            <v>155(F)</v>
          </cell>
          <cell r="P3130" t="str">
            <v>270°</v>
          </cell>
          <cell r="Q3130" t="str">
            <v>-</v>
          </cell>
          <cell r="R3130" t="str">
            <v>-</v>
          </cell>
          <cell r="S3130" t="str">
            <v>-</v>
          </cell>
          <cell r="T3130" t="str">
            <v>-</v>
          </cell>
          <cell r="U3130" t="str">
            <v>-</v>
          </cell>
          <cell r="V3130" t="str">
            <v>SS</v>
          </cell>
          <cell r="W3130" t="str">
            <v>-</v>
          </cell>
          <cell r="X3130" t="str">
            <v>CLP HC 150 (-30/+50°C)</v>
          </cell>
          <cell r="Y3130" t="str">
            <v>KH107DRN132L4</v>
          </cell>
          <cell r="Z3130" t="str">
            <v>SEW</v>
          </cell>
          <cell r="AB3130" t="str">
            <v>-</v>
          </cell>
          <cell r="AF3130">
            <v>13</v>
          </cell>
          <cell r="AG3130" t="str">
            <v>DRN132L4</v>
          </cell>
          <cell r="AH3130" t="str">
            <v>KH107-DRN132L4A270-X</v>
          </cell>
        </row>
        <row r="3131">
          <cell r="A3131" t="str">
            <v>MR003119</v>
          </cell>
          <cell r="B3131" t="str">
            <v>MR</v>
          </cell>
          <cell r="C3131">
            <v>4</v>
          </cell>
          <cell r="D3131">
            <v>82</v>
          </cell>
          <cell r="E3131" t="str">
            <v>R77</v>
          </cell>
          <cell r="F3131">
            <v>465</v>
          </cell>
          <cell r="G3131">
            <v>17.82</v>
          </cell>
          <cell r="H3131">
            <v>1.7</v>
          </cell>
          <cell r="I3131" t="str">
            <v>From M1 to M2 - 15°</v>
          </cell>
          <cell r="J3131" t="str">
            <v>IE3</v>
          </cell>
          <cell r="K3131" t="str">
            <v>230/400</v>
          </cell>
          <cell r="L3131">
            <v>50</v>
          </cell>
          <cell r="M3131" t="str">
            <v>13,8/7,9</v>
          </cell>
          <cell r="N3131">
            <v>55</v>
          </cell>
          <cell r="O3131" t="str">
            <v>155(F)</v>
          </cell>
          <cell r="P3131" t="str">
            <v>270°</v>
          </cell>
          <cell r="Q3131" t="str">
            <v>-</v>
          </cell>
          <cell r="R3131" t="str">
            <v>-</v>
          </cell>
          <cell r="S3131" t="str">
            <v>-</v>
          </cell>
          <cell r="T3131" t="str">
            <v>-</v>
          </cell>
          <cell r="U3131" t="str">
            <v>-</v>
          </cell>
          <cell r="V3131" t="str">
            <v>D</v>
          </cell>
          <cell r="W3131" t="str">
            <v>-</v>
          </cell>
          <cell r="X3131" t="str">
            <v>CLP HC 150 (-30/+50°C)</v>
          </cell>
          <cell r="Y3131" t="str">
            <v>R77DRN112M4</v>
          </cell>
          <cell r="Z3131" t="str">
            <v>SEW</v>
          </cell>
          <cell r="AB3131" t="str">
            <v>-</v>
          </cell>
          <cell r="AF3131">
            <v>82</v>
          </cell>
          <cell r="AG3131" t="str">
            <v>DRN112M4</v>
          </cell>
          <cell r="AH3131" t="str">
            <v>R77-DRN112M4270-X</v>
          </cell>
        </row>
        <row r="3132">
          <cell r="A3132" t="str">
            <v>MR003120</v>
          </cell>
          <cell r="B3132" t="str">
            <v>MR</v>
          </cell>
          <cell r="C3132">
            <v>22</v>
          </cell>
          <cell r="D3132">
            <v>33</v>
          </cell>
          <cell r="E3132" t="str">
            <v>R137</v>
          </cell>
          <cell r="F3132">
            <v>6310</v>
          </cell>
          <cell r="G3132">
            <v>44.39</v>
          </cell>
          <cell r="H3132">
            <v>1.25</v>
          </cell>
          <cell r="I3132" t="str">
            <v>M1</v>
          </cell>
          <cell r="J3132" t="str">
            <v>IE3</v>
          </cell>
          <cell r="K3132" t="str">
            <v>400/690</v>
          </cell>
          <cell r="L3132">
            <v>50</v>
          </cell>
          <cell r="M3132" t="str">
            <v>38,5/22,5</v>
          </cell>
          <cell r="N3132">
            <v>55</v>
          </cell>
          <cell r="O3132" t="str">
            <v>155(F)</v>
          </cell>
          <cell r="P3132" t="str">
            <v>270°</v>
          </cell>
          <cell r="Q3132" t="str">
            <v>-</v>
          </cell>
          <cell r="R3132" t="str">
            <v>-</v>
          </cell>
          <cell r="S3132" t="str">
            <v>Free rotation CCW</v>
          </cell>
          <cell r="T3132" t="str">
            <v>-</v>
          </cell>
          <cell r="U3132" t="str">
            <v>-</v>
          </cell>
          <cell r="V3132" t="str">
            <v>SS</v>
          </cell>
          <cell r="W3132" t="str">
            <v>-</v>
          </cell>
          <cell r="X3132" t="str">
            <v>CLP HC 150 (-30/+50°C)</v>
          </cell>
          <cell r="Y3132" t="str">
            <v>R137DRN180L4 /RS</v>
          </cell>
          <cell r="Z3132" t="str">
            <v>SEW</v>
          </cell>
          <cell r="AB3132" t="str">
            <v>-</v>
          </cell>
          <cell r="AF3132">
            <v>33</v>
          </cell>
          <cell r="AG3132" t="str">
            <v>DRN180L4</v>
          </cell>
          <cell r="AH3132" t="str">
            <v>R137-DRN180L4270-X</v>
          </cell>
        </row>
        <row r="3133">
          <cell r="A3133" t="str">
            <v>MR003121</v>
          </cell>
          <cell r="B3133" t="str">
            <v>MR</v>
          </cell>
          <cell r="C3133">
            <v>7.5</v>
          </cell>
          <cell r="D3133">
            <v>63</v>
          </cell>
          <cell r="E3133" t="str">
            <v>R87</v>
          </cell>
          <cell r="F3133">
            <v>1140</v>
          </cell>
          <cell r="G3133">
            <v>23.4</v>
          </cell>
          <cell r="H3133">
            <v>1.35</v>
          </cell>
          <cell r="I3133" t="str">
            <v>M1</v>
          </cell>
          <cell r="J3133" t="str">
            <v>IE3</v>
          </cell>
          <cell r="K3133" t="str">
            <v>400/690</v>
          </cell>
          <cell r="L3133">
            <v>50</v>
          </cell>
          <cell r="M3133" t="str">
            <v>15,2/8,8</v>
          </cell>
          <cell r="N3133">
            <v>55</v>
          </cell>
          <cell r="O3133" t="str">
            <v>155(F)</v>
          </cell>
          <cell r="P3133" t="str">
            <v>270°</v>
          </cell>
          <cell r="Q3133" t="str">
            <v>-</v>
          </cell>
          <cell r="R3133" t="str">
            <v>-</v>
          </cell>
          <cell r="S3133" t="str">
            <v>-</v>
          </cell>
          <cell r="T3133" t="str">
            <v>-</v>
          </cell>
          <cell r="U3133" t="str">
            <v>-</v>
          </cell>
          <cell r="V3133" t="str">
            <v>D</v>
          </cell>
          <cell r="W3133" t="str">
            <v>-</v>
          </cell>
          <cell r="X3133" t="str">
            <v>CLP HC 150 (-30/+50°C)</v>
          </cell>
          <cell r="Y3133" t="str">
            <v>R87DRN132M4</v>
          </cell>
          <cell r="Z3133" t="str">
            <v>SEW</v>
          </cell>
          <cell r="AB3133" t="str">
            <v>-</v>
          </cell>
          <cell r="AF3133">
            <v>63</v>
          </cell>
          <cell r="AG3133" t="str">
            <v>DRN132M4</v>
          </cell>
          <cell r="AH3133" t="str">
            <v>R87-DRN132M4270-X</v>
          </cell>
        </row>
        <row r="3134">
          <cell r="A3134" t="str">
            <v>MR003122</v>
          </cell>
          <cell r="B3134" t="str">
            <v>MR</v>
          </cell>
          <cell r="C3134">
            <v>7.5</v>
          </cell>
          <cell r="D3134">
            <v>12</v>
          </cell>
          <cell r="E3134" t="str">
            <v>R127</v>
          </cell>
          <cell r="F3134">
            <v>5900</v>
          </cell>
          <cell r="G3134">
            <v>120.92</v>
          </cell>
          <cell r="H3134">
            <v>1</v>
          </cell>
          <cell r="I3134" t="str">
            <v>From M1 to M2 - 15°</v>
          </cell>
          <cell r="J3134" t="str">
            <v>IE3</v>
          </cell>
          <cell r="K3134" t="str">
            <v>400/690</v>
          </cell>
          <cell r="L3134">
            <v>50</v>
          </cell>
          <cell r="M3134" t="str">
            <v>15,2/8,8</v>
          </cell>
          <cell r="N3134">
            <v>55</v>
          </cell>
          <cell r="O3134" t="str">
            <v>155(F)</v>
          </cell>
          <cell r="P3134" t="str">
            <v>270°</v>
          </cell>
          <cell r="Q3134" t="str">
            <v>TF</v>
          </cell>
          <cell r="R3134" t="str">
            <v>V(VE)</v>
          </cell>
          <cell r="S3134" t="str">
            <v>-</v>
          </cell>
          <cell r="T3134" t="str">
            <v>-</v>
          </cell>
          <cell r="U3134" t="str">
            <v>-</v>
          </cell>
          <cell r="V3134" t="str">
            <v>FC</v>
          </cell>
          <cell r="W3134" t="str">
            <v>-</v>
          </cell>
          <cell r="X3134" t="str">
            <v>CLP HC 150 (-30/+50°C)</v>
          </cell>
          <cell r="Y3134" t="str">
            <v>R127DRN132M4 /TF/V</v>
          </cell>
          <cell r="Z3134" t="str">
            <v>SEW</v>
          </cell>
          <cell r="AB3134" t="str">
            <v>-</v>
          </cell>
          <cell r="AF3134">
            <v>12</v>
          </cell>
          <cell r="AG3134" t="str">
            <v>DRN132M4</v>
          </cell>
          <cell r="AH3134" t="str">
            <v>R127-DRN132M4270-X#</v>
          </cell>
        </row>
        <row r="3135">
          <cell r="A3135" t="str">
            <v>MR003123</v>
          </cell>
          <cell r="B3135" t="str">
            <v>MR</v>
          </cell>
          <cell r="C3135">
            <v>9.1999999999999993</v>
          </cell>
          <cell r="D3135">
            <v>13</v>
          </cell>
          <cell r="E3135" t="str">
            <v>KH107</v>
          </cell>
          <cell r="F3135">
            <v>6720</v>
          </cell>
          <cell r="G3135">
            <v>112.41</v>
          </cell>
          <cell r="H3135">
            <v>1.2</v>
          </cell>
          <cell r="I3135" t="str">
            <v>From M1B to M2B - 20°</v>
          </cell>
          <cell r="J3135" t="str">
            <v>IE3</v>
          </cell>
          <cell r="K3135" t="str">
            <v>400/690</v>
          </cell>
          <cell r="L3135">
            <v>50</v>
          </cell>
          <cell r="M3135" t="str">
            <v>18,7/10,8</v>
          </cell>
          <cell r="N3135">
            <v>55</v>
          </cell>
          <cell r="O3135" t="str">
            <v>155(F)</v>
          </cell>
          <cell r="P3135" t="str">
            <v>270°</v>
          </cell>
          <cell r="Q3135" t="str">
            <v>-</v>
          </cell>
          <cell r="R3135" t="str">
            <v>-</v>
          </cell>
          <cell r="S3135" t="str">
            <v>-</v>
          </cell>
          <cell r="T3135" t="str">
            <v>-</v>
          </cell>
          <cell r="U3135" t="str">
            <v>-</v>
          </cell>
          <cell r="V3135" t="str">
            <v>SS</v>
          </cell>
          <cell r="W3135" t="str">
            <v>-</v>
          </cell>
          <cell r="X3135" t="str">
            <v>CLP HC 150 (-30/+50°C)</v>
          </cell>
          <cell r="Y3135" t="str">
            <v>KH107DRN132L4</v>
          </cell>
          <cell r="Z3135" t="str">
            <v>SEW</v>
          </cell>
          <cell r="AB3135" t="str">
            <v>-</v>
          </cell>
          <cell r="AF3135">
            <v>13</v>
          </cell>
          <cell r="AG3135" t="str">
            <v>DRN132L4</v>
          </cell>
          <cell r="AH3135" t="str">
            <v>KH107-DRN132L4B270-X</v>
          </cell>
        </row>
        <row r="3136">
          <cell r="A3136" t="str">
            <v>MR003124</v>
          </cell>
          <cell r="B3136" t="str">
            <v>MR</v>
          </cell>
          <cell r="C3136">
            <v>9.1999999999999993</v>
          </cell>
          <cell r="D3136">
            <v>13</v>
          </cell>
          <cell r="E3136" t="str">
            <v>KH107</v>
          </cell>
          <cell r="F3136">
            <v>6720</v>
          </cell>
          <cell r="G3136">
            <v>112.41</v>
          </cell>
          <cell r="H3136">
            <v>1.2</v>
          </cell>
          <cell r="I3136" t="str">
            <v>M1A</v>
          </cell>
          <cell r="J3136" t="str">
            <v>IE3</v>
          </cell>
          <cell r="K3136" t="str">
            <v>400/690</v>
          </cell>
          <cell r="L3136">
            <v>50</v>
          </cell>
          <cell r="M3136" t="str">
            <v>18,7/10,8</v>
          </cell>
          <cell r="N3136">
            <v>55</v>
          </cell>
          <cell r="O3136" t="str">
            <v>155(F)</v>
          </cell>
          <cell r="P3136" t="str">
            <v>270°</v>
          </cell>
          <cell r="Q3136" t="str">
            <v>-</v>
          </cell>
          <cell r="R3136" t="str">
            <v>-</v>
          </cell>
          <cell r="S3136" t="str">
            <v>-</v>
          </cell>
          <cell r="T3136" t="str">
            <v>-</v>
          </cell>
          <cell r="U3136" t="str">
            <v>-</v>
          </cell>
          <cell r="V3136" t="str">
            <v>SS</v>
          </cell>
          <cell r="W3136" t="str">
            <v>-</v>
          </cell>
          <cell r="X3136" t="str">
            <v>CLP HC 150 (-30/+50°C)</v>
          </cell>
          <cell r="Y3136" t="str">
            <v>KH107DRN132L4</v>
          </cell>
          <cell r="Z3136" t="str">
            <v>SEW</v>
          </cell>
          <cell r="AB3136" t="str">
            <v>-</v>
          </cell>
          <cell r="AF3136">
            <v>13</v>
          </cell>
          <cell r="AG3136" t="str">
            <v>DRN132L4</v>
          </cell>
          <cell r="AH3136" t="str">
            <v>KH107-DRN132L4A270-X</v>
          </cell>
        </row>
        <row r="3137">
          <cell r="A3137" t="str">
            <v>MR003125</v>
          </cell>
          <cell r="B3137" t="str">
            <v>MR</v>
          </cell>
          <cell r="C3137">
            <v>9.1999999999999993</v>
          </cell>
          <cell r="D3137">
            <v>13</v>
          </cell>
          <cell r="E3137" t="str">
            <v>KH107</v>
          </cell>
          <cell r="F3137">
            <v>6720</v>
          </cell>
          <cell r="G3137">
            <v>112.41</v>
          </cell>
          <cell r="H3137">
            <v>1.2</v>
          </cell>
          <cell r="I3137" t="str">
            <v>M1B</v>
          </cell>
          <cell r="J3137" t="str">
            <v>IE3</v>
          </cell>
          <cell r="K3137" t="str">
            <v>400/690</v>
          </cell>
          <cell r="L3137">
            <v>50</v>
          </cell>
          <cell r="M3137" t="str">
            <v>18,7/10,8</v>
          </cell>
          <cell r="N3137">
            <v>55</v>
          </cell>
          <cell r="O3137" t="str">
            <v>155(F)</v>
          </cell>
          <cell r="P3137" t="str">
            <v>270°</v>
          </cell>
          <cell r="Q3137" t="str">
            <v>-</v>
          </cell>
          <cell r="R3137" t="str">
            <v>-</v>
          </cell>
          <cell r="S3137" t="str">
            <v>-</v>
          </cell>
          <cell r="T3137" t="str">
            <v>-</v>
          </cell>
          <cell r="U3137" t="str">
            <v>-</v>
          </cell>
          <cell r="V3137" t="str">
            <v>SS</v>
          </cell>
          <cell r="W3137" t="str">
            <v>-</v>
          </cell>
          <cell r="X3137" t="str">
            <v>CLP HC 150 (-30/+50°C)</v>
          </cell>
          <cell r="Y3137" t="str">
            <v>KH107DRN132L4</v>
          </cell>
          <cell r="Z3137" t="str">
            <v>SEW</v>
          </cell>
          <cell r="AB3137" t="str">
            <v>-</v>
          </cell>
          <cell r="AF3137">
            <v>13</v>
          </cell>
          <cell r="AG3137" t="str">
            <v>DRN132L4</v>
          </cell>
          <cell r="AH3137" t="str">
            <v>KH107-DRN132L4B270-X</v>
          </cell>
        </row>
        <row r="3138">
          <cell r="A3138" t="str">
            <v>MR003126</v>
          </cell>
          <cell r="B3138" t="str">
            <v>MR</v>
          </cell>
          <cell r="C3138">
            <v>11</v>
          </cell>
          <cell r="D3138">
            <v>15</v>
          </cell>
          <cell r="E3138" t="str">
            <v>KH107</v>
          </cell>
          <cell r="F3138">
            <v>7190</v>
          </cell>
          <cell r="G3138">
            <v>100.75</v>
          </cell>
          <cell r="H3138">
            <v>1.05</v>
          </cell>
          <cell r="I3138" t="str">
            <v>M1B</v>
          </cell>
          <cell r="J3138" t="str">
            <v>IE3</v>
          </cell>
          <cell r="K3138" t="str">
            <v>400/690</v>
          </cell>
          <cell r="L3138">
            <v>50</v>
          </cell>
          <cell r="M3138" t="str">
            <v>21/12,2</v>
          </cell>
          <cell r="N3138">
            <v>65</v>
          </cell>
          <cell r="O3138" t="str">
            <v>155(F)</v>
          </cell>
          <cell r="P3138" t="str">
            <v>270°</v>
          </cell>
          <cell r="Q3138" t="str">
            <v>-</v>
          </cell>
          <cell r="R3138" t="str">
            <v>-</v>
          </cell>
          <cell r="S3138" t="str">
            <v>-</v>
          </cell>
          <cell r="T3138" t="str">
            <v>-</v>
          </cell>
          <cell r="U3138" t="str">
            <v>-</v>
          </cell>
          <cell r="V3138" t="str">
            <v>SS</v>
          </cell>
          <cell r="W3138" t="str">
            <v>-</v>
          </cell>
          <cell r="X3138" t="str">
            <v>CLP HC 220 (-25/+60°C)</v>
          </cell>
          <cell r="Y3138" t="str">
            <v>KH107EDRN160M4</v>
          </cell>
          <cell r="Z3138" t="str">
            <v>SEW</v>
          </cell>
          <cell r="AB3138" t="str">
            <v>ATEX22</v>
          </cell>
          <cell r="AF3138">
            <v>15</v>
          </cell>
          <cell r="AG3138" t="str">
            <v>EDRN160M4</v>
          </cell>
          <cell r="AH3138" t="str">
            <v>KH107-EDRN160M4B270-X</v>
          </cell>
        </row>
        <row r="3139">
          <cell r="A3139" t="str">
            <v>MR003127</v>
          </cell>
          <cell r="B3139" t="str">
            <v>MR</v>
          </cell>
          <cell r="C3139">
            <v>5.5</v>
          </cell>
          <cell r="D3139">
            <v>57</v>
          </cell>
          <cell r="E3139" t="str">
            <v>FH77</v>
          </cell>
          <cell r="F3139">
            <v>920</v>
          </cell>
          <cell r="G3139">
            <v>25.5</v>
          </cell>
          <cell r="H3139">
            <v>1.65</v>
          </cell>
          <cell r="I3139" t="str">
            <v>M1</v>
          </cell>
          <cell r="J3139" t="str">
            <v>IE3</v>
          </cell>
          <cell r="K3139" t="str">
            <v>230/400</v>
          </cell>
          <cell r="L3139">
            <v>50</v>
          </cell>
          <cell r="M3139" t="str">
            <v>18,2/10,5</v>
          </cell>
          <cell r="N3139">
            <v>65</v>
          </cell>
          <cell r="O3139" t="str">
            <v>155(F)</v>
          </cell>
          <cell r="P3139" t="str">
            <v>270°</v>
          </cell>
          <cell r="Q3139" t="str">
            <v>TF</v>
          </cell>
          <cell r="R3139" t="str">
            <v>-</v>
          </cell>
          <cell r="S3139" t="str">
            <v>-</v>
          </cell>
          <cell r="T3139" t="str">
            <v>-</v>
          </cell>
          <cell r="U3139" t="str">
            <v>G</v>
          </cell>
          <cell r="V3139" t="str">
            <v>D</v>
          </cell>
          <cell r="W3139" t="str">
            <v>-</v>
          </cell>
          <cell r="X3139" t="str">
            <v>CLP HC 220 (-25/+60°C)</v>
          </cell>
          <cell r="Y3139" t="str">
            <v>FH77/G DRN132S4 /TF</v>
          </cell>
          <cell r="Z3139" t="str">
            <v>SEW</v>
          </cell>
          <cell r="AB3139" t="str">
            <v>-</v>
          </cell>
          <cell r="AF3139">
            <v>57</v>
          </cell>
          <cell r="AG3139" t="str">
            <v>DRN132S4</v>
          </cell>
          <cell r="AH3139" t="str">
            <v>FH77G-DRN132S4270-X</v>
          </cell>
        </row>
        <row r="3140">
          <cell r="A3140" t="str">
            <v>MR003128</v>
          </cell>
          <cell r="B3140" t="str">
            <v>MR</v>
          </cell>
          <cell r="C3140">
            <v>15</v>
          </cell>
          <cell r="D3140">
            <v>54</v>
          </cell>
          <cell r="E3140" t="str">
            <v>FH97</v>
          </cell>
          <cell r="F3140">
            <v>2670</v>
          </cell>
          <cell r="G3140">
            <v>27.44</v>
          </cell>
          <cell r="H3140">
            <v>1.6</v>
          </cell>
          <cell r="I3140" t="str">
            <v>From M1 to M2 - 15°</v>
          </cell>
          <cell r="J3140" t="str">
            <v>IE3</v>
          </cell>
          <cell r="K3140" t="str">
            <v>400/690</v>
          </cell>
          <cell r="L3140">
            <v>50</v>
          </cell>
          <cell r="M3140" t="str">
            <v>29/16,7</v>
          </cell>
          <cell r="N3140">
            <v>65</v>
          </cell>
          <cell r="O3140" t="str">
            <v>155(F)</v>
          </cell>
          <cell r="P3140" t="str">
            <v>270°</v>
          </cell>
          <cell r="Q3140" t="str">
            <v>TF</v>
          </cell>
          <cell r="R3140" t="str">
            <v>-</v>
          </cell>
          <cell r="S3140" t="str">
            <v>-</v>
          </cell>
          <cell r="T3140" t="str">
            <v>-</v>
          </cell>
          <cell r="U3140" t="str">
            <v>G</v>
          </cell>
          <cell r="V3140" t="str">
            <v>D</v>
          </cell>
          <cell r="W3140" t="str">
            <v>-</v>
          </cell>
          <cell r="X3140" t="str">
            <v>CLP HC 220 (-25/+60°C)</v>
          </cell>
          <cell r="Y3140" t="str">
            <v>FH97/G DRN160L4 /TF</v>
          </cell>
          <cell r="Z3140" t="str">
            <v>SEW</v>
          </cell>
          <cell r="AB3140" t="str">
            <v>-</v>
          </cell>
          <cell r="AF3140">
            <v>54</v>
          </cell>
          <cell r="AG3140" t="str">
            <v>DRN160L4</v>
          </cell>
          <cell r="AH3140" t="str">
            <v>FH97G-DRN160L4270-X</v>
          </cell>
        </row>
        <row r="3141">
          <cell r="A3141" t="str">
            <v>MR003129</v>
          </cell>
          <cell r="B3141" t="str">
            <v>MR</v>
          </cell>
          <cell r="C3141">
            <v>5.5</v>
          </cell>
          <cell r="D3141">
            <v>84</v>
          </cell>
          <cell r="E3141" t="str">
            <v>FH77</v>
          </cell>
          <cell r="F3141">
            <v>630</v>
          </cell>
          <cell r="G3141">
            <v>17.489999999999998</v>
          </cell>
          <cell r="H3141">
            <v>2.4</v>
          </cell>
          <cell r="I3141" t="str">
            <v>From M1 to M2 - 15°</v>
          </cell>
          <cell r="J3141" t="str">
            <v>IE3</v>
          </cell>
          <cell r="K3141" t="str">
            <v>230/400</v>
          </cell>
          <cell r="L3141">
            <v>50</v>
          </cell>
          <cell r="M3141" t="str">
            <v>18,2/10,5</v>
          </cell>
          <cell r="N3141">
            <v>65</v>
          </cell>
          <cell r="O3141" t="str">
            <v>155(F)</v>
          </cell>
          <cell r="P3141" t="str">
            <v>270°</v>
          </cell>
          <cell r="Q3141" t="str">
            <v>TF</v>
          </cell>
          <cell r="R3141" t="str">
            <v>-</v>
          </cell>
          <cell r="S3141" t="str">
            <v>-</v>
          </cell>
          <cell r="T3141" t="str">
            <v>-</v>
          </cell>
          <cell r="U3141" t="str">
            <v>G</v>
          </cell>
          <cell r="V3141" t="str">
            <v>D</v>
          </cell>
          <cell r="W3141" t="str">
            <v>-</v>
          </cell>
          <cell r="X3141" t="str">
            <v>CLP HC 220 (-25/+60°C)</v>
          </cell>
          <cell r="Y3141" t="str">
            <v>FH77/G DRN132S4 /TF</v>
          </cell>
          <cell r="Z3141" t="str">
            <v>SEW</v>
          </cell>
          <cell r="AB3141" t="str">
            <v>-</v>
          </cell>
          <cell r="AF3141">
            <v>84</v>
          </cell>
          <cell r="AG3141" t="str">
            <v>DRN132S4</v>
          </cell>
          <cell r="AH3141" t="str">
            <v>FH77G-DRN132S4270-X</v>
          </cell>
        </row>
        <row r="3142">
          <cell r="A3142" t="str">
            <v>MR003130</v>
          </cell>
          <cell r="B3142" t="str">
            <v>MR</v>
          </cell>
          <cell r="C3142">
            <v>22</v>
          </cell>
          <cell r="D3142">
            <v>33</v>
          </cell>
          <cell r="E3142" t="str">
            <v>R137</v>
          </cell>
          <cell r="F3142">
            <v>6310</v>
          </cell>
          <cell r="G3142">
            <v>44.39</v>
          </cell>
          <cell r="H3142">
            <v>1.25</v>
          </cell>
          <cell r="I3142" t="str">
            <v>M1</v>
          </cell>
          <cell r="J3142" t="str">
            <v>IE3</v>
          </cell>
          <cell r="K3142" t="str">
            <v>400/690</v>
          </cell>
          <cell r="L3142">
            <v>50</v>
          </cell>
          <cell r="M3142" t="str">
            <v>38,5/22,5</v>
          </cell>
          <cell r="N3142">
            <v>65</v>
          </cell>
          <cell r="O3142" t="str">
            <v>155(F)</v>
          </cell>
          <cell r="P3142" t="str">
            <v>270°</v>
          </cell>
          <cell r="Q3142" t="str">
            <v>TF</v>
          </cell>
          <cell r="R3142" t="str">
            <v>-</v>
          </cell>
          <cell r="S3142" t="str">
            <v>Free rotation CCW</v>
          </cell>
          <cell r="T3142" t="str">
            <v>-</v>
          </cell>
          <cell r="U3142" t="str">
            <v>-</v>
          </cell>
          <cell r="V3142" t="str">
            <v>SS</v>
          </cell>
          <cell r="W3142" t="str">
            <v>-</v>
          </cell>
          <cell r="X3142" t="str">
            <v>CLP HC 220 (-25/+60°C)</v>
          </cell>
          <cell r="Y3142" t="str">
            <v>R137DRN180L4 /RS /TF</v>
          </cell>
          <cell r="Z3142" t="str">
            <v>SEW</v>
          </cell>
          <cell r="AB3142" t="str">
            <v>-</v>
          </cell>
          <cell r="AF3142">
            <v>33</v>
          </cell>
          <cell r="AG3142" t="str">
            <v>DRN180L4</v>
          </cell>
          <cell r="AH3142" t="str">
            <v>R137-DRN180L4270-X</v>
          </cell>
        </row>
        <row r="3143">
          <cell r="A3143" t="str">
            <v>MR003131</v>
          </cell>
          <cell r="B3143" t="str">
            <v>MR</v>
          </cell>
          <cell r="C3143">
            <v>7.5</v>
          </cell>
          <cell r="D3143">
            <v>48</v>
          </cell>
          <cell r="E3143" t="str">
            <v>FH97</v>
          </cell>
          <cell r="F3143">
            <v>1480</v>
          </cell>
          <cell r="G3143">
            <v>30.39</v>
          </cell>
          <cell r="H3143">
            <v>2.9</v>
          </cell>
          <cell r="I3143" t="str">
            <v>From M1 to M4 - 30°</v>
          </cell>
          <cell r="J3143" t="str">
            <v>IE3</v>
          </cell>
          <cell r="K3143" t="str">
            <v>400/690</v>
          </cell>
          <cell r="L3143">
            <v>50</v>
          </cell>
          <cell r="M3143" t="str">
            <v>15,2/8,8</v>
          </cell>
          <cell r="N3143">
            <v>65</v>
          </cell>
          <cell r="O3143" t="str">
            <v>155(F)</v>
          </cell>
          <cell r="P3143" t="str">
            <v>270°</v>
          </cell>
          <cell r="Q3143" t="str">
            <v>TF</v>
          </cell>
          <cell r="R3143" t="str">
            <v>-</v>
          </cell>
          <cell r="S3143" t="str">
            <v>-</v>
          </cell>
          <cell r="T3143" t="str">
            <v>-</v>
          </cell>
          <cell r="U3143" t="str">
            <v>G</v>
          </cell>
          <cell r="V3143" t="str">
            <v>D</v>
          </cell>
          <cell r="W3143" t="str">
            <v>-</v>
          </cell>
          <cell r="X3143" t="str">
            <v>CLP HC 220 (-25/+60°C)</v>
          </cell>
          <cell r="Y3143" t="str">
            <v>FH97/G DRN132M4 /TF</v>
          </cell>
          <cell r="Z3143" t="str">
            <v>SEW</v>
          </cell>
          <cell r="AB3143" t="str">
            <v>-</v>
          </cell>
          <cell r="AF3143">
            <v>48</v>
          </cell>
          <cell r="AG3143" t="str">
            <v>DRN132M4</v>
          </cell>
          <cell r="AH3143" t="str">
            <v>FH97G-DRN132M4270-X</v>
          </cell>
        </row>
        <row r="3144">
          <cell r="A3144" t="str">
            <v>MR003132</v>
          </cell>
          <cell r="B3144" t="str">
            <v>MR</v>
          </cell>
          <cell r="C3144">
            <v>5.5</v>
          </cell>
          <cell r="D3144">
            <v>57</v>
          </cell>
          <cell r="E3144" t="str">
            <v>FH77</v>
          </cell>
          <cell r="F3144">
            <v>920</v>
          </cell>
          <cell r="G3144">
            <v>25.5</v>
          </cell>
          <cell r="H3144">
            <v>1.65</v>
          </cell>
          <cell r="I3144" t="str">
            <v>From M1 to M4 - 40°</v>
          </cell>
          <cell r="J3144" t="str">
            <v>IE3</v>
          </cell>
          <cell r="K3144" t="str">
            <v>230/400</v>
          </cell>
          <cell r="L3144">
            <v>50</v>
          </cell>
          <cell r="M3144" t="str">
            <v>18,2/10,5</v>
          </cell>
          <cell r="N3144">
            <v>65</v>
          </cell>
          <cell r="O3144" t="str">
            <v>155(F)</v>
          </cell>
          <cell r="P3144" t="str">
            <v>270°</v>
          </cell>
          <cell r="Q3144" t="str">
            <v>TF</v>
          </cell>
          <cell r="R3144" t="str">
            <v>-</v>
          </cell>
          <cell r="S3144" t="str">
            <v>-</v>
          </cell>
          <cell r="T3144" t="str">
            <v>-</v>
          </cell>
          <cell r="U3144" t="str">
            <v>G</v>
          </cell>
          <cell r="V3144" t="str">
            <v>D</v>
          </cell>
          <cell r="W3144" t="str">
            <v>-</v>
          </cell>
          <cell r="X3144" t="str">
            <v>CLP HC 220 (-25/+60°C)</v>
          </cell>
          <cell r="Y3144" t="str">
            <v>FH77/G DRN132S4 /TF</v>
          </cell>
          <cell r="Z3144" t="str">
            <v>SEW</v>
          </cell>
          <cell r="AB3144" t="str">
            <v>-</v>
          </cell>
          <cell r="AF3144">
            <v>57</v>
          </cell>
          <cell r="AG3144" t="str">
            <v>DRN132S4</v>
          </cell>
          <cell r="AH3144" t="str">
            <v>FH77G-DRN132S4270-X</v>
          </cell>
        </row>
        <row r="3145">
          <cell r="A3145" t="str">
            <v>MR003133</v>
          </cell>
          <cell r="B3145" t="str">
            <v>MR</v>
          </cell>
          <cell r="C3145">
            <v>22</v>
          </cell>
          <cell r="D3145">
            <v>12</v>
          </cell>
          <cell r="E3145" t="str">
            <v>KH157</v>
          </cell>
          <cell r="F3145">
            <v>17400</v>
          </cell>
          <cell r="G3145">
            <v>122.39</v>
          </cell>
          <cell r="H3145">
            <v>1.1499999999999999</v>
          </cell>
          <cell r="I3145" t="str">
            <v>From M1A to M2A - 30°</v>
          </cell>
          <cell r="J3145" t="str">
            <v>IE3</v>
          </cell>
          <cell r="K3145" t="str">
            <v>400/690</v>
          </cell>
          <cell r="L3145">
            <v>50</v>
          </cell>
          <cell r="M3145" t="str">
            <v>38,5/22,5</v>
          </cell>
          <cell r="N3145">
            <v>65</v>
          </cell>
          <cell r="O3145" t="str">
            <v>155(F)</v>
          </cell>
          <cell r="P3145" t="str">
            <v>270°</v>
          </cell>
          <cell r="Q3145" t="str">
            <v>TF</v>
          </cell>
          <cell r="R3145" t="str">
            <v>V(VE)</v>
          </cell>
          <cell r="S3145" t="str">
            <v>-</v>
          </cell>
          <cell r="T3145" t="str">
            <v>-</v>
          </cell>
          <cell r="U3145" t="str">
            <v>-</v>
          </cell>
          <cell r="V3145" t="str">
            <v>FC</v>
          </cell>
          <cell r="W3145" t="str">
            <v>-</v>
          </cell>
          <cell r="X3145" t="str">
            <v>CLP HC 220 (-25/+60°C)</v>
          </cell>
          <cell r="Y3145" t="str">
            <v>KH157DRN180L4 /TF/V</v>
          </cell>
          <cell r="Z3145" t="str">
            <v>SEW</v>
          </cell>
          <cell r="AB3145" t="str">
            <v>-</v>
          </cell>
          <cell r="AF3145">
            <v>12</v>
          </cell>
          <cell r="AG3145" t="str">
            <v>DRN180L4</v>
          </cell>
          <cell r="AH3145" t="str">
            <v>KH157-DRN180L4A270-X#</v>
          </cell>
        </row>
        <row r="3146">
          <cell r="A3146" t="str">
            <v>MR003134</v>
          </cell>
          <cell r="B3146" t="str">
            <v>MR</v>
          </cell>
          <cell r="C3146">
            <v>30</v>
          </cell>
          <cell r="D3146">
            <v>107</v>
          </cell>
          <cell r="E3146" t="str">
            <v>KH97</v>
          </cell>
          <cell r="F3146">
            <v>2680</v>
          </cell>
          <cell r="G3146">
            <v>13.85</v>
          </cell>
          <cell r="H3146">
            <v>1.6</v>
          </cell>
          <cell r="I3146" t="str">
            <v>From M4B to M1B - 10°</v>
          </cell>
          <cell r="J3146" t="str">
            <v>IE3</v>
          </cell>
          <cell r="K3146" t="str">
            <v>400/690</v>
          </cell>
          <cell r="L3146">
            <v>50</v>
          </cell>
          <cell r="M3146" t="str">
            <v>56/32,5</v>
          </cell>
          <cell r="N3146">
            <v>65</v>
          </cell>
          <cell r="O3146" t="str">
            <v>155(F)</v>
          </cell>
          <cell r="P3146" t="str">
            <v>270°</v>
          </cell>
          <cell r="Q3146" t="str">
            <v>TF</v>
          </cell>
          <cell r="R3146" t="str">
            <v>-</v>
          </cell>
          <cell r="S3146" t="str">
            <v>Free rotation CW</v>
          </cell>
          <cell r="T3146" t="str">
            <v>-</v>
          </cell>
          <cell r="U3146" t="str">
            <v>T</v>
          </cell>
          <cell r="V3146" t="str">
            <v>SS</v>
          </cell>
          <cell r="W3146" t="str">
            <v>-</v>
          </cell>
          <cell r="X3146" t="str">
            <v>CLP HC 220 (-25/+60°C)</v>
          </cell>
          <cell r="Y3146" t="str">
            <v>KH97/T DRN200L4 /RS /TF</v>
          </cell>
          <cell r="Z3146" t="str">
            <v>SEW</v>
          </cell>
          <cell r="AB3146" t="str">
            <v>-</v>
          </cell>
          <cell r="AF3146">
            <v>107</v>
          </cell>
          <cell r="AG3146" t="str">
            <v>DRN200L4</v>
          </cell>
          <cell r="AH3146" t="str">
            <v>KH97T-DRN200L4B270-X</v>
          </cell>
        </row>
        <row r="3147">
          <cell r="A3147" t="str">
            <v>MR003135</v>
          </cell>
          <cell r="B3147" t="str">
            <v>MR</v>
          </cell>
          <cell r="C3147">
            <v>0.75</v>
          </cell>
          <cell r="D3147">
            <v>162</v>
          </cell>
          <cell r="E3147" t="str">
            <v>KA37</v>
          </cell>
          <cell r="F3147">
            <v>44</v>
          </cell>
          <cell r="G3147">
            <v>8.91</v>
          </cell>
          <cell r="H3147">
            <v>3.6</v>
          </cell>
          <cell r="I3147" t="str">
            <v>From M3B to M4B - 10°</v>
          </cell>
          <cell r="J3147" t="str">
            <v>IE3</v>
          </cell>
          <cell r="K3147" t="str">
            <v>230/400</v>
          </cell>
          <cell r="L3147">
            <v>50</v>
          </cell>
          <cell r="M3147" t="str">
            <v>3,05/1,75</v>
          </cell>
          <cell r="N3147">
            <v>65</v>
          </cell>
          <cell r="O3147" t="str">
            <v>155(F)</v>
          </cell>
          <cell r="P3147" t="str">
            <v>270°</v>
          </cell>
          <cell r="Q3147" t="str">
            <v>TF</v>
          </cell>
          <cell r="R3147" t="str">
            <v>-</v>
          </cell>
          <cell r="S3147" t="str">
            <v>-</v>
          </cell>
          <cell r="T3147" t="str">
            <v>-</v>
          </cell>
          <cell r="U3147" t="str">
            <v>T</v>
          </cell>
          <cell r="V3147" t="str">
            <v>D</v>
          </cell>
          <cell r="W3147" t="str">
            <v>-</v>
          </cell>
          <cell r="X3147" t="str">
            <v>CLP HC 220 (-25/+60°C)</v>
          </cell>
          <cell r="Y3147" t="str">
            <v>KA37/T DRN80M4 /TF</v>
          </cell>
          <cell r="Z3147" t="str">
            <v>SEW</v>
          </cell>
          <cell r="AB3147" t="str">
            <v>-</v>
          </cell>
          <cell r="AF3147">
            <v>162</v>
          </cell>
          <cell r="AG3147" t="str">
            <v>DRN80M4</v>
          </cell>
          <cell r="AH3147" t="str">
            <v>KA37T-DRN80M4B270-X</v>
          </cell>
        </row>
        <row r="3148">
          <cell r="A3148" t="str">
            <v>MR003136</v>
          </cell>
          <cell r="B3148" t="str">
            <v>MR</v>
          </cell>
          <cell r="C3148">
            <v>11</v>
          </cell>
          <cell r="D3148">
            <v>35</v>
          </cell>
          <cell r="E3148" t="str">
            <v>KH97</v>
          </cell>
          <cell r="F3148">
            <v>2990</v>
          </cell>
          <cell r="G3148">
            <v>41.87</v>
          </cell>
          <cell r="H3148">
            <v>1.45</v>
          </cell>
          <cell r="I3148" t="str">
            <v>M4A</v>
          </cell>
          <cell r="J3148" t="str">
            <v>IE3</v>
          </cell>
          <cell r="K3148" t="str">
            <v>240/415</v>
          </cell>
          <cell r="L3148">
            <v>50</v>
          </cell>
          <cell r="M3148" t="str">
            <v>35/20</v>
          </cell>
          <cell r="N3148">
            <v>55</v>
          </cell>
          <cell r="O3148" t="str">
            <v>155(F)</v>
          </cell>
          <cell r="P3148" t="str">
            <v>270°</v>
          </cell>
          <cell r="Q3148" t="str">
            <v>TF</v>
          </cell>
          <cell r="R3148" t="str">
            <v>-</v>
          </cell>
          <cell r="S3148" t="str">
            <v>-</v>
          </cell>
          <cell r="T3148" t="str">
            <v>-</v>
          </cell>
          <cell r="U3148" t="str">
            <v>T</v>
          </cell>
          <cell r="V3148" t="str">
            <v>SS</v>
          </cell>
          <cell r="W3148" t="str">
            <v>-</v>
          </cell>
          <cell r="X3148" t="str">
            <v>CLP HC 220 (-25/+60°C)</v>
          </cell>
          <cell r="Y3148" t="str">
            <v>KH97/T DRN160M4 /TF</v>
          </cell>
          <cell r="Z3148" t="str">
            <v>SEW</v>
          </cell>
          <cell r="AB3148" t="str">
            <v>-</v>
          </cell>
          <cell r="AD3148" t="str">
            <v>BIS</v>
          </cell>
          <cell r="AF3148">
            <v>35</v>
          </cell>
          <cell r="AG3148" t="str">
            <v>DRN160M4</v>
          </cell>
          <cell r="AH3148" t="str">
            <v>KH97T-DRN160M4A270-X</v>
          </cell>
        </row>
        <row r="3149">
          <cell r="A3149" t="str">
            <v>MR003137</v>
          </cell>
          <cell r="B3149" t="str">
            <v>MR</v>
          </cell>
          <cell r="C3149">
            <v>0.75</v>
          </cell>
          <cell r="D3149">
            <v>162</v>
          </cell>
          <cell r="E3149" t="str">
            <v>KA37</v>
          </cell>
          <cell r="F3149">
            <v>44</v>
          </cell>
          <cell r="G3149">
            <v>8.91</v>
          </cell>
          <cell r="H3149">
            <v>3.6</v>
          </cell>
          <cell r="I3149" t="str">
            <v>M1B</v>
          </cell>
          <cell r="J3149" t="str">
            <v>IE3</v>
          </cell>
          <cell r="K3149" t="str">
            <v>240/415</v>
          </cell>
          <cell r="L3149">
            <v>50</v>
          </cell>
          <cell r="M3149" t="str">
            <v>2,9/1,69</v>
          </cell>
          <cell r="N3149">
            <v>55</v>
          </cell>
          <cell r="O3149" t="str">
            <v>155(F)</v>
          </cell>
          <cell r="P3149" t="str">
            <v>0°</v>
          </cell>
          <cell r="Q3149" t="str">
            <v>TF</v>
          </cell>
          <cell r="R3149" t="str">
            <v>-</v>
          </cell>
          <cell r="S3149" t="str">
            <v>-</v>
          </cell>
          <cell r="T3149" t="str">
            <v>-</v>
          </cell>
          <cell r="U3149" t="str">
            <v>T</v>
          </cell>
          <cell r="V3149" t="str">
            <v>D</v>
          </cell>
          <cell r="W3149" t="str">
            <v>-</v>
          </cell>
          <cell r="X3149" t="str">
            <v>CLP HC 220 (-25/+60°C)</v>
          </cell>
          <cell r="Y3149" t="str">
            <v>KA37/T DRN80M4 /TF</v>
          </cell>
          <cell r="Z3149" t="str">
            <v>SEW</v>
          </cell>
          <cell r="AB3149" t="str">
            <v>-</v>
          </cell>
          <cell r="AD3149" t="str">
            <v>BIS</v>
          </cell>
          <cell r="AF3149">
            <v>162</v>
          </cell>
          <cell r="AG3149" t="str">
            <v>DRN80M4</v>
          </cell>
          <cell r="AH3149" t="str">
            <v>KA37T-DRN80M4B0-X</v>
          </cell>
        </row>
        <row r="3150">
          <cell r="A3150" t="str">
            <v>MR003138</v>
          </cell>
          <cell r="B3150" t="str">
            <v>MR</v>
          </cell>
          <cell r="C3150">
            <v>1.1000000000000001</v>
          </cell>
          <cell r="D3150">
            <v>7.3</v>
          </cell>
          <cell r="E3150" t="str">
            <v>FV77</v>
          </cell>
          <cell r="F3150">
            <v>1430</v>
          </cell>
          <cell r="G3150">
            <v>198.31</v>
          </cell>
          <cell r="H3150">
            <v>1.05</v>
          </cell>
          <cell r="I3150" t="str">
            <v>M5</v>
          </cell>
          <cell r="J3150" t="str">
            <v>IE3</v>
          </cell>
          <cell r="K3150" t="str">
            <v>240/415</v>
          </cell>
          <cell r="L3150">
            <v>50</v>
          </cell>
          <cell r="M3150" t="str">
            <v>4,25/2,45</v>
          </cell>
          <cell r="N3150">
            <v>55</v>
          </cell>
          <cell r="O3150" t="str">
            <v>155(F)</v>
          </cell>
          <cell r="P3150" t="str">
            <v>180°</v>
          </cell>
          <cell r="Q3150" t="str">
            <v>TF</v>
          </cell>
          <cell r="R3150" t="str">
            <v>-</v>
          </cell>
          <cell r="S3150" t="str">
            <v>-</v>
          </cell>
          <cell r="T3150" t="str">
            <v>BEHF</v>
          </cell>
          <cell r="U3150" t="str">
            <v>G</v>
          </cell>
          <cell r="V3150" t="str">
            <v>FC+R</v>
          </cell>
          <cell r="W3150" t="str">
            <v>-</v>
          </cell>
          <cell r="X3150" t="str">
            <v>CLP HC 220 (-25/+60°C)</v>
          </cell>
          <cell r="Y3150" t="str">
            <v>FV77/G DRN90S4 /BEHF /TF</v>
          </cell>
          <cell r="Z3150" t="str">
            <v>SEW</v>
          </cell>
          <cell r="AB3150" t="str">
            <v>-</v>
          </cell>
          <cell r="AD3150" t="str">
            <v>BIS</v>
          </cell>
          <cell r="AE3150" t="str">
            <v>BROCCIATURA PER FV67-DIN 5480N45x2x30x21xH9 - RADDRIZZATORE TIPO "BME"</v>
          </cell>
          <cell r="AF3150">
            <v>7.3</v>
          </cell>
          <cell r="AG3150" t="str">
            <v>DRN90S4</v>
          </cell>
          <cell r="AH3150" t="str">
            <v>FV77G-DRN90S4180-X</v>
          </cell>
        </row>
        <row r="3151">
          <cell r="A3151" t="str">
            <v>MR003139</v>
          </cell>
          <cell r="B3151" t="str">
            <v>MR</v>
          </cell>
          <cell r="C3151">
            <v>1.1000000000000001</v>
          </cell>
          <cell r="D3151">
            <v>7.3</v>
          </cell>
          <cell r="E3151" t="str">
            <v>FV77</v>
          </cell>
          <cell r="F3151">
            <v>1430</v>
          </cell>
          <cell r="G3151">
            <v>198.31</v>
          </cell>
          <cell r="H3151">
            <v>1.05</v>
          </cell>
          <cell r="I3151" t="str">
            <v>M6</v>
          </cell>
          <cell r="J3151" t="str">
            <v>IE3</v>
          </cell>
          <cell r="K3151" t="str">
            <v>240/415</v>
          </cell>
          <cell r="L3151">
            <v>50</v>
          </cell>
          <cell r="M3151" t="str">
            <v>4,25/2,45</v>
          </cell>
          <cell r="N3151">
            <v>55</v>
          </cell>
          <cell r="O3151" t="str">
            <v>155(F)</v>
          </cell>
          <cell r="P3151" t="str">
            <v>0°</v>
          </cell>
          <cell r="Q3151" t="str">
            <v>TF</v>
          </cell>
          <cell r="R3151" t="str">
            <v>-</v>
          </cell>
          <cell r="S3151" t="str">
            <v>-</v>
          </cell>
          <cell r="T3151" t="str">
            <v>BEHF</v>
          </cell>
          <cell r="U3151" t="str">
            <v>G</v>
          </cell>
          <cell r="V3151" t="str">
            <v>FC+R</v>
          </cell>
          <cell r="W3151" t="str">
            <v>-</v>
          </cell>
          <cell r="X3151" t="str">
            <v>CLP HC 220 (-25/+60°C)</v>
          </cell>
          <cell r="Y3151" t="str">
            <v>FV77/G DRN90S4 /BEHF /TF</v>
          </cell>
          <cell r="Z3151" t="str">
            <v>SEW</v>
          </cell>
          <cell r="AB3151" t="str">
            <v>-</v>
          </cell>
          <cell r="AD3151" t="str">
            <v>BIS</v>
          </cell>
          <cell r="AE3151" t="str">
            <v>BROCCIATURA PER FV67-DIN 5480N45x2x30x21xH9 - RADDRIZZATORE TIPO "BME"</v>
          </cell>
          <cell r="AF3151">
            <v>7.3</v>
          </cell>
          <cell r="AG3151" t="str">
            <v>DRN90S4</v>
          </cell>
          <cell r="AH3151" t="str">
            <v>FV77G-DRN90S40-X</v>
          </cell>
        </row>
        <row r="3152">
          <cell r="A3152" t="str">
            <v>MR003140</v>
          </cell>
          <cell r="B3152" t="str">
            <v>MR</v>
          </cell>
          <cell r="C3152">
            <v>4</v>
          </cell>
          <cell r="D3152">
            <v>138</v>
          </cell>
          <cell r="E3152" t="str">
            <v>KH67</v>
          </cell>
          <cell r="F3152">
            <v>275</v>
          </cell>
          <cell r="G3152">
            <v>10.63</v>
          </cell>
          <cell r="H3152">
            <v>1.8</v>
          </cell>
          <cell r="I3152" t="str">
            <v>M4B</v>
          </cell>
          <cell r="J3152" t="str">
            <v>IE3</v>
          </cell>
          <cell r="K3152" t="str">
            <v>240/415</v>
          </cell>
          <cell r="L3152">
            <v>50</v>
          </cell>
          <cell r="M3152" t="str">
            <v>13,2/7,6</v>
          </cell>
          <cell r="N3152">
            <v>55</v>
          </cell>
          <cell r="O3152" t="str">
            <v>155(F)</v>
          </cell>
          <cell r="P3152" t="str">
            <v>270°</v>
          </cell>
          <cell r="Q3152" t="str">
            <v>TF</v>
          </cell>
          <cell r="R3152" t="str">
            <v>-</v>
          </cell>
          <cell r="S3152" t="str">
            <v>-</v>
          </cell>
          <cell r="T3152" t="str">
            <v>-</v>
          </cell>
          <cell r="U3152" t="str">
            <v>T</v>
          </cell>
          <cell r="V3152" t="str">
            <v>D+R</v>
          </cell>
          <cell r="W3152" t="str">
            <v>-</v>
          </cell>
          <cell r="X3152" t="str">
            <v>CLP HC 220 (-25/+60°C)</v>
          </cell>
          <cell r="Y3152" t="str">
            <v>KH67/T DRN112M4 /TF</v>
          </cell>
          <cell r="Z3152" t="str">
            <v>SEW</v>
          </cell>
          <cell r="AB3152" t="str">
            <v>-</v>
          </cell>
          <cell r="AD3152" t="str">
            <v>BIS</v>
          </cell>
          <cell r="AF3152">
            <v>138</v>
          </cell>
          <cell r="AG3152" t="str">
            <v>DRN112M4</v>
          </cell>
          <cell r="AH3152" t="str">
            <v>KH67T-DRN112M4B270-X</v>
          </cell>
        </row>
        <row r="3153">
          <cell r="A3153" t="str">
            <v>MR003141</v>
          </cell>
          <cell r="B3153" t="str">
            <v>MR</v>
          </cell>
          <cell r="C3153">
            <v>7.5</v>
          </cell>
          <cell r="D3153">
            <v>40</v>
          </cell>
          <cell r="E3153" t="str">
            <v>R97</v>
          </cell>
          <cell r="F3153">
            <v>1810</v>
          </cell>
          <cell r="G3153">
            <v>37.130000000000003</v>
          </cell>
          <cell r="H3153">
            <v>1.65</v>
          </cell>
          <cell r="I3153" t="str">
            <v>M1</v>
          </cell>
          <cell r="J3153" t="str">
            <v>IE3</v>
          </cell>
          <cell r="K3153" t="str">
            <v>230/400</v>
          </cell>
          <cell r="L3153">
            <v>50</v>
          </cell>
          <cell r="M3153" t="str">
            <v>26,5/15,2</v>
          </cell>
          <cell r="N3153">
            <v>65</v>
          </cell>
          <cell r="O3153" t="str">
            <v>155(F)</v>
          </cell>
          <cell r="P3153" t="str">
            <v>270°</v>
          </cell>
          <cell r="Q3153" t="str">
            <v>TF</v>
          </cell>
          <cell r="R3153" t="str">
            <v>V(VE)</v>
          </cell>
          <cell r="S3153" t="str">
            <v>-</v>
          </cell>
          <cell r="T3153" t="str">
            <v>-</v>
          </cell>
          <cell r="U3153" t="str">
            <v>-</v>
          </cell>
          <cell r="V3153" t="str">
            <v>FC</v>
          </cell>
          <cell r="W3153" t="str">
            <v>-</v>
          </cell>
          <cell r="X3153" t="str">
            <v>CLP 220 (-15/+40°C)</v>
          </cell>
          <cell r="Y3153" t="str">
            <v>R97DRN132M4 /TF/V</v>
          </cell>
          <cell r="Z3153" t="str">
            <v>SEW</v>
          </cell>
          <cell r="AB3153" t="str">
            <v>-</v>
          </cell>
          <cell r="AF3153">
            <v>40</v>
          </cell>
          <cell r="AG3153" t="str">
            <v>DRN132M4</v>
          </cell>
          <cell r="AH3153" t="str">
            <v>R97-DRN132M4270-X#</v>
          </cell>
        </row>
        <row r="3154">
          <cell r="A3154" t="str">
            <v>MR003142</v>
          </cell>
          <cell r="B3154" t="str">
            <v>MR</v>
          </cell>
          <cell r="C3154">
            <v>11</v>
          </cell>
          <cell r="D3154">
            <v>59</v>
          </cell>
          <cell r="E3154" t="str">
            <v>R107</v>
          </cell>
          <cell r="F3154">
            <v>1780</v>
          </cell>
          <cell r="G3154">
            <v>24.9</v>
          </cell>
          <cell r="H3154">
            <v>2.4</v>
          </cell>
          <cell r="I3154" t="str">
            <v>M1</v>
          </cell>
          <cell r="J3154" t="str">
            <v>IE3</v>
          </cell>
          <cell r="K3154" t="str">
            <v>230/400</v>
          </cell>
          <cell r="L3154">
            <v>50</v>
          </cell>
          <cell r="M3154" t="str">
            <v>36,5/21</v>
          </cell>
          <cell r="N3154">
            <v>65</v>
          </cell>
          <cell r="O3154" t="str">
            <v>155(F)</v>
          </cell>
          <cell r="P3154" t="str">
            <v>270°</v>
          </cell>
          <cell r="Q3154" t="str">
            <v>TF</v>
          </cell>
          <cell r="R3154" t="str">
            <v>V(VE)</v>
          </cell>
          <cell r="S3154" t="str">
            <v>-</v>
          </cell>
          <cell r="T3154" t="str">
            <v>-</v>
          </cell>
          <cell r="U3154" t="str">
            <v>-</v>
          </cell>
          <cell r="V3154" t="str">
            <v>FC+R</v>
          </cell>
          <cell r="W3154" t="str">
            <v>-</v>
          </cell>
          <cell r="X3154" t="str">
            <v>CLP 220 (-15/+40°C)</v>
          </cell>
          <cell r="Y3154" t="str">
            <v>R107DRN160M4 /TF/V</v>
          </cell>
          <cell r="Z3154" t="str">
            <v>SEW</v>
          </cell>
          <cell r="AB3154" t="str">
            <v>-</v>
          </cell>
          <cell r="AF3154">
            <v>59</v>
          </cell>
          <cell r="AG3154" t="str">
            <v>DRN160M4</v>
          </cell>
          <cell r="AH3154" t="str">
            <v>R107-DRN160M4270-X#</v>
          </cell>
        </row>
        <row r="3155">
          <cell r="A3155" t="str">
            <v>MR003143</v>
          </cell>
          <cell r="B3155" t="str">
            <v>MR</v>
          </cell>
          <cell r="C3155">
            <v>7.5</v>
          </cell>
          <cell r="D3155">
            <v>14</v>
          </cell>
          <cell r="E3155" t="str">
            <v>R137</v>
          </cell>
          <cell r="F3155">
            <v>5040</v>
          </cell>
          <cell r="G3155">
            <v>103.2</v>
          </cell>
          <cell r="H3155">
            <v>1.6</v>
          </cell>
          <cell r="I3155" t="str">
            <v>M1</v>
          </cell>
          <cell r="J3155" t="str">
            <v>IE3</v>
          </cell>
          <cell r="K3155" t="str">
            <v>230/400</v>
          </cell>
          <cell r="L3155">
            <v>50</v>
          </cell>
          <cell r="M3155" t="str">
            <v>26,5/15,2</v>
          </cell>
          <cell r="N3155">
            <v>65</v>
          </cell>
          <cell r="O3155" t="str">
            <v>155(F)</v>
          </cell>
          <cell r="P3155" t="str">
            <v>270°</v>
          </cell>
          <cell r="Q3155" t="str">
            <v>TF</v>
          </cell>
          <cell r="R3155" t="str">
            <v>V(VE)</v>
          </cell>
          <cell r="S3155" t="str">
            <v>-</v>
          </cell>
          <cell r="T3155" t="str">
            <v>-</v>
          </cell>
          <cell r="U3155" t="str">
            <v>-</v>
          </cell>
          <cell r="V3155" t="str">
            <v>FC</v>
          </cell>
          <cell r="W3155" t="str">
            <v>-</v>
          </cell>
          <cell r="X3155" t="str">
            <v>CLP 220 (-15/+40°C)</v>
          </cell>
          <cell r="Y3155" t="str">
            <v>R137DRN132M4 /TF/V</v>
          </cell>
          <cell r="Z3155" t="str">
            <v>SEW</v>
          </cell>
          <cell r="AB3155" t="str">
            <v>-</v>
          </cell>
          <cell r="AF3155">
            <v>14</v>
          </cell>
          <cell r="AG3155" t="str">
            <v>DRN132M4</v>
          </cell>
          <cell r="AH3155" t="str">
            <v>R137-DRN132M4270-X#</v>
          </cell>
        </row>
        <row r="3156">
          <cell r="A3156" t="str">
            <v>MR003144</v>
          </cell>
          <cell r="B3156" t="str">
            <v>MR</v>
          </cell>
          <cell r="C3156">
            <v>9.1999999999999993</v>
          </cell>
          <cell r="D3156">
            <v>59</v>
          </cell>
          <cell r="E3156" t="str">
            <v>R97</v>
          </cell>
          <cell r="F3156">
            <v>1500</v>
          </cell>
          <cell r="G3156">
            <v>25.03</v>
          </cell>
          <cell r="H3156">
            <v>1.9</v>
          </cell>
          <cell r="I3156" t="str">
            <v>M5</v>
          </cell>
          <cell r="J3156" t="str">
            <v>IE3</v>
          </cell>
          <cell r="K3156" t="str">
            <v>230/400</v>
          </cell>
          <cell r="L3156">
            <v>50</v>
          </cell>
          <cell r="M3156" t="str">
            <v>32,5/18,7</v>
          </cell>
          <cell r="N3156">
            <v>65</v>
          </cell>
          <cell r="O3156" t="str">
            <v>155(F)</v>
          </cell>
          <cell r="P3156" t="str">
            <v>270°</v>
          </cell>
          <cell r="Q3156" t="str">
            <v>TF</v>
          </cell>
          <cell r="R3156" t="str">
            <v>-</v>
          </cell>
          <cell r="S3156" t="str">
            <v>-</v>
          </cell>
          <cell r="T3156" t="str">
            <v>-</v>
          </cell>
          <cell r="U3156" t="str">
            <v>-</v>
          </cell>
          <cell r="V3156" t="str">
            <v>D+R</v>
          </cell>
          <cell r="W3156" t="str">
            <v>-</v>
          </cell>
          <cell r="X3156" t="str">
            <v>CLP 220 (-15/+40°C)</v>
          </cell>
          <cell r="Y3156" t="str">
            <v>R97DRN132L4 /TF</v>
          </cell>
          <cell r="Z3156" t="str">
            <v>SEW</v>
          </cell>
          <cell r="AB3156" t="str">
            <v>-</v>
          </cell>
          <cell r="AF3156">
            <v>59</v>
          </cell>
          <cell r="AG3156" t="str">
            <v>DRN132L4</v>
          </cell>
          <cell r="AH3156" t="str">
            <v>R97-DRN132L4270-X</v>
          </cell>
        </row>
        <row r="3157">
          <cell r="A3157" t="str">
            <v>MR003145</v>
          </cell>
          <cell r="B3157" t="str">
            <v>MR</v>
          </cell>
          <cell r="C3157">
            <v>7.5</v>
          </cell>
          <cell r="D3157">
            <v>21</v>
          </cell>
          <cell r="E3157" t="str">
            <v>KH97</v>
          </cell>
          <cell r="F3157">
            <v>3440</v>
          </cell>
          <cell r="G3157">
            <v>70.540000000000006</v>
          </cell>
          <cell r="H3157">
            <v>1.25</v>
          </cell>
          <cell r="I3157" t="str">
            <v>From M1B to M4B - 50°</v>
          </cell>
          <cell r="J3157" t="str">
            <v>IE3</v>
          </cell>
          <cell r="K3157" t="str">
            <v>230/400</v>
          </cell>
          <cell r="L3157">
            <v>50</v>
          </cell>
          <cell r="M3157" t="str">
            <v>26,5/15,2</v>
          </cell>
          <cell r="N3157">
            <v>65</v>
          </cell>
          <cell r="O3157" t="str">
            <v>155(F)</v>
          </cell>
          <cell r="P3157" t="str">
            <v>270°</v>
          </cell>
          <cell r="Q3157" t="str">
            <v>TF</v>
          </cell>
          <cell r="R3157" t="str">
            <v>V(VE)</v>
          </cell>
          <cell r="S3157" t="str">
            <v>-</v>
          </cell>
          <cell r="T3157" t="str">
            <v>-</v>
          </cell>
          <cell r="U3157" t="str">
            <v>-</v>
          </cell>
          <cell r="V3157" t="str">
            <v>FC</v>
          </cell>
          <cell r="W3157" t="str">
            <v>-</v>
          </cell>
          <cell r="X3157" t="str">
            <v>CLP 220 (-15/+40°C)</v>
          </cell>
          <cell r="Y3157" t="str">
            <v>KH97DRN132M4 /TF/V</v>
          </cell>
          <cell r="Z3157" t="str">
            <v>SEW</v>
          </cell>
          <cell r="AB3157" t="str">
            <v>-</v>
          </cell>
          <cell r="AF3157">
            <v>21</v>
          </cell>
          <cell r="AG3157" t="str">
            <v>DRN132M4</v>
          </cell>
          <cell r="AH3157" t="str">
            <v>KH97-DRN132M4B270-X#</v>
          </cell>
        </row>
        <row r="3158">
          <cell r="A3158" t="str">
            <v>MR003146</v>
          </cell>
          <cell r="B3158" t="str">
            <v>MR</v>
          </cell>
          <cell r="C3158">
            <v>0.75</v>
          </cell>
          <cell r="D3158">
            <v>1.7</v>
          </cell>
          <cell r="E3158" t="str">
            <v>KA97R57</v>
          </cell>
          <cell r="F3158">
            <v>3940</v>
          </cell>
          <cell r="G3158">
            <v>855</v>
          </cell>
          <cell r="H3158">
            <v>1.1000000000000001</v>
          </cell>
          <cell r="I3158" t="str">
            <v>M3B</v>
          </cell>
          <cell r="J3158" t="str">
            <v>IE3</v>
          </cell>
          <cell r="K3158" t="str">
            <v>230/400</v>
          </cell>
          <cell r="L3158">
            <v>50</v>
          </cell>
          <cell r="M3158" t="str">
            <v>3,05/1,75</v>
          </cell>
          <cell r="N3158">
            <v>65</v>
          </cell>
          <cell r="O3158" t="str">
            <v>155(F)</v>
          </cell>
          <cell r="P3158" t="str">
            <v>0°</v>
          </cell>
          <cell r="Q3158" t="str">
            <v>TF</v>
          </cell>
          <cell r="R3158" t="str">
            <v>V(VE)</v>
          </cell>
          <cell r="S3158" t="str">
            <v>-</v>
          </cell>
          <cell r="T3158" t="str">
            <v>BEHF</v>
          </cell>
          <cell r="U3158" t="str">
            <v>T</v>
          </cell>
          <cell r="V3158" t="str">
            <v>FC+R</v>
          </cell>
          <cell r="W3158" t="str">
            <v>-</v>
          </cell>
          <cell r="X3158" t="str">
            <v>CLP 220 (-15/+40°C)</v>
          </cell>
          <cell r="Y3158" t="str">
            <v>KA97R57/T DRN80M4 /BEHF /TF/V</v>
          </cell>
          <cell r="Z3158" t="str">
            <v>SEW</v>
          </cell>
          <cell r="AB3158" t="str">
            <v>-</v>
          </cell>
          <cell r="AF3158">
            <v>1.7</v>
          </cell>
          <cell r="AG3158" t="str">
            <v>DRN80M4</v>
          </cell>
          <cell r="AH3158" t="str">
            <v>KA97R57T-DRN80M4B0-X#</v>
          </cell>
        </row>
        <row r="3159">
          <cell r="A3159" t="str">
            <v>MR003147</v>
          </cell>
          <cell r="B3159" t="str">
            <v>MR</v>
          </cell>
          <cell r="C3159">
            <v>1.5</v>
          </cell>
          <cell r="D3159">
            <v>3.8</v>
          </cell>
          <cell r="E3159" t="str">
            <v>KA97R57</v>
          </cell>
          <cell r="F3159">
            <v>3450</v>
          </cell>
          <cell r="G3159">
            <v>382</v>
          </cell>
          <cell r="H3159">
            <v>1.25</v>
          </cell>
          <cell r="I3159" t="str">
            <v>M3B</v>
          </cell>
          <cell r="J3159" t="str">
            <v>IE3</v>
          </cell>
          <cell r="K3159" t="str">
            <v>230/400</v>
          </cell>
          <cell r="L3159">
            <v>50</v>
          </cell>
          <cell r="M3159" t="str">
            <v>5,9/3,4</v>
          </cell>
          <cell r="N3159">
            <v>65</v>
          </cell>
          <cell r="O3159" t="str">
            <v>155(F)</v>
          </cell>
          <cell r="P3159" t="str">
            <v>0°</v>
          </cell>
          <cell r="Q3159" t="str">
            <v>TF</v>
          </cell>
          <cell r="R3159" t="str">
            <v>-</v>
          </cell>
          <cell r="S3159" t="str">
            <v>-</v>
          </cell>
          <cell r="T3159" t="str">
            <v>BEHF</v>
          </cell>
          <cell r="U3159" t="str">
            <v>T</v>
          </cell>
          <cell r="V3159" t="str">
            <v>D+R</v>
          </cell>
          <cell r="W3159" t="str">
            <v>-</v>
          </cell>
          <cell r="X3159" t="str">
            <v>CLP 220 (-15/+40°C)</v>
          </cell>
          <cell r="Y3159" t="str">
            <v>KA97R57/T DRN90L4 /BEHF /TF</v>
          </cell>
          <cell r="Z3159" t="str">
            <v>SEW</v>
          </cell>
          <cell r="AB3159" t="str">
            <v>-</v>
          </cell>
          <cell r="AF3159">
            <v>3.8</v>
          </cell>
          <cell r="AG3159" t="str">
            <v>DRN90L4</v>
          </cell>
          <cell r="AH3159" t="str">
            <v>KA97R57T-DRN90L4B0-X</v>
          </cell>
        </row>
        <row r="3160">
          <cell r="A3160" t="str">
            <v>MR003148</v>
          </cell>
          <cell r="B3160" t="str">
            <v>MR</v>
          </cell>
          <cell r="C3160">
            <v>11</v>
          </cell>
          <cell r="D3160">
            <v>47</v>
          </cell>
          <cell r="E3160" t="str">
            <v>KH87</v>
          </cell>
          <cell r="F3160">
            <v>2240</v>
          </cell>
          <cell r="G3160">
            <v>31.39</v>
          </cell>
          <cell r="H3160">
            <v>1.2</v>
          </cell>
          <cell r="I3160" t="str">
            <v>M4B</v>
          </cell>
          <cell r="J3160" t="str">
            <v>IE3</v>
          </cell>
          <cell r="K3160" t="str">
            <v>240/415</v>
          </cell>
          <cell r="L3160">
            <v>50</v>
          </cell>
          <cell r="M3160" t="str">
            <v>35/20</v>
          </cell>
          <cell r="N3160">
            <v>55</v>
          </cell>
          <cell r="O3160" t="str">
            <v>155(F)</v>
          </cell>
          <cell r="P3160" t="str">
            <v>270°</v>
          </cell>
          <cell r="Q3160" t="str">
            <v>TF</v>
          </cell>
          <cell r="R3160" t="str">
            <v>-</v>
          </cell>
          <cell r="S3160" t="str">
            <v>Free rotation CW</v>
          </cell>
          <cell r="T3160" t="str">
            <v>-</v>
          </cell>
          <cell r="U3160" t="str">
            <v>T</v>
          </cell>
          <cell r="V3160" t="str">
            <v>SS</v>
          </cell>
          <cell r="W3160" t="str">
            <v>-</v>
          </cell>
          <cell r="X3160" t="str">
            <v>CLP HC 220 (-25/+60°C)</v>
          </cell>
          <cell r="Y3160" t="str">
            <v>KH87/T DRN160M4 /RS /TF</v>
          </cell>
          <cell r="Z3160" t="str">
            <v>SEW</v>
          </cell>
          <cell r="AB3160" t="str">
            <v>-</v>
          </cell>
          <cell r="AD3160" t="str">
            <v>BIS</v>
          </cell>
          <cell r="AF3160">
            <v>47</v>
          </cell>
          <cell r="AG3160" t="str">
            <v>DRN160M4</v>
          </cell>
          <cell r="AH3160" t="str">
            <v>KH87T-DRN160M4B270-X#</v>
          </cell>
        </row>
        <row r="3161">
          <cell r="A3161" t="str">
            <v>MR003149</v>
          </cell>
          <cell r="B3161" t="str">
            <v>MR</v>
          </cell>
          <cell r="C3161">
            <v>11</v>
          </cell>
          <cell r="D3161">
            <v>47</v>
          </cell>
          <cell r="E3161" t="str">
            <v>KH87</v>
          </cell>
          <cell r="F3161">
            <v>2240</v>
          </cell>
          <cell r="G3161">
            <v>31.39</v>
          </cell>
          <cell r="H3161">
            <v>1.2</v>
          </cell>
          <cell r="I3161" t="str">
            <v>M4B</v>
          </cell>
          <cell r="J3161" t="str">
            <v>IE3</v>
          </cell>
          <cell r="K3161" t="str">
            <v>240/415</v>
          </cell>
          <cell r="L3161">
            <v>50</v>
          </cell>
          <cell r="M3161" t="str">
            <v>35/20</v>
          </cell>
          <cell r="N3161">
            <v>55</v>
          </cell>
          <cell r="O3161" t="str">
            <v>155(F)</v>
          </cell>
          <cell r="P3161" t="str">
            <v>270°</v>
          </cell>
          <cell r="Q3161" t="str">
            <v>TF</v>
          </cell>
          <cell r="R3161" t="str">
            <v>-</v>
          </cell>
          <cell r="S3161" t="str">
            <v>-</v>
          </cell>
          <cell r="T3161" t="str">
            <v>-</v>
          </cell>
          <cell r="U3161" t="str">
            <v>T</v>
          </cell>
          <cell r="V3161" t="str">
            <v>SS</v>
          </cell>
          <cell r="W3161" t="str">
            <v>-</v>
          </cell>
          <cell r="X3161" t="str">
            <v>CLP HC 220 (-25/+60°C)</v>
          </cell>
          <cell r="Y3161" t="str">
            <v>KH87/T DRN160M4 /TF</v>
          </cell>
          <cell r="Z3161" t="str">
            <v>SEW</v>
          </cell>
          <cell r="AB3161" t="str">
            <v>-</v>
          </cell>
          <cell r="AD3161" t="str">
            <v>BIS</v>
          </cell>
          <cell r="AF3161">
            <v>47</v>
          </cell>
          <cell r="AG3161" t="str">
            <v>DRN160M4</v>
          </cell>
          <cell r="AH3161" t="str">
            <v>KH87T-DRN160M4B270-X#</v>
          </cell>
        </row>
        <row r="3162">
          <cell r="A3162" t="str">
            <v>MR003150</v>
          </cell>
          <cell r="B3162" t="str">
            <v>MR</v>
          </cell>
          <cell r="C3162">
            <v>0.75</v>
          </cell>
          <cell r="D3162">
            <v>162</v>
          </cell>
          <cell r="E3162" t="str">
            <v>KA37</v>
          </cell>
          <cell r="F3162">
            <v>44</v>
          </cell>
          <cell r="G3162">
            <v>8.91</v>
          </cell>
          <cell r="H3162">
            <v>3.6</v>
          </cell>
          <cell r="I3162" t="str">
            <v>From M1B to M2B - 15°</v>
          </cell>
          <cell r="J3162" t="str">
            <v>IE3</v>
          </cell>
          <cell r="K3162" t="str">
            <v>240/415</v>
          </cell>
          <cell r="L3162">
            <v>50</v>
          </cell>
          <cell r="M3162" t="str">
            <v>2,9/1,69</v>
          </cell>
          <cell r="N3162">
            <v>55</v>
          </cell>
          <cell r="O3162" t="str">
            <v>155(F)</v>
          </cell>
          <cell r="P3162" t="str">
            <v>270°</v>
          </cell>
          <cell r="Q3162" t="str">
            <v>TF</v>
          </cell>
          <cell r="R3162" t="str">
            <v>-</v>
          </cell>
          <cell r="S3162" t="str">
            <v>-</v>
          </cell>
          <cell r="T3162" t="str">
            <v>-</v>
          </cell>
          <cell r="U3162" t="str">
            <v>T</v>
          </cell>
          <cell r="V3162" t="str">
            <v>D</v>
          </cell>
          <cell r="W3162" t="str">
            <v>-</v>
          </cell>
          <cell r="X3162" t="str">
            <v>CLP HC 220 (-25/+60°C)</v>
          </cell>
          <cell r="Y3162" t="str">
            <v>KA37/T DRN80M4 /TF</v>
          </cell>
          <cell r="Z3162" t="str">
            <v>SEW</v>
          </cell>
          <cell r="AB3162" t="str">
            <v>-</v>
          </cell>
          <cell r="AD3162" t="str">
            <v>BIS</v>
          </cell>
          <cell r="AF3162">
            <v>162</v>
          </cell>
          <cell r="AG3162" t="str">
            <v>DRN80M4</v>
          </cell>
          <cell r="AH3162" t="str">
            <v>KA37T-DRN80M4B270-X</v>
          </cell>
        </row>
        <row r="3163">
          <cell r="A3163" t="str">
            <v>MR003151</v>
          </cell>
          <cell r="B3163" t="str">
            <v>MR</v>
          </cell>
          <cell r="C3163">
            <v>30</v>
          </cell>
          <cell r="D3163">
            <v>107</v>
          </cell>
          <cell r="E3163" t="str">
            <v>KH97</v>
          </cell>
          <cell r="F3163">
            <v>2680</v>
          </cell>
          <cell r="G3163">
            <v>13.85</v>
          </cell>
          <cell r="H3163">
            <v>1.6</v>
          </cell>
          <cell r="I3163" t="str">
            <v>From M4A to M1A - 15°</v>
          </cell>
          <cell r="J3163" t="str">
            <v>IE3</v>
          </cell>
          <cell r="K3163" t="str">
            <v>240/415</v>
          </cell>
          <cell r="L3163">
            <v>50</v>
          </cell>
          <cell r="M3163" t="str">
            <v>93/54</v>
          </cell>
          <cell r="N3163">
            <v>55</v>
          </cell>
          <cell r="O3163" t="str">
            <v>155(F)</v>
          </cell>
          <cell r="P3163" t="str">
            <v>270°</v>
          </cell>
          <cell r="Q3163" t="str">
            <v>TF</v>
          </cell>
          <cell r="R3163" t="str">
            <v>-</v>
          </cell>
          <cell r="S3163" t="str">
            <v>Free rotation CCW</v>
          </cell>
          <cell r="T3163" t="str">
            <v>-</v>
          </cell>
          <cell r="U3163" t="str">
            <v>T</v>
          </cell>
          <cell r="V3163" t="str">
            <v>SS</v>
          </cell>
          <cell r="W3163" t="str">
            <v>-</v>
          </cell>
          <cell r="X3163" t="str">
            <v>CLP HC 220 (-25/+60°C)</v>
          </cell>
          <cell r="Y3163" t="str">
            <v>KH97/T DRN200L4 /RS /TF</v>
          </cell>
          <cell r="Z3163" t="str">
            <v>SEW</v>
          </cell>
          <cell r="AB3163" t="str">
            <v>-</v>
          </cell>
          <cell r="AD3163" t="str">
            <v>BIS</v>
          </cell>
          <cell r="AF3163">
            <v>107</v>
          </cell>
          <cell r="AG3163" t="str">
            <v>DRN200L4</v>
          </cell>
          <cell r="AH3163" t="str">
            <v>KH97T-DRN200L4A270-X</v>
          </cell>
        </row>
        <row r="3164">
          <cell r="A3164" t="str">
            <v>MR003152</v>
          </cell>
          <cell r="B3164" t="str">
            <v>MR</v>
          </cell>
          <cell r="C3164">
            <v>0.75</v>
          </cell>
          <cell r="D3164">
            <v>162</v>
          </cell>
          <cell r="E3164" t="str">
            <v>KA37</v>
          </cell>
          <cell r="F3164">
            <v>44</v>
          </cell>
          <cell r="G3164">
            <v>8.91</v>
          </cell>
          <cell r="H3164">
            <v>3.6</v>
          </cell>
          <cell r="I3164" t="str">
            <v>From M3A to M4A - 15°</v>
          </cell>
          <cell r="J3164" t="str">
            <v>IE3</v>
          </cell>
          <cell r="K3164" t="str">
            <v>240/415</v>
          </cell>
          <cell r="L3164">
            <v>50</v>
          </cell>
          <cell r="M3164" t="str">
            <v>2,9/1,69</v>
          </cell>
          <cell r="N3164">
            <v>55</v>
          </cell>
          <cell r="O3164" t="str">
            <v>155(F)</v>
          </cell>
          <cell r="P3164" t="str">
            <v>180°</v>
          </cell>
          <cell r="Q3164" t="str">
            <v>TF</v>
          </cell>
          <cell r="R3164" t="str">
            <v>-</v>
          </cell>
          <cell r="S3164" t="str">
            <v>-</v>
          </cell>
          <cell r="T3164" t="str">
            <v>-</v>
          </cell>
          <cell r="U3164" t="str">
            <v>T</v>
          </cell>
          <cell r="V3164" t="str">
            <v>D</v>
          </cell>
          <cell r="W3164" t="str">
            <v>-</v>
          </cell>
          <cell r="X3164" t="str">
            <v>CLP HC 220 (-25/+60°C)</v>
          </cell>
          <cell r="Y3164" t="str">
            <v>KA37/T DRN80M4 /TF</v>
          </cell>
          <cell r="Z3164" t="str">
            <v>SEW</v>
          </cell>
          <cell r="AB3164" t="str">
            <v>-</v>
          </cell>
          <cell r="AD3164" t="str">
            <v>BIS</v>
          </cell>
          <cell r="AF3164">
            <v>162</v>
          </cell>
          <cell r="AG3164" t="str">
            <v>DRN80M4</v>
          </cell>
          <cell r="AH3164" t="str">
            <v>KA37T-DRN80M4A180-X</v>
          </cell>
        </row>
        <row r="3165">
          <cell r="A3165" t="str">
            <v>MR003153</v>
          </cell>
          <cell r="B3165" t="str">
            <v>MR</v>
          </cell>
          <cell r="C3165">
            <v>22</v>
          </cell>
          <cell r="D3165">
            <v>59</v>
          </cell>
          <cell r="E3165" t="str">
            <v>R107</v>
          </cell>
          <cell r="F3165">
            <v>3550</v>
          </cell>
          <cell r="G3165">
            <v>24.9</v>
          </cell>
          <cell r="H3165">
            <v>1.2</v>
          </cell>
          <cell r="I3165" t="str">
            <v>From M1 to M2 - 15°</v>
          </cell>
          <cell r="J3165" t="str">
            <v>IE3</v>
          </cell>
          <cell r="K3165" t="str">
            <v>240/415</v>
          </cell>
          <cell r="L3165">
            <v>50</v>
          </cell>
          <cell r="M3165" t="str">
            <v>64/37</v>
          </cell>
          <cell r="N3165">
            <v>55</v>
          </cell>
          <cell r="O3165" t="str">
            <v>155(F)</v>
          </cell>
          <cell r="P3165" t="str">
            <v>270°</v>
          </cell>
          <cell r="Q3165" t="str">
            <v>TF</v>
          </cell>
          <cell r="R3165" t="str">
            <v>V(VE)</v>
          </cell>
          <cell r="S3165" t="str">
            <v>-</v>
          </cell>
          <cell r="T3165" t="str">
            <v>-</v>
          </cell>
          <cell r="U3165" t="str">
            <v>-</v>
          </cell>
          <cell r="V3165" t="str">
            <v>FC</v>
          </cell>
          <cell r="W3165" t="str">
            <v>-</v>
          </cell>
          <cell r="X3165" t="str">
            <v>CLP HC 220 (-25/+60°C)</v>
          </cell>
          <cell r="Y3165" t="str">
            <v>R107DRN180L4 /TF/V</v>
          </cell>
          <cell r="Z3165" t="str">
            <v>SEW</v>
          </cell>
          <cell r="AB3165" t="str">
            <v>-</v>
          </cell>
          <cell r="AD3165" t="str">
            <v>BIS</v>
          </cell>
          <cell r="AF3165">
            <v>59</v>
          </cell>
          <cell r="AG3165" t="str">
            <v>DRN180L4</v>
          </cell>
          <cell r="AH3165" t="str">
            <v>R107-DRN180L4270-X#</v>
          </cell>
        </row>
        <row r="3166">
          <cell r="A3166" t="str">
            <v>MR003154</v>
          </cell>
          <cell r="B3166" t="str">
            <v>MR</v>
          </cell>
          <cell r="C3166">
            <v>2.2000000000000002</v>
          </cell>
          <cell r="D3166">
            <v>95</v>
          </cell>
          <cell r="E3166" t="str">
            <v>KH67</v>
          </cell>
          <cell r="F3166">
            <v>220</v>
          </cell>
          <cell r="G3166">
            <v>15.19</v>
          </cell>
          <cell r="H3166">
            <v>3.2</v>
          </cell>
          <cell r="I3166" t="str">
            <v>From M1B to M4B - 30°</v>
          </cell>
          <cell r="J3166" t="str">
            <v>IE3</v>
          </cell>
          <cell r="K3166" t="str">
            <v>240/415</v>
          </cell>
          <cell r="L3166">
            <v>50</v>
          </cell>
          <cell r="M3166" t="str">
            <v>8/4,6</v>
          </cell>
          <cell r="N3166">
            <v>55</v>
          </cell>
          <cell r="O3166" t="str">
            <v>155(F)</v>
          </cell>
          <cell r="P3166" t="str">
            <v>270°</v>
          </cell>
          <cell r="Q3166" t="str">
            <v>TF</v>
          </cell>
          <cell r="R3166" t="str">
            <v>-</v>
          </cell>
          <cell r="S3166" t="str">
            <v>-</v>
          </cell>
          <cell r="T3166" t="str">
            <v>-</v>
          </cell>
          <cell r="U3166" t="str">
            <v>T</v>
          </cell>
          <cell r="V3166" t="str">
            <v>D</v>
          </cell>
          <cell r="W3166" t="str">
            <v>-</v>
          </cell>
          <cell r="X3166" t="str">
            <v>CLP HC 220 (-25/+60°C)</v>
          </cell>
          <cell r="Y3166" t="str">
            <v>KH67/T DRN100LS4 /TF</v>
          </cell>
          <cell r="Z3166" t="str">
            <v>SEW</v>
          </cell>
          <cell r="AB3166" t="str">
            <v>-</v>
          </cell>
          <cell r="AD3166" t="str">
            <v>BIS</v>
          </cell>
          <cell r="AF3166">
            <v>95</v>
          </cell>
          <cell r="AG3166" t="str">
            <v>DRN100LS4</v>
          </cell>
          <cell r="AH3166" t="str">
            <v>KH67T-DRN100LS4B270-X</v>
          </cell>
        </row>
        <row r="3167">
          <cell r="A3167" t="str">
            <v>MR003155</v>
          </cell>
          <cell r="B3167" t="str">
            <v>MR</v>
          </cell>
          <cell r="C3167">
            <v>4</v>
          </cell>
          <cell r="D3167">
            <v>15</v>
          </cell>
          <cell r="E3167" t="str">
            <v>KH97</v>
          </cell>
          <cell r="F3167">
            <v>2530</v>
          </cell>
          <cell r="G3167">
            <v>96.8</v>
          </cell>
          <cell r="H3167">
            <v>1.7</v>
          </cell>
          <cell r="I3167" t="str">
            <v>From M1A to M2A - 30°</v>
          </cell>
          <cell r="J3167" t="str">
            <v>IE3</v>
          </cell>
          <cell r="K3167" t="str">
            <v>240/415</v>
          </cell>
          <cell r="L3167">
            <v>50</v>
          </cell>
          <cell r="M3167" t="str">
            <v>13,2/7,6</v>
          </cell>
          <cell r="N3167">
            <v>55</v>
          </cell>
          <cell r="O3167" t="str">
            <v>155(F)</v>
          </cell>
          <cell r="P3167" t="str">
            <v>270°</v>
          </cell>
          <cell r="Q3167" t="str">
            <v>TF</v>
          </cell>
          <cell r="R3167" t="str">
            <v>-</v>
          </cell>
          <cell r="S3167" t="str">
            <v>-</v>
          </cell>
          <cell r="T3167" t="str">
            <v>-</v>
          </cell>
          <cell r="U3167" t="str">
            <v>-</v>
          </cell>
          <cell r="V3167" t="str">
            <v>SS</v>
          </cell>
          <cell r="W3167" t="str">
            <v>-</v>
          </cell>
          <cell r="X3167" t="str">
            <v>CLP HC 220 (-25/+60°C)</v>
          </cell>
          <cell r="Y3167" t="str">
            <v>KH97DRN112M4 /TF</v>
          </cell>
          <cell r="Z3167" t="str">
            <v>SEW</v>
          </cell>
          <cell r="AB3167" t="str">
            <v>-</v>
          </cell>
          <cell r="AD3167" t="str">
            <v>BIS</v>
          </cell>
          <cell r="AF3167">
            <v>15</v>
          </cell>
          <cell r="AG3167" t="str">
            <v>DRN112M4</v>
          </cell>
          <cell r="AH3167" t="str">
            <v>KH97-DRN112M4A270-X</v>
          </cell>
        </row>
        <row r="3168">
          <cell r="A3168" t="str">
            <v>MR003156</v>
          </cell>
          <cell r="B3168" t="str">
            <v>MR</v>
          </cell>
          <cell r="C3168">
            <v>4</v>
          </cell>
          <cell r="D3168">
            <v>15</v>
          </cell>
          <cell r="E3168" t="str">
            <v>KH97</v>
          </cell>
          <cell r="F3168">
            <v>2530</v>
          </cell>
          <cell r="G3168">
            <v>96.8</v>
          </cell>
          <cell r="H3168">
            <v>1.7</v>
          </cell>
          <cell r="I3168" t="str">
            <v>From M1B to M2B - 30°</v>
          </cell>
          <cell r="J3168" t="str">
            <v>IE3</v>
          </cell>
          <cell r="K3168" t="str">
            <v>240/415</v>
          </cell>
          <cell r="L3168">
            <v>50</v>
          </cell>
          <cell r="M3168" t="str">
            <v>13,2/7,6</v>
          </cell>
          <cell r="N3168">
            <v>55</v>
          </cell>
          <cell r="O3168" t="str">
            <v>155(F)</v>
          </cell>
          <cell r="P3168" t="str">
            <v>270°</v>
          </cell>
          <cell r="Q3168" t="str">
            <v>TF</v>
          </cell>
          <cell r="R3168" t="str">
            <v>-</v>
          </cell>
          <cell r="S3168" t="str">
            <v>-</v>
          </cell>
          <cell r="T3168" t="str">
            <v>-</v>
          </cell>
          <cell r="U3168" t="str">
            <v>-</v>
          </cell>
          <cell r="V3168" t="str">
            <v>SS</v>
          </cell>
          <cell r="W3168" t="str">
            <v>-</v>
          </cell>
          <cell r="X3168" t="str">
            <v>CLP HC 220 (-25/+60°C)</v>
          </cell>
          <cell r="Y3168" t="str">
            <v>KH97DRN112M4 /TF</v>
          </cell>
          <cell r="Z3168" t="str">
            <v>SEW</v>
          </cell>
          <cell r="AB3168" t="str">
            <v>-</v>
          </cell>
          <cell r="AD3168" t="str">
            <v>BIS</v>
          </cell>
          <cell r="AF3168">
            <v>15</v>
          </cell>
          <cell r="AG3168" t="str">
            <v>DRN112M4</v>
          </cell>
          <cell r="AH3168" t="str">
            <v>KH97-DRN112M4B270-X</v>
          </cell>
        </row>
        <row r="3169">
          <cell r="A3169" t="str">
            <v>MR003157</v>
          </cell>
          <cell r="B3169" t="str">
            <v>MR</v>
          </cell>
          <cell r="C3169">
            <v>15</v>
          </cell>
          <cell r="D3169">
            <v>13</v>
          </cell>
          <cell r="E3169" t="str">
            <v>KH127</v>
          </cell>
          <cell r="F3169">
            <v>10700</v>
          </cell>
          <cell r="G3169">
            <v>110.18</v>
          </cell>
          <cell r="H3169">
            <v>1.2</v>
          </cell>
          <cell r="I3169" t="str">
            <v>From M1A to M2A - 20°</v>
          </cell>
          <cell r="J3169" t="str">
            <v>IE3</v>
          </cell>
          <cell r="K3169" t="str">
            <v>240/415</v>
          </cell>
          <cell r="L3169">
            <v>50</v>
          </cell>
          <cell r="M3169" t="str">
            <v>48/27,5</v>
          </cell>
          <cell r="N3169">
            <v>55</v>
          </cell>
          <cell r="O3169" t="str">
            <v>155(F)</v>
          </cell>
          <cell r="P3169" t="str">
            <v>270°</v>
          </cell>
          <cell r="Q3169" t="str">
            <v>TF</v>
          </cell>
          <cell r="R3169" t="str">
            <v>-</v>
          </cell>
          <cell r="S3169" t="str">
            <v>-</v>
          </cell>
          <cell r="T3169" t="str">
            <v>-</v>
          </cell>
          <cell r="U3169" t="str">
            <v>-</v>
          </cell>
          <cell r="V3169" t="str">
            <v>SS</v>
          </cell>
          <cell r="W3169" t="str">
            <v>-</v>
          </cell>
          <cell r="X3169" t="str">
            <v>CLP HC 220 (-25/+60°C)</v>
          </cell>
          <cell r="Y3169" t="str">
            <v>KH127DRN160L4 /TF</v>
          </cell>
          <cell r="Z3169" t="str">
            <v>SEW</v>
          </cell>
          <cell r="AB3169" t="str">
            <v>-</v>
          </cell>
          <cell r="AD3169" t="str">
            <v>BIS</v>
          </cell>
          <cell r="AF3169">
            <v>13</v>
          </cell>
          <cell r="AG3169" t="str">
            <v>DRN160L4</v>
          </cell>
          <cell r="AH3169" t="str">
            <v>KH127-DRN160L4A270-X</v>
          </cell>
        </row>
        <row r="3170">
          <cell r="A3170" t="str">
            <v>MR003158</v>
          </cell>
          <cell r="B3170" t="str">
            <v>MR</v>
          </cell>
          <cell r="C3170">
            <v>15</v>
          </cell>
          <cell r="D3170">
            <v>13</v>
          </cell>
          <cell r="E3170" t="str">
            <v>KH127</v>
          </cell>
          <cell r="F3170">
            <v>10700</v>
          </cell>
          <cell r="G3170">
            <v>110.18</v>
          </cell>
          <cell r="H3170">
            <v>1.2</v>
          </cell>
          <cell r="I3170" t="str">
            <v>From M1B to M2B - 20°</v>
          </cell>
          <cell r="J3170" t="str">
            <v>IE3</v>
          </cell>
          <cell r="K3170" t="str">
            <v>240/415</v>
          </cell>
          <cell r="L3170">
            <v>50</v>
          </cell>
          <cell r="M3170" t="str">
            <v>48/27,5</v>
          </cell>
          <cell r="N3170">
            <v>55</v>
          </cell>
          <cell r="O3170" t="str">
            <v>155(F)</v>
          </cell>
          <cell r="P3170" t="str">
            <v>270°</v>
          </cell>
          <cell r="Q3170" t="str">
            <v>TF</v>
          </cell>
          <cell r="R3170" t="str">
            <v>-</v>
          </cell>
          <cell r="S3170" t="str">
            <v>-</v>
          </cell>
          <cell r="T3170" t="str">
            <v>-</v>
          </cell>
          <cell r="U3170" t="str">
            <v>-</v>
          </cell>
          <cell r="V3170" t="str">
            <v>SS</v>
          </cell>
          <cell r="W3170" t="str">
            <v>-</v>
          </cell>
          <cell r="X3170" t="str">
            <v>CLP HC 220 (-25/+60°C)</v>
          </cell>
          <cell r="Y3170" t="str">
            <v>KH127DRN160L4 /TF</v>
          </cell>
          <cell r="Z3170" t="str">
            <v>SEW</v>
          </cell>
          <cell r="AB3170" t="str">
            <v>-</v>
          </cell>
          <cell r="AD3170" t="str">
            <v>BIS</v>
          </cell>
          <cell r="AF3170">
            <v>13</v>
          </cell>
          <cell r="AG3170" t="str">
            <v>DRN160L4</v>
          </cell>
          <cell r="AH3170" t="str">
            <v>KH127-DRN160L4B270-X</v>
          </cell>
        </row>
        <row r="3171">
          <cell r="A3171" t="str">
            <v>MR003159</v>
          </cell>
          <cell r="B3171" t="str">
            <v>MR</v>
          </cell>
          <cell r="C3171">
            <v>22</v>
          </cell>
          <cell r="D3171">
            <v>59</v>
          </cell>
          <cell r="E3171" t="str">
            <v>R107</v>
          </cell>
          <cell r="F3171">
            <v>3550</v>
          </cell>
          <cell r="G3171">
            <v>24.9</v>
          </cell>
          <cell r="H3171">
            <v>1.2</v>
          </cell>
          <cell r="I3171" t="str">
            <v>M1</v>
          </cell>
          <cell r="J3171" t="str">
            <v>IE3</v>
          </cell>
          <cell r="K3171" t="str">
            <v>240/415</v>
          </cell>
          <cell r="L3171">
            <v>50</v>
          </cell>
          <cell r="M3171" t="str">
            <v>64/37</v>
          </cell>
          <cell r="N3171">
            <v>55</v>
          </cell>
          <cell r="O3171" t="str">
            <v>155(F)</v>
          </cell>
          <cell r="P3171" t="str">
            <v>270°</v>
          </cell>
          <cell r="Q3171" t="str">
            <v>TF</v>
          </cell>
          <cell r="R3171" t="str">
            <v>-</v>
          </cell>
          <cell r="S3171" t="str">
            <v>-</v>
          </cell>
          <cell r="T3171" t="str">
            <v>-</v>
          </cell>
          <cell r="U3171" t="str">
            <v>-</v>
          </cell>
          <cell r="V3171" t="str">
            <v>D</v>
          </cell>
          <cell r="W3171" t="str">
            <v>-</v>
          </cell>
          <cell r="X3171" t="str">
            <v>CLP HC 220 (-25/+60°C)</v>
          </cell>
          <cell r="Y3171" t="str">
            <v>R107DRN180L4 /TF</v>
          </cell>
          <cell r="Z3171" t="str">
            <v>SEW</v>
          </cell>
          <cell r="AB3171" t="str">
            <v>-</v>
          </cell>
          <cell r="AD3171" t="str">
            <v>BIS</v>
          </cell>
          <cell r="AF3171">
            <v>59</v>
          </cell>
          <cell r="AG3171" t="str">
            <v>DRN180L4</v>
          </cell>
          <cell r="AH3171" t="str">
            <v>R107-DRN180L4270-X</v>
          </cell>
        </row>
        <row r="3172">
          <cell r="A3172" t="str">
            <v>MR003160</v>
          </cell>
          <cell r="B3172" t="str">
            <v>MR</v>
          </cell>
          <cell r="C3172">
            <v>5.5</v>
          </cell>
          <cell r="D3172">
            <v>62</v>
          </cell>
          <cell r="E3172" t="str">
            <v>R87</v>
          </cell>
          <cell r="F3172">
            <v>840</v>
          </cell>
          <cell r="G3172">
            <v>23.4</v>
          </cell>
          <cell r="H3172">
            <v>1.85</v>
          </cell>
          <cell r="I3172" t="str">
            <v>M1</v>
          </cell>
          <cell r="J3172" t="str">
            <v>IE3</v>
          </cell>
          <cell r="K3172" t="str">
            <v>240/415</v>
          </cell>
          <cell r="L3172">
            <v>50</v>
          </cell>
          <cell r="M3172" t="str">
            <v>17,4/10,1</v>
          </cell>
          <cell r="N3172">
            <v>55</v>
          </cell>
          <cell r="O3172" t="str">
            <v>155(F)</v>
          </cell>
          <cell r="P3172" t="str">
            <v>270°</v>
          </cell>
          <cell r="Q3172" t="str">
            <v>TF</v>
          </cell>
          <cell r="R3172" t="str">
            <v>-</v>
          </cell>
          <cell r="S3172" t="str">
            <v>-</v>
          </cell>
          <cell r="T3172" t="str">
            <v>-</v>
          </cell>
          <cell r="U3172" t="str">
            <v>-</v>
          </cell>
          <cell r="V3172" t="str">
            <v>D</v>
          </cell>
          <cell r="W3172" t="str">
            <v>-</v>
          </cell>
          <cell r="X3172" t="str">
            <v>CLP HC 220 (-25/+60°C)</v>
          </cell>
          <cell r="Y3172" t="str">
            <v>R87DRN132S4 /TF</v>
          </cell>
          <cell r="Z3172" t="str">
            <v>SEW</v>
          </cell>
          <cell r="AB3172" t="str">
            <v>-</v>
          </cell>
          <cell r="AD3172" t="str">
            <v>BIS</v>
          </cell>
          <cell r="AF3172">
            <v>62</v>
          </cell>
          <cell r="AG3172" t="str">
            <v>DRN132S4</v>
          </cell>
          <cell r="AH3172" t="str">
            <v>R87-DRN132S4270-X</v>
          </cell>
        </row>
        <row r="3173">
          <cell r="A3173" t="str">
            <v>MR003161</v>
          </cell>
          <cell r="B3173" t="str">
            <v>MR</v>
          </cell>
          <cell r="C3173">
            <v>22</v>
          </cell>
          <cell r="D3173">
            <v>12</v>
          </cell>
          <cell r="E3173" t="str">
            <v>KH157</v>
          </cell>
          <cell r="F3173">
            <v>17400</v>
          </cell>
          <cell r="G3173">
            <v>122.39</v>
          </cell>
          <cell r="H3173">
            <v>1.1499999999999999</v>
          </cell>
          <cell r="I3173" t="str">
            <v>From M1A to M2A - 40°</v>
          </cell>
          <cell r="J3173" t="str">
            <v>IE3</v>
          </cell>
          <cell r="K3173" t="str">
            <v>240/415</v>
          </cell>
          <cell r="L3173">
            <v>50</v>
          </cell>
          <cell r="M3173" t="str">
            <v>64/37</v>
          </cell>
          <cell r="N3173">
            <v>55</v>
          </cell>
          <cell r="O3173" t="str">
            <v>155(F)</v>
          </cell>
          <cell r="P3173" t="str">
            <v>270°</v>
          </cell>
          <cell r="Q3173" t="str">
            <v>TF</v>
          </cell>
          <cell r="R3173" t="str">
            <v>-</v>
          </cell>
          <cell r="S3173" t="str">
            <v>-</v>
          </cell>
          <cell r="T3173" t="str">
            <v>-</v>
          </cell>
          <cell r="U3173" t="str">
            <v>-</v>
          </cell>
          <cell r="V3173" t="str">
            <v>SS</v>
          </cell>
          <cell r="W3173" t="str">
            <v>-</v>
          </cell>
          <cell r="X3173" t="str">
            <v>CLP HC 220 (-25/+60°C)</v>
          </cell>
          <cell r="Y3173" t="str">
            <v>KH157DRN180L4 /TF</v>
          </cell>
          <cell r="Z3173" t="str">
            <v>SEW</v>
          </cell>
          <cell r="AB3173" t="str">
            <v>-</v>
          </cell>
          <cell r="AD3173" t="str">
            <v>BIS</v>
          </cell>
          <cell r="AF3173">
            <v>12</v>
          </cell>
          <cell r="AG3173" t="str">
            <v>DRN180L4</v>
          </cell>
          <cell r="AH3173" t="str">
            <v>KH157-DRN180L4A270-X</v>
          </cell>
        </row>
        <row r="3174">
          <cell r="A3174" t="str">
            <v>MR003162</v>
          </cell>
          <cell r="B3174" t="str">
            <v>MR</v>
          </cell>
          <cell r="C3174">
            <v>37</v>
          </cell>
          <cell r="D3174">
            <v>110</v>
          </cell>
          <cell r="E3174" t="str">
            <v>KH107</v>
          </cell>
          <cell r="F3174">
            <v>3200</v>
          </cell>
          <cell r="G3174">
            <v>13.43</v>
          </cell>
          <cell r="H3174">
            <v>1.35</v>
          </cell>
          <cell r="I3174" t="str">
            <v>From M4B to M1B - 15°</v>
          </cell>
          <cell r="J3174" t="str">
            <v>IE3</v>
          </cell>
          <cell r="K3174" t="str">
            <v>240/415</v>
          </cell>
          <cell r="L3174">
            <v>50</v>
          </cell>
          <cell r="M3174" t="str">
            <v>106/62</v>
          </cell>
          <cell r="N3174">
            <v>55</v>
          </cell>
          <cell r="O3174" t="str">
            <v>155(F)</v>
          </cell>
          <cell r="P3174" t="str">
            <v>270°</v>
          </cell>
          <cell r="Q3174" t="str">
            <v>TF</v>
          </cell>
          <cell r="R3174" t="str">
            <v>-</v>
          </cell>
          <cell r="S3174" t="str">
            <v>Free rotation CW</v>
          </cell>
          <cell r="T3174" t="str">
            <v>-</v>
          </cell>
          <cell r="U3174" t="str">
            <v>T</v>
          </cell>
          <cell r="V3174" t="str">
            <v>SS</v>
          </cell>
          <cell r="W3174" t="str">
            <v>-</v>
          </cell>
          <cell r="X3174" t="str">
            <v>CLP HC 220 (-25/+60°C)</v>
          </cell>
          <cell r="Y3174" t="str">
            <v>KH107/T DRN225S4 /RS /TF</v>
          </cell>
          <cell r="Z3174" t="str">
            <v>SEW</v>
          </cell>
          <cell r="AB3174" t="str">
            <v>-</v>
          </cell>
          <cell r="AD3174" t="str">
            <v>BIS</v>
          </cell>
          <cell r="AF3174">
            <v>110</v>
          </cell>
          <cell r="AG3174" t="str">
            <v>DRN225S4</v>
          </cell>
          <cell r="AH3174" t="str">
            <v>KH107T-DRN225S4B270-X</v>
          </cell>
        </row>
        <row r="3175">
          <cell r="A3175" t="str">
            <v>MR003163</v>
          </cell>
          <cell r="B3175" t="str">
            <v>MR</v>
          </cell>
          <cell r="C3175">
            <v>0.75</v>
          </cell>
          <cell r="D3175">
            <v>162</v>
          </cell>
          <cell r="E3175" t="str">
            <v>KA37</v>
          </cell>
          <cell r="F3175">
            <v>44</v>
          </cell>
          <cell r="G3175">
            <v>8.91</v>
          </cell>
          <cell r="H3175">
            <v>3.6</v>
          </cell>
          <cell r="I3175" t="str">
            <v>From M3B to M4B - 15°</v>
          </cell>
          <cell r="J3175" t="str">
            <v>IE3</v>
          </cell>
          <cell r="K3175" t="str">
            <v>240/415</v>
          </cell>
          <cell r="L3175">
            <v>50</v>
          </cell>
          <cell r="M3175" t="str">
            <v>2,9/1,69</v>
          </cell>
          <cell r="N3175">
            <v>55</v>
          </cell>
          <cell r="O3175" t="str">
            <v>155(F)</v>
          </cell>
          <cell r="P3175" t="str">
            <v>0°</v>
          </cell>
          <cell r="Q3175" t="str">
            <v>TF</v>
          </cell>
          <cell r="R3175" t="str">
            <v>-</v>
          </cell>
          <cell r="S3175" t="str">
            <v>-</v>
          </cell>
          <cell r="T3175" t="str">
            <v>-</v>
          </cell>
          <cell r="U3175" t="str">
            <v>T</v>
          </cell>
          <cell r="V3175" t="str">
            <v>D</v>
          </cell>
          <cell r="W3175" t="str">
            <v>-</v>
          </cell>
          <cell r="X3175" t="str">
            <v>CLP HC 220 (-25/+60°C)</v>
          </cell>
          <cell r="Y3175" t="str">
            <v>KA37/T DRN80M4 /TF</v>
          </cell>
          <cell r="Z3175" t="str">
            <v>SEW</v>
          </cell>
          <cell r="AB3175" t="str">
            <v>-</v>
          </cell>
          <cell r="AD3175" t="str">
            <v>BIS</v>
          </cell>
          <cell r="AF3175">
            <v>162</v>
          </cell>
          <cell r="AG3175" t="str">
            <v>DRN80M4</v>
          </cell>
          <cell r="AH3175" t="str">
            <v>KA37T-DRN80M4B0-X</v>
          </cell>
        </row>
        <row r="3176">
          <cell r="A3176" t="str">
            <v>MR003164</v>
          </cell>
          <cell r="B3176" t="str">
            <v>MR</v>
          </cell>
          <cell r="C3176">
            <v>22</v>
          </cell>
          <cell r="D3176">
            <v>59</v>
          </cell>
          <cell r="E3176" t="str">
            <v>R107</v>
          </cell>
          <cell r="F3176">
            <v>3550</v>
          </cell>
          <cell r="G3176">
            <v>24.9</v>
          </cell>
          <cell r="H3176">
            <v>1.2</v>
          </cell>
          <cell r="I3176" t="str">
            <v>M1</v>
          </cell>
          <cell r="J3176" t="str">
            <v>IE3</v>
          </cell>
          <cell r="K3176" t="str">
            <v>240/415</v>
          </cell>
          <cell r="L3176">
            <v>50</v>
          </cell>
          <cell r="M3176" t="str">
            <v>64/37</v>
          </cell>
          <cell r="N3176">
            <v>55</v>
          </cell>
          <cell r="O3176" t="str">
            <v>155(F)</v>
          </cell>
          <cell r="P3176" t="str">
            <v>270°</v>
          </cell>
          <cell r="Q3176" t="str">
            <v>TF</v>
          </cell>
          <cell r="R3176" t="str">
            <v>-</v>
          </cell>
          <cell r="S3176" t="str">
            <v>-</v>
          </cell>
          <cell r="T3176" t="str">
            <v>-</v>
          </cell>
          <cell r="U3176" t="str">
            <v>-</v>
          </cell>
          <cell r="V3176" t="str">
            <v>D+R</v>
          </cell>
          <cell r="W3176" t="str">
            <v>-</v>
          </cell>
          <cell r="X3176" t="str">
            <v>CLP HC 220 (-25/+60°C)</v>
          </cell>
          <cell r="Y3176" t="str">
            <v>R107DRN180L4 /TF</v>
          </cell>
          <cell r="Z3176" t="str">
            <v>SEW</v>
          </cell>
          <cell r="AB3176" t="str">
            <v>-</v>
          </cell>
          <cell r="AD3176" t="str">
            <v>BIS</v>
          </cell>
          <cell r="AF3176">
            <v>59</v>
          </cell>
          <cell r="AG3176" t="str">
            <v>DRN180L4</v>
          </cell>
          <cell r="AH3176" t="str">
            <v>R107-DRN180L4270-X</v>
          </cell>
        </row>
        <row r="3177">
          <cell r="A3177" t="str">
            <v>MR003165</v>
          </cell>
          <cell r="B3177" t="str">
            <v>MR</v>
          </cell>
          <cell r="C3177">
            <v>5.5</v>
          </cell>
          <cell r="D3177">
            <v>15</v>
          </cell>
          <cell r="E3177" t="str">
            <v>KH97</v>
          </cell>
          <cell r="F3177">
            <v>3480</v>
          </cell>
          <cell r="G3177">
            <v>96.8</v>
          </cell>
          <cell r="H3177">
            <v>1.25</v>
          </cell>
          <cell r="I3177" t="str">
            <v>From M1A to M2A - 20°</v>
          </cell>
          <cell r="J3177" t="str">
            <v>IE3</v>
          </cell>
          <cell r="K3177" t="str">
            <v>240/415</v>
          </cell>
          <cell r="L3177">
            <v>50</v>
          </cell>
          <cell r="M3177" t="str">
            <v>17,4/10,1</v>
          </cell>
          <cell r="N3177">
            <v>55</v>
          </cell>
          <cell r="O3177" t="str">
            <v>155(F)</v>
          </cell>
          <cell r="P3177" t="str">
            <v>270°</v>
          </cell>
          <cell r="Q3177" t="str">
            <v>TF</v>
          </cell>
          <cell r="R3177" t="str">
            <v>-</v>
          </cell>
          <cell r="S3177" t="str">
            <v>-</v>
          </cell>
          <cell r="T3177" t="str">
            <v>-</v>
          </cell>
          <cell r="U3177" t="str">
            <v>-</v>
          </cell>
          <cell r="V3177" t="str">
            <v>SS</v>
          </cell>
          <cell r="W3177" t="str">
            <v>-</v>
          </cell>
          <cell r="X3177" t="str">
            <v>CLP HC 220 (-25/+60°C)</v>
          </cell>
          <cell r="Y3177" t="str">
            <v>KH97DRN132S4 /TF</v>
          </cell>
          <cell r="Z3177" t="str">
            <v>SEW</v>
          </cell>
          <cell r="AB3177" t="str">
            <v>-</v>
          </cell>
          <cell r="AD3177" t="str">
            <v>BIS</v>
          </cell>
          <cell r="AF3177">
            <v>15</v>
          </cell>
          <cell r="AG3177" t="str">
            <v>DRN132S4</v>
          </cell>
          <cell r="AH3177" t="str">
            <v>KH97-DRN132S4A270-X</v>
          </cell>
        </row>
        <row r="3178">
          <cell r="A3178" t="str">
            <v>MR003166</v>
          </cell>
          <cell r="B3178" t="str">
            <v>MR</v>
          </cell>
          <cell r="C3178">
            <v>5.5</v>
          </cell>
          <cell r="D3178">
            <v>15</v>
          </cell>
          <cell r="E3178" t="str">
            <v>KH97</v>
          </cell>
          <cell r="F3178">
            <v>3480</v>
          </cell>
          <cell r="G3178">
            <v>96.8</v>
          </cell>
          <cell r="H3178">
            <v>1.25</v>
          </cell>
          <cell r="I3178" t="str">
            <v>From M1B to M2B - 20°</v>
          </cell>
          <cell r="J3178" t="str">
            <v>IE3</v>
          </cell>
          <cell r="K3178" t="str">
            <v>240/415</v>
          </cell>
          <cell r="L3178">
            <v>50</v>
          </cell>
          <cell r="M3178" t="str">
            <v>17,4/10,1</v>
          </cell>
          <cell r="N3178">
            <v>55</v>
          </cell>
          <cell r="O3178" t="str">
            <v>155(F)</v>
          </cell>
          <cell r="P3178" t="str">
            <v>270°</v>
          </cell>
          <cell r="Q3178" t="str">
            <v>TF</v>
          </cell>
          <cell r="R3178" t="str">
            <v>-</v>
          </cell>
          <cell r="S3178" t="str">
            <v>-</v>
          </cell>
          <cell r="T3178" t="str">
            <v>-</v>
          </cell>
          <cell r="U3178" t="str">
            <v>-</v>
          </cell>
          <cell r="V3178" t="str">
            <v>SS</v>
          </cell>
          <cell r="W3178" t="str">
            <v>-</v>
          </cell>
          <cell r="X3178" t="str">
            <v>CLP HC 220 (-25/+60°C)</v>
          </cell>
          <cell r="Y3178" t="str">
            <v>KH97DRN132S4 /TF</v>
          </cell>
          <cell r="Z3178" t="str">
            <v>SEW</v>
          </cell>
          <cell r="AB3178" t="str">
            <v>-</v>
          </cell>
          <cell r="AD3178" t="str">
            <v>BIS</v>
          </cell>
          <cell r="AF3178">
            <v>15</v>
          </cell>
          <cell r="AG3178" t="str">
            <v>DRN132S4</v>
          </cell>
          <cell r="AH3178" t="str">
            <v>KH97-DRN132S4B270-X</v>
          </cell>
        </row>
        <row r="3179">
          <cell r="A3179" t="str">
            <v>MR003167</v>
          </cell>
          <cell r="B3179" t="str">
            <v>MR</v>
          </cell>
          <cell r="C3179">
            <v>11</v>
          </cell>
          <cell r="D3179">
            <v>59</v>
          </cell>
          <cell r="E3179" t="str">
            <v>R97</v>
          </cell>
          <cell r="F3179">
            <v>1790</v>
          </cell>
          <cell r="G3179">
            <v>25.03</v>
          </cell>
          <cell r="H3179">
            <v>1.6</v>
          </cell>
          <cell r="I3179" t="str">
            <v>M1</v>
          </cell>
          <cell r="J3179" t="str">
            <v>IE3</v>
          </cell>
          <cell r="K3179" t="str">
            <v>240/415</v>
          </cell>
          <cell r="L3179">
            <v>50</v>
          </cell>
          <cell r="M3179" t="str">
            <v>35/20</v>
          </cell>
          <cell r="N3179">
            <v>55</v>
          </cell>
          <cell r="O3179" t="str">
            <v>155(F)</v>
          </cell>
          <cell r="P3179" t="str">
            <v>270°</v>
          </cell>
          <cell r="Q3179" t="str">
            <v>TF</v>
          </cell>
          <cell r="R3179" t="str">
            <v>-</v>
          </cell>
          <cell r="S3179" t="str">
            <v>-</v>
          </cell>
          <cell r="T3179" t="str">
            <v>-</v>
          </cell>
          <cell r="U3179" t="str">
            <v>-</v>
          </cell>
          <cell r="V3179" t="str">
            <v>D</v>
          </cell>
          <cell r="W3179" t="str">
            <v>-</v>
          </cell>
          <cell r="X3179" t="str">
            <v>CLP HC 220 (-25/+60°C)</v>
          </cell>
          <cell r="Y3179" t="str">
            <v>R97DRN160M4 /TF</v>
          </cell>
          <cell r="Z3179" t="str">
            <v>SEW</v>
          </cell>
          <cell r="AB3179" t="str">
            <v>-</v>
          </cell>
          <cell r="AD3179" t="str">
            <v>BIS</v>
          </cell>
          <cell r="AF3179">
            <v>59</v>
          </cell>
          <cell r="AG3179" t="str">
            <v>DRN160M4</v>
          </cell>
          <cell r="AH3179" t="str">
            <v>R97-DRN160M4270-X</v>
          </cell>
        </row>
        <row r="3180">
          <cell r="A3180" t="str">
            <v>MR003168</v>
          </cell>
          <cell r="B3180" t="str">
            <v>MR</v>
          </cell>
          <cell r="C3180">
            <v>7.5</v>
          </cell>
          <cell r="D3180">
            <v>59</v>
          </cell>
          <cell r="E3180" t="str">
            <v>R97</v>
          </cell>
          <cell r="F3180">
            <v>1220</v>
          </cell>
          <cell r="G3180">
            <v>25.03</v>
          </cell>
          <cell r="H3180">
            <v>2.2999999999999998</v>
          </cell>
          <cell r="I3180" t="str">
            <v>M1</v>
          </cell>
          <cell r="J3180" t="str">
            <v>IE3</v>
          </cell>
          <cell r="K3180" t="str">
            <v>240/415</v>
          </cell>
          <cell r="L3180">
            <v>50</v>
          </cell>
          <cell r="M3180" t="str">
            <v>25,5/14,7</v>
          </cell>
          <cell r="N3180">
            <v>55</v>
          </cell>
          <cell r="O3180" t="str">
            <v>155(F)</v>
          </cell>
          <cell r="P3180" t="str">
            <v>270°</v>
          </cell>
          <cell r="Q3180" t="str">
            <v>TF</v>
          </cell>
          <cell r="R3180" t="str">
            <v>-</v>
          </cell>
          <cell r="S3180" t="str">
            <v>-</v>
          </cell>
          <cell r="T3180" t="str">
            <v>-</v>
          </cell>
          <cell r="U3180" t="str">
            <v>-</v>
          </cell>
          <cell r="V3180" t="str">
            <v>D+R</v>
          </cell>
          <cell r="W3180" t="str">
            <v>-</v>
          </cell>
          <cell r="X3180" t="str">
            <v>CLP HC 220 (-25/+60°C)</v>
          </cell>
          <cell r="Y3180" t="str">
            <v>R97DRN132M4 /TF</v>
          </cell>
          <cell r="Z3180" t="str">
            <v>SEW</v>
          </cell>
          <cell r="AB3180" t="str">
            <v>-</v>
          </cell>
          <cell r="AD3180" t="str">
            <v>BIS</v>
          </cell>
          <cell r="AF3180">
            <v>59</v>
          </cell>
          <cell r="AG3180" t="str">
            <v>DRN132M4</v>
          </cell>
          <cell r="AH3180" t="str">
            <v>R97-DRN132M4270-X</v>
          </cell>
        </row>
        <row r="3181">
          <cell r="A3181" t="str">
            <v>MR003169</v>
          </cell>
          <cell r="B3181" t="str">
            <v>MR</v>
          </cell>
          <cell r="C3181">
            <v>4</v>
          </cell>
          <cell r="D3181">
            <v>58</v>
          </cell>
          <cell r="E3181" t="str">
            <v>R77</v>
          </cell>
          <cell r="F3181">
            <v>660</v>
          </cell>
          <cell r="G3181">
            <v>25.23</v>
          </cell>
          <cell r="H3181">
            <v>1.2</v>
          </cell>
          <cell r="I3181" t="str">
            <v>M1</v>
          </cell>
          <cell r="J3181" t="str">
            <v>IE3</v>
          </cell>
          <cell r="K3181" t="str">
            <v>240/415</v>
          </cell>
          <cell r="L3181">
            <v>50</v>
          </cell>
          <cell r="M3181" t="str">
            <v>13,2/7,6</v>
          </cell>
          <cell r="N3181">
            <v>55</v>
          </cell>
          <cell r="O3181" t="str">
            <v>155(F)</v>
          </cell>
          <cell r="P3181" t="str">
            <v>270°</v>
          </cell>
          <cell r="Q3181" t="str">
            <v>TF</v>
          </cell>
          <cell r="R3181" t="str">
            <v>-</v>
          </cell>
          <cell r="S3181" t="str">
            <v>-</v>
          </cell>
          <cell r="T3181" t="str">
            <v>-</v>
          </cell>
          <cell r="U3181" t="str">
            <v>-</v>
          </cell>
          <cell r="V3181" t="str">
            <v>D+R</v>
          </cell>
          <cell r="W3181" t="str">
            <v>-</v>
          </cell>
          <cell r="X3181" t="str">
            <v>CLP HC 220 (-25/+60°C)</v>
          </cell>
          <cell r="Y3181" t="str">
            <v>R77DRN112M4 /TF</v>
          </cell>
          <cell r="Z3181" t="str">
            <v>SEW</v>
          </cell>
          <cell r="AB3181" t="str">
            <v>-</v>
          </cell>
          <cell r="AD3181" t="str">
            <v>BIS</v>
          </cell>
          <cell r="AF3181">
            <v>58</v>
          </cell>
          <cell r="AG3181" t="str">
            <v>DRN112M4</v>
          </cell>
          <cell r="AH3181" t="str">
            <v>R77-DRN112M4270-X</v>
          </cell>
        </row>
        <row r="3182">
          <cell r="A3182" t="str">
            <v>MR003170</v>
          </cell>
          <cell r="B3182" t="str">
            <v>MR</v>
          </cell>
          <cell r="C3182">
            <v>18.5</v>
          </cell>
          <cell r="D3182">
            <v>12</v>
          </cell>
          <cell r="E3182" t="str">
            <v>KH157</v>
          </cell>
          <cell r="F3182">
            <v>14600</v>
          </cell>
          <cell r="G3182">
            <v>122.39</v>
          </cell>
          <cell r="H3182">
            <v>1.35</v>
          </cell>
          <cell r="I3182" t="str">
            <v>From M1A to M2A - 20°</v>
          </cell>
          <cell r="J3182" t="str">
            <v>IE3</v>
          </cell>
          <cell r="K3182" t="str">
            <v>240/415</v>
          </cell>
          <cell r="L3182">
            <v>50</v>
          </cell>
          <cell r="M3182" t="str">
            <v>55/32</v>
          </cell>
          <cell r="N3182">
            <v>55</v>
          </cell>
          <cell r="O3182" t="str">
            <v>155(F)</v>
          </cell>
          <cell r="P3182" t="str">
            <v>270°</v>
          </cell>
          <cell r="Q3182" t="str">
            <v>TF</v>
          </cell>
          <cell r="R3182" t="str">
            <v>V(VE)</v>
          </cell>
          <cell r="S3182" t="str">
            <v>-</v>
          </cell>
          <cell r="T3182" t="str">
            <v>-</v>
          </cell>
          <cell r="U3182" t="str">
            <v>-</v>
          </cell>
          <cell r="V3182" t="str">
            <v>FC</v>
          </cell>
          <cell r="W3182" t="str">
            <v>-</v>
          </cell>
          <cell r="X3182" t="str">
            <v>CLP HC 220 (-25/+60°C)</v>
          </cell>
          <cell r="Y3182" t="str">
            <v>KH157DRN180M4 /TF/V</v>
          </cell>
          <cell r="Z3182" t="str">
            <v>SEW</v>
          </cell>
          <cell r="AB3182" t="str">
            <v>-</v>
          </cell>
          <cell r="AD3182" t="str">
            <v>BIS</v>
          </cell>
          <cell r="AF3182">
            <v>12</v>
          </cell>
          <cell r="AG3182" t="str">
            <v>DRN180M4</v>
          </cell>
          <cell r="AH3182" t="str">
            <v>KH157-DRN180M4A270-X#</v>
          </cell>
        </row>
        <row r="3183">
          <cell r="A3183" t="str">
            <v>MR003171</v>
          </cell>
          <cell r="B3183" t="str">
            <v>MR</v>
          </cell>
          <cell r="C3183">
            <v>18.5</v>
          </cell>
          <cell r="D3183">
            <v>12</v>
          </cell>
          <cell r="E3183" t="str">
            <v>KH157</v>
          </cell>
          <cell r="F3183">
            <v>14600</v>
          </cell>
          <cell r="G3183">
            <v>122.39</v>
          </cell>
          <cell r="H3183">
            <v>1.35</v>
          </cell>
          <cell r="I3183" t="str">
            <v>From M1B to M2B - 20°</v>
          </cell>
          <cell r="J3183" t="str">
            <v>IE3</v>
          </cell>
          <cell r="K3183" t="str">
            <v>240/415</v>
          </cell>
          <cell r="L3183">
            <v>50</v>
          </cell>
          <cell r="M3183" t="str">
            <v>55/32</v>
          </cell>
          <cell r="N3183">
            <v>55</v>
          </cell>
          <cell r="O3183" t="str">
            <v>155(F)</v>
          </cell>
          <cell r="P3183" t="str">
            <v>270°</v>
          </cell>
          <cell r="Q3183" t="str">
            <v>TF</v>
          </cell>
          <cell r="R3183" t="str">
            <v>V(VE)</v>
          </cell>
          <cell r="S3183" t="str">
            <v>-</v>
          </cell>
          <cell r="T3183" t="str">
            <v>-</v>
          </cell>
          <cell r="U3183" t="str">
            <v>-</v>
          </cell>
          <cell r="V3183" t="str">
            <v>FC</v>
          </cell>
          <cell r="W3183" t="str">
            <v>-</v>
          </cell>
          <cell r="X3183" t="str">
            <v>CLP HC 220 (-25/+60°C)</v>
          </cell>
          <cell r="Y3183" t="str">
            <v>KH157DRN180M4 /TF/V</v>
          </cell>
          <cell r="Z3183" t="str">
            <v>SEW</v>
          </cell>
          <cell r="AB3183" t="str">
            <v>-</v>
          </cell>
          <cell r="AD3183" t="str">
            <v>BIS</v>
          </cell>
          <cell r="AF3183">
            <v>12</v>
          </cell>
          <cell r="AG3183" t="str">
            <v>DRN180M4</v>
          </cell>
          <cell r="AH3183" t="str">
            <v>KH157-DRN180M4B270-X#</v>
          </cell>
        </row>
        <row r="3184">
          <cell r="A3184" t="str">
            <v>MR003172</v>
          </cell>
          <cell r="B3184" t="str">
            <v>MR</v>
          </cell>
          <cell r="C3184">
            <v>5.5</v>
          </cell>
          <cell r="D3184">
            <v>15</v>
          </cell>
          <cell r="E3184" t="str">
            <v>KH97</v>
          </cell>
          <cell r="F3184">
            <v>3480</v>
          </cell>
          <cell r="G3184">
            <v>96.8</v>
          </cell>
          <cell r="H3184">
            <v>1.25</v>
          </cell>
          <cell r="I3184" t="str">
            <v>From M1A to M2A - 10°</v>
          </cell>
          <cell r="J3184" t="str">
            <v>IE3</v>
          </cell>
          <cell r="K3184" t="str">
            <v>240/415</v>
          </cell>
          <cell r="L3184">
            <v>50</v>
          </cell>
          <cell r="M3184" t="str">
            <v>17,4/10,1</v>
          </cell>
          <cell r="N3184">
            <v>55</v>
          </cell>
          <cell r="O3184" t="str">
            <v>155(F)</v>
          </cell>
          <cell r="P3184" t="str">
            <v>270°</v>
          </cell>
          <cell r="Q3184" t="str">
            <v>TF</v>
          </cell>
          <cell r="R3184" t="str">
            <v>-</v>
          </cell>
          <cell r="S3184" t="str">
            <v>-</v>
          </cell>
          <cell r="T3184" t="str">
            <v>-</v>
          </cell>
          <cell r="U3184" t="str">
            <v>-</v>
          </cell>
          <cell r="V3184" t="str">
            <v>SS</v>
          </cell>
          <cell r="W3184" t="str">
            <v>-</v>
          </cell>
          <cell r="X3184" t="str">
            <v>CLP HC 220 (-25/+60°C)</v>
          </cell>
          <cell r="Y3184" t="str">
            <v>KH97DRN132S4 /TF</v>
          </cell>
          <cell r="Z3184" t="str">
            <v>SEW</v>
          </cell>
          <cell r="AB3184" t="str">
            <v>-</v>
          </cell>
          <cell r="AD3184" t="str">
            <v>BIS</v>
          </cell>
          <cell r="AF3184">
            <v>15</v>
          </cell>
          <cell r="AG3184" t="str">
            <v>DRN132S4</v>
          </cell>
          <cell r="AH3184" t="str">
            <v>KH97-DRN132S4A270-X</v>
          </cell>
        </row>
        <row r="3185">
          <cell r="A3185" t="str">
            <v>MR003173</v>
          </cell>
          <cell r="B3185" t="str">
            <v>MR</v>
          </cell>
          <cell r="C3185">
            <v>3</v>
          </cell>
          <cell r="D3185">
            <v>23</v>
          </cell>
          <cell r="E3185" t="str">
            <v>R87</v>
          </cell>
          <cell r="F3185">
            <v>1250</v>
          </cell>
          <cell r="G3185">
            <v>63.68</v>
          </cell>
          <cell r="H3185">
            <v>1.25</v>
          </cell>
          <cell r="I3185" t="str">
            <v>M1</v>
          </cell>
          <cell r="J3185" t="str">
            <v>IE3</v>
          </cell>
          <cell r="K3185" t="str">
            <v>240/415</v>
          </cell>
          <cell r="L3185">
            <v>50</v>
          </cell>
          <cell r="M3185" t="str">
            <v>10,7/6,2</v>
          </cell>
          <cell r="N3185">
            <v>55</v>
          </cell>
          <cell r="O3185" t="str">
            <v>155(F)</v>
          </cell>
          <cell r="P3185" t="str">
            <v>270°</v>
          </cell>
          <cell r="Q3185" t="str">
            <v>TF</v>
          </cell>
          <cell r="R3185" t="str">
            <v>-</v>
          </cell>
          <cell r="S3185" t="str">
            <v>-</v>
          </cell>
          <cell r="T3185" t="str">
            <v>-</v>
          </cell>
          <cell r="U3185" t="str">
            <v>-</v>
          </cell>
          <cell r="V3185" t="str">
            <v>D</v>
          </cell>
          <cell r="W3185" t="str">
            <v>-</v>
          </cell>
          <cell r="X3185" t="str">
            <v>CLP HC 220 (-25/+60°C)</v>
          </cell>
          <cell r="Y3185" t="str">
            <v>R87DRN100L4 /TF</v>
          </cell>
          <cell r="Z3185" t="str">
            <v>SEW</v>
          </cell>
          <cell r="AB3185" t="str">
            <v>-</v>
          </cell>
          <cell r="AD3185" t="str">
            <v>BIS</v>
          </cell>
          <cell r="AF3185">
            <v>23</v>
          </cell>
          <cell r="AG3185" t="str">
            <v>DRN100L4</v>
          </cell>
          <cell r="AH3185" t="str">
            <v>R87-DRN100L4270-X</v>
          </cell>
        </row>
        <row r="3186">
          <cell r="A3186" t="str">
            <v>MR003174</v>
          </cell>
          <cell r="B3186" t="str">
            <v>MR</v>
          </cell>
          <cell r="C3186">
            <v>15</v>
          </cell>
          <cell r="D3186">
            <v>13</v>
          </cell>
          <cell r="E3186" t="str">
            <v>KH127</v>
          </cell>
          <cell r="F3186">
            <v>10700</v>
          </cell>
          <cell r="G3186">
            <v>110.18</v>
          </cell>
          <cell r="H3186">
            <v>1.2</v>
          </cell>
          <cell r="I3186" t="str">
            <v>From M1A to M2A - 45°</v>
          </cell>
          <cell r="J3186" t="str">
            <v>IE3</v>
          </cell>
          <cell r="K3186" t="str">
            <v>240/415</v>
          </cell>
          <cell r="L3186">
            <v>50</v>
          </cell>
          <cell r="M3186" t="str">
            <v>48/27,5</v>
          </cell>
          <cell r="N3186">
            <v>55</v>
          </cell>
          <cell r="O3186" t="str">
            <v>155(F)</v>
          </cell>
          <cell r="P3186" t="str">
            <v>270°</v>
          </cell>
          <cell r="Q3186" t="str">
            <v>TF</v>
          </cell>
          <cell r="R3186" t="str">
            <v>-</v>
          </cell>
          <cell r="S3186" t="str">
            <v>-</v>
          </cell>
          <cell r="T3186" t="str">
            <v>-</v>
          </cell>
          <cell r="U3186" t="str">
            <v>-</v>
          </cell>
          <cell r="V3186" t="str">
            <v>SS</v>
          </cell>
          <cell r="W3186" t="str">
            <v>-</v>
          </cell>
          <cell r="X3186" t="str">
            <v>CLP HC 220 (-25/+60°C)</v>
          </cell>
          <cell r="Y3186" t="str">
            <v>KH127DRN160L4 /TF</v>
          </cell>
          <cell r="Z3186" t="str">
            <v>SEW</v>
          </cell>
          <cell r="AB3186" t="str">
            <v>-</v>
          </cell>
          <cell r="AD3186" t="str">
            <v>BIS</v>
          </cell>
          <cell r="AF3186">
            <v>13</v>
          </cell>
          <cell r="AG3186" t="str">
            <v>DRN160L4</v>
          </cell>
          <cell r="AH3186" t="str">
            <v>KH127-DRN160L4A270-X</v>
          </cell>
        </row>
        <row r="3187">
          <cell r="A3187" t="str">
            <v>MR003175</v>
          </cell>
          <cell r="B3187" t="str">
            <v>MR</v>
          </cell>
          <cell r="C3187">
            <v>9.1999999999999993</v>
          </cell>
          <cell r="D3187">
            <v>13</v>
          </cell>
          <cell r="E3187" t="str">
            <v>KH107</v>
          </cell>
          <cell r="F3187">
            <v>6720</v>
          </cell>
          <cell r="G3187">
            <v>112.41</v>
          </cell>
          <cell r="H3187">
            <v>1.2</v>
          </cell>
          <cell r="I3187" t="str">
            <v>From M1A to M2A - 45°</v>
          </cell>
          <cell r="J3187" t="str">
            <v>IE3</v>
          </cell>
          <cell r="K3187" t="str">
            <v>240/415</v>
          </cell>
          <cell r="L3187">
            <v>50</v>
          </cell>
          <cell r="M3187" t="str">
            <v>31/18</v>
          </cell>
          <cell r="N3187">
            <v>55</v>
          </cell>
          <cell r="O3187" t="str">
            <v>155(F)</v>
          </cell>
          <cell r="P3187" t="str">
            <v>270°</v>
          </cell>
          <cell r="Q3187" t="str">
            <v>TF</v>
          </cell>
          <cell r="R3187" t="str">
            <v>-</v>
          </cell>
          <cell r="S3187" t="str">
            <v>-</v>
          </cell>
          <cell r="T3187" t="str">
            <v>-</v>
          </cell>
          <cell r="U3187" t="str">
            <v>-</v>
          </cell>
          <cell r="V3187" t="str">
            <v>SS</v>
          </cell>
          <cell r="W3187" t="str">
            <v>-</v>
          </cell>
          <cell r="X3187" t="str">
            <v>CLP HC 220 (-25/+60°C)</v>
          </cell>
          <cell r="Y3187" t="str">
            <v>KH107DRN132L4 /TF</v>
          </cell>
          <cell r="Z3187" t="str">
            <v>SEW</v>
          </cell>
          <cell r="AB3187" t="str">
            <v>-</v>
          </cell>
          <cell r="AD3187" t="str">
            <v>BIS</v>
          </cell>
          <cell r="AF3187">
            <v>13</v>
          </cell>
          <cell r="AG3187" t="str">
            <v>DRN132L4</v>
          </cell>
          <cell r="AH3187" t="str">
            <v>KH107-DRN132L4A270-X</v>
          </cell>
        </row>
        <row r="3188">
          <cell r="A3188" t="str">
            <v>MR003176</v>
          </cell>
          <cell r="B3188" t="str">
            <v>MR</v>
          </cell>
          <cell r="C3188">
            <v>15</v>
          </cell>
          <cell r="D3188">
            <v>66</v>
          </cell>
          <cell r="E3188" t="str">
            <v>R97</v>
          </cell>
          <cell r="F3188">
            <v>2170</v>
          </cell>
          <cell r="G3188">
            <v>22.37</v>
          </cell>
          <cell r="H3188">
            <v>1.25</v>
          </cell>
          <cell r="I3188" t="str">
            <v>M1</v>
          </cell>
          <cell r="J3188" t="str">
            <v>IE3</v>
          </cell>
          <cell r="K3188" t="str">
            <v>240/415</v>
          </cell>
          <cell r="L3188">
            <v>50</v>
          </cell>
          <cell r="M3188" t="str">
            <v>48/27,5</v>
          </cell>
          <cell r="N3188">
            <v>55</v>
          </cell>
          <cell r="O3188" t="str">
            <v>155(F)</v>
          </cell>
          <cell r="P3188" t="str">
            <v>270°</v>
          </cell>
          <cell r="Q3188" t="str">
            <v>TF</v>
          </cell>
          <cell r="R3188" t="str">
            <v>-</v>
          </cell>
          <cell r="S3188" t="str">
            <v>-</v>
          </cell>
          <cell r="T3188" t="str">
            <v>-</v>
          </cell>
          <cell r="U3188" t="str">
            <v>-</v>
          </cell>
          <cell r="V3188" t="str">
            <v>D+R</v>
          </cell>
          <cell r="W3188" t="str">
            <v>-</v>
          </cell>
          <cell r="X3188" t="str">
            <v>CLP HC 220 (-25/+60°C)</v>
          </cell>
          <cell r="Y3188" t="str">
            <v>R97DRN160L4 /TF</v>
          </cell>
          <cell r="Z3188" t="str">
            <v>SEW</v>
          </cell>
          <cell r="AB3188" t="str">
            <v>-</v>
          </cell>
          <cell r="AD3188" t="str">
            <v>BIS</v>
          </cell>
          <cell r="AF3188">
            <v>66</v>
          </cell>
          <cell r="AG3188" t="str">
            <v>DRN160L4</v>
          </cell>
          <cell r="AH3188" t="str">
            <v>R97-DRN160L4270-X</v>
          </cell>
        </row>
        <row r="3189">
          <cell r="A3189" t="str">
            <v>MR003177</v>
          </cell>
          <cell r="B3189" t="str">
            <v>MR</v>
          </cell>
          <cell r="C3189">
            <v>5.5</v>
          </cell>
          <cell r="D3189">
            <v>62</v>
          </cell>
          <cell r="E3189" t="str">
            <v>R87</v>
          </cell>
          <cell r="F3189">
            <v>840</v>
          </cell>
          <cell r="G3189">
            <v>23.4</v>
          </cell>
          <cell r="H3189">
            <v>1.85</v>
          </cell>
          <cell r="I3189" t="str">
            <v>M1</v>
          </cell>
          <cell r="J3189" t="str">
            <v>IE3</v>
          </cell>
          <cell r="K3189" t="str">
            <v>230/400</v>
          </cell>
          <cell r="L3189">
            <v>50</v>
          </cell>
          <cell r="M3189" t="str">
            <v>18,2/10,5</v>
          </cell>
          <cell r="N3189">
            <v>65</v>
          </cell>
          <cell r="O3189" t="str">
            <v>155(F)</v>
          </cell>
          <cell r="P3189" t="str">
            <v>270°</v>
          </cell>
          <cell r="Q3189" t="str">
            <v>-</v>
          </cell>
          <cell r="R3189" t="str">
            <v>-</v>
          </cell>
          <cell r="S3189" t="str">
            <v>-</v>
          </cell>
          <cell r="T3189" t="str">
            <v>-</v>
          </cell>
          <cell r="U3189" t="str">
            <v>-</v>
          </cell>
          <cell r="V3189" t="str">
            <v>D</v>
          </cell>
          <cell r="W3189" t="str">
            <v>-</v>
          </cell>
          <cell r="X3189" t="str">
            <v>CLP 220 (-15/+40°C)</v>
          </cell>
          <cell r="Y3189" t="str">
            <v>R87DRN132S4</v>
          </cell>
          <cell r="Z3189" t="str">
            <v>SEW</v>
          </cell>
          <cell r="AB3189" t="str">
            <v>-</v>
          </cell>
          <cell r="AF3189">
            <v>62</v>
          </cell>
          <cell r="AG3189" t="str">
            <v>DRN132S4</v>
          </cell>
          <cell r="AH3189" t="str">
            <v>R87-DRN132S4270-X</v>
          </cell>
        </row>
        <row r="3190">
          <cell r="A3190" t="str">
            <v>MR003178</v>
          </cell>
          <cell r="B3190" t="str">
            <v>MR</v>
          </cell>
          <cell r="C3190">
            <v>15</v>
          </cell>
          <cell r="D3190">
            <v>12</v>
          </cell>
          <cell r="E3190" t="str">
            <v>KH127</v>
          </cell>
          <cell r="F3190">
            <v>11900</v>
          </cell>
          <cell r="G3190">
            <v>122.48</v>
          </cell>
          <cell r="H3190">
            <v>1.1000000000000001</v>
          </cell>
          <cell r="I3190" t="str">
            <v>From M4A to M1A - 15°</v>
          </cell>
          <cell r="J3190" t="str">
            <v>IE3</v>
          </cell>
          <cell r="K3190" t="str">
            <v>240/415</v>
          </cell>
          <cell r="L3190">
            <v>50</v>
          </cell>
          <cell r="M3190" t="str">
            <v>48/27,5</v>
          </cell>
          <cell r="N3190">
            <v>65</v>
          </cell>
          <cell r="O3190" t="str">
            <v>155(F)</v>
          </cell>
          <cell r="P3190" t="str">
            <v>270°</v>
          </cell>
          <cell r="Q3190" t="str">
            <v>TF</v>
          </cell>
          <cell r="R3190" t="str">
            <v>-</v>
          </cell>
          <cell r="S3190" t="str">
            <v>-</v>
          </cell>
          <cell r="T3190" t="str">
            <v>-</v>
          </cell>
          <cell r="U3190" t="str">
            <v>-</v>
          </cell>
          <cell r="V3190" t="str">
            <v>SS</v>
          </cell>
          <cell r="W3190" t="str">
            <v>-</v>
          </cell>
          <cell r="X3190" t="str">
            <v>CLP 220 (-15/+40°C)</v>
          </cell>
          <cell r="Y3190" t="str">
            <v>KH127DRN160L4 /TF</v>
          </cell>
          <cell r="Z3190" t="str">
            <v>SEW</v>
          </cell>
          <cell r="AB3190" t="str">
            <v>-</v>
          </cell>
          <cell r="AF3190">
            <v>12</v>
          </cell>
          <cell r="AG3190" t="str">
            <v>DRN160L4</v>
          </cell>
          <cell r="AH3190" t="str">
            <v>KH127-DRN160L4A270-X</v>
          </cell>
        </row>
        <row r="3191">
          <cell r="A3191" t="str">
            <v>MR003179</v>
          </cell>
          <cell r="B3191" t="str">
            <v>MR</v>
          </cell>
          <cell r="C3191">
            <v>15</v>
          </cell>
          <cell r="D3191">
            <v>12</v>
          </cell>
          <cell r="E3191" t="str">
            <v>KH127</v>
          </cell>
          <cell r="F3191">
            <v>11900</v>
          </cell>
          <cell r="G3191">
            <v>122.48</v>
          </cell>
          <cell r="H3191">
            <v>1.1000000000000001</v>
          </cell>
          <cell r="I3191" t="str">
            <v>From M4B to M1B - 15°</v>
          </cell>
          <cell r="J3191" t="str">
            <v>IE3</v>
          </cell>
          <cell r="K3191" t="str">
            <v>240/415</v>
          </cell>
          <cell r="L3191">
            <v>50</v>
          </cell>
          <cell r="M3191" t="str">
            <v>48/27,5</v>
          </cell>
          <cell r="N3191">
            <v>65</v>
          </cell>
          <cell r="O3191" t="str">
            <v>155(F)</v>
          </cell>
          <cell r="P3191" t="str">
            <v>270°</v>
          </cell>
          <cell r="Q3191" t="str">
            <v>TF</v>
          </cell>
          <cell r="R3191" t="str">
            <v>-</v>
          </cell>
          <cell r="S3191" t="str">
            <v>-</v>
          </cell>
          <cell r="T3191" t="str">
            <v>-</v>
          </cell>
          <cell r="U3191" t="str">
            <v>-</v>
          </cell>
          <cell r="V3191" t="str">
            <v>SS</v>
          </cell>
          <cell r="W3191" t="str">
            <v>-</v>
          </cell>
          <cell r="X3191" t="str">
            <v>CLP 220 (-15/+40°C)</v>
          </cell>
          <cell r="Y3191" t="str">
            <v>KH127DRN160L4 /TF</v>
          </cell>
          <cell r="Z3191" t="str">
            <v>SEW</v>
          </cell>
          <cell r="AB3191" t="str">
            <v>-</v>
          </cell>
          <cell r="AF3191">
            <v>12</v>
          </cell>
          <cell r="AG3191" t="str">
            <v>DRN160L4</v>
          </cell>
          <cell r="AH3191" t="str">
            <v>KH127-DRN160L4B270-X</v>
          </cell>
        </row>
        <row r="3192">
          <cell r="A3192" t="str">
            <v>MR003180</v>
          </cell>
          <cell r="B3192" t="str">
            <v>MR</v>
          </cell>
          <cell r="C3192">
            <v>1.5</v>
          </cell>
          <cell r="D3192">
            <v>13</v>
          </cell>
          <cell r="E3192" t="str">
            <v>FA77</v>
          </cell>
          <cell r="F3192">
            <v>1120</v>
          </cell>
          <cell r="G3192">
            <v>114.45</v>
          </cell>
          <cell r="H3192">
            <v>1.35</v>
          </cell>
          <cell r="I3192" t="str">
            <v>From M5 to M2 - 35°</v>
          </cell>
          <cell r="J3192" t="str">
            <v>IE3</v>
          </cell>
          <cell r="K3192" t="str">
            <v>240/415</v>
          </cell>
          <cell r="L3192">
            <v>50</v>
          </cell>
          <cell r="M3192" t="str">
            <v>5,7 / 3,25</v>
          </cell>
          <cell r="N3192">
            <v>65</v>
          </cell>
          <cell r="O3192" t="str">
            <v>155(F)</v>
          </cell>
          <cell r="P3192" t="str">
            <v>270°</v>
          </cell>
          <cell r="Q3192" t="str">
            <v>-</v>
          </cell>
          <cell r="R3192" t="str">
            <v>-</v>
          </cell>
          <cell r="S3192" t="str">
            <v>-</v>
          </cell>
          <cell r="T3192" t="str">
            <v>BEHF</v>
          </cell>
          <cell r="U3192" t="str">
            <v>G</v>
          </cell>
          <cell r="V3192" t="str">
            <v>D+R</v>
          </cell>
          <cell r="W3192" t="str">
            <v>-</v>
          </cell>
          <cell r="X3192" t="str">
            <v>CLP 220 (-15/+40°C)</v>
          </cell>
          <cell r="Y3192" t="str">
            <v>FA77/G DRN90L4 /BEHF</v>
          </cell>
          <cell r="Z3192" t="str">
            <v>SEW</v>
          </cell>
          <cell r="AB3192" t="str">
            <v>-</v>
          </cell>
          <cell r="AF3192">
            <v>13</v>
          </cell>
          <cell r="AG3192" t="str">
            <v>DRN90L4</v>
          </cell>
          <cell r="AH3192" t="str">
            <v>FA77G-DRN90L4270-X</v>
          </cell>
        </row>
        <row r="3193">
          <cell r="A3193" t="str">
            <v>MR003181</v>
          </cell>
          <cell r="B3193" t="str">
            <v>MR</v>
          </cell>
          <cell r="C3193">
            <v>1.5</v>
          </cell>
          <cell r="D3193">
            <v>13</v>
          </cell>
          <cell r="E3193" t="str">
            <v>FA77</v>
          </cell>
          <cell r="F3193">
            <v>1120</v>
          </cell>
          <cell r="G3193">
            <v>114.45</v>
          </cell>
          <cell r="H3193">
            <v>1.35</v>
          </cell>
          <cell r="I3193" t="str">
            <v>From M6 to M2 - 35°</v>
          </cell>
          <cell r="J3193" t="str">
            <v>IE3</v>
          </cell>
          <cell r="K3193" t="str">
            <v>240/415</v>
          </cell>
          <cell r="L3193">
            <v>50</v>
          </cell>
          <cell r="M3193" t="str">
            <v>5,7 / 3,25</v>
          </cell>
          <cell r="N3193">
            <v>65</v>
          </cell>
          <cell r="O3193" t="str">
            <v>155(F)</v>
          </cell>
          <cell r="P3193" t="str">
            <v>270°</v>
          </cell>
          <cell r="Q3193" t="str">
            <v>-</v>
          </cell>
          <cell r="R3193" t="str">
            <v>-</v>
          </cell>
          <cell r="S3193" t="str">
            <v>-</v>
          </cell>
          <cell r="T3193" t="str">
            <v>BEHF</v>
          </cell>
          <cell r="U3193" t="str">
            <v>G</v>
          </cell>
          <cell r="V3193" t="str">
            <v>D+R</v>
          </cell>
          <cell r="W3193" t="str">
            <v>-</v>
          </cell>
          <cell r="X3193" t="str">
            <v>CLP 220 (-15/+40°C)</v>
          </cell>
          <cell r="Y3193" t="str">
            <v>FA77/G DRN90L4 /BEHF</v>
          </cell>
          <cell r="Z3193" t="str">
            <v>SEW</v>
          </cell>
          <cell r="AB3193" t="str">
            <v>-</v>
          </cell>
          <cell r="AF3193">
            <v>13</v>
          </cell>
          <cell r="AG3193" t="str">
            <v>DRN90L4</v>
          </cell>
          <cell r="AH3193" t="str">
            <v>FA77G-DRN90L4270-X</v>
          </cell>
        </row>
        <row r="3194">
          <cell r="A3194" t="str">
            <v>MR003182</v>
          </cell>
          <cell r="B3194" t="str">
            <v>MR</v>
          </cell>
          <cell r="C3194">
            <v>4</v>
          </cell>
          <cell r="D3194">
            <v>30</v>
          </cell>
          <cell r="E3194" t="str">
            <v>FA77</v>
          </cell>
          <cell r="F3194">
            <v>1260</v>
          </cell>
          <cell r="G3194">
            <v>48.37</v>
          </cell>
          <cell r="H3194">
            <v>1.2</v>
          </cell>
          <cell r="I3194" t="str">
            <v>From M5 to M3 - 35°</v>
          </cell>
          <cell r="J3194" t="str">
            <v>IE3</v>
          </cell>
          <cell r="K3194" t="str">
            <v>240/415</v>
          </cell>
          <cell r="L3194">
            <v>50</v>
          </cell>
          <cell r="M3194" t="str">
            <v>13,2/7,6</v>
          </cell>
          <cell r="N3194">
            <v>65</v>
          </cell>
          <cell r="O3194" t="str">
            <v>155(F)</v>
          </cell>
          <cell r="P3194" t="str">
            <v>270°</v>
          </cell>
          <cell r="Q3194" t="str">
            <v>-</v>
          </cell>
          <cell r="R3194" t="str">
            <v>-</v>
          </cell>
          <cell r="S3194" t="str">
            <v>-</v>
          </cell>
          <cell r="T3194" t="str">
            <v>BEHF</v>
          </cell>
          <cell r="U3194" t="str">
            <v>G</v>
          </cell>
          <cell r="V3194" t="str">
            <v>D+R</v>
          </cell>
          <cell r="W3194" t="str">
            <v>-</v>
          </cell>
          <cell r="X3194" t="str">
            <v>CLP 220 (-15/+40°C)</v>
          </cell>
          <cell r="Y3194" t="str">
            <v>FA77/G DRN112M4 /BEHF</v>
          </cell>
          <cell r="Z3194" t="str">
            <v>SEW</v>
          </cell>
          <cell r="AB3194" t="str">
            <v>-</v>
          </cell>
          <cell r="AF3194">
            <v>30</v>
          </cell>
          <cell r="AG3194" t="str">
            <v>DRN112M4</v>
          </cell>
          <cell r="AH3194" t="str">
            <v>FA77G-DRN112M4270-X</v>
          </cell>
        </row>
        <row r="3195">
          <cell r="A3195" t="str">
            <v>MR003183</v>
          </cell>
          <cell r="B3195" t="str">
            <v>MR</v>
          </cell>
          <cell r="C3195">
            <v>9.1999999999999993</v>
          </cell>
          <cell r="D3195">
            <v>15</v>
          </cell>
          <cell r="E3195" t="str">
            <v>KH107</v>
          </cell>
          <cell r="F3195">
            <v>6020</v>
          </cell>
          <cell r="G3195">
            <v>100.75</v>
          </cell>
          <cell r="H3195">
            <v>1.35</v>
          </cell>
          <cell r="I3195" t="str">
            <v>From M1B to M2B - 20°</v>
          </cell>
          <cell r="J3195" t="str">
            <v>IE3</v>
          </cell>
          <cell r="K3195" t="str">
            <v>400/690</v>
          </cell>
          <cell r="L3195">
            <v>50</v>
          </cell>
          <cell r="M3195" t="str">
            <v>18,7/10,8</v>
          </cell>
          <cell r="N3195">
            <v>65</v>
          </cell>
          <cell r="O3195" t="str">
            <v>155(F)</v>
          </cell>
          <cell r="P3195" t="str">
            <v>270°</v>
          </cell>
          <cell r="Q3195" t="str">
            <v>TF</v>
          </cell>
          <cell r="R3195" t="str">
            <v>-</v>
          </cell>
          <cell r="S3195" t="str">
            <v>-</v>
          </cell>
          <cell r="T3195" t="str">
            <v>-</v>
          </cell>
          <cell r="U3195" t="str">
            <v>-</v>
          </cell>
          <cell r="V3195" t="str">
            <v>SS</v>
          </cell>
          <cell r="W3195" t="str">
            <v>YES</v>
          </cell>
          <cell r="X3195" t="str">
            <v>CLP HC 150 (-30/+50°C)</v>
          </cell>
          <cell r="Y3195" t="str">
            <v>KH107DRN132L4 /TF</v>
          </cell>
          <cell r="Z3195" t="str">
            <v>SEW</v>
          </cell>
          <cell r="AB3195" t="str">
            <v>-</v>
          </cell>
          <cell r="AF3195">
            <v>15</v>
          </cell>
          <cell r="AG3195" t="str">
            <v>DRN132L4</v>
          </cell>
          <cell r="AH3195" t="str">
            <v>KH107-DRN132L4B270-X</v>
          </cell>
        </row>
        <row r="3196">
          <cell r="A3196" t="str">
            <v>MR003184</v>
          </cell>
          <cell r="B3196" t="str">
            <v>MR</v>
          </cell>
          <cell r="C3196">
            <v>0.75</v>
          </cell>
          <cell r="D3196">
            <v>162</v>
          </cell>
          <cell r="E3196" t="str">
            <v>KA37</v>
          </cell>
          <cell r="F3196">
            <v>44</v>
          </cell>
          <cell r="G3196">
            <v>8.91</v>
          </cell>
          <cell r="H3196">
            <v>3.6</v>
          </cell>
          <cell r="I3196" t="str">
            <v>From M3A to M2A - 25°</v>
          </cell>
          <cell r="J3196" t="str">
            <v>IE3</v>
          </cell>
          <cell r="K3196" t="str">
            <v>230/400</v>
          </cell>
          <cell r="L3196">
            <v>50</v>
          </cell>
          <cell r="M3196" t="str">
            <v>3,05/1,75</v>
          </cell>
          <cell r="N3196">
            <v>65</v>
          </cell>
          <cell r="O3196" t="str">
            <v>155(F)</v>
          </cell>
          <cell r="P3196" t="str">
            <v>180°</v>
          </cell>
          <cell r="Q3196" t="str">
            <v>-</v>
          </cell>
          <cell r="R3196" t="str">
            <v>-</v>
          </cell>
          <cell r="S3196" t="str">
            <v>-</v>
          </cell>
          <cell r="T3196" t="str">
            <v>-</v>
          </cell>
          <cell r="U3196" t="str">
            <v>T</v>
          </cell>
          <cell r="V3196" t="str">
            <v>D</v>
          </cell>
          <cell r="W3196" t="str">
            <v>-</v>
          </cell>
          <cell r="X3196" t="str">
            <v>CLP 220 (-15/+40°C)</v>
          </cell>
          <cell r="Y3196" t="str">
            <v>KA37/T DRN80M4</v>
          </cell>
          <cell r="Z3196" t="str">
            <v>SEW</v>
          </cell>
          <cell r="AB3196" t="str">
            <v>-</v>
          </cell>
          <cell r="AF3196">
            <v>162</v>
          </cell>
          <cell r="AG3196" t="str">
            <v>DRN80M4</v>
          </cell>
          <cell r="AH3196" t="str">
            <v>KA37T-DRN80M4A180-X</v>
          </cell>
        </row>
        <row r="3197">
          <cell r="A3197" t="str">
            <v>MR003185</v>
          </cell>
          <cell r="B3197" t="str">
            <v>MR</v>
          </cell>
          <cell r="C3197">
            <v>0.75</v>
          </cell>
          <cell r="D3197">
            <v>162</v>
          </cell>
          <cell r="E3197" t="str">
            <v>KA37</v>
          </cell>
          <cell r="F3197">
            <v>44</v>
          </cell>
          <cell r="G3197">
            <v>8.91</v>
          </cell>
          <cell r="H3197">
            <v>3.6</v>
          </cell>
          <cell r="I3197" t="str">
            <v>From M3A to M2A - 10°</v>
          </cell>
          <cell r="J3197" t="str">
            <v>IE3</v>
          </cell>
          <cell r="K3197" t="str">
            <v>230/400</v>
          </cell>
          <cell r="L3197">
            <v>50</v>
          </cell>
          <cell r="M3197" t="str">
            <v>3,05/1,75</v>
          </cell>
          <cell r="N3197">
            <v>65</v>
          </cell>
          <cell r="O3197" t="str">
            <v>155(F)</v>
          </cell>
          <cell r="P3197" t="str">
            <v>180°</v>
          </cell>
          <cell r="Q3197" t="str">
            <v>-</v>
          </cell>
          <cell r="R3197" t="str">
            <v>-</v>
          </cell>
          <cell r="S3197" t="str">
            <v>-</v>
          </cell>
          <cell r="T3197" t="str">
            <v>-</v>
          </cell>
          <cell r="U3197" t="str">
            <v>T</v>
          </cell>
          <cell r="V3197" t="str">
            <v>D</v>
          </cell>
          <cell r="W3197" t="str">
            <v>-</v>
          </cell>
          <cell r="X3197" t="str">
            <v>CLP 220 (-15/+40°C)</v>
          </cell>
          <cell r="Y3197" t="str">
            <v>KA37/T DRN80M4</v>
          </cell>
          <cell r="Z3197" t="str">
            <v>SEW</v>
          </cell>
          <cell r="AB3197" t="str">
            <v>-</v>
          </cell>
          <cell r="AF3197">
            <v>162</v>
          </cell>
          <cell r="AG3197" t="str">
            <v>DRN80M4</v>
          </cell>
          <cell r="AH3197" t="str">
            <v>KA37T-DRN80M4A180-X</v>
          </cell>
        </row>
        <row r="3198">
          <cell r="A3198" t="str">
            <v>MR003186</v>
          </cell>
          <cell r="B3198" t="str">
            <v>MR</v>
          </cell>
          <cell r="C3198">
            <v>30</v>
          </cell>
          <cell r="D3198">
            <v>15</v>
          </cell>
          <cell r="E3198" t="str">
            <v>KH157</v>
          </cell>
          <cell r="F3198">
            <v>19400</v>
          </cell>
          <cell r="G3198">
            <v>100.22</v>
          </cell>
          <cell r="H3198">
            <v>1.05</v>
          </cell>
          <cell r="I3198" t="str">
            <v>From M1A to M2A - 30°</v>
          </cell>
          <cell r="J3198" t="str">
            <v>IE3</v>
          </cell>
          <cell r="K3198" t="str">
            <v>400/690</v>
          </cell>
          <cell r="L3198">
            <v>50</v>
          </cell>
          <cell r="M3198" t="str">
            <v>56/32,5</v>
          </cell>
          <cell r="N3198">
            <v>65</v>
          </cell>
          <cell r="O3198" t="str">
            <v>155(F)</v>
          </cell>
          <cell r="P3198" t="str">
            <v>180°</v>
          </cell>
          <cell r="Q3198" t="str">
            <v>TF</v>
          </cell>
          <cell r="R3198" t="str">
            <v>V(VE)</v>
          </cell>
          <cell r="S3198" t="str">
            <v>-</v>
          </cell>
          <cell r="T3198" t="str">
            <v>-</v>
          </cell>
          <cell r="U3198" t="str">
            <v>-</v>
          </cell>
          <cell r="V3198" t="str">
            <v>FC</v>
          </cell>
          <cell r="W3198" t="str">
            <v>-</v>
          </cell>
          <cell r="X3198" t="str">
            <v>CLP 220 (-15/+40°C)</v>
          </cell>
          <cell r="Y3198" t="str">
            <v>KH157DRN200L4 /TF/V</v>
          </cell>
          <cell r="Z3198" t="str">
            <v>SEW</v>
          </cell>
          <cell r="AB3198" t="str">
            <v>-</v>
          </cell>
          <cell r="AF3198">
            <v>15</v>
          </cell>
          <cell r="AG3198" t="str">
            <v>DRN200L4</v>
          </cell>
          <cell r="AH3198" t="str">
            <v>KH157-DRN200L4A180-X#</v>
          </cell>
        </row>
        <row r="3199">
          <cell r="A3199" t="str">
            <v>MR003187</v>
          </cell>
          <cell r="B3199" t="str">
            <v>MR</v>
          </cell>
          <cell r="C3199">
            <v>30</v>
          </cell>
          <cell r="D3199">
            <v>15</v>
          </cell>
          <cell r="E3199" t="str">
            <v>KH157</v>
          </cell>
          <cell r="F3199">
            <v>19400</v>
          </cell>
          <cell r="G3199">
            <v>100.22</v>
          </cell>
          <cell r="H3199">
            <v>1.05</v>
          </cell>
          <cell r="I3199" t="str">
            <v>From M1B to M2B - 30°</v>
          </cell>
          <cell r="J3199" t="str">
            <v>IE3</v>
          </cell>
          <cell r="K3199" t="str">
            <v>400/690</v>
          </cell>
          <cell r="L3199">
            <v>50</v>
          </cell>
          <cell r="M3199" t="str">
            <v>56/32,5</v>
          </cell>
          <cell r="N3199">
            <v>65</v>
          </cell>
          <cell r="O3199" t="str">
            <v>155(F)</v>
          </cell>
          <cell r="P3199" t="str">
            <v>0°</v>
          </cell>
          <cell r="Q3199" t="str">
            <v>TF</v>
          </cell>
          <cell r="R3199" t="str">
            <v>V(VE)</v>
          </cell>
          <cell r="S3199" t="str">
            <v>-</v>
          </cell>
          <cell r="T3199" t="str">
            <v>-</v>
          </cell>
          <cell r="U3199" t="str">
            <v>-</v>
          </cell>
          <cell r="V3199" t="str">
            <v>FC</v>
          </cell>
          <cell r="W3199" t="str">
            <v>-</v>
          </cell>
          <cell r="X3199" t="str">
            <v>CLP 220 (-15/+40°C)</v>
          </cell>
          <cell r="Y3199" t="str">
            <v>KH157DRN200L4 /TF/V</v>
          </cell>
          <cell r="Z3199" t="str">
            <v>SEW</v>
          </cell>
          <cell r="AB3199" t="str">
            <v>-</v>
          </cell>
          <cell r="AF3199">
            <v>15</v>
          </cell>
          <cell r="AG3199" t="str">
            <v>DRN200L4</v>
          </cell>
          <cell r="AH3199" t="str">
            <v>KH157-DRN200L4B0-X#</v>
          </cell>
        </row>
        <row r="3200">
          <cell r="A3200" t="str">
            <v>MR003188</v>
          </cell>
          <cell r="B3200" t="str">
            <v>MR</v>
          </cell>
          <cell r="C3200">
            <v>5.5</v>
          </cell>
          <cell r="D3200">
            <v>14</v>
          </cell>
          <cell r="E3200" t="str">
            <v>KH97</v>
          </cell>
          <cell r="F3200">
            <v>3770</v>
          </cell>
          <cell r="G3200">
            <v>105.13</v>
          </cell>
          <cell r="H3200">
            <v>1.1499999999999999</v>
          </cell>
          <cell r="I3200" t="str">
            <v>From M1B to M2B - 30°</v>
          </cell>
          <cell r="J3200" t="str">
            <v>IE3</v>
          </cell>
          <cell r="K3200" t="str">
            <v>230/400</v>
          </cell>
          <cell r="L3200">
            <v>50</v>
          </cell>
          <cell r="M3200" t="str">
            <v>18,2/10,5</v>
          </cell>
          <cell r="N3200">
            <v>65</v>
          </cell>
          <cell r="O3200" t="str">
            <v>155(F)</v>
          </cell>
          <cell r="P3200" t="str">
            <v>0°</v>
          </cell>
          <cell r="Q3200" t="str">
            <v>-</v>
          </cell>
          <cell r="R3200" t="str">
            <v>-</v>
          </cell>
          <cell r="S3200" t="str">
            <v>-</v>
          </cell>
          <cell r="T3200" t="str">
            <v>-</v>
          </cell>
          <cell r="U3200" t="str">
            <v>-</v>
          </cell>
          <cell r="V3200" t="str">
            <v>SS</v>
          </cell>
          <cell r="W3200" t="str">
            <v>-</v>
          </cell>
          <cell r="X3200" t="str">
            <v>CLP 220 (-15/+40°C)</v>
          </cell>
          <cell r="Y3200" t="str">
            <v>KH97DRN132S4</v>
          </cell>
          <cell r="Z3200" t="str">
            <v>SEW</v>
          </cell>
          <cell r="AB3200" t="str">
            <v>-</v>
          </cell>
          <cell r="AF3200">
            <v>14</v>
          </cell>
          <cell r="AG3200" t="str">
            <v>DRN132S4</v>
          </cell>
          <cell r="AH3200" t="str">
            <v>KH97-DRN132S4B0-X</v>
          </cell>
        </row>
        <row r="3201">
          <cell r="A3201" t="str">
            <v>MR003189</v>
          </cell>
          <cell r="B3201" t="str">
            <v>MR</v>
          </cell>
          <cell r="C3201">
            <v>5.5</v>
          </cell>
          <cell r="D3201">
            <v>14</v>
          </cell>
          <cell r="E3201" t="str">
            <v>KH97</v>
          </cell>
          <cell r="F3201">
            <v>3770</v>
          </cell>
          <cell r="G3201">
            <v>105.13</v>
          </cell>
          <cell r="H3201">
            <v>1.1499999999999999</v>
          </cell>
          <cell r="I3201" t="str">
            <v>From M1A to M2A - 30°</v>
          </cell>
          <cell r="J3201" t="str">
            <v>IE3</v>
          </cell>
          <cell r="K3201" t="str">
            <v>230/400</v>
          </cell>
          <cell r="L3201">
            <v>50</v>
          </cell>
          <cell r="M3201" t="str">
            <v>18,2/10,5</v>
          </cell>
          <cell r="N3201">
            <v>65</v>
          </cell>
          <cell r="O3201" t="str">
            <v>155(F)</v>
          </cell>
          <cell r="P3201" t="str">
            <v>180°</v>
          </cell>
          <cell r="Q3201" t="str">
            <v>-</v>
          </cell>
          <cell r="R3201" t="str">
            <v>-</v>
          </cell>
          <cell r="S3201" t="str">
            <v>-</v>
          </cell>
          <cell r="T3201" t="str">
            <v>-</v>
          </cell>
          <cell r="U3201" t="str">
            <v>-</v>
          </cell>
          <cell r="V3201" t="str">
            <v>SS</v>
          </cell>
          <cell r="W3201" t="str">
            <v>-</v>
          </cell>
          <cell r="X3201" t="str">
            <v>CLP 220 (-15/+40°C)</v>
          </cell>
          <cell r="Y3201" t="str">
            <v>KH97DRN132S4</v>
          </cell>
          <cell r="Z3201" t="str">
            <v>SEW</v>
          </cell>
          <cell r="AB3201" t="str">
            <v>-</v>
          </cell>
          <cell r="AF3201">
            <v>14</v>
          </cell>
          <cell r="AG3201" t="str">
            <v>DRN132S4</v>
          </cell>
          <cell r="AH3201" t="str">
            <v>KH97-DRN132S4A180-X</v>
          </cell>
        </row>
        <row r="3202">
          <cell r="A3202" t="str">
            <v>MR003190</v>
          </cell>
          <cell r="B3202" t="str">
            <v>MR</v>
          </cell>
          <cell r="C3202">
            <v>18.5</v>
          </cell>
          <cell r="D3202">
            <v>12</v>
          </cell>
          <cell r="E3202" t="str">
            <v>KH157</v>
          </cell>
          <cell r="F3202">
            <v>14600</v>
          </cell>
          <cell r="G3202">
            <v>122.39</v>
          </cell>
          <cell r="H3202">
            <v>1.35</v>
          </cell>
          <cell r="I3202" t="str">
            <v>From M1A to M2A - 35°</v>
          </cell>
          <cell r="J3202" t="str">
            <v>IE3</v>
          </cell>
          <cell r="K3202" t="str">
            <v>400/690</v>
          </cell>
          <cell r="L3202">
            <v>50</v>
          </cell>
          <cell r="M3202" t="str">
            <v>33,5/19,3</v>
          </cell>
          <cell r="N3202">
            <v>65</v>
          </cell>
          <cell r="O3202" t="str">
            <v>155(F)</v>
          </cell>
          <cell r="P3202" t="str">
            <v>180°</v>
          </cell>
          <cell r="Q3202" t="str">
            <v>-</v>
          </cell>
          <cell r="R3202" t="str">
            <v>-</v>
          </cell>
          <cell r="S3202" t="str">
            <v>-</v>
          </cell>
          <cell r="T3202" t="str">
            <v>-</v>
          </cell>
          <cell r="U3202" t="str">
            <v>-</v>
          </cell>
          <cell r="V3202" t="str">
            <v>SS</v>
          </cell>
          <cell r="W3202" t="str">
            <v>-</v>
          </cell>
          <cell r="X3202" t="str">
            <v>CLP 220 (-15/+40°C)</v>
          </cell>
          <cell r="Y3202" t="str">
            <v>KH157DRN180M4</v>
          </cell>
          <cell r="Z3202" t="str">
            <v>SEW</v>
          </cell>
          <cell r="AB3202" t="str">
            <v>-</v>
          </cell>
          <cell r="AF3202">
            <v>12</v>
          </cell>
          <cell r="AG3202" t="str">
            <v>DRN180M4</v>
          </cell>
          <cell r="AH3202" t="str">
            <v>KH157-DRN180M4A180-X</v>
          </cell>
        </row>
        <row r="3203">
          <cell r="A3203" t="str">
            <v>MR003191</v>
          </cell>
          <cell r="B3203" t="str">
            <v>MR</v>
          </cell>
          <cell r="C3203">
            <v>18.5</v>
          </cell>
          <cell r="D3203">
            <v>12</v>
          </cell>
          <cell r="E3203" t="str">
            <v>KH157</v>
          </cell>
          <cell r="F3203">
            <v>14600</v>
          </cell>
          <cell r="G3203">
            <v>122.39</v>
          </cell>
          <cell r="H3203">
            <v>1.35</v>
          </cell>
          <cell r="I3203" t="str">
            <v>From M1B to M2B - 35°</v>
          </cell>
          <cell r="J3203" t="str">
            <v>IE3</v>
          </cell>
          <cell r="K3203" t="str">
            <v>400/690</v>
          </cell>
          <cell r="L3203">
            <v>50</v>
          </cell>
          <cell r="M3203" t="str">
            <v>33,5/19,3</v>
          </cell>
          <cell r="N3203">
            <v>65</v>
          </cell>
          <cell r="O3203" t="str">
            <v>155(F)</v>
          </cell>
          <cell r="P3203" t="str">
            <v>0°</v>
          </cell>
          <cell r="Q3203" t="str">
            <v>-</v>
          </cell>
          <cell r="R3203" t="str">
            <v>-</v>
          </cell>
          <cell r="S3203" t="str">
            <v>-</v>
          </cell>
          <cell r="T3203" t="str">
            <v>-</v>
          </cell>
          <cell r="U3203" t="str">
            <v>-</v>
          </cell>
          <cell r="V3203" t="str">
            <v>SS</v>
          </cell>
          <cell r="W3203" t="str">
            <v>-</v>
          </cell>
          <cell r="X3203" t="str">
            <v>CLP 220 (-15/+40°C)</v>
          </cell>
          <cell r="Y3203" t="str">
            <v>KH157DRN180M4</v>
          </cell>
          <cell r="Z3203" t="str">
            <v>SEW</v>
          </cell>
          <cell r="AB3203" t="str">
            <v>-</v>
          </cell>
          <cell r="AF3203">
            <v>12</v>
          </cell>
          <cell r="AG3203" t="str">
            <v>DRN180M4</v>
          </cell>
          <cell r="AH3203" t="str">
            <v>KH157-DRN180M4B0-X</v>
          </cell>
        </row>
        <row r="3204">
          <cell r="A3204" t="str">
            <v>MR003192</v>
          </cell>
          <cell r="B3204" t="str">
            <v>MR</v>
          </cell>
          <cell r="C3204">
            <v>9.1999999999999993</v>
          </cell>
          <cell r="D3204">
            <v>15</v>
          </cell>
          <cell r="E3204" t="str">
            <v>KH107</v>
          </cell>
          <cell r="F3204">
            <v>6020</v>
          </cell>
          <cell r="G3204">
            <v>100.75</v>
          </cell>
          <cell r="H3204">
            <v>1.25</v>
          </cell>
          <cell r="I3204" t="str">
            <v>From M1A to M2A - 30°</v>
          </cell>
          <cell r="J3204" t="str">
            <v>IE3</v>
          </cell>
          <cell r="K3204" t="str">
            <v>400/690</v>
          </cell>
          <cell r="L3204">
            <v>50</v>
          </cell>
          <cell r="M3204" t="str">
            <v>19,2/11,1</v>
          </cell>
          <cell r="N3204">
            <v>65</v>
          </cell>
          <cell r="O3204" t="str">
            <v>155(F)</v>
          </cell>
          <cell r="P3204" t="str">
            <v>180°</v>
          </cell>
          <cell r="Q3204" t="str">
            <v>-</v>
          </cell>
          <cell r="R3204" t="str">
            <v>-</v>
          </cell>
          <cell r="S3204" t="str">
            <v>-</v>
          </cell>
          <cell r="T3204" t="str">
            <v>-</v>
          </cell>
          <cell r="U3204" t="str">
            <v>-</v>
          </cell>
          <cell r="V3204" t="str">
            <v>SS</v>
          </cell>
          <cell r="W3204" t="str">
            <v>-</v>
          </cell>
          <cell r="X3204" t="str">
            <v>CLP 220 (-15/+40°C)</v>
          </cell>
          <cell r="Y3204" t="str">
            <v>KH107DRN132L4</v>
          </cell>
          <cell r="Z3204" t="str">
            <v>SEW</v>
          </cell>
          <cell r="AB3204" t="str">
            <v>-</v>
          </cell>
          <cell r="AF3204">
            <v>15</v>
          </cell>
          <cell r="AG3204" t="str">
            <v>DRN132L4</v>
          </cell>
          <cell r="AH3204" t="str">
            <v>KH107-DRN132L4A180-X</v>
          </cell>
        </row>
        <row r="3205">
          <cell r="A3205" t="str">
            <v>MR003193</v>
          </cell>
          <cell r="B3205" t="str">
            <v>MR</v>
          </cell>
          <cell r="C3205">
            <v>9.1999999999999993</v>
          </cell>
          <cell r="D3205">
            <v>15</v>
          </cell>
          <cell r="E3205" t="str">
            <v>KH107</v>
          </cell>
          <cell r="F3205">
            <v>6020</v>
          </cell>
          <cell r="G3205">
            <v>100.75</v>
          </cell>
          <cell r="H3205">
            <v>1.25</v>
          </cell>
          <cell r="I3205" t="str">
            <v>From M1B to M2B - 40°</v>
          </cell>
          <cell r="J3205" t="str">
            <v>IE3</v>
          </cell>
          <cell r="K3205" t="str">
            <v>400/690</v>
          </cell>
          <cell r="L3205">
            <v>50</v>
          </cell>
          <cell r="M3205" t="str">
            <v>19,2/11,1</v>
          </cell>
          <cell r="N3205">
            <v>65</v>
          </cell>
          <cell r="O3205" t="str">
            <v>155(F)</v>
          </cell>
          <cell r="P3205" t="str">
            <v>0°</v>
          </cell>
          <cell r="Q3205" t="str">
            <v>-</v>
          </cell>
          <cell r="R3205" t="str">
            <v>-</v>
          </cell>
          <cell r="S3205" t="str">
            <v>-</v>
          </cell>
          <cell r="T3205" t="str">
            <v>-</v>
          </cell>
          <cell r="U3205" t="str">
            <v>-</v>
          </cell>
          <cell r="V3205" t="str">
            <v>SS</v>
          </cell>
          <cell r="W3205" t="str">
            <v>-</v>
          </cell>
          <cell r="X3205" t="str">
            <v>CLP 220 (-15/+40°C)</v>
          </cell>
          <cell r="Y3205" t="str">
            <v>KH107DRN132L4</v>
          </cell>
          <cell r="Z3205" t="str">
            <v>SEW</v>
          </cell>
          <cell r="AB3205" t="str">
            <v>-</v>
          </cell>
          <cell r="AF3205">
            <v>15</v>
          </cell>
          <cell r="AG3205" t="str">
            <v>DRN132L4</v>
          </cell>
          <cell r="AH3205" t="str">
            <v>KH107-DRN132L4B0-X</v>
          </cell>
        </row>
        <row r="3206">
          <cell r="A3206" t="str">
            <v>MR003194</v>
          </cell>
          <cell r="B3206" t="str">
            <v>MR</v>
          </cell>
          <cell r="C3206">
            <v>9.1999999999999993</v>
          </cell>
          <cell r="D3206">
            <v>15</v>
          </cell>
          <cell r="E3206" t="str">
            <v>KH107</v>
          </cell>
          <cell r="F3206">
            <v>6020</v>
          </cell>
          <cell r="G3206">
            <v>100.75</v>
          </cell>
          <cell r="H3206">
            <v>1.25</v>
          </cell>
          <cell r="I3206" t="str">
            <v>From M1A to M2A - 40°</v>
          </cell>
          <cell r="J3206" t="str">
            <v>IE3</v>
          </cell>
          <cell r="K3206" t="str">
            <v>400/690</v>
          </cell>
          <cell r="L3206">
            <v>50</v>
          </cell>
          <cell r="M3206" t="str">
            <v>19,2/11,1</v>
          </cell>
          <cell r="N3206">
            <v>65</v>
          </cell>
          <cell r="O3206" t="str">
            <v>155(F)</v>
          </cell>
          <cell r="P3206" t="str">
            <v>180°</v>
          </cell>
          <cell r="Q3206" t="str">
            <v>-</v>
          </cell>
          <cell r="R3206" t="str">
            <v>-</v>
          </cell>
          <cell r="S3206" t="str">
            <v>-</v>
          </cell>
          <cell r="T3206" t="str">
            <v>-</v>
          </cell>
          <cell r="U3206" t="str">
            <v>-</v>
          </cell>
          <cell r="V3206" t="str">
            <v>SS</v>
          </cell>
          <cell r="W3206" t="str">
            <v>-</v>
          </cell>
          <cell r="X3206" t="str">
            <v>CLP 220 (-15/+40°C)</v>
          </cell>
          <cell r="Y3206" t="str">
            <v>KH107DRN132L4</v>
          </cell>
          <cell r="Z3206" t="str">
            <v>SEW</v>
          </cell>
          <cell r="AB3206" t="str">
            <v>-</v>
          </cell>
          <cell r="AF3206">
            <v>15</v>
          </cell>
          <cell r="AG3206" t="str">
            <v>DRN132L4</v>
          </cell>
          <cell r="AH3206" t="str">
            <v>KH107-DRN132L4A180-X</v>
          </cell>
        </row>
        <row r="3207">
          <cell r="A3207" t="str">
            <v>MR003195</v>
          </cell>
          <cell r="B3207" t="str">
            <v>MR</v>
          </cell>
          <cell r="C3207">
            <v>11</v>
          </cell>
          <cell r="D3207">
            <v>16</v>
          </cell>
          <cell r="E3207" t="str">
            <v>KH107</v>
          </cell>
          <cell r="F3207">
            <v>6480</v>
          </cell>
          <cell r="G3207">
            <v>90.96</v>
          </cell>
          <cell r="H3207">
            <v>1.25</v>
          </cell>
          <cell r="I3207" t="str">
            <v>From M1A to M2A - 40°</v>
          </cell>
          <cell r="J3207" t="str">
            <v>IE3</v>
          </cell>
          <cell r="K3207" t="str">
            <v>400/690</v>
          </cell>
          <cell r="L3207">
            <v>50</v>
          </cell>
          <cell r="M3207" t="str">
            <v>21/12,2</v>
          </cell>
          <cell r="N3207">
            <v>65</v>
          </cell>
          <cell r="O3207" t="str">
            <v>155(F)</v>
          </cell>
          <cell r="P3207" t="str">
            <v>180°</v>
          </cell>
          <cell r="Q3207" t="str">
            <v>TF</v>
          </cell>
          <cell r="R3207" t="str">
            <v>V(VE)</v>
          </cell>
          <cell r="S3207" t="str">
            <v>-</v>
          </cell>
          <cell r="T3207" t="str">
            <v>-</v>
          </cell>
          <cell r="U3207" t="str">
            <v>-</v>
          </cell>
          <cell r="V3207" t="str">
            <v>FC</v>
          </cell>
          <cell r="W3207" t="str">
            <v>-</v>
          </cell>
          <cell r="X3207" t="str">
            <v>CLP 220 (-15/+40°C)</v>
          </cell>
          <cell r="Y3207" t="str">
            <v>KH107DRN160M4 /TF/V</v>
          </cell>
          <cell r="Z3207" t="str">
            <v>SEW</v>
          </cell>
          <cell r="AB3207" t="str">
            <v>-</v>
          </cell>
          <cell r="AF3207">
            <v>16</v>
          </cell>
          <cell r="AG3207" t="str">
            <v>DRN160M4</v>
          </cell>
          <cell r="AH3207" t="str">
            <v>KH107-DRN160M4A180-X#</v>
          </cell>
        </row>
        <row r="3208">
          <cell r="A3208" t="str">
            <v>MR003196</v>
          </cell>
          <cell r="B3208" t="str">
            <v>MR</v>
          </cell>
          <cell r="C3208">
            <v>11</v>
          </cell>
          <cell r="D3208">
            <v>16</v>
          </cell>
          <cell r="E3208" t="str">
            <v>KH107</v>
          </cell>
          <cell r="F3208">
            <v>6480</v>
          </cell>
          <cell r="G3208">
            <v>90.96</v>
          </cell>
          <cell r="H3208">
            <v>1.25</v>
          </cell>
          <cell r="I3208" t="str">
            <v>From M1B to M2B - 40°</v>
          </cell>
          <cell r="J3208" t="str">
            <v>IE3</v>
          </cell>
          <cell r="K3208" t="str">
            <v>400/690</v>
          </cell>
          <cell r="L3208">
            <v>50</v>
          </cell>
          <cell r="M3208" t="str">
            <v>21/12,2</v>
          </cell>
          <cell r="N3208">
            <v>65</v>
          </cell>
          <cell r="O3208" t="str">
            <v>155(F)</v>
          </cell>
          <cell r="P3208" t="str">
            <v>0°</v>
          </cell>
          <cell r="Q3208" t="str">
            <v>TF</v>
          </cell>
          <cell r="R3208" t="str">
            <v>V(VE)</v>
          </cell>
          <cell r="S3208" t="str">
            <v>-</v>
          </cell>
          <cell r="T3208" t="str">
            <v>-</v>
          </cell>
          <cell r="U3208" t="str">
            <v>-</v>
          </cell>
          <cell r="V3208" t="str">
            <v>FC</v>
          </cell>
          <cell r="W3208" t="str">
            <v>-</v>
          </cell>
          <cell r="X3208" t="str">
            <v>CLP 220 (-15/+40°C)</v>
          </cell>
          <cell r="Y3208" t="str">
            <v>KH107DRN160M4 /TF/V</v>
          </cell>
          <cell r="Z3208" t="str">
            <v>SEW</v>
          </cell>
          <cell r="AB3208" t="str">
            <v>-</v>
          </cell>
          <cell r="AF3208">
            <v>16</v>
          </cell>
          <cell r="AG3208" t="str">
            <v>DRN160M4</v>
          </cell>
          <cell r="AH3208" t="str">
            <v>KH107-DRN160M4B0-X#</v>
          </cell>
        </row>
        <row r="3209">
          <cell r="A3209" t="str">
            <v>MR003197</v>
          </cell>
          <cell r="B3209" t="str">
            <v>MR</v>
          </cell>
          <cell r="C3209">
            <v>11</v>
          </cell>
          <cell r="D3209">
            <v>109</v>
          </cell>
          <cell r="E3209" t="str">
            <v>KH77</v>
          </cell>
          <cell r="F3209">
            <v>960</v>
          </cell>
          <cell r="G3209">
            <v>13.52</v>
          </cell>
          <cell r="H3209">
            <v>1.35</v>
          </cell>
          <cell r="I3209" t="str">
            <v>M4A</v>
          </cell>
          <cell r="J3209" t="str">
            <v>IE3</v>
          </cell>
          <cell r="K3209" t="str">
            <v>400/690</v>
          </cell>
          <cell r="L3209">
            <v>50</v>
          </cell>
          <cell r="M3209" t="str">
            <v>21,5/12,4</v>
          </cell>
          <cell r="N3209">
            <v>65</v>
          </cell>
          <cell r="O3209" t="str">
            <v>155(F)</v>
          </cell>
          <cell r="P3209" t="str">
            <v>270°</v>
          </cell>
          <cell r="Q3209" t="str">
            <v>-</v>
          </cell>
          <cell r="R3209" t="str">
            <v>-</v>
          </cell>
          <cell r="S3209" t="str">
            <v>-</v>
          </cell>
          <cell r="T3209" t="str">
            <v>-</v>
          </cell>
          <cell r="U3209" t="str">
            <v>T</v>
          </cell>
          <cell r="V3209" t="str">
            <v>SS</v>
          </cell>
          <cell r="W3209" t="str">
            <v>-</v>
          </cell>
          <cell r="X3209" t="str">
            <v>CLP HC 220 (-25/+60°C)</v>
          </cell>
          <cell r="Y3209" t="str">
            <v>KH77/T/II2GDEDRN160M4/3D/AL/C</v>
          </cell>
          <cell r="Z3209" t="str">
            <v>SEW</v>
          </cell>
          <cell r="AB3209" t="str">
            <v>ATEX22</v>
          </cell>
          <cell r="AF3209">
            <v>109</v>
          </cell>
          <cell r="AG3209" t="str">
            <v>EDRN160M4</v>
          </cell>
          <cell r="AH3209" t="str">
            <v>KH77T-EDRN160M4A270-X</v>
          </cell>
        </row>
        <row r="3210">
          <cell r="A3210" t="str">
            <v>MR003198</v>
          </cell>
          <cell r="B3210" t="str">
            <v>MR</v>
          </cell>
          <cell r="C3210">
            <v>0.75</v>
          </cell>
          <cell r="D3210">
            <v>110</v>
          </cell>
          <cell r="E3210" t="str">
            <v>KA37</v>
          </cell>
          <cell r="F3210">
            <v>65</v>
          </cell>
          <cell r="G3210">
            <v>13.08</v>
          </cell>
          <cell r="H3210">
            <v>2.5</v>
          </cell>
          <cell r="I3210" t="str">
            <v>M3A</v>
          </cell>
          <cell r="J3210" t="str">
            <v>IE3</v>
          </cell>
          <cell r="K3210" t="str">
            <v>230/400</v>
          </cell>
          <cell r="L3210">
            <v>50</v>
          </cell>
          <cell r="M3210" t="str">
            <v>3,1/1,79</v>
          </cell>
          <cell r="N3210">
            <v>65</v>
          </cell>
          <cell r="O3210" t="str">
            <v>155(F)</v>
          </cell>
          <cell r="P3210" t="str">
            <v>180°</v>
          </cell>
          <cell r="Q3210" t="str">
            <v>-</v>
          </cell>
          <cell r="R3210" t="str">
            <v>-</v>
          </cell>
          <cell r="S3210" t="str">
            <v>-</v>
          </cell>
          <cell r="T3210" t="str">
            <v>-</v>
          </cell>
          <cell r="U3210" t="str">
            <v>T</v>
          </cell>
          <cell r="V3210" t="str">
            <v>D</v>
          </cell>
          <cell r="W3210" t="str">
            <v>-</v>
          </cell>
          <cell r="X3210" t="str">
            <v>CLP HC 220 (-25/+60°C)</v>
          </cell>
          <cell r="Y3210" t="str">
            <v>KA37/T/II2GDEDRN80M4/3D/KCC/AL</v>
          </cell>
          <cell r="Z3210" t="str">
            <v>SEW</v>
          </cell>
          <cell r="AB3210" t="str">
            <v>ATEX22</v>
          </cell>
          <cell r="AF3210">
            <v>110</v>
          </cell>
          <cell r="AG3210" t="str">
            <v>EDRN80M4</v>
          </cell>
          <cell r="AH3210" t="str">
            <v>KA37T-EDRN80M4A180-X</v>
          </cell>
        </row>
        <row r="3211">
          <cell r="A3211" t="str">
            <v>MR003199</v>
          </cell>
          <cell r="B3211" t="str">
            <v>MR</v>
          </cell>
          <cell r="C3211">
            <v>0.37</v>
          </cell>
          <cell r="D3211">
            <v>4.5999999999999996</v>
          </cell>
          <cell r="E3211" t="str">
            <v>FA67/R37</v>
          </cell>
          <cell r="F3211">
            <v>690</v>
          </cell>
          <cell r="G3211">
            <v>305</v>
          </cell>
          <cell r="H3211">
            <v>1.2</v>
          </cell>
          <cell r="I3211" t="str">
            <v>M5</v>
          </cell>
          <cell r="J3211" t="str">
            <v>IE3</v>
          </cell>
          <cell r="K3211" t="str">
            <v>230/400</v>
          </cell>
          <cell r="L3211">
            <v>50</v>
          </cell>
          <cell r="M3211" t="str">
            <v>1,98/1,14</v>
          </cell>
          <cell r="N3211">
            <v>65</v>
          </cell>
          <cell r="O3211" t="str">
            <v>155(F)</v>
          </cell>
          <cell r="P3211" t="str">
            <v>180°</v>
          </cell>
          <cell r="Q3211" t="str">
            <v>-</v>
          </cell>
          <cell r="R3211" t="str">
            <v>-</v>
          </cell>
          <cell r="S3211" t="str">
            <v>-</v>
          </cell>
          <cell r="T3211" t="str">
            <v>-</v>
          </cell>
          <cell r="U3211" t="str">
            <v>G</v>
          </cell>
          <cell r="V3211" t="str">
            <v>D</v>
          </cell>
          <cell r="W3211" t="str">
            <v>-</v>
          </cell>
          <cell r="X3211" t="str">
            <v>CLP HC 220 (-25/+60°C)</v>
          </cell>
          <cell r="Y3211" t="str">
            <v>FA67/GR37/II2GDEDRN71M4/3D/KCC/AL</v>
          </cell>
          <cell r="Z3211" t="str">
            <v>SEW</v>
          </cell>
          <cell r="AB3211" t="str">
            <v>ATEX22</v>
          </cell>
          <cell r="AF3211">
            <v>4.5999999999999996</v>
          </cell>
          <cell r="AG3211" t="str">
            <v>EDRN71M4</v>
          </cell>
          <cell r="AH3211" t="str">
            <v>FA67/R37G-EDRN71M4180-X</v>
          </cell>
        </row>
        <row r="3212">
          <cell r="A3212" t="str">
            <v>MR003200</v>
          </cell>
          <cell r="B3212" t="str">
            <v>MR</v>
          </cell>
          <cell r="C3212">
            <v>9.1999999999999993</v>
          </cell>
          <cell r="D3212">
            <v>77</v>
          </cell>
          <cell r="E3212" t="str">
            <v>R87</v>
          </cell>
          <cell r="F3212">
            <v>1140</v>
          </cell>
          <cell r="G3212">
            <v>19.100000000000001</v>
          </cell>
          <cell r="H3212">
            <v>1.25</v>
          </cell>
          <cell r="I3212" t="str">
            <v>M1</v>
          </cell>
          <cell r="J3212" t="str">
            <v>IE3</v>
          </cell>
          <cell r="K3212" t="str">
            <v>240/415</v>
          </cell>
          <cell r="L3212">
            <v>50</v>
          </cell>
          <cell r="M3212" t="str">
            <v>31/18</v>
          </cell>
          <cell r="N3212">
            <v>65</v>
          </cell>
          <cell r="O3212" t="str">
            <v>155(F)</v>
          </cell>
          <cell r="P3212" t="str">
            <v>270°</v>
          </cell>
          <cell r="Q3212" t="str">
            <v>-</v>
          </cell>
          <cell r="R3212" t="str">
            <v>-</v>
          </cell>
          <cell r="S3212" t="str">
            <v>-</v>
          </cell>
          <cell r="T3212" t="str">
            <v>-</v>
          </cell>
          <cell r="U3212" t="str">
            <v>-</v>
          </cell>
          <cell r="V3212" t="str">
            <v>D</v>
          </cell>
          <cell r="W3212" t="str">
            <v>-</v>
          </cell>
          <cell r="X3212" t="str">
            <v>CLP HC 220 (-25/+60°C)</v>
          </cell>
          <cell r="Y3212" t="str">
            <v>R87DRN132L4</v>
          </cell>
          <cell r="Z3212" t="str">
            <v>SEW</v>
          </cell>
          <cell r="AB3212" t="str">
            <v>-</v>
          </cell>
          <cell r="AD3212" t="str">
            <v>BIS</v>
          </cell>
          <cell r="AF3212">
            <v>77</v>
          </cell>
          <cell r="AG3212" t="str">
            <v>DRN132L4</v>
          </cell>
          <cell r="AH3212" t="str">
            <v>R87-DRN132L4270-X</v>
          </cell>
        </row>
        <row r="3213">
          <cell r="A3213" t="str">
            <v>MR003201</v>
          </cell>
          <cell r="B3213" t="str">
            <v>MR</v>
          </cell>
          <cell r="C3213">
            <v>18.5</v>
          </cell>
          <cell r="D3213">
            <v>91</v>
          </cell>
          <cell r="E3213" t="str">
            <v>R97</v>
          </cell>
          <cell r="F3213">
            <v>1930</v>
          </cell>
          <cell r="G3213">
            <v>16.170000000000002</v>
          </cell>
          <cell r="H3213">
            <v>1.25</v>
          </cell>
          <cell r="I3213" t="str">
            <v>M4</v>
          </cell>
          <cell r="J3213" t="str">
            <v>IE3</v>
          </cell>
          <cell r="K3213" t="str">
            <v>240/415</v>
          </cell>
          <cell r="L3213">
            <v>50</v>
          </cell>
          <cell r="M3213" t="str">
            <v>55/32</v>
          </cell>
          <cell r="N3213">
            <v>65</v>
          </cell>
          <cell r="O3213" t="str">
            <v>155(F)</v>
          </cell>
          <cell r="P3213" t="str">
            <v>270°</v>
          </cell>
          <cell r="Q3213" t="str">
            <v>-</v>
          </cell>
          <cell r="R3213" t="str">
            <v>-</v>
          </cell>
          <cell r="S3213" t="str">
            <v>-</v>
          </cell>
          <cell r="T3213" t="str">
            <v>-</v>
          </cell>
          <cell r="U3213" t="str">
            <v>-</v>
          </cell>
          <cell r="V3213" t="str">
            <v>D</v>
          </cell>
          <cell r="W3213" t="str">
            <v>-</v>
          </cell>
          <cell r="X3213" t="str">
            <v>CLP HC 220 (-25/+60°C)</v>
          </cell>
          <cell r="Y3213" t="str">
            <v>R97DRN180M4</v>
          </cell>
          <cell r="Z3213" t="str">
            <v>SEW</v>
          </cell>
          <cell r="AB3213" t="str">
            <v>-</v>
          </cell>
          <cell r="AD3213" t="str">
            <v>BIS</v>
          </cell>
          <cell r="AF3213">
            <v>91</v>
          </cell>
          <cell r="AG3213" t="str">
            <v>DRN180M4</v>
          </cell>
          <cell r="AH3213" t="str">
            <v>R97-DRN180M4270-X</v>
          </cell>
        </row>
        <row r="3214">
          <cell r="A3214" t="str">
            <v>MR003202</v>
          </cell>
          <cell r="B3214" t="str">
            <v>MR</v>
          </cell>
          <cell r="C3214">
            <v>5.5</v>
          </cell>
          <cell r="D3214">
            <v>63</v>
          </cell>
          <cell r="E3214" t="str">
            <v>R87</v>
          </cell>
          <cell r="F3214">
            <v>840</v>
          </cell>
          <cell r="G3214">
            <v>23.4</v>
          </cell>
          <cell r="H3214">
            <v>1.85</v>
          </cell>
          <cell r="I3214" t="str">
            <v>From M1 to M2 - 15°</v>
          </cell>
          <cell r="J3214" t="str">
            <v>IE3</v>
          </cell>
          <cell r="K3214" t="str">
            <v>240/415</v>
          </cell>
          <cell r="L3214">
            <v>50</v>
          </cell>
          <cell r="M3214" t="str">
            <v>17,4/10,1</v>
          </cell>
          <cell r="N3214">
            <v>65</v>
          </cell>
          <cell r="O3214" t="str">
            <v>155(F)</v>
          </cell>
          <cell r="P3214" t="str">
            <v>270°</v>
          </cell>
          <cell r="Q3214" t="str">
            <v>-</v>
          </cell>
          <cell r="R3214" t="str">
            <v>-</v>
          </cell>
          <cell r="S3214" t="str">
            <v>-</v>
          </cell>
          <cell r="T3214" t="str">
            <v>-</v>
          </cell>
          <cell r="U3214" t="str">
            <v>-</v>
          </cell>
          <cell r="V3214" t="str">
            <v>D</v>
          </cell>
          <cell r="W3214" t="str">
            <v>-</v>
          </cell>
          <cell r="X3214" t="str">
            <v>CLP HC 220 (-25/+60°C)</v>
          </cell>
          <cell r="Y3214" t="str">
            <v>R87DRN132S4</v>
          </cell>
          <cell r="Z3214" t="str">
            <v>SEW</v>
          </cell>
          <cell r="AB3214" t="str">
            <v>-</v>
          </cell>
          <cell r="AD3214" t="str">
            <v>BIS</v>
          </cell>
          <cell r="AF3214">
            <v>63</v>
          </cell>
          <cell r="AG3214" t="str">
            <v>DRN132S4</v>
          </cell>
          <cell r="AH3214" t="str">
            <v>R87-DRN132S4270-X</v>
          </cell>
        </row>
        <row r="3215">
          <cell r="A3215" t="str">
            <v>MR003203</v>
          </cell>
          <cell r="B3215" t="str">
            <v>MR</v>
          </cell>
          <cell r="C3215">
            <v>11</v>
          </cell>
          <cell r="D3215">
            <v>15</v>
          </cell>
          <cell r="E3215" t="str">
            <v>KH107</v>
          </cell>
          <cell r="F3215">
            <v>7180</v>
          </cell>
          <cell r="G3215">
            <v>100.75</v>
          </cell>
          <cell r="H3215">
            <v>1.1000000000000001</v>
          </cell>
          <cell r="I3215" t="str">
            <v>From M1A to M2A - 30°</v>
          </cell>
          <cell r="J3215" t="str">
            <v>IE3</v>
          </cell>
          <cell r="K3215" t="str">
            <v>240/415</v>
          </cell>
          <cell r="L3215">
            <v>50</v>
          </cell>
          <cell r="M3215" t="str">
            <v>35/20</v>
          </cell>
          <cell r="N3215">
            <v>65</v>
          </cell>
          <cell r="O3215" t="str">
            <v>155(F)</v>
          </cell>
          <cell r="P3215" t="str">
            <v>270°</v>
          </cell>
          <cell r="Q3215" t="str">
            <v>-</v>
          </cell>
          <cell r="R3215" t="str">
            <v>-</v>
          </cell>
          <cell r="S3215" t="str">
            <v>-</v>
          </cell>
          <cell r="T3215" t="str">
            <v>-</v>
          </cell>
          <cell r="U3215" t="str">
            <v>-</v>
          </cell>
          <cell r="V3215" t="str">
            <v>SS</v>
          </cell>
          <cell r="W3215" t="str">
            <v>-</v>
          </cell>
          <cell r="X3215" t="str">
            <v>CLP HC 220 (-25/+60°C)</v>
          </cell>
          <cell r="Y3215" t="str">
            <v>KH107DRN160M4</v>
          </cell>
          <cell r="Z3215" t="str">
            <v>SEW</v>
          </cell>
          <cell r="AB3215" t="str">
            <v>-</v>
          </cell>
          <cell r="AD3215" t="str">
            <v>BIS</v>
          </cell>
          <cell r="AF3215">
            <v>15</v>
          </cell>
          <cell r="AG3215" t="str">
            <v>DRN160M4</v>
          </cell>
          <cell r="AH3215" t="str">
            <v>KH107-DRN160M4A270-X</v>
          </cell>
        </row>
        <row r="3216">
          <cell r="A3216" t="str">
            <v>MR003204</v>
          </cell>
          <cell r="B3216" t="str">
            <v>MR</v>
          </cell>
          <cell r="C3216">
            <v>7.5</v>
          </cell>
          <cell r="D3216">
            <v>15</v>
          </cell>
          <cell r="E3216" t="str">
            <v>KH107</v>
          </cell>
          <cell r="F3216">
            <v>4910</v>
          </cell>
          <cell r="G3216">
            <v>100.75</v>
          </cell>
          <cell r="H3216">
            <v>1.65</v>
          </cell>
          <cell r="I3216" t="str">
            <v>From M1A to M2A - 30°</v>
          </cell>
          <cell r="J3216" t="str">
            <v>IE3</v>
          </cell>
          <cell r="K3216" t="str">
            <v>240/415</v>
          </cell>
          <cell r="L3216">
            <v>50</v>
          </cell>
          <cell r="M3216" t="str">
            <v>25,5/14,7</v>
          </cell>
          <cell r="N3216">
            <v>65</v>
          </cell>
          <cell r="O3216" t="str">
            <v>155(F)</v>
          </cell>
          <cell r="P3216" t="str">
            <v>270°</v>
          </cell>
          <cell r="Q3216" t="str">
            <v>-</v>
          </cell>
          <cell r="R3216" t="str">
            <v>-</v>
          </cell>
          <cell r="S3216" t="str">
            <v>-</v>
          </cell>
          <cell r="T3216" t="str">
            <v>-</v>
          </cell>
          <cell r="U3216" t="str">
            <v>-</v>
          </cell>
          <cell r="V3216" t="str">
            <v>SS</v>
          </cell>
          <cell r="W3216" t="str">
            <v>-</v>
          </cell>
          <cell r="X3216" t="str">
            <v>CLP HC 220 (-25/+60°C)</v>
          </cell>
          <cell r="Y3216" t="str">
            <v>KH107DRN132M4</v>
          </cell>
          <cell r="Z3216" t="str">
            <v>SEW</v>
          </cell>
          <cell r="AB3216" t="str">
            <v>-</v>
          </cell>
          <cell r="AD3216" t="str">
            <v>BIS</v>
          </cell>
          <cell r="AF3216">
            <v>15</v>
          </cell>
          <cell r="AG3216" t="str">
            <v>DRN132M4</v>
          </cell>
          <cell r="AH3216" t="str">
            <v>KH107-DRN132M4A270-X</v>
          </cell>
        </row>
        <row r="3217">
          <cell r="A3217" t="str">
            <v>MR003205</v>
          </cell>
          <cell r="B3217" t="str">
            <v>MR</v>
          </cell>
          <cell r="C3217">
            <v>7.5</v>
          </cell>
          <cell r="D3217">
            <v>15</v>
          </cell>
          <cell r="E3217" t="str">
            <v>KH107</v>
          </cell>
          <cell r="F3217">
            <v>4910</v>
          </cell>
          <cell r="G3217">
            <v>100.75</v>
          </cell>
          <cell r="H3217">
            <v>1.65</v>
          </cell>
          <cell r="I3217" t="str">
            <v>From M1B to M2B - 30°</v>
          </cell>
          <cell r="J3217" t="str">
            <v>IE3</v>
          </cell>
          <cell r="K3217" t="str">
            <v>240/415</v>
          </cell>
          <cell r="L3217">
            <v>50</v>
          </cell>
          <cell r="M3217" t="str">
            <v>25,5/14,7</v>
          </cell>
          <cell r="N3217">
            <v>65</v>
          </cell>
          <cell r="O3217" t="str">
            <v>155(F)</v>
          </cell>
          <cell r="P3217" t="str">
            <v>270°</v>
          </cell>
          <cell r="Q3217" t="str">
            <v>-</v>
          </cell>
          <cell r="R3217" t="str">
            <v>-</v>
          </cell>
          <cell r="S3217" t="str">
            <v>-</v>
          </cell>
          <cell r="T3217" t="str">
            <v>-</v>
          </cell>
          <cell r="U3217" t="str">
            <v>-</v>
          </cell>
          <cell r="V3217" t="str">
            <v>SS</v>
          </cell>
          <cell r="W3217" t="str">
            <v>-</v>
          </cell>
          <cell r="X3217" t="str">
            <v>CLP HC 220 (-25/+60°C)</v>
          </cell>
          <cell r="Y3217" t="str">
            <v>KH107DRN132M4</v>
          </cell>
          <cell r="Z3217" t="str">
            <v>SEW</v>
          </cell>
          <cell r="AB3217" t="str">
            <v>-</v>
          </cell>
          <cell r="AD3217" t="str">
            <v>BIS</v>
          </cell>
          <cell r="AF3217">
            <v>15</v>
          </cell>
          <cell r="AG3217" t="str">
            <v>DRN132M4</v>
          </cell>
          <cell r="AH3217" t="str">
            <v>KH107-DRN132M4B270-X</v>
          </cell>
        </row>
        <row r="3218">
          <cell r="A3218" t="str">
            <v>MR003206</v>
          </cell>
          <cell r="B3218" t="str">
            <v>MR</v>
          </cell>
          <cell r="C3218">
            <v>3</v>
          </cell>
          <cell r="D3218">
            <v>24</v>
          </cell>
          <cell r="E3218" t="str">
            <v>R87</v>
          </cell>
          <cell r="F3218">
            <v>1180</v>
          </cell>
          <cell r="G3218">
            <v>60.35</v>
          </cell>
          <cell r="H3218">
            <v>1.35</v>
          </cell>
          <cell r="I3218" t="str">
            <v>M1</v>
          </cell>
          <cell r="J3218" t="str">
            <v>IE3</v>
          </cell>
          <cell r="K3218" t="str">
            <v>240/415</v>
          </cell>
          <cell r="L3218">
            <v>50</v>
          </cell>
          <cell r="M3218" t="str">
            <v>10,7/6,2</v>
          </cell>
          <cell r="N3218">
            <v>65</v>
          </cell>
          <cell r="O3218" t="str">
            <v>155(F)</v>
          </cell>
          <cell r="P3218" t="str">
            <v>270°</v>
          </cell>
          <cell r="Q3218" t="str">
            <v>TF</v>
          </cell>
          <cell r="R3218" t="str">
            <v>V(VE)</v>
          </cell>
          <cell r="S3218" t="str">
            <v>-</v>
          </cell>
          <cell r="T3218" t="str">
            <v>-</v>
          </cell>
          <cell r="U3218" t="str">
            <v>-</v>
          </cell>
          <cell r="V3218" t="str">
            <v>FC</v>
          </cell>
          <cell r="W3218" t="str">
            <v>-</v>
          </cell>
          <cell r="X3218" t="str">
            <v>CLP HC 220 (-25/+60°C)</v>
          </cell>
          <cell r="Y3218" t="str">
            <v>R87DRN100L4 /TF/V</v>
          </cell>
          <cell r="Z3218" t="str">
            <v>SEW</v>
          </cell>
          <cell r="AB3218" t="str">
            <v>-</v>
          </cell>
          <cell r="AD3218" t="str">
            <v>BIS</v>
          </cell>
          <cell r="AF3218">
            <v>24</v>
          </cell>
          <cell r="AG3218" t="str">
            <v>DRN100L4</v>
          </cell>
          <cell r="AH3218" t="str">
            <v>R87-DRN100L4270-X#</v>
          </cell>
        </row>
        <row r="3219">
          <cell r="A3219" t="str">
            <v>MR003207</v>
          </cell>
          <cell r="B3219" t="str">
            <v>MR</v>
          </cell>
          <cell r="C3219">
            <v>5.5</v>
          </cell>
          <cell r="D3219">
            <v>63</v>
          </cell>
          <cell r="E3219" t="str">
            <v>R87</v>
          </cell>
          <cell r="F3219">
            <v>840</v>
          </cell>
          <cell r="G3219">
            <v>23.4</v>
          </cell>
          <cell r="H3219">
            <v>1.85</v>
          </cell>
          <cell r="I3219" t="str">
            <v>M1</v>
          </cell>
          <cell r="J3219" t="str">
            <v>IE3</v>
          </cell>
          <cell r="K3219" t="str">
            <v>240/415</v>
          </cell>
          <cell r="L3219">
            <v>50</v>
          </cell>
          <cell r="M3219" t="str">
            <v>17,4/10,1</v>
          </cell>
          <cell r="N3219">
            <v>65</v>
          </cell>
          <cell r="O3219" t="str">
            <v>155(F)</v>
          </cell>
          <cell r="P3219" t="str">
            <v>270°</v>
          </cell>
          <cell r="Q3219" t="str">
            <v>-</v>
          </cell>
          <cell r="R3219" t="str">
            <v>-</v>
          </cell>
          <cell r="S3219" t="str">
            <v>-</v>
          </cell>
          <cell r="T3219" t="str">
            <v>-</v>
          </cell>
          <cell r="U3219" t="str">
            <v>-</v>
          </cell>
          <cell r="V3219" t="str">
            <v>D+R</v>
          </cell>
          <cell r="W3219" t="str">
            <v>-</v>
          </cell>
          <cell r="X3219" t="str">
            <v>CLP HC 220 (-25/+60°C)</v>
          </cell>
          <cell r="Y3219" t="str">
            <v>R87DRN132S4</v>
          </cell>
          <cell r="Z3219" t="str">
            <v>SEW</v>
          </cell>
          <cell r="AB3219" t="str">
            <v>-</v>
          </cell>
          <cell r="AD3219" t="str">
            <v>BIS</v>
          </cell>
          <cell r="AF3219">
            <v>63</v>
          </cell>
          <cell r="AG3219" t="str">
            <v>DRN132S4</v>
          </cell>
          <cell r="AH3219" t="str">
            <v>R87-DRN132S4270-X</v>
          </cell>
        </row>
        <row r="3220">
          <cell r="A3220" t="str">
            <v>MR003208</v>
          </cell>
          <cell r="B3220" t="str">
            <v>MR</v>
          </cell>
          <cell r="C3220">
            <v>4</v>
          </cell>
          <cell r="D3220">
            <v>14</v>
          </cell>
          <cell r="E3220" t="str">
            <v>KH97</v>
          </cell>
          <cell r="F3220">
            <v>2740</v>
          </cell>
          <cell r="G3220">
            <v>105.13</v>
          </cell>
          <cell r="H3220">
            <v>1.55</v>
          </cell>
          <cell r="I3220" t="str">
            <v>From M1A to M2A - 30°</v>
          </cell>
          <cell r="J3220" t="str">
            <v>IE3</v>
          </cell>
          <cell r="K3220" t="str">
            <v>240/415</v>
          </cell>
          <cell r="L3220">
            <v>50</v>
          </cell>
          <cell r="M3220" t="str">
            <v>13,2/7,6</v>
          </cell>
          <cell r="N3220">
            <v>65</v>
          </cell>
          <cell r="O3220" t="str">
            <v>155(F)</v>
          </cell>
          <cell r="P3220" t="str">
            <v>270°</v>
          </cell>
          <cell r="Q3220" t="str">
            <v>TF</v>
          </cell>
          <cell r="R3220" t="str">
            <v>V(VE)</v>
          </cell>
          <cell r="S3220" t="str">
            <v>-</v>
          </cell>
          <cell r="T3220" t="str">
            <v>-</v>
          </cell>
          <cell r="U3220" t="str">
            <v>-</v>
          </cell>
          <cell r="V3220" t="str">
            <v>FC</v>
          </cell>
          <cell r="W3220" t="str">
            <v>-</v>
          </cell>
          <cell r="X3220" t="str">
            <v>CLP HC 220 (-25/+60°C)</v>
          </cell>
          <cell r="Y3220" t="str">
            <v>KH97DRN112M4 /TF/V</v>
          </cell>
          <cell r="Z3220" t="str">
            <v>SEW</v>
          </cell>
          <cell r="AB3220" t="str">
            <v>-</v>
          </cell>
          <cell r="AD3220" t="str">
            <v>BIS</v>
          </cell>
          <cell r="AF3220">
            <v>14</v>
          </cell>
          <cell r="AG3220" t="str">
            <v>DRN112M4</v>
          </cell>
          <cell r="AH3220" t="str">
            <v>KH97-DRN112M4A270-X#</v>
          </cell>
        </row>
        <row r="3221">
          <cell r="A3221" t="str">
            <v>MR003209</v>
          </cell>
          <cell r="B3221" t="str">
            <v>MR</v>
          </cell>
          <cell r="C3221">
            <v>4</v>
          </cell>
          <cell r="D3221">
            <v>14</v>
          </cell>
          <cell r="E3221" t="str">
            <v>KH97</v>
          </cell>
          <cell r="F3221">
            <v>2740</v>
          </cell>
          <cell r="G3221">
            <v>105.13</v>
          </cell>
          <cell r="H3221">
            <v>1.55</v>
          </cell>
          <cell r="I3221" t="str">
            <v>From M1B to M2B - 30°</v>
          </cell>
          <cell r="J3221" t="str">
            <v>IE3</v>
          </cell>
          <cell r="K3221" t="str">
            <v>240/415</v>
          </cell>
          <cell r="L3221">
            <v>50</v>
          </cell>
          <cell r="M3221" t="str">
            <v>13,2/7,6</v>
          </cell>
          <cell r="N3221">
            <v>65</v>
          </cell>
          <cell r="O3221" t="str">
            <v>155(F)</v>
          </cell>
          <cell r="P3221" t="str">
            <v>270°</v>
          </cell>
          <cell r="Q3221" t="str">
            <v>TF</v>
          </cell>
          <cell r="R3221" t="str">
            <v>V(VE)</v>
          </cell>
          <cell r="S3221" t="str">
            <v>-</v>
          </cell>
          <cell r="T3221" t="str">
            <v>-</v>
          </cell>
          <cell r="U3221" t="str">
            <v>-</v>
          </cell>
          <cell r="V3221" t="str">
            <v>FC</v>
          </cell>
          <cell r="W3221" t="str">
            <v>-</v>
          </cell>
          <cell r="X3221" t="str">
            <v>CLP HC 220 (-25/+60°C)</v>
          </cell>
          <cell r="Y3221" t="str">
            <v>KH97DRN112M4 /TF/V</v>
          </cell>
          <cell r="Z3221" t="str">
            <v>SEW</v>
          </cell>
          <cell r="AB3221" t="str">
            <v>-</v>
          </cell>
          <cell r="AD3221" t="str">
            <v>BIS</v>
          </cell>
          <cell r="AF3221">
            <v>14</v>
          </cell>
          <cell r="AG3221" t="str">
            <v>DRN112M4</v>
          </cell>
          <cell r="AH3221" t="str">
            <v>KH97-DRN112M4B270-X#</v>
          </cell>
        </row>
        <row r="3222">
          <cell r="A3222" t="str">
            <v>MR003210</v>
          </cell>
          <cell r="B3222" t="str">
            <v>MR</v>
          </cell>
          <cell r="C3222">
            <v>9.1999999999999993</v>
          </cell>
          <cell r="D3222">
            <v>15</v>
          </cell>
          <cell r="E3222" t="str">
            <v>KH107</v>
          </cell>
          <cell r="F3222">
            <v>6020</v>
          </cell>
          <cell r="G3222">
            <v>100.75</v>
          </cell>
          <cell r="H3222">
            <v>1.35</v>
          </cell>
          <cell r="I3222" t="str">
            <v>From M1A to M2A - 25°</v>
          </cell>
          <cell r="J3222" t="str">
            <v>IE3</v>
          </cell>
          <cell r="K3222" t="str">
            <v>240/415</v>
          </cell>
          <cell r="L3222">
            <v>50</v>
          </cell>
          <cell r="M3222" t="str">
            <v>31/18</v>
          </cell>
          <cell r="N3222">
            <v>65</v>
          </cell>
          <cell r="O3222" t="str">
            <v>155(F)</v>
          </cell>
          <cell r="P3222" t="str">
            <v>270°</v>
          </cell>
          <cell r="Q3222" t="str">
            <v>TF</v>
          </cell>
          <cell r="R3222" t="str">
            <v>V(VE)</v>
          </cell>
          <cell r="S3222" t="str">
            <v>-</v>
          </cell>
          <cell r="T3222" t="str">
            <v>-</v>
          </cell>
          <cell r="U3222" t="str">
            <v>-</v>
          </cell>
          <cell r="V3222" t="str">
            <v>FC</v>
          </cell>
          <cell r="W3222" t="str">
            <v>-</v>
          </cell>
          <cell r="X3222" t="str">
            <v>CLP HC 220 (-25/+60°C)</v>
          </cell>
          <cell r="Y3222" t="str">
            <v>KH107DRN132L4 /TF/V</v>
          </cell>
          <cell r="Z3222" t="str">
            <v>SEW</v>
          </cell>
          <cell r="AB3222" t="str">
            <v>-</v>
          </cell>
          <cell r="AD3222" t="str">
            <v>BIS</v>
          </cell>
          <cell r="AF3222">
            <v>15</v>
          </cell>
          <cell r="AG3222" t="str">
            <v>DRN132L4</v>
          </cell>
          <cell r="AH3222" t="str">
            <v>KH107-DRN132L4A270-X#</v>
          </cell>
        </row>
        <row r="3223">
          <cell r="A3223" t="str">
            <v>MR003211</v>
          </cell>
          <cell r="B3223" t="str">
            <v>MR</v>
          </cell>
          <cell r="C3223">
            <v>9.1999999999999993</v>
          </cell>
          <cell r="D3223">
            <v>15</v>
          </cell>
          <cell r="E3223" t="str">
            <v>KH107</v>
          </cell>
          <cell r="F3223">
            <v>6020</v>
          </cell>
          <cell r="G3223">
            <v>100.75</v>
          </cell>
          <cell r="H3223">
            <v>1.35</v>
          </cell>
          <cell r="I3223" t="str">
            <v>From M1B to M2B - 25°</v>
          </cell>
          <cell r="J3223" t="str">
            <v>IE3</v>
          </cell>
          <cell r="K3223" t="str">
            <v>240/415</v>
          </cell>
          <cell r="L3223">
            <v>50</v>
          </cell>
          <cell r="M3223" t="str">
            <v>31/18</v>
          </cell>
          <cell r="N3223">
            <v>65</v>
          </cell>
          <cell r="O3223" t="str">
            <v>155(F)</v>
          </cell>
          <cell r="P3223" t="str">
            <v>270°</v>
          </cell>
          <cell r="Q3223" t="str">
            <v>TF</v>
          </cell>
          <cell r="R3223" t="str">
            <v>V(VE)</v>
          </cell>
          <cell r="S3223" t="str">
            <v>-</v>
          </cell>
          <cell r="T3223" t="str">
            <v>-</v>
          </cell>
          <cell r="U3223" t="str">
            <v>-</v>
          </cell>
          <cell r="V3223" t="str">
            <v>FC</v>
          </cell>
          <cell r="W3223" t="str">
            <v>-</v>
          </cell>
          <cell r="X3223" t="str">
            <v>CLP HC 220 (-25/+60°C)</v>
          </cell>
          <cell r="Y3223" t="str">
            <v>KH107DRN132L4 /TF/V</v>
          </cell>
          <cell r="Z3223" t="str">
            <v>SEW</v>
          </cell>
          <cell r="AB3223" t="str">
            <v>-</v>
          </cell>
          <cell r="AD3223" t="str">
            <v>BIS</v>
          </cell>
          <cell r="AF3223">
            <v>15</v>
          </cell>
          <cell r="AG3223" t="str">
            <v>DRN132L4</v>
          </cell>
          <cell r="AH3223" t="str">
            <v>KH107-DRN132L4B270-X#</v>
          </cell>
        </row>
        <row r="3224">
          <cell r="A3224" t="str">
            <v>MR003212</v>
          </cell>
          <cell r="B3224" t="str">
            <v>MR</v>
          </cell>
          <cell r="C3224">
            <v>7.5</v>
          </cell>
          <cell r="D3224">
            <v>63</v>
          </cell>
          <cell r="E3224" t="str">
            <v>R87</v>
          </cell>
          <cell r="F3224">
            <v>1140</v>
          </cell>
          <cell r="G3224">
            <v>23.4</v>
          </cell>
          <cell r="H3224">
            <v>1.35</v>
          </cell>
          <cell r="I3224" t="str">
            <v>M1</v>
          </cell>
          <cell r="J3224" t="str">
            <v>IE3</v>
          </cell>
          <cell r="K3224" t="str">
            <v>240/415</v>
          </cell>
          <cell r="L3224">
            <v>50</v>
          </cell>
          <cell r="M3224" t="str">
            <v>25,5/14,7</v>
          </cell>
          <cell r="N3224">
            <v>65</v>
          </cell>
          <cell r="O3224" t="str">
            <v>155(F)</v>
          </cell>
          <cell r="P3224" t="str">
            <v>270°</v>
          </cell>
          <cell r="Q3224" t="str">
            <v>-</v>
          </cell>
          <cell r="R3224" t="str">
            <v>-</v>
          </cell>
          <cell r="S3224" t="str">
            <v>-</v>
          </cell>
          <cell r="T3224" t="str">
            <v>-</v>
          </cell>
          <cell r="U3224" t="str">
            <v>-</v>
          </cell>
          <cell r="V3224" t="str">
            <v>D</v>
          </cell>
          <cell r="W3224" t="str">
            <v>-</v>
          </cell>
          <cell r="X3224" t="str">
            <v>CLP HC 220 (-25/+60°C)</v>
          </cell>
          <cell r="Y3224" t="str">
            <v>R87DRN132M4</v>
          </cell>
          <cell r="Z3224" t="str">
            <v>SEW</v>
          </cell>
          <cell r="AB3224" t="str">
            <v>-</v>
          </cell>
          <cell r="AD3224" t="str">
            <v>BIS</v>
          </cell>
          <cell r="AF3224">
            <v>63</v>
          </cell>
          <cell r="AG3224" t="str">
            <v>DRN132M4</v>
          </cell>
          <cell r="AH3224" t="str">
            <v>R87-DRN132M4270-X</v>
          </cell>
        </row>
        <row r="3225">
          <cell r="A3225" t="str">
            <v>MR003213</v>
          </cell>
          <cell r="B3225" t="str">
            <v>MR</v>
          </cell>
          <cell r="C3225">
            <v>9.1999999999999993</v>
          </cell>
          <cell r="D3225">
            <v>59</v>
          </cell>
          <cell r="E3225" t="str">
            <v>R97</v>
          </cell>
          <cell r="F3225">
            <v>1140</v>
          </cell>
          <cell r="G3225">
            <v>19.100000000000001</v>
          </cell>
          <cell r="H3225">
            <v>1.25</v>
          </cell>
          <cell r="I3225" t="str">
            <v>M1</v>
          </cell>
          <cell r="J3225" t="str">
            <v>IE3</v>
          </cell>
          <cell r="K3225" t="str">
            <v>240/415</v>
          </cell>
          <cell r="L3225">
            <v>50</v>
          </cell>
          <cell r="M3225" t="str">
            <v>31/18</v>
          </cell>
          <cell r="N3225">
            <v>65</v>
          </cell>
          <cell r="O3225" t="str">
            <v>155(F)</v>
          </cell>
          <cell r="P3225" t="str">
            <v>270°</v>
          </cell>
          <cell r="Q3225" t="str">
            <v>-</v>
          </cell>
          <cell r="R3225" t="str">
            <v>-</v>
          </cell>
          <cell r="S3225" t="str">
            <v>-</v>
          </cell>
          <cell r="T3225" t="str">
            <v>-</v>
          </cell>
          <cell r="U3225" t="str">
            <v>-</v>
          </cell>
          <cell r="V3225" t="str">
            <v>D</v>
          </cell>
          <cell r="W3225" t="str">
            <v>-</v>
          </cell>
          <cell r="X3225" t="str">
            <v>CLP HC 220 (-25/+60°C)</v>
          </cell>
          <cell r="Y3225" t="str">
            <v>R97DRN132L4</v>
          </cell>
          <cell r="Z3225" t="str">
            <v>SEW</v>
          </cell>
          <cell r="AB3225" t="str">
            <v>-</v>
          </cell>
          <cell r="AD3225" t="str">
            <v>BIS</v>
          </cell>
          <cell r="AF3225">
            <v>59</v>
          </cell>
          <cell r="AG3225" t="str">
            <v>DRN132L4</v>
          </cell>
          <cell r="AH3225" t="str">
            <v>R97-DRN132L4270-X</v>
          </cell>
        </row>
        <row r="3226">
          <cell r="A3226" t="str">
            <v>MR003214</v>
          </cell>
          <cell r="B3226" t="str">
            <v>MR</v>
          </cell>
          <cell r="C3226">
            <v>7.5</v>
          </cell>
          <cell r="D3226">
            <v>15</v>
          </cell>
          <cell r="E3226" t="str">
            <v>KH107</v>
          </cell>
          <cell r="F3226">
            <v>4910</v>
          </cell>
          <cell r="G3226">
            <v>100.75</v>
          </cell>
          <cell r="H3226">
            <v>1.65</v>
          </cell>
          <cell r="I3226" t="str">
            <v>From M1A to M2A - 30°</v>
          </cell>
          <cell r="J3226" t="str">
            <v>IE3</v>
          </cell>
          <cell r="K3226" t="str">
            <v>240/415</v>
          </cell>
          <cell r="L3226">
            <v>50</v>
          </cell>
          <cell r="M3226" t="str">
            <v>25,5/14,7</v>
          </cell>
          <cell r="N3226">
            <v>65</v>
          </cell>
          <cell r="O3226" t="str">
            <v>155(F)</v>
          </cell>
          <cell r="P3226" t="str">
            <v>270°</v>
          </cell>
          <cell r="Q3226" t="str">
            <v>TF</v>
          </cell>
          <cell r="R3226" t="str">
            <v>V(VE)</v>
          </cell>
          <cell r="S3226" t="str">
            <v>-</v>
          </cell>
          <cell r="T3226" t="str">
            <v>-</v>
          </cell>
          <cell r="U3226" t="str">
            <v>-</v>
          </cell>
          <cell r="V3226" t="str">
            <v>FC</v>
          </cell>
          <cell r="W3226" t="str">
            <v>-</v>
          </cell>
          <cell r="X3226" t="str">
            <v>CLP HC 220 (-25/+60°C)</v>
          </cell>
          <cell r="Y3226" t="str">
            <v>KH107DRN132M4 /TF/V</v>
          </cell>
          <cell r="Z3226" t="str">
            <v>SEW</v>
          </cell>
          <cell r="AB3226" t="str">
            <v>-</v>
          </cell>
          <cell r="AD3226" t="str">
            <v>BIS</v>
          </cell>
          <cell r="AF3226">
            <v>15</v>
          </cell>
          <cell r="AG3226" t="str">
            <v>DRN132M4</v>
          </cell>
          <cell r="AH3226" t="str">
            <v>KH107-DRN132M4A270-X#</v>
          </cell>
        </row>
        <row r="3227">
          <cell r="A3227" t="str">
            <v>MR003215</v>
          </cell>
          <cell r="B3227" t="str">
            <v>MR</v>
          </cell>
          <cell r="C3227">
            <v>7.5</v>
          </cell>
          <cell r="D3227">
            <v>15</v>
          </cell>
          <cell r="E3227" t="str">
            <v>KH107</v>
          </cell>
          <cell r="F3227">
            <v>4910</v>
          </cell>
          <cell r="G3227">
            <v>100.75</v>
          </cell>
          <cell r="H3227">
            <v>1.65</v>
          </cell>
          <cell r="I3227" t="str">
            <v>From M1B to M2B - 30°</v>
          </cell>
          <cell r="J3227" t="str">
            <v>IE3</v>
          </cell>
          <cell r="K3227" t="str">
            <v>240/415</v>
          </cell>
          <cell r="L3227">
            <v>50</v>
          </cell>
          <cell r="M3227" t="str">
            <v>25,5/14,7</v>
          </cell>
          <cell r="N3227">
            <v>65</v>
          </cell>
          <cell r="O3227" t="str">
            <v>155(F)</v>
          </cell>
          <cell r="P3227" t="str">
            <v>270°</v>
          </cell>
          <cell r="Q3227" t="str">
            <v>TF</v>
          </cell>
          <cell r="R3227" t="str">
            <v>V(VE)</v>
          </cell>
          <cell r="S3227" t="str">
            <v>-</v>
          </cell>
          <cell r="T3227" t="str">
            <v>-</v>
          </cell>
          <cell r="U3227" t="str">
            <v>-</v>
          </cell>
          <cell r="V3227" t="str">
            <v>FC</v>
          </cell>
          <cell r="W3227" t="str">
            <v>-</v>
          </cell>
          <cell r="X3227" t="str">
            <v>CLP HC 220 (-25/+60°C)</v>
          </cell>
          <cell r="Y3227" t="str">
            <v>KH107DRN132M4 /TF/V</v>
          </cell>
          <cell r="Z3227" t="str">
            <v>SEW</v>
          </cell>
          <cell r="AB3227" t="str">
            <v>-</v>
          </cell>
          <cell r="AD3227" t="str">
            <v>BIS</v>
          </cell>
          <cell r="AF3227">
            <v>15</v>
          </cell>
          <cell r="AG3227" t="str">
            <v>DRN132M4</v>
          </cell>
          <cell r="AH3227" t="str">
            <v>KH107-DRN132M4B270-X#</v>
          </cell>
        </row>
        <row r="3228">
          <cell r="A3228" t="str">
            <v>MR003216</v>
          </cell>
          <cell r="B3228" t="str">
            <v>MR</v>
          </cell>
          <cell r="C3228">
            <v>7.5</v>
          </cell>
          <cell r="D3228">
            <v>63</v>
          </cell>
          <cell r="E3228" t="str">
            <v>R87</v>
          </cell>
          <cell r="F3228">
            <v>1140</v>
          </cell>
          <cell r="G3228">
            <v>23.4</v>
          </cell>
          <cell r="H3228">
            <v>1.35</v>
          </cell>
          <cell r="I3228" t="str">
            <v>From M1 to M4 - 10°</v>
          </cell>
          <cell r="J3228" t="str">
            <v>IE3</v>
          </cell>
          <cell r="K3228" t="str">
            <v>240/415</v>
          </cell>
          <cell r="L3228">
            <v>50</v>
          </cell>
          <cell r="M3228" t="str">
            <v>25,5/14,7</v>
          </cell>
          <cell r="N3228">
            <v>65</v>
          </cell>
          <cell r="O3228" t="str">
            <v>155(F)</v>
          </cell>
          <cell r="P3228" t="str">
            <v>270°</v>
          </cell>
          <cell r="Q3228" t="str">
            <v>-</v>
          </cell>
          <cell r="R3228" t="str">
            <v>-</v>
          </cell>
          <cell r="S3228" t="str">
            <v>-</v>
          </cell>
          <cell r="T3228" t="str">
            <v>-</v>
          </cell>
          <cell r="U3228" t="str">
            <v>-</v>
          </cell>
          <cell r="V3228" t="str">
            <v>D+R</v>
          </cell>
          <cell r="W3228" t="str">
            <v>-</v>
          </cell>
          <cell r="X3228" t="str">
            <v>CLP HC 220 (-25/+60°C)</v>
          </cell>
          <cell r="Y3228" t="str">
            <v>R87DRN132M4</v>
          </cell>
          <cell r="Z3228" t="str">
            <v>SEW</v>
          </cell>
          <cell r="AB3228" t="str">
            <v>-</v>
          </cell>
          <cell r="AD3228" t="str">
            <v>BIS</v>
          </cell>
          <cell r="AF3228">
            <v>63</v>
          </cell>
          <cell r="AG3228" t="str">
            <v>DRN132M4</v>
          </cell>
          <cell r="AH3228" t="str">
            <v>R87-DRN132M4270-X</v>
          </cell>
        </row>
        <row r="3229">
          <cell r="A3229" t="str">
            <v>MR003217</v>
          </cell>
          <cell r="B3229" t="str">
            <v>MR</v>
          </cell>
          <cell r="C3229">
            <v>22</v>
          </cell>
          <cell r="D3229">
            <v>78</v>
          </cell>
          <cell r="E3229" t="str">
            <v>KH97</v>
          </cell>
          <cell r="F3229">
            <v>2690</v>
          </cell>
          <cell r="G3229">
            <v>18.96</v>
          </cell>
          <cell r="H3229">
            <v>1.6</v>
          </cell>
          <cell r="I3229" t="str">
            <v>From M3B to M4B - 15°</v>
          </cell>
          <cell r="J3229" t="str">
            <v>IE3</v>
          </cell>
          <cell r="K3229" t="str">
            <v>240/415</v>
          </cell>
          <cell r="L3229">
            <v>50</v>
          </cell>
          <cell r="M3229" t="str">
            <v>64/37</v>
          </cell>
          <cell r="N3229">
            <v>65</v>
          </cell>
          <cell r="O3229" t="str">
            <v>155(F)</v>
          </cell>
          <cell r="P3229" t="str">
            <v>270°</v>
          </cell>
          <cell r="Q3229" t="str">
            <v>TF</v>
          </cell>
          <cell r="R3229" t="str">
            <v>V(VE)</v>
          </cell>
          <cell r="S3229" t="str">
            <v>Free rotation CW</v>
          </cell>
          <cell r="T3229" t="str">
            <v>-</v>
          </cell>
          <cell r="U3229" t="str">
            <v>T</v>
          </cell>
          <cell r="V3229" t="str">
            <v>FC</v>
          </cell>
          <cell r="W3229" t="str">
            <v>-</v>
          </cell>
          <cell r="X3229" t="str">
            <v>CLP HC 220 (-25/+60°C)</v>
          </cell>
          <cell r="Y3229" t="str">
            <v>KH97/T DRN180L4 /RS /TF/V</v>
          </cell>
          <cell r="Z3229" t="str">
            <v>SEW</v>
          </cell>
          <cell r="AB3229" t="str">
            <v>-</v>
          </cell>
          <cell r="AD3229" t="str">
            <v>BIS</v>
          </cell>
          <cell r="AF3229">
            <v>78</v>
          </cell>
          <cell r="AG3229" t="str">
            <v>DRN180L4</v>
          </cell>
          <cell r="AH3229" t="str">
            <v>KH97T-DRN180L4B270-X#</v>
          </cell>
        </row>
        <row r="3230">
          <cell r="A3230" t="str">
            <v>MR003218</v>
          </cell>
          <cell r="B3230" t="str">
            <v>MR</v>
          </cell>
          <cell r="C3230">
            <v>0.75</v>
          </cell>
          <cell r="D3230">
            <v>162</v>
          </cell>
          <cell r="E3230" t="str">
            <v>KA37</v>
          </cell>
          <cell r="F3230">
            <v>44</v>
          </cell>
          <cell r="G3230">
            <v>8.91</v>
          </cell>
          <cell r="H3230">
            <v>3.1</v>
          </cell>
          <cell r="I3230" t="str">
            <v>From M3B to M4B - 15°</v>
          </cell>
          <cell r="J3230" t="str">
            <v>IE3</v>
          </cell>
          <cell r="K3230" t="str">
            <v>240/415</v>
          </cell>
          <cell r="L3230">
            <v>50</v>
          </cell>
          <cell r="M3230" t="str">
            <v>3,1/1,79</v>
          </cell>
          <cell r="N3230">
            <v>65</v>
          </cell>
          <cell r="O3230" t="str">
            <v>155(F)</v>
          </cell>
          <cell r="P3230" t="str">
            <v>270°</v>
          </cell>
          <cell r="Q3230" t="str">
            <v>-</v>
          </cell>
          <cell r="R3230" t="str">
            <v>-</v>
          </cell>
          <cell r="S3230" t="str">
            <v>-</v>
          </cell>
          <cell r="T3230" t="str">
            <v>-</v>
          </cell>
          <cell r="U3230" t="str">
            <v>T</v>
          </cell>
          <cell r="V3230" t="str">
            <v>D</v>
          </cell>
          <cell r="W3230" t="str">
            <v>-</v>
          </cell>
          <cell r="X3230" t="str">
            <v>CLP HC 220 (-25/+60°C)</v>
          </cell>
          <cell r="Y3230" t="str">
            <v>KA37/T DRN80M4</v>
          </cell>
          <cell r="Z3230" t="str">
            <v>SEW</v>
          </cell>
          <cell r="AB3230" t="str">
            <v>-</v>
          </cell>
          <cell r="AD3230" t="str">
            <v>BIS</v>
          </cell>
          <cell r="AF3230">
            <v>162</v>
          </cell>
          <cell r="AG3230" t="str">
            <v>DRN80M4</v>
          </cell>
          <cell r="AH3230" t="str">
            <v>KA37T-DRN80M4B270-X</v>
          </cell>
        </row>
        <row r="3231">
          <cell r="A3231" t="str">
            <v>MR003219</v>
          </cell>
          <cell r="B3231" t="str">
            <v>MR</v>
          </cell>
          <cell r="C3231">
            <v>0.25</v>
          </cell>
          <cell r="D3231">
            <v>32</v>
          </cell>
          <cell r="E3231" t="str">
            <v>FA37</v>
          </cell>
          <cell r="F3231">
            <v>75</v>
          </cell>
          <cell r="G3231">
            <v>43.83</v>
          </cell>
          <cell r="H3231">
            <v>2.7</v>
          </cell>
          <cell r="I3231" t="str">
            <v>M1</v>
          </cell>
          <cell r="J3231" t="str">
            <v>IE3</v>
          </cell>
          <cell r="K3231" t="str">
            <v>240/415</v>
          </cell>
          <cell r="L3231">
            <v>50</v>
          </cell>
          <cell r="M3231" t="str">
            <v>1,21/0,7</v>
          </cell>
          <cell r="N3231">
            <v>65</v>
          </cell>
          <cell r="O3231" t="str">
            <v>155(F)</v>
          </cell>
          <cell r="P3231" t="str">
            <v>270°</v>
          </cell>
          <cell r="Q3231" t="str">
            <v>-</v>
          </cell>
          <cell r="R3231" t="str">
            <v>-</v>
          </cell>
          <cell r="S3231" t="str">
            <v>-</v>
          </cell>
          <cell r="T3231" t="str">
            <v>-</v>
          </cell>
          <cell r="U3231" t="str">
            <v>G</v>
          </cell>
          <cell r="V3231" t="str">
            <v>D</v>
          </cell>
          <cell r="W3231" t="str">
            <v>-</v>
          </cell>
          <cell r="X3231" t="str">
            <v>CLP HC 220 (-25/+60°C)</v>
          </cell>
          <cell r="Y3231" t="str">
            <v>FA37/G DRN71MS4</v>
          </cell>
          <cell r="Z3231" t="str">
            <v>SEW</v>
          </cell>
          <cell r="AB3231" t="str">
            <v>-</v>
          </cell>
          <cell r="AD3231" t="str">
            <v>BIS</v>
          </cell>
          <cell r="AF3231">
            <v>32</v>
          </cell>
          <cell r="AG3231" t="str">
            <v>DRN71MS4</v>
          </cell>
          <cell r="AH3231" t="str">
            <v>FA37G-DRN71MS4270-X</v>
          </cell>
        </row>
        <row r="3232">
          <cell r="A3232" t="str">
            <v>MR003220</v>
          </cell>
          <cell r="B3232" t="str">
            <v>MR</v>
          </cell>
          <cell r="C3232">
            <v>15</v>
          </cell>
          <cell r="D3232">
            <v>16</v>
          </cell>
          <cell r="E3232" t="str">
            <v>KH127</v>
          </cell>
          <cell r="F3232">
            <v>8730</v>
          </cell>
          <cell r="G3232">
            <v>89.89</v>
          </cell>
          <cell r="H3232">
            <v>1.5</v>
          </cell>
          <cell r="I3232" t="str">
            <v>From M4A to M1A -30°</v>
          </cell>
          <cell r="J3232" t="str">
            <v>IE3</v>
          </cell>
          <cell r="K3232" t="str">
            <v>400/690</v>
          </cell>
          <cell r="L3232">
            <v>50</v>
          </cell>
          <cell r="M3232" t="str">
            <v>29/16,7</v>
          </cell>
          <cell r="N3232">
            <v>65</v>
          </cell>
          <cell r="O3232" t="str">
            <v>155(F)</v>
          </cell>
          <cell r="P3232" t="str">
            <v>270°</v>
          </cell>
          <cell r="Q3232" t="str">
            <v>TF</v>
          </cell>
          <cell r="R3232" t="str">
            <v>V(VE)</v>
          </cell>
          <cell r="S3232" t="str">
            <v>-</v>
          </cell>
          <cell r="T3232" t="str">
            <v>-</v>
          </cell>
          <cell r="U3232" t="str">
            <v>-</v>
          </cell>
          <cell r="V3232" t="str">
            <v>FC</v>
          </cell>
          <cell r="W3232" t="str">
            <v>-</v>
          </cell>
          <cell r="X3232" t="str">
            <v>CLP HC 220 (-25/+60°C)</v>
          </cell>
          <cell r="Y3232" t="str">
            <v>KH127DRN160L4 /TF/V</v>
          </cell>
          <cell r="Z3232" t="str">
            <v>SEW</v>
          </cell>
          <cell r="AB3232" t="str">
            <v>-</v>
          </cell>
          <cell r="AF3232">
            <v>16</v>
          </cell>
          <cell r="AG3232" t="str">
            <v>DRN160L4</v>
          </cell>
          <cell r="AH3232" t="str">
            <v>KH127-DRN160L4A270-X#</v>
          </cell>
        </row>
        <row r="3233">
          <cell r="A3233" t="str">
            <v>MR003221</v>
          </cell>
          <cell r="B3233" t="str">
            <v>MR</v>
          </cell>
          <cell r="C3233">
            <v>15</v>
          </cell>
          <cell r="D3233">
            <v>16</v>
          </cell>
          <cell r="E3233" t="str">
            <v>KH127</v>
          </cell>
          <cell r="F3233">
            <v>8730</v>
          </cell>
          <cell r="G3233">
            <v>89.89</v>
          </cell>
          <cell r="H3233">
            <v>1.5</v>
          </cell>
          <cell r="I3233" t="str">
            <v>From M4B to M1B -30°</v>
          </cell>
          <cell r="J3233" t="str">
            <v>IE3</v>
          </cell>
          <cell r="K3233" t="str">
            <v>400/690</v>
          </cell>
          <cell r="L3233">
            <v>50</v>
          </cell>
          <cell r="M3233" t="str">
            <v>29/16,7</v>
          </cell>
          <cell r="N3233">
            <v>65</v>
          </cell>
          <cell r="O3233" t="str">
            <v>155(F)</v>
          </cell>
          <cell r="P3233" t="str">
            <v>270°</v>
          </cell>
          <cell r="Q3233" t="str">
            <v>TF</v>
          </cell>
          <cell r="R3233" t="str">
            <v>V(VE)</v>
          </cell>
          <cell r="S3233" t="str">
            <v>-</v>
          </cell>
          <cell r="T3233" t="str">
            <v>-</v>
          </cell>
          <cell r="U3233" t="str">
            <v>-</v>
          </cell>
          <cell r="V3233" t="str">
            <v>FC</v>
          </cell>
          <cell r="W3233" t="str">
            <v>-</v>
          </cell>
          <cell r="X3233" t="str">
            <v>CLP HC 220 (-25/+60°C)</v>
          </cell>
          <cell r="Y3233" t="str">
            <v>KH127DRN160L4 /TF/V</v>
          </cell>
          <cell r="Z3233" t="str">
            <v>SEW</v>
          </cell>
          <cell r="AB3233" t="str">
            <v>-</v>
          </cell>
          <cell r="AF3233">
            <v>16</v>
          </cell>
          <cell r="AG3233" t="str">
            <v>DRN160L4</v>
          </cell>
          <cell r="AH3233" t="str">
            <v>KH127-DRN160L4B270-X#</v>
          </cell>
        </row>
        <row r="3234">
          <cell r="A3234" t="str">
            <v>MR003222</v>
          </cell>
          <cell r="B3234" t="str">
            <v>MR</v>
          </cell>
          <cell r="C3234">
            <v>18.5</v>
          </cell>
          <cell r="D3234">
            <v>16</v>
          </cell>
          <cell r="E3234" t="str">
            <v>KH127</v>
          </cell>
          <cell r="F3234">
            <v>10700</v>
          </cell>
          <cell r="G3234">
            <v>89.89</v>
          </cell>
          <cell r="H3234">
            <v>1.2</v>
          </cell>
          <cell r="I3234" t="str">
            <v>From M4A to M1A - 5°</v>
          </cell>
          <cell r="J3234" t="str">
            <v>IE3</v>
          </cell>
          <cell r="K3234" t="str">
            <v>400/690</v>
          </cell>
          <cell r="L3234">
            <v>50</v>
          </cell>
          <cell r="M3234" t="str">
            <v>33,5/19,3</v>
          </cell>
          <cell r="N3234">
            <v>65</v>
          </cell>
          <cell r="O3234" t="str">
            <v>155(F)</v>
          </cell>
          <cell r="P3234" t="str">
            <v>270°</v>
          </cell>
          <cell r="Q3234" t="str">
            <v>TF</v>
          </cell>
          <cell r="R3234" t="str">
            <v>V(VE)</v>
          </cell>
          <cell r="S3234" t="str">
            <v>-</v>
          </cell>
          <cell r="T3234" t="str">
            <v>-</v>
          </cell>
          <cell r="U3234" t="str">
            <v>-</v>
          </cell>
          <cell r="V3234" t="str">
            <v>FC</v>
          </cell>
          <cell r="W3234" t="str">
            <v>-</v>
          </cell>
          <cell r="X3234" t="str">
            <v>CLP HC 220 (-25/+60°C)</v>
          </cell>
          <cell r="Y3234" t="str">
            <v>KH127DRN180M4 /TF/V</v>
          </cell>
          <cell r="Z3234" t="str">
            <v>SEW</v>
          </cell>
          <cell r="AB3234" t="str">
            <v>-</v>
          </cell>
          <cell r="AF3234">
            <v>16</v>
          </cell>
          <cell r="AG3234" t="str">
            <v>DRN180M4</v>
          </cell>
          <cell r="AH3234" t="str">
            <v>KH127-DRN180M4A270-X#</v>
          </cell>
        </row>
        <row r="3235">
          <cell r="A3235" t="str">
            <v>MR003223</v>
          </cell>
          <cell r="B3235" t="str">
            <v>MR</v>
          </cell>
          <cell r="C3235">
            <v>11</v>
          </cell>
          <cell r="D3235">
            <v>15</v>
          </cell>
          <cell r="E3235" t="str">
            <v>KH107</v>
          </cell>
          <cell r="F3235">
            <v>7180</v>
          </cell>
          <cell r="G3235">
            <v>100.75</v>
          </cell>
          <cell r="H3235">
            <v>1.1000000000000001</v>
          </cell>
          <cell r="I3235" t="str">
            <v>From M1A to M2A - 30°</v>
          </cell>
          <cell r="J3235" t="str">
            <v>IE3</v>
          </cell>
          <cell r="K3235" t="str">
            <v>400/690</v>
          </cell>
          <cell r="L3235">
            <v>50</v>
          </cell>
          <cell r="M3235" t="str">
            <v>21/12,2</v>
          </cell>
          <cell r="N3235">
            <v>65</v>
          </cell>
          <cell r="O3235" t="str">
            <v>155(F)</v>
          </cell>
          <cell r="P3235" t="str">
            <v>180°</v>
          </cell>
          <cell r="Q3235" t="str">
            <v>-</v>
          </cell>
          <cell r="R3235" t="str">
            <v>-</v>
          </cell>
          <cell r="S3235" t="str">
            <v>-</v>
          </cell>
          <cell r="T3235" t="str">
            <v>-</v>
          </cell>
          <cell r="U3235" t="str">
            <v>-</v>
          </cell>
          <cell r="V3235" t="str">
            <v>SS</v>
          </cell>
          <cell r="W3235" t="str">
            <v>-</v>
          </cell>
          <cell r="X3235" t="str">
            <v>CLP HC 220 (-25/+60°C)</v>
          </cell>
          <cell r="Y3235" t="str">
            <v>KH107DRN160M4</v>
          </cell>
          <cell r="Z3235" t="str">
            <v>SEW</v>
          </cell>
          <cell r="AB3235" t="str">
            <v>-</v>
          </cell>
          <cell r="AF3235">
            <v>15</v>
          </cell>
          <cell r="AG3235" t="str">
            <v>DRN160M4</v>
          </cell>
          <cell r="AH3235" t="str">
            <v>KH107-DRN160M4A180-X</v>
          </cell>
        </row>
        <row r="3236">
          <cell r="A3236" t="str">
            <v>MR003224</v>
          </cell>
          <cell r="B3236" t="str">
            <v>MR</v>
          </cell>
          <cell r="C3236">
            <v>11</v>
          </cell>
          <cell r="D3236">
            <v>15</v>
          </cell>
          <cell r="E3236" t="str">
            <v>KH107</v>
          </cell>
          <cell r="F3236">
            <v>7180</v>
          </cell>
          <cell r="G3236">
            <v>100.75</v>
          </cell>
          <cell r="H3236">
            <v>1.1000000000000001</v>
          </cell>
          <cell r="I3236" t="str">
            <v>From M1B to M2B - 30°</v>
          </cell>
          <cell r="J3236" t="str">
            <v>IE3</v>
          </cell>
          <cell r="K3236" t="str">
            <v>400/690</v>
          </cell>
          <cell r="L3236">
            <v>50</v>
          </cell>
          <cell r="M3236" t="str">
            <v>21/12,2</v>
          </cell>
          <cell r="N3236">
            <v>65</v>
          </cell>
          <cell r="O3236" t="str">
            <v>155(F)</v>
          </cell>
          <cell r="P3236" t="str">
            <v>0°</v>
          </cell>
          <cell r="Q3236" t="str">
            <v>-</v>
          </cell>
          <cell r="R3236" t="str">
            <v>-</v>
          </cell>
          <cell r="S3236" t="str">
            <v>-</v>
          </cell>
          <cell r="T3236" t="str">
            <v>-</v>
          </cell>
          <cell r="U3236" t="str">
            <v>-</v>
          </cell>
          <cell r="V3236" t="str">
            <v>SS</v>
          </cell>
          <cell r="W3236" t="str">
            <v>-</v>
          </cell>
          <cell r="X3236" t="str">
            <v>CLP HC 220 (-25/+60°C)</v>
          </cell>
          <cell r="Y3236" t="str">
            <v>KH107DRN160M4</v>
          </cell>
          <cell r="Z3236" t="str">
            <v>SEW</v>
          </cell>
          <cell r="AB3236" t="str">
            <v>-</v>
          </cell>
          <cell r="AF3236">
            <v>15</v>
          </cell>
          <cell r="AG3236" t="str">
            <v>DRN160M4</v>
          </cell>
          <cell r="AH3236" t="str">
            <v>KH107-DRN160M4B0-X</v>
          </cell>
        </row>
        <row r="3237">
          <cell r="A3237" t="str">
            <v>MR003225</v>
          </cell>
          <cell r="B3237" t="str">
            <v>MR</v>
          </cell>
          <cell r="C3237">
            <v>22</v>
          </cell>
          <cell r="D3237">
            <v>59</v>
          </cell>
          <cell r="E3237" t="str">
            <v>R107</v>
          </cell>
          <cell r="F3237">
            <v>3540</v>
          </cell>
          <cell r="G3237">
            <v>24.9</v>
          </cell>
          <cell r="H3237">
            <v>1.2</v>
          </cell>
          <cell r="I3237" t="str">
            <v>M1</v>
          </cell>
          <cell r="J3237" t="str">
            <v>IE3</v>
          </cell>
          <cell r="K3237" t="str">
            <v>400/690</v>
          </cell>
          <cell r="L3237">
            <v>50</v>
          </cell>
          <cell r="M3237" t="str">
            <v>38,5/22,5</v>
          </cell>
          <cell r="N3237">
            <v>65</v>
          </cell>
          <cell r="O3237" t="str">
            <v>155(F)</v>
          </cell>
          <cell r="P3237" t="str">
            <v>270°</v>
          </cell>
          <cell r="Q3237" t="str">
            <v>-</v>
          </cell>
          <cell r="R3237" t="str">
            <v>-</v>
          </cell>
          <cell r="S3237" t="str">
            <v>-</v>
          </cell>
          <cell r="T3237" t="str">
            <v>-</v>
          </cell>
          <cell r="U3237" t="str">
            <v>-</v>
          </cell>
          <cell r="V3237" t="str">
            <v>D</v>
          </cell>
          <cell r="W3237" t="str">
            <v>-</v>
          </cell>
          <cell r="X3237" t="str">
            <v>CLP HC 220 (-25/+60°C)</v>
          </cell>
          <cell r="Y3237" t="str">
            <v>R107DRN180L4</v>
          </cell>
          <cell r="Z3237" t="str">
            <v>SEW</v>
          </cell>
          <cell r="AB3237" t="str">
            <v>-</v>
          </cell>
          <cell r="AF3237">
            <v>59</v>
          </cell>
          <cell r="AG3237" t="str">
            <v>DRN180L4</v>
          </cell>
          <cell r="AH3237" t="str">
            <v>R107-DRN180L4270-X</v>
          </cell>
        </row>
        <row r="3238">
          <cell r="A3238" t="str">
            <v>MR003226</v>
          </cell>
          <cell r="B3238" t="str">
            <v>MR</v>
          </cell>
          <cell r="C3238">
            <v>11</v>
          </cell>
          <cell r="D3238">
            <v>11</v>
          </cell>
          <cell r="E3238" t="str">
            <v>KH127</v>
          </cell>
          <cell r="F3238">
            <v>9700</v>
          </cell>
          <cell r="G3238">
            <v>136.13999999999999</v>
          </cell>
          <cell r="H3238">
            <v>1.35</v>
          </cell>
          <cell r="I3238" t="str">
            <v>From M4B to M3B - 30°</v>
          </cell>
          <cell r="J3238" t="str">
            <v>IE3</v>
          </cell>
          <cell r="K3238" t="str">
            <v>400/690</v>
          </cell>
          <cell r="L3238">
            <v>50</v>
          </cell>
          <cell r="M3238" t="str">
            <v>21/12,2</v>
          </cell>
          <cell r="N3238">
            <v>65</v>
          </cell>
          <cell r="O3238" t="str">
            <v>155(F)</v>
          </cell>
          <cell r="P3238" t="str">
            <v>270°</v>
          </cell>
          <cell r="Q3238" t="str">
            <v>TF</v>
          </cell>
          <cell r="R3238" t="str">
            <v>V(VE)</v>
          </cell>
          <cell r="S3238" t="str">
            <v>-</v>
          </cell>
          <cell r="T3238" t="str">
            <v>-</v>
          </cell>
          <cell r="U3238" t="str">
            <v>-</v>
          </cell>
          <cell r="V3238" t="str">
            <v>FC</v>
          </cell>
          <cell r="W3238" t="str">
            <v>-</v>
          </cell>
          <cell r="X3238" t="str">
            <v>CLP HC 220 (-25/+60°C)</v>
          </cell>
          <cell r="Y3238" t="str">
            <v>KH127DRN160M4 /TF/V</v>
          </cell>
          <cell r="Z3238" t="str">
            <v>SEW</v>
          </cell>
          <cell r="AB3238" t="str">
            <v>-</v>
          </cell>
          <cell r="AF3238">
            <v>11</v>
          </cell>
          <cell r="AG3238" t="str">
            <v>DRN160M4</v>
          </cell>
          <cell r="AH3238" t="str">
            <v>KH127-DRN160M4B270-X#</v>
          </cell>
        </row>
        <row r="3239">
          <cell r="A3239" t="str">
            <v>MR003227</v>
          </cell>
          <cell r="B3239" t="str">
            <v>MR</v>
          </cell>
          <cell r="C3239">
            <v>5.5</v>
          </cell>
          <cell r="D3239">
            <v>62</v>
          </cell>
          <cell r="E3239" t="str">
            <v>R87</v>
          </cell>
          <cell r="F3239">
            <v>840</v>
          </cell>
          <cell r="G3239">
            <v>23.4</v>
          </cell>
          <cell r="H3239">
            <v>1.85</v>
          </cell>
          <cell r="I3239" t="str">
            <v>M1</v>
          </cell>
          <cell r="J3239" t="str">
            <v>IE3</v>
          </cell>
          <cell r="K3239" t="str">
            <v>230/400</v>
          </cell>
          <cell r="L3239">
            <v>50</v>
          </cell>
          <cell r="M3239" t="str">
            <v>18,2/10,5</v>
          </cell>
          <cell r="N3239">
            <v>65</v>
          </cell>
          <cell r="O3239" t="str">
            <v>155(F)</v>
          </cell>
          <cell r="P3239" t="str">
            <v>270°</v>
          </cell>
          <cell r="Q3239" t="str">
            <v>-</v>
          </cell>
          <cell r="R3239" t="str">
            <v>-</v>
          </cell>
          <cell r="S3239" t="str">
            <v>-</v>
          </cell>
          <cell r="T3239" t="str">
            <v>-</v>
          </cell>
          <cell r="U3239" t="str">
            <v>-</v>
          </cell>
          <cell r="V3239" t="str">
            <v>D</v>
          </cell>
          <cell r="W3239" t="str">
            <v>-</v>
          </cell>
          <cell r="X3239" t="str">
            <v>CLP HC 220 (-25/+60°C)</v>
          </cell>
          <cell r="Y3239" t="str">
            <v>R87DRN132S4</v>
          </cell>
          <cell r="Z3239" t="str">
            <v>SEW</v>
          </cell>
          <cell r="AB3239" t="str">
            <v>-</v>
          </cell>
          <cell r="AF3239">
            <v>62</v>
          </cell>
          <cell r="AG3239" t="str">
            <v>DRN132S4</v>
          </cell>
          <cell r="AH3239" t="str">
            <v>R87-DRN132S4270-X</v>
          </cell>
        </row>
        <row r="3240">
          <cell r="A3240" t="str">
            <v>MR003228</v>
          </cell>
          <cell r="B3240" t="str">
            <v>MR</v>
          </cell>
          <cell r="C3240">
            <v>7.5</v>
          </cell>
          <cell r="D3240">
            <v>15</v>
          </cell>
          <cell r="E3240" t="str">
            <v>KH107</v>
          </cell>
          <cell r="F3240">
            <v>4910</v>
          </cell>
          <cell r="G3240">
            <v>100.75</v>
          </cell>
          <cell r="H3240">
            <v>1.65</v>
          </cell>
          <cell r="I3240" t="str">
            <v>From M1B to M2B - 30°</v>
          </cell>
          <cell r="J3240" t="str">
            <v>IE3</v>
          </cell>
          <cell r="K3240" t="str">
            <v>400/690</v>
          </cell>
          <cell r="L3240">
            <v>50</v>
          </cell>
          <cell r="M3240" t="str">
            <v>15,2/8,8</v>
          </cell>
          <cell r="N3240">
            <v>65</v>
          </cell>
          <cell r="O3240" t="str">
            <v>155(F)</v>
          </cell>
          <cell r="P3240" t="str">
            <v>0°</v>
          </cell>
          <cell r="Q3240" t="str">
            <v>-</v>
          </cell>
          <cell r="R3240" t="str">
            <v>-</v>
          </cell>
          <cell r="S3240" t="str">
            <v>-</v>
          </cell>
          <cell r="T3240" t="str">
            <v>-</v>
          </cell>
          <cell r="U3240" t="str">
            <v>-</v>
          </cell>
          <cell r="V3240" t="str">
            <v>SS</v>
          </cell>
          <cell r="W3240" t="str">
            <v>-</v>
          </cell>
          <cell r="X3240" t="str">
            <v>CLP HC 220 (-25/+60°C)</v>
          </cell>
          <cell r="Y3240" t="str">
            <v>KH107DRN132M4</v>
          </cell>
          <cell r="Z3240" t="str">
            <v>SEW</v>
          </cell>
          <cell r="AB3240" t="str">
            <v>-</v>
          </cell>
          <cell r="AF3240">
            <v>15</v>
          </cell>
          <cell r="AG3240" t="str">
            <v>DRN132M4</v>
          </cell>
          <cell r="AH3240" t="str">
            <v>KH107-DRN132M4B0-X</v>
          </cell>
        </row>
        <row r="3241">
          <cell r="A3241" t="str">
            <v>MR003229</v>
          </cell>
          <cell r="B3241" t="str">
            <v>MR</v>
          </cell>
          <cell r="C3241">
            <v>5.5</v>
          </cell>
          <cell r="D3241">
            <v>14</v>
          </cell>
          <cell r="E3241" t="str">
            <v>KH97</v>
          </cell>
          <cell r="F3241">
            <v>3770</v>
          </cell>
          <cell r="G3241">
            <v>105.13</v>
          </cell>
          <cell r="H3241">
            <v>1.1499999999999999</v>
          </cell>
          <cell r="I3241" t="str">
            <v>From M1B to M2B - 15°</v>
          </cell>
          <cell r="J3241" t="str">
            <v>IE3</v>
          </cell>
          <cell r="K3241" t="str">
            <v>230/400</v>
          </cell>
          <cell r="L3241">
            <v>50</v>
          </cell>
          <cell r="M3241" t="str">
            <v>18,2/10,5</v>
          </cell>
          <cell r="N3241">
            <v>65</v>
          </cell>
          <cell r="O3241" t="str">
            <v>155(F)</v>
          </cell>
          <cell r="P3241" t="str">
            <v>0°</v>
          </cell>
          <cell r="Q3241" t="str">
            <v>TF</v>
          </cell>
          <cell r="R3241" t="str">
            <v>V(VE)</v>
          </cell>
          <cell r="S3241" t="str">
            <v>-</v>
          </cell>
          <cell r="T3241" t="str">
            <v>-</v>
          </cell>
          <cell r="U3241" t="str">
            <v>-</v>
          </cell>
          <cell r="V3241" t="str">
            <v>FC</v>
          </cell>
          <cell r="W3241" t="str">
            <v>-</v>
          </cell>
          <cell r="X3241" t="str">
            <v>CLP HC 220 (-25/+60°C)</v>
          </cell>
          <cell r="Y3241" t="str">
            <v>KH97DRN132S4 /TF/V</v>
          </cell>
          <cell r="Z3241" t="str">
            <v>SEW</v>
          </cell>
          <cell r="AB3241" t="str">
            <v>-</v>
          </cell>
          <cell r="AF3241">
            <v>14</v>
          </cell>
          <cell r="AG3241" t="str">
            <v>DRN132S4</v>
          </cell>
          <cell r="AH3241" t="str">
            <v>KH97-DRN132S4B0-X#</v>
          </cell>
        </row>
        <row r="3242">
          <cell r="A3242" t="str">
            <v>MR003230</v>
          </cell>
          <cell r="B3242" t="str">
            <v>MR</v>
          </cell>
          <cell r="C3242">
            <v>5.5</v>
          </cell>
          <cell r="D3242">
            <v>14</v>
          </cell>
          <cell r="E3242" t="str">
            <v>KH97</v>
          </cell>
          <cell r="F3242">
            <v>3770</v>
          </cell>
          <cell r="G3242">
            <v>105.13</v>
          </cell>
          <cell r="H3242">
            <v>1.1499999999999999</v>
          </cell>
          <cell r="I3242" t="str">
            <v>From M1A to M2A - 15°</v>
          </cell>
          <cell r="J3242" t="str">
            <v>IE3</v>
          </cell>
          <cell r="K3242" t="str">
            <v>230/400</v>
          </cell>
          <cell r="L3242">
            <v>50</v>
          </cell>
          <cell r="M3242" t="str">
            <v>18,2/10,5</v>
          </cell>
          <cell r="N3242">
            <v>65</v>
          </cell>
          <cell r="O3242" t="str">
            <v>155(F)</v>
          </cell>
          <cell r="P3242" t="str">
            <v>180°</v>
          </cell>
          <cell r="Q3242" t="str">
            <v>TF</v>
          </cell>
          <cell r="R3242" t="str">
            <v>V(VE)</v>
          </cell>
          <cell r="S3242" t="str">
            <v>-</v>
          </cell>
          <cell r="T3242" t="str">
            <v>-</v>
          </cell>
          <cell r="U3242" t="str">
            <v>-</v>
          </cell>
          <cell r="V3242" t="str">
            <v>FC</v>
          </cell>
          <cell r="W3242" t="str">
            <v>-</v>
          </cell>
          <cell r="X3242" t="str">
            <v>CLP HC 220 (-25/+60°C)</v>
          </cell>
          <cell r="Y3242" t="str">
            <v>KH97DRN132S4 /TF/V</v>
          </cell>
          <cell r="Z3242" t="str">
            <v>SEW</v>
          </cell>
          <cell r="AB3242" t="str">
            <v>-</v>
          </cell>
          <cell r="AF3242">
            <v>14</v>
          </cell>
          <cell r="AG3242" t="str">
            <v>DRN132S4</v>
          </cell>
          <cell r="AH3242" t="str">
            <v>KH97-DRN132S4A180-X#</v>
          </cell>
        </row>
        <row r="3243">
          <cell r="A3243" t="str">
            <v>MR003231</v>
          </cell>
          <cell r="B3243" t="str">
            <v>ME</v>
          </cell>
          <cell r="C3243">
            <v>7.5</v>
          </cell>
          <cell r="D3243">
            <v>1464</v>
          </cell>
          <cell r="E3243" t="str">
            <v>M3BP 132SMG4</v>
          </cell>
          <cell r="F3243">
            <v>49</v>
          </cell>
          <cell r="H3243">
            <v>1</v>
          </cell>
          <cell r="I3243" t="str">
            <v>B5</v>
          </cell>
          <cell r="J3243" t="str">
            <v>IE3</v>
          </cell>
          <cell r="K3243">
            <v>400</v>
          </cell>
          <cell r="L3243">
            <v>50</v>
          </cell>
          <cell r="M3243">
            <v>14.7</v>
          </cell>
          <cell r="N3243">
            <v>65</v>
          </cell>
          <cell r="O3243" t="str">
            <v>155(F)</v>
          </cell>
          <cell r="Q3243" t="str">
            <v>TF</v>
          </cell>
          <cell r="R3243" t="str">
            <v>V(VE)</v>
          </cell>
          <cell r="V3243" t="str">
            <v>FC</v>
          </cell>
          <cell r="Y3243" t="str">
            <v>3GBP 132 270-BDK</v>
          </cell>
          <cell r="Z3243" t="str">
            <v>ABB</v>
          </cell>
          <cell r="AE3243" t="str">
            <v>NON USARE IN ATTESA DI DEFINITVO BONFIGLIOLI</v>
          </cell>
          <cell r="AF3243">
            <v>1464</v>
          </cell>
        </row>
        <row r="3244">
          <cell r="A3244" t="str">
            <v>MR003232</v>
          </cell>
          <cell r="B3244" t="str">
            <v>ME</v>
          </cell>
          <cell r="C3244">
            <v>45</v>
          </cell>
          <cell r="D3244">
            <v>1478</v>
          </cell>
          <cell r="E3244" t="str">
            <v>1CV3222B</v>
          </cell>
          <cell r="F3244">
            <v>290</v>
          </cell>
          <cell r="I3244" t="str">
            <v>IM B5</v>
          </cell>
          <cell r="J3244" t="str">
            <v>IE3</v>
          </cell>
          <cell r="K3244">
            <v>400</v>
          </cell>
          <cell r="L3244">
            <v>50</v>
          </cell>
          <cell r="M3244">
            <v>80</v>
          </cell>
          <cell r="N3244">
            <v>55</v>
          </cell>
          <cell r="O3244" t="str">
            <v>155(F)</v>
          </cell>
          <cell r="P3244" t="str">
            <v>TOP</v>
          </cell>
          <cell r="Q3244" t="str">
            <v>TF</v>
          </cell>
          <cell r="R3244" t="str">
            <v>-</v>
          </cell>
          <cell r="V3244" t="str">
            <v>D</v>
          </cell>
          <cell r="W3244" t="str">
            <v>YES</v>
          </cell>
          <cell r="Y3244" t="str">
            <v>1MB1523-2BB23-4FB4-Z D03+Q02</v>
          </cell>
          <cell r="Z3244" t="str">
            <v>SIEMENS</v>
          </cell>
          <cell r="AB3244" t="str">
            <v>ATEX22</v>
          </cell>
          <cell r="AF3244">
            <v>1478</v>
          </cell>
        </row>
        <row r="3245">
          <cell r="A3245" t="str">
            <v>MR003233</v>
          </cell>
          <cell r="B3245" t="str">
            <v>ME</v>
          </cell>
          <cell r="C3245">
            <v>4</v>
          </cell>
          <cell r="D3245">
            <v>2950</v>
          </cell>
          <cell r="E3245" t="str">
            <v>1AV3112A</v>
          </cell>
          <cell r="F3245">
            <v>12.9</v>
          </cell>
          <cell r="I3245" t="str">
            <v>IM B5</v>
          </cell>
          <cell r="J3245" t="str">
            <v>IE3</v>
          </cell>
          <cell r="K3245">
            <v>400</v>
          </cell>
          <cell r="L3245">
            <v>50</v>
          </cell>
          <cell r="M3245">
            <v>7.4</v>
          </cell>
          <cell r="N3245">
            <v>55</v>
          </cell>
          <cell r="O3245" t="str">
            <v>155(F)</v>
          </cell>
          <cell r="P3245" t="str">
            <v>TOP</v>
          </cell>
          <cell r="R3245" t="str">
            <v>-</v>
          </cell>
          <cell r="V3245" t="str">
            <v>D</v>
          </cell>
          <cell r="W3245" t="str">
            <v>YES</v>
          </cell>
          <cell r="Y3245" t="str">
            <v>1MB1023-1BA22-2FA4-Z D03+Q02</v>
          </cell>
          <cell r="Z3245" t="str">
            <v>SIEMENS</v>
          </cell>
          <cell r="AB3245" t="str">
            <v>ATEX22</v>
          </cell>
          <cell r="AF3245">
            <v>2950</v>
          </cell>
        </row>
        <row r="3246">
          <cell r="A3246" t="str">
            <v>MR003234</v>
          </cell>
          <cell r="B3246" t="str">
            <v>MR</v>
          </cell>
          <cell r="C3246">
            <v>7.5</v>
          </cell>
          <cell r="D3246">
            <v>16.600000000000001</v>
          </cell>
          <cell r="E3246" t="str">
            <v>FH97</v>
          </cell>
          <cell r="F3246">
            <v>3620</v>
          </cell>
          <cell r="G3246">
            <v>89.85</v>
          </cell>
          <cell r="H3246">
            <v>1.2</v>
          </cell>
          <cell r="I3246" t="str">
            <v>M1 to M2 - 10°</v>
          </cell>
          <cell r="J3246" t="str">
            <v>IE3</v>
          </cell>
          <cell r="K3246" t="str">
            <v>277/480</v>
          </cell>
          <cell r="L3246">
            <v>60</v>
          </cell>
          <cell r="M3246" t="str">
            <v>22,0/12,7</v>
          </cell>
          <cell r="N3246">
            <v>65</v>
          </cell>
          <cell r="O3246" t="str">
            <v>155(F)</v>
          </cell>
          <cell r="P3246" t="str">
            <v>270°</v>
          </cell>
          <cell r="Q3246" t="str">
            <v>TF</v>
          </cell>
          <cell r="R3246" t="str">
            <v>V(VE)</v>
          </cell>
          <cell r="S3246" t="str">
            <v>-</v>
          </cell>
          <cell r="T3246" t="str">
            <v>-</v>
          </cell>
          <cell r="U3246" t="str">
            <v>G</v>
          </cell>
          <cell r="V3246" t="str">
            <v>FC</v>
          </cell>
          <cell r="W3246" t="str">
            <v>-</v>
          </cell>
          <cell r="X3246" t="str">
            <v>CLP 220 (-15/+40°C)</v>
          </cell>
          <cell r="Y3246" t="str">
            <v>FH97/G DRN132M4 /TF/V</v>
          </cell>
          <cell r="Z3246" t="str">
            <v>SEW</v>
          </cell>
          <cell r="AB3246" t="str">
            <v>-</v>
          </cell>
          <cell r="AG3246" t="str">
            <v>DRN132M4</v>
          </cell>
          <cell r="AH3246" t="str">
            <v>FH97G-DRN132M4270-X#</v>
          </cell>
        </row>
        <row r="3247">
          <cell r="A3247" t="str">
            <v>MR003235</v>
          </cell>
          <cell r="B3247" t="str">
            <v>MR</v>
          </cell>
          <cell r="C3247">
            <v>1.5</v>
          </cell>
          <cell r="D3247">
            <v>18.3</v>
          </cell>
          <cell r="E3247" t="str">
            <v>FA67</v>
          </cell>
          <cell r="F3247">
            <v>645</v>
          </cell>
          <cell r="G3247">
            <v>79.760000000000005</v>
          </cell>
          <cell r="H3247">
            <v>1.25</v>
          </cell>
          <cell r="I3247" t="str">
            <v>M5</v>
          </cell>
          <cell r="J3247" t="str">
            <v>IE3</v>
          </cell>
          <cell r="K3247" t="str">
            <v>277/480</v>
          </cell>
          <cell r="L3247">
            <v>60</v>
          </cell>
          <cell r="M3247" t="str">
            <v>5,0/2,9</v>
          </cell>
          <cell r="N3247">
            <v>65</v>
          </cell>
          <cell r="O3247" t="str">
            <v>155(F)</v>
          </cell>
          <cell r="P3247" t="str">
            <v>270°</v>
          </cell>
          <cell r="Q3247" t="str">
            <v>-</v>
          </cell>
          <cell r="R3247" t="str">
            <v>-</v>
          </cell>
          <cell r="S3247" t="str">
            <v>-</v>
          </cell>
          <cell r="T3247" t="str">
            <v>BEHF</v>
          </cell>
          <cell r="U3247" t="str">
            <v>G</v>
          </cell>
          <cell r="V3247" t="str">
            <v>-</v>
          </cell>
          <cell r="W3247" t="str">
            <v>-</v>
          </cell>
          <cell r="X3247" t="str">
            <v>CLP 220 (-15/+40°C)</v>
          </cell>
          <cell r="Y3247" t="str">
            <v>FA67/G DRN90L4 /BEHF</v>
          </cell>
          <cell r="Z3247" t="str">
            <v>SEW</v>
          </cell>
          <cell r="AB3247" t="str">
            <v>-</v>
          </cell>
          <cell r="AG3247" t="str">
            <v>DRN90L4</v>
          </cell>
          <cell r="AH3247" t="str">
            <v>FA67G-DRN90L4270-X</v>
          </cell>
        </row>
        <row r="3248">
          <cell r="A3248" t="str">
            <v>MR003236</v>
          </cell>
          <cell r="B3248" t="str">
            <v>MR</v>
          </cell>
          <cell r="C3248">
            <v>1.5</v>
          </cell>
          <cell r="D3248">
            <v>18.2</v>
          </cell>
          <cell r="E3248" t="str">
            <v>FA67</v>
          </cell>
          <cell r="F3248">
            <v>645</v>
          </cell>
          <cell r="G3248">
            <v>79.760000000000005</v>
          </cell>
          <cell r="H3248">
            <v>1.25</v>
          </cell>
          <cell r="I3248" t="str">
            <v>M6</v>
          </cell>
          <cell r="J3248" t="str">
            <v>IE3</v>
          </cell>
          <cell r="K3248" t="str">
            <v>277/480</v>
          </cell>
          <cell r="L3248">
            <v>60</v>
          </cell>
          <cell r="M3248" t="str">
            <v>5,0/2,9</v>
          </cell>
          <cell r="N3248">
            <v>65</v>
          </cell>
          <cell r="O3248" t="str">
            <v>155(F)</v>
          </cell>
          <cell r="P3248" t="str">
            <v>270°</v>
          </cell>
          <cell r="Q3248" t="str">
            <v>-</v>
          </cell>
          <cell r="R3248" t="str">
            <v>-</v>
          </cell>
          <cell r="S3248" t="str">
            <v>-</v>
          </cell>
          <cell r="T3248" t="str">
            <v>BEHF</v>
          </cell>
          <cell r="U3248" t="str">
            <v>G</v>
          </cell>
          <cell r="V3248" t="str">
            <v>-</v>
          </cell>
          <cell r="W3248" t="str">
            <v>-</v>
          </cell>
          <cell r="X3248" t="str">
            <v>CLP 220 (-15/+40°C)</v>
          </cell>
          <cell r="Y3248" t="str">
            <v>FA67/G DRN90L4 /BEHF</v>
          </cell>
          <cell r="Z3248" t="str">
            <v>SEW</v>
          </cell>
          <cell r="AB3248" t="str">
            <v>-</v>
          </cell>
          <cell r="AG3248" t="str">
            <v>DRN90L4</v>
          </cell>
          <cell r="AH3248" t="str">
            <v>FA67G-DRN90L4270-X</v>
          </cell>
        </row>
        <row r="3249">
          <cell r="A3249" t="str">
            <v>MR003237</v>
          </cell>
          <cell r="B3249" t="str">
            <v>ME</v>
          </cell>
          <cell r="C3249">
            <v>4</v>
          </cell>
          <cell r="D3249">
            <v>2950</v>
          </cell>
          <cell r="E3249" t="str">
            <v>1AV3112A</v>
          </cell>
          <cell r="F3249">
            <v>12.9</v>
          </cell>
          <cell r="I3249" t="str">
            <v>B5</v>
          </cell>
          <cell r="J3249" t="str">
            <v>IE3</v>
          </cell>
          <cell r="K3249" t="str">
            <v>230/400</v>
          </cell>
          <cell r="L3249">
            <v>50</v>
          </cell>
          <cell r="M3249" t="str">
            <v>12,8/7,4</v>
          </cell>
          <cell r="N3249">
            <v>65</v>
          </cell>
          <cell r="O3249" t="str">
            <v>155(F)</v>
          </cell>
          <cell r="Q3249" t="str">
            <v>TF</v>
          </cell>
          <cell r="R3249" t="str">
            <v>-</v>
          </cell>
          <cell r="V3249" t="str">
            <v>D</v>
          </cell>
          <cell r="W3249" t="str">
            <v>-</v>
          </cell>
          <cell r="Y3249" t="str">
            <v>1LE1003-1BA22-2FA4 D03+D47+Q02</v>
          </cell>
          <cell r="Z3249" t="str">
            <v>SIEMENS</v>
          </cell>
          <cell r="AH3249" t="str">
            <v>1AV3112A-B-X</v>
          </cell>
        </row>
        <row r="3250">
          <cell r="A3250" t="str">
            <v>MR003238</v>
          </cell>
          <cell r="B3250" t="str">
            <v>MR</v>
          </cell>
          <cell r="C3250">
            <v>7.5</v>
          </cell>
          <cell r="D3250">
            <v>64</v>
          </cell>
          <cell r="E3250" t="str">
            <v>K77</v>
          </cell>
          <cell r="F3250">
            <v>1130</v>
          </cell>
          <cell r="G3250">
            <v>23.08</v>
          </cell>
          <cell r="H3250">
            <v>1.4</v>
          </cell>
          <cell r="I3250" t="str">
            <v>M4A</v>
          </cell>
          <cell r="J3250" t="str">
            <v>IE3</v>
          </cell>
          <cell r="K3250" t="str">
            <v>400/690</v>
          </cell>
          <cell r="L3250">
            <v>50</v>
          </cell>
          <cell r="M3250" t="str">
            <v>15,2/8,8</v>
          </cell>
          <cell r="N3250">
            <v>65</v>
          </cell>
          <cell r="O3250" t="str">
            <v>155(F)</v>
          </cell>
          <cell r="P3250" t="str">
            <v>270°</v>
          </cell>
          <cell r="Q3250" t="str">
            <v>TF</v>
          </cell>
          <cell r="R3250" t="str">
            <v>V(VE)</v>
          </cell>
          <cell r="S3250" t="str">
            <v>-</v>
          </cell>
          <cell r="T3250" t="str">
            <v>-</v>
          </cell>
          <cell r="U3250" t="str">
            <v>-</v>
          </cell>
          <cell r="V3250" t="str">
            <v>FC+R</v>
          </cell>
          <cell r="W3250" t="str">
            <v>-</v>
          </cell>
          <cell r="X3250" t="str">
            <v>CLP HC 150 (-30/+50°C)</v>
          </cell>
          <cell r="Y3250" t="str">
            <v>K77DRN132M4 /TF/V</v>
          </cell>
          <cell r="Z3250" t="str">
            <v>SEW</v>
          </cell>
          <cell r="AB3250" t="str">
            <v>-</v>
          </cell>
          <cell r="AF3250">
            <v>64</v>
          </cell>
          <cell r="AG3250" t="str">
            <v>DRN132M4</v>
          </cell>
          <cell r="AH3250" t="str">
            <v>K77-DRN132M4A270-X#</v>
          </cell>
        </row>
        <row r="3251">
          <cell r="A3251" t="str">
            <v>MR003239</v>
          </cell>
          <cell r="B3251" t="str">
            <v>MR</v>
          </cell>
          <cell r="C3251">
            <v>3</v>
          </cell>
          <cell r="D3251">
            <v>61</v>
          </cell>
          <cell r="E3251" t="str">
            <v>KT67</v>
          </cell>
          <cell r="F3251">
            <v>470</v>
          </cell>
          <cell r="G3251">
            <v>24</v>
          </cell>
          <cell r="H3251">
            <v>1.7</v>
          </cell>
          <cell r="I3251" t="str">
            <v>M4A</v>
          </cell>
          <cell r="J3251" t="str">
            <v>IE3</v>
          </cell>
          <cell r="K3251" t="str">
            <v>230/400</v>
          </cell>
          <cell r="L3251">
            <v>50</v>
          </cell>
          <cell r="M3251" t="str">
            <v>11,2/6,4</v>
          </cell>
          <cell r="N3251">
            <v>65</v>
          </cell>
          <cell r="O3251" t="str">
            <v>155(F)</v>
          </cell>
          <cell r="P3251" t="str">
            <v>270°</v>
          </cell>
          <cell r="Q3251" t="str">
            <v>TF</v>
          </cell>
          <cell r="R3251" t="str">
            <v>-</v>
          </cell>
          <cell r="S3251" t="str">
            <v>-</v>
          </cell>
          <cell r="T3251" t="str">
            <v>-</v>
          </cell>
          <cell r="U3251" t="str">
            <v>T</v>
          </cell>
          <cell r="V3251" t="str">
            <v>D</v>
          </cell>
          <cell r="W3251" t="str">
            <v>-</v>
          </cell>
          <cell r="X3251" t="str">
            <v>CLP HC 150 (-30/+50°C)</v>
          </cell>
          <cell r="Y3251" t="str">
            <v>KT67/T DRN100L4 /TF</v>
          </cell>
          <cell r="Z3251" t="str">
            <v>SEW</v>
          </cell>
          <cell r="AB3251" t="str">
            <v>-</v>
          </cell>
          <cell r="AF3251">
            <v>61</v>
          </cell>
          <cell r="AG3251" t="str">
            <v>DRN100L4</v>
          </cell>
          <cell r="AH3251" t="str">
            <v>KT67T-DRN100L4A270-X</v>
          </cell>
        </row>
        <row r="3252">
          <cell r="A3252" t="str">
            <v>MR003240</v>
          </cell>
          <cell r="B3252" t="str">
            <v>MR</v>
          </cell>
          <cell r="C3252">
            <v>0.75</v>
          </cell>
          <cell r="D3252">
            <v>162</v>
          </cell>
          <cell r="E3252" t="str">
            <v>KT37</v>
          </cell>
          <cell r="F3252">
            <v>44</v>
          </cell>
          <cell r="G3252">
            <v>8.91</v>
          </cell>
          <cell r="H3252">
            <v>3.6</v>
          </cell>
          <cell r="I3252" t="str">
            <v>M3B</v>
          </cell>
          <cell r="J3252" t="str">
            <v>IE3</v>
          </cell>
          <cell r="K3252" t="str">
            <v>230/400</v>
          </cell>
          <cell r="L3252">
            <v>50</v>
          </cell>
          <cell r="M3252" t="str">
            <v>3,05/1,75</v>
          </cell>
          <cell r="N3252">
            <v>65</v>
          </cell>
          <cell r="O3252" t="str">
            <v>155(F)</v>
          </cell>
          <cell r="P3252" t="str">
            <v>0°</v>
          </cell>
          <cell r="Q3252" t="str">
            <v>TF</v>
          </cell>
          <cell r="R3252" t="str">
            <v>-</v>
          </cell>
          <cell r="S3252" t="str">
            <v>-</v>
          </cell>
          <cell r="T3252" t="str">
            <v>-</v>
          </cell>
          <cell r="U3252" t="str">
            <v>T</v>
          </cell>
          <cell r="V3252" t="str">
            <v>D</v>
          </cell>
          <cell r="W3252" t="str">
            <v>-</v>
          </cell>
          <cell r="X3252" t="str">
            <v>CLP HC 150 (-30/+50°C)</v>
          </cell>
          <cell r="Y3252" t="str">
            <v>KT37/T DRN80M4 /TF</v>
          </cell>
          <cell r="Z3252" t="str">
            <v>SEW</v>
          </cell>
          <cell r="AB3252" t="str">
            <v>-</v>
          </cell>
          <cell r="AF3252">
            <v>162</v>
          </cell>
          <cell r="AG3252" t="str">
            <v>DRN80M4</v>
          </cell>
          <cell r="AH3252" t="str">
            <v>KT37T-DRN80M4B0-X</v>
          </cell>
        </row>
        <row r="3253">
          <cell r="A3253" t="str">
            <v>MR003241</v>
          </cell>
          <cell r="B3253" t="str">
            <v>MR</v>
          </cell>
          <cell r="C3253">
            <v>0.37</v>
          </cell>
          <cell r="D3253">
            <v>6.2</v>
          </cell>
          <cell r="E3253" t="str">
            <v>FT67</v>
          </cell>
          <cell r="F3253">
            <v>570</v>
          </cell>
          <cell r="G3253">
            <v>228.99</v>
          </cell>
          <cell r="H3253">
            <v>1.45</v>
          </cell>
          <cell r="I3253" t="str">
            <v>M5</v>
          </cell>
          <cell r="J3253" t="str">
            <v>IE3</v>
          </cell>
          <cell r="K3253" t="str">
            <v>230/400</v>
          </cell>
          <cell r="L3253">
            <v>50</v>
          </cell>
          <cell r="M3253" t="str">
            <v>1,78/1,02</v>
          </cell>
          <cell r="N3253">
            <v>65</v>
          </cell>
          <cell r="O3253" t="str">
            <v>155(F)</v>
          </cell>
          <cell r="P3253" t="str">
            <v>180°</v>
          </cell>
          <cell r="Q3253" t="str">
            <v>TF</v>
          </cell>
          <cell r="R3253" t="str">
            <v>-</v>
          </cell>
          <cell r="S3253" t="str">
            <v>-</v>
          </cell>
          <cell r="T3253" t="str">
            <v>-</v>
          </cell>
          <cell r="U3253" t="str">
            <v>G</v>
          </cell>
          <cell r="V3253" t="str">
            <v>D</v>
          </cell>
          <cell r="W3253" t="str">
            <v>-</v>
          </cell>
          <cell r="X3253" t="str">
            <v>CLP HC 150 (-30/+50°C)</v>
          </cell>
          <cell r="Y3253" t="str">
            <v>FT67/GDRN71M4/TF</v>
          </cell>
          <cell r="Z3253" t="str">
            <v>SEW</v>
          </cell>
          <cell r="AB3253" t="str">
            <v>-</v>
          </cell>
          <cell r="AE3253" t="str">
            <v>NON USARE PRELIMINARE TORTOSA</v>
          </cell>
          <cell r="AF3253">
            <v>6.2</v>
          </cell>
          <cell r="AG3253" t="str">
            <v>DRN71M4</v>
          </cell>
          <cell r="AH3253" t="str">
            <v>FT67G-DRN71M4180-X</v>
          </cell>
        </row>
        <row r="3254">
          <cell r="A3254" t="str">
            <v>MR003242</v>
          </cell>
          <cell r="B3254" t="str">
            <v>MR</v>
          </cell>
          <cell r="C3254">
            <v>37</v>
          </cell>
          <cell r="D3254">
            <v>110</v>
          </cell>
          <cell r="E3254" t="str">
            <v>KH107</v>
          </cell>
          <cell r="F3254">
            <v>3200</v>
          </cell>
          <cell r="G3254">
            <v>13.43</v>
          </cell>
          <cell r="H3254">
            <v>1.35</v>
          </cell>
          <cell r="I3254" t="str">
            <v>From M4B to M1B - 15°</v>
          </cell>
          <cell r="J3254" t="str">
            <v>IE3</v>
          </cell>
          <cell r="K3254" t="str">
            <v>240/415</v>
          </cell>
          <cell r="L3254">
            <v>50</v>
          </cell>
          <cell r="M3254" t="str">
            <v>106/62</v>
          </cell>
          <cell r="N3254">
            <v>65</v>
          </cell>
          <cell r="O3254" t="str">
            <v>155(F)</v>
          </cell>
          <cell r="P3254" t="str">
            <v>270°</v>
          </cell>
          <cell r="Q3254" t="str">
            <v>TF</v>
          </cell>
          <cell r="R3254" t="str">
            <v>V(VE)</v>
          </cell>
          <cell r="S3254" t="str">
            <v>Free rotation CW</v>
          </cell>
          <cell r="T3254" t="str">
            <v>-</v>
          </cell>
          <cell r="U3254" t="str">
            <v>T</v>
          </cell>
          <cell r="V3254" t="str">
            <v>FC</v>
          </cell>
          <cell r="W3254" t="str">
            <v>-</v>
          </cell>
          <cell r="X3254" t="str">
            <v>CLP HC 220 (-25/+60°C)</v>
          </cell>
          <cell r="Y3254" t="str">
            <v>KH107/T DRN225S4 /RS /TF/V</v>
          </cell>
          <cell r="Z3254" t="str">
            <v>SEW</v>
          </cell>
          <cell r="AB3254" t="str">
            <v>-</v>
          </cell>
          <cell r="AE3254" t="str">
            <v>NON USARE PRELIMINARE TORTOSA</v>
          </cell>
          <cell r="AF3254">
            <v>110</v>
          </cell>
          <cell r="AG3254" t="str">
            <v>DRN225S4</v>
          </cell>
          <cell r="AH3254" t="str">
            <v>KH107T-DRN225S4B270-X#</v>
          </cell>
          <cell r="AI3254" t="str">
            <v>NON USARE</v>
          </cell>
        </row>
        <row r="3255">
          <cell r="A3255" t="str">
            <v>MR003243</v>
          </cell>
          <cell r="B3255" t="str">
            <v>MR</v>
          </cell>
          <cell r="C3255">
            <v>0.37</v>
          </cell>
          <cell r="D3255">
            <v>4.8</v>
          </cell>
          <cell r="E3255" t="str">
            <v>FT67</v>
          </cell>
          <cell r="F3255">
            <v>740</v>
          </cell>
          <cell r="G3255">
            <v>195.39</v>
          </cell>
          <cell r="H3255">
            <v>1.1000000000000001</v>
          </cell>
          <cell r="I3255" t="str">
            <v>M5</v>
          </cell>
          <cell r="J3255" t="str">
            <v>IE3</v>
          </cell>
          <cell r="K3255" t="str">
            <v>230/400</v>
          </cell>
          <cell r="L3255">
            <v>50</v>
          </cell>
          <cell r="M3255" t="str">
            <v>1,82/1,05</v>
          </cell>
          <cell r="N3255">
            <v>65</v>
          </cell>
          <cell r="O3255" t="str">
            <v>155(F)</v>
          </cell>
          <cell r="P3255" t="str">
            <v>180°</v>
          </cell>
          <cell r="Q3255" t="str">
            <v>TF</v>
          </cell>
          <cell r="R3255" t="str">
            <v>-</v>
          </cell>
          <cell r="S3255" t="str">
            <v>-</v>
          </cell>
          <cell r="T3255" t="str">
            <v>-</v>
          </cell>
          <cell r="U3255" t="str">
            <v>G</v>
          </cell>
          <cell r="V3255" t="str">
            <v>D</v>
          </cell>
          <cell r="W3255" t="str">
            <v>-</v>
          </cell>
          <cell r="X3255" t="str">
            <v>CLP HC 150 (-30/+50°C)</v>
          </cell>
          <cell r="Y3255" t="str">
            <v>FT67/GDRN80MK6</v>
          </cell>
          <cell r="Z3255" t="str">
            <v>SEW</v>
          </cell>
          <cell r="AB3255" t="str">
            <v>-</v>
          </cell>
          <cell r="AF3255">
            <v>4.8</v>
          </cell>
          <cell r="AG3255" t="str">
            <v>DRN71M4</v>
          </cell>
          <cell r="AH3255" t="str">
            <v>FT67G-DRN71M4180-X</v>
          </cell>
        </row>
        <row r="3256">
          <cell r="A3256" t="str">
            <v>MR003244</v>
          </cell>
          <cell r="B3256" t="str">
            <v>MR</v>
          </cell>
          <cell r="C3256">
            <v>3</v>
          </cell>
          <cell r="D3256">
            <v>2</v>
          </cell>
          <cell r="E3256" t="str">
            <v>FT127R77</v>
          </cell>
          <cell r="F3256">
            <v>13200</v>
          </cell>
          <cell r="G3256">
            <v>727</v>
          </cell>
          <cell r="H3256">
            <v>0.9</v>
          </cell>
          <cell r="I3256" t="str">
            <v>M1</v>
          </cell>
          <cell r="J3256" t="str">
            <v>IE3</v>
          </cell>
          <cell r="K3256" t="str">
            <v>230/400</v>
          </cell>
          <cell r="L3256">
            <v>50</v>
          </cell>
          <cell r="M3256" t="str">
            <v>11,2/6,4</v>
          </cell>
          <cell r="N3256">
            <v>65</v>
          </cell>
          <cell r="O3256" t="str">
            <v>155(F)</v>
          </cell>
          <cell r="P3256" t="str">
            <v>270°</v>
          </cell>
          <cell r="Q3256" t="str">
            <v>TF</v>
          </cell>
          <cell r="R3256" t="str">
            <v>V(VE)</v>
          </cell>
          <cell r="S3256" t="str">
            <v>-</v>
          </cell>
          <cell r="T3256" t="str">
            <v>-</v>
          </cell>
          <cell r="U3256" t="str">
            <v>G</v>
          </cell>
          <cell r="V3256" t="str">
            <v>FC</v>
          </cell>
          <cell r="W3256" t="str">
            <v>-</v>
          </cell>
          <cell r="X3256" t="str">
            <v>CLP HC 150 (-30/+50°C)</v>
          </cell>
          <cell r="Y3256" t="str">
            <v>FT127R77/G DRN100L4 /TF/V</v>
          </cell>
          <cell r="Z3256" t="str">
            <v>SEW</v>
          </cell>
          <cell r="AB3256" t="str">
            <v>-</v>
          </cell>
          <cell r="AF3256">
            <v>2</v>
          </cell>
          <cell r="AG3256" t="str">
            <v>DRN100L4</v>
          </cell>
          <cell r="AH3256" t="str">
            <v>FT127R77G-DRN100L4270-X#</v>
          </cell>
        </row>
        <row r="3257">
          <cell r="A3257" t="str">
            <v>MR003245</v>
          </cell>
          <cell r="B3257" t="str">
            <v>MR</v>
          </cell>
          <cell r="C3257">
            <v>9.1999999999999993</v>
          </cell>
          <cell r="D3257">
            <v>55</v>
          </cell>
          <cell r="E3257" t="str">
            <v>FT87</v>
          </cell>
          <cell r="F3257">
            <v>1580</v>
          </cell>
          <cell r="G3257">
            <v>26.5</v>
          </cell>
          <cell r="H3257">
            <v>1.9</v>
          </cell>
          <cell r="I3257" t="str">
            <v>M1</v>
          </cell>
          <cell r="J3257" t="str">
            <v>IE3</v>
          </cell>
          <cell r="K3257" t="str">
            <v>400/690</v>
          </cell>
          <cell r="L3257">
            <v>50</v>
          </cell>
          <cell r="M3257" t="str">
            <v>18,7/10,8</v>
          </cell>
          <cell r="N3257">
            <v>65</v>
          </cell>
          <cell r="O3257" t="str">
            <v>155(F)</v>
          </cell>
          <cell r="P3257" t="str">
            <v>270°</v>
          </cell>
          <cell r="Q3257" t="str">
            <v>TF</v>
          </cell>
          <cell r="R3257" t="str">
            <v>-</v>
          </cell>
          <cell r="S3257" t="str">
            <v>-</v>
          </cell>
          <cell r="T3257" t="str">
            <v>-</v>
          </cell>
          <cell r="U3257" t="str">
            <v>G</v>
          </cell>
          <cell r="V3257" t="str">
            <v>D</v>
          </cell>
          <cell r="W3257" t="str">
            <v>-</v>
          </cell>
          <cell r="X3257" t="str">
            <v>CLP HC 150 (-30/+50°C)</v>
          </cell>
          <cell r="Y3257" t="str">
            <v>FT87/G DRN132L4 /TF</v>
          </cell>
          <cell r="Z3257" t="str">
            <v>SEW</v>
          </cell>
          <cell r="AB3257" t="str">
            <v>-</v>
          </cell>
          <cell r="AF3257">
            <v>55</v>
          </cell>
          <cell r="AG3257" t="str">
            <v>DRN132L4</v>
          </cell>
          <cell r="AH3257" t="str">
            <v>FT87G-DRN132L4270-X</v>
          </cell>
        </row>
        <row r="3258">
          <cell r="A3258" t="str">
            <v>MR003246</v>
          </cell>
          <cell r="B3258" t="str">
            <v>MR</v>
          </cell>
          <cell r="C3258">
            <v>11</v>
          </cell>
          <cell r="D3258">
            <v>109</v>
          </cell>
          <cell r="E3258" t="str">
            <v>KH77</v>
          </cell>
          <cell r="F3258">
            <v>960</v>
          </cell>
          <cell r="G3258">
            <v>13.52</v>
          </cell>
          <cell r="H3258">
            <v>1.1000000000000001</v>
          </cell>
          <cell r="I3258" t="str">
            <v>M4B</v>
          </cell>
          <cell r="J3258" t="str">
            <v>IE3</v>
          </cell>
          <cell r="K3258" t="str">
            <v>400/690</v>
          </cell>
          <cell r="L3258">
            <v>50</v>
          </cell>
          <cell r="M3258" t="str">
            <v>21,5/12,4</v>
          </cell>
          <cell r="N3258">
            <v>65</v>
          </cell>
          <cell r="O3258" t="str">
            <v>155(F)</v>
          </cell>
          <cell r="P3258" t="str">
            <v>270°</v>
          </cell>
          <cell r="Q3258" t="str">
            <v>-</v>
          </cell>
          <cell r="R3258" t="str">
            <v>-</v>
          </cell>
          <cell r="S3258" t="str">
            <v>-</v>
          </cell>
          <cell r="T3258" t="str">
            <v>-</v>
          </cell>
          <cell r="U3258" t="str">
            <v>T</v>
          </cell>
          <cell r="V3258" t="str">
            <v>SS</v>
          </cell>
          <cell r="W3258" t="str">
            <v>-</v>
          </cell>
          <cell r="X3258" t="str">
            <v>CLP HC 220 (-25/+60°C)</v>
          </cell>
          <cell r="Y3258" t="str">
            <v>KH77/T/II2GDEDRN160M4/3D/AL/C</v>
          </cell>
          <cell r="Z3258" t="str">
            <v>SEW</v>
          </cell>
          <cell r="AB3258" t="str">
            <v>ATEX22</v>
          </cell>
          <cell r="AF3258">
            <v>109</v>
          </cell>
          <cell r="AG3258" t="str">
            <v>EDRN160M4</v>
          </cell>
          <cell r="AH3258" t="str">
            <v>KH77T-EDRN160M4B270-X</v>
          </cell>
        </row>
        <row r="3259">
          <cell r="A3259" t="str">
            <v>MR003247</v>
          </cell>
          <cell r="B3259" t="str">
            <v>MR</v>
          </cell>
          <cell r="C3259">
            <v>0.75</v>
          </cell>
          <cell r="D3259">
            <v>162</v>
          </cell>
          <cell r="E3259" t="str">
            <v>KA37</v>
          </cell>
          <cell r="F3259">
            <v>44</v>
          </cell>
          <cell r="G3259">
            <v>8.91</v>
          </cell>
          <cell r="H3259">
            <v>2.5</v>
          </cell>
          <cell r="I3259" t="str">
            <v>M3B</v>
          </cell>
          <cell r="J3259" t="str">
            <v>IE3</v>
          </cell>
          <cell r="K3259" t="str">
            <v>230/400</v>
          </cell>
          <cell r="L3259">
            <v>50</v>
          </cell>
          <cell r="M3259" t="str">
            <v>3,1/1,79</v>
          </cell>
          <cell r="N3259">
            <v>65</v>
          </cell>
          <cell r="O3259" t="str">
            <v>155(F)</v>
          </cell>
          <cell r="P3259" t="str">
            <v>0°</v>
          </cell>
          <cell r="Q3259" t="str">
            <v>-</v>
          </cell>
          <cell r="R3259" t="str">
            <v>-</v>
          </cell>
          <cell r="S3259" t="str">
            <v>-</v>
          </cell>
          <cell r="T3259" t="str">
            <v>-</v>
          </cell>
          <cell r="U3259" t="str">
            <v>T</v>
          </cell>
          <cell r="V3259" t="str">
            <v>D</v>
          </cell>
          <cell r="W3259" t="str">
            <v>-</v>
          </cell>
          <cell r="X3259" t="str">
            <v>CLP HC 220 (-25/+60°C)</v>
          </cell>
          <cell r="Y3259" t="str">
            <v>KA37/T/II2GDEDRN80M4/3D/KCC/AL</v>
          </cell>
          <cell r="Z3259" t="str">
            <v>SEW</v>
          </cell>
          <cell r="AB3259" t="str">
            <v>ATEX22</v>
          </cell>
          <cell r="AF3259">
            <v>162</v>
          </cell>
          <cell r="AG3259" t="str">
            <v>EDRN80M4</v>
          </cell>
          <cell r="AH3259" t="str">
            <v>KA37T-EDRN80M4B0-X</v>
          </cell>
        </row>
        <row r="3260">
          <cell r="A3260" t="str">
            <v>MR003248</v>
          </cell>
          <cell r="B3260" t="str">
            <v>MR</v>
          </cell>
          <cell r="C3260">
            <v>0.37</v>
          </cell>
          <cell r="D3260">
            <v>4.5999999999999996</v>
          </cell>
          <cell r="E3260" t="str">
            <v>FA67/R37</v>
          </cell>
          <cell r="F3260">
            <v>690</v>
          </cell>
          <cell r="G3260">
            <v>305</v>
          </cell>
          <cell r="H3260">
            <v>1.2</v>
          </cell>
          <cell r="I3260" t="str">
            <v>M6</v>
          </cell>
          <cell r="J3260" t="str">
            <v>IE3</v>
          </cell>
          <cell r="K3260" t="str">
            <v>230/400</v>
          </cell>
          <cell r="L3260">
            <v>50</v>
          </cell>
          <cell r="M3260" t="str">
            <v>1,98/1,14</v>
          </cell>
          <cell r="N3260">
            <v>65</v>
          </cell>
          <cell r="O3260" t="str">
            <v>155(F)</v>
          </cell>
          <cell r="P3260" t="str">
            <v>0°</v>
          </cell>
          <cell r="Q3260" t="str">
            <v>-</v>
          </cell>
          <cell r="R3260" t="str">
            <v>-</v>
          </cell>
          <cell r="S3260" t="str">
            <v>-</v>
          </cell>
          <cell r="T3260" t="str">
            <v>-</v>
          </cell>
          <cell r="U3260" t="str">
            <v>G</v>
          </cell>
          <cell r="V3260" t="str">
            <v>D</v>
          </cell>
          <cell r="W3260" t="str">
            <v>-</v>
          </cell>
          <cell r="X3260" t="str">
            <v>CLP HC 220 (-25/+60°C)</v>
          </cell>
          <cell r="Y3260" t="str">
            <v>FA67/GR37/II2GDEDRN71M4/3D/KCC/AL</v>
          </cell>
          <cell r="Z3260" t="str">
            <v>SEW</v>
          </cell>
          <cell r="AB3260" t="str">
            <v>ATEX22</v>
          </cell>
          <cell r="AF3260">
            <v>4.5999999999999996</v>
          </cell>
          <cell r="AG3260" t="str">
            <v>EDRN71M4</v>
          </cell>
          <cell r="AH3260" t="str">
            <v>FA67/R37G-EDRN71M40-X</v>
          </cell>
        </row>
        <row r="3261">
          <cell r="A3261" t="str">
            <v>MR003249</v>
          </cell>
          <cell r="B3261" t="str">
            <v>MR</v>
          </cell>
          <cell r="C3261">
            <v>11</v>
          </cell>
          <cell r="D3261">
            <v>16</v>
          </cell>
          <cell r="E3261" t="str">
            <v>KH107</v>
          </cell>
          <cell r="F3261">
            <v>6490</v>
          </cell>
          <cell r="G3261">
            <v>90.96</v>
          </cell>
          <cell r="H3261">
            <v>1.1499999999999999</v>
          </cell>
          <cell r="I3261" t="str">
            <v>From M4A to M1A - 20°</v>
          </cell>
          <cell r="J3261" t="str">
            <v>IE3</v>
          </cell>
          <cell r="K3261" t="str">
            <v>400/690</v>
          </cell>
          <cell r="L3261">
            <v>50</v>
          </cell>
          <cell r="M3261" t="str">
            <v>21,5/12,4</v>
          </cell>
          <cell r="N3261">
            <v>65</v>
          </cell>
          <cell r="O3261" t="str">
            <v>155(F)</v>
          </cell>
          <cell r="P3261" t="str">
            <v>270°</v>
          </cell>
          <cell r="Q3261" t="str">
            <v>TF</v>
          </cell>
          <cell r="R3261" t="str">
            <v>V(VE)</v>
          </cell>
          <cell r="S3261" t="str">
            <v>-</v>
          </cell>
          <cell r="T3261" t="str">
            <v>-</v>
          </cell>
          <cell r="U3261" t="str">
            <v>-</v>
          </cell>
          <cell r="V3261" t="str">
            <v>FC</v>
          </cell>
          <cell r="W3261" t="str">
            <v>-</v>
          </cell>
          <cell r="X3261" t="str">
            <v>CLP HC 220 (-25/+60°C)</v>
          </cell>
          <cell r="Y3261" t="str">
            <v>KH107/II2GDEDRN160M4/3D/TF/VE/C</v>
          </cell>
          <cell r="Z3261" t="str">
            <v>SEW</v>
          </cell>
          <cell r="AB3261" t="str">
            <v>ATEX22</v>
          </cell>
          <cell r="AF3261">
            <v>16</v>
          </cell>
          <cell r="AG3261" t="str">
            <v>EDRN160M4</v>
          </cell>
          <cell r="AH3261" t="str">
            <v>KH107-EDRN160M4A270-X#</v>
          </cell>
        </row>
        <row r="3262">
          <cell r="A3262" t="str">
            <v>MR003250</v>
          </cell>
          <cell r="B3262" t="str">
            <v>MR</v>
          </cell>
          <cell r="C3262">
            <v>11</v>
          </cell>
          <cell r="D3262">
            <v>16</v>
          </cell>
          <cell r="E3262" t="str">
            <v>KH107</v>
          </cell>
          <cell r="F3262">
            <v>6490</v>
          </cell>
          <cell r="G3262">
            <v>90.96</v>
          </cell>
          <cell r="H3262">
            <v>1.1499999999999999</v>
          </cell>
          <cell r="I3262" t="str">
            <v>From M4B to M1B - 20°</v>
          </cell>
          <cell r="J3262" t="str">
            <v>IE3</v>
          </cell>
          <cell r="K3262" t="str">
            <v>400/690</v>
          </cell>
          <cell r="L3262">
            <v>50</v>
          </cell>
          <cell r="M3262" t="str">
            <v>21,5/12,4</v>
          </cell>
          <cell r="N3262">
            <v>65</v>
          </cell>
          <cell r="O3262" t="str">
            <v>155(F)</v>
          </cell>
          <cell r="P3262" t="str">
            <v>270°</v>
          </cell>
          <cell r="Q3262" t="str">
            <v>TF</v>
          </cell>
          <cell r="R3262" t="str">
            <v>V(VE)</v>
          </cell>
          <cell r="S3262" t="str">
            <v>-</v>
          </cell>
          <cell r="T3262" t="str">
            <v>-</v>
          </cell>
          <cell r="U3262" t="str">
            <v>-</v>
          </cell>
          <cell r="V3262" t="str">
            <v>FC</v>
          </cell>
          <cell r="W3262" t="str">
            <v>-</v>
          </cell>
          <cell r="X3262" t="str">
            <v>CLP HC 220 (-25/+60°C)</v>
          </cell>
          <cell r="Y3262" t="str">
            <v>KH107/II2GDEDRN160M4/3D/TF/VE/C</v>
          </cell>
          <cell r="Z3262" t="str">
            <v>SEW</v>
          </cell>
          <cell r="AB3262" t="str">
            <v>ATEX22</v>
          </cell>
          <cell r="AF3262">
            <v>16</v>
          </cell>
          <cell r="AG3262" t="str">
            <v>EDRN160M4</v>
          </cell>
          <cell r="AH3262" t="str">
            <v>KH107-EDRN160M4B270-X#</v>
          </cell>
        </row>
        <row r="3263">
          <cell r="A3263" t="str">
            <v>MR003251</v>
          </cell>
          <cell r="B3263" t="str">
            <v>MR</v>
          </cell>
          <cell r="C3263">
            <v>7.5</v>
          </cell>
          <cell r="D3263">
            <v>15</v>
          </cell>
          <cell r="E3263" t="str">
            <v>KH107</v>
          </cell>
          <cell r="F3263">
            <v>4920</v>
          </cell>
          <cell r="G3263">
            <v>100.75</v>
          </cell>
          <cell r="H3263">
            <v>1.55</v>
          </cell>
          <cell r="I3263" t="str">
            <v>From M4A to M1A - 30°</v>
          </cell>
          <cell r="J3263" t="str">
            <v>IE3</v>
          </cell>
          <cell r="K3263" t="str">
            <v>400/690</v>
          </cell>
          <cell r="L3263">
            <v>50</v>
          </cell>
          <cell r="M3263" t="str">
            <v>15,7/9</v>
          </cell>
          <cell r="N3263">
            <v>65</v>
          </cell>
          <cell r="O3263" t="str">
            <v>155(F)</v>
          </cell>
          <cell r="P3263" t="str">
            <v>270°</v>
          </cell>
          <cell r="Q3263" t="str">
            <v>TF</v>
          </cell>
          <cell r="R3263" t="str">
            <v>V(VE)</v>
          </cell>
          <cell r="S3263" t="str">
            <v>-</v>
          </cell>
          <cell r="T3263" t="str">
            <v>-</v>
          </cell>
          <cell r="U3263" t="str">
            <v>-</v>
          </cell>
          <cell r="V3263" t="str">
            <v>FC</v>
          </cell>
          <cell r="W3263" t="str">
            <v>-</v>
          </cell>
          <cell r="X3263" t="str">
            <v>CLP HC 220 (-25/+60°C)</v>
          </cell>
          <cell r="Y3263" t="str">
            <v>KH107/II2GDEDRN132M4/3D/TF/VE/C</v>
          </cell>
          <cell r="Z3263" t="str">
            <v>SEW</v>
          </cell>
          <cell r="AB3263" t="str">
            <v>ATEX22</v>
          </cell>
          <cell r="AG3263" t="str">
            <v>EDRN132M4</v>
          </cell>
          <cell r="AH3263" t="str">
            <v>KH107-EDRN132M4A270-X#</v>
          </cell>
        </row>
        <row r="3264">
          <cell r="A3264" t="str">
            <v>MR003252</v>
          </cell>
          <cell r="B3264" t="str">
            <v>MR</v>
          </cell>
          <cell r="C3264">
            <v>7.5</v>
          </cell>
          <cell r="D3264">
            <v>15</v>
          </cell>
          <cell r="E3264" t="str">
            <v>KH107</v>
          </cell>
          <cell r="F3264">
            <v>4920</v>
          </cell>
          <cell r="G3264">
            <v>100.75</v>
          </cell>
          <cell r="H3264">
            <v>1.55</v>
          </cell>
          <cell r="I3264" t="str">
            <v>From M4B to M1B - 30°</v>
          </cell>
          <cell r="J3264" t="str">
            <v>IE3</v>
          </cell>
          <cell r="K3264" t="str">
            <v>400/690</v>
          </cell>
          <cell r="L3264">
            <v>50</v>
          </cell>
          <cell r="M3264" t="str">
            <v>15,7/9</v>
          </cell>
          <cell r="N3264">
            <v>65</v>
          </cell>
          <cell r="O3264" t="str">
            <v>155(F)</v>
          </cell>
          <cell r="P3264" t="str">
            <v>270°</v>
          </cell>
          <cell r="Q3264" t="str">
            <v>TF</v>
          </cell>
          <cell r="R3264" t="str">
            <v>V(VE)</v>
          </cell>
          <cell r="S3264" t="str">
            <v>-</v>
          </cell>
          <cell r="T3264" t="str">
            <v>-</v>
          </cell>
          <cell r="U3264" t="str">
            <v>-</v>
          </cell>
          <cell r="V3264" t="str">
            <v>FC</v>
          </cell>
          <cell r="W3264" t="str">
            <v>-</v>
          </cell>
          <cell r="X3264" t="str">
            <v>CLP HC 220 (-25/+60°C)</v>
          </cell>
          <cell r="Y3264" t="str">
            <v>KH107/II2GDEDRN132M4/3D/TF/VE/C</v>
          </cell>
          <cell r="Z3264" t="str">
            <v>SEW</v>
          </cell>
          <cell r="AB3264" t="str">
            <v>ATEX22</v>
          </cell>
          <cell r="AG3264" t="str">
            <v>EDRN132M4</v>
          </cell>
          <cell r="AH3264" t="str">
            <v>KH107-EDRN132M4B270-X#</v>
          </cell>
        </row>
        <row r="3265">
          <cell r="A3265" t="str">
            <v>MR003253</v>
          </cell>
          <cell r="B3265" t="str">
            <v>MR</v>
          </cell>
          <cell r="C3265">
            <v>0.37</v>
          </cell>
          <cell r="D3265">
            <v>3.9</v>
          </cell>
          <cell r="E3265" t="str">
            <v>KA67R37</v>
          </cell>
          <cell r="F3265">
            <v>820</v>
          </cell>
          <cell r="G3265">
            <v>361</v>
          </cell>
          <cell r="H3265">
            <v>1</v>
          </cell>
          <cell r="I3265" t="str">
            <v>M3B</v>
          </cell>
          <cell r="J3265" t="str">
            <v>IE3</v>
          </cell>
          <cell r="K3265" t="str">
            <v>220/380</v>
          </cell>
          <cell r="L3265">
            <v>50</v>
          </cell>
          <cell r="M3265" t="str">
            <v>2,05/1,2</v>
          </cell>
          <cell r="N3265">
            <v>65</v>
          </cell>
          <cell r="O3265" t="str">
            <v>155(F)</v>
          </cell>
          <cell r="P3265" t="str">
            <v>270°</v>
          </cell>
          <cell r="Q3265" t="str">
            <v>TF</v>
          </cell>
          <cell r="R3265" t="str">
            <v>-</v>
          </cell>
          <cell r="S3265" t="str">
            <v>-</v>
          </cell>
          <cell r="T3265" t="str">
            <v>BEHF (380V)</v>
          </cell>
          <cell r="U3265" t="str">
            <v>T</v>
          </cell>
          <cell r="V3265" t="str">
            <v>D+R</v>
          </cell>
          <cell r="W3265" t="str">
            <v>-</v>
          </cell>
          <cell r="X3265" t="str">
            <v>CLP HC 220 (-25/+60°C)</v>
          </cell>
          <cell r="Y3265" t="str">
            <v>KA67R37/T EDRN71M4 /BEHF (380V) /TF</v>
          </cell>
          <cell r="Z3265" t="str">
            <v>SEW</v>
          </cell>
          <cell r="AB3265" t="str">
            <v>ATEX22</v>
          </cell>
          <cell r="AE3265" t="str">
            <v>Prevedere modulo raddrizzatore nel quadro</v>
          </cell>
          <cell r="AF3265">
            <v>3.9</v>
          </cell>
          <cell r="AG3265" t="str">
            <v>EDRN71M4</v>
          </cell>
          <cell r="AH3265" t="str">
            <v>KA67R37T-EDRN71M4B270-X</v>
          </cell>
        </row>
        <row r="3266">
          <cell r="A3266" t="str">
            <v>MR003254</v>
          </cell>
          <cell r="B3266" t="str">
            <v>MR</v>
          </cell>
          <cell r="C3266">
            <v>5.5</v>
          </cell>
          <cell r="D3266">
            <v>62</v>
          </cell>
          <cell r="E3266" t="str">
            <v>R87</v>
          </cell>
          <cell r="F3266">
            <v>840</v>
          </cell>
          <cell r="G3266">
            <v>23.4</v>
          </cell>
          <cell r="H3266">
            <v>1.85</v>
          </cell>
          <cell r="I3266" t="str">
            <v>M1</v>
          </cell>
          <cell r="J3266" t="str">
            <v>IE3</v>
          </cell>
          <cell r="K3266" t="str">
            <v>220/380</v>
          </cell>
          <cell r="L3266">
            <v>50</v>
          </cell>
          <cell r="M3266" t="str">
            <v>19/11</v>
          </cell>
          <cell r="N3266">
            <v>65</v>
          </cell>
          <cell r="O3266" t="str">
            <v>155(F)</v>
          </cell>
          <cell r="P3266" t="str">
            <v>270°</v>
          </cell>
          <cell r="Q3266" t="str">
            <v>TF</v>
          </cell>
          <cell r="R3266" t="str">
            <v>-</v>
          </cell>
          <cell r="S3266" t="str">
            <v>-</v>
          </cell>
          <cell r="T3266" t="str">
            <v>-</v>
          </cell>
          <cell r="U3266" t="str">
            <v>-</v>
          </cell>
          <cell r="V3266" t="str">
            <v>D</v>
          </cell>
          <cell r="W3266" t="str">
            <v>-</v>
          </cell>
          <cell r="X3266" t="str">
            <v>CLP HC 220 (-25/+60°C)</v>
          </cell>
          <cell r="Y3266" t="str">
            <v>R87DRN132S4 /TF</v>
          </cell>
          <cell r="Z3266" t="str">
            <v>SEW</v>
          </cell>
          <cell r="AB3266" t="str">
            <v>-</v>
          </cell>
          <cell r="AG3266" t="str">
            <v>DRN132S4</v>
          </cell>
          <cell r="AH3266" t="str">
            <v>R87-DRN132S4270-X</v>
          </cell>
        </row>
        <row r="3267">
          <cell r="A3267" t="str">
            <v>MR003255</v>
          </cell>
          <cell r="B3267" t="str">
            <v>MR</v>
          </cell>
          <cell r="C3267">
            <v>5.5</v>
          </cell>
          <cell r="D3267">
            <v>62</v>
          </cell>
          <cell r="E3267" t="str">
            <v>R87</v>
          </cell>
          <cell r="F3267">
            <v>840</v>
          </cell>
          <cell r="G3267">
            <v>23.4</v>
          </cell>
          <cell r="H3267">
            <v>1.45</v>
          </cell>
          <cell r="I3267" t="str">
            <v>M1</v>
          </cell>
          <cell r="J3267" t="str">
            <v>IE3</v>
          </cell>
          <cell r="K3267" t="str">
            <v>220/380</v>
          </cell>
          <cell r="L3267">
            <v>50</v>
          </cell>
          <cell r="M3267" t="str">
            <v>19/11</v>
          </cell>
          <cell r="N3267">
            <v>65</v>
          </cell>
          <cell r="O3267" t="str">
            <v>155(F)</v>
          </cell>
          <cell r="P3267" t="str">
            <v>270°</v>
          </cell>
          <cell r="Q3267" t="str">
            <v>TF</v>
          </cell>
          <cell r="R3267" t="str">
            <v>-</v>
          </cell>
          <cell r="S3267" t="str">
            <v>-</v>
          </cell>
          <cell r="T3267" t="str">
            <v>-</v>
          </cell>
          <cell r="U3267" t="str">
            <v>-</v>
          </cell>
          <cell r="V3267" t="str">
            <v>D</v>
          </cell>
          <cell r="W3267" t="str">
            <v>-</v>
          </cell>
          <cell r="X3267" t="str">
            <v>CLP HC 220 (-25/+60°C)</v>
          </cell>
          <cell r="Y3267" t="str">
            <v>R87EDRN132S4 /TF</v>
          </cell>
          <cell r="Z3267" t="str">
            <v>SEW</v>
          </cell>
          <cell r="AB3267" t="str">
            <v>ATEX22</v>
          </cell>
          <cell r="AG3267" t="str">
            <v>EDRN132S4</v>
          </cell>
          <cell r="AH3267" t="str">
            <v>R87-EDRN132S4270-X</v>
          </cell>
        </row>
        <row r="3268">
          <cell r="A3268" t="str">
            <v>MR003256</v>
          </cell>
          <cell r="B3268" t="str">
            <v>MR</v>
          </cell>
          <cell r="C3268">
            <v>5.5</v>
          </cell>
          <cell r="D3268">
            <v>14</v>
          </cell>
          <cell r="E3268" t="str">
            <v>KH97</v>
          </cell>
          <cell r="F3268">
            <v>3770</v>
          </cell>
          <cell r="G3268">
            <v>105.13</v>
          </cell>
          <cell r="H3268">
            <v>1.1499999999999999</v>
          </cell>
          <cell r="I3268" t="str">
            <v>From M1A to M2A - 15°</v>
          </cell>
          <cell r="J3268" t="str">
            <v>IE3</v>
          </cell>
          <cell r="K3268" t="str">
            <v>230/400</v>
          </cell>
          <cell r="L3268">
            <v>50</v>
          </cell>
          <cell r="M3268" t="str">
            <v>18,2/10,5</v>
          </cell>
          <cell r="N3268">
            <v>65</v>
          </cell>
          <cell r="O3268" t="str">
            <v>155(F)</v>
          </cell>
          <cell r="P3268" t="str">
            <v>180°</v>
          </cell>
          <cell r="Q3268" t="str">
            <v>-</v>
          </cell>
          <cell r="R3268" t="str">
            <v>-</v>
          </cell>
          <cell r="S3268" t="str">
            <v>-</v>
          </cell>
          <cell r="T3268" t="str">
            <v>-</v>
          </cell>
          <cell r="U3268" t="str">
            <v>-</v>
          </cell>
          <cell r="V3268" t="str">
            <v>SS</v>
          </cell>
          <cell r="W3268" t="str">
            <v>-</v>
          </cell>
          <cell r="X3268" t="str">
            <v>CLP 220 (-15/+40°C)</v>
          </cell>
          <cell r="Y3268" t="str">
            <v>KH97DRN132S4</v>
          </cell>
          <cell r="Z3268" t="str">
            <v>SEW</v>
          </cell>
          <cell r="AB3268" t="str">
            <v>-</v>
          </cell>
          <cell r="AG3268" t="str">
            <v>DRN132S4</v>
          </cell>
          <cell r="AH3268" t="str">
            <v>KH97-DRN132S4A180-X</v>
          </cell>
        </row>
        <row r="3269">
          <cell r="A3269" t="str">
            <v>MR003257</v>
          </cell>
          <cell r="B3269" t="str">
            <v>MR</v>
          </cell>
          <cell r="C3269">
            <v>7.5</v>
          </cell>
          <cell r="D3269">
            <v>15</v>
          </cell>
          <cell r="E3269" t="str">
            <v>KH107</v>
          </cell>
          <cell r="F3269">
            <v>4910</v>
          </cell>
          <cell r="G3269">
            <v>100.75</v>
          </cell>
          <cell r="H3269">
            <v>1.65</v>
          </cell>
          <cell r="I3269" t="str">
            <v>From M1A to M2A - 25°</v>
          </cell>
          <cell r="J3269" t="str">
            <v>IE3</v>
          </cell>
          <cell r="K3269" t="str">
            <v>400/690</v>
          </cell>
          <cell r="L3269">
            <v>50</v>
          </cell>
          <cell r="M3269" t="str">
            <v>15,2/8,8</v>
          </cell>
          <cell r="N3269">
            <v>65</v>
          </cell>
          <cell r="O3269" t="str">
            <v>155(F)</v>
          </cell>
          <cell r="P3269" t="str">
            <v>180°</v>
          </cell>
          <cell r="Q3269" t="str">
            <v>-</v>
          </cell>
          <cell r="R3269" t="str">
            <v>-</v>
          </cell>
          <cell r="S3269" t="str">
            <v>-</v>
          </cell>
          <cell r="T3269" t="str">
            <v>-</v>
          </cell>
          <cell r="U3269" t="str">
            <v>-</v>
          </cell>
          <cell r="V3269" t="str">
            <v>SS</v>
          </cell>
          <cell r="W3269" t="str">
            <v>-</v>
          </cell>
          <cell r="X3269" t="str">
            <v>CLP 220 (-15/+40°C)</v>
          </cell>
          <cell r="Y3269" t="str">
            <v>KH107DRN132M4</v>
          </cell>
          <cell r="Z3269" t="str">
            <v>SEW</v>
          </cell>
          <cell r="AB3269" t="str">
            <v>-</v>
          </cell>
          <cell r="AG3269" t="str">
            <v>DRN132M4</v>
          </cell>
          <cell r="AH3269" t="str">
            <v>KH107-DRN132M4A180-X</v>
          </cell>
        </row>
        <row r="3270">
          <cell r="A3270" t="str">
            <v>MR003258</v>
          </cell>
          <cell r="B3270" t="str">
            <v>MR</v>
          </cell>
          <cell r="C3270">
            <v>7.5</v>
          </cell>
          <cell r="D3270">
            <v>15</v>
          </cell>
          <cell r="E3270" t="str">
            <v>KH107</v>
          </cell>
          <cell r="F3270">
            <v>4910</v>
          </cell>
          <cell r="G3270">
            <v>100.75</v>
          </cell>
          <cell r="H3270">
            <v>1.65</v>
          </cell>
          <cell r="I3270" t="str">
            <v>From M1B to M2B - 25°</v>
          </cell>
          <cell r="J3270" t="str">
            <v>IE3</v>
          </cell>
          <cell r="K3270" t="str">
            <v>400/690</v>
          </cell>
          <cell r="L3270">
            <v>50</v>
          </cell>
          <cell r="M3270" t="str">
            <v>15,2/8,8</v>
          </cell>
          <cell r="N3270">
            <v>65</v>
          </cell>
          <cell r="O3270" t="str">
            <v>155(F)</v>
          </cell>
          <cell r="P3270" t="str">
            <v>0°</v>
          </cell>
          <cell r="Q3270" t="str">
            <v>-</v>
          </cell>
          <cell r="R3270" t="str">
            <v>-</v>
          </cell>
          <cell r="S3270" t="str">
            <v>-</v>
          </cell>
          <cell r="T3270" t="str">
            <v>-</v>
          </cell>
          <cell r="U3270" t="str">
            <v>-</v>
          </cell>
          <cell r="V3270" t="str">
            <v>SS</v>
          </cell>
          <cell r="W3270" t="str">
            <v>-</v>
          </cell>
          <cell r="X3270" t="str">
            <v>CLP 220 (-15/+40°C)</v>
          </cell>
          <cell r="Y3270" t="str">
            <v>KH107DRN132M4</v>
          </cell>
          <cell r="Z3270" t="str">
            <v>SEW</v>
          </cell>
          <cell r="AB3270" t="str">
            <v>-</v>
          </cell>
          <cell r="AG3270" t="str">
            <v>DRN132M4</v>
          </cell>
          <cell r="AH3270" t="str">
            <v>KH107-DRN132M4B0-X</v>
          </cell>
        </row>
        <row r="3271">
          <cell r="A3271" t="str">
            <v>MR003259</v>
          </cell>
          <cell r="B3271" t="str">
            <v>MR</v>
          </cell>
          <cell r="C3271">
            <v>7.5</v>
          </cell>
          <cell r="D3271">
            <v>40</v>
          </cell>
          <cell r="E3271" t="str">
            <v>R97</v>
          </cell>
          <cell r="F3271">
            <v>1810</v>
          </cell>
          <cell r="G3271">
            <v>37.130000000000003</v>
          </cell>
          <cell r="H3271">
            <v>1.65</v>
          </cell>
          <cell r="I3271" t="str">
            <v>M1</v>
          </cell>
          <cell r="J3271" t="str">
            <v>IE3</v>
          </cell>
          <cell r="K3271" t="str">
            <v>230/400</v>
          </cell>
          <cell r="L3271">
            <v>50</v>
          </cell>
          <cell r="M3271" t="str">
            <v>26,5/15,2</v>
          </cell>
          <cell r="N3271">
            <v>65</v>
          </cell>
          <cell r="O3271" t="str">
            <v>155(F)</v>
          </cell>
          <cell r="P3271" t="str">
            <v>270°</v>
          </cell>
          <cell r="Q3271" t="str">
            <v>TF</v>
          </cell>
          <cell r="R3271" t="str">
            <v>-</v>
          </cell>
          <cell r="S3271" t="str">
            <v>-</v>
          </cell>
          <cell r="T3271" t="str">
            <v>-</v>
          </cell>
          <cell r="U3271" t="str">
            <v>-</v>
          </cell>
          <cell r="V3271" t="str">
            <v>D</v>
          </cell>
          <cell r="W3271" t="str">
            <v>-</v>
          </cell>
          <cell r="X3271" t="str">
            <v>CLP 220 (-15/+40°C)</v>
          </cell>
          <cell r="Y3271" t="str">
            <v>R97DRN132M4 /TF</v>
          </cell>
          <cell r="Z3271" t="str">
            <v>SEW</v>
          </cell>
          <cell r="AB3271" t="str">
            <v>-</v>
          </cell>
          <cell r="AF3271">
            <v>40</v>
          </cell>
          <cell r="AG3271" t="str">
            <v>DRN132M4</v>
          </cell>
          <cell r="AH3271" t="str">
            <v>R97-DRN132M4270-X</v>
          </cell>
        </row>
        <row r="3272">
          <cell r="A3272" t="str">
            <v>MR003260</v>
          </cell>
          <cell r="B3272" t="str">
            <v>MR</v>
          </cell>
          <cell r="C3272">
            <v>11</v>
          </cell>
          <cell r="D3272">
            <v>59</v>
          </cell>
          <cell r="E3272" t="str">
            <v>R107</v>
          </cell>
          <cell r="F3272">
            <v>1780</v>
          </cell>
          <cell r="G3272">
            <v>24.9</v>
          </cell>
          <cell r="H3272">
            <v>2.4</v>
          </cell>
          <cell r="I3272" t="str">
            <v>M1</v>
          </cell>
          <cell r="J3272" t="str">
            <v>IE3</v>
          </cell>
          <cell r="K3272" t="str">
            <v>230/400</v>
          </cell>
          <cell r="L3272">
            <v>50</v>
          </cell>
          <cell r="M3272" t="str">
            <v>36,5/21</v>
          </cell>
          <cell r="N3272">
            <v>65</v>
          </cell>
          <cell r="O3272" t="str">
            <v>155(F)</v>
          </cell>
          <cell r="P3272" t="str">
            <v>270°</v>
          </cell>
          <cell r="Q3272" t="str">
            <v>TF</v>
          </cell>
          <cell r="R3272" t="str">
            <v>-</v>
          </cell>
          <cell r="S3272" t="str">
            <v>-</v>
          </cell>
          <cell r="T3272" t="str">
            <v>-</v>
          </cell>
          <cell r="U3272" t="str">
            <v>-</v>
          </cell>
          <cell r="V3272" t="str">
            <v>D+R</v>
          </cell>
          <cell r="W3272" t="str">
            <v>-</v>
          </cell>
          <cell r="X3272" t="str">
            <v>CLP 220 (-15/+40°C)</v>
          </cell>
          <cell r="Y3272" t="str">
            <v>R107DRN160M4 /TF</v>
          </cell>
          <cell r="Z3272" t="str">
            <v>SEW</v>
          </cell>
          <cell r="AB3272" t="str">
            <v>-</v>
          </cell>
          <cell r="AF3272">
            <v>59</v>
          </cell>
          <cell r="AG3272" t="str">
            <v>DRN160M4</v>
          </cell>
          <cell r="AH3272" t="str">
            <v>R107-DRN160M4270-X</v>
          </cell>
        </row>
        <row r="3273">
          <cell r="A3273" t="str">
            <v>MR003261</v>
          </cell>
          <cell r="B3273" t="str">
            <v>MR</v>
          </cell>
          <cell r="C3273">
            <v>7.5</v>
          </cell>
          <cell r="D3273">
            <v>21</v>
          </cell>
          <cell r="E3273" t="str">
            <v>KH97</v>
          </cell>
          <cell r="F3273">
            <v>3440</v>
          </cell>
          <cell r="G3273">
            <v>70.540000000000006</v>
          </cell>
          <cell r="H3273">
            <v>1.25</v>
          </cell>
          <cell r="I3273" t="str">
            <v>From M1B to M4B - 50°</v>
          </cell>
          <cell r="J3273" t="str">
            <v>IE3</v>
          </cell>
          <cell r="K3273" t="str">
            <v>230/400</v>
          </cell>
          <cell r="L3273">
            <v>50</v>
          </cell>
          <cell r="M3273" t="str">
            <v>26,5/15,2</v>
          </cell>
          <cell r="N3273">
            <v>65</v>
          </cell>
          <cell r="O3273" t="str">
            <v>155(F)</v>
          </cell>
          <cell r="P3273" t="str">
            <v>270°</v>
          </cell>
          <cell r="Q3273" t="str">
            <v>TF</v>
          </cell>
          <cell r="R3273" t="str">
            <v>-</v>
          </cell>
          <cell r="S3273" t="str">
            <v>-</v>
          </cell>
          <cell r="T3273" t="str">
            <v>-</v>
          </cell>
          <cell r="U3273" t="str">
            <v>-</v>
          </cell>
          <cell r="V3273" t="str">
            <v>FC</v>
          </cell>
          <cell r="W3273" t="str">
            <v>-</v>
          </cell>
          <cell r="X3273" t="str">
            <v>CLP 220 (-15/+40°C)</v>
          </cell>
          <cell r="Y3273" t="str">
            <v>KH97DRN132M4 /TF</v>
          </cell>
          <cell r="Z3273" t="str">
            <v>SEW</v>
          </cell>
          <cell r="AB3273" t="str">
            <v>-</v>
          </cell>
          <cell r="AF3273">
            <v>21</v>
          </cell>
          <cell r="AG3273" t="str">
            <v>DRN132M4</v>
          </cell>
          <cell r="AH3273" t="str">
            <v>KH97-DRN132M4B270-X</v>
          </cell>
        </row>
        <row r="3274">
          <cell r="A3274" t="str">
            <v>MR003262</v>
          </cell>
          <cell r="B3274" t="str">
            <v>MR</v>
          </cell>
          <cell r="C3274">
            <v>4</v>
          </cell>
          <cell r="D3274">
            <v>15</v>
          </cell>
          <cell r="E3274" t="str">
            <v>KH97</v>
          </cell>
          <cell r="F3274">
            <v>2520</v>
          </cell>
          <cell r="G3274">
            <v>96.8</v>
          </cell>
          <cell r="H3274">
            <v>1.7</v>
          </cell>
          <cell r="I3274" t="str">
            <v>From M1A to M2A - 20°</v>
          </cell>
          <cell r="J3274" t="str">
            <v>IE3</v>
          </cell>
          <cell r="K3274" t="str">
            <v>230/400</v>
          </cell>
          <cell r="L3274">
            <v>50</v>
          </cell>
          <cell r="M3274" t="str">
            <v>13,8/7,9</v>
          </cell>
          <cell r="N3274">
            <v>65</v>
          </cell>
          <cell r="O3274" t="str">
            <v>155(F)</v>
          </cell>
          <cell r="P3274" t="str">
            <v>180°</v>
          </cell>
          <cell r="Q3274" t="str">
            <v>-</v>
          </cell>
          <cell r="R3274" t="str">
            <v>-</v>
          </cell>
          <cell r="S3274" t="str">
            <v>-</v>
          </cell>
          <cell r="T3274" t="str">
            <v>-</v>
          </cell>
          <cell r="U3274" t="str">
            <v>-</v>
          </cell>
          <cell r="V3274" t="str">
            <v>SS</v>
          </cell>
          <cell r="W3274" t="str">
            <v>-</v>
          </cell>
          <cell r="X3274" t="str">
            <v>CLP 220 (-15/+40°C)</v>
          </cell>
          <cell r="Y3274" t="str">
            <v>KH97DRN112M4</v>
          </cell>
          <cell r="Z3274" t="str">
            <v>SEW</v>
          </cell>
          <cell r="AB3274" t="str">
            <v>-</v>
          </cell>
          <cell r="AG3274" t="str">
            <v>DRN112M4</v>
          </cell>
          <cell r="AH3274" t="str">
            <v>KH97-DRN112M4A180-X</v>
          </cell>
        </row>
        <row r="3275">
          <cell r="A3275" t="str">
            <v>MR003263</v>
          </cell>
          <cell r="B3275" t="str">
            <v>MR</v>
          </cell>
          <cell r="C3275">
            <v>4</v>
          </cell>
          <cell r="D3275">
            <v>15</v>
          </cell>
          <cell r="E3275" t="str">
            <v>KH97</v>
          </cell>
          <cell r="F3275">
            <v>2520</v>
          </cell>
          <cell r="G3275">
            <v>96.8</v>
          </cell>
          <cell r="H3275">
            <v>1.7</v>
          </cell>
          <cell r="I3275" t="str">
            <v>From M1B to M2B - 20°</v>
          </cell>
          <cell r="J3275" t="str">
            <v>IE3</v>
          </cell>
          <cell r="K3275" t="str">
            <v>230/400</v>
          </cell>
          <cell r="L3275">
            <v>50</v>
          </cell>
          <cell r="M3275" t="str">
            <v>13,8/7,9</v>
          </cell>
          <cell r="N3275">
            <v>65</v>
          </cell>
          <cell r="O3275" t="str">
            <v>155(F)</v>
          </cell>
          <cell r="P3275" t="str">
            <v>0°</v>
          </cell>
          <cell r="Q3275" t="str">
            <v>-</v>
          </cell>
          <cell r="R3275" t="str">
            <v>-</v>
          </cell>
          <cell r="S3275" t="str">
            <v>-</v>
          </cell>
          <cell r="T3275" t="str">
            <v>-</v>
          </cell>
          <cell r="U3275" t="str">
            <v>-</v>
          </cell>
          <cell r="V3275" t="str">
            <v>SS</v>
          </cell>
          <cell r="W3275" t="str">
            <v>-</v>
          </cell>
          <cell r="X3275" t="str">
            <v>CLP 220 (-15/+40°C)</v>
          </cell>
          <cell r="Y3275" t="str">
            <v>KH97DRN112M4</v>
          </cell>
          <cell r="Z3275" t="str">
            <v>SEW</v>
          </cell>
          <cell r="AB3275" t="str">
            <v>-</v>
          </cell>
          <cell r="AG3275" t="str">
            <v>DRN112M4</v>
          </cell>
          <cell r="AH3275" t="str">
            <v>KH97-DRN112M4B0-X</v>
          </cell>
        </row>
        <row r="3276">
          <cell r="A3276" t="str">
            <v>MR003264</v>
          </cell>
          <cell r="B3276" t="str">
            <v>MR</v>
          </cell>
          <cell r="C3276">
            <v>0.55000000000000004</v>
          </cell>
          <cell r="D3276">
            <v>0.74</v>
          </cell>
          <cell r="E3276" t="str">
            <v>KH107R77</v>
          </cell>
          <cell r="F3276">
            <v>6170</v>
          </cell>
          <cell r="G3276">
            <v>1939</v>
          </cell>
          <cell r="H3276">
            <v>1.3</v>
          </cell>
          <cell r="I3276" t="str">
            <v>From M4B to M1B - 20°</v>
          </cell>
          <cell r="J3276" t="str">
            <v>IE3</v>
          </cell>
          <cell r="K3276" t="str">
            <v>230/400</v>
          </cell>
          <cell r="L3276">
            <v>50</v>
          </cell>
          <cell r="M3276" t="str">
            <v>2,25/1,29</v>
          </cell>
          <cell r="N3276">
            <v>65</v>
          </cell>
          <cell r="O3276" t="str">
            <v>155(F)</v>
          </cell>
          <cell r="P3276" t="str">
            <v>270°</v>
          </cell>
          <cell r="Q3276" t="str">
            <v>-</v>
          </cell>
          <cell r="R3276" t="str">
            <v>-</v>
          </cell>
          <cell r="S3276" t="str">
            <v>-</v>
          </cell>
          <cell r="T3276" t="str">
            <v>-</v>
          </cell>
          <cell r="U3276" t="str">
            <v>T</v>
          </cell>
          <cell r="V3276" t="str">
            <v>SS</v>
          </cell>
          <cell r="W3276" t="str">
            <v>-</v>
          </cell>
          <cell r="X3276" t="str">
            <v>CLP 220 (-15/+40°C)</v>
          </cell>
          <cell r="Y3276" t="str">
            <v>KH107R77/T DRN80MK4</v>
          </cell>
          <cell r="Z3276" t="str">
            <v>SEW</v>
          </cell>
          <cell r="AB3276" t="str">
            <v>-</v>
          </cell>
          <cell r="AG3276" t="str">
            <v>DRN80MK4</v>
          </cell>
          <cell r="AH3276" t="str">
            <v>KH107R77T-DRN80MK4B270-X</v>
          </cell>
        </row>
        <row r="3277">
          <cell r="A3277" t="str">
            <v>MR003265</v>
          </cell>
          <cell r="B3277" t="str">
            <v>MR</v>
          </cell>
          <cell r="C3277">
            <v>22</v>
          </cell>
          <cell r="D3277">
            <v>12</v>
          </cell>
          <cell r="E3277" t="str">
            <v>KH157</v>
          </cell>
          <cell r="F3277">
            <v>17400</v>
          </cell>
          <cell r="G3277">
            <v>122.39</v>
          </cell>
          <cell r="H3277">
            <v>1.1499999999999999</v>
          </cell>
          <cell r="I3277" t="str">
            <v>From M1A to M2A - 40°</v>
          </cell>
          <cell r="J3277" t="str">
            <v>IE3</v>
          </cell>
          <cell r="K3277" t="str">
            <v>400/690</v>
          </cell>
          <cell r="L3277">
            <v>50</v>
          </cell>
          <cell r="M3277" t="str">
            <v>38,5/22,5</v>
          </cell>
          <cell r="N3277">
            <v>65</v>
          </cell>
          <cell r="O3277" t="str">
            <v>F(105°C)</v>
          </cell>
          <cell r="P3277" t="str">
            <v>270°</v>
          </cell>
          <cell r="Q3277" t="str">
            <v>TF</v>
          </cell>
          <cell r="R3277" t="str">
            <v>V(VE)</v>
          </cell>
          <cell r="S3277" t="str">
            <v>-</v>
          </cell>
          <cell r="T3277" t="str">
            <v>-</v>
          </cell>
          <cell r="U3277" t="str">
            <v>-</v>
          </cell>
          <cell r="V3277" t="str">
            <v>FC</v>
          </cell>
          <cell r="W3277" t="str">
            <v>-</v>
          </cell>
          <cell r="X3277" t="str">
            <v>CLP VG 220 = -15° + 40°</v>
          </cell>
          <cell r="Y3277" t="str">
            <v>KH157DRN180L4 /TF/V</v>
          </cell>
          <cell r="Z3277" t="str">
            <v>SEW</v>
          </cell>
          <cell r="AB3277" t="str">
            <v>-</v>
          </cell>
          <cell r="AF3277">
            <v>12</v>
          </cell>
          <cell r="AG3277" t="str">
            <v>DRN180L4</v>
          </cell>
          <cell r="AH3277" t="str">
            <v>KH157-DRN180L4A270-X#</v>
          </cell>
        </row>
        <row r="3278">
          <cell r="A3278" t="str">
            <v>MR003266</v>
          </cell>
          <cell r="B3278" t="str">
            <v>MR</v>
          </cell>
          <cell r="C3278">
            <v>22</v>
          </cell>
          <cell r="D3278">
            <v>12</v>
          </cell>
          <cell r="E3278" t="str">
            <v>KH157</v>
          </cell>
          <cell r="F3278">
            <v>17400</v>
          </cell>
          <cell r="G3278">
            <v>122.39</v>
          </cell>
          <cell r="H3278">
            <v>1.1499999999999999</v>
          </cell>
          <cell r="I3278" t="str">
            <v>From M1B to M2B - 40°</v>
          </cell>
          <cell r="J3278" t="str">
            <v>IE3</v>
          </cell>
          <cell r="K3278" t="str">
            <v>400/690</v>
          </cell>
          <cell r="L3278">
            <v>50</v>
          </cell>
          <cell r="M3278" t="str">
            <v>38,5/22,5</v>
          </cell>
          <cell r="N3278">
            <v>65</v>
          </cell>
          <cell r="O3278" t="str">
            <v>F(105°C)</v>
          </cell>
          <cell r="P3278" t="str">
            <v>270°</v>
          </cell>
          <cell r="Q3278" t="str">
            <v>TF</v>
          </cell>
          <cell r="R3278" t="str">
            <v>V(VE)</v>
          </cell>
          <cell r="S3278" t="str">
            <v>-</v>
          </cell>
          <cell r="T3278" t="str">
            <v>-</v>
          </cell>
          <cell r="U3278" t="str">
            <v>-</v>
          </cell>
          <cell r="V3278" t="str">
            <v>FC</v>
          </cell>
          <cell r="W3278" t="str">
            <v>-</v>
          </cell>
          <cell r="X3278" t="str">
            <v>CLP VG 220 = -15° + 40°</v>
          </cell>
          <cell r="Y3278" t="str">
            <v>KH157DRN180L4 /TF/V</v>
          </cell>
          <cell r="Z3278" t="str">
            <v>SEW</v>
          </cell>
          <cell r="AB3278" t="str">
            <v>-</v>
          </cell>
          <cell r="AF3278">
            <v>12</v>
          </cell>
          <cell r="AG3278" t="str">
            <v>DRN180L4</v>
          </cell>
          <cell r="AH3278" t="str">
            <v>KH157-DRN180L4B270-X#</v>
          </cell>
        </row>
        <row r="3279">
          <cell r="A3279" t="str">
            <v>MR003267</v>
          </cell>
          <cell r="B3279" t="str">
            <v>MR</v>
          </cell>
          <cell r="C3279">
            <v>22</v>
          </cell>
          <cell r="D3279">
            <v>12</v>
          </cell>
          <cell r="E3279" t="str">
            <v>KH157</v>
          </cell>
          <cell r="F3279">
            <v>17400</v>
          </cell>
          <cell r="G3279">
            <v>122.39</v>
          </cell>
          <cell r="H3279">
            <v>1.1499999999999999</v>
          </cell>
          <cell r="I3279" t="str">
            <v>From M1A to M2A - 5°</v>
          </cell>
          <cell r="J3279" t="str">
            <v>IE3</v>
          </cell>
          <cell r="K3279" t="str">
            <v>400/690</v>
          </cell>
          <cell r="L3279">
            <v>50</v>
          </cell>
          <cell r="M3279" t="str">
            <v>38,5/22,5</v>
          </cell>
          <cell r="N3279">
            <v>65</v>
          </cell>
          <cell r="O3279" t="str">
            <v>155(F)</v>
          </cell>
          <cell r="P3279" t="str">
            <v>270°</v>
          </cell>
          <cell r="Q3279" t="str">
            <v>TF</v>
          </cell>
          <cell r="R3279" t="str">
            <v>V(VE)</v>
          </cell>
          <cell r="S3279" t="str">
            <v>-</v>
          </cell>
          <cell r="T3279" t="str">
            <v>-</v>
          </cell>
          <cell r="U3279" t="str">
            <v>-</v>
          </cell>
          <cell r="V3279" t="str">
            <v>FC</v>
          </cell>
          <cell r="W3279" t="str">
            <v>-</v>
          </cell>
          <cell r="X3279" t="str">
            <v>CLP 220 (-15/+40°C)</v>
          </cell>
          <cell r="Y3279" t="str">
            <v>KH157DRN180L4 /TF/V</v>
          </cell>
          <cell r="Z3279" t="str">
            <v>SEW</v>
          </cell>
          <cell r="AB3279" t="str">
            <v>-</v>
          </cell>
          <cell r="AG3279" t="str">
            <v>DRN180L4</v>
          </cell>
          <cell r="AH3279" t="str">
            <v>KH157-DRN180L4A270-X#</v>
          </cell>
        </row>
        <row r="3280">
          <cell r="A3280" t="str">
            <v>MR003268</v>
          </cell>
          <cell r="B3280" t="str">
            <v>MR</v>
          </cell>
          <cell r="C3280">
            <v>22</v>
          </cell>
          <cell r="D3280">
            <v>12</v>
          </cell>
          <cell r="E3280" t="str">
            <v>KH157</v>
          </cell>
          <cell r="F3280">
            <v>17400</v>
          </cell>
          <cell r="G3280">
            <v>122.39</v>
          </cell>
          <cell r="H3280">
            <v>1.1499999999999999</v>
          </cell>
          <cell r="I3280" t="str">
            <v>From M1B to M2B - 5°</v>
          </cell>
          <cell r="J3280" t="str">
            <v>IE3</v>
          </cell>
          <cell r="K3280" t="str">
            <v>400/690</v>
          </cell>
          <cell r="L3280">
            <v>50</v>
          </cell>
          <cell r="M3280" t="str">
            <v>38,5/22,5</v>
          </cell>
          <cell r="N3280">
            <v>65</v>
          </cell>
          <cell r="O3280" t="str">
            <v>155(F)</v>
          </cell>
          <cell r="P3280" t="str">
            <v>270°</v>
          </cell>
          <cell r="Q3280" t="str">
            <v>TF</v>
          </cell>
          <cell r="R3280" t="str">
            <v>V(VE)</v>
          </cell>
          <cell r="S3280" t="str">
            <v>-</v>
          </cell>
          <cell r="T3280" t="str">
            <v>-</v>
          </cell>
          <cell r="U3280" t="str">
            <v>-</v>
          </cell>
          <cell r="V3280" t="str">
            <v>FC</v>
          </cell>
          <cell r="W3280" t="str">
            <v>-</v>
          </cell>
          <cell r="X3280" t="str">
            <v>CLP 220 (-15/+40°C)</v>
          </cell>
          <cell r="Y3280" t="str">
            <v>KH157DRN180L4 /TF/V</v>
          </cell>
          <cell r="Z3280" t="str">
            <v>SEW</v>
          </cell>
          <cell r="AB3280" t="str">
            <v>-</v>
          </cell>
          <cell r="AG3280" t="str">
            <v>DRN180L4</v>
          </cell>
          <cell r="AH3280" t="str">
            <v>KH157-DRN180L4B270-X#</v>
          </cell>
        </row>
        <row r="3281">
          <cell r="A3281" t="str">
            <v>MR003269</v>
          </cell>
          <cell r="B3281" t="str">
            <v>MR</v>
          </cell>
          <cell r="C3281">
            <v>15</v>
          </cell>
          <cell r="D3281">
            <v>20</v>
          </cell>
          <cell r="E3281" t="str">
            <v>R137</v>
          </cell>
          <cell r="F3281">
            <v>7140</v>
          </cell>
          <cell r="G3281">
            <v>73.489999999999995</v>
          </cell>
          <cell r="H3281">
            <v>1.1000000000000001</v>
          </cell>
          <cell r="I3281" t="str">
            <v>M1</v>
          </cell>
          <cell r="J3281" t="str">
            <v>IE3</v>
          </cell>
          <cell r="K3281" t="str">
            <v>230/400</v>
          </cell>
          <cell r="L3281">
            <v>50</v>
          </cell>
          <cell r="M3281" t="str">
            <v>50/29</v>
          </cell>
          <cell r="N3281">
            <v>55</v>
          </cell>
          <cell r="O3281" t="str">
            <v>155(F)</v>
          </cell>
          <cell r="P3281" t="str">
            <v>270°</v>
          </cell>
          <cell r="Q3281" t="str">
            <v>TF</v>
          </cell>
          <cell r="R3281" t="str">
            <v>V(VE)</v>
          </cell>
          <cell r="S3281" t="str">
            <v>-</v>
          </cell>
          <cell r="T3281" t="str">
            <v>-</v>
          </cell>
          <cell r="U3281" t="str">
            <v>-</v>
          </cell>
          <cell r="V3281" t="str">
            <v>FC</v>
          </cell>
          <cell r="W3281" t="str">
            <v>-</v>
          </cell>
          <cell r="X3281" t="str">
            <v>CLP 220 (-15/+40°C)</v>
          </cell>
          <cell r="Y3281" t="str">
            <v>R137DRN160L4 /TF/V</v>
          </cell>
          <cell r="Z3281" t="str">
            <v>SEW</v>
          </cell>
          <cell r="AB3281" t="str">
            <v>-</v>
          </cell>
          <cell r="AG3281" t="str">
            <v>DRN160L4</v>
          </cell>
          <cell r="AH3281" t="str">
            <v>R137-DRN160L4270-X#</v>
          </cell>
        </row>
        <row r="3282">
          <cell r="A3282" t="str">
            <v>MR003270</v>
          </cell>
          <cell r="B3282" t="str">
            <v>MR</v>
          </cell>
          <cell r="C3282">
            <v>7.5</v>
          </cell>
          <cell r="D3282">
            <v>9.4</v>
          </cell>
          <cell r="E3282" t="str">
            <v>R137</v>
          </cell>
          <cell r="F3282">
            <v>7620</v>
          </cell>
          <cell r="G3282">
            <v>156.31</v>
          </cell>
          <cell r="H3282">
            <v>1.05</v>
          </cell>
          <cell r="I3282" t="str">
            <v>M1</v>
          </cell>
          <cell r="J3282" t="str">
            <v>IE3</v>
          </cell>
          <cell r="K3282" t="str">
            <v>230/400</v>
          </cell>
          <cell r="L3282">
            <v>50</v>
          </cell>
          <cell r="M3282" t="str">
            <v>26,5/15,2</v>
          </cell>
          <cell r="N3282">
            <v>55</v>
          </cell>
          <cell r="O3282" t="str">
            <v>155(F)</v>
          </cell>
          <cell r="P3282" t="str">
            <v>270°</v>
          </cell>
          <cell r="Q3282" t="str">
            <v>TF</v>
          </cell>
          <cell r="R3282" t="str">
            <v>V(VE)</v>
          </cell>
          <cell r="S3282" t="str">
            <v>-</v>
          </cell>
          <cell r="T3282" t="str">
            <v>-</v>
          </cell>
          <cell r="U3282" t="str">
            <v>-</v>
          </cell>
          <cell r="V3282" t="str">
            <v>FC</v>
          </cell>
          <cell r="W3282" t="str">
            <v>-</v>
          </cell>
          <cell r="X3282" t="str">
            <v>CLP 220 (-15/+40°C)</v>
          </cell>
          <cell r="Y3282" t="str">
            <v>R137DRN132M4 /TF/V</v>
          </cell>
          <cell r="Z3282" t="str">
            <v>SEW</v>
          </cell>
          <cell r="AB3282" t="str">
            <v>-</v>
          </cell>
          <cell r="AG3282" t="str">
            <v>DRN132M4</v>
          </cell>
          <cell r="AH3282" t="str">
            <v>R137-DRN132M4270-X#</v>
          </cell>
        </row>
        <row r="3283">
          <cell r="A3283" t="str">
            <v>MR003271</v>
          </cell>
          <cell r="B3283" t="str">
            <v>MR</v>
          </cell>
          <cell r="C3283">
            <v>7.5</v>
          </cell>
          <cell r="D3283">
            <v>15</v>
          </cell>
          <cell r="E3283" t="str">
            <v>KH107</v>
          </cell>
          <cell r="F3283">
            <v>4910</v>
          </cell>
          <cell r="G3283">
            <v>100.75</v>
          </cell>
          <cell r="H3283">
            <v>1.65</v>
          </cell>
          <cell r="I3283" t="str">
            <v>From M1B to M2B - 50°</v>
          </cell>
          <cell r="J3283" t="str">
            <v>IE3</v>
          </cell>
          <cell r="K3283" t="str">
            <v>400/690</v>
          </cell>
          <cell r="L3283">
            <v>50</v>
          </cell>
          <cell r="M3283" t="str">
            <v>15,2/8,8</v>
          </cell>
          <cell r="N3283">
            <v>65</v>
          </cell>
          <cell r="O3283" t="str">
            <v>155(F)</v>
          </cell>
          <cell r="P3283" t="str">
            <v>270°</v>
          </cell>
          <cell r="Q3283" t="str">
            <v>TF</v>
          </cell>
          <cell r="R3283" t="str">
            <v>-</v>
          </cell>
          <cell r="S3283" t="str">
            <v>-</v>
          </cell>
          <cell r="T3283" t="str">
            <v>-</v>
          </cell>
          <cell r="U3283" t="str">
            <v>-</v>
          </cell>
          <cell r="V3283" t="str">
            <v>SS</v>
          </cell>
          <cell r="W3283" t="str">
            <v>-</v>
          </cell>
          <cell r="X3283" t="str">
            <v>CLP HC 150 (-30/+50°C)</v>
          </cell>
          <cell r="Y3283" t="str">
            <v>KH107DRN132M4 /TF</v>
          </cell>
          <cell r="Z3283" t="str">
            <v>SEW</v>
          </cell>
          <cell r="AB3283" t="str">
            <v>-</v>
          </cell>
          <cell r="AG3283" t="str">
            <v>DRN132M4</v>
          </cell>
          <cell r="AH3283" t="str">
            <v>KH107-DRN132M4B270-X</v>
          </cell>
        </row>
        <row r="3284">
          <cell r="A3284" t="str">
            <v>MR003272</v>
          </cell>
          <cell r="B3284" t="str">
            <v>MR</v>
          </cell>
          <cell r="C3284">
            <v>0.37</v>
          </cell>
          <cell r="D3284">
            <v>3.9</v>
          </cell>
          <cell r="E3284" t="str">
            <v>KA67R37</v>
          </cell>
          <cell r="F3284">
            <v>820</v>
          </cell>
          <cell r="G3284">
            <v>361</v>
          </cell>
          <cell r="H3284">
            <v>1</v>
          </cell>
          <cell r="I3284" t="str">
            <v>M3B</v>
          </cell>
          <cell r="J3284" t="str">
            <v>IE3</v>
          </cell>
          <cell r="K3284" t="str">
            <v>230/400</v>
          </cell>
          <cell r="L3284">
            <v>50</v>
          </cell>
          <cell r="M3284" t="str">
            <v>1,98/1,14</v>
          </cell>
          <cell r="N3284">
            <v>65</v>
          </cell>
          <cell r="O3284" t="str">
            <v>155(F)</v>
          </cell>
          <cell r="P3284" t="str">
            <v>0°</v>
          </cell>
          <cell r="Q3284" t="str">
            <v>TF</v>
          </cell>
          <cell r="R3284" t="str">
            <v>-</v>
          </cell>
          <cell r="S3284" t="str">
            <v>-</v>
          </cell>
          <cell r="T3284" t="str">
            <v>BEHF</v>
          </cell>
          <cell r="U3284" t="str">
            <v>T</v>
          </cell>
          <cell r="V3284" t="str">
            <v>D+R</v>
          </cell>
          <cell r="W3284" t="str">
            <v>-</v>
          </cell>
          <cell r="X3284" t="str">
            <v>CLP HC 150 (-30/+50°C)</v>
          </cell>
          <cell r="Y3284" t="str">
            <v>KA67R37/T EDRN71M4 /BEHF /TF</v>
          </cell>
          <cell r="Z3284" t="str">
            <v>SEW</v>
          </cell>
          <cell r="AB3284" t="str">
            <v>ATEX22</v>
          </cell>
          <cell r="AE3284" t="str">
            <v>Rectifier for brake in the terminal box</v>
          </cell>
          <cell r="AG3284" t="str">
            <v>EDRN71M4</v>
          </cell>
          <cell r="AH3284" t="str">
            <v>KA67R37T-EDRN71M4B0-X</v>
          </cell>
        </row>
        <row r="3285">
          <cell r="A3285" t="str">
            <v>MR003273</v>
          </cell>
          <cell r="B3285" t="str">
            <v>MR</v>
          </cell>
          <cell r="C3285">
            <v>7.5</v>
          </cell>
          <cell r="D3285">
            <v>62</v>
          </cell>
          <cell r="E3285" t="str">
            <v>FH87</v>
          </cell>
          <cell r="F3285">
            <v>1160</v>
          </cell>
          <cell r="G3285">
            <v>23.68</v>
          </cell>
          <cell r="H3285">
            <v>2.2999999999999998</v>
          </cell>
          <cell r="I3285" t="str">
            <v>M1</v>
          </cell>
          <cell r="J3285" t="str">
            <v>IE3</v>
          </cell>
          <cell r="K3285" t="str">
            <v>400/690</v>
          </cell>
          <cell r="L3285">
            <v>50</v>
          </cell>
          <cell r="M3285" t="str">
            <v>15,2/8,8</v>
          </cell>
          <cell r="N3285">
            <v>65</v>
          </cell>
          <cell r="O3285" t="str">
            <v>155(F)</v>
          </cell>
          <cell r="P3285" t="str">
            <v>270°</v>
          </cell>
          <cell r="Q3285" t="str">
            <v>TF</v>
          </cell>
          <cell r="R3285" t="str">
            <v>-</v>
          </cell>
          <cell r="S3285" t="str">
            <v>-</v>
          </cell>
          <cell r="T3285" t="str">
            <v>-</v>
          </cell>
          <cell r="U3285" t="str">
            <v>G</v>
          </cell>
          <cell r="V3285" t="str">
            <v>D</v>
          </cell>
          <cell r="W3285" t="str">
            <v>YES</v>
          </cell>
          <cell r="X3285" t="str">
            <v>CLP HC 150 (-30/+50°C)</v>
          </cell>
          <cell r="Y3285" t="str">
            <v>FH87/G EDRN132M4 /TF</v>
          </cell>
          <cell r="Z3285" t="str">
            <v>SEW</v>
          </cell>
          <cell r="AB3285" t="str">
            <v>ATEX22</v>
          </cell>
          <cell r="AG3285" t="str">
            <v>EDRN132M4</v>
          </cell>
          <cell r="AH3285" t="str">
            <v>FH87G-EDRN132M4270-X</v>
          </cell>
        </row>
        <row r="3286">
          <cell r="A3286" t="str">
            <v>MR003274</v>
          </cell>
          <cell r="B3286" t="str">
            <v>MR</v>
          </cell>
          <cell r="C3286">
            <v>0.75</v>
          </cell>
          <cell r="D3286">
            <v>18</v>
          </cell>
          <cell r="E3286" t="str">
            <v>FA67</v>
          </cell>
          <cell r="F3286">
            <v>395</v>
          </cell>
          <cell r="G3286">
            <v>79.760000000000005</v>
          </cell>
          <cell r="H3286">
            <v>2</v>
          </cell>
          <cell r="I3286" t="str">
            <v>M5</v>
          </cell>
          <cell r="J3286" t="str">
            <v>IE3</v>
          </cell>
          <cell r="K3286" t="str">
            <v>230/400</v>
          </cell>
          <cell r="L3286">
            <v>50</v>
          </cell>
          <cell r="M3286" t="str">
            <v>3,05/1,75</v>
          </cell>
          <cell r="N3286">
            <v>65</v>
          </cell>
          <cell r="O3286" t="str">
            <v>155(F)</v>
          </cell>
          <cell r="P3286" t="str">
            <v>180°</v>
          </cell>
          <cell r="Q3286" t="str">
            <v>TF</v>
          </cell>
          <cell r="R3286" t="str">
            <v>-</v>
          </cell>
          <cell r="S3286" t="str">
            <v>-</v>
          </cell>
          <cell r="T3286" t="str">
            <v>BEHF</v>
          </cell>
          <cell r="U3286" t="str">
            <v>G</v>
          </cell>
          <cell r="V3286" t="str">
            <v>D+R</v>
          </cell>
          <cell r="W3286" t="str">
            <v>-</v>
          </cell>
          <cell r="X3286" t="str">
            <v>CLP HC 150 (-30/+50°C)</v>
          </cell>
          <cell r="Y3286" t="str">
            <v>FA67/G EDRN80M4 /BEHF /TF</v>
          </cell>
          <cell r="Z3286" t="str">
            <v>SEW</v>
          </cell>
          <cell r="AB3286" t="str">
            <v>ATEX22</v>
          </cell>
          <cell r="AE3286" t="str">
            <v>Rectifier for brake in the terminal box</v>
          </cell>
          <cell r="AG3286" t="str">
            <v>EDRN80M4</v>
          </cell>
          <cell r="AH3286" t="str">
            <v>FA67G-EDRN80M4180-X</v>
          </cell>
        </row>
        <row r="3287">
          <cell r="A3287" t="str">
            <v>MR003275</v>
          </cell>
          <cell r="B3287" t="str">
            <v>MR</v>
          </cell>
          <cell r="C3287">
            <v>9.1999999999999993</v>
          </cell>
          <cell r="D3287">
            <v>55</v>
          </cell>
          <cell r="E3287" t="str">
            <v>FH87</v>
          </cell>
          <cell r="F3287">
            <v>1580</v>
          </cell>
          <cell r="G3287">
            <v>26.5</v>
          </cell>
          <cell r="H3287">
            <v>1.7</v>
          </cell>
          <cell r="I3287" t="str">
            <v>M1</v>
          </cell>
          <cell r="J3287" t="str">
            <v>IE3</v>
          </cell>
          <cell r="K3287" t="str">
            <v>400/690</v>
          </cell>
          <cell r="L3287">
            <v>50</v>
          </cell>
          <cell r="M3287" t="str">
            <v>18,7/10,8</v>
          </cell>
          <cell r="N3287">
            <v>65</v>
          </cell>
          <cell r="O3287" t="str">
            <v>155(F)</v>
          </cell>
          <cell r="P3287" t="str">
            <v>270°</v>
          </cell>
          <cell r="Q3287" t="str">
            <v>TF</v>
          </cell>
          <cell r="R3287" t="str">
            <v>-</v>
          </cell>
          <cell r="S3287" t="str">
            <v>-</v>
          </cell>
          <cell r="T3287" t="str">
            <v>-</v>
          </cell>
          <cell r="U3287" t="str">
            <v>G</v>
          </cell>
          <cell r="V3287" t="str">
            <v>D</v>
          </cell>
          <cell r="W3287" t="str">
            <v>YES</v>
          </cell>
          <cell r="X3287" t="str">
            <v>CLP HC 150 (-30/+50°C)</v>
          </cell>
          <cell r="Y3287" t="str">
            <v>FH87/G EDRN132L4 /TF</v>
          </cell>
          <cell r="Z3287" t="str">
            <v>SEW</v>
          </cell>
          <cell r="AB3287" t="str">
            <v>ATEX22</v>
          </cell>
          <cell r="AG3287" t="str">
            <v>EDRN132L4</v>
          </cell>
          <cell r="AH3287" t="str">
            <v>FH87G-EDRN132L4270-X</v>
          </cell>
        </row>
        <row r="3288">
          <cell r="A3288" t="str">
            <v>MR003276</v>
          </cell>
          <cell r="B3288" t="str">
            <v>MR</v>
          </cell>
          <cell r="C3288">
            <v>5.5</v>
          </cell>
          <cell r="D3288">
            <v>15</v>
          </cell>
          <cell r="E3288" t="str">
            <v>FH97</v>
          </cell>
          <cell r="F3288">
            <v>3510</v>
          </cell>
          <cell r="G3288">
            <v>97.58</v>
          </cell>
          <cell r="H3288">
            <v>1.1499999999999999</v>
          </cell>
          <cell r="I3288" t="str">
            <v>M3</v>
          </cell>
          <cell r="J3288" t="str">
            <v>IE3</v>
          </cell>
          <cell r="K3288" t="str">
            <v>230/400</v>
          </cell>
          <cell r="L3288">
            <v>50</v>
          </cell>
          <cell r="M3288" t="str">
            <v>18,2/10,5</v>
          </cell>
          <cell r="N3288">
            <v>65</v>
          </cell>
          <cell r="O3288" t="str">
            <v>155(F)</v>
          </cell>
          <cell r="P3288" t="str">
            <v>270°</v>
          </cell>
          <cell r="Q3288" t="str">
            <v>TF</v>
          </cell>
          <cell r="R3288" t="str">
            <v>V(VE)</v>
          </cell>
          <cell r="S3288" t="str">
            <v>-</v>
          </cell>
          <cell r="T3288" t="str">
            <v>-</v>
          </cell>
          <cell r="U3288" t="str">
            <v>G</v>
          </cell>
          <cell r="V3288" t="str">
            <v>FC</v>
          </cell>
          <cell r="W3288" t="str">
            <v>YES</v>
          </cell>
          <cell r="X3288" t="str">
            <v>CLP HC 150 (-30/+50°C)</v>
          </cell>
          <cell r="Y3288" t="str">
            <v>FH97/G EDRN132S4 /TF/VE</v>
          </cell>
          <cell r="Z3288" t="str">
            <v>SEW</v>
          </cell>
          <cell r="AB3288" t="str">
            <v>ATEX22</v>
          </cell>
          <cell r="AG3288" t="str">
            <v>EDRN132S4</v>
          </cell>
          <cell r="AH3288" t="str">
            <v>FH97G-EDRN132S4270-X#</v>
          </cell>
        </row>
        <row r="3289">
          <cell r="A3289" t="str">
            <v>MR003277</v>
          </cell>
          <cell r="B3289" t="str">
            <v>MR</v>
          </cell>
          <cell r="C3289">
            <v>5.5</v>
          </cell>
          <cell r="D3289">
            <v>57</v>
          </cell>
          <cell r="E3289" t="str">
            <v>FH77</v>
          </cell>
          <cell r="F3289">
            <v>920</v>
          </cell>
          <cell r="G3289">
            <v>25.54</v>
          </cell>
          <cell r="H3289">
            <v>1.45</v>
          </cell>
          <cell r="I3289" t="str">
            <v>M1</v>
          </cell>
          <cell r="J3289" t="str">
            <v>IE3</v>
          </cell>
          <cell r="K3289" t="str">
            <v>230/400</v>
          </cell>
          <cell r="L3289">
            <v>50</v>
          </cell>
          <cell r="M3289" t="str">
            <v>18,2/10,5</v>
          </cell>
          <cell r="N3289">
            <v>65</v>
          </cell>
          <cell r="O3289" t="str">
            <v>155(F)</v>
          </cell>
          <cell r="P3289" t="str">
            <v>270°</v>
          </cell>
          <cell r="Q3289" t="str">
            <v>TF</v>
          </cell>
          <cell r="R3289" t="str">
            <v>-</v>
          </cell>
          <cell r="S3289" t="str">
            <v>-</v>
          </cell>
          <cell r="T3289" t="str">
            <v>-</v>
          </cell>
          <cell r="U3289" t="str">
            <v>G</v>
          </cell>
          <cell r="V3289" t="str">
            <v>D</v>
          </cell>
          <cell r="W3289" t="str">
            <v>YES</v>
          </cell>
          <cell r="X3289" t="str">
            <v>CLP HC 150 (-30/+50°C)</v>
          </cell>
          <cell r="Y3289" t="str">
            <v>FH77/G EDRN132S4 /TF</v>
          </cell>
          <cell r="Z3289" t="str">
            <v>SEW</v>
          </cell>
          <cell r="AB3289" t="str">
            <v>ATEX22</v>
          </cell>
          <cell r="AG3289" t="str">
            <v>EDRN132S4</v>
          </cell>
          <cell r="AH3289" t="str">
            <v>FH77G-EDRN132S4270-X</v>
          </cell>
        </row>
        <row r="3290">
          <cell r="A3290" t="str">
            <v>MR003278</v>
          </cell>
          <cell r="B3290" t="str">
            <v>MR</v>
          </cell>
          <cell r="C3290">
            <v>7.5</v>
          </cell>
          <cell r="D3290">
            <v>62</v>
          </cell>
          <cell r="E3290" t="str">
            <v>FH87</v>
          </cell>
          <cell r="F3290">
            <v>1160</v>
          </cell>
          <cell r="G3290">
            <v>23.68</v>
          </cell>
          <cell r="H3290">
            <v>2.2999999999999998</v>
          </cell>
          <cell r="I3290" t="str">
            <v>From M1 to M2 - 15°</v>
          </cell>
          <cell r="J3290" t="str">
            <v>IE3</v>
          </cell>
          <cell r="K3290" t="str">
            <v>400/690</v>
          </cell>
          <cell r="L3290">
            <v>50</v>
          </cell>
          <cell r="M3290" t="str">
            <v>15,2/8,8</v>
          </cell>
          <cell r="N3290">
            <v>65</v>
          </cell>
          <cell r="O3290" t="str">
            <v>155(F)</v>
          </cell>
          <cell r="P3290" t="str">
            <v>270°</v>
          </cell>
          <cell r="Q3290" t="str">
            <v>TF</v>
          </cell>
          <cell r="R3290" t="str">
            <v>-</v>
          </cell>
          <cell r="S3290" t="str">
            <v>-</v>
          </cell>
          <cell r="T3290" t="str">
            <v>-</v>
          </cell>
          <cell r="U3290" t="str">
            <v>G</v>
          </cell>
          <cell r="V3290" t="str">
            <v>D</v>
          </cell>
          <cell r="W3290" t="str">
            <v>YES</v>
          </cell>
          <cell r="X3290" t="str">
            <v>CLP HC 150 (-30/+50°C)</v>
          </cell>
          <cell r="Y3290" t="str">
            <v>FH87/G EDRN132M4 /TF</v>
          </cell>
          <cell r="Z3290" t="str">
            <v>SEW</v>
          </cell>
          <cell r="AB3290" t="str">
            <v>ATEX22</v>
          </cell>
          <cell r="AG3290" t="str">
            <v>EDRN132M4</v>
          </cell>
          <cell r="AH3290" t="str">
            <v>FH87G-EDRN132M4270-X</v>
          </cell>
        </row>
        <row r="3291">
          <cell r="A3291" t="str">
            <v>MR003279</v>
          </cell>
          <cell r="B3291" t="str">
            <v>MR</v>
          </cell>
          <cell r="C3291">
            <v>3</v>
          </cell>
          <cell r="D3291">
            <v>58</v>
          </cell>
          <cell r="E3291" t="str">
            <v>FH67</v>
          </cell>
          <cell r="F3291">
            <v>495</v>
          </cell>
          <cell r="G3291">
            <v>25.13</v>
          </cell>
          <cell r="H3291">
            <v>1.65</v>
          </cell>
          <cell r="I3291" t="str">
            <v>M1</v>
          </cell>
          <cell r="J3291" t="str">
            <v>IE3</v>
          </cell>
          <cell r="K3291" t="str">
            <v>230/400</v>
          </cell>
          <cell r="L3291">
            <v>50</v>
          </cell>
          <cell r="M3291" t="str">
            <v>11,2/6,4</v>
          </cell>
          <cell r="N3291">
            <v>65</v>
          </cell>
          <cell r="O3291" t="str">
            <v>155(F)</v>
          </cell>
          <cell r="P3291" t="str">
            <v>270°</v>
          </cell>
          <cell r="Q3291" t="str">
            <v>TF</v>
          </cell>
          <cell r="R3291" t="str">
            <v>-</v>
          </cell>
          <cell r="S3291" t="str">
            <v>-</v>
          </cell>
          <cell r="T3291" t="str">
            <v>-</v>
          </cell>
          <cell r="U3291" t="str">
            <v>G</v>
          </cell>
          <cell r="V3291" t="str">
            <v>D</v>
          </cell>
          <cell r="W3291" t="str">
            <v>YES</v>
          </cell>
          <cell r="X3291" t="str">
            <v>CLP HC 150 (-30/+50°C)</v>
          </cell>
          <cell r="Y3291" t="str">
            <v>FH67/G EDRN100L4 /TF</v>
          </cell>
          <cell r="Z3291" t="str">
            <v>SEW</v>
          </cell>
          <cell r="AB3291" t="str">
            <v>ATEX22</v>
          </cell>
          <cell r="AG3291" t="str">
            <v>EDRN100L4</v>
          </cell>
          <cell r="AH3291" t="str">
            <v>FH67G-EDRN100L4270-X</v>
          </cell>
        </row>
        <row r="3292">
          <cell r="A3292" t="str">
            <v>MR003280</v>
          </cell>
          <cell r="B3292" t="str">
            <v>MR</v>
          </cell>
          <cell r="C3292">
            <v>5.5</v>
          </cell>
          <cell r="D3292">
            <v>57</v>
          </cell>
          <cell r="E3292" t="str">
            <v>FH77</v>
          </cell>
          <cell r="F3292">
            <v>920</v>
          </cell>
          <cell r="G3292">
            <v>25.54</v>
          </cell>
          <cell r="H3292">
            <v>1.45</v>
          </cell>
          <cell r="I3292" t="str">
            <v>From M1 to M2 - 30°</v>
          </cell>
          <cell r="J3292" t="str">
            <v>IE3</v>
          </cell>
          <cell r="K3292" t="str">
            <v>230/400</v>
          </cell>
          <cell r="L3292">
            <v>50</v>
          </cell>
          <cell r="M3292" t="str">
            <v>18,2/10,5</v>
          </cell>
          <cell r="N3292">
            <v>65</v>
          </cell>
          <cell r="O3292" t="str">
            <v>155(F)</v>
          </cell>
          <cell r="P3292" t="str">
            <v>270°</v>
          </cell>
          <cell r="Q3292" t="str">
            <v>TF</v>
          </cell>
          <cell r="R3292" t="str">
            <v>-</v>
          </cell>
          <cell r="S3292" t="str">
            <v>-</v>
          </cell>
          <cell r="T3292" t="str">
            <v>-</v>
          </cell>
          <cell r="U3292" t="str">
            <v>G</v>
          </cell>
          <cell r="V3292" t="str">
            <v>D</v>
          </cell>
          <cell r="W3292" t="str">
            <v>YES</v>
          </cell>
          <cell r="X3292" t="str">
            <v>CLP HC 150 (-30/+50°C)</v>
          </cell>
          <cell r="Y3292" t="str">
            <v>FH77/G EDRN132S4 /TF</v>
          </cell>
          <cell r="Z3292" t="str">
            <v>SEW</v>
          </cell>
          <cell r="AB3292" t="str">
            <v>ATEX22</v>
          </cell>
          <cell r="AG3292" t="str">
            <v>EDRN132S4</v>
          </cell>
          <cell r="AH3292" t="str">
            <v>FH77G-EDRN132S4270-X</v>
          </cell>
        </row>
        <row r="3293">
          <cell r="A3293" t="str">
            <v>MR003281</v>
          </cell>
          <cell r="B3293" t="str">
            <v>MR</v>
          </cell>
          <cell r="C3293">
            <v>3</v>
          </cell>
          <cell r="D3293">
            <v>88</v>
          </cell>
          <cell r="E3293" t="str">
            <v>FH67</v>
          </cell>
          <cell r="F3293">
            <v>325</v>
          </cell>
          <cell r="G3293">
            <v>16.48</v>
          </cell>
          <cell r="H3293">
            <v>2.5</v>
          </cell>
          <cell r="I3293" t="str">
            <v>From M3 to M2 - 15°</v>
          </cell>
          <cell r="J3293" t="str">
            <v>IE3</v>
          </cell>
          <cell r="K3293" t="str">
            <v>230/400</v>
          </cell>
          <cell r="L3293">
            <v>50</v>
          </cell>
          <cell r="M3293" t="str">
            <v>11,2/6,4</v>
          </cell>
          <cell r="N3293">
            <v>65</v>
          </cell>
          <cell r="O3293" t="str">
            <v>155(F)</v>
          </cell>
          <cell r="P3293" t="str">
            <v>270°</v>
          </cell>
          <cell r="Q3293" t="str">
            <v>TF</v>
          </cell>
          <cell r="R3293" t="str">
            <v>-</v>
          </cell>
          <cell r="S3293" t="str">
            <v>-</v>
          </cell>
          <cell r="T3293" t="str">
            <v>-</v>
          </cell>
          <cell r="U3293" t="str">
            <v>G</v>
          </cell>
          <cell r="V3293" t="str">
            <v>D</v>
          </cell>
          <cell r="W3293" t="str">
            <v>YES</v>
          </cell>
          <cell r="X3293" t="str">
            <v>CLP HC 150 (-30/+50°C)</v>
          </cell>
          <cell r="Y3293" t="str">
            <v>FH67/G EDRN100L4 /TF</v>
          </cell>
          <cell r="Z3293" t="str">
            <v>SEW</v>
          </cell>
          <cell r="AB3293" t="str">
            <v>ATEX22</v>
          </cell>
          <cell r="AG3293" t="str">
            <v>EDRN100L4</v>
          </cell>
          <cell r="AH3293" t="str">
            <v>FH67G-EDRN100L4270-X</v>
          </cell>
        </row>
        <row r="3294">
          <cell r="A3294" t="str">
            <v>MR003282</v>
          </cell>
          <cell r="B3294" t="str">
            <v>MR</v>
          </cell>
          <cell r="C3294">
            <v>9.1999999999999993</v>
          </cell>
          <cell r="D3294">
            <v>31</v>
          </cell>
          <cell r="E3294" t="str">
            <v>R107</v>
          </cell>
          <cell r="F3294">
            <v>2850</v>
          </cell>
          <cell r="G3294">
            <v>47.63</v>
          </cell>
          <cell r="H3294">
            <v>1.5</v>
          </cell>
          <cell r="I3294" t="str">
            <v>M1</v>
          </cell>
          <cell r="J3294" t="str">
            <v>IE3</v>
          </cell>
          <cell r="K3294" t="str">
            <v>400/690</v>
          </cell>
          <cell r="L3294">
            <v>50</v>
          </cell>
          <cell r="M3294" t="str">
            <v>18,7/10,8</v>
          </cell>
          <cell r="N3294">
            <v>65</v>
          </cell>
          <cell r="O3294" t="str">
            <v>155(F)</v>
          </cell>
          <cell r="P3294" t="str">
            <v>270°</v>
          </cell>
          <cell r="Q3294" t="str">
            <v>TF</v>
          </cell>
          <cell r="R3294" t="str">
            <v>-</v>
          </cell>
          <cell r="S3294" t="str">
            <v>Free rotation CW</v>
          </cell>
          <cell r="T3294" t="str">
            <v>-</v>
          </cell>
          <cell r="U3294" t="str">
            <v>-</v>
          </cell>
          <cell r="V3294" t="str">
            <v>SS</v>
          </cell>
          <cell r="W3294" t="str">
            <v>YES</v>
          </cell>
          <cell r="X3294" t="str">
            <v>CLP HC 150 (-30/+50°C)</v>
          </cell>
          <cell r="Y3294" t="str">
            <v>R107EDRN132L4 /RS /TF</v>
          </cell>
          <cell r="Z3294" t="str">
            <v>SEW</v>
          </cell>
          <cell r="AB3294" t="str">
            <v>ATEX22</v>
          </cell>
          <cell r="AG3294" t="str">
            <v>EDRN132L4</v>
          </cell>
          <cell r="AH3294" t="str">
            <v>R107-EDRN132L4270-X</v>
          </cell>
        </row>
        <row r="3295">
          <cell r="A3295" t="str">
            <v>MR003283</v>
          </cell>
          <cell r="B3295" t="str">
            <v>MR</v>
          </cell>
          <cell r="C3295">
            <v>4</v>
          </cell>
          <cell r="D3295">
            <v>15</v>
          </cell>
          <cell r="E3295" t="str">
            <v>KH97</v>
          </cell>
          <cell r="F3295">
            <v>2530</v>
          </cell>
          <cell r="G3295">
            <v>96.8</v>
          </cell>
          <cell r="H3295">
            <v>1.6</v>
          </cell>
          <cell r="I3295" t="str">
            <v>From M1B to M2B - 45°</v>
          </cell>
          <cell r="J3295" t="str">
            <v>IE3</v>
          </cell>
          <cell r="K3295" t="str">
            <v>230/400</v>
          </cell>
          <cell r="L3295">
            <v>50</v>
          </cell>
          <cell r="M3295" t="str">
            <v>13,8/7,9</v>
          </cell>
          <cell r="N3295">
            <v>65</v>
          </cell>
          <cell r="O3295" t="str">
            <v>155(F)</v>
          </cell>
          <cell r="P3295" t="str">
            <v>270°</v>
          </cell>
          <cell r="Q3295" t="str">
            <v>TF</v>
          </cell>
          <cell r="R3295" t="str">
            <v>-</v>
          </cell>
          <cell r="S3295" t="str">
            <v>-</v>
          </cell>
          <cell r="T3295" t="str">
            <v>-</v>
          </cell>
          <cell r="U3295" t="str">
            <v>-</v>
          </cell>
          <cell r="V3295" t="str">
            <v>SS</v>
          </cell>
          <cell r="W3295" t="str">
            <v>YES</v>
          </cell>
          <cell r="X3295" t="str">
            <v>CLP HC 150 (-30/+50°C)</v>
          </cell>
          <cell r="Y3295" t="str">
            <v>KH97EDRN112M4 /TF</v>
          </cell>
          <cell r="Z3295" t="str">
            <v>SEW</v>
          </cell>
          <cell r="AB3295" t="str">
            <v>ATEX22</v>
          </cell>
          <cell r="AG3295" t="str">
            <v>EDRN112M4</v>
          </cell>
          <cell r="AH3295" t="str">
            <v>KH97-EDRN112M4B270-X</v>
          </cell>
        </row>
        <row r="3296">
          <cell r="A3296" t="str">
            <v>MR003284</v>
          </cell>
          <cell r="B3296" t="str">
            <v>MR</v>
          </cell>
          <cell r="C3296">
            <v>4</v>
          </cell>
          <cell r="D3296">
            <v>15</v>
          </cell>
          <cell r="E3296" t="str">
            <v>KH97</v>
          </cell>
          <cell r="F3296">
            <v>2530</v>
          </cell>
          <cell r="G3296">
            <v>96.8</v>
          </cell>
          <cell r="H3296">
            <v>1.6</v>
          </cell>
          <cell r="I3296" t="str">
            <v>From M1A to M2A - 45°</v>
          </cell>
          <cell r="J3296" t="str">
            <v>IE3</v>
          </cell>
          <cell r="K3296" t="str">
            <v>230/400</v>
          </cell>
          <cell r="L3296">
            <v>50</v>
          </cell>
          <cell r="M3296" t="str">
            <v>13,8/7,9</v>
          </cell>
          <cell r="N3296">
            <v>65</v>
          </cell>
          <cell r="O3296" t="str">
            <v>155(F)</v>
          </cell>
          <cell r="P3296" t="str">
            <v>270°</v>
          </cell>
          <cell r="Q3296" t="str">
            <v>TF</v>
          </cell>
          <cell r="R3296" t="str">
            <v>-</v>
          </cell>
          <cell r="S3296" t="str">
            <v>-</v>
          </cell>
          <cell r="T3296" t="str">
            <v>-</v>
          </cell>
          <cell r="U3296" t="str">
            <v>-</v>
          </cell>
          <cell r="V3296" t="str">
            <v>SS</v>
          </cell>
          <cell r="W3296" t="str">
            <v>YES</v>
          </cell>
          <cell r="X3296" t="str">
            <v>CLP HC 150 (-30/+50°C)</v>
          </cell>
          <cell r="Y3296" t="str">
            <v>KH97EDRN112M4 /TF</v>
          </cell>
          <cell r="Z3296" t="str">
            <v>SEW</v>
          </cell>
          <cell r="AB3296" t="str">
            <v>ATEX22</v>
          </cell>
          <cell r="AG3296" t="str">
            <v>EDRN112M4</v>
          </cell>
          <cell r="AH3296" t="str">
            <v>KH97-EDRN112M4A270-X</v>
          </cell>
        </row>
        <row r="3297">
          <cell r="A3297" t="str">
            <v>MR003285</v>
          </cell>
          <cell r="B3297" t="str">
            <v>MR</v>
          </cell>
          <cell r="C3297">
            <v>18.5</v>
          </cell>
          <cell r="D3297">
            <v>16</v>
          </cell>
          <cell r="E3297" t="str">
            <v>KH127</v>
          </cell>
          <cell r="F3297">
            <v>10700</v>
          </cell>
          <cell r="G3297">
            <v>89.89</v>
          </cell>
          <cell r="H3297">
            <v>1.2</v>
          </cell>
          <cell r="I3297" t="str">
            <v>From M1A to M2A - 20°</v>
          </cell>
          <cell r="J3297" t="str">
            <v>IE3</v>
          </cell>
          <cell r="K3297" t="str">
            <v>400/690</v>
          </cell>
          <cell r="L3297">
            <v>50</v>
          </cell>
          <cell r="M3297" t="str">
            <v>33,5/19,3</v>
          </cell>
          <cell r="N3297">
            <v>65</v>
          </cell>
          <cell r="O3297" t="str">
            <v>155(F)</v>
          </cell>
          <cell r="P3297" t="str">
            <v>270°</v>
          </cell>
          <cell r="Q3297" t="str">
            <v>TF</v>
          </cell>
          <cell r="R3297" t="str">
            <v>-</v>
          </cell>
          <cell r="S3297" t="str">
            <v>-</v>
          </cell>
          <cell r="T3297" t="str">
            <v>-</v>
          </cell>
          <cell r="U3297" t="str">
            <v>-</v>
          </cell>
          <cell r="V3297" t="str">
            <v>SS</v>
          </cell>
          <cell r="W3297" t="str">
            <v>YES</v>
          </cell>
          <cell r="X3297" t="str">
            <v>CLP HC 150 (-30/+50°C)</v>
          </cell>
          <cell r="Y3297" t="str">
            <v>KH127EDRN180M4 /TF</v>
          </cell>
          <cell r="Z3297" t="str">
            <v>SEW</v>
          </cell>
          <cell r="AB3297" t="str">
            <v>ATEX22</v>
          </cell>
          <cell r="AG3297" t="str">
            <v>EDRN180M4</v>
          </cell>
          <cell r="AH3297" t="str">
            <v>KH127-EDRN180M4A270-X</v>
          </cell>
        </row>
        <row r="3298">
          <cell r="A3298" t="str">
            <v>MR003286</v>
          </cell>
          <cell r="B3298" t="str">
            <v>MR</v>
          </cell>
          <cell r="C3298">
            <v>2.2000000000000002</v>
          </cell>
          <cell r="D3298">
            <v>74</v>
          </cell>
          <cell r="E3298" t="str">
            <v>KH47</v>
          </cell>
          <cell r="F3298">
            <v>285</v>
          </cell>
          <cell r="G3298">
            <v>19.579999999999998</v>
          </cell>
          <cell r="H3298">
            <v>1.1499999999999999</v>
          </cell>
          <cell r="I3298" t="str">
            <v>M1B</v>
          </cell>
          <cell r="J3298" t="str">
            <v>IE3</v>
          </cell>
          <cell r="K3298" t="str">
            <v>230/400</v>
          </cell>
          <cell r="L3298">
            <v>50</v>
          </cell>
          <cell r="M3298" t="str">
            <v>8,3/4,75</v>
          </cell>
          <cell r="N3298">
            <v>65</v>
          </cell>
          <cell r="O3298" t="str">
            <v>155(F)</v>
          </cell>
          <cell r="P3298" t="str">
            <v>270°</v>
          </cell>
          <cell r="Q3298" t="str">
            <v>TF</v>
          </cell>
          <cell r="R3298" t="str">
            <v>-</v>
          </cell>
          <cell r="S3298" t="str">
            <v>-</v>
          </cell>
          <cell r="T3298" t="str">
            <v>-</v>
          </cell>
          <cell r="U3298" t="str">
            <v>T</v>
          </cell>
          <cell r="V3298" t="str">
            <v>D</v>
          </cell>
          <cell r="W3298" t="str">
            <v>YES</v>
          </cell>
          <cell r="X3298" t="str">
            <v>CLP HC 150 (-30/+50°C)</v>
          </cell>
          <cell r="Y3298" t="str">
            <v>KH47/T EDRN100LS4 /TF</v>
          </cell>
          <cell r="Z3298" t="str">
            <v>SEW</v>
          </cell>
          <cell r="AB3298" t="str">
            <v>ATEX22</v>
          </cell>
          <cell r="AG3298" t="str">
            <v>EDRN100LS4</v>
          </cell>
          <cell r="AH3298" t="str">
            <v>KH47T-EDRN100LS4B270-X</v>
          </cell>
        </row>
        <row r="3299">
          <cell r="A3299" t="str">
            <v>MR003287</v>
          </cell>
          <cell r="B3299" t="str">
            <v>MR</v>
          </cell>
          <cell r="C3299">
            <v>4</v>
          </cell>
          <cell r="D3299">
            <v>84</v>
          </cell>
          <cell r="E3299" t="str">
            <v>FH77</v>
          </cell>
          <cell r="F3299">
            <v>455</v>
          </cell>
          <cell r="G3299">
            <v>17.489999999999998</v>
          </cell>
          <cell r="H3299">
            <v>3.3</v>
          </cell>
          <cell r="I3299" t="str">
            <v>From M1 to M2 - 15°</v>
          </cell>
          <cell r="J3299" t="str">
            <v>IE3</v>
          </cell>
          <cell r="K3299" t="str">
            <v>230/400</v>
          </cell>
          <cell r="L3299">
            <v>50</v>
          </cell>
          <cell r="M3299" t="str">
            <v>13,8/7,9</v>
          </cell>
          <cell r="N3299">
            <v>65</v>
          </cell>
          <cell r="O3299" t="str">
            <v>155(F)</v>
          </cell>
          <cell r="P3299" t="str">
            <v>270°</v>
          </cell>
          <cell r="Q3299" t="str">
            <v>TF</v>
          </cell>
          <cell r="R3299" t="str">
            <v>-</v>
          </cell>
          <cell r="S3299" t="str">
            <v>-</v>
          </cell>
          <cell r="T3299" t="str">
            <v>-</v>
          </cell>
          <cell r="U3299" t="str">
            <v>G</v>
          </cell>
          <cell r="V3299" t="str">
            <v>D</v>
          </cell>
          <cell r="W3299" t="str">
            <v>YES</v>
          </cell>
          <cell r="X3299" t="str">
            <v>CLP HC 150 (-30/+50°C)</v>
          </cell>
          <cell r="Y3299" t="str">
            <v>FH77/G EDRN112M4 /TF</v>
          </cell>
          <cell r="Z3299" t="str">
            <v>SEW</v>
          </cell>
          <cell r="AB3299" t="str">
            <v>ATEX22</v>
          </cell>
          <cell r="AG3299" t="str">
            <v>EDRN112M4</v>
          </cell>
          <cell r="AH3299" t="str">
            <v>FH77G-EDRN112M4270-X</v>
          </cell>
        </row>
        <row r="3300">
          <cell r="A3300" t="str">
            <v>MR003288</v>
          </cell>
          <cell r="B3300" t="str">
            <v>MR</v>
          </cell>
          <cell r="C3300">
            <v>22</v>
          </cell>
          <cell r="D3300">
            <v>33</v>
          </cell>
          <cell r="E3300" t="str">
            <v>R137</v>
          </cell>
          <cell r="F3300">
            <v>6310</v>
          </cell>
          <cell r="G3300">
            <v>44.39</v>
          </cell>
          <cell r="H3300">
            <v>1.2</v>
          </cell>
          <cell r="I3300" t="str">
            <v>M1</v>
          </cell>
          <cell r="J3300" t="str">
            <v>IE3</v>
          </cell>
          <cell r="K3300" t="str">
            <v>400/690</v>
          </cell>
          <cell r="L3300">
            <v>50</v>
          </cell>
          <cell r="M3300" t="str">
            <v>38,5/22,5</v>
          </cell>
          <cell r="N3300">
            <v>65</v>
          </cell>
          <cell r="O3300" t="str">
            <v>155(F)</v>
          </cell>
          <cell r="P3300" t="str">
            <v>270°</v>
          </cell>
          <cell r="Q3300" t="str">
            <v>TF</v>
          </cell>
          <cell r="R3300" t="str">
            <v>-</v>
          </cell>
          <cell r="S3300" t="str">
            <v>Free rotation CCW</v>
          </cell>
          <cell r="T3300" t="str">
            <v>-</v>
          </cell>
          <cell r="U3300" t="str">
            <v>-</v>
          </cell>
          <cell r="V3300" t="str">
            <v>SS</v>
          </cell>
          <cell r="W3300" t="str">
            <v>YES</v>
          </cell>
          <cell r="X3300" t="str">
            <v>CLP HC 150 (-30/+50°C)</v>
          </cell>
          <cell r="Y3300" t="str">
            <v>R137EDRN180L4 /RS /TF</v>
          </cell>
          <cell r="Z3300" t="str">
            <v>SEW</v>
          </cell>
          <cell r="AB3300" t="str">
            <v>ATEX22</v>
          </cell>
          <cell r="AG3300" t="str">
            <v>EDRN180L4</v>
          </cell>
          <cell r="AH3300" t="str">
            <v>R137-EDRN180L4270-X</v>
          </cell>
        </row>
        <row r="3301">
          <cell r="A3301" t="str">
            <v>MR003289</v>
          </cell>
          <cell r="B3301" t="str">
            <v>MR</v>
          </cell>
          <cell r="C3301">
            <v>9.1999999999999993</v>
          </cell>
          <cell r="D3301">
            <v>15</v>
          </cell>
          <cell r="E3301" t="str">
            <v>KA107</v>
          </cell>
          <cell r="F3301">
            <v>6020</v>
          </cell>
          <cell r="G3301">
            <v>100.75</v>
          </cell>
          <cell r="H3301">
            <v>1.27</v>
          </cell>
          <cell r="I3301" t="str">
            <v>From M4A to M1A - 35°</v>
          </cell>
          <cell r="J3301" t="str">
            <v>IE3</v>
          </cell>
          <cell r="K3301" t="str">
            <v>400/690</v>
          </cell>
          <cell r="L3301">
            <v>50</v>
          </cell>
          <cell r="M3301" t="str">
            <v>18,7/10,8</v>
          </cell>
          <cell r="N3301">
            <v>65</v>
          </cell>
          <cell r="O3301" t="str">
            <v>155(F)</v>
          </cell>
          <cell r="P3301" t="str">
            <v>270°</v>
          </cell>
          <cell r="Q3301" t="str">
            <v>TF</v>
          </cell>
          <cell r="R3301" t="str">
            <v>V(VE)</v>
          </cell>
          <cell r="S3301" t="str">
            <v>-</v>
          </cell>
          <cell r="T3301" t="str">
            <v>-</v>
          </cell>
          <cell r="U3301" t="str">
            <v>-</v>
          </cell>
          <cell r="V3301" t="str">
            <v>FC</v>
          </cell>
          <cell r="W3301" t="str">
            <v>YES</v>
          </cell>
          <cell r="X3301" t="str">
            <v>CLP HC 150 (-30/+50°C)</v>
          </cell>
          <cell r="Y3301" t="str">
            <v>KA107EDRN132L4 /TF/VE</v>
          </cell>
          <cell r="Z3301" t="str">
            <v>SEW</v>
          </cell>
          <cell r="AB3301" t="str">
            <v>ATEX22</v>
          </cell>
          <cell r="AG3301" t="str">
            <v>EDRN132L4</v>
          </cell>
          <cell r="AH3301" t="str">
            <v>KA107-EDRN132L4A270-X#</v>
          </cell>
        </row>
        <row r="3302">
          <cell r="A3302" t="str">
            <v>MR003290</v>
          </cell>
          <cell r="B3302" t="str">
            <v>MR</v>
          </cell>
          <cell r="C3302">
            <v>9.1999999999999993</v>
          </cell>
          <cell r="D3302">
            <v>15</v>
          </cell>
          <cell r="E3302" t="str">
            <v>KA107</v>
          </cell>
          <cell r="F3302">
            <v>6020</v>
          </cell>
          <cell r="G3302">
            <v>100.75</v>
          </cell>
          <cell r="H3302">
            <v>1.23</v>
          </cell>
          <cell r="I3302" t="str">
            <v>From M4B to M1B - 35°</v>
          </cell>
          <cell r="J3302" t="str">
            <v>IE3</v>
          </cell>
          <cell r="K3302" t="str">
            <v>400/690</v>
          </cell>
          <cell r="L3302">
            <v>50</v>
          </cell>
          <cell r="M3302" t="str">
            <v>18,7/10,8</v>
          </cell>
          <cell r="N3302">
            <v>65</v>
          </cell>
          <cell r="O3302" t="str">
            <v>155(F)</v>
          </cell>
          <cell r="P3302" t="str">
            <v>270°</v>
          </cell>
          <cell r="Q3302" t="str">
            <v>TF</v>
          </cell>
          <cell r="R3302" t="str">
            <v>V(VE)</v>
          </cell>
          <cell r="S3302" t="str">
            <v>-</v>
          </cell>
          <cell r="T3302" t="str">
            <v>-</v>
          </cell>
          <cell r="U3302" t="str">
            <v>-</v>
          </cell>
          <cell r="V3302" t="str">
            <v>FC</v>
          </cell>
          <cell r="W3302" t="str">
            <v>YES</v>
          </cell>
          <cell r="X3302" t="str">
            <v>CLP HC 150 (-30/+50°C)</v>
          </cell>
          <cell r="Y3302" t="str">
            <v>KA107EDRN132L4 /TF/VE</v>
          </cell>
          <cell r="Z3302" t="str">
            <v>SEW</v>
          </cell>
          <cell r="AB3302" t="str">
            <v>ATEX22</v>
          </cell>
          <cell r="AG3302" t="str">
            <v>EDRN132L4</v>
          </cell>
          <cell r="AH3302" t="str">
            <v>KA107-EDRN132L4B270-X#</v>
          </cell>
        </row>
        <row r="3303">
          <cell r="A3303" t="str">
            <v>MR003291</v>
          </cell>
          <cell r="B3303" t="str">
            <v>MR</v>
          </cell>
          <cell r="C3303">
            <v>0.75</v>
          </cell>
          <cell r="D3303">
            <v>1.7</v>
          </cell>
          <cell r="E3303" t="str">
            <v>KA97R57</v>
          </cell>
          <cell r="F3303">
            <v>3930</v>
          </cell>
          <cell r="G3303">
            <v>855</v>
          </cell>
          <cell r="H3303">
            <v>1.1000000000000001</v>
          </cell>
          <cell r="I3303" t="str">
            <v>M3B</v>
          </cell>
          <cell r="J3303" t="str">
            <v>IE3</v>
          </cell>
          <cell r="K3303" t="str">
            <v>230/400</v>
          </cell>
          <cell r="L3303">
            <v>50</v>
          </cell>
          <cell r="M3303" t="str">
            <v>3,05/1,75</v>
          </cell>
          <cell r="N3303">
            <v>65</v>
          </cell>
          <cell r="O3303" t="str">
            <v>155(F)</v>
          </cell>
          <cell r="P3303" t="str">
            <v>0°</v>
          </cell>
          <cell r="Q3303" t="str">
            <v>TF</v>
          </cell>
          <cell r="R3303" t="str">
            <v>V(VE)</v>
          </cell>
          <cell r="S3303" t="str">
            <v>-</v>
          </cell>
          <cell r="T3303" t="str">
            <v>BEHF</v>
          </cell>
          <cell r="U3303" t="str">
            <v>T</v>
          </cell>
          <cell r="V3303" t="str">
            <v>FC+R</v>
          </cell>
          <cell r="W3303" t="str">
            <v>-</v>
          </cell>
          <cell r="X3303" t="str">
            <v>CLP HC 150 (-30/+50°C)</v>
          </cell>
          <cell r="Y3303" t="str">
            <v>KA97R57/T EDRN80M4 /BEHF /TF/VE</v>
          </cell>
          <cell r="Z3303" t="str">
            <v>SEW</v>
          </cell>
          <cell r="AB3303" t="str">
            <v>ATEX22</v>
          </cell>
          <cell r="AE3303" t="str">
            <v>Rectifier for brake in the terminal box</v>
          </cell>
          <cell r="AG3303" t="str">
            <v>EDRN80M4</v>
          </cell>
          <cell r="AH3303" t="str">
            <v>KA97R57T-EDRN80M4B0-X#</v>
          </cell>
        </row>
        <row r="3304">
          <cell r="A3304" t="str">
            <v>MR003292</v>
          </cell>
          <cell r="B3304" t="str">
            <v>MR</v>
          </cell>
          <cell r="C3304">
            <v>1.5</v>
          </cell>
          <cell r="D3304">
            <v>3.8</v>
          </cell>
          <cell r="E3304" t="str">
            <v>KA97R57</v>
          </cell>
          <cell r="F3304">
            <v>3440</v>
          </cell>
          <cell r="G3304">
            <v>382</v>
          </cell>
          <cell r="H3304">
            <v>1.25</v>
          </cell>
          <cell r="I3304" t="str">
            <v>M3B</v>
          </cell>
          <cell r="J3304" t="str">
            <v>IE3</v>
          </cell>
          <cell r="K3304" t="str">
            <v>230/400</v>
          </cell>
          <cell r="L3304">
            <v>50</v>
          </cell>
          <cell r="M3304" t="str">
            <v>5,9/3,4</v>
          </cell>
          <cell r="N3304">
            <v>65</v>
          </cell>
          <cell r="O3304" t="str">
            <v>155(F)</v>
          </cell>
          <cell r="P3304" t="str">
            <v>0°</v>
          </cell>
          <cell r="Q3304" t="str">
            <v>TF</v>
          </cell>
          <cell r="R3304" t="str">
            <v>-</v>
          </cell>
          <cell r="S3304" t="str">
            <v>-</v>
          </cell>
          <cell r="T3304" t="str">
            <v>BEHF</v>
          </cell>
          <cell r="U3304" t="str">
            <v>T</v>
          </cell>
          <cell r="V3304" t="str">
            <v>D+R</v>
          </cell>
          <cell r="W3304" t="str">
            <v>YES</v>
          </cell>
          <cell r="X3304" t="str">
            <v>CLP HC 150 (-30/+50°C)</v>
          </cell>
          <cell r="Y3304" t="str">
            <v>KA97R57/T EDRN90L4 /BEHF /TF</v>
          </cell>
          <cell r="Z3304" t="str">
            <v>SEW</v>
          </cell>
          <cell r="AB3304" t="str">
            <v>ATEX22</v>
          </cell>
          <cell r="AE3304" t="str">
            <v>Rectifier for brake in the terminal box</v>
          </cell>
          <cell r="AG3304" t="str">
            <v>EDRN90L4</v>
          </cell>
          <cell r="AH3304" t="str">
            <v>KA97R57T-EDRN90L4B0-X</v>
          </cell>
        </row>
        <row r="3305">
          <cell r="A3305" t="str">
            <v>MR003293</v>
          </cell>
          <cell r="B3305" t="str">
            <v>MR</v>
          </cell>
          <cell r="C3305">
            <v>1.5</v>
          </cell>
          <cell r="D3305">
            <v>22</v>
          </cell>
          <cell r="E3305" t="str">
            <v>FA67</v>
          </cell>
          <cell r="F3305">
            <v>660</v>
          </cell>
          <cell r="G3305">
            <v>67.650000000000006</v>
          </cell>
          <cell r="H3305">
            <v>1.25</v>
          </cell>
          <cell r="I3305" t="str">
            <v xml:space="preserve">From M3 to M6 - 35° </v>
          </cell>
          <cell r="J3305" t="str">
            <v>IE3</v>
          </cell>
          <cell r="K3305" t="str">
            <v>220/380</v>
          </cell>
          <cell r="L3305">
            <v>50</v>
          </cell>
          <cell r="M3305" t="str">
            <v>6,2/3,6</v>
          </cell>
          <cell r="N3305">
            <v>55</v>
          </cell>
          <cell r="O3305" t="str">
            <v>155(F)</v>
          </cell>
          <cell r="P3305" t="str">
            <v>270°</v>
          </cell>
          <cell r="Q3305" t="str">
            <v>-</v>
          </cell>
          <cell r="R3305" t="str">
            <v>-</v>
          </cell>
          <cell r="S3305" t="str">
            <v>-</v>
          </cell>
          <cell r="T3305" t="str">
            <v>BEHF</v>
          </cell>
          <cell r="U3305" t="str">
            <v>G</v>
          </cell>
          <cell r="V3305" t="str">
            <v>D+R</v>
          </cell>
          <cell r="W3305" t="str">
            <v>-</v>
          </cell>
          <cell r="X3305" t="str">
            <v>CLP 220 (-15/+40°C)</v>
          </cell>
          <cell r="Y3305" t="str">
            <v>FA67/G DRN90L4 /BEHF</v>
          </cell>
          <cell r="Z3305" t="str">
            <v>SEW</v>
          </cell>
          <cell r="AB3305" t="str">
            <v>-</v>
          </cell>
          <cell r="AG3305" t="str">
            <v>DRN90L4</v>
          </cell>
          <cell r="AH3305" t="str">
            <v>FA67G-DRN90L4270-X</v>
          </cell>
        </row>
        <row r="3306">
          <cell r="A3306" t="str">
            <v>MR003294</v>
          </cell>
          <cell r="B3306" t="str">
            <v>R</v>
          </cell>
          <cell r="C3306">
            <v>7.5</v>
          </cell>
          <cell r="D3306">
            <v>2.2999999999999998</v>
          </cell>
          <cell r="E3306" t="str">
            <v>313M R4</v>
          </cell>
          <cell r="F3306">
            <v>49300</v>
          </cell>
          <cell r="G3306">
            <v>647</v>
          </cell>
          <cell r="H3306">
            <v>1.8</v>
          </cell>
          <cell r="I3306" t="str">
            <v>B0 LH</v>
          </cell>
          <cell r="N3306" t="str">
            <v>-</v>
          </cell>
          <cell r="O3306" t="str">
            <v>-</v>
          </cell>
          <cell r="P3306" t="str">
            <v>-</v>
          </cell>
          <cell r="Q3306" t="str">
            <v>-</v>
          </cell>
          <cell r="R3306" t="str">
            <v>-</v>
          </cell>
          <cell r="S3306" t="str">
            <v>-</v>
          </cell>
          <cell r="T3306" t="str">
            <v>-</v>
          </cell>
          <cell r="U3306" t="str">
            <v>-</v>
          </cell>
          <cell r="V3306" t="str">
            <v>-</v>
          </cell>
          <cell r="W3306" t="str">
            <v>-</v>
          </cell>
          <cell r="X3306" t="str">
            <v>SHELL OMALA S4 WE 150</v>
          </cell>
          <cell r="Y3306" t="str">
            <v>2T313R4647001D-313M R4 647 FZ P132 B0LH</v>
          </cell>
          <cell r="Z3306" t="str">
            <v>Bonfiglioli</v>
          </cell>
          <cell r="AB3306" t="str">
            <v>-</v>
          </cell>
          <cell r="AE3306" t="str">
            <v>ALBERO SCANALATO FEMMINA  Pam  IEC 132 B5</v>
          </cell>
          <cell r="AH3306" t="str">
            <v>313M R4-B--X</v>
          </cell>
        </row>
        <row r="3307">
          <cell r="A3307" t="str">
            <v>MR003295</v>
          </cell>
          <cell r="B3307" t="str">
            <v>MR</v>
          </cell>
          <cell r="C3307">
            <v>7.5</v>
          </cell>
          <cell r="D3307">
            <v>12</v>
          </cell>
          <cell r="E3307" t="str">
            <v>KH107</v>
          </cell>
          <cell r="F3307">
            <v>5930</v>
          </cell>
          <cell r="G3307">
            <v>121.46</v>
          </cell>
          <cell r="H3307">
            <v>1.3</v>
          </cell>
          <cell r="I3307" t="str">
            <v>From M4B to M1B - 30°</v>
          </cell>
          <cell r="J3307" t="str">
            <v>IE3</v>
          </cell>
          <cell r="K3307" t="str">
            <v>230/400</v>
          </cell>
          <cell r="L3307">
            <v>50</v>
          </cell>
          <cell r="M3307" t="str">
            <v>27/15,7</v>
          </cell>
          <cell r="N3307">
            <v>65</v>
          </cell>
          <cell r="O3307" t="str">
            <v>155(F)</v>
          </cell>
          <cell r="P3307" t="str">
            <v>270°</v>
          </cell>
          <cell r="Q3307" t="str">
            <v>TF</v>
          </cell>
          <cell r="R3307" t="str">
            <v>V(VE)</v>
          </cell>
          <cell r="S3307" t="str">
            <v>-</v>
          </cell>
          <cell r="T3307" t="str">
            <v>-</v>
          </cell>
          <cell r="U3307" t="str">
            <v>-</v>
          </cell>
          <cell r="V3307" t="str">
            <v>FC</v>
          </cell>
          <cell r="W3307" t="str">
            <v>YES</v>
          </cell>
          <cell r="X3307" t="str">
            <v>CLP PG 220 (-25/+80°C)</v>
          </cell>
          <cell r="Y3307" t="str">
            <v>KH107/II2GDEDRN132M4/3D/TF/VE/C</v>
          </cell>
          <cell r="Z3307" t="str">
            <v>SEW</v>
          </cell>
          <cell r="AB3307" t="str">
            <v>ATEX22</v>
          </cell>
          <cell r="AG3307" t="str">
            <v>EDRN132M4</v>
          </cell>
          <cell r="AH3307" t="str">
            <v>KH107-EDRN132M4B270-X#</v>
          </cell>
        </row>
        <row r="3308">
          <cell r="A3308" t="str">
            <v>MR003296</v>
          </cell>
          <cell r="B3308" t="str">
            <v>MR</v>
          </cell>
          <cell r="C3308">
            <v>7.5</v>
          </cell>
          <cell r="D3308">
            <v>12</v>
          </cell>
          <cell r="E3308" t="str">
            <v>KH107</v>
          </cell>
          <cell r="F3308">
            <v>5930</v>
          </cell>
          <cell r="G3308">
            <v>121.46</v>
          </cell>
          <cell r="H3308">
            <v>1.3</v>
          </cell>
          <cell r="I3308" t="str">
            <v>From M4A to M1A - 30°</v>
          </cell>
          <cell r="J3308" t="str">
            <v>IE3</v>
          </cell>
          <cell r="K3308" t="str">
            <v>230/400</v>
          </cell>
          <cell r="L3308">
            <v>50</v>
          </cell>
          <cell r="M3308" t="str">
            <v>27/15,7</v>
          </cell>
          <cell r="N3308">
            <v>65</v>
          </cell>
          <cell r="O3308" t="str">
            <v>155(F)</v>
          </cell>
          <cell r="P3308" t="str">
            <v>270°</v>
          </cell>
          <cell r="Q3308" t="str">
            <v>TF</v>
          </cell>
          <cell r="R3308" t="str">
            <v>V(VE)</v>
          </cell>
          <cell r="S3308" t="str">
            <v>-</v>
          </cell>
          <cell r="T3308" t="str">
            <v>-</v>
          </cell>
          <cell r="U3308" t="str">
            <v>-</v>
          </cell>
          <cell r="V3308" t="str">
            <v>FC</v>
          </cell>
          <cell r="W3308" t="str">
            <v>YES</v>
          </cell>
          <cell r="X3308" t="str">
            <v>CLP PG 220 (-25/+80°C)</v>
          </cell>
          <cell r="Y3308" t="str">
            <v>KH107/II2GDEDRN132M4/3D/TF/VE/C</v>
          </cell>
          <cell r="Z3308" t="str">
            <v>SEW</v>
          </cell>
          <cell r="AB3308" t="str">
            <v>ATEX22</v>
          </cell>
          <cell r="AG3308" t="str">
            <v>EDRN132M4</v>
          </cell>
          <cell r="AH3308" t="str">
            <v>KH107-EDRN132M4A270-X#</v>
          </cell>
        </row>
        <row r="3309">
          <cell r="A3309" t="str">
            <v>MR003297</v>
          </cell>
          <cell r="B3309" t="str">
            <v>MR</v>
          </cell>
          <cell r="C3309">
            <v>15</v>
          </cell>
          <cell r="D3309">
            <v>25.832999999999998</v>
          </cell>
          <cell r="E3309" t="str">
            <v>FH107</v>
          </cell>
          <cell r="F3309">
            <v>4680</v>
          </cell>
          <cell r="G3309">
            <v>58.12</v>
          </cell>
          <cell r="H3309">
            <v>1.65</v>
          </cell>
          <cell r="I3309" t="str">
            <v>M1</v>
          </cell>
          <cell r="J3309" t="str">
            <v>IE3</v>
          </cell>
          <cell r="K3309" t="str">
            <v>277/480</v>
          </cell>
          <cell r="L3309">
            <v>60</v>
          </cell>
          <cell r="M3309" t="str">
            <v>42/24</v>
          </cell>
          <cell r="N3309">
            <v>65</v>
          </cell>
          <cell r="O3309" t="str">
            <v>155(F)</v>
          </cell>
          <cell r="P3309" t="str">
            <v>270°</v>
          </cell>
          <cell r="Q3309" t="str">
            <v>TF</v>
          </cell>
          <cell r="R3309" t="str">
            <v>V(VE)</v>
          </cell>
          <cell r="S3309" t="str">
            <v>-</v>
          </cell>
          <cell r="T3309" t="str">
            <v>-</v>
          </cell>
          <cell r="U3309" t="str">
            <v>G</v>
          </cell>
          <cell r="V3309" t="str">
            <v>FC</v>
          </cell>
          <cell r="W3309" t="str">
            <v>-</v>
          </cell>
          <cell r="X3309" t="str">
            <v>CLP 220 (-15/+40°C)</v>
          </cell>
          <cell r="Y3309" t="str">
            <v>FH107/G DRN160L4 /TF/V</v>
          </cell>
          <cell r="Z3309" t="str">
            <v>SEW</v>
          </cell>
          <cell r="AB3309" t="str">
            <v>-</v>
          </cell>
          <cell r="AG3309" t="str">
            <v>DRN160L4</v>
          </cell>
          <cell r="AH3309" t="str">
            <v>FH107G-DRN160L4270-X#</v>
          </cell>
        </row>
        <row r="3310">
          <cell r="A3310" t="str">
            <v>MR003298</v>
          </cell>
          <cell r="B3310" t="str">
            <v>MR</v>
          </cell>
          <cell r="C3310">
            <v>22</v>
          </cell>
          <cell r="D3310">
            <v>48</v>
          </cell>
          <cell r="E3310" t="str">
            <v>R127</v>
          </cell>
          <cell r="F3310">
            <v>4380</v>
          </cell>
          <cell r="G3310">
            <v>30.84</v>
          </cell>
          <cell r="H3310">
            <v>1.25</v>
          </cell>
          <cell r="I3310" t="str">
            <v>From M1 to M2 - 20°</v>
          </cell>
          <cell r="J3310" t="str">
            <v>IE3</v>
          </cell>
          <cell r="K3310" t="str">
            <v>230/400</v>
          </cell>
          <cell r="L3310">
            <v>50</v>
          </cell>
          <cell r="M3310" t="str">
            <v>67/38,5</v>
          </cell>
          <cell r="N3310">
            <v>55</v>
          </cell>
          <cell r="O3310" t="str">
            <v>155(F)</v>
          </cell>
          <cell r="P3310" t="str">
            <v>270°</v>
          </cell>
          <cell r="Q3310" t="str">
            <v>TF</v>
          </cell>
          <cell r="R3310" t="str">
            <v>V(VE)</v>
          </cell>
          <cell r="S3310" t="str">
            <v>-</v>
          </cell>
          <cell r="T3310" t="str">
            <v>-</v>
          </cell>
          <cell r="U3310" t="str">
            <v>-</v>
          </cell>
          <cell r="V3310" t="str">
            <v>FC</v>
          </cell>
          <cell r="W3310" t="str">
            <v>-</v>
          </cell>
          <cell r="X3310" t="str">
            <v>CLP 220 (-15/+40°C)</v>
          </cell>
          <cell r="Y3310" t="str">
            <v>R127DRN180L4 /TF/V</v>
          </cell>
          <cell r="Z3310" t="str">
            <v>SEW</v>
          </cell>
          <cell r="AB3310" t="str">
            <v>-</v>
          </cell>
          <cell r="AG3310" t="str">
            <v>DRN180L4</v>
          </cell>
          <cell r="AH3310" t="str">
            <v>R127-DRN180L4270-X#</v>
          </cell>
        </row>
        <row r="3311">
          <cell r="A3311" t="str">
            <v>MR003299</v>
          </cell>
          <cell r="B3311" t="str">
            <v>MR</v>
          </cell>
          <cell r="C3311">
            <v>3</v>
          </cell>
          <cell r="D3311">
            <v>93</v>
          </cell>
          <cell r="E3311" t="str">
            <v>R77</v>
          </cell>
          <cell r="F3311">
            <v>305</v>
          </cell>
          <cell r="G3311">
            <v>15.6</v>
          </cell>
          <cell r="H3311">
            <v>2.4</v>
          </cell>
          <cell r="I3311" t="str">
            <v>From M1 to M2 - 15°</v>
          </cell>
          <cell r="J3311" t="str">
            <v>IE3</v>
          </cell>
          <cell r="K3311" t="str">
            <v>230/400</v>
          </cell>
          <cell r="L3311">
            <v>50</v>
          </cell>
          <cell r="M3311" t="str">
            <v>11,2/6,4</v>
          </cell>
          <cell r="N3311">
            <v>55</v>
          </cell>
          <cell r="O3311" t="str">
            <v>155(F)</v>
          </cell>
          <cell r="P3311" t="str">
            <v>270°</v>
          </cell>
          <cell r="Q3311" t="str">
            <v>-</v>
          </cell>
          <cell r="R3311" t="str">
            <v>-</v>
          </cell>
          <cell r="S3311" t="str">
            <v>-</v>
          </cell>
          <cell r="T3311" t="str">
            <v>-</v>
          </cell>
          <cell r="U3311" t="str">
            <v>-</v>
          </cell>
          <cell r="V3311" t="str">
            <v>D</v>
          </cell>
          <cell r="W3311" t="str">
            <v>-</v>
          </cell>
          <cell r="X3311" t="str">
            <v>CLP 220 (-15/+40°C)</v>
          </cell>
          <cell r="Y3311" t="str">
            <v>R77DRN100L4</v>
          </cell>
          <cell r="Z3311" t="str">
            <v>SEW</v>
          </cell>
          <cell r="AB3311" t="str">
            <v>-</v>
          </cell>
          <cell r="AG3311" t="str">
            <v>DRN100L4</v>
          </cell>
          <cell r="AH3311" t="str">
            <v>R77-DRN100L4270-X</v>
          </cell>
        </row>
        <row r="3312">
          <cell r="A3312" t="str">
            <v>MR003300</v>
          </cell>
          <cell r="B3312" t="str">
            <v>MR</v>
          </cell>
          <cell r="C3312">
            <v>37</v>
          </cell>
          <cell r="D3312">
            <v>32</v>
          </cell>
          <cell r="E3312" t="str">
            <v>R147</v>
          </cell>
          <cell r="F3312">
            <v>11100</v>
          </cell>
          <cell r="G3312">
            <v>46.65</v>
          </cell>
          <cell r="H3312">
            <v>1.1499999999999999</v>
          </cell>
          <cell r="I3312" t="str">
            <v>M1</v>
          </cell>
          <cell r="J3312" t="str">
            <v>IE3</v>
          </cell>
          <cell r="K3312" t="str">
            <v>400/690</v>
          </cell>
          <cell r="L3312">
            <v>50</v>
          </cell>
          <cell r="M3312" t="str">
            <v>64/37</v>
          </cell>
          <cell r="N3312">
            <v>55</v>
          </cell>
          <cell r="O3312" t="str">
            <v>155(F)</v>
          </cell>
          <cell r="P3312" t="str">
            <v>270°</v>
          </cell>
          <cell r="Q3312" t="str">
            <v>-</v>
          </cell>
          <cell r="R3312" t="str">
            <v>-</v>
          </cell>
          <cell r="S3312" t="str">
            <v>Free rotation CCW</v>
          </cell>
          <cell r="T3312" t="str">
            <v>-</v>
          </cell>
          <cell r="U3312" t="str">
            <v>-</v>
          </cell>
          <cell r="V3312" t="str">
            <v>SS</v>
          </cell>
          <cell r="W3312" t="str">
            <v>-</v>
          </cell>
          <cell r="X3312" t="str">
            <v>CLP 220 (-15/+40°C)</v>
          </cell>
          <cell r="Y3312" t="str">
            <v>R147DRN225S4 /RS</v>
          </cell>
          <cell r="Z3312" t="str">
            <v>SEW</v>
          </cell>
          <cell r="AB3312" t="str">
            <v>-</v>
          </cell>
          <cell r="AG3312" t="str">
            <v>DRN225S4</v>
          </cell>
          <cell r="AH3312" t="str">
            <v>R147-DRN225S4270-X</v>
          </cell>
        </row>
        <row r="3313">
          <cell r="A3313" t="str">
            <v>MR003301</v>
          </cell>
          <cell r="B3313" t="str">
            <v>MR</v>
          </cell>
          <cell r="C3313">
            <v>11</v>
          </cell>
          <cell r="D3313">
            <v>59</v>
          </cell>
          <cell r="E3313" t="str">
            <v>KH87</v>
          </cell>
          <cell r="F3313">
            <v>1770</v>
          </cell>
          <cell r="G3313">
            <v>24.92</v>
          </cell>
          <cell r="H3313">
            <v>1.4</v>
          </cell>
          <cell r="I3313" t="str">
            <v>M4B</v>
          </cell>
          <cell r="J3313" t="str">
            <v>IE3</v>
          </cell>
          <cell r="K3313" t="str">
            <v>400/690</v>
          </cell>
          <cell r="L3313">
            <v>50</v>
          </cell>
          <cell r="M3313" t="str">
            <v>21/12,2</v>
          </cell>
          <cell r="N3313">
            <v>55</v>
          </cell>
          <cell r="O3313" t="str">
            <v>155(F)</v>
          </cell>
          <cell r="P3313" t="str">
            <v>270°</v>
          </cell>
          <cell r="Q3313" t="str">
            <v>-</v>
          </cell>
          <cell r="R3313" t="str">
            <v>-</v>
          </cell>
          <cell r="S3313" t="str">
            <v>-</v>
          </cell>
          <cell r="T3313" t="str">
            <v>-</v>
          </cell>
          <cell r="U3313" t="str">
            <v>T</v>
          </cell>
          <cell r="V3313" t="str">
            <v>SS</v>
          </cell>
          <cell r="W3313" t="str">
            <v>-</v>
          </cell>
          <cell r="X3313" t="str">
            <v>CLP 220 (-15/+40°C)</v>
          </cell>
          <cell r="Y3313" t="str">
            <v>KH87/T DRN160M4</v>
          </cell>
          <cell r="Z3313" t="str">
            <v>SEW</v>
          </cell>
          <cell r="AB3313" t="str">
            <v>-</v>
          </cell>
          <cell r="AG3313" t="str">
            <v>DRN160M4</v>
          </cell>
          <cell r="AH3313" t="str">
            <v>KH87T-DRN160M4B270-X</v>
          </cell>
        </row>
        <row r="3314">
          <cell r="A3314" t="str">
            <v>MR003302</v>
          </cell>
          <cell r="B3314" t="str">
            <v>MR</v>
          </cell>
          <cell r="C3314">
            <v>7.5</v>
          </cell>
          <cell r="D3314">
            <v>48</v>
          </cell>
          <cell r="E3314" t="str">
            <v>KH77</v>
          </cell>
          <cell r="F3314">
            <v>1500</v>
          </cell>
          <cell r="G3314">
            <v>30.89</v>
          </cell>
          <cell r="H3314">
            <v>1.05</v>
          </cell>
          <cell r="I3314" t="str">
            <v>M4A</v>
          </cell>
          <cell r="J3314" t="str">
            <v>IE3</v>
          </cell>
          <cell r="K3314" t="str">
            <v>400/690</v>
          </cell>
          <cell r="L3314">
            <v>50</v>
          </cell>
          <cell r="M3314" t="str">
            <v>15,2/8,8</v>
          </cell>
          <cell r="N3314">
            <v>55</v>
          </cell>
          <cell r="O3314" t="str">
            <v>155(F)</v>
          </cell>
          <cell r="P3314" t="str">
            <v>270°</v>
          </cell>
          <cell r="Q3314" t="str">
            <v>-</v>
          </cell>
          <cell r="R3314" t="str">
            <v>-</v>
          </cell>
          <cell r="S3314" t="str">
            <v>Free rotation CCW</v>
          </cell>
          <cell r="T3314" t="str">
            <v>-</v>
          </cell>
          <cell r="U3314" t="str">
            <v>T</v>
          </cell>
          <cell r="V3314" t="str">
            <v>SS</v>
          </cell>
          <cell r="W3314" t="str">
            <v>-</v>
          </cell>
          <cell r="X3314" t="str">
            <v>CLP 220 (-15/+40°C)</v>
          </cell>
          <cell r="Y3314" t="str">
            <v>KH77/T DRN132M4 /RS</v>
          </cell>
          <cell r="Z3314" t="str">
            <v>SEW</v>
          </cell>
          <cell r="AB3314" t="str">
            <v>-</v>
          </cell>
          <cell r="AG3314" t="str">
            <v>DRN132M4</v>
          </cell>
          <cell r="AH3314" t="str">
            <v>KH77T-DRN132M4A270-X</v>
          </cell>
        </row>
        <row r="3315">
          <cell r="A3315" t="str">
            <v>MR003303</v>
          </cell>
          <cell r="B3315" t="str">
            <v>MR</v>
          </cell>
          <cell r="C3315">
            <v>7.5</v>
          </cell>
          <cell r="D3315">
            <v>48</v>
          </cell>
          <cell r="E3315" t="str">
            <v>KH77</v>
          </cell>
          <cell r="F3315">
            <v>1500</v>
          </cell>
          <cell r="G3315">
            <v>30.89</v>
          </cell>
          <cell r="H3315">
            <v>1.05</v>
          </cell>
          <cell r="I3315" t="str">
            <v>M4A</v>
          </cell>
          <cell r="J3315" t="str">
            <v>IE3</v>
          </cell>
          <cell r="K3315" t="str">
            <v>400/690</v>
          </cell>
          <cell r="L3315">
            <v>50</v>
          </cell>
          <cell r="M3315" t="str">
            <v>15,2/8,8</v>
          </cell>
          <cell r="N3315">
            <v>55</v>
          </cell>
          <cell r="O3315" t="str">
            <v>155(F)</v>
          </cell>
          <cell r="P3315" t="str">
            <v>270°</v>
          </cell>
          <cell r="Q3315" t="str">
            <v>-</v>
          </cell>
          <cell r="R3315" t="str">
            <v>-</v>
          </cell>
          <cell r="S3315" t="str">
            <v>-</v>
          </cell>
          <cell r="T3315" t="str">
            <v>-</v>
          </cell>
          <cell r="U3315" t="str">
            <v>T</v>
          </cell>
          <cell r="V3315" t="str">
            <v>SS</v>
          </cell>
          <cell r="W3315" t="str">
            <v>-</v>
          </cell>
          <cell r="X3315" t="str">
            <v>CLP 220 (-15/+40°C)</v>
          </cell>
          <cell r="Y3315" t="str">
            <v>KH77/T DRN132M4</v>
          </cell>
          <cell r="Z3315" t="str">
            <v>SEW</v>
          </cell>
          <cell r="AB3315" t="str">
            <v>-</v>
          </cell>
          <cell r="AG3315" t="str">
            <v>DRN132M4</v>
          </cell>
          <cell r="AH3315" t="str">
            <v>KH77T-DRN132M4A270-X</v>
          </cell>
        </row>
        <row r="3316">
          <cell r="A3316" t="str">
            <v>MR003304</v>
          </cell>
          <cell r="B3316" t="str">
            <v>MR</v>
          </cell>
          <cell r="C3316">
            <v>5.5</v>
          </cell>
          <cell r="D3316">
            <v>72</v>
          </cell>
          <cell r="E3316" t="str">
            <v>KH77</v>
          </cell>
          <cell r="F3316">
            <v>725</v>
          </cell>
          <cell r="G3316">
            <v>20.25</v>
          </cell>
          <cell r="H3316">
            <v>2.1</v>
          </cell>
          <cell r="I3316" t="str">
            <v>M4A</v>
          </cell>
          <cell r="J3316" t="str">
            <v>IE3</v>
          </cell>
          <cell r="K3316" t="str">
            <v>230/400</v>
          </cell>
          <cell r="L3316">
            <v>50</v>
          </cell>
          <cell r="M3316" t="str">
            <v>18,2/10,5</v>
          </cell>
          <cell r="N3316">
            <v>55</v>
          </cell>
          <cell r="O3316" t="str">
            <v>155(F)</v>
          </cell>
          <cell r="P3316" t="str">
            <v>270°</v>
          </cell>
          <cell r="Q3316" t="str">
            <v>-</v>
          </cell>
          <cell r="R3316" t="str">
            <v>-</v>
          </cell>
          <cell r="S3316" t="str">
            <v>-</v>
          </cell>
          <cell r="T3316" t="str">
            <v>-</v>
          </cell>
          <cell r="U3316" t="str">
            <v>T</v>
          </cell>
          <cell r="V3316" t="str">
            <v>SS+R</v>
          </cell>
          <cell r="W3316" t="str">
            <v>-</v>
          </cell>
          <cell r="X3316" t="str">
            <v>CLP 220 (-15/+40°C)</v>
          </cell>
          <cell r="Y3316" t="str">
            <v>KH77/T DRN132S4</v>
          </cell>
          <cell r="Z3316" t="str">
            <v>SEW</v>
          </cell>
          <cell r="AB3316" t="str">
            <v>-</v>
          </cell>
          <cell r="AG3316" t="str">
            <v>DRN132S4</v>
          </cell>
          <cell r="AH3316" t="str">
            <v>KH77T-DRN132S4A270-X</v>
          </cell>
        </row>
        <row r="3317">
          <cell r="A3317" t="str">
            <v>MR003305</v>
          </cell>
          <cell r="B3317" t="str">
            <v>MR</v>
          </cell>
          <cell r="C3317">
            <v>7.5</v>
          </cell>
          <cell r="D3317">
            <v>68</v>
          </cell>
          <cell r="E3317" t="str">
            <v>R87</v>
          </cell>
          <cell r="F3317">
            <v>1040</v>
          </cell>
          <cell r="G3317">
            <v>21.51</v>
          </cell>
          <cell r="H3317">
            <v>1.45</v>
          </cell>
          <cell r="I3317" t="str">
            <v>From M1 to M4 - 10°</v>
          </cell>
          <cell r="J3317" t="str">
            <v>IE3</v>
          </cell>
          <cell r="K3317" t="str">
            <v>230/400</v>
          </cell>
          <cell r="L3317">
            <v>50</v>
          </cell>
          <cell r="M3317" t="str">
            <v>26,5/15,2</v>
          </cell>
          <cell r="N3317">
            <v>55</v>
          </cell>
          <cell r="O3317" t="str">
            <v>155(F)</v>
          </cell>
          <cell r="P3317" t="str">
            <v>270°</v>
          </cell>
          <cell r="Q3317" t="str">
            <v>TF</v>
          </cell>
          <cell r="R3317" t="str">
            <v>V(VE)</v>
          </cell>
          <cell r="S3317" t="str">
            <v>-</v>
          </cell>
          <cell r="T3317" t="str">
            <v>-</v>
          </cell>
          <cell r="U3317" t="str">
            <v>-</v>
          </cell>
          <cell r="V3317" t="str">
            <v>FC</v>
          </cell>
          <cell r="W3317" t="str">
            <v>-</v>
          </cell>
          <cell r="X3317" t="str">
            <v>CLP 220 (-15/+40°C)</v>
          </cell>
          <cell r="Y3317" t="str">
            <v>R87DRN132M4 /TF/V</v>
          </cell>
          <cell r="Z3317" t="str">
            <v>SEW</v>
          </cell>
          <cell r="AB3317" t="str">
            <v>-</v>
          </cell>
          <cell r="AG3317" t="str">
            <v>DRN132M4</v>
          </cell>
          <cell r="AH3317" t="str">
            <v>R87-DRN132M4270-X#</v>
          </cell>
        </row>
        <row r="3318">
          <cell r="A3318" t="str">
            <v>MR003306</v>
          </cell>
          <cell r="B3318" t="str">
            <v>MR</v>
          </cell>
          <cell r="C3318">
            <v>5.5</v>
          </cell>
          <cell r="D3318">
            <v>161</v>
          </cell>
          <cell r="E3318" t="str">
            <v>FA67</v>
          </cell>
          <cell r="F3318">
            <v>325</v>
          </cell>
          <cell r="G3318">
            <v>9.08</v>
          </cell>
          <cell r="H3318">
            <v>1.6</v>
          </cell>
          <cell r="I3318" t="str">
            <v>M1</v>
          </cell>
          <cell r="J3318" t="str">
            <v>IE3</v>
          </cell>
          <cell r="K3318" t="str">
            <v>230/400</v>
          </cell>
          <cell r="L3318">
            <v>50</v>
          </cell>
          <cell r="M3318" t="str">
            <v>18,2/10,5</v>
          </cell>
          <cell r="N3318">
            <v>54</v>
          </cell>
          <cell r="O3318" t="str">
            <v>155(F)</v>
          </cell>
          <cell r="P3318" t="str">
            <v>0°</v>
          </cell>
          <cell r="Q3318" t="str">
            <v>-</v>
          </cell>
          <cell r="R3318" t="str">
            <v>-</v>
          </cell>
          <cell r="S3318" t="str">
            <v>-</v>
          </cell>
          <cell r="T3318" t="str">
            <v>-</v>
          </cell>
          <cell r="U3318" t="str">
            <v>G</v>
          </cell>
          <cell r="V3318" t="str">
            <v>D</v>
          </cell>
          <cell r="W3318" t="str">
            <v>-</v>
          </cell>
          <cell r="X3318" t="str">
            <v>CLP 220 (-15/+40°C)</v>
          </cell>
          <cell r="Y3318" t="str">
            <v>FA67/G DRN132S4</v>
          </cell>
          <cell r="Z3318" t="str">
            <v>SEW</v>
          </cell>
          <cell r="AB3318" t="str">
            <v>-</v>
          </cell>
          <cell r="AG3318" t="str">
            <v>DRN132S4</v>
          </cell>
          <cell r="AH3318" t="str">
            <v>FA67G-DRN132S40-X</v>
          </cell>
        </row>
        <row r="3319">
          <cell r="A3319" t="str">
            <v>MR003307</v>
          </cell>
          <cell r="B3319" t="str">
            <v>MR</v>
          </cell>
          <cell r="C3319">
            <v>5.5</v>
          </cell>
          <cell r="D3319">
            <v>151</v>
          </cell>
          <cell r="E3319" t="str">
            <v>FA67</v>
          </cell>
          <cell r="F3319">
            <v>345</v>
          </cell>
          <cell r="G3319">
            <v>9.66</v>
          </cell>
          <cell r="H3319">
            <v>2.4</v>
          </cell>
          <cell r="I3319" t="str">
            <v>M1</v>
          </cell>
          <cell r="J3319" t="str">
            <v>IE3</v>
          </cell>
          <cell r="K3319" t="str">
            <v>230/400</v>
          </cell>
          <cell r="L3319">
            <v>50</v>
          </cell>
          <cell r="M3319" t="str">
            <v>18,2/10,5</v>
          </cell>
          <cell r="N3319">
            <v>65</v>
          </cell>
          <cell r="O3319" t="str">
            <v>155(F)</v>
          </cell>
          <cell r="P3319" t="str">
            <v>0°</v>
          </cell>
          <cell r="Q3319" t="str">
            <v>-</v>
          </cell>
          <cell r="R3319" t="str">
            <v>-</v>
          </cell>
          <cell r="S3319" t="str">
            <v>-</v>
          </cell>
          <cell r="T3319" t="str">
            <v>-</v>
          </cell>
          <cell r="U3319" t="str">
            <v>G</v>
          </cell>
          <cell r="V3319" t="str">
            <v>D</v>
          </cell>
          <cell r="W3319" t="str">
            <v>-</v>
          </cell>
          <cell r="X3319" t="str">
            <v>CLP 220 (-15/+40°C)</v>
          </cell>
          <cell r="Y3319" t="str">
            <v>FA67/G DRN132S4</v>
          </cell>
          <cell r="Z3319" t="str">
            <v>SEW</v>
          </cell>
          <cell r="AB3319" t="str">
            <v>-</v>
          </cell>
          <cell r="AG3319" t="str">
            <v>DRN132S4</v>
          </cell>
          <cell r="AH3319" t="str">
            <v>FA67G-DRN132S40-X</v>
          </cell>
        </row>
        <row r="3320">
          <cell r="A3320" t="str">
            <v>MR003308</v>
          </cell>
          <cell r="B3320" t="str">
            <v>MR</v>
          </cell>
          <cell r="C3320">
            <v>4</v>
          </cell>
          <cell r="D3320">
            <v>95</v>
          </cell>
          <cell r="E3320" t="str">
            <v>R87</v>
          </cell>
          <cell r="F3320">
            <v>400</v>
          </cell>
          <cell r="G3320">
            <v>15.35</v>
          </cell>
          <cell r="H3320">
            <v>3.3</v>
          </cell>
          <cell r="I3320" t="str">
            <v>M1</v>
          </cell>
          <cell r="J3320" t="str">
            <v>IE3</v>
          </cell>
          <cell r="K3320" t="str">
            <v>230/400</v>
          </cell>
          <cell r="L3320">
            <v>50</v>
          </cell>
          <cell r="M3320" t="str">
            <v>13,8/7,9</v>
          </cell>
          <cell r="N3320">
            <v>65</v>
          </cell>
          <cell r="O3320" t="str">
            <v>155(F)</v>
          </cell>
          <cell r="P3320" t="str">
            <v>270°</v>
          </cell>
          <cell r="Q3320" t="str">
            <v>-</v>
          </cell>
          <cell r="R3320" t="str">
            <v>-</v>
          </cell>
          <cell r="S3320" t="str">
            <v>-</v>
          </cell>
          <cell r="T3320" t="str">
            <v>-</v>
          </cell>
          <cell r="U3320" t="str">
            <v>-</v>
          </cell>
          <cell r="V3320" t="str">
            <v>D</v>
          </cell>
          <cell r="W3320" t="str">
            <v>-</v>
          </cell>
          <cell r="X3320" t="str">
            <v>CLP 220 (-15/+40°C)</v>
          </cell>
          <cell r="Y3320" t="str">
            <v>R87DRN112M4</v>
          </cell>
          <cell r="Z3320" t="str">
            <v>SEW</v>
          </cell>
          <cell r="AB3320" t="str">
            <v>-</v>
          </cell>
          <cell r="AG3320" t="str">
            <v>DRN112M4</v>
          </cell>
          <cell r="AH3320" t="str">
            <v>R87-DRN112M4270-X</v>
          </cell>
        </row>
        <row r="3321">
          <cell r="A3321" t="str">
            <v>MR003309</v>
          </cell>
          <cell r="B3321" t="str">
            <v>MR</v>
          </cell>
          <cell r="C3321">
            <v>18.5</v>
          </cell>
          <cell r="D3321">
            <v>12</v>
          </cell>
          <cell r="E3321" t="str">
            <v>KH157</v>
          </cell>
          <cell r="F3321">
            <v>14600</v>
          </cell>
          <cell r="G3321">
            <v>122.39</v>
          </cell>
          <cell r="H3321">
            <v>1.35</v>
          </cell>
          <cell r="I3321" t="str">
            <v>From M1A to M2A - 30°</v>
          </cell>
          <cell r="J3321" t="str">
            <v>IE3</v>
          </cell>
          <cell r="K3321" t="str">
            <v>230/400</v>
          </cell>
          <cell r="L3321">
            <v>50</v>
          </cell>
          <cell r="M3321" t="str">
            <v>58/33,5</v>
          </cell>
          <cell r="N3321">
            <v>65</v>
          </cell>
          <cell r="O3321" t="str">
            <v>155(F)</v>
          </cell>
          <cell r="P3321" t="str">
            <v>180°</v>
          </cell>
          <cell r="Q3321" t="str">
            <v>TF</v>
          </cell>
          <cell r="R3321" t="str">
            <v>V(VE)</v>
          </cell>
          <cell r="S3321" t="str">
            <v>-</v>
          </cell>
          <cell r="T3321" t="str">
            <v>-</v>
          </cell>
          <cell r="U3321" t="str">
            <v>-</v>
          </cell>
          <cell r="V3321" t="str">
            <v>FC</v>
          </cell>
          <cell r="W3321" t="str">
            <v>-</v>
          </cell>
          <cell r="X3321" t="str">
            <v>CLP 220 (-15/+40°C)</v>
          </cell>
          <cell r="Y3321" t="str">
            <v>KH157DRN180M4 /TF/V</v>
          </cell>
          <cell r="Z3321" t="str">
            <v>SEW</v>
          </cell>
          <cell r="AB3321" t="str">
            <v>-</v>
          </cell>
          <cell r="AG3321" t="str">
            <v>DRN180M4</v>
          </cell>
          <cell r="AH3321" t="str">
            <v>KH157-DRN180M4A180-X#</v>
          </cell>
        </row>
        <row r="3322">
          <cell r="A3322" t="str">
            <v>MR003310</v>
          </cell>
          <cell r="B3322" t="str">
            <v>MR</v>
          </cell>
          <cell r="C3322">
            <v>18.5</v>
          </cell>
          <cell r="D3322">
            <v>12</v>
          </cell>
          <cell r="E3322" t="str">
            <v>KH157</v>
          </cell>
          <cell r="F3322">
            <v>14600</v>
          </cell>
          <cell r="G3322">
            <v>122.39</v>
          </cell>
          <cell r="H3322">
            <v>1.35</v>
          </cell>
          <cell r="I3322" t="str">
            <v>From M1B to M2B - 30°</v>
          </cell>
          <cell r="J3322" t="str">
            <v>IE3</v>
          </cell>
          <cell r="K3322" t="str">
            <v>230/400</v>
          </cell>
          <cell r="L3322">
            <v>50</v>
          </cell>
          <cell r="M3322" t="str">
            <v>58/33,5</v>
          </cell>
          <cell r="N3322">
            <v>65</v>
          </cell>
          <cell r="O3322" t="str">
            <v>155(F)</v>
          </cell>
          <cell r="P3322" t="str">
            <v>0°</v>
          </cell>
          <cell r="Q3322" t="str">
            <v>TF</v>
          </cell>
          <cell r="R3322" t="str">
            <v>V(VE)</v>
          </cell>
          <cell r="S3322" t="str">
            <v>-</v>
          </cell>
          <cell r="T3322" t="str">
            <v>-</v>
          </cell>
          <cell r="U3322" t="str">
            <v>-</v>
          </cell>
          <cell r="V3322" t="str">
            <v>FC</v>
          </cell>
          <cell r="W3322" t="str">
            <v>-</v>
          </cell>
          <cell r="X3322" t="str">
            <v>CLP 220 (-15/+40°C)</v>
          </cell>
          <cell r="Y3322" t="str">
            <v>KH157DRN180M4 /TF/V</v>
          </cell>
          <cell r="Z3322" t="str">
            <v>SEW</v>
          </cell>
          <cell r="AB3322" t="str">
            <v>-</v>
          </cell>
          <cell r="AG3322" t="str">
            <v>DRN180M4</v>
          </cell>
          <cell r="AH3322" t="str">
            <v>KH157-DRN180M4B0-X#</v>
          </cell>
        </row>
        <row r="3323">
          <cell r="A3323" t="str">
            <v>MR003311</v>
          </cell>
          <cell r="B3323" t="str">
            <v>MR</v>
          </cell>
          <cell r="C3323">
            <v>30</v>
          </cell>
          <cell r="D3323">
            <v>15</v>
          </cell>
          <cell r="E3323" t="str">
            <v>KH157</v>
          </cell>
          <cell r="F3323">
            <v>19400</v>
          </cell>
          <cell r="G3323">
            <v>100.22</v>
          </cell>
          <cell r="H3323">
            <v>1.05</v>
          </cell>
          <cell r="I3323" t="str">
            <v>From M1A to M2A - 25°</v>
          </cell>
          <cell r="J3323" t="str">
            <v>IE3</v>
          </cell>
          <cell r="K3323" t="str">
            <v>230/400</v>
          </cell>
          <cell r="L3323">
            <v>50</v>
          </cell>
          <cell r="M3323" t="str">
            <v>97/56</v>
          </cell>
          <cell r="N3323">
            <v>65</v>
          </cell>
          <cell r="O3323" t="str">
            <v>155(F)</v>
          </cell>
          <cell r="P3323" t="str">
            <v>180°</v>
          </cell>
          <cell r="Q3323" t="str">
            <v>TF</v>
          </cell>
          <cell r="R3323" t="str">
            <v>V(VE)</v>
          </cell>
          <cell r="S3323" t="str">
            <v>-</v>
          </cell>
          <cell r="T3323" t="str">
            <v>-</v>
          </cell>
          <cell r="U3323" t="str">
            <v>-</v>
          </cell>
          <cell r="V3323" t="str">
            <v>FC</v>
          </cell>
          <cell r="W3323" t="str">
            <v>-</v>
          </cell>
          <cell r="X3323" t="str">
            <v>CLP 220 (-15/+40°C)</v>
          </cell>
          <cell r="Y3323" t="str">
            <v>KH157DRN200L4 /TF/V</v>
          </cell>
          <cell r="Z3323" t="str">
            <v>SEW</v>
          </cell>
          <cell r="AB3323" t="str">
            <v>-</v>
          </cell>
          <cell r="AG3323" t="str">
            <v>DRN200L4</v>
          </cell>
          <cell r="AH3323" t="str">
            <v>KH157-DRN200L4A180-X#</v>
          </cell>
        </row>
        <row r="3324">
          <cell r="A3324" t="str">
            <v>MR003312</v>
          </cell>
          <cell r="B3324" t="str">
            <v>MR</v>
          </cell>
          <cell r="C3324">
            <v>30</v>
          </cell>
          <cell r="D3324">
            <v>15</v>
          </cell>
          <cell r="E3324" t="str">
            <v>KH157</v>
          </cell>
          <cell r="F3324">
            <v>19400</v>
          </cell>
          <cell r="G3324">
            <v>100.22</v>
          </cell>
          <cell r="H3324">
            <v>1.05</v>
          </cell>
          <cell r="I3324" t="str">
            <v>From M1B to M2B - 25°</v>
          </cell>
          <cell r="J3324" t="str">
            <v>IE3</v>
          </cell>
          <cell r="K3324" t="str">
            <v>230/400</v>
          </cell>
          <cell r="L3324">
            <v>50</v>
          </cell>
          <cell r="M3324" t="str">
            <v>97/56</v>
          </cell>
          <cell r="N3324">
            <v>65</v>
          </cell>
          <cell r="O3324" t="str">
            <v>155(F)</v>
          </cell>
          <cell r="P3324" t="str">
            <v>0°</v>
          </cell>
          <cell r="Q3324" t="str">
            <v>TF</v>
          </cell>
          <cell r="R3324" t="str">
            <v>V(VE)</v>
          </cell>
          <cell r="S3324" t="str">
            <v>-</v>
          </cell>
          <cell r="T3324" t="str">
            <v>-</v>
          </cell>
          <cell r="U3324" t="str">
            <v>-</v>
          </cell>
          <cell r="V3324" t="str">
            <v>FC</v>
          </cell>
          <cell r="W3324" t="str">
            <v>-</v>
          </cell>
          <cell r="X3324" t="str">
            <v>CLP 220 (-15/+40°C)</v>
          </cell>
          <cell r="Y3324" t="str">
            <v>KH157DRN200L4 /TF/V</v>
          </cell>
          <cell r="Z3324" t="str">
            <v>SEW</v>
          </cell>
          <cell r="AB3324" t="str">
            <v>-</v>
          </cell>
          <cell r="AG3324" t="str">
            <v>DRN200L4</v>
          </cell>
          <cell r="AH3324" t="str">
            <v>KH157-DRN200L4B0-X#</v>
          </cell>
        </row>
        <row r="3325">
          <cell r="A3325" t="str">
            <v>MR003313</v>
          </cell>
          <cell r="B3325" t="str">
            <v>MR</v>
          </cell>
          <cell r="C3325">
            <v>30</v>
          </cell>
          <cell r="D3325">
            <v>16</v>
          </cell>
          <cell r="E3325" t="str">
            <v>KH157</v>
          </cell>
          <cell r="F3325">
            <v>17700</v>
          </cell>
          <cell r="G3325">
            <v>91.65</v>
          </cell>
          <cell r="H3325">
            <v>1.1499999999999999</v>
          </cell>
          <cell r="I3325" t="str">
            <v>From M1A to M2A - 20°</v>
          </cell>
          <cell r="J3325" t="str">
            <v>IE3</v>
          </cell>
          <cell r="K3325" t="str">
            <v>230/400</v>
          </cell>
          <cell r="L3325">
            <v>50</v>
          </cell>
          <cell r="M3325" t="str">
            <v>100/58</v>
          </cell>
          <cell r="N3325">
            <v>65</v>
          </cell>
          <cell r="O3325" t="str">
            <v>155(F)</v>
          </cell>
          <cell r="P3325" t="str">
            <v>180°</v>
          </cell>
          <cell r="Q3325" t="str">
            <v>TF</v>
          </cell>
          <cell r="R3325" t="str">
            <v>V(VE)</v>
          </cell>
          <cell r="S3325" t="str">
            <v>-</v>
          </cell>
          <cell r="T3325" t="str">
            <v>-</v>
          </cell>
          <cell r="U3325" t="str">
            <v>-</v>
          </cell>
          <cell r="V3325" t="str">
            <v>FC</v>
          </cell>
          <cell r="W3325" t="str">
            <v>-</v>
          </cell>
          <cell r="X3325" t="str">
            <v>CLP HC 220 (-25/+60°C)</v>
          </cell>
          <cell r="Y3325" t="str">
            <v>KH157EDRN200L4 /TF/VE</v>
          </cell>
          <cell r="Z3325" t="str">
            <v>SEW</v>
          </cell>
          <cell r="AB3325" t="str">
            <v>ATEX22</v>
          </cell>
          <cell r="AG3325" t="str">
            <v>EDRN200L4</v>
          </cell>
          <cell r="AH3325" t="str">
            <v>KH157-EDRN200L4A180-X#</v>
          </cell>
        </row>
        <row r="3326">
          <cell r="A3326" t="str">
            <v>MR003314</v>
          </cell>
          <cell r="B3326" t="str">
            <v>MR</v>
          </cell>
          <cell r="C3326">
            <v>30</v>
          </cell>
          <cell r="D3326">
            <v>16</v>
          </cell>
          <cell r="E3326" t="str">
            <v>KH157</v>
          </cell>
          <cell r="F3326">
            <v>17700</v>
          </cell>
          <cell r="G3326">
            <v>91.65</v>
          </cell>
          <cell r="H3326">
            <v>1.1499999999999999</v>
          </cell>
          <cell r="I3326" t="str">
            <v>From M1B to M2B - 20°</v>
          </cell>
          <cell r="J3326" t="str">
            <v>IE3</v>
          </cell>
          <cell r="K3326" t="str">
            <v>230/400</v>
          </cell>
          <cell r="L3326">
            <v>50</v>
          </cell>
          <cell r="M3326" t="str">
            <v>100/58</v>
          </cell>
          <cell r="N3326">
            <v>65</v>
          </cell>
          <cell r="O3326" t="str">
            <v>155(F)</v>
          </cell>
          <cell r="P3326" t="str">
            <v>0°</v>
          </cell>
          <cell r="Q3326" t="str">
            <v>TF</v>
          </cell>
          <cell r="R3326" t="str">
            <v>V(VE)</v>
          </cell>
          <cell r="S3326" t="str">
            <v>-</v>
          </cell>
          <cell r="T3326" t="str">
            <v>-</v>
          </cell>
          <cell r="U3326" t="str">
            <v>-</v>
          </cell>
          <cell r="V3326" t="str">
            <v>FC</v>
          </cell>
          <cell r="W3326" t="str">
            <v>-</v>
          </cell>
          <cell r="X3326" t="str">
            <v>CLP HC 220 (-25/+60°C)</v>
          </cell>
          <cell r="Y3326" t="str">
            <v>KH157EDRN200L4 /TF/VE</v>
          </cell>
          <cell r="Z3326" t="str">
            <v>SEW</v>
          </cell>
          <cell r="AB3326" t="str">
            <v>ATEX22</v>
          </cell>
          <cell r="AG3326" t="str">
            <v>EDRN200L4</v>
          </cell>
          <cell r="AH3326" t="str">
            <v>KH157-EDRN200L4B0-X#</v>
          </cell>
        </row>
        <row r="3327">
          <cell r="A3327" t="str">
            <v>MR003315</v>
          </cell>
          <cell r="B3327" t="str">
            <v>MR</v>
          </cell>
          <cell r="C3327">
            <v>11</v>
          </cell>
          <cell r="D3327">
            <v>33</v>
          </cell>
          <cell r="E3327" t="str">
            <v>R137</v>
          </cell>
          <cell r="F3327">
            <v>3160</v>
          </cell>
          <cell r="G3327">
            <v>44.39</v>
          </cell>
          <cell r="H3327">
            <v>2.5</v>
          </cell>
          <cell r="I3327" t="str">
            <v>M1</v>
          </cell>
          <cell r="J3327" t="str">
            <v>IE3</v>
          </cell>
          <cell r="K3327" t="str">
            <v>230/400</v>
          </cell>
          <cell r="L3327">
            <v>50</v>
          </cell>
          <cell r="M3327" t="str">
            <v>36,5/21</v>
          </cell>
          <cell r="N3327">
            <v>65</v>
          </cell>
          <cell r="O3327" t="str">
            <v>155(F)</v>
          </cell>
          <cell r="P3327" t="str">
            <v>270°</v>
          </cell>
          <cell r="Q3327" t="str">
            <v>TF</v>
          </cell>
          <cell r="R3327" t="str">
            <v>-</v>
          </cell>
          <cell r="S3327" t="str">
            <v>-</v>
          </cell>
          <cell r="T3327" t="str">
            <v>-</v>
          </cell>
          <cell r="U3327" t="str">
            <v>-</v>
          </cell>
          <cell r="V3327" t="str">
            <v>D+R</v>
          </cell>
          <cell r="W3327" t="str">
            <v>-</v>
          </cell>
          <cell r="X3327" t="str">
            <v>CLP 220 (-15/+40°C)</v>
          </cell>
          <cell r="Y3327" t="str">
            <v>R137DRN160M4 /TF</v>
          </cell>
          <cell r="Z3327" t="str">
            <v>SEW</v>
          </cell>
          <cell r="AB3327" t="str">
            <v>-</v>
          </cell>
          <cell r="AG3327" t="str">
            <v>DRN160M4</v>
          </cell>
          <cell r="AH3327" t="str">
            <v>R137-DRN160M4270-X</v>
          </cell>
        </row>
        <row r="3328">
          <cell r="A3328" t="str">
            <v>MR003316</v>
          </cell>
          <cell r="B3328" t="str">
            <v>MR</v>
          </cell>
          <cell r="C3328">
            <v>9.1999999999999993</v>
          </cell>
          <cell r="D3328">
            <v>59</v>
          </cell>
          <cell r="E3328" t="str">
            <v>R97</v>
          </cell>
          <cell r="F3328">
            <v>1490</v>
          </cell>
          <cell r="G3328">
            <v>25.03</v>
          </cell>
          <cell r="H3328">
            <v>1.9</v>
          </cell>
          <cell r="I3328" t="str">
            <v>M1</v>
          </cell>
          <cell r="J3328" t="str">
            <v>IE3</v>
          </cell>
          <cell r="K3328" t="str">
            <v>230/400</v>
          </cell>
          <cell r="L3328">
            <v>50</v>
          </cell>
          <cell r="M3328" t="str">
            <v>36,5/21</v>
          </cell>
          <cell r="N3328">
            <v>65</v>
          </cell>
          <cell r="O3328" t="str">
            <v>155(F)</v>
          </cell>
          <cell r="P3328" t="str">
            <v>270°</v>
          </cell>
          <cell r="Q3328" t="str">
            <v>TF</v>
          </cell>
          <cell r="R3328" t="str">
            <v>-</v>
          </cell>
          <cell r="S3328" t="str">
            <v>-</v>
          </cell>
          <cell r="T3328" t="str">
            <v>-</v>
          </cell>
          <cell r="U3328" t="str">
            <v>-</v>
          </cell>
          <cell r="V3328" t="str">
            <v>D</v>
          </cell>
          <cell r="W3328" t="str">
            <v>-</v>
          </cell>
          <cell r="X3328" t="str">
            <v>CLP 220 (-15/+40°C)</v>
          </cell>
          <cell r="Y3328" t="str">
            <v>R97DRN132L4 /TF</v>
          </cell>
          <cell r="Z3328" t="str">
            <v>SEW</v>
          </cell>
          <cell r="AB3328" t="str">
            <v>-</v>
          </cell>
          <cell r="AG3328" t="str">
            <v>DRN132L4</v>
          </cell>
          <cell r="AH3328" t="str">
            <v>R97-DRN132L4270-X</v>
          </cell>
        </row>
        <row r="3329">
          <cell r="A3329" t="str">
            <v>MR003317</v>
          </cell>
          <cell r="B3329" t="str">
            <v>MR</v>
          </cell>
          <cell r="C3329">
            <v>4</v>
          </cell>
          <cell r="D3329">
            <v>189</v>
          </cell>
          <cell r="E3329" t="str">
            <v>R77</v>
          </cell>
          <cell r="F3329">
            <v>200</v>
          </cell>
          <cell r="G3329">
            <v>7.74</v>
          </cell>
          <cell r="H3329">
            <v>3</v>
          </cell>
          <cell r="I3329" t="str">
            <v>M6</v>
          </cell>
          <cell r="J3329" t="str">
            <v>IE3</v>
          </cell>
          <cell r="K3329" t="str">
            <v>230/400</v>
          </cell>
          <cell r="L3329">
            <v>50</v>
          </cell>
          <cell r="M3329" t="str">
            <v>13,8/7,9</v>
          </cell>
          <cell r="N3329">
            <v>54</v>
          </cell>
          <cell r="O3329" t="str">
            <v>155(F)</v>
          </cell>
          <cell r="P3329" t="str">
            <v>0°</v>
          </cell>
          <cell r="Q3329" t="str">
            <v>TF</v>
          </cell>
          <cell r="R3329" t="str">
            <v>-</v>
          </cell>
          <cell r="S3329" t="str">
            <v>-</v>
          </cell>
          <cell r="T3329" t="str">
            <v>BE5 (230V)</v>
          </cell>
          <cell r="U3329" t="str">
            <v>-</v>
          </cell>
          <cell r="V3329" t="str">
            <v>D+R</v>
          </cell>
          <cell r="W3329" t="str">
            <v>-</v>
          </cell>
          <cell r="X3329" t="str">
            <v>CLP 220 (-15/+40°C)</v>
          </cell>
          <cell r="Y3329" t="str">
            <v>R77DRN112M4 /BE5 (230V) /TF</v>
          </cell>
          <cell r="Z3329" t="str">
            <v>SEW</v>
          </cell>
          <cell r="AB3329" t="str">
            <v>-</v>
          </cell>
          <cell r="AG3329" t="str">
            <v>DRN112M4</v>
          </cell>
          <cell r="AH3329" t="str">
            <v>R77-DRN112M40-X</v>
          </cell>
        </row>
        <row r="3330">
          <cell r="A3330" t="str">
            <v>MR003318</v>
          </cell>
          <cell r="B3330" t="str">
            <v>MR</v>
          </cell>
          <cell r="C3330">
            <v>37</v>
          </cell>
          <cell r="D3330">
            <v>37</v>
          </cell>
          <cell r="E3330" t="str">
            <v>KH127</v>
          </cell>
          <cell r="F3330">
            <v>9580</v>
          </cell>
          <cell r="G3330">
            <v>40.19</v>
          </cell>
          <cell r="H3330">
            <v>1.35</v>
          </cell>
          <cell r="I3330" t="str">
            <v>M4B</v>
          </cell>
          <cell r="J3330" t="str">
            <v>IE3</v>
          </cell>
          <cell r="K3330" t="str">
            <v>400/690</v>
          </cell>
          <cell r="L3330">
            <v>50</v>
          </cell>
          <cell r="M3330" t="str">
            <v>65/37,5</v>
          </cell>
          <cell r="N3330">
            <v>65</v>
          </cell>
          <cell r="O3330" t="str">
            <v>155(F)</v>
          </cell>
          <cell r="P3330" t="str">
            <v>270°</v>
          </cell>
          <cell r="Q3330" t="str">
            <v>-</v>
          </cell>
          <cell r="R3330" t="str">
            <v>-</v>
          </cell>
          <cell r="S3330" t="str">
            <v>Free rotation CW</v>
          </cell>
          <cell r="T3330" t="str">
            <v>-</v>
          </cell>
          <cell r="U3330" t="str">
            <v>T</v>
          </cell>
          <cell r="V3330" t="str">
            <v>SS</v>
          </cell>
          <cell r="W3330" t="str">
            <v>YES</v>
          </cell>
          <cell r="X3330" t="str">
            <v>CLP PG 220 (-25/+80°C)</v>
          </cell>
          <cell r="Y3330" t="str">
            <v>KH127/T EDRN225S4 /RS</v>
          </cell>
          <cell r="Z3330" t="str">
            <v>SEW</v>
          </cell>
          <cell r="AB3330" t="str">
            <v>ATEX22</v>
          </cell>
          <cell r="AG3330" t="str">
            <v>EDRN225S4</v>
          </cell>
          <cell r="AH3330" t="str">
            <v>KH127T-EDRN225S4B270-X</v>
          </cell>
        </row>
        <row r="3331">
          <cell r="A3331" t="str">
            <v>MR003319</v>
          </cell>
          <cell r="B3331" t="str">
            <v>MR</v>
          </cell>
          <cell r="C3331">
            <v>0.75</v>
          </cell>
          <cell r="D3331">
            <v>162</v>
          </cell>
          <cell r="E3331" t="str">
            <v>KA37</v>
          </cell>
          <cell r="F3331">
            <v>44</v>
          </cell>
          <cell r="G3331">
            <v>8.91</v>
          </cell>
          <cell r="H3331">
            <v>3.1</v>
          </cell>
          <cell r="I3331" t="str">
            <v>From M1A to M2A - 20°</v>
          </cell>
          <cell r="J3331" t="str">
            <v>IE3</v>
          </cell>
          <cell r="K3331" t="str">
            <v>230/400</v>
          </cell>
          <cell r="L3331">
            <v>50</v>
          </cell>
          <cell r="M3331" t="str">
            <v>3,1/1,79</v>
          </cell>
          <cell r="N3331">
            <v>65</v>
          </cell>
          <cell r="O3331" t="str">
            <v>155(F)</v>
          </cell>
          <cell r="P3331" t="str">
            <v>180°</v>
          </cell>
          <cell r="Q3331" t="str">
            <v>-</v>
          </cell>
          <cell r="R3331" t="str">
            <v>-</v>
          </cell>
          <cell r="S3331" t="str">
            <v>-</v>
          </cell>
          <cell r="T3331" t="str">
            <v>-</v>
          </cell>
          <cell r="U3331" t="str">
            <v>T</v>
          </cell>
          <cell r="V3331" t="str">
            <v>D</v>
          </cell>
          <cell r="W3331" t="str">
            <v>-</v>
          </cell>
          <cell r="X3331" t="str">
            <v>CLP PG 220 (-25/+80°C)</v>
          </cell>
          <cell r="Y3331" t="str">
            <v>KA37/T EDRN80M4</v>
          </cell>
          <cell r="Z3331" t="str">
            <v>SEW</v>
          </cell>
          <cell r="AB3331" t="str">
            <v>ATEX22</v>
          </cell>
          <cell r="AG3331" t="str">
            <v>EDRN80M4</v>
          </cell>
          <cell r="AH3331" t="str">
            <v>KA37T-EDRN80M4A180-X</v>
          </cell>
        </row>
        <row r="3332">
          <cell r="A3332" t="str">
            <v>MR003320</v>
          </cell>
          <cell r="B3332" t="str">
            <v>MR</v>
          </cell>
          <cell r="C3332">
            <v>18.5</v>
          </cell>
          <cell r="D3332">
            <v>35</v>
          </cell>
          <cell r="E3332" t="str">
            <v>KH107</v>
          </cell>
          <cell r="F3332">
            <v>5060</v>
          </cell>
          <cell r="G3332">
            <v>42.33</v>
          </cell>
          <cell r="H3332">
            <v>1.35</v>
          </cell>
          <cell r="I3332" t="str">
            <v>M4A</v>
          </cell>
          <cell r="J3332" t="str">
            <v>IE3</v>
          </cell>
          <cell r="K3332" t="str">
            <v>400/690</v>
          </cell>
          <cell r="L3332">
            <v>50</v>
          </cell>
          <cell r="M3332" t="str">
            <v>35/20</v>
          </cell>
          <cell r="N3332">
            <v>65</v>
          </cell>
          <cell r="O3332" t="str">
            <v>155(F)</v>
          </cell>
          <cell r="P3332" t="str">
            <v>270°</v>
          </cell>
          <cell r="Q3332" t="str">
            <v>-</v>
          </cell>
          <cell r="R3332" t="str">
            <v>-</v>
          </cell>
          <cell r="S3332" t="str">
            <v>-</v>
          </cell>
          <cell r="T3332" t="str">
            <v>-</v>
          </cell>
          <cell r="U3332" t="str">
            <v>T</v>
          </cell>
          <cell r="V3332" t="str">
            <v>SS</v>
          </cell>
          <cell r="W3332" t="str">
            <v>YES</v>
          </cell>
          <cell r="X3332" t="str">
            <v>CLP PG 220 (-25/+80°C)</v>
          </cell>
          <cell r="Y3332" t="str">
            <v>KH107/T EDRN180M4</v>
          </cell>
          <cell r="Z3332" t="str">
            <v>SEW</v>
          </cell>
          <cell r="AB3332" t="str">
            <v>ATEX22</v>
          </cell>
          <cell r="AG3332" t="str">
            <v>EDRN180M4</v>
          </cell>
          <cell r="AH3332" t="str">
            <v>KH107T-EDRN180M4A270-X</v>
          </cell>
        </row>
        <row r="3333">
          <cell r="A3333" t="str">
            <v>MR003321</v>
          </cell>
          <cell r="B3333" t="str">
            <v>MR</v>
          </cell>
          <cell r="C3333">
            <v>4</v>
          </cell>
          <cell r="D3333">
            <v>152</v>
          </cell>
          <cell r="E3333" t="str">
            <v>KH67</v>
          </cell>
          <cell r="F3333">
            <v>250</v>
          </cell>
          <cell r="G3333">
            <v>9.66</v>
          </cell>
          <cell r="H3333">
            <v>1.3</v>
          </cell>
          <cell r="I3333" t="str">
            <v>M4B</v>
          </cell>
          <cell r="J3333" t="str">
            <v>IE3</v>
          </cell>
          <cell r="K3333" t="str">
            <v>230/400</v>
          </cell>
          <cell r="L3333">
            <v>50</v>
          </cell>
          <cell r="M3333" t="str">
            <v>14,2/8,2</v>
          </cell>
          <cell r="N3333">
            <v>65</v>
          </cell>
          <cell r="O3333" t="str">
            <v>155(F)</v>
          </cell>
          <cell r="P3333" t="str">
            <v>270°</v>
          </cell>
          <cell r="Q3333" t="str">
            <v>TF</v>
          </cell>
          <cell r="R3333" t="str">
            <v>V(VE)</v>
          </cell>
          <cell r="S3333" t="str">
            <v>-</v>
          </cell>
          <cell r="T3333" t="str">
            <v>-</v>
          </cell>
          <cell r="U3333" t="str">
            <v>T</v>
          </cell>
          <cell r="V3333" t="str">
            <v>FC+R</v>
          </cell>
          <cell r="W3333" t="str">
            <v>YES</v>
          </cell>
          <cell r="X3333" t="str">
            <v>CLP PG 220 (-25/+80°C)</v>
          </cell>
          <cell r="Y3333" t="str">
            <v>KH67/T EDRN112M4 /TF/VE</v>
          </cell>
          <cell r="Z3333" t="str">
            <v>SEW</v>
          </cell>
          <cell r="AB3333" t="str">
            <v>ATEX22</v>
          </cell>
          <cell r="AG3333" t="str">
            <v>EDRN112M4</v>
          </cell>
          <cell r="AH3333" t="str">
            <v>KH67T-EDRN112M4B270-X#</v>
          </cell>
        </row>
        <row r="3334">
          <cell r="A3334" t="str">
            <v>MR003322</v>
          </cell>
          <cell r="B3334" t="str">
            <v>MR</v>
          </cell>
          <cell r="C3334">
            <v>0.75</v>
          </cell>
          <cell r="D3334">
            <v>162</v>
          </cell>
          <cell r="E3334" t="str">
            <v>KA37</v>
          </cell>
          <cell r="F3334">
            <v>44</v>
          </cell>
          <cell r="G3334">
            <v>8.91</v>
          </cell>
          <cell r="H3334">
            <v>3.1</v>
          </cell>
          <cell r="I3334" t="str">
            <v>M1B</v>
          </cell>
          <cell r="J3334" t="str">
            <v>IE3</v>
          </cell>
          <cell r="K3334" t="str">
            <v>230/400</v>
          </cell>
          <cell r="L3334">
            <v>50</v>
          </cell>
          <cell r="M3334" t="str">
            <v>3,1/1,79</v>
          </cell>
          <cell r="N3334">
            <v>65</v>
          </cell>
          <cell r="O3334" t="str">
            <v>155(F)</v>
          </cell>
          <cell r="P3334" t="str">
            <v>0°</v>
          </cell>
          <cell r="Q3334" t="str">
            <v>-</v>
          </cell>
          <cell r="R3334" t="str">
            <v>-</v>
          </cell>
          <cell r="S3334" t="str">
            <v>-</v>
          </cell>
          <cell r="T3334" t="str">
            <v>-</v>
          </cell>
          <cell r="U3334" t="str">
            <v>T</v>
          </cell>
          <cell r="V3334" t="str">
            <v>D</v>
          </cell>
          <cell r="W3334" t="str">
            <v>-</v>
          </cell>
          <cell r="X3334" t="str">
            <v>CLP PG 220 (-25/+80°C)</v>
          </cell>
          <cell r="Y3334" t="str">
            <v>KA37/T EDRN80M4</v>
          </cell>
          <cell r="Z3334" t="str">
            <v>SEW</v>
          </cell>
          <cell r="AB3334" t="str">
            <v>ATEX22</v>
          </cell>
          <cell r="AG3334" t="str">
            <v>EDRN80M4</v>
          </cell>
          <cell r="AH3334" t="str">
            <v>KA37T-EDRN80M4B0-X</v>
          </cell>
        </row>
        <row r="3335">
          <cell r="A3335" t="str">
            <v>MR003323</v>
          </cell>
          <cell r="B3335" t="str">
            <v>MR</v>
          </cell>
          <cell r="C3335">
            <v>1.1000000000000001</v>
          </cell>
          <cell r="D3335">
            <v>7.3</v>
          </cell>
          <cell r="E3335" t="str">
            <v>FV77</v>
          </cell>
          <cell r="F3335">
            <v>1430</v>
          </cell>
          <cell r="G3335">
            <v>198.31</v>
          </cell>
          <cell r="H3335">
            <v>1.05</v>
          </cell>
          <cell r="I3335" t="str">
            <v>M6</v>
          </cell>
          <cell r="J3335" t="str">
            <v>IE3</v>
          </cell>
          <cell r="K3335" t="str">
            <v>230/400</v>
          </cell>
          <cell r="L3335">
            <v>50</v>
          </cell>
          <cell r="M3335" t="str">
            <v>4,6/2,65</v>
          </cell>
          <cell r="N3335">
            <v>65</v>
          </cell>
          <cell r="O3335" t="str">
            <v>155(F)</v>
          </cell>
          <cell r="P3335" t="str">
            <v>0°</v>
          </cell>
          <cell r="Q3335" t="str">
            <v>TF</v>
          </cell>
          <cell r="R3335" t="str">
            <v>-</v>
          </cell>
          <cell r="S3335" t="str">
            <v>-</v>
          </cell>
          <cell r="T3335" t="str">
            <v>BEHF</v>
          </cell>
          <cell r="U3335" t="str">
            <v>G</v>
          </cell>
          <cell r="V3335" t="str">
            <v>FC+R</v>
          </cell>
          <cell r="W3335" t="str">
            <v>YES</v>
          </cell>
          <cell r="X3335" t="str">
            <v>CLP PG 220 (-25/+80°C)</v>
          </cell>
          <cell r="Y3335" t="str">
            <v>FV77/G EDRN90S4 /BEHF /TF</v>
          </cell>
          <cell r="Z3335" t="str">
            <v>SEW</v>
          </cell>
          <cell r="AB3335" t="str">
            <v>ATEX22</v>
          </cell>
          <cell r="AE3335" t="str">
            <v>Rectifier for brake in the terminal box</v>
          </cell>
          <cell r="AG3335" t="str">
            <v>EDRN90S4</v>
          </cell>
          <cell r="AH3335" t="str">
            <v>FV77G-EDRN90S40-X</v>
          </cell>
        </row>
        <row r="3336">
          <cell r="A3336" t="str">
            <v>MR003324</v>
          </cell>
          <cell r="B3336" t="str">
            <v>MR</v>
          </cell>
          <cell r="C3336">
            <v>1.1000000000000001</v>
          </cell>
          <cell r="D3336">
            <v>7.3</v>
          </cell>
          <cell r="E3336" t="str">
            <v>FV77</v>
          </cell>
          <cell r="F3336">
            <v>1430</v>
          </cell>
          <cell r="G3336">
            <v>198.31</v>
          </cell>
          <cell r="H3336">
            <v>1.05</v>
          </cell>
          <cell r="I3336" t="str">
            <v>M5</v>
          </cell>
          <cell r="J3336" t="str">
            <v>IE3</v>
          </cell>
          <cell r="K3336" t="str">
            <v>230/400</v>
          </cell>
          <cell r="L3336">
            <v>50</v>
          </cell>
          <cell r="M3336" t="str">
            <v>4,6/2,65</v>
          </cell>
          <cell r="N3336">
            <v>65</v>
          </cell>
          <cell r="O3336" t="str">
            <v>155(F)</v>
          </cell>
          <cell r="P3336" t="str">
            <v>180°</v>
          </cell>
          <cell r="Q3336" t="str">
            <v>TF</v>
          </cell>
          <cell r="R3336" t="str">
            <v>-</v>
          </cell>
          <cell r="S3336" t="str">
            <v>-</v>
          </cell>
          <cell r="T3336" t="str">
            <v>BEHF</v>
          </cell>
          <cell r="U3336" t="str">
            <v>G</v>
          </cell>
          <cell r="V3336" t="str">
            <v>FC+R</v>
          </cell>
          <cell r="W3336" t="str">
            <v>YES</v>
          </cell>
          <cell r="X3336" t="str">
            <v>CLP PG 220 (-25/+80°C)</v>
          </cell>
          <cell r="Y3336" t="str">
            <v>FV77/G EDRN90S4 /BEHF /TF</v>
          </cell>
          <cell r="Z3336" t="str">
            <v>SEW</v>
          </cell>
          <cell r="AB3336" t="str">
            <v>ATEX22</v>
          </cell>
          <cell r="AE3336" t="str">
            <v>Rectifier for brake in the terminal box</v>
          </cell>
          <cell r="AG3336" t="str">
            <v>EDRN90S4</v>
          </cell>
          <cell r="AH3336" t="str">
            <v>FV77G-EDRN90S4180-X</v>
          </cell>
        </row>
        <row r="3337">
          <cell r="A3337" t="str">
            <v>MR003325</v>
          </cell>
          <cell r="B3337" t="str">
            <v>MR</v>
          </cell>
          <cell r="C3337">
            <v>9.1999999999999993</v>
          </cell>
          <cell r="D3337">
            <v>15</v>
          </cell>
          <cell r="E3337" t="str">
            <v>KH107</v>
          </cell>
          <cell r="F3337">
            <v>6020</v>
          </cell>
          <cell r="G3337">
            <v>100.75</v>
          </cell>
          <cell r="H3337">
            <v>1.35</v>
          </cell>
          <cell r="I3337" t="str">
            <v>From M1A to M2A - 35°</v>
          </cell>
          <cell r="J3337" t="str">
            <v>IE3</v>
          </cell>
          <cell r="K3337" t="str">
            <v>400/690</v>
          </cell>
          <cell r="L3337">
            <v>50</v>
          </cell>
          <cell r="M3337" t="str">
            <v>18,7/10,8</v>
          </cell>
          <cell r="N3337">
            <v>55</v>
          </cell>
          <cell r="O3337" t="str">
            <v>155(F)</v>
          </cell>
          <cell r="P3337" t="str">
            <v>270°</v>
          </cell>
          <cell r="Q3337" t="str">
            <v>-</v>
          </cell>
          <cell r="R3337" t="str">
            <v>-</v>
          </cell>
          <cell r="S3337" t="str">
            <v>-</v>
          </cell>
          <cell r="T3337" t="str">
            <v>-</v>
          </cell>
          <cell r="U3337" t="str">
            <v>-</v>
          </cell>
          <cell r="V3337" t="str">
            <v>SS</v>
          </cell>
          <cell r="W3337" t="str">
            <v>-</v>
          </cell>
          <cell r="X3337" t="str">
            <v>CLP 220 (-15/+40°C)</v>
          </cell>
          <cell r="Y3337" t="str">
            <v>KH107DRN132L4</v>
          </cell>
          <cell r="Z3337" t="str">
            <v>SEW</v>
          </cell>
          <cell r="AB3337" t="str">
            <v>-</v>
          </cell>
          <cell r="AF3337">
            <v>15</v>
          </cell>
          <cell r="AG3337" t="str">
            <v>DRN132L4</v>
          </cell>
          <cell r="AH3337" t="str">
            <v>KH107-DRN132L4A270-X</v>
          </cell>
        </row>
        <row r="3338">
          <cell r="A3338" t="str">
            <v>MR003326</v>
          </cell>
          <cell r="B3338" t="str">
            <v>MR</v>
          </cell>
          <cell r="C3338">
            <v>5.5</v>
          </cell>
          <cell r="D3338">
            <v>14</v>
          </cell>
          <cell r="E3338" t="str">
            <v>KH97</v>
          </cell>
          <cell r="F3338">
            <v>3780</v>
          </cell>
          <cell r="G3338">
            <v>105.13</v>
          </cell>
          <cell r="H3338">
            <v>1.1499999999999999</v>
          </cell>
          <cell r="I3338" t="str">
            <v>From M1A to M2A - 5°</v>
          </cell>
          <cell r="J3338" t="str">
            <v>IE3</v>
          </cell>
          <cell r="K3338" t="str">
            <v>230/400</v>
          </cell>
          <cell r="L3338">
            <v>50</v>
          </cell>
          <cell r="M3338" t="str">
            <v>18,2/10,5</v>
          </cell>
          <cell r="N3338">
            <v>55</v>
          </cell>
          <cell r="O3338" t="str">
            <v>155(F)</v>
          </cell>
          <cell r="P3338" t="str">
            <v>270°</v>
          </cell>
          <cell r="Q3338" t="str">
            <v>-</v>
          </cell>
          <cell r="R3338" t="str">
            <v>-</v>
          </cell>
          <cell r="S3338" t="str">
            <v>-</v>
          </cell>
          <cell r="T3338" t="str">
            <v>-</v>
          </cell>
          <cell r="U3338" t="str">
            <v>-</v>
          </cell>
          <cell r="V3338" t="str">
            <v>SS</v>
          </cell>
          <cell r="W3338" t="str">
            <v>-</v>
          </cell>
          <cell r="X3338" t="str">
            <v>CLP 220 (-15/+40°C)</v>
          </cell>
          <cell r="Y3338" t="str">
            <v>KH97DRN132S4</v>
          </cell>
          <cell r="Z3338" t="str">
            <v>SEW</v>
          </cell>
          <cell r="AB3338" t="str">
            <v>-</v>
          </cell>
          <cell r="AF3338">
            <v>14</v>
          </cell>
          <cell r="AG3338" t="str">
            <v>DRN132S4</v>
          </cell>
          <cell r="AH3338" t="str">
            <v>KH97-DRN132S4A270-X</v>
          </cell>
        </row>
        <row r="3339">
          <cell r="A3339" t="str">
            <v>MR003327</v>
          </cell>
          <cell r="B3339" t="str">
            <v>MR</v>
          </cell>
          <cell r="C3339">
            <v>5.5</v>
          </cell>
          <cell r="D3339">
            <v>14</v>
          </cell>
          <cell r="E3339" t="str">
            <v>KH97</v>
          </cell>
          <cell r="F3339">
            <v>3780</v>
          </cell>
          <cell r="G3339">
            <v>105.13</v>
          </cell>
          <cell r="H3339">
            <v>1.1499999999999999</v>
          </cell>
          <cell r="I3339" t="str">
            <v>From M1B to M2B - 5°</v>
          </cell>
          <cell r="J3339" t="str">
            <v>IE3</v>
          </cell>
          <cell r="K3339" t="str">
            <v>230/400</v>
          </cell>
          <cell r="L3339">
            <v>50</v>
          </cell>
          <cell r="M3339" t="str">
            <v>18,2/10,5</v>
          </cell>
          <cell r="N3339">
            <v>55</v>
          </cell>
          <cell r="O3339" t="str">
            <v>155(F)</v>
          </cell>
          <cell r="P3339" t="str">
            <v>270°</v>
          </cell>
          <cell r="Q3339" t="str">
            <v>-</v>
          </cell>
          <cell r="R3339" t="str">
            <v>-</v>
          </cell>
          <cell r="S3339" t="str">
            <v>-</v>
          </cell>
          <cell r="T3339" t="str">
            <v>-</v>
          </cell>
          <cell r="U3339" t="str">
            <v>-</v>
          </cell>
          <cell r="V3339" t="str">
            <v>SS</v>
          </cell>
          <cell r="W3339" t="str">
            <v>-</v>
          </cell>
          <cell r="X3339" t="str">
            <v>CLP 220 (-15/+40°C)</v>
          </cell>
          <cell r="Y3339" t="str">
            <v>KH97DRN132S4</v>
          </cell>
          <cell r="Z3339" t="str">
            <v>SEW</v>
          </cell>
          <cell r="AB3339" t="str">
            <v>-</v>
          </cell>
          <cell r="AF3339">
            <v>14</v>
          </cell>
          <cell r="AG3339" t="str">
            <v>DRN132S4</v>
          </cell>
          <cell r="AH3339" t="str">
            <v>KH97-DRN132S4B270-X</v>
          </cell>
        </row>
        <row r="3340">
          <cell r="A3340" t="str">
            <v>MR003328</v>
          </cell>
          <cell r="B3340" t="str">
            <v>MR</v>
          </cell>
          <cell r="C3340">
            <v>5.5</v>
          </cell>
          <cell r="D3340">
            <v>14</v>
          </cell>
          <cell r="E3340" t="str">
            <v>KH97</v>
          </cell>
          <cell r="F3340">
            <v>3780</v>
          </cell>
          <cell r="G3340">
            <v>105.13</v>
          </cell>
          <cell r="H3340">
            <v>1.1000000000000001</v>
          </cell>
          <cell r="I3340" t="str">
            <v>From M1A to M2A - 10°</v>
          </cell>
          <cell r="J3340" t="str">
            <v>IE3</v>
          </cell>
          <cell r="K3340" t="str">
            <v>230/400</v>
          </cell>
          <cell r="L3340">
            <v>50</v>
          </cell>
          <cell r="M3340" t="str">
            <v>18,2/10,5</v>
          </cell>
          <cell r="N3340">
            <v>55</v>
          </cell>
          <cell r="O3340" t="str">
            <v>155(F)</v>
          </cell>
          <cell r="P3340" t="str">
            <v>270°</v>
          </cell>
          <cell r="Q3340" t="str">
            <v>-</v>
          </cell>
          <cell r="R3340" t="str">
            <v>-</v>
          </cell>
          <cell r="S3340" t="str">
            <v>-</v>
          </cell>
          <cell r="T3340" t="str">
            <v>-</v>
          </cell>
          <cell r="U3340" t="str">
            <v>-</v>
          </cell>
          <cell r="V3340" t="str">
            <v>SS</v>
          </cell>
          <cell r="W3340" t="str">
            <v>-</v>
          </cell>
          <cell r="X3340" t="str">
            <v>CLP HC 220 (-25/+60°C)</v>
          </cell>
          <cell r="Y3340" t="str">
            <v>KH97EDRN132S4</v>
          </cell>
          <cell r="Z3340" t="str">
            <v>SEW</v>
          </cell>
          <cell r="AB3340" t="str">
            <v>ATEX22</v>
          </cell>
          <cell r="AF3340">
            <v>14</v>
          </cell>
          <cell r="AG3340" t="str">
            <v>EDRN132S4</v>
          </cell>
          <cell r="AH3340" t="str">
            <v>KH97-EDRN132S4A270-X</v>
          </cell>
        </row>
        <row r="3341">
          <cell r="A3341" t="str">
            <v>MR003329</v>
          </cell>
          <cell r="B3341" t="str">
            <v>MR</v>
          </cell>
          <cell r="C3341">
            <v>5.5</v>
          </cell>
          <cell r="D3341">
            <v>14</v>
          </cell>
          <cell r="E3341" t="str">
            <v>KH97</v>
          </cell>
          <cell r="F3341">
            <v>3780</v>
          </cell>
          <cell r="G3341">
            <v>105.13</v>
          </cell>
          <cell r="H3341">
            <v>1.1000000000000001</v>
          </cell>
          <cell r="I3341" t="str">
            <v>From M1B to M2B - 10°</v>
          </cell>
          <cell r="J3341" t="str">
            <v>IE3</v>
          </cell>
          <cell r="K3341" t="str">
            <v>230/400</v>
          </cell>
          <cell r="L3341">
            <v>50</v>
          </cell>
          <cell r="M3341" t="str">
            <v>18,2/10,5</v>
          </cell>
          <cell r="N3341">
            <v>55</v>
          </cell>
          <cell r="O3341" t="str">
            <v>155(F)</v>
          </cell>
          <cell r="P3341" t="str">
            <v>270°</v>
          </cell>
          <cell r="Q3341" t="str">
            <v>-</v>
          </cell>
          <cell r="R3341" t="str">
            <v>-</v>
          </cell>
          <cell r="S3341" t="str">
            <v>-</v>
          </cell>
          <cell r="T3341" t="str">
            <v>-</v>
          </cell>
          <cell r="U3341" t="str">
            <v>-</v>
          </cell>
          <cell r="V3341" t="str">
            <v>SS</v>
          </cell>
          <cell r="W3341" t="str">
            <v>-</v>
          </cell>
          <cell r="X3341" t="str">
            <v>CLP HC 220 (-25/+60°C)</v>
          </cell>
          <cell r="Y3341" t="str">
            <v>KH97EDRN132S4</v>
          </cell>
          <cell r="Z3341" t="str">
            <v>SEW</v>
          </cell>
          <cell r="AB3341" t="str">
            <v>ATEX22</v>
          </cell>
          <cell r="AF3341">
            <v>14</v>
          </cell>
          <cell r="AG3341" t="str">
            <v>EDRN132S4</v>
          </cell>
          <cell r="AH3341" t="str">
            <v>KH97-EDRN132S4B270-X</v>
          </cell>
        </row>
        <row r="3342">
          <cell r="A3342" t="str">
            <v>MR003330</v>
          </cell>
          <cell r="B3342" t="str">
            <v>MR</v>
          </cell>
          <cell r="C3342">
            <v>0.75</v>
          </cell>
          <cell r="D3342">
            <v>18</v>
          </cell>
          <cell r="E3342" t="str">
            <v>FA67</v>
          </cell>
          <cell r="F3342">
            <v>395</v>
          </cell>
          <cell r="G3342">
            <v>79.760000000000005</v>
          </cell>
          <cell r="H3342">
            <v>2</v>
          </cell>
          <cell r="I3342" t="str">
            <v>From M6 to M3 - 10°</v>
          </cell>
          <cell r="J3342" t="str">
            <v>IE3</v>
          </cell>
          <cell r="K3342" t="str">
            <v>230/400</v>
          </cell>
          <cell r="L3342">
            <v>50</v>
          </cell>
          <cell r="M3342" t="str">
            <v>3,05/1,75</v>
          </cell>
          <cell r="N3342">
            <v>55</v>
          </cell>
          <cell r="O3342" t="str">
            <v>155(F)</v>
          </cell>
          <cell r="P3342" t="str">
            <v>270°</v>
          </cell>
          <cell r="Q3342" t="str">
            <v>TF</v>
          </cell>
          <cell r="R3342" t="str">
            <v>-</v>
          </cell>
          <cell r="S3342" t="str">
            <v>-</v>
          </cell>
          <cell r="T3342" t="str">
            <v>BEHF</v>
          </cell>
          <cell r="U3342" t="str">
            <v>G</v>
          </cell>
          <cell r="V3342" t="str">
            <v>D+R</v>
          </cell>
          <cell r="W3342" t="str">
            <v>-</v>
          </cell>
          <cell r="X3342" t="str">
            <v>CLP HC 220 (-25/+60°C)</v>
          </cell>
          <cell r="Y3342" t="str">
            <v>FA67/G EDRN80M4 /BEHF /TF</v>
          </cell>
          <cell r="Z3342" t="str">
            <v>SEW</v>
          </cell>
          <cell r="AB3342" t="str">
            <v>ATEX22</v>
          </cell>
          <cell r="AE3342" t="str">
            <v>Rectifier for brake in the terminal box</v>
          </cell>
          <cell r="AF3342">
            <v>18</v>
          </cell>
          <cell r="AG3342" t="str">
            <v>EDRN80M4</v>
          </cell>
          <cell r="AH3342" t="str">
            <v>FA67G-EDRN80M4270-X</v>
          </cell>
        </row>
        <row r="3343">
          <cell r="A3343" t="str">
            <v>MR003331</v>
          </cell>
          <cell r="B3343" t="str">
            <v>MR</v>
          </cell>
          <cell r="C3343">
            <v>11</v>
          </cell>
          <cell r="D3343">
            <v>60</v>
          </cell>
          <cell r="E3343" t="str">
            <v>KH97</v>
          </cell>
          <cell r="F3343">
            <v>1760</v>
          </cell>
          <cell r="G3343">
            <v>24.75</v>
          </cell>
          <cell r="H3343">
            <v>2.2999999999999998</v>
          </cell>
          <cell r="I3343" t="str">
            <v>M3B</v>
          </cell>
          <cell r="J3343" t="str">
            <v>IE3</v>
          </cell>
          <cell r="K3343" t="str">
            <v>400/690</v>
          </cell>
          <cell r="L3343">
            <v>50</v>
          </cell>
          <cell r="M3343" t="str">
            <v>21,5/12,4</v>
          </cell>
          <cell r="N3343">
            <v>65</v>
          </cell>
          <cell r="O3343" t="str">
            <v>155(F)</v>
          </cell>
          <cell r="P3343" t="str">
            <v>0°</v>
          </cell>
          <cell r="Q3343" t="str">
            <v>-</v>
          </cell>
          <cell r="R3343" t="str">
            <v>-</v>
          </cell>
          <cell r="S3343" t="str">
            <v>Free rotation CW</v>
          </cell>
          <cell r="T3343" t="str">
            <v>-</v>
          </cell>
          <cell r="U3343" t="str">
            <v>T</v>
          </cell>
          <cell r="V3343" t="str">
            <v>SS</v>
          </cell>
          <cell r="W3343" t="str">
            <v>YES</v>
          </cell>
          <cell r="X3343" t="str">
            <v>CLP PG 220 (-25/+80°C)</v>
          </cell>
          <cell r="Y3343" t="str">
            <v>KH97/T EDRN160M4 /RS</v>
          </cell>
          <cell r="Z3343" t="str">
            <v>SEW</v>
          </cell>
          <cell r="AB3343" t="str">
            <v>ATEX22</v>
          </cell>
          <cell r="AF3343">
            <v>60</v>
          </cell>
          <cell r="AG3343" t="str">
            <v>EDRN160M4</v>
          </cell>
          <cell r="AH3343" t="str">
            <v>KH97T-EDRN160M4B0-X</v>
          </cell>
        </row>
        <row r="3344">
          <cell r="A3344" t="str">
            <v>MR003332</v>
          </cell>
          <cell r="B3344" t="str">
            <v>MR</v>
          </cell>
          <cell r="C3344">
            <v>0.75</v>
          </cell>
          <cell r="D3344">
            <v>162</v>
          </cell>
          <cell r="E3344" t="str">
            <v>KA37</v>
          </cell>
          <cell r="F3344">
            <v>44</v>
          </cell>
          <cell r="G3344">
            <v>8.91</v>
          </cell>
          <cell r="H3344">
            <v>3</v>
          </cell>
          <cell r="I3344" t="str">
            <v>From M1B to M2B - 5°</v>
          </cell>
          <cell r="J3344" t="str">
            <v>IE3</v>
          </cell>
          <cell r="K3344" t="str">
            <v>230/400</v>
          </cell>
          <cell r="L3344">
            <v>50</v>
          </cell>
          <cell r="M3344" t="str">
            <v>3,1/1,79</v>
          </cell>
          <cell r="N3344">
            <v>65</v>
          </cell>
          <cell r="O3344" t="str">
            <v>155(F)</v>
          </cell>
          <cell r="P3344" t="str">
            <v>0°</v>
          </cell>
          <cell r="Q3344" t="str">
            <v>-</v>
          </cell>
          <cell r="R3344" t="str">
            <v>-</v>
          </cell>
          <cell r="S3344" t="str">
            <v>-</v>
          </cell>
          <cell r="T3344" t="str">
            <v>-</v>
          </cell>
          <cell r="U3344" t="str">
            <v>T</v>
          </cell>
          <cell r="V3344" t="str">
            <v>D</v>
          </cell>
          <cell r="W3344" t="str">
            <v>-</v>
          </cell>
          <cell r="X3344" t="str">
            <v>CLP PG 220 (-25/+80°C)</v>
          </cell>
          <cell r="Y3344" t="str">
            <v>KA37/T EDRN80M4</v>
          </cell>
          <cell r="Z3344" t="str">
            <v>SEW</v>
          </cell>
          <cell r="AB3344" t="str">
            <v>ATEX22</v>
          </cell>
          <cell r="AF3344">
            <v>162</v>
          </cell>
          <cell r="AG3344" t="str">
            <v>EDRN80M4</v>
          </cell>
          <cell r="AH3344" t="str">
            <v>KA37T-EDRN80M4B0-X</v>
          </cell>
        </row>
        <row r="3345">
          <cell r="A3345" t="str">
            <v>MR003333</v>
          </cell>
          <cell r="B3345" t="str">
            <v>MR</v>
          </cell>
          <cell r="C3345">
            <v>11</v>
          </cell>
          <cell r="D3345">
            <v>60</v>
          </cell>
          <cell r="E3345" t="str">
            <v>KH97</v>
          </cell>
          <cell r="F3345">
            <v>1760</v>
          </cell>
          <cell r="G3345">
            <v>24.75</v>
          </cell>
          <cell r="H3345">
            <v>2.2999999999999998</v>
          </cell>
          <cell r="I3345" t="str">
            <v>M3A</v>
          </cell>
          <cell r="J3345" t="str">
            <v>IE3</v>
          </cell>
          <cell r="K3345" t="str">
            <v>400/690</v>
          </cell>
          <cell r="L3345">
            <v>50</v>
          </cell>
          <cell r="M3345" t="str">
            <v>21,5/12,4</v>
          </cell>
          <cell r="N3345">
            <v>65</v>
          </cell>
          <cell r="O3345" t="str">
            <v>155(F)</v>
          </cell>
          <cell r="P3345" t="str">
            <v>180°</v>
          </cell>
          <cell r="Q3345" t="str">
            <v>-</v>
          </cell>
          <cell r="R3345" t="str">
            <v>-</v>
          </cell>
          <cell r="S3345" t="str">
            <v>Free rotation CCW</v>
          </cell>
          <cell r="T3345" t="str">
            <v>-</v>
          </cell>
          <cell r="U3345" t="str">
            <v>T</v>
          </cell>
          <cell r="V3345" t="str">
            <v>SS</v>
          </cell>
          <cell r="W3345" t="str">
            <v>YES</v>
          </cell>
          <cell r="X3345" t="str">
            <v>CLP PG 220 (-25/+80°C)</v>
          </cell>
          <cell r="Y3345" t="str">
            <v>KH97/T EDRN160M4 /RS</v>
          </cell>
          <cell r="Z3345" t="str">
            <v>SEW</v>
          </cell>
          <cell r="AB3345" t="str">
            <v>ATEX22</v>
          </cell>
          <cell r="AF3345">
            <v>60</v>
          </cell>
          <cell r="AG3345" t="str">
            <v>EDRN160M4</v>
          </cell>
          <cell r="AH3345" t="str">
            <v>KH97T-EDRN160M4A180-X</v>
          </cell>
        </row>
        <row r="3346">
          <cell r="A3346" t="str">
            <v>MR003334</v>
          </cell>
          <cell r="B3346" t="str">
            <v>MR</v>
          </cell>
          <cell r="C3346">
            <v>0.75</v>
          </cell>
          <cell r="D3346">
            <v>162</v>
          </cell>
          <cell r="E3346" t="str">
            <v>KA37</v>
          </cell>
          <cell r="F3346">
            <v>44</v>
          </cell>
          <cell r="G3346">
            <v>8.91</v>
          </cell>
          <cell r="H3346">
            <v>3.1</v>
          </cell>
          <cell r="I3346" t="str">
            <v>From M1A to M2A - 5°</v>
          </cell>
          <cell r="J3346" t="str">
            <v>IE3</v>
          </cell>
          <cell r="K3346" t="str">
            <v>230/400</v>
          </cell>
          <cell r="L3346">
            <v>50</v>
          </cell>
          <cell r="M3346" t="str">
            <v>3,1/1,79</v>
          </cell>
          <cell r="N3346">
            <v>65</v>
          </cell>
          <cell r="O3346" t="str">
            <v>155(F)</v>
          </cell>
          <cell r="P3346" t="str">
            <v>180°</v>
          </cell>
          <cell r="Q3346" t="str">
            <v>-</v>
          </cell>
          <cell r="R3346" t="str">
            <v>-</v>
          </cell>
          <cell r="S3346" t="str">
            <v>-</v>
          </cell>
          <cell r="T3346" t="str">
            <v>-</v>
          </cell>
          <cell r="U3346" t="str">
            <v>T</v>
          </cell>
          <cell r="V3346" t="str">
            <v>D</v>
          </cell>
          <cell r="W3346" t="str">
            <v>-</v>
          </cell>
          <cell r="X3346" t="str">
            <v>CLP PG 220 (-25/+80°C)</v>
          </cell>
          <cell r="Y3346" t="str">
            <v>KA37/T EDRN80M4</v>
          </cell>
          <cell r="Z3346" t="str">
            <v>SEW</v>
          </cell>
          <cell r="AB3346" t="str">
            <v>ATEX22</v>
          </cell>
          <cell r="AF3346">
            <v>162</v>
          </cell>
          <cell r="AG3346" t="str">
            <v>EDRN80M4</v>
          </cell>
          <cell r="AH3346" t="str">
            <v>KA37T-EDRN80M4A180-X</v>
          </cell>
        </row>
        <row r="3347">
          <cell r="A3347" t="str">
            <v>MR003335</v>
          </cell>
          <cell r="B3347" t="str">
            <v>MR</v>
          </cell>
          <cell r="C3347">
            <v>7.5</v>
          </cell>
          <cell r="D3347">
            <v>76</v>
          </cell>
          <cell r="E3347" t="str">
            <v>FH87</v>
          </cell>
          <cell r="F3347">
            <v>940</v>
          </cell>
          <cell r="G3347">
            <v>19.309999999999999</v>
          </cell>
          <cell r="H3347">
            <v>2.6</v>
          </cell>
          <cell r="I3347" t="str">
            <v>From M1 to M2 - 15°</v>
          </cell>
          <cell r="J3347" t="str">
            <v>IE3</v>
          </cell>
          <cell r="K3347" t="str">
            <v>400/690</v>
          </cell>
          <cell r="L3347">
            <v>50</v>
          </cell>
          <cell r="M3347" t="str">
            <v>15,7/9</v>
          </cell>
          <cell r="N3347">
            <v>65</v>
          </cell>
          <cell r="O3347" t="str">
            <v>155(F)</v>
          </cell>
          <cell r="P3347" t="str">
            <v>270°</v>
          </cell>
          <cell r="Q3347" t="str">
            <v>-</v>
          </cell>
          <cell r="R3347" t="str">
            <v>-</v>
          </cell>
          <cell r="S3347" t="str">
            <v>-</v>
          </cell>
          <cell r="T3347" t="str">
            <v>-</v>
          </cell>
          <cell r="U3347" t="str">
            <v>G</v>
          </cell>
          <cell r="V3347" t="str">
            <v>D</v>
          </cell>
          <cell r="W3347" t="str">
            <v>YES</v>
          </cell>
          <cell r="X3347" t="str">
            <v>CLP PG 220 (-25/+80°C)</v>
          </cell>
          <cell r="Y3347" t="str">
            <v>FH87/G EDRN132M4</v>
          </cell>
          <cell r="Z3347" t="str">
            <v>SEW</v>
          </cell>
          <cell r="AB3347" t="str">
            <v>ATEX22</v>
          </cell>
          <cell r="AF3347">
            <v>76</v>
          </cell>
          <cell r="AG3347" t="str">
            <v>EDRN132M4</v>
          </cell>
          <cell r="AH3347" t="str">
            <v>FH87G-EDRN132M4270-X</v>
          </cell>
        </row>
        <row r="3348">
          <cell r="A3348" t="str">
            <v>MR003336</v>
          </cell>
          <cell r="B3348" t="str">
            <v>MR</v>
          </cell>
          <cell r="C3348">
            <v>22</v>
          </cell>
          <cell r="D3348">
            <v>33</v>
          </cell>
          <cell r="E3348" t="str">
            <v>R137</v>
          </cell>
          <cell r="F3348">
            <v>6310</v>
          </cell>
          <cell r="G3348">
            <v>44.39</v>
          </cell>
          <cell r="H3348">
            <v>1.2</v>
          </cell>
          <cell r="I3348" t="str">
            <v>From M1 to M2 - 10°</v>
          </cell>
          <cell r="J3348" t="str">
            <v>IE3</v>
          </cell>
          <cell r="K3348" t="str">
            <v>230/400</v>
          </cell>
          <cell r="L3348">
            <v>50</v>
          </cell>
          <cell r="M3348" t="str">
            <v>70/40,5</v>
          </cell>
          <cell r="N3348">
            <v>65</v>
          </cell>
          <cell r="O3348" t="str">
            <v>155(F)</v>
          </cell>
          <cell r="P3348" t="str">
            <v>270°</v>
          </cell>
          <cell r="Q3348" t="str">
            <v>TF</v>
          </cell>
          <cell r="R3348" t="str">
            <v>V(VE)</v>
          </cell>
          <cell r="S3348" t="str">
            <v>-</v>
          </cell>
          <cell r="T3348" t="str">
            <v>-</v>
          </cell>
          <cell r="U3348" t="str">
            <v>-</v>
          </cell>
          <cell r="V3348" t="str">
            <v>FC</v>
          </cell>
          <cell r="W3348" t="str">
            <v>YES</v>
          </cell>
          <cell r="X3348" t="str">
            <v>CLP PG 220 (-25/+80°C)</v>
          </cell>
          <cell r="Y3348" t="str">
            <v>R137EDRN180L4 /TF/VE</v>
          </cell>
          <cell r="Z3348" t="str">
            <v>SEW</v>
          </cell>
          <cell r="AB3348" t="str">
            <v>ATEX22</v>
          </cell>
          <cell r="AF3348">
            <v>33</v>
          </cell>
          <cell r="AG3348" t="str">
            <v>EDRN180L4</v>
          </cell>
          <cell r="AH3348" t="str">
            <v>R137-EDRN180L4270-X#</v>
          </cell>
        </row>
        <row r="3349">
          <cell r="A3349" t="str">
            <v>MR003337</v>
          </cell>
          <cell r="B3349" t="str">
            <v>MR</v>
          </cell>
          <cell r="C3349">
            <v>18.5</v>
          </cell>
          <cell r="D3349">
            <v>25</v>
          </cell>
          <cell r="E3349" t="str">
            <v>R137</v>
          </cell>
          <cell r="F3349">
            <v>7070</v>
          </cell>
          <cell r="G3349">
            <v>59.17</v>
          </cell>
          <cell r="H3349">
            <v>1.1499999999999999</v>
          </cell>
          <cell r="I3349" t="str">
            <v>From M1 to M2 - 20°</v>
          </cell>
          <cell r="J3349" t="str">
            <v>IE3</v>
          </cell>
          <cell r="K3349" t="str">
            <v>240/415</v>
          </cell>
          <cell r="L3349">
            <v>50</v>
          </cell>
          <cell r="M3349" t="str">
            <v>55/32</v>
          </cell>
          <cell r="N3349">
            <v>55</v>
          </cell>
          <cell r="O3349" t="str">
            <v>155(F)</v>
          </cell>
          <cell r="P3349" t="str">
            <v>270°</v>
          </cell>
          <cell r="Q3349" t="str">
            <v>TF</v>
          </cell>
          <cell r="R3349" t="str">
            <v>V(VE)</v>
          </cell>
          <cell r="S3349" t="str">
            <v>-</v>
          </cell>
          <cell r="T3349" t="str">
            <v>-</v>
          </cell>
          <cell r="U3349" t="str">
            <v>-</v>
          </cell>
          <cell r="V3349" t="str">
            <v>FC</v>
          </cell>
          <cell r="W3349" t="str">
            <v>-</v>
          </cell>
          <cell r="X3349" t="str">
            <v>CLP VG 220 = -15° + 40°</v>
          </cell>
          <cell r="Y3349" t="str">
            <v>R137DRN180M4 /TF/V</v>
          </cell>
          <cell r="Z3349" t="str">
            <v>SEW</v>
          </cell>
          <cell r="AB3349" t="str">
            <v>-</v>
          </cell>
          <cell r="AF3349">
            <v>25</v>
          </cell>
          <cell r="AG3349" t="str">
            <v>DRN180M4</v>
          </cell>
          <cell r="AH3349" t="str">
            <v>R137-DRN180M4270-X#</v>
          </cell>
          <cell r="AI3349" t="str">
            <v>NON USARE</v>
          </cell>
        </row>
        <row r="3350">
          <cell r="A3350" t="str">
            <v>MR003338</v>
          </cell>
          <cell r="B3350" t="str">
            <v>MR</v>
          </cell>
          <cell r="C3350">
            <v>18.5</v>
          </cell>
          <cell r="D3350">
            <v>48</v>
          </cell>
          <cell r="E3350" t="str">
            <v>KH97</v>
          </cell>
          <cell r="F3350">
            <v>3680</v>
          </cell>
          <cell r="G3350">
            <v>30.82</v>
          </cell>
          <cell r="H3350">
            <v>1.1499999999999999</v>
          </cell>
          <cell r="I3350" t="str">
            <v>From M4B to M1B - 20°</v>
          </cell>
          <cell r="J3350" t="str">
            <v>IE3</v>
          </cell>
          <cell r="K3350" t="str">
            <v>240/415</v>
          </cell>
          <cell r="L3350">
            <v>50</v>
          </cell>
          <cell r="M3350" t="str">
            <v>55/32</v>
          </cell>
          <cell r="N3350">
            <v>55</v>
          </cell>
          <cell r="O3350" t="str">
            <v>155(F)</v>
          </cell>
          <cell r="P3350" t="str">
            <v>270°</v>
          </cell>
          <cell r="Q3350" t="str">
            <v>-</v>
          </cell>
          <cell r="R3350" t="str">
            <v>-</v>
          </cell>
          <cell r="S3350" t="str">
            <v>Free rotation CW</v>
          </cell>
          <cell r="T3350" t="str">
            <v>-</v>
          </cell>
          <cell r="U3350" t="str">
            <v>T</v>
          </cell>
          <cell r="V3350" t="str">
            <v>SS</v>
          </cell>
          <cell r="W3350" t="str">
            <v>-</v>
          </cell>
          <cell r="X3350" t="str">
            <v>CLP VG 220 = -15° + 40°</v>
          </cell>
          <cell r="Y3350" t="str">
            <v>KH97/T DRN180M4 /RS</v>
          </cell>
          <cell r="Z3350" t="str">
            <v>SEW</v>
          </cell>
          <cell r="AB3350" t="str">
            <v>-</v>
          </cell>
          <cell r="AF3350">
            <v>48</v>
          </cell>
          <cell r="AG3350" t="str">
            <v>DRN180M4</v>
          </cell>
          <cell r="AH3350" t="str">
            <v>KH97T-DRN180M4B270-X</v>
          </cell>
          <cell r="AI3350" t="str">
            <v>NON USARE</v>
          </cell>
        </row>
        <row r="3351">
          <cell r="A3351" t="str">
            <v>MR003339</v>
          </cell>
          <cell r="B3351" t="str">
            <v>MR</v>
          </cell>
          <cell r="C3351">
            <v>0.75</v>
          </cell>
          <cell r="D3351">
            <v>162</v>
          </cell>
          <cell r="E3351" t="str">
            <v>KA37</v>
          </cell>
          <cell r="F3351">
            <v>44</v>
          </cell>
          <cell r="G3351">
            <v>8.91</v>
          </cell>
          <cell r="H3351">
            <v>3.1</v>
          </cell>
          <cell r="I3351" t="str">
            <v>From M3A to M2A - 20°</v>
          </cell>
          <cell r="J3351" t="str">
            <v>IE3</v>
          </cell>
          <cell r="K3351" t="str">
            <v>240/415</v>
          </cell>
          <cell r="L3351">
            <v>50</v>
          </cell>
          <cell r="M3351" t="str">
            <v>3,1/1,79</v>
          </cell>
          <cell r="N3351">
            <v>55</v>
          </cell>
          <cell r="O3351" t="str">
            <v>155(F)</v>
          </cell>
          <cell r="P3351" t="str">
            <v>180°</v>
          </cell>
          <cell r="Q3351" t="str">
            <v>-</v>
          </cell>
          <cell r="R3351" t="str">
            <v>-</v>
          </cell>
          <cell r="S3351" t="str">
            <v>-</v>
          </cell>
          <cell r="T3351" t="str">
            <v>-</v>
          </cell>
          <cell r="U3351" t="str">
            <v>T</v>
          </cell>
          <cell r="V3351" t="str">
            <v>D</v>
          </cell>
          <cell r="W3351" t="str">
            <v>-</v>
          </cell>
          <cell r="X3351" t="str">
            <v>CLP VG 220 = -15° + 40°</v>
          </cell>
          <cell r="Y3351" t="str">
            <v>KA37/T DRN80M4</v>
          </cell>
          <cell r="Z3351" t="str">
            <v>SEW</v>
          </cell>
          <cell r="AB3351" t="str">
            <v>-</v>
          </cell>
          <cell r="AF3351">
            <v>162</v>
          </cell>
          <cell r="AG3351" t="str">
            <v>DRN80M4</v>
          </cell>
          <cell r="AH3351" t="str">
            <v>KA37T-DRN80M4A180-X</v>
          </cell>
          <cell r="AI3351" t="str">
            <v>NON USARE</v>
          </cell>
        </row>
        <row r="3352">
          <cell r="A3352" t="str">
            <v>MR003340</v>
          </cell>
          <cell r="B3352" t="str">
            <v>MR</v>
          </cell>
          <cell r="C3352">
            <v>5.5</v>
          </cell>
          <cell r="D3352">
            <v>63</v>
          </cell>
          <cell r="E3352" t="str">
            <v>R87</v>
          </cell>
          <cell r="F3352">
            <v>840</v>
          </cell>
          <cell r="G3352">
            <v>23.4</v>
          </cell>
          <cell r="H3352">
            <v>1.85</v>
          </cell>
          <cell r="I3352" t="str">
            <v>M1</v>
          </cell>
          <cell r="J3352" t="str">
            <v>IE3</v>
          </cell>
          <cell r="K3352" t="str">
            <v>240/415</v>
          </cell>
          <cell r="L3352">
            <v>50</v>
          </cell>
          <cell r="M3352" t="str">
            <v>17,4/10,1</v>
          </cell>
          <cell r="N3352">
            <v>65</v>
          </cell>
          <cell r="O3352" t="str">
            <v>155(F)</v>
          </cell>
          <cell r="P3352" t="str">
            <v>270°</v>
          </cell>
          <cell r="Q3352" t="str">
            <v>-</v>
          </cell>
          <cell r="R3352" t="str">
            <v>-</v>
          </cell>
          <cell r="S3352" t="str">
            <v>-</v>
          </cell>
          <cell r="T3352" t="str">
            <v>-</v>
          </cell>
          <cell r="U3352" t="str">
            <v>-</v>
          </cell>
          <cell r="V3352" t="str">
            <v>D</v>
          </cell>
          <cell r="W3352" t="str">
            <v>-</v>
          </cell>
          <cell r="X3352" t="str">
            <v>CLP HC 220 (-25/+60°C)</v>
          </cell>
          <cell r="Y3352" t="str">
            <v>R87DRN132S4</v>
          </cell>
          <cell r="Z3352" t="str">
            <v>SEW</v>
          </cell>
          <cell r="AB3352" t="str">
            <v>-</v>
          </cell>
          <cell r="AD3352" t="str">
            <v>BIS</v>
          </cell>
          <cell r="AF3352">
            <v>63</v>
          </cell>
          <cell r="AG3352" t="str">
            <v>DRN132S4</v>
          </cell>
          <cell r="AH3352" t="str">
            <v>R87-DRN132S4270-X</v>
          </cell>
        </row>
        <row r="3353">
          <cell r="A3353" t="str">
            <v>MR003341</v>
          </cell>
          <cell r="B3353" t="str">
            <v>MR</v>
          </cell>
          <cell r="C3353">
            <v>9.1999999999999993</v>
          </cell>
          <cell r="D3353">
            <v>15</v>
          </cell>
          <cell r="E3353" t="str">
            <v>KH107</v>
          </cell>
          <cell r="F3353">
            <v>6020</v>
          </cell>
          <cell r="G3353">
            <v>100.75</v>
          </cell>
          <cell r="H3353">
            <v>1.35</v>
          </cell>
          <cell r="I3353" t="str">
            <v>From M1A to M2A - 30°</v>
          </cell>
          <cell r="J3353" t="str">
            <v>IE3</v>
          </cell>
          <cell r="K3353" t="str">
            <v>240/415</v>
          </cell>
          <cell r="L3353">
            <v>50</v>
          </cell>
          <cell r="M3353" t="str">
            <v>31/18</v>
          </cell>
          <cell r="N3353">
            <v>65</v>
          </cell>
          <cell r="O3353" t="str">
            <v>155(F)</v>
          </cell>
          <cell r="P3353" t="str">
            <v>270°</v>
          </cell>
          <cell r="Q3353" t="str">
            <v>TF</v>
          </cell>
          <cell r="R3353" t="str">
            <v>V(VE)</v>
          </cell>
          <cell r="S3353" t="str">
            <v>-</v>
          </cell>
          <cell r="T3353" t="str">
            <v>-</v>
          </cell>
          <cell r="U3353" t="str">
            <v>-</v>
          </cell>
          <cell r="V3353" t="str">
            <v>FC</v>
          </cell>
          <cell r="W3353" t="str">
            <v>-</v>
          </cell>
          <cell r="X3353" t="str">
            <v>CLP HC 220 (-25/+60°C)</v>
          </cell>
          <cell r="Y3353" t="str">
            <v>KH107DRN132L4 /TF/V</v>
          </cell>
          <cell r="Z3353" t="str">
            <v>SEW</v>
          </cell>
          <cell r="AB3353" t="str">
            <v>-</v>
          </cell>
          <cell r="AD3353" t="str">
            <v>BIS</v>
          </cell>
          <cell r="AF3353">
            <v>15</v>
          </cell>
          <cell r="AG3353" t="str">
            <v>DRN132L4</v>
          </cell>
          <cell r="AH3353" t="str">
            <v>KH107-DRN132L4A270-X#</v>
          </cell>
        </row>
        <row r="3354">
          <cell r="A3354" t="str">
            <v>MR003342</v>
          </cell>
          <cell r="B3354" t="str">
            <v>MR</v>
          </cell>
          <cell r="C3354">
            <v>9.1999999999999993</v>
          </cell>
          <cell r="D3354">
            <v>15</v>
          </cell>
          <cell r="E3354" t="str">
            <v>KH107</v>
          </cell>
          <cell r="F3354">
            <v>6020</v>
          </cell>
          <cell r="G3354">
            <v>100.75</v>
          </cell>
          <cell r="H3354">
            <v>1.35</v>
          </cell>
          <cell r="I3354" t="str">
            <v>From M1B to M2B - 30°</v>
          </cell>
          <cell r="J3354" t="str">
            <v>IE3</v>
          </cell>
          <cell r="K3354" t="str">
            <v>240/415</v>
          </cell>
          <cell r="L3354">
            <v>50</v>
          </cell>
          <cell r="M3354" t="str">
            <v>31/18</v>
          </cell>
          <cell r="N3354">
            <v>65</v>
          </cell>
          <cell r="O3354" t="str">
            <v>155(F)</v>
          </cell>
          <cell r="P3354" t="str">
            <v>270°</v>
          </cell>
          <cell r="Q3354" t="str">
            <v>TF</v>
          </cell>
          <cell r="R3354" t="str">
            <v>V(VE)</v>
          </cell>
          <cell r="S3354" t="str">
            <v>-</v>
          </cell>
          <cell r="T3354" t="str">
            <v>-</v>
          </cell>
          <cell r="U3354" t="str">
            <v>-</v>
          </cell>
          <cell r="V3354" t="str">
            <v>FC</v>
          </cell>
          <cell r="W3354" t="str">
            <v>-</v>
          </cell>
          <cell r="X3354" t="str">
            <v>CLP HC 220 (-25/+60°C)</v>
          </cell>
          <cell r="Y3354" t="str">
            <v>KH107DRN132L4 /TF/V</v>
          </cell>
          <cell r="Z3354" t="str">
            <v>SEW</v>
          </cell>
          <cell r="AB3354" t="str">
            <v>-</v>
          </cell>
          <cell r="AD3354" t="str">
            <v>BIS</v>
          </cell>
          <cell r="AF3354">
            <v>15</v>
          </cell>
          <cell r="AG3354" t="str">
            <v>DRN132L4</v>
          </cell>
          <cell r="AH3354" t="str">
            <v>KH107-DRN132L4B270-X#</v>
          </cell>
        </row>
        <row r="3355">
          <cell r="A3355" t="str">
            <v>MR003343</v>
          </cell>
          <cell r="B3355" t="str">
            <v>MR</v>
          </cell>
          <cell r="C3355">
            <v>5.5</v>
          </cell>
          <cell r="D3355">
            <v>63</v>
          </cell>
          <cell r="E3355" t="str">
            <v>R87</v>
          </cell>
          <cell r="F3355">
            <v>840</v>
          </cell>
          <cell r="G3355">
            <v>23.4</v>
          </cell>
          <cell r="H3355">
            <v>1.85</v>
          </cell>
          <cell r="I3355" t="str">
            <v>From M1 to M4 - 10°</v>
          </cell>
          <cell r="J3355" t="str">
            <v>IE3</v>
          </cell>
          <cell r="K3355" t="str">
            <v>240/415</v>
          </cell>
          <cell r="L3355">
            <v>50</v>
          </cell>
          <cell r="M3355" t="str">
            <v>17,4/10,1</v>
          </cell>
          <cell r="N3355">
            <v>65</v>
          </cell>
          <cell r="O3355" t="str">
            <v>155(F)</v>
          </cell>
          <cell r="P3355" t="str">
            <v>270°</v>
          </cell>
          <cell r="Q3355" t="str">
            <v>-</v>
          </cell>
          <cell r="R3355" t="str">
            <v>-</v>
          </cell>
          <cell r="S3355" t="str">
            <v>-</v>
          </cell>
          <cell r="T3355" t="str">
            <v>-</v>
          </cell>
          <cell r="U3355" t="str">
            <v>-</v>
          </cell>
          <cell r="V3355" t="str">
            <v>D+R</v>
          </cell>
          <cell r="W3355" t="str">
            <v>-</v>
          </cell>
          <cell r="X3355" t="str">
            <v>CLP HC 220 (-25/+60°C)</v>
          </cell>
          <cell r="Y3355" t="str">
            <v>R87DRN132S4</v>
          </cell>
          <cell r="Z3355" t="str">
            <v>SEW</v>
          </cell>
          <cell r="AB3355" t="str">
            <v>-</v>
          </cell>
          <cell r="AD3355" t="str">
            <v>BIS</v>
          </cell>
          <cell r="AF3355">
            <v>63</v>
          </cell>
          <cell r="AG3355" t="str">
            <v>DRN132S4</v>
          </cell>
          <cell r="AH3355" t="str">
            <v>R87-DRN132S4270-X</v>
          </cell>
        </row>
        <row r="3356">
          <cell r="A3356" t="str">
            <v>MR003344</v>
          </cell>
          <cell r="B3356" t="str">
            <v>MR</v>
          </cell>
          <cell r="C3356">
            <v>22</v>
          </cell>
          <cell r="D3356">
            <v>78</v>
          </cell>
          <cell r="E3356" t="str">
            <v>KH97</v>
          </cell>
          <cell r="F3356">
            <v>2690</v>
          </cell>
          <cell r="G3356">
            <v>18.96</v>
          </cell>
          <cell r="H3356">
            <v>1.6</v>
          </cell>
          <cell r="I3356" t="str">
            <v>From M3A to M4A - 15°</v>
          </cell>
          <cell r="J3356" t="str">
            <v>IE3</v>
          </cell>
          <cell r="K3356" t="str">
            <v>240/415</v>
          </cell>
          <cell r="L3356">
            <v>50</v>
          </cell>
          <cell r="M3356" t="str">
            <v>64/37</v>
          </cell>
          <cell r="N3356">
            <v>65</v>
          </cell>
          <cell r="O3356" t="str">
            <v>155(F)</v>
          </cell>
          <cell r="P3356" t="str">
            <v>270°</v>
          </cell>
          <cell r="Q3356" t="str">
            <v>TF</v>
          </cell>
          <cell r="R3356" t="str">
            <v>V(VE)</v>
          </cell>
          <cell r="S3356" t="str">
            <v>Free rotation CCW</v>
          </cell>
          <cell r="T3356" t="str">
            <v>-</v>
          </cell>
          <cell r="U3356" t="str">
            <v>T</v>
          </cell>
          <cell r="V3356" t="str">
            <v>FC</v>
          </cell>
          <cell r="W3356" t="str">
            <v>-</v>
          </cell>
          <cell r="X3356" t="str">
            <v>CLP HC 220 (-25/+60°C)</v>
          </cell>
          <cell r="Y3356" t="str">
            <v>KH97/T DRN180L4 /RS /TF/V</v>
          </cell>
          <cell r="Z3356" t="str">
            <v>SEW</v>
          </cell>
          <cell r="AB3356" t="str">
            <v>-</v>
          </cell>
          <cell r="AD3356" t="str">
            <v>BIS</v>
          </cell>
          <cell r="AF3356">
            <v>78</v>
          </cell>
          <cell r="AG3356" t="str">
            <v>DRN180L4</v>
          </cell>
          <cell r="AH3356" t="str">
            <v>KH97T-DRN180L4A270-X#</v>
          </cell>
        </row>
        <row r="3357">
          <cell r="A3357" t="str">
            <v>MR003345</v>
          </cell>
          <cell r="B3357" t="str">
            <v>MR</v>
          </cell>
          <cell r="C3357">
            <v>0.75</v>
          </cell>
          <cell r="D3357">
            <v>162</v>
          </cell>
          <cell r="E3357" t="str">
            <v>KA37</v>
          </cell>
          <cell r="F3357">
            <v>44</v>
          </cell>
          <cell r="G3357">
            <v>8.91</v>
          </cell>
          <cell r="H3357">
            <v>3.1</v>
          </cell>
          <cell r="I3357" t="str">
            <v>From M3A to M4A - 15°</v>
          </cell>
          <cell r="J3357" t="str">
            <v>IE3</v>
          </cell>
          <cell r="K3357" t="str">
            <v>240/415</v>
          </cell>
          <cell r="L3357">
            <v>50</v>
          </cell>
          <cell r="M3357" t="str">
            <v>3,1/1,79</v>
          </cell>
          <cell r="N3357">
            <v>65</v>
          </cell>
          <cell r="O3357" t="str">
            <v>155(F)</v>
          </cell>
          <cell r="P3357" t="str">
            <v>270°</v>
          </cell>
          <cell r="Q3357" t="str">
            <v>-</v>
          </cell>
          <cell r="R3357" t="str">
            <v>-</v>
          </cell>
          <cell r="S3357" t="str">
            <v>-</v>
          </cell>
          <cell r="T3357" t="str">
            <v>-</v>
          </cell>
          <cell r="U3357" t="str">
            <v>T</v>
          </cell>
          <cell r="V3357" t="str">
            <v>D</v>
          </cell>
          <cell r="W3357" t="str">
            <v>-</v>
          </cell>
          <cell r="X3357" t="str">
            <v>CLP HC 220 (-25/+60°C)</v>
          </cell>
          <cell r="Y3357" t="str">
            <v>KA37/T DRN80M4</v>
          </cell>
          <cell r="Z3357" t="str">
            <v>SEW</v>
          </cell>
          <cell r="AB3357" t="str">
            <v>-</v>
          </cell>
          <cell r="AD3357" t="str">
            <v>BIS</v>
          </cell>
          <cell r="AF3357">
            <v>162</v>
          </cell>
          <cell r="AG3357" t="str">
            <v>DRN80M4</v>
          </cell>
          <cell r="AH3357" t="str">
            <v>KA37T-DRN80M4A270-X</v>
          </cell>
        </row>
        <row r="3358">
          <cell r="A3358" t="str">
            <v>MR003346</v>
          </cell>
          <cell r="B3358" t="str">
            <v>MR</v>
          </cell>
          <cell r="C3358">
            <v>9.1999999999999993</v>
          </cell>
          <cell r="D3358">
            <v>13.3</v>
          </cell>
          <cell r="E3358" t="str">
            <v>KH107</v>
          </cell>
          <cell r="F3358">
            <v>5560</v>
          </cell>
          <cell r="G3358">
            <v>112.41</v>
          </cell>
          <cell r="H3358">
            <v>1.45</v>
          </cell>
          <cell r="I3358" t="str">
            <v>From M1A to M2A - 30°</v>
          </cell>
          <cell r="J3358" t="str">
            <v>IE3</v>
          </cell>
          <cell r="K3358" t="str">
            <v>277/480</v>
          </cell>
          <cell r="L3358">
            <v>60</v>
          </cell>
          <cell r="M3358" t="str">
            <v>27,5/15,8</v>
          </cell>
          <cell r="N3358">
            <v>65</v>
          </cell>
          <cell r="O3358" t="str">
            <v>155(F)</v>
          </cell>
          <cell r="P3358" t="str">
            <v>270°</v>
          </cell>
          <cell r="Q3358" t="str">
            <v>TF</v>
          </cell>
          <cell r="R3358" t="str">
            <v>-</v>
          </cell>
          <cell r="S3358" t="str">
            <v>-</v>
          </cell>
          <cell r="T3358" t="str">
            <v>-</v>
          </cell>
          <cell r="U3358" t="str">
            <v>-</v>
          </cell>
          <cell r="V3358" t="str">
            <v>SS</v>
          </cell>
          <cell r="W3358" t="str">
            <v>-</v>
          </cell>
          <cell r="X3358" t="str">
            <v>CLP 220 (-15/+40°C)</v>
          </cell>
          <cell r="Y3358" t="str">
            <v>KH107DRN132L4 /TF</v>
          </cell>
          <cell r="Z3358" t="str">
            <v>SEW</v>
          </cell>
          <cell r="AB3358" t="str">
            <v>-</v>
          </cell>
          <cell r="AD3358" t="str">
            <v>USA</v>
          </cell>
          <cell r="AF3358">
            <v>15.96</v>
          </cell>
          <cell r="AG3358" t="str">
            <v>DRN132L4</v>
          </cell>
          <cell r="AH3358" t="str">
            <v>KH107-DRN132L4A270-X</v>
          </cell>
        </row>
        <row r="3359">
          <cell r="A3359" t="str">
            <v>MR003347</v>
          </cell>
          <cell r="B3359" t="str">
            <v>MR</v>
          </cell>
          <cell r="C3359">
            <v>15</v>
          </cell>
          <cell r="D3359">
            <v>12.5</v>
          </cell>
          <cell r="E3359" t="str">
            <v>KH127</v>
          </cell>
          <cell r="F3359">
            <v>9870</v>
          </cell>
          <cell r="G3359">
            <v>122.48</v>
          </cell>
          <cell r="H3359">
            <v>1.3</v>
          </cell>
          <cell r="I3359" t="str">
            <v>From M1B to M4B - 40°</v>
          </cell>
          <cell r="J3359" t="str">
            <v>IE3</v>
          </cell>
          <cell r="K3359" t="str">
            <v>277/480</v>
          </cell>
          <cell r="L3359">
            <v>60</v>
          </cell>
          <cell r="M3359" t="str">
            <v>42/24</v>
          </cell>
          <cell r="N3359">
            <v>65</v>
          </cell>
          <cell r="O3359" t="str">
            <v>155(F)</v>
          </cell>
          <cell r="P3359" t="str">
            <v>270°</v>
          </cell>
          <cell r="Q3359" t="str">
            <v>TF</v>
          </cell>
          <cell r="R3359" t="str">
            <v>-</v>
          </cell>
          <cell r="S3359" t="str">
            <v>-</v>
          </cell>
          <cell r="T3359" t="str">
            <v>-</v>
          </cell>
          <cell r="U3359" t="str">
            <v>-</v>
          </cell>
          <cell r="V3359" t="str">
            <v>SS</v>
          </cell>
          <cell r="W3359" t="str">
            <v>-</v>
          </cell>
          <cell r="X3359" t="str">
            <v>CLP 220 (-15/+40°C)</v>
          </cell>
          <cell r="Y3359" t="str">
            <v>KH127DRN160L4 /TF</v>
          </cell>
          <cell r="Z3359" t="str">
            <v>SEW</v>
          </cell>
          <cell r="AB3359" t="str">
            <v>-</v>
          </cell>
          <cell r="AD3359" t="str">
            <v>USA</v>
          </cell>
          <cell r="AF3359">
            <v>15</v>
          </cell>
          <cell r="AG3359" t="str">
            <v>DRN160L4</v>
          </cell>
          <cell r="AH3359" t="str">
            <v>KH127-DRN160L4B270-X</v>
          </cell>
        </row>
        <row r="3360">
          <cell r="A3360" t="str">
            <v>MR003348</v>
          </cell>
          <cell r="B3360" t="str">
            <v>MR</v>
          </cell>
          <cell r="C3360">
            <v>1.5</v>
          </cell>
          <cell r="D3360">
            <v>18.3</v>
          </cell>
          <cell r="E3360" t="str">
            <v>FA67</v>
          </cell>
          <cell r="F3360">
            <v>645</v>
          </cell>
          <cell r="G3360">
            <v>79.760000000000005</v>
          </cell>
          <cell r="H3360">
            <v>1.25</v>
          </cell>
          <cell r="I3360" t="str">
            <v>From M3 to M6 - 40°</v>
          </cell>
          <cell r="J3360" t="str">
            <v>IE3</v>
          </cell>
          <cell r="K3360" t="str">
            <v>277/480</v>
          </cell>
          <cell r="L3360">
            <v>60</v>
          </cell>
          <cell r="M3360" t="str">
            <v>5/2,9</v>
          </cell>
          <cell r="N3360">
            <v>65</v>
          </cell>
          <cell r="O3360" t="str">
            <v>155(F)</v>
          </cell>
          <cell r="P3360" t="str">
            <v>270°</v>
          </cell>
          <cell r="Q3360" t="str">
            <v>TF</v>
          </cell>
          <cell r="R3360" t="str">
            <v>-</v>
          </cell>
          <cell r="S3360" t="str">
            <v>-</v>
          </cell>
          <cell r="T3360" t="str">
            <v>BEHF</v>
          </cell>
          <cell r="U3360" t="str">
            <v>G</v>
          </cell>
          <cell r="V3360" t="str">
            <v>D+R</v>
          </cell>
          <cell r="W3360" t="str">
            <v>-</v>
          </cell>
          <cell r="X3360" t="str">
            <v>CLP 220 (-15/+40°C)</v>
          </cell>
          <cell r="Y3360" t="str">
            <v>FA67/G DRN90L4 /BEHF /TF</v>
          </cell>
          <cell r="Z3360" t="str">
            <v>SEW</v>
          </cell>
          <cell r="AB3360" t="str">
            <v>-</v>
          </cell>
          <cell r="AD3360" t="str">
            <v>USA</v>
          </cell>
          <cell r="AF3360">
            <v>21.96</v>
          </cell>
          <cell r="AG3360" t="str">
            <v>DRN90L4</v>
          </cell>
          <cell r="AH3360" t="str">
            <v>FA67G-DRN90L4270-X</v>
          </cell>
        </row>
        <row r="3361">
          <cell r="A3361" t="str">
            <v>MR003349</v>
          </cell>
          <cell r="B3361" t="str">
            <v>MR</v>
          </cell>
          <cell r="C3361">
            <v>22</v>
          </cell>
          <cell r="D3361">
            <v>12.5</v>
          </cell>
          <cell r="E3361" t="str">
            <v>KH157</v>
          </cell>
          <cell r="F3361">
            <v>14400</v>
          </cell>
          <cell r="G3361">
            <v>122.39</v>
          </cell>
          <cell r="H3361">
            <v>1.4</v>
          </cell>
          <cell r="I3361" t="str">
            <v>From M1A to M2A - 10°</v>
          </cell>
          <cell r="J3361" t="str">
            <v>IE3</v>
          </cell>
          <cell r="K3361" t="str">
            <v>277/480</v>
          </cell>
          <cell r="L3361">
            <v>60</v>
          </cell>
          <cell r="M3361" t="str">
            <v>57/32,5</v>
          </cell>
          <cell r="N3361">
            <v>65</v>
          </cell>
          <cell r="O3361" t="str">
            <v>155(F)</v>
          </cell>
          <cell r="P3361" t="str">
            <v>270°</v>
          </cell>
          <cell r="Q3361" t="str">
            <v>TF</v>
          </cell>
          <cell r="R3361" t="str">
            <v>V(VE)</v>
          </cell>
          <cell r="S3361" t="str">
            <v>-</v>
          </cell>
          <cell r="T3361" t="str">
            <v>-</v>
          </cell>
          <cell r="U3361" t="str">
            <v>-</v>
          </cell>
          <cell r="V3361" t="str">
            <v>FC</v>
          </cell>
          <cell r="W3361" t="str">
            <v>-</v>
          </cell>
          <cell r="X3361" t="str">
            <v>CLP 220 (-15/+40°C)</v>
          </cell>
          <cell r="Y3361" t="str">
            <v>KH157DRN180L4 /TF/V</v>
          </cell>
          <cell r="Z3361" t="str">
            <v>SEW</v>
          </cell>
          <cell r="AB3361" t="str">
            <v>-</v>
          </cell>
          <cell r="AD3361" t="str">
            <v>USA</v>
          </cell>
          <cell r="AF3361">
            <v>15</v>
          </cell>
          <cell r="AG3361" t="str">
            <v>DRN180L4</v>
          </cell>
          <cell r="AH3361" t="str">
            <v>KH157-DRN180L4A270-X#</v>
          </cell>
        </row>
        <row r="3362">
          <cell r="A3362" t="str">
            <v>MR003350</v>
          </cell>
          <cell r="B3362" t="str">
            <v>MR</v>
          </cell>
          <cell r="C3362">
            <v>15</v>
          </cell>
          <cell r="D3362">
            <v>12.5</v>
          </cell>
          <cell r="E3362" t="str">
            <v>KH127</v>
          </cell>
          <cell r="F3362">
            <v>9870</v>
          </cell>
          <cell r="G3362">
            <v>122.48</v>
          </cell>
          <cell r="H3362">
            <v>1.3</v>
          </cell>
          <cell r="I3362" t="str">
            <v>From M1B to M2B - 5°</v>
          </cell>
          <cell r="J3362" t="str">
            <v>IE3</v>
          </cell>
          <cell r="K3362" t="str">
            <v>277/480</v>
          </cell>
          <cell r="L3362">
            <v>60</v>
          </cell>
          <cell r="M3362" t="str">
            <v>42/24</v>
          </cell>
          <cell r="N3362">
            <v>65</v>
          </cell>
          <cell r="O3362" t="str">
            <v>155(F)</v>
          </cell>
          <cell r="P3362" t="str">
            <v>270°</v>
          </cell>
          <cell r="Q3362" t="str">
            <v>TF</v>
          </cell>
          <cell r="R3362" t="str">
            <v>-</v>
          </cell>
          <cell r="S3362" t="str">
            <v>-</v>
          </cell>
          <cell r="T3362" t="str">
            <v>-</v>
          </cell>
          <cell r="U3362" t="str">
            <v>-</v>
          </cell>
          <cell r="V3362" t="str">
            <v>SS</v>
          </cell>
          <cell r="W3362" t="str">
            <v>-</v>
          </cell>
          <cell r="X3362" t="str">
            <v>CLP 220 (-15/+40°C)</v>
          </cell>
          <cell r="Y3362" t="str">
            <v>KH127DRN160L4 /TF</v>
          </cell>
          <cell r="Z3362" t="str">
            <v>SEW</v>
          </cell>
          <cell r="AB3362" t="str">
            <v>-</v>
          </cell>
          <cell r="AD3362" t="str">
            <v>USA</v>
          </cell>
          <cell r="AF3362">
            <v>15</v>
          </cell>
          <cell r="AG3362" t="str">
            <v>DRN160L4</v>
          </cell>
          <cell r="AH3362" t="str">
            <v>KH127-DRN160L4B270-X</v>
          </cell>
        </row>
        <row r="3363">
          <cell r="A3363" t="str">
            <v>MR003351</v>
          </cell>
          <cell r="B3363" t="str">
            <v>MR</v>
          </cell>
          <cell r="C3363">
            <v>7.5</v>
          </cell>
          <cell r="D3363">
            <v>12.5</v>
          </cell>
          <cell r="E3363" t="str">
            <v>KH107</v>
          </cell>
          <cell r="F3363">
            <v>4900</v>
          </cell>
          <cell r="G3363">
            <v>121.46</v>
          </cell>
          <cell r="H3363">
            <v>1.65</v>
          </cell>
          <cell r="I3363" t="str">
            <v>From M1A to M2A - 10°</v>
          </cell>
          <cell r="J3363" t="str">
            <v>IE3</v>
          </cell>
          <cell r="K3363" t="str">
            <v>277/480</v>
          </cell>
          <cell r="L3363">
            <v>60</v>
          </cell>
          <cell r="M3363" t="str">
            <v>22/12,7</v>
          </cell>
          <cell r="N3363">
            <v>65</v>
          </cell>
          <cell r="O3363" t="str">
            <v>155(F)</v>
          </cell>
          <cell r="P3363" t="str">
            <v>270°</v>
          </cell>
          <cell r="Q3363" t="str">
            <v>TF</v>
          </cell>
          <cell r="R3363" t="str">
            <v>-</v>
          </cell>
          <cell r="S3363" t="str">
            <v>-</v>
          </cell>
          <cell r="T3363" t="str">
            <v>-</v>
          </cell>
          <cell r="U3363" t="str">
            <v>-</v>
          </cell>
          <cell r="V3363" t="str">
            <v>SS</v>
          </cell>
          <cell r="W3363" t="str">
            <v>-</v>
          </cell>
          <cell r="X3363" t="str">
            <v>CLP 220 (-15/+40°C)</v>
          </cell>
          <cell r="Y3363" t="str">
            <v>KH107DRN132M4 /TF</v>
          </cell>
          <cell r="Z3363" t="str">
            <v>SEW</v>
          </cell>
          <cell r="AB3363" t="str">
            <v>-</v>
          </cell>
          <cell r="AD3363" t="str">
            <v>USA</v>
          </cell>
          <cell r="AF3363">
            <v>15</v>
          </cell>
          <cell r="AG3363" t="str">
            <v>DRN132M4</v>
          </cell>
          <cell r="AH3363" t="str">
            <v>KH107-DRN132M4A270-X</v>
          </cell>
        </row>
        <row r="3364">
          <cell r="A3364" t="str">
            <v>MR003352</v>
          </cell>
          <cell r="B3364" t="str">
            <v>MR</v>
          </cell>
          <cell r="C3364">
            <v>18.5</v>
          </cell>
          <cell r="D3364">
            <v>13.33</v>
          </cell>
          <cell r="E3364" t="str">
            <v>KH127</v>
          </cell>
          <cell r="F3364">
            <v>10900</v>
          </cell>
          <cell r="G3364">
            <v>110.18</v>
          </cell>
          <cell r="H3364">
            <v>1.2</v>
          </cell>
          <cell r="I3364" t="str">
            <v>From M1B to M2B - 15°</v>
          </cell>
          <cell r="J3364" t="str">
            <v>IE3</v>
          </cell>
          <cell r="K3364" t="str">
            <v>277/480</v>
          </cell>
          <cell r="L3364">
            <v>60</v>
          </cell>
          <cell r="M3364" t="str">
            <v>49/28,5</v>
          </cell>
          <cell r="N3364">
            <v>65</v>
          </cell>
          <cell r="O3364" t="str">
            <v>155(F)</v>
          </cell>
          <cell r="P3364" t="str">
            <v>270°</v>
          </cell>
          <cell r="Q3364" t="str">
            <v>TF</v>
          </cell>
          <cell r="R3364" t="str">
            <v>-</v>
          </cell>
          <cell r="S3364" t="str">
            <v>-</v>
          </cell>
          <cell r="T3364" t="str">
            <v>-</v>
          </cell>
          <cell r="U3364" t="str">
            <v>-</v>
          </cell>
          <cell r="V3364" t="str">
            <v>SS</v>
          </cell>
          <cell r="W3364" t="str">
            <v>-</v>
          </cell>
          <cell r="X3364" t="str">
            <v>CLP 220 (-15/+40°C)</v>
          </cell>
          <cell r="Y3364" t="str">
            <v>KH127DRN180M4 /TF</v>
          </cell>
          <cell r="Z3364" t="str">
            <v>SEW</v>
          </cell>
          <cell r="AB3364" t="str">
            <v>-</v>
          </cell>
          <cell r="AD3364" t="str">
            <v>USA</v>
          </cell>
          <cell r="AF3364">
            <v>15.995999999999999</v>
          </cell>
          <cell r="AG3364" t="str">
            <v>DRN180M4</v>
          </cell>
          <cell r="AH3364" t="str">
            <v>KH127-DRN180M4B270-X</v>
          </cell>
        </row>
        <row r="3365">
          <cell r="A3365" t="str">
            <v>MR003353</v>
          </cell>
          <cell r="B3365" t="str">
            <v>MR</v>
          </cell>
          <cell r="C3365">
            <v>9.1999999999999993</v>
          </cell>
          <cell r="D3365">
            <v>13.3</v>
          </cell>
          <cell r="E3365" t="str">
            <v>KH107</v>
          </cell>
          <cell r="F3365">
            <v>5560</v>
          </cell>
          <cell r="G3365">
            <v>112.41</v>
          </cell>
          <cell r="H3365">
            <v>1.45</v>
          </cell>
          <cell r="I3365" t="str">
            <v>From M1B to M2B - 10°</v>
          </cell>
          <cell r="J3365" t="str">
            <v>IE3</v>
          </cell>
          <cell r="K3365" t="str">
            <v>277/480</v>
          </cell>
          <cell r="L3365">
            <v>60</v>
          </cell>
          <cell r="M3365" t="str">
            <v>27,5/15,8</v>
          </cell>
          <cell r="N3365">
            <v>65</v>
          </cell>
          <cell r="O3365" t="str">
            <v>155(F)</v>
          </cell>
          <cell r="P3365" t="str">
            <v>270°</v>
          </cell>
          <cell r="Q3365" t="str">
            <v>TF</v>
          </cell>
          <cell r="R3365" t="str">
            <v>-</v>
          </cell>
          <cell r="S3365" t="str">
            <v>-</v>
          </cell>
          <cell r="T3365" t="str">
            <v>-</v>
          </cell>
          <cell r="U3365" t="str">
            <v>-</v>
          </cell>
          <cell r="V3365" t="str">
            <v>SS</v>
          </cell>
          <cell r="W3365" t="str">
            <v>-</v>
          </cell>
          <cell r="X3365" t="str">
            <v>CLP 220 (-15/+40°C)</v>
          </cell>
          <cell r="Y3365" t="str">
            <v>KH107DRN132L4 /TF</v>
          </cell>
          <cell r="Z3365" t="str">
            <v>SEW</v>
          </cell>
          <cell r="AB3365" t="str">
            <v>-</v>
          </cell>
          <cell r="AD3365" t="str">
            <v>USA</v>
          </cell>
          <cell r="AF3365">
            <v>15.96</v>
          </cell>
          <cell r="AG3365" t="str">
            <v>DRN132L4</v>
          </cell>
          <cell r="AH3365" t="str">
            <v>KH107-DRN132L4B270-X</v>
          </cell>
        </row>
        <row r="3366">
          <cell r="A3366" t="str">
            <v>MR003354</v>
          </cell>
          <cell r="B3366" t="str">
            <v>MR</v>
          </cell>
          <cell r="C3366">
            <v>18.5</v>
          </cell>
          <cell r="D3366">
            <v>12.5</v>
          </cell>
          <cell r="E3366" t="str">
            <v>KH157</v>
          </cell>
          <cell r="F3366">
            <v>12100</v>
          </cell>
          <cell r="G3366">
            <v>122.39</v>
          </cell>
          <cell r="H3366">
            <v>1.65</v>
          </cell>
          <cell r="I3366" t="str">
            <v>From M1B to M2B - 10°</v>
          </cell>
          <cell r="J3366" t="str">
            <v>IE3</v>
          </cell>
          <cell r="K3366" t="str">
            <v>277/480</v>
          </cell>
          <cell r="L3366">
            <v>60</v>
          </cell>
          <cell r="M3366" t="str">
            <v>49/28,5</v>
          </cell>
          <cell r="N3366">
            <v>65</v>
          </cell>
          <cell r="O3366" t="str">
            <v>155(F)</v>
          </cell>
          <cell r="P3366" t="str">
            <v>270°</v>
          </cell>
          <cell r="Q3366" t="str">
            <v>TF</v>
          </cell>
          <cell r="R3366" t="str">
            <v>V(VE)</v>
          </cell>
          <cell r="S3366" t="str">
            <v>-</v>
          </cell>
          <cell r="T3366" t="str">
            <v>-</v>
          </cell>
          <cell r="U3366" t="str">
            <v>-</v>
          </cell>
          <cell r="V3366" t="str">
            <v>FC</v>
          </cell>
          <cell r="W3366" t="str">
            <v>-</v>
          </cell>
          <cell r="X3366" t="str">
            <v>CLP 220 (-15/+40°C)</v>
          </cell>
          <cell r="Y3366" t="str">
            <v>KH157DRN180M4 /TF/V</v>
          </cell>
          <cell r="Z3366" t="str">
            <v>SEW</v>
          </cell>
          <cell r="AB3366" t="str">
            <v>-</v>
          </cell>
          <cell r="AD3366" t="str">
            <v>USA</v>
          </cell>
          <cell r="AF3366">
            <v>15</v>
          </cell>
          <cell r="AG3366" t="str">
            <v>DRN180M4</v>
          </cell>
          <cell r="AH3366" t="str">
            <v>KH157-DRN180M4B270-X#</v>
          </cell>
        </row>
        <row r="3367">
          <cell r="A3367" t="str">
            <v>MR003355</v>
          </cell>
          <cell r="B3367" t="str">
            <v>MR</v>
          </cell>
          <cell r="C3367">
            <v>15</v>
          </cell>
          <cell r="D3367">
            <v>12.5</v>
          </cell>
          <cell r="E3367" t="str">
            <v>KH127</v>
          </cell>
          <cell r="F3367">
            <v>9870</v>
          </cell>
          <cell r="G3367">
            <v>122.48</v>
          </cell>
          <cell r="H3367">
            <v>1.3</v>
          </cell>
          <cell r="I3367" t="str">
            <v>From M1B to M2B - 10°</v>
          </cell>
          <cell r="J3367" t="str">
            <v>IE3</v>
          </cell>
          <cell r="K3367" t="str">
            <v>277/480</v>
          </cell>
          <cell r="L3367">
            <v>60</v>
          </cell>
          <cell r="M3367" t="str">
            <v>42/24</v>
          </cell>
          <cell r="N3367">
            <v>65</v>
          </cell>
          <cell r="O3367" t="str">
            <v>155(F)</v>
          </cell>
          <cell r="P3367" t="str">
            <v>270°</v>
          </cell>
          <cell r="Q3367" t="str">
            <v>TF</v>
          </cell>
          <cell r="R3367" t="str">
            <v>-</v>
          </cell>
          <cell r="S3367" t="str">
            <v>-</v>
          </cell>
          <cell r="T3367" t="str">
            <v>-</v>
          </cell>
          <cell r="U3367" t="str">
            <v>-</v>
          </cell>
          <cell r="V3367" t="str">
            <v>SS</v>
          </cell>
          <cell r="W3367" t="str">
            <v>-</v>
          </cell>
          <cell r="X3367" t="str">
            <v>CLP 220 (-15/+40°C)</v>
          </cell>
          <cell r="Y3367" t="str">
            <v>KH127DRN160L4 /TF</v>
          </cell>
          <cell r="Z3367" t="str">
            <v>SEW</v>
          </cell>
          <cell r="AB3367" t="str">
            <v>-</v>
          </cell>
          <cell r="AD3367" t="str">
            <v>USA</v>
          </cell>
          <cell r="AF3367">
            <v>15</v>
          </cell>
          <cell r="AG3367" t="str">
            <v>DRN160L4</v>
          </cell>
          <cell r="AH3367" t="str">
            <v>KH127-DRN160L4B270-X</v>
          </cell>
        </row>
        <row r="3368">
          <cell r="A3368" t="str">
            <v>MR003356</v>
          </cell>
          <cell r="B3368" t="str">
            <v>MR</v>
          </cell>
          <cell r="C3368">
            <v>18.5</v>
          </cell>
          <cell r="D3368">
            <v>13.33</v>
          </cell>
          <cell r="E3368" t="str">
            <v>KH127</v>
          </cell>
          <cell r="F3368">
            <v>10900</v>
          </cell>
          <cell r="G3368">
            <v>110.18</v>
          </cell>
          <cell r="H3368">
            <v>1.2</v>
          </cell>
          <cell r="I3368" t="str">
            <v>M1B</v>
          </cell>
          <cell r="J3368" t="str">
            <v>IE3</v>
          </cell>
          <cell r="K3368" t="str">
            <v>277/480</v>
          </cell>
          <cell r="L3368">
            <v>60</v>
          </cell>
          <cell r="M3368" t="str">
            <v>49/28,5</v>
          </cell>
          <cell r="N3368">
            <v>65</v>
          </cell>
          <cell r="O3368" t="str">
            <v>155(F)</v>
          </cell>
          <cell r="P3368" t="str">
            <v>270°</v>
          </cell>
          <cell r="Q3368" t="str">
            <v>TF</v>
          </cell>
          <cell r="R3368" t="str">
            <v>-</v>
          </cell>
          <cell r="S3368" t="str">
            <v>-</v>
          </cell>
          <cell r="T3368" t="str">
            <v>-</v>
          </cell>
          <cell r="U3368" t="str">
            <v>-</v>
          </cell>
          <cell r="V3368" t="str">
            <v>SS</v>
          </cell>
          <cell r="W3368" t="str">
            <v>-</v>
          </cell>
          <cell r="X3368" t="str">
            <v>CLP 220 (-15/+40°C)</v>
          </cell>
          <cell r="Y3368" t="str">
            <v>KH127DRN180M4 /TF</v>
          </cell>
          <cell r="Z3368" t="str">
            <v>SEW</v>
          </cell>
          <cell r="AB3368" t="str">
            <v>-</v>
          </cell>
          <cell r="AD3368" t="str">
            <v>USA</v>
          </cell>
          <cell r="AF3368">
            <v>15.995999999999999</v>
          </cell>
          <cell r="AG3368" t="str">
            <v>DRN180M4</v>
          </cell>
          <cell r="AH3368" t="str">
            <v>KH127-DRN180M4B270-X</v>
          </cell>
        </row>
        <row r="3369">
          <cell r="A3369" t="str">
            <v>MR003357</v>
          </cell>
          <cell r="B3369" t="str">
            <v>MR</v>
          </cell>
          <cell r="C3369">
            <v>15</v>
          </cell>
          <cell r="D3369">
            <v>10</v>
          </cell>
          <cell r="E3369" t="str">
            <v>KH157</v>
          </cell>
          <cell r="F3369">
            <v>12100</v>
          </cell>
          <cell r="G3369">
            <v>150.41</v>
          </cell>
          <cell r="H3369">
            <v>1.65</v>
          </cell>
          <cell r="I3369" t="str">
            <v>M1A</v>
          </cell>
          <cell r="J3369" t="str">
            <v>IE3</v>
          </cell>
          <cell r="K3369" t="str">
            <v>277/480</v>
          </cell>
          <cell r="L3369">
            <v>60</v>
          </cell>
          <cell r="M3369" t="str">
            <v>42/24</v>
          </cell>
          <cell r="N3369">
            <v>65</v>
          </cell>
          <cell r="O3369" t="str">
            <v>155(F)</v>
          </cell>
          <cell r="P3369" t="str">
            <v>270°</v>
          </cell>
          <cell r="Q3369" t="str">
            <v>TF</v>
          </cell>
          <cell r="R3369" t="str">
            <v>-</v>
          </cell>
          <cell r="S3369" t="str">
            <v>-</v>
          </cell>
          <cell r="T3369" t="str">
            <v>-</v>
          </cell>
          <cell r="U3369" t="str">
            <v>-</v>
          </cell>
          <cell r="V3369" t="str">
            <v>SS</v>
          </cell>
          <cell r="W3369" t="str">
            <v>-</v>
          </cell>
          <cell r="X3369" t="str">
            <v>CLP 220 (-15/+40°C)</v>
          </cell>
          <cell r="Y3369" t="str">
            <v>KH157DRN160L4 /TF</v>
          </cell>
          <cell r="Z3369" t="str">
            <v>SEW</v>
          </cell>
          <cell r="AB3369" t="str">
            <v>-</v>
          </cell>
          <cell r="AD3369" t="str">
            <v>USA</v>
          </cell>
          <cell r="AF3369">
            <v>12</v>
          </cell>
          <cell r="AG3369" t="str">
            <v>DRN160L4</v>
          </cell>
          <cell r="AH3369" t="str">
            <v>KH157-DRN160L4A270-X</v>
          </cell>
        </row>
        <row r="3370">
          <cell r="A3370" t="str">
            <v>MR003358</v>
          </cell>
          <cell r="B3370" t="str">
            <v>MR</v>
          </cell>
          <cell r="C3370">
            <v>11</v>
          </cell>
          <cell r="D3370">
            <v>13.33</v>
          </cell>
          <cell r="E3370" t="str">
            <v>KH107</v>
          </cell>
          <cell r="F3370">
            <v>6640</v>
          </cell>
          <cell r="G3370">
            <v>112.41</v>
          </cell>
          <cell r="H3370">
            <v>1.2</v>
          </cell>
          <cell r="I3370" t="str">
            <v>M4B</v>
          </cell>
          <cell r="J3370" t="str">
            <v>IE3</v>
          </cell>
          <cell r="K3370" t="str">
            <v>277/480</v>
          </cell>
          <cell r="L3370">
            <v>60</v>
          </cell>
          <cell r="M3370" t="str">
            <v>30,5/17,7</v>
          </cell>
          <cell r="N3370">
            <v>65</v>
          </cell>
          <cell r="O3370" t="str">
            <v>155(F)</v>
          </cell>
          <cell r="P3370" t="str">
            <v>270°</v>
          </cell>
          <cell r="Q3370" t="str">
            <v>TF</v>
          </cell>
          <cell r="R3370" t="str">
            <v>-</v>
          </cell>
          <cell r="S3370" t="str">
            <v>-</v>
          </cell>
          <cell r="T3370" t="str">
            <v>-</v>
          </cell>
          <cell r="U3370" t="str">
            <v>-</v>
          </cell>
          <cell r="V3370" t="str">
            <v>SS</v>
          </cell>
          <cell r="W3370" t="str">
            <v>-</v>
          </cell>
          <cell r="X3370" t="str">
            <v>CLP 220 (-15/+40°C)</v>
          </cell>
          <cell r="Y3370" t="str">
            <v>KH107DRN160M4 /TF</v>
          </cell>
          <cell r="Z3370" t="str">
            <v>SEW</v>
          </cell>
          <cell r="AB3370" t="str">
            <v>-</v>
          </cell>
          <cell r="AD3370" t="str">
            <v>USA</v>
          </cell>
          <cell r="AF3370">
            <v>15.995999999999999</v>
          </cell>
          <cell r="AG3370" t="str">
            <v>DRN160M4</v>
          </cell>
          <cell r="AH3370" t="str">
            <v>KH107-DRN160M4B270-X</v>
          </cell>
        </row>
        <row r="3371">
          <cell r="A3371" t="str">
            <v>MR003359</v>
          </cell>
          <cell r="B3371" t="str">
            <v>MR</v>
          </cell>
          <cell r="C3371">
            <v>3</v>
          </cell>
          <cell r="D3371">
            <v>35</v>
          </cell>
          <cell r="E3371" t="str">
            <v>R87</v>
          </cell>
          <cell r="F3371">
            <v>820</v>
          </cell>
          <cell r="G3371">
            <v>41.74</v>
          </cell>
          <cell r="H3371">
            <v>1.9</v>
          </cell>
          <cell r="I3371" t="str">
            <v>M1</v>
          </cell>
          <cell r="J3371" t="str">
            <v>IE3</v>
          </cell>
          <cell r="K3371" t="str">
            <v>240/415</v>
          </cell>
          <cell r="L3371">
            <v>50</v>
          </cell>
          <cell r="M3371" t="str">
            <v>10,7/6,2</v>
          </cell>
          <cell r="N3371">
            <v>65</v>
          </cell>
          <cell r="O3371" t="str">
            <v>155(F)</v>
          </cell>
          <cell r="P3371" t="str">
            <v>270°</v>
          </cell>
          <cell r="Q3371" t="str">
            <v>TF</v>
          </cell>
          <cell r="R3371" t="str">
            <v>V(VE)</v>
          </cell>
          <cell r="S3371" t="str">
            <v>-</v>
          </cell>
          <cell r="T3371" t="str">
            <v>-</v>
          </cell>
          <cell r="U3371" t="str">
            <v>-</v>
          </cell>
          <cell r="V3371" t="str">
            <v>FC</v>
          </cell>
          <cell r="W3371" t="str">
            <v>-</v>
          </cell>
          <cell r="X3371" t="str">
            <v>CLP HC 220 (-25/+60°C)</v>
          </cell>
          <cell r="Y3371" t="str">
            <v>R87DRN100L4 /TF/V</v>
          </cell>
          <cell r="Z3371" t="str">
            <v>SEW</v>
          </cell>
          <cell r="AB3371" t="str">
            <v>-</v>
          </cell>
          <cell r="AD3371" t="str">
            <v>BIS</v>
          </cell>
          <cell r="AF3371">
            <v>35</v>
          </cell>
          <cell r="AG3371" t="str">
            <v>DRN100L4</v>
          </cell>
          <cell r="AH3371" t="str">
            <v>R87-DRN100L4270-X#</v>
          </cell>
        </row>
        <row r="3372">
          <cell r="A3372" t="str">
            <v>MR003360</v>
          </cell>
          <cell r="B3372" t="str">
            <v>MR</v>
          </cell>
          <cell r="C3372">
            <v>9.1999999999999993</v>
          </cell>
          <cell r="D3372">
            <v>68</v>
          </cell>
          <cell r="E3372" t="str">
            <v>R87</v>
          </cell>
          <cell r="F3372">
            <v>1280</v>
          </cell>
          <cell r="G3372">
            <v>21.51</v>
          </cell>
          <cell r="H3372">
            <v>1.1499999999999999</v>
          </cell>
          <cell r="I3372" t="str">
            <v>From M1 to M4 - 10°</v>
          </cell>
          <cell r="J3372" t="str">
            <v>IE3</v>
          </cell>
          <cell r="K3372" t="str">
            <v>240/415</v>
          </cell>
          <cell r="L3372">
            <v>50</v>
          </cell>
          <cell r="M3372" t="str">
            <v>31/18</v>
          </cell>
          <cell r="N3372">
            <v>65</v>
          </cell>
          <cell r="O3372" t="str">
            <v>155(F)</v>
          </cell>
          <cell r="P3372" t="str">
            <v>270°</v>
          </cell>
          <cell r="Q3372" t="str">
            <v>-</v>
          </cell>
          <cell r="R3372" t="str">
            <v>-</v>
          </cell>
          <cell r="S3372" t="str">
            <v>-</v>
          </cell>
          <cell r="T3372" t="str">
            <v>-</v>
          </cell>
          <cell r="U3372" t="str">
            <v>-</v>
          </cell>
          <cell r="V3372" t="str">
            <v>D+R</v>
          </cell>
          <cell r="W3372" t="str">
            <v>-</v>
          </cell>
          <cell r="X3372" t="str">
            <v>CLP HC 220 (-25/+60°C)</v>
          </cell>
          <cell r="Y3372" t="str">
            <v>R87DRN132L4</v>
          </cell>
          <cell r="Z3372" t="str">
            <v>SEW</v>
          </cell>
          <cell r="AB3372" t="str">
            <v>-</v>
          </cell>
          <cell r="AD3372" t="str">
            <v>BIS</v>
          </cell>
          <cell r="AF3372">
            <v>68</v>
          </cell>
          <cell r="AG3372" t="str">
            <v>DRN132L4</v>
          </cell>
          <cell r="AH3372" t="str">
            <v>R87-DRN132L4270-X</v>
          </cell>
        </row>
        <row r="3373">
          <cell r="A3373" t="str">
            <v>MR003361</v>
          </cell>
          <cell r="B3373" t="str">
            <v>MR</v>
          </cell>
          <cell r="C3373">
            <v>0.75</v>
          </cell>
          <cell r="D3373">
            <v>6.5</v>
          </cell>
          <cell r="E3373" t="str">
            <v>KA77R37</v>
          </cell>
          <cell r="F3373">
            <v>1000</v>
          </cell>
          <cell r="G3373">
            <v>221</v>
          </cell>
          <cell r="H3373">
            <v>1.55</v>
          </cell>
          <cell r="I3373" t="str">
            <v>M1B</v>
          </cell>
          <cell r="J3373" t="str">
            <v>IE3</v>
          </cell>
          <cell r="K3373" t="str">
            <v>230/400</v>
          </cell>
          <cell r="L3373">
            <v>50</v>
          </cell>
          <cell r="M3373" t="str">
            <v>3,05/1,75</v>
          </cell>
          <cell r="N3373">
            <v>55</v>
          </cell>
          <cell r="O3373" t="str">
            <v>155(F)</v>
          </cell>
          <cell r="P3373" t="str">
            <v>270°</v>
          </cell>
          <cell r="Q3373" t="str">
            <v>TF</v>
          </cell>
          <cell r="R3373" t="str">
            <v>-</v>
          </cell>
          <cell r="S3373" t="str">
            <v>-</v>
          </cell>
          <cell r="T3373" t="str">
            <v>BEHF</v>
          </cell>
          <cell r="U3373" t="str">
            <v>T</v>
          </cell>
          <cell r="V3373" t="str">
            <v>SS+R</v>
          </cell>
          <cell r="W3373" t="str">
            <v>-</v>
          </cell>
          <cell r="X3373" t="str">
            <v>CLP PG 220 (-25/+80°C)</v>
          </cell>
          <cell r="Y3373" t="str">
            <v>KA77R37/T EDRN80M4 /BEHF /TF</v>
          </cell>
          <cell r="Z3373" t="str">
            <v>SEW</v>
          </cell>
          <cell r="AB3373" t="str">
            <v>ATEX22</v>
          </cell>
          <cell r="AE3373" t="str">
            <v>Rectifier for brake in the terminal box</v>
          </cell>
          <cell r="AF3373">
            <v>6.5</v>
          </cell>
          <cell r="AG3373" t="str">
            <v>EDRN80M4</v>
          </cell>
          <cell r="AH3373" t="str">
            <v>KA77R37T-EDRN80M4B270-X</v>
          </cell>
        </row>
        <row r="3374">
          <cell r="A3374" t="str">
            <v>MR003362</v>
          </cell>
          <cell r="B3374" t="str">
            <v>MR</v>
          </cell>
          <cell r="C3374">
            <v>0.75</v>
          </cell>
          <cell r="D3374">
            <v>6.5</v>
          </cell>
          <cell r="E3374" t="str">
            <v>KA77R37</v>
          </cell>
          <cell r="F3374">
            <v>1000</v>
          </cell>
          <cell r="G3374">
            <v>221</v>
          </cell>
          <cell r="H3374">
            <v>1.55</v>
          </cell>
          <cell r="I3374" t="str">
            <v>M1A</v>
          </cell>
          <cell r="J3374" t="str">
            <v>IE3</v>
          </cell>
          <cell r="K3374" t="str">
            <v>230/400</v>
          </cell>
          <cell r="L3374">
            <v>50</v>
          </cell>
          <cell r="M3374" t="str">
            <v>3,05/1,75</v>
          </cell>
          <cell r="N3374">
            <v>55</v>
          </cell>
          <cell r="O3374" t="str">
            <v>155(F)</v>
          </cell>
          <cell r="P3374" t="str">
            <v>270°</v>
          </cell>
          <cell r="Q3374" t="str">
            <v>TF</v>
          </cell>
          <cell r="R3374" t="str">
            <v>-</v>
          </cell>
          <cell r="S3374" t="str">
            <v>-</v>
          </cell>
          <cell r="T3374" t="str">
            <v>BEHF</v>
          </cell>
          <cell r="U3374" t="str">
            <v>T</v>
          </cell>
          <cell r="V3374" t="str">
            <v>SS+R</v>
          </cell>
          <cell r="W3374" t="str">
            <v>-</v>
          </cell>
          <cell r="X3374" t="str">
            <v>CLP PG 220 (-25/+80°C)</v>
          </cell>
          <cell r="Y3374" t="str">
            <v>KA77R37/T EDRN80M4 /BEHF /TF</v>
          </cell>
          <cell r="Z3374" t="str">
            <v>SEW</v>
          </cell>
          <cell r="AB3374" t="str">
            <v>ATEX22</v>
          </cell>
          <cell r="AE3374" t="str">
            <v>Rectifier for brake in the terminal box</v>
          </cell>
          <cell r="AF3374">
            <v>6.5</v>
          </cell>
          <cell r="AG3374" t="str">
            <v>EDRN80M4</v>
          </cell>
          <cell r="AH3374" t="str">
            <v>KA77R37T-EDRN80M4A270-X</v>
          </cell>
        </row>
        <row r="3375">
          <cell r="A3375" t="str">
            <v>MR003363</v>
          </cell>
          <cell r="B3375" t="str">
            <v>MR</v>
          </cell>
          <cell r="C3375">
            <v>15</v>
          </cell>
          <cell r="D3375">
            <v>16</v>
          </cell>
          <cell r="E3375" t="str">
            <v>KH127</v>
          </cell>
          <cell r="F3375">
            <v>8730</v>
          </cell>
          <cell r="G3375">
            <v>89.89</v>
          </cell>
          <cell r="H3375">
            <v>1.5</v>
          </cell>
          <cell r="I3375" t="str">
            <v>M4A</v>
          </cell>
          <cell r="J3375" t="str">
            <v>IE3</v>
          </cell>
          <cell r="K3375" t="str">
            <v>230/400</v>
          </cell>
          <cell r="L3375">
            <v>50</v>
          </cell>
          <cell r="M3375" t="str">
            <v>50/29</v>
          </cell>
          <cell r="N3375">
            <v>55</v>
          </cell>
          <cell r="O3375" t="str">
            <v>155(F)</v>
          </cell>
          <cell r="P3375" t="str">
            <v>270°</v>
          </cell>
          <cell r="Q3375" t="str">
            <v>TF</v>
          </cell>
          <cell r="R3375" t="str">
            <v>V(VE)</v>
          </cell>
          <cell r="S3375" t="str">
            <v>-</v>
          </cell>
          <cell r="T3375" t="str">
            <v>-</v>
          </cell>
          <cell r="U3375" t="str">
            <v>-</v>
          </cell>
          <cell r="V3375" t="str">
            <v>FC</v>
          </cell>
          <cell r="W3375" t="str">
            <v>-</v>
          </cell>
          <cell r="X3375" t="str">
            <v>CLP 220 (-15/+40°C)</v>
          </cell>
          <cell r="Y3375" t="str">
            <v>KH127DRN160L4 /TF/V</v>
          </cell>
          <cell r="Z3375" t="str">
            <v>SEW</v>
          </cell>
          <cell r="AB3375" t="str">
            <v>-</v>
          </cell>
          <cell r="AF3375">
            <v>16</v>
          </cell>
          <cell r="AG3375" t="str">
            <v>DRN160L4</v>
          </cell>
          <cell r="AH3375" t="str">
            <v>KH127-DRN160L4A270-X#</v>
          </cell>
        </row>
        <row r="3376">
          <cell r="A3376" t="str">
            <v>MR003364</v>
          </cell>
          <cell r="B3376" t="str">
            <v>MR</v>
          </cell>
          <cell r="C3376">
            <v>11</v>
          </cell>
          <cell r="D3376">
            <v>45</v>
          </cell>
          <cell r="E3376" t="str">
            <v>FT97</v>
          </cell>
          <cell r="F3376">
            <v>2310</v>
          </cell>
          <cell r="G3376">
            <v>32.5</v>
          </cell>
          <cell r="H3376">
            <v>1.47</v>
          </cell>
          <cell r="I3376" t="str">
            <v>M1</v>
          </cell>
          <cell r="J3376" t="str">
            <v>IE3</v>
          </cell>
          <cell r="K3376" t="str">
            <v>400/690</v>
          </cell>
          <cell r="L3376">
            <v>50</v>
          </cell>
          <cell r="M3376" t="str">
            <v>21/12,2</v>
          </cell>
          <cell r="N3376">
            <v>65</v>
          </cell>
          <cell r="O3376" t="str">
            <v>155(F)</v>
          </cell>
          <cell r="P3376" t="str">
            <v>270°</v>
          </cell>
          <cell r="Q3376" t="str">
            <v>TF</v>
          </cell>
          <cell r="R3376" t="str">
            <v>-</v>
          </cell>
          <cell r="S3376" t="str">
            <v>-</v>
          </cell>
          <cell r="T3376" t="str">
            <v>-</v>
          </cell>
          <cell r="U3376" t="str">
            <v>G</v>
          </cell>
          <cell r="V3376" t="str">
            <v>D+R</v>
          </cell>
          <cell r="W3376" t="str">
            <v>-</v>
          </cell>
          <cell r="X3376" t="str">
            <v>CLP HC 150 (-30/+50°C)</v>
          </cell>
          <cell r="Y3376" t="str">
            <v>FT97/G EDRN160M4 /TF</v>
          </cell>
          <cell r="Z3376" t="str">
            <v>SEW</v>
          </cell>
          <cell r="AB3376" t="str">
            <v>ATEX22</v>
          </cell>
          <cell r="AF3376">
            <v>45</v>
          </cell>
          <cell r="AG3376" t="str">
            <v>EDRN160M4</v>
          </cell>
          <cell r="AH3376" t="str">
            <v>FT97G-EDRN160M4270-X</v>
          </cell>
        </row>
        <row r="3377">
          <cell r="A3377" t="str">
            <v>MR003365</v>
          </cell>
          <cell r="B3377" t="str">
            <v>MR</v>
          </cell>
          <cell r="C3377">
            <v>37</v>
          </cell>
          <cell r="D3377">
            <v>25</v>
          </cell>
          <cell r="E3377" t="str">
            <v>FT157</v>
          </cell>
          <cell r="F3377">
            <v>14360</v>
          </cell>
          <cell r="G3377">
            <v>60.25</v>
          </cell>
          <cell r="H3377">
            <v>1.39</v>
          </cell>
          <cell r="I3377" t="str">
            <v>From M1 to M4 - 10°</v>
          </cell>
          <cell r="J3377" t="str">
            <v>IE3</v>
          </cell>
          <cell r="K3377" t="str">
            <v>400/690</v>
          </cell>
          <cell r="L3377">
            <v>50</v>
          </cell>
          <cell r="M3377" t="str">
            <v>64/37</v>
          </cell>
          <cell r="N3377">
            <v>65</v>
          </cell>
          <cell r="O3377" t="str">
            <v>155(F)</v>
          </cell>
          <cell r="P3377" t="str">
            <v>270°</v>
          </cell>
          <cell r="Q3377" t="str">
            <v>TF</v>
          </cell>
          <cell r="R3377" t="str">
            <v>V(VE)</v>
          </cell>
          <cell r="S3377" t="str">
            <v>-</v>
          </cell>
          <cell r="T3377" t="str">
            <v>-</v>
          </cell>
          <cell r="U3377" t="str">
            <v>G</v>
          </cell>
          <cell r="V3377" t="str">
            <v>FC</v>
          </cell>
          <cell r="W3377" t="str">
            <v>-</v>
          </cell>
          <cell r="X3377" t="str">
            <v>CLP HC 150 (-30/+50°C)</v>
          </cell>
          <cell r="Y3377" t="str">
            <v>FT157/G EDRN225S4 /TF/VE</v>
          </cell>
          <cell r="Z3377" t="str">
            <v>SEW</v>
          </cell>
          <cell r="AB3377" t="str">
            <v>ATEX22</v>
          </cell>
          <cell r="AF3377">
            <v>25</v>
          </cell>
          <cell r="AG3377" t="str">
            <v>EDRN225S4</v>
          </cell>
          <cell r="AH3377" t="str">
            <v>FT157G-EDRN225S4270-X#</v>
          </cell>
        </row>
        <row r="3378">
          <cell r="A3378" t="str">
            <v>MR003366</v>
          </cell>
          <cell r="B3378" t="str">
            <v>MR</v>
          </cell>
          <cell r="C3378">
            <v>37</v>
          </cell>
          <cell r="D3378">
            <v>25</v>
          </cell>
          <cell r="E3378" t="str">
            <v>FT157</v>
          </cell>
          <cell r="F3378">
            <v>14360</v>
          </cell>
          <cell r="G3378">
            <v>60.25</v>
          </cell>
          <cell r="H3378">
            <v>1.39</v>
          </cell>
          <cell r="I3378" t="str">
            <v>From M1 to M2 - 10°</v>
          </cell>
          <cell r="J3378" t="str">
            <v>IE3</v>
          </cell>
          <cell r="K3378" t="str">
            <v>400/690</v>
          </cell>
          <cell r="L3378">
            <v>50</v>
          </cell>
          <cell r="M3378" t="str">
            <v>64/37</v>
          </cell>
          <cell r="N3378">
            <v>65</v>
          </cell>
          <cell r="O3378" t="str">
            <v>155(F)</v>
          </cell>
          <cell r="P3378" t="str">
            <v>270°</v>
          </cell>
          <cell r="Q3378" t="str">
            <v>TF</v>
          </cell>
          <cell r="R3378" t="str">
            <v>V(VE)</v>
          </cell>
          <cell r="S3378" t="str">
            <v>-</v>
          </cell>
          <cell r="T3378" t="str">
            <v>-</v>
          </cell>
          <cell r="U3378" t="str">
            <v>G</v>
          </cell>
          <cell r="V3378" t="str">
            <v>FC</v>
          </cell>
          <cell r="W3378" t="str">
            <v>-</v>
          </cell>
          <cell r="X3378" t="str">
            <v>CLP HC 150 (-30/+50°C)</v>
          </cell>
          <cell r="Y3378" t="str">
            <v>FT157/G EDRN225S4 /TF/VE</v>
          </cell>
          <cell r="Z3378" t="str">
            <v>SEW</v>
          </cell>
          <cell r="AB3378" t="str">
            <v>ATEX22</v>
          </cell>
          <cell r="AF3378">
            <v>25</v>
          </cell>
          <cell r="AG3378" t="str">
            <v>EDRN225S4</v>
          </cell>
          <cell r="AH3378" t="str">
            <v>FT157G-EDRN225S4270-X#</v>
          </cell>
        </row>
        <row r="3379">
          <cell r="A3379" t="str">
            <v>MR003367</v>
          </cell>
          <cell r="B3379" t="str">
            <v>MR</v>
          </cell>
          <cell r="C3379">
            <v>22</v>
          </cell>
          <cell r="D3379">
            <v>46</v>
          </cell>
          <cell r="E3379" t="str">
            <v>FT107</v>
          </cell>
          <cell r="F3379">
            <v>4520</v>
          </cell>
          <cell r="G3379">
            <v>31.8</v>
          </cell>
          <cell r="H3379">
            <v>1.59</v>
          </cell>
          <cell r="I3379" t="str">
            <v>M1</v>
          </cell>
          <cell r="J3379" t="str">
            <v>IE3</v>
          </cell>
          <cell r="K3379" t="str">
            <v>400/690</v>
          </cell>
          <cell r="L3379">
            <v>50</v>
          </cell>
          <cell r="M3379" t="str">
            <v>38,5/22,5</v>
          </cell>
          <cell r="N3379">
            <v>65</v>
          </cell>
          <cell r="O3379" t="str">
            <v>155(F)</v>
          </cell>
          <cell r="P3379" t="str">
            <v>270°</v>
          </cell>
          <cell r="Q3379" t="str">
            <v>TF</v>
          </cell>
          <cell r="R3379" t="str">
            <v>-</v>
          </cell>
          <cell r="S3379" t="str">
            <v>-</v>
          </cell>
          <cell r="T3379" t="str">
            <v>-</v>
          </cell>
          <cell r="U3379" t="str">
            <v>G</v>
          </cell>
          <cell r="V3379" t="str">
            <v>D+R</v>
          </cell>
          <cell r="W3379" t="str">
            <v>-</v>
          </cell>
          <cell r="X3379" t="str">
            <v>CLP HC 150 (-30/+50°C)</v>
          </cell>
          <cell r="Y3379" t="str">
            <v>FT107/G EDRN180L4 /TF</v>
          </cell>
          <cell r="Z3379" t="str">
            <v>SEW</v>
          </cell>
          <cell r="AB3379" t="str">
            <v>ATEX22</v>
          </cell>
          <cell r="AF3379">
            <v>46</v>
          </cell>
          <cell r="AG3379" t="str">
            <v>EDRN180L4</v>
          </cell>
          <cell r="AH3379" t="str">
            <v>FT107G-EDRN180L4270-X</v>
          </cell>
        </row>
        <row r="3380">
          <cell r="A3380" t="str">
            <v>MR003368</v>
          </cell>
          <cell r="B3380" t="str">
            <v>MR</v>
          </cell>
          <cell r="C3380">
            <v>9.1999999999999993</v>
          </cell>
          <cell r="D3380">
            <v>13</v>
          </cell>
          <cell r="E3380" t="str">
            <v>KT107</v>
          </cell>
          <cell r="F3380">
            <v>6710</v>
          </cell>
          <cell r="G3380">
            <v>112.41</v>
          </cell>
          <cell r="H3380">
            <v>1.1399999999999999</v>
          </cell>
          <cell r="I3380" t="str">
            <v>M1B</v>
          </cell>
          <cell r="J3380" t="str">
            <v>IE3</v>
          </cell>
          <cell r="K3380" t="str">
            <v>400/690</v>
          </cell>
          <cell r="L3380">
            <v>50</v>
          </cell>
          <cell r="M3380" t="str">
            <v>18,7/10,8</v>
          </cell>
          <cell r="N3380">
            <v>65</v>
          </cell>
          <cell r="O3380" t="str">
            <v>155(F)</v>
          </cell>
          <cell r="P3380" t="str">
            <v>270°</v>
          </cell>
          <cell r="Q3380" t="str">
            <v>TF</v>
          </cell>
          <cell r="R3380" t="str">
            <v>-</v>
          </cell>
          <cell r="S3380" t="str">
            <v>-</v>
          </cell>
          <cell r="T3380" t="str">
            <v>-</v>
          </cell>
          <cell r="U3380" t="str">
            <v>-</v>
          </cell>
          <cell r="V3380" t="str">
            <v>SS</v>
          </cell>
          <cell r="W3380" t="str">
            <v>-</v>
          </cell>
          <cell r="X3380" t="str">
            <v>CLP HC 150 (-30/+50°C)</v>
          </cell>
          <cell r="Y3380" t="str">
            <v>KT107EDRN132L4 /TF</v>
          </cell>
          <cell r="Z3380" t="str">
            <v>SEW</v>
          </cell>
          <cell r="AB3380" t="str">
            <v>ATEX22</v>
          </cell>
          <cell r="AF3380">
            <v>13</v>
          </cell>
          <cell r="AG3380" t="str">
            <v>EDRN132L4</v>
          </cell>
          <cell r="AH3380" t="str">
            <v>KT107-EDRN132L4B270-X</v>
          </cell>
        </row>
        <row r="3381">
          <cell r="A3381" t="str">
            <v>MR003369</v>
          </cell>
          <cell r="B3381" t="str">
            <v>MR</v>
          </cell>
          <cell r="C3381">
            <v>15</v>
          </cell>
          <cell r="D3381">
            <v>16</v>
          </cell>
          <cell r="E3381" t="str">
            <v>KH127</v>
          </cell>
          <cell r="F3381">
            <v>8730</v>
          </cell>
          <cell r="G3381">
            <v>89.89</v>
          </cell>
          <cell r="H3381">
            <v>1.5</v>
          </cell>
          <cell r="I3381" t="str">
            <v>M4B</v>
          </cell>
          <cell r="J3381" t="str">
            <v>IE3</v>
          </cell>
          <cell r="K3381" t="str">
            <v>230/400</v>
          </cell>
          <cell r="L3381">
            <v>50</v>
          </cell>
          <cell r="M3381" t="str">
            <v>50/29</v>
          </cell>
          <cell r="N3381">
            <v>55</v>
          </cell>
          <cell r="O3381" t="str">
            <v>155(F)</v>
          </cell>
          <cell r="P3381" t="str">
            <v>270°</v>
          </cell>
          <cell r="Q3381" t="str">
            <v>TF</v>
          </cell>
          <cell r="R3381" t="str">
            <v>V(VE)</v>
          </cell>
          <cell r="S3381" t="str">
            <v>-</v>
          </cell>
          <cell r="T3381" t="str">
            <v>-</v>
          </cell>
          <cell r="U3381" t="str">
            <v>-</v>
          </cell>
          <cell r="V3381" t="str">
            <v>FC</v>
          </cell>
          <cell r="W3381" t="str">
            <v>-</v>
          </cell>
          <cell r="X3381" t="str">
            <v>CLP 220 (-15/+40°C)</v>
          </cell>
          <cell r="Y3381" t="str">
            <v>KH127DRN160L4 /TF/V</v>
          </cell>
          <cell r="Z3381" t="str">
            <v>SEW</v>
          </cell>
          <cell r="AB3381" t="str">
            <v>-</v>
          </cell>
          <cell r="AF3381">
            <v>16</v>
          </cell>
          <cell r="AG3381" t="str">
            <v>DRN160L4</v>
          </cell>
          <cell r="AH3381" t="str">
            <v>KH127-DRN160L4B270-X#</v>
          </cell>
        </row>
        <row r="3382">
          <cell r="A3382" t="str">
            <v>MR003370</v>
          </cell>
          <cell r="B3382" t="str">
            <v>ME</v>
          </cell>
          <cell r="C3382">
            <v>37</v>
          </cell>
          <cell r="D3382">
            <v>1478</v>
          </cell>
          <cell r="E3382" t="str">
            <v>1CV3220B</v>
          </cell>
          <cell r="F3382">
            <v>240</v>
          </cell>
          <cell r="I3382" t="str">
            <v>V1/B5</v>
          </cell>
          <cell r="J3382" t="str">
            <v>IE3</v>
          </cell>
          <cell r="K3382" t="str">
            <v>400/690</v>
          </cell>
          <cell r="L3382">
            <v>50</v>
          </cell>
          <cell r="M3382" t="str">
            <v>66/38,5</v>
          </cell>
          <cell r="N3382">
            <v>55</v>
          </cell>
          <cell r="O3382" t="str">
            <v>155(F)</v>
          </cell>
          <cell r="Q3382" t="str">
            <v>-</v>
          </cell>
          <cell r="R3382" t="str">
            <v>-</v>
          </cell>
          <cell r="S3382" t="str">
            <v>-</v>
          </cell>
          <cell r="T3382" t="str">
            <v>-</v>
          </cell>
          <cell r="U3382" t="str">
            <v>-</v>
          </cell>
          <cell r="V3382" t="str">
            <v>D</v>
          </cell>
          <cell r="W3382" t="str">
            <v>-</v>
          </cell>
          <cell r="X3382" t="str">
            <v>-</v>
          </cell>
          <cell r="Y3382" t="str">
            <v>1LE1503-2BB03-4GB4-Z +H20</v>
          </cell>
          <cell r="Z3382" t="str">
            <v>SIEMENS</v>
          </cell>
          <cell r="AB3382" t="str">
            <v>-</v>
          </cell>
          <cell r="AE3382" t="str">
            <v>IP65, ok per +45°C</v>
          </cell>
          <cell r="AF3382">
            <v>1478</v>
          </cell>
          <cell r="AH3382" t="str">
            <v>1CV3220B-B-X</v>
          </cell>
        </row>
        <row r="3383">
          <cell r="A3383" t="str">
            <v>MR003371</v>
          </cell>
          <cell r="B3383" t="str">
            <v>MR</v>
          </cell>
          <cell r="C3383">
            <v>7.5</v>
          </cell>
          <cell r="D3383">
            <v>57</v>
          </cell>
          <cell r="E3383" t="str">
            <v>KH77</v>
          </cell>
          <cell r="F3383">
            <v>1240</v>
          </cell>
          <cell r="G3383">
            <v>25.62</v>
          </cell>
          <cell r="H3383">
            <v>1.25</v>
          </cell>
          <cell r="I3383" t="str">
            <v>M4B</v>
          </cell>
          <cell r="J3383" t="str">
            <v>IE3</v>
          </cell>
          <cell r="K3383" t="str">
            <v>400/690</v>
          </cell>
          <cell r="L3383">
            <v>50</v>
          </cell>
          <cell r="M3383" t="str">
            <v>15,2/8,8</v>
          </cell>
          <cell r="N3383">
            <v>55</v>
          </cell>
          <cell r="O3383" t="str">
            <v>155(F)</v>
          </cell>
          <cell r="P3383" t="str">
            <v>270°</v>
          </cell>
          <cell r="Q3383" t="str">
            <v>-</v>
          </cell>
          <cell r="R3383" t="str">
            <v>-</v>
          </cell>
          <cell r="S3383" t="str">
            <v>Free rotation CW</v>
          </cell>
          <cell r="T3383" t="str">
            <v>-</v>
          </cell>
          <cell r="U3383" t="str">
            <v>T</v>
          </cell>
          <cell r="V3383" t="str">
            <v>SS</v>
          </cell>
          <cell r="W3383" t="str">
            <v>-</v>
          </cell>
          <cell r="X3383" t="str">
            <v>CLP HC VG 220 = -20° + 60°</v>
          </cell>
          <cell r="Y3383" t="str">
            <v>KH77/T DRN132M4 /RS</v>
          </cell>
          <cell r="Z3383" t="str">
            <v>SEW</v>
          </cell>
          <cell r="AB3383" t="str">
            <v>-</v>
          </cell>
          <cell r="AF3383">
            <v>57</v>
          </cell>
          <cell r="AG3383" t="str">
            <v>DRN132M4</v>
          </cell>
          <cell r="AH3383" t="str">
            <v>KH77T-DRN132M4B270-X</v>
          </cell>
        </row>
        <row r="3384">
          <cell r="A3384" t="str">
            <v>MR003372</v>
          </cell>
          <cell r="B3384" t="str">
            <v>MR</v>
          </cell>
          <cell r="C3384">
            <v>7.5</v>
          </cell>
          <cell r="D3384">
            <v>59</v>
          </cell>
          <cell r="E3384" t="str">
            <v>-</v>
          </cell>
          <cell r="N3384" t="str">
            <v>-</v>
          </cell>
          <cell r="O3384" t="str">
            <v>-</v>
          </cell>
          <cell r="P3384" t="str">
            <v>-</v>
          </cell>
          <cell r="Q3384" t="str">
            <v>-</v>
          </cell>
          <cell r="R3384" t="str">
            <v>-</v>
          </cell>
          <cell r="S3384" t="str">
            <v>-</v>
          </cell>
          <cell r="T3384" t="str">
            <v>-</v>
          </cell>
          <cell r="U3384" t="str">
            <v>-</v>
          </cell>
          <cell r="V3384" t="str">
            <v>-</v>
          </cell>
          <cell r="W3384" t="str">
            <v>-</v>
          </cell>
          <cell r="X3384" t="str">
            <v>(if ATEX, synthetic only!)</v>
          </cell>
          <cell r="Y3384" t="str">
            <v>-DRN132M4</v>
          </cell>
          <cell r="AB3384" t="str">
            <v>-</v>
          </cell>
          <cell r="AF3384">
            <v>0</v>
          </cell>
          <cell r="AG3384" t="str">
            <v>DRN132M4</v>
          </cell>
          <cell r="AH3384" t="str">
            <v>--DRN132M4--X</v>
          </cell>
        </row>
        <row r="3385">
          <cell r="A3385" t="str">
            <v>MR003373</v>
          </cell>
          <cell r="B3385" t="str">
            <v>MR</v>
          </cell>
          <cell r="C3385">
            <v>11</v>
          </cell>
          <cell r="D3385">
            <v>15</v>
          </cell>
          <cell r="E3385" t="str">
            <v>KH107</v>
          </cell>
          <cell r="F3385">
            <v>7180</v>
          </cell>
          <cell r="G3385" t="str">
            <v>100,75</v>
          </cell>
          <cell r="H3385" t="str">
            <v>1,05</v>
          </cell>
          <cell r="I3385" t="str">
            <v>From M1A to M2A - 25°</v>
          </cell>
          <cell r="J3385" t="str">
            <v>IE3</v>
          </cell>
          <cell r="K3385" t="str">
            <v>230/400</v>
          </cell>
          <cell r="L3385">
            <v>50</v>
          </cell>
          <cell r="M3385" t="str">
            <v>37/21,5</v>
          </cell>
          <cell r="N3385">
            <v>65</v>
          </cell>
          <cell r="O3385" t="str">
            <v>155(F)</v>
          </cell>
          <cell r="P3385" t="str">
            <v>180°</v>
          </cell>
          <cell r="Q3385" t="str">
            <v>TF</v>
          </cell>
          <cell r="R3385" t="str">
            <v>V(VE)</v>
          </cell>
          <cell r="S3385" t="str">
            <v>-</v>
          </cell>
          <cell r="T3385" t="str">
            <v>-</v>
          </cell>
          <cell r="U3385" t="str">
            <v>-</v>
          </cell>
          <cell r="V3385" t="str">
            <v>FC</v>
          </cell>
          <cell r="W3385" t="str">
            <v>YES</v>
          </cell>
          <cell r="X3385" t="str">
            <v>CLP PG VG 220 = -20° + 80°</v>
          </cell>
          <cell r="Y3385" t="str">
            <v>KH107EDRN160M4 /TF/VE</v>
          </cell>
          <cell r="Z3385" t="str">
            <v>SEW</v>
          </cell>
          <cell r="AB3385" t="str">
            <v>ATEX22</v>
          </cell>
          <cell r="AF3385">
            <v>15</v>
          </cell>
          <cell r="AG3385" t="str">
            <v>EDRN160M4</v>
          </cell>
          <cell r="AH3385" t="str">
            <v>KH107-EDRN160M4A180-X#</v>
          </cell>
        </row>
        <row r="3386">
          <cell r="A3386" t="str">
            <v>MR003374</v>
          </cell>
          <cell r="B3386" t="str">
            <v>MR</v>
          </cell>
          <cell r="C3386">
            <v>11</v>
          </cell>
          <cell r="D3386">
            <v>15</v>
          </cell>
          <cell r="E3386" t="str">
            <v>KH107</v>
          </cell>
          <cell r="F3386">
            <v>7180</v>
          </cell>
          <cell r="G3386" t="str">
            <v>100,75</v>
          </cell>
          <cell r="H3386" t="str">
            <v>1,05</v>
          </cell>
          <cell r="I3386" t="str">
            <v>From M1B to M2B - 25°</v>
          </cell>
          <cell r="J3386" t="str">
            <v>IE3</v>
          </cell>
          <cell r="K3386" t="str">
            <v>230/400</v>
          </cell>
          <cell r="L3386">
            <v>50</v>
          </cell>
          <cell r="M3386" t="str">
            <v>37/21,5</v>
          </cell>
          <cell r="N3386">
            <v>65</v>
          </cell>
          <cell r="O3386" t="str">
            <v>155(F)</v>
          </cell>
          <cell r="P3386" t="str">
            <v>0°</v>
          </cell>
          <cell r="Q3386" t="str">
            <v>TF</v>
          </cell>
          <cell r="R3386" t="str">
            <v>V(VE)</v>
          </cell>
          <cell r="S3386" t="str">
            <v>-</v>
          </cell>
          <cell r="T3386" t="str">
            <v>-</v>
          </cell>
          <cell r="U3386" t="str">
            <v>-</v>
          </cell>
          <cell r="V3386" t="str">
            <v>FC</v>
          </cell>
          <cell r="W3386" t="str">
            <v>YES</v>
          </cell>
          <cell r="X3386" t="str">
            <v>CLP PG VG 220 = -20° + 80°</v>
          </cell>
          <cell r="Y3386" t="str">
            <v>KH107EDRN160M4 /TF/VE</v>
          </cell>
          <cell r="Z3386" t="str">
            <v>SEW</v>
          </cell>
          <cell r="AB3386" t="str">
            <v>ATEX22</v>
          </cell>
          <cell r="AF3386">
            <v>15</v>
          </cell>
          <cell r="AG3386" t="str">
            <v>EDRN160M4</v>
          </cell>
          <cell r="AH3386" t="str">
            <v>KH107-EDRN160M4B0-X#</v>
          </cell>
        </row>
        <row r="3387">
          <cell r="A3387" t="str">
            <v>MR003375</v>
          </cell>
          <cell r="B3387" t="str">
            <v>MR</v>
          </cell>
          <cell r="C3387">
            <v>22</v>
          </cell>
          <cell r="D3387">
            <v>12</v>
          </cell>
          <cell r="E3387" t="str">
            <v>KH157</v>
          </cell>
          <cell r="F3387">
            <v>17400</v>
          </cell>
          <cell r="G3387" t="str">
            <v>122,39</v>
          </cell>
          <cell r="H3387" t="str">
            <v>1,15</v>
          </cell>
          <cell r="I3387" t="str">
            <v>From M1A to M2A - 25°</v>
          </cell>
          <cell r="J3387" t="str">
            <v>IE3</v>
          </cell>
          <cell r="K3387" t="str">
            <v>230/400</v>
          </cell>
          <cell r="L3387">
            <v>50</v>
          </cell>
          <cell r="M3387" t="str">
            <v>70/40,5</v>
          </cell>
          <cell r="N3387">
            <v>65</v>
          </cell>
          <cell r="O3387" t="str">
            <v>155(F)</v>
          </cell>
          <cell r="P3387" t="str">
            <v>180°</v>
          </cell>
          <cell r="Q3387" t="str">
            <v>TF</v>
          </cell>
          <cell r="R3387" t="str">
            <v>V(VE)</v>
          </cell>
          <cell r="S3387" t="str">
            <v>-</v>
          </cell>
          <cell r="T3387" t="str">
            <v>-</v>
          </cell>
          <cell r="U3387" t="str">
            <v>-</v>
          </cell>
          <cell r="V3387" t="str">
            <v>FC</v>
          </cell>
          <cell r="W3387" t="str">
            <v>YES</v>
          </cell>
          <cell r="X3387" t="str">
            <v>CLP PG VG 220 = -20° + 80°</v>
          </cell>
          <cell r="Y3387" t="str">
            <v>KH157EDRN180L4 /TF/VE</v>
          </cell>
          <cell r="Z3387" t="str">
            <v>SEW</v>
          </cell>
          <cell r="AB3387" t="str">
            <v>ATEX22</v>
          </cell>
          <cell r="AF3387">
            <v>12</v>
          </cell>
          <cell r="AG3387" t="str">
            <v>EDRN180L4</v>
          </cell>
          <cell r="AH3387" t="str">
            <v>KH157-EDRN180L4A180-X#</v>
          </cell>
        </row>
        <row r="3388">
          <cell r="A3388" t="str">
            <v>MR003376</v>
          </cell>
          <cell r="B3388" t="str">
            <v>MR</v>
          </cell>
          <cell r="C3388">
            <v>22</v>
          </cell>
          <cell r="D3388">
            <v>12</v>
          </cell>
          <cell r="E3388" t="str">
            <v>KH157</v>
          </cell>
          <cell r="F3388">
            <v>17400</v>
          </cell>
          <cell r="G3388" t="str">
            <v>122,39</v>
          </cell>
          <cell r="H3388" t="str">
            <v>1,15</v>
          </cell>
          <cell r="I3388" t="str">
            <v>From M1B to M2B - 25°</v>
          </cell>
          <cell r="J3388" t="str">
            <v>IE3</v>
          </cell>
          <cell r="K3388" t="str">
            <v>230/400</v>
          </cell>
          <cell r="L3388">
            <v>50</v>
          </cell>
          <cell r="M3388" t="str">
            <v>70/40,5</v>
          </cell>
          <cell r="N3388">
            <v>65</v>
          </cell>
          <cell r="O3388" t="str">
            <v>155(F)</v>
          </cell>
          <cell r="P3388" t="str">
            <v>0°</v>
          </cell>
          <cell r="Q3388" t="str">
            <v>TF</v>
          </cell>
          <cell r="R3388" t="str">
            <v>V(VE)</v>
          </cell>
          <cell r="S3388" t="str">
            <v>-</v>
          </cell>
          <cell r="T3388" t="str">
            <v>-</v>
          </cell>
          <cell r="U3388" t="str">
            <v>-</v>
          </cell>
          <cell r="V3388" t="str">
            <v>FC</v>
          </cell>
          <cell r="W3388" t="str">
            <v>YES</v>
          </cell>
          <cell r="X3388" t="str">
            <v>CLP PG VG 220 = -20° + 80°</v>
          </cell>
          <cell r="Y3388" t="str">
            <v>KH157EDRN180L4 /TF/VE</v>
          </cell>
          <cell r="Z3388" t="str">
            <v>SEW</v>
          </cell>
          <cell r="AB3388" t="str">
            <v>ATEX22</v>
          </cell>
          <cell r="AF3388">
            <v>12</v>
          </cell>
          <cell r="AG3388" t="str">
            <v>EDRN180L4</v>
          </cell>
          <cell r="AH3388" t="str">
            <v>KH157-EDRN180L4B0-X#</v>
          </cell>
        </row>
        <row r="3389">
          <cell r="A3389" t="str">
            <v>MR003377</v>
          </cell>
          <cell r="B3389" t="str">
            <v>MR</v>
          </cell>
          <cell r="C3389">
            <v>7.5</v>
          </cell>
          <cell r="D3389">
            <v>62</v>
          </cell>
          <cell r="E3389" t="str">
            <v>FH87</v>
          </cell>
          <cell r="F3389">
            <v>1160</v>
          </cell>
          <cell r="G3389" t="str">
            <v>23,68</v>
          </cell>
          <cell r="H3389" t="str">
            <v>2,3</v>
          </cell>
          <cell r="I3389" t="str">
            <v>M1</v>
          </cell>
          <cell r="J3389" t="str">
            <v>IE3</v>
          </cell>
          <cell r="K3389" t="str">
            <v>400/690</v>
          </cell>
          <cell r="L3389">
            <v>50</v>
          </cell>
          <cell r="M3389" t="str">
            <v>15,7/9</v>
          </cell>
          <cell r="N3389">
            <v>65</v>
          </cell>
          <cell r="O3389" t="str">
            <v>155(F)</v>
          </cell>
          <cell r="P3389" t="str">
            <v>270°</v>
          </cell>
          <cell r="Q3389" t="str">
            <v>-</v>
          </cell>
          <cell r="R3389" t="str">
            <v>-</v>
          </cell>
          <cell r="S3389" t="str">
            <v>-</v>
          </cell>
          <cell r="T3389" t="str">
            <v>-</v>
          </cell>
          <cell r="U3389" t="str">
            <v>G</v>
          </cell>
          <cell r="V3389" t="str">
            <v>D+R</v>
          </cell>
          <cell r="W3389" t="str">
            <v>YES</v>
          </cell>
          <cell r="X3389" t="str">
            <v>CLP PG VG 220 = -20° + 80°</v>
          </cell>
          <cell r="Y3389" t="str">
            <v>FH87/G EDRN132M4</v>
          </cell>
          <cell r="Z3389" t="str">
            <v>SEW</v>
          </cell>
          <cell r="AB3389" t="str">
            <v>ATEX22</v>
          </cell>
          <cell r="AF3389">
            <v>62</v>
          </cell>
          <cell r="AG3389" t="str">
            <v>EDRN132M4</v>
          </cell>
          <cell r="AH3389" t="str">
            <v>FH87G-EDRN132M4270-X</v>
          </cell>
        </row>
        <row r="3390">
          <cell r="A3390" t="str">
            <v>MR003378</v>
          </cell>
          <cell r="B3390" t="str">
            <v>MR</v>
          </cell>
          <cell r="C3390">
            <v>22</v>
          </cell>
          <cell r="D3390">
            <v>47</v>
          </cell>
          <cell r="E3390" t="str">
            <v>FH127</v>
          </cell>
          <cell r="F3390">
            <v>4460</v>
          </cell>
          <cell r="G3390" t="str">
            <v>31,33</v>
          </cell>
          <cell r="H3390" t="str">
            <v>2,2</v>
          </cell>
          <cell r="I3390" t="str">
            <v>From M1 to M2 - 5°</v>
          </cell>
          <cell r="J3390" t="str">
            <v>IE3</v>
          </cell>
          <cell r="K3390" t="str">
            <v>400/690</v>
          </cell>
          <cell r="L3390">
            <v>50</v>
          </cell>
          <cell r="M3390" t="str">
            <v>40,5/23,5</v>
          </cell>
          <cell r="N3390">
            <v>65</v>
          </cell>
          <cell r="O3390" t="str">
            <v>155(F)</v>
          </cell>
          <cell r="P3390" t="str">
            <v>270°</v>
          </cell>
          <cell r="Q3390" t="str">
            <v>-</v>
          </cell>
          <cell r="R3390" t="str">
            <v>-</v>
          </cell>
          <cell r="S3390" t="str">
            <v>-</v>
          </cell>
          <cell r="T3390" t="str">
            <v>-</v>
          </cell>
          <cell r="U3390" t="str">
            <v>G</v>
          </cell>
          <cell r="V3390" t="str">
            <v>D</v>
          </cell>
          <cell r="W3390" t="str">
            <v>YES</v>
          </cell>
          <cell r="X3390" t="str">
            <v>CLP PG VG 220 = -20° + 80°</v>
          </cell>
          <cell r="Y3390" t="str">
            <v>FH127/G EDRN180L4</v>
          </cell>
          <cell r="Z3390" t="str">
            <v>SEW</v>
          </cell>
          <cell r="AB3390" t="str">
            <v>ATEX22</v>
          </cell>
          <cell r="AF3390">
            <v>47</v>
          </cell>
          <cell r="AG3390" t="str">
            <v>EDRN180L4</v>
          </cell>
          <cell r="AH3390" t="str">
            <v>FH127G-EDRN180L4270-X</v>
          </cell>
        </row>
        <row r="3391">
          <cell r="A3391" t="str">
            <v>MR003379</v>
          </cell>
          <cell r="B3391" t="str">
            <v>MR</v>
          </cell>
          <cell r="C3391">
            <v>1.5</v>
          </cell>
          <cell r="D3391">
            <v>22</v>
          </cell>
          <cell r="E3391" t="str">
            <v>FA67</v>
          </cell>
          <cell r="F3391">
            <v>665</v>
          </cell>
          <cell r="G3391" t="str">
            <v>67,65</v>
          </cell>
          <cell r="H3391" t="str">
            <v>1,15</v>
          </cell>
          <cell r="I3391" t="str">
            <v>From M5 to M3 - 5°</v>
          </cell>
          <cell r="J3391" t="str">
            <v>IE3</v>
          </cell>
          <cell r="K3391" t="str">
            <v>230/400</v>
          </cell>
          <cell r="L3391">
            <v>50</v>
          </cell>
          <cell r="M3391" t="str">
            <v>6,1/3,5</v>
          </cell>
          <cell r="N3391">
            <v>65</v>
          </cell>
          <cell r="O3391" t="str">
            <v>155(F)</v>
          </cell>
          <cell r="P3391" t="str">
            <v>180°</v>
          </cell>
          <cell r="Q3391" t="str">
            <v>TF</v>
          </cell>
          <cell r="R3391" t="str">
            <v>-</v>
          </cell>
          <cell r="S3391" t="str">
            <v>-</v>
          </cell>
          <cell r="T3391" t="str">
            <v>BEHF</v>
          </cell>
          <cell r="U3391" t="str">
            <v>G</v>
          </cell>
          <cell r="V3391" t="str">
            <v>D+R</v>
          </cell>
          <cell r="W3391" t="str">
            <v>YES</v>
          </cell>
          <cell r="X3391" t="str">
            <v>CLP PG VG 220 = -20° + 80°</v>
          </cell>
          <cell r="Y3391" t="str">
            <v>FA67/G EDRN90L4 /BEHF /TF</v>
          </cell>
          <cell r="Z3391" t="str">
            <v>SEW</v>
          </cell>
          <cell r="AB3391" t="str">
            <v>ATEX22</v>
          </cell>
          <cell r="AE3391" t="str">
            <v>Rectifier for brake in the terminal box</v>
          </cell>
          <cell r="AF3391">
            <v>22</v>
          </cell>
          <cell r="AG3391" t="str">
            <v>EDRN90L4</v>
          </cell>
          <cell r="AH3391" t="str">
            <v>FA67G-EDRN90L4180-X</v>
          </cell>
        </row>
        <row r="3392">
          <cell r="A3392" t="str">
            <v>MR003380</v>
          </cell>
          <cell r="B3392" t="str">
            <v>MR</v>
          </cell>
          <cell r="C3392">
            <v>15</v>
          </cell>
          <cell r="D3392">
            <v>15</v>
          </cell>
          <cell r="E3392" t="str">
            <v>FH127</v>
          </cell>
          <cell r="F3392">
            <v>9610</v>
          </cell>
          <cell r="G3392">
            <v>98.95</v>
          </cell>
          <cell r="H3392">
            <v>1.25</v>
          </cell>
          <cell r="I3392" t="str">
            <v>M1</v>
          </cell>
          <cell r="J3392" t="str">
            <v>IE3</v>
          </cell>
          <cell r="K3392" t="str">
            <v>230/400</v>
          </cell>
          <cell r="L3392">
            <v>50</v>
          </cell>
          <cell r="M3392" t="str">
            <v>50/29</v>
          </cell>
          <cell r="N3392">
            <v>65</v>
          </cell>
          <cell r="O3392" t="str">
            <v>155(F)</v>
          </cell>
          <cell r="P3392" t="str">
            <v>270°</v>
          </cell>
          <cell r="Q3392" t="str">
            <v>TF</v>
          </cell>
          <cell r="R3392" t="str">
            <v>V(VE)</v>
          </cell>
          <cell r="S3392" t="str">
            <v>-</v>
          </cell>
          <cell r="T3392" t="str">
            <v>-</v>
          </cell>
          <cell r="U3392" t="str">
            <v>G</v>
          </cell>
          <cell r="V3392" t="str">
            <v>FC</v>
          </cell>
          <cell r="W3392" t="str">
            <v>-</v>
          </cell>
          <cell r="X3392" t="str">
            <v>CLP VG 220 = -15° + 40°</v>
          </cell>
          <cell r="Y3392" t="str">
            <v>FH127/G DRN160L4 /TF/V</v>
          </cell>
          <cell r="Z3392" t="str">
            <v>SEW</v>
          </cell>
          <cell r="AB3392" t="str">
            <v>-</v>
          </cell>
          <cell r="AF3392">
            <v>15</v>
          </cell>
          <cell r="AG3392" t="str">
            <v>DRN160L4</v>
          </cell>
          <cell r="AH3392" t="str">
            <v>FH127G-DRN160L4270-X#</v>
          </cell>
        </row>
        <row r="3393">
          <cell r="A3393" t="str">
            <v>MR003381</v>
          </cell>
          <cell r="B3393" t="str">
            <v>MR</v>
          </cell>
          <cell r="C3393">
            <v>7.5</v>
          </cell>
          <cell r="D3393">
            <v>62</v>
          </cell>
          <cell r="E3393" t="str">
            <v>FH87</v>
          </cell>
          <cell r="F3393">
            <v>1150</v>
          </cell>
          <cell r="G3393">
            <v>23.68</v>
          </cell>
          <cell r="H3393">
            <v>2.6</v>
          </cell>
          <cell r="I3393" t="str">
            <v>M1</v>
          </cell>
          <cell r="J3393" t="str">
            <v>IE3</v>
          </cell>
          <cell r="K3393" t="str">
            <v>230/400</v>
          </cell>
          <cell r="L3393">
            <v>50</v>
          </cell>
          <cell r="M3393" t="str">
            <v>26,5/15,2</v>
          </cell>
          <cell r="N3393">
            <v>65</v>
          </cell>
          <cell r="O3393" t="str">
            <v>155(F)</v>
          </cell>
          <cell r="P3393" t="str">
            <v>270°</v>
          </cell>
          <cell r="Q3393" t="str">
            <v>TF</v>
          </cell>
          <cell r="R3393" t="str">
            <v>-</v>
          </cell>
          <cell r="S3393" t="str">
            <v>-</v>
          </cell>
          <cell r="T3393" t="str">
            <v>-</v>
          </cell>
          <cell r="U3393" t="str">
            <v>G</v>
          </cell>
          <cell r="V3393" t="str">
            <v>D</v>
          </cell>
          <cell r="W3393" t="str">
            <v>-</v>
          </cell>
          <cell r="X3393" t="str">
            <v>CLP VG 220 = -15° + 40°</v>
          </cell>
          <cell r="Y3393" t="str">
            <v>FH87/G DRN132M4 /TF</v>
          </cell>
          <cell r="Z3393" t="str">
            <v>SEW</v>
          </cell>
          <cell r="AB3393" t="str">
            <v>-</v>
          </cell>
          <cell r="AF3393">
            <v>62</v>
          </cell>
          <cell r="AG3393" t="str">
            <v>DRN132M4</v>
          </cell>
          <cell r="AH3393" t="str">
            <v>FH87G-DRN132M4270-X</v>
          </cell>
        </row>
        <row r="3394">
          <cell r="A3394" t="str">
            <v>MR003382</v>
          </cell>
          <cell r="B3394" t="str">
            <v>MR</v>
          </cell>
          <cell r="C3394">
            <v>5.5</v>
          </cell>
          <cell r="D3394">
            <v>69</v>
          </cell>
          <cell r="E3394" t="str">
            <v>FH87</v>
          </cell>
          <cell r="F3394">
            <v>765</v>
          </cell>
          <cell r="G3394">
            <v>21.32</v>
          </cell>
          <cell r="H3394">
            <v>3.9</v>
          </cell>
          <cell r="I3394" t="str">
            <v>M1</v>
          </cell>
          <cell r="J3394" t="str">
            <v>IE3</v>
          </cell>
          <cell r="K3394" t="str">
            <v>230/400</v>
          </cell>
          <cell r="L3394">
            <v>50</v>
          </cell>
          <cell r="M3394" t="str">
            <v>18,2/10,5</v>
          </cell>
          <cell r="N3394">
            <v>65</v>
          </cell>
          <cell r="O3394" t="str">
            <v>155(F)</v>
          </cell>
          <cell r="P3394" t="str">
            <v>270°</v>
          </cell>
          <cell r="Q3394" t="str">
            <v>TF</v>
          </cell>
          <cell r="R3394" t="str">
            <v>-</v>
          </cell>
          <cell r="S3394" t="str">
            <v>-</v>
          </cell>
          <cell r="T3394" t="str">
            <v>-</v>
          </cell>
          <cell r="U3394" t="str">
            <v>G</v>
          </cell>
          <cell r="V3394" t="str">
            <v>D</v>
          </cell>
          <cell r="W3394" t="str">
            <v>-</v>
          </cell>
          <cell r="X3394" t="str">
            <v>CLP VG 220 = -15° + 40°</v>
          </cell>
          <cell r="Y3394" t="str">
            <v>FH87/G DRN132S4 /TF</v>
          </cell>
          <cell r="Z3394" t="str">
            <v>SEW</v>
          </cell>
          <cell r="AB3394" t="str">
            <v>-</v>
          </cell>
          <cell r="AF3394">
            <v>69</v>
          </cell>
          <cell r="AG3394" t="str">
            <v>DRN132S4</v>
          </cell>
          <cell r="AH3394" t="str">
            <v>FH87G-DRN132S4270-X</v>
          </cell>
        </row>
        <row r="3395">
          <cell r="A3395" t="str">
            <v>MR003383</v>
          </cell>
          <cell r="B3395" t="str">
            <v>MR</v>
          </cell>
          <cell r="C3395">
            <v>3</v>
          </cell>
          <cell r="D3395">
            <v>57</v>
          </cell>
          <cell r="E3395" t="str">
            <v>FH77</v>
          </cell>
          <cell r="F3395">
            <v>500</v>
          </cell>
          <cell r="G3395">
            <v>25.5</v>
          </cell>
          <cell r="H3395">
            <v>3</v>
          </cell>
          <cell r="I3395" t="str">
            <v>M1</v>
          </cell>
          <cell r="J3395" t="str">
            <v>IE3</v>
          </cell>
          <cell r="K3395" t="str">
            <v>230/400</v>
          </cell>
          <cell r="L3395">
            <v>50</v>
          </cell>
          <cell r="M3395" t="str">
            <v>11,2/6,4</v>
          </cell>
          <cell r="N3395">
            <v>65</v>
          </cell>
          <cell r="O3395" t="str">
            <v>155(F)</v>
          </cell>
          <cell r="P3395" t="str">
            <v>270°</v>
          </cell>
          <cell r="Q3395" t="str">
            <v>TF</v>
          </cell>
          <cell r="R3395" t="str">
            <v>-</v>
          </cell>
          <cell r="S3395" t="str">
            <v>-</v>
          </cell>
          <cell r="T3395" t="str">
            <v>-</v>
          </cell>
          <cell r="U3395" t="str">
            <v>G</v>
          </cell>
          <cell r="V3395" t="str">
            <v>D</v>
          </cell>
          <cell r="W3395" t="str">
            <v>-</v>
          </cell>
          <cell r="X3395" t="str">
            <v>CLP VG 220 = -15° + 40°</v>
          </cell>
          <cell r="Y3395" t="str">
            <v>FH77/G DRN100L4 /TF</v>
          </cell>
          <cell r="Z3395" t="str">
            <v>SEW</v>
          </cell>
          <cell r="AB3395" t="str">
            <v>-</v>
          </cell>
          <cell r="AF3395">
            <v>57</v>
          </cell>
          <cell r="AG3395" t="str">
            <v>DRN100L4</v>
          </cell>
          <cell r="AH3395" t="str">
            <v>FH77G-DRN100L4270-X</v>
          </cell>
        </row>
        <row r="3396">
          <cell r="A3396" t="str">
            <v>MR003384</v>
          </cell>
          <cell r="B3396" t="str">
            <v>MR</v>
          </cell>
          <cell r="C3396">
            <v>18.5</v>
          </cell>
          <cell r="D3396">
            <v>44</v>
          </cell>
          <cell r="E3396" t="str">
            <v>FH107</v>
          </cell>
          <cell r="F3396">
            <v>4030</v>
          </cell>
          <cell r="G3396">
            <v>33.79</v>
          </cell>
          <cell r="H3396">
            <v>1.65</v>
          </cell>
          <cell r="I3396" t="str">
            <v>M1</v>
          </cell>
          <cell r="J3396" t="str">
            <v>IE3</v>
          </cell>
          <cell r="K3396" t="str">
            <v>230/400</v>
          </cell>
          <cell r="L3396">
            <v>50</v>
          </cell>
          <cell r="M3396" t="str">
            <v>58/33,5</v>
          </cell>
          <cell r="N3396">
            <v>65</v>
          </cell>
          <cell r="O3396" t="str">
            <v>155(F)</v>
          </cell>
          <cell r="P3396" t="str">
            <v>270°</v>
          </cell>
          <cell r="Q3396" t="str">
            <v>TF</v>
          </cell>
          <cell r="R3396" t="str">
            <v>-</v>
          </cell>
          <cell r="S3396" t="str">
            <v>-</v>
          </cell>
          <cell r="T3396" t="str">
            <v>-</v>
          </cell>
          <cell r="U3396" t="str">
            <v>G</v>
          </cell>
          <cell r="V3396" t="str">
            <v>D</v>
          </cell>
          <cell r="W3396" t="str">
            <v>-</v>
          </cell>
          <cell r="X3396" t="str">
            <v>CLP VG 220 = -15° + 40°</v>
          </cell>
          <cell r="Y3396" t="str">
            <v>FH107/G DRN180M4 /TF</v>
          </cell>
          <cell r="Z3396" t="str">
            <v>SEW</v>
          </cell>
          <cell r="AB3396" t="str">
            <v>-</v>
          </cell>
          <cell r="AF3396">
            <v>44</v>
          </cell>
          <cell r="AG3396" t="str">
            <v>DRN180M4</v>
          </cell>
          <cell r="AH3396" t="str">
            <v>FH107G-DRN180M4270-X</v>
          </cell>
        </row>
        <row r="3397">
          <cell r="A3397" t="str">
            <v>MR003385</v>
          </cell>
          <cell r="B3397" t="str">
            <v>MR</v>
          </cell>
          <cell r="C3397">
            <v>15</v>
          </cell>
          <cell r="D3397">
            <v>39</v>
          </cell>
          <cell r="E3397" t="str">
            <v>FH107</v>
          </cell>
          <cell r="F3397">
            <v>3650</v>
          </cell>
          <cell r="G3397">
            <v>37.61</v>
          </cell>
          <cell r="H3397">
            <v>2.1</v>
          </cell>
          <cell r="I3397" t="str">
            <v>M1</v>
          </cell>
          <cell r="J3397" t="str">
            <v>IE3</v>
          </cell>
          <cell r="K3397" t="str">
            <v>230/400</v>
          </cell>
          <cell r="L3397">
            <v>50</v>
          </cell>
          <cell r="M3397" t="str">
            <v>50/29</v>
          </cell>
          <cell r="N3397">
            <v>65</v>
          </cell>
          <cell r="O3397" t="str">
            <v>155(F)</v>
          </cell>
          <cell r="P3397" t="str">
            <v>270°</v>
          </cell>
          <cell r="Q3397" t="str">
            <v>TF</v>
          </cell>
          <cell r="R3397" t="str">
            <v>-</v>
          </cell>
          <cell r="S3397" t="str">
            <v>-</v>
          </cell>
          <cell r="T3397" t="str">
            <v>-</v>
          </cell>
          <cell r="U3397" t="str">
            <v>G</v>
          </cell>
          <cell r="V3397" t="str">
            <v>D</v>
          </cell>
          <cell r="W3397" t="str">
            <v>-</v>
          </cell>
          <cell r="X3397" t="str">
            <v>CLP VG 220 = -15° + 40°</v>
          </cell>
          <cell r="Y3397" t="str">
            <v>FH107/G DRN160L4 /TF</v>
          </cell>
          <cell r="Z3397" t="str">
            <v>SEW</v>
          </cell>
          <cell r="AB3397" t="str">
            <v>-</v>
          </cell>
          <cell r="AF3397">
            <v>39</v>
          </cell>
          <cell r="AG3397" t="str">
            <v>DRN160L4</v>
          </cell>
          <cell r="AH3397" t="str">
            <v>FH107G-DRN160L4270-X</v>
          </cell>
        </row>
        <row r="3398">
          <cell r="A3398" t="str">
            <v>MR003386</v>
          </cell>
          <cell r="B3398" t="str">
            <v>MR</v>
          </cell>
          <cell r="C3398">
            <v>18.5</v>
          </cell>
          <cell r="D3398">
            <v>12</v>
          </cell>
          <cell r="E3398" t="str">
            <v>KH157</v>
          </cell>
          <cell r="F3398">
            <v>14600</v>
          </cell>
          <cell r="G3398" t="str">
            <v>122,39</v>
          </cell>
          <cell r="H3398" t="str">
            <v>1,35</v>
          </cell>
          <cell r="I3398" t="str">
            <v>M1A</v>
          </cell>
          <cell r="J3398" t="str">
            <v>IE3</v>
          </cell>
          <cell r="K3398" t="str">
            <v>230/400</v>
          </cell>
          <cell r="L3398">
            <v>50</v>
          </cell>
          <cell r="M3398" t="str">
            <v>61/35</v>
          </cell>
          <cell r="N3398">
            <v>65</v>
          </cell>
          <cell r="O3398" t="str">
            <v>155(F)</v>
          </cell>
          <cell r="P3398" t="str">
            <v>180°</v>
          </cell>
          <cell r="Q3398" t="str">
            <v>TF</v>
          </cell>
          <cell r="R3398" t="str">
            <v>V(VE)</v>
          </cell>
          <cell r="S3398" t="str">
            <v>-</v>
          </cell>
          <cell r="T3398" t="str">
            <v>-</v>
          </cell>
          <cell r="U3398" t="str">
            <v>-</v>
          </cell>
          <cell r="V3398" t="str">
            <v>FC</v>
          </cell>
          <cell r="W3398" t="str">
            <v>YES</v>
          </cell>
          <cell r="X3398" t="str">
            <v>CLP PG VG 220 = -20° + 80°</v>
          </cell>
          <cell r="Y3398" t="str">
            <v>KH157EDRN180M4 /TF/VE</v>
          </cell>
          <cell r="Z3398" t="str">
            <v>SEW</v>
          </cell>
          <cell r="AB3398" t="str">
            <v>ATEX22</v>
          </cell>
          <cell r="AF3398">
            <v>12</v>
          </cell>
          <cell r="AG3398" t="str">
            <v>EDRN180M4</v>
          </cell>
          <cell r="AH3398" t="str">
            <v>KH157-EDRN180M4A180-X#</v>
          </cell>
        </row>
        <row r="3399">
          <cell r="A3399" t="str">
            <v>MR003387</v>
          </cell>
          <cell r="B3399" t="str">
            <v>MR</v>
          </cell>
          <cell r="C3399">
            <v>18.5</v>
          </cell>
          <cell r="D3399">
            <v>12</v>
          </cell>
          <cell r="E3399" t="str">
            <v>KH157</v>
          </cell>
          <cell r="F3399">
            <v>14600</v>
          </cell>
          <cell r="G3399" t="str">
            <v>122,39</v>
          </cell>
          <cell r="H3399" t="str">
            <v>1,35</v>
          </cell>
          <cell r="I3399" t="str">
            <v>M1B</v>
          </cell>
          <cell r="J3399" t="str">
            <v>IE3</v>
          </cell>
          <cell r="K3399" t="str">
            <v>230/400</v>
          </cell>
          <cell r="L3399">
            <v>50</v>
          </cell>
          <cell r="M3399" t="str">
            <v>61/35</v>
          </cell>
          <cell r="N3399">
            <v>65</v>
          </cell>
          <cell r="O3399" t="str">
            <v>155(F)</v>
          </cell>
          <cell r="P3399" t="str">
            <v>0°</v>
          </cell>
          <cell r="Q3399" t="str">
            <v>TF</v>
          </cell>
          <cell r="R3399" t="str">
            <v>V(VE)</v>
          </cell>
          <cell r="S3399" t="str">
            <v>-</v>
          </cell>
          <cell r="T3399" t="str">
            <v>-</v>
          </cell>
          <cell r="U3399" t="str">
            <v>-</v>
          </cell>
          <cell r="V3399" t="str">
            <v>FC</v>
          </cell>
          <cell r="W3399" t="str">
            <v>YES</v>
          </cell>
          <cell r="X3399" t="str">
            <v>CLP PG VG 220 = -20° + 80°</v>
          </cell>
          <cell r="Y3399" t="str">
            <v>KH157EDRN180M4 /TF/VE</v>
          </cell>
          <cell r="Z3399" t="str">
            <v>SEW</v>
          </cell>
          <cell r="AB3399" t="str">
            <v>ATEX22</v>
          </cell>
          <cell r="AF3399">
            <v>12</v>
          </cell>
          <cell r="AG3399" t="str">
            <v>EDRN180M4</v>
          </cell>
          <cell r="AH3399" t="str">
            <v>KH157-EDRN180M4B0-X#</v>
          </cell>
        </row>
        <row r="3400">
          <cell r="A3400" t="str">
            <v>MR003388</v>
          </cell>
          <cell r="B3400" t="str">
            <v>MR</v>
          </cell>
          <cell r="C3400">
            <v>22</v>
          </cell>
          <cell r="D3400">
            <v>12</v>
          </cell>
          <cell r="E3400" t="str">
            <v>KH157</v>
          </cell>
          <cell r="F3400">
            <v>17400</v>
          </cell>
          <cell r="G3400" t="str">
            <v>122,39</v>
          </cell>
          <cell r="H3400" t="str">
            <v>1,15</v>
          </cell>
          <cell r="I3400" t="str">
            <v>M1B</v>
          </cell>
          <cell r="J3400" t="str">
            <v>IE3</v>
          </cell>
          <cell r="K3400" t="str">
            <v>230/400</v>
          </cell>
          <cell r="L3400">
            <v>50</v>
          </cell>
          <cell r="M3400" t="str">
            <v>70/40,5</v>
          </cell>
          <cell r="N3400">
            <v>65</v>
          </cell>
          <cell r="O3400" t="str">
            <v>155(F)</v>
          </cell>
          <cell r="P3400" t="str">
            <v>0°</v>
          </cell>
          <cell r="Q3400" t="str">
            <v>TF</v>
          </cell>
          <cell r="R3400" t="str">
            <v>V(VE)</v>
          </cell>
          <cell r="S3400" t="str">
            <v>-</v>
          </cell>
          <cell r="T3400" t="str">
            <v>-</v>
          </cell>
          <cell r="U3400" t="str">
            <v>-</v>
          </cell>
          <cell r="V3400" t="str">
            <v>FC</v>
          </cell>
          <cell r="W3400" t="str">
            <v>YES</v>
          </cell>
          <cell r="X3400" t="str">
            <v>CLP PG VG 220 = -20° + 80°</v>
          </cell>
          <cell r="Y3400" t="str">
            <v>KH157EDRN180L4 /TF/VE</v>
          </cell>
          <cell r="Z3400" t="str">
            <v>SEW</v>
          </cell>
          <cell r="AB3400" t="str">
            <v>ATEX22</v>
          </cell>
          <cell r="AF3400">
            <v>12</v>
          </cell>
          <cell r="AG3400" t="str">
            <v>EDRN180L4</v>
          </cell>
          <cell r="AH3400" t="str">
            <v>KH157-EDRN180L4B0-X#</v>
          </cell>
        </row>
        <row r="3401">
          <cell r="A3401" t="str">
            <v>MR003389</v>
          </cell>
          <cell r="B3401" t="str">
            <v>MR</v>
          </cell>
          <cell r="C3401">
            <v>7.5</v>
          </cell>
          <cell r="D3401">
            <v>62</v>
          </cell>
          <cell r="E3401" t="str">
            <v>FH87</v>
          </cell>
          <cell r="F3401">
            <v>1160</v>
          </cell>
          <cell r="G3401" t="str">
            <v>23,68</v>
          </cell>
          <cell r="H3401" t="str">
            <v>2,3</v>
          </cell>
          <cell r="I3401" t="str">
            <v>M1</v>
          </cell>
          <cell r="J3401" t="str">
            <v>IE3</v>
          </cell>
          <cell r="K3401" t="str">
            <v>400/690</v>
          </cell>
          <cell r="L3401">
            <v>50</v>
          </cell>
          <cell r="M3401" t="str">
            <v>15,7/9</v>
          </cell>
          <cell r="N3401">
            <v>65</v>
          </cell>
          <cell r="O3401" t="str">
            <v>155(F)</v>
          </cell>
          <cell r="P3401" t="str">
            <v>270°</v>
          </cell>
          <cell r="Q3401" t="str">
            <v>-</v>
          </cell>
          <cell r="R3401" t="str">
            <v>-</v>
          </cell>
          <cell r="S3401" t="str">
            <v>-</v>
          </cell>
          <cell r="T3401" t="str">
            <v>-</v>
          </cell>
          <cell r="U3401" t="str">
            <v>G</v>
          </cell>
          <cell r="V3401" t="str">
            <v>D</v>
          </cell>
          <cell r="W3401" t="str">
            <v>YES</v>
          </cell>
          <cell r="X3401" t="str">
            <v>CLP PG VG 220 = -20° + 80°</v>
          </cell>
          <cell r="Y3401" t="str">
            <v>FH87/G EDRN132M4</v>
          </cell>
          <cell r="Z3401" t="str">
            <v>SEW</v>
          </cell>
          <cell r="AB3401" t="str">
            <v>ATEX22</v>
          </cell>
          <cell r="AF3401">
            <v>62</v>
          </cell>
          <cell r="AG3401" t="str">
            <v>EDRN132M4</v>
          </cell>
          <cell r="AH3401" t="str">
            <v>FH87G-EDRN132M4270-X</v>
          </cell>
        </row>
        <row r="3402">
          <cell r="A3402" t="str">
            <v>MR003390</v>
          </cell>
          <cell r="B3402" t="str">
            <v>MR</v>
          </cell>
          <cell r="C3402">
            <v>9.1999999999999993</v>
          </cell>
          <cell r="D3402">
            <v>62</v>
          </cell>
          <cell r="E3402" t="str">
            <v>FH87</v>
          </cell>
          <cell r="F3402">
            <v>1420</v>
          </cell>
          <cell r="G3402" t="str">
            <v>23,68</v>
          </cell>
          <cell r="H3402" t="str">
            <v>1,85</v>
          </cell>
          <cell r="I3402" t="str">
            <v>M1</v>
          </cell>
          <cell r="J3402" t="str">
            <v>IE3</v>
          </cell>
          <cell r="K3402" t="str">
            <v>400/690</v>
          </cell>
          <cell r="L3402">
            <v>50</v>
          </cell>
          <cell r="M3402" t="str">
            <v>19,2/11,1</v>
          </cell>
          <cell r="N3402">
            <v>65</v>
          </cell>
          <cell r="O3402" t="str">
            <v>155(F)</v>
          </cell>
          <cell r="P3402" t="str">
            <v>270°</v>
          </cell>
          <cell r="Q3402" t="str">
            <v>-</v>
          </cell>
          <cell r="R3402" t="str">
            <v>-</v>
          </cell>
          <cell r="S3402" t="str">
            <v>-</v>
          </cell>
          <cell r="T3402" t="str">
            <v>-</v>
          </cell>
          <cell r="U3402" t="str">
            <v>G</v>
          </cell>
          <cell r="V3402" t="str">
            <v>D</v>
          </cell>
          <cell r="W3402" t="str">
            <v>YES</v>
          </cell>
          <cell r="X3402" t="str">
            <v>CLP PG VG 220 = -20° + 80°</v>
          </cell>
          <cell r="Y3402" t="str">
            <v>FH87/G EDRN132L4</v>
          </cell>
          <cell r="Z3402" t="str">
            <v>SEW</v>
          </cell>
          <cell r="AB3402" t="str">
            <v>ATEX22</v>
          </cell>
          <cell r="AF3402">
            <v>62</v>
          </cell>
          <cell r="AG3402" t="str">
            <v>EDRN132L4</v>
          </cell>
          <cell r="AH3402" t="str">
            <v>FH87G-EDRN132L4270-X</v>
          </cell>
        </row>
        <row r="3403">
          <cell r="A3403" t="str">
            <v>MR003391</v>
          </cell>
          <cell r="B3403" t="str">
            <v>MR</v>
          </cell>
          <cell r="C3403">
            <v>30</v>
          </cell>
          <cell r="D3403">
            <v>16</v>
          </cell>
          <cell r="E3403" t="str">
            <v>KH157</v>
          </cell>
          <cell r="F3403">
            <v>17700</v>
          </cell>
          <cell r="G3403" t="str">
            <v>91,65</v>
          </cell>
          <cell r="H3403" t="str">
            <v>1,15</v>
          </cell>
          <cell r="I3403" t="str">
            <v>M1A to M2A - 30°</v>
          </cell>
          <cell r="J3403" t="str">
            <v>IE3</v>
          </cell>
          <cell r="K3403" t="str">
            <v>230/400</v>
          </cell>
          <cell r="L3403">
            <v>50</v>
          </cell>
          <cell r="M3403" t="str">
            <v>100/58</v>
          </cell>
          <cell r="N3403">
            <v>65</v>
          </cell>
          <cell r="O3403" t="str">
            <v>155(F)</v>
          </cell>
          <cell r="P3403" t="str">
            <v>180°</v>
          </cell>
          <cell r="Q3403" t="str">
            <v>TF</v>
          </cell>
          <cell r="R3403" t="str">
            <v>V(VE)</v>
          </cell>
          <cell r="S3403" t="str">
            <v>-</v>
          </cell>
          <cell r="T3403" t="str">
            <v>-</v>
          </cell>
          <cell r="U3403" t="str">
            <v>-</v>
          </cell>
          <cell r="V3403" t="str">
            <v>FC</v>
          </cell>
          <cell r="W3403" t="str">
            <v>YES</v>
          </cell>
          <cell r="X3403" t="str">
            <v>CLP PG VG 220 = -20° + 80°</v>
          </cell>
          <cell r="Y3403" t="str">
            <v>KH157EDRN200L4 /TF/VE</v>
          </cell>
          <cell r="Z3403" t="str">
            <v>SEW</v>
          </cell>
          <cell r="AB3403" t="str">
            <v>ATEX22</v>
          </cell>
          <cell r="AF3403">
            <v>16</v>
          </cell>
          <cell r="AG3403" t="str">
            <v>EDRN200L4</v>
          </cell>
          <cell r="AH3403" t="str">
            <v>KH157-EDRN200L4A180-X#</v>
          </cell>
        </row>
        <row r="3404">
          <cell r="A3404" t="str">
            <v>MR003392</v>
          </cell>
          <cell r="B3404" t="str">
            <v>MR</v>
          </cell>
          <cell r="C3404">
            <v>30</v>
          </cell>
          <cell r="D3404">
            <v>16</v>
          </cell>
          <cell r="E3404" t="str">
            <v>KH157</v>
          </cell>
          <cell r="F3404">
            <v>17700</v>
          </cell>
          <cell r="G3404" t="str">
            <v>91,65</v>
          </cell>
          <cell r="H3404" t="str">
            <v>1,15</v>
          </cell>
          <cell r="I3404" t="str">
            <v>M1B to M2B - 30°</v>
          </cell>
          <cell r="J3404" t="str">
            <v>IE3</v>
          </cell>
          <cell r="K3404" t="str">
            <v>230/400</v>
          </cell>
          <cell r="L3404">
            <v>50</v>
          </cell>
          <cell r="M3404" t="str">
            <v>100/58</v>
          </cell>
          <cell r="N3404">
            <v>65</v>
          </cell>
          <cell r="O3404" t="str">
            <v>155(F)</v>
          </cell>
          <cell r="P3404" t="str">
            <v>0°</v>
          </cell>
          <cell r="Q3404" t="str">
            <v>TF</v>
          </cell>
          <cell r="R3404" t="str">
            <v>V(VE)</v>
          </cell>
          <cell r="S3404" t="str">
            <v>-</v>
          </cell>
          <cell r="T3404" t="str">
            <v>-</v>
          </cell>
          <cell r="U3404" t="str">
            <v>-</v>
          </cell>
          <cell r="V3404" t="str">
            <v>FC</v>
          </cell>
          <cell r="W3404" t="str">
            <v>YES</v>
          </cell>
          <cell r="X3404" t="str">
            <v>CLP PG VG 220 = -20° + 80°</v>
          </cell>
          <cell r="Y3404" t="str">
            <v>KH157EDRN200L4 /TF/VE</v>
          </cell>
          <cell r="Z3404" t="str">
            <v>SEW</v>
          </cell>
          <cell r="AB3404" t="str">
            <v>ATEX22</v>
          </cell>
          <cell r="AF3404">
            <v>16</v>
          </cell>
          <cell r="AG3404" t="str">
            <v>EDRN200L4</v>
          </cell>
          <cell r="AH3404" t="str">
            <v>KH157-EDRN200L4B0-X#</v>
          </cell>
        </row>
        <row r="3405">
          <cell r="A3405" t="str">
            <v>MR003393</v>
          </cell>
          <cell r="B3405" t="str">
            <v>MR</v>
          </cell>
          <cell r="C3405">
            <v>37</v>
          </cell>
          <cell r="D3405">
            <v>32</v>
          </cell>
          <cell r="E3405" t="str">
            <v>R147</v>
          </cell>
          <cell r="F3405">
            <v>11100</v>
          </cell>
          <cell r="G3405" t="str">
            <v>46,65</v>
          </cell>
          <cell r="H3405" t="str">
            <v>1,1</v>
          </cell>
          <cell r="I3405" t="str">
            <v>M1</v>
          </cell>
          <cell r="J3405" t="str">
            <v>IE3</v>
          </cell>
          <cell r="K3405" t="str">
            <v>400/690</v>
          </cell>
          <cell r="L3405">
            <v>50</v>
          </cell>
          <cell r="M3405" t="str">
            <v>65/37,5</v>
          </cell>
          <cell r="N3405">
            <v>65</v>
          </cell>
          <cell r="O3405" t="str">
            <v>155(F)</v>
          </cell>
          <cell r="P3405" t="str">
            <v>270°</v>
          </cell>
          <cell r="Q3405" t="str">
            <v>-</v>
          </cell>
          <cell r="R3405" t="str">
            <v>-</v>
          </cell>
          <cell r="S3405" t="str">
            <v>Free rotation CW</v>
          </cell>
          <cell r="T3405" t="str">
            <v>-</v>
          </cell>
          <cell r="U3405" t="str">
            <v>-</v>
          </cell>
          <cell r="V3405" t="str">
            <v>SS</v>
          </cell>
          <cell r="W3405" t="str">
            <v>YES</v>
          </cell>
          <cell r="X3405" t="str">
            <v>CLP PG VG 220 = -20° + 80°</v>
          </cell>
          <cell r="Y3405" t="str">
            <v>R147EDRN225S4 /RS</v>
          </cell>
          <cell r="Z3405" t="str">
            <v>SEW</v>
          </cell>
          <cell r="AB3405" t="str">
            <v>ATEX22</v>
          </cell>
          <cell r="AF3405">
            <v>32</v>
          </cell>
          <cell r="AG3405" t="str">
            <v>EDRN225S4</v>
          </cell>
          <cell r="AH3405" t="str">
            <v>R147-EDRN225S4270-X</v>
          </cell>
        </row>
        <row r="3406">
          <cell r="A3406" t="str">
            <v>MR003394</v>
          </cell>
          <cell r="B3406" t="str">
            <v>MR</v>
          </cell>
          <cell r="C3406">
            <v>15</v>
          </cell>
          <cell r="D3406">
            <v>49</v>
          </cell>
          <cell r="E3406" t="str">
            <v>FH97</v>
          </cell>
          <cell r="F3406">
            <v>2950</v>
          </cell>
          <cell r="G3406" t="str">
            <v>30,39</v>
          </cell>
          <cell r="H3406" t="str">
            <v>1,45</v>
          </cell>
          <cell r="I3406" t="str">
            <v>M1</v>
          </cell>
          <cell r="J3406" t="str">
            <v>IE3</v>
          </cell>
          <cell r="K3406" t="str">
            <v>400/690</v>
          </cell>
          <cell r="L3406">
            <v>50</v>
          </cell>
          <cell r="M3406" t="str">
            <v>29,5/16,9</v>
          </cell>
          <cell r="N3406">
            <v>65</v>
          </cell>
          <cell r="O3406" t="str">
            <v>155(F)</v>
          </cell>
          <cell r="P3406" t="str">
            <v>270°</v>
          </cell>
          <cell r="Q3406" t="str">
            <v>-</v>
          </cell>
          <cell r="R3406" t="str">
            <v>-</v>
          </cell>
          <cell r="S3406" t="str">
            <v>-</v>
          </cell>
          <cell r="T3406" t="str">
            <v>-</v>
          </cell>
          <cell r="U3406" t="str">
            <v>G</v>
          </cell>
          <cell r="V3406" t="str">
            <v>D+R</v>
          </cell>
          <cell r="W3406" t="str">
            <v>YES</v>
          </cell>
          <cell r="X3406" t="str">
            <v>CLP PG VG 220 = -20° + 80°</v>
          </cell>
          <cell r="Y3406" t="str">
            <v>FH97/G EDRN160L4</v>
          </cell>
          <cell r="Z3406" t="str">
            <v>SEW</v>
          </cell>
          <cell r="AB3406" t="str">
            <v>ATEX22</v>
          </cell>
          <cell r="AF3406">
            <v>49</v>
          </cell>
          <cell r="AG3406" t="str">
            <v>EDRN160L4</v>
          </cell>
          <cell r="AH3406" t="str">
            <v>FH97G-EDRN160L4270-X</v>
          </cell>
        </row>
        <row r="3407">
          <cell r="A3407" t="str">
            <v>MR003395</v>
          </cell>
          <cell r="B3407" t="str">
            <v>MR</v>
          </cell>
          <cell r="C3407">
            <v>22</v>
          </cell>
          <cell r="D3407">
            <v>46</v>
          </cell>
          <cell r="E3407" t="str">
            <v>FH107</v>
          </cell>
          <cell r="F3407">
            <v>4520</v>
          </cell>
          <cell r="G3407" t="str">
            <v>31,80</v>
          </cell>
          <cell r="H3407" t="str">
            <v>1,6</v>
          </cell>
          <cell r="I3407" t="str">
            <v>M1</v>
          </cell>
          <cell r="J3407" t="str">
            <v>IE3</v>
          </cell>
          <cell r="K3407" t="str">
            <v>400/690</v>
          </cell>
          <cell r="L3407">
            <v>50</v>
          </cell>
          <cell r="M3407" t="str">
            <v>40,5/23,5</v>
          </cell>
          <cell r="N3407">
            <v>65</v>
          </cell>
          <cell r="O3407" t="str">
            <v>155(F)</v>
          </cell>
          <cell r="P3407" t="str">
            <v>270°</v>
          </cell>
          <cell r="Q3407" t="str">
            <v>-</v>
          </cell>
          <cell r="R3407" t="str">
            <v>-</v>
          </cell>
          <cell r="S3407" t="str">
            <v>-</v>
          </cell>
          <cell r="T3407" t="str">
            <v>-</v>
          </cell>
          <cell r="U3407" t="str">
            <v>G</v>
          </cell>
          <cell r="V3407" t="str">
            <v>D</v>
          </cell>
          <cell r="W3407" t="str">
            <v>YES</v>
          </cell>
          <cell r="X3407" t="str">
            <v>CLP PG VG 220 = -20° + 80°</v>
          </cell>
          <cell r="Y3407" t="str">
            <v>FH107/G EDRN180L4</v>
          </cell>
          <cell r="Z3407" t="str">
            <v>SEW</v>
          </cell>
          <cell r="AB3407" t="str">
            <v>ATEX22</v>
          </cell>
          <cell r="AF3407">
            <v>46</v>
          </cell>
          <cell r="AG3407" t="str">
            <v>EDRN180L4</v>
          </cell>
          <cell r="AH3407" t="str">
            <v>FH107G-EDRN180L4270-X</v>
          </cell>
        </row>
        <row r="3408">
          <cell r="A3408" t="str">
            <v>MR003396</v>
          </cell>
          <cell r="B3408" t="str">
            <v>MR</v>
          </cell>
          <cell r="C3408">
            <v>22</v>
          </cell>
          <cell r="D3408">
            <v>47</v>
          </cell>
          <cell r="E3408" t="str">
            <v>FH127</v>
          </cell>
          <cell r="F3408">
            <v>4460</v>
          </cell>
          <cell r="G3408" t="str">
            <v>31,33</v>
          </cell>
          <cell r="H3408" t="str">
            <v>2,2</v>
          </cell>
          <cell r="I3408" t="str">
            <v>M1</v>
          </cell>
          <cell r="J3408" t="str">
            <v>IE3</v>
          </cell>
          <cell r="K3408" t="str">
            <v>400/690</v>
          </cell>
          <cell r="L3408">
            <v>50</v>
          </cell>
          <cell r="M3408" t="str">
            <v>40,5/23,5</v>
          </cell>
          <cell r="N3408">
            <v>65</v>
          </cell>
          <cell r="O3408" t="str">
            <v>155(F)</v>
          </cell>
          <cell r="P3408" t="str">
            <v>270°</v>
          </cell>
          <cell r="Q3408" t="str">
            <v>-</v>
          </cell>
          <cell r="R3408" t="str">
            <v>-</v>
          </cell>
          <cell r="S3408" t="str">
            <v>-</v>
          </cell>
          <cell r="T3408" t="str">
            <v>-</v>
          </cell>
          <cell r="U3408" t="str">
            <v>G</v>
          </cell>
          <cell r="V3408" t="str">
            <v>D+R</v>
          </cell>
          <cell r="W3408" t="str">
            <v>YES</v>
          </cell>
          <cell r="X3408" t="str">
            <v>CLP PG VG 220 = -20° + 80°</v>
          </cell>
          <cell r="Y3408" t="str">
            <v>FH127/G EDRN180L4</v>
          </cell>
          <cell r="Z3408" t="str">
            <v>SEW</v>
          </cell>
          <cell r="AB3408" t="str">
            <v>ATEX22</v>
          </cell>
          <cell r="AF3408">
            <v>47</v>
          </cell>
          <cell r="AG3408" t="str">
            <v>EDRN180L4</v>
          </cell>
          <cell r="AH3408" t="str">
            <v>FH127G-EDRN180L4270-X</v>
          </cell>
        </row>
        <row r="3409">
          <cell r="A3409" t="str">
            <v>MR003397</v>
          </cell>
          <cell r="B3409" t="str">
            <v>MR</v>
          </cell>
          <cell r="C3409">
            <v>11</v>
          </cell>
          <cell r="D3409">
            <v>22</v>
          </cell>
          <cell r="E3409" t="str">
            <v>FH107</v>
          </cell>
          <cell r="F3409">
            <v>4820</v>
          </cell>
          <cell r="G3409" t="str">
            <v>67,62</v>
          </cell>
          <cell r="H3409" t="str">
            <v>1,6</v>
          </cell>
          <cell r="I3409" t="str">
            <v>M1</v>
          </cell>
          <cell r="J3409" t="str">
            <v>IE3</v>
          </cell>
          <cell r="K3409" t="str">
            <v>230/400</v>
          </cell>
          <cell r="L3409">
            <v>50</v>
          </cell>
          <cell r="M3409" t="str">
            <v>37/21,5</v>
          </cell>
          <cell r="N3409">
            <v>65</v>
          </cell>
          <cell r="O3409" t="str">
            <v>155(F)</v>
          </cell>
          <cell r="P3409" t="str">
            <v>270°</v>
          </cell>
          <cell r="Q3409" t="str">
            <v>TF</v>
          </cell>
          <cell r="R3409" t="str">
            <v>V(VE)</v>
          </cell>
          <cell r="S3409" t="str">
            <v>-</v>
          </cell>
          <cell r="T3409" t="str">
            <v>-</v>
          </cell>
          <cell r="U3409" t="str">
            <v>G</v>
          </cell>
          <cell r="V3409" t="str">
            <v>FC</v>
          </cell>
          <cell r="W3409" t="str">
            <v>YES</v>
          </cell>
          <cell r="X3409" t="str">
            <v>CLP PG VG 220 = -20° + 80°</v>
          </cell>
          <cell r="Y3409" t="str">
            <v>FH107/G EDRN160M4 /TF/VE</v>
          </cell>
          <cell r="Z3409" t="str">
            <v>SEW</v>
          </cell>
          <cell r="AB3409" t="str">
            <v>ATEX22</v>
          </cell>
          <cell r="AF3409">
            <v>22</v>
          </cell>
          <cell r="AG3409" t="str">
            <v>EDRN160M4</v>
          </cell>
          <cell r="AH3409" t="str">
            <v>FH107G-EDRN160M4270-X#</v>
          </cell>
        </row>
        <row r="3410">
          <cell r="A3410" t="str">
            <v>MR003398</v>
          </cell>
          <cell r="B3410" t="str">
            <v>MR</v>
          </cell>
          <cell r="C3410">
            <v>18.5</v>
          </cell>
          <cell r="D3410">
            <v>12</v>
          </cell>
          <cell r="E3410" t="str">
            <v>KH157</v>
          </cell>
          <cell r="F3410">
            <v>14600</v>
          </cell>
          <cell r="G3410" t="str">
            <v>122,39</v>
          </cell>
          <cell r="H3410" t="str">
            <v>1,35</v>
          </cell>
          <cell r="I3410" t="str">
            <v>M1A to M2A - 35°</v>
          </cell>
          <cell r="J3410" t="str">
            <v>IE3</v>
          </cell>
          <cell r="K3410" t="str">
            <v>230/400</v>
          </cell>
          <cell r="L3410">
            <v>50</v>
          </cell>
          <cell r="M3410" t="str">
            <v>61/35</v>
          </cell>
          <cell r="N3410">
            <v>65</v>
          </cell>
          <cell r="O3410" t="str">
            <v>155(F)</v>
          </cell>
          <cell r="P3410" t="str">
            <v>180°</v>
          </cell>
          <cell r="Q3410" t="str">
            <v>TF</v>
          </cell>
          <cell r="R3410" t="str">
            <v>V(VE)</v>
          </cell>
          <cell r="S3410" t="str">
            <v>-</v>
          </cell>
          <cell r="T3410" t="str">
            <v>-</v>
          </cell>
          <cell r="U3410" t="str">
            <v>-</v>
          </cell>
          <cell r="V3410" t="str">
            <v>FC</v>
          </cell>
          <cell r="W3410" t="str">
            <v>YES</v>
          </cell>
          <cell r="X3410" t="str">
            <v>CLP PG VG 220 = -20° + 80°</v>
          </cell>
          <cell r="Y3410" t="str">
            <v>KH157EDRN180M4 /TF/VE</v>
          </cell>
          <cell r="Z3410" t="str">
            <v>SEW</v>
          </cell>
          <cell r="AB3410" t="str">
            <v>ATEX22</v>
          </cell>
          <cell r="AF3410">
            <v>12</v>
          </cell>
          <cell r="AG3410" t="str">
            <v>EDRN180M4</v>
          </cell>
          <cell r="AH3410" t="str">
            <v>KH157-EDRN180M4A180-X#</v>
          </cell>
        </row>
        <row r="3411">
          <cell r="A3411" t="str">
            <v>MR003399</v>
          </cell>
          <cell r="B3411" t="str">
            <v>MR</v>
          </cell>
          <cell r="C3411">
            <v>18.5</v>
          </cell>
          <cell r="D3411">
            <v>12</v>
          </cell>
          <cell r="E3411" t="str">
            <v>KH157</v>
          </cell>
          <cell r="F3411">
            <v>14600</v>
          </cell>
          <cell r="G3411" t="str">
            <v>122,39</v>
          </cell>
          <cell r="H3411" t="str">
            <v>1,35</v>
          </cell>
          <cell r="I3411" t="str">
            <v>M1B to M2B - 35°</v>
          </cell>
          <cell r="J3411" t="str">
            <v>IE3</v>
          </cell>
          <cell r="K3411" t="str">
            <v>230/400</v>
          </cell>
          <cell r="L3411">
            <v>50</v>
          </cell>
          <cell r="M3411" t="str">
            <v>61/35</v>
          </cell>
          <cell r="N3411">
            <v>65</v>
          </cell>
          <cell r="O3411" t="str">
            <v>155(F)</v>
          </cell>
          <cell r="P3411" t="str">
            <v>0°</v>
          </cell>
          <cell r="Q3411" t="str">
            <v>TF</v>
          </cell>
          <cell r="R3411" t="str">
            <v>V(VE)</v>
          </cell>
          <cell r="S3411" t="str">
            <v>-</v>
          </cell>
          <cell r="T3411" t="str">
            <v>-</v>
          </cell>
          <cell r="U3411" t="str">
            <v>-</v>
          </cell>
          <cell r="V3411" t="str">
            <v>FC</v>
          </cell>
          <cell r="W3411" t="str">
            <v>YES</v>
          </cell>
          <cell r="X3411" t="str">
            <v>CLP PG VG 220 = -20° + 80°</v>
          </cell>
          <cell r="Y3411" t="str">
            <v>KH157EDRN180M4 /TF/VE</v>
          </cell>
          <cell r="Z3411" t="str">
            <v>SEW</v>
          </cell>
          <cell r="AB3411" t="str">
            <v>ATEX22</v>
          </cell>
          <cell r="AF3411">
            <v>12</v>
          </cell>
          <cell r="AG3411" t="str">
            <v>EDRN180M4</v>
          </cell>
          <cell r="AH3411" t="str">
            <v>KH157-EDRN180M4B0-X#</v>
          </cell>
        </row>
        <row r="3412">
          <cell r="A3412" t="str">
            <v>MR003400</v>
          </cell>
          <cell r="B3412" t="str">
            <v>MR</v>
          </cell>
          <cell r="C3412">
            <v>18.5</v>
          </cell>
          <cell r="D3412">
            <v>12</v>
          </cell>
          <cell r="E3412" t="str">
            <v>KH157</v>
          </cell>
          <cell r="F3412">
            <v>14600</v>
          </cell>
          <cell r="G3412" t="str">
            <v>122,39</v>
          </cell>
          <cell r="H3412" t="str">
            <v>1,35</v>
          </cell>
          <cell r="I3412" t="str">
            <v>M1A to M2A - 20°</v>
          </cell>
          <cell r="J3412" t="str">
            <v>IE3</v>
          </cell>
          <cell r="K3412" t="str">
            <v>230/400</v>
          </cell>
          <cell r="L3412">
            <v>50</v>
          </cell>
          <cell r="M3412" t="str">
            <v>61/35</v>
          </cell>
          <cell r="N3412">
            <v>65</v>
          </cell>
          <cell r="O3412" t="str">
            <v>155(F)</v>
          </cell>
          <cell r="P3412" t="str">
            <v>180°</v>
          </cell>
          <cell r="Q3412" t="str">
            <v>TF</v>
          </cell>
          <cell r="R3412" t="str">
            <v>V(VE)</v>
          </cell>
          <cell r="S3412" t="str">
            <v>-</v>
          </cell>
          <cell r="T3412" t="str">
            <v>-</v>
          </cell>
          <cell r="U3412" t="str">
            <v>-</v>
          </cell>
          <cell r="V3412" t="str">
            <v>FC</v>
          </cell>
          <cell r="W3412" t="str">
            <v>YES</v>
          </cell>
          <cell r="X3412" t="str">
            <v>CLP PG VG 220 = -20° + 80°</v>
          </cell>
          <cell r="Y3412" t="str">
            <v>KH157EDRN180M4 /TF/VE</v>
          </cell>
          <cell r="Z3412" t="str">
            <v>SEW</v>
          </cell>
          <cell r="AB3412" t="str">
            <v>ATEX22</v>
          </cell>
          <cell r="AF3412">
            <v>12</v>
          </cell>
          <cell r="AG3412" t="str">
            <v>EDRN180M4</v>
          </cell>
          <cell r="AH3412" t="str">
            <v>KH157-EDRN180M4A180-X#</v>
          </cell>
        </row>
        <row r="3413">
          <cell r="A3413" t="str">
            <v>MR003401</v>
          </cell>
          <cell r="B3413" t="str">
            <v>MR</v>
          </cell>
          <cell r="C3413">
            <v>18.5</v>
          </cell>
          <cell r="D3413">
            <v>12</v>
          </cell>
          <cell r="E3413" t="str">
            <v>KH157</v>
          </cell>
          <cell r="F3413">
            <v>14600</v>
          </cell>
          <cell r="G3413" t="str">
            <v>122,39</v>
          </cell>
          <cell r="H3413" t="str">
            <v>1,35</v>
          </cell>
          <cell r="I3413" t="str">
            <v>M1B to M2B - 20°</v>
          </cell>
          <cell r="J3413" t="str">
            <v>IE3</v>
          </cell>
          <cell r="K3413" t="str">
            <v>230/400</v>
          </cell>
          <cell r="L3413">
            <v>50</v>
          </cell>
          <cell r="M3413" t="str">
            <v>61/35</v>
          </cell>
          <cell r="N3413">
            <v>65</v>
          </cell>
          <cell r="O3413" t="str">
            <v>155(F)</v>
          </cell>
          <cell r="P3413" t="str">
            <v>0°</v>
          </cell>
          <cell r="Q3413" t="str">
            <v>TF</v>
          </cell>
          <cell r="R3413" t="str">
            <v>V(VE)</v>
          </cell>
          <cell r="S3413" t="str">
            <v>-</v>
          </cell>
          <cell r="T3413" t="str">
            <v>-</v>
          </cell>
          <cell r="U3413" t="str">
            <v>-</v>
          </cell>
          <cell r="V3413" t="str">
            <v>FC</v>
          </cell>
          <cell r="W3413" t="str">
            <v>YES</v>
          </cell>
          <cell r="X3413" t="str">
            <v>CLP PG VG 220 = -20° + 80°</v>
          </cell>
          <cell r="Y3413" t="str">
            <v>KH157EDRN180M4 /TF/VE</v>
          </cell>
          <cell r="Z3413" t="str">
            <v>SEW</v>
          </cell>
          <cell r="AB3413" t="str">
            <v>ATEX22</v>
          </cell>
          <cell r="AF3413">
            <v>12</v>
          </cell>
          <cell r="AG3413" t="str">
            <v>EDRN180M4</v>
          </cell>
          <cell r="AH3413" t="str">
            <v>KH157-EDRN180M4B0-X#</v>
          </cell>
        </row>
        <row r="3414">
          <cell r="A3414" t="str">
            <v>MR003402</v>
          </cell>
          <cell r="B3414" t="str">
            <v>MR</v>
          </cell>
          <cell r="C3414">
            <v>5.5</v>
          </cell>
          <cell r="D3414">
            <v>84</v>
          </cell>
          <cell r="E3414" t="str">
            <v>FH77</v>
          </cell>
          <cell r="F3414">
            <v>630</v>
          </cell>
          <cell r="G3414" t="str">
            <v>17,49</v>
          </cell>
          <cell r="H3414" t="str">
            <v>2,4</v>
          </cell>
          <cell r="I3414" t="str">
            <v>M1 to M2 - 15°</v>
          </cell>
          <cell r="J3414" t="str">
            <v>IE3</v>
          </cell>
          <cell r="K3414" t="str">
            <v>230/400</v>
          </cell>
          <cell r="L3414">
            <v>50</v>
          </cell>
          <cell r="M3414" t="str">
            <v>18,8/10,9</v>
          </cell>
          <cell r="N3414">
            <v>65</v>
          </cell>
          <cell r="O3414" t="str">
            <v>155(F)</v>
          </cell>
          <cell r="P3414" t="str">
            <v>270°</v>
          </cell>
          <cell r="Q3414" t="str">
            <v>-</v>
          </cell>
          <cell r="R3414" t="str">
            <v>-</v>
          </cell>
          <cell r="S3414" t="str">
            <v>-</v>
          </cell>
          <cell r="T3414" t="str">
            <v>-</v>
          </cell>
          <cell r="U3414" t="str">
            <v>G</v>
          </cell>
          <cell r="V3414" t="str">
            <v>D</v>
          </cell>
          <cell r="W3414" t="str">
            <v>YES</v>
          </cell>
          <cell r="X3414" t="str">
            <v>CLP PG VG 220 = -20° + 80°</v>
          </cell>
          <cell r="Y3414" t="str">
            <v>FH77/G EDRN132S4</v>
          </cell>
          <cell r="Z3414" t="str">
            <v>SEW</v>
          </cell>
          <cell r="AB3414" t="str">
            <v>ATEX22</v>
          </cell>
          <cell r="AF3414">
            <v>84</v>
          </cell>
          <cell r="AG3414" t="str">
            <v>EDRN132S4</v>
          </cell>
          <cell r="AH3414" t="str">
            <v>FH77G-EDRN132S4270-X</v>
          </cell>
        </row>
        <row r="3415">
          <cell r="A3415" t="str">
            <v>MR003403</v>
          </cell>
          <cell r="B3415" t="str">
            <v>MR</v>
          </cell>
          <cell r="C3415">
            <v>22</v>
          </cell>
          <cell r="D3415">
            <v>12</v>
          </cell>
          <cell r="E3415" t="str">
            <v>KH157</v>
          </cell>
          <cell r="F3415">
            <v>17400</v>
          </cell>
          <cell r="G3415" t="str">
            <v>122,39</v>
          </cell>
          <cell r="H3415" t="str">
            <v>1,15</v>
          </cell>
          <cell r="I3415" t="str">
            <v>M1A</v>
          </cell>
          <cell r="J3415" t="str">
            <v>IE3</v>
          </cell>
          <cell r="K3415" t="str">
            <v>230/400</v>
          </cell>
          <cell r="L3415">
            <v>50</v>
          </cell>
          <cell r="M3415" t="str">
            <v>70/40,5</v>
          </cell>
          <cell r="N3415">
            <v>65</v>
          </cell>
          <cell r="O3415" t="str">
            <v>155(F)</v>
          </cell>
          <cell r="P3415" t="str">
            <v>180°</v>
          </cell>
          <cell r="Q3415" t="str">
            <v>TF</v>
          </cell>
          <cell r="R3415" t="str">
            <v>V(VE)</v>
          </cell>
          <cell r="S3415" t="str">
            <v>-</v>
          </cell>
          <cell r="T3415" t="str">
            <v>-</v>
          </cell>
          <cell r="U3415" t="str">
            <v>-</v>
          </cell>
          <cell r="V3415" t="str">
            <v>FC</v>
          </cell>
          <cell r="W3415" t="str">
            <v>YES</v>
          </cell>
          <cell r="X3415" t="str">
            <v>CLP PG VG 220 = -20° + 80°</v>
          </cell>
          <cell r="Y3415" t="str">
            <v>KH157EDRN180L4 /TF/VE</v>
          </cell>
          <cell r="Z3415" t="str">
            <v>SEW</v>
          </cell>
          <cell r="AB3415" t="str">
            <v>ATEX22</v>
          </cell>
          <cell r="AF3415">
            <v>12</v>
          </cell>
          <cell r="AG3415" t="str">
            <v>EDRN180L4</v>
          </cell>
          <cell r="AH3415" t="str">
            <v>KH157-EDRN180L4A180-X#</v>
          </cell>
        </row>
        <row r="3416">
          <cell r="A3416" t="str">
            <v>MR003404</v>
          </cell>
          <cell r="B3416" t="str">
            <v>MR</v>
          </cell>
          <cell r="C3416">
            <v>15</v>
          </cell>
          <cell r="D3416">
            <v>16</v>
          </cell>
          <cell r="E3416" t="str">
            <v>KT127</v>
          </cell>
          <cell r="F3416">
            <v>8740</v>
          </cell>
          <cell r="G3416">
            <v>89.89</v>
          </cell>
          <cell r="H3416">
            <v>1.5</v>
          </cell>
          <cell r="I3416" t="str">
            <v>From M4A to M1A -30°</v>
          </cell>
          <cell r="J3416" t="str">
            <v>IE3</v>
          </cell>
          <cell r="K3416" t="str">
            <v>400/690</v>
          </cell>
          <cell r="L3416">
            <v>50</v>
          </cell>
          <cell r="M3416" t="str">
            <v>29/16,7</v>
          </cell>
          <cell r="N3416">
            <v>65</v>
          </cell>
          <cell r="O3416" t="str">
            <v>155(F)</v>
          </cell>
          <cell r="P3416" t="str">
            <v>270°</v>
          </cell>
          <cell r="Q3416" t="str">
            <v>TF</v>
          </cell>
          <cell r="R3416" t="str">
            <v>V(VE)</v>
          </cell>
          <cell r="S3416" t="str">
            <v>-</v>
          </cell>
          <cell r="T3416" t="str">
            <v>-</v>
          </cell>
          <cell r="U3416" t="str">
            <v>-</v>
          </cell>
          <cell r="V3416" t="str">
            <v>FC</v>
          </cell>
          <cell r="W3416" t="str">
            <v>-</v>
          </cell>
          <cell r="X3416" t="str">
            <v>CLP HC 150 (-30/+50°C)</v>
          </cell>
          <cell r="Y3416" t="str">
            <v>KT127DRN160L4 /TF/V</v>
          </cell>
          <cell r="Z3416" t="str">
            <v>SEW</v>
          </cell>
          <cell r="AB3416" t="str">
            <v>-</v>
          </cell>
          <cell r="AF3416">
            <v>16</v>
          </cell>
          <cell r="AG3416" t="str">
            <v>DRN160L4</v>
          </cell>
          <cell r="AH3416" t="str">
            <v>KT127-DRN160L4A270-X#</v>
          </cell>
        </row>
        <row r="3417">
          <cell r="A3417" t="str">
            <v>MR003405</v>
          </cell>
          <cell r="B3417" t="str">
            <v>MR</v>
          </cell>
          <cell r="C3417">
            <v>15</v>
          </cell>
          <cell r="D3417">
            <v>16</v>
          </cell>
          <cell r="E3417" t="str">
            <v>KT127</v>
          </cell>
          <cell r="F3417">
            <v>8740</v>
          </cell>
          <cell r="G3417">
            <v>89.89</v>
          </cell>
          <cell r="H3417">
            <v>1.5</v>
          </cell>
          <cell r="I3417" t="str">
            <v>From M4B to M1B -30°</v>
          </cell>
          <cell r="J3417" t="str">
            <v>IE3</v>
          </cell>
          <cell r="K3417" t="str">
            <v>400/690</v>
          </cell>
          <cell r="L3417">
            <v>50</v>
          </cell>
          <cell r="M3417" t="str">
            <v>29/16,7</v>
          </cell>
          <cell r="N3417">
            <v>65</v>
          </cell>
          <cell r="O3417" t="str">
            <v>155(F)</v>
          </cell>
          <cell r="P3417" t="str">
            <v>270°</v>
          </cell>
          <cell r="Q3417" t="str">
            <v>TF</v>
          </cell>
          <cell r="R3417" t="str">
            <v>V(VE)</v>
          </cell>
          <cell r="S3417" t="str">
            <v>-</v>
          </cell>
          <cell r="T3417" t="str">
            <v>-</v>
          </cell>
          <cell r="U3417" t="str">
            <v>-</v>
          </cell>
          <cell r="V3417" t="str">
            <v>FC</v>
          </cell>
          <cell r="W3417" t="str">
            <v>-</v>
          </cell>
          <cell r="X3417" t="str">
            <v>CLP HC 150 (-30/+50°C)</v>
          </cell>
          <cell r="Y3417" t="str">
            <v>KT127DRN160L4 /TF/V</v>
          </cell>
          <cell r="Z3417" t="str">
            <v>SEW</v>
          </cell>
          <cell r="AB3417" t="str">
            <v>-</v>
          </cell>
          <cell r="AF3417">
            <v>16</v>
          </cell>
          <cell r="AG3417" t="str">
            <v>DRN160L4</v>
          </cell>
          <cell r="AH3417" t="str">
            <v>KT127-DRN160L4B270-X#</v>
          </cell>
        </row>
        <row r="3418">
          <cell r="A3418" t="str">
            <v>MR003406</v>
          </cell>
          <cell r="B3418" t="str">
            <v>MR</v>
          </cell>
          <cell r="C3418">
            <v>2.2000000000000002</v>
          </cell>
          <cell r="D3418">
            <v>95</v>
          </cell>
          <cell r="E3418" t="str">
            <v>KT67</v>
          </cell>
          <cell r="F3418">
            <v>220</v>
          </cell>
          <cell r="G3418">
            <v>15.19</v>
          </cell>
          <cell r="H3418">
            <v>3.2</v>
          </cell>
          <cell r="I3418" t="str">
            <v>M1A</v>
          </cell>
          <cell r="J3418" t="str">
            <v>IE3</v>
          </cell>
          <cell r="K3418" t="str">
            <v>230/400</v>
          </cell>
          <cell r="L3418">
            <v>50</v>
          </cell>
          <cell r="M3418" t="str">
            <v>8,3/4,75</v>
          </cell>
          <cell r="N3418">
            <v>65</v>
          </cell>
          <cell r="O3418" t="str">
            <v>155(F)</v>
          </cell>
          <cell r="P3418" t="str">
            <v>180°</v>
          </cell>
          <cell r="Q3418" t="str">
            <v>TF</v>
          </cell>
          <cell r="R3418" t="str">
            <v>-</v>
          </cell>
          <cell r="S3418" t="str">
            <v>-</v>
          </cell>
          <cell r="T3418" t="str">
            <v>-</v>
          </cell>
          <cell r="U3418" t="str">
            <v>T</v>
          </cell>
          <cell r="V3418" t="str">
            <v>D</v>
          </cell>
          <cell r="W3418" t="str">
            <v>-</v>
          </cell>
          <cell r="X3418" t="str">
            <v>CLP HC 150 (-30/+50°C)</v>
          </cell>
          <cell r="Y3418" t="str">
            <v>KT67/T EDRN100LS4 /TF</v>
          </cell>
          <cell r="Z3418" t="str">
            <v>SEW</v>
          </cell>
          <cell r="AB3418" t="str">
            <v>ATEX22</v>
          </cell>
          <cell r="AF3418">
            <v>95</v>
          </cell>
          <cell r="AG3418" t="str">
            <v>EDRN100LS4</v>
          </cell>
          <cell r="AH3418" t="str">
            <v>KT67T-EDRN100LS4A180-X</v>
          </cell>
        </row>
        <row r="3419">
          <cell r="A3419" t="str">
            <v>MR003407</v>
          </cell>
          <cell r="B3419" t="str">
            <v>MR</v>
          </cell>
          <cell r="C3419">
            <v>1.5</v>
          </cell>
          <cell r="D3419">
            <v>1.1000000000000001</v>
          </cell>
          <cell r="E3419" t="str">
            <v>KH127R77</v>
          </cell>
          <cell r="F3419">
            <v>12000</v>
          </cell>
          <cell r="G3419">
            <v>1342</v>
          </cell>
          <cell r="H3419">
            <v>1.1000000000000001</v>
          </cell>
          <cell r="I3419" t="str">
            <v>From M4B to M1B-30°</v>
          </cell>
          <cell r="J3419" t="str">
            <v>IE3</v>
          </cell>
          <cell r="K3419" t="str">
            <v>230/400</v>
          </cell>
          <cell r="L3419">
            <v>50</v>
          </cell>
          <cell r="M3419" t="str">
            <v>5,9/3,4</v>
          </cell>
          <cell r="N3419">
            <v>65</v>
          </cell>
          <cell r="O3419" t="str">
            <v>155(F)</v>
          </cell>
          <cell r="P3419" t="str">
            <v>270°</v>
          </cell>
          <cell r="Q3419" t="str">
            <v>TF</v>
          </cell>
          <cell r="R3419" t="str">
            <v>V(VE)</v>
          </cell>
          <cell r="S3419" t="str">
            <v>-</v>
          </cell>
          <cell r="T3419" t="str">
            <v>-</v>
          </cell>
          <cell r="U3419" t="str">
            <v>T</v>
          </cell>
          <cell r="V3419" t="str">
            <v>FC</v>
          </cell>
          <cell r="W3419" t="str">
            <v>-</v>
          </cell>
          <cell r="X3419" t="str">
            <v>CLP HC 150 (-30/+50°C)</v>
          </cell>
          <cell r="Y3419" t="str">
            <v>KH127R77/T DRN90L4 /TF/V</v>
          </cell>
          <cell r="Z3419" t="str">
            <v>SEW</v>
          </cell>
          <cell r="AB3419" t="str">
            <v>-</v>
          </cell>
          <cell r="AF3419">
            <v>1.1000000000000001</v>
          </cell>
          <cell r="AG3419" t="str">
            <v>DRN90L4</v>
          </cell>
          <cell r="AH3419" t="str">
            <v>KH127R77T-DRN90L4B270-X#</v>
          </cell>
        </row>
        <row r="3420">
          <cell r="A3420" t="str">
            <v>MR003408</v>
          </cell>
          <cell r="B3420" t="str">
            <v>MR</v>
          </cell>
          <cell r="C3420">
            <v>5.5</v>
          </cell>
          <cell r="D3420">
            <v>12</v>
          </cell>
          <cell r="E3420" t="str">
            <v>KH97</v>
          </cell>
          <cell r="F3420">
            <v>3680</v>
          </cell>
          <cell r="G3420">
            <v>123.93</v>
          </cell>
          <cell r="H3420">
            <v>1.1499999999999999</v>
          </cell>
          <cell r="I3420" t="str">
            <v>From M1A to M2A-50°</v>
          </cell>
          <cell r="J3420" t="str">
            <v>IE3</v>
          </cell>
          <cell r="K3420" t="str">
            <v>277/480</v>
          </cell>
          <cell r="L3420">
            <v>60</v>
          </cell>
          <cell r="M3420" t="str">
            <v>15,3/8,8</v>
          </cell>
          <cell r="N3420">
            <v>65</v>
          </cell>
          <cell r="O3420" t="str">
            <v>155(F)</v>
          </cell>
          <cell r="P3420" t="str">
            <v>270°</v>
          </cell>
          <cell r="Q3420" t="str">
            <v>TF</v>
          </cell>
          <cell r="R3420" t="str">
            <v>-</v>
          </cell>
          <cell r="S3420" t="str">
            <v>-</v>
          </cell>
          <cell r="T3420" t="str">
            <v>-</v>
          </cell>
          <cell r="U3420" t="str">
            <v>-</v>
          </cell>
          <cell r="V3420" t="str">
            <v>-</v>
          </cell>
          <cell r="W3420" t="str">
            <v>-</v>
          </cell>
          <cell r="X3420" t="str">
            <v>CLP VG 220 = -15° + 40°</v>
          </cell>
          <cell r="Y3420" t="str">
            <v>KH97DRN132S4 /TF</v>
          </cell>
          <cell r="Z3420" t="str">
            <v>SEW</v>
          </cell>
          <cell r="AB3420" t="str">
            <v>-</v>
          </cell>
          <cell r="AF3420">
            <v>14.4</v>
          </cell>
          <cell r="AG3420" t="str">
            <v>DRN132S4</v>
          </cell>
          <cell r="AH3420" t="str">
            <v>KH97-DRN132S4A270-X</v>
          </cell>
        </row>
        <row r="3421">
          <cell r="A3421" t="str">
            <v>MR003409</v>
          </cell>
          <cell r="B3421" t="str">
            <v>MR</v>
          </cell>
          <cell r="C3421">
            <v>37</v>
          </cell>
          <cell r="D3421">
            <v>110</v>
          </cell>
          <cell r="E3421" t="str">
            <v>KT107</v>
          </cell>
          <cell r="F3421">
            <v>3200</v>
          </cell>
          <cell r="G3421">
            <v>13.43</v>
          </cell>
          <cell r="H3421">
            <v>1.35</v>
          </cell>
          <cell r="I3421" t="str">
            <v>From M4A to M1A -15°</v>
          </cell>
          <cell r="J3421" t="str">
            <v>IE3</v>
          </cell>
          <cell r="K3421" t="str">
            <v>400/690</v>
          </cell>
          <cell r="L3421">
            <v>50</v>
          </cell>
          <cell r="M3421" t="str">
            <v>64/37</v>
          </cell>
          <cell r="N3421">
            <v>65</v>
          </cell>
          <cell r="O3421" t="str">
            <v>155(F)</v>
          </cell>
          <cell r="P3421" t="str">
            <v>270°</v>
          </cell>
          <cell r="Q3421" t="str">
            <v>TF</v>
          </cell>
          <cell r="R3421" t="str">
            <v>V(VE)</v>
          </cell>
          <cell r="S3421" t="str">
            <v>Free rotation CCW</v>
          </cell>
          <cell r="T3421" t="str">
            <v>-</v>
          </cell>
          <cell r="U3421" t="str">
            <v>T</v>
          </cell>
          <cell r="V3421" t="str">
            <v>FC</v>
          </cell>
          <cell r="W3421" t="str">
            <v>-</v>
          </cell>
          <cell r="X3421" t="str">
            <v>CLP HC 150 (-30/+50°C)</v>
          </cell>
          <cell r="Y3421" t="str">
            <v>KT107/T DRN225S4 /RS /TF/V</v>
          </cell>
          <cell r="Z3421" t="str">
            <v>SEW</v>
          </cell>
          <cell r="AB3421" t="str">
            <v>-</v>
          </cell>
          <cell r="AF3421">
            <v>110</v>
          </cell>
          <cell r="AG3421" t="str">
            <v>DRN225S4</v>
          </cell>
          <cell r="AH3421" t="str">
            <v>KT107T-DRN225S4A270-X#</v>
          </cell>
        </row>
        <row r="3422">
          <cell r="A3422" t="str">
            <v>MR003410</v>
          </cell>
          <cell r="B3422" t="str">
            <v>MR</v>
          </cell>
          <cell r="C3422">
            <v>0.75</v>
          </cell>
          <cell r="D3422">
            <v>162</v>
          </cell>
          <cell r="E3422" t="str">
            <v>KT37</v>
          </cell>
          <cell r="F3422">
            <v>44</v>
          </cell>
          <cell r="G3422">
            <v>8.91</v>
          </cell>
          <cell r="H3422">
            <v>3.6</v>
          </cell>
          <cell r="I3422" t="str">
            <v>M3A</v>
          </cell>
          <cell r="J3422" t="str">
            <v>IE3</v>
          </cell>
          <cell r="K3422" t="str">
            <v>230/400</v>
          </cell>
          <cell r="L3422">
            <v>50</v>
          </cell>
          <cell r="M3422" t="str">
            <v>3,05/1,75</v>
          </cell>
          <cell r="N3422">
            <v>65</v>
          </cell>
          <cell r="O3422" t="str">
            <v>155(F)</v>
          </cell>
          <cell r="P3422" t="str">
            <v>180°</v>
          </cell>
          <cell r="Q3422" t="str">
            <v>TF</v>
          </cell>
          <cell r="R3422" t="str">
            <v>-</v>
          </cell>
          <cell r="S3422" t="str">
            <v>-</v>
          </cell>
          <cell r="T3422" t="str">
            <v>-</v>
          </cell>
          <cell r="U3422" t="str">
            <v>T</v>
          </cell>
          <cell r="V3422" t="str">
            <v>D</v>
          </cell>
          <cell r="W3422" t="str">
            <v>-</v>
          </cell>
          <cell r="X3422" t="str">
            <v>CLP HC 150 (-30/+50°C)</v>
          </cell>
          <cell r="Y3422" t="str">
            <v>KT37/T DRN80M4 /TF</v>
          </cell>
          <cell r="Z3422" t="str">
            <v>SEW</v>
          </cell>
          <cell r="AB3422" t="str">
            <v>-</v>
          </cell>
          <cell r="AF3422">
            <v>162</v>
          </cell>
          <cell r="AG3422" t="str">
            <v>DRN80M4</v>
          </cell>
          <cell r="AH3422" t="str">
            <v>KT37T-DRN80M4A180-X</v>
          </cell>
        </row>
        <row r="3423">
          <cell r="A3423" t="str">
            <v>MR003411</v>
          </cell>
          <cell r="B3423" t="str">
            <v>MR</v>
          </cell>
          <cell r="C3423">
            <v>11</v>
          </cell>
          <cell r="D3423">
            <v>62</v>
          </cell>
          <cell r="E3423" t="str">
            <v>FT87</v>
          </cell>
          <cell r="F3423">
            <v>1690</v>
          </cell>
          <cell r="G3423">
            <v>23.68</v>
          </cell>
          <cell r="H3423">
            <v>1.8</v>
          </cell>
          <cell r="I3423" t="str">
            <v>From M1 to M2 - 20°</v>
          </cell>
          <cell r="J3423" t="str">
            <v>IE3</v>
          </cell>
          <cell r="K3423" t="str">
            <v>400/690</v>
          </cell>
          <cell r="L3423">
            <v>50</v>
          </cell>
          <cell r="M3423" t="str">
            <v>21/12,2</v>
          </cell>
          <cell r="N3423">
            <v>65</v>
          </cell>
          <cell r="O3423" t="str">
            <v>155(F)</v>
          </cell>
          <cell r="P3423" t="str">
            <v>270°</v>
          </cell>
          <cell r="Q3423" t="str">
            <v>TF</v>
          </cell>
          <cell r="R3423" t="str">
            <v>-</v>
          </cell>
          <cell r="S3423" t="str">
            <v>-</v>
          </cell>
          <cell r="T3423" t="str">
            <v>-</v>
          </cell>
          <cell r="U3423" t="str">
            <v>G</v>
          </cell>
          <cell r="V3423" t="str">
            <v>D</v>
          </cell>
          <cell r="W3423" t="str">
            <v>-</v>
          </cell>
          <cell r="X3423" t="str">
            <v>CLP HC 150 (-30/+50°C)</v>
          </cell>
          <cell r="Y3423" t="str">
            <v>FT87/G DRN160M4 /TF</v>
          </cell>
          <cell r="Z3423" t="str">
            <v>SEW</v>
          </cell>
          <cell r="AB3423" t="str">
            <v>-</v>
          </cell>
          <cell r="AF3423">
            <v>62</v>
          </cell>
          <cell r="AG3423" t="str">
            <v>DRN160M4</v>
          </cell>
          <cell r="AH3423" t="str">
            <v>FT87G-DRN160M4270-X</v>
          </cell>
        </row>
        <row r="3424">
          <cell r="A3424" t="str">
            <v>MR003412</v>
          </cell>
          <cell r="B3424" t="str">
            <v>MR</v>
          </cell>
          <cell r="C3424">
            <v>7.5</v>
          </cell>
          <cell r="D3424">
            <v>58</v>
          </cell>
          <cell r="E3424" t="str">
            <v>FT77</v>
          </cell>
          <cell r="F3424">
            <v>1240</v>
          </cell>
          <cell r="G3424">
            <v>25.5</v>
          </cell>
          <cell r="H3424">
            <v>1.2</v>
          </cell>
          <cell r="I3424" t="str">
            <v>M1</v>
          </cell>
          <cell r="J3424" t="str">
            <v>IE3</v>
          </cell>
          <cell r="K3424" t="str">
            <v>400/690</v>
          </cell>
          <cell r="L3424">
            <v>50</v>
          </cell>
          <cell r="M3424" t="str">
            <v>15,2/8,8</v>
          </cell>
          <cell r="N3424">
            <v>65</v>
          </cell>
          <cell r="O3424" t="str">
            <v>155(F)</v>
          </cell>
          <cell r="P3424" t="str">
            <v>270°</v>
          </cell>
          <cell r="Q3424" t="str">
            <v>TF</v>
          </cell>
          <cell r="R3424" t="str">
            <v>-</v>
          </cell>
          <cell r="S3424" t="str">
            <v>-</v>
          </cell>
          <cell r="T3424" t="str">
            <v>-</v>
          </cell>
          <cell r="U3424" t="str">
            <v>G</v>
          </cell>
          <cell r="V3424" t="str">
            <v>D</v>
          </cell>
          <cell r="W3424" t="str">
            <v>-</v>
          </cell>
          <cell r="X3424" t="str">
            <v>CLP HC 150 (-30/+50°C)</v>
          </cell>
          <cell r="Y3424" t="str">
            <v>FT77/G DRN132M4 /TF</v>
          </cell>
          <cell r="Z3424" t="str">
            <v>SEW</v>
          </cell>
          <cell r="AB3424" t="str">
            <v>-</v>
          </cell>
          <cell r="AF3424">
            <v>58</v>
          </cell>
          <cell r="AG3424" t="str">
            <v>DRN132M4</v>
          </cell>
          <cell r="AH3424" t="str">
            <v>FT77G-DRN132M4270-X</v>
          </cell>
        </row>
        <row r="3425">
          <cell r="A3425" t="str">
            <v>MR003413</v>
          </cell>
          <cell r="B3425" t="str">
            <v>MR</v>
          </cell>
          <cell r="C3425">
            <v>5.5</v>
          </cell>
          <cell r="D3425">
            <v>50</v>
          </cell>
          <cell r="E3425" t="str">
            <v>KH77</v>
          </cell>
          <cell r="F3425">
            <v>1050</v>
          </cell>
          <cell r="G3425">
            <v>29.27</v>
          </cell>
          <cell r="H3425">
            <v>1.45</v>
          </cell>
          <cell r="I3425" t="str">
            <v>M4A</v>
          </cell>
          <cell r="J3425" t="str">
            <v>IE3</v>
          </cell>
          <cell r="K3425" t="str">
            <v>240/415</v>
          </cell>
          <cell r="L3425">
            <v>50</v>
          </cell>
          <cell r="M3425" t="str">
            <v>17,4/10,1</v>
          </cell>
          <cell r="N3425">
            <v>55</v>
          </cell>
          <cell r="O3425" t="str">
            <v>155(F)</v>
          </cell>
          <cell r="P3425" t="str">
            <v>270°</v>
          </cell>
          <cell r="Q3425" t="str">
            <v>-</v>
          </cell>
          <cell r="R3425" t="str">
            <v>-</v>
          </cell>
          <cell r="S3425" t="str">
            <v>-</v>
          </cell>
          <cell r="T3425" t="str">
            <v>-</v>
          </cell>
          <cell r="U3425" t="str">
            <v>T</v>
          </cell>
          <cell r="V3425" t="str">
            <v>D+R</v>
          </cell>
          <cell r="W3425" t="str">
            <v>-</v>
          </cell>
          <cell r="X3425" t="str">
            <v>CLP VG 220 = -15° + 40°</v>
          </cell>
          <cell r="Y3425" t="str">
            <v>KH77/T DRN132S4</v>
          </cell>
          <cell r="Z3425" t="str">
            <v>SEW</v>
          </cell>
          <cell r="AB3425" t="str">
            <v>-</v>
          </cell>
          <cell r="AF3425">
            <v>50</v>
          </cell>
          <cell r="AG3425" t="str">
            <v>DRN132S4</v>
          </cell>
          <cell r="AH3425" t="str">
            <v>KH77T-DRN132S4A270-X</v>
          </cell>
          <cell r="AI3425" t="str">
            <v>NON USARE</v>
          </cell>
        </row>
        <row r="3426">
          <cell r="A3426" t="str">
            <v>MR003414</v>
          </cell>
          <cell r="B3426" t="str">
            <v>MR</v>
          </cell>
          <cell r="C3426">
            <v>5.5</v>
          </cell>
          <cell r="D3426">
            <v>50</v>
          </cell>
          <cell r="E3426" t="str">
            <v>KH77</v>
          </cell>
          <cell r="F3426">
            <v>1050</v>
          </cell>
          <cell r="G3426">
            <v>29.27</v>
          </cell>
          <cell r="H3426">
            <v>1.45</v>
          </cell>
          <cell r="I3426" t="str">
            <v>M4B</v>
          </cell>
          <cell r="J3426" t="str">
            <v>IE3</v>
          </cell>
          <cell r="K3426" t="str">
            <v>240/415</v>
          </cell>
          <cell r="L3426">
            <v>50</v>
          </cell>
          <cell r="M3426" t="str">
            <v>17,4/10,1</v>
          </cell>
          <cell r="N3426">
            <v>55</v>
          </cell>
          <cell r="O3426" t="str">
            <v>155(F)</v>
          </cell>
          <cell r="P3426" t="str">
            <v>270°</v>
          </cell>
          <cell r="Q3426" t="str">
            <v>-</v>
          </cell>
          <cell r="R3426" t="str">
            <v>-</v>
          </cell>
          <cell r="S3426" t="str">
            <v>-</v>
          </cell>
          <cell r="T3426" t="str">
            <v>-</v>
          </cell>
          <cell r="U3426" t="str">
            <v>T</v>
          </cell>
          <cell r="V3426" t="str">
            <v>D+R</v>
          </cell>
          <cell r="W3426" t="str">
            <v>-</v>
          </cell>
          <cell r="X3426" t="str">
            <v>CLP VG 220 = -15° + 40°</v>
          </cell>
          <cell r="Y3426" t="str">
            <v>KH77/T DRN132S4</v>
          </cell>
          <cell r="Z3426" t="str">
            <v>SEW</v>
          </cell>
          <cell r="AB3426" t="str">
            <v>-</v>
          </cell>
          <cell r="AF3426">
            <v>50</v>
          </cell>
          <cell r="AG3426" t="str">
            <v>DRN132S4</v>
          </cell>
          <cell r="AH3426" t="str">
            <v>KH77T-DRN132S4B270-X</v>
          </cell>
          <cell r="AI3426" t="str">
            <v>NON USARE</v>
          </cell>
        </row>
        <row r="3427">
          <cell r="A3427" t="str">
            <v>MR003415</v>
          </cell>
          <cell r="B3427" t="str">
            <v>MR</v>
          </cell>
          <cell r="C3427">
            <v>1.1000000000000001</v>
          </cell>
          <cell r="D3427">
            <v>7.3</v>
          </cell>
          <cell r="E3427" t="str">
            <v>FV77</v>
          </cell>
          <cell r="F3427">
            <v>1430</v>
          </cell>
          <cell r="G3427">
            <v>198.31</v>
          </cell>
          <cell r="H3427">
            <v>1.05</v>
          </cell>
          <cell r="I3427" t="str">
            <v>M5</v>
          </cell>
          <cell r="J3427" t="str">
            <v>IE3</v>
          </cell>
          <cell r="K3427" t="str">
            <v>240/415</v>
          </cell>
          <cell r="L3427">
            <v>50</v>
          </cell>
          <cell r="M3427" t="str">
            <v>4,25/2,45</v>
          </cell>
          <cell r="N3427">
            <v>55</v>
          </cell>
          <cell r="O3427" t="str">
            <v>155(F)</v>
          </cell>
          <cell r="P3427" t="str">
            <v>180°</v>
          </cell>
          <cell r="Q3427" t="str">
            <v>TF</v>
          </cell>
          <cell r="R3427" t="str">
            <v>-</v>
          </cell>
          <cell r="S3427" t="str">
            <v>-</v>
          </cell>
          <cell r="T3427" t="str">
            <v>BEHF</v>
          </cell>
          <cell r="U3427" t="str">
            <v>G</v>
          </cell>
          <cell r="V3427" t="str">
            <v>FC+R</v>
          </cell>
          <cell r="W3427" t="str">
            <v>-</v>
          </cell>
          <cell r="X3427" t="str">
            <v>CLP VG 220 = -15° + 40°</v>
          </cell>
          <cell r="Y3427" t="str">
            <v>FV77/G DRN90S4 /BEHF /TF</v>
          </cell>
          <cell r="Z3427" t="str">
            <v>SEW</v>
          </cell>
          <cell r="AB3427" t="str">
            <v>-</v>
          </cell>
          <cell r="AE3427" t="str">
            <v>BROCCIATURA PER FV67-DIN 5480N45x2x30x21xH9</v>
          </cell>
          <cell r="AF3427">
            <v>7.3</v>
          </cell>
          <cell r="AG3427" t="str">
            <v>DRN90S4</v>
          </cell>
          <cell r="AH3427" t="str">
            <v>FV77G-DRN90S4180-X</v>
          </cell>
          <cell r="AI3427" t="str">
            <v>NON USARE</v>
          </cell>
        </row>
        <row r="3428">
          <cell r="A3428" t="str">
            <v>MR003416</v>
          </cell>
          <cell r="B3428" t="str">
            <v>MR</v>
          </cell>
          <cell r="C3428">
            <v>1.1000000000000001</v>
          </cell>
          <cell r="D3428">
            <v>7.3</v>
          </cell>
          <cell r="E3428" t="str">
            <v>FV77</v>
          </cell>
          <cell r="F3428">
            <v>1430</v>
          </cell>
          <cell r="G3428">
            <v>198.31</v>
          </cell>
          <cell r="H3428">
            <v>1.05</v>
          </cell>
          <cell r="I3428" t="str">
            <v>M6</v>
          </cell>
          <cell r="J3428" t="str">
            <v>IE3</v>
          </cell>
          <cell r="K3428" t="str">
            <v>240/415</v>
          </cell>
          <cell r="L3428">
            <v>50</v>
          </cell>
          <cell r="M3428" t="str">
            <v>4,25/2,45</v>
          </cell>
          <cell r="N3428">
            <v>55</v>
          </cell>
          <cell r="O3428" t="str">
            <v>155(F)</v>
          </cell>
          <cell r="P3428" t="str">
            <v>0°</v>
          </cell>
          <cell r="Q3428" t="str">
            <v>TF</v>
          </cell>
          <cell r="R3428" t="str">
            <v>-</v>
          </cell>
          <cell r="S3428" t="str">
            <v>-</v>
          </cell>
          <cell r="T3428" t="str">
            <v>BEHF</v>
          </cell>
          <cell r="U3428" t="str">
            <v>G</v>
          </cell>
          <cell r="V3428" t="str">
            <v>FC+R</v>
          </cell>
          <cell r="W3428" t="str">
            <v>-</v>
          </cell>
          <cell r="X3428" t="str">
            <v>CLP VG 220 = -15° + 40°</v>
          </cell>
          <cell r="Y3428" t="str">
            <v>FV77/G DRN90S4 /BEHF /TF</v>
          </cell>
          <cell r="Z3428" t="str">
            <v>SEW</v>
          </cell>
          <cell r="AB3428" t="str">
            <v>-</v>
          </cell>
          <cell r="AE3428" t="str">
            <v>BROCCIATURA PER FV67-DIN 5480N45x2x30x21xH9</v>
          </cell>
          <cell r="AF3428">
            <v>7.3</v>
          </cell>
          <cell r="AG3428" t="str">
            <v>DRN90S4</v>
          </cell>
          <cell r="AH3428" t="str">
            <v>FV77G-DRN90S40-X</v>
          </cell>
          <cell r="AI3428" t="str">
            <v>NON USARE</v>
          </cell>
        </row>
        <row r="3429">
          <cell r="A3429" t="str">
            <v>MR003417</v>
          </cell>
          <cell r="B3429" t="str">
            <v>MR</v>
          </cell>
          <cell r="C3429">
            <v>30</v>
          </cell>
          <cell r="D3429">
            <v>45</v>
          </cell>
          <cell r="E3429" t="str">
            <v>R137</v>
          </cell>
          <cell r="F3429">
            <v>6370</v>
          </cell>
          <cell r="G3429">
            <v>32.909999999999997</v>
          </cell>
          <cell r="H3429">
            <v>1.25</v>
          </cell>
          <cell r="I3429" t="str">
            <v>M1</v>
          </cell>
          <cell r="J3429" t="str">
            <v>IE3</v>
          </cell>
          <cell r="K3429" t="str">
            <v>240/415</v>
          </cell>
          <cell r="L3429">
            <v>50</v>
          </cell>
          <cell r="M3429" t="str">
            <v>93/54</v>
          </cell>
          <cell r="N3429">
            <v>55</v>
          </cell>
          <cell r="O3429" t="str">
            <v>155(F)</v>
          </cell>
          <cell r="P3429" t="str">
            <v>270°</v>
          </cell>
          <cell r="Q3429" t="str">
            <v>TF</v>
          </cell>
          <cell r="R3429" t="str">
            <v>V(VE)</v>
          </cell>
          <cell r="S3429" t="str">
            <v>-</v>
          </cell>
          <cell r="T3429" t="str">
            <v>-</v>
          </cell>
          <cell r="U3429" t="str">
            <v>-</v>
          </cell>
          <cell r="V3429" t="str">
            <v>FC</v>
          </cell>
          <cell r="W3429" t="str">
            <v>-</v>
          </cell>
          <cell r="X3429" t="str">
            <v>CLP VG 220 = -15° + 40°</v>
          </cell>
          <cell r="Y3429" t="str">
            <v>R137DRN200L4 /TF/V</v>
          </cell>
          <cell r="Z3429" t="str">
            <v>SEW</v>
          </cell>
          <cell r="AB3429" t="str">
            <v>-</v>
          </cell>
          <cell r="AF3429">
            <v>45</v>
          </cell>
          <cell r="AG3429" t="str">
            <v>DRN200L4</v>
          </cell>
          <cell r="AH3429" t="str">
            <v>R137-DRN200L4270-X#</v>
          </cell>
          <cell r="AI3429" t="str">
            <v>NON USARE</v>
          </cell>
        </row>
        <row r="3430">
          <cell r="A3430" t="str">
            <v>MR003418</v>
          </cell>
          <cell r="B3430" t="str">
            <v>MR</v>
          </cell>
          <cell r="C3430">
            <v>11</v>
          </cell>
          <cell r="D3430">
            <v>93</v>
          </cell>
          <cell r="E3430" t="str">
            <v>KH77</v>
          </cell>
          <cell r="F3430">
            <v>1120</v>
          </cell>
          <cell r="G3430">
            <v>15.84</v>
          </cell>
          <cell r="H3430">
            <v>1.25</v>
          </cell>
          <cell r="I3430" t="str">
            <v>From M4A to M1A - 30°</v>
          </cell>
          <cell r="J3430" t="str">
            <v>IE3</v>
          </cell>
          <cell r="K3430" t="str">
            <v>240/415</v>
          </cell>
          <cell r="L3430">
            <v>50</v>
          </cell>
          <cell r="M3430" t="str">
            <v>35/20</v>
          </cell>
          <cell r="N3430">
            <v>55</v>
          </cell>
          <cell r="O3430" t="str">
            <v>155(F)</v>
          </cell>
          <cell r="P3430" t="str">
            <v>270°</v>
          </cell>
          <cell r="Q3430" t="str">
            <v>-</v>
          </cell>
          <cell r="R3430" t="str">
            <v>-</v>
          </cell>
          <cell r="S3430" t="str">
            <v>Free rotation CCW</v>
          </cell>
          <cell r="T3430" t="str">
            <v>-</v>
          </cell>
          <cell r="U3430" t="str">
            <v>T</v>
          </cell>
          <cell r="V3430" t="str">
            <v>D</v>
          </cell>
          <cell r="W3430" t="str">
            <v>-</v>
          </cell>
          <cell r="X3430" t="str">
            <v>CLP VG 220 = -15° + 40°</v>
          </cell>
          <cell r="Y3430" t="str">
            <v>KH77/T DRN160M4 /RS</v>
          </cell>
          <cell r="Z3430" t="str">
            <v>SEW</v>
          </cell>
          <cell r="AB3430" t="str">
            <v>-</v>
          </cell>
          <cell r="AF3430">
            <v>93</v>
          </cell>
          <cell r="AG3430" t="str">
            <v>DRN160M4</v>
          </cell>
          <cell r="AH3430" t="str">
            <v>KH77T-DRN160M4A270-X</v>
          </cell>
          <cell r="AI3430" t="str">
            <v>NON USARE</v>
          </cell>
        </row>
        <row r="3431">
          <cell r="A3431" t="str">
            <v>MR003419</v>
          </cell>
          <cell r="B3431" t="str">
            <v>MR</v>
          </cell>
          <cell r="C3431">
            <v>11</v>
          </cell>
          <cell r="D3431">
            <v>93</v>
          </cell>
          <cell r="E3431" t="str">
            <v>KH77</v>
          </cell>
          <cell r="F3431">
            <v>1120</v>
          </cell>
          <cell r="G3431">
            <v>15.84</v>
          </cell>
          <cell r="H3431">
            <v>1.25</v>
          </cell>
          <cell r="I3431" t="str">
            <v>From M4B</v>
          </cell>
          <cell r="J3431" t="str">
            <v>IE3</v>
          </cell>
          <cell r="K3431" t="str">
            <v>240/415</v>
          </cell>
          <cell r="L3431">
            <v>50</v>
          </cell>
          <cell r="M3431" t="str">
            <v>35/20</v>
          </cell>
          <cell r="N3431">
            <v>55</v>
          </cell>
          <cell r="O3431" t="str">
            <v>155(F)</v>
          </cell>
          <cell r="P3431" t="str">
            <v>270°</v>
          </cell>
          <cell r="Q3431" t="str">
            <v>-</v>
          </cell>
          <cell r="R3431" t="str">
            <v>-</v>
          </cell>
          <cell r="S3431" t="str">
            <v>-</v>
          </cell>
          <cell r="T3431" t="str">
            <v>-</v>
          </cell>
          <cell r="U3431" t="str">
            <v>T</v>
          </cell>
          <cell r="V3431" t="str">
            <v>D</v>
          </cell>
          <cell r="W3431" t="str">
            <v>-</v>
          </cell>
          <cell r="X3431" t="str">
            <v>CLP VG 220 = -15° + 40°</v>
          </cell>
          <cell r="Y3431" t="str">
            <v>KH77/T DRN160M4</v>
          </cell>
          <cell r="Z3431" t="str">
            <v>SEW</v>
          </cell>
          <cell r="AB3431" t="str">
            <v>-</v>
          </cell>
          <cell r="AF3431">
            <v>93</v>
          </cell>
          <cell r="AG3431" t="str">
            <v>DRN160M4</v>
          </cell>
          <cell r="AH3431" t="str">
            <v>KH77T-DRN160M4B270-X</v>
          </cell>
          <cell r="AI3431" t="str">
            <v>NON USARE</v>
          </cell>
        </row>
        <row r="3432">
          <cell r="A3432" t="str">
            <v>MR003420</v>
          </cell>
          <cell r="B3432" t="str">
            <v>MR</v>
          </cell>
          <cell r="C3432">
            <v>0.75</v>
          </cell>
          <cell r="D3432">
            <v>162</v>
          </cell>
          <cell r="E3432" t="str">
            <v>KA37</v>
          </cell>
          <cell r="F3432">
            <v>44</v>
          </cell>
          <cell r="G3432">
            <v>8.91</v>
          </cell>
          <cell r="H3432">
            <v>3.1</v>
          </cell>
          <cell r="I3432" t="str">
            <v>From M3B to M2B - 30°</v>
          </cell>
          <cell r="J3432" t="str">
            <v>IE3</v>
          </cell>
          <cell r="K3432" t="str">
            <v>240/415</v>
          </cell>
          <cell r="L3432">
            <v>50</v>
          </cell>
          <cell r="M3432" t="str">
            <v>3,1/1,79</v>
          </cell>
          <cell r="N3432">
            <v>55</v>
          </cell>
          <cell r="O3432" t="str">
            <v>155(F)</v>
          </cell>
          <cell r="P3432" t="str">
            <v>0°</v>
          </cell>
          <cell r="Q3432" t="str">
            <v>-</v>
          </cell>
          <cell r="R3432" t="str">
            <v>-</v>
          </cell>
          <cell r="S3432" t="str">
            <v>-</v>
          </cell>
          <cell r="T3432" t="str">
            <v>-</v>
          </cell>
          <cell r="U3432" t="str">
            <v>T</v>
          </cell>
          <cell r="V3432" t="str">
            <v>D</v>
          </cell>
          <cell r="W3432" t="str">
            <v>-</v>
          </cell>
          <cell r="X3432" t="str">
            <v>CLP VG 220 = -15° + 40°</v>
          </cell>
          <cell r="Y3432" t="str">
            <v>KA37/T DRN80M4</v>
          </cell>
          <cell r="Z3432" t="str">
            <v>SEW</v>
          </cell>
          <cell r="AB3432" t="str">
            <v>-</v>
          </cell>
          <cell r="AF3432">
            <v>162</v>
          </cell>
          <cell r="AG3432" t="str">
            <v>DRN80M4</v>
          </cell>
          <cell r="AH3432" t="str">
            <v>KA37T-DRN80M4B0-X</v>
          </cell>
          <cell r="AI3432" t="str">
            <v>NON USARE</v>
          </cell>
        </row>
        <row r="3433">
          <cell r="A3433" t="str">
            <v>MR003421</v>
          </cell>
          <cell r="B3433" t="str">
            <v>MR</v>
          </cell>
          <cell r="C3433">
            <v>9.1999999999999993</v>
          </cell>
          <cell r="D3433">
            <v>76</v>
          </cell>
          <cell r="E3433" t="str">
            <v>KH87</v>
          </cell>
          <cell r="F3433">
            <v>1160</v>
          </cell>
          <cell r="G3433">
            <v>19.45</v>
          </cell>
          <cell r="H3433">
            <v>2</v>
          </cell>
          <cell r="I3433" t="str">
            <v>From M4A to M1A - 15°</v>
          </cell>
          <cell r="J3433" t="str">
            <v>IE3</v>
          </cell>
          <cell r="K3433" t="str">
            <v>240/415</v>
          </cell>
          <cell r="L3433">
            <v>50</v>
          </cell>
          <cell r="M3433" t="str">
            <v>31/18</v>
          </cell>
          <cell r="N3433">
            <v>55</v>
          </cell>
          <cell r="O3433" t="str">
            <v>155(F)</v>
          </cell>
          <cell r="P3433" t="str">
            <v>270°</v>
          </cell>
          <cell r="Q3433" t="str">
            <v>-</v>
          </cell>
          <cell r="R3433" t="str">
            <v>-</v>
          </cell>
          <cell r="S3433" t="str">
            <v>Free rotation CCW</v>
          </cell>
          <cell r="T3433" t="str">
            <v>-</v>
          </cell>
          <cell r="U3433" t="str">
            <v>T</v>
          </cell>
          <cell r="V3433" t="str">
            <v>D</v>
          </cell>
          <cell r="W3433" t="str">
            <v>-</v>
          </cell>
          <cell r="X3433" t="str">
            <v>CLP VG 220 = -15° + 40°</v>
          </cell>
          <cell r="Y3433" t="str">
            <v>KH87/T DRN132L4 /RS</v>
          </cell>
          <cell r="Z3433" t="str">
            <v>SEW</v>
          </cell>
          <cell r="AB3433" t="str">
            <v>-</v>
          </cell>
          <cell r="AF3433">
            <v>76</v>
          </cell>
          <cell r="AG3433" t="str">
            <v>DRN132L4</v>
          </cell>
          <cell r="AH3433" t="str">
            <v>KH87T-DRN132L4A270-X</v>
          </cell>
          <cell r="AI3433" t="str">
            <v>NON USARE</v>
          </cell>
        </row>
        <row r="3434">
          <cell r="A3434" t="str">
            <v>MR003422</v>
          </cell>
          <cell r="B3434" t="str">
            <v>MR</v>
          </cell>
          <cell r="C3434">
            <v>0.75</v>
          </cell>
          <cell r="D3434">
            <v>162</v>
          </cell>
          <cell r="E3434" t="str">
            <v>KA37</v>
          </cell>
          <cell r="F3434">
            <v>44</v>
          </cell>
          <cell r="G3434">
            <v>8.91</v>
          </cell>
          <cell r="H3434">
            <v>3.1</v>
          </cell>
          <cell r="I3434" t="str">
            <v>From M3B to M2B - 15°</v>
          </cell>
          <cell r="J3434" t="str">
            <v>IE3</v>
          </cell>
          <cell r="K3434" t="str">
            <v>240/415</v>
          </cell>
          <cell r="L3434">
            <v>50</v>
          </cell>
          <cell r="M3434" t="str">
            <v>3,1/1,79</v>
          </cell>
          <cell r="N3434">
            <v>55</v>
          </cell>
          <cell r="O3434" t="str">
            <v>155(F)</v>
          </cell>
          <cell r="P3434" t="str">
            <v>0°</v>
          </cell>
          <cell r="Q3434" t="str">
            <v>-</v>
          </cell>
          <cell r="R3434" t="str">
            <v>-</v>
          </cell>
          <cell r="S3434" t="str">
            <v>-</v>
          </cell>
          <cell r="T3434" t="str">
            <v>-</v>
          </cell>
          <cell r="U3434" t="str">
            <v>T</v>
          </cell>
          <cell r="V3434" t="str">
            <v>D</v>
          </cell>
          <cell r="W3434" t="str">
            <v>-</v>
          </cell>
          <cell r="X3434" t="str">
            <v>CLP VG 220 = -15° + 40°</v>
          </cell>
          <cell r="Y3434" t="str">
            <v>KA37/T DRN80M4</v>
          </cell>
          <cell r="Z3434" t="str">
            <v>SEW</v>
          </cell>
          <cell r="AB3434" t="str">
            <v>-</v>
          </cell>
          <cell r="AF3434">
            <v>162</v>
          </cell>
          <cell r="AG3434" t="str">
            <v>DRN80M4</v>
          </cell>
          <cell r="AH3434" t="str">
            <v>KA37T-DRN80M4B0-X</v>
          </cell>
          <cell r="AI3434" t="str">
            <v>NON USARE</v>
          </cell>
        </row>
        <row r="3435">
          <cell r="A3435" t="str">
            <v>MR003423</v>
          </cell>
          <cell r="B3435" t="str">
            <v>MR</v>
          </cell>
          <cell r="C3435">
            <v>30</v>
          </cell>
          <cell r="D3435">
            <v>107</v>
          </cell>
          <cell r="E3435" t="str">
            <v>KH97</v>
          </cell>
          <cell r="F3435">
            <v>2680</v>
          </cell>
          <cell r="G3435">
            <v>13.85</v>
          </cell>
          <cell r="H3435">
            <v>1.6</v>
          </cell>
          <cell r="I3435" t="str">
            <v>From M4A to M1A - 15°</v>
          </cell>
          <cell r="J3435" t="str">
            <v>IE3</v>
          </cell>
          <cell r="K3435" t="str">
            <v>240/415</v>
          </cell>
          <cell r="L3435">
            <v>50</v>
          </cell>
          <cell r="M3435" t="str">
            <v>93/54</v>
          </cell>
          <cell r="N3435">
            <v>55</v>
          </cell>
          <cell r="O3435" t="str">
            <v>155(F)</v>
          </cell>
          <cell r="P3435" t="str">
            <v>270°</v>
          </cell>
          <cell r="Q3435" t="str">
            <v>TF</v>
          </cell>
          <cell r="R3435" t="str">
            <v>V(VE)</v>
          </cell>
          <cell r="S3435" t="str">
            <v>Free rotation CCW</v>
          </cell>
          <cell r="T3435" t="str">
            <v>-</v>
          </cell>
          <cell r="U3435" t="str">
            <v>T</v>
          </cell>
          <cell r="V3435" t="str">
            <v>FC</v>
          </cell>
          <cell r="W3435" t="str">
            <v>-</v>
          </cell>
          <cell r="X3435" t="str">
            <v>CLP VG 220 = -15° + 40°</v>
          </cell>
          <cell r="Y3435" t="str">
            <v>KH97/T DRN200L4 /RS /TF/V</v>
          </cell>
          <cell r="Z3435" t="str">
            <v>SEW</v>
          </cell>
          <cell r="AB3435" t="str">
            <v>-</v>
          </cell>
          <cell r="AF3435">
            <v>107</v>
          </cell>
          <cell r="AG3435" t="str">
            <v>DRN200L4</v>
          </cell>
          <cell r="AH3435" t="str">
            <v>KH97T-DRN200L4A270-X#</v>
          </cell>
          <cell r="AI3435" t="str">
            <v>NON USARE</v>
          </cell>
        </row>
        <row r="3436">
          <cell r="A3436" t="str">
            <v>MR003424</v>
          </cell>
          <cell r="B3436" t="str">
            <v>MR</v>
          </cell>
          <cell r="C3436">
            <v>0.75</v>
          </cell>
          <cell r="D3436">
            <v>162</v>
          </cell>
          <cell r="E3436" t="str">
            <v>KA37</v>
          </cell>
          <cell r="F3436">
            <v>44</v>
          </cell>
          <cell r="G3436">
            <v>8.91</v>
          </cell>
          <cell r="H3436">
            <v>3.1</v>
          </cell>
          <cell r="I3436" t="str">
            <v>From M3A to M4A - 15°</v>
          </cell>
          <cell r="J3436" t="str">
            <v>IE3</v>
          </cell>
          <cell r="K3436" t="str">
            <v>240/415</v>
          </cell>
          <cell r="L3436">
            <v>50</v>
          </cell>
          <cell r="M3436" t="str">
            <v>3,1/1,79</v>
          </cell>
          <cell r="N3436">
            <v>55</v>
          </cell>
          <cell r="O3436" t="str">
            <v>155(F)</v>
          </cell>
          <cell r="P3436" t="str">
            <v>180°</v>
          </cell>
          <cell r="Q3436" t="str">
            <v>-</v>
          </cell>
          <cell r="R3436" t="str">
            <v>-</v>
          </cell>
          <cell r="S3436" t="str">
            <v>-</v>
          </cell>
          <cell r="T3436" t="str">
            <v>-</v>
          </cell>
          <cell r="U3436" t="str">
            <v>T</v>
          </cell>
          <cell r="V3436" t="str">
            <v>D</v>
          </cell>
          <cell r="W3436" t="str">
            <v>-</v>
          </cell>
          <cell r="X3436" t="str">
            <v>CLP VG 220 = -15° + 40°</v>
          </cell>
          <cell r="Y3436" t="str">
            <v>KA37/T DRN80M4</v>
          </cell>
          <cell r="Z3436" t="str">
            <v>SEW</v>
          </cell>
          <cell r="AB3436" t="str">
            <v>-</v>
          </cell>
          <cell r="AF3436">
            <v>162</v>
          </cell>
          <cell r="AG3436" t="str">
            <v>DRN80M4</v>
          </cell>
          <cell r="AH3436" t="str">
            <v>KA37T-DRN80M4A180-X</v>
          </cell>
          <cell r="AI3436" t="str">
            <v>NON USARE</v>
          </cell>
        </row>
        <row r="3437">
          <cell r="A3437" t="str">
            <v>MR003426</v>
          </cell>
          <cell r="B3437" t="str">
            <v>MR</v>
          </cell>
          <cell r="C3437">
            <v>3</v>
          </cell>
          <cell r="D3437">
            <v>14</v>
          </cell>
          <cell r="E3437" t="str">
            <v>KH87</v>
          </cell>
          <cell r="F3437">
            <v>2020</v>
          </cell>
          <cell r="G3437">
            <v>102.71</v>
          </cell>
          <cell r="H3437">
            <v>1.35</v>
          </cell>
          <cell r="I3437" t="str">
            <v>M1A</v>
          </cell>
          <cell r="J3437" t="str">
            <v>IE3</v>
          </cell>
          <cell r="K3437" t="str">
            <v>230/400</v>
          </cell>
          <cell r="L3437">
            <v>50</v>
          </cell>
          <cell r="M3437" t="str">
            <v>11,2/6,4</v>
          </cell>
          <cell r="N3437">
            <v>65</v>
          </cell>
          <cell r="O3437" t="str">
            <v>155(F)</v>
          </cell>
          <cell r="P3437" t="str">
            <v>270°</v>
          </cell>
          <cell r="Q3437" t="str">
            <v>-</v>
          </cell>
          <cell r="R3437" t="str">
            <v>-</v>
          </cell>
          <cell r="S3437" t="str">
            <v>-</v>
          </cell>
          <cell r="T3437" t="str">
            <v>-</v>
          </cell>
          <cell r="U3437" t="str">
            <v>-</v>
          </cell>
          <cell r="V3437" t="str">
            <v>SS</v>
          </cell>
          <cell r="W3437" t="str">
            <v>-</v>
          </cell>
          <cell r="X3437" t="str">
            <v>CLP VG 220 = -15° + 40°</v>
          </cell>
          <cell r="Y3437" t="str">
            <v>KH87DRN100L4</v>
          </cell>
          <cell r="Z3437" t="str">
            <v>SEW</v>
          </cell>
          <cell r="AB3437" t="str">
            <v>-</v>
          </cell>
          <cell r="AF3437">
            <v>14</v>
          </cell>
          <cell r="AG3437" t="str">
            <v>DRN100L4</v>
          </cell>
          <cell r="AH3437" t="str">
            <v>KH87-DRN100L4A270-X</v>
          </cell>
        </row>
        <row r="3438">
          <cell r="A3438" t="str">
            <v>MR003427</v>
          </cell>
          <cell r="B3438" t="str">
            <v>MR</v>
          </cell>
          <cell r="C3438">
            <v>11</v>
          </cell>
          <cell r="D3438">
            <v>17</v>
          </cell>
          <cell r="E3438" t="str">
            <v>R137</v>
          </cell>
          <cell r="F3438">
            <v>6330</v>
          </cell>
          <cell r="G3438">
            <v>88.7</v>
          </cell>
          <cell r="H3438">
            <v>1.25</v>
          </cell>
          <cell r="I3438" t="str">
            <v>M1</v>
          </cell>
          <cell r="J3438" t="str">
            <v>IE3</v>
          </cell>
          <cell r="K3438" t="str">
            <v>230/400</v>
          </cell>
          <cell r="L3438">
            <v>50</v>
          </cell>
          <cell r="M3438" t="str">
            <v>36,5/21</v>
          </cell>
          <cell r="N3438">
            <v>65</v>
          </cell>
          <cell r="O3438" t="str">
            <v>155(F)</v>
          </cell>
          <cell r="P3438" t="str">
            <v>270°</v>
          </cell>
          <cell r="Q3438" t="str">
            <v>TF</v>
          </cell>
          <cell r="R3438" t="str">
            <v>V(VE)</v>
          </cell>
          <cell r="S3438" t="str">
            <v>-</v>
          </cell>
          <cell r="T3438" t="str">
            <v>-</v>
          </cell>
          <cell r="U3438" t="str">
            <v>-</v>
          </cell>
          <cell r="V3438" t="str">
            <v>FC</v>
          </cell>
          <cell r="W3438" t="str">
            <v>-</v>
          </cell>
          <cell r="X3438" t="str">
            <v>CLP HC VG 220 = -20° + 60°</v>
          </cell>
          <cell r="Y3438" t="str">
            <v>R137EDRN160M4 /TF/VE</v>
          </cell>
          <cell r="Z3438" t="str">
            <v>SEW</v>
          </cell>
          <cell r="AB3438" t="str">
            <v>ATEX22</v>
          </cell>
          <cell r="AF3438">
            <v>17</v>
          </cell>
          <cell r="AG3438" t="str">
            <v>EDRN160M4</v>
          </cell>
          <cell r="AH3438" t="str">
            <v>R137-EDRN160M4270-X#</v>
          </cell>
        </row>
        <row r="3439">
          <cell r="A3439" t="str">
            <v>MR003428</v>
          </cell>
          <cell r="B3439" t="str">
            <v>MR</v>
          </cell>
          <cell r="C3439">
            <v>9.1999999999999993</v>
          </cell>
          <cell r="D3439">
            <v>76</v>
          </cell>
          <cell r="E3439" t="str">
            <v>KH87</v>
          </cell>
          <cell r="F3439">
            <v>1160</v>
          </cell>
          <cell r="G3439">
            <v>19.45</v>
          </cell>
          <cell r="H3439">
            <v>1.95</v>
          </cell>
          <cell r="I3439" t="str">
            <v>M4A</v>
          </cell>
          <cell r="J3439" t="str">
            <v>IE3</v>
          </cell>
          <cell r="K3439" t="str">
            <v>400/690</v>
          </cell>
          <cell r="L3439">
            <v>50</v>
          </cell>
          <cell r="M3439" t="str">
            <v>18,7/10,8</v>
          </cell>
          <cell r="N3439">
            <v>65</v>
          </cell>
          <cell r="O3439" t="str">
            <v>155(F)</v>
          </cell>
          <cell r="P3439" t="str">
            <v>270°</v>
          </cell>
          <cell r="Q3439" t="str">
            <v>-</v>
          </cell>
          <cell r="R3439" t="str">
            <v>-</v>
          </cell>
          <cell r="S3439" t="str">
            <v>Free rotation CCW</v>
          </cell>
          <cell r="T3439" t="str">
            <v>-</v>
          </cell>
          <cell r="U3439" t="str">
            <v>T</v>
          </cell>
          <cell r="V3439" t="str">
            <v>SS</v>
          </cell>
          <cell r="W3439" t="str">
            <v>-</v>
          </cell>
          <cell r="X3439" t="str">
            <v>CLP HC VG 220 = -20° + 60°</v>
          </cell>
          <cell r="Y3439" t="str">
            <v>KH87/T EDRN132L4 /RS</v>
          </cell>
          <cell r="Z3439" t="str">
            <v>SEW</v>
          </cell>
          <cell r="AB3439" t="str">
            <v>ATEX22</v>
          </cell>
          <cell r="AF3439">
            <v>76</v>
          </cell>
          <cell r="AG3439" t="str">
            <v>EDRN132L4</v>
          </cell>
          <cell r="AH3439" t="str">
            <v>KH87T-EDRN132L4A270-X</v>
          </cell>
        </row>
        <row r="3440">
          <cell r="A3440" t="str">
            <v>MR003429</v>
          </cell>
          <cell r="B3440" t="str">
            <v>MR</v>
          </cell>
          <cell r="C3440">
            <v>0.75</v>
          </cell>
          <cell r="D3440">
            <v>162</v>
          </cell>
          <cell r="E3440" t="str">
            <v>KA37</v>
          </cell>
          <cell r="F3440">
            <v>44</v>
          </cell>
          <cell r="G3440">
            <v>8.91</v>
          </cell>
          <cell r="H3440">
            <v>3.1</v>
          </cell>
          <cell r="I3440" t="str">
            <v>From M1A to M2A - 30°</v>
          </cell>
          <cell r="J3440" t="str">
            <v>IE3</v>
          </cell>
          <cell r="K3440" t="str">
            <v>230/400</v>
          </cell>
          <cell r="L3440">
            <v>50</v>
          </cell>
          <cell r="M3440" t="str">
            <v>3,05/1,75</v>
          </cell>
          <cell r="N3440">
            <v>65</v>
          </cell>
          <cell r="O3440" t="str">
            <v>155(F)</v>
          </cell>
          <cell r="P3440" t="str">
            <v>270°</v>
          </cell>
          <cell r="Q3440" t="str">
            <v>-</v>
          </cell>
          <cell r="R3440" t="str">
            <v>-</v>
          </cell>
          <cell r="S3440" t="str">
            <v>-</v>
          </cell>
          <cell r="T3440" t="str">
            <v>-</v>
          </cell>
          <cell r="U3440" t="str">
            <v>T</v>
          </cell>
          <cell r="V3440" t="str">
            <v>D</v>
          </cell>
          <cell r="W3440" t="str">
            <v>-</v>
          </cell>
          <cell r="X3440" t="str">
            <v>CLP HC VG 220 = -20° + 60°</v>
          </cell>
          <cell r="Y3440" t="str">
            <v>KA37/T EDRN80M4</v>
          </cell>
          <cell r="Z3440" t="str">
            <v>SEW</v>
          </cell>
          <cell r="AB3440" t="str">
            <v>ATEX22</v>
          </cell>
          <cell r="AF3440">
            <v>162</v>
          </cell>
          <cell r="AG3440" t="str">
            <v>EDRN80M4</v>
          </cell>
          <cell r="AH3440" t="str">
            <v>KA37T-EDRN80M4A270-X</v>
          </cell>
        </row>
        <row r="3441">
          <cell r="A3441" t="str">
            <v>MR003430</v>
          </cell>
          <cell r="B3441" t="str">
            <v>MR</v>
          </cell>
          <cell r="C3441">
            <v>3</v>
          </cell>
          <cell r="D3441">
            <v>62</v>
          </cell>
          <cell r="E3441" t="str">
            <v>R67</v>
          </cell>
          <cell r="F3441">
            <v>460</v>
          </cell>
          <cell r="G3441">
            <v>23.44</v>
          </cell>
          <cell r="H3441">
            <v>1.1000000000000001</v>
          </cell>
          <cell r="I3441" t="str">
            <v>M1</v>
          </cell>
          <cell r="J3441" t="str">
            <v>IE3</v>
          </cell>
          <cell r="K3441" t="str">
            <v>230/400</v>
          </cell>
          <cell r="L3441">
            <v>50</v>
          </cell>
          <cell r="M3441" t="str">
            <v>11,2/6,4</v>
          </cell>
          <cell r="N3441">
            <v>65</v>
          </cell>
          <cell r="O3441" t="str">
            <v>155(F)</v>
          </cell>
          <cell r="P3441" t="str">
            <v>270°</v>
          </cell>
          <cell r="Q3441" t="str">
            <v>-</v>
          </cell>
          <cell r="R3441" t="str">
            <v>-</v>
          </cell>
          <cell r="S3441" t="str">
            <v>-</v>
          </cell>
          <cell r="T3441" t="str">
            <v>-</v>
          </cell>
          <cell r="U3441" t="str">
            <v>-</v>
          </cell>
          <cell r="V3441" t="str">
            <v>D</v>
          </cell>
          <cell r="W3441" t="str">
            <v>-</v>
          </cell>
          <cell r="X3441" t="str">
            <v>CLP HC VG 220 = -20° + 60°</v>
          </cell>
          <cell r="Y3441" t="str">
            <v>R67EDRN100L4</v>
          </cell>
          <cell r="Z3441" t="str">
            <v>SEW</v>
          </cell>
          <cell r="AB3441" t="str">
            <v>ATEX22</v>
          </cell>
          <cell r="AF3441">
            <v>62</v>
          </cell>
          <cell r="AG3441" t="str">
            <v>EDRN100L4</v>
          </cell>
          <cell r="AH3441" t="str">
            <v>R67-EDRN100L4270-X</v>
          </cell>
        </row>
        <row r="3442">
          <cell r="A3442" t="str">
            <v>MR003431</v>
          </cell>
          <cell r="B3442" t="str">
            <v>MR</v>
          </cell>
          <cell r="C3442">
            <v>5.5</v>
          </cell>
          <cell r="D3442">
            <v>52</v>
          </cell>
          <cell r="E3442" t="str">
            <v>R87</v>
          </cell>
          <cell r="F3442">
            <v>1000</v>
          </cell>
          <cell r="G3442">
            <v>27.84</v>
          </cell>
          <cell r="H3442">
            <v>1.1499999999999999</v>
          </cell>
          <cell r="I3442" t="str">
            <v>M1</v>
          </cell>
          <cell r="J3442" t="str">
            <v>IE3</v>
          </cell>
          <cell r="K3442" t="str">
            <v>230/400</v>
          </cell>
          <cell r="L3442">
            <v>50</v>
          </cell>
          <cell r="M3442" t="str">
            <v>18,2/10,5</v>
          </cell>
          <cell r="N3442">
            <v>65</v>
          </cell>
          <cell r="O3442" t="str">
            <v>155(F)</v>
          </cell>
          <cell r="P3442" t="str">
            <v>270°</v>
          </cell>
          <cell r="Q3442" t="str">
            <v>TF</v>
          </cell>
          <cell r="R3442" t="str">
            <v>V(VE)</v>
          </cell>
          <cell r="S3442" t="str">
            <v>-</v>
          </cell>
          <cell r="T3442" t="str">
            <v>-</v>
          </cell>
          <cell r="U3442" t="str">
            <v>-</v>
          </cell>
          <cell r="V3442" t="str">
            <v>FC</v>
          </cell>
          <cell r="W3442" t="str">
            <v>-</v>
          </cell>
          <cell r="X3442" t="str">
            <v>CLP HC VG 220 = -20° + 60°</v>
          </cell>
          <cell r="Y3442" t="str">
            <v>R87EDRN132S4 /TF/VE</v>
          </cell>
          <cell r="Z3442" t="str">
            <v>SEW</v>
          </cell>
          <cell r="AB3442" t="str">
            <v>ATEX22</v>
          </cell>
          <cell r="AF3442">
            <v>52</v>
          </cell>
          <cell r="AG3442" t="str">
            <v>EDRN132S4</v>
          </cell>
          <cell r="AH3442" t="str">
            <v>R87-EDRN132S4270-X#</v>
          </cell>
        </row>
        <row r="3443">
          <cell r="A3443" t="str">
            <v>MR003432</v>
          </cell>
          <cell r="B3443" t="str">
            <v>MR</v>
          </cell>
          <cell r="C3443">
            <v>2.2000000000000002</v>
          </cell>
          <cell r="D3443">
            <v>84</v>
          </cell>
          <cell r="E3443" t="str">
            <v>FH47</v>
          </cell>
          <cell r="F3443">
            <v>250</v>
          </cell>
          <cell r="G3443">
            <v>17.329999999999998</v>
          </cell>
          <cell r="H3443">
            <v>1.6</v>
          </cell>
          <cell r="I3443" t="str">
            <v>M1</v>
          </cell>
          <cell r="J3443" t="str">
            <v>IE3</v>
          </cell>
          <cell r="K3443" t="str">
            <v>230/400</v>
          </cell>
          <cell r="L3443">
            <v>50</v>
          </cell>
          <cell r="M3443" t="str">
            <v>8,3/4,8</v>
          </cell>
          <cell r="N3443">
            <v>65</v>
          </cell>
          <cell r="O3443" t="str">
            <v>155(F)</v>
          </cell>
          <cell r="P3443" t="str">
            <v>270°</v>
          </cell>
          <cell r="Q3443" t="str">
            <v>-</v>
          </cell>
          <cell r="R3443" t="str">
            <v>-</v>
          </cell>
          <cell r="S3443" t="str">
            <v>-</v>
          </cell>
          <cell r="T3443" t="str">
            <v>-</v>
          </cell>
          <cell r="U3443" t="str">
            <v>G</v>
          </cell>
          <cell r="V3443" t="str">
            <v>D</v>
          </cell>
          <cell r="W3443" t="str">
            <v>-</v>
          </cell>
          <cell r="X3443" t="str">
            <v>CLP HC VG 220 = -20° + 60°</v>
          </cell>
          <cell r="Y3443" t="str">
            <v>FH47/G EDRN100LS4</v>
          </cell>
          <cell r="Z3443" t="str">
            <v>SEW</v>
          </cell>
          <cell r="AB3443" t="str">
            <v>ATEX22</v>
          </cell>
          <cell r="AF3443">
            <v>84</v>
          </cell>
          <cell r="AG3443" t="str">
            <v>EDRN100LS4</v>
          </cell>
          <cell r="AH3443" t="str">
            <v>FH47G-EDRN100LS4270-X</v>
          </cell>
        </row>
        <row r="3444">
          <cell r="A3444" t="str">
            <v>MR003433</v>
          </cell>
          <cell r="B3444" t="str">
            <v>MR</v>
          </cell>
          <cell r="C3444">
            <v>5.5</v>
          </cell>
          <cell r="D3444">
            <v>14</v>
          </cell>
          <cell r="E3444" t="str">
            <v>KH97</v>
          </cell>
          <cell r="F3444">
            <v>3780</v>
          </cell>
          <cell r="G3444">
            <v>105.13</v>
          </cell>
          <cell r="H3444">
            <v>1.1000000000000001</v>
          </cell>
          <cell r="I3444" t="str">
            <v>From M1B to M2B - 35°</v>
          </cell>
          <cell r="J3444" t="str">
            <v>IE3</v>
          </cell>
          <cell r="K3444" t="str">
            <v>230/400</v>
          </cell>
          <cell r="L3444">
            <v>50</v>
          </cell>
          <cell r="M3444" t="str">
            <v>18,2/10,5</v>
          </cell>
          <cell r="N3444">
            <v>65</v>
          </cell>
          <cell r="O3444" t="str">
            <v>155(F)</v>
          </cell>
          <cell r="P3444" t="str">
            <v>270°</v>
          </cell>
          <cell r="Q3444" t="str">
            <v>-</v>
          </cell>
          <cell r="R3444" t="str">
            <v>-</v>
          </cell>
          <cell r="S3444" t="str">
            <v>-</v>
          </cell>
          <cell r="T3444" t="str">
            <v>-</v>
          </cell>
          <cell r="U3444" t="str">
            <v>-</v>
          </cell>
          <cell r="V3444" t="str">
            <v>SS</v>
          </cell>
          <cell r="W3444" t="str">
            <v>-</v>
          </cell>
          <cell r="X3444" t="str">
            <v>CLP HC VG 220 = -20° + 60°</v>
          </cell>
          <cell r="Y3444" t="str">
            <v>KH97EDRN132S4</v>
          </cell>
          <cell r="Z3444" t="str">
            <v>SEW</v>
          </cell>
          <cell r="AB3444" t="str">
            <v>ATEX22</v>
          </cell>
          <cell r="AF3444">
            <v>14</v>
          </cell>
          <cell r="AG3444" t="str">
            <v>EDRN132S4</v>
          </cell>
          <cell r="AH3444" t="str">
            <v>KH97-EDRN132S4B270-X</v>
          </cell>
        </row>
        <row r="3445">
          <cell r="A3445" t="str">
            <v>MR003434</v>
          </cell>
          <cell r="B3445" t="str">
            <v>MR</v>
          </cell>
          <cell r="C3445">
            <v>4</v>
          </cell>
          <cell r="D3445">
            <v>63</v>
          </cell>
          <cell r="E3445" t="str">
            <v>R87</v>
          </cell>
          <cell r="F3445">
            <v>610</v>
          </cell>
          <cell r="G3445">
            <v>23.4</v>
          </cell>
          <cell r="H3445">
            <v>2</v>
          </cell>
          <cell r="I3445" t="str">
            <v>From M1 to M4 - 15°</v>
          </cell>
          <cell r="J3445" t="str">
            <v>IE3</v>
          </cell>
          <cell r="K3445" t="str">
            <v>230/400</v>
          </cell>
          <cell r="L3445">
            <v>50</v>
          </cell>
          <cell r="M3445" t="str">
            <v>13,8/7,9</v>
          </cell>
          <cell r="N3445">
            <v>65</v>
          </cell>
          <cell r="O3445" t="str">
            <v>155(F)</v>
          </cell>
          <cell r="P3445" t="str">
            <v>270°</v>
          </cell>
          <cell r="Q3445" t="str">
            <v>-</v>
          </cell>
          <cell r="R3445" t="str">
            <v>-</v>
          </cell>
          <cell r="S3445" t="str">
            <v>-</v>
          </cell>
          <cell r="T3445" t="str">
            <v>-</v>
          </cell>
          <cell r="U3445" t="str">
            <v>-</v>
          </cell>
          <cell r="V3445" t="str">
            <v>D</v>
          </cell>
          <cell r="W3445" t="str">
            <v>-</v>
          </cell>
          <cell r="X3445" t="str">
            <v>CLP HC VG 220 = -20° + 60°</v>
          </cell>
          <cell r="Y3445" t="str">
            <v>R87EDRN112M4</v>
          </cell>
          <cell r="Z3445" t="str">
            <v>SEW</v>
          </cell>
          <cell r="AB3445" t="str">
            <v>ATEX22</v>
          </cell>
          <cell r="AF3445">
            <v>63</v>
          </cell>
          <cell r="AG3445" t="str">
            <v>EDRN112M4</v>
          </cell>
          <cell r="AH3445" t="str">
            <v>R87-EDRN112M4270-X</v>
          </cell>
        </row>
        <row r="3446">
          <cell r="A3446" t="str">
            <v>MR003435</v>
          </cell>
          <cell r="B3446" t="str">
            <v>MR</v>
          </cell>
          <cell r="C3446">
            <v>4</v>
          </cell>
          <cell r="D3446">
            <v>63</v>
          </cell>
          <cell r="E3446" t="str">
            <v>R87</v>
          </cell>
          <cell r="F3446">
            <v>610</v>
          </cell>
          <cell r="G3446">
            <v>23.4</v>
          </cell>
          <cell r="H3446">
            <v>2</v>
          </cell>
          <cell r="I3446" t="str">
            <v>M1</v>
          </cell>
          <cell r="J3446" t="str">
            <v>IE3</v>
          </cell>
          <cell r="K3446" t="str">
            <v>230/400</v>
          </cell>
          <cell r="L3446">
            <v>50</v>
          </cell>
          <cell r="M3446" t="str">
            <v>13,8/7,9</v>
          </cell>
          <cell r="N3446">
            <v>65</v>
          </cell>
          <cell r="O3446" t="str">
            <v>155(F)</v>
          </cell>
          <cell r="P3446" t="str">
            <v>270°</v>
          </cell>
          <cell r="Q3446" t="str">
            <v>-</v>
          </cell>
          <cell r="R3446" t="str">
            <v>-</v>
          </cell>
          <cell r="S3446" t="str">
            <v>-</v>
          </cell>
          <cell r="T3446" t="str">
            <v>-</v>
          </cell>
          <cell r="U3446" t="str">
            <v>-</v>
          </cell>
          <cell r="V3446" t="str">
            <v>D</v>
          </cell>
          <cell r="W3446" t="str">
            <v>-</v>
          </cell>
          <cell r="X3446" t="str">
            <v>CLP HC VG 220 = -20° + 60°</v>
          </cell>
          <cell r="Y3446" t="str">
            <v>R87EDRN112M4</v>
          </cell>
          <cell r="Z3446" t="str">
            <v>SEW</v>
          </cell>
          <cell r="AB3446" t="str">
            <v>ATEX22</v>
          </cell>
          <cell r="AF3446">
            <v>63</v>
          </cell>
          <cell r="AG3446" t="str">
            <v>EDRN112M4</v>
          </cell>
          <cell r="AH3446" t="str">
            <v>R87-EDRN112M4270-X</v>
          </cell>
        </row>
        <row r="3447">
          <cell r="A3447" t="str">
            <v>MR003436</v>
          </cell>
          <cell r="B3447" t="str">
            <v>MR</v>
          </cell>
          <cell r="C3447">
            <v>11</v>
          </cell>
          <cell r="D3447">
            <v>15</v>
          </cell>
          <cell r="E3447" t="str">
            <v>KH107</v>
          </cell>
          <cell r="F3447">
            <v>7180</v>
          </cell>
          <cell r="G3447">
            <v>100.75</v>
          </cell>
          <cell r="H3447">
            <v>1.05</v>
          </cell>
          <cell r="I3447" t="str">
            <v>From M1B to M2B - 25°</v>
          </cell>
          <cell r="J3447" t="str">
            <v>IE3</v>
          </cell>
          <cell r="K3447" t="str">
            <v>400/690</v>
          </cell>
          <cell r="L3447">
            <v>50</v>
          </cell>
          <cell r="M3447" t="str">
            <v>21,0/12,2</v>
          </cell>
          <cell r="N3447">
            <v>65</v>
          </cell>
          <cell r="O3447" t="str">
            <v>155(F)</v>
          </cell>
          <cell r="P3447" t="str">
            <v>270°</v>
          </cell>
          <cell r="Q3447" t="str">
            <v>-</v>
          </cell>
          <cell r="R3447" t="str">
            <v>-</v>
          </cell>
          <cell r="S3447" t="str">
            <v>-</v>
          </cell>
          <cell r="T3447" t="str">
            <v>-</v>
          </cell>
          <cell r="U3447" t="str">
            <v>-</v>
          </cell>
          <cell r="V3447" t="str">
            <v>SS</v>
          </cell>
          <cell r="W3447" t="str">
            <v>-</v>
          </cell>
          <cell r="X3447" t="str">
            <v>CLP HC VG 220 = -20° + 60°</v>
          </cell>
          <cell r="Y3447" t="str">
            <v>KH107EDRN160M4</v>
          </cell>
          <cell r="Z3447" t="str">
            <v>SEW</v>
          </cell>
          <cell r="AB3447" t="str">
            <v>ATEX22</v>
          </cell>
          <cell r="AF3447">
            <v>15</v>
          </cell>
          <cell r="AG3447" t="str">
            <v>EDRN160M4</v>
          </cell>
          <cell r="AH3447" t="str">
            <v>KH107-EDRN160M4B270-X</v>
          </cell>
        </row>
        <row r="3448">
          <cell r="A3448" t="str">
            <v>MR003437</v>
          </cell>
          <cell r="B3448" t="str">
            <v>MR</v>
          </cell>
          <cell r="C3448">
            <v>11</v>
          </cell>
          <cell r="D3448">
            <v>16</v>
          </cell>
          <cell r="E3448" t="str">
            <v>KH107</v>
          </cell>
          <cell r="F3448">
            <v>6490</v>
          </cell>
          <cell r="G3448" t="str">
            <v>90,96</v>
          </cell>
          <cell r="H3448" t="str">
            <v>1,15</v>
          </cell>
          <cell r="I3448" t="str">
            <v>From M1A to M2A - 25°</v>
          </cell>
          <cell r="J3448" t="str">
            <v>IE3</v>
          </cell>
          <cell r="K3448" t="str">
            <v>230/400</v>
          </cell>
          <cell r="L3448">
            <v>50</v>
          </cell>
          <cell r="M3448" t="str">
            <v>37/21,5</v>
          </cell>
          <cell r="N3448">
            <v>65</v>
          </cell>
          <cell r="O3448" t="str">
            <v>155(F)</v>
          </cell>
          <cell r="P3448" t="str">
            <v>180°</v>
          </cell>
          <cell r="Q3448" t="str">
            <v>TF</v>
          </cell>
          <cell r="R3448" t="str">
            <v>V(VE)</v>
          </cell>
          <cell r="S3448" t="str">
            <v>-</v>
          </cell>
          <cell r="T3448" t="str">
            <v>-</v>
          </cell>
          <cell r="U3448" t="str">
            <v>-</v>
          </cell>
          <cell r="V3448" t="str">
            <v>FC</v>
          </cell>
          <cell r="W3448" t="str">
            <v>YES</v>
          </cell>
          <cell r="X3448" t="str">
            <v>CLP PG VG 220 = -20° + 80°</v>
          </cell>
          <cell r="Y3448" t="str">
            <v>KH107EDRN160M4 /TF/VE</v>
          </cell>
          <cell r="Z3448" t="str">
            <v>SEW</v>
          </cell>
          <cell r="AB3448" t="str">
            <v>ATEX22</v>
          </cell>
          <cell r="AF3448">
            <v>16</v>
          </cell>
          <cell r="AG3448" t="str">
            <v>EDRN160M4</v>
          </cell>
          <cell r="AH3448" t="str">
            <v>KH107-EDRN160M4A180-X#</v>
          </cell>
        </row>
        <row r="3449">
          <cell r="A3449" t="str">
            <v>MR003438</v>
          </cell>
          <cell r="B3449" t="str">
            <v>MR</v>
          </cell>
          <cell r="C3449">
            <v>11</v>
          </cell>
          <cell r="D3449">
            <v>16</v>
          </cell>
          <cell r="E3449" t="str">
            <v>KH107</v>
          </cell>
          <cell r="F3449">
            <v>6490</v>
          </cell>
          <cell r="G3449" t="str">
            <v>90,96</v>
          </cell>
          <cell r="H3449" t="str">
            <v>1,15</v>
          </cell>
          <cell r="I3449" t="str">
            <v>From M1B to M2B - 25°</v>
          </cell>
          <cell r="J3449" t="str">
            <v>IE3</v>
          </cell>
          <cell r="K3449" t="str">
            <v>230/400</v>
          </cell>
          <cell r="L3449">
            <v>50</v>
          </cell>
          <cell r="M3449" t="str">
            <v>37/21,5</v>
          </cell>
          <cell r="N3449">
            <v>65</v>
          </cell>
          <cell r="O3449" t="str">
            <v>155(F)</v>
          </cell>
          <cell r="P3449" t="str">
            <v>0°</v>
          </cell>
          <cell r="Q3449" t="str">
            <v>TF</v>
          </cell>
          <cell r="R3449" t="str">
            <v>V(VE)</v>
          </cell>
          <cell r="S3449" t="str">
            <v>-</v>
          </cell>
          <cell r="T3449" t="str">
            <v>-</v>
          </cell>
          <cell r="U3449" t="str">
            <v>-</v>
          </cell>
          <cell r="V3449" t="str">
            <v>FC</v>
          </cell>
          <cell r="W3449" t="str">
            <v>YES</v>
          </cell>
          <cell r="X3449" t="str">
            <v>CLP PG VG 220 = -20° + 80°</v>
          </cell>
          <cell r="Y3449" t="str">
            <v>KH107EDRN160M4 /TF/VE</v>
          </cell>
          <cell r="Z3449" t="str">
            <v>SEW</v>
          </cell>
          <cell r="AB3449" t="str">
            <v>ATEX22</v>
          </cell>
          <cell r="AF3449">
            <v>16</v>
          </cell>
          <cell r="AG3449" t="str">
            <v>EDRN160M4</v>
          </cell>
          <cell r="AH3449" t="str">
            <v>KH107-EDRN160M4B0-X#</v>
          </cell>
        </row>
        <row r="3450">
          <cell r="A3450" t="str">
            <v>MR003439</v>
          </cell>
          <cell r="B3450" t="str">
            <v>MR</v>
          </cell>
          <cell r="C3450">
            <v>4</v>
          </cell>
          <cell r="D3450">
            <v>14</v>
          </cell>
          <cell r="E3450" t="str">
            <v>KH97</v>
          </cell>
          <cell r="F3450">
            <v>2740</v>
          </cell>
          <cell r="G3450">
            <v>105.13</v>
          </cell>
          <cell r="H3450">
            <v>1.55</v>
          </cell>
          <cell r="I3450" t="str">
            <v>From M1B to M2B - 40°</v>
          </cell>
          <cell r="J3450" t="str">
            <v>IE3</v>
          </cell>
          <cell r="K3450" t="str">
            <v>230/400</v>
          </cell>
          <cell r="L3450">
            <v>50</v>
          </cell>
          <cell r="M3450" t="str">
            <v>13,8/7,9</v>
          </cell>
          <cell r="N3450">
            <v>55</v>
          </cell>
          <cell r="O3450" t="str">
            <v>155(F)</v>
          </cell>
          <cell r="P3450" t="str">
            <v>270°</v>
          </cell>
          <cell r="Q3450" t="str">
            <v>TF</v>
          </cell>
          <cell r="R3450" t="str">
            <v>-</v>
          </cell>
          <cell r="S3450" t="str">
            <v>-</v>
          </cell>
          <cell r="T3450" t="str">
            <v>-</v>
          </cell>
          <cell r="U3450" t="str">
            <v>-</v>
          </cell>
          <cell r="V3450" t="str">
            <v>SS</v>
          </cell>
          <cell r="W3450" t="str">
            <v>YES</v>
          </cell>
          <cell r="X3450" t="str">
            <v>CLP HC VG 150 = -40° + 40°</v>
          </cell>
          <cell r="Y3450" t="str">
            <v>KH97DRN112M4 /TF</v>
          </cell>
          <cell r="Z3450" t="str">
            <v>SEW</v>
          </cell>
          <cell r="AB3450" t="str">
            <v>-</v>
          </cell>
          <cell r="AF3450">
            <v>14</v>
          </cell>
          <cell r="AG3450" t="str">
            <v>DRN112M4</v>
          </cell>
          <cell r="AH3450" t="str">
            <v>KH97-DRN112M4B270-X</v>
          </cell>
        </row>
        <row r="3451">
          <cell r="A3451" t="str">
            <v>MR003440</v>
          </cell>
          <cell r="B3451" t="str">
            <v>MR</v>
          </cell>
          <cell r="C3451">
            <v>11</v>
          </cell>
          <cell r="D3451">
            <v>50</v>
          </cell>
          <cell r="E3451" t="str">
            <v>R107</v>
          </cell>
          <cell r="F3451">
            <v>2100</v>
          </cell>
          <cell r="G3451">
            <v>29.49</v>
          </cell>
          <cell r="H3451">
            <v>2</v>
          </cell>
          <cell r="I3451" t="str">
            <v>M1</v>
          </cell>
          <cell r="J3451" t="str">
            <v>IE3</v>
          </cell>
          <cell r="K3451" t="str">
            <v>230/400</v>
          </cell>
          <cell r="L3451">
            <v>50</v>
          </cell>
          <cell r="M3451" t="str">
            <v>36,5/21</v>
          </cell>
          <cell r="N3451">
            <v>55</v>
          </cell>
          <cell r="O3451" t="str">
            <v>155(F)</v>
          </cell>
          <cell r="P3451" t="str">
            <v>270°</v>
          </cell>
          <cell r="Q3451" t="str">
            <v>TF</v>
          </cell>
          <cell r="R3451" t="str">
            <v>V(VE)</v>
          </cell>
          <cell r="S3451" t="str">
            <v>-</v>
          </cell>
          <cell r="T3451" t="str">
            <v>-</v>
          </cell>
          <cell r="U3451" t="str">
            <v>-</v>
          </cell>
          <cell r="V3451" t="str">
            <v>FC</v>
          </cell>
          <cell r="W3451" t="str">
            <v>YES</v>
          </cell>
          <cell r="X3451" t="str">
            <v>CLP HC VG 150 = -40° + 40°</v>
          </cell>
          <cell r="Y3451" t="str">
            <v>R107DRN160M4 /TF/V</v>
          </cell>
          <cell r="Z3451" t="str">
            <v>SEW</v>
          </cell>
          <cell r="AB3451" t="str">
            <v>-</v>
          </cell>
          <cell r="AF3451">
            <v>50</v>
          </cell>
          <cell r="AG3451" t="str">
            <v>DRN160M4</v>
          </cell>
          <cell r="AH3451" t="str">
            <v>R107-DRN160M4270-X#</v>
          </cell>
        </row>
        <row r="3452">
          <cell r="A3452" t="str">
            <v>MR003441</v>
          </cell>
          <cell r="B3452" t="str">
            <v>MR</v>
          </cell>
          <cell r="C3452">
            <v>18.5</v>
          </cell>
          <cell r="D3452">
            <v>54</v>
          </cell>
          <cell r="E3452" t="str">
            <v>FT97</v>
          </cell>
          <cell r="F3452">
            <v>3280</v>
          </cell>
          <cell r="G3452">
            <v>27.44</v>
          </cell>
          <cell r="H3452">
            <v>1.3</v>
          </cell>
          <cell r="I3452" t="str">
            <v>M1</v>
          </cell>
          <cell r="J3452" t="str">
            <v>IE3</v>
          </cell>
          <cell r="K3452" t="str">
            <v>400/690</v>
          </cell>
          <cell r="L3452">
            <v>50</v>
          </cell>
          <cell r="M3452" t="str">
            <v>33,5/19,3</v>
          </cell>
          <cell r="N3452">
            <v>65</v>
          </cell>
          <cell r="O3452" t="str">
            <v>155(F)</v>
          </cell>
          <cell r="P3452" t="str">
            <v>270°</v>
          </cell>
          <cell r="Q3452" t="str">
            <v>TF</v>
          </cell>
          <cell r="R3452" t="str">
            <v>-</v>
          </cell>
          <cell r="S3452" t="str">
            <v>-</v>
          </cell>
          <cell r="T3452" t="str">
            <v>-</v>
          </cell>
          <cell r="U3452" t="str">
            <v>G</v>
          </cell>
          <cell r="V3452" t="str">
            <v>D+R</v>
          </cell>
          <cell r="W3452" t="str">
            <v>-</v>
          </cell>
          <cell r="X3452" t="str">
            <v>CLP HC 150 (-30/+50°C)</v>
          </cell>
          <cell r="Y3452" t="str">
            <v>FT97/G DRN180M4 /TF</v>
          </cell>
          <cell r="Z3452" t="str">
            <v>SEW</v>
          </cell>
          <cell r="AB3452" t="str">
            <v>-</v>
          </cell>
          <cell r="AF3452">
            <v>54</v>
          </cell>
          <cell r="AG3452" t="str">
            <v>DRN180M4</v>
          </cell>
          <cell r="AH3452" t="str">
            <v>FT97G-DRN180M4270-X</v>
          </cell>
        </row>
        <row r="3453">
          <cell r="A3453" t="str">
            <v>MR003442</v>
          </cell>
          <cell r="B3453" t="str">
            <v>MR</v>
          </cell>
          <cell r="C3453">
            <v>11</v>
          </cell>
          <cell r="D3453">
            <v>34</v>
          </cell>
          <cell r="E3453" t="str">
            <v>R97</v>
          </cell>
          <cell r="F3453">
            <v>3050</v>
          </cell>
          <cell r="G3453">
            <v>42.78</v>
          </cell>
          <cell r="H3453">
            <v>1</v>
          </cell>
          <cell r="I3453" t="str">
            <v>From M1 to M4-15°</v>
          </cell>
          <cell r="J3453" t="str">
            <v>IE3</v>
          </cell>
          <cell r="K3453" t="str">
            <v>400/690</v>
          </cell>
          <cell r="L3453">
            <v>50</v>
          </cell>
          <cell r="M3453" t="str">
            <v>21/12,2</v>
          </cell>
          <cell r="N3453">
            <v>65</v>
          </cell>
          <cell r="O3453" t="str">
            <v>155(F)</v>
          </cell>
          <cell r="P3453" t="str">
            <v>270°</v>
          </cell>
          <cell r="Q3453" t="str">
            <v>TF</v>
          </cell>
          <cell r="R3453" t="str">
            <v>V(VE)</v>
          </cell>
          <cell r="S3453" t="str">
            <v>-</v>
          </cell>
          <cell r="T3453" t="str">
            <v>-</v>
          </cell>
          <cell r="U3453" t="str">
            <v>-</v>
          </cell>
          <cell r="V3453" t="str">
            <v>FC</v>
          </cell>
          <cell r="W3453" t="str">
            <v>-</v>
          </cell>
          <cell r="X3453" t="str">
            <v>CLP HC 150 (-30/+50°C)</v>
          </cell>
          <cell r="Y3453" t="str">
            <v>R97DRN160M4 /TF/V</v>
          </cell>
          <cell r="Z3453" t="str">
            <v>SEW</v>
          </cell>
          <cell r="AB3453" t="str">
            <v>-</v>
          </cell>
          <cell r="AF3453">
            <v>34</v>
          </cell>
          <cell r="AG3453" t="str">
            <v>DRN160M4</v>
          </cell>
          <cell r="AH3453" t="str">
            <v>R97-DRN160M4270-X#</v>
          </cell>
        </row>
        <row r="3454">
          <cell r="A3454" t="str">
            <v>MR003443</v>
          </cell>
          <cell r="B3454" t="str">
            <v>MR</v>
          </cell>
          <cell r="C3454">
            <v>2.2000000000000002</v>
          </cell>
          <cell r="D3454">
            <v>84</v>
          </cell>
          <cell r="E3454" t="str">
            <v>FH47</v>
          </cell>
          <cell r="F3454">
            <v>250</v>
          </cell>
          <cell r="G3454">
            <v>17.329999999999998</v>
          </cell>
          <cell r="H3454">
            <v>1.6</v>
          </cell>
          <cell r="I3454" t="str">
            <v>M1</v>
          </cell>
          <cell r="J3454" t="str">
            <v>IE3</v>
          </cell>
          <cell r="K3454" t="str">
            <v>230/400</v>
          </cell>
          <cell r="L3454">
            <v>50</v>
          </cell>
          <cell r="M3454" t="str">
            <v>8,3/4,75</v>
          </cell>
          <cell r="N3454">
            <v>65</v>
          </cell>
          <cell r="O3454" t="str">
            <v>155(F)</v>
          </cell>
          <cell r="P3454" t="str">
            <v>270°</v>
          </cell>
          <cell r="Q3454" t="str">
            <v>TF</v>
          </cell>
          <cell r="R3454" t="str">
            <v>-</v>
          </cell>
          <cell r="S3454" t="str">
            <v>-</v>
          </cell>
          <cell r="T3454" t="str">
            <v>-</v>
          </cell>
          <cell r="U3454" t="str">
            <v>G</v>
          </cell>
          <cell r="V3454" t="str">
            <v>D</v>
          </cell>
          <cell r="W3454" t="str">
            <v>-</v>
          </cell>
          <cell r="X3454" t="str">
            <v>CLP HC 150 (-30/+50°C)</v>
          </cell>
          <cell r="Y3454" t="str">
            <v>FH47/G DRN100LS4 /TF</v>
          </cell>
          <cell r="Z3454" t="str">
            <v>SEW</v>
          </cell>
          <cell r="AB3454" t="str">
            <v>-</v>
          </cell>
          <cell r="AF3454">
            <v>84</v>
          </cell>
          <cell r="AG3454" t="str">
            <v>DRN100LS4</v>
          </cell>
          <cell r="AH3454" t="str">
            <v>FH47G-DRN100LS4270-X</v>
          </cell>
        </row>
        <row r="3455">
          <cell r="A3455" t="str">
            <v>MR003444</v>
          </cell>
          <cell r="B3455" t="str">
            <v>MR</v>
          </cell>
          <cell r="C3455">
            <v>4</v>
          </cell>
          <cell r="D3455">
            <v>66</v>
          </cell>
          <cell r="E3455" t="str">
            <v>FT67</v>
          </cell>
          <cell r="F3455">
            <v>575</v>
          </cell>
          <cell r="G3455">
            <v>22.05</v>
          </cell>
          <cell r="H3455">
            <v>1.45</v>
          </cell>
          <cell r="I3455" t="str">
            <v>M1</v>
          </cell>
          <cell r="J3455" t="str">
            <v>IE3</v>
          </cell>
          <cell r="K3455" t="str">
            <v>230/400</v>
          </cell>
          <cell r="L3455">
            <v>50</v>
          </cell>
          <cell r="M3455" t="str">
            <v>13,8/7,9</v>
          </cell>
          <cell r="N3455">
            <v>65</v>
          </cell>
          <cell r="O3455" t="str">
            <v>155(F)</v>
          </cell>
          <cell r="P3455" t="str">
            <v>270°</v>
          </cell>
          <cell r="Q3455" t="str">
            <v>TF</v>
          </cell>
          <cell r="R3455" t="str">
            <v>-</v>
          </cell>
          <cell r="S3455" t="str">
            <v>-</v>
          </cell>
          <cell r="T3455" t="str">
            <v>-</v>
          </cell>
          <cell r="U3455" t="str">
            <v>G</v>
          </cell>
          <cell r="V3455" t="str">
            <v>D</v>
          </cell>
          <cell r="W3455" t="str">
            <v>-</v>
          </cell>
          <cell r="X3455" t="str">
            <v>CLP HC 150 (-30/+50°C)</v>
          </cell>
          <cell r="Y3455" t="str">
            <v>FT67/G DRN112M4 /TF</v>
          </cell>
          <cell r="Z3455" t="str">
            <v>SEW</v>
          </cell>
          <cell r="AB3455" t="str">
            <v>-</v>
          </cell>
          <cell r="AF3455">
            <v>66</v>
          </cell>
          <cell r="AG3455" t="str">
            <v>DRN112M4</v>
          </cell>
          <cell r="AH3455" t="str">
            <v>FT67G-DRN112M4270-X</v>
          </cell>
        </row>
        <row r="3456">
          <cell r="A3456" t="str">
            <v>MR003445</v>
          </cell>
          <cell r="B3456" t="str">
            <v>MR</v>
          </cell>
          <cell r="C3456">
            <v>11</v>
          </cell>
          <cell r="D3456">
            <v>62</v>
          </cell>
          <cell r="E3456" t="str">
            <v>FT87</v>
          </cell>
          <cell r="F3456">
            <v>1690</v>
          </cell>
          <cell r="G3456">
            <v>23.68</v>
          </cell>
          <cell r="H3456">
            <v>1.8</v>
          </cell>
          <cell r="I3456" t="str">
            <v>M3</v>
          </cell>
          <cell r="J3456" t="str">
            <v>IE3</v>
          </cell>
          <cell r="K3456" t="str">
            <v>400/690</v>
          </cell>
          <cell r="L3456">
            <v>50</v>
          </cell>
          <cell r="M3456" t="str">
            <v>21/12,2</v>
          </cell>
          <cell r="N3456">
            <v>65</v>
          </cell>
          <cell r="O3456" t="str">
            <v>155(F)</v>
          </cell>
          <cell r="P3456" t="str">
            <v>90°</v>
          </cell>
          <cell r="Q3456" t="str">
            <v>TF</v>
          </cell>
          <cell r="R3456" t="str">
            <v>-</v>
          </cell>
          <cell r="S3456" t="str">
            <v>-</v>
          </cell>
          <cell r="T3456" t="str">
            <v>-</v>
          </cell>
          <cell r="U3456" t="str">
            <v>G</v>
          </cell>
          <cell r="V3456" t="str">
            <v>D</v>
          </cell>
          <cell r="W3456" t="str">
            <v>-</v>
          </cell>
          <cell r="X3456" t="str">
            <v>CLP HC 150 (-30/+50°C)</v>
          </cell>
          <cell r="Y3456" t="str">
            <v>FT87/G DRN160M4 /TF</v>
          </cell>
          <cell r="Z3456" t="str">
            <v>SEW</v>
          </cell>
          <cell r="AB3456" t="str">
            <v>-</v>
          </cell>
          <cell r="AF3456">
            <v>62</v>
          </cell>
          <cell r="AG3456" t="str">
            <v>DRN160M4</v>
          </cell>
          <cell r="AH3456" t="str">
            <v>FT87G-DRN160M490-X</v>
          </cell>
        </row>
        <row r="3457">
          <cell r="A3457" t="str">
            <v>MR003446</v>
          </cell>
          <cell r="B3457" t="str">
            <v>MR</v>
          </cell>
          <cell r="C3457">
            <v>5.5</v>
          </cell>
          <cell r="D3457">
            <v>57</v>
          </cell>
          <cell r="E3457" t="str">
            <v>FT77</v>
          </cell>
          <cell r="F3457">
            <v>920</v>
          </cell>
          <cell r="G3457">
            <v>25.5</v>
          </cell>
          <cell r="H3457">
            <v>1.65</v>
          </cell>
          <cell r="I3457" t="str">
            <v>M1</v>
          </cell>
          <cell r="J3457" t="str">
            <v>IE3</v>
          </cell>
          <cell r="K3457" t="str">
            <v>230/400</v>
          </cell>
          <cell r="L3457">
            <v>50</v>
          </cell>
          <cell r="M3457" t="str">
            <v>18,2/10,5</v>
          </cell>
          <cell r="N3457">
            <v>65</v>
          </cell>
          <cell r="O3457" t="str">
            <v>155(F)</v>
          </cell>
          <cell r="P3457" t="str">
            <v>270°</v>
          </cell>
          <cell r="Q3457" t="str">
            <v>TF</v>
          </cell>
          <cell r="R3457" t="str">
            <v>-</v>
          </cell>
          <cell r="S3457" t="str">
            <v>-</v>
          </cell>
          <cell r="T3457" t="str">
            <v>-</v>
          </cell>
          <cell r="U3457" t="str">
            <v>G</v>
          </cell>
          <cell r="V3457" t="str">
            <v>D</v>
          </cell>
          <cell r="W3457" t="str">
            <v>-</v>
          </cell>
          <cell r="X3457" t="str">
            <v>CLP HC 150 (-30/+50°C)</v>
          </cell>
          <cell r="Y3457" t="str">
            <v>FT77/G DRN132S4 /TF</v>
          </cell>
          <cell r="Z3457" t="str">
            <v>SEW</v>
          </cell>
          <cell r="AB3457" t="str">
            <v>-</v>
          </cell>
          <cell r="AF3457">
            <v>57</v>
          </cell>
          <cell r="AG3457" t="str">
            <v>DRN132S4</v>
          </cell>
          <cell r="AH3457" t="str">
            <v>FT77G-DRN132S4270-X</v>
          </cell>
        </row>
        <row r="3458">
          <cell r="A3458" t="str">
            <v>MR003447</v>
          </cell>
          <cell r="B3458" t="str">
            <v>MR</v>
          </cell>
          <cell r="C3458">
            <v>30</v>
          </cell>
          <cell r="D3458">
            <v>16</v>
          </cell>
          <cell r="E3458" t="str">
            <v>KT157</v>
          </cell>
          <cell r="F3458">
            <v>17700</v>
          </cell>
          <cell r="G3458">
            <v>91.65</v>
          </cell>
          <cell r="H3458">
            <v>1.1499999999999999</v>
          </cell>
          <cell r="I3458" t="str">
            <v>From M4B to M1B-45°</v>
          </cell>
          <cell r="J3458" t="str">
            <v>IE3</v>
          </cell>
          <cell r="K3458" t="str">
            <v>400/690</v>
          </cell>
          <cell r="L3458">
            <v>50</v>
          </cell>
          <cell r="M3458" t="str">
            <v>56/32,5</v>
          </cell>
          <cell r="N3458">
            <v>65</v>
          </cell>
          <cell r="O3458" t="str">
            <v>155(F)</v>
          </cell>
          <cell r="P3458" t="str">
            <v>270°</v>
          </cell>
          <cell r="Q3458" t="str">
            <v>TF</v>
          </cell>
          <cell r="R3458" t="str">
            <v>V(VE)</v>
          </cell>
          <cell r="S3458" t="str">
            <v>-</v>
          </cell>
          <cell r="T3458" t="str">
            <v>-</v>
          </cell>
          <cell r="U3458" t="str">
            <v>-</v>
          </cell>
          <cell r="V3458" t="str">
            <v>FC</v>
          </cell>
          <cell r="W3458" t="str">
            <v>-</v>
          </cell>
          <cell r="X3458" t="str">
            <v>CLP HC 150 (-30/+50°C)</v>
          </cell>
          <cell r="Y3458" t="str">
            <v>KT157DRN200L4 /TF/V</v>
          </cell>
          <cell r="Z3458" t="str">
            <v>SEW</v>
          </cell>
          <cell r="AB3458" t="str">
            <v>-</v>
          </cell>
          <cell r="AF3458">
            <v>16</v>
          </cell>
          <cell r="AG3458" t="str">
            <v>DRN200L4</v>
          </cell>
          <cell r="AH3458" t="str">
            <v>KT157-DRN200L4B270-X#</v>
          </cell>
        </row>
        <row r="3459">
          <cell r="A3459" t="str">
            <v>MR003448</v>
          </cell>
          <cell r="B3459" t="str">
            <v>MR</v>
          </cell>
          <cell r="C3459">
            <v>7.5</v>
          </cell>
          <cell r="D3459">
            <v>12</v>
          </cell>
          <cell r="E3459" t="str">
            <v>KT107</v>
          </cell>
          <cell r="F3459">
            <v>5930</v>
          </cell>
          <cell r="G3459">
            <v>121.46</v>
          </cell>
          <cell r="H3459">
            <v>1.35</v>
          </cell>
          <cell r="I3459" t="str">
            <v>From M1A to M2A-45°</v>
          </cell>
          <cell r="J3459" t="str">
            <v>IE3</v>
          </cell>
          <cell r="K3459" t="str">
            <v>400/690</v>
          </cell>
          <cell r="L3459">
            <v>50</v>
          </cell>
          <cell r="M3459" t="str">
            <v>15,2/8,8</v>
          </cell>
          <cell r="N3459">
            <v>65</v>
          </cell>
          <cell r="O3459" t="str">
            <v>155(F)</v>
          </cell>
          <cell r="P3459" t="str">
            <v>180°</v>
          </cell>
          <cell r="Q3459" t="str">
            <v>TF</v>
          </cell>
          <cell r="R3459" t="str">
            <v>V(VE)</v>
          </cell>
          <cell r="S3459" t="str">
            <v>-</v>
          </cell>
          <cell r="T3459" t="str">
            <v>-</v>
          </cell>
          <cell r="U3459" t="str">
            <v>-</v>
          </cell>
          <cell r="V3459" t="str">
            <v>FC</v>
          </cell>
          <cell r="W3459" t="str">
            <v>-</v>
          </cell>
          <cell r="X3459" t="str">
            <v>CLP HC 150 (-30/+50°C)</v>
          </cell>
          <cell r="Y3459" t="str">
            <v>KT107DRN132M4 /TF/V</v>
          </cell>
          <cell r="Z3459" t="str">
            <v>SEW</v>
          </cell>
          <cell r="AB3459" t="str">
            <v>-</v>
          </cell>
          <cell r="AF3459">
            <v>12</v>
          </cell>
          <cell r="AG3459" t="str">
            <v>DRN132M4</v>
          </cell>
          <cell r="AH3459" t="str">
            <v>KT107-DRN132M4A180-X#</v>
          </cell>
        </row>
        <row r="3460">
          <cell r="A3460" t="str">
            <v>MR003449</v>
          </cell>
          <cell r="B3460" t="str">
            <v>MR</v>
          </cell>
          <cell r="C3460">
            <v>5.5</v>
          </cell>
          <cell r="D3460">
            <v>68</v>
          </cell>
          <cell r="E3460" t="str">
            <v>R87</v>
          </cell>
          <cell r="F3460">
            <v>770</v>
          </cell>
          <cell r="G3460">
            <v>21.51</v>
          </cell>
          <cell r="H3460">
            <v>1.95</v>
          </cell>
          <cell r="I3460" t="str">
            <v>M1</v>
          </cell>
          <cell r="J3460" t="str">
            <v>IE3</v>
          </cell>
          <cell r="K3460" t="str">
            <v>230/400</v>
          </cell>
          <cell r="L3460">
            <v>50</v>
          </cell>
          <cell r="M3460" t="str">
            <v>18,2/10,5</v>
          </cell>
          <cell r="N3460">
            <v>65</v>
          </cell>
          <cell r="O3460" t="str">
            <v>155(F)</v>
          </cell>
          <cell r="P3460" t="str">
            <v>270°</v>
          </cell>
          <cell r="Q3460" t="str">
            <v>TF</v>
          </cell>
          <cell r="R3460" t="str">
            <v>-</v>
          </cell>
          <cell r="S3460" t="str">
            <v>-</v>
          </cell>
          <cell r="T3460" t="str">
            <v>-</v>
          </cell>
          <cell r="U3460" t="str">
            <v>-</v>
          </cell>
          <cell r="V3460" t="str">
            <v>D</v>
          </cell>
          <cell r="W3460" t="str">
            <v>-</v>
          </cell>
          <cell r="X3460" t="str">
            <v>CLP VG 220 = -15° + 40°</v>
          </cell>
          <cell r="Y3460" t="str">
            <v>R87DRN132S4 /TF</v>
          </cell>
          <cell r="Z3460" t="str">
            <v>SEW</v>
          </cell>
          <cell r="AB3460" t="str">
            <v>-</v>
          </cell>
          <cell r="AF3460">
            <v>68</v>
          </cell>
          <cell r="AG3460" t="str">
            <v>DRN132S4</v>
          </cell>
          <cell r="AH3460" t="str">
            <v>R87-DRN132S4270-X</v>
          </cell>
        </row>
        <row r="3461">
          <cell r="A3461" t="str">
            <v>MR003450</v>
          </cell>
          <cell r="B3461" t="str">
            <v>MR</v>
          </cell>
          <cell r="C3461">
            <v>9.1999999999999993</v>
          </cell>
          <cell r="D3461">
            <v>66</v>
          </cell>
          <cell r="E3461" t="str">
            <v>R97</v>
          </cell>
          <cell r="F3461">
            <v>1330</v>
          </cell>
          <cell r="G3461">
            <v>22.37</v>
          </cell>
          <cell r="H3461">
            <v>2</v>
          </cell>
          <cell r="I3461" t="str">
            <v>From M1 to M4 - 40°</v>
          </cell>
          <cell r="J3461" t="str">
            <v>IE3</v>
          </cell>
          <cell r="K3461" t="str">
            <v>400/690</v>
          </cell>
          <cell r="L3461">
            <v>50</v>
          </cell>
          <cell r="M3461" t="str">
            <v>18,7/10,8</v>
          </cell>
          <cell r="N3461">
            <v>65</v>
          </cell>
          <cell r="O3461" t="str">
            <v>155(F)</v>
          </cell>
          <cell r="P3461" t="str">
            <v>270°</v>
          </cell>
          <cell r="Q3461" t="str">
            <v>TF</v>
          </cell>
          <cell r="R3461" t="str">
            <v>-</v>
          </cell>
          <cell r="S3461" t="str">
            <v>-</v>
          </cell>
          <cell r="T3461" t="str">
            <v>-</v>
          </cell>
          <cell r="U3461" t="str">
            <v>-</v>
          </cell>
          <cell r="V3461" t="str">
            <v>D</v>
          </cell>
          <cell r="W3461" t="str">
            <v>-</v>
          </cell>
          <cell r="X3461" t="str">
            <v>CLP VG 220 = -15° + 40°</v>
          </cell>
          <cell r="Y3461" t="str">
            <v>R97DRN132L4 /TF</v>
          </cell>
          <cell r="Z3461" t="str">
            <v>SEW</v>
          </cell>
          <cell r="AB3461" t="str">
            <v>-</v>
          </cell>
          <cell r="AF3461">
            <v>66</v>
          </cell>
          <cell r="AG3461" t="str">
            <v>DRN132L4</v>
          </cell>
          <cell r="AH3461" t="str">
            <v>R97-DRN132L4270-X</v>
          </cell>
        </row>
        <row r="3462">
          <cell r="A3462" t="str">
            <v>MR003451</v>
          </cell>
          <cell r="B3462" t="str">
            <v>MR</v>
          </cell>
          <cell r="C3462">
            <v>15</v>
          </cell>
          <cell r="D3462">
            <v>20</v>
          </cell>
          <cell r="E3462" t="str">
            <v>R137</v>
          </cell>
          <cell r="F3462">
            <v>7140</v>
          </cell>
          <cell r="G3462">
            <v>73.489999999999995</v>
          </cell>
          <cell r="H3462">
            <v>1.1000000000000001</v>
          </cell>
          <cell r="I3462" t="str">
            <v>From M1 to M4 - 15°</v>
          </cell>
          <cell r="J3462" t="str">
            <v>IE3</v>
          </cell>
          <cell r="K3462" t="str">
            <v>230/400</v>
          </cell>
          <cell r="L3462">
            <v>50</v>
          </cell>
          <cell r="M3462" t="str">
            <v>50/29</v>
          </cell>
          <cell r="N3462">
            <v>65</v>
          </cell>
          <cell r="O3462" t="str">
            <v>155(F)</v>
          </cell>
          <cell r="P3462" t="str">
            <v>270°</v>
          </cell>
          <cell r="Q3462" t="str">
            <v>TF</v>
          </cell>
          <cell r="R3462" t="str">
            <v>V(VE)</v>
          </cell>
          <cell r="S3462" t="str">
            <v>-</v>
          </cell>
          <cell r="T3462" t="str">
            <v>-</v>
          </cell>
          <cell r="U3462" t="str">
            <v>-</v>
          </cell>
          <cell r="V3462" t="str">
            <v>FC</v>
          </cell>
          <cell r="W3462" t="str">
            <v>-</v>
          </cell>
          <cell r="X3462" t="str">
            <v>CLP HC VG 220 = -20° + 60°</v>
          </cell>
          <cell r="Y3462" t="str">
            <v>R137DRN160L4 /TF/V</v>
          </cell>
          <cell r="Z3462" t="str">
            <v>SEW</v>
          </cell>
          <cell r="AB3462" t="str">
            <v>-</v>
          </cell>
          <cell r="AF3462">
            <v>20</v>
          </cell>
          <cell r="AG3462" t="str">
            <v>DRN160L4</v>
          </cell>
          <cell r="AH3462" t="str">
            <v>R137-DRN160L4270-X#</v>
          </cell>
        </row>
        <row r="3463">
          <cell r="A3463" t="str">
            <v>MR003452</v>
          </cell>
          <cell r="B3463" t="str">
            <v>MR</v>
          </cell>
          <cell r="C3463">
            <v>22</v>
          </cell>
          <cell r="D3463">
            <v>27</v>
          </cell>
          <cell r="E3463" t="str">
            <v>KH127</v>
          </cell>
          <cell r="F3463">
            <v>7690</v>
          </cell>
          <cell r="G3463">
            <v>54.07</v>
          </cell>
          <cell r="H3463">
            <v>1.7</v>
          </cell>
          <cell r="I3463" t="str">
            <v>From M1A to M4A - 50°</v>
          </cell>
          <cell r="J3463" t="str">
            <v>IE3</v>
          </cell>
          <cell r="K3463" t="str">
            <v>230/400</v>
          </cell>
          <cell r="L3463">
            <v>50</v>
          </cell>
          <cell r="M3463" t="str">
            <v>67/38,5</v>
          </cell>
          <cell r="N3463">
            <v>65</v>
          </cell>
          <cell r="O3463" t="str">
            <v>155(F)</v>
          </cell>
          <cell r="P3463" t="str">
            <v>270°</v>
          </cell>
          <cell r="Q3463" t="str">
            <v>TF</v>
          </cell>
          <cell r="R3463" t="str">
            <v>V(VE)</v>
          </cell>
          <cell r="S3463" t="str">
            <v>-</v>
          </cell>
          <cell r="T3463" t="str">
            <v>-</v>
          </cell>
          <cell r="U3463" t="str">
            <v>-</v>
          </cell>
          <cell r="V3463" t="str">
            <v>FC</v>
          </cell>
          <cell r="W3463" t="str">
            <v>-</v>
          </cell>
          <cell r="X3463" t="str">
            <v>CLP HC VG 220 = -20° + 60°</v>
          </cell>
          <cell r="Y3463" t="str">
            <v>KH127DRN180L4 /TF/V</v>
          </cell>
          <cell r="Z3463" t="str">
            <v>SEW</v>
          </cell>
          <cell r="AB3463" t="str">
            <v>-</v>
          </cell>
          <cell r="AF3463">
            <v>27</v>
          </cell>
          <cell r="AG3463" t="str">
            <v>DRN180L4</v>
          </cell>
          <cell r="AH3463" t="str">
            <v>KH127-DRN180L4A270-X#</v>
          </cell>
        </row>
        <row r="3464">
          <cell r="A3464" t="str">
            <v>MR003453</v>
          </cell>
          <cell r="B3464" t="str">
            <v>MR</v>
          </cell>
          <cell r="C3464">
            <v>4</v>
          </cell>
          <cell r="D3464">
            <v>76</v>
          </cell>
          <cell r="E3464" t="str">
            <v>KH67</v>
          </cell>
          <cell r="F3464">
            <v>505</v>
          </cell>
          <cell r="G3464">
            <v>19.3</v>
          </cell>
          <cell r="H3464">
            <v>1.5</v>
          </cell>
          <cell r="I3464" t="str">
            <v>M4B</v>
          </cell>
          <cell r="J3464" t="str">
            <v>IE3</v>
          </cell>
          <cell r="K3464" t="str">
            <v>230/400</v>
          </cell>
          <cell r="L3464">
            <v>50</v>
          </cell>
          <cell r="M3464" t="str">
            <v>13,8/7,9</v>
          </cell>
          <cell r="N3464">
            <v>65</v>
          </cell>
          <cell r="O3464" t="str">
            <v>155(F)</v>
          </cell>
          <cell r="P3464" t="str">
            <v>270°</v>
          </cell>
          <cell r="Q3464" t="str">
            <v>-</v>
          </cell>
          <cell r="R3464" t="str">
            <v>-</v>
          </cell>
          <cell r="S3464" t="str">
            <v>Free rotation CW</v>
          </cell>
          <cell r="T3464" t="str">
            <v>-</v>
          </cell>
          <cell r="U3464" t="str">
            <v>T</v>
          </cell>
          <cell r="V3464" t="str">
            <v>SS</v>
          </cell>
          <cell r="W3464" t="str">
            <v>-</v>
          </cell>
          <cell r="X3464" t="str">
            <v>CLP HC VG 220 = -20° + 60°</v>
          </cell>
          <cell r="Y3464" t="str">
            <v>KH67/T DRN112M4 /RS</v>
          </cell>
          <cell r="Z3464" t="str">
            <v>SEW</v>
          </cell>
          <cell r="AB3464" t="str">
            <v>-</v>
          </cell>
          <cell r="AF3464">
            <v>76</v>
          </cell>
          <cell r="AG3464" t="str">
            <v>DRN112M4</v>
          </cell>
          <cell r="AH3464" t="str">
            <v>KH67T-DRN112M4B270-X</v>
          </cell>
        </row>
        <row r="3465">
          <cell r="A3465" t="str">
            <v>MR003454</v>
          </cell>
          <cell r="B3465" t="str">
            <v>MR</v>
          </cell>
          <cell r="C3465">
            <v>0.75</v>
          </cell>
          <cell r="D3465">
            <v>162</v>
          </cell>
          <cell r="E3465" t="str">
            <v>KA37</v>
          </cell>
          <cell r="F3465">
            <v>44</v>
          </cell>
          <cell r="G3465">
            <v>8.91</v>
          </cell>
          <cell r="H3465">
            <v>3.6</v>
          </cell>
          <cell r="I3465" t="str">
            <v>From M1B to M2B - 15°</v>
          </cell>
          <cell r="J3465" t="str">
            <v>IE3</v>
          </cell>
          <cell r="K3465" t="str">
            <v>230/400</v>
          </cell>
          <cell r="L3465">
            <v>50</v>
          </cell>
          <cell r="M3465" t="str">
            <v>3,05/1,75</v>
          </cell>
          <cell r="N3465">
            <v>65</v>
          </cell>
          <cell r="O3465" t="str">
            <v>155(F)</v>
          </cell>
          <cell r="P3465" t="str">
            <v>270°</v>
          </cell>
          <cell r="Q3465" t="str">
            <v>-</v>
          </cell>
          <cell r="R3465" t="str">
            <v>-</v>
          </cell>
          <cell r="S3465" t="str">
            <v>-</v>
          </cell>
          <cell r="T3465" t="str">
            <v>-</v>
          </cell>
          <cell r="U3465" t="str">
            <v>T</v>
          </cell>
          <cell r="V3465" t="str">
            <v>D</v>
          </cell>
          <cell r="W3465" t="str">
            <v>-</v>
          </cell>
          <cell r="X3465" t="str">
            <v>CLP HC VG 220 = -20° + 60°</v>
          </cell>
          <cell r="Y3465" t="str">
            <v>KA37/T DRN80M4</v>
          </cell>
          <cell r="Z3465" t="str">
            <v>SEW</v>
          </cell>
          <cell r="AB3465" t="str">
            <v>-</v>
          </cell>
          <cell r="AF3465">
            <v>162</v>
          </cell>
          <cell r="AG3465" t="str">
            <v>DRN80M4</v>
          </cell>
          <cell r="AH3465" t="str">
            <v>KA37T-DRN80M4B270-X</v>
          </cell>
        </row>
        <row r="3466">
          <cell r="A3466" t="str">
            <v>MR003455</v>
          </cell>
          <cell r="B3466" t="str">
            <v>MR</v>
          </cell>
          <cell r="C3466">
            <v>15</v>
          </cell>
          <cell r="D3466">
            <v>16</v>
          </cell>
          <cell r="E3466" t="str">
            <v>KH127</v>
          </cell>
          <cell r="F3466">
            <v>8740</v>
          </cell>
          <cell r="G3466">
            <v>89.89</v>
          </cell>
          <cell r="H3466">
            <v>1.5</v>
          </cell>
          <cell r="I3466" t="str">
            <v>M1B</v>
          </cell>
          <cell r="J3466" t="str">
            <v>IE3</v>
          </cell>
          <cell r="K3466" t="str">
            <v>400/690</v>
          </cell>
          <cell r="L3466">
            <v>50</v>
          </cell>
          <cell r="M3466" t="str">
            <v>29/16,7</v>
          </cell>
          <cell r="N3466">
            <v>65</v>
          </cell>
          <cell r="O3466" t="str">
            <v>155(F)</v>
          </cell>
          <cell r="P3466" t="str">
            <v>270°</v>
          </cell>
          <cell r="Q3466" t="str">
            <v>-</v>
          </cell>
          <cell r="R3466" t="str">
            <v>-</v>
          </cell>
          <cell r="S3466" t="str">
            <v>-</v>
          </cell>
          <cell r="T3466" t="str">
            <v>-</v>
          </cell>
          <cell r="U3466" t="str">
            <v>-</v>
          </cell>
          <cell r="V3466" t="str">
            <v>SS</v>
          </cell>
          <cell r="W3466" t="str">
            <v>-</v>
          </cell>
          <cell r="X3466" t="str">
            <v>CLP HC VG 220 = -20° + 60°</v>
          </cell>
          <cell r="Y3466" t="str">
            <v>KH127DRN160L4</v>
          </cell>
          <cell r="Z3466" t="str">
            <v>SEW</v>
          </cell>
          <cell r="AB3466" t="str">
            <v>-</v>
          </cell>
          <cell r="AF3466">
            <v>16</v>
          </cell>
          <cell r="AG3466" t="str">
            <v>DRN160L4</v>
          </cell>
          <cell r="AH3466" t="str">
            <v>KH127-DRN160L4B270-X</v>
          </cell>
        </row>
        <row r="3467">
          <cell r="A3467" t="str">
            <v>MR003456</v>
          </cell>
          <cell r="B3467" t="str">
            <v>MR</v>
          </cell>
          <cell r="C3467">
            <v>15</v>
          </cell>
          <cell r="D3467">
            <v>20</v>
          </cell>
          <cell r="E3467" t="str">
            <v>R137</v>
          </cell>
          <cell r="F3467">
            <v>7140</v>
          </cell>
          <cell r="G3467">
            <v>73.489999999999995</v>
          </cell>
          <cell r="H3467">
            <v>1.1000000000000001</v>
          </cell>
          <cell r="I3467" t="str">
            <v>From M6 to M2 - 10°</v>
          </cell>
          <cell r="J3467" t="str">
            <v>IE3</v>
          </cell>
          <cell r="K3467" t="str">
            <v>230/400</v>
          </cell>
          <cell r="L3467">
            <v>50</v>
          </cell>
          <cell r="M3467" t="str">
            <v>50/29</v>
          </cell>
          <cell r="N3467">
            <v>65</v>
          </cell>
          <cell r="O3467" t="str">
            <v>155(F)</v>
          </cell>
          <cell r="P3467" t="str">
            <v>270°</v>
          </cell>
          <cell r="Q3467" t="str">
            <v>TF</v>
          </cell>
          <cell r="R3467" t="str">
            <v>V(VE)</v>
          </cell>
          <cell r="S3467" t="str">
            <v>-</v>
          </cell>
          <cell r="T3467" t="str">
            <v>-</v>
          </cell>
          <cell r="U3467" t="str">
            <v>-</v>
          </cell>
          <cell r="V3467" t="str">
            <v>FC</v>
          </cell>
          <cell r="W3467" t="str">
            <v>-</v>
          </cell>
          <cell r="X3467" t="str">
            <v>CLP HC VG 220 = -20° + 60°</v>
          </cell>
          <cell r="Y3467" t="str">
            <v>R137DRN160L4 /TF/V</v>
          </cell>
          <cell r="Z3467" t="str">
            <v>SEW</v>
          </cell>
          <cell r="AB3467" t="str">
            <v>-</v>
          </cell>
          <cell r="AF3467">
            <v>20</v>
          </cell>
          <cell r="AG3467" t="str">
            <v>DRN160L4</v>
          </cell>
          <cell r="AH3467" t="str">
            <v>R137-DRN160L4270-X#</v>
          </cell>
        </row>
        <row r="3468">
          <cell r="A3468" t="str">
            <v>MR003457</v>
          </cell>
          <cell r="B3468" t="str">
            <v>MR</v>
          </cell>
          <cell r="C3468">
            <v>11</v>
          </cell>
          <cell r="D3468">
            <v>15</v>
          </cell>
          <cell r="E3468" t="str">
            <v>KH107</v>
          </cell>
          <cell r="F3468">
            <v>7190</v>
          </cell>
          <cell r="G3468">
            <v>100.75</v>
          </cell>
          <cell r="H3468">
            <v>1.1000000000000001</v>
          </cell>
          <cell r="I3468" t="str">
            <v>From M1A to M2A - 25°</v>
          </cell>
          <cell r="J3468" t="str">
            <v>IE3</v>
          </cell>
          <cell r="K3468" t="str">
            <v>230/400</v>
          </cell>
          <cell r="L3468">
            <v>50</v>
          </cell>
          <cell r="M3468" t="str">
            <v>36,5/21</v>
          </cell>
          <cell r="N3468">
            <v>65</v>
          </cell>
          <cell r="O3468" t="str">
            <v>155(F)</v>
          </cell>
          <cell r="P3468" t="str">
            <v>270°</v>
          </cell>
          <cell r="Q3468" t="str">
            <v>TF</v>
          </cell>
          <cell r="R3468" t="str">
            <v>V(VE)</v>
          </cell>
          <cell r="S3468" t="str">
            <v>-</v>
          </cell>
          <cell r="T3468" t="str">
            <v>-</v>
          </cell>
          <cell r="U3468" t="str">
            <v>-</v>
          </cell>
          <cell r="V3468" t="str">
            <v>FC</v>
          </cell>
          <cell r="W3468" t="str">
            <v>-</v>
          </cell>
          <cell r="X3468" t="str">
            <v>CLP HC VG 220 = -20° + 60°</v>
          </cell>
          <cell r="Y3468" t="str">
            <v>KH107DRN160M4 /TF/V</v>
          </cell>
          <cell r="Z3468" t="str">
            <v>SEW</v>
          </cell>
          <cell r="AB3468" t="str">
            <v>-</v>
          </cell>
          <cell r="AF3468">
            <v>15</v>
          </cell>
          <cell r="AG3468" t="str">
            <v>DRN160M4</v>
          </cell>
          <cell r="AH3468" t="str">
            <v>KH107-DRN160M4A270-X#</v>
          </cell>
        </row>
        <row r="3469">
          <cell r="A3469" t="str">
            <v>MR003458</v>
          </cell>
          <cell r="B3469" t="str">
            <v>MR</v>
          </cell>
          <cell r="C3469">
            <v>11</v>
          </cell>
          <cell r="D3469">
            <v>15</v>
          </cell>
          <cell r="E3469" t="str">
            <v>KH107</v>
          </cell>
          <cell r="F3469">
            <v>7190</v>
          </cell>
          <cell r="G3469">
            <v>100.75</v>
          </cell>
          <cell r="H3469">
            <v>1.1000000000000001</v>
          </cell>
          <cell r="I3469" t="str">
            <v>From M1B to M2B - 25°</v>
          </cell>
          <cell r="J3469" t="str">
            <v>IE3</v>
          </cell>
          <cell r="K3469" t="str">
            <v>230/400</v>
          </cell>
          <cell r="L3469">
            <v>50</v>
          </cell>
          <cell r="M3469" t="str">
            <v>36,5/21</v>
          </cell>
          <cell r="N3469">
            <v>65</v>
          </cell>
          <cell r="O3469" t="str">
            <v>155(F)</v>
          </cell>
          <cell r="P3469" t="str">
            <v>270°</v>
          </cell>
          <cell r="Q3469" t="str">
            <v>TF</v>
          </cell>
          <cell r="R3469" t="str">
            <v>V(VE)</v>
          </cell>
          <cell r="S3469" t="str">
            <v>-</v>
          </cell>
          <cell r="T3469" t="str">
            <v>-</v>
          </cell>
          <cell r="U3469" t="str">
            <v>-</v>
          </cell>
          <cell r="V3469" t="str">
            <v>FC</v>
          </cell>
          <cell r="W3469" t="str">
            <v>-</v>
          </cell>
          <cell r="X3469" t="str">
            <v>CLP HC VG 220 = -20° + 60°</v>
          </cell>
          <cell r="Y3469" t="str">
            <v>KH107DRN160M4 /TF/V</v>
          </cell>
          <cell r="Z3469" t="str">
            <v>SEW</v>
          </cell>
          <cell r="AB3469" t="str">
            <v>-</v>
          </cell>
          <cell r="AF3469">
            <v>0</v>
          </cell>
          <cell r="AG3469" t="str">
            <v>DRN160M4</v>
          </cell>
          <cell r="AH3469" t="str">
            <v>KH107-DRN160M4B270-X#</v>
          </cell>
        </row>
        <row r="3470">
          <cell r="A3470" t="str">
            <v>MR003459</v>
          </cell>
          <cell r="B3470" t="str">
            <v>MR</v>
          </cell>
          <cell r="C3470">
            <v>3</v>
          </cell>
          <cell r="D3470">
            <v>73</v>
          </cell>
          <cell r="E3470" t="str">
            <v>KH49</v>
          </cell>
          <cell r="F3470">
            <v>395</v>
          </cell>
          <cell r="G3470">
            <v>20.03</v>
          </cell>
          <cell r="H3470">
            <v>1.25</v>
          </cell>
          <cell r="I3470" t="str">
            <v>M1B</v>
          </cell>
          <cell r="J3470" t="str">
            <v>IE3</v>
          </cell>
          <cell r="K3470" t="str">
            <v>230/400</v>
          </cell>
          <cell r="L3470">
            <v>50</v>
          </cell>
          <cell r="M3470" t="str">
            <v>11,2/6,4</v>
          </cell>
          <cell r="N3470">
            <v>65</v>
          </cell>
          <cell r="O3470" t="str">
            <v>155(F)</v>
          </cell>
          <cell r="P3470" t="str">
            <v>270°</v>
          </cell>
          <cell r="Q3470" t="str">
            <v>-</v>
          </cell>
          <cell r="R3470" t="str">
            <v>-</v>
          </cell>
          <cell r="S3470" t="str">
            <v>-</v>
          </cell>
          <cell r="T3470" t="str">
            <v>-</v>
          </cell>
          <cell r="U3470" t="str">
            <v>T</v>
          </cell>
          <cell r="V3470" t="str">
            <v>D+R</v>
          </cell>
          <cell r="W3470" t="str">
            <v>-</v>
          </cell>
          <cell r="X3470" t="str">
            <v>CLP VG 220 = -15° + 40°</v>
          </cell>
          <cell r="Y3470" t="str">
            <v>KH49/T DRN100L4</v>
          </cell>
          <cell r="Z3470" t="str">
            <v>SEW</v>
          </cell>
          <cell r="AB3470" t="str">
            <v>-</v>
          </cell>
          <cell r="AF3470">
            <v>0</v>
          </cell>
          <cell r="AG3470" t="str">
            <v>DRN100L4</v>
          </cell>
          <cell r="AH3470" t="str">
            <v>KH49T-DRN100L4B270-X</v>
          </cell>
        </row>
        <row r="3471">
          <cell r="A3471" t="str">
            <v>MR003460</v>
          </cell>
          <cell r="B3471" t="str">
            <v>MR</v>
          </cell>
          <cell r="C3471">
            <v>5.5</v>
          </cell>
          <cell r="D3471">
            <v>62</v>
          </cell>
          <cell r="E3471" t="str">
            <v>R87</v>
          </cell>
          <cell r="F3471">
            <v>840</v>
          </cell>
          <cell r="G3471">
            <v>23.4</v>
          </cell>
          <cell r="H3471">
            <v>1.85</v>
          </cell>
          <cell r="I3471" t="str">
            <v>From M6 to M4 - 15°</v>
          </cell>
          <cell r="J3471" t="str">
            <v>IE3</v>
          </cell>
          <cell r="K3471" t="str">
            <v>230/400</v>
          </cell>
          <cell r="L3471">
            <v>50</v>
          </cell>
          <cell r="M3471" t="str">
            <v>18,2/10,5</v>
          </cell>
          <cell r="N3471">
            <v>65</v>
          </cell>
          <cell r="O3471" t="str">
            <v>155(F)</v>
          </cell>
          <cell r="P3471" t="str">
            <v>270°</v>
          </cell>
          <cell r="Q3471" t="str">
            <v>-</v>
          </cell>
          <cell r="R3471" t="str">
            <v>-</v>
          </cell>
          <cell r="S3471" t="str">
            <v>-</v>
          </cell>
          <cell r="T3471" t="str">
            <v>-</v>
          </cell>
          <cell r="U3471" t="str">
            <v>-</v>
          </cell>
          <cell r="V3471" t="str">
            <v>D</v>
          </cell>
          <cell r="W3471" t="str">
            <v>-</v>
          </cell>
          <cell r="X3471" t="str">
            <v>CLP HC VG 220 = -20° + 60°</v>
          </cell>
          <cell r="Y3471" t="str">
            <v>R87DRN132S4</v>
          </cell>
          <cell r="Z3471" t="str">
            <v>SEW</v>
          </cell>
          <cell r="AB3471" t="str">
            <v>-</v>
          </cell>
          <cell r="AF3471">
            <v>0</v>
          </cell>
          <cell r="AG3471" t="str">
            <v>DRN132S4</v>
          </cell>
          <cell r="AH3471" t="str">
            <v>R87-DRN132S4270-X</v>
          </cell>
        </row>
        <row r="3472">
          <cell r="A3472" t="str">
            <v>MR003461</v>
          </cell>
          <cell r="B3472" t="str">
            <v>MR</v>
          </cell>
          <cell r="C3472">
            <v>5.5</v>
          </cell>
          <cell r="D3472">
            <v>62</v>
          </cell>
          <cell r="E3472" t="str">
            <v>R87</v>
          </cell>
          <cell r="F3472">
            <v>840</v>
          </cell>
          <cell r="G3472">
            <v>23.4</v>
          </cell>
          <cell r="H3472">
            <v>1.45</v>
          </cell>
          <cell r="I3472" t="str">
            <v>M6</v>
          </cell>
          <cell r="J3472" t="str">
            <v>IE3</v>
          </cell>
          <cell r="K3472" t="str">
            <v>230/400</v>
          </cell>
          <cell r="L3472">
            <v>50</v>
          </cell>
          <cell r="M3472" t="str">
            <v>18,2/10,5</v>
          </cell>
          <cell r="N3472">
            <v>65</v>
          </cell>
          <cell r="O3472" t="str">
            <v>155(F)</v>
          </cell>
          <cell r="P3472" t="str">
            <v>270°</v>
          </cell>
          <cell r="Q3472" t="str">
            <v>-</v>
          </cell>
          <cell r="R3472" t="str">
            <v>-</v>
          </cell>
          <cell r="S3472" t="str">
            <v>-</v>
          </cell>
          <cell r="T3472" t="str">
            <v>-</v>
          </cell>
          <cell r="U3472" t="str">
            <v>-</v>
          </cell>
          <cell r="V3472" t="str">
            <v>D</v>
          </cell>
          <cell r="W3472" t="str">
            <v>-</v>
          </cell>
          <cell r="X3472" t="str">
            <v>CLP HC VG 220 = -20° + 60°</v>
          </cell>
          <cell r="Y3472" t="str">
            <v>R87EDRN132S4</v>
          </cell>
          <cell r="Z3472" t="str">
            <v>SEW</v>
          </cell>
          <cell r="AB3472" t="str">
            <v>ATEX22</v>
          </cell>
          <cell r="AF3472">
            <v>0</v>
          </cell>
          <cell r="AG3472" t="str">
            <v>EDRN132S4</v>
          </cell>
          <cell r="AH3472" t="str">
            <v>R87-EDRN132S4270-X</v>
          </cell>
        </row>
        <row r="3473">
          <cell r="A3473" t="str">
            <v>MR003462</v>
          </cell>
          <cell r="B3473" t="str">
            <v>MR</v>
          </cell>
          <cell r="C3473">
            <v>5.5</v>
          </cell>
          <cell r="D3473">
            <v>62</v>
          </cell>
          <cell r="E3473" t="str">
            <v>R87</v>
          </cell>
          <cell r="F3473">
            <v>840</v>
          </cell>
          <cell r="G3473">
            <v>23.4</v>
          </cell>
          <cell r="H3473">
            <v>1.45</v>
          </cell>
          <cell r="I3473" t="str">
            <v>From M6 to M2 - 10°</v>
          </cell>
          <cell r="J3473" t="str">
            <v>IE3</v>
          </cell>
          <cell r="K3473" t="str">
            <v>230/400</v>
          </cell>
          <cell r="L3473">
            <v>50</v>
          </cell>
          <cell r="M3473" t="str">
            <v>18,2/10,5</v>
          </cell>
          <cell r="N3473">
            <v>65</v>
          </cell>
          <cell r="O3473" t="str">
            <v>155(F)</v>
          </cell>
          <cell r="P3473" t="str">
            <v>270°</v>
          </cell>
          <cell r="Q3473" t="str">
            <v>-</v>
          </cell>
          <cell r="R3473" t="str">
            <v>-</v>
          </cell>
          <cell r="S3473" t="str">
            <v>-</v>
          </cell>
          <cell r="T3473" t="str">
            <v>-</v>
          </cell>
          <cell r="U3473" t="str">
            <v>-</v>
          </cell>
          <cell r="V3473" t="str">
            <v>D</v>
          </cell>
          <cell r="W3473" t="str">
            <v>-</v>
          </cell>
          <cell r="X3473" t="str">
            <v>CLP HC VG 220 = -20° + 60°</v>
          </cell>
          <cell r="Y3473" t="str">
            <v>R87EDRN132S4</v>
          </cell>
          <cell r="Z3473" t="str">
            <v>SEW</v>
          </cell>
          <cell r="AB3473" t="str">
            <v>ATEX22</v>
          </cell>
          <cell r="AF3473">
            <v>0</v>
          </cell>
          <cell r="AG3473" t="str">
            <v>EDRN132S4</v>
          </cell>
          <cell r="AH3473" t="str">
            <v>R87-EDRN132S4270-X</v>
          </cell>
        </row>
        <row r="3474">
          <cell r="A3474" t="str">
            <v>MR003463</v>
          </cell>
          <cell r="B3474" t="str">
            <v>MR</v>
          </cell>
          <cell r="C3474">
            <v>5.5</v>
          </cell>
          <cell r="D3474">
            <v>62</v>
          </cell>
          <cell r="E3474" t="str">
            <v>R87</v>
          </cell>
          <cell r="F3474">
            <v>840</v>
          </cell>
          <cell r="G3474">
            <v>23.4</v>
          </cell>
          <cell r="H3474">
            <v>1.45</v>
          </cell>
          <cell r="I3474" t="str">
            <v>From M5 to M2 - 15°</v>
          </cell>
          <cell r="J3474" t="str">
            <v>IE3</v>
          </cell>
          <cell r="K3474" t="str">
            <v>230/400</v>
          </cell>
          <cell r="L3474">
            <v>50</v>
          </cell>
          <cell r="M3474" t="str">
            <v>18,2/10,5</v>
          </cell>
          <cell r="N3474">
            <v>65</v>
          </cell>
          <cell r="O3474" t="str">
            <v>155(F)</v>
          </cell>
          <cell r="P3474" t="str">
            <v>270°</v>
          </cell>
          <cell r="Q3474" t="str">
            <v>-</v>
          </cell>
          <cell r="R3474" t="str">
            <v>-</v>
          </cell>
          <cell r="S3474" t="str">
            <v>-</v>
          </cell>
          <cell r="T3474" t="str">
            <v>-</v>
          </cell>
          <cell r="U3474" t="str">
            <v>-</v>
          </cell>
          <cell r="V3474" t="str">
            <v>D</v>
          </cell>
          <cell r="W3474" t="str">
            <v>-</v>
          </cell>
          <cell r="X3474" t="str">
            <v>CLP HC VG 220 = -20° + 60°</v>
          </cell>
          <cell r="Y3474" t="str">
            <v>R87EDRN132S4</v>
          </cell>
          <cell r="Z3474" t="str">
            <v>SEW</v>
          </cell>
          <cell r="AB3474" t="str">
            <v>ATEX22</v>
          </cell>
          <cell r="AF3474">
            <v>0</v>
          </cell>
          <cell r="AG3474" t="str">
            <v>EDRN132S4</v>
          </cell>
          <cell r="AH3474" t="str">
            <v>R87-EDRN132S4270-X</v>
          </cell>
        </row>
        <row r="3475">
          <cell r="A3475" t="str">
            <v>MR003464</v>
          </cell>
          <cell r="B3475" t="str">
            <v>MR</v>
          </cell>
          <cell r="C3475">
            <v>2.2000000000000002</v>
          </cell>
          <cell r="D3475">
            <v>84</v>
          </cell>
          <cell r="E3475" t="str">
            <v>FH47</v>
          </cell>
          <cell r="F3475">
            <v>250</v>
          </cell>
          <cell r="G3475">
            <v>17.329999999999998</v>
          </cell>
          <cell r="H3475">
            <v>1.6</v>
          </cell>
          <cell r="I3475" t="str">
            <v>From M1 ro M5 - 5°</v>
          </cell>
          <cell r="J3475" t="str">
            <v>IE3</v>
          </cell>
          <cell r="K3475" t="str">
            <v>230/400</v>
          </cell>
          <cell r="L3475">
            <v>50</v>
          </cell>
          <cell r="M3475" t="str">
            <v>8,3/4,75</v>
          </cell>
          <cell r="N3475">
            <v>65</v>
          </cell>
          <cell r="O3475" t="str">
            <v>155(F)</v>
          </cell>
          <cell r="P3475" t="str">
            <v>270°</v>
          </cell>
          <cell r="Q3475" t="str">
            <v>-</v>
          </cell>
          <cell r="R3475" t="str">
            <v>-</v>
          </cell>
          <cell r="S3475" t="str">
            <v>Free rotation CCW</v>
          </cell>
          <cell r="T3475" t="str">
            <v>-</v>
          </cell>
          <cell r="U3475" t="str">
            <v>G</v>
          </cell>
          <cell r="V3475" t="str">
            <v>D</v>
          </cell>
          <cell r="W3475" t="str">
            <v>-</v>
          </cell>
          <cell r="X3475" t="str">
            <v>CLP HC VG 220 = -20° + 60°</v>
          </cell>
          <cell r="Y3475" t="str">
            <v>FH47/G DRN100LS4 /RS</v>
          </cell>
          <cell r="Z3475" t="str">
            <v>SEW</v>
          </cell>
          <cell r="AB3475" t="str">
            <v>-</v>
          </cell>
          <cell r="AF3475">
            <v>0</v>
          </cell>
          <cell r="AG3475" t="str">
            <v>DRN100LS4</v>
          </cell>
          <cell r="AH3475" t="str">
            <v>FH47G-DRN100LS4270-X</v>
          </cell>
        </row>
        <row r="3476">
          <cell r="A3476" t="str">
            <v>MR003465</v>
          </cell>
          <cell r="B3476" t="str">
            <v>MR</v>
          </cell>
          <cell r="C3476">
            <v>11</v>
          </cell>
          <cell r="D3476">
            <v>15</v>
          </cell>
          <cell r="E3476" t="str">
            <v>KH107</v>
          </cell>
          <cell r="F3476">
            <v>7190</v>
          </cell>
          <cell r="G3476">
            <v>100.75</v>
          </cell>
          <cell r="H3476">
            <v>1.1000000000000001</v>
          </cell>
          <cell r="I3476" t="str">
            <v>From M1A to M2A - 5°</v>
          </cell>
          <cell r="J3476" t="str">
            <v>IE3</v>
          </cell>
          <cell r="K3476" t="str">
            <v>230/400</v>
          </cell>
          <cell r="L3476">
            <v>50</v>
          </cell>
          <cell r="M3476" t="str">
            <v>36,5/21</v>
          </cell>
          <cell r="N3476">
            <v>65</v>
          </cell>
          <cell r="O3476" t="str">
            <v>155(F)</v>
          </cell>
          <cell r="P3476" t="str">
            <v>270°</v>
          </cell>
          <cell r="Q3476" t="str">
            <v>TF</v>
          </cell>
          <cell r="R3476" t="str">
            <v>V(VE)</v>
          </cell>
          <cell r="S3476" t="str">
            <v>-</v>
          </cell>
          <cell r="T3476" t="str">
            <v>-</v>
          </cell>
          <cell r="U3476" t="str">
            <v>-</v>
          </cell>
          <cell r="V3476" t="str">
            <v>FC</v>
          </cell>
          <cell r="W3476" t="str">
            <v>-</v>
          </cell>
          <cell r="X3476" t="str">
            <v>CLP HC VG 220 = -20° + 60°</v>
          </cell>
          <cell r="Y3476" t="str">
            <v>KH107DRN160M4 /TF/V</v>
          </cell>
          <cell r="Z3476" t="str">
            <v>SEW</v>
          </cell>
          <cell r="AB3476" t="str">
            <v>-</v>
          </cell>
          <cell r="AF3476">
            <v>0</v>
          </cell>
          <cell r="AG3476" t="str">
            <v>DRN160M4</v>
          </cell>
          <cell r="AH3476" t="str">
            <v>KH107-DRN160M4A270-X#</v>
          </cell>
        </row>
        <row r="3477">
          <cell r="A3477" t="str">
            <v>MR003466</v>
          </cell>
          <cell r="B3477" t="str">
            <v>MR</v>
          </cell>
          <cell r="C3477">
            <v>11</v>
          </cell>
          <cell r="D3477">
            <v>15</v>
          </cell>
          <cell r="E3477" t="str">
            <v>KH107</v>
          </cell>
          <cell r="F3477">
            <v>7190</v>
          </cell>
          <cell r="G3477">
            <v>100.75</v>
          </cell>
          <cell r="H3477">
            <v>1.1000000000000001</v>
          </cell>
          <cell r="I3477" t="str">
            <v>From M1B to M2B - 5°</v>
          </cell>
          <cell r="J3477" t="str">
            <v>IE3</v>
          </cell>
          <cell r="K3477" t="str">
            <v>230/400</v>
          </cell>
          <cell r="L3477">
            <v>50</v>
          </cell>
          <cell r="M3477" t="str">
            <v>36,5/21</v>
          </cell>
          <cell r="N3477">
            <v>65</v>
          </cell>
          <cell r="O3477" t="str">
            <v>155(F)</v>
          </cell>
          <cell r="P3477" t="str">
            <v>270°</v>
          </cell>
          <cell r="Q3477" t="str">
            <v>TF</v>
          </cell>
          <cell r="R3477" t="str">
            <v>V(VE)</v>
          </cell>
          <cell r="S3477" t="str">
            <v>-</v>
          </cell>
          <cell r="T3477" t="str">
            <v>-</v>
          </cell>
          <cell r="U3477" t="str">
            <v>-</v>
          </cell>
          <cell r="V3477" t="str">
            <v>FC</v>
          </cell>
          <cell r="W3477" t="str">
            <v>-</v>
          </cell>
          <cell r="X3477" t="str">
            <v>CLP HC VG 220 = -20° + 60°</v>
          </cell>
          <cell r="Y3477" t="str">
            <v>KH107DRN160M4 /TF/V</v>
          </cell>
          <cell r="Z3477" t="str">
            <v>SEW</v>
          </cell>
          <cell r="AB3477" t="str">
            <v>-</v>
          </cell>
          <cell r="AF3477">
            <v>0</v>
          </cell>
          <cell r="AG3477" t="str">
            <v>DRN160M4</v>
          </cell>
          <cell r="AH3477" t="str">
            <v>KH107-DRN160M4B270-X#</v>
          </cell>
        </row>
        <row r="3478">
          <cell r="A3478" t="str">
            <v>MR003467</v>
          </cell>
          <cell r="B3478" t="str">
            <v>MR</v>
          </cell>
          <cell r="C3478">
            <v>5.5</v>
          </cell>
          <cell r="D3478">
            <v>62</v>
          </cell>
          <cell r="E3478" t="str">
            <v>R87</v>
          </cell>
          <cell r="F3478">
            <v>840</v>
          </cell>
          <cell r="G3478">
            <v>23.4</v>
          </cell>
          <cell r="H3478">
            <v>1.45</v>
          </cell>
          <cell r="I3478" t="str">
            <v>From M6 to M4 - 15°</v>
          </cell>
          <cell r="J3478" t="str">
            <v>IE3</v>
          </cell>
          <cell r="K3478" t="str">
            <v>230/400</v>
          </cell>
          <cell r="L3478">
            <v>50</v>
          </cell>
          <cell r="M3478" t="str">
            <v>18,2/10,5</v>
          </cell>
          <cell r="N3478">
            <v>65</v>
          </cell>
          <cell r="O3478" t="str">
            <v>155(F)</v>
          </cell>
          <cell r="P3478" t="str">
            <v>270°</v>
          </cell>
          <cell r="Q3478" t="str">
            <v>-</v>
          </cell>
          <cell r="R3478" t="str">
            <v>-</v>
          </cell>
          <cell r="S3478" t="str">
            <v>-</v>
          </cell>
          <cell r="T3478" t="str">
            <v>-</v>
          </cell>
          <cell r="U3478" t="str">
            <v>-</v>
          </cell>
          <cell r="V3478" t="str">
            <v>D</v>
          </cell>
          <cell r="W3478" t="str">
            <v>-</v>
          </cell>
          <cell r="X3478" t="str">
            <v>CLP HC VG 220 = -20° + 60°</v>
          </cell>
          <cell r="Y3478" t="str">
            <v>R87EDRN132S4</v>
          </cell>
          <cell r="Z3478" t="str">
            <v>SEW</v>
          </cell>
          <cell r="AB3478" t="str">
            <v>ATEX22</v>
          </cell>
          <cell r="AF3478">
            <v>0</v>
          </cell>
          <cell r="AG3478" t="str">
            <v>EDRN132S4</v>
          </cell>
          <cell r="AH3478" t="str">
            <v>R87-EDRN132S4270-X</v>
          </cell>
        </row>
        <row r="3479">
          <cell r="A3479" t="str">
            <v>MR003468</v>
          </cell>
          <cell r="B3479" t="str">
            <v>MR</v>
          </cell>
          <cell r="C3479">
            <v>5.5</v>
          </cell>
          <cell r="D3479">
            <v>14</v>
          </cell>
          <cell r="E3479" t="str">
            <v>KH97</v>
          </cell>
          <cell r="F3479">
            <v>3780</v>
          </cell>
          <cell r="G3479">
            <v>105.13</v>
          </cell>
          <cell r="H3479">
            <v>1.1000000000000001</v>
          </cell>
          <cell r="I3479" t="str">
            <v>From M1A to M2A - 15°</v>
          </cell>
          <cell r="J3479" t="str">
            <v>IE3</v>
          </cell>
          <cell r="K3479" t="str">
            <v>230/400</v>
          </cell>
          <cell r="L3479">
            <v>50</v>
          </cell>
          <cell r="M3479" t="str">
            <v>18,8/10,9</v>
          </cell>
          <cell r="N3479">
            <v>65</v>
          </cell>
          <cell r="O3479" t="str">
            <v>155(F)</v>
          </cell>
          <cell r="P3479" t="str">
            <v>270°</v>
          </cell>
          <cell r="Q3479" t="str">
            <v>-</v>
          </cell>
          <cell r="R3479" t="str">
            <v>-</v>
          </cell>
          <cell r="S3479" t="str">
            <v>-</v>
          </cell>
          <cell r="T3479" t="str">
            <v>-</v>
          </cell>
          <cell r="U3479" t="str">
            <v>-</v>
          </cell>
          <cell r="V3479" t="str">
            <v>SS</v>
          </cell>
          <cell r="W3479" t="str">
            <v>-</v>
          </cell>
          <cell r="X3479" t="str">
            <v>CLP HC VG 220 = -20° + 60°</v>
          </cell>
          <cell r="Y3479" t="str">
            <v>KH97EDRN132S4</v>
          </cell>
          <cell r="Z3479" t="str">
            <v>SEW</v>
          </cell>
          <cell r="AB3479" t="str">
            <v>ATEX22</v>
          </cell>
          <cell r="AF3479">
            <v>14</v>
          </cell>
          <cell r="AG3479" t="str">
            <v>EDRN132S4</v>
          </cell>
          <cell r="AH3479" t="str">
            <v>KH97-EDRN132S4A270-X</v>
          </cell>
        </row>
        <row r="3480">
          <cell r="A3480" t="str">
            <v>MR003469</v>
          </cell>
          <cell r="B3480" t="str">
            <v>MR</v>
          </cell>
          <cell r="C3480">
            <v>11</v>
          </cell>
          <cell r="D3480">
            <v>59</v>
          </cell>
          <cell r="E3480" t="str">
            <v>R97</v>
          </cell>
          <cell r="F3480">
            <v>1790</v>
          </cell>
          <cell r="G3480">
            <v>25.03</v>
          </cell>
          <cell r="H3480">
            <v>1.6</v>
          </cell>
          <cell r="I3480" t="str">
            <v>M1</v>
          </cell>
          <cell r="J3480" t="str">
            <v>IE3</v>
          </cell>
          <cell r="K3480" t="str">
            <v>400/690</v>
          </cell>
          <cell r="L3480">
            <v>50</v>
          </cell>
          <cell r="M3480" t="str">
            <v>21/12,2</v>
          </cell>
          <cell r="N3480">
            <v>65</v>
          </cell>
          <cell r="O3480" t="str">
            <v>155(F)</v>
          </cell>
          <cell r="P3480" t="str">
            <v>270°</v>
          </cell>
          <cell r="Q3480" t="str">
            <v>TF</v>
          </cell>
          <cell r="R3480" t="str">
            <v>-</v>
          </cell>
          <cell r="S3480" t="str">
            <v>-</v>
          </cell>
          <cell r="T3480" t="str">
            <v>-</v>
          </cell>
          <cell r="U3480" t="str">
            <v>-</v>
          </cell>
          <cell r="V3480" t="str">
            <v>FC+R</v>
          </cell>
          <cell r="W3480" t="str">
            <v>-</v>
          </cell>
          <cell r="X3480" t="str">
            <v>CLP HC VG 220 = -20° + 60°</v>
          </cell>
          <cell r="Y3480" t="str">
            <v>R97DRN160M4 /TF</v>
          </cell>
          <cell r="Z3480" t="str">
            <v>SEW</v>
          </cell>
          <cell r="AB3480" t="str">
            <v>-</v>
          </cell>
          <cell r="AF3480">
            <v>0</v>
          </cell>
          <cell r="AG3480" t="str">
            <v>DRN160M4</v>
          </cell>
          <cell r="AH3480" t="str">
            <v>R97-DRN160M4270-X</v>
          </cell>
        </row>
        <row r="3481">
          <cell r="A3481" t="str">
            <v>MR003470</v>
          </cell>
          <cell r="B3481" t="str">
            <v>MR</v>
          </cell>
          <cell r="C3481">
            <v>4</v>
          </cell>
          <cell r="D3481">
            <v>14</v>
          </cell>
          <cell r="E3481" t="str">
            <v>KH97</v>
          </cell>
          <cell r="F3481">
            <v>2740</v>
          </cell>
          <cell r="G3481">
            <v>105.13</v>
          </cell>
          <cell r="H3481">
            <v>1.4</v>
          </cell>
          <cell r="I3481" t="str">
            <v>From M1A to M2A - 15°</v>
          </cell>
          <cell r="J3481" t="str">
            <v>IE3</v>
          </cell>
          <cell r="K3481" t="str">
            <v>230/400</v>
          </cell>
          <cell r="L3481">
            <v>50</v>
          </cell>
          <cell r="M3481" t="str">
            <v>13,8/7,9</v>
          </cell>
          <cell r="N3481">
            <v>65</v>
          </cell>
          <cell r="O3481" t="str">
            <v>155(F)</v>
          </cell>
          <cell r="P3481" t="str">
            <v>270°</v>
          </cell>
          <cell r="Q3481" t="str">
            <v>TF</v>
          </cell>
          <cell r="R3481" t="str">
            <v>-</v>
          </cell>
          <cell r="S3481" t="str">
            <v>-</v>
          </cell>
          <cell r="T3481" t="str">
            <v>-</v>
          </cell>
          <cell r="U3481" t="str">
            <v>-</v>
          </cell>
          <cell r="V3481" t="str">
            <v>FC</v>
          </cell>
          <cell r="W3481" t="str">
            <v>-</v>
          </cell>
          <cell r="X3481" t="str">
            <v>CLP HC VG 220 = -20° + 60°</v>
          </cell>
          <cell r="Y3481" t="str">
            <v>KH97EDRN112M4 /TF</v>
          </cell>
          <cell r="Z3481" t="str">
            <v>SEW</v>
          </cell>
          <cell r="AB3481" t="str">
            <v>ATEX22</v>
          </cell>
          <cell r="AF3481">
            <v>0</v>
          </cell>
          <cell r="AG3481" t="str">
            <v>EDRN112M4</v>
          </cell>
          <cell r="AH3481" t="str">
            <v>KH97-EDRN112M4A270-X</v>
          </cell>
        </row>
        <row r="3482">
          <cell r="A3482" t="str">
            <v>MR003471</v>
          </cell>
          <cell r="B3482" t="str">
            <v>MR</v>
          </cell>
          <cell r="C3482">
            <v>4</v>
          </cell>
          <cell r="D3482">
            <v>14</v>
          </cell>
          <cell r="E3482" t="str">
            <v>KH97</v>
          </cell>
          <cell r="F3482">
            <v>2740</v>
          </cell>
          <cell r="G3482">
            <v>105.13</v>
          </cell>
          <cell r="H3482">
            <v>1.4</v>
          </cell>
          <cell r="I3482" t="str">
            <v>From M1B to M2B - 15°</v>
          </cell>
          <cell r="J3482" t="str">
            <v>IE3</v>
          </cell>
          <cell r="K3482" t="str">
            <v>230/400</v>
          </cell>
          <cell r="L3482">
            <v>50</v>
          </cell>
          <cell r="M3482" t="str">
            <v>13,8/7,9</v>
          </cell>
          <cell r="N3482">
            <v>65</v>
          </cell>
          <cell r="O3482" t="str">
            <v>155(F)</v>
          </cell>
          <cell r="P3482" t="str">
            <v>270°</v>
          </cell>
          <cell r="Q3482" t="str">
            <v>TF</v>
          </cell>
          <cell r="R3482" t="str">
            <v>-</v>
          </cell>
          <cell r="S3482" t="str">
            <v>-</v>
          </cell>
          <cell r="T3482" t="str">
            <v>-</v>
          </cell>
          <cell r="U3482" t="str">
            <v>-</v>
          </cell>
          <cell r="V3482" t="str">
            <v>FC</v>
          </cell>
          <cell r="W3482" t="str">
            <v>-</v>
          </cell>
          <cell r="X3482" t="str">
            <v>CLP HC VG 220 = -20° + 60°</v>
          </cell>
          <cell r="Y3482" t="str">
            <v>KH97EDRN112M4 /TF</v>
          </cell>
          <cell r="Z3482" t="str">
            <v>SEW</v>
          </cell>
          <cell r="AB3482" t="str">
            <v>ATEX22</v>
          </cell>
          <cell r="AF3482">
            <v>0</v>
          </cell>
          <cell r="AG3482" t="str">
            <v>EDRN112M4</v>
          </cell>
          <cell r="AH3482" t="str">
            <v>KH97-EDRN112M4B270-X</v>
          </cell>
        </row>
        <row r="3483">
          <cell r="A3483" t="str">
            <v>MR003472</v>
          </cell>
          <cell r="B3483" t="str">
            <v>MR</v>
          </cell>
          <cell r="C3483">
            <v>11</v>
          </cell>
          <cell r="D3483">
            <v>15</v>
          </cell>
          <cell r="E3483" t="str">
            <v>KH107</v>
          </cell>
          <cell r="F3483">
            <v>7190</v>
          </cell>
          <cell r="G3483">
            <v>100.75</v>
          </cell>
          <cell r="H3483">
            <v>1</v>
          </cell>
          <cell r="I3483" t="str">
            <v>From M1A to M2A - 30°</v>
          </cell>
          <cell r="J3483" t="str">
            <v>IE3</v>
          </cell>
          <cell r="K3483" t="str">
            <v>230/400</v>
          </cell>
          <cell r="L3483">
            <v>50</v>
          </cell>
          <cell r="M3483" t="str">
            <v>36,5/21</v>
          </cell>
          <cell r="N3483">
            <v>65</v>
          </cell>
          <cell r="O3483" t="str">
            <v>155(F)</v>
          </cell>
          <cell r="P3483" t="str">
            <v>270°</v>
          </cell>
          <cell r="Q3483" t="str">
            <v>TF</v>
          </cell>
          <cell r="R3483" t="str">
            <v>V(VE)</v>
          </cell>
          <cell r="S3483" t="str">
            <v>-</v>
          </cell>
          <cell r="T3483" t="str">
            <v>-</v>
          </cell>
          <cell r="U3483" t="str">
            <v>-</v>
          </cell>
          <cell r="V3483" t="str">
            <v>FC</v>
          </cell>
          <cell r="W3483" t="str">
            <v>-</v>
          </cell>
          <cell r="X3483" t="str">
            <v>CLP HC VG 220 = -20° + 60°</v>
          </cell>
          <cell r="Y3483" t="str">
            <v>KH107EDRN160M4 /TF/VE</v>
          </cell>
          <cell r="Z3483" t="str">
            <v>SEW</v>
          </cell>
          <cell r="AB3483" t="str">
            <v>ATEX22</v>
          </cell>
          <cell r="AF3483">
            <v>0</v>
          </cell>
          <cell r="AG3483" t="str">
            <v>EDRN160M4</v>
          </cell>
          <cell r="AH3483" t="str">
            <v>KH107-EDRN160M4A270-X#</v>
          </cell>
        </row>
        <row r="3484">
          <cell r="A3484" t="str">
            <v>MR003473</v>
          </cell>
          <cell r="B3484" t="str">
            <v>MR</v>
          </cell>
          <cell r="C3484">
            <v>11</v>
          </cell>
          <cell r="D3484">
            <v>19</v>
          </cell>
          <cell r="E3484" t="str">
            <v>R127</v>
          </cell>
          <cell r="F3484">
            <v>5440</v>
          </cell>
          <cell r="G3484">
            <v>76.209999999999994</v>
          </cell>
          <cell r="H3484">
            <v>1</v>
          </cell>
          <cell r="I3484" t="str">
            <v>From M5 to M4 - 5°</v>
          </cell>
          <cell r="J3484" t="str">
            <v>IE3</v>
          </cell>
          <cell r="K3484" t="str">
            <v>230/400</v>
          </cell>
          <cell r="L3484">
            <v>50</v>
          </cell>
          <cell r="M3484" t="str">
            <v>36,5/21</v>
          </cell>
          <cell r="N3484">
            <v>65</v>
          </cell>
          <cell r="O3484" t="str">
            <v>155(F)</v>
          </cell>
          <cell r="P3484" t="str">
            <v>270°</v>
          </cell>
          <cell r="Q3484" t="str">
            <v>TF</v>
          </cell>
          <cell r="R3484" t="str">
            <v>V(VE)</v>
          </cell>
          <cell r="S3484" t="str">
            <v>-</v>
          </cell>
          <cell r="T3484" t="str">
            <v>-</v>
          </cell>
          <cell r="U3484" t="str">
            <v>-</v>
          </cell>
          <cell r="V3484" t="str">
            <v>FC</v>
          </cell>
          <cell r="W3484" t="str">
            <v>-</v>
          </cell>
          <cell r="X3484" t="str">
            <v>CLP HC VG 220 = -20° + 60°</v>
          </cell>
          <cell r="Y3484" t="str">
            <v>R127EDRN160M4 /TF/VE</v>
          </cell>
          <cell r="Z3484" t="str">
            <v>SEW</v>
          </cell>
          <cell r="AB3484" t="str">
            <v>ATEX22</v>
          </cell>
          <cell r="AF3484">
            <v>0</v>
          </cell>
          <cell r="AG3484" t="str">
            <v>EDRN160M4</v>
          </cell>
          <cell r="AH3484" t="str">
            <v>R127-EDRN160M4270-X#</v>
          </cell>
        </row>
        <row r="3485">
          <cell r="A3485" t="str">
            <v>MR003474</v>
          </cell>
          <cell r="B3485" t="str">
            <v>MR</v>
          </cell>
          <cell r="C3485">
            <v>11</v>
          </cell>
          <cell r="D3485">
            <v>19</v>
          </cell>
          <cell r="E3485" t="str">
            <v>R127</v>
          </cell>
          <cell r="F3485">
            <v>5440</v>
          </cell>
          <cell r="G3485">
            <v>76.209999999999994</v>
          </cell>
          <cell r="H3485">
            <v>1</v>
          </cell>
          <cell r="I3485" t="str">
            <v>From M6 to M4 - 5°</v>
          </cell>
          <cell r="J3485" t="str">
            <v>IE3</v>
          </cell>
          <cell r="K3485" t="str">
            <v>230/400</v>
          </cell>
          <cell r="L3485">
            <v>50</v>
          </cell>
          <cell r="M3485" t="str">
            <v>36,5/21</v>
          </cell>
          <cell r="N3485">
            <v>65</v>
          </cell>
          <cell r="O3485" t="str">
            <v>155(F)</v>
          </cell>
          <cell r="P3485" t="str">
            <v>270°</v>
          </cell>
          <cell r="Q3485" t="str">
            <v>TF</v>
          </cell>
          <cell r="R3485" t="str">
            <v>V(VE)</v>
          </cell>
          <cell r="S3485" t="str">
            <v>-</v>
          </cell>
          <cell r="T3485" t="str">
            <v>-</v>
          </cell>
          <cell r="U3485" t="str">
            <v>-</v>
          </cell>
          <cell r="V3485" t="str">
            <v>FC</v>
          </cell>
          <cell r="W3485" t="str">
            <v>-</v>
          </cell>
          <cell r="X3485" t="str">
            <v>CLP HC VG 220 = -20° + 60°</v>
          </cell>
          <cell r="Y3485" t="str">
            <v>R127EDRN160M4 /TF/VE</v>
          </cell>
          <cell r="Z3485" t="str">
            <v>SEW</v>
          </cell>
          <cell r="AB3485" t="str">
            <v>ATEX22</v>
          </cell>
          <cell r="AF3485">
            <v>0</v>
          </cell>
          <cell r="AG3485" t="str">
            <v>EDRN160M4</v>
          </cell>
          <cell r="AH3485" t="str">
            <v>R127-EDRN160M4270-X#</v>
          </cell>
        </row>
        <row r="3486">
          <cell r="A3486" t="str">
            <v>MR003475</v>
          </cell>
          <cell r="B3486" t="str">
            <v>MR</v>
          </cell>
          <cell r="C3486">
            <v>3</v>
          </cell>
          <cell r="D3486">
            <v>7.2</v>
          </cell>
          <cell r="E3486" t="str">
            <v>R107</v>
          </cell>
          <cell r="F3486">
            <v>4000</v>
          </cell>
          <cell r="G3486">
            <v>203.16</v>
          </cell>
          <cell r="H3486">
            <v>1.1000000000000001</v>
          </cell>
          <cell r="I3486" t="str">
            <v>From M1 to M2 - 15°</v>
          </cell>
          <cell r="J3486" t="str">
            <v>IE3</v>
          </cell>
          <cell r="K3486" t="str">
            <v>230/400</v>
          </cell>
          <cell r="L3486">
            <v>50</v>
          </cell>
          <cell r="M3486" t="str">
            <v>11,4/6,6</v>
          </cell>
          <cell r="N3486">
            <v>65</v>
          </cell>
          <cell r="O3486" t="str">
            <v>155(F)</v>
          </cell>
          <cell r="P3486" t="str">
            <v>270°</v>
          </cell>
          <cell r="Q3486" t="str">
            <v>TF</v>
          </cell>
          <cell r="R3486" t="str">
            <v>V(VE)</v>
          </cell>
          <cell r="S3486" t="str">
            <v>-</v>
          </cell>
          <cell r="T3486" t="str">
            <v>-</v>
          </cell>
          <cell r="U3486" t="str">
            <v>-</v>
          </cell>
          <cell r="V3486" t="str">
            <v>FC</v>
          </cell>
          <cell r="W3486" t="str">
            <v>-</v>
          </cell>
          <cell r="X3486" t="str">
            <v>CLP HC VG 220 = -20° + 60°</v>
          </cell>
          <cell r="Y3486" t="str">
            <v>R107EDRN100L4 /TF/VE</v>
          </cell>
          <cell r="Z3486" t="str">
            <v>SEW</v>
          </cell>
          <cell r="AB3486" t="str">
            <v>ATEX22</v>
          </cell>
          <cell r="AF3486">
            <v>0</v>
          </cell>
          <cell r="AG3486" t="str">
            <v>EDRN100L4</v>
          </cell>
          <cell r="AH3486" t="str">
            <v>R107-EDRN100L4270-X#</v>
          </cell>
        </row>
        <row r="3487">
          <cell r="A3487" t="str">
            <v>MR003476</v>
          </cell>
          <cell r="B3487" t="str">
            <v>MR</v>
          </cell>
          <cell r="C3487">
            <v>7.5</v>
          </cell>
          <cell r="D3487">
            <v>15</v>
          </cell>
          <cell r="E3487" t="str">
            <v>KH107</v>
          </cell>
          <cell r="F3487">
            <v>4920</v>
          </cell>
          <cell r="G3487">
            <v>100.75</v>
          </cell>
          <cell r="H3487">
            <v>1.55</v>
          </cell>
          <cell r="I3487" t="str">
            <v>From M1A to M2A - 20°</v>
          </cell>
          <cell r="J3487" t="str">
            <v>IE3</v>
          </cell>
          <cell r="K3487" t="str">
            <v>400/690</v>
          </cell>
          <cell r="L3487">
            <v>50</v>
          </cell>
          <cell r="M3487" t="str">
            <v>15,2/8,8</v>
          </cell>
          <cell r="N3487">
            <v>65</v>
          </cell>
          <cell r="O3487" t="str">
            <v>155(F)</v>
          </cell>
          <cell r="P3487" t="str">
            <v>270°</v>
          </cell>
          <cell r="Q3487" t="str">
            <v>-</v>
          </cell>
          <cell r="R3487" t="str">
            <v>-</v>
          </cell>
          <cell r="S3487" t="str">
            <v>-</v>
          </cell>
          <cell r="T3487" t="str">
            <v>-</v>
          </cell>
          <cell r="U3487" t="str">
            <v>-</v>
          </cell>
          <cell r="V3487" t="str">
            <v>SS</v>
          </cell>
          <cell r="W3487" t="str">
            <v>-</v>
          </cell>
          <cell r="X3487" t="str">
            <v>CLP HC VG 220 = -20° + 60°</v>
          </cell>
          <cell r="Y3487" t="str">
            <v>KH107EDRN132M4</v>
          </cell>
          <cell r="Z3487" t="str">
            <v>SEW</v>
          </cell>
          <cell r="AB3487" t="str">
            <v>ATEX22</v>
          </cell>
          <cell r="AF3487">
            <v>0</v>
          </cell>
          <cell r="AG3487" t="str">
            <v>EDRN132M4</v>
          </cell>
          <cell r="AH3487" t="str">
            <v>KH107-EDRN132M4A270-X</v>
          </cell>
        </row>
        <row r="3488">
          <cell r="A3488" t="str">
            <v>MR003477</v>
          </cell>
          <cell r="B3488" t="str">
            <v>MR</v>
          </cell>
          <cell r="C3488">
            <v>7.5</v>
          </cell>
          <cell r="D3488">
            <v>15</v>
          </cell>
          <cell r="E3488" t="str">
            <v>KH107</v>
          </cell>
          <cell r="F3488">
            <v>4920</v>
          </cell>
          <cell r="G3488">
            <v>100.75</v>
          </cell>
          <cell r="H3488">
            <v>1.5</v>
          </cell>
          <cell r="I3488" t="str">
            <v>From M1B to M2B - 20°</v>
          </cell>
          <cell r="J3488" t="str">
            <v>IE3</v>
          </cell>
          <cell r="K3488" t="str">
            <v>400/690</v>
          </cell>
          <cell r="L3488">
            <v>50</v>
          </cell>
          <cell r="M3488" t="str">
            <v>15,2/8,8</v>
          </cell>
          <cell r="N3488">
            <v>65</v>
          </cell>
          <cell r="O3488" t="str">
            <v>155(F)</v>
          </cell>
          <cell r="P3488" t="str">
            <v>270°</v>
          </cell>
          <cell r="Q3488" t="str">
            <v>-</v>
          </cell>
          <cell r="R3488" t="str">
            <v>-</v>
          </cell>
          <cell r="S3488" t="str">
            <v>-</v>
          </cell>
          <cell r="T3488" t="str">
            <v>-</v>
          </cell>
          <cell r="U3488" t="str">
            <v>-</v>
          </cell>
          <cell r="V3488" t="str">
            <v>SS</v>
          </cell>
          <cell r="W3488" t="str">
            <v>-</v>
          </cell>
          <cell r="X3488" t="str">
            <v>CLP HC VG 220 = -20° + 60°</v>
          </cell>
          <cell r="Y3488" t="str">
            <v>KH107EDRN132M4</v>
          </cell>
          <cell r="Z3488" t="str">
            <v>SEW</v>
          </cell>
          <cell r="AB3488" t="str">
            <v>ATEX22</v>
          </cell>
          <cell r="AF3488">
            <v>0</v>
          </cell>
          <cell r="AG3488" t="str">
            <v>EDRN132M4</v>
          </cell>
          <cell r="AH3488" t="str">
            <v>KH107-EDRN132M4B270-X</v>
          </cell>
        </row>
        <row r="3489">
          <cell r="A3489" t="str">
            <v>MR003478</v>
          </cell>
          <cell r="B3489" t="str">
            <v>MR</v>
          </cell>
          <cell r="C3489">
            <v>4</v>
          </cell>
          <cell r="D3489">
            <v>63</v>
          </cell>
          <cell r="E3489" t="str">
            <v>R77</v>
          </cell>
          <cell r="F3489">
            <v>610</v>
          </cell>
          <cell r="G3489">
            <v>23.37</v>
          </cell>
          <cell r="H3489">
            <v>1</v>
          </cell>
          <cell r="I3489" t="str">
            <v>From M1 to M4 - 15°</v>
          </cell>
          <cell r="J3489" t="str">
            <v>IE3</v>
          </cell>
          <cell r="K3489" t="str">
            <v>230/400</v>
          </cell>
          <cell r="L3489">
            <v>50</v>
          </cell>
          <cell r="M3489" t="str">
            <v>13,8/7,9</v>
          </cell>
          <cell r="N3489">
            <v>65</v>
          </cell>
          <cell r="O3489" t="str">
            <v>155(F)</v>
          </cell>
          <cell r="P3489" t="str">
            <v>270°</v>
          </cell>
          <cell r="Q3489" t="str">
            <v>TF</v>
          </cell>
          <cell r="R3489" t="str">
            <v>V(VE)</v>
          </cell>
          <cell r="S3489" t="str">
            <v>-</v>
          </cell>
          <cell r="T3489" t="str">
            <v>-</v>
          </cell>
          <cell r="U3489" t="str">
            <v>-</v>
          </cell>
          <cell r="V3489" t="str">
            <v>FC</v>
          </cell>
          <cell r="W3489" t="str">
            <v>-</v>
          </cell>
          <cell r="X3489" t="str">
            <v>CLP HC VG 220 = -20° + 60°</v>
          </cell>
          <cell r="Y3489" t="str">
            <v>R77EDRN112M4 /TF/VE</v>
          </cell>
          <cell r="Z3489" t="str">
            <v>SEW</v>
          </cell>
          <cell r="AB3489" t="str">
            <v>ATEX22</v>
          </cell>
          <cell r="AF3489">
            <v>0</v>
          </cell>
          <cell r="AG3489" t="str">
            <v>EDRN112M4</v>
          </cell>
          <cell r="AH3489" t="str">
            <v>R77-EDRN112M4270-X#</v>
          </cell>
        </row>
        <row r="3490">
          <cell r="A3490" t="str">
            <v>MR003479</v>
          </cell>
          <cell r="B3490" t="str">
            <v>MR</v>
          </cell>
          <cell r="C3490">
            <v>7.5</v>
          </cell>
          <cell r="D3490">
            <v>15</v>
          </cell>
          <cell r="E3490" t="str">
            <v>KH107</v>
          </cell>
          <cell r="F3490">
            <v>4920</v>
          </cell>
          <cell r="G3490">
            <v>100.75</v>
          </cell>
          <cell r="H3490">
            <v>1.55</v>
          </cell>
          <cell r="I3490" t="str">
            <v>From M1A to M2A - 15°</v>
          </cell>
          <cell r="J3490" t="str">
            <v>IE3</v>
          </cell>
          <cell r="K3490" t="str">
            <v>400/690</v>
          </cell>
          <cell r="L3490">
            <v>50</v>
          </cell>
          <cell r="M3490" t="str">
            <v>15,2/8,8</v>
          </cell>
          <cell r="N3490">
            <v>65</v>
          </cell>
          <cell r="O3490" t="str">
            <v>155(F)</v>
          </cell>
          <cell r="P3490" t="str">
            <v>270°</v>
          </cell>
          <cell r="Q3490" t="str">
            <v>-</v>
          </cell>
          <cell r="R3490" t="str">
            <v>-</v>
          </cell>
          <cell r="S3490" t="str">
            <v>-</v>
          </cell>
          <cell r="T3490" t="str">
            <v>-</v>
          </cell>
          <cell r="U3490" t="str">
            <v>-</v>
          </cell>
          <cell r="V3490" t="str">
            <v>SS</v>
          </cell>
          <cell r="W3490" t="str">
            <v>-</v>
          </cell>
          <cell r="X3490" t="str">
            <v>CLP HC VG 220 = -20° + 60°</v>
          </cell>
          <cell r="Y3490" t="str">
            <v>KH107EDRN132M4</v>
          </cell>
          <cell r="Z3490" t="str">
            <v>SEW</v>
          </cell>
          <cell r="AB3490" t="str">
            <v>ATEX22</v>
          </cell>
          <cell r="AF3490">
            <v>0</v>
          </cell>
          <cell r="AG3490" t="str">
            <v>EDRN132M4</v>
          </cell>
          <cell r="AH3490" t="str">
            <v>KH107-EDRN132M4A270-X</v>
          </cell>
        </row>
        <row r="3491">
          <cell r="A3491" t="str">
            <v>MR003480</v>
          </cell>
          <cell r="B3491" t="str">
            <v>MR</v>
          </cell>
          <cell r="C3491">
            <v>7.5</v>
          </cell>
          <cell r="D3491">
            <v>15</v>
          </cell>
          <cell r="E3491" t="str">
            <v>KH107</v>
          </cell>
          <cell r="F3491">
            <v>4920</v>
          </cell>
          <cell r="G3491">
            <v>100.75</v>
          </cell>
          <cell r="H3491">
            <v>1.5</v>
          </cell>
          <cell r="I3491" t="str">
            <v>From M1B to M2B - 15°</v>
          </cell>
          <cell r="J3491" t="str">
            <v>IE3</v>
          </cell>
          <cell r="K3491" t="str">
            <v>400/690</v>
          </cell>
          <cell r="L3491">
            <v>50</v>
          </cell>
          <cell r="M3491" t="str">
            <v>15,2/8,8</v>
          </cell>
          <cell r="N3491">
            <v>65</v>
          </cell>
          <cell r="O3491" t="str">
            <v>155(F)</v>
          </cell>
          <cell r="P3491" t="str">
            <v>270°</v>
          </cell>
          <cell r="Q3491" t="str">
            <v>-</v>
          </cell>
          <cell r="R3491" t="str">
            <v>-</v>
          </cell>
          <cell r="S3491" t="str">
            <v>-</v>
          </cell>
          <cell r="T3491" t="str">
            <v>-</v>
          </cell>
          <cell r="U3491" t="str">
            <v>-</v>
          </cell>
          <cell r="V3491" t="str">
            <v>SS</v>
          </cell>
          <cell r="W3491" t="str">
            <v>-</v>
          </cell>
          <cell r="X3491" t="str">
            <v>CLP HC VG 220 = -20° + 60°</v>
          </cell>
          <cell r="Y3491" t="str">
            <v>KH107EDRN132M4</v>
          </cell>
          <cell r="Z3491" t="str">
            <v>SEW</v>
          </cell>
          <cell r="AB3491" t="str">
            <v>ATEX22</v>
          </cell>
          <cell r="AF3491">
            <v>0</v>
          </cell>
          <cell r="AG3491" t="str">
            <v>EDRN132M4</v>
          </cell>
          <cell r="AH3491" t="str">
            <v>KH107-EDRN132M4B270-X</v>
          </cell>
        </row>
        <row r="3492">
          <cell r="A3492" t="str">
            <v>MR003481</v>
          </cell>
          <cell r="B3492" t="str">
            <v>MR</v>
          </cell>
          <cell r="C3492">
            <v>11</v>
          </cell>
          <cell r="D3492">
            <v>15</v>
          </cell>
          <cell r="E3492" t="str">
            <v>KH107</v>
          </cell>
          <cell r="F3492">
            <v>7190</v>
          </cell>
          <cell r="G3492">
            <v>100.75</v>
          </cell>
          <cell r="H3492">
            <v>1</v>
          </cell>
          <cell r="I3492" t="str">
            <v>From M1A to M2A - 10°</v>
          </cell>
          <cell r="J3492" t="str">
            <v>IE3</v>
          </cell>
          <cell r="K3492" t="str">
            <v>400/690</v>
          </cell>
          <cell r="L3492">
            <v>50</v>
          </cell>
          <cell r="M3492" t="str">
            <v>21,5/12,3</v>
          </cell>
          <cell r="N3492">
            <v>65</v>
          </cell>
          <cell r="O3492" t="str">
            <v>155(F)</v>
          </cell>
          <cell r="P3492" t="str">
            <v>270°</v>
          </cell>
          <cell r="Q3492" t="str">
            <v>TF</v>
          </cell>
          <cell r="R3492" t="str">
            <v>230/400V</v>
          </cell>
          <cell r="S3492" t="str">
            <v>-</v>
          </cell>
          <cell r="T3492" t="str">
            <v>-</v>
          </cell>
          <cell r="U3492" t="str">
            <v>-</v>
          </cell>
          <cell r="V3492" t="str">
            <v>FC</v>
          </cell>
          <cell r="W3492" t="str">
            <v>-</v>
          </cell>
          <cell r="X3492" t="str">
            <v>CLP HC VG 220 = -20° + 60°</v>
          </cell>
          <cell r="Y3492" t="str">
            <v>KH107EDRN160M4 /TF/VE</v>
          </cell>
          <cell r="Z3492" t="str">
            <v>SEW</v>
          </cell>
          <cell r="AB3492" t="str">
            <v>ATEX22</v>
          </cell>
          <cell r="AF3492">
            <v>0</v>
          </cell>
          <cell r="AG3492" t="str">
            <v>EDRN160M4</v>
          </cell>
          <cell r="AH3492" t="str">
            <v>KH107-EDRN160M4A270-X#</v>
          </cell>
        </row>
        <row r="3493">
          <cell r="A3493" t="str">
            <v>MR003482</v>
          </cell>
          <cell r="B3493" t="str">
            <v>MR</v>
          </cell>
          <cell r="C3493">
            <v>5.5</v>
          </cell>
          <cell r="D3493">
            <v>14</v>
          </cell>
          <cell r="E3493" t="str">
            <v>KH97</v>
          </cell>
          <cell r="F3493">
            <v>3780</v>
          </cell>
          <cell r="G3493">
            <v>105.13</v>
          </cell>
          <cell r="H3493">
            <v>1</v>
          </cell>
          <cell r="I3493" t="str">
            <v>From M1A to M2A - 20°</v>
          </cell>
          <cell r="J3493" t="str">
            <v>IE3</v>
          </cell>
          <cell r="K3493" t="str">
            <v>230/400</v>
          </cell>
          <cell r="L3493">
            <v>50</v>
          </cell>
          <cell r="M3493" t="str">
            <v>18,2/10,5</v>
          </cell>
          <cell r="N3493">
            <v>65</v>
          </cell>
          <cell r="O3493" t="str">
            <v>155(F)</v>
          </cell>
          <cell r="P3493" t="str">
            <v>270°</v>
          </cell>
          <cell r="Q3493" t="str">
            <v>TF</v>
          </cell>
          <cell r="R3493" t="str">
            <v>V(VE)</v>
          </cell>
          <cell r="S3493" t="str">
            <v>-</v>
          </cell>
          <cell r="T3493" t="str">
            <v>-</v>
          </cell>
          <cell r="U3493" t="str">
            <v>-</v>
          </cell>
          <cell r="V3493" t="str">
            <v>FC</v>
          </cell>
          <cell r="W3493" t="str">
            <v>-</v>
          </cell>
          <cell r="X3493" t="str">
            <v>CLP HC VG 220 = -20° + 60°</v>
          </cell>
          <cell r="Y3493" t="str">
            <v>KH97EDRN132S4 /TF/VE</v>
          </cell>
          <cell r="Z3493" t="str">
            <v>SEW</v>
          </cell>
          <cell r="AB3493" t="str">
            <v>ATEX22</v>
          </cell>
          <cell r="AF3493">
            <v>0</v>
          </cell>
          <cell r="AG3493" t="str">
            <v>EDRN132S4</v>
          </cell>
          <cell r="AH3493" t="str">
            <v>KH97-EDRN132S4A270-X#</v>
          </cell>
        </row>
        <row r="3494">
          <cell r="A3494" t="str">
            <v>MR003483</v>
          </cell>
          <cell r="B3494" t="str">
            <v>MR</v>
          </cell>
          <cell r="C3494">
            <v>5.5</v>
          </cell>
          <cell r="D3494">
            <v>14</v>
          </cell>
          <cell r="E3494" t="str">
            <v>KH97</v>
          </cell>
          <cell r="F3494">
            <v>3780</v>
          </cell>
          <cell r="G3494">
            <v>105.13</v>
          </cell>
          <cell r="H3494">
            <v>1</v>
          </cell>
          <cell r="I3494" t="str">
            <v>From M1B to M2B - 20°</v>
          </cell>
          <cell r="J3494" t="str">
            <v>IE3</v>
          </cell>
          <cell r="K3494" t="str">
            <v>230/400</v>
          </cell>
          <cell r="L3494">
            <v>50</v>
          </cell>
          <cell r="M3494" t="str">
            <v>18,2/10,5</v>
          </cell>
          <cell r="N3494">
            <v>65</v>
          </cell>
          <cell r="O3494" t="str">
            <v>155(F)</v>
          </cell>
          <cell r="P3494" t="str">
            <v>270°</v>
          </cell>
          <cell r="Q3494" t="str">
            <v>TF</v>
          </cell>
          <cell r="R3494" t="str">
            <v>V(VE)</v>
          </cell>
          <cell r="S3494" t="str">
            <v>-</v>
          </cell>
          <cell r="T3494" t="str">
            <v>-</v>
          </cell>
          <cell r="U3494" t="str">
            <v>-</v>
          </cell>
          <cell r="V3494" t="str">
            <v>FC</v>
          </cell>
          <cell r="W3494" t="str">
            <v>-</v>
          </cell>
          <cell r="X3494" t="str">
            <v>CLP HC VG 220 = -20° + 60°</v>
          </cell>
          <cell r="Y3494" t="str">
            <v>KH97EDRN132S4 /TF/VE</v>
          </cell>
          <cell r="Z3494" t="str">
            <v>SEW</v>
          </cell>
          <cell r="AB3494" t="str">
            <v>ATEX22</v>
          </cell>
          <cell r="AF3494">
            <v>0</v>
          </cell>
          <cell r="AG3494" t="str">
            <v>EDRN132S4</v>
          </cell>
          <cell r="AH3494" t="str">
            <v>KH97-EDRN132S4B270-X#</v>
          </cell>
        </row>
        <row r="3495">
          <cell r="A3495" t="str">
            <v>MR003484</v>
          </cell>
          <cell r="B3495" t="str">
            <v>MR</v>
          </cell>
          <cell r="C3495">
            <v>7.5</v>
          </cell>
          <cell r="D3495">
            <v>63</v>
          </cell>
          <cell r="E3495" t="str">
            <v>R87</v>
          </cell>
          <cell r="F3495">
            <v>1140</v>
          </cell>
          <cell r="G3495">
            <v>23.4</v>
          </cell>
          <cell r="H3495">
            <v>1</v>
          </cell>
          <cell r="I3495" t="str">
            <v>M1</v>
          </cell>
          <cell r="J3495" t="str">
            <v>IE3</v>
          </cell>
          <cell r="K3495" t="str">
            <v>400/690</v>
          </cell>
          <cell r="L3495">
            <v>50</v>
          </cell>
          <cell r="M3495" t="str">
            <v>15,2/8,8</v>
          </cell>
          <cell r="N3495">
            <v>65</v>
          </cell>
          <cell r="O3495" t="str">
            <v>155(F)</v>
          </cell>
          <cell r="P3495" t="str">
            <v>270°</v>
          </cell>
          <cell r="Q3495" t="str">
            <v>TF</v>
          </cell>
          <cell r="R3495" t="str">
            <v>230/400V</v>
          </cell>
          <cell r="S3495" t="str">
            <v>-</v>
          </cell>
          <cell r="T3495" t="str">
            <v>-</v>
          </cell>
          <cell r="U3495" t="str">
            <v>-</v>
          </cell>
          <cell r="V3495" t="str">
            <v>FC+R</v>
          </cell>
          <cell r="W3495" t="str">
            <v>-</v>
          </cell>
          <cell r="X3495" t="str">
            <v>CLP HC VG 220 = -20° + 60°</v>
          </cell>
          <cell r="Y3495" t="str">
            <v>R87EDRN132M4 /TF/VE</v>
          </cell>
          <cell r="Z3495" t="str">
            <v>SEW</v>
          </cell>
          <cell r="AB3495" t="str">
            <v>ATEX22</v>
          </cell>
          <cell r="AF3495">
            <v>0</v>
          </cell>
          <cell r="AG3495" t="str">
            <v>EDRN132M4</v>
          </cell>
          <cell r="AH3495" t="str">
            <v>R87-EDRN132M4270-X#</v>
          </cell>
        </row>
        <row r="3496">
          <cell r="A3496" t="str">
            <v>MR003485</v>
          </cell>
          <cell r="B3496" t="str">
            <v>MR</v>
          </cell>
          <cell r="C3496">
            <v>0.75</v>
          </cell>
          <cell r="D3496">
            <v>18</v>
          </cell>
          <cell r="E3496" t="str">
            <v>FA67</v>
          </cell>
          <cell r="F3496">
            <v>395</v>
          </cell>
          <cell r="G3496">
            <v>79.760000000000005</v>
          </cell>
          <cell r="H3496">
            <v>2</v>
          </cell>
          <cell r="I3496" t="str">
            <v>M6</v>
          </cell>
          <cell r="J3496" t="str">
            <v>IE3</v>
          </cell>
          <cell r="K3496" t="str">
            <v>230/400</v>
          </cell>
          <cell r="L3496">
            <v>50</v>
          </cell>
          <cell r="M3496" t="str">
            <v>3,05/1,75</v>
          </cell>
          <cell r="N3496">
            <v>65</v>
          </cell>
          <cell r="O3496" t="str">
            <v>155(F)</v>
          </cell>
          <cell r="P3496" t="str">
            <v>270°</v>
          </cell>
          <cell r="Q3496" t="str">
            <v>TF</v>
          </cell>
          <cell r="R3496" t="str">
            <v>-</v>
          </cell>
          <cell r="S3496" t="str">
            <v>-</v>
          </cell>
          <cell r="T3496" t="str">
            <v>BEHF</v>
          </cell>
          <cell r="U3496" t="str">
            <v>G</v>
          </cell>
          <cell r="V3496" t="str">
            <v>D+R</v>
          </cell>
          <cell r="W3496" t="str">
            <v>-</v>
          </cell>
          <cell r="X3496" t="str">
            <v>CLP HC VG 220 = -20° + 60°</v>
          </cell>
          <cell r="Y3496" t="str">
            <v>FA67/G EDRN80M4 /BEHF /TF</v>
          </cell>
          <cell r="Z3496" t="str">
            <v>SEW</v>
          </cell>
          <cell r="AB3496" t="str">
            <v>ATEX22</v>
          </cell>
          <cell r="AE3496" t="str">
            <v>Rectifier for brake in the terminal box</v>
          </cell>
          <cell r="AF3496">
            <v>0</v>
          </cell>
          <cell r="AG3496" t="str">
            <v>EDRN80M4</v>
          </cell>
          <cell r="AH3496" t="str">
            <v>FA67G-EDRN80M4270-X</v>
          </cell>
        </row>
        <row r="3497">
          <cell r="A3497" t="str">
            <v>MR003486</v>
          </cell>
          <cell r="B3497" t="str">
            <v>MR</v>
          </cell>
          <cell r="C3497">
            <v>11</v>
          </cell>
          <cell r="D3497">
            <v>59</v>
          </cell>
          <cell r="E3497" t="str">
            <v>R97</v>
          </cell>
          <cell r="F3497">
            <v>1790</v>
          </cell>
          <cell r="G3497">
            <v>25.03</v>
          </cell>
          <cell r="H3497">
            <v>1.1000000000000001</v>
          </cell>
          <cell r="I3497" t="str">
            <v>M1</v>
          </cell>
          <cell r="J3497" t="str">
            <v>IE3</v>
          </cell>
          <cell r="K3497" t="str">
            <v>400/690</v>
          </cell>
          <cell r="L3497">
            <v>50</v>
          </cell>
          <cell r="M3497" t="str">
            <v>21/12,2</v>
          </cell>
          <cell r="N3497">
            <v>65</v>
          </cell>
          <cell r="O3497" t="str">
            <v>155(F)</v>
          </cell>
          <cell r="P3497" t="str">
            <v>270°</v>
          </cell>
          <cell r="Q3497" t="str">
            <v>TF</v>
          </cell>
          <cell r="R3497" t="str">
            <v>230/400V</v>
          </cell>
          <cell r="S3497" t="str">
            <v>-</v>
          </cell>
          <cell r="T3497" t="str">
            <v>-</v>
          </cell>
          <cell r="U3497" t="str">
            <v>-</v>
          </cell>
          <cell r="V3497" t="str">
            <v>FC+R</v>
          </cell>
          <cell r="W3497" t="str">
            <v>-</v>
          </cell>
          <cell r="X3497" t="str">
            <v>CLP HC VG 220 = -20° + 60°</v>
          </cell>
          <cell r="Y3497" t="str">
            <v>R97EDRN160M4 /TF/VE</v>
          </cell>
          <cell r="Z3497" t="str">
            <v>SEW</v>
          </cell>
          <cell r="AB3497" t="str">
            <v>ATEX22</v>
          </cell>
          <cell r="AF3497">
            <v>0</v>
          </cell>
          <cell r="AG3497" t="str">
            <v>EDRN160M4</v>
          </cell>
          <cell r="AH3497" t="str">
            <v>R97-EDRN160M4270-X#</v>
          </cell>
        </row>
        <row r="3498">
          <cell r="A3498" t="str">
            <v>MR003487</v>
          </cell>
          <cell r="B3498" t="str">
            <v>MR</v>
          </cell>
          <cell r="C3498">
            <v>22</v>
          </cell>
          <cell r="D3498">
            <v>12</v>
          </cell>
          <cell r="E3498" t="str">
            <v>KH157</v>
          </cell>
          <cell r="F3498">
            <v>17400</v>
          </cell>
          <cell r="G3498">
            <v>122.39</v>
          </cell>
          <cell r="H3498">
            <v>1.1499999999999999</v>
          </cell>
          <cell r="I3498" t="str">
            <v>From M1B to M2B - 35°</v>
          </cell>
          <cell r="J3498" t="str">
            <v>IE3</v>
          </cell>
          <cell r="K3498" t="str">
            <v>230/400</v>
          </cell>
          <cell r="L3498">
            <v>50</v>
          </cell>
          <cell r="M3498" t="str">
            <v>67/38,5</v>
          </cell>
          <cell r="N3498">
            <v>65</v>
          </cell>
          <cell r="O3498" t="str">
            <v>155(F)</v>
          </cell>
          <cell r="P3498" t="str">
            <v>270°</v>
          </cell>
          <cell r="Q3498" t="str">
            <v>TF</v>
          </cell>
          <cell r="R3498" t="str">
            <v>V(VE)</v>
          </cell>
          <cell r="S3498" t="str">
            <v>-</v>
          </cell>
          <cell r="T3498" t="str">
            <v>-</v>
          </cell>
          <cell r="U3498" t="str">
            <v>-</v>
          </cell>
          <cell r="V3498" t="str">
            <v>FC</v>
          </cell>
          <cell r="W3498" t="str">
            <v>-</v>
          </cell>
          <cell r="X3498" t="str">
            <v>CLP VG 220 = -15° + 40°</v>
          </cell>
          <cell r="Y3498" t="str">
            <v>KH157DRN180L4 /TF/V</v>
          </cell>
          <cell r="Z3498" t="str">
            <v>SEW</v>
          </cell>
          <cell r="AB3498" t="str">
            <v>-</v>
          </cell>
          <cell r="AF3498">
            <v>0</v>
          </cell>
          <cell r="AG3498" t="str">
            <v>DRN180L4</v>
          </cell>
          <cell r="AH3498" t="str">
            <v>KH157-DRN180L4B270-X#</v>
          </cell>
        </row>
        <row r="3499">
          <cell r="A3499" t="str">
            <v>MR003488</v>
          </cell>
          <cell r="B3499" t="str">
            <v>MR</v>
          </cell>
          <cell r="C3499">
            <v>9.1999999999999993</v>
          </cell>
          <cell r="D3499">
            <v>12</v>
          </cell>
          <cell r="E3499" t="str">
            <v>KH127</v>
          </cell>
          <cell r="F3499">
            <v>7320</v>
          </cell>
          <cell r="G3499">
            <v>122.48</v>
          </cell>
          <cell r="H3499">
            <v>1.8</v>
          </cell>
          <cell r="I3499" t="str">
            <v>M1B</v>
          </cell>
          <cell r="J3499" t="str">
            <v>IE3</v>
          </cell>
          <cell r="K3499" t="str">
            <v>230/400</v>
          </cell>
          <cell r="L3499">
            <v>50</v>
          </cell>
          <cell r="M3499" t="str">
            <v>32,5/18,7</v>
          </cell>
          <cell r="N3499">
            <v>65</v>
          </cell>
          <cell r="O3499" t="str">
            <v>155(F)</v>
          </cell>
          <cell r="P3499" t="str">
            <v>270°</v>
          </cell>
          <cell r="Q3499" t="str">
            <v>TF</v>
          </cell>
          <cell r="R3499" t="str">
            <v>V(VE)</v>
          </cell>
          <cell r="S3499" t="str">
            <v>-</v>
          </cell>
          <cell r="T3499" t="str">
            <v>-</v>
          </cell>
          <cell r="U3499" t="str">
            <v>-</v>
          </cell>
          <cell r="V3499" t="str">
            <v>FC</v>
          </cell>
          <cell r="W3499" t="str">
            <v>-</v>
          </cell>
          <cell r="X3499" t="str">
            <v>CLP VG 220 = -15° + 40°</v>
          </cell>
          <cell r="Y3499" t="str">
            <v>KH127DRN132L4 /TF/V</v>
          </cell>
          <cell r="Z3499" t="str">
            <v>SEW</v>
          </cell>
          <cell r="AB3499" t="str">
            <v>-</v>
          </cell>
          <cell r="AF3499">
            <v>0</v>
          </cell>
          <cell r="AG3499" t="str">
            <v>DRN132L4</v>
          </cell>
          <cell r="AH3499" t="str">
            <v>KH127-DRN132L4B270-X#</v>
          </cell>
        </row>
        <row r="3500">
          <cell r="A3500" t="str">
            <v>MR003489</v>
          </cell>
          <cell r="B3500" t="str">
            <v>MR</v>
          </cell>
          <cell r="C3500">
            <v>1.1000000000000001</v>
          </cell>
          <cell r="D3500">
            <v>19</v>
          </cell>
          <cell r="E3500" t="str">
            <v>KA67</v>
          </cell>
          <cell r="F3500">
            <v>550</v>
          </cell>
          <cell r="G3500">
            <v>76.37</v>
          </cell>
          <cell r="H3500">
            <v>1.5</v>
          </cell>
          <cell r="I3500" t="str">
            <v>M1B</v>
          </cell>
          <cell r="J3500" t="str">
            <v>IE3</v>
          </cell>
          <cell r="K3500" t="str">
            <v>230/400</v>
          </cell>
          <cell r="L3500">
            <v>50</v>
          </cell>
          <cell r="M3500" t="str">
            <v>4,45/2,55</v>
          </cell>
          <cell r="N3500">
            <v>65</v>
          </cell>
          <cell r="O3500" t="str">
            <v>155(F)</v>
          </cell>
          <cell r="P3500" t="str">
            <v>270°</v>
          </cell>
          <cell r="Q3500" t="str">
            <v>-</v>
          </cell>
          <cell r="R3500" t="str">
            <v>-</v>
          </cell>
          <cell r="S3500" t="str">
            <v>-</v>
          </cell>
          <cell r="T3500" t="str">
            <v>-</v>
          </cell>
          <cell r="U3500" t="str">
            <v>T</v>
          </cell>
          <cell r="V3500" t="str">
            <v>D</v>
          </cell>
          <cell r="W3500" t="str">
            <v>-</v>
          </cell>
          <cell r="X3500" t="str">
            <v>CLP VG 220 = -15° + 40°</v>
          </cell>
          <cell r="Y3500" t="str">
            <v>KA67/T DRN90S4</v>
          </cell>
          <cell r="Z3500" t="str">
            <v>SEW</v>
          </cell>
          <cell r="AB3500" t="str">
            <v>-</v>
          </cell>
          <cell r="AF3500">
            <v>0</v>
          </cell>
          <cell r="AG3500" t="str">
            <v>DRN90S4</v>
          </cell>
          <cell r="AH3500" t="str">
            <v>KA67T-DRN90S4B270-X</v>
          </cell>
        </row>
        <row r="3501">
          <cell r="A3501" t="str">
            <v>MR003490</v>
          </cell>
          <cell r="B3501" t="str">
            <v>MR</v>
          </cell>
          <cell r="C3501">
            <v>3</v>
          </cell>
          <cell r="D3501">
            <v>81</v>
          </cell>
          <cell r="E3501" t="str">
            <v>R67</v>
          </cell>
          <cell r="F3501">
            <v>355</v>
          </cell>
          <cell r="G3501">
            <v>17.95</v>
          </cell>
          <cell r="H3501">
            <v>1.3</v>
          </cell>
          <cell r="I3501" t="str">
            <v>M1</v>
          </cell>
          <cell r="J3501" t="str">
            <v>IE3</v>
          </cell>
          <cell r="K3501" t="str">
            <v>230/400</v>
          </cell>
          <cell r="L3501">
            <v>50</v>
          </cell>
          <cell r="M3501" t="str">
            <v>11,2/6,4</v>
          </cell>
          <cell r="N3501">
            <v>65</v>
          </cell>
          <cell r="O3501" t="str">
            <v>155(F)</v>
          </cell>
          <cell r="P3501" t="str">
            <v>270°</v>
          </cell>
          <cell r="Q3501" t="str">
            <v>-</v>
          </cell>
          <cell r="R3501" t="str">
            <v>-</v>
          </cell>
          <cell r="S3501" t="str">
            <v>-</v>
          </cell>
          <cell r="T3501" t="str">
            <v>-</v>
          </cell>
          <cell r="U3501" t="str">
            <v>-</v>
          </cell>
          <cell r="V3501" t="str">
            <v>D</v>
          </cell>
          <cell r="W3501" t="str">
            <v>-</v>
          </cell>
          <cell r="X3501" t="str">
            <v>CLP HC VG 220 = -20° + 60°</v>
          </cell>
          <cell r="Y3501" t="str">
            <v>R67EDRN100L4</v>
          </cell>
          <cell r="Z3501" t="str">
            <v>SEW</v>
          </cell>
          <cell r="AB3501" t="str">
            <v>ATEX22</v>
          </cell>
          <cell r="AF3501">
            <v>0</v>
          </cell>
          <cell r="AG3501" t="str">
            <v>EDRN100L4</v>
          </cell>
          <cell r="AH3501" t="str">
            <v>R67-EDRN100L4270-X</v>
          </cell>
        </row>
        <row r="3502">
          <cell r="A3502" t="str">
            <v>MR003491</v>
          </cell>
          <cell r="B3502" t="str">
            <v>MR</v>
          </cell>
          <cell r="C3502">
            <v>11</v>
          </cell>
          <cell r="D3502">
            <v>101</v>
          </cell>
          <cell r="E3502" t="str">
            <v>R97</v>
          </cell>
          <cell r="F3502">
            <v>1040</v>
          </cell>
          <cell r="G3502">
            <v>14.62</v>
          </cell>
          <cell r="H3502">
            <v>1.9</v>
          </cell>
          <cell r="I3502" t="str">
            <v>M4</v>
          </cell>
          <cell r="J3502" t="str">
            <v>IE3</v>
          </cell>
          <cell r="K3502" t="str">
            <v>400/690</v>
          </cell>
          <cell r="L3502">
            <v>50</v>
          </cell>
          <cell r="M3502" t="str">
            <v>21/12,2</v>
          </cell>
          <cell r="N3502">
            <v>65</v>
          </cell>
          <cell r="O3502" t="str">
            <v>155(F)</v>
          </cell>
          <cell r="P3502" t="str">
            <v>270°</v>
          </cell>
          <cell r="Q3502" t="str">
            <v>-</v>
          </cell>
          <cell r="R3502" t="str">
            <v>-</v>
          </cell>
          <cell r="S3502" t="str">
            <v>-</v>
          </cell>
          <cell r="T3502" t="str">
            <v>-</v>
          </cell>
          <cell r="U3502" t="str">
            <v>-</v>
          </cell>
          <cell r="V3502" t="str">
            <v>D</v>
          </cell>
          <cell r="W3502" t="str">
            <v>-</v>
          </cell>
          <cell r="X3502" t="str">
            <v>CLP HC VG 220 = -20° + 60°</v>
          </cell>
          <cell r="Y3502" t="str">
            <v>R97EDRN160M4</v>
          </cell>
          <cell r="Z3502" t="str">
            <v>SEW</v>
          </cell>
          <cell r="AB3502" t="str">
            <v>ATEX22</v>
          </cell>
          <cell r="AF3502">
            <v>0</v>
          </cell>
          <cell r="AG3502" t="str">
            <v>EDRN160M4</v>
          </cell>
          <cell r="AH3502" t="str">
            <v>R97-EDRN160M4270-X</v>
          </cell>
        </row>
        <row r="3503">
          <cell r="A3503" t="str">
            <v>MR003492</v>
          </cell>
          <cell r="B3503" t="str">
            <v>MR</v>
          </cell>
          <cell r="C3503">
            <v>5.5</v>
          </cell>
          <cell r="D3503">
            <v>14</v>
          </cell>
          <cell r="E3503" t="str">
            <v>KH97</v>
          </cell>
          <cell r="F3503">
            <v>3780</v>
          </cell>
          <cell r="G3503">
            <v>105.13</v>
          </cell>
          <cell r="H3503">
            <v>1.1000000000000001</v>
          </cell>
          <cell r="I3503" t="str">
            <v>M1A</v>
          </cell>
          <cell r="J3503" t="str">
            <v>IE3</v>
          </cell>
          <cell r="K3503" t="str">
            <v>230/400</v>
          </cell>
          <cell r="L3503">
            <v>50</v>
          </cell>
          <cell r="M3503" t="str">
            <v>18,2/10,5</v>
          </cell>
          <cell r="N3503">
            <v>65</v>
          </cell>
          <cell r="O3503" t="str">
            <v>155(F)</v>
          </cell>
          <cell r="P3503" t="str">
            <v>270°</v>
          </cell>
          <cell r="Q3503" t="str">
            <v>-</v>
          </cell>
          <cell r="R3503" t="str">
            <v>-</v>
          </cell>
          <cell r="S3503" t="str">
            <v>-</v>
          </cell>
          <cell r="T3503" t="str">
            <v>-</v>
          </cell>
          <cell r="U3503" t="str">
            <v>-</v>
          </cell>
          <cell r="V3503" t="str">
            <v>SS</v>
          </cell>
          <cell r="W3503" t="str">
            <v>-</v>
          </cell>
          <cell r="X3503" t="str">
            <v>CLP HC VG 220 = -20° + 60°</v>
          </cell>
          <cell r="Y3503" t="str">
            <v>KH97EDRN132S4</v>
          </cell>
          <cell r="Z3503" t="str">
            <v>SEW</v>
          </cell>
          <cell r="AB3503" t="str">
            <v>ATEX22</v>
          </cell>
          <cell r="AF3503">
            <v>0</v>
          </cell>
          <cell r="AG3503" t="str">
            <v>EDRN132S4</v>
          </cell>
          <cell r="AH3503" t="str">
            <v>KH97-EDRN132S4A270-X</v>
          </cell>
        </row>
        <row r="3504">
          <cell r="A3504" t="str">
            <v>MR003493</v>
          </cell>
          <cell r="B3504" t="str">
            <v>MR</v>
          </cell>
          <cell r="C3504">
            <v>1.5</v>
          </cell>
          <cell r="D3504">
            <v>5.48</v>
          </cell>
          <cell r="E3504" t="str">
            <v>KADS109-Z39-MB90ZLR4PW1</v>
          </cell>
          <cell r="F3504">
            <v>2900</v>
          </cell>
          <cell r="G3504">
            <v>263.61</v>
          </cell>
          <cell r="H3504">
            <v>1.19</v>
          </cell>
          <cell r="I3504" t="str">
            <v>M4A</v>
          </cell>
          <cell r="J3504" t="str">
            <v>IE3</v>
          </cell>
          <cell r="K3504" t="str">
            <v>230/400</v>
          </cell>
          <cell r="L3504">
            <v>50</v>
          </cell>
          <cell r="M3504" t="str">
            <v>5,15/3,15</v>
          </cell>
          <cell r="N3504">
            <v>55</v>
          </cell>
          <cell r="O3504" t="str">
            <v>155(F)</v>
          </cell>
          <cell r="P3504" t="str">
            <v>2A</v>
          </cell>
          <cell r="Q3504" t="str">
            <v>TF</v>
          </cell>
          <cell r="R3504" t="str">
            <v>-</v>
          </cell>
          <cell r="S3504" t="str">
            <v>-</v>
          </cell>
          <cell r="T3504" t="str">
            <v>-</v>
          </cell>
          <cell r="U3504" t="str">
            <v>T</v>
          </cell>
          <cell r="V3504" t="str">
            <v>SS</v>
          </cell>
          <cell r="W3504" t="str">
            <v>-</v>
          </cell>
          <cell r="X3504" t="str">
            <v>CLP PG VG 220 = -20° + 80°</v>
          </cell>
          <cell r="Y3504" t="str">
            <v>2KJ3531-9EM73-4CB1-Z_D14+G23+G60+H3A+K01+K07+K74+K75+K81+L03+L53+M10+M59+N22</v>
          </cell>
          <cell r="Z3504" t="str">
            <v>SIEMENS</v>
          </cell>
          <cell r="AB3504" t="str">
            <v>ATEX22</v>
          </cell>
          <cell r="AF3504">
            <v>5.48</v>
          </cell>
          <cell r="AG3504" t="str">
            <v>EDRN90L4</v>
          </cell>
          <cell r="AH3504" t="str">
            <v>KADS109-Z39-MB90ZLR4PW1T-EDRN90L4A2A-X</v>
          </cell>
        </row>
        <row r="3505">
          <cell r="A3505" t="str">
            <v>MR003494</v>
          </cell>
          <cell r="B3505" t="str">
            <v>R</v>
          </cell>
          <cell r="C3505" t="str">
            <v>-</v>
          </cell>
          <cell r="D3505">
            <v>85.52</v>
          </cell>
          <cell r="E3505" t="str">
            <v>KADS149-K2X-(200)-1</v>
          </cell>
          <cell r="F3505">
            <v>6980</v>
          </cell>
          <cell r="G3505">
            <v>17.54</v>
          </cell>
          <cell r="H3505">
            <v>2.06</v>
          </cell>
          <cell r="I3505" t="str">
            <v>M4A</v>
          </cell>
          <cell r="J3505" t="str">
            <v>-</v>
          </cell>
          <cell r="N3505" t="str">
            <v>-</v>
          </cell>
          <cell r="O3505" t="str">
            <v>-</v>
          </cell>
          <cell r="P3505" t="str">
            <v>-</v>
          </cell>
          <cell r="Q3505" t="str">
            <v>-</v>
          </cell>
          <cell r="R3505" t="str">
            <v>-</v>
          </cell>
          <cell r="S3505" t="str">
            <v>Free rotation CCW</v>
          </cell>
          <cell r="T3505" t="str">
            <v>-</v>
          </cell>
          <cell r="U3505" t="str">
            <v>T</v>
          </cell>
          <cell r="V3505" t="str">
            <v>-</v>
          </cell>
          <cell r="W3505" t="str">
            <v>-</v>
          </cell>
          <cell r="X3505" t="str">
            <v>CLP PG VG 220 = -20° + 80°</v>
          </cell>
          <cell r="Y3505" t="str">
            <v>2KJ3513-9LA02-0CJ1-Z                          A15+D14+G23+G60+H3A+K07+K19+K74+K75+K81+L03+L53+Y00</v>
          </cell>
          <cell r="Z3505" t="str">
            <v>SIEMENS</v>
          </cell>
          <cell r="AB3505" t="str">
            <v>ATEX22</v>
          </cell>
          <cell r="AF3505">
            <v>0</v>
          </cell>
          <cell r="AG3505" t="str">
            <v>-</v>
          </cell>
          <cell r="AH3505" t="str">
            <v>KADS149-K2X-(200)-1T--A--X</v>
          </cell>
        </row>
        <row r="3506">
          <cell r="A3506" t="str">
            <v>MR003495</v>
          </cell>
          <cell r="B3506" t="str">
            <v>MR</v>
          </cell>
          <cell r="C3506">
            <v>7.5</v>
          </cell>
          <cell r="D3506">
            <v>13</v>
          </cell>
          <cell r="E3506" t="str">
            <v>KH107</v>
          </cell>
          <cell r="F3506">
            <v>5480</v>
          </cell>
          <cell r="G3506">
            <v>112.41</v>
          </cell>
          <cell r="H3506">
            <v>1.45</v>
          </cell>
          <cell r="I3506" t="str">
            <v>From M1B to M2B - 45°</v>
          </cell>
          <cell r="J3506" t="str">
            <v>IE3</v>
          </cell>
          <cell r="K3506" t="str">
            <v>400-690</v>
          </cell>
          <cell r="L3506">
            <v>50</v>
          </cell>
          <cell r="M3506" t="str">
            <v>15,2/8,8</v>
          </cell>
          <cell r="N3506">
            <v>65</v>
          </cell>
          <cell r="O3506" t="str">
            <v>155(F)</v>
          </cell>
          <cell r="P3506" t="str">
            <v>270°</v>
          </cell>
          <cell r="Q3506" t="str">
            <v>TF</v>
          </cell>
          <cell r="R3506" t="str">
            <v>-</v>
          </cell>
          <cell r="S3506" t="str">
            <v>-</v>
          </cell>
          <cell r="T3506" t="str">
            <v>-</v>
          </cell>
          <cell r="U3506" t="str">
            <v>-</v>
          </cell>
          <cell r="V3506" t="str">
            <v>SS</v>
          </cell>
          <cell r="W3506" t="str">
            <v>-</v>
          </cell>
          <cell r="X3506" t="str">
            <v>CLP HC VG 220 = -20° + 60°</v>
          </cell>
          <cell r="Y3506" t="str">
            <v>KH107/II2GDEDRN132M4/3D/TF/AL</v>
          </cell>
          <cell r="Z3506" t="str">
            <v>SEW</v>
          </cell>
          <cell r="AB3506" t="str">
            <v>ATEX22</v>
          </cell>
          <cell r="AF3506">
            <v>0</v>
          </cell>
          <cell r="AG3506" t="str">
            <v>EDRN132M4</v>
          </cell>
          <cell r="AH3506" t="str">
            <v>KH107-EDRN132M4B270-X</v>
          </cell>
        </row>
        <row r="3507">
          <cell r="A3507" t="str">
            <v>MR003496</v>
          </cell>
          <cell r="B3507" t="str">
            <v>MR</v>
          </cell>
          <cell r="C3507">
            <v>22</v>
          </cell>
          <cell r="D3507">
            <v>12</v>
          </cell>
          <cell r="E3507" t="str">
            <v>KH157</v>
          </cell>
          <cell r="F3507">
            <v>17400</v>
          </cell>
          <cell r="G3507">
            <v>122.4</v>
          </cell>
          <cell r="H3507">
            <v>1.1499999999999999</v>
          </cell>
          <cell r="I3507" t="str">
            <v>From M1A to M2A - 5°</v>
          </cell>
          <cell r="J3507" t="str">
            <v>IE3</v>
          </cell>
          <cell r="K3507" t="str">
            <v>400/690</v>
          </cell>
          <cell r="L3507">
            <v>50</v>
          </cell>
          <cell r="M3507" t="str">
            <v>38,5/22,5</v>
          </cell>
          <cell r="N3507">
            <v>65</v>
          </cell>
          <cell r="O3507" t="str">
            <v>155(F)</v>
          </cell>
          <cell r="P3507" t="str">
            <v>270°</v>
          </cell>
          <cell r="Q3507" t="str">
            <v>TF</v>
          </cell>
          <cell r="R3507" t="str">
            <v>V(VE)</v>
          </cell>
          <cell r="S3507" t="str">
            <v>-</v>
          </cell>
          <cell r="T3507" t="str">
            <v>-</v>
          </cell>
          <cell r="U3507" t="str">
            <v>-</v>
          </cell>
          <cell r="V3507" t="str">
            <v>FC</v>
          </cell>
          <cell r="W3507" t="str">
            <v>-</v>
          </cell>
          <cell r="X3507" t="str">
            <v>CLP 220 (-15/+40°C)</v>
          </cell>
          <cell r="Y3507" t="str">
            <v>KH157DRN180L4 /TF/V</v>
          </cell>
          <cell r="Z3507" t="str">
            <v>SEW</v>
          </cell>
          <cell r="AB3507" t="str">
            <v>-</v>
          </cell>
          <cell r="AF3507">
            <v>12</v>
          </cell>
          <cell r="AG3507" t="str">
            <v>DRN180L4</v>
          </cell>
          <cell r="AH3507" t="str">
            <v>KH157-DRN180L4A270-X#</v>
          </cell>
        </row>
        <row r="3508">
          <cell r="A3508" t="str">
            <v>MR003497</v>
          </cell>
          <cell r="B3508" t="str">
            <v>MR</v>
          </cell>
          <cell r="C3508">
            <v>22</v>
          </cell>
          <cell r="D3508">
            <v>12</v>
          </cell>
          <cell r="E3508" t="str">
            <v>KH157</v>
          </cell>
          <cell r="F3508">
            <v>17400</v>
          </cell>
          <cell r="G3508">
            <v>122.4</v>
          </cell>
          <cell r="H3508">
            <v>1.1499999999999999</v>
          </cell>
          <cell r="I3508" t="str">
            <v>From M1B to M2B - 5°</v>
          </cell>
          <cell r="J3508" t="str">
            <v>IE3</v>
          </cell>
          <cell r="K3508" t="str">
            <v>400/690</v>
          </cell>
          <cell r="L3508">
            <v>50</v>
          </cell>
          <cell r="M3508" t="str">
            <v>38,5/22,5</v>
          </cell>
          <cell r="N3508">
            <v>65</v>
          </cell>
          <cell r="O3508" t="str">
            <v>155(F)</v>
          </cell>
          <cell r="P3508" t="str">
            <v>270°</v>
          </cell>
          <cell r="Q3508" t="str">
            <v>TF</v>
          </cell>
          <cell r="R3508" t="str">
            <v>V(VE)</v>
          </cell>
          <cell r="S3508" t="str">
            <v>-</v>
          </cell>
          <cell r="T3508" t="str">
            <v>-</v>
          </cell>
          <cell r="U3508" t="str">
            <v>-</v>
          </cell>
          <cell r="V3508" t="str">
            <v>FC</v>
          </cell>
          <cell r="W3508" t="str">
            <v>-</v>
          </cell>
          <cell r="X3508" t="str">
            <v>CLP 220 (-15/+40°C)</v>
          </cell>
          <cell r="Y3508" t="str">
            <v>KH157DRN180L4 /TF/V</v>
          </cell>
          <cell r="Z3508" t="str">
            <v>SEW</v>
          </cell>
          <cell r="AB3508" t="str">
            <v>-</v>
          </cell>
          <cell r="AF3508">
            <v>12</v>
          </cell>
          <cell r="AG3508" t="str">
            <v>DRN180L4</v>
          </cell>
          <cell r="AH3508" t="str">
            <v>KH157-DRN180L4B270-X#</v>
          </cell>
        </row>
        <row r="3509">
          <cell r="A3509" t="str">
            <v>MR003498</v>
          </cell>
          <cell r="B3509" t="str">
            <v>MR</v>
          </cell>
          <cell r="C3509">
            <v>18.5</v>
          </cell>
          <cell r="D3509">
            <v>12</v>
          </cell>
          <cell r="E3509" t="str">
            <v>KH157</v>
          </cell>
          <cell r="F3509">
            <v>14600</v>
          </cell>
          <cell r="G3509">
            <v>122.4</v>
          </cell>
          <cell r="H3509">
            <v>1.35</v>
          </cell>
          <cell r="I3509" t="str">
            <v>From M1A to M2A - 20°</v>
          </cell>
          <cell r="J3509" t="str">
            <v>IE3</v>
          </cell>
          <cell r="K3509" t="str">
            <v>400/690</v>
          </cell>
          <cell r="L3509">
            <v>50</v>
          </cell>
          <cell r="M3509" t="str">
            <v>33,5/19,3</v>
          </cell>
          <cell r="N3509">
            <v>65</v>
          </cell>
          <cell r="O3509" t="str">
            <v>155(F)</v>
          </cell>
          <cell r="P3509" t="str">
            <v>270°</v>
          </cell>
          <cell r="Q3509" t="str">
            <v>TF</v>
          </cell>
          <cell r="R3509" t="str">
            <v>V(VE)</v>
          </cell>
          <cell r="S3509" t="str">
            <v>-</v>
          </cell>
          <cell r="T3509" t="str">
            <v>-</v>
          </cell>
          <cell r="U3509" t="str">
            <v>-</v>
          </cell>
          <cell r="V3509" t="str">
            <v>FC</v>
          </cell>
          <cell r="W3509" t="str">
            <v>-</v>
          </cell>
          <cell r="X3509" t="str">
            <v>CLP 220 (-15/+40°C)</v>
          </cell>
          <cell r="Y3509" t="str">
            <v>KH157DRN180M4 /TF/V</v>
          </cell>
          <cell r="Z3509" t="str">
            <v>SEW</v>
          </cell>
          <cell r="AB3509" t="str">
            <v>-</v>
          </cell>
          <cell r="AF3509">
            <v>12</v>
          </cell>
          <cell r="AG3509" t="str">
            <v>DRN180M4</v>
          </cell>
          <cell r="AH3509" t="str">
            <v>KH157-DRN180M4A270-X#</v>
          </cell>
        </row>
        <row r="3510">
          <cell r="A3510" t="str">
            <v>MR003499</v>
          </cell>
          <cell r="B3510" t="str">
            <v>MR</v>
          </cell>
          <cell r="C3510">
            <v>18.5</v>
          </cell>
          <cell r="D3510">
            <v>12</v>
          </cell>
          <cell r="E3510" t="str">
            <v>KH157</v>
          </cell>
          <cell r="F3510">
            <v>14600</v>
          </cell>
          <cell r="G3510">
            <v>122.4</v>
          </cell>
          <cell r="H3510">
            <v>1.35</v>
          </cell>
          <cell r="I3510" t="str">
            <v>From M1B to M2B - 20°</v>
          </cell>
          <cell r="J3510" t="str">
            <v>IE3</v>
          </cell>
          <cell r="K3510" t="str">
            <v>400/690</v>
          </cell>
          <cell r="L3510">
            <v>50</v>
          </cell>
          <cell r="M3510" t="str">
            <v>33,5/19,3</v>
          </cell>
          <cell r="N3510">
            <v>65</v>
          </cell>
          <cell r="O3510" t="str">
            <v>155(F)</v>
          </cell>
          <cell r="P3510" t="str">
            <v>270°</v>
          </cell>
          <cell r="Q3510" t="str">
            <v>TF</v>
          </cell>
          <cell r="R3510" t="str">
            <v>V(VE)</v>
          </cell>
          <cell r="S3510" t="str">
            <v>-</v>
          </cell>
          <cell r="T3510" t="str">
            <v>-</v>
          </cell>
          <cell r="U3510" t="str">
            <v>-</v>
          </cell>
          <cell r="V3510" t="str">
            <v>FC</v>
          </cell>
          <cell r="W3510" t="str">
            <v>-</v>
          </cell>
          <cell r="X3510" t="str">
            <v>CLP 220 (-15/+40°C)</v>
          </cell>
          <cell r="Y3510" t="str">
            <v>KH157DRN180M4 /TF/V</v>
          </cell>
          <cell r="Z3510" t="str">
            <v>SEW</v>
          </cell>
          <cell r="AB3510" t="str">
            <v>-</v>
          </cell>
          <cell r="AF3510">
            <v>12</v>
          </cell>
          <cell r="AG3510" t="str">
            <v>DRN180M4</v>
          </cell>
          <cell r="AH3510" t="str">
            <v>KH157-DRN180M4B270-X#</v>
          </cell>
        </row>
        <row r="3511">
          <cell r="A3511" t="str">
            <v>MR003500</v>
          </cell>
          <cell r="B3511" t="str">
            <v>MR</v>
          </cell>
          <cell r="C3511">
            <v>9.1999999999999993</v>
          </cell>
          <cell r="D3511">
            <v>59</v>
          </cell>
          <cell r="E3511" t="str">
            <v>KH87</v>
          </cell>
          <cell r="F3511">
            <v>1480</v>
          </cell>
          <cell r="G3511" t="str">
            <v>24,92</v>
          </cell>
          <cell r="H3511" t="str">
            <v>1,7</v>
          </cell>
          <cell r="I3511" t="str">
            <v>M4A</v>
          </cell>
          <cell r="J3511" t="str">
            <v>IE3</v>
          </cell>
          <cell r="K3511" t="str">
            <v>400/690</v>
          </cell>
          <cell r="L3511">
            <v>50</v>
          </cell>
          <cell r="M3511" t="str">
            <v>18,7/10,8</v>
          </cell>
          <cell r="N3511">
            <v>65</v>
          </cell>
          <cell r="O3511" t="str">
            <v>155(F)</v>
          </cell>
          <cell r="P3511" t="str">
            <v>270°</v>
          </cell>
          <cell r="Q3511" t="str">
            <v>-</v>
          </cell>
          <cell r="R3511" t="str">
            <v>-</v>
          </cell>
          <cell r="S3511" t="str">
            <v>Free rotation CCW</v>
          </cell>
          <cell r="T3511" t="str">
            <v>-</v>
          </cell>
          <cell r="U3511" t="str">
            <v>T</v>
          </cell>
          <cell r="V3511" t="str">
            <v>SS</v>
          </cell>
          <cell r="W3511" t="str">
            <v>-</v>
          </cell>
          <cell r="X3511" t="str">
            <v>CLP VG 220 = -15° + 40°</v>
          </cell>
          <cell r="Y3511" t="str">
            <v>KH87/T DRN132L4 /RS</v>
          </cell>
          <cell r="Z3511" t="str">
            <v>SEW</v>
          </cell>
          <cell r="AB3511" t="str">
            <v>-</v>
          </cell>
          <cell r="AF3511">
            <v>59</v>
          </cell>
          <cell r="AG3511" t="str">
            <v>DRN132L4</v>
          </cell>
          <cell r="AH3511" t="str">
            <v>KH87T-DRN132L4A270-X</v>
          </cell>
        </row>
        <row r="3512">
          <cell r="A3512" t="str">
            <v>MR003501</v>
          </cell>
          <cell r="B3512" t="str">
            <v>MR</v>
          </cell>
          <cell r="C3512">
            <v>0.75</v>
          </cell>
          <cell r="D3512">
            <v>162</v>
          </cell>
          <cell r="E3512" t="str">
            <v>KA37</v>
          </cell>
          <cell r="F3512">
            <v>44</v>
          </cell>
          <cell r="G3512">
            <v>8.91</v>
          </cell>
          <cell r="H3512">
            <v>3.6</v>
          </cell>
          <cell r="I3512" t="str">
            <v>From M1A to M2A - 5°</v>
          </cell>
          <cell r="J3512" t="str">
            <v>IE3</v>
          </cell>
          <cell r="K3512" t="str">
            <v>230/400</v>
          </cell>
          <cell r="L3512">
            <v>50</v>
          </cell>
          <cell r="M3512" t="str">
            <v>3,05/1,75</v>
          </cell>
          <cell r="N3512">
            <v>65</v>
          </cell>
          <cell r="O3512" t="str">
            <v>155(F)</v>
          </cell>
          <cell r="P3512" t="str">
            <v>270°</v>
          </cell>
          <cell r="Q3512" t="str">
            <v>-</v>
          </cell>
          <cell r="R3512" t="str">
            <v>-</v>
          </cell>
          <cell r="S3512" t="str">
            <v>-</v>
          </cell>
          <cell r="T3512" t="str">
            <v>-</v>
          </cell>
          <cell r="U3512" t="str">
            <v>T</v>
          </cell>
          <cell r="V3512" t="str">
            <v>D</v>
          </cell>
          <cell r="W3512" t="str">
            <v>-</v>
          </cell>
          <cell r="X3512" t="str">
            <v>CLP VG 220 = -15° + 40°</v>
          </cell>
          <cell r="Y3512" t="str">
            <v>KA37/T DRN80M4</v>
          </cell>
          <cell r="Z3512" t="str">
            <v>SEW</v>
          </cell>
          <cell r="AB3512" t="str">
            <v>-</v>
          </cell>
          <cell r="AF3512">
            <v>162</v>
          </cell>
          <cell r="AG3512" t="str">
            <v>DRN80M4</v>
          </cell>
          <cell r="AH3512" t="str">
            <v>KA37T-DRN80M4A270-X</v>
          </cell>
        </row>
        <row r="3513">
          <cell r="A3513" t="str">
            <v>MR003502</v>
          </cell>
          <cell r="B3513" t="str">
            <v>MR</v>
          </cell>
          <cell r="C3513">
            <v>3</v>
          </cell>
          <cell r="D3513">
            <v>93</v>
          </cell>
          <cell r="E3513" t="str">
            <v>R77</v>
          </cell>
          <cell r="F3513">
            <v>305</v>
          </cell>
          <cell r="G3513">
            <v>15.6</v>
          </cell>
          <cell r="H3513">
            <v>2.4</v>
          </cell>
          <cell r="I3513" t="str">
            <v>From M1 to M2 - 15°</v>
          </cell>
          <cell r="J3513" t="str">
            <v>IE3</v>
          </cell>
          <cell r="K3513" t="str">
            <v>230/400</v>
          </cell>
          <cell r="L3513">
            <v>50</v>
          </cell>
          <cell r="M3513" t="str">
            <v>11,2/6,4</v>
          </cell>
          <cell r="N3513">
            <v>65</v>
          </cell>
          <cell r="O3513" t="str">
            <v>155(F)</v>
          </cell>
          <cell r="P3513" t="str">
            <v>270°</v>
          </cell>
          <cell r="Q3513" t="str">
            <v>-</v>
          </cell>
          <cell r="R3513" t="str">
            <v>-</v>
          </cell>
          <cell r="S3513" t="str">
            <v>-</v>
          </cell>
          <cell r="T3513" t="str">
            <v>-</v>
          </cell>
          <cell r="U3513" t="str">
            <v>-</v>
          </cell>
          <cell r="V3513" t="str">
            <v>D</v>
          </cell>
          <cell r="W3513" t="str">
            <v>-</v>
          </cell>
          <cell r="X3513" t="str">
            <v>CLP VG 220 = -15° + 40°</v>
          </cell>
          <cell r="Y3513" t="str">
            <v>R77DRN100L4</v>
          </cell>
          <cell r="Z3513" t="str">
            <v>SEW</v>
          </cell>
          <cell r="AB3513" t="str">
            <v>-</v>
          </cell>
          <cell r="AF3513">
            <v>93</v>
          </cell>
          <cell r="AG3513" t="str">
            <v>DRN100L4</v>
          </cell>
          <cell r="AH3513" t="str">
            <v>R77-DRN100L4270-X</v>
          </cell>
        </row>
        <row r="3514">
          <cell r="A3514" t="str">
            <v>MR003503</v>
          </cell>
          <cell r="B3514" t="str">
            <v>MR</v>
          </cell>
          <cell r="C3514">
            <v>11</v>
          </cell>
          <cell r="D3514">
            <v>59</v>
          </cell>
          <cell r="E3514" t="str">
            <v>KH87</v>
          </cell>
          <cell r="F3514">
            <v>1770</v>
          </cell>
          <cell r="G3514" t="str">
            <v>24,92</v>
          </cell>
          <cell r="H3514" t="str">
            <v>1,4</v>
          </cell>
          <cell r="I3514" t="str">
            <v>M4A</v>
          </cell>
          <cell r="J3514" t="str">
            <v>IE3</v>
          </cell>
          <cell r="K3514" t="str">
            <v>400/690</v>
          </cell>
          <cell r="L3514">
            <v>50</v>
          </cell>
          <cell r="M3514" t="str">
            <v>21/12,2</v>
          </cell>
          <cell r="N3514">
            <v>65</v>
          </cell>
          <cell r="O3514" t="str">
            <v>155(F)</v>
          </cell>
          <cell r="P3514" t="str">
            <v>270°</v>
          </cell>
          <cell r="Q3514" t="str">
            <v>-</v>
          </cell>
          <cell r="R3514" t="str">
            <v>-</v>
          </cell>
          <cell r="S3514" t="str">
            <v>Free rotation CCW</v>
          </cell>
          <cell r="T3514" t="str">
            <v>-</v>
          </cell>
          <cell r="U3514" t="str">
            <v>T</v>
          </cell>
          <cell r="V3514" t="str">
            <v>SS</v>
          </cell>
          <cell r="W3514" t="str">
            <v>-</v>
          </cell>
          <cell r="X3514" t="str">
            <v>CLP VG 220 = -15° + 40°</v>
          </cell>
          <cell r="Y3514" t="str">
            <v>KH87/T DRN160M4 /RS</v>
          </cell>
          <cell r="Z3514" t="str">
            <v>SEW</v>
          </cell>
          <cell r="AB3514" t="str">
            <v>-</v>
          </cell>
          <cell r="AF3514">
            <v>59</v>
          </cell>
          <cell r="AG3514" t="str">
            <v>DRN160M4</v>
          </cell>
          <cell r="AH3514" t="str">
            <v>KH87T-DRN160M4A270-X</v>
          </cell>
        </row>
        <row r="3515">
          <cell r="A3515" t="str">
            <v>MR003504</v>
          </cell>
          <cell r="B3515" t="str">
            <v>MR</v>
          </cell>
          <cell r="C3515">
            <v>9.1999999999999993</v>
          </cell>
          <cell r="D3515">
            <v>20</v>
          </cell>
          <cell r="E3515" t="str">
            <v>R107</v>
          </cell>
          <cell r="F3515">
            <v>4360</v>
          </cell>
          <cell r="G3515">
            <v>72.88</v>
          </cell>
          <cell r="H3515">
            <v>1</v>
          </cell>
          <cell r="I3515" t="str">
            <v>M1</v>
          </cell>
          <cell r="J3515" t="str">
            <v>IE3</v>
          </cell>
          <cell r="K3515" t="str">
            <v>400/690</v>
          </cell>
          <cell r="L3515">
            <v>50</v>
          </cell>
          <cell r="M3515" t="str">
            <v>18,7/10,8</v>
          </cell>
          <cell r="N3515">
            <v>55</v>
          </cell>
          <cell r="O3515" t="str">
            <v>155(F)</v>
          </cell>
          <cell r="P3515" t="str">
            <v>270°</v>
          </cell>
          <cell r="Q3515" t="str">
            <v>-</v>
          </cell>
          <cell r="R3515" t="str">
            <v>-</v>
          </cell>
          <cell r="S3515" t="str">
            <v>-</v>
          </cell>
          <cell r="T3515" t="str">
            <v>-</v>
          </cell>
          <cell r="U3515" t="str">
            <v>-</v>
          </cell>
          <cell r="V3515" t="str">
            <v>-</v>
          </cell>
          <cell r="W3515" t="str">
            <v>-</v>
          </cell>
          <cell r="X3515" t="str">
            <v>CLP VG 220 = -15° + 40°</v>
          </cell>
          <cell r="Y3515" t="str">
            <v>R107DRN132L4</v>
          </cell>
          <cell r="Z3515" t="str">
            <v>SEW</v>
          </cell>
          <cell r="AB3515" t="str">
            <v>-</v>
          </cell>
          <cell r="AF3515">
            <v>20</v>
          </cell>
          <cell r="AG3515" t="str">
            <v>DRN132L4</v>
          </cell>
          <cell r="AH3515" t="str">
            <v>R107-DRN132L4270-X</v>
          </cell>
        </row>
        <row r="3516">
          <cell r="A3516" t="str">
            <v>MR003505</v>
          </cell>
          <cell r="B3516" t="str">
            <v>MR</v>
          </cell>
          <cell r="C3516">
            <v>5.5</v>
          </cell>
          <cell r="D3516">
            <v>11.67</v>
          </cell>
          <cell r="E3516" t="str">
            <v>KH97</v>
          </cell>
          <cell r="F3516">
            <v>3680</v>
          </cell>
          <cell r="G3516">
            <v>123.93</v>
          </cell>
          <cell r="H3516">
            <v>1.1499999999999999</v>
          </cell>
          <cell r="I3516" t="str">
            <v>From M1A to M2A - 5°</v>
          </cell>
          <cell r="J3516" t="str">
            <v>IE3</v>
          </cell>
          <cell r="K3516" t="str">
            <v>230/460</v>
          </cell>
          <cell r="L3516">
            <v>60</v>
          </cell>
          <cell r="M3516" t="str">
            <v>18,4/9,2</v>
          </cell>
          <cell r="N3516">
            <v>65</v>
          </cell>
          <cell r="O3516" t="str">
            <v>155(F)</v>
          </cell>
          <cell r="P3516" t="str">
            <v>270°</v>
          </cell>
          <cell r="Q3516" t="str">
            <v>TF</v>
          </cell>
          <cell r="R3516" t="str">
            <v>-</v>
          </cell>
          <cell r="S3516" t="str">
            <v>-</v>
          </cell>
          <cell r="T3516" t="str">
            <v>-</v>
          </cell>
          <cell r="U3516" t="str">
            <v>-</v>
          </cell>
          <cell r="V3516" t="str">
            <v>-</v>
          </cell>
          <cell r="W3516" t="str">
            <v>-</v>
          </cell>
          <cell r="X3516" t="str">
            <v>CLP VG 220 = -15° + 40°</v>
          </cell>
          <cell r="Y3516" t="str">
            <v>KH97DRN132S4 /TF</v>
          </cell>
          <cell r="Z3516" t="str">
            <v>SEW</v>
          </cell>
          <cell r="AB3516" t="str">
            <v>-</v>
          </cell>
          <cell r="AF3516">
            <v>14.004000000000001</v>
          </cell>
          <cell r="AG3516" t="str">
            <v>DRN132S4</v>
          </cell>
          <cell r="AH3516" t="str">
            <v>KH97-DRN132S4A270-X</v>
          </cell>
        </row>
        <row r="3517">
          <cell r="A3517" t="str">
            <v>MR003506</v>
          </cell>
          <cell r="B3517" t="str">
            <v>MR</v>
          </cell>
          <cell r="C3517">
            <v>5.5</v>
          </cell>
          <cell r="D3517">
            <v>11.67</v>
          </cell>
          <cell r="E3517" t="str">
            <v>KH97</v>
          </cell>
          <cell r="F3517">
            <v>3680</v>
          </cell>
          <cell r="G3517">
            <v>123.93</v>
          </cell>
          <cell r="H3517">
            <v>1.1499999999999999</v>
          </cell>
          <cell r="I3517" t="str">
            <v>From M1A to M2A - 30°</v>
          </cell>
          <cell r="J3517" t="str">
            <v>IE3</v>
          </cell>
          <cell r="K3517" t="str">
            <v>230/460</v>
          </cell>
          <cell r="L3517">
            <v>60</v>
          </cell>
          <cell r="M3517" t="str">
            <v>18,4/9,2</v>
          </cell>
          <cell r="N3517">
            <v>65</v>
          </cell>
          <cell r="O3517" t="str">
            <v>155(F)</v>
          </cell>
          <cell r="P3517" t="str">
            <v>270°</v>
          </cell>
          <cell r="Q3517" t="str">
            <v>TF</v>
          </cell>
          <cell r="R3517" t="str">
            <v>-</v>
          </cell>
          <cell r="S3517" t="str">
            <v>-</v>
          </cell>
          <cell r="T3517" t="str">
            <v>-</v>
          </cell>
          <cell r="U3517" t="str">
            <v>-</v>
          </cell>
          <cell r="V3517" t="str">
            <v>-</v>
          </cell>
          <cell r="W3517" t="str">
            <v>-</v>
          </cell>
          <cell r="X3517" t="str">
            <v>CLP VG 220 = -15° + 40°</v>
          </cell>
          <cell r="Y3517" t="str">
            <v>KH97DRN132S4 /TF</v>
          </cell>
          <cell r="Z3517" t="str">
            <v>SEW</v>
          </cell>
          <cell r="AB3517" t="str">
            <v>-</v>
          </cell>
          <cell r="AF3517">
            <v>14.004000000000001</v>
          </cell>
          <cell r="AG3517" t="str">
            <v>DRN132S4</v>
          </cell>
          <cell r="AH3517" t="str">
            <v>KH97-DRN132S4A270-X</v>
          </cell>
        </row>
        <row r="3518">
          <cell r="A3518" t="str">
            <v>MR003507</v>
          </cell>
          <cell r="B3518" t="str">
            <v>MR</v>
          </cell>
          <cell r="C3518">
            <v>5.5</v>
          </cell>
          <cell r="D3518">
            <v>11.67</v>
          </cell>
          <cell r="E3518" t="str">
            <v>KH97</v>
          </cell>
          <cell r="F3518">
            <v>3680</v>
          </cell>
          <cell r="G3518">
            <v>123.93</v>
          </cell>
          <cell r="H3518">
            <v>1.1499999999999999</v>
          </cell>
          <cell r="I3518" t="str">
            <v>From M1B to M2B - 30°</v>
          </cell>
          <cell r="J3518" t="str">
            <v>IE3</v>
          </cell>
          <cell r="K3518" t="str">
            <v>230/460</v>
          </cell>
          <cell r="L3518">
            <v>60</v>
          </cell>
          <cell r="M3518" t="str">
            <v>18,4/9,2</v>
          </cell>
          <cell r="N3518">
            <v>65</v>
          </cell>
          <cell r="O3518" t="str">
            <v>155(F)</v>
          </cell>
          <cell r="P3518" t="str">
            <v>270°</v>
          </cell>
          <cell r="Q3518" t="str">
            <v>TF</v>
          </cell>
          <cell r="R3518" t="str">
            <v>-</v>
          </cell>
          <cell r="S3518" t="str">
            <v>-</v>
          </cell>
          <cell r="T3518" t="str">
            <v>-</v>
          </cell>
          <cell r="U3518" t="str">
            <v>-</v>
          </cell>
          <cell r="V3518" t="str">
            <v>-</v>
          </cell>
          <cell r="W3518" t="str">
            <v>-</v>
          </cell>
          <cell r="X3518" t="str">
            <v>CLP VG 220 = -15° + 40°</v>
          </cell>
          <cell r="Y3518" t="str">
            <v>KH97DRN132S4 /TF</v>
          </cell>
          <cell r="Z3518" t="str">
            <v>SEW</v>
          </cell>
          <cell r="AB3518" t="str">
            <v>-</v>
          </cell>
          <cell r="AF3518">
            <v>14.004000000000001</v>
          </cell>
          <cell r="AG3518" t="str">
            <v>DRN132S4</v>
          </cell>
          <cell r="AH3518" t="str">
            <v>KH97-DRN132S4B270-X</v>
          </cell>
        </row>
        <row r="3519">
          <cell r="A3519" t="str">
            <v>MR003508</v>
          </cell>
          <cell r="B3519" t="str">
            <v>MR</v>
          </cell>
          <cell r="C3519">
            <v>0.75</v>
          </cell>
          <cell r="D3519">
            <v>18</v>
          </cell>
          <cell r="E3519" t="str">
            <v>FA67</v>
          </cell>
          <cell r="F3519">
            <v>395</v>
          </cell>
          <cell r="G3519">
            <v>79.760000000000005</v>
          </cell>
          <cell r="H3519">
            <v>2</v>
          </cell>
          <cell r="I3519" t="str">
            <v>From M6 to M3 - 35°</v>
          </cell>
          <cell r="J3519" t="str">
            <v>IE3</v>
          </cell>
          <cell r="K3519" t="str">
            <v>230/400</v>
          </cell>
          <cell r="L3519">
            <v>50</v>
          </cell>
          <cell r="M3519" t="str">
            <v>3,05/1,75</v>
          </cell>
          <cell r="N3519">
            <v>65</v>
          </cell>
          <cell r="O3519" t="str">
            <v>155(F)</v>
          </cell>
          <cell r="P3519" t="str">
            <v>270°</v>
          </cell>
          <cell r="Q3519" t="str">
            <v>TF</v>
          </cell>
          <cell r="R3519" t="str">
            <v>-</v>
          </cell>
          <cell r="S3519" t="str">
            <v>-</v>
          </cell>
          <cell r="T3519" t="str">
            <v>BEHF</v>
          </cell>
          <cell r="U3519" t="str">
            <v>G</v>
          </cell>
          <cell r="V3519" t="str">
            <v>D+R</v>
          </cell>
          <cell r="W3519" t="str">
            <v>-</v>
          </cell>
          <cell r="X3519" t="str">
            <v>CLP HC VG 220 = -20° + 60°</v>
          </cell>
          <cell r="Y3519" t="str">
            <v>FA67/G EDRN80M4 /BEHF /TF</v>
          </cell>
          <cell r="Z3519" t="str">
            <v>SEW</v>
          </cell>
          <cell r="AB3519" t="str">
            <v>ATEX22</v>
          </cell>
          <cell r="AE3519" t="str">
            <v>Rectifier for brake in the terminal box</v>
          </cell>
          <cell r="AF3519">
            <v>18</v>
          </cell>
          <cell r="AG3519" t="str">
            <v>EDRN80M4</v>
          </cell>
          <cell r="AH3519" t="str">
            <v>FA67G-EDRN80M4270-X</v>
          </cell>
        </row>
        <row r="3520">
          <cell r="A3520" t="str">
            <v>MR003509</v>
          </cell>
          <cell r="B3520" t="str">
            <v>MR</v>
          </cell>
          <cell r="C3520">
            <v>11</v>
          </cell>
          <cell r="D3520">
            <v>31</v>
          </cell>
          <cell r="E3520" t="str">
            <v>R107</v>
          </cell>
          <cell r="F3520">
            <v>3400</v>
          </cell>
          <cell r="G3520">
            <v>47.63</v>
          </cell>
          <cell r="H3520">
            <v>1.1000000000000001</v>
          </cell>
          <cell r="I3520" t="str">
            <v>M1</v>
          </cell>
          <cell r="J3520" t="str">
            <v>IE3</v>
          </cell>
          <cell r="K3520" t="str">
            <v>230/400</v>
          </cell>
          <cell r="L3520">
            <v>50</v>
          </cell>
          <cell r="M3520" t="str">
            <v>36,5/21</v>
          </cell>
          <cell r="N3520">
            <v>65</v>
          </cell>
          <cell r="O3520" t="str">
            <v>155(F)</v>
          </cell>
          <cell r="P3520" t="str">
            <v>270°</v>
          </cell>
          <cell r="Q3520" t="str">
            <v>TF</v>
          </cell>
          <cell r="R3520" t="str">
            <v>V(VE)</v>
          </cell>
          <cell r="S3520" t="str">
            <v>-</v>
          </cell>
          <cell r="T3520" t="str">
            <v>-</v>
          </cell>
          <cell r="U3520" t="str">
            <v>-</v>
          </cell>
          <cell r="V3520" t="str">
            <v>FC</v>
          </cell>
          <cell r="W3520" t="str">
            <v>-</v>
          </cell>
          <cell r="X3520" t="str">
            <v>CLP HC VG 220 = -20° + 60°</v>
          </cell>
          <cell r="Y3520" t="str">
            <v>R107EDRN160M4 /TF/VE</v>
          </cell>
          <cell r="Z3520" t="str">
            <v>SEW</v>
          </cell>
          <cell r="AB3520" t="str">
            <v>ATEX22</v>
          </cell>
          <cell r="AF3520">
            <v>31</v>
          </cell>
          <cell r="AG3520" t="str">
            <v>EDRN160M4</v>
          </cell>
          <cell r="AH3520" t="str">
            <v>R107-EDRN160M4270-X#</v>
          </cell>
        </row>
        <row r="3521">
          <cell r="A3521" t="str">
            <v>MR003510</v>
          </cell>
          <cell r="B3521" t="str">
            <v>MR</v>
          </cell>
          <cell r="C3521">
            <v>9.1999999999999993</v>
          </cell>
          <cell r="D3521">
            <v>59</v>
          </cell>
          <cell r="E3521" t="str">
            <v>R97</v>
          </cell>
          <cell r="F3521">
            <v>1500</v>
          </cell>
          <cell r="G3521">
            <v>25.03</v>
          </cell>
          <cell r="H3521">
            <v>1.45</v>
          </cell>
          <cell r="I3521" t="str">
            <v>M1</v>
          </cell>
          <cell r="J3521" t="str">
            <v>IE3</v>
          </cell>
          <cell r="K3521" t="str">
            <v>400/690</v>
          </cell>
          <cell r="L3521">
            <v>50</v>
          </cell>
          <cell r="M3521" t="str">
            <v>18,7/10,8</v>
          </cell>
          <cell r="N3521">
            <v>65</v>
          </cell>
          <cell r="O3521" t="str">
            <v>155(F)</v>
          </cell>
          <cell r="P3521" t="str">
            <v>270°</v>
          </cell>
          <cell r="Q3521" t="str">
            <v>-</v>
          </cell>
          <cell r="R3521" t="str">
            <v>-</v>
          </cell>
          <cell r="S3521" t="str">
            <v>-</v>
          </cell>
          <cell r="T3521" t="str">
            <v>-</v>
          </cell>
          <cell r="U3521" t="str">
            <v>-</v>
          </cell>
          <cell r="V3521" t="str">
            <v>-</v>
          </cell>
          <cell r="W3521" t="str">
            <v>-</v>
          </cell>
          <cell r="X3521" t="str">
            <v>CLP HC VG 220 = -20° + 60°</v>
          </cell>
          <cell r="Y3521" t="str">
            <v>R97EDRN132L4</v>
          </cell>
          <cell r="Z3521" t="str">
            <v>SEW</v>
          </cell>
          <cell r="AB3521" t="str">
            <v>ATEX22</v>
          </cell>
          <cell r="AF3521">
            <v>59</v>
          </cell>
          <cell r="AG3521" t="str">
            <v>EDRN132L4</v>
          </cell>
          <cell r="AH3521" t="str">
            <v>R97-EDRN132L4270-X</v>
          </cell>
        </row>
        <row r="3522">
          <cell r="A3522" t="str">
            <v>MR003511</v>
          </cell>
          <cell r="B3522" t="str">
            <v>MR</v>
          </cell>
          <cell r="C3522">
            <v>4</v>
          </cell>
          <cell r="D3522">
            <v>14</v>
          </cell>
          <cell r="E3522" t="str">
            <v>KH97</v>
          </cell>
          <cell r="F3522">
            <v>2740</v>
          </cell>
          <cell r="G3522" t="str">
            <v>105,13</v>
          </cell>
          <cell r="H3522" t="str">
            <v>1,55</v>
          </cell>
          <cell r="I3522" t="str">
            <v>From M1A to M2A - 10°</v>
          </cell>
          <cell r="J3522" t="str">
            <v>IE3</v>
          </cell>
          <cell r="K3522" t="str">
            <v>230/400</v>
          </cell>
          <cell r="L3522">
            <v>50</v>
          </cell>
          <cell r="M3522" t="str">
            <v>13,8/7,9</v>
          </cell>
          <cell r="N3522">
            <v>55</v>
          </cell>
          <cell r="O3522" t="str">
            <v>155(F)</v>
          </cell>
          <cell r="P3522" t="str">
            <v>180°</v>
          </cell>
          <cell r="Q3522" t="str">
            <v>-</v>
          </cell>
          <cell r="R3522" t="str">
            <v>-</v>
          </cell>
          <cell r="S3522" t="str">
            <v>-</v>
          </cell>
          <cell r="T3522" t="str">
            <v>-</v>
          </cell>
          <cell r="U3522" t="str">
            <v>-</v>
          </cell>
          <cell r="V3522" t="str">
            <v>SS</v>
          </cell>
          <cell r="W3522" t="str">
            <v>-</v>
          </cell>
          <cell r="X3522" t="str">
            <v>CLP VG 220 = -15° + 40°</v>
          </cell>
          <cell r="Y3522" t="str">
            <v>KH97DRN112M4</v>
          </cell>
          <cell r="Z3522" t="str">
            <v>SEW</v>
          </cell>
          <cell r="AA3522" t="str">
            <v>RAL 5005</v>
          </cell>
          <cell r="AB3522" t="str">
            <v>-</v>
          </cell>
          <cell r="AF3522">
            <v>14</v>
          </cell>
          <cell r="AG3522" t="str">
            <v>DRN112M4</v>
          </cell>
          <cell r="AH3522" t="str">
            <v>KH97-DRN112M4A180-X</v>
          </cell>
        </row>
        <row r="3523">
          <cell r="A3523" t="str">
            <v>MR003512</v>
          </cell>
          <cell r="B3523" t="str">
            <v>MR</v>
          </cell>
          <cell r="C3523">
            <v>4</v>
          </cell>
          <cell r="D3523">
            <v>14</v>
          </cell>
          <cell r="E3523" t="str">
            <v>KH97</v>
          </cell>
          <cell r="F3523">
            <v>2740</v>
          </cell>
          <cell r="G3523" t="str">
            <v>105,13</v>
          </cell>
          <cell r="H3523" t="str">
            <v>1,55</v>
          </cell>
          <cell r="I3523" t="str">
            <v>From M1B to M2B - 10°</v>
          </cell>
          <cell r="J3523" t="str">
            <v>IE3</v>
          </cell>
          <cell r="K3523" t="str">
            <v>230/400</v>
          </cell>
          <cell r="L3523">
            <v>50</v>
          </cell>
          <cell r="M3523" t="str">
            <v>13,8/7,9</v>
          </cell>
          <cell r="N3523">
            <v>55</v>
          </cell>
          <cell r="O3523" t="str">
            <v>155(F)</v>
          </cell>
          <cell r="P3523" t="str">
            <v>0°</v>
          </cell>
          <cell r="Q3523" t="str">
            <v>-</v>
          </cell>
          <cell r="R3523" t="str">
            <v>-</v>
          </cell>
          <cell r="S3523" t="str">
            <v>-</v>
          </cell>
          <cell r="T3523" t="str">
            <v>-</v>
          </cell>
          <cell r="U3523" t="str">
            <v>-</v>
          </cell>
          <cell r="V3523" t="str">
            <v>SS</v>
          </cell>
          <cell r="W3523" t="str">
            <v>-</v>
          </cell>
          <cell r="X3523" t="str">
            <v>CLP VG 220 = -15° + 40°</v>
          </cell>
          <cell r="Y3523" t="str">
            <v>KH97DRN112M4</v>
          </cell>
          <cell r="Z3523" t="str">
            <v>SEW</v>
          </cell>
          <cell r="AA3523" t="str">
            <v>RAL 5005</v>
          </cell>
          <cell r="AB3523" t="str">
            <v>-</v>
          </cell>
          <cell r="AF3523">
            <v>14</v>
          </cell>
          <cell r="AG3523" t="str">
            <v>DRN112M4</v>
          </cell>
          <cell r="AH3523" t="str">
            <v>KH97-DRN112M4B0-X</v>
          </cell>
        </row>
        <row r="3524">
          <cell r="A3524" t="str">
            <v>MR003513</v>
          </cell>
          <cell r="B3524" t="str">
            <v>MR</v>
          </cell>
          <cell r="C3524">
            <v>5.5</v>
          </cell>
          <cell r="D3524">
            <v>57</v>
          </cell>
          <cell r="E3524" t="str">
            <v>FH77</v>
          </cell>
          <cell r="F3524">
            <v>910</v>
          </cell>
          <cell r="G3524">
            <v>25.54</v>
          </cell>
          <cell r="H3524">
            <v>1.6</v>
          </cell>
          <cell r="I3524" t="str">
            <v>M1</v>
          </cell>
          <cell r="J3524" t="str">
            <v>IE3</v>
          </cell>
          <cell r="K3524" t="str">
            <v>230/400</v>
          </cell>
          <cell r="L3524">
            <v>50</v>
          </cell>
          <cell r="M3524" t="str">
            <v>18,2/10,5</v>
          </cell>
          <cell r="N3524">
            <v>65</v>
          </cell>
          <cell r="O3524" t="str">
            <v>155(F)</v>
          </cell>
          <cell r="P3524" t="str">
            <v>270°</v>
          </cell>
          <cell r="Q3524" t="str">
            <v>TF</v>
          </cell>
          <cell r="R3524" t="str">
            <v>-</v>
          </cell>
          <cell r="S3524" t="str">
            <v>-</v>
          </cell>
          <cell r="T3524" t="str">
            <v>-</v>
          </cell>
          <cell r="U3524" t="str">
            <v>G</v>
          </cell>
          <cell r="V3524" t="str">
            <v>D</v>
          </cell>
          <cell r="W3524" t="str">
            <v>-</v>
          </cell>
          <cell r="X3524" t="str">
            <v>CLP HC 150 (-30/+50°C)</v>
          </cell>
          <cell r="Y3524" t="str">
            <v>FH77/G DRN132S4 /TF</v>
          </cell>
          <cell r="Z3524" t="str">
            <v>SEW</v>
          </cell>
          <cell r="AB3524" t="str">
            <v>-</v>
          </cell>
          <cell r="AF3524">
            <v>57</v>
          </cell>
          <cell r="AG3524" t="str">
            <v>DRN132S4</v>
          </cell>
          <cell r="AH3524" t="str">
            <v>FH77G-DRN132S4270-X</v>
          </cell>
        </row>
        <row r="3525">
          <cell r="A3525" t="str">
            <v>MR003514</v>
          </cell>
          <cell r="B3525" t="str">
            <v>MR</v>
          </cell>
          <cell r="C3525">
            <v>22</v>
          </cell>
          <cell r="D3525">
            <v>78</v>
          </cell>
          <cell r="E3525" t="str">
            <v>KH97</v>
          </cell>
          <cell r="F3525">
            <v>2690</v>
          </cell>
          <cell r="G3525">
            <v>18.96</v>
          </cell>
          <cell r="H3525">
            <v>1.6</v>
          </cell>
          <cell r="I3525" t="str">
            <v>M4B</v>
          </cell>
          <cell r="J3525" t="str">
            <v>IE3</v>
          </cell>
          <cell r="K3525" t="str">
            <v>400/690</v>
          </cell>
          <cell r="L3525">
            <v>50</v>
          </cell>
          <cell r="M3525" t="str">
            <v>38,5/22,5</v>
          </cell>
          <cell r="N3525">
            <v>65</v>
          </cell>
          <cell r="O3525" t="str">
            <v>155(F)</v>
          </cell>
          <cell r="P3525" t="str">
            <v>270°</v>
          </cell>
          <cell r="Q3525" t="str">
            <v>TF</v>
          </cell>
          <cell r="R3525" t="str">
            <v>-</v>
          </cell>
          <cell r="S3525" t="str">
            <v>Free rotation CW</v>
          </cell>
          <cell r="T3525" t="str">
            <v>-</v>
          </cell>
          <cell r="U3525" t="str">
            <v>T</v>
          </cell>
          <cell r="V3525" t="str">
            <v>SS</v>
          </cell>
          <cell r="W3525" t="str">
            <v>-</v>
          </cell>
          <cell r="X3525" t="str">
            <v>CLP HC 150 (-30/+50°C)</v>
          </cell>
          <cell r="Y3525" t="str">
            <v>KH97/T DRN180L4 /RS /TF</v>
          </cell>
          <cell r="Z3525" t="str">
            <v>SEW</v>
          </cell>
          <cell r="AB3525" t="str">
            <v>-</v>
          </cell>
          <cell r="AF3525">
            <v>78</v>
          </cell>
          <cell r="AG3525" t="str">
            <v>DRN180L4</v>
          </cell>
          <cell r="AH3525" t="str">
            <v>KH97T-DRN180L4B270-X</v>
          </cell>
        </row>
        <row r="3526">
          <cell r="A3526" t="str">
            <v>MR003515</v>
          </cell>
          <cell r="B3526" t="str">
            <v>MR</v>
          </cell>
          <cell r="C3526">
            <v>30</v>
          </cell>
          <cell r="D3526">
            <v>88</v>
          </cell>
          <cell r="E3526" t="str">
            <v>KH107</v>
          </cell>
          <cell r="F3526">
            <v>3240</v>
          </cell>
          <cell r="G3526">
            <v>16.75</v>
          </cell>
          <cell r="H3526">
            <v>2.2000000000000002</v>
          </cell>
          <cell r="I3526" t="str">
            <v>M4B</v>
          </cell>
          <cell r="J3526" t="str">
            <v>IE3</v>
          </cell>
          <cell r="K3526" t="str">
            <v>400/690</v>
          </cell>
          <cell r="L3526">
            <v>50</v>
          </cell>
          <cell r="M3526" t="str">
            <v>56/32,5</v>
          </cell>
          <cell r="N3526">
            <v>65</v>
          </cell>
          <cell r="O3526" t="str">
            <v>155(F)</v>
          </cell>
          <cell r="P3526" t="str">
            <v>270°</v>
          </cell>
          <cell r="Q3526" t="str">
            <v>TF</v>
          </cell>
          <cell r="R3526" t="str">
            <v>-</v>
          </cell>
          <cell r="S3526" t="str">
            <v>Free rotation CW</v>
          </cell>
          <cell r="T3526" t="str">
            <v>-</v>
          </cell>
          <cell r="U3526" t="str">
            <v>T</v>
          </cell>
          <cell r="V3526" t="str">
            <v>SS</v>
          </cell>
          <cell r="W3526" t="str">
            <v>-</v>
          </cell>
          <cell r="X3526" t="str">
            <v>CLP HC 150 (-30/+50°C)</v>
          </cell>
          <cell r="Y3526" t="str">
            <v>KH107/T DRN200L4 /RS /TF</v>
          </cell>
          <cell r="Z3526" t="str">
            <v>SEW</v>
          </cell>
          <cell r="AB3526" t="str">
            <v>-</v>
          </cell>
          <cell r="AF3526">
            <v>88</v>
          </cell>
          <cell r="AG3526" t="str">
            <v>DRN200L4</v>
          </cell>
          <cell r="AH3526" t="str">
            <v>KH107T-DRN200L4B270-X</v>
          </cell>
        </row>
        <row r="3527">
          <cell r="A3527" t="str">
            <v>MR003516</v>
          </cell>
          <cell r="B3527" t="str">
            <v>MR</v>
          </cell>
          <cell r="C3527">
            <v>0.75</v>
          </cell>
          <cell r="D3527">
            <v>162</v>
          </cell>
          <cell r="E3527" t="str">
            <v>KH37</v>
          </cell>
          <cell r="F3527">
            <v>44</v>
          </cell>
          <cell r="G3527">
            <v>8.91</v>
          </cell>
          <cell r="H3527">
            <v>3.6</v>
          </cell>
          <cell r="I3527" t="str">
            <v>From M1B to M2B - 15°</v>
          </cell>
          <cell r="J3527" t="str">
            <v>IE3</v>
          </cell>
          <cell r="K3527" t="str">
            <v>230/400</v>
          </cell>
          <cell r="L3527">
            <v>50</v>
          </cell>
          <cell r="M3527" t="str">
            <v>3,05/1,75</v>
          </cell>
          <cell r="N3527">
            <v>65</v>
          </cell>
          <cell r="O3527" t="str">
            <v>155(F)</v>
          </cell>
          <cell r="P3527" t="str">
            <v>270°</v>
          </cell>
          <cell r="Q3527" t="str">
            <v>TF</v>
          </cell>
          <cell r="R3527" t="str">
            <v>-</v>
          </cell>
          <cell r="S3527" t="str">
            <v>-</v>
          </cell>
          <cell r="T3527" t="str">
            <v>-</v>
          </cell>
          <cell r="U3527" t="str">
            <v>T</v>
          </cell>
          <cell r="V3527" t="str">
            <v>D</v>
          </cell>
          <cell r="W3527" t="str">
            <v>-</v>
          </cell>
          <cell r="X3527" t="str">
            <v>CLP HC 150 (-30/+50°C)</v>
          </cell>
          <cell r="Y3527" t="str">
            <v>KH37/T DRN80M4 /TF</v>
          </cell>
          <cell r="Z3527" t="str">
            <v>SEW</v>
          </cell>
          <cell r="AB3527" t="str">
            <v>-</v>
          </cell>
          <cell r="AF3527">
            <v>162</v>
          </cell>
          <cell r="AG3527" t="str">
            <v>DRN80M4</v>
          </cell>
          <cell r="AH3527" t="str">
            <v>KH37T-DRN80M4B270-X</v>
          </cell>
        </row>
        <row r="3528">
          <cell r="A3528" t="str">
            <v>MR003517</v>
          </cell>
          <cell r="B3528" t="str">
            <v>MR</v>
          </cell>
          <cell r="C3528">
            <v>30</v>
          </cell>
          <cell r="D3528">
            <v>16</v>
          </cell>
          <cell r="E3528" t="str">
            <v>KH157</v>
          </cell>
          <cell r="F3528">
            <v>17700</v>
          </cell>
          <cell r="G3528">
            <v>91.65</v>
          </cell>
          <cell r="H3528">
            <v>1.1499999999999999</v>
          </cell>
          <cell r="I3528" t="str">
            <v>From M4A to M1A - 5°</v>
          </cell>
          <cell r="J3528" t="str">
            <v>IE3</v>
          </cell>
          <cell r="K3528" t="str">
            <v>400/690</v>
          </cell>
          <cell r="L3528">
            <v>50</v>
          </cell>
          <cell r="M3528" t="str">
            <v>56/32,5</v>
          </cell>
          <cell r="N3528">
            <v>65</v>
          </cell>
          <cell r="O3528" t="str">
            <v>155(F)</v>
          </cell>
          <cell r="P3528" t="str">
            <v>270°</v>
          </cell>
          <cell r="Q3528" t="str">
            <v>TF</v>
          </cell>
          <cell r="R3528" t="str">
            <v>V(VE)</v>
          </cell>
          <cell r="S3528" t="str">
            <v>-</v>
          </cell>
          <cell r="T3528" t="str">
            <v>-</v>
          </cell>
          <cell r="U3528" t="str">
            <v>-</v>
          </cell>
          <cell r="V3528" t="str">
            <v>FC</v>
          </cell>
          <cell r="W3528" t="str">
            <v>-</v>
          </cell>
          <cell r="X3528" t="str">
            <v>CLP HC 150 (-30/+50°C)</v>
          </cell>
          <cell r="Y3528" t="str">
            <v>KH157DRN200L4 /TF/V</v>
          </cell>
          <cell r="Z3528" t="str">
            <v>SEW</v>
          </cell>
          <cell r="AB3528" t="str">
            <v>-</v>
          </cell>
          <cell r="AF3528">
            <v>16</v>
          </cell>
          <cell r="AG3528" t="str">
            <v>DRN200L4</v>
          </cell>
          <cell r="AH3528" t="str">
            <v>KH157-DRN200L4A270-X#</v>
          </cell>
        </row>
        <row r="3529">
          <cell r="A3529" t="str">
            <v>MR003518</v>
          </cell>
          <cell r="B3529" t="str">
            <v>MR</v>
          </cell>
          <cell r="C3529">
            <v>30</v>
          </cell>
          <cell r="D3529">
            <v>16</v>
          </cell>
          <cell r="E3529" t="str">
            <v>KH157</v>
          </cell>
          <cell r="F3529">
            <v>17700</v>
          </cell>
          <cell r="G3529">
            <v>91.65</v>
          </cell>
          <cell r="H3529">
            <v>1.1499999999999999</v>
          </cell>
          <cell r="I3529" t="str">
            <v>From M4B to M1B - 5°</v>
          </cell>
          <cell r="J3529" t="str">
            <v>IE3</v>
          </cell>
          <cell r="K3529" t="str">
            <v>400/690</v>
          </cell>
          <cell r="L3529">
            <v>50</v>
          </cell>
          <cell r="M3529" t="str">
            <v>56/32,5</v>
          </cell>
          <cell r="N3529">
            <v>65</v>
          </cell>
          <cell r="O3529" t="str">
            <v>155(F)</v>
          </cell>
          <cell r="P3529" t="str">
            <v>270°</v>
          </cell>
          <cell r="Q3529" t="str">
            <v>TF</v>
          </cell>
          <cell r="R3529" t="str">
            <v>V(VE)</v>
          </cell>
          <cell r="S3529" t="str">
            <v>-</v>
          </cell>
          <cell r="T3529" t="str">
            <v>-</v>
          </cell>
          <cell r="U3529" t="str">
            <v>-</v>
          </cell>
          <cell r="V3529" t="str">
            <v>FC</v>
          </cell>
          <cell r="W3529" t="str">
            <v>-</v>
          </cell>
          <cell r="X3529" t="str">
            <v>CLP HC 150 (-30/+50°C)</v>
          </cell>
          <cell r="Y3529" t="str">
            <v>KH157DRN200L4 /TF/V</v>
          </cell>
          <cell r="Z3529" t="str">
            <v>SEW</v>
          </cell>
          <cell r="AB3529" t="str">
            <v>-</v>
          </cell>
          <cell r="AF3529">
            <v>16</v>
          </cell>
          <cell r="AG3529" t="str">
            <v>DRN200L4</v>
          </cell>
          <cell r="AH3529" t="str">
            <v>KH157-DRN200L4B270-X#</v>
          </cell>
        </row>
        <row r="3530">
          <cell r="A3530" t="str">
            <v>MR003519</v>
          </cell>
          <cell r="B3530" t="str">
            <v>MR</v>
          </cell>
          <cell r="C3530">
            <v>11</v>
          </cell>
          <cell r="D3530">
            <v>62</v>
          </cell>
          <cell r="E3530" t="str">
            <v>FH87</v>
          </cell>
          <cell r="F3530">
            <v>1680</v>
          </cell>
          <cell r="G3530">
            <v>23.68</v>
          </cell>
          <cell r="H3530">
            <v>1.8</v>
          </cell>
          <cell r="I3530" t="str">
            <v>M1</v>
          </cell>
          <cell r="J3530" t="str">
            <v>IE3</v>
          </cell>
          <cell r="K3530" t="str">
            <v>400/690</v>
          </cell>
          <cell r="L3530">
            <v>50</v>
          </cell>
          <cell r="M3530" t="str">
            <v>21/12,2</v>
          </cell>
          <cell r="N3530">
            <v>65</v>
          </cell>
          <cell r="O3530" t="str">
            <v>155(F)</v>
          </cell>
          <cell r="P3530" t="str">
            <v>270°</v>
          </cell>
          <cell r="Q3530" t="str">
            <v>TF</v>
          </cell>
          <cell r="R3530" t="str">
            <v>-</v>
          </cell>
          <cell r="S3530" t="str">
            <v>-</v>
          </cell>
          <cell r="T3530" t="str">
            <v>-</v>
          </cell>
          <cell r="U3530" t="str">
            <v>G</v>
          </cell>
          <cell r="V3530" t="str">
            <v>D+R</v>
          </cell>
          <cell r="W3530" t="str">
            <v>-</v>
          </cell>
          <cell r="X3530" t="str">
            <v>CLP HC 150 (-30/+50°C)</v>
          </cell>
          <cell r="Y3530" t="str">
            <v>FH87/G DRN160M4 /TF</v>
          </cell>
          <cell r="Z3530" t="str">
            <v>SEW</v>
          </cell>
          <cell r="AB3530" t="str">
            <v>-</v>
          </cell>
          <cell r="AF3530">
            <v>62</v>
          </cell>
          <cell r="AG3530" t="str">
            <v>DRN160M4</v>
          </cell>
          <cell r="AH3530" t="str">
            <v>FH87G-DRN160M4270-X</v>
          </cell>
        </row>
        <row r="3531">
          <cell r="A3531" t="str">
            <v>MR003520</v>
          </cell>
          <cell r="B3531" t="str">
            <v>MR</v>
          </cell>
          <cell r="C3531">
            <v>9.1999999999999993</v>
          </cell>
          <cell r="D3531">
            <v>64</v>
          </cell>
          <cell r="E3531" t="str">
            <v>KH77</v>
          </cell>
          <cell r="F3531">
            <v>1370</v>
          </cell>
          <cell r="G3531">
            <v>23.08</v>
          </cell>
          <cell r="H3531">
            <v>1.1000000000000001</v>
          </cell>
          <cell r="I3531" t="str">
            <v>M4B</v>
          </cell>
          <cell r="J3531" t="str">
            <v>IE3</v>
          </cell>
          <cell r="K3531" t="str">
            <v>400/690</v>
          </cell>
          <cell r="L3531">
            <v>50</v>
          </cell>
          <cell r="M3531" t="str">
            <v>18,7/10,8</v>
          </cell>
          <cell r="N3531">
            <v>65</v>
          </cell>
          <cell r="O3531" t="str">
            <v>155(F)</v>
          </cell>
          <cell r="P3531" t="str">
            <v>270°</v>
          </cell>
          <cell r="Q3531" t="str">
            <v>TF</v>
          </cell>
          <cell r="R3531" t="str">
            <v>-</v>
          </cell>
          <cell r="S3531" t="str">
            <v>Free rotation CW</v>
          </cell>
          <cell r="T3531" t="str">
            <v>-</v>
          </cell>
          <cell r="U3531" t="str">
            <v>T</v>
          </cell>
          <cell r="V3531" t="str">
            <v>SS</v>
          </cell>
          <cell r="W3531" t="str">
            <v>-</v>
          </cell>
          <cell r="X3531" t="str">
            <v>CLP HC 150 (-30/+50°C)</v>
          </cell>
          <cell r="Y3531" t="str">
            <v>KH77/T DRN132L4 /RS /TF</v>
          </cell>
          <cell r="Z3531" t="str">
            <v>SEW</v>
          </cell>
          <cell r="AB3531" t="str">
            <v>-</v>
          </cell>
          <cell r="AF3531">
            <v>64</v>
          </cell>
          <cell r="AG3531" t="str">
            <v>DRN132L4</v>
          </cell>
          <cell r="AH3531" t="str">
            <v>KH77T-DRN132L4B270-X</v>
          </cell>
        </row>
        <row r="3532">
          <cell r="A3532" t="str">
            <v>MR003521</v>
          </cell>
          <cell r="B3532" t="str">
            <v>MR</v>
          </cell>
          <cell r="C3532">
            <v>9.1999999999999993</v>
          </cell>
          <cell r="D3532">
            <v>62</v>
          </cell>
          <cell r="E3532" t="str">
            <v>FH87</v>
          </cell>
          <cell r="F3532">
            <v>1410</v>
          </cell>
          <cell r="G3532">
            <v>23.68</v>
          </cell>
          <cell r="H3532">
            <v>2.1</v>
          </cell>
          <cell r="I3532" t="str">
            <v>M1</v>
          </cell>
          <cell r="J3532" t="str">
            <v>IE3</v>
          </cell>
          <cell r="K3532" t="str">
            <v>400/690</v>
          </cell>
          <cell r="L3532">
            <v>50</v>
          </cell>
          <cell r="M3532" t="str">
            <v>18,7/10,8</v>
          </cell>
          <cell r="N3532">
            <v>65</v>
          </cell>
          <cell r="O3532" t="str">
            <v>155(F)</v>
          </cell>
          <cell r="P3532" t="str">
            <v>270°</v>
          </cell>
          <cell r="Q3532" t="str">
            <v>TF</v>
          </cell>
          <cell r="R3532" t="str">
            <v>-</v>
          </cell>
          <cell r="S3532" t="str">
            <v>-</v>
          </cell>
          <cell r="T3532" t="str">
            <v>-</v>
          </cell>
          <cell r="U3532" t="str">
            <v>G</v>
          </cell>
          <cell r="V3532" t="str">
            <v>D</v>
          </cell>
          <cell r="W3532" t="str">
            <v>-</v>
          </cell>
          <cell r="X3532" t="str">
            <v>CLP HC 150 (-30/+50°C)</v>
          </cell>
          <cell r="Y3532" t="str">
            <v>FH87/G DRN132L4 /TF</v>
          </cell>
          <cell r="Z3532" t="str">
            <v>SEW</v>
          </cell>
          <cell r="AB3532" t="str">
            <v>-</v>
          </cell>
          <cell r="AF3532">
            <v>62</v>
          </cell>
          <cell r="AG3532" t="str">
            <v>DRN132L4</v>
          </cell>
          <cell r="AH3532" t="str">
            <v>FH87G-DRN132L4270-X</v>
          </cell>
        </row>
        <row r="3533">
          <cell r="A3533" t="str">
            <v>MR003522</v>
          </cell>
          <cell r="B3533" t="str">
            <v>MR</v>
          </cell>
          <cell r="C3533">
            <v>7.5</v>
          </cell>
          <cell r="D3533">
            <v>4.2</v>
          </cell>
          <cell r="E3533" t="str">
            <v>FH157R97</v>
          </cell>
          <cell r="F3533">
            <v>15800</v>
          </cell>
          <cell r="G3533">
            <v>353</v>
          </cell>
          <cell r="H3533">
            <v>1.25</v>
          </cell>
          <cell r="I3533" t="str">
            <v>From M1 to M4 - 20°</v>
          </cell>
          <cell r="J3533" t="str">
            <v>IE3</v>
          </cell>
          <cell r="K3533" t="str">
            <v>230/400</v>
          </cell>
          <cell r="L3533">
            <v>50</v>
          </cell>
          <cell r="M3533" t="str">
            <v>26,5/15,2</v>
          </cell>
          <cell r="N3533">
            <v>65</v>
          </cell>
          <cell r="O3533" t="str">
            <v>155(F)</v>
          </cell>
          <cell r="P3533" t="str">
            <v>270°</v>
          </cell>
          <cell r="Q3533" t="str">
            <v>TF</v>
          </cell>
          <cell r="R3533" t="str">
            <v>V(VE)</v>
          </cell>
          <cell r="S3533" t="str">
            <v>-</v>
          </cell>
          <cell r="T3533" t="str">
            <v>-</v>
          </cell>
          <cell r="U3533" t="str">
            <v>G</v>
          </cell>
          <cell r="V3533" t="str">
            <v>FC</v>
          </cell>
          <cell r="W3533" t="str">
            <v>-</v>
          </cell>
          <cell r="X3533" t="str">
            <v>CLP HC 150 (-30/+50°C)</v>
          </cell>
          <cell r="Y3533" t="str">
            <v>FH157R97/G DRN132M4 /TF/V</v>
          </cell>
          <cell r="Z3533" t="str">
            <v>SEW</v>
          </cell>
          <cell r="AB3533" t="str">
            <v>-</v>
          </cell>
          <cell r="AF3533">
            <v>4.2</v>
          </cell>
          <cell r="AG3533" t="str">
            <v>DRN132M4</v>
          </cell>
          <cell r="AH3533" t="str">
            <v>FH157R97G-DRN132M4270-X#</v>
          </cell>
        </row>
        <row r="3534">
          <cell r="A3534" t="str">
            <v>MR003523</v>
          </cell>
          <cell r="B3534" t="str">
            <v>MR</v>
          </cell>
          <cell r="C3534">
            <v>0.55000000000000004</v>
          </cell>
          <cell r="D3534">
            <v>70</v>
          </cell>
          <cell r="E3534" t="str">
            <v>FH37</v>
          </cell>
          <cell r="F3534">
            <v>75</v>
          </cell>
          <cell r="G3534">
            <v>20.57</v>
          </cell>
          <cell r="H3534">
            <v>2.7</v>
          </cell>
          <cell r="I3534" t="str">
            <v>M1</v>
          </cell>
          <cell r="J3534" t="str">
            <v>IE3</v>
          </cell>
          <cell r="K3534" t="str">
            <v>230/400</v>
          </cell>
          <cell r="L3534">
            <v>50</v>
          </cell>
          <cell r="M3534" t="str">
            <v>2,25/1,29</v>
          </cell>
          <cell r="N3534">
            <v>65</v>
          </cell>
          <cell r="O3534" t="str">
            <v>155(F)</v>
          </cell>
          <cell r="P3534" t="str">
            <v>270°</v>
          </cell>
          <cell r="Q3534" t="str">
            <v>TF</v>
          </cell>
          <cell r="R3534" t="str">
            <v>-</v>
          </cell>
          <cell r="S3534" t="str">
            <v>-</v>
          </cell>
          <cell r="T3534" t="str">
            <v>-</v>
          </cell>
          <cell r="U3534" t="str">
            <v>G</v>
          </cell>
          <cell r="V3534" t="str">
            <v>D+R</v>
          </cell>
          <cell r="W3534" t="str">
            <v>-</v>
          </cell>
          <cell r="X3534" t="str">
            <v>CLP HC 150 (-30/+50°C)</v>
          </cell>
          <cell r="Y3534" t="str">
            <v>FH37/G DRN80MK4 /TF</v>
          </cell>
          <cell r="Z3534" t="str">
            <v>SEW</v>
          </cell>
          <cell r="AB3534" t="str">
            <v>-</v>
          </cell>
          <cell r="AF3534">
            <v>70</v>
          </cell>
          <cell r="AG3534" t="str">
            <v>DRN80MK4</v>
          </cell>
          <cell r="AH3534" t="str">
            <v>FH37G-DRN80MK4270-X</v>
          </cell>
        </row>
        <row r="3535">
          <cell r="A3535" t="str">
            <v>MR003524</v>
          </cell>
          <cell r="B3535" t="str">
            <v>MR</v>
          </cell>
          <cell r="C3535">
            <v>0.75</v>
          </cell>
          <cell r="D3535">
            <v>162</v>
          </cell>
          <cell r="E3535" t="str">
            <v>KH37</v>
          </cell>
          <cell r="F3535">
            <v>44</v>
          </cell>
          <cell r="G3535">
            <v>8.91</v>
          </cell>
          <cell r="H3535">
            <v>3.6</v>
          </cell>
          <cell r="I3535" t="str">
            <v>From M1B to M2B - 5°</v>
          </cell>
          <cell r="J3535" t="str">
            <v>IE3</v>
          </cell>
          <cell r="K3535" t="str">
            <v>230/400</v>
          </cell>
          <cell r="L3535">
            <v>50</v>
          </cell>
          <cell r="M3535" t="str">
            <v>3,05/1,75</v>
          </cell>
          <cell r="N3535">
            <v>65</v>
          </cell>
          <cell r="O3535" t="str">
            <v>155(F)</v>
          </cell>
          <cell r="P3535" t="str">
            <v>270°</v>
          </cell>
          <cell r="Q3535" t="str">
            <v>TF</v>
          </cell>
          <cell r="R3535" t="str">
            <v>-</v>
          </cell>
          <cell r="S3535" t="str">
            <v>-</v>
          </cell>
          <cell r="T3535" t="str">
            <v>-</v>
          </cell>
          <cell r="U3535" t="str">
            <v>T</v>
          </cell>
          <cell r="V3535" t="str">
            <v>D</v>
          </cell>
          <cell r="W3535" t="str">
            <v>-</v>
          </cell>
          <cell r="X3535" t="str">
            <v>CLP HC 150 (-30/+50°C)</v>
          </cell>
          <cell r="Y3535" t="str">
            <v>KH37/T DRN80M4 /TF</v>
          </cell>
          <cell r="Z3535" t="str">
            <v>SEW</v>
          </cell>
          <cell r="AB3535" t="str">
            <v>-</v>
          </cell>
          <cell r="AF3535">
            <v>162</v>
          </cell>
          <cell r="AG3535" t="str">
            <v>DRN80M4</v>
          </cell>
          <cell r="AH3535" t="str">
            <v>KH37T-DRN80M4B270-X</v>
          </cell>
        </row>
        <row r="3536">
          <cell r="A3536" t="str">
            <v>MR003525</v>
          </cell>
          <cell r="B3536" t="str">
            <v>MR</v>
          </cell>
          <cell r="C3536">
            <v>22</v>
          </cell>
          <cell r="D3536">
            <v>16</v>
          </cell>
          <cell r="E3536" t="str">
            <v>KH157</v>
          </cell>
          <cell r="F3536">
            <v>13000</v>
          </cell>
          <cell r="G3536">
            <v>91.65</v>
          </cell>
          <cell r="H3536">
            <v>1.55</v>
          </cell>
          <cell r="I3536" t="str">
            <v>From M1A to M4A - 70°</v>
          </cell>
          <cell r="J3536" t="str">
            <v>IE3</v>
          </cell>
          <cell r="K3536" t="str">
            <v>400/690</v>
          </cell>
          <cell r="L3536">
            <v>50</v>
          </cell>
          <cell r="M3536" t="str">
            <v>38,5/22,5</v>
          </cell>
          <cell r="N3536">
            <v>65</v>
          </cell>
          <cell r="O3536" t="str">
            <v>155(F)</v>
          </cell>
          <cell r="P3536" t="str">
            <v>270°</v>
          </cell>
          <cell r="Q3536" t="str">
            <v>TF</v>
          </cell>
          <cell r="R3536" t="str">
            <v>-</v>
          </cell>
          <cell r="S3536" t="str">
            <v>-</v>
          </cell>
          <cell r="T3536" t="str">
            <v>-</v>
          </cell>
          <cell r="U3536" t="str">
            <v>-</v>
          </cell>
          <cell r="V3536" t="str">
            <v>SS</v>
          </cell>
          <cell r="W3536" t="str">
            <v>-</v>
          </cell>
          <cell r="X3536" t="str">
            <v>CLP HC VG 220 = -20° + 60°</v>
          </cell>
          <cell r="Y3536" t="str">
            <v>KH157DRN180L4 /TF</v>
          </cell>
          <cell r="Z3536" t="str">
            <v>SEW</v>
          </cell>
          <cell r="AB3536" t="str">
            <v>-</v>
          </cell>
          <cell r="AE3536" t="str">
            <v>Work frequency: 50Hz - constant work speed ; CAST IRON FRAME ; B61 sight glass for oil; surface protection OS4;  tropicalized, suitable for high humidity and dustiness</v>
          </cell>
          <cell r="AF3536">
            <v>16</v>
          </cell>
          <cell r="AG3536" t="str">
            <v>DRN180L4</v>
          </cell>
          <cell r="AH3536" t="str">
            <v>KH157-DRN180L4A270-X</v>
          </cell>
        </row>
        <row r="3537">
          <cell r="A3537" t="str">
            <v>MR003526</v>
          </cell>
          <cell r="B3537" t="str">
            <v>MR</v>
          </cell>
          <cell r="C3537">
            <v>22</v>
          </cell>
          <cell r="D3537">
            <v>16</v>
          </cell>
          <cell r="E3537" t="str">
            <v>KH157</v>
          </cell>
          <cell r="F3537">
            <v>13000</v>
          </cell>
          <cell r="G3537">
            <v>91.65</v>
          </cell>
          <cell r="H3537">
            <v>1.55</v>
          </cell>
          <cell r="I3537" t="str">
            <v>From M1B to M4B - 70°</v>
          </cell>
          <cell r="J3537" t="str">
            <v>IE3</v>
          </cell>
          <cell r="K3537" t="str">
            <v>400/690</v>
          </cell>
          <cell r="L3537">
            <v>50</v>
          </cell>
          <cell r="M3537" t="str">
            <v>38,5/22,5</v>
          </cell>
          <cell r="N3537">
            <v>65</v>
          </cell>
          <cell r="O3537" t="str">
            <v>155(F)</v>
          </cell>
          <cell r="P3537" t="str">
            <v>270°</v>
          </cell>
          <cell r="Q3537" t="str">
            <v>TF</v>
          </cell>
          <cell r="R3537" t="str">
            <v>-</v>
          </cell>
          <cell r="S3537" t="str">
            <v>-</v>
          </cell>
          <cell r="T3537" t="str">
            <v>-</v>
          </cell>
          <cell r="U3537" t="str">
            <v>-</v>
          </cell>
          <cell r="V3537" t="str">
            <v>SS</v>
          </cell>
          <cell r="W3537" t="str">
            <v>-</v>
          </cell>
          <cell r="X3537" t="str">
            <v>CLP HC VG 220 = -20° + 60°</v>
          </cell>
          <cell r="Y3537" t="str">
            <v>KH157DRN180L4 /TF</v>
          </cell>
          <cell r="Z3537" t="str">
            <v>SEW</v>
          </cell>
          <cell r="AB3537" t="str">
            <v>-</v>
          </cell>
          <cell r="AE3537" t="str">
            <v>Work frequency: 50Hz - constant work speed ; CAST IRON FRAME ; B61 sight glass for oil; surface protection OS4;  tropicalized, suitable for high humidity and dustiness</v>
          </cell>
          <cell r="AF3537">
            <v>16</v>
          </cell>
          <cell r="AG3537" t="str">
            <v>DRN180L4</v>
          </cell>
          <cell r="AH3537" t="str">
            <v>KH157-DRN180L4B270-X</v>
          </cell>
        </row>
        <row r="3538">
          <cell r="A3538" t="str">
            <v>MR003527</v>
          </cell>
          <cell r="B3538" t="str">
            <v>MR</v>
          </cell>
          <cell r="C3538">
            <v>11</v>
          </cell>
          <cell r="D3538">
            <v>16</v>
          </cell>
          <cell r="E3538" t="str">
            <v>KH107</v>
          </cell>
          <cell r="F3538">
            <v>6480</v>
          </cell>
          <cell r="G3538">
            <v>90.96</v>
          </cell>
          <cell r="H3538">
            <v>1.25</v>
          </cell>
          <cell r="I3538" t="str">
            <v>From M1B to M4B - 60°</v>
          </cell>
          <cell r="J3538" t="str">
            <v>IE3</v>
          </cell>
          <cell r="K3538" t="str">
            <v>400/690</v>
          </cell>
          <cell r="L3538">
            <v>50</v>
          </cell>
          <cell r="M3538" t="str">
            <v>21/12,2</v>
          </cell>
          <cell r="N3538">
            <v>65</v>
          </cell>
          <cell r="O3538" t="str">
            <v>155(F)</v>
          </cell>
          <cell r="P3538" t="str">
            <v>270°</v>
          </cell>
          <cell r="Q3538" t="str">
            <v>TF</v>
          </cell>
          <cell r="R3538" t="str">
            <v>-</v>
          </cell>
          <cell r="S3538" t="str">
            <v>-</v>
          </cell>
          <cell r="T3538" t="str">
            <v>-</v>
          </cell>
          <cell r="U3538" t="str">
            <v>-</v>
          </cell>
          <cell r="V3538" t="str">
            <v>SS</v>
          </cell>
          <cell r="W3538" t="str">
            <v>-</v>
          </cell>
          <cell r="X3538" t="str">
            <v>CLP HC VG 220 = -20° + 60°</v>
          </cell>
          <cell r="Y3538" t="str">
            <v>KH107DRN160M4 /TF</v>
          </cell>
          <cell r="Z3538" t="str">
            <v>SEW</v>
          </cell>
          <cell r="AB3538" t="str">
            <v>-</v>
          </cell>
          <cell r="AE3538" t="str">
            <v>Work frequency: 50Hz - constant work speed ; CAST IRON FRAME ; B61 sight glass for oil; surface protection OS4;  tropicalized, suitable for high humidity and dustiness</v>
          </cell>
          <cell r="AF3538">
            <v>16</v>
          </cell>
          <cell r="AG3538" t="str">
            <v>DRN160M4</v>
          </cell>
          <cell r="AH3538" t="str">
            <v>KH107-DRN160M4B270-X</v>
          </cell>
        </row>
        <row r="3539">
          <cell r="A3539" t="str">
            <v>MR003528</v>
          </cell>
          <cell r="B3539" t="str">
            <v>MR</v>
          </cell>
          <cell r="C3539">
            <v>11</v>
          </cell>
          <cell r="D3539">
            <v>16</v>
          </cell>
          <cell r="E3539" t="str">
            <v>KH107</v>
          </cell>
          <cell r="F3539">
            <v>6480</v>
          </cell>
          <cell r="G3539">
            <v>90.96</v>
          </cell>
          <cell r="H3539">
            <v>1.25</v>
          </cell>
          <cell r="I3539" t="str">
            <v>From M1A to M4A - 75°</v>
          </cell>
          <cell r="J3539" t="str">
            <v>IE3</v>
          </cell>
          <cell r="K3539" t="str">
            <v>400/690</v>
          </cell>
          <cell r="L3539">
            <v>50</v>
          </cell>
          <cell r="M3539" t="str">
            <v>21/12,2</v>
          </cell>
          <cell r="N3539">
            <v>65</v>
          </cell>
          <cell r="O3539" t="str">
            <v>155(F)</v>
          </cell>
          <cell r="P3539" t="str">
            <v>270°</v>
          </cell>
          <cell r="Q3539" t="str">
            <v>TF</v>
          </cell>
          <cell r="R3539" t="str">
            <v>-</v>
          </cell>
          <cell r="S3539" t="str">
            <v>-</v>
          </cell>
          <cell r="T3539" t="str">
            <v>-</v>
          </cell>
          <cell r="U3539" t="str">
            <v>-</v>
          </cell>
          <cell r="V3539" t="str">
            <v>SS</v>
          </cell>
          <cell r="W3539" t="str">
            <v>-</v>
          </cell>
          <cell r="X3539" t="str">
            <v>CLP HC VG 220 = -20° + 60°</v>
          </cell>
          <cell r="Y3539" t="str">
            <v>KH107DRN160M4 /TF</v>
          </cell>
          <cell r="Z3539" t="str">
            <v>SEW</v>
          </cell>
          <cell r="AB3539" t="str">
            <v>-</v>
          </cell>
          <cell r="AE3539" t="str">
            <v>Work frequency: 50Hz - constant work speed ; CAST IRON FRAME ; B61 sight glass for oil; surface protection OS4;  tropicalized, suitable for high humidity and dustiness</v>
          </cell>
          <cell r="AF3539">
            <v>16</v>
          </cell>
          <cell r="AG3539" t="str">
            <v>DRN160M4</v>
          </cell>
          <cell r="AH3539" t="str">
            <v>KH107-DRN160M4A270-X</v>
          </cell>
        </row>
        <row r="3540">
          <cell r="A3540" t="str">
            <v>MR003529</v>
          </cell>
          <cell r="B3540" t="str">
            <v>MR</v>
          </cell>
          <cell r="C3540">
            <v>15</v>
          </cell>
          <cell r="D3540">
            <v>30</v>
          </cell>
          <cell r="E3540" t="str">
            <v>R127</v>
          </cell>
          <cell r="F3540">
            <v>4840</v>
          </cell>
          <cell r="G3540">
            <v>49.81</v>
          </cell>
          <cell r="H3540">
            <v>1.25</v>
          </cell>
          <cell r="I3540" t="str">
            <v>M1</v>
          </cell>
          <cell r="J3540" t="str">
            <v>IE3</v>
          </cell>
          <cell r="K3540" t="str">
            <v>230/400</v>
          </cell>
          <cell r="L3540">
            <v>50</v>
          </cell>
          <cell r="M3540" t="str">
            <v>50/29</v>
          </cell>
          <cell r="N3540">
            <v>65</v>
          </cell>
          <cell r="O3540" t="str">
            <v>155(F)</v>
          </cell>
          <cell r="P3540" t="str">
            <v>270°</v>
          </cell>
          <cell r="Q3540" t="str">
            <v>TF</v>
          </cell>
          <cell r="R3540" t="str">
            <v>V(VE)</v>
          </cell>
          <cell r="S3540" t="str">
            <v>-</v>
          </cell>
          <cell r="T3540" t="str">
            <v>-</v>
          </cell>
          <cell r="U3540" t="str">
            <v>-</v>
          </cell>
          <cell r="V3540" t="str">
            <v>FC</v>
          </cell>
          <cell r="W3540" t="str">
            <v>-</v>
          </cell>
          <cell r="X3540" t="str">
            <v>CLP VG 220 = -15° + 40°</v>
          </cell>
          <cell r="Y3540" t="str">
            <v>R127DRN160L4 /TF/V</v>
          </cell>
          <cell r="Z3540" t="str">
            <v>SEW</v>
          </cell>
          <cell r="AB3540" t="str">
            <v>-</v>
          </cell>
          <cell r="AF3540">
            <v>30</v>
          </cell>
          <cell r="AG3540" t="str">
            <v>DRN160L4</v>
          </cell>
          <cell r="AH3540" t="str">
            <v>R127-DRN160L4270-X#</v>
          </cell>
        </row>
        <row r="3541">
          <cell r="A3541" t="str">
            <v>MR003530</v>
          </cell>
          <cell r="B3541" t="str">
            <v>MR</v>
          </cell>
          <cell r="C3541">
            <v>0.75</v>
          </cell>
          <cell r="D3541">
            <v>18</v>
          </cell>
          <cell r="E3541" t="str">
            <v>FA67</v>
          </cell>
          <cell r="F3541">
            <v>395</v>
          </cell>
          <cell r="G3541">
            <v>79.760000000000005</v>
          </cell>
          <cell r="H3541">
            <v>2.1</v>
          </cell>
          <cell r="I3541" t="str">
            <v>M6</v>
          </cell>
          <cell r="J3541" t="str">
            <v>IE3</v>
          </cell>
          <cell r="K3541" t="str">
            <v>230/400</v>
          </cell>
          <cell r="L3541">
            <v>50</v>
          </cell>
          <cell r="M3541" t="str">
            <v>3,05/1,75</v>
          </cell>
          <cell r="N3541">
            <v>65</v>
          </cell>
          <cell r="O3541" t="str">
            <v>155(F)</v>
          </cell>
          <cell r="P3541" t="str">
            <v>270°</v>
          </cell>
          <cell r="Q3541" t="str">
            <v>-</v>
          </cell>
          <cell r="R3541" t="str">
            <v>-</v>
          </cell>
          <cell r="S3541" t="str">
            <v>-</v>
          </cell>
          <cell r="T3541" t="str">
            <v>BEHF</v>
          </cell>
          <cell r="U3541" t="str">
            <v>G</v>
          </cell>
          <cell r="V3541" t="str">
            <v>D+R</v>
          </cell>
          <cell r="W3541" t="str">
            <v>-</v>
          </cell>
          <cell r="X3541" t="str">
            <v>CLP VG 220 = -15° + 40°</v>
          </cell>
          <cell r="Y3541" t="str">
            <v>FA67/G DRN80M4 /BEHF</v>
          </cell>
          <cell r="Z3541" t="str">
            <v>SEW</v>
          </cell>
          <cell r="AB3541" t="str">
            <v>-</v>
          </cell>
          <cell r="AF3541">
            <v>18</v>
          </cell>
          <cell r="AG3541" t="str">
            <v>DRN80M4</v>
          </cell>
          <cell r="AH3541" t="str">
            <v>FA67G-DRN80M4270-X</v>
          </cell>
        </row>
        <row r="3542">
          <cell r="A3542" t="str">
            <v>MR003531</v>
          </cell>
          <cell r="B3542" t="str">
            <v>MR</v>
          </cell>
          <cell r="C3542">
            <v>11</v>
          </cell>
          <cell r="D3542">
            <v>36</v>
          </cell>
          <cell r="E3542" t="str">
            <v>R107</v>
          </cell>
          <cell r="F3542">
            <v>2870</v>
          </cell>
          <cell r="G3542">
            <v>40.369999999999997</v>
          </cell>
          <cell r="H3542">
            <v>1.5</v>
          </cell>
          <cell r="I3542" t="str">
            <v>M3</v>
          </cell>
          <cell r="J3542" t="str">
            <v>IE3</v>
          </cell>
          <cell r="K3542" t="str">
            <v>230/400</v>
          </cell>
          <cell r="L3542">
            <v>50</v>
          </cell>
          <cell r="M3542" t="str">
            <v>36,5/21</v>
          </cell>
          <cell r="N3542">
            <v>65</v>
          </cell>
          <cell r="O3542" t="str">
            <v>155(F)</v>
          </cell>
          <cell r="P3542" t="str">
            <v>270°</v>
          </cell>
          <cell r="Q3542" t="str">
            <v>TF</v>
          </cell>
          <cell r="R3542" t="str">
            <v>V(VE)</v>
          </cell>
          <cell r="S3542" t="str">
            <v>-</v>
          </cell>
          <cell r="T3542" t="str">
            <v>-</v>
          </cell>
          <cell r="U3542" t="str">
            <v>-</v>
          </cell>
          <cell r="V3542" t="str">
            <v>FC</v>
          </cell>
          <cell r="W3542" t="str">
            <v>-</v>
          </cell>
          <cell r="X3542" t="str">
            <v>CLP VG 220 = -15° + 40°</v>
          </cell>
          <cell r="Y3542" t="str">
            <v>R107DRN160M4 /TF/V</v>
          </cell>
          <cell r="Z3542" t="str">
            <v>SEW</v>
          </cell>
          <cell r="AB3542" t="str">
            <v>-</v>
          </cell>
          <cell r="AF3542">
            <v>36</v>
          </cell>
          <cell r="AG3542" t="str">
            <v>DRN160M4</v>
          </cell>
          <cell r="AH3542" t="str">
            <v>R107-DRN160M4270-X#</v>
          </cell>
        </row>
        <row r="3543">
          <cell r="A3543" t="str">
            <v>MR003532</v>
          </cell>
          <cell r="B3543" t="str">
            <v>MR</v>
          </cell>
          <cell r="C3543">
            <v>15</v>
          </cell>
          <cell r="D3543">
            <v>35</v>
          </cell>
          <cell r="E3543" t="str">
            <v>R127</v>
          </cell>
          <cell r="F3543">
            <v>4100</v>
          </cell>
          <cell r="G3543">
            <v>42.22</v>
          </cell>
          <cell r="H3543">
            <v>1.45</v>
          </cell>
          <cell r="I3543" t="str">
            <v>M3</v>
          </cell>
          <cell r="J3543" t="str">
            <v>IE3</v>
          </cell>
          <cell r="K3543" t="str">
            <v>230/400</v>
          </cell>
          <cell r="L3543">
            <v>50</v>
          </cell>
          <cell r="M3543" t="str">
            <v>50/29</v>
          </cell>
          <cell r="N3543">
            <v>65</v>
          </cell>
          <cell r="O3543" t="str">
            <v>155(F)</v>
          </cell>
          <cell r="P3543" t="str">
            <v>270°</v>
          </cell>
          <cell r="Q3543" t="str">
            <v>TF</v>
          </cell>
          <cell r="R3543" t="str">
            <v>V(VE)</v>
          </cell>
          <cell r="S3543" t="str">
            <v>-</v>
          </cell>
          <cell r="T3543" t="str">
            <v>-</v>
          </cell>
          <cell r="U3543" t="str">
            <v>-</v>
          </cell>
          <cell r="V3543" t="str">
            <v>FC</v>
          </cell>
          <cell r="W3543" t="str">
            <v>-</v>
          </cell>
          <cell r="X3543" t="str">
            <v>CLP VG 220 = -15° + 40°</v>
          </cell>
          <cell r="Y3543" t="str">
            <v>R127DRN160L4 /TF/V</v>
          </cell>
          <cell r="Z3543" t="str">
            <v>SEW</v>
          </cell>
          <cell r="AB3543" t="str">
            <v>-</v>
          </cell>
          <cell r="AF3543">
            <v>35</v>
          </cell>
          <cell r="AG3543" t="str">
            <v>DRN160L4</v>
          </cell>
          <cell r="AH3543" t="str">
            <v>R127-DRN160L4270-X#</v>
          </cell>
        </row>
        <row r="3544">
          <cell r="A3544" t="str">
            <v>MR003533</v>
          </cell>
          <cell r="B3544" t="str">
            <v>MR</v>
          </cell>
          <cell r="C3544">
            <v>11</v>
          </cell>
          <cell r="D3544">
            <v>28</v>
          </cell>
          <cell r="E3544" t="str">
            <v>R107</v>
          </cell>
          <cell r="F3544">
            <v>3750</v>
          </cell>
          <cell r="G3544">
            <v>52.68</v>
          </cell>
          <cell r="H3544">
            <v>1.1499999999999999</v>
          </cell>
          <cell r="I3544" t="str">
            <v>M3</v>
          </cell>
          <cell r="J3544" t="str">
            <v>IE3</v>
          </cell>
          <cell r="K3544" t="str">
            <v>230/400</v>
          </cell>
          <cell r="L3544">
            <v>50</v>
          </cell>
          <cell r="M3544" t="str">
            <v>36,5/21</v>
          </cell>
          <cell r="N3544">
            <v>65</v>
          </cell>
          <cell r="O3544" t="str">
            <v>155(F)</v>
          </cell>
          <cell r="P3544" t="str">
            <v>270°</v>
          </cell>
          <cell r="Q3544" t="str">
            <v>TF</v>
          </cell>
          <cell r="R3544" t="str">
            <v>V(VE)</v>
          </cell>
          <cell r="S3544" t="str">
            <v>-</v>
          </cell>
          <cell r="T3544" t="str">
            <v>-</v>
          </cell>
          <cell r="U3544" t="str">
            <v>-</v>
          </cell>
          <cell r="V3544" t="str">
            <v>FC</v>
          </cell>
          <cell r="W3544" t="str">
            <v>-</v>
          </cell>
          <cell r="X3544" t="str">
            <v>CLP VG 220 = -15° + 40°</v>
          </cell>
          <cell r="Y3544" t="str">
            <v>R107DRN160M4 /TF/V</v>
          </cell>
          <cell r="Z3544" t="str">
            <v>SEW</v>
          </cell>
          <cell r="AB3544" t="str">
            <v>-</v>
          </cell>
          <cell r="AF3544">
            <v>28</v>
          </cell>
          <cell r="AG3544" t="str">
            <v>DRN160M4</v>
          </cell>
          <cell r="AH3544" t="str">
            <v>R107-DRN160M4270-X#</v>
          </cell>
        </row>
        <row r="3545">
          <cell r="A3545" t="str">
            <v>MR003534</v>
          </cell>
          <cell r="B3545" t="str">
            <v>MR</v>
          </cell>
          <cell r="C3545">
            <v>15</v>
          </cell>
          <cell r="D3545">
            <v>40</v>
          </cell>
          <cell r="E3545" t="str">
            <v>R127</v>
          </cell>
          <cell r="F3545">
            <v>3580</v>
          </cell>
          <cell r="G3545">
            <v>36.880000000000003</v>
          </cell>
          <cell r="H3545">
            <v>1.6</v>
          </cell>
          <cell r="I3545" t="str">
            <v>M1</v>
          </cell>
          <cell r="J3545" t="str">
            <v>IE3</v>
          </cell>
          <cell r="K3545" t="str">
            <v>230/400</v>
          </cell>
          <cell r="L3545">
            <v>50</v>
          </cell>
          <cell r="M3545" t="str">
            <v>50/29</v>
          </cell>
          <cell r="N3545">
            <v>65</v>
          </cell>
          <cell r="O3545" t="str">
            <v>155(F)</v>
          </cell>
          <cell r="P3545" t="str">
            <v>270°</v>
          </cell>
          <cell r="Q3545" t="str">
            <v>TF</v>
          </cell>
          <cell r="R3545" t="str">
            <v>V(VE)</v>
          </cell>
          <cell r="S3545" t="str">
            <v>-</v>
          </cell>
          <cell r="T3545" t="str">
            <v>-</v>
          </cell>
          <cell r="U3545" t="str">
            <v>-</v>
          </cell>
          <cell r="V3545" t="str">
            <v>FC</v>
          </cell>
          <cell r="W3545" t="str">
            <v>-</v>
          </cell>
          <cell r="X3545" t="str">
            <v>CLP VG 220 = -15° + 40°</v>
          </cell>
          <cell r="Y3545" t="str">
            <v>R127DRN160L4 /TF/V</v>
          </cell>
          <cell r="Z3545" t="str">
            <v>SEW</v>
          </cell>
          <cell r="AB3545" t="str">
            <v>-</v>
          </cell>
          <cell r="AF3545">
            <v>40</v>
          </cell>
          <cell r="AG3545" t="str">
            <v>DRN160L4</v>
          </cell>
          <cell r="AH3545" t="str">
            <v>R127-DRN160L4270-X#</v>
          </cell>
        </row>
        <row r="3546">
          <cell r="A3546" t="str">
            <v>MR003535</v>
          </cell>
          <cell r="B3546" t="str">
            <v>MR</v>
          </cell>
          <cell r="C3546">
            <v>11</v>
          </cell>
          <cell r="D3546">
            <v>31</v>
          </cell>
          <cell r="E3546" t="str">
            <v>R107</v>
          </cell>
          <cell r="F3546">
            <v>3390</v>
          </cell>
          <cell r="G3546">
            <v>47.63</v>
          </cell>
          <cell r="H3546">
            <v>1.25</v>
          </cell>
          <cell r="I3546" t="str">
            <v>M3</v>
          </cell>
          <cell r="J3546" t="str">
            <v>IE3</v>
          </cell>
          <cell r="K3546" t="str">
            <v>230/400</v>
          </cell>
          <cell r="L3546">
            <v>50</v>
          </cell>
          <cell r="M3546" t="str">
            <v>36,5/21</v>
          </cell>
          <cell r="N3546">
            <v>65</v>
          </cell>
          <cell r="O3546" t="str">
            <v>155(F)</v>
          </cell>
          <cell r="P3546" t="str">
            <v>270°</v>
          </cell>
          <cell r="Q3546" t="str">
            <v>TF</v>
          </cell>
          <cell r="R3546" t="str">
            <v>V(VE)</v>
          </cell>
          <cell r="S3546" t="str">
            <v>-</v>
          </cell>
          <cell r="T3546" t="str">
            <v>-</v>
          </cell>
          <cell r="U3546" t="str">
            <v>-</v>
          </cell>
          <cell r="V3546" t="str">
            <v>FC</v>
          </cell>
          <cell r="W3546" t="str">
            <v>-</v>
          </cell>
          <cell r="X3546" t="str">
            <v>CLP VG 220 = -15° + 40°</v>
          </cell>
          <cell r="Y3546" t="str">
            <v>R107DRN160M4 /TF/V</v>
          </cell>
          <cell r="Z3546" t="str">
            <v>SEW</v>
          </cell>
          <cell r="AB3546" t="str">
            <v>-</v>
          </cell>
          <cell r="AF3546">
            <v>31</v>
          </cell>
          <cell r="AG3546" t="str">
            <v>DRN160M4</v>
          </cell>
          <cell r="AH3546" t="str">
            <v>R107-DRN160M4270-X#</v>
          </cell>
        </row>
        <row r="3547">
          <cell r="A3547" t="str">
            <v>MR003536</v>
          </cell>
          <cell r="B3547" t="str">
            <v>MR</v>
          </cell>
          <cell r="C3547">
            <v>7.5</v>
          </cell>
          <cell r="D3547">
            <v>63</v>
          </cell>
          <cell r="E3547" t="str">
            <v>R87</v>
          </cell>
          <cell r="F3547">
            <v>1140</v>
          </cell>
          <cell r="G3547" t="str">
            <v>23,4</v>
          </cell>
          <cell r="H3547" t="str">
            <v>1,35</v>
          </cell>
          <cell r="I3547" t="str">
            <v>From M1 to M4 - 35°</v>
          </cell>
          <cell r="J3547" t="str">
            <v>IE3</v>
          </cell>
          <cell r="K3547" t="str">
            <v>400/690</v>
          </cell>
          <cell r="L3547">
            <v>50</v>
          </cell>
          <cell r="M3547" t="str">
            <v>15,2/8,8</v>
          </cell>
          <cell r="N3547">
            <v>55</v>
          </cell>
          <cell r="O3547" t="str">
            <v>155(F)</v>
          </cell>
          <cell r="P3547" t="str">
            <v>270°</v>
          </cell>
          <cell r="Q3547" t="str">
            <v>-</v>
          </cell>
          <cell r="R3547" t="str">
            <v>-</v>
          </cell>
          <cell r="S3547" t="str">
            <v>-</v>
          </cell>
          <cell r="T3547" t="str">
            <v>-</v>
          </cell>
          <cell r="U3547" t="str">
            <v>-</v>
          </cell>
          <cell r="V3547" t="str">
            <v>D</v>
          </cell>
          <cell r="W3547" t="str">
            <v>-</v>
          </cell>
          <cell r="X3547" t="str">
            <v>CLP VG 220 = -15° + 40°</v>
          </cell>
          <cell r="Y3547" t="str">
            <v>R87DRN132M4</v>
          </cell>
          <cell r="Z3547" t="str">
            <v>SEW</v>
          </cell>
          <cell r="AA3547" t="str">
            <v>RAL 5005</v>
          </cell>
          <cell r="AB3547" t="str">
            <v>-</v>
          </cell>
          <cell r="AF3547">
            <v>63</v>
          </cell>
          <cell r="AG3547" t="str">
            <v>DRN132M4</v>
          </cell>
          <cell r="AH3547" t="str">
            <v>R87-DRN132M4270-X</v>
          </cell>
        </row>
        <row r="3548">
          <cell r="A3548" t="str">
            <v>MR003537</v>
          </cell>
          <cell r="B3548" t="str">
            <v>MR</v>
          </cell>
          <cell r="C3548">
            <v>5.5</v>
          </cell>
          <cell r="D3548">
            <v>52</v>
          </cell>
          <cell r="E3548" t="str">
            <v>R87</v>
          </cell>
          <cell r="F3548">
            <v>1000</v>
          </cell>
          <cell r="G3548" t="str">
            <v>27,88</v>
          </cell>
          <cell r="H3548" t="str">
            <v>1,5</v>
          </cell>
          <cell r="I3548" t="str">
            <v>From M1 to M4 - 20°</v>
          </cell>
          <cell r="J3548" t="str">
            <v>IE3</v>
          </cell>
          <cell r="K3548" t="str">
            <v>230/400</v>
          </cell>
          <cell r="L3548">
            <v>50</v>
          </cell>
          <cell r="M3548" t="str">
            <v>18,2/10,5</v>
          </cell>
          <cell r="N3548">
            <v>55</v>
          </cell>
          <cell r="O3548" t="str">
            <v>155(F)</v>
          </cell>
          <cell r="P3548" t="str">
            <v>270°</v>
          </cell>
          <cell r="Q3548" t="str">
            <v>-</v>
          </cell>
          <cell r="R3548" t="str">
            <v>-</v>
          </cell>
          <cell r="S3548" t="str">
            <v>-</v>
          </cell>
          <cell r="T3548" t="str">
            <v>-</v>
          </cell>
          <cell r="U3548" t="str">
            <v>-</v>
          </cell>
          <cell r="V3548" t="str">
            <v>D</v>
          </cell>
          <cell r="W3548" t="str">
            <v>-</v>
          </cell>
          <cell r="X3548" t="str">
            <v>CLP VG 220 = -15° + 40°</v>
          </cell>
          <cell r="Y3548" t="str">
            <v>R87DRN132S4</v>
          </cell>
          <cell r="Z3548" t="str">
            <v>SEW</v>
          </cell>
          <cell r="AA3548" t="str">
            <v>RAL 5005</v>
          </cell>
          <cell r="AB3548" t="str">
            <v>-</v>
          </cell>
          <cell r="AF3548">
            <v>52</v>
          </cell>
          <cell r="AG3548" t="str">
            <v>DRN132S4</v>
          </cell>
          <cell r="AH3548" t="str">
            <v>R87-DRN132S4270-X</v>
          </cell>
        </row>
        <row r="3549">
          <cell r="A3549" t="str">
            <v>MR003538</v>
          </cell>
          <cell r="B3549" t="str">
            <v>MR</v>
          </cell>
          <cell r="C3549">
            <v>15</v>
          </cell>
          <cell r="D3549">
            <v>49</v>
          </cell>
          <cell r="E3549" t="str">
            <v>FH97</v>
          </cell>
          <cell r="F3549">
            <v>2950</v>
          </cell>
          <cell r="G3549" t="str">
            <v>30,39</v>
          </cell>
          <cell r="H3549" t="str">
            <v>1,45</v>
          </cell>
          <cell r="I3549" t="str">
            <v>M1</v>
          </cell>
          <cell r="J3549" t="str">
            <v>IE3</v>
          </cell>
          <cell r="K3549" t="str">
            <v>400/690</v>
          </cell>
          <cell r="L3549">
            <v>50</v>
          </cell>
          <cell r="M3549" t="str">
            <v>29/16,7</v>
          </cell>
          <cell r="N3549">
            <v>65</v>
          </cell>
          <cell r="O3549" t="str">
            <v>155(F)</v>
          </cell>
          <cell r="P3549" t="str">
            <v>270°</v>
          </cell>
          <cell r="Q3549" t="str">
            <v>TF</v>
          </cell>
          <cell r="R3549" t="str">
            <v>-</v>
          </cell>
          <cell r="S3549" t="str">
            <v>-</v>
          </cell>
          <cell r="T3549" t="str">
            <v>-</v>
          </cell>
          <cell r="U3549" t="str">
            <v>G</v>
          </cell>
          <cell r="V3549" t="str">
            <v>D+R</v>
          </cell>
          <cell r="W3549" t="str">
            <v>-</v>
          </cell>
          <cell r="X3549" t="str">
            <v>CLP HC 150 (-30/+50°C)</v>
          </cell>
          <cell r="Y3549" t="str">
            <v>FH97/G DRN160L4 /TF</v>
          </cell>
          <cell r="Z3549" t="str">
            <v>SEW</v>
          </cell>
          <cell r="AB3549" t="str">
            <v>-</v>
          </cell>
          <cell r="AF3549">
            <v>49</v>
          </cell>
          <cell r="AG3549" t="str">
            <v>DRN160L4</v>
          </cell>
          <cell r="AH3549" t="str">
            <v>FH97G-DRN160L4270-X</v>
          </cell>
        </row>
        <row r="3550">
          <cell r="A3550" t="str">
            <v>MR003539</v>
          </cell>
          <cell r="B3550" t="str">
            <v>MR</v>
          </cell>
          <cell r="C3550">
            <v>11</v>
          </cell>
          <cell r="D3550">
            <v>48</v>
          </cell>
          <cell r="E3550" t="str">
            <v>FH97</v>
          </cell>
          <cell r="F3550">
            <v>2170</v>
          </cell>
          <cell r="G3550" t="str">
            <v>30,39</v>
          </cell>
          <cell r="H3550">
            <v>2</v>
          </cell>
          <cell r="I3550" t="str">
            <v>M1</v>
          </cell>
          <cell r="J3550" t="str">
            <v>IE3</v>
          </cell>
          <cell r="K3550" t="str">
            <v>400/690</v>
          </cell>
          <cell r="L3550">
            <v>50</v>
          </cell>
          <cell r="M3550" t="str">
            <v>21/12,2</v>
          </cell>
          <cell r="N3550">
            <v>65</v>
          </cell>
          <cell r="O3550" t="str">
            <v>155(F)</v>
          </cell>
          <cell r="P3550" t="str">
            <v>270°</v>
          </cell>
          <cell r="Q3550" t="str">
            <v>TF</v>
          </cell>
          <cell r="R3550" t="str">
            <v>-</v>
          </cell>
          <cell r="S3550" t="str">
            <v>-</v>
          </cell>
          <cell r="T3550" t="str">
            <v>-</v>
          </cell>
          <cell r="U3550" t="str">
            <v>G</v>
          </cell>
          <cell r="V3550" t="str">
            <v>D</v>
          </cell>
          <cell r="W3550" t="str">
            <v>-</v>
          </cell>
          <cell r="X3550" t="str">
            <v>CLP HC 150 (-30/+50°C)</v>
          </cell>
          <cell r="Y3550" t="str">
            <v>FH97/G DRN160M4 /TF</v>
          </cell>
          <cell r="Z3550" t="str">
            <v>SEW</v>
          </cell>
          <cell r="AB3550" t="str">
            <v>-</v>
          </cell>
          <cell r="AF3550">
            <v>48</v>
          </cell>
          <cell r="AG3550" t="str">
            <v>DRN160M4</v>
          </cell>
          <cell r="AH3550" t="str">
            <v>FH97G-DRN160M4270-X</v>
          </cell>
        </row>
        <row r="3551">
          <cell r="A3551" t="str">
            <v>MR003540</v>
          </cell>
          <cell r="B3551" t="str">
            <v>MR</v>
          </cell>
          <cell r="C3551">
            <v>9.1999999999999993</v>
          </cell>
          <cell r="D3551">
            <v>59</v>
          </cell>
          <cell r="E3551" t="str">
            <v>KH87</v>
          </cell>
          <cell r="F3551">
            <v>1480</v>
          </cell>
          <cell r="G3551" t="str">
            <v>24,92</v>
          </cell>
          <cell r="H3551" t="str">
            <v>1,7</v>
          </cell>
          <cell r="I3551" t="str">
            <v>M4A</v>
          </cell>
          <cell r="J3551" t="str">
            <v>IE3</v>
          </cell>
          <cell r="K3551" t="str">
            <v>400/690</v>
          </cell>
          <cell r="L3551">
            <v>50</v>
          </cell>
          <cell r="M3551" t="str">
            <v>18,7/10,8</v>
          </cell>
          <cell r="N3551">
            <v>65</v>
          </cell>
          <cell r="O3551" t="str">
            <v>155(F)</v>
          </cell>
          <cell r="P3551" t="str">
            <v>90°</v>
          </cell>
          <cell r="Q3551" t="str">
            <v>TF</v>
          </cell>
          <cell r="R3551" t="str">
            <v>-</v>
          </cell>
          <cell r="S3551" t="str">
            <v>-</v>
          </cell>
          <cell r="T3551" t="str">
            <v>-</v>
          </cell>
          <cell r="U3551" t="str">
            <v>T</v>
          </cell>
          <cell r="V3551" t="str">
            <v>SS+R</v>
          </cell>
          <cell r="W3551" t="str">
            <v>-</v>
          </cell>
          <cell r="X3551" t="str">
            <v>CLP HC 150 (-30/+50°C)</v>
          </cell>
          <cell r="Y3551" t="str">
            <v>KH87/T DRN132L4 /TF</v>
          </cell>
          <cell r="Z3551" t="str">
            <v>SEW</v>
          </cell>
          <cell r="AB3551" t="str">
            <v>-</v>
          </cell>
          <cell r="AF3551">
            <v>59</v>
          </cell>
          <cell r="AG3551" t="str">
            <v>DRN132L4</v>
          </cell>
          <cell r="AH3551" t="str">
            <v>KH87T-DRN132L4A90-X</v>
          </cell>
        </row>
        <row r="3552">
          <cell r="A3552" t="str">
            <v>MR003541</v>
          </cell>
          <cell r="B3552" t="str">
            <v>MR</v>
          </cell>
          <cell r="C3552">
            <v>9.1999999999999993</v>
          </cell>
          <cell r="D3552">
            <v>59</v>
          </cell>
          <cell r="E3552" t="str">
            <v>KH87</v>
          </cell>
          <cell r="F3552">
            <v>1480</v>
          </cell>
          <cell r="G3552" t="str">
            <v>24,92</v>
          </cell>
          <cell r="H3552" t="str">
            <v>1,7</v>
          </cell>
          <cell r="I3552" t="str">
            <v>M4B</v>
          </cell>
          <cell r="J3552" t="str">
            <v>IE3</v>
          </cell>
          <cell r="K3552" t="str">
            <v>400/690</v>
          </cell>
          <cell r="L3552">
            <v>50</v>
          </cell>
          <cell r="M3552" t="str">
            <v>18,7/10,8</v>
          </cell>
          <cell r="N3552">
            <v>65</v>
          </cell>
          <cell r="O3552" t="str">
            <v>155(F)</v>
          </cell>
          <cell r="P3552" t="str">
            <v>90°</v>
          </cell>
          <cell r="Q3552" t="str">
            <v>TF</v>
          </cell>
          <cell r="R3552" t="str">
            <v>-</v>
          </cell>
          <cell r="S3552" t="str">
            <v>-</v>
          </cell>
          <cell r="T3552" t="str">
            <v>-</v>
          </cell>
          <cell r="U3552" t="str">
            <v>T</v>
          </cell>
          <cell r="V3552" t="str">
            <v>SS+R</v>
          </cell>
          <cell r="W3552" t="str">
            <v>-</v>
          </cell>
          <cell r="X3552" t="str">
            <v>CLP HC 150 (-30/+50°C)</v>
          </cell>
          <cell r="Y3552" t="str">
            <v>KH87/T DRN132L4 /TF</v>
          </cell>
          <cell r="Z3552" t="str">
            <v>SEW</v>
          </cell>
          <cell r="AB3552" t="str">
            <v>-</v>
          </cell>
          <cell r="AF3552">
            <v>59</v>
          </cell>
          <cell r="AG3552" t="str">
            <v>DRN132L4</v>
          </cell>
          <cell r="AH3552" t="str">
            <v>KH87T-DRN132L4B90-X</v>
          </cell>
        </row>
        <row r="3553">
          <cell r="A3553" t="str">
            <v>MR003542</v>
          </cell>
          <cell r="B3553" t="str">
            <v>MR</v>
          </cell>
          <cell r="C3553">
            <v>1.5</v>
          </cell>
          <cell r="D3553">
            <v>5.9</v>
          </cell>
          <cell r="E3553" t="str">
            <v>KH87R57</v>
          </cell>
          <cell r="F3553">
            <v>2270</v>
          </cell>
          <cell r="G3553">
            <v>250</v>
          </cell>
          <cell r="H3553" t="str">
            <v>1,2</v>
          </cell>
          <cell r="I3553" t="str">
            <v>M4A</v>
          </cell>
          <cell r="J3553" t="str">
            <v>IE3</v>
          </cell>
          <cell r="K3553" t="str">
            <v>230/400</v>
          </cell>
          <cell r="L3553">
            <v>50</v>
          </cell>
          <cell r="M3553" t="str">
            <v>5,9/3,4</v>
          </cell>
          <cell r="N3553">
            <v>65</v>
          </cell>
          <cell r="O3553" t="str">
            <v>155(F)</v>
          </cell>
          <cell r="P3553" t="str">
            <v>270°</v>
          </cell>
          <cell r="Q3553" t="str">
            <v>TF</v>
          </cell>
          <cell r="R3553" t="str">
            <v>-</v>
          </cell>
          <cell r="S3553" t="str">
            <v>-</v>
          </cell>
          <cell r="T3553" t="str">
            <v>-</v>
          </cell>
          <cell r="U3553" t="str">
            <v>T</v>
          </cell>
          <cell r="V3553" t="str">
            <v>SS</v>
          </cell>
          <cell r="W3553" t="str">
            <v>-</v>
          </cell>
          <cell r="X3553" t="str">
            <v>CLP HC 150 (-30/+50°C)</v>
          </cell>
          <cell r="Y3553" t="str">
            <v>KH87R57/T DRN90L4 /TF</v>
          </cell>
          <cell r="Z3553" t="str">
            <v>SEW</v>
          </cell>
          <cell r="AB3553" t="str">
            <v>-</v>
          </cell>
          <cell r="AF3553">
            <v>5.9</v>
          </cell>
          <cell r="AG3553" t="str">
            <v>DRN90L4</v>
          </cell>
          <cell r="AH3553" t="str">
            <v>KH87R57T-DRN90L4A270-X</v>
          </cell>
        </row>
        <row r="3554">
          <cell r="A3554" t="str">
            <v>MR003543</v>
          </cell>
          <cell r="B3554" t="str">
            <v>MR</v>
          </cell>
          <cell r="C3554">
            <v>15</v>
          </cell>
          <cell r="D3554">
            <v>48</v>
          </cell>
          <cell r="E3554" t="str">
            <v>KH97</v>
          </cell>
          <cell r="F3554">
            <v>2990</v>
          </cell>
          <cell r="G3554" t="str">
            <v>30,82</v>
          </cell>
          <cell r="H3554" t="str">
            <v>1,45</v>
          </cell>
          <cell r="I3554" t="str">
            <v>M4A</v>
          </cell>
          <cell r="J3554" t="str">
            <v>IE3</v>
          </cell>
          <cell r="K3554" t="str">
            <v>400/690</v>
          </cell>
          <cell r="L3554">
            <v>50</v>
          </cell>
          <cell r="M3554" t="str">
            <v>29/16,7</v>
          </cell>
          <cell r="N3554">
            <v>65</v>
          </cell>
          <cell r="O3554" t="str">
            <v>155(F)</v>
          </cell>
          <cell r="P3554" t="str">
            <v>270°</v>
          </cell>
          <cell r="Q3554" t="str">
            <v>TF</v>
          </cell>
          <cell r="R3554" t="str">
            <v>-</v>
          </cell>
          <cell r="S3554" t="str">
            <v>Free rotation CCW</v>
          </cell>
          <cell r="T3554" t="str">
            <v>-</v>
          </cell>
          <cell r="U3554" t="str">
            <v>T</v>
          </cell>
          <cell r="V3554" t="str">
            <v>SS</v>
          </cell>
          <cell r="W3554" t="str">
            <v>-</v>
          </cell>
          <cell r="X3554" t="str">
            <v>CLP HC 150 (-30/+50°C)</v>
          </cell>
          <cell r="Y3554" t="str">
            <v>KH97/T DRN160L4 /RS /TF</v>
          </cell>
          <cell r="Z3554" t="str">
            <v>SEW</v>
          </cell>
          <cell r="AB3554" t="str">
            <v>-</v>
          </cell>
          <cell r="AF3554">
            <v>48</v>
          </cell>
          <cell r="AG3554" t="str">
            <v>DRN160L4</v>
          </cell>
          <cell r="AH3554" t="str">
            <v>KH97T-DRN160L4A270-X</v>
          </cell>
        </row>
        <row r="3555">
          <cell r="A3555" t="str">
            <v>MR003544</v>
          </cell>
          <cell r="B3555" t="str">
            <v>MR</v>
          </cell>
          <cell r="C3555">
            <v>15</v>
          </cell>
          <cell r="D3555">
            <v>45</v>
          </cell>
          <cell r="E3555" t="str">
            <v>FH97</v>
          </cell>
          <cell r="F3555">
            <v>3150</v>
          </cell>
          <cell r="G3555" t="str">
            <v>32,5</v>
          </cell>
          <cell r="H3555" t="str">
            <v>1,35</v>
          </cell>
          <cell r="I3555" t="str">
            <v>M1</v>
          </cell>
          <cell r="J3555" t="str">
            <v>IE3</v>
          </cell>
          <cell r="K3555" t="str">
            <v>400/690</v>
          </cell>
          <cell r="L3555">
            <v>50</v>
          </cell>
          <cell r="M3555" t="str">
            <v>29/16,7</v>
          </cell>
          <cell r="N3555">
            <v>65</v>
          </cell>
          <cell r="O3555" t="str">
            <v>155(F)</v>
          </cell>
          <cell r="P3555" t="str">
            <v>270°</v>
          </cell>
          <cell r="Q3555" t="str">
            <v>TF</v>
          </cell>
          <cell r="R3555" t="str">
            <v>-</v>
          </cell>
          <cell r="S3555" t="str">
            <v>-</v>
          </cell>
          <cell r="T3555" t="str">
            <v>-</v>
          </cell>
          <cell r="U3555" t="str">
            <v>G</v>
          </cell>
          <cell r="V3555" t="str">
            <v>D+R</v>
          </cell>
          <cell r="W3555" t="str">
            <v>-</v>
          </cell>
          <cell r="X3555" t="str">
            <v>CLP HC 150 (-30/+50°C)</v>
          </cell>
          <cell r="Y3555" t="str">
            <v>FH97/G DRN160L4 /TF</v>
          </cell>
          <cell r="Z3555" t="str">
            <v>SEW</v>
          </cell>
          <cell r="AB3555" t="str">
            <v>-</v>
          </cell>
          <cell r="AF3555">
            <v>45</v>
          </cell>
          <cell r="AG3555" t="str">
            <v>DRN160L4</v>
          </cell>
          <cell r="AH3555" t="str">
            <v>FH97G-DRN160L4270-X</v>
          </cell>
        </row>
        <row r="3556">
          <cell r="A3556" t="str">
            <v>MR003545</v>
          </cell>
          <cell r="B3556" t="str">
            <v>MR</v>
          </cell>
          <cell r="C3556">
            <v>15</v>
          </cell>
          <cell r="D3556">
            <v>45</v>
          </cell>
          <cell r="E3556" t="str">
            <v>FH97</v>
          </cell>
          <cell r="F3556">
            <v>3150</v>
          </cell>
          <cell r="G3556" t="str">
            <v>32,5</v>
          </cell>
          <cell r="H3556" t="str">
            <v>1,35</v>
          </cell>
          <cell r="I3556" t="str">
            <v>M1</v>
          </cell>
          <cell r="J3556" t="str">
            <v>IE3</v>
          </cell>
          <cell r="K3556" t="str">
            <v>400/690</v>
          </cell>
          <cell r="L3556">
            <v>50</v>
          </cell>
          <cell r="M3556" t="str">
            <v>29/16,7</v>
          </cell>
          <cell r="N3556">
            <v>65</v>
          </cell>
          <cell r="O3556" t="str">
            <v>155(F)</v>
          </cell>
          <cell r="P3556" t="str">
            <v>270°</v>
          </cell>
          <cell r="Q3556" t="str">
            <v>TF</v>
          </cell>
          <cell r="R3556" t="str">
            <v>-</v>
          </cell>
          <cell r="S3556" t="str">
            <v>-</v>
          </cell>
          <cell r="T3556" t="str">
            <v>-</v>
          </cell>
          <cell r="U3556" t="str">
            <v>G</v>
          </cell>
          <cell r="V3556" t="str">
            <v>D</v>
          </cell>
          <cell r="W3556" t="str">
            <v>-</v>
          </cell>
          <cell r="X3556" t="str">
            <v>CLP HC 150 (-30/+50°C)</v>
          </cell>
          <cell r="Y3556" t="str">
            <v>FH97/G DRN160L4 /TF</v>
          </cell>
          <cell r="Z3556" t="str">
            <v>SEW</v>
          </cell>
          <cell r="AB3556" t="str">
            <v>-</v>
          </cell>
          <cell r="AF3556">
            <v>45</v>
          </cell>
          <cell r="AG3556" t="str">
            <v>DRN160L4</v>
          </cell>
          <cell r="AH3556" t="str">
            <v>FH97G-DRN160L4270-X</v>
          </cell>
        </row>
        <row r="3557">
          <cell r="A3557" t="str">
            <v>MR003546</v>
          </cell>
          <cell r="B3557" t="str">
            <v>MR</v>
          </cell>
          <cell r="C3557">
            <v>11</v>
          </cell>
          <cell r="D3557">
            <v>45</v>
          </cell>
          <cell r="E3557" t="str">
            <v>FH97</v>
          </cell>
          <cell r="F3557">
            <v>2310</v>
          </cell>
          <cell r="G3557">
            <v>32.5</v>
          </cell>
          <cell r="H3557">
            <v>1.85</v>
          </cell>
          <cell r="I3557" t="str">
            <v>M1</v>
          </cell>
          <cell r="J3557" t="str">
            <v>IE3</v>
          </cell>
          <cell r="K3557" t="str">
            <v>400/690</v>
          </cell>
          <cell r="L3557">
            <v>50</v>
          </cell>
          <cell r="M3557" t="str">
            <v>21/12,2</v>
          </cell>
          <cell r="N3557">
            <v>65</v>
          </cell>
          <cell r="O3557" t="str">
            <v>155(F)</v>
          </cell>
          <cell r="P3557" t="str">
            <v>270°</v>
          </cell>
          <cell r="Q3557" t="str">
            <v>TF</v>
          </cell>
          <cell r="R3557" t="str">
            <v>-</v>
          </cell>
          <cell r="S3557" t="str">
            <v>-</v>
          </cell>
          <cell r="T3557" t="str">
            <v>-</v>
          </cell>
          <cell r="U3557" t="str">
            <v>G</v>
          </cell>
          <cell r="V3557" t="str">
            <v>D</v>
          </cell>
          <cell r="W3557" t="str">
            <v>-</v>
          </cell>
          <cell r="X3557" t="str">
            <v>CLP HC 150 (-30/+50°C)</v>
          </cell>
          <cell r="Y3557" t="str">
            <v>FH97/G DRN160M4 /TF</v>
          </cell>
          <cell r="Z3557" t="str">
            <v>SEW</v>
          </cell>
          <cell r="AB3557" t="str">
            <v>-</v>
          </cell>
          <cell r="AF3557">
            <v>45</v>
          </cell>
          <cell r="AG3557" t="str">
            <v>DRN160M4</v>
          </cell>
          <cell r="AH3557" t="str">
            <v>FH97G-DRN160M4270-X</v>
          </cell>
        </row>
        <row r="3558">
          <cell r="A3558" t="str">
            <v>MR003547</v>
          </cell>
          <cell r="B3558" t="str">
            <v>MR</v>
          </cell>
          <cell r="C3558">
            <v>37</v>
          </cell>
          <cell r="D3558">
            <v>110</v>
          </cell>
          <cell r="E3558" t="str">
            <v>KH107</v>
          </cell>
          <cell r="F3558">
            <v>3200</v>
          </cell>
          <cell r="G3558">
            <v>13.43</v>
          </cell>
          <cell r="H3558">
            <v>1.35</v>
          </cell>
          <cell r="I3558" t="str">
            <v>M4A</v>
          </cell>
          <cell r="J3558" t="str">
            <v>IE3</v>
          </cell>
          <cell r="K3558" t="str">
            <v>400/690</v>
          </cell>
          <cell r="L3558">
            <v>50</v>
          </cell>
          <cell r="M3558" t="str">
            <v>64/37</v>
          </cell>
          <cell r="N3558">
            <v>65</v>
          </cell>
          <cell r="O3558" t="str">
            <v>155(F)</v>
          </cell>
          <cell r="P3558" t="str">
            <v>270°</v>
          </cell>
          <cell r="Q3558" t="str">
            <v>TF</v>
          </cell>
          <cell r="R3558" t="str">
            <v>-</v>
          </cell>
          <cell r="S3558" t="str">
            <v>-</v>
          </cell>
          <cell r="T3558" t="str">
            <v>-</v>
          </cell>
          <cell r="U3558" t="str">
            <v>T</v>
          </cell>
          <cell r="V3558" t="str">
            <v>SS</v>
          </cell>
          <cell r="W3558" t="str">
            <v>-</v>
          </cell>
          <cell r="X3558" t="str">
            <v>CLP HC 150 (-30/+50°C)</v>
          </cell>
          <cell r="Y3558" t="str">
            <v>KH107/T DRN225S4 /TF</v>
          </cell>
          <cell r="Z3558" t="str">
            <v>SEW</v>
          </cell>
          <cell r="AB3558" t="str">
            <v>-</v>
          </cell>
          <cell r="AF3558">
            <v>110</v>
          </cell>
          <cell r="AG3558" t="str">
            <v>DRN225S4</v>
          </cell>
          <cell r="AH3558" t="str">
            <v>KH107T-DRN225S4A270-X</v>
          </cell>
        </row>
        <row r="3559">
          <cell r="A3559" t="str">
            <v>MR003548</v>
          </cell>
          <cell r="B3559" t="str">
            <v>MR</v>
          </cell>
          <cell r="C3559">
            <v>0.75</v>
          </cell>
          <cell r="D3559">
            <v>162</v>
          </cell>
          <cell r="E3559" t="str">
            <v>KH37</v>
          </cell>
          <cell r="F3559">
            <v>44</v>
          </cell>
          <cell r="G3559">
            <v>8.91</v>
          </cell>
          <cell r="H3559">
            <v>3.6</v>
          </cell>
          <cell r="I3559" t="str">
            <v>M3A</v>
          </cell>
          <cell r="J3559" t="str">
            <v>IE3</v>
          </cell>
          <cell r="K3559" t="str">
            <v>230/400</v>
          </cell>
          <cell r="L3559">
            <v>50</v>
          </cell>
          <cell r="M3559" t="str">
            <v>3,05/1,75</v>
          </cell>
          <cell r="N3559">
            <v>65</v>
          </cell>
          <cell r="O3559" t="str">
            <v>155(F)</v>
          </cell>
          <cell r="P3559" t="str">
            <v>270°</v>
          </cell>
          <cell r="Q3559" t="str">
            <v>TF</v>
          </cell>
          <cell r="R3559" t="str">
            <v>-</v>
          </cell>
          <cell r="S3559" t="str">
            <v>-</v>
          </cell>
          <cell r="T3559" t="str">
            <v>-</v>
          </cell>
          <cell r="U3559" t="str">
            <v>T</v>
          </cell>
          <cell r="V3559" t="str">
            <v>D</v>
          </cell>
          <cell r="W3559" t="str">
            <v>-</v>
          </cell>
          <cell r="X3559" t="str">
            <v>CLP HC 150 (-30/+50°C)</v>
          </cell>
          <cell r="Y3559" t="str">
            <v>KH37/T DRN80M4 /TF</v>
          </cell>
          <cell r="Z3559" t="str">
            <v>SEW</v>
          </cell>
          <cell r="AB3559" t="str">
            <v>-</v>
          </cell>
          <cell r="AF3559">
            <v>162</v>
          </cell>
          <cell r="AG3559" t="str">
            <v>DRN80M4</v>
          </cell>
          <cell r="AH3559" t="str">
            <v>KH37T-DRN80M4A270-X</v>
          </cell>
        </row>
        <row r="3560">
          <cell r="A3560" t="str">
            <v>MR003549</v>
          </cell>
          <cell r="B3560" t="str">
            <v>MR</v>
          </cell>
          <cell r="C3560">
            <v>0.37</v>
          </cell>
          <cell r="D3560">
            <v>6.2</v>
          </cell>
          <cell r="E3560" t="str">
            <v>FH67</v>
          </cell>
          <cell r="F3560">
            <v>570</v>
          </cell>
          <cell r="G3560">
            <v>229</v>
          </cell>
          <cell r="H3560">
            <v>1.45</v>
          </cell>
          <cell r="I3560" t="str">
            <v>M5</v>
          </cell>
          <cell r="J3560" t="str">
            <v>IE3</v>
          </cell>
          <cell r="K3560" t="str">
            <v>230/400</v>
          </cell>
          <cell r="L3560">
            <v>50</v>
          </cell>
          <cell r="M3560" t="str">
            <v>1,78/1,02</v>
          </cell>
          <cell r="N3560">
            <v>65</v>
          </cell>
          <cell r="O3560" t="str">
            <v>155(F)</v>
          </cell>
          <cell r="P3560" t="str">
            <v>270°</v>
          </cell>
          <cell r="Q3560" t="str">
            <v>TF</v>
          </cell>
          <cell r="R3560" t="str">
            <v>-</v>
          </cell>
          <cell r="S3560" t="str">
            <v>-</v>
          </cell>
          <cell r="T3560" t="str">
            <v>-</v>
          </cell>
          <cell r="U3560" t="str">
            <v>G</v>
          </cell>
          <cell r="V3560" t="str">
            <v>D</v>
          </cell>
          <cell r="W3560" t="str">
            <v>-</v>
          </cell>
          <cell r="X3560" t="str">
            <v>CLP HC 150 (-30/+50°C)</v>
          </cell>
          <cell r="Y3560" t="str">
            <v>FH67/G DRN71M4 /TF</v>
          </cell>
          <cell r="Z3560" t="str">
            <v>SEW</v>
          </cell>
          <cell r="AB3560" t="str">
            <v>-</v>
          </cell>
          <cell r="AF3560">
            <v>6.2</v>
          </cell>
          <cell r="AG3560" t="str">
            <v>DRN71M4</v>
          </cell>
          <cell r="AH3560" t="str">
            <v>FH67G-DRN71M4270-X</v>
          </cell>
        </row>
        <row r="3561">
          <cell r="A3561" t="str">
            <v>MR003550</v>
          </cell>
          <cell r="B3561" t="str">
            <v>MR</v>
          </cell>
          <cell r="C3561">
            <v>5.5</v>
          </cell>
          <cell r="D3561">
            <v>62</v>
          </cell>
          <cell r="E3561" t="str">
            <v>FH87</v>
          </cell>
          <cell r="F3561">
            <v>850</v>
          </cell>
          <cell r="G3561">
            <v>23.68</v>
          </cell>
          <cell r="H3561">
            <v>3.5</v>
          </cell>
          <cell r="I3561" t="str">
            <v>M1</v>
          </cell>
          <cell r="J3561" t="str">
            <v>IE3</v>
          </cell>
          <cell r="K3561" t="str">
            <v>230/400</v>
          </cell>
          <cell r="L3561">
            <v>50</v>
          </cell>
          <cell r="M3561" t="str">
            <v>18,2/10,5</v>
          </cell>
          <cell r="N3561">
            <v>65</v>
          </cell>
          <cell r="O3561" t="str">
            <v>155(F)</v>
          </cell>
          <cell r="P3561" t="str">
            <v>270°</v>
          </cell>
          <cell r="Q3561" t="str">
            <v>TF</v>
          </cell>
          <cell r="R3561" t="str">
            <v>-</v>
          </cell>
          <cell r="S3561" t="str">
            <v>-</v>
          </cell>
          <cell r="T3561" t="str">
            <v>-</v>
          </cell>
          <cell r="U3561" t="str">
            <v>G</v>
          </cell>
          <cell r="V3561" t="str">
            <v>D</v>
          </cell>
          <cell r="W3561" t="str">
            <v>-</v>
          </cell>
          <cell r="X3561" t="str">
            <v>CLP HC 150 (-30/+50°C)</v>
          </cell>
          <cell r="Y3561" t="str">
            <v>FH87/G DRN132S4 /TF</v>
          </cell>
          <cell r="Z3561" t="str">
            <v>SEW</v>
          </cell>
          <cell r="AB3561" t="str">
            <v>-</v>
          </cell>
          <cell r="AF3561">
            <v>62</v>
          </cell>
          <cell r="AG3561" t="str">
            <v>DRN132S4</v>
          </cell>
          <cell r="AH3561" t="str">
            <v>FH87G-DRN132S4270-X</v>
          </cell>
        </row>
        <row r="3562">
          <cell r="A3562" t="str">
            <v>MR003551</v>
          </cell>
          <cell r="B3562" t="str">
            <v>MR</v>
          </cell>
          <cell r="C3562">
            <v>11</v>
          </cell>
          <cell r="D3562">
            <v>45</v>
          </cell>
          <cell r="E3562" t="str">
            <v>FH97</v>
          </cell>
          <cell r="F3562">
            <v>2310</v>
          </cell>
          <cell r="G3562">
            <v>32.5</v>
          </cell>
          <cell r="H3562">
            <v>1.85</v>
          </cell>
          <cell r="I3562" t="str">
            <v>M1</v>
          </cell>
          <cell r="J3562" t="str">
            <v>IE3</v>
          </cell>
          <cell r="K3562" t="str">
            <v>400/690</v>
          </cell>
          <cell r="L3562">
            <v>50</v>
          </cell>
          <cell r="M3562" t="str">
            <v>21/12,2</v>
          </cell>
          <cell r="N3562">
            <v>65</v>
          </cell>
          <cell r="O3562" t="str">
            <v>155(F)</v>
          </cell>
          <cell r="P3562" t="str">
            <v>270°</v>
          </cell>
          <cell r="Q3562" t="str">
            <v>TF</v>
          </cell>
          <cell r="R3562" t="str">
            <v>-</v>
          </cell>
          <cell r="S3562" t="str">
            <v>-</v>
          </cell>
          <cell r="T3562" t="str">
            <v>-</v>
          </cell>
          <cell r="U3562" t="str">
            <v>G</v>
          </cell>
          <cell r="V3562" t="str">
            <v>D+R</v>
          </cell>
          <cell r="W3562" t="str">
            <v>-</v>
          </cell>
          <cell r="X3562" t="str">
            <v>CLP HC 150 (-30/+50°C)</v>
          </cell>
          <cell r="Y3562" t="str">
            <v>FH97/G DRN160M4 /TF</v>
          </cell>
          <cell r="Z3562" t="str">
            <v>SEW</v>
          </cell>
          <cell r="AF3562">
            <v>45</v>
          </cell>
          <cell r="AG3562" t="str">
            <v>DRN160M4</v>
          </cell>
          <cell r="AH3562" t="str">
            <v>FH97G-DRN160M4270-X</v>
          </cell>
        </row>
        <row r="3563">
          <cell r="A3563" t="str">
            <v>MR003552</v>
          </cell>
          <cell r="B3563" t="str">
            <v>MR</v>
          </cell>
          <cell r="C3563">
            <v>22</v>
          </cell>
          <cell r="D3563">
            <v>12</v>
          </cell>
          <cell r="E3563" t="str">
            <v>KH157</v>
          </cell>
          <cell r="F3563">
            <v>17400</v>
          </cell>
          <cell r="G3563">
            <v>122.39</v>
          </cell>
          <cell r="H3563">
            <v>1.1499999999999999</v>
          </cell>
          <cell r="I3563" t="str">
            <v>M1A</v>
          </cell>
          <cell r="J3563" t="str">
            <v>IE3</v>
          </cell>
          <cell r="K3563" t="str">
            <v>400/690</v>
          </cell>
          <cell r="L3563">
            <v>50</v>
          </cell>
          <cell r="M3563" t="str">
            <v>38,5/22,5</v>
          </cell>
          <cell r="N3563">
            <v>65</v>
          </cell>
          <cell r="O3563" t="str">
            <v>155(F)</v>
          </cell>
          <cell r="P3563" t="str">
            <v>270°</v>
          </cell>
          <cell r="Q3563" t="str">
            <v>TF</v>
          </cell>
          <cell r="R3563" t="str">
            <v>V(VE)</v>
          </cell>
          <cell r="S3563" t="str">
            <v>-</v>
          </cell>
          <cell r="T3563" t="str">
            <v>-</v>
          </cell>
          <cell r="U3563" t="str">
            <v>-</v>
          </cell>
          <cell r="V3563" t="str">
            <v>FC</v>
          </cell>
          <cell r="W3563" t="str">
            <v>-</v>
          </cell>
          <cell r="X3563" t="str">
            <v>CLP HC 150 (-30/+50°C)</v>
          </cell>
          <cell r="Y3563" t="str">
            <v>KH157DRN180L4 /TF/V</v>
          </cell>
          <cell r="Z3563" t="str">
            <v>SEW</v>
          </cell>
          <cell r="AB3563" t="str">
            <v>-</v>
          </cell>
          <cell r="AF3563">
            <v>12</v>
          </cell>
          <cell r="AG3563" t="str">
            <v>DRN180L4</v>
          </cell>
          <cell r="AH3563" t="str">
            <v>KH157-DRN180L4A270-X#</v>
          </cell>
        </row>
        <row r="3564">
          <cell r="A3564" t="str">
            <v>MR003553</v>
          </cell>
          <cell r="B3564" t="str">
            <v>MR</v>
          </cell>
          <cell r="C3564">
            <v>22</v>
          </cell>
          <cell r="D3564">
            <v>12</v>
          </cell>
          <cell r="E3564" t="str">
            <v>KH157</v>
          </cell>
          <cell r="F3564">
            <v>17400</v>
          </cell>
          <cell r="G3564">
            <v>122.39</v>
          </cell>
          <cell r="H3564">
            <v>1.1499999999999999</v>
          </cell>
          <cell r="I3564" t="str">
            <v>M1B</v>
          </cell>
          <cell r="J3564" t="str">
            <v>IE3</v>
          </cell>
          <cell r="K3564" t="str">
            <v>400/690</v>
          </cell>
          <cell r="L3564">
            <v>50</v>
          </cell>
          <cell r="M3564" t="str">
            <v>38,5/22,5</v>
          </cell>
          <cell r="N3564">
            <v>65</v>
          </cell>
          <cell r="O3564" t="str">
            <v>155(F)</v>
          </cell>
          <cell r="P3564" t="str">
            <v>270°</v>
          </cell>
          <cell r="Q3564" t="str">
            <v>TF</v>
          </cell>
          <cell r="R3564" t="str">
            <v>V(VE)</v>
          </cell>
          <cell r="S3564" t="str">
            <v>-</v>
          </cell>
          <cell r="T3564" t="str">
            <v>-</v>
          </cell>
          <cell r="U3564" t="str">
            <v>-</v>
          </cell>
          <cell r="V3564" t="str">
            <v>FC</v>
          </cell>
          <cell r="W3564" t="str">
            <v>-</v>
          </cell>
          <cell r="X3564" t="str">
            <v>CLP HC 150 (-30/+50°C)</v>
          </cell>
          <cell r="Y3564" t="str">
            <v>KH157DRN180L4 /TF/V</v>
          </cell>
          <cell r="Z3564" t="str">
            <v>SEW</v>
          </cell>
          <cell r="AB3564" t="str">
            <v>-</v>
          </cell>
          <cell r="AF3564">
            <v>12</v>
          </cell>
          <cell r="AG3564" t="str">
            <v>DRN180L4</v>
          </cell>
          <cell r="AH3564" t="str">
            <v>KH157-DRN180L4B270-X#</v>
          </cell>
        </row>
        <row r="3565">
          <cell r="A3565" t="str">
            <v>MR003554</v>
          </cell>
          <cell r="B3565" t="str">
            <v>MR</v>
          </cell>
          <cell r="C3565">
            <v>1.5</v>
          </cell>
          <cell r="D3565">
            <v>22</v>
          </cell>
          <cell r="E3565" t="str">
            <v>FH67</v>
          </cell>
          <cell r="F3565">
            <v>660</v>
          </cell>
          <cell r="G3565">
            <v>67.650000000000006</v>
          </cell>
          <cell r="H3565">
            <v>1.25</v>
          </cell>
          <cell r="I3565" t="str">
            <v>M6</v>
          </cell>
          <cell r="J3565" t="str">
            <v>IE3</v>
          </cell>
          <cell r="K3565" t="str">
            <v>230/400</v>
          </cell>
          <cell r="L3565">
            <v>50</v>
          </cell>
          <cell r="M3565" t="str">
            <v>5,9/3,4</v>
          </cell>
          <cell r="N3565">
            <v>65</v>
          </cell>
          <cell r="O3565" t="str">
            <v>155(F)</v>
          </cell>
          <cell r="P3565" t="str">
            <v>270°</v>
          </cell>
          <cell r="Q3565" t="str">
            <v>TF</v>
          </cell>
          <cell r="R3565" t="str">
            <v>-</v>
          </cell>
          <cell r="S3565" t="str">
            <v>-</v>
          </cell>
          <cell r="T3565" t="str">
            <v>BEHF</v>
          </cell>
          <cell r="U3565" t="str">
            <v>G</v>
          </cell>
          <cell r="V3565" t="str">
            <v>D+R</v>
          </cell>
          <cell r="W3565" t="str">
            <v>-</v>
          </cell>
          <cell r="X3565" t="str">
            <v>CLP HC 150 (-30/+50°C)</v>
          </cell>
          <cell r="Y3565" t="str">
            <v>FH67/G DRN90L4 /BEHF /TF</v>
          </cell>
          <cell r="Z3565" t="str">
            <v>SEW</v>
          </cell>
          <cell r="AB3565" t="str">
            <v>-</v>
          </cell>
          <cell r="AF3565">
            <v>22</v>
          </cell>
          <cell r="AG3565" t="str">
            <v>DRN90L4</v>
          </cell>
          <cell r="AH3565" t="str">
            <v>FH67G-DRN90L4270-X</v>
          </cell>
        </row>
        <row r="3566">
          <cell r="A3566" t="str">
            <v>MR003555</v>
          </cell>
          <cell r="B3566" t="str">
            <v>MR</v>
          </cell>
          <cell r="C3566">
            <v>30</v>
          </cell>
          <cell r="D3566">
            <v>15</v>
          </cell>
          <cell r="E3566" t="str">
            <v>KH157</v>
          </cell>
          <cell r="F3566">
            <v>19400</v>
          </cell>
          <cell r="G3566">
            <v>100.22</v>
          </cell>
          <cell r="H3566">
            <v>1.05</v>
          </cell>
          <cell r="I3566" t="str">
            <v>From M1A to M2A-35°</v>
          </cell>
          <cell r="J3566" t="str">
            <v>IE3</v>
          </cell>
          <cell r="K3566" t="str">
            <v>400/690</v>
          </cell>
          <cell r="L3566">
            <v>50</v>
          </cell>
          <cell r="M3566" t="str">
            <v>56/32,5</v>
          </cell>
          <cell r="N3566">
            <v>65</v>
          </cell>
          <cell r="O3566" t="str">
            <v>155(F)</v>
          </cell>
          <cell r="P3566" t="str">
            <v>270°</v>
          </cell>
          <cell r="Q3566" t="str">
            <v>TF</v>
          </cell>
          <cell r="R3566" t="str">
            <v>V(VE)</v>
          </cell>
          <cell r="S3566" t="str">
            <v>-</v>
          </cell>
          <cell r="T3566" t="str">
            <v>-</v>
          </cell>
          <cell r="U3566" t="str">
            <v>-</v>
          </cell>
          <cell r="V3566" t="str">
            <v>FC</v>
          </cell>
          <cell r="W3566" t="str">
            <v>-</v>
          </cell>
          <cell r="X3566" t="str">
            <v>CLP HC 150 (-30/+50°C)</v>
          </cell>
          <cell r="Y3566" t="str">
            <v>KH157DRN200L4 /TF/V</v>
          </cell>
          <cell r="Z3566" t="str">
            <v>SEW</v>
          </cell>
          <cell r="AB3566" t="str">
            <v>-</v>
          </cell>
          <cell r="AF3566">
            <v>15</v>
          </cell>
          <cell r="AG3566" t="str">
            <v>DRN200L4</v>
          </cell>
          <cell r="AH3566" t="str">
            <v>KH157-DRN200L4A270-X#</v>
          </cell>
        </row>
        <row r="3567">
          <cell r="A3567" t="str">
            <v>MR003556</v>
          </cell>
          <cell r="B3567" t="str">
            <v>MR</v>
          </cell>
          <cell r="C3567">
            <v>30</v>
          </cell>
          <cell r="D3567">
            <v>15</v>
          </cell>
          <cell r="E3567" t="str">
            <v>KH157</v>
          </cell>
          <cell r="F3567">
            <v>19400</v>
          </cell>
          <cell r="G3567">
            <v>100.22</v>
          </cell>
          <cell r="H3567">
            <v>1.05</v>
          </cell>
          <cell r="I3567" t="str">
            <v>From M1B to M2B-35°</v>
          </cell>
          <cell r="J3567" t="str">
            <v>IE3</v>
          </cell>
          <cell r="K3567" t="str">
            <v>400/690</v>
          </cell>
          <cell r="L3567">
            <v>50</v>
          </cell>
          <cell r="M3567" t="str">
            <v>56/32,5</v>
          </cell>
          <cell r="N3567">
            <v>65</v>
          </cell>
          <cell r="O3567" t="str">
            <v>155(F)</v>
          </cell>
          <cell r="P3567" t="str">
            <v>270°</v>
          </cell>
          <cell r="Q3567" t="str">
            <v>TF</v>
          </cell>
          <cell r="R3567" t="str">
            <v>V(VE)</v>
          </cell>
          <cell r="S3567" t="str">
            <v>-</v>
          </cell>
          <cell r="T3567" t="str">
            <v>-</v>
          </cell>
          <cell r="U3567" t="str">
            <v>-</v>
          </cell>
          <cell r="V3567" t="str">
            <v>FC</v>
          </cell>
          <cell r="W3567" t="str">
            <v>-</v>
          </cell>
          <cell r="X3567" t="str">
            <v>CLP HC 150 (-30/+50°C)</v>
          </cell>
          <cell r="Y3567" t="str">
            <v>KH157DRN200L4 /TF/V</v>
          </cell>
          <cell r="Z3567" t="str">
            <v>SEW</v>
          </cell>
          <cell r="AB3567" t="str">
            <v>-</v>
          </cell>
          <cell r="AF3567">
            <v>15</v>
          </cell>
          <cell r="AG3567" t="str">
            <v>DRN200L4</v>
          </cell>
          <cell r="AH3567" t="str">
            <v>KH157-DRN200L4B270-X#</v>
          </cell>
        </row>
        <row r="3568">
          <cell r="A3568" t="str">
            <v>MR003557</v>
          </cell>
          <cell r="B3568" t="str">
            <v>MR</v>
          </cell>
          <cell r="C3568">
            <v>11</v>
          </cell>
          <cell r="D3568">
            <v>62</v>
          </cell>
          <cell r="E3568" t="str">
            <v>FH87</v>
          </cell>
          <cell r="F3568">
            <v>1690</v>
          </cell>
          <cell r="G3568">
            <v>23.68</v>
          </cell>
          <cell r="H3568">
            <v>1.8</v>
          </cell>
          <cell r="I3568" t="str">
            <v>M1</v>
          </cell>
          <cell r="J3568" t="str">
            <v>IE3</v>
          </cell>
          <cell r="K3568" t="str">
            <v>400/690</v>
          </cell>
          <cell r="L3568">
            <v>50</v>
          </cell>
          <cell r="M3568" t="str">
            <v>21/12,2</v>
          </cell>
          <cell r="N3568">
            <v>65</v>
          </cell>
          <cell r="O3568" t="str">
            <v>155(F)</v>
          </cell>
          <cell r="P3568" t="str">
            <v>270°</v>
          </cell>
          <cell r="Q3568" t="str">
            <v>TF</v>
          </cell>
          <cell r="R3568" t="str">
            <v>-</v>
          </cell>
          <cell r="S3568" t="str">
            <v>-</v>
          </cell>
          <cell r="T3568" t="str">
            <v>-</v>
          </cell>
          <cell r="U3568" t="str">
            <v>G</v>
          </cell>
          <cell r="V3568" t="str">
            <v>D</v>
          </cell>
          <cell r="W3568" t="str">
            <v>-</v>
          </cell>
          <cell r="X3568" t="str">
            <v>CLP HC 150 (-30/+50°C)</v>
          </cell>
          <cell r="Y3568" t="str">
            <v>FH87/G DRN160M4 /TF</v>
          </cell>
          <cell r="Z3568" t="str">
            <v>SEW</v>
          </cell>
          <cell r="AB3568" t="str">
            <v>-</v>
          </cell>
          <cell r="AF3568">
            <v>62</v>
          </cell>
          <cell r="AG3568" t="str">
            <v>DRN160M4</v>
          </cell>
          <cell r="AH3568" t="str">
            <v>FH87G-DRN160M4270-X</v>
          </cell>
        </row>
        <row r="3569">
          <cell r="A3569" t="str">
            <v>MR003558</v>
          </cell>
          <cell r="B3569" t="str">
            <v>MR</v>
          </cell>
          <cell r="C3569">
            <v>18.5</v>
          </cell>
          <cell r="D3569">
            <v>46</v>
          </cell>
          <cell r="E3569" t="str">
            <v>FH107</v>
          </cell>
          <cell r="F3569">
            <v>3800</v>
          </cell>
          <cell r="G3569">
            <v>31.8</v>
          </cell>
          <cell r="H3569">
            <v>2</v>
          </cell>
          <cell r="I3569" t="str">
            <v>M1</v>
          </cell>
          <cell r="J3569" t="str">
            <v>IE3</v>
          </cell>
          <cell r="K3569" t="str">
            <v>400/690</v>
          </cell>
          <cell r="L3569">
            <v>50</v>
          </cell>
          <cell r="M3569" t="str">
            <v>33,5/19,5</v>
          </cell>
          <cell r="N3569">
            <v>65</v>
          </cell>
          <cell r="O3569" t="str">
            <v>155(F)</v>
          </cell>
          <cell r="P3569" t="str">
            <v>270°</v>
          </cell>
          <cell r="Q3569" t="str">
            <v>TF</v>
          </cell>
          <cell r="R3569" t="str">
            <v>-</v>
          </cell>
          <cell r="S3569" t="str">
            <v>-</v>
          </cell>
          <cell r="T3569" t="str">
            <v>-</v>
          </cell>
          <cell r="U3569" t="str">
            <v>G</v>
          </cell>
          <cell r="V3569" t="str">
            <v>D+R</v>
          </cell>
          <cell r="W3569" t="str">
            <v>-</v>
          </cell>
          <cell r="X3569" t="str">
            <v>CLP HC 150 (-30/+50°C)</v>
          </cell>
          <cell r="Y3569" t="str">
            <v>FH107/G DRN180M4 /TF</v>
          </cell>
          <cell r="Z3569" t="str">
            <v>SEW</v>
          </cell>
          <cell r="AB3569" t="str">
            <v>-</v>
          </cell>
          <cell r="AF3569">
            <v>46</v>
          </cell>
          <cell r="AG3569" t="str">
            <v>DRN180M4</v>
          </cell>
          <cell r="AH3569" t="str">
            <v>FH107G-DRN180M4270-X</v>
          </cell>
        </row>
        <row r="3570">
          <cell r="A3570" t="str">
            <v>MR003559</v>
          </cell>
          <cell r="B3570" t="str">
            <v>MR</v>
          </cell>
          <cell r="C3570">
            <v>15</v>
          </cell>
          <cell r="D3570">
            <v>12</v>
          </cell>
          <cell r="E3570" t="str">
            <v>KH127</v>
          </cell>
          <cell r="F3570">
            <v>11900</v>
          </cell>
          <cell r="G3570">
            <v>122.48</v>
          </cell>
          <cell r="H3570">
            <v>1.1000000000000001</v>
          </cell>
          <cell r="I3570" t="str">
            <v>From M1A to M2A-25°</v>
          </cell>
          <cell r="J3570" t="str">
            <v>IE3</v>
          </cell>
          <cell r="K3570" t="str">
            <v>400/690</v>
          </cell>
          <cell r="L3570">
            <v>50</v>
          </cell>
          <cell r="M3570" t="str">
            <v>29/16,7</v>
          </cell>
          <cell r="N3570">
            <v>65</v>
          </cell>
          <cell r="O3570" t="str">
            <v>155(F)</v>
          </cell>
          <cell r="P3570" t="str">
            <v>270°</v>
          </cell>
          <cell r="Q3570" t="str">
            <v>TF</v>
          </cell>
          <cell r="R3570" t="str">
            <v>V(VE)</v>
          </cell>
          <cell r="S3570" t="str">
            <v>-</v>
          </cell>
          <cell r="T3570" t="str">
            <v>-</v>
          </cell>
          <cell r="U3570" t="str">
            <v>-</v>
          </cell>
          <cell r="V3570" t="str">
            <v>FC</v>
          </cell>
          <cell r="W3570" t="str">
            <v>-</v>
          </cell>
          <cell r="X3570" t="str">
            <v>CLP HC 150 (-30/+50°C)</v>
          </cell>
          <cell r="Y3570" t="str">
            <v>KH127DRN160L4 /TF/V</v>
          </cell>
          <cell r="Z3570" t="str">
            <v>SEW</v>
          </cell>
          <cell r="AB3570" t="str">
            <v>-</v>
          </cell>
          <cell r="AF3570">
            <v>12</v>
          </cell>
          <cell r="AG3570" t="str">
            <v>DRN160L4</v>
          </cell>
          <cell r="AH3570" t="str">
            <v>KH127-DRN160L4A270-X#</v>
          </cell>
        </row>
        <row r="3571">
          <cell r="A3571" t="str">
            <v>MR003560</v>
          </cell>
          <cell r="B3571" t="str">
            <v>MR</v>
          </cell>
          <cell r="C3571">
            <v>15</v>
          </cell>
          <cell r="D3571">
            <v>12</v>
          </cell>
          <cell r="E3571" t="str">
            <v>KH127</v>
          </cell>
          <cell r="F3571">
            <v>11900</v>
          </cell>
          <cell r="G3571">
            <v>122.48</v>
          </cell>
          <cell r="H3571">
            <v>1.1000000000000001</v>
          </cell>
          <cell r="I3571" t="str">
            <v>From M1B to M2B-25°</v>
          </cell>
          <cell r="J3571" t="str">
            <v>IE3</v>
          </cell>
          <cell r="K3571" t="str">
            <v>400/690</v>
          </cell>
          <cell r="L3571">
            <v>50</v>
          </cell>
          <cell r="M3571" t="str">
            <v>29/16,7</v>
          </cell>
          <cell r="N3571">
            <v>65</v>
          </cell>
          <cell r="O3571" t="str">
            <v>155(F)</v>
          </cell>
          <cell r="P3571" t="str">
            <v>270°</v>
          </cell>
          <cell r="Q3571" t="str">
            <v>TF</v>
          </cell>
          <cell r="R3571" t="str">
            <v>V(VE)</v>
          </cell>
          <cell r="S3571" t="str">
            <v>-</v>
          </cell>
          <cell r="T3571" t="str">
            <v>-</v>
          </cell>
          <cell r="U3571" t="str">
            <v>-</v>
          </cell>
          <cell r="V3571" t="str">
            <v>FC</v>
          </cell>
          <cell r="W3571" t="str">
            <v>-</v>
          </cell>
          <cell r="X3571" t="str">
            <v>CLP HC 150 (-30/+50°C)</v>
          </cell>
          <cell r="Y3571" t="str">
            <v>KH127DRN160L4 /TF/V</v>
          </cell>
          <cell r="Z3571" t="str">
            <v>SEW</v>
          </cell>
          <cell r="AB3571" t="str">
            <v>-</v>
          </cell>
          <cell r="AF3571">
            <v>12</v>
          </cell>
          <cell r="AG3571" t="str">
            <v>DRN160L4</v>
          </cell>
          <cell r="AH3571" t="str">
            <v>KH127-DRN160L4B270-X#</v>
          </cell>
        </row>
        <row r="3572">
          <cell r="A3572" t="str">
            <v>MR003561</v>
          </cell>
          <cell r="B3572" t="str">
            <v>MR</v>
          </cell>
          <cell r="C3572">
            <v>15</v>
          </cell>
          <cell r="D3572">
            <v>12</v>
          </cell>
          <cell r="E3572" t="str">
            <v>KH127</v>
          </cell>
          <cell r="F3572">
            <v>11900</v>
          </cell>
          <cell r="G3572">
            <v>122.48</v>
          </cell>
          <cell r="H3572">
            <v>1.1000000000000001</v>
          </cell>
          <cell r="I3572" t="str">
            <v>From M1A to M2A-35°</v>
          </cell>
          <cell r="J3572" t="str">
            <v>IE3</v>
          </cell>
          <cell r="K3572" t="str">
            <v>400/690</v>
          </cell>
          <cell r="L3572">
            <v>50</v>
          </cell>
          <cell r="M3572" t="str">
            <v>29/16,7</v>
          </cell>
          <cell r="N3572">
            <v>65</v>
          </cell>
          <cell r="O3572" t="str">
            <v>155(F)</v>
          </cell>
          <cell r="P3572" t="str">
            <v>270°</v>
          </cell>
          <cell r="Q3572" t="str">
            <v>TF</v>
          </cell>
          <cell r="R3572" t="str">
            <v>V(VE)</v>
          </cell>
          <cell r="S3572" t="str">
            <v>-</v>
          </cell>
          <cell r="T3572" t="str">
            <v>-</v>
          </cell>
          <cell r="U3572" t="str">
            <v>-</v>
          </cell>
          <cell r="V3572" t="str">
            <v>FC</v>
          </cell>
          <cell r="W3572" t="str">
            <v>-</v>
          </cell>
          <cell r="X3572" t="str">
            <v>CLP HC 150 (-30/+50°C)</v>
          </cell>
          <cell r="Y3572" t="str">
            <v>KH127DRN160L4 /TF/V</v>
          </cell>
          <cell r="Z3572" t="str">
            <v>SEW</v>
          </cell>
          <cell r="AF3572">
            <v>12</v>
          </cell>
          <cell r="AG3572" t="str">
            <v>DRN160L4</v>
          </cell>
          <cell r="AH3572" t="str">
            <v>KH127-DRN160L4A270-X#</v>
          </cell>
        </row>
        <row r="3573">
          <cell r="A3573" t="str">
            <v>MR003562</v>
          </cell>
          <cell r="B3573" t="str">
            <v>MR</v>
          </cell>
          <cell r="C3573">
            <v>15</v>
          </cell>
          <cell r="D3573">
            <v>12</v>
          </cell>
          <cell r="E3573" t="str">
            <v>KH127</v>
          </cell>
          <cell r="F3573">
            <v>11900</v>
          </cell>
          <cell r="G3573">
            <v>122.48</v>
          </cell>
          <cell r="H3573">
            <v>1.1000000000000001</v>
          </cell>
          <cell r="I3573" t="str">
            <v>From M1B to M2B-35°</v>
          </cell>
          <cell r="J3573" t="str">
            <v>IE3</v>
          </cell>
          <cell r="K3573" t="str">
            <v>400/690</v>
          </cell>
          <cell r="L3573">
            <v>50</v>
          </cell>
          <cell r="M3573" t="str">
            <v>29/16,7</v>
          </cell>
          <cell r="N3573">
            <v>65</v>
          </cell>
          <cell r="O3573" t="str">
            <v>155(F)</v>
          </cell>
          <cell r="P3573" t="str">
            <v>270°</v>
          </cell>
          <cell r="Q3573" t="str">
            <v>TF</v>
          </cell>
          <cell r="R3573" t="str">
            <v>V(VE)</v>
          </cell>
          <cell r="S3573" t="str">
            <v>-</v>
          </cell>
          <cell r="T3573" t="str">
            <v>-</v>
          </cell>
          <cell r="U3573" t="str">
            <v>-</v>
          </cell>
          <cell r="V3573" t="str">
            <v>FC</v>
          </cell>
          <cell r="W3573" t="str">
            <v>-</v>
          </cell>
          <cell r="X3573" t="str">
            <v>CLP HC 150 (-30/+50°C)</v>
          </cell>
          <cell r="Y3573" t="str">
            <v>KH127DRN160L4 /TF/V</v>
          </cell>
          <cell r="Z3573" t="str">
            <v>SEW</v>
          </cell>
          <cell r="AF3573">
            <v>12</v>
          </cell>
          <cell r="AG3573" t="str">
            <v>DRN160L4</v>
          </cell>
          <cell r="AH3573" t="str">
            <v>KH127-DRN160L4B270-X#</v>
          </cell>
        </row>
        <row r="3574">
          <cell r="A3574" t="str">
            <v>MR003563</v>
          </cell>
          <cell r="B3574" t="str">
            <v>MR</v>
          </cell>
          <cell r="C3574">
            <v>9.1999999999999993</v>
          </cell>
          <cell r="D3574">
            <v>48</v>
          </cell>
          <cell r="E3574" t="str">
            <v>FH97</v>
          </cell>
          <cell r="F3574">
            <v>1810</v>
          </cell>
          <cell r="G3574">
            <v>30.39</v>
          </cell>
          <cell r="H3574">
            <v>2.4</v>
          </cell>
          <cell r="I3574" t="str">
            <v>M1</v>
          </cell>
          <cell r="J3574" t="str">
            <v>IE3</v>
          </cell>
          <cell r="K3574" t="str">
            <v>400/690</v>
          </cell>
          <cell r="L3574">
            <v>50</v>
          </cell>
          <cell r="M3574" t="str">
            <v>18,7/10,8</v>
          </cell>
          <cell r="N3574">
            <v>65</v>
          </cell>
          <cell r="O3574" t="str">
            <v>155(F)</v>
          </cell>
          <cell r="P3574" t="str">
            <v>270°</v>
          </cell>
          <cell r="Q3574" t="str">
            <v>TF</v>
          </cell>
          <cell r="R3574" t="str">
            <v>-</v>
          </cell>
          <cell r="S3574" t="str">
            <v>-</v>
          </cell>
          <cell r="T3574" t="str">
            <v>-</v>
          </cell>
          <cell r="U3574" t="str">
            <v>G</v>
          </cell>
          <cell r="V3574" t="str">
            <v>D</v>
          </cell>
          <cell r="W3574" t="str">
            <v>-</v>
          </cell>
          <cell r="X3574" t="str">
            <v>CLP HC 150 (-30/+50°C)</v>
          </cell>
          <cell r="Y3574" t="str">
            <v>FH97/G DRN132L4 /TF</v>
          </cell>
          <cell r="Z3574" t="str">
            <v>SEW</v>
          </cell>
          <cell r="AB3574" t="str">
            <v>-</v>
          </cell>
          <cell r="AF3574">
            <v>48</v>
          </cell>
          <cell r="AG3574" t="str">
            <v>DRN132L4</v>
          </cell>
          <cell r="AH3574" t="str">
            <v>FH97G-DRN132L4270-X</v>
          </cell>
        </row>
        <row r="3575">
          <cell r="A3575" t="str">
            <v>MR003564</v>
          </cell>
          <cell r="B3575" t="str">
            <v>MR</v>
          </cell>
          <cell r="C3575">
            <v>30</v>
          </cell>
          <cell r="D3575">
            <v>110</v>
          </cell>
          <cell r="E3575" t="str">
            <v>KH107</v>
          </cell>
          <cell r="F3575">
            <v>2590</v>
          </cell>
          <cell r="G3575">
            <v>13.43</v>
          </cell>
          <cell r="H3575">
            <v>1.65</v>
          </cell>
          <cell r="I3575" t="str">
            <v>From M1A to M4A-80°</v>
          </cell>
          <cell r="J3575" t="str">
            <v>IE3</v>
          </cell>
          <cell r="K3575" t="str">
            <v>400/690</v>
          </cell>
          <cell r="L3575">
            <v>50</v>
          </cell>
          <cell r="M3575" t="str">
            <v>56/32,5</v>
          </cell>
          <cell r="N3575">
            <v>65</v>
          </cell>
          <cell r="O3575" t="str">
            <v>155(F)</v>
          </cell>
          <cell r="P3575" t="str">
            <v>270°</v>
          </cell>
          <cell r="Q3575" t="str">
            <v>TF</v>
          </cell>
          <cell r="R3575" t="str">
            <v>-</v>
          </cell>
          <cell r="S3575" t="str">
            <v>Free rotation CCW</v>
          </cell>
          <cell r="T3575" t="str">
            <v>-</v>
          </cell>
          <cell r="U3575" t="str">
            <v>T</v>
          </cell>
          <cell r="V3575" t="str">
            <v>SS</v>
          </cell>
          <cell r="W3575" t="str">
            <v>-</v>
          </cell>
          <cell r="X3575" t="str">
            <v>CLP HC 150 (-30/+50°C)</v>
          </cell>
          <cell r="Y3575" t="str">
            <v>KH107/T DRN200L4 /RS /TF</v>
          </cell>
          <cell r="Z3575" t="str">
            <v>SEW</v>
          </cell>
          <cell r="AB3575" t="str">
            <v>-</v>
          </cell>
          <cell r="AF3575">
            <v>110</v>
          </cell>
          <cell r="AG3575" t="str">
            <v>DRN200L4</v>
          </cell>
          <cell r="AH3575" t="str">
            <v>KH107T-DRN200L4A270-X</v>
          </cell>
        </row>
        <row r="3576">
          <cell r="A3576" t="str">
            <v>MR003565</v>
          </cell>
          <cell r="B3576" t="str">
            <v>MR</v>
          </cell>
          <cell r="C3576">
            <v>30</v>
          </cell>
          <cell r="D3576">
            <v>110</v>
          </cell>
          <cell r="E3576" t="str">
            <v>KH107</v>
          </cell>
          <cell r="F3576">
            <v>2590</v>
          </cell>
          <cell r="G3576">
            <v>13.43</v>
          </cell>
          <cell r="H3576">
            <v>1.65</v>
          </cell>
          <cell r="I3576" t="str">
            <v>From M1B to M4B-80°</v>
          </cell>
          <cell r="J3576" t="str">
            <v>IE3</v>
          </cell>
          <cell r="K3576" t="str">
            <v>400/690</v>
          </cell>
          <cell r="L3576">
            <v>50</v>
          </cell>
          <cell r="M3576" t="str">
            <v>56/32,5</v>
          </cell>
          <cell r="N3576">
            <v>65</v>
          </cell>
          <cell r="O3576" t="str">
            <v>155(F)</v>
          </cell>
          <cell r="P3576" t="str">
            <v>270°</v>
          </cell>
          <cell r="Q3576" t="str">
            <v>TF</v>
          </cell>
          <cell r="R3576" t="str">
            <v>-</v>
          </cell>
          <cell r="S3576" t="str">
            <v>Free rotation CW</v>
          </cell>
          <cell r="T3576" t="str">
            <v>-</v>
          </cell>
          <cell r="U3576" t="str">
            <v>T</v>
          </cell>
          <cell r="V3576" t="str">
            <v>SS</v>
          </cell>
          <cell r="W3576" t="str">
            <v>-</v>
          </cell>
          <cell r="X3576" t="str">
            <v>CLP HC 150 (-30/+50°C)</v>
          </cell>
          <cell r="Y3576" t="str">
            <v>KH107/T DRN200L4 /RS /TF</v>
          </cell>
          <cell r="Z3576" t="str">
            <v>SEW</v>
          </cell>
          <cell r="AB3576" t="str">
            <v>-</v>
          </cell>
          <cell r="AF3576">
            <v>110</v>
          </cell>
          <cell r="AG3576" t="str">
            <v>DRN200L4</v>
          </cell>
          <cell r="AH3576" t="str">
            <v>KH107T-DRN200L4B270-X</v>
          </cell>
        </row>
        <row r="3577">
          <cell r="A3577" t="str">
            <v>MR003566</v>
          </cell>
          <cell r="B3577" t="str">
            <v>MR</v>
          </cell>
          <cell r="C3577">
            <v>0.75</v>
          </cell>
          <cell r="D3577">
            <v>162</v>
          </cell>
          <cell r="E3577" t="str">
            <v>KH37</v>
          </cell>
          <cell r="F3577">
            <v>44</v>
          </cell>
          <cell r="G3577">
            <v>8.91</v>
          </cell>
          <cell r="H3577">
            <v>3.6</v>
          </cell>
          <cell r="I3577" t="str">
            <v>From M3A to M4A-10°</v>
          </cell>
          <cell r="J3577" t="str">
            <v>IE3</v>
          </cell>
          <cell r="K3577" t="str">
            <v>230/400</v>
          </cell>
          <cell r="L3577">
            <v>50</v>
          </cell>
          <cell r="M3577" t="str">
            <v>3,05/1,75</v>
          </cell>
          <cell r="N3577">
            <v>65</v>
          </cell>
          <cell r="O3577" t="str">
            <v>155(F)</v>
          </cell>
          <cell r="P3577" t="str">
            <v>270°</v>
          </cell>
          <cell r="Q3577" t="str">
            <v>TF</v>
          </cell>
          <cell r="R3577" t="str">
            <v>-</v>
          </cell>
          <cell r="S3577" t="str">
            <v>-</v>
          </cell>
          <cell r="T3577" t="str">
            <v>-</v>
          </cell>
          <cell r="U3577" t="str">
            <v>T</v>
          </cell>
          <cell r="V3577" t="str">
            <v>D</v>
          </cell>
          <cell r="W3577" t="str">
            <v>-</v>
          </cell>
          <cell r="X3577" t="str">
            <v>CLP HC 150 (-30/+50°C)</v>
          </cell>
          <cell r="Y3577" t="str">
            <v>KH37/T DRN80M4 /TF</v>
          </cell>
          <cell r="Z3577" t="str">
            <v>SEW</v>
          </cell>
          <cell r="AB3577" t="str">
            <v>-</v>
          </cell>
          <cell r="AF3577">
            <v>162</v>
          </cell>
          <cell r="AG3577" t="str">
            <v>DRN80M4</v>
          </cell>
          <cell r="AH3577" t="str">
            <v>KH37T-DRN80M4A270-X</v>
          </cell>
        </row>
        <row r="3578">
          <cell r="A3578" t="str">
            <v>MR003567</v>
          </cell>
          <cell r="B3578" t="str">
            <v>MR</v>
          </cell>
          <cell r="C3578">
            <v>0.37</v>
          </cell>
          <cell r="D3578">
            <v>6.2</v>
          </cell>
          <cell r="E3578" t="str">
            <v>FH67</v>
          </cell>
          <cell r="F3578">
            <v>570</v>
          </cell>
          <cell r="G3578">
            <v>229</v>
          </cell>
          <cell r="H3578">
            <v>1.45</v>
          </cell>
          <cell r="I3578" t="str">
            <v>From M3 to M5-80°</v>
          </cell>
          <cell r="J3578" t="str">
            <v>IE3</v>
          </cell>
          <cell r="K3578" t="str">
            <v>230/400</v>
          </cell>
          <cell r="L3578">
            <v>50</v>
          </cell>
          <cell r="M3578" t="str">
            <v>1,78/1,02</v>
          </cell>
          <cell r="N3578">
            <v>65</v>
          </cell>
          <cell r="O3578" t="str">
            <v>155(F)</v>
          </cell>
          <cell r="P3578" t="str">
            <v>270°</v>
          </cell>
          <cell r="Q3578" t="str">
            <v>TF</v>
          </cell>
          <cell r="R3578" t="str">
            <v>-</v>
          </cell>
          <cell r="S3578" t="str">
            <v>-</v>
          </cell>
          <cell r="T3578" t="str">
            <v>-</v>
          </cell>
          <cell r="U3578" t="str">
            <v>G</v>
          </cell>
          <cell r="V3578" t="str">
            <v>D</v>
          </cell>
          <cell r="W3578" t="str">
            <v>-</v>
          </cell>
          <cell r="X3578" t="str">
            <v>CLP HC 150 (-30/+50°C)</v>
          </cell>
          <cell r="Y3578" t="str">
            <v>FH67/G DRN71M4 /TF</v>
          </cell>
          <cell r="Z3578" t="str">
            <v>SEW</v>
          </cell>
          <cell r="AB3578" t="str">
            <v>-</v>
          </cell>
          <cell r="AF3578">
            <v>6.2</v>
          </cell>
          <cell r="AG3578" t="str">
            <v>DRN71M4</v>
          </cell>
          <cell r="AH3578" t="str">
            <v>FH67G-DRN71M4270-X</v>
          </cell>
        </row>
        <row r="3579">
          <cell r="A3579" t="str">
            <v>MR003568</v>
          </cell>
          <cell r="B3579" t="str">
            <v>MR</v>
          </cell>
          <cell r="C3579">
            <v>0.75</v>
          </cell>
          <cell r="D3579">
            <v>162</v>
          </cell>
          <cell r="E3579" t="str">
            <v>KH37</v>
          </cell>
          <cell r="F3579">
            <v>44</v>
          </cell>
          <cell r="G3579">
            <v>8.91</v>
          </cell>
          <cell r="H3579">
            <v>3.6</v>
          </cell>
          <cell r="I3579" t="str">
            <v>From M3B to M4B-10°</v>
          </cell>
          <cell r="J3579" t="str">
            <v>IE3</v>
          </cell>
          <cell r="K3579" t="str">
            <v>230/400</v>
          </cell>
          <cell r="L3579">
            <v>50</v>
          </cell>
          <cell r="M3579" t="str">
            <v>3,05/1,75</v>
          </cell>
          <cell r="N3579">
            <v>65</v>
          </cell>
          <cell r="O3579" t="str">
            <v>155(F)</v>
          </cell>
          <cell r="P3579" t="str">
            <v>270°</v>
          </cell>
          <cell r="Q3579" t="str">
            <v>TF</v>
          </cell>
          <cell r="R3579" t="str">
            <v>-</v>
          </cell>
          <cell r="S3579" t="str">
            <v>-</v>
          </cell>
          <cell r="T3579" t="str">
            <v>-</v>
          </cell>
          <cell r="U3579" t="str">
            <v>T</v>
          </cell>
          <cell r="V3579" t="str">
            <v>D</v>
          </cell>
          <cell r="W3579" t="str">
            <v>-</v>
          </cell>
          <cell r="X3579" t="str">
            <v>CLP HC 150 (-30/+50°C)</v>
          </cell>
          <cell r="Y3579" t="str">
            <v>KH37/T DRN80M4 /TF</v>
          </cell>
          <cell r="Z3579" t="str">
            <v>SEW</v>
          </cell>
          <cell r="AB3579" t="str">
            <v>-</v>
          </cell>
          <cell r="AF3579">
            <v>162</v>
          </cell>
          <cell r="AG3579" t="str">
            <v>DRN80M4</v>
          </cell>
          <cell r="AH3579" t="str">
            <v>KH37T-DRN80M4B270-X</v>
          </cell>
        </row>
        <row r="3580">
          <cell r="A3580" t="str">
            <v>MR003569</v>
          </cell>
          <cell r="B3580" t="str">
            <v>MR</v>
          </cell>
          <cell r="C3580">
            <v>0.37</v>
          </cell>
          <cell r="D3580">
            <v>6.2</v>
          </cell>
          <cell r="E3580" t="str">
            <v>FH67</v>
          </cell>
          <cell r="F3580">
            <v>570</v>
          </cell>
          <cell r="G3580">
            <v>229</v>
          </cell>
          <cell r="H3580">
            <v>1.45</v>
          </cell>
          <cell r="I3580" t="str">
            <v>From M3 to M6-80°</v>
          </cell>
          <cell r="J3580" t="str">
            <v>IE3</v>
          </cell>
          <cell r="K3580" t="str">
            <v>230/400</v>
          </cell>
          <cell r="L3580">
            <v>50</v>
          </cell>
          <cell r="M3580" t="str">
            <v>1,78/1,02</v>
          </cell>
          <cell r="N3580">
            <v>65</v>
          </cell>
          <cell r="O3580" t="str">
            <v>155(F)</v>
          </cell>
          <cell r="P3580" t="str">
            <v>270°</v>
          </cell>
          <cell r="Q3580" t="str">
            <v>TF</v>
          </cell>
          <cell r="R3580" t="str">
            <v>-</v>
          </cell>
          <cell r="S3580" t="str">
            <v>-</v>
          </cell>
          <cell r="T3580" t="str">
            <v>-</v>
          </cell>
          <cell r="U3580" t="str">
            <v>G</v>
          </cell>
          <cell r="V3580" t="str">
            <v>D</v>
          </cell>
          <cell r="W3580" t="str">
            <v>-</v>
          </cell>
          <cell r="X3580" t="str">
            <v>CLP HC 150 (-30/+50°C)</v>
          </cell>
          <cell r="Y3580" t="str">
            <v>FH67/G DRN71M4 /TF</v>
          </cell>
          <cell r="Z3580" t="str">
            <v>SEW</v>
          </cell>
          <cell r="AB3580" t="str">
            <v>-</v>
          </cell>
          <cell r="AF3580">
            <v>6.2</v>
          </cell>
          <cell r="AG3580" t="str">
            <v>DRN71M4</v>
          </cell>
          <cell r="AH3580" t="str">
            <v>FH67G-DRN71M4270-X</v>
          </cell>
        </row>
        <row r="3581">
          <cell r="A3581" t="str">
            <v>MR003570</v>
          </cell>
          <cell r="B3581" t="str">
            <v>MR</v>
          </cell>
          <cell r="C3581">
            <v>15</v>
          </cell>
          <cell r="D3581">
            <v>16.666666666666668</v>
          </cell>
          <cell r="E3581" t="str">
            <v>R137</v>
          </cell>
          <cell r="F3581">
            <v>7150</v>
          </cell>
          <cell r="G3581">
            <v>88.7</v>
          </cell>
          <cell r="H3581">
            <v>1.1000000000000001</v>
          </cell>
          <cell r="I3581" t="str">
            <v>From M1 to M2 - 15°</v>
          </cell>
          <cell r="J3581" t="str">
            <v>IE3</v>
          </cell>
          <cell r="K3581" t="str">
            <v>220/440</v>
          </cell>
          <cell r="L3581">
            <v>60</v>
          </cell>
          <cell r="M3581" t="str">
            <v>53/26,5</v>
          </cell>
          <cell r="N3581">
            <v>65</v>
          </cell>
          <cell r="O3581" t="str">
            <v>155(F)</v>
          </cell>
          <cell r="P3581" t="str">
            <v>270°</v>
          </cell>
          <cell r="Q3581" t="str">
            <v>TF</v>
          </cell>
          <cell r="R3581" t="str">
            <v>V(VE)</v>
          </cell>
          <cell r="S3581" t="str">
            <v>-</v>
          </cell>
          <cell r="T3581" t="str">
            <v>-</v>
          </cell>
          <cell r="U3581" t="str">
            <v>-</v>
          </cell>
          <cell r="V3581" t="str">
            <v>FC</v>
          </cell>
          <cell r="W3581" t="str">
            <v>-</v>
          </cell>
          <cell r="X3581" t="str">
            <v>CLP VG 220 = -15° + 40°</v>
          </cell>
          <cell r="Y3581" t="str">
            <v>R137DRN160L4 /TF/V</v>
          </cell>
          <cell r="Z3581" t="str">
            <v>SEW</v>
          </cell>
          <cell r="AB3581" t="str">
            <v>-</v>
          </cell>
          <cell r="AF3581">
            <v>20.000000000000004</v>
          </cell>
          <cell r="AG3581" t="str">
            <v>DRN160L4</v>
          </cell>
          <cell r="AH3581" t="str">
            <v>R137-DRN160L4270-X#</v>
          </cell>
        </row>
        <row r="3582">
          <cell r="A3582" t="str">
            <v>MR003571</v>
          </cell>
          <cell r="B3582" t="str">
            <v>MR</v>
          </cell>
          <cell r="C3582">
            <v>45</v>
          </cell>
          <cell r="D3582">
            <v>31.666666666666668</v>
          </cell>
          <cell r="E3582" t="str">
            <v>R147</v>
          </cell>
          <cell r="F3582">
            <v>11200</v>
          </cell>
          <cell r="G3582">
            <v>46.65</v>
          </cell>
          <cell r="H3582">
            <v>1.1499999999999999</v>
          </cell>
          <cell r="I3582" t="str">
            <v>From M1 to M5 - 25°</v>
          </cell>
          <cell r="J3582" t="str">
            <v>IE3</v>
          </cell>
          <cell r="K3582" t="str">
            <v>220/380/440</v>
          </cell>
          <cell r="L3582">
            <v>60</v>
          </cell>
          <cell r="M3582" t="str">
            <v>146/73</v>
          </cell>
          <cell r="N3582">
            <v>65</v>
          </cell>
          <cell r="O3582" t="str">
            <v>F(105°C)</v>
          </cell>
          <cell r="P3582" t="str">
            <v>270°</v>
          </cell>
          <cell r="Q3582" t="str">
            <v>TF</v>
          </cell>
          <cell r="R3582" t="str">
            <v>V(VE)</v>
          </cell>
          <cell r="S3582" t="str">
            <v>-</v>
          </cell>
          <cell r="T3582" t="str">
            <v>-</v>
          </cell>
          <cell r="U3582" t="str">
            <v>-</v>
          </cell>
          <cell r="V3582" t="str">
            <v>FC</v>
          </cell>
          <cell r="W3582" t="str">
            <v>-</v>
          </cell>
          <cell r="X3582" t="str">
            <v>CLP VG 220 = -15° + 40°</v>
          </cell>
          <cell r="Y3582" t="str">
            <v>R147DRN225M4 /TF/V</v>
          </cell>
          <cell r="Z3582" t="str">
            <v>SEW</v>
          </cell>
          <cell r="AB3582" t="str">
            <v>-</v>
          </cell>
          <cell r="AF3582">
            <v>38</v>
          </cell>
          <cell r="AG3582" t="str">
            <v>DRN225M4</v>
          </cell>
          <cell r="AH3582" t="str">
            <v>R147-DRN225M4270-X#</v>
          </cell>
        </row>
        <row r="3583">
          <cell r="A3583" t="str">
            <v>MR003572</v>
          </cell>
          <cell r="B3583" t="str">
            <v>MR</v>
          </cell>
          <cell r="C3583">
            <v>9.1999999999999993</v>
          </cell>
          <cell r="D3583">
            <v>44.166666666666671</v>
          </cell>
          <cell r="E3583" t="str">
            <v>R97</v>
          </cell>
          <cell r="F3583">
            <v>1650</v>
          </cell>
          <cell r="G3583">
            <v>33.25</v>
          </cell>
          <cell r="H3583">
            <v>1.45</v>
          </cell>
          <cell r="I3583" t="str">
            <v>M1</v>
          </cell>
          <cell r="J3583" t="str">
            <v>IE3</v>
          </cell>
          <cell r="K3583" t="str">
            <v>254/440</v>
          </cell>
          <cell r="L3583">
            <v>60</v>
          </cell>
          <cell r="M3583" t="str">
            <v>26,5/15,2</v>
          </cell>
          <cell r="N3583">
            <v>65</v>
          </cell>
          <cell r="O3583" t="str">
            <v>155(F)</v>
          </cell>
          <cell r="P3583" t="str">
            <v>270°</v>
          </cell>
          <cell r="Q3583" t="str">
            <v>-</v>
          </cell>
          <cell r="R3583" t="str">
            <v>-</v>
          </cell>
          <cell r="S3583" t="str">
            <v>-</v>
          </cell>
          <cell r="T3583" t="str">
            <v>-</v>
          </cell>
          <cell r="U3583" t="str">
            <v>-</v>
          </cell>
          <cell r="V3583" t="str">
            <v>D</v>
          </cell>
          <cell r="W3583" t="str">
            <v>-</v>
          </cell>
          <cell r="X3583" t="str">
            <v>CLP HC VG 220 = -20° + 60°</v>
          </cell>
          <cell r="Y3583" t="str">
            <v>R97EDRN132L4</v>
          </cell>
          <cell r="Z3583" t="str">
            <v>SEW</v>
          </cell>
          <cell r="AB3583" t="str">
            <v>ATEX22</v>
          </cell>
          <cell r="AF3583">
            <v>53.000000000000007</v>
          </cell>
          <cell r="AG3583" t="str">
            <v>EDRN132L4</v>
          </cell>
          <cell r="AH3583" t="str">
            <v>R97-EDRN132L4270-X</v>
          </cell>
        </row>
        <row r="3584">
          <cell r="A3584" t="str">
            <v>MR003573</v>
          </cell>
          <cell r="B3584" t="str">
            <v>MR</v>
          </cell>
          <cell r="C3584">
            <v>5.5</v>
          </cell>
          <cell r="D3584">
            <v>17.5</v>
          </cell>
          <cell r="E3584" t="str">
            <v>R97</v>
          </cell>
          <cell r="F3584">
            <v>2480</v>
          </cell>
          <cell r="G3584">
            <v>83.15</v>
          </cell>
          <cell r="H3584">
            <v>1.2</v>
          </cell>
          <cell r="I3584" t="str">
            <v>M1</v>
          </cell>
          <cell r="J3584" t="str">
            <v>IE3</v>
          </cell>
          <cell r="K3584" t="str">
            <v>220/440</v>
          </cell>
          <cell r="L3584">
            <v>60</v>
          </cell>
          <cell r="M3584" t="str">
            <v>22,5/11,3</v>
          </cell>
          <cell r="N3584">
            <v>65</v>
          </cell>
          <cell r="O3584" t="str">
            <v>155(F)</v>
          </cell>
          <cell r="P3584" t="str">
            <v>270°</v>
          </cell>
          <cell r="Q3584" t="str">
            <v>TF</v>
          </cell>
          <cell r="R3584" t="str">
            <v>V(VE)</v>
          </cell>
          <cell r="S3584" t="str">
            <v>-</v>
          </cell>
          <cell r="T3584" t="str">
            <v>-</v>
          </cell>
          <cell r="U3584" t="str">
            <v>-</v>
          </cell>
          <cell r="V3584" t="str">
            <v>FC</v>
          </cell>
          <cell r="W3584" t="str">
            <v>-</v>
          </cell>
          <cell r="X3584" t="str">
            <v>CLP VG 220 = -15° + 40°</v>
          </cell>
          <cell r="Y3584" t="str">
            <v>R97DRN132S4 /TF/V</v>
          </cell>
          <cell r="Z3584" t="str">
            <v>SEW</v>
          </cell>
          <cell r="AB3584" t="str">
            <v>-</v>
          </cell>
          <cell r="AF3584">
            <v>21</v>
          </cell>
          <cell r="AG3584" t="str">
            <v>DRN132S4</v>
          </cell>
          <cell r="AH3584" t="str">
            <v>R97-DRN132S4270-X#</v>
          </cell>
        </row>
        <row r="3585">
          <cell r="A3585" t="str">
            <v>MR003574</v>
          </cell>
          <cell r="B3585" t="str">
            <v>MR</v>
          </cell>
          <cell r="C3585">
            <v>5.5</v>
          </cell>
          <cell r="D3585">
            <v>38.333333333333336</v>
          </cell>
          <cell r="E3585" t="str">
            <v>FH77</v>
          </cell>
          <cell r="F3585">
            <v>1140</v>
          </cell>
          <cell r="G3585">
            <v>38.229999999999997</v>
          </cell>
          <cell r="H3585">
            <v>1.3</v>
          </cell>
          <cell r="I3585" t="str">
            <v>M3</v>
          </cell>
          <cell r="J3585" t="str">
            <v>IE3</v>
          </cell>
          <cell r="K3585" t="str">
            <v>220/440</v>
          </cell>
          <cell r="L3585">
            <v>60</v>
          </cell>
          <cell r="M3585" t="str">
            <v>19,2/9,6</v>
          </cell>
          <cell r="N3585">
            <v>65</v>
          </cell>
          <cell r="O3585" t="str">
            <v>155(F)</v>
          </cell>
          <cell r="P3585" t="str">
            <v>270°</v>
          </cell>
          <cell r="Q3585" t="str">
            <v>TF</v>
          </cell>
          <cell r="R3585" t="str">
            <v>V(VE)</v>
          </cell>
          <cell r="S3585" t="str">
            <v>-</v>
          </cell>
          <cell r="T3585" t="str">
            <v>-</v>
          </cell>
          <cell r="U3585" t="str">
            <v>G</v>
          </cell>
          <cell r="V3585" t="str">
            <v>FC</v>
          </cell>
          <cell r="W3585" t="str">
            <v>-</v>
          </cell>
          <cell r="X3585" t="str">
            <v>CLP VG 220 = -15° + 40°</v>
          </cell>
          <cell r="Y3585" t="str">
            <v>FH77/G DRN132S4 /TF/V</v>
          </cell>
          <cell r="Z3585" t="str">
            <v>SEW</v>
          </cell>
          <cell r="AB3585" t="str">
            <v>-</v>
          </cell>
          <cell r="AF3585">
            <v>46</v>
          </cell>
          <cell r="AG3585" t="str">
            <v>DRN132S4</v>
          </cell>
          <cell r="AH3585" t="str">
            <v>FH77G-DRN132S4270-X#</v>
          </cell>
        </row>
        <row r="3586">
          <cell r="A3586" t="str">
            <v>MR003575</v>
          </cell>
          <cell r="B3586" t="str">
            <v>MR</v>
          </cell>
          <cell r="C3586">
            <v>11</v>
          </cell>
          <cell r="D3586">
            <v>53.333333333333336</v>
          </cell>
          <cell r="E3586" t="str">
            <v>R97</v>
          </cell>
          <cell r="F3586">
            <v>1630</v>
          </cell>
          <cell r="G3586">
            <v>27.58</v>
          </cell>
          <cell r="H3586">
            <v>1.65</v>
          </cell>
          <cell r="I3586" t="str">
            <v>From M5 to M2 - 40°</v>
          </cell>
          <cell r="J3586" t="str">
            <v>IE3</v>
          </cell>
          <cell r="K3586" t="str">
            <v>220/440</v>
          </cell>
          <cell r="L3586">
            <v>60</v>
          </cell>
          <cell r="M3586" t="str">
            <v>38,5/19,3</v>
          </cell>
          <cell r="N3586">
            <v>65</v>
          </cell>
          <cell r="O3586" t="str">
            <v>155(F)</v>
          </cell>
          <cell r="P3586" t="str">
            <v>270°</v>
          </cell>
          <cell r="Q3586" t="str">
            <v>-</v>
          </cell>
          <cell r="R3586" t="str">
            <v>-</v>
          </cell>
          <cell r="S3586" t="str">
            <v>-</v>
          </cell>
          <cell r="T3586" t="str">
            <v>-</v>
          </cell>
          <cell r="U3586" t="str">
            <v>-</v>
          </cell>
          <cell r="V3586" t="str">
            <v>D</v>
          </cell>
          <cell r="W3586" t="str">
            <v>-</v>
          </cell>
          <cell r="X3586" t="str">
            <v>CLP VG 220 = -15° + 40°</v>
          </cell>
          <cell r="Y3586" t="str">
            <v>R97DRN160M4</v>
          </cell>
          <cell r="Z3586" t="str">
            <v>SEW</v>
          </cell>
          <cell r="AB3586" t="str">
            <v>-</v>
          </cell>
          <cell r="AF3586">
            <v>64</v>
          </cell>
          <cell r="AG3586" t="str">
            <v>DRN160M4</v>
          </cell>
          <cell r="AH3586" t="str">
            <v>R97-DRN160M4270-X</v>
          </cell>
        </row>
        <row r="3587">
          <cell r="A3587" t="str">
            <v>MR003576</v>
          </cell>
          <cell r="B3587" t="str">
            <v>MR</v>
          </cell>
          <cell r="C3587">
            <v>11</v>
          </cell>
          <cell r="D3587">
            <v>53.333333333333336</v>
          </cell>
          <cell r="E3587" t="str">
            <v>R97</v>
          </cell>
          <cell r="F3587">
            <v>1630</v>
          </cell>
          <cell r="G3587">
            <v>27.58</v>
          </cell>
          <cell r="H3587">
            <v>1.65</v>
          </cell>
          <cell r="I3587" t="str">
            <v>From M5 to M2 - 45°</v>
          </cell>
          <cell r="J3587" t="str">
            <v>IE3</v>
          </cell>
          <cell r="K3587" t="str">
            <v>220/440</v>
          </cell>
          <cell r="L3587">
            <v>60</v>
          </cell>
          <cell r="M3587" t="str">
            <v>38,5/19,3</v>
          </cell>
          <cell r="N3587">
            <v>65</v>
          </cell>
          <cell r="O3587" t="str">
            <v>155(F)</v>
          </cell>
          <cell r="P3587" t="str">
            <v>270°</v>
          </cell>
          <cell r="Q3587" t="str">
            <v>-</v>
          </cell>
          <cell r="R3587" t="str">
            <v>-</v>
          </cell>
          <cell r="S3587" t="str">
            <v>-</v>
          </cell>
          <cell r="T3587" t="str">
            <v>-</v>
          </cell>
          <cell r="U3587" t="str">
            <v>-</v>
          </cell>
          <cell r="V3587" t="str">
            <v>D</v>
          </cell>
          <cell r="W3587" t="str">
            <v>-</v>
          </cell>
          <cell r="X3587" t="str">
            <v>CLP VG 220 = -15° + 40°</v>
          </cell>
          <cell r="Y3587" t="str">
            <v>R97DRN160M4</v>
          </cell>
          <cell r="Z3587" t="str">
            <v>SEW</v>
          </cell>
          <cell r="AB3587" t="str">
            <v>-</v>
          </cell>
          <cell r="AF3587">
            <v>64</v>
          </cell>
          <cell r="AG3587" t="str">
            <v>DRN160M4</v>
          </cell>
          <cell r="AH3587" t="str">
            <v>R97-DRN160M4270-X</v>
          </cell>
        </row>
        <row r="3588">
          <cell r="A3588" t="str">
            <v>MR003577</v>
          </cell>
          <cell r="B3588" t="str">
            <v>MR</v>
          </cell>
          <cell r="C3588">
            <v>30</v>
          </cell>
          <cell r="D3588">
            <v>15</v>
          </cell>
          <cell r="E3588" t="str">
            <v>KH157</v>
          </cell>
          <cell r="F3588">
            <v>16100</v>
          </cell>
          <cell r="G3588">
            <v>100.22</v>
          </cell>
          <cell r="H3588">
            <v>1.25</v>
          </cell>
          <cell r="I3588" t="str">
            <v>From M1A to M2A - 35°</v>
          </cell>
          <cell r="J3588" t="str">
            <v>IE3</v>
          </cell>
          <cell r="K3588" t="str">
            <v>220/380/440</v>
          </cell>
          <cell r="L3588">
            <v>60</v>
          </cell>
          <cell r="M3588" t="str">
            <v>102/51</v>
          </cell>
          <cell r="N3588">
            <v>65</v>
          </cell>
          <cell r="O3588" t="str">
            <v>155(F)</v>
          </cell>
          <cell r="P3588" t="str">
            <v>270°</v>
          </cell>
          <cell r="Q3588" t="str">
            <v>TF</v>
          </cell>
          <cell r="R3588" t="str">
            <v>V(VE)</v>
          </cell>
          <cell r="S3588" t="str">
            <v>-</v>
          </cell>
          <cell r="T3588" t="str">
            <v>-</v>
          </cell>
          <cell r="U3588" t="str">
            <v>-</v>
          </cell>
          <cell r="V3588" t="str">
            <v>FC</v>
          </cell>
          <cell r="W3588" t="str">
            <v>-</v>
          </cell>
          <cell r="X3588" t="str">
            <v>CLP VG 220 = -15° + 40°</v>
          </cell>
          <cell r="Y3588" t="str">
            <v>KH157DRN200L4 /TF/V</v>
          </cell>
          <cell r="Z3588" t="str">
            <v>SEW</v>
          </cell>
          <cell r="AB3588" t="str">
            <v>-</v>
          </cell>
          <cell r="AF3588">
            <v>18</v>
          </cell>
          <cell r="AG3588" t="str">
            <v>DRN200L4</v>
          </cell>
          <cell r="AH3588" t="str">
            <v>KH157-DRN200L4A270-X#</v>
          </cell>
        </row>
        <row r="3589">
          <cell r="A3589" t="str">
            <v>MR003578</v>
          </cell>
          <cell r="B3589" t="str">
            <v>MR</v>
          </cell>
          <cell r="C3589">
            <v>30</v>
          </cell>
          <cell r="D3589">
            <v>15</v>
          </cell>
          <cell r="E3589" t="str">
            <v>KH157</v>
          </cell>
          <cell r="F3589">
            <v>16100</v>
          </cell>
          <cell r="G3589">
            <v>100.22</v>
          </cell>
          <cell r="H3589">
            <v>1.25</v>
          </cell>
          <cell r="I3589" t="str">
            <v>From M1B to M2B - 35°</v>
          </cell>
          <cell r="J3589" t="str">
            <v>IE3</v>
          </cell>
          <cell r="K3589" t="str">
            <v>220/380/440</v>
          </cell>
          <cell r="L3589">
            <v>60</v>
          </cell>
          <cell r="M3589" t="str">
            <v>102/51</v>
          </cell>
          <cell r="N3589">
            <v>65</v>
          </cell>
          <cell r="O3589" t="str">
            <v>155(F)</v>
          </cell>
          <cell r="P3589" t="str">
            <v>270°</v>
          </cell>
          <cell r="Q3589" t="str">
            <v>TF</v>
          </cell>
          <cell r="R3589" t="str">
            <v>V(VE)</v>
          </cell>
          <cell r="S3589" t="str">
            <v>-</v>
          </cell>
          <cell r="T3589" t="str">
            <v>-</v>
          </cell>
          <cell r="U3589" t="str">
            <v>-</v>
          </cell>
          <cell r="V3589" t="str">
            <v>FC</v>
          </cell>
          <cell r="W3589" t="str">
            <v>-</v>
          </cell>
          <cell r="X3589" t="str">
            <v>CLP VG 220 = -15° + 40°</v>
          </cell>
          <cell r="Y3589" t="str">
            <v>KH157DRN200L4 /TF/V</v>
          </cell>
          <cell r="Z3589" t="str">
            <v>SEW</v>
          </cell>
          <cell r="AB3589" t="str">
            <v>-</v>
          </cell>
          <cell r="AF3589">
            <v>18</v>
          </cell>
          <cell r="AG3589" t="str">
            <v>DRN200L4</v>
          </cell>
          <cell r="AH3589" t="str">
            <v>KH157-DRN200L4B270-X#</v>
          </cell>
        </row>
        <row r="3590">
          <cell r="A3590" t="str">
            <v>MR003579</v>
          </cell>
          <cell r="B3590" t="str">
            <v>MR</v>
          </cell>
          <cell r="C3590">
            <v>5.5</v>
          </cell>
          <cell r="D3590">
            <v>68.333333333333343</v>
          </cell>
          <cell r="E3590" t="str">
            <v>R87</v>
          </cell>
          <cell r="F3590">
            <v>640</v>
          </cell>
          <cell r="G3590">
            <v>21.51</v>
          </cell>
          <cell r="H3590">
            <v>2.2999999999999998</v>
          </cell>
          <cell r="I3590" t="str">
            <v>M1</v>
          </cell>
          <cell r="J3590" t="str">
            <v>IE3</v>
          </cell>
          <cell r="K3590" t="str">
            <v>220/440</v>
          </cell>
          <cell r="L3590">
            <v>60</v>
          </cell>
          <cell r="M3590" t="str">
            <v>22,5/11,3</v>
          </cell>
          <cell r="N3590">
            <v>65</v>
          </cell>
          <cell r="O3590" t="str">
            <v>155(F)</v>
          </cell>
          <cell r="P3590" t="str">
            <v>270°</v>
          </cell>
          <cell r="Q3590" t="str">
            <v>-</v>
          </cell>
          <cell r="R3590" t="str">
            <v>-</v>
          </cell>
          <cell r="S3590" t="str">
            <v>-</v>
          </cell>
          <cell r="T3590" t="str">
            <v>-</v>
          </cell>
          <cell r="U3590" t="str">
            <v>-</v>
          </cell>
          <cell r="V3590" t="str">
            <v>D</v>
          </cell>
          <cell r="W3590" t="str">
            <v>-</v>
          </cell>
          <cell r="X3590" t="str">
            <v>CLP VG 220 = -15° + 40°</v>
          </cell>
          <cell r="Y3590" t="str">
            <v>R87DRN132S4</v>
          </cell>
          <cell r="Z3590" t="str">
            <v>SEW</v>
          </cell>
          <cell r="AB3590" t="str">
            <v>-</v>
          </cell>
          <cell r="AF3590">
            <v>82.000000000000014</v>
          </cell>
          <cell r="AG3590" t="str">
            <v>DRN132S4</v>
          </cell>
          <cell r="AH3590" t="str">
            <v>R87-DRN132S4270-X</v>
          </cell>
        </row>
        <row r="3591">
          <cell r="A3591" t="str">
            <v>MR003580</v>
          </cell>
          <cell r="B3591" t="str">
            <v>MR</v>
          </cell>
          <cell r="C3591">
            <v>11</v>
          </cell>
          <cell r="D3591">
            <v>100.83333333333334</v>
          </cell>
          <cell r="E3591" t="str">
            <v>R97</v>
          </cell>
          <cell r="F3591">
            <v>860</v>
          </cell>
          <cell r="G3591">
            <v>14.62</v>
          </cell>
          <cell r="H3591">
            <v>2.7</v>
          </cell>
          <cell r="I3591" t="str">
            <v>M4</v>
          </cell>
          <cell r="J3591" t="str">
            <v>IE3</v>
          </cell>
          <cell r="K3591" t="str">
            <v>220/440</v>
          </cell>
          <cell r="L3591">
            <v>60</v>
          </cell>
          <cell r="M3591" t="str">
            <v>38,5/19,3</v>
          </cell>
          <cell r="N3591">
            <v>65</v>
          </cell>
          <cell r="O3591" t="str">
            <v>155(F)</v>
          </cell>
          <cell r="P3591" t="str">
            <v>270°</v>
          </cell>
          <cell r="Q3591" t="str">
            <v>-</v>
          </cell>
          <cell r="R3591" t="str">
            <v>-</v>
          </cell>
          <cell r="S3591" t="str">
            <v>-</v>
          </cell>
          <cell r="T3591" t="str">
            <v>-</v>
          </cell>
          <cell r="U3591" t="str">
            <v>-</v>
          </cell>
          <cell r="V3591" t="str">
            <v>D</v>
          </cell>
          <cell r="W3591" t="str">
            <v>-</v>
          </cell>
          <cell r="X3591" t="str">
            <v>CLP VG 220 = -15° + 40°</v>
          </cell>
          <cell r="Y3591" t="str">
            <v>R97DRN160M4</v>
          </cell>
          <cell r="Z3591" t="str">
            <v>SEW</v>
          </cell>
          <cell r="AB3591" t="str">
            <v>-</v>
          </cell>
          <cell r="AF3591">
            <v>121.00000000000001</v>
          </cell>
          <cell r="AG3591" t="str">
            <v>DRN160M4</v>
          </cell>
          <cell r="AH3591" t="str">
            <v>R97-DRN160M4270-X</v>
          </cell>
        </row>
        <row r="3592">
          <cell r="A3592" t="str">
            <v>MR003581</v>
          </cell>
          <cell r="B3592" t="str">
            <v>MR</v>
          </cell>
          <cell r="C3592">
            <v>11</v>
          </cell>
          <cell r="D3592">
            <v>47.5</v>
          </cell>
          <cell r="E3592" t="str">
            <v>KH87</v>
          </cell>
          <cell r="F3592">
            <v>1850</v>
          </cell>
          <cell r="G3592">
            <v>31.39</v>
          </cell>
          <cell r="H3592">
            <v>1.45</v>
          </cell>
          <cell r="I3592" t="str">
            <v>M4B</v>
          </cell>
          <cell r="J3592" t="str">
            <v>IE3</v>
          </cell>
          <cell r="K3592" t="str">
            <v>220/440</v>
          </cell>
          <cell r="L3592">
            <v>60</v>
          </cell>
          <cell r="M3592" t="str">
            <v>38,5/19,3</v>
          </cell>
          <cell r="N3592">
            <v>65</v>
          </cell>
          <cell r="O3592" t="str">
            <v>155(F)</v>
          </cell>
          <cell r="P3592" t="str">
            <v>270°</v>
          </cell>
          <cell r="Q3592" t="str">
            <v>-</v>
          </cell>
          <cell r="R3592" t="str">
            <v>-</v>
          </cell>
          <cell r="S3592" t="str">
            <v>Free rotation CW</v>
          </cell>
          <cell r="T3592" t="str">
            <v>-</v>
          </cell>
          <cell r="U3592" t="str">
            <v>T</v>
          </cell>
          <cell r="V3592" t="str">
            <v>SS</v>
          </cell>
          <cell r="W3592" t="str">
            <v>-</v>
          </cell>
          <cell r="X3592" t="str">
            <v>CLP VG 220 = -15° + 40°</v>
          </cell>
          <cell r="Y3592" t="str">
            <v>KH87/T DRN160M4 /RS</v>
          </cell>
          <cell r="Z3592" t="str">
            <v>SEW</v>
          </cell>
          <cell r="AB3592" t="str">
            <v>-</v>
          </cell>
          <cell r="AF3592">
            <v>57</v>
          </cell>
          <cell r="AG3592" t="str">
            <v>DRN160M4</v>
          </cell>
          <cell r="AH3592" t="str">
            <v>KH87T-DRN160M4B270-X</v>
          </cell>
        </row>
        <row r="3593">
          <cell r="A3593" t="str">
            <v>MR003582</v>
          </cell>
          <cell r="B3593" t="str">
            <v>MR</v>
          </cell>
          <cell r="C3593">
            <v>9.1999999999999993</v>
          </cell>
          <cell r="D3593">
            <v>48.333333333333336</v>
          </cell>
          <cell r="E3593" t="str">
            <v>KH97</v>
          </cell>
          <cell r="F3593">
            <v>1520</v>
          </cell>
          <cell r="G3593">
            <v>30.82</v>
          </cell>
          <cell r="H3593">
            <v>2.8</v>
          </cell>
          <cell r="I3593" t="str">
            <v>M4B</v>
          </cell>
          <cell r="J3593" t="str">
            <v>IE3</v>
          </cell>
          <cell r="K3593" t="str">
            <v>220/440</v>
          </cell>
          <cell r="L3593">
            <v>60</v>
          </cell>
          <cell r="M3593" t="str">
            <v>34,5/17,2</v>
          </cell>
          <cell r="N3593">
            <v>65</v>
          </cell>
          <cell r="O3593" t="str">
            <v>155(F)</v>
          </cell>
          <cell r="P3593" t="str">
            <v>270°</v>
          </cell>
          <cell r="Q3593" t="str">
            <v>-</v>
          </cell>
          <cell r="R3593" t="str">
            <v>-</v>
          </cell>
          <cell r="S3593" t="str">
            <v>Free rotation CW</v>
          </cell>
          <cell r="T3593" t="str">
            <v>-</v>
          </cell>
          <cell r="U3593" t="str">
            <v>T</v>
          </cell>
          <cell r="V3593" t="str">
            <v>SS</v>
          </cell>
          <cell r="W3593" t="str">
            <v>-</v>
          </cell>
          <cell r="X3593" t="str">
            <v>CLP VG 220 = -15° + 40°</v>
          </cell>
          <cell r="Y3593" t="str">
            <v>KH97/T DRN132L4 /RS</v>
          </cell>
          <cell r="Z3593" t="str">
            <v>SEW</v>
          </cell>
          <cell r="AB3593" t="str">
            <v>-</v>
          </cell>
          <cell r="AF3593">
            <v>58</v>
          </cell>
          <cell r="AG3593" t="str">
            <v>DRN132L4</v>
          </cell>
          <cell r="AH3593" t="str">
            <v>KH97T-DRN132L4B270-X</v>
          </cell>
        </row>
        <row r="3594">
          <cell r="A3594" t="str">
            <v>MR003583</v>
          </cell>
          <cell r="B3594" t="str">
            <v>MR</v>
          </cell>
          <cell r="C3594">
            <v>0.75</v>
          </cell>
          <cell r="D3594">
            <v>139.16666666666669</v>
          </cell>
          <cell r="E3594" t="str">
            <v>KA37</v>
          </cell>
          <cell r="F3594">
            <v>43</v>
          </cell>
          <cell r="G3594">
            <v>10.49</v>
          </cell>
          <cell r="H3594">
            <v>3.7</v>
          </cell>
          <cell r="I3594" t="str">
            <v>From M1A to M2A - 30°</v>
          </cell>
          <cell r="J3594" t="str">
            <v>IE3</v>
          </cell>
          <cell r="K3594" t="str">
            <v>220/440</v>
          </cell>
          <cell r="L3594">
            <v>60</v>
          </cell>
          <cell r="M3594" t="str">
            <v>3,25/1,63</v>
          </cell>
          <cell r="N3594">
            <v>65</v>
          </cell>
          <cell r="O3594" t="str">
            <v>155(F)</v>
          </cell>
          <cell r="P3594" t="str">
            <v>270°</v>
          </cell>
          <cell r="Q3594" t="str">
            <v>-</v>
          </cell>
          <cell r="R3594" t="str">
            <v>-</v>
          </cell>
          <cell r="S3594" t="str">
            <v>-</v>
          </cell>
          <cell r="T3594" t="str">
            <v>-</v>
          </cell>
          <cell r="U3594" t="str">
            <v>T</v>
          </cell>
          <cell r="V3594" t="str">
            <v>D</v>
          </cell>
          <cell r="W3594" t="str">
            <v>-</v>
          </cell>
          <cell r="X3594" t="str">
            <v>CLP VG 220 = -15° + 40°</v>
          </cell>
          <cell r="Y3594" t="str">
            <v>KA37/T DRN80M4</v>
          </cell>
          <cell r="Z3594" t="str">
            <v>SEW</v>
          </cell>
          <cell r="AB3594" t="str">
            <v>-</v>
          </cell>
          <cell r="AF3594">
            <v>167.00000000000003</v>
          </cell>
          <cell r="AG3594" t="str">
            <v>DRN80M4</v>
          </cell>
          <cell r="AH3594" t="str">
            <v>KA37T-DRN80M4A270-X</v>
          </cell>
        </row>
        <row r="3595">
          <cell r="A3595" t="str">
            <v>MR003584</v>
          </cell>
          <cell r="B3595" t="str">
            <v>MR</v>
          </cell>
          <cell r="C3595">
            <v>0.75</v>
          </cell>
          <cell r="D3595">
            <v>139.16666666666669</v>
          </cell>
          <cell r="E3595" t="str">
            <v>KA37</v>
          </cell>
          <cell r="F3595">
            <v>43</v>
          </cell>
          <cell r="G3595">
            <v>10.49</v>
          </cell>
          <cell r="H3595">
            <v>3.7</v>
          </cell>
          <cell r="I3595" t="str">
            <v>M1B</v>
          </cell>
          <cell r="J3595" t="str">
            <v>IE3</v>
          </cell>
          <cell r="K3595" t="str">
            <v>220/440</v>
          </cell>
          <cell r="L3595">
            <v>60</v>
          </cell>
          <cell r="M3595" t="str">
            <v>3,25/1,63</v>
          </cell>
          <cell r="N3595">
            <v>65</v>
          </cell>
          <cell r="O3595" t="str">
            <v>155(F)</v>
          </cell>
          <cell r="P3595" t="str">
            <v>270°</v>
          </cell>
          <cell r="Q3595" t="str">
            <v>-</v>
          </cell>
          <cell r="R3595" t="str">
            <v>-</v>
          </cell>
          <cell r="S3595" t="str">
            <v>-</v>
          </cell>
          <cell r="T3595" t="str">
            <v>-</v>
          </cell>
          <cell r="U3595" t="str">
            <v>T</v>
          </cell>
          <cell r="V3595" t="str">
            <v>D</v>
          </cell>
          <cell r="W3595" t="str">
            <v>-</v>
          </cell>
          <cell r="X3595" t="str">
            <v>CLP VG 220 = -15° + 40°</v>
          </cell>
          <cell r="Y3595" t="str">
            <v>KA37/T DRN80M4</v>
          </cell>
          <cell r="Z3595" t="str">
            <v>SEW</v>
          </cell>
          <cell r="AB3595" t="str">
            <v>-</v>
          </cell>
          <cell r="AF3595">
            <v>167.00000000000003</v>
          </cell>
          <cell r="AG3595" t="str">
            <v>DRN80M4</v>
          </cell>
          <cell r="AH3595" t="str">
            <v>KA37T-DRN80M4B270-X</v>
          </cell>
        </row>
        <row r="3596">
          <cell r="A3596" t="str">
            <v>MR003585</v>
          </cell>
          <cell r="B3596" t="str">
            <v>MR</v>
          </cell>
          <cell r="C3596">
            <v>22</v>
          </cell>
          <cell r="D3596">
            <v>40</v>
          </cell>
          <cell r="E3596" t="str">
            <v>KH107</v>
          </cell>
          <cell r="F3596">
            <v>4360</v>
          </cell>
          <cell r="G3596">
            <v>37</v>
          </cell>
          <cell r="H3596">
            <v>1.65</v>
          </cell>
          <cell r="I3596" t="str">
            <v>M4A</v>
          </cell>
          <cell r="J3596" t="str">
            <v>IE3</v>
          </cell>
          <cell r="K3596" t="str">
            <v>220/380/440</v>
          </cell>
          <cell r="L3596">
            <v>60</v>
          </cell>
          <cell r="M3596" t="str">
            <v>71/35,5</v>
          </cell>
          <cell r="N3596">
            <v>65</v>
          </cell>
          <cell r="O3596" t="str">
            <v>155(F)</v>
          </cell>
          <cell r="P3596" t="str">
            <v>270°</v>
          </cell>
          <cell r="Q3596" t="str">
            <v>-</v>
          </cell>
          <cell r="R3596" t="str">
            <v>-</v>
          </cell>
          <cell r="S3596" t="str">
            <v>Free rotation CCW</v>
          </cell>
          <cell r="T3596" t="str">
            <v>-</v>
          </cell>
          <cell r="U3596" t="str">
            <v>T</v>
          </cell>
          <cell r="V3596" t="str">
            <v>SS</v>
          </cell>
          <cell r="W3596" t="str">
            <v>-</v>
          </cell>
          <cell r="X3596" t="str">
            <v>CLP VG 220 = -15° + 40°</v>
          </cell>
          <cell r="Y3596" t="str">
            <v>KH107/T DRN180L4 /RS</v>
          </cell>
          <cell r="Z3596" t="str">
            <v>SEW</v>
          </cell>
          <cell r="AB3596" t="str">
            <v>-</v>
          </cell>
          <cell r="AF3596">
            <v>48</v>
          </cell>
          <cell r="AG3596" t="str">
            <v>DRN180L4</v>
          </cell>
          <cell r="AH3596" t="str">
            <v>KH107T-DRN180L4A270-X</v>
          </cell>
        </row>
        <row r="3597">
          <cell r="A3597" t="str">
            <v>MR003586</v>
          </cell>
          <cell r="B3597" t="str">
            <v>MR</v>
          </cell>
          <cell r="C3597">
            <v>18.5</v>
          </cell>
          <cell r="D3597">
            <v>40</v>
          </cell>
          <cell r="E3597" t="str">
            <v>KH107</v>
          </cell>
          <cell r="F3597">
            <v>3670</v>
          </cell>
          <cell r="G3597">
            <v>37</v>
          </cell>
          <cell r="H3597">
            <v>1.95</v>
          </cell>
          <cell r="I3597" t="str">
            <v>M4B</v>
          </cell>
          <cell r="J3597" t="str">
            <v>IE3</v>
          </cell>
          <cell r="K3597" t="str">
            <v>220/380/440</v>
          </cell>
          <cell r="L3597">
            <v>60</v>
          </cell>
          <cell r="M3597" t="str">
            <v>62/31</v>
          </cell>
          <cell r="N3597">
            <v>65</v>
          </cell>
          <cell r="O3597" t="str">
            <v>155(F)</v>
          </cell>
          <cell r="P3597" t="str">
            <v>270°</v>
          </cell>
          <cell r="Q3597" t="str">
            <v>-</v>
          </cell>
          <cell r="R3597" t="str">
            <v>-</v>
          </cell>
          <cell r="S3597" t="str">
            <v>-</v>
          </cell>
          <cell r="T3597" t="str">
            <v>-</v>
          </cell>
          <cell r="U3597" t="str">
            <v>T</v>
          </cell>
          <cell r="V3597" t="str">
            <v>SS</v>
          </cell>
          <cell r="W3597" t="str">
            <v>-</v>
          </cell>
          <cell r="X3597" t="str">
            <v>CLP VG 220 = -15° + 40°</v>
          </cell>
          <cell r="Y3597" t="str">
            <v>KH107/T DRN180M4</v>
          </cell>
          <cell r="Z3597" t="str">
            <v>SEW</v>
          </cell>
          <cell r="AB3597" t="str">
            <v>-</v>
          </cell>
          <cell r="AF3597">
            <v>48</v>
          </cell>
          <cell r="AG3597" t="str">
            <v>DRN180M4</v>
          </cell>
          <cell r="AH3597" t="str">
            <v>KH107T-DRN180M4B270-X</v>
          </cell>
        </row>
        <row r="3598">
          <cell r="A3598" t="str">
            <v>MR003587</v>
          </cell>
          <cell r="B3598" t="str">
            <v>MR</v>
          </cell>
          <cell r="C3598">
            <v>22</v>
          </cell>
          <cell r="D3598">
            <v>40</v>
          </cell>
          <cell r="E3598" t="str">
            <v>KH107</v>
          </cell>
          <cell r="F3598">
            <v>4360</v>
          </cell>
          <cell r="G3598">
            <v>37</v>
          </cell>
          <cell r="H3598">
            <v>1.65</v>
          </cell>
          <cell r="I3598" t="str">
            <v>M4A</v>
          </cell>
          <cell r="J3598" t="str">
            <v>IE3</v>
          </cell>
          <cell r="K3598" t="str">
            <v>220/380/440</v>
          </cell>
          <cell r="L3598">
            <v>60</v>
          </cell>
          <cell r="M3598" t="str">
            <v>71/35,5</v>
          </cell>
          <cell r="N3598">
            <v>65</v>
          </cell>
          <cell r="O3598" t="str">
            <v>155(F)</v>
          </cell>
          <cell r="P3598" t="str">
            <v>270°</v>
          </cell>
          <cell r="Q3598" t="str">
            <v>-</v>
          </cell>
          <cell r="R3598" t="str">
            <v>-</v>
          </cell>
          <cell r="S3598" t="str">
            <v>-</v>
          </cell>
          <cell r="T3598" t="str">
            <v>-</v>
          </cell>
          <cell r="U3598" t="str">
            <v>T</v>
          </cell>
          <cell r="V3598" t="str">
            <v>SS</v>
          </cell>
          <cell r="W3598" t="str">
            <v>-</v>
          </cell>
          <cell r="X3598" t="str">
            <v>CLP VG 220 = -15° + 40°</v>
          </cell>
          <cell r="Y3598" t="str">
            <v>KH107/T DRN180L4</v>
          </cell>
          <cell r="Z3598" t="str">
            <v>SEW</v>
          </cell>
          <cell r="AB3598" t="str">
            <v>-</v>
          </cell>
          <cell r="AF3598">
            <v>48</v>
          </cell>
          <cell r="AG3598" t="str">
            <v>DRN180L4</v>
          </cell>
          <cell r="AH3598" t="str">
            <v>KH107T-DRN180L4A270-X</v>
          </cell>
        </row>
        <row r="3599">
          <cell r="A3599" t="str">
            <v>MR003588</v>
          </cell>
          <cell r="B3599" t="str">
            <v>ME</v>
          </cell>
          <cell r="C3599">
            <v>3</v>
          </cell>
          <cell r="D3599">
            <v>1456</v>
          </cell>
          <cell r="E3599" t="str">
            <v>-</v>
          </cell>
          <cell r="I3599" t="str">
            <v>M1</v>
          </cell>
          <cell r="J3599" t="str">
            <v>IE3</v>
          </cell>
          <cell r="K3599" t="str">
            <v>230/400</v>
          </cell>
          <cell r="L3599">
            <v>50</v>
          </cell>
          <cell r="N3599">
            <v>55</v>
          </cell>
          <cell r="O3599" t="str">
            <v>155(F)</v>
          </cell>
          <cell r="P3599" t="str">
            <v>-</v>
          </cell>
          <cell r="Q3599" t="str">
            <v>-</v>
          </cell>
          <cell r="R3599" t="str">
            <v>-</v>
          </cell>
          <cell r="S3599" t="str">
            <v>-</v>
          </cell>
          <cell r="T3599" t="str">
            <v>-</v>
          </cell>
          <cell r="U3599" t="str">
            <v>-</v>
          </cell>
          <cell r="V3599" t="str">
            <v>-</v>
          </cell>
          <cell r="W3599" t="str">
            <v>-</v>
          </cell>
          <cell r="X3599" t="str">
            <v>-</v>
          </cell>
          <cell r="Y3599" t="str">
            <v>DRN100L4/FG</v>
          </cell>
          <cell r="Z3599" t="str">
            <v>SEW</v>
          </cell>
          <cell r="AB3599" t="str">
            <v>-</v>
          </cell>
          <cell r="AE3599" t="str">
            <v>con opzione /FG165/200= motore modulare con flangia per accoppiamento a riduttori SEW; estremità albero uscita 16mm</v>
          </cell>
          <cell r="AF3599">
            <v>1456</v>
          </cell>
          <cell r="AG3599" t="str">
            <v>DRN100L4</v>
          </cell>
          <cell r="AH3599" t="str">
            <v>--DRN100L4--X</v>
          </cell>
        </row>
        <row r="3600">
          <cell r="A3600" t="str">
            <v>MR003589</v>
          </cell>
          <cell r="B3600" t="str">
            <v>MR</v>
          </cell>
          <cell r="C3600">
            <v>3</v>
          </cell>
          <cell r="D3600">
            <v>11</v>
          </cell>
          <cell r="E3600" t="str">
            <v>KH87</v>
          </cell>
          <cell r="F3600">
            <v>2490</v>
          </cell>
          <cell r="G3600">
            <v>126.91</v>
          </cell>
          <cell r="H3600">
            <v>1.1000000000000001</v>
          </cell>
          <cell r="I3600" t="str">
            <v>M4A</v>
          </cell>
          <cell r="J3600" t="str">
            <v>IE3</v>
          </cell>
          <cell r="K3600" t="str">
            <v>230/400</v>
          </cell>
          <cell r="L3600">
            <v>50</v>
          </cell>
          <cell r="M3600" t="str">
            <v>11,2/6,4</v>
          </cell>
          <cell r="N3600">
            <v>65</v>
          </cell>
          <cell r="O3600" t="str">
            <v>155(F)</v>
          </cell>
          <cell r="P3600" t="str">
            <v>270°</v>
          </cell>
          <cell r="Q3600" t="str">
            <v>TF</v>
          </cell>
          <cell r="R3600" t="str">
            <v>-</v>
          </cell>
          <cell r="S3600" t="str">
            <v>-</v>
          </cell>
          <cell r="T3600" t="str">
            <v>-</v>
          </cell>
          <cell r="U3600" t="str">
            <v>-</v>
          </cell>
          <cell r="V3600" t="str">
            <v>FC</v>
          </cell>
          <cell r="W3600" t="str">
            <v>-</v>
          </cell>
          <cell r="X3600" t="str">
            <v>CLP HC 150 (-30/+50°C)</v>
          </cell>
          <cell r="Y3600" t="str">
            <v>KH87DRN100L4 /TF</v>
          </cell>
          <cell r="Z3600" t="str">
            <v>SEW</v>
          </cell>
          <cell r="AB3600" t="str">
            <v>-</v>
          </cell>
          <cell r="AF3600">
            <v>11</v>
          </cell>
          <cell r="AG3600" t="str">
            <v>DRN100L4</v>
          </cell>
          <cell r="AH3600" t="str">
            <v>KH87-DRN100L4A270-X</v>
          </cell>
        </row>
        <row r="3601">
          <cell r="A3601" t="str">
            <v>MR003590</v>
          </cell>
          <cell r="B3601" t="str">
            <v>MR</v>
          </cell>
          <cell r="C3601">
            <v>4</v>
          </cell>
          <cell r="D3601">
            <v>67</v>
          </cell>
          <cell r="E3601" t="str">
            <v>FH67</v>
          </cell>
          <cell r="F3601">
            <v>575</v>
          </cell>
          <cell r="G3601" t="str">
            <v>22,05</v>
          </cell>
          <cell r="H3601" t="str">
            <v>1,45</v>
          </cell>
          <cell r="I3601" t="str">
            <v>From M1 to M4 - 15°</v>
          </cell>
          <cell r="J3601" t="str">
            <v>IE3</v>
          </cell>
          <cell r="K3601" t="str">
            <v>230/400</v>
          </cell>
          <cell r="L3601">
            <v>50</v>
          </cell>
          <cell r="M3601" t="str">
            <v>13,8/7,9</v>
          </cell>
          <cell r="N3601">
            <v>55</v>
          </cell>
          <cell r="O3601" t="str">
            <v>155(F)</v>
          </cell>
          <cell r="P3601" t="str">
            <v>270°</v>
          </cell>
          <cell r="Q3601" t="str">
            <v>-</v>
          </cell>
          <cell r="R3601" t="str">
            <v>-</v>
          </cell>
          <cell r="S3601" t="str">
            <v>-</v>
          </cell>
          <cell r="T3601" t="str">
            <v>-</v>
          </cell>
          <cell r="U3601" t="str">
            <v>G</v>
          </cell>
          <cell r="V3601" t="str">
            <v>D</v>
          </cell>
          <cell r="W3601" t="str">
            <v>-</v>
          </cell>
          <cell r="X3601" t="str">
            <v>CLP VG 220 = -15° + 40°</v>
          </cell>
          <cell r="Y3601" t="str">
            <v>FH67/G DRN112M4</v>
          </cell>
          <cell r="Z3601" t="str">
            <v>SEW</v>
          </cell>
          <cell r="AB3601" t="str">
            <v>-</v>
          </cell>
          <cell r="AF3601">
            <v>67</v>
          </cell>
          <cell r="AG3601" t="str">
            <v>DRN112M4</v>
          </cell>
          <cell r="AH3601" t="str">
            <v>FH67G-DRN112M4270-X</v>
          </cell>
        </row>
        <row r="3602">
          <cell r="A3602" t="str">
            <v>MR003591</v>
          </cell>
          <cell r="B3602" t="str">
            <v>MR</v>
          </cell>
          <cell r="C3602">
            <v>5.5</v>
          </cell>
          <cell r="D3602">
            <v>68</v>
          </cell>
          <cell r="E3602" t="str">
            <v>FH77</v>
          </cell>
          <cell r="F3602">
            <v>770</v>
          </cell>
          <cell r="G3602" t="str">
            <v>21,43</v>
          </cell>
          <cell r="H3602" t="str">
            <v>1,95</v>
          </cell>
          <cell r="I3602" t="str">
            <v>From M1 to M4 - 15°</v>
          </cell>
          <cell r="J3602" t="str">
            <v>IE3</v>
          </cell>
          <cell r="K3602" t="str">
            <v>230/400</v>
          </cell>
          <cell r="L3602">
            <v>50</v>
          </cell>
          <cell r="M3602" t="str">
            <v>18,2/10,5</v>
          </cell>
          <cell r="N3602">
            <v>55</v>
          </cell>
          <cell r="O3602" t="str">
            <v>155(F)</v>
          </cell>
          <cell r="P3602" t="str">
            <v>270°</v>
          </cell>
          <cell r="Q3602" t="str">
            <v>-</v>
          </cell>
          <cell r="R3602" t="str">
            <v>-</v>
          </cell>
          <cell r="S3602" t="str">
            <v>-</v>
          </cell>
          <cell r="T3602" t="str">
            <v>-</v>
          </cell>
          <cell r="U3602" t="str">
            <v>G</v>
          </cell>
          <cell r="V3602" t="str">
            <v>D</v>
          </cell>
          <cell r="W3602" t="str">
            <v>-</v>
          </cell>
          <cell r="X3602" t="str">
            <v>CLP VG 220 = -15° + 40°</v>
          </cell>
          <cell r="Y3602" t="str">
            <v>FH77/G DRN132S4</v>
          </cell>
          <cell r="Z3602" t="str">
            <v>SEW</v>
          </cell>
          <cell r="AB3602" t="str">
            <v>-</v>
          </cell>
          <cell r="AF3602">
            <v>68</v>
          </cell>
          <cell r="AG3602" t="str">
            <v>DRN132S4</v>
          </cell>
          <cell r="AH3602" t="str">
            <v>FH77G-DRN132S4270-X</v>
          </cell>
        </row>
        <row r="3603">
          <cell r="A3603" t="str">
            <v>MR003592</v>
          </cell>
          <cell r="B3603" t="str">
            <v>MR</v>
          </cell>
          <cell r="C3603">
            <v>11</v>
          </cell>
          <cell r="D3603">
            <v>15</v>
          </cell>
          <cell r="E3603" t="str">
            <v>KH107</v>
          </cell>
          <cell r="F3603">
            <v>7190</v>
          </cell>
          <cell r="G3603" t="str">
            <v>100,75</v>
          </cell>
          <cell r="H3603" t="str">
            <v>1,1</v>
          </cell>
          <cell r="I3603" t="str">
            <v>From M1B to M2B - 20°</v>
          </cell>
          <cell r="J3603" t="str">
            <v>IE3</v>
          </cell>
          <cell r="K3603" t="str">
            <v>400/690</v>
          </cell>
          <cell r="L3603">
            <v>50</v>
          </cell>
          <cell r="M3603" t="str">
            <v>21/12,2</v>
          </cell>
          <cell r="N3603">
            <v>55</v>
          </cell>
          <cell r="O3603" t="str">
            <v>155(F)</v>
          </cell>
          <cell r="P3603" t="str">
            <v>0°</v>
          </cell>
          <cell r="Q3603" t="str">
            <v>-</v>
          </cell>
          <cell r="R3603" t="str">
            <v>-</v>
          </cell>
          <cell r="S3603" t="str">
            <v>-</v>
          </cell>
          <cell r="T3603" t="str">
            <v>-</v>
          </cell>
          <cell r="U3603" t="str">
            <v>-</v>
          </cell>
          <cell r="V3603" t="str">
            <v>SS</v>
          </cell>
          <cell r="W3603" t="str">
            <v>-</v>
          </cell>
          <cell r="X3603" t="str">
            <v>CLP 220 (-15/+40°C)</v>
          </cell>
          <cell r="Y3603" t="str">
            <v>KH107DRN160M4</v>
          </cell>
          <cell r="Z3603" t="str">
            <v>SEW</v>
          </cell>
          <cell r="AB3603" t="str">
            <v>-</v>
          </cell>
          <cell r="AF3603">
            <v>15</v>
          </cell>
          <cell r="AG3603" t="str">
            <v>DRN160M4</v>
          </cell>
          <cell r="AH3603" t="str">
            <v>KH107-DRN160M4B0-X</v>
          </cell>
        </row>
        <row r="3604">
          <cell r="A3604" t="str">
            <v>MR003593</v>
          </cell>
          <cell r="B3604" t="str">
            <v>MR</v>
          </cell>
          <cell r="C3604">
            <v>7.5</v>
          </cell>
          <cell r="D3604">
            <v>29</v>
          </cell>
          <cell r="E3604" t="str">
            <v>FH87</v>
          </cell>
          <cell r="F3604">
            <v>2450</v>
          </cell>
          <cell r="G3604" t="str">
            <v>50,36</v>
          </cell>
          <cell r="H3604" t="str">
            <v>1,2</v>
          </cell>
          <cell r="I3604" t="str">
            <v>From M1 to M2 - 15°</v>
          </cell>
          <cell r="J3604" t="str">
            <v>IE3</v>
          </cell>
          <cell r="K3604" t="str">
            <v>230/400</v>
          </cell>
          <cell r="L3604">
            <v>50</v>
          </cell>
          <cell r="M3604" t="str">
            <v>26,5/15,2</v>
          </cell>
          <cell r="N3604">
            <v>55</v>
          </cell>
          <cell r="O3604" t="str">
            <v>155(F)</v>
          </cell>
          <cell r="P3604" t="str">
            <v>270°</v>
          </cell>
          <cell r="Q3604" t="str">
            <v>TF</v>
          </cell>
          <cell r="R3604" t="str">
            <v>V(VE)</v>
          </cell>
          <cell r="S3604" t="str">
            <v>-</v>
          </cell>
          <cell r="T3604" t="str">
            <v>-</v>
          </cell>
          <cell r="U3604" t="str">
            <v>G</v>
          </cell>
          <cell r="V3604" t="str">
            <v>FC</v>
          </cell>
          <cell r="W3604" t="str">
            <v>-</v>
          </cell>
          <cell r="X3604" t="str">
            <v>CLP VG 220 = -15° + 40°</v>
          </cell>
          <cell r="Y3604" t="str">
            <v>FH87/G DRN132M4 /TF/V</v>
          </cell>
          <cell r="Z3604" t="str">
            <v>SEW</v>
          </cell>
          <cell r="AB3604" t="str">
            <v>-</v>
          </cell>
          <cell r="AF3604">
            <v>29</v>
          </cell>
          <cell r="AG3604" t="str">
            <v>DRN132M4</v>
          </cell>
          <cell r="AH3604" t="str">
            <v>FH87G-DRN132M4270-X#</v>
          </cell>
        </row>
        <row r="3605">
          <cell r="A3605" t="str">
            <v>MR003594</v>
          </cell>
          <cell r="B3605" t="str">
            <v>MR</v>
          </cell>
          <cell r="C3605">
            <v>5.5</v>
          </cell>
          <cell r="D3605">
            <v>14</v>
          </cell>
          <cell r="E3605" t="str">
            <v>KH97</v>
          </cell>
          <cell r="F3605">
            <v>3780</v>
          </cell>
          <cell r="G3605" t="str">
            <v>105,13</v>
          </cell>
          <cell r="H3605" t="str">
            <v>1,15</v>
          </cell>
          <cell r="I3605" t="str">
            <v>From M1A to M2A - 30°</v>
          </cell>
          <cell r="J3605" t="str">
            <v>IE3</v>
          </cell>
          <cell r="K3605" t="str">
            <v>230/400</v>
          </cell>
          <cell r="L3605">
            <v>50</v>
          </cell>
          <cell r="M3605" t="str">
            <v>18,2/10,5</v>
          </cell>
          <cell r="N3605">
            <v>55</v>
          </cell>
          <cell r="O3605" t="str">
            <v>155(F)</v>
          </cell>
          <cell r="P3605" t="str">
            <v>180°</v>
          </cell>
          <cell r="Q3605" t="str">
            <v>TF</v>
          </cell>
          <cell r="R3605" t="str">
            <v>-</v>
          </cell>
          <cell r="S3605" t="str">
            <v>-</v>
          </cell>
          <cell r="T3605" t="str">
            <v>-</v>
          </cell>
          <cell r="U3605" t="str">
            <v>-</v>
          </cell>
          <cell r="V3605" t="str">
            <v>SS</v>
          </cell>
          <cell r="W3605" t="str">
            <v>-</v>
          </cell>
          <cell r="X3605" t="str">
            <v>CLP 220 (-15/+40°C)</v>
          </cell>
          <cell r="Y3605" t="str">
            <v>KH97DRN132S4 /TF</v>
          </cell>
          <cell r="Z3605" t="str">
            <v>SEW</v>
          </cell>
          <cell r="AB3605" t="str">
            <v>-</v>
          </cell>
          <cell r="AF3605">
            <v>14</v>
          </cell>
          <cell r="AG3605" t="str">
            <v>DRN132S4</v>
          </cell>
          <cell r="AH3605" t="str">
            <v>KH97-DRN132S4A180-X</v>
          </cell>
        </row>
        <row r="3606">
          <cell r="A3606" t="str">
            <v>MR003595</v>
          </cell>
          <cell r="B3606" t="str">
            <v>MR</v>
          </cell>
          <cell r="C3606">
            <v>5.5</v>
          </cell>
          <cell r="D3606">
            <v>14</v>
          </cell>
          <cell r="E3606" t="str">
            <v>KH97</v>
          </cell>
          <cell r="F3606">
            <v>3780</v>
          </cell>
          <cell r="G3606" t="str">
            <v>105,13</v>
          </cell>
          <cell r="H3606" t="str">
            <v>1,15</v>
          </cell>
          <cell r="I3606" t="str">
            <v>From M1B to M2B - 30°</v>
          </cell>
          <cell r="J3606" t="str">
            <v>IE3</v>
          </cell>
          <cell r="K3606" t="str">
            <v>230/400</v>
          </cell>
          <cell r="L3606">
            <v>50</v>
          </cell>
          <cell r="M3606" t="str">
            <v>18,2/10,5</v>
          </cell>
          <cell r="N3606">
            <v>55</v>
          </cell>
          <cell r="O3606" t="str">
            <v>155(F)</v>
          </cell>
          <cell r="P3606" t="str">
            <v>0°</v>
          </cell>
          <cell r="Q3606" t="str">
            <v>TF</v>
          </cell>
          <cell r="R3606" t="str">
            <v>-</v>
          </cell>
          <cell r="S3606" t="str">
            <v>-</v>
          </cell>
          <cell r="T3606" t="str">
            <v>-</v>
          </cell>
          <cell r="U3606" t="str">
            <v>-</v>
          </cell>
          <cell r="V3606" t="str">
            <v>SS</v>
          </cell>
          <cell r="W3606" t="str">
            <v>-</v>
          </cell>
          <cell r="X3606" t="str">
            <v>CLP 220 (-15/+40°C)</v>
          </cell>
          <cell r="Y3606" t="str">
            <v>KH97DRN132S4 /TF</v>
          </cell>
          <cell r="Z3606" t="str">
            <v>SEW</v>
          </cell>
          <cell r="AB3606" t="str">
            <v>-</v>
          </cell>
          <cell r="AF3606">
            <v>14</v>
          </cell>
          <cell r="AG3606" t="str">
            <v>DRN132S4</v>
          </cell>
          <cell r="AH3606" t="str">
            <v>KH97-DRN132S4B0-X</v>
          </cell>
        </row>
        <row r="3607">
          <cell r="A3607" t="str">
            <v>MR003596</v>
          </cell>
          <cell r="B3607" t="str">
            <v>MR</v>
          </cell>
          <cell r="C3607">
            <v>7.5</v>
          </cell>
          <cell r="D3607">
            <v>62</v>
          </cell>
          <cell r="E3607" t="str">
            <v>FH87</v>
          </cell>
          <cell r="F3607">
            <v>1150</v>
          </cell>
          <cell r="G3607" t="str">
            <v>23,68</v>
          </cell>
          <cell r="H3607" t="str">
            <v>2,6</v>
          </cell>
          <cell r="I3607" t="str">
            <v>From M1 to M4 - 15°</v>
          </cell>
          <cell r="J3607" t="str">
            <v>IE3</v>
          </cell>
          <cell r="K3607" t="str">
            <v>400/690</v>
          </cell>
          <cell r="L3607">
            <v>50</v>
          </cell>
          <cell r="M3607" t="str">
            <v>15,2/8,8</v>
          </cell>
          <cell r="N3607">
            <v>55</v>
          </cell>
          <cell r="O3607" t="str">
            <v>155(F)</v>
          </cell>
          <cell r="P3607" t="str">
            <v>270°</v>
          </cell>
          <cell r="Q3607" t="str">
            <v>-</v>
          </cell>
          <cell r="R3607" t="str">
            <v>-</v>
          </cell>
          <cell r="S3607" t="str">
            <v>-</v>
          </cell>
          <cell r="T3607" t="str">
            <v>-</v>
          </cell>
          <cell r="U3607" t="str">
            <v>G</v>
          </cell>
          <cell r="V3607" t="str">
            <v>D+R</v>
          </cell>
          <cell r="W3607" t="str">
            <v>-</v>
          </cell>
          <cell r="X3607" t="str">
            <v>CLP VG 220 = -15° + 40°</v>
          </cell>
          <cell r="Y3607" t="str">
            <v>FH87/G DRN132M4</v>
          </cell>
          <cell r="Z3607" t="str">
            <v>SEW</v>
          </cell>
          <cell r="AB3607" t="str">
            <v>-</v>
          </cell>
          <cell r="AF3607">
            <v>62</v>
          </cell>
          <cell r="AG3607" t="str">
            <v>DRN132M4</v>
          </cell>
          <cell r="AH3607" t="str">
            <v>FH87G-DRN132M4270-X</v>
          </cell>
        </row>
        <row r="3608">
          <cell r="A3608" t="str">
            <v>MR003597</v>
          </cell>
          <cell r="B3608" t="str">
            <v>MR</v>
          </cell>
          <cell r="C3608">
            <v>22</v>
          </cell>
          <cell r="D3608">
            <v>46</v>
          </cell>
          <cell r="E3608" t="str">
            <v>FH107</v>
          </cell>
          <cell r="F3608">
            <v>4520</v>
          </cell>
          <cell r="G3608">
            <v>31.8</v>
          </cell>
          <cell r="H3608">
            <v>1.7</v>
          </cell>
          <cell r="I3608" t="str">
            <v>M1</v>
          </cell>
          <cell r="J3608" t="str">
            <v>IE3</v>
          </cell>
          <cell r="K3608" t="str">
            <v>400/690</v>
          </cell>
          <cell r="L3608">
            <v>50</v>
          </cell>
          <cell r="M3608" t="str">
            <v>38,5/22,5</v>
          </cell>
          <cell r="N3608">
            <v>65</v>
          </cell>
          <cell r="O3608" t="str">
            <v>155(F)</v>
          </cell>
          <cell r="P3608" t="str">
            <v>270°</v>
          </cell>
          <cell r="Q3608" t="str">
            <v>TF</v>
          </cell>
          <cell r="R3608" t="str">
            <v>-</v>
          </cell>
          <cell r="S3608" t="str">
            <v>-</v>
          </cell>
          <cell r="T3608" t="str">
            <v>-</v>
          </cell>
          <cell r="U3608" t="str">
            <v>G</v>
          </cell>
          <cell r="V3608" t="str">
            <v>D</v>
          </cell>
          <cell r="W3608" t="str">
            <v>-</v>
          </cell>
          <cell r="X3608" t="str">
            <v>CLP HC 150 (-30/+50°C)</v>
          </cell>
          <cell r="Y3608" t="str">
            <v>FH107/G DRN180L4 /TF</v>
          </cell>
          <cell r="Z3608" t="str">
            <v>SEW</v>
          </cell>
          <cell r="AB3608" t="str">
            <v>-</v>
          </cell>
          <cell r="AF3608">
            <v>46</v>
          </cell>
          <cell r="AG3608" t="str">
            <v>DRN180L4</v>
          </cell>
          <cell r="AH3608" t="str">
            <v>FH107G-DRN180L4270-X</v>
          </cell>
        </row>
        <row r="3609">
          <cell r="A3609" t="str">
            <v>MR003598</v>
          </cell>
          <cell r="B3609" t="str">
            <v>MR</v>
          </cell>
          <cell r="C3609">
            <v>55</v>
          </cell>
          <cell r="D3609">
            <v>32</v>
          </cell>
          <cell r="E3609" t="str">
            <v>FH157</v>
          </cell>
          <cell r="F3609">
            <v>16500</v>
          </cell>
          <cell r="G3609">
            <v>46.48</v>
          </cell>
          <cell r="H3609">
            <v>1.1000000000000001</v>
          </cell>
          <cell r="I3609" t="str">
            <v>M1</v>
          </cell>
          <cell r="J3609" t="str">
            <v>IE3</v>
          </cell>
          <cell r="K3609" t="str">
            <v>400/690</v>
          </cell>
          <cell r="L3609">
            <v>50</v>
          </cell>
          <cell r="M3609" t="str">
            <v>104/60</v>
          </cell>
          <cell r="N3609">
            <v>65</v>
          </cell>
          <cell r="O3609" t="str">
            <v>155(F)</v>
          </cell>
          <cell r="P3609" t="str">
            <v>270°</v>
          </cell>
          <cell r="Q3609" t="str">
            <v>TF</v>
          </cell>
          <cell r="R3609" t="str">
            <v>-</v>
          </cell>
          <cell r="S3609" t="str">
            <v>-</v>
          </cell>
          <cell r="T3609" t="str">
            <v>-</v>
          </cell>
          <cell r="U3609" t="str">
            <v>G</v>
          </cell>
          <cell r="V3609" t="str">
            <v>D</v>
          </cell>
          <cell r="W3609" t="str">
            <v>-</v>
          </cell>
          <cell r="X3609" t="str">
            <v>CLP HC 150 (-30/+50°C)</v>
          </cell>
          <cell r="Y3609" t="str">
            <v>FH157/G/II2GD EDRN250M4/3D/TF/AL</v>
          </cell>
          <cell r="Z3609" t="str">
            <v>SEW</v>
          </cell>
          <cell r="AB3609" t="str">
            <v>ATEX22</v>
          </cell>
          <cell r="AF3609">
            <v>32</v>
          </cell>
          <cell r="AG3609" t="str">
            <v>EDRN250M4</v>
          </cell>
          <cell r="AH3609" t="str">
            <v>FH157G-EDRN250M4270-X</v>
          </cell>
        </row>
        <row r="3610">
          <cell r="A3610" t="str">
            <v>MR003599</v>
          </cell>
          <cell r="B3610" t="str">
            <v>MR</v>
          </cell>
          <cell r="C3610">
            <v>5.5</v>
          </cell>
          <cell r="D3610">
            <v>26</v>
          </cell>
          <cell r="E3610" t="str">
            <v>FH87</v>
          </cell>
          <cell r="F3610">
            <v>2040</v>
          </cell>
          <cell r="G3610">
            <v>56.75</v>
          </cell>
          <cell r="H3610">
            <v>1.2</v>
          </cell>
          <cell r="I3610" t="str">
            <v>M1</v>
          </cell>
          <cell r="J3610" t="str">
            <v>IE3</v>
          </cell>
          <cell r="K3610" t="str">
            <v>230/400</v>
          </cell>
          <cell r="L3610">
            <v>50</v>
          </cell>
          <cell r="M3610" t="str">
            <v>18,8/10,9</v>
          </cell>
          <cell r="N3610">
            <v>65</v>
          </cell>
          <cell r="O3610" t="str">
            <v>155(F)</v>
          </cell>
          <cell r="P3610" t="str">
            <v>270°</v>
          </cell>
          <cell r="Q3610" t="str">
            <v>TF</v>
          </cell>
          <cell r="R3610" t="str">
            <v>-</v>
          </cell>
          <cell r="S3610" t="str">
            <v>-</v>
          </cell>
          <cell r="T3610" t="str">
            <v>-</v>
          </cell>
          <cell r="U3610" t="str">
            <v>G</v>
          </cell>
          <cell r="V3610" t="str">
            <v>D</v>
          </cell>
          <cell r="W3610" t="str">
            <v>-</v>
          </cell>
          <cell r="X3610" t="str">
            <v>CLP HC 150 (-30/+50°C)</v>
          </cell>
          <cell r="Y3610" t="str">
            <v>FH87/G/II2GD EDRN132S4/3D/KCC/TF/AL</v>
          </cell>
          <cell r="Z3610" t="str">
            <v>SEW</v>
          </cell>
          <cell r="AB3610" t="str">
            <v>ATEX22</v>
          </cell>
          <cell r="AF3610">
            <v>26</v>
          </cell>
          <cell r="AG3610" t="str">
            <v>EDRN132S4</v>
          </cell>
          <cell r="AH3610" t="str">
            <v>FH87G-EDRN132S4270-X</v>
          </cell>
        </row>
        <row r="3611">
          <cell r="A3611" t="str">
            <v>MR003600</v>
          </cell>
          <cell r="B3611" t="str">
            <v>MR</v>
          </cell>
          <cell r="C3611">
            <v>0.75</v>
          </cell>
          <cell r="D3611">
            <v>18</v>
          </cell>
          <cell r="E3611" t="str">
            <v>FH67</v>
          </cell>
          <cell r="F3611">
            <v>395</v>
          </cell>
          <cell r="G3611">
            <v>79.760000000000005</v>
          </cell>
          <cell r="H3611">
            <v>2</v>
          </cell>
          <cell r="I3611" t="str">
            <v>M6</v>
          </cell>
          <cell r="J3611" t="str">
            <v>IE3</v>
          </cell>
          <cell r="K3611" t="str">
            <v>230/400</v>
          </cell>
          <cell r="L3611">
            <v>50</v>
          </cell>
          <cell r="M3611" t="str">
            <v>3,1/1,79</v>
          </cell>
          <cell r="N3611">
            <v>65</v>
          </cell>
          <cell r="O3611" t="str">
            <v>155(F)</v>
          </cell>
          <cell r="P3611" t="str">
            <v>270°</v>
          </cell>
          <cell r="Q3611" t="str">
            <v>TF</v>
          </cell>
          <cell r="R3611" t="str">
            <v>-</v>
          </cell>
          <cell r="S3611" t="str">
            <v>-</v>
          </cell>
          <cell r="T3611" t="str">
            <v>BEHF</v>
          </cell>
          <cell r="U3611" t="str">
            <v>G</v>
          </cell>
          <cell r="V3611" t="str">
            <v>D+R</v>
          </cell>
          <cell r="W3611" t="str">
            <v>-</v>
          </cell>
          <cell r="X3611" t="str">
            <v>CLP HC 150 (-30/+50°C)</v>
          </cell>
          <cell r="Y3611" t="str">
            <v>FH67/II2GDEDRN80M4BEHF/3D/KCC/TF/AL</v>
          </cell>
          <cell r="Z3611" t="str">
            <v>SEW</v>
          </cell>
          <cell r="AB3611" t="str">
            <v>ATEX22</v>
          </cell>
          <cell r="AF3611">
            <v>18</v>
          </cell>
          <cell r="AG3611" t="str">
            <v>EDRN80M4</v>
          </cell>
          <cell r="AH3611" t="str">
            <v>FH67G-EDRN80M4270-X</v>
          </cell>
        </row>
        <row r="3612">
          <cell r="A3612" t="str">
            <v>MR003601</v>
          </cell>
          <cell r="B3612" t="str">
            <v>MR</v>
          </cell>
          <cell r="C3612">
            <v>2.2000000000000002</v>
          </cell>
          <cell r="D3612">
            <v>116</v>
          </cell>
          <cell r="E3612" t="str">
            <v>KH67</v>
          </cell>
          <cell r="F3612">
            <v>181</v>
          </cell>
          <cell r="G3612">
            <v>12.48</v>
          </cell>
          <cell r="H3612">
            <v>1.95</v>
          </cell>
          <cell r="I3612" t="str">
            <v>From M1A to M4A - 20°</v>
          </cell>
          <cell r="J3612" t="str">
            <v>IE3</v>
          </cell>
          <cell r="K3612" t="str">
            <v>230/400</v>
          </cell>
          <cell r="L3612">
            <v>50</v>
          </cell>
          <cell r="M3612" t="str">
            <v>8,3/4,8</v>
          </cell>
          <cell r="N3612">
            <v>65</v>
          </cell>
          <cell r="O3612" t="str">
            <v>155(F)</v>
          </cell>
          <cell r="P3612" t="str">
            <v>270°</v>
          </cell>
          <cell r="Q3612" t="str">
            <v>TF</v>
          </cell>
          <cell r="R3612" t="str">
            <v>-</v>
          </cell>
          <cell r="S3612" t="str">
            <v>-</v>
          </cell>
          <cell r="T3612" t="str">
            <v>-</v>
          </cell>
          <cell r="U3612" t="str">
            <v>T</v>
          </cell>
          <cell r="V3612" t="str">
            <v>D</v>
          </cell>
          <cell r="W3612" t="str">
            <v>-</v>
          </cell>
          <cell r="X3612" t="str">
            <v>CLP HC 150 (-30/+50°C)</v>
          </cell>
          <cell r="Y3612" t="str">
            <v>KH67/II2GDEDRN100LS4/3D/KCC/AL</v>
          </cell>
          <cell r="Z3612" t="str">
            <v>SEW</v>
          </cell>
          <cell r="AB3612" t="str">
            <v>ATEX22</v>
          </cell>
          <cell r="AF3612">
            <v>116</v>
          </cell>
          <cell r="AG3612" t="str">
            <v>EDRN100LS4</v>
          </cell>
          <cell r="AH3612" t="str">
            <v>KH67T-EDRN100LS4A270-X</v>
          </cell>
        </row>
        <row r="3613">
          <cell r="A3613" t="str">
            <v>MR003602</v>
          </cell>
          <cell r="B3613" t="str">
            <v>MR</v>
          </cell>
          <cell r="C3613">
            <v>7.5</v>
          </cell>
          <cell r="D3613">
            <v>57</v>
          </cell>
          <cell r="E3613" t="str">
            <v>KH77</v>
          </cell>
          <cell r="F3613">
            <v>1240</v>
          </cell>
          <cell r="G3613">
            <v>25.62</v>
          </cell>
          <cell r="H3613">
            <v>1.25</v>
          </cell>
          <cell r="I3613" t="str">
            <v>M4A</v>
          </cell>
          <cell r="J3613" t="str">
            <v>IE3</v>
          </cell>
          <cell r="K3613" t="str">
            <v>400/690</v>
          </cell>
          <cell r="L3613">
            <v>50</v>
          </cell>
          <cell r="M3613" t="str">
            <v>15,2/8,8</v>
          </cell>
          <cell r="N3613">
            <v>55</v>
          </cell>
          <cell r="O3613" t="str">
            <v>155(F)</v>
          </cell>
          <cell r="P3613" t="str">
            <v>270°</v>
          </cell>
          <cell r="Q3613" t="str">
            <v>TF</v>
          </cell>
          <cell r="R3613" t="str">
            <v>-</v>
          </cell>
          <cell r="S3613" t="str">
            <v>Free rotation CCW</v>
          </cell>
          <cell r="T3613" t="str">
            <v>-</v>
          </cell>
          <cell r="U3613" t="str">
            <v>T</v>
          </cell>
          <cell r="V3613" t="str">
            <v>SS</v>
          </cell>
          <cell r="W3613" t="str">
            <v>-</v>
          </cell>
          <cell r="X3613" t="str">
            <v>CLP VG 220 = -15° + 40°</v>
          </cell>
          <cell r="Y3613" t="str">
            <v>KH77/T DRN132M4 /RS /TF</v>
          </cell>
          <cell r="Z3613" t="str">
            <v>SEW</v>
          </cell>
          <cell r="AB3613" t="str">
            <v>-</v>
          </cell>
          <cell r="AF3613">
            <v>57</v>
          </cell>
          <cell r="AG3613" t="str">
            <v>DRN132M4</v>
          </cell>
          <cell r="AH3613" t="str">
            <v>KH77T-DRN132M4A270-X</v>
          </cell>
        </row>
        <row r="3614">
          <cell r="A3614" t="str">
            <v>MR003603</v>
          </cell>
          <cell r="B3614" t="str">
            <v>MR</v>
          </cell>
          <cell r="C3614">
            <v>0.75</v>
          </cell>
          <cell r="D3614">
            <v>162</v>
          </cell>
          <cell r="E3614" t="str">
            <v>KA37</v>
          </cell>
          <cell r="F3614">
            <v>44</v>
          </cell>
          <cell r="G3614">
            <v>8.91</v>
          </cell>
          <cell r="H3614">
            <v>3.6</v>
          </cell>
          <cell r="I3614" t="str">
            <v>From M1A to M2A - 20°</v>
          </cell>
          <cell r="J3614" t="str">
            <v>IE3</v>
          </cell>
          <cell r="K3614" t="str">
            <v>230/400</v>
          </cell>
          <cell r="L3614">
            <v>50</v>
          </cell>
          <cell r="M3614" t="str">
            <v>3,05/1,75</v>
          </cell>
          <cell r="N3614">
            <v>55</v>
          </cell>
          <cell r="O3614" t="str">
            <v>155(F)</v>
          </cell>
          <cell r="P3614" t="str">
            <v>270°</v>
          </cell>
          <cell r="Q3614" t="str">
            <v>TF</v>
          </cell>
          <cell r="R3614" t="str">
            <v>-</v>
          </cell>
          <cell r="S3614" t="str">
            <v>-</v>
          </cell>
          <cell r="T3614" t="str">
            <v>-</v>
          </cell>
          <cell r="U3614" t="str">
            <v>T</v>
          </cell>
          <cell r="V3614" t="str">
            <v>D</v>
          </cell>
          <cell r="W3614" t="str">
            <v>-</v>
          </cell>
          <cell r="X3614" t="str">
            <v>CLP VG 220 = -15° + 40°</v>
          </cell>
          <cell r="Y3614" t="str">
            <v>KA37/T DRN80M4 /TF</v>
          </cell>
          <cell r="Z3614" t="str">
            <v>SEW</v>
          </cell>
          <cell r="AB3614" t="str">
            <v>-</v>
          </cell>
          <cell r="AF3614">
            <v>162</v>
          </cell>
          <cell r="AG3614" t="str">
            <v>DRN80M4</v>
          </cell>
          <cell r="AH3614" t="str">
            <v>KA37T-DRN80M4A270-X</v>
          </cell>
        </row>
        <row r="3615">
          <cell r="A3615" t="str">
            <v>MR003604</v>
          </cell>
          <cell r="B3615" t="str">
            <v>MR</v>
          </cell>
          <cell r="C3615">
            <v>3</v>
          </cell>
          <cell r="D3615">
            <v>86</v>
          </cell>
          <cell r="E3615" t="str">
            <v>KA47</v>
          </cell>
          <cell r="F3615">
            <v>330</v>
          </cell>
          <cell r="G3615">
            <v>16.86</v>
          </cell>
          <cell r="H3615">
            <v>1.1499999999999999</v>
          </cell>
          <cell r="I3615" t="str">
            <v>M4B</v>
          </cell>
          <cell r="J3615" t="str">
            <v>IE3</v>
          </cell>
          <cell r="K3615" t="str">
            <v>230/400</v>
          </cell>
          <cell r="L3615">
            <v>50</v>
          </cell>
          <cell r="M3615" t="str">
            <v>11,2/6,4</v>
          </cell>
          <cell r="N3615">
            <v>55</v>
          </cell>
          <cell r="O3615" t="str">
            <v>155(F)</v>
          </cell>
          <cell r="P3615" t="str">
            <v>270°</v>
          </cell>
          <cell r="Q3615" t="str">
            <v>-</v>
          </cell>
          <cell r="R3615" t="str">
            <v>-</v>
          </cell>
          <cell r="S3615" t="str">
            <v>-</v>
          </cell>
          <cell r="T3615" t="str">
            <v>-</v>
          </cell>
          <cell r="U3615" t="str">
            <v>T</v>
          </cell>
          <cell r="V3615" t="str">
            <v>D</v>
          </cell>
          <cell r="W3615" t="str">
            <v>-</v>
          </cell>
          <cell r="X3615" t="str">
            <v>CLP VG 220 = -15° + 40°</v>
          </cell>
          <cell r="Y3615" t="str">
            <v>KA47/T DRN100L4</v>
          </cell>
          <cell r="Z3615" t="str">
            <v>SEW</v>
          </cell>
          <cell r="AB3615" t="str">
            <v>-</v>
          </cell>
          <cell r="AE3615" t="str">
            <v xml:space="preserve">Flangia FG165 D.200 </v>
          </cell>
          <cell r="AF3615">
            <v>86</v>
          </cell>
          <cell r="AG3615" t="str">
            <v>DRN100L4</v>
          </cell>
          <cell r="AH3615" t="str">
            <v>KA47T-DRN100L4B270-X</v>
          </cell>
        </row>
        <row r="3616">
          <cell r="A3616" t="str">
            <v>MR003605</v>
          </cell>
          <cell r="B3616" t="str">
            <v>MR</v>
          </cell>
          <cell r="C3616">
            <v>0.75</v>
          </cell>
          <cell r="D3616">
            <v>139.16666666666669</v>
          </cell>
          <cell r="E3616" t="str">
            <v>KA37</v>
          </cell>
          <cell r="F3616">
            <v>43</v>
          </cell>
          <cell r="G3616">
            <v>10.49</v>
          </cell>
          <cell r="H3616">
            <v>3.7</v>
          </cell>
          <cell r="I3616" t="str">
            <v>From M1B to M2B - 5°</v>
          </cell>
          <cell r="J3616" t="str">
            <v>IE3</v>
          </cell>
          <cell r="K3616" t="str">
            <v>220/440</v>
          </cell>
          <cell r="L3616">
            <v>60</v>
          </cell>
          <cell r="M3616" t="str">
            <v>3,25/1,63</v>
          </cell>
          <cell r="N3616">
            <v>65</v>
          </cell>
          <cell r="O3616" t="str">
            <v>155(F)</v>
          </cell>
          <cell r="P3616" t="str">
            <v>270°</v>
          </cell>
          <cell r="Q3616" t="str">
            <v>-</v>
          </cell>
          <cell r="R3616" t="str">
            <v>-</v>
          </cell>
          <cell r="S3616" t="str">
            <v>-</v>
          </cell>
          <cell r="T3616" t="str">
            <v>-</v>
          </cell>
          <cell r="U3616" t="str">
            <v>T</v>
          </cell>
          <cell r="V3616" t="str">
            <v>D</v>
          </cell>
          <cell r="W3616" t="str">
            <v>-</v>
          </cell>
          <cell r="X3616" t="str">
            <v>CLP VG 220 = -15° + 40°</v>
          </cell>
          <cell r="Y3616" t="str">
            <v>KA37/T DRN80M4</v>
          </cell>
          <cell r="Z3616" t="str">
            <v>SEW</v>
          </cell>
          <cell r="AB3616" t="str">
            <v>-</v>
          </cell>
          <cell r="AF3616">
            <v>167.00000000000003</v>
          </cell>
          <cell r="AG3616" t="str">
            <v>DRN80M4</v>
          </cell>
          <cell r="AH3616" t="str">
            <v>KA37T-DRN80M4B270-X</v>
          </cell>
        </row>
        <row r="3617">
          <cell r="A3617" t="str">
            <v>MR003606</v>
          </cell>
          <cell r="B3617" t="str">
            <v>MR</v>
          </cell>
          <cell r="C3617">
            <v>0.75</v>
          </cell>
          <cell r="D3617">
            <v>139.16666666666669</v>
          </cell>
          <cell r="E3617" t="str">
            <v>KA37</v>
          </cell>
          <cell r="F3617">
            <v>43</v>
          </cell>
          <cell r="G3617">
            <v>10.49</v>
          </cell>
          <cell r="H3617">
            <v>3.7</v>
          </cell>
          <cell r="I3617" t="str">
            <v>From M1B to M2B - 25°</v>
          </cell>
          <cell r="J3617" t="str">
            <v>IE3</v>
          </cell>
          <cell r="K3617" t="str">
            <v>220/440</v>
          </cell>
          <cell r="L3617">
            <v>60</v>
          </cell>
          <cell r="M3617" t="str">
            <v>3,25/1,63</v>
          </cell>
          <cell r="N3617">
            <v>65</v>
          </cell>
          <cell r="O3617" t="str">
            <v>155(F)</v>
          </cell>
          <cell r="P3617" t="str">
            <v>270°</v>
          </cell>
          <cell r="Q3617" t="str">
            <v>-</v>
          </cell>
          <cell r="R3617" t="str">
            <v>-</v>
          </cell>
          <cell r="S3617" t="str">
            <v>-</v>
          </cell>
          <cell r="T3617" t="str">
            <v>-</v>
          </cell>
          <cell r="U3617" t="str">
            <v>T</v>
          </cell>
          <cell r="V3617" t="str">
            <v>D</v>
          </cell>
          <cell r="W3617" t="str">
            <v>-</v>
          </cell>
          <cell r="X3617" t="str">
            <v>CLP VG 220 = -15° + 40°</v>
          </cell>
          <cell r="Y3617" t="str">
            <v>KA37/T DRN80M4</v>
          </cell>
          <cell r="Z3617" t="str">
            <v>SEW</v>
          </cell>
          <cell r="AB3617" t="str">
            <v>-</v>
          </cell>
          <cell r="AF3617">
            <v>167.00000000000003</v>
          </cell>
          <cell r="AG3617" t="str">
            <v>DRN80M4</v>
          </cell>
          <cell r="AH3617" t="str">
            <v>KA37T-DRN80M4B270-X</v>
          </cell>
        </row>
        <row r="3618">
          <cell r="A3618" t="str">
            <v>MR003607</v>
          </cell>
          <cell r="B3618" t="str">
            <v>MR</v>
          </cell>
          <cell r="C3618">
            <v>0.75</v>
          </cell>
          <cell r="D3618">
            <v>139.16666666666669</v>
          </cell>
          <cell r="E3618" t="str">
            <v>KA37</v>
          </cell>
          <cell r="F3618">
            <v>43</v>
          </cell>
          <cell r="G3618">
            <v>10.49</v>
          </cell>
          <cell r="H3618">
            <v>3.7</v>
          </cell>
          <cell r="I3618" t="str">
            <v>From M1B to M2B - 15°</v>
          </cell>
          <cell r="J3618" t="str">
            <v>IE3</v>
          </cell>
          <cell r="K3618" t="str">
            <v>220/440</v>
          </cell>
          <cell r="L3618">
            <v>60</v>
          </cell>
          <cell r="M3618" t="str">
            <v>3,25/1,63</v>
          </cell>
          <cell r="N3618">
            <v>65</v>
          </cell>
          <cell r="O3618" t="str">
            <v>155(F)</v>
          </cell>
          <cell r="P3618" t="str">
            <v>270°</v>
          </cell>
          <cell r="Q3618" t="str">
            <v>-</v>
          </cell>
          <cell r="R3618" t="str">
            <v>-</v>
          </cell>
          <cell r="S3618" t="str">
            <v>-</v>
          </cell>
          <cell r="T3618" t="str">
            <v>-</v>
          </cell>
          <cell r="U3618" t="str">
            <v>T</v>
          </cell>
          <cell r="V3618" t="str">
            <v>D</v>
          </cell>
          <cell r="W3618" t="str">
            <v>-</v>
          </cell>
          <cell r="X3618" t="str">
            <v>CLP VG 220 = -15° + 40°</v>
          </cell>
          <cell r="Y3618" t="str">
            <v>KA37/T DRN80M4</v>
          </cell>
          <cell r="Z3618" t="str">
            <v>SEW</v>
          </cell>
          <cell r="AB3618" t="str">
            <v>-</v>
          </cell>
          <cell r="AF3618">
            <v>167.00000000000003</v>
          </cell>
          <cell r="AG3618" t="str">
            <v>DRN80M4</v>
          </cell>
          <cell r="AH3618" t="str">
            <v>KA37T-DRN80M4B270-X</v>
          </cell>
        </row>
        <row r="3619">
          <cell r="A3619" t="str">
            <v>MR003608</v>
          </cell>
          <cell r="B3619" t="str">
            <v>MR</v>
          </cell>
          <cell r="C3619">
            <v>0.18</v>
          </cell>
          <cell r="D3619">
            <v>2.1</v>
          </cell>
          <cell r="E3619" t="str">
            <v>KA67R37</v>
          </cell>
          <cell r="F3619">
            <v>705</v>
          </cell>
          <cell r="G3619">
            <v>697</v>
          </cell>
          <cell r="H3619" t="str">
            <v>1,15</v>
          </cell>
          <cell r="I3619" t="str">
            <v>M3B</v>
          </cell>
          <cell r="J3619" t="str">
            <v>IE3</v>
          </cell>
          <cell r="K3619" t="str">
            <v>230/400</v>
          </cell>
          <cell r="L3619">
            <v>50</v>
          </cell>
          <cell r="M3619" t="str">
            <v>1,12/0,64</v>
          </cell>
          <cell r="N3619">
            <v>55</v>
          </cell>
          <cell r="O3619" t="str">
            <v>155(F)</v>
          </cell>
          <cell r="P3619" t="str">
            <v>270°</v>
          </cell>
          <cell r="Q3619" t="str">
            <v>TF</v>
          </cell>
          <cell r="R3619" t="str">
            <v>V(VE)</v>
          </cell>
          <cell r="S3619" t="str">
            <v>-</v>
          </cell>
          <cell r="T3619" t="str">
            <v>BEHF</v>
          </cell>
          <cell r="U3619" t="str">
            <v>T</v>
          </cell>
          <cell r="V3619" t="str">
            <v>FC+R</v>
          </cell>
          <cell r="W3619" t="str">
            <v>-</v>
          </cell>
          <cell r="X3619" t="str">
            <v>CLP VG 220 = -15° + 40°</v>
          </cell>
          <cell r="Y3619" t="str">
            <v>KA67/TR37DRN71MS4/BE05HF/TF/V</v>
          </cell>
          <cell r="Z3619" t="str">
            <v>SEW</v>
          </cell>
          <cell r="AB3619" t="str">
            <v>-</v>
          </cell>
          <cell r="AF3619">
            <v>2.1</v>
          </cell>
          <cell r="AG3619" t="str">
            <v>DRN63M4</v>
          </cell>
          <cell r="AH3619" t="str">
            <v>KA67R37T-DRN63M4B270-X#</v>
          </cell>
        </row>
        <row r="3620">
          <cell r="A3620" t="str">
            <v>MR003609</v>
          </cell>
          <cell r="B3620" t="str">
            <v>MR</v>
          </cell>
          <cell r="C3620">
            <v>3</v>
          </cell>
          <cell r="D3620">
            <v>9.1666666666666679</v>
          </cell>
          <cell r="E3620" t="str">
            <v>KH87</v>
          </cell>
          <cell r="F3620">
            <v>2410</v>
          </cell>
          <cell r="G3620">
            <v>159</v>
          </cell>
          <cell r="H3620">
            <v>1.1000000000000001</v>
          </cell>
          <cell r="I3620" t="str">
            <v>M4B</v>
          </cell>
          <cell r="J3620" t="str">
            <v>IE3</v>
          </cell>
          <cell r="K3620" t="str">
            <v>220/440</v>
          </cell>
          <cell r="L3620">
            <v>60</v>
          </cell>
          <cell r="M3620" t="str">
            <v>12,1/6</v>
          </cell>
          <cell r="N3620">
            <v>65</v>
          </cell>
          <cell r="O3620" t="str">
            <v>155(F)</v>
          </cell>
          <cell r="P3620" t="str">
            <v>270°</v>
          </cell>
          <cell r="Q3620" t="str">
            <v>TF</v>
          </cell>
          <cell r="R3620" t="str">
            <v>V(VE)</v>
          </cell>
          <cell r="S3620" t="str">
            <v>-</v>
          </cell>
          <cell r="T3620" t="str">
            <v>-</v>
          </cell>
          <cell r="U3620" t="str">
            <v>-</v>
          </cell>
          <cell r="V3620" t="str">
            <v>FC</v>
          </cell>
          <cell r="W3620" t="str">
            <v>-</v>
          </cell>
          <cell r="X3620" t="str">
            <v>CLP VG 220 = -15° + 40°</v>
          </cell>
          <cell r="Y3620" t="str">
            <v>KH87DRN100L4 /TF/V</v>
          </cell>
          <cell r="Z3620" t="str">
            <v>SEW</v>
          </cell>
          <cell r="AB3620" t="str">
            <v>-</v>
          </cell>
          <cell r="AF3620">
            <v>11.000000000000002</v>
          </cell>
          <cell r="AG3620" t="str">
            <v>DRN100L4</v>
          </cell>
          <cell r="AH3620" t="str">
            <v>KH87-DRN100L4B270-X#</v>
          </cell>
        </row>
        <row r="3621">
          <cell r="A3621" t="str">
            <v>MR003610</v>
          </cell>
          <cell r="B3621" t="str">
            <v>MR</v>
          </cell>
          <cell r="C3621">
            <v>5.5</v>
          </cell>
          <cell r="D3621">
            <v>14</v>
          </cell>
          <cell r="E3621" t="str">
            <v>KH97</v>
          </cell>
          <cell r="F3621">
            <v>3780</v>
          </cell>
          <cell r="G3621">
            <v>105.13</v>
          </cell>
          <cell r="H3621">
            <v>1.1499999999999999</v>
          </cell>
          <cell r="I3621" t="str">
            <v>From M1B to M2B - 15°</v>
          </cell>
          <cell r="J3621" t="str">
            <v>IE3</v>
          </cell>
          <cell r="K3621" t="str">
            <v>230/400</v>
          </cell>
          <cell r="L3621">
            <v>50</v>
          </cell>
          <cell r="M3621" t="str">
            <v>18.2/10.5</v>
          </cell>
          <cell r="N3621">
            <v>55</v>
          </cell>
          <cell r="O3621" t="str">
            <v>155(F)</v>
          </cell>
          <cell r="P3621" t="str">
            <v>270°</v>
          </cell>
          <cell r="Q3621" t="str">
            <v>-</v>
          </cell>
          <cell r="R3621" t="str">
            <v>-</v>
          </cell>
          <cell r="S3621" t="str">
            <v>-</v>
          </cell>
          <cell r="T3621" t="str">
            <v>-</v>
          </cell>
          <cell r="U3621" t="str">
            <v>-</v>
          </cell>
          <cell r="V3621" t="str">
            <v>SS</v>
          </cell>
          <cell r="W3621" t="str">
            <v>-</v>
          </cell>
          <cell r="X3621" t="str">
            <v>CLP VG 220 = -15° + 40°</v>
          </cell>
          <cell r="Y3621" t="str">
            <v>KH97DRN132S4</v>
          </cell>
          <cell r="Z3621" t="str">
            <v>SEW</v>
          </cell>
          <cell r="AB3621" t="str">
            <v>-</v>
          </cell>
          <cell r="AF3621">
            <v>14</v>
          </cell>
          <cell r="AG3621" t="str">
            <v>DRN132S4</v>
          </cell>
          <cell r="AH3621" t="str">
            <v>KH97-DRN132S4B270-X</v>
          </cell>
        </row>
        <row r="3622">
          <cell r="A3622" t="str">
            <v>MR003611</v>
          </cell>
          <cell r="B3622" t="str">
            <v>ME</v>
          </cell>
          <cell r="C3622">
            <v>30</v>
          </cell>
          <cell r="D3622">
            <v>1480</v>
          </cell>
          <cell r="E3622" t="str">
            <v>-</v>
          </cell>
          <cell r="J3622" t="str">
            <v>IE3</v>
          </cell>
          <cell r="K3622" t="str">
            <v>400/690</v>
          </cell>
          <cell r="L3622">
            <v>50</v>
          </cell>
          <cell r="M3622" t="str">
            <v>56/32,5</v>
          </cell>
          <cell r="N3622">
            <v>55</v>
          </cell>
          <cell r="O3622" t="str">
            <v>155(F)</v>
          </cell>
          <cell r="P3622" t="str">
            <v>270°</v>
          </cell>
          <cell r="Q3622" t="str">
            <v>-</v>
          </cell>
          <cell r="R3622" t="str">
            <v>-</v>
          </cell>
          <cell r="S3622" t="str">
            <v>Free rotation CW</v>
          </cell>
          <cell r="T3622" t="str">
            <v>-</v>
          </cell>
          <cell r="U3622" t="str">
            <v>-</v>
          </cell>
          <cell r="V3622" t="str">
            <v>-</v>
          </cell>
          <cell r="W3622" t="str">
            <v>-</v>
          </cell>
          <cell r="X3622" t="str">
            <v>-</v>
          </cell>
          <cell r="Y3622" t="str">
            <v>DRN200L4 /FG/RS/2W</v>
          </cell>
          <cell r="Z3622" t="str">
            <v>SEW</v>
          </cell>
          <cell r="AB3622" t="str">
            <v>-</v>
          </cell>
          <cell r="AE3622" t="str">
            <v>Asincrono, flangia FG</v>
          </cell>
          <cell r="AF3622">
            <v>1480</v>
          </cell>
          <cell r="AG3622" t="str">
            <v>DRN200L4</v>
          </cell>
          <cell r="AH3622" t="str">
            <v>--DRN200L4270-X</v>
          </cell>
        </row>
        <row r="3623">
          <cell r="A3623" t="str">
            <v>MR003612</v>
          </cell>
          <cell r="B3623" t="str">
            <v>ME</v>
          </cell>
          <cell r="C3623">
            <v>30</v>
          </cell>
          <cell r="D3623">
            <v>1480</v>
          </cell>
          <cell r="E3623" t="str">
            <v>-</v>
          </cell>
          <cell r="J3623" t="str">
            <v>IE3</v>
          </cell>
          <cell r="K3623" t="str">
            <v>400/690</v>
          </cell>
          <cell r="L3623">
            <v>50</v>
          </cell>
          <cell r="M3623" t="str">
            <v>56/32,5</v>
          </cell>
          <cell r="N3623">
            <v>55</v>
          </cell>
          <cell r="O3623" t="str">
            <v>155(F)</v>
          </cell>
          <cell r="P3623" t="str">
            <v>270°</v>
          </cell>
          <cell r="Q3623" t="str">
            <v>TF</v>
          </cell>
          <cell r="R3623" t="str">
            <v>-</v>
          </cell>
          <cell r="S3623" t="str">
            <v>-</v>
          </cell>
          <cell r="T3623" t="str">
            <v>-</v>
          </cell>
          <cell r="U3623" t="str">
            <v>-</v>
          </cell>
          <cell r="V3623" t="str">
            <v>-</v>
          </cell>
          <cell r="W3623" t="str">
            <v>-</v>
          </cell>
          <cell r="X3623" t="str">
            <v>-</v>
          </cell>
          <cell r="Y3623" t="str">
            <v>DRN200L4/FG/TF</v>
          </cell>
          <cell r="Z3623" t="str">
            <v>SEW</v>
          </cell>
          <cell r="AB3623" t="str">
            <v>-</v>
          </cell>
          <cell r="AE3623" t="str">
            <v>Asincrono, flangia FG</v>
          </cell>
          <cell r="AF3623">
            <v>1480</v>
          </cell>
          <cell r="AG3623" t="str">
            <v>DRN200L4</v>
          </cell>
          <cell r="AH3623" t="str">
            <v>--DRN200L4270-X</v>
          </cell>
        </row>
        <row r="3624">
          <cell r="A3624" t="str">
            <v>MR003613</v>
          </cell>
          <cell r="B3624" t="str">
            <v>MR</v>
          </cell>
          <cell r="C3624">
            <v>30</v>
          </cell>
          <cell r="D3624">
            <v>81</v>
          </cell>
          <cell r="E3624" t="str">
            <v>R107</v>
          </cell>
          <cell r="F3624">
            <v>3520</v>
          </cell>
          <cell r="G3624">
            <v>18.21</v>
          </cell>
          <cell r="H3624">
            <v>1.2</v>
          </cell>
          <cell r="I3624" t="str">
            <v>From M1 to M4 - 10°</v>
          </cell>
          <cell r="J3624" t="str">
            <v>IE3</v>
          </cell>
          <cell r="K3624" t="str">
            <v>400/690</v>
          </cell>
          <cell r="L3624">
            <v>50</v>
          </cell>
          <cell r="M3624" t="str">
            <v>56/32,5</v>
          </cell>
          <cell r="N3624">
            <v>65</v>
          </cell>
          <cell r="O3624" t="str">
            <v>155(F)</v>
          </cell>
          <cell r="P3624" t="str">
            <v>270°</v>
          </cell>
          <cell r="Q3624" t="str">
            <v>TF</v>
          </cell>
          <cell r="R3624" t="str">
            <v>-</v>
          </cell>
          <cell r="S3624" t="str">
            <v>-</v>
          </cell>
          <cell r="T3624" t="str">
            <v>-</v>
          </cell>
          <cell r="U3624" t="str">
            <v>-</v>
          </cell>
          <cell r="V3624" t="str">
            <v>D</v>
          </cell>
          <cell r="W3624" t="str">
            <v>-</v>
          </cell>
          <cell r="X3624" t="str">
            <v>CLP HC 150 (-30/+50°C)</v>
          </cell>
          <cell r="Y3624" t="str">
            <v>R107/II2GDEDRN200L4/3GD/TF/AL/C</v>
          </cell>
          <cell r="Z3624" t="str">
            <v>SEW</v>
          </cell>
          <cell r="AB3624" t="str">
            <v>ATEX22</v>
          </cell>
          <cell r="AF3624">
            <v>81</v>
          </cell>
          <cell r="AG3624" t="str">
            <v>EDRN200L4</v>
          </cell>
          <cell r="AH3624" t="str">
            <v>R107-EDRN200L4270-X</v>
          </cell>
        </row>
        <row r="3625">
          <cell r="A3625" t="str">
            <v>MR003614</v>
          </cell>
          <cell r="B3625" t="str">
            <v>MR</v>
          </cell>
          <cell r="C3625">
            <v>55</v>
          </cell>
          <cell r="D3625">
            <v>73</v>
          </cell>
          <cell r="E3625" t="str">
            <v>R147</v>
          </cell>
          <cell r="F3625">
            <v>7240</v>
          </cell>
          <cell r="G3625">
            <v>20.440000000000001</v>
          </cell>
          <cell r="H3625">
            <v>1.65</v>
          </cell>
          <cell r="I3625" t="str">
            <v>M4</v>
          </cell>
          <cell r="J3625" t="str">
            <v>IE3</v>
          </cell>
          <cell r="K3625" t="str">
            <v>400/690</v>
          </cell>
          <cell r="L3625">
            <v>50</v>
          </cell>
          <cell r="M3625" t="str">
            <v>104/61</v>
          </cell>
          <cell r="N3625">
            <v>65</v>
          </cell>
          <cell r="O3625" t="str">
            <v>155(F)</v>
          </cell>
          <cell r="P3625" t="str">
            <v>270°</v>
          </cell>
          <cell r="Q3625" t="str">
            <v>TF</v>
          </cell>
          <cell r="R3625" t="str">
            <v>V(VE)</v>
          </cell>
          <cell r="S3625" t="str">
            <v>-</v>
          </cell>
          <cell r="T3625" t="str">
            <v>-</v>
          </cell>
          <cell r="U3625" t="str">
            <v>-</v>
          </cell>
          <cell r="V3625" t="str">
            <v>FC</v>
          </cell>
          <cell r="W3625" t="str">
            <v>-</v>
          </cell>
          <cell r="X3625" t="str">
            <v>CLP HC 150 (-30/+50°C)</v>
          </cell>
          <cell r="Y3625" t="str">
            <v>R147EDRN250M4 /TF/VE</v>
          </cell>
          <cell r="Z3625" t="str">
            <v>SEW</v>
          </cell>
          <cell r="AB3625" t="str">
            <v>ATEX22</v>
          </cell>
          <cell r="AF3625">
            <v>73</v>
          </cell>
          <cell r="AG3625" t="str">
            <v>EDRN250M4</v>
          </cell>
          <cell r="AH3625" t="str">
            <v>R147-EDRN250M4270-X#</v>
          </cell>
        </row>
        <row r="3626">
          <cell r="A3626" t="str">
            <v>MR003615</v>
          </cell>
          <cell r="B3626" t="str">
            <v>MR</v>
          </cell>
          <cell r="C3626">
            <v>37</v>
          </cell>
          <cell r="D3626">
            <v>21</v>
          </cell>
          <cell r="E3626" t="str">
            <v>KH157</v>
          </cell>
          <cell r="F3626">
            <v>16800</v>
          </cell>
          <cell r="G3626">
            <v>70.38</v>
          </cell>
          <cell r="H3626">
            <v>1.2</v>
          </cell>
          <cell r="I3626" t="str">
            <v>From M4A to M1A - 40°</v>
          </cell>
          <cell r="J3626" t="str">
            <v>IE3</v>
          </cell>
          <cell r="K3626" t="str">
            <v>400/690</v>
          </cell>
          <cell r="L3626">
            <v>50</v>
          </cell>
          <cell r="M3626" t="str">
            <v>64/37</v>
          </cell>
          <cell r="N3626">
            <v>65</v>
          </cell>
          <cell r="O3626" t="str">
            <v>155(F)</v>
          </cell>
          <cell r="P3626" t="str">
            <v>270°</v>
          </cell>
          <cell r="Q3626" t="str">
            <v>TF</v>
          </cell>
          <cell r="R3626" t="str">
            <v>V(VE)</v>
          </cell>
          <cell r="S3626" t="str">
            <v>-</v>
          </cell>
          <cell r="T3626" t="str">
            <v>-</v>
          </cell>
          <cell r="U3626" t="str">
            <v>-</v>
          </cell>
          <cell r="V3626" t="str">
            <v>FC</v>
          </cell>
          <cell r="W3626" t="str">
            <v>-</v>
          </cell>
          <cell r="X3626" t="str">
            <v>CLP HC 150 (-30/+50°C)</v>
          </cell>
          <cell r="Y3626" t="str">
            <v>KH157EDRN225S4 /TF/VE</v>
          </cell>
          <cell r="Z3626" t="str">
            <v>SEW</v>
          </cell>
          <cell r="AB3626" t="str">
            <v>ATEX22</v>
          </cell>
          <cell r="AF3626">
            <v>21</v>
          </cell>
          <cell r="AG3626" t="str">
            <v>EDRN225S4</v>
          </cell>
          <cell r="AH3626" t="str">
            <v>KH157-EDRN225S4A270-X#</v>
          </cell>
        </row>
        <row r="3627">
          <cell r="A3627" t="str">
            <v>MR003616</v>
          </cell>
          <cell r="B3627" t="str">
            <v>MR</v>
          </cell>
          <cell r="C3627">
            <v>37</v>
          </cell>
          <cell r="D3627">
            <v>21</v>
          </cell>
          <cell r="E3627" t="str">
            <v>KH157</v>
          </cell>
          <cell r="F3627">
            <v>16800</v>
          </cell>
          <cell r="G3627">
            <v>70.38</v>
          </cell>
          <cell r="H3627">
            <v>1.2</v>
          </cell>
          <cell r="I3627" t="str">
            <v>From M4B to M1B - 40°</v>
          </cell>
          <cell r="J3627" t="str">
            <v>IE3</v>
          </cell>
          <cell r="K3627" t="str">
            <v>400/690</v>
          </cell>
          <cell r="L3627">
            <v>50</v>
          </cell>
          <cell r="M3627" t="str">
            <v>64/37</v>
          </cell>
          <cell r="N3627">
            <v>65</v>
          </cell>
          <cell r="O3627" t="str">
            <v>155(F)</v>
          </cell>
          <cell r="P3627" t="str">
            <v>270°</v>
          </cell>
          <cell r="Q3627" t="str">
            <v>TF</v>
          </cell>
          <cell r="R3627" t="str">
            <v>V(VE)</v>
          </cell>
          <cell r="S3627" t="str">
            <v>-</v>
          </cell>
          <cell r="T3627" t="str">
            <v>-</v>
          </cell>
          <cell r="U3627" t="str">
            <v>-</v>
          </cell>
          <cell r="V3627" t="str">
            <v>FC</v>
          </cell>
          <cell r="W3627" t="str">
            <v>-</v>
          </cell>
          <cell r="X3627" t="str">
            <v>CLP HC 150 (-30/+50°C)</v>
          </cell>
          <cell r="Y3627" t="str">
            <v>KH157EDRN225S4 /TF/VE</v>
          </cell>
          <cell r="Z3627" t="str">
            <v>SEW</v>
          </cell>
          <cell r="AB3627" t="str">
            <v>ATEX22</v>
          </cell>
          <cell r="AF3627">
            <v>21</v>
          </cell>
          <cell r="AG3627" t="str">
            <v>EDRN225S4</v>
          </cell>
          <cell r="AH3627" t="str">
            <v>KH157-EDRN225S4B270-X#</v>
          </cell>
        </row>
        <row r="3628">
          <cell r="A3628" t="str">
            <v>MR003617</v>
          </cell>
          <cell r="B3628" t="str">
            <v>MR</v>
          </cell>
          <cell r="C3628">
            <v>18.5</v>
          </cell>
          <cell r="D3628">
            <v>46</v>
          </cell>
          <cell r="E3628" t="str">
            <v>FH107</v>
          </cell>
          <cell r="F3628">
            <v>3800</v>
          </cell>
          <cell r="G3628">
            <v>31.8</v>
          </cell>
          <cell r="H3628">
            <v>1.9</v>
          </cell>
          <cell r="I3628" t="str">
            <v>M1</v>
          </cell>
          <cell r="J3628" t="str">
            <v>IE3</v>
          </cell>
          <cell r="K3628" t="str">
            <v>400/690</v>
          </cell>
          <cell r="L3628">
            <v>50</v>
          </cell>
          <cell r="M3628" t="str">
            <v>33,5/19,3</v>
          </cell>
          <cell r="N3628">
            <v>65</v>
          </cell>
          <cell r="O3628" t="str">
            <v>155(F)</v>
          </cell>
          <cell r="P3628" t="str">
            <v>270°</v>
          </cell>
          <cell r="Q3628" t="str">
            <v>TF</v>
          </cell>
          <cell r="R3628" t="str">
            <v>-</v>
          </cell>
          <cell r="S3628" t="str">
            <v>-</v>
          </cell>
          <cell r="T3628" t="str">
            <v>-</v>
          </cell>
          <cell r="U3628" t="str">
            <v>G</v>
          </cell>
          <cell r="V3628" t="str">
            <v>D+R</v>
          </cell>
          <cell r="W3628" t="str">
            <v>-</v>
          </cell>
          <cell r="X3628" t="str">
            <v>CLP HC 150 (-30/+50°C)</v>
          </cell>
          <cell r="Y3628" t="str">
            <v>FH107/G EDRN180M4 /TF</v>
          </cell>
          <cell r="Z3628" t="str">
            <v>SEW</v>
          </cell>
          <cell r="AB3628" t="str">
            <v>ATEX22</v>
          </cell>
          <cell r="AF3628">
            <v>46</v>
          </cell>
          <cell r="AG3628" t="str">
            <v>EDRN180M4</v>
          </cell>
          <cell r="AH3628" t="str">
            <v>FH107G-EDRN180M4270-X</v>
          </cell>
        </row>
        <row r="3629">
          <cell r="A3629" t="str">
            <v>MR003618</v>
          </cell>
          <cell r="B3629" t="str">
            <v>MR</v>
          </cell>
          <cell r="C3629">
            <v>15</v>
          </cell>
          <cell r="D3629">
            <v>62</v>
          </cell>
          <cell r="E3629" t="str">
            <v>FH87</v>
          </cell>
          <cell r="F3629">
            <v>2300</v>
          </cell>
          <cell r="G3629">
            <v>23.68</v>
          </cell>
          <cell r="H3629">
            <v>1.1499999999999999</v>
          </cell>
          <cell r="I3629" t="str">
            <v>M1</v>
          </cell>
          <cell r="J3629" t="str">
            <v>IE3</v>
          </cell>
          <cell r="K3629" t="str">
            <v>400/690</v>
          </cell>
          <cell r="L3629">
            <v>50</v>
          </cell>
          <cell r="M3629" t="str">
            <v>29/16,7</v>
          </cell>
          <cell r="N3629">
            <v>65</v>
          </cell>
          <cell r="O3629" t="str">
            <v>155(F)</v>
          </cell>
          <cell r="P3629" t="str">
            <v>270°</v>
          </cell>
          <cell r="Q3629" t="str">
            <v>TF</v>
          </cell>
          <cell r="R3629" t="str">
            <v>-</v>
          </cell>
          <cell r="S3629" t="str">
            <v>-</v>
          </cell>
          <cell r="T3629" t="str">
            <v>-</v>
          </cell>
          <cell r="U3629" t="str">
            <v>G</v>
          </cell>
          <cell r="V3629" t="str">
            <v>D</v>
          </cell>
          <cell r="W3629" t="str">
            <v>-</v>
          </cell>
          <cell r="X3629" t="str">
            <v>CLP HC 150 (-30/+50°C)</v>
          </cell>
          <cell r="Y3629" t="str">
            <v>FH87/G EDRN160L4 /TF</v>
          </cell>
          <cell r="Z3629" t="str">
            <v>SEW</v>
          </cell>
          <cell r="AB3629" t="str">
            <v>ATEX22</v>
          </cell>
          <cell r="AF3629">
            <v>62</v>
          </cell>
          <cell r="AG3629" t="str">
            <v>EDRN160L4</v>
          </cell>
          <cell r="AH3629" t="str">
            <v>FH87G-EDRN160L4270-X</v>
          </cell>
        </row>
        <row r="3630">
          <cell r="A3630" t="str">
            <v>MR003619</v>
          </cell>
          <cell r="B3630" t="str">
            <v>MR</v>
          </cell>
          <cell r="C3630">
            <v>15</v>
          </cell>
          <cell r="D3630">
            <v>13</v>
          </cell>
          <cell r="E3630" t="str">
            <v>FH127</v>
          </cell>
          <cell r="F3630">
            <v>11100</v>
          </cell>
          <cell r="G3630">
            <v>114.34</v>
          </cell>
          <cell r="H3630">
            <v>1.1000000000000001</v>
          </cell>
          <cell r="I3630" t="str">
            <v>M1</v>
          </cell>
          <cell r="J3630" t="str">
            <v>IE3</v>
          </cell>
          <cell r="K3630" t="str">
            <v>400/690</v>
          </cell>
          <cell r="L3630">
            <v>50</v>
          </cell>
          <cell r="M3630" t="str">
            <v>29/16,7</v>
          </cell>
          <cell r="N3630">
            <v>65</v>
          </cell>
          <cell r="O3630" t="str">
            <v>155(F)</v>
          </cell>
          <cell r="P3630" t="str">
            <v>270°</v>
          </cell>
          <cell r="Q3630" t="str">
            <v>TF</v>
          </cell>
          <cell r="R3630" t="str">
            <v>V(VE)</v>
          </cell>
          <cell r="S3630" t="str">
            <v>-</v>
          </cell>
          <cell r="T3630" t="str">
            <v>-</v>
          </cell>
          <cell r="U3630" t="str">
            <v>G</v>
          </cell>
          <cell r="V3630" t="str">
            <v>FC</v>
          </cell>
          <cell r="W3630" t="str">
            <v>-</v>
          </cell>
          <cell r="X3630" t="str">
            <v>CLP HC 150 (-30/+50°C)</v>
          </cell>
          <cell r="Y3630" t="str">
            <v>FH127/G EDRN160L4 /TF/VE</v>
          </cell>
          <cell r="Z3630" t="str">
            <v>SEW</v>
          </cell>
          <cell r="AB3630" t="str">
            <v>ATEX22</v>
          </cell>
          <cell r="AF3630">
            <v>13</v>
          </cell>
          <cell r="AG3630" t="str">
            <v>EDRN160L4</v>
          </cell>
          <cell r="AH3630" t="str">
            <v>FH127G-EDRN160L4270-X#</v>
          </cell>
        </row>
        <row r="3631">
          <cell r="A3631" t="str">
            <v>MR003620</v>
          </cell>
          <cell r="B3631" t="str">
            <v>MR</v>
          </cell>
          <cell r="C3631">
            <v>22</v>
          </cell>
          <cell r="D3631">
            <v>12</v>
          </cell>
          <cell r="E3631" t="str">
            <v>KH157</v>
          </cell>
          <cell r="F3631">
            <v>17400</v>
          </cell>
          <cell r="G3631">
            <v>122.39</v>
          </cell>
          <cell r="H3631">
            <v>1.05</v>
          </cell>
          <cell r="I3631" t="str">
            <v>M1B</v>
          </cell>
          <cell r="J3631" t="str">
            <v>IE3</v>
          </cell>
          <cell r="K3631" t="str">
            <v>400/690</v>
          </cell>
          <cell r="L3631">
            <v>50</v>
          </cell>
          <cell r="M3631" t="str">
            <v>38,5/22,5</v>
          </cell>
          <cell r="N3631">
            <v>65</v>
          </cell>
          <cell r="O3631" t="str">
            <v>155(F)</v>
          </cell>
          <cell r="P3631" t="str">
            <v>0°</v>
          </cell>
          <cell r="Q3631" t="str">
            <v>TF</v>
          </cell>
          <cell r="R3631" t="str">
            <v>V(VE)</v>
          </cell>
          <cell r="S3631" t="str">
            <v>-</v>
          </cell>
          <cell r="T3631" t="str">
            <v>-</v>
          </cell>
          <cell r="U3631" t="str">
            <v>-</v>
          </cell>
          <cell r="V3631" t="str">
            <v>FC</v>
          </cell>
          <cell r="W3631" t="str">
            <v>-</v>
          </cell>
          <cell r="X3631" t="str">
            <v>CLP HC 150 (-30/+50°C)</v>
          </cell>
          <cell r="Y3631" t="str">
            <v>KH157EDRN180L4 /TF/VE</v>
          </cell>
          <cell r="Z3631" t="str">
            <v>SEW</v>
          </cell>
          <cell r="AB3631" t="str">
            <v>ATEX22</v>
          </cell>
          <cell r="AF3631">
            <v>12</v>
          </cell>
          <cell r="AG3631" t="str">
            <v>EDRN180L4</v>
          </cell>
          <cell r="AH3631" t="str">
            <v>KH157-EDRN180L4B0-X#</v>
          </cell>
        </row>
        <row r="3632">
          <cell r="A3632" t="str">
            <v>MR003621</v>
          </cell>
          <cell r="B3632" t="str">
            <v>MR</v>
          </cell>
          <cell r="C3632">
            <v>15</v>
          </cell>
          <cell r="D3632">
            <v>12</v>
          </cell>
          <cell r="E3632" t="str">
            <v>KH127</v>
          </cell>
          <cell r="F3632">
            <v>11900</v>
          </cell>
          <cell r="G3632">
            <v>122.48</v>
          </cell>
          <cell r="H3632">
            <v>1.1000000000000001</v>
          </cell>
          <cell r="I3632" t="str">
            <v>M1B</v>
          </cell>
          <cell r="J3632" t="str">
            <v>IE3</v>
          </cell>
          <cell r="K3632" t="str">
            <v>400/690</v>
          </cell>
          <cell r="L3632">
            <v>50</v>
          </cell>
          <cell r="M3632" t="str">
            <v>29/16,7</v>
          </cell>
          <cell r="N3632">
            <v>65</v>
          </cell>
          <cell r="O3632" t="str">
            <v>155(F)</v>
          </cell>
          <cell r="P3632" t="str">
            <v>0°</v>
          </cell>
          <cell r="Q3632" t="str">
            <v>TF</v>
          </cell>
          <cell r="R3632" t="str">
            <v>V(VE)</v>
          </cell>
          <cell r="S3632" t="str">
            <v>-</v>
          </cell>
          <cell r="T3632" t="str">
            <v>-</v>
          </cell>
          <cell r="U3632" t="str">
            <v>-</v>
          </cell>
          <cell r="V3632" t="str">
            <v>FC</v>
          </cell>
          <cell r="W3632" t="str">
            <v>-</v>
          </cell>
          <cell r="X3632" t="str">
            <v>CLP HC 150 (-30/+50°C)</v>
          </cell>
          <cell r="Y3632" t="str">
            <v>KH127EDRN160L4 /TF/VE</v>
          </cell>
          <cell r="Z3632" t="str">
            <v>SEW</v>
          </cell>
          <cell r="AB3632" t="str">
            <v>ATEX22</v>
          </cell>
          <cell r="AF3632">
            <v>12</v>
          </cell>
          <cell r="AG3632" t="str">
            <v>EDRN160L4</v>
          </cell>
          <cell r="AH3632" t="str">
            <v>KH127-EDRN160L4B0-X#</v>
          </cell>
        </row>
        <row r="3633">
          <cell r="A3633" t="str">
            <v>MR003622</v>
          </cell>
          <cell r="B3633" t="str">
            <v>MR</v>
          </cell>
          <cell r="C3633">
            <v>15</v>
          </cell>
          <cell r="D3633">
            <v>12</v>
          </cell>
          <cell r="E3633" t="str">
            <v>KH127</v>
          </cell>
          <cell r="F3633">
            <v>11900</v>
          </cell>
          <cell r="G3633">
            <v>122.48</v>
          </cell>
          <cell r="H3633">
            <v>1.1000000000000001</v>
          </cell>
          <cell r="I3633" t="str">
            <v>M1A</v>
          </cell>
          <cell r="J3633" t="str">
            <v>IE3</v>
          </cell>
          <cell r="K3633" t="str">
            <v>400/690</v>
          </cell>
          <cell r="L3633">
            <v>50</v>
          </cell>
          <cell r="M3633" t="str">
            <v>29/16,7</v>
          </cell>
          <cell r="N3633">
            <v>65</v>
          </cell>
          <cell r="O3633" t="str">
            <v>155(F)</v>
          </cell>
          <cell r="P3633" t="str">
            <v>180°</v>
          </cell>
          <cell r="Q3633" t="str">
            <v>TF</v>
          </cell>
          <cell r="R3633" t="str">
            <v>V(VE)</v>
          </cell>
          <cell r="S3633" t="str">
            <v>-</v>
          </cell>
          <cell r="T3633" t="str">
            <v>-</v>
          </cell>
          <cell r="U3633" t="str">
            <v>-</v>
          </cell>
          <cell r="V3633" t="str">
            <v>FC</v>
          </cell>
          <cell r="W3633" t="str">
            <v>-</v>
          </cell>
          <cell r="X3633" t="str">
            <v>CLP HC 150 (-30/+50°C)</v>
          </cell>
          <cell r="Y3633" t="str">
            <v>KH127EDRN160L4 /TF/VE</v>
          </cell>
          <cell r="Z3633" t="str">
            <v>SEW</v>
          </cell>
          <cell r="AB3633" t="str">
            <v>ATEX22</v>
          </cell>
          <cell r="AF3633">
            <v>12</v>
          </cell>
          <cell r="AG3633" t="str">
            <v>EDRN160L4</v>
          </cell>
          <cell r="AH3633" t="str">
            <v>KH127-EDRN160L4A180-X#</v>
          </cell>
        </row>
        <row r="3634">
          <cell r="A3634" t="str">
            <v>MR003623</v>
          </cell>
          <cell r="B3634" t="str">
            <v>MR</v>
          </cell>
          <cell r="C3634">
            <v>5.5</v>
          </cell>
          <cell r="D3634">
            <v>13</v>
          </cell>
          <cell r="E3634" t="str">
            <v>FH97</v>
          </cell>
          <cell r="F3634">
            <v>4060</v>
          </cell>
          <cell r="G3634">
            <v>112.99</v>
          </cell>
          <cell r="H3634">
            <v>1.05</v>
          </cell>
          <cell r="I3634" t="str">
            <v>From M1 to M2 - 10°</v>
          </cell>
          <cell r="J3634" t="str">
            <v>IE3</v>
          </cell>
          <cell r="K3634" t="str">
            <v>400/690</v>
          </cell>
          <cell r="L3634">
            <v>50</v>
          </cell>
          <cell r="M3634" t="str">
            <v>18,2/10,5</v>
          </cell>
          <cell r="N3634">
            <v>65</v>
          </cell>
          <cell r="O3634" t="str">
            <v>155(F)</v>
          </cell>
          <cell r="P3634" t="str">
            <v>270°</v>
          </cell>
          <cell r="Q3634" t="str">
            <v>TF</v>
          </cell>
          <cell r="R3634" t="str">
            <v>V(VE)</v>
          </cell>
          <cell r="S3634" t="str">
            <v>-</v>
          </cell>
          <cell r="T3634" t="str">
            <v>-</v>
          </cell>
          <cell r="U3634" t="str">
            <v>G</v>
          </cell>
          <cell r="V3634" t="str">
            <v>FC</v>
          </cell>
          <cell r="W3634" t="str">
            <v>-</v>
          </cell>
          <cell r="X3634" t="str">
            <v>CLP HC 150 (-30/+50°C)</v>
          </cell>
          <cell r="Y3634" t="str">
            <v>FH97/G EDRN132S4 /TF/VE</v>
          </cell>
          <cell r="Z3634" t="str">
            <v>SEW</v>
          </cell>
          <cell r="AB3634" t="str">
            <v>ATEX22</v>
          </cell>
          <cell r="AF3634">
            <v>13</v>
          </cell>
          <cell r="AG3634" t="str">
            <v>EDRN132S4</v>
          </cell>
          <cell r="AH3634" t="str">
            <v>FH97G-EDRN132S4270-X#</v>
          </cell>
        </row>
        <row r="3635">
          <cell r="A3635" t="str">
            <v>MR003624</v>
          </cell>
          <cell r="B3635" t="str">
            <v>MR</v>
          </cell>
          <cell r="C3635">
            <v>18.5</v>
          </cell>
          <cell r="D3635">
            <v>54</v>
          </cell>
          <cell r="E3635" t="str">
            <v>FH97</v>
          </cell>
          <cell r="F3635">
            <v>3280</v>
          </cell>
          <cell r="G3635">
            <v>27.44</v>
          </cell>
          <cell r="H3635">
            <v>1.3</v>
          </cell>
          <cell r="I3635" t="str">
            <v>M1</v>
          </cell>
          <cell r="J3635" t="str">
            <v>IE3</v>
          </cell>
          <cell r="K3635" t="str">
            <v>400/690</v>
          </cell>
          <cell r="L3635">
            <v>50</v>
          </cell>
          <cell r="M3635" t="str">
            <v>33,5/19,3</v>
          </cell>
          <cell r="N3635">
            <v>65</v>
          </cell>
          <cell r="O3635" t="str">
            <v>155(F)</v>
          </cell>
          <cell r="P3635" t="str">
            <v>270°</v>
          </cell>
          <cell r="Q3635" t="str">
            <v>TF</v>
          </cell>
          <cell r="R3635" t="str">
            <v>-</v>
          </cell>
          <cell r="S3635" t="str">
            <v>-</v>
          </cell>
          <cell r="T3635" t="str">
            <v>-</v>
          </cell>
          <cell r="U3635" t="str">
            <v>G</v>
          </cell>
          <cell r="V3635" t="str">
            <v>D</v>
          </cell>
          <cell r="W3635" t="str">
            <v>-</v>
          </cell>
          <cell r="X3635" t="str">
            <v>CLP HC 150 (-30/+50°C)</v>
          </cell>
          <cell r="Y3635" t="str">
            <v>FH97/G EDRN180M4 /TF</v>
          </cell>
          <cell r="Z3635" t="str">
            <v>SEW</v>
          </cell>
          <cell r="AB3635" t="str">
            <v>ATEX22</v>
          </cell>
          <cell r="AF3635">
            <v>54</v>
          </cell>
          <cell r="AG3635" t="str">
            <v>EDRN180M4</v>
          </cell>
          <cell r="AH3635" t="str">
            <v>FH97G-EDRN180M4270-X</v>
          </cell>
        </row>
        <row r="3636">
          <cell r="A3636" t="str">
            <v>MR003625</v>
          </cell>
          <cell r="B3636" t="str">
            <v>MR</v>
          </cell>
          <cell r="C3636">
            <v>5.5</v>
          </cell>
          <cell r="D3636">
            <v>62</v>
          </cell>
          <cell r="E3636" t="str">
            <v>FH87</v>
          </cell>
          <cell r="F3636">
            <v>850</v>
          </cell>
          <cell r="G3636">
            <v>23.68</v>
          </cell>
          <cell r="H3636">
            <v>3.1</v>
          </cell>
          <cell r="I3636" t="str">
            <v>M1</v>
          </cell>
          <cell r="J3636" t="str">
            <v>IE3</v>
          </cell>
          <cell r="K3636" t="str">
            <v>230/400</v>
          </cell>
          <cell r="L3636">
            <v>50</v>
          </cell>
          <cell r="M3636" t="str">
            <v>18,2/10,5</v>
          </cell>
          <cell r="N3636">
            <v>65</v>
          </cell>
          <cell r="O3636" t="str">
            <v>155(F)</v>
          </cell>
          <cell r="P3636" t="str">
            <v>270°</v>
          </cell>
          <cell r="Q3636" t="str">
            <v>TF</v>
          </cell>
          <cell r="R3636" t="str">
            <v>-</v>
          </cell>
          <cell r="S3636" t="str">
            <v>-</v>
          </cell>
          <cell r="T3636" t="str">
            <v>-</v>
          </cell>
          <cell r="U3636" t="str">
            <v>G</v>
          </cell>
          <cell r="V3636" t="str">
            <v>D</v>
          </cell>
          <cell r="W3636" t="str">
            <v>-</v>
          </cell>
          <cell r="X3636" t="str">
            <v>CLP HC 150 (-30/+50°C)</v>
          </cell>
          <cell r="Y3636" t="str">
            <v>FH87/G EDRN132S4 /TF</v>
          </cell>
          <cell r="Z3636" t="str">
            <v>SEW</v>
          </cell>
          <cell r="AB3636" t="str">
            <v>ATEX22</v>
          </cell>
          <cell r="AF3636">
            <v>62</v>
          </cell>
          <cell r="AG3636" t="str">
            <v>EDRN132S4</v>
          </cell>
          <cell r="AH3636" t="str">
            <v>FH87G-EDRN132S4270-X</v>
          </cell>
        </row>
        <row r="3637">
          <cell r="A3637" t="str">
            <v>MR003626</v>
          </cell>
          <cell r="B3637" t="str">
            <v>MR</v>
          </cell>
          <cell r="C3637">
            <v>5.5</v>
          </cell>
          <cell r="D3637">
            <v>14</v>
          </cell>
          <cell r="E3637" t="str">
            <v>KH97</v>
          </cell>
          <cell r="F3637">
            <v>3780</v>
          </cell>
          <cell r="G3637">
            <v>105.13</v>
          </cell>
          <cell r="H3637">
            <v>1.1000000000000001</v>
          </cell>
          <cell r="I3637" t="str">
            <v>From M1A to M2A - 30°</v>
          </cell>
          <cell r="J3637" t="str">
            <v>IE3</v>
          </cell>
          <cell r="K3637" t="str">
            <v>230/400</v>
          </cell>
          <cell r="L3637">
            <v>50</v>
          </cell>
          <cell r="M3637" t="str">
            <v>18,2/10,5</v>
          </cell>
          <cell r="N3637">
            <v>65</v>
          </cell>
          <cell r="O3637" t="str">
            <v>155(F)</v>
          </cell>
          <cell r="P3637" t="str">
            <v>180°</v>
          </cell>
          <cell r="Q3637" t="str">
            <v>TF</v>
          </cell>
          <cell r="R3637" t="str">
            <v>-</v>
          </cell>
          <cell r="S3637" t="str">
            <v>-</v>
          </cell>
          <cell r="T3637" t="str">
            <v>-</v>
          </cell>
          <cell r="U3637" t="str">
            <v>-</v>
          </cell>
          <cell r="V3637" t="str">
            <v>FC</v>
          </cell>
          <cell r="W3637" t="str">
            <v>-</v>
          </cell>
          <cell r="X3637" t="str">
            <v>CLP HC 150 (-30/+50°C)</v>
          </cell>
          <cell r="Y3637" t="str">
            <v>KH97EDRN132S4 /TF</v>
          </cell>
          <cell r="Z3637" t="str">
            <v>SEW</v>
          </cell>
          <cell r="AB3637" t="str">
            <v>ATEX22</v>
          </cell>
          <cell r="AF3637">
            <v>14</v>
          </cell>
          <cell r="AG3637" t="str">
            <v>EDRN132S4</v>
          </cell>
          <cell r="AH3637" t="str">
            <v>KH97-EDRN132S4A180-X</v>
          </cell>
        </row>
        <row r="3638">
          <cell r="A3638" t="str">
            <v>MR003627</v>
          </cell>
          <cell r="B3638" t="str">
            <v>MR</v>
          </cell>
          <cell r="C3638">
            <v>5.5</v>
          </cell>
          <cell r="D3638">
            <v>14</v>
          </cell>
          <cell r="E3638" t="str">
            <v>KH97</v>
          </cell>
          <cell r="F3638">
            <v>3780</v>
          </cell>
          <cell r="G3638">
            <v>105.13</v>
          </cell>
          <cell r="H3638">
            <v>1.1000000000000001</v>
          </cell>
          <cell r="I3638" t="str">
            <v>From M1B to M2B - 30°</v>
          </cell>
          <cell r="J3638" t="str">
            <v>IE3</v>
          </cell>
          <cell r="K3638" t="str">
            <v>230/400</v>
          </cell>
          <cell r="L3638">
            <v>50</v>
          </cell>
          <cell r="M3638" t="str">
            <v>18,2/10,5</v>
          </cell>
          <cell r="N3638">
            <v>65</v>
          </cell>
          <cell r="O3638" t="str">
            <v>155(F)</v>
          </cell>
          <cell r="P3638" t="str">
            <v>0°</v>
          </cell>
          <cell r="Q3638" t="str">
            <v>TF</v>
          </cell>
          <cell r="R3638" t="str">
            <v>-</v>
          </cell>
          <cell r="S3638" t="str">
            <v>-</v>
          </cell>
          <cell r="T3638" t="str">
            <v>-</v>
          </cell>
          <cell r="U3638" t="str">
            <v>-</v>
          </cell>
          <cell r="V3638" t="str">
            <v>FC</v>
          </cell>
          <cell r="W3638" t="str">
            <v>-</v>
          </cell>
          <cell r="X3638" t="str">
            <v>CLP HC 150 (-30/+50°C)</v>
          </cell>
          <cell r="Y3638" t="str">
            <v>KH97EDRN132S4 /TF</v>
          </cell>
          <cell r="Z3638" t="str">
            <v>SEW</v>
          </cell>
          <cell r="AB3638" t="str">
            <v>ATEX22</v>
          </cell>
          <cell r="AF3638">
            <v>14</v>
          </cell>
          <cell r="AG3638" t="str">
            <v>EDRN132S4</v>
          </cell>
          <cell r="AH3638" t="str">
            <v>KH97-EDRN132S4B0-X</v>
          </cell>
        </row>
        <row r="3639">
          <cell r="A3639" t="str">
            <v>MR003628</v>
          </cell>
          <cell r="B3639" t="str">
            <v>MR</v>
          </cell>
          <cell r="C3639">
            <v>2.2000000000000002</v>
          </cell>
          <cell r="D3639">
            <v>15</v>
          </cell>
          <cell r="E3639" t="str">
            <v>KH77</v>
          </cell>
          <cell r="F3639">
            <v>1410</v>
          </cell>
          <cell r="G3639">
            <v>97.5</v>
          </cell>
          <cell r="H3639">
            <v>1.05</v>
          </cell>
          <cell r="I3639" t="str">
            <v>M4A</v>
          </cell>
          <cell r="J3639" t="str">
            <v>IE3</v>
          </cell>
          <cell r="K3639" t="str">
            <v>230/400</v>
          </cell>
          <cell r="L3639">
            <v>50</v>
          </cell>
          <cell r="M3639" t="str">
            <v>8,3/4,8</v>
          </cell>
          <cell r="N3639">
            <v>65</v>
          </cell>
          <cell r="O3639" t="str">
            <v>155(F)</v>
          </cell>
          <cell r="P3639" t="str">
            <v>270°</v>
          </cell>
          <cell r="Q3639" t="str">
            <v>TF</v>
          </cell>
          <cell r="R3639" t="str">
            <v>-</v>
          </cell>
          <cell r="S3639" t="str">
            <v>-</v>
          </cell>
          <cell r="T3639" t="str">
            <v>-</v>
          </cell>
          <cell r="U3639" t="str">
            <v>-</v>
          </cell>
          <cell r="V3639" t="str">
            <v>FC</v>
          </cell>
          <cell r="W3639" t="str">
            <v>-</v>
          </cell>
          <cell r="X3639" t="str">
            <v>CLP HC 150 (-30/+50°C)</v>
          </cell>
          <cell r="Y3639" t="str">
            <v>KH77EDRN100LS4 /TF</v>
          </cell>
          <cell r="Z3639" t="str">
            <v>SEW</v>
          </cell>
          <cell r="AB3639" t="str">
            <v>ATEX22</v>
          </cell>
          <cell r="AF3639">
            <v>15</v>
          </cell>
          <cell r="AG3639" t="str">
            <v>EDRN100LS4</v>
          </cell>
          <cell r="AH3639" t="str">
            <v>KH77-EDRN100LS4A270-X</v>
          </cell>
        </row>
        <row r="3640">
          <cell r="A3640" t="str">
            <v>MR003629</v>
          </cell>
          <cell r="B3640" t="str">
            <v>MR</v>
          </cell>
          <cell r="C3640">
            <v>15</v>
          </cell>
          <cell r="D3640">
            <v>13</v>
          </cell>
          <cell r="E3640" t="str">
            <v>KH127</v>
          </cell>
          <cell r="F3640">
            <v>10700</v>
          </cell>
          <cell r="G3640">
            <v>110.18</v>
          </cell>
          <cell r="H3640">
            <v>1.2</v>
          </cell>
          <cell r="I3640" t="str">
            <v>From M1A to M2A - 30°</v>
          </cell>
          <cell r="J3640" t="str">
            <v>IE3</v>
          </cell>
          <cell r="K3640" t="str">
            <v>400/690</v>
          </cell>
          <cell r="L3640">
            <v>50</v>
          </cell>
          <cell r="M3640" t="str">
            <v>29/16,7</v>
          </cell>
          <cell r="N3640">
            <v>65</v>
          </cell>
          <cell r="O3640" t="str">
            <v>155(F)</v>
          </cell>
          <cell r="P3640" t="str">
            <v>180°</v>
          </cell>
          <cell r="Q3640" t="str">
            <v>TF</v>
          </cell>
          <cell r="R3640" t="str">
            <v>-</v>
          </cell>
          <cell r="S3640" t="str">
            <v>-</v>
          </cell>
          <cell r="T3640" t="str">
            <v>-</v>
          </cell>
          <cell r="U3640" t="str">
            <v>-</v>
          </cell>
          <cell r="V3640" t="str">
            <v>FC</v>
          </cell>
          <cell r="W3640" t="str">
            <v>-</v>
          </cell>
          <cell r="X3640" t="str">
            <v>CLP HC 150 (-30/+50°C)</v>
          </cell>
          <cell r="Y3640" t="str">
            <v>KH127EDRN160L4 /TF</v>
          </cell>
          <cell r="Z3640" t="str">
            <v>SEW</v>
          </cell>
          <cell r="AB3640" t="str">
            <v>ATEX22</v>
          </cell>
          <cell r="AF3640">
            <v>13</v>
          </cell>
          <cell r="AG3640" t="str">
            <v>EDRN160L4</v>
          </cell>
          <cell r="AH3640" t="str">
            <v>KH127-EDRN160L4A180-X</v>
          </cell>
        </row>
        <row r="3641">
          <cell r="A3641" t="str">
            <v>MR003630</v>
          </cell>
          <cell r="B3641" t="str">
            <v>MR</v>
          </cell>
          <cell r="C3641">
            <v>15</v>
          </cell>
          <cell r="D3641">
            <v>13</v>
          </cell>
          <cell r="E3641" t="str">
            <v>KH127</v>
          </cell>
          <cell r="F3641">
            <v>10700</v>
          </cell>
          <cell r="G3641">
            <v>110.18</v>
          </cell>
          <cell r="H3641">
            <v>1.2</v>
          </cell>
          <cell r="I3641" t="str">
            <v>From M1B to M2B - 30°</v>
          </cell>
          <cell r="J3641" t="str">
            <v>IE3</v>
          </cell>
          <cell r="K3641" t="str">
            <v>400/690</v>
          </cell>
          <cell r="L3641">
            <v>50</v>
          </cell>
          <cell r="M3641" t="str">
            <v>29/16,7</v>
          </cell>
          <cell r="N3641">
            <v>65</v>
          </cell>
          <cell r="O3641" t="str">
            <v>155(F)</v>
          </cell>
          <cell r="P3641" t="str">
            <v>0°</v>
          </cell>
          <cell r="Q3641" t="str">
            <v>TF</v>
          </cell>
          <cell r="R3641" t="str">
            <v>-</v>
          </cell>
          <cell r="S3641" t="str">
            <v>-</v>
          </cell>
          <cell r="T3641" t="str">
            <v>-</v>
          </cell>
          <cell r="U3641" t="str">
            <v>-</v>
          </cell>
          <cell r="V3641" t="str">
            <v>FC</v>
          </cell>
          <cell r="W3641" t="str">
            <v>-</v>
          </cell>
          <cell r="X3641" t="str">
            <v>CLP HC 150 (-30/+50°C)</v>
          </cell>
          <cell r="Y3641" t="str">
            <v>KH127EDRN160L4 /TF</v>
          </cell>
          <cell r="Z3641" t="str">
            <v>SEW</v>
          </cell>
          <cell r="AB3641" t="str">
            <v>ATEX22</v>
          </cell>
          <cell r="AF3641">
            <v>13</v>
          </cell>
          <cell r="AG3641" t="str">
            <v>EDRN160L4</v>
          </cell>
          <cell r="AH3641" t="str">
            <v>KH127-EDRN160L4B0-X</v>
          </cell>
        </row>
        <row r="3642">
          <cell r="A3642" t="str">
            <v>MR003631</v>
          </cell>
          <cell r="B3642" t="str">
            <v>MR</v>
          </cell>
          <cell r="C3642">
            <v>2.2000000000000002</v>
          </cell>
          <cell r="D3642">
            <v>15</v>
          </cell>
          <cell r="E3642" t="str">
            <v>KH77</v>
          </cell>
          <cell r="F3642">
            <v>1410</v>
          </cell>
          <cell r="G3642">
            <v>97.5</v>
          </cell>
          <cell r="H3642">
            <v>1.05</v>
          </cell>
          <cell r="I3642" t="str">
            <v>M4B</v>
          </cell>
          <cell r="J3642" t="str">
            <v>IE3</v>
          </cell>
          <cell r="K3642" t="str">
            <v>230/400</v>
          </cell>
          <cell r="L3642">
            <v>50</v>
          </cell>
          <cell r="M3642" t="str">
            <v>8,3/4,8</v>
          </cell>
          <cell r="N3642">
            <v>65</v>
          </cell>
          <cell r="O3642" t="str">
            <v>155(F)</v>
          </cell>
          <cell r="P3642" t="str">
            <v>270°</v>
          </cell>
          <cell r="Q3642" t="str">
            <v>TF</v>
          </cell>
          <cell r="R3642" t="str">
            <v>-</v>
          </cell>
          <cell r="S3642" t="str">
            <v>-</v>
          </cell>
          <cell r="T3642" t="str">
            <v>-</v>
          </cell>
          <cell r="U3642" t="str">
            <v>-</v>
          </cell>
          <cell r="V3642" t="str">
            <v>FC</v>
          </cell>
          <cell r="W3642" t="str">
            <v>-</v>
          </cell>
          <cell r="X3642" t="str">
            <v>CLP HC 150 (-30/+50°C)</v>
          </cell>
          <cell r="Y3642" t="str">
            <v>KH77EDRN100LS4 /TF</v>
          </cell>
          <cell r="Z3642" t="str">
            <v>SEW</v>
          </cell>
          <cell r="AB3642" t="str">
            <v>ATEX22</v>
          </cell>
          <cell r="AF3642">
            <v>15</v>
          </cell>
          <cell r="AG3642" t="str">
            <v>EDRN100LS4</v>
          </cell>
          <cell r="AH3642" t="str">
            <v>KH77-EDRN100LS4B270-X</v>
          </cell>
        </row>
        <row r="3643">
          <cell r="A3643" t="str">
            <v>MR003632</v>
          </cell>
          <cell r="B3643" t="str">
            <v>MR</v>
          </cell>
          <cell r="C3643">
            <v>0.75</v>
          </cell>
          <cell r="D3643">
            <v>18</v>
          </cell>
          <cell r="E3643" t="str">
            <v>FH67</v>
          </cell>
          <cell r="F3643">
            <v>395</v>
          </cell>
          <cell r="G3643">
            <v>79.760000000000005</v>
          </cell>
          <cell r="H3643">
            <v>2</v>
          </cell>
          <cell r="I3643" t="str">
            <v>From M5 to M3 - 30°</v>
          </cell>
          <cell r="J3643" t="str">
            <v>IE3</v>
          </cell>
          <cell r="K3643" t="str">
            <v>230/400</v>
          </cell>
          <cell r="L3643">
            <v>50</v>
          </cell>
          <cell r="M3643" t="str">
            <v>3,05/1,75</v>
          </cell>
          <cell r="N3643">
            <v>65</v>
          </cell>
          <cell r="O3643" t="str">
            <v>155(F)</v>
          </cell>
          <cell r="P3643" t="str">
            <v>180°</v>
          </cell>
          <cell r="Q3643" t="str">
            <v>TF</v>
          </cell>
          <cell r="R3643" t="str">
            <v>-</v>
          </cell>
          <cell r="S3643" t="str">
            <v>-</v>
          </cell>
          <cell r="T3643" t="str">
            <v>BEHF</v>
          </cell>
          <cell r="U3643" t="str">
            <v>G</v>
          </cell>
          <cell r="V3643" t="str">
            <v>D+R</v>
          </cell>
          <cell r="W3643" t="str">
            <v>-</v>
          </cell>
          <cell r="X3643" t="str">
            <v>CLP HC 150 (-30/+50°C)</v>
          </cell>
          <cell r="Y3643" t="str">
            <v>FH67/G EDRN80M4 /BEHF /TF</v>
          </cell>
          <cell r="Z3643" t="str">
            <v>SEW</v>
          </cell>
          <cell r="AB3643" t="str">
            <v>ATEX22</v>
          </cell>
          <cell r="AF3643">
            <v>18</v>
          </cell>
          <cell r="AG3643" t="str">
            <v>EDRN80M4</v>
          </cell>
          <cell r="AH3643" t="str">
            <v>FH67G-EDRN80M4180-X</v>
          </cell>
        </row>
        <row r="3644">
          <cell r="A3644" t="str">
            <v>MR003633</v>
          </cell>
          <cell r="B3644" t="str">
            <v>MR</v>
          </cell>
          <cell r="C3644">
            <v>15</v>
          </cell>
          <cell r="D3644">
            <v>16</v>
          </cell>
          <cell r="E3644" t="str">
            <v>KH127</v>
          </cell>
          <cell r="F3644">
            <v>8740</v>
          </cell>
          <cell r="G3644">
            <v>89.89</v>
          </cell>
          <cell r="H3644">
            <v>1.5</v>
          </cell>
          <cell r="I3644" t="str">
            <v>From M1B to M2B - 10°</v>
          </cell>
          <cell r="J3644" t="str">
            <v>IE3</v>
          </cell>
          <cell r="K3644" t="str">
            <v>400/690</v>
          </cell>
          <cell r="L3644">
            <v>50</v>
          </cell>
          <cell r="M3644" t="str">
            <v>29/16,7</v>
          </cell>
          <cell r="N3644">
            <v>65</v>
          </cell>
          <cell r="O3644" t="str">
            <v>155(F)</v>
          </cell>
          <cell r="P3644" t="str">
            <v>0°</v>
          </cell>
          <cell r="Q3644" t="str">
            <v>TF</v>
          </cell>
          <cell r="R3644" t="str">
            <v>-</v>
          </cell>
          <cell r="S3644" t="str">
            <v>-</v>
          </cell>
          <cell r="T3644" t="str">
            <v>-</v>
          </cell>
          <cell r="U3644" t="str">
            <v>-</v>
          </cell>
          <cell r="V3644" t="str">
            <v>SS</v>
          </cell>
          <cell r="W3644" t="str">
            <v>-</v>
          </cell>
          <cell r="X3644" t="str">
            <v>CLP HC 150 (-30/+50°C)</v>
          </cell>
          <cell r="Y3644" t="str">
            <v>KH127EDRN160L4 /TF</v>
          </cell>
          <cell r="Z3644" t="str">
            <v>SEW</v>
          </cell>
          <cell r="AB3644" t="str">
            <v>ATEX22</v>
          </cell>
          <cell r="AF3644">
            <v>16</v>
          </cell>
          <cell r="AG3644" t="str">
            <v>EDRN160L4</v>
          </cell>
          <cell r="AH3644" t="str">
            <v>KH127-EDRN160L4B0-X</v>
          </cell>
        </row>
        <row r="3645">
          <cell r="A3645" t="str">
            <v>MR003634</v>
          </cell>
          <cell r="B3645" t="str">
            <v>MR</v>
          </cell>
          <cell r="C3645">
            <v>15</v>
          </cell>
          <cell r="D3645">
            <v>16</v>
          </cell>
          <cell r="E3645" t="str">
            <v>KH127</v>
          </cell>
          <cell r="F3645">
            <v>8740</v>
          </cell>
          <cell r="G3645">
            <v>89.89</v>
          </cell>
          <cell r="H3645">
            <v>1.5</v>
          </cell>
          <cell r="I3645" t="str">
            <v>From M1A to M2A - 10°</v>
          </cell>
          <cell r="J3645" t="str">
            <v>IE3</v>
          </cell>
          <cell r="K3645" t="str">
            <v>400/690</v>
          </cell>
          <cell r="L3645">
            <v>50</v>
          </cell>
          <cell r="M3645" t="str">
            <v>29/16,7</v>
          </cell>
          <cell r="N3645">
            <v>65</v>
          </cell>
          <cell r="O3645" t="str">
            <v>155(F)</v>
          </cell>
          <cell r="P3645" t="str">
            <v>180°</v>
          </cell>
          <cell r="Q3645" t="str">
            <v>TF</v>
          </cell>
          <cell r="R3645" t="str">
            <v>-</v>
          </cell>
          <cell r="S3645" t="str">
            <v>-</v>
          </cell>
          <cell r="T3645" t="str">
            <v>-</v>
          </cell>
          <cell r="U3645" t="str">
            <v>-</v>
          </cell>
          <cell r="V3645" t="str">
            <v>SS</v>
          </cell>
          <cell r="W3645" t="str">
            <v>-</v>
          </cell>
          <cell r="X3645" t="str">
            <v>CLP HC 150 (-30/+50°C)</v>
          </cell>
          <cell r="Y3645" t="str">
            <v>KH127EDRN160L4 /TF</v>
          </cell>
          <cell r="Z3645" t="str">
            <v>SEW</v>
          </cell>
          <cell r="AB3645" t="str">
            <v>ATEX22</v>
          </cell>
          <cell r="AF3645">
            <v>16</v>
          </cell>
          <cell r="AG3645" t="str">
            <v>EDRN160L4</v>
          </cell>
          <cell r="AH3645" t="str">
            <v>KH127-EDRN160L4A180-X</v>
          </cell>
        </row>
        <row r="3646">
          <cell r="A3646" t="str">
            <v>MR003635</v>
          </cell>
          <cell r="B3646" t="str">
            <v>MR</v>
          </cell>
          <cell r="C3646">
            <v>9.1999999999999993</v>
          </cell>
          <cell r="D3646">
            <v>13</v>
          </cell>
          <cell r="E3646" t="str">
            <v>KH107</v>
          </cell>
          <cell r="F3646">
            <v>6710</v>
          </cell>
          <cell r="G3646">
            <v>112.41</v>
          </cell>
          <cell r="H3646">
            <v>1.1399999999999999</v>
          </cell>
          <cell r="I3646" t="str">
            <v>From M1A to M2A - 35°</v>
          </cell>
          <cell r="J3646" t="str">
            <v>IE3</v>
          </cell>
          <cell r="K3646" t="str">
            <v>400/690</v>
          </cell>
          <cell r="L3646">
            <v>50</v>
          </cell>
          <cell r="M3646" t="str">
            <v>18,7/10,8</v>
          </cell>
          <cell r="N3646">
            <v>65</v>
          </cell>
          <cell r="O3646" t="str">
            <v>155(F)</v>
          </cell>
          <cell r="P3646" t="str">
            <v>180°</v>
          </cell>
          <cell r="Q3646" t="str">
            <v>TF</v>
          </cell>
          <cell r="R3646" t="str">
            <v>-</v>
          </cell>
          <cell r="S3646" t="str">
            <v>-</v>
          </cell>
          <cell r="T3646" t="str">
            <v>-</v>
          </cell>
          <cell r="U3646" t="str">
            <v>-</v>
          </cell>
          <cell r="V3646" t="str">
            <v>FC</v>
          </cell>
          <cell r="W3646" t="str">
            <v>-</v>
          </cell>
          <cell r="X3646" t="str">
            <v>CLP HC 150 (-30/+50°C)</v>
          </cell>
          <cell r="Y3646" t="str">
            <v>KH107EDRN132L4 /TF</v>
          </cell>
          <cell r="Z3646" t="str">
            <v>SEW</v>
          </cell>
          <cell r="AB3646" t="str">
            <v>ATEX22</v>
          </cell>
          <cell r="AF3646">
            <v>13</v>
          </cell>
          <cell r="AG3646" t="str">
            <v>EDRN132L4</v>
          </cell>
          <cell r="AH3646" t="str">
            <v>KH107-EDRN132L4A180-X</v>
          </cell>
        </row>
        <row r="3647">
          <cell r="A3647" t="str">
            <v>MR003636</v>
          </cell>
          <cell r="B3647" t="str">
            <v>MR</v>
          </cell>
          <cell r="C3647">
            <v>9.1999999999999993</v>
          </cell>
          <cell r="D3647">
            <v>13</v>
          </cell>
          <cell r="E3647" t="str">
            <v>KH107</v>
          </cell>
          <cell r="F3647">
            <v>6710</v>
          </cell>
          <cell r="G3647">
            <v>112.41</v>
          </cell>
          <cell r="H3647">
            <v>1.1399999999999999</v>
          </cell>
          <cell r="I3647" t="str">
            <v>From M1B to M2B - 35°</v>
          </cell>
          <cell r="J3647" t="str">
            <v>IE3</v>
          </cell>
          <cell r="K3647" t="str">
            <v>400/690</v>
          </cell>
          <cell r="L3647">
            <v>50</v>
          </cell>
          <cell r="M3647" t="str">
            <v>18,7/10,8</v>
          </cell>
          <cell r="N3647">
            <v>65</v>
          </cell>
          <cell r="O3647" t="str">
            <v>155(F)</v>
          </cell>
          <cell r="P3647" t="str">
            <v>0°</v>
          </cell>
          <cell r="Q3647" t="str">
            <v>TF</v>
          </cell>
          <cell r="R3647" t="str">
            <v>-</v>
          </cell>
          <cell r="S3647" t="str">
            <v>-</v>
          </cell>
          <cell r="T3647" t="str">
            <v>-</v>
          </cell>
          <cell r="U3647" t="str">
            <v>-</v>
          </cell>
          <cell r="V3647" t="str">
            <v>FC</v>
          </cell>
          <cell r="W3647" t="str">
            <v>-</v>
          </cell>
          <cell r="X3647" t="str">
            <v>CLP HC 150 (-30/+50°C)</v>
          </cell>
          <cell r="Y3647" t="str">
            <v>KH107EDRN132L4 /TF</v>
          </cell>
          <cell r="Z3647" t="str">
            <v>SEW</v>
          </cell>
          <cell r="AB3647" t="str">
            <v>ATEX22</v>
          </cell>
          <cell r="AF3647">
            <v>13</v>
          </cell>
          <cell r="AG3647" t="str">
            <v>EDRN132L4</v>
          </cell>
          <cell r="AH3647" t="str">
            <v>KH107-EDRN132L4B0-X</v>
          </cell>
        </row>
        <row r="3648">
          <cell r="A3648" t="str">
            <v>MR003637</v>
          </cell>
          <cell r="B3648" t="str">
            <v>MR</v>
          </cell>
          <cell r="C3648">
            <v>0.25</v>
          </cell>
          <cell r="D3648">
            <v>1.7</v>
          </cell>
          <cell r="E3648" t="str">
            <v>KH77R37</v>
          </cell>
          <cell r="F3648">
            <v>1240</v>
          </cell>
          <cell r="G3648">
            <v>815</v>
          </cell>
          <cell r="H3648">
            <v>1.25</v>
          </cell>
          <cell r="I3648" t="str">
            <v>M3B</v>
          </cell>
          <cell r="J3648" t="str">
            <v>IE3</v>
          </cell>
          <cell r="K3648" t="str">
            <v>230/400</v>
          </cell>
          <cell r="L3648">
            <v>50</v>
          </cell>
          <cell r="M3648" t="str">
            <v>1,41/0,81</v>
          </cell>
          <cell r="N3648">
            <v>65</v>
          </cell>
          <cell r="O3648" t="str">
            <v>155(F)</v>
          </cell>
          <cell r="P3648" t="str">
            <v>0°</v>
          </cell>
          <cell r="Q3648" t="str">
            <v>TF</v>
          </cell>
          <cell r="R3648" t="str">
            <v>V(VE)</v>
          </cell>
          <cell r="S3648" t="str">
            <v>-</v>
          </cell>
          <cell r="T3648" t="str">
            <v>BEHF</v>
          </cell>
          <cell r="U3648" t="str">
            <v>T</v>
          </cell>
          <cell r="V3648" t="str">
            <v>FC+R</v>
          </cell>
          <cell r="W3648" t="str">
            <v>-</v>
          </cell>
          <cell r="X3648" t="str">
            <v>CLP HC 150 (-30/+50°C)</v>
          </cell>
          <cell r="Y3648" t="str">
            <v>KH77R37/T n/a /BEHF /TF/VE</v>
          </cell>
          <cell r="Z3648" t="str">
            <v>SEW</v>
          </cell>
          <cell r="AB3648" t="str">
            <v>ATEX22</v>
          </cell>
          <cell r="AF3648">
            <v>1.7</v>
          </cell>
          <cell r="AG3648" t="str">
            <v>n/a</v>
          </cell>
          <cell r="AH3648" t="str">
            <v>KH77R37T-n/aB0-X#</v>
          </cell>
        </row>
        <row r="3649">
          <cell r="A3649" t="str">
            <v>MR003638</v>
          </cell>
          <cell r="B3649" t="str">
            <v>MR</v>
          </cell>
          <cell r="C3649">
            <v>7.5</v>
          </cell>
          <cell r="D3649">
            <v>62</v>
          </cell>
          <cell r="E3649" t="str">
            <v>FH87</v>
          </cell>
          <cell r="F3649">
            <v>1160</v>
          </cell>
          <cell r="G3649">
            <v>23.68</v>
          </cell>
          <cell r="H3649">
            <v>2.2999999999999998</v>
          </cell>
          <cell r="I3649" t="str">
            <v>M1</v>
          </cell>
          <cell r="J3649" t="str">
            <v>IE3</v>
          </cell>
          <cell r="K3649" t="str">
            <v>400/690</v>
          </cell>
          <cell r="L3649">
            <v>50</v>
          </cell>
          <cell r="M3649" t="str">
            <v>15,2/8,8</v>
          </cell>
          <cell r="N3649">
            <v>65</v>
          </cell>
          <cell r="O3649" t="str">
            <v>155(F)</v>
          </cell>
          <cell r="P3649" t="str">
            <v>270°</v>
          </cell>
          <cell r="Q3649" t="str">
            <v>TF</v>
          </cell>
          <cell r="R3649" t="str">
            <v>-</v>
          </cell>
          <cell r="S3649" t="str">
            <v>-</v>
          </cell>
          <cell r="T3649" t="str">
            <v>-</v>
          </cell>
          <cell r="U3649" t="str">
            <v>G</v>
          </cell>
          <cell r="V3649" t="str">
            <v>D</v>
          </cell>
          <cell r="W3649" t="str">
            <v>-</v>
          </cell>
          <cell r="X3649" t="str">
            <v>CLP HC 150 (-30/+50°C)</v>
          </cell>
          <cell r="Y3649" t="str">
            <v>FH87/G EDRN132M4 /TF</v>
          </cell>
          <cell r="Z3649" t="str">
            <v>SEW</v>
          </cell>
          <cell r="AB3649" t="str">
            <v>ATEX22</v>
          </cell>
          <cell r="AF3649">
            <v>62</v>
          </cell>
          <cell r="AG3649" t="str">
            <v>EDRN132M4</v>
          </cell>
          <cell r="AH3649" t="str">
            <v>FH87G-EDRN132M4270-X</v>
          </cell>
        </row>
        <row r="3650">
          <cell r="A3650" t="str">
            <v>MR003639</v>
          </cell>
          <cell r="B3650" t="str">
            <v>MR</v>
          </cell>
          <cell r="C3650">
            <v>9.1999999999999993</v>
          </cell>
          <cell r="D3650">
            <v>62</v>
          </cell>
          <cell r="E3650" t="str">
            <v>FH87</v>
          </cell>
          <cell r="F3650">
            <v>1420</v>
          </cell>
          <cell r="G3650">
            <v>23.68</v>
          </cell>
          <cell r="H3650">
            <v>1.85</v>
          </cell>
          <cell r="I3650" t="str">
            <v>M1</v>
          </cell>
          <cell r="J3650" t="str">
            <v>IE3</v>
          </cell>
          <cell r="K3650" t="str">
            <v>400/690</v>
          </cell>
          <cell r="L3650">
            <v>50</v>
          </cell>
          <cell r="M3650" t="str">
            <v>18,7/10,8</v>
          </cell>
          <cell r="N3650">
            <v>65</v>
          </cell>
          <cell r="O3650" t="str">
            <v>155(F)</v>
          </cell>
          <cell r="P3650" t="str">
            <v>180°</v>
          </cell>
          <cell r="Q3650" t="str">
            <v>TF</v>
          </cell>
          <cell r="R3650" t="str">
            <v>-</v>
          </cell>
          <cell r="S3650" t="str">
            <v>-</v>
          </cell>
          <cell r="T3650" t="str">
            <v>-</v>
          </cell>
          <cell r="U3650" t="str">
            <v>G</v>
          </cell>
          <cell r="V3650" t="str">
            <v>D</v>
          </cell>
          <cell r="W3650" t="str">
            <v>-</v>
          </cell>
          <cell r="X3650" t="str">
            <v>CLP HC 150 (-30/+50°C)</v>
          </cell>
          <cell r="Y3650" t="str">
            <v>FH87/G EDRN132L4 /TF</v>
          </cell>
          <cell r="Z3650" t="str">
            <v>SEW</v>
          </cell>
          <cell r="AB3650" t="str">
            <v>ATEX22</v>
          </cell>
          <cell r="AF3650">
            <v>62</v>
          </cell>
          <cell r="AG3650" t="str">
            <v>EDRN132L4</v>
          </cell>
          <cell r="AH3650" t="str">
            <v>FH87G-EDRN132L4180-X</v>
          </cell>
        </row>
        <row r="3651">
          <cell r="A3651" t="str">
            <v>MR003640</v>
          </cell>
          <cell r="B3651" t="str">
            <v>MR</v>
          </cell>
          <cell r="C3651">
            <v>18.5</v>
          </cell>
          <cell r="D3651">
            <v>16</v>
          </cell>
          <cell r="E3651" t="str">
            <v>KH127</v>
          </cell>
          <cell r="F3651">
            <v>10700</v>
          </cell>
          <cell r="G3651">
            <v>89.89</v>
          </cell>
          <cell r="H3651">
            <v>1.2</v>
          </cell>
          <cell r="I3651" t="str">
            <v>From M1A to M2A - 30°</v>
          </cell>
          <cell r="J3651" t="str">
            <v>IE3</v>
          </cell>
          <cell r="K3651" t="str">
            <v>400/690</v>
          </cell>
          <cell r="L3651">
            <v>50</v>
          </cell>
          <cell r="M3651" t="str">
            <v>33,5/19,3</v>
          </cell>
          <cell r="N3651">
            <v>65</v>
          </cell>
          <cell r="O3651" t="str">
            <v>155(F)</v>
          </cell>
          <cell r="P3651" t="str">
            <v>180°</v>
          </cell>
          <cell r="Q3651" t="str">
            <v>TF</v>
          </cell>
          <cell r="R3651" t="str">
            <v>-</v>
          </cell>
          <cell r="S3651" t="str">
            <v>-</v>
          </cell>
          <cell r="T3651" t="str">
            <v>-</v>
          </cell>
          <cell r="U3651" t="str">
            <v>-</v>
          </cell>
          <cell r="V3651" t="str">
            <v>SS</v>
          </cell>
          <cell r="W3651" t="str">
            <v>-</v>
          </cell>
          <cell r="X3651" t="str">
            <v>CLP HC 150 (-30/+50°C)</v>
          </cell>
          <cell r="Y3651" t="str">
            <v>KH127EDRN180M4 /TF</v>
          </cell>
          <cell r="Z3651" t="str">
            <v>SEW</v>
          </cell>
          <cell r="AB3651" t="str">
            <v>ATEX22</v>
          </cell>
          <cell r="AF3651">
            <v>16</v>
          </cell>
          <cell r="AG3651" t="str">
            <v>EDRN180M4</v>
          </cell>
          <cell r="AH3651" t="str">
            <v>KH127-EDRN180M4A180-X</v>
          </cell>
        </row>
        <row r="3652">
          <cell r="A3652" t="str">
            <v>MR003641</v>
          </cell>
          <cell r="B3652" t="str">
            <v>MR</v>
          </cell>
          <cell r="C3652">
            <v>18.5</v>
          </cell>
          <cell r="D3652">
            <v>16</v>
          </cell>
          <cell r="E3652" t="str">
            <v>KH127</v>
          </cell>
          <cell r="F3652">
            <v>10700</v>
          </cell>
          <cell r="G3652">
            <v>89.89</v>
          </cell>
          <cell r="H3652">
            <v>1.2</v>
          </cell>
          <cell r="I3652" t="str">
            <v>From M1B to M2B - 30°</v>
          </cell>
          <cell r="J3652" t="str">
            <v>IE3</v>
          </cell>
          <cell r="K3652" t="str">
            <v>400/690</v>
          </cell>
          <cell r="L3652">
            <v>50</v>
          </cell>
          <cell r="M3652" t="str">
            <v>33,5/19,3</v>
          </cell>
          <cell r="N3652">
            <v>65</v>
          </cell>
          <cell r="O3652" t="str">
            <v>155(F)</v>
          </cell>
          <cell r="P3652" t="str">
            <v>0°</v>
          </cell>
          <cell r="Q3652" t="str">
            <v>TF</v>
          </cell>
          <cell r="R3652" t="str">
            <v>-</v>
          </cell>
          <cell r="S3652" t="str">
            <v>-</v>
          </cell>
          <cell r="T3652" t="str">
            <v>-</v>
          </cell>
          <cell r="U3652" t="str">
            <v>-</v>
          </cell>
          <cell r="V3652" t="str">
            <v>SS</v>
          </cell>
          <cell r="W3652" t="str">
            <v>-</v>
          </cell>
          <cell r="X3652" t="str">
            <v>CLP HC 150 (-30/+50°C)</v>
          </cell>
          <cell r="Y3652" t="str">
            <v>KH127EDRN180M4 /TF</v>
          </cell>
          <cell r="Z3652" t="str">
            <v>SEW</v>
          </cell>
          <cell r="AB3652" t="str">
            <v>ATEX22</v>
          </cell>
          <cell r="AF3652">
            <v>16</v>
          </cell>
          <cell r="AG3652" t="str">
            <v>EDRN180M4</v>
          </cell>
          <cell r="AH3652" t="str">
            <v>KH127-EDRN180M4B0-X</v>
          </cell>
        </row>
        <row r="3653">
          <cell r="A3653" t="str">
            <v>MR003642</v>
          </cell>
          <cell r="B3653" t="str">
            <v>MR</v>
          </cell>
          <cell r="C3653">
            <v>22</v>
          </cell>
          <cell r="D3653">
            <v>12</v>
          </cell>
          <cell r="E3653" t="str">
            <v>KH157</v>
          </cell>
          <cell r="F3653">
            <v>17400</v>
          </cell>
          <cell r="G3653">
            <v>122.39</v>
          </cell>
          <cell r="H3653">
            <v>1.1499999999999999</v>
          </cell>
          <cell r="I3653" t="str">
            <v>From M1A to M2A - 35°</v>
          </cell>
          <cell r="J3653" t="str">
            <v>IE3</v>
          </cell>
          <cell r="K3653" t="str">
            <v>400/690</v>
          </cell>
          <cell r="L3653">
            <v>50</v>
          </cell>
          <cell r="M3653" t="str">
            <v>38,5/22,5</v>
          </cell>
          <cell r="N3653">
            <v>65</v>
          </cell>
          <cell r="O3653" t="str">
            <v>155(F)</v>
          </cell>
          <cell r="P3653" t="str">
            <v>180°</v>
          </cell>
          <cell r="Q3653" t="str">
            <v>TF</v>
          </cell>
          <cell r="R3653" t="str">
            <v>V(VE)</v>
          </cell>
          <cell r="S3653" t="str">
            <v>-</v>
          </cell>
          <cell r="T3653" t="str">
            <v>-</v>
          </cell>
          <cell r="U3653" t="str">
            <v>-</v>
          </cell>
          <cell r="V3653" t="str">
            <v>FC</v>
          </cell>
          <cell r="W3653" t="str">
            <v>-</v>
          </cell>
          <cell r="X3653" t="str">
            <v>CLP HC 150 (-30/+50°C)</v>
          </cell>
          <cell r="Y3653" t="str">
            <v>KH157EDRN180L4 /TF/VE</v>
          </cell>
          <cell r="Z3653" t="str">
            <v>SEW</v>
          </cell>
          <cell r="AB3653" t="str">
            <v>ATEX22</v>
          </cell>
          <cell r="AF3653">
            <v>12</v>
          </cell>
          <cell r="AG3653" t="str">
            <v>EDRN180L4</v>
          </cell>
          <cell r="AH3653" t="str">
            <v>KH157-EDRN180L4A180-X#</v>
          </cell>
        </row>
        <row r="3654">
          <cell r="A3654" t="str">
            <v>MR003643</v>
          </cell>
          <cell r="B3654" t="str">
            <v>MR</v>
          </cell>
          <cell r="C3654">
            <v>22</v>
          </cell>
          <cell r="D3654">
            <v>12</v>
          </cell>
          <cell r="E3654" t="str">
            <v>KH157</v>
          </cell>
          <cell r="F3654">
            <v>17400</v>
          </cell>
          <cell r="G3654">
            <v>122.39</v>
          </cell>
          <cell r="H3654">
            <v>1.1499999999999999</v>
          </cell>
          <cell r="I3654" t="str">
            <v>From M1B to M2B - 35°</v>
          </cell>
          <cell r="J3654" t="str">
            <v>IE3</v>
          </cell>
          <cell r="K3654" t="str">
            <v>400/690</v>
          </cell>
          <cell r="L3654">
            <v>50</v>
          </cell>
          <cell r="M3654" t="str">
            <v>38,5/22,5</v>
          </cell>
          <cell r="N3654">
            <v>65</v>
          </cell>
          <cell r="O3654" t="str">
            <v>155(F)</v>
          </cell>
          <cell r="P3654" t="str">
            <v>0°</v>
          </cell>
          <cell r="Q3654" t="str">
            <v>TF</v>
          </cell>
          <cell r="R3654" t="str">
            <v>V(VE)</v>
          </cell>
          <cell r="S3654" t="str">
            <v>-</v>
          </cell>
          <cell r="T3654" t="str">
            <v>-</v>
          </cell>
          <cell r="U3654" t="str">
            <v>-</v>
          </cell>
          <cell r="V3654" t="str">
            <v>FC</v>
          </cell>
          <cell r="W3654" t="str">
            <v>-</v>
          </cell>
          <cell r="X3654" t="str">
            <v>CLP HC 150 (-30/+50°C)</v>
          </cell>
          <cell r="Y3654" t="str">
            <v>KH157EDRN180L4 /TF/VE</v>
          </cell>
          <cell r="Z3654" t="str">
            <v>SEW</v>
          </cell>
          <cell r="AB3654" t="str">
            <v>ATEX22</v>
          </cell>
          <cell r="AF3654">
            <v>12</v>
          </cell>
          <cell r="AG3654" t="str">
            <v>EDRN180L4</v>
          </cell>
          <cell r="AH3654" t="str">
            <v>KH157-EDRN180L4B0-X#</v>
          </cell>
        </row>
        <row r="3655">
          <cell r="A3655" t="str">
            <v>MR003644</v>
          </cell>
          <cell r="B3655" t="str">
            <v>MR</v>
          </cell>
          <cell r="C3655">
            <v>3</v>
          </cell>
          <cell r="D3655">
            <v>11</v>
          </cell>
          <cell r="E3655" t="str">
            <v>KH87</v>
          </cell>
          <cell r="F3655">
            <v>2500</v>
          </cell>
          <cell r="G3655">
            <v>126.91</v>
          </cell>
          <cell r="H3655">
            <v>1</v>
          </cell>
          <cell r="I3655" t="str">
            <v>M4B</v>
          </cell>
          <cell r="J3655" t="str">
            <v>IE3</v>
          </cell>
          <cell r="K3655" t="str">
            <v>230/400</v>
          </cell>
          <cell r="L3655">
            <v>50</v>
          </cell>
          <cell r="M3655" t="str">
            <v>11,2/6,4</v>
          </cell>
          <cell r="N3655">
            <v>65</v>
          </cell>
          <cell r="O3655" t="str">
            <v>155(F)</v>
          </cell>
          <cell r="P3655" t="str">
            <v>270°</v>
          </cell>
          <cell r="Q3655" t="str">
            <v>TF</v>
          </cell>
          <cell r="R3655" t="str">
            <v>-</v>
          </cell>
          <cell r="S3655" t="str">
            <v>-</v>
          </cell>
          <cell r="T3655" t="str">
            <v>-</v>
          </cell>
          <cell r="U3655" t="str">
            <v>-</v>
          </cell>
          <cell r="V3655" t="str">
            <v>FC</v>
          </cell>
          <cell r="W3655" t="str">
            <v>-</v>
          </cell>
          <cell r="X3655" t="str">
            <v>CLP HC 150 (-30/+50°C)</v>
          </cell>
          <cell r="Y3655" t="str">
            <v>KH87EDRN100L4 /TF</v>
          </cell>
          <cell r="Z3655" t="str">
            <v>SEW</v>
          </cell>
          <cell r="AB3655" t="str">
            <v>ATEX22</v>
          </cell>
          <cell r="AF3655">
            <v>11</v>
          </cell>
          <cell r="AG3655" t="str">
            <v>EDRN100L4</v>
          </cell>
          <cell r="AH3655" t="str">
            <v>KH87-EDRN100L4B270-X</v>
          </cell>
        </row>
        <row r="3656">
          <cell r="A3656" t="str">
            <v>MR003645</v>
          </cell>
          <cell r="B3656" t="str">
            <v>MR</v>
          </cell>
          <cell r="C3656">
            <v>18.5</v>
          </cell>
          <cell r="D3656">
            <v>12</v>
          </cell>
          <cell r="E3656" t="str">
            <v>KH157</v>
          </cell>
          <cell r="F3656">
            <v>14600</v>
          </cell>
          <cell r="G3656" t="str">
            <v>122,39</v>
          </cell>
          <cell r="H3656" t="str">
            <v>1,35</v>
          </cell>
          <cell r="I3656" t="str">
            <v>From M1A to M2A - 40°</v>
          </cell>
          <cell r="J3656" t="str">
            <v>IE3</v>
          </cell>
          <cell r="K3656" t="str">
            <v>400/690</v>
          </cell>
          <cell r="L3656">
            <v>50</v>
          </cell>
          <cell r="M3656" t="str">
            <v>33,5/19,3</v>
          </cell>
          <cell r="N3656">
            <v>65</v>
          </cell>
          <cell r="O3656" t="str">
            <v>155(F)</v>
          </cell>
          <cell r="P3656" t="str">
            <v>180°</v>
          </cell>
          <cell r="Q3656" t="str">
            <v>TF</v>
          </cell>
          <cell r="R3656" t="str">
            <v>V(VE)</v>
          </cell>
          <cell r="S3656" t="str">
            <v>-</v>
          </cell>
          <cell r="T3656" t="str">
            <v>-</v>
          </cell>
          <cell r="U3656" t="str">
            <v>-</v>
          </cell>
          <cell r="V3656" t="str">
            <v>FC</v>
          </cell>
          <cell r="W3656" t="str">
            <v>-</v>
          </cell>
          <cell r="X3656" t="str">
            <v>CLP HC 150 (-30/+50°C)</v>
          </cell>
          <cell r="Y3656" t="str">
            <v>KH157EDRN180M4 /TF/VE</v>
          </cell>
          <cell r="Z3656" t="str">
            <v>SEW</v>
          </cell>
          <cell r="AB3656" t="str">
            <v>ATEX22</v>
          </cell>
          <cell r="AF3656">
            <v>12</v>
          </cell>
          <cell r="AG3656" t="str">
            <v>EDRN180M4</v>
          </cell>
          <cell r="AH3656" t="str">
            <v>KH157-EDRN180M4A180-X#</v>
          </cell>
        </row>
        <row r="3657">
          <cell r="A3657" t="str">
            <v>MR003646</v>
          </cell>
          <cell r="B3657" t="str">
            <v>MR</v>
          </cell>
          <cell r="C3657">
            <v>18.5</v>
          </cell>
          <cell r="D3657">
            <v>12</v>
          </cell>
          <cell r="E3657" t="str">
            <v>KH157</v>
          </cell>
          <cell r="F3657">
            <v>14600</v>
          </cell>
          <cell r="G3657" t="str">
            <v>122,39</v>
          </cell>
          <cell r="H3657" t="str">
            <v>1,35</v>
          </cell>
          <cell r="I3657" t="str">
            <v>From M1B to M2B - 40°</v>
          </cell>
          <cell r="J3657" t="str">
            <v>IE3</v>
          </cell>
          <cell r="K3657" t="str">
            <v>400/690</v>
          </cell>
          <cell r="L3657">
            <v>50</v>
          </cell>
          <cell r="M3657" t="str">
            <v>33,5/19,3</v>
          </cell>
          <cell r="N3657">
            <v>65</v>
          </cell>
          <cell r="O3657" t="str">
            <v>155(F)</v>
          </cell>
          <cell r="P3657" t="str">
            <v>0°</v>
          </cell>
          <cell r="Q3657" t="str">
            <v>TF</v>
          </cell>
          <cell r="R3657" t="str">
            <v>V(VE)</v>
          </cell>
          <cell r="S3657" t="str">
            <v>-</v>
          </cell>
          <cell r="T3657" t="str">
            <v>-</v>
          </cell>
          <cell r="U3657" t="str">
            <v>-</v>
          </cell>
          <cell r="V3657" t="str">
            <v>FC</v>
          </cell>
          <cell r="W3657" t="str">
            <v>-</v>
          </cell>
          <cell r="X3657" t="str">
            <v>CLP HC 150 (-30/+50°C)</v>
          </cell>
          <cell r="Y3657" t="str">
            <v>KH157EDRN180M4 /TF/VE</v>
          </cell>
          <cell r="Z3657" t="str">
            <v>SEW</v>
          </cell>
          <cell r="AB3657" t="str">
            <v>ATEX22</v>
          </cell>
          <cell r="AF3657">
            <v>12</v>
          </cell>
          <cell r="AG3657" t="str">
            <v>EDRN180M4</v>
          </cell>
          <cell r="AH3657" t="str">
            <v>KH157-EDRN180M4B0-X#</v>
          </cell>
        </row>
        <row r="3658">
          <cell r="A3658" t="str">
            <v>MR003647</v>
          </cell>
          <cell r="B3658" t="str">
            <v>MR</v>
          </cell>
          <cell r="C3658">
            <v>1.5</v>
          </cell>
          <cell r="D3658">
            <v>22</v>
          </cell>
          <cell r="E3658" t="str">
            <v>FH67</v>
          </cell>
          <cell r="F3658">
            <v>665</v>
          </cell>
          <cell r="G3658">
            <v>67.650000000000006</v>
          </cell>
          <cell r="H3658">
            <v>1.1499999999999999</v>
          </cell>
          <cell r="I3658" t="str">
            <v>From M5 to M1 - 40°</v>
          </cell>
          <cell r="J3658" t="str">
            <v>IE3</v>
          </cell>
          <cell r="K3658" t="str">
            <v>230/400</v>
          </cell>
          <cell r="L3658">
            <v>50</v>
          </cell>
          <cell r="M3658" t="str">
            <v>5,9/3,4</v>
          </cell>
          <cell r="N3658">
            <v>65</v>
          </cell>
          <cell r="O3658" t="str">
            <v>155(F)</v>
          </cell>
          <cell r="P3658" t="str">
            <v>180°</v>
          </cell>
          <cell r="Q3658" t="str">
            <v>TF</v>
          </cell>
          <cell r="R3658" t="str">
            <v>-</v>
          </cell>
          <cell r="S3658" t="str">
            <v>-</v>
          </cell>
          <cell r="T3658" t="str">
            <v>BEHF</v>
          </cell>
          <cell r="U3658" t="str">
            <v>G</v>
          </cell>
          <cell r="V3658" t="str">
            <v>D+R</v>
          </cell>
          <cell r="W3658" t="str">
            <v>-</v>
          </cell>
          <cell r="X3658" t="str">
            <v>CLP HC 150 (-30/+50°C)</v>
          </cell>
          <cell r="Y3658" t="str">
            <v>FH67/G EDRN90L4 /BEHF /TF</v>
          </cell>
          <cell r="Z3658" t="str">
            <v>SEW</v>
          </cell>
          <cell r="AB3658" t="str">
            <v>ATEX22</v>
          </cell>
          <cell r="AF3658">
            <v>22</v>
          </cell>
          <cell r="AG3658" t="str">
            <v>EDRN90L4</v>
          </cell>
          <cell r="AH3658" t="str">
            <v>FH67G-EDRN90L4180-X</v>
          </cell>
        </row>
        <row r="3659">
          <cell r="A3659" t="str">
            <v>MR003648</v>
          </cell>
          <cell r="B3659" t="str">
            <v>MR</v>
          </cell>
          <cell r="C3659">
            <v>11</v>
          </cell>
          <cell r="D3659">
            <v>62</v>
          </cell>
          <cell r="E3659" t="str">
            <v>FH87</v>
          </cell>
          <cell r="F3659">
            <v>1690</v>
          </cell>
          <cell r="G3659">
            <v>23.68</v>
          </cell>
          <cell r="H3659">
            <v>1.55</v>
          </cell>
          <cell r="I3659" t="str">
            <v>M1</v>
          </cell>
          <cell r="J3659" t="str">
            <v>IE3</v>
          </cell>
          <cell r="K3659" t="str">
            <v>400/690</v>
          </cell>
          <cell r="L3659">
            <v>50</v>
          </cell>
          <cell r="M3659" t="str">
            <v>21/12,2</v>
          </cell>
          <cell r="N3659">
            <v>65</v>
          </cell>
          <cell r="O3659" t="str">
            <v>155(F)</v>
          </cell>
          <cell r="P3659" t="str">
            <v>270°</v>
          </cell>
          <cell r="Q3659" t="str">
            <v>TF</v>
          </cell>
          <cell r="R3659" t="str">
            <v>-</v>
          </cell>
          <cell r="S3659" t="str">
            <v>-</v>
          </cell>
          <cell r="T3659" t="str">
            <v>-</v>
          </cell>
          <cell r="U3659" t="str">
            <v>G</v>
          </cell>
          <cell r="V3659" t="str">
            <v>D</v>
          </cell>
          <cell r="W3659" t="str">
            <v>-</v>
          </cell>
          <cell r="X3659" t="str">
            <v>CLP HC 150 (-30/+50°C)</v>
          </cell>
          <cell r="Y3659" t="str">
            <v>FH87/G EDRN160M4 /TF</v>
          </cell>
          <cell r="Z3659" t="str">
            <v>SEW</v>
          </cell>
          <cell r="AB3659" t="str">
            <v>ATEX22</v>
          </cell>
          <cell r="AF3659">
            <v>62</v>
          </cell>
          <cell r="AG3659" t="str">
            <v>EDRN160M4</v>
          </cell>
          <cell r="AH3659" t="str">
            <v>FH87G-EDRN160M4270-X</v>
          </cell>
        </row>
        <row r="3660">
          <cell r="A3660" t="str">
            <v>MR003649</v>
          </cell>
          <cell r="B3660" t="str">
            <v>MR</v>
          </cell>
          <cell r="C3660">
            <v>11</v>
          </cell>
          <cell r="D3660">
            <v>62</v>
          </cell>
          <cell r="E3660" t="str">
            <v>FH87</v>
          </cell>
          <cell r="F3660">
            <v>1690</v>
          </cell>
          <cell r="G3660">
            <v>23.68</v>
          </cell>
          <cell r="H3660">
            <v>1.8</v>
          </cell>
          <cell r="I3660" t="str">
            <v>From M1 to M2 - 15°</v>
          </cell>
          <cell r="J3660" t="str">
            <v>IE3</v>
          </cell>
          <cell r="K3660" t="str">
            <v>400/690</v>
          </cell>
          <cell r="L3660">
            <v>50</v>
          </cell>
          <cell r="M3660" t="str">
            <v>21/12,2</v>
          </cell>
          <cell r="N3660">
            <v>65</v>
          </cell>
          <cell r="O3660" t="str">
            <v>155(F)</v>
          </cell>
          <cell r="P3660" t="str">
            <v>270°</v>
          </cell>
          <cell r="Q3660" t="str">
            <v>TF</v>
          </cell>
          <cell r="R3660" t="str">
            <v>-</v>
          </cell>
          <cell r="S3660" t="str">
            <v>-</v>
          </cell>
          <cell r="T3660" t="str">
            <v>-</v>
          </cell>
          <cell r="U3660" t="str">
            <v>G</v>
          </cell>
          <cell r="V3660" t="str">
            <v>D</v>
          </cell>
          <cell r="W3660" t="str">
            <v>-</v>
          </cell>
          <cell r="X3660" t="str">
            <v>CLP HC 150 (-30/+50°C)</v>
          </cell>
          <cell r="Y3660" t="str">
            <v>FH87/G EDRN160M4 /TF</v>
          </cell>
          <cell r="Z3660" t="str">
            <v>SEW</v>
          </cell>
          <cell r="AB3660" t="str">
            <v>ATEX22</v>
          </cell>
          <cell r="AF3660">
            <v>62</v>
          </cell>
          <cell r="AG3660" t="str">
            <v>EDRN160M4</v>
          </cell>
          <cell r="AH3660" t="str">
            <v>FH87G-EDRN160M4270-X</v>
          </cell>
        </row>
        <row r="3661">
          <cell r="A3661" t="str">
            <v>MR003650</v>
          </cell>
          <cell r="B3661" t="str">
            <v>MR</v>
          </cell>
          <cell r="C3661">
            <v>9.1999999999999993</v>
          </cell>
          <cell r="D3661">
            <v>66</v>
          </cell>
          <cell r="E3661" t="str">
            <v>FH97</v>
          </cell>
          <cell r="F3661">
            <v>1320</v>
          </cell>
          <cell r="G3661">
            <v>22.11</v>
          </cell>
          <cell r="H3661">
            <v>3.1</v>
          </cell>
          <cell r="I3661" t="str">
            <v>From M1 to M2 - 15°</v>
          </cell>
          <cell r="J3661" t="str">
            <v>IE3</v>
          </cell>
          <cell r="K3661" t="str">
            <v>400/690</v>
          </cell>
          <cell r="L3661">
            <v>50</v>
          </cell>
          <cell r="M3661" t="str">
            <v>18,7/10,8</v>
          </cell>
          <cell r="N3661">
            <v>65</v>
          </cell>
          <cell r="O3661" t="str">
            <v>155(F)</v>
          </cell>
          <cell r="P3661" t="str">
            <v>270°</v>
          </cell>
          <cell r="Q3661" t="str">
            <v>TF</v>
          </cell>
          <cell r="R3661" t="str">
            <v>-</v>
          </cell>
          <cell r="S3661" t="str">
            <v>-</v>
          </cell>
          <cell r="T3661" t="str">
            <v>-</v>
          </cell>
          <cell r="U3661" t="str">
            <v>G</v>
          </cell>
          <cell r="V3661" t="str">
            <v>D</v>
          </cell>
          <cell r="W3661" t="str">
            <v>-</v>
          </cell>
          <cell r="X3661" t="str">
            <v>CLP HC 150 (-30/+50°C)</v>
          </cell>
          <cell r="Y3661" t="str">
            <v>FH97/G EDRN132L4 /TF</v>
          </cell>
          <cell r="Z3661" t="str">
            <v>SEW</v>
          </cell>
          <cell r="AB3661" t="str">
            <v>ATEX22</v>
          </cell>
          <cell r="AF3661">
            <v>66</v>
          </cell>
          <cell r="AG3661" t="str">
            <v>EDRN132L4</v>
          </cell>
          <cell r="AH3661" t="str">
            <v>FH97G-EDRN132L4270-X</v>
          </cell>
        </row>
        <row r="3662">
          <cell r="A3662" t="str">
            <v>MR003651</v>
          </cell>
          <cell r="B3662" t="str">
            <v>MR</v>
          </cell>
          <cell r="C3662">
            <v>30</v>
          </cell>
          <cell r="D3662">
            <v>95</v>
          </cell>
          <cell r="E3662" t="str">
            <v>R107</v>
          </cell>
          <cell r="F3662">
            <v>3030</v>
          </cell>
          <cell r="G3662">
            <v>15.65</v>
          </cell>
          <cell r="H3662">
            <v>1.4</v>
          </cell>
          <cell r="I3662" t="str">
            <v>M4</v>
          </cell>
          <cell r="J3662" t="str">
            <v>IE3</v>
          </cell>
          <cell r="K3662" t="str">
            <v>400/690</v>
          </cell>
          <cell r="L3662">
            <v>50</v>
          </cell>
          <cell r="M3662" t="str">
            <v>56/32,5</v>
          </cell>
          <cell r="N3662">
            <v>65</v>
          </cell>
          <cell r="O3662" t="str">
            <v>155(F)</v>
          </cell>
          <cell r="P3662" t="str">
            <v>270°</v>
          </cell>
          <cell r="Q3662" t="str">
            <v>TF</v>
          </cell>
          <cell r="R3662" t="str">
            <v>-</v>
          </cell>
          <cell r="S3662" t="str">
            <v>-</v>
          </cell>
          <cell r="T3662" t="str">
            <v>-</v>
          </cell>
          <cell r="U3662" t="str">
            <v>-</v>
          </cell>
          <cell r="V3662" t="str">
            <v>D</v>
          </cell>
          <cell r="W3662" t="str">
            <v>-</v>
          </cell>
          <cell r="X3662" t="str">
            <v>CLP HC 150 (-30/+50°C)</v>
          </cell>
          <cell r="Y3662" t="str">
            <v>R107EDRN200L4 /TF</v>
          </cell>
          <cell r="Z3662" t="str">
            <v>SEW</v>
          </cell>
          <cell r="AB3662" t="str">
            <v>ATEX22</v>
          </cell>
          <cell r="AF3662">
            <v>95</v>
          </cell>
          <cell r="AG3662" t="str">
            <v>EDRN200L4</v>
          </cell>
          <cell r="AH3662" t="str">
            <v>R107-EDRN200L4270-X</v>
          </cell>
        </row>
        <row r="3663">
          <cell r="A3663" t="str">
            <v>MR003652</v>
          </cell>
          <cell r="B3663" t="str">
            <v>MR</v>
          </cell>
          <cell r="C3663">
            <v>18.5</v>
          </cell>
          <cell r="D3663">
            <v>54</v>
          </cell>
          <cell r="E3663" t="str">
            <v>FH97</v>
          </cell>
          <cell r="F3663">
            <v>3280</v>
          </cell>
          <cell r="G3663">
            <v>27.44</v>
          </cell>
          <cell r="H3663">
            <v>1.3</v>
          </cell>
          <cell r="I3663" t="str">
            <v>M1</v>
          </cell>
          <cell r="J3663" t="str">
            <v>IE3</v>
          </cell>
          <cell r="K3663" t="str">
            <v>400/690</v>
          </cell>
          <cell r="L3663">
            <v>50</v>
          </cell>
          <cell r="M3663" t="str">
            <v>35/20</v>
          </cell>
          <cell r="N3663">
            <v>65</v>
          </cell>
          <cell r="O3663" t="str">
            <v>155(F)</v>
          </cell>
          <cell r="P3663" t="str">
            <v>270°</v>
          </cell>
          <cell r="Q3663" t="str">
            <v>TF</v>
          </cell>
          <cell r="R3663" t="str">
            <v>-</v>
          </cell>
          <cell r="S3663" t="str">
            <v>-</v>
          </cell>
          <cell r="T3663" t="str">
            <v>-</v>
          </cell>
          <cell r="U3663" t="str">
            <v>G</v>
          </cell>
          <cell r="V3663" t="str">
            <v>D+R</v>
          </cell>
          <cell r="W3663" t="str">
            <v>-</v>
          </cell>
          <cell r="X3663" t="str">
            <v>CLP HC 150 (-30/+50°C)</v>
          </cell>
          <cell r="Y3663" t="str">
            <v>FH97/G EDRN180M4 /TF</v>
          </cell>
          <cell r="Z3663" t="str">
            <v>SEW</v>
          </cell>
          <cell r="AB3663" t="str">
            <v>ATEX22</v>
          </cell>
          <cell r="AF3663">
            <v>54</v>
          </cell>
          <cell r="AG3663" t="str">
            <v>EDRN180M4</v>
          </cell>
          <cell r="AH3663" t="str">
            <v>FH97G-EDRN180M4270-X</v>
          </cell>
        </row>
        <row r="3664">
          <cell r="A3664" t="str">
            <v>MR003653</v>
          </cell>
          <cell r="B3664" t="str">
            <v>MR</v>
          </cell>
          <cell r="C3664">
            <v>7.5</v>
          </cell>
          <cell r="D3664">
            <v>13</v>
          </cell>
          <cell r="E3664" t="str">
            <v>KH107</v>
          </cell>
          <cell r="F3664">
            <v>5480</v>
          </cell>
          <cell r="G3664">
            <v>112.41</v>
          </cell>
          <cell r="H3664">
            <v>1.45</v>
          </cell>
          <cell r="I3664" t="str">
            <v>M1A</v>
          </cell>
          <cell r="J3664" t="str">
            <v>IE3</v>
          </cell>
          <cell r="K3664" t="str">
            <v>400/690</v>
          </cell>
          <cell r="L3664">
            <v>50</v>
          </cell>
          <cell r="M3664" t="str">
            <v>15,2/8,8</v>
          </cell>
          <cell r="N3664">
            <v>65</v>
          </cell>
          <cell r="O3664" t="str">
            <v>155(F)</v>
          </cell>
          <cell r="P3664" t="str">
            <v>180°</v>
          </cell>
          <cell r="Q3664" t="str">
            <v>TF</v>
          </cell>
          <cell r="R3664" t="str">
            <v>-</v>
          </cell>
          <cell r="S3664" t="str">
            <v>-</v>
          </cell>
          <cell r="T3664" t="str">
            <v>-</v>
          </cell>
          <cell r="U3664" t="str">
            <v>-</v>
          </cell>
          <cell r="V3664" t="str">
            <v>SS</v>
          </cell>
          <cell r="W3664" t="str">
            <v>-</v>
          </cell>
          <cell r="X3664" t="str">
            <v>CLP HC 150 (-30/+50°C)</v>
          </cell>
          <cell r="Y3664" t="str">
            <v>KH107EDRN132M4 /TF</v>
          </cell>
          <cell r="Z3664" t="str">
            <v>SEW</v>
          </cell>
          <cell r="AB3664" t="str">
            <v>ATEX22</v>
          </cell>
          <cell r="AF3664">
            <v>13</v>
          </cell>
          <cell r="AG3664" t="str">
            <v>EDRN132M4</v>
          </cell>
          <cell r="AH3664" t="str">
            <v>KH107-EDRN132M4A180-X</v>
          </cell>
        </row>
        <row r="3665">
          <cell r="A3665" t="str">
            <v>MR003654</v>
          </cell>
          <cell r="B3665" t="str">
            <v>MR</v>
          </cell>
          <cell r="C3665">
            <v>7.5</v>
          </cell>
          <cell r="D3665">
            <v>62</v>
          </cell>
          <cell r="E3665" t="str">
            <v>FH87</v>
          </cell>
          <cell r="F3665">
            <v>1160</v>
          </cell>
          <cell r="G3665">
            <v>23.68</v>
          </cell>
          <cell r="H3665">
            <v>2.2999999999999998</v>
          </cell>
          <cell r="I3665" t="str">
            <v>M1</v>
          </cell>
          <cell r="J3665" t="str">
            <v>IE3</v>
          </cell>
          <cell r="K3665" t="str">
            <v>400/690</v>
          </cell>
          <cell r="L3665">
            <v>50</v>
          </cell>
          <cell r="M3665" t="str">
            <v>15,7/9</v>
          </cell>
          <cell r="N3665">
            <v>65</v>
          </cell>
          <cell r="O3665" t="str">
            <v>155(F)</v>
          </cell>
          <cell r="P3665" t="str">
            <v>270°</v>
          </cell>
          <cell r="Q3665" t="str">
            <v>TF</v>
          </cell>
          <cell r="R3665" t="str">
            <v>-</v>
          </cell>
          <cell r="S3665" t="str">
            <v>-</v>
          </cell>
          <cell r="T3665" t="str">
            <v>-</v>
          </cell>
          <cell r="U3665" t="str">
            <v>G</v>
          </cell>
          <cell r="V3665" t="str">
            <v>D+R</v>
          </cell>
          <cell r="W3665" t="str">
            <v>-</v>
          </cell>
          <cell r="X3665" t="str">
            <v>CLP HC 150 (-30/+50°C)</v>
          </cell>
          <cell r="Y3665" t="str">
            <v>FH87/G EDRN132M4 /TF</v>
          </cell>
          <cell r="Z3665" t="str">
            <v>SEW</v>
          </cell>
          <cell r="AB3665" t="str">
            <v>ATEX22</v>
          </cell>
          <cell r="AF3665">
            <v>62</v>
          </cell>
          <cell r="AG3665" t="str">
            <v>EDRN132M4</v>
          </cell>
          <cell r="AH3665" t="str">
            <v>FH87G-EDRN132M4270-X</v>
          </cell>
        </row>
        <row r="3666">
          <cell r="A3666" t="str">
            <v>MR003655</v>
          </cell>
          <cell r="B3666" t="str">
            <v>MR</v>
          </cell>
          <cell r="C3666">
            <v>11</v>
          </cell>
          <cell r="D3666">
            <v>62</v>
          </cell>
          <cell r="E3666" t="str">
            <v>FH87</v>
          </cell>
          <cell r="F3666">
            <v>1690</v>
          </cell>
          <cell r="G3666">
            <v>23.68</v>
          </cell>
          <cell r="H3666">
            <v>1.55</v>
          </cell>
          <cell r="I3666" t="str">
            <v>M1</v>
          </cell>
          <cell r="J3666" t="str">
            <v>IE3</v>
          </cell>
          <cell r="K3666" t="str">
            <v>400/690</v>
          </cell>
          <cell r="L3666">
            <v>50</v>
          </cell>
          <cell r="M3666" t="str">
            <v>21/12,2</v>
          </cell>
          <cell r="N3666">
            <v>65</v>
          </cell>
          <cell r="O3666" t="str">
            <v>155(F)</v>
          </cell>
          <cell r="P3666" t="str">
            <v>270°</v>
          </cell>
          <cell r="Q3666" t="str">
            <v>TF</v>
          </cell>
          <cell r="R3666" t="str">
            <v>-</v>
          </cell>
          <cell r="S3666" t="str">
            <v>-</v>
          </cell>
          <cell r="T3666" t="str">
            <v>-</v>
          </cell>
          <cell r="U3666" t="str">
            <v>G</v>
          </cell>
          <cell r="V3666" t="str">
            <v>D+R</v>
          </cell>
          <cell r="W3666" t="str">
            <v>-</v>
          </cell>
          <cell r="X3666" t="str">
            <v>CLP HC 150 (-30/+50°C)</v>
          </cell>
          <cell r="Y3666" t="str">
            <v>FH87/G EDRN160M4 /TF</v>
          </cell>
          <cell r="Z3666" t="str">
            <v>SEW</v>
          </cell>
          <cell r="AB3666" t="str">
            <v>ATEX22</v>
          </cell>
          <cell r="AF3666">
            <v>62</v>
          </cell>
          <cell r="AG3666" t="str">
            <v>EDRN160M4</v>
          </cell>
          <cell r="AH3666" t="str">
            <v>FH87G-EDRN160M4270-X</v>
          </cell>
        </row>
        <row r="3667">
          <cell r="A3667" t="str">
            <v>MR003656</v>
          </cell>
          <cell r="B3667" t="str">
            <v>MR</v>
          </cell>
          <cell r="C3667">
            <v>15</v>
          </cell>
          <cell r="D3667">
            <v>49</v>
          </cell>
          <cell r="E3667" t="str">
            <v>FH97</v>
          </cell>
          <cell r="F3667">
            <v>2950</v>
          </cell>
          <cell r="G3667" t="str">
            <v>30,39</v>
          </cell>
          <cell r="H3667" t="str">
            <v>1,45</v>
          </cell>
          <cell r="I3667" t="str">
            <v>M1</v>
          </cell>
          <cell r="J3667" t="str">
            <v>IE3</v>
          </cell>
          <cell r="K3667" t="str">
            <v>400/690</v>
          </cell>
          <cell r="L3667">
            <v>50</v>
          </cell>
          <cell r="M3667" t="str">
            <v>29/16,7</v>
          </cell>
          <cell r="N3667">
            <v>65</v>
          </cell>
          <cell r="O3667" t="str">
            <v>155(F)</v>
          </cell>
          <cell r="P3667" t="str">
            <v>270°</v>
          </cell>
          <cell r="Q3667" t="str">
            <v>TF</v>
          </cell>
          <cell r="R3667" t="str">
            <v>-</v>
          </cell>
          <cell r="S3667" t="str">
            <v>-</v>
          </cell>
          <cell r="T3667" t="str">
            <v>-</v>
          </cell>
          <cell r="U3667" t="str">
            <v>G</v>
          </cell>
          <cell r="V3667" t="str">
            <v>D</v>
          </cell>
          <cell r="W3667" t="str">
            <v>-</v>
          </cell>
          <cell r="X3667" t="str">
            <v>CLP HC 150 (-30/+50°C)</v>
          </cell>
          <cell r="Y3667" t="str">
            <v>FH97/G EDRN160L4 /TF</v>
          </cell>
          <cell r="Z3667" t="str">
            <v>SEW</v>
          </cell>
          <cell r="AB3667" t="str">
            <v>ATEX22</v>
          </cell>
          <cell r="AF3667">
            <v>49</v>
          </cell>
          <cell r="AG3667" t="str">
            <v>EDRN160L4</v>
          </cell>
          <cell r="AH3667" t="str">
            <v>FH97G-EDRN160L4270-X</v>
          </cell>
        </row>
        <row r="3668">
          <cell r="A3668" t="str">
            <v>MR003657</v>
          </cell>
          <cell r="B3668" t="str">
            <v>MR</v>
          </cell>
          <cell r="C3668">
            <v>22</v>
          </cell>
          <cell r="D3668">
            <v>12</v>
          </cell>
          <cell r="E3668" t="str">
            <v>KH157</v>
          </cell>
          <cell r="F3668">
            <v>17400</v>
          </cell>
          <cell r="G3668">
            <v>122.39</v>
          </cell>
          <cell r="H3668">
            <v>1.1499999999999999</v>
          </cell>
          <cell r="I3668" t="str">
            <v>From M4B to M1B - 30°</v>
          </cell>
          <cell r="J3668" t="str">
            <v>IE3</v>
          </cell>
          <cell r="K3668" t="str">
            <v>400/690</v>
          </cell>
          <cell r="L3668">
            <v>50</v>
          </cell>
          <cell r="M3668" t="str">
            <v>38,5/22,5</v>
          </cell>
          <cell r="N3668">
            <v>65</v>
          </cell>
          <cell r="O3668" t="str">
            <v>155(F)</v>
          </cell>
          <cell r="P3668" t="str">
            <v>270°</v>
          </cell>
          <cell r="Q3668" t="str">
            <v>TF</v>
          </cell>
          <cell r="R3668" t="str">
            <v>V(VE)</v>
          </cell>
          <cell r="S3668" t="str">
            <v>-</v>
          </cell>
          <cell r="T3668" t="str">
            <v>-</v>
          </cell>
          <cell r="U3668" t="str">
            <v>-</v>
          </cell>
          <cell r="V3668" t="str">
            <v>FC</v>
          </cell>
          <cell r="W3668" t="str">
            <v>-</v>
          </cell>
          <cell r="X3668" t="str">
            <v>CLP HC 150 (-30/+50°C)</v>
          </cell>
          <cell r="Y3668" t="str">
            <v>KH157EDRN180L4 /TF/VE</v>
          </cell>
          <cell r="Z3668" t="str">
            <v>SEW</v>
          </cell>
          <cell r="AB3668" t="str">
            <v>ATEX22</v>
          </cell>
          <cell r="AF3668">
            <v>12</v>
          </cell>
          <cell r="AG3668" t="str">
            <v>EDRN180L4</v>
          </cell>
          <cell r="AH3668" t="str">
            <v>KH157-EDRN180L4B270-X#</v>
          </cell>
        </row>
        <row r="3669">
          <cell r="A3669" t="str">
            <v>MR003658</v>
          </cell>
          <cell r="B3669" t="str">
            <v>MR</v>
          </cell>
          <cell r="C3669">
            <v>22</v>
          </cell>
          <cell r="D3669">
            <v>12</v>
          </cell>
          <cell r="E3669" t="str">
            <v>KH157</v>
          </cell>
          <cell r="F3669">
            <v>17400</v>
          </cell>
          <cell r="G3669">
            <v>122.39</v>
          </cell>
          <cell r="H3669">
            <v>1.1499999999999999</v>
          </cell>
          <cell r="I3669" t="str">
            <v>From M4A to M1A - 30°</v>
          </cell>
          <cell r="J3669" t="str">
            <v>IE3</v>
          </cell>
          <cell r="K3669" t="str">
            <v>400/690</v>
          </cell>
          <cell r="L3669">
            <v>50</v>
          </cell>
          <cell r="M3669" t="str">
            <v>38,5/22,5</v>
          </cell>
          <cell r="N3669">
            <v>65</v>
          </cell>
          <cell r="O3669" t="str">
            <v>155(F)</v>
          </cell>
          <cell r="P3669" t="str">
            <v>270°</v>
          </cell>
          <cell r="Q3669" t="str">
            <v>TF</v>
          </cell>
          <cell r="R3669" t="str">
            <v>V(VE)</v>
          </cell>
          <cell r="S3669" t="str">
            <v>-</v>
          </cell>
          <cell r="T3669" t="str">
            <v>-</v>
          </cell>
          <cell r="U3669" t="str">
            <v>-</v>
          </cell>
          <cell r="V3669" t="str">
            <v>FC</v>
          </cell>
          <cell r="W3669" t="str">
            <v>-</v>
          </cell>
          <cell r="X3669" t="str">
            <v>CLP HC 150 (-30/+50°C)</v>
          </cell>
          <cell r="Y3669" t="str">
            <v>KH157EDRN180L4 /TF/VE</v>
          </cell>
          <cell r="Z3669" t="str">
            <v>SEW</v>
          </cell>
          <cell r="AB3669" t="str">
            <v>ATEX22</v>
          </cell>
          <cell r="AF3669">
            <v>12</v>
          </cell>
          <cell r="AG3669" t="str">
            <v>EDRN180L4</v>
          </cell>
          <cell r="AH3669" t="str">
            <v>KH157-EDRN180L4A270-X#</v>
          </cell>
        </row>
        <row r="3670">
          <cell r="A3670" t="str">
            <v>MR003659</v>
          </cell>
          <cell r="B3670" t="str">
            <v>MR</v>
          </cell>
          <cell r="C3670">
            <v>22</v>
          </cell>
          <cell r="D3670">
            <v>44</v>
          </cell>
          <cell r="E3670" t="str">
            <v>FH107</v>
          </cell>
          <cell r="F3670">
            <v>4810</v>
          </cell>
          <cell r="G3670">
            <v>33.79</v>
          </cell>
          <cell r="H3670">
            <v>1.35</v>
          </cell>
          <cell r="I3670" t="str">
            <v>M1</v>
          </cell>
          <cell r="J3670" t="str">
            <v>IE3</v>
          </cell>
          <cell r="K3670" t="str">
            <v>400/690</v>
          </cell>
          <cell r="L3670">
            <v>50</v>
          </cell>
          <cell r="M3670" t="str">
            <v>38,5/22,5</v>
          </cell>
          <cell r="N3670">
            <v>65</v>
          </cell>
          <cell r="O3670" t="str">
            <v>155(F)</v>
          </cell>
          <cell r="P3670" t="str">
            <v>270°</v>
          </cell>
          <cell r="Q3670" t="str">
            <v>TF</v>
          </cell>
          <cell r="R3670" t="str">
            <v>-</v>
          </cell>
          <cell r="S3670" t="str">
            <v>-</v>
          </cell>
          <cell r="T3670" t="str">
            <v>-</v>
          </cell>
          <cell r="U3670" t="str">
            <v>G</v>
          </cell>
          <cell r="V3670" t="str">
            <v>D</v>
          </cell>
          <cell r="W3670" t="str">
            <v>-</v>
          </cell>
          <cell r="X3670" t="str">
            <v>CLP HC 150 (-30/+50°C)</v>
          </cell>
          <cell r="Y3670" t="str">
            <v>FH107/G EDRN180L4 /TF</v>
          </cell>
          <cell r="Z3670" t="str">
            <v>SEW</v>
          </cell>
          <cell r="AB3670" t="str">
            <v>ATEX22</v>
          </cell>
          <cell r="AF3670">
            <v>44</v>
          </cell>
          <cell r="AG3670" t="str">
            <v>EDRN180L4</v>
          </cell>
          <cell r="AH3670" t="str">
            <v>FH107G-EDRN180L4270-X</v>
          </cell>
        </row>
        <row r="3671">
          <cell r="A3671" t="str">
            <v>MR003660</v>
          </cell>
          <cell r="B3671" t="str">
            <v>MR</v>
          </cell>
          <cell r="C3671">
            <v>0.75</v>
          </cell>
          <cell r="D3671">
            <v>18</v>
          </cell>
          <cell r="E3671" t="str">
            <v>FH67</v>
          </cell>
          <cell r="F3671">
            <v>395</v>
          </cell>
          <cell r="G3671">
            <v>79.760000000000005</v>
          </cell>
          <cell r="H3671">
            <v>2</v>
          </cell>
          <cell r="I3671" t="str">
            <v>M5</v>
          </cell>
          <cell r="J3671" t="str">
            <v>IE3</v>
          </cell>
          <cell r="K3671" t="str">
            <v>230/400</v>
          </cell>
          <cell r="L3671">
            <v>50</v>
          </cell>
          <cell r="M3671" t="str">
            <v>3,05/1,75</v>
          </cell>
          <cell r="N3671">
            <v>65</v>
          </cell>
          <cell r="O3671" t="str">
            <v>155(F)</v>
          </cell>
          <cell r="P3671" t="str">
            <v>180°</v>
          </cell>
          <cell r="Q3671" t="str">
            <v>TF</v>
          </cell>
          <cell r="R3671" t="str">
            <v>-</v>
          </cell>
          <cell r="S3671" t="str">
            <v>-</v>
          </cell>
          <cell r="T3671" t="str">
            <v>BEHF</v>
          </cell>
          <cell r="U3671" t="str">
            <v>G</v>
          </cell>
          <cell r="V3671" t="str">
            <v>D+R</v>
          </cell>
          <cell r="W3671" t="str">
            <v>-</v>
          </cell>
          <cell r="X3671" t="str">
            <v>CLP HC 150 (-30/+50°C)</v>
          </cell>
          <cell r="Y3671" t="str">
            <v>FH67/G EDRN80M4 /BEHF /TF</v>
          </cell>
          <cell r="Z3671" t="str">
            <v>SEW</v>
          </cell>
          <cell r="AB3671" t="str">
            <v>ATEX22</v>
          </cell>
          <cell r="AF3671">
            <v>18</v>
          </cell>
          <cell r="AG3671" t="str">
            <v>EDRN80M4</v>
          </cell>
          <cell r="AH3671" t="str">
            <v>FH67G-EDRN80M4180-X</v>
          </cell>
        </row>
        <row r="3672">
          <cell r="A3672" t="str">
            <v>MR003661</v>
          </cell>
          <cell r="B3672" t="str">
            <v>MR</v>
          </cell>
          <cell r="C3672">
            <v>0.75</v>
          </cell>
          <cell r="D3672">
            <v>18</v>
          </cell>
          <cell r="E3672" t="str">
            <v>FH67</v>
          </cell>
          <cell r="F3672">
            <v>395</v>
          </cell>
          <cell r="G3672">
            <v>79.760000000000005</v>
          </cell>
          <cell r="H3672">
            <v>2</v>
          </cell>
          <cell r="I3672" t="str">
            <v>M6</v>
          </cell>
          <cell r="J3672" t="str">
            <v>IE3</v>
          </cell>
          <cell r="K3672" t="str">
            <v>230/400</v>
          </cell>
          <cell r="L3672">
            <v>50</v>
          </cell>
          <cell r="M3672" t="str">
            <v>3,05/1,75</v>
          </cell>
          <cell r="N3672">
            <v>65</v>
          </cell>
          <cell r="O3672" t="str">
            <v>155(F)</v>
          </cell>
          <cell r="P3672" t="str">
            <v>0°</v>
          </cell>
          <cell r="Q3672" t="str">
            <v>TF</v>
          </cell>
          <cell r="R3672" t="str">
            <v>-</v>
          </cell>
          <cell r="S3672" t="str">
            <v>-</v>
          </cell>
          <cell r="T3672" t="str">
            <v>BEHF</v>
          </cell>
          <cell r="U3672" t="str">
            <v>G</v>
          </cell>
          <cell r="V3672" t="str">
            <v>D+R</v>
          </cell>
          <cell r="W3672" t="str">
            <v>-</v>
          </cell>
          <cell r="X3672" t="str">
            <v>CLP HC 150 (-30/+50°C)</v>
          </cell>
          <cell r="Y3672" t="str">
            <v>FH67/G EDRN80M4 /BEHF /TF</v>
          </cell>
          <cell r="Z3672" t="str">
            <v>SEW</v>
          </cell>
          <cell r="AB3672" t="str">
            <v>ATEX22</v>
          </cell>
          <cell r="AF3672">
            <v>18</v>
          </cell>
          <cell r="AG3672" t="str">
            <v>EDRN80M4</v>
          </cell>
          <cell r="AH3672" t="str">
            <v>FH67G-EDRN80M40-X</v>
          </cell>
        </row>
        <row r="3673">
          <cell r="A3673" t="str">
            <v>MR003662</v>
          </cell>
          <cell r="B3673" t="str">
            <v>MR</v>
          </cell>
          <cell r="C3673">
            <v>15</v>
          </cell>
          <cell r="D3673">
            <v>16</v>
          </cell>
          <cell r="E3673" t="str">
            <v>KH127</v>
          </cell>
          <cell r="F3673">
            <v>8740</v>
          </cell>
          <cell r="G3673">
            <v>89.89</v>
          </cell>
          <cell r="H3673">
            <v>1.5</v>
          </cell>
          <cell r="I3673" t="str">
            <v>From M4A to M1A -25°</v>
          </cell>
          <cell r="J3673" t="str">
            <v>IE3</v>
          </cell>
          <cell r="K3673" t="str">
            <v>400/690</v>
          </cell>
          <cell r="L3673">
            <v>50</v>
          </cell>
          <cell r="M3673" t="str">
            <v>29/16,7</v>
          </cell>
          <cell r="N3673">
            <v>65</v>
          </cell>
          <cell r="O3673" t="str">
            <v>155(F)</v>
          </cell>
          <cell r="P3673" t="str">
            <v>270°</v>
          </cell>
          <cell r="Q3673" t="str">
            <v>-</v>
          </cell>
          <cell r="R3673" t="str">
            <v>-</v>
          </cell>
          <cell r="S3673" t="str">
            <v>-</v>
          </cell>
          <cell r="T3673" t="str">
            <v>-</v>
          </cell>
          <cell r="U3673" t="str">
            <v>-</v>
          </cell>
          <cell r="V3673" t="str">
            <v>SS</v>
          </cell>
          <cell r="W3673" t="str">
            <v>-</v>
          </cell>
          <cell r="X3673" t="str">
            <v>CLP HC 150 (-30/+50°C)</v>
          </cell>
          <cell r="Y3673" t="str">
            <v>KH127DRN160L4</v>
          </cell>
          <cell r="Z3673" t="str">
            <v>SEW</v>
          </cell>
          <cell r="AB3673" t="str">
            <v>-</v>
          </cell>
          <cell r="AF3673">
            <v>16</v>
          </cell>
          <cell r="AG3673" t="str">
            <v>DRN160L4</v>
          </cell>
          <cell r="AH3673" t="str">
            <v>KH127-DRN160L4A270-X</v>
          </cell>
        </row>
        <row r="3674">
          <cell r="A3674" t="str">
            <v>MR003663</v>
          </cell>
          <cell r="B3674" t="str">
            <v>MR</v>
          </cell>
          <cell r="C3674">
            <v>15</v>
          </cell>
          <cell r="D3674">
            <v>16</v>
          </cell>
          <cell r="E3674" t="str">
            <v>KH127</v>
          </cell>
          <cell r="F3674">
            <v>8740</v>
          </cell>
          <cell r="G3674">
            <v>89.89</v>
          </cell>
          <cell r="H3674">
            <v>1.5</v>
          </cell>
          <cell r="I3674" t="str">
            <v>From M4B to M1B -25°</v>
          </cell>
          <cell r="J3674" t="str">
            <v>IE3</v>
          </cell>
          <cell r="K3674" t="str">
            <v>400/690</v>
          </cell>
          <cell r="L3674">
            <v>50</v>
          </cell>
          <cell r="M3674" t="str">
            <v>29/16,7</v>
          </cell>
          <cell r="N3674">
            <v>65</v>
          </cell>
          <cell r="O3674" t="str">
            <v>155(F)</v>
          </cell>
          <cell r="P3674" t="str">
            <v>270°</v>
          </cell>
          <cell r="Q3674" t="str">
            <v>-</v>
          </cell>
          <cell r="R3674" t="str">
            <v>-</v>
          </cell>
          <cell r="S3674" t="str">
            <v>-</v>
          </cell>
          <cell r="T3674" t="str">
            <v>-</v>
          </cell>
          <cell r="U3674" t="str">
            <v>-</v>
          </cell>
          <cell r="V3674" t="str">
            <v>SS</v>
          </cell>
          <cell r="W3674" t="str">
            <v>-</v>
          </cell>
          <cell r="X3674" t="str">
            <v>CLP HC 150 (-30/+50°C)</v>
          </cell>
          <cell r="Y3674" t="str">
            <v>KH127DRN160L4</v>
          </cell>
          <cell r="Z3674" t="str">
            <v>SEW</v>
          </cell>
          <cell r="AB3674" t="str">
            <v>-</v>
          </cell>
          <cell r="AF3674">
            <v>16</v>
          </cell>
          <cell r="AG3674" t="str">
            <v>DRN160L4</v>
          </cell>
          <cell r="AH3674" t="str">
            <v>KH127-DRN160L4B270-X</v>
          </cell>
        </row>
        <row r="3675">
          <cell r="A3675" t="str">
            <v>MR003664</v>
          </cell>
          <cell r="B3675" t="str">
            <v>MR</v>
          </cell>
          <cell r="C3675">
            <v>0.18</v>
          </cell>
          <cell r="D3675">
            <v>2.2000000000000002</v>
          </cell>
          <cell r="E3675" t="str">
            <v>KH67R37</v>
          </cell>
          <cell r="F3675">
            <v>633</v>
          </cell>
          <cell r="G3675">
            <v>613</v>
          </cell>
          <cell r="H3675">
            <v>1.29</v>
          </cell>
          <cell r="I3675" t="str">
            <v>M3B</v>
          </cell>
          <cell r="J3675" t="str">
            <v>IE3</v>
          </cell>
          <cell r="K3675" t="str">
            <v>230/400</v>
          </cell>
          <cell r="L3675">
            <v>50</v>
          </cell>
          <cell r="M3675" t="str">
            <v>1,01/0,58</v>
          </cell>
          <cell r="N3675">
            <v>65</v>
          </cell>
          <cell r="O3675" t="str">
            <v>155(F)</v>
          </cell>
          <cell r="P3675" t="str">
            <v>0°</v>
          </cell>
          <cell r="Q3675" t="str">
            <v>TF</v>
          </cell>
          <cell r="R3675" t="str">
            <v>-</v>
          </cell>
          <cell r="S3675" t="str">
            <v>-</v>
          </cell>
          <cell r="T3675" t="str">
            <v>BEHF</v>
          </cell>
          <cell r="U3675" t="str">
            <v>T</v>
          </cell>
          <cell r="V3675" t="str">
            <v>FC+R</v>
          </cell>
          <cell r="W3675" t="str">
            <v>-</v>
          </cell>
          <cell r="X3675" t="str">
            <v>CLP HC 150 (-30/+50°C)</v>
          </cell>
          <cell r="Y3675" t="str">
            <v>KH67/T R37 EDRN63M4/BEHF/TF</v>
          </cell>
          <cell r="Z3675" t="str">
            <v>SEW</v>
          </cell>
          <cell r="AB3675" t="str">
            <v>ATEX22</v>
          </cell>
          <cell r="AF3675">
            <v>2.2000000000000002</v>
          </cell>
          <cell r="AG3675" t="str">
            <v>EDRS71S4</v>
          </cell>
          <cell r="AH3675" t="str">
            <v>KH67R37T-EDRS71S4B0-X</v>
          </cell>
        </row>
        <row r="3676">
          <cell r="A3676" t="str">
            <v>MR003665</v>
          </cell>
          <cell r="B3676" t="str">
            <v>MR</v>
          </cell>
          <cell r="C3676">
            <v>18.5</v>
          </cell>
          <cell r="D3676">
            <v>34</v>
          </cell>
          <cell r="E3676" t="str">
            <v>FH107</v>
          </cell>
          <cell r="F3676">
            <v>4270</v>
          </cell>
          <cell r="G3676">
            <v>43.03</v>
          </cell>
          <cell r="H3676">
            <v>1.8</v>
          </cell>
          <cell r="I3676" t="str">
            <v>M1</v>
          </cell>
          <cell r="J3676" t="str">
            <v>IE3</v>
          </cell>
          <cell r="K3676" t="str">
            <v>220/440</v>
          </cell>
          <cell r="L3676">
            <v>60</v>
          </cell>
          <cell r="M3676" t="str">
            <v>62/31</v>
          </cell>
          <cell r="N3676">
            <v>55</v>
          </cell>
          <cell r="O3676" t="str">
            <v>155(F)</v>
          </cell>
          <cell r="P3676" t="str">
            <v>270°</v>
          </cell>
          <cell r="Q3676" t="str">
            <v>TF</v>
          </cell>
          <cell r="R3676" t="str">
            <v>-</v>
          </cell>
          <cell r="S3676" t="str">
            <v>-</v>
          </cell>
          <cell r="T3676" t="str">
            <v>-</v>
          </cell>
          <cell r="U3676" t="str">
            <v>G</v>
          </cell>
          <cell r="V3676" t="str">
            <v>D+R</v>
          </cell>
          <cell r="W3676" t="str">
            <v>-</v>
          </cell>
          <cell r="X3676" t="str">
            <v>CLP 220 (-15/+40°C)</v>
          </cell>
          <cell r="Y3676" t="str">
            <v>FH107/G DRN180M4 /TF</v>
          </cell>
          <cell r="Z3676" t="str">
            <v>SEW</v>
          </cell>
          <cell r="AB3676" t="str">
            <v>-</v>
          </cell>
          <cell r="AF3676">
            <v>40.799999999999997</v>
          </cell>
          <cell r="AG3676" t="str">
            <v>DRN180M4</v>
          </cell>
          <cell r="AH3676" t="str">
            <v>FH107G-DRN180M4270-X</v>
          </cell>
        </row>
        <row r="3677">
          <cell r="A3677" t="str">
            <v>MR003666</v>
          </cell>
          <cell r="B3677" t="str">
            <v>MR</v>
          </cell>
          <cell r="C3677">
            <v>11</v>
          </cell>
          <cell r="D3677">
            <v>56</v>
          </cell>
          <cell r="E3677" t="str">
            <v>FH87</v>
          </cell>
          <cell r="F3677">
            <v>1890</v>
          </cell>
          <cell r="G3677">
            <v>26.5</v>
          </cell>
          <cell r="H3677">
            <v>1.4</v>
          </cell>
          <cell r="I3677" t="str">
            <v>M1</v>
          </cell>
          <cell r="J3677" t="str">
            <v>IE3</v>
          </cell>
          <cell r="K3677" t="str">
            <v>400/690</v>
          </cell>
          <cell r="L3677">
            <v>50</v>
          </cell>
          <cell r="M3677" t="str">
            <v>21/12,2</v>
          </cell>
          <cell r="N3677">
            <v>65</v>
          </cell>
          <cell r="O3677" t="str">
            <v>155(F)</v>
          </cell>
          <cell r="P3677" t="str">
            <v>270°</v>
          </cell>
          <cell r="Q3677" t="str">
            <v>TF</v>
          </cell>
          <cell r="R3677" t="str">
            <v>-</v>
          </cell>
          <cell r="S3677" t="str">
            <v>-</v>
          </cell>
          <cell r="T3677" t="str">
            <v>-</v>
          </cell>
          <cell r="U3677" t="str">
            <v>G</v>
          </cell>
          <cell r="V3677" t="str">
            <v>D</v>
          </cell>
          <cell r="W3677" t="str">
            <v>-</v>
          </cell>
          <cell r="X3677" t="str">
            <v>CLP HC 150 (-30/+50°C)</v>
          </cell>
          <cell r="Y3677" t="str">
            <v>FH87/G EDRN160M4 /TF</v>
          </cell>
          <cell r="Z3677" t="str">
            <v>SEW</v>
          </cell>
          <cell r="AB3677" t="str">
            <v>ATEX22</v>
          </cell>
          <cell r="AF3677">
            <v>56</v>
          </cell>
          <cell r="AG3677" t="str">
            <v>EDRN160M4</v>
          </cell>
          <cell r="AH3677" t="str">
            <v>FH87G-EDRN160M4270-X</v>
          </cell>
        </row>
        <row r="3678">
          <cell r="A3678" t="str">
            <v>MR003667</v>
          </cell>
          <cell r="B3678" t="str">
            <v>MR</v>
          </cell>
          <cell r="C3678">
            <v>11</v>
          </cell>
          <cell r="D3678">
            <v>56</v>
          </cell>
          <cell r="E3678" t="str">
            <v>FH87</v>
          </cell>
          <cell r="F3678">
            <v>1890</v>
          </cell>
          <cell r="G3678">
            <v>26.5</v>
          </cell>
          <cell r="H3678">
            <v>1.4</v>
          </cell>
          <cell r="I3678" t="str">
            <v>From M1 to M2 - 15°</v>
          </cell>
          <cell r="J3678" t="str">
            <v>IE3</v>
          </cell>
          <cell r="K3678" t="str">
            <v>400/690</v>
          </cell>
          <cell r="L3678">
            <v>50</v>
          </cell>
          <cell r="M3678" t="str">
            <v>21/12,2</v>
          </cell>
          <cell r="N3678">
            <v>65</v>
          </cell>
          <cell r="O3678" t="str">
            <v>155(F)</v>
          </cell>
          <cell r="P3678" t="str">
            <v>270°</v>
          </cell>
          <cell r="Q3678" t="str">
            <v>TF</v>
          </cell>
          <cell r="R3678" t="str">
            <v>-</v>
          </cell>
          <cell r="S3678" t="str">
            <v>-</v>
          </cell>
          <cell r="T3678" t="str">
            <v>-</v>
          </cell>
          <cell r="U3678" t="str">
            <v>G</v>
          </cell>
          <cell r="V3678" t="str">
            <v>D</v>
          </cell>
          <cell r="W3678" t="str">
            <v>-</v>
          </cell>
          <cell r="X3678" t="str">
            <v>CLP HC 150 (-30/+50°C)</v>
          </cell>
          <cell r="Y3678" t="str">
            <v>FH87/G EDRN160M4 /TF</v>
          </cell>
          <cell r="Z3678" t="str">
            <v>SEW</v>
          </cell>
          <cell r="AB3678" t="str">
            <v>ATEX22</v>
          </cell>
          <cell r="AF3678">
            <v>56</v>
          </cell>
          <cell r="AG3678" t="str">
            <v>EDRN160M4</v>
          </cell>
          <cell r="AH3678" t="str">
            <v>FH87G-EDRN160M4270-X</v>
          </cell>
        </row>
        <row r="3679">
          <cell r="A3679" t="str">
            <v>MR003668</v>
          </cell>
          <cell r="B3679" t="str">
            <v>MR</v>
          </cell>
          <cell r="C3679">
            <v>0.37</v>
          </cell>
          <cell r="D3679">
            <v>4.5999999999999996</v>
          </cell>
          <cell r="E3679" t="str">
            <v>FA67R37</v>
          </cell>
          <cell r="F3679">
            <v>820</v>
          </cell>
          <cell r="G3679">
            <v>305</v>
          </cell>
          <cell r="H3679">
            <v>1</v>
          </cell>
          <cell r="I3679" t="str">
            <v>M6</v>
          </cell>
          <cell r="J3679" t="str">
            <v>IE3</v>
          </cell>
          <cell r="K3679" t="str">
            <v>230/400</v>
          </cell>
          <cell r="L3679">
            <v>50</v>
          </cell>
          <cell r="M3679" t="str">
            <v>1,98/1,14</v>
          </cell>
          <cell r="N3679">
            <v>65</v>
          </cell>
          <cell r="O3679" t="str">
            <v>155(F)</v>
          </cell>
          <cell r="P3679" t="str">
            <v>270°</v>
          </cell>
          <cell r="Q3679" t="str">
            <v>-</v>
          </cell>
          <cell r="R3679" t="str">
            <v>-</v>
          </cell>
          <cell r="S3679" t="str">
            <v>-</v>
          </cell>
          <cell r="T3679" t="str">
            <v>-</v>
          </cell>
          <cell r="U3679" t="str">
            <v>G</v>
          </cell>
          <cell r="V3679" t="str">
            <v>D+R</v>
          </cell>
          <cell r="W3679" t="str">
            <v>-</v>
          </cell>
          <cell r="X3679" t="str">
            <v>CLP HC 220 (-25/+60°C)</v>
          </cell>
          <cell r="Y3679" t="str">
            <v>FA67R37/G EDRN71M4</v>
          </cell>
          <cell r="Z3679" t="str">
            <v>SEW</v>
          </cell>
          <cell r="AB3679" t="str">
            <v>ATEX22</v>
          </cell>
          <cell r="AF3679">
            <v>4.5999999999999996</v>
          </cell>
          <cell r="AG3679" t="str">
            <v>EDRN71M4</v>
          </cell>
          <cell r="AH3679" t="str">
            <v>FA67R37G-EDRN71M4270-X</v>
          </cell>
        </row>
        <row r="3680">
          <cell r="A3680" t="str">
            <v>MR003669</v>
          </cell>
          <cell r="B3680" t="str">
            <v>MR</v>
          </cell>
          <cell r="C3680">
            <v>9.1999999999999993</v>
          </cell>
          <cell r="D3680">
            <v>7.4</v>
          </cell>
          <cell r="E3680" t="str">
            <v>KH127R87</v>
          </cell>
          <cell r="F3680">
            <v>11200</v>
          </cell>
          <cell r="G3680">
            <v>200</v>
          </cell>
          <cell r="H3680">
            <v>1.05</v>
          </cell>
          <cell r="I3680" t="str">
            <v>M4A</v>
          </cell>
          <cell r="J3680" t="str">
            <v>IE3</v>
          </cell>
          <cell r="K3680" t="str">
            <v>400/690</v>
          </cell>
          <cell r="L3680">
            <v>50</v>
          </cell>
          <cell r="M3680" t="str">
            <v>18,7/10,8</v>
          </cell>
          <cell r="N3680">
            <v>55</v>
          </cell>
          <cell r="O3680" t="str">
            <v>155(F)</v>
          </cell>
          <cell r="P3680" t="str">
            <v>180°</v>
          </cell>
          <cell r="Q3680" t="str">
            <v>-</v>
          </cell>
          <cell r="R3680" t="str">
            <v>-</v>
          </cell>
          <cell r="S3680" t="str">
            <v>Free rotation CW</v>
          </cell>
          <cell r="T3680" t="str">
            <v>-</v>
          </cell>
          <cell r="U3680" t="str">
            <v>-</v>
          </cell>
          <cell r="V3680" t="str">
            <v>SS</v>
          </cell>
          <cell r="W3680" t="str">
            <v>-</v>
          </cell>
          <cell r="X3680" t="str">
            <v>CLP 220 (-15/+40°C)</v>
          </cell>
          <cell r="Y3680" t="str">
            <v>KH127R87DRN132L4 /RS</v>
          </cell>
          <cell r="Z3680" t="str">
            <v>SEW</v>
          </cell>
          <cell r="AB3680" t="str">
            <v>-</v>
          </cell>
          <cell r="AF3680">
            <v>7.4</v>
          </cell>
          <cell r="AG3680" t="str">
            <v>DRN132L4</v>
          </cell>
          <cell r="AH3680" t="str">
            <v>KH127R87-DRN132L4A180-X</v>
          </cell>
        </row>
        <row r="3681">
          <cell r="A3681" t="str">
            <v>MR003670</v>
          </cell>
          <cell r="B3681" t="str">
            <v>MR</v>
          </cell>
          <cell r="C3681">
            <v>9.1999999999999993</v>
          </cell>
          <cell r="D3681">
            <v>7.4</v>
          </cell>
          <cell r="E3681" t="str">
            <v>KH127R87</v>
          </cell>
          <cell r="F3681">
            <v>11200</v>
          </cell>
          <cell r="G3681">
            <v>200</v>
          </cell>
          <cell r="H3681">
            <v>1.05</v>
          </cell>
          <cell r="I3681" t="str">
            <v>M4B</v>
          </cell>
          <cell r="J3681" t="str">
            <v>IE3</v>
          </cell>
          <cell r="K3681" t="str">
            <v>400/690</v>
          </cell>
          <cell r="L3681">
            <v>50</v>
          </cell>
          <cell r="M3681" t="str">
            <v>18,7/10,8</v>
          </cell>
          <cell r="N3681">
            <v>55</v>
          </cell>
          <cell r="O3681" t="str">
            <v>155(F)</v>
          </cell>
          <cell r="P3681" t="str">
            <v>0°</v>
          </cell>
          <cell r="Q3681" t="str">
            <v>-</v>
          </cell>
          <cell r="R3681" t="str">
            <v>-</v>
          </cell>
          <cell r="S3681" t="str">
            <v>Free rotation CCW</v>
          </cell>
          <cell r="T3681" t="str">
            <v>-</v>
          </cell>
          <cell r="U3681" t="str">
            <v>-</v>
          </cell>
          <cell r="V3681" t="str">
            <v>SS</v>
          </cell>
          <cell r="W3681" t="str">
            <v>-</v>
          </cell>
          <cell r="X3681" t="str">
            <v>CLP 220 (-15/+40°C)</v>
          </cell>
          <cell r="Y3681" t="str">
            <v>KH127R87DRN132L4 /RS</v>
          </cell>
          <cell r="Z3681" t="str">
            <v>SEW</v>
          </cell>
          <cell r="AB3681" t="str">
            <v>-</v>
          </cell>
          <cell r="AF3681">
            <v>7.4</v>
          </cell>
          <cell r="AG3681" t="str">
            <v>DRN132L4</v>
          </cell>
          <cell r="AH3681" t="str">
            <v>KH127R87-DRN132L4B0-X</v>
          </cell>
        </row>
        <row r="3682">
          <cell r="A3682" t="str">
            <v>MR003671</v>
          </cell>
          <cell r="B3682" t="str">
            <v>MR</v>
          </cell>
          <cell r="C3682">
            <v>0.75</v>
          </cell>
          <cell r="D3682">
            <v>15</v>
          </cell>
          <cell r="E3682" t="str">
            <v>FA67</v>
          </cell>
          <cell r="F3682">
            <v>390</v>
          </cell>
          <cell r="G3682">
            <v>95.94</v>
          </cell>
          <cell r="H3682">
            <v>2.1</v>
          </cell>
          <cell r="I3682" t="str">
            <v>From M6 to M3 - 30°</v>
          </cell>
          <cell r="J3682" t="str">
            <v>IE3</v>
          </cell>
          <cell r="K3682" t="str">
            <v>220/440</v>
          </cell>
          <cell r="L3682">
            <v>60</v>
          </cell>
          <cell r="M3682" t="str">
            <v>3,25/1,63</v>
          </cell>
          <cell r="N3682">
            <v>65</v>
          </cell>
          <cell r="O3682" t="str">
            <v>155(F)</v>
          </cell>
          <cell r="P3682" t="str">
            <v>270°</v>
          </cell>
          <cell r="Q3682" t="str">
            <v>-</v>
          </cell>
          <cell r="R3682" t="str">
            <v>-</v>
          </cell>
          <cell r="S3682" t="str">
            <v>-</v>
          </cell>
          <cell r="T3682" t="str">
            <v>-</v>
          </cell>
          <cell r="U3682" t="str">
            <v>G</v>
          </cell>
          <cell r="V3682" t="str">
            <v>D+R</v>
          </cell>
          <cell r="W3682" t="str">
            <v>-</v>
          </cell>
          <cell r="X3682" t="str">
            <v>CLP VG 220 = -15° + 40°</v>
          </cell>
          <cell r="Y3682" t="str">
            <v>FA67/G DRN80M4</v>
          </cell>
          <cell r="Z3682" t="str">
            <v>SEW</v>
          </cell>
          <cell r="AB3682" t="str">
            <v>-</v>
          </cell>
          <cell r="AF3682">
            <v>18</v>
          </cell>
          <cell r="AG3682" t="str">
            <v>DRN80M4</v>
          </cell>
          <cell r="AH3682" t="str">
            <v>FA67G-DRN80M4270-X</v>
          </cell>
        </row>
        <row r="3683">
          <cell r="A3683" t="str">
            <v>MR003672</v>
          </cell>
          <cell r="B3683" t="str">
            <v>MR</v>
          </cell>
          <cell r="C3683">
            <v>1.5</v>
          </cell>
          <cell r="D3683">
            <v>18.333333333333336</v>
          </cell>
          <cell r="E3683" t="str">
            <v>FA67</v>
          </cell>
          <cell r="F3683">
            <v>645</v>
          </cell>
          <cell r="G3683">
            <v>79.760000000000005</v>
          </cell>
          <cell r="H3683">
            <v>1.25</v>
          </cell>
          <cell r="I3683" t="str">
            <v>From M5 to M3 - 30°</v>
          </cell>
          <cell r="J3683" t="str">
            <v>IE3</v>
          </cell>
          <cell r="K3683" t="str">
            <v>220/440</v>
          </cell>
          <cell r="L3683">
            <v>60</v>
          </cell>
          <cell r="M3683" t="str">
            <v>6,3/3,15</v>
          </cell>
          <cell r="N3683">
            <v>65</v>
          </cell>
          <cell r="O3683" t="str">
            <v>155(F)</v>
          </cell>
          <cell r="P3683" t="str">
            <v>270°</v>
          </cell>
          <cell r="Q3683" t="str">
            <v>-</v>
          </cell>
          <cell r="R3683" t="str">
            <v>-</v>
          </cell>
          <cell r="S3683" t="str">
            <v>-</v>
          </cell>
          <cell r="T3683" t="str">
            <v>-</v>
          </cell>
          <cell r="U3683" t="str">
            <v>G</v>
          </cell>
          <cell r="V3683" t="str">
            <v>D+R</v>
          </cell>
          <cell r="W3683" t="str">
            <v>-</v>
          </cell>
          <cell r="X3683" t="str">
            <v>CLP VG 220 = -15° + 40°</v>
          </cell>
          <cell r="Y3683" t="str">
            <v>FA67/G DRN90L4</v>
          </cell>
          <cell r="Z3683" t="str">
            <v>SEW</v>
          </cell>
          <cell r="AB3683" t="str">
            <v>-</v>
          </cell>
          <cell r="AF3683">
            <v>22.000000000000004</v>
          </cell>
          <cell r="AG3683" t="str">
            <v>DRN90L4</v>
          </cell>
          <cell r="AH3683" t="str">
            <v>FA67G-DRN90L4270-X</v>
          </cell>
        </row>
        <row r="3684">
          <cell r="A3684" t="str">
            <v>MR003673</v>
          </cell>
          <cell r="B3684" t="str">
            <v>MR</v>
          </cell>
          <cell r="C3684">
            <v>4</v>
          </cell>
          <cell r="D3684">
            <v>66</v>
          </cell>
          <cell r="E3684" t="str">
            <v>FH67</v>
          </cell>
          <cell r="F3684">
            <v>575</v>
          </cell>
          <cell r="G3684">
            <v>22.05</v>
          </cell>
          <cell r="H3684">
            <v>1.45</v>
          </cell>
          <cell r="I3684" t="str">
            <v>M1</v>
          </cell>
          <cell r="J3684" t="str">
            <v>IE3</v>
          </cell>
          <cell r="K3684" t="str">
            <v>230/400</v>
          </cell>
          <cell r="L3684">
            <v>50</v>
          </cell>
          <cell r="M3684" t="str">
            <v>13,8/7,9</v>
          </cell>
          <cell r="N3684">
            <v>65</v>
          </cell>
          <cell r="O3684" t="str">
            <v>155(F)</v>
          </cell>
          <cell r="P3684" t="str">
            <v>270°</v>
          </cell>
          <cell r="Q3684" t="str">
            <v>TF</v>
          </cell>
          <cell r="R3684" t="str">
            <v>-</v>
          </cell>
          <cell r="S3684" t="str">
            <v>-</v>
          </cell>
          <cell r="T3684" t="str">
            <v>-</v>
          </cell>
          <cell r="U3684" t="str">
            <v>G</v>
          </cell>
          <cell r="V3684" t="str">
            <v>D</v>
          </cell>
          <cell r="W3684" t="str">
            <v>-</v>
          </cell>
          <cell r="X3684" t="str">
            <v>CLP HC 150 (-30/+50°C)</v>
          </cell>
          <cell r="Y3684" t="str">
            <v>FH67/G EDRN112M4 /TF</v>
          </cell>
          <cell r="Z3684" t="str">
            <v>SEW</v>
          </cell>
          <cell r="AB3684" t="str">
            <v>ATEX22</v>
          </cell>
          <cell r="AF3684">
            <v>66</v>
          </cell>
          <cell r="AG3684" t="str">
            <v>EDRN112M4</v>
          </cell>
          <cell r="AH3684" t="str">
            <v>FH67G-EDRN112M4270-X</v>
          </cell>
        </row>
        <row r="3685">
          <cell r="A3685" t="str">
            <v>MR003674</v>
          </cell>
          <cell r="B3685" t="str">
            <v>MR</v>
          </cell>
          <cell r="C3685">
            <v>4</v>
          </cell>
          <cell r="D3685">
            <v>66</v>
          </cell>
          <cell r="E3685" t="str">
            <v>FH67</v>
          </cell>
          <cell r="F3685">
            <v>575</v>
          </cell>
          <cell r="G3685">
            <v>22.05</v>
          </cell>
          <cell r="H3685">
            <v>1.45</v>
          </cell>
          <cell r="I3685" t="str">
            <v>M1</v>
          </cell>
          <cell r="J3685" t="str">
            <v>IE3</v>
          </cell>
          <cell r="K3685" t="str">
            <v>230/400</v>
          </cell>
          <cell r="L3685">
            <v>50</v>
          </cell>
          <cell r="M3685" t="str">
            <v>13,8/7,9</v>
          </cell>
          <cell r="N3685">
            <v>65</v>
          </cell>
          <cell r="O3685" t="str">
            <v>155(F)</v>
          </cell>
          <cell r="P3685" t="str">
            <v>270°</v>
          </cell>
          <cell r="Q3685" t="str">
            <v>TF</v>
          </cell>
          <cell r="R3685" t="str">
            <v>-</v>
          </cell>
          <cell r="S3685" t="str">
            <v>-</v>
          </cell>
          <cell r="T3685" t="str">
            <v>-</v>
          </cell>
          <cell r="U3685" t="str">
            <v>G</v>
          </cell>
          <cell r="V3685" t="str">
            <v>D</v>
          </cell>
          <cell r="W3685" t="str">
            <v>-</v>
          </cell>
          <cell r="X3685" t="str">
            <v>CLP HC 150 (-30/+50°C)</v>
          </cell>
          <cell r="Y3685" t="str">
            <v>FH67/G DRN112M4 /TF</v>
          </cell>
          <cell r="Z3685" t="str">
            <v>SEW</v>
          </cell>
          <cell r="AB3685" t="str">
            <v>-</v>
          </cell>
          <cell r="AF3685">
            <v>66</v>
          </cell>
          <cell r="AG3685" t="str">
            <v>DRN112M4</v>
          </cell>
          <cell r="AH3685" t="str">
            <v>FH67G-DRN112M4270-X</v>
          </cell>
        </row>
        <row r="3686">
          <cell r="A3686" t="str">
            <v>MR003675</v>
          </cell>
          <cell r="B3686" t="str">
            <v>MR</v>
          </cell>
          <cell r="C3686">
            <v>11</v>
          </cell>
          <cell r="D3686">
            <v>69</v>
          </cell>
          <cell r="E3686" t="str">
            <v>FH87</v>
          </cell>
          <cell r="F3686">
            <v>1520</v>
          </cell>
          <cell r="G3686">
            <v>31.32</v>
          </cell>
          <cell r="H3686">
            <v>1.7</v>
          </cell>
          <cell r="I3686" t="str">
            <v>From M1 to M4 - 15°</v>
          </cell>
          <cell r="J3686" t="str">
            <v>IE3</v>
          </cell>
          <cell r="K3686" t="str">
            <v>400/690</v>
          </cell>
          <cell r="L3686">
            <v>50</v>
          </cell>
          <cell r="M3686" t="str">
            <v>21/12,2</v>
          </cell>
          <cell r="N3686">
            <v>65</v>
          </cell>
          <cell r="O3686" t="str">
            <v>155(F)</v>
          </cell>
          <cell r="P3686" t="str">
            <v>270°</v>
          </cell>
          <cell r="Q3686" t="str">
            <v>TF</v>
          </cell>
          <cell r="R3686" t="str">
            <v>-</v>
          </cell>
          <cell r="S3686" t="str">
            <v>-</v>
          </cell>
          <cell r="T3686" t="str">
            <v>-</v>
          </cell>
          <cell r="U3686" t="str">
            <v>G</v>
          </cell>
          <cell r="V3686" t="str">
            <v>D</v>
          </cell>
          <cell r="W3686" t="str">
            <v>-</v>
          </cell>
          <cell r="X3686" t="str">
            <v>CLP HC 150 (-30/+50°C)</v>
          </cell>
          <cell r="Y3686" t="str">
            <v>FH87/G EDRN160M4 /TF</v>
          </cell>
          <cell r="Z3686" t="str">
            <v>SEW</v>
          </cell>
          <cell r="AB3686" t="str">
            <v>ATEX22</v>
          </cell>
          <cell r="AF3686">
            <v>69</v>
          </cell>
          <cell r="AG3686" t="str">
            <v>EDRN160M4</v>
          </cell>
          <cell r="AH3686" t="str">
            <v>FH87G-EDRN160M4270-X</v>
          </cell>
        </row>
        <row r="3687">
          <cell r="A3687" t="str">
            <v>MR003676</v>
          </cell>
          <cell r="B3687" t="str">
            <v>MR</v>
          </cell>
          <cell r="C3687">
            <v>5.5</v>
          </cell>
          <cell r="D3687">
            <v>14</v>
          </cell>
          <cell r="E3687" t="str">
            <v>KH97</v>
          </cell>
          <cell r="F3687">
            <v>3780</v>
          </cell>
          <cell r="G3687">
            <v>105.13</v>
          </cell>
          <cell r="H3687">
            <v>1.1000000000000001</v>
          </cell>
          <cell r="I3687" t="str">
            <v>From M1A to M2A - 30°</v>
          </cell>
          <cell r="J3687" t="str">
            <v>IE3</v>
          </cell>
          <cell r="K3687" t="str">
            <v>230/400</v>
          </cell>
          <cell r="L3687">
            <v>50</v>
          </cell>
          <cell r="M3687" t="str">
            <v>18,2/10,5</v>
          </cell>
          <cell r="N3687">
            <v>65</v>
          </cell>
          <cell r="O3687" t="str">
            <v>155(F)</v>
          </cell>
          <cell r="P3687" t="str">
            <v>180°</v>
          </cell>
          <cell r="Q3687" t="str">
            <v>TF</v>
          </cell>
          <cell r="R3687" t="str">
            <v>-</v>
          </cell>
          <cell r="S3687" t="str">
            <v>-</v>
          </cell>
          <cell r="T3687" t="str">
            <v>-</v>
          </cell>
          <cell r="U3687" t="str">
            <v>-</v>
          </cell>
          <cell r="V3687" t="str">
            <v>SS</v>
          </cell>
          <cell r="W3687" t="str">
            <v>-</v>
          </cell>
          <cell r="X3687" t="str">
            <v>CLP HC 150 (-30/+50°C)</v>
          </cell>
          <cell r="Y3687" t="str">
            <v>KH97EDRN132S4 /TF</v>
          </cell>
          <cell r="Z3687" t="str">
            <v>SEW</v>
          </cell>
          <cell r="AB3687" t="str">
            <v>ATEX22</v>
          </cell>
          <cell r="AF3687">
            <v>14</v>
          </cell>
          <cell r="AG3687" t="str">
            <v>EDRN132S4</v>
          </cell>
          <cell r="AH3687" t="str">
            <v>KH97-EDRN132S4A180-X</v>
          </cell>
        </row>
        <row r="3688">
          <cell r="A3688" t="str">
            <v>MR003677</v>
          </cell>
          <cell r="B3688" t="str">
            <v>MR</v>
          </cell>
          <cell r="C3688">
            <v>5.5</v>
          </cell>
          <cell r="D3688">
            <v>62</v>
          </cell>
          <cell r="E3688" t="str">
            <v>R87</v>
          </cell>
          <cell r="F3688">
            <v>840</v>
          </cell>
          <cell r="G3688">
            <v>23.4</v>
          </cell>
          <cell r="H3688">
            <v>1.85</v>
          </cell>
          <cell r="I3688" t="str">
            <v>From M1 to M4 - 15°</v>
          </cell>
          <cell r="J3688" t="str">
            <v>IE3</v>
          </cell>
          <cell r="K3688" t="str">
            <v>230/400</v>
          </cell>
          <cell r="L3688">
            <v>50</v>
          </cell>
          <cell r="M3688" t="str">
            <v>18,2/10,5</v>
          </cell>
          <cell r="N3688">
            <v>65</v>
          </cell>
          <cell r="O3688" t="str">
            <v>155(F)</v>
          </cell>
          <cell r="P3688" t="str">
            <v>270°</v>
          </cell>
          <cell r="Q3688" t="str">
            <v>-</v>
          </cell>
          <cell r="R3688" t="str">
            <v>-</v>
          </cell>
          <cell r="S3688" t="str">
            <v>-</v>
          </cell>
          <cell r="T3688" t="str">
            <v>-</v>
          </cell>
          <cell r="U3688" t="str">
            <v>-</v>
          </cell>
          <cell r="V3688" t="str">
            <v>D</v>
          </cell>
          <cell r="W3688" t="str">
            <v>-</v>
          </cell>
          <cell r="X3688" t="str">
            <v>CLP 220 (-15/+40°C)</v>
          </cell>
          <cell r="Y3688" t="str">
            <v>R87DRN132S4</v>
          </cell>
          <cell r="Z3688" t="str">
            <v>SEW</v>
          </cell>
          <cell r="AB3688" t="str">
            <v>-</v>
          </cell>
          <cell r="AF3688">
            <v>62</v>
          </cell>
          <cell r="AG3688" t="str">
            <v>DRN132S4</v>
          </cell>
          <cell r="AH3688" t="str">
            <v>R87-DRN132S4270-X</v>
          </cell>
        </row>
        <row r="3689">
          <cell r="A3689" t="str">
            <v>MR003678</v>
          </cell>
          <cell r="B3689" t="str">
            <v>MR</v>
          </cell>
          <cell r="C3689">
            <v>9.1999999999999993</v>
          </cell>
          <cell r="D3689">
            <v>55</v>
          </cell>
          <cell r="E3689" t="str">
            <v>FH87</v>
          </cell>
          <cell r="F3689">
            <v>1580</v>
          </cell>
          <cell r="G3689">
            <v>26.5</v>
          </cell>
          <cell r="H3689">
            <v>1.9</v>
          </cell>
          <cell r="I3689" t="str">
            <v>M1</v>
          </cell>
          <cell r="J3689" t="str">
            <v>IE3</v>
          </cell>
          <cell r="K3689">
            <v>415</v>
          </cell>
          <cell r="L3689">
            <v>50</v>
          </cell>
          <cell r="M3689">
            <v>18</v>
          </cell>
          <cell r="N3689">
            <v>65</v>
          </cell>
          <cell r="O3689" t="str">
            <v>155(F)</v>
          </cell>
          <cell r="P3689" t="str">
            <v>270°</v>
          </cell>
          <cell r="Q3689" t="str">
            <v>TF</v>
          </cell>
          <cell r="R3689" t="str">
            <v>-</v>
          </cell>
          <cell r="S3689" t="str">
            <v>-</v>
          </cell>
          <cell r="T3689" t="str">
            <v>-</v>
          </cell>
          <cell r="U3689" t="str">
            <v>G</v>
          </cell>
          <cell r="V3689" t="str">
            <v>D</v>
          </cell>
          <cell r="W3689" t="str">
            <v>-</v>
          </cell>
          <cell r="X3689" t="str">
            <v>CLP HC 220 (-25/+60°C)</v>
          </cell>
          <cell r="Y3689" t="str">
            <v>FH87/G DRN132L4 /TF</v>
          </cell>
          <cell r="Z3689" t="str">
            <v>SEW</v>
          </cell>
          <cell r="AB3689" t="str">
            <v>-</v>
          </cell>
          <cell r="AF3689">
            <v>55</v>
          </cell>
          <cell r="AG3689" t="str">
            <v>DRN132L4</v>
          </cell>
          <cell r="AH3689" t="str">
            <v>FH87G-DRN132L4270-X</v>
          </cell>
        </row>
        <row r="3690">
          <cell r="A3690" t="str">
            <v>MR003679</v>
          </cell>
          <cell r="B3690" t="str">
            <v>MR</v>
          </cell>
          <cell r="C3690">
            <v>9.1999999999999993</v>
          </cell>
          <cell r="D3690">
            <v>119</v>
          </cell>
          <cell r="E3690" t="str">
            <v>R97</v>
          </cell>
          <cell r="F3690">
            <v>740</v>
          </cell>
          <cell r="G3690">
            <v>12.39</v>
          </cell>
          <cell r="H3690">
            <v>2.6</v>
          </cell>
          <cell r="I3690" t="str">
            <v>M4</v>
          </cell>
          <cell r="J3690" t="str">
            <v>IE3</v>
          </cell>
          <cell r="K3690">
            <v>415</v>
          </cell>
          <cell r="L3690">
            <v>50</v>
          </cell>
          <cell r="M3690">
            <v>18</v>
          </cell>
          <cell r="N3690">
            <v>65</v>
          </cell>
          <cell r="O3690" t="str">
            <v>155(F)</v>
          </cell>
          <cell r="P3690" t="str">
            <v>180°</v>
          </cell>
          <cell r="Q3690" t="str">
            <v>TF</v>
          </cell>
          <cell r="R3690" t="str">
            <v>-</v>
          </cell>
          <cell r="S3690" t="str">
            <v>-</v>
          </cell>
          <cell r="T3690" t="str">
            <v>-</v>
          </cell>
          <cell r="U3690" t="str">
            <v>-</v>
          </cell>
          <cell r="V3690" t="str">
            <v>D</v>
          </cell>
          <cell r="W3690" t="str">
            <v>-</v>
          </cell>
          <cell r="X3690" t="str">
            <v>CLP HC 220 (-25/+60°C)</v>
          </cell>
          <cell r="Y3690" t="str">
            <v>R97/II2GDEDRN132L4/3D/TF/AL/C</v>
          </cell>
          <cell r="Z3690" t="str">
            <v>SEW</v>
          </cell>
          <cell r="AB3690" t="str">
            <v>ATEX22</v>
          </cell>
          <cell r="AF3690">
            <v>119</v>
          </cell>
          <cell r="AG3690" t="str">
            <v>EDRN132L4</v>
          </cell>
          <cell r="AH3690" t="str">
            <v>R97-EDRN132L4180-X</v>
          </cell>
        </row>
        <row r="3691">
          <cell r="A3691" t="str">
            <v>MR003680</v>
          </cell>
          <cell r="B3691" t="str">
            <v>MR</v>
          </cell>
          <cell r="C3691">
            <v>5.5</v>
          </cell>
          <cell r="D3691">
            <v>62</v>
          </cell>
          <cell r="E3691" t="str">
            <v>R87</v>
          </cell>
          <cell r="F3691">
            <v>840</v>
          </cell>
          <cell r="G3691">
            <v>23.4</v>
          </cell>
          <cell r="H3691">
            <v>1.85</v>
          </cell>
          <cell r="I3691" t="str">
            <v>M1</v>
          </cell>
          <cell r="J3691" t="str">
            <v>IE3</v>
          </cell>
          <cell r="K3691" t="str">
            <v>230/400</v>
          </cell>
          <cell r="L3691">
            <v>50</v>
          </cell>
          <cell r="M3691" t="str">
            <v>18,2/10,5</v>
          </cell>
          <cell r="N3691">
            <v>55</v>
          </cell>
          <cell r="O3691" t="str">
            <v>155(F)</v>
          </cell>
          <cell r="P3691" t="str">
            <v>270°</v>
          </cell>
          <cell r="Q3691" t="str">
            <v>TF</v>
          </cell>
          <cell r="R3691" t="str">
            <v>-</v>
          </cell>
          <cell r="S3691" t="str">
            <v>-</v>
          </cell>
          <cell r="T3691" t="str">
            <v>-</v>
          </cell>
          <cell r="U3691" t="str">
            <v>-</v>
          </cell>
          <cell r="V3691" t="str">
            <v>D</v>
          </cell>
          <cell r="W3691" t="str">
            <v>-</v>
          </cell>
          <cell r="X3691" t="str">
            <v>CLP HC 220 (-25/+60°C)</v>
          </cell>
          <cell r="Y3691" t="str">
            <v>R87DRN132S4 /TF</v>
          </cell>
          <cell r="Z3691" t="str">
            <v>SEW</v>
          </cell>
          <cell r="AB3691" t="str">
            <v>-</v>
          </cell>
          <cell r="AF3691">
            <v>62</v>
          </cell>
          <cell r="AG3691" t="str">
            <v>DRN132S4</v>
          </cell>
          <cell r="AH3691" t="str">
            <v>R87-DRN132S4270-X</v>
          </cell>
        </row>
        <row r="3692">
          <cell r="A3692" t="str">
            <v>MR003681</v>
          </cell>
          <cell r="B3692" t="str">
            <v>MR</v>
          </cell>
          <cell r="C3692">
            <v>9.1999999999999993</v>
          </cell>
          <cell r="D3692">
            <v>68</v>
          </cell>
          <cell r="E3692" t="str">
            <v>R87</v>
          </cell>
          <cell r="F3692">
            <v>1280</v>
          </cell>
          <cell r="G3692">
            <v>21.51</v>
          </cell>
          <cell r="H3692">
            <v>1.1499999999999999</v>
          </cell>
          <cell r="I3692" t="str">
            <v>From M1 to M2 - 15°</v>
          </cell>
          <cell r="J3692" t="str">
            <v>IE3</v>
          </cell>
          <cell r="K3692" t="str">
            <v>400/690</v>
          </cell>
          <cell r="L3692">
            <v>50</v>
          </cell>
          <cell r="M3692" t="str">
            <v>18,7/10,8</v>
          </cell>
          <cell r="N3692">
            <v>55</v>
          </cell>
          <cell r="O3692" t="str">
            <v>155(F)</v>
          </cell>
          <cell r="P3692" t="str">
            <v>270°</v>
          </cell>
          <cell r="Q3692" t="str">
            <v>TF</v>
          </cell>
          <cell r="R3692" t="str">
            <v>-</v>
          </cell>
          <cell r="S3692" t="str">
            <v>-</v>
          </cell>
          <cell r="T3692" t="str">
            <v>-</v>
          </cell>
          <cell r="U3692" t="str">
            <v>-</v>
          </cell>
          <cell r="V3692" t="str">
            <v>D</v>
          </cell>
          <cell r="W3692" t="str">
            <v>-</v>
          </cell>
          <cell r="X3692" t="str">
            <v>CLP HC 220 (-25/+60°C)</v>
          </cell>
          <cell r="Y3692" t="str">
            <v>R87DRN132L4 /TF</v>
          </cell>
          <cell r="Z3692" t="str">
            <v>SEW</v>
          </cell>
          <cell r="AB3692" t="str">
            <v>-</v>
          </cell>
          <cell r="AF3692">
            <v>68</v>
          </cell>
          <cell r="AG3692" t="str">
            <v>DRN132L4</v>
          </cell>
          <cell r="AH3692" t="str">
            <v>R87-DRN132L4270-X</v>
          </cell>
        </row>
        <row r="3693">
          <cell r="A3693" t="str">
            <v>MR003682</v>
          </cell>
          <cell r="B3693" t="str">
            <v>MR</v>
          </cell>
          <cell r="C3693">
            <v>7.5</v>
          </cell>
          <cell r="D3693">
            <v>76</v>
          </cell>
          <cell r="E3693" t="str">
            <v>FH87</v>
          </cell>
          <cell r="F3693">
            <v>940</v>
          </cell>
          <cell r="G3693" t="str">
            <v>19,31</v>
          </cell>
          <cell r="H3693" t="str">
            <v>3,2</v>
          </cell>
          <cell r="I3693" t="str">
            <v>M1</v>
          </cell>
          <cell r="J3693" t="str">
            <v>IE3</v>
          </cell>
          <cell r="K3693" t="str">
            <v>400/690</v>
          </cell>
          <cell r="L3693">
            <v>50</v>
          </cell>
          <cell r="M3693" t="str">
            <v>15,2/8,8</v>
          </cell>
          <cell r="N3693">
            <v>55</v>
          </cell>
          <cell r="O3693" t="str">
            <v>155(F)</v>
          </cell>
          <cell r="P3693" t="str">
            <v>270°</v>
          </cell>
          <cell r="Q3693" t="str">
            <v>-</v>
          </cell>
          <cell r="R3693" t="str">
            <v>-</v>
          </cell>
          <cell r="S3693" t="str">
            <v>-</v>
          </cell>
          <cell r="T3693" t="str">
            <v>-</v>
          </cell>
          <cell r="U3693" t="str">
            <v>G</v>
          </cell>
          <cell r="V3693" t="str">
            <v>D</v>
          </cell>
          <cell r="W3693" t="str">
            <v>-</v>
          </cell>
          <cell r="X3693" t="str">
            <v>CLP 220 (-15/+40°C)</v>
          </cell>
          <cell r="Y3693" t="str">
            <v>FH87/G DRN132M4</v>
          </cell>
          <cell r="Z3693" t="str">
            <v>SEW</v>
          </cell>
          <cell r="AB3693" t="str">
            <v>-</v>
          </cell>
          <cell r="AF3693">
            <v>76</v>
          </cell>
          <cell r="AG3693" t="str">
            <v>DRN132M4</v>
          </cell>
          <cell r="AH3693" t="str">
            <v>FH87G-DRN132M4270-X</v>
          </cell>
        </row>
        <row r="3694">
          <cell r="A3694" t="str">
            <v>MR003683</v>
          </cell>
          <cell r="B3694" t="str">
            <v>MR</v>
          </cell>
          <cell r="C3694">
            <v>45</v>
          </cell>
          <cell r="D3694">
            <v>33</v>
          </cell>
          <cell r="E3694" t="str">
            <v>R167</v>
          </cell>
          <cell r="F3694">
            <v>13000</v>
          </cell>
          <cell r="G3694" t="str">
            <v>44,87</v>
          </cell>
          <cell r="H3694" t="str">
            <v>1,55</v>
          </cell>
          <cell r="I3694" t="str">
            <v>M1</v>
          </cell>
          <cell r="J3694" t="str">
            <v>IE3</v>
          </cell>
          <cell r="K3694" t="str">
            <v>400/690</v>
          </cell>
          <cell r="L3694">
            <v>50</v>
          </cell>
          <cell r="M3694" t="str">
            <v>81/47</v>
          </cell>
          <cell r="N3694">
            <v>55</v>
          </cell>
          <cell r="O3694" t="str">
            <v>155(F)</v>
          </cell>
          <cell r="P3694" t="str">
            <v>270°</v>
          </cell>
          <cell r="Q3694" t="str">
            <v>TF</v>
          </cell>
          <cell r="R3694" t="str">
            <v>-</v>
          </cell>
          <cell r="S3694" t="str">
            <v>Free rotation CW</v>
          </cell>
          <cell r="T3694" t="str">
            <v>-</v>
          </cell>
          <cell r="U3694" t="str">
            <v>-</v>
          </cell>
          <cell r="V3694" t="str">
            <v>SS</v>
          </cell>
          <cell r="W3694" t="str">
            <v>-</v>
          </cell>
          <cell r="X3694" t="str">
            <v>CLP 220 (-15/+40°C)</v>
          </cell>
          <cell r="Y3694" t="str">
            <v>R167DRN225M4 /RS /TF</v>
          </cell>
          <cell r="Z3694" t="str">
            <v>SEW</v>
          </cell>
          <cell r="AB3694" t="str">
            <v>-</v>
          </cell>
          <cell r="AF3694">
            <v>33</v>
          </cell>
          <cell r="AG3694" t="str">
            <v>DRN225M4</v>
          </cell>
          <cell r="AH3694" t="str">
            <v>R167-DRN225M4270-X</v>
          </cell>
        </row>
        <row r="3695">
          <cell r="A3695" t="str">
            <v>MR003684</v>
          </cell>
          <cell r="B3695" t="str">
            <v>MR</v>
          </cell>
          <cell r="C3695">
            <v>18.5</v>
          </cell>
          <cell r="D3695">
            <v>57</v>
          </cell>
          <cell r="E3695" t="str">
            <v>R127</v>
          </cell>
          <cell r="F3695">
            <v>3110</v>
          </cell>
          <cell r="G3695">
            <v>26.04</v>
          </cell>
          <cell r="H3695">
            <v>1.95</v>
          </cell>
          <cell r="I3695" t="str">
            <v>From M1 to M2 - 5°</v>
          </cell>
          <cell r="J3695" t="str">
            <v>IE3</v>
          </cell>
          <cell r="K3695" t="str">
            <v>400/690</v>
          </cell>
          <cell r="L3695">
            <v>50</v>
          </cell>
          <cell r="M3695" t="str">
            <v>33,5/19,3</v>
          </cell>
          <cell r="N3695">
            <v>65</v>
          </cell>
          <cell r="O3695" t="str">
            <v>155(F)</v>
          </cell>
          <cell r="P3695" t="str">
            <v>270°</v>
          </cell>
          <cell r="Q3695" t="str">
            <v>TF</v>
          </cell>
          <cell r="R3695" t="str">
            <v>V(VE)</v>
          </cell>
          <cell r="S3695" t="str">
            <v>-</v>
          </cell>
          <cell r="T3695" t="str">
            <v>-</v>
          </cell>
          <cell r="U3695" t="str">
            <v>-</v>
          </cell>
          <cell r="V3695" t="str">
            <v>FC</v>
          </cell>
          <cell r="W3695" t="str">
            <v>-</v>
          </cell>
          <cell r="X3695" t="str">
            <v>CLP HC 150 (-30/+50°C)</v>
          </cell>
          <cell r="Y3695" t="str">
            <v>R127DRN180M4 /TF/V</v>
          </cell>
          <cell r="Z3695" t="str">
            <v>SEW</v>
          </cell>
          <cell r="AB3695" t="str">
            <v>-</v>
          </cell>
          <cell r="AF3695">
            <v>57</v>
          </cell>
          <cell r="AG3695" t="str">
            <v>DRN180M4</v>
          </cell>
          <cell r="AH3695" t="str">
            <v>R127-DRN180M4270-X#</v>
          </cell>
        </row>
        <row r="3696">
          <cell r="A3696" t="str">
            <v>MR003685</v>
          </cell>
          <cell r="B3696" t="str">
            <v>MR</v>
          </cell>
          <cell r="C3696">
            <v>15</v>
          </cell>
          <cell r="D3696">
            <v>12</v>
          </cell>
          <cell r="E3696" t="str">
            <v>KH127</v>
          </cell>
          <cell r="F3696">
            <v>11900</v>
          </cell>
          <cell r="G3696">
            <v>122.48</v>
          </cell>
          <cell r="H3696">
            <v>1.1000000000000001</v>
          </cell>
          <cell r="I3696" t="str">
            <v>From M4A to M1A - 25°</v>
          </cell>
          <cell r="J3696" t="str">
            <v>IE3</v>
          </cell>
          <cell r="K3696" t="str">
            <v>400/690</v>
          </cell>
          <cell r="L3696">
            <v>50</v>
          </cell>
          <cell r="M3696" t="str">
            <v>29/16,7</v>
          </cell>
          <cell r="N3696">
            <v>55</v>
          </cell>
          <cell r="O3696" t="str">
            <v>155(F)</v>
          </cell>
          <cell r="P3696" t="str">
            <v>270°</v>
          </cell>
          <cell r="Q3696" t="str">
            <v>TF</v>
          </cell>
          <cell r="R3696" t="str">
            <v>V(VE)</v>
          </cell>
          <cell r="S3696" t="str">
            <v>-</v>
          </cell>
          <cell r="T3696" t="str">
            <v>-</v>
          </cell>
          <cell r="U3696" t="str">
            <v>T</v>
          </cell>
          <cell r="V3696" t="str">
            <v>FC</v>
          </cell>
          <cell r="W3696" t="str">
            <v>-</v>
          </cell>
          <cell r="X3696" t="str">
            <v>CLP 220 (-15/+40°C)</v>
          </cell>
          <cell r="Y3696" t="str">
            <v>KH127/T DRN160L4 /TF/V</v>
          </cell>
          <cell r="Z3696" t="str">
            <v>SEW</v>
          </cell>
          <cell r="AB3696" t="str">
            <v>-</v>
          </cell>
          <cell r="AF3696">
            <v>12</v>
          </cell>
          <cell r="AG3696" t="str">
            <v>DRN160L4</v>
          </cell>
          <cell r="AH3696" t="str">
            <v>KH127T-DRN160L4A270-X#</v>
          </cell>
        </row>
        <row r="3697">
          <cell r="A3697" t="str">
            <v>MR003686</v>
          </cell>
          <cell r="B3697" t="str">
            <v>MR</v>
          </cell>
          <cell r="C3697">
            <v>15</v>
          </cell>
          <cell r="D3697">
            <v>12</v>
          </cell>
          <cell r="E3697" t="str">
            <v>KH127</v>
          </cell>
          <cell r="F3697">
            <v>11900</v>
          </cell>
          <cell r="G3697">
            <v>122.48</v>
          </cell>
          <cell r="H3697">
            <v>1.1000000000000001</v>
          </cell>
          <cell r="I3697" t="str">
            <v>From M4B to M1B - 25°</v>
          </cell>
          <cell r="J3697" t="str">
            <v>IE3</v>
          </cell>
          <cell r="K3697" t="str">
            <v>400/690</v>
          </cell>
          <cell r="L3697">
            <v>50</v>
          </cell>
          <cell r="M3697" t="str">
            <v>29/16,7</v>
          </cell>
          <cell r="N3697">
            <v>55</v>
          </cell>
          <cell r="O3697" t="str">
            <v>155(F)</v>
          </cell>
          <cell r="P3697" t="str">
            <v>270°</v>
          </cell>
          <cell r="Q3697" t="str">
            <v>TF</v>
          </cell>
          <cell r="R3697" t="str">
            <v>V(VE)</v>
          </cell>
          <cell r="S3697" t="str">
            <v>-</v>
          </cell>
          <cell r="T3697" t="str">
            <v>-</v>
          </cell>
          <cell r="U3697" t="str">
            <v>T</v>
          </cell>
          <cell r="V3697" t="str">
            <v>FC</v>
          </cell>
          <cell r="W3697" t="str">
            <v>-</v>
          </cell>
          <cell r="X3697" t="str">
            <v>CLP 220 (-15/+40°C)</v>
          </cell>
          <cell r="Y3697" t="str">
            <v>KH127/T DRN160L4 /TF/V</v>
          </cell>
          <cell r="Z3697" t="str">
            <v>SEW</v>
          </cell>
          <cell r="AB3697" t="str">
            <v>-</v>
          </cell>
          <cell r="AF3697">
            <v>12</v>
          </cell>
          <cell r="AG3697" t="str">
            <v>DRN160L4</v>
          </cell>
          <cell r="AH3697" t="str">
            <v>KH127T-DRN160L4B270-X#</v>
          </cell>
        </row>
        <row r="3698">
          <cell r="A3698" t="str">
            <v>MR003687</v>
          </cell>
          <cell r="B3698" t="str">
            <v>MR</v>
          </cell>
          <cell r="C3698">
            <v>18.5</v>
          </cell>
          <cell r="D3698">
            <v>16</v>
          </cell>
          <cell r="E3698" t="str">
            <v>KH127</v>
          </cell>
          <cell r="F3698">
            <v>10700</v>
          </cell>
          <cell r="G3698">
            <v>89.89</v>
          </cell>
          <cell r="H3698">
            <v>1.2</v>
          </cell>
          <cell r="I3698" t="str">
            <v>From M4A to M1A - 35°</v>
          </cell>
          <cell r="J3698" t="str">
            <v>IE3</v>
          </cell>
          <cell r="K3698" t="str">
            <v>400/690</v>
          </cell>
          <cell r="L3698">
            <v>50</v>
          </cell>
          <cell r="M3698" t="str">
            <v>33,5/19,3</v>
          </cell>
          <cell r="N3698">
            <v>55</v>
          </cell>
          <cell r="O3698" t="str">
            <v>155(F)</v>
          </cell>
          <cell r="P3698" t="str">
            <v>270°</v>
          </cell>
          <cell r="Q3698" t="str">
            <v>TF</v>
          </cell>
          <cell r="R3698" t="str">
            <v>V(VE)</v>
          </cell>
          <cell r="S3698" t="str">
            <v>-</v>
          </cell>
          <cell r="T3698" t="str">
            <v>-</v>
          </cell>
          <cell r="U3698" t="str">
            <v>-</v>
          </cell>
          <cell r="V3698" t="str">
            <v>FC</v>
          </cell>
          <cell r="W3698" t="str">
            <v>-</v>
          </cell>
          <cell r="X3698" t="str">
            <v>CLP 220 (-15/+40°C)</v>
          </cell>
          <cell r="Y3698" t="str">
            <v>KH127DRN180M4 /TF/V</v>
          </cell>
          <cell r="Z3698" t="str">
            <v>SEW</v>
          </cell>
          <cell r="AB3698" t="str">
            <v>-</v>
          </cell>
          <cell r="AF3698">
            <v>16</v>
          </cell>
          <cell r="AG3698" t="str">
            <v>DRN180M4</v>
          </cell>
          <cell r="AH3698" t="str">
            <v>KH127-DRN180M4A270-X#</v>
          </cell>
        </row>
        <row r="3699">
          <cell r="A3699" t="str">
            <v>MR003688</v>
          </cell>
          <cell r="B3699" t="str">
            <v>MR</v>
          </cell>
          <cell r="C3699">
            <v>18.5</v>
          </cell>
          <cell r="D3699">
            <v>16</v>
          </cell>
          <cell r="E3699" t="str">
            <v>KH127</v>
          </cell>
          <cell r="F3699">
            <v>10700</v>
          </cell>
          <cell r="G3699">
            <v>89.89</v>
          </cell>
          <cell r="H3699">
            <v>1.2</v>
          </cell>
          <cell r="I3699" t="str">
            <v>From M4B to M1B - 35°</v>
          </cell>
          <cell r="J3699" t="str">
            <v>IE3</v>
          </cell>
          <cell r="K3699" t="str">
            <v>400/690</v>
          </cell>
          <cell r="L3699">
            <v>50</v>
          </cell>
          <cell r="M3699" t="str">
            <v>33,5/19,3</v>
          </cell>
          <cell r="N3699">
            <v>55</v>
          </cell>
          <cell r="O3699" t="str">
            <v>155(F)</v>
          </cell>
          <cell r="P3699" t="str">
            <v>270°</v>
          </cell>
          <cell r="Q3699" t="str">
            <v>TF</v>
          </cell>
          <cell r="R3699" t="str">
            <v>V(VE)</v>
          </cell>
          <cell r="S3699" t="str">
            <v>-</v>
          </cell>
          <cell r="T3699" t="str">
            <v>-</v>
          </cell>
          <cell r="U3699" t="str">
            <v>-</v>
          </cell>
          <cell r="V3699" t="str">
            <v>FC</v>
          </cell>
          <cell r="W3699" t="str">
            <v>-</v>
          </cell>
          <cell r="X3699" t="str">
            <v>CLP 220 (-15/+40°C)</v>
          </cell>
          <cell r="Y3699" t="str">
            <v>KH127DRN180M4 /TF/V</v>
          </cell>
          <cell r="Z3699" t="str">
            <v>SEW</v>
          </cell>
          <cell r="AB3699" t="str">
            <v>-</v>
          </cell>
          <cell r="AF3699">
            <v>16</v>
          </cell>
          <cell r="AG3699" t="str">
            <v>DRN180M4</v>
          </cell>
          <cell r="AH3699" t="str">
            <v>KH127-DRN180M4B270-X#</v>
          </cell>
        </row>
        <row r="3700">
          <cell r="A3700" t="str">
            <v>MR003689</v>
          </cell>
          <cell r="B3700" t="str">
            <v>MR</v>
          </cell>
          <cell r="C3700">
            <v>4</v>
          </cell>
          <cell r="D3700">
            <v>61</v>
          </cell>
          <cell r="E3700" t="str">
            <v>KH67</v>
          </cell>
          <cell r="F3700">
            <v>625</v>
          </cell>
          <cell r="G3700">
            <v>24</v>
          </cell>
          <cell r="H3700">
            <v>1.3</v>
          </cell>
          <cell r="I3700" t="str">
            <v>M4B</v>
          </cell>
          <cell r="J3700" t="str">
            <v>IE3</v>
          </cell>
          <cell r="K3700" t="str">
            <v>230/400</v>
          </cell>
          <cell r="L3700">
            <v>50</v>
          </cell>
          <cell r="M3700" t="str">
            <v>13,8/7,9</v>
          </cell>
          <cell r="N3700">
            <v>55</v>
          </cell>
          <cell r="O3700" t="str">
            <v>155(F)</v>
          </cell>
          <cell r="P3700" t="str">
            <v>270°</v>
          </cell>
          <cell r="Q3700" t="str">
            <v>-</v>
          </cell>
          <cell r="R3700" t="str">
            <v>-</v>
          </cell>
          <cell r="S3700" t="str">
            <v>-</v>
          </cell>
          <cell r="T3700" t="str">
            <v>-</v>
          </cell>
          <cell r="U3700" t="str">
            <v>T</v>
          </cell>
          <cell r="V3700" t="str">
            <v>D</v>
          </cell>
          <cell r="W3700" t="str">
            <v>-</v>
          </cell>
          <cell r="X3700" t="str">
            <v>CLP 220 (-15/+40°C)</v>
          </cell>
          <cell r="Y3700" t="str">
            <v>KH67/T DRN112M4</v>
          </cell>
          <cell r="Z3700" t="str">
            <v>SEW</v>
          </cell>
          <cell r="AB3700" t="str">
            <v>-</v>
          </cell>
          <cell r="AF3700">
            <v>61</v>
          </cell>
          <cell r="AG3700" t="str">
            <v>DRN112M4</v>
          </cell>
          <cell r="AH3700" t="str">
            <v>KH67T-DRN112M4B270-X</v>
          </cell>
        </row>
        <row r="3701">
          <cell r="A3701" t="str">
            <v>MR003690</v>
          </cell>
          <cell r="B3701" t="str">
            <v>MR</v>
          </cell>
          <cell r="C3701">
            <v>0.37</v>
          </cell>
          <cell r="D3701">
            <v>6.2</v>
          </cell>
          <cell r="E3701" t="str">
            <v>FA67</v>
          </cell>
          <cell r="F3701">
            <v>570</v>
          </cell>
          <cell r="G3701">
            <v>229</v>
          </cell>
          <cell r="H3701">
            <v>1.45</v>
          </cell>
          <cell r="I3701" t="str">
            <v>M6</v>
          </cell>
          <cell r="J3701" t="str">
            <v>IE3</v>
          </cell>
          <cell r="K3701" t="str">
            <v>230/400</v>
          </cell>
          <cell r="L3701">
            <v>50</v>
          </cell>
          <cell r="M3701" t="str">
            <v>1,78/1,02</v>
          </cell>
          <cell r="N3701">
            <v>55</v>
          </cell>
          <cell r="O3701" t="str">
            <v>155(F)</v>
          </cell>
          <cell r="P3701" t="str">
            <v>270°</v>
          </cell>
          <cell r="Q3701" t="str">
            <v>-</v>
          </cell>
          <cell r="R3701" t="str">
            <v>-</v>
          </cell>
          <cell r="S3701" t="str">
            <v>-</v>
          </cell>
          <cell r="T3701" t="str">
            <v>-</v>
          </cell>
          <cell r="U3701" t="str">
            <v>G</v>
          </cell>
          <cell r="V3701" t="str">
            <v>D</v>
          </cell>
          <cell r="W3701" t="str">
            <v>-</v>
          </cell>
          <cell r="X3701" t="str">
            <v>CLP 220 (-15/+40°C)</v>
          </cell>
          <cell r="Y3701" t="str">
            <v>FA67/G DRN71M4</v>
          </cell>
          <cell r="Z3701" t="str">
            <v>SEW</v>
          </cell>
          <cell r="AB3701" t="str">
            <v>-</v>
          </cell>
          <cell r="AF3701">
            <v>6.2</v>
          </cell>
          <cell r="AG3701" t="str">
            <v>DRN71M4</v>
          </cell>
          <cell r="AH3701" t="str">
            <v>FA67G-DRN71M4270-X</v>
          </cell>
        </row>
        <row r="3702">
          <cell r="A3702" t="str">
            <v>MR003691</v>
          </cell>
          <cell r="B3702" t="str">
            <v>MR</v>
          </cell>
          <cell r="C3702">
            <v>7.5</v>
          </cell>
          <cell r="D3702">
            <v>64</v>
          </cell>
          <cell r="E3702" t="str">
            <v>K77</v>
          </cell>
          <cell r="F3702">
            <v>1120</v>
          </cell>
          <cell r="G3702">
            <v>23.08</v>
          </cell>
          <cell r="H3702">
            <v>1.4</v>
          </cell>
          <cell r="I3702" t="str">
            <v>M4B</v>
          </cell>
          <cell r="J3702" t="str">
            <v>IE3</v>
          </cell>
          <cell r="K3702" t="str">
            <v>400/690</v>
          </cell>
          <cell r="L3702">
            <v>50</v>
          </cell>
          <cell r="M3702" t="str">
            <v>15,2/8,8</v>
          </cell>
          <cell r="N3702">
            <v>55</v>
          </cell>
          <cell r="O3702" t="str">
            <v>155(F)</v>
          </cell>
          <cell r="P3702" t="str">
            <v>270°</v>
          </cell>
          <cell r="Q3702" t="str">
            <v>TF</v>
          </cell>
          <cell r="R3702" t="str">
            <v>V(VE)</v>
          </cell>
          <cell r="S3702" t="str">
            <v>-</v>
          </cell>
          <cell r="T3702" t="str">
            <v>-</v>
          </cell>
          <cell r="U3702" t="str">
            <v>-</v>
          </cell>
          <cell r="V3702" t="str">
            <v>FC+R</v>
          </cell>
          <cell r="W3702" t="str">
            <v>-</v>
          </cell>
          <cell r="X3702" t="str">
            <v>CLP 220 (-15/+40°C)</v>
          </cell>
          <cell r="Y3702" t="str">
            <v>K77DRN132M4 /TF/V</v>
          </cell>
          <cell r="Z3702" t="str">
            <v>SEW</v>
          </cell>
          <cell r="AB3702" t="str">
            <v>-</v>
          </cell>
          <cell r="AF3702">
            <v>64</v>
          </cell>
          <cell r="AG3702" t="str">
            <v>DRN132M4</v>
          </cell>
          <cell r="AH3702" t="str">
            <v>K77-DRN132M4B270-X#</v>
          </cell>
        </row>
        <row r="3703">
          <cell r="A3703" t="str">
            <v>MR003692</v>
          </cell>
          <cell r="B3703" t="str">
            <v>MR</v>
          </cell>
          <cell r="C3703">
            <v>2.2000000000000002</v>
          </cell>
          <cell r="D3703">
            <v>95</v>
          </cell>
          <cell r="E3703" t="str">
            <v>KH67</v>
          </cell>
          <cell r="F3703">
            <v>220</v>
          </cell>
          <cell r="G3703">
            <v>15.19</v>
          </cell>
          <cell r="H3703">
            <v>3.2</v>
          </cell>
          <cell r="I3703" t="str">
            <v>M1B</v>
          </cell>
          <cell r="J3703" t="str">
            <v>IE3</v>
          </cell>
          <cell r="K3703" t="str">
            <v>230/400</v>
          </cell>
          <cell r="L3703">
            <v>50</v>
          </cell>
          <cell r="M3703" t="str">
            <v>8,3/4,75</v>
          </cell>
          <cell r="N3703">
            <v>55</v>
          </cell>
          <cell r="O3703" t="str">
            <v>155(F)</v>
          </cell>
          <cell r="P3703" t="str">
            <v>270°</v>
          </cell>
          <cell r="Q3703" t="str">
            <v>-</v>
          </cell>
          <cell r="R3703" t="str">
            <v>-</v>
          </cell>
          <cell r="S3703" t="str">
            <v>-</v>
          </cell>
          <cell r="T3703" t="str">
            <v>-</v>
          </cell>
          <cell r="U3703" t="str">
            <v>T</v>
          </cell>
          <cell r="V3703" t="str">
            <v>D</v>
          </cell>
          <cell r="W3703" t="str">
            <v>-</v>
          </cell>
          <cell r="X3703" t="str">
            <v>CLP 220 (-15/+40°C)</v>
          </cell>
          <cell r="Y3703" t="str">
            <v>KH67/T DRN100LS4</v>
          </cell>
          <cell r="Z3703" t="str">
            <v>SEW</v>
          </cell>
          <cell r="AB3703" t="str">
            <v>-</v>
          </cell>
          <cell r="AF3703">
            <v>95</v>
          </cell>
          <cell r="AG3703" t="str">
            <v>DRN100LS4</v>
          </cell>
          <cell r="AH3703" t="str">
            <v>KH67T-DRN100LS4B270-X</v>
          </cell>
        </row>
        <row r="3704">
          <cell r="A3704" t="str">
            <v>MR003693</v>
          </cell>
          <cell r="B3704" t="str">
            <v>MR</v>
          </cell>
          <cell r="C3704">
            <v>15</v>
          </cell>
          <cell r="D3704">
            <v>59</v>
          </cell>
          <cell r="E3704" t="str">
            <v>R97</v>
          </cell>
          <cell r="F3704">
            <v>2430</v>
          </cell>
          <cell r="G3704">
            <v>25.03</v>
          </cell>
          <cell r="H3704">
            <v>1.1499999999999999</v>
          </cell>
          <cell r="I3704" t="str">
            <v>M1</v>
          </cell>
          <cell r="J3704" t="str">
            <v>IE3</v>
          </cell>
          <cell r="K3704" t="str">
            <v>400/690</v>
          </cell>
          <cell r="L3704">
            <v>50</v>
          </cell>
          <cell r="M3704" t="str">
            <v>29/16,7</v>
          </cell>
          <cell r="N3704">
            <v>55</v>
          </cell>
          <cell r="O3704" t="str">
            <v>155(F)</v>
          </cell>
          <cell r="P3704" t="str">
            <v>270°</v>
          </cell>
          <cell r="Q3704" t="str">
            <v>-</v>
          </cell>
          <cell r="R3704" t="str">
            <v>-</v>
          </cell>
          <cell r="S3704" t="str">
            <v>-</v>
          </cell>
          <cell r="T3704" t="str">
            <v>-</v>
          </cell>
          <cell r="U3704" t="str">
            <v>-</v>
          </cell>
          <cell r="V3704" t="str">
            <v>D</v>
          </cell>
          <cell r="W3704" t="str">
            <v>-</v>
          </cell>
          <cell r="X3704" t="str">
            <v>CLP 220 (-15/+40°C)</v>
          </cell>
          <cell r="Y3704" t="str">
            <v>R97DRN160L4</v>
          </cell>
          <cell r="Z3704" t="str">
            <v>SEW</v>
          </cell>
          <cell r="AB3704" t="str">
            <v>-</v>
          </cell>
          <cell r="AF3704">
            <v>59</v>
          </cell>
          <cell r="AG3704" t="str">
            <v>DRN160L4</v>
          </cell>
          <cell r="AH3704" t="str">
            <v>R97-DRN160L4270-X</v>
          </cell>
        </row>
        <row r="3705">
          <cell r="A3705" t="str">
            <v>MR003694</v>
          </cell>
          <cell r="B3705" t="str">
            <v>MR</v>
          </cell>
          <cell r="C3705">
            <v>30</v>
          </cell>
          <cell r="D3705">
            <v>16</v>
          </cell>
          <cell r="E3705" t="str">
            <v>KH157</v>
          </cell>
          <cell r="F3705">
            <v>17700</v>
          </cell>
          <cell r="G3705">
            <v>91.65</v>
          </cell>
          <cell r="H3705">
            <v>1.1499999999999999</v>
          </cell>
          <cell r="I3705" t="str">
            <v>From M4A to M1A - 35°</v>
          </cell>
          <cell r="J3705" t="str">
            <v>IE3</v>
          </cell>
          <cell r="K3705" t="str">
            <v>400/690</v>
          </cell>
          <cell r="L3705">
            <v>50</v>
          </cell>
          <cell r="M3705" t="str">
            <v>56/32,5</v>
          </cell>
          <cell r="N3705">
            <v>55</v>
          </cell>
          <cell r="O3705" t="str">
            <v>155(F)</v>
          </cell>
          <cell r="P3705" t="str">
            <v>270°</v>
          </cell>
          <cell r="Q3705" t="str">
            <v>TF</v>
          </cell>
          <cell r="R3705" t="str">
            <v>V(VE)</v>
          </cell>
          <cell r="S3705" t="str">
            <v>-</v>
          </cell>
          <cell r="T3705" t="str">
            <v>-</v>
          </cell>
          <cell r="U3705" t="str">
            <v>-</v>
          </cell>
          <cell r="V3705" t="str">
            <v>FC</v>
          </cell>
          <cell r="W3705" t="str">
            <v>-</v>
          </cell>
          <cell r="X3705" t="str">
            <v>CLP 220 (-15/+40°C)</v>
          </cell>
          <cell r="Y3705" t="str">
            <v>KH157DRN200L4 /TF/V</v>
          </cell>
          <cell r="Z3705" t="str">
            <v>SEW</v>
          </cell>
          <cell r="AB3705" t="str">
            <v>-</v>
          </cell>
          <cell r="AF3705">
            <v>16</v>
          </cell>
          <cell r="AG3705" t="str">
            <v>DRN200L4</v>
          </cell>
          <cell r="AH3705" t="str">
            <v>KH157-DRN200L4A270-X#</v>
          </cell>
        </row>
        <row r="3706">
          <cell r="A3706" t="str">
            <v>MR003695</v>
          </cell>
          <cell r="B3706" t="str">
            <v>MR</v>
          </cell>
          <cell r="C3706">
            <v>22</v>
          </cell>
          <cell r="D3706">
            <v>16</v>
          </cell>
          <cell r="E3706" t="str">
            <v>KH157</v>
          </cell>
          <cell r="F3706">
            <v>13000</v>
          </cell>
          <cell r="G3706">
            <v>91.65</v>
          </cell>
          <cell r="H3706">
            <v>1.55</v>
          </cell>
          <cell r="I3706" t="str">
            <v>M4A</v>
          </cell>
          <cell r="J3706" t="str">
            <v>IE3</v>
          </cell>
          <cell r="K3706" t="str">
            <v>400/690</v>
          </cell>
          <cell r="L3706">
            <v>50</v>
          </cell>
          <cell r="M3706" t="str">
            <v>38,5/22,5</v>
          </cell>
          <cell r="N3706">
            <v>55</v>
          </cell>
          <cell r="O3706" t="str">
            <v>155(F)</v>
          </cell>
          <cell r="P3706" t="str">
            <v>270°</v>
          </cell>
          <cell r="Q3706" t="str">
            <v>TF</v>
          </cell>
          <cell r="R3706" t="str">
            <v>V(VE)</v>
          </cell>
          <cell r="S3706" t="str">
            <v>-</v>
          </cell>
          <cell r="T3706" t="str">
            <v>-</v>
          </cell>
          <cell r="U3706" t="str">
            <v>-</v>
          </cell>
          <cell r="V3706" t="str">
            <v>FC</v>
          </cell>
          <cell r="W3706" t="str">
            <v>-</v>
          </cell>
          <cell r="X3706" t="str">
            <v>CLP 220 (-15/+40°C)</v>
          </cell>
          <cell r="Y3706" t="str">
            <v>KH157DRN180L4 /TF/V</v>
          </cell>
          <cell r="Z3706" t="str">
            <v>SEW</v>
          </cell>
          <cell r="AB3706" t="str">
            <v>-</v>
          </cell>
          <cell r="AF3706">
            <v>16</v>
          </cell>
          <cell r="AG3706" t="str">
            <v>DRN180L4</v>
          </cell>
          <cell r="AH3706" t="str">
            <v>KH157-DRN180L4A270-X#</v>
          </cell>
        </row>
        <row r="3707">
          <cell r="A3707" t="str">
            <v>MR003696</v>
          </cell>
          <cell r="B3707" t="str">
            <v>MR</v>
          </cell>
          <cell r="C3707">
            <v>4</v>
          </cell>
          <cell r="D3707">
            <v>10</v>
          </cell>
          <cell r="E3707" t="str">
            <v>FH97</v>
          </cell>
          <cell r="F3707">
            <v>3670</v>
          </cell>
          <cell r="G3707">
            <v>140.71</v>
          </cell>
          <cell r="H3707">
            <v>1.1499999999999999</v>
          </cell>
          <cell r="I3707" t="str">
            <v>From M1 to M4 - 15°</v>
          </cell>
          <cell r="J3707" t="str">
            <v>IE3</v>
          </cell>
          <cell r="K3707" t="str">
            <v>230/400</v>
          </cell>
          <cell r="L3707">
            <v>50</v>
          </cell>
          <cell r="M3707" t="str">
            <v>13,8/7,9</v>
          </cell>
          <cell r="N3707">
            <v>65</v>
          </cell>
          <cell r="O3707" t="str">
            <v>155(F)</v>
          </cell>
          <cell r="P3707" t="str">
            <v>270°</v>
          </cell>
          <cell r="Q3707" t="str">
            <v>TF</v>
          </cell>
          <cell r="R3707" t="str">
            <v>-</v>
          </cell>
          <cell r="S3707" t="str">
            <v>-</v>
          </cell>
          <cell r="T3707" t="str">
            <v>-</v>
          </cell>
          <cell r="U3707" t="str">
            <v>G</v>
          </cell>
          <cell r="V3707" t="str">
            <v>D</v>
          </cell>
          <cell r="W3707" t="str">
            <v>-</v>
          </cell>
          <cell r="X3707" t="str">
            <v>CLP HC 220 (-25/+60°C)</v>
          </cell>
          <cell r="Y3707" t="str">
            <v>FH97/G DRN112M4 /TF</v>
          </cell>
          <cell r="Z3707" t="str">
            <v>SEW</v>
          </cell>
          <cell r="AB3707" t="str">
            <v>-</v>
          </cell>
          <cell r="AF3707">
            <v>10</v>
          </cell>
          <cell r="AG3707" t="str">
            <v>DRN112M4</v>
          </cell>
          <cell r="AH3707" t="str">
            <v>FH97G-DRN112M4270-X</v>
          </cell>
        </row>
        <row r="3708">
          <cell r="A3708" t="str">
            <v>MR003697</v>
          </cell>
          <cell r="B3708" t="str">
            <v>MR</v>
          </cell>
          <cell r="C3708">
            <v>5.5</v>
          </cell>
          <cell r="D3708">
            <v>62</v>
          </cell>
          <cell r="E3708" t="str">
            <v>R87</v>
          </cell>
          <cell r="F3708">
            <v>840</v>
          </cell>
          <cell r="G3708">
            <v>23.4</v>
          </cell>
          <cell r="H3708">
            <v>1.85</v>
          </cell>
          <cell r="I3708" t="str">
            <v>From M1 to M2 - 15°</v>
          </cell>
          <cell r="J3708" t="str">
            <v>IE3</v>
          </cell>
          <cell r="K3708" t="str">
            <v>230/400</v>
          </cell>
          <cell r="L3708">
            <v>50</v>
          </cell>
          <cell r="M3708" t="str">
            <v>18,2/10,5</v>
          </cell>
          <cell r="N3708">
            <v>55</v>
          </cell>
          <cell r="O3708" t="str">
            <v>155(F)</v>
          </cell>
          <cell r="P3708" t="str">
            <v>270°</v>
          </cell>
          <cell r="Q3708" t="str">
            <v>-</v>
          </cell>
          <cell r="R3708" t="str">
            <v>-</v>
          </cell>
          <cell r="S3708" t="str">
            <v>-</v>
          </cell>
          <cell r="T3708" t="str">
            <v>-</v>
          </cell>
          <cell r="U3708" t="str">
            <v>-</v>
          </cell>
          <cell r="V3708" t="str">
            <v>D</v>
          </cell>
          <cell r="W3708" t="str">
            <v>-</v>
          </cell>
          <cell r="X3708" t="str">
            <v>CLP 220 (-15/+40°C)</v>
          </cell>
          <cell r="Y3708" t="str">
            <v>R87DRN132S4</v>
          </cell>
          <cell r="Z3708" t="str">
            <v>SEW</v>
          </cell>
          <cell r="AB3708" t="str">
            <v>-</v>
          </cell>
          <cell r="AF3708">
            <v>62</v>
          </cell>
          <cell r="AG3708" t="str">
            <v>DRN132S4</v>
          </cell>
          <cell r="AH3708" t="str">
            <v>R87-DRN132S4270-X</v>
          </cell>
        </row>
        <row r="3709">
          <cell r="A3709" t="str">
            <v>MR003698</v>
          </cell>
          <cell r="B3709" t="str">
            <v>MR</v>
          </cell>
          <cell r="C3709">
            <v>0.55000000000000004</v>
          </cell>
          <cell r="D3709">
            <v>4.0999999999999996</v>
          </cell>
          <cell r="E3709" t="str">
            <v>FA77R37</v>
          </cell>
          <cell r="F3709">
            <v>1160</v>
          </cell>
          <cell r="G3709">
            <v>346</v>
          </cell>
          <cell r="H3709">
            <v>0.95</v>
          </cell>
          <cell r="I3709" t="str">
            <v>M1</v>
          </cell>
          <cell r="J3709" t="str">
            <v>IE3</v>
          </cell>
          <cell r="K3709" t="str">
            <v>230/400</v>
          </cell>
          <cell r="L3709">
            <v>50</v>
          </cell>
          <cell r="M3709" t="str">
            <v>2,25/1,29</v>
          </cell>
          <cell r="N3709">
            <v>55</v>
          </cell>
          <cell r="O3709" t="str">
            <v>155(F)</v>
          </cell>
          <cell r="P3709" t="str">
            <v>270°</v>
          </cell>
          <cell r="Q3709" t="str">
            <v>TF</v>
          </cell>
          <cell r="R3709" t="str">
            <v>V(VE)</v>
          </cell>
          <cell r="S3709" t="str">
            <v>-</v>
          </cell>
          <cell r="T3709" t="str">
            <v>-</v>
          </cell>
          <cell r="U3709" t="str">
            <v>G</v>
          </cell>
          <cell r="V3709" t="str">
            <v>FC</v>
          </cell>
          <cell r="W3709" t="str">
            <v>-</v>
          </cell>
          <cell r="X3709" t="str">
            <v>CLP 220 (-15/+40°C)</v>
          </cell>
          <cell r="Y3709" t="str">
            <v>FA77R37/G DRN80MK4 /TF/V</v>
          </cell>
          <cell r="Z3709" t="str">
            <v>SEW</v>
          </cell>
          <cell r="AB3709" t="str">
            <v>-</v>
          </cell>
          <cell r="AF3709">
            <v>4.0999999999999996</v>
          </cell>
          <cell r="AG3709" t="str">
            <v>DRN80MK4</v>
          </cell>
          <cell r="AH3709" t="str">
            <v>FA77R37G-DRN80MK4270-X#</v>
          </cell>
        </row>
        <row r="3710">
          <cell r="A3710" t="str">
            <v>MR003699</v>
          </cell>
          <cell r="B3710" t="str">
            <v>MR</v>
          </cell>
          <cell r="C3710">
            <v>22</v>
          </cell>
          <cell r="D3710">
            <v>12</v>
          </cell>
          <cell r="E3710" t="str">
            <v>KH157</v>
          </cell>
          <cell r="F3710">
            <v>17400</v>
          </cell>
          <cell r="G3710">
            <v>122.39</v>
          </cell>
          <cell r="H3710">
            <v>1.1499999999999999</v>
          </cell>
          <cell r="I3710" t="str">
            <v>From M1A to M4A - 60°</v>
          </cell>
          <cell r="J3710" t="str">
            <v>IE3</v>
          </cell>
          <cell r="K3710" t="str">
            <v>400/690</v>
          </cell>
          <cell r="L3710">
            <v>50</v>
          </cell>
          <cell r="M3710" t="str">
            <v>38,5/22,5</v>
          </cell>
          <cell r="N3710">
            <v>65</v>
          </cell>
          <cell r="O3710" t="str">
            <v>155(F)</v>
          </cell>
          <cell r="P3710" t="str">
            <v>270°</v>
          </cell>
          <cell r="Q3710" t="str">
            <v>TF</v>
          </cell>
          <cell r="R3710" t="str">
            <v>V(VE)</v>
          </cell>
          <cell r="S3710" t="str">
            <v>-</v>
          </cell>
          <cell r="T3710" t="str">
            <v>-</v>
          </cell>
          <cell r="U3710" t="str">
            <v>T</v>
          </cell>
          <cell r="V3710" t="str">
            <v>FC</v>
          </cell>
          <cell r="W3710" t="str">
            <v>-</v>
          </cell>
          <cell r="X3710" t="str">
            <v>CLP HC 150 (-30/+50°C)</v>
          </cell>
          <cell r="Y3710" t="str">
            <v>KH157/T DRN180L4 /TF/V</v>
          </cell>
          <cell r="Z3710" t="str">
            <v>SEW</v>
          </cell>
          <cell r="AB3710" t="str">
            <v>-</v>
          </cell>
          <cell r="AF3710">
            <v>12</v>
          </cell>
          <cell r="AG3710" t="str">
            <v>DRN180L4</v>
          </cell>
          <cell r="AH3710" t="str">
            <v>KH157T-DRN180L4A270-X#</v>
          </cell>
        </row>
        <row r="3711">
          <cell r="A3711" t="str">
            <v>MR003700</v>
          </cell>
          <cell r="B3711" t="str">
            <v>MR</v>
          </cell>
          <cell r="C3711">
            <v>22</v>
          </cell>
          <cell r="D3711">
            <v>12</v>
          </cell>
          <cell r="E3711" t="str">
            <v>KH157</v>
          </cell>
          <cell r="F3711">
            <v>17400</v>
          </cell>
          <cell r="G3711">
            <v>122.39</v>
          </cell>
          <cell r="H3711">
            <v>1.1499999999999999</v>
          </cell>
          <cell r="I3711" t="str">
            <v>From M1B to M4B - 60°</v>
          </cell>
          <cell r="J3711" t="str">
            <v>IE3</v>
          </cell>
          <cell r="K3711" t="str">
            <v>400/690</v>
          </cell>
          <cell r="L3711">
            <v>50</v>
          </cell>
          <cell r="M3711" t="str">
            <v>38,5/22,5</v>
          </cell>
          <cell r="N3711">
            <v>65</v>
          </cell>
          <cell r="O3711" t="str">
            <v>155(F)</v>
          </cell>
          <cell r="P3711" t="str">
            <v>270°</v>
          </cell>
          <cell r="Q3711" t="str">
            <v>TF</v>
          </cell>
          <cell r="R3711" t="str">
            <v>V(VE)</v>
          </cell>
          <cell r="S3711" t="str">
            <v>-</v>
          </cell>
          <cell r="T3711" t="str">
            <v>-</v>
          </cell>
          <cell r="U3711" t="str">
            <v>T</v>
          </cell>
          <cell r="V3711" t="str">
            <v>FC</v>
          </cell>
          <cell r="W3711" t="str">
            <v>-</v>
          </cell>
          <cell r="X3711" t="str">
            <v>CLP HC 150 (-30/+50°C)</v>
          </cell>
          <cell r="Y3711" t="str">
            <v>KH157/T DRN180L4 /TF/V</v>
          </cell>
          <cell r="Z3711" t="str">
            <v>SEW</v>
          </cell>
          <cell r="AB3711" t="str">
            <v>-</v>
          </cell>
          <cell r="AF3711">
            <v>12</v>
          </cell>
          <cell r="AG3711" t="str">
            <v>DRN180L4</v>
          </cell>
          <cell r="AH3711" t="str">
            <v>KH157T-DRN180L4B270-X#</v>
          </cell>
        </row>
        <row r="3712">
          <cell r="A3712" t="str">
            <v>MR003701</v>
          </cell>
          <cell r="B3712" t="str">
            <v>MR</v>
          </cell>
          <cell r="C3712">
            <v>15</v>
          </cell>
          <cell r="D3712">
            <v>48</v>
          </cell>
          <cell r="E3712" t="str">
            <v>KH97</v>
          </cell>
          <cell r="F3712">
            <v>2990</v>
          </cell>
          <cell r="G3712" t="str">
            <v>30,82</v>
          </cell>
          <cell r="H3712" t="str">
            <v>1,45</v>
          </cell>
          <cell r="I3712" t="str">
            <v>M4A</v>
          </cell>
          <cell r="J3712" t="str">
            <v>IE3</v>
          </cell>
          <cell r="K3712" t="str">
            <v>400/690</v>
          </cell>
          <cell r="L3712">
            <v>50</v>
          </cell>
          <cell r="M3712" t="str">
            <v>29/16,7</v>
          </cell>
          <cell r="N3712">
            <v>65</v>
          </cell>
          <cell r="O3712" t="str">
            <v>155(F)</v>
          </cell>
          <cell r="P3712" t="str">
            <v>270°</v>
          </cell>
          <cell r="Q3712" t="str">
            <v>-</v>
          </cell>
          <cell r="R3712" t="str">
            <v>-</v>
          </cell>
          <cell r="S3712" t="str">
            <v>Free rotation CCW</v>
          </cell>
          <cell r="T3712" t="str">
            <v>-</v>
          </cell>
          <cell r="U3712" t="str">
            <v>T</v>
          </cell>
          <cell r="V3712" t="str">
            <v>SS</v>
          </cell>
          <cell r="W3712" t="str">
            <v>-</v>
          </cell>
          <cell r="X3712" t="str">
            <v>CLP HC 150 (-30/+50°C)</v>
          </cell>
          <cell r="Y3712" t="str">
            <v>KH97/T DRN160L4 /RS</v>
          </cell>
          <cell r="Z3712" t="str">
            <v>SEW</v>
          </cell>
          <cell r="AB3712" t="str">
            <v>-</v>
          </cell>
          <cell r="AF3712">
            <v>48</v>
          </cell>
          <cell r="AG3712" t="str">
            <v>DRN160L4</v>
          </cell>
          <cell r="AH3712" t="str">
            <v>KH97T-DRN160L4A270-X</v>
          </cell>
        </row>
        <row r="3713">
          <cell r="A3713" t="str">
            <v>MR003702</v>
          </cell>
          <cell r="B3713" t="str">
            <v>MR</v>
          </cell>
          <cell r="C3713">
            <v>0.75</v>
          </cell>
          <cell r="D3713">
            <v>162</v>
          </cell>
          <cell r="E3713" t="str">
            <v>KA37</v>
          </cell>
          <cell r="F3713">
            <v>44</v>
          </cell>
          <cell r="G3713">
            <v>8.91</v>
          </cell>
          <cell r="H3713">
            <v>3.6</v>
          </cell>
          <cell r="I3713" t="str">
            <v>From M1A to M2A - 15°</v>
          </cell>
          <cell r="J3713" t="str">
            <v>IE3</v>
          </cell>
          <cell r="K3713" t="str">
            <v>230/400</v>
          </cell>
          <cell r="L3713">
            <v>50</v>
          </cell>
          <cell r="M3713" t="str">
            <v>3,05/1,75</v>
          </cell>
          <cell r="N3713">
            <v>65</v>
          </cell>
          <cell r="O3713" t="str">
            <v>155(F)</v>
          </cell>
          <cell r="P3713" t="str">
            <v>270°</v>
          </cell>
          <cell r="Q3713" t="str">
            <v>-</v>
          </cell>
          <cell r="R3713" t="str">
            <v>-</v>
          </cell>
          <cell r="S3713" t="str">
            <v>-</v>
          </cell>
          <cell r="T3713" t="str">
            <v>-</v>
          </cell>
          <cell r="U3713" t="str">
            <v>T</v>
          </cell>
          <cell r="V3713" t="str">
            <v>D</v>
          </cell>
          <cell r="W3713" t="str">
            <v>-</v>
          </cell>
          <cell r="X3713" t="str">
            <v>CLP HC 150 (-30/+50°C)</v>
          </cell>
          <cell r="Y3713" t="str">
            <v>KA37/T DRN80M4</v>
          </cell>
          <cell r="Z3713" t="str">
            <v>SEW</v>
          </cell>
          <cell r="AB3713" t="str">
            <v>-</v>
          </cell>
          <cell r="AF3713">
            <v>162</v>
          </cell>
          <cell r="AG3713" t="str">
            <v>DRN80M4</v>
          </cell>
          <cell r="AH3713" t="str">
            <v>KA37T-DRN80M4A270-X</v>
          </cell>
        </row>
        <row r="3714">
          <cell r="A3714" t="str">
            <v>MR003703</v>
          </cell>
          <cell r="B3714" t="str">
            <v>MR</v>
          </cell>
          <cell r="C3714">
            <v>5.5</v>
          </cell>
          <cell r="D3714">
            <v>75</v>
          </cell>
          <cell r="E3714" t="str">
            <v>R87</v>
          </cell>
          <cell r="F3714">
            <v>685</v>
          </cell>
          <cell r="G3714">
            <v>19.100000000000001</v>
          </cell>
          <cell r="H3714">
            <v>2.1</v>
          </cell>
          <cell r="I3714" t="str">
            <v>From M1 to M2 - 15°</v>
          </cell>
          <cell r="J3714" t="str">
            <v>IE3</v>
          </cell>
          <cell r="K3714" t="str">
            <v>230/400</v>
          </cell>
          <cell r="L3714">
            <v>50</v>
          </cell>
          <cell r="M3714" t="str">
            <v>18,2/10,5</v>
          </cell>
          <cell r="N3714">
            <v>65</v>
          </cell>
          <cell r="O3714" t="str">
            <v>155(F)</v>
          </cell>
          <cell r="P3714" t="str">
            <v>270°</v>
          </cell>
          <cell r="Q3714" t="str">
            <v>-</v>
          </cell>
          <cell r="R3714" t="str">
            <v>-</v>
          </cell>
          <cell r="S3714" t="str">
            <v>-</v>
          </cell>
          <cell r="T3714" t="str">
            <v>-</v>
          </cell>
          <cell r="U3714" t="str">
            <v>-</v>
          </cell>
          <cell r="V3714" t="str">
            <v>D</v>
          </cell>
          <cell r="W3714" t="str">
            <v>-</v>
          </cell>
          <cell r="X3714" t="str">
            <v>CLP HC 150 (-30/+50°C)</v>
          </cell>
          <cell r="Y3714" t="str">
            <v>R87DRN132S4</v>
          </cell>
          <cell r="Z3714" t="str">
            <v>SEW</v>
          </cell>
          <cell r="AB3714" t="str">
            <v>-</v>
          </cell>
          <cell r="AF3714">
            <v>75</v>
          </cell>
          <cell r="AG3714" t="str">
            <v>DRN132S4</v>
          </cell>
          <cell r="AH3714" t="str">
            <v>R87-DRN132S4270-X</v>
          </cell>
        </row>
        <row r="3715">
          <cell r="A3715" t="str">
            <v>MR003704</v>
          </cell>
          <cell r="B3715" t="str">
            <v>MR</v>
          </cell>
          <cell r="C3715">
            <v>45</v>
          </cell>
          <cell r="D3715">
            <v>33</v>
          </cell>
          <cell r="E3715" t="str">
            <v>R167</v>
          </cell>
          <cell r="F3715">
            <v>13000</v>
          </cell>
          <cell r="G3715" t="str">
            <v>44,87</v>
          </cell>
          <cell r="H3715" t="str">
            <v>1,55</v>
          </cell>
          <cell r="I3715" t="str">
            <v>M1</v>
          </cell>
          <cell r="J3715" t="str">
            <v>IE3</v>
          </cell>
          <cell r="K3715" t="str">
            <v>400/690</v>
          </cell>
          <cell r="L3715">
            <v>50</v>
          </cell>
          <cell r="M3715" t="str">
            <v>81/47</v>
          </cell>
          <cell r="N3715">
            <v>65</v>
          </cell>
          <cell r="O3715" t="str">
            <v>155(F)</v>
          </cell>
          <cell r="P3715" t="str">
            <v>270°</v>
          </cell>
          <cell r="Q3715" t="str">
            <v>-</v>
          </cell>
          <cell r="R3715" t="str">
            <v>-</v>
          </cell>
          <cell r="S3715" t="str">
            <v>Free rotation CCW</v>
          </cell>
          <cell r="T3715" t="str">
            <v>-</v>
          </cell>
          <cell r="U3715" t="str">
            <v>-</v>
          </cell>
          <cell r="V3715" t="str">
            <v>SS</v>
          </cell>
          <cell r="W3715" t="str">
            <v>-</v>
          </cell>
          <cell r="X3715" t="str">
            <v>CLP HC 150 (-30/+50°C)</v>
          </cell>
          <cell r="Y3715" t="str">
            <v>R167DRN225M4 /RS</v>
          </cell>
          <cell r="Z3715" t="str">
            <v>SEW</v>
          </cell>
          <cell r="AB3715" t="str">
            <v>-</v>
          </cell>
          <cell r="AF3715">
            <v>33</v>
          </cell>
          <cell r="AG3715" t="str">
            <v>DRN225M4</v>
          </cell>
          <cell r="AH3715" t="str">
            <v>R167-DRN225M4270-X</v>
          </cell>
        </row>
        <row r="3716">
          <cell r="A3716" t="str">
            <v>MR003705</v>
          </cell>
          <cell r="B3716" t="str">
            <v>MR</v>
          </cell>
          <cell r="C3716">
            <v>9.1999999999999993</v>
          </cell>
          <cell r="D3716">
            <v>15</v>
          </cell>
          <cell r="E3716" t="str">
            <v>KH107</v>
          </cell>
          <cell r="F3716">
            <v>6020</v>
          </cell>
          <cell r="G3716">
            <v>100.75</v>
          </cell>
          <cell r="H3716">
            <v>1.35</v>
          </cell>
          <cell r="I3716" t="str">
            <v>From M1A to M2A - 30°</v>
          </cell>
          <cell r="J3716" t="str">
            <v>IE3</v>
          </cell>
          <cell r="K3716" t="str">
            <v>400/690</v>
          </cell>
          <cell r="L3716">
            <v>50</v>
          </cell>
          <cell r="M3716" t="str">
            <v>18,7/10,8</v>
          </cell>
          <cell r="N3716">
            <v>65</v>
          </cell>
          <cell r="O3716" t="str">
            <v>130 (B)</v>
          </cell>
          <cell r="P3716" t="str">
            <v>180°</v>
          </cell>
          <cell r="Q3716" t="str">
            <v>-</v>
          </cell>
          <cell r="R3716" t="str">
            <v>-</v>
          </cell>
          <cell r="S3716" t="str">
            <v>-</v>
          </cell>
          <cell r="T3716" t="str">
            <v>-</v>
          </cell>
          <cell r="U3716" t="str">
            <v>-</v>
          </cell>
          <cell r="V3716" t="str">
            <v>SS</v>
          </cell>
          <cell r="W3716" t="str">
            <v>-</v>
          </cell>
          <cell r="X3716" t="str">
            <v>CLP HC 220 (-25/+60°C)</v>
          </cell>
          <cell r="Y3716" t="str">
            <v>KH107DRN132L4</v>
          </cell>
          <cell r="Z3716" t="str">
            <v>SEW</v>
          </cell>
          <cell r="AB3716" t="str">
            <v>-</v>
          </cell>
          <cell r="AF3716">
            <v>15</v>
          </cell>
          <cell r="AG3716" t="str">
            <v>DRN132L4</v>
          </cell>
          <cell r="AH3716" t="str">
            <v>KH107-DRN132L4A180-X</v>
          </cell>
        </row>
        <row r="3717">
          <cell r="A3717" t="str">
            <v>MR003706</v>
          </cell>
          <cell r="B3717" t="str">
            <v>MR</v>
          </cell>
          <cell r="C3717">
            <v>11</v>
          </cell>
          <cell r="D3717">
            <v>109</v>
          </cell>
          <cell r="E3717" t="str">
            <v>KH77</v>
          </cell>
          <cell r="F3717">
            <v>960</v>
          </cell>
          <cell r="G3717">
            <v>13.52</v>
          </cell>
          <cell r="H3717">
            <v>1.4</v>
          </cell>
          <cell r="I3717" t="str">
            <v>M4B</v>
          </cell>
          <cell r="J3717" t="str">
            <v>IE3</v>
          </cell>
          <cell r="K3717" t="str">
            <v>400/690</v>
          </cell>
          <cell r="L3717">
            <v>50</v>
          </cell>
          <cell r="M3717" t="str">
            <v>21/12,2</v>
          </cell>
          <cell r="N3717">
            <v>65</v>
          </cell>
          <cell r="O3717" t="str">
            <v>155(F)</v>
          </cell>
          <cell r="P3717" t="str">
            <v>270°</v>
          </cell>
          <cell r="Q3717" t="str">
            <v>TF</v>
          </cell>
          <cell r="R3717" t="str">
            <v>-</v>
          </cell>
          <cell r="S3717" t="str">
            <v>Free rotation CW</v>
          </cell>
          <cell r="T3717" t="str">
            <v>-</v>
          </cell>
          <cell r="U3717" t="str">
            <v>T</v>
          </cell>
          <cell r="V3717" t="str">
            <v>SS</v>
          </cell>
          <cell r="W3717" t="str">
            <v>-</v>
          </cell>
          <cell r="X3717" t="str">
            <v>CLP HC 220 (-25/+60°C)</v>
          </cell>
          <cell r="Y3717" t="str">
            <v>KH77/T DRN160M4 /RS /TF</v>
          </cell>
          <cell r="Z3717" t="str">
            <v>SEW</v>
          </cell>
          <cell r="AB3717" t="str">
            <v>-</v>
          </cell>
          <cell r="AF3717">
            <v>109</v>
          </cell>
          <cell r="AG3717" t="str">
            <v>DRN160M4</v>
          </cell>
          <cell r="AH3717" t="str">
            <v>KH77T-DRN160M4B270-X</v>
          </cell>
        </row>
        <row r="3718">
          <cell r="A3718" t="str">
            <v>MR003707</v>
          </cell>
          <cell r="B3718" t="str">
            <v>MR</v>
          </cell>
          <cell r="C3718">
            <v>0.75</v>
          </cell>
          <cell r="D3718">
            <v>162</v>
          </cell>
          <cell r="E3718" t="str">
            <v>KA37</v>
          </cell>
          <cell r="F3718">
            <v>44</v>
          </cell>
          <cell r="G3718">
            <v>8.91</v>
          </cell>
          <cell r="H3718">
            <v>3.1</v>
          </cell>
          <cell r="I3718" t="str">
            <v>M3B</v>
          </cell>
          <cell r="J3718" t="str">
            <v>IE3</v>
          </cell>
          <cell r="K3718" t="str">
            <v>230/400</v>
          </cell>
          <cell r="L3718">
            <v>50</v>
          </cell>
          <cell r="M3718" t="str">
            <v>3,05/1,75</v>
          </cell>
          <cell r="N3718">
            <v>65</v>
          </cell>
          <cell r="O3718" t="str">
            <v>155(F)</v>
          </cell>
          <cell r="P3718" t="str">
            <v>0°</v>
          </cell>
          <cell r="Q3718" t="str">
            <v>-</v>
          </cell>
          <cell r="R3718" t="str">
            <v>-</v>
          </cell>
          <cell r="S3718" t="str">
            <v>-</v>
          </cell>
          <cell r="T3718" t="str">
            <v>-</v>
          </cell>
          <cell r="U3718" t="str">
            <v>T</v>
          </cell>
          <cell r="V3718" t="str">
            <v>D</v>
          </cell>
          <cell r="W3718" t="str">
            <v>-</v>
          </cell>
          <cell r="X3718" t="str">
            <v>CLP HC 220 (-25/+60°C)</v>
          </cell>
          <cell r="Y3718" t="str">
            <v>KA37/T DRN80M4</v>
          </cell>
          <cell r="Z3718" t="str">
            <v>SEW</v>
          </cell>
          <cell r="AB3718" t="str">
            <v>-</v>
          </cell>
          <cell r="AF3718">
            <v>162</v>
          </cell>
          <cell r="AG3718" t="str">
            <v>DRN80M4</v>
          </cell>
          <cell r="AH3718" t="str">
            <v>KA37T-DRN80M4B0-X</v>
          </cell>
        </row>
        <row r="3719">
          <cell r="A3719" t="str">
            <v>MR003708</v>
          </cell>
          <cell r="B3719" t="str">
            <v>MR</v>
          </cell>
          <cell r="C3719">
            <v>0.37</v>
          </cell>
          <cell r="D3719">
            <v>6.2</v>
          </cell>
          <cell r="E3719" t="str">
            <v>FA67</v>
          </cell>
          <cell r="F3719">
            <v>570</v>
          </cell>
          <cell r="G3719">
            <v>229</v>
          </cell>
          <cell r="H3719">
            <v>1.45</v>
          </cell>
          <cell r="I3719" t="str">
            <v>M6</v>
          </cell>
          <cell r="J3719" t="str">
            <v>IE3</v>
          </cell>
          <cell r="K3719" t="str">
            <v>230/400</v>
          </cell>
          <cell r="L3719">
            <v>50</v>
          </cell>
          <cell r="M3719" t="str">
            <v>1,78/1,02</v>
          </cell>
          <cell r="N3719">
            <v>65</v>
          </cell>
          <cell r="O3719" t="str">
            <v>155(F)</v>
          </cell>
          <cell r="P3719" t="str">
            <v>0°</v>
          </cell>
          <cell r="Q3719" t="str">
            <v>-</v>
          </cell>
          <cell r="R3719" t="str">
            <v>-</v>
          </cell>
          <cell r="S3719" t="str">
            <v>-</v>
          </cell>
          <cell r="T3719" t="str">
            <v>-</v>
          </cell>
          <cell r="U3719" t="str">
            <v>G</v>
          </cell>
          <cell r="V3719" t="str">
            <v>D</v>
          </cell>
          <cell r="W3719" t="str">
            <v>-</v>
          </cell>
          <cell r="X3719" t="str">
            <v>CLP HC 220 (-25/+60°C)</v>
          </cell>
          <cell r="Y3719" t="str">
            <v>FA67/G DRN71M4</v>
          </cell>
          <cell r="Z3719" t="str">
            <v>SEW</v>
          </cell>
          <cell r="AB3719" t="str">
            <v>-</v>
          </cell>
          <cell r="AF3719">
            <v>6.2</v>
          </cell>
          <cell r="AG3719" t="str">
            <v>DRN71M4</v>
          </cell>
          <cell r="AH3719" t="str">
            <v>FA67G-DRN71M40-X</v>
          </cell>
        </row>
        <row r="3720">
          <cell r="A3720" t="str">
            <v>MR003709</v>
          </cell>
          <cell r="B3720" t="str">
            <v>MR</v>
          </cell>
          <cell r="C3720">
            <v>11</v>
          </cell>
          <cell r="D3720">
            <v>19</v>
          </cell>
          <cell r="E3720" t="str">
            <v>R127</v>
          </cell>
          <cell r="F3720">
            <v>5440</v>
          </cell>
          <cell r="G3720">
            <v>76.209999999999994</v>
          </cell>
          <cell r="H3720">
            <v>1</v>
          </cell>
          <cell r="I3720" t="str">
            <v>From M5 to M4 - 5°</v>
          </cell>
          <cell r="J3720" t="str">
            <v>IE3</v>
          </cell>
          <cell r="K3720" t="str">
            <v>230/400</v>
          </cell>
          <cell r="L3720">
            <v>50</v>
          </cell>
          <cell r="M3720" t="str">
            <v>36,5/21</v>
          </cell>
          <cell r="N3720">
            <v>65</v>
          </cell>
          <cell r="O3720" t="str">
            <v>155(F)</v>
          </cell>
          <cell r="P3720" t="str">
            <v>270°</v>
          </cell>
          <cell r="Q3720" t="str">
            <v>TF</v>
          </cell>
          <cell r="R3720" t="str">
            <v>V(VE)</v>
          </cell>
          <cell r="S3720" t="str">
            <v>-</v>
          </cell>
          <cell r="T3720" t="str">
            <v>-</v>
          </cell>
          <cell r="U3720" t="str">
            <v>-</v>
          </cell>
          <cell r="V3720" t="str">
            <v>FC</v>
          </cell>
          <cell r="W3720" t="str">
            <v>-</v>
          </cell>
          <cell r="X3720" t="str">
            <v>CLP HC 220 (-25/+60°C)</v>
          </cell>
          <cell r="Y3720" t="str">
            <v>R127DRN160M4 /TF/V</v>
          </cell>
          <cell r="Z3720" t="str">
            <v>SEW</v>
          </cell>
          <cell r="AB3720" t="str">
            <v>-</v>
          </cell>
          <cell r="AF3720">
            <v>0</v>
          </cell>
          <cell r="AG3720" t="str">
            <v>DRN160M4</v>
          </cell>
          <cell r="AH3720" t="str">
            <v>R127-DRN160M4270-X#</v>
          </cell>
        </row>
        <row r="3721">
          <cell r="A3721" t="str">
            <v>MR003710</v>
          </cell>
          <cell r="B3721" t="str">
            <v>MR</v>
          </cell>
          <cell r="C3721">
            <v>11</v>
          </cell>
          <cell r="D3721">
            <v>19</v>
          </cell>
          <cell r="E3721" t="str">
            <v>R127</v>
          </cell>
          <cell r="F3721">
            <v>5440</v>
          </cell>
          <cell r="G3721">
            <v>76.209999999999994</v>
          </cell>
          <cell r="H3721">
            <v>1</v>
          </cell>
          <cell r="I3721" t="str">
            <v>From M6 to M4 - 5°</v>
          </cell>
          <cell r="J3721" t="str">
            <v>IE3</v>
          </cell>
          <cell r="K3721" t="str">
            <v>230/400</v>
          </cell>
          <cell r="L3721">
            <v>50</v>
          </cell>
          <cell r="M3721" t="str">
            <v>36,5/21</v>
          </cell>
          <cell r="N3721">
            <v>65</v>
          </cell>
          <cell r="O3721" t="str">
            <v>155(F)</v>
          </cell>
          <cell r="P3721" t="str">
            <v>270°</v>
          </cell>
          <cell r="Q3721" t="str">
            <v>TF</v>
          </cell>
          <cell r="R3721" t="str">
            <v>V(VE)</v>
          </cell>
          <cell r="S3721" t="str">
            <v>-</v>
          </cell>
          <cell r="T3721" t="str">
            <v>-</v>
          </cell>
          <cell r="U3721" t="str">
            <v>-</v>
          </cell>
          <cell r="V3721" t="str">
            <v>FC</v>
          </cell>
          <cell r="W3721" t="str">
            <v>-</v>
          </cell>
          <cell r="X3721" t="str">
            <v>CLP HC 220 (-25/+60°C)</v>
          </cell>
          <cell r="Y3721" t="str">
            <v>R127DRN160M4 /TF/V</v>
          </cell>
          <cell r="Z3721" t="str">
            <v>SEW</v>
          </cell>
          <cell r="AB3721" t="str">
            <v>-</v>
          </cell>
          <cell r="AF3721">
            <v>0</v>
          </cell>
          <cell r="AG3721" t="str">
            <v>DRN160M4</v>
          </cell>
          <cell r="AH3721" t="str">
            <v>R127-DRN160M4270-X#</v>
          </cell>
        </row>
        <row r="3722">
          <cell r="A3722" t="str">
            <v>MR003711</v>
          </cell>
          <cell r="B3722" t="str">
            <v>MR</v>
          </cell>
          <cell r="C3722">
            <v>7.5</v>
          </cell>
          <cell r="D3722">
            <v>77.5</v>
          </cell>
          <cell r="E3722" t="str">
            <v>R87</v>
          </cell>
          <cell r="F3722">
            <v>773</v>
          </cell>
          <cell r="G3722">
            <v>19.100000000000001</v>
          </cell>
          <cell r="H3722">
            <v>1.46</v>
          </cell>
          <cell r="I3722" t="str">
            <v>From M1 to M4 - 15°</v>
          </cell>
          <cell r="J3722" t="str">
            <v>IE3</v>
          </cell>
          <cell r="K3722">
            <v>440</v>
          </cell>
          <cell r="L3722">
            <v>60</v>
          </cell>
          <cell r="M3722">
            <v>13.6</v>
          </cell>
          <cell r="N3722">
            <v>55</v>
          </cell>
          <cell r="O3722" t="str">
            <v>155(F)</v>
          </cell>
          <cell r="P3722" t="str">
            <v>270°</v>
          </cell>
          <cell r="Q3722" t="str">
            <v>-</v>
          </cell>
          <cell r="R3722" t="str">
            <v>-</v>
          </cell>
          <cell r="S3722" t="str">
            <v>-</v>
          </cell>
          <cell r="T3722" t="str">
            <v>-</v>
          </cell>
          <cell r="U3722" t="str">
            <v>-</v>
          </cell>
          <cell r="V3722" t="str">
            <v>D</v>
          </cell>
          <cell r="W3722" t="str">
            <v>-</v>
          </cell>
          <cell r="X3722" t="str">
            <v>CLP HC 150 (-30/+50°C)</v>
          </cell>
          <cell r="Y3722" t="str">
            <v>R87EDRN132M4</v>
          </cell>
          <cell r="Z3722" t="str">
            <v>SEW</v>
          </cell>
          <cell r="AB3722" t="str">
            <v>ATEX22</v>
          </cell>
          <cell r="AF3722">
            <v>93</v>
          </cell>
          <cell r="AG3722" t="str">
            <v>EDRN132M4</v>
          </cell>
          <cell r="AH3722" t="str">
            <v>R87-EDRN132M4270-X</v>
          </cell>
        </row>
        <row r="3723">
          <cell r="A3723" t="str">
            <v>MR003712</v>
          </cell>
          <cell r="B3723" t="str">
            <v>MR</v>
          </cell>
          <cell r="C3723">
            <v>37</v>
          </cell>
          <cell r="D3723">
            <v>81.666600000000003</v>
          </cell>
          <cell r="E3723" t="str">
            <v>R107</v>
          </cell>
          <cell r="F3723">
            <v>3610</v>
          </cell>
          <cell r="G3723">
            <v>18.21</v>
          </cell>
          <cell r="H3723">
            <v>1.2</v>
          </cell>
          <cell r="I3723" t="str">
            <v>M4</v>
          </cell>
          <cell r="J3723" t="str">
            <v>IE3</v>
          </cell>
          <cell r="K3723">
            <v>440</v>
          </cell>
          <cell r="L3723">
            <v>60</v>
          </cell>
          <cell r="M3723">
            <v>58</v>
          </cell>
          <cell r="N3723">
            <v>55</v>
          </cell>
          <cell r="O3723" t="str">
            <v>155(F)</v>
          </cell>
          <cell r="P3723" t="str">
            <v>270°</v>
          </cell>
          <cell r="Q3723" t="str">
            <v>-</v>
          </cell>
          <cell r="R3723" t="str">
            <v>-</v>
          </cell>
          <cell r="S3723" t="str">
            <v>-</v>
          </cell>
          <cell r="T3723" t="str">
            <v>-</v>
          </cell>
          <cell r="U3723" t="str">
            <v>-</v>
          </cell>
          <cell r="V3723" t="str">
            <v>D</v>
          </cell>
          <cell r="W3723" t="str">
            <v>-</v>
          </cell>
          <cell r="X3723" t="str">
            <v>CLP HC 150 (-30/+50°C)</v>
          </cell>
          <cell r="Y3723" t="str">
            <v>R107EDRN225S4</v>
          </cell>
          <cell r="Z3723" t="str">
            <v>SEW</v>
          </cell>
          <cell r="AB3723" t="str">
            <v>ATEX22</v>
          </cell>
          <cell r="AF3723">
            <v>97.999920000000003</v>
          </cell>
          <cell r="AG3723" t="str">
            <v>EDRN225S4</v>
          </cell>
          <cell r="AH3723" t="str">
            <v>R107-EDRN225S4270-X</v>
          </cell>
        </row>
        <row r="3724">
          <cell r="A3724" t="str">
            <v>MR003713</v>
          </cell>
          <cell r="B3724" t="str">
            <v>MR</v>
          </cell>
          <cell r="C3724">
            <v>11</v>
          </cell>
          <cell r="D3724">
            <v>65.83</v>
          </cell>
          <cell r="E3724" t="str">
            <v>R97</v>
          </cell>
          <cell r="F3724">
            <v>1320</v>
          </cell>
          <cell r="G3724">
            <v>22.37</v>
          </cell>
          <cell r="H3724">
            <v>1.53</v>
          </cell>
          <cell r="I3724" t="str">
            <v>From M1 to M4 - 10°</v>
          </cell>
          <cell r="J3724" t="str">
            <v>IE3</v>
          </cell>
          <cell r="K3724">
            <v>440</v>
          </cell>
          <cell r="L3724">
            <v>60</v>
          </cell>
          <cell r="M3724">
            <v>19</v>
          </cell>
          <cell r="N3724">
            <v>55</v>
          </cell>
          <cell r="O3724" t="str">
            <v>155(F)</v>
          </cell>
          <cell r="P3724" t="str">
            <v>270°</v>
          </cell>
          <cell r="Q3724" t="str">
            <v>-</v>
          </cell>
          <cell r="R3724" t="str">
            <v>-</v>
          </cell>
          <cell r="S3724" t="str">
            <v>-</v>
          </cell>
          <cell r="T3724" t="str">
            <v>-</v>
          </cell>
          <cell r="U3724" t="str">
            <v>-</v>
          </cell>
          <cell r="V3724" t="str">
            <v>D</v>
          </cell>
          <cell r="W3724" t="str">
            <v>-</v>
          </cell>
          <cell r="X3724" t="str">
            <v>CLP HC 150 (-30/+50°C)</v>
          </cell>
          <cell r="Y3724" t="str">
            <v>R97EDRN160M4</v>
          </cell>
          <cell r="Z3724" t="str">
            <v>SEW</v>
          </cell>
          <cell r="AB3724" t="str">
            <v>ATEX22</v>
          </cell>
          <cell r="AF3724">
            <v>78.995999999999995</v>
          </cell>
          <cell r="AG3724" t="str">
            <v>EDRN160M4</v>
          </cell>
          <cell r="AH3724" t="str">
            <v>R97-EDRN160M4270-X</v>
          </cell>
        </row>
        <row r="3725">
          <cell r="A3725" t="str">
            <v>MR003714</v>
          </cell>
          <cell r="B3725" t="str">
            <v>MR</v>
          </cell>
          <cell r="C3725">
            <v>15</v>
          </cell>
          <cell r="D3725">
            <v>11.666600000000001</v>
          </cell>
          <cell r="E3725" t="str">
            <v>KH127</v>
          </cell>
          <cell r="F3725">
            <v>9890</v>
          </cell>
          <cell r="G3725">
            <v>122.48</v>
          </cell>
          <cell r="H3725">
            <v>1.3</v>
          </cell>
          <cell r="I3725" t="str">
            <v>From M1A to M2A - 30°</v>
          </cell>
          <cell r="J3725" t="str">
            <v>IE3</v>
          </cell>
          <cell r="K3725">
            <v>440</v>
          </cell>
          <cell r="L3725">
            <v>60</v>
          </cell>
          <cell r="M3725">
            <v>25.5</v>
          </cell>
          <cell r="N3725">
            <v>55</v>
          </cell>
          <cell r="O3725" t="str">
            <v>155(F)</v>
          </cell>
          <cell r="P3725" t="str">
            <v>270°</v>
          </cell>
          <cell r="Q3725" t="str">
            <v>-</v>
          </cell>
          <cell r="R3725" t="str">
            <v>-</v>
          </cell>
          <cell r="S3725" t="str">
            <v>-</v>
          </cell>
          <cell r="T3725" t="str">
            <v>-</v>
          </cell>
          <cell r="U3725" t="str">
            <v>-</v>
          </cell>
          <cell r="V3725" t="str">
            <v>SS</v>
          </cell>
          <cell r="W3725" t="str">
            <v>-</v>
          </cell>
          <cell r="X3725" t="str">
            <v>CLP HC 150 (-30/+50°C)</v>
          </cell>
          <cell r="Y3725" t="str">
            <v>KH127EDRN160L4</v>
          </cell>
          <cell r="Z3725" t="str">
            <v>SEW</v>
          </cell>
          <cell r="AB3725" t="str">
            <v>ATEX22</v>
          </cell>
          <cell r="AF3725">
            <v>13.999920000000001</v>
          </cell>
          <cell r="AG3725" t="str">
            <v>EDRN160L4</v>
          </cell>
          <cell r="AH3725" t="str">
            <v>KH127-EDRN160L4A270-X</v>
          </cell>
        </row>
        <row r="3726">
          <cell r="A3726" t="str">
            <v>MR003715</v>
          </cell>
          <cell r="B3726" t="str">
            <v>MR</v>
          </cell>
          <cell r="C3726">
            <v>5.5</v>
          </cell>
          <cell r="D3726">
            <v>11.666600000000001</v>
          </cell>
          <cell r="E3726" t="str">
            <v>KH97</v>
          </cell>
          <cell r="F3726">
            <v>3680</v>
          </cell>
          <cell r="G3726">
            <v>123.93</v>
          </cell>
          <cell r="H3726">
            <v>1.1399999999999999</v>
          </cell>
          <cell r="I3726" t="str">
            <v>From M1A to M2A - 15°</v>
          </cell>
          <cell r="J3726" t="str">
            <v>IE3</v>
          </cell>
          <cell r="K3726" t="str">
            <v>254/440</v>
          </cell>
          <cell r="L3726">
            <v>60</v>
          </cell>
          <cell r="M3726" t="str">
            <v>16,4/9,5</v>
          </cell>
          <cell r="N3726">
            <v>55</v>
          </cell>
          <cell r="O3726" t="str">
            <v>155(F)</v>
          </cell>
          <cell r="P3726" t="str">
            <v>270°</v>
          </cell>
          <cell r="Q3726" t="str">
            <v>-</v>
          </cell>
          <cell r="R3726" t="str">
            <v>-</v>
          </cell>
          <cell r="S3726" t="str">
            <v>-</v>
          </cell>
          <cell r="T3726" t="str">
            <v>-</v>
          </cell>
          <cell r="U3726" t="str">
            <v>-</v>
          </cell>
          <cell r="V3726" t="str">
            <v>SS</v>
          </cell>
          <cell r="W3726" t="str">
            <v>-</v>
          </cell>
          <cell r="X3726" t="str">
            <v>CLP HC 150 (-30/+50°C)</v>
          </cell>
          <cell r="Y3726" t="str">
            <v>KH97EDRN132S4</v>
          </cell>
          <cell r="Z3726" t="str">
            <v>SEW</v>
          </cell>
          <cell r="AB3726" t="str">
            <v>ATEX22</v>
          </cell>
          <cell r="AF3726">
            <v>13.999920000000001</v>
          </cell>
          <cell r="AG3726" t="str">
            <v>EDRN132S4</v>
          </cell>
          <cell r="AH3726" t="str">
            <v>KH97-EDRN132S4A270-X</v>
          </cell>
        </row>
        <row r="3727">
          <cell r="A3727" t="str">
            <v>MR003716</v>
          </cell>
          <cell r="B3727" t="str">
            <v>MR</v>
          </cell>
          <cell r="C3727">
            <v>5.5</v>
          </cell>
          <cell r="D3727">
            <v>11.666600000000001</v>
          </cell>
          <cell r="E3727" t="str">
            <v>KH97</v>
          </cell>
          <cell r="F3727">
            <v>3680</v>
          </cell>
          <cell r="G3727">
            <v>123.93</v>
          </cell>
          <cell r="H3727">
            <v>1.1399999999999999</v>
          </cell>
          <cell r="I3727" t="str">
            <v>From M1B to M2B - 15°</v>
          </cell>
          <cell r="J3727" t="str">
            <v>IE3</v>
          </cell>
          <cell r="K3727" t="str">
            <v>254/440</v>
          </cell>
          <cell r="L3727">
            <v>60</v>
          </cell>
          <cell r="M3727" t="str">
            <v>16,4/9,5</v>
          </cell>
          <cell r="N3727">
            <v>55</v>
          </cell>
          <cell r="O3727" t="str">
            <v>155(F)</v>
          </cell>
          <cell r="P3727" t="str">
            <v>270°</v>
          </cell>
          <cell r="Q3727" t="str">
            <v>-</v>
          </cell>
          <cell r="R3727" t="str">
            <v>-</v>
          </cell>
          <cell r="S3727" t="str">
            <v>-</v>
          </cell>
          <cell r="T3727" t="str">
            <v>-</v>
          </cell>
          <cell r="U3727" t="str">
            <v>-</v>
          </cell>
          <cell r="V3727" t="str">
            <v>SS</v>
          </cell>
          <cell r="W3727" t="str">
            <v>-</v>
          </cell>
          <cell r="X3727" t="str">
            <v>CLP HC 150 (-30/+50°C)</v>
          </cell>
          <cell r="Y3727" t="str">
            <v>KH97EDRN132S4</v>
          </cell>
          <cell r="Z3727" t="str">
            <v>SEW</v>
          </cell>
          <cell r="AB3727" t="str">
            <v>ATEX22</v>
          </cell>
          <cell r="AF3727">
            <v>13.999920000000001</v>
          </cell>
          <cell r="AG3727" t="str">
            <v>EDRN132S4</v>
          </cell>
          <cell r="AH3727" t="str">
            <v>KH97-EDRN132S4B270-X</v>
          </cell>
        </row>
        <row r="3728">
          <cell r="A3728" t="str">
            <v>MR003717</v>
          </cell>
          <cell r="B3728" t="str">
            <v>MR</v>
          </cell>
          <cell r="C3728">
            <v>7.5</v>
          </cell>
          <cell r="D3728">
            <v>12.5</v>
          </cell>
          <cell r="E3728" t="str">
            <v>KH107</v>
          </cell>
          <cell r="F3728">
            <v>4910</v>
          </cell>
          <cell r="G3728">
            <v>121.46</v>
          </cell>
          <cell r="H3728">
            <v>1.56</v>
          </cell>
          <cell r="I3728" t="str">
            <v>From M1A to M2A - 10°</v>
          </cell>
          <cell r="J3728" t="str">
            <v>IE3</v>
          </cell>
          <cell r="K3728">
            <v>440</v>
          </cell>
          <cell r="L3728">
            <v>60</v>
          </cell>
          <cell r="M3728">
            <v>13.6</v>
          </cell>
          <cell r="N3728">
            <v>55</v>
          </cell>
          <cell r="O3728" t="str">
            <v>155(F)</v>
          </cell>
          <cell r="P3728" t="str">
            <v>270°</v>
          </cell>
          <cell r="Q3728" t="str">
            <v>-</v>
          </cell>
          <cell r="R3728" t="str">
            <v>-</v>
          </cell>
          <cell r="S3728" t="str">
            <v>-</v>
          </cell>
          <cell r="T3728" t="str">
            <v>-</v>
          </cell>
          <cell r="U3728" t="str">
            <v>-</v>
          </cell>
          <cell r="V3728" t="str">
            <v>SS</v>
          </cell>
          <cell r="W3728" t="str">
            <v>-</v>
          </cell>
          <cell r="X3728" t="str">
            <v>CLP HC 150 (-30/+50°C)</v>
          </cell>
          <cell r="Y3728" t="str">
            <v>KH107EDRN132M4</v>
          </cell>
          <cell r="Z3728" t="str">
            <v>SEW</v>
          </cell>
          <cell r="AB3728" t="str">
            <v>ATEX22</v>
          </cell>
          <cell r="AF3728">
            <v>15</v>
          </cell>
          <cell r="AG3728" t="str">
            <v>EDRN132M4</v>
          </cell>
          <cell r="AH3728" t="str">
            <v>KH107-EDRN132M4A270-X</v>
          </cell>
        </row>
        <row r="3729">
          <cell r="A3729" t="str">
            <v>MR003718</v>
          </cell>
          <cell r="B3729" t="str">
            <v>MR</v>
          </cell>
          <cell r="C3729">
            <v>7.5</v>
          </cell>
          <cell r="D3729">
            <v>12.5</v>
          </cell>
          <cell r="E3729" t="str">
            <v>KH107</v>
          </cell>
          <cell r="F3729">
            <v>4910</v>
          </cell>
          <cell r="G3729">
            <v>121.46</v>
          </cell>
          <cell r="H3729">
            <v>1.56</v>
          </cell>
          <cell r="I3729" t="str">
            <v>From M1B to M2B - 10°</v>
          </cell>
          <cell r="J3729" t="str">
            <v>IE3</v>
          </cell>
          <cell r="K3729">
            <v>440</v>
          </cell>
          <cell r="L3729">
            <v>60</v>
          </cell>
          <cell r="M3729">
            <v>13.6</v>
          </cell>
          <cell r="N3729">
            <v>55</v>
          </cell>
          <cell r="O3729" t="str">
            <v>155(F)</v>
          </cell>
          <cell r="P3729" t="str">
            <v>270°</v>
          </cell>
          <cell r="Q3729" t="str">
            <v>-</v>
          </cell>
          <cell r="R3729" t="str">
            <v>-</v>
          </cell>
          <cell r="S3729" t="str">
            <v>-</v>
          </cell>
          <cell r="T3729" t="str">
            <v>-</v>
          </cell>
          <cell r="U3729" t="str">
            <v>-</v>
          </cell>
          <cell r="V3729" t="str">
            <v>SS</v>
          </cell>
          <cell r="W3729" t="str">
            <v>-</v>
          </cell>
          <cell r="X3729" t="str">
            <v>CLP HC 150 (-30/+50°C)</v>
          </cell>
          <cell r="Y3729" t="str">
            <v>KH107EDRN132M4</v>
          </cell>
          <cell r="Z3729" t="str">
            <v>SEW</v>
          </cell>
          <cell r="AB3729" t="str">
            <v>ATEX22</v>
          </cell>
          <cell r="AF3729">
            <v>15</v>
          </cell>
          <cell r="AG3729" t="str">
            <v>EDRN132M4</v>
          </cell>
          <cell r="AH3729" t="str">
            <v>KH107-EDRN132M4B270-X</v>
          </cell>
        </row>
        <row r="3730">
          <cell r="A3730" t="str">
            <v>MR003719</v>
          </cell>
          <cell r="B3730" t="str">
            <v>MR</v>
          </cell>
          <cell r="C3730">
            <v>5.5</v>
          </cell>
          <cell r="D3730">
            <v>76.666600000000003</v>
          </cell>
          <cell r="E3730" t="str">
            <v>R87</v>
          </cell>
          <cell r="F3730">
            <v>570</v>
          </cell>
          <cell r="G3730">
            <v>19.100000000000001</v>
          </cell>
          <cell r="H3730">
            <v>2</v>
          </cell>
          <cell r="I3730" t="str">
            <v>M1</v>
          </cell>
          <cell r="J3730" t="str">
            <v>IE3</v>
          </cell>
          <cell r="K3730" t="str">
            <v>254/440</v>
          </cell>
          <cell r="L3730">
            <v>60</v>
          </cell>
          <cell r="M3730" t="str">
            <v>16,4/9,5</v>
          </cell>
          <cell r="N3730">
            <v>55</v>
          </cell>
          <cell r="O3730" t="str">
            <v>155(F)</v>
          </cell>
          <cell r="P3730" t="str">
            <v>270°</v>
          </cell>
          <cell r="Q3730" t="str">
            <v>-</v>
          </cell>
          <cell r="R3730" t="str">
            <v>-</v>
          </cell>
          <cell r="S3730" t="str">
            <v>-</v>
          </cell>
          <cell r="T3730" t="str">
            <v>-</v>
          </cell>
          <cell r="U3730" t="str">
            <v>-</v>
          </cell>
          <cell r="V3730" t="str">
            <v>D</v>
          </cell>
          <cell r="W3730" t="str">
            <v>-</v>
          </cell>
          <cell r="X3730" t="str">
            <v>CLP HC 150 (-30/+50°C)</v>
          </cell>
          <cell r="Y3730" t="str">
            <v>R87EDRN132S4</v>
          </cell>
          <cell r="Z3730" t="str">
            <v>SEW</v>
          </cell>
          <cell r="AB3730" t="str">
            <v>ATEX22</v>
          </cell>
          <cell r="AF3730">
            <v>91.999920000000003</v>
          </cell>
          <cell r="AG3730" t="str">
            <v>EDRN132S4</v>
          </cell>
          <cell r="AH3730" t="str">
            <v>R87-EDRN132S4270-X</v>
          </cell>
        </row>
        <row r="3731">
          <cell r="A3731" t="str">
            <v>MR003720</v>
          </cell>
          <cell r="B3731" t="str">
            <v>MR</v>
          </cell>
          <cell r="C3731">
            <v>18.5</v>
          </cell>
          <cell r="D3731">
            <v>81.666600000000003</v>
          </cell>
          <cell r="E3731" t="str">
            <v>R97</v>
          </cell>
          <cell r="F3731">
            <v>1810</v>
          </cell>
          <cell r="G3731">
            <v>18.239999999999998</v>
          </cell>
          <cell r="H3731">
            <v>1.1000000000000001</v>
          </cell>
          <cell r="I3731" t="str">
            <v>M4</v>
          </cell>
          <cell r="J3731" t="str">
            <v>IE3</v>
          </cell>
          <cell r="K3731">
            <v>440</v>
          </cell>
          <cell r="L3731">
            <v>60</v>
          </cell>
          <cell r="M3731">
            <v>30</v>
          </cell>
          <cell r="N3731">
            <v>55</v>
          </cell>
          <cell r="O3731" t="str">
            <v>155(F)</v>
          </cell>
          <cell r="P3731" t="str">
            <v>270°</v>
          </cell>
          <cell r="Q3731" t="str">
            <v>-</v>
          </cell>
          <cell r="R3731" t="str">
            <v>-</v>
          </cell>
          <cell r="S3731" t="str">
            <v>-</v>
          </cell>
          <cell r="T3731" t="str">
            <v>-</v>
          </cell>
          <cell r="U3731" t="str">
            <v>-</v>
          </cell>
          <cell r="V3731" t="str">
            <v>D</v>
          </cell>
          <cell r="W3731" t="str">
            <v>-</v>
          </cell>
          <cell r="X3731" t="str">
            <v>CLP HC 150 (-30/+50°C)</v>
          </cell>
          <cell r="Y3731" t="str">
            <v>R97EDRN180M4</v>
          </cell>
          <cell r="Z3731" t="str">
            <v>SEW</v>
          </cell>
          <cell r="AB3731" t="str">
            <v>ATEX22</v>
          </cell>
          <cell r="AF3731">
            <v>97.999920000000003</v>
          </cell>
          <cell r="AG3731" t="str">
            <v>EDRN180M4</v>
          </cell>
          <cell r="AH3731" t="str">
            <v>R97-EDRN180M4270-X</v>
          </cell>
        </row>
        <row r="3732">
          <cell r="A3732" t="str">
            <v>MR003721</v>
          </cell>
          <cell r="B3732" t="str">
            <v>MR</v>
          </cell>
          <cell r="C3732">
            <v>15</v>
          </cell>
          <cell r="D3732">
            <v>55.833300000000001</v>
          </cell>
          <cell r="E3732" t="str">
            <v>KH107</v>
          </cell>
          <cell r="F3732">
            <v>2120</v>
          </cell>
          <cell r="G3732">
            <v>26.32</v>
          </cell>
          <cell r="H3732">
            <v>2.9</v>
          </cell>
          <cell r="I3732" t="str">
            <v>M4B</v>
          </cell>
          <cell r="J3732" t="str">
            <v>IE3</v>
          </cell>
          <cell r="K3732">
            <v>440</v>
          </cell>
          <cell r="L3732">
            <v>60</v>
          </cell>
          <cell r="M3732">
            <v>25.5</v>
          </cell>
          <cell r="N3732">
            <v>55</v>
          </cell>
          <cell r="O3732" t="str">
            <v>155(F)</v>
          </cell>
          <cell r="P3732" t="str">
            <v>270°</v>
          </cell>
          <cell r="Q3732" t="str">
            <v>-</v>
          </cell>
          <cell r="R3732" t="str">
            <v>-</v>
          </cell>
          <cell r="S3732" t="str">
            <v>Free rotation CW</v>
          </cell>
          <cell r="T3732" t="str">
            <v>-</v>
          </cell>
          <cell r="U3732" t="str">
            <v>T</v>
          </cell>
          <cell r="V3732" t="str">
            <v>SS</v>
          </cell>
          <cell r="W3732" t="str">
            <v>-</v>
          </cell>
          <cell r="X3732" t="str">
            <v>CLP HC 150 (-30/+50°C)</v>
          </cell>
          <cell r="Y3732" t="str">
            <v>KH107/T EDRN160L4 /RS</v>
          </cell>
          <cell r="Z3732" t="str">
            <v>SEW</v>
          </cell>
          <cell r="AB3732" t="str">
            <v>ATEX22</v>
          </cell>
          <cell r="AF3732">
            <v>66.999960000000002</v>
          </cell>
          <cell r="AG3732" t="str">
            <v>EDRN160L4</v>
          </cell>
          <cell r="AH3732" t="str">
            <v>KH107T-EDRN160L4B270-X</v>
          </cell>
        </row>
        <row r="3733">
          <cell r="A3733" t="str">
            <v>MR003722</v>
          </cell>
          <cell r="B3733" t="str">
            <v>MR</v>
          </cell>
          <cell r="C3733">
            <v>0.75</v>
          </cell>
          <cell r="D3733">
            <v>138.33330000000001</v>
          </cell>
          <cell r="E3733" t="str">
            <v>KA37</v>
          </cell>
          <cell r="F3733">
            <v>43</v>
          </cell>
          <cell r="G3733">
            <v>10.49</v>
          </cell>
          <cell r="H3733">
            <v>3.1</v>
          </cell>
          <cell r="I3733" t="str">
            <v>From M1B to M2B - 30°</v>
          </cell>
          <cell r="J3733" t="str">
            <v>IE3</v>
          </cell>
          <cell r="K3733" t="str">
            <v>254/440</v>
          </cell>
          <cell r="L3733">
            <v>60</v>
          </cell>
          <cell r="M3733" t="str">
            <v>2,70/1,56</v>
          </cell>
          <cell r="N3733">
            <v>55</v>
          </cell>
          <cell r="O3733" t="str">
            <v>155(F)</v>
          </cell>
          <cell r="P3733" t="str">
            <v>270°</v>
          </cell>
          <cell r="Q3733" t="str">
            <v>-</v>
          </cell>
          <cell r="R3733" t="str">
            <v>-</v>
          </cell>
          <cell r="S3733" t="str">
            <v>-</v>
          </cell>
          <cell r="T3733" t="str">
            <v>-</v>
          </cell>
          <cell r="U3733" t="str">
            <v>T</v>
          </cell>
          <cell r="V3733" t="str">
            <v>D</v>
          </cell>
          <cell r="W3733" t="str">
            <v>-</v>
          </cell>
          <cell r="X3733" t="str">
            <v>CLP HC 150 (-30/+50°C)</v>
          </cell>
          <cell r="Y3733" t="str">
            <v>KA37/T EDRN80M4</v>
          </cell>
          <cell r="Z3733" t="str">
            <v>SEW</v>
          </cell>
          <cell r="AB3733" t="str">
            <v>ATEX22</v>
          </cell>
          <cell r="AF3733">
            <v>165.99995999999999</v>
          </cell>
          <cell r="AG3733" t="str">
            <v>EDRN80M4</v>
          </cell>
          <cell r="AH3733" t="str">
            <v>KA37T-EDRN80M4B270-X</v>
          </cell>
        </row>
        <row r="3734">
          <cell r="A3734" t="str">
            <v>MR003723</v>
          </cell>
          <cell r="B3734" t="str">
            <v>MR</v>
          </cell>
          <cell r="C3734">
            <v>45</v>
          </cell>
          <cell r="D3734">
            <v>36.666666666666671</v>
          </cell>
          <cell r="E3734" t="str">
            <v>R147</v>
          </cell>
          <cell r="F3734">
            <v>9700</v>
          </cell>
          <cell r="G3734">
            <v>40.29</v>
          </cell>
          <cell r="H3734">
            <v>1.35</v>
          </cell>
          <cell r="I3734" t="str">
            <v>From M1 to M5 - 25°</v>
          </cell>
          <cell r="J3734" t="str">
            <v>IE3</v>
          </cell>
          <cell r="K3734" t="str">
            <v>220/380/440</v>
          </cell>
          <cell r="L3734">
            <v>60</v>
          </cell>
          <cell r="M3734" t="str">
            <v>146/73</v>
          </cell>
          <cell r="N3734">
            <v>65</v>
          </cell>
          <cell r="O3734" t="str">
            <v>F(105°C)</v>
          </cell>
          <cell r="P3734" t="str">
            <v>270°</v>
          </cell>
          <cell r="Q3734" t="str">
            <v>TF</v>
          </cell>
          <cell r="R3734" t="str">
            <v>V(VE)</v>
          </cell>
          <cell r="S3734" t="str">
            <v>-</v>
          </cell>
          <cell r="T3734" t="str">
            <v>-</v>
          </cell>
          <cell r="U3734" t="str">
            <v>-</v>
          </cell>
          <cell r="V3734" t="str">
            <v>FC</v>
          </cell>
          <cell r="W3734" t="str">
            <v>-</v>
          </cell>
          <cell r="X3734" t="str">
            <v>CLP VG 220 = -15° + 40°</v>
          </cell>
          <cell r="Y3734" t="str">
            <v>R147DRN225M4 /TF/V</v>
          </cell>
          <cell r="Z3734" t="str">
            <v>SEW</v>
          </cell>
          <cell r="AB3734" t="str">
            <v>-</v>
          </cell>
          <cell r="AF3734">
            <v>44.000000000000007</v>
          </cell>
          <cell r="AG3734" t="str">
            <v>DRN225M4</v>
          </cell>
          <cell r="AH3734" t="str">
            <v>R147-DRN225M4270-X#</v>
          </cell>
        </row>
        <row r="3735">
          <cell r="A3735" t="str">
            <v>MR003724</v>
          </cell>
          <cell r="B3735" t="str">
            <v>MR</v>
          </cell>
          <cell r="C3735">
            <v>0.75</v>
          </cell>
          <cell r="D3735">
            <v>162</v>
          </cell>
          <cell r="E3735" t="str">
            <v>KA37</v>
          </cell>
          <cell r="F3735">
            <v>44</v>
          </cell>
          <cell r="G3735">
            <v>8.91</v>
          </cell>
          <cell r="H3735">
            <v>3.1</v>
          </cell>
          <cell r="I3735" t="str">
            <v>M3A</v>
          </cell>
          <cell r="J3735" t="str">
            <v>IE3</v>
          </cell>
          <cell r="K3735" t="str">
            <v>230/400</v>
          </cell>
          <cell r="L3735">
            <v>50</v>
          </cell>
          <cell r="M3735" t="str">
            <v>3,1/1,79</v>
          </cell>
          <cell r="N3735">
            <v>55</v>
          </cell>
          <cell r="O3735" t="str">
            <v>155(F)</v>
          </cell>
          <cell r="P3735" t="str">
            <v>180°</v>
          </cell>
          <cell r="Q3735" t="str">
            <v>-</v>
          </cell>
          <cell r="R3735" t="str">
            <v>-</v>
          </cell>
          <cell r="S3735" t="str">
            <v>-</v>
          </cell>
          <cell r="T3735" t="str">
            <v>-</v>
          </cell>
          <cell r="U3735" t="str">
            <v>T</v>
          </cell>
          <cell r="V3735" t="str">
            <v>D</v>
          </cell>
          <cell r="W3735" t="str">
            <v>-</v>
          </cell>
          <cell r="X3735" t="str">
            <v>CLP HC 150 (-30/+50°C)</v>
          </cell>
          <cell r="Y3735" t="str">
            <v>KA37/T EDRN80M4</v>
          </cell>
          <cell r="Z3735" t="str">
            <v>SEW</v>
          </cell>
          <cell r="AB3735" t="str">
            <v>ATEX22</v>
          </cell>
          <cell r="AF3735">
            <v>162</v>
          </cell>
          <cell r="AG3735" t="str">
            <v>EDRN80M4</v>
          </cell>
          <cell r="AH3735" t="str">
            <v>KA37T-EDRN80M4A180-X</v>
          </cell>
        </row>
        <row r="3736">
          <cell r="A3736" t="str">
            <v>MR003725</v>
          </cell>
          <cell r="B3736" t="str">
            <v>MR</v>
          </cell>
          <cell r="C3736">
            <v>2.2000000000000002</v>
          </cell>
          <cell r="D3736">
            <v>95</v>
          </cell>
          <cell r="E3736" t="str">
            <v>KH67</v>
          </cell>
          <cell r="F3736">
            <v>220</v>
          </cell>
          <cell r="G3736">
            <v>15.19</v>
          </cell>
          <cell r="H3736">
            <v>2.4</v>
          </cell>
          <cell r="I3736" t="str">
            <v>M1B</v>
          </cell>
          <cell r="J3736" t="str">
            <v>IE3</v>
          </cell>
          <cell r="K3736" t="str">
            <v>230/400</v>
          </cell>
          <cell r="L3736">
            <v>50</v>
          </cell>
          <cell r="M3736" t="str">
            <v>8,3/4,8</v>
          </cell>
          <cell r="N3736">
            <v>55</v>
          </cell>
          <cell r="O3736" t="str">
            <v>155(F)</v>
          </cell>
          <cell r="P3736" t="str">
            <v>270°</v>
          </cell>
          <cell r="Q3736" t="str">
            <v>-</v>
          </cell>
          <cell r="R3736" t="str">
            <v>-</v>
          </cell>
          <cell r="S3736" t="str">
            <v>-</v>
          </cell>
          <cell r="T3736" t="str">
            <v>-</v>
          </cell>
          <cell r="U3736" t="str">
            <v>T</v>
          </cell>
          <cell r="V3736" t="str">
            <v>D</v>
          </cell>
          <cell r="W3736" t="str">
            <v>-</v>
          </cell>
          <cell r="X3736" t="str">
            <v>CLP HC 150 (-30/+50°C)</v>
          </cell>
          <cell r="Y3736" t="str">
            <v>KH67/T EDRN100LS4</v>
          </cell>
          <cell r="Z3736" t="str">
            <v>SEW</v>
          </cell>
          <cell r="AB3736" t="str">
            <v>ATEX22</v>
          </cell>
          <cell r="AF3736">
            <v>95</v>
          </cell>
          <cell r="AG3736" t="str">
            <v>EDRN100LS4</v>
          </cell>
          <cell r="AH3736" t="str">
            <v>KH67T-EDRN100LS4B270-X</v>
          </cell>
        </row>
        <row r="3737">
          <cell r="A3737" t="str">
            <v>MR003726</v>
          </cell>
          <cell r="B3737" t="str">
            <v>MR</v>
          </cell>
          <cell r="C3737">
            <v>22</v>
          </cell>
          <cell r="D3737">
            <v>16</v>
          </cell>
          <cell r="E3737" t="str">
            <v>KH157</v>
          </cell>
          <cell r="F3737">
            <v>13000</v>
          </cell>
          <cell r="G3737">
            <v>91.65</v>
          </cell>
          <cell r="H3737">
            <v>1.4</v>
          </cell>
          <cell r="I3737" t="str">
            <v>M4A</v>
          </cell>
          <cell r="J3737" t="str">
            <v>IE3</v>
          </cell>
          <cell r="K3737" t="str">
            <v>400/690</v>
          </cell>
          <cell r="L3737">
            <v>50</v>
          </cell>
          <cell r="M3737" t="str">
            <v>40,5/23,5</v>
          </cell>
          <cell r="N3737">
            <v>55</v>
          </cell>
          <cell r="O3737" t="str">
            <v>155(F)</v>
          </cell>
          <cell r="P3737" t="str">
            <v>270°</v>
          </cell>
          <cell r="Q3737" t="str">
            <v>TF</v>
          </cell>
          <cell r="R3737" t="str">
            <v>V(VE)</v>
          </cell>
          <cell r="S3737" t="str">
            <v>-</v>
          </cell>
          <cell r="T3737" t="str">
            <v>-</v>
          </cell>
          <cell r="U3737" t="str">
            <v>-</v>
          </cell>
          <cell r="V3737" t="str">
            <v>FC</v>
          </cell>
          <cell r="W3737" t="str">
            <v>-</v>
          </cell>
          <cell r="X3737" t="str">
            <v>CLP HC 150 (-30/+50°C)</v>
          </cell>
          <cell r="Y3737" t="str">
            <v>KH157EDRN180L4 /TF/VE</v>
          </cell>
          <cell r="Z3737" t="str">
            <v>SEW</v>
          </cell>
          <cell r="AB3737" t="str">
            <v>ATEX22</v>
          </cell>
          <cell r="AF3737">
            <v>16</v>
          </cell>
          <cell r="AG3737" t="str">
            <v>EDRN180L4</v>
          </cell>
          <cell r="AH3737" t="str">
            <v>KH157-EDRN180L4A270-X#</v>
          </cell>
        </row>
        <row r="3738">
          <cell r="A3738" t="str">
            <v>MR003727</v>
          </cell>
          <cell r="B3738" t="str">
            <v>MR</v>
          </cell>
          <cell r="C3738">
            <v>4</v>
          </cell>
          <cell r="D3738">
            <v>12.5</v>
          </cell>
          <cell r="E3738" t="str">
            <v>KH87</v>
          </cell>
          <cell r="F3738">
            <v>2500</v>
          </cell>
          <cell r="G3738">
            <v>115.82</v>
          </cell>
          <cell r="H3738">
            <v>1.1000000000000001</v>
          </cell>
          <cell r="I3738" t="str">
            <v>4B</v>
          </cell>
          <cell r="J3738" t="str">
            <v>IE3</v>
          </cell>
          <cell r="K3738" t="str">
            <v>220/440</v>
          </cell>
          <cell r="L3738">
            <v>60</v>
          </cell>
          <cell r="M3738" t="str">
            <v>14,8/7,4</v>
          </cell>
          <cell r="N3738">
            <v>65</v>
          </cell>
          <cell r="O3738" t="str">
            <v>155(F)</v>
          </cell>
          <cell r="P3738" t="str">
            <v>270°</v>
          </cell>
          <cell r="Q3738" t="str">
            <v>TF</v>
          </cell>
          <cell r="R3738" t="str">
            <v>V(VE)</v>
          </cell>
          <cell r="S3738" t="str">
            <v>-</v>
          </cell>
          <cell r="T3738" t="str">
            <v>-</v>
          </cell>
          <cell r="U3738" t="str">
            <v>-</v>
          </cell>
          <cell r="V3738" t="str">
            <v>FC</v>
          </cell>
          <cell r="W3738" t="str">
            <v>-</v>
          </cell>
          <cell r="X3738" t="str">
            <v>CLP 220 (-15/+40°C)</v>
          </cell>
          <cell r="Y3738" t="str">
            <v>KH87DRN112M4 /TF/V</v>
          </cell>
          <cell r="Z3738" t="str">
            <v>SEW</v>
          </cell>
          <cell r="AB3738" t="str">
            <v>-</v>
          </cell>
          <cell r="AF3738">
            <v>15</v>
          </cell>
          <cell r="AG3738" t="str">
            <v>DRN112M4</v>
          </cell>
          <cell r="AH3738" t="str">
            <v>KH87-DRN112M4B270-X#</v>
          </cell>
        </row>
        <row r="3739">
          <cell r="A3739" t="str">
            <v>MR003728</v>
          </cell>
          <cell r="B3739" t="str">
            <v>MR</v>
          </cell>
          <cell r="C3739">
            <v>5.5</v>
          </cell>
          <cell r="D3739">
            <v>14</v>
          </cell>
          <cell r="E3739" t="str">
            <v>KH97</v>
          </cell>
          <cell r="F3739">
            <v>3770</v>
          </cell>
          <cell r="G3739">
            <v>105.13</v>
          </cell>
          <cell r="H3739">
            <v>1.1499999999999999</v>
          </cell>
          <cell r="I3739" t="str">
            <v>From M1B to M2B - 15°</v>
          </cell>
          <cell r="J3739" t="str">
            <v>IE3</v>
          </cell>
          <cell r="K3739" t="str">
            <v>230/400</v>
          </cell>
          <cell r="L3739">
            <v>50</v>
          </cell>
          <cell r="M3739" t="str">
            <v>18,2/10,5</v>
          </cell>
          <cell r="N3739">
            <v>55</v>
          </cell>
          <cell r="O3739" t="str">
            <v>155(F)</v>
          </cell>
          <cell r="P3739" t="str">
            <v>270°</v>
          </cell>
          <cell r="Q3739" t="str">
            <v>TF</v>
          </cell>
          <cell r="R3739" t="str">
            <v>V(VE)</v>
          </cell>
          <cell r="S3739" t="str">
            <v>-</v>
          </cell>
          <cell r="T3739" t="str">
            <v>-</v>
          </cell>
          <cell r="U3739" t="str">
            <v>-</v>
          </cell>
          <cell r="V3739" t="str">
            <v>FC</v>
          </cell>
          <cell r="W3739" t="str">
            <v>-</v>
          </cell>
          <cell r="X3739" t="str">
            <v>CLP 220 (-15/+40°C)</v>
          </cell>
          <cell r="Y3739" t="str">
            <v>KH97DRN132S4 /TF/V</v>
          </cell>
          <cell r="Z3739" t="str">
            <v>SEW</v>
          </cell>
          <cell r="AB3739" t="str">
            <v>-</v>
          </cell>
          <cell r="AF3739">
            <v>14</v>
          </cell>
          <cell r="AG3739" t="str">
            <v>DRN132S4</v>
          </cell>
          <cell r="AH3739" t="str">
            <v>KH97-DRN132S4B270-X#</v>
          </cell>
        </row>
        <row r="3740">
          <cell r="A3740" t="str">
            <v>MR003729</v>
          </cell>
          <cell r="B3740" t="str">
            <v>MR</v>
          </cell>
          <cell r="C3740">
            <v>11</v>
          </cell>
          <cell r="D3740">
            <v>15</v>
          </cell>
          <cell r="E3740" t="str">
            <v>KH107</v>
          </cell>
          <cell r="F3740">
            <v>7190</v>
          </cell>
          <cell r="G3740">
            <v>100.75</v>
          </cell>
          <cell r="H3740">
            <v>1.1000000000000001</v>
          </cell>
          <cell r="I3740" t="str">
            <v>From M1A to M2A - 10°</v>
          </cell>
          <cell r="J3740" t="str">
            <v>IE3</v>
          </cell>
          <cell r="K3740" t="str">
            <v>230/400</v>
          </cell>
          <cell r="L3740">
            <v>50</v>
          </cell>
          <cell r="M3740" t="str">
            <v>36,5/21</v>
          </cell>
          <cell r="N3740">
            <v>55</v>
          </cell>
          <cell r="O3740" t="str">
            <v>155(F)</v>
          </cell>
          <cell r="P3740" t="str">
            <v>270°</v>
          </cell>
          <cell r="Q3740" t="str">
            <v>TF</v>
          </cell>
          <cell r="R3740" t="str">
            <v>V(VE)</v>
          </cell>
          <cell r="S3740" t="str">
            <v>-</v>
          </cell>
          <cell r="T3740" t="str">
            <v>-</v>
          </cell>
          <cell r="U3740" t="str">
            <v>-</v>
          </cell>
          <cell r="V3740" t="str">
            <v>FC</v>
          </cell>
          <cell r="W3740" t="str">
            <v>-</v>
          </cell>
          <cell r="X3740" t="str">
            <v>CLP 220 (-15/+40°C)</v>
          </cell>
          <cell r="Y3740" t="str">
            <v>KH107DRN160M4 /TF/V</v>
          </cell>
          <cell r="Z3740" t="str">
            <v>SEW</v>
          </cell>
          <cell r="AB3740" t="str">
            <v>-</v>
          </cell>
          <cell r="AF3740">
            <v>15</v>
          </cell>
          <cell r="AG3740" t="str">
            <v>DRN160M4</v>
          </cell>
          <cell r="AH3740" t="str">
            <v>KH107-DRN160M4A270-X#</v>
          </cell>
        </row>
        <row r="3741">
          <cell r="A3741" t="str">
            <v>MR003730</v>
          </cell>
          <cell r="B3741" t="str">
            <v>MR</v>
          </cell>
          <cell r="C3741">
            <v>11</v>
          </cell>
          <cell r="D3741">
            <v>15</v>
          </cell>
          <cell r="E3741" t="str">
            <v>KH107</v>
          </cell>
          <cell r="F3741">
            <v>7190</v>
          </cell>
          <cell r="G3741">
            <v>100.75</v>
          </cell>
          <cell r="H3741">
            <v>1.1000000000000001</v>
          </cell>
          <cell r="I3741" t="str">
            <v>From M1B to M2B - 10°</v>
          </cell>
          <cell r="J3741" t="str">
            <v>IE3</v>
          </cell>
          <cell r="K3741" t="str">
            <v>230/400</v>
          </cell>
          <cell r="L3741">
            <v>50</v>
          </cell>
          <cell r="M3741" t="str">
            <v>36,5/21</v>
          </cell>
          <cell r="N3741">
            <v>55</v>
          </cell>
          <cell r="O3741" t="str">
            <v>155(F)</v>
          </cell>
          <cell r="P3741" t="str">
            <v>270°</v>
          </cell>
          <cell r="Q3741" t="str">
            <v>TF</v>
          </cell>
          <cell r="R3741" t="str">
            <v>V(VE)</v>
          </cell>
          <cell r="S3741" t="str">
            <v>-</v>
          </cell>
          <cell r="T3741" t="str">
            <v>-</v>
          </cell>
          <cell r="U3741" t="str">
            <v>-</v>
          </cell>
          <cell r="V3741" t="str">
            <v>FC</v>
          </cell>
          <cell r="W3741" t="str">
            <v>-</v>
          </cell>
          <cell r="X3741" t="str">
            <v>CLP 220 (-15/+40°C)</v>
          </cell>
          <cell r="Y3741" t="str">
            <v>KH107DRN160M4 /TF/V</v>
          </cell>
          <cell r="Z3741" t="str">
            <v>SEW</v>
          </cell>
          <cell r="AB3741" t="str">
            <v>-</v>
          </cell>
          <cell r="AF3741">
            <v>15</v>
          </cell>
          <cell r="AG3741" t="str">
            <v>DRN160M4</v>
          </cell>
          <cell r="AH3741" t="str">
            <v>KH107-DRN160M4B270-X#</v>
          </cell>
        </row>
        <row r="3742">
          <cell r="A3742" t="str">
            <v>MR003731</v>
          </cell>
          <cell r="B3742" t="str">
            <v>MR</v>
          </cell>
          <cell r="C3742">
            <v>9.1999999999999993</v>
          </cell>
          <cell r="D3742">
            <v>59</v>
          </cell>
          <cell r="E3742" t="str">
            <v>R97</v>
          </cell>
          <cell r="F3742">
            <v>1490</v>
          </cell>
          <cell r="G3742">
            <v>25.06</v>
          </cell>
          <cell r="H3742">
            <v>1.9</v>
          </cell>
          <cell r="I3742" t="str">
            <v>M1</v>
          </cell>
          <cell r="J3742" t="str">
            <v>IE3</v>
          </cell>
          <cell r="K3742" t="str">
            <v>400/690</v>
          </cell>
          <cell r="L3742">
            <v>50</v>
          </cell>
          <cell r="M3742" t="str">
            <v>18,7/10,8</v>
          </cell>
          <cell r="N3742">
            <v>65</v>
          </cell>
          <cell r="O3742" t="str">
            <v>155(F)</v>
          </cell>
          <cell r="P3742" t="str">
            <v>270°</v>
          </cell>
          <cell r="Q3742" t="str">
            <v>-</v>
          </cell>
          <cell r="R3742" t="str">
            <v>-</v>
          </cell>
          <cell r="S3742" t="str">
            <v>-</v>
          </cell>
          <cell r="T3742" t="str">
            <v>-</v>
          </cell>
          <cell r="U3742" t="str">
            <v>-</v>
          </cell>
          <cell r="V3742" t="str">
            <v>D+R</v>
          </cell>
          <cell r="W3742" t="str">
            <v>-</v>
          </cell>
          <cell r="X3742" t="str">
            <v>CLP HC 150 (-30/+50°C)</v>
          </cell>
          <cell r="Y3742" t="str">
            <v>R97DRN132L4</v>
          </cell>
          <cell r="Z3742" t="str">
            <v>SEW</v>
          </cell>
          <cell r="AB3742" t="str">
            <v>-</v>
          </cell>
          <cell r="AF3742">
            <v>59</v>
          </cell>
          <cell r="AG3742" t="str">
            <v>DRN132L4</v>
          </cell>
          <cell r="AH3742" t="str">
            <v>R97-DRN132L4270-X</v>
          </cell>
        </row>
        <row r="3743">
          <cell r="A3743" t="str">
            <v>MR003732</v>
          </cell>
          <cell r="B3743" t="str">
            <v>MR</v>
          </cell>
          <cell r="C3743">
            <v>2.2000000000000002</v>
          </cell>
          <cell r="D3743">
            <v>84</v>
          </cell>
          <cell r="E3743" t="str">
            <v>FH47</v>
          </cell>
          <cell r="F3743">
            <v>250</v>
          </cell>
          <cell r="G3743">
            <v>17.329999999999998</v>
          </cell>
          <cell r="H3743">
            <v>1.6</v>
          </cell>
          <cell r="I3743" t="str">
            <v>M5</v>
          </cell>
          <cell r="J3743" t="str">
            <v>IE3</v>
          </cell>
          <cell r="K3743" t="str">
            <v>230/400</v>
          </cell>
          <cell r="L3743">
            <v>50</v>
          </cell>
          <cell r="M3743" t="str">
            <v>8,3/4,75</v>
          </cell>
          <cell r="N3743">
            <v>65</v>
          </cell>
          <cell r="O3743" t="str">
            <v>155(F)</v>
          </cell>
          <cell r="P3743" t="str">
            <v>270°</v>
          </cell>
          <cell r="Q3743" t="str">
            <v>-</v>
          </cell>
          <cell r="R3743" t="str">
            <v>-</v>
          </cell>
          <cell r="S3743" t="str">
            <v>-</v>
          </cell>
          <cell r="T3743" t="str">
            <v>-</v>
          </cell>
          <cell r="U3743" t="str">
            <v>G</v>
          </cell>
          <cell r="V3743" t="str">
            <v>D</v>
          </cell>
          <cell r="W3743" t="str">
            <v>-</v>
          </cell>
          <cell r="X3743" t="str">
            <v>CLP HC 150 (-30/+50°C)</v>
          </cell>
          <cell r="Y3743" t="str">
            <v>FH47/G DRN100LS4</v>
          </cell>
          <cell r="Z3743" t="str">
            <v>SEW</v>
          </cell>
          <cell r="AB3743" t="str">
            <v>-</v>
          </cell>
          <cell r="AF3743">
            <v>84</v>
          </cell>
          <cell r="AG3743" t="str">
            <v>DRN100LS4</v>
          </cell>
          <cell r="AH3743" t="str">
            <v>FH47G-DRN100LS4270-X</v>
          </cell>
        </row>
        <row r="3744">
          <cell r="A3744" t="str">
            <v>MR003733</v>
          </cell>
          <cell r="B3744" t="str">
            <v>MR</v>
          </cell>
          <cell r="C3744">
            <v>4</v>
          </cell>
          <cell r="D3744">
            <v>63</v>
          </cell>
          <cell r="E3744" t="str">
            <v>R77</v>
          </cell>
          <cell r="F3744">
            <v>605</v>
          </cell>
          <cell r="G3744">
            <v>23.37</v>
          </cell>
          <cell r="H3744">
            <v>1.35</v>
          </cell>
          <cell r="I3744" t="str">
            <v>M1</v>
          </cell>
          <cell r="J3744" t="str">
            <v>IE3</v>
          </cell>
          <cell r="K3744" t="str">
            <v>230/400</v>
          </cell>
          <cell r="L3744">
            <v>50</v>
          </cell>
          <cell r="M3744" t="str">
            <v>13,8/7,9</v>
          </cell>
          <cell r="N3744">
            <v>65</v>
          </cell>
          <cell r="O3744" t="str">
            <v>155(F)</v>
          </cell>
          <cell r="P3744" t="str">
            <v>270°</v>
          </cell>
          <cell r="Q3744" t="str">
            <v>-</v>
          </cell>
          <cell r="R3744" t="str">
            <v>-</v>
          </cell>
          <cell r="S3744" t="str">
            <v>-</v>
          </cell>
          <cell r="T3744" t="str">
            <v>-</v>
          </cell>
          <cell r="U3744" t="str">
            <v>-</v>
          </cell>
          <cell r="V3744" t="str">
            <v>D</v>
          </cell>
          <cell r="W3744" t="str">
            <v>-</v>
          </cell>
          <cell r="X3744" t="str">
            <v>CLP HC 150 (-30/+50°C)</v>
          </cell>
          <cell r="Y3744" t="str">
            <v>R77DRN112M4</v>
          </cell>
          <cell r="Z3744" t="str">
            <v>SEW</v>
          </cell>
          <cell r="AB3744" t="str">
            <v>-</v>
          </cell>
          <cell r="AF3744">
            <v>63</v>
          </cell>
          <cell r="AG3744" t="str">
            <v>DRN112M4</v>
          </cell>
          <cell r="AH3744" t="str">
            <v>R77-DRN112M4270-X</v>
          </cell>
        </row>
        <row r="3745">
          <cell r="A3745" t="str">
            <v>MR003734</v>
          </cell>
          <cell r="B3745" t="str">
            <v>MR</v>
          </cell>
          <cell r="C3745">
            <v>9.1999999999999993</v>
          </cell>
          <cell r="D3745">
            <v>15</v>
          </cell>
          <cell r="E3745" t="str">
            <v>KH107</v>
          </cell>
          <cell r="F3745">
            <v>6020</v>
          </cell>
          <cell r="G3745">
            <v>100.75</v>
          </cell>
          <cell r="H3745">
            <v>1.35</v>
          </cell>
          <cell r="I3745" t="str">
            <v>From M1B to M2B - 5°</v>
          </cell>
          <cell r="J3745" t="str">
            <v>IE3</v>
          </cell>
          <cell r="K3745" t="str">
            <v>400/690</v>
          </cell>
          <cell r="L3745">
            <v>50</v>
          </cell>
          <cell r="M3745" t="str">
            <v>18,7/10,8</v>
          </cell>
          <cell r="N3745">
            <v>65</v>
          </cell>
          <cell r="O3745" t="str">
            <v>155(F)</v>
          </cell>
          <cell r="P3745" t="str">
            <v>270°</v>
          </cell>
          <cell r="Q3745" t="str">
            <v>-</v>
          </cell>
          <cell r="R3745" t="str">
            <v>-</v>
          </cell>
          <cell r="S3745" t="str">
            <v>-</v>
          </cell>
          <cell r="T3745" t="str">
            <v>-</v>
          </cell>
          <cell r="U3745" t="str">
            <v>-</v>
          </cell>
          <cell r="V3745" t="str">
            <v>SS</v>
          </cell>
          <cell r="W3745" t="str">
            <v>-</v>
          </cell>
          <cell r="X3745" t="str">
            <v>CLP HC 150 (-30/+50°C)</v>
          </cell>
          <cell r="Y3745" t="str">
            <v>KH107DRN132L4</v>
          </cell>
          <cell r="Z3745" t="str">
            <v>SEW</v>
          </cell>
          <cell r="AB3745" t="str">
            <v>-</v>
          </cell>
          <cell r="AF3745">
            <v>15</v>
          </cell>
          <cell r="AG3745" t="str">
            <v>DRN132L4</v>
          </cell>
          <cell r="AH3745" t="str">
            <v>KH107-DRN132L4B270-X</v>
          </cell>
        </row>
        <row r="3746">
          <cell r="A3746" t="str">
            <v>MR003735</v>
          </cell>
          <cell r="B3746" t="str">
            <v>MR</v>
          </cell>
          <cell r="C3746">
            <v>11</v>
          </cell>
          <cell r="D3746">
            <v>15</v>
          </cell>
          <cell r="E3746" t="str">
            <v>KH107</v>
          </cell>
          <cell r="F3746">
            <v>7180</v>
          </cell>
          <cell r="G3746">
            <v>100.75</v>
          </cell>
          <cell r="H3746">
            <v>1.1000000000000001</v>
          </cell>
          <cell r="I3746" t="str">
            <v>From M1B to M2B - 30°</v>
          </cell>
          <cell r="J3746" t="str">
            <v>IE3</v>
          </cell>
          <cell r="K3746" t="str">
            <v>400/690</v>
          </cell>
          <cell r="L3746">
            <v>50</v>
          </cell>
          <cell r="M3746" t="str">
            <v>21/12,2</v>
          </cell>
          <cell r="N3746">
            <v>65</v>
          </cell>
          <cell r="O3746" t="str">
            <v>155(F)</v>
          </cell>
          <cell r="P3746" t="str">
            <v>270°</v>
          </cell>
          <cell r="Q3746" t="str">
            <v>-</v>
          </cell>
          <cell r="R3746" t="str">
            <v>-</v>
          </cell>
          <cell r="S3746" t="str">
            <v>-</v>
          </cell>
          <cell r="T3746" t="str">
            <v>-</v>
          </cell>
          <cell r="U3746" t="str">
            <v>-</v>
          </cell>
          <cell r="V3746" t="str">
            <v>SS</v>
          </cell>
          <cell r="W3746" t="str">
            <v>-</v>
          </cell>
          <cell r="X3746" t="str">
            <v>CLP HC 150 (-30/+50°C)</v>
          </cell>
          <cell r="Y3746" t="str">
            <v>KH107DRN160M4</v>
          </cell>
          <cell r="Z3746" t="str">
            <v>SEW</v>
          </cell>
          <cell r="AB3746" t="str">
            <v>-</v>
          </cell>
          <cell r="AF3746">
            <v>15</v>
          </cell>
          <cell r="AG3746" t="str">
            <v>DRN160M4</v>
          </cell>
          <cell r="AH3746" t="str">
            <v>KH107-DRN160M4B270-X</v>
          </cell>
        </row>
        <row r="3747">
          <cell r="A3747" t="str">
            <v>MR003736</v>
          </cell>
          <cell r="B3747" t="str">
            <v>MR</v>
          </cell>
          <cell r="C3747">
            <v>2.2000000000000002</v>
          </cell>
          <cell r="D3747">
            <v>84</v>
          </cell>
          <cell r="E3747" t="str">
            <v>FH47</v>
          </cell>
          <cell r="F3747">
            <v>250</v>
          </cell>
          <cell r="G3747">
            <v>17.329999999999998</v>
          </cell>
          <cell r="H3747">
            <v>1.6</v>
          </cell>
          <cell r="I3747" t="str">
            <v>From M1 to M6 - 65°</v>
          </cell>
          <cell r="J3747" t="str">
            <v>IE3</v>
          </cell>
          <cell r="K3747" t="str">
            <v>230/400</v>
          </cell>
          <cell r="L3747">
            <v>50</v>
          </cell>
          <cell r="M3747" t="str">
            <v>8,3/4,75</v>
          </cell>
          <cell r="N3747">
            <v>65</v>
          </cell>
          <cell r="O3747" t="str">
            <v>155(F)</v>
          </cell>
          <cell r="P3747" t="str">
            <v>270°</v>
          </cell>
          <cell r="Q3747" t="str">
            <v>-</v>
          </cell>
          <cell r="R3747" t="str">
            <v>-</v>
          </cell>
          <cell r="S3747" t="str">
            <v>Free rotation CCW</v>
          </cell>
          <cell r="T3747" t="str">
            <v>-</v>
          </cell>
          <cell r="U3747" t="str">
            <v>G</v>
          </cell>
          <cell r="V3747" t="str">
            <v>D</v>
          </cell>
          <cell r="W3747" t="str">
            <v>-</v>
          </cell>
          <cell r="X3747" t="str">
            <v>CLP HC 150 (-30/+50°C)</v>
          </cell>
          <cell r="Y3747" t="str">
            <v>FH47/G DRN100LS4 /RS</v>
          </cell>
          <cell r="Z3747" t="str">
            <v>SEW</v>
          </cell>
          <cell r="AB3747" t="str">
            <v>-</v>
          </cell>
          <cell r="AF3747">
            <v>84</v>
          </cell>
          <cell r="AG3747" t="str">
            <v>DRN100LS4</v>
          </cell>
          <cell r="AH3747" t="str">
            <v>FH47G-DRN100LS4270-X</v>
          </cell>
        </row>
        <row r="3748">
          <cell r="A3748" t="str">
            <v>MR003737</v>
          </cell>
          <cell r="B3748" t="str">
            <v>MR</v>
          </cell>
          <cell r="C3748">
            <v>22</v>
          </cell>
          <cell r="D3748">
            <v>57</v>
          </cell>
          <cell r="E3748" t="str">
            <v>R127</v>
          </cell>
          <cell r="F3748">
            <v>3700</v>
          </cell>
          <cell r="G3748">
            <v>26.04</v>
          </cell>
          <cell r="H3748">
            <v>1.6</v>
          </cell>
          <cell r="I3748" t="str">
            <v>From M1 to M4 - 15°</v>
          </cell>
          <cell r="J3748" t="str">
            <v>IE3</v>
          </cell>
          <cell r="K3748" t="str">
            <v>400/690</v>
          </cell>
          <cell r="L3748">
            <v>50</v>
          </cell>
          <cell r="M3748" t="str">
            <v>38,5/22,5</v>
          </cell>
          <cell r="N3748">
            <v>65</v>
          </cell>
          <cell r="O3748" t="str">
            <v>155(F)</v>
          </cell>
          <cell r="P3748" t="str">
            <v>270°</v>
          </cell>
          <cell r="Q3748" t="str">
            <v>-</v>
          </cell>
          <cell r="R3748" t="str">
            <v>-</v>
          </cell>
          <cell r="S3748" t="str">
            <v>-</v>
          </cell>
          <cell r="T3748" t="str">
            <v>-</v>
          </cell>
          <cell r="U3748" t="str">
            <v>-</v>
          </cell>
          <cell r="V3748" t="str">
            <v>D</v>
          </cell>
          <cell r="W3748" t="str">
            <v>-</v>
          </cell>
          <cell r="X3748" t="str">
            <v>CLP HC 150 (-30/+50°C)</v>
          </cell>
          <cell r="Y3748" t="str">
            <v>R127DRN180L4</v>
          </cell>
          <cell r="Z3748" t="str">
            <v>SEW</v>
          </cell>
          <cell r="AB3748" t="str">
            <v>-</v>
          </cell>
          <cell r="AF3748">
            <v>57</v>
          </cell>
          <cell r="AG3748" t="str">
            <v>DRN180L4</v>
          </cell>
          <cell r="AH3748" t="str">
            <v>R127-DRN180L4270-X</v>
          </cell>
        </row>
        <row r="3749">
          <cell r="A3749" t="str">
            <v>MR003738</v>
          </cell>
          <cell r="B3749" t="str">
            <v>MR</v>
          </cell>
          <cell r="C3749">
            <v>15</v>
          </cell>
          <cell r="D3749">
            <v>59</v>
          </cell>
          <cell r="E3749" t="str">
            <v>KH87</v>
          </cell>
          <cell r="F3749">
            <v>2420</v>
          </cell>
          <cell r="G3749">
            <v>24.92</v>
          </cell>
          <cell r="H3749">
            <v>1.05</v>
          </cell>
          <cell r="I3749" t="str">
            <v>M4B</v>
          </cell>
          <cell r="J3749" t="str">
            <v>IE3</v>
          </cell>
          <cell r="K3749" t="str">
            <v>400/690</v>
          </cell>
          <cell r="L3749">
            <v>50</v>
          </cell>
          <cell r="M3749" t="str">
            <v>29/16,7</v>
          </cell>
          <cell r="N3749">
            <v>65</v>
          </cell>
          <cell r="O3749" t="str">
            <v>155(F)</v>
          </cell>
          <cell r="P3749" t="str">
            <v>270°</v>
          </cell>
          <cell r="Q3749" t="str">
            <v>-</v>
          </cell>
          <cell r="R3749" t="str">
            <v>-</v>
          </cell>
          <cell r="S3749" t="str">
            <v>Free rotation CW</v>
          </cell>
          <cell r="T3749" t="str">
            <v>-</v>
          </cell>
          <cell r="U3749" t="str">
            <v>T</v>
          </cell>
          <cell r="V3749" t="str">
            <v>SS</v>
          </cell>
          <cell r="W3749" t="str">
            <v>-</v>
          </cell>
          <cell r="X3749" t="str">
            <v>CLP HC 150 (-30/+50°C)</v>
          </cell>
          <cell r="Y3749" t="str">
            <v>KH87/T DRN160L4 /RS</v>
          </cell>
          <cell r="Z3749" t="str">
            <v>SEW</v>
          </cell>
          <cell r="AB3749" t="str">
            <v>-</v>
          </cell>
          <cell r="AF3749">
            <v>59</v>
          </cell>
          <cell r="AG3749" t="str">
            <v>DRN160L4</v>
          </cell>
          <cell r="AH3749" t="str">
            <v>KH87T-DRN160L4B270-X</v>
          </cell>
        </row>
        <row r="3750">
          <cell r="A3750" t="str">
            <v>MR003739</v>
          </cell>
          <cell r="B3750" t="str">
            <v>MR</v>
          </cell>
          <cell r="C3750">
            <v>15</v>
          </cell>
          <cell r="D3750">
            <v>59</v>
          </cell>
          <cell r="E3750" t="str">
            <v>KH87</v>
          </cell>
          <cell r="F3750">
            <v>2420</v>
          </cell>
          <cell r="G3750">
            <v>24.92</v>
          </cell>
          <cell r="H3750">
            <v>1.05</v>
          </cell>
          <cell r="I3750" t="str">
            <v>M4B</v>
          </cell>
          <cell r="J3750" t="str">
            <v>IE3</v>
          </cell>
          <cell r="K3750" t="str">
            <v>400/690</v>
          </cell>
          <cell r="L3750">
            <v>50</v>
          </cell>
          <cell r="M3750" t="str">
            <v>29/16,7</v>
          </cell>
          <cell r="N3750">
            <v>65</v>
          </cell>
          <cell r="O3750" t="str">
            <v>155(F)</v>
          </cell>
          <cell r="P3750" t="str">
            <v>270°</v>
          </cell>
          <cell r="Q3750" t="str">
            <v>-</v>
          </cell>
          <cell r="R3750" t="str">
            <v>-</v>
          </cell>
          <cell r="S3750" t="str">
            <v>-</v>
          </cell>
          <cell r="T3750" t="str">
            <v>-</v>
          </cell>
          <cell r="U3750" t="str">
            <v>T</v>
          </cell>
          <cell r="V3750" t="str">
            <v>SS</v>
          </cell>
          <cell r="W3750" t="str">
            <v>-</v>
          </cell>
          <cell r="X3750" t="str">
            <v>CLP HC 150 (-30/+50°C)</v>
          </cell>
          <cell r="Y3750" t="str">
            <v>KH87/T DRN160L4</v>
          </cell>
          <cell r="Z3750" t="str">
            <v>SEW</v>
          </cell>
          <cell r="AB3750" t="str">
            <v>-</v>
          </cell>
          <cell r="AF3750">
            <v>59</v>
          </cell>
          <cell r="AG3750" t="str">
            <v>DRN160L4</v>
          </cell>
          <cell r="AH3750" t="str">
            <v>KH87T-DRN160L4B270-X</v>
          </cell>
        </row>
        <row r="3751">
          <cell r="A3751" t="str">
            <v>MR003740</v>
          </cell>
          <cell r="B3751" t="str">
            <v>MR</v>
          </cell>
          <cell r="C3751">
            <v>0.75</v>
          </cell>
          <cell r="D3751">
            <v>162</v>
          </cell>
          <cell r="E3751" t="str">
            <v>KH37</v>
          </cell>
          <cell r="F3751">
            <v>44</v>
          </cell>
          <cell r="G3751">
            <v>8.91</v>
          </cell>
          <cell r="H3751">
            <v>3.6</v>
          </cell>
          <cell r="I3751" t="str">
            <v>From M1B to M2B - 25°</v>
          </cell>
          <cell r="J3751" t="str">
            <v>IE3</v>
          </cell>
          <cell r="K3751" t="str">
            <v>230/400</v>
          </cell>
          <cell r="L3751">
            <v>50</v>
          </cell>
          <cell r="M3751" t="str">
            <v>3,05/1,75</v>
          </cell>
          <cell r="N3751">
            <v>65</v>
          </cell>
          <cell r="O3751" t="str">
            <v>155(F)</v>
          </cell>
          <cell r="P3751" t="str">
            <v>270°</v>
          </cell>
          <cell r="Q3751" t="str">
            <v>-</v>
          </cell>
          <cell r="R3751" t="str">
            <v>-</v>
          </cell>
          <cell r="S3751" t="str">
            <v>-</v>
          </cell>
          <cell r="T3751" t="str">
            <v>-</v>
          </cell>
          <cell r="U3751" t="str">
            <v>T</v>
          </cell>
          <cell r="V3751" t="str">
            <v>D</v>
          </cell>
          <cell r="W3751" t="str">
            <v>-</v>
          </cell>
          <cell r="X3751" t="str">
            <v>CLP HC 150 (-30/+50°C)</v>
          </cell>
          <cell r="Y3751" t="str">
            <v>KH37/T DRN80M4</v>
          </cell>
          <cell r="Z3751" t="str">
            <v>SEW</v>
          </cell>
          <cell r="AB3751" t="str">
            <v>-</v>
          </cell>
          <cell r="AE3751" t="str">
            <v>MEGLIO KA37 PER PROSSIMI IMPIANTI</v>
          </cell>
          <cell r="AF3751">
            <v>162</v>
          </cell>
          <cell r="AG3751" t="str">
            <v>DRN80M4</v>
          </cell>
          <cell r="AH3751" t="str">
            <v>KH37T-DRN80M4B270-X</v>
          </cell>
        </row>
        <row r="3752">
          <cell r="A3752" t="str">
            <v>MR003741</v>
          </cell>
          <cell r="B3752" t="str">
            <v>MR</v>
          </cell>
          <cell r="C3752">
            <v>22</v>
          </cell>
          <cell r="D3752">
            <v>47</v>
          </cell>
          <cell r="E3752" t="str">
            <v>KH107</v>
          </cell>
          <cell r="F3752">
            <v>4440</v>
          </cell>
          <cell r="G3752">
            <v>31.28</v>
          </cell>
          <cell r="H3752">
            <v>1.55</v>
          </cell>
          <cell r="I3752" t="str">
            <v>M4B</v>
          </cell>
          <cell r="J3752" t="str">
            <v>IE3</v>
          </cell>
          <cell r="K3752" t="str">
            <v>400/690</v>
          </cell>
          <cell r="L3752">
            <v>50</v>
          </cell>
          <cell r="M3752" t="str">
            <v>38,5/22,5</v>
          </cell>
          <cell r="N3752">
            <v>65</v>
          </cell>
          <cell r="O3752" t="str">
            <v>155(F)</v>
          </cell>
          <cell r="P3752" t="str">
            <v>270°</v>
          </cell>
          <cell r="Q3752" t="str">
            <v>-</v>
          </cell>
          <cell r="R3752" t="str">
            <v>-</v>
          </cell>
          <cell r="S3752" t="str">
            <v>Free rotation CW</v>
          </cell>
          <cell r="T3752" t="str">
            <v>-</v>
          </cell>
          <cell r="U3752" t="str">
            <v>T</v>
          </cell>
          <cell r="V3752" t="str">
            <v>SS</v>
          </cell>
          <cell r="W3752" t="str">
            <v>-</v>
          </cell>
          <cell r="X3752" t="str">
            <v>CLP HC 150 (-30/+50°C)</v>
          </cell>
          <cell r="Y3752" t="str">
            <v>KH107/T DRN180L4 /RS</v>
          </cell>
          <cell r="Z3752" t="str">
            <v>SEW</v>
          </cell>
          <cell r="AB3752" t="str">
            <v>-</v>
          </cell>
          <cell r="AF3752">
            <v>47</v>
          </cell>
          <cell r="AG3752" t="str">
            <v>DRN180L4</v>
          </cell>
          <cell r="AH3752" t="str">
            <v>KH107T-DRN180L4B270-X</v>
          </cell>
        </row>
        <row r="3753">
          <cell r="A3753" t="str">
            <v>MR003742</v>
          </cell>
          <cell r="B3753" t="str">
            <v>MR</v>
          </cell>
          <cell r="C3753">
            <v>5.5</v>
          </cell>
          <cell r="D3753">
            <v>14</v>
          </cell>
          <cell r="E3753" t="str">
            <v>KH97</v>
          </cell>
          <cell r="F3753">
            <v>3770</v>
          </cell>
          <cell r="G3753">
            <v>105.13</v>
          </cell>
          <cell r="H3753">
            <v>1.1499999999999999</v>
          </cell>
          <cell r="I3753" t="str">
            <v>From M1B to M2B - 35°</v>
          </cell>
          <cell r="J3753" t="str">
            <v>IE3</v>
          </cell>
          <cell r="K3753" t="str">
            <v>230/400</v>
          </cell>
          <cell r="L3753">
            <v>50</v>
          </cell>
          <cell r="M3753" t="str">
            <v>18,2/10,5</v>
          </cell>
          <cell r="N3753">
            <v>65</v>
          </cell>
          <cell r="O3753" t="str">
            <v>155(F)</v>
          </cell>
          <cell r="P3753" t="str">
            <v>270°</v>
          </cell>
          <cell r="Q3753" t="str">
            <v>-</v>
          </cell>
          <cell r="R3753" t="str">
            <v>-</v>
          </cell>
          <cell r="S3753" t="str">
            <v>-</v>
          </cell>
          <cell r="T3753" t="str">
            <v>-</v>
          </cell>
          <cell r="U3753" t="str">
            <v>-</v>
          </cell>
          <cell r="V3753" t="str">
            <v>SS</v>
          </cell>
          <cell r="W3753" t="str">
            <v>-</v>
          </cell>
          <cell r="X3753" t="str">
            <v>CLP HC 150 (-30/+50°C)</v>
          </cell>
          <cell r="Y3753" t="str">
            <v>KH97DRN132S4</v>
          </cell>
          <cell r="Z3753" t="str">
            <v>SEW</v>
          </cell>
          <cell r="AB3753" t="str">
            <v>-</v>
          </cell>
          <cell r="AF3753">
            <v>14</v>
          </cell>
          <cell r="AG3753" t="str">
            <v>DRN132S4</v>
          </cell>
          <cell r="AH3753" t="str">
            <v>KH97-DRN132S4B270-X</v>
          </cell>
        </row>
        <row r="3754">
          <cell r="A3754" t="str">
            <v>MR003743</v>
          </cell>
          <cell r="B3754" t="str">
            <v>MR</v>
          </cell>
          <cell r="C3754">
            <v>5.5</v>
          </cell>
          <cell r="D3754">
            <v>57</v>
          </cell>
          <cell r="E3754" t="str">
            <v>KH77</v>
          </cell>
          <cell r="F3754">
            <v>920</v>
          </cell>
          <cell r="G3754">
            <v>25.62</v>
          </cell>
          <cell r="H3754">
            <v>1.7</v>
          </cell>
          <cell r="I3754" t="str">
            <v>M4A</v>
          </cell>
          <cell r="J3754" t="str">
            <v>IE3</v>
          </cell>
          <cell r="K3754" t="str">
            <v>230/400</v>
          </cell>
          <cell r="L3754">
            <v>50</v>
          </cell>
          <cell r="M3754" t="str">
            <v>18,2/10,5</v>
          </cell>
          <cell r="N3754">
            <v>65</v>
          </cell>
          <cell r="O3754" t="str">
            <v>155(F)</v>
          </cell>
          <cell r="P3754" t="str">
            <v>270°</v>
          </cell>
          <cell r="Q3754" t="str">
            <v>-</v>
          </cell>
          <cell r="R3754" t="str">
            <v>-</v>
          </cell>
          <cell r="S3754" t="str">
            <v>-</v>
          </cell>
          <cell r="T3754" t="str">
            <v>-</v>
          </cell>
          <cell r="U3754" t="str">
            <v>T</v>
          </cell>
          <cell r="V3754" t="str">
            <v>SS</v>
          </cell>
          <cell r="W3754" t="str">
            <v>-</v>
          </cell>
          <cell r="X3754" t="str">
            <v>CLP HC 150 (-30/+50°C)</v>
          </cell>
          <cell r="Y3754" t="str">
            <v>KH77/T DRN132S4</v>
          </cell>
          <cell r="Z3754" t="str">
            <v>SEW</v>
          </cell>
          <cell r="AB3754" t="str">
            <v>-</v>
          </cell>
          <cell r="AF3754">
            <v>57</v>
          </cell>
          <cell r="AG3754" t="str">
            <v>DRN132S4</v>
          </cell>
          <cell r="AH3754" t="str">
            <v>KH77T-DRN132S4A270-X</v>
          </cell>
        </row>
        <row r="3755">
          <cell r="A3755" t="str">
            <v>MR003744</v>
          </cell>
          <cell r="B3755" t="str">
            <v>MR</v>
          </cell>
          <cell r="C3755">
            <v>0.75</v>
          </cell>
          <cell r="D3755">
            <v>162</v>
          </cell>
          <cell r="E3755" t="str">
            <v>KH37</v>
          </cell>
          <cell r="F3755">
            <v>44</v>
          </cell>
          <cell r="G3755">
            <v>8.91</v>
          </cell>
          <cell r="H3755">
            <v>3.6</v>
          </cell>
          <cell r="I3755" t="str">
            <v>M1A</v>
          </cell>
          <cell r="J3755" t="str">
            <v>IE3</v>
          </cell>
          <cell r="K3755" t="str">
            <v>230/400</v>
          </cell>
          <cell r="L3755">
            <v>50</v>
          </cell>
          <cell r="M3755" t="str">
            <v>3,05/1,75</v>
          </cell>
          <cell r="N3755">
            <v>65</v>
          </cell>
          <cell r="O3755" t="str">
            <v>155(F)</v>
          </cell>
          <cell r="P3755" t="str">
            <v>270°</v>
          </cell>
          <cell r="Q3755" t="str">
            <v>-</v>
          </cell>
          <cell r="R3755" t="str">
            <v>-</v>
          </cell>
          <cell r="S3755" t="str">
            <v>-</v>
          </cell>
          <cell r="T3755" t="str">
            <v>-</v>
          </cell>
          <cell r="U3755" t="str">
            <v>T</v>
          </cell>
          <cell r="V3755" t="str">
            <v>D</v>
          </cell>
          <cell r="W3755" t="str">
            <v>-</v>
          </cell>
          <cell r="X3755" t="str">
            <v>CLP HC 150 (-30/+50°C)</v>
          </cell>
          <cell r="Y3755" t="str">
            <v>KH37/T DRN80M4</v>
          </cell>
          <cell r="Z3755" t="str">
            <v>SEW</v>
          </cell>
          <cell r="AB3755" t="str">
            <v>-</v>
          </cell>
          <cell r="AE3755" t="str">
            <v>MEGLIO KA37 PER PROSSIMI IMPIANTI</v>
          </cell>
          <cell r="AF3755">
            <v>162</v>
          </cell>
          <cell r="AG3755" t="str">
            <v>DRN80M4</v>
          </cell>
          <cell r="AH3755" t="str">
            <v>KH37T-DRN80M4A270-X</v>
          </cell>
        </row>
        <row r="3756">
          <cell r="A3756" t="str">
            <v>MR003745</v>
          </cell>
          <cell r="B3756" t="str">
            <v>MR</v>
          </cell>
          <cell r="C3756">
            <v>5.5</v>
          </cell>
          <cell r="D3756">
            <v>62</v>
          </cell>
          <cell r="E3756" t="str">
            <v>R87</v>
          </cell>
          <cell r="F3756">
            <v>840</v>
          </cell>
          <cell r="G3756">
            <v>23.4</v>
          </cell>
          <cell r="H3756">
            <v>1.85</v>
          </cell>
          <cell r="I3756" t="str">
            <v>From M1 to M4 - 10°</v>
          </cell>
          <cell r="J3756" t="str">
            <v>IE3</v>
          </cell>
          <cell r="K3756" t="str">
            <v>230/400</v>
          </cell>
          <cell r="L3756">
            <v>50</v>
          </cell>
          <cell r="M3756" t="str">
            <v>18,2/10,5</v>
          </cell>
          <cell r="N3756">
            <v>65</v>
          </cell>
          <cell r="O3756" t="str">
            <v>155(F)</v>
          </cell>
          <cell r="P3756" t="str">
            <v>270°</v>
          </cell>
          <cell r="Q3756" t="str">
            <v>-</v>
          </cell>
          <cell r="R3756" t="str">
            <v>-</v>
          </cell>
          <cell r="S3756" t="str">
            <v>-</v>
          </cell>
          <cell r="T3756" t="str">
            <v>-</v>
          </cell>
          <cell r="U3756" t="str">
            <v>-</v>
          </cell>
          <cell r="V3756" t="str">
            <v>D</v>
          </cell>
          <cell r="W3756" t="str">
            <v>-</v>
          </cell>
          <cell r="X3756" t="str">
            <v>CLP HC 150 (-30/+50°C)</v>
          </cell>
          <cell r="Y3756" t="str">
            <v>R87DRN132S4</v>
          </cell>
          <cell r="Z3756" t="str">
            <v>SEW</v>
          </cell>
          <cell r="AB3756" t="str">
            <v>-</v>
          </cell>
          <cell r="AF3756">
            <v>62</v>
          </cell>
          <cell r="AG3756" t="str">
            <v>DRN132S4</v>
          </cell>
          <cell r="AH3756" t="str">
            <v>R87-DRN132S4270-X</v>
          </cell>
        </row>
        <row r="3757">
          <cell r="A3757" t="str">
            <v>MR003746</v>
          </cell>
          <cell r="B3757" t="str">
            <v>MR</v>
          </cell>
          <cell r="C3757">
            <v>9.1999999999999993</v>
          </cell>
          <cell r="D3757">
            <v>76</v>
          </cell>
          <cell r="E3757" t="str">
            <v>KH87</v>
          </cell>
          <cell r="F3757">
            <v>1160</v>
          </cell>
          <cell r="G3757">
            <v>19.45</v>
          </cell>
          <cell r="H3757">
            <v>2</v>
          </cell>
          <cell r="I3757" t="str">
            <v>M4A</v>
          </cell>
          <cell r="J3757" t="str">
            <v>IE3</v>
          </cell>
          <cell r="K3757" t="str">
            <v>400/690</v>
          </cell>
          <cell r="L3757">
            <v>50</v>
          </cell>
          <cell r="M3757" t="str">
            <v>18,7/10,8</v>
          </cell>
          <cell r="N3757">
            <v>65</v>
          </cell>
          <cell r="O3757" t="str">
            <v>155(F)</v>
          </cell>
          <cell r="P3757" t="str">
            <v>270°</v>
          </cell>
          <cell r="Q3757" t="str">
            <v>-</v>
          </cell>
          <cell r="R3757" t="str">
            <v>-</v>
          </cell>
          <cell r="S3757" t="str">
            <v>Free rotation CCW</v>
          </cell>
          <cell r="T3757" t="str">
            <v>-</v>
          </cell>
          <cell r="U3757" t="str">
            <v>T</v>
          </cell>
          <cell r="V3757" t="str">
            <v>SS</v>
          </cell>
          <cell r="W3757" t="str">
            <v>-</v>
          </cell>
          <cell r="X3757" t="str">
            <v>CLP HC 150 (-30/+50°C)</v>
          </cell>
          <cell r="Y3757" t="str">
            <v>KH87/T DRN132L4 /RS</v>
          </cell>
          <cell r="Z3757" t="str">
            <v>SEW</v>
          </cell>
          <cell r="AB3757" t="str">
            <v>-</v>
          </cell>
          <cell r="AF3757">
            <v>76</v>
          </cell>
          <cell r="AG3757" t="str">
            <v>DRN132L4</v>
          </cell>
          <cell r="AH3757" t="str">
            <v>KH87T-DRN132L4A270-X</v>
          </cell>
        </row>
        <row r="3758">
          <cell r="A3758" t="str">
            <v>MR003747</v>
          </cell>
          <cell r="B3758" t="str">
            <v>MR</v>
          </cell>
          <cell r="C3758">
            <v>0.75</v>
          </cell>
          <cell r="D3758">
            <v>162</v>
          </cell>
          <cell r="E3758" t="str">
            <v>KH37</v>
          </cell>
          <cell r="F3758">
            <v>44</v>
          </cell>
          <cell r="G3758">
            <v>8.91</v>
          </cell>
          <cell r="H3758">
            <v>3.6</v>
          </cell>
          <cell r="I3758" t="str">
            <v>From M1A to M2A - 5°</v>
          </cell>
          <cell r="J3758" t="str">
            <v>IE3</v>
          </cell>
          <cell r="K3758" t="str">
            <v>230/400</v>
          </cell>
          <cell r="L3758">
            <v>50</v>
          </cell>
          <cell r="M3758" t="str">
            <v>3,05/1,75</v>
          </cell>
          <cell r="N3758">
            <v>65</v>
          </cell>
          <cell r="O3758" t="str">
            <v>155(F)</v>
          </cell>
          <cell r="P3758" t="str">
            <v>270°</v>
          </cell>
          <cell r="Q3758" t="str">
            <v>-</v>
          </cell>
          <cell r="R3758" t="str">
            <v>-</v>
          </cell>
          <cell r="S3758" t="str">
            <v>-</v>
          </cell>
          <cell r="T3758" t="str">
            <v>-</v>
          </cell>
          <cell r="U3758" t="str">
            <v>T</v>
          </cell>
          <cell r="V3758" t="str">
            <v>D</v>
          </cell>
          <cell r="W3758" t="str">
            <v>-</v>
          </cell>
          <cell r="X3758" t="str">
            <v>CLP HC 150 (-30/+50°C)</v>
          </cell>
          <cell r="Y3758" t="str">
            <v>KH37/T DRN80M4</v>
          </cell>
          <cell r="Z3758" t="str">
            <v>SEW</v>
          </cell>
          <cell r="AB3758" t="str">
            <v>-</v>
          </cell>
          <cell r="AE3758" t="str">
            <v>MEGLIO KA37 PER PROSSIMI IMPIANTI</v>
          </cell>
          <cell r="AF3758">
            <v>162</v>
          </cell>
          <cell r="AG3758" t="str">
            <v>DRN80M4</v>
          </cell>
          <cell r="AH3758" t="str">
            <v>KH37T-DRN80M4A270-X</v>
          </cell>
        </row>
        <row r="3759">
          <cell r="A3759" t="str">
            <v>MR003748</v>
          </cell>
          <cell r="B3759" t="str">
            <v>MR</v>
          </cell>
          <cell r="C3759">
            <v>7.5</v>
          </cell>
          <cell r="D3759">
            <v>15</v>
          </cell>
          <cell r="E3759" t="str">
            <v>KH107</v>
          </cell>
          <cell r="F3759">
            <v>4920</v>
          </cell>
          <cell r="G3759">
            <v>100.75</v>
          </cell>
          <cell r="H3759">
            <v>1.65</v>
          </cell>
          <cell r="I3759" t="str">
            <v>From M1A to M2A - 40°</v>
          </cell>
          <cell r="J3759" t="str">
            <v>IE3</v>
          </cell>
          <cell r="K3759" t="str">
            <v>400/690</v>
          </cell>
          <cell r="L3759">
            <v>50</v>
          </cell>
          <cell r="M3759" t="str">
            <v>15,2/8,8</v>
          </cell>
          <cell r="N3759">
            <v>65</v>
          </cell>
          <cell r="O3759" t="str">
            <v>155(F)</v>
          </cell>
          <cell r="P3759" t="str">
            <v>270°</v>
          </cell>
          <cell r="Q3759" t="str">
            <v>-</v>
          </cell>
          <cell r="R3759" t="str">
            <v>-</v>
          </cell>
          <cell r="S3759" t="str">
            <v>-</v>
          </cell>
          <cell r="T3759" t="str">
            <v>-</v>
          </cell>
          <cell r="U3759" t="str">
            <v>-</v>
          </cell>
          <cell r="V3759" t="str">
            <v>SS</v>
          </cell>
          <cell r="W3759" t="str">
            <v>-</v>
          </cell>
          <cell r="X3759" t="str">
            <v>CLP HC 150 (-30/+50°C)</v>
          </cell>
          <cell r="Y3759" t="str">
            <v>KH107DRN132M4</v>
          </cell>
          <cell r="Z3759" t="str">
            <v>SEW</v>
          </cell>
          <cell r="AB3759" t="str">
            <v>-</v>
          </cell>
          <cell r="AF3759">
            <v>15</v>
          </cell>
          <cell r="AG3759" t="str">
            <v>DRN132M4</v>
          </cell>
          <cell r="AH3759" t="str">
            <v>KH107-DRN132M4A270-X</v>
          </cell>
        </row>
        <row r="3760">
          <cell r="A3760" t="str">
            <v>MR003749</v>
          </cell>
          <cell r="B3760" t="str">
            <v>MR</v>
          </cell>
          <cell r="C3760">
            <v>18.5</v>
          </cell>
          <cell r="D3760">
            <v>12</v>
          </cell>
          <cell r="E3760" t="str">
            <v>KH157</v>
          </cell>
          <cell r="F3760">
            <v>14600</v>
          </cell>
          <cell r="G3760">
            <v>122.39</v>
          </cell>
          <cell r="H3760">
            <v>1.35</v>
          </cell>
          <cell r="I3760" t="str">
            <v>From M1B to M2B - 5°</v>
          </cell>
          <cell r="J3760" t="str">
            <v>IE3</v>
          </cell>
          <cell r="K3760" t="str">
            <v>400/690</v>
          </cell>
          <cell r="L3760">
            <v>50</v>
          </cell>
          <cell r="M3760" t="str">
            <v>33,5/19,3</v>
          </cell>
          <cell r="N3760">
            <v>65</v>
          </cell>
          <cell r="O3760" t="str">
            <v>155(F)</v>
          </cell>
          <cell r="P3760" t="str">
            <v>270°</v>
          </cell>
          <cell r="Q3760" t="str">
            <v>-</v>
          </cell>
          <cell r="R3760" t="str">
            <v>-</v>
          </cell>
          <cell r="S3760" t="str">
            <v>-</v>
          </cell>
          <cell r="T3760" t="str">
            <v>-</v>
          </cell>
          <cell r="U3760" t="str">
            <v>-</v>
          </cell>
          <cell r="V3760" t="str">
            <v>SS</v>
          </cell>
          <cell r="W3760" t="str">
            <v>-</v>
          </cell>
          <cell r="X3760" t="str">
            <v>CLP HC 150 (-30/+50°C)</v>
          </cell>
          <cell r="Y3760" t="str">
            <v>KH157DRN180M4</v>
          </cell>
          <cell r="Z3760" t="str">
            <v>SEW</v>
          </cell>
          <cell r="AB3760" t="str">
            <v>-</v>
          </cell>
          <cell r="AF3760">
            <v>12</v>
          </cell>
          <cell r="AG3760" t="str">
            <v>DRN180M4</v>
          </cell>
          <cell r="AH3760" t="str">
            <v>KH157-DRN180M4B270-X</v>
          </cell>
        </row>
        <row r="3761">
          <cell r="A3761" t="str">
            <v>MR003750</v>
          </cell>
          <cell r="B3761" t="str">
            <v>MR</v>
          </cell>
          <cell r="C3761">
            <v>7.5</v>
          </cell>
          <cell r="D3761">
            <v>63</v>
          </cell>
          <cell r="E3761" t="str">
            <v>R87</v>
          </cell>
          <cell r="F3761">
            <v>1140</v>
          </cell>
          <cell r="G3761">
            <v>23.4</v>
          </cell>
          <cell r="H3761">
            <v>1.35</v>
          </cell>
          <cell r="I3761" t="str">
            <v>M1</v>
          </cell>
          <cell r="J3761" t="str">
            <v>IE3</v>
          </cell>
          <cell r="K3761" t="str">
            <v>400/690</v>
          </cell>
          <cell r="L3761">
            <v>50</v>
          </cell>
          <cell r="M3761" t="str">
            <v>15,2/8,8</v>
          </cell>
          <cell r="N3761">
            <v>65</v>
          </cell>
          <cell r="O3761" t="str">
            <v>155(F)</v>
          </cell>
          <cell r="P3761" t="str">
            <v>270°</v>
          </cell>
          <cell r="Q3761" t="str">
            <v>-</v>
          </cell>
          <cell r="R3761" t="str">
            <v>-</v>
          </cell>
          <cell r="S3761" t="str">
            <v>-</v>
          </cell>
          <cell r="T3761" t="str">
            <v>-</v>
          </cell>
          <cell r="U3761" t="str">
            <v>-</v>
          </cell>
          <cell r="V3761" t="str">
            <v>D+R</v>
          </cell>
          <cell r="W3761" t="str">
            <v>-</v>
          </cell>
          <cell r="X3761" t="str">
            <v>CLP HC 150 (-30/+50°C)</v>
          </cell>
          <cell r="Y3761" t="str">
            <v>R87DRN132M4</v>
          </cell>
          <cell r="Z3761" t="str">
            <v>SEW</v>
          </cell>
          <cell r="AB3761" t="str">
            <v>-</v>
          </cell>
          <cell r="AF3761">
            <v>63</v>
          </cell>
          <cell r="AG3761" t="str">
            <v>DRN132M4</v>
          </cell>
          <cell r="AH3761" t="str">
            <v>R87-DRN132M4270-X</v>
          </cell>
        </row>
        <row r="3762">
          <cell r="A3762" t="str">
            <v>MR003751</v>
          </cell>
          <cell r="B3762" t="str">
            <v>MR</v>
          </cell>
          <cell r="C3762">
            <v>22</v>
          </cell>
          <cell r="D3762">
            <v>12</v>
          </cell>
          <cell r="E3762" t="str">
            <v>KH157</v>
          </cell>
          <cell r="F3762">
            <v>17400</v>
          </cell>
          <cell r="G3762">
            <v>122.39</v>
          </cell>
          <cell r="H3762">
            <v>1.1499999999999999</v>
          </cell>
          <cell r="I3762" t="str">
            <v>From M1A to M2A - 45°</v>
          </cell>
          <cell r="J3762" t="str">
            <v>IE3</v>
          </cell>
          <cell r="K3762" t="str">
            <v>400/690</v>
          </cell>
          <cell r="L3762">
            <v>50</v>
          </cell>
          <cell r="M3762" t="str">
            <v>38,5/22,5</v>
          </cell>
          <cell r="N3762">
            <v>65</v>
          </cell>
          <cell r="O3762" t="str">
            <v>155(F)</v>
          </cell>
          <cell r="P3762" t="str">
            <v>270°</v>
          </cell>
          <cell r="Q3762" t="str">
            <v>TF</v>
          </cell>
          <cell r="R3762" t="str">
            <v>V(VE)</v>
          </cell>
          <cell r="S3762" t="str">
            <v>-</v>
          </cell>
          <cell r="T3762" t="str">
            <v>-</v>
          </cell>
          <cell r="U3762" t="str">
            <v>-</v>
          </cell>
          <cell r="V3762" t="str">
            <v>FC</v>
          </cell>
          <cell r="W3762" t="str">
            <v>-</v>
          </cell>
          <cell r="X3762" t="str">
            <v>CLP HC 150 (-30/+50°C)</v>
          </cell>
          <cell r="Y3762" t="str">
            <v>KH157DRN180L4 /TF/V</v>
          </cell>
          <cell r="Z3762" t="str">
            <v>SEW</v>
          </cell>
          <cell r="AB3762" t="str">
            <v>-</v>
          </cell>
          <cell r="AF3762">
            <v>12</v>
          </cell>
          <cell r="AG3762" t="str">
            <v>DRN180L4</v>
          </cell>
          <cell r="AH3762" t="str">
            <v>KH157-DRN180L4A270-X#</v>
          </cell>
        </row>
        <row r="3763">
          <cell r="A3763" t="str">
            <v>MR003752</v>
          </cell>
          <cell r="B3763" t="str">
            <v>MR</v>
          </cell>
          <cell r="C3763">
            <v>22</v>
          </cell>
          <cell r="D3763">
            <v>12</v>
          </cell>
          <cell r="E3763" t="str">
            <v>KH157</v>
          </cell>
          <cell r="F3763">
            <v>17400</v>
          </cell>
          <cell r="G3763">
            <v>122.39</v>
          </cell>
          <cell r="H3763">
            <v>1.1499999999999999</v>
          </cell>
          <cell r="I3763" t="str">
            <v>From M1B to M2B - 45°</v>
          </cell>
          <cell r="J3763" t="str">
            <v>IE3</v>
          </cell>
          <cell r="K3763" t="str">
            <v>400/690</v>
          </cell>
          <cell r="L3763">
            <v>50</v>
          </cell>
          <cell r="M3763" t="str">
            <v>38,5/22,5</v>
          </cell>
          <cell r="N3763">
            <v>65</v>
          </cell>
          <cell r="O3763" t="str">
            <v>155(F)</v>
          </cell>
          <cell r="P3763" t="str">
            <v>270°</v>
          </cell>
          <cell r="Q3763" t="str">
            <v>TF</v>
          </cell>
          <cell r="R3763" t="str">
            <v>V(VE)</v>
          </cell>
          <cell r="S3763" t="str">
            <v>-</v>
          </cell>
          <cell r="T3763" t="str">
            <v>-</v>
          </cell>
          <cell r="U3763" t="str">
            <v>-</v>
          </cell>
          <cell r="V3763" t="str">
            <v>FC</v>
          </cell>
          <cell r="W3763" t="str">
            <v>-</v>
          </cell>
          <cell r="X3763" t="str">
            <v>CLP HC 150 (-30/+50°C)</v>
          </cell>
          <cell r="Y3763" t="str">
            <v>KH157DRN180L4 /TF/V</v>
          </cell>
          <cell r="Z3763" t="str">
            <v>SEW</v>
          </cell>
          <cell r="AB3763" t="str">
            <v>-</v>
          </cell>
          <cell r="AF3763">
            <v>12</v>
          </cell>
          <cell r="AG3763" t="str">
            <v>DRN180L4</v>
          </cell>
          <cell r="AH3763" t="str">
            <v>KH157-DRN180L4B270-X#</v>
          </cell>
        </row>
        <row r="3764">
          <cell r="A3764" t="str">
            <v>MR003753</v>
          </cell>
          <cell r="B3764" t="str">
            <v>MR</v>
          </cell>
          <cell r="C3764">
            <v>15</v>
          </cell>
          <cell r="D3764">
            <v>12</v>
          </cell>
          <cell r="E3764" t="str">
            <v>KH127</v>
          </cell>
          <cell r="F3764">
            <v>11900</v>
          </cell>
          <cell r="G3764">
            <v>122.48</v>
          </cell>
          <cell r="H3764">
            <v>1.1000000000000001</v>
          </cell>
          <cell r="I3764" t="str">
            <v>From M1B to M2B - 25°</v>
          </cell>
          <cell r="J3764" t="str">
            <v>IE3</v>
          </cell>
          <cell r="K3764" t="str">
            <v>400/690</v>
          </cell>
          <cell r="L3764">
            <v>50</v>
          </cell>
          <cell r="M3764" t="str">
            <v>29,5/16,9</v>
          </cell>
          <cell r="N3764">
            <v>65</v>
          </cell>
          <cell r="O3764" t="str">
            <v>155(F)</v>
          </cell>
          <cell r="P3764" t="str">
            <v>270°</v>
          </cell>
          <cell r="Q3764" t="str">
            <v>-</v>
          </cell>
          <cell r="R3764" t="str">
            <v>-</v>
          </cell>
          <cell r="S3764" t="str">
            <v>-</v>
          </cell>
          <cell r="T3764" t="str">
            <v>-</v>
          </cell>
          <cell r="U3764" t="str">
            <v>-</v>
          </cell>
          <cell r="V3764" t="str">
            <v>SS</v>
          </cell>
          <cell r="W3764" t="str">
            <v>-</v>
          </cell>
          <cell r="X3764" t="str">
            <v>CLP HC 150 (-30/+50°C)</v>
          </cell>
          <cell r="Y3764" t="str">
            <v>KH127DRN160L4</v>
          </cell>
          <cell r="Z3764" t="str">
            <v>SEW</v>
          </cell>
          <cell r="AB3764" t="str">
            <v>-</v>
          </cell>
          <cell r="AF3764">
            <v>12</v>
          </cell>
          <cell r="AG3764" t="str">
            <v>DRN160L4</v>
          </cell>
          <cell r="AH3764" t="str">
            <v>KH127-DRN160L4B270-X</v>
          </cell>
        </row>
        <row r="3765">
          <cell r="A3765" t="str">
            <v>MR003754</v>
          </cell>
          <cell r="B3765" t="str">
            <v>MR</v>
          </cell>
          <cell r="C3765">
            <v>37</v>
          </cell>
          <cell r="D3765">
            <v>89</v>
          </cell>
          <cell r="E3765" t="str">
            <v>KH107</v>
          </cell>
          <cell r="F3765">
            <v>3990</v>
          </cell>
          <cell r="G3765">
            <v>16.75</v>
          </cell>
          <cell r="H3765">
            <v>1.75</v>
          </cell>
          <cell r="I3765" t="str">
            <v>M4A</v>
          </cell>
          <cell r="J3765" t="str">
            <v>IE3</v>
          </cell>
          <cell r="K3765" t="str">
            <v>400/690</v>
          </cell>
          <cell r="L3765">
            <v>50</v>
          </cell>
          <cell r="M3765" t="str">
            <v>64/37</v>
          </cell>
          <cell r="N3765">
            <v>65</v>
          </cell>
          <cell r="O3765" t="str">
            <v>155(F)</v>
          </cell>
          <cell r="P3765" t="str">
            <v>270°</v>
          </cell>
          <cell r="Q3765" t="str">
            <v>TF</v>
          </cell>
          <cell r="R3765" t="str">
            <v>V(VE)</v>
          </cell>
          <cell r="S3765" t="str">
            <v>Free rotation CCW</v>
          </cell>
          <cell r="T3765" t="str">
            <v>-</v>
          </cell>
          <cell r="U3765" t="str">
            <v>T</v>
          </cell>
          <cell r="V3765" t="str">
            <v>FC</v>
          </cell>
          <cell r="W3765" t="str">
            <v>-</v>
          </cell>
          <cell r="X3765" t="str">
            <v>CLP HC 150 (-30/+50°C)</v>
          </cell>
          <cell r="Y3765" t="str">
            <v>KH107/T DRN225S4 /RS /TF/V</v>
          </cell>
          <cell r="Z3765" t="str">
            <v>SEW</v>
          </cell>
          <cell r="AB3765" t="str">
            <v>-</v>
          </cell>
          <cell r="AF3765">
            <v>89</v>
          </cell>
          <cell r="AG3765" t="str">
            <v>DRN225S4</v>
          </cell>
          <cell r="AH3765" t="str">
            <v>KH107T-DRN225S4A270-X#</v>
          </cell>
        </row>
        <row r="3766">
          <cell r="A3766" t="str">
            <v>MR003755</v>
          </cell>
          <cell r="B3766" t="str">
            <v>MR</v>
          </cell>
          <cell r="C3766">
            <v>37</v>
          </cell>
          <cell r="D3766">
            <v>89</v>
          </cell>
          <cell r="E3766" t="str">
            <v>KH107</v>
          </cell>
          <cell r="F3766">
            <v>3990</v>
          </cell>
          <cell r="G3766">
            <v>16.75</v>
          </cell>
          <cell r="H3766">
            <v>1.75</v>
          </cell>
          <cell r="I3766" t="str">
            <v>M4B</v>
          </cell>
          <cell r="J3766" t="str">
            <v>IE3</v>
          </cell>
          <cell r="K3766" t="str">
            <v>400/690</v>
          </cell>
          <cell r="L3766">
            <v>50</v>
          </cell>
          <cell r="M3766" t="str">
            <v>64/37</v>
          </cell>
          <cell r="N3766">
            <v>65</v>
          </cell>
          <cell r="O3766" t="str">
            <v>155(F)</v>
          </cell>
          <cell r="P3766" t="str">
            <v>270°</v>
          </cell>
          <cell r="Q3766" t="str">
            <v>TF</v>
          </cell>
          <cell r="R3766" t="str">
            <v>V(VE)</v>
          </cell>
          <cell r="S3766" t="str">
            <v>Free rotation CW</v>
          </cell>
          <cell r="T3766" t="str">
            <v>-</v>
          </cell>
          <cell r="U3766" t="str">
            <v>T</v>
          </cell>
          <cell r="V3766" t="str">
            <v>FC</v>
          </cell>
          <cell r="W3766" t="str">
            <v>-</v>
          </cell>
          <cell r="X3766" t="str">
            <v>CLP HC 150 (-30/+50°C)</v>
          </cell>
          <cell r="Y3766" t="str">
            <v>KH107/T DRN225S4 /RS /TF/V</v>
          </cell>
          <cell r="Z3766" t="str">
            <v>SEW</v>
          </cell>
          <cell r="AB3766" t="str">
            <v>-</v>
          </cell>
          <cell r="AF3766">
            <v>89</v>
          </cell>
          <cell r="AG3766" t="str">
            <v>DRN225S4</v>
          </cell>
          <cell r="AH3766" t="str">
            <v>KH107T-DRN225S4B270-X#</v>
          </cell>
        </row>
        <row r="3767">
          <cell r="A3767" t="str">
            <v>MR003756</v>
          </cell>
          <cell r="B3767" t="str">
            <v>MR</v>
          </cell>
          <cell r="C3767">
            <v>7.5</v>
          </cell>
          <cell r="D3767">
            <v>73</v>
          </cell>
          <cell r="E3767" t="str">
            <v>KH77</v>
          </cell>
          <cell r="F3767">
            <v>980</v>
          </cell>
          <cell r="G3767">
            <v>20.25</v>
          </cell>
          <cell r="H3767">
            <v>1.5</v>
          </cell>
          <cell r="I3767" t="str">
            <v>M4A</v>
          </cell>
          <cell r="J3767" t="str">
            <v>IE3</v>
          </cell>
          <cell r="K3767" t="str">
            <v>400/690</v>
          </cell>
          <cell r="L3767">
            <v>50</v>
          </cell>
          <cell r="M3767" t="str">
            <v>15,2/8,8</v>
          </cell>
          <cell r="N3767">
            <v>65</v>
          </cell>
          <cell r="O3767" t="str">
            <v>155(F)</v>
          </cell>
          <cell r="P3767" t="str">
            <v>270°</v>
          </cell>
          <cell r="Q3767" t="str">
            <v>-</v>
          </cell>
          <cell r="R3767" t="str">
            <v>-</v>
          </cell>
          <cell r="S3767" t="str">
            <v>Free rotation CCW</v>
          </cell>
          <cell r="T3767" t="str">
            <v>-</v>
          </cell>
          <cell r="U3767" t="str">
            <v>T</v>
          </cell>
          <cell r="V3767" t="str">
            <v>SS</v>
          </cell>
          <cell r="W3767" t="str">
            <v>-</v>
          </cell>
          <cell r="X3767" t="str">
            <v>CLP HC 150 (-30/+50°C)</v>
          </cell>
          <cell r="Y3767" t="str">
            <v>KH77/T DRN132M4 /RS</v>
          </cell>
          <cell r="Z3767" t="str">
            <v>SEW</v>
          </cell>
          <cell r="AB3767" t="str">
            <v>-</v>
          </cell>
          <cell r="AF3767">
            <v>73</v>
          </cell>
          <cell r="AG3767" t="str">
            <v>DRN132M4</v>
          </cell>
          <cell r="AH3767" t="str">
            <v>KH77T-DRN132M4A270-X</v>
          </cell>
        </row>
        <row r="3768">
          <cell r="A3768" t="str">
            <v>MR003757</v>
          </cell>
          <cell r="B3768" t="str">
            <v>MR</v>
          </cell>
          <cell r="C3768">
            <v>0.75</v>
          </cell>
          <cell r="D3768">
            <v>162</v>
          </cell>
          <cell r="E3768" t="str">
            <v>KH37</v>
          </cell>
          <cell r="F3768">
            <v>44</v>
          </cell>
          <cell r="G3768">
            <v>8.91</v>
          </cell>
          <cell r="H3768">
            <v>3.6</v>
          </cell>
          <cell r="I3768" t="str">
            <v>From M1A to M2A - 5°</v>
          </cell>
          <cell r="J3768" t="str">
            <v>IE3</v>
          </cell>
          <cell r="K3768" t="str">
            <v>230/400</v>
          </cell>
          <cell r="L3768">
            <v>50</v>
          </cell>
          <cell r="M3768" t="str">
            <v>3,05/1,75</v>
          </cell>
          <cell r="N3768">
            <v>65</v>
          </cell>
          <cell r="O3768" t="str">
            <v>155(F)</v>
          </cell>
          <cell r="P3768" t="str">
            <v>270°</v>
          </cell>
          <cell r="Q3768" t="str">
            <v>-</v>
          </cell>
          <cell r="R3768" t="str">
            <v>-</v>
          </cell>
          <cell r="S3768" t="str">
            <v>-</v>
          </cell>
          <cell r="T3768" t="str">
            <v>-</v>
          </cell>
          <cell r="U3768" t="str">
            <v>T</v>
          </cell>
          <cell r="V3768" t="str">
            <v>D</v>
          </cell>
          <cell r="W3768" t="str">
            <v>-</v>
          </cell>
          <cell r="X3768" t="str">
            <v>CLP HC 150 (-30/+50°C)</v>
          </cell>
          <cell r="Y3768" t="str">
            <v>KH37/T DRN80M4</v>
          </cell>
          <cell r="Z3768" t="str">
            <v>SEW</v>
          </cell>
          <cell r="AB3768" t="str">
            <v>-</v>
          </cell>
          <cell r="AE3768" t="str">
            <v>MEGLIO KA37 PER PROSSIMI IMPIANTI</v>
          </cell>
          <cell r="AF3768">
            <v>162</v>
          </cell>
          <cell r="AG3768" t="str">
            <v>DRN80M4</v>
          </cell>
          <cell r="AH3768" t="str">
            <v>KH37T-DRN80M4A270-X</v>
          </cell>
        </row>
        <row r="3769">
          <cell r="A3769" t="str">
            <v>MR003758</v>
          </cell>
          <cell r="B3769" t="str">
            <v>MR</v>
          </cell>
          <cell r="C3769">
            <v>11</v>
          </cell>
          <cell r="D3769">
            <v>15</v>
          </cell>
          <cell r="E3769" t="str">
            <v>KH107</v>
          </cell>
          <cell r="F3769">
            <v>7180</v>
          </cell>
          <cell r="G3769">
            <v>100.75</v>
          </cell>
          <cell r="H3769">
            <v>1.05</v>
          </cell>
          <cell r="I3769" t="str">
            <v>From M1A to M2A - 25°</v>
          </cell>
          <cell r="J3769" t="str">
            <v>IE3</v>
          </cell>
          <cell r="K3769" t="str">
            <v>400/690</v>
          </cell>
          <cell r="L3769">
            <v>50</v>
          </cell>
          <cell r="M3769" t="str">
            <v>21,0/12,2</v>
          </cell>
          <cell r="N3769">
            <v>65</v>
          </cell>
          <cell r="O3769" t="str">
            <v>155(F)</v>
          </cell>
          <cell r="P3769" t="str">
            <v>270°</v>
          </cell>
          <cell r="Q3769" t="str">
            <v>-</v>
          </cell>
          <cell r="R3769" t="str">
            <v>-</v>
          </cell>
          <cell r="S3769" t="str">
            <v>-</v>
          </cell>
          <cell r="T3769" t="str">
            <v>-</v>
          </cell>
          <cell r="U3769" t="str">
            <v>-</v>
          </cell>
          <cell r="V3769" t="str">
            <v>SS</v>
          </cell>
          <cell r="W3769" t="str">
            <v>-</v>
          </cell>
          <cell r="X3769" t="str">
            <v>CLP HC 150 (-30/+50°C)</v>
          </cell>
          <cell r="Y3769" t="str">
            <v>KH107DRN160M4</v>
          </cell>
          <cell r="Z3769" t="str">
            <v>SEW</v>
          </cell>
          <cell r="AB3769" t="str">
            <v>-</v>
          </cell>
          <cell r="AF3769">
            <v>15</v>
          </cell>
          <cell r="AG3769" t="str">
            <v>DRN160M4</v>
          </cell>
          <cell r="AH3769" t="str">
            <v>KH107-DRN160M4A270-X</v>
          </cell>
        </row>
        <row r="3770">
          <cell r="A3770" t="str">
            <v>MR003759</v>
          </cell>
          <cell r="B3770" t="str">
            <v>MR</v>
          </cell>
          <cell r="C3770">
            <v>11</v>
          </cell>
          <cell r="D3770">
            <v>15</v>
          </cell>
          <cell r="E3770" t="str">
            <v>KH107</v>
          </cell>
          <cell r="F3770">
            <v>7180</v>
          </cell>
          <cell r="G3770">
            <v>100.75</v>
          </cell>
          <cell r="H3770">
            <v>1.05</v>
          </cell>
          <cell r="I3770" t="str">
            <v>From M1B to M2B - 25°</v>
          </cell>
          <cell r="J3770" t="str">
            <v>IE3</v>
          </cell>
          <cell r="K3770" t="str">
            <v>400/690</v>
          </cell>
          <cell r="L3770">
            <v>50</v>
          </cell>
          <cell r="M3770" t="str">
            <v>21,0/12,2</v>
          </cell>
          <cell r="N3770">
            <v>65</v>
          </cell>
          <cell r="O3770" t="str">
            <v>155(F)</v>
          </cell>
          <cell r="P3770" t="str">
            <v>270°</v>
          </cell>
          <cell r="Q3770" t="str">
            <v>-</v>
          </cell>
          <cell r="R3770" t="str">
            <v>-</v>
          </cell>
          <cell r="S3770" t="str">
            <v>-</v>
          </cell>
          <cell r="T3770" t="str">
            <v>-</v>
          </cell>
          <cell r="U3770" t="str">
            <v>-</v>
          </cell>
          <cell r="V3770" t="str">
            <v>SS</v>
          </cell>
          <cell r="W3770" t="str">
            <v>-</v>
          </cell>
          <cell r="X3770" t="str">
            <v>CLP HC 150 (-30/+50°C)</v>
          </cell>
          <cell r="Y3770" t="str">
            <v>KH107DRN160M4</v>
          </cell>
          <cell r="Z3770" t="str">
            <v>SEW</v>
          </cell>
          <cell r="AB3770" t="str">
            <v>-</v>
          </cell>
          <cell r="AF3770">
            <v>15</v>
          </cell>
          <cell r="AG3770" t="str">
            <v>DRN160M4</v>
          </cell>
          <cell r="AH3770" t="str">
            <v>KH107-DRN160M4B270-X</v>
          </cell>
        </row>
        <row r="3771">
          <cell r="A3771" t="str">
            <v>MR003760</v>
          </cell>
          <cell r="B3771" t="str">
            <v>MR</v>
          </cell>
          <cell r="C3771">
            <v>0.75</v>
          </cell>
          <cell r="D3771">
            <v>162</v>
          </cell>
          <cell r="E3771" t="str">
            <v>KH37</v>
          </cell>
          <cell r="F3771">
            <v>44</v>
          </cell>
          <cell r="G3771">
            <v>8.91</v>
          </cell>
          <cell r="H3771">
            <v>3.6</v>
          </cell>
          <cell r="I3771" t="str">
            <v>M1B</v>
          </cell>
          <cell r="J3771" t="str">
            <v>IE3</v>
          </cell>
          <cell r="K3771" t="str">
            <v>230/400</v>
          </cell>
          <cell r="L3771">
            <v>50</v>
          </cell>
          <cell r="M3771" t="str">
            <v>3,05/1,75</v>
          </cell>
          <cell r="N3771">
            <v>65</v>
          </cell>
          <cell r="O3771" t="str">
            <v>155(F)</v>
          </cell>
          <cell r="P3771" t="str">
            <v>270°</v>
          </cell>
          <cell r="Q3771" t="str">
            <v>-</v>
          </cell>
          <cell r="R3771" t="str">
            <v>-</v>
          </cell>
          <cell r="S3771" t="str">
            <v>-</v>
          </cell>
          <cell r="T3771" t="str">
            <v>-</v>
          </cell>
          <cell r="U3771" t="str">
            <v>T</v>
          </cell>
          <cell r="V3771" t="str">
            <v>D</v>
          </cell>
          <cell r="W3771" t="str">
            <v>-</v>
          </cell>
          <cell r="X3771" t="str">
            <v>CLP HC 150 (-30/+50°C)</v>
          </cell>
          <cell r="Y3771" t="str">
            <v>KH37/T DRN80M4</v>
          </cell>
          <cell r="Z3771" t="str">
            <v>SEW</v>
          </cell>
          <cell r="AB3771" t="str">
            <v>-</v>
          </cell>
          <cell r="AE3771" t="str">
            <v>MEGLIO KA37 PER PROSSIMI IMPIANTI</v>
          </cell>
          <cell r="AF3771">
            <v>162</v>
          </cell>
          <cell r="AG3771" t="str">
            <v>DRN80M4</v>
          </cell>
          <cell r="AH3771" t="str">
            <v>KH37T-DRN80M4B270-X</v>
          </cell>
        </row>
        <row r="3772">
          <cell r="A3772" t="str">
            <v>MR003761</v>
          </cell>
          <cell r="B3772" t="str">
            <v>MR</v>
          </cell>
          <cell r="C3772">
            <v>22</v>
          </cell>
          <cell r="D3772">
            <v>89</v>
          </cell>
          <cell r="E3772" t="str">
            <v>KH97</v>
          </cell>
          <cell r="F3772">
            <v>2350</v>
          </cell>
          <cell r="G3772">
            <v>16.559999999999999</v>
          </cell>
          <cell r="H3772">
            <v>1.85</v>
          </cell>
          <cell r="I3772" t="str">
            <v>M4A</v>
          </cell>
          <cell r="J3772" t="str">
            <v>IE3</v>
          </cell>
          <cell r="K3772" t="str">
            <v>400/690</v>
          </cell>
          <cell r="L3772">
            <v>50</v>
          </cell>
          <cell r="M3772" t="str">
            <v>38,5/22,5</v>
          </cell>
          <cell r="N3772">
            <v>65</v>
          </cell>
          <cell r="O3772" t="str">
            <v>155(F)</v>
          </cell>
          <cell r="P3772" t="str">
            <v>270°</v>
          </cell>
          <cell r="Q3772" t="str">
            <v>TF</v>
          </cell>
          <cell r="R3772" t="str">
            <v>V(VE)</v>
          </cell>
          <cell r="S3772" t="str">
            <v>Free rotation CCW</v>
          </cell>
          <cell r="T3772" t="str">
            <v>-</v>
          </cell>
          <cell r="U3772" t="str">
            <v>T</v>
          </cell>
          <cell r="V3772" t="str">
            <v>FC</v>
          </cell>
          <cell r="W3772" t="str">
            <v>-</v>
          </cell>
          <cell r="X3772" t="str">
            <v>CLP HC 150 (-30/+50°C)</v>
          </cell>
          <cell r="Y3772" t="str">
            <v>KH97/T DRN180L4 /RS /TF/V</v>
          </cell>
          <cell r="Z3772" t="str">
            <v>SEW</v>
          </cell>
          <cell r="AB3772" t="str">
            <v>-</v>
          </cell>
          <cell r="AF3772">
            <v>89</v>
          </cell>
          <cell r="AG3772" t="str">
            <v>DRN180L4</v>
          </cell>
          <cell r="AH3772" t="str">
            <v>KH97T-DRN180L4A270-X#</v>
          </cell>
        </row>
        <row r="3773">
          <cell r="A3773" t="str">
            <v>MR003762</v>
          </cell>
          <cell r="B3773" t="str">
            <v>MR</v>
          </cell>
          <cell r="C3773">
            <v>22</v>
          </cell>
          <cell r="D3773">
            <v>89</v>
          </cell>
          <cell r="E3773" t="str">
            <v>KH97</v>
          </cell>
          <cell r="F3773">
            <v>2350</v>
          </cell>
          <cell r="G3773">
            <v>16.559999999999999</v>
          </cell>
          <cell r="H3773">
            <v>1.85</v>
          </cell>
          <cell r="I3773" t="str">
            <v>M4B</v>
          </cell>
          <cell r="J3773" t="str">
            <v>IE3</v>
          </cell>
          <cell r="K3773" t="str">
            <v>400/690</v>
          </cell>
          <cell r="L3773">
            <v>50</v>
          </cell>
          <cell r="M3773" t="str">
            <v>38,5/22,5</v>
          </cell>
          <cell r="N3773">
            <v>65</v>
          </cell>
          <cell r="O3773" t="str">
            <v>155(F)</v>
          </cell>
          <cell r="P3773" t="str">
            <v>270°</v>
          </cell>
          <cell r="Q3773" t="str">
            <v>TF</v>
          </cell>
          <cell r="R3773" t="str">
            <v>V(VE)</v>
          </cell>
          <cell r="S3773" t="str">
            <v>Free rotation CW</v>
          </cell>
          <cell r="T3773" t="str">
            <v>-</v>
          </cell>
          <cell r="U3773" t="str">
            <v>T</v>
          </cell>
          <cell r="V3773" t="str">
            <v>FC</v>
          </cell>
          <cell r="W3773" t="str">
            <v>-</v>
          </cell>
          <cell r="X3773" t="str">
            <v>CLP HC 150 (-30/+50°C)</v>
          </cell>
          <cell r="Y3773" t="str">
            <v>KH97/T DRN180L4 /RS /TF/V</v>
          </cell>
          <cell r="Z3773" t="str">
            <v>SEW</v>
          </cell>
          <cell r="AB3773" t="str">
            <v>-</v>
          </cell>
          <cell r="AF3773">
            <v>89</v>
          </cell>
          <cell r="AG3773" t="str">
            <v>DRN180L4</v>
          </cell>
          <cell r="AH3773" t="str">
            <v>KH97T-DRN180L4B270-X#</v>
          </cell>
        </row>
        <row r="3774">
          <cell r="A3774" t="str">
            <v>MR003763</v>
          </cell>
          <cell r="B3774" t="str">
            <v>MR</v>
          </cell>
          <cell r="C3774">
            <v>5.5</v>
          </cell>
          <cell r="D3774">
            <v>15</v>
          </cell>
          <cell r="E3774" t="str">
            <v>KH97</v>
          </cell>
          <cell r="F3774">
            <v>3480</v>
          </cell>
          <cell r="G3774">
            <v>96.8</v>
          </cell>
          <cell r="H3774">
            <v>1.25</v>
          </cell>
          <cell r="I3774" t="str">
            <v>M1A</v>
          </cell>
          <cell r="J3774" t="str">
            <v>IE3</v>
          </cell>
          <cell r="K3774" t="str">
            <v>230/400</v>
          </cell>
          <cell r="L3774">
            <v>50</v>
          </cell>
          <cell r="M3774" t="str">
            <v>18,2/10,5</v>
          </cell>
          <cell r="N3774">
            <v>65</v>
          </cell>
          <cell r="O3774" t="str">
            <v>155(F)</v>
          </cell>
          <cell r="P3774" t="str">
            <v>270°</v>
          </cell>
          <cell r="Q3774" t="str">
            <v>-</v>
          </cell>
          <cell r="R3774" t="str">
            <v>-</v>
          </cell>
          <cell r="S3774" t="str">
            <v>-</v>
          </cell>
          <cell r="T3774" t="str">
            <v>-</v>
          </cell>
          <cell r="U3774" t="str">
            <v>-</v>
          </cell>
          <cell r="V3774" t="str">
            <v>SS</v>
          </cell>
          <cell r="W3774" t="str">
            <v>-</v>
          </cell>
          <cell r="X3774" t="str">
            <v>CLP HC 150 (-30/+50°C)</v>
          </cell>
          <cell r="Y3774" t="str">
            <v>KH97DRN132S4</v>
          </cell>
          <cell r="Z3774" t="str">
            <v>SEW</v>
          </cell>
          <cell r="AB3774" t="str">
            <v>-</v>
          </cell>
          <cell r="AF3774">
            <v>15</v>
          </cell>
          <cell r="AG3774" t="str">
            <v>DRN132S4</v>
          </cell>
          <cell r="AH3774" t="str">
            <v>KH97-DRN132S4A270-X</v>
          </cell>
        </row>
        <row r="3775">
          <cell r="A3775" t="str">
            <v>MR003764</v>
          </cell>
          <cell r="B3775" t="str">
            <v>MR</v>
          </cell>
          <cell r="C3775">
            <v>5.5</v>
          </cell>
          <cell r="D3775">
            <v>15</v>
          </cell>
          <cell r="E3775" t="str">
            <v>KH97</v>
          </cell>
          <cell r="F3775">
            <v>3480</v>
          </cell>
          <cell r="G3775">
            <v>96.8</v>
          </cell>
          <cell r="H3775">
            <v>1.25</v>
          </cell>
          <cell r="I3775" t="str">
            <v>M1B</v>
          </cell>
          <cell r="J3775" t="str">
            <v>IE3</v>
          </cell>
          <cell r="K3775" t="str">
            <v>230/400</v>
          </cell>
          <cell r="L3775">
            <v>50</v>
          </cell>
          <cell r="M3775" t="str">
            <v>18,2/10,5</v>
          </cell>
          <cell r="N3775">
            <v>65</v>
          </cell>
          <cell r="O3775" t="str">
            <v>155(F)</v>
          </cell>
          <cell r="P3775" t="str">
            <v>270°</v>
          </cell>
          <cell r="Q3775" t="str">
            <v>-</v>
          </cell>
          <cell r="R3775" t="str">
            <v>-</v>
          </cell>
          <cell r="S3775" t="str">
            <v>-</v>
          </cell>
          <cell r="T3775" t="str">
            <v>-</v>
          </cell>
          <cell r="U3775" t="str">
            <v>-</v>
          </cell>
          <cell r="V3775" t="str">
            <v>SS</v>
          </cell>
          <cell r="W3775" t="str">
            <v>-</v>
          </cell>
          <cell r="X3775" t="str">
            <v>CLP HC 150 (-30/+50°C)</v>
          </cell>
          <cell r="Y3775" t="str">
            <v>KH97DRN132S4</v>
          </cell>
          <cell r="Z3775" t="str">
            <v>SEW</v>
          </cell>
          <cell r="AB3775" t="str">
            <v>-</v>
          </cell>
          <cell r="AF3775">
            <v>15</v>
          </cell>
          <cell r="AG3775" t="str">
            <v>DRN132S4</v>
          </cell>
          <cell r="AH3775" t="str">
            <v>KH97-DRN132S4B270-X</v>
          </cell>
        </row>
        <row r="3776">
          <cell r="A3776" t="str">
            <v>MR003765</v>
          </cell>
          <cell r="B3776" t="str">
            <v>MR</v>
          </cell>
          <cell r="C3776">
            <v>0.75</v>
          </cell>
          <cell r="D3776">
            <v>162</v>
          </cell>
          <cell r="E3776" t="str">
            <v>KH37</v>
          </cell>
          <cell r="F3776">
            <v>44</v>
          </cell>
          <cell r="G3776">
            <v>8.91</v>
          </cell>
          <cell r="H3776">
            <v>3.6</v>
          </cell>
          <cell r="I3776" t="str">
            <v>From M1A to M2A - 10°</v>
          </cell>
          <cell r="J3776" t="str">
            <v>IE3</v>
          </cell>
          <cell r="K3776" t="str">
            <v>230/400</v>
          </cell>
          <cell r="L3776">
            <v>50</v>
          </cell>
          <cell r="M3776" t="str">
            <v>3,05/1,75</v>
          </cell>
          <cell r="N3776">
            <v>65</v>
          </cell>
          <cell r="O3776" t="str">
            <v>155(F)</v>
          </cell>
          <cell r="P3776" t="str">
            <v>270°</v>
          </cell>
          <cell r="Q3776" t="str">
            <v>-</v>
          </cell>
          <cell r="R3776" t="str">
            <v>-</v>
          </cell>
          <cell r="S3776" t="str">
            <v>-</v>
          </cell>
          <cell r="T3776" t="str">
            <v>-</v>
          </cell>
          <cell r="U3776" t="str">
            <v>T</v>
          </cell>
          <cell r="V3776" t="str">
            <v>D</v>
          </cell>
          <cell r="W3776" t="str">
            <v>-</v>
          </cell>
          <cell r="X3776" t="str">
            <v>CLP HC 150 (-30/+50°C)</v>
          </cell>
          <cell r="Y3776" t="str">
            <v>KH37/T DRN80M4</v>
          </cell>
          <cell r="Z3776" t="str">
            <v>SEW</v>
          </cell>
          <cell r="AB3776" t="str">
            <v>-</v>
          </cell>
          <cell r="AE3776" t="str">
            <v>MEGLIO KA37 PER PROSSIMI IMPIANTI</v>
          </cell>
          <cell r="AF3776">
            <v>162</v>
          </cell>
          <cell r="AG3776" t="str">
            <v>DRN80M4</v>
          </cell>
          <cell r="AH3776" t="str">
            <v>KH37T-DRN80M4A270-X</v>
          </cell>
        </row>
        <row r="3777">
          <cell r="A3777" t="str">
            <v>MR003766</v>
          </cell>
          <cell r="B3777" t="str">
            <v>MR</v>
          </cell>
          <cell r="C3777">
            <v>7.5</v>
          </cell>
          <cell r="D3777">
            <v>62</v>
          </cell>
          <cell r="E3777" t="str">
            <v>FH87</v>
          </cell>
          <cell r="F3777">
            <v>1160</v>
          </cell>
          <cell r="G3777">
            <v>23.68</v>
          </cell>
          <cell r="H3777">
            <v>2.2999999999999998</v>
          </cell>
          <cell r="I3777" t="str">
            <v>M1</v>
          </cell>
          <cell r="J3777" t="str">
            <v>IE3</v>
          </cell>
          <cell r="K3777" t="str">
            <v>230/400</v>
          </cell>
          <cell r="L3777">
            <v>50</v>
          </cell>
          <cell r="M3777" t="str">
            <v>27/15,7</v>
          </cell>
          <cell r="N3777">
            <v>65</v>
          </cell>
          <cell r="O3777" t="str">
            <v>155(F)</v>
          </cell>
          <cell r="P3777" t="str">
            <v>270°</v>
          </cell>
          <cell r="Q3777" t="str">
            <v>-</v>
          </cell>
          <cell r="R3777" t="str">
            <v>-</v>
          </cell>
          <cell r="S3777" t="str">
            <v>-</v>
          </cell>
          <cell r="T3777" t="str">
            <v>-</v>
          </cell>
          <cell r="U3777" t="str">
            <v>G</v>
          </cell>
          <cell r="V3777" t="str">
            <v>D</v>
          </cell>
          <cell r="W3777" t="str">
            <v>-</v>
          </cell>
          <cell r="X3777" t="str">
            <v>CLP HC 220 (-25/+60°C)</v>
          </cell>
          <cell r="Y3777" t="str">
            <v>FH87/G EDRN132M4</v>
          </cell>
          <cell r="Z3777" t="str">
            <v>SEW</v>
          </cell>
          <cell r="AB3777" t="str">
            <v>ATEX22</v>
          </cell>
          <cell r="AF3777">
            <v>62</v>
          </cell>
          <cell r="AG3777" t="str">
            <v>EDRN132M4</v>
          </cell>
          <cell r="AH3777" t="str">
            <v>FH87G-EDRN132M4270-X</v>
          </cell>
        </row>
        <row r="3778">
          <cell r="A3778" t="str">
            <v>MR003767</v>
          </cell>
          <cell r="B3778" t="str">
            <v>MR</v>
          </cell>
          <cell r="C3778">
            <v>5.5</v>
          </cell>
          <cell r="D3778">
            <v>7.8</v>
          </cell>
          <cell r="E3778" t="str">
            <v>R137</v>
          </cell>
          <cell r="F3778">
            <v>6770</v>
          </cell>
          <cell r="G3778">
            <v>188.45</v>
          </cell>
          <cell r="H3778">
            <v>1.2</v>
          </cell>
          <cell r="I3778" t="str">
            <v>M1</v>
          </cell>
          <cell r="J3778" t="str">
            <v>IE3</v>
          </cell>
          <cell r="K3778" t="str">
            <v>230/400</v>
          </cell>
          <cell r="L3778">
            <v>50</v>
          </cell>
          <cell r="M3778" t="str">
            <v>18,8/10,9</v>
          </cell>
          <cell r="N3778">
            <v>55</v>
          </cell>
          <cell r="O3778" t="str">
            <v>155(F)</v>
          </cell>
          <cell r="P3778" t="str">
            <v>180°</v>
          </cell>
          <cell r="Q3778" t="str">
            <v>TF</v>
          </cell>
          <cell r="R3778" t="str">
            <v>V(VE)</v>
          </cell>
          <cell r="S3778" t="str">
            <v>-</v>
          </cell>
          <cell r="T3778" t="str">
            <v>-</v>
          </cell>
          <cell r="U3778" t="str">
            <v>-</v>
          </cell>
          <cell r="V3778" t="str">
            <v>FC</v>
          </cell>
          <cell r="W3778" t="str">
            <v>-</v>
          </cell>
          <cell r="X3778" t="str">
            <v>CLP HC 220 (-25/+60°C)</v>
          </cell>
          <cell r="Y3778" t="str">
            <v>R137EDRN132S4 /TF/VE</v>
          </cell>
          <cell r="Z3778" t="str">
            <v>SEW</v>
          </cell>
          <cell r="AB3778" t="str">
            <v>ATEX22</v>
          </cell>
          <cell r="AF3778">
            <v>7.8</v>
          </cell>
          <cell r="AG3778" t="str">
            <v>EDRN132S4</v>
          </cell>
          <cell r="AH3778" t="str">
            <v>R137-EDRN132S4180-X#</v>
          </cell>
        </row>
        <row r="3779">
          <cell r="A3779" t="str">
            <v>MR003768</v>
          </cell>
          <cell r="B3779" t="str">
            <v>MR</v>
          </cell>
          <cell r="C3779">
            <v>5.5</v>
          </cell>
          <cell r="D3779">
            <v>7.8</v>
          </cell>
          <cell r="E3779" t="str">
            <v>R137</v>
          </cell>
          <cell r="F3779">
            <v>6770</v>
          </cell>
          <cell r="G3779">
            <v>188.45</v>
          </cell>
          <cell r="H3779">
            <v>1.2</v>
          </cell>
          <cell r="I3779" t="str">
            <v>M1</v>
          </cell>
          <cell r="J3779" t="str">
            <v>IE3</v>
          </cell>
          <cell r="K3779" t="str">
            <v>230/400</v>
          </cell>
          <cell r="L3779">
            <v>50</v>
          </cell>
          <cell r="M3779" t="str">
            <v>18,8/10,9</v>
          </cell>
          <cell r="N3779">
            <v>55</v>
          </cell>
          <cell r="O3779" t="str">
            <v>155(F)</v>
          </cell>
          <cell r="P3779" t="str">
            <v>0°</v>
          </cell>
          <cell r="Q3779" t="str">
            <v>TF</v>
          </cell>
          <cell r="R3779" t="str">
            <v>V(VE)</v>
          </cell>
          <cell r="S3779" t="str">
            <v>-</v>
          </cell>
          <cell r="T3779" t="str">
            <v>-</v>
          </cell>
          <cell r="U3779" t="str">
            <v>-</v>
          </cell>
          <cell r="V3779" t="str">
            <v>FC</v>
          </cell>
          <cell r="W3779" t="str">
            <v>-</v>
          </cell>
          <cell r="X3779" t="str">
            <v>CLP HC 220 (-25/+60°C)</v>
          </cell>
          <cell r="Y3779" t="str">
            <v>R137EDRN132S4 /TF/VE</v>
          </cell>
          <cell r="Z3779" t="str">
            <v>SEW</v>
          </cell>
          <cell r="AB3779" t="str">
            <v>ATEX22</v>
          </cell>
          <cell r="AF3779">
            <v>7.8</v>
          </cell>
          <cell r="AG3779" t="str">
            <v>EDRN132S4</v>
          </cell>
          <cell r="AH3779" t="str">
            <v>R137-EDRN132S40-X#</v>
          </cell>
        </row>
        <row r="3780">
          <cell r="A3780" t="str">
            <v>MR003769</v>
          </cell>
          <cell r="B3780" t="str">
            <v>MR</v>
          </cell>
          <cell r="C3780">
            <v>9.1999999999999993</v>
          </cell>
          <cell r="D3780">
            <v>53.3</v>
          </cell>
          <cell r="E3780" t="str">
            <v>R97</v>
          </cell>
          <cell r="F3780">
            <v>1370</v>
          </cell>
          <cell r="G3780">
            <v>27.58</v>
          </cell>
          <cell r="H3780">
            <v>1.95</v>
          </cell>
          <cell r="I3780" t="str">
            <v>M5</v>
          </cell>
          <cell r="J3780" t="str">
            <v>IE3</v>
          </cell>
          <cell r="K3780" t="str">
            <v>220/440</v>
          </cell>
          <cell r="L3780">
            <v>60</v>
          </cell>
          <cell r="M3780" t="str">
            <v>34,5/17,2</v>
          </cell>
          <cell r="N3780">
            <v>55</v>
          </cell>
          <cell r="O3780" t="str">
            <v>155(F)</v>
          </cell>
          <cell r="P3780" t="str">
            <v>270°</v>
          </cell>
          <cell r="Q3780" t="str">
            <v>TF</v>
          </cell>
          <cell r="R3780" t="str">
            <v>-</v>
          </cell>
          <cell r="S3780" t="str">
            <v>-</v>
          </cell>
          <cell r="T3780" t="str">
            <v>-</v>
          </cell>
          <cell r="U3780" t="str">
            <v>-</v>
          </cell>
          <cell r="V3780" t="str">
            <v>D+R</v>
          </cell>
          <cell r="W3780" t="str">
            <v>-</v>
          </cell>
          <cell r="X3780" t="str">
            <v>CLP 220 (-15/+40°C)</v>
          </cell>
          <cell r="Y3780" t="str">
            <v>R97DRN132L4 /TF</v>
          </cell>
          <cell r="Z3780" t="str">
            <v>SEW</v>
          </cell>
          <cell r="AB3780" t="str">
            <v>-</v>
          </cell>
          <cell r="AF3780">
            <v>63.96</v>
          </cell>
          <cell r="AG3780" t="str">
            <v>DRN132L4</v>
          </cell>
          <cell r="AH3780" t="str">
            <v>R97-DRN132L4270-X</v>
          </cell>
        </row>
        <row r="3781">
          <cell r="A3781" t="str">
            <v>MR003770</v>
          </cell>
          <cell r="B3781" t="str">
            <v>MR</v>
          </cell>
          <cell r="C3781">
            <v>5.5</v>
          </cell>
          <cell r="D3781">
            <v>72</v>
          </cell>
          <cell r="E3781" t="str">
            <v>KH77</v>
          </cell>
          <cell r="F3781">
            <v>725</v>
          </cell>
          <cell r="G3781">
            <v>20.25</v>
          </cell>
          <cell r="H3781">
            <v>2.1</v>
          </cell>
          <cell r="I3781" t="str">
            <v>M1A</v>
          </cell>
          <cell r="J3781" t="str">
            <v>IE3</v>
          </cell>
          <cell r="K3781" t="str">
            <v>230/400</v>
          </cell>
          <cell r="L3781">
            <v>50</v>
          </cell>
          <cell r="M3781" t="str">
            <v>18,2/10,5</v>
          </cell>
          <cell r="N3781">
            <v>55</v>
          </cell>
          <cell r="O3781" t="str">
            <v>155(F)</v>
          </cell>
          <cell r="P3781" t="str">
            <v>270°</v>
          </cell>
          <cell r="Q3781" t="str">
            <v>-</v>
          </cell>
          <cell r="R3781" t="str">
            <v>-</v>
          </cell>
          <cell r="S3781" t="str">
            <v>-</v>
          </cell>
          <cell r="T3781" t="str">
            <v>-</v>
          </cell>
          <cell r="U3781" t="str">
            <v>T</v>
          </cell>
          <cell r="V3781" t="str">
            <v>SS+R</v>
          </cell>
          <cell r="W3781" t="str">
            <v>-</v>
          </cell>
          <cell r="X3781" t="str">
            <v>CLP 220 (-15/+40°C)</v>
          </cell>
          <cell r="Y3781" t="str">
            <v>KH77/T DRN132S4</v>
          </cell>
          <cell r="Z3781" t="str">
            <v>SEW</v>
          </cell>
          <cell r="AB3781" t="str">
            <v>-</v>
          </cell>
          <cell r="AG3781" t="str">
            <v>DRN132S4</v>
          </cell>
          <cell r="AH3781" t="str">
            <v>KH77T-DRN132S4A270-X</v>
          </cell>
        </row>
        <row r="3782">
          <cell r="A3782" t="str">
            <v>MR003771</v>
          </cell>
          <cell r="B3782" t="str">
            <v>MR</v>
          </cell>
          <cell r="C3782">
            <v>5.5</v>
          </cell>
          <cell r="D3782">
            <v>80</v>
          </cell>
          <cell r="E3782" t="str">
            <v>FH67</v>
          </cell>
          <cell r="F3782">
            <v>655</v>
          </cell>
          <cell r="G3782">
            <v>18.29</v>
          </cell>
          <cell r="H3782">
            <v>1.25</v>
          </cell>
          <cell r="I3782" t="str">
            <v>M6</v>
          </cell>
          <cell r="J3782" t="str">
            <v>IE3</v>
          </cell>
          <cell r="K3782" t="str">
            <v>230/400</v>
          </cell>
          <cell r="L3782">
            <v>50</v>
          </cell>
          <cell r="M3782" t="str">
            <v>18,2/10,5</v>
          </cell>
          <cell r="N3782">
            <v>65</v>
          </cell>
          <cell r="O3782" t="str">
            <v>155(F)</v>
          </cell>
          <cell r="P3782" t="str">
            <v>270°</v>
          </cell>
          <cell r="Q3782" t="str">
            <v>-</v>
          </cell>
          <cell r="R3782" t="str">
            <v>-</v>
          </cell>
          <cell r="S3782" t="str">
            <v>-</v>
          </cell>
          <cell r="T3782" t="str">
            <v>-</v>
          </cell>
          <cell r="U3782" t="str">
            <v>G</v>
          </cell>
          <cell r="V3782" t="str">
            <v>D</v>
          </cell>
          <cell r="W3782" t="str">
            <v>-</v>
          </cell>
          <cell r="X3782" t="str">
            <v>CLP HC 150 (-30/+50°C)</v>
          </cell>
          <cell r="Y3782" t="str">
            <v>FH67/G DRN132S4</v>
          </cell>
          <cell r="Z3782" t="str">
            <v>SEW</v>
          </cell>
          <cell r="AB3782" t="str">
            <v>-</v>
          </cell>
          <cell r="AF3782">
            <v>80</v>
          </cell>
          <cell r="AG3782" t="str">
            <v>DRN132S4</v>
          </cell>
          <cell r="AH3782" t="str">
            <v>FH67G-DRN132S4270-X</v>
          </cell>
        </row>
        <row r="3783">
          <cell r="A3783" t="str">
            <v>MR003772</v>
          </cell>
          <cell r="B3783" t="str">
            <v>MR</v>
          </cell>
          <cell r="C3783">
            <v>4</v>
          </cell>
          <cell r="D3783">
            <v>1464</v>
          </cell>
          <cell r="E3783" t="str">
            <v>-</v>
          </cell>
          <cell r="I3783" t="str">
            <v>From M1 to M6 - 20°</v>
          </cell>
          <cell r="J3783" t="str">
            <v>IE3</v>
          </cell>
          <cell r="K3783" t="str">
            <v>220-230/380-400</v>
          </cell>
          <cell r="L3783">
            <v>50</v>
          </cell>
          <cell r="M3783" t="str">
            <v>14,2/8,1</v>
          </cell>
          <cell r="N3783">
            <v>65</v>
          </cell>
          <cell r="O3783" t="str">
            <v>155(F)</v>
          </cell>
          <cell r="P3783" t="str">
            <v>270°</v>
          </cell>
          <cell r="Q3783" t="str">
            <v>-</v>
          </cell>
          <cell r="R3783" t="str">
            <v>-</v>
          </cell>
          <cell r="S3783" t="str">
            <v>Free rotation CW</v>
          </cell>
          <cell r="T3783" t="str">
            <v>-</v>
          </cell>
          <cell r="U3783" t="str">
            <v>-</v>
          </cell>
          <cell r="V3783" t="str">
            <v>-</v>
          </cell>
          <cell r="W3783" t="str">
            <v>-</v>
          </cell>
          <cell r="X3783" t="str">
            <v>(if ATEX, synthetic only!)</v>
          </cell>
          <cell r="Y3783" t="str">
            <v>DRN112M4/FG/RS</v>
          </cell>
          <cell r="Z3783" t="str">
            <v>SEW</v>
          </cell>
          <cell r="AB3783" t="str">
            <v>-</v>
          </cell>
          <cell r="AE3783" t="str">
            <v>Classe di efficienza per China-grado3 - motore asincrono - flangia FG130 D160</v>
          </cell>
          <cell r="AF3783">
            <v>1464</v>
          </cell>
          <cell r="AG3783" t="str">
            <v>DRN112M4</v>
          </cell>
          <cell r="AH3783" t="str">
            <v>--DRN112M4270-X</v>
          </cell>
        </row>
        <row r="3784">
          <cell r="A3784" t="str">
            <v>MR003773</v>
          </cell>
          <cell r="B3784" t="str">
            <v>MR</v>
          </cell>
          <cell r="C3784">
            <v>7.5</v>
          </cell>
          <cell r="D3784">
            <v>73</v>
          </cell>
          <cell r="E3784" t="str">
            <v>KH77</v>
          </cell>
          <cell r="F3784">
            <v>980</v>
          </cell>
          <cell r="G3784">
            <v>20.25</v>
          </cell>
          <cell r="H3784">
            <v>1.5</v>
          </cell>
          <cell r="I3784" t="str">
            <v>M4A</v>
          </cell>
          <cell r="J3784" t="str">
            <v>IE3</v>
          </cell>
          <cell r="K3784" t="str">
            <v>400/690</v>
          </cell>
          <cell r="L3784">
            <v>50</v>
          </cell>
          <cell r="M3784" t="str">
            <v>15,2/8,8</v>
          </cell>
          <cell r="N3784">
            <v>65</v>
          </cell>
          <cell r="O3784" t="str">
            <v>155(F)</v>
          </cell>
          <cell r="P3784" t="str">
            <v>270°</v>
          </cell>
          <cell r="Q3784" t="str">
            <v>-</v>
          </cell>
          <cell r="R3784" t="str">
            <v>-</v>
          </cell>
          <cell r="S3784" t="str">
            <v>Free rotation CCW</v>
          </cell>
          <cell r="T3784" t="str">
            <v>-</v>
          </cell>
          <cell r="U3784" t="str">
            <v>T</v>
          </cell>
          <cell r="V3784" t="str">
            <v>SS</v>
          </cell>
          <cell r="W3784" t="str">
            <v>-</v>
          </cell>
          <cell r="X3784" t="str">
            <v>CLP HC 150 (-30/+50°C)</v>
          </cell>
          <cell r="Y3784" t="str">
            <v>KH77/T DRN132M4 /RS</v>
          </cell>
          <cell r="Z3784" t="str">
            <v>SEW</v>
          </cell>
          <cell r="AB3784" t="str">
            <v>-</v>
          </cell>
          <cell r="AF3784">
            <v>73</v>
          </cell>
          <cell r="AG3784" t="str">
            <v>DRN132M4</v>
          </cell>
          <cell r="AH3784" t="str">
            <v>KH77T-DRN132M4A270-X</v>
          </cell>
        </row>
        <row r="3785">
          <cell r="A3785" t="str">
            <v>MR003774</v>
          </cell>
          <cell r="B3785" t="str">
            <v>MR</v>
          </cell>
          <cell r="C3785">
            <v>22</v>
          </cell>
          <cell r="D3785">
            <v>48</v>
          </cell>
          <cell r="E3785" t="str">
            <v>R127</v>
          </cell>
          <cell r="F3785">
            <v>4390</v>
          </cell>
          <cell r="G3785">
            <v>30.84</v>
          </cell>
          <cell r="H3785">
            <v>1.25</v>
          </cell>
          <cell r="I3785" t="str">
            <v>From M1 to M2 - 25°</v>
          </cell>
          <cell r="J3785" t="str">
            <v>IE3</v>
          </cell>
          <cell r="K3785" t="str">
            <v>400/690</v>
          </cell>
          <cell r="L3785">
            <v>50</v>
          </cell>
          <cell r="M3785" t="str">
            <v>38,5/22,5</v>
          </cell>
          <cell r="N3785">
            <v>55</v>
          </cell>
          <cell r="O3785" t="str">
            <v>155(F)</v>
          </cell>
          <cell r="P3785" t="str">
            <v>270°</v>
          </cell>
          <cell r="Q3785" t="str">
            <v>TF</v>
          </cell>
          <cell r="R3785" t="str">
            <v>V(VE)</v>
          </cell>
          <cell r="S3785" t="str">
            <v>-</v>
          </cell>
          <cell r="T3785" t="str">
            <v>-</v>
          </cell>
          <cell r="U3785" t="str">
            <v>-</v>
          </cell>
          <cell r="V3785" t="str">
            <v>FC</v>
          </cell>
          <cell r="W3785" t="str">
            <v>-</v>
          </cell>
          <cell r="X3785" t="str">
            <v>CLP 220 (-15/+40°C)</v>
          </cell>
          <cell r="Y3785" t="str">
            <v>R127DRN180L4 /TF/V</v>
          </cell>
          <cell r="Z3785" t="str">
            <v>SEW</v>
          </cell>
          <cell r="AB3785" t="str">
            <v>-</v>
          </cell>
          <cell r="AF3785">
            <v>48</v>
          </cell>
          <cell r="AG3785" t="str">
            <v>DRN180L4</v>
          </cell>
          <cell r="AH3785" t="str">
            <v>R127-DRN180L4270-X#</v>
          </cell>
        </row>
        <row r="3786">
          <cell r="A3786" t="str">
            <v>MR003775</v>
          </cell>
          <cell r="B3786" t="str">
            <v>MR</v>
          </cell>
          <cell r="C3786">
            <v>15</v>
          </cell>
          <cell r="D3786">
            <v>12</v>
          </cell>
          <cell r="E3786" t="str">
            <v>KH127</v>
          </cell>
          <cell r="F3786">
            <v>11900</v>
          </cell>
          <cell r="G3786">
            <v>122.48</v>
          </cell>
          <cell r="H3786">
            <v>1.1000000000000001</v>
          </cell>
          <cell r="I3786" t="str">
            <v>From M1A to M2A - 25°</v>
          </cell>
          <cell r="J3786" t="str">
            <v>IE3</v>
          </cell>
          <cell r="K3786" t="str">
            <v>400/690</v>
          </cell>
          <cell r="L3786">
            <v>50</v>
          </cell>
          <cell r="M3786" t="str">
            <v>29/16,7</v>
          </cell>
          <cell r="N3786">
            <v>55</v>
          </cell>
          <cell r="O3786" t="str">
            <v>155(F)</v>
          </cell>
          <cell r="P3786" t="str">
            <v>270°</v>
          </cell>
          <cell r="Q3786" t="str">
            <v>-</v>
          </cell>
          <cell r="R3786" t="str">
            <v>-</v>
          </cell>
          <cell r="S3786" t="str">
            <v>-</v>
          </cell>
          <cell r="T3786" t="str">
            <v>-</v>
          </cell>
          <cell r="U3786" t="str">
            <v>-</v>
          </cell>
          <cell r="V3786" t="str">
            <v>SS</v>
          </cell>
          <cell r="W3786" t="str">
            <v>-</v>
          </cell>
          <cell r="X3786" t="str">
            <v>CLP 220 (-15/+40°C)</v>
          </cell>
          <cell r="Y3786" t="str">
            <v>KH127DRN160L4</v>
          </cell>
          <cell r="Z3786" t="str">
            <v>SEW</v>
          </cell>
          <cell r="AB3786" t="str">
            <v>-</v>
          </cell>
          <cell r="AF3786">
            <v>12</v>
          </cell>
          <cell r="AG3786" t="str">
            <v>DRN160L4</v>
          </cell>
          <cell r="AH3786" t="str">
            <v>KH127-DRN160L4A270-X</v>
          </cell>
        </row>
        <row r="3787">
          <cell r="A3787" t="str">
            <v>MR003776</v>
          </cell>
          <cell r="B3787" t="str">
            <v>MR</v>
          </cell>
          <cell r="C3787">
            <v>15</v>
          </cell>
          <cell r="D3787">
            <v>12</v>
          </cell>
          <cell r="E3787" t="str">
            <v>KH127</v>
          </cell>
          <cell r="F3787">
            <v>11900</v>
          </cell>
          <cell r="G3787">
            <v>122.48</v>
          </cell>
          <cell r="H3787">
            <v>1.1000000000000001</v>
          </cell>
          <cell r="I3787" t="str">
            <v>From M1B to M2B - 25°</v>
          </cell>
          <cell r="J3787" t="str">
            <v>IE3</v>
          </cell>
          <cell r="K3787" t="str">
            <v>400/690</v>
          </cell>
          <cell r="L3787">
            <v>50</v>
          </cell>
          <cell r="M3787" t="str">
            <v>29/16,7</v>
          </cell>
          <cell r="N3787">
            <v>55</v>
          </cell>
          <cell r="O3787" t="str">
            <v>155(F)</v>
          </cell>
          <cell r="P3787" t="str">
            <v>270°</v>
          </cell>
          <cell r="Q3787" t="str">
            <v>-</v>
          </cell>
          <cell r="R3787" t="str">
            <v>-</v>
          </cell>
          <cell r="S3787" t="str">
            <v>-</v>
          </cell>
          <cell r="T3787" t="str">
            <v>-</v>
          </cell>
          <cell r="U3787" t="str">
            <v>-</v>
          </cell>
          <cell r="V3787" t="str">
            <v>SS</v>
          </cell>
          <cell r="W3787" t="str">
            <v>-</v>
          </cell>
          <cell r="X3787" t="str">
            <v>CLP 220 (-15/+40°C)</v>
          </cell>
          <cell r="Y3787" t="str">
            <v>KH127DRN160L4</v>
          </cell>
          <cell r="Z3787" t="str">
            <v>SEW</v>
          </cell>
          <cell r="AB3787" t="str">
            <v>-</v>
          </cell>
          <cell r="AF3787">
            <v>12</v>
          </cell>
          <cell r="AG3787" t="str">
            <v>DRN160L4</v>
          </cell>
          <cell r="AH3787" t="str">
            <v>KH127-DRN160L4B270-X</v>
          </cell>
        </row>
        <row r="3788">
          <cell r="A3788" t="str">
            <v>MR003777</v>
          </cell>
          <cell r="B3788" t="str">
            <v>MR</v>
          </cell>
          <cell r="C3788">
            <v>30</v>
          </cell>
          <cell r="D3788">
            <v>110</v>
          </cell>
          <cell r="E3788" t="str">
            <v>KH107</v>
          </cell>
          <cell r="F3788">
            <v>2590</v>
          </cell>
          <cell r="G3788">
            <v>13.43</v>
          </cell>
          <cell r="H3788">
            <v>1.65</v>
          </cell>
          <cell r="I3788" t="str">
            <v>From M1A to M4A - 80°</v>
          </cell>
          <cell r="J3788" t="str">
            <v>IE3</v>
          </cell>
          <cell r="K3788" t="str">
            <v>400/690</v>
          </cell>
          <cell r="L3788">
            <v>50</v>
          </cell>
          <cell r="M3788" t="str">
            <v>56/32,5</v>
          </cell>
          <cell r="N3788">
            <v>55</v>
          </cell>
          <cell r="O3788" t="str">
            <v>155(F)</v>
          </cell>
          <cell r="P3788" t="str">
            <v>270°</v>
          </cell>
          <cell r="Q3788" t="str">
            <v>-</v>
          </cell>
          <cell r="R3788" t="str">
            <v>-</v>
          </cell>
          <cell r="S3788" t="str">
            <v>Free rotation CCW</v>
          </cell>
          <cell r="T3788" t="str">
            <v>-</v>
          </cell>
          <cell r="U3788" t="str">
            <v>T</v>
          </cell>
          <cell r="V3788" t="str">
            <v>SS</v>
          </cell>
          <cell r="W3788" t="str">
            <v>-</v>
          </cell>
          <cell r="X3788" t="str">
            <v>CLP 220 (-15/+40°C)</v>
          </cell>
          <cell r="Y3788" t="str">
            <v>KH107/T DRN200L4 /RS</v>
          </cell>
          <cell r="Z3788" t="str">
            <v>SEW</v>
          </cell>
          <cell r="AB3788" t="str">
            <v>-</v>
          </cell>
          <cell r="AF3788">
            <v>110</v>
          </cell>
          <cell r="AG3788" t="str">
            <v>DRN200L4</v>
          </cell>
          <cell r="AH3788" t="str">
            <v>KH107T-DRN200L4A270-X</v>
          </cell>
        </row>
        <row r="3789">
          <cell r="A3789" t="str">
            <v>MR003778</v>
          </cell>
          <cell r="B3789" t="str">
            <v>MR</v>
          </cell>
          <cell r="C3789">
            <v>0.75</v>
          </cell>
          <cell r="D3789">
            <v>162</v>
          </cell>
          <cell r="E3789" t="str">
            <v>KA37</v>
          </cell>
          <cell r="F3789">
            <v>44</v>
          </cell>
          <cell r="G3789">
            <v>8.91</v>
          </cell>
          <cell r="H3789">
            <v>3.6</v>
          </cell>
          <cell r="I3789" t="str">
            <v>From M3A to M4A - 10°</v>
          </cell>
          <cell r="J3789" t="str">
            <v>IE3</v>
          </cell>
          <cell r="K3789" t="str">
            <v>230/400</v>
          </cell>
          <cell r="L3789">
            <v>50</v>
          </cell>
          <cell r="M3789" t="str">
            <v>3,05/1,75</v>
          </cell>
          <cell r="N3789">
            <v>55</v>
          </cell>
          <cell r="O3789" t="str">
            <v>155(F)</v>
          </cell>
          <cell r="P3789" t="str">
            <v>180°</v>
          </cell>
          <cell r="Q3789" t="str">
            <v>-</v>
          </cell>
          <cell r="R3789" t="str">
            <v>-</v>
          </cell>
          <cell r="S3789" t="str">
            <v>-</v>
          </cell>
          <cell r="T3789" t="str">
            <v>-</v>
          </cell>
          <cell r="U3789" t="str">
            <v>T</v>
          </cell>
          <cell r="V3789" t="str">
            <v>D</v>
          </cell>
          <cell r="W3789" t="str">
            <v>-</v>
          </cell>
          <cell r="X3789" t="str">
            <v>CLP 220 (-15/+40°C)</v>
          </cell>
          <cell r="Y3789" t="str">
            <v>KA37/T DRN80M4</v>
          </cell>
          <cell r="Z3789" t="str">
            <v>SEW</v>
          </cell>
          <cell r="AB3789" t="str">
            <v>-</v>
          </cell>
          <cell r="AF3789">
            <v>162</v>
          </cell>
          <cell r="AG3789" t="str">
            <v>DRN80M4</v>
          </cell>
          <cell r="AH3789" t="str">
            <v>KA37T-DRN80M4A180-X</v>
          </cell>
        </row>
        <row r="3790">
          <cell r="A3790" t="str">
            <v>MR003779</v>
          </cell>
          <cell r="B3790" t="str">
            <v>MR</v>
          </cell>
          <cell r="C3790">
            <v>0.37</v>
          </cell>
          <cell r="D3790">
            <v>6.2</v>
          </cell>
          <cell r="E3790" t="str">
            <v>FH67</v>
          </cell>
          <cell r="F3790">
            <v>570</v>
          </cell>
          <cell r="G3790">
            <v>229</v>
          </cell>
          <cell r="H3790">
            <v>1.45</v>
          </cell>
          <cell r="I3790" t="str">
            <v>From M3 to M5 - 80°</v>
          </cell>
          <cell r="J3790" t="str">
            <v>IE3</v>
          </cell>
          <cell r="K3790" t="str">
            <v>230/400</v>
          </cell>
          <cell r="L3790">
            <v>50</v>
          </cell>
          <cell r="M3790" t="str">
            <v>1,78/1,02</v>
          </cell>
          <cell r="N3790">
            <v>55</v>
          </cell>
          <cell r="O3790" t="str">
            <v>155(F)</v>
          </cell>
          <cell r="P3790" t="str">
            <v>270°</v>
          </cell>
          <cell r="Q3790" t="str">
            <v>-</v>
          </cell>
          <cell r="R3790" t="str">
            <v>-</v>
          </cell>
          <cell r="S3790" t="str">
            <v>-</v>
          </cell>
          <cell r="T3790" t="str">
            <v>-</v>
          </cell>
          <cell r="U3790" t="str">
            <v>G</v>
          </cell>
          <cell r="V3790" t="str">
            <v>D</v>
          </cell>
          <cell r="W3790" t="str">
            <v>-</v>
          </cell>
          <cell r="X3790" t="str">
            <v>CLP 220 (-15/+40°C)</v>
          </cell>
          <cell r="Y3790" t="str">
            <v>FH67/G DRN71M4</v>
          </cell>
          <cell r="Z3790" t="str">
            <v>SEW</v>
          </cell>
          <cell r="AB3790" t="str">
            <v>-</v>
          </cell>
          <cell r="AF3790">
            <v>6.2</v>
          </cell>
          <cell r="AG3790" t="str">
            <v>DRN71M4</v>
          </cell>
          <cell r="AH3790" t="str">
            <v>FH67G-DRN71M4270-X</v>
          </cell>
        </row>
        <row r="3791">
          <cell r="A3791" t="str">
            <v>MR003780</v>
          </cell>
          <cell r="B3791" t="str">
            <v>MR</v>
          </cell>
          <cell r="C3791">
            <v>9.1999999999999993</v>
          </cell>
          <cell r="D3791">
            <v>15</v>
          </cell>
          <cell r="E3791" t="str">
            <v>KH107</v>
          </cell>
          <cell r="F3791">
            <v>6020</v>
          </cell>
          <cell r="G3791">
            <v>100.75</v>
          </cell>
          <cell r="H3791">
            <v>1.25</v>
          </cell>
          <cell r="I3791" t="str">
            <v>From M1A to M2A - 40°</v>
          </cell>
          <cell r="J3791" t="str">
            <v>IE3</v>
          </cell>
          <cell r="K3791" t="str">
            <v>219-241/
380-420</v>
          </cell>
          <cell r="L3791">
            <v>50</v>
          </cell>
          <cell r="M3791" t="str">
            <v>33,5/19,3</v>
          </cell>
          <cell r="N3791">
            <v>55</v>
          </cell>
          <cell r="O3791" t="str">
            <v>155(F)</v>
          </cell>
          <cell r="P3791" t="str">
            <v>180°</v>
          </cell>
          <cell r="Q3791" t="str">
            <v>-</v>
          </cell>
          <cell r="R3791" t="str">
            <v>-</v>
          </cell>
          <cell r="S3791" t="str">
            <v>-</v>
          </cell>
          <cell r="T3791" t="str">
            <v>-</v>
          </cell>
          <cell r="U3791" t="str">
            <v>-</v>
          </cell>
          <cell r="V3791" t="str">
            <v>SS</v>
          </cell>
          <cell r="W3791" t="str">
            <v>-</v>
          </cell>
          <cell r="X3791" t="str">
            <v>CLP PG 220 (-25/+80°C)</v>
          </cell>
          <cell r="Y3791" t="str">
            <v>KH107EDRN132L4</v>
          </cell>
          <cell r="Z3791" t="str">
            <v>SEW</v>
          </cell>
          <cell r="AB3791" t="str">
            <v>ATEX22</v>
          </cell>
          <cell r="AF3791">
            <v>15</v>
          </cell>
          <cell r="AG3791" t="str">
            <v>EDRN132L4</v>
          </cell>
          <cell r="AH3791" t="str">
            <v>KH107-EDRN132L4A180-X</v>
          </cell>
        </row>
        <row r="3792">
          <cell r="A3792" t="str">
            <v>MR003781</v>
          </cell>
          <cell r="B3792" t="str">
            <v>MR</v>
          </cell>
          <cell r="C3792">
            <v>9.1999999999999993</v>
          </cell>
          <cell r="D3792">
            <v>15</v>
          </cell>
          <cell r="E3792" t="str">
            <v>KH107</v>
          </cell>
          <cell r="F3792">
            <v>6020</v>
          </cell>
          <cell r="G3792">
            <v>100.75</v>
          </cell>
          <cell r="H3792">
            <v>1.25</v>
          </cell>
          <cell r="I3792" t="str">
            <v>From M1B to M2B - 40°</v>
          </cell>
          <cell r="J3792" t="str">
            <v>IE3</v>
          </cell>
          <cell r="K3792" t="str">
            <v>219-241/
380-420</v>
          </cell>
          <cell r="L3792">
            <v>50</v>
          </cell>
          <cell r="M3792" t="str">
            <v>33,5/19,3</v>
          </cell>
          <cell r="N3792">
            <v>55</v>
          </cell>
          <cell r="O3792" t="str">
            <v>155(F)</v>
          </cell>
          <cell r="P3792" t="str">
            <v>0°</v>
          </cell>
          <cell r="Q3792" t="str">
            <v>-</v>
          </cell>
          <cell r="R3792" t="str">
            <v>-</v>
          </cell>
          <cell r="S3792" t="str">
            <v>-</v>
          </cell>
          <cell r="T3792" t="str">
            <v>-</v>
          </cell>
          <cell r="U3792" t="str">
            <v>-</v>
          </cell>
          <cell r="V3792" t="str">
            <v>SS</v>
          </cell>
          <cell r="W3792" t="str">
            <v>-</v>
          </cell>
          <cell r="X3792" t="str">
            <v>CLP PG 220 (-25/+80°C)</v>
          </cell>
          <cell r="Y3792" t="str">
            <v>KH107EDRN132L4</v>
          </cell>
          <cell r="Z3792" t="str">
            <v>SEW</v>
          </cell>
          <cell r="AB3792" t="str">
            <v>ATEX22</v>
          </cell>
          <cell r="AF3792">
            <v>15</v>
          </cell>
          <cell r="AG3792" t="str">
            <v>EDRN132L4</v>
          </cell>
          <cell r="AH3792" t="str">
            <v>KH107-EDRN132L4B0-X</v>
          </cell>
        </row>
        <row r="3793">
          <cell r="A3793" t="str">
            <v>MR003782</v>
          </cell>
          <cell r="B3793" t="str">
            <v>MR</v>
          </cell>
          <cell r="C3793">
            <v>9.1999999999999993</v>
          </cell>
          <cell r="D3793">
            <v>55</v>
          </cell>
          <cell r="E3793" t="str">
            <v>FH87</v>
          </cell>
          <cell r="F3793">
            <v>1580</v>
          </cell>
          <cell r="G3793">
            <v>26.5</v>
          </cell>
          <cell r="H3793">
            <v>1.7</v>
          </cell>
          <cell r="I3793" t="str">
            <v>M1</v>
          </cell>
          <cell r="J3793" t="str">
            <v>IE3</v>
          </cell>
          <cell r="K3793" t="str">
            <v>219-241/
380-420</v>
          </cell>
          <cell r="L3793">
            <v>50</v>
          </cell>
          <cell r="M3793" t="str">
            <v>33,5/19,3</v>
          </cell>
          <cell r="N3793">
            <v>55</v>
          </cell>
          <cell r="O3793" t="str">
            <v>155(F)</v>
          </cell>
          <cell r="P3793" t="str">
            <v>270°</v>
          </cell>
          <cell r="Q3793" t="str">
            <v>-</v>
          </cell>
          <cell r="R3793" t="str">
            <v>-</v>
          </cell>
          <cell r="S3793" t="str">
            <v>-</v>
          </cell>
          <cell r="T3793" t="str">
            <v>-</v>
          </cell>
          <cell r="U3793" t="str">
            <v>G</v>
          </cell>
          <cell r="V3793" t="str">
            <v>D</v>
          </cell>
          <cell r="W3793" t="str">
            <v>-</v>
          </cell>
          <cell r="X3793" t="str">
            <v>CLP PG 220 (-25/+80°C)</v>
          </cell>
          <cell r="Y3793" t="str">
            <v>FH87/G EDRN132L4</v>
          </cell>
          <cell r="Z3793" t="str">
            <v>SEW</v>
          </cell>
          <cell r="AB3793" t="str">
            <v>ATEX22</v>
          </cell>
          <cell r="AF3793">
            <v>55</v>
          </cell>
          <cell r="AG3793" t="str">
            <v>EDRN132L4</v>
          </cell>
          <cell r="AH3793" t="str">
            <v>FH87G-EDRN132L4270-X</v>
          </cell>
        </row>
        <row r="3794">
          <cell r="A3794" t="str">
            <v>MR003783</v>
          </cell>
          <cell r="B3794" t="str">
            <v>MR</v>
          </cell>
          <cell r="C3794">
            <v>5.5</v>
          </cell>
          <cell r="D3794">
            <v>29</v>
          </cell>
          <cell r="E3794" t="str">
            <v>FH87</v>
          </cell>
          <cell r="F3794">
            <v>1810</v>
          </cell>
          <cell r="G3794">
            <v>50.36</v>
          </cell>
          <cell r="H3794">
            <v>1.6</v>
          </cell>
          <cell r="I3794" t="str">
            <v>M1</v>
          </cell>
          <cell r="J3794" t="str">
            <v>IE3</v>
          </cell>
          <cell r="K3794" t="str">
            <v>230/400</v>
          </cell>
          <cell r="L3794">
            <v>50</v>
          </cell>
          <cell r="M3794" t="str">
            <v>18,2/10,5</v>
          </cell>
          <cell r="N3794">
            <v>55</v>
          </cell>
          <cell r="O3794" t="str">
            <v>155(F)</v>
          </cell>
          <cell r="P3794" t="str">
            <v>0°</v>
          </cell>
          <cell r="Q3794" t="str">
            <v>TF</v>
          </cell>
          <cell r="R3794" t="str">
            <v>-</v>
          </cell>
          <cell r="S3794" t="str">
            <v>-</v>
          </cell>
          <cell r="T3794" t="str">
            <v>-</v>
          </cell>
          <cell r="U3794" t="str">
            <v>G</v>
          </cell>
          <cell r="V3794" t="str">
            <v>D</v>
          </cell>
          <cell r="W3794" t="str">
            <v>-</v>
          </cell>
          <cell r="X3794" t="str">
            <v>CLP HC 220 (-25/+60°C)</v>
          </cell>
          <cell r="Y3794" t="str">
            <v>FH87/G DRN132S4 /TF</v>
          </cell>
          <cell r="Z3794" t="str">
            <v>SEW</v>
          </cell>
          <cell r="AB3794" t="str">
            <v>-</v>
          </cell>
          <cell r="AF3794">
            <v>29</v>
          </cell>
          <cell r="AG3794" t="str">
            <v>DRN132S4</v>
          </cell>
          <cell r="AH3794" t="str">
            <v>FH87G-DRN132S40-X</v>
          </cell>
        </row>
        <row r="3795">
          <cell r="A3795" t="str">
            <v>MR003784</v>
          </cell>
          <cell r="B3795" t="str">
            <v>MR</v>
          </cell>
          <cell r="C3795">
            <v>2.2000000000000002</v>
          </cell>
          <cell r="D3795">
            <v>84</v>
          </cell>
          <cell r="E3795" t="str">
            <v>FH47</v>
          </cell>
          <cell r="F3795">
            <v>250</v>
          </cell>
          <cell r="G3795">
            <v>17.329999999999998</v>
          </cell>
          <cell r="H3795">
            <v>1.6</v>
          </cell>
          <cell r="I3795" t="str">
            <v>M1</v>
          </cell>
          <cell r="J3795" t="str">
            <v>IE3</v>
          </cell>
          <cell r="K3795" t="str">
            <v>415V</v>
          </cell>
          <cell r="L3795">
            <v>50</v>
          </cell>
          <cell r="M3795">
            <v>4.8499999999999996</v>
          </cell>
          <cell r="N3795">
            <v>55</v>
          </cell>
          <cell r="O3795" t="str">
            <v>155(F)</v>
          </cell>
          <cell r="P3795" t="str">
            <v>180°</v>
          </cell>
          <cell r="Q3795" t="str">
            <v>-</v>
          </cell>
          <cell r="R3795" t="str">
            <v>-</v>
          </cell>
          <cell r="S3795" t="str">
            <v>-</v>
          </cell>
          <cell r="T3795" t="str">
            <v>-</v>
          </cell>
          <cell r="U3795" t="str">
            <v>G</v>
          </cell>
          <cell r="V3795" t="str">
            <v>D</v>
          </cell>
          <cell r="W3795" t="str">
            <v>-</v>
          </cell>
          <cell r="X3795" t="str">
            <v>CLP 220 (-15/+40°C)</v>
          </cell>
          <cell r="Y3795" t="str">
            <v>FH47/G DRN100LS4</v>
          </cell>
          <cell r="Z3795" t="str">
            <v>SEW</v>
          </cell>
          <cell r="AB3795" t="str">
            <v>-</v>
          </cell>
          <cell r="AF3795">
            <v>84</v>
          </cell>
          <cell r="AG3795" t="str">
            <v>DRN100LS4</v>
          </cell>
          <cell r="AH3795" t="str">
            <v>FH47G-DRN100LS4180-X</v>
          </cell>
        </row>
        <row r="3796">
          <cell r="A3796" t="str">
            <v>MR003785</v>
          </cell>
          <cell r="B3796" t="str">
            <v>MR</v>
          </cell>
          <cell r="C3796">
            <v>3</v>
          </cell>
          <cell r="D3796">
            <v>84</v>
          </cell>
          <cell r="E3796" t="str">
            <v>FH47</v>
          </cell>
          <cell r="F3796">
            <v>340</v>
          </cell>
          <cell r="G3796">
            <v>17.329999999999998</v>
          </cell>
          <cell r="H3796">
            <v>1.1499999999999999</v>
          </cell>
          <cell r="I3796" t="str">
            <v>M1</v>
          </cell>
          <cell r="J3796" t="str">
            <v>IE3</v>
          </cell>
          <cell r="K3796" t="str">
            <v>415V</v>
          </cell>
          <cell r="L3796">
            <v>50</v>
          </cell>
          <cell r="M3796">
            <v>6.6</v>
          </cell>
          <cell r="N3796">
            <v>55</v>
          </cell>
          <cell r="O3796" t="str">
            <v>155(F)</v>
          </cell>
          <cell r="P3796" t="str">
            <v>180°</v>
          </cell>
          <cell r="Q3796" t="str">
            <v>-</v>
          </cell>
          <cell r="R3796" t="str">
            <v>-</v>
          </cell>
          <cell r="S3796" t="str">
            <v>-</v>
          </cell>
          <cell r="T3796" t="str">
            <v>-</v>
          </cell>
          <cell r="U3796" t="str">
            <v>G</v>
          </cell>
          <cell r="V3796" t="str">
            <v>D</v>
          </cell>
          <cell r="W3796" t="str">
            <v>-</v>
          </cell>
          <cell r="X3796" t="str">
            <v>CLP 220 (-15/+40°C)</v>
          </cell>
          <cell r="Y3796" t="str">
            <v>FH47/G DRN100L4</v>
          </cell>
          <cell r="Z3796" t="str">
            <v>SEW</v>
          </cell>
          <cell r="AB3796" t="str">
            <v>-</v>
          </cell>
          <cell r="AF3796">
            <v>84</v>
          </cell>
          <cell r="AG3796" t="str">
            <v>DRN100L4</v>
          </cell>
          <cell r="AH3796" t="str">
            <v>FH47G-DRN100L4180-X</v>
          </cell>
        </row>
        <row r="3797">
          <cell r="A3797" t="str">
            <v>MR003786</v>
          </cell>
          <cell r="B3797" t="str">
            <v>MR</v>
          </cell>
          <cell r="C3797">
            <v>9.1999999999999993</v>
          </cell>
          <cell r="D3797">
            <v>59</v>
          </cell>
          <cell r="E3797" t="str">
            <v>KH87</v>
          </cell>
          <cell r="F3797">
            <v>1490</v>
          </cell>
          <cell r="G3797">
            <v>24.92</v>
          </cell>
          <cell r="H3797">
            <v>1.65</v>
          </cell>
          <cell r="I3797" t="str">
            <v>M4A</v>
          </cell>
          <cell r="J3797" t="str">
            <v>IE3</v>
          </cell>
          <cell r="K3797" t="str">
            <v>219-241/
380-420</v>
          </cell>
          <cell r="L3797">
            <v>50</v>
          </cell>
          <cell r="M3797" t="str">
            <v>33,5/19,3</v>
          </cell>
          <cell r="N3797">
            <v>55</v>
          </cell>
          <cell r="O3797" t="str">
            <v>155(F)</v>
          </cell>
          <cell r="P3797" t="str">
            <v>270°</v>
          </cell>
          <cell r="Q3797" t="str">
            <v>-</v>
          </cell>
          <cell r="R3797" t="str">
            <v>-</v>
          </cell>
          <cell r="S3797" t="str">
            <v>Free rotation CCW</v>
          </cell>
          <cell r="T3797" t="str">
            <v>-</v>
          </cell>
          <cell r="U3797" t="str">
            <v>T</v>
          </cell>
          <cell r="V3797" t="str">
            <v>SS</v>
          </cell>
          <cell r="W3797" t="str">
            <v>-</v>
          </cell>
          <cell r="X3797" t="str">
            <v>CLP PG 220 (-25/+80°C)</v>
          </cell>
          <cell r="Y3797" t="str">
            <v>KH87/T EDRN132L4 /RS</v>
          </cell>
          <cell r="Z3797" t="str">
            <v>SEW</v>
          </cell>
          <cell r="AB3797" t="str">
            <v>ATEX22</v>
          </cell>
          <cell r="AF3797">
            <v>59</v>
          </cell>
          <cell r="AG3797" t="str">
            <v>EDRN132L4</v>
          </cell>
          <cell r="AH3797" t="str">
            <v>KH87T-EDRN132L4A270-X</v>
          </cell>
        </row>
        <row r="3798">
          <cell r="A3798" t="str">
            <v>MR003787</v>
          </cell>
          <cell r="B3798" t="str">
            <v>MR</v>
          </cell>
          <cell r="C3798">
            <v>0.75</v>
          </cell>
          <cell r="D3798">
            <v>162</v>
          </cell>
          <cell r="E3798" t="str">
            <v>KA37</v>
          </cell>
          <cell r="F3798">
            <v>44</v>
          </cell>
          <cell r="G3798">
            <v>8.91</v>
          </cell>
          <cell r="H3798">
            <v>3.1</v>
          </cell>
          <cell r="I3798" t="str">
            <v>From M1A to M2A - 10°</v>
          </cell>
          <cell r="J3798" t="str">
            <v>IE3</v>
          </cell>
          <cell r="K3798" t="str">
            <v>219-241/
380-420</v>
          </cell>
          <cell r="L3798">
            <v>50</v>
          </cell>
          <cell r="M3798" t="str">
            <v>3,1/1,79</v>
          </cell>
          <cell r="N3798">
            <v>55</v>
          </cell>
          <cell r="O3798" t="str">
            <v>155(F)</v>
          </cell>
          <cell r="P3798" t="str">
            <v>180°</v>
          </cell>
          <cell r="Q3798" t="str">
            <v>-</v>
          </cell>
          <cell r="R3798" t="str">
            <v>-</v>
          </cell>
          <cell r="S3798" t="str">
            <v>-</v>
          </cell>
          <cell r="T3798" t="str">
            <v>-</v>
          </cell>
          <cell r="U3798" t="str">
            <v>T</v>
          </cell>
          <cell r="V3798" t="str">
            <v>D</v>
          </cell>
          <cell r="W3798" t="str">
            <v>-</v>
          </cell>
          <cell r="X3798" t="str">
            <v>CLP PG 220 (-25/+80°C)</v>
          </cell>
          <cell r="Y3798" t="str">
            <v>KA37/T EDRN80M4</v>
          </cell>
          <cell r="Z3798" t="str">
            <v>SEW</v>
          </cell>
          <cell r="AB3798" t="str">
            <v>ATEX22</v>
          </cell>
          <cell r="AF3798">
            <v>162</v>
          </cell>
          <cell r="AG3798" t="str">
            <v>EDRN80M4</v>
          </cell>
          <cell r="AH3798" t="str">
            <v>KA37T-EDRN80M4A180-X</v>
          </cell>
        </row>
        <row r="3799">
          <cell r="A3799" t="str">
            <v>MR003788</v>
          </cell>
          <cell r="B3799" t="str">
            <v>MR</v>
          </cell>
          <cell r="C3799">
            <v>9.1999999999999993</v>
          </cell>
          <cell r="D3799">
            <v>15</v>
          </cell>
          <cell r="E3799" t="str">
            <v>KH107</v>
          </cell>
          <cell r="F3799">
            <v>6020</v>
          </cell>
          <cell r="G3799">
            <v>100.75</v>
          </cell>
          <cell r="H3799">
            <v>1.25</v>
          </cell>
          <cell r="I3799" t="str">
            <v>From M1A to M2A - 30°</v>
          </cell>
          <cell r="J3799" t="str">
            <v>IE3</v>
          </cell>
          <cell r="K3799" t="str">
            <v>219-241/
380-420</v>
          </cell>
          <cell r="L3799">
            <v>50</v>
          </cell>
          <cell r="M3799" t="str">
            <v>33,5/19,3</v>
          </cell>
          <cell r="N3799">
            <v>55</v>
          </cell>
          <cell r="O3799" t="str">
            <v>155(F)</v>
          </cell>
          <cell r="P3799" t="str">
            <v>180°</v>
          </cell>
          <cell r="Q3799" t="str">
            <v>-</v>
          </cell>
          <cell r="R3799" t="str">
            <v>-</v>
          </cell>
          <cell r="S3799" t="str">
            <v>-</v>
          </cell>
          <cell r="T3799" t="str">
            <v>-</v>
          </cell>
          <cell r="U3799" t="str">
            <v>-</v>
          </cell>
          <cell r="V3799" t="str">
            <v>SS</v>
          </cell>
          <cell r="W3799" t="str">
            <v>-</v>
          </cell>
          <cell r="X3799" t="str">
            <v>CLP PG 220 (-25/+80°C)</v>
          </cell>
          <cell r="Y3799" t="str">
            <v>KH107EDRN132L4</v>
          </cell>
          <cell r="Z3799" t="str">
            <v>SEW</v>
          </cell>
          <cell r="AB3799" t="str">
            <v>ATEX22</v>
          </cell>
          <cell r="AF3799">
            <v>15</v>
          </cell>
          <cell r="AG3799" t="str">
            <v>EDRN132L4</v>
          </cell>
          <cell r="AH3799" t="str">
            <v>KH107-EDRN132L4A180-X</v>
          </cell>
        </row>
        <row r="3800">
          <cell r="A3800" t="str">
            <v>MR003789</v>
          </cell>
          <cell r="B3800" t="str">
            <v>MR</v>
          </cell>
          <cell r="C3800">
            <v>2.2000000000000002</v>
          </cell>
          <cell r="D3800">
            <v>84</v>
          </cell>
          <cell r="E3800" t="str">
            <v>FH47</v>
          </cell>
          <cell r="F3800">
            <v>250</v>
          </cell>
          <cell r="G3800">
            <v>17.329999999999998</v>
          </cell>
          <cell r="H3800">
            <v>1.6</v>
          </cell>
          <cell r="I3800" t="str">
            <v>M1</v>
          </cell>
          <cell r="J3800" t="str">
            <v>IE3</v>
          </cell>
          <cell r="K3800" t="str">
            <v>219-241/
380-420</v>
          </cell>
          <cell r="L3800">
            <v>50</v>
          </cell>
          <cell r="M3800" t="str">
            <v>8,3/4,8</v>
          </cell>
          <cell r="N3800">
            <v>55</v>
          </cell>
          <cell r="O3800" t="str">
            <v>155(F)</v>
          </cell>
          <cell r="P3800" t="str">
            <v>180°</v>
          </cell>
          <cell r="Q3800" t="str">
            <v>-</v>
          </cell>
          <cell r="R3800" t="str">
            <v>-</v>
          </cell>
          <cell r="S3800" t="str">
            <v>-</v>
          </cell>
          <cell r="T3800" t="str">
            <v>-</v>
          </cell>
          <cell r="U3800" t="str">
            <v>G</v>
          </cell>
          <cell r="V3800" t="str">
            <v>D</v>
          </cell>
          <cell r="W3800" t="str">
            <v>-</v>
          </cell>
          <cell r="X3800" t="str">
            <v>CLP PG 220 (-25/+80°C)</v>
          </cell>
          <cell r="Y3800" t="str">
            <v>FH47/G EDRN100LS4</v>
          </cell>
          <cell r="Z3800" t="str">
            <v>SEW</v>
          </cell>
          <cell r="AB3800" t="str">
            <v>ATEX22</v>
          </cell>
          <cell r="AF3800">
            <v>84</v>
          </cell>
          <cell r="AG3800" t="str">
            <v>EDRN100LS4</v>
          </cell>
          <cell r="AH3800" t="str">
            <v>FH47G-EDRN100LS4180-X</v>
          </cell>
        </row>
        <row r="3801">
          <cell r="A3801" t="str">
            <v>MR003790</v>
          </cell>
          <cell r="B3801" t="str">
            <v>MR</v>
          </cell>
          <cell r="C3801">
            <v>2.2000000000000002</v>
          </cell>
          <cell r="D3801">
            <v>84</v>
          </cell>
          <cell r="E3801" t="str">
            <v>FH47</v>
          </cell>
          <cell r="F3801">
            <v>250</v>
          </cell>
          <cell r="G3801">
            <v>17.329999999999998</v>
          </cell>
          <cell r="H3801">
            <v>1.6</v>
          </cell>
          <cell r="I3801" t="str">
            <v>From M1 to M5 - 10°</v>
          </cell>
          <cell r="J3801" t="str">
            <v>IE3</v>
          </cell>
          <cell r="K3801" t="str">
            <v>219-241/
380-420</v>
          </cell>
          <cell r="L3801">
            <v>50</v>
          </cell>
          <cell r="M3801" t="str">
            <v>8,3/4,8</v>
          </cell>
          <cell r="N3801">
            <v>55</v>
          </cell>
          <cell r="O3801" t="str">
            <v>155(F)</v>
          </cell>
          <cell r="P3801" t="str">
            <v>180°</v>
          </cell>
          <cell r="Q3801" t="str">
            <v>-</v>
          </cell>
          <cell r="R3801" t="str">
            <v>-</v>
          </cell>
          <cell r="S3801" t="str">
            <v>Free rotation CCW</v>
          </cell>
          <cell r="T3801" t="str">
            <v>-</v>
          </cell>
          <cell r="U3801" t="str">
            <v>G</v>
          </cell>
          <cell r="V3801" t="str">
            <v>D</v>
          </cell>
          <cell r="W3801" t="str">
            <v>-</v>
          </cell>
          <cell r="X3801" t="str">
            <v>CLP PG 220 (-25/+80°C)</v>
          </cell>
          <cell r="Y3801" t="str">
            <v>FH47/G EDRN100LS4 /RS</v>
          </cell>
          <cell r="Z3801" t="str">
            <v>SEW</v>
          </cell>
          <cell r="AB3801" t="str">
            <v>ATEX22</v>
          </cell>
          <cell r="AF3801">
            <v>84</v>
          </cell>
          <cell r="AG3801" t="str">
            <v>EDRN100LS4</v>
          </cell>
          <cell r="AH3801" t="str">
            <v>FH47G-EDRN100LS4180-X</v>
          </cell>
        </row>
        <row r="3802">
          <cell r="A3802" t="str">
            <v>MR003791</v>
          </cell>
          <cell r="B3802" t="str">
            <v>MR</v>
          </cell>
          <cell r="C3802">
            <v>5.5</v>
          </cell>
          <cell r="D3802">
            <v>80</v>
          </cell>
          <cell r="E3802" t="str">
            <v>FH67</v>
          </cell>
          <cell r="F3802">
            <v>660</v>
          </cell>
          <cell r="G3802">
            <v>18.29</v>
          </cell>
          <cell r="H3802">
            <v>1.25</v>
          </cell>
          <cell r="I3802" t="str">
            <v>From M1 to M5 - 5°</v>
          </cell>
          <cell r="J3802" t="str">
            <v>IE3</v>
          </cell>
          <cell r="K3802" t="str">
            <v>219-241/
380-420</v>
          </cell>
          <cell r="L3802">
            <v>50</v>
          </cell>
          <cell r="M3802" t="str">
            <v>18,8/10,9</v>
          </cell>
          <cell r="N3802">
            <v>55</v>
          </cell>
          <cell r="O3802" t="str">
            <v>155(F)</v>
          </cell>
          <cell r="P3802" t="str">
            <v>180°</v>
          </cell>
          <cell r="Q3802" t="str">
            <v>-</v>
          </cell>
          <cell r="R3802" t="str">
            <v>-</v>
          </cell>
          <cell r="S3802" t="str">
            <v>Free rotation CCW</v>
          </cell>
          <cell r="T3802" t="str">
            <v>-</v>
          </cell>
          <cell r="U3802" t="str">
            <v>G</v>
          </cell>
          <cell r="V3802" t="str">
            <v>D</v>
          </cell>
          <cell r="W3802" t="str">
            <v>-</v>
          </cell>
          <cell r="X3802" t="str">
            <v>CLP PG 220 (-25/+80°C)</v>
          </cell>
          <cell r="Y3802" t="str">
            <v>FH67/G EDRN132S4 /RS</v>
          </cell>
          <cell r="Z3802" t="str">
            <v>SEW</v>
          </cell>
          <cell r="AB3802" t="str">
            <v>ATEX22</v>
          </cell>
          <cell r="AF3802">
            <v>80</v>
          </cell>
          <cell r="AG3802" t="str">
            <v>EDRN132S4</v>
          </cell>
          <cell r="AH3802" t="str">
            <v>FH67G-EDRN132S4180-X</v>
          </cell>
        </row>
        <row r="3803">
          <cell r="A3803" t="str">
            <v>MR003792</v>
          </cell>
          <cell r="B3803" t="str">
            <v>MR</v>
          </cell>
          <cell r="C3803">
            <v>5.5</v>
          </cell>
          <cell r="D3803">
            <v>80</v>
          </cell>
          <cell r="E3803" t="str">
            <v>FH67</v>
          </cell>
          <cell r="F3803">
            <v>660</v>
          </cell>
          <cell r="G3803">
            <v>18.29</v>
          </cell>
          <cell r="H3803">
            <v>1.25</v>
          </cell>
          <cell r="I3803" t="str">
            <v>M1</v>
          </cell>
          <cell r="J3803" t="str">
            <v>IE3</v>
          </cell>
          <cell r="K3803" t="str">
            <v>219-241/
380-420</v>
          </cell>
          <cell r="L3803">
            <v>50</v>
          </cell>
          <cell r="M3803" t="str">
            <v>18,8/10,9</v>
          </cell>
          <cell r="N3803">
            <v>55</v>
          </cell>
          <cell r="O3803" t="str">
            <v>155(F)</v>
          </cell>
          <cell r="P3803" t="str">
            <v>180°</v>
          </cell>
          <cell r="Q3803" t="str">
            <v>-</v>
          </cell>
          <cell r="R3803" t="str">
            <v>-</v>
          </cell>
          <cell r="S3803" t="str">
            <v>-</v>
          </cell>
          <cell r="T3803" t="str">
            <v>-</v>
          </cell>
          <cell r="U3803" t="str">
            <v>G</v>
          </cell>
          <cell r="V3803" t="str">
            <v>D</v>
          </cell>
          <cell r="W3803" t="str">
            <v>-</v>
          </cell>
          <cell r="X3803" t="str">
            <v>CLP PG 220 (-25/+80°C)</v>
          </cell>
          <cell r="Y3803" t="str">
            <v>FH67/G EDRN132S4</v>
          </cell>
          <cell r="Z3803" t="str">
            <v>SEW</v>
          </cell>
          <cell r="AB3803" t="str">
            <v>ATEX22</v>
          </cell>
          <cell r="AF3803">
            <v>80</v>
          </cell>
          <cell r="AG3803" t="str">
            <v>EDRN132S4</v>
          </cell>
          <cell r="AH3803" t="str">
            <v>FH67G-EDRN132S4180-X</v>
          </cell>
        </row>
        <row r="3804">
          <cell r="A3804" t="str">
            <v>MR003793</v>
          </cell>
          <cell r="B3804" t="str">
            <v>MR</v>
          </cell>
          <cell r="C3804">
            <v>9.1999999999999993</v>
          </cell>
          <cell r="D3804">
            <v>15</v>
          </cell>
          <cell r="E3804" t="str">
            <v>KH107</v>
          </cell>
          <cell r="F3804">
            <v>6020</v>
          </cell>
          <cell r="G3804">
            <v>100.75</v>
          </cell>
          <cell r="H3804">
            <v>1.25</v>
          </cell>
          <cell r="I3804" t="str">
            <v>From M1A to M2A - 45°</v>
          </cell>
          <cell r="J3804" t="str">
            <v>IE3</v>
          </cell>
          <cell r="K3804" t="str">
            <v>219-241/
380-420</v>
          </cell>
          <cell r="L3804">
            <v>50</v>
          </cell>
          <cell r="M3804" t="str">
            <v>33,5/19,3</v>
          </cell>
          <cell r="N3804">
            <v>55</v>
          </cell>
          <cell r="O3804" t="str">
            <v>155(F)</v>
          </cell>
          <cell r="P3804" t="str">
            <v>180°</v>
          </cell>
          <cell r="Q3804" t="str">
            <v>-</v>
          </cell>
          <cell r="R3804" t="str">
            <v>-</v>
          </cell>
          <cell r="S3804" t="str">
            <v>-</v>
          </cell>
          <cell r="T3804" t="str">
            <v>-</v>
          </cell>
          <cell r="U3804" t="str">
            <v>-</v>
          </cell>
          <cell r="V3804" t="str">
            <v>SS</v>
          </cell>
          <cell r="W3804" t="str">
            <v>-</v>
          </cell>
          <cell r="X3804" t="str">
            <v>CLP PG 220 (-25/+80°C)</v>
          </cell>
          <cell r="Y3804" t="str">
            <v>KH107EDRN132L4</v>
          </cell>
          <cell r="Z3804" t="str">
            <v>SEW</v>
          </cell>
          <cell r="AB3804" t="str">
            <v>ATEX22</v>
          </cell>
          <cell r="AF3804">
            <v>15</v>
          </cell>
          <cell r="AG3804" t="str">
            <v>EDRN132L4</v>
          </cell>
          <cell r="AH3804" t="str">
            <v>KH107-EDRN132L4A180-X</v>
          </cell>
        </row>
        <row r="3805">
          <cell r="A3805" t="str">
            <v>MR003794</v>
          </cell>
          <cell r="B3805" t="str">
            <v>MR</v>
          </cell>
          <cell r="C3805">
            <v>37</v>
          </cell>
          <cell r="D3805">
            <v>37</v>
          </cell>
          <cell r="E3805" t="str">
            <v>R147</v>
          </cell>
          <cell r="F3805">
            <v>9600</v>
          </cell>
          <cell r="G3805">
            <v>40.29</v>
          </cell>
          <cell r="H3805">
            <v>1.35</v>
          </cell>
          <cell r="I3805" t="str">
            <v>From M1 to M2 - 15°</v>
          </cell>
          <cell r="J3805" t="str">
            <v>IE3</v>
          </cell>
          <cell r="K3805" t="str">
            <v>400/690</v>
          </cell>
          <cell r="L3805">
            <v>50</v>
          </cell>
          <cell r="M3805" t="str">
            <v>64/37</v>
          </cell>
          <cell r="N3805">
            <v>65</v>
          </cell>
          <cell r="O3805" t="str">
            <v>155(F)</v>
          </cell>
          <cell r="P3805" t="str">
            <v>270°</v>
          </cell>
          <cell r="Q3805" t="str">
            <v>TF</v>
          </cell>
          <cell r="R3805" t="str">
            <v>V(VE)</v>
          </cell>
          <cell r="S3805" t="str">
            <v>-</v>
          </cell>
          <cell r="T3805" t="str">
            <v>-</v>
          </cell>
          <cell r="U3805" t="str">
            <v>-</v>
          </cell>
          <cell r="V3805" t="str">
            <v>FC</v>
          </cell>
          <cell r="W3805" t="str">
            <v>-</v>
          </cell>
          <cell r="X3805" t="str">
            <v>CLP HC 150 (-30/+50°C)</v>
          </cell>
          <cell r="Y3805" t="str">
            <v>R147DRN225S4 /TF/V</v>
          </cell>
          <cell r="Z3805" t="str">
            <v>SEW</v>
          </cell>
          <cell r="AB3805" t="str">
            <v>-</v>
          </cell>
          <cell r="AF3805">
            <v>37</v>
          </cell>
          <cell r="AG3805" t="str">
            <v>DRN225S4</v>
          </cell>
          <cell r="AH3805" t="str">
            <v>R147-DRN225S4270-X#</v>
          </cell>
        </row>
        <row r="3806">
          <cell r="A3806" t="str">
            <v>MR003795</v>
          </cell>
          <cell r="B3806" t="str">
            <v>MR</v>
          </cell>
          <cell r="C3806">
            <v>9.1999999999999993</v>
          </cell>
          <cell r="D3806">
            <v>15</v>
          </cell>
          <cell r="E3806" t="str">
            <v>KH107</v>
          </cell>
          <cell r="F3806">
            <v>6020</v>
          </cell>
          <cell r="G3806">
            <v>100.75</v>
          </cell>
          <cell r="H3806">
            <v>1.36</v>
          </cell>
          <cell r="I3806" t="str">
            <v>From M1A to M2A - 40°</v>
          </cell>
          <cell r="J3806" t="str">
            <v>IE3</v>
          </cell>
          <cell r="K3806" t="str">
            <v>415V</v>
          </cell>
          <cell r="L3806">
            <v>50</v>
          </cell>
          <cell r="M3806">
            <v>18.7</v>
          </cell>
          <cell r="N3806">
            <v>55</v>
          </cell>
          <cell r="O3806" t="str">
            <v>155(F)</v>
          </cell>
          <cell r="P3806" t="str">
            <v>180°</v>
          </cell>
          <cell r="Q3806" t="str">
            <v>-</v>
          </cell>
          <cell r="R3806" t="str">
            <v>-</v>
          </cell>
          <cell r="S3806" t="str">
            <v>-</v>
          </cell>
          <cell r="T3806" t="str">
            <v>-</v>
          </cell>
          <cell r="U3806" t="str">
            <v>-</v>
          </cell>
          <cell r="V3806" t="str">
            <v>SS</v>
          </cell>
          <cell r="W3806" t="str">
            <v>-</v>
          </cell>
          <cell r="X3806" t="str">
            <v>CLP 220 (-15/+40°C)</v>
          </cell>
          <cell r="Y3806" t="str">
            <v>KH107DRN132L4</v>
          </cell>
          <cell r="Z3806" t="str">
            <v>SEW</v>
          </cell>
          <cell r="AB3806" t="str">
            <v>-</v>
          </cell>
          <cell r="AF3806">
            <v>15</v>
          </cell>
          <cell r="AG3806" t="str">
            <v>DRN132L4</v>
          </cell>
          <cell r="AH3806" t="str">
            <v>KH107-DRN132L4A180-X</v>
          </cell>
        </row>
        <row r="3807">
          <cell r="A3807" t="str">
            <v>MR003796</v>
          </cell>
          <cell r="B3807" t="str">
            <v>MR</v>
          </cell>
          <cell r="C3807">
            <v>9.1999999999999993</v>
          </cell>
          <cell r="D3807">
            <v>15</v>
          </cell>
          <cell r="E3807" t="str">
            <v>KH107</v>
          </cell>
          <cell r="F3807">
            <v>6020</v>
          </cell>
          <cell r="G3807">
            <v>100.75</v>
          </cell>
          <cell r="H3807">
            <v>1.25</v>
          </cell>
          <cell r="I3807" t="str">
            <v>From M1B to M2B - 40°</v>
          </cell>
          <cell r="J3807" t="str">
            <v>IE3</v>
          </cell>
          <cell r="K3807" t="str">
            <v>415V</v>
          </cell>
          <cell r="L3807">
            <v>50</v>
          </cell>
          <cell r="M3807">
            <v>18.7</v>
          </cell>
          <cell r="N3807">
            <v>55</v>
          </cell>
          <cell r="O3807" t="str">
            <v>155(F)</v>
          </cell>
          <cell r="P3807" t="str">
            <v>0°</v>
          </cell>
          <cell r="Q3807" t="str">
            <v>-</v>
          </cell>
          <cell r="R3807" t="str">
            <v>-</v>
          </cell>
          <cell r="S3807" t="str">
            <v>-</v>
          </cell>
          <cell r="T3807" t="str">
            <v>-</v>
          </cell>
          <cell r="U3807" t="str">
            <v>-</v>
          </cell>
          <cell r="V3807" t="str">
            <v>SS</v>
          </cell>
          <cell r="W3807" t="str">
            <v>-</v>
          </cell>
          <cell r="X3807" t="str">
            <v>CLP 220 (-15/+40°C)</v>
          </cell>
          <cell r="Y3807" t="str">
            <v>KH107DRN132L4</v>
          </cell>
          <cell r="Z3807" t="str">
            <v>SEW</v>
          </cell>
          <cell r="AB3807" t="str">
            <v>-</v>
          </cell>
          <cell r="AF3807">
            <v>15</v>
          </cell>
          <cell r="AG3807" t="str">
            <v>DRN132L4</v>
          </cell>
          <cell r="AH3807" t="str">
            <v>KH107-DRN132L4B0-X</v>
          </cell>
        </row>
        <row r="3808">
          <cell r="A3808" t="str">
            <v>MR003797</v>
          </cell>
          <cell r="B3808" t="str">
            <v>MR</v>
          </cell>
          <cell r="C3808">
            <v>9.1999999999999993</v>
          </cell>
          <cell r="D3808">
            <v>55</v>
          </cell>
          <cell r="E3808" t="str">
            <v>FH87</v>
          </cell>
          <cell r="F3808">
            <v>1580</v>
          </cell>
          <cell r="G3808">
            <v>26.5</v>
          </cell>
          <cell r="H3808">
            <v>1.9</v>
          </cell>
          <cell r="I3808" t="str">
            <v>M1</v>
          </cell>
          <cell r="J3808" t="str">
            <v>IE3</v>
          </cell>
          <cell r="K3808" t="str">
            <v>415V</v>
          </cell>
          <cell r="L3808">
            <v>50</v>
          </cell>
          <cell r="M3808">
            <v>18.7</v>
          </cell>
          <cell r="N3808">
            <v>55</v>
          </cell>
          <cell r="O3808" t="str">
            <v>155(F)</v>
          </cell>
          <cell r="P3808" t="str">
            <v>270°</v>
          </cell>
          <cell r="Q3808" t="str">
            <v>-</v>
          </cell>
          <cell r="R3808" t="str">
            <v>-</v>
          </cell>
          <cell r="S3808" t="str">
            <v>-</v>
          </cell>
          <cell r="T3808" t="str">
            <v>-</v>
          </cell>
          <cell r="U3808" t="str">
            <v>G</v>
          </cell>
          <cell r="V3808" t="str">
            <v>D</v>
          </cell>
          <cell r="W3808" t="str">
            <v>-</v>
          </cell>
          <cell r="X3808" t="str">
            <v>CLP 220 (-15/+40°C)</v>
          </cell>
          <cell r="Y3808" t="str">
            <v>FH87/G DRN132L4</v>
          </cell>
          <cell r="Z3808" t="str">
            <v>SEW</v>
          </cell>
          <cell r="AB3808" t="str">
            <v>-</v>
          </cell>
          <cell r="AF3808">
            <v>55</v>
          </cell>
          <cell r="AG3808" t="str">
            <v>DRN132L4</v>
          </cell>
          <cell r="AH3808" t="str">
            <v>FH87G-DRN132L4270-X</v>
          </cell>
        </row>
        <row r="3809">
          <cell r="A3809" t="str">
            <v>MR003798</v>
          </cell>
          <cell r="B3809" t="str">
            <v>MR</v>
          </cell>
          <cell r="C3809">
            <v>9.1999999999999993</v>
          </cell>
          <cell r="D3809">
            <v>59</v>
          </cell>
          <cell r="E3809" t="str">
            <v>KH87</v>
          </cell>
          <cell r="F3809">
            <v>1480</v>
          </cell>
          <cell r="G3809">
            <v>24.92</v>
          </cell>
          <cell r="H3809">
            <v>1.7</v>
          </cell>
          <cell r="I3809" t="str">
            <v>M4A</v>
          </cell>
          <cell r="J3809" t="str">
            <v>IE3</v>
          </cell>
          <cell r="K3809" t="str">
            <v>415V</v>
          </cell>
          <cell r="L3809">
            <v>50</v>
          </cell>
          <cell r="M3809">
            <v>18.7</v>
          </cell>
          <cell r="N3809">
            <v>55</v>
          </cell>
          <cell r="O3809" t="str">
            <v>155(F)</v>
          </cell>
          <cell r="P3809" t="str">
            <v>270°</v>
          </cell>
          <cell r="Q3809" t="str">
            <v>-</v>
          </cell>
          <cell r="R3809" t="str">
            <v>-</v>
          </cell>
          <cell r="S3809" t="str">
            <v>Free rotation CCW</v>
          </cell>
          <cell r="T3809" t="str">
            <v>-</v>
          </cell>
          <cell r="U3809" t="str">
            <v>T</v>
          </cell>
          <cell r="V3809" t="str">
            <v>SS</v>
          </cell>
          <cell r="W3809" t="str">
            <v>-</v>
          </cell>
          <cell r="X3809" t="str">
            <v>CLP 220 (-15/+40°C)</v>
          </cell>
          <cell r="Y3809" t="str">
            <v>KH87/T DRN132L4 /RS</v>
          </cell>
          <cell r="Z3809" t="str">
            <v>SEW</v>
          </cell>
          <cell r="AB3809" t="str">
            <v>-</v>
          </cell>
          <cell r="AF3809">
            <v>59</v>
          </cell>
          <cell r="AG3809" t="str">
            <v>DRN132L4</v>
          </cell>
          <cell r="AH3809" t="str">
            <v>KH87T-DRN132L4A270-X</v>
          </cell>
        </row>
        <row r="3810">
          <cell r="A3810" t="str">
            <v>MR003799</v>
          </cell>
          <cell r="B3810" t="str">
            <v>MR</v>
          </cell>
          <cell r="C3810">
            <v>0.75</v>
          </cell>
          <cell r="D3810">
            <v>162</v>
          </cell>
          <cell r="E3810" t="str">
            <v>KA37</v>
          </cell>
          <cell r="F3810">
            <v>44</v>
          </cell>
          <cell r="G3810">
            <v>8.91</v>
          </cell>
          <cell r="H3810">
            <v>3.1</v>
          </cell>
          <cell r="I3810" t="str">
            <v>From M1A to M2A - 10°</v>
          </cell>
          <cell r="J3810" t="str">
            <v>IE3</v>
          </cell>
          <cell r="K3810" t="str">
            <v>415V</v>
          </cell>
          <cell r="L3810">
            <v>50</v>
          </cell>
          <cell r="M3810">
            <v>1.79</v>
          </cell>
          <cell r="N3810">
            <v>55</v>
          </cell>
          <cell r="O3810" t="str">
            <v>155(F)</v>
          </cell>
          <cell r="P3810" t="str">
            <v>180°</v>
          </cell>
          <cell r="Q3810" t="str">
            <v>-</v>
          </cell>
          <cell r="R3810" t="str">
            <v>-</v>
          </cell>
          <cell r="S3810" t="str">
            <v>-</v>
          </cell>
          <cell r="T3810" t="str">
            <v>-</v>
          </cell>
          <cell r="U3810" t="str">
            <v>T</v>
          </cell>
          <cell r="V3810" t="str">
            <v>D</v>
          </cell>
          <cell r="W3810" t="str">
            <v>-</v>
          </cell>
          <cell r="X3810" t="str">
            <v>CLP 220 (-15/+40°C)</v>
          </cell>
          <cell r="Y3810" t="str">
            <v>KA37/T DRN80M4</v>
          </cell>
          <cell r="Z3810" t="str">
            <v>SEW</v>
          </cell>
          <cell r="AB3810" t="str">
            <v>-</v>
          </cell>
          <cell r="AF3810">
            <v>162</v>
          </cell>
          <cell r="AG3810" t="str">
            <v>DRN80M4</v>
          </cell>
          <cell r="AH3810" t="str">
            <v>KA37T-DRN80M4A180-X</v>
          </cell>
        </row>
        <row r="3811">
          <cell r="A3811" t="str">
            <v>MR003800</v>
          </cell>
          <cell r="B3811" t="str">
            <v>MR</v>
          </cell>
          <cell r="C3811">
            <v>9.1999999999999993</v>
          </cell>
          <cell r="D3811">
            <v>15</v>
          </cell>
          <cell r="E3811" t="str">
            <v>KH107</v>
          </cell>
          <cell r="F3811">
            <v>6020</v>
          </cell>
          <cell r="G3811">
            <v>100.75</v>
          </cell>
          <cell r="H3811">
            <v>1.35</v>
          </cell>
          <cell r="I3811" t="str">
            <v>From M1A to M2A - 30°</v>
          </cell>
          <cell r="J3811" t="str">
            <v>IE3</v>
          </cell>
          <cell r="K3811" t="str">
            <v>415V</v>
          </cell>
          <cell r="L3811">
            <v>50</v>
          </cell>
          <cell r="M3811">
            <v>18.7</v>
          </cell>
          <cell r="N3811">
            <v>55</v>
          </cell>
          <cell r="O3811" t="str">
            <v>155(F)</v>
          </cell>
          <cell r="P3811" t="str">
            <v>180°</v>
          </cell>
          <cell r="Q3811" t="str">
            <v>-</v>
          </cell>
          <cell r="R3811" t="str">
            <v>-</v>
          </cell>
          <cell r="S3811" t="str">
            <v>-</v>
          </cell>
          <cell r="T3811" t="str">
            <v>-</v>
          </cell>
          <cell r="U3811" t="str">
            <v>-</v>
          </cell>
          <cell r="V3811" t="str">
            <v>SS</v>
          </cell>
          <cell r="W3811" t="str">
            <v>-</v>
          </cell>
          <cell r="X3811" t="str">
            <v>CLP 220 (-15/+40°C)</v>
          </cell>
          <cell r="Y3811" t="str">
            <v>KH107DRN132L4</v>
          </cell>
          <cell r="Z3811" t="str">
            <v>SEW</v>
          </cell>
          <cell r="AB3811" t="str">
            <v>-</v>
          </cell>
          <cell r="AF3811">
            <v>15</v>
          </cell>
          <cell r="AG3811" t="str">
            <v>DRN132L4</v>
          </cell>
          <cell r="AH3811" t="str">
            <v>KH107-DRN132L4A180-X</v>
          </cell>
        </row>
        <row r="3812">
          <cell r="A3812" t="str">
            <v>MR003801</v>
          </cell>
          <cell r="B3812" t="str">
            <v>MR</v>
          </cell>
          <cell r="C3812">
            <v>2.2000000000000002</v>
          </cell>
          <cell r="D3812">
            <v>84</v>
          </cell>
          <cell r="E3812" t="str">
            <v>FH47</v>
          </cell>
          <cell r="F3812">
            <v>250</v>
          </cell>
          <cell r="G3812">
            <v>17.329999999999998</v>
          </cell>
          <cell r="H3812">
            <v>1.6</v>
          </cell>
          <cell r="I3812" t="str">
            <v>From M1 to M5 - 10°</v>
          </cell>
          <cell r="J3812" t="str">
            <v>IE3</v>
          </cell>
          <cell r="K3812" t="str">
            <v>415V</v>
          </cell>
          <cell r="L3812">
            <v>50</v>
          </cell>
          <cell r="M3812">
            <v>4.8</v>
          </cell>
          <cell r="N3812">
            <v>55</v>
          </cell>
          <cell r="O3812" t="str">
            <v>155(F)</v>
          </cell>
          <cell r="P3812" t="str">
            <v>180°</v>
          </cell>
          <cell r="Q3812" t="str">
            <v>-</v>
          </cell>
          <cell r="R3812" t="str">
            <v>-</v>
          </cell>
          <cell r="S3812" t="str">
            <v>Free rotation CCW</v>
          </cell>
          <cell r="T3812" t="str">
            <v>-</v>
          </cell>
          <cell r="U3812" t="str">
            <v>G</v>
          </cell>
          <cell r="V3812" t="str">
            <v>D</v>
          </cell>
          <cell r="W3812" t="str">
            <v>-</v>
          </cell>
          <cell r="X3812" t="str">
            <v>CLP 220 (-15/+40°C)</v>
          </cell>
          <cell r="Y3812" t="str">
            <v>FH47/G DRN100LS4 /RS</v>
          </cell>
          <cell r="Z3812" t="str">
            <v>SEW</v>
          </cell>
          <cell r="AB3812" t="str">
            <v>-</v>
          </cell>
          <cell r="AF3812">
            <v>84</v>
          </cell>
          <cell r="AG3812" t="str">
            <v>DRN100LS4</v>
          </cell>
          <cell r="AH3812" t="str">
            <v>FH47G-DRN100LS4180-X</v>
          </cell>
        </row>
        <row r="3813">
          <cell r="A3813" t="str">
            <v>MR003802</v>
          </cell>
          <cell r="B3813" t="str">
            <v>MR</v>
          </cell>
          <cell r="C3813">
            <v>5.5</v>
          </cell>
          <cell r="D3813">
            <v>80</v>
          </cell>
          <cell r="E3813" t="str">
            <v>FH67</v>
          </cell>
          <cell r="F3813">
            <v>655</v>
          </cell>
          <cell r="G3813">
            <v>18.29</v>
          </cell>
          <cell r="H3813">
            <v>1.25</v>
          </cell>
          <cell r="I3813" t="str">
            <v>From M1 to M5 - 5°</v>
          </cell>
          <cell r="J3813" t="str">
            <v>IE3</v>
          </cell>
          <cell r="K3813" t="str">
            <v>415V</v>
          </cell>
          <cell r="L3813">
            <v>50</v>
          </cell>
          <cell r="M3813">
            <v>10.5</v>
          </cell>
          <cell r="N3813">
            <v>55</v>
          </cell>
          <cell r="O3813" t="str">
            <v>155(F)</v>
          </cell>
          <cell r="P3813" t="str">
            <v>180°</v>
          </cell>
          <cell r="Q3813" t="str">
            <v>-</v>
          </cell>
          <cell r="R3813" t="str">
            <v>-</v>
          </cell>
          <cell r="S3813" t="str">
            <v>Free rotation CCW</v>
          </cell>
          <cell r="T3813" t="str">
            <v>-</v>
          </cell>
          <cell r="U3813" t="str">
            <v>G</v>
          </cell>
          <cell r="V3813" t="str">
            <v>D</v>
          </cell>
          <cell r="W3813" t="str">
            <v>-</v>
          </cell>
          <cell r="X3813" t="str">
            <v>CLP 220 (-15/+40°C)</v>
          </cell>
          <cell r="Y3813" t="str">
            <v>FH67/G DRN132S4 /RS</v>
          </cell>
          <cell r="Z3813" t="str">
            <v>SEW</v>
          </cell>
          <cell r="AB3813" t="str">
            <v>-</v>
          </cell>
          <cell r="AF3813">
            <v>80</v>
          </cell>
          <cell r="AG3813" t="str">
            <v>DRN132S4</v>
          </cell>
          <cell r="AH3813" t="str">
            <v>FH67G-DRN132S4180-X</v>
          </cell>
        </row>
        <row r="3814">
          <cell r="A3814" t="str">
            <v>MR003803</v>
          </cell>
          <cell r="B3814" t="str">
            <v>MR</v>
          </cell>
          <cell r="C3814">
            <v>5.5</v>
          </cell>
          <cell r="D3814">
            <v>80</v>
          </cell>
          <cell r="E3814" t="str">
            <v>FH67</v>
          </cell>
          <cell r="F3814">
            <v>655</v>
          </cell>
          <cell r="G3814">
            <v>18.29</v>
          </cell>
          <cell r="H3814">
            <v>1.25</v>
          </cell>
          <cell r="I3814" t="str">
            <v>M1</v>
          </cell>
          <cell r="J3814" t="str">
            <v>IE3</v>
          </cell>
          <cell r="K3814" t="str">
            <v>415V</v>
          </cell>
          <cell r="L3814">
            <v>50</v>
          </cell>
          <cell r="M3814">
            <v>10.5</v>
          </cell>
          <cell r="N3814">
            <v>55</v>
          </cell>
          <cell r="O3814" t="str">
            <v>155(F)</v>
          </cell>
          <cell r="P3814" t="str">
            <v>180°</v>
          </cell>
          <cell r="Q3814" t="str">
            <v>-</v>
          </cell>
          <cell r="R3814" t="str">
            <v>-</v>
          </cell>
          <cell r="S3814" t="str">
            <v>-</v>
          </cell>
          <cell r="T3814" t="str">
            <v>-</v>
          </cell>
          <cell r="U3814" t="str">
            <v>G</v>
          </cell>
          <cell r="V3814" t="str">
            <v>D</v>
          </cell>
          <cell r="W3814" t="str">
            <v>-</v>
          </cell>
          <cell r="X3814" t="str">
            <v>CLP 220 (-15/+40°C)</v>
          </cell>
          <cell r="Y3814" t="str">
            <v>FH67/G DRN132S4</v>
          </cell>
          <cell r="Z3814" t="str">
            <v>SEW</v>
          </cell>
          <cell r="AB3814" t="str">
            <v>-</v>
          </cell>
          <cell r="AF3814">
            <v>80</v>
          </cell>
          <cell r="AG3814" t="str">
            <v>DRN132S4</v>
          </cell>
          <cell r="AH3814" t="str">
            <v>FH67G-DRN132S4180-X</v>
          </cell>
        </row>
        <row r="3815">
          <cell r="A3815" t="str">
            <v>MR003804</v>
          </cell>
          <cell r="B3815" t="str">
            <v>MR</v>
          </cell>
          <cell r="C3815">
            <v>9.1999999999999993</v>
          </cell>
          <cell r="D3815">
            <v>15</v>
          </cell>
          <cell r="E3815" t="str">
            <v>KH107</v>
          </cell>
          <cell r="F3815">
            <v>6020</v>
          </cell>
          <cell r="G3815">
            <v>100.75</v>
          </cell>
          <cell r="H3815">
            <v>1.35</v>
          </cell>
          <cell r="I3815" t="str">
            <v>From M1A to M2A - 45°</v>
          </cell>
          <cell r="J3815" t="str">
            <v>IE3</v>
          </cell>
          <cell r="K3815" t="str">
            <v>415V</v>
          </cell>
          <cell r="L3815">
            <v>50</v>
          </cell>
          <cell r="M3815">
            <v>18.7</v>
          </cell>
          <cell r="N3815">
            <v>55</v>
          </cell>
          <cell r="O3815" t="str">
            <v>155(F)</v>
          </cell>
          <cell r="P3815" t="str">
            <v>180°</v>
          </cell>
          <cell r="Q3815" t="str">
            <v>-</v>
          </cell>
          <cell r="R3815" t="str">
            <v>-</v>
          </cell>
          <cell r="S3815" t="str">
            <v>-</v>
          </cell>
          <cell r="T3815" t="str">
            <v>-</v>
          </cell>
          <cell r="U3815" t="str">
            <v>-</v>
          </cell>
          <cell r="V3815" t="str">
            <v>SS</v>
          </cell>
          <cell r="W3815" t="str">
            <v>-</v>
          </cell>
          <cell r="X3815" t="str">
            <v>CLP 220 (-15/+40°C)</v>
          </cell>
          <cell r="Y3815" t="str">
            <v>KH107DRN132L4</v>
          </cell>
          <cell r="Z3815" t="str">
            <v>SEW</v>
          </cell>
          <cell r="AB3815" t="str">
            <v>-</v>
          </cell>
          <cell r="AF3815">
            <v>15</v>
          </cell>
          <cell r="AG3815" t="str">
            <v>DRN132L4</v>
          </cell>
          <cell r="AH3815" t="str">
            <v>KH107-DRN132L4A180-X</v>
          </cell>
        </row>
        <row r="3816">
          <cell r="A3816" t="str">
            <v>MR003805</v>
          </cell>
          <cell r="B3816" t="str">
            <v>MR</v>
          </cell>
          <cell r="C3816">
            <v>15</v>
          </cell>
          <cell r="D3816">
            <v>12</v>
          </cell>
          <cell r="E3816" t="str">
            <v>KH127</v>
          </cell>
          <cell r="F3816">
            <v>11900</v>
          </cell>
          <cell r="G3816">
            <v>122.48</v>
          </cell>
          <cell r="H3816">
            <v>1.1000000000000001</v>
          </cell>
          <cell r="I3816" t="str">
            <v>From M1A to M4A - 60°</v>
          </cell>
          <cell r="J3816" t="str">
            <v>IE3</v>
          </cell>
          <cell r="K3816" t="str">
            <v>400/690</v>
          </cell>
          <cell r="L3816">
            <v>50</v>
          </cell>
          <cell r="M3816" t="str">
            <v>29/16,7</v>
          </cell>
          <cell r="N3816">
            <v>55</v>
          </cell>
          <cell r="O3816" t="str">
            <v>155(F)</v>
          </cell>
          <cell r="P3816" t="str">
            <v>270°</v>
          </cell>
          <cell r="Q3816" t="str">
            <v>TF</v>
          </cell>
          <cell r="R3816" t="str">
            <v>V(VE)</v>
          </cell>
          <cell r="S3816" t="str">
            <v>-</v>
          </cell>
          <cell r="T3816" t="str">
            <v>-</v>
          </cell>
          <cell r="U3816" t="str">
            <v>-</v>
          </cell>
          <cell r="V3816" t="str">
            <v>FC</v>
          </cell>
          <cell r="W3816" t="str">
            <v>-</v>
          </cell>
          <cell r="X3816" t="str">
            <v>CLP HC 150 (-30/+50°C)</v>
          </cell>
          <cell r="Y3816" t="str">
            <v>KH127/II2GDEDRN160L4/3D/TF/VE/C</v>
          </cell>
          <cell r="Z3816" t="str">
            <v>SEW</v>
          </cell>
          <cell r="AB3816" t="str">
            <v>ATEX22</v>
          </cell>
          <cell r="AF3816">
            <v>12</v>
          </cell>
          <cell r="AG3816" t="str">
            <v>EDRN160L4</v>
          </cell>
          <cell r="AH3816" t="str">
            <v>KH127-EDRN160L4A270-X#</v>
          </cell>
        </row>
        <row r="3817">
          <cell r="A3817" t="str">
            <v>MR003806</v>
          </cell>
          <cell r="B3817" t="str">
            <v>MR</v>
          </cell>
          <cell r="C3817">
            <v>15</v>
          </cell>
          <cell r="D3817">
            <v>12</v>
          </cell>
          <cell r="E3817" t="str">
            <v>KH127</v>
          </cell>
          <cell r="F3817">
            <v>11900</v>
          </cell>
          <cell r="G3817">
            <v>122.48</v>
          </cell>
          <cell r="H3817">
            <v>1.1000000000000001</v>
          </cell>
          <cell r="I3817" t="str">
            <v>From M1B to M4B - 60°</v>
          </cell>
          <cell r="J3817" t="str">
            <v>IE3</v>
          </cell>
          <cell r="K3817" t="str">
            <v>400/690</v>
          </cell>
          <cell r="L3817">
            <v>50</v>
          </cell>
          <cell r="M3817" t="str">
            <v>29/16,7</v>
          </cell>
          <cell r="N3817">
            <v>55</v>
          </cell>
          <cell r="O3817" t="str">
            <v>155(F)</v>
          </cell>
          <cell r="P3817" t="str">
            <v>270°</v>
          </cell>
          <cell r="Q3817" t="str">
            <v>TF</v>
          </cell>
          <cell r="R3817" t="str">
            <v>V(VE)</v>
          </cell>
          <cell r="S3817" t="str">
            <v>-</v>
          </cell>
          <cell r="T3817" t="str">
            <v>-</v>
          </cell>
          <cell r="U3817" t="str">
            <v>-</v>
          </cell>
          <cell r="V3817" t="str">
            <v>FC</v>
          </cell>
          <cell r="W3817" t="str">
            <v>-</v>
          </cell>
          <cell r="X3817" t="str">
            <v>CLP HC 150 (-30/+50°C)</v>
          </cell>
          <cell r="Y3817" t="str">
            <v>KH127/II2GDEDRN160L4/3D/TF/VE/C</v>
          </cell>
          <cell r="Z3817" t="str">
            <v>SEW</v>
          </cell>
          <cell r="AB3817" t="str">
            <v>ATEX22</v>
          </cell>
          <cell r="AF3817">
            <v>12</v>
          </cell>
          <cell r="AG3817" t="str">
            <v>EDRN160L4</v>
          </cell>
          <cell r="AH3817" t="str">
            <v>KH127-EDRN160L4B270-X#</v>
          </cell>
        </row>
        <row r="3818">
          <cell r="A3818" t="str">
            <v>MR003807</v>
          </cell>
          <cell r="B3818" t="str">
            <v>MR</v>
          </cell>
          <cell r="C3818">
            <v>22</v>
          </cell>
          <cell r="D3818">
            <v>12</v>
          </cell>
          <cell r="E3818" t="str">
            <v>KH157</v>
          </cell>
          <cell r="F3818">
            <v>17400</v>
          </cell>
          <cell r="G3818">
            <v>122.39</v>
          </cell>
          <cell r="H3818">
            <v>1.1499999999999999</v>
          </cell>
          <cell r="I3818" t="str">
            <v>From M1A to M4A - 70°</v>
          </cell>
          <cell r="J3818" t="str">
            <v>IE3</v>
          </cell>
          <cell r="K3818" t="str">
            <v>400/690</v>
          </cell>
          <cell r="L3818">
            <v>50</v>
          </cell>
          <cell r="M3818" t="str">
            <v>38,5/22,5</v>
          </cell>
          <cell r="N3818">
            <v>55</v>
          </cell>
          <cell r="O3818" t="str">
            <v>155(F)</v>
          </cell>
          <cell r="P3818" t="str">
            <v>270°</v>
          </cell>
          <cell r="Q3818" t="str">
            <v>TF</v>
          </cell>
          <cell r="R3818" t="str">
            <v>V(VE)</v>
          </cell>
          <cell r="S3818" t="str">
            <v>-</v>
          </cell>
          <cell r="T3818" t="str">
            <v>-</v>
          </cell>
          <cell r="U3818" t="str">
            <v>-</v>
          </cell>
          <cell r="V3818" t="str">
            <v>FC</v>
          </cell>
          <cell r="W3818" t="str">
            <v>-</v>
          </cell>
          <cell r="X3818" t="str">
            <v>CLP HC 150 (-30/+50°C)</v>
          </cell>
          <cell r="Y3818" t="str">
            <v>KH157/II2GDEDRN180L4/3D/TF/VE/C</v>
          </cell>
          <cell r="Z3818" t="str">
            <v>SEW</v>
          </cell>
          <cell r="AB3818" t="str">
            <v>ATEX22</v>
          </cell>
          <cell r="AF3818">
            <v>12</v>
          </cell>
          <cell r="AG3818" t="str">
            <v>EDRN180L4</v>
          </cell>
          <cell r="AH3818" t="str">
            <v>KH157-EDRN180L4A270-X#</v>
          </cell>
        </row>
        <row r="3819">
          <cell r="A3819" t="str">
            <v>MR003808</v>
          </cell>
          <cell r="B3819" t="str">
            <v>MR</v>
          </cell>
          <cell r="C3819">
            <v>15</v>
          </cell>
          <cell r="D3819">
            <v>42</v>
          </cell>
          <cell r="E3819" t="str">
            <v>R107</v>
          </cell>
          <cell r="F3819">
            <v>3420</v>
          </cell>
          <cell r="G3819">
            <v>35.26</v>
          </cell>
          <cell r="H3819">
            <v>1.25</v>
          </cell>
          <cell r="I3819" t="str">
            <v>M1</v>
          </cell>
          <cell r="J3819" t="str">
            <v>IE3</v>
          </cell>
          <cell r="K3819" t="str">
            <v>400/690</v>
          </cell>
          <cell r="L3819">
            <v>50</v>
          </cell>
          <cell r="M3819" t="str">
            <v>29/16,7</v>
          </cell>
          <cell r="N3819">
            <v>65</v>
          </cell>
          <cell r="O3819" t="str">
            <v>155(F)</v>
          </cell>
          <cell r="P3819" t="str">
            <v>270°</v>
          </cell>
          <cell r="Q3819" t="str">
            <v>TF</v>
          </cell>
          <cell r="R3819" t="str">
            <v>-</v>
          </cell>
          <cell r="S3819" t="str">
            <v>-</v>
          </cell>
          <cell r="T3819" t="str">
            <v>-</v>
          </cell>
          <cell r="U3819" t="str">
            <v>-</v>
          </cell>
          <cell r="V3819" t="str">
            <v>FC</v>
          </cell>
          <cell r="W3819" t="str">
            <v>-</v>
          </cell>
          <cell r="X3819" t="str">
            <v>CLP HC 220 (-25/+60°C)</v>
          </cell>
          <cell r="Y3819" t="str">
            <v>R107DRN160L4 /TF</v>
          </cell>
          <cell r="Z3819" t="str">
            <v>SEW</v>
          </cell>
          <cell r="AB3819" t="str">
            <v>-</v>
          </cell>
          <cell r="AE3819" t="str">
            <v>Work frequency: 50Hz - constant work speed ; CAST IRON FRAME ; B61 sight glass for oil; surface protection OS4;  tropicalized, suitable for high humidity and dustiness</v>
          </cell>
          <cell r="AF3819">
            <v>42</v>
          </cell>
          <cell r="AG3819" t="str">
            <v>DRN160L4</v>
          </cell>
          <cell r="AH3819" t="str">
            <v>R107-DRN160L4270-X</v>
          </cell>
        </row>
        <row r="3820">
          <cell r="A3820" t="str">
            <v>MR003809</v>
          </cell>
          <cell r="B3820" t="str">
            <v>MR</v>
          </cell>
          <cell r="C3820">
            <v>2.2000000000000002</v>
          </cell>
          <cell r="D3820">
            <v>84</v>
          </cell>
          <cell r="E3820" t="str">
            <v>FH47</v>
          </cell>
          <cell r="F3820">
            <v>250</v>
          </cell>
          <cell r="G3820">
            <v>17.329999999999998</v>
          </cell>
          <cell r="H3820">
            <v>1.6</v>
          </cell>
          <cell r="I3820" t="str">
            <v>M6</v>
          </cell>
          <cell r="J3820" t="str">
            <v>IE3</v>
          </cell>
          <cell r="K3820" t="str">
            <v>230/400</v>
          </cell>
          <cell r="L3820">
            <v>50</v>
          </cell>
          <cell r="M3820" t="str">
            <v>8,3/4,75</v>
          </cell>
          <cell r="N3820">
            <v>65</v>
          </cell>
          <cell r="O3820" t="str">
            <v>155(F)</v>
          </cell>
          <cell r="P3820" t="str">
            <v>270°</v>
          </cell>
          <cell r="Q3820" t="str">
            <v>-</v>
          </cell>
          <cell r="R3820" t="str">
            <v>-</v>
          </cell>
          <cell r="S3820" t="str">
            <v>-</v>
          </cell>
          <cell r="T3820" t="str">
            <v>-</v>
          </cell>
          <cell r="U3820" t="str">
            <v>G</v>
          </cell>
          <cell r="V3820" t="str">
            <v>D</v>
          </cell>
          <cell r="W3820" t="str">
            <v>-</v>
          </cell>
          <cell r="X3820" t="str">
            <v>CLP HC 150 (-30/+50°C)</v>
          </cell>
          <cell r="Y3820" t="str">
            <v>FH47/G DRN100LS4</v>
          </cell>
          <cell r="Z3820" t="str">
            <v>SEW</v>
          </cell>
          <cell r="AB3820" t="str">
            <v>-</v>
          </cell>
          <cell r="AF3820">
            <v>84</v>
          </cell>
          <cell r="AG3820" t="str">
            <v>DRN100LS4</v>
          </cell>
          <cell r="AH3820" t="str">
            <v>FH47G-DRN100LS4270-X</v>
          </cell>
        </row>
        <row r="3821">
          <cell r="A3821" t="str">
            <v>MR003810</v>
          </cell>
          <cell r="B3821" t="str">
            <v>MR</v>
          </cell>
          <cell r="C3821">
            <v>2.2000000000000002</v>
          </cell>
          <cell r="D3821">
            <v>84</v>
          </cell>
          <cell r="E3821" t="str">
            <v>FH47</v>
          </cell>
          <cell r="F3821">
            <v>250</v>
          </cell>
          <cell r="G3821">
            <v>17.329999999999998</v>
          </cell>
          <cell r="H3821">
            <v>1.6</v>
          </cell>
          <cell r="I3821" t="str">
            <v>M6</v>
          </cell>
          <cell r="J3821" t="str">
            <v>IE3</v>
          </cell>
          <cell r="K3821" t="str">
            <v>415V</v>
          </cell>
          <cell r="L3821">
            <v>50</v>
          </cell>
          <cell r="M3821">
            <v>4.8499999999999996</v>
          </cell>
          <cell r="N3821">
            <v>55</v>
          </cell>
          <cell r="O3821" t="str">
            <v>155(F)</v>
          </cell>
          <cell r="P3821" t="str">
            <v>0°</v>
          </cell>
          <cell r="Q3821" t="str">
            <v>-</v>
          </cell>
          <cell r="R3821" t="str">
            <v>-</v>
          </cell>
          <cell r="S3821" t="str">
            <v>-</v>
          </cell>
          <cell r="T3821" t="str">
            <v>-</v>
          </cell>
          <cell r="U3821" t="str">
            <v>G</v>
          </cell>
          <cell r="V3821" t="str">
            <v>D</v>
          </cell>
          <cell r="W3821" t="str">
            <v>-</v>
          </cell>
          <cell r="X3821" t="str">
            <v>CLP 220 (-15/+40°C)</v>
          </cell>
          <cell r="Y3821" t="str">
            <v>FH47/G DRN100LS4</v>
          </cell>
          <cell r="Z3821" t="str">
            <v>SEW</v>
          </cell>
          <cell r="AB3821" t="str">
            <v>-</v>
          </cell>
          <cell r="AF3821">
            <v>84</v>
          </cell>
          <cell r="AG3821" t="str">
            <v>DRN100LS4</v>
          </cell>
          <cell r="AH3821" t="str">
            <v>FH47G-DRN100LS40-X</v>
          </cell>
        </row>
        <row r="3822">
          <cell r="A3822" t="str">
            <v>MR003811</v>
          </cell>
          <cell r="B3822" t="str">
            <v>MR</v>
          </cell>
          <cell r="C3822">
            <v>2.2000000000000002</v>
          </cell>
          <cell r="D3822">
            <v>84</v>
          </cell>
          <cell r="E3822" t="str">
            <v>FH47</v>
          </cell>
          <cell r="F3822">
            <v>250</v>
          </cell>
          <cell r="G3822">
            <v>17.329999999999998</v>
          </cell>
          <cell r="H3822">
            <v>1.6</v>
          </cell>
          <cell r="I3822" t="str">
            <v>M5</v>
          </cell>
          <cell r="J3822" t="str">
            <v>IE3</v>
          </cell>
          <cell r="K3822" t="str">
            <v>415V</v>
          </cell>
          <cell r="L3822">
            <v>50</v>
          </cell>
          <cell r="M3822">
            <v>4.8499999999999996</v>
          </cell>
          <cell r="N3822">
            <v>55</v>
          </cell>
          <cell r="O3822" t="str">
            <v>155(F)</v>
          </cell>
          <cell r="P3822" t="str">
            <v>180°</v>
          </cell>
          <cell r="Q3822" t="str">
            <v>-</v>
          </cell>
          <cell r="R3822" t="str">
            <v>-</v>
          </cell>
          <cell r="S3822" t="str">
            <v>-</v>
          </cell>
          <cell r="T3822" t="str">
            <v>-</v>
          </cell>
          <cell r="U3822" t="str">
            <v>G</v>
          </cell>
          <cell r="V3822" t="str">
            <v>D</v>
          </cell>
          <cell r="W3822" t="str">
            <v>-</v>
          </cell>
          <cell r="X3822" t="str">
            <v>CLP 220 (-15/+40°C)</v>
          </cell>
          <cell r="Y3822" t="str">
            <v>FH47/G DRN100LS4</v>
          </cell>
          <cell r="Z3822" t="str">
            <v>SEW</v>
          </cell>
          <cell r="AB3822" t="str">
            <v>-</v>
          </cell>
          <cell r="AF3822">
            <v>84</v>
          </cell>
          <cell r="AG3822" t="str">
            <v>DRN100LS4</v>
          </cell>
          <cell r="AH3822" t="str">
            <v>FH47G-DRN100LS4180-X</v>
          </cell>
        </row>
        <row r="3823">
          <cell r="A3823" t="str">
            <v>MR003812</v>
          </cell>
          <cell r="B3823" t="str">
            <v>MR</v>
          </cell>
          <cell r="C3823">
            <v>3</v>
          </cell>
          <cell r="D3823">
            <v>84</v>
          </cell>
          <cell r="E3823" t="str">
            <v>FH47</v>
          </cell>
          <cell r="F3823">
            <v>340</v>
          </cell>
          <cell r="G3823">
            <v>17.329999999999998</v>
          </cell>
          <cell r="H3823">
            <v>1.1499999999999999</v>
          </cell>
          <cell r="I3823" t="str">
            <v>M6</v>
          </cell>
          <cell r="J3823" t="str">
            <v>IE3</v>
          </cell>
          <cell r="K3823" t="str">
            <v>415V</v>
          </cell>
          <cell r="L3823">
            <v>50</v>
          </cell>
          <cell r="M3823">
            <v>6.6</v>
          </cell>
          <cell r="N3823">
            <v>55</v>
          </cell>
          <cell r="O3823" t="str">
            <v>155(F)</v>
          </cell>
          <cell r="P3823" t="str">
            <v>0°</v>
          </cell>
          <cell r="Q3823" t="str">
            <v>-</v>
          </cell>
          <cell r="R3823" t="str">
            <v>-</v>
          </cell>
          <cell r="S3823" t="str">
            <v>-</v>
          </cell>
          <cell r="T3823" t="str">
            <v>-</v>
          </cell>
          <cell r="U3823" t="str">
            <v>G</v>
          </cell>
          <cell r="V3823" t="str">
            <v>D</v>
          </cell>
          <cell r="W3823" t="str">
            <v>-</v>
          </cell>
          <cell r="X3823" t="str">
            <v>CLP 220 (-15/+40°C)</v>
          </cell>
          <cell r="Y3823" t="str">
            <v>FH47/G DRN100L4</v>
          </cell>
          <cell r="Z3823" t="str">
            <v>SEW</v>
          </cell>
          <cell r="AB3823" t="str">
            <v>-</v>
          </cell>
          <cell r="AF3823">
            <v>84</v>
          </cell>
          <cell r="AG3823" t="str">
            <v>DRN100L4</v>
          </cell>
          <cell r="AH3823" t="str">
            <v>FH47G-DRN100L40-X</v>
          </cell>
        </row>
        <row r="3824">
          <cell r="A3824" t="str">
            <v>MR003813</v>
          </cell>
          <cell r="B3824" t="str">
            <v>MR</v>
          </cell>
          <cell r="C3824">
            <v>2.2000000000000002</v>
          </cell>
          <cell r="D3824">
            <v>84</v>
          </cell>
          <cell r="E3824" t="str">
            <v>FH47</v>
          </cell>
          <cell r="F3824">
            <v>250</v>
          </cell>
          <cell r="G3824">
            <v>17.329999999999998</v>
          </cell>
          <cell r="H3824">
            <v>1.6</v>
          </cell>
          <cell r="I3824" t="str">
            <v>From M6 to M1 - 10°</v>
          </cell>
          <cell r="J3824" t="str">
            <v>IE3</v>
          </cell>
          <cell r="K3824" t="str">
            <v>415V</v>
          </cell>
          <cell r="L3824">
            <v>50</v>
          </cell>
          <cell r="M3824">
            <v>4.8</v>
          </cell>
          <cell r="N3824">
            <v>55</v>
          </cell>
          <cell r="O3824" t="str">
            <v>155(F)</v>
          </cell>
          <cell r="P3824" t="str">
            <v>0°</v>
          </cell>
          <cell r="Q3824" t="str">
            <v>-</v>
          </cell>
          <cell r="R3824" t="str">
            <v>-</v>
          </cell>
          <cell r="S3824" t="str">
            <v>Free rotation CCW</v>
          </cell>
          <cell r="T3824" t="str">
            <v>-</v>
          </cell>
          <cell r="U3824" t="str">
            <v>G</v>
          </cell>
          <cell r="V3824" t="str">
            <v>D</v>
          </cell>
          <cell r="W3824" t="str">
            <v>-</v>
          </cell>
          <cell r="X3824" t="str">
            <v>CLP 220 (-15/+40°C)</v>
          </cell>
          <cell r="Y3824" t="str">
            <v>FH47/G DRN100LS4 /RS</v>
          </cell>
          <cell r="Z3824" t="str">
            <v>SEW</v>
          </cell>
          <cell r="AB3824" t="str">
            <v>-</v>
          </cell>
          <cell r="AF3824">
            <v>84</v>
          </cell>
          <cell r="AG3824" t="str">
            <v>DRN100LS4</v>
          </cell>
          <cell r="AH3824" t="str">
            <v>FH47G-DRN100LS40-X</v>
          </cell>
        </row>
        <row r="3825">
          <cell r="A3825" t="str">
            <v>MR003814</v>
          </cell>
          <cell r="B3825" t="str">
            <v>MR</v>
          </cell>
          <cell r="C3825">
            <v>5.5</v>
          </cell>
          <cell r="D3825">
            <v>80</v>
          </cell>
          <cell r="E3825" t="str">
            <v>FH67</v>
          </cell>
          <cell r="F3825">
            <v>655</v>
          </cell>
          <cell r="G3825">
            <v>18.29</v>
          </cell>
          <cell r="H3825">
            <v>1.25</v>
          </cell>
          <cell r="I3825" t="str">
            <v>From M6 to M1 - 5°</v>
          </cell>
          <cell r="J3825" t="str">
            <v>IE3</v>
          </cell>
          <cell r="K3825" t="str">
            <v>415V</v>
          </cell>
          <cell r="L3825">
            <v>50</v>
          </cell>
          <cell r="M3825">
            <v>10.5</v>
          </cell>
          <cell r="N3825">
            <v>55</v>
          </cell>
          <cell r="O3825" t="str">
            <v>155(F)</v>
          </cell>
          <cell r="P3825" t="str">
            <v>0°</v>
          </cell>
          <cell r="Q3825" t="str">
            <v>-</v>
          </cell>
          <cell r="R3825" t="str">
            <v>-</v>
          </cell>
          <cell r="S3825" t="str">
            <v>Free rotation CCW</v>
          </cell>
          <cell r="T3825" t="str">
            <v>-</v>
          </cell>
          <cell r="U3825" t="str">
            <v>G</v>
          </cell>
          <cell r="V3825" t="str">
            <v>D</v>
          </cell>
          <cell r="W3825" t="str">
            <v>-</v>
          </cell>
          <cell r="X3825" t="str">
            <v>CLP 220 (-15/+40°C)</v>
          </cell>
          <cell r="Y3825" t="str">
            <v>FH67/G DRN132S4 /RS</v>
          </cell>
          <cell r="Z3825" t="str">
            <v>SEW</v>
          </cell>
          <cell r="AB3825" t="str">
            <v>-</v>
          </cell>
          <cell r="AF3825">
            <v>80</v>
          </cell>
          <cell r="AG3825" t="str">
            <v>DRN132S4</v>
          </cell>
          <cell r="AH3825" t="str">
            <v>FH67G-DRN132S40-X</v>
          </cell>
        </row>
        <row r="3826">
          <cell r="A3826" t="str">
            <v>MR003815</v>
          </cell>
          <cell r="B3826" t="str">
            <v>MR</v>
          </cell>
          <cell r="C3826">
            <v>5.5</v>
          </cell>
          <cell r="D3826">
            <v>80</v>
          </cell>
          <cell r="E3826" t="str">
            <v>FH67</v>
          </cell>
          <cell r="F3826">
            <v>655</v>
          </cell>
          <cell r="G3826">
            <v>18.29</v>
          </cell>
          <cell r="H3826">
            <v>1.25</v>
          </cell>
          <cell r="I3826" t="str">
            <v>M6</v>
          </cell>
          <cell r="J3826" t="str">
            <v>IE3</v>
          </cell>
          <cell r="K3826" t="str">
            <v>415V</v>
          </cell>
          <cell r="L3826">
            <v>50</v>
          </cell>
          <cell r="M3826">
            <v>10.5</v>
          </cell>
          <cell r="N3826">
            <v>55</v>
          </cell>
          <cell r="O3826" t="str">
            <v>155(F)</v>
          </cell>
          <cell r="P3826" t="str">
            <v>0°</v>
          </cell>
          <cell r="Q3826" t="str">
            <v>-</v>
          </cell>
          <cell r="R3826" t="str">
            <v>-</v>
          </cell>
          <cell r="S3826" t="str">
            <v>-</v>
          </cell>
          <cell r="T3826" t="str">
            <v>-</v>
          </cell>
          <cell r="U3826" t="str">
            <v>G</v>
          </cell>
          <cell r="V3826" t="str">
            <v>D</v>
          </cell>
          <cell r="W3826" t="str">
            <v>-</v>
          </cell>
          <cell r="X3826" t="str">
            <v>CLP 220 (-15/+40°C)</v>
          </cell>
          <cell r="Y3826" t="str">
            <v>FH67/G DRN132S4</v>
          </cell>
          <cell r="Z3826" t="str">
            <v>SEW</v>
          </cell>
          <cell r="AB3826" t="str">
            <v>-</v>
          </cell>
          <cell r="AF3826">
            <v>80</v>
          </cell>
          <cell r="AG3826" t="str">
            <v>DRN132S4</v>
          </cell>
          <cell r="AH3826" t="str">
            <v>FH67G-DRN132S40-X</v>
          </cell>
        </row>
        <row r="3827">
          <cell r="A3827" t="str">
            <v>MR003816</v>
          </cell>
          <cell r="B3827" t="str">
            <v>MR</v>
          </cell>
          <cell r="C3827">
            <v>5.5</v>
          </cell>
          <cell r="D3827">
            <v>15</v>
          </cell>
          <cell r="E3827" t="str">
            <v>KH97</v>
          </cell>
          <cell r="F3827">
            <v>3470</v>
          </cell>
          <cell r="G3827">
            <v>96.8</v>
          </cell>
          <cell r="H3827">
            <v>1.25</v>
          </cell>
          <cell r="I3827" t="str">
            <v>From M1B to M2B - 30°</v>
          </cell>
          <cell r="J3827" t="str">
            <v>IE3</v>
          </cell>
          <cell r="K3827" t="str">
            <v>230/400</v>
          </cell>
          <cell r="L3827">
            <v>50</v>
          </cell>
          <cell r="M3827" t="str">
            <v>18,2/10,5</v>
          </cell>
          <cell r="N3827">
            <v>65</v>
          </cell>
          <cell r="O3827" t="str">
            <v>155(F)</v>
          </cell>
          <cell r="P3827" t="str">
            <v>0°</v>
          </cell>
          <cell r="Q3827" t="str">
            <v>-</v>
          </cell>
          <cell r="R3827" t="str">
            <v>-</v>
          </cell>
          <cell r="S3827" t="str">
            <v>-</v>
          </cell>
          <cell r="T3827" t="str">
            <v>-</v>
          </cell>
          <cell r="U3827" t="str">
            <v>-</v>
          </cell>
          <cell r="V3827" t="str">
            <v>SS</v>
          </cell>
          <cell r="W3827" t="str">
            <v>-</v>
          </cell>
          <cell r="X3827" t="str">
            <v>CLP HC 220 (-25/+60°C)</v>
          </cell>
          <cell r="Y3827" t="str">
            <v>KH97DRN132S4</v>
          </cell>
          <cell r="Z3827" t="str">
            <v>SEW</v>
          </cell>
          <cell r="AB3827" t="str">
            <v>-</v>
          </cell>
          <cell r="AF3827">
            <v>15</v>
          </cell>
          <cell r="AG3827" t="str">
            <v>DRN132S4</v>
          </cell>
          <cell r="AH3827" t="str">
            <v>KH97-DRN132S4B0-X</v>
          </cell>
        </row>
        <row r="3828">
          <cell r="A3828" t="str">
            <v>MR003817</v>
          </cell>
          <cell r="B3828" t="str">
            <v>MR</v>
          </cell>
          <cell r="C3828">
            <v>11</v>
          </cell>
          <cell r="D3828">
            <v>16</v>
          </cell>
          <cell r="E3828" t="str">
            <v>KH107</v>
          </cell>
          <cell r="F3828">
            <v>6480</v>
          </cell>
          <cell r="G3828">
            <v>90.96</v>
          </cell>
          <cell r="H3828">
            <v>1.25</v>
          </cell>
          <cell r="I3828" t="str">
            <v>M4A</v>
          </cell>
          <cell r="J3828" t="str">
            <v>IE3</v>
          </cell>
          <cell r="K3828" t="str">
            <v>230/400</v>
          </cell>
          <cell r="L3828">
            <v>50</v>
          </cell>
          <cell r="M3828" t="str">
            <v>36,5/21</v>
          </cell>
          <cell r="N3828">
            <v>65</v>
          </cell>
          <cell r="O3828" t="str">
            <v>155(F)</v>
          </cell>
          <cell r="P3828" t="str">
            <v>270°</v>
          </cell>
          <cell r="Q3828" t="str">
            <v>-</v>
          </cell>
          <cell r="R3828" t="str">
            <v>-</v>
          </cell>
          <cell r="S3828" t="str">
            <v>-</v>
          </cell>
          <cell r="T3828" t="str">
            <v>-</v>
          </cell>
          <cell r="U3828" t="str">
            <v>-</v>
          </cell>
          <cell r="V3828" t="str">
            <v>SS</v>
          </cell>
          <cell r="W3828" t="str">
            <v>-</v>
          </cell>
          <cell r="X3828" t="str">
            <v>CLP HC 220 (-25/+60°C)</v>
          </cell>
          <cell r="Y3828" t="str">
            <v>KH107DRN160M4</v>
          </cell>
          <cell r="Z3828" t="str">
            <v>SEW</v>
          </cell>
          <cell r="AB3828" t="str">
            <v>-</v>
          </cell>
          <cell r="AF3828">
            <v>16</v>
          </cell>
          <cell r="AG3828" t="str">
            <v>DRN160M4</v>
          </cell>
          <cell r="AH3828" t="str">
            <v>KH107-DRN160M4A270-X</v>
          </cell>
        </row>
        <row r="3829">
          <cell r="A3829" t="str">
            <v>MR003818</v>
          </cell>
          <cell r="B3829" t="str">
            <v>MR</v>
          </cell>
          <cell r="C3829">
            <v>5.5</v>
          </cell>
          <cell r="D3829">
            <v>15</v>
          </cell>
          <cell r="E3829" t="str">
            <v>KH97</v>
          </cell>
          <cell r="F3829">
            <v>3470</v>
          </cell>
          <cell r="G3829">
            <v>96.8</v>
          </cell>
          <cell r="H3829">
            <v>1.25</v>
          </cell>
          <cell r="I3829" t="str">
            <v>From M1A to M2A - 30°</v>
          </cell>
          <cell r="J3829" t="str">
            <v>IE3</v>
          </cell>
          <cell r="K3829" t="str">
            <v>230/400</v>
          </cell>
          <cell r="L3829">
            <v>50</v>
          </cell>
          <cell r="M3829" t="str">
            <v>18,2/10,5</v>
          </cell>
          <cell r="N3829">
            <v>65</v>
          </cell>
          <cell r="O3829" t="str">
            <v>155(F)</v>
          </cell>
          <cell r="P3829" t="str">
            <v>180°</v>
          </cell>
          <cell r="Q3829" t="str">
            <v>-</v>
          </cell>
          <cell r="R3829" t="str">
            <v>-</v>
          </cell>
          <cell r="S3829" t="str">
            <v>-</v>
          </cell>
          <cell r="T3829" t="str">
            <v>-</v>
          </cell>
          <cell r="U3829" t="str">
            <v>-</v>
          </cell>
          <cell r="V3829" t="str">
            <v>SS</v>
          </cell>
          <cell r="W3829" t="str">
            <v>-</v>
          </cell>
          <cell r="X3829" t="str">
            <v>CLP HC 220 (-25/+60°C)</v>
          </cell>
          <cell r="Y3829" t="str">
            <v>KH97DRN132S4</v>
          </cell>
          <cell r="Z3829" t="str">
            <v>SEW</v>
          </cell>
          <cell r="AB3829" t="str">
            <v>-</v>
          </cell>
          <cell r="AF3829">
            <v>15</v>
          </cell>
          <cell r="AG3829" t="str">
            <v>DRN132S4</v>
          </cell>
          <cell r="AH3829" t="str">
            <v>KH97-DRN132S4A180-X</v>
          </cell>
        </row>
        <row r="3830">
          <cell r="A3830" t="str">
            <v>MR003819</v>
          </cell>
          <cell r="B3830" t="str">
            <v>MR</v>
          </cell>
          <cell r="C3830">
            <v>15</v>
          </cell>
          <cell r="D3830">
            <v>16</v>
          </cell>
          <cell r="E3830" t="str">
            <v>KH127</v>
          </cell>
          <cell r="F3830">
            <v>8730</v>
          </cell>
          <cell r="G3830">
            <v>89.89</v>
          </cell>
          <cell r="H3830">
            <v>1.5</v>
          </cell>
          <cell r="I3830" t="str">
            <v>From M4A to M1A - 30°</v>
          </cell>
          <cell r="J3830" t="str">
            <v>IE3</v>
          </cell>
          <cell r="K3830" t="str">
            <v>230/400</v>
          </cell>
          <cell r="L3830">
            <v>50</v>
          </cell>
          <cell r="M3830" t="str">
            <v>50/29</v>
          </cell>
          <cell r="N3830">
            <v>65</v>
          </cell>
          <cell r="O3830" t="str">
            <v>155(F)</v>
          </cell>
          <cell r="P3830" t="str">
            <v>270°</v>
          </cell>
          <cell r="Q3830" t="str">
            <v>-</v>
          </cell>
          <cell r="R3830" t="str">
            <v>-</v>
          </cell>
          <cell r="S3830" t="str">
            <v>-</v>
          </cell>
          <cell r="T3830" t="str">
            <v>-</v>
          </cell>
          <cell r="U3830" t="str">
            <v>-</v>
          </cell>
          <cell r="V3830" t="str">
            <v>SS</v>
          </cell>
          <cell r="W3830" t="str">
            <v>-</v>
          </cell>
          <cell r="X3830" t="str">
            <v>CLP HC 220 (-25/+60°C)</v>
          </cell>
          <cell r="Y3830" t="str">
            <v>KH127DRN160L4</v>
          </cell>
          <cell r="Z3830" t="str">
            <v>SEW</v>
          </cell>
          <cell r="AB3830" t="str">
            <v>-</v>
          </cell>
          <cell r="AF3830">
            <v>16</v>
          </cell>
          <cell r="AG3830" t="str">
            <v>DRN160L4</v>
          </cell>
          <cell r="AH3830" t="str">
            <v>KH127-DRN160L4A270-X</v>
          </cell>
        </row>
        <row r="3831">
          <cell r="A3831" t="str">
            <v>MR003820</v>
          </cell>
          <cell r="B3831" t="str">
            <v>MR</v>
          </cell>
          <cell r="C3831">
            <v>15</v>
          </cell>
          <cell r="D3831">
            <v>16</v>
          </cell>
          <cell r="E3831" t="str">
            <v>KH127</v>
          </cell>
          <cell r="F3831">
            <v>8730</v>
          </cell>
          <cell r="G3831">
            <v>89.89</v>
          </cell>
          <cell r="H3831">
            <v>1.5</v>
          </cell>
          <cell r="I3831" t="str">
            <v>From M4B to M1B - 40°</v>
          </cell>
          <cell r="J3831" t="str">
            <v>IE3</v>
          </cell>
          <cell r="K3831" t="str">
            <v>230/400</v>
          </cell>
          <cell r="L3831">
            <v>50</v>
          </cell>
          <cell r="M3831" t="str">
            <v>50/29</v>
          </cell>
          <cell r="N3831">
            <v>65</v>
          </cell>
          <cell r="O3831" t="str">
            <v>155(F)</v>
          </cell>
          <cell r="P3831" t="str">
            <v>270°</v>
          </cell>
          <cell r="Q3831" t="str">
            <v>-</v>
          </cell>
          <cell r="R3831" t="str">
            <v>-</v>
          </cell>
          <cell r="S3831" t="str">
            <v>-</v>
          </cell>
          <cell r="T3831" t="str">
            <v>-</v>
          </cell>
          <cell r="U3831" t="str">
            <v>-</v>
          </cell>
          <cell r="V3831" t="str">
            <v>SS</v>
          </cell>
          <cell r="W3831" t="str">
            <v>-</v>
          </cell>
          <cell r="X3831" t="str">
            <v>CLP HC 220 (-25/+60°C)</v>
          </cell>
          <cell r="Y3831" t="str">
            <v>KH127DRN160L4</v>
          </cell>
          <cell r="Z3831" t="str">
            <v>SEW</v>
          </cell>
          <cell r="AB3831" t="str">
            <v>-</v>
          </cell>
          <cell r="AF3831">
            <v>16</v>
          </cell>
          <cell r="AG3831" t="str">
            <v>DRN160L4</v>
          </cell>
          <cell r="AH3831" t="str">
            <v>KH127-DRN160L4B270-X</v>
          </cell>
        </row>
        <row r="3832">
          <cell r="A3832" t="str">
            <v>MR003821</v>
          </cell>
          <cell r="B3832" t="str">
            <v>MR</v>
          </cell>
          <cell r="C3832">
            <v>18.5</v>
          </cell>
          <cell r="D3832">
            <v>16</v>
          </cell>
          <cell r="E3832" t="str">
            <v>KH127</v>
          </cell>
          <cell r="F3832">
            <v>10700</v>
          </cell>
          <cell r="G3832">
            <v>89.89</v>
          </cell>
          <cell r="H3832">
            <v>1.2</v>
          </cell>
          <cell r="I3832" t="str">
            <v>From M4A to M1A - 15°</v>
          </cell>
          <cell r="J3832" t="str">
            <v>IE3</v>
          </cell>
          <cell r="K3832" t="str">
            <v>230/400</v>
          </cell>
          <cell r="L3832">
            <v>50</v>
          </cell>
          <cell r="M3832" t="str">
            <v>58/33,5</v>
          </cell>
          <cell r="N3832">
            <v>65</v>
          </cell>
          <cell r="O3832" t="str">
            <v>155(F)</v>
          </cell>
          <cell r="P3832" t="str">
            <v>270°</v>
          </cell>
          <cell r="Q3832" t="str">
            <v>-</v>
          </cell>
          <cell r="R3832" t="str">
            <v>-</v>
          </cell>
          <cell r="S3832" t="str">
            <v>-</v>
          </cell>
          <cell r="T3832" t="str">
            <v>-</v>
          </cell>
          <cell r="U3832" t="str">
            <v>-</v>
          </cell>
          <cell r="V3832" t="str">
            <v>SS</v>
          </cell>
          <cell r="W3832" t="str">
            <v>-</v>
          </cell>
          <cell r="X3832" t="str">
            <v>CLP HC 220 (-25/+60°C)</v>
          </cell>
          <cell r="Y3832" t="str">
            <v>KH127DRN180M4</v>
          </cell>
          <cell r="Z3832" t="str">
            <v>SEW</v>
          </cell>
          <cell r="AB3832" t="str">
            <v>-</v>
          </cell>
          <cell r="AF3832">
            <v>16</v>
          </cell>
          <cell r="AG3832" t="str">
            <v>DRN180M4</v>
          </cell>
          <cell r="AH3832" t="str">
            <v>KH127-DRN180M4A270-X</v>
          </cell>
        </row>
        <row r="3833">
          <cell r="A3833" t="str">
            <v>MR003822</v>
          </cell>
          <cell r="B3833" t="str">
            <v>MR</v>
          </cell>
          <cell r="C3833">
            <v>18.5</v>
          </cell>
          <cell r="D3833">
            <v>16</v>
          </cell>
          <cell r="E3833" t="str">
            <v>KH127</v>
          </cell>
          <cell r="F3833">
            <v>10700</v>
          </cell>
          <cell r="G3833">
            <v>89.89</v>
          </cell>
          <cell r="H3833">
            <v>1.2</v>
          </cell>
          <cell r="I3833" t="str">
            <v>From M4B to M1B - 15°</v>
          </cell>
          <cell r="J3833" t="str">
            <v>IE3</v>
          </cell>
          <cell r="K3833" t="str">
            <v>230/400</v>
          </cell>
          <cell r="L3833">
            <v>50</v>
          </cell>
          <cell r="M3833" t="str">
            <v>58/33,5</v>
          </cell>
          <cell r="N3833">
            <v>65</v>
          </cell>
          <cell r="O3833" t="str">
            <v>155(F)</v>
          </cell>
          <cell r="P3833" t="str">
            <v>270°</v>
          </cell>
          <cell r="Q3833" t="str">
            <v>-</v>
          </cell>
          <cell r="R3833" t="str">
            <v>-</v>
          </cell>
          <cell r="S3833" t="str">
            <v>-</v>
          </cell>
          <cell r="T3833" t="str">
            <v>-</v>
          </cell>
          <cell r="U3833" t="str">
            <v>-</v>
          </cell>
          <cell r="V3833" t="str">
            <v>SS</v>
          </cell>
          <cell r="W3833" t="str">
            <v>-</v>
          </cell>
          <cell r="X3833" t="str">
            <v>CLP HC 220 (-25/+60°C)</v>
          </cell>
          <cell r="Y3833" t="str">
            <v>KH127DRN180M4</v>
          </cell>
          <cell r="Z3833" t="str">
            <v>SEW</v>
          </cell>
          <cell r="AB3833" t="str">
            <v>-</v>
          </cell>
          <cell r="AF3833">
            <v>16</v>
          </cell>
          <cell r="AG3833" t="str">
            <v>DRN180M4</v>
          </cell>
          <cell r="AH3833" t="str">
            <v>KH127-DRN180M4B270-X</v>
          </cell>
        </row>
        <row r="3834">
          <cell r="A3834" t="str">
            <v>MR003823</v>
          </cell>
          <cell r="B3834" t="str">
            <v>MR</v>
          </cell>
          <cell r="C3834">
            <v>7.5</v>
          </cell>
          <cell r="D3834">
            <v>15</v>
          </cell>
          <cell r="E3834" t="str">
            <v>KH107</v>
          </cell>
          <cell r="F3834">
            <v>4910</v>
          </cell>
          <cell r="G3834">
            <v>100.75</v>
          </cell>
          <cell r="H3834">
            <v>1.65</v>
          </cell>
          <cell r="I3834" t="str">
            <v>From M1A to M2A - 25°</v>
          </cell>
          <cell r="J3834" t="str">
            <v>IE3</v>
          </cell>
          <cell r="K3834" t="str">
            <v>230/400</v>
          </cell>
          <cell r="L3834">
            <v>50</v>
          </cell>
          <cell r="M3834" t="str">
            <v>26,5/15,2</v>
          </cell>
          <cell r="N3834">
            <v>65</v>
          </cell>
          <cell r="O3834" t="str">
            <v>155(F)</v>
          </cell>
          <cell r="P3834" t="str">
            <v>180°</v>
          </cell>
          <cell r="Q3834" t="str">
            <v>-</v>
          </cell>
          <cell r="R3834" t="str">
            <v>-</v>
          </cell>
          <cell r="S3834" t="str">
            <v>-</v>
          </cell>
          <cell r="T3834" t="str">
            <v>-</v>
          </cell>
          <cell r="U3834" t="str">
            <v>-</v>
          </cell>
          <cell r="V3834" t="str">
            <v>SS</v>
          </cell>
          <cell r="W3834" t="str">
            <v>-</v>
          </cell>
          <cell r="X3834" t="str">
            <v>CLP HC 220 (-25/+60°C)</v>
          </cell>
          <cell r="Y3834" t="str">
            <v>KH107DRN132M4</v>
          </cell>
          <cell r="Z3834" t="str">
            <v>SEW</v>
          </cell>
          <cell r="AB3834" t="str">
            <v>-</v>
          </cell>
          <cell r="AF3834">
            <v>15</v>
          </cell>
          <cell r="AG3834" t="str">
            <v>DRN132M4</v>
          </cell>
          <cell r="AH3834" t="str">
            <v>KH107-DRN132M4A180-X</v>
          </cell>
        </row>
        <row r="3835">
          <cell r="A3835" t="str">
            <v>MR003824</v>
          </cell>
          <cell r="B3835" t="str">
            <v>MR</v>
          </cell>
          <cell r="C3835">
            <v>15</v>
          </cell>
          <cell r="D3835">
            <v>12</v>
          </cell>
          <cell r="E3835" t="str">
            <v>KH127</v>
          </cell>
          <cell r="F3835">
            <v>11900</v>
          </cell>
          <cell r="G3835">
            <v>122.48</v>
          </cell>
          <cell r="H3835">
            <v>1.1000000000000001</v>
          </cell>
          <cell r="I3835" t="str">
            <v>M1B</v>
          </cell>
          <cell r="J3835" t="str">
            <v>IE3</v>
          </cell>
          <cell r="K3835" t="str">
            <v>230/400</v>
          </cell>
          <cell r="L3835">
            <v>50</v>
          </cell>
          <cell r="M3835" t="str">
            <v>50/29</v>
          </cell>
          <cell r="N3835">
            <v>65</v>
          </cell>
          <cell r="O3835" t="str">
            <v>155(F)</v>
          </cell>
          <cell r="P3835" t="str">
            <v>0°</v>
          </cell>
          <cell r="Q3835" t="str">
            <v>-</v>
          </cell>
          <cell r="R3835" t="str">
            <v>-</v>
          </cell>
          <cell r="S3835" t="str">
            <v>-</v>
          </cell>
          <cell r="T3835" t="str">
            <v>-</v>
          </cell>
          <cell r="U3835" t="str">
            <v>-</v>
          </cell>
          <cell r="V3835" t="str">
            <v>SS</v>
          </cell>
          <cell r="W3835" t="str">
            <v>-</v>
          </cell>
          <cell r="X3835" t="str">
            <v>CLP HC 220 (-25/+60°C)</v>
          </cell>
          <cell r="Y3835" t="str">
            <v>KH127DRN160L4</v>
          </cell>
          <cell r="Z3835" t="str">
            <v>SEW</v>
          </cell>
          <cell r="AB3835" t="str">
            <v>-</v>
          </cell>
          <cell r="AF3835">
            <v>12</v>
          </cell>
          <cell r="AG3835" t="str">
            <v>DRN160L4</v>
          </cell>
          <cell r="AH3835" t="str">
            <v>KH127-DRN160L4B0-X</v>
          </cell>
        </row>
        <row r="3836">
          <cell r="A3836" t="str">
            <v>MR003825</v>
          </cell>
          <cell r="B3836" t="str">
            <v>MR</v>
          </cell>
          <cell r="C3836">
            <v>9.1999999999999993</v>
          </cell>
          <cell r="D3836">
            <v>12</v>
          </cell>
          <cell r="E3836" t="str">
            <v>KH127</v>
          </cell>
          <cell r="F3836">
            <v>7320</v>
          </cell>
          <cell r="G3836">
            <v>122.48</v>
          </cell>
          <cell r="H3836">
            <v>1.8</v>
          </cell>
          <cell r="I3836" t="str">
            <v>From M1A to M2A - 20°</v>
          </cell>
          <cell r="J3836" t="str">
            <v>IE3</v>
          </cell>
          <cell r="K3836" t="str">
            <v>230/400</v>
          </cell>
          <cell r="L3836">
            <v>50</v>
          </cell>
          <cell r="M3836" t="str">
            <v>32,5/18,7</v>
          </cell>
          <cell r="N3836">
            <v>65</v>
          </cell>
          <cell r="O3836" t="str">
            <v>155(F)</v>
          </cell>
          <cell r="P3836" t="str">
            <v>180°</v>
          </cell>
          <cell r="Q3836" t="str">
            <v>-</v>
          </cell>
          <cell r="R3836" t="str">
            <v>-</v>
          </cell>
          <cell r="S3836" t="str">
            <v>-</v>
          </cell>
          <cell r="T3836" t="str">
            <v>-</v>
          </cell>
          <cell r="U3836" t="str">
            <v>-</v>
          </cell>
          <cell r="V3836" t="str">
            <v>SS</v>
          </cell>
          <cell r="W3836" t="str">
            <v>-</v>
          </cell>
          <cell r="X3836" t="str">
            <v>CLP HC 220 (-25/+60°C)</v>
          </cell>
          <cell r="Y3836" t="str">
            <v>KH127DRN132L4</v>
          </cell>
          <cell r="Z3836" t="str">
            <v>SEW</v>
          </cell>
          <cell r="AB3836" t="str">
            <v>-</v>
          </cell>
          <cell r="AF3836">
            <v>12</v>
          </cell>
          <cell r="AG3836" t="str">
            <v>DRN132L4</v>
          </cell>
          <cell r="AH3836" t="str">
            <v>KH127-DRN132L4A180-X</v>
          </cell>
        </row>
        <row r="3837">
          <cell r="A3837" t="str">
            <v>MR003826</v>
          </cell>
          <cell r="B3837" t="str">
            <v>MR</v>
          </cell>
          <cell r="C3837">
            <v>9.1999999999999993</v>
          </cell>
          <cell r="D3837">
            <v>12</v>
          </cell>
          <cell r="E3837" t="str">
            <v>KH127</v>
          </cell>
          <cell r="F3837">
            <v>7320</v>
          </cell>
          <cell r="G3837">
            <v>122.48</v>
          </cell>
          <cell r="H3837">
            <v>1.8</v>
          </cell>
          <cell r="I3837" t="str">
            <v>From M1B to M2B - 20°</v>
          </cell>
          <cell r="J3837" t="str">
            <v>IE3</v>
          </cell>
          <cell r="K3837" t="str">
            <v>230/400</v>
          </cell>
          <cell r="L3837">
            <v>50</v>
          </cell>
          <cell r="M3837" t="str">
            <v>32,5/18,7</v>
          </cell>
          <cell r="N3837">
            <v>65</v>
          </cell>
          <cell r="O3837" t="str">
            <v>155(F)</v>
          </cell>
          <cell r="P3837" t="str">
            <v>0°</v>
          </cell>
          <cell r="Q3837" t="str">
            <v>-</v>
          </cell>
          <cell r="R3837" t="str">
            <v>-</v>
          </cell>
          <cell r="S3837" t="str">
            <v>-</v>
          </cell>
          <cell r="T3837" t="str">
            <v>-</v>
          </cell>
          <cell r="U3837" t="str">
            <v>-</v>
          </cell>
          <cell r="V3837" t="str">
            <v>SS</v>
          </cell>
          <cell r="W3837" t="str">
            <v>-</v>
          </cell>
          <cell r="X3837" t="str">
            <v>CLP HC 220 (-25/+60°C)</v>
          </cell>
          <cell r="Y3837" t="str">
            <v>KH127DRN132L4</v>
          </cell>
          <cell r="Z3837" t="str">
            <v>SEW</v>
          </cell>
          <cell r="AB3837" t="str">
            <v>-</v>
          </cell>
          <cell r="AF3837">
            <v>12</v>
          </cell>
          <cell r="AG3837" t="str">
            <v>DRN132L4</v>
          </cell>
          <cell r="AH3837" t="str">
            <v>KH127-DRN132L4B0-X</v>
          </cell>
        </row>
        <row r="3838">
          <cell r="A3838" t="str">
            <v>MR003827</v>
          </cell>
          <cell r="B3838" t="str">
            <v>MR</v>
          </cell>
          <cell r="C3838">
            <v>15</v>
          </cell>
          <cell r="D3838">
            <v>48</v>
          </cell>
          <cell r="E3838" t="str">
            <v>R107</v>
          </cell>
          <cell r="F3838">
            <v>2990</v>
          </cell>
          <cell r="G3838">
            <v>30.77</v>
          </cell>
          <cell r="H3838">
            <v>1.45</v>
          </cell>
          <cell r="I3838" t="str">
            <v>M1</v>
          </cell>
          <cell r="J3838" t="str">
            <v>IE3</v>
          </cell>
          <cell r="K3838" t="str">
            <v>400/690</v>
          </cell>
          <cell r="L3838">
            <v>50</v>
          </cell>
          <cell r="M3838" t="str">
            <v>29/16,7</v>
          </cell>
          <cell r="N3838">
            <v>65</v>
          </cell>
          <cell r="O3838" t="str">
            <v>155(F)</v>
          </cell>
          <cell r="P3838" t="str">
            <v>270°</v>
          </cell>
          <cell r="Q3838" t="str">
            <v>-</v>
          </cell>
          <cell r="R3838" t="str">
            <v>-</v>
          </cell>
          <cell r="S3838" t="str">
            <v>-</v>
          </cell>
          <cell r="T3838" t="str">
            <v>-</v>
          </cell>
          <cell r="U3838" t="str">
            <v>-</v>
          </cell>
          <cell r="V3838" t="str">
            <v>SS</v>
          </cell>
          <cell r="W3838" t="str">
            <v>-</v>
          </cell>
          <cell r="X3838" t="str">
            <v>CLP HC 220 (-25/+60°C)</v>
          </cell>
          <cell r="Y3838" t="str">
            <v>R107DRN160L4</v>
          </cell>
          <cell r="Z3838" t="str">
            <v>SEW</v>
          </cell>
          <cell r="AB3838" t="str">
            <v>-</v>
          </cell>
          <cell r="AF3838">
            <v>48</v>
          </cell>
          <cell r="AG3838" t="str">
            <v>DRN160L4</v>
          </cell>
          <cell r="AH3838" t="str">
            <v>R107-DRN160L4270-X</v>
          </cell>
        </row>
        <row r="3839">
          <cell r="A3839" t="str">
            <v>MR003828</v>
          </cell>
          <cell r="B3839" t="str">
            <v>MR</v>
          </cell>
          <cell r="C3839">
            <v>3</v>
          </cell>
          <cell r="D3839">
            <v>75</v>
          </cell>
          <cell r="E3839" t="str">
            <v>KH67</v>
          </cell>
          <cell r="F3839">
            <v>375</v>
          </cell>
          <cell r="G3839">
            <v>19.3</v>
          </cell>
          <cell r="H3839">
            <v>2</v>
          </cell>
          <cell r="I3839" t="str">
            <v>From M3A to M2A - 5°</v>
          </cell>
          <cell r="J3839" t="str">
            <v>IE3</v>
          </cell>
          <cell r="K3839" t="str">
            <v>230/400</v>
          </cell>
          <cell r="L3839">
            <v>50</v>
          </cell>
          <cell r="M3839" t="str">
            <v>11,2/6,4</v>
          </cell>
          <cell r="N3839">
            <v>65</v>
          </cell>
          <cell r="O3839" t="str">
            <v>155(F)</v>
          </cell>
          <cell r="P3839" t="str">
            <v>180°</v>
          </cell>
          <cell r="Q3839" t="str">
            <v>-</v>
          </cell>
          <cell r="R3839" t="str">
            <v>-</v>
          </cell>
          <cell r="S3839" t="str">
            <v>Free rotation CW</v>
          </cell>
          <cell r="T3839" t="str">
            <v>-</v>
          </cell>
          <cell r="U3839" t="str">
            <v>T</v>
          </cell>
          <cell r="V3839" t="str">
            <v>SS</v>
          </cell>
          <cell r="W3839" t="str">
            <v>-</v>
          </cell>
          <cell r="X3839" t="str">
            <v>CLP HC 220 (-25/+60°C)</v>
          </cell>
          <cell r="Y3839" t="str">
            <v>KH67/T DRN100L4 /RS</v>
          </cell>
          <cell r="Z3839" t="str">
            <v>SEW</v>
          </cell>
          <cell r="AB3839" t="str">
            <v>-</v>
          </cell>
          <cell r="AF3839">
            <v>75</v>
          </cell>
          <cell r="AG3839" t="str">
            <v>DRN100L4</v>
          </cell>
          <cell r="AH3839" t="str">
            <v>KH67T-DRN100L4A180-X</v>
          </cell>
        </row>
        <row r="3840">
          <cell r="A3840" t="str">
            <v>MR003829</v>
          </cell>
          <cell r="B3840" t="str">
            <v>MR</v>
          </cell>
          <cell r="C3840">
            <v>3</v>
          </cell>
          <cell r="D3840">
            <v>75</v>
          </cell>
          <cell r="E3840" t="str">
            <v>KH67</v>
          </cell>
          <cell r="F3840">
            <v>375</v>
          </cell>
          <cell r="G3840">
            <v>19.3</v>
          </cell>
          <cell r="H3840">
            <v>2</v>
          </cell>
          <cell r="I3840" t="str">
            <v>M3B</v>
          </cell>
          <cell r="J3840" t="str">
            <v>IE3</v>
          </cell>
          <cell r="K3840" t="str">
            <v>230/400</v>
          </cell>
          <cell r="L3840">
            <v>50</v>
          </cell>
          <cell r="M3840" t="str">
            <v>11,2/6,4</v>
          </cell>
          <cell r="N3840">
            <v>65</v>
          </cell>
          <cell r="O3840" t="str">
            <v>155(F)</v>
          </cell>
          <cell r="P3840" t="str">
            <v>0°</v>
          </cell>
          <cell r="Q3840" t="str">
            <v>-</v>
          </cell>
          <cell r="R3840" t="str">
            <v>-</v>
          </cell>
          <cell r="S3840" t="str">
            <v>-</v>
          </cell>
          <cell r="T3840" t="str">
            <v>-</v>
          </cell>
          <cell r="U3840" t="str">
            <v>T</v>
          </cell>
          <cell r="V3840" t="str">
            <v>SS</v>
          </cell>
          <cell r="W3840" t="str">
            <v>-</v>
          </cell>
          <cell r="X3840" t="str">
            <v>CLP HC 220 (-25/+60°C)</v>
          </cell>
          <cell r="Y3840" t="str">
            <v>KH67/T DRN100L4</v>
          </cell>
          <cell r="Z3840" t="str">
            <v>SEW</v>
          </cell>
          <cell r="AB3840" t="str">
            <v>-</v>
          </cell>
          <cell r="AF3840">
            <v>75</v>
          </cell>
          <cell r="AG3840" t="str">
            <v>DRN100L4</v>
          </cell>
          <cell r="AH3840" t="str">
            <v>KH67T-DRN100L4B0-X</v>
          </cell>
        </row>
        <row r="3841">
          <cell r="A3841" t="str">
            <v>MR003830</v>
          </cell>
          <cell r="B3841" t="str">
            <v>MR</v>
          </cell>
          <cell r="C3841">
            <v>2.2000000000000002</v>
          </cell>
          <cell r="D3841">
            <v>75</v>
          </cell>
          <cell r="E3841" t="str">
            <v>KH67</v>
          </cell>
          <cell r="F3841">
            <v>275</v>
          </cell>
          <cell r="G3841">
            <v>19.3</v>
          </cell>
          <cell r="H3841">
            <v>2.7</v>
          </cell>
          <cell r="I3841" t="str">
            <v>From M3B to M2B - 10°</v>
          </cell>
          <cell r="J3841" t="str">
            <v>IE3</v>
          </cell>
          <cell r="K3841" t="str">
            <v>230/400</v>
          </cell>
          <cell r="L3841">
            <v>50</v>
          </cell>
          <cell r="M3841" t="str">
            <v>8,3/4,75</v>
          </cell>
          <cell r="N3841">
            <v>65</v>
          </cell>
          <cell r="O3841" t="str">
            <v>155(F)</v>
          </cell>
          <cell r="P3841" t="str">
            <v>0°</v>
          </cell>
          <cell r="Q3841" t="str">
            <v>-</v>
          </cell>
          <cell r="R3841" t="str">
            <v>-</v>
          </cell>
          <cell r="S3841" t="str">
            <v>Free rotation CCW</v>
          </cell>
          <cell r="T3841" t="str">
            <v>-</v>
          </cell>
          <cell r="U3841" t="str">
            <v>T</v>
          </cell>
          <cell r="V3841" t="str">
            <v>SS</v>
          </cell>
          <cell r="W3841" t="str">
            <v>-</v>
          </cell>
          <cell r="X3841" t="str">
            <v>CLP HC 220 (-25/+60°C)</v>
          </cell>
          <cell r="Y3841" t="str">
            <v>KH67/T DRN100LS4 /RS</v>
          </cell>
          <cell r="Z3841" t="str">
            <v>SEW</v>
          </cell>
          <cell r="AB3841" t="str">
            <v>-</v>
          </cell>
          <cell r="AF3841">
            <v>75</v>
          </cell>
          <cell r="AG3841" t="str">
            <v>DRN100LS4</v>
          </cell>
          <cell r="AH3841" t="str">
            <v>KH67T-DRN100LS4B0-X</v>
          </cell>
        </row>
        <row r="3842">
          <cell r="A3842" t="str">
            <v>MR003831</v>
          </cell>
          <cell r="B3842" t="str">
            <v>MR</v>
          </cell>
          <cell r="C3842">
            <v>3</v>
          </cell>
          <cell r="D3842">
            <v>75</v>
          </cell>
          <cell r="E3842" t="str">
            <v>KH67</v>
          </cell>
          <cell r="F3842">
            <v>375</v>
          </cell>
          <cell r="G3842">
            <v>19.3</v>
          </cell>
          <cell r="H3842">
            <v>2</v>
          </cell>
          <cell r="I3842" t="str">
            <v>From M3B to M2B - 5°</v>
          </cell>
          <cell r="J3842" t="str">
            <v>IE3</v>
          </cell>
          <cell r="K3842" t="str">
            <v>230/400</v>
          </cell>
          <cell r="L3842">
            <v>50</v>
          </cell>
          <cell r="M3842" t="str">
            <v>11,2/6,4</v>
          </cell>
          <cell r="N3842">
            <v>65</v>
          </cell>
          <cell r="O3842" t="str">
            <v>155(F)</v>
          </cell>
          <cell r="P3842" t="str">
            <v>0°</v>
          </cell>
          <cell r="Q3842" t="str">
            <v>-</v>
          </cell>
          <cell r="R3842" t="str">
            <v>-</v>
          </cell>
          <cell r="S3842" t="str">
            <v>Free rotation CCW</v>
          </cell>
          <cell r="T3842" t="str">
            <v>-</v>
          </cell>
          <cell r="U3842" t="str">
            <v>T</v>
          </cell>
          <cell r="V3842" t="str">
            <v>SS</v>
          </cell>
          <cell r="W3842" t="str">
            <v>-</v>
          </cell>
          <cell r="X3842" t="str">
            <v>CLP HC 220 (-25/+60°C)</v>
          </cell>
          <cell r="Y3842" t="str">
            <v>KH67/T DRN100L4 /RS</v>
          </cell>
          <cell r="Z3842" t="str">
            <v>SEW</v>
          </cell>
          <cell r="AB3842" t="str">
            <v>-</v>
          </cell>
          <cell r="AF3842">
            <v>75</v>
          </cell>
          <cell r="AG3842" t="str">
            <v>DRN100L4</v>
          </cell>
          <cell r="AH3842" t="str">
            <v>KH67T-DRN100L4B0-X</v>
          </cell>
        </row>
        <row r="3843">
          <cell r="A3843" t="str">
            <v>MR003832</v>
          </cell>
          <cell r="B3843" t="str">
            <v>MR</v>
          </cell>
          <cell r="C3843">
            <v>7.5</v>
          </cell>
          <cell r="D3843">
            <v>57</v>
          </cell>
          <cell r="E3843" t="str">
            <v>KH77</v>
          </cell>
          <cell r="F3843">
            <v>1240</v>
          </cell>
          <cell r="G3843">
            <v>25.62</v>
          </cell>
          <cell r="H3843">
            <v>1.25</v>
          </cell>
          <cell r="I3843" t="str">
            <v>M4A</v>
          </cell>
          <cell r="J3843" t="str">
            <v>IE3</v>
          </cell>
          <cell r="K3843" t="str">
            <v>230/400</v>
          </cell>
          <cell r="L3843">
            <v>50</v>
          </cell>
          <cell r="M3843" t="str">
            <v>26,5/15,2</v>
          </cell>
          <cell r="N3843">
            <v>65</v>
          </cell>
          <cell r="O3843" t="str">
            <v>155(F)</v>
          </cell>
          <cell r="P3843" t="str">
            <v>270°</v>
          </cell>
          <cell r="Q3843" t="str">
            <v>-</v>
          </cell>
          <cell r="R3843" t="str">
            <v>-</v>
          </cell>
          <cell r="S3843" t="str">
            <v>-</v>
          </cell>
          <cell r="T3843" t="str">
            <v>-</v>
          </cell>
          <cell r="U3843" t="str">
            <v>T</v>
          </cell>
          <cell r="V3843" t="str">
            <v>SS</v>
          </cell>
          <cell r="W3843" t="str">
            <v>-</v>
          </cell>
          <cell r="X3843" t="str">
            <v>CLP HC 220 (-25/+60°C)</v>
          </cell>
          <cell r="Y3843" t="str">
            <v>KH77/T DRN132M4</v>
          </cell>
          <cell r="Z3843" t="str">
            <v>SEW</v>
          </cell>
          <cell r="AB3843" t="str">
            <v>-</v>
          </cell>
          <cell r="AF3843">
            <v>57</v>
          </cell>
          <cell r="AG3843" t="str">
            <v>DRN132M4</v>
          </cell>
          <cell r="AH3843" t="str">
            <v>KH77T-DRN132M4A270-X</v>
          </cell>
        </row>
        <row r="3844">
          <cell r="A3844" t="str">
            <v>MR003833</v>
          </cell>
          <cell r="B3844" t="str">
            <v>MR</v>
          </cell>
          <cell r="C3844">
            <v>1.1000000000000001</v>
          </cell>
          <cell r="D3844">
            <v>4.4000000000000004</v>
          </cell>
          <cell r="E3844" t="str">
            <v>KH87R57</v>
          </cell>
          <cell r="F3844">
            <v>2160</v>
          </cell>
          <cell r="G3844">
            <v>330</v>
          </cell>
          <cell r="H3844">
            <v>1.25</v>
          </cell>
          <cell r="I3844" t="str">
            <v>M4B</v>
          </cell>
          <cell r="J3844" t="str">
            <v>IE3</v>
          </cell>
          <cell r="K3844" t="str">
            <v>230/400</v>
          </cell>
          <cell r="L3844">
            <v>50</v>
          </cell>
          <cell r="M3844" t="str">
            <v>4,45/2,55</v>
          </cell>
          <cell r="N3844">
            <v>65</v>
          </cell>
          <cell r="O3844" t="str">
            <v>155(F)</v>
          </cell>
          <cell r="P3844" t="str">
            <v>270°</v>
          </cell>
          <cell r="Q3844" t="str">
            <v>-</v>
          </cell>
          <cell r="R3844" t="str">
            <v>-</v>
          </cell>
          <cell r="S3844" t="str">
            <v>-</v>
          </cell>
          <cell r="T3844" t="str">
            <v>-</v>
          </cell>
          <cell r="U3844" t="str">
            <v>T</v>
          </cell>
          <cell r="V3844" t="str">
            <v>SS</v>
          </cell>
          <cell r="W3844" t="str">
            <v>-</v>
          </cell>
          <cell r="X3844" t="str">
            <v>CLP HC 220 (-25/+60°C)</v>
          </cell>
          <cell r="Y3844" t="str">
            <v>KH87R57/T DRN90S4</v>
          </cell>
          <cell r="Z3844" t="str">
            <v>SEW</v>
          </cell>
          <cell r="AB3844" t="str">
            <v>-</v>
          </cell>
          <cell r="AF3844">
            <v>4.4000000000000004</v>
          </cell>
          <cell r="AG3844" t="str">
            <v>DRN90S4</v>
          </cell>
          <cell r="AH3844" t="str">
            <v>KH87R57T-DRN90S4B270-X</v>
          </cell>
        </row>
        <row r="3845">
          <cell r="A3845" t="str">
            <v>MR003834</v>
          </cell>
          <cell r="B3845" t="str">
            <v>MR</v>
          </cell>
          <cell r="C3845">
            <v>5.5</v>
          </cell>
          <cell r="D3845">
            <v>57</v>
          </cell>
          <cell r="E3845" t="str">
            <v>KH77</v>
          </cell>
          <cell r="F3845">
            <v>920</v>
          </cell>
          <cell r="G3845">
            <v>25.62</v>
          </cell>
          <cell r="H3845">
            <v>1.7</v>
          </cell>
          <cell r="I3845" t="str">
            <v>M4B</v>
          </cell>
          <cell r="J3845" t="str">
            <v>IE3</v>
          </cell>
          <cell r="K3845" t="str">
            <v>230/400</v>
          </cell>
          <cell r="L3845">
            <v>50</v>
          </cell>
          <cell r="M3845" t="str">
            <v>18,2/10,5</v>
          </cell>
          <cell r="N3845">
            <v>65</v>
          </cell>
          <cell r="O3845" t="str">
            <v>155(F)</v>
          </cell>
          <cell r="P3845" t="str">
            <v>270°</v>
          </cell>
          <cell r="Q3845" t="str">
            <v>-</v>
          </cell>
          <cell r="R3845" t="str">
            <v>-</v>
          </cell>
          <cell r="S3845" t="str">
            <v>-</v>
          </cell>
          <cell r="T3845" t="str">
            <v>-</v>
          </cell>
          <cell r="U3845" t="str">
            <v>T</v>
          </cell>
          <cell r="V3845" t="str">
            <v>SS+R</v>
          </cell>
          <cell r="W3845" t="str">
            <v>-</v>
          </cell>
          <cell r="X3845" t="str">
            <v>CLP HC 220 (-25/+60°C)</v>
          </cell>
          <cell r="Y3845" t="str">
            <v>KH77/T DRN132S4</v>
          </cell>
          <cell r="Z3845" t="str">
            <v>SEW</v>
          </cell>
          <cell r="AB3845" t="str">
            <v>-</v>
          </cell>
          <cell r="AF3845">
            <v>57</v>
          </cell>
          <cell r="AG3845" t="str">
            <v>DRN132S4</v>
          </cell>
          <cell r="AH3845" t="str">
            <v>KH77T-DRN132S4B270-X</v>
          </cell>
        </row>
        <row r="3846">
          <cell r="A3846" t="str">
            <v>MR003835</v>
          </cell>
          <cell r="B3846" t="str">
            <v>MR</v>
          </cell>
          <cell r="C3846">
            <v>5.5</v>
          </cell>
          <cell r="D3846">
            <v>57</v>
          </cell>
          <cell r="E3846" t="str">
            <v>KH77</v>
          </cell>
          <cell r="F3846">
            <v>920</v>
          </cell>
          <cell r="G3846">
            <v>25.62</v>
          </cell>
          <cell r="H3846">
            <v>1.7</v>
          </cell>
          <cell r="I3846" t="str">
            <v>M4A</v>
          </cell>
          <cell r="J3846" t="str">
            <v>IE3</v>
          </cell>
          <cell r="K3846" t="str">
            <v>230/400</v>
          </cell>
          <cell r="L3846">
            <v>50</v>
          </cell>
          <cell r="M3846" t="str">
            <v>18,2/10,5</v>
          </cell>
          <cell r="N3846">
            <v>65</v>
          </cell>
          <cell r="O3846" t="str">
            <v>155(F)</v>
          </cell>
          <cell r="P3846" t="str">
            <v>270°</v>
          </cell>
          <cell r="Q3846" t="str">
            <v>-</v>
          </cell>
          <cell r="R3846" t="str">
            <v>-</v>
          </cell>
          <cell r="S3846" t="str">
            <v>-</v>
          </cell>
          <cell r="T3846" t="str">
            <v>-</v>
          </cell>
          <cell r="U3846" t="str">
            <v>T</v>
          </cell>
          <cell r="V3846" t="str">
            <v>SS+R</v>
          </cell>
          <cell r="W3846" t="str">
            <v>-</v>
          </cell>
          <cell r="X3846" t="str">
            <v>CLP HC 220 (-25/+60°C)</v>
          </cell>
          <cell r="Y3846" t="str">
            <v>KH77/T DRN132S4</v>
          </cell>
          <cell r="Z3846" t="str">
            <v>SEW</v>
          </cell>
          <cell r="AB3846" t="str">
            <v>-</v>
          </cell>
          <cell r="AF3846">
            <v>57</v>
          </cell>
          <cell r="AG3846" t="str">
            <v>DRN132S4</v>
          </cell>
          <cell r="AH3846" t="str">
            <v>KH77T-DRN132S4A270-X</v>
          </cell>
        </row>
        <row r="3847">
          <cell r="A3847" t="str">
            <v>MR003836</v>
          </cell>
          <cell r="B3847" t="str">
            <v>MR</v>
          </cell>
          <cell r="C3847">
            <v>7.5</v>
          </cell>
          <cell r="D3847">
            <v>57</v>
          </cell>
          <cell r="E3847" t="str">
            <v>KH77</v>
          </cell>
          <cell r="F3847">
            <v>1240</v>
          </cell>
          <cell r="G3847">
            <v>25.62</v>
          </cell>
          <cell r="H3847">
            <v>1.25</v>
          </cell>
          <cell r="I3847" t="str">
            <v>M4B</v>
          </cell>
          <cell r="J3847" t="str">
            <v>IE3</v>
          </cell>
          <cell r="K3847" t="str">
            <v>230/400</v>
          </cell>
          <cell r="L3847">
            <v>50</v>
          </cell>
          <cell r="M3847" t="str">
            <v>26,5/15,2</v>
          </cell>
          <cell r="N3847">
            <v>65</v>
          </cell>
          <cell r="O3847" t="str">
            <v>155(F)</v>
          </cell>
          <cell r="P3847" t="str">
            <v>270°</v>
          </cell>
          <cell r="Q3847" t="str">
            <v>-</v>
          </cell>
          <cell r="R3847" t="str">
            <v>-</v>
          </cell>
          <cell r="S3847" t="str">
            <v>-</v>
          </cell>
          <cell r="T3847" t="str">
            <v>-</v>
          </cell>
          <cell r="U3847" t="str">
            <v>T</v>
          </cell>
          <cell r="V3847" t="str">
            <v>SS+R</v>
          </cell>
          <cell r="W3847" t="str">
            <v>-</v>
          </cell>
          <cell r="X3847" t="str">
            <v>CLP HC 220 (-25/+60°C)</v>
          </cell>
          <cell r="Y3847" t="str">
            <v>KH77/T DRN132M4</v>
          </cell>
          <cell r="Z3847" t="str">
            <v>SEW</v>
          </cell>
          <cell r="AB3847" t="str">
            <v>-</v>
          </cell>
          <cell r="AF3847">
            <v>57</v>
          </cell>
          <cell r="AG3847" t="str">
            <v>DRN132M4</v>
          </cell>
          <cell r="AH3847" t="str">
            <v>KH77T-DRN132M4B270-X</v>
          </cell>
        </row>
        <row r="3848">
          <cell r="A3848" t="str">
            <v>MR003837</v>
          </cell>
          <cell r="B3848" t="str">
            <v>MR</v>
          </cell>
          <cell r="C3848">
            <v>0.75</v>
          </cell>
          <cell r="D3848">
            <v>3.9</v>
          </cell>
          <cell r="E3848" t="str">
            <v>KH87R57</v>
          </cell>
          <cell r="F3848">
            <v>1680</v>
          </cell>
          <cell r="G3848">
            <v>373</v>
          </cell>
          <cell r="H3848">
            <v>1.6</v>
          </cell>
          <cell r="I3848" t="str">
            <v>M4A</v>
          </cell>
          <cell r="J3848" t="str">
            <v>IE3</v>
          </cell>
          <cell r="K3848" t="str">
            <v>230/400</v>
          </cell>
          <cell r="L3848">
            <v>50</v>
          </cell>
          <cell r="M3848" t="str">
            <v>3,05/1,75</v>
          </cell>
          <cell r="N3848">
            <v>65</v>
          </cell>
          <cell r="O3848" t="str">
            <v>155(F)</v>
          </cell>
          <cell r="P3848" t="str">
            <v>270°</v>
          </cell>
          <cell r="Q3848" t="str">
            <v>-</v>
          </cell>
          <cell r="R3848" t="str">
            <v>-</v>
          </cell>
          <cell r="S3848" t="str">
            <v>-</v>
          </cell>
          <cell r="T3848" t="str">
            <v>-</v>
          </cell>
          <cell r="U3848" t="str">
            <v>T</v>
          </cell>
          <cell r="V3848" t="str">
            <v>SS</v>
          </cell>
          <cell r="W3848" t="str">
            <v>-</v>
          </cell>
          <cell r="X3848" t="str">
            <v>CLP HC 220 (-25/+60°C)</v>
          </cell>
          <cell r="Y3848" t="str">
            <v>KH87R57/T DRN80M4</v>
          </cell>
          <cell r="Z3848" t="str">
            <v>SEW</v>
          </cell>
          <cell r="AB3848" t="str">
            <v>-</v>
          </cell>
          <cell r="AF3848">
            <v>3.9</v>
          </cell>
          <cell r="AG3848" t="str">
            <v>DRN80M4</v>
          </cell>
          <cell r="AH3848" t="str">
            <v>KH87R57T-DRN80M4A270-X</v>
          </cell>
        </row>
        <row r="3849">
          <cell r="A3849" t="str">
            <v>MR003838</v>
          </cell>
          <cell r="B3849" t="str">
            <v>ME</v>
          </cell>
          <cell r="C3849">
            <v>45</v>
          </cell>
          <cell r="D3849">
            <v>1475</v>
          </cell>
          <cell r="E3849" t="str">
            <v>225M</v>
          </cell>
          <cell r="I3849" t="str">
            <v>V1/B5</v>
          </cell>
          <cell r="J3849" t="str">
            <v>IE3</v>
          </cell>
          <cell r="K3849">
            <v>415</v>
          </cell>
          <cell r="L3849">
            <v>50</v>
          </cell>
          <cell r="N3849">
            <v>55</v>
          </cell>
          <cell r="O3849" t="str">
            <v>155(F)</v>
          </cell>
          <cell r="Q3849" t="str">
            <v>-</v>
          </cell>
          <cell r="R3849" t="str">
            <v>-</v>
          </cell>
          <cell r="S3849" t="str">
            <v>-</v>
          </cell>
          <cell r="T3849" t="str">
            <v>-</v>
          </cell>
          <cell r="U3849" t="str">
            <v>-</v>
          </cell>
          <cell r="V3849" t="str">
            <v>D</v>
          </cell>
          <cell r="W3849" t="str">
            <v>-</v>
          </cell>
          <cell r="X3849" t="str">
            <v>-</v>
          </cell>
          <cell r="Y3849" t="str">
            <v>1LE1503-2BB23-5FA4-Z D72</v>
          </cell>
          <cell r="Z3849" t="str">
            <v>SIEMENS</v>
          </cell>
          <cell r="AB3849" t="str">
            <v>-</v>
          </cell>
          <cell r="AD3849" t="str">
            <v>BIS</v>
          </cell>
          <cell r="AE3849" t="str">
            <v>4 POLES</v>
          </cell>
          <cell r="AF3849">
            <v>1475</v>
          </cell>
          <cell r="AG3849" t="str">
            <v>DRN225M4</v>
          </cell>
          <cell r="AH3849" t="str">
            <v>225M-DRN225M4B-X</v>
          </cell>
        </row>
        <row r="3850">
          <cell r="A3850" t="str">
            <v>MR003839</v>
          </cell>
          <cell r="B3850" t="str">
            <v>ME</v>
          </cell>
          <cell r="C3850">
            <v>4</v>
          </cell>
          <cell r="D3850">
            <v>3000</v>
          </cell>
          <cell r="E3850" t="str">
            <v>112M</v>
          </cell>
          <cell r="I3850" t="str">
            <v>B5</v>
          </cell>
          <cell r="J3850" t="str">
            <v>IE3</v>
          </cell>
          <cell r="K3850">
            <v>415</v>
          </cell>
          <cell r="L3850">
            <v>50</v>
          </cell>
          <cell r="N3850">
            <v>55</v>
          </cell>
          <cell r="O3850" t="str">
            <v>155(F)</v>
          </cell>
          <cell r="Q3850" t="str">
            <v>-</v>
          </cell>
          <cell r="R3850" t="str">
            <v>-</v>
          </cell>
          <cell r="S3850" t="str">
            <v>-</v>
          </cell>
          <cell r="T3850" t="str">
            <v>-</v>
          </cell>
          <cell r="U3850" t="str">
            <v>-</v>
          </cell>
          <cell r="V3850" t="str">
            <v>D</v>
          </cell>
          <cell r="W3850" t="str">
            <v>-</v>
          </cell>
          <cell r="X3850" t="str">
            <v>-</v>
          </cell>
          <cell r="Y3850" t="str">
            <v>1LE1003-1BA22-3FA4</v>
          </cell>
          <cell r="Z3850" t="str">
            <v>SIEMENS</v>
          </cell>
          <cell r="AB3850" t="str">
            <v>-</v>
          </cell>
          <cell r="AE3850" t="str">
            <v>2 POLES</v>
          </cell>
          <cell r="AF3850">
            <v>3000</v>
          </cell>
          <cell r="AG3850" t="str">
            <v>DRN112M4</v>
          </cell>
          <cell r="AH3850" t="str">
            <v>112M-DRN112M4B-X</v>
          </cell>
        </row>
        <row r="3851">
          <cell r="A3851" t="str">
            <v>MR003840</v>
          </cell>
          <cell r="B3851" t="str">
            <v>MR</v>
          </cell>
          <cell r="C3851">
            <v>22</v>
          </cell>
          <cell r="D3851">
            <v>33</v>
          </cell>
          <cell r="E3851" t="str">
            <v>R137</v>
          </cell>
          <cell r="F3851">
            <v>6310</v>
          </cell>
          <cell r="G3851">
            <v>44.39</v>
          </cell>
          <cell r="H3851" t="str">
            <v>1.25</v>
          </cell>
          <cell r="I3851" t="str">
            <v>M6</v>
          </cell>
          <cell r="J3851" t="str">
            <v>IE3</v>
          </cell>
          <cell r="K3851" t="str">
            <v>240/415</v>
          </cell>
          <cell r="L3851">
            <v>50</v>
          </cell>
          <cell r="M3851" t="str">
            <v>64/37</v>
          </cell>
          <cell r="N3851">
            <v>55</v>
          </cell>
          <cell r="O3851" t="str">
            <v>155(F)</v>
          </cell>
          <cell r="P3851" t="str">
            <v>270°</v>
          </cell>
          <cell r="Q3851" t="str">
            <v>TF</v>
          </cell>
          <cell r="R3851" t="str">
            <v>V(VE)</v>
          </cell>
          <cell r="S3851" t="str">
            <v>-</v>
          </cell>
          <cell r="T3851" t="str">
            <v>-</v>
          </cell>
          <cell r="U3851" t="str">
            <v>-</v>
          </cell>
          <cell r="V3851" t="str">
            <v>FC</v>
          </cell>
          <cell r="W3851" t="str">
            <v>-</v>
          </cell>
          <cell r="X3851" t="str">
            <v>CLP 220 (-15/+40°C)</v>
          </cell>
          <cell r="Y3851" t="str">
            <v>R137DRN180L4 /TF/V</v>
          </cell>
          <cell r="Z3851" t="str">
            <v>SEW</v>
          </cell>
          <cell r="AB3851" t="str">
            <v>-</v>
          </cell>
          <cell r="AD3851" t="str">
            <v>BIS</v>
          </cell>
          <cell r="AF3851">
            <v>33</v>
          </cell>
          <cell r="AG3851" t="str">
            <v>DRN180L4</v>
          </cell>
          <cell r="AH3851" t="str">
            <v>R137-DRN180L4270-X#</v>
          </cell>
        </row>
        <row r="3852">
          <cell r="A3852" t="str">
            <v>MR003841</v>
          </cell>
          <cell r="B3852" t="str">
            <v>MR</v>
          </cell>
          <cell r="C3852">
            <v>9.1999999999999993</v>
          </cell>
          <cell r="D3852">
            <v>10</v>
          </cell>
          <cell r="E3852" t="str">
            <v>R147</v>
          </cell>
          <cell r="F3852">
            <v>8770</v>
          </cell>
          <cell r="G3852">
            <v>146.91</v>
          </cell>
          <cell r="H3852">
            <v>1.5</v>
          </cell>
          <cell r="I3852" t="str">
            <v>From M1 to M2 - 15°</v>
          </cell>
          <cell r="J3852" t="str">
            <v>IE3</v>
          </cell>
          <cell r="K3852" t="str">
            <v>240/415</v>
          </cell>
          <cell r="L3852">
            <v>50</v>
          </cell>
          <cell r="M3852" t="str">
            <v>31/18</v>
          </cell>
          <cell r="N3852">
            <v>55</v>
          </cell>
          <cell r="O3852" t="str">
            <v>155(F)</v>
          </cell>
          <cell r="P3852" t="str">
            <v>270°</v>
          </cell>
          <cell r="Q3852" t="str">
            <v>TF</v>
          </cell>
          <cell r="R3852" t="str">
            <v>V(VE)</v>
          </cell>
          <cell r="S3852" t="str">
            <v>-</v>
          </cell>
          <cell r="T3852" t="str">
            <v>-</v>
          </cell>
          <cell r="U3852" t="str">
            <v>-</v>
          </cell>
          <cell r="V3852" t="str">
            <v>FC</v>
          </cell>
          <cell r="W3852" t="str">
            <v>-</v>
          </cell>
          <cell r="X3852" t="str">
            <v>CLP 220 (-15/+40°C)</v>
          </cell>
          <cell r="Y3852" t="str">
            <v>R147DRN132L4 /TF/V</v>
          </cell>
          <cell r="Z3852" t="str">
            <v>SEW</v>
          </cell>
          <cell r="AB3852" t="str">
            <v>-</v>
          </cell>
          <cell r="AD3852" t="str">
            <v>BIS</v>
          </cell>
          <cell r="AF3852">
            <v>10</v>
          </cell>
          <cell r="AG3852" t="str">
            <v>DRN132L4</v>
          </cell>
          <cell r="AH3852" t="str">
            <v>R147-DRN132L4270-X#</v>
          </cell>
        </row>
        <row r="3853">
          <cell r="A3853" t="str">
            <v>MR003842</v>
          </cell>
          <cell r="B3853" t="str">
            <v>MR</v>
          </cell>
          <cell r="C3853">
            <v>1.5</v>
          </cell>
          <cell r="D3853">
            <v>4.3</v>
          </cell>
          <cell r="E3853" t="str">
            <v>KH97R57</v>
          </cell>
          <cell r="F3853">
            <v>3040</v>
          </cell>
          <cell r="G3853">
            <v>342</v>
          </cell>
          <cell r="H3853">
            <v>1.4</v>
          </cell>
          <cell r="I3853" t="str">
            <v>From M4A to M1A - 20°</v>
          </cell>
          <cell r="J3853" t="str">
            <v>IE3</v>
          </cell>
          <cell r="K3853" t="str">
            <v>230/400</v>
          </cell>
          <cell r="L3853">
            <v>50</v>
          </cell>
          <cell r="M3853" t="str">
            <v>5,9/3,4</v>
          </cell>
          <cell r="N3853">
            <v>54</v>
          </cell>
          <cell r="O3853" t="str">
            <v>130 (B)</v>
          </cell>
          <cell r="P3853" t="str">
            <v>90°</v>
          </cell>
          <cell r="Q3853" t="str">
            <v>-</v>
          </cell>
          <cell r="R3853" t="str">
            <v>-</v>
          </cell>
          <cell r="S3853" t="str">
            <v>-</v>
          </cell>
          <cell r="T3853" t="str">
            <v>-</v>
          </cell>
          <cell r="U3853" t="str">
            <v>T</v>
          </cell>
          <cell r="V3853" t="str">
            <v>D</v>
          </cell>
          <cell r="W3853" t="str">
            <v>-</v>
          </cell>
          <cell r="X3853" t="str">
            <v>CLP 220 (-15/+40°C)</v>
          </cell>
          <cell r="Y3853" t="str">
            <v>KH97R57/T DRN90L4</v>
          </cell>
          <cell r="Z3853" t="str">
            <v>SEW</v>
          </cell>
          <cell r="AB3853" t="str">
            <v>-</v>
          </cell>
          <cell r="AF3853">
            <v>4.3</v>
          </cell>
          <cell r="AG3853" t="str">
            <v>DRN90L4</v>
          </cell>
          <cell r="AH3853" t="str">
            <v>KH97R57T-DRN90L4A90-X</v>
          </cell>
        </row>
        <row r="3854">
          <cell r="A3854" t="str">
            <v>MR003843</v>
          </cell>
          <cell r="B3854" t="str">
            <v>MR</v>
          </cell>
          <cell r="C3854">
            <v>22</v>
          </cell>
          <cell r="D3854">
            <v>33</v>
          </cell>
          <cell r="E3854" t="str">
            <v>R137</v>
          </cell>
          <cell r="F3854">
            <v>6310</v>
          </cell>
          <cell r="G3854">
            <v>44.39</v>
          </cell>
          <cell r="H3854">
            <v>1.25</v>
          </cell>
          <cell r="I3854" t="str">
            <v>From M1 to M2 - 15°</v>
          </cell>
          <cell r="J3854" t="str">
            <v>IE3</v>
          </cell>
          <cell r="K3854" t="str">
            <v>240/415</v>
          </cell>
          <cell r="L3854">
            <v>50</v>
          </cell>
          <cell r="M3854" t="str">
            <v>64/37</v>
          </cell>
          <cell r="N3854">
            <v>65</v>
          </cell>
          <cell r="O3854" t="str">
            <v>155(F)</v>
          </cell>
          <cell r="P3854" t="str">
            <v>270°</v>
          </cell>
          <cell r="Q3854" t="str">
            <v>TF</v>
          </cell>
          <cell r="R3854" t="str">
            <v>V(VE)</v>
          </cell>
          <cell r="S3854" t="str">
            <v>-</v>
          </cell>
          <cell r="T3854" t="str">
            <v>-</v>
          </cell>
          <cell r="U3854" t="str">
            <v>-</v>
          </cell>
          <cell r="V3854" t="str">
            <v>FC</v>
          </cell>
          <cell r="W3854" t="str">
            <v>-</v>
          </cell>
          <cell r="X3854" t="str">
            <v>CLP 220 (-15/+40°C)</v>
          </cell>
          <cell r="Y3854" t="str">
            <v>R137DRN180L4 /TF/V</v>
          </cell>
          <cell r="Z3854" t="str">
            <v>SEW</v>
          </cell>
          <cell r="AB3854" t="str">
            <v>-</v>
          </cell>
          <cell r="AD3854" t="str">
            <v>BIS</v>
          </cell>
          <cell r="AF3854">
            <v>33</v>
          </cell>
          <cell r="AG3854" t="str">
            <v>DRN180L4</v>
          </cell>
          <cell r="AH3854" t="str">
            <v>R137-DRN180L4270-X#</v>
          </cell>
        </row>
        <row r="3855">
          <cell r="A3855" t="str">
            <v>MR003844</v>
          </cell>
          <cell r="B3855" t="str">
            <v>MR</v>
          </cell>
          <cell r="C3855">
            <v>2.2000000000000002</v>
          </cell>
          <cell r="D3855">
            <v>64</v>
          </cell>
          <cell r="E3855" t="str">
            <v>KH67</v>
          </cell>
          <cell r="F3855">
            <v>325</v>
          </cell>
          <cell r="G3855">
            <v>22.66</v>
          </cell>
          <cell r="H3855">
            <v>2.4</v>
          </cell>
          <cell r="I3855" t="str">
            <v>From M4B to M1B - 25°</v>
          </cell>
          <cell r="J3855" t="str">
            <v>IE3</v>
          </cell>
          <cell r="K3855" t="str">
            <v>240/415</v>
          </cell>
          <cell r="L3855">
            <v>50</v>
          </cell>
          <cell r="M3855" t="str">
            <v>8/4,6</v>
          </cell>
          <cell r="N3855">
            <v>65</v>
          </cell>
          <cell r="O3855" t="str">
            <v>155(F)</v>
          </cell>
          <cell r="P3855" t="str">
            <v>270°</v>
          </cell>
          <cell r="Q3855" t="str">
            <v>-</v>
          </cell>
          <cell r="R3855" t="str">
            <v>-</v>
          </cell>
          <cell r="S3855" t="str">
            <v>Free rotation CW</v>
          </cell>
          <cell r="T3855" t="str">
            <v>-</v>
          </cell>
          <cell r="U3855" t="str">
            <v>T</v>
          </cell>
          <cell r="V3855" t="str">
            <v>SS</v>
          </cell>
          <cell r="W3855" t="str">
            <v>-</v>
          </cell>
          <cell r="X3855" t="str">
            <v>CLP 220 (-15/+40°C)</v>
          </cell>
          <cell r="Y3855" t="str">
            <v>KH67/T DRN100LS4 /RS</v>
          </cell>
          <cell r="Z3855" t="str">
            <v>SEW</v>
          </cell>
          <cell r="AB3855" t="str">
            <v>-</v>
          </cell>
          <cell r="AD3855" t="str">
            <v>BIS</v>
          </cell>
          <cell r="AF3855">
            <v>64</v>
          </cell>
          <cell r="AG3855" t="str">
            <v>DRN100LS4</v>
          </cell>
          <cell r="AH3855" t="str">
            <v>KH67T-DRN100LS4B270-X</v>
          </cell>
        </row>
        <row r="3856">
          <cell r="A3856" t="str">
            <v>MR003845</v>
          </cell>
          <cell r="B3856" t="str">
            <v>MR</v>
          </cell>
          <cell r="C3856">
            <v>2.2000000000000002</v>
          </cell>
          <cell r="D3856">
            <v>64</v>
          </cell>
          <cell r="E3856" t="str">
            <v>KH67</v>
          </cell>
          <cell r="F3856">
            <v>325</v>
          </cell>
          <cell r="G3856">
            <v>22.66</v>
          </cell>
          <cell r="H3856">
            <v>2.4</v>
          </cell>
          <cell r="I3856" t="str">
            <v>M4B</v>
          </cell>
          <cell r="J3856" t="str">
            <v>IE3</v>
          </cell>
          <cell r="K3856" t="str">
            <v>240/415</v>
          </cell>
          <cell r="L3856">
            <v>50</v>
          </cell>
          <cell r="M3856" t="str">
            <v>8/4,6</v>
          </cell>
          <cell r="N3856">
            <v>65</v>
          </cell>
          <cell r="O3856" t="str">
            <v>155(F)</v>
          </cell>
          <cell r="P3856" t="str">
            <v>270°</v>
          </cell>
          <cell r="Q3856" t="str">
            <v>-</v>
          </cell>
          <cell r="R3856" t="str">
            <v>-</v>
          </cell>
          <cell r="S3856" t="str">
            <v>-</v>
          </cell>
          <cell r="T3856" t="str">
            <v>-</v>
          </cell>
          <cell r="U3856" t="str">
            <v>T</v>
          </cell>
          <cell r="V3856" t="str">
            <v>SS</v>
          </cell>
          <cell r="W3856" t="str">
            <v>-</v>
          </cell>
          <cell r="X3856" t="str">
            <v>CLP 220 (-15/+40°C)</v>
          </cell>
          <cell r="Y3856" t="str">
            <v>KH67/T DRN100LS4</v>
          </cell>
          <cell r="Z3856" t="str">
            <v>SEW</v>
          </cell>
          <cell r="AB3856" t="str">
            <v>-</v>
          </cell>
          <cell r="AD3856" t="str">
            <v>BIS</v>
          </cell>
          <cell r="AF3856">
            <v>64</v>
          </cell>
          <cell r="AG3856" t="str">
            <v>DRN100LS4</v>
          </cell>
          <cell r="AH3856" t="str">
            <v>KH67T-DRN100LS4B270-X</v>
          </cell>
        </row>
        <row r="3857">
          <cell r="A3857" t="str">
            <v>MR003846</v>
          </cell>
          <cell r="B3857" t="str">
            <v>MR</v>
          </cell>
          <cell r="C3857">
            <v>0.75</v>
          </cell>
          <cell r="D3857">
            <v>162</v>
          </cell>
          <cell r="E3857" t="str">
            <v>KA37</v>
          </cell>
          <cell r="F3857">
            <v>44</v>
          </cell>
          <cell r="G3857">
            <v>8.91</v>
          </cell>
          <cell r="H3857">
            <v>3.6</v>
          </cell>
          <cell r="I3857" t="str">
            <v>From M1B to M2B - 25°</v>
          </cell>
          <cell r="J3857" t="str">
            <v>IE3</v>
          </cell>
          <cell r="K3857" t="str">
            <v>240/415</v>
          </cell>
          <cell r="L3857">
            <v>50</v>
          </cell>
          <cell r="M3857" t="str">
            <v>2,9/1,69</v>
          </cell>
          <cell r="N3857">
            <v>65</v>
          </cell>
          <cell r="O3857" t="str">
            <v>155(F)</v>
          </cell>
          <cell r="P3857" t="str">
            <v>0°</v>
          </cell>
          <cell r="Q3857" t="str">
            <v>-</v>
          </cell>
          <cell r="R3857" t="str">
            <v>-</v>
          </cell>
          <cell r="S3857" t="str">
            <v>-</v>
          </cell>
          <cell r="T3857" t="str">
            <v>-</v>
          </cell>
          <cell r="U3857" t="str">
            <v>T</v>
          </cell>
          <cell r="V3857" t="str">
            <v>D</v>
          </cell>
          <cell r="W3857" t="str">
            <v>-</v>
          </cell>
          <cell r="X3857" t="str">
            <v>CLP 220 (-15/+40°C)</v>
          </cell>
          <cell r="Y3857" t="str">
            <v>KA37/T DRN80M4</v>
          </cell>
          <cell r="Z3857" t="str">
            <v>SEW</v>
          </cell>
          <cell r="AB3857" t="str">
            <v>-</v>
          </cell>
          <cell r="AD3857" t="str">
            <v>BIS</v>
          </cell>
          <cell r="AF3857">
            <v>162</v>
          </cell>
          <cell r="AG3857" t="str">
            <v>DRN80M4</v>
          </cell>
          <cell r="AH3857" t="str">
            <v>KA37T-DRN80M4B0-X</v>
          </cell>
        </row>
        <row r="3858">
          <cell r="A3858" t="str">
            <v>MR003847</v>
          </cell>
          <cell r="B3858" t="str">
            <v>MR</v>
          </cell>
          <cell r="C3858">
            <v>7.5</v>
          </cell>
          <cell r="D3858">
            <v>77</v>
          </cell>
          <cell r="E3858" t="str">
            <v>R87</v>
          </cell>
          <cell r="F3858">
            <v>930</v>
          </cell>
          <cell r="G3858">
            <v>19.100000000000001</v>
          </cell>
          <cell r="H3858">
            <v>1.55</v>
          </cell>
          <cell r="I3858" t="str">
            <v>M1</v>
          </cell>
          <cell r="J3858" t="str">
            <v>IE3</v>
          </cell>
          <cell r="K3858" t="str">
            <v>400/690</v>
          </cell>
          <cell r="L3858">
            <v>50</v>
          </cell>
          <cell r="M3858" t="str">
            <v>15,2/8,8</v>
          </cell>
          <cell r="N3858">
            <v>65</v>
          </cell>
          <cell r="O3858" t="str">
            <v>155(F)</v>
          </cell>
          <cell r="P3858" t="str">
            <v>270°</v>
          </cell>
          <cell r="Q3858" t="str">
            <v>-</v>
          </cell>
          <cell r="R3858" t="str">
            <v>-</v>
          </cell>
          <cell r="S3858" t="str">
            <v>-</v>
          </cell>
          <cell r="T3858" t="str">
            <v>-</v>
          </cell>
          <cell r="U3858" t="str">
            <v>-</v>
          </cell>
          <cell r="V3858" t="str">
            <v>D+R</v>
          </cell>
          <cell r="W3858" t="str">
            <v>-</v>
          </cell>
          <cell r="X3858" t="str">
            <v>CLP HC VG 220 = -20° + 60°</v>
          </cell>
          <cell r="Y3858" t="str">
            <v>R87DRN132M4</v>
          </cell>
          <cell r="Z3858" t="str">
            <v>SEW</v>
          </cell>
          <cell r="AB3858" t="str">
            <v>-</v>
          </cell>
          <cell r="AF3858">
            <v>77</v>
          </cell>
          <cell r="AG3858" t="str">
            <v>DRN132M4</v>
          </cell>
          <cell r="AH3858" t="str">
            <v>R87-DRN132M4270-X</v>
          </cell>
        </row>
        <row r="3859">
          <cell r="A3859" t="str">
            <v>MR003848</v>
          </cell>
          <cell r="B3859" t="str">
            <v>MR</v>
          </cell>
          <cell r="C3859">
            <v>0.75</v>
          </cell>
          <cell r="D3859">
            <v>18</v>
          </cell>
          <cell r="E3859" t="str">
            <v>FA67</v>
          </cell>
          <cell r="F3859">
            <v>395</v>
          </cell>
          <cell r="G3859">
            <v>79.760000000000005</v>
          </cell>
          <cell r="H3859">
            <v>2.1</v>
          </cell>
          <cell r="I3859" t="str">
            <v>M5</v>
          </cell>
          <cell r="J3859" t="str">
            <v>IE3</v>
          </cell>
          <cell r="K3859" t="str">
            <v>230/400</v>
          </cell>
          <cell r="L3859">
            <v>50</v>
          </cell>
          <cell r="M3859" t="str">
            <v>3,05/1,75</v>
          </cell>
          <cell r="N3859">
            <v>65</v>
          </cell>
          <cell r="O3859" t="str">
            <v>155(F)</v>
          </cell>
          <cell r="P3859" t="str">
            <v>180°</v>
          </cell>
          <cell r="Q3859" t="str">
            <v>-</v>
          </cell>
          <cell r="R3859" t="str">
            <v>-</v>
          </cell>
          <cell r="S3859" t="str">
            <v>-</v>
          </cell>
          <cell r="T3859" t="str">
            <v>BEHF</v>
          </cell>
          <cell r="U3859" t="str">
            <v>G</v>
          </cell>
          <cell r="V3859" t="str">
            <v>D+R</v>
          </cell>
          <cell r="W3859" t="str">
            <v>-</v>
          </cell>
          <cell r="X3859" t="str">
            <v>CLP HC VG 220 = -20° + 60°</v>
          </cell>
          <cell r="Y3859" t="str">
            <v>FA67/G DRN80M4 /BEHF</v>
          </cell>
          <cell r="Z3859" t="str">
            <v>SEW</v>
          </cell>
          <cell r="AB3859" t="str">
            <v>-</v>
          </cell>
          <cell r="AF3859">
            <v>18</v>
          </cell>
          <cell r="AG3859" t="str">
            <v>DRN80M4</v>
          </cell>
          <cell r="AH3859" t="str">
            <v>FA67G-DRN80M4180-X</v>
          </cell>
        </row>
        <row r="3860">
          <cell r="A3860" t="str">
            <v>MR003849</v>
          </cell>
          <cell r="B3860" t="str">
            <v>ME</v>
          </cell>
          <cell r="C3860">
            <v>45</v>
          </cell>
          <cell r="D3860">
            <v>1475</v>
          </cell>
          <cell r="I3860" t="str">
            <v>V1/B5</v>
          </cell>
          <cell r="J3860" t="str">
            <v>IE3</v>
          </cell>
          <cell r="K3860" t="str">
            <v>400/690</v>
          </cell>
          <cell r="L3860">
            <v>50</v>
          </cell>
          <cell r="N3860">
            <v>55</v>
          </cell>
          <cell r="O3860" t="str">
            <v>155(F)</v>
          </cell>
          <cell r="Q3860" t="str">
            <v>TF</v>
          </cell>
          <cell r="R3860" t="str">
            <v>-</v>
          </cell>
          <cell r="S3860" t="str">
            <v>-</v>
          </cell>
          <cell r="T3860" t="str">
            <v>-</v>
          </cell>
          <cell r="U3860" t="str">
            <v>-</v>
          </cell>
          <cell r="V3860" t="str">
            <v>D</v>
          </cell>
          <cell r="W3860" t="str">
            <v>YES</v>
          </cell>
          <cell r="X3860" t="str">
            <v>-</v>
          </cell>
          <cell r="Y3860" t="str">
            <v>1MB1523-2BB23-4FB4-Z B02+B43+L51+Q02+S03</v>
          </cell>
          <cell r="Z3860" t="str">
            <v>SIEMENS</v>
          </cell>
          <cell r="AB3860" t="str">
            <v>ATEX22</v>
          </cell>
          <cell r="AE3860" t="str">
            <v>4 POLES</v>
          </cell>
          <cell r="AF3860">
            <v>1475</v>
          </cell>
          <cell r="AH3860" t="str">
            <v>-B-X</v>
          </cell>
        </row>
        <row r="3861">
          <cell r="A3861" t="str">
            <v>MR003850</v>
          </cell>
          <cell r="B3861" t="str">
            <v>ME</v>
          </cell>
          <cell r="C3861">
            <v>3</v>
          </cell>
          <cell r="D3861">
            <v>3000</v>
          </cell>
          <cell r="I3861" t="str">
            <v>B5</v>
          </cell>
          <cell r="J3861" t="str">
            <v>IE3</v>
          </cell>
          <cell r="K3861" t="str">
            <v>230/400</v>
          </cell>
          <cell r="L3861">
            <v>50</v>
          </cell>
          <cell r="N3861">
            <v>55</v>
          </cell>
          <cell r="O3861" t="str">
            <v>155(F)</v>
          </cell>
          <cell r="Q3861" t="str">
            <v>TF</v>
          </cell>
          <cell r="R3861" t="str">
            <v>-</v>
          </cell>
          <cell r="S3861" t="str">
            <v>-</v>
          </cell>
          <cell r="T3861" t="str">
            <v>-</v>
          </cell>
          <cell r="U3861" t="str">
            <v>-</v>
          </cell>
          <cell r="V3861" t="str">
            <v>D</v>
          </cell>
          <cell r="W3861" t="str">
            <v>YES</v>
          </cell>
          <cell r="X3861" t="str">
            <v>-</v>
          </cell>
          <cell r="Y3861" t="str">
            <v>1MB1023-1AA42-2FB4-Z B02+B43+Q02+S03</v>
          </cell>
          <cell r="Z3861" t="str">
            <v>SIEMENS</v>
          </cell>
          <cell r="AB3861" t="str">
            <v>ATEX22</v>
          </cell>
          <cell r="AE3861" t="str">
            <v>2 POLES</v>
          </cell>
          <cell r="AF3861">
            <v>3000</v>
          </cell>
          <cell r="AH3861" t="str">
            <v>-B-X</v>
          </cell>
        </row>
        <row r="3862">
          <cell r="A3862" t="str">
            <v>MR003851</v>
          </cell>
          <cell r="B3862" t="str">
            <v>MR</v>
          </cell>
          <cell r="C3862">
            <v>5.5</v>
          </cell>
          <cell r="D3862">
            <v>30</v>
          </cell>
          <cell r="E3862" t="str">
            <v>KA87</v>
          </cell>
          <cell r="F3862">
            <v>1770</v>
          </cell>
          <cell r="G3862">
            <v>49.16</v>
          </cell>
          <cell r="H3862">
            <v>1.35</v>
          </cell>
          <cell r="I3862" t="str">
            <v>From M4A to M3A - 45°</v>
          </cell>
          <cell r="J3862" t="str">
            <v>IE3</v>
          </cell>
          <cell r="K3862" t="str">
            <v>230/400</v>
          </cell>
          <cell r="L3862">
            <v>50</v>
          </cell>
          <cell r="M3862" t="str">
            <v>18,8/10,9</v>
          </cell>
          <cell r="N3862">
            <v>55</v>
          </cell>
          <cell r="O3862" t="str">
            <v>155(F)</v>
          </cell>
          <cell r="P3862" t="str">
            <v>270°</v>
          </cell>
          <cell r="Q3862" t="str">
            <v>-</v>
          </cell>
          <cell r="R3862" t="str">
            <v>-</v>
          </cell>
          <cell r="S3862" t="str">
            <v>-</v>
          </cell>
          <cell r="T3862" t="str">
            <v>-</v>
          </cell>
          <cell r="U3862" t="str">
            <v>T</v>
          </cell>
          <cell r="V3862" t="str">
            <v>D</v>
          </cell>
          <cell r="W3862" t="str">
            <v>YES</v>
          </cell>
          <cell r="X3862" t="str">
            <v>CLP HC VG 220 = -20° + 60°</v>
          </cell>
          <cell r="Y3862" t="str">
            <v>KA87/T EDRN132S4</v>
          </cell>
          <cell r="Z3862" t="str">
            <v>SEW</v>
          </cell>
          <cell r="AA3862">
            <v>7035</v>
          </cell>
          <cell r="AB3862" t="str">
            <v>ATEX22</v>
          </cell>
          <cell r="AF3862">
            <v>30</v>
          </cell>
          <cell r="AG3862" t="str">
            <v>EDRN132S4</v>
          </cell>
          <cell r="AH3862" t="str">
            <v>KA87T-EDRN132S4A270-X</v>
          </cell>
        </row>
        <row r="3863">
          <cell r="A3863" t="str">
            <v>MR003852</v>
          </cell>
          <cell r="B3863" t="str">
            <v>MR</v>
          </cell>
          <cell r="C3863">
            <v>5.5</v>
          </cell>
          <cell r="D3863">
            <v>30</v>
          </cell>
          <cell r="E3863" t="str">
            <v>KA87</v>
          </cell>
          <cell r="F3863">
            <v>1770</v>
          </cell>
          <cell r="G3863">
            <v>49.16</v>
          </cell>
          <cell r="H3863">
            <v>1.35</v>
          </cell>
          <cell r="I3863" t="str">
            <v>From M4B to M3B - 45°</v>
          </cell>
          <cell r="J3863" t="str">
            <v>IE3</v>
          </cell>
          <cell r="K3863" t="str">
            <v>230/400</v>
          </cell>
          <cell r="L3863">
            <v>50</v>
          </cell>
          <cell r="M3863" t="str">
            <v>18,8/10,9</v>
          </cell>
          <cell r="N3863">
            <v>55</v>
          </cell>
          <cell r="O3863" t="str">
            <v>155(F)</v>
          </cell>
          <cell r="P3863" t="str">
            <v>270°</v>
          </cell>
          <cell r="Q3863" t="str">
            <v>-</v>
          </cell>
          <cell r="R3863" t="str">
            <v>-</v>
          </cell>
          <cell r="S3863" t="str">
            <v>-</v>
          </cell>
          <cell r="T3863" t="str">
            <v>-</v>
          </cell>
          <cell r="U3863" t="str">
            <v>T</v>
          </cell>
          <cell r="V3863" t="str">
            <v>D</v>
          </cell>
          <cell r="W3863" t="str">
            <v>YES</v>
          </cell>
          <cell r="X3863" t="str">
            <v>CLP HC VG 220 = -20° + 60°</v>
          </cell>
          <cell r="Y3863" t="str">
            <v>KA87/T EDRN132S4</v>
          </cell>
          <cell r="Z3863" t="str">
            <v>SEW</v>
          </cell>
          <cell r="AA3863">
            <v>7035</v>
          </cell>
          <cell r="AB3863" t="str">
            <v>ATEX22</v>
          </cell>
          <cell r="AF3863">
            <v>30</v>
          </cell>
          <cell r="AG3863" t="str">
            <v>EDRN132S4</v>
          </cell>
          <cell r="AH3863" t="str">
            <v>KA87T-EDRN132S4B270-X</v>
          </cell>
        </row>
        <row r="3864">
          <cell r="A3864" t="str">
            <v>MR003853</v>
          </cell>
          <cell r="B3864" t="str">
            <v>MR</v>
          </cell>
          <cell r="C3864">
            <v>22</v>
          </cell>
          <cell r="D3864">
            <v>15</v>
          </cell>
          <cell r="E3864" t="str">
            <v>KH157</v>
          </cell>
          <cell r="F3864">
            <v>14300</v>
          </cell>
          <cell r="G3864">
            <v>100.22</v>
          </cell>
          <cell r="H3864">
            <v>1.25</v>
          </cell>
          <cell r="I3864" t="str">
            <v>From M4A to M1A - 45°</v>
          </cell>
          <cell r="J3864" t="str">
            <v>IE3</v>
          </cell>
          <cell r="K3864" t="str">
            <v>400/690</v>
          </cell>
          <cell r="L3864">
            <v>50</v>
          </cell>
          <cell r="M3864" t="str">
            <v>40,5/23,5</v>
          </cell>
          <cell r="N3864">
            <v>55</v>
          </cell>
          <cell r="O3864" t="str">
            <v>155(F)</v>
          </cell>
          <cell r="P3864" t="str">
            <v>270°</v>
          </cell>
          <cell r="Q3864" t="str">
            <v>TF</v>
          </cell>
          <cell r="R3864" t="str">
            <v>-</v>
          </cell>
          <cell r="S3864" t="str">
            <v>-</v>
          </cell>
          <cell r="T3864" t="str">
            <v>-</v>
          </cell>
          <cell r="U3864" t="str">
            <v>-</v>
          </cell>
          <cell r="V3864" t="str">
            <v>FC</v>
          </cell>
          <cell r="W3864" t="str">
            <v>YES</v>
          </cell>
          <cell r="X3864" t="str">
            <v>CLP HC VG 220 = -20° + 60°</v>
          </cell>
          <cell r="Y3864" t="str">
            <v>KH157EDRN180L4 /TF</v>
          </cell>
          <cell r="Z3864" t="str">
            <v>SEW</v>
          </cell>
          <cell r="AA3864">
            <v>7035</v>
          </cell>
          <cell r="AB3864" t="str">
            <v>ATEX22</v>
          </cell>
          <cell r="AF3864">
            <v>15</v>
          </cell>
          <cell r="AG3864" t="str">
            <v>EDRN180L4</v>
          </cell>
          <cell r="AH3864" t="str">
            <v>KH157-EDRN180L4A270-X</v>
          </cell>
        </row>
        <row r="3865">
          <cell r="A3865" t="str">
            <v>MR003854</v>
          </cell>
          <cell r="B3865" t="str">
            <v>MR</v>
          </cell>
          <cell r="C3865">
            <v>0.75</v>
          </cell>
          <cell r="D3865">
            <v>162</v>
          </cell>
          <cell r="E3865" t="str">
            <v>KA37</v>
          </cell>
          <cell r="F3865">
            <v>44</v>
          </cell>
          <cell r="G3865">
            <v>8.91</v>
          </cell>
          <cell r="H3865">
            <v>3.6</v>
          </cell>
          <cell r="I3865" t="str">
            <v>From M1B to M2B - 5°</v>
          </cell>
          <cell r="J3865" t="str">
            <v>IE3</v>
          </cell>
          <cell r="K3865" t="str">
            <v>230/400</v>
          </cell>
          <cell r="L3865">
            <v>50</v>
          </cell>
          <cell r="M3865" t="str">
            <v>3,05/1,75</v>
          </cell>
          <cell r="N3865">
            <v>65</v>
          </cell>
          <cell r="O3865" t="str">
            <v>155(F)</v>
          </cell>
          <cell r="P3865" t="str">
            <v>0°</v>
          </cell>
          <cell r="Q3865" t="str">
            <v>-</v>
          </cell>
          <cell r="R3865" t="str">
            <v>-</v>
          </cell>
          <cell r="S3865" t="str">
            <v>-</v>
          </cell>
          <cell r="T3865" t="str">
            <v>-</v>
          </cell>
          <cell r="U3865" t="str">
            <v>T</v>
          </cell>
          <cell r="V3865" t="str">
            <v>D</v>
          </cell>
          <cell r="W3865" t="str">
            <v>-</v>
          </cell>
          <cell r="X3865" t="str">
            <v>CLP HC 220 (-25/+60°C)</v>
          </cell>
          <cell r="Y3865" t="str">
            <v>KA37/T DRN80M4</v>
          </cell>
          <cell r="Z3865" t="str">
            <v>SEW</v>
          </cell>
          <cell r="AB3865" t="str">
            <v>-</v>
          </cell>
          <cell r="AF3865">
            <v>162</v>
          </cell>
          <cell r="AG3865" t="str">
            <v>DRN80M4</v>
          </cell>
          <cell r="AH3865" t="str">
            <v>KA37T-DRN80M4B0-X</v>
          </cell>
        </row>
        <row r="3866">
          <cell r="A3866" t="str">
            <v>MR003855</v>
          </cell>
          <cell r="B3866" t="str">
            <v>MR</v>
          </cell>
          <cell r="C3866">
            <v>0.75</v>
          </cell>
          <cell r="D3866">
            <v>162</v>
          </cell>
          <cell r="E3866" t="str">
            <v>KA37</v>
          </cell>
          <cell r="F3866">
            <v>44</v>
          </cell>
          <cell r="G3866">
            <v>8.91</v>
          </cell>
          <cell r="H3866">
            <v>3.6</v>
          </cell>
          <cell r="I3866" t="str">
            <v>From M1A to M2A - 10°</v>
          </cell>
          <cell r="J3866" t="str">
            <v>IE3</v>
          </cell>
          <cell r="K3866" t="str">
            <v>230/400</v>
          </cell>
          <cell r="L3866">
            <v>50</v>
          </cell>
          <cell r="M3866" t="str">
            <v>3,05/1,75</v>
          </cell>
          <cell r="N3866">
            <v>65</v>
          </cell>
          <cell r="O3866" t="str">
            <v>155(F)</v>
          </cell>
          <cell r="P3866" t="str">
            <v>180°</v>
          </cell>
          <cell r="Q3866" t="str">
            <v>-</v>
          </cell>
          <cell r="R3866" t="str">
            <v>-</v>
          </cell>
          <cell r="S3866" t="str">
            <v>-</v>
          </cell>
          <cell r="T3866" t="str">
            <v>-</v>
          </cell>
          <cell r="U3866" t="str">
            <v>T</v>
          </cell>
          <cell r="V3866" t="str">
            <v>D</v>
          </cell>
          <cell r="W3866" t="str">
            <v>-</v>
          </cell>
          <cell r="X3866" t="str">
            <v>CLP HC 220 (-25/+60°C)</v>
          </cell>
          <cell r="Y3866" t="str">
            <v>KA37/T DRN80M4</v>
          </cell>
          <cell r="Z3866" t="str">
            <v>SEW</v>
          </cell>
          <cell r="AB3866" t="str">
            <v>-</v>
          </cell>
          <cell r="AF3866">
            <v>162</v>
          </cell>
          <cell r="AG3866" t="str">
            <v>DRN80M4</v>
          </cell>
          <cell r="AH3866" t="str">
            <v>KA37T-DRN80M4A180-X</v>
          </cell>
        </row>
        <row r="3867">
          <cell r="A3867" t="str">
            <v>MR003856</v>
          </cell>
          <cell r="B3867" t="str">
            <v>MR</v>
          </cell>
          <cell r="C3867">
            <v>0.75</v>
          </cell>
          <cell r="D3867">
            <v>162</v>
          </cell>
          <cell r="E3867" t="str">
            <v>KA37</v>
          </cell>
          <cell r="F3867">
            <v>44</v>
          </cell>
          <cell r="G3867">
            <v>8.91</v>
          </cell>
          <cell r="H3867">
            <v>3.6</v>
          </cell>
          <cell r="I3867" t="str">
            <v>From M1A to M2A - 5°</v>
          </cell>
          <cell r="J3867" t="str">
            <v>IE3</v>
          </cell>
          <cell r="K3867" t="str">
            <v>230/400</v>
          </cell>
          <cell r="L3867">
            <v>50</v>
          </cell>
          <cell r="M3867" t="str">
            <v>3,05/1,75</v>
          </cell>
          <cell r="N3867">
            <v>65</v>
          </cell>
          <cell r="O3867" t="str">
            <v>155(F)</v>
          </cell>
          <cell r="P3867" t="str">
            <v>180°</v>
          </cell>
          <cell r="Q3867" t="str">
            <v>-</v>
          </cell>
          <cell r="R3867" t="str">
            <v>-</v>
          </cell>
          <cell r="S3867" t="str">
            <v>-</v>
          </cell>
          <cell r="T3867" t="str">
            <v>-</v>
          </cell>
          <cell r="U3867" t="str">
            <v>T</v>
          </cell>
          <cell r="V3867" t="str">
            <v>D</v>
          </cell>
          <cell r="W3867" t="str">
            <v>-</v>
          </cell>
          <cell r="X3867" t="str">
            <v>CLP HC 220 (-25/+60°C)</v>
          </cell>
          <cell r="Y3867" t="str">
            <v>KA37/T DRN80M4</v>
          </cell>
          <cell r="Z3867" t="str">
            <v>SEW</v>
          </cell>
          <cell r="AB3867" t="str">
            <v>-</v>
          </cell>
          <cell r="AF3867">
            <v>162</v>
          </cell>
          <cell r="AG3867" t="str">
            <v>DRN80M4</v>
          </cell>
          <cell r="AH3867" t="str">
            <v>KA37T-DRN80M4A180-X</v>
          </cell>
        </row>
        <row r="3868">
          <cell r="A3868" t="str">
            <v>MR003857</v>
          </cell>
          <cell r="B3868" t="str">
            <v>MR</v>
          </cell>
          <cell r="C3868">
            <v>30</v>
          </cell>
          <cell r="D3868">
            <v>15</v>
          </cell>
          <cell r="E3868" t="str">
            <v>KH157</v>
          </cell>
          <cell r="F3868">
            <v>19400</v>
          </cell>
          <cell r="G3868">
            <v>100.22</v>
          </cell>
          <cell r="H3868">
            <v>1.05</v>
          </cell>
          <cell r="I3868" t="str">
            <v>From M1A to M2A - 15°</v>
          </cell>
          <cell r="J3868" t="str">
            <v>IE3</v>
          </cell>
          <cell r="K3868" t="str">
            <v>400/690</v>
          </cell>
          <cell r="L3868">
            <v>50</v>
          </cell>
          <cell r="M3868" t="str">
            <v>56/32,5</v>
          </cell>
          <cell r="N3868">
            <v>55</v>
          </cell>
          <cell r="O3868" t="str">
            <v>155(F)</v>
          </cell>
          <cell r="P3868" t="str">
            <v>180°</v>
          </cell>
          <cell r="Q3868" t="str">
            <v>TF</v>
          </cell>
          <cell r="R3868" t="str">
            <v>V(VE)</v>
          </cell>
          <cell r="S3868" t="str">
            <v>-</v>
          </cell>
          <cell r="T3868" t="str">
            <v>-</v>
          </cell>
          <cell r="U3868" t="str">
            <v>-</v>
          </cell>
          <cell r="V3868" t="str">
            <v>FC</v>
          </cell>
          <cell r="W3868" t="str">
            <v>-</v>
          </cell>
          <cell r="X3868" t="str">
            <v>CLP 220 (-15/+40°C)</v>
          </cell>
          <cell r="Y3868" t="str">
            <v>KH157DRN200L4 /TF/V</v>
          </cell>
          <cell r="Z3868" t="str">
            <v>SEW</v>
          </cell>
          <cell r="AB3868" t="str">
            <v>-</v>
          </cell>
          <cell r="AF3868">
            <v>15</v>
          </cell>
          <cell r="AG3868" t="str">
            <v>DRN200L4</v>
          </cell>
          <cell r="AH3868" t="str">
            <v>KH157-DRN200L4A180-X#</v>
          </cell>
        </row>
        <row r="3869">
          <cell r="A3869" t="str">
            <v>MR003858</v>
          </cell>
          <cell r="B3869" t="str">
            <v>MR</v>
          </cell>
          <cell r="C3869">
            <v>30</v>
          </cell>
          <cell r="D3869">
            <v>15</v>
          </cell>
          <cell r="E3869" t="str">
            <v>KH157</v>
          </cell>
          <cell r="F3869">
            <v>19400</v>
          </cell>
          <cell r="G3869">
            <v>100.22</v>
          </cell>
          <cell r="H3869">
            <v>1.05</v>
          </cell>
          <cell r="I3869" t="str">
            <v>From M1B to M2B - 15°</v>
          </cell>
          <cell r="J3869" t="str">
            <v>IE3</v>
          </cell>
          <cell r="K3869" t="str">
            <v>400/690</v>
          </cell>
          <cell r="L3869">
            <v>50</v>
          </cell>
          <cell r="M3869" t="str">
            <v>56/32,5</v>
          </cell>
          <cell r="N3869">
            <v>55</v>
          </cell>
          <cell r="O3869" t="str">
            <v>155(F)</v>
          </cell>
          <cell r="P3869" t="str">
            <v>0°</v>
          </cell>
          <cell r="Q3869" t="str">
            <v>TF</v>
          </cell>
          <cell r="R3869" t="str">
            <v>V(VE)</v>
          </cell>
          <cell r="S3869" t="str">
            <v>-</v>
          </cell>
          <cell r="T3869" t="str">
            <v>-</v>
          </cell>
          <cell r="U3869" t="str">
            <v>-</v>
          </cell>
          <cell r="V3869" t="str">
            <v>FC</v>
          </cell>
          <cell r="W3869" t="str">
            <v>-</v>
          </cell>
          <cell r="X3869" t="str">
            <v>CLP 220 (-15/+40°C)</v>
          </cell>
          <cell r="Y3869" t="str">
            <v>KH157DRN200L4 /TF/V</v>
          </cell>
          <cell r="Z3869" t="str">
            <v>SEW</v>
          </cell>
          <cell r="AB3869" t="str">
            <v>-</v>
          </cell>
          <cell r="AF3869">
            <v>15</v>
          </cell>
          <cell r="AG3869" t="str">
            <v>DRN200L4</v>
          </cell>
          <cell r="AH3869" t="str">
            <v>KH157-DRN200L4B0-X#</v>
          </cell>
        </row>
        <row r="3870">
          <cell r="A3870" t="str">
            <v>MR003859</v>
          </cell>
          <cell r="B3870" t="str">
            <v>MR</v>
          </cell>
          <cell r="C3870">
            <v>0.25</v>
          </cell>
          <cell r="D3870">
            <v>1.7</v>
          </cell>
          <cell r="E3870" t="str">
            <v>KH77R37</v>
          </cell>
          <cell r="F3870">
            <v>1230</v>
          </cell>
          <cell r="G3870">
            <v>815</v>
          </cell>
          <cell r="H3870">
            <v>1.25</v>
          </cell>
          <cell r="I3870" t="str">
            <v>M3B</v>
          </cell>
          <cell r="J3870" t="str">
            <v>IE3</v>
          </cell>
          <cell r="K3870" t="str">
            <v>230/400</v>
          </cell>
          <cell r="L3870">
            <v>50</v>
          </cell>
          <cell r="M3870" t="str">
            <v>1,26/0,72</v>
          </cell>
          <cell r="N3870">
            <v>55</v>
          </cell>
          <cell r="O3870" t="str">
            <v>155(F)</v>
          </cell>
          <cell r="P3870" t="str">
            <v>0°</v>
          </cell>
          <cell r="Q3870" t="str">
            <v>TF</v>
          </cell>
          <cell r="R3870" t="str">
            <v>V(VE)</v>
          </cell>
          <cell r="S3870" t="str">
            <v>-</v>
          </cell>
          <cell r="T3870" t="str">
            <v>BEHF</v>
          </cell>
          <cell r="U3870" t="str">
            <v>T</v>
          </cell>
          <cell r="V3870" t="str">
            <v>FC+R</v>
          </cell>
          <cell r="X3870" t="str">
            <v>CLP 220 (-15/+40°C)</v>
          </cell>
          <cell r="Y3870" t="str">
            <v>KH77R37/T DRN71MS4 /BEHF /TF/V</v>
          </cell>
          <cell r="Z3870" t="str">
            <v>SEW</v>
          </cell>
          <cell r="AB3870" t="str">
            <v>-</v>
          </cell>
          <cell r="AF3870">
            <v>1.7</v>
          </cell>
          <cell r="AG3870" t="str">
            <v>DRN71MS4</v>
          </cell>
          <cell r="AH3870" t="str">
            <v>KH77R37T-DRN71MS4B0-X#</v>
          </cell>
        </row>
        <row r="3871">
          <cell r="A3871" t="str">
            <v>MR003860</v>
          </cell>
          <cell r="B3871" t="str">
            <v>MR</v>
          </cell>
          <cell r="C3871">
            <v>18.5</v>
          </cell>
          <cell r="D3871">
            <v>15</v>
          </cell>
          <cell r="E3871" t="str">
            <v>FH127</v>
          </cell>
          <cell r="F3871">
            <v>11800</v>
          </cell>
          <cell r="G3871">
            <v>98.95</v>
          </cell>
          <cell r="H3871">
            <v>1</v>
          </cell>
          <cell r="I3871" t="str">
            <v>From M1 to M2 - 15°</v>
          </cell>
          <cell r="J3871" t="str">
            <v>IE3</v>
          </cell>
          <cell r="K3871" t="str">
            <v>400/690</v>
          </cell>
          <cell r="L3871">
            <v>50</v>
          </cell>
          <cell r="M3871" t="str">
            <v>33,5/19,3</v>
          </cell>
          <cell r="N3871">
            <v>55</v>
          </cell>
          <cell r="O3871" t="str">
            <v>155(F)</v>
          </cell>
          <cell r="P3871" t="str">
            <v>270°</v>
          </cell>
          <cell r="Q3871" t="str">
            <v>TF</v>
          </cell>
          <cell r="R3871" t="str">
            <v>V(VE)</v>
          </cell>
          <cell r="S3871" t="str">
            <v>-</v>
          </cell>
          <cell r="U3871" t="str">
            <v>G</v>
          </cell>
          <cell r="V3871" t="str">
            <v>FC</v>
          </cell>
          <cell r="X3871" t="str">
            <v>CLP 220 (-15/+40°C)</v>
          </cell>
          <cell r="Y3871" t="str">
            <v>FH127/G DRN180M4 / /TF/V</v>
          </cell>
          <cell r="Z3871" t="str">
            <v>SEW</v>
          </cell>
          <cell r="AB3871" t="str">
            <v>-</v>
          </cell>
          <cell r="AF3871">
            <v>15</v>
          </cell>
          <cell r="AG3871" t="str">
            <v>DRN180M4</v>
          </cell>
          <cell r="AH3871" t="str">
            <v>FH127G-DRN180M4270-X#</v>
          </cell>
        </row>
        <row r="3872">
          <cell r="A3872" t="str">
            <v>MR003861</v>
          </cell>
          <cell r="B3872" t="str">
            <v>MR</v>
          </cell>
          <cell r="C3872">
            <v>15</v>
          </cell>
          <cell r="D3872">
            <v>66</v>
          </cell>
          <cell r="E3872" t="str">
            <v>R97</v>
          </cell>
          <cell r="F3872">
            <v>2170</v>
          </cell>
          <cell r="G3872">
            <v>22.37</v>
          </cell>
          <cell r="H3872">
            <v>1.25</v>
          </cell>
          <cell r="I3872" t="str">
            <v>M1</v>
          </cell>
          <cell r="J3872" t="str">
            <v>IE3</v>
          </cell>
          <cell r="K3872" t="str">
            <v>400/690</v>
          </cell>
          <cell r="L3872">
            <v>50</v>
          </cell>
          <cell r="M3872" t="str">
            <v>29/16,7</v>
          </cell>
          <cell r="N3872">
            <v>55</v>
          </cell>
          <cell r="O3872" t="str">
            <v>155(F)</v>
          </cell>
          <cell r="P3872" t="str">
            <v>270°</v>
          </cell>
          <cell r="Q3872" t="str">
            <v>-</v>
          </cell>
          <cell r="R3872" t="str">
            <v>-</v>
          </cell>
          <cell r="S3872" t="str">
            <v>-</v>
          </cell>
          <cell r="T3872" t="str">
            <v>-</v>
          </cell>
          <cell r="U3872" t="str">
            <v>-</v>
          </cell>
          <cell r="V3872" t="str">
            <v>D</v>
          </cell>
          <cell r="X3872" t="str">
            <v>CLP 220 (-15/+40°C)</v>
          </cell>
          <cell r="Y3872" t="str">
            <v>R97DRN160L4</v>
          </cell>
          <cell r="Z3872" t="str">
            <v>SEW</v>
          </cell>
          <cell r="AB3872" t="str">
            <v>-</v>
          </cell>
          <cell r="AF3872">
            <v>66</v>
          </cell>
          <cell r="AG3872" t="str">
            <v>DRN160L4</v>
          </cell>
          <cell r="AH3872" t="str">
            <v>R97-DRN160L4270-X</v>
          </cell>
        </row>
        <row r="3873">
          <cell r="A3873" t="str">
            <v>MR003862</v>
          </cell>
          <cell r="B3873" t="str">
            <v>MR</v>
          </cell>
          <cell r="C3873">
            <v>37</v>
          </cell>
          <cell r="D3873">
            <v>81</v>
          </cell>
          <cell r="E3873" t="str">
            <v>R107</v>
          </cell>
          <cell r="F3873">
            <v>4340</v>
          </cell>
          <cell r="G3873">
            <v>18.21</v>
          </cell>
          <cell r="H3873">
            <v>1</v>
          </cell>
          <cell r="I3873" t="str">
            <v>M4</v>
          </cell>
          <cell r="J3873" t="str">
            <v>IE3</v>
          </cell>
          <cell r="K3873" t="str">
            <v>400/690</v>
          </cell>
          <cell r="L3873">
            <v>50</v>
          </cell>
          <cell r="M3873" t="str">
            <v>64/37</v>
          </cell>
          <cell r="N3873">
            <v>55</v>
          </cell>
          <cell r="O3873" t="str">
            <v>155(F)</v>
          </cell>
          <cell r="P3873" t="str">
            <v>270°</v>
          </cell>
          <cell r="Q3873" t="str">
            <v>-</v>
          </cell>
          <cell r="R3873" t="str">
            <v>-</v>
          </cell>
          <cell r="S3873" t="str">
            <v>-</v>
          </cell>
          <cell r="T3873" t="str">
            <v>-</v>
          </cell>
          <cell r="U3873" t="str">
            <v>-</v>
          </cell>
          <cell r="V3873" t="str">
            <v>D</v>
          </cell>
          <cell r="X3873" t="str">
            <v>CLP 220 (-15/+40°C)</v>
          </cell>
          <cell r="Y3873" t="str">
            <v>R107DRN225S4</v>
          </cell>
          <cell r="Z3873" t="str">
            <v>SEW</v>
          </cell>
          <cell r="AB3873" t="str">
            <v>-</v>
          </cell>
          <cell r="AF3873">
            <v>81</v>
          </cell>
          <cell r="AG3873" t="str">
            <v>DRN225S4</v>
          </cell>
          <cell r="AH3873" t="str">
            <v>R107-DRN225S4270-X</v>
          </cell>
        </row>
        <row r="3874">
          <cell r="A3874" t="str">
            <v>MR003863</v>
          </cell>
          <cell r="B3874" t="str">
            <v>MR</v>
          </cell>
          <cell r="C3874">
            <v>22</v>
          </cell>
          <cell r="D3874">
            <v>12</v>
          </cell>
          <cell r="E3874" t="str">
            <v>KH157</v>
          </cell>
          <cell r="F3874">
            <v>17400</v>
          </cell>
          <cell r="G3874">
            <v>122.39</v>
          </cell>
          <cell r="H3874">
            <v>1.1499999999999999</v>
          </cell>
          <cell r="I3874" t="str">
            <v>From M1A to M2A - 10°</v>
          </cell>
          <cell r="J3874" t="str">
            <v>IE3</v>
          </cell>
          <cell r="K3874" t="str">
            <v>400/690</v>
          </cell>
          <cell r="L3874">
            <v>50</v>
          </cell>
          <cell r="M3874" t="str">
            <v>38,5/22,5</v>
          </cell>
          <cell r="N3874">
            <v>55</v>
          </cell>
          <cell r="O3874" t="str">
            <v>155(F)</v>
          </cell>
          <cell r="P3874" t="str">
            <v>180°</v>
          </cell>
          <cell r="Q3874" t="str">
            <v>TF</v>
          </cell>
          <cell r="R3874" t="str">
            <v>V(VE)</v>
          </cell>
          <cell r="S3874" t="str">
            <v>-</v>
          </cell>
          <cell r="T3874" t="str">
            <v>-</v>
          </cell>
          <cell r="U3874" t="str">
            <v>-</v>
          </cell>
          <cell r="V3874" t="str">
            <v>FC</v>
          </cell>
          <cell r="X3874" t="str">
            <v>CLP 220 (-15/+40°C)</v>
          </cell>
          <cell r="Y3874" t="str">
            <v>KH157DRN180L4 /TF/V</v>
          </cell>
          <cell r="Z3874" t="str">
            <v>SEW</v>
          </cell>
          <cell r="AB3874" t="str">
            <v>-</v>
          </cell>
          <cell r="AF3874">
            <v>12</v>
          </cell>
          <cell r="AG3874" t="str">
            <v>DRN180L4</v>
          </cell>
          <cell r="AH3874" t="str">
            <v>KH157-DRN180L4A180-X#</v>
          </cell>
        </row>
        <row r="3875">
          <cell r="A3875" t="str">
            <v>MR003864</v>
          </cell>
          <cell r="B3875" t="str">
            <v>MR</v>
          </cell>
          <cell r="C3875">
            <v>22</v>
          </cell>
          <cell r="D3875">
            <v>12</v>
          </cell>
          <cell r="E3875" t="str">
            <v>KH157</v>
          </cell>
          <cell r="F3875">
            <v>17400</v>
          </cell>
          <cell r="G3875">
            <v>122.39</v>
          </cell>
          <cell r="H3875">
            <v>1.1499999999999999</v>
          </cell>
          <cell r="I3875" t="str">
            <v>From M1B to M2B - 10°</v>
          </cell>
          <cell r="J3875" t="str">
            <v>IE3</v>
          </cell>
          <cell r="K3875" t="str">
            <v>400/690</v>
          </cell>
          <cell r="L3875">
            <v>50</v>
          </cell>
          <cell r="M3875" t="str">
            <v>38,5/22,5</v>
          </cell>
          <cell r="N3875">
            <v>55</v>
          </cell>
          <cell r="O3875" t="str">
            <v>155(F)</v>
          </cell>
          <cell r="P3875" t="str">
            <v>0°</v>
          </cell>
          <cell r="Q3875" t="str">
            <v>TF</v>
          </cell>
          <cell r="R3875" t="str">
            <v>V(VE)</v>
          </cell>
          <cell r="S3875" t="str">
            <v>-</v>
          </cell>
          <cell r="T3875" t="str">
            <v>-</v>
          </cell>
          <cell r="U3875" t="str">
            <v>-</v>
          </cell>
          <cell r="V3875" t="str">
            <v>FC</v>
          </cell>
          <cell r="X3875" t="str">
            <v>CLP 220 (-15/+40°C)</v>
          </cell>
          <cell r="Y3875" t="str">
            <v>KH157DRN180L4 /TF/V</v>
          </cell>
          <cell r="Z3875" t="str">
            <v>SEW</v>
          </cell>
          <cell r="AB3875" t="str">
            <v>-</v>
          </cell>
          <cell r="AF3875">
            <v>12</v>
          </cell>
          <cell r="AG3875" t="str">
            <v>DRN180L4</v>
          </cell>
          <cell r="AH3875" t="str">
            <v>KH157-DRN180L4B0-X#</v>
          </cell>
        </row>
        <row r="3876">
          <cell r="A3876" t="str">
            <v>MR003865</v>
          </cell>
          <cell r="B3876" t="str">
            <v>MR</v>
          </cell>
          <cell r="C3876">
            <v>30</v>
          </cell>
          <cell r="D3876">
            <v>15</v>
          </cell>
          <cell r="E3876" t="str">
            <v>KH157</v>
          </cell>
          <cell r="F3876">
            <v>19400</v>
          </cell>
          <cell r="G3876">
            <v>100.22</v>
          </cell>
          <cell r="H3876">
            <v>1.05</v>
          </cell>
          <cell r="I3876" t="str">
            <v>M1B</v>
          </cell>
          <cell r="J3876" t="str">
            <v>IE3</v>
          </cell>
          <cell r="K3876" t="str">
            <v>400/690</v>
          </cell>
          <cell r="L3876">
            <v>50</v>
          </cell>
          <cell r="M3876" t="str">
            <v>56/32,5</v>
          </cell>
          <cell r="N3876">
            <v>55</v>
          </cell>
          <cell r="O3876" t="str">
            <v>155(F)</v>
          </cell>
          <cell r="P3876" t="str">
            <v>0°</v>
          </cell>
          <cell r="Q3876" t="str">
            <v>TF</v>
          </cell>
          <cell r="R3876" t="str">
            <v>V(VE)</v>
          </cell>
          <cell r="S3876" t="str">
            <v>-</v>
          </cell>
          <cell r="T3876" t="str">
            <v>-</v>
          </cell>
          <cell r="U3876" t="str">
            <v>-</v>
          </cell>
          <cell r="V3876" t="str">
            <v>FC</v>
          </cell>
          <cell r="W3876" t="str">
            <v>-</v>
          </cell>
          <cell r="X3876" t="str">
            <v>CLP 220 (-15/+40°C)</v>
          </cell>
          <cell r="Y3876" t="str">
            <v>KH157DRN200L4 /TF/V</v>
          </cell>
          <cell r="Z3876" t="str">
            <v>SEW</v>
          </cell>
          <cell r="AB3876" t="str">
            <v>-</v>
          </cell>
          <cell r="AF3876">
            <v>15</v>
          </cell>
          <cell r="AG3876" t="str">
            <v>DRN200L4</v>
          </cell>
          <cell r="AH3876" t="str">
            <v>KH157-DRN200L4B0-X#</v>
          </cell>
        </row>
        <row r="3877">
          <cell r="A3877" t="str">
            <v>MR003866</v>
          </cell>
          <cell r="B3877" t="str">
            <v>MR</v>
          </cell>
          <cell r="C3877">
            <v>15</v>
          </cell>
          <cell r="D3877">
            <v>16</v>
          </cell>
          <cell r="E3877" t="str">
            <v>KH127</v>
          </cell>
          <cell r="F3877">
            <v>8730</v>
          </cell>
          <cell r="G3877">
            <v>59.89</v>
          </cell>
          <cell r="H3877">
            <v>1.5</v>
          </cell>
          <cell r="I3877" t="str">
            <v>M1B</v>
          </cell>
          <cell r="J3877" t="str">
            <v>IE3</v>
          </cell>
          <cell r="K3877" t="str">
            <v>400/690</v>
          </cell>
          <cell r="L3877">
            <v>50</v>
          </cell>
          <cell r="M3877" t="str">
            <v>29/16,7</v>
          </cell>
          <cell r="N3877">
            <v>55</v>
          </cell>
          <cell r="O3877" t="str">
            <v>155(F)</v>
          </cell>
          <cell r="P3877" t="str">
            <v>0°</v>
          </cell>
          <cell r="Q3877" t="str">
            <v>-</v>
          </cell>
          <cell r="R3877" t="str">
            <v>-</v>
          </cell>
          <cell r="S3877" t="str">
            <v>-</v>
          </cell>
          <cell r="T3877" t="str">
            <v>-</v>
          </cell>
          <cell r="U3877" t="str">
            <v>-</v>
          </cell>
          <cell r="V3877" t="str">
            <v>SS</v>
          </cell>
          <cell r="W3877" t="str">
            <v>-</v>
          </cell>
          <cell r="X3877" t="str">
            <v>CLP 220 (-15/+40°C)</v>
          </cell>
          <cell r="Y3877" t="str">
            <v>KH127DRN160L4</v>
          </cell>
          <cell r="Z3877" t="str">
            <v>SEW</v>
          </cell>
          <cell r="AB3877" t="str">
            <v>-</v>
          </cell>
          <cell r="AF3877">
            <v>16</v>
          </cell>
          <cell r="AG3877" t="str">
            <v>DRN160L4</v>
          </cell>
          <cell r="AH3877" t="str">
            <v>KH127-DRN160L4B0-X</v>
          </cell>
        </row>
        <row r="3878">
          <cell r="A3878" t="str">
            <v>MR003867</v>
          </cell>
          <cell r="B3878" t="str">
            <v>MR</v>
          </cell>
          <cell r="C3878">
            <v>18.5</v>
          </cell>
          <cell r="D3878">
            <v>76</v>
          </cell>
          <cell r="E3878" t="str">
            <v>KH87</v>
          </cell>
          <cell r="F3878">
            <v>2320</v>
          </cell>
          <cell r="G3878">
            <v>19.45</v>
          </cell>
          <cell r="H3878">
            <v>1</v>
          </cell>
          <cell r="I3878" t="str">
            <v>From M3B to M4B - 10°</v>
          </cell>
          <cell r="J3878" t="str">
            <v>IE3</v>
          </cell>
          <cell r="K3878" t="str">
            <v>400/690</v>
          </cell>
          <cell r="L3878">
            <v>50</v>
          </cell>
          <cell r="M3878" t="str">
            <v>33,5/19,3</v>
          </cell>
          <cell r="N3878">
            <v>55</v>
          </cell>
          <cell r="O3878" t="str">
            <v>155(F)</v>
          </cell>
          <cell r="P3878" t="str">
            <v>0°</v>
          </cell>
          <cell r="Q3878" t="str">
            <v>TF</v>
          </cell>
          <cell r="R3878" t="str">
            <v>V(VE)</v>
          </cell>
          <cell r="S3878" t="str">
            <v>Free rotation CW</v>
          </cell>
          <cell r="T3878" t="str">
            <v>-</v>
          </cell>
          <cell r="U3878" t="str">
            <v>T</v>
          </cell>
          <cell r="V3878" t="str">
            <v>FC</v>
          </cell>
          <cell r="W3878" t="str">
            <v>-</v>
          </cell>
          <cell r="X3878" t="str">
            <v>CLP 220 (-15/+40°C)</v>
          </cell>
          <cell r="Y3878" t="str">
            <v>KH87/T DRN180M4 /RS /TF/V</v>
          </cell>
          <cell r="Z3878" t="str">
            <v>SEW</v>
          </cell>
          <cell r="AB3878" t="str">
            <v>-</v>
          </cell>
          <cell r="AF3878">
            <v>76</v>
          </cell>
          <cell r="AG3878" t="str">
            <v>DRN180M4</v>
          </cell>
          <cell r="AH3878" t="str">
            <v>KH87T-DRN180M4B0-X#</v>
          </cell>
        </row>
        <row r="3879">
          <cell r="A3879" t="str">
            <v>MR003868</v>
          </cell>
          <cell r="B3879" t="str">
            <v>MR</v>
          </cell>
          <cell r="C3879">
            <v>0.75</v>
          </cell>
          <cell r="D3879">
            <v>162</v>
          </cell>
          <cell r="E3879" t="str">
            <v>KA37</v>
          </cell>
          <cell r="F3879">
            <v>44</v>
          </cell>
          <cell r="G3879">
            <v>8.91</v>
          </cell>
          <cell r="H3879">
            <v>3.6</v>
          </cell>
          <cell r="I3879" t="str">
            <v>From M3B to M4B - 10°</v>
          </cell>
          <cell r="J3879" t="str">
            <v>IE3</v>
          </cell>
          <cell r="K3879" t="str">
            <v>230/400</v>
          </cell>
          <cell r="L3879">
            <v>50</v>
          </cell>
          <cell r="M3879" t="str">
            <v>3,05/1,75</v>
          </cell>
          <cell r="N3879">
            <v>55</v>
          </cell>
          <cell r="O3879" t="str">
            <v>155(F)</v>
          </cell>
          <cell r="P3879" t="str">
            <v>0°</v>
          </cell>
          <cell r="Q3879" t="str">
            <v>-</v>
          </cell>
          <cell r="R3879" t="str">
            <v>-</v>
          </cell>
          <cell r="S3879" t="str">
            <v>-</v>
          </cell>
          <cell r="T3879" t="str">
            <v>-</v>
          </cell>
          <cell r="U3879" t="str">
            <v>T</v>
          </cell>
          <cell r="V3879" t="str">
            <v>D</v>
          </cell>
          <cell r="W3879" t="str">
            <v>-</v>
          </cell>
          <cell r="X3879" t="str">
            <v>CLP 220 (-15/+40°C)</v>
          </cell>
          <cell r="Y3879" t="str">
            <v>KA37/T DRN80M4</v>
          </cell>
          <cell r="Z3879" t="str">
            <v>SEW</v>
          </cell>
          <cell r="AB3879" t="str">
            <v>-</v>
          </cell>
          <cell r="AF3879">
            <v>162</v>
          </cell>
          <cell r="AG3879" t="str">
            <v>DRN80M4</v>
          </cell>
          <cell r="AH3879" t="str">
            <v>KA37T-DRN80M4B0-X</v>
          </cell>
        </row>
        <row r="3880">
          <cell r="A3880" t="str">
            <v>MR003869</v>
          </cell>
          <cell r="B3880" t="str">
            <v>MR</v>
          </cell>
          <cell r="C3880">
            <v>0.75</v>
          </cell>
          <cell r="D3880">
            <v>18</v>
          </cell>
          <cell r="E3880" t="str">
            <v>FA67</v>
          </cell>
          <cell r="F3880">
            <v>395</v>
          </cell>
          <cell r="G3880">
            <v>79.760000000000005</v>
          </cell>
          <cell r="H3880">
            <v>2</v>
          </cell>
          <cell r="I3880" t="str">
            <v>From M6 to M3 - 45°</v>
          </cell>
          <cell r="J3880" t="str">
            <v>IE3</v>
          </cell>
          <cell r="K3880" t="str">
            <v>230/400</v>
          </cell>
          <cell r="L3880">
            <v>50</v>
          </cell>
          <cell r="M3880" t="str">
            <v>3,05/1,75</v>
          </cell>
          <cell r="N3880">
            <v>55</v>
          </cell>
          <cell r="O3880" t="str">
            <v>155(F)</v>
          </cell>
          <cell r="P3880" t="str">
            <v>270°</v>
          </cell>
          <cell r="Q3880" t="str">
            <v>TF</v>
          </cell>
          <cell r="R3880" t="str">
            <v>-</v>
          </cell>
          <cell r="S3880" t="str">
            <v>-</v>
          </cell>
          <cell r="T3880" t="str">
            <v>BEHF</v>
          </cell>
          <cell r="U3880" t="str">
            <v>G</v>
          </cell>
          <cell r="V3880" t="str">
            <v>D+R</v>
          </cell>
          <cell r="W3880" t="str">
            <v>-</v>
          </cell>
          <cell r="X3880" t="str">
            <v>CLP HC VG 220 = -20° + 60°</v>
          </cell>
          <cell r="Y3880" t="str">
            <v>FA67/G EDRN80M4 /BEHF /TF</v>
          </cell>
          <cell r="Z3880" t="str">
            <v>SEW</v>
          </cell>
          <cell r="AA3880">
            <v>7035</v>
          </cell>
          <cell r="AB3880" t="str">
            <v>ATEX22</v>
          </cell>
          <cell r="AF3880">
            <v>18</v>
          </cell>
          <cell r="AG3880" t="str">
            <v>EDRN80M4</v>
          </cell>
          <cell r="AH3880" t="str">
            <v>FA67G-EDRN80M4270-X</v>
          </cell>
        </row>
        <row r="3881">
          <cell r="A3881" t="str">
            <v>MR003870</v>
          </cell>
          <cell r="B3881" t="str">
            <v>MR</v>
          </cell>
          <cell r="C3881">
            <v>7.5</v>
          </cell>
          <cell r="D3881">
            <v>64</v>
          </cell>
          <cell r="E3881" t="str">
            <v>K77</v>
          </cell>
          <cell r="F3881">
            <v>1130</v>
          </cell>
          <cell r="G3881">
            <v>23.08</v>
          </cell>
          <cell r="H3881">
            <v>1.1499999999999999</v>
          </cell>
          <cell r="I3881" t="str">
            <v>M4B</v>
          </cell>
          <cell r="J3881" t="str">
            <v>IE3</v>
          </cell>
          <cell r="K3881" t="str">
            <v>400/690</v>
          </cell>
          <cell r="L3881">
            <v>50</v>
          </cell>
          <cell r="M3881" t="str">
            <v>15,2/8,8</v>
          </cell>
          <cell r="N3881">
            <v>55</v>
          </cell>
          <cell r="O3881" t="str">
            <v>155(F)</v>
          </cell>
          <cell r="P3881" t="str">
            <v>270°</v>
          </cell>
          <cell r="Q3881" t="str">
            <v>TF</v>
          </cell>
          <cell r="R3881" t="str">
            <v>-</v>
          </cell>
          <cell r="S3881" t="str">
            <v>-</v>
          </cell>
          <cell r="T3881" t="str">
            <v>-</v>
          </cell>
          <cell r="U3881" t="str">
            <v>-</v>
          </cell>
          <cell r="V3881" t="str">
            <v>FC+R</v>
          </cell>
          <cell r="W3881" t="str">
            <v>YES</v>
          </cell>
          <cell r="X3881" t="str">
            <v>CLP HC VG 220 = -20° + 60°</v>
          </cell>
          <cell r="Y3881" t="str">
            <v>K77EDRN132M4 /TF</v>
          </cell>
          <cell r="Z3881" t="str">
            <v>SEW</v>
          </cell>
          <cell r="AA3881">
            <v>7035</v>
          </cell>
          <cell r="AB3881" t="str">
            <v>ATEX22</v>
          </cell>
          <cell r="AF3881">
            <v>64</v>
          </cell>
          <cell r="AG3881" t="str">
            <v>EDRN132M4</v>
          </cell>
          <cell r="AH3881" t="str">
            <v>K77-EDRN132M4B270-X</v>
          </cell>
        </row>
        <row r="3882">
          <cell r="A3882" t="str">
            <v>MR003871</v>
          </cell>
          <cell r="B3882" t="str">
            <v>MR</v>
          </cell>
          <cell r="C3882">
            <v>3</v>
          </cell>
          <cell r="D3882">
            <v>61</v>
          </cell>
          <cell r="E3882" t="str">
            <v>KH67</v>
          </cell>
          <cell r="F3882">
            <v>470</v>
          </cell>
          <cell r="G3882">
            <v>24</v>
          </cell>
          <cell r="H3882">
            <v>1.45</v>
          </cell>
          <cell r="I3882" t="str">
            <v>M4B</v>
          </cell>
          <cell r="J3882" t="str">
            <v>IE3</v>
          </cell>
          <cell r="K3882" t="str">
            <v>230/400</v>
          </cell>
          <cell r="L3882">
            <v>50</v>
          </cell>
          <cell r="M3882" t="str">
            <v>11,2/6,4</v>
          </cell>
          <cell r="N3882">
            <v>55</v>
          </cell>
          <cell r="O3882" t="str">
            <v>155(F)</v>
          </cell>
          <cell r="P3882" t="str">
            <v>270°</v>
          </cell>
          <cell r="Q3882" t="str">
            <v>TF</v>
          </cell>
          <cell r="R3882" t="str">
            <v>-</v>
          </cell>
          <cell r="S3882" t="str">
            <v>-</v>
          </cell>
          <cell r="T3882" t="str">
            <v>-</v>
          </cell>
          <cell r="U3882" t="str">
            <v>T</v>
          </cell>
          <cell r="V3882" t="str">
            <v>FC</v>
          </cell>
          <cell r="W3882" t="str">
            <v>YES</v>
          </cell>
          <cell r="X3882" t="str">
            <v>CLP HC VG 220 = -20° + 60°</v>
          </cell>
          <cell r="Y3882" t="str">
            <v>KH67/T EDRN100L4 /TF</v>
          </cell>
          <cell r="Z3882" t="str">
            <v>SEW</v>
          </cell>
          <cell r="AA3882">
            <v>7035</v>
          </cell>
          <cell r="AB3882" t="str">
            <v>ATEX22</v>
          </cell>
          <cell r="AF3882">
            <v>61</v>
          </cell>
          <cell r="AG3882" t="str">
            <v>EDRN100L4</v>
          </cell>
          <cell r="AH3882" t="str">
            <v>KH67T-EDRN100L4B270-X</v>
          </cell>
        </row>
        <row r="3883">
          <cell r="A3883" t="str">
            <v>MR003872</v>
          </cell>
          <cell r="B3883" t="str">
            <v>MR</v>
          </cell>
          <cell r="C3883">
            <v>0.37</v>
          </cell>
          <cell r="D3883">
            <v>6.1</v>
          </cell>
          <cell r="E3883" t="str">
            <v>FA67</v>
          </cell>
          <cell r="F3883">
            <v>575</v>
          </cell>
          <cell r="G3883">
            <v>228.99</v>
          </cell>
          <cell r="H3883">
            <v>1.4</v>
          </cell>
          <cell r="I3883" t="str">
            <v>M6</v>
          </cell>
          <cell r="J3883" t="str">
            <v>IE3</v>
          </cell>
          <cell r="K3883" t="str">
            <v>230/400</v>
          </cell>
          <cell r="L3883">
            <v>50</v>
          </cell>
          <cell r="M3883" t="str">
            <v>1,98/1,14</v>
          </cell>
          <cell r="N3883">
            <v>55</v>
          </cell>
          <cell r="O3883" t="str">
            <v>155(F)</v>
          </cell>
          <cell r="P3883" t="str">
            <v>270°</v>
          </cell>
          <cell r="Q3883" t="str">
            <v>-</v>
          </cell>
          <cell r="R3883" t="str">
            <v>-</v>
          </cell>
          <cell r="S3883" t="str">
            <v>-</v>
          </cell>
          <cell r="T3883" t="str">
            <v>-</v>
          </cell>
          <cell r="U3883" t="str">
            <v>G</v>
          </cell>
          <cell r="V3883" t="str">
            <v>D</v>
          </cell>
          <cell r="W3883" t="str">
            <v>-</v>
          </cell>
          <cell r="X3883" t="str">
            <v>CLP HC VG 220 = -20° + 60°</v>
          </cell>
          <cell r="Y3883" t="str">
            <v>FA67/G EDRN71M4</v>
          </cell>
          <cell r="Z3883" t="str">
            <v>SEW</v>
          </cell>
          <cell r="AA3883">
            <v>7035</v>
          </cell>
          <cell r="AB3883" t="str">
            <v>ATEX22</v>
          </cell>
          <cell r="AF3883">
            <v>6.1</v>
          </cell>
          <cell r="AG3883" t="str">
            <v>EDRN71M4</v>
          </cell>
          <cell r="AH3883" t="str">
            <v>FA67G-EDRN71M4270-X</v>
          </cell>
        </row>
        <row r="3884">
          <cell r="A3884" t="str">
            <v>MR003873</v>
          </cell>
          <cell r="B3884" t="str">
            <v>MR</v>
          </cell>
          <cell r="C3884">
            <v>2.2000000000000002</v>
          </cell>
          <cell r="D3884">
            <v>95</v>
          </cell>
          <cell r="E3884" t="str">
            <v>KH67</v>
          </cell>
          <cell r="F3884">
            <v>220</v>
          </cell>
          <cell r="G3884">
            <v>15.19</v>
          </cell>
          <cell r="H3884">
            <v>2.4</v>
          </cell>
          <cell r="I3884" t="str">
            <v>M1B</v>
          </cell>
          <cell r="J3884" t="str">
            <v>IE3</v>
          </cell>
          <cell r="K3884" t="str">
            <v>230/400</v>
          </cell>
          <cell r="L3884">
            <v>50</v>
          </cell>
          <cell r="M3884" t="str">
            <v>8,3/4,8</v>
          </cell>
          <cell r="N3884">
            <v>55</v>
          </cell>
          <cell r="O3884" t="str">
            <v>155(F)</v>
          </cell>
          <cell r="P3884" t="str">
            <v>270°</v>
          </cell>
          <cell r="Q3884" t="str">
            <v>-</v>
          </cell>
          <cell r="R3884" t="str">
            <v>-</v>
          </cell>
          <cell r="S3884" t="str">
            <v>-</v>
          </cell>
          <cell r="T3884" t="str">
            <v>-</v>
          </cell>
          <cell r="U3884" t="str">
            <v>T</v>
          </cell>
          <cell r="V3884" t="str">
            <v>D</v>
          </cell>
          <cell r="W3884" t="str">
            <v>YES</v>
          </cell>
          <cell r="X3884" t="str">
            <v>CLP HC VG 220 = -20° + 60°</v>
          </cell>
          <cell r="Y3884" t="str">
            <v>KH67/T EDRN100LS4</v>
          </cell>
          <cell r="Z3884" t="str">
            <v>SEW</v>
          </cell>
          <cell r="AA3884">
            <v>7035</v>
          </cell>
          <cell r="AB3884" t="str">
            <v>ATEX22</v>
          </cell>
          <cell r="AF3884">
            <v>95</v>
          </cell>
          <cell r="AG3884" t="str">
            <v>EDRN100LS4</v>
          </cell>
          <cell r="AH3884" t="str">
            <v>KH67T-EDRN100LS4B270-X</v>
          </cell>
        </row>
        <row r="3885">
          <cell r="A3885" t="str">
            <v>MR003874</v>
          </cell>
          <cell r="B3885" t="str">
            <v>MR</v>
          </cell>
          <cell r="C3885">
            <v>4</v>
          </cell>
          <cell r="D3885">
            <v>80</v>
          </cell>
          <cell r="E3885" t="str">
            <v>FH67</v>
          </cell>
          <cell r="F3885">
            <v>475</v>
          </cell>
          <cell r="G3885">
            <v>18.29</v>
          </cell>
          <cell r="H3885">
            <v>1.7</v>
          </cell>
          <cell r="I3885" t="str">
            <v>From M1 to M5 - 5°</v>
          </cell>
          <cell r="J3885" t="str">
            <v>IE3</v>
          </cell>
          <cell r="K3885" t="str">
            <v>230/400</v>
          </cell>
          <cell r="L3885">
            <v>50</v>
          </cell>
          <cell r="M3885" t="str">
            <v>14,2/8,2</v>
          </cell>
          <cell r="N3885">
            <v>55</v>
          </cell>
          <cell r="O3885" t="str">
            <v>155(F)</v>
          </cell>
          <cell r="P3885" t="str">
            <v>270°</v>
          </cell>
          <cell r="Q3885" t="str">
            <v>-</v>
          </cell>
          <cell r="R3885" t="str">
            <v>-</v>
          </cell>
          <cell r="S3885" t="str">
            <v>Free rotation CCW</v>
          </cell>
          <cell r="T3885" t="str">
            <v>-</v>
          </cell>
          <cell r="U3885" t="str">
            <v>G</v>
          </cell>
          <cell r="V3885" t="str">
            <v>D</v>
          </cell>
          <cell r="W3885" t="str">
            <v>YES</v>
          </cell>
          <cell r="X3885" t="str">
            <v>CLP HC VG 220 = -20° + 60°</v>
          </cell>
          <cell r="Y3885" t="str">
            <v>FH67/G EDRN112M4 /RS</v>
          </cell>
          <cell r="Z3885" t="str">
            <v>SEW</v>
          </cell>
          <cell r="AA3885">
            <v>7035</v>
          </cell>
          <cell r="AB3885" t="str">
            <v>ATEX22</v>
          </cell>
          <cell r="AF3885">
            <v>80</v>
          </cell>
          <cell r="AG3885" t="str">
            <v>EDRN112M4</v>
          </cell>
          <cell r="AH3885" t="str">
            <v>FH67G-EDRN112M4270-X</v>
          </cell>
        </row>
        <row r="3886">
          <cell r="A3886" t="str">
            <v>MR003875</v>
          </cell>
          <cell r="B3886" t="str">
            <v>MR</v>
          </cell>
          <cell r="C3886">
            <v>11</v>
          </cell>
          <cell r="D3886">
            <v>44</v>
          </cell>
          <cell r="E3886" t="str">
            <v>R97</v>
          </cell>
          <cell r="F3886">
            <v>2370</v>
          </cell>
          <cell r="G3886">
            <v>33.25</v>
          </cell>
          <cell r="H3886">
            <v>1.2</v>
          </cell>
          <cell r="I3886" t="str">
            <v>M1</v>
          </cell>
          <cell r="J3886" t="str">
            <v>IE3</v>
          </cell>
          <cell r="K3886">
            <v>400</v>
          </cell>
          <cell r="L3886">
            <v>50</v>
          </cell>
          <cell r="N3886">
            <v>55</v>
          </cell>
          <cell r="O3886" t="str">
            <v>155(F)</v>
          </cell>
          <cell r="P3886" t="str">
            <v>0°</v>
          </cell>
          <cell r="V3886" t="str">
            <v>D</v>
          </cell>
          <cell r="X3886" t="str">
            <v>CLP 220 (-15/+40°C)</v>
          </cell>
          <cell r="Y3886" t="str">
            <v>R97/ DRN160M4 / /RS //V</v>
          </cell>
          <cell r="Z3886" t="str">
            <v>SEW</v>
          </cell>
          <cell r="AF3886">
            <v>44</v>
          </cell>
          <cell r="AG3886" t="str">
            <v>DRN160M4</v>
          </cell>
          <cell r="AH3886" t="str">
            <v>R97-DRN160M40-X#</v>
          </cell>
        </row>
        <row r="3887">
          <cell r="A3887" t="str">
            <v>MR003876</v>
          </cell>
          <cell r="B3887" t="str">
            <v>MR</v>
          </cell>
          <cell r="C3887">
            <v>9.1999999999999993</v>
          </cell>
          <cell r="D3887">
            <v>59</v>
          </cell>
          <cell r="E3887" t="str">
            <v>KH87</v>
          </cell>
          <cell r="F3887">
            <v>1490</v>
          </cell>
          <cell r="G3887">
            <v>24.92</v>
          </cell>
          <cell r="H3887">
            <v>1.65</v>
          </cell>
          <cell r="I3887" t="str">
            <v>From M4A to M1A - 10°</v>
          </cell>
          <cell r="J3887" t="str">
            <v>IE3</v>
          </cell>
          <cell r="K3887" t="str">
            <v>230/400</v>
          </cell>
          <cell r="L3887">
            <v>50</v>
          </cell>
          <cell r="M3887" t="str">
            <v>33,5/19,3</v>
          </cell>
          <cell r="N3887">
            <v>55</v>
          </cell>
          <cell r="O3887" t="str">
            <v>155(F)</v>
          </cell>
          <cell r="P3887" t="str">
            <v>270°</v>
          </cell>
          <cell r="Q3887" t="str">
            <v>TF</v>
          </cell>
          <cell r="R3887" t="str">
            <v>-</v>
          </cell>
          <cell r="S3887" t="str">
            <v>Free rotation CCW</v>
          </cell>
          <cell r="T3887" t="str">
            <v>-</v>
          </cell>
          <cell r="U3887" t="str">
            <v>T</v>
          </cell>
          <cell r="V3887" t="str">
            <v>FC</v>
          </cell>
          <cell r="W3887" t="str">
            <v>YES</v>
          </cell>
          <cell r="X3887" t="str">
            <v>CLP HC VG 220 = -20° + 60°</v>
          </cell>
          <cell r="Y3887" t="str">
            <v>KH87/T EDRN132L4 /RS /TF</v>
          </cell>
          <cell r="Z3887" t="str">
            <v>SEW</v>
          </cell>
          <cell r="AA3887">
            <v>7035</v>
          </cell>
          <cell r="AB3887" t="str">
            <v>ATEX22</v>
          </cell>
          <cell r="AF3887">
            <v>59</v>
          </cell>
          <cell r="AG3887" t="str">
            <v>EDRN132L4</v>
          </cell>
          <cell r="AH3887" t="str">
            <v>KH87T-EDRN132L4A270-X</v>
          </cell>
        </row>
        <row r="3888">
          <cell r="A3888" t="str">
            <v>MR003877</v>
          </cell>
          <cell r="B3888" t="str">
            <v>MR</v>
          </cell>
          <cell r="C3888">
            <v>0.75</v>
          </cell>
          <cell r="D3888">
            <v>162</v>
          </cell>
          <cell r="E3888" t="str">
            <v>KA37</v>
          </cell>
          <cell r="F3888">
            <v>44</v>
          </cell>
          <cell r="G3888">
            <v>8.91</v>
          </cell>
          <cell r="H3888">
            <v>3.1</v>
          </cell>
          <cell r="I3888" t="str">
            <v>From M3B to M2B - 10°</v>
          </cell>
          <cell r="J3888" t="str">
            <v>IE3</v>
          </cell>
          <cell r="K3888" t="str">
            <v>230/400</v>
          </cell>
          <cell r="L3888">
            <v>50</v>
          </cell>
          <cell r="M3888" t="str">
            <v>3,1/1,79</v>
          </cell>
          <cell r="N3888">
            <v>55</v>
          </cell>
          <cell r="O3888" t="str">
            <v>155(F)</v>
          </cell>
          <cell r="P3888" t="str">
            <v>0°</v>
          </cell>
          <cell r="Q3888" t="str">
            <v>-</v>
          </cell>
          <cell r="R3888" t="str">
            <v>-</v>
          </cell>
          <cell r="S3888" t="str">
            <v>-</v>
          </cell>
          <cell r="T3888" t="str">
            <v>-</v>
          </cell>
          <cell r="U3888" t="str">
            <v>T</v>
          </cell>
          <cell r="V3888" t="str">
            <v>D</v>
          </cell>
          <cell r="W3888" t="str">
            <v>-</v>
          </cell>
          <cell r="X3888" t="str">
            <v>CLP HC VG 220 = -20° + 60°</v>
          </cell>
          <cell r="Y3888" t="str">
            <v>KA37/T EDRN80M4</v>
          </cell>
          <cell r="Z3888" t="str">
            <v>SEW</v>
          </cell>
          <cell r="AA3888">
            <v>7035</v>
          </cell>
          <cell r="AB3888" t="str">
            <v>ATEX22</v>
          </cell>
          <cell r="AF3888">
            <v>162</v>
          </cell>
          <cell r="AG3888" t="str">
            <v>EDRN80M4</v>
          </cell>
          <cell r="AH3888" t="str">
            <v>KA37T-EDRN80M4B0-X</v>
          </cell>
        </row>
        <row r="3889">
          <cell r="A3889" t="str">
            <v>MR003878</v>
          </cell>
          <cell r="B3889" t="str">
            <v>MR</v>
          </cell>
          <cell r="C3889">
            <v>22</v>
          </cell>
          <cell r="D3889">
            <v>16</v>
          </cell>
          <cell r="E3889" t="str">
            <v>KH157</v>
          </cell>
          <cell r="F3889">
            <v>13000</v>
          </cell>
          <cell r="G3889">
            <v>91.65</v>
          </cell>
          <cell r="H3889">
            <v>1.4</v>
          </cell>
          <cell r="I3889" t="str">
            <v>From M4A to M1A - 40°</v>
          </cell>
          <cell r="J3889" t="str">
            <v>IE3</v>
          </cell>
          <cell r="K3889" t="str">
            <v>400/690</v>
          </cell>
          <cell r="L3889">
            <v>50</v>
          </cell>
          <cell r="M3889" t="str">
            <v>40,5/23,5</v>
          </cell>
          <cell r="N3889">
            <v>55</v>
          </cell>
          <cell r="O3889" t="str">
            <v>155(F)</v>
          </cell>
          <cell r="P3889" t="str">
            <v>270°</v>
          </cell>
          <cell r="Q3889" t="str">
            <v>TF</v>
          </cell>
          <cell r="R3889" t="str">
            <v>-</v>
          </cell>
          <cell r="S3889" t="str">
            <v>-</v>
          </cell>
          <cell r="T3889" t="str">
            <v>-</v>
          </cell>
          <cell r="U3889" t="str">
            <v>-</v>
          </cell>
          <cell r="V3889" t="str">
            <v>FC</v>
          </cell>
          <cell r="W3889" t="str">
            <v>YES</v>
          </cell>
          <cell r="X3889" t="str">
            <v>CLP HC VG 220 = -20° + 60°</v>
          </cell>
          <cell r="Y3889" t="str">
            <v>KH157EDRN180L4 /TF</v>
          </cell>
          <cell r="Z3889" t="str">
            <v>SEW</v>
          </cell>
          <cell r="AA3889">
            <v>7035</v>
          </cell>
          <cell r="AB3889" t="str">
            <v>ATEX22</v>
          </cell>
          <cell r="AF3889">
            <v>16</v>
          </cell>
          <cell r="AG3889" t="str">
            <v>EDRN180L4</v>
          </cell>
          <cell r="AH3889" t="str">
            <v>KH157-EDRN180L4A270-X</v>
          </cell>
        </row>
        <row r="3890">
          <cell r="A3890" t="str">
            <v>MR003879</v>
          </cell>
          <cell r="B3890" t="str">
            <v>MR</v>
          </cell>
          <cell r="C3890">
            <v>22</v>
          </cell>
          <cell r="D3890">
            <v>16</v>
          </cell>
          <cell r="E3890" t="str">
            <v>KH157</v>
          </cell>
          <cell r="F3890">
            <v>13000</v>
          </cell>
          <cell r="G3890">
            <v>91.65</v>
          </cell>
          <cell r="H3890">
            <v>1.4</v>
          </cell>
          <cell r="I3890" t="str">
            <v>From M4B to M1B - 40°</v>
          </cell>
          <cell r="J3890" t="str">
            <v>IE3</v>
          </cell>
          <cell r="K3890" t="str">
            <v>400/690</v>
          </cell>
          <cell r="L3890">
            <v>50</v>
          </cell>
          <cell r="M3890" t="str">
            <v>40,5/23,5</v>
          </cell>
          <cell r="N3890">
            <v>55</v>
          </cell>
          <cell r="O3890" t="str">
            <v>155(F)</v>
          </cell>
          <cell r="P3890" t="str">
            <v>270°</v>
          </cell>
          <cell r="Q3890" t="str">
            <v>TF</v>
          </cell>
          <cell r="R3890" t="str">
            <v>-</v>
          </cell>
          <cell r="S3890" t="str">
            <v>-</v>
          </cell>
          <cell r="T3890" t="str">
            <v>-</v>
          </cell>
          <cell r="U3890" t="str">
            <v>-</v>
          </cell>
          <cell r="V3890" t="str">
            <v>FC</v>
          </cell>
          <cell r="W3890" t="str">
            <v>YES</v>
          </cell>
          <cell r="X3890" t="str">
            <v>CLP HC VG 220 = -20° + 60°</v>
          </cell>
          <cell r="Y3890" t="str">
            <v>KH157EDRN180L4 /TF</v>
          </cell>
          <cell r="Z3890" t="str">
            <v>SEW</v>
          </cell>
          <cell r="AA3890">
            <v>7035</v>
          </cell>
          <cell r="AB3890" t="str">
            <v>ATEX22</v>
          </cell>
          <cell r="AF3890">
            <v>16</v>
          </cell>
          <cell r="AG3890" t="str">
            <v>EDRN180L4</v>
          </cell>
          <cell r="AH3890" t="str">
            <v>KH157-EDRN180L4B270-X</v>
          </cell>
        </row>
        <row r="3891">
          <cell r="A3891" t="str">
            <v>MR003880</v>
          </cell>
          <cell r="B3891" t="str">
            <v>MR</v>
          </cell>
          <cell r="C3891">
            <v>18.5</v>
          </cell>
          <cell r="D3891">
            <v>23</v>
          </cell>
          <cell r="E3891" t="str">
            <v>R137</v>
          </cell>
          <cell r="F3891">
            <v>7790</v>
          </cell>
          <cell r="G3891">
            <v>65.2</v>
          </cell>
          <cell r="H3891">
            <v>1.05</v>
          </cell>
          <cell r="I3891" t="str">
            <v>M1</v>
          </cell>
          <cell r="J3891" t="str">
            <v>IE3</v>
          </cell>
          <cell r="K3891" t="str">
            <v>400/690</v>
          </cell>
          <cell r="L3891">
            <v>50</v>
          </cell>
          <cell r="M3891" t="str">
            <v>35/20</v>
          </cell>
          <cell r="N3891">
            <v>55</v>
          </cell>
          <cell r="O3891" t="str">
            <v>155(F)</v>
          </cell>
          <cell r="P3891" t="str">
            <v>270°</v>
          </cell>
          <cell r="Q3891" t="str">
            <v>TF</v>
          </cell>
          <cell r="R3891" t="str">
            <v>V(VE)</v>
          </cell>
          <cell r="S3891" t="str">
            <v>-</v>
          </cell>
          <cell r="T3891" t="str">
            <v>-</v>
          </cell>
          <cell r="U3891" t="str">
            <v>-</v>
          </cell>
          <cell r="V3891" t="str">
            <v>FC</v>
          </cell>
          <cell r="W3891" t="str">
            <v>YES</v>
          </cell>
          <cell r="X3891" t="str">
            <v>CLP HC VG 220 = -20° + 60°</v>
          </cell>
          <cell r="Y3891" t="str">
            <v>R137EDRN180M4 /TF/VE</v>
          </cell>
          <cell r="Z3891" t="str">
            <v>SEW</v>
          </cell>
          <cell r="AA3891">
            <v>7035</v>
          </cell>
          <cell r="AB3891" t="str">
            <v>ATEX22</v>
          </cell>
          <cell r="AF3891">
            <v>23</v>
          </cell>
          <cell r="AG3891" t="str">
            <v>EDRN180M4</v>
          </cell>
          <cell r="AH3891" t="str">
            <v>R137-EDRN180M4270-X#</v>
          </cell>
        </row>
        <row r="3892">
          <cell r="A3892" t="str">
            <v>MR003881</v>
          </cell>
          <cell r="B3892" t="str">
            <v>MR</v>
          </cell>
          <cell r="C3892">
            <v>18.5</v>
          </cell>
          <cell r="D3892">
            <v>23</v>
          </cell>
          <cell r="E3892" t="str">
            <v>R137</v>
          </cell>
          <cell r="F3892">
            <v>7790</v>
          </cell>
          <cell r="G3892">
            <v>65.2</v>
          </cell>
          <cell r="H3892">
            <v>1.05</v>
          </cell>
          <cell r="I3892" t="str">
            <v>From M1 to M2 - 15°</v>
          </cell>
          <cell r="J3892" t="str">
            <v>IE3</v>
          </cell>
          <cell r="K3892" t="str">
            <v>400/690</v>
          </cell>
          <cell r="L3892">
            <v>50</v>
          </cell>
          <cell r="M3892" t="str">
            <v>35/20</v>
          </cell>
          <cell r="N3892">
            <v>55</v>
          </cell>
          <cell r="O3892" t="str">
            <v>155(F)</v>
          </cell>
          <cell r="P3892" t="str">
            <v>270°</v>
          </cell>
          <cell r="Q3892" t="str">
            <v>TF</v>
          </cell>
          <cell r="R3892" t="str">
            <v>V(VE)</v>
          </cell>
          <cell r="S3892" t="str">
            <v>-</v>
          </cell>
          <cell r="T3892" t="str">
            <v>-</v>
          </cell>
          <cell r="U3892" t="str">
            <v>-</v>
          </cell>
          <cell r="V3892" t="str">
            <v>FC</v>
          </cell>
          <cell r="W3892" t="str">
            <v>YES</v>
          </cell>
          <cell r="X3892" t="str">
            <v>CLP HC VG 220 = -20° + 60°</v>
          </cell>
          <cell r="Y3892" t="str">
            <v>R137EDRN180M4 /TF/VE</v>
          </cell>
          <cell r="Z3892" t="str">
            <v>SEW</v>
          </cell>
          <cell r="AA3892">
            <v>7035</v>
          </cell>
          <cell r="AB3892" t="str">
            <v>ATEX22</v>
          </cell>
          <cell r="AF3892">
            <v>23</v>
          </cell>
          <cell r="AG3892" t="str">
            <v>EDRN180M4</v>
          </cell>
          <cell r="AH3892" t="str">
            <v>R137-EDRN180M4270-X#</v>
          </cell>
        </row>
        <row r="3893">
          <cell r="A3893" t="str">
            <v>MR003882</v>
          </cell>
          <cell r="B3893" t="str">
            <v>MR</v>
          </cell>
          <cell r="C3893">
            <v>0.75</v>
          </cell>
          <cell r="D3893">
            <v>162</v>
          </cell>
          <cell r="E3893" t="str">
            <v>KA37</v>
          </cell>
          <cell r="F3893">
            <v>44</v>
          </cell>
          <cell r="G3893">
            <v>8.91</v>
          </cell>
          <cell r="H3893">
            <v>3</v>
          </cell>
          <cell r="I3893" t="str">
            <v>M3A</v>
          </cell>
          <cell r="J3893" t="str">
            <v>IE3</v>
          </cell>
          <cell r="K3893" t="str">
            <v>230/400</v>
          </cell>
          <cell r="L3893">
            <v>50</v>
          </cell>
          <cell r="M3893" t="str">
            <v>3,1/1,8</v>
          </cell>
          <cell r="N3893">
            <v>55</v>
          </cell>
          <cell r="O3893" t="str">
            <v>F(105°C)</v>
          </cell>
          <cell r="P3893" t="str">
            <v>270°</v>
          </cell>
          <cell r="Q3893" t="str">
            <v>-</v>
          </cell>
          <cell r="R3893" t="str">
            <v>-</v>
          </cell>
          <cell r="S3893" t="str">
            <v>-</v>
          </cell>
          <cell r="T3893" t="str">
            <v>-</v>
          </cell>
          <cell r="U3893" t="str">
            <v>T</v>
          </cell>
          <cell r="V3893" t="str">
            <v>D</v>
          </cell>
          <cell r="W3893" t="str">
            <v>-</v>
          </cell>
          <cell r="X3893" t="str">
            <v>CLP HC VG 220 = -20° + 60°</v>
          </cell>
          <cell r="Y3893" t="str">
            <v>KA37/T EDRN80M4</v>
          </cell>
          <cell r="Z3893" t="str">
            <v>SEW</v>
          </cell>
          <cell r="AA3893">
            <v>7035</v>
          </cell>
          <cell r="AB3893" t="str">
            <v>ATEX22</v>
          </cell>
          <cell r="AF3893">
            <v>162</v>
          </cell>
          <cell r="AG3893" t="str">
            <v>EDRN80M4</v>
          </cell>
          <cell r="AH3893" t="str">
            <v>KA37T-EDRN80M4A270-X</v>
          </cell>
        </row>
        <row r="3894">
          <cell r="A3894" t="str">
            <v>MR003883</v>
          </cell>
          <cell r="B3894" t="str">
            <v>MR</v>
          </cell>
          <cell r="C3894">
            <v>18.5</v>
          </cell>
          <cell r="D3894">
            <v>76</v>
          </cell>
          <cell r="E3894" t="str">
            <v>KH87</v>
          </cell>
          <cell r="F3894">
            <v>2320</v>
          </cell>
          <cell r="G3894">
            <v>19.45</v>
          </cell>
          <cell r="H3894">
            <v>1</v>
          </cell>
          <cell r="I3894" t="str">
            <v>From M3A to M4A - 10°</v>
          </cell>
          <cell r="J3894" t="str">
            <v>IE3</v>
          </cell>
          <cell r="K3894" t="str">
            <v>400/690</v>
          </cell>
          <cell r="L3894">
            <v>50</v>
          </cell>
          <cell r="M3894" t="str">
            <v>33,5/19,3</v>
          </cell>
          <cell r="N3894">
            <v>55</v>
          </cell>
          <cell r="O3894" t="str">
            <v>155(F)</v>
          </cell>
          <cell r="P3894" t="str">
            <v>180°</v>
          </cell>
          <cell r="Q3894" t="str">
            <v>TF</v>
          </cell>
          <cell r="R3894" t="str">
            <v>V(VE)</v>
          </cell>
          <cell r="S3894" t="str">
            <v>Free rotation CCW</v>
          </cell>
          <cell r="T3894" t="str">
            <v>-</v>
          </cell>
          <cell r="U3894" t="str">
            <v>T</v>
          </cell>
          <cell r="V3894" t="str">
            <v>FC</v>
          </cell>
          <cell r="W3894" t="str">
            <v>-</v>
          </cell>
          <cell r="X3894" t="str">
            <v>CLP 220 (-15/+40°C)</v>
          </cell>
          <cell r="Y3894" t="str">
            <v>KH87/T DRN180M4 /RS /TF/V</v>
          </cell>
          <cell r="Z3894" t="str">
            <v>SEW</v>
          </cell>
          <cell r="AB3894" t="str">
            <v>-</v>
          </cell>
          <cell r="AF3894">
            <v>76</v>
          </cell>
          <cell r="AG3894" t="str">
            <v>DRN180M4</v>
          </cell>
          <cell r="AH3894" t="str">
            <v>KH87T-DRN180M4A180-X#</v>
          </cell>
        </row>
        <row r="3895">
          <cell r="A3895" t="str">
            <v>MR003884</v>
          </cell>
          <cell r="B3895" t="str">
            <v>MR</v>
          </cell>
          <cell r="C3895">
            <v>0.75</v>
          </cell>
          <cell r="D3895">
            <v>162</v>
          </cell>
          <cell r="E3895" t="str">
            <v>KA37</v>
          </cell>
          <cell r="F3895">
            <v>44</v>
          </cell>
          <cell r="G3895">
            <v>8.91</v>
          </cell>
          <cell r="H3895">
            <v>3.6</v>
          </cell>
          <cell r="I3895" t="str">
            <v>From M3A to M4A - 10°</v>
          </cell>
          <cell r="J3895" t="str">
            <v>IE3</v>
          </cell>
          <cell r="K3895" t="str">
            <v>230/400</v>
          </cell>
          <cell r="L3895">
            <v>50</v>
          </cell>
          <cell r="M3895" t="str">
            <v>3,05/1,75</v>
          </cell>
          <cell r="N3895">
            <v>55</v>
          </cell>
          <cell r="O3895" t="str">
            <v>155(F)</v>
          </cell>
          <cell r="P3895" t="str">
            <v>180°</v>
          </cell>
          <cell r="Q3895" t="str">
            <v>-</v>
          </cell>
          <cell r="R3895" t="str">
            <v>-</v>
          </cell>
          <cell r="S3895" t="str">
            <v>-</v>
          </cell>
          <cell r="T3895" t="str">
            <v>-</v>
          </cell>
          <cell r="U3895" t="str">
            <v>T</v>
          </cell>
          <cell r="V3895" t="str">
            <v>D</v>
          </cell>
          <cell r="W3895" t="str">
            <v>-</v>
          </cell>
          <cell r="X3895" t="str">
            <v>CLP 220 (-15/+40°C)</v>
          </cell>
          <cell r="Y3895" t="str">
            <v>KA37/T DRN80M4</v>
          </cell>
          <cell r="Z3895" t="str">
            <v>SEW</v>
          </cell>
          <cell r="AB3895" t="str">
            <v>-</v>
          </cell>
          <cell r="AF3895">
            <v>162</v>
          </cell>
          <cell r="AG3895" t="str">
            <v>DRN80M4</v>
          </cell>
          <cell r="AH3895" t="str">
            <v>KA37T-DRN80M4A180-X</v>
          </cell>
        </row>
        <row r="3896">
          <cell r="A3896" t="str">
            <v>MR003885</v>
          </cell>
          <cell r="B3896" t="str">
            <v>MR</v>
          </cell>
          <cell r="C3896">
            <v>4</v>
          </cell>
          <cell r="D3896">
            <v>63</v>
          </cell>
          <cell r="E3896" t="str">
            <v>R87</v>
          </cell>
          <cell r="F3896">
            <v>505</v>
          </cell>
          <cell r="G3896">
            <v>23.4</v>
          </cell>
          <cell r="H3896">
            <v>3.1</v>
          </cell>
          <cell r="I3896" t="str">
            <v>From M1 to M2 - 10°</v>
          </cell>
          <cell r="J3896" t="str">
            <v>IE3</v>
          </cell>
          <cell r="K3896" t="str">
            <v>330/575</v>
          </cell>
          <cell r="L3896">
            <v>60</v>
          </cell>
          <cell r="M3896" t="str">
            <v>9,8/5,6</v>
          </cell>
          <cell r="N3896">
            <v>55</v>
          </cell>
          <cell r="O3896" t="str">
            <v>155(F)</v>
          </cell>
          <cell r="P3896" t="str">
            <v>270°</v>
          </cell>
          <cell r="Q3896" t="str">
            <v>-</v>
          </cell>
          <cell r="R3896" t="str">
            <v>-</v>
          </cell>
          <cell r="S3896" t="str">
            <v>-</v>
          </cell>
          <cell r="T3896" t="str">
            <v>-</v>
          </cell>
          <cell r="U3896" t="str">
            <v>-</v>
          </cell>
          <cell r="V3896" t="str">
            <v>D</v>
          </cell>
          <cell r="W3896" t="str">
            <v>-</v>
          </cell>
          <cell r="X3896" t="str">
            <v>CLP VG 220 = -15° + 40°</v>
          </cell>
          <cell r="Y3896" t="str">
            <v>R87DRN112M4</v>
          </cell>
          <cell r="Z3896" t="str">
            <v>SEW</v>
          </cell>
          <cell r="AB3896" t="str">
            <v>-</v>
          </cell>
          <cell r="AF3896">
            <v>75.599999999999994</v>
          </cell>
          <cell r="AG3896" t="str">
            <v>DRN112M4</v>
          </cell>
          <cell r="AH3896" t="str">
            <v>R87-DRN112M4270-X</v>
          </cell>
        </row>
        <row r="3897">
          <cell r="A3897" t="str">
            <v>MR003886</v>
          </cell>
          <cell r="B3897" t="str">
            <v>MR</v>
          </cell>
          <cell r="C3897">
            <v>15</v>
          </cell>
          <cell r="D3897">
            <v>92</v>
          </cell>
          <cell r="E3897" t="str">
            <v>R97</v>
          </cell>
          <cell r="F3897">
            <v>1300</v>
          </cell>
          <cell r="G3897">
            <v>16.170000000000002</v>
          </cell>
          <cell r="H3897">
            <v>1.85</v>
          </cell>
          <cell r="I3897" t="str">
            <v>M4</v>
          </cell>
          <cell r="J3897" t="str">
            <v>IE3</v>
          </cell>
          <cell r="K3897" t="str">
            <v>330/575</v>
          </cell>
          <cell r="L3897">
            <v>60</v>
          </cell>
          <cell r="M3897" t="str">
            <v>35/20</v>
          </cell>
          <cell r="N3897">
            <v>55</v>
          </cell>
          <cell r="O3897" t="str">
            <v>155(F)</v>
          </cell>
          <cell r="P3897" t="str">
            <v>270°</v>
          </cell>
          <cell r="Q3897" t="str">
            <v>-</v>
          </cell>
          <cell r="R3897" t="str">
            <v>-</v>
          </cell>
          <cell r="S3897" t="str">
            <v>-</v>
          </cell>
          <cell r="T3897" t="str">
            <v>-</v>
          </cell>
          <cell r="U3897" t="str">
            <v>-</v>
          </cell>
          <cell r="V3897" t="str">
            <v>D</v>
          </cell>
          <cell r="W3897" t="str">
            <v>-</v>
          </cell>
          <cell r="X3897" t="str">
            <v>CLP VG 220 = -15° + 40°</v>
          </cell>
          <cell r="Y3897" t="str">
            <v>R97DRN160L4</v>
          </cell>
          <cell r="Z3897" t="str">
            <v>SEW</v>
          </cell>
          <cell r="AB3897" t="str">
            <v>-</v>
          </cell>
          <cell r="AF3897">
            <v>110.4</v>
          </cell>
          <cell r="AG3897" t="str">
            <v>DRN160L4</v>
          </cell>
          <cell r="AH3897" t="str">
            <v>R97-DRN160L4270-X</v>
          </cell>
        </row>
        <row r="3898">
          <cell r="A3898" t="str">
            <v>MR003887</v>
          </cell>
          <cell r="B3898" t="str">
            <v>MR</v>
          </cell>
          <cell r="C3898">
            <v>18.5</v>
          </cell>
          <cell r="D3898">
            <v>16</v>
          </cell>
          <cell r="E3898" t="str">
            <v>KH127</v>
          </cell>
          <cell r="F3898">
            <v>10700</v>
          </cell>
          <cell r="G3898">
            <v>89.89</v>
          </cell>
          <cell r="H3898">
            <v>1.2</v>
          </cell>
          <cell r="I3898" t="str">
            <v>From M4B to M1B - 40°</v>
          </cell>
          <cell r="J3898" t="str">
            <v>IE3</v>
          </cell>
          <cell r="K3898" t="str">
            <v>230/400</v>
          </cell>
          <cell r="L3898">
            <v>50</v>
          </cell>
          <cell r="M3898" t="str">
            <v>58/33,5</v>
          </cell>
          <cell r="N3898">
            <v>65</v>
          </cell>
          <cell r="O3898" t="str">
            <v>155(F)</v>
          </cell>
          <cell r="P3898" t="str">
            <v>270°</v>
          </cell>
          <cell r="Q3898" t="str">
            <v>-</v>
          </cell>
          <cell r="R3898" t="str">
            <v>-</v>
          </cell>
          <cell r="S3898" t="str">
            <v>-</v>
          </cell>
          <cell r="T3898" t="str">
            <v>-</v>
          </cell>
          <cell r="U3898" t="str">
            <v>-</v>
          </cell>
          <cell r="V3898" t="str">
            <v>SS</v>
          </cell>
          <cell r="W3898" t="str">
            <v>-</v>
          </cell>
          <cell r="X3898" t="str">
            <v>CLP HC VG 220 = -20° + 60°</v>
          </cell>
          <cell r="Y3898" t="str">
            <v>KH127DRN180M4</v>
          </cell>
          <cell r="Z3898" t="str">
            <v>SEW</v>
          </cell>
          <cell r="AB3898" t="str">
            <v>-</v>
          </cell>
          <cell r="AF3898">
            <v>16</v>
          </cell>
          <cell r="AG3898" t="str">
            <v>DRN180M4</v>
          </cell>
          <cell r="AH3898" t="str">
            <v>KH127-DRN180M4B270-X</v>
          </cell>
        </row>
        <row r="3899">
          <cell r="A3899" t="str">
            <v>MR003888</v>
          </cell>
          <cell r="B3899" t="str">
            <v>MR</v>
          </cell>
          <cell r="C3899">
            <v>18.5</v>
          </cell>
          <cell r="D3899">
            <v>16</v>
          </cell>
          <cell r="E3899" t="str">
            <v>KH127</v>
          </cell>
          <cell r="F3899">
            <v>10700</v>
          </cell>
          <cell r="G3899">
            <v>89.89</v>
          </cell>
          <cell r="H3899">
            <v>1.2</v>
          </cell>
          <cell r="I3899" t="str">
            <v>From M4A to M1A - 40°</v>
          </cell>
          <cell r="J3899" t="str">
            <v>IE3</v>
          </cell>
          <cell r="K3899" t="str">
            <v>230/400</v>
          </cell>
          <cell r="L3899">
            <v>50</v>
          </cell>
          <cell r="M3899" t="str">
            <v>58/33,5</v>
          </cell>
          <cell r="N3899">
            <v>65</v>
          </cell>
          <cell r="O3899" t="str">
            <v>155(F)</v>
          </cell>
          <cell r="P3899" t="str">
            <v>270°</v>
          </cell>
          <cell r="Q3899" t="str">
            <v>-</v>
          </cell>
          <cell r="R3899" t="str">
            <v>-</v>
          </cell>
          <cell r="S3899" t="str">
            <v>-</v>
          </cell>
          <cell r="T3899" t="str">
            <v>-</v>
          </cell>
          <cell r="U3899" t="str">
            <v>-</v>
          </cell>
          <cell r="V3899" t="str">
            <v>SS</v>
          </cell>
          <cell r="W3899" t="str">
            <v>-</v>
          </cell>
          <cell r="X3899" t="str">
            <v>CLP HC VG 220 = -20° + 60°</v>
          </cell>
          <cell r="Y3899" t="str">
            <v>KH127DRN180M4</v>
          </cell>
          <cell r="Z3899" t="str">
            <v>SEW</v>
          </cell>
          <cell r="AB3899" t="str">
            <v>-</v>
          </cell>
          <cell r="AF3899">
            <v>16</v>
          </cell>
          <cell r="AG3899" t="str">
            <v>DRN180M4</v>
          </cell>
          <cell r="AH3899" t="str">
            <v>KH127-DRN180M4A270-X</v>
          </cell>
        </row>
        <row r="3900">
          <cell r="A3900" t="str">
            <v>MR003889</v>
          </cell>
          <cell r="B3900" t="str">
            <v>MR</v>
          </cell>
          <cell r="C3900">
            <v>18.5</v>
          </cell>
          <cell r="D3900">
            <v>16</v>
          </cell>
          <cell r="E3900" t="str">
            <v>KH127</v>
          </cell>
          <cell r="F3900">
            <v>10700</v>
          </cell>
          <cell r="G3900">
            <v>89.89</v>
          </cell>
          <cell r="H3900">
            <v>1.2</v>
          </cell>
          <cell r="I3900" t="str">
            <v>From M4A to M1A - 40°</v>
          </cell>
          <cell r="J3900" t="str">
            <v>IE3</v>
          </cell>
          <cell r="K3900" t="str">
            <v>230/400</v>
          </cell>
          <cell r="L3900">
            <v>50</v>
          </cell>
          <cell r="M3900" t="str">
            <v>58/33,5</v>
          </cell>
          <cell r="N3900">
            <v>65</v>
          </cell>
          <cell r="O3900" t="str">
            <v>155(F)</v>
          </cell>
          <cell r="P3900" t="str">
            <v>270°</v>
          </cell>
          <cell r="Q3900" t="str">
            <v>TF</v>
          </cell>
          <cell r="R3900" t="str">
            <v>V(VE)</v>
          </cell>
          <cell r="S3900" t="str">
            <v>-</v>
          </cell>
          <cell r="T3900" t="str">
            <v>-</v>
          </cell>
          <cell r="U3900" t="str">
            <v>-</v>
          </cell>
          <cell r="V3900" t="str">
            <v>FC</v>
          </cell>
          <cell r="W3900" t="str">
            <v>-</v>
          </cell>
          <cell r="X3900" t="str">
            <v>CLP HC VG 220 = -20° + 60°</v>
          </cell>
          <cell r="Y3900" t="str">
            <v>KH127DRN180M4 /TF/V</v>
          </cell>
          <cell r="Z3900" t="str">
            <v>SEW</v>
          </cell>
          <cell r="AB3900" t="str">
            <v>-</v>
          </cell>
          <cell r="AF3900">
            <v>16</v>
          </cell>
          <cell r="AG3900" t="str">
            <v>DRN180M4</v>
          </cell>
          <cell r="AH3900" t="str">
            <v>KH127-DRN180M4A270-X#</v>
          </cell>
        </row>
        <row r="3901">
          <cell r="A3901" t="str">
            <v>MR003890</v>
          </cell>
          <cell r="B3901" t="str">
            <v>MR</v>
          </cell>
          <cell r="C3901">
            <v>18.5</v>
          </cell>
          <cell r="D3901">
            <v>16</v>
          </cell>
          <cell r="E3901" t="str">
            <v>KH127</v>
          </cell>
          <cell r="F3901">
            <v>10700</v>
          </cell>
          <cell r="G3901">
            <v>89.89</v>
          </cell>
          <cell r="H3901">
            <v>1.2</v>
          </cell>
          <cell r="I3901" t="str">
            <v>From M4B to M1B - 40°</v>
          </cell>
          <cell r="J3901" t="str">
            <v>IE3</v>
          </cell>
          <cell r="K3901" t="str">
            <v>230/400</v>
          </cell>
          <cell r="L3901">
            <v>50</v>
          </cell>
          <cell r="M3901" t="str">
            <v>58/33,5</v>
          </cell>
          <cell r="N3901">
            <v>65</v>
          </cell>
          <cell r="O3901" t="str">
            <v>155(F)</v>
          </cell>
          <cell r="P3901" t="str">
            <v>270°</v>
          </cell>
          <cell r="Q3901" t="str">
            <v>TF</v>
          </cell>
          <cell r="R3901" t="str">
            <v>V(VE)</v>
          </cell>
          <cell r="S3901" t="str">
            <v>-</v>
          </cell>
          <cell r="T3901" t="str">
            <v>-</v>
          </cell>
          <cell r="U3901" t="str">
            <v>-</v>
          </cell>
          <cell r="V3901" t="str">
            <v>FC</v>
          </cell>
          <cell r="W3901" t="str">
            <v>-</v>
          </cell>
          <cell r="X3901" t="str">
            <v>CLP HC VG 220 = -20° + 60°</v>
          </cell>
          <cell r="Y3901" t="str">
            <v>KH127DRN180M4 /TF/V</v>
          </cell>
          <cell r="Z3901" t="str">
            <v>SEW</v>
          </cell>
          <cell r="AB3901" t="str">
            <v>-</v>
          </cell>
          <cell r="AF3901">
            <v>16</v>
          </cell>
          <cell r="AG3901" t="str">
            <v>DRN180M4</v>
          </cell>
          <cell r="AH3901" t="str">
            <v>KH127-DRN180M4B270-X#</v>
          </cell>
        </row>
        <row r="3902">
          <cell r="A3902" t="str">
            <v>MR003891</v>
          </cell>
          <cell r="B3902" t="str">
            <v>MR</v>
          </cell>
          <cell r="C3902">
            <v>15</v>
          </cell>
          <cell r="D3902">
            <v>16</v>
          </cell>
          <cell r="E3902" t="str">
            <v>KH127</v>
          </cell>
          <cell r="F3902">
            <v>8730</v>
          </cell>
          <cell r="G3902">
            <v>89.89</v>
          </cell>
          <cell r="H3902">
            <v>1.5</v>
          </cell>
          <cell r="I3902" t="str">
            <v>From M4A to M1A - 30°</v>
          </cell>
          <cell r="J3902" t="str">
            <v>IE3</v>
          </cell>
          <cell r="K3902" t="str">
            <v>230/400</v>
          </cell>
          <cell r="L3902">
            <v>50</v>
          </cell>
          <cell r="M3902" t="str">
            <v>50/29</v>
          </cell>
          <cell r="N3902">
            <v>65</v>
          </cell>
          <cell r="O3902" t="str">
            <v>155(F)</v>
          </cell>
          <cell r="P3902" t="str">
            <v>270°</v>
          </cell>
          <cell r="Q3902" t="str">
            <v>TF</v>
          </cell>
          <cell r="R3902" t="str">
            <v>V(VE)</v>
          </cell>
          <cell r="S3902" t="str">
            <v>-</v>
          </cell>
          <cell r="T3902" t="str">
            <v>-</v>
          </cell>
          <cell r="U3902" t="str">
            <v>-</v>
          </cell>
          <cell r="V3902" t="str">
            <v>FC</v>
          </cell>
          <cell r="W3902" t="str">
            <v>-</v>
          </cell>
          <cell r="X3902" t="str">
            <v>CLP HC VG 220 = -20° + 60°</v>
          </cell>
          <cell r="Y3902" t="str">
            <v>KH127DRN160L4 /TF/V</v>
          </cell>
          <cell r="Z3902" t="str">
            <v>SEW</v>
          </cell>
          <cell r="AB3902" t="str">
            <v>-</v>
          </cell>
          <cell r="AF3902">
            <v>16</v>
          </cell>
          <cell r="AG3902" t="str">
            <v>DRN160L4</v>
          </cell>
          <cell r="AH3902" t="str">
            <v>KH127-DRN160L4A270-X#</v>
          </cell>
        </row>
        <row r="3903">
          <cell r="A3903" t="str">
            <v>MR003892</v>
          </cell>
          <cell r="B3903" t="str">
            <v>MR</v>
          </cell>
          <cell r="C3903">
            <v>15</v>
          </cell>
          <cell r="D3903">
            <v>16</v>
          </cell>
          <cell r="E3903" t="str">
            <v>KH127</v>
          </cell>
          <cell r="F3903">
            <v>8730</v>
          </cell>
          <cell r="G3903">
            <v>89.89</v>
          </cell>
          <cell r="H3903">
            <v>1.5</v>
          </cell>
          <cell r="I3903" t="str">
            <v>From M4B to M1B - 30°</v>
          </cell>
          <cell r="J3903" t="str">
            <v>IE3</v>
          </cell>
          <cell r="K3903" t="str">
            <v>230/400</v>
          </cell>
          <cell r="L3903">
            <v>50</v>
          </cell>
          <cell r="M3903" t="str">
            <v>50/29</v>
          </cell>
          <cell r="N3903">
            <v>65</v>
          </cell>
          <cell r="O3903" t="str">
            <v>155(F)</v>
          </cell>
          <cell r="P3903" t="str">
            <v>270°</v>
          </cell>
          <cell r="Q3903" t="str">
            <v>TF</v>
          </cell>
          <cell r="R3903" t="str">
            <v>V(VE)</v>
          </cell>
          <cell r="S3903" t="str">
            <v>-</v>
          </cell>
          <cell r="T3903" t="str">
            <v>-</v>
          </cell>
          <cell r="U3903" t="str">
            <v>-</v>
          </cell>
          <cell r="V3903" t="str">
            <v>FC</v>
          </cell>
          <cell r="W3903" t="str">
            <v>-</v>
          </cell>
          <cell r="X3903" t="str">
            <v>CLP HC VG 220 = -20° + 60°</v>
          </cell>
          <cell r="Y3903" t="str">
            <v>KH127DRN160L4 /TF/V</v>
          </cell>
          <cell r="Z3903" t="str">
            <v>SEW</v>
          </cell>
          <cell r="AB3903" t="str">
            <v>-</v>
          </cell>
          <cell r="AF3903">
            <v>16</v>
          </cell>
          <cell r="AG3903" t="str">
            <v>DRN160L4</v>
          </cell>
          <cell r="AH3903" t="str">
            <v>KH127-DRN160L4B270-X#</v>
          </cell>
        </row>
        <row r="3904">
          <cell r="A3904" t="str">
            <v>MR003893</v>
          </cell>
          <cell r="B3904" t="str">
            <v>MR</v>
          </cell>
          <cell r="C3904">
            <v>22</v>
          </cell>
          <cell r="D3904">
            <v>12</v>
          </cell>
          <cell r="E3904" t="str">
            <v>KH157</v>
          </cell>
          <cell r="F3904">
            <v>17400</v>
          </cell>
          <cell r="G3904">
            <v>122.39</v>
          </cell>
          <cell r="H3904">
            <v>1.1499999999999999</v>
          </cell>
          <cell r="I3904" t="str">
            <v>From M1A to M2A - 30°</v>
          </cell>
          <cell r="J3904" t="str">
            <v>IE3</v>
          </cell>
          <cell r="K3904" t="str">
            <v>230/400</v>
          </cell>
          <cell r="L3904">
            <v>50</v>
          </cell>
          <cell r="M3904" t="str">
            <v>67/38,5</v>
          </cell>
          <cell r="N3904">
            <v>65</v>
          </cell>
          <cell r="O3904" t="str">
            <v>155(F)</v>
          </cell>
          <cell r="P3904" t="str">
            <v>180°</v>
          </cell>
          <cell r="Q3904" t="str">
            <v>TF</v>
          </cell>
          <cell r="R3904" t="str">
            <v>V(VE)</v>
          </cell>
          <cell r="S3904" t="str">
            <v>-</v>
          </cell>
          <cell r="T3904" t="str">
            <v>-</v>
          </cell>
          <cell r="U3904" t="str">
            <v>-</v>
          </cell>
          <cell r="V3904" t="str">
            <v>FC</v>
          </cell>
          <cell r="W3904" t="str">
            <v>-</v>
          </cell>
          <cell r="X3904" t="str">
            <v>CLP HC VG 220 = -20° + 60°</v>
          </cell>
          <cell r="Y3904" t="str">
            <v>KH157DRN180L4 /TF/V</v>
          </cell>
          <cell r="Z3904" t="str">
            <v>SEW</v>
          </cell>
          <cell r="AB3904" t="str">
            <v>-</v>
          </cell>
          <cell r="AF3904">
            <v>12</v>
          </cell>
          <cell r="AG3904" t="str">
            <v>DRN180L4</v>
          </cell>
          <cell r="AH3904" t="str">
            <v>KH157-DRN180L4A180-X#</v>
          </cell>
        </row>
        <row r="3905">
          <cell r="A3905" t="str">
            <v>MR003894</v>
          </cell>
          <cell r="B3905" t="str">
            <v>MR</v>
          </cell>
          <cell r="C3905">
            <v>22</v>
          </cell>
          <cell r="D3905">
            <v>12</v>
          </cell>
          <cell r="E3905" t="str">
            <v>KH157</v>
          </cell>
          <cell r="F3905">
            <v>17400</v>
          </cell>
          <cell r="G3905">
            <v>122.39</v>
          </cell>
          <cell r="H3905">
            <v>1.1499999999999999</v>
          </cell>
          <cell r="I3905" t="str">
            <v>From M1B to M2B - 30°</v>
          </cell>
          <cell r="J3905" t="str">
            <v>IE3</v>
          </cell>
          <cell r="K3905" t="str">
            <v>230/400</v>
          </cell>
          <cell r="L3905">
            <v>50</v>
          </cell>
          <cell r="M3905" t="str">
            <v>67/38,5</v>
          </cell>
          <cell r="N3905">
            <v>65</v>
          </cell>
          <cell r="O3905" t="str">
            <v>155(F)</v>
          </cell>
          <cell r="P3905" t="str">
            <v>0°</v>
          </cell>
          <cell r="Q3905" t="str">
            <v>TF</v>
          </cell>
          <cell r="R3905" t="str">
            <v>V(VE)</v>
          </cell>
          <cell r="S3905" t="str">
            <v>-</v>
          </cell>
          <cell r="T3905" t="str">
            <v>-</v>
          </cell>
          <cell r="U3905" t="str">
            <v>-</v>
          </cell>
          <cell r="V3905" t="str">
            <v>FC</v>
          </cell>
          <cell r="W3905" t="str">
            <v>-</v>
          </cell>
          <cell r="X3905" t="str">
            <v>CLP HC VG 220 = -20° + 60°</v>
          </cell>
          <cell r="Y3905" t="str">
            <v>KH157DRN180L4 /TF/V</v>
          </cell>
          <cell r="Z3905" t="str">
            <v>SEW</v>
          </cell>
          <cell r="AB3905" t="str">
            <v>-</v>
          </cell>
          <cell r="AF3905">
            <v>12</v>
          </cell>
          <cell r="AG3905" t="str">
            <v>DRN180L4</v>
          </cell>
          <cell r="AH3905" t="str">
            <v>KH157-DRN180L4B0-X#</v>
          </cell>
        </row>
        <row r="3906">
          <cell r="A3906" t="str">
            <v>MR003895</v>
          </cell>
          <cell r="B3906" t="str">
            <v>MR</v>
          </cell>
          <cell r="C3906">
            <v>30</v>
          </cell>
          <cell r="D3906">
            <v>16</v>
          </cell>
          <cell r="E3906" t="str">
            <v>KH157</v>
          </cell>
          <cell r="F3906">
            <v>17700</v>
          </cell>
          <cell r="G3906">
            <v>91.65</v>
          </cell>
          <cell r="H3906">
            <v>1.1499999999999999</v>
          </cell>
          <cell r="I3906" t="str">
            <v>From M1B to M2B - 30°</v>
          </cell>
          <cell r="J3906" t="str">
            <v>IE3</v>
          </cell>
          <cell r="K3906" t="str">
            <v>230/400</v>
          </cell>
          <cell r="L3906">
            <v>50</v>
          </cell>
          <cell r="M3906" t="str">
            <v>97/56</v>
          </cell>
          <cell r="N3906">
            <v>65</v>
          </cell>
          <cell r="O3906" t="str">
            <v>155(F)</v>
          </cell>
          <cell r="P3906" t="str">
            <v>0°</v>
          </cell>
          <cell r="Q3906" t="str">
            <v>TF</v>
          </cell>
          <cell r="R3906" t="str">
            <v>V(VE)</v>
          </cell>
          <cell r="S3906" t="str">
            <v>-</v>
          </cell>
          <cell r="T3906" t="str">
            <v>-</v>
          </cell>
          <cell r="U3906" t="str">
            <v>-</v>
          </cell>
          <cell r="V3906" t="str">
            <v>FC</v>
          </cell>
          <cell r="W3906" t="str">
            <v>-</v>
          </cell>
          <cell r="X3906" t="str">
            <v>CLP HC VG 220 = -20° + 60°</v>
          </cell>
          <cell r="Y3906" t="str">
            <v>KH157DRN200L4 /TF/V</v>
          </cell>
          <cell r="Z3906" t="str">
            <v>SEW</v>
          </cell>
          <cell r="AB3906" t="str">
            <v>-</v>
          </cell>
          <cell r="AF3906">
            <v>16</v>
          </cell>
          <cell r="AG3906" t="str">
            <v>DRN200L4</v>
          </cell>
          <cell r="AH3906" t="str">
            <v>KH157-DRN200L4B0-X#</v>
          </cell>
        </row>
        <row r="3907">
          <cell r="A3907" t="str">
            <v>MR003896</v>
          </cell>
          <cell r="B3907" t="str">
            <v>MR</v>
          </cell>
          <cell r="C3907">
            <v>2.2000000000000002</v>
          </cell>
          <cell r="D3907">
            <v>16</v>
          </cell>
          <cell r="E3907" t="str">
            <v>KH77</v>
          </cell>
          <cell r="F3907">
            <v>1280</v>
          </cell>
          <cell r="G3907">
            <v>88.97</v>
          </cell>
          <cell r="H3907">
            <v>1.2</v>
          </cell>
          <cell r="I3907" t="str">
            <v>M4B</v>
          </cell>
          <cell r="J3907" t="str">
            <v>IE3</v>
          </cell>
          <cell r="K3907" t="str">
            <v>230/400</v>
          </cell>
          <cell r="L3907">
            <v>50</v>
          </cell>
          <cell r="M3907" t="str">
            <v>8,3/4,75</v>
          </cell>
          <cell r="N3907">
            <v>65</v>
          </cell>
          <cell r="O3907" t="str">
            <v>155(F)</v>
          </cell>
          <cell r="P3907" t="str">
            <v>270°</v>
          </cell>
          <cell r="Q3907" t="str">
            <v>TF</v>
          </cell>
          <cell r="R3907" t="str">
            <v>-</v>
          </cell>
          <cell r="S3907" t="str">
            <v>-</v>
          </cell>
          <cell r="T3907" t="str">
            <v>-</v>
          </cell>
          <cell r="U3907" t="str">
            <v>-</v>
          </cell>
          <cell r="V3907" t="str">
            <v>FC</v>
          </cell>
          <cell r="W3907" t="str">
            <v>-</v>
          </cell>
          <cell r="X3907" t="str">
            <v>CLP HC VG 220 = -20° + 60°</v>
          </cell>
          <cell r="Y3907" t="str">
            <v>KH77DRN100LS4 /TF</v>
          </cell>
          <cell r="Z3907" t="str">
            <v>SEW</v>
          </cell>
          <cell r="AB3907" t="str">
            <v>-</v>
          </cell>
          <cell r="AF3907">
            <v>16</v>
          </cell>
          <cell r="AG3907" t="str">
            <v>DRN100LS4</v>
          </cell>
          <cell r="AH3907" t="str">
            <v>KH77-DRN100LS4B270-X</v>
          </cell>
        </row>
        <row r="3908">
          <cell r="A3908" t="str">
            <v>MR003897</v>
          </cell>
          <cell r="B3908" t="str">
            <v>MR</v>
          </cell>
          <cell r="C3908">
            <v>18.5</v>
          </cell>
          <cell r="D3908">
            <v>12</v>
          </cell>
          <cell r="E3908" t="str">
            <v>KH157</v>
          </cell>
          <cell r="F3908">
            <v>14600</v>
          </cell>
          <cell r="G3908">
            <v>122.39</v>
          </cell>
          <cell r="H3908">
            <v>1.35</v>
          </cell>
          <cell r="I3908" t="str">
            <v>From M1A to M2A - 30°</v>
          </cell>
          <cell r="J3908" t="str">
            <v>IE3</v>
          </cell>
          <cell r="K3908" t="str">
            <v>230/400</v>
          </cell>
          <cell r="L3908">
            <v>50</v>
          </cell>
          <cell r="M3908" t="str">
            <v>58/33,5</v>
          </cell>
          <cell r="N3908">
            <v>65</v>
          </cell>
          <cell r="O3908" t="str">
            <v>155(F)</v>
          </cell>
          <cell r="P3908" t="str">
            <v>180°</v>
          </cell>
          <cell r="Q3908" t="str">
            <v>TF</v>
          </cell>
          <cell r="R3908" t="str">
            <v>V(VE)</v>
          </cell>
          <cell r="S3908" t="str">
            <v>-</v>
          </cell>
          <cell r="T3908" t="str">
            <v>-</v>
          </cell>
          <cell r="U3908" t="str">
            <v>-</v>
          </cell>
          <cell r="V3908" t="str">
            <v>FC</v>
          </cell>
          <cell r="W3908" t="str">
            <v>-</v>
          </cell>
          <cell r="X3908" t="str">
            <v>CLP HC 220 (-25/+60°C)</v>
          </cell>
          <cell r="Y3908" t="str">
            <v>KH157DRN180M4 /TF/V</v>
          </cell>
          <cell r="Z3908" t="str">
            <v>SEW</v>
          </cell>
          <cell r="AB3908" t="str">
            <v>-</v>
          </cell>
          <cell r="AG3908" t="str">
            <v>DRN180M4</v>
          </cell>
          <cell r="AH3908" t="str">
            <v>KH157-DRN180M4A180-X#</v>
          </cell>
        </row>
        <row r="3909">
          <cell r="A3909" t="str">
            <v>MR003898</v>
          </cell>
          <cell r="B3909" t="str">
            <v>MR</v>
          </cell>
          <cell r="C3909">
            <v>18.5</v>
          </cell>
          <cell r="D3909">
            <v>12</v>
          </cell>
          <cell r="E3909" t="str">
            <v>KH157</v>
          </cell>
          <cell r="F3909">
            <v>14600</v>
          </cell>
          <cell r="G3909">
            <v>122.39</v>
          </cell>
          <cell r="H3909">
            <v>1.35</v>
          </cell>
          <cell r="I3909" t="str">
            <v>From M1B to M2B - 30°</v>
          </cell>
          <cell r="J3909" t="str">
            <v>IE3</v>
          </cell>
          <cell r="K3909" t="str">
            <v>230/400</v>
          </cell>
          <cell r="L3909">
            <v>50</v>
          </cell>
          <cell r="M3909" t="str">
            <v>58/33,5</v>
          </cell>
          <cell r="N3909">
            <v>65</v>
          </cell>
          <cell r="O3909" t="str">
            <v>155(F)</v>
          </cell>
          <cell r="P3909" t="str">
            <v>0°</v>
          </cell>
          <cell r="Q3909" t="str">
            <v>TF</v>
          </cell>
          <cell r="R3909" t="str">
            <v>V(VE)</v>
          </cell>
          <cell r="S3909" t="str">
            <v>-</v>
          </cell>
          <cell r="T3909" t="str">
            <v>-</v>
          </cell>
          <cell r="U3909" t="str">
            <v>-</v>
          </cell>
          <cell r="V3909" t="str">
            <v>FC</v>
          </cell>
          <cell r="W3909" t="str">
            <v>-</v>
          </cell>
          <cell r="X3909" t="str">
            <v>CLP HC 220 (-25/+60°C)</v>
          </cell>
          <cell r="Y3909" t="str">
            <v>KH157DRN180M4 /TF/V</v>
          </cell>
          <cell r="Z3909" t="str">
            <v>SEW</v>
          </cell>
          <cell r="AB3909" t="str">
            <v>-</v>
          </cell>
          <cell r="AG3909" t="str">
            <v>DRN180M4</v>
          </cell>
          <cell r="AH3909" t="str">
            <v>KH157-DRN180M4B0-X#</v>
          </cell>
        </row>
        <row r="3910">
          <cell r="A3910" t="str">
            <v>MR003899</v>
          </cell>
          <cell r="B3910" t="str">
            <v>MR</v>
          </cell>
          <cell r="C3910">
            <v>3</v>
          </cell>
          <cell r="D3910">
            <v>11</v>
          </cell>
          <cell r="E3910" t="str">
            <v>KH87</v>
          </cell>
          <cell r="F3910">
            <v>2490</v>
          </cell>
          <cell r="G3910">
            <v>126.91</v>
          </cell>
          <cell r="H3910">
            <v>1.1000000000000001</v>
          </cell>
          <cell r="I3910" t="str">
            <v>M4B</v>
          </cell>
          <cell r="J3910" t="str">
            <v>IE3</v>
          </cell>
          <cell r="K3910" t="str">
            <v>230/400</v>
          </cell>
          <cell r="L3910">
            <v>50</v>
          </cell>
          <cell r="M3910" t="str">
            <v>11,2/6,4</v>
          </cell>
          <cell r="N3910">
            <v>65</v>
          </cell>
          <cell r="O3910" t="str">
            <v>155(F)</v>
          </cell>
          <cell r="P3910" t="str">
            <v>270°</v>
          </cell>
          <cell r="Q3910" t="str">
            <v>TF</v>
          </cell>
          <cell r="R3910" t="str">
            <v>-</v>
          </cell>
          <cell r="S3910" t="str">
            <v>-</v>
          </cell>
          <cell r="T3910" t="str">
            <v>-</v>
          </cell>
          <cell r="U3910" t="str">
            <v>-</v>
          </cell>
          <cell r="V3910" t="str">
            <v>FC</v>
          </cell>
          <cell r="W3910" t="str">
            <v>-</v>
          </cell>
          <cell r="X3910" t="str">
            <v>CLP HC 220 (-25/+60°C)</v>
          </cell>
          <cell r="Y3910" t="str">
            <v>KH87DRN100L4 /TF</v>
          </cell>
          <cell r="Z3910" t="str">
            <v>SEW</v>
          </cell>
          <cell r="AB3910" t="str">
            <v>-</v>
          </cell>
          <cell r="AF3910">
            <v>11</v>
          </cell>
          <cell r="AG3910" t="str">
            <v>DRN100L4</v>
          </cell>
          <cell r="AH3910" t="str">
            <v>KH87-DRN100L4B270-X</v>
          </cell>
        </row>
        <row r="3911">
          <cell r="A3911" t="str">
            <v>MR003900</v>
          </cell>
          <cell r="B3911" t="str">
            <v>MR</v>
          </cell>
          <cell r="C3911">
            <v>30</v>
          </cell>
          <cell r="D3911">
            <v>16</v>
          </cell>
          <cell r="E3911" t="str">
            <v>KH157</v>
          </cell>
          <cell r="F3911">
            <v>17700</v>
          </cell>
          <cell r="G3911">
            <v>91.65</v>
          </cell>
          <cell r="H3911">
            <v>1.1499999999999999</v>
          </cell>
          <cell r="I3911" t="str">
            <v>From M1A to M2A - 30°</v>
          </cell>
          <cell r="J3911" t="str">
            <v>IE3</v>
          </cell>
          <cell r="K3911" t="str">
            <v>230/400</v>
          </cell>
          <cell r="L3911">
            <v>50</v>
          </cell>
          <cell r="M3911" t="str">
            <v>97/56</v>
          </cell>
          <cell r="N3911">
            <v>65</v>
          </cell>
          <cell r="O3911" t="str">
            <v>155(F)</v>
          </cell>
          <cell r="P3911" t="str">
            <v>180°</v>
          </cell>
          <cell r="Q3911" t="str">
            <v>TF</v>
          </cell>
          <cell r="R3911" t="str">
            <v>V(VE)</v>
          </cell>
          <cell r="S3911" t="str">
            <v>-</v>
          </cell>
          <cell r="T3911" t="str">
            <v>-</v>
          </cell>
          <cell r="U3911" t="str">
            <v>-</v>
          </cell>
          <cell r="V3911" t="str">
            <v>FC</v>
          </cell>
          <cell r="W3911" t="str">
            <v>-</v>
          </cell>
          <cell r="X3911" t="str">
            <v>CLP HC VG 220 = -20° + 60°</v>
          </cell>
          <cell r="Y3911" t="str">
            <v>KH157DRN200L4 /TF/V</v>
          </cell>
          <cell r="Z3911" t="str">
            <v>SEW</v>
          </cell>
          <cell r="AB3911" t="str">
            <v>-</v>
          </cell>
          <cell r="AF3911">
            <v>16</v>
          </cell>
          <cell r="AG3911" t="str">
            <v>DRN200L4</v>
          </cell>
          <cell r="AH3911" t="str">
            <v>KH157-DRN200L4A180-X#</v>
          </cell>
        </row>
        <row r="3912">
          <cell r="A3912" t="str">
            <v>MR003901</v>
          </cell>
          <cell r="B3912" t="str">
            <v>MR</v>
          </cell>
          <cell r="C3912">
            <v>2.2000000000000002</v>
          </cell>
          <cell r="D3912">
            <v>16</v>
          </cell>
          <cell r="E3912" t="str">
            <v>KH77</v>
          </cell>
          <cell r="F3912">
            <v>1280</v>
          </cell>
          <cell r="G3912">
            <v>88.97</v>
          </cell>
          <cell r="H3912">
            <v>1.2</v>
          </cell>
          <cell r="I3912" t="str">
            <v>M4A</v>
          </cell>
          <cell r="J3912" t="str">
            <v>IE3</v>
          </cell>
          <cell r="K3912" t="str">
            <v>230/400</v>
          </cell>
          <cell r="L3912">
            <v>50</v>
          </cell>
          <cell r="M3912" t="str">
            <v>8,3/4,75</v>
          </cell>
          <cell r="N3912">
            <v>65</v>
          </cell>
          <cell r="O3912" t="str">
            <v>155(F)</v>
          </cell>
          <cell r="P3912" t="str">
            <v>270°</v>
          </cell>
          <cell r="Q3912" t="str">
            <v>TF</v>
          </cell>
          <cell r="R3912" t="str">
            <v>-</v>
          </cell>
          <cell r="S3912" t="str">
            <v>-</v>
          </cell>
          <cell r="T3912" t="str">
            <v>-</v>
          </cell>
          <cell r="U3912" t="str">
            <v>-</v>
          </cell>
          <cell r="V3912" t="str">
            <v>FC</v>
          </cell>
          <cell r="W3912" t="str">
            <v>-</v>
          </cell>
          <cell r="X3912" t="str">
            <v>CLP HC VG 220 = -20° + 60°</v>
          </cell>
          <cell r="Y3912" t="str">
            <v>KH77DRN100LS4 /TF</v>
          </cell>
          <cell r="Z3912" t="str">
            <v>SEW</v>
          </cell>
          <cell r="AB3912" t="str">
            <v>-</v>
          </cell>
          <cell r="AF3912">
            <v>16</v>
          </cell>
          <cell r="AG3912" t="str">
            <v>DRN100LS4</v>
          </cell>
          <cell r="AH3912" t="str">
            <v>KH77-DRN100LS4A270-X</v>
          </cell>
        </row>
        <row r="3913">
          <cell r="A3913" t="str">
            <v>MR003902</v>
          </cell>
          <cell r="B3913" t="str">
            <v>MR</v>
          </cell>
          <cell r="C3913">
            <v>3</v>
          </cell>
          <cell r="D3913">
            <v>11</v>
          </cell>
          <cell r="E3913" t="str">
            <v>KH87</v>
          </cell>
          <cell r="F3913">
            <v>2490</v>
          </cell>
          <cell r="G3913">
            <v>126.91</v>
          </cell>
          <cell r="H3913">
            <v>1.1000000000000001</v>
          </cell>
          <cell r="I3913" t="str">
            <v>M4A</v>
          </cell>
          <cell r="J3913" t="str">
            <v>IE3</v>
          </cell>
          <cell r="K3913" t="str">
            <v>230/400</v>
          </cell>
          <cell r="L3913">
            <v>50</v>
          </cell>
          <cell r="M3913" t="str">
            <v>11,2/6,4</v>
          </cell>
          <cell r="N3913">
            <v>65</v>
          </cell>
          <cell r="O3913" t="str">
            <v>155(F)</v>
          </cell>
          <cell r="P3913" t="str">
            <v>270°</v>
          </cell>
          <cell r="Q3913" t="str">
            <v>TF</v>
          </cell>
          <cell r="R3913" t="str">
            <v>-</v>
          </cell>
          <cell r="S3913" t="str">
            <v>-</v>
          </cell>
          <cell r="T3913" t="str">
            <v>-</v>
          </cell>
          <cell r="U3913" t="str">
            <v>-</v>
          </cell>
          <cell r="V3913" t="str">
            <v>FC</v>
          </cell>
          <cell r="W3913" t="str">
            <v>-</v>
          </cell>
          <cell r="X3913" t="str">
            <v>CLP HC 220 (-25/+60°C)</v>
          </cell>
          <cell r="Y3913" t="str">
            <v>KH87DRN100L4 /TF</v>
          </cell>
          <cell r="Z3913" t="str">
            <v>SEW</v>
          </cell>
          <cell r="AB3913" t="str">
            <v>-</v>
          </cell>
          <cell r="AF3913">
            <v>11</v>
          </cell>
          <cell r="AG3913" t="str">
            <v>DRN100L4</v>
          </cell>
          <cell r="AH3913" t="str">
            <v>KH87-DRN100L4A270-X</v>
          </cell>
        </row>
        <row r="3914">
          <cell r="A3914" t="str">
            <v>MR003903</v>
          </cell>
          <cell r="B3914" t="str">
            <v>MR</v>
          </cell>
          <cell r="C3914">
            <v>9.1999999999999993</v>
          </cell>
          <cell r="D3914">
            <v>12</v>
          </cell>
          <cell r="E3914" t="str">
            <v>KH127</v>
          </cell>
          <cell r="F3914">
            <v>7320</v>
          </cell>
          <cell r="G3914">
            <v>122.48</v>
          </cell>
          <cell r="H3914">
            <v>1.8</v>
          </cell>
          <cell r="I3914" t="str">
            <v>From M1A to M2A - 10°</v>
          </cell>
          <cell r="J3914" t="str">
            <v>IE3</v>
          </cell>
          <cell r="K3914" t="str">
            <v>230/400</v>
          </cell>
          <cell r="L3914">
            <v>50</v>
          </cell>
          <cell r="M3914" t="str">
            <v>32,5/18,7</v>
          </cell>
          <cell r="N3914">
            <v>65</v>
          </cell>
          <cell r="O3914" t="str">
            <v>155(F)</v>
          </cell>
          <cell r="P3914" t="str">
            <v>180°</v>
          </cell>
          <cell r="Q3914" t="str">
            <v>TF</v>
          </cell>
          <cell r="R3914" t="str">
            <v>V(VE)</v>
          </cell>
          <cell r="S3914" t="str">
            <v>-</v>
          </cell>
          <cell r="T3914" t="str">
            <v>-</v>
          </cell>
          <cell r="U3914" t="str">
            <v>-</v>
          </cell>
          <cell r="V3914" t="str">
            <v>FC</v>
          </cell>
          <cell r="W3914" t="str">
            <v>-</v>
          </cell>
          <cell r="X3914" t="str">
            <v>CLP HC VG 220 = -20° + 60°</v>
          </cell>
          <cell r="Y3914" t="str">
            <v>KH127DRN132L4 /TF/V</v>
          </cell>
          <cell r="Z3914" t="str">
            <v>SEW</v>
          </cell>
          <cell r="AB3914" t="str">
            <v>-</v>
          </cell>
          <cell r="AF3914">
            <v>12</v>
          </cell>
          <cell r="AG3914" t="str">
            <v>DRN132L4</v>
          </cell>
          <cell r="AH3914" t="str">
            <v>KH127-DRN132L4A180-X#</v>
          </cell>
        </row>
        <row r="3915">
          <cell r="A3915" t="str">
            <v>MR003904</v>
          </cell>
          <cell r="B3915" t="str">
            <v>MR</v>
          </cell>
          <cell r="C3915">
            <v>5.5</v>
          </cell>
          <cell r="D3915">
            <v>14</v>
          </cell>
          <cell r="E3915" t="str">
            <v>KH97</v>
          </cell>
          <cell r="F3915">
            <v>3770</v>
          </cell>
          <cell r="G3915">
            <v>105.13</v>
          </cell>
          <cell r="H3915">
            <v>1.1499999999999999</v>
          </cell>
          <cell r="I3915" t="str">
            <v>From M1A to M2A - 45°</v>
          </cell>
          <cell r="J3915" t="str">
            <v>IE3</v>
          </cell>
          <cell r="K3915" t="str">
            <v>230/400</v>
          </cell>
          <cell r="L3915">
            <v>50</v>
          </cell>
          <cell r="M3915" t="str">
            <v>18,2/10,5</v>
          </cell>
          <cell r="N3915">
            <v>65</v>
          </cell>
          <cell r="O3915" t="str">
            <v>155(F)</v>
          </cell>
          <cell r="P3915" t="str">
            <v>180°</v>
          </cell>
          <cell r="Q3915" t="str">
            <v>-</v>
          </cell>
          <cell r="R3915" t="str">
            <v>-</v>
          </cell>
          <cell r="S3915" t="str">
            <v>-</v>
          </cell>
          <cell r="T3915" t="str">
            <v>-</v>
          </cell>
          <cell r="U3915" t="str">
            <v>-</v>
          </cell>
          <cell r="V3915" t="str">
            <v>SS</v>
          </cell>
          <cell r="W3915" t="str">
            <v>-</v>
          </cell>
          <cell r="X3915" t="str">
            <v>CLP HC VG 220 = -20° + 60°</v>
          </cell>
          <cell r="Y3915" t="str">
            <v>KH97DRN132S4</v>
          </cell>
          <cell r="Z3915" t="str">
            <v>SEW</v>
          </cell>
          <cell r="AB3915" t="str">
            <v>-</v>
          </cell>
          <cell r="AF3915">
            <v>14</v>
          </cell>
          <cell r="AG3915" t="str">
            <v>DRN132S4</v>
          </cell>
          <cell r="AH3915" t="str">
            <v>KH97-DRN132S4A180-X</v>
          </cell>
        </row>
        <row r="3916">
          <cell r="A3916" t="str">
            <v>MR003905</v>
          </cell>
          <cell r="B3916" t="str">
            <v>MR</v>
          </cell>
          <cell r="C3916">
            <v>5.5</v>
          </cell>
          <cell r="D3916">
            <v>14</v>
          </cell>
          <cell r="E3916" t="str">
            <v>KH97</v>
          </cell>
          <cell r="F3916">
            <v>3770</v>
          </cell>
          <cell r="G3916">
            <v>105.13</v>
          </cell>
          <cell r="H3916">
            <v>1.1499999999999999</v>
          </cell>
          <cell r="I3916" t="str">
            <v>From M1A to M2A - 30°</v>
          </cell>
          <cell r="J3916" t="str">
            <v>IE3</v>
          </cell>
          <cell r="K3916" t="str">
            <v>230/400</v>
          </cell>
          <cell r="L3916">
            <v>50</v>
          </cell>
          <cell r="M3916" t="str">
            <v>18,2/10,5</v>
          </cell>
          <cell r="N3916">
            <v>65</v>
          </cell>
          <cell r="O3916" t="str">
            <v>155(F)</v>
          </cell>
          <cell r="P3916" t="str">
            <v>180°</v>
          </cell>
          <cell r="Q3916" t="str">
            <v>-</v>
          </cell>
          <cell r="R3916" t="str">
            <v>-</v>
          </cell>
          <cell r="S3916" t="str">
            <v>-</v>
          </cell>
          <cell r="T3916" t="str">
            <v>-</v>
          </cell>
          <cell r="U3916" t="str">
            <v>-</v>
          </cell>
          <cell r="V3916" t="str">
            <v>SS</v>
          </cell>
          <cell r="W3916" t="str">
            <v>-</v>
          </cell>
          <cell r="X3916" t="str">
            <v>CLP HC VG 220 = -20° + 60°</v>
          </cell>
          <cell r="Y3916" t="str">
            <v>KH97DRN132S4</v>
          </cell>
          <cell r="Z3916" t="str">
            <v>SEW</v>
          </cell>
          <cell r="AB3916" t="str">
            <v>-</v>
          </cell>
          <cell r="AF3916">
            <v>14</v>
          </cell>
          <cell r="AG3916" t="str">
            <v>DRN132S4</v>
          </cell>
          <cell r="AH3916" t="str">
            <v>KH97-DRN132S4A180-X</v>
          </cell>
        </row>
        <row r="3917">
          <cell r="A3917" t="str">
            <v>MR003906</v>
          </cell>
          <cell r="B3917" t="str">
            <v>MR</v>
          </cell>
          <cell r="C3917">
            <v>5.5</v>
          </cell>
          <cell r="D3917">
            <v>14</v>
          </cell>
          <cell r="E3917" t="str">
            <v>KH97</v>
          </cell>
          <cell r="F3917">
            <v>3770</v>
          </cell>
          <cell r="G3917">
            <v>105.13</v>
          </cell>
          <cell r="H3917">
            <v>1.1499999999999999</v>
          </cell>
          <cell r="I3917" t="str">
            <v>From M1A to M2A - 25°</v>
          </cell>
          <cell r="J3917" t="str">
            <v>IE3</v>
          </cell>
          <cell r="K3917" t="str">
            <v>230/400</v>
          </cell>
          <cell r="L3917">
            <v>50</v>
          </cell>
          <cell r="M3917" t="str">
            <v>18,2/10,5</v>
          </cell>
          <cell r="N3917">
            <v>65</v>
          </cell>
          <cell r="O3917" t="str">
            <v>155(F)</v>
          </cell>
          <cell r="P3917" t="str">
            <v>180°</v>
          </cell>
          <cell r="Q3917" t="str">
            <v>-</v>
          </cell>
          <cell r="R3917" t="str">
            <v>-</v>
          </cell>
          <cell r="S3917" t="str">
            <v>-</v>
          </cell>
          <cell r="T3917" t="str">
            <v>-</v>
          </cell>
          <cell r="U3917" t="str">
            <v>-</v>
          </cell>
          <cell r="V3917" t="str">
            <v>SS</v>
          </cell>
          <cell r="W3917" t="str">
            <v>-</v>
          </cell>
          <cell r="X3917" t="str">
            <v>CLP HC VG 220 = -20° + 60°</v>
          </cell>
          <cell r="Y3917" t="str">
            <v>KH97DRN132S4</v>
          </cell>
          <cell r="Z3917" t="str">
            <v>SEW</v>
          </cell>
          <cell r="AB3917" t="str">
            <v>-</v>
          </cell>
          <cell r="AF3917">
            <v>14</v>
          </cell>
          <cell r="AG3917" t="str">
            <v>DRN132S4</v>
          </cell>
          <cell r="AH3917" t="str">
            <v>KH97-DRN132S4A180-X</v>
          </cell>
        </row>
        <row r="3918">
          <cell r="A3918" t="str">
            <v>MR003907</v>
          </cell>
          <cell r="B3918" t="str">
            <v>MR</v>
          </cell>
          <cell r="C3918">
            <v>5.5</v>
          </cell>
          <cell r="D3918">
            <v>14</v>
          </cell>
          <cell r="E3918" t="str">
            <v>KH97</v>
          </cell>
          <cell r="F3918">
            <v>3770</v>
          </cell>
          <cell r="G3918">
            <v>105.13</v>
          </cell>
          <cell r="H3918">
            <v>1.1499999999999999</v>
          </cell>
          <cell r="I3918" t="str">
            <v>From M1B to M2B - 25°</v>
          </cell>
          <cell r="J3918" t="str">
            <v>IE3</v>
          </cell>
          <cell r="K3918" t="str">
            <v>230/400</v>
          </cell>
          <cell r="L3918">
            <v>50</v>
          </cell>
          <cell r="M3918" t="str">
            <v>18,2/10,5</v>
          </cell>
          <cell r="N3918">
            <v>65</v>
          </cell>
          <cell r="O3918" t="str">
            <v>155(F)</v>
          </cell>
          <cell r="P3918" t="str">
            <v>0°</v>
          </cell>
          <cell r="Q3918" t="str">
            <v>-</v>
          </cell>
          <cell r="R3918" t="str">
            <v>-</v>
          </cell>
          <cell r="S3918" t="str">
            <v>-</v>
          </cell>
          <cell r="T3918" t="str">
            <v>-</v>
          </cell>
          <cell r="U3918" t="str">
            <v>-</v>
          </cell>
          <cell r="V3918" t="str">
            <v>SS</v>
          </cell>
          <cell r="W3918" t="str">
            <v>-</v>
          </cell>
          <cell r="X3918" t="str">
            <v>CLP HC VG 220 = -20° + 60°</v>
          </cell>
          <cell r="Y3918" t="str">
            <v>KH97DRN132S4</v>
          </cell>
          <cell r="Z3918" t="str">
            <v>SEW</v>
          </cell>
          <cell r="AB3918" t="str">
            <v>-</v>
          </cell>
          <cell r="AF3918">
            <v>14</v>
          </cell>
          <cell r="AG3918" t="str">
            <v>DRN132S4</v>
          </cell>
          <cell r="AH3918" t="str">
            <v>KH97-DRN132S4B0-X</v>
          </cell>
        </row>
        <row r="3919">
          <cell r="A3919" t="str">
            <v>MR003908</v>
          </cell>
          <cell r="B3919" t="str">
            <v>MR</v>
          </cell>
          <cell r="C3919">
            <v>9.1999999999999993</v>
          </cell>
          <cell r="D3919">
            <v>15</v>
          </cell>
          <cell r="E3919" t="str">
            <v>KH107</v>
          </cell>
          <cell r="F3919">
            <v>6020</v>
          </cell>
          <cell r="G3919">
            <v>100.75</v>
          </cell>
          <cell r="H3919">
            <v>1.35</v>
          </cell>
          <cell r="I3919" t="str">
            <v>From M1A to M2A - 30°</v>
          </cell>
          <cell r="J3919" t="str">
            <v>IE3</v>
          </cell>
          <cell r="K3919" t="str">
            <v>230/400</v>
          </cell>
          <cell r="L3919">
            <v>50</v>
          </cell>
          <cell r="M3919" t="str">
            <v>32,5/18,7</v>
          </cell>
          <cell r="N3919">
            <v>65</v>
          </cell>
          <cell r="O3919" t="str">
            <v>155(F)</v>
          </cell>
          <cell r="P3919" t="str">
            <v>180°</v>
          </cell>
          <cell r="Q3919" t="str">
            <v>TF</v>
          </cell>
          <cell r="R3919" t="str">
            <v>V(VE)</v>
          </cell>
          <cell r="S3919" t="str">
            <v>-</v>
          </cell>
          <cell r="T3919" t="str">
            <v>-</v>
          </cell>
          <cell r="U3919" t="str">
            <v>-</v>
          </cell>
          <cell r="V3919" t="str">
            <v>FC</v>
          </cell>
          <cell r="W3919" t="str">
            <v>-</v>
          </cell>
          <cell r="X3919" t="str">
            <v>CLP HC VG 220 = -20° + 60°</v>
          </cell>
          <cell r="Y3919" t="str">
            <v>KH107DRN132L4 /TF/V</v>
          </cell>
          <cell r="Z3919" t="str">
            <v>SEW</v>
          </cell>
          <cell r="AB3919" t="str">
            <v>-</v>
          </cell>
          <cell r="AF3919">
            <v>15</v>
          </cell>
          <cell r="AG3919" t="str">
            <v>DRN132L4</v>
          </cell>
          <cell r="AH3919" t="str">
            <v>KH107-DRN132L4A180-X#</v>
          </cell>
        </row>
        <row r="3920">
          <cell r="A3920" t="str">
            <v>MR003909</v>
          </cell>
          <cell r="B3920" t="str">
            <v>MR</v>
          </cell>
          <cell r="C3920">
            <v>9.1999999999999993</v>
          </cell>
          <cell r="D3920">
            <v>15</v>
          </cell>
          <cell r="E3920" t="str">
            <v>KH107</v>
          </cell>
          <cell r="F3920">
            <v>6020</v>
          </cell>
          <cell r="G3920">
            <v>100.75</v>
          </cell>
          <cell r="H3920">
            <v>1.35</v>
          </cell>
          <cell r="I3920" t="str">
            <v>From M1B to M2B - 30°</v>
          </cell>
          <cell r="J3920" t="str">
            <v>IE3</v>
          </cell>
          <cell r="K3920" t="str">
            <v>230/400</v>
          </cell>
          <cell r="L3920">
            <v>50</v>
          </cell>
          <cell r="M3920" t="str">
            <v>32,5/18,7</v>
          </cell>
          <cell r="N3920">
            <v>65</v>
          </cell>
          <cell r="O3920" t="str">
            <v>155(F)</v>
          </cell>
          <cell r="P3920" t="str">
            <v>0°</v>
          </cell>
          <cell r="Q3920" t="str">
            <v>TF</v>
          </cell>
          <cell r="R3920" t="str">
            <v>V(VE)</v>
          </cell>
          <cell r="S3920" t="str">
            <v>-</v>
          </cell>
          <cell r="T3920" t="str">
            <v>-</v>
          </cell>
          <cell r="U3920" t="str">
            <v>-</v>
          </cell>
          <cell r="V3920" t="str">
            <v>FC</v>
          </cell>
          <cell r="W3920" t="str">
            <v>-</v>
          </cell>
          <cell r="X3920" t="str">
            <v>CLP HC VG 220 = -20° + 60°</v>
          </cell>
          <cell r="Y3920" t="str">
            <v>KH107DRN132L4 /TF/V</v>
          </cell>
          <cell r="Z3920" t="str">
            <v>SEW</v>
          </cell>
          <cell r="AB3920" t="str">
            <v>-</v>
          </cell>
          <cell r="AF3920">
            <v>15</v>
          </cell>
          <cell r="AG3920" t="str">
            <v>DRN132L4</v>
          </cell>
          <cell r="AH3920" t="str">
            <v>KH107-DRN132L4B0-X#</v>
          </cell>
        </row>
        <row r="3921">
          <cell r="A3921" t="str">
            <v>MR003910</v>
          </cell>
          <cell r="B3921" t="str">
            <v>MR</v>
          </cell>
          <cell r="C3921">
            <v>7.5</v>
          </cell>
          <cell r="D3921">
            <v>62</v>
          </cell>
          <cell r="E3921" t="str">
            <v>FH87</v>
          </cell>
          <cell r="F3921">
            <v>1150</v>
          </cell>
          <cell r="G3921">
            <v>23.68</v>
          </cell>
          <cell r="H3921">
            <v>2.6</v>
          </cell>
          <cell r="I3921" t="str">
            <v>M1</v>
          </cell>
          <cell r="J3921" t="str">
            <v>IE3</v>
          </cell>
          <cell r="K3921" t="str">
            <v>400/690</v>
          </cell>
          <cell r="L3921">
            <v>50</v>
          </cell>
          <cell r="M3921" t="str">
            <v>15,2/8,8</v>
          </cell>
          <cell r="N3921">
            <v>55</v>
          </cell>
          <cell r="O3921" t="str">
            <v>155(F)</v>
          </cell>
          <cell r="P3921" t="str">
            <v>270°</v>
          </cell>
          <cell r="Q3921" t="str">
            <v>-</v>
          </cell>
          <cell r="R3921" t="str">
            <v>-</v>
          </cell>
          <cell r="S3921" t="str">
            <v>-</v>
          </cell>
          <cell r="T3921" t="str">
            <v>-</v>
          </cell>
          <cell r="U3921" t="str">
            <v>G</v>
          </cell>
          <cell r="V3921" t="str">
            <v>D</v>
          </cell>
          <cell r="W3921" t="str">
            <v>-</v>
          </cell>
          <cell r="X3921" t="str">
            <v>CLP 220 (-15/+40°C)</v>
          </cell>
          <cell r="Y3921" t="str">
            <v>FH87/G DRN132M4</v>
          </cell>
          <cell r="Z3921" t="str">
            <v>SEW</v>
          </cell>
          <cell r="AB3921" t="str">
            <v>-</v>
          </cell>
          <cell r="AF3921">
            <v>62</v>
          </cell>
          <cell r="AG3921" t="str">
            <v>DRN132M4</v>
          </cell>
          <cell r="AH3921" t="str">
            <v>FH87G-DRN132M4270-X</v>
          </cell>
        </row>
        <row r="3922">
          <cell r="A3922" t="str">
            <v>MR003911</v>
          </cell>
          <cell r="B3922" t="str">
            <v>MR</v>
          </cell>
          <cell r="C3922">
            <v>11</v>
          </cell>
          <cell r="D3922">
            <v>69</v>
          </cell>
          <cell r="E3922" t="str">
            <v>FH87</v>
          </cell>
          <cell r="F3922">
            <v>1520</v>
          </cell>
          <cell r="G3922">
            <v>21.32</v>
          </cell>
          <cell r="H3922">
            <v>1.95</v>
          </cell>
          <cell r="I3922" t="str">
            <v>M1</v>
          </cell>
          <cell r="J3922" t="str">
            <v>IE3</v>
          </cell>
          <cell r="K3922" t="str">
            <v>400/690</v>
          </cell>
          <cell r="L3922">
            <v>50</v>
          </cell>
          <cell r="M3922" t="str">
            <v>21/12,2</v>
          </cell>
          <cell r="N3922">
            <v>55</v>
          </cell>
          <cell r="O3922" t="str">
            <v>155(F)</v>
          </cell>
          <cell r="P3922" t="str">
            <v>270°</v>
          </cell>
          <cell r="Q3922" t="str">
            <v>-</v>
          </cell>
          <cell r="R3922" t="str">
            <v>-</v>
          </cell>
          <cell r="S3922" t="str">
            <v>-</v>
          </cell>
          <cell r="T3922" t="str">
            <v>-</v>
          </cell>
          <cell r="U3922" t="str">
            <v>G</v>
          </cell>
          <cell r="V3922" t="str">
            <v>D+R</v>
          </cell>
          <cell r="W3922" t="str">
            <v>-</v>
          </cell>
          <cell r="X3922" t="str">
            <v>CLP 220 (-15/+40°C)</v>
          </cell>
          <cell r="Y3922" t="str">
            <v>FH87/G DRN160M4</v>
          </cell>
          <cell r="Z3922" t="str">
            <v>SEW</v>
          </cell>
          <cell r="AB3922" t="str">
            <v>-</v>
          </cell>
          <cell r="AF3922">
            <v>69</v>
          </cell>
          <cell r="AG3922" t="str">
            <v>DRN160M4</v>
          </cell>
          <cell r="AH3922" t="str">
            <v>FH87G-DRN160M4270-X</v>
          </cell>
        </row>
        <row r="3923">
          <cell r="A3923" t="str">
            <v>MR003912</v>
          </cell>
          <cell r="B3923" t="str">
            <v>MR</v>
          </cell>
          <cell r="C3923">
            <v>4</v>
          </cell>
          <cell r="D3923">
            <v>66</v>
          </cell>
          <cell r="E3923" t="str">
            <v>FH67</v>
          </cell>
          <cell r="F3923">
            <v>575</v>
          </cell>
          <cell r="G3923">
            <v>22.05</v>
          </cell>
          <cell r="H3923">
            <v>1.45</v>
          </cell>
          <cell r="I3923" t="str">
            <v>M1</v>
          </cell>
          <cell r="J3923" t="str">
            <v>IE3</v>
          </cell>
          <cell r="K3923" t="str">
            <v>230/400</v>
          </cell>
          <cell r="L3923">
            <v>50</v>
          </cell>
          <cell r="M3923" t="str">
            <v>13,8/7,9</v>
          </cell>
          <cell r="N3923">
            <v>55</v>
          </cell>
          <cell r="O3923" t="str">
            <v>155(F)</v>
          </cell>
          <cell r="P3923" t="str">
            <v>270°</v>
          </cell>
          <cell r="Q3923" t="str">
            <v>-</v>
          </cell>
          <cell r="R3923" t="str">
            <v>-</v>
          </cell>
          <cell r="S3923" t="str">
            <v>-</v>
          </cell>
          <cell r="T3923" t="str">
            <v>-</v>
          </cell>
          <cell r="U3923" t="str">
            <v>G</v>
          </cell>
          <cell r="V3923" t="str">
            <v>D</v>
          </cell>
          <cell r="W3923" t="str">
            <v>-</v>
          </cell>
          <cell r="X3923" t="str">
            <v>CLP 220 (-15/+40°C)</v>
          </cell>
          <cell r="Y3923" t="str">
            <v>FH67/G DRN112M4</v>
          </cell>
          <cell r="Z3923" t="str">
            <v>SEW</v>
          </cell>
          <cell r="AB3923" t="str">
            <v>-</v>
          </cell>
          <cell r="AF3923">
            <v>66</v>
          </cell>
          <cell r="AG3923" t="str">
            <v>DRN112M4</v>
          </cell>
          <cell r="AH3923" t="str">
            <v>FH67G-DRN112M4270-X</v>
          </cell>
        </row>
        <row r="3924">
          <cell r="A3924" t="str">
            <v>MR003913</v>
          </cell>
          <cell r="B3924" t="str">
            <v>MR</v>
          </cell>
          <cell r="C3924">
            <v>9.1999999999999993</v>
          </cell>
          <cell r="D3924">
            <v>62</v>
          </cell>
          <cell r="E3924" t="str">
            <v>FH87</v>
          </cell>
          <cell r="F3924">
            <v>1410</v>
          </cell>
          <cell r="G3924">
            <v>23.68</v>
          </cell>
          <cell r="H3924">
            <v>2.1</v>
          </cell>
          <cell r="I3924" t="str">
            <v>M1</v>
          </cell>
          <cell r="J3924" t="str">
            <v>IE3</v>
          </cell>
          <cell r="K3924" t="str">
            <v>400/690</v>
          </cell>
          <cell r="L3924">
            <v>50</v>
          </cell>
          <cell r="M3924" t="str">
            <v>18,7/10,8</v>
          </cell>
          <cell r="N3924">
            <v>55</v>
          </cell>
          <cell r="O3924" t="str">
            <v>155(F)</v>
          </cell>
          <cell r="P3924" t="str">
            <v>270°</v>
          </cell>
          <cell r="Q3924" t="str">
            <v>-</v>
          </cell>
          <cell r="R3924" t="str">
            <v>-</v>
          </cell>
          <cell r="S3924" t="str">
            <v>-</v>
          </cell>
          <cell r="T3924" t="str">
            <v>-</v>
          </cell>
          <cell r="U3924" t="str">
            <v>G</v>
          </cell>
          <cell r="V3924" t="str">
            <v>D+R</v>
          </cell>
          <cell r="W3924" t="str">
            <v>-</v>
          </cell>
          <cell r="X3924" t="str">
            <v>CLP 220 (-15/+40°C)</v>
          </cell>
          <cell r="Y3924" t="str">
            <v>FH87/G DRN132L4</v>
          </cell>
          <cell r="Z3924" t="str">
            <v>SEW</v>
          </cell>
          <cell r="AB3924" t="str">
            <v>-</v>
          </cell>
          <cell r="AF3924">
            <v>62</v>
          </cell>
          <cell r="AG3924" t="str">
            <v>DRN132L4</v>
          </cell>
          <cell r="AH3924" t="str">
            <v>FH87G-DRN132L4270-X</v>
          </cell>
        </row>
        <row r="3925">
          <cell r="A3925" t="str">
            <v>MR003914</v>
          </cell>
          <cell r="B3925" t="str">
            <v>MR</v>
          </cell>
          <cell r="C3925">
            <v>7.5</v>
          </cell>
          <cell r="D3925">
            <v>58</v>
          </cell>
          <cell r="E3925" t="str">
            <v>FH77</v>
          </cell>
          <cell r="F3925">
            <v>1240</v>
          </cell>
          <cell r="G3925">
            <v>25.5</v>
          </cell>
          <cell r="H3925">
            <v>1.2</v>
          </cell>
          <cell r="I3925" t="str">
            <v>M1</v>
          </cell>
          <cell r="J3925" t="str">
            <v>IE3</v>
          </cell>
          <cell r="K3925" t="str">
            <v>400/690</v>
          </cell>
          <cell r="L3925">
            <v>50</v>
          </cell>
          <cell r="M3925" t="str">
            <v>15,2/8,8</v>
          </cell>
          <cell r="N3925">
            <v>55</v>
          </cell>
          <cell r="O3925" t="str">
            <v>155(F)</v>
          </cell>
          <cell r="P3925" t="str">
            <v>270°</v>
          </cell>
          <cell r="Q3925" t="str">
            <v>-</v>
          </cell>
          <cell r="R3925" t="str">
            <v>-</v>
          </cell>
          <cell r="S3925" t="str">
            <v>-</v>
          </cell>
          <cell r="T3925" t="str">
            <v>-</v>
          </cell>
          <cell r="U3925" t="str">
            <v>G</v>
          </cell>
          <cell r="V3925" t="str">
            <v>D</v>
          </cell>
          <cell r="W3925" t="str">
            <v>-</v>
          </cell>
          <cell r="X3925" t="str">
            <v>CLP 220 (-15/+40°C)</v>
          </cell>
          <cell r="Y3925" t="str">
            <v>FH77/G DRN132M4</v>
          </cell>
          <cell r="Z3925" t="str">
            <v>SEW</v>
          </cell>
          <cell r="AB3925" t="str">
            <v>-</v>
          </cell>
          <cell r="AF3925">
            <v>58</v>
          </cell>
          <cell r="AG3925" t="str">
            <v>DRN132M4</v>
          </cell>
          <cell r="AH3925" t="str">
            <v>FH77G-DRN132M4270-X</v>
          </cell>
        </row>
        <row r="3926">
          <cell r="A3926" t="str">
            <v>MR003915</v>
          </cell>
          <cell r="B3926" t="str">
            <v>MR</v>
          </cell>
          <cell r="C3926">
            <v>7.5</v>
          </cell>
          <cell r="D3926">
            <v>20</v>
          </cell>
          <cell r="E3926" t="str">
            <v>FH97</v>
          </cell>
          <cell r="F3926">
            <v>3520</v>
          </cell>
          <cell r="G3926">
            <v>72.290000000000006</v>
          </cell>
          <cell r="H3926">
            <v>1.2</v>
          </cell>
          <cell r="I3926" t="str">
            <v>M1</v>
          </cell>
          <cell r="J3926" t="str">
            <v>IE3</v>
          </cell>
          <cell r="K3926" t="str">
            <v>400/690</v>
          </cell>
          <cell r="L3926">
            <v>50</v>
          </cell>
          <cell r="M3926" t="str">
            <v>15,2/8,8</v>
          </cell>
          <cell r="N3926">
            <v>55</v>
          </cell>
          <cell r="O3926" t="str">
            <v>155(F)</v>
          </cell>
          <cell r="P3926" t="str">
            <v>270°</v>
          </cell>
          <cell r="Q3926" t="str">
            <v>TF</v>
          </cell>
          <cell r="R3926" t="str">
            <v>V(VE)</v>
          </cell>
          <cell r="S3926" t="str">
            <v>-</v>
          </cell>
          <cell r="T3926" t="str">
            <v>-</v>
          </cell>
          <cell r="U3926" t="str">
            <v>G</v>
          </cell>
          <cell r="V3926" t="str">
            <v>FC</v>
          </cell>
          <cell r="W3926" t="str">
            <v>-</v>
          </cell>
          <cell r="X3926" t="str">
            <v>CLP 220 (-15/+40°C)</v>
          </cell>
          <cell r="Y3926" t="str">
            <v>FH97/G DRN132M4 /TF/V</v>
          </cell>
          <cell r="Z3926" t="str">
            <v>SEW</v>
          </cell>
          <cell r="AB3926" t="str">
            <v>-</v>
          </cell>
          <cell r="AF3926">
            <v>20</v>
          </cell>
          <cell r="AG3926" t="str">
            <v>DRN132M4</v>
          </cell>
          <cell r="AH3926" t="str">
            <v>FH97G-DRN132M4270-X#</v>
          </cell>
        </row>
        <row r="3927">
          <cell r="A3927" t="str">
            <v>MR003916</v>
          </cell>
          <cell r="B3927" t="str">
            <v>MR</v>
          </cell>
          <cell r="C3927">
            <v>15</v>
          </cell>
          <cell r="D3927">
            <v>16</v>
          </cell>
          <cell r="E3927" t="str">
            <v>KH127</v>
          </cell>
          <cell r="F3927">
            <v>8730</v>
          </cell>
          <cell r="G3927">
            <v>59.89</v>
          </cell>
          <cell r="H3927">
            <v>1.5</v>
          </cell>
          <cell r="I3927" t="str">
            <v>M1A</v>
          </cell>
          <cell r="J3927" t="str">
            <v>IE3</v>
          </cell>
          <cell r="K3927" t="str">
            <v>400/690</v>
          </cell>
          <cell r="L3927">
            <v>50</v>
          </cell>
          <cell r="M3927" t="str">
            <v>29/16,7</v>
          </cell>
          <cell r="N3927">
            <v>55</v>
          </cell>
          <cell r="O3927" t="str">
            <v>155(F)</v>
          </cell>
          <cell r="P3927" t="str">
            <v>180°</v>
          </cell>
          <cell r="Q3927" t="str">
            <v>-</v>
          </cell>
          <cell r="R3927" t="str">
            <v>-</v>
          </cell>
          <cell r="S3927" t="str">
            <v>-</v>
          </cell>
          <cell r="T3927" t="str">
            <v>-</v>
          </cell>
          <cell r="U3927" t="str">
            <v>-</v>
          </cell>
          <cell r="V3927" t="str">
            <v>SS</v>
          </cell>
          <cell r="W3927" t="str">
            <v>-</v>
          </cell>
          <cell r="X3927" t="str">
            <v>CLP 220 (-15/+40°C)</v>
          </cell>
          <cell r="Y3927" t="str">
            <v>KH127DRN160L4</v>
          </cell>
          <cell r="Z3927" t="str">
            <v>SEW</v>
          </cell>
          <cell r="AB3927" t="str">
            <v>-</v>
          </cell>
          <cell r="AF3927">
            <v>16</v>
          </cell>
          <cell r="AG3927" t="str">
            <v>DRN160L4</v>
          </cell>
        </row>
        <row r="3928">
          <cell r="A3928" t="str">
            <v>MR003917</v>
          </cell>
          <cell r="B3928" t="str">
            <v>MR</v>
          </cell>
          <cell r="C3928">
            <v>7.5</v>
          </cell>
          <cell r="D3928">
            <v>15</v>
          </cell>
          <cell r="E3928" t="str">
            <v>KH107</v>
          </cell>
          <cell r="F3928">
            <v>4920</v>
          </cell>
          <cell r="G3928">
            <v>100.75</v>
          </cell>
          <cell r="H3928">
            <v>1.65</v>
          </cell>
          <cell r="I3928" t="str">
            <v>From M1B to M2B - 25°</v>
          </cell>
          <cell r="J3928" t="str">
            <v>IE3</v>
          </cell>
          <cell r="K3928" t="str">
            <v>400/690</v>
          </cell>
          <cell r="L3928">
            <v>50</v>
          </cell>
          <cell r="M3928" t="str">
            <v>15,2/8,8</v>
          </cell>
          <cell r="N3928">
            <v>55</v>
          </cell>
          <cell r="O3928" t="str">
            <v>155(F)</v>
          </cell>
          <cell r="P3928" t="str">
            <v>0°</v>
          </cell>
          <cell r="Q3928" t="str">
            <v>-</v>
          </cell>
          <cell r="R3928" t="str">
            <v>-</v>
          </cell>
          <cell r="S3928" t="str">
            <v>-</v>
          </cell>
          <cell r="T3928" t="str">
            <v>-</v>
          </cell>
          <cell r="U3928" t="str">
            <v>-</v>
          </cell>
          <cell r="V3928" t="str">
            <v>SS</v>
          </cell>
          <cell r="W3928" t="str">
            <v>-</v>
          </cell>
          <cell r="X3928" t="str">
            <v>CLP 220 (-15/+40°C)</v>
          </cell>
          <cell r="Y3928" t="str">
            <v>KH107DRN132M4</v>
          </cell>
          <cell r="Z3928" t="str">
            <v>SEW</v>
          </cell>
          <cell r="AB3928" t="str">
            <v>-</v>
          </cell>
          <cell r="AF3928">
            <v>15</v>
          </cell>
          <cell r="AG3928" t="str">
            <v>DRN132M4</v>
          </cell>
          <cell r="AH3928" t="str">
            <v>KH107-DRN132M4B0-X</v>
          </cell>
        </row>
        <row r="3929">
          <cell r="A3929" t="str">
            <v>MR003918</v>
          </cell>
          <cell r="B3929" t="str">
            <v>MR</v>
          </cell>
          <cell r="C3929">
            <v>7.5</v>
          </cell>
          <cell r="D3929">
            <v>15</v>
          </cell>
          <cell r="E3929" t="str">
            <v>KH107</v>
          </cell>
          <cell r="F3929">
            <v>4920</v>
          </cell>
          <cell r="G3929">
            <v>100.75</v>
          </cell>
          <cell r="H3929">
            <v>1.65</v>
          </cell>
          <cell r="I3929" t="str">
            <v xml:space="preserve"> M1A</v>
          </cell>
          <cell r="J3929" t="str">
            <v>IE3</v>
          </cell>
          <cell r="K3929" t="str">
            <v>400/690</v>
          </cell>
          <cell r="L3929">
            <v>50</v>
          </cell>
          <cell r="M3929" t="str">
            <v>15,2/8,8</v>
          </cell>
          <cell r="N3929">
            <v>55</v>
          </cell>
          <cell r="O3929" t="str">
            <v>155(F)</v>
          </cell>
          <cell r="P3929" t="str">
            <v>180°</v>
          </cell>
          <cell r="Q3929" t="str">
            <v>-</v>
          </cell>
          <cell r="R3929" t="str">
            <v>-</v>
          </cell>
          <cell r="S3929" t="str">
            <v>-</v>
          </cell>
          <cell r="T3929" t="str">
            <v>-</v>
          </cell>
          <cell r="U3929" t="str">
            <v>-</v>
          </cell>
          <cell r="V3929" t="str">
            <v>SS</v>
          </cell>
          <cell r="W3929" t="str">
            <v>-</v>
          </cell>
          <cell r="X3929" t="str">
            <v>CLP 220 (-15/+40°C)</v>
          </cell>
          <cell r="Y3929" t="str">
            <v>KH107DRN132M4</v>
          </cell>
          <cell r="Z3929" t="str">
            <v>SEW</v>
          </cell>
          <cell r="AB3929" t="str">
            <v>-</v>
          </cell>
          <cell r="AF3929">
            <v>15</v>
          </cell>
          <cell r="AG3929" t="str">
            <v>DRN132M4</v>
          </cell>
          <cell r="AH3929" t="str">
            <v>KH107-DRN132M4A180-X</v>
          </cell>
        </row>
        <row r="3930">
          <cell r="A3930" t="str">
            <v>MR003919</v>
          </cell>
          <cell r="B3930" t="str">
            <v>MR</v>
          </cell>
          <cell r="C3930">
            <v>18.5</v>
          </cell>
          <cell r="D3930">
            <v>12</v>
          </cell>
          <cell r="E3930" t="str">
            <v>KH157</v>
          </cell>
          <cell r="F3930">
            <v>14600</v>
          </cell>
          <cell r="G3930">
            <v>122.39</v>
          </cell>
          <cell r="H3930">
            <v>1.35</v>
          </cell>
          <cell r="I3930" t="str">
            <v>M1A</v>
          </cell>
          <cell r="J3930" t="str">
            <v>IE3</v>
          </cell>
          <cell r="K3930" t="str">
            <v>400/690</v>
          </cell>
          <cell r="L3930">
            <v>50</v>
          </cell>
          <cell r="M3930" t="str">
            <v>33,5/19,30</v>
          </cell>
          <cell r="N3930">
            <v>55</v>
          </cell>
          <cell r="O3930" t="str">
            <v>155(F)</v>
          </cell>
          <cell r="P3930" t="str">
            <v>180°</v>
          </cell>
          <cell r="Q3930" t="str">
            <v>TF</v>
          </cell>
          <cell r="R3930" t="str">
            <v>V(VE)</v>
          </cell>
          <cell r="S3930" t="str">
            <v>-</v>
          </cell>
          <cell r="T3930" t="str">
            <v>-</v>
          </cell>
          <cell r="U3930" t="str">
            <v>-</v>
          </cell>
          <cell r="V3930" t="str">
            <v>FC</v>
          </cell>
          <cell r="W3930" t="str">
            <v>-</v>
          </cell>
          <cell r="X3930" t="str">
            <v>CLP 220 (-15/+40°C)</v>
          </cell>
          <cell r="Y3930" t="str">
            <v>KH157DRN180M4 /TF/V</v>
          </cell>
          <cell r="Z3930" t="str">
            <v>SEW</v>
          </cell>
          <cell r="AB3930" t="str">
            <v>-</v>
          </cell>
          <cell r="AG3930" t="str">
            <v>DRN180M4</v>
          </cell>
          <cell r="AH3930" t="str">
            <v>KH157-DRN180M4A180-X#</v>
          </cell>
        </row>
        <row r="3931">
          <cell r="A3931" t="str">
            <v>MR003920</v>
          </cell>
          <cell r="B3931" t="str">
            <v>MR</v>
          </cell>
          <cell r="C3931">
            <v>18.5</v>
          </cell>
          <cell r="D3931">
            <v>12</v>
          </cell>
          <cell r="E3931" t="str">
            <v>KH157</v>
          </cell>
          <cell r="F3931">
            <v>14600</v>
          </cell>
          <cell r="G3931">
            <v>122.39</v>
          </cell>
          <cell r="H3931">
            <v>1.35</v>
          </cell>
          <cell r="I3931" t="str">
            <v>M1B</v>
          </cell>
          <cell r="J3931" t="str">
            <v>IE3</v>
          </cell>
          <cell r="K3931" t="str">
            <v>400/690</v>
          </cell>
          <cell r="L3931">
            <v>50</v>
          </cell>
          <cell r="M3931" t="str">
            <v>33,5/19,30</v>
          </cell>
          <cell r="N3931">
            <v>55</v>
          </cell>
          <cell r="O3931" t="str">
            <v>155(F)</v>
          </cell>
          <cell r="P3931" t="str">
            <v>0°</v>
          </cell>
          <cell r="Q3931" t="str">
            <v>TF</v>
          </cell>
          <cell r="R3931" t="str">
            <v>V(VE)</v>
          </cell>
          <cell r="S3931" t="str">
            <v>-</v>
          </cell>
          <cell r="T3931" t="str">
            <v>-</v>
          </cell>
          <cell r="U3931" t="str">
            <v>-</v>
          </cell>
          <cell r="V3931" t="str">
            <v>FC</v>
          </cell>
          <cell r="W3931" t="str">
            <v>-</v>
          </cell>
          <cell r="X3931" t="str">
            <v>CLP 220 (-15/+40°C)</v>
          </cell>
          <cell r="Y3931" t="str">
            <v>KH157DRN180M4 /TF/V</v>
          </cell>
          <cell r="Z3931" t="str">
            <v>SEW</v>
          </cell>
          <cell r="AB3931" t="str">
            <v>-</v>
          </cell>
          <cell r="AG3931" t="str">
            <v>DRN180M4</v>
          </cell>
          <cell r="AH3931" t="str">
            <v>KH157-DRN180M4B0-X#</v>
          </cell>
        </row>
        <row r="3932">
          <cell r="A3932" t="str">
            <v>MR003921</v>
          </cell>
          <cell r="B3932" t="str">
            <v>MR</v>
          </cell>
          <cell r="C3932">
            <v>9.1999999999999993</v>
          </cell>
          <cell r="D3932">
            <v>15</v>
          </cell>
          <cell r="E3932" t="str">
            <v>KH107</v>
          </cell>
          <cell r="F3932">
            <v>6020</v>
          </cell>
          <cell r="G3932">
            <v>100.75</v>
          </cell>
          <cell r="H3932">
            <v>1.35</v>
          </cell>
          <cell r="I3932" t="str">
            <v>M1B</v>
          </cell>
          <cell r="J3932" t="str">
            <v>IE3</v>
          </cell>
          <cell r="K3932" t="str">
            <v>400/690</v>
          </cell>
          <cell r="L3932">
            <v>50</v>
          </cell>
          <cell r="M3932" t="str">
            <v>18,7/10,8</v>
          </cell>
          <cell r="N3932">
            <v>55</v>
          </cell>
          <cell r="O3932" t="str">
            <v>155(F)</v>
          </cell>
          <cell r="P3932" t="str">
            <v>0°</v>
          </cell>
          <cell r="Q3932" t="str">
            <v>-</v>
          </cell>
          <cell r="R3932" t="str">
            <v>-</v>
          </cell>
          <cell r="S3932" t="str">
            <v>-</v>
          </cell>
          <cell r="T3932" t="str">
            <v>-</v>
          </cell>
          <cell r="U3932" t="str">
            <v>-</v>
          </cell>
          <cell r="V3932" t="str">
            <v>SS</v>
          </cell>
          <cell r="W3932" t="str">
            <v>-</v>
          </cell>
          <cell r="X3932" t="str">
            <v>CLP 220 (-15/+40°C)</v>
          </cell>
          <cell r="Y3932" t="str">
            <v>KH107DRN132L4</v>
          </cell>
          <cell r="Z3932" t="str">
            <v>SEW</v>
          </cell>
          <cell r="AB3932" t="str">
            <v>-</v>
          </cell>
          <cell r="AF3932">
            <v>15</v>
          </cell>
          <cell r="AG3932" t="str">
            <v>DRN132L4</v>
          </cell>
          <cell r="AH3932" t="str">
            <v>KH107-DRN132L4B0-X</v>
          </cell>
        </row>
        <row r="3933">
          <cell r="A3933" t="str">
            <v>MR003922</v>
          </cell>
          <cell r="B3933" t="str">
            <v>MR</v>
          </cell>
          <cell r="C3933">
            <v>9.1999999999999993</v>
          </cell>
          <cell r="D3933">
            <v>15</v>
          </cell>
          <cell r="E3933" t="str">
            <v>KH107</v>
          </cell>
          <cell r="F3933">
            <v>6020</v>
          </cell>
          <cell r="G3933">
            <v>100.75</v>
          </cell>
          <cell r="H3933">
            <v>1.35</v>
          </cell>
          <cell r="I3933" t="str">
            <v>M1A</v>
          </cell>
          <cell r="J3933" t="str">
            <v>IE3</v>
          </cell>
          <cell r="K3933" t="str">
            <v>400/690</v>
          </cell>
          <cell r="L3933">
            <v>50</v>
          </cell>
          <cell r="M3933" t="str">
            <v>18,7/10,8</v>
          </cell>
          <cell r="N3933">
            <v>55</v>
          </cell>
          <cell r="O3933" t="str">
            <v>155(F)</v>
          </cell>
          <cell r="P3933" t="str">
            <v>180°</v>
          </cell>
          <cell r="Q3933" t="str">
            <v>-</v>
          </cell>
          <cell r="R3933" t="str">
            <v>-</v>
          </cell>
          <cell r="S3933" t="str">
            <v>-</v>
          </cell>
          <cell r="T3933" t="str">
            <v>-</v>
          </cell>
          <cell r="U3933" t="str">
            <v>-</v>
          </cell>
          <cell r="V3933" t="str">
            <v>SS</v>
          </cell>
          <cell r="W3933" t="str">
            <v>-</v>
          </cell>
          <cell r="X3933" t="str">
            <v>CLP 220 (-15/+40°C)</v>
          </cell>
          <cell r="Y3933" t="str">
            <v>KH107DRN132L4</v>
          </cell>
          <cell r="Z3933" t="str">
            <v>SEW</v>
          </cell>
          <cell r="AB3933" t="str">
            <v>-</v>
          </cell>
          <cell r="AF3933">
            <v>15</v>
          </cell>
          <cell r="AG3933" t="str">
            <v>DRN132L4</v>
          </cell>
          <cell r="AH3933" t="str">
            <v>KH107-DRN132L4A180-X</v>
          </cell>
        </row>
        <row r="3934">
          <cell r="A3934" t="str">
            <v>MR003923</v>
          </cell>
          <cell r="B3934" t="str">
            <v>MR</v>
          </cell>
          <cell r="C3934">
            <v>18.5</v>
          </cell>
          <cell r="D3934">
            <v>101</v>
          </cell>
          <cell r="E3934" t="str">
            <v>R97</v>
          </cell>
          <cell r="G3934">
            <v>14.62</v>
          </cell>
          <cell r="I3934" t="str">
            <v>M1</v>
          </cell>
          <cell r="J3934" t="str">
            <v>IE3</v>
          </cell>
          <cell r="K3934" t="str">
            <v>400/690</v>
          </cell>
          <cell r="L3934">
            <v>50</v>
          </cell>
          <cell r="N3934">
            <v>55</v>
          </cell>
          <cell r="O3934" t="str">
            <v>155(F)</v>
          </cell>
          <cell r="P3934" t="str">
            <v>-</v>
          </cell>
          <cell r="Q3934" t="str">
            <v>-</v>
          </cell>
          <cell r="R3934" t="str">
            <v>-</v>
          </cell>
          <cell r="S3934" t="str">
            <v>-</v>
          </cell>
          <cell r="T3934" t="str">
            <v>-</v>
          </cell>
          <cell r="U3934" t="str">
            <v>-</v>
          </cell>
          <cell r="V3934" t="str">
            <v>-</v>
          </cell>
          <cell r="W3934" t="str">
            <v>-</v>
          </cell>
          <cell r="X3934" t="str">
            <v>(if ATEX, synthetic only!)</v>
          </cell>
          <cell r="Y3934" t="str">
            <v>R97DRN180M4</v>
          </cell>
          <cell r="Z3934" t="str">
            <v>SEW</v>
          </cell>
          <cell r="AB3934" t="str">
            <v>-</v>
          </cell>
          <cell r="AF3934">
            <v>101</v>
          </cell>
          <cell r="AG3934" t="str">
            <v>DRN180M4</v>
          </cell>
          <cell r="AH3934" t="str">
            <v>R97-DRN180M4--X</v>
          </cell>
        </row>
        <row r="3935">
          <cell r="A3935" t="str">
            <v>MR003924</v>
          </cell>
          <cell r="B3935" t="str">
            <v>ME</v>
          </cell>
          <cell r="C3935">
            <v>37</v>
          </cell>
          <cell r="D3935">
            <v>1482</v>
          </cell>
          <cell r="E3935" t="str">
            <v>DRN225S4</v>
          </cell>
          <cell r="I3935" t="str">
            <v>M1A</v>
          </cell>
          <cell r="J3935" t="str">
            <v>IE3</v>
          </cell>
          <cell r="K3935" t="str">
            <v>230/400</v>
          </cell>
          <cell r="L3935">
            <v>50</v>
          </cell>
          <cell r="M3935" t="str">
            <v>116/67</v>
          </cell>
          <cell r="N3935">
            <v>54</v>
          </cell>
          <cell r="O3935" t="str">
            <v>155(F)</v>
          </cell>
          <cell r="P3935" t="str">
            <v>270°</v>
          </cell>
          <cell r="Q3935" t="str">
            <v>TH</v>
          </cell>
          <cell r="R3935" t="str">
            <v>-</v>
          </cell>
          <cell r="S3935" t="str">
            <v>-</v>
          </cell>
          <cell r="T3935" t="str">
            <v>BE30</v>
          </cell>
          <cell r="U3935" t="str">
            <v>-</v>
          </cell>
          <cell r="V3935" t="str">
            <v>D</v>
          </cell>
          <cell r="W3935" t="str">
            <v>-</v>
          </cell>
          <cell r="X3935" t="str">
            <v>-</v>
          </cell>
          <cell r="Y3935" t="str">
            <v>DRN225S4/BE30/FG/TH</v>
          </cell>
          <cell r="Z3935" t="str">
            <v>SEW</v>
          </cell>
          <cell r="AB3935" t="str">
            <v>-</v>
          </cell>
          <cell r="AF3935">
            <v>1482</v>
          </cell>
          <cell r="AG3935" t="str">
            <v>DRN225S4</v>
          </cell>
          <cell r="AH3935" t="str">
            <v>DRN225S4-DRN225S4A270-X</v>
          </cell>
        </row>
        <row r="3936">
          <cell r="A3936" t="str">
            <v>MR003925</v>
          </cell>
          <cell r="B3936" t="str">
            <v>MR</v>
          </cell>
          <cell r="C3936">
            <v>30</v>
          </cell>
          <cell r="D3936">
            <v>15</v>
          </cell>
          <cell r="E3936" t="str">
            <v>KH157</v>
          </cell>
          <cell r="F3936">
            <v>19400</v>
          </cell>
          <cell r="G3936">
            <v>100.22</v>
          </cell>
          <cell r="H3936">
            <v>1.05</v>
          </cell>
          <cell r="I3936" t="str">
            <v>From M1A to M4A - 50°</v>
          </cell>
          <cell r="J3936" t="str">
            <v>IE3</v>
          </cell>
          <cell r="K3936" t="str">
            <v>400/690</v>
          </cell>
          <cell r="L3936">
            <v>50</v>
          </cell>
          <cell r="M3936" t="str">
            <v>56/32,5</v>
          </cell>
          <cell r="N3936">
            <v>65</v>
          </cell>
          <cell r="O3936" t="str">
            <v>155(F)</v>
          </cell>
          <cell r="P3936" t="str">
            <v>270°</v>
          </cell>
          <cell r="Q3936" t="str">
            <v>TF</v>
          </cell>
          <cell r="R3936" t="str">
            <v>-</v>
          </cell>
          <cell r="S3936" t="str">
            <v>-</v>
          </cell>
          <cell r="T3936" t="str">
            <v>-</v>
          </cell>
          <cell r="U3936" t="str">
            <v>-</v>
          </cell>
          <cell r="V3936" t="str">
            <v>FC</v>
          </cell>
          <cell r="W3936" t="str">
            <v>-</v>
          </cell>
          <cell r="X3936" t="str">
            <v>CLP VG 220 = -15° + 40°</v>
          </cell>
          <cell r="Y3936" t="str">
            <v>KH157DRN200L4 /TF</v>
          </cell>
          <cell r="Z3936" t="str">
            <v>SEW</v>
          </cell>
          <cell r="AB3936" t="str">
            <v>-</v>
          </cell>
          <cell r="AE3936" t="str">
            <v>Work frequency: 50Hz - constant work speed; ALUMINIUM FRAME; B61 sight glass for oil; surface protection OS2</v>
          </cell>
          <cell r="AF3936">
            <v>15</v>
          </cell>
          <cell r="AG3936" t="str">
            <v>DRN200L4</v>
          </cell>
          <cell r="AH3936" t="str">
            <v>KH157-DRN200L4A270-X</v>
          </cell>
        </row>
        <row r="3937">
          <cell r="A3937" t="str">
            <v>MR003926</v>
          </cell>
          <cell r="B3937" t="str">
            <v>MR</v>
          </cell>
          <cell r="C3937">
            <v>30</v>
          </cell>
          <cell r="D3937">
            <v>15</v>
          </cell>
          <cell r="E3937" t="str">
            <v>KH157</v>
          </cell>
          <cell r="F3937">
            <v>19400</v>
          </cell>
          <cell r="G3937">
            <v>100.22</v>
          </cell>
          <cell r="H3937">
            <v>1.05</v>
          </cell>
          <cell r="I3937" t="str">
            <v>From M1B to M4B - 50°</v>
          </cell>
          <cell r="J3937" t="str">
            <v>IE3</v>
          </cell>
          <cell r="K3937" t="str">
            <v>400/690</v>
          </cell>
          <cell r="L3937">
            <v>50</v>
          </cell>
          <cell r="M3937" t="str">
            <v>56/32,5</v>
          </cell>
          <cell r="N3937">
            <v>65</v>
          </cell>
          <cell r="O3937" t="str">
            <v>155(F)</v>
          </cell>
          <cell r="P3937" t="str">
            <v>270°</v>
          </cell>
          <cell r="Q3937" t="str">
            <v>TF</v>
          </cell>
          <cell r="R3937" t="str">
            <v>-</v>
          </cell>
          <cell r="S3937" t="str">
            <v>-</v>
          </cell>
          <cell r="T3937" t="str">
            <v>-</v>
          </cell>
          <cell r="U3937" t="str">
            <v>-</v>
          </cell>
          <cell r="V3937" t="str">
            <v>FC</v>
          </cell>
          <cell r="W3937" t="str">
            <v>-</v>
          </cell>
          <cell r="X3937" t="str">
            <v>CLP VG 220 = -15° + 40°</v>
          </cell>
          <cell r="Y3937" t="str">
            <v>KH157DRN200L4 /TF</v>
          </cell>
          <cell r="Z3937" t="str">
            <v>SEW</v>
          </cell>
          <cell r="AB3937" t="str">
            <v>-</v>
          </cell>
          <cell r="AE3937" t="str">
            <v>Work frequency: 50Hz - constant work speed; ALUMINIUM FRAME; B61 sight glass for oil; surface protection OS2</v>
          </cell>
          <cell r="AF3937">
            <v>15</v>
          </cell>
          <cell r="AG3937" t="str">
            <v>DRN200L4</v>
          </cell>
          <cell r="AH3937" t="str">
            <v>KH157-DRN200L4B270-X</v>
          </cell>
        </row>
        <row r="3938">
          <cell r="A3938" t="str">
            <v>MR003927</v>
          </cell>
          <cell r="B3938" t="str">
            <v>MR</v>
          </cell>
          <cell r="C3938">
            <v>37</v>
          </cell>
          <cell r="D3938">
            <v>19</v>
          </cell>
          <cell r="E3938" t="str">
            <v>KH157</v>
          </cell>
          <cell r="F3938">
            <v>19000</v>
          </cell>
          <cell r="G3938">
            <v>79.75</v>
          </cell>
          <cell r="H3938">
            <v>1.05</v>
          </cell>
          <cell r="I3938" t="str">
            <v>From M1A to M4A - 50°</v>
          </cell>
          <cell r="J3938" t="str">
            <v>IE3</v>
          </cell>
          <cell r="K3938" t="str">
            <v>400/690</v>
          </cell>
          <cell r="L3938">
            <v>50</v>
          </cell>
          <cell r="M3938" t="str">
            <v>64/37</v>
          </cell>
          <cell r="N3938">
            <v>65</v>
          </cell>
          <cell r="O3938" t="str">
            <v>155(F)</v>
          </cell>
          <cell r="P3938" t="str">
            <v>270°</v>
          </cell>
          <cell r="Q3938" t="str">
            <v>TF</v>
          </cell>
          <cell r="R3938" t="str">
            <v>-</v>
          </cell>
          <cell r="S3938" t="str">
            <v>-</v>
          </cell>
          <cell r="T3938" t="str">
            <v>-</v>
          </cell>
          <cell r="U3938" t="str">
            <v>-</v>
          </cell>
          <cell r="V3938" t="str">
            <v>FC</v>
          </cell>
          <cell r="W3938" t="str">
            <v>-</v>
          </cell>
          <cell r="X3938" t="str">
            <v>CLP VG 220 = -15° + 40°</v>
          </cell>
          <cell r="Y3938" t="str">
            <v>KH157DRN225S4 /TF</v>
          </cell>
          <cell r="Z3938" t="str">
            <v>SEW</v>
          </cell>
          <cell r="AB3938" t="str">
            <v>-</v>
          </cell>
          <cell r="AE3938" t="str">
            <v>Work frequency: 50Hz - constant work speed; ALUMINIUM FRAME; B61 sight glass for oil; surface protection OS2</v>
          </cell>
          <cell r="AF3938">
            <v>19</v>
          </cell>
          <cell r="AG3938" t="str">
            <v>DRN225S4</v>
          </cell>
          <cell r="AH3938" t="str">
            <v>KH157-DRN225S4A270-X</v>
          </cell>
        </row>
        <row r="3939">
          <cell r="A3939" t="str">
            <v>MR003928</v>
          </cell>
          <cell r="B3939" t="str">
            <v>MR</v>
          </cell>
          <cell r="C3939">
            <v>37</v>
          </cell>
          <cell r="D3939">
            <v>19</v>
          </cell>
          <cell r="E3939" t="str">
            <v>KH157</v>
          </cell>
          <cell r="F3939">
            <v>19000</v>
          </cell>
          <cell r="G3939">
            <v>79.75</v>
          </cell>
          <cell r="H3939">
            <v>1.05</v>
          </cell>
          <cell r="I3939" t="str">
            <v>From M1B to M4B - 50°</v>
          </cell>
          <cell r="J3939" t="str">
            <v>IE3</v>
          </cell>
          <cell r="K3939" t="str">
            <v>400/690</v>
          </cell>
          <cell r="L3939">
            <v>50</v>
          </cell>
          <cell r="M3939" t="str">
            <v>64/37</v>
          </cell>
          <cell r="N3939">
            <v>65</v>
          </cell>
          <cell r="O3939" t="str">
            <v>155(F)</v>
          </cell>
          <cell r="P3939" t="str">
            <v>270°</v>
          </cell>
          <cell r="Q3939" t="str">
            <v>TF</v>
          </cell>
          <cell r="R3939" t="str">
            <v>-</v>
          </cell>
          <cell r="S3939" t="str">
            <v>-</v>
          </cell>
          <cell r="T3939" t="str">
            <v>-</v>
          </cell>
          <cell r="U3939" t="str">
            <v>-</v>
          </cell>
          <cell r="V3939" t="str">
            <v>FC</v>
          </cell>
          <cell r="W3939" t="str">
            <v>-</v>
          </cell>
          <cell r="X3939" t="str">
            <v>CLP VG 220 = -15° + 40°</v>
          </cell>
          <cell r="Y3939" t="str">
            <v>KH157DRN225S4 /TF</v>
          </cell>
          <cell r="Z3939" t="str">
            <v>SEW</v>
          </cell>
          <cell r="AB3939" t="str">
            <v>-</v>
          </cell>
          <cell r="AE3939" t="str">
            <v>Work frequency: 50Hz - constant work speed; ALUMINIUM FRAME; B61 sight glass for oil; surface protection OS2</v>
          </cell>
          <cell r="AF3939">
            <v>19</v>
          </cell>
          <cell r="AG3939" t="str">
            <v>DRN225S4</v>
          </cell>
          <cell r="AH3939" t="str">
            <v>KH157-DRN225S4B270-X</v>
          </cell>
        </row>
        <row r="3940">
          <cell r="A3940" t="str">
            <v>MR003929</v>
          </cell>
          <cell r="B3940" t="str">
            <v>MR</v>
          </cell>
          <cell r="C3940">
            <v>9.1999999999999993</v>
          </cell>
          <cell r="D3940">
            <v>33</v>
          </cell>
          <cell r="E3940" t="str">
            <v>FH97</v>
          </cell>
          <cell r="F3940">
            <v>2660</v>
          </cell>
          <cell r="G3940">
            <v>44.49</v>
          </cell>
          <cell r="H3940">
            <v>1.6</v>
          </cell>
          <cell r="I3940" t="str">
            <v>M1</v>
          </cell>
          <cell r="J3940" t="str">
            <v>IE3</v>
          </cell>
          <cell r="K3940" t="str">
            <v>400/690</v>
          </cell>
          <cell r="L3940">
            <v>50</v>
          </cell>
          <cell r="M3940" t="str">
            <v>18,7/10,8</v>
          </cell>
          <cell r="N3940">
            <v>55</v>
          </cell>
          <cell r="O3940" t="str">
            <v>155(F)</v>
          </cell>
          <cell r="P3940" t="str">
            <v>270°</v>
          </cell>
          <cell r="Q3940" t="str">
            <v>TF</v>
          </cell>
          <cell r="R3940" t="str">
            <v>V(VE)</v>
          </cell>
          <cell r="S3940" t="str">
            <v>-</v>
          </cell>
          <cell r="T3940" t="str">
            <v>-</v>
          </cell>
          <cell r="U3940" t="str">
            <v>G</v>
          </cell>
          <cell r="V3940" t="str">
            <v>FC</v>
          </cell>
          <cell r="W3940" t="str">
            <v>-</v>
          </cell>
          <cell r="X3940" t="str">
            <v>CLP 220 (-15/+40°C)</v>
          </cell>
          <cell r="Y3940" t="str">
            <v>FH97/G DRN132L4 /TF/V</v>
          </cell>
          <cell r="Z3940" t="str">
            <v>SEW</v>
          </cell>
          <cell r="AB3940" t="str">
            <v>-</v>
          </cell>
          <cell r="AF3940">
            <v>33</v>
          </cell>
          <cell r="AG3940" t="str">
            <v>DRN132L4</v>
          </cell>
          <cell r="AH3940" t="str">
            <v>FH97G-DRN132L4270-X#</v>
          </cell>
        </row>
        <row r="3941">
          <cell r="A3941" t="str">
            <v>MR003930</v>
          </cell>
          <cell r="B3941" t="str">
            <v>MR</v>
          </cell>
          <cell r="C3941">
            <v>1.5</v>
          </cell>
          <cell r="D3941">
            <v>22</v>
          </cell>
          <cell r="E3941" t="str">
            <v>FA67</v>
          </cell>
          <cell r="F3941">
            <v>660</v>
          </cell>
          <cell r="G3941">
            <v>67.650000000000006</v>
          </cell>
          <cell r="H3941">
            <v>1.25</v>
          </cell>
          <cell r="I3941" t="str">
            <v>M6</v>
          </cell>
          <cell r="J3941" t="str">
            <v>IE3</v>
          </cell>
          <cell r="K3941" t="str">
            <v>230/400</v>
          </cell>
          <cell r="L3941">
            <v>50</v>
          </cell>
          <cell r="M3941" t="str">
            <v>5,9/3,4</v>
          </cell>
          <cell r="N3941">
            <v>55</v>
          </cell>
          <cell r="O3941" t="str">
            <v>155(F)</v>
          </cell>
          <cell r="P3941" t="str">
            <v>0°</v>
          </cell>
          <cell r="Q3941" t="str">
            <v>-</v>
          </cell>
          <cell r="R3941" t="str">
            <v>-</v>
          </cell>
          <cell r="S3941" t="str">
            <v>-</v>
          </cell>
          <cell r="T3941" t="str">
            <v>BEHF</v>
          </cell>
          <cell r="U3941" t="str">
            <v>G</v>
          </cell>
          <cell r="V3941" t="str">
            <v>D+R</v>
          </cell>
          <cell r="W3941" t="str">
            <v>-</v>
          </cell>
          <cell r="X3941" t="str">
            <v>CLP 220 (-15/+40°C)</v>
          </cell>
          <cell r="Y3941" t="str">
            <v>FA67/G DRN90L4 /BEHF</v>
          </cell>
          <cell r="Z3941" t="str">
            <v>SEW</v>
          </cell>
          <cell r="AB3941" t="str">
            <v>-</v>
          </cell>
          <cell r="AF3941">
            <v>22</v>
          </cell>
          <cell r="AG3941" t="str">
            <v>DRN90L4</v>
          </cell>
          <cell r="AH3941" t="str">
            <v>FA67G-DRN90L40-X</v>
          </cell>
        </row>
        <row r="3942">
          <cell r="A3942" t="str">
            <v>MR003931</v>
          </cell>
          <cell r="B3942" t="str">
            <v>MR</v>
          </cell>
          <cell r="C3942">
            <v>11</v>
          </cell>
          <cell r="D3942">
            <v>54</v>
          </cell>
          <cell r="E3942" t="str">
            <v>FH97</v>
          </cell>
          <cell r="F3942">
            <v>1950</v>
          </cell>
          <cell r="G3942">
            <v>24.44</v>
          </cell>
          <cell r="H3942">
            <v>2.2000000000000002</v>
          </cell>
          <cell r="I3942" t="str">
            <v>M1</v>
          </cell>
          <cell r="J3942" t="str">
            <v>IE3</v>
          </cell>
          <cell r="K3942" t="str">
            <v>400/690</v>
          </cell>
          <cell r="L3942">
            <v>50</v>
          </cell>
          <cell r="M3942" t="str">
            <v>21/12,2</v>
          </cell>
          <cell r="N3942">
            <v>55</v>
          </cell>
          <cell r="O3942" t="str">
            <v>155(F)</v>
          </cell>
          <cell r="P3942" t="str">
            <v>270°</v>
          </cell>
          <cell r="Q3942" t="str">
            <v>-</v>
          </cell>
          <cell r="R3942" t="str">
            <v>-</v>
          </cell>
          <cell r="S3942" t="str">
            <v>-</v>
          </cell>
          <cell r="T3942" t="str">
            <v>-</v>
          </cell>
          <cell r="U3942" t="str">
            <v>G</v>
          </cell>
          <cell r="V3942" t="str">
            <v>D</v>
          </cell>
          <cell r="W3942" t="str">
            <v>-</v>
          </cell>
          <cell r="X3942" t="str">
            <v>CLP 220 (-15/+40°C)</v>
          </cell>
          <cell r="Y3942" t="str">
            <v>FH97/G DRN160M4</v>
          </cell>
          <cell r="Z3942" t="str">
            <v>SEW</v>
          </cell>
          <cell r="AB3942" t="str">
            <v>-</v>
          </cell>
          <cell r="AF3942">
            <v>54</v>
          </cell>
          <cell r="AG3942" t="str">
            <v>DRN160M4</v>
          </cell>
          <cell r="AH3942" t="str">
            <v>FH97G-DRN160M4270-X</v>
          </cell>
        </row>
        <row r="3943">
          <cell r="A3943" t="str">
            <v>MR003932</v>
          </cell>
          <cell r="B3943" t="str">
            <v>MR</v>
          </cell>
          <cell r="C3943">
            <v>15</v>
          </cell>
          <cell r="D3943">
            <v>16</v>
          </cell>
          <cell r="E3943" t="str">
            <v>KH127</v>
          </cell>
          <cell r="F3943">
            <v>8740</v>
          </cell>
          <cell r="G3943">
            <v>89.89</v>
          </cell>
          <cell r="H3943">
            <v>1.5</v>
          </cell>
          <cell r="I3943" t="str">
            <v>From M1A to M2A-30°</v>
          </cell>
          <cell r="J3943" t="str">
            <v>IE3</v>
          </cell>
          <cell r="K3943" t="str">
            <v>400/690</v>
          </cell>
          <cell r="L3943">
            <v>50</v>
          </cell>
          <cell r="M3943" t="str">
            <v>29/16,7</v>
          </cell>
          <cell r="N3943">
            <v>55</v>
          </cell>
          <cell r="O3943" t="str">
            <v>155(F)</v>
          </cell>
          <cell r="P3943" t="str">
            <v>180°</v>
          </cell>
          <cell r="Q3943" t="str">
            <v>-</v>
          </cell>
          <cell r="R3943" t="str">
            <v>-</v>
          </cell>
          <cell r="S3943" t="str">
            <v>-</v>
          </cell>
          <cell r="T3943" t="str">
            <v>-</v>
          </cell>
          <cell r="U3943" t="str">
            <v>-</v>
          </cell>
          <cell r="V3943" t="str">
            <v>SS</v>
          </cell>
          <cell r="W3943" t="str">
            <v>-</v>
          </cell>
          <cell r="X3943" t="str">
            <v>CLP 220 (-15/+40°C)</v>
          </cell>
          <cell r="Y3943" t="str">
            <v>KH127DRN160L4</v>
          </cell>
          <cell r="Z3943" t="str">
            <v>SEW</v>
          </cell>
          <cell r="AB3943" t="str">
            <v>-</v>
          </cell>
          <cell r="AF3943">
            <v>16</v>
          </cell>
          <cell r="AG3943" t="str">
            <v>DRN160L4</v>
          </cell>
          <cell r="AH3943" t="str">
            <v>KH127-DRN160L4A180-X</v>
          </cell>
        </row>
        <row r="3944">
          <cell r="A3944" t="str">
            <v>MR003933</v>
          </cell>
          <cell r="B3944" t="str">
            <v>MR</v>
          </cell>
          <cell r="C3944">
            <v>1.5</v>
          </cell>
          <cell r="D3944">
            <v>22</v>
          </cell>
          <cell r="E3944" t="str">
            <v>FA67</v>
          </cell>
          <cell r="F3944">
            <v>660</v>
          </cell>
          <cell r="G3944">
            <v>67.650000000000006</v>
          </cell>
          <cell r="H3944">
            <v>1.25</v>
          </cell>
          <cell r="I3944" t="str">
            <v>From M5 to M3 -45°</v>
          </cell>
          <cell r="J3944" t="str">
            <v>IE3</v>
          </cell>
          <cell r="K3944" t="str">
            <v>230/400</v>
          </cell>
          <cell r="L3944">
            <v>50</v>
          </cell>
          <cell r="M3944" t="str">
            <v>5,9/3,4</v>
          </cell>
          <cell r="N3944">
            <v>55</v>
          </cell>
          <cell r="O3944" t="str">
            <v>155(F)</v>
          </cell>
          <cell r="P3944" t="str">
            <v>270°</v>
          </cell>
          <cell r="Q3944" t="str">
            <v>-</v>
          </cell>
          <cell r="R3944" t="str">
            <v>-</v>
          </cell>
          <cell r="S3944" t="str">
            <v>-</v>
          </cell>
          <cell r="T3944" t="str">
            <v>BEHF</v>
          </cell>
          <cell r="U3944" t="str">
            <v>G</v>
          </cell>
          <cell r="V3944" t="str">
            <v>D+R</v>
          </cell>
          <cell r="W3944" t="str">
            <v>-</v>
          </cell>
          <cell r="X3944" t="str">
            <v>CLP 220 (-15/+40°C)</v>
          </cell>
          <cell r="Y3944" t="str">
            <v>FA67/G DRN90L4 /BEHF</v>
          </cell>
          <cell r="Z3944" t="str">
            <v>SEW</v>
          </cell>
          <cell r="AB3944" t="str">
            <v>-</v>
          </cell>
          <cell r="AF3944">
            <v>22</v>
          </cell>
          <cell r="AG3944" t="str">
            <v>DRN90L4</v>
          </cell>
          <cell r="AH3944" t="str">
            <v>FA67G-DRN90L4270-X</v>
          </cell>
        </row>
        <row r="3945">
          <cell r="A3945" t="str">
            <v>MR003934</v>
          </cell>
          <cell r="B3945" t="str">
            <v>MR</v>
          </cell>
          <cell r="C3945">
            <v>0.75</v>
          </cell>
          <cell r="D3945">
            <v>18</v>
          </cell>
          <cell r="E3945" t="str">
            <v>FA67</v>
          </cell>
          <cell r="F3945">
            <v>395</v>
          </cell>
          <cell r="G3945">
            <v>79.760000000000005</v>
          </cell>
          <cell r="H3945">
            <v>2.1</v>
          </cell>
          <cell r="I3945" t="str">
            <v>From M6 to M3 - 40°</v>
          </cell>
          <cell r="J3945" t="str">
            <v>IE3</v>
          </cell>
          <cell r="K3945" t="str">
            <v>230/400</v>
          </cell>
          <cell r="L3945">
            <v>50</v>
          </cell>
          <cell r="M3945" t="str">
            <v>3,05/1,75</v>
          </cell>
          <cell r="N3945">
            <v>55</v>
          </cell>
          <cell r="O3945" t="str">
            <v>155(F)</v>
          </cell>
          <cell r="P3945" t="str">
            <v>270°</v>
          </cell>
          <cell r="Q3945" t="str">
            <v>-</v>
          </cell>
          <cell r="R3945" t="str">
            <v>-</v>
          </cell>
          <cell r="S3945" t="str">
            <v>-</v>
          </cell>
          <cell r="T3945" t="str">
            <v>BEHF</v>
          </cell>
          <cell r="U3945" t="str">
            <v>G</v>
          </cell>
          <cell r="V3945" t="str">
            <v>D+R</v>
          </cell>
          <cell r="W3945" t="str">
            <v>-</v>
          </cell>
          <cell r="X3945" t="str">
            <v>CLP 220 (-15/+40°C)</v>
          </cell>
          <cell r="Y3945" t="str">
            <v>FA67/G DRN80M4 /BEHF</v>
          </cell>
          <cell r="Z3945" t="str">
            <v>SEW</v>
          </cell>
          <cell r="AB3945" t="str">
            <v>-</v>
          </cell>
          <cell r="AF3945">
            <v>18</v>
          </cell>
          <cell r="AG3945" t="str">
            <v>DRN80M4</v>
          </cell>
          <cell r="AH3945" t="str">
            <v>FA67G-DRN80M4270-X</v>
          </cell>
        </row>
        <row r="3946">
          <cell r="A3946" t="str">
            <v>MR003935</v>
          </cell>
          <cell r="B3946" t="str">
            <v>MR</v>
          </cell>
          <cell r="C3946">
            <v>15</v>
          </cell>
          <cell r="D3946">
            <v>49</v>
          </cell>
          <cell r="E3946" t="str">
            <v>FH97</v>
          </cell>
          <cell r="F3946">
            <v>2950</v>
          </cell>
          <cell r="G3946" t="str">
            <v>30,39</v>
          </cell>
          <cell r="H3946" t="str">
            <v>1,45</v>
          </cell>
          <cell r="I3946" t="str">
            <v>M1</v>
          </cell>
          <cell r="J3946" t="str">
            <v>IE3</v>
          </cell>
          <cell r="K3946" t="str">
            <v>400/690</v>
          </cell>
          <cell r="L3946">
            <v>50</v>
          </cell>
          <cell r="M3946" t="str">
            <v>29/16,7</v>
          </cell>
          <cell r="N3946">
            <v>55</v>
          </cell>
          <cell r="O3946" t="str">
            <v>155(F)</v>
          </cell>
          <cell r="P3946" t="str">
            <v>270°</v>
          </cell>
          <cell r="Q3946" t="str">
            <v>-</v>
          </cell>
          <cell r="R3946" t="str">
            <v>-</v>
          </cell>
          <cell r="S3946" t="str">
            <v>-</v>
          </cell>
          <cell r="T3946" t="str">
            <v>-</v>
          </cell>
          <cell r="U3946" t="str">
            <v>G</v>
          </cell>
          <cell r="V3946" t="str">
            <v>D+R</v>
          </cell>
          <cell r="W3946" t="str">
            <v>-</v>
          </cell>
          <cell r="X3946" t="str">
            <v>CLP 220 (-15/+40°C)</v>
          </cell>
          <cell r="Y3946" t="str">
            <v>FH97/G DRN160L4</v>
          </cell>
          <cell r="Z3946" t="str">
            <v>SEW</v>
          </cell>
          <cell r="AB3946" t="str">
            <v>-</v>
          </cell>
          <cell r="AF3946">
            <v>49</v>
          </cell>
          <cell r="AG3946" t="str">
            <v>DRN160L4</v>
          </cell>
          <cell r="AH3946" t="str">
            <v>FH97G-DRN160L4270-X</v>
          </cell>
        </row>
        <row r="3947">
          <cell r="A3947" t="str">
            <v>MR003936</v>
          </cell>
          <cell r="B3947" t="str">
            <v>MR</v>
          </cell>
          <cell r="C3947">
            <v>15</v>
          </cell>
          <cell r="D3947">
            <v>22</v>
          </cell>
          <cell r="E3947" t="str">
            <v>FH107</v>
          </cell>
          <cell r="F3947">
            <v>6570</v>
          </cell>
          <cell r="G3947">
            <v>67.62</v>
          </cell>
          <cell r="H3947">
            <v>1.1499999999999999</v>
          </cell>
          <cell r="I3947" t="str">
            <v>M1</v>
          </cell>
          <cell r="J3947" t="str">
            <v>IE3</v>
          </cell>
          <cell r="K3947" t="str">
            <v>400/690</v>
          </cell>
          <cell r="L3947">
            <v>50</v>
          </cell>
          <cell r="M3947" t="str">
            <v>29/16,7</v>
          </cell>
          <cell r="N3947">
            <v>55</v>
          </cell>
          <cell r="O3947" t="str">
            <v>155(F)</v>
          </cell>
          <cell r="P3947" t="str">
            <v>270°</v>
          </cell>
          <cell r="Q3947" t="str">
            <v>TF</v>
          </cell>
          <cell r="R3947" t="str">
            <v>V(VE)</v>
          </cell>
          <cell r="S3947" t="str">
            <v>-</v>
          </cell>
          <cell r="T3947" t="str">
            <v>-</v>
          </cell>
          <cell r="U3947" t="str">
            <v>G</v>
          </cell>
          <cell r="V3947" t="str">
            <v>FC</v>
          </cell>
          <cell r="W3947" t="str">
            <v>-</v>
          </cell>
          <cell r="X3947" t="str">
            <v>CLP 220 (-15/+40°C)</v>
          </cell>
          <cell r="Y3947" t="str">
            <v>FH107/G DRN160L4 /TF/V</v>
          </cell>
          <cell r="Z3947" t="str">
            <v>SEW</v>
          </cell>
          <cell r="AB3947" t="str">
            <v>-</v>
          </cell>
          <cell r="AF3947">
            <v>22</v>
          </cell>
          <cell r="AG3947" t="str">
            <v>DRN160L4</v>
          </cell>
          <cell r="AH3947" t="str">
            <v>FH107G-DRN160L4270-X#</v>
          </cell>
        </row>
        <row r="3948">
          <cell r="A3948" t="str">
            <v>MR003937</v>
          </cell>
          <cell r="B3948" t="str">
            <v>MR</v>
          </cell>
          <cell r="C3948">
            <v>37</v>
          </cell>
          <cell r="D3948">
            <v>35</v>
          </cell>
          <cell r="E3948" t="str">
            <v>FH127</v>
          </cell>
          <cell r="F3948">
            <v>10000</v>
          </cell>
          <cell r="G3948">
            <v>42.15</v>
          </cell>
          <cell r="H3948">
            <v>1.2</v>
          </cell>
          <cell r="I3948" t="str">
            <v>M1</v>
          </cell>
          <cell r="J3948" t="str">
            <v>IE3</v>
          </cell>
          <cell r="K3948" t="str">
            <v>400/690</v>
          </cell>
          <cell r="L3948">
            <v>50</v>
          </cell>
          <cell r="M3948" t="str">
            <v>64/37</v>
          </cell>
          <cell r="N3948">
            <v>55</v>
          </cell>
          <cell r="O3948" t="str">
            <v>155(F)</v>
          </cell>
          <cell r="P3948" t="str">
            <v>270°</v>
          </cell>
          <cell r="Q3948" t="str">
            <v>TF</v>
          </cell>
          <cell r="R3948" t="str">
            <v>V(VE)</v>
          </cell>
          <cell r="S3948" t="str">
            <v>-</v>
          </cell>
          <cell r="T3948" t="str">
            <v>-</v>
          </cell>
          <cell r="U3948" t="str">
            <v>G</v>
          </cell>
          <cell r="V3948" t="str">
            <v>FC</v>
          </cell>
          <cell r="W3948" t="str">
            <v>-</v>
          </cell>
          <cell r="X3948" t="str">
            <v>CLP 220 (-15/+40°C)</v>
          </cell>
          <cell r="Y3948" t="str">
            <v>FH127/G DRN225S4 /TF/V</v>
          </cell>
          <cell r="Z3948" t="str">
            <v>SEW</v>
          </cell>
          <cell r="AB3948" t="str">
            <v>-</v>
          </cell>
          <cell r="AF3948">
            <v>35</v>
          </cell>
          <cell r="AG3948" t="str">
            <v>DRN225S4</v>
          </cell>
          <cell r="AH3948" t="str">
            <v>FH127G-DRN225S4270-X#</v>
          </cell>
        </row>
        <row r="3949">
          <cell r="A3949" t="str">
            <v>MR003938</v>
          </cell>
          <cell r="B3949" t="str">
            <v>MR</v>
          </cell>
          <cell r="C3949">
            <v>11</v>
          </cell>
          <cell r="D3949">
            <v>59</v>
          </cell>
          <cell r="E3949" t="str">
            <v>FH97</v>
          </cell>
          <cell r="F3949">
            <v>1780</v>
          </cell>
          <cell r="G3949">
            <v>24.92</v>
          </cell>
          <cell r="H3949">
            <v>2.4</v>
          </cell>
          <cell r="I3949" t="str">
            <v>From M1 to M2 - 20°</v>
          </cell>
          <cell r="J3949" t="str">
            <v>IE3</v>
          </cell>
          <cell r="K3949" t="str">
            <v>400/690</v>
          </cell>
          <cell r="L3949">
            <v>50</v>
          </cell>
          <cell r="M3949" t="str">
            <v>21/12,2</v>
          </cell>
          <cell r="N3949">
            <v>55</v>
          </cell>
          <cell r="O3949" t="str">
            <v>155(F)</v>
          </cell>
          <cell r="P3949" t="str">
            <v>180°</v>
          </cell>
          <cell r="Q3949" t="str">
            <v>-</v>
          </cell>
          <cell r="R3949" t="str">
            <v>-</v>
          </cell>
          <cell r="S3949" t="str">
            <v>-</v>
          </cell>
          <cell r="T3949" t="str">
            <v>-</v>
          </cell>
          <cell r="U3949" t="str">
            <v>G</v>
          </cell>
          <cell r="V3949" t="str">
            <v>D</v>
          </cell>
          <cell r="W3949" t="str">
            <v>-</v>
          </cell>
          <cell r="X3949" t="str">
            <v>CLP 220 (-15/+40°C)</v>
          </cell>
          <cell r="Y3949" t="str">
            <v>FH97/G DRN160M4</v>
          </cell>
          <cell r="Z3949" t="str">
            <v>SEW</v>
          </cell>
          <cell r="AB3949" t="str">
            <v>-</v>
          </cell>
          <cell r="AF3949">
            <v>59</v>
          </cell>
          <cell r="AG3949" t="str">
            <v>DRN160M4</v>
          </cell>
          <cell r="AH3949" t="str">
            <v>FH97G-DRN160M4180-X</v>
          </cell>
        </row>
        <row r="3950">
          <cell r="A3950" t="str">
            <v>MR003939</v>
          </cell>
          <cell r="B3950" t="str">
            <v>MR</v>
          </cell>
          <cell r="C3950">
            <v>18.5</v>
          </cell>
          <cell r="D3950">
            <v>12</v>
          </cell>
          <cell r="E3950" t="str">
            <v>KH157</v>
          </cell>
          <cell r="F3950">
            <v>14600</v>
          </cell>
          <cell r="G3950">
            <v>122.39</v>
          </cell>
          <cell r="H3950">
            <v>1.35</v>
          </cell>
          <cell r="I3950" t="str">
            <v>M4A</v>
          </cell>
          <cell r="J3950" t="str">
            <v>IE3</v>
          </cell>
          <cell r="K3950" t="str">
            <v>219-241/380-420</v>
          </cell>
          <cell r="L3950">
            <v>50</v>
          </cell>
          <cell r="M3950" t="str">
            <v>61/35</v>
          </cell>
          <cell r="N3950">
            <v>55</v>
          </cell>
          <cell r="O3950" t="str">
            <v>155(F)</v>
          </cell>
          <cell r="P3950" t="str">
            <v>270°</v>
          </cell>
          <cell r="Q3950" t="str">
            <v>TF</v>
          </cell>
          <cell r="R3950" t="str">
            <v>-</v>
          </cell>
          <cell r="S3950" t="str">
            <v>-</v>
          </cell>
          <cell r="T3950" t="str">
            <v>-</v>
          </cell>
          <cell r="U3950" t="str">
            <v>-</v>
          </cell>
          <cell r="V3950" t="str">
            <v>FC</v>
          </cell>
          <cell r="W3950" t="str">
            <v>-</v>
          </cell>
          <cell r="X3950" t="str">
            <v>CLP VG 220 = -15° + 40°</v>
          </cell>
          <cell r="Y3950" t="str">
            <v>KH157EDRN180M4 /TF</v>
          </cell>
          <cell r="Z3950" t="str">
            <v>SEW</v>
          </cell>
          <cell r="AB3950" t="str">
            <v>ATEX22</v>
          </cell>
          <cell r="AF3950">
            <v>12</v>
          </cell>
          <cell r="AG3950" t="str">
            <v>EDRN180M4</v>
          </cell>
          <cell r="AH3950" t="str">
            <v>KH157-EDRN180M4A270-X</v>
          </cell>
        </row>
        <row r="3951">
          <cell r="A3951" t="str">
            <v>MR003940</v>
          </cell>
          <cell r="B3951" t="str">
            <v>MR</v>
          </cell>
          <cell r="C3951">
            <v>18.5</v>
          </cell>
          <cell r="D3951">
            <v>12</v>
          </cell>
          <cell r="E3951" t="str">
            <v>KH157</v>
          </cell>
          <cell r="F3951">
            <v>14600</v>
          </cell>
          <cell r="G3951">
            <v>122.39</v>
          </cell>
          <cell r="H3951">
            <v>1.35</v>
          </cell>
          <cell r="I3951" t="str">
            <v>M4B</v>
          </cell>
          <cell r="J3951" t="str">
            <v>IE3</v>
          </cell>
          <cell r="K3951" t="str">
            <v>219-241/380-420</v>
          </cell>
          <cell r="L3951">
            <v>50</v>
          </cell>
          <cell r="M3951" t="str">
            <v>61/35</v>
          </cell>
          <cell r="N3951">
            <v>55</v>
          </cell>
          <cell r="O3951" t="str">
            <v>155(F)</v>
          </cell>
          <cell r="P3951" t="str">
            <v>270°</v>
          </cell>
          <cell r="Q3951" t="str">
            <v>TF</v>
          </cell>
          <cell r="R3951" t="str">
            <v>-</v>
          </cell>
          <cell r="S3951" t="str">
            <v>-</v>
          </cell>
          <cell r="T3951" t="str">
            <v>-</v>
          </cell>
          <cell r="U3951" t="str">
            <v>-</v>
          </cell>
          <cell r="V3951" t="str">
            <v>FC</v>
          </cell>
          <cell r="W3951" t="str">
            <v>-</v>
          </cell>
          <cell r="X3951" t="str">
            <v>CLP VG 220 = -15° + 40°</v>
          </cell>
          <cell r="Y3951" t="str">
            <v>KH157EDRN180M4 /TF</v>
          </cell>
          <cell r="Z3951" t="str">
            <v>SEW</v>
          </cell>
          <cell r="AB3951" t="str">
            <v>ATEX22</v>
          </cell>
          <cell r="AF3951">
            <v>12</v>
          </cell>
          <cell r="AG3951" t="str">
            <v>EDRN180M4</v>
          </cell>
          <cell r="AH3951" t="str">
            <v>KH157-EDRN180M4B270-X</v>
          </cell>
        </row>
        <row r="3952">
          <cell r="A3952" t="str">
            <v>MR003941</v>
          </cell>
          <cell r="B3952" t="str">
            <v>MR</v>
          </cell>
          <cell r="C3952">
            <v>22</v>
          </cell>
          <cell r="D3952">
            <v>16</v>
          </cell>
          <cell r="E3952" t="str">
            <v>KH157</v>
          </cell>
          <cell r="F3952">
            <v>13000</v>
          </cell>
          <cell r="G3952">
            <v>91.65</v>
          </cell>
          <cell r="H3952">
            <v>1.55</v>
          </cell>
          <cell r="I3952" t="str">
            <v>M4B</v>
          </cell>
          <cell r="J3952" t="str">
            <v>IE3</v>
          </cell>
          <cell r="K3952" t="str">
            <v>219-241/380-420</v>
          </cell>
          <cell r="L3952">
            <v>50</v>
          </cell>
          <cell r="M3952" t="str">
            <v>70/40,5</v>
          </cell>
          <cell r="N3952">
            <v>55</v>
          </cell>
          <cell r="O3952" t="str">
            <v>155(F)</v>
          </cell>
          <cell r="P3952" t="str">
            <v>270°</v>
          </cell>
          <cell r="Q3952" t="str">
            <v>TF</v>
          </cell>
          <cell r="R3952" t="str">
            <v>-</v>
          </cell>
          <cell r="S3952" t="str">
            <v>-</v>
          </cell>
          <cell r="T3952" t="str">
            <v>-</v>
          </cell>
          <cell r="U3952" t="str">
            <v>-</v>
          </cell>
          <cell r="V3952" t="str">
            <v>FC</v>
          </cell>
          <cell r="W3952" t="str">
            <v>-</v>
          </cell>
          <cell r="X3952" t="str">
            <v>CLP VG 220 = -15° + 40°</v>
          </cell>
          <cell r="Y3952" t="str">
            <v>KH157EDRN180L4 /TF</v>
          </cell>
          <cell r="Z3952" t="str">
            <v>SEW</v>
          </cell>
          <cell r="AB3952" t="str">
            <v>ATEX22</v>
          </cell>
          <cell r="AF3952">
            <v>16</v>
          </cell>
          <cell r="AG3952" t="str">
            <v>EDRN180L4</v>
          </cell>
          <cell r="AH3952" t="str">
            <v>KH157-EDRN180L4B270-X</v>
          </cell>
        </row>
        <row r="3953">
          <cell r="A3953" t="str">
            <v>MR003942</v>
          </cell>
          <cell r="B3953" t="str">
            <v>MR</v>
          </cell>
          <cell r="C3953">
            <v>2.2000000000000002</v>
          </cell>
          <cell r="D3953">
            <v>16</v>
          </cell>
          <cell r="E3953" t="str">
            <v>KH77</v>
          </cell>
          <cell r="F3953">
            <v>1290</v>
          </cell>
          <cell r="G3953">
            <v>88.97</v>
          </cell>
          <cell r="H3953">
            <v>1.1000000000000001</v>
          </cell>
          <cell r="I3953" t="str">
            <v>M4B</v>
          </cell>
          <cell r="J3953" t="str">
            <v>IE3</v>
          </cell>
          <cell r="K3953" t="str">
            <v>219-241/380-420</v>
          </cell>
          <cell r="L3953">
            <v>50</v>
          </cell>
          <cell r="M3953" t="str">
            <v>8,3/4,8</v>
          </cell>
          <cell r="N3953">
            <v>55</v>
          </cell>
          <cell r="O3953" t="str">
            <v>155(F)</v>
          </cell>
          <cell r="P3953" t="str">
            <v>270°</v>
          </cell>
          <cell r="Q3953" t="str">
            <v>TF</v>
          </cell>
          <cell r="R3953" t="str">
            <v>-</v>
          </cell>
          <cell r="S3953" t="str">
            <v>-</v>
          </cell>
          <cell r="T3953" t="str">
            <v>-</v>
          </cell>
          <cell r="U3953" t="str">
            <v>-</v>
          </cell>
          <cell r="V3953" t="str">
            <v>FC</v>
          </cell>
          <cell r="W3953" t="str">
            <v>-</v>
          </cell>
          <cell r="X3953" t="str">
            <v>CLP VG 220 = -15° + 40°</v>
          </cell>
          <cell r="Y3953" t="str">
            <v>KH77EDRN100LS4 /TF</v>
          </cell>
          <cell r="Z3953" t="str">
            <v>SEW</v>
          </cell>
          <cell r="AB3953" t="str">
            <v>ATEX22</v>
          </cell>
          <cell r="AF3953">
            <v>16</v>
          </cell>
          <cell r="AG3953" t="str">
            <v>EDRN100LS4</v>
          </cell>
          <cell r="AH3953" t="str">
            <v>KH77-EDRN100LS4B270-X</v>
          </cell>
        </row>
        <row r="3954">
          <cell r="A3954" t="str">
            <v>MR003943</v>
          </cell>
          <cell r="B3954" t="str">
            <v>MR</v>
          </cell>
          <cell r="C3954">
            <v>30</v>
          </cell>
          <cell r="D3954">
            <v>15</v>
          </cell>
          <cell r="E3954" t="str">
            <v>KH157</v>
          </cell>
          <cell r="F3954">
            <v>19400</v>
          </cell>
          <cell r="G3954">
            <v>100.22</v>
          </cell>
          <cell r="H3954">
            <v>1.05</v>
          </cell>
          <cell r="I3954" t="str">
            <v>From M4A to M1A - 35°</v>
          </cell>
          <cell r="J3954" t="str">
            <v>IE3</v>
          </cell>
          <cell r="K3954" t="str">
            <v>230/400</v>
          </cell>
          <cell r="L3954">
            <v>50</v>
          </cell>
          <cell r="M3954" t="str">
            <v>97/56</v>
          </cell>
          <cell r="N3954">
            <v>65</v>
          </cell>
          <cell r="O3954" t="str">
            <v>155(F)</v>
          </cell>
          <cell r="P3954" t="str">
            <v>270°</v>
          </cell>
          <cell r="Q3954" t="str">
            <v>TF</v>
          </cell>
          <cell r="R3954" t="str">
            <v>V(VE)</v>
          </cell>
          <cell r="S3954" t="str">
            <v>-</v>
          </cell>
          <cell r="T3954" t="str">
            <v>-</v>
          </cell>
          <cell r="U3954" t="str">
            <v>-</v>
          </cell>
          <cell r="V3954" t="str">
            <v>FC</v>
          </cell>
          <cell r="W3954" t="str">
            <v>-</v>
          </cell>
          <cell r="X3954" t="str">
            <v>CLP HC VG 220 = -20° + 60°</v>
          </cell>
          <cell r="Y3954" t="str">
            <v>KH157DRN200L4 /TF/V</v>
          </cell>
          <cell r="Z3954" t="str">
            <v>SEW</v>
          </cell>
          <cell r="AB3954" t="str">
            <v>-</v>
          </cell>
          <cell r="AF3954">
            <v>15</v>
          </cell>
          <cell r="AG3954" t="str">
            <v>DRN200L4</v>
          </cell>
          <cell r="AH3954" t="str">
            <v>KH157-DRN200L4A270-X#</v>
          </cell>
        </row>
        <row r="3955">
          <cell r="A3955" t="str">
            <v>MR003944</v>
          </cell>
          <cell r="B3955" t="str">
            <v>MR</v>
          </cell>
          <cell r="C3955">
            <v>30</v>
          </cell>
          <cell r="D3955">
            <v>15</v>
          </cell>
          <cell r="E3955" t="str">
            <v>KH157</v>
          </cell>
          <cell r="F3955">
            <v>19400</v>
          </cell>
          <cell r="G3955">
            <v>100.22</v>
          </cell>
          <cell r="H3955">
            <v>1.05</v>
          </cell>
          <cell r="I3955" t="str">
            <v>From M4B to M1B - 35°</v>
          </cell>
          <cell r="J3955" t="str">
            <v>IE3</v>
          </cell>
          <cell r="K3955" t="str">
            <v>230/400</v>
          </cell>
          <cell r="L3955">
            <v>50</v>
          </cell>
          <cell r="M3955" t="str">
            <v>97/56</v>
          </cell>
          <cell r="N3955">
            <v>65</v>
          </cell>
          <cell r="O3955" t="str">
            <v>155(F)</v>
          </cell>
          <cell r="P3955" t="str">
            <v>270°</v>
          </cell>
          <cell r="Q3955" t="str">
            <v>TF</v>
          </cell>
          <cell r="R3955" t="str">
            <v>V(VE)</v>
          </cell>
          <cell r="S3955" t="str">
            <v>-</v>
          </cell>
          <cell r="T3955" t="str">
            <v>-</v>
          </cell>
          <cell r="U3955" t="str">
            <v>-</v>
          </cell>
          <cell r="V3955" t="str">
            <v>FC</v>
          </cell>
          <cell r="W3955" t="str">
            <v>-</v>
          </cell>
          <cell r="X3955" t="str">
            <v>CLP HC VG 220 = -20° + 60°</v>
          </cell>
          <cell r="Y3955" t="str">
            <v>KH157DRN200L4 /TF/V</v>
          </cell>
          <cell r="Z3955" t="str">
            <v>SEW</v>
          </cell>
          <cell r="AB3955" t="str">
            <v>-</v>
          </cell>
          <cell r="AF3955">
            <v>15</v>
          </cell>
          <cell r="AG3955" t="str">
            <v>DRN200L4</v>
          </cell>
          <cell r="AH3955" t="str">
            <v>KH157-DRN200L4B270-X#</v>
          </cell>
        </row>
        <row r="3956">
          <cell r="A3956" t="str">
            <v>MR003945</v>
          </cell>
          <cell r="B3956" t="str">
            <v>MR</v>
          </cell>
          <cell r="C3956">
            <v>15</v>
          </cell>
          <cell r="D3956">
            <v>48</v>
          </cell>
          <cell r="E3956" t="str">
            <v>KH97</v>
          </cell>
          <cell r="F3956">
            <v>2990</v>
          </cell>
          <cell r="G3956">
            <v>30.82</v>
          </cell>
          <cell r="H3956">
            <v>1.45</v>
          </cell>
          <cell r="I3956" t="str">
            <v>M4A</v>
          </cell>
          <cell r="J3956" t="str">
            <v>IE3</v>
          </cell>
          <cell r="K3956" t="str">
            <v>230/400</v>
          </cell>
          <cell r="L3956">
            <v>50</v>
          </cell>
          <cell r="M3956" t="str">
            <v>50/29</v>
          </cell>
          <cell r="N3956">
            <v>65</v>
          </cell>
          <cell r="O3956" t="str">
            <v>155(F)</v>
          </cell>
          <cell r="P3956" t="str">
            <v>270°</v>
          </cell>
          <cell r="Q3956" t="str">
            <v>-</v>
          </cell>
          <cell r="R3956" t="str">
            <v>-</v>
          </cell>
          <cell r="S3956" t="str">
            <v>Free rotation CCW</v>
          </cell>
          <cell r="T3956" t="str">
            <v>-</v>
          </cell>
          <cell r="U3956" t="str">
            <v>T</v>
          </cell>
          <cell r="V3956" t="str">
            <v>SS</v>
          </cell>
          <cell r="W3956" t="str">
            <v>-</v>
          </cell>
          <cell r="X3956" t="str">
            <v>CLP HC VG 220 = -20° + 60°</v>
          </cell>
          <cell r="Y3956" t="str">
            <v>KH97/T DRN160L4 /RS</v>
          </cell>
          <cell r="Z3956" t="str">
            <v>SEW</v>
          </cell>
          <cell r="AB3956" t="str">
            <v>-</v>
          </cell>
          <cell r="AF3956">
            <v>48</v>
          </cell>
          <cell r="AG3956" t="str">
            <v>DRN160L4</v>
          </cell>
          <cell r="AH3956" t="str">
            <v>KH97T-DRN160L4A270-X</v>
          </cell>
        </row>
        <row r="3957">
          <cell r="A3957" t="str">
            <v>MR003946</v>
          </cell>
          <cell r="B3957" t="str">
            <v>MR</v>
          </cell>
          <cell r="C3957">
            <v>1.5</v>
          </cell>
          <cell r="D3957">
            <v>5.9</v>
          </cell>
          <cell r="E3957" t="str">
            <v>KH87R57</v>
          </cell>
          <cell r="F3957">
            <v>2270</v>
          </cell>
          <cell r="G3957">
            <v>250</v>
          </cell>
          <cell r="H3957">
            <v>1.2</v>
          </cell>
          <cell r="I3957" t="str">
            <v>M4A</v>
          </cell>
          <cell r="J3957" t="str">
            <v>IE3</v>
          </cell>
          <cell r="K3957" t="str">
            <v>230/400</v>
          </cell>
          <cell r="L3957">
            <v>50</v>
          </cell>
          <cell r="M3957" t="str">
            <v>5,9/3,4</v>
          </cell>
          <cell r="N3957">
            <v>65</v>
          </cell>
          <cell r="O3957" t="str">
            <v>155(F)</v>
          </cell>
          <cell r="P3957" t="str">
            <v>270°</v>
          </cell>
          <cell r="Q3957" t="str">
            <v>-</v>
          </cell>
          <cell r="R3957" t="str">
            <v>-</v>
          </cell>
          <cell r="S3957" t="str">
            <v>-</v>
          </cell>
          <cell r="T3957" t="str">
            <v>-</v>
          </cell>
          <cell r="U3957" t="str">
            <v>T</v>
          </cell>
          <cell r="V3957" t="str">
            <v>SS</v>
          </cell>
          <cell r="W3957" t="str">
            <v>-</v>
          </cell>
          <cell r="X3957" t="str">
            <v>CLP HC VG 220 = -20° + 60°</v>
          </cell>
          <cell r="Y3957" t="str">
            <v>KH87R57/T DRN90L4</v>
          </cell>
          <cell r="Z3957" t="str">
            <v>SEW</v>
          </cell>
          <cell r="AB3957" t="str">
            <v>-</v>
          </cell>
          <cell r="AF3957">
            <v>5.9</v>
          </cell>
          <cell r="AG3957" t="str">
            <v>DRN90L4</v>
          </cell>
          <cell r="AH3957" t="str">
            <v>KH87R57T-DRN90L4A270-X</v>
          </cell>
        </row>
        <row r="3958">
          <cell r="A3958" t="str">
            <v>MR003947</v>
          </cell>
          <cell r="B3958" t="str">
            <v>MR</v>
          </cell>
          <cell r="C3958">
            <v>15</v>
          </cell>
          <cell r="D3958">
            <v>16</v>
          </cell>
          <cell r="E3958" t="str">
            <v>KH127</v>
          </cell>
          <cell r="F3958">
            <v>8730</v>
          </cell>
          <cell r="G3958">
            <v>89.89</v>
          </cell>
          <cell r="H3958">
            <v>1.5</v>
          </cell>
          <cell r="I3958" t="str">
            <v>M4A</v>
          </cell>
          <cell r="J3958" t="str">
            <v>IE3</v>
          </cell>
          <cell r="K3958" t="str">
            <v>230/400</v>
          </cell>
          <cell r="L3958">
            <v>50</v>
          </cell>
          <cell r="M3958" t="str">
            <v>50/29</v>
          </cell>
          <cell r="N3958">
            <v>65</v>
          </cell>
          <cell r="O3958" t="str">
            <v>155(F)</v>
          </cell>
          <cell r="P3958" t="str">
            <v>270°</v>
          </cell>
          <cell r="Q3958" t="str">
            <v>TF</v>
          </cell>
          <cell r="R3958" t="str">
            <v>V(VE)</v>
          </cell>
          <cell r="S3958" t="str">
            <v>-</v>
          </cell>
          <cell r="T3958" t="str">
            <v>-</v>
          </cell>
          <cell r="U3958" t="str">
            <v>-</v>
          </cell>
          <cell r="V3958" t="str">
            <v>FC</v>
          </cell>
          <cell r="W3958" t="str">
            <v>-</v>
          </cell>
          <cell r="X3958" t="str">
            <v>CLP HC VG 220 = -20° + 60°</v>
          </cell>
          <cell r="Y3958" t="str">
            <v>KH127DRN160L4 /TF/V</v>
          </cell>
          <cell r="Z3958" t="str">
            <v>SEW</v>
          </cell>
          <cell r="AB3958" t="str">
            <v>-</v>
          </cell>
          <cell r="AF3958">
            <v>16</v>
          </cell>
          <cell r="AG3958" t="str">
            <v>DRN160L4</v>
          </cell>
          <cell r="AH3958" t="str">
            <v>KH127-DRN160L4A270-X#</v>
          </cell>
        </row>
        <row r="3959">
          <cell r="A3959" t="str">
            <v>MR003948</v>
          </cell>
          <cell r="B3959" t="str">
            <v>MR</v>
          </cell>
          <cell r="C3959">
            <v>9.1999999999999993</v>
          </cell>
          <cell r="D3959">
            <v>16</v>
          </cell>
          <cell r="E3959" t="str">
            <v>KH107</v>
          </cell>
          <cell r="F3959">
            <v>5430</v>
          </cell>
          <cell r="G3959">
            <v>90.96</v>
          </cell>
          <cell r="H3959">
            <v>1.45</v>
          </cell>
          <cell r="I3959" t="str">
            <v>M4A</v>
          </cell>
          <cell r="J3959" t="str">
            <v>IE3</v>
          </cell>
          <cell r="K3959" t="str">
            <v>230/400</v>
          </cell>
          <cell r="L3959">
            <v>50</v>
          </cell>
          <cell r="M3959" t="str">
            <v>32,5/18,7</v>
          </cell>
          <cell r="N3959">
            <v>65</v>
          </cell>
          <cell r="O3959" t="str">
            <v>155(F)</v>
          </cell>
          <cell r="P3959" t="str">
            <v>270°</v>
          </cell>
          <cell r="Q3959" t="str">
            <v>-</v>
          </cell>
          <cell r="R3959" t="str">
            <v>-</v>
          </cell>
          <cell r="S3959" t="str">
            <v>-</v>
          </cell>
          <cell r="T3959" t="str">
            <v>-</v>
          </cell>
          <cell r="U3959" t="str">
            <v>-</v>
          </cell>
          <cell r="V3959" t="str">
            <v>SS</v>
          </cell>
          <cell r="W3959" t="str">
            <v>-</v>
          </cell>
          <cell r="X3959" t="str">
            <v>CLP HC VG 220 = -20° + 60°</v>
          </cell>
          <cell r="Y3959" t="str">
            <v>KH107DRN132L4</v>
          </cell>
          <cell r="Z3959" t="str">
            <v>SEW</v>
          </cell>
          <cell r="AB3959" t="str">
            <v>-</v>
          </cell>
          <cell r="AF3959">
            <v>16</v>
          </cell>
          <cell r="AG3959" t="str">
            <v>DRN132L4</v>
          </cell>
          <cell r="AH3959" t="str">
            <v>KH107-DRN132L4A270-X</v>
          </cell>
        </row>
        <row r="3960">
          <cell r="A3960" t="str">
            <v>MR003949</v>
          </cell>
          <cell r="B3960" t="str">
            <v>MR</v>
          </cell>
          <cell r="C3960">
            <v>30</v>
          </cell>
          <cell r="D3960">
            <v>42</v>
          </cell>
          <cell r="E3960" t="str">
            <v>R147</v>
          </cell>
          <cell r="F3960">
            <v>6890</v>
          </cell>
          <cell r="G3960">
            <v>35.64</v>
          </cell>
          <cell r="H3960">
            <v>1.9</v>
          </cell>
          <cell r="I3960" t="str">
            <v>M1</v>
          </cell>
          <cell r="J3960" t="str">
            <v>IE3</v>
          </cell>
          <cell r="K3960" t="str">
            <v>400/690</v>
          </cell>
          <cell r="L3960">
            <v>50</v>
          </cell>
          <cell r="M3960" t="str">
            <v>56/32,5</v>
          </cell>
          <cell r="N3960">
            <v>65</v>
          </cell>
          <cell r="O3960" t="str">
            <v>155(F)</v>
          </cell>
          <cell r="P3960" t="str">
            <v>270°</v>
          </cell>
          <cell r="Q3960" t="str">
            <v>TF</v>
          </cell>
          <cell r="R3960" t="str">
            <v>-</v>
          </cell>
          <cell r="S3960" t="str">
            <v>-</v>
          </cell>
          <cell r="T3960" t="str">
            <v>-</v>
          </cell>
          <cell r="U3960" t="str">
            <v>-</v>
          </cell>
          <cell r="V3960" t="str">
            <v>FC</v>
          </cell>
          <cell r="W3960" t="str">
            <v>-</v>
          </cell>
          <cell r="X3960" t="str">
            <v>CLP HC 220 (-25/+60°C)</v>
          </cell>
          <cell r="Y3960" t="str">
            <v>R147DRN200L4 /TF</v>
          </cell>
          <cell r="Z3960" t="str">
            <v>SEW</v>
          </cell>
          <cell r="AB3960" t="str">
            <v>-</v>
          </cell>
          <cell r="AE3960" t="str">
            <v>Work frequency: 50Hz - constant work speed ; CAST IRON FRAME ; B61 sight glass for oil; surface protection OS4;  tropicalized, suitable for high humidity and dustiness</v>
          </cell>
          <cell r="AF3960">
            <v>42</v>
          </cell>
          <cell r="AG3960" t="str">
            <v>DRN200L4</v>
          </cell>
          <cell r="AH3960" t="str">
            <v>R147-DRN200L4270-X</v>
          </cell>
        </row>
        <row r="3961">
          <cell r="A3961" t="str">
            <v>MR003950</v>
          </cell>
          <cell r="B3961" t="str">
            <v>MR</v>
          </cell>
          <cell r="C3961">
            <v>11</v>
          </cell>
          <cell r="D3961">
            <v>109</v>
          </cell>
          <cell r="E3961" t="str">
            <v>KH77</v>
          </cell>
          <cell r="F3961">
            <v>960</v>
          </cell>
          <cell r="G3961">
            <v>13.52</v>
          </cell>
          <cell r="H3961">
            <v>1.4</v>
          </cell>
          <cell r="I3961" t="str">
            <v xml:space="preserve"> From M4A to M1A - 15°</v>
          </cell>
          <cell r="J3961" t="str">
            <v>IE3</v>
          </cell>
          <cell r="K3961" t="str">
            <v>400/690</v>
          </cell>
          <cell r="L3961">
            <v>50</v>
          </cell>
          <cell r="M3961" t="str">
            <v>21/12,2</v>
          </cell>
          <cell r="N3961">
            <v>55</v>
          </cell>
          <cell r="O3961" t="str">
            <v>155(F)</v>
          </cell>
          <cell r="P3961" t="str">
            <v>270°</v>
          </cell>
          <cell r="Q3961" t="str">
            <v>TF</v>
          </cell>
          <cell r="R3961" t="str">
            <v>-</v>
          </cell>
          <cell r="S3961" t="str">
            <v>Free rotation CCW</v>
          </cell>
          <cell r="T3961" t="str">
            <v>-</v>
          </cell>
          <cell r="U3961" t="str">
            <v>T</v>
          </cell>
          <cell r="V3961" t="str">
            <v>SS</v>
          </cell>
          <cell r="W3961" t="str">
            <v>-</v>
          </cell>
          <cell r="X3961" t="str">
            <v>CLP 220 (-15/+40°C)</v>
          </cell>
          <cell r="Y3961" t="str">
            <v>KH77/T DRN160M4 /RS /TF</v>
          </cell>
          <cell r="Z3961" t="str">
            <v>SEW</v>
          </cell>
          <cell r="AB3961" t="str">
            <v>-</v>
          </cell>
          <cell r="AF3961">
            <v>109</v>
          </cell>
          <cell r="AG3961" t="str">
            <v>DRN160M4</v>
          </cell>
          <cell r="AH3961" t="str">
            <v>KH77T-DRN160M4A270-X</v>
          </cell>
        </row>
        <row r="3962">
          <cell r="A3962" t="str">
            <v>MR003951</v>
          </cell>
          <cell r="B3962" t="str">
            <v>MR</v>
          </cell>
          <cell r="C3962">
            <v>15</v>
          </cell>
          <cell r="D3962">
            <v>109</v>
          </cell>
          <cell r="E3962" t="str">
            <v>KH77</v>
          </cell>
          <cell r="F3962">
            <v>1340</v>
          </cell>
          <cell r="G3962">
            <v>13.52</v>
          </cell>
          <cell r="H3962">
            <v>1</v>
          </cell>
          <cell r="I3962" t="str">
            <v xml:space="preserve"> From M4A to M1A - 15°</v>
          </cell>
          <cell r="J3962" t="str">
            <v>IE3</v>
          </cell>
          <cell r="K3962" t="str">
            <v>400/690</v>
          </cell>
          <cell r="L3962">
            <v>50</v>
          </cell>
          <cell r="M3962" t="str">
            <v>29/16,7</v>
          </cell>
          <cell r="N3962">
            <v>55</v>
          </cell>
          <cell r="O3962" t="str">
            <v>155(F)</v>
          </cell>
          <cell r="P3962" t="str">
            <v>270°</v>
          </cell>
          <cell r="Q3962" t="str">
            <v>TF</v>
          </cell>
          <cell r="R3962" t="str">
            <v>-</v>
          </cell>
          <cell r="S3962" t="str">
            <v>Free rotation CCW</v>
          </cell>
          <cell r="T3962" t="str">
            <v>-</v>
          </cell>
          <cell r="U3962" t="str">
            <v>T</v>
          </cell>
          <cell r="V3962" t="str">
            <v>SS</v>
          </cell>
          <cell r="W3962" t="str">
            <v>-</v>
          </cell>
          <cell r="X3962" t="str">
            <v>CLP 220 (-15/+40°C)</v>
          </cell>
          <cell r="Y3962" t="str">
            <v>KH77/T DRN160L4 /RS /TF</v>
          </cell>
          <cell r="Z3962" t="str">
            <v>SEW</v>
          </cell>
          <cell r="AB3962" t="str">
            <v>-</v>
          </cell>
          <cell r="AF3962">
            <v>109</v>
          </cell>
          <cell r="AG3962" t="str">
            <v>DRN160L4</v>
          </cell>
          <cell r="AH3962" t="str">
            <v>KH77T-DRN160L4A270-X</v>
          </cell>
        </row>
        <row r="3963">
          <cell r="A3963" t="str">
            <v>MR003952</v>
          </cell>
          <cell r="B3963" t="str">
            <v>MR</v>
          </cell>
          <cell r="C3963">
            <v>11</v>
          </cell>
          <cell r="D3963">
            <v>15</v>
          </cell>
          <cell r="E3963" t="str">
            <v>KH107</v>
          </cell>
          <cell r="F3963">
            <v>7180</v>
          </cell>
          <cell r="G3963">
            <v>100.75</v>
          </cell>
          <cell r="H3963">
            <v>1.1000000000000001</v>
          </cell>
          <cell r="I3963" t="str">
            <v xml:space="preserve"> M1A </v>
          </cell>
          <cell r="J3963" t="str">
            <v>IE3</v>
          </cell>
          <cell r="K3963" t="str">
            <v>400/690</v>
          </cell>
          <cell r="L3963">
            <v>50</v>
          </cell>
          <cell r="M3963" t="str">
            <v>21/12,2</v>
          </cell>
          <cell r="N3963">
            <v>55</v>
          </cell>
          <cell r="O3963" t="str">
            <v>155(F)</v>
          </cell>
          <cell r="P3963" t="str">
            <v>180°</v>
          </cell>
          <cell r="Q3963" t="str">
            <v>-</v>
          </cell>
          <cell r="R3963" t="str">
            <v>-</v>
          </cell>
          <cell r="S3963" t="str">
            <v>-</v>
          </cell>
          <cell r="T3963" t="str">
            <v>-</v>
          </cell>
          <cell r="U3963" t="str">
            <v>-</v>
          </cell>
          <cell r="V3963" t="str">
            <v>SS</v>
          </cell>
          <cell r="W3963" t="str">
            <v>-</v>
          </cell>
          <cell r="X3963" t="str">
            <v>CLP 220 (-15/+40°C)</v>
          </cell>
          <cell r="Y3963" t="str">
            <v>KH107DRN160M4</v>
          </cell>
          <cell r="Z3963" t="str">
            <v>SEW</v>
          </cell>
          <cell r="AB3963" t="str">
            <v>-</v>
          </cell>
          <cell r="AF3963">
            <v>15</v>
          </cell>
          <cell r="AG3963" t="str">
            <v>DRN160M4</v>
          </cell>
          <cell r="AH3963" t="str">
            <v>KH107-DRN160M4A180-X</v>
          </cell>
        </row>
        <row r="3964">
          <cell r="A3964" t="str">
            <v>MR003953</v>
          </cell>
          <cell r="B3964" t="str">
            <v>MR</v>
          </cell>
          <cell r="C3964">
            <v>30</v>
          </cell>
          <cell r="D3964">
            <v>15</v>
          </cell>
          <cell r="E3964" t="str">
            <v>KH157</v>
          </cell>
          <cell r="F3964">
            <v>19400</v>
          </cell>
          <cell r="G3964">
            <v>100.22</v>
          </cell>
          <cell r="H3964">
            <v>1.05</v>
          </cell>
          <cell r="I3964" t="str">
            <v>From M1A to M2A - 35°</v>
          </cell>
          <cell r="J3964" t="str">
            <v>IE3</v>
          </cell>
          <cell r="K3964" t="str">
            <v>400/690</v>
          </cell>
          <cell r="L3964">
            <v>50</v>
          </cell>
          <cell r="M3964" t="str">
            <v>56/32,5</v>
          </cell>
          <cell r="N3964">
            <v>55</v>
          </cell>
          <cell r="O3964" t="str">
            <v>155(F)</v>
          </cell>
          <cell r="P3964" t="str">
            <v>180°</v>
          </cell>
          <cell r="Q3964" t="str">
            <v>TF</v>
          </cell>
          <cell r="R3964" t="str">
            <v>V(VE)</v>
          </cell>
          <cell r="S3964" t="str">
            <v>-</v>
          </cell>
          <cell r="T3964" t="str">
            <v>-</v>
          </cell>
          <cell r="U3964" t="str">
            <v>-</v>
          </cell>
          <cell r="V3964" t="str">
            <v>FC</v>
          </cell>
          <cell r="W3964" t="str">
            <v>-</v>
          </cell>
          <cell r="X3964" t="str">
            <v>CLP 220 (-15/+40°C)</v>
          </cell>
          <cell r="Y3964" t="str">
            <v>KH157DRN200L4 /TF/V</v>
          </cell>
          <cell r="Z3964" t="str">
            <v>SEW</v>
          </cell>
          <cell r="AB3964" t="str">
            <v>-</v>
          </cell>
          <cell r="AF3964">
            <v>15</v>
          </cell>
          <cell r="AG3964" t="str">
            <v>DRN200L4</v>
          </cell>
          <cell r="AH3964" t="str">
            <v>KH157-DRN200L4A180-X#</v>
          </cell>
        </row>
        <row r="3965">
          <cell r="A3965" t="str">
            <v>MR003954</v>
          </cell>
          <cell r="B3965" t="str">
            <v>MR</v>
          </cell>
          <cell r="C3965">
            <v>15</v>
          </cell>
          <cell r="D3965">
            <v>16</v>
          </cell>
          <cell r="E3965" t="str">
            <v>KH127</v>
          </cell>
          <cell r="F3965">
            <v>8730</v>
          </cell>
          <cell r="G3965">
            <v>89.89</v>
          </cell>
          <cell r="H3965">
            <v>1.5</v>
          </cell>
          <cell r="I3965" t="str">
            <v>From M1A to M2A - 5°</v>
          </cell>
          <cell r="J3965" t="str">
            <v>IE3</v>
          </cell>
          <cell r="K3965" t="str">
            <v>400/690</v>
          </cell>
          <cell r="L3965">
            <v>50</v>
          </cell>
          <cell r="M3965" t="str">
            <v>29/16,7</v>
          </cell>
          <cell r="N3965">
            <v>55</v>
          </cell>
          <cell r="O3965" t="str">
            <v>155(F)</v>
          </cell>
          <cell r="P3965" t="str">
            <v>180°</v>
          </cell>
          <cell r="Q3965" t="str">
            <v>-</v>
          </cell>
          <cell r="R3965" t="str">
            <v>-</v>
          </cell>
          <cell r="S3965" t="str">
            <v>-</v>
          </cell>
          <cell r="T3965" t="str">
            <v>-</v>
          </cell>
          <cell r="U3965" t="str">
            <v>-</v>
          </cell>
          <cell r="V3965" t="str">
            <v>SS</v>
          </cell>
          <cell r="W3965" t="str">
            <v>-</v>
          </cell>
          <cell r="X3965" t="str">
            <v>CLP 220 (-15/+40°C)</v>
          </cell>
          <cell r="Y3965" t="str">
            <v>KH127DRN160L4</v>
          </cell>
          <cell r="Z3965" t="str">
            <v>SEW</v>
          </cell>
          <cell r="AB3965" t="str">
            <v>-</v>
          </cell>
          <cell r="AF3965">
            <v>16</v>
          </cell>
          <cell r="AG3965" t="str">
            <v>DRN160L4</v>
          </cell>
          <cell r="AH3965" t="str">
            <v>KH127-DRN160L4A180-X</v>
          </cell>
        </row>
        <row r="3966">
          <cell r="A3966" t="str">
            <v>MR003955</v>
          </cell>
          <cell r="B3966" t="str">
            <v>MR</v>
          </cell>
          <cell r="C3966">
            <v>15</v>
          </cell>
          <cell r="D3966">
            <v>16</v>
          </cell>
          <cell r="E3966" t="str">
            <v>KH127</v>
          </cell>
          <cell r="F3966">
            <v>8730</v>
          </cell>
          <cell r="G3966">
            <v>89.89</v>
          </cell>
          <cell r="H3966">
            <v>1.5</v>
          </cell>
          <cell r="I3966" t="str">
            <v>From M1B to M2B - 5°</v>
          </cell>
          <cell r="J3966" t="str">
            <v>IE3</v>
          </cell>
          <cell r="K3966" t="str">
            <v>400/690</v>
          </cell>
          <cell r="L3966">
            <v>50</v>
          </cell>
          <cell r="M3966" t="str">
            <v>29/16,7</v>
          </cell>
          <cell r="N3966">
            <v>55</v>
          </cell>
          <cell r="O3966" t="str">
            <v>155(F)</v>
          </cell>
          <cell r="P3966" t="str">
            <v>0°</v>
          </cell>
          <cell r="Q3966" t="str">
            <v>-</v>
          </cell>
          <cell r="R3966" t="str">
            <v>-</v>
          </cell>
          <cell r="S3966" t="str">
            <v>-</v>
          </cell>
          <cell r="T3966" t="str">
            <v>-</v>
          </cell>
          <cell r="U3966" t="str">
            <v>-</v>
          </cell>
          <cell r="V3966" t="str">
            <v>SS</v>
          </cell>
          <cell r="W3966" t="str">
            <v>-</v>
          </cell>
          <cell r="X3966" t="str">
            <v>CLP 220 (-15/+40°C)</v>
          </cell>
          <cell r="Y3966" t="str">
            <v>KH127DRN160L4</v>
          </cell>
          <cell r="Z3966" t="str">
            <v>SEW</v>
          </cell>
          <cell r="AB3966" t="str">
            <v>-</v>
          </cell>
          <cell r="AF3966">
            <v>16</v>
          </cell>
          <cell r="AG3966" t="str">
            <v>DRN160L4</v>
          </cell>
          <cell r="AH3966" t="str">
            <v>KH127-DRN160L4B0-X</v>
          </cell>
        </row>
        <row r="3967">
          <cell r="A3967" t="str">
            <v>MR003956</v>
          </cell>
          <cell r="B3967" t="str">
            <v>MR</v>
          </cell>
          <cell r="C3967">
            <v>9.1999999999999993</v>
          </cell>
          <cell r="D3967">
            <v>62</v>
          </cell>
          <cell r="E3967" t="str">
            <v>FH87</v>
          </cell>
          <cell r="F3967">
            <v>1420</v>
          </cell>
          <cell r="G3967">
            <v>23.68</v>
          </cell>
          <cell r="H3967">
            <v>2.1</v>
          </cell>
          <cell r="I3967" t="str">
            <v>M1</v>
          </cell>
          <cell r="J3967" t="str">
            <v>IE3</v>
          </cell>
          <cell r="K3967" t="str">
            <v>400/690</v>
          </cell>
          <cell r="L3967">
            <v>50</v>
          </cell>
          <cell r="M3967" t="str">
            <v>18,7/10,8</v>
          </cell>
          <cell r="N3967">
            <v>55</v>
          </cell>
          <cell r="O3967" t="str">
            <v>155(F)</v>
          </cell>
          <cell r="P3967" t="str">
            <v>270°</v>
          </cell>
          <cell r="Q3967" t="str">
            <v>-</v>
          </cell>
          <cell r="R3967" t="str">
            <v>-</v>
          </cell>
          <cell r="S3967" t="str">
            <v>-</v>
          </cell>
          <cell r="T3967" t="str">
            <v>-</v>
          </cell>
          <cell r="U3967" t="str">
            <v>G</v>
          </cell>
          <cell r="V3967" t="str">
            <v>D</v>
          </cell>
          <cell r="W3967" t="str">
            <v>-</v>
          </cell>
          <cell r="X3967" t="str">
            <v>CLP 220 (-15/+40°C)</v>
          </cell>
          <cell r="Y3967" t="str">
            <v>FH87/G DRN132L4</v>
          </cell>
          <cell r="Z3967" t="str">
            <v>SEW</v>
          </cell>
          <cell r="AB3967" t="str">
            <v>-</v>
          </cell>
          <cell r="AF3967">
            <v>62</v>
          </cell>
          <cell r="AG3967" t="str">
            <v>DRN132L4</v>
          </cell>
          <cell r="AH3967" t="str">
            <v>FH87G-DRN132L4270-X</v>
          </cell>
        </row>
        <row r="3968">
          <cell r="A3968" t="str">
            <v>MR003957</v>
          </cell>
          <cell r="B3968" t="str">
            <v>MR</v>
          </cell>
          <cell r="C3968">
            <v>5.5</v>
          </cell>
          <cell r="D3968">
            <v>62</v>
          </cell>
          <cell r="E3968" t="str">
            <v>FH87</v>
          </cell>
          <cell r="F3968">
            <v>850</v>
          </cell>
          <cell r="G3968">
            <v>23.68</v>
          </cell>
          <cell r="H3968">
            <v>3.5</v>
          </cell>
          <cell r="I3968" t="str">
            <v>M1</v>
          </cell>
          <cell r="J3968" t="str">
            <v>IE3</v>
          </cell>
          <cell r="K3968" t="str">
            <v>230/400</v>
          </cell>
          <cell r="L3968">
            <v>50</v>
          </cell>
          <cell r="M3968" t="str">
            <v>18,2/10,5</v>
          </cell>
          <cell r="N3968">
            <v>55</v>
          </cell>
          <cell r="O3968" t="str">
            <v>155(F)</v>
          </cell>
          <cell r="P3968" t="str">
            <v>270°</v>
          </cell>
          <cell r="Q3968" t="str">
            <v>-</v>
          </cell>
          <cell r="R3968" t="str">
            <v>-</v>
          </cell>
          <cell r="S3968" t="str">
            <v>-</v>
          </cell>
          <cell r="T3968" t="str">
            <v>-</v>
          </cell>
          <cell r="U3968" t="str">
            <v>G</v>
          </cell>
          <cell r="V3968" t="str">
            <v>D</v>
          </cell>
          <cell r="W3968" t="str">
            <v>-</v>
          </cell>
          <cell r="X3968" t="str">
            <v>CLP 220 (-15/+40°C)</v>
          </cell>
          <cell r="Y3968" t="str">
            <v>FH87/G DRN132S4</v>
          </cell>
          <cell r="Z3968" t="str">
            <v>SEW</v>
          </cell>
          <cell r="AB3968" t="str">
            <v>-</v>
          </cell>
          <cell r="AF3968">
            <v>62</v>
          </cell>
          <cell r="AG3968" t="str">
            <v>DRN132S4</v>
          </cell>
          <cell r="AH3968" t="str">
            <v>FH87G-DRN132S4270-X</v>
          </cell>
        </row>
        <row r="3969">
          <cell r="A3969" t="str">
            <v>MR003958</v>
          </cell>
          <cell r="B3969" t="str">
            <v>MR</v>
          </cell>
          <cell r="C3969">
            <v>37</v>
          </cell>
          <cell r="D3969">
            <v>37</v>
          </cell>
          <cell r="E3969" t="str">
            <v>R147</v>
          </cell>
          <cell r="F3969">
            <v>9610</v>
          </cell>
          <cell r="G3969">
            <v>40.29</v>
          </cell>
          <cell r="H3969">
            <v>1.35</v>
          </cell>
          <cell r="I3969" t="str">
            <v>M1</v>
          </cell>
          <cell r="J3969" t="str">
            <v>IE3</v>
          </cell>
          <cell r="K3969" t="str">
            <v>400/690</v>
          </cell>
          <cell r="L3969">
            <v>50</v>
          </cell>
          <cell r="M3969" t="str">
            <v>64/7ì37</v>
          </cell>
          <cell r="N3969">
            <v>55</v>
          </cell>
          <cell r="O3969" t="str">
            <v>155(F)</v>
          </cell>
          <cell r="P3969" t="str">
            <v>270°</v>
          </cell>
          <cell r="Q3969" t="str">
            <v>-</v>
          </cell>
          <cell r="R3969" t="str">
            <v>-</v>
          </cell>
          <cell r="S3969" t="str">
            <v>-</v>
          </cell>
          <cell r="T3969" t="str">
            <v>-</v>
          </cell>
          <cell r="U3969" t="str">
            <v>-</v>
          </cell>
          <cell r="V3969" t="str">
            <v>SS</v>
          </cell>
          <cell r="W3969" t="str">
            <v>-</v>
          </cell>
          <cell r="X3969" t="str">
            <v>CLP 220 (-15/+40°C)</v>
          </cell>
          <cell r="Y3969" t="str">
            <v>R147DRN225S4</v>
          </cell>
          <cell r="Z3969" t="str">
            <v>SEW</v>
          </cell>
          <cell r="AB3969" t="str">
            <v>-</v>
          </cell>
          <cell r="AF3969">
            <v>37</v>
          </cell>
          <cell r="AG3969" t="str">
            <v>DRN225S4</v>
          </cell>
          <cell r="AH3969" t="str">
            <v>R147-DRN225S4270-X</v>
          </cell>
        </row>
        <row r="3970">
          <cell r="A3970" t="str">
            <v>MR003959</v>
          </cell>
          <cell r="B3970" t="str">
            <v>MR</v>
          </cell>
          <cell r="C3970">
            <v>22</v>
          </cell>
          <cell r="D3970">
            <v>15</v>
          </cell>
          <cell r="E3970" t="str">
            <v>KH157</v>
          </cell>
          <cell r="F3970">
            <v>14300</v>
          </cell>
          <cell r="G3970">
            <v>100.22</v>
          </cell>
          <cell r="H3970">
            <v>1.4</v>
          </cell>
          <cell r="I3970" t="str">
            <v>M4B</v>
          </cell>
          <cell r="J3970" t="str">
            <v>IE3</v>
          </cell>
          <cell r="K3970" t="str">
            <v>400/690</v>
          </cell>
          <cell r="L3970">
            <v>50</v>
          </cell>
          <cell r="M3970" t="str">
            <v>38,5/22,5</v>
          </cell>
          <cell r="N3970">
            <v>55</v>
          </cell>
          <cell r="O3970" t="str">
            <v>155(F)</v>
          </cell>
          <cell r="P3970" t="str">
            <v>270°</v>
          </cell>
          <cell r="Q3970" t="str">
            <v>-</v>
          </cell>
          <cell r="R3970" t="str">
            <v>-</v>
          </cell>
          <cell r="S3970" t="str">
            <v>-</v>
          </cell>
          <cell r="T3970" t="str">
            <v>-</v>
          </cell>
          <cell r="U3970" t="str">
            <v>-</v>
          </cell>
          <cell r="V3970" t="str">
            <v>SS</v>
          </cell>
          <cell r="W3970" t="str">
            <v>-</v>
          </cell>
          <cell r="X3970" t="str">
            <v>CLP 220 (-15/+40°C)</v>
          </cell>
          <cell r="Y3970" t="str">
            <v>KH157DRN180L4</v>
          </cell>
          <cell r="Z3970" t="str">
            <v>SEW</v>
          </cell>
          <cell r="AB3970" t="str">
            <v>-</v>
          </cell>
          <cell r="AF3970">
            <v>15</v>
          </cell>
          <cell r="AG3970" t="str">
            <v>DRN180L4</v>
          </cell>
          <cell r="AH3970" t="str">
            <v>KH157-DRN180L4B270-X</v>
          </cell>
        </row>
        <row r="3971">
          <cell r="A3971" t="str">
            <v>MR003960</v>
          </cell>
          <cell r="B3971" t="str">
            <v>MR</v>
          </cell>
          <cell r="C3971">
            <v>22</v>
          </cell>
          <cell r="D3971">
            <v>15</v>
          </cell>
          <cell r="E3971" t="str">
            <v>KH157</v>
          </cell>
          <cell r="F3971">
            <v>14300</v>
          </cell>
          <cell r="G3971">
            <v>100.22</v>
          </cell>
          <cell r="H3971">
            <v>1.4</v>
          </cell>
          <cell r="I3971" t="str">
            <v>M4A</v>
          </cell>
          <cell r="J3971" t="str">
            <v>IE3</v>
          </cell>
          <cell r="K3971" t="str">
            <v>400/690</v>
          </cell>
          <cell r="L3971">
            <v>50</v>
          </cell>
          <cell r="M3971" t="str">
            <v>38,5/22,5</v>
          </cell>
          <cell r="N3971">
            <v>55</v>
          </cell>
          <cell r="O3971" t="str">
            <v>155(F)</v>
          </cell>
          <cell r="P3971" t="str">
            <v>270°</v>
          </cell>
          <cell r="Q3971" t="str">
            <v>-</v>
          </cell>
          <cell r="R3971" t="str">
            <v>-</v>
          </cell>
          <cell r="S3971" t="str">
            <v>-</v>
          </cell>
          <cell r="T3971" t="str">
            <v>-</v>
          </cell>
          <cell r="U3971" t="str">
            <v>-</v>
          </cell>
          <cell r="V3971" t="str">
            <v>SS</v>
          </cell>
          <cell r="W3971" t="str">
            <v>-</v>
          </cell>
          <cell r="X3971" t="str">
            <v>CLP 220 (-15/+40°C)</v>
          </cell>
          <cell r="Y3971" t="str">
            <v>KH157DRN180L4</v>
          </cell>
          <cell r="Z3971" t="str">
            <v>SEW</v>
          </cell>
          <cell r="AB3971" t="str">
            <v>-</v>
          </cell>
          <cell r="AF3971">
            <v>15</v>
          </cell>
          <cell r="AG3971" t="str">
            <v>DRN180L4</v>
          </cell>
          <cell r="AH3971" t="str">
            <v>KH157-DRN180L4A270-X</v>
          </cell>
        </row>
        <row r="3972">
          <cell r="A3972" t="str">
            <v>MR003961</v>
          </cell>
          <cell r="B3972" t="str">
            <v>MR</v>
          </cell>
          <cell r="C3972">
            <v>18.5</v>
          </cell>
          <cell r="D3972">
            <v>10</v>
          </cell>
          <cell r="E3972" t="str">
            <v>FH157</v>
          </cell>
          <cell r="F3972">
            <v>16900</v>
          </cell>
          <cell r="G3972">
            <v>141.80000000000001</v>
          </cell>
          <cell r="H3972">
            <v>1.2</v>
          </cell>
          <cell r="I3972" t="str">
            <v>M1</v>
          </cell>
          <cell r="J3972" t="str">
            <v>IE3</v>
          </cell>
          <cell r="K3972" t="str">
            <v>400/690</v>
          </cell>
          <cell r="L3972">
            <v>50</v>
          </cell>
          <cell r="M3972" t="str">
            <v>33,5/19,3</v>
          </cell>
          <cell r="N3972">
            <v>55</v>
          </cell>
          <cell r="O3972" t="str">
            <v>155(F)</v>
          </cell>
          <cell r="P3972" t="str">
            <v>270°</v>
          </cell>
          <cell r="Q3972" t="str">
            <v>TF</v>
          </cell>
          <cell r="R3972" t="str">
            <v>V(VE)</v>
          </cell>
          <cell r="S3972" t="str">
            <v>-</v>
          </cell>
          <cell r="T3972" t="str">
            <v>-</v>
          </cell>
          <cell r="U3972" t="str">
            <v>G</v>
          </cell>
          <cell r="V3972" t="str">
            <v>FC</v>
          </cell>
          <cell r="W3972" t="str">
            <v>-</v>
          </cell>
          <cell r="X3972" t="str">
            <v>CLP 220 (-15/+40°C)</v>
          </cell>
          <cell r="Y3972" t="str">
            <v>FH157/G DRN180M4 /TF/V</v>
          </cell>
          <cell r="Z3972" t="str">
            <v>SEW</v>
          </cell>
          <cell r="AB3972" t="str">
            <v>-</v>
          </cell>
          <cell r="AF3972">
            <v>10</v>
          </cell>
          <cell r="AG3972" t="str">
            <v>DRN180M4</v>
          </cell>
          <cell r="AH3972" t="str">
            <v>FH157G-DRN180M4270-X#</v>
          </cell>
        </row>
        <row r="3973">
          <cell r="A3973" t="str">
            <v>MR003962</v>
          </cell>
          <cell r="B3973" t="str">
            <v>ME</v>
          </cell>
          <cell r="C3973">
            <v>45</v>
          </cell>
          <cell r="D3973">
            <v>1478</v>
          </cell>
          <cell r="E3973" t="str">
            <v>1LE1504</v>
          </cell>
          <cell r="F3973">
            <v>290</v>
          </cell>
          <cell r="I3973" t="str">
            <v>V1/B5</v>
          </cell>
          <cell r="J3973" t="str">
            <v>IE4</v>
          </cell>
          <cell r="K3973" t="str">
            <v>400/690</v>
          </cell>
          <cell r="L3973">
            <v>50</v>
          </cell>
          <cell r="M3973" t="str">
            <v>80/46,5</v>
          </cell>
          <cell r="N3973">
            <v>65</v>
          </cell>
          <cell r="O3973" t="str">
            <v>155(F)</v>
          </cell>
          <cell r="P3973" t="str">
            <v>-</v>
          </cell>
          <cell r="Q3973" t="str">
            <v>TF</v>
          </cell>
          <cell r="R3973" t="str">
            <v>-</v>
          </cell>
          <cell r="S3973" t="str">
            <v>-</v>
          </cell>
          <cell r="T3973" t="str">
            <v>-</v>
          </cell>
          <cell r="U3973" t="str">
            <v>-</v>
          </cell>
          <cell r="V3973" t="str">
            <v>D</v>
          </cell>
          <cell r="W3973" t="str">
            <v>-</v>
          </cell>
          <cell r="X3973" t="str">
            <v>-</v>
          </cell>
          <cell r="Y3973" t="str">
            <v>1LE1504-2BB23-4FB4-Z H20</v>
          </cell>
          <cell r="Z3973" t="str">
            <v>SIEMENS</v>
          </cell>
          <cell r="AB3973" t="str">
            <v>-</v>
          </cell>
          <cell r="AE3973" t="str">
            <v>4 POLES</v>
          </cell>
          <cell r="AF3973">
            <v>1478</v>
          </cell>
          <cell r="AG3973" t="str">
            <v>DRN225M4</v>
          </cell>
          <cell r="AH3973" t="str">
            <v>1LE1504-DRN225M4B--X</v>
          </cell>
        </row>
        <row r="3974">
          <cell r="A3974" t="str">
            <v>MR003963</v>
          </cell>
          <cell r="B3974" t="str">
            <v>ME</v>
          </cell>
          <cell r="C3974">
            <v>4</v>
          </cell>
          <cell r="D3974">
            <v>2945</v>
          </cell>
          <cell r="E3974" t="str">
            <v>1LE1004</v>
          </cell>
          <cell r="F3974">
            <v>13</v>
          </cell>
          <cell r="I3974" t="str">
            <v>B5</v>
          </cell>
          <cell r="J3974" t="str">
            <v>IE4</v>
          </cell>
          <cell r="K3974" t="str">
            <v>230/400</v>
          </cell>
          <cell r="L3974">
            <v>60</v>
          </cell>
          <cell r="M3974" t="str">
            <v>12,8/7,4</v>
          </cell>
          <cell r="N3974">
            <v>65</v>
          </cell>
          <cell r="O3974" t="str">
            <v>155(F)</v>
          </cell>
          <cell r="P3974" t="str">
            <v>-</v>
          </cell>
          <cell r="Q3974" t="str">
            <v>-</v>
          </cell>
          <cell r="R3974" t="str">
            <v>-</v>
          </cell>
          <cell r="S3974" t="str">
            <v>-</v>
          </cell>
          <cell r="T3974" t="str">
            <v>-</v>
          </cell>
          <cell r="U3974" t="str">
            <v>-</v>
          </cell>
          <cell r="V3974" t="str">
            <v>D</v>
          </cell>
          <cell r="W3974" t="str">
            <v>-</v>
          </cell>
          <cell r="X3974" t="str">
            <v>-</v>
          </cell>
          <cell r="Y3974" t="str">
            <v>1LE1004-1BA22-2FA4-Z H20</v>
          </cell>
          <cell r="Z3974" t="str">
            <v>SIEMENS</v>
          </cell>
          <cell r="AB3974" t="str">
            <v>-</v>
          </cell>
          <cell r="AE3974" t="str">
            <v>2 POLES</v>
          </cell>
          <cell r="AF3974">
            <v>3534</v>
          </cell>
          <cell r="AG3974" t="str">
            <v>DRN112M4</v>
          </cell>
          <cell r="AH3974" t="str">
            <v>1LE1004-DRN112M4B--X</v>
          </cell>
        </row>
        <row r="3975">
          <cell r="A3975" t="str">
            <v>MR003964</v>
          </cell>
          <cell r="B3975" t="str">
            <v>MR</v>
          </cell>
          <cell r="C3975">
            <v>5.5</v>
          </cell>
          <cell r="D3975">
            <v>84</v>
          </cell>
          <cell r="E3975" t="str">
            <v>FT77</v>
          </cell>
          <cell r="F3975">
            <v>620</v>
          </cell>
          <cell r="G3975">
            <v>17.489999999999998</v>
          </cell>
          <cell r="H3975">
            <v>2.4</v>
          </cell>
          <cell r="I3975" t="str">
            <v>M1</v>
          </cell>
          <cell r="J3975" t="str">
            <v>IE4</v>
          </cell>
          <cell r="K3975" t="str">
            <v>230/400</v>
          </cell>
          <cell r="L3975">
            <v>50</v>
          </cell>
          <cell r="M3975" t="str">
            <v>19,8/11,4</v>
          </cell>
          <cell r="N3975">
            <v>65</v>
          </cell>
          <cell r="O3975" t="str">
            <v>155(F)</v>
          </cell>
          <cell r="P3975" t="str">
            <v>270°</v>
          </cell>
          <cell r="Q3975" t="str">
            <v>-</v>
          </cell>
          <cell r="R3975" t="str">
            <v>-</v>
          </cell>
          <cell r="S3975" t="str">
            <v>-</v>
          </cell>
          <cell r="T3975" t="str">
            <v>-</v>
          </cell>
          <cell r="U3975" t="str">
            <v>G</v>
          </cell>
          <cell r="V3975" t="str">
            <v>D</v>
          </cell>
          <cell r="W3975" t="str">
            <v>-</v>
          </cell>
          <cell r="X3975" t="str">
            <v>CLP VG 220 = -15° + 40°</v>
          </cell>
          <cell r="Y3975" t="str">
            <v>FT77/G DRU132M4</v>
          </cell>
          <cell r="Z3975" t="str">
            <v>SEW</v>
          </cell>
          <cell r="AB3975" t="str">
            <v>-</v>
          </cell>
          <cell r="AF3975">
            <v>84</v>
          </cell>
          <cell r="AG3975" t="str">
            <v>DRU132M4</v>
          </cell>
          <cell r="AH3975" t="str">
            <v>FT77G-DRU132M4270-X</v>
          </cell>
        </row>
        <row r="3976">
          <cell r="A3976" t="str">
            <v>MR003965</v>
          </cell>
          <cell r="B3976" t="str">
            <v>MR</v>
          </cell>
          <cell r="C3976">
            <v>30</v>
          </cell>
          <cell r="D3976">
            <v>39</v>
          </cell>
          <cell r="E3976" t="str">
            <v>R137</v>
          </cell>
          <cell r="F3976">
            <v>7250</v>
          </cell>
          <cell r="G3976">
            <v>37.65</v>
          </cell>
          <cell r="H3976">
            <v>1.1000000000000001</v>
          </cell>
          <cell r="I3976" t="str">
            <v>From M1 to M2 - 10°</v>
          </cell>
          <cell r="J3976" t="str">
            <v>IE4</v>
          </cell>
          <cell r="K3976" t="str">
            <v>400/690</v>
          </cell>
          <cell r="L3976">
            <v>50</v>
          </cell>
          <cell r="M3976" t="str">
            <v>52/30,5</v>
          </cell>
          <cell r="N3976">
            <v>65</v>
          </cell>
          <cell r="O3976" t="str">
            <v>155(F)</v>
          </cell>
          <cell r="P3976" t="str">
            <v>270°</v>
          </cell>
          <cell r="Q3976" t="str">
            <v>TF</v>
          </cell>
          <cell r="R3976" t="str">
            <v>V(VE)</v>
          </cell>
          <cell r="S3976" t="str">
            <v>-</v>
          </cell>
          <cell r="T3976" t="str">
            <v>-</v>
          </cell>
          <cell r="U3976" t="str">
            <v>-</v>
          </cell>
          <cell r="V3976" t="str">
            <v>FC</v>
          </cell>
          <cell r="W3976" t="str">
            <v>-</v>
          </cell>
          <cell r="X3976" t="str">
            <v>CLP VG 220 = -15° + 40°</v>
          </cell>
          <cell r="Y3976" t="str">
            <v>R137DRU225S4/TF/V</v>
          </cell>
          <cell r="Z3976" t="str">
            <v>SEW</v>
          </cell>
          <cell r="AB3976" t="str">
            <v>-</v>
          </cell>
          <cell r="AF3976">
            <v>39</v>
          </cell>
          <cell r="AG3976" t="str">
            <v>DRU225S4</v>
          </cell>
          <cell r="AH3976" t="str">
            <v>R137-DRU225S4270-X#</v>
          </cell>
        </row>
        <row r="3977">
          <cell r="A3977" t="str">
            <v>MR003966</v>
          </cell>
          <cell r="B3977" t="str">
            <v>MR</v>
          </cell>
          <cell r="C3977">
            <v>22</v>
          </cell>
          <cell r="D3977">
            <v>15</v>
          </cell>
          <cell r="E3977" t="str">
            <v>KT157</v>
          </cell>
          <cell r="F3977">
            <v>14200</v>
          </cell>
          <cell r="G3977">
            <v>100.22</v>
          </cell>
          <cell r="H3977">
            <v>1.4</v>
          </cell>
          <cell r="I3977" t="str">
            <v>From M1A to M2A - 40°</v>
          </cell>
          <cell r="J3977" t="str">
            <v>IE4</v>
          </cell>
          <cell r="K3977" t="str">
            <v>400/690</v>
          </cell>
          <cell r="L3977">
            <v>50</v>
          </cell>
          <cell r="M3977" t="str">
            <v>41/23,5</v>
          </cell>
          <cell r="N3977">
            <v>65</v>
          </cell>
          <cell r="O3977" t="str">
            <v>155(F)</v>
          </cell>
          <cell r="P3977" t="str">
            <v>270°</v>
          </cell>
          <cell r="Q3977" t="str">
            <v>-</v>
          </cell>
          <cell r="R3977" t="str">
            <v>-</v>
          </cell>
          <cell r="S3977" t="str">
            <v>-</v>
          </cell>
          <cell r="T3977" t="str">
            <v>-</v>
          </cell>
          <cell r="U3977" t="str">
            <v>-</v>
          </cell>
          <cell r="V3977" t="str">
            <v>SS</v>
          </cell>
          <cell r="W3977" t="str">
            <v>-</v>
          </cell>
          <cell r="X3977" t="str">
            <v>CLP VG 220 = -15° + 40°</v>
          </cell>
          <cell r="Y3977" t="str">
            <v>KT157DRU200L4</v>
          </cell>
          <cell r="Z3977" t="str">
            <v>SEW</v>
          </cell>
          <cell r="AB3977" t="str">
            <v>-</v>
          </cell>
          <cell r="AF3977">
            <v>15</v>
          </cell>
          <cell r="AG3977" t="str">
            <v>DRU200L4</v>
          </cell>
          <cell r="AH3977" t="str">
            <v>KT157-DRU200L4A270-X</v>
          </cell>
        </row>
        <row r="3978">
          <cell r="A3978" t="str">
            <v>MR003967</v>
          </cell>
          <cell r="B3978" t="str">
            <v>MR</v>
          </cell>
          <cell r="C3978">
            <v>22</v>
          </cell>
          <cell r="D3978">
            <v>15</v>
          </cell>
          <cell r="E3978" t="str">
            <v>KT157</v>
          </cell>
          <cell r="F3978">
            <v>14200</v>
          </cell>
          <cell r="G3978">
            <v>100.22</v>
          </cell>
          <cell r="H3978">
            <v>1.4</v>
          </cell>
          <cell r="I3978" t="str">
            <v>From M1B to M2B - 40°</v>
          </cell>
          <cell r="J3978" t="str">
            <v>IE4</v>
          </cell>
          <cell r="K3978" t="str">
            <v>400/690</v>
          </cell>
          <cell r="L3978">
            <v>50</v>
          </cell>
          <cell r="M3978" t="str">
            <v>41/23,5</v>
          </cell>
          <cell r="N3978">
            <v>65</v>
          </cell>
          <cell r="O3978" t="str">
            <v>155(F)</v>
          </cell>
          <cell r="P3978" t="str">
            <v>270°</v>
          </cell>
          <cell r="Q3978" t="str">
            <v>-</v>
          </cell>
          <cell r="R3978" t="str">
            <v>-</v>
          </cell>
          <cell r="S3978" t="str">
            <v>-</v>
          </cell>
          <cell r="T3978" t="str">
            <v>-</v>
          </cell>
          <cell r="U3978" t="str">
            <v>-</v>
          </cell>
          <cell r="V3978" t="str">
            <v>SS</v>
          </cell>
          <cell r="W3978" t="str">
            <v>-</v>
          </cell>
          <cell r="X3978" t="str">
            <v>CLP VG 220 = -15° + 40°</v>
          </cell>
          <cell r="Y3978" t="str">
            <v>KT157DRU200L4</v>
          </cell>
          <cell r="Z3978" t="str">
            <v>SEW</v>
          </cell>
          <cell r="AB3978" t="str">
            <v>-</v>
          </cell>
          <cell r="AF3978">
            <v>15</v>
          </cell>
          <cell r="AG3978" t="str">
            <v>DRU200L4</v>
          </cell>
          <cell r="AH3978" t="str">
            <v>KT157-DRU200L4B270-X</v>
          </cell>
        </row>
        <row r="3979">
          <cell r="A3979" t="str">
            <v>MR003968</v>
          </cell>
          <cell r="B3979" t="str">
            <v>MR</v>
          </cell>
          <cell r="C3979">
            <v>2.2000000000000002</v>
          </cell>
          <cell r="D3979">
            <v>87</v>
          </cell>
          <cell r="E3979" t="str">
            <v>FT57</v>
          </cell>
          <cell r="F3979">
            <v>240</v>
          </cell>
          <cell r="G3979">
            <v>16.809999999999999</v>
          </cell>
          <cell r="H3979">
            <v>2.5</v>
          </cell>
          <cell r="I3979" t="str">
            <v>M1</v>
          </cell>
          <cell r="J3979" t="str">
            <v>IE4</v>
          </cell>
          <cell r="K3979" t="str">
            <v>230/400</v>
          </cell>
          <cell r="L3979">
            <v>50</v>
          </cell>
          <cell r="M3979" t="str">
            <v>8,3/4,75</v>
          </cell>
          <cell r="N3979">
            <v>65</v>
          </cell>
          <cell r="O3979" t="str">
            <v>155(F)</v>
          </cell>
          <cell r="P3979" t="str">
            <v>270°</v>
          </cell>
          <cell r="Q3979" t="str">
            <v>-</v>
          </cell>
          <cell r="R3979" t="str">
            <v>-</v>
          </cell>
          <cell r="S3979" t="str">
            <v>-</v>
          </cell>
          <cell r="T3979" t="str">
            <v>-</v>
          </cell>
          <cell r="U3979" t="str">
            <v>G</v>
          </cell>
          <cell r="V3979" t="str">
            <v>D</v>
          </cell>
          <cell r="W3979" t="str">
            <v>-</v>
          </cell>
          <cell r="X3979" t="str">
            <v>CLP VG 220 = -15° + 40°</v>
          </cell>
          <cell r="Y3979" t="str">
            <v>FT57/G DRU100L4</v>
          </cell>
          <cell r="Z3979" t="str">
            <v>SEW</v>
          </cell>
          <cell r="AB3979" t="str">
            <v>-</v>
          </cell>
          <cell r="AF3979">
            <v>87</v>
          </cell>
          <cell r="AG3979" t="str">
            <v>DRU100L4</v>
          </cell>
          <cell r="AH3979" t="str">
            <v>FT57G-DRU100L4270-X</v>
          </cell>
        </row>
        <row r="3980">
          <cell r="A3980" t="str">
            <v>MR003969</v>
          </cell>
          <cell r="B3980" t="str">
            <v>MR</v>
          </cell>
          <cell r="C3980">
            <v>4</v>
          </cell>
          <cell r="D3980">
            <v>58</v>
          </cell>
          <cell r="E3980" t="str">
            <v>R77</v>
          </cell>
          <cell r="F3980">
            <v>655</v>
          </cell>
          <cell r="G3980">
            <v>25.23</v>
          </cell>
          <cell r="H3980">
            <v>1.2</v>
          </cell>
          <cell r="I3980" t="str">
            <v>M1</v>
          </cell>
          <cell r="J3980" t="str">
            <v>IE4</v>
          </cell>
          <cell r="K3980" t="str">
            <v>230/400</v>
          </cell>
          <cell r="L3980">
            <v>50</v>
          </cell>
          <cell r="M3980" t="str">
            <v>13,7/7,9</v>
          </cell>
          <cell r="N3980">
            <v>65</v>
          </cell>
          <cell r="O3980" t="str">
            <v>155(F)</v>
          </cell>
          <cell r="P3980" t="str">
            <v>270°</v>
          </cell>
          <cell r="Q3980" t="str">
            <v>-</v>
          </cell>
          <cell r="R3980" t="str">
            <v>-</v>
          </cell>
          <cell r="S3980" t="str">
            <v>-</v>
          </cell>
          <cell r="T3980" t="str">
            <v>-</v>
          </cell>
          <cell r="U3980" t="str">
            <v>-</v>
          </cell>
          <cell r="V3980" t="str">
            <v>D</v>
          </cell>
          <cell r="W3980" t="str">
            <v>-</v>
          </cell>
          <cell r="X3980" t="str">
            <v>CLP VG 220 = -15° + 40°</v>
          </cell>
          <cell r="Y3980" t="str">
            <v>R77DRU132S4</v>
          </cell>
          <cell r="Z3980" t="str">
            <v>SEW</v>
          </cell>
          <cell r="AB3980" t="str">
            <v>-</v>
          </cell>
          <cell r="AF3980">
            <v>58</v>
          </cell>
          <cell r="AG3980" t="str">
            <v>DRU132S4</v>
          </cell>
          <cell r="AH3980" t="str">
            <v>R77-DRU132S4270-X</v>
          </cell>
        </row>
        <row r="3981">
          <cell r="A3981" t="str">
            <v>MR003970</v>
          </cell>
          <cell r="B3981" t="str">
            <v>MR</v>
          </cell>
          <cell r="C3981">
            <v>5.5</v>
          </cell>
          <cell r="D3981">
            <v>63</v>
          </cell>
          <cell r="E3981" t="str">
            <v>R87</v>
          </cell>
          <cell r="F3981">
            <v>830</v>
          </cell>
          <cell r="G3981">
            <v>23.4</v>
          </cell>
          <cell r="H3981">
            <v>1.85</v>
          </cell>
          <cell r="I3981" t="str">
            <v>M1</v>
          </cell>
          <cell r="J3981" t="str">
            <v>IE4</v>
          </cell>
          <cell r="K3981" t="str">
            <v>230/400</v>
          </cell>
          <cell r="L3981">
            <v>50</v>
          </cell>
          <cell r="M3981" t="str">
            <v>19,8/11,4</v>
          </cell>
          <cell r="N3981">
            <v>65</v>
          </cell>
          <cell r="O3981" t="str">
            <v>155(F)</v>
          </cell>
          <cell r="P3981" t="str">
            <v>270°</v>
          </cell>
          <cell r="Q3981" t="str">
            <v>-</v>
          </cell>
          <cell r="R3981" t="str">
            <v>-</v>
          </cell>
          <cell r="S3981" t="str">
            <v>-</v>
          </cell>
          <cell r="T3981" t="str">
            <v>-</v>
          </cell>
          <cell r="U3981" t="str">
            <v>-</v>
          </cell>
          <cell r="V3981" t="str">
            <v>D</v>
          </cell>
          <cell r="W3981" t="str">
            <v>-</v>
          </cell>
          <cell r="X3981" t="str">
            <v>CLP VG 220 = -15° + 40°</v>
          </cell>
          <cell r="Y3981" t="str">
            <v>R87DRU132M4</v>
          </cell>
          <cell r="Z3981" t="str">
            <v>SEW</v>
          </cell>
          <cell r="AB3981" t="str">
            <v>-</v>
          </cell>
          <cell r="AF3981">
            <v>63</v>
          </cell>
          <cell r="AG3981" t="str">
            <v>DRU132M4</v>
          </cell>
          <cell r="AH3981" t="str">
            <v>R87-DRU132M4270-X</v>
          </cell>
        </row>
        <row r="3982">
          <cell r="A3982" t="str">
            <v>MR003971</v>
          </cell>
          <cell r="AI3982" t="str">
            <v>libero</v>
          </cell>
        </row>
        <row r="3983">
          <cell r="A3983" t="str">
            <v>MR003972</v>
          </cell>
          <cell r="B3983" t="str">
            <v>MR</v>
          </cell>
          <cell r="C3983">
            <v>4</v>
          </cell>
          <cell r="D3983">
            <v>58</v>
          </cell>
          <cell r="E3983" t="str">
            <v>R77</v>
          </cell>
          <cell r="F3983">
            <v>655</v>
          </cell>
          <cell r="G3983">
            <v>25.23</v>
          </cell>
          <cell r="H3983">
            <v>1.2</v>
          </cell>
          <cell r="I3983" t="str">
            <v>M3</v>
          </cell>
          <cell r="J3983" t="str">
            <v>IE4</v>
          </cell>
          <cell r="K3983" t="str">
            <v>230/400</v>
          </cell>
          <cell r="L3983">
            <v>50</v>
          </cell>
          <cell r="M3983" t="str">
            <v>13,7/7,9</v>
          </cell>
          <cell r="N3983">
            <v>65</v>
          </cell>
          <cell r="O3983" t="str">
            <v>155(F)</v>
          </cell>
          <cell r="P3983" t="str">
            <v>270°</v>
          </cell>
          <cell r="Q3983" t="str">
            <v>-</v>
          </cell>
          <cell r="R3983" t="str">
            <v>-</v>
          </cell>
          <cell r="S3983" t="str">
            <v>-</v>
          </cell>
          <cell r="T3983" t="str">
            <v>-</v>
          </cell>
          <cell r="U3983" t="str">
            <v>-</v>
          </cell>
          <cell r="V3983" t="str">
            <v>D</v>
          </cell>
          <cell r="W3983" t="str">
            <v>-</v>
          </cell>
          <cell r="X3983" t="str">
            <v>CLP VG 220 = -15° + 40°</v>
          </cell>
          <cell r="Y3983" t="str">
            <v>R77DRU132S4</v>
          </cell>
          <cell r="Z3983" t="str">
            <v>SEW</v>
          </cell>
          <cell r="AB3983" t="str">
            <v>-</v>
          </cell>
          <cell r="AF3983">
            <v>58</v>
          </cell>
          <cell r="AG3983" t="str">
            <v>DRU132S4</v>
          </cell>
          <cell r="AH3983" t="str">
            <v>R77-DRU132S4270-X</v>
          </cell>
        </row>
        <row r="3984">
          <cell r="A3984" t="str">
            <v>MR003973</v>
          </cell>
          <cell r="B3984" t="str">
            <v>MR</v>
          </cell>
          <cell r="C3984">
            <v>4</v>
          </cell>
          <cell r="D3984">
            <v>58</v>
          </cell>
          <cell r="E3984" t="str">
            <v>R77</v>
          </cell>
          <cell r="F3984">
            <v>655</v>
          </cell>
          <cell r="G3984">
            <v>25.23</v>
          </cell>
          <cell r="H3984">
            <v>1.2</v>
          </cell>
          <cell r="I3984" t="str">
            <v>M6</v>
          </cell>
          <cell r="J3984" t="str">
            <v>IE4</v>
          </cell>
          <cell r="K3984" t="str">
            <v>230/400</v>
          </cell>
          <cell r="L3984">
            <v>50</v>
          </cell>
          <cell r="M3984" t="str">
            <v>13,7/7,9</v>
          </cell>
          <cell r="N3984">
            <v>65</v>
          </cell>
          <cell r="O3984" t="str">
            <v>155(F)</v>
          </cell>
          <cell r="P3984" t="str">
            <v>270°</v>
          </cell>
          <cell r="Q3984" t="str">
            <v>-</v>
          </cell>
          <cell r="R3984" t="str">
            <v>-</v>
          </cell>
          <cell r="S3984" t="str">
            <v>-</v>
          </cell>
          <cell r="T3984" t="str">
            <v>-</v>
          </cell>
          <cell r="U3984" t="str">
            <v>-</v>
          </cell>
          <cell r="V3984" t="str">
            <v>D</v>
          </cell>
          <cell r="W3984" t="str">
            <v>-</v>
          </cell>
          <cell r="X3984" t="str">
            <v>CLP VG 220 = -15° + 40°</v>
          </cell>
          <cell r="Y3984" t="str">
            <v>R77DRU132S4</v>
          </cell>
          <cell r="Z3984" t="str">
            <v>SEW</v>
          </cell>
          <cell r="AB3984" t="str">
            <v>-</v>
          </cell>
          <cell r="AF3984">
            <v>58</v>
          </cell>
          <cell r="AG3984" t="str">
            <v>DRU132S4</v>
          </cell>
          <cell r="AH3984" t="str">
            <v>R77-DRU132S4270-X</v>
          </cell>
        </row>
        <row r="3985">
          <cell r="A3985" t="str">
            <v>MR003974</v>
          </cell>
          <cell r="B3985" t="str">
            <v>MR</v>
          </cell>
          <cell r="C3985">
            <v>4</v>
          </cell>
          <cell r="D3985">
            <v>80</v>
          </cell>
          <cell r="E3985" t="str">
            <v>FT67</v>
          </cell>
          <cell r="F3985">
            <v>475</v>
          </cell>
          <cell r="G3985">
            <v>18.29</v>
          </cell>
          <cell r="H3985">
            <v>1.75</v>
          </cell>
          <cell r="I3985" t="str">
            <v>M1</v>
          </cell>
          <cell r="J3985" t="str">
            <v>IE4</v>
          </cell>
          <cell r="K3985" t="str">
            <v>230/400</v>
          </cell>
          <cell r="L3985">
            <v>50</v>
          </cell>
          <cell r="M3985" t="str">
            <v>13,7/7,9</v>
          </cell>
          <cell r="N3985">
            <v>65</v>
          </cell>
          <cell r="O3985" t="str">
            <v>155(F)</v>
          </cell>
          <cell r="P3985" t="str">
            <v>270°</v>
          </cell>
          <cell r="Q3985" t="str">
            <v>-</v>
          </cell>
          <cell r="R3985" t="str">
            <v>-</v>
          </cell>
          <cell r="S3985" t="str">
            <v>-</v>
          </cell>
          <cell r="T3985" t="str">
            <v>-</v>
          </cell>
          <cell r="U3985" t="str">
            <v>G</v>
          </cell>
          <cell r="V3985" t="str">
            <v>D</v>
          </cell>
          <cell r="W3985" t="str">
            <v>-</v>
          </cell>
          <cell r="X3985" t="str">
            <v>CLP VG 220 = -15° + 40°</v>
          </cell>
          <cell r="Y3985" t="str">
            <v>FT67/G DRU132S4</v>
          </cell>
          <cell r="Z3985" t="str">
            <v>SEW</v>
          </cell>
          <cell r="AB3985" t="str">
            <v>-</v>
          </cell>
          <cell r="AF3985">
            <v>80</v>
          </cell>
          <cell r="AG3985" t="str">
            <v>DRU132S4</v>
          </cell>
          <cell r="AH3985" t="str">
            <v>FT67G-DRU132S4270-X</v>
          </cell>
        </row>
        <row r="3986">
          <cell r="A3986" t="str">
            <v>MR003975</v>
          </cell>
          <cell r="B3986" t="str">
            <v>MR</v>
          </cell>
          <cell r="C3986">
            <v>7.5</v>
          </cell>
          <cell r="D3986">
            <v>13</v>
          </cell>
          <cell r="E3986" t="str">
            <v>KT107</v>
          </cell>
          <cell r="F3986">
            <v>5440</v>
          </cell>
          <cell r="G3986">
            <v>112.41</v>
          </cell>
          <cell r="H3986">
            <v>1.45</v>
          </cell>
          <cell r="I3986" t="str">
            <v>From M1A to M2A - 25°</v>
          </cell>
          <cell r="J3986" t="str">
            <v>IE4</v>
          </cell>
          <cell r="K3986" t="str">
            <v>400/690</v>
          </cell>
          <cell r="L3986">
            <v>50</v>
          </cell>
          <cell r="M3986" t="str">
            <v>14,7/8,5</v>
          </cell>
          <cell r="N3986">
            <v>65</v>
          </cell>
          <cell r="O3986" t="str">
            <v>155(F)</v>
          </cell>
          <cell r="P3986" t="str">
            <v>270°</v>
          </cell>
          <cell r="Q3986" t="str">
            <v>-</v>
          </cell>
          <cell r="R3986" t="str">
            <v>-</v>
          </cell>
          <cell r="S3986" t="str">
            <v>-</v>
          </cell>
          <cell r="T3986" t="str">
            <v>-</v>
          </cell>
          <cell r="U3986" t="str">
            <v>-</v>
          </cell>
          <cell r="V3986" t="str">
            <v>SS</v>
          </cell>
          <cell r="W3986" t="str">
            <v>-</v>
          </cell>
          <cell r="X3986" t="str">
            <v>CLP VG 220 = -15° + 40°</v>
          </cell>
          <cell r="Y3986" t="str">
            <v>KT107DRU160M4</v>
          </cell>
          <cell r="Z3986" t="str">
            <v>SEW</v>
          </cell>
          <cell r="AB3986" t="str">
            <v>-</v>
          </cell>
          <cell r="AF3986">
            <v>13</v>
          </cell>
          <cell r="AG3986" t="str">
            <v>DRU160M4</v>
          </cell>
          <cell r="AH3986" t="str">
            <v>KT107-DRU160M4A270-X</v>
          </cell>
        </row>
        <row r="3987">
          <cell r="A3987" t="str">
            <v>MR003976</v>
          </cell>
          <cell r="B3987" t="str">
            <v>MR</v>
          </cell>
          <cell r="C3987">
            <v>7.5</v>
          </cell>
          <cell r="D3987">
            <v>13</v>
          </cell>
          <cell r="E3987" t="str">
            <v>KT107</v>
          </cell>
          <cell r="F3987">
            <v>5440</v>
          </cell>
          <cell r="G3987">
            <v>112.41</v>
          </cell>
          <cell r="H3987">
            <v>1.45</v>
          </cell>
          <cell r="I3987" t="str">
            <v>From M1B to M2B - 25°</v>
          </cell>
          <cell r="J3987" t="str">
            <v>IE4</v>
          </cell>
          <cell r="K3987" t="str">
            <v>400/690</v>
          </cell>
          <cell r="L3987">
            <v>50</v>
          </cell>
          <cell r="M3987" t="str">
            <v>14,7/8,5</v>
          </cell>
          <cell r="N3987">
            <v>65</v>
          </cell>
          <cell r="O3987" t="str">
            <v>155(F)</v>
          </cell>
          <cell r="P3987" t="str">
            <v>270°</v>
          </cell>
          <cell r="Q3987" t="str">
            <v>-</v>
          </cell>
          <cell r="R3987" t="str">
            <v>-</v>
          </cell>
          <cell r="S3987" t="str">
            <v>-</v>
          </cell>
          <cell r="T3987" t="str">
            <v>-</v>
          </cell>
          <cell r="U3987" t="str">
            <v>-</v>
          </cell>
          <cell r="V3987" t="str">
            <v>SS</v>
          </cell>
          <cell r="W3987" t="str">
            <v>-</v>
          </cell>
          <cell r="X3987" t="str">
            <v>CLP VG 220 = -15° + 40°</v>
          </cell>
          <cell r="Y3987" t="str">
            <v>KT107DRU160M4</v>
          </cell>
          <cell r="Z3987" t="str">
            <v>SEW</v>
          </cell>
          <cell r="AB3987" t="str">
            <v>-</v>
          </cell>
          <cell r="AF3987">
            <v>13</v>
          </cell>
          <cell r="AG3987" t="str">
            <v>DRU160M4</v>
          </cell>
          <cell r="AH3987" t="str">
            <v>KT107-DRU160M4B270-X</v>
          </cell>
        </row>
        <row r="3988">
          <cell r="A3988" t="str">
            <v>MR003977</v>
          </cell>
          <cell r="B3988" t="str">
            <v>MR</v>
          </cell>
          <cell r="C3988">
            <v>11</v>
          </cell>
          <cell r="D3988">
            <v>12</v>
          </cell>
          <cell r="E3988" t="str">
            <v>KT127</v>
          </cell>
          <cell r="F3988">
            <v>8700</v>
          </cell>
          <cell r="G3988">
            <v>122.48</v>
          </cell>
          <cell r="H3988">
            <v>1.5</v>
          </cell>
          <cell r="I3988" t="str">
            <v>From M1A to M2A - 35°</v>
          </cell>
          <cell r="J3988" t="str">
            <v>IE4</v>
          </cell>
          <cell r="K3988" t="str">
            <v>400/690</v>
          </cell>
          <cell r="L3988">
            <v>50</v>
          </cell>
          <cell r="M3988" t="str">
            <v>21/12,3</v>
          </cell>
          <cell r="N3988">
            <v>65</v>
          </cell>
          <cell r="O3988" t="str">
            <v>155(F)</v>
          </cell>
          <cell r="P3988" t="str">
            <v>270°</v>
          </cell>
          <cell r="Q3988" t="str">
            <v>-</v>
          </cell>
          <cell r="R3988" t="str">
            <v>-</v>
          </cell>
          <cell r="S3988" t="str">
            <v>-</v>
          </cell>
          <cell r="T3988" t="str">
            <v>-</v>
          </cell>
          <cell r="U3988" t="str">
            <v>-</v>
          </cell>
          <cell r="V3988" t="str">
            <v>SS</v>
          </cell>
          <cell r="W3988" t="str">
            <v>-</v>
          </cell>
          <cell r="X3988" t="str">
            <v>CLP VG 220 = -15° + 40°</v>
          </cell>
          <cell r="Y3988" t="str">
            <v>KT127DRU160L4</v>
          </cell>
          <cell r="Z3988" t="str">
            <v>SEW</v>
          </cell>
          <cell r="AB3988" t="str">
            <v>-</v>
          </cell>
          <cell r="AF3988">
            <v>12</v>
          </cell>
          <cell r="AG3988" t="str">
            <v>DRU160L4</v>
          </cell>
          <cell r="AH3988" t="str">
            <v>KT127-DRU160L4A270-X</v>
          </cell>
        </row>
        <row r="3989">
          <cell r="A3989" t="str">
            <v>MR003978</v>
          </cell>
          <cell r="B3989" t="str">
            <v>MR</v>
          </cell>
          <cell r="C3989">
            <v>11</v>
          </cell>
          <cell r="D3989">
            <v>12</v>
          </cell>
          <cell r="E3989" t="str">
            <v>KT127</v>
          </cell>
          <cell r="F3989">
            <v>8700</v>
          </cell>
          <cell r="G3989">
            <v>122.48</v>
          </cell>
          <cell r="H3989">
            <v>1.5</v>
          </cell>
          <cell r="I3989" t="str">
            <v>From M1B to M2B - 35°</v>
          </cell>
          <cell r="J3989" t="str">
            <v>IE4</v>
          </cell>
          <cell r="K3989" t="str">
            <v>400/690</v>
          </cell>
          <cell r="L3989">
            <v>50</v>
          </cell>
          <cell r="M3989" t="str">
            <v>21/12,3</v>
          </cell>
          <cell r="N3989">
            <v>65</v>
          </cell>
          <cell r="O3989" t="str">
            <v>155(F)</v>
          </cell>
          <cell r="P3989" t="str">
            <v>270°</v>
          </cell>
          <cell r="Q3989" t="str">
            <v>-</v>
          </cell>
          <cell r="R3989" t="str">
            <v>-</v>
          </cell>
          <cell r="S3989" t="str">
            <v>-</v>
          </cell>
          <cell r="T3989" t="str">
            <v>-</v>
          </cell>
          <cell r="U3989" t="str">
            <v>-</v>
          </cell>
          <cell r="V3989" t="str">
            <v>SS</v>
          </cell>
          <cell r="W3989" t="str">
            <v>-</v>
          </cell>
          <cell r="X3989" t="str">
            <v>CLP VG 220 = -15° + 40°</v>
          </cell>
          <cell r="Y3989" t="str">
            <v>KT127DRU160L4</v>
          </cell>
          <cell r="Z3989" t="str">
            <v>SEW</v>
          </cell>
          <cell r="AB3989" t="str">
            <v>-</v>
          </cell>
          <cell r="AF3989">
            <v>12</v>
          </cell>
          <cell r="AG3989" t="str">
            <v>DRU160L4</v>
          </cell>
          <cell r="AH3989" t="str">
            <v>KT127-DRU160L4B270-X</v>
          </cell>
        </row>
        <row r="3990">
          <cell r="A3990" t="str">
            <v>MR003979</v>
          </cell>
          <cell r="B3990" t="str">
            <v>MR</v>
          </cell>
          <cell r="C3990">
            <v>22</v>
          </cell>
          <cell r="D3990">
            <v>15</v>
          </cell>
          <cell r="E3990" t="str">
            <v>KT157</v>
          </cell>
          <cell r="F3990">
            <v>14200</v>
          </cell>
          <cell r="G3990">
            <v>100.22</v>
          </cell>
          <cell r="H3990">
            <v>1.4</v>
          </cell>
          <cell r="I3990" t="str">
            <v>From M1A to M2A - 20°</v>
          </cell>
          <cell r="J3990" t="str">
            <v>IE4</v>
          </cell>
          <cell r="K3990" t="str">
            <v>400/690</v>
          </cell>
          <cell r="L3990">
            <v>50</v>
          </cell>
          <cell r="M3990" t="str">
            <v>41/23,5</v>
          </cell>
          <cell r="N3990">
            <v>65</v>
          </cell>
          <cell r="O3990" t="str">
            <v>155(F)</v>
          </cell>
          <cell r="P3990" t="str">
            <v>270°</v>
          </cell>
          <cell r="Q3990" t="str">
            <v>-</v>
          </cell>
          <cell r="R3990" t="str">
            <v>-</v>
          </cell>
          <cell r="S3990" t="str">
            <v>-</v>
          </cell>
          <cell r="T3990" t="str">
            <v>-</v>
          </cell>
          <cell r="U3990" t="str">
            <v>-</v>
          </cell>
          <cell r="V3990" t="str">
            <v>SS</v>
          </cell>
          <cell r="W3990" t="str">
            <v>-</v>
          </cell>
          <cell r="X3990" t="str">
            <v>CLP VG 220 = -15° + 40°</v>
          </cell>
          <cell r="Y3990" t="str">
            <v>KT157DRU200L4</v>
          </cell>
          <cell r="Z3990" t="str">
            <v>SEW</v>
          </cell>
          <cell r="AB3990" t="str">
            <v>-</v>
          </cell>
          <cell r="AF3990">
            <v>15</v>
          </cell>
          <cell r="AG3990" t="str">
            <v>DRU200L4</v>
          </cell>
          <cell r="AH3990" t="str">
            <v>KT157-DRU200L4A270-X</v>
          </cell>
        </row>
        <row r="3991">
          <cell r="A3991" t="str">
            <v>MR003980</v>
          </cell>
          <cell r="B3991" t="str">
            <v>MR</v>
          </cell>
          <cell r="C3991">
            <v>22</v>
          </cell>
          <cell r="D3991">
            <v>15</v>
          </cell>
          <cell r="E3991" t="str">
            <v>KT157</v>
          </cell>
          <cell r="F3991">
            <v>14200</v>
          </cell>
          <cell r="G3991">
            <v>100.22</v>
          </cell>
          <cell r="H3991">
            <v>1.4</v>
          </cell>
          <cell r="I3991" t="str">
            <v>From M1B to M2B - 20°</v>
          </cell>
          <cell r="J3991" t="str">
            <v>IE4</v>
          </cell>
          <cell r="K3991" t="str">
            <v>400/690</v>
          </cell>
          <cell r="L3991">
            <v>50</v>
          </cell>
          <cell r="M3991" t="str">
            <v>41/23,5</v>
          </cell>
          <cell r="N3991">
            <v>65</v>
          </cell>
          <cell r="O3991" t="str">
            <v>155(F)</v>
          </cell>
          <cell r="P3991" t="str">
            <v>270°</v>
          </cell>
          <cell r="Q3991" t="str">
            <v>-</v>
          </cell>
          <cell r="R3991" t="str">
            <v>-</v>
          </cell>
          <cell r="S3991" t="str">
            <v>-</v>
          </cell>
          <cell r="T3991" t="str">
            <v>-</v>
          </cell>
          <cell r="U3991" t="str">
            <v>-</v>
          </cell>
          <cell r="V3991" t="str">
            <v>SS</v>
          </cell>
          <cell r="W3991" t="str">
            <v>-</v>
          </cell>
          <cell r="X3991" t="str">
            <v>CLP VG 220 = -15° + 40°</v>
          </cell>
          <cell r="Y3991" t="str">
            <v>KT157DRU200L4</v>
          </cell>
          <cell r="Z3991" t="str">
            <v>SEW</v>
          </cell>
          <cell r="AB3991" t="str">
            <v>-</v>
          </cell>
          <cell r="AF3991">
            <v>15</v>
          </cell>
          <cell r="AG3991" t="str">
            <v>DRU200L4</v>
          </cell>
          <cell r="AH3991" t="str">
            <v>KT157-DRU200L4B270-X</v>
          </cell>
        </row>
        <row r="3992">
          <cell r="A3992" t="str">
            <v>MR003981</v>
          </cell>
          <cell r="B3992" t="str">
            <v>MR</v>
          </cell>
          <cell r="C3992">
            <v>7.5</v>
          </cell>
          <cell r="D3992">
            <v>69</v>
          </cell>
          <cell r="E3992" t="str">
            <v>R87</v>
          </cell>
          <cell r="F3992">
            <v>1040</v>
          </cell>
          <cell r="G3992">
            <v>21.51</v>
          </cell>
          <cell r="H3992">
            <v>1.45</v>
          </cell>
          <cell r="I3992" t="str">
            <v>M1</v>
          </cell>
          <cell r="J3992" t="str">
            <v>IE4</v>
          </cell>
          <cell r="K3992" t="str">
            <v>400/690</v>
          </cell>
          <cell r="L3992">
            <v>50</v>
          </cell>
          <cell r="M3992" t="str">
            <v>14,7/8,5</v>
          </cell>
          <cell r="N3992">
            <v>65</v>
          </cell>
          <cell r="O3992" t="str">
            <v>155(F)</v>
          </cell>
          <cell r="P3992" t="str">
            <v>270°</v>
          </cell>
          <cell r="Q3992" t="str">
            <v>-</v>
          </cell>
          <cell r="R3992" t="str">
            <v>-</v>
          </cell>
          <cell r="S3992" t="str">
            <v>-</v>
          </cell>
          <cell r="T3992" t="str">
            <v>-</v>
          </cell>
          <cell r="U3992" t="str">
            <v>-</v>
          </cell>
          <cell r="V3992" t="str">
            <v>D</v>
          </cell>
          <cell r="W3992" t="str">
            <v>-</v>
          </cell>
          <cell r="X3992" t="str">
            <v>CLP VG 220 = -15° + 40°</v>
          </cell>
          <cell r="Y3992" t="str">
            <v>R87DRU160M4</v>
          </cell>
          <cell r="Z3992" t="str">
            <v>SEW</v>
          </cell>
          <cell r="AB3992" t="str">
            <v>-</v>
          </cell>
          <cell r="AF3992">
            <v>69</v>
          </cell>
          <cell r="AG3992" t="str">
            <v>DRU160M4</v>
          </cell>
          <cell r="AH3992" t="str">
            <v>R87-DRU160M4270-X</v>
          </cell>
        </row>
        <row r="3993">
          <cell r="A3993" t="str">
            <v>MR003982</v>
          </cell>
          <cell r="B3993" t="str">
            <v>MR</v>
          </cell>
          <cell r="C3993">
            <v>22</v>
          </cell>
          <cell r="D3993">
            <v>15</v>
          </cell>
          <cell r="E3993" t="str">
            <v>KT157</v>
          </cell>
          <cell r="F3993">
            <v>14200</v>
          </cell>
          <cell r="G3993">
            <v>100.22</v>
          </cell>
          <cell r="H3993">
            <v>1.4</v>
          </cell>
          <cell r="I3993" t="str">
            <v>From M1A to M2A - 35°</v>
          </cell>
          <cell r="J3993" t="str">
            <v>IE4</v>
          </cell>
          <cell r="K3993" t="str">
            <v>400/690</v>
          </cell>
          <cell r="L3993">
            <v>50</v>
          </cell>
          <cell r="M3993" t="str">
            <v>41/23,5</v>
          </cell>
          <cell r="N3993">
            <v>65</v>
          </cell>
          <cell r="O3993" t="str">
            <v>155(F)</v>
          </cell>
          <cell r="P3993" t="str">
            <v>270°</v>
          </cell>
          <cell r="Q3993" t="str">
            <v>-</v>
          </cell>
          <cell r="R3993" t="str">
            <v>-</v>
          </cell>
          <cell r="S3993" t="str">
            <v>-</v>
          </cell>
          <cell r="T3993" t="str">
            <v>-</v>
          </cell>
          <cell r="U3993" t="str">
            <v>-</v>
          </cell>
          <cell r="V3993" t="str">
            <v>SS</v>
          </cell>
          <cell r="W3993" t="str">
            <v>-</v>
          </cell>
          <cell r="X3993" t="str">
            <v>CLP VG 220 = -15° + 40°</v>
          </cell>
          <cell r="Y3993" t="str">
            <v>KT157DRU200L4</v>
          </cell>
          <cell r="Z3993" t="str">
            <v>SEW</v>
          </cell>
          <cell r="AB3993" t="str">
            <v>-</v>
          </cell>
          <cell r="AF3993">
            <v>15</v>
          </cell>
          <cell r="AG3993" t="str">
            <v>DRU200L4</v>
          </cell>
          <cell r="AH3993" t="str">
            <v>KT157-DRU200L4A270-X</v>
          </cell>
        </row>
        <row r="3994">
          <cell r="A3994" t="str">
            <v>MR003983</v>
          </cell>
          <cell r="B3994" t="str">
            <v>MR</v>
          </cell>
          <cell r="C3994">
            <v>22</v>
          </cell>
          <cell r="D3994">
            <v>33</v>
          </cell>
          <cell r="E3994" t="str">
            <v>R137</v>
          </cell>
          <cell r="F3994">
            <v>6280</v>
          </cell>
          <cell r="G3994">
            <v>44.39</v>
          </cell>
          <cell r="H3994">
            <v>1.25</v>
          </cell>
          <cell r="I3994" t="str">
            <v>M1</v>
          </cell>
          <cell r="J3994" t="str">
            <v>IE4</v>
          </cell>
          <cell r="K3994" t="str">
            <v>400/690</v>
          </cell>
          <cell r="L3994">
            <v>50</v>
          </cell>
          <cell r="M3994" t="str">
            <v>41/23,5</v>
          </cell>
          <cell r="N3994">
            <v>65</v>
          </cell>
          <cell r="O3994" t="str">
            <v>155(F)</v>
          </cell>
          <cell r="P3994" t="str">
            <v>270°</v>
          </cell>
          <cell r="Q3994" t="str">
            <v>-</v>
          </cell>
          <cell r="R3994" t="str">
            <v>-</v>
          </cell>
          <cell r="S3994" t="str">
            <v>Free rotation CCW</v>
          </cell>
          <cell r="T3994" t="str">
            <v>-</v>
          </cell>
          <cell r="U3994" t="str">
            <v>-</v>
          </cell>
          <cell r="V3994" t="str">
            <v>SS</v>
          </cell>
          <cell r="W3994" t="str">
            <v>-</v>
          </cell>
          <cell r="X3994" t="str">
            <v>CLP VG 220 = -15° + 40°</v>
          </cell>
          <cell r="Y3994" t="str">
            <v>R137DRU200L4/RS</v>
          </cell>
          <cell r="Z3994" t="str">
            <v>SEW</v>
          </cell>
          <cell r="AB3994" t="str">
            <v>-</v>
          </cell>
          <cell r="AF3994">
            <v>33</v>
          </cell>
          <cell r="AG3994" t="str">
            <v>DRU200L4</v>
          </cell>
          <cell r="AH3994" t="str">
            <v>R137-DRU200L4270-X</v>
          </cell>
        </row>
        <row r="3995">
          <cell r="A3995" t="str">
            <v>MR003984</v>
          </cell>
          <cell r="B3995" t="str">
            <v>MR</v>
          </cell>
          <cell r="C3995">
            <v>4</v>
          </cell>
          <cell r="D3995">
            <v>83</v>
          </cell>
          <cell r="E3995" t="str">
            <v>R77</v>
          </cell>
          <cell r="F3995">
            <v>460</v>
          </cell>
          <cell r="G3995">
            <v>17.82</v>
          </cell>
          <cell r="H3995">
            <v>1.7</v>
          </cell>
          <cell r="I3995" t="str">
            <v>From M1 to M2 - 15°</v>
          </cell>
          <cell r="J3995" t="str">
            <v>IE4</v>
          </cell>
          <cell r="K3995" t="str">
            <v>230/400</v>
          </cell>
          <cell r="L3995">
            <v>50</v>
          </cell>
          <cell r="M3995" t="str">
            <v>13,7/7,9</v>
          </cell>
          <cell r="N3995">
            <v>65</v>
          </cell>
          <cell r="O3995" t="str">
            <v>155(F)</v>
          </cell>
          <cell r="P3995" t="str">
            <v>270°</v>
          </cell>
          <cell r="Q3995" t="str">
            <v>-</v>
          </cell>
          <cell r="R3995" t="str">
            <v>-</v>
          </cell>
          <cell r="S3995" t="str">
            <v>-</v>
          </cell>
          <cell r="T3995" t="str">
            <v>-</v>
          </cell>
          <cell r="U3995" t="str">
            <v>-</v>
          </cell>
          <cell r="V3995" t="str">
            <v>D</v>
          </cell>
          <cell r="W3995" t="str">
            <v>-</v>
          </cell>
          <cell r="X3995" t="str">
            <v>CLP VG 220 = -15° + 40°</v>
          </cell>
          <cell r="Y3995" t="str">
            <v>R77DRU132S4</v>
          </cell>
          <cell r="Z3995" t="str">
            <v>SEW</v>
          </cell>
          <cell r="AB3995" t="str">
            <v>-</v>
          </cell>
          <cell r="AF3995">
            <v>83</v>
          </cell>
          <cell r="AG3995" t="str">
            <v>DRU132S4</v>
          </cell>
          <cell r="AH3995" t="str">
            <v>R77-DRU132S4270-X</v>
          </cell>
        </row>
        <row r="3996">
          <cell r="A3996" t="str">
            <v>MR003985</v>
          </cell>
          <cell r="B3996" t="str">
            <v>MR</v>
          </cell>
          <cell r="C3996">
            <v>11</v>
          </cell>
          <cell r="D3996">
            <v>12</v>
          </cell>
          <cell r="E3996" t="str">
            <v>KT127</v>
          </cell>
          <cell r="F3996">
            <v>8700</v>
          </cell>
          <cell r="G3996">
            <v>122.48</v>
          </cell>
          <cell r="H3996">
            <v>1.5</v>
          </cell>
          <cell r="I3996" t="str">
            <v>From M1B to M2B - 30°</v>
          </cell>
          <cell r="J3996" t="str">
            <v>IE4</v>
          </cell>
          <cell r="K3996" t="str">
            <v>400/690</v>
          </cell>
          <cell r="L3996">
            <v>50</v>
          </cell>
          <cell r="M3996" t="str">
            <v>21/12,3</v>
          </cell>
          <cell r="N3996">
            <v>65</v>
          </cell>
          <cell r="O3996" t="str">
            <v>155(F)</v>
          </cell>
          <cell r="P3996" t="str">
            <v>270°</v>
          </cell>
          <cell r="Q3996" t="str">
            <v>-</v>
          </cell>
          <cell r="R3996" t="str">
            <v>-</v>
          </cell>
          <cell r="S3996" t="str">
            <v>-</v>
          </cell>
          <cell r="T3996" t="str">
            <v>-</v>
          </cell>
          <cell r="U3996" t="str">
            <v>-</v>
          </cell>
          <cell r="V3996" t="str">
            <v>SS</v>
          </cell>
          <cell r="W3996" t="str">
            <v>-</v>
          </cell>
          <cell r="X3996" t="str">
            <v>CLP VG 220 = -15° + 40°</v>
          </cell>
          <cell r="Y3996" t="str">
            <v>KT127DRU160L4</v>
          </cell>
          <cell r="Z3996" t="str">
            <v>SEW</v>
          </cell>
          <cell r="AB3996" t="str">
            <v>-</v>
          </cell>
          <cell r="AF3996">
            <v>12</v>
          </cell>
          <cell r="AG3996" t="str">
            <v>DRU160L4</v>
          </cell>
          <cell r="AH3996" t="str">
            <v>KT127-DRU160L4B270-X</v>
          </cell>
        </row>
        <row r="3997">
          <cell r="A3997" t="str">
            <v>MR003986</v>
          </cell>
          <cell r="B3997" t="str">
            <v>MR</v>
          </cell>
          <cell r="C3997">
            <v>5.5</v>
          </cell>
          <cell r="D3997">
            <v>14</v>
          </cell>
          <cell r="E3997" t="str">
            <v>KT97</v>
          </cell>
          <cell r="F3997">
            <v>3740</v>
          </cell>
          <cell r="G3997">
            <v>105.13</v>
          </cell>
          <cell r="H3997">
            <v>1.1499999999999999</v>
          </cell>
          <cell r="I3997" t="str">
            <v>From M1B to M2B - 20°</v>
          </cell>
          <cell r="J3997" t="str">
            <v>IE4</v>
          </cell>
          <cell r="K3997" t="str">
            <v>230/400</v>
          </cell>
          <cell r="L3997">
            <v>50</v>
          </cell>
          <cell r="M3997" t="str">
            <v>19,8/11,4</v>
          </cell>
          <cell r="N3997">
            <v>65</v>
          </cell>
          <cell r="O3997" t="str">
            <v>155(F)</v>
          </cell>
          <cell r="P3997" t="str">
            <v>270°</v>
          </cell>
          <cell r="Q3997" t="str">
            <v>-</v>
          </cell>
          <cell r="R3997" t="str">
            <v>-</v>
          </cell>
          <cell r="S3997" t="str">
            <v>-</v>
          </cell>
          <cell r="T3997" t="str">
            <v>-</v>
          </cell>
          <cell r="U3997" t="str">
            <v>-</v>
          </cell>
          <cell r="V3997" t="str">
            <v>SS</v>
          </cell>
          <cell r="W3997" t="str">
            <v>-</v>
          </cell>
          <cell r="X3997" t="str">
            <v>CLP VG 220 = -15° + 40°</v>
          </cell>
          <cell r="Y3997" t="str">
            <v>KT97DRU132M4</v>
          </cell>
          <cell r="Z3997" t="str">
            <v>SEW</v>
          </cell>
          <cell r="AB3997" t="str">
            <v>-</v>
          </cell>
          <cell r="AF3997">
            <v>14</v>
          </cell>
          <cell r="AG3997" t="str">
            <v>DRU132M4</v>
          </cell>
          <cell r="AH3997" t="str">
            <v>KT97-DRU132M4B270-X</v>
          </cell>
        </row>
        <row r="3998">
          <cell r="A3998" t="str">
            <v>MR003987</v>
          </cell>
          <cell r="B3998" t="str">
            <v>MR</v>
          </cell>
          <cell r="C3998">
            <v>22</v>
          </cell>
          <cell r="D3998">
            <v>15</v>
          </cell>
          <cell r="E3998" t="str">
            <v>KT157</v>
          </cell>
          <cell r="F3998">
            <v>14200</v>
          </cell>
          <cell r="G3998">
            <v>100.22</v>
          </cell>
          <cell r="H3998">
            <v>1.4</v>
          </cell>
          <cell r="I3998" t="str">
            <v>From M1B to M2B - 35°</v>
          </cell>
          <cell r="J3998" t="str">
            <v>IE4</v>
          </cell>
          <cell r="K3998" t="str">
            <v>400/690</v>
          </cell>
          <cell r="L3998">
            <v>50</v>
          </cell>
          <cell r="M3998" t="str">
            <v>41/23,5</v>
          </cell>
          <cell r="N3998">
            <v>65</v>
          </cell>
          <cell r="O3998" t="str">
            <v>155(F)</v>
          </cell>
          <cell r="P3998" t="str">
            <v>270°</v>
          </cell>
          <cell r="Q3998" t="str">
            <v>-</v>
          </cell>
          <cell r="R3998" t="str">
            <v>-</v>
          </cell>
          <cell r="S3998" t="str">
            <v>-</v>
          </cell>
          <cell r="T3998" t="str">
            <v>-</v>
          </cell>
          <cell r="U3998" t="str">
            <v>-</v>
          </cell>
          <cell r="V3998" t="str">
            <v>SS</v>
          </cell>
          <cell r="W3998" t="str">
            <v>-</v>
          </cell>
          <cell r="X3998" t="str">
            <v>CLP VG 220 = -15° + 40°</v>
          </cell>
          <cell r="Y3998" t="str">
            <v>KT157DRU200L4</v>
          </cell>
          <cell r="Z3998" t="str">
            <v>SEW</v>
          </cell>
          <cell r="AB3998" t="str">
            <v>-</v>
          </cell>
          <cell r="AF3998">
            <v>15</v>
          </cell>
          <cell r="AG3998" t="str">
            <v>DRU200L4</v>
          </cell>
          <cell r="AH3998" t="str">
            <v>KT157-DRU200L4B270-X</v>
          </cell>
        </row>
        <row r="3999">
          <cell r="A3999" t="str">
            <v>MR003988</v>
          </cell>
          <cell r="B3999" t="str">
            <v>MR</v>
          </cell>
          <cell r="C3999">
            <v>9.1999999999999993</v>
          </cell>
          <cell r="D3999">
            <v>59</v>
          </cell>
          <cell r="E3999" t="str">
            <v>R97</v>
          </cell>
          <cell r="F3999">
            <v>1480</v>
          </cell>
          <cell r="G3999">
            <v>25.03</v>
          </cell>
          <cell r="H3999">
            <v>1.9</v>
          </cell>
          <cell r="I3999" t="str">
            <v>From M1 to M2 - 15°</v>
          </cell>
          <cell r="J3999" t="str">
            <v>IE4</v>
          </cell>
          <cell r="K3999" t="str">
            <v>400/690</v>
          </cell>
          <cell r="L3999">
            <v>50</v>
          </cell>
          <cell r="M3999" t="str">
            <v>17,8/10,3</v>
          </cell>
          <cell r="N3999">
            <v>65</v>
          </cell>
          <cell r="O3999" t="str">
            <v>155(F)</v>
          </cell>
          <cell r="P3999" t="str">
            <v>270°</v>
          </cell>
          <cell r="Q3999" t="str">
            <v>-</v>
          </cell>
          <cell r="R3999" t="str">
            <v>-</v>
          </cell>
          <cell r="S3999" t="str">
            <v>-</v>
          </cell>
          <cell r="T3999" t="str">
            <v>-</v>
          </cell>
          <cell r="U3999" t="str">
            <v>-</v>
          </cell>
          <cell r="V3999" t="str">
            <v>D</v>
          </cell>
          <cell r="W3999" t="str">
            <v>-</v>
          </cell>
          <cell r="X3999" t="str">
            <v>CLP VG 220 = -15° + 40°</v>
          </cell>
          <cell r="Y3999" t="str">
            <v>R97DRU160LR4</v>
          </cell>
          <cell r="Z3999" t="str">
            <v>SEW</v>
          </cell>
          <cell r="AB3999" t="str">
            <v>-</v>
          </cell>
          <cell r="AF3999">
            <v>59</v>
          </cell>
          <cell r="AG3999" t="str">
            <v>DRU160LR4</v>
          </cell>
          <cell r="AH3999" t="str">
            <v>R97-DRU160LR4270-X</v>
          </cell>
        </row>
        <row r="4000">
          <cell r="A4000" t="str">
            <v>MR003989</v>
          </cell>
          <cell r="B4000" t="str">
            <v>MR</v>
          </cell>
          <cell r="C4000">
            <v>11</v>
          </cell>
          <cell r="D4000">
            <v>81</v>
          </cell>
          <cell r="E4000" t="str">
            <v>R97</v>
          </cell>
          <cell r="F4000">
            <v>1300</v>
          </cell>
          <cell r="G4000">
            <v>18.239999999999998</v>
          </cell>
          <cell r="H4000">
            <v>1.95</v>
          </cell>
          <cell r="I4000" t="str">
            <v>From M1 to M4 - 45°</v>
          </cell>
          <cell r="J4000" t="str">
            <v>IE4</v>
          </cell>
          <cell r="K4000" t="str">
            <v>400/690</v>
          </cell>
          <cell r="L4000">
            <v>50</v>
          </cell>
          <cell r="M4000" t="str">
            <v>21/12,3</v>
          </cell>
          <cell r="N4000">
            <v>56</v>
          </cell>
          <cell r="O4000" t="str">
            <v>155(F)</v>
          </cell>
          <cell r="P4000" t="str">
            <v>270°</v>
          </cell>
          <cell r="Q4000" t="str">
            <v>-</v>
          </cell>
          <cell r="R4000" t="str">
            <v>-</v>
          </cell>
          <cell r="S4000" t="str">
            <v>-</v>
          </cell>
          <cell r="T4000" t="str">
            <v>-</v>
          </cell>
          <cell r="U4000" t="str">
            <v>-</v>
          </cell>
          <cell r="V4000" t="str">
            <v>D</v>
          </cell>
          <cell r="W4000" t="str">
            <v>-</v>
          </cell>
          <cell r="X4000" t="str">
            <v>CLP VG 220 = -15° + 40°</v>
          </cell>
          <cell r="Y4000" t="str">
            <v>R97DRU160L4</v>
          </cell>
          <cell r="Z4000" t="str">
            <v>SEW</v>
          </cell>
          <cell r="AB4000" t="str">
            <v>-</v>
          </cell>
          <cell r="AF4000">
            <v>81</v>
          </cell>
          <cell r="AG4000" t="str">
            <v>DRU160L4</v>
          </cell>
          <cell r="AH4000" t="str">
            <v>R97-DRU160L4270-X</v>
          </cell>
        </row>
        <row r="4001">
          <cell r="A4001" t="str">
            <v>MR003990</v>
          </cell>
          <cell r="B4001" t="str">
            <v>MR</v>
          </cell>
          <cell r="C4001">
            <v>9.1999999999999993</v>
          </cell>
          <cell r="D4001">
            <v>59</v>
          </cell>
          <cell r="E4001" t="str">
            <v>R97</v>
          </cell>
          <cell r="F4001">
            <v>1480</v>
          </cell>
          <cell r="G4001">
            <v>25.03</v>
          </cell>
          <cell r="H4001">
            <v>1.9</v>
          </cell>
          <cell r="I4001" t="str">
            <v>M1</v>
          </cell>
          <cell r="J4001" t="str">
            <v>IE4</v>
          </cell>
          <cell r="K4001" t="str">
            <v>400/690</v>
          </cell>
          <cell r="L4001">
            <v>50</v>
          </cell>
          <cell r="M4001" t="str">
            <v>17,8/10,3</v>
          </cell>
          <cell r="N4001">
            <v>65</v>
          </cell>
          <cell r="O4001" t="str">
            <v>155(F)</v>
          </cell>
          <cell r="P4001" t="str">
            <v>270°</v>
          </cell>
          <cell r="Q4001" t="str">
            <v>-</v>
          </cell>
          <cell r="R4001" t="str">
            <v>-</v>
          </cell>
          <cell r="S4001" t="str">
            <v>-</v>
          </cell>
          <cell r="T4001" t="str">
            <v>-</v>
          </cell>
          <cell r="U4001" t="str">
            <v>-</v>
          </cell>
          <cell r="V4001" t="str">
            <v>D+R</v>
          </cell>
          <cell r="W4001" t="str">
            <v>-</v>
          </cell>
          <cell r="X4001" t="str">
            <v>CLP VG 220 = -15° + 40°</v>
          </cell>
          <cell r="Y4001" t="str">
            <v>R97DRU160LR4</v>
          </cell>
          <cell r="Z4001" t="str">
            <v>SEW</v>
          </cell>
          <cell r="AB4001" t="str">
            <v>-</v>
          </cell>
          <cell r="AF4001">
            <v>59</v>
          </cell>
          <cell r="AG4001" t="str">
            <v>DRU160LR4</v>
          </cell>
          <cell r="AH4001" t="str">
            <v>R97-DRU160LR4270-X</v>
          </cell>
        </row>
        <row r="4002">
          <cell r="A4002" t="str">
            <v>MR003991</v>
          </cell>
          <cell r="B4002" t="str">
            <v>MR</v>
          </cell>
          <cell r="C4002">
            <v>9.1999999999999993</v>
          </cell>
          <cell r="D4002">
            <v>59</v>
          </cell>
          <cell r="E4002" t="str">
            <v>R97</v>
          </cell>
          <cell r="F4002">
            <v>1480</v>
          </cell>
          <cell r="G4002">
            <v>25.03</v>
          </cell>
          <cell r="H4002">
            <v>1.9</v>
          </cell>
          <cell r="I4002" t="str">
            <v>From M1 to M4 - 10°</v>
          </cell>
          <cell r="J4002" t="str">
            <v>IE4</v>
          </cell>
          <cell r="K4002" t="str">
            <v>400/690</v>
          </cell>
          <cell r="L4002">
            <v>50</v>
          </cell>
          <cell r="M4002" t="str">
            <v>17,8/10,3</v>
          </cell>
          <cell r="N4002">
            <v>65</v>
          </cell>
          <cell r="O4002" t="str">
            <v>155(F)</v>
          </cell>
          <cell r="P4002" t="str">
            <v>270°</v>
          </cell>
          <cell r="Q4002" t="str">
            <v>-</v>
          </cell>
          <cell r="R4002" t="str">
            <v>-</v>
          </cell>
          <cell r="S4002" t="str">
            <v>-</v>
          </cell>
          <cell r="T4002" t="str">
            <v>-</v>
          </cell>
          <cell r="U4002" t="str">
            <v>-</v>
          </cell>
          <cell r="V4002" t="str">
            <v>D</v>
          </cell>
          <cell r="W4002" t="str">
            <v>-</v>
          </cell>
          <cell r="X4002" t="str">
            <v>CLP VG 220 = -15° + 40°</v>
          </cell>
          <cell r="Y4002" t="str">
            <v>R97DRU160LR4</v>
          </cell>
          <cell r="Z4002" t="str">
            <v>SEW</v>
          </cell>
          <cell r="AB4002" t="str">
            <v>-</v>
          </cell>
          <cell r="AF4002">
            <v>59</v>
          </cell>
          <cell r="AG4002" t="str">
            <v>DRU160LR4</v>
          </cell>
          <cell r="AH4002" t="str">
            <v>R97-DRU160LR4270-X</v>
          </cell>
        </row>
        <row r="4003">
          <cell r="A4003" t="str">
            <v>MR003992</v>
          </cell>
          <cell r="B4003" t="str">
            <v>MR</v>
          </cell>
          <cell r="C4003">
            <v>15</v>
          </cell>
          <cell r="D4003">
            <v>74</v>
          </cell>
          <cell r="E4003" t="str">
            <v>R97</v>
          </cell>
          <cell r="F4003">
            <v>1950</v>
          </cell>
          <cell r="G4003">
            <v>20.14</v>
          </cell>
          <cell r="H4003">
            <v>1.35</v>
          </cell>
          <cell r="I4003" t="str">
            <v>From M1 to M4 - 55°</v>
          </cell>
          <cell r="J4003" t="str">
            <v>IE4</v>
          </cell>
          <cell r="K4003" t="str">
            <v>400/690</v>
          </cell>
          <cell r="L4003">
            <v>50</v>
          </cell>
          <cell r="M4003" t="str">
            <v>27/15,7</v>
          </cell>
          <cell r="N4003">
            <v>65</v>
          </cell>
          <cell r="O4003" t="str">
            <v>155(F)</v>
          </cell>
          <cell r="P4003" t="str">
            <v>270°</v>
          </cell>
          <cell r="Q4003" t="str">
            <v>-</v>
          </cell>
          <cell r="R4003" t="str">
            <v>-</v>
          </cell>
          <cell r="S4003" t="str">
            <v>-</v>
          </cell>
          <cell r="T4003" t="str">
            <v>-</v>
          </cell>
          <cell r="U4003" t="str">
            <v>-</v>
          </cell>
          <cell r="V4003" t="str">
            <v>D</v>
          </cell>
          <cell r="W4003" t="str">
            <v>-</v>
          </cell>
          <cell r="X4003" t="str">
            <v>CLP VG 220 = -15° + 40°</v>
          </cell>
          <cell r="Y4003" t="str">
            <v>R97DRU180L4</v>
          </cell>
          <cell r="Z4003" t="str">
            <v>SEW</v>
          </cell>
          <cell r="AB4003" t="str">
            <v>-</v>
          </cell>
          <cell r="AF4003">
            <v>74</v>
          </cell>
          <cell r="AG4003" t="str">
            <v>DRU180L4</v>
          </cell>
          <cell r="AH4003" t="str">
            <v>R97-DRU180L4270-X</v>
          </cell>
        </row>
        <row r="4004">
          <cell r="A4004" t="str">
            <v>MR003993</v>
          </cell>
          <cell r="B4004" t="str">
            <v>MR</v>
          </cell>
          <cell r="C4004">
            <v>22</v>
          </cell>
          <cell r="D4004">
            <v>15</v>
          </cell>
          <cell r="E4004" t="str">
            <v>KT157</v>
          </cell>
          <cell r="F4004">
            <v>14200</v>
          </cell>
          <cell r="G4004">
            <v>100.22</v>
          </cell>
          <cell r="H4004">
            <v>1.4</v>
          </cell>
          <cell r="I4004" t="str">
            <v>From M1A to M2A - 30°</v>
          </cell>
          <cell r="J4004" t="str">
            <v>IE4</v>
          </cell>
          <cell r="K4004" t="str">
            <v>400/690</v>
          </cell>
          <cell r="L4004">
            <v>50</v>
          </cell>
          <cell r="M4004" t="str">
            <v>41/23,5</v>
          </cell>
          <cell r="N4004">
            <v>65</v>
          </cell>
          <cell r="O4004" t="str">
            <v>155(F)</v>
          </cell>
          <cell r="P4004" t="str">
            <v>270°</v>
          </cell>
          <cell r="Q4004" t="str">
            <v>-</v>
          </cell>
          <cell r="R4004" t="str">
            <v>-</v>
          </cell>
          <cell r="S4004" t="str">
            <v>-</v>
          </cell>
          <cell r="T4004" t="str">
            <v>-</v>
          </cell>
          <cell r="U4004" t="str">
            <v>-</v>
          </cell>
          <cell r="V4004" t="str">
            <v>SS</v>
          </cell>
          <cell r="W4004" t="str">
            <v>-</v>
          </cell>
          <cell r="X4004" t="str">
            <v>CLP VG 220 = -15° + 40°</v>
          </cell>
          <cell r="Y4004" t="str">
            <v>KT157DRU200L4</v>
          </cell>
          <cell r="Z4004" t="str">
            <v>SEW</v>
          </cell>
          <cell r="AB4004" t="str">
            <v>-</v>
          </cell>
          <cell r="AF4004">
            <v>15</v>
          </cell>
          <cell r="AG4004" t="str">
            <v>DRU200L4</v>
          </cell>
          <cell r="AH4004" t="str">
            <v>KT157-DRU200L4A270-X</v>
          </cell>
        </row>
        <row r="4005">
          <cell r="A4005" t="str">
            <v>MR003994</v>
          </cell>
          <cell r="B4005" t="str">
            <v>MR</v>
          </cell>
          <cell r="C4005">
            <v>22</v>
          </cell>
          <cell r="D4005">
            <v>15</v>
          </cell>
          <cell r="E4005" t="str">
            <v>KT157</v>
          </cell>
          <cell r="F4005">
            <v>14200</v>
          </cell>
          <cell r="G4005">
            <v>100.22</v>
          </cell>
          <cell r="H4005">
            <v>1.4</v>
          </cell>
          <cell r="I4005" t="str">
            <v>From M1B to M2B - 30°</v>
          </cell>
          <cell r="J4005" t="str">
            <v>IE4</v>
          </cell>
          <cell r="K4005" t="str">
            <v>400/690</v>
          </cell>
          <cell r="L4005">
            <v>50</v>
          </cell>
          <cell r="M4005" t="str">
            <v>41/23,5</v>
          </cell>
          <cell r="N4005">
            <v>65</v>
          </cell>
          <cell r="O4005" t="str">
            <v>155(F)</v>
          </cell>
          <cell r="P4005" t="str">
            <v>270°</v>
          </cell>
          <cell r="Q4005" t="str">
            <v>-</v>
          </cell>
          <cell r="R4005" t="str">
            <v>-</v>
          </cell>
          <cell r="S4005" t="str">
            <v>-</v>
          </cell>
          <cell r="T4005" t="str">
            <v>-</v>
          </cell>
          <cell r="U4005" t="str">
            <v>-</v>
          </cell>
          <cell r="V4005" t="str">
            <v>SS</v>
          </cell>
          <cell r="W4005" t="str">
            <v>-</v>
          </cell>
          <cell r="X4005" t="str">
            <v>CLP VG 220 = -15° + 40°</v>
          </cell>
          <cell r="Y4005" t="str">
            <v>KT157DRU200L4</v>
          </cell>
          <cell r="Z4005" t="str">
            <v>SEW</v>
          </cell>
          <cell r="AB4005" t="str">
            <v>-</v>
          </cell>
          <cell r="AF4005">
            <v>15</v>
          </cell>
          <cell r="AG4005" t="str">
            <v>DRU200L4</v>
          </cell>
          <cell r="AH4005" t="str">
            <v>KT157-DRU200L4B270-X</v>
          </cell>
        </row>
        <row r="4006">
          <cell r="A4006" t="str">
            <v>MR003995</v>
          </cell>
          <cell r="B4006" t="str">
            <v>MR</v>
          </cell>
          <cell r="C4006">
            <v>22</v>
          </cell>
          <cell r="D4006">
            <v>15</v>
          </cell>
          <cell r="E4006" t="str">
            <v>KT157</v>
          </cell>
          <cell r="F4006">
            <v>14200</v>
          </cell>
          <cell r="G4006">
            <v>100.22</v>
          </cell>
          <cell r="H4006">
            <v>1.4</v>
          </cell>
          <cell r="I4006" t="str">
            <v>From M1A to M2A - 15°</v>
          </cell>
          <cell r="J4006" t="str">
            <v>IE4</v>
          </cell>
          <cell r="K4006" t="str">
            <v>400/690</v>
          </cell>
          <cell r="L4006">
            <v>50</v>
          </cell>
          <cell r="M4006" t="str">
            <v>41/23,5</v>
          </cell>
          <cell r="N4006">
            <v>65</v>
          </cell>
          <cell r="O4006" t="str">
            <v>155(F)</v>
          </cell>
          <cell r="P4006" t="str">
            <v>270°</v>
          </cell>
          <cell r="Q4006" t="str">
            <v>TF</v>
          </cell>
          <cell r="R4006" t="str">
            <v>V(VE)</v>
          </cell>
          <cell r="S4006" t="str">
            <v>-</v>
          </cell>
          <cell r="T4006" t="str">
            <v>-</v>
          </cell>
          <cell r="U4006" t="str">
            <v>-</v>
          </cell>
          <cell r="V4006" t="str">
            <v>FC</v>
          </cell>
          <cell r="W4006" t="str">
            <v>-</v>
          </cell>
          <cell r="X4006" t="str">
            <v>CLP VG 220 = -15° + 40°</v>
          </cell>
          <cell r="Y4006" t="str">
            <v>KT157DRU200L4/TF/V</v>
          </cell>
          <cell r="Z4006" t="str">
            <v>SEW</v>
          </cell>
          <cell r="AB4006" t="str">
            <v>-</v>
          </cell>
          <cell r="AF4006">
            <v>15</v>
          </cell>
          <cell r="AG4006" t="str">
            <v>DRU200L4</v>
          </cell>
          <cell r="AH4006" t="str">
            <v>KT157-DRU200L4A270-X#</v>
          </cell>
        </row>
        <row r="4007">
          <cell r="A4007" t="str">
            <v>MR003996</v>
          </cell>
          <cell r="B4007" t="str">
            <v>MR</v>
          </cell>
          <cell r="C4007">
            <v>22</v>
          </cell>
          <cell r="D4007">
            <v>15</v>
          </cell>
          <cell r="E4007" t="str">
            <v>KT157</v>
          </cell>
          <cell r="F4007">
            <v>14200</v>
          </cell>
          <cell r="G4007">
            <v>100.22</v>
          </cell>
          <cell r="H4007">
            <v>1.4</v>
          </cell>
          <cell r="I4007" t="str">
            <v>From M1B to M2B - 15°</v>
          </cell>
          <cell r="J4007" t="str">
            <v>IE4</v>
          </cell>
          <cell r="K4007" t="str">
            <v>400/690</v>
          </cell>
          <cell r="L4007">
            <v>50</v>
          </cell>
          <cell r="M4007" t="str">
            <v>41/23,5</v>
          </cell>
          <cell r="N4007">
            <v>65</v>
          </cell>
          <cell r="O4007" t="str">
            <v>155(F)</v>
          </cell>
          <cell r="P4007" t="str">
            <v>270°</v>
          </cell>
          <cell r="Q4007" t="str">
            <v>TF</v>
          </cell>
          <cell r="R4007" t="str">
            <v>V(VE)</v>
          </cell>
          <cell r="S4007" t="str">
            <v>-</v>
          </cell>
          <cell r="T4007" t="str">
            <v>-</v>
          </cell>
          <cell r="U4007" t="str">
            <v>-</v>
          </cell>
          <cell r="V4007" t="str">
            <v>FC</v>
          </cell>
          <cell r="W4007" t="str">
            <v>-</v>
          </cell>
          <cell r="X4007" t="str">
            <v>CLP VG 220 = -15° + 40°</v>
          </cell>
          <cell r="Y4007" t="str">
            <v>KT157DRU200L4/TF/V</v>
          </cell>
          <cell r="Z4007" t="str">
            <v>SEW</v>
          </cell>
          <cell r="AB4007" t="str">
            <v>-</v>
          </cell>
          <cell r="AF4007">
            <v>15</v>
          </cell>
          <cell r="AG4007" t="str">
            <v>DRU200L4</v>
          </cell>
          <cell r="AH4007" t="str">
            <v>KT157-DRU200L4B270-X#</v>
          </cell>
        </row>
        <row r="4008">
          <cell r="A4008" t="str">
            <v>MR003997</v>
          </cell>
          <cell r="B4008" t="str">
            <v>MR</v>
          </cell>
          <cell r="C4008">
            <v>18.5</v>
          </cell>
          <cell r="D4008">
            <v>50</v>
          </cell>
          <cell r="E4008" t="str">
            <v>R107</v>
          </cell>
          <cell r="F4008">
            <v>3510</v>
          </cell>
          <cell r="G4008">
            <v>29.49</v>
          </cell>
          <cell r="H4008">
            <v>1.25</v>
          </cell>
          <cell r="I4008" t="str">
            <v>M1</v>
          </cell>
          <cell r="J4008" t="str">
            <v>IE4</v>
          </cell>
          <cell r="K4008" t="str">
            <v>400/690</v>
          </cell>
          <cell r="L4008">
            <v>50</v>
          </cell>
          <cell r="M4008" t="str">
            <v>33,5/19,3</v>
          </cell>
          <cell r="N4008">
            <v>65</v>
          </cell>
          <cell r="O4008" t="str">
            <v>155(F)</v>
          </cell>
          <cell r="P4008" t="str">
            <v>270°</v>
          </cell>
          <cell r="Q4008" t="str">
            <v>TF</v>
          </cell>
          <cell r="R4008" t="str">
            <v>V(VE)</v>
          </cell>
          <cell r="S4008" t="str">
            <v>-</v>
          </cell>
          <cell r="T4008" t="str">
            <v>-</v>
          </cell>
          <cell r="U4008" t="str">
            <v>-</v>
          </cell>
          <cell r="V4008" t="str">
            <v>FC</v>
          </cell>
          <cell r="W4008" t="str">
            <v>-</v>
          </cell>
          <cell r="X4008" t="str">
            <v>CLP VG 220 = -15° + 40°</v>
          </cell>
          <cell r="Y4008" t="str">
            <v>R107DRU200LR4/TF/V</v>
          </cell>
          <cell r="Z4008" t="str">
            <v>SEW</v>
          </cell>
          <cell r="AB4008" t="str">
            <v>-</v>
          </cell>
          <cell r="AF4008">
            <v>50</v>
          </cell>
          <cell r="AG4008" t="str">
            <v>DRU200LR4</v>
          </cell>
          <cell r="AH4008" t="str">
            <v>R107-DRU200LR4270-X#</v>
          </cell>
        </row>
        <row r="4009">
          <cell r="A4009" t="str">
            <v>MR003998</v>
          </cell>
          <cell r="B4009" t="str">
            <v>MR</v>
          </cell>
          <cell r="C4009">
            <v>7.5</v>
          </cell>
          <cell r="D4009">
            <v>53</v>
          </cell>
          <cell r="E4009" t="str">
            <v>R87</v>
          </cell>
          <cell r="F4009">
            <v>1350</v>
          </cell>
          <cell r="G4009">
            <v>27.88</v>
          </cell>
          <cell r="H4009">
            <v>1.1000000000000001</v>
          </cell>
          <cell r="I4009" t="str">
            <v>M1</v>
          </cell>
          <cell r="J4009" t="str">
            <v>IE4</v>
          </cell>
          <cell r="K4009" t="str">
            <v>400/690</v>
          </cell>
          <cell r="L4009">
            <v>50</v>
          </cell>
          <cell r="M4009" t="str">
            <v>14,7/8,5</v>
          </cell>
          <cell r="N4009">
            <v>65</v>
          </cell>
          <cell r="O4009" t="str">
            <v>155(F)</v>
          </cell>
          <cell r="P4009" t="str">
            <v>270°</v>
          </cell>
          <cell r="Q4009" t="str">
            <v>TF</v>
          </cell>
          <cell r="R4009" t="str">
            <v>V(VE)</v>
          </cell>
          <cell r="S4009" t="str">
            <v>-</v>
          </cell>
          <cell r="T4009" t="str">
            <v>-</v>
          </cell>
          <cell r="U4009" t="str">
            <v>-</v>
          </cell>
          <cell r="V4009" t="str">
            <v>FC</v>
          </cell>
          <cell r="W4009" t="str">
            <v>-</v>
          </cell>
          <cell r="X4009" t="str">
            <v>CLP VG 220 = -15° + 40°</v>
          </cell>
          <cell r="Y4009" t="str">
            <v>R87DRU160M4/TF/V</v>
          </cell>
          <cell r="Z4009" t="str">
            <v>SEW</v>
          </cell>
          <cell r="AB4009" t="str">
            <v>-</v>
          </cell>
          <cell r="AF4009">
            <v>53</v>
          </cell>
          <cell r="AG4009" t="str">
            <v>DRU160M4</v>
          </cell>
          <cell r="AH4009" t="str">
            <v>R87-DRU160M4270-X#</v>
          </cell>
        </row>
        <row r="4010">
          <cell r="A4010" t="str">
            <v>MR003999</v>
          </cell>
          <cell r="B4010" t="str">
            <v>MR</v>
          </cell>
          <cell r="C4010">
            <v>15</v>
          </cell>
          <cell r="D4010">
            <v>13</v>
          </cell>
          <cell r="E4010" t="str">
            <v>KT127</v>
          </cell>
          <cell r="F4010">
            <v>10600</v>
          </cell>
          <cell r="G4010">
            <v>110.18</v>
          </cell>
          <cell r="H4010">
            <v>1.2</v>
          </cell>
          <cell r="I4010" t="str">
            <v>From M1A to M2A - 15°</v>
          </cell>
          <cell r="J4010" t="str">
            <v>IE4</v>
          </cell>
          <cell r="K4010" t="str">
            <v>400/690</v>
          </cell>
          <cell r="L4010">
            <v>50</v>
          </cell>
          <cell r="M4010" t="str">
            <v>27/15,7</v>
          </cell>
          <cell r="N4010">
            <v>65</v>
          </cell>
          <cell r="O4010" t="str">
            <v>155(F)</v>
          </cell>
          <cell r="P4010" t="str">
            <v>270°</v>
          </cell>
          <cell r="Q4010" t="str">
            <v>TF</v>
          </cell>
          <cell r="R4010" t="str">
            <v>V(VE)</v>
          </cell>
          <cell r="S4010" t="str">
            <v>-</v>
          </cell>
          <cell r="T4010" t="str">
            <v>-</v>
          </cell>
          <cell r="U4010" t="str">
            <v>-</v>
          </cell>
          <cell r="V4010" t="str">
            <v>FC</v>
          </cell>
          <cell r="W4010" t="str">
            <v>-</v>
          </cell>
          <cell r="X4010" t="str">
            <v>CLP VG 220 = -15° + 40°</v>
          </cell>
          <cell r="Y4010" t="str">
            <v>KT127DRU180L4/TF/V</v>
          </cell>
          <cell r="Z4010" t="str">
            <v>SEW</v>
          </cell>
          <cell r="AB4010" t="str">
            <v>-</v>
          </cell>
          <cell r="AF4010">
            <v>13</v>
          </cell>
          <cell r="AG4010" t="str">
            <v>DRU180L4</v>
          </cell>
          <cell r="AH4010" t="str">
            <v>KT127-DRU180L4A270-X#</v>
          </cell>
        </row>
        <row r="4011">
          <cell r="A4011" t="str">
            <v>MR004000</v>
          </cell>
          <cell r="B4011" t="str">
            <v>MR</v>
          </cell>
          <cell r="C4011">
            <v>15</v>
          </cell>
          <cell r="D4011">
            <v>13</v>
          </cell>
          <cell r="E4011" t="str">
            <v>KT127</v>
          </cell>
          <cell r="F4011">
            <v>10600</v>
          </cell>
          <cell r="G4011">
            <v>110.18</v>
          </cell>
          <cell r="H4011">
            <v>1.2</v>
          </cell>
          <cell r="I4011" t="str">
            <v>From M1B to M2B - 15°</v>
          </cell>
          <cell r="J4011" t="str">
            <v>IE4</v>
          </cell>
          <cell r="K4011" t="str">
            <v>400/690</v>
          </cell>
          <cell r="L4011">
            <v>50</v>
          </cell>
          <cell r="M4011" t="str">
            <v>27/15,7</v>
          </cell>
          <cell r="N4011">
            <v>65</v>
          </cell>
          <cell r="O4011" t="str">
            <v>155(F)</v>
          </cell>
          <cell r="P4011" t="str">
            <v>270°</v>
          </cell>
          <cell r="Q4011" t="str">
            <v>TF</v>
          </cell>
          <cell r="R4011" t="str">
            <v>V(VE)</v>
          </cell>
          <cell r="S4011" t="str">
            <v>-</v>
          </cell>
          <cell r="T4011" t="str">
            <v>-</v>
          </cell>
          <cell r="U4011" t="str">
            <v>-</v>
          </cell>
          <cell r="V4011" t="str">
            <v>FC</v>
          </cell>
          <cell r="W4011" t="str">
            <v>-</v>
          </cell>
          <cell r="X4011" t="str">
            <v>CLP VG 220 = -15° + 40°</v>
          </cell>
          <cell r="Y4011" t="str">
            <v>KT127DRU180L4/TF/V</v>
          </cell>
          <cell r="Z4011" t="str">
            <v>SEW</v>
          </cell>
          <cell r="AB4011" t="str">
            <v>-</v>
          </cell>
          <cell r="AF4011">
            <v>13</v>
          </cell>
          <cell r="AG4011" t="str">
            <v>DRU180L4</v>
          </cell>
          <cell r="AH4011" t="str">
            <v>KT127-DRU180L4B270-X#</v>
          </cell>
        </row>
        <row r="4012">
          <cell r="A4012" t="str">
            <v>MR004001</v>
          </cell>
          <cell r="AI4012" t="str">
            <v>libero</v>
          </cell>
        </row>
        <row r="4013">
          <cell r="A4013" t="str">
            <v>MR004002</v>
          </cell>
          <cell r="B4013" t="str">
            <v>MR</v>
          </cell>
          <cell r="C4013">
            <v>11</v>
          </cell>
          <cell r="D4013">
            <v>15</v>
          </cell>
          <cell r="E4013" t="str">
            <v>KT107</v>
          </cell>
          <cell r="F4013">
            <v>7160</v>
          </cell>
          <cell r="G4013">
            <v>100.75</v>
          </cell>
          <cell r="H4013">
            <v>1.1000000000000001</v>
          </cell>
          <cell r="I4013" t="str">
            <v>From M1B to M2B - 5°</v>
          </cell>
          <cell r="J4013" t="str">
            <v>IE4</v>
          </cell>
          <cell r="K4013" t="str">
            <v>400/690</v>
          </cell>
          <cell r="L4013">
            <v>50</v>
          </cell>
          <cell r="M4013" t="str">
            <v>21/12,3</v>
          </cell>
          <cell r="N4013">
            <v>65</v>
          </cell>
          <cell r="O4013" t="str">
            <v>155(F)</v>
          </cell>
          <cell r="P4013" t="str">
            <v>270°</v>
          </cell>
          <cell r="Q4013" t="str">
            <v>-</v>
          </cell>
          <cell r="R4013" t="str">
            <v>-</v>
          </cell>
          <cell r="S4013" t="str">
            <v>-</v>
          </cell>
          <cell r="T4013" t="str">
            <v>-</v>
          </cell>
          <cell r="U4013" t="str">
            <v>-</v>
          </cell>
          <cell r="V4013" t="str">
            <v>SS</v>
          </cell>
          <cell r="W4013" t="str">
            <v>-</v>
          </cell>
          <cell r="X4013" t="str">
            <v>CLP VG 220 = -15° + 40°</v>
          </cell>
          <cell r="Y4013" t="str">
            <v>KT107DRU160L4</v>
          </cell>
          <cell r="Z4013" t="str">
            <v>SEW</v>
          </cell>
          <cell r="AB4013" t="str">
            <v>-</v>
          </cell>
          <cell r="AF4013">
            <v>15</v>
          </cell>
          <cell r="AG4013" t="str">
            <v>DRU160L4</v>
          </cell>
          <cell r="AH4013" t="str">
            <v>KT107-DRU160L4B270-X</v>
          </cell>
        </row>
        <row r="4014">
          <cell r="A4014" t="str">
            <v>MR004003</v>
          </cell>
          <cell r="B4014" t="str">
            <v>MR</v>
          </cell>
          <cell r="C4014">
            <v>11</v>
          </cell>
          <cell r="D4014">
            <v>15</v>
          </cell>
          <cell r="E4014" t="str">
            <v>KT107</v>
          </cell>
          <cell r="F4014">
            <v>7160</v>
          </cell>
          <cell r="G4014">
            <v>100.75</v>
          </cell>
          <cell r="H4014">
            <v>1.1000000000000001</v>
          </cell>
          <cell r="I4014" t="str">
            <v>From M1A to M2A - 5°</v>
          </cell>
          <cell r="J4014" t="str">
            <v>IE4</v>
          </cell>
          <cell r="K4014" t="str">
            <v>400/690</v>
          </cell>
          <cell r="L4014">
            <v>50</v>
          </cell>
          <cell r="M4014" t="str">
            <v>21/12,3</v>
          </cell>
          <cell r="N4014">
            <v>65</v>
          </cell>
          <cell r="O4014" t="str">
            <v>155(F)</v>
          </cell>
          <cell r="P4014" t="str">
            <v>270°</v>
          </cell>
          <cell r="Q4014" t="str">
            <v>-</v>
          </cell>
          <cell r="R4014" t="str">
            <v>-</v>
          </cell>
          <cell r="S4014" t="str">
            <v>-</v>
          </cell>
          <cell r="T4014" t="str">
            <v>-</v>
          </cell>
          <cell r="U4014" t="str">
            <v>-</v>
          </cell>
          <cell r="V4014" t="str">
            <v>SS</v>
          </cell>
          <cell r="W4014" t="str">
            <v>-</v>
          </cell>
          <cell r="X4014" t="str">
            <v>CLP VG 220 = -15° + 40°</v>
          </cell>
          <cell r="Y4014" t="str">
            <v>KT107DRU160L4</v>
          </cell>
          <cell r="Z4014" t="str">
            <v>SEW</v>
          </cell>
          <cell r="AB4014" t="str">
            <v>-</v>
          </cell>
          <cell r="AF4014">
            <v>15</v>
          </cell>
          <cell r="AG4014" t="str">
            <v>DRU160L4</v>
          </cell>
          <cell r="AH4014" t="str">
            <v>KT107-DRU160L4A270-X</v>
          </cell>
        </row>
        <row r="4015">
          <cell r="A4015" t="str">
            <v>MR004004</v>
          </cell>
          <cell r="B4015" t="str">
            <v>MR</v>
          </cell>
          <cell r="C4015">
            <v>11</v>
          </cell>
          <cell r="D4015">
            <v>59</v>
          </cell>
          <cell r="E4015" t="str">
            <v>R97</v>
          </cell>
          <cell r="F4015">
            <v>1780</v>
          </cell>
          <cell r="G4015">
            <v>25.03</v>
          </cell>
          <cell r="H4015">
            <v>1.6</v>
          </cell>
          <cell r="I4015" t="str">
            <v>From M1 to M2 - 10°</v>
          </cell>
          <cell r="J4015" t="str">
            <v>IE4</v>
          </cell>
          <cell r="K4015" t="str">
            <v>400/690</v>
          </cell>
          <cell r="L4015">
            <v>50</v>
          </cell>
          <cell r="M4015" t="str">
            <v>21/12,3</v>
          </cell>
          <cell r="N4015">
            <v>65</v>
          </cell>
          <cell r="O4015" t="str">
            <v>155(F)</v>
          </cell>
          <cell r="P4015" t="str">
            <v>270°</v>
          </cell>
          <cell r="Q4015" t="str">
            <v>-</v>
          </cell>
          <cell r="R4015" t="str">
            <v>-</v>
          </cell>
          <cell r="S4015" t="str">
            <v>-</v>
          </cell>
          <cell r="T4015" t="str">
            <v>-</v>
          </cell>
          <cell r="U4015" t="str">
            <v>-</v>
          </cell>
          <cell r="V4015" t="str">
            <v>D</v>
          </cell>
          <cell r="W4015" t="str">
            <v>-</v>
          </cell>
          <cell r="X4015" t="str">
            <v>CLP VG 220 = -15° + 40°</v>
          </cell>
          <cell r="Y4015" t="str">
            <v>R97DRU160L4</v>
          </cell>
          <cell r="Z4015" t="str">
            <v>SEW</v>
          </cell>
          <cell r="AB4015" t="str">
            <v>-</v>
          </cell>
          <cell r="AF4015">
            <v>59</v>
          </cell>
          <cell r="AG4015" t="str">
            <v>DRU160L4</v>
          </cell>
          <cell r="AH4015" t="str">
            <v>R97-DRU160L4270-X</v>
          </cell>
        </row>
        <row r="4016">
          <cell r="A4016" t="str">
            <v>MR004005</v>
          </cell>
          <cell r="B4016" t="str">
            <v>MR</v>
          </cell>
          <cell r="C4016">
            <v>9.1999999999999993</v>
          </cell>
          <cell r="D4016">
            <v>59</v>
          </cell>
          <cell r="E4016" t="str">
            <v>R97</v>
          </cell>
          <cell r="F4016">
            <v>1480</v>
          </cell>
          <cell r="G4016">
            <v>25.03</v>
          </cell>
          <cell r="H4016">
            <v>1.9</v>
          </cell>
          <cell r="I4016" t="str">
            <v>From M1 to M4 - 20°</v>
          </cell>
          <cell r="J4016" t="str">
            <v>IE4</v>
          </cell>
          <cell r="K4016" t="str">
            <v>400/690</v>
          </cell>
          <cell r="L4016">
            <v>50</v>
          </cell>
          <cell r="M4016" t="str">
            <v>17,8/10,3</v>
          </cell>
          <cell r="N4016">
            <v>65</v>
          </cell>
          <cell r="O4016" t="str">
            <v>155(F)</v>
          </cell>
          <cell r="P4016" t="str">
            <v>270°</v>
          </cell>
          <cell r="Q4016" t="str">
            <v>-</v>
          </cell>
          <cell r="R4016" t="str">
            <v>-</v>
          </cell>
          <cell r="S4016" t="str">
            <v>-</v>
          </cell>
          <cell r="T4016" t="str">
            <v>-</v>
          </cell>
          <cell r="U4016" t="str">
            <v>-</v>
          </cell>
          <cell r="V4016" t="str">
            <v>D</v>
          </cell>
          <cell r="W4016" t="str">
            <v>-</v>
          </cell>
          <cell r="X4016" t="str">
            <v>CLP VG 220 = -15° + 40°</v>
          </cell>
          <cell r="Y4016" t="str">
            <v>R97DRU160LR4</v>
          </cell>
          <cell r="Z4016" t="str">
            <v>SEW</v>
          </cell>
          <cell r="AB4016" t="str">
            <v>-</v>
          </cell>
          <cell r="AF4016">
            <v>59</v>
          </cell>
          <cell r="AG4016" t="str">
            <v>DRU160LR4</v>
          </cell>
          <cell r="AH4016" t="str">
            <v>R97-DRU160LR4270-X</v>
          </cell>
        </row>
        <row r="4017">
          <cell r="A4017" t="str">
            <v>MR004006</v>
          </cell>
          <cell r="B4017" t="str">
            <v>MR</v>
          </cell>
          <cell r="C4017">
            <v>11</v>
          </cell>
          <cell r="D4017">
            <v>15</v>
          </cell>
          <cell r="E4017" t="str">
            <v>KT107</v>
          </cell>
          <cell r="F4017">
            <v>7160</v>
          </cell>
          <cell r="G4017">
            <v>100.75</v>
          </cell>
          <cell r="H4017">
            <v>1.1000000000000001</v>
          </cell>
          <cell r="I4017" t="str">
            <v>M1A</v>
          </cell>
          <cell r="J4017" t="str">
            <v>IE4</v>
          </cell>
          <cell r="K4017" t="str">
            <v>400/690</v>
          </cell>
          <cell r="L4017">
            <v>50</v>
          </cell>
          <cell r="M4017" t="str">
            <v>21/12,3</v>
          </cell>
          <cell r="N4017">
            <v>65</v>
          </cell>
          <cell r="O4017" t="str">
            <v>155(F)</v>
          </cell>
          <cell r="P4017" t="str">
            <v>270°</v>
          </cell>
          <cell r="Q4017" t="str">
            <v>-</v>
          </cell>
          <cell r="R4017" t="str">
            <v>-</v>
          </cell>
          <cell r="S4017" t="str">
            <v>-</v>
          </cell>
          <cell r="T4017" t="str">
            <v>-</v>
          </cell>
          <cell r="U4017" t="str">
            <v>-</v>
          </cell>
          <cell r="V4017" t="str">
            <v>SS</v>
          </cell>
          <cell r="W4017" t="str">
            <v>-</v>
          </cell>
          <cell r="X4017" t="str">
            <v>CLP VG 220 = -15° + 40°</v>
          </cell>
          <cell r="Y4017" t="str">
            <v>KT107DRU160L4</v>
          </cell>
          <cell r="Z4017" t="str">
            <v>SEW</v>
          </cell>
          <cell r="AB4017" t="str">
            <v>-</v>
          </cell>
          <cell r="AF4017">
            <v>15</v>
          </cell>
          <cell r="AG4017" t="str">
            <v>DRU160L4</v>
          </cell>
          <cell r="AH4017" t="str">
            <v>KT107-DRU160L4A270-X</v>
          </cell>
        </row>
        <row r="4018">
          <cell r="A4018" t="str">
            <v>MR004007</v>
          </cell>
          <cell r="B4018" t="str">
            <v>MR</v>
          </cell>
          <cell r="C4018">
            <v>45</v>
          </cell>
          <cell r="D4018">
            <v>111</v>
          </cell>
          <cell r="E4018" t="str">
            <v>KT107</v>
          </cell>
          <cell r="F4018">
            <v>3890</v>
          </cell>
          <cell r="G4018">
            <v>13.43</v>
          </cell>
          <cell r="H4018">
            <v>1.1000000000000001</v>
          </cell>
          <cell r="I4018" t="str">
            <v>M4A</v>
          </cell>
          <cell r="J4018" t="str">
            <v>IE4</v>
          </cell>
          <cell r="K4018" t="str">
            <v>400/690</v>
          </cell>
          <cell r="L4018">
            <v>50</v>
          </cell>
          <cell r="M4018" t="str">
            <v>85/49,5</v>
          </cell>
          <cell r="N4018">
            <v>65</v>
          </cell>
          <cell r="O4018" t="str">
            <v>155(F)</v>
          </cell>
          <cell r="P4018" t="str">
            <v>270°</v>
          </cell>
          <cell r="Q4018" t="str">
            <v>TF</v>
          </cell>
          <cell r="R4018" t="str">
            <v>V(VE)</v>
          </cell>
          <cell r="S4018" t="str">
            <v>Free rotation CCW</v>
          </cell>
          <cell r="T4018" t="str">
            <v>-</v>
          </cell>
          <cell r="U4018" t="str">
            <v>T</v>
          </cell>
          <cell r="V4018" t="str">
            <v>FC</v>
          </cell>
          <cell r="W4018" t="str">
            <v>-</v>
          </cell>
          <cell r="X4018" t="str">
            <v>CLP VG 220 = -15° + 40°</v>
          </cell>
          <cell r="Y4018" t="str">
            <v>KT107/T DRU250M4/RS/TF/V</v>
          </cell>
          <cell r="Z4018" t="str">
            <v>SEW</v>
          </cell>
          <cell r="AB4018" t="str">
            <v>-</v>
          </cell>
          <cell r="AF4018">
            <v>111</v>
          </cell>
          <cell r="AG4018" t="str">
            <v>DRU250M4</v>
          </cell>
          <cell r="AH4018" t="str">
            <v>KT107T-DRU250M4A270-X#</v>
          </cell>
        </row>
        <row r="4019">
          <cell r="A4019" t="str">
            <v>MR004008</v>
          </cell>
          <cell r="B4019" t="str">
            <v>MR</v>
          </cell>
          <cell r="C4019">
            <v>45</v>
          </cell>
          <cell r="D4019">
            <v>111</v>
          </cell>
          <cell r="E4019" t="str">
            <v>KT107</v>
          </cell>
          <cell r="F4019">
            <v>3890</v>
          </cell>
          <cell r="G4019">
            <v>13.43</v>
          </cell>
          <cell r="H4019">
            <v>1.1000000000000001</v>
          </cell>
          <cell r="I4019" t="str">
            <v>From M1B to M4B - 85°</v>
          </cell>
          <cell r="J4019" t="str">
            <v>IE4</v>
          </cell>
          <cell r="K4019" t="str">
            <v>400/690</v>
          </cell>
          <cell r="L4019">
            <v>50</v>
          </cell>
          <cell r="M4019" t="str">
            <v>85/49,5</v>
          </cell>
          <cell r="N4019">
            <v>65</v>
          </cell>
          <cell r="O4019" t="str">
            <v>155(F)</v>
          </cell>
          <cell r="P4019" t="str">
            <v>270°</v>
          </cell>
          <cell r="Q4019" t="str">
            <v>TF</v>
          </cell>
          <cell r="R4019" t="str">
            <v>V(VE)</v>
          </cell>
          <cell r="S4019" t="str">
            <v>Free rotation CW</v>
          </cell>
          <cell r="T4019" t="str">
            <v>-</v>
          </cell>
          <cell r="U4019" t="str">
            <v>T</v>
          </cell>
          <cell r="V4019" t="str">
            <v>FC</v>
          </cell>
          <cell r="W4019" t="str">
            <v>-</v>
          </cell>
          <cell r="X4019" t="str">
            <v>CLP VG 220 = -15° + 40°</v>
          </cell>
          <cell r="Y4019" t="str">
            <v>KT107/T DRU250M4/RS/TF/V</v>
          </cell>
          <cell r="Z4019" t="str">
            <v>SEW</v>
          </cell>
          <cell r="AB4019" t="str">
            <v>-</v>
          </cell>
          <cell r="AF4019">
            <v>111</v>
          </cell>
          <cell r="AG4019" t="str">
            <v>DRU250M4</v>
          </cell>
          <cell r="AH4019" t="str">
            <v>KT107T-DRU250M4B270-X#</v>
          </cell>
        </row>
        <row r="4020">
          <cell r="A4020" t="str">
            <v>MR004009</v>
          </cell>
          <cell r="B4020" t="str">
            <v>MR</v>
          </cell>
          <cell r="C4020">
            <v>0.75</v>
          </cell>
          <cell r="D4020">
            <v>165</v>
          </cell>
          <cell r="E4020" t="str">
            <v>KT37</v>
          </cell>
          <cell r="F4020">
            <v>43</v>
          </cell>
          <cell r="G4020">
            <v>8.91</v>
          </cell>
          <cell r="H4020">
            <v>3.7</v>
          </cell>
          <cell r="I4020" t="str">
            <v>M3A</v>
          </cell>
          <cell r="J4020" t="str">
            <v>IE4</v>
          </cell>
          <cell r="K4020" t="str">
            <v>230/400</v>
          </cell>
          <cell r="L4020">
            <v>50</v>
          </cell>
          <cell r="M4020" t="str">
            <v>3,15/1,81</v>
          </cell>
          <cell r="N4020">
            <v>65</v>
          </cell>
          <cell r="O4020" t="str">
            <v>155(F)</v>
          </cell>
          <cell r="P4020" t="str">
            <v>180°</v>
          </cell>
          <cell r="Q4020" t="str">
            <v>-</v>
          </cell>
          <cell r="R4020" t="str">
            <v>-</v>
          </cell>
          <cell r="S4020" t="str">
            <v>-</v>
          </cell>
          <cell r="T4020" t="str">
            <v>-</v>
          </cell>
          <cell r="U4020" t="str">
            <v>T</v>
          </cell>
          <cell r="V4020" t="str">
            <v>D</v>
          </cell>
          <cell r="W4020" t="str">
            <v>-</v>
          </cell>
          <cell r="X4020" t="str">
            <v>CLP VG 220 = -15° + 40°</v>
          </cell>
          <cell r="Y4020" t="str">
            <v>KT37/T DRU90S4</v>
          </cell>
          <cell r="Z4020" t="str">
            <v>SEW</v>
          </cell>
          <cell r="AB4020" t="str">
            <v>-</v>
          </cell>
          <cell r="AF4020">
            <v>165</v>
          </cell>
          <cell r="AG4020" t="str">
            <v>DRU90S4</v>
          </cell>
          <cell r="AH4020" t="str">
            <v>KT37T-DRU90S4A180-X</v>
          </cell>
        </row>
        <row r="4021">
          <cell r="A4021" t="str">
            <v>MR004010</v>
          </cell>
          <cell r="B4021" t="str">
            <v>MR</v>
          </cell>
          <cell r="C4021">
            <v>0.75</v>
          </cell>
          <cell r="D4021">
            <v>165</v>
          </cell>
          <cell r="E4021" t="str">
            <v>KT37</v>
          </cell>
          <cell r="F4021">
            <v>43</v>
          </cell>
          <cell r="G4021">
            <v>8.91</v>
          </cell>
          <cell r="H4021">
            <v>3.7</v>
          </cell>
          <cell r="I4021" t="str">
            <v>From M3B to M4B - 5°</v>
          </cell>
          <cell r="J4021" t="str">
            <v>IE4</v>
          </cell>
          <cell r="K4021" t="str">
            <v>230/400</v>
          </cell>
          <cell r="L4021">
            <v>50</v>
          </cell>
          <cell r="M4021" t="str">
            <v>3,15/1,81</v>
          </cell>
          <cell r="N4021">
            <v>65</v>
          </cell>
          <cell r="O4021" t="str">
            <v>155(F)</v>
          </cell>
          <cell r="P4021" t="str">
            <v>0°</v>
          </cell>
          <cell r="Q4021" t="str">
            <v>-</v>
          </cell>
          <cell r="R4021" t="str">
            <v>-</v>
          </cell>
          <cell r="S4021" t="str">
            <v>-</v>
          </cell>
          <cell r="T4021" t="str">
            <v>-</v>
          </cell>
          <cell r="U4021" t="str">
            <v>T</v>
          </cell>
          <cell r="V4021" t="str">
            <v>D</v>
          </cell>
          <cell r="W4021" t="str">
            <v>-</v>
          </cell>
          <cell r="X4021" t="str">
            <v>CLP VG 220 = -15° + 40°</v>
          </cell>
          <cell r="Y4021" t="str">
            <v>KT37/T DRU90S4</v>
          </cell>
          <cell r="Z4021" t="str">
            <v>SEW</v>
          </cell>
          <cell r="AB4021" t="str">
            <v>-</v>
          </cell>
          <cell r="AF4021">
            <v>165</v>
          </cell>
          <cell r="AG4021" t="str">
            <v>DRU90S4</v>
          </cell>
          <cell r="AH4021" t="str">
            <v>KT37T-DRU90S4B0-X</v>
          </cell>
        </row>
        <row r="4022">
          <cell r="A4022" t="str">
            <v>MR004011</v>
          </cell>
          <cell r="B4022" t="str">
            <v>MR</v>
          </cell>
          <cell r="C4022">
            <v>0.37</v>
          </cell>
          <cell r="D4022">
            <v>6.2</v>
          </cell>
          <cell r="E4022" t="str">
            <v>FT67</v>
          </cell>
          <cell r="F4022">
            <v>570</v>
          </cell>
          <cell r="G4022">
            <v>229</v>
          </cell>
          <cell r="H4022">
            <v>1.45</v>
          </cell>
          <cell r="I4022" t="str">
            <v>M5</v>
          </cell>
          <cell r="J4022" t="str">
            <v>IE3</v>
          </cell>
          <cell r="K4022" t="str">
            <v>230/400</v>
          </cell>
          <cell r="L4022">
            <v>50</v>
          </cell>
          <cell r="M4022" t="str">
            <v>1,78/1,02</v>
          </cell>
          <cell r="N4022">
            <v>65</v>
          </cell>
          <cell r="O4022" t="str">
            <v>155(F)</v>
          </cell>
          <cell r="P4022" t="str">
            <v>270°</v>
          </cell>
          <cell r="Q4022" t="str">
            <v>-</v>
          </cell>
          <cell r="R4022" t="str">
            <v>-</v>
          </cell>
          <cell r="S4022" t="str">
            <v>-</v>
          </cell>
          <cell r="T4022" t="str">
            <v>-</v>
          </cell>
          <cell r="U4022" t="str">
            <v>G</v>
          </cell>
          <cell r="V4022" t="str">
            <v>D</v>
          </cell>
          <cell r="W4022" t="str">
            <v>-</v>
          </cell>
          <cell r="X4022" t="str">
            <v>CLP VG 220 = -15° + 40°</v>
          </cell>
          <cell r="Y4022" t="str">
            <v>FT67/G DRN71M4</v>
          </cell>
          <cell r="Z4022" t="str">
            <v>SEW</v>
          </cell>
          <cell r="AB4022" t="str">
            <v>-</v>
          </cell>
          <cell r="AF4022">
            <v>6.2</v>
          </cell>
          <cell r="AG4022" t="str">
            <v>DRN71M4</v>
          </cell>
          <cell r="AH4022" t="str">
            <v>FT67G-DRN71M4270-X</v>
          </cell>
        </row>
        <row r="4023">
          <cell r="A4023" t="str">
            <v>MR004012</v>
          </cell>
          <cell r="B4023" t="str">
            <v>MR</v>
          </cell>
          <cell r="C4023">
            <v>0.37</v>
          </cell>
          <cell r="D4023">
            <v>6.2</v>
          </cell>
          <cell r="E4023" t="str">
            <v>FT67</v>
          </cell>
          <cell r="F4023">
            <v>570</v>
          </cell>
          <cell r="G4023">
            <v>229</v>
          </cell>
          <cell r="H4023">
            <v>1.45</v>
          </cell>
          <cell r="I4023" t="str">
            <v>From M6 to M3 - 5°</v>
          </cell>
          <cell r="J4023" t="str">
            <v>IE3</v>
          </cell>
          <cell r="K4023" t="str">
            <v>230/400</v>
          </cell>
          <cell r="L4023">
            <v>50</v>
          </cell>
          <cell r="M4023" t="str">
            <v>1,78/1,02</v>
          </cell>
          <cell r="N4023">
            <v>65</v>
          </cell>
          <cell r="O4023" t="str">
            <v>155(F)</v>
          </cell>
          <cell r="P4023" t="str">
            <v>270°</v>
          </cell>
          <cell r="Q4023" t="str">
            <v>-</v>
          </cell>
          <cell r="R4023" t="str">
            <v>-</v>
          </cell>
          <cell r="S4023" t="str">
            <v>-</v>
          </cell>
          <cell r="T4023" t="str">
            <v>-</v>
          </cell>
          <cell r="U4023" t="str">
            <v>G</v>
          </cell>
          <cell r="V4023" t="str">
            <v>D</v>
          </cell>
          <cell r="W4023" t="str">
            <v>-</v>
          </cell>
          <cell r="X4023" t="str">
            <v>CLP VG 220 = -15° + 40°</v>
          </cell>
          <cell r="Y4023" t="str">
            <v>FT67/G DRN71M4</v>
          </cell>
          <cell r="Z4023" t="str">
            <v>SEW</v>
          </cell>
          <cell r="AB4023" t="str">
            <v>-</v>
          </cell>
          <cell r="AF4023">
            <v>6.2</v>
          </cell>
          <cell r="AG4023" t="str">
            <v>DRN71M4</v>
          </cell>
          <cell r="AH4023" t="str">
            <v>FT67G-DRN71M4270-X</v>
          </cell>
        </row>
        <row r="4024">
          <cell r="A4024" t="str">
            <v>MR004013</v>
          </cell>
          <cell r="B4024" t="str">
            <v>MR</v>
          </cell>
          <cell r="C4024">
            <v>9.1999999999999993</v>
          </cell>
          <cell r="D4024">
            <v>59</v>
          </cell>
          <cell r="E4024" t="str">
            <v>R97</v>
          </cell>
          <cell r="F4024">
            <v>1480</v>
          </cell>
          <cell r="G4024">
            <v>25.03</v>
          </cell>
          <cell r="H4024">
            <v>1.9</v>
          </cell>
          <cell r="I4024" t="str">
            <v>From M1 to M2 - 25°</v>
          </cell>
          <cell r="J4024" t="str">
            <v>IE4</v>
          </cell>
          <cell r="K4024" t="str">
            <v>400/690</v>
          </cell>
          <cell r="L4024">
            <v>50</v>
          </cell>
          <cell r="M4024" t="str">
            <v>17,8/10,3</v>
          </cell>
          <cell r="N4024">
            <v>65</v>
          </cell>
          <cell r="O4024" t="str">
            <v>155(F)</v>
          </cell>
          <cell r="P4024" t="str">
            <v>270°</v>
          </cell>
          <cell r="Q4024" t="str">
            <v>-</v>
          </cell>
          <cell r="R4024" t="str">
            <v>-</v>
          </cell>
          <cell r="S4024" t="str">
            <v>-</v>
          </cell>
          <cell r="T4024" t="str">
            <v>-</v>
          </cell>
          <cell r="U4024" t="str">
            <v>-</v>
          </cell>
          <cell r="V4024" t="str">
            <v>D</v>
          </cell>
          <cell r="W4024" t="str">
            <v>-</v>
          </cell>
          <cell r="X4024" t="str">
            <v>CLP VG 220 = -15° + 40°</v>
          </cell>
          <cell r="Y4024" t="str">
            <v>R97DRU160LR4</v>
          </cell>
          <cell r="Z4024" t="str">
            <v>SEW</v>
          </cell>
          <cell r="AB4024" t="str">
            <v>-</v>
          </cell>
          <cell r="AF4024">
            <v>59</v>
          </cell>
          <cell r="AG4024" t="str">
            <v>DRU160LR4</v>
          </cell>
          <cell r="AH4024" t="str">
            <v>R97-DRU160LR4270-X</v>
          </cell>
        </row>
        <row r="4025">
          <cell r="A4025" t="str">
            <v>MR004014</v>
          </cell>
          <cell r="B4025" t="str">
            <v>MR</v>
          </cell>
          <cell r="C4025">
            <v>45</v>
          </cell>
          <cell r="D4025">
            <v>29</v>
          </cell>
          <cell r="E4025" t="str">
            <v>R167</v>
          </cell>
          <cell r="F4025">
            <v>15000</v>
          </cell>
          <cell r="G4025">
            <v>51.76</v>
          </cell>
          <cell r="H4025">
            <v>1.35</v>
          </cell>
          <cell r="I4025" t="str">
            <v>M1</v>
          </cell>
          <cell r="J4025" t="str">
            <v>IE3</v>
          </cell>
          <cell r="K4025" t="str">
            <v>400/690</v>
          </cell>
          <cell r="L4025">
            <v>50</v>
          </cell>
          <cell r="M4025" t="str">
            <v>81/47</v>
          </cell>
          <cell r="N4025">
            <v>55</v>
          </cell>
          <cell r="O4025" t="str">
            <v>155(F)</v>
          </cell>
          <cell r="P4025" t="str">
            <v>270°</v>
          </cell>
          <cell r="Q4025" t="str">
            <v>-</v>
          </cell>
          <cell r="R4025" t="str">
            <v>-</v>
          </cell>
          <cell r="S4025" t="str">
            <v>-</v>
          </cell>
          <cell r="T4025" t="str">
            <v>-</v>
          </cell>
          <cell r="U4025" t="str">
            <v>-</v>
          </cell>
          <cell r="V4025" t="str">
            <v>SS</v>
          </cell>
          <cell r="W4025" t="str">
            <v>-</v>
          </cell>
          <cell r="X4025" t="str">
            <v>CLP VG 220 = -15° + 40°</v>
          </cell>
          <cell r="Y4025" t="str">
            <v>R167DRN225M4</v>
          </cell>
          <cell r="Z4025" t="str">
            <v>SEW</v>
          </cell>
          <cell r="AB4025" t="str">
            <v>-</v>
          </cell>
          <cell r="AF4025">
            <v>29</v>
          </cell>
          <cell r="AG4025" t="str">
            <v>DRN225M4</v>
          </cell>
          <cell r="AH4025" t="str">
            <v>R167-DRN225M4270-X</v>
          </cell>
        </row>
        <row r="4026">
          <cell r="A4026" t="str">
            <v>MR004015</v>
          </cell>
          <cell r="B4026" t="str">
            <v>MR</v>
          </cell>
          <cell r="C4026">
            <v>15</v>
          </cell>
          <cell r="D4026">
            <v>12</v>
          </cell>
          <cell r="E4026" t="str">
            <v>KH127</v>
          </cell>
          <cell r="F4026">
            <v>11900</v>
          </cell>
          <cell r="G4026">
            <v>122.48</v>
          </cell>
          <cell r="H4026">
            <v>1.1000000000000001</v>
          </cell>
          <cell r="I4026" t="str">
            <v>From M1B to M2B - 5°</v>
          </cell>
          <cell r="J4026" t="str">
            <v>IE3</v>
          </cell>
          <cell r="K4026" t="str">
            <v>400/690</v>
          </cell>
          <cell r="L4026">
            <v>50</v>
          </cell>
          <cell r="M4026" t="str">
            <v>29/16,7</v>
          </cell>
          <cell r="N4026">
            <v>55</v>
          </cell>
          <cell r="O4026" t="str">
            <v>155(F)</v>
          </cell>
          <cell r="P4026" t="str">
            <v>270°</v>
          </cell>
          <cell r="Q4026" t="str">
            <v>-</v>
          </cell>
          <cell r="R4026" t="str">
            <v>-</v>
          </cell>
          <cell r="S4026" t="str">
            <v>-</v>
          </cell>
          <cell r="T4026" t="str">
            <v>-</v>
          </cell>
          <cell r="U4026" t="str">
            <v>-</v>
          </cell>
          <cell r="V4026" t="str">
            <v>SS</v>
          </cell>
          <cell r="W4026" t="str">
            <v>-</v>
          </cell>
          <cell r="X4026" t="str">
            <v>CLP 220 (-15/+40°C)</v>
          </cell>
          <cell r="Y4026" t="str">
            <v>KH127DRN160L4</v>
          </cell>
          <cell r="Z4026" t="str">
            <v>SEW</v>
          </cell>
          <cell r="AB4026" t="str">
            <v>-</v>
          </cell>
          <cell r="AF4026">
            <v>12</v>
          </cell>
          <cell r="AG4026" t="str">
            <v>DRN160L4</v>
          </cell>
          <cell r="AH4026" t="str">
            <v>KH127-DRN160L4B270-X</v>
          </cell>
        </row>
        <row r="4027">
          <cell r="A4027" t="str">
            <v>MR004016</v>
          </cell>
          <cell r="B4027" t="str">
            <v>MR</v>
          </cell>
          <cell r="C4027">
            <v>2.2000000000000002</v>
          </cell>
          <cell r="D4027">
            <v>15</v>
          </cell>
          <cell r="E4027" t="str">
            <v>FAF77</v>
          </cell>
          <cell r="F4027">
            <v>1370</v>
          </cell>
          <cell r="G4027">
            <v>94.93</v>
          </cell>
          <cell r="H4027">
            <v>1.1000000000000001</v>
          </cell>
          <cell r="I4027" t="str">
            <v>M1</v>
          </cell>
          <cell r="J4027" t="str">
            <v>IE3</v>
          </cell>
          <cell r="K4027" t="str">
            <v>230/400</v>
          </cell>
          <cell r="L4027">
            <v>50</v>
          </cell>
          <cell r="M4027" t="str">
            <v>8,3/4,75</v>
          </cell>
          <cell r="N4027">
            <v>65</v>
          </cell>
          <cell r="O4027" t="str">
            <v>155(F)</v>
          </cell>
          <cell r="P4027" t="str">
            <v>0°</v>
          </cell>
          <cell r="Q4027" t="str">
            <v>TF</v>
          </cell>
          <cell r="R4027" t="str">
            <v>-</v>
          </cell>
          <cell r="S4027" t="str">
            <v>-</v>
          </cell>
          <cell r="T4027" t="str">
            <v>-</v>
          </cell>
          <cell r="U4027" t="str">
            <v>-</v>
          </cell>
          <cell r="V4027" t="str">
            <v>D</v>
          </cell>
          <cell r="W4027" t="str">
            <v>-</v>
          </cell>
          <cell r="X4027" t="str">
            <v>CLP HC VG 220 = -20° + 60°</v>
          </cell>
          <cell r="Y4027" t="str">
            <v>FAF77DRN100LS4 /TF</v>
          </cell>
          <cell r="Z4027" t="str">
            <v>SEW</v>
          </cell>
          <cell r="AB4027" t="str">
            <v>-</v>
          </cell>
          <cell r="AF4027">
            <v>15</v>
          </cell>
          <cell r="AG4027" t="str">
            <v>DRN100LS4</v>
          </cell>
          <cell r="AH4027" t="str">
            <v>FAF77-DRN100LS40-X</v>
          </cell>
        </row>
        <row r="4028">
          <cell r="A4028" t="str">
            <v>MR004017</v>
          </cell>
          <cell r="B4028" t="str">
            <v>MR</v>
          </cell>
          <cell r="C4028">
            <v>11</v>
          </cell>
          <cell r="D4028">
            <v>42</v>
          </cell>
          <cell r="E4028" t="str">
            <v>FAF87</v>
          </cell>
          <cell r="F4028">
            <v>2500</v>
          </cell>
          <cell r="G4028">
            <v>35.19</v>
          </cell>
          <cell r="H4028">
            <v>1.05</v>
          </cell>
          <cell r="I4028" t="str">
            <v>M4</v>
          </cell>
          <cell r="J4028" t="str">
            <v>IE3</v>
          </cell>
          <cell r="K4028" t="str">
            <v>230/400</v>
          </cell>
          <cell r="L4028">
            <v>50</v>
          </cell>
          <cell r="M4028" t="str">
            <v>36,5/21</v>
          </cell>
          <cell r="N4028">
            <v>65</v>
          </cell>
          <cell r="O4028" t="str">
            <v>155(F)</v>
          </cell>
          <cell r="P4028" t="str">
            <v>0°</v>
          </cell>
          <cell r="Q4028" t="str">
            <v>TF</v>
          </cell>
          <cell r="R4028" t="str">
            <v>-</v>
          </cell>
          <cell r="S4028" t="str">
            <v>-</v>
          </cell>
          <cell r="T4028" t="str">
            <v>-</v>
          </cell>
          <cell r="U4028" t="str">
            <v>-</v>
          </cell>
          <cell r="V4028" t="str">
            <v>D</v>
          </cell>
          <cell r="W4028" t="str">
            <v>-</v>
          </cell>
          <cell r="X4028" t="str">
            <v>CLP HC VG 220 = -20° + 60°</v>
          </cell>
          <cell r="Y4028" t="str">
            <v>FAF87DRN160M4 /TF</v>
          </cell>
          <cell r="Z4028" t="str">
            <v>SEW</v>
          </cell>
          <cell r="AB4028" t="str">
            <v>-</v>
          </cell>
          <cell r="AF4028">
            <v>42</v>
          </cell>
          <cell r="AG4028" t="str">
            <v>DRN160M4</v>
          </cell>
          <cell r="AH4028" t="str">
            <v>FAF87-DRN160M40-X</v>
          </cell>
        </row>
        <row r="4029">
          <cell r="A4029" t="str">
            <v>MR004018</v>
          </cell>
          <cell r="B4029" t="str">
            <v>MR</v>
          </cell>
          <cell r="C4029">
            <v>15</v>
          </cell>
          <cell r="D4029">
            <v>102</v>
          </cell>
          <cell r="E4029" t="str">
            <v>KH87</v>
          </cell>
          <cell r="F4029">
            <v>1400</v>
          </cell>
          <cell r="G4029">
            <v>14.45</v>
          </cell>
          <cell r="H4029">
            <v>1.5</v>
          </cell>
          <cell r="I4029" t="str">
            <v>From M1A to M4A - 85°</v>
          </cell>
          <cell r="J4029" t="str">
            <v>IE3</v>
          </cell>
          <cell r="K4029" t="str">
            <v>400/690</v>
          </cell>
          <cell r="L4029">
            <v>50</v>
          </cell>
          <cell r="M4029" t="str">
            <v>29/16,7</v>
          </cell>
          <cell r="N4029">
            <v>55</v>
          </cell>
          <cell r="O4029" t="str">
            <v>155(F)</v>
          </cell>
          <cell r="P4029" t="str">
            <v>270°</v>
          </cell>
          <cell r="Q4029" t="str">
            <v>TF</v>
          </cell>
          <cell r="R4029" t="str">
            <v>-</v>
          </cell>
          <cell r="S4029" t="str">
            <v>Free rotation CCW</v>
          </cell>
          <cell r="T4029" t="str">
            <v>-</v>
          </cell>
          <cell r="U4029" t="str">
            <v>T</v>
          </cell>
          <cell r="V4029" t="str">
            <v>SS</v>
          </cell>
          <cell r="W4029" t="str">
            <v>-</v>
          </cell>
          <cell r="X4029" t="str">
            <v>CLP VG 220 = -15° + 40°</v>
          </cell>
          <cell r="Y4029" t="str">
            <v>KH87/T DRN160L4 /RS /TF</v>
          </cell>
          <cell r="Z4029" t="str">
            <v>SEW</v>
          </cell>
          <cell r="AB4029" t="str">
            <v>-</v>
          </cell>
          <cell r="AF4029">
            <v>102</v>
          </cell>
          <cell r="AG4029" t="str">
            <v>DRN160L4</v>
          </cell>
          <cell r="AH4029" t="str">
            <v>KH87T-DRN160L4A270-X</v>
          </cell>
        </row>
        <row r="4030">
          <cell r="A4030" t="str">
            <v>MR004019</v>
          </cell>
          <cell r="B4030" t="str">
            <v>MR</v>
          </cell>
          <cell r="C4030">
            <v>0.75</v>
          </cell>
          <cell r="D4030">
            <v>162</v>
          </cell>
          <cell r="E4030" t="str">
            <v>KA37</v>
          </cell>
          <cell r="F4030">
            <v>44</v>
          </cell>
          <cell r="G4030">
            <v>8.91</v>
          </cell>
          <cell r="H4030">
            <v>3.6</v>
          </cell>
          <cell r="I4030" t="str">
            <v>From M3A to M4A - 5°</v>
          </cell>
          <cell r="J4030" t="str">
            <v>IE3</v>
          </cell>
          <cell r="K4030" t="str">
            <v>230/400</v>
          </cell>
          <cell r="L4030">
            <v>50</v>
          </cell>
          <cell r="M4030" t="str">
            <v>3,05/1,75</v>
          </cell>
          <cell r="N4030">
            <v>55</v>
          </cell>
          <cell r="O4030" t="str">
            <v>155(F)</v>
          </cell>
          <cell r="P4030" t="str">
            <v>270°</v>
          </cell>
          <cell r="Q4030" t="str">
            <v>-</v>
          </cell>
          <cell r="R4030" t="str">
            <v>-</v>
          </cell>
          <cell r="S4030" t="str">
            <v>-</v>
          </cell>
          <cell r="T4030" t="str">
            <v>-</v>
          </cell>
          <cell r="U4030" t="str">
            <v>T</v>
          </cell>
          <cell r="V4030" t="str">
            <v>D</v>
          </cell>
          <cell r="W4030" t="str">
            <v>-</v>
          </cell>
          <cell r="X4030" t="str">
            <v>CLP VG 220 = -15° + 40°</v>
          </cell>
          <cell r="Y4030" t="str">
            <v>KA37/T DRN80M4</v>
          </cell>
          <cell r="Z4030" t="str">
            <v>SEW</v>
          </cell>
          <cell r="AB4030" t="str">
            <v>-</v>
          </cell>
          <cell r="AF4030">
            <v>162</v>
          </cell>
          <cell r="AG4030" t="str">
            <v>DRN80M4</v>
          </cell>
          <cell r="AH4030" t="str">
            <v>KA37T-DRN80M4A270-X</v>
          </cell>
        </row>
        <row r="4031">
          <cell r="A4031" t="str">
            <v>MR004020</v>
          </cell>
          <cell r="B4031" t="str">
            <v>MR</v>
          </cell>
          <cell r="C4031">
            <v>1.1000000000000001</v>
          </cell>
          <cell r="D4031">
            <v>4.2</v>
          </cell>
          <cell r="E4031" t="str">
            <v>FA87R57</v>
          </cell>
          <cell r="F4031">
            <v>2270</v>
          </cell>
          <cell r="G4031">
            <v>345</v>
          </cell>
          <cell r="H4031">
            <v>1.3</v>
          </cell>
          <cell r="I4031" t="str">
            <v>From M6 to M3 - 10°</v>
          </cell>
          <cell r="J4031" t="str">
            <v>IE3</v>
          </cell>
          <cell r="K4031" t="str">
            <v>230/400</v>
          </cell>
          <cell r="L4031">
            <v>50</v>
          </cell>
          <cell r="M4031" t="str">
            <v>4,6/2,65</v>
          </cell>
          <cell r="N4031">
            <v>55</v>
          </cell>
          <cell r="O4031" t="str">
            <v>155(F)</v>
          </cell>
          <cell r="P4031" t="str">
            <v>270°</v>
          </cell>
          <cell r="Q4031" t="str">
            <v>-</v>
          </cell>
          <cell r="R4031" t="str">
            <v>-</v>
          </cell>
          <cell r="S4031" t="str">
            <v>-</v>
          </cell>
          <cell r="T4031" t="str">
            <v>-</v>
          </cell>
          <cell r="U4031" t="str">
            <v>G</v>
          </cell>
          <cell r="V4031" t="str">
            <v>D</v>
          </cell>
          <cell r="W4031" t="str">
            <v>-</v>
          </cell>
          <cell r="X4031" t="str">
            <v>CLP HC VG 220 = -20° + 60°</v>
          </cell>
          <cell r="Y4031" t="str">
            <v>FA87R57/G EDRN90S4</v>
          </cell>
          <cell r="Z4031" t="str">
            <v>SEW</v>
          </cell>
          <cell r="AA4031">
            <v>7035</v>
          </cell>
          <cell r="AB4031" t="str">
            <v>ATEX22</v>
          </cell>
          <cell r="AF4031">
            <v>4.2</v>
          </cell>
          <cell r="AG4031" t="str">
            <v>EDRN90S4</v>
          </cell>
          <cell r="AH4031" t="str">
            <v>FA87R57G-EDRN90S4270-X</v>
          </cell>
        </row>
        <row r="4032">
          <cell r="A4032" t="str">
            <v>MR004021</v>
          </cell>
          <cell r="B4032" t="str">
            <v>MR</v>
          </cell>
          <cell r="C4032">
            <v>18.5</v>
          </cell>
          <cell r="D4032">
            <v>20</v>
          </cell>
          <cell r="E4032" t="str">
            <v>FH127</v>
          </cell>
          <cell r="F4032">
            <v>9010</v>
          </cell>
          <cell r="G4032">
            <v>75.41</v>
          </cell>
          <cell r="H4032">
            <v>1.35</v>
          </cell>
          <cell r="I4032" t="str">
            <v>M1</v>
          </cell>
          <cell r="J4032" t="str">
            <v>IE3</v>
          </cell>
          <cell r="K4032" t="str">
            <v>400/690</v>
          </cell>
          <cell r="L4032">
            <v>50</v>
          </cell>
          <cell r="M4032" t="str">
            <v>33,5/19,3</v>
          </cell>
          <cell r="N4032">
            <v>55</v>
          </cell>
          <cell r="O4032" t="str">
            <v>155(F)</v>
          </cell>
          <cell r="P4032" t="str">
            <v>270°</v>
          </cell>
          <cell r="Q4032" t="str">
            <v>TF</v>
          </cell>
          <cell r="R4032" t="str">
            <v>V(VE)</v>
          </cell>
          <cell r="S4032" t="str">
            <v>-</v>
          </cell>
          <cell r="T4032" t="str">
            <v>-</v>
          </cell>
          <cell r="U4032" t="str">
            <v>G</v>
          </cell>
          <cell r="V4032" t="str">
            <v>FC</v>
          </cell>
          <cell r="W4032" t="str">
            <v>-</v>
          </cell>
          <cell r="X4032" t="str">
            <v>CLP 220 (-15/+40°C)</v>
          </cell>
          <cell r="Y4032" t="str">
            <v>FH127/G DRN180M4 /TF/V</v>
          </cell>
          <cell r="Z4032" t="str">
            <v>SEW</v>
          </cell>
          <cell r="AB4032" t="str">
            <v>-</v>
          </cell>
          <cell r="AC4032" t="str">
            <v>-</v>
          </cell>
          <cell r="AF4032">
            <v>20</v>
          </cell>
          <cell r="AG4032" t="str">
            <v>DRN180M4</v>
          </cell>
          <cell r="AH4032" t="str">
            <v>FH127G-DRN180M4270-X#</v>
          </cell>
        </row>
        <row r="4033">
          <cell r="A4033" t="str">
            <v>MR004022</v>
          </cell>
          <cell r="B4033" t="str">
            <v>MR</v>
          </cell>
          <cell r="C4033">
            <v>5.5</v>
          </cell>
          <cell r="D4033">
            <v>14</v>
          </cell>
          <cell r="E4033" t="str">
            <v>KA107</v>
          </cell>
          <cell r="F4033">
            <v>3770</v>
          </cell>
          <cell r="G4033">
            <v>105.13</v>
          </cell>
          <cell r="H4033">
            <v>1.1499999999999999</v>
          </cell>
          <cell r="I4033" t="str">
            <v>From M1A to M2A - 35°</v>
          </cell>
          <cell r="J4033" t="str">
            <v>IE3</v>
          </cell>
          <cell r="K4033" t="str">
            <v>230/400</v>
          </cell>
          <cell r="L4033">
            <v>50</v>
          </cell>
          <cell r="M4033" t="str">
            <v>18,2/10,5</v>
          </cell>
          <cell r="N4033">
            <v>65</v>
          </cell>
          <cell r="O4033" t="str">
            <v>155(F)</v>
          </cell>
          <cell r="P4033" t="str">
            <v>270°</v>
          </cell>
          <cell r="Q4033" t="str">
            <v>-</v>
          </cell>
          <cell r="R4033" t="str">
            <v>-</v>
          </cell>
          <cell r="S4033" t="str">
            <v>-</v>
          </cell>
          <cell r="T4033" t="str">
            <v>-</v>
          </cell>
          <cell r="U4033" t="str">
            <v>-</v>
          </cell>
          <cell r="V4033" t="str">
            <v>SS</v>
          </cell>
          <cell r="W4033" t="str">
            <v>-</v>
          </cell>
          <cell r="X4033" t="str">
            <v>CLP VG 220 = -15° + 40°</v>
          </cell>
          <cell r="Y4033" t="str">
            <v>KA107DRN132S4</v>
          </cell>
          <cell r="Z4033" t="str">
            <v>SEW</v>
          </cell>
          <cell r="AB4033" t="str">
            <v>-</v>
          </cell>
          <cell r="AF4033">
            <v>14</v>
          </cell>
          <cell r="AG4033" t="str">
            <v>DRN132S4</v>
          </cell>
          <cell r="AH4033" t="str">
            <v>KA107-DRN132S4A270-X</v>
          </cell>
        </row>
        <row r="4034">
          <cell r="A4034" t="str">
            <v>MR004023</v>
          </cell>
          <cell r="B4034" t="str">
            <v>MR</v>
          </cell>
          <cell r="C4034">
            <v>5.5</v>
          </cell>
          <cell r="D4034">
            <v>14</v>
          </cell>
          <cell r="E4034" t="str">
            <v>KA107</v>
          </cell>
          <cell r="F4034">
            <v>3770</v>
          </cell>
          <cell r="G4034">
            <v>105.13</v>
          </cell>
          <cell r="H4034">
            <v>1.1499999999999999</v>
          </cell>
          <cell r="I4034" t="str">
            <v>From M1B to M2B - 35°</v>
          </cell>
          <cell r="J4034" t="str">
            <v>IE3</v>
          </cell>
          <cell r="K4034" t="str">
            <v>230/400</v>
          </cell>
          <cell r="L4034">
            <v>50</v>
          </cell>
          <cell r="M4034" t="str">
            <v>18,2/10,5</v>
          </cell>
          <cell r="N4034">
            <v>65</v>
          </cell>
          <cell r="O4034" t="str">
            <v>155(F)</v>
          </cell>
          <cell r="P4034" t="str">
            <v>270°</v>
          </cell>
          <cell r="Q4034" t="str">
            <v>-</v>
          </cell>
          <cell r="R4034" t="str">
            <v>-</v>
          </cell>
          <cell r="S4034" t="str">
            <v>-</v>
          </cell>
          <cell r="T4034" t="str">
            <v>-</v>
          </cell>
          <cell r="U4034" t="str">
            <v>-</v>
          </cell>
          <cell r="V4034" t="str">
            <v>SS</v>
          </cell>
          <cell r="W4034" t="str">
            <v>-</v>
          </cell>
          <cell r="X4034" t="str">
            <v>CLP VG 220 = -15° + 40°</v>
          </cell>
          <cell r="Y4034" t="str">
            <v>KA107DRN132S4</v>
          </cell>
          <cell r="Z4034" t="str">
            <v>SEW</v>
          </cell>
          <cell r="AB4034" t="str">
            <v>-</v>
          </cell>
          <cell r="AF4034">
            <v>14</v>
          </cell>
          <cell r="AG4034" t="str">
            <v>DRN132S4</v>
          </cell>
          <cell r="AH4034" t="str">
            <v>KA107-DRN132S4B270-X</v>
          </cell>
        </row>
        <row r="4035">
          <cell r="A4035" t="str">
            <v>MR004024</v>
          </cell>
          <cell r="B4035" t="str">
            <v>MR</v>
          </cell>
          <cell r="C4035">
            <v>11</v>
          </cell>
          <cell r="D4035">
            <v>15</v>
          </cell>
          <cell r="E4035" t="str">
            <v>KH107</v>
          </cell>
          <cell r="F4035">
            <v>7180</v>
          </cell>
          <cell r="G4035">
            <v>100.75</v>
          </cell>
          <cell r="H4035">
            <v>1.05</v>
          </cell>
          <cell r="I4035" t="str">
            <v>From M1A to M2A - 25°</v>
          </cell>
          <cell r="J4035" t="str">
            <v>IE3</v>
          </cell>
          <cell r="K4035" t="str">
            <v>219-241/380-420</v>
          </cell>
          <cell r="L4035">
            <v>50</v>
          </cell>
          <cell r="M4035" t="str">
            <v>37/21,5</v>
          </cell>
          <cell r="N4035">
            <v>55</v>
          </cell>
          <cell r="O4035" t="str">
            <v>180(H)</v>
          </cell>
          <cell r="P4035" t="str">
            <v>270°</v>
          </cell>
          <cell r="Q4035" t="str">
            <v>-</v>
          </cell>
          <cell r="R4035" t="str">
            <v>-</v>
          </cell>
          <cell r="S4035" t="str">
            <v>-</v>
          </cell>
          <cell r="T4035" t="str">
            <v>-</v>
          </cell>
          <cell r="U4035" t="str">
            <v>-</v>
          </cell>
          <cell r="V4035" t="str">
            <v>SS</v>
          </cell>
          <cell r="W4035" t="str">
            <v>-</v>
          </cell>
          <cell r="X4035" t="str">
            <v>CLP VG 220 = -15° + 40°</v>
          </cell>
          <cell r="Y4035" t="str">
            <v>KH107EDRN160M4</v>
          </cell>
          <cell r="Z4035" t="str">
            <v>SEW</v>
          </cell>
          <cell r="AB4035" t="str">
            <v>ATEX22</v>
          </cell>
          <cell r="AF4035">
            <v>15</v>
          </cell>
          <cell r="AG4035" t="str">
            <v>EDRN160M4</v>
          </cell>
          <cell r="AH4035" t="str">
            <v>KH107-EDRN160M4A270-X</v>
          </cell>
        </row>
        <row r="4036">
          <cell r="A4036" t="str">
            <v>MR004025</v>
          </cell>
          <cell r="B4036" t="str">
            <v>MR</v>
          </cell>
          <cell r="C4036">
            <v>1.1000000000000001</v>
          </cell>
          <cell r="D4036">
            <v>7.3</v>
          </cell>
          <cell r="E4036" t="str">
            <v>FV77</v>
          </cell>
          <cell r="F4036">
            <v>1430</v>
          </cell>
          <cell r="G4036">
            <v>198.31</v>
          </cell>
          <cell r="H4036">
            <v>1.05</v>
          </cell>
          <cell r="I4036" t="str">
            <v>M5</v>
          </cell>
          <cell r="J4036" t="str">
            <v>IE3</v>
          </cell>
          <cell r="K4036" t="str">
            <v>219-241/380-420</v>
          </cell>
          <cell r="L4036">
            <v>50</v>
          </cell>
          <cell r="M4036" t="str">
            <v>4,6/2,65</v>
          </cell>
          <cell r="N4036">
            <v>55</v>
          </cell>
          <cell r="O4036" t="str">
            <v>155(F)</v>
          </cell>
          <cell r="P4036" t="str">
            <v>180°</v>
          </cell>
          <cell r="Q4036" t="str">
            <v>TF</v>
          </cell>
          <cell r="R4036" t="str">
            <v>-</v>
          </cell>
          <cell r="S4036" t="str">
            <v>-</v>
          </cell>
          <cell r="T4036" t="str">
            <v>BEHF</v>
          </cell>
          <cell r="U4036" t="str">
            <v>G</v>
          </cell>
          <cell r="V4036" t="str">
            <v>FC+R</v>
          </cell>
          <cell r="W4036" t="str">
            <v>-</v>
          </cell>
          <cell r="X4036" t="str">
            <v>CLP VG 220 = -15° + 40°</v>
          </cell>
          <cell r="Y4036" t="str">
            <v>FV77/G EDRN90S4 /BEHF /TF</v>
          </cell>
          <cell r="Z4036" t="str">
            <v>SEW</v>
          </cell>
          <cell r="AB4036" t="str">
            <v>ATEX22</v>
          </cell>
          <cell r="AE4036" t="str">
            <v xml:space="preserve"> BROCCIATURA PER FV67-DIN 5480N45x2x30x21xH9 Provide rectifier module in the electrical cabinet</v>
          </cell>
          <cell r="AF4036">
            <v>7.3</v>
          </cell>
          <cell r="AG4036" t="str">
            <v>EDRN90S4</v>
          </cell>
          <cell r="AH4036" t="str">
            <v>FV77G-EDRN90S4180-X</v>
          </cell>
        </row>
        <row r="4037">
          <cell r="A4037" t="str">
            <v>MR004026</v>
          </cell>
          <cell r="B4037" t="str">
            <v>MR</v>
          </cell>
          <cell r="C4037">
            <v>1.1000000000000001</v>
          </cell>
          <cell r="D4037">
            <v>7.3</v>
          </cell>
          <cell r="E4037" t="str">
            <v>FV77</v>
          </cell>
          <cell r="F4037">
            <v>1430</v>
          </cell>
          <cell r="G4037">
            <v>198.31</v>
          </cell>
          <cell r="H4037">
            <v>1.05</v>
          </cell>
          <cell r="I4037" t="str">
            <v>M6</v>
          </cell>
          <cell r="J4037" t="str">
            <v>IE3</v>
          </cell>
          <cell r="K4037" t="str">
            <v>219-241/380-420</v>
          </cell>
          <cell r="L4037">
            <v>50</v>
          </cell>
          <cell r="M4037" t="str">
            <v>4,6/2,65</v>
          </cell>
          <cell r="N4037">
            <v>55</v>
          </cell>
          <cell r="O4037" t="str">
            <v>155(F)</v>
          </cell>
          <cell r="P4037" t="str">
            <v>0°</v>
          </cell>
          <cell r="Q4037" t="str">
            <v>TF</v>
          </cell>
          <cell r="R4037" t="str">
            <v>-</v>
          </cell>
          <cell r="S4037" t="str">
            <v>-</v>
          </cell>
          <cell r="T4037" t="str">
            <v>BEHF</v>
          </cell>
          <cell r="U4037" t="str">
            <v>G</v>
          </cell>
          <cell r="V4037" t="str">
            <v>FC+R</v>
          </cell>
          <cell r="W4037" t="str">
            <v>-</v>
          </cell>
          <cell r="X4037" t="str">
            <v>CLP VG 220 = -15° + 40°</v>
          </cell>
          <cell r="Y4037" t="str">
            <v>FV77/G EDRN90S4 /BEHF /TF</v>
          </cell>
          <cell r="Z4037" t="str">
            <v>SEW</v>
          </cell>
          <cell r="AB4037" t="str">
            <v>ATEX22</v>
          </cell>
          <cell r="AE4037" t="str">
            <v xml:space="preserve"> BROCCIATURA PER FV67-DIN 5480N45x2x30x21xH9 Provide rectifier module in the electrical cabinet</v>
          </cell>
          <cell r="AF4037">
            <v>7.3</v>
          </cell>
          <cell r="AG4037" t="str">
            <v>EDRN90S4</v>
          </cell>
          <cell r="AH4037" t="str">
            <v>FV77G-EDRN90S40-X</v>
          </cell>
        </row>
        <row r="4038">
          <cell r="A4038" t="str">
            <v>MR004027</v>
          </cell>
          <cell r="B4038" t="str">
            <v>MR</v>
          </cell>
          <cell r="C4038">
            <v>11</v>
          </cell>
          <cell r="D4038">
            <v>59</v>
          </cell>
          <cell r="E4038" t="str">
            <v>KH87</v>
          </cell>
          <cell r="F4038">
            <v>1780</v>
          </cell>
          <cell r="G4038">
            <v>24.92</v>
          </cell>
          <cell r="H4038">
            <v>1.35</v>
          </cell>
          <cell r="I4038" t="str">
            <v>M4B</v>
          </cell>
          <cell r="J4038" t="str">
            <v>IE3</v>
          </cell>
          <cell r="K4038" t="str">
            <v>219-241/380-420</v>
          </cell>
          <cell r="L4038">
            <v>50</v>
          </cell>
          <cell r="M4038" t="str">
            <v>37/21,5</v>
          </cell>
          <cell r="N4038">
            <v>55</v>
          </cell>
          <cell r="O4038" t="str">
            <v>155(F)</v>
          </cell>
          <cell r="P4038" t="str">
            <v>270°</v>
          </cell>
          <cell r="Q4038" t="str">
            <v>-</v>
          </cell>
          <cell r="R4038" t="str">
            <v>-</v>
          </cell>
          <cell r="S4038" t="str">
            <v>-</v>
          </cell>
          <cell r="T4038" t="str">
            <v>-</v>
          </cell>
          <cell r="U4038" t="str">
            <v>T</v>
          </cell>
          <cell r="V4038" t="str">
            <v>SS</v>
          </cell>
          <cell r="W4038" t="str">
            <v>-</v>
          </cell>
          <cell r="X4038" t="str">
            <v>CLP VG 220 = -15° + 40°</v>
          </cell>
          <cell r="Y4038" t="str">
            <v>KH87/T EDRN160M4</v>
          </cell>
          <cell r="Z4038" t="str">
            <v>SEW</v>
          </cell>
          <cell r="AB4038" t="str">
            <v>ATEX22</v>
          </cell>
          <cell r="AF4038">
            <v>59</v>
          </cell>
          <cell r="AG4038" t="str">
            <v>EDRN160M4</v>
          </cell>
          <cell r="AH4038" t="str">
            <v>KH87T-EDRN160M4B270-X</v>
          </cell>
        </row>
        <row r="4039">
          <cell r="A4039" t="str">
            <v>MR004028</v>
          </cell>
          <cell r="B4039" t="str">
            <v>MR</v>
          </cell>
          <cell r="C4039">
            <v>0.75</v>
          </cell>
          <cell r="D4039">
            <v>162</v>
          </cell>
          <cell r="E4039" t="str">
            <v>KA37</v>
          </cell>
          <cell r="F4039">
            <v>44</v>
          </cell>
          <cell r="G4039">
            <v>8.91</v>
          </cell>
          <cell r="H4039">
            <v>3.1</v>
          </cell>
          <cell r="I4039" t="str">
            <v>M1A</v>
          </cell>
          <cell r="J4039" t="str">
            <v>IE3</v>
          </cell>
          <cell r="K4039" t="str">
            <v>219-241/380-420</v>
          </cell>
          <cell r="L4039">
            <v>50</v>
          </cell>
          <cell r="M4039" t="str">
            <v>3,1/1,79</v>
          </cell>
          <cell r="N4039">
            <v>55</v>
          </cell>
          <cell r="O4039" t="str">
            <v>155(F)</v>
          </cell>
          <cell r="P4039" t="str">
            <v>270°</v>
          </cell>
          <cell r="Q4039" t="str">
            <v>-</v>
          </cell>
          <cell r="R4039" t="str">
            <v>-</v>
          </cell>
          <cell r="S4039" t="str">
            <v>-</v>
          </cell>
          <cell r="T4039" t="str">
            <v>-</v>
          </cell>
          <cell r="U4039" t="str">
            <v>T</v>
          </cell>
          <cell r="V4039" t="str">
            <v>D</v>
          </cell>
          <cell r="W4039" t="str">
            <v>-</v>
          </cell>
          <cell r="X4039" t="str">
            <v>CLP VG 220 = -15° + 40°</v>
          </cell>
          <cell r="Y4039" t="str">
            <v>KA37/T EDRN80M4</v>
          </cell>
          <cell r="Z4039" t="str">
            <v>SEW</v>
          </cell>
          <cell r="AB4039" t="str">
            <v>ATEX22</v>
          </cell>
          <cell r="AF4039">
            <v>162</v>
          </cell>
          <cell r="AG4039" t="str">
            <v>EDRN80M4</v>
          </cell>
          <cell r="AH4039" t="str">
            <v>KA37T-EDRN80M4A270-X</v>
          </cell>
        </row>
        <row r="4040">
          <cell r="A4040" t="str">
            <v>MR004029</v>
          </cell>
          <cell r="B4040" t="str">
            <v>MR</v>
          </cell>
          <cell r="C4040">
            <v>4</v>
          </cell>
          <cell r="D4040">
            <v>138</v>
          </cell>
          <cell r="E4040" t="str">
            <v>KH67</v>
          </cell>
          <cell r="F4040">
            <v>275</v>
          </cell>
          <cell r="G4040">
            <v>10.63</v>
          </cell>
          <cell r="H4040">
            <v>1.25</v>
          </cell>
          <cell r="I4040" t="str">
            <v>M4B</v>
          </cell>
          <cell r="J4040" t="str">
            <v>IE3</v>
          </cell>
          <cell r="K4040" t="str">
            <v>219-241/380-420</v>
          </cell>
          <cell r="L4040">
            <v>50</v>
          </cell>
          <cell r="M4040" t="str">
            <v>14,2/8,2</v>
          </cell>
          <cell r="N4040">
            <v>55</v>
          </cell>
          <cell r="O4040" t="str">
            <v>155(F)</v>
          </cell>
          <cell r="P4040" t="str">
            <v>270°</v>
          </cell>
          <cell r="Q4040" t="str">
            <v>TF</v>
          </cell>
          <cell r="R4040" t="str">
            <v>V(VE)</v>
          </cell>
          <cell r="S4040" t="str">
            <v>-</v>
          </cell>
          <cell r="T4040" t="str">
            <v>-</v>
          </cell>
          <cell r="U4040" t="str">
            <v>T</v>
          </cell>
          <cell r="V4040" t="str">
            <v>FC+R</v>
          </cell>
          <cell r="W4040" t="str">
            <v>-</v>
          </cell>
          <cell r="X4040" t="str">
            <v>CLP VG 220 = -15° + 40°</v>
          </cell>
          <cell r="Y4040" t="str">
            <v>KH67/T EDRN112M4 /TF/VE</v>
          </cell>
          <cell r="Z4040" t="str">
            <v>SEW</v>
          </cell>
          <cell r="AB4040" t="str">
            <v>ATEX22</v>
          </cell>
          <cell r="AF4040">
            <v>138</v>
          </cell>
          <cell r="AG4040" t="str">
            <v>EDRN112M4</v>
          </cell>
          <cell r="AH4040" t="str">
            <v>KH67T-EDRN112M4B270-X#</v>
          </cell>
        </row>
        <row r="4041">
          <cell r="A4041" t="str">
            <v>MR004030</v>
          </cell>
          <cell r="B4041" t="str">
            <v>MR</v>
          </cell>
          <cell r="C4041">
            <v>1.5</v>
          </cell>
          <cell r="D4041">
            <v>105</v>
          </cell>
          <cell r="E4041" t="str">
            <v>FA47</v>
          </cell>
          <cell r="F4041">
            <v>137</v>
          </cell>
          <cell r="G4041">
            <v>13.93</v>
          </cell>
          <cell r="H4041">
            <v>2.9</v>
          </cell>
          <cell r="I4041" t="str">
            <v>M6</v>
          </cell>
          <cell r="J4041" t="str">
            <v>IE3</v>
          </cell>
          <cell r="K4041" t="str">
            <v>230/400</v>
          </cell>
          <cell r="L4041">
            <v>50</v>
          </cell>
          <cell r="M4041" t="str">
            <v>5,9/3,4</v>
          </cell>
          <cell r="N4041">
            <v>65</v>
          </cell>
          <cell r="O4041" t="str">
            <v>155(F)</v>
          </cell>
          <cell r="P4041" t="str">
            <v>0°</v>
          </cell>
          <cell r="Q4041" t="str">
            <v>TF</v>
          </cell>
          <cell r="R4041" t="str">
            <v>-</v>
          </cell>
          <cell r="S4041" t="str">
            <v>-</v>
          </cell>
          <cell r="T4041" t="str">
            <v>-</v>
          </cell>
          <cell r="U4041" t="str">
            <v>G</v>
          </cell>
          <cell r="V4041" t="str">
            <v>FC</v>
          </cell>
          <cell r="W4041" t="str">
            <v>-</v>
          </cell>
          <cell r="X4041" t="str">
            <v>CLP HC VG 220 = -20° + 60°</v>
          </cell>
          <cell r="Y4041" t="str">
            <v>FA47/G EDRN90L4 /TF</v>
          </cell>
          <cell r="Z4041" t="str">
            <v>SEW</v>
          </cell>
          <cell r="AB4041" t="str">
            <v>ATEX22</v>
          </cell>
          <cell r="AF4041">
            <v>105</v>
          </cell>
          <cell r="AG4041" t="str">
            <v>EDRN90L4</v>
          </cell>
          <cell r="AH4041" t="str">
            <v>FA47G-EDRN90L40-X</v>
          </cell>
        </row>
        <row r="4042">
          <cell r="A4042" t="str">
            <v>MR004031</v>
          </cell>
          <cell r="B4042" t="str">
            <v>MR</v>
          </cell>
          <cell r="C4042">
            <v>11</v>
          </cell>
          <cell r="D4042">
            <v>15</v>
          </cell>
          <cell r="E4042" t="str">
            <v>KA107</v>
          </cell>
          <cell r="F4042">
            <v>7190</v>
          </cell>
          <cell r="G4042">
            <v>100.75</v>
          </cell>
          <cell r="H4042">
            <v>1</v>
          </cell>
          <cell r="I4042" t="str">
            <v>From M1A to M2A - 30°</v>
          </cell>
          <cell r="J4042" t="str">
            <v>IE3</v>
          </cell>
          <cell r="K4042" t="str">
            <v>400/690</v>
          </cell>
          <cell r="L4042">
            <v>50</v>
          </cell>
          <cell r="M4042" t="str">
            <v>21,0/12,2</v>
          </cell>
          <cell r="N4042">
            <v>65</v>
          </cell>
          <cell r="O4042" t="str">
            <v>155(F)</v>
          </cell>
          <cell r="P4042" t="str">
            <v>270°</v>
          </cell>
          <cell r="Q4042" t="str">
            <v>TF</v>
          </cell>
          <cell r="R4042" t="str">
            <v>V(VE)</v>
          </cell>
          <cell r="S4042" t="str">
            <v>-</v>
          </cell>
          <cell r="T4042" t="str">
            <v>-</v>
          </cell>
          <cell r="U4042" t="str">
            <v>-</v>
          </cell>
          <cell r="V4042" t="str">
            <v>FC</v>
          </cell>
          <cell r="W4042" t="str">
            <v>-</v>
          </cell>
          <cell r="X4042" t="str">
            <v>CLP HC VG 220 = -20° + 60°</v>
          </cell>
          <cell r="Y4042" t="str">
            <v>KA107EDRN160M4 /TF/VE</v>
          </cell>
          <cell r="Z4042" t="str">
            <v>SEW</v>
          </cell>
          <cell r="AB4042" t="str">
            <v>ATEX22</v>
          </cell>
          <cell r="AF4042">
            <v>15</v>
          </cell>
          <cell r="AG4042" t="str">
            <v>EDRN160M4</v>
          </cell>
          <cell r="AH4042" t="str">
            <v>KA107-EDRN160M4A270-X#</v>
          </cell>
        </row>
        <row r="4043">
          <cell r="A4043" t="str">
            <v>MR004032</v>
          </cell>
          <cell r="B4043" t="str">
            <v>MR</v>
          </cell>
          <cell r="C4043">
            <v>0.75</v>
          </cell>
          <cell r="D4043">
            <v>18</v>
          </cell>
          <cell r="E4043" t="str">
            <v>FA67</v>
          </cell>
          <cell r="F4043">
            <v>395</v>
          </cell>
          <cell r="G4043">
            <v>79.760000000000005</v>
          </cell>
          <cell r="H4043">
            <v>2</v>
          </cell>
          <cell r="I4043" t="str">
            <v>From M6 to M3 - 60°</v>
          </cell>
          <cell r="J4043" t="str">
            <v>IE3</v>
          </cell>
          <cell r="K4043" t="str">
            <v>230/400</v>
          </cell>
          <cell r="L4043">
            <v>50</v>
          </cell>
          <cell r="M4043" t="str">
            <v>3,05/1,75</v>
          </cell>
          <cell r="N4043">
            <v>65</v>
          </cell>
          <cell r="O4043" t="str">
            <v>155(F)</v>
          </cell>
          <cell r="P4043" t="str">
            <v>270°</v>
          </cell>
          <cell r="Q4043" t="str">
            <v>TF</v>
          </cell>
          <cell r="R4043" t="str">
            <v>-</v>
          </cell>
          <cell r="S4043" t="str">
            <v>-</v>
          </cell>
          <cell r="T4043" t="str">
            <v>BEHF</v>
          </cell>
          <cell r="U4043" t="str">
            <v>G</v>
          </cell>
          <cell r="V4043" t="str">
            <v>D+R</v>
          </cell>
          <cell r="W4043" t="str">
            <v>-</v>
          </cell>
          <cell r="X4043" t="str">
            <v>CLP HC VG 220 = -20° + 60°</v>
          </cell>
          <cell r="Y4043" t="str">
            <v>FA67/G EDRN80M4 /BEHF /TF</v>
          </cell>
          <cell r="Z4043" t="str">
            <v>SEW</v>
          </cell>
          <cell r="AB4043" t="str">
            <v>ATEX22</v>
          </cell>
          <cell r="AF4043">
            <v>18</v>
          </cell>
          <cell r="AG4043" t="str">
            <v>EDRN80M4</v>
          </cell>
          <cell r="AH4043" t="str">
            <v>FA67G-EDRN80M4270-X</v>
          </cell>
        </row>
        <row r="4044">
          <cell r="A4044" t="str">
            <v>MR004033</v>
          </cell>
          <cell r="B4044" t="str">
            <v>MR</v>
          </cell>
          <cell r="C4044">
            <v>7.5</v>
          </cell>
          <cell r="D4044">
            <v>63</v>
          </cell>
          <cell r="E4044" t="str">
            <v>R87</v>
          </cell>
          <cell r="F4044">
            <v>1140</v>
          </cell>
          <cell r="G4044">
            <v>23.4</v>
          </cell>
          <cell r="H4044">
            <v>1.05</v>
          </cell>
          <cell r="I4044" t="str">
            <v>M1</v>
          </cell>
          <cell r="J4044" t="str">
            <v>IE3</v>
          </cell>
          <cell r="K4044" t="str">
            <v>400/690</v>
          </cell>
          <cell r="L4044">
            <v>50</v>
          </cell>
          <cell r="M4044" t="str">
            <v>15,2/8,8</v>
          </cell>
          <cell r="N4044">
            <v>65</v>
          </cell>
          <cell r="O4044" t="str">
            <v>155(F)</v>
          </cell>
          <cell r="P4044" t="str">
            <v>270°</v>
          </cell>
          <cell r="Q4044" t="str">
            <v>-</v>
          </cell>
          <cell r="R4044" t="str">
            <v>-</v>
          </cell>
          <cell r="S4044" t="str">
            <v>-</v>
          </cell>
          <cell r="T4044" t="str">
            <v>-</v>
          </cell>
          <cell r="U4044" t="str">
            <v>-</v>
          </cell>
          <cell r="V4044" t="str">
            <v>D+R</v>
          </cell>
          <cell r="W4044" t="str">
            <v>-</v>
          </cell>
          <cell r="X4044" t="str">
            <v>CLP HC VG 220 = -20° + 60°</v>
          </cell>
          <cell r="Y4044" t="str">
            <v>R87EDRN132M4</v>
          </cell>
          <cell r="Z4044" t="str">
            <v>SEW</v>
          </cell>
          <cell r="AB4044" t="str">
            <v>ATEX22</v>
          </cell>
          <cell r="AF4044">
            <v>63</v>
          </cell>
          <cell r="AG4044" t="str">
            <v>EDRN132M4</v>
          </cell>
          <cell r="AH4044" t="str">
            <v>R87-EDRN132M4270-X</v>
          </cell>
        </row>
        <row r="4045">
          <cell r="A4045" t="str">
            <v>MR004034</v>
          </cell>
          <cell r="B4045" t="str">
            <v>MR</v>
          </cell>
          <cell r="C4045">
            <v>4</v>
          </cell>
          <cell r="D4045">
            <v>63</v>
          </cell>
          <cell r="E4045" t="str">
            <v>R77</v>
          </cell>
          <cell r="F4045">
            <v>610</v>
          </cell>
          <cell r="G4045">
            <v>23.37</v>
          </cell>
          <cell r="H4045">
            <v>1</v>
          </cell>
          <cell r="I4045" t="str">
            <v>M1</v>
          </cell>
          <cell r="J4045" t="str">
            <v>IE3</v>
          </cell>
          <cell r="K4045" t="str">
            <v>230/400</v>
          </cell>
          <cell r="L4045">
            <v>50</v>
          </cell>
          <cell r="M4045" t="str">
            <v>13,8/7,9</v>
          </cell>
          <cell r="N4045">
            <v>65</v>
          </cell>
          <cell r="O4045" t="str">
            <v>155(F)</v>
          </cell>
          <cell r="P4045" t="str">
            <v>270°</v>
          </cell>
          <cell r="Q4045" t="str">
            <v>-</v>
          </cell>
          <cell r="R4045" t="str">
            <v>-</v>
          </cell>
          <cell r="S4045" t="str">
            <v>-</v>
          </cell>
          <cell r="T4045" t="str">
            <v>-</v>
          </cell>
          <cell r="U4045" t="str">
            <v>-</v>
          </cell>
          <cell r="V4045" t="str">
            <v>D</v>
          </cell>
          <cell r="W4045" t="str">
            <v>-</v>
          </cell>
          <cell r="X4045" t="str">
            <v>CLP HC VG 220 = -20° + 60°</v>
          </cell>
          <cell r="Y4045" t="str">
            <v>R77EDRN112M4</v>
          </cell>
          <cell r="Z4045" t="str">
            <v>SEW</v>
          </cell>
          <cell r="AB4045" t="str">
            <v>ATEX22</v>
          </cell>
          <cell r="AF4045">
            <v>0</v>
          </cell>
          <cell r="AG4045" t="str">
            <v>EDRN112M4</v>
          </cell>
          <cell r="AH4045" t="str">
            <v>R77-EDRN112M4270-X</v>
          </cell>
        </row>
        <row r="4046">
          <cell r="A4046" t="str">
            <v>MR004035</v>
          </cell>
          <cell r="B4046" t="str">
            <v>MR</v>
          </cell>
          <cell r="C4046">
            <v>11</v>
          </cell>
          <cell r="D4046">
            <v>25</v>
          </cell>
          <cell r="E4046" t="str">
            <v>R107</v>
          </cell>
          <cell r="F4046">
            <v>4230</v>
          </cell>
          <cell r="G4046">
            <v>59.41</v>
          </cell>
          <cell r="H4046">
            <v>1.01</v>
          </cell>
          <cell r="I4046" t="str">
            <v>From M1 to M2 - 15°</v>
          </cell>
          <cell r="J4046" t="str">
            <v>IE3</v>
          </cell>
          <cell r="K4046" t="str">
            <v>400/690</v>
          </cell>
          <cell r="L4046">
            <v>50</v>
          </cell>
          <cell r="M4046" t="str">
            <v>21,0/12,2</v>
          </cell>
          <cell r="N4046">
            <v>65</v>
          </cell>
          <cell r="O4046" t="str">
            <v>155(F)</v>
          </cell>
          <cell r="P4046" t="str">
            <v>270°</v>
          </cell>
          <cell r="Q4046" t="str">
            <v>TF</v>
          </cell>
          <cell r="R4046" t="str">
            <v>V(VE)</v>
          </cell>
          <cell r="S4046" t="str">
            <v>-</v>
          </cell>
          <cell r="T4046" t="str">
            <v>-</v>
          </cell>
          <cell r="U4046" t="str">
            <v>-</v>
          </cell>
          <cell r="V4046" t="str">
            <v>FC</v>
          </cell>
          <cell r="W4046" t="str">
            <v>-</v>
          </cell>
          <cell r="X4046" t="str">
            <v>CLP HC VG 220 = -20° + 60°</v>
          </cell>
          <cell r="Y4046" t="str">
            <v>R107EDRN160M4 /TF/VE</v>
          </cell>
          <cell r="Z4046" t="str">
            <v>SEW</v>
          </cell>
          <cell r="AB4046" t="str">
            <v>ATEX22</v>
          </cell>
          <cell r="AF4046">
            <v>25</v>
          </cell>
          <cell r="AG4046" t="str">
            <v>EDRN160M4</v>
          </cell>
          <cell r="AH4046" t="str">
            <v>R107-EDRN160M4270-X#</v>
          </cell>
        </row>
        <row r="4047">
          <cell r="A4047" t="str">
            <v>MR004036</v>
          </cell>
          <cell r="B4047" t="str">
            <v>MR</v>
          </cell>
          <cell r="C4047">
            <v>5.5</v>
          </cell>
          <cell r="D4047">
            <v>15</v>
          </cell>
          <cell r="E4047" t="str">
            <v>KH97</v>
          </cell>
          <cell r="F4047">
            <v>3480</v>
          </cell>
          <cell r="G4047">
            <v>96.8</v>
          </cell>
          <cell r="H4047">
            <v>1.2</v>
          </cell>
          <cell r="I4047" t="str">
            <v>From M4A to M1A - 35°</v>
          </cell>
          <cell r="J4047" t="str">
            <v>IE3</v>
          </cell>
          <cell r="K4047" t="str">
            <v>230/400</v>
          </cell>
          <cell r="L4047">
            <v>50</v>
          </cell>
          <cell r="M4047" t="str">
            <v>18,2/10,5</v>
          </cell>
          <cell r="N4047">
            <v>65</v>
          </cell>
          <cell r="O4047" t="str">
            <v>155(F)</v>
          </cell>
          <cell r="P4047" t="str">
            <v>270°</v>
          </cell>
          <cell r="Q4047" t="str">
            <v>-</v>
          </cell>
          <cell r="R4047" t="str">
            <v>-</v>
          </cell>
          <cell r="S4047" t="str">
            <v>-</v>
          </cell>
          <cell r="T4047" t="str">
            <v>-</v>
          </cell>
          <cell r="U4047" t="str">
            <v>-</v>
          </cell>
          <cell r="V4047" t="str">
            <v>SS</v>
          </cell>
          <cell r="W4047" t="str">
            <v>-</v>
          </cell>
          <cell r="X4047" t="str">
            <v>CLP HC VG 220 = -20° + 60°</v>
          </cell>
          <cell r="Y4047" t="str">
            <v>KH97EDRN132S4</v>
          </cell>
          <cell r="Z4047" t="str">
            <v>SEW</v>
          </cell>
          <cell r="AB4047" t="str">
            <v>ATEX22</v>
          </cell>
          <cell r="AF4047">
            <v>15</v>
          </cell>
          <cell r="AG4047" t="str">
            <v>EDRN132S4</v>
          </cell>
          <cell r="AH4047" t="str">
            <v>KH97-EDRN132S4A270-X</v>
          </cell>
        </row>
        <row r="4048">
          <cell r="A4048" t="str">
            <v>MR004037</v>
          </cell>
          <cell r="B4048" t="str">
            <v>MR</v>
          </cell>
          <cell r="C4048">
            <v>15</v>
          </cell>
          <cell r="D4048">
            <v>16</v>
          </cell>
          <cell r="E4048" t="str">
            <v>KH127</v>
          </cell>
          <cell r="F4048">
            <v>8740</v>
          </cell>
          <cell r="G4048">
            <v>89.89</v>
          </cell>
          <cell r="H4048">
            <v>1.5</v>
          </cell>
          <cell r="I4048" t="str">
            <v>From M4B to M1B - 40°</v>
          </cell>
          <cell r="J4048" t="str">
            <v>IE3</v>
          </cell>
          <cell r="K4048" t="str">
            <v>400/690</v>
          </cell>
          <cell r="L4048">
            <v>50</v>
          </cell>
          <cell r="M4048" t="str">
            <v>29/16,7</v>
          </cell>
          <cell r="N4048">
            <v>55</v>
          </cell>
          <cell r="O4048" t="str">
            <v>155(F)</v>
          </cell>
          <cell r="P4048" t="str">
            <v>270°</v>
          </cell>
          <cell r="Q4048" t="str">
            <v>TF</v>
          </cell>
          <cell r="R4048" t="str">
            <v>-</v>
          </cell>
          <cell r="S4048" t="str">
            <v>-</v>
          </cell>
          <cell r="T4048" t="str">
            <v>-</v>
          </cell>
          <cell r="U4048" t="str">
            <v>-</v>
          </cell>
          <cell r="V4048" t="str">
            <v>FC</v>
          </cell>
          <cell r="W4048" t="str">
            <v>-</v>
          </cell>
          <cell r="X4048" t="str">
            <v>CLP 220 (-15/+40°C)</v>
          </cell>
          <cell r="Y4048" t="str">
            <v>KH127DRN160L4 /TF</v>
          </cell>
          <cell r="Z4048" t="str">
            <v>SEW</v>
          </cell>
          <cell r="AB4048" t="str">
            <v>-</v>
          </cell>
          <cell r="AF4048">
            <v>16</v>
          </cell>
          <cell r="AG4048" t="str">
            <v>DRN160L4</v>
          </cell>
          <cell r="AH4048" t="str">
            <v>KH127-DRN160L4B270-X</v>
          </cell>
        </row>
        <row r="4049">
          <cell r="A4049" t="str">
            <v>MR004038</v>
          </cell>
          <cell r="B4049" t="str">
            <v>MR</v>
          </cell>
          <cell r="C4049">
            <v>30</v>
          </cell>
          <cell r="D4049">
            <v>107</v>
          </cell>
          <cell r="E4049" t="str">
            <v>KH97</v>
          </cell>
          <cell r="F4049">
            <v>2680</v>
          </cell>
          <cell r="G4049">
            <v>13.85</v>
          </cell>
          <cell r="H4049">
            <v>1.6</v>
          </cell>
          <cell r="I4049" t="str">
            <v>From M4A to M1A - 10°</v>
          </cell>
          <cell r="J4049" t="str">
            <v>IE3</v>
          </cell>
          <cell r="K4049" t="str">
            <v>400/690</v>
          </cell>
          <cell r="L4049">
            <v>50</v>
          </cell>
          <cell r="M4049" t="str">
            <v>56/32,5</v>
          </cell>
          <cell r="N4049">
            <v>55</v>
          </cell>
          <cell r="O4049" t="str">
            <v>155(F)</v>
          </cell>
          <cell r="P4049" t="str">
            <v>270°</v>
          </cell>
          <cell r="Q4049" t="str">
            <v>TF</v>
          </cell>
          <cell r="R4049" t="str">
            <v>-</v>
          </cell>
          <cell r="S4049" t="str">
            <v>Free rotation CCW</v>
          </cell>
          <cell r="T4049" t="str">
            <v>-</v>
          </cell>
          <cell r="U4049" t="str">
            <v>T</v>
          </cell>
          <cell r="V4049" t="str">
            <v>SS</v>
          </cell>
          <cell r="W4049" t="str">
            <v>-</v>
          </cell>
          <cell r="X4049" t="str">
            <v>CLP 220 (-15/+40°C)</v>
          </cell>
          <cell r="Y4049" t="str">
            <v>KH97/T DRN200L4 /RS /TF</v>
          </cell>
          <cell r="Z4049" t="str">
            <v>SEW</v>
          </cell>
          <cell r="AB4049" t="str">
            <v>-</v>
          </cell>
          <cell r="AF4049">
            <v>107</v>
          </cell>
          <cell r="AG4049" t="str">
            <v>DRN200L4</v>
          </cell>
          <cell r="AH4049" t="str">
            <v>KH97T-DRN200L4A270-X</v>
          </cell>
        </row>
        <row r="4050">
          <cell r="A4050" t="str">
            <v>MR004039</v>
          </cell>
          <cell r="B4050" t="str">
            <v>MR</v>
          </cell>
          <cell r="C4050">
            <v>0.75</v>
          </cell>
          <cell r="D4050">
            <v>162</v>
          </cell>
          <cell r="E4050" t="str">
            <v>KA37</v>
          </cell>
          <cell r="F4050">
            <v>44</v>
          </cell>
          <cell r="G4050">
            <v>8.91</v>
          </cell>
          <cell r="H4050">
            <v>3.6</v>
          </cell>
          <cell r="I4050" t="str">
            <v>From M3A to M4A - 10°</v>
          </cell>
          <cell r="J4050" t="str">
            <v>IE3</v>
          </cell>
          <cell r="K4050" t="str">
            <v>230/400</v>
          </cell>
          <cell r="L4050">
            <v>50</v>
          </cell>
          <cell r="M4050" t="str">
            <v>3,05/1,75</v>
          </cell>
          <cell r="N4050">
            <v>55</v>
          </cell>
          <cell r="O4050" t="str">
            <v>155(F)</v>
          </cell>
          <cell r="P4050" t="str">
            <v>180°</v>
          </cell>
          <cell r="Q4050" t="str">
            <v>TF</v>
          </cell>
          <cell r="R4050" t="str">
            <v>-</v>
          </cell>
          <cell r="S4050" t="str">
            <v>-</v>
          </cell>
          <cell r="T4050" t="str">
            <v>-</v>
          </cell>
          <cell r="U4050" t="str">
            <v>T</v>
          </cell>
          <cell r="V4050" t="str">
            <v>D</v>
          </cell>
          <cell r="W4050" t="str">
            <v>-</v>
          </cell>
          <cell r="X4050" t="str">
            <v>CLP 220 (-15/+40°C)</v>
          </cell>
          <cell r="Y4050" t="str">
            <v>KA37/T DRN80M4 /TF</v>
          </cell>
          <cell r="Z4050" t="str">
            <v>SEW</v>
          </cell>
          <cell r="AB4050" t="str">
            <v>-</v>
          </cell>
          <cell r="AF4050">
            <v>162</v>
          </cell>
          <cell r="AG4050" t="str">
            <v>DRN80M4</v>
          </cell>
          <cell r="AH4050" t="str">
            <v>KA37T-DRN80M4A180-X</v>
          </cell>
        </row>
        <row r="4051">
          <cell r="A4051" t="str">
            <v>MR004040</v>
          </cell>
          <cell r="B4051" t="str">
            <v>MR</v>
          </cell>
          <cell r="C4051">
            <v>0.37</v>
          </cell>
          <cell r="D4051">
            <v>6.2</v>
          </cell>
          <cell r="E4051" t="str">
            <v>FH67</v>
          </cell>
          <cell r="F4051">
            <v>570</v>
          </cell>
          <cell r="G4051">
            <v>229</v>
          </cell>
          <cell r="H4051">
            <v>1.45</v>
          </cell>
          <cell r="I4051" t="str">
            <v>From M3 to M5 - 80°</v>
          </cell>
          <cell r="J4051" t="str">
            <v>IE3</v>
          </cell>
          <cell r="K4051" t="str">
            <v>230/400</v>
          </cell>
          <cell r="L4051">
            <v>50</v>
          </cell>
          <cell r="M4051" t="str">
            <v>1,78/1,02</v>
          </cell>
          <cell r="N4051">
            <v>55</v>
          </cell>
          <cell r="O4051" t="str">
            <v>155(F)</v>
          </cell>
          <cell r="P4051" t="str">
            <v>270°</v>
          </cell>
          <cell r="Q4051" t="str">
            <v>TF</v>
          </cell>
          <cell r="R4051" t="str">
            <v>-</v>
          </cell>
          <cell r="S4051" t="str">
            <v>-</v>
          </cell>
          <cell r="T4051" t="str">
            <v>-</v>
          </cell>
          <cell r="U4051" t="str">
            <v>G</v>
          </cell>
          <cell r="V4051" t="str">
            <v>D</v>
          </cell>
          <cell r="W4051" t="str">
            <v>-</v>
          </cell>
          <cell r="X4051" t="str">
            <v>CLP 220 (-15/+40°C)</v>
          </cell>
          <cell r="Y4051" t="str">
            <v>FH67/G DRN71M4 /TF</v>
          </cell>
          <cell r="Z4051" t="str">
            <v>SEW</v>
          </cell>
          <cell r="AB4051" t="str">
            <v>-</v>
          </cell>
          <cell r="AF4051">
            <v>6.2</v>
          </cell>
          <cell r="AG4051" t="str">
            <v>DRN71M4</v>
          </cell>
          <cell r="AH4051" t="str">
            <v>FH67G-DRN71M4270-X</v>
          </cell>
        </row>
        <row r="4052">
          <cell r="A4052" t="str">
            <v>MR004041</v>
          </cell>
          <cell r="B4052" t="str">
            <v>MR</v>
          </cell>
          <cell r="C4052">
            <v>9.1999999999999993</v>
          </cell>
          <cell r="D4052">
            <v>59</v>
          </cell>
          <cell r="E4052" t="str">
            <v>R97</v>
          </cell>
          <cell r="F4052">
            <v>1500</v>
          </cell>
          <cell r="G4052">
            <v>25.03</v>
          </cell>
          <cell r="H4052">
            <v>1.9</v>
          </cell>
          <cell r="I4052" t="str">
            <v>M1</v>
          </cell>
          <cell r="J4052" t="str">
            <v>IE3</v>
          </cell>
          <cell r="K4052" t="str">
            <v>400/690</v>
          </cell>
          <cell r="L4052">
            <v>50</v>
          </cell>
          <cell r="M4052" t="str">
            <v>18,7/10,8</v>
          </cell>
          <cell r="N4052">
            <v>55</v>
          </cell>
          <cell r="O4052" t="str">
            <v>155(F)</v>
          </cell>
          <cell r="P4052" t="str">
            <v>270°</v>
          </cell>
          <cell r="Q4052" t="str">
            <v>TF</v>
          </cell>
          <cell r="R4052" t="str">
            <v>-</v>
          </cell>
          <cell r="S4052" t="str">
            <v>-</v>
          </cell>
          <cell r="T4052" t="str">
            <v>-</v>
          </cell>
          <cell r="U4052" t="str">
            <v>-</v>
          </cell>
          <cell r="V4052" t="str">
            <v>FC</v>
          </cell>
          <cell r="W4052" t="str">
            <v>-</v>
          </cell>
          <cell r="X4052" t="str">
            <v>CLP 220 (-15/+40°C)</v>
          </cell>
          <cell r="Y4052" t="str">
            <v>R97DRN132L4 /TF</v>
          </cell>
          <cell r="Z4052" t="str">
            <v>SEW</v>
          </cell>
          <cell r="AB4052" t="str">
            <v>-</v>
          </cell>
          <cell r="AF4052">
            <v>59</v>
          </cell>
          <cell r="AG4052" t="str">
            <v>DRN132L4</v>
          </cell>
          <cell r="AH4052" t="str">
            <v>R97-DRN132L4270-X</v>
          </cell>
        </row>
        <row r="4053">
          <cell r="A4053" t="str">
            <v>MR004042</v>
          </cell>
          <cell r="B4053" t="str">
            <v>MR</v>
          </cell>
          <cell r="C4053">
            <v>5.5</v>
          </cell>
          <cell r="D4053">
            <v>14</v>
          </cell>
          <cell r="E4053" t="str">
            <v>KH97</v>
          </cell>
          <cell r="F4053">
            <v>3770</v>
          </cell>
          <cell r="G4053">
            <v>105.13</v>
          </cell>
          <cell r="H4053">
            <v>1.1499999999999999</v>
          </cell>
          <cell r="I4053" t="str">
            <v>From M1A to M2A - 20°</v>
          </cell>
          <cell r="J4053" t="str">
            <v>IE3</v>
          </cell>
          <cell r="K4053" t="str">
            <v>230/400</v>
          </cell>
          <cell r="L4053">
            <v>50</v>
          </cell>
          <cell r="M4053" t="str">
            <v>18,2/10,5</v>
          </cell>
          <cell r="N4053">
            <v>65</v>
          </cell>
          <cell r="O4053" t="str">
            <v>155(F)</v>
          </cell>
          <cell r="P4053" t="str">
            <v>270°</v>
          </cell>
          <cell r="Q4053" t="str">
            <v>TF</v>
          </cell>
          <cell r="R4053" t="str">
            <v>-</v>
          </cell>
          <cell r="S4053" t="str">
            <v>-</v>
          </cell>
          <cell r="T4053" t="str">
            <v>-</v>
          </cell>
          <cell r="U4053" t="str">
            <v>-</v>
          </cell>
          <cell r="V4053" t="str">
            <v>SS</v>
          </cell>
          <cell r="W4053" t="str">
            <v>-</v>
          </cell>
          <cell r="X4053" t="str">
            <v>CLP VG 220 = -15° + 40°</v>
          </cell>
          <cell r="Y4053" t="str">
            <v>KH97DRN132S4 /TF</v>
          </cell>
          <cell r="Z4053" t="str">
            <v>SEW</v>
          </cell>
          <cell r="AB4053" t="str">
            <v>-</v>
          </cell>
          <cell r="AF4053">
            <v>14</v>
          </cell>
          <cell r="AG4053" t="str">
            <v>DRN132S4</v>
          </cell>
          <cell r="AH4053" t="str">
            <v>KH97-DRN132S4A270-X</v>
          </cell>
        </row>
        <row r="4054">
          <cell r="A4054" t="str">
            <v>MR004043</v>
          </cell>
          <cell r="B4054" t="str">
            <v>MR</v>
          </cell>
          <cell r="C4054">
            <v>5.5</v>
          </cell>
          <cell r="D4054">
            <v>14</v>
          </cell>
          <cell r="E4054" t="str">
            <v>KH97</v>
          </cell>
          <cell r="F4054">
            <v>3770</v>
          </cell>
          <cell r="G4054">
            <v>105.13</v>
          </cell>
          <cell r="H4054">
            <v>1.1499999999999999</v>
          </cell>
          <cell r="I4054" t="str">
            <v>From M1A to M2A - 30°</v>
          </cell>
          <cell r="J4054" t="str">
            <v>IE3</v>
          </cell>
          <cell r="K4054" t="str">
            <v>230/400</v>
          </cell>
          <cell r="L4054">
            <v>50</v>
          </cell>
          <cell r="M4054" t="str">
            <v>18,2/10,5</v>
          </cell>
          <cell r="N4054">
            <v>65</v>
          </cell>
          <cell r="O4054" t="str">
            <v>155(F)</v>
          </cell>
          <cell r="P4054" t="str">
            <v>270°</v>
          </cell>
          <cell r="Q4054" t="str">
            <v>TF</v>
          </cell>
          <cell r="R4054" t="str">
            <v>-</v>
          </cell>
          <cell r="S4054" t="str">
            <v>-</v>
          </cell>
          <cell r="T4054" t="str">
            <v>-</v>
          </cell>
          <cell r="U4054" t="str">
            <v>-</v>
          </cell>
          <cell r="V4054" t="str">
            <v>SS</v>
          </cell>
          <cell r="W4054" t="str">
            <v>-</v>
          </cell>
          <cell r="X4054" t="str">
            <v>CLP VG 220 = -15° + 40°</v>
          </cell>
          <cell r="Y4054" t="str">
            <v>KH97DRN132S4 /TF</v>
          </cell>
          <cell r="Z4054" t="str">
            <v>SEW</v>
          </cell>
          <cell r="AB4054" t="str">
            <v>-</v>
          </cell>
          <cell r="AF4054">
            <v>14</v>
          </cell>
          <cell r="AG4054" t="str">
            <v>DRN132S4</v>
          </cell>
          <cell r="AH4054" t="str">
            <v>KH97-DRN132S4A270-X</v>
          </cell>
        </row>
        <row r="4055">
          <cell r="A4055" t="str">
            <v>MR004044</v>
          </cell>
          <cell r="B4055" t="str">
            <v>MR</v>
          </cell>
          <cell r="C4055">
            <v>5.5</v>
          </cell>
          <cell r="D4055">
            <v>14</v>
          </cell>
          <cell r="E4055" t="str">
            <v>KH97</v>
          </cell>
          <cell r="F4055">
            <v>3770</v>
          </cell>
          <cell r="G4055">
            <v>105.13</v>
          </cell>
          <cell r="H4055">
            <v>1.1499999999999999</v>
          </cell>
          <cell r="I4055" t="str">
            <v>From M1B to M2B - 30°</v>
          </cell>
          <cell r="J4055" t="str">
            <v>IE3</v>
          </cell>
          <cell r="K4055" t="str">
            <v>230/400</v>
          </cell>
          <cell r="L4055">
            <v>50</v>
          </cell>
          <cell r="M4055" t="str">
            <v>18,2/10,5</v>
          </cell>
          <cell r="N4055">
            <v>65</v>
          </cell>
          <cell r="O4055" t="str">
            <v>155(F)</v>
          </cell>
          <cell r="P4055" t="str">
            <v>270°</v>
          </cell>
          <cell r="Q4055" t="str">
            <v>TF</v>
          </cell>
          <cell r="R4055" t="str">
            <v>-</v>
          </cell>
          <cell r="S4055" t="str">
            <v>-</v>
          </cell>
          <cell r="T4055" t="str">
            <v>-</v>
          </cell>
          <cell r="U4055" t="str">
            <v>-</v>
          </cell>
          <cell r="V4055" t="str">
            <v>SS</v>
          </cell>
          <cell r="W4055" t="str">
            <v>-</v>
          </cell>
          <cell r="X4055" t="str">
            <v>CLP VG 220 = -15° + 40°</v>
          </cell>
          <cell r="Y4055" t="str">
            <v>KH97DRN132S4 /TF</v>
          </cell>
          <cell r="Z4055" t="str">
            <v>SEW</v>
          </cell>
          <cell r="AB4055" t="str">
            <v>-</v>
          </cell>
          <cell r="AF4055">
            <v>14</v>
          </cell>
          <cell r="AG4055" t="str">
            <v>DRN132S4</v>
          </cell>
          <cell r="AH4055" t="str">
            <v>KH97-DRN132S4B270-X</v>
          </cell>
        </row>
        <row r="4056">
          <cell r="A4056" t="str">
            <v>MR004045</v>
          </cell>
          <cell r="B4056" t="str">
            <v>MR</v>
          </cell>
          <cell r="C4056">
            <v>22</v>
          </cell>
          <cell r="D4056">
            <v>12</v>
          </cell>
          <cell r="E4056" t="str">
            <v>KH157</v>
          </cell>
          <cell r="F4056">
            <v>17400</v>
          </cell>
          <cell r="G4056">
            <v>122.39</v>
          </cell>
          <cell r="H4056">
            <v>1.1499999999999999</v>
          </cell>
          <cell r="I4056" t="str">
            <v>From M1A to M2A - 10°</v>
          </cell>
          <cell r="J4056" t="str">
            <v>IE3</v>
          </cell>
          <cell r="K4056" t="str">
            <v>400/690</v>
          </cell>
          <cell r="L4056">
            <v>50</v>
          </cell>
          <cell r="M4056" t="str">
            <v>38,5/22,5</v>
          </cell>
          <cell r="N4056">
            <v>65</v>
          </cell>
          <cell r="O4056" t="str">
            <v>155(F)</v>
          </cell>
          <cell r="P4056" t="str">
            <v>270°</v>
          </cell>
          <cell r="Q4056" t="str">
            <v>TF</v>
          </cell>
          <cell r="R4056" t="str">
            <v>V(VE)</v>
          </cell>
          <cell r="S4056" t="str">
            <v>-</v>
          </cell>
          <cell r="T4056" t="str">
            <v>-</v>
          </cell>
          <cell r="U4056" t="str">
            <v>-</v>
          </cell>
          <cell r="V4056" t="str">
            <v>FC</v>
          </cell>
          <cell r="W4056" t="str">
            <v>-</v>
          </cell>
          <cell r="X4056" t="str">
            <v>CLP VG 220 = -15° + 40°</v>
          </cell>
          <cell r="Y4056" t="str">
            <v>KH157DRN180L4 /TF/V</v>
          </cell>
          <cell r="Z4056" t="str">
            <v>SEW</v>
          </cell>
          <cell r="AB4056" t="str">
            <v>-</v>
          </cell>
          <cell r="AF4056">
            <v>12</v>
          </cell>
          <cell r="AG4056" t="str">
            <v>DRN180L4</v>
          </cell>
          <cell r="AH4056" t="str">
            <v>KH157-DRN180L4A270-X#</v>
          </cell>
        </row>
        <row r="4057">
          <cell r="A4057" t="str">
            <v>MR004046</v>
          </cell>
          <cell r="B4057" t="str">
            <v>MR</v>
          </cell>
          <cell r="C4057">
            <v>22</v>
          </cell>
          <cell r="D4057">
            <v>12</v>
          </cell>
          <cell r="E4057" t="str">
            <v>KH157</v>
          </cell>
          <cell r="F4057">
            <v>17400</v>
          </cell>
          <cell r="G4057">
            <v>122.39</v>
          </cell>
          <cell r="H4057">
            <v>1.1499999999999999</v>
          </cell>
          <cell r="I4057" t="str">
            <v>From M1B to M2B - 10°</v>
          </cell>
          <cell r="J4057" t="str">
            <v>IE3</v>
          </cell>
          <cell r="K4057" t="str">
            <v>400/690</v>
          </cell>
          <cell r="L4057">
            <v>50</v>
          </cell>
          <cell r="M4057" t="str">
            <v>38,5/22,5</v>
          </cell>
          <cell r="N4057">
            <v>65</v>
          </cell>
          <cell r="O4057" t="str">
            <v>155(F)</v>
          </cell>
          <cell r="P4057" t="str">
            <v>270°</v>
          </cell>
          <cell r="Q4057" t="str">
            <v>TF</v>
          </cell>
          <cell r="R4057" t="str">
            <v>V(VE)</v>
          </cell>
          <cell r="S4057" t="str">
            <v>-</v>
          </cell>
          <cell r="T4057" t="str">
            <v>-</v>
          </cell>
          <cell r="U4057" t="str">
            <v>-</v>
          </cell>
          <cell r="V4057" t="str">
            <v>FC</v>
          </cell>
          <cell r="W4057" t="str">
            <v>-</v>
          </cell>
          <cell r="X4057" t="str">
            <v>CLP VG 220 = -15° + 40°</v>
          </cell>
          <cell r="Y4057" t="str">
            <v>KH157DRN180L4 /TF/V</v>
          </cell>
          <cell r="Z4057" t="str">
            <v>SEW</v>
          </cell>
          <cell r="AB4057" t="str">
            <v>-</v>
          </cell>
          <cell r="AF4057">
            <v>12</v>
          </cell>
          <cell r="AG4057" t="str">
            <v>DRN180L4</v>
          </cell>
          <cell r="AH4057" t="str">
            <v>KH157-DRN180L4B270-X#</v>
          </cell>
        </row>
        <row r="4058">
          <cell r="A4058" t="str">
            <v>MR004047</v>
          </cell>
          <cell r="B4058" t="str">
            <v>MR</v>
          </cell>
          <cell r="C4058">
            <v>18.5</v>
          </cell>
          <cell r="D4058">
            <v>16</v>
          </cell>
          <cell r="E4058" t="str">
            <v>KH127</v>
          </cell>
          <cell r="F4058">
            <v>10700</v>
          </cell>
          <cell r="G4058">
            <v>89.89</v>
          </cell>
          <cell r="H4058">
            <v>1.2</v>
          </cell>
          <cell r="I4058" t="str">
            <v>From M1A to M2A - 25°</v>
          </cell>
          <cell r="J4058" t="str">
            <v>IE3</v>
          </cell>
          <cell r="K4058" t="str">
            <v>400/690</v>
          </cell>
          <cell r="L4058">
            <v>50</v>
          </cell>
          <cell r="M4058" t="str">
            <v>33,5/19,3</v>
          </cell>
          <cell r="N4058">
            <v>65</v>
          </cell>
          <cell r="O4058" t="str">
            <v>155(F)</v>
          </cell>
          <cell r="P4058" t="str">
            <v>270°</v>
          </cell>
          <cell r="Q4058" t="str">
            <v>TF</v>
          </cell>
          <cell r="R4058" t="str">
            <v>-</v>
          </cell>
          <cell r="S4058" t="str">
            <v>-</v>
          </cell>
          <cell r="T4058" t="str">
            <v>-</v>
          </cell>
          <cell r="U4058" t="str">
            <v>-</v>
          </cell>
          <cell r="V4058" t="str">
            <v>SS</v>
          </cell>
          <cell r="W4058" t="str">
            <v>-</v>
          </cell>
          <cell r="X4058" t="str">
            <v>CLP VG 220 = -15° + 40°</v>
          </cell>
          <cell r="Y4058" t="str">
            <v>KH127DRN180M4 /TF</v>
          </cell>
          <cell r="Z4058" t="str">
            <v>SEW</v>
          </cell>
          <cell r="AB4058" t="str">
            <v>-</v>
          </cell>
          <cell r="AF4058">
            <v>16</v>
          </cell>
          <cell r="AG4058" t="str">
            <v>DRN180M4</v>
          </cell>
          <cell r="AH4058" t="str">
            <v>KH127-DRN180M4A270-X</v>
          </cell>
        </row>
        <row r="4059">
          <cell r="A4059" t="str">
            <v>MR004048</v>
          </cell>
          <cell r="B4059" t="str">
            <v>MR</v>
          </cell>
          <cell r="C4059">
            <v>0.75</v>
          </cell>
          <cell r="D4059">
            <v>18</v>
          </cell>
          <cell r="E4059" t="str">
            <v>FA67</v>
          </cell>
          <cell r="F4059">
            <v>395</v>
          </cell>
          <cell r="G4059">
            <v>79.760000000000005</v>
          </cell>
          <cell r="H4059">
            <v>2.1</v>
          </cell>
          <cell r="I4059" t="str">
            <v>From M1 to M6 - 65°</v>
          </cell>
          <cell r="J4059" t="str">
            <v>IE3</v>
          </cell>
          <cell r="K4059" t="str">
            <v>230/400</v>
          </cell>
          <cell r="L4059">
            <v>50</v>
          </cell>
          <cell r="M4059" t="str">
            <v>3,05/1,75</v>
          </cell>
          <cell r="N4059">
            <v>65</v>
          </cell>
          <cell r="O4059" t="str">
            <v>155(F)</v>
          </cell>
          <cell r="P4059" t="str">
            <v>270°</v>
          </cell>
          <cell r="Q4059" t="str">
            <v>TF</v>
          </cell>
          <cell r="R4059" t="str">
            <v>-</v>
          </cell>
          <cell r="S4059" t="str">
            <v>-</v>
          </cell>
          <cell r="T4059" t="str">
            <v>BEHF</v>
          </cell>
          <cell r="U4059" t="str">
            <v>G</v>
          </cell>
          <cell r="V4059" t="str">
            <v>D+R</v>
          </cell>
          <cell r="W4059" t="str">
            <v>-</v>
          </cell>
          <cell r="X4059" t="str">
            <v>CLP VG 220 = -15° + 40°</v>
          </cell>
          <cell r="Y4059" t="str">
            <v>FA67/G DRN80M4 /BEHF /TF</v>
          </cell>
          <cell r="Z4059" t="str">
            <v>SEW</v>
          </cell>
          <cell r="AB4059" t="str">
            <v>-</v>
          </cell>
          <cell r="AF4059">
            <v>18</v>
          </cell>
          <cell r="AG4059" t="str">
            <v>DRN80M4</v>
          </cell>
          <cell r="AH4059" t="str">
            <v>FA67G-DRN80M4270-X</v>
          </cell>
        </row>
        <row r="4060">
          <cell r="A4060" t="str">
            <v>MR004049</v>
          </cell>
          <cell r="B4060" t="str">
            <v>MR</v>
          </cell>
          <cell r="C4060">
            <v>9.1999999999999993</v>
          </cell>
          <cell r="D4060">
            <v>15</v>
          </cell>
          <cell r="E4060" t="str">
            <v>KH107</v>
          </cell>
          <cell r="F4060">
            <v>6020</v>
          </cell>
          <cell r="G4060">
            <v>100.75</v>
          </cell>
          <cell r="H4060">
            <v>1.35</v>
          </cell>
          <cell r="I4060" t="str">
            <v>From M1B to M2B - 20°</v>
          </cell>
          <cell r="J4060" t="str">
            <v>IE3</v>
          </cell>
          <cell r="K4060" t="str">
            <v>400/690</v>
          </cell>
          <cell r="L4060">
            <v>50</v>
          </cell>
          <cell r="M4060" t="str">
            <v>18,7/10,8</v>
          </cell>
          <cell r="N4060">
            <v>65</v>
          </cell>
          <cell r="O4060" t="str">
            <v>155(F)</v>
          </cell>
          <cell r="P4060" t="str">
            <v>270°</v>
          </cell>
          <cell r="Q4060" t="str">
            <v>TF</v>
          </cell>
          <cell r="R4060" t="str">
            <v>-</v>
          </cell>
          <cell r="S4060" t="str">
            <v>-</v>
          </cell>
          <cell r="T4060" t="str">
            <v>-</v>
          </cell>
          <cell r="U4060" t="str">
            <v>-</v>
          </cell>
          <cell r="V4060" t="str">
            <v>SS</v>
          </cell>
          <cell r="W4060" t="str">
            <v>-</v>
          </cell>
          <cell r="X4060" t="str">
            <v>CLP VG 220 = -15° + 40°</v>
          </cell>
          <cell r="Y4060" t="str">
            <v>KH107DRN132L4 /TF</v>
          </cell>
          <cell r="Z4060" t="str">
            <v>SEW</v>
          </cell>
          <cell r="AB4060" t="str">
            <v>-</v>
          </cell>
          <cell r="AF4060">
            <v>15</v>
          </cell>
          <cell r="AG4060" t="str">
            <v>DRN132L4</v>
          </cell>
          <cell r="AH4060" t="str">
            <v>KH107-DRN132L4B270-X</v>
          </cell>
        </row>
        <row r="4061">
          <cell r="A4061" t="str">
            <v>MR004050</v>
          </cell>
          <cell r="B4061" t="str">
            <v>MR</v>
          </cell>
          <cell r="C4061">
            <v>15</v>
          </cell>
          <cell r="D4061">
            <v>13</v>
          </cell>
          <cell r="E4061" t="str">
            <v>KH127</v>
          </cell>
          <cell r="F4061">
            <v>10700</v>
          </cell>
          <cell r="G4061">
            <v>110.18</v>
          </cell>
          <cell r="H4061">
            <v>1.2</v>
          </cell>
          <cell r="I4061" t="str">
            <v>From M1B to M2B - 5°</v>
          </cell>
          <cell r="J4061" t="str">
            <v>IE3</v>
          </cell>
          <cell r="K4061" t="str">
            <v>400/690</v>
          </cell>
          <cell r="L4061">
            <v>50</v>
          </cell>
          <cell r="M4061" t="str">
            <v>29/16,7</v>
          </cell>
          <cell r="N4061">
            <v>65</v>
          </cell>
          <cell r="O4061" t="str">
            <v>155(F)</v>
          </cell>
          <cell r="P4061" t="str">
            <v>270°</v>
          </cell>
          <cell r="Q4061" t="str">
            <v>TF</v>
          </cell>
          <cell r="R4061" t="str">
            <v>-</v>
          </cell>
          <cell r="S4061" t="str">
            <v>-</v>
          </cell>
          <cell r="T4061" t="str">
            <v>-</v>
          </cell>
          <cell r="U4061" t="str">
            <v>-</v>
          </cell>
          <cell r="V4061" t="str">
            <v>SS</v>
          </cell>
          <cell r="W4061" t="str">
            <v>-</v>
          </cell>
          <cell r="X4061" t="str">
            <v>CLP VG 220 = -15° + 40°</v>
          </cell>
          <cell r="Y4061" t="str">
            <v>KH127DRN160L4 /TF</v>
          </cell>
          <cell r="Z4061" t="str">
            <v>SEW</v>
          </cell>
          <cell r="AB4061" t="str">
            <v>-</v>
          </cell>
          <cell r="AF4061">
            <v>13</v>
          </cell>
          <cell r="AG4061" t="str">
            <v>DRN160L4</v>
          </cell>
          <cell r="AH4061" t="str">
            <v>KH127-DRN160L4B270-X</v>
          </cell>
        </row>
        <row r="4062">
          <cell r="A4062" t="str">
            <v>MR004051</v>
          </cell>
          <cell r="B4062" t="str">
            <v>MR</v>
          </cell>
          <cell r="C4062">
            <v>4</v>
          </cell>
          <cell r="D4062">
            <v>14</v>
          </cell>
          <cell r="E4062" t="str">
            <v>KH97</v>
          </cell>
          <cell r="F4062">
            <v>2740</v>
          </cell>
          <cell r="G4062">
            <v>105.13</v>
          </cell>
          <cell r="H4062">
            <v>1.55</v>
          </cell>
          <cell r="I4062" t="str">
            <v>From M1B to M2B - 15°</v>
          </cell>
          <cell r="J4062" t="str">
            <v>IE3</v>
          </cell>
          <cell r="K4062" t="str">
            <v>230/400</v>
          </cell>
          <cell r="L4062">
            <v>50</v>
          </cell>
          <cell r="M4062" t="str">
            <v>13,8/7,9</v>
          </cell>
          <cell r="N4062">
            <v>65</v>
          </cell>
          <cell r="O4062" t="str">
            <v>155(F)</v>
          </cell>
          <cell r="P4062" t="str">
            <v>270°</v>
          </cell>
          <cell r="Q4062" t="str">
            <v>TF</v>
          </cell>
          <cell r="R4062" t="str">
            <v>-</v>
          </cell>
          <cell r="S4062" t="str">
            <v>-</v>
          </cell>
          <cell r="T4062" t="str">
            <v>-</v>
          </cell>
          <cell r="U4062" t="str">
            <v>-</v>
          </cell>
          <cell r="V4062" t="str">
            <v>SS</v>
          </cell>
          <cell r="W4062" t="str">
            <v>-</v>
          </cell>
          <cell r="X4062" t="str">
            <v>CLP VG 220 = -15° + 40°</v>
          </cell>
          <cell r="Y4062" t="str">
            <v>KH97DRN112M4 /TF</v>
          </cell>
          <cell r="Z4062" t="str">
            <v>SEW</v>
          </cell>
          <cell r="AB4062" t="str">
            <v>-</v>
          </cell>
          <cell r="AF4062">
            <v>14</v>
          </cell>
          <cell r="AG4062" t="str">
            <v>DRN112M4</v>
          </cell>
          <cell r="AH4062" t="str">
            <v>KH97-DRN112M4B270-X</v>
          </cell>
        </row>
        <row r="4063">
          <cell r="A4063" t="str">
            <v>MR004052</v>
          </cell>
          <cell r="B4063" t="str">
            <v>MR</v>
          </cell>
          <cell r="C4063">
            <v>9.1999999999999993</v>
          </cell>
          <cell r="D4063">
            <v>15</v>
          </cell>
          <cell r="E4063" t="str">
            <v>KH107</v>
          </cell>
          <cell r="F4063">
            <v>6020</v>
          </cell>
          <cell r="G4063">
            <v>100.75</v>
          </cell>
          <cell r="H4063">
            <v>1.35</v>
          </cell>
          <cell r="I4063" t="str">
            <v>From M1A to M2A - 15°</v>
          </cell>
          <cell r="J4063" t="str">
            <v>IE3</v>
          </cell>
          <cell r="K4063" t="str">
            <v>400/690</v>
          </cell>
          <cell r="L4063">
            <v>50</v>
          </cell>
          <cell r="M4063" t="str">
            <v>18,7/10,8</v>
          </cell>
          <cell r="N4063">
            <v>65</v>
          </cell>
          <cell r="O4063" t="str">
            <v>155(F)</v>
          </cell>
          <cell r="P4063" t="str">
            <v>270°</v>
          </cell>
          <cell r="Q4063" t="str">
            <v>TF</v>
          </cell>
          <cell r="R4063" t="str">
            <v>-</v>
          </cell>
          <cell r="S4063" t="str">
            <v>-</v>
          </cell>
          <cell r="T4063" t="str">
            <v>-</v>
          </cell>
          <cell r="U4063" t="str">
            <v>-</v>
          </cell>
          <cell r="V4063" t="str">
            <v>SS</v>
          </cell>
          <cell r="W4063" t="str">
            <v>-</v>
          </cell>
          <cell r="X4063" t="str">
            <v>CLP VG 220 = -15° + 40°</v>
          </cell>
          <cell r="Y4063" t="str">
            <v>KH107DRN132L4 /TF</v>
          </cell>
          <cell r="Z4063" t="str">
            <v>SEW</v>
          </cell>
          <cell r="AB4063" t="str">
            <v>-</v>
          </cell>
          <cell r="AF4063">
            <v>15</v>
          </cell>
          <cell r="AG4063" t="str">
            <v>DRN132L4</v>
          </cell>
          <cell r="AH4063" t="str">
            <v>KH107-DRN132L4A270-X</v>
          </cell>
        </row>
        <row r="4064">
          <cell r="A4064" t="str">
            <v>MR004053</v>
          </cell>
          <cell r="B4064" t="str">
            <v>MR</v>
          </cell>
          <cell r="C4064">
            <v>9.1999999999999993</v>
          </cell>
          <cell r="D4064">
            <v>15</v>
          </cell>
          <cell r="E4064" t="str">
            <v>KH107</v>
          </cell>
          <cell r="F4064">
            <v>6020</v>
          </cell>
          <cell r="G4064">
            <v>100.75</v>
          </cell>
          <cell r="H4064">
            <v>1.35</v>
          </cell>
          <cell r="I4064" t="str">
            <v>From M1B to M2B - 15°</v>
          </cell>
          <cell r="J4064" t="str">
            <v>IE3</v>
          </cell>
          <cell r="K4064" t="str">
            <v>400/690</v>
          </cell>
          <cell r="L4064">
            <v>50</v>
          </cell>
          <cell r="M4064" t="str">
            <v>18,7/10,8</v>
          </cell>
          <cell r="N4064">
            <v>65</v>
          </cell>
          <cell r="O4064" t="str">
            <v>155(F)</v>
          </cell>
          <cell r="P4064" t="str">
            <v>270°</v>
          </cell>
          <cell r="Q4064" t="str">
            <v>TF</v>
          </cell>
          <cell r="R4064" t="str">
            <v>-</v>
          </cell>
          <cell r="S4064" t="str">
            <v>-</v>
          </cell>
          <cell r="T4064" t="str">
            <v>-</v>
          </cell>
          <cell r="U4064" t="str">
            <v>-</v>
          </cell>
          <cell r="V4064" t="str">
            <v>SS</v>
          </cell>
          <cell r="W4064" t="str">
            <v>-</v>
          </cell>
          <cell r="X4064" t="str">
            <v>CLP VG 220 = -15° + 40°</v>
          </cell>
          <cell r="Y4064" t="str">
            <v>KH107DRN132L4 /TF</v>
          </cell>
          <cell r="Z4064" t="str">
            <v>SEW</v>
          </cell>
          <cell r="AB4064" t="str">
            <v>-</v>
          </cell>
          <cell r="AF4064">
            <v>15</v>
          </cell>
          <cell r="AG4064" t="str">
            <v>DRN132L4</v>
          </cell>
          <cell r="AH4064" t="str">
            <v>KH107-DRN132L4B270-X</v>
          </cell>
        </row>
        <row r="4065">
          <cell r="A4065" t="str">
            <v>MR004054</v>
          </cell>
          <cell r="B4065" t="str">
            <v>MR</v>
          </cell>
          <cell r="C4065">
            <v>18.5</v>
          </cell>
          <cell r="D4065">
            <v>16</v>
          </cell>
          <cell r="E4065" t="str">
            <v>KH127</v>
          </cell>
          <cell r="F4065">
            <v>10700</v>
          </cell>
          <cell r="G4065">
            <v>89.89</v>
          </cell>
          <cell r="H4065">
            <v>1.2</v>
          </cell>
          <cell r="I4065" t="str">
            <v>From M1A to M2A - 20°</v>
          </cell>
          <cell r="J4065" t="str">
            <v>IE3</v>
          </cell>
          <cell r="K4065" t="str">
            <v>400/690</v>
          </cell>
          <cell r="L4065">
            <v>50</v>
          </cell>
          <cell r="M4065" t="str">
            <v>33,5/19,3</v>
          </cell>
          <cell r="N4065">
            <v>65</v>
          </cell>
          <cell r="O4065" t="str">
            <v>155(F)</v>
          </cell>
          <cell r="P4065" t="str">
            <v>270°</v>
          </cell>
          <cell r="Q4065" t="str">
            <v>TF</v>
          </cell>
          <cell r="R4065" t="str">
            <v>-</v>
          </cell>
          <cell r="S4065" t="str">
            <v>-</v>
          </cell>
          <cell r="T4065" t="str">
            <v>-</v>
          </cell>
          <cell r="U4065" t="str">
            <v>-</v>
          </cell>
          <cell r="V4065" t="str">
            <v>SS</v>
          </cell>
          <cell r="W4065" t="str">
            <v>-</v>
          </cell>
          <cell r="X4065" t="str">
            <v>CLP VG 220 = -15° + 40°</v>
          </cell>
          <cell r="Y4065" t="str">
            <v>KH127DRN180M4 /TF</v>
          </cell>
          <cell r="Z4065" t="str">
            <v>SEW</v>
          </cell>
          <cell r="AB4065" t="str">
            <v>-</v>
          </cell>
          <cell r="AF4065">
            <v>16</v>
          </cell>
          <cell r="AG4065" t="str">
            <v>DRN180M4</v>
          </cell>
          <cell r="AH4065" t="str">
            <v>KH127-DRN180M4A270-X</v>
          </cell>
        </row>
        <row r="4066">
          <cell r="A4066" t="str">
            <v>MR004055</v>
          </cell>
          <cell r="B4066" t="str">
            <v>MR</v>
          </cell>
          <cell r="C4066">
            <v>11</v>
          </cell>
          <cell r="D4066">
            <v>15</v>
          </cell>
          <cell r="E4066" t="str">
            <v>KH107</v>
          </cell>
          <cell r="F4066">
            <v>7180</v>
          </cell>
          <cell r="G4066">
            <v>100.75</v>
          </cell>
          <cell r="H4066">
            <v>1.1000000000000001</v>
          </cell>
          <cell r="I4066" t="str">
            <v>From M1B to M2B - 20°</v>
          </cell>
          <cell r="J4066" t="str">
            <v>IE3</v>
          </cell>
          <cell r="K4066" t="str">
            <v>400/690</v>
          </cell>
          <cell r="L4066">
            <v>50</v>
          </cell>
          <cell r="M4066" t="str">
            <v>21/12,2</v>
          </cell>
          <cell r="N4066">
            <v>65</v>
          </cell>
          <cell r="O4066" t="str">
            <v>155(F)</v>
          </cell>
          <cell r="P4066" t="str">
            <v>270°</v>
          </cell>
          <cell r="Q4066" t="str">
            <v>TF</v>
          </cell>
          <cell r="R4066" t="str">
            <v>-</v>
          </cell>
          <cell r="S4066" t="str">
            <v>-</v>
          </cell>
          <cell r="T4066" t="str">
            <v>-</v>
          </cell>
          <cell r="U4066" t="str">
            <v>-</v>
          </cell>
          <cell r="V4066" t="str">
            <v>SS</v>
          </cell>
          <cell r="W4066" t="str">
            <v>-</v>
          </cell>
          <cell r="X4066" t="str">
            <v>CLP VG 220 = -15° + 40°</v>
          </cell>
          <cell r="Y4066" t="str">
            <v>KH107DRN160M4 /TF</v>
          </cell>
          <cell r="Z4066" t="str">
            <v>SEW</v>
          </cell>
          <cell r="AB4066" t="str">
            <v>-</v>
          </cell>
          <cell r="AF4066">
            <v>15</v>
          </cell>
          <cell r="AG4066" t="str">
            <v>DRN160M4</v>
          </cell>
          <cell r="AH4066" t="str">
            <v>KH107-DRN160M4B270-X</v>
          </cell>
        </row>
        <row r="4067">
          <cell r="A4067" t="str">
            <v>MR004056</v>
          </cell>
          <cell r="B4067" t="str">
            <v>MR</v>
          </cell>
          <cell r="C4067">
            <v>22</v>
          </cell>
          <cell r="D4067">
            <v>12</v>
          </cell>
          <cell r="E4067" t="str">
            <v>KH157</v>
          </cell>
          <cell r="F4067">
            <v>17400</v>
          </cell>
          <cell r="G4067">
            <v>122.39</v>
          </cell>
          <cell r="H4067">
            <v>1.1499999999999999</v>
          </cell>
          <cell r="I4067" t="str">
            <v>From M1A to M2A - 25°</v>
          </cell>
          <cell r="J4067" t="str">
            <v>IE3</v>
          </cell>
          <cell r="K4067" t="str">
            <v>400/690</v>
          </cell>
          <cell r="L4067">
            <v>50</v>
          </cell>
          <cell r="M4067" t="str">
            <v>38,5/22,5</v>
          </cell>
          <cell r="N4067">
            <v>65</v>
          </cell>
          <cell r="O4067" t="str">
            <v>155(F)</v>
          </cell>
          <cell r="P4067" t="str">
            <v>270°</v>
          </cell>
          <cell r="Q4067" t="str">
            <v>TF</v>
          </cell>
          <cell r="R4067" t="str">
            <v>-</v>
          </cell>
          <cell r="S4067" t="str">
            <v>-</v>
          </cell>
          <cell r="T4067" t="str">
            <v>-</v>
          </cell>
          <cell r="U4067" t="str">
            <v>-</v>
          </cell>
          <cell r="V4067" t="str">
            <v>SS</v>
          </cell>
          <cell r="W4067" t="str">
            <v>-</v>
          </cell>
          <cell r="X4067" t="str">
            <v>CLP VG 220 = -15° + 40°</v>
          </cell>
          <cell r="Y4067" t="str">
            <v>KH157DRN180L4 /TF</v>
          </cell>
          <cell r="Z4067" t="str">
            <v>SEW</v>
          </cell>
          <cell r="AB4067" t="str">
            <v>-</v>
          </cell>
          <cell r="AF4067">
            <v>12</v>
          </cell>
          <cell r="AG4067" t="str">
            <v>DRN180L4</v>
          </cell>
          <cell r="AH4067" t="str">
            <v>KH157-DRN180L4A270-X</v>
          </cell>
        </row>
        <row r="4068">
          <cell r="A4068" t="str">
            <v>MR004057</v>
          </cell>
          <cell r="B4068" t="str">
            <v>MR</v>
          </cell>
          <cell r="C4068">
            <v>22</v>
          </cell>
          <cell r="D4068">
            <v>12</v>
          </cell>
          <cell r="E4068" t="str">
            <v>KH157</v>
          </cell>
          <cell r="F4068">
            <v>17400</v>
          </cell>
          <cell r="G4068">
            <v>122.39</v>
          </cell>
          <cell r="H4068">
            <v>1.1499999999999999</v>
          </cell>
          <cell r="I4068" t="str">
            <v>From M1B to M2B - 25°</v>
          </cell>
          <cell r="J4068" t="str">
            <v>IE3</v>
          </cell>
          <cell r="K4068" t="str">
            <v>400/690</v>
          </cell>
          <cell r="L4068">
            <v>50</v>
          </cell>
          <cell r="M4068" t="str">
            <v>38,5/22,5</v>
          </cell>
          <cell r="N4068">
            <v>65</v>
          </cell>
          <cell r="O4068" t="str">
            <v>155(F)</v>
          </cell>
          <cell r="P4068" t="str">
            <v>270°</v>
          </cell>
          <cell r="Q4068" t="str">
            <v>TF</v>
          </cell>
          <cell r="R4068" t="str">
            <v>-</v>
          </cell>
          <cell r="S4068" t="str">
            <v>-</v>
          </cell>
          <cell r="T4068" t="str">
            <v>-</v>
          </cell>
          <cell r="U4068" t="str">
            <v>-</v>
          </cell>
          <cell r="V4068" t="str">
            <v>SS</v>
          </cell>
          <cell r="W4068" t="str">
            <v>-</v>
          </cell>
          <cell r="X4068" t="str">
            <v>CLP VG 220 = -15° + 40°</v>
          </cell>
          <cell r="Y4068" t="str">
            <v>KH157DRN180L4 /TF</v>
          </cell>
          <cell r="Z4068" t="str">
            <v>SEW</v>
          </cell>
          <cell r="AB4068" t="str">
            <v>-</v>
          </cell>
          <cell r="AF4068">
            <v>12</v>
          </cell>
          <cell r="AG4068" t="str">
            <v>DRN180L4</v>
          </cell>
          <cell r="AH4068" t="str">
            <v>KH157-DRN180L4B270-X</v>
          </cell>
        </row>
        <row r="4069">
          <cell r="A4069" t="str">
            <v>MR004058</v>
          </cell>
          <cell r="B4069" t="str">
            <v>MR</v>
          </cell>
          <cell r="C4069">
            <v>1.5</v>
          </cell>
          <cell r="D4069">
            <v>22</v>
          </cell>
          <cell r="E4069" t="str">
            <v>FA67</v>
          </cell>
          <cell r="F4069">
            <v>660</v>
          </cell>
          <cell r="G4069">
            <v>67.650000000000006</v>
          </cell>
          <cell r="H4069">
            <v>1.25</v>
          </cell>
          <cell r="I4069" t="str">
            <v>From M1 to M6 - 65°</v>
          </cell>
          <cell r="J4069" t="str">
            <v>IE3</v>
          </cell>
          <cell r="K4069" t="str">
            <v>230/400</v>
          </cell>
          <cell r="L4069">
            <v>50</v>
          </cell>
          <cell r="M4069" t="str">
            <v>5,9/3,4</v>
          </cell>
          <cell r="N4069">
            <v>65</v>
          </cell>
          <cell r="O4069" t="str">
            <v>155(F)</v>
          </cell>
          <cell r="P4069" t="str">
            <v>270°</v>
          </cell>
          <cell r="Q4069" t="str">
            <v>TF</v>
          </cell>
          <cell r="R4069" t="str">
            <v>-</v>
          </cell>
          <cell r="S4069" t="str">
            <v>-</v>
          </cell>
          <cell r="T4069" t="str">
            <v>BEHF</v>
          </cell>
          <cell r="U4069" t="str">
            <v>G</v>
          </cell>
          <cell r="V4069" t="str">
            <v>D+R</v>
          </cell>
          <cell r="W4069" t="str">
            <v>-</v>
          </cell>
          <cell r="X4069" t="str">
            <v>CLP VG 220 = -15° + 40°</v>
          </cell>
          <cell r="Y4069" t="str">
            <v>FA67/G DRN90L4 /BEHF /TF</v>
          </cell>
          <cell r="Z4069" t="str">
            <v>SEW</v>
          </cell>
          <cell r="AB4069" t="str">
            <v>-</v>
          </cell>
          <cell r="AF4069">
            <v>22</v>
          </cell>
          <cell r="AG4069" t="str">
            <v>DRN90L4</v>
          </cell>
          <cell r="AH4069" t="str">
            <v>FA67G-DRN90L4270-X</v>
          </cell>
        </row>
        <row r="4070">
          <cell r="A4070" t="str">
            <v>MR004059</v>
          </cell>
          <cell r="B4070" t="str">
            <v>MR</v>
          </cell>
          <cell r="C4070">
            <v>18.5</v>
          </cell>
          <cell r="D4070">
            <v>16</v>
          </cell>
          <cell r="E4070" t="str">
            <v>KH127</v>
          </cell>
          <cell r="F4070">
            <v>10700</v>
          </cell>
          <cell r="G4070">
            <v>89.89</v>
          </cell>
          <cell r="H4070">
            <v>1.2</v>
          </cell>
          <cell r="I4070" t="str">
            <v>From M1B to M2B - 10°</v>
          </cell>
          <cell r="J4070" t="str">
            <v>IE3</v>
          </cell>
          <cell r="K4070" t="str">
            <v>400/690</v>
          </cell>
          <cell r="L4070">
            <v>50</v>
          </cell>
          <cell r="M4070" t="str">
            <v>33,5/19,3</v>
          </cell>
          <cell r="N4070">
            <v>65</v>
          </cell>
          <cell r="O4070" t="str">
            <v>155(F)</v>
          </cell>
          <cell r="P4070" t="str">
            <v>270°</v>
          </cell>
          <cell r="Q4070" t="str">
            <v>TF</v>
          </cell>
          <cell r="R4070" t="str">
            <v>-</v>
          </cell>
          <cell r="S4070" t="str">
            <v>-</v>
          </cell>
          <cell r="T4070" t="str">
            <v>-</v>
          </cell>
          <cell r="U4070" t="str">
            <v>-</v>
          </cell>
          <cell r="V4070" t="str">
            <v>SS</v>
          </cell>
          <cell r="W4070" t="str">
            <v>-</v>
          </cell>
          <cell r="X4070" t="str">
            <v>CLP VG 220 = -15° + 40°</v>
          </cell>
          <cell r="Y4070" t="str">
            <v>KH127DRN180M4 /TF</v>
          </cell>
          <cell r="Z4070" t="str">
            <v>SEW</v>
          </cell>
          <cell r="AB4070" t="str">
            <v>-</v>
          </cell>
          <cell r="AF4070">
            <v>16</v>
          </cell>
          <cell r="AG4070" t="str">
            <v>DRN180M4</v>
          </cell>
          <cell r="AH4070" t="str">
            <v>KH127-DRN180M4B270-X</v>
          </cell>
        </row>
        <row r="4071">
          <cell r="A4071" t="str">
            <v>MR004060</v>
          </cell>
          <cell r="B4071" t="str">
            <v>MR</v>
          </cell>
          <cell r="C4071">
            <v>15</v>
          </cell>
          <cell r="D4071">
            <v>16</v>
          </cell>
          <cell r="E4071" t="str">
            <v>KH127</v>
          </cell>
          <cell r="F4071">
            <v>8730</v>
          </cell>
          <cell r="G4071">
            <v>89.89</v>
          </cell>
          <cell r="H4071">
            <v>1.5</v>
          </cell>
          <cell r="I4071" t="str">
            <v>M1B</v>
          </cell>
          <cell r="J4071" t="str">
            <v>IE3</v>
          </cell>
          <cell r="K4071" t="str">
            <v>400/690</v>
          </cell>
          <cell r="L4071">
            <v>50</v>
          </cell>
          <cell r="M4071" t="str">
            <v>29/16,7</v>
          </cell>
          <cell r="N4071">
            <v>65</v>
          </cell>
          <cell r="O4071" t="str">
            <v>155(F)</v>
          </cell>
          <cell r="P4071" t="str">
            <v>270°</v>
          </cell>
          <cell r="Q4071" t="str">
            <v>TF</v>
          </cell>
          <cell r="R4071" t="str">
            <v>-</v>
          </cell>
          <cell r="S4071" t="str">
            <v>-</v>
          </cell>
          <cell r="T4071" t="str">
            <v>-</v>
          </cell>
          <cell r="U4071" t="str">
            <v>-</v>
          </cell>
          <cell r="V4071" t="str">
            <v>SS</v>
          </cell>
          <cell r="W4071" t="str">
            <v>-</v>
          </cell>
          <cell r="X4071" t="str">
            <v>CLP VG 220 = -15° + 40°</v>
          </cell>
          <cell r="Y4071" t="str">
            <v>KH127DRN160L4 /TF</v>
          </cell>
          <cell r="Z4071" t="str">
            <v>SEW</v>
          </cell>
          <cell r="AB4071" t="str">
            <v>-</v>
          </cell>
          <cell r="AF4071">
            <v>16</v>
          </cell>
          <cell r="AG4071" t="str">
            <v>DRN160L4</v>
          </cell>
          <cell r="AH4071" t="str">
            <v>KH127-DRN160L4B270-X</v>
          </cell>
        </row>
        <row r="4072">
          <cell r="A4072" t="str">
            <v>MR004061</v>
          </cell>
          <cell r="B4072" t="str">
            <v>MR</v>
          </cell>
          <cell r="C4072">
            <v>22</v>
          </cell>
          <cell r="D4072">
            <v>59</v>
          </cell>
          <cell r="E4072" t="str">
            <v>R107</v>
          </cell>
          <cell r="F4072">
            <v>3540</v>
          </cell>
          <cell r="G4072">
            <v>24.9</v>
          </cell>
          <cell r="H4072">
            <v>1.2</v>
          </cell>
          <cell r="I4072" t="str">
            <v>M1</v>
          </cell>
          <cell r="J4072" t="str">
            <v>IE3</v>
          </cell>
          <cell r="K4072" t="str">
            <v>400/690</v>
          </cell>
          <cell r="L4072">
            <v>50</v>
          </cell>
          <cell r="M4072" t="str">
            <v>40,5/23,5</v>
          </cell>
          <cell r="N4072">
            <v>65</v>
          </cell>
          <cell r="O4072" t="str">
            <v>155(F)</v>
          </cell>
          <cell r="P4072" t="str">
            <v>270°</v>
          </cell>
          <cell r="Q4072" t="str">
            <v>-</v>
          </cell>
          <cell r="R4072" t="str">
            <v>-</v>
          </cell>
          <cell r="S4072" t="str">
            <v>-</v>
          </cell>
          <cell r="T4072" t="str">
            <v>-</v>
          </cell>
          <cell r="U4072" t="str">
            <v>-</v>
          </cell>
          <cell r="V4072" t="str">
            <v>D</v>
          </cell>
          <cell r="W4072" t="str">
            <v>-</v>
          </cell>
          <cell r="X4072" t="str">
            <v>CLP HC VG 220 = -20° + 60°</v>
          </cell>
          <cell r="Y4072" t="str">
            <v>R107EDRN180L4</v>
          </cell>
          <cell r="Z4072" t="str">
            <v>SEW</v>
          </cell>
          <cell r="AB4072" t="str">
            <v>ATEX22</v>
          </cell>
          <cell r="AF4072">
            <v>59</v>
          </cell>
          <cell r="AG4072" t="str">
            <v>EDRN180L4</v>
          </cell>
          <cell r="AH4072" t="str">
            <v>R107-EDRN180L4270-X</v>
          </cell>
        </row>
        <row r="4073">
          <cell r="A4073" t="str">
            <v>MR004062</v>
          </cell>
          <cell r="B4073" t="str">
            <v>MR</v>
          </cell>
          <cell r="C4073">
            <v>7.5</v>
          </cell>
          <cell r="D4073">
            <v>63</v>
          </cell>
          <cell r="E4073" t="str">
            <v>R87</v>
          </cell>
          <cell r="F4073">
            <v>1140</v>
          </cell>
          <cell r="G4073">
            <v>23.4</v>
          </cell>
          <cell r="H4073">
            <v>1.05</v>
          </cell>
          <cell r="I4073" t="str">
            <v>M1</v>
          </cell>
          <cell r="J4073" t="str">
            <v>IE3</v>
          </cell>
          <cell r="K4073" t="str">
            <v>400/690</v>
          </cell>
          <cell r="L4073">
            <v>50</v>
          </cell>
          <cell r="M4073" t="str">
            <v>15,7/9</v>
          </cell>
          <cell r="N4073">
            <v>65</v>
          </cell>
          <cell r="O4073" t="str">
            <v>155(F)</v>
          </cell>
          <cell r="P4073" t="str">
            <v>270°</v>
          </cell>
          <cell r="Q4073" t="str">
            <v>-</v>
          </cell>
          <cell r="R4073" t="str">
            <v>-</v>
          </cell>
          <cell r="S4073" t="str">
            <v>-</v>
          </cell>
          <cell r="T4073" t="str">
            <v>-</v>
          </cell>
          <cell r="U4073" t="str">
            <v>-</v>
          </cell>
          <cell r="V4073" t="str">
            <v>D</v>
          </cell>
          <cell r="W4073" t="str">
            <v>-</v>
          </cell>
          <cell r="X4073" t="str">
            <v>CLP HC VG 220 = -20° + 60°</v>
          </cell>
          <cell r="Y4073" t="str">
            <v>R87EDRN132M4</v>
          </cell>
          <cell r="Z4073" t="str">
            <v>SEW</v>
          </cell>
          <cell r="AB4073" t="str">
            <v>ATEX22</v>
          </cell>
          <cell r="AF4073">
            <v>63</v>
          </cell>
          <cell r="AG4073" t="str">
            <v>EDRN132M4</v>
          </cell>
          <cell r="AH4073" t="str">
            <v>R87-EDRN132M4270-X</v>
          </cell>
        </row>
        <row r="4074">
          <cell r="A4074" t="str">
            <v>MR004063</v>
          </cell>
          <cell r="B4074" t="str">
            <v>MR</v>
          </cell>
          <cell r="C4074">
            <v>7.5</v>
          </cell>
          <cell r="D4074">
            <v>68</v>
          </cell>
          <cell r="E4074" t="str">
            <v>R87</v>
          </cell>
          <cell r="F4074">
            <v>1050</v>
          </cell>
          <cell r="G4074">
            <v>21.51</v>
          </cell>
          <cell r="H4074">
            <v>1.1499999999999999</v>
          </cell>
          <cell r="I4074" t="str">
            <v>From M1 to M2 - 5°</v>
          </cell>
          <cell r="J4074" t="str">
            <v>IE3</v>
          </cell>
          <cell r="K4074" t="str">
            <v>400/690</v>
          </cell>
          <cell r="L4074">
            <v>50</v>
          </cell>
          <cell r="M4074" t="str">
            <v>15,7/9</v>
          </cell>
          <cell r="N4074">
            <v>65</v>
          </cell>
          <cell r="O4074" t="str">
            <v>155(F)</v>
          </cell>
          <cell r="P4074" t="str">
            <v>270°</v>
          </cell>
          <cell r="Q4074" t="str">
            <v>-</v>
          </cell>
          <cell r="R4074" t="str">
            <v>-</v>
          </cell>
          <cell r="S4074" t="str">
            <v>-</v>
          </cell>
          <cell r="T4074" t="str">
            <v>-</v>
          </cell>
          <cell r="U4074" t="str">
            <v>-</v>
          </cell>
          <cell r="V4074" t="str">
            <v>D</v>
          </cell>
          <cell r="W4074" t="str">
            <v>-</v>
          </cell>
          <cell r="X4074" t="str">
            <v>CLP HC VG 220 = -20° + 60°</v>
          </cell>
          <cell r="Y4074" t="str">
            <v>R87EDRN132M4</v>
          </cell>
          <cell r="Z4074" t="str">
            <v>SEW</v>
          </cell>
          <cell r="AB4074" t="str">
            <v>ATEX22</v>
          </cell>
          <cell r="AF4074">
            <v>68</v>
          </cell>
          <cell r="AG4074" t="str">
            <v>EDRN132M4</v>
          </cell>
          <cell r="AH4074" t="str">
            <v>R87-EDRN132M4270-X</v>
          </cell>
        </row>
        <row r="4075">
          <cell r="A4075" t="str">
            <v>MR004064</v>
          </cell>
          <cell r="B4075" t="str">
            <v>MR</v>
          </cell>
          <cell r="C4075">
            <v>15</v>
          </cell>
          <cell r="D4075">
            <v>53</v>
          </cell>
          <cell r="E4075" t="str">
            <v>R107</v>
          </cell>
          <cell r="F4075">
            <v>2680</v>
          </cell>
          <cell r="G4075">
            <v>27.58</v>
          </cell>
          <cell r="H4075">
            <v>1.6</v>
          </cell>
          <cell r="I4075" t="str">
            <v>From M1 to M4 - 5°</v>
          </cell>
          <cell r="J4075" t="str">
            <v>IE3</v>
          </cell>
          <cell r="K4075" t="str">
            <v>400/690</v>
          </cell>
          <cell r="L4075">
            <v>50</v>
          </cell>
          <cell r="M4075" t="str">
            <v>29,5/16,9</v>
          </cell>
          <cell r="N4075">
            <v>65</v>
          </cell>
          <cell r="O4075" t="str">
            <v>155(F)</v>
          </cell>
          <cell r="P4075" t="str">
            <v>270°</v>
          </cell>
          <cell r="Q4075" t="str">
            <v>-</v>
          </cell>
          <cell r="R4075" t="str">
            <v>-</v>
          </cell>
          <cell r="S4075" t="str">
            <v>-</v>
          </cell>
          <cell r="T4075" t="str">
            <v>-</v>
          </cell>
          <cell r="U4075" t="str">
            <v>-</v>
          </cell>
          <cell r="V4075" t="str">
            <v>D+R</v>
          </cell>
          <cell r="W4075" t="str">
            <v>-</v>
          </cell>
          <cell r="X4075" t="str">
            <v>CLP HC VG 220 = -20° + 60°</v>
          </cell>
          <cell r="Y4075" t="str">
            <v>R107EDRN160L4</v>
          </cell>
          <cell r="Z4075" t="str">
            <v>SEW</v>
          </cell>
          <cell r="AB4075" t="str">
            <v>ATEX22</v>
          </cell>
          <cell r="AF4075">
            <v>53</v>
          </cell>
          <cell r="AG4075" t="str">
            <v>EDRN160L4</v>
          </cell>
          <cell r="AH4075" t="str">
            <v>R107-EDRN160L4270-X</v>
          </cell>
        </row>
        <row r="4076">
          <cell r="A4076" t="str">
            <v>MR004065</v>
          </cell>
          <cell r="B4076" t="str">
            <v>MR</v>
          </cell>
          <cell r="C4076">
            <v>55</v>
          </cell>
          <cell r="D4076">
            <v>61</v>
          </cell>
          <cell r="E4076" t="str">
            <v>R147</v>
          </cell>
          <cell r="F4076">
            <v>8570</v>
          </cell>
          <cell r="G4076">
            <v>24.19</v>
          </cell>
          <cell r="H4076">
            <v>1.25</v>
          </cell>
          <cell r="I4076" t="str">
            <v>M1</v>
          </cell>
          <cell r="J4076" t="str">
            <v>IE3</v>
          </cell>
          <cell r="K4076" t="str">
            <v>400/690</v>
          </cell>
          <cell r="L4076">
            <v>50</v>
          </cell>
          <cell r="M4076" t="str">
            <v>105/60</v>
          </cell>
          <cell r="N4076">
            <v>65</v>
          </cell>
          <cell r="O4076" t="str">
            <v>155(F)</v>
          </cell>
          <cell r="P4076" t="str">
            <v>270°</v>
          </cell>
          <cell r="Q4076" t="str">
            <v>-</v>
          </cell>
          <cell r="R4076" t="str">
            <v>-</v>
          </cell>
          <cell r="S4076" t="str">
            <v>-</v>
          </cell>
          <cell r="T4076" t="str">
            <v>-</v>
          </cell>
          <cell r="U4076" t="str">
            <v>-</v>
          </cell>
          <cell r="V4076" t="str">
            <v>D</v>
          </cell>
          <cell r="W4076" t="str">
            <v>-</v>
          </cell>
          <cell r="X4076" t="str">
            <v>CLP HC VG 220 = -20° + 60°</v>
          </cell>
          <cell r="Y4076" t="str">
            <v>R147EDRN250M4</v>
          </cell>
          <cell r="Z4076" t="str">
            <v>SEW</v>
          </cell>
          <cell r="AB4076" t="str">
            <v>ATEX22</v>
          </cell>
          <cell r="AF4076">
            <v>61</v>
          </cell>
          <cell r="AG4076" t="str">
            <v>EDRN250M4</v>
          </cell>
          <cell r="AH4076" t="str">
            <v>R147-EDRN250M4270-X</v>
          </cell>
        </row>
        <row r="4077">
          <cell r="A4077" t="str">
            <v>MR004066</v>
          </cell>
          <cell r="B4077" t="str">
            <v>MR</v>
          </cell>
          <cell r="C4077">
            <v>15</v>
          </cell>
          <cell r="D4077">
            <v>16</v>
          </cell>
          <cell r="E4077" t="str">
            <v>KH127</v>
          </cell>
          <cell r="F4077">
            <v>8730</v>
          </cell>
          <cell r="G4077">
            <v>89.89</v>
          </cell>
          <cell r="H4077">
            <v>1.5</v>
          </cell>
          <cell r="I4077" t="str">
            <v>From M1A to M2A - 10°</v>
          </cell>
          <cell r="J4077" t="str">
            <v>IE3</v>
          </cell>
          <cell r="K4077" t="str">
            <v>400/690</v>
          </cell>
          <cell r="L4077">
            <v>50</v>
          </cell>
          <cell r="M4077" t="str">
            <v>29/16,7</v>
          </cell>
          <cell r="N4077">
            <v>55</v>
          </cell>
          <cell r="O4077" t="str">
            <v>155(F)</v>
          </cell>
          <cell r="P4077" t="str">
            <v>180°</v>
          </cell>
          <cell r="Q4077" t="str">
            <v>-</v>
          </cell>
          <cell r="R4077" t="str">
            <v>-</v>
          </cell>
          <cell r="S4077" t="str">
            <v>-</v>
          </cell>
          <cell r="T4077" t="str">
            <v>-</v>
          </cell>
          <cell r="U4077" t="str">
            <v>-</v>
          </cell>
          <cell r="V4077" t="str">
            <v>SS</v>
          </cell>
          <cell r="W4077" t="str">
            <v>-</v>
          </cell>
          <cell r="X4077" t="str">
            <v>CLP 220 (-15/+40°C)</v>
          </cell>
          <cell r="Y4077" t="str">
            <v>KH127DRN160L4</v>
          </cell>
          <cell r="Z4077" t="str">
            <v>SEW</v>
          </cell>
          <cell r="AB4077" t="str">
            <v>-</v>
          </cell>
          <cell r="AF4077">
            <v>16</v>
          </cell>
          <cell r="AG4077" t="str">
            <v>DRN160L4</v>
          </cell>
          <cell r="AH4077" t="str">
            <v>KH127-DRN160L4A180-X</v>
          </cell>
        </row>
        <row r="4078">
          <cell r="A4078" t="str">
            <v>MR004067</v>
          </cell>
          <cell r="B4078" t="str">
            <v>MR</v>
          </cell>
          <cell r="C4078">
            <v>15</v>
          </cell>
          <cell r="D4078">
            <v>16</v>
          </cell>
          <cell r="E4078" t="str">
            <v>KH127</v>
          </cell>
          <cell r="F4078">
            <v>8730</v>
          </cell>
          <cell r="G4078">
            <v>89.89</v>
          </cell>
          <cell r="H4078">
            <v>1.5</v>
          </cell>
          <cell r="I4078" t="str">
            <v>From M1B to M2B - 10°</v>
          </cell>
          <cell r="J4078" t="str">
            <v>IE3</v>
          </cell>
          <cell r="K4078" t="str">
            <v>400/690</v>
          </cell>
          <cell r="L4078">
            <v>50</v>
          </cell>
          <cell r="M4078" t="str">
            <v>29/16,7</v>
          </cell>
          <cell r="N4078">
            <v>55</v>
          </cell>
          <cell r="O4078" t="str">
            <v>155(F)</v>
          </cell>
          <cell r="P4078" t="str">
            <v>0°</v>
          </cell>
          <cell r="Q4078" t="str">
            <v>-</v>
          </cell>
          <cell r="R4078" t="str">
            <v>-</v>
          </cell>
          <cell r="S4078" t="str">
            <v>-</v>
          </cell>
          <cell r="T4078" t="str">
            <v>-</v>
          </cell>
          <cell r="U4078" t="str">
            <v>-</v>
          </cell>
          <cell r="V4078" t="str">
            <v>SS</v>
          </cell>
          <cell r="W4078" t="str">
            <v>-</v>
          </cell>
          <cell r="X4078" t="str">
            <v>CLP 220 (-15/+40°C)</v>
          </cell>
          <cell r="Y4078" t="str">
            <v>KH127DRN160L4</v>
          </cell>
          <cell r="Z4078" t="str">
            <v>SEW</v>
          </cell>
          <cell r="AB4078" t="str">
            <v>-</v>
          </cell>
          <cell r="AF4078">
            <v>16</v>
          </cell>
          <cell r="AG4078" t="str">
            <v>DRN160L4</v>
          </cell>
          <cell r="AH4078" t="str">
            <v>KH127-DRN160L4B0-X</v>
          </cell>
        </row>
        <row r="4079">
          <cell r="A4079" t="str">
            <v>MR004068</v>
          </cell>
          <cell r="B4079" t="str">
            <v>MR</v>
          </cell>
          <cell r="C4079">
            <v>0.75</v>
          </cell>
          <cell r="D4079">
            <v>18</v>
          </cell>
          <cell r="E4079" t="str">
            <v>FA67</v>
          </cell>
          <cell r="F4079">
            <v>395</v>
          </cell>
          <cell r="G4079">
            <v>79.760000000000005</v>
          </cell>
          <cell r="H4079">
            <v>2.1</v>
          </cell>
          <cell r="I4079" t="str">
            <v>From M6 to M1 - 10°</v>
          </cell>
          <cell r="J4079" t="str">
            <v>IE3</v>
          </cell>
          <cell r="K4079" t="str">
            <v>230/400</v>
          </cell>
          <cell r="L4079">
            <v>50</v>
          </cell>
          <cell r="M4079" t="str">
            <v>3,05/1,75</v>
          </cell>
          <cell r="N4079">
            <v>55</v>
          </cell>
          <cell r="O4079" t="str">
            <v>155(F)</v>
          </cell>
          <cell r="P4079" t="str">
            <v>0°</v>
          </cell>
          <cell r="Q4079" t="str">
            <v>-</v>
          </cell>
          <cell r="R4079" t="str">
            <v>-</v>
          </cell>
          <cell r="S4079" t="str">
            <v>-</v>
          </cell>
          <cell r="T4079" t="str">
            <v>BEHF</v>
          </cell>
          <cell r="U4079" t="str">
            <v>G</v>
          </cell>
          <cell r="V4079" t="str">
            <v>D+R</v>
          </cell>
          <cell r="W4079" t="str">
            <v>-</v>
          </cell>
          <cell r="X4079" t="str">
            <v>CLP 220 (-15/+40°C)</v>
          </cell>
          <cell r="Y4079" t="str">
            <v>FA67/G DRN80M4 /BEHF</v>
          </cell>
          <cell r="Z4079" t="str">
            <v>SEW</v>
          </cell>
          <cell r="AB4079" t="str">
            <v>-</v>
          </cell>
          <cell r="AF4079">
            <v>18</v>
          </cell>
          <cell r="AG4079" t="str">
            <v>DRN80M4</v>
          </cell>
          <cell r="AH4079" t="str">
            <v>FA67G-DRN80M40-X</v>
          </cell>
        </row>
        <row r="4080">
          <cell r="A4080" t="str">
            <v>MR004069</v>
          </cell>
          <cell r="B4080" t="str">
            <v>MR</v>
          </cell>
          <cell r="C4080">
            <v>1.5</v>
          </cell>
          <cell r="D4080">
            <v>22</v>
          </cell>
          <cell r="E4080" t="str">
            <v>FA67</v>
          </cell>
          <cell r="F4080">
            <v>660</v>
          </cell>
          <cell r="G4080">
            <v>67.650000000000006</v>
          </cell>
          <cell r="H4080">
            <v>1.25</v>
          </cell>
          <cell r="I4080" t="str">
            <v>From M5  to M1-10°</v>
          </cell>
          <cell r="J4080" t="str">
            <v>IE3</v>
          </cell>
          <cell r="K4080" t="str">
            <v>230/400</v>
          </cell>
          <cell r="L4080">
            <v>50</v>
          </cell>
          <cell r="M4080" t="str">
            <v>5,9/3,4</v>
          </cell>
          <cell r="N4080">
            <v>55</v>
          </cell>
          <cell r="O4080" t="str">
            <v>155(F)</v>
          </cell>
          <cell r="P4080" t="str">
            <v>180°</v>
          </cell>
          <cell r="Q4080" t="str">
            <v>-</v>
          </cell>
          <cell r="R4080" t="str">
            <v>-</v>
          </cell>
          <cell r="S4080" t="str">
            <v>-</v>
          </cell>
          <cell r="T4080" t="str">
            <v>BEHF</v>
          </cell>
          <cell r="U4080" t="str">
            <v>G</v>
          </cell>
          <cell r="V4080" t="str">
            <v>D+R</v>
          </cell>
          <cell r="W4080" t="str">
            <v>-</v>
          </cell>
          <cell r="X4080" t="str">
            <v>CLP 220 (-15/+40°C)</v>
          </cell>
          <cell r="Y4080" t="str">
            <v>FA67/G DRN90L4 /BEHF</v>
          </cell>
          <cell r="Z4080" t="str">
            <v>SEW</v>
          </cell>
          <cell r="AB4080" t="str">
            <v>-</v>
          </cell>
          <cell r="AF4080">
            <v>22</v>
          </cell>
          <cell r="AG4080" t="str">
            <v>DRN90L4</v>
          </cell>
          <cell r="AH4080" t="str">
            <v>FA67G-DRN90L4180-X</v>
          </cell>
        </row>
        <row r="4081">
          <cell r="A4081" t="str">
            <v>MR004070</v>
          </cell>
          <cell r="B4081" t="str">
            <v>MR</v>
          </cell>
          <cell r="C4081">
            <v>11</v>
          </cell>
          <cell r="D4081">
            <v>15</v>
          </cell>
          <cell r="E4081" t="str">
            <v>KH107</v>
          </cell>
          <cell r="F4081">
            <v>7180</v>
          </cell>
          <cell r="G4081">
            <v>100.75</v>
          </cell>
          <cell r="H4081">
            <v>1.1000000000000001</v>
          </cell>
          <cell r="I4081" t="str">
            <v>From M1A to M2A - 35°</v>
          </cell>
          <cell r="J4081" t="str">
            <v>IE3</v>
          </cell>
          <cell r="K4081" t="str">
            <v>400/690</v>
          </cell>
          <cell r="L4081">
            <v>50</v>
          </cell>
          <cell r="M4081" t="str">
            <v>21/12,2</v>
          </cell>
          <cell r="N4081">
            <v>55</v>
          </cell>
          <cell r="O4081" t="str">
            <v>155(F)</v>
          </cell>
          <cell r="P4081" t="str">
            <v>180°</v>
          </cell>
          <cell r="Q4081" t="str">
            <v>-</v>
          </cell>
          <cell r="R4081" t="str">
            <v>-</v>
          </cell>
          <cell r="S4081" t="str">
            <v>-</v>
          </cell>
          <cell r="T4081" t="str">
            <v>-</v>
          </cell>
          <cell r="U4081" t="str">
            <v>-</v>
          </cell>
          <cell r="V4081" t="str">
            <v>SS</v>
          </cell>
          <cell r="W4081" t="str">
            <v>-</v>
          </cell>
          <cell r="X4081" t="str">
            <v>CLP 220 (-15/+40°C)</v>
          </cell>
          <cell r="Y4081" t="str">
            <v>KH107DRN160M4</v>
          </cell>
          <cell r="Z4081" t="str">
            <v>SEW</v>
          </cell>
          <cell r="AB4081" t="str">
            <v>-</v>
          </cell>
          <cell r="AF4081">
            <v>15</v>
          </cell>
          <cell r="AG4081" t="str">
            <v>DRN160M4</v>
          </cell>
          <cell r="AH4081" t="str">
            <v>KH107-DRN160M4A180-X</v>
          </cell>
        </row>
        <row r="4082">
          <cell r="A4082" t="str">
            <v>MR004071</v>
          </cell>
          <cell r="B4082" t="str">
            <v>MR</v>
          </cell>
          <cell r="C4082">
            <v>0.75</v>
          </cell>
          <cell r="D4082">
            <v>18</v>
          </cell>
          <cell r="E4082" t="str">
            <v>FA67</v>
          </cell>
          <cell r="F4082">
            <v>395</v>
          </cell>
          <cell r="G4082">
            <v>79.760000000000005</v>
          </cell>
          <cell r="H4082">
            <v>2.1</v>
          </cell>
          <cell r="I4082" t="str">
            <v>From M5 to M3- 5°</v>
          </cell>
          <cell r="J4082" t="str">
            <v>IE3</v>
          </cell>
          <cell r="K4082" t="str">
            <v>230/400</v>
          </cell>
          <cell r="L4082">
            <v>50</v>
          </cell>
          <cell r="M4082" t="str">
            <v>3,05/1,75</v>
          </cell>
          <cell r="N4082">
            <v>55</v>
          </cell>
          <cell r="O4082" t="str">
            <v>155(F)</v>
          </cell>
          <cell r="P4082" t="str">
            <v>180°</v>
          </cell>
          <cell r="Q4082" t="str">
            <v>-</v>
          </cell>
          <cell r="R4082" t="str">
            <v>-</v>
          </cell>
          <cell r="S4082" t="str">
            <v>-</v>
          </cell>
          <cell r="T4082" t="str">
            <v>BEHF</v>
          </cell>
          <cell r="U4082" t="str">
            <v>G</v>
          </cell>
          <cell r="V4082" t="str">
            <v>D+R</v>
          </cell>
          <cell r="W4082" t="str">
            <v>-</v>
          </cell>
          <cell r="X4082" t="str">
            <v>CLP 220 (-15/+40°C)</v>
          </cell>
          <cell r="Y4082" t="str">
            <v>FA67/G DRN80M4 /BEHF</v>
          </cell>
          <cell r="Z4082" t="str">
            <v>SEW</v>
          </cell>
          <cell r="AB4082" t="str">
            <v>-</v>
          </cell>
          <cell r="AF4082">
            <v>18</v>
          </cell>
          <cell r="AG4082" t="str">
            <v>DRN80M4</v>
          </cell>
          <cell r="AH4082" t="str">
            <v>FA67G-DRN80M4180-X</v>
          </cell>
        </row>
        <row r="4083">
          <cell r="A4083" t="str">
            <v>MR004072</v>
          </cell>
          <cell r="B4083" t="str">
            <v>MR</v>
          </cell>
          <cell r="C4083">
            <v>22</v>
          </cell>
          <cell r="D4083">
            <v>12</v>
          </cell>
          <cell r="E4083" t="str">
            <v>KH157</v>
          </cell>
          <cell r="F4083">
            <v>17400</v>
          </cell>
          <cell r="G4083">
            <v>122.39</v>
          </cell>
          <cell r="H4083">
            <v>1.1499999999999999</v>
          </cell>
          <cell r="I4083" t="str">
            <v>From M1B to M2B - 35°</v>
          </cell>
          <cell r="J4083" t="str">
            <v>IE3</v>
          </cell>
          <cell r="K4083" t="str">
            <v>400/690</v>
          </cell>
          <cell r="L4083">
            <v>50</v>
          </cell>
          <cell r="M4083" t="str">
            <v>38,5/22,5</v>
          </cell>
          <cell r="N4083">
            <v>55</v>
          </cell>
          <cell r="O4083" t="str">
            <v>155(F)</v>
          </cell>
          <cell r="P4083" t="str">
            <v>0°</v>
          </cell>
          <cell r="Q4083" t="str">
            <v>TF</v>
          </cell>
          <cell r="R4083" t="str">
            <v>V(VE)</v>
          </cell>
          <cell r="S4083" t="str">
            <v>-</v>
          </cell>
          <cell r="T4083" t="str">
            <v>-</v>
          </cell>
          <cell r="U4083" t="str">
            <v>-</v>
          </cell>
          <cell r="V4083" t="str">
            <v>FC</v>
          </cell>
          <cell r="W4083" t="str">
            <v>-</v>
          </cell>
          <cell r="X4083" t="str">
            <v>CLP 220 (-15/+40°C)</v>
          </cell>
          <cell r="Y4083" t="str">
            <v>KH157DRN180L4 /TF/V</v>
          </cell>
          <cell r="Z4083" t="str">
            <v>SEW</v>
          </cell>
          <cell r="AB4083" t="str">
            <v>-</v>
          </cell>
          <cell r="AF4083">
            <v>12</v>
          </cell>
          <cell r="AG4083" t="str">
            <v>DRN180L4</v>
          </cell>
          <cell r="AH4083" t="str">
            <v>KH157-DRN180L4B0-X#</v>
          </cell>
        </row>
        <row r="4084">
          <cell r="A4084" t="str">
            <v>MR004073</v>
          </cell>
          <cell r="B4084" t="str">
            <v>MR</v>
          </cell>
          <cell r="C4084">
            <v>11</v>
          </cell>
          <cell r="D4084">
            <v>11</v>
          </cell>
          <cell r="E4084" t="str">
            <v>KH127</v>
          </cell>
          <cell r="F4084">
            <v>9700</v>
          </cell>
          <cell r="G4084">
            <v>136.13999999999999</v>
          </cell>
          <cell r="H4084">
            <v>1.35</v>
          </cell>
          <cell r="I4084" t="str">
            <v>M1B</v>
          </cell>
          <cell r="J4084" t="str">
            <v>IE3</v>
          </cell>
          <cell r="K4084" t="str">
            <v>400/690</v>
          </cell>
          <cell r="L4084">
            <v>50</v>
          </cell>
          <cell r="M4084" t="str">
            <v>21/12,2</v>
          </cell>
          <cell r="N4084">
            <v>55</v>
          </cell>
          <cell r="O4084" t="str">
            <v>155(F)</v>
          </cell>
          <cell r="P4084" t="str">
            <v>0°</v>
          </cell>
          <cell r="Q4084" t="str">
            <v>-</v>
          </cell>
          <cell r="R4084" t="str">
            <v>-</v>
          </cell>
          <cell r="S4084" t="str">
            <v>-</v>
          </cell>
          <cell r="T4084" t="str">
            <v>-</v>
          </cell>
          <cell r="U4084" t="str">
            <v>-</v>
          </cell>
          <cell r="V4084" t="str">
            <v>SS</v>
          </cell>
          <cell r="W4084" t="str">
            <v>-</v>
          </cell>
          <cell r="X4084" t="str">
            <v>CLP 220 (-15/+40°C)</v>
          </cell>
          <cell r="Y4084" t="str">
            <v>KH127DRN160M4</v>
          </cell>
          <cell r="Z4084" t="str">
            <v>SEW</v>
          </cell>
          <cell r="AB4084" t="str">
            <v>-</v>
          </cell>
          <cell r="AF4084">
            <v>11</v>
          </cell>
          <cell r="AG4084" t="str">
            <v>DRN160M4</v>
          </cell>
          <cell r="AH4084" t="str">
            <v>KH127-DRN160M4B0-X</v>
          </cell>
        </row>
        <row r="4085">
          <cell r="A4085" t="str">
            <v>MR004074</v>
          </cell>
          <cell r="B4085" t="str">
            <v>MR</v>
          </cell>
          <cell r="C4085">
            <v>5.5</v>
          </cell>
          <cell r="D4085">
            <v>14</v>
          </cell>
          <cell r="E4085" t="str">
            <v>KH97</v>
          </cell>
          <cell r="F4085">
            <v>3780</v>
          </cell>
          <cell r="G4085">
            <v>105.13</v>
          </cell>
          <cell r="H4085">
            <v>1.1499999999999999</v>
          </cell>
          <cell r="I4085" t="str">
            <v>From M1A to M2A - 20°</v>
          </cell>
          <cell r="J4085" t="str">
            <v>IE3</v>
          </cell>
          <cell r="K4085" t="str">
            <v>230/400</v>
          </cell>
          <cell r="L4085">
            <v>50</v>
          </cell>
          <cell r="M4085" t="str">
            <v>18,2/10,5</v>
          </cell>
          <cell r="N4085">
            <v>55</v>
          </cell>
          <cell r="O4085" t="str">
            <v>155(F)</v>
          </cell>
          <cell r="P4085" t="str">
            <v>180°</v>
          </cell>
          <cell r="Q4085" t="str">
            <v>-</v>
          </cell>
          <cell r="R4085" t="str">
            <v>-</v>
          </cell>
          <cell r="S4085" t="str">
            <v>-</v>
          </cell>
          <cell r="T4085" t="str">
            <v>-</v>
          </cell>
          <cell r="U4085" t="str">
            <v>-</v>
          </cell>
          <cell r="V4085" t="str">
            <v>SS</v>
          </cell>
          <cell r="W4085" t="str">
            <v>-</v>
          </cell>
          <cell r="X4085" t="str">
            <v>CLP 220 (-15/+40°C)</v>
          </cell>
          <cell r="Y4085" t="str">
            <v>KH97DRN132S4</v>
          </cell>
          <cell r="Z4085" t="str">
            <v>SEW</v>
          </cell>
          <cell r="AB4085" t="str">
            <v>-</v>
          </cell>
          <cell r="AF4085">
            <v>14</v>
          </cell>
          <cell r="AG4085" t="str">
            <v>DRN132S4</v>
          </cell>
          <cell r="AH4085" t="str">
            <v>KH97-DRN132S4A180-X</v>
          </cell>
        </row>
        <row r="4086">
          <cell r="A4086" t="str">
            <v>MR004075</v>
          </cell>
          <cell r="B4086" t="str">
            <v>MR</v>
          </cell>
          <cell r="C4086">
            <v>5.5</v>
          </cell>
          <cell r="D4086">
            <v>14</v>
          </cell>
          <cell r="E4086" t="str">
            <v>KH97</v>
          </cell>
          <cell r="F4086">
            <v>3780</v>
          </cell>
          <cell r="G4086">
            <v>105.13</v>
          </cell>
          <cell r="H4086">
            <v>1.1499999999999999</v>
          </cell>
          <cell r="I4086" t="str">
            <v>From M1A to M2A - 40°</v>
          </cell>
          <cell r="J4086" t="str">
            <v>IE3</v>
          </cell>
          <cell r="K4086" t="str">
            <v>230/400</v>
          </cell>
          <cell r="L4086">
            <v>50</v>
          </cell>
          <cell r="M4086" t="str">
            <v>18,2/10,5</v>
          </cell>
          <cell r="N4086">
            <v>55</v>
          </cell>
          <cell r="O4086" t="str">
            <v>155(F)</v>
          </cell>
          <cell r="P4086" t="str">
            <v>180°</v>
          </cell>
          <cell r="Q4086" t="str">
            <v>-</v>
          </cell>
          <cell r="R4086" t="str">
            <v>-</v>
          </cell>
          <cell r="S4086" t="str">
            <v>-</v>
          </cell>
          <cell r="T4086" t="str">
            <v>-</v>
          </cell>
          <cell r="U4086" t="str">
            <v>-</v>
          </cell>
          <cell r="V4086" t="str">
            <v>SS</v>
          </cell>
          <cell r="W4086" t="str">
            <v>-</v>
          </cell>
          <cell r="X4086" t="str">
            <v>CLP 220 (-15/+40°C)</v>
          </cell>
          <cell r="Y4086" t="str">
            <v>KH97DRN132S4</v>
          </cell>
          <cell r="Z4086" t="str">
            <v>SEW</v>
          </cell>
          <cell r="AB4086" t="str">
            <v>-</v>
          </cell>
          <cell r="AF4086">
            <v>14</v>
          </cell>
          <cell r="AG4086" t="str">
            <v>DRN132S4</v>
          </cell>
          <cell r="AH4086" t="str">
            <v>KH97-DRN132S4A180-X</v>
          </cell>
        </row>
        <row r="4087">
          <cell r="A4087" t="str">
            <v>MR004076</v>
          </cell>
          <cell r="B4087" t="str">
            <v>MR</v>
          </cell>
          <cell r="C4087">
            <v>0.75</v>
          </cell>
          <cell r="D4087">
            <v>18</v>
          </cell>
          <cell r="E4087" t="str">
            <v>FA67</v>
          </cell>
          <cell r="F4087">
            <v>395</v>
          </cell>
          <cell r="G4087">
            <v>79.760000000000005</v>
          </cell>
          <cell r="H4087">
            <v>2.1</v>
          </cell>
          <cell r="I4087" t="str">
            <v>From M5 to M3- 40°</v>
          </cell>
          <cell r="J4087" t="str">
            <v>IE3</v>
          </cell>
          <cell r="K4087" t="str">
            <v>230/400</v>
          </cell>
          <cell r="L4087">
            <v>50</v>
          </cell>
          <cell r="M4087" t="str">
            <v>3,05/1,75</v>
          </cell>
          <cell r="N4087">
            <v>55</v>
          </cell>
          <cell r="O4087" t="str">
            <v>155(F)</v>
          </cell>
          <cell r="P4087" t="str">
            <v>180°</v>
          </cell>
          <cell r="Q4087" t="str">
            <v>-</v>
          </cell>
          <cell r="R4087" t="str">
            <v>-</v>
          </cell>
          <cell r="S4087" t="str">
            <v>-</v>
          </cell>
          <cell r="T4087" t="str">
            <v>BEHF</v>
          </cell>
          <cell r="U4087" t="str">
            <v>G</v>
          </cell>
          <cell r="V4087" t="str">
            <v>D+R</v>
          </cell>
          <cell r="W4087" t="str">
            <v>-</v>
          </cell>
          <cell r="X4087" t="str">
            <v>CLP 220 (-15/+40°C)</v>
          </cell>
          <cell r="Y4087" t="str">
            <v>FA67/G DRN80M4 /BEHF</v>
          </cell>
          <cell r="Z4087" t="str">
            <v>SEW</v>
          </cell>
          <cell r="AB4087" t="str">
            <v>-</v>
          </cell>
          <cell r="AF4087">
            <v>18</v>
          </cell>
          <cell r="AG4087" t="str">
            <v>DRN80M4</v>
          </cell>
          <cell r="AH4087" t="str">
            <v>FA67G-DRN80M4180-X</v>
          </cell>
        </row>
        <row r="4088">
          <cell r="A4088" t="str">
            <v>MR004077</v>
          </cell>
          <cell r="B4088" t="str">
            <v>MR</v>
          </cell>
          <cell r="C4088">
            <v>15</v>
          </cell>
          <cell r="D4088">
            <v>16</v>
          </cell>
          <cell r="E4088" t="str">
            <v>KH127</v>
          </cell>
          <cell r="F4088">
            <v>8730</v>
          </cell>
          <cell r="G4088">
            <v>89.89</v>
          </cell>
          <cell r="H4088">
            <v>1.5</v>
          </cell>
          <cell r="I4088" t="str">
            <v>From M1A to M2A - 20°</v>
          </cell>
          <cell r="J4088" t="str">
            <v>IE3</v>
          </cell>
          <cell r="K4088" t="str">
            <v>400/690</v>
          </cell>
          <cell r="L4088">
            <v>50</v>
          </cell>
          <cell r="M4088" t="str">
            <v>29/16,7</v>
          </cell>
          <cell r="N4088">
            <v>55</v>
          </cell>
          <cell r="O4088" t="str">
            <v>155(F)</v>
          </cell>
          <cell r="P4088" t="str">
            <v>180°</v>
          </cell>
          <cell r="Q4088" t="str">
            <v>-</v>
          </cell>
          <cell r="R4088" t="str">
            <v>-</v>
          </cell>
          <cell r="S4088" t="str">
            <v>-</v>
          </cell>
          <cell r="T4088" t="str">
            <v>-</v>
          </cell>
          <cell r="U4088" t="str">
            <v>-</v>
          </cell>
          <cell r="V4088" t="str">
            <v>SS</v>
          </cell>
          <cell r="W4088" t="str">
            <v>-</v>
          </cell>
          <cell r="X4088" t="str">
            <v>CLP 220 (-15/+40°C)</v>
          </cell>
          <cell r="Y4088" t="str">
            <v>KH127DRN160L4</v>
          </cell>
          <cell r="Z4088" t="str">
            <v>SEW</v>
          </cell>
          <cell r="AB4088" t="str">
            <v>-</v>
          </cell>
          <cell r="AF4088">
            <v>16</v>
          </cell>
          <cell r="AG4088" t="str">
            <v>DRN160L4</v>
          </cell>
          <cell r="AH4088" t="str">
            <v>KH127-DRN160L4A180-X</v>
          </cell>
        </row>
        <row r="4089">
          <cell r="A4089" t="str">
            <v>MR004078</v>
          </cell>
          <cell r="B4089" t="str">
            <v>MR</v>
          </cell>
          <cell r="C4089">
            <v>1.5</v>
          </cell>
          <cell r="D4089">
            <v>22</v>
          </cell>
          <cell r="E4089" t="str">
            <v>FA67</v>
          </cell>
          <cell r="F4089">
            <v>660</v>
          </cell>
          <cell r="G4089">
            <v>67.650000000000006</v>
          </cell>
          <cell r="H4089">
            <v>1.25</v>
          </cell>
          <cell r="I4089" t="str">
            <v>From M6 to M3 - 45°</v>
          </cell>
          <cell r="J4089" t="str">
            <v>IE3</v>
          </cell>
          <cell r="K4089" t="str">
            <v>230/400</v>
          </cell>
          <cell r="L4089">
            <v>50</v>
          </cell>
          <cell r="M4089" t="str">
            <v>5,9/3,4</v>
          </cell>
          <cell r="N4089">
            <v>55</v>
          </cell>
          <cell r="O4089" t="str">
            <v>155(F)</v>
          </cell>
          <cell r="P4089" t="str">
            <v>0°</v>
          </cell>
          <cell r="Q4089" t="str">
            <v>-</v>
          </cell>
          <cell r="R4089" t="str">
            <v>-</v>
          </cell>
          <cell r="S4089" t="str">
            <v>-</v>
          </cell>
          <cell r="T4089" t="str">
            <v>BEHF</v>
          </cell>
          <cell r="U4089" t="str">
            <v>G</v>
          </cell>
          <cell r="V4089" t="str">
            <v>D+R</v>
          </cell>
          <cell r="W4089" t="str">
            <v>-</v>
          </cell>
          <cell r="X4089" t="str">
            <v>CLP 220 (-15/+40°C)</v>
          </cell>
          <cell r="Y4089" t="str">
            <v>FA67/G DRN90L4 /BEHF</v>
          </cell>
          <cell r="Z4089" t="str">
            <v>SEW</v>
          </cell>
          <cell r="AB4089" t="str">
            <v>-</v>
          </cell>
          <cell r="AF4089">
            <v>22</v>
          </cell>
          <cell r="AG4089" t="str">
            <v>DRN90L4</v>
          </cell>
          <cell r="AH4089" t="str">
            <v>FA67G-DRN90L40-X</v>
          </cell>
        </row>
        <row r="4090">
          <cell r="A4090" t="str">
            <v>MR004079</v>
          </cell>
          <cell r="B4090" t="str">
            <v>MR</v>
          </cell>
          <cell r="C4090">
            <v>11</v>
          </cell>
          <cell r="D4090">
            <v>15</v>
          </cell>
          <cell r="E4090" t="str">
            <v>KH107</v>
          </cell>
          <cell r="F4090">
            <v>7190</v>
          </cell>
          <cell r="G4090" t="str">
            <v>100,75</v>
          </cell>
          <cell r="H4090" t="str">
            <v>1,1</v>
          </cell>
          <cell r="I4090" t="str">
            <v>From M1B to M2B - 10°</v>
          </cell>
          <cell r="J4090" t="str">
            <v>IE3</v>
          </cell>
          <cell r="K4090" t="str">
            <v>400/690</v>
          </cell>
          <cell r="L4090">
            <v>50</v>
          </cell>
          <cell r="M4090" t="str">
            <v>21/12,2</v>
          </cell>
          <cell r="N4090">
            <v>55</v>
          </cell>
          <cell r="O4090" t="str">
            <v>155(F)</v>
          </cell>
          <cell r="P4090" t="str">
            <v>0°</v>
          </cell>
          <cell r="Q4090" t="str">
            <v>-</v>
          </cell>
          <cell r="R4090" t="str">
            <v>-</v>
          </cell>
          <cell r="S4090" t="str">
            <v>-</v>
          </cell>
          <cell r="T4090" t="str">
            <v>-</v>
          </cell>
          <cell r="U4090" t="str">
            <v>-</v>
          </cell>
          <cell r="V4090" t="str">
            <v>SS</v>
          </cell>
          <cell r="W4090" t="str">
            <v>-</v>
          </cell>
          <cell r="X4090" t="str">
            <v>CLP 220 (-15/+40°C)</v>
          </cell>
          <cell r="Y4090" t="str">
            <v>KH107DRN160M4</v>
          </cell>
          <cell r="Z4090" t="str">
            <v>SEW</v>
          </cell>
          <cell r="AB4090" t="str">
            <v>-</v>
          </cell>
          <cell r="AF4090">
            <v>15</v>
          </cell>
          <cell r="AG4090" t="str">
            <v>DRN160M4</v>
          </cell>
          <cell r="AH4090" t="str">
            <v>KH107-DRN160M4B0-X</v>
          </cell>
        </row>
        <row r="4091">
          <cell r="A4091" t="str">
            <v>MR004080</v>
          </cell>
          <cell r="B4091" t="str">
            <v>MR</v>
          </cell>
          <cell r="C4091">
            <v>0.75</v>
          </cell>
          <cell r="D4091">
            <v>18</v>
          </cell>
          <cell r="E4091" t="str">
            <v>FA67</v>
          </cell>
          <cell r="F4091">
            <v>395</v>
          </cell>
          <cell r="G4091">
            <v>79.760000000000005</v>
          </cell>
          <cell r="H4091">
            <v>2.1</v>
          </cell>
          <cell r="I4091" t="str">
            <v>From M6 to M3 - 30°</v>
          </cell>
          <cell r="J4091" t="str">
            <v>IE3</v>
          </cell>
          <cell r="K4091" t="str">
            <v>230/400</v>
          </cell>
          <cell r="L4091">
            <v>50</v>
          </cell>
          <cell r="M4091" t="str">
            <v>3,05/1,75</v>
          </cell>
          <cell r="N4091">
            <v>55</v>
          </cell>
          <cell r="O4091" t="str">
            <v>155(F)</v>
          </cell>
          <cell r="P4091" t="str">
            <v>0°</v>
          </cell>
          <cell r="Q4091" t="str">
            <v>-</v>
          </cell>
          <cell r="R4091" t="str">
            <v>-</v>
          </cell>
          <cell r="S4091" t="str">
            <v>-</v>
          </cell>
          <cell r="T4091" t="str">
            <v>BEHF</v>
          </cell>
          <cell r="U4091" t="str">
            <v>G</v>
          </cell>
          <cell r="V4091" t="str">
            <v>D+R</v>
          </cell>
          <cell r="W4091" t="str">
            <v>-</v>
          </cell>
          <cell r="X4091" t="str">
            <v>CLP 220 (-15/+40°C)</v>
          </cell>
          <cell r="Y4091" t="str">
            <v>FA67/G DRN80M4 /BEHF</v>
          </cell>
          <cell r="Z4091" t="str">
            <v>SEW</v>
          </cell>
          <cell r="AB4091" t="str">
            <v>-</v>
          </cell>
          <cell r="AF4091">
            <v>18</v>
          </cell>
          <cell r="AG4091" t="str">
            <v>DRN80M4</v>
          </cell>
          <cell r="AH4091" t="str">
            <v>FA67G-DRN80M40-X</v>
          </cell>
        </row>
        <row r="4092">
          <cell r="A4092" t="str">
            <v>MR004081</v>
          </cell>
          <cell r="B4092" t="str">
            <v>MR</v>
          </cell>
          <cell r="C4092">
            <v>7.5</v>
          </cell>
          <cell r="D4092">
            <v>62</v>
          </cell>
          <cell r="E4092" t="str">
            <v>FH87</v>
          </cell>
          <cell r="F4092">
            <v>1150</v>
          </cell>
          <cell r="G4092">
            <v>23.68</v>
          </cell>
          <cell r="H4092">
            <v>2.6</v>
          </cell>
          <cell r="I4092" t="str">
            <v>M1</v>
          </cell>
          <cell r="J4092" t="str">
            <v>IE3</v>
          </cell>
          <cell r="K4092" t="str">
            <v>230/400</v>
          </cell>
          <cell r="L4092">
            <v>50</v>
          </cell>
          <cell r="M4092" t="str">
            <v>26,5/15,2</v>
          </cell>
          <cell r="N4092">
            <v>55</v>
          </cell>
          <cell r="O4092" t="str">
            <v>155(F)</v>
          </cell>
          <cell r="P4092" t="str">
            <v>270°</v>
          </cell>
          <cell r="Q4092" t="str">
            <v>-</v>
          </cell>
          <cell r="R4092" t="str">
            <v>-</v>
          </cell>
          <cell r="S4092" t="str">
            <v>-</v>
          </cell>
          <cell r="T4092" t="str">
            <v>-</v>
          </cell>
          <cell r="U4092" t="str">
            <v>G</v>
          </cell>
          <cell r="V4092" t="str">
            <v>D+R</v>
          </cell>
          <cell r="W4092" t="str">
            <v>-</v>
          </cell>
          <cell r="X4092" t="str">
            <v>CLP 220 (-15/+40°C)</v>
          </cell>
          <cell r="Y4092" t="str">
            <v>FH87/G DRN132M4</v>
          </cell>
          <cell r="Z4092" t="str">
            <v>SEW</v>
          </cell>
          <cell r="AB4092" t="str">
            <v>-</v>
          </cell>
          <cell r="AF4092">
            <v>62</v>
          </cell>
          <cell r="AG4092" t="str">
            <v>DRN132M4</v>
          </cell>
          <cell r="AH4092" t="str">
            <v>FH87G-DRN132M4270-X</v>
          </cell>
        </row>
        <row r="4093">
          <cell r="A4093" t="str">
            <v>MR004082</v>
          </cell>
          <cell r="B4093" t="str">
            <v>MR</v>
          </cell>
          <cell r="C4093">
            <v>7.5</v>
          </cell>
          <cell r="D4093">
            <v>62</v>
          </cell>
          <cell r="E4093" t="str">
            <v>FH87</v>
          </cell>
          <cell r="F4093">
            <v>1150</v>
          </cell>
          <cell r="G4093">
            <v>23.68</v>
          </cell>
          <cell r="H4093">
            <v>2.6</v>
          </cell>
          <cell r="I4093" t="str">
            <v>M1</v>
          </cell>
          <cell r="J4093" t="str">
            <v>IE3</v>
          </cell>
          <cell r="K4093" t="str">
            <v>230/400</v>
          </cell>
          <cell r="L4093">
            <v>50</v>
          </cell>
          <cell r="M4093" t="str">
            <v>26,5/15,2</v>
          </cell>
          <cell r="N4093">
            <v>55</v>
          </cell>
          <cell r="O4093" t="str">
            <v>155(F)</v>
          </cell>
          <cell r="P4093" t="str">
            <v>270°</v>
          </cell>
          <cell r="Q4093" t="str">
            <v>-</v>
          </cell>
          <cell r="R4093" t="str">
            <v>-</v>
          </cell>
          <cell r="S4093" t="str">
            <v>-</v>
          </cell>
          <cell r="T4093" t="str">
            <v>-</v>
          </cell>
          <cell r="U4093" t="str">
            <v>G</v>
          </cell>
          <cell r="V4093" t="str">
            <v>D</v>
          </cell>
          <cell r="W4093" t="str">
            <v>-</v>
          </cell>
          <cell r="X4093" t="str">
            <v>CLP 220 (-15/+40°C)</v>
          </cell>
          <cell r="Y4093" t="str">
            <v>FH87/G DRN132M4</v>
          </cell>
          <cell r="Z4093" t="str">
            <v>SEW</v>
          </cell>
          <cell r="AB4093" t="str">
            <v>-</v>
          </cell>
          <cell r="AF4093">
            <v>62</v>
          </cell>
          <cell r="AG4093" t="str">
            <v>DRN132M4</v>
          </cell>
          <cell r="AH4093" t="str">
            <v>FH87G-DRN132M4270-X</v>
          </cell>
        </row>
        <row r="4094">
          <cell r="A4094" t="str">
            <v>MR004083</v>
          </cell>
          <cell r="B4094" t="str">
            <v>MR</v>
          </cell>
          <cell r="C4094">
            <v>7.5</v>
          </cell>
          <cell r="D4094">
            <v>58</v>
          </cell>
          <cell r="E4094" t="str">
            <v>FH77</v>
          </cell>
          <cell r="F4094">
            <v>1240</v>
          </cell>
          <cell r="G4094">
            <v>25.5</v>
          </cell>
          <cell r="H4094">
            <v>1.2</v>
          </cell>
          <cell r="I4094" t="str">
            <v>M1</v>
          </cell>
          <cell r="J4094" t="str">
            <v>IE3</v>
          </cell>
          <cell r="K4094" t="str">
            <v>230/400</v>
          </cell>
          <cell r="L4094">
            <v>50</v>
          </cell>
          <cell r="M4094" t="str">
            <v>26,5/15,2</v>
          </cell>
          <cell r="N4094">
            <v>55</v>
          </cell>
          <cell r="O4094" t="str">
            <v>155(F)</v>
          </cell>
          <cell r="P4094" t="str">
            <v>270°</v>
          </cell>
          <cell r="Q4094" t="str">
            <v>-</v>
          </cell>
          <cell r="R4094" t="str">
            <v>-</v>
          </cell>
          <cell r="S4094" t="str">
            <v>-</v>
          </cell>
          <cell r="T4094" t="str">
            <v>-</v>
          </cell>
          <cell r="U4094" t="str">
            <v>G</v>
          </cell>
          <cell r="V4094" t="str">
            <v>D</v>
          </cell>
          <cell r="W4094" t="str">
            <v>-</v>
          </cell>
          <cell r="X4094" t="str">
            <v>CLP 220 (-15/+40°C)</v>
          </cell>
          <cell r="Y4094" t="str">
            <v>FH77/G DRN132M4</v>
          </cell>
          <cell r="Z4094" t="str">
            <v>SEW</v>
          </cell>
          <cell r="AB4094" t="str">
            <v>-</v>
          </cell>
          <cell r="AF4094">
            <v>58</v>
          </cell>
          <cell r="AG4094" t="str">
            <v>DRN132M4</v>
          </cell>
          <cell r="AH4094" t="str">
            <v>FH77G-DRN132M4270-X</v>
          </cell>
        </row>
        <row r="4095">
          <cell r="A4095" t="str">
            <v>MR004084</v>
          </cell>
          <cell r="B4095" t="str">
            <v>MR</v>
          </cell>
          <cell r="C4095">
            <v>9.1999999999999993</v>
          </cell>
          <cell r="D4095">
            <v>33</v>
          </cell>
          <cell r="E4095" t="str">
            <v>FH97</v>
          </cell>
          <cell r="F4095">
            <v>2660</v>
          </cell>
          <cell r="G4095">
            <v>44.49</v>
          </cell>
          <cell r="H4095">
            <v>1.6</v>
          </cell>
          <cell r="I4095" t="str">
            <v>M1</v>
          </cell>
          <cell r="J4095" t="str">
            <v>IE3</v>
          </cell>
          <cell r="K4095" t="str">
            <v>400/690</v>
          </cell>
          <cell r="L4095">
            <v>50</v>
          </cell>
          <cell r="M4095" t="str">
            <v>18,7/10,8</v>
          </cell>
          <cell r="N4095">
            <v>55</v>
          </cell>
          <cell r="O4095" t="str">
            <v>155(F)</v>
          </cell>
          <cell r="P4095" t="str">
            <v>270°</v>
          </cell>
          <cell r="Q4095" t="str">
            <v>TF</v>
          </cell>
          <cell r="R4095" t="str">
            <v>V(VE)</v>
          </cell>
          <cell r="S4095" t="str">
            <v>-</v>
          </cell>
          <cell r="T4095" t="str">
            <v>-</v>
          </cell>
          <cell r="U4095" t="str">
            <v>G</v>
          </cell>
          <cell r="V4095" t="str">
            <v>FC+R</v>
          </cell>
          <cell r="W4095" t="str">
            <v>-</v>
          </cell>
          <cell r="X4095" t="str">
            <v>CLP 220 (-15/+40°C)</v>
          </cell>
          <cell r="Y4095" t="str">
            <v>FH97/G DRN132L4 /TF/V</v>
          </cell>
          <cell r="Z4095" t="str">
            <v>SEW</v>
          </cell>
          <cell r="AB4095" t="str">
            <v>-</v>
          </cell>
          <cell r="AF4095">
            <v>33</v>
          </cell>
          <cell r="AG4095" t="str">
            <v>DRN132L4</v>
          </cell>
          <cell r="AH4095" t="str">
            <v>FH97G-DRN132L4270-X#</v>
          </cell>
        </row>
        <row r="4096">
          <cell r="A4096" t="str">
            <v>MR004085</v>
          </cell>
          <cell r="B4096" t="str">
            <v>MR</v>
          </cell>
          <cell r="C4096">
            <v>0.75</v>
          </cell>
          <cell r="D4096">
            <v>0.75</v>
          </cell>
          <cell r="E4096" t="str">
            <v>KH107R77</v>
          </cell>
          <cell r="F4096">
            <v>7000</v>
          </cell>
          <cell r="G4096">
            <v>1939</v>
          </cell>
          <cell r="H4096">
            <v>1.1499999999999999</v>
          </cell>
          <cell r="I4096" t="str">
            <v>M3A</v>
          </cell>
          <cell r="J4096" t="str">
            <v>IE3</v>
          </cell>
          <cell r="K4096" t="str">
            <v>277/480</v>
          </cell>
          <cell r="L4096">
            <v>60</v>
          </cell>
          <cell r="M4096" t="str">
            <v>2,6/1,49</v>
          </cell>
          <cell r="N4096">
            <v>65</v>
          </cell>
          <cell r="O4096" t="str">
            <v>155(F)</v>
          </cell>
          <cell r="P4096" t="str">
            <v>270°</v>
          </cell>
          <cell r="Q4096" t="str">
            <v>-</v>
          </cell>
          <cell r="R4096" t="str">
            <v>-</v>
          </cell>
          <cell r="S4096" t="str">
            <v>-</v>
          </cell>
          <cell r="T4096" t="str">
            <v>BEHF (480V)</v>
          </cell>
          <cell r="U4096" t="str">
            <v>-</v>
          </cell>
          <cell r="V4096" t="str">
            <v>D+R</v>
          </cell>
          <cell r="W4096" t="str">
            <v>-</v>
          </cell>
          <cell r="X4096" t="str">
            <v>CLP 220 (-15/+40°C)</v>
          </cell>
          <cell r="Y4096" t="str">
            <v>KH107R77DRN80M4 /BEHF (480V)</v>
          </cell>
          <cell r="Z4096" t="str">
            <v>SEW</v>
          </cell>
          <cell r="AB4096" t="str">
            <v>-</v>
          </cell>
          <cell r="AE4096" t="str">
            <v>NEMA5/UL/NPT terminal box</v>
          </cell>
          <cell r="AF4096">
            <v>0.9</v>
          </cell>
          <cell r="AG4096" t="str">
            <v>DRN80M4</v>
          </cell>
          <cell r="AH4096" t="str">
            <v>KH107R77-DRN80M4A270-X</v>
          </cell>
        </row>
        <row r="4097">
          <cell r="A4097" t="str">
            <v>MR004086</v>
          </cell>
          <cell r="B4097" t="str">
            <v>MR</v>
          </cell>
          <cell r="C4097">
            <v>11</v>
          </cell>
          <cell r="D4097">
            <v>40.833333333333336</v>
          </cell>
          <cell r="E4097" t="str">
            <v>KH87</v>
          </cell>
          <cell r="F4097">
            <v>2160</v>
          </cell>
          <cell r="G4097">
            <v>36.520000000000003</v>
          </cell>
          <cell r="H4097">
            <v>1.1499999999999999</v>
          </cell>
          <cell r="I4097" t="str">
            <v>M4B</v>
          </cell>
          <cell r="J4097" t="str">
            <v>IE3</v>
          </cell>
          <cell r="K4097" t="str">
            <v>277/480</v>
          </cell>
          <cell r="L4097">
            <v>60</v>
          </cell>
          <cell r="M4097" t="str">
            <v>30,5/17,7</v>
          </cell>
          <cell r="N4097">
            <v>65</v>
          </cell>
          <cell r="O4097" t="str">
            <v>155(F)</v>
          </cell>
          <cell r="P4097" t="str">
            <v>270°</v>
          </cell>
          <cell r="Q4097" t="str">
            <v>-</v>
          </cell>
          <cell r="R4097" t="str">
            <v>-</v>
          </cell>
          <cell r="S4097" t="str">
            <v>Free rotation CW</v>
          </cell>
          <cell r="T4097" t="str">
            <v>-</v>
          </cell>
          <cell r="U4097" t="str">
            <v>T</v>
          </cell>
          <cell r="V4097" t="str">
            <v>SS</v>
          </cell>
          <cell r="W4097" t="str">
            <v>-</v>
          </cell>
          <cell r="X4097" t="str">
            <v>CLP 220 (-15/+40°C)</v>
          </cell>
          <cell r="Y4097" t="str">
            <v>KH87/T DRN160M4 /RS</v>
          </cell>
          <cell r="Z4097" t="str">
            <v>SEW</v>
          </cell>
          <cell r="AB4097" t="str">
            <v>-</v>
          </cell>
          <cell r="AE4097" t="str">
            <v>NEMA5/UL/NPT terminal box</v>
          </cell>
          <cell r="AF4097">
            <v>49</v>
          </cell>
          <cell r="AG4097" t="str">
            <v>DRN160M4</v>
          </cell>
          <cell r="AH4097" t="str">
            <v>KH87T-DRN160M4B270-X</v>
          </cell>
        </row>
        <row r="4098">
          <cell r="A4098" t="str">
            <v>MR004087</v>
          </cell>
          <cell r="B4098" t="str">
            <v>MR</v>
          </cell>
          <cell r="C4098">
            <v>11</v>
          </cell>
          <cell r="D4098">
            <v>40.833333333333336</v>
          </cell>
          <cell r="E4098" t="str">
            <v>KH87</v>
          </cell>
          <cell r="F4098">
            <v>2160</v>
          </cell>
          <cell r="G4098">
            <v>36.520000000000003</v>
          </cell>
          <cell r="H4098">
            <v>1.1499999999999999</v>
          </cell>
          <cell r="I4098" t="str">
            <v>M4B</v>
          </cell>
          <cell r="J4098" t="str">
            <v>IE3</v>
          </cell>
          <cell r="K4098" t="str">
            <v>277/480</v>
          </cell>
          <cell r="L4098">
            <v>60</v>
          </cell>
          <cell r="M4098" t="str">
            <v>30,5/17,7</v>
          </cell>
          <cell r="N4098">
            <v>65</v>
          </cell>
          <cell r="O4098" t="str">
            <v>155(F)</v>
          </cell>
          <cell r="P4098" t="str">
            <v>270°</v>
          </cell>
          <cell r="Q4098" t="str">
            <v>-</v>
          </cell>
          <cell r="R4098" t="str">
            <v>-</v>
          </cell>
          <cell r="S4098" t="str">
            <v>-</v>
          </cell>
          <cell r="T4098" t="str">
            <v>-</v>
          </cell>
          <cell r="U4098" t="str">
            <v>T</v>
          </cell>
          <cell r="V4098" t="str">
            <v>SS</v>
          </cell>
          <cell r="W4098" t="str">
            <v>-</v>
          </cell>
          <cell r="X4098" t="str">
            <v>CLP 220 (-15/+40°C)</v>
          </cell>
          <cell r="Y4098" t="str">
            <v>KH87/T DRN160M4</v>
          </cell>
          <cell r="Z4098" t="str">
            <v>SEW</v>
          </cell>
          <cell r="AB4098" t="str">
            <v>-</v>
          </cell>
          <cell r="AE4098" t="str">
            <v>NEMA5/UL/NPT terminal box</v>
          </cell>
          <cell r="AF4098">
            <v>49</v>
          </cell>
          <cell r="AG4098" t="str">
            <v>DRN160M4</v>
          </cell>
          <cell r="AH4098" t="str">
            <v>KH87T-DRN160M4B270-X</v>
          </cell>
        </row>
        <row r="4099">
          <cell r="A4099" t="str">
            <v>MR004088</v>
          </cell>
          <cell r="B4099" t="str">
            <v>MR</v>
          </cell>
          <cell r="C4099">
            <v>0.75</v>
          </cell>
          <cell r="D4099">
            <v>139.16666666666669</v>
          </cell>
          <cell r="E4099" t="str">
            <v>KA37</v>
          </cell>
          <cell r="F4099">
            <v>43</v>
          </cell>
          <cell r="G4099">
            <v>10.49</v>
          </cell>
          <cell r="H4099">
            <v>3.7</v>
          </cell>
          <cell r="I4099" t="str">
            <v>From M3B to M2B - 20°</v>
          </cell>
          <cell r="J4099" t="str">
            <v>IE3</v>
          </cell>
          <cell r="K4099" t="str">
            <v>277/480</v>
          </cell>
          <cell r="L4099">
            <v>60</v>
          </cell>
          <cell r="M4099" t="str">
            <v>2,6/1,49</v>
          </cell>
          <cell r="N4099">
            <v>65</v>
          </cell>
          <cell r="O4099" t="str">
            <v>155(F)</v>
          </cell>
          <cell r="P4099" t="str">
            <v>270°</v>
          </cell>
          <cell r="Q4099" t="str">
            <v>-</v>
          </cell>
          <cell r="R4099" t="str">
            <v>-</v>
          </cell>
          <cell r="S4099" t="str">
            <v>-</v>
          </cell>
          <cell r="T4099" t="str">
            <v>-</v>
          </cell>
          <cell r="U4099" t="str">
            <v>T</v>
          </cell>
          <cell r="V4099" t="str">
            <v>D</v>
          </cell>
          <cell r="W4099" t="str">
            <v>-</v>
          </cell>
          <cell r="X4099" t="str">
            <v>CLP 220 (-15/+40°C)</v>
          </cell>
          <cell r="Y4099" t="str">
            <v>KA37/T DRN80M4</v>
          </cell>
          <cell r="Z4099" t="str">
            <v>SEW</v>
          </cell>
          <cell r="AB4099" t="str">
            <v>-</v>
          </cell>
          <cell r="AE4099" t="str">
            <v>NEMA5/UL/NPT terminal box</v>
          </cell>
          <cell r="AF4099">
            <v>167.00000000000003</v>
          </cell>
          <cell r="AG4099" t="str">
            <v>DRN80M4</v>
          </cell>
          <cell r="AH4099" t="str">
            <v>KA37T-DRN80M4B270-X</v>
          </cell>
        </row>
        <row r="4100">
          <cell r="A4100" t="str">
            <v>MR004089</v>
          </cell>
          <cell r="B4100" t="str">
            <v>MR</v>
          </cell>
          <cell r="C4100">
            <v>15</v>
          </cell>
          <cell r="D4100">
            <v>38.333333333333336</v>
          </cell>
          <cell r="E4100" t="str">
            <v>KH97</v>
          </cell>
          <cell r="F4100">
            <v>3090</v>
          </cell>
          <cell r="G4100">
            <v>38.299999999999997</v>
          </cell>
          <cell r="H4100">
            <v>1.4</v>
          </cell>
          <cell r="I4100" t="str">
            <v>M4B</v>
          </cell>
          <cell r="J4100" t="str">
            <v>IE3</v>
          </cell>
          <cell r="K4100" t="str">
            <v>266/460</v>
          </cell>
          <cell r="L4100">
            <v>60</v>
          </cell>
          <cell r="M4100" t="str">
            <v>44,5/25,5</v>
          </cell>
          <cell r="N4100">
            <v>65</v>
          </cell>
          <cell r="O4100" t="str">
            <v>155(F)</v>
          </cell>
          <cell r="P4100" t="str">
            <v>270°</v>
          </cell>
          <cell r="Q4100" t="str">
            <v>-</v>
          </cell>
          <cell r="R4100" t="str">
            <v>-</v>
          </cell>
          <cell r="S4100" t="str">
            <v>-</v>
          </cell>
          <cell r="T4100" t="str">
            <v>-</v>
          </cell>
          <cell r="U4100" t="str">
            <v>T</v>
          </cell>
          <cell r="V4100" t="str">
            <v>SS</v>
          </cell>
          <cell r="W4100" t="str">
            <v>-</v>
          </cell>
          <cell r="X4100" t="str">
            <v>CLP 220 (-15/+40°C)</v>
          </cell>
          <cell r="Y4100" t="str">
            <v>KH97/T DRN160L4</v>
          </cell>
          <cell r="Z4100" t="str">
            <v>SEW</v>
          </cell>
          <cell r="AB4100" t="str">
            <v>-</v>
          </cell>
          <cell r="AE4100" t="str">
            <v>NEMA5/UL/NPT terminal box</v>
          </cell>
          <cell r="AF4100">
            <v>46</v>
          </cell>
          <cell r="AG4100" t="str">
            <v>DRN160L4</v>
          </cell>
          <cell r="AH4100" t="str">
            <v>KH97T-DRN160L4B270-X</v>
          </cell>
        </row>
        <row r="4101">
          <cell r="A4101" t="str">
            <v>MR004090</v>
          </cell>
          <cell r="B4101" t="str">
            <v>MR</v>
          </cell>
          <cell r="C4101">
            <v>3</v>
          </cell>
          <cell r="D4101">
            <v>48.333333333333336</v>
          </cell>
          <cell r="E4101" t="str">
            <v>KH67</v>
          </cell>
          <cell r="F4101">
            <v>490</v>
          </cell>
          <cell r="G4101">
            <v>30.22</v>
          </cell>
          <cell r="H4101">
            <v>1.65</v>
          </cell>
          <cell r="I4101" t="str">
            <v>M4B</v>
          </cell>
          <cell r="J4101" t="str">
            <v>IE3</v>
          </cell>
          <cell r="K4101" t="str">
            <v>277/480</v>
          </cell>
          <cell r="L4101">
            <v>60</v>
          </cell>
          <cell r="M4101" t="str">
            <v>9,6/5,5</v>
          </cell>
          <cell r="N4101">
            <v>65</v>
          </cell>
          <cell r="O4101" t="str">
            <v>155(F)</v>
          </cell>
          <cell r="P4101" t="str">
            <v>270°</v>
          </cell>
          <cell r="Q4101" t="str">
            <v>-</v>
          </cell>
          <cell r="R4101" t="str">
            <v>-</v>
          </cell>
          <cell r="S4101" t="str">
            <v>-</v>
          </cell>
          <cell r="T4101" t="str">
            <v>-</v>
          </cell>
          <cell r="U4101" t="str">
            <v>T</v>
          </cell>
          <cell r="V4101" t="str">
            <v>D+R</v>
          </cell>
          <cell r="W4101" t="str">
            <v>-</v>
          </cell>
          <cell r="X4101" t="str">
            <v>CLP 220 (-15/+40°C)</v>
          </cell>
          <cell r="Y4101" t="str">
            <v>KH67/T DRN100L4</v>
          </cell>
          <cell r="Z4101" t="str">
            <v>SEW</v>
          </cell>
          <cell r="AB4101" t="str">
            <v>-</v>
          </cell>
          <cell r="AE4101" t="str">
            <v>NEMA5/UL/NPT terminal box</v>
          </cell>
          <cell r="AF4101">
            <v>58</v>
          </cell>
          <cell r="AG4101" t="str">
            <v>DRN100L4</v>
          </cell>
          <cell r="AH4101" t="str">
            <v>KH67T-DRN100L4B270-X</v>
          </cell>
        </row>
        <row r="4102">
          <cell r="A4102" t="str">
            <v>MR004091</v>
          </cell>
          <cell r="B4102" t="str">
            <v>MR</v>
          </cell>
          <cell r="C4102">
            <v>18.5</v>
          </cell>
          <cell r="D4102">
            <v>48.333333333333336</v>
          </cell>
          <cell r="E4102" t="str">
            <v>KH97</v>
          </cell>
          <cell r="F4102">
            <v>3060</v>
          </cell>
          <cell r="G4102">
            <v>30.82</v>
          </cell>
          <cell r="H4102">
            <v>1.4</v>
          </cell>
          <cell r="I4102" t="str">
            <v>M4A</v>
          </cell>
          <cell r="J4102" t="str">
            <v>IE3</v>
          </cell>
          <cell r="K4102" t="str">
            <v>277/480</v>
          </cell>
          <cell r="L4102">
            <v>60</v>
          </cell>
          <cell r="M4102" t="str">
            <v>49/28,5</v>
          </cell>
          <cell r="N4102">
            <v>65</v>
          </cell>
          <cell r="O4102" t="str">
            <v>155(F)</v>
          </cell>
          <cell r="P4102" t="str">
            <v>270°</v>
          </cell>
          <cell r="Q4102" t="str">
            <v>-</v>
          </cell>
          <cell r="R4102" t="str">
            <v>-</v>
          </cell>
          <cell r="S4102" t="str">
            <v>Free rotation CCW</v>
          </cell>
          <cell r="T4102" t="str">
            <v>-</v>
          </cell>
          <cell r="U4102" t="str">
            <v>T</v>
          </cell>
          <cell r="V4102" t="str">
            <v>SS</v>
          </cell>
          <cell r="W4102" t="str">
            <v>-</v>
          </cell>
          <cell r="X4102" t="str">
            <v>CLP 220 (-15/+40°C)</v>
          </cell>
          <cell r="Y4102" t="str">
            <v>KH97/T DRN180M4 /RS</v>
          </cell>
          <cell r="Z4102" t="str">
            <v>SEW</v>
          </cell>
          <cell r="AB4102" t="str">
            <v>-</v>
          </cell>
          <cell r="AE4102" t="str">
            <v>NEMA5/UL/NPT terminal box</v>
          </cell>
          <cell r="AF4102">
            <v>58</v>
          </cell>
          <cell r="AG4102" t="str">
            <v>DRN180M4</v>
          </cell>
          <cell r="AH4102" t="str">
            <v>KH97T-DRN180M4A270-X</v>
          </cell>
        </row>
        <row r="4103">
          <cell r="A4103" t="str">
            <v>MR004092</v>
          </cell>
          <cell r="B4103" t="str">
            <v>MR</v>
          </cell>
          <cell r="C4103">
            <v>4</v>
          </cell>
          <cell r="D4103">
            <v>138.33333333333334</v>
          </cell>
          <cell r="E4103" t="str">
            <v>KH67</v>
          </cell>
          <cell r="F4103">
            <v>230</v>
          </cell>
          <cell r="G4103">
            <v>10.63</v>
          </cell>
          <cell r="H4103">
            <v>2.2000000000000002</v>
          </cell>
          <cell r="I4103" t="str">
            <v>M1B</v>
          </cell>
          <cell r="J4103" t="str">
            <v>IE3</v>
          </cell>
          <cell r="K4103" t="str">
            <v>277/480</v>
          </cell>
          <cell r="L4103">
            <v>60</v>
          </cell>
          <cell r="M4103" t="str">
            <v>11,7/6,8</v>
          </cell>
          <cell r="N4103">
            <v>65</v>
          </cell>
          <cell r="O4103" t="str">
            <v>155(F)</v>
          </cell>
          <cell r="P4103" t="str">
            <v>270°</v>
          </cell>
          <cell r="Q4103" t="str">
            <v>-</v>
          </cell>
          <cell r="R4103" t="str">
            <v>-</v>
          </cell>
          <cell r="S4103" t="str">
            <v>-</v>
          </cell>
          <cell r="T4103" t="str">
            <v>-</v>
          </cell>
          <cell r="U4103" t="str">
            <v>T</v>
          </cell>
          <cell r="V4103" t="str">
            <v>D+R</v>
          </cell>
          <cell r="W4103" t="str">
            <v>-</v>
          </cell>
          <cell r="X4103" t="str">
            <v>CLP 220 (-15/+40°C)</v>
          </cell>
          <cell r="Y4103" t="str">
            <v>KH67/T DRN112M4</v>
          </cell>
          <cell r="Z4103" t="str">
            <v>SEW</v>
          </cell>
          <cell r="AB4103" t="str">
            <v>-</v>
          </cell>
          <cell r="AE4103" t="str">
            <v>NEMA5/UL/NPT terminal box</v>
          </cell>
          <cell r="AF4103">
            <v>166</v>
          </cell>
          <cell r="AG4103" t="str">
            <v>DRN112M4</v>
          </cell>
          <cell r="AH4103" t="str">
            <v>KH67T-DRN112M4B270-X</v>
          </cell>
        </row>
        <row r="4104">
          <cell r="A4104" t="str">
            <v>MR004093</v>
          </cell>
          <cell r="B4104" t="str">
            <v>MR</v>
          </cell>
          <cell r="C4104">
            <v>1.1000000000000001</v>
          </cell>
          <cell r="D4104">
            <v>6.5</v>
          </cell>
          <cell r="E4104" t="str">
            <v>FV77</v>
          </cell>
          <cell r="F4104">
            <v>1350</v>
          </cell>
          <cell r="G4104">
            <v>225.79</v>
          </cell>
          <cell r="H4104">
            <v>1.1000000000000001</v>
          </cell>
          <cell r="I4104" t="str">
            <v>M5</v>
          </cell>
          <cell r="J4104" t="str">
            <v>IE3</v>
          </cell>
          <cell r="K4104" t="str">
            <v>277/480</v>
          </cell>
          <cell r="L4104">
            <v>60</v>
          </cell>
          <cell r="M4104" t="str">
            <v>3,85/2,2</v>
          </cell>
          <cell r="N4104">
            <v>65</v>
          </cell>
          <cell r="O4104" t="str">
            <v>155(F)</v>
          </cell>
          <cell r="P4104" t="str">
            <v>270°</v>
          </cell>
          <cell r="Q4104" t="str">
            <v>TF</v>
          </cell>
          <cell r="R4104" t="str">
            <v>-</v>
          </cell>
          <cell r="S4104" t="str">
            <v>-</v>
          </cell>
          <cell r="T4104" t="str">
            <v>BEHF (480V)</v>
          </cell>
          <cell r="U4104" t="str">
            <v>G</v>
          </cell>
          <cell r="V4104" t="str">
            <v>FC+R</v>
          </cell>
          <cell r="W4104" t="str">
            <v>-</v>
          </cell>
          <cell r="X4104" t="str">
            <v>CLP 220 (-15/+40°C)</v>
          </cell>
          <cell r="Y4104" t="str">
            <v>FV77/G DRN90S4 /BEHF (480V) /TF</v>
          </cell>
          <cell r="Z4104" t="str">
            <v>SEW</v>
          </cell>
          <cell r="AB4104" t="str">
            <v>-</v>
          </cell>
          <cell r="AE4104" t="str">
            <v>BROCCIATURA PER FV67-DIN 5480N45x2x30x21xH9 - NEMA5/UL/NPT terminal box</v>
          </cell>
          <cell r="AF4104">
            <v>7.8</v>
          </cell>
          <cell r="AG4104" t="str">
            <v>DRN90S4</v>
          </cell>
          <cell r="AH4104" t="str">
            <v>FV77G-DRN90S4270-X</v>
          </cell>
        </row>
        <row r="4105">
          <cell r="A4105" t="str">
            <v>MR004094</v>
          </cell>
          <cell r="B4105" t="str">
            <v>MR</v>
          </cell>
          <cell r="C4105">
            <v>1.1000000000000001</v>
          </cell>
          <cell r="D4105">
            <v>6.5</v>
          </cell>
          <cell r="E4105" t="str">
            <v>FV77</v>
          </cell>
          <cell r="F4105">
            <v>1350</v>
          </cell>
          <cell r="G4105">
            <v>225.79</v>
          </cell>
          <cell r="H4105">
            <v>1.1000000000000001</v>
          </cell>
          <cell r="I4105" t="str">
            <v>M6</v>
          </cell>
          <cell r="J4105" t="str">
            <v>IE3</v>
          </cell>
          <cell r="K4105" t="str">
            <v>277/480</v>
          </cell>
          <cell r="L4105">
            <v>60</v>
          </cell>
          <cell r="M4105" t="str">
            <v>3,85/2,2</v>
          </cell>
          <cell r="N4105">
            <v>65</v>
          </cell>
          <cell r="O4105" t="str">
            <v>155(F)</v>
          </cell>
          <cell r="P4105" t="str">
            <v>270°</v>
          </cell>
          <cell r="Q4105" t="str">
            <v>TF</v>
          </cell>
          <cell r="R4105" t="str">
            <v>-</v>
          </cell>
          <cell r="S4105" t="str">
            <v>-</v>
          </cell>
          <cell r="T4105" t="str">
            <v>BEHF (480V)</v>
          </cell>
          <cell r="U4105" t="str">
            <v>G</v>
          </cell>
          <cell r="V4105" t="str">
            <v>FC+R</v>
          </cell>
          <cell r="W4105" t="str">
            <v>-</v>
          </cell>
          <cell r="X4105" t="str">
            <v>CLP 220 (-15/+40°C)</v>
          </cell>
          <cell r="Y4105" t="str">
            <v>FV77/G DRN90S4 /BEHF (480V) /TF</v>
          </cell>
          <cell r="Z4105" t="str">
            <v>SEW</v>
          </cell>
          <cell r="AB4105" t="str">
            <v>-</v>
          </cell>
          <cell r="AE4105" t="str">
            <v>BROCCIATURA PER FV67-DIN 5480N45x2x30x21xH9 - NEMA5/UL/NPT terminal box</v>
          </cell>
          <cell r="AF4105">
            <v>7.8</v>
          </cell>
          <cell r="AG4105" t="str">
            <v>DRN90S4</v>
          </cell>
          <cell r="AH4105" t="str">
            <v>FV77G-DRN90S4270-X</v>
          </cell>
        </row>
        <row r="4106">
          <cell r="A4106" t="str">
            <v>MR004095</v>
          </cell>
          <cell r="B4106" t="str">
            <v>MR</v>
          </cell>
          <cell r="C4106">
            <v>11</v>
          </cell>
          <cell r="D4106">
            <v>47.5</v>
          </cell>
          <cell r="E4106" t="str">
            <v>KH87</v>
          </cell>
          <cell r="F4106">
            <v>1860</v>
          </cell>
          <cell r="G4106">
            <v>31.39</v>
          </cell>
          <cell r="H4106">
            <v>1.45</v>
          </cell>
          <cell r="I4106" t="str">
            <v>M1B</v>
          </cell>
          <cell r="J4106" t="str">
            <v>IE3</v>
          </cell>
          <cell r="K4106" t="str">
            <v>277/480</v>
          </cell>
          <cell r="L4106">
            <v>60</v>
          </cell>
          <cell r="M4106" t="str">
            <v>30,5/17,7</v>
          </cell>
          <cell r="N4106">
            <v>65</v>
          </cell>
          <cell r="O4106" t="str">
            <v>155(F)</v>
          </cell>
          <cell r="P4106" t="str">
            <v>270°</v>
          </cell>
          <cell r="Q4106" t="str">
            <v>-</v>
          </cell>
          <cell r="R4106" t="str">
            <v>-</v>
          </cell>
          <cell r="S4106" t="str">
            <v>Free rotation CW</v>
          </cell>
          <cell r="T4106" t="str">
            <v>-</v>
          </cell>
          <cell r="U4106" t="str">
            <v>T</v>
          </cell>
          <cell r="V4106" t="str">
            <v>SS</v>
          </cell>
          <cell r="W4106" t="str">
            <v>-</v>
          </cell>
          <cell r="X4106" t="str">
            <v>CLP 220 (-15/+40°C)</v>
          </cell>
          <cell r="Y4106" t="str">
            <v>KH87/T DRN160M4 /RS</v>
          </cell>
          <cell r="Z4106" t="str">
            <v>SEW</v>
          </cell>
          <cell r="AB4106" t="str">
            <v>-</v>
          </cell>
          <cell r="AE4106" t="str">
            <v>NEMA5/UL/NPT terminal box</v>
          </cell>
          <cell r="AF4106">
            <v>57</v>
          </cell>
          <cell r="AG4106" t="str">
            <v>DRN160M4</v>
          </cell>
          <cell r="AH4106" t="str">
            <v>KH87T-DRN160M4B270-X</v>
          </cell>
        </row>
        <row r="4107">
          <cell r="A4107" t="str">
            <v>MR004096</v>
          </cell>
          <cell r="B4107" t="str">
            <v>ME</v>
          </cell>
          <cell r="C4107">
            <v>45</v>
          </cell>
          <cell r="D4107">
            <v>1475</v>
          </cell>
          <cell r="E4107" t="str">
            <v>1LE1523</v>
          </cell>
          <cell r="F4107">
            <v>120</v>
          </cell>
          <cell r="I4107" t="str">
            <v>V1/B5</v>
          </cell>
          <cell r="J4107" t="str">
            <v>IE3</v>
          </cell>
          <cell r="K4107" t="str">
            <v>266/460</v>
          </cell>
          <cell r="L4107">
            <v>60</v>
          </cell>
          <cell r="M4107">
            <v>68</v>
          </cell>
          <cell r="N4107">
            <v>65</v>
          </cell>
          <cell r="O4107" t="str">
            <v>155(F)</v>
          </cell>
          <cell r="P4107" t="str">
            <v>-</v>
          </cell>
          <cell r="Q4107" t="str">
            <v>-</v>
          </cell>
          <cell r="R4107" t="str">
            <v>-</v>
          </cell>
          <cell r="S4107" t="str">
            <v>-</v>
          </cell>
          <cell r="T4107" t="str">
            <v>-</v>
          </cell>
          <cell r="U4107" t="str">
            <v>-</v>
          </cell>
          <cell r="V4107" t="str">
            <v>D</v>
          </cell>
          <cell r="W4107" t="str">
            <v>-</v>
          </cell>
          <cell r="X4107" t="str">
            <v>-</v>
          </cell>
          <cell r="Y4107" t="str">
            <v>1LE1523</v>
          </cell>
          <cell r="Z4107" t="str">
            <v>SIEMENS</v>
          </cell>
          <cell r="AB4107" t="str">
            <v>-</v>
          </cell>
          <cell r="AE4107" t="str">
            <v>NEMA5/UL/NPT terminal box</v>
          </cell>
          <cell r="AF4107">
            <v>1770</v>
          </cell>
          <cell r="AG4107" t="str">
            <v>DRN225M4</v>
          </cell>
          <cell r="AH4107" t="str">
            <v>1LE1523-DRN225M4B--X</v>
          </cell>
        </row>
        <row r="4108">
          <cell r="A4108" t="str">
            <v>MR004097</v>
          </cell>
          <cell r="B4108" t="str">
            <v>ME</v>
          </cell>
          <cell r="C4108">
            <v>4</v>
          </cell>
          <cell r="D4108">
            <v>1475</v>
          </cell>
          <cell r="E4108" t="str">
            <v>1LE1023</v>
          </cell>
          <cell r="F4108">
            <v>9.9</v>
          </cell>
          <cell r="I4108" t="str">
            <v>B5</v>
          </cell>
          <cell r="J4108" t="str">
            <v>IE3</v>
          </cell>
          <cell r="K4108" t="str">
            <v>266/460</v>
          </cell>
          <cell r="L4108">
            <v>60</v>
          </cell>
          <cell r="M4108">
            <v>6</v>
          </cell>
          <cell r="N4108">
            <v>65</v>
          </cell>
          <cell r="O4108" t="str">
            <v>155(F)</v>
          </cell>
          <cell r="P4108" t="str">
            <v>-</v>
          </cell>
          <cell r="Q4108" t="str">
            <v>-</v>
          </cell>
          <cell r="R4108" t="str">
            <v>-</v>
          </cell>
          <cell r="S4108" t="str">
            <v>-</v>
          </cell>
          <cell r="T4108" t="str">
            <v>-</v>
          </cell>
          <cell r="U4108" t="str">
            <v>-</v>
          </cell>
          <cell r="V4108" t="str">
            <v>D</v>
          </cell>
          <cell r="W4108" t="str">
            <v>-</v>
          </cell>
          <cell r="X4108" t="str">
            <v>-</v>
          </cell>
          <cell r="Y4108" t="str">
            <v>1LE1023</v>
          </cell>
          <cell r="Z4108" t="str">
            <v>SIEMENS</v>
          </cell>
          <cell r="AB4108" t="str">
            <v>-</v>
          </cell>
          <cell r="AE4108" t="str">
            <v>NEMA5/UL/NPT terminal box</v>
          </cell>
          <cell r="AF4108">
            <v>1770</v>
          </cell>
          <cell r="AG4108" t="str">
            <v>DRN112M4</v>
          </cell>
          <cell r="AH4108" t="str">
            <v>1LE1023-DRN112M4B--X</v>
          </cell>
        </row>
        <row r="4109">
          <cell r="A4109" t="str">
            <v>MR004098</v>
          </cell>
          <cell r="B4109" t="str">
            <v>MR</v>
          </cell>
          <cell r="C4109">
            <v>37</v>
          </cell>
          <cell r="D4109">
            <v>41.666666666666671</v>
          </cell>
          <cell r="E4109" t="str">
            <v>R147</v>
          </cell>
          <cell r="F4109">
            <v>7050</v>
          </cell>
          <cell r="G4109">
            <v>35.64</v>
          </cell>
          <cell r="H4109">
            <v>1.85</v>
          </cell>
          <cell r="I4109" t="str">
            <v>M1</v>
          </cell>
          <cell r="J4109" t="str">
            <v>IE3</v>
          </cell>
          <cell r="K4109" t="str">
            <v>277/480</v>
          </cell>
          <cell r="L4109">
            <v>60</v>
          </cell>
          <cell r="M4109" t="str">
            <v>92/53</v>
          </cell>
          <cell r="N4109">
            <v>65</v>
          </cell>
          <cell r="O4109" t="str">
            <v>155(F)</v>
          </cell>
          <cell r="P4109" t="str">
            <v>270°</v>
          </cell>
          <cell r="Q4109" t="str">
            <v>TF</v>
          </cell>
          <cell r="R4109" t="str">
            <v>V(VE)</v>
          </cell>
          <cell r="S4109" t="str">
            <v>-</v>
          </cell>
          <cell r="T4109" t="str">
            <v>-</v>
          </cell>
          <cell r="U4109" t="str">
            <v>-</v>
          </cell>
          <cell r="V4109" t="str">
            <v>FC</v>
          </cell>
          <cell r="W4109" t="str">
            <v>-</v>
          </cell>
          <cell r="X4109" t="str">
            <v>CLP 220 (-15/+40°C)</v>
          </cell>
          <cell r="Y4109" t="str">
            <v>R147DRN225S4 /TF/V</v>
          </cell>
          <cell r="Z4109" t="str">
            <v>SEW</v>
          </cell>
          <cell r="AB4109" t="str">
            <v>-</v>
          </cell>
          <cell r="AE4109" t="str">
            <v>NEMA5/UL/NPT terminal box</v>
          </cell>
          <cell r="AF4109">
            <v>50.000000000000007</v>
          </cell>
          <cell r="AG4109" t="str">
            <v>DRN225S4</v>
          </cell>
          <cell r="AH4109" t="str">
            <v>R147-DRN225S4270-X#</v>
          </cell>
        </row>
        <row r="4110">
          <cell r="A4110" t="str">
            <v>MR004099</v>
          </cell>
          <cell r="B4110" t="str">
            <v>MR</v>
          </cell>
          <cell r="C4110">
            <v>7.5</v>
          </cell>
          <cell r="D4110">
            <v>47.5</v>
          </cell>
          <cell r="E4110" t="str">
            <v>KH77</v>
          </cell>
          <cell r="F4110">
            <v>1250</v>
          </cell>
          <cell r="G4110">
            <v>30.89</v>
          </cell>
          <cell r="H4110">
            <v>1.25</v>
          </cell>
          <cell r="I4110" t="str">
            <v>M4B</v>
          </cell>
          <cell r="J4110" t="str">
            <v>IE3</v>
          </cell>
          <cell r="K4110" t="str">
            <v>277/480</v>
          </cell>
          <cell r="L4110">
            <v>60</v>
          </cell>
          <cell r="M4110" t="str">
            <v>22/12,7</v>
          </cell>
          <cell r="N4110">
            <v>65</v>
          </cell>
          <cell r="O4110" t="str">
            <v>155(F)</v>
          </cell>
          <cell r="P4110" t="str">
            <v>270°</v>
          </cell>
          <cell r="Q4110" t="str">
            <v>-</v>
          </cell>
          <cell r="R4110" t="str">
            <v>-</v>
          </cell>
          <cell r="S4110" t="str">
            <v>Free rotation CW</v>
          </cell>
          <cell r="T4110" t="str">
            <v>-</v>
          </cell>
          <cell r="U4110" t="str">
            <v>T</v>
          </cell>
          <cell r="V4110" t="str">
            <v>SS</v>
          </cell>
          <cell r="W4110" t="str">
            <v>-</v>
          </cell>
          <cell r="X4110" t="str">
            <v>CLP 220 (-15/+40°C)</v>
          </cell>
          <cell r="Y4110" t="str">
            <v>KH77/T DRN132M4 /RS</v>
          </cell>
          <cell r="Z4110" t="str">
            <v>SEW</v>
          </cell>
          <cell r="AB4110" t="str">
            <v>-</v>
          </cell>
          <cell r="AE4110" t="str">
            <v>NEMA5/UL/NPT terminal box</v>
          </cell>
          <cell r="AF4110">
            <v>57</v>
          </cell>
          <cell r="AG4110" t="str">
            <v>DRN132M4</v>
          </cell>
          <cell r="AH4110" t="str">
            <v>KH77T-DRN132M4B270-X</v>
          </cell>
        </row>
        <row r="4111">
          <cell r="A4111" t="str">
            <v>MR004100</v>
          </cell>
          <cell r="B4111" t="str">
            <v>MR</v>
          </cell>
          <cell r="C4111">
            <v>7.5</v>
          </cell>
          <cell r="D4111">
            <v>47.5</v>
          </cell>
          <cell r="E4111" t="str">
            <v>KH77</v>
          </cell>
          <cell r="F4111">
            <v>1250</v>
          </cell>
          <cell r="G4111">
            <v>30.89</v>
          </cell>
          <cell r="H4111">
            <v>1.25</v>
          </cell>
          <cell r="I4111" t="str">
            <v>M4B</v>
          </cell>
          <cell r="J4111" t="str">
            <v>IE3</v>
          </cell>
          <cell r="K4111" t="str">
            <v>277/480</v>
          </cell>
          <cell r="L4111">
            <v>60</v>
          </cell>
          <cell r="M4111" t="str">
            <v>22/12,7</v>
          </cell>
          <cell r="N4111">
            <v>65</v>
          </cell>
          <cell r="O4111" t="str">
            <v>155(F)</v>
          </cell>
          <cell r="P4111" t="str">
            <v>270°</v>
          </cell>
          <cell r="Q4111" t="str">
            <v>-</v>
          </cell>
          <cell r="R4111" t="str">
            <v>-</v>
          </cell>
          <cell r="S4111" t="str">
            <v>-</v>
          </cell>
          <cell r="T4111" t="str">
            <v>-</v>
          </cell>
          <cell r="U4111" t="str">
            <v>T</v>
          </cell>
          <cell r="V4111" t="str">
            <v>SS</v>
          </cell>
          <cell r="W4111" t="str">
            <v>-</v>
          </cell>
          <cell r="X4111" t="str">
            <v>CLP 220 (-15/+40°C)</v>
          </cell>
          <cell r="Y4111" t="str">
            <v>KH77/T DRN132M4</v>
          </cell>
          <cell r="Z4111" t="str">
            <v>SEW</v>
          </cell>
          <cell r="AB4111" t="str">
            <v>-</v>
          </cell>
          <cell r="AE4111" t="str">
            <v>NEMA5/UL/NPT terminal box</v>
          </cell>
          <cell r="AF4111">
            <v>57</v>
          </cell>
          <cell r="AG4111" t="str">
            <v>DRN132M4</v>
          </cell>
          <cell r="AH4111" t="str">
            <v>KH77T-DRN132M4B270-X</v>
          </cell>
        </row>
        <row r="4112">
          <cell r="A4112" t="str">
            <v>MR004101</v>
          </cell>
          <cell r="B4112" t="str">
            <v>MR</v>
          </cell>
          <cell r="C4112">
            <v>2.2000000000000002</v>
          </cell>
          <cell r="D4112">
            <v>67.5</v>
          </cell>
          <cell r="E4112" t="str">
            <v>FH47</v>
          </cell>
          <cell r="F4112">
            <v>260</v>
          </cell>
          <cell r="G4112">
            <v>21.82</v>
          </cell>
          <cell r="H4112">
            <v>1.55</v>
          </cell>
          <cell r="I4112" t="str">
            <v>From M1 to M6 - 75°</v>
          </cell>
          <cell r="J4112" t="str">
            <v>IE3</v>
          </cell>
          <cell r="K4112" t="str">
            <v>277/480</v>
          </cell>
          <cell r="L4112">
            <v>60</v>
          </cell>
          <cell r="M4112" t="str">
            <v>7/4,05</v>
          </cell>
          <cell r="N4112">
            <v>65</v>
          </cell>
          <cell r="O4112" t="str">
            <v>155(F)</v>
          </cell>
          <cell r="P4112" t="str">
            <v>270°</v>
          </cell>
          <cell r="Q4112" t="str">
            <v>-</v>
          </cell>
          <cell r="R4112" t="str">
            <v>-</v>
          </cell>
          <cell r="S4112" t="str">
            <v>Free rotation CCW</v>
          </cell>
          <cell r="T4112" t="str">
            <v>-</v>
          </cell>
          <cell r="U4112" t="str">
            <v>G</v>
          </cell>
          <cell r="V4112" t="str">
            <v>D</v>
          </cell>
          <cell r="W4112" t="str">
            <v>-</v>
          </cell>
          <cell r="X4112" t="str">
            <v>CLP 220 (-15/+40°C)</v>
          </cell>
          <cell r="Y4112" t="str">
            <v>FH47/G DRN100LS4 /RS</v>
          </cell>
          <cell r="Z4112" t="str">
            <v>SEW</v>
          </cell>
          <cell r="AB4112" t="str">
            <v>-</v>
          </cell>
          <cell r="AE4112" t="str">
            <v>NEMA5/UL/NPT terminal box</v>
          </cell>
          <cell r="AF4112">
            <v>81</v>
          </cell>
          <cell r="AG4112" t="str">
            <v>DRN100LS4</v>
          </cell>
          <cell r="AH4112" t="str">
            <v>FH47G-DRN100LS4270-X</v>
          </cell>
        </row>
        <row r="4113">
          <cell r="A4113" t="str">
            <v>MR004102</v>
          </cell>
          <cell r="B4113" t="str">
            <v>MR</v>
          </cell>
          <cell r="C4113">
            <v>11</v>
          </cell>
          <cell r="D4113">
            <v>13.333333333333334</v>
          </cell>
          <cell r="E4113" t="str">
            <v>KH107</v>
          </cell>
          <cell r="F4113">
            <v>6650</v>
          </cell>
          <cell r="G4113">
            <v>112.4</v>
          </cell>
          <cell r="H4113">
            <v>1.2</v>
          </cell>
          <cell r="I4113" t="str">
            <v>From M1A to M2A - 45°</v>
          </cell>
          <cell r="J4113" t="str">
            <v>IE3</v>
          </cell>
          <cell r="K4113" t="str">
            <v>277/480</v>
          </cell>
          <cell r="L4113">
            <v>60</v>
          </cell>
          <cell r="M4113" t="str">
            <v>30,5/17,7</v>
          </cell>
          <cell r="N4113">
            <v>65</v>
          </cell>
          <cell r="O4113" t="str">
            <v>155(F)</v>
          </cell>
          <cell r="P4113" t="str">
            <v>270°</v>
          </cell>
          <cell r="Q4113" t="str">
            <v>-</v>
          </cell>
          <cell r="R4113" t="str">
            <v>-</v>
          </cell>
          <cell r="S4113" t="str">
            <v>-</v>
          </cell>
          <cell r="T4113" t="str">
            <v>-</v>
          </cell>
          <cell r="U4113" t="str">
            <v>-</v>
          </cell>
          <cell r="V4113" t="str">
            <v>SS</v>
          </cell>
          <cell r="W4113" t="str">
            <v>-</v>
          </cell>
          <cell r="X4113" t="str">
            <v>CLP 220 (-15/+40°C)</v>
          </cell>
          <cell r="Y4113" t="str">
            <v>KH107DRN160M4</v>
          </cell>
          <cell r="Z4113" t="str">
            <v>SEW</v>
          </cell>
          <cell r="AB4113" t="str">
            <v>-</v>
          </cell>
          <cell r="AE4113" t="str">
            <v>NEMA5/UL/NPT terminal box</v>
          </cell>
          <cell r="AF4113">
            <v>16</v>
          </cell>
          <cell r="AG4113" t="str">
            <v>DRN160M4</v>
          </cell>
          <cell r="AH4113" t="str">
            <v>KH107-DRN160M4A270-X</v>
          </cell>
        </row>
        <row r="4114">
          <cell r="A4114" t="str">
            <v>MR004103</v>
          </cell>
          <cell r="B4114" t="str">
            <v>MR</v>
          </cell>
          <cell r="C4114">
            <v>11</v>
          </cell>
          <cell r="D4114">
            <v>13.333333333333334</v>
          </cell>
          <cell r="E4114" t="str">
            <v>KH107</v>
          </cell>
          <cell r="F4114">
            <v>6650</v>
          </cell>
          <cell r="G4114">
            <v>112.4</v>
          </cell>
          <cell r="H4114">
            <v>1.2</v>
          </cell>
          <cell r="I4114" t="str">
            <v>From M1B to M2B - 45°</v>
          </cell>
          <cell r="J4114" t="str">
            <v>IE3</v>
          </cell>
          <cell r="K4114" t="str">
            <v>277/480</v>
          </cell>
          <cell r="L4114">
            <v>60</v>
          </cell>
          <cell r="M4114" t="str">
            <v>30,5/17,7</v>
          </cell>
          <cell r="N4114">
            <v>65</v>
          </cell>
          <cell r="O4114" t="str">
            <v>155(F)</v>
          </cell>
          <cell r="P4114" t="str">
            <v>270°</v>
          </cell>
          <cell r="Q4114" t="str">
            <v>-</v>
          </cell>
          <cell r="R4114" t="str">
            <v>-</v>
          </cell>
          <cell r="S4114" t="str">
            <v>-</v>
          </cell>
          <cell r="T4114" t="str">
            <v>-</v>
          </cell>
          <cell r="U4114" t="str">
            <v>-</v>
          </cell>
          <cell r="V4114" t="str">
            <v>SS</v>
          </cell>
          <cell r="W4114" t="str">
            <v>-</v>
          </cell>
          <cell r="X4114" t="str">
            <v>CLP 220 (-15/+40°C)</v>
          </cell>
          <cell r="Y4114" t="str">
            <v>KH107DRN160M4</v>
          </cell>
          <cell r="Z4114" t="str">
            <v>SEW</v>
          </cell>
          <cell r="AB4114" t="str">
            <v>-</v>
          </cell>
          <cell r="AE4114" t="str">
            <v>NEMA5/UL/NPT terminal box</v>
          </cell>
          <cell r="AF4114">
            <v>16</v>
          </cell>
          <cell r="AG4114" t="str">
            <v>DRN160M4</v>
          </cell>
          <cell r="AH4114" t="str">
            <v>KH107-DRN160M4B270-X</v>
          </cell>
        </row>
        <row r="4115">
          <cell r="A4115" t="str">
            <v>MR004104</v>
          </cell>
          <cell r="B4115" t="str">
            <v>MR</v>
          </cell>
          <cell r="C4115">
            <v>0.75</v>
          </cell>
          <cell r="D4115">
            <v>15</v>
          </cell>
          <cell r="E4115" t="str">
            <v>FA67</v>
          </cell>
          <cell r="F4115">
            <v>390</v>
          </cell>
          <cell r="G4115">
            <v>95.94</v>
          </cell>
          <cell r="H4115">
            <v>2.1</v>
          </cell>
          <cell r="I4115" t="str">
            <v>From M5 to M3 - 45°</v>
          </cell>
          <cell r="J4115" t="str">
            <v>IE3</v>
          </cell>
          <cell r="K4115" t="str">
            <v>277/480</v>
          </cell>
          <cell r="L4115">
            <v>60</v>
          </cell>
          <cell r="M4115" t="str">
            <v>2,6/1,49</v>
          </cell>
          <cell r="N4115">
            <v>65</v>
          </cell>
          <cell r="O4115" t="str">
            <v>155(F)</v>
          </cell>
          <cell r="P4115" t="str">
            <v>270°</v>
          </cell>
          <cell r="Q4115" t="str">
            <v>-</v>
          </cell>
          <cell r="R4115" t="str">
            <v>-</v>
          </cell>
          <cell r="S4115" t="str">
            <v>-</v>
          </cell>
          <cell r="T4115" t="str">
            <v>-</v>
          </cell>
          <cell r="U4115" t="str">
            <v>G</v>
          </cell>
          <cell r="V4115" t="str">
            <v>D+R</v>
          </cell>
          <cell r="W4115" t="str">
            <v>-</v>
          </cell>
          <cell r="X4115" t="str">
            <v>CLP 220 (-15/+40°C)</v>
          </cell>
          <cell r="Y4115" t="str">
            <v>FA67/G DRN80M4</v>
          </cell>
          <cell r="Z4115" t="str">
            <v>SEW</v>
          </cell>
          <cell r="AB4115" t="str">
            <v>-</v>
          </cell>
          <cell r="AE4115" t="str">
            <v>NEMA5/UL/NPT terminal box</v>
          </cell>
          <cell r="AF4115">
            <v>18</v>
          </cell>
          <cell r="AG4115" t="str">
            <v>DRN80M4</v>
          </cell>
          <cell r="AH4115" t="str">
            <v>FA67G-DRN80M4270-X</v>
          </cell>
        </row>
        <row r="4116">
          <cell r="A4116" t="str">
            <v>MR004105</v>
          </cell>
          <cell r="B4116" t="str">
            <v>MR</v>
          </cell>
          <cell r="C4116">
            <v>9.1999999999999993</v>
          </cell>
          <cell r="D4116">
            <v>53.333333333333336</v>
          </cell>
          <cell r="E4116" t="str">
            <v>R97</v>
          </cell>
          <cell r="F4116">
            <v>1370</v>
          </cell>
          <cell r="G4116">
            <v>27.58</v>
          </cell>
          <cell r="H4116">
            <v>1.95</v>
          </cell>
          <cell r="I4116" t="str">
            <v>M1</v>
          </cell>
          <cell r="J4116" t="str">
            <v>IE3</v>
          </cell>
          <cell r="K4116" t="str">
            <v>277/480</v>
          </cell>
          <cell r="L4116">
            <v>60</v>
          </cell>
          <cell r="M4116" t="str">
            <v>27,5/15,8</v>
          </cell>
          <cell r="N4116">
            <v>65</v>
          </cell>
          <cell r="O4116" t="str">
            <v>155(F)</v>
          </cell>
          <cell r="P4116" t="str">
            <v>270°</v>
          </cell>
          <cell r="Q4116" t="str">
            <v>-</v>
          </cell>
          <cell r="R4116" t="str">
            <v>-</v>
          </cell>
          <cell r="S4116" t="str">
            <v>-</v>
          </cell>
          <cell r="T4116" t="str">
            <v>-</v>
          </cell>
          <cell r="U4116" t="str">
            <v>-</v>
          </cell>
          <cell r="V4116" t="str">
            <v>D</v>
          </cell>
          <cell r="W4116" t="str">
            <v>-</v>
          </cell>
          <cell r="X4116" t="str">
            <v>CLP 220 (-15/+40°C)</v>
          </cell>
          <cell r="Y4116" t="str">
            <v>R97DRN132L4</v>
          </cell>
          <cell r="Z4116" t="str">
            <v>SEW</v>
          </cell>
          <cell r="AB4116" t="str">
            <v>-</v>
          </cell>
          <cell r="AE4116" t="str">
            <v>NEMA5/UL/NPT terminal box</v>
          </cell>
          <cell r="AF4116">
            <v>64</v>
          </cell>
          <cell r="AG4116" t="str">
            <v>DRN132L4</v>
          </cell>
          <cell r="AH4116" t="str">
            <v>R97-DRN132L4270-X</v>
          </cell>
        </row>
        <row r="4117">
          <cell r="A4117" t="str">
            <v>MR004106</v>
          </cell>
          <cell r="B4117" t="str">
            <v>MR</v>
          </cell>
          <cell r="C4117">
            <v>9.1999999999999993</v>
          </cell>
          <cell r="D4117">
            <v>13.333333333333334</v>
          </cell>
          <cell r="E4117" t="str">
            <v>KH107</v>
          </cell>
          <cell r="F4117">
            <v>5560</v>
          </cell>
          <cell r="G4117">
            <v>112.4</v>
          </cell>
          <cell r="H4117">
            <v>1.45</v>
          </cell>
          <cell r="I4117" t="str">
            <v>From M1A to M2A - 45°</v>
          </cell>
          <cell r="J4117" t="str">
            <v>IE3</v>
          </cell>
          <cell r="K4117" t="str">
            <v>277/480</v>
          </cell>
          <cell r="L4117">
            <v>60</v>
          </cell>
          <cell r="M4117" t="str">
            <v>27,5/15,8</v>
          </cell>
          <cell r="N4117">
            <v>65</v>
          </cell>
          <cell r="O4117" t="str">
            <v>155(F)</v>
          </cell>
          <cell r="P4117" t="str">
            <v>270°</v>
          </cell>
          <cell r="Q4117" t="str">
            <v>TF</v>
          </cell>
          <cell r="R4117" t="str">
            <v>V(VE)</v>
          </cell>
          <cell r="S4117" t="str">
            <v>-</v>
          </cell>
          <cell r="T4117" t="str">
            <v>-</v>
          </cell>
          <cell r="U4117" t="str">
            <v>-</v>
          </cell>
          <cell r="V4117" t="str">
            <v>FC</v>
          </cell>
          <cell r="W4117" t="str">
            <v>-</v>
          </cell>
          <cell r="X4117" t="str">
            <v>CLP 220 (-15/+40°C)</v>
          </cell>
          <cell r="Y4117" t="str">
            <v>KH107DRN132L4 /TF/V</v>
          </cell>
          <cell r="Z4117" t="str">
            <v>SEW</v>
          </cell>
          <cell r="AB4117" t="str">
            <v>-</v>
          </cell>
          <cell r="AE4117" t="str">
            <v>NEMA5/UL/NPT terminal box</v>
          </cell>
          <cell r="AF4117">
            <v>16</v>
          </cell>
          <cell r="AG4117" t="str">
            <v>DRN132L4</v>
          </cell>
          <cell r="AH4117" t="str">
            <v>KH107-DRN132L4A270-X#</v>
          </cell>
        </row>
        <row r="4118">
          <cell r="A4118" t="str">
            <v>MR004107</v>
          </cell>
          <cell r="B4118" t="str">
            <v>MR</v>
          </cell>
          <cell r="C4118">
            <v>22</v>
          </cell>
          <cell r="D4118">
            <v>33</v>
          </cell>
          <cell r="E4118" t="str">
            <v>R137</v>
          </cell>
          <cell r="F4118">
            <v>6310</v>
          </cell>
          <cell r="G4118">
            <v>44.39</v>
          </cell>
          <cell r="H4118">
            <v>1.25</v>
          </cell>
          <cell r="I4118" t="str">
            <v>From M1 to M2 - 15°</v>
          </cell>
          <cell r="J4118" t="str">
            <v>IE3</v>
          </cell>
          <cell r="K4118" t="str">
            <v>380/660</v>
          </cell>
          <cell r="L4118">
            <v>50</v>
          </cell>
          <cell r="M4118" t="str">
            <v>40,5/23,5</v>
          </cell>
          <cell r="N4118">
            <v>65</v>
          </cell>
          <cell r="O4118" t="str">
            <v>155(F)</v>
          </cell>
          <cell r="P4118" t="str">
            <v>270°</v>
          </cell>
          <cell r="Q4118" t="str">
            <v>-</v>
          </cell>
          <cell r="R4118" t="str">
            <v>V(VE)</v>
          </cell>
          <cell r="S4118" t="str">
            <v>-</v>
          </cell>
          <cell r="T4118" t="str">
            <v>-</v>
          </cell>
          <cell r="U4118" t="str">
            <v>-</v>
          </cell>
          <cell r="V4118" t="str">
            <v>FC</v>
          </cell>
          <cell r="W4118" t="str">
            <v>-</v>
          </cell>
          <cell r="X4118" t="str">
            <v>CLP 220 (-15/+40°C)</v>
          </cell>
          <cell r="Y4118" t="str">
            <v>R137DRN180L4/V</v>
          </cell>
          <cell r="Z4118" t="str">
            <v>SEW</v>
          </cell>
          <cell r="AB4118" t="str">
            <v>-</v>
          </cell>
          <cell r="AF4118">
            <v>33</v>
          </cell>
          <cell r="AG4118" t="str">
            <v>DRN180L4</v>
          </cell>
          <cell r="AH4118" t="str">
            <v>R137-DRN180L4270-X#</v>
          </cell>
        </row>
        <row r="4119">
          <cell r="A4119" t="str">
            <v>MR004108</v>
          </cell>
          <cell r="B4119" t="str">
            <v>MR</v>
          </cell>
          <cell r="C4119">
            <v>4</v>
          </cell>
          <cell r="D4119">
            <v>86</v>
          </cell>
          <cell r="E4119" t="str">
            <v>R87</v>
          </cell>
          <cell r="F4119">
            <v>445</v>
          </cell>
          <cell r="G4119">
            <v>17.079999999999998</v>
          </cell>
          <cell r="H4119">
            <v>3.1</v>
          </cell>
          <cell r="I4119" t="str">
            <v>From M1 to M2 - 15°</v>
          </cell>
          <cell r="J4119" t="str">
            <v>IE3</v>
          </cell>
          <cell r="K4119" t="str">
            <v>220/380</v>
          </cell>
          <cell r="L4119">
            <v>50</v>
          </cell>
          <cell r="M4119" t="str">
            <v>14,4/8,4</v>
          </cell>
          <cell r="N4119">
            <v>65</v>
          </cell>
          <cell r="O4119" t="str">
            <v>155(F)</v>
          </cell>
          <cell r="P4119" t="str">
            <v>270°</v>
          </cell>
          <cell r="Q4119" t="str">
            <v>-</v>
          </cell>
          <cell r="R4119" t="str">
            <v>-</v>
          </cell>
          <cell r="S4119" t="str">
            <v>-</v>
          </cell>
          <cell r="T4119" t="str">
            <v>-</v>
          </cell>
          <cell r="U4119" t="str">
            <v>-</v>
          </cell>
          <cell r="V4119" t="str">
            <v>D</v>
          </cell>
          <cell r="W4119" t="str">
            <v>-</v>
          </cell>
          <cell r="X4119" t="str">
            <v>CLP 220 (-15/+40°C)</v>
          </cell>
          <cell r="Y4119" t="str">
            <v>R87DRN112M4</v>
          </cell>
          <cell r="Z4119" t="str">
            <v>SEW</v>
          </cell>
          <cell r="AB4119" t="str">
            <v>-</v>
          </cell>
          <cell r="AF4119">
            <v>86</v>
          </cell>
          <cell r="AG4119" t="str">
            <v>DRN112M4</v>
          </cell>
          <cell r="AH4119" t="str">
            <v>R87-DRN112M4270-X</v>
          </cell>
        </row>
        <row r="4120">
          <cell r="A4120" t="str">
            <v>MR004109</v>
          </cell>
          <cell r="B4120" t="str">
            <v>MR</v>
          </cell>
          <cell r="C4120">
            <v>30</v>
          </cell>
          <cell r="D4120">
            <v>32</v>
          </cell>
          <cell r="E4120" t="str">
            <v>R147</v>
          </cell>
          <cell r="F4120">
            <v>9030</v>
          </cell>
          <cell r="G4120">
            <v>46.65</v>
          </cell>
          <cell r="H4120">
            <v>1.45</v>
          </cell>
          <cell r="I4120" t="str">
            <v>M1</v>
          </cell>
          <cell r="J4120" t="str">
            <v>IE3</v>
          </cell>
          <cell r="K4120" t="str">
            <v>380/660</v>
          </cell>
          <cell r="L4120">
            <v>50</v>
          </cell>
          <cell r="M4120" t="str">
            <v>59/34</v>
          </cell>
          <cell r="N4120">
            <v>65</v>
          </cell>
          <cell r="O4120" t="str">
            <v>155(F)</v>
          </cell>
          <cell r="P4120" t="str">
            <v>270°</v>
          </cell>
          <cell r="Q4120" t="str">
            <v>-</v>
          </cell>
          <cell r="R4120" t="str">
            <v>-</v>
          </cell>
          <cell r="S4120" t="str">
            <v>Free rotation CW</v>
          </cell>
          <cell r="T4120" t="str">
            <v>-</v>
          </cell>
          <cell r="U4120" t="str">
            <v>-</v>
          </cell>
          <cell r="V4120" t="str">
            <v>SS</v>
          </cell>
          <cell r="W4120" t="str">
            <v>-</v>
          </cell>
          <cell r="X4120" t="str">
            <v>CLP 220 (-15/+40°C)</v>
          </cell>
          <cell r="Y4120" t="str">
            <v>R147DRN200L4 /RS</v>
          </cell>
          <cell r="Z4120" t="str">
            <v>SEW</v>
          </cell>
          <cell r="AB4120" t="str">
            <v>-</v>
          </cell>
          <cell r="AF4120">
            <v>32</v>
          </cell>
          <cell r="AG4120" t="str">
            <v>DRN200L4</v>
          </cell>
          <cell r="AH4120" t="str">
            <v>R147-DRN200L4270-X</v>
          </cell>
        </row>
        <row r="4121">
          <cell r="A4121" t="str">
            <v>MR004110</v>
          </cell>
          <cell r="B4121" t="str">
            <v>MR</v>
          </cell>
          <cell r="C4121">
            <v>18.5</v>
          </cell>
          <cell r="D4121">
            <v>66</v>
          </cell>
          <cell r="E4121" t="str">
            <v>KH97</v>
          </cell>
          <cell r="F4121">
            <v>2670</v>
          </cell>
          <cell r="G4121">
            <v>22.37</v>
          </cell>
          <cell r="H4121">
            <v>1.6</v>
          </cell>
          <cell r="I4121" t="str">
            <v xml:space="preserve">M4B </v>
          </cell>
          <cell r="J4121" t="str">
            <v>IE3</v>
          </cell>
          <cell r="K4121" t="str">
            <v>380/660</v>
          </cell>
          <cell r="L4121">
            <v>50</v>
          </cell>
          <cell r="M4121" t="str">
            <v>35/22</v>
          </cell>
          <cell r="N4121">
            <v>65</v>
          </cell>
          <cell r="O4121" t="str">
            <v>155(F)</v>
          </cell>
          <cell r="P4121" t="str">
            <v>270°</v>
          </cell>
          <cell r="Q4121" t="str">
            <v>-</v>
          </cell>
          <cell r="R4121" t="str">
            <v>-</v>
          </cell>
          <cell r="S4121" t="str">
            <v>-</v>
          </cell>
          <cell r="T4121" t="str">
            <v>-</v>
          </cell>
          <cell r="U4121" t="str">
            <v>T</v>
          </cell>
          <cell r="V4121" t="str">
            <v>SS</v>
          </cell>
          <cell r="W4121" t="str">
            <v>-</v>
          </cell>
          <cell r="X4121" t="str">
            <v>CLP 220 (-15/+40°C)</v>
          </cell>
          <cell r="Y4121" t="str">
            <v>KH97/T DRN180M4</v>
          </cell>
          <cell r="Z4121" t="str">
            <v>SEW</v>
          </cell>
          <cell r="AB4121" t="str">
            <v>-</v>
          </cell>
          <cell r="AF4121">
            <v>66</v>
          </cell>
          <cell r="AG4121" t="str">
            <v>DRN180M4</v>
          </cell>
          <cell r="AH4121" t="str">
            <v>KH97T-DRN180M4B270-X</v>
          </cell>
        </row>
        <row r="4122">
          <cell r="A4122" t="str">
            <v>MR004111</v>
          </cell>
          <cell r="B4122" t="str">
            <v>MR</v>
          </cell>
          <cell r="C4122">
            <v>0.75</v>
          </cell>
          <cell r="D4122">
            <v>162</v>
          </cell>
          <cell r="E4122" t="str">
            <v>KA37</v>
          </cell>
          <cell r="F4122">
            <v>44</v>
          </cell>
          <cell r="G4122">
            <v>8.91</v>
          </cell>
          <cell r="H4122">
            <v>3.6</v>
          </cell>
          <cell r="I4122" t="str">
            <v>M1B</v>
          </cell>
          <cell r="J4122" t="str">
            <v>IE3</v>
          </cell>
          <cell r="K4122" t="str">
            <v>220/380</v>
          </cell>
          <cell r="L4122">
            <v>50</v>
          </cell>
          <cell r="M4122" t="str">
            <v>3,2/1,84</v>
          </cell>
          <cell r="N4122">
            <v>65</v>
          </cell>
          <cell r="O4122" t="str">
            <v>155(F)</v>
          </cell>
          <cell r="P4122" t="str">
            <v>0°</v>
          </cell>
          <cell r="Q4122" t="str">
            <v>-</v>
          </cell>
          <cell r="R4122" t="str">
            <v>-</v>
          </cell>
          <cell r="S4122" t="str">
            <v>-</v>
          </cell>
          <cell r="T4122" t="str">
            <v>-</v>
          </cell>
          <cell r="U4122" t="str">
            <v>T</v>
          </cell>
          <cell r="V4122" t="str">
            <v>D</v>
          </cell>
          <cell r="W4122" t="str">
            <v>-</v>
          </cell>
          <cell r="X4122" t="str">
            <v>CLP 220 (-15/+40°C)</v>
          </cell>
          <cell r="Y4122" t="str">
            <v>KA37/T DRN80M4</v>
          </cell>
          <cell r="Z4122" t="str">
            <v>SEW</v>
          </cell>
          <cell r="AB4122" t="str">
            <v>-</v>
          </cell>
          <cell r="AF4122">
            <v>162</v>
          </cell>
          <cell r="AG4122" t="str">
            <v>DRN80M4</v>
          </cell>
          <cell r="AH4122" t="str">
            <v>KA37T-DRN80M4B0-X</v>
          </cell>
        </row>
        <row r="4123">
          <cell r="A4123" t="str">
            <v>MR004112</v>
          </cell>
          <cell r="B4123" t="str">
            <v>MR</v>
          </cell>
          <cell r="C4123">
            <v>11</v>
          </cell>
          <cell r="D4123">
            <v>59</v>
          </cell>
          <cell r="E4123" t="str">
            <v>KH87</v>
          </cell>
          <cell r="F4123">
            <v>1770</v>
          </cell>
          <cell r="G4123" t="str">
            <v>24,92</v>
          </cell>
          <cell r="H4123" t="str">
            <v>1,4</v>
          </cell>
          <cell r="I4123" t="str">
            <v>M4A</v>
          </cell>
          <cell r="J4123" t="str">
            <v>IE3</v>
          </cell>
          <cell r="K4123" t="str">
            <v>380/660</v>
          </cell>
          <cell r="L4123">
            <v>50</v>
          </cell>
          <cell r="M4123" t="str">
            <v>22/12,7</v>
          </cell>
          <cell r="N4123">
            <v>65</v>
          </cell>
          <cell r="O4123" t="str">
            <v>155(F)</v>
          </cell>
          <cell r="P4123" t="str">
            <v>270°</v>
          </cell>
          <cell r="Q4123" t="str">
            <v>-</v>
          </cell>
          <cell r="R4123" t="str">
            <v>-</v>
          </cell>
          <cell r="S4123" t="str">
            <v>Free rotation CCW</v>
          </cell>
          <cell r="T4123" t="str">
            <v>-</v>
          </cell>
          <cell r="U4123" t="str">
            <v>T</v>
          </cell>
          <cell r="V4123" t="str">
            <v>SS</v>
          </cell>
          <cell r="W4123" t="str">
            <v>-</v>
          </cell>
          <cell r="X4123" t="str">
            <v>CLP 220 (-15/+40°C)</v>
          </cell>
          <cell r="Y4123" t="str">
            <v>KH87/T DRN160M4 /RS</v>
          </cell>
          <cell r="Z4123" t="str">
            <v>SEW</v>
          </cell>
          <cell r="AB4123" t="str">
            <v>-</v>
          </cell>
          <cell r="AF4123">
            <v>59</v>
          </cell>
          <cell r="AG4123" t="str">
            <v>DRN160M4</v>
          </cell>
          <cell r="AH4123" t="str">
            <v>KH87T-DRN160M4A270-X</v>
          </cell>
        </row>
        <row r="4124">
          <cell r="A4124" t="str">
            <v>MR004113</v>
          </cell>
          <cell r="B4124" t="str">
            <v>MR</v>
          </cell>
          <cell r="C4124">
            <v>0.75</v>
          </cell>
          <cell r="D4124">
            <v>162</v>
          </cell>
          <cell r="E4124" t="str">
            <v>KA37</v>
          </cell>
          <cell r="F4124">
            <v>44</v>
          </cell>
          <cell r="G4124">
            <v>8.91</v>
          </cell>
          <cell r="H4124">
            <v>3.6</v>
          </cell>
          <cell r="I4124" t="str">
            <v>From M1A to M2A-20°</v>
          </cell>
          <cell r="J4124" t="str">
            <v>IE3</v>
          </cell>
          <cell r="K4124" t="str">
            <v>220/380</v>
          </cell>
          <cell r="L4124">
            <v>50</v>
          </cell>
          <cell r="M4124" t="str">
            <v>3,2/1,84</v>
          </cell>
          <cell r="N4124">
            <v>65</v>
          </cell>
          <cell r="O4124" t="str">
            <v>155(F)</v>
          </cell>
          <cell r="P4124" t="str">
            <v>180°</v>
          </cell>
          <cell r="Q4124" t="str">
            <v>-</v>
          </cell>
          <cell r="R4124" t="str">
            <v>-</v>
          </cell>
          <cell r="S4124" t="str">
            <v>-</v>
          </cell>
          <cell r="T4124" t="str">
            <v>-</v>
          </cell>
          <cell r="U4124" t="str">
            <v>T</v>
          </cell>
          <cell r="V4124" t="str">
            <v>D</v>
          </cell>
          <cell r="W4124" t="str">
            <v>-</v>
          </cell>
          <cell r="X4124" t="str">
            <v>CLP 220 (-15/+40°C)</v>
          </cell>
          <cell r="Y4124" t="str">
            <v>KA37/T DRN80M4</v>
          </cell>
          <cell r="Z4124" t="str">
            <v>SEW</v>
          </cell>
          <cell r="AB4124" t="str">
            <v>-</v>
          </cell>
          <cell r="AF4124">
            <v>162</v>
          </cell>
          <cell r="AG4124" t="str">
            <v>DRN80M4</v>
          </cell>
          <cell r="AH4124" t="str">
            <v>KA37T-DRN80M4A180-X</v>
          </cell>
        </row>
        <row r="4125">
          <cell r="A4125" t="str">
            <v>MR004114</v>
          </cell>
          <cell r="B4125" t="str">
            <v>MR</v>
          </cell>
          <cell r="C4125">
            <v>9.1999999999999993</v>
          </cell>
          <cell r="D4125">
            <v>68</v>
          </cell>
          <cell r="E4125" t="str">
            <v>R87</v>
          </cell>
          <cell r="F4125">
            <v>1280</v>
          </cell>
          <cell r="G4125">
            <v>21.51</v>
          </cell>
          <cell r="H4125">
            <v>1.1499999999999999</v>
          </cell>
          <cell r="I4125" t="str">
            <v>M1</v>
          </cell>
          <cell r="J4125" t="str">
            <v>IE3</v>
          </cell>
          <cell r="K4125" t="str">
            <v>380/660</v>
          </cell>
          <cell r="L4125">
            <v>50</v>
          </cell>
          <cell r="M4125" t="str">
            <v>19,7/11,3</v>
          </cell>
          <cell r="N4125">
            <v>65</v>
          </cell>
          <cell r="O4125" t="str">
            <v>155(F)</v>
          </cell>
          <cell r="P4125" t="str">
            <v>270°</v>
          </cell>
          <cell r="Q4125" t="str">
            <v>-</v>
          </cell>
          <cell r="R4125" t="str">
            <v>-</v>
          </cell>
          <cell r="S4125" t="str">
            <v>-</v>
          </cell>
          <cell r="T4125" t="str">
            <v>-</v>
          </cell>
          <cell r="U4125" t="str">
            <v>-</v>
          </cell>
          <cell r="V4125" t="str">
            <v>D+R</v>
          </cell>
          <cell r="W4125" t="str">
            <v>-</v>
          </cell>
          <cell r="X4125" t="str">
            <v>CLP 220 (-15/+40°C)</v>
          </cell>
          <cell r="Y4125" t="str">
            <v>R87DRN132L4</v>
          </cell>
          <cell r="Z4125" t="str">
            <v>SEW</v>
          </cell>
          <cell r="AB4125" t="str">
            <v>-</v>
          </cell>
          <cell r="AF4125">
            <v>68</v>
          </cell>
          <cell r="AG4125" t="str">
            <v>DRN132L4</v>
          </cell>
          <cell r="AH4125" t="str">
            <v>R87-DRN132L4270-X</v>
          </cell>
        </row>
        <row r="4126">
          <cell r="A4126" t="str">
            <v>MR004115</v>
          </cell>
          <cell r="B4126" t="str">
            <v>MR</v>
          </cell>
          <cell r="C4126">
            <v>0.75</v>
          </cell>
          <cell r="D4126">
            <v>18</v>
          </cell>
          <cell r="E4126" t="str">
            <v>FA67</v>
          </cell>
          <cell r="F4126">
            <v>395</v>
          </cell>
          <cell r="G4126">
            <v>79.760000000000005</v>
          </cell>
          <cell r="H4126">
            <v>2.1</v>
          </cell>
          <cell r="I4126" t="str">
            <v>M5</v>
          </cell>
          <cell r="J4126" t="str">
            <v>IE3</v>
          </cell>
          <cell r="K4126" t="str">
            <v>220/380</v>
          </cell>
          <cell r="L4126">
            <v>50</v>
          </cell>
          <cell r="M4126" t="str">
            <v>3,2/1,84</v>
          </cell>
          <cell r="N4126">
            <v>65</v>
          </cell>
          <cell r="O4126" t="str">
            <v>155(F)</v>
          </cell>
          <cell r="P4126" t="str">
            <v>180°</v>
          </cell>
          <cell r="Q4126" t="str">
            <v>-</v>
          </cell>
          <cell r="R4126" t="str">
            <v>-</v>
          </cell>
          <cell r="S4126" t="str">
            <v>-</v>
          </cell>
          <cell r="T4126" t="str">
            <v>BEHF</v>
          </cell>
          <cell r="U4126" t="str">
            <v>G</v>
          </cell>
          <cell r="V4126" t="str">
            <v>D+R</v>
          </cell>
          <cell r="W4126" t="str">
            <v>-</v>
          </cell>
          <cell r="X4126" t="str">
            <v>CLP 220 (-15/+40°C)</v>
          </cell>
          <cell r="Y4126" t="str">
            <v>FA67/G DRN80M4 /BEHF</v>
          </cell>
          <cell r="Z4126" t="str">
            <v>SEW</v>
          </cell>
          <cell r="AB4126" t="str">
            <v>-</v>
          </cell>
          <cell r="AF4126">
            <v>18</v>
          </cell>
          <cell r="AG4126" t="str">
            <v>DRN80M4</v>
          </cell>
          <cell r="AH4126" t="str">
            <v>FA67G-DRN80M4180-X</v>
          </cell>
        </row>
        <row r="4127">
          <cell r="A4127" t="str">
            <v>MR004116</v>
          </cell>
          <cell r="B4127" t="str">
            <v>MR</v>
          </cell>
          <cell r="C4127">
            <v>0.75</v>
          </cell>
          <cell r="D4127">
            <v>18</v>
          </cell>
          <cell r="E4127" t="str">
            <v>FA67</v>
          </cell>
          <cell r="F4127">
            <v>395</v>
          </cell>
          <cell r="G4127">
            <v>79.760000000000005</v>
          </cell>
          <cell r="H4127">
            <v>2.1</v>
          </cell>
          <cell r="I4127" t="str">
            <v>M6</v>
          </cell>
          <cell r="J4127" t="str">
            <v>IE3</v>
          </cell>
          <cell r="K4127" t="str">
            <v>220/380</v>
          </cell>
          <cell r="L4127">
            <v>50</v>
          </cell>
          <cell r="M4127" t="str">
            <v>3,2/1,84</v>
          </cell>
          <cell r="N4127">
            <v>65</v>
          </cell>
          <cell r="O4127" t="str">
            <v>155(F)</v>
          </cell>
          <cell r="P4127" t="str">
            <v>0°</v>
          </cell>
          <cell r="Q4127" t="str">
            <v>-</v>
          </cell>
          <cell r="R4127" t="str">
            <v>-</v>
          </cell>
          <cell r="S4127" t="str">
            <v>-</v>
          </cell>
          <cell r="T4127" t="str">
            <v>BEHF</v>
          </cell>
          <cell r="U4127" t="str">
            <v>G</v>
          </cell>
          <cell r="V4127" t="str">
            <v>D+R</v>
          </cell>
          <cell r="W4127" t="str">
            <v>-</v>
          </cell>
          <cell r="X4127" t="str">
            <v>CLP 220 (-15/+40°C)</v>
          </cell>
          <cell r="Y4127" t="str">
            <v>FA67/G DRN80M4 /BEHF</v>
          </cell>
          <cell r="Z4127" t="str">
            <v>SEW</v>
          </cell>
          <cell r="AB4127" t="str">
            <v>-</v>
          </cell>
          <cell r="AF4127">
            <v>18</v>
          </cell>
          <cell r="AG4127" t="str">
            <v>DRN80M4</v>
          </cell>
          <cell r="AH4127" t="str">
            <v>FA67G-DRN80M40-X</v>
          </cell>
        </row>
        <row r="4128">
          <cell r="A4128" t="str">
            <v>MR004117</v>
          </cell>
          <cell r="B4128" t="str">
            <v>MR</v>
          </cell>
          <cell r="C4128">
            <v>7.5</v>
          </cell>
          <cell r="D4128">
            <v>10</v>
          </cell>
          <cell r="E4128" t="str">
            <v>R137</v>
          </cell>
          <cell r="F4128">
            <v>6880</v>
          </cell>
          <cell r="G4128">
            <v>141.12</v>
          </cell>
          <cell r="H4128">
            <v>1.1499999999999999</v>
          </cell>
          <cell r="I4128" t="str">
            <v>M1</v>
          </cell>
          <cell r="J4128" t="str">
            <v>IE3</v>
          </cell>
          <cell r="K4128" t="str">
            <v>220/380</v>
          </cell>
          <cell r="L4128">
            <v>50</v>
          </cell>
          <cell r="M4128" t="str">
            <v>27,5/16</v>
          </cell>
          <cell r="N4128">
            <v>65</v>
          </cell>
          <cell r="O4128" t="str">
            <v>155(F)</v>
          </cell>
          <cell r="P4128" t="str">
            <v>270°</v>
          </cell>
          <cell r="Q4128" t="str">
            <v>TF</v>
          </cell>
          <cell r="R4128" t="str">
            <v>V(VE)</v>
          </cell>
          <cell r="S4128" t="str">
            <v>-</v>
          </cell>
          <cell r="T4128" t="str">
            <v>-</v>
          </cell>
          <cell r="U4128" t="str">
            <v>-</v>
          </cell>
          <cell r="V4128" t="str">
            <v>FC</v>
          </cell>
          <cell r="W4128" t="str">
            <v>-</v>
          </cell>
          <cell r="X4128" t="str">
            <v>CLP 220 (-15/+40°C)</v>
          </cell>
          <cell r="Y4128" t="str">
            <v>R137DRN132M4 /TF/V</v>
          </cell>
          <cell r="Z4128" t="str">
            <v>SEW</v>
          </cell>
          <cell r="AB4128" t="str">
            <v>-</v>
          </cell>
          <cell r="AF4128">
            <v>10</v>
          </cell>
          <cell r="AG4128" t="str">
            <v>DRN132M4</v>
          </cell>
          <cell r="AH4128" t="str">
            <v>R137-DRN132M4270-X#</v>
          </cell>
        </row>
        <row r="4129">
          <cell r="A4129" t="str">
            <v>MR004118</v>
          </cell>
          <cell r="B4129" t="str">
            <v>MR</v>
          </cell>
          <cell r="C4129">
            <v>9.1999999999999993</v>
          </cell>
          <cell r="D4129">
            <v>68</v>
          </cell>
          <cell r="E4129" t="str">
            <v>R87</v>
          </cell>
          <cell r="F4129">
            <v>1280</v>
          </cell>
          <cell r="G4129">
            <v>21.51</v>
          </cell>
          <cell r="H4129">
            <v>1.1499999999999999</v>
          </cell>
          <cell r="I4129" t="str">
            <v>M1</v>
          </cell>
          <cell r="J4129" t="str">
            <v>IE3</v>
          </cell>
          <cell r="K4129" t="str">
            <v>230/400</v>
          </cell>
          <cell r="L4129">
            <v>50</v>
          </cell>
          <cell r="M4129" t="str">
            <v>32,5/18,7</v>
          </cell>
          <cell r="N4129">
            <v>65</v>
          </cell>
          <cell r="O4129" t="str">
            <v>155(F)</v>
          </cell>
          <cell r="P4129" t="str">
            <v>270°</v>
          </cell>
          <cell r="Q4129" t="str">
            <v>-</v>
          </cell>
          <cell r="R4129" t="str">
            <v>-</v>
          </cell>
          <cell r="S4129" t="str">
            <v>-</v>
          </cell>
          <cell r="T4129" t="str">
            <v>-</v>
          </cell>
          <cell r="U4129" t="str">
            <v>-</v>
          </cell>
          <cell r="V4129" t="str">
            <v>D</v>
          </cell>
          <cell r="W4129" t="str">
            <v>-</v>
          </cell>
          <cell r="X4129" t="str">
            <v>CLP 220 (-15/+40°C)</v>
          </cell>
          <cell r="Y4129" t="str">
            <v>R87DRN132L4</v>
          </cell>
          <cell r="Z4129" t="str">
            <v>SEW</v>
          </cell>
          <cell r="AB4129" t="str">
            <v>-</v>
          </cell>
          <cell r="AF4129">
            <v>68</v>
          </cell>
          <cell r="AG4129" t="str">
            <v>DRN132L4</v>
          </cell>
          <cell r="AH4129" t="str">
            <v>R87-DRN132L4270-X</v>
          </cell>
        </row>
        <row r="4130">
          <cell r="A4130" t="str">
            <v>MR004119</v>
          </cell>
          <cell r="B4130" t="str">
            <v>MR</v>
          </cell>
          <cell r="C4130">
            <v>7.5</v>
          </cell>
          <cell r="D4130">
            <v>10</v>
          </cell>
          <cell r="E4130" t="str">
            <v>R137</v>
          </cell>
          <cell r="F4130">
            <v>6880</v>
          </cell>
          <cell r="G4130">
            <v>141.12</v>
          </cell>
          <cell r="H4130">
            <v>1.1499999999999999</v>
          </cell>
          <cell r="I4130" t="str">
            <v>M1</v>
          </cell>
          <cell r="J4130" t="str">
            <v>IE3</v>
          </cell>
          <cell r="K4130" t="str">
            <v>230/400</v>
          </cell>
          <cell r="L4130">
            <v>50</v>
          </cell>
          <cell r="M4130" t="str">
            <v>26,5/15,2</v>
          </cell>
          <cell r="N4130">
            <v>65</v>
          </cell>
          <cell r="O4130" t="str">
            <v>155(F)</v>
          </cell>
          <cell r="P4130" t="str">
            <v>270°</v>
          </cell>
          <cell r="Q4130" t="str">
            <v>TF</v>
          </cell>
          <cell r="R4130" t="str">
            <v>V(VE)</v>
          </cell>
          <cell r="S4130" t="str">
            <v>-</v>
          </cell>
          <cell r="T4130" t="str">
            <v>-</v>
          </cell>
          <cell r="U4130" t="str">
            <v>-</v>
          </cell>
          <cell r="V4130" t="str">
            <v>FC</v>
          </cell>
          <cell r="W4130" t="str">
            <v>-</v>
          </cell>
          <cell r="X4130" t="str">
            <v>CLP 220 (-15/+40°C)</v>
          </cell>
          <cell r="Y4130" t="str">
            <v>R137DRN132M4 /TF/V</v>
          </cell>
          <cell r="Z4130" t="str">
            <v>SEW</v>
          </cell>
          <cell r="AB4130" t="str">
            <v>-</v>
          </cell>
          <cell r="AF4130">
            <v>10</v>
          </cell>
          <cell r="AG4130" t="str">
            <v>DRN132M4</v>
          </cell>
          <cell r="AH4130" t="str">
            <v>R137-DRN132M4270-X#</v>
          </cell>
        </row>
        <row r="4131">
          <cell r="A4131" t="str">
            <v>MR004120</v>
          </cell>
          <cell r="B4131" t="str">
            <v>MR</v>
          </cell>
          <cell r="C4131">
            <v>11</v>
          </cell>
          <cell r="D4131">
            <v>17</v>
          </cell>
          <cell r="E4131" t="str">
            <v>R137</v>
          </cell>
          <cell r="F4131">
            <v>6320</v>
          </cell>
          <cell r="G4131">
            <v>88.7</v>
          </cell>
          <cell r="H4131">
            <v>1.25</v>
          </cell>
          <cell r="I4131" t="str">
            <v>M1</v>
          </cell>
          <cell r="J4131" t="str">
            <v>IE3</v>
          </cell>
          <cell r="K4131" t="str">
            <v>230/400</v>
          </cell>
          <cell r="L4131">
            <v>50</v>
          </cell>
          <cell r="M4131" t="str">
            <v>36,5/21</v>
          </cell>
          <cell r="N4131">
            <v>65</v>
          </cell>
          <cell r="O4131" t="str">
            <v>155(F)</v>
          </cell>
          <cell r="P4131" t="str">
            <v>270°</v>
          </cell>
          <cell r="Q4131" t="str">
            <v>TF</v>
          </cell>
          <cell r="R4131" t="str">
            <v>V(VE)</v>
          </cell>
          <cell r="S4131" t="str">
            <v>-</v>
          </cell>
          <cell r="T4131" t="str">
            <v>-</v>
          </cell>
          <cell r="U4131" t="str">
            <v>-</v>
          </cell>
          <cell r="V4131" t="str">
            <v>FC</v>
          </cell>
          <cell r="W4131" t="str">
            <v>-</v>
          </cell>
          <cell r="X4131" t="str">
            <v>CLP 220 (-15/+40°C)</v>
          </cell>
          <cell r="Y4131" t="str">
            <v>R137DRN160M4 /TF/V</v>
          </cell>
          <cell r="Z4131" t="str">
            <v>SEW</v>
          </cell>
          <cell r="AB4131" t="str">
            <v>-</v>
          </cell>
          <cell r="AF4131">
            <v>17</v>
          </cell>
          <cell r="AG4131" t="str">
            <v>DRN160M4</v>
          </cell>
          <cell r="AH4131" t="str">
            <v>R137-DRN160M4270-X#</v>
          </cell>
        </row>
        <row r="4132">
          <cell r="A4132" t="str">
            <v>MR004121</v>
          </cell>
          <cell r="B4132" t="str">
            <v>MR</v>
          </cell>
          <cell r="C4132">
            <v>9.1999999999999993</v>
          </cell>
          <cell r="D4132">
            <v>86</v>
          </cell>
          <cell r="E4132" t="str">
            <v>R87</v>
          </cell>
          <cell r="F4132">
            <v>1020</v>
          </cell>
          <cell r="G4132">
            <v>17.079999999999998</v>
          </cell>
          <cell r="H4132">
            <v>1.35</v>
          </cell>
          <cell r="I4132" t="str">
            <v>From M1 to M2 - 15°</v>
          </cell>
          <cell r="J4132" t="str">
            <v>IE3</v>
          </cell>
          <cell r="K4132" t="str">
            <v>400/690</v>
          </cell>
          <cell r="L4132">
            <v>50</v>
          </cell>
          <cell r="M4132" t="str">
            <v>18,7/10,8</v>
          </cell>
          <cell r="N4132">
            <v>65</v>
          </cell>
          <cell r="O4132" t="str">
            <v>155(F)</v>
          </cell>
          <cell r="P4132" t="str">
            <v>270°</v>
          </cell>
          <cell r="Q4132" t="str">
            <v>-</v>
          </cell>
          <cell r="R4132" t="str">
            <v>-</v>
          </cell>
          <cell r="S4132" t="str">
            <v>-</v>
          </cell>
          <cell r="T4132" t="str">
            <v>-</v>
          </cell>
          <cell r="U4132" t="str">
            <v>-</v>
          </cell>
          <cell r="V4132" t="str">
            <v>D</v>
          </cell>
          <cell r="W4132" t="str">
            <v>-</v>
          </cell>
          <cell r="X4132" t="str">
            <v>CLP PG 680 (-20 / +80 °C)</v>
          </cell>
          <cell r="Y4132" t="str">
            <v>R87DRN132L4</v>
          </cell>
          <cell r="Z4132" t="str">
            <v>SEW</v>
          </cell>
          <cell r="AB4132" t="str">
            <v>-</v>
          </cell>
          <cell r="AF4132">
            <v>86</v>
          </cell>
          <cell r="AG4132" t="str">
            <v>DRN132L4</v>
          </cell>
          <cell r="AH4132" t="str">
            <v>R87-DRN132L4270-X</v>
          </cell>
        </row>
        <row r="4133">
          <cell r="A4133" t="str">
            <v>MR004122</v>
          </cell>
          <cell r="B4133" t="str">
            <v>MR</v>
          </cell>
          <cell r="C4133">
            <v>37</v>
          </cell>
          <cell r="D4133">
            <v>95</v>
          </cell>
          <cell r="E4133" t="str">
            <v>R107</v>
          </cell>
          <cell r="F4133">
            <v>3730</v>
          </cell>
          <cell r="G4133">
            <v>15.65</v>
          </cell>
          <cell r="H4133">
            <v>1.1499999999999999</v>
          </cell>
          <cell r="I4133" t="str">
            <v>M4</v>
          </cell>
          <cell r="J4133" t="str">
            <v>IE3</v>
          </cell>
          <cell r="K4133" t="str">
            <v>400/690</v>
          </cell>
          <cell r="L4133">
            <v>50</v>
          </cell>
          <cell r="M4133" t="str">
            <v>64/37</v>
          </cell>
          <cell r="N4133">
            <v>65</v>
          </cell>
          <cell r="O4133" t="str">
            <v>155(F)</v>
          </cell>
          <cell r="P4133" t="str">
            <v>270°</v>
          </cell>
          <cell r="Q4133" t="str">
            <v>-</v>
          </cell>
          <cell r="R4133" t="str">
            <v>-</v>
          </cell>
          <cell r="S4133" t="str">
            <v>-</v>
          </cell>
          <cell r="T4133" t="str">
            <v>-</v>
          </cell>
          <cell r="U4133" t="str">
            <v>-</v>
          </cell>
          <cell r="V4133" t="str">
            <v>D</v>
          </cell>
          <cell r="W4133" t="str">
            <v>-</v>
          </cell>
          <cell r="X4133" t="str">
            <v>CLP PG 680 (-20 / +80 °C)</v>
          </cell>
          <cell r="Y4133" t="str">
            <v>R107DRN225S4</v>
          </cell>
          <cell r="Z4133" t="str">
            <v>SEW</v>
          </cell>
          <cell r="AB4133" t="str">
            <v>-</v>
          </cell>
          <cell r="AF4133">
            <v>95</v>
          </cell>
          <cell r="AG4133" t="str">
            <v>DRN225S4</v>
          </cell>
          <cell r="AH4133" t="str">
            <v>R107-DRN225S4270-X</v>
          </cell>
        </row>
        <row r="4134">
          <cell r="A4134" t="str">
            <v>MR004123</v>
          </cell>
          <cell r="B4134" t="str">
            <v>MR</v>
          </cell>
          <cell r="C4134">
            <v>7.5</v>
          </cell>
          <cell r="D4134">
            <v>22</v>
          </cell>
          <cell r="E4134" t="str">
            <v>R107</v>
          </cell>
          <cell r="F4134">
            <v>3200</v>
          </cell>
          <cell r="G4134">
            <v>65.599999999999994</v>
          </cell>
          <cell r="H4134">
            <v>1.35</v>
          </cell>
          <cell r="I4134" t="str">
            <v>From M1 to M5 - 45°</v>
          </cell>
          <cell r="J4134" t="str">
            <v>IE3</v>
          </cell>
          <cell r="K4134" t="str">
            <v>220/380</v>
          </cell>
          <cell r="L4134">
            <v>50</v>
          </cell>
          <cell r="M4134" t="str">
            <v>27,5/16</v>
          </cell>
          <cell r="N4134">
            <v>65</v>
          </cell>
          <cell r="O4134" t="str">
            <v>155(F)</v>
          </cell>
          <cell r="P4134" t="str">
            <v>270°</v>
          </cell>
          <cell r="Q4134" t="str">
            <v>TF</v>
          </cell>
          <cell r="R4134" t="str">
            <v>V(VE)</v>
          </cell>
          <cell r="S4134" t="str">
            <v>-</v>
          </cell>
          <cell r="T4134" t="str">
            <v>-</v>
          </cell>
          <cell r="U4134" t="str">
            <v>-</v>
          </cell>
          <cell r="V4134" t="str">
            <v>FC</v>
          </cell>
          <cell r="W4134" t="str">
            <v>-</v>
          </cell>
          <cell r="X4134" t="str">
            <v>CLP 220 (-15/+40°C)</v>
          </cell>
          <cell r="Y4134" t="str">
            <v>R107DRN132M4 /TF/V</v>
          </cell>
          <cell r="Z4134" t="str">
            <v>SEW</v>
          </cell>
          <cell r="AB4134" t="str">
            <v>-</v>
          </cell>
          <cell r="AF4134">
            <v>22</v>
          </cell>
          <cell r="AG4134" t="str">
            <v>DRN132M4</v>
          </cell>
          <cell r="AH4134" t="str">
            <v>R107-DRN132M4270-X#</v>
          </cell>
        </row>
        <row r="4135">
          <cell r="A4135" t="str">
            <v>MR004124</v>
          </cell>
          <cell r="B4135" t="str">
            <v>MR</v>
          </cell>
          <cell r="C4135">
            <v>5.5</v>
          </cell>
          <cell r="D4135">
            <v>68</v>
          </cell>
          <cell r="E4135" t="str">
            <v>FA77</v>
          </cell>
          <cell r="F4135">
            <v>770</v>
          </cell>
          <cell r="G4135" t="str">
            <v>21,43</v>
          </cell>
          <cell r="H4135" t="str">
            <v>1,95</v>
          </cell>
          <cell r="I4135" t="str">
            <v>From M3 to M4 - 35°</v>
          </cell>
          <cell r="J4135" t="str">
            <v>IE3</v>
          </cell>
          <cell r="K4135" t="str">
            <v>220/380</v>
          </cell>
          <cell r="L4135">
            <v>50</v>
          </cell>
          <cell r="M4135" t="str">
            <v>19/11,00</v>
          </cell>
          <cell r="N4135">
            <v>65</v>
          </cell>
          <cell r="O4135" t="str">
            <v>155(F)</v>
          </cell>
          <cell r="P4135" t="str">
            <v>270°</v>
          </cell>
          <cell r="Q4135" t="str">
            <v>-</v>
          </cell>
          <cell r="R4135" t="str">
            <v>-</v>
          </cell>
          <cell r="S4135" t="str">
            <v>-</v>
          </cell>
          <cell r="T4135" t="str">
            <v>-</v>
          </cell>
          <cell r="U4135" t="str">
            <v>G</v>
          </cell>
          <cell r="V4135" t="str">
            <v>D</v>
          </cell>
          <cell r="W4135" t="str">
            <v>-</v>
          </cell>
          <cell r="X4135" t="str">
            <v>CLP 220 (-15/+40°C)</v>
          </cell>
          <cell r="Y4135" t="str">
            <v>FA77/G DRN132S4</v>
          </cell>
          <cell r="Z4135" t="str">
            <v>SEW</v>
          </cell>
          <cell r="AB4135" t="str">
            <v>-</v>
          </cell>
          <cell r="AF4135">
            <v>68</v>
          </cell>
          <cell r="AG4135" t="str">
            <v>DRN132S4</v>
          </cell>
          <cell r="AH4135" t="str">
            <v>FA77G-DRN132S4270-X</v>
          </cell>
        </row>
        <row r="4136">
          <cell r="A4136" t="str">
            <v>MR004125</v>
          </cell>
          <cell r="B4136" t="str">
            <v>MR</v>
          </cell>
          <cell r="C4136">
            <v>22</v>
          </cell>
          <cell r="D4136">
            <v>15</v>
          </cell>
          <cell r="E4136" t="str">
            <v>KH157</v>
          </cell>
          <cell r="F4136">
            <v>14300</v>
          </cell>
          <cell r="G4136">
            <v>100.22</v>
          </cell>
          <cell r="H4136">
            <v>1.4</v>
          </cell>
          <cell r="I4136" t="str">
            <v>From M1A to M2A-25°</v>
          </cell>
          <cell r="J4136" t="str">
            <v>IE3</v>
          </cell>
          <cell r="K4136" t="str">
            <v>380/660</v>
          </cell>
          <cell r="L4136">
            <v>50</v>
          </cell>
          <cell r="M4136" t="str">
            <v>40,5/23,5</v>
          </cell>
          <cell r="N4136">
            <v>65</v>
          </cell>
          <cell r="O4136" t="str">
            <v>155(F)</v>
          </cell>
          <cell r="P4136" t="str">
            <v>180°</v>
          </cell>
          <cell r="Q4136" t="str">
            <v>-</v>
          </cell>
          <cell r="R4136" t="str">
            <v>-</v>
          </cell>
          <cell r="S4136" t="str">
            <v>-</v>
          </cell>
          <cell r="T4136" t="str">
            <v>-</v>
          </cell>
          <cell r="U4136" t="str">
            <v>-</v>
          </cell>
          <cell r="V4136" t="str">
            <v>SS</v>
          </cell>
          <cell r="W4136" t="str">
            <v>-</v>
          </cell>
          <cell r="X4136" t="str">
            <v>CLP 220 (-15/+40°C)</v>
          </cell>
          <cell r="Y4136" t="str">
            <v>KH157DRN180L4</v>
          </cell>
          <cell r="Z4136" t="str">
            <v>SEW</v>
          </cell>
          <cell r="AB4136" t="str">
            <v>-</v>
          </cell>
          <cell r="AF4136">
            <v>15</v>
          </cell>
          <cell r="AG4136" t="str">
            <v>DRN180L4</v>
          </cell>
          <cell r="AH4136" t="str">
            <v>KH157-DRN180L4A180-X</v>
          </cell>
        </row>
        <row r="4137">
          <cell r="A4137" t="str">
            <v>MR004126</v>
          </cell>
          <cell r="B4137" t="str">
            <v>MR</v>
          </cell>
          <cell r="C4137">
            <v>22</v>
          </cell>
          <cell r="D4137">
            <v>15</v>
          </cell>
          <cell r="E4137" t="str">
            <v>KH157</v>
          </cell>
          <cell r="F4137">
            <v>14300</v>
          </cell>
          <cell r="G4137">
            <v>100.22</v>
          </cell>
          <cell r="H4137">
            <v>1.4</v>
          </cell>
          <cell r="I4137" t="str">
            <v>From M1B to M2B-25°</v>
          </cell>
          <cell r="J4137" t="str">
            <v>IE3</v>
          </cell>
          <cell r="K4137" t="str">
            <v>380/660</v>
          </cell>
          <cell r="L4137">
            <v>50</v>
          </cell>
          <cell r="M4137" t="str">
            <v>40,5/23,5</v>
          </cell>
          <cell r="N4137">
            <v>65</v>
          </cell>
          <cell r="O4137" t="str">
            <v>155(F)</v>
          </cell>
          <cell r="P4137" t="str">
            <v>0°</v>
          </cell>
          <cell r="Q4137" t="str">
            <v>-</v>
          </cell>
          <cell r="R4137" t="str">
            <v>-</v>
          </cell>
          <cell r="S4137" t="str">
            <v>-</v>
          </cell>
          <cell r="T4137" t="str">
            <v>-</v>
          </cell>
          <cell r="U4137" t="str">
            <v>-</v>
          </cell>
          <cell r="V4137" t="str">
            <v>SS</v>
          </cell>
          <cell r="W4137" t="str">
            <v>-</v>
          </cell>
          <cell r="X4137" t="str">
            <v>CLP 220 (-15/+40°C)</v>
          </cell>
          <cell r="Y4137" t="str">
            <v>KH157DRN180L4</v>
          </cell>
          <cell r="Z4137" t="str">
            <v>SEW</v>
          </cell>
          <cell r="AB4137" t="str">
            <v>-</v>
          </cell>
          <cell r="AF4137">
            <v>15</v>
          </cell>
          <cell r="AG4137" t="str">
            <v>DRN180L4</v>
          </cell>
          <cell r="AH4137" t="str">
            <v>KH157-DRN180L4B0-X</v>
          </cell>
        </row>
        <row r="4138">
          <cell r="A4138" t="str">
            <v>MR004127</v>
          </cell>
          <cell r="B4138" t="str">
            <v>MR</v>
          </cell>
          <cell r="C4138">
            <v>4</v>
          </cell>
          <cell r="D4138">
            <v>57</v>
          </cell>
          <cell r="E4138" t="str">
            <v>KH77</v>
          </cell>
          <cell r="F4138">
            <v>665</v>
          </cell>
          <cell r="G4138">
            <v>25.62</v>
          </cell>
          <cell r="H4138">
            <v>2.2999999999999998</v>
          </cell>
          <cell r="I4138" t="str">
            <v>M4B</v>
          </cell>
          <cell r="J4138" t="str">
            <v>IE3</v>
          </cell>
          <cell r="K4138" t="str">
            <v>220/380</v>
          </cell>
          <cell r="L4138">
            <v>50</v>
          </cell>
          <cell r="M4138" t="str">
            <v>14,4/8,4</v>
          </cell>
          <cell r="N4138">
            <v>65</v>
          </cell>
          <cell r="O4138" t="str">
            <v>155(F)</v>
          </cell>
          <cell r="P4138" t="str">
            <v>270°</v>
          </cell>
          <cell r="Q4138" t="str">
            <v>-</v>
          </cell>
          <cell r="R4138" t="str">
            <v>-</v>
          </cell>
          <cell r="S4138" t="str">
            <v>Free rotation CW</v>
          </cell>
          <cell r="T4138" t="str">
            <v>-</v>
          </cell>
          <cell r="U4138" t="str">
            <v>T</v>
          </cell>
          <cell r="V4138" t="str">
            <v>SS</v>
          </cell>
          <cell r="W4138" t="str">
            <v>-</v>
          </cell>
          <cell r="X4138" t="str">
            <v>CLP 220 (-15/+40°C)</v>
          </cell>
          <cell r="Y4138" t="str">
            <v>KH77/T DRN112M4 /RS</v>
          </cell>
          <cell r="Z4138" t="str">
            <v>SEW</v>
          </cell>
          <cell r="AB4138" t="str">
            <v>-</v>
          </cell>
          <cell r="AF4138">
            <v>57</v>
          </cell>
          <cell r="AG4138" t="str">
            <v>DRN112M4</v>
          </cell>
          <cell r="AH4138" t="str">
            <v>KH77T-DRN112M4B270-X</v>
          </cell>
        </row>
        <row r="4139">
          <cell r="A4139" t="str">
            <v>MR004128</v>
          </cell>
          <cell r="B4139" t="str">
            <v>MR</v>
          </cell>
          <cell r="C4139">
            <v>0.75</v>
          </cell>
          <cell r="D4139">
            <v>162</v>
          </cell>
          <cell r="E4139" t="str">
            <v>KA37</v>
          </cell>
          <cell r="F4139">
            <v>44</v>
          </cell>
          <cell r="G4139">
            <v>8.91</v>
          </cell>
          <cell r="H4139">
            <v>3.6</v>
          </cell>
          <cell r="I4139" t="str">
            <v>From M1B to M2B-15°</v>
          </cell>
          <cell r="J4139" t="str">
            <v>IE3</v>
          </cell>
          <cell r="K4139" t="str">
            <v>220/380</v>
          </cell>
          <cell r="L4139">
            <v>50</v>
          </cell>
          <cell r="M4139" t="str">
            <v>3,2/1,84</v>
          </cell>
          <cell r="N4139">
            <v>65</v>
          </cell>
          <cell r="O4139" t="str">
            <v>155(F)</v>
          </cell>
          <cell r="P4139" t="str">
            <v>0°</v>
          </cell>
          <cell r="Q4139" t="str">
            <v>-</v>
          </cell>
          <cell r="R4139" t="str">
            <v>-</v>
          </cell>
          <cell r="S4139" t="str">
            <v>-</v>
          </cell>
          <cell r="T4139" t="str">
            <v>-</v>
          </cell>
          <cell r="U4139" t="str">
            <v>T</v>
          </cell>
          <cell r="V4139" t="str">
            <v>D</v>
          </cell>
          <cell r="W4139" t="str">
            <v>-</v>
          </cell>
          <cell r="X4139" t="str">
            <v>CLP 220 (-15/+40°C)</v>
          </cell>
          <cell r="Y4139" t="str">
            <v>KA37/T DRN80M4</v>
          </cell>
          <cell r="Z4139" t="str">
            <v>SEW</v>
          </cell>
          <cell r="AB4139" t="str">
            <v>-</v>
          </cell>
          <cell r="AF4139">
            <v>162</v>
          </cell>
          <cell r="AG4139" t="str">
            <v>DRN80M4</v>
          </cell>
          <cell r="AH4139" t="str">
            <v>KA37T-DRN80M4B0-X</v>
          </cell>
        </row>
        <row r="4140">
          <cell r="A4140" t="str">
            <v>MR004129</v>
          </cell>
          <cell r="B4140" t="str">
            <v>MR</v>
          </cell>
          <cell r="C4140">
            <v>15</v>
          </cell>
          <cell r="D4140">
            <v>21</v>
          </cell>
          <cell r="E4140" t="str">
            <v>FH127</v>
          </cell>
          <cell r="F4140">
            <v>6800</v>
          </cell>
          <cell r="G4140">
            <v>70.7</v>
          </cell>
          <cell r="H4140">
            <v>1.75</v>
          </cell>
          <cell r="I4140" t="str">
            <v>M1</v>
          </cell>
          <cell r="J4140" t="str">
            <v>IE3</v>
          </cell>
          <cell r="K4140" t="str">
            <v>380/660</v>
          </cell>
          <cell r="L4140">
            <v>50</v>
          </cell>
          <cell r="M4140" t="str">
            <v>29/16,7</v>
          </cell>
          <cell r="N4140">
            <v>65</v>
          </cell>
          <cell r="O4140" t="str">
            <v>155(F)</v>
          </cell>
          <cell r="P4140" t="str">
            <v>270°</v>
          </cell>
          <cell r="Q4140" t="str">
            <v>-</v>
          </cell>
          <cell r="R4140" t="str">
            <v>-</v>
          </cell>
          <cell r="S4140" t="str">
            <v>-</v>
          </cell>
          <cell r="T4140" t="str">
            <v>-</v>
          </cell>
          <cell r="U4140" t="str">
            <v>G</v>
          </cell>
          <cell r="V4140" t="str">
            <v>D</v>
          </cell>
          <cell r="W4140" t="str">
            <v>-</v>
          </cell>
          <cell r="X4140" t="str">
            <v>CLP HC 150 (-30/+50°C)</v>
          </cell>
          <cell r="Y4140" t="str">
            <v>FH127/G EDRN160L4</v>
          </cell>
          <cell r="Z4140" t="str">
            <v>SEW</v>
          </cell>
          <cell r="AB4140" t="str">
            <v>ATEX22</v>
          </cell>
          <cell r="AF4140">
            <v>21</v>
          </cell>
          <cell r="AG4140" t="str">
            <v>EDRN160L4</v>
          </cell>
          <cell r="AH4140" t="str">
            <v>FH127G-EDRN160L4270-X</v>
          </cell>
        </row>
        <row r="4141">
          <cell r="A4141" t="str">
            <v>MR004130</v>
          </cell>
          <cell r="B4141" t="str">
            <v>MR</v>
          </cell>
          <cell r="C4141">
            <v>4</v>
          </cell>
          <cell r="D4141">
            <v>32</v>
          </cell>
          <cell r="E4141" t="str">
            <v>FH87</v>
          </cell>
          <cell r="F4141">
            <v>1180</v>
          </cell>
          <cell r="G4141">
            <v>45.28</v>
          </cell>
          <cell r="H4141">
            <v>1.8</v>
          </cell>
          <cell r="I4141" t="str">
            <v>M1</v>
          </cell>
          <cell r="J4141" t="str">
            <v>IE3</v>
          </cell>
          <cell r="K4141" t="str">
            <v>220/380</v>
          </cell>
          <cell r="L4141">
            <v>50</v>
          </cell>
          <cell r="M4141" t="str">
            <v>14,4/8,4</v>
          </cell>
          <cell r="N4141">
            <v>65</v>
          </cell>
          <cell r="O4141" t="str">
            <v>155(F)</v>
          </cell>
          <cell r="P4141" t="str">
            <v>270°</v>
          </cell>
          <cell r="Q4141" t="str">
            <v>TF</v>
          </cell>
          <cell r="R4141" t="str">
            <v>-</v>
          </cell>
          <cell r="S4141" t="str">
            <v>-</v>
          </cell>
          <cell r="T4141" t="str">
            <v>-</v>
          </cell>
          <cell r="U4141" t="str">
            <v>G</v>
          </cell>
          <cell r="V4141" t="str">
            <v>D</v>
          </cell>
          <cell r="W4141" t="str">
            <v>-</v>
          </cell>
          <cell r="X4141" t="str">
            <v>CLP HC 150 (-30/+50°C)</v>
          </cell>
          <cell r="Y4141" t="str">
            <v>FH87/G EDRN112M4 /TF</v>
          </cell>
          <cell r="Z4141" t="str">
            <v>SEW</v>
          </cell>
          <cell r="AB4141" t="str">
            <v>ATEX22</v>
          </cell>
          <cell r="AF4141">
            <v>32</v>
          </cell>
          <cell r="AG4141" t="str">
            <v>EDRN112M4</v>
          </cell>
          <cell r="AH4141" t="str">
            <v>FH87G-EDRN112M4270-X</v>
          </cell>
        </row>
        <row r="4142">
          <cell r="A4142" t="str">
            <v>MR004131</v>
          </cell>
          <cell r="B4142" t="str">
            <v>MR</v>
          </cell>
          <cell r="C4142">
            <v>3</v>
          </cell>
          <cell r="D4142">
            <v>11</v>
          </cell>
          <cell r="E4142" t="str">
            <v>KH87</v>
          </cell>
          <cell r="F4142">
            <v>2490</v>
          </cell>
          <cell r="G4142">
            <v>126.91</v>
          </cell>
          <cell r="H4142">
            <v>1.1000000000000001</v>
          </cell>
          <cell r="I4142" t="str">
            <v>M4B</v>
          </cell>
          <cell r="J4142" t="str">
            <v>IE3</v>
          </cell>
          <cell r="K4142" t="str">
            <v>230/400</v>
          </cell>
          <cell r="L4142">
            <v>50</v>
          </cell>
          <cell r="M4142" t="str">
            <v>11,2/6,4</v>
          </cell>
          <cell r="N4142">
            <v>55</v>
          </cell>
          <cell r="O4142" t="str">
            <v>155(F)</v>
          </cell>
          <cell r="P4142" t="str">
            <v>270°</v>
          </cell>
          <cell r="Q4142" t="str">
            <v>TF</v>
          </cell>
          <cell r="R4142" t="str">
            <v>V(VE)</v>
          </cell>
          <cell r="S4142" t="str">
            <v>-</v>
          </cell>
          <cell r="T4142" t="str">
            <v>-</v>
          </cell>
          <cell r="U4142" t="str">
            <v>-</v>
          </cell>
          <cell r="V4142" t="str">
            <v>FC</v>
          </cell>
          <cell r="W4142" t="str">
            <v>-</v>
          </cell>
          <cell r="X4142" t="str">
            <v>CLP 220 (-15/+40°C)</v>
          </cell>
          <cell r="Y4142" t="str">
            <v>KH87DRN100L4 /TF/V</v>
          </cell>
          <cell r="Z4142" t="str">
            <v>SEW</v>
          </cell>
          <cell r="AB4142" t="str">
            <v>-</v>
          </cell>
          <cell r="AF4142">
            <v>11</v>
          </cell>
          <cell r="AG4142" t="str">
            <v>DRN100L4</v>
          </cell>
          <cell r="AH4142" t="str">
            <v>KH87-DRN100L4B270-X#</v>
          </cell>
        </row>
        <row r="4143">
          <cell r="A4143" t="str">
            <v>MR004132</v>
          </cell>
          <cell r="B4143" t="str">
            <v>MR</v>
          </cell>
          <cell r="C4143">
            <v>5.5</v>
          </cell>
          <cell r="D4143">
            <v>38.333333333333336</v>
          </cell>
          <cell r="E4143" t="str">
            <v>FH77</v>
          </cell>
          <cell r="F4143">
            <v>1140</v>
          </cell>
          <cell r="G4143">
            <v>38.229999999999997</v>
          </cell>
          <cell r="H4143">
            <v>1.3</v>
          </cell>
          <cell r="I4143" t="str">
            <v>M1</v>
          </cell>
          <cell r="J4143" t="str">
            <v>IE3</v>
          </cell>
          <cell r="K4143" t="str">
            <v>330/575</v>
          </cell>
          <cell r="L4143">
            <v>60</v>
          </cell>
          <cell r="M4143" t="str">
            <v>12,8/7,4</v>
          </cell>
          <cell r="N4143">
            <v>55</v>
          </cell>
          <cell r="O4143" t="str">
            <v>155(F)</v>
          </cell>
          <cell r="P4143" t="str">
            <v>270°</v>
          </cell>
          <cell r="Q4143" t="str">
            <v>TF</v>
          </cell>
          <cell r="R4143" t="str">
            <v>-</v>
          </cell>
          <cell r="S4143" t="str">
            <v>-</v>
          </cell>
          <cell r="T4143" t="str">
            <v>-</v>
          </cell>
          <cell r="U4143" t="str">
            <v>G</v>
          </cell>
          <cell r="V4143" t="str">
            <v>D+R</v>
          </cell>
          <cell r="W4143" t="str">
            <v>115 V</v>
          </cell>
          <cell r="X4143" t="str">
            <v>GearOil Synth (-35/+50°C)</v>
          </cell>
          <cell r="Y4143" t="str">
            <v>FH77/G DRN132S4 /TF</v>
          </cell>
          <cell r="Z4143" t="str">
            <v>SEW</v>
          </cell>
          <cell r="AB4143" t="str">
            <v>-</v>
          </cell>
          <cell r="AE4143" t="str">
            <v>NEMA5/CSA/UL/NPT terminal box</v>
          </cell>
          <cell r="AF4143">
            <v>46</v>
          </cell>
          <cell r="AG4143" t="str">
            <v>DRN132S4</v>
          </cell>
          <cell r="AH4143" t="str">
            <v>FH77G-DRN132S4270-X</v>
          </cell>
        </row>
        <row r="4144">
          <cell r="A4144" t="str">
            <v>MR004133</v>
          </cell>
          <cell r="B4144" t="str">
            <v>MR</v>
          </cell>
          <cell r="C4144">
            <v>0.75</v>
          </cell>
          <cell r="D4144">
            <v>139.16666666666669</v>
          </cell>
          <cell r="E4144" t="str">
            <v>KA37</v>
          </cell>
          <cell r="F4144">
            <v>43</v>
          </cell>
          <cell r="G4144">
            <v>10.49</v>
          </cell>
          <cell r="H4144">
            <v>3.7</v>
          </cell>
          <cell r="I4144" t="str">
            <v>From M3A to M4A - 20°</v>
          </cell>
          <cell r="J4144" t="str">
            <v>IE3</v>
          </cell>
          <cell r="K4144" t="str">
            <v>330/575</v>
          </cell>
          <cell r="L4144">
            <v>60</v>
          </cell>
          <cell r="M4144" t="str">
            <v>2,2/1,25</v>
          </cell>
          <cell r="N4144">
            <v>55</v>
          </cell>
          <cell r="O4144" t="str">
            <v>155(F)</v>
          </cell>
          <cell r="P4144" t="str">
            <v>270°</v>
          </cell>
          <cell r="Q4144" t="str">
            <v>TF</v>
          </cell>
          <cell r="R4144" t="str">
            <v>-</v>
          </cell>
          <cell r="S4144" t="str">
            <v>-</v>
          </cell>
          <cell r="T4144" t="str">
            <v>-</v>
          </cell>
          <cell r="U4144" t="str">
            <v>T</v>
          </cell>
          <cell r="V4144" t="str">
            <v>D</v>
          </cell>
          <cell r="W4144" t="str">
            <v>-</v>
          </cell>
          <cell r="X4144" t="str">
            <v>GearOil Synth (-35/+50°C)</v>
          </cell>
          <cell r="Y4144" t="str">
            <v>KA37/T DRN80M4 /TF</v>
          </cell>
          <cell r="Z4144" t="str">
            <v>SEW</v>
          </cell>
          <cell r="AB4144" t="str">
            <v>-</v>
          </cell>
          <cell r="AE4144" t="str">
            <v>NEMA5/CSA/UL/NPT terminal box</v>
          </cell>
          <cell r="AF4144">
            <v>167.00000000000003</v>
          </cell>
          <cell r="AG4144" t="str">
            <v>DRN80M4</v>
          </cell>
          <cell r="AH4144" t="str">
            <v>KA37T-DRN80M4A270-X</v>
          </cell>
        </row>
        <row r="4145">
          <cell r="A4145" t="str">
            <v>MR004134</v>
          </cell>
          <cell r="B4145" t="str">
            <v>MR</v>
          </cell>
          <cell r="C4145">
            <v>22</v>
          </cell>
          <cell r="D4145">
            <v>53.333333333333336</v>
          </cell>
          <cell r="E4145" t="str">
            <v>KH97</v>
          </cell>
          <cell r="F4145">
            <v>3290</v>
          </cell>
          <cell r="G4145">
            <v>27.91</v>
          </cell>
          <cell r="H4145">
            <v>1.3</v>
          </cell>
          <cell r="I4145" t="str">
            <v>From M3A to M4A - 20°</v>
          </cell>
          <cell r="J4145" t="str">
            <v>IE3</v>
          </cell>
          <cell r="K4145" t="str">
            <v>330/575</v>
          </cell>
          <cell r="L4145">
            <v>60</v>
          </cell>
          <cell r="M4145" t="str">
            <v>47,5/27,5</v>
          </cell>
          <cell r="N4145">
            <v>55</v>
          </cell>
          <cell r="O4145" t="str">
            <v>155(F)</v>
          </cell>
          <cell r="P4145" t="str">
            <v>270°</v>
          </cell>
          <cell r="Q4145" t="str">
            <v>TF</v>
          </cell>
          <cell r="R4145" t="str">
            <v>V(VE)</v>
          </cell>
          <cell r="S4145" t="str">
            <v>Free rotation CCW</v>
          </cell>
          <cell r="T4145" t="str">
            <v>-</v>
          </cell>
          <cell r="U4145" t="str">
            <v>T</v>
          </cell>
          <cell r="V4145" t="str">
            <v>FC</v>
          </cell>
          <cell r="W4145" t="str">
            <v>-</v>
          </cell>
          <cell r="X4145" t="str">
            <v>GearOil Synth (-35/+50°C)</v>
          </cell>
          <cell r="Y4145" t="str">
            <v>KH97/T DRN180L4 /RS /TF/V</v>
          </cell>
          <cell r="Z4145" t="str">
            <v>SEW</v>
          </cell>
          <cell r="AB4145" t="str">
            <v>-</v>
          </cell>
          <cell r="AE4145" t="str">
            <v>NEMA5/CSA/UL/NPT terminal box</v>
          </cell>
          <cell r="AF4145">
            <v>64</v>
          </cell>
          <cell r="AG4145" t="str">
            <v>DRN180L4</v>
          </cell>
          <cell r="AH4145" t="str">
            <v>KH97T-DRN180L4A270-X#</v>
          </cell>
        </row>
        <row r="4146">
          <cell r="A4146" t="str">
            <v>MR004135</v>
          </cell>
          <cell r="B4146" t="str">
            <v>MR</v>
          </cell>
          <cell r="C4146">
            <v>0.25</v>
          </cell>
          <cell r="D4146">
            <v>26.666666666666668</v>
          </cell>
          <cell r="E4146" t="str">
            <v>FA37</v>
          </cell>
          <cell r="F4146">
            <v>76</v>
          </cell>
          <cell r="G4146">
            <v>54.54</v>
          </cell>
          <cell r="H4146">
            <v>2.6</v>
          </cell>
          <cell r="I4146" t="str">
            <v>M1</v>
          </cell>
          <cell r="J4146" t="str">
            <v>IE3</v>
          </cell>
          <cell r="K4146" t="str">
            <v>330/575</v>
          </cell>
          <cell r="L4146">
            <v>60</v>
          </cell>
          <cell r="M4146" t="str">
            <v>0,9/0,52</v>
          </cell>
          <cell r="N4146">
            <v>55</v>
          </cell>
          <cell r="O4146" t="str">
            <v>155(F)</v>
          </cell>
          <cell r="P4146" t="str">
            <v>270°</v>
          </cell>
          <cell r="Q4146" t="str">
            <v>TF</v>
          </cell>
          <cell r="R4146" t="str">
            <v>-</v>
          </cell>
          <cell r="S4146" t="str">
            <v>-</v>
          </cell>
          <cell r="T4146" t="str">
            <v>-</v>
          </cell>
          <cell r="U4146" t="str">
            <v>G</v>
          </cell>
          <cell r="V4146" t="str">
            <v>D</v>
          </cell>
          <cell r="W4146" t="str">
            <v>-</v>
          </cell>
          <cell r="X4146" t="str">
            <v>GearOil Synth (-35/+50°C)</v>
          </cell>
          <cell r="Y4146" t="str">
            <v>FA37/G DRN71MS4 /TF</v>
          </cell>
          <cell r="Z4146" t="str">
            <v>SEW</v>
          </cell>
          <cell r="AB4146" t="str">
            <v>-</v>
          </cell>
          <cell r="AE4146" t="str">
            <v>NEMA5/CSA/UL/NPT terminal box</v>
          </cell>
          <cell r="AF4146">
            <v>32</v>
          </cell>
          <cell r="AG4146" t="str">
            <v>DRN71MS4</v>
          </cell>
          <cell r="AH4146" t="str">
            <v>FA37G-DRN71MS4270-X</v>
          </cell>
        </row>
        <row r="4147">
          <cell r="A4147" t="str">
            <v>MR004136</v>
          </cell>
          <cell r="B4147" t="str">
            <v>MR</v>
          </cell>
          <cell r="C4147">
            <v>0.75</v>
          </cell>
          <cell r="D4147">
            <v>139.16666666666669</v>
          </cell>
          <cell r="E4147" t="str">
            <v>KA37</v>
          </cell>
          <cell r="F4147">
            <v>43</v>
          </cell>
          <cell r="G4147">
            <v>10.49</v>
          </cell>
          <cell r="H4147">
            <v>3.7</v>
          </cell>
          <cell r="I4147" t="str">
            <v>From M3A to M4A - 15°</v>
          </cell>
          <cell r="J4147" t="str">
            <v>IE3</v>
          </cell>
          <cell r="K4147" t="str">
            <v>330/575</v>
          </cell>
          <cell r="L4147">
            <v>60</v>
          </cell>
          <cell r="M4147" t="str">
            <v>2,2/1,25</v>
          </cell>
          <cell r="N4147">
            <v>55</v>
          </cell>
          <cell r="O4147" t="str">
            <v>155(F)</v>
          </cell>
          <cell r="P4147" t="str">
            <v>270°</v>
          </cell>
          <cell r="Q4147" t="str">
            <v>TF</v>
          </cell>
          <cell r="R4147" t="str">
            <v>-</v>
          </cell>
          <cell r="S4147" t="str">
            <v>-</v>
          </cell>
          <cell r="T4147" t="str">
            <v>-</v>
          </cell>
          <cell r="U4147" t="str">
            <v>T</v>
          </cell>
          <cell r="V4147" t="str">
            <v>D</v>
          </cell>
          <cell r="W4147" t="str">
            <v>-</v>
          </cell>
          <cell r="X4147" t="str">
            <v>GearOil Synth (-35/+50°C)</v>
          </cell>
          <cell r="Y4147" t="str">
            <v>KA37/T DRN80M4 /TF</v>
          </cell>
          <cell r="Z4147" t="str">
            <v>SEW</v>
          </cell>
          <cell r="AB4147" t="str">
            <v>-</v>
          </cell>
          <cell r="AE4147" t="str">
            <v>NEMA5/CSA/UL/NPT terminal box</v>
          </cell>
          <cell r="AF4147">
            <v>167.00000000000003</v>
          </cell>
          <cell r="AG4147" t="str">
            <v>DRN80M4</v>
          </cell>
          <cell r="AH4147" t="str">
            <v>KA37T-DRN80M4A270-X</v>
          </cell>
        </row>
        <row r="4148">
          <cell r="A4148" t="str">
            <v>MR004137</v>
          </cell>
          <cell r="B4148" t="str">
            <v>MR</v>
          </cell>
          <cell r="C4148">
            <v>22</v>
          </cell>
          <cell r="D4148">
            <v>53.333333333333336</v>
          </cell>
          <cell r="E4148" t="str">
            <v>KH97</v>
          </cell>
          <cell r="F4148">
            <v>3290</v>
          </cell>
          <cell r="G4148">
            <v>27.91</v>
          </cell>
          <cell r="H4148">
            <v>1.3</v>
          </cell>
          <cell r="I4148" t="str">
            <v>From M3A to M4A - 15°</v>
          </cell>
          <cell r="J4148" t="str">
            <v>IE3</v>
          </cell>
          <cell r="K4148" t="str">
            <v>330/575</v>
          </cell>
          <cell r="L4148">
            <v>60</v>
          </cell>
          <cell r="M4148" t="str">
            <v>47,5/27,5</v>
          </cell>
          <cell r="N4148">
            <v>55</v>
          </cell>
          <cell r="O4148" t="str">
            <v>155(F)</v>
          </cell>
          <cell r="P4148" t="str">
            <v>270°</v>
          </cell>
          <cell r="Q4148" t="str">
            <v>TF</v>
          </cell>
          <cell r="R4148" t="str">
            <v>V(VE)</v>
          </cell>
          <cell r="S4148" t="str">
            <v>Free rotation CCW</v>
          </cell>
          <cell r="T4148" t="str">
            <v>-</v>
          </cell>
          <cell r="U4148" t="str">
            <v>T</v>
          </cell>
          <cell r="V4148" t="str">
            <v>FC</v>
          </cell>
          <cell r="W4148" t="str">
            <v>-</v>
          </cell>
          <cell r="X4148" t="str">
            <v>GearOil Synth (-35/+50°C)</v>
          </cell>
          <cell r="Y4148" t="str">
            <v>KH97/T DRN180L4 /RS /TF/V</v>
          </cell>
          <cell r="Z4148" t="str">
            <v>SEW</v>
          </cell>
          <cell r="AB4148" t="str">
            <v>-</v>
          </cell>
          <cell r="AE4148" t="str">
            <v>NEMA5/CSA/UL/NPT terminal box</v>
          </cell>
          <cell r="AF4148">
            <v>64</v>
          </cell>
          <cell r="AG4148" t="str">
            <v>DRN180L4</v>
          </cell>
          <cell r="AH4148" t="str">
            <v>KH97T-DRN180L4A270-X#</v>
          </cell>
        </row>
        <row r="4149">
          <cell r="A4149" t="str">
            <v>MR004138</v>
          </cell>
          <cell r="B4149" t="str">
            <v>MR</v>
          </cell>
          <cell r="C4149">
            <v>5.5</v>
          </cell>
          <cell r="D4149">
            <v>14.166666666666668</v>
          </cell>
          <cell r="E4149" t="str">
            <v>KH97</v>
          </cell>
          <cell r="F4149">
            <v>3120</v>
          </cell>
          <cell r="G4149">
            <v>105.13</v>
          </cell>
          <cell r="H4149">
            <v>1.4</v>
          </cell>
          <cell r="I4149" t="str">
            <v>From M1B to M2B - 20°</v>
          </cell>
          <cell r="J4149" t="str">
            <v>IE3</v>
          </cell>
          <cell r="K4149" t="str">
            <v>330/575</v>
          </cell>
          <cell r="L4149">
            <v>60</v>
          </cell>
          <cell r="M4149" t="str">
            <v>12,8/7,4</v>
          </cell>
          <cell r="N4149">
            <v>55</v>
          </cell>
          <cell r="O4149" t="str">
            <v>155(F)</v>
          </cell>
          <cell r="P4149" t="str">
            <v>270°</v>
          </cell>
          <cell r="Q4149" t="str">
            <v>TF</v>
          </cell>
          <cell r="R4149" t="str">
            <v>V(VE)</v>
          </cell>
          <cell r="S4149" t="str">
            <v>-</v>
          </cell>
          <cell r="T4149" t="str">
            <v>-</v>
          </cell>
          <cell r="U4149" t="str">
            <v>-</v>
          </cell>
          <cell r="V4149" t="str">
            <v>FC</v>
          </cell>
          <cell r="W4149" t="str">
            <v>-</v>
          </cell>
          <cell r="X4149" t="str">
            <v>GearOil Synth (-35/+50°C)</v>
          </cell>
          <cell r="Y4149" t="str">
            <v>KH97DRN132S4 /TF/V</v>
          </cell>
          <cell r="Z4149" t="str">
            <v>SEW</v>
          </cell>
          <cell r="AB4149" t="str">
            <v>-</v>
          </cell>
          <cell r="AE4149" t="str">
            <v>NEMA5/CSA/UL/NPT terminal box</v>
          </cell>
          <cell r="AF4149">
            <v>17.000000000000004</v>
          </cell>
          <cell r="AG4149" t="str">
            <v>DRN132S4</v>
          </cell>
          <cell r="AH4149" t="str">
            <v>KH97-DRN132S4B270-X#</v>
          </cell>
        </row>
        <row r="4150">
          <cell r="A4150" t="str">
            <v>MR004139</v>
          </cell>
          <cell r="B4150" t="str">
            <v>MR</v>
          </cell>
          <cell r="C4150">
            <v>0.25</v>
          </cell>
          <cell r="D4150">
            <v>1.3333333333333335</v>
          </cell>
          <cell r="E4150" t="str">
            <v>KA77R37</v>
          </cell>
          <cell r="F4150">
            <v>1280</v>
          </cell>
          <cell r="G4150">
            <v>1053</v>
          </cell>
          <cell r="H4150">
            <v>1.2</v>
          </cell>
          <cell r="I4150" t="str">
            <v>M3B</v>
          </cell>
          <cell r="J4150" t="str">
            <v>IE3</v>
          </cell>
          <cell r="K4150" t="str">
            <v>330/575</v>
          </cell>
          <cell r="L4150">
            <v>60</v>
          </cell>
          <cell r="M4150" t="str">
            <v>0,9/0,52</v>
          </cell>
          <cell r="N4150">
            <v>55</v>
          </cell>
          <cell r="O4150" t="str">
            <v>155(F)</v>
          </cell>
          <cell r="P4150" t="str">
            <v>270°</v>
          </cell>
          <cell r="Q4150" t="str">
            <v>TF</v>
          </cell>
          <cell r="R4150" t="str">
            <v>V(VE)</v>
          </cell>
          <cell r="S4150" t="str">
            <v>-</v>
          </cell>
          <cell r="T4150" t="str">
            <v>BEHF (575V)</v>
          </cell>
          <cell r="U4150" t="str">
            <v>T</v>
          </cell>
          <cell r="V4150" t="str">
            <v>FC+R</v>
          </cell>
          <cell r="W4150" t="str">
            <v>-</v>
          </cell>
          <cell r="X4150" t="str">
            <v>GearOil Synth (-35/+50°C)</v>
          </cell>
          <cell r="Y4150" t="str">
            <v>KA77R37/T DRN71MS4 /BEHF (575V) /TF/V</v>
          </cell>
          <cell r="Z4150" t="str">
            <v>SEW</v>
          </cell>
          <cell r="AB4150" t="str">
            <v>-</v>
          </cell>
          <cell r="AE4150" t="str">
            <v>NEMA5/CSA/UL/NPT terminal box</v>
          </cell>
          <cell r="AF4150">
            <v>1.6000000000000003</v>
          </cell>
          <cell r="AG4150" t="str">
            <v>DRN71MS4</v>
          </cell>
          <cell r="AH4150" t="str">
            <v>KA77R37T-DRN71MS4B270-X#</v>
          </cell>
        </row>
        <row r="4151">
          <cell r="A4151" t="str">
            <v>MR004140</v>
          </cell>
          <cell r="B4151" t="str">
            <v>MR</v>
          </cell>
          <cell r="C4151">
            <v>9.1999999999999993</v>
          </cell>
          <cell r="D4151">
            <v>50.833333333333336</v>
          </cell>
          <cell r="E4151" t="str">
            <v>FH87</v>
          </cell>
          <cell r="F4151">
            <v>1450</v>
          </cell>
          <cell r="G4151">
            <v>29.2</v>
          </cell>
          <cell r="H4151">
            <v>1.75</v>
          </cell>
          <cell r="I4151" t="str">
            <v>M1</v>
          </cell>
          <cell r="J4151" t="str">
            <v>IE3</v>
          </cell>
          <cell r="K4151" t="str">
            <v>330/575</v>
          </cell>
          <cell r="L4151">
            <v>60</v>
          </cell>
          <cell r="M4151" t="str">
            <v>23/13,2</v>
          </cell>
          <cell r="N4151">
            <v>55</v>
          </cell>
          <cell r="O4151" t="str">
            <v>155(F)</v>
          </cell>
          <cell r="P4151" t="str">
            <v>270°</v>
          </cell>
          <cell r="Q4151" t="str">
            <v>TF</v>
          </cell>
          <cell r="R4151" t="str">
            <v>-</v>
          </cell>
          <cell r="S4151" t="str">
            <v>-</v>
          </cell>
          <cell r="T4151" t="str">
            <v>-</v>
          </cell>
          <cell r="U4151" t="str">
            <v>G</v>
          </cell>
          <cell r="V4151" t="str">
            <v>D</v>
          </cell>
          <cell r="W4151" t="str">
            <v>-</v>
          </cell>
          <cell r="X4151" t="str">
            <v>GearOil Synth (-35/+50°C)</v>
          </cell>
          <cell r="Y4151" t="str">
            <v>FH87/G DRN132L4 /TF</v>
          </cell>
          <cell r="Z4151" t="str">
            <v>SEW</v>
          </cell>
          <cell r="AB4151" t="str">
            <v>-</v>
          </cell>
          <cell r="AE4151" t="str">
            <v>NEMA5/CSA/UL/NPT terminal box</v>
          </cell>
          <cell r="AF4151">
            <v>61</v>
          </cell>
          <cell r="AG4151" t="str">
            <v>DRN132L4</v>
          </cell>
          <cell r="AH4151" t="str">
            <v>FH87G-DRN132L4270-X</v>
          </cell>
        </row>
        <row r="4152">
          <cell r="A4152" t="str">
            <v>MR004141</v>
          </cell>
          <cell r="B4152" t="str">
            <v>MR</v>
          </cell>
          <cell r="C4152">
            <v>11</v>
          </cell>
          <cell r="D4152">
            <v>50.833333333333336</v>
          </cell>
          <cell r="E4152" t="str">
            <v>FH87</v>
          </cell>
          <cell r="F4152">
            <v>1730</v>
          </cell>
          <cell r="G4152">
            <v>29.2</v>
          </cell>
          <cell r="H4152">
            <v>1.45</v>
          </cell>
          <cell r="I4152" t="str">
            <v>M1</v>
          </cell>
          <cell r="J4152" t="str">
            <v>IE3</v>
          </cell>
          <cell r="K4152" t="str">
            <v>330/575</v>
          </cell>
          <cell r="L4152">
            <v>60</v>
          </cell>
          <cell r="M4152" t="str">
            <v>26/14,8</v>
          </cell>
          <cell r="N4152">
            <v>55</v>
          </cell>
          <cell r="O4152" t="str">
            <v>155(F)</v>
          </cell>
          <cell r="P4152" t="str">
            <v>270°</v>
          </cell>
          <cell r="Q4152" t="str">
            <v>TF</v>
          </cell>
          <cell r="R4152" t="str">
            <v>-</v>
          </cell>
          <cell r="S4152" t="str">
            <v>-</v>
          </cell>
          <cell r="T4152" t="str">
            <v>-</v>
          </cell>
          <cell r="U4152" t="str">
            <v>G</v>
          </cell>
          <cell r="V4152" t="str">
            <v>D+R</v>
          </cell>
          <cell r="W4152" t="str">
            <v>115 V</v>
          </cell>
          <cell r="X4152" t="str">
            <v>CLP HC 68 (-40/+20°C)</v>
          </cell>
          <cell r="Y4152" t="str">
            <v>FH87/G DRN160M4 /TF</v>
          </cell>
          <cell r="Z4152" t="str">
            <v>SEW</v>
          </cell>
          <cell r="AB4152" t="str">
            <v>-</v>
          </cell>
          <cell r="AE4152" t="str">
            <v>NEMA5/CSA/UL/NPT terminal box</v>
          </cell>
          <cell r="AF4152">
            <v>61</v>
          </cell>
          <cell r="AG4152" t="str">
            <v>DRN160M4</v>
          </cell>
          <cell r="AH4152" t="str">
            <v>FH87G-DRN160M4270-X</v>
          </cell>
        </row>
        <row r="4153">
          <cell r="A4153" t="str">
            <v>MR004142</v>
          </cell>
          <cell r="B4153" t="str">
            <v>MR</v>
          </cell>
          <cell r="C4153">
            <v>7.5</v>
          </cell>
          <cell r="D4153">
            <v>51.666666666666671</v>
          </cell>
          <cell r="E4153" t="str">
            <v>FH87</v>
          </cell>
          <cell r="F4153">
            <v>1160</v>
          </cell>
          <cell r="G4153">
            <v>28.78</v>
          </cell>
          <cell r="H4153">
            <v>2.1</v>
          </cell>
          <cell r="I4153" t="str">
            <v>From M1 to M4 - 20°</v>
          </cell>
          <cell r="J4153" t="str">
            <v>IE3</v>
          </cell>
          <cell r="K4153" t="str">
            <v>330/575</v>
          </cell>
          <cell r="L4153">
            <v>60</v>
          </cell>
          <cell r="M4153" t="str">
            <v>18,5/10,6</v>
          </cell>
          <cell r="N4153">
            <v>55</v>
          </cell>
          <cell r="O4153" t="str">
            <v>155(F)</v>
          </cell>
          <cell r="P4153" t="str">
            <v>270°</v>
          </cell>
          <cell r="Q4153" t="str">
            <v>TF</v>
          </cell>
          <cell r="R4153" t="str">
            <v>-</v>
          </cell>
          <cell r="S4153" t="str">
            <v>-</v>
          </cell>
          <cell r="T4153" t="str">
            <v>-</v>
          </cell>
          <cell r="U4153" t="str">
            <v>G</v>
          </cell>
          <cell r="V4153" t="str">
            <v>D</v>
          </cell>
          <cell r="W4153" t="str">
            <v>115 V</v>
          </cell>
          <cell r="X4153" t="str">
            <v>GearOil Synth (-35/+50°C)</v>
          </cell>
          <cell r="Y4153" t="str">
            <v>FH87/G DRN132M4 /TF</v>
          </cell>
          <cell r="Z4153" t="str">
            <v>SEW</v>
          </cell>
          <cell r="AB4153" t="str">
            <v>-</v>
          </cell>
          <cell r="AE4153" t="str">
            <v>NEMA5/CSA/UL/NPT terminal box</v>
          </cell>
          <cell r="AF4153">
            <v>62.000000000000007</v>
          </cell>
          <cell r="AG4153" t="str">
            <v>DRN132M4</v>
          </cell>
          <cell r="AH4153" t="str">
            <v>FH87G-DRN132M4270-X</v>
          </cell>
        </row>
        <row r="4154">
          <cell r="A4154" t="str">
            <v>MR004143</v>
          </cell>
          <cell r="B4154" t="str">
            <v>MR</v>
          </cell>
          <cell r="C4154">
            <v>15</v>
          </cell>
          <cell r="D4154">
            <v>12</v>
          </cell>
          <cell r="E4154" t="str">
            <v>KH127</v>
          </cell>
          <cell r="F4154">
            <v>11900</v>
          </cell>
          <cell r="G4154">
            <v>122.48</v>
          </cell>
          <cell r="H4154">
            <v>1.1000000000000001</v>
          </cell>
          <cell r="I4154" t="str">
            <v>From M1B to M2B - 35°</v>
          </cell>
          <cell r="J4154" t="str">
            <v>IE3</v>
          </cell>
          <cell r="K4154" t="str">
            <v>400/690</v>
          </cell>
          <cell r="L4154">
            <v>50</v>
          </cell>
          <cell r="M4154" t="str">
            <v>29/16,7</v>
          </cell>
          <cell r="N4154">
            <v>65</v>
          </cell>
          <cell r="O4154" t="str">
            <v>155(F)</v>
          </cell>
          <cell r="P4154" t="str">
            <v>270°</v>
          </cell>
          <cell r="Q4154" t="str">
            <v>TF</v>
          </cell>
          <cell r="R4154" t="str">
            <v>-</v>
          </cell>
          <cell r="S4154" t="str">
            <v>-</v>
          </cell>
          <cell r="T4154" t="str">
            <v>-</v>
          </cell>
          <cell r="U4154" t="str">
            <v>-</v>
          </cell>
          <cell r="V4154" t="str">
            <v>SS</v>
          </cell>
          <cell r="W4154" t="str">
            <v>-</v>
          </cell>
          <cell r="X4154" t="str">
            <v>CLP 220 (-15/+40°C)</v>
          </cell>
          <cell r="Y4154" t="str">
            <v>KH127DRN160L4 /TF</v>
          </cell>
          <cell r="Z4154" t="str">
            <v>SEW</v>
          </cell>
          <cell r="AB4154" t="str">
            <v>-</v>
          </cell>
          <cell r="AF4154">
            <v>12</v>
          </cell>
          <cell r="AG4154" t="str">
            <v>DRN160L4</v>
          </cell>
          <cell r="AH4154" t="str">
            <v>KH127-DRN160L4B270-X</v>
          </cell>
        </row>
        <row r="4155">
          <cell r="A4155" t="str">
            <v>MR004144</v>
          </cell>
          <cell r="B4155" t="str">
            <v>MR</v>
          </cell>
          <cell r="C4155">
            <v>15</v>
          </cell>
          <cell r="D4155">
            <v>16</v>
          </cell>
          <cell r="E4155" t="str">
            <v>KH127</v>
          </cell>
          <cell r="F4155">
            <v>8730</v>
          </cell>
          <cell r="G4155">
            <v>89.89</v>
          </cell>
          <cell r="H4155">
            <v>1.5</v>
          </cell>
          <cell r="I4155" t="str">
            <v>M4B</v>
          </cell>
          <cell r="J4155" t="str">
            <v>IE3</v>
          </cell>
          <cell r="K4155" t="str">
            <v>400/690</v>
          </cell>
          <cell r="L4155">
            <v>50</v>
          </cell>
          <cell r="M4155" t="str">
            <v>29/16,7</v>
          </cell>
          <cell r="N4155">
            <v>65</v>
          </cell>
          <cell r="O4155" t="str">
            <v>155(F)</v>
          </cell>
          <cell r="P4155" t="str">
            <v>270°</v>
          </cell>
          <cell r="Q4155" t="str">
            <v>TF</v>
          </cell>
          <cell r="R4155" t="str">
            <v>-</v>
          </cell>
          <cell r="S4155" t="str">
            <v>-</v>
          </cell>
          <cell r="T4155" t="str">
            <v>-</v>
          </cell>
          <cell r="U4155" t="str">
            <v>-</v>
          </cell>
          <cell r="V4155" t="str">
            <v>SS</v>
          </cell>
          <cell r="W4155" t="str">
            <v>-</v>
          </cell>
          <cell r="X4155" t="str">
            <v>CLP 220 (-15/+40°C)</v>
          </cell>
          <cell r="Y4155" t="str">
            <v>KH127DRN160L4 /TF</v>
          </cell>
          <cell r="Z4155" t="str">
            <v>SEW</v>
          </cell>
          <cell r="AB4155" t="str">
            <v>-</v>
          </cell>
          <cell r="AF4155">
            <v>16</v>
          </cell>
          <cell r="AG4155" t="str">
            <v>DRN160L4</v>
          </cell>
          <cell r="AH4155" t="str">
            <v>KH127-DRN160L4B270-X</v>
          </cell>
        </row>
        <row r="4156">
          <cell r="A4156" t="str">
            <v>MR004145</v>
          </cell>
          <cell r="B4156" t="str">
            <v>MR</v>
          </cell>
          <cell r="C4156">
            <v>18.5</v>
          </cell>
          <cell r="D4156">
            <v>16</v>
          </cell>
          <cell r="E4156" t="str">
            <v>KH127</v>
          </cell>
          <cell r="F4156">
            <v>10700</v>
          </cell>
          <cell r="G4156">
            <v>89.89</v>
          </cell>
          <cell r="H4156">
            <v>1.2</v>
          </cell>
          <cell r="I4156" t="str">
            <v>From M1B to M4B - 40°</v>
          </cell>
          <cell r="J4156" t="str">
            <v>IE3</v>
          </cell>
          <cell r="K4156" t="str">
            <v>400/690</v>
          </cell>
          <cell r="L4156">
            <v>50</v>
          </cell>
          <cell r="M4156" t="str">
            <v>33,5/19,3</v>
          </cell>
          <cell r="N4156">
            <v>65</v>
          </cell>
          <cell r="O4156" t="str">
            <v>155(F)</v>
          </cell>
          <cell r="P4156" t="str">
            <v>270°</v>
          </cell>
          <cell r="Q4156" t="str">
            <v>TF</v>
          </cell>
          <cell r="R4156" t="str">
            <v>-</v>
          </cell>
          <cell r="S4156" t="str">
            <v>-</v>
          </cell>
          <cell r="T4156" t="str">
            <v>-</v>
          </cell>
          <cell r="U4156" t="str">
            <v>-</v>
          </cell>
          <cell r="V4156" t="str">
            <v>SS</v>
          </cell>
          <cell r="W4156" t="str">
            <v>-</v>
          </cell>
          <cell r="X4156" t="str">
            <v>CLP 220 (-15/+40°C)</v>
          </cell>
          <cell r="Y4156" t="str">
            <v>KH127DRN180M4 /TF</v>
          </cell>
          <cell r="Z4156" t="str">
            <v>SEW</v>
          </cell>
          <cell r="AB4156" t="str">
            <v>-</v>
          </cell>
          <cell r="AF4156">
            <v>16</v>
          </cell>
          <cell r="AG4156" t="str">
            <v>DRN180M4</v>
          </cell>
          <cell r="AH4156" t="str">
            <v>KH127-DRN180M4B270-X</v>
          </cell>
        </row>
        <row r="4157">
          <cell r="A4157" t="str">
            <v>MR004146</v>
          </cell>
          <cell r="B4157" t="str">
            <v>MR</v>
          </cell>
          <cell r="C4157">
            <v>1.5</v>
          </cell>
          <cell r="D4157">
            <v>22</v>
          </cell>
          <cell r="E4157" t="str">
            <v>FA67</v>
          </cell>
          <cell r="F4157">
            <v>660</v>
          </cell>
          <cell r="G4157">
            <v>67.650000000000006</v>
          </cell>
          <cell r="H4157">
            <v>1.25</v>
          </cell>
          <cell r="I4157" t="str">
            <v>From M3 to M6 - 40°</v>
          </cell>
          <cell r="J4157" t="str">
            <v>IE3</v>
          </cell>
          <cell r="K4157" t="str">
            <v>230/400</v>
          </cell>
          <cell r="L4157">
            <v>50</v>
          </cell>
          <cell r="M4157" t="str">
            <v>5,9/3,4</v>
          </cell>
          <cell r="N4157">
            <v>65</v>
          </cell>
          <cell r="O4157" t="str">
            <v>155(F)</v>
          </cell>
          <cell r="P4157" t="str">
            <v>270°</v>
          </cell>
          <cell r="Q4157" t="str">
            <v>TF</v>
          </cell>
          <cell r="R4157" t="str">
            <v>-</v>
          </cell>
          <cell r="S4157" t="str">
            <v>-</v>
          </cell>
          <cell r="T4157" t="str">
            <v>BEHF</v>
          </cell>
          <cell r="U4157" t="str">
            <v>G</v>
          </cell>
          <cell r="V4157" t="str">
            <v>D+R</v>
          </cell>
          <cell r="W4157" t="str">
            <v>-</v>
          </cell>
          <cell r="X4157" t="str">
            <v>CLP 220 (-15/+40°C)</v>
          </cell>
          <cell r="Y4157" t="str">
            <v>FA67/G DRN90L4 /BEHF /TF</v>
          </cell>
          <cell r="Z4157" t="str">
            <v>SEW</v>
          </cell>
          <cell r="AB4157" t="str">
            <v>-</v>
          </cell>
          <cell r="AF4157">
            <v>22</v>
          </cell>
          <cell r="AG4157" t="str">
            <v>DRN90L4</v>
          </cell>
          <cell r="AH4157" t="str">
            <v>FA67G-DRN90L4270-X</v>
          </cell>
        </row>
        <row r="4158">
          <cell r="A4158" t="str">
            <v>MR004147</v>
          </cell>
          <cell r="B4158" t="str">
            <v>MR</v>
          </cell>
          <cell r="C4158">
            <v>18.5</v>
          </cell>
          <cell r="D4158">
            <v>12</v>
          </cell>
          <cell r="E4158" t="str">
            <v>KH157</v>
          </cell>
          <cell r="F4158">
            <v>14600</v>
          </cell>
          <cell r="G4158">
            <v>122.39</v>
          </cell>
          <cell r="H4158">
            <v>1.35</v>
          </cell>
          <cell r="I4158" t="str">
            <v>M1A</v>
          </cell>
          <cell r="J4158" t="str">
            <v>IE3</v>
          </cell>
          <cell r="K4158" t="str">
            <v>400/690</v>
          </cell>
          <cell r="L4158">
            <v>50</v>
          </cell>
          <cell r="M4158" t="str">
            <v>33,5/19,3</v>
          </cell>
          <cell r="N4158">
            <v>65</v>
          </cell>
          <cell r="O4158" t="str">
            <v>155(F)</v>
          </cell>
          <cell r="P4158" t="str">
            <v>270°</v>
          </cell>
          <cell r="Q4158" t="str">
            <v>TF</v>
          </cell>
          <cell r="R4158" t="str">
            <v>-</v>
          </cell>
          <cell r="S4158" t="str">
            <v>-</v>
          </cell>
          <cell r="T4158" t="str">
            <v>-</v>
          </cell>
          <cell r="U4158" t="str">
            <v>-</v>
          </cell>
          <cell r="V4158" t="str">
            <v>SS</v>
          </cell>
          <cell r="W4158" t="str">
            <v>-</v>
          </cell>
          <cell r="X4158" t="str">
            <v>CLP 220 (-15/+40°C)</v>
          </cell>
          <cell r="Y4158" t="str">
            <v>KH157DRN180M4 /TF</v>
          </cell>
          <cell r="Z4158" t="str">
            <v>SEW</v>
          </cell>
          <cell r="AB4158" t="str">
            <v>-</v>
          </cell>
          <cell r="AF4158">
            <v>12</v>
          </cell>
          <cell r="AG4158" t="str">
            <v>DRN180M4</v>
          </cell>
          <cell r="AH4158" t="str">
            <v>KH157-DRN180M4A270-X</v>
          </cell>
        </row>
        <row r="4159">
          <cell r="A4159" t="str">
            <v>MR004148</v>
          </cell>
          <cell r="B4159" t="str">
            <v>MR</v>
          </cell>
          <cell r="C4159">
            <v>18.5</v>
          </cell>
          <cell r="D4159">
            <v>16</v>
          </cell>
          <cell r="E4159" t="str">
            <v>KH127</v>
          </cell>
          <cell r="F4159">
            <v>10700</v>
          </cell>
          <cell r="G4159">
            <v>89.89</v>
          </cell>
          <cell r="H4159">
            <v>1.2</v>
          </cell>
          <cell r="I4159" t="str">
            <v>From M1B to M2B - 15°</v>
          </cell>
          <cell r="J4159" t="str">
            <v>IE3</v>
          </cell>
          <cell r="K4159" t="str">
            <v>400/690</v>
          </cell>
          <cell r="L4159">
            <v>50</v>
          </cell>
          <cell r="M4159" t="str">
            <v>33,5/19,3</v>
          </cell>
          <cell r="N4159">
            <v>65</v>
          </cell>
          <cell r="O4159" t="str">
            <v>155(F)</v>
          </cell>
          <cell r="P4159" t="str">
            <v>270°</v>
          </cell>
          <cell r="Q4159" t="str">
            <v>TF</v>
          </cell>
          <cell r="R4159" t="str">
            <v>-</v>
          </cell>
          <cell r="S4159" t="str">
            <v>-</v>
          </cell>
          <cell r="T4159" t="str">
            <v>-</v>
          </cell>
          <cell r="U4159" t="str">
            <v>-</v>
          </cell>
          <cell r="V4159" t="str">
            <v>SS</v>
          </cell>
          <cell r="W4159" t="str">
            <v>-</v>
          </cell>
          <cell r="X4159" t="str">
            <v>CLP 220 (-15/+40°C)</v>
          </cell>
          <cell r="Y4159" t="str">
            <v>KH127DRN180M4 /TF</v>
          </cell>
          <cell r="Z4159" t="str">
            <v>SEW</v>
          </cell>
          <cell r="AB4159" t="str">
            <v>-</v>
          </cell>
          <cell r="AF4159">
            <v>16</v>
          </cell>
          <cell r="AG4159" t="str">
            <v>DRN180M4</v>
          </cell>
          <cell r="AH4159" t="str">
            <v>KH127-DRN180M4B270-X</v>
          </cell>
        </row>
        <row r="4160">
          <cell r="A4160" t="str">
            <v>MR004149</v>
          </cell>
          <cell r="B4160" t="str">
            <v>MR</v>
          </cell>
          <cell r="C4160">
            <v>15</v>
          </cell>
          <cell r="D4160">
            <v>53</v>
          </cell>
          <cell r="E4160" t="str">
            <v>R107</v>
          </cell>
          <cell r="F4160">
            <v>2680</v>
          </cell>
          <cell r="G4160">
            <v>27.58</v>
          </cell>
          <cell r="H4160">
            <v>1.6</v>
          </cell>
          <cell r="I4160" t="str">
            <v>M1</v>
          </cell>
          <cell r="J4160" t="str">
            <v>IE3</v>
          </cell>
          <cell r="K4160" t="str">
            <v>240/415</v>
          </cell>
          <cell r="L4160">
            <v>50</v>
          </cell>
          <cell r="M4160" t="str">
            <v>51/29,5</v>
          </cell>
          <cell r="N4160">
            <v>55</v>
          </cell>
          <cell r="O4160" t="str">
            <v>155(F)</v>
          </cell>
          <cell r="P4160" t="str">
            <v>270°</v>
          </cell>
          <cell r="Q4160" t="str">
            <v>TF</v>
          </cell>
          <cell r="R4160" t="str">
            <v>V(VE)</v>
          </cell>
          <cell r="S4160" t="str">
            <v>-</v>
          </cell>
          <cell r="T4160" t="str">
            <v>-</v>
          </cell>
          <cell r="U4160" t="str">
            <v>-</v>
          </cell>
          <cell r="V4160" t="str">
            <v>FC</v>
          </cell>
          <cell r="W4160" t="str">
            <v>-</v>
          </cell>
          <cell r="X4160" t="str">
            <v>CLP HC 150 (-30/+50°C)</v>
          </cell>
          <cell r="Y4160" t="str">
            <v>R107/II2GDEDRN160L4/3GD/TF/VE</v>
          </cell>
          <cell r="Z4160" t="str">
            <v>SEW</v>
          </cell>
          <cell r="AB4160" t="str">
            <v>ATEX22</v>
          </cell>
          <cell r="AF4160">
            <v>53</v>
          </cell>
          <cell r="AG4160" t="str">
            <v>EDRN160L4</v>
          </cell>
          <cell r="AH4160" t="str">
            <v>R107-EDRN160L4270-X#</v>
          </cell>
        </row>
        <row r="4161">
          <cell r="A4161" t="str">
            <v>MR004150</v>
          </cell>
          <cell r="B4161" t="str">
            <v>MR</v>
          </cell>
          <cell r="C4161">
            <v>4</v>
          </cell>
          <cell r="D4161">
            <v>35</v>
          </cell>
          <cell r="E4161" t="str">
            <v>R87</v>
          </cell>
          <cell r="F4161">
            <v>1090</v>
          </cell>
          <cell r="G4161">
            <v>41.74</v>
          </cell>
          <cell r="H4161">
            <v>1.4</v>
          </cell>
          <cell r="I4161" t="str">
            <v>M1</v>
          </cell>
          <cell r="J4161" t="str">
            <v>IE3</v>
          </cell>
          <cell r="K4161" t="str">
            <v>220-230/380-400</v>
          </cell>
          <cell r="L4161">
            <v>50</v>
          </cell>
          <cell r="M4161" t="str">
            <v>14,2/8,1</v>
          </cell>
          <cell r="N4161">
            <v>54</v>
          </cell>
          <cell r="O4161" t="str">
            <v>155(F)</v>
          </cell>
          <cell r="P4161" t="str">
            <v>0°</v>
          </cell>
          <cell r="Q4161" t="str">
            <v>-</v>
          </cell>
          <cell r="R4161" t="str">
            <v>-</v>
          </cell>
          <cell r="S4161" t="str">
            <v>-</v>
          </cell>
          <cell r="T4161" t="str">
            <v>-</v>
          </cell>
          <cell r="U4161" t="str">
            <v>-</v>
          </cell>
          <cell r="V4161" t="str">
            <v>D</v>
          </cell>
          <cell r="W4161" t="str">
            <v>-</v>
          </cell>
          <cell r="X4161" t="str">
            <v>CLP 220 (-15/+40°C)</v>
          </cell>
          <cell r="Y4161" t="str">
            <v>R87DRN112M4</v>
          </cell>
          <cell r="Z4161" t="str">
            <v>-</v>
          </cell>
          <cell r="AB4161" t="str">
            <v>-</v>
          </cell>
          <cell r="AF4161">
            <v>35</v>
          </cell>
          <cell r="AG4161" t="str">
            <v>DRN112M4</v>
          </cell>
          <cell r="AH4161" t="str">
            <v>R87-DRN112M40-X</v>
          </cell>
        </row>
        <row r="4162">
          <cell r="A4162" t="str">
            <v>MR004151</v>
          </cell>
          <cell r="B4162" t="str">
            <v>MR</v>
          </cell>
          <cell r="C4162">
            <v>0.75</v>
          </cell>
          <cell r="D4162">
            <v>94</v>
          </cell>
          <cell r="E4162" t="str">
            <v>K37</v>
          </cell>
          <cell r="F4162">
            <v>76</v>
          </cell>
          <cell r="G4162">
            <v>15.31</v>
          </cell>
          <cell r="H4162">
            <v>2.2999999999999998</v>
          </cell>
          <cell r="I4162" t="str">
            <v>M1AB</v>
          </cell>
          <cell r="J4162" t="str">
            <v>IE3</v>
          </cell>
          <cell r="K4162" t="str">
            <v>220/380</v>
          </cell>
          <cell r="L4162">
            <v>50</v>
          </cell>
          <cell r="M4162" t="str">
            <v>3,2/1,85</v>
          </cell>
          <cell r="N4162">
            <v>65</v>
          </cell>
          <cell r="O4162" t="str">
            <v>155(F)</v>
          </cell>
          <cell r="P4162" t="str">
            <v>270°</v>
          </cell>
          <cell r="Q4162" t="str">
            <v>-</v>
          </cell>
          <cell r="R4162" t="str">
            <v>-</v>
          </cell>
          <cell r="S4162" t="str">
            <v>-</v>
          </cell>
          <cell r="T4162" t="str">
            <v>BEHF</v>
          </cell>
          <cell r="U4162" t="str">
            <v>-</v>
          </cell>
          <cell r="V4162" t="str">
            <v>SS+R</v>
          </cell>
          <cell r="W4162" t="str">
            <v>-</v>
          </cell>
          <cell r="X4162" t="str">
            <v>CLP 220 (-15/+40°C)</v>
          </cell>
          <cell r="Y4162" t="str">
            <v>K37DRN80M4 /BEHF</v>
          </cell>
          <cell r="Z4162" t="str">
            <v>SEW</v>
          </cell>
          <cell r="AB4162" t="str">
            <v>-</v>
          </cell>
          <cell r="AF4162">
            <v>94</v>
          </cell>
          <cell r="AG4162" t="str">
            <v>DRN80M4</v>
          </cell>
          <cell r="AH4162" t="str">
            <v>K37-DRN80M4B270-X</v>
          </cell>
        </row>
        <row r="4163">
          <cell r="A4163" t="str">
            <v>MR004152</v>
          </cell>
          <cell r="B4163" t="str">
            <v>R</v>
          </cell>
          <cell r="E4163" t="str">
            <v>K37</v>
          </cell>
          <cell r="F4163">
            <v>175</v>
          </cell>
          <cell r="G4163">
            <v>15.31</v>
          </cell>
          <cell r="H4163">
            <v>1</v>
          </cell>
          <cell r="I4163" t="str">
            <v>M1AB</v>
          </cell>
          <cell r="Q4163" t="str">
            <v>-</v>
          </cell>
          <cell r="R4163" t="str">
            <v>-</v>
          </cell>
          <cell r="S4163" t="str">
            <v>-</v>
          </cell>
          <cell r="T4163" t="str">
            <v>-</v>
          </cell>
          <cell r="U4163" t="str">
            <v>-</v>
          </cell>
          <cell r="V4163" t="str">
            <v>-</v>
          </cell>
          <cell r="W4163" t="str">
            <v>-</v>
          </cell>
          <cell r="X4163" t="str">
            <v>CLP 220 (-15/+40°C)</v>
          </cell>
          <cell r="Y4163" t="str">
            <v>K37AD2</v>
          </cell>
          <cell r="Z4163" t="str">
            <v>SEW</v>
          </cell>
          <cell r="AB4163" t="str">
            <v>-</v>
          </cell>
          <cell r="AF4163">
            <v>0</v>
          </cell>
          <cell r="AG4163" t="e">
            <v>#N/A</v>
          </cell>
          <cell r="AH4163" t="e">
            <v>#N/A</v>
          </cell>
        </row>
        <row r="4164">
          <cell r="A4164" t="str">
            <v>MR004153</v>
          </cell>
          <cell r="B4164" t="str">
            <v>MR</v>
          </cell>
          <cell r="C4164">
            <v>22</v>
          </cell>
          <cell r="D4164">
            <v>29</v>
          </cell>
          <cell r="E4164" t="str">
            <v>R137</v>
          </cell>
          <cell r="F4164">
            <v>7230</v>
          </cell>
          <cell r="G4164">
            <v>50.86</v>
          </cell>
          <cell r="H4164">
            <v>1.1000000000000001</v>
          </cell>
          <cell r="I4164" t="str">
            <v>M3</v>
          </cell>
          <cell r="J4164" t="str">
            <v>IE3</v>
          </cell>
          <cell r="K4164" t="str">
            <v>240/415</v>
          </cell>
          <cell r="L4164">
            <v>50</v>
          </cell>
          <cell r="M4164" t="str">
            <v>64/37</v>
          </cell>
          <cell r="N4164">
            <v>55</v>
          </cell>
          <cell r="O4164" t="str">
            <v>155(F)</v>
          </cell>
          <cell r="P4164" t="str">
            <v>270°</v>
          </cell>
          <cell r="Q4164" t="str">
            <v>TF</v>
          </cell>
          <cell r="R4164" t="str">
            <v>V(VE)</v>
          </cell>
          <cell r="S4164" t="str">
            <v>-</v>
          </cell>
          <cell r="T4164" t="str">
            <v>-</v>
          </cell>
          <cell r="U4164" t="str">
            <v>-</v>
          </cell>
          <cell r="V4164" t="str">
            <v>FC</v>
          </cell>
          <cell r="W4164" t="str">
            <v>-</v>
          </cell>
          <cell r="X4164" t="str">
            <v>CLP VG 220 = -15° + 40°</v>
          </cell>
          <cell r="Y4164" t="str">
            <v>R137DRN180L4 /TF/V</v>
          </cell>
          <cell r="Z4164" t="str">
            <v>SEW</v>
          </cell>
          <cell r="AB4164" t="str">
            <v>-</v>
          </cell>
          <cell r="AF4164">
            <v>29</v>
          </cell>
          <cell r="AG4164" t="str">
            <v>DRN180L4</v>
          </cell>
          <cell r="AH4164" t="str">
            <v>R137-DRN180L4270-X#</v>
          </cell>
        </row>
        <row r="4165">
          <cell r="A4165" t="str">
            <v>MR004154</v>
          </cell>
          <cell r="B4165" t="str">
            <v>MR</v>
          </cell>
          <cell r="C4165">
            <v>1.5</v>
          </cell>
          <cell r="D4165">
            <v>22</v>
          </cell>
          <cell r="E4165" t="str">
            <v>FA67</v>
          </cell>
          <cell r="F4165">
            <v>665</v>
          </cell>
          <cell r="G4165">
            <v>67.650000000000006</v>
          </cell>
          <cell r="H4165">
            <v>1.1499999999999999</v>
          </cell>
          <cell r="I4165" t="str">
            <v>From M5 to M4 - 55°</v>
          </cell>
          <cell r="J4165" t="str">
            <v>IE3</v>
          </cell>
          <cell r="K4165" t="str">
            <v>230/400</v>
          </cell>
          <cell r="L4165">
            <v>50</v>
          </cell>
          <cell r="M4165" t="str">
            <v>5,9/3,4</v>
          </cell>
          <cell r="N4165">
            <v>65</v>
          </cell>
          <cell r="O4165" t="str">
            <v>155(F)</v>
          </cell>
          <cell r="P4165" t="str">
            <v>270°</v>
          </cell>
          <cell r="Q4165" t="str">
            <v>TF</v>
          </cell>
          <cell r="R4165" t="str">
            <v>-</v>
          </cell>
          <cell r="S4165" t="str">
            <v>-</v>
          </cell>
          <cell r="T4165" t="str">
            <v>BEHF</v>
          </cell>
          <cell r="U4165" t="str">
            <v>G</v>
          </cell>
          <cell r="V4165" t="str">
            <v>D+R</v>
          </cell>
          <cell r="W4165" t="str">
            <v>-</v>
          </cell>
          <cell r="X4165" t="str">
            <v>CLP HC 220 (-25/+60°C)</v>
          </cell>
          <cell r="Y4165" t="str">
            <v>FA67/G EDRN90L4 /BEHF /TF /C</v>
          </cell>
          <cell r="Z4165" t="str">
            <v>SEW</v>
          </cell>
          <cell r="AB4165" t="str">
            <v>ATEX22</v>
          </cell>
          <cell r="AE4165" t="str">
            <v>Superficial protection OS2/C3: IK8; canopy C</v>
          </cell>
          <cell r="AF4165">
            <v>22</v>
          </cell>
          <cell r="AG4165" t="str">
            <v>EDRN90L4</v>
          </cell>
          <cell r="AH4165" t="str">
            <v>FA67G-EDRN90L4270-X</v>
          </cell>
        </row>
        <row r="4166">
          <cell r="A4166" t="str">
            <v>MR004155</v>
          </cell>
          <cell r="B4166" t="str">
            <v>MR</v>
          </cell>
          <cell r="C4166">
            <v>5.5</v>
          </cell>
          <cell r="D4166">
            <v>62</v>
          </cell>
          <cell r="E4166" t="str">
            <v>R87</v>
          </cell>
          <cell r="F4166">
            <v>840</v>
          </cell>
          <cell r="G4166">
            <v>23.4</v>
          </cell>
          <cell r="H4166">
            <v>1.85</v>
          </cell>
          <cell r="I4166" t="str">
            <v>M1</v>
          </cell>
          <cell r="J4166" t="str">
            <v>IE3</v>
          </cell>
          <cell r="K4166" t="str">
            <v>230/400</v>
          </cell>
          <cell r="L4166">
            <v>50</v>
          </cell>
          <cell r="M4166" t="str">
            <v>18,2/10,5</v>
          </cell>
          <cell r="N4166">
            <v>55</v>
          </cell>
          <cell r="O4166" t="str">
            <v>155(F)</v>
          </cell>
          <cell r="P4166" t="str">
            <v>270°</v>
          </cell>
          <cell r="Q4166" t="str">
            <v>-</v>
          </cell>
          <cell r="R4166" t="str">
            <v>-</v>
          </cell>
          <cell r="S4166" t="str">
            <v>-</v>
          </cell>
          <cell r="T4166" t="str">
            <v>-</v>
          </cell>
          <cell r="U4166" t="str">
            <v>-</v>
          </cell>
          <cell r="V4166" t="str">
            <v>D</v>
          </cell>
          <cell r="W4166" t="str">
            <v>-</v>
          </cell>
          <cell r="X4166" t="str">
            <v>CLP 220 (-15/+40°C)</v>
          </cell>
          <cell r="Y4166" t="str">
            <v>R87DRN132S4</v>
          </cell>
          <cell r="Z4166" t="str">
            <v>SEW</v>
          </cell>
          <cell r="AB4166" t="str">
            <v>-</v>
          </cell>
          <cell r="AF4166">
            <v>62</v>
          </cell>
          <cell r="AG4166" t="str">
            <v>DRN132S4</v>
          </cell>
          <cell r="AH4166" t="str">
            <v>R87-DRN132S4270-X</v>
          </cell>
        </row>
        <row r="4167">
          <cell r="A4167" t="str">
            <v>MR004156</v>
          </cell>
          <cell r="B4167" t="str">
            <v>MR</v>
          </cell>
          <cell r="C4167">
            <v>5.5</v>
          </cell>
          <cell r="D4167">
            <v>14</v>
          </cell>
          <cell r="E4167" t="str">
            <v>KH97</v>
          </cell>
          <cell r="F4167">
            <v>3770</v>
          </cell>
          <cell r="G4167">
            <v>105.13</v>
          </cell>
          <cell r="H4167">
            <v>1.1499999999999999</v>
          </cell>
          <cell r="I4167" t="str">
            <v>From M1B to M2B - 30°</v>
          </cell>
          <cell r="J4167" t="str">
            <v>IE3</v>
          </cell>
          <cell r="K4167" t="str">
            <v>230/400</v>
          </cell>
          <cell r="L4167">
            <v>50</v>
          </cell>
          <cell r="M4167" t="str">
            <v>18,2/10,5</v>
          </cell>
          <cell r="N4167">
            <v>55</v>
          </cell>
          <cell r="O4167" t="str">
            <v>155(F)</v>
          </cell>
          <cell r="P4167" t="str">
            <v>270°</v>
          </cell>
          <cell r="Q4167" t="str">
            <v>-</v>
          </cell>
          <cell r="R4167" t="str">
            <v>-</v>
          </cell>
          <cell r="S4167" t="str">
            <v>-</v>
          </cell>
          <cell r="T4167" t="str">
            <v>-</v>
          </cell>
          <cell r="U4167" t="str">
            <v>-</v>
          </cell>
          <cell r="V4167" t="str">
            <v>SS</v>
          </cell>
          <cell r="W4167" t="str">
            <v>-</v>
          </cell>
          <cell r="X4167" t="str">
            <v>CLP 220 (-15/+40°C)</v>
          </cell>
          <cell r="Y4167" t="str">
            <v>KH97DRN132S4</v>
          </cell>
          <cell r="Z4167" t="str">
            <v>SEW</v>
          </cell>
          <cell r="AB4167" t="str">
            <v>-</v>
          </cell>
          <cell r="AF4167">
            <v>14</v>
          </cell>
          <cell r="AG4167" t="str">
            <v>DRN132S4</v>
          </cell>
          <cell r="AH4167" t="str">
            <v>KH97-DRN132S4B270-X</v>
          </cell>
        </row>
        <row r="4168">
          <cell r="A4168" t="str">
            <v>MR004157</v>
          </cell>
          <cell r="B4168" t="str">
            <v>MR</v>
          </cell>
          <cell r="C4168">
            <v>22</v>
          </cell>
          <cell r="D4168">
            <v>12</v>
          </cell>
          <cell r="E4168" t="str">
            <v>KH157</v>
          </cell>
          <cell r="F4168">
            <v>17400</v>
          </cell>
          <cell r="G4168">
            <v>122.39</v>
          </cell>
          <cell r="H4168">
            <v>1.1499999999999999</v>
          </cell>
          <cell r="I4168" t="str">
            <v>From M1A to M2A - 30°</v>
          </cell>
          <cell r="J4168" t="str">
            <v>IE3</v>
          </cell>
          <cell r="K4168" t="str">
            <v>400/690</v>
          </cell>
          <cell r="L4168">
            <v>50</v>
          </cell>
          <cell r="M4168" t="str">
            <v>38,5/22,5</v>
          </cell>
          <cell r="N4168">
            <v>55</v>
          </cell>
          <cell r="O4168" t="str">
            <v>155(F)</v>
          </cell>
          <cell r="P4168" t="str">
            <v>270°</v>
          </cell>
          <cell r="Q4168" t="str">
            <v>TF</v>
          </cell>
          <cell r="R4168" t="str">
            <v>V(VE)</v>
          </cell>
          <cell r="S4168" t="str">
            <v>-</v>
          </cell>
          <cell r="T4168" t="str">
            <v>-</v>
          </cell>
          <cell r="U4168" t="str">
            <v>-</v>
          </cell>
          <cell r="V4168" t="str">
            <v>FC</v>
          </cell>
          <cell r="W4168" t="str">
            <v>-</v>
          </cell>
          <cell r="X4168" t="str">
            <v>CLP 220 (-15/+40°C)</v>
          </cell>
          <cell r="Y4168" t="str">
            <v>KH157DRN180L4 /TF/V</v>
          </cell>
          <cell r="Z4168" t="str">
            <v>SEW</v>
          </cell>
          <cell r="AB4168" t="str">
            <v>-</v>
          </cell>
          <cell r="AF4168">
            <v>12</v>
          </cell>
          <cell r="AG4168" t="str">
            <v>DRN180L4</v>
          </cell>
          <cell r="AH4168" t="str">
            <v>KH157-DRN180L4A270-X#</v>
          </cell>
        </row>
        <row r="4169">
          <cell r="A4169" t="str">
            <v>MR004158</v>
          </cell>
          <cell r="B4169" t="str">
            <v>MR</v>
          </cell>
          <cell r="C4169">
            <v>22</v>
          </cell>
          <cell r="D4169">
            <v>12</v>
          </cell>
          <cell r="E4169" t="str">
            <v>KH157</v>
          </cell>
          <cell r="F4169">
            <v>17400</v>
          </cell>
          <cell r="G4169">
            <v>122.39</v>
          </cell>
          <cell r="H4169">
            <v>1.1499999999999999</v>
          </cell>
          <cell r="I4169" t="str">
            <v>From M1B to M2B - 30°</v>
          </cell>
          <cell r="J4169" t="str">
            <v>IE3</v>
          </cell>
          <cell r="K4169" t="str">
            <v>400/690</v>
          </cell>
          <cell r="L4169">
            <v>50</v>
          </cell>
          <cell r="M4169" t="str">
            <v>38,5/22,5</v>
          </cell>
          <cell r="N4169">
            <v>55</v>
          </cell>
          <cell r="O4169" t="str">
            <v>155(F)</v>
          </cell>
          <cell r="P4169" t="str">
            <v>270°</v>
          </cell>
          <cell r="Q4169" t="str">
            <v>TF</v>
          </cell>
          <cell r="R4169" t="str">
            <v>V(VE)</v>
          </cell>
          <cell r="S4169" t="str">
            <v>-</v>
          </cell>
          <cell r="T4169" t="str">
            <v>-</v>
          </cell>
          <cell r="U4169" t="str">
            <v>-</v>
          </cell>
          <cell r="V4169" t="str">
            <v>FC</v>
          </cell>
          <cell r="W4169" t="str">
            <v>-</v>
          </cell>
          <cell r="X4169" t="str">
            <v>CLP 220 (-15/+40°C)</v>
          </cell>
          <cell r="Y4169" t="str">
            <v>KH157DRN180L4 /TF/V</v>
          </cell>
          <cell r="Z4169" t="str">
            <v>SEW</v>
          </cell>
          <cell r="AB4169" t="str">
            <v>-</v>
          </cell>
          <cell r="AF4169">
            <v>12</v>
          </cell>
          <cell r="AG4169" t="str">
            <v>DRN180L4</v>
          </cell>
          <cell r="AH4169" t="str">
            <v>KH157-DRN180L4B270-X#</v>
          </cell>
        </row>
        <row r="4170">
          <cell r="A4170" t="str">
            <v>MR004159</v>
          </cell>
          <cell r="B4170" t="str">
            <v>MR</v>
          </cell>
          <cell r="C4170">
            <v>7.5</v>
          </cell>
          <cell r="D4170">
            <v>94</v>
          </cell>
          <cell r="E4170" t="str">
            <v>FH77</v>
          </cell>
          <cell r="F4170">
            <v>765</v>
          </cell>
          <cell r="G4170">
            <v>15.64</v>
          </cell>
          <cell r="H4170">
            <v>1.95</v>
          </cell>
          <cell r="I4170" t="str">
            <v>M1</v>
          </cell>
          <cell r="J4170" t="str">
            <v>IE3</v>
          </cell>
          <cell r="K4170" t="str">
            <v>400/690</v>
          </cell>
          <cell r="L4170">
            <v>50</v>
          </cell>
          <cell r="M4170" t="str">
            <v>15,2/8,8</v>
          </cell>
          <cell r="N4170">
            <v>65</v>
          </cell>
          <cell r="O4170" t="str">
            <v>180(H)</v>
          </cell>
          <cell r="P4170" t="str">
            <v>0°</v>
          </cell>
          <cell r="Q4170" t="str">
            <v>TF</v>
          </cell>
          <cell r="R4170" t="str">
            <v>-</v>
          </cell>
          <cell r="S4170" t="str">
            <v>-</v>
          </cell>
          <cell r="T4170" t="str">
            <v>-</v>
          </cell>
          <cell r="U4170" t="str">
            <v>-</v>
          </cell>
          <cell r="V4170" t="str">
            <v>D</v>
          </cell>
          <cell r="W4170" t="str">
            <v>-</v>
          </cell>
          <cell r="X4170" t="str">
            <v>CLP 220 (-15/+40°C)</v>
          </cell>
          <cell r="Y4170" t="str">
            <v>FH77DRN132M4/TF/AL</v>
          </cell>
          <cell r="Z4170" t="str">
            <v>SEW</v>
          </cell>
          <cell r="AB4170" t="str">
            <v>-</v>
          </cell>
          <cell r="AE4170" t="str">
            <v xml:space="preserve">DA PG BISON - MATRICOLA 71.8210843701.0001X22 </v>
          </cell>
          <cell r="AF4170">
            <v>94</v>
          </cell>
          <cell r="AG4170" t="str">
            <v>DRN132M4</v>
          </cell>
          <cell r="AH4170" t="str">
            <v>FH77-DRN132M40-X</v>
          </cell>
        </row>
        <row r="4171">
          <cell r="A4171" t="str">
            <v>MR004160</v>
          </cell>
          <cell r="B4171" t="str">
            <v>MR</v>
          </cell>
          <cell r="C4171">
            <v>7.5</v>
          </cell>
          <cell r="D4171">
            <v>94</v>
          </cell>
          <cell r="E4171" t="str">
            <v>FH77</v>
          </cell>
          <cell r="F4171">
            <v>765</v>
          </cell>
          <cell r="G4171">
            <v>15.64</v>
          </cell>
          <cell r="H4171">
            <v>1.95</v>
          </cell>
          <cell r="I4171" t="str">
            <v>M1</v>
          </cell>
          <cell r="J4171" t="str">
            <v>IE3</v>
          </cell>
          <cell r="K4171" t="str">
            <v>400/690</v>
          </cell>
          <cell r="L4171">
            <v>50</v>
          </cell>
          <cell r="M4171" t="str">
            <v>15,2/8,8</v>
          </cell>
          <cell r="N4171">
            <v>65</v>
          </cell>
          <cell r="O4171" t="str">
            <v>180(H)</v>
          </cell>
          <cell r="P4171" t="str">
            <v>0°</v>
          </cell>
          <cell r="Q4171" t="str">
            <v>TF</v>
          </cell>
          <cell r="R4171" t="str">
            <v>-</v>
          </cell>
          <cell r="S4171" t="str">
            <v>-</v>
          </cell>
          <cell r="T4171" t="str">
            <v>-</v>
          </cell>
          <cell r="U4171" t="str">
            <v>-</v>
          </cell>
          <cell r="V4171" t="str">
            <v>D</v>
          </cell>
          <cell r="W4171" t="str">
            <v>-</v>
          </cell>
          <cell r="X4171" t="str">
            <v>CLP 220 (-15/+40°C)</v>
          </cell>
          <cell r="Y4171" t="str">
            <v>FH77DRN132M4/TF/AL</v>
          </cell>
          <cell r="Z4171" t="str">
            <v>SEW</v>
          </cell>
          <cell r="AB4171" t="str">
            <v>-</v>
          </cell>
          <cell r="AE4171" t="str">
            <v xml:space="preserve">DA PG BISON - MATRICOLA 71.8210843701.0002X22 </v>
          </cell>
          <cell r="AF4171">
            <v>94</v>
          </cell>
          <cell r="AG4171" t="str">
            <v>DRN132M4</v>
          </cell>
          <cell r="AH4171" t="str">
            <v>FH77-DRN132M40-X</v>
          </cell>
        </row>
        <row r="4172">
          <cell r="A4172" t="str">
            <v>MR004161</v>
          </cell>
          <cell r="B4172" t="str">
            <v>MR</v>
          </cell>
          <cell r="C4172">
            <v>30</v>
          </cell>
          <cell r="D4172">
            <v>27</v>
          </cell>
          <cell r="E4172" t="str">
            <v>FH127</v>
          </cell>
          <cell r="F4172">
            <v>10700</v>
          </cell>
          <cell r="G4172">
            <v>55.31</v>
          </cell>
          <cell r="H4172">
            <v>1.1000000000000001</v>
          </cell>
          <cell r="I4172" t="str">
            <v>M1</v>
          </cell>
          <cell r="J4172" t="str">
            <v>IE3</v>
          </cell>
          <cell r="K4172" t="str">
            <v>400/690</v>
          </cell>
          <cell r="L4172">
            <v>50</v>
          </cell>
          <cell r="M4172" t="str">
            <v>56/32,5</v>
          </cell>
          <cell r="N4172">
            <v>65</v>
          </cell>
          <cell r="O4172" t="str">
            <v>180(H)</v>
          </cell>
          <cell r="P4172" t="str">
            <v>0°</v>
          </cell>
          <cell r="Q4172" t="str">
            <v>TF</v>
          </cell>
          <cell r="R4172" t="str">
            <v>-</v>
          </cell>
          <cell r="S4172" t="str">
            <v>-</v>
          </cell>
          <cell r="T4172" t="str">
            <v>BEHF</v>
          </cell>
          <cell r="U4172" t="str">
            <v>G</v>
          </cell>
          <cell r="V4172" t="str">
            <v>D</v>
          </cell>
          <cell r="W4172" t="str">
            <v>-</v>
          </cell>
          <cell r="X4172" t="str">
            <v>CLP 220 (-15/+40°C)</v>
          </cell>
          <cell r="Y4172" t="str">
            <v>FH127/GDRN200L4/BE32HF/TF/AL</v>
          </cell>
          <cell r="Z4172" t="str">
            <v>SEW</v>
          </cell>
          <cell r="AB4172" t="str">
            <v>-</v>
          </cell>
          <cell r="AE4172" t="str">
            <v>DA PG BISON - MATRICOLA 71.8210843702.0001X22</v>
          </cell>
          <cell r="AF4172">
            <v>27</v>
          </cell>
          <cell r="AG4172" t="str">
            <v>DRN200L4</v>
          </cell>
          <cell r="AH4172" t="str">
            <v>FH127G-DRN200L40-X</v>
          </cell>
        </row>
        <row r="4173">
          <cell r="A4173" t="str">
            <v>MR004162</v>
          </cell>
          <cell r="B4173" t="str">
            <v>MR</v>
          </cell>
          <cell r="C4173">
            <v>11</v>
          </cell>
          <cell r="D4173">
            <v>16</v>
          </cell>
          <cell r="E4173" t="str">
            <v>KH107</v>
          </cell>
          <cell r="F4173">
            <v>6490</v>
          </cell>
          <cell r="G4173">
            <v>90.96</v>
          </cell>
          <cell r="H4173">
            <v>1.1499999999999999</v>
          </cell>
          <cell r="I4173" t="str">
            <v>From M4A to M1A - 10°</v>
          </cell>
          <cell r="J4173" t="str">
            <v>IE3</v>
          </cell>
          <cell r="K4173" t="str">
            <v>230/400</v>
          </cell>
          <cell r="L4173">
            <v>50</v>
          </cell>
          <cell r="M4173" t="str">
            <v>37/21,5</v>
          </cell>
          <cell r="N4173">
            <v>65</v>
          </cell>
          <cell r="O4173" t="str">
            <v>155(F)</v>
          </cell>
          <cell r="P4173" t="str">
            <v>270°</v>
          </cell>
          <cell r="Q4173" t="str">
            <v>-</v>
          </cell>
          <cell r="R4173" t="str">
            <v>-</v>
          </cell>
          <cell r="S4173" t="str">
            <v>-</v>
          </cell>
          <cell r="T4173" t="str">
            <v>-</v>
          </cell>
          <cell r="U4173" t="str">
            <v>-</v>
          </cell>
          <cell r="V4173" t="str">
            <v>SS</v>
          </cell>
          <cell r="W4173" t="str">
            <v>-</v>
          </cell>
          <cell r="X4173" t="str">
            <v>CLP HC 220 (-25/+60°C)</v>
          </cell>
          <cell r="Y4173" t="str">
            <v>KH107EDRN160M4</v>
          </cell>
          <cell r="Z4173" t="str">
            <v>SEW</v>
          </cell>
          <cell r="AB4173" t="str">
            <v>ATEX22</v>
          </cell>
          <cell r="AF4173">
            <v>16</v>
          </cell>
          <cell r="AG4173" t="str">
            <v>EDRN160M4</v>
          </cell>
          <cell r="AH4173" t="str">
            <v>KH107-EDRN160M4A270-X</v>
          </cell>
        </row>
        <row r="4174">
          <cell r="A4174" t="str">
            <v>MR004163</v>
          </cell>
          <cell r="B4174" t="str">
            <v>MR</v>
          </cell>
          <cell r="C4174">
            <v>5.5</v>
          </cell>
          <cell r="D4174">
            <v>68</v>
          </cell>
          <cell r="E4174" t="str">
            <v>FH77</v>
          </cell>
          <cell r="F4174">
            <v>770</v>
          </cell>
          <cell r="G4174">
            <v>21.43</v>
          </cell>
          <cell r="H4174">
            <v>1.95</v>
          </cell>
          <cell r="I4174" t="str">
            <v>From M1 to M4 - 5°</v>
          </cell>
          <cell r="J4174" t="str">
            <v>IE3</v>
          </cell>
          <cell r="K4174" t="str">
            <v>230/400</v>
          </cell>
          <cell r="L4174">
            <v>50</v>
          </cell>
          <cell r="M4174" t="str">
            <v>18,8/10,9</v>
          </cell>
          <cell r="N4174">
            <v>65</v>
          </cell>
          <cell r="O4174" t="str">
            <v>155(F)</v>
          </cell>
          <cell r="P4174" t="str">
            <v>270°</v>
          </cell>
          <cell r="Q4174" t="str">
            <v>-</v>
          </cell>
          <cell r="R4174" t="str">
            <v>-</v>
          </cell>
          <cell r="S4174" t="str">
            <v>-</v>
          </cell>
          <cell r="T4174" t="str">
            <v>-</v>
          </cell>
          <cell r="U4174" t="str">
            <v>G</v>
          </cell>
          <cell r="V4174" t="str">
            <v>D</v>
          </cell>
          <cell r="W4174" t="str">
            <v>-</v>
          </cell>
          <cell r="X4174" t="str">
            <v>CLP HC 220 (-25/+60°C)</v>
          </cell>
          <cell r="Y4174" t="str">
            <v>FH77/G EDRN132S4</v>
          </cell>
          <cell r="Z4174" t="str">
            <v>SEW</v>
          </cell>
          <cell r="AB4174" t="str">
            <v>ATEX22</v>
          </cell>
          <cell r="AF4174">
            <v>68</v>
          </cell>
          <cell r="AG4174" t="str">
            <v>EDRN132S4</v>
          </cell>
          <cell r="AH4174" t="str">
            <v>FH77G-EDRN132S4270-X</v>
          </cell>
        </row>
        <row r="4175">
          <cell r="A4175" t="str">
            <v>MR004164</v>
          </cell>
          <cell r="B4175" t="str">
            <v>MR</v>
          </cell>
          <cell r="C4175">
            <v>4</v>
          </cell>
          <cell r="D4175">
            <v>80</v>
          </cell>
          <cell r="E4175" t="str">
            <v>FH67</v>
          </cell>
          <cell r="F4175">
            <v>475</v>
          </cell>
          <cell r="G4175">
            <v>18.29</v>
          </cell>
          <cell r="H4175">
            <v>1.7</v>
          </cell>
          <cell r="I4175" t="str">
            <v>From M5 to M1 - 5°</v>
          </cell>
          <cell r="J4175" t="str">
            <v>IE3</v>
          </cell>
          <cell r="K4175" t="str">
            <v>230/400</v>
          </cell>
          <cell r="L4175">
            <v>50</v>
          </cell>
          <cell r="M4175" t="str">
            <v>14,2/8,2</v>
          </cell>
          <cell r="N4175">
            <v>65</v>
          </cell>
          <cell r="O4175" t="str">
            <v>155(F)</v>
          </cell>
          <cell r="P4175" t="str">
            <v>180°</v>
          </cell>
          <cell r="Q4175" t="str">
            <v>-</v>
          </cell>
          <cell r="R4175" t="str">
            <v>-</v>
          </cell>
          <cell r="S4175" t="str">
            <v>-</v>
          </cell>
          <cell r="T4175" t="str">
            <v>-</v>
          </cell>
          <cell r="U4175" t="str">
            <v>G</v>
          </cell>
          <cell r="V4175" t="str">
            <v>D</v>
          </cell>
          <cell r="W4175" t="str">
            <v>-</v>
          </cell>
          <cell r="X4175" t="str">
            <v>CLP HC 220 (-25/+60°C)</v>
          </cell>
          <cell r="Y4175" t="str">
            <v>FH67/G EDRN112M4</v>
          </cell>
          <cell r="Z4175" t="str">
            <v>SEW</v>
          </cell>
          <cell r="AB4175" t="str">
            <v>ATEX22</v>
          </cell>
          <cell r="AF4175">
            <v>80</v>
          </cell>
          <cell r="AG4175" t="str">
            <v>EDRN112M4</v>
          </cell>
          <cell r="AH4175" t="str">
            <v>FH67G-EDRN112M4180-X</v>
          </cell>
        </row>
        <row r="4176">
          <cell r="A4176" t="str">
            <v>MR004165</v>
          </cell>
          <cell r="B4176" t="str">
            <v>MR</v>
          </cell>
          <cell r="C4176">
            <v>0.25</v>
          </cell>
          <cell r="D4176">
            <v>32</v>
          </cell>
          <cell r="E4176" t="str">
            <v>FA37</v>
          </cell>
          <cell r="F4176">
            <v>75</v>
          </cell>
          <cell r="G4176">
            <v>43.83</v>
          </cell>
          <cell r="H4176">
            <v>2.7</v>
          </cell>
          <cell r="I4176" t="str">
            <v>M1</v>
          </cell>
          <cell r="J4176" t="str">
            <v>IE3</v>
          </cell>
          <cell r="K4176" t="str">
            <v>230/400</v>
          </cell>
          <cell r="L4176">
            <v>50</v>
          </cell>
          <cell r="M4176" t="str">
            <v>1,41/0,81</v>
          </cell>
          <cell r="N4176">
            <v>65</v>
          </cell>
          <cell r="O4176" t="str">
            <v>155(F)</v>
          </cell>
          <cell r="P4176" t="str">
            <v>270°</v>
          </cell>
          <cell r="Q4176" t="str">
            <v>-</v>
          </cell>
          <cell r="R4176" t="str">
            <v>-</v>
          </cell>
          <cell r="S4176" t="str">
            <v>-</v>
          </cell>
          <cell r="T4176" t="str">
            <v>-</v>
          </cell>
          <cell r="U4176" t="str">
            <v>G</v>
          </cell>
          <cell r="V4176" t="str">
            <v>D</v>
          </cell>
          <cell r="W4176" t="str">
            <v>-</v>
          </cell>
          <cell r="X4176" t="str">
            <v>CLP HC 220 (-25/+60°C)</v>
          </cell>
          <cell r="Y4176" t="str">
            <v>FA37/G/II2GDEDRN71MS4/3GD/KCC/AL</v>
          </cell>
          <cell r="Z4176" t="str">
            <v>SEW</v>
          </cell>
          <cell r="AB4176" t="str">
            <v>ATEX22</v>
          </cell>
          <cell r="AF4176">
            <v>32</v>
          </cell>
          <cell r="AG4176" t="str">
            <v>n/a</v>
          </cell>
          <cell r="AH4176" t="str">
            <v>FA37G-n/a270-X</v>
          </cell>
        </row>
        <row r="4177">
          <cell r="A4177" t="str">
            <v>MR004166</v>
          </cell>
          <cell r="B4177" t="str">
            <v>MR</v>
          </cell>
          <cell r="C4177">
            <v>4</v>
          </cell>
          <cell r="D4177">
            <v>57</v>
          </cell>
          <cell r="E4177" t="str">
            <v>FH77</v>
          </cell>
          <cell r="F4177">
            <v>665</v>
          </cell>
          <cell r="G4177">
            <v>25.54</v>
          </cell>
          <cell r="H4177">
            <v>2</v>
          </cell>
          <cell r="I4177" t="str">
            <v>M1</v>
          </cell>
          <cell r="J4177" t="str">
            <v>IE3</v>
          </cell>
          <cell r="K4177" t="str">
            <v>230/400</v>
          </cell>
          <cell r="L4177">
            <v>50</v>
          </cell>
          <cell r="M4177" t="str">
            <v>14,2/8,2</v>
          </cell>
          <cell r="N4177">
            <v>65</v>
          </cell>
          <cell r="O4177" t="str">
            <v>155(F)</v>
          </cell>
          <cell r="P4177" t="str">
            <v>270°</v>
          </cell>
          <cell r="Q4177" t="str">
            <v>-</v>
          </cell>
          <cell r="R4177" t="str">
            <v>-</v>
          </cell>
          <cell r="S4177" t="str">
            <v>-</v>
          </cell>
          <cell r="T4177" t="str">
            <v>-</v>
          </cell>
          <cell r="U4177" t="str">
            <v>G</v>
          </cell>
          <cell r="V4177" t="str">
            <v>D+R</v>
          </cell>
          <cell r="W4177" t="str">
            <v>-</v>
          </cell>
          <cell r="X4177" t="str">
            <v>CLP HC 220 (-25/+60°C)</v>
          </cell>
          <cell r="Y4177" t="str">
            <v>FH77/G EDRN112M4</v>
          </cell>
          <cell r="Z4177" t="str">
            <v>SEW</v>
          </cell>
          <cell r="AB4177" t="str">
            <v>ATEX22</v>
          </cell>
          <cell r="AF4177">
            <v>57</v>
          </cell>
          <cell r="AG4177" t="str">
            <v>EDRN112M4</v>
          </cell>
          <cell r="AH4177" t="str">
            <v>FH77G-EDRN112M4270-X</v>
          </cell>
        </row>
        <row r="4178">
          <cell r="A4178" t="str">
            <v>MR004167</v>
          </cell>
          <cell r="B4178" t="str">
            <v>MR</v>
          </cell>
          <cell r="C4178">
            <v>4</v>
          </cell>
          <cell r="D4178">
            <v>14</v>
          </cell>
          <cell r="E4178" t="str">
            <v>KH97</v>
          </cell>
          <cell r="F4178">
            <v>2740</v>
          </cell>
          <cell r="G4178">
            <v>105.13</v>
          </cell>
          <cell r="H4178">
            <v>1.55</v>
          </cell>
          <cell r="I4178" t="str">
            <v>From M1A to M2A - 40°</v>
          </cell>
          <cell r="J4178" t="str">
            <v>IE3</v>
          </cell>
          <cell r="K4178" t="str">
            <v>230/400</v>
          </cell>
          <cell r="L4178">
            <v>50</v>
          </cell>
          <cell r="M4178" t="str">
            <v>14,2/8,2</v>
          </cell>
          <cell r="N4178">
            <v>65</v>
          </cell>
          <cell r="O4178" t="str">
            <v>155(F)</v>
          </cell>
          <cell r="P4178" t="str">
            <v>180°</v>
          </cell>
          <cell r="Q4178" t="str">
            <v>-</v>
          </cell>
          <cell r="R4178" t="str">
            <v>-</v>
          </cell>
          <cell r="S4178" t="str">
            <v>-</v>
          </cell>
          <cell r="T4178" t="str">
            <v>-</v>
          </cell>
          <cell r="U4178" t="str">
            <v>-</v>
          </cell>
          <cell r="V4178" t="str">
            <v>SS</v>
          </cell>
          <cell r="W4178" t="str">
            <v>-</v>
          </cell>
          <cell r="X4178" t="str">
            <v>CLP HC 220 (-25/+60°C)</v>
          </cell>
          <cell r="Y4178" t="str">
            <v>KH97EDRN112M4</v>
          </cell>
          <cell r="Z4178" t="str">
            <v>SEW</v>
          </cell>
          <cell r="AB4178" t="str">
            <v>ATEX22</v>
          </cell>
          <cell r="AF4178">
            <v>14</v>
          </cell>
          <cell r="AG4178" t="str">
            <v>EDRN112M4</v>
          </cell>
          <cell r="AH4178" t="str">
            <v>KH97-EDRN112M4A180-X</v>
          </cell>
        </row>
        <row r="4179">
          <cell r="A4179" t="str">
            <v>MR004168</v>
          </cell>
          <cell r="B4179" t="str">
            <v>MR</v>
          </cell>
          <cell r="C4179">
            <v>4</v>
          </cell>
          <cell r="D4179">
            <v>14</v>
          </cell>
          <cell r="E4179" t="str">
            <v>KH97</v>
          </cell>
          <cell r="F4179">
            <v>2740</v>
          </cell>
          <cell r="G4179">
            <v>105.13</v>
          </cell>
          <cell r="H4179">
            <v>1.55</v>
          </cell>
          <cell r="I4179" t="str">
            <v>From M1B to M2B - 40°</v>
          </cell>
          <cell r="J4179" t="str">
            <v>IE3</v>
          </cell>
          <cell r="K4179" t="str">
            <v>230/400</v>
          </cell>
          <cell r="L4179">
            <v>50</v>
          </cell>
          <cell r="M4179" t="str">
            <v>14,2/8,2</v>
          </cell>
          <cell r="N4179">
            <v>65</v>
          </cell>
          <cell r="O4179" t="str">
            <v>155(F)</v>
          </cell>
          <cell r="P4179" t="str">
            <v>0°</v>
          </cell>
          <cell r="Q4179" t="str">
            <v>-</v>
          </cell>
          <cell r="R4179" t="str">
            <v>-</v>
          </cell>
          <cell r="S4179" t="str">
            <v>-</v>
          </cell>
          <cell r="T4179" t="str">
            <v>-</v>
          </cell>
          <cell r="U4179" t="str">
            <v>-</v>
          </cell>
          <cell r="V4179" t="str">
            <v>SS</v>
          </cell>
          <cell r="W4179" t="str">
            <v>-</v>
          </cell>
          <cell r="X4179" t="str">
            <v>CLP HC 220 (-25/+60°C)</v>
          </cell>
          <cell r="Y4179" t="str">
            <v>KH97EDRN112M4</v>
          </cell>
          <cell r="Z4179" t="str">
            <v>SEW</v>
          </cell>
          <cell r="AB4179" t="str">
            <v>ATEX22</v>
          </cell>
          <cell r="AF4179">
            <v>14</v>
          </cell>
          <cell r="AG4179" t="str">
            <v>EDRN112M4</v>
          </cell>
          <cell r="AH4179" t="str">
            <v>KH97-EDRN112M4B0-X</v>
          </cell>
        </row>
        <row r="4180">
          <cell r="A4180" t="str">
            <v>MR004169</v>
          </cell>
          <cell r="B4180" t="str">
            <v>MR</v>
          </cell>
          <cell r="C4180">
            <v>7.5</v>
          </cell>
          <cell r="D4180">
            <v>12</v>
          </cell>
          <cell r="E4180" t="str">
            <v>KH107</v>
          </cell>
          <cell r="F4180">
            <v>5930</v>
          </cell>
          <cell r="G4180">
            <v>121.46</v>
          </cell>
          <cell r="H4180">
            <v>1.32</v>
          </cell>
          <cell r="I4180" t="str">
            <v>From M4B to M3B - 30°</v>
          </cell>
          <cell r="J4180" t="str">
            <v>IE3</v>
          </cell>
          <cell r="K4180" t="str">
            <v>230/400</v>
          </cell>
          <cell r="L4180">
            <v>50</v>
          </cell>
          <cell r="M4180" t="str">
            <v>26,5/15,2</v>
          </cell>
          <cell r="N4180">
            <v>65</v>
          </cell>
          <cell r="O4180" t="str">
            <v>155(F)</v>
          </cell>
          <cell r="P4180" t="str">
            <v>270°</v>
          </cell>
          <cell r="Q4180" t="str">
            <v>TF</v>
          </cell>
          <cell r="R4180" t="str">
            <v>V(VE)</v>
          </cell>
          <cell r="S4180" t="str">
            <v>-</v>
          </cell>
          <cell r="T4180" t="str">
            <v>-</v>
          </cell>
          <cell r="U4180" t="str">
            <v>-</v>
          </cell>
          <cell r="V4180" t="str">
            <v>FC</v>
          </cell>
          <cell r="W4180" t="str">
            <v>-</v>
          </cell>
          <cell r="X4180" t="str">
            <v>CLP HC 220 (-25/+60°C)</v>
          </cell>
          <cell r="Y4180" t="str">
            <v>KH107EDRN132M4 /TF/VE</v>
          </cell>
          <cell r="Z4180" t="str">
            <v>SEW</v>
          </cell>
          <cell r="AB4180" t="str">
            <v>ATEX22</v>
          </cell>
          <cell r="AF4180">
            <v>12</v>
          </cell>
          <cell r="AG4180" t="str">
            <v>EDRN132M4</v>
          </cell>
          <cell r="AH4180" t="str">
            <v>KH107-EDRN132M4B270-X#</v>
          </cell>
        </row>
        <row r="4181">
          <cell r="A4181" t="str">
            <v>MR004170</v>
          </cell>
          <cell r="B4181" t="str">
            <v>MR</v>
          </cell>
          <cell r="C4181">
            <v>5.5</v>
          </cell>
          <cell r="D4181">
            <v>14</v>
          </cell>
          <cell r="E4181" t="str">
            <v>KH97</v>
          </cell>
          <cell r="F4181">
            <v>3780</v>
          </cell>
          <cell r="G4181">
            <v>105.13</v>
          </cell>
          <cell r="H4181">
            <v>1.1000000000000001</v>
          </cell>
          <cell r="I4181" t="str">
            <v>From M1A to M2A - 25°</v>
          </cell>
          <cell r="J4181" t="str">
            <v>IE3</v>
          </cell>
          <cell r="K4181" t="str">
            <v>230/400</v>
          </cell>
          <cell r="L4181">
            <v>50</v>
          </cell>
          <cell r="M4181" t="str">
            <v>18,8/10,9</v>
          </cell>
          <cell r="N4181">
            <v>65</v>
          </cell>
          <cell r="O4181" t="str">
            <v>155(F)</v>
          </cell>
          <cell r="P4181" t="str">
            <v>180°</v>
          </cell>
          <cell r="Q4181" t="str">
            <v>-</v>
          </cell>
          <cell r="R4181" t="str">
            <v>-</v>
          </cell>
          <cell r="S4181" t="str">
            <v>-</v>
          </cell>
          <cell r="T4181" t="str">
            <v>-</v>
          </cell>
          <cell r="U4181" t="str">
            <v>-</v>
          </cell>
          <cell r="V4181" t="str">
            <v>SS</v>
          </cell>
          <cell r="W4181" t="str">
            <v>-</v>
          </cell>
          <cell r="X4181" t="str">
            <v>CLP HC 220 (-25/+60°C)</v>
          </cell>
          <cell r="Y4181" t="str">
            <v>KH97EDRN132S4</v>
          </cell>
          <cell r="Z4181" t="str">
            <v>SEW</v>
          </cell>
          <cell r="AB4181" t="str">
            <v>ATEX22</v>
          </cell>
          <cell r="AF4181">
            <v>14</v>
          </cell>
          <cell r="AG4181" t="str">
            <v>EDRN132S4</v>
          </cell>
          <cell r="AH4181" t="str">
            <v>KH97-EDRN132S4A180-X</v>
          </cell>
        </row>
        <row r="4182">
          <cell r="A4182" t="str">
            <v>MR004171</v>
          </cell>
          <cell r="B4182" t="str">
            <v>MR</v>
          </cell>
          <cell r="C4182">
            <v>3</v>
          </cell>
          <cell r="D4182">
            <v>5.5</v>
          </cell>
          <cell r="E4182" t="str">
            <v>R127</v>
          </cell>
          <cell r="F4182">
            <v>5170</v>
          </cell>
          <cell r="G4182">
            <v>262.64999999999998</v>
          </cell>
          <cell r="H4182">
            <v>1.1499999999999999</v>
          </cell>
          <cell r="I4182" t="str">
            <v>From M1 to M2 - 15°</v>
          </cell>
          <cell r="J4182" t="str">
            <v>IE3</v>
          </cell>
          <cell r="K4182" t="str">
            <v>230/400</v>
          </cell>
          <cell r="L4182">
            <v>50</v>
          </cell>
          <cell r="M4182" t="str">
            <v>11,4/6,6</v>
          </cell>
          <cell r="N4182">
            <v>65</v>
          </cell>
          <cell r="O4182" t="str">
            <v>155(F)</v>
          </cell>
          <cell r="P4182" t="str">
            <v>270°</v>
          </cell>
          <cell r="Q4182" t="str">
            <v>TF</v>
          </cell>
          <cell r="R4182" t="str">
            <v>V(VE)</v>
          </cell>
          <cell r="S4182" t="str">
            <v>-</v>
          </cell>
          <cell r="T4182" t="str">
            <v>-</v>
          </cell>
          <cell r="U4182" t="str">
            <v>-</v>
          </cell>
          <cell r="V4182" t="str">
            <v>FC</v>
          </cell>
          <cell r="W4182" t="str">
            <v>-</v>
          </cell>
          <cell r="X4182" t="str">
            <v>CLP HC 220 (-25/+60°C)</v>
          </cell>
          <cell r="Y4182" t="str">
            <v>R127EDRN100L4 /TF/VE</v>
          </cell>
          <cell r="Z4182" t="str">
            <v>SEW</v>
          </cell>
          <cell r="AB4182" t="str">
            <v>ATEX22</v>
          </cell>
          <cell r="AF4182">
            <v>5.5</v>
          </cell>
          <cell r="AG4182" t="str">
            <v>EDRN100L4</v>
          </cell>
          <cell r="AH4182" t="str">
            <v>R127-EDRN100L4270-X#</v>
          </cell>
        </row>
        <row r="4183">
          <cell r="A4183" t="str">
            <v>MR004172</v>
          </cell>
          <cell r="B4183" t="str">
            <v>MR</v>
          </cell>
          <cell r="C4183">
            <v>9.1999999999999993</v>
          </cell>
          <cell r="D4183">
            <v>76</v>
          </cell>
          <cell r="E4183" t="str">
            <v>FH87</v>
          </cell>
          <cell r="F4183">
            <v>1150</v>
          </cell>
          <cell r="G4183">
            <v>19.309999999999999</v>
          </cell>
          <cell r="H4183">
            <v>2.2000000000000002</v>
          </cell>
          <cell r="I4183" t="str">
            <v>From M1 to M4 - 45°</v>
          </cell>
          <cell r="J4183" t="str">
            <v>IE3</v>
          </cell>
          <cell r="K4183" t="str">
            <v>230/400</v>
          </cell>
          <cell r="L4183">
            <v>50</v>
          </cell>
          <cell r="M4183" t="str">
            <v>32,5/18,7</v>
          </cell>
          <cell r="N4183">
            <v>65</v>
          </cell>
          <cell r="O4183" t="str">
            <v>155(F)</v>
          </cell>
          <cell r="P4183" t="str">
            <v>270°</v>
          </cell>
          <cell r="Q4183" t="str">
            <v>-</v>
          </cell>
          <cell r="R4183" t="str">
            <v>-</v>
          </cell>
          <cell r="S4183" t="str">
            <v>-</v>
          </cell>
          <cell r="T4183" t="str">
            <v>-</v>
          </cell>
          <cell r="U4183" t="str">
            <v>-</v>
          </cell>
          <cell r="V4183" t="str">
            <v>D</v>
          </cell>
          <cell r="W4183" t="str">
            <v>-</v>
          </cell>
          <cell r="X4183" t="str">
            <v>CLP HC 220 (-25/+60°C)</v>
          </cell>
          <cell r="Y4183" t="str">
            <v>FH87EDRN132L4</v>
          </cell>
          <cell r="Z4183" t="str">
            <v>SEW</v>
          </cell>
          <cell r="AB4183" t="str">
            <v>ATEX22</v>
          </cell>
          <cell r="AF4183">
            <v>76</v>
          </cell>
          <cell r="AG4183" t="str">
            <v>EDRN132L4</v>
          </cell>
          <cell r="AH4183" t="str">
            <v>FH87-EDRN132L4270-X</v>
          </cell>
        </row>
        <row r="4184">
          <cell r="A4184" t="str">
            <v>MR004173</v>
          </cell>
          <cell r="B4184" t="str">
            <v>MR</v>
          </cell>
          <cell r="C4184">
            <v>1.1000000000000001</v>
          </cell>
          <cell r="D4184">
            <v>19</v>
          </cell>
          <cell r="E4184" t="str">
            <v>KA67</v>
          </cell>
          <cell r="F4184">
            <v>550</v>
          </cell>
          <cell r="G4184">
            <v>76.37</v>
          </cell>
          <cell r="H4184">
            <v>1.5</v>
          </cell>
          <cell r="I4184" t="str">
            <v>M1B</v>
          </cell>
          <cell r="J4184" t="str">
            <v>IE3</v>
          </cell>
          <cell r="K4184" t="str">
            <v>230/400</v>
          </cell>
          <cell r="L4184">
            <v>50</v>
          </cell>
          <cell r="M4184" t="str">
            <v>4,45/2,55</v>
          </cell>
          <cell r="N4184">
            <v>65</v>
          </cell>
          <cell r="O4184" t="str">
            <v>155(F)</v>
          </cell>
          <cell r="P4184" t="str">
            <v>270°</v>
          </cell>
          <cell r="Q4184" t="str">
            <v>-</v>
          </cell>
          <cell r="R4184" t="str">
            <v>-</v>
          </cell>
          <cell r="S4184" t="str">
            <v>-</v>
          </cell>
          <cell r="T4184" t="str">
            <v>-</v>
          </cell>
          <cell r="U4184" t="str">
            <v>T</v>
          </cell>
          <cell r="V4184" t="str">
            <v>D</v>
          </cell>
          <cell r="W4184" t="str">
            <v>-</v>
          </cell>
          <cell r="X4184" t="str">
            <v>CLP 220 (-15/+40°C)</v>
          </cell>
          <cell r="Y4184" t="str">
            <v>KA67/T DRN90S4</v>
          </cell>
          <cell r="Z4184" t="str">
            <v>SEW</v>
          </cell>
          <cell r="AB4184" t="str">
            <v>-</v>
          </cell>
          <cell r="AF4184">
            <v>19</v>
          </cell>
          <cell r="AG4184" t="str">
            <v>DRN90S4</v>
          </cell>
          <cell r="AH4184" t="str">
            <v>KA67T-DRN90S4B270-X</v>
          </cell>
        </row>
        <row r="4185">
          <cell r="A4185" t="str">
            <v>MR004174</v>
          </cell>
          <cell r="B4185" t="str">
            <v>MR</v>
          </cell>
          <cell r="C4185">
            <v>22</v>
          </cell>
          <cell r="D4185">
            <v>45</v>
          </cell>
          <cell r="E4185" t="str">
            <v>KH107</v>
          </cell>
          <cell r="F4185">
            <v>4640</v>
          </cell>
          <cell r="G4185">
            <v>32.69</v>
          </cell>
          <cell r="H4185">
            <v>1.55</v>
          </cell>
          <cell r="I4185" t="str">
            <v>From M4B to M1B - 20°</v>
          </cell>
          <cell r="J4185" t="str">
            <v>IE3</v>
          </cell>
          <cell r="K4185" t="str">
            <v>240/415</v>
          </cell>
          <cell r="L4185">
            <v>50</v>
          </cell>
          <cell r="M4185" t="str">
            <v>64/37</v>
          </cell>
          <cell r="N4185">
            <v>55</v>
          </cell>
          <cell r="O4185" t="str">
            <v>155(F)</v>
          </cell>
          <cell r="P4185" t="str">
            <v>270°</v>
          </cell>
          <cell r="Q4185" t="str">
            <v>-</v>
          </cell>
          <cell r="R4185" t="str">
            <v>-</v>
          </cell>
          <cell r="S4185" t="str">
            <v>Free rotation CW</v>
          </cell>
          <cell r="T4185" t="str">
            <v>-</v>
          </cell>
          <cell r="U4185" t="str">
            <v>T</v>
          </cell>
          <cell r="V4185" t="str">
            <v>SS</v>
          </cell>
          <cell r="W4185" t="str">
            <v>-</v>
          </cell>
          <cell r="X4185" t="str">
            <v>CLP 220 (-15/+40°C)</v>
          </cell>
          <cell r="Y4185" t="str">
            <v>KH107/T DRN180L4 /RS</v>
          </cell>
          <cell r="Z4185" t="str">
            <v>SEW</v>
          </cell>
          <cell r="AB4185" t="str">
            <v>-</v>
          </cell>
          <cell r="AD4185" t="str">
            <v>BIS</v>
          </cell>
          <cell r="AF4185">
            <v>45</v>
          </cell>
          <cell r="AG4185" t="str">
            <v>DRN180L4</v>
          </cell>
          <cell r="AH4185" t="str">
            <v>KH107T-DRN180L4B270-X</v>
          </cell>
        </row>
        <row r="4186">
          <cell r="A4186" t="str">
            <v>MR004175</v>
          </cell>
          <cell r="B4186" t="str">
            <v>MR</v>
          </cell>
          <cell r="C4186">
            <v>0.75</v>
          </cell>
          <cell r="D4186">
            <v>162</v>
          </cell>
          <cell r="E4186" t="str">
            <v>KA37</v>
          </cell>
          <cell r="F4186">
            <v>44</v>
          </cell>
          <cell r="G4186">
            <v>8.91</v>
          </cell>
          <cell r="H4186">
            <v>3.6</v>
          </cell>
          <cell r="I4186" t="str">
            <v>From M3A to M2A - 20°</v>
          </cell>
          <cell r="J4186" t="str">
            <v>IE3</v>
          </cell>
          <cell r="K4186" t="str">
            <v>240/415</v>
          </cell>
          <cell r="L4186">
            <v>50</v>
          </cell>
          <cell r="M4186" t="str">
            <v>2,9/1,69</v>
          </cell>
          <cell r="N4186">
            <v>55</v>
          </cell>
          <cell r="O4186" t="str">
            <v>155(F)</v>
          </cell>
          <cell r="P4186" t="str">
            <v>180°</v>
          </cell>
          <cell r="Q4186" t="str">
            <v>-</v>
          </cell>
          <cell r="R4186" t="str">
            <v>-</v>
          </cell>
          <cell r="S4186" t="str">
            <v>-</v>
          </cell>
          <cell r="T4186" t="str">
            <v>-</v>
          </cell>
          <cell r="U4186" t="str">
            <v>T</v>
          </cell>
          <cell r="V4186" t="str">
            <v>D</v>
          </cell>
          <cell r="W4186" t="str">
            <v>-</v>
          </cell>
          <cell r="X4186" t="str">
            <v>CLP 220 (-15/+40°C)</v>
          </cell>
          <cell r="Y4186" t="str">
            <v>KA37/T DRN80M4</v>
          </cell>
          <cell r="Z4186" t="str">
            <v>SEW</v>
          </cell>
          <cell r="AB4186" t="str">
            <v>-</v>
          </cell>
          <cell r="AD4186" t="str">
            <v>BIS</v>
          </cell>
          <cell r="AF4186">
            <v>162</v>
          </cell>
          <cell r="AG4186" t="str">
            <v>DRN80M4</v>
          </cell>
          <cell r="AH4186" t="str">
            <v>KA37T-DRN80M4A180-X</v>
          </cell>
        </row>
        <row r="4187">
          <cell r="A4187" t="str">
            <v>MR004176</v>
          </cell>
          <cell r="B4187" t="str">
            <v>MR</v>
          </cell>
          <cell r="C4187">
            <v>22</v>
          </cell>
          <cell r="D4187">
            <v>35</v>
          </cell>
          <cell r="E4187" t="str">
            <v>KH107</v>
          </cell>
          <cell r="F4187">
            <v>6020</v>
          </cell>
          <cell r="G4187">
            <v>42.33</v>
          </cell>
          <cell r="H4187">
            <v>1.2</v>
          </cell>
          <cell r="I4187" t="str">
            <v>M4A</v>
          </cell>
          <cell r="J4187" t="str">
            <v>IE3</v>
          </cell>
          <cell r="K4187" t="str">
            <v>240/415</v>
          </cell>
          <cell r="L4187">
            <v>50</v>
          </cell>
          <cell r="M4187" t="str">
            <v>64/37</v>
          </cell>
          <cell r="N4187">
            <v>55</v>
          </cell>
          <cell r="O4187" t="str">
            <v>155(F)</v>
          </cell>
          <cell r="P4187" t="str">
            <v>270°</v>
          </cell>
          <cell r="Q4187" t="str">
            <v>-</v>
          </cell>
          <cell r="R4187" t="str">
            <v>-</v>
          </cell>
          <cell r="S4187" t="str">
            <v>-</v>
          </cell>
          <cell r="T4187" t="str">
            <v>-</v>
          </cell>
          <cell r="U4187" t="str">
            <v>T</v>
          </cell>
          <cell r="V4187" t="str">
            <v>SS</v>
          </cell>
          <cell r="W4187" t="str">
            <v>-</v>
          </cell>
          <cell r="X4187" t="str">
            <v>CLP 220 (-15/+40°C)</v>
          </cell>
          <cell r="Y4187" t="str">
            <v>KH107/T DRN180L4</v>
          </cell>
          <cell r="Z4187" t="str">
            <v>SEW</v>
          </cell>
          <cell r="AB4187" t="str">
            <v>-</v>
          </cell>
          <cell r="AD4187" t="str">
            <v>BIS</v>
          </cell>
          <cell r="AF4187">
            <v>35</v>
          </cell>
          <cell r="AG4187" t="str">
            <v>DRN180L4</v>
          </cell>
          <cell r="AH4187" t="str">
            <v>KH107T-DRN180L4A270-X</v>
          </cell>
        </row>
        <row r="4188">
          <cell r="A4188" t="str">
            <v>MR004177</v>
          </cell>
          <cell r="B4188" t="str">
            <v>MR</v>
          </cell>
          <cell r="C4188">
            <v>0.75</v>
          </cell>
          <cell r="D4188">
            <v>162</v>
          </cell>
          <cell r="E4188" t="str">
            <v>KA37</v>
          </cell>
          <cell r="F4188">
            <v>44</v>
          </cell>
          <cell r="G4188">
            <v>8.91</v>
          </cell>
          <cell r="H4188">
            <v>3.6</v>
          </cell>
          <cell r="I4188" t="str">
            <v>M1B</v>
          </cell>
          <cell r="J4188" t="str">
            <v>IE3</v>
          </cell>
          <cell r="K4188" t="str">
            <v>240/415</v>
          </cell>
          <cell r="L4188">
            <v>50</v>
          </cell>
          <cell r="M4188" t="str">
            <v>2,9/1,69</v>
          </cell>
          <cell r="N4188">
            <v>55</v>
          </cell>
          <cell r="O4188" t="str">
            <v>155(F)</v>
          </cell>
          <cell r="P4188" t="str">
            <v>0°</v>
          </cell>
          <cell r="Q4188" t="str">
            <v>-</v>
          </cell>
          <cell r="R4188" t="str">
            <v>-</v>
          </cell>
          <cell r="S4188" t="str">
            <v>-</v>
          </cell>
          <cell r="T4188" t="str">
            <v>-</v>
          </cell>
          <cell r="U4188" t="str">
            <v>T</v>
          </cell>
          <cell r="V4188" t="str">
            <v>D</v>
          </cell>
          <cell r="W4188" t="str">
            <v>-</v>
          </cell>
          <cell r="X4188" t="str">
            <v>CLP 220 (-15/+40°C)</v>
          </cell>
          <cell r="Y4188" t="str">
            <v>KA37/T DRN80M4</v>
          </cell>
          <cell r="Z4188" t="str">
            <v>SEW</v>
          </cell>
          <cell r="AB4188" t="str">
            <v>-</v>
          </cell>
          <cell r="AD4188" t="str">
            <v>BIS</v>
          </cell>
          <cell r="AF4188">
            <v>162</v>
          </cell>
          <cell r="AG4188" t="str">
            <v>DRN80M4</v>
          </cell>
          <cell r="AH4188" t="str">
            <v>KA37T-DRN80M4B0-X</v>
          </cell>
        </row>
        <row r="4189">
          <cell r="A4189" t="str">
            <v>MR004178</v>
          </cell>
          <cell r="B4189" t="str">
            <v>MR</v>
          </cell>
          <cell r="C4189">
            <v>1.1000000000000001</v>
          </cell>
          <cell r="D4189">
            <v>7.3</v>
          </cell>
          <cell r="E4189" t="str">
            <v>FV77</v>
          </cell>
          <cell r="F4189">
            <v>1430</v>
          </cell>
          <cell r="G4189">
            <v>198.31</v>
          </cell>
          <cell r="H4189">
            <v>1.05</v>
          </cell>
          <cell r="I4189" t="str">
            <v>M5</v>
          </cell>
          <cell r="J4189" t="str">
            <v>IE3</v>
          </cell>
          <cell r="K4189" t="str">
            <v>240/415</v>
          </cell>
          <cell r="L4189">
            <v>50</v>
          </cell>
          <cell r="M4189" t="str">
            <v>4,25/2,45</v>
          </cell>
          <cell r="N4189">
            <v>55</v>
          </cell>
          <cell r="O4189" t="str">
            <v>155(F)</v>
          </cell>
          <cell r="P4189" t="str">
            <v>180°</v>
          </cell>
          <cell r="Q4189" t="str">
            <v>TF</v>
          </cell>
          <cell r="R4189" t="str">
            <v>V(VE)</v>
          </cell>
          <cell r="S4189" t="str">
            <v>-</v>
          </cell>
          <cell r="T4189" t="str">
            <v>BEHF</v>
          </cell>
          <cell r="U4189" t="str">
            <v>G</v>
          </cell>
          <cell r="V4189" t="str">
            <v>FC+R</v>
          </cell>
          <cell r="W4189" t="str">
            <v>-</v>
          </cell>
          <cell r="X4189" t="str">
            <v>CLP 220 (-15/+40°C)</v>
          </cell>
          <cell r="Y4189" t="str">
            <v>FV77/G DRN90S4 /BEHF /TF/V</v>
          </cell>
          <cell r="Z4189" t="str">
            <v>SEW</v>
          </cell>
          <cell r="AB4189" t="str">
            <v>-</v>
          </cell>
          <cell r="AD4189" t="str">
            <v>BIS</v>
          </cell>
          <cell r="AE4189" t="str">
            <v>BROCCIATURA PER FV67-DIN 5480N45x2x30x21xH9 - RADDRIZZATORE TIPO "BME"</v>
          </cell>
          <cell r="AF4189">
            <v>7.3</v>
          </cell>
          <cell r="AG4189" t="str">
            <v>DRN90S4</v>
          </cell>
          <cell r="AH4189" t="str">
            <v>FV77G-DRN90S4180-X#</v>
          </cell>
        </row>
        <row r="4190">
          <cell r="A4190" t="str">
            <v>MR004179</v>
          </cell>
          <cell r="B4190" t="str">
            <v>MR</v>
          </cell>
          <cell r="C4190">
            <v>1.1000000000000001</v>
          </cell>
          <cell r="D4190">
            <v>7.3</v>
          </cell>
          <cell r="E4190" t="str">
            <v>FV77</v>
          </cell>
          <cell r="F4190">
            <v>1430</v>
          </cell>
          <cell r="G4190">
            <v>198.31</v>
          </cell>
          <cell r="H4190">
            <v>1.05</v>
          </cell>
          <cell r="I4190" t="str">
            <v>M6</v>
          </cell>
          <cell r="J4190" t="str">
            <v>IE3</v>
          </cell>
          <cell r="K4190" t="str">
            <v>240/415</v>
          </cell>
          <cell r="L4190">
            <v>50</v>
          </cell>
          <cell r="M4190" t="str">
            <v>4,25/2,45</v>
          </cell>
          <cell r="N4190">
            <v>55</v>
          </cell>
          <cell r="O4190" t="str">
            <v>155(F)</v>
          </cell>
          <cell r="P4190" t="str">
            <v>0°</v>
          </cell>
          <cell r="Q4190" t="str">
            <v>TF</v>
          </cell>
          <cell r="R4190" t="str">
            <v>V(VE)</v>
          </cell>
          <cell r="S4190" t="str">
            <v>-</v>
          </cell>
          <cell r="T4190" t="str">
            <v>BEHF</v>
          </cell>
          <cell r="U4190" t="str">
            <v>G</v>
          </cell>
          <cell r="V4190" t="str">
            <v>FC+R</v>
          </cell>
          <cell r="W4190" t="str">
            <v>-</v>
          </cell>
          <cell r="X4190" t="str">
            <v>CLP 220 (-15/+40°C)</v>
          </cell>
          <cell r="Y4190" t="str">
            <v>FV77/G DRN90S4 /BEHF /TF/V</v>
          </cell>
          <cell r="Z4190" t="str">
            <v>SEW</v>
          </cell>
          <cell r="AB4190" t="str">
            <v>-</v>
          </cell>
          <cell r="AD4190" t="str">
            <v>BIS</v>
          </cell>
          <cell r="AE4190" t="str">
            <v>BROCCIATURA PER FV67-DIN 5480N45x2x30x21xH9 - RADDRIZZATORE TIPO "BME"</v>
          </cell>
          <cell r="AF4190">
            <v>7.3</v>
          </cell>
          <cell r="AG4190" t="str">
            <v>DRN90S4</v>
          </cell>
          <cell r="AH4190" t="str">
            <v>FV77G-DRN90S40-X#</v>
          </cell>
        </row>
        <row r="4191">
          <cell r="A4191" t="str">
            <v>MR004180</v>
          </cell>
          <cell r="B4191" t="str">
            <v>MR</v>
          </cell>
          <cell r="C4191">
            <v>4</v>
          </cell>
          <cell r="D4191">
            <v>138</v>
          </cell>
          <cell r="E4191" t="str">
            <v>KH67</v>
          </cell>
          <cell r="F4191">
            <v>275</v>
          </cell>
          <cell r="G4191">
            <v>10.63</v>
          </cell>
          <cell r="H4191">
            <v>1.8</v>
          </cell>
          <cell r="I4191" t="str">
            <v>M4B</v>
          </cell>
          <cell r="J4191" t="str">
            <v>IE3</v>
          </cell>
          <cell r="K4191" t="str">
            <v>240/415</v>
          </cell>
          <cell r="L4191">
            <v>50</v>
          </cell>
          <cell r="M4191" t="str">
            <v>13,2/7,6</v>
          </cell>
          <cell r="N4191">
            <v>55</v>
          </cell>
          <cell r="O4191" t="str">
            <v>155(F)</v>
          </cell>
          <cell r="P4191" t="str">
            <v>270°</v>
          </cell>
          <cell r="Q4191" t="str">
            <v>-</v>
          </cell>
          <cell r="R4191" t="str">
            <v>-</v>
          </cell>
          <cell r="S4191" t="str">
            <v>-</v>
          </cell>
          <cell r="T4191" t="str">
            <v>-</v>
          </cell>
          <cell r="U4191" t="str">
            <v>T</v>
          </cell>
          <cell r="V4191" t="str">
            <v>D+R</v>
          </cell>
          <cell r="W4191" t="str">
            <v>-</v>
          </cell>
          <cell r="X4191" t="str">
            <v>CLP 220 (-15/+40°C)</v>
          </cell>
          <cell r="Y4191" t="str">
            <v>KH67/T DRN112M4</v>
          </cell>
          <cell r="Z4191" t="str">
            <v>SEW</v>
          </cell>
          <cell r="AB4191" t="str">
            <v>-</v>
          </cell>
          <cell r="AD4191" t="str">
            <v>BIS</v>
          </cell>
          <cell r="AF4191">
            <v>138</v>
          </cell>
          <cell r="AG4191" t="str">
            <v>DRN112M4</v>
          </cell>
          <cell r="AH4191" t="str">
            <v>KH67T-DRN112M4B270-X</v>
          </cell>
        </row>
        <row r="4192">
          <cell r="A4192" t="str">
            <v>MR004181</v>
          </cell>
          <cell r="B4192" t="str">
            <v>MR</v>
          </cell>
          <cell r="C4192">
            <v>9.1999999999999993</v>
          </cell>
          <cell r="D4192">
            <v>59</v>
          </cell>
          <cell r="E4192" t="str">
            <v>KH87</v>
          </cell>
          <cell r="F4192">
            <v>1480</v>
          </cell>
          <cell r="G4192">
            <v>24.92</v>
          </cell>
          <cell r="H4192">
            <v>1.7</v>
          </cell>
          <cell r="I4192" t="str">
            <v>From M4A to M1A - 20°</v>
          </cell>
          <cell r="J4192" t="str">
            <v>IE3</v>
          </cell>
          <cell r="K4192" t="str">
            <v>240/415</v>
          </cell>
          <cell r="L4192">
            <v>50</v>
          </cell>
          <cell r="M4192" t="str">
            <v>31/18</v>
          </cell>
          <cell r="N4192">
            <v>55</v>
          </cell>
          <cell r="O4192" t="str">
            <v>155(F)</v>
          </cell>
          <cell r="P4192" t="str">
            <v>270°</v>
          </cell>
          <cell r="Q4192" t="str">
            <v>-</v>
          </cell>
          <cell r="R4192" t="str">
            <v>-</v>
          </cell>
          <cell r="S4192" t="str">
            <v>Free rotation CCW</v>
          </cell>
          <cell r="T4192" t="str">
            <v>-</v>
          </cell>
          <cell r="U4192" t="str">
            <v>T</v>
          </cell>
          <cell r="V4192" t="str">
            <v>SS</v>
          </cell>
          <cell r="W4192" t="str">
            <v>-</v>
          </cell>
          <cell r="X4192" t="str">
            <v>CLP 220 (-15/+40°C)</v>
          </cell>
          <cell r="Y4192" t="str">
            <v>KH87/T DRN132L4 /RS</v>
          </cell>
          <cell r="Z4192" t="str">
            <v>SEW</v>
          </cell>
          <cell r="AB4192" t="str">
            <v>-</v>
          </cell>
          <cell r="AD4192" t="str">
            <v>BIS</v>
          </cell>
          <cell r="AF4192">
            <v>59</v>
          </cell>
          <cell r="AG4192" t="str">
            <v>DRN132L4</v>
          </cell>
          <cell r="AH4192" t="str">
            <v>KH87T-DRN132L4A270-X</v>
          </cell>
        </row>
        <row r="4193">
          <cell r="A4193" t="str">
            <v>MR004182</v>
          </cell>
          <cell r="B4193" t="str">
            <v>MR</v>
          </cell>
          <cell r="C4193">
            <v>9.1999999999999993</v>
          </cell>
          <cell r="D4193">
            <v>59</v>
          </cell>
          <cell r="E4193" t="str">
            <v>KH87</v>
          </cell>
          <cell r="F4193">
            <v>1480</v>
          </cell>
          <cell r="G4193">
            <v>24.92</v>
          </cell>
          <cell r="H4193">
            <v>1.7</v>
          </cell>
          <cell r="I4193" t="str">
            <v>M4B</v>
          </cell>
          <cell r="J4193" t="str">
            <v>IE3</v>
          </cell>
          <cell r="K4193" t="str">
            <v>240/415</v>
          </cell>
          <cell r="L4193">
            <v>50</v>
          </cell>
          <cell r="M4193" t="str">
            <v>31/18</v>
          </cell>
          <cell r="N4193">
            <v>55</v>
          </cell>
          <cell r="O4193" t="str">
            <v>155(F)</v>
          </cell>
          <cell r="P4193" t="str">
            <v>270°</v>
          </cell>
          <cell r="Q4193" t="str">
            <v>-</v>
          </cell>
          <cell r="R4193" t="str">
            <v>-</v>
          </cell>
          <cell r="S4193" t="str">
            <v>-</v>
          </cell>
          <cell r="T4193" t="str">
            <v>-</v>
          </cell>
          <cell r="U4193" t="str">
            <v>T</v>
          </cell>
          <cell r="V4193" t="str">
            <v>SS</v>
          </cell>
          <cell r="W4193" t="str">
            <v>-</v>
          </cell>
          <cell r="X4193" t="str">
            <v>CLP 220 (-15/+40°C)</v>
          </cell>
          <cell r="Y4193" t="str">
            <v>KH87/T DRN132L4</v>
          </cell>
          <cell r="Z4193" t="str">
            <v>SEW</v>
          </cell>
          <cell r="AB4193" t="str">
            <v>-</v>
          </cell>
          <cell r="AD4193" t="str">
            <v>BIS</v>
          </cell>
          <cell r="AF4193">
            <v>59</v>
          </cell>
          <cell r="AG4193" t="str">
            <v>DRN132L4</v>
          </cell>
          <cell r="AH4193" t="str">
            <v>KH87T-DRN132L4B270-X</v>
          </cell>
        </row>
        <row r="4194">
          <cell r="A4194" t="str">
            <v>MR004183</v>
          </cell>
          <cell r="B4194" t="str">
            <v>MR</v>
          </cell>
          <cell r="C4194">
            <v>0.75</v>
          </cell>
          <cell r="D4194">
            <v>162</v>
          </cell>
          <cell r="E4194" t="str">
            <v>KA37</v>
          </cell>
          <cell r="F4194">
            <v>44</v>
          </cell>
          <cell r="G4194">
            <v>8.91</v>
          </cell>
          <cell r="H4194">
            <v>3.6</v>
          </cell>
          <cell r="I4194" t="str">
            <v>From M3A to M4A - 20°</v>
          </cell>
          <cell r="J4194" t="str">
            <v>IE3</v>
          </cell>
          <cell r="K4194" t="str">
            <v>240/415</v>
          </cell>
          <cell r="L4194">
            <v>50</v>
          </cell>
          <cell r="M4194" t="str">
            <v>2,9/1,69</v>
          </cell>
          <cell r="N4194">
            <v>55</v>
          </cell>
          <cell r="O4194" t="str">
            <v>155(F)</v>
          </cell>
          <cell r="P4194" t="str">
            <v>180°</v>
          </cell>
          <cell r="Q4194" t="str">
            <v>-</v>
          </cell>
          <cell r="R4194" t="str">
            <v>-</v>
          </cell>
          <cell r="S4194" t="str">
            <v>-</v>
          </cell>
          <cell r="T4194" t="str">
            <v>-</v>
          </cell>
          <cell r="U4194" t="str">
            <v>T</v>
          </cell>
          <cell r="V4194" t="str">
            <v>D</v>
          </cell>
          <cell r="W4194" t="str">
            <v>-</v>
          </cell>
          <cell r="X4194" t="str">
            <v>CLP 220 (-15/+40°C)</v>
          </cell>
          <cell r="Y4194" t="str">
            <v>KA37/T DRN80M4</v>
          </cell>
          <cell r="Z4194" t="str">
            <v>SEW</v>
          </cell>
          <cell r="AB4194" t="str">
            <v>-</v>
          </cell>
          <cell r="AD4194" t="str">
            <v>BIS</v>
          </cell>
          <cell r="AF4194">
            <v>162</v>
          </cell>
          <cell r="AG4194" t="str">
            <v>DRN80M4</v>
          </cell>
          <cell r="AH4194" t="str">
            <v>KA37T-DRN80M4A180-X</v>
          </cell>
        </row>
        <row r="4195">
          <cell r="A4195" t="str">
            <v>MR004184</v>
          </cell>
          <cell r="B4195" t="str">
            <v>MR</v>
          </cell>
          <cell r="C4195">
            <v>7.5</v>
          </cell>
          <cell r="D4195">
            <v>57</v>
          </cell>
          <cell r="E4195" t="str">
            <v>KH77</v>
          </cell>
          <cell r="F4195">
            <v>1240</v>
          </cell>
          <cell r="G4195">
            <v>25.62</v>
          </cell>
          <cell r="H4195">
            <v>1.25</v>
          </cell>
          <cell r="I4195" t="str">
            <v>M4A</v>
          </cell>
          <cell r="J4195" t="str">
            <v>IE3</v>
          </cell>
          <cell r="K4195" t="str">
            <v>240/415</v>
          </cell>
          <cell r="L4195">
            <v>50</v>
          </cell>
          <cell r="M4195" t="str">
            <v>25,5/14,7</v>
          </cell>
          <cell r="N4195">
            <v>55</v>
          </cell>
          <cell r="O4195" t="str">
            <v>155(F)</v>
          </cell>
          <cell r="P4195" t="str">
            <v>270°</v>
          </cell>
          <cell r="Q4195" t="str">
            <v>-</v>
          </cell>
          <cell r="R4195" t="str">
            <v>-</v>
          </cell>
          <cell r="S4195" t="str">
            <v>-</v>
          </cell>
          <cell r="T4195" t="str">
            <v>-</v>
          </cell>
          <cell r="U4195" t="str">
            <v>T</v>
          </cell>
          <cell r="V4195" t="str">
            <v>SS</v>
          </cell>
          <cell r="W4195" t="str">
            <v>-</v>
          </cell>
          <cell r="X4195" t="str">
            <v>CLP 220 (-15/+40°C)</v>
          </cell>
          <cell r="Y4195" t="str">
            <v>KH77/T DRN132M4</v>
          </cell>
          <cell r="Z4195" t="str">
            <v>SEW</v>
          </cell>
          <cell r="AB4195" t="str">
            <v>-</v>
          </cell>
          <cell r="AD4195" t="str">
            <v>BIS</v>
          </cell>
          <cell r="AF4195">
            <v>57</v>
          </cell>
          <cell r="AG4195" t="str">
            <v>DRN132M4</v>
          </cell>
          <cell r="AH4195" t="str">
            <v>KH77T-DRN132M4A270-X</v>
          </cell>
        </row>
        <row r="4196">
          <cell r="A4196" t="str">
            <v>MR004185</v>
          </cell>
          <cell r="B4196" t="str">
            <v>MR</v>
          </cell>
          <cell r="C4196">
            <v>0.75</v>
          </cell>
          <cell r="D4196">
            <v>162</v>
          </cell>
          <cell r="E4196" t="str">
            <v>KA37</v>
          </cell>
          <cell r="F4196">
            <v>44</v>
          </cell>
          <cell r="G4196">
            <v>8.91</v>
          </cell>
          <cell r="H4196">
            <v>3.6</v>
          </cell>
          <cell r="I4196" t="str">
            <v>M3A</v>
          </cell>
          <cell r="J4196" t="str">
            <v>IE3</v>
          </cell>
          <cell r="K4196" t="str">
            <v>240/415</v>
          </cell>
          <cell r="L4196">
            <v>50</v>
          </cell>
          <cell r="M4196" t="str">
            <v>2,9/1,69</v>
          </cell>
          <cell r="N4196">
            <v>55</v>
          </cell>
          <cell r="O4196" t="str">
            <v>155(F)</v>
          </cell>
          <cell r="P4196" t="str">
            <v>180°</v>
          </cell>
          <cell r="Q4196" t="str">
            <v>-</v>
          </cell>
          <cell r="R4196" t="str">
            <v>-</v>
          </cell>
          <cell r="S4196" t="str">
            <v>-</v>
          </cell>
          <cell r="T4196" t="str">
            <v>-</v>
          </cell>
          <cell r="U4196" t="str">
            <v>T</v>
          </cell>
          <cell r="V4196" t="str">
            <v>D</v>
          </cell>
          <cell r="W4196" t="str">
            <v>-</v>
          </cell>
          <cell r="X4196" t="str">
            <v>CLP 220 (-15/+40°C)</v>
          </cell>
          <cell r="Y4196" t="str">
            <v>KA37/T DRN80M4</v>
          </cell>
          <cell r="Z4196" t="str">
            <v>SEW</v>
          </cell>
          <cell r="AB4196" t="str">
            <v>-</v>
          </cell>
          <cell r="AD4196" t="str">
            <v>BIS</v>
          </cell>
          <cell r="AF4196">
            <v>162</v>
          </cell>
          <cell r="AG4196" t="str">
            <v>DRN80M4</v>
          </cell>
          <cell r="AH4196" t="str">
            <v>KA37T-DRN80M4A180-X</v>
          </cell>
        </row>
        <row r="4197">
          <cell r="A4197" t="str">
            <v>MR004186</v>
          </cell>
          <cell r="B4197" t="str">
            <v>MR</v>
          </cell>
          <cell r="C4197">
            <v>18.5</v>
          </cell>
          <cell r="D4197">
            <v>12</v>
          </cell>
          <cell r="E4197" t="str">
            <v>KH157</v>
          </cell>
          <cell r="F4197">
            <v>14600</v>
          </cell>
          <cell r="G4197">
            <v>122.39</v>
          </cell>
          <cell r="H4197">
            <v>1.35</v>
          </cell>
          <cell r="I4197" t="str">
            <v>From M4A to M1A - 30°</v>
          </cell>
          <cell r="J4197" t="str">
            <v>IE3</v>
          </cell>
          <cell r="K4197" t="str">
            <v>240/415</v>
          </cell>
          <cell r="L4197">
            <v>50</v>
          </cell>
          <cell r="M4197" t="str">
            <v>55/32</v>
          </cell>
          <cell r="N4197">
            <v>55</v>
          </cell>
          <cell r="O4197" t="str">
            <v>155(F)</v>
          </cell>
          <cell r="P4197" t="str">
            <v>270°</v>
          </cell>
          <cell r="Q4197" t="str">
            <v>-</v>
          </cell>
          <cell r="R4197" t="str">
            <v>-</v>
          </cell>
          <cell r="S4197" t="str">
            <v>-</v>
          </cell>
          <cell r="T4197" t="str">
            <v>-</v>
          </cell>
          <cell r="U4197" t="str">
            <v>-</v>
          </cell>
          <cell r="V4197" t="str">
            <v>SS</v>
          </cell>
          <cell r="W4197" t="str">
            <v>-</v>
          </cell>
          <cell r="X4197" t="str">
            <v>CLP 220 (-15/+40°C)</v>
          </cell>
          <cell r="Y4197" t="str">
            <v>KH157DRN180M4</v>
          </cell>
          <cell r="Z4197" t="str">
            <v>SEW</v>
          </cell>
          <cell r="AB4197" t="str">
            <v>-</v>
          </cell>
          <cell r="AD4197" t="str">
            <v>BIS</v>
          </cell>
          <cell r="AF4197">
            <v>12</v>
          </cell>
          <cell r="AG4197" t="str">
            <v>DRN180M4</v>
          </cell>
          <cell r="AH4197" t="str">
            <v>KH157-DRN180M4A270-X</v>
          </cell>
        </row>
        <row r="4198">
          <cell r="A4198" t="str">
            <v>MR004187</v>
          </cell>
          <cell r="B4198" t="str">
            <v>MR</v>
          </cell>
          <cell r="C4198">
            <v>18.5</v>
          </cell>
          <cell r="D4198">
            <v>12</v>
          </cell>
          <cell r="E4198" t="str">
            <v>KH157</v>
          </cell>
          <cell r="F4198">
            <v>14600</v>
          </cell>
          <cell r="G4198">
            <v>122.39</v>
          </cell>
          <cell r="H4198">
            <v>1.35</v>
          </cell>
          <cell r="I4198" t="str">
            <v>From M4B to M1B - 30°</v>
          </cell>
          <cell r="J4198" t="str">
            <v>IE3</v>
          </cell>
          <cell r="K4198" t="str">
            <v>240/415</v>
          </cell>
          <cell r="L4198">
            <v>50</v>
          </cell>
          <cell r="M4198" t="str">
            <v>55/32</v>
          </cell>
          <cell r="N4198">
            <v>55</v>
          </cell>
          <cell r="O4198" t="str">
            <v>155(F)</v>
          </cell>
          <cell r="P4198" t="str">
            <v>270°</v>
          </cell>
          <cell r="Q4198" t="str">
            <v>-</v>
          </cell>
          <cell r="R4198" t="str">
            <v>-</v>
          </cell>
          <cell r="S4198" t="str">
            <v>-</v>
          </cell>
          <cell r="T4198" t="str">
            <v>-</v>
          </cell>
          <cell r="U4198" t="str">
            <v>-</v>
          </cell>
          <cell r="V4198" t="str">
            <v>SS</v>
          </cell>
          <cell r="W4198" t="str">
            <v>-</v>
          </cell>
          <cell r="X4198" t="str">
            <v>CLP 220 (-15/+40°C)</v>
          </cell>
          <cell r="Y4198" t="str">
            <v>KH157DRN180M4</v>
          </cell>
          <cell r="Z4198" t="str">
            <v>SEW</v>
          </cell>
          <cell r="AB4198" t="str">
            <v>-</v>
          </cell>
          <cell r="AD4198" t="str">
            <v>BIS</v>
          </cell>
          <cell r="AF4198">
            <v>12</v>
          </cell>
          <cell r="AG4198" t="str">
            <v>DRN180M4</v>
          </cell>
          <cell r="AH4198" t="str">
            <v>KH157-DRN180M4B270-X</v>
          </cell>
        </row>
        <row r="4199">
          <cell r="A4199" t="str">
            <v>MR004188</v>
          </cell>
          <cell r="B4199" t="str">
            <v>MR</v>
          </cell>
          <cell r="C4199">
            <v>5.5</v>
          </cell>
          <cell r="D4199">
            <v>50</v>
          </cell>
          <cell r="E4199" t="str">
            <v>KH77</v>
          </cell>
          <cell r="F4199">
            <v>1050</v>
          </cell>
          <cell r="G4199">
            <v>29.27</v>
          </cell>
          <cell r="H4199">
            <v>1.45</v>
          </cell>
          <cell r="I4199" t="str">
            <v>From M4A to M1A - 10°</v>
          </cell>
          <cell r="J4199" t="str">
            <v>IE3</v>
          </cell>
          <cell r="K4199" t="str">
            <v>240/415</v>
          </cell>
          <cell r="L4199">
            <v>50</v>
          </cell>
          <cell r="M4199" t="str">
            <v>17,4/10,1</v>
          </cell>
          <cell r="N4199">
            <v>55</v>
          </cell>
          <cell r="O4199" t="str">
            <v>155(F)</v>
          </cell>
          <cell r="P4199" t="str">
            <v>270°</v>
          </cell>
          <cell r="Q4199" t="str">
            <v>-</v>
          </cell>
          <cell r="R4199" t="str">
            <v>-</v>
          </cell>
          <cell r="S4199" t="str">
            <v>Free rotation CCW</v>
          </cell>
          <cell r="T4199" t="str">
            <v>-</v>
          </cell>
          <cell r="U4199" t="str">
            <v>T</v>
          </cell>
          <cell r="V4199" t="str">
            <v>SS</v>
          </cell>
          <cell r="W4199" t="str">
            <v>-</v>
          </cell>
          <cell r="X4199" t="str">
            <v>CLP 220 (-15/+40°C)</v>
          </cell>
          <cell r="Y4199" t="str">
            <v>KH77/T DRN132S4 /RS</v>
          </cell>
          <cell r="Z4199" t="str">
            <v>SEW</v>
          </cell>
          <cell r="AB4199" t="str">
            <v>-</v>
          </cell>
          <cell r="AD4199" t="str">
            <v>BIS</v>
          </cell>
          <cell r="AF4199">
            <v>50</v>
          </cell>
          <cell r="AG4199" t="str">
            <v>DRN132S4</v>
          </cell>
          <cell r="AH4199" t="str">
            <v>KH77T-DRN132S4A270-X</v>
          </cell>
        </row>
        <row r="4200">
          <cell r="A4200" t="str">
            <v>MR004189</v>
          </cell>
          <cell r="B4200" t="str">
            <v>MR</v>
          </cell>
          <cell r="C4200">
            <v>0.75</v>
          </cell>
          <cell r="D4200">
            <v>162</v>
          </cell>
          <cell r="E4200" t="str">
            <v>KA37</v>
          </cell>
          <cell r="F4200">
            <v>44</v>
          </cell>
          <cell r="G4200">
            <v>8.91</v>
          </cell>
          <cell r="H4200">
            <v>3.6</v>
          </cell>
          <cell r="I4200" t="str">
            <v>From M3A to M4A - 10°</v>
          </cell>
          <cell r="J4200" t="str">
            <v>IE3</v>
          </cell>
          <cell r="K4200" t="str">
            <v>240/415</v>
          </cell>
          <cell r="L4200">
            <v>50</v>
          </cell>
          <cell r="M4200" t="str">
            <v>2,9/1,69</v>
          </cell>
          <cell r="N4200">
            <v>55</v>
          </cell>
          <cell r="O4200" t="str">
            <v>155(F)</v>
          </cell>
          <cell r="P4200" t="str">
            <v>180°</v>
          </cell>
          <cell r="Q4200" t="str">
            <v>-</v>
          </cell>
          <cell r="R4200" t="str">
            <v>-</v>
          </cell>
          <cell r="S4200" t="str">
            <v>-</v>
          </cell>
          <cell r="T4200" t="str">
            <v>-</v>
          </cell>
          <cell r="U4200" t="str">
            <v>T</v>
          </cell>
          <cell r="V4200" t="str">
            <v>D</v>
          </cell>
          <cell r="W4200" t="str">
            <v>-</v>
          </cell>
          <cell r="X4200" t="str">
            <v>CLP 220 (-15/+40°C)</v>
          </cell>
          <cell r="Y4200" t="str">
            <v>KA37/T DRN80M4</v>
          </cell>
          <cell r="Z4200" t="str">
            <v>SEW</v>
          </cell>
          <cell r="AB4200" t="str">
            <v>-</v>
          </cell>
          <cell r="AD4200" t="str">
            <v>BIS</v>
          </cell>
          <cell r="AF4200">
            <v>162</v>
          </cell>
          <cell r="AG4200" t="str">
            <v>DRN80M4</v>
          </cell>
          <cell r="AH4200" t="str">
            <v>KA37T-DRN80M4A180-X</v>
          </cell>
        </row>
        <row r="4201">
          <cell r="A4201" t="str">
            <v>MR004190</v>
          </cell>
          <cell r="B4201" t="str">
            <v>MR</v>
          </cell>
          <cell r="C4201">
            <v>2.2000000000000002</v>
          </cell>
          <cell r="D4201">
            <v>62</v>
          </cell>
          <cell r="E4201" t="str">
            <v>R77</v>
          </cell>
          <cell r="F4201">
            <v>335</v>
          </cell>
          <cell r="G4201">
            <v>23.37</v>
          </cell>
          <cell r="H4201">
            <v>2.4</v>
          </cell>
          <cell r="I4201" t="str">
            <v>M1</v>
          </cell>
          <cell r="J4201" t="str">
            <v>IE3</v>
          </cell>
          <cell r="K4201" t="str">
            <v>240/415</v>
          </cell>
          <cell r="L4201">
            <v>50</v>
          </cell>
          <cell r="M4201" t="str">
            <v>8/4,6</v>
          </cell>
          <cell r="N4201">
            <v>55</v>
          </cell>
          <cell r="O4201" t="str">
            <v>155(F)</v>
          </cell>
          <cell r="P4201" t="str">
            <v>270°</v>
          </cell>
          <cell r="Q4201" t="str">
            <v>TF</v>
          </cell>
          <cell r="R4201" t="str">
            <v>V(VE)</v>
          </cell>
          <cell r="S4201" t="str">
            <v>-</v>
          </cell>
          <cell r="T4201" t="str">
            <v>-</v>
          </cell>
          <cell r="U4201" t="str">
            <v>-</v>
          </cell>
          <cell r="V4201" t="str">
            <v>FC</v>
          </cell>
          <cell r="W4201" t="str">
            <v>-</v>
          </cell>
          <cell r="X4201" t="str">
            <v>CLP 220 (-15/+40°C)</v>
          </cell>
          <cell r="Y4201" t="str">
            <v>R77DRN100LS4 /TF/V</v>
          </cell>
          <cell r="Z4201" t="str">
            <v>SEW</v>
          </cell>
          <cell r="AB4201" t="str">
            <v>-</v>
          </cell>
          <cell r="AD4201" t="str">
            <v>BIS</v>
          </cell>
          <cell r="AF4201">
            <v>62</v>
          </cell>
          <cell r="AG4201" t="str">
            <v>DRN100LS4</v>
          </cell>
          <cell r="AH4201" t="str">
            <v>R77-DRN100LS4270-X#</v>
          </cell>
        </row>
        <row r="4202">
          <cell r="A4202" t="str">
            <v>MR004191</v>
          </cell>
          <cell r="B4202" t="str">
            <v>MR</v>
          </cell>
          <cell r="C4202">
            <v>30</v>
          </cell>
          <cell r="D4202">
            <v>15</v>
          </cell>
          <cell r="E4202" t="str">
            <v>KH157</v>
          </cell>
          <cell r="F4202">
            <v>19400</v>
          </cell>
          <cell r="G4202">
            <v>100.22</v>
          </cell>
          <cell r="H4202">
            <v>1.05</v>
          </cell>
          <cell r="I4202" t="str">
            <v>M1B</v>
          </cell>
          <cell r="J4202" t="str">
            <v>IE3</v>
          </cell>
          <cell r="K4202" t="str">
            <v>240/415</v>
          </cell>
          <cell r="L4202">
            <v>50</v>
          </cell>
          <cell r="M4202" t="str">
            <v>93/54</v>
          </cell>
          <cell r="N4202">
            <v>55</v>
          </cell>
          <cell r="O4202" t="str">
            <v>155(F)</v>
          </cell>
          <cell r="P4202" t="str">
            <v>270°</v>
          </cell>
          <cell r="Q4202" t="str">
            <v>TF</v>
          </cell>
          <cell r="R4202" t="str">
            <v>V(VE)</v>
          </cell>
          <cell r="S4202" t="str">
            <v>-</v>
          </cell>
          <cell r="T4202" t="str">
            <v>-</v>
          </cell>
          <cell r="U4202" t="str">
            <v>-</v>
          </cell>
          <cell r="V4202" t="str">
            <v>FC</v>
          </cell>
          <cell r="W4202" t="str">
            <v>-</v>
          </cell>
          <cell r="X4202" t="str">
            <v>CLP 220 (-15/+40°C)</v>
          </cell>
          <cell r="Y4202" t="str">
            <v>KH157DRN200L4 /TF/V</v>
          </cell>
          <cell r="Z4202" t="str">
            <v>SEW</v>
          </cell>
          <cell r="AB4202" t="str">
            <v>-</v>
          </cell>
          <cell r="AD4202" t="str">
            <v>BIS</v>
          </cell>
          <cell r="AF4202">
            <v>15</v>
          </cell>
          <cell r="AG4202" t="str">
            <v>DRN200L4</v>
          </cell>
          <cell r="AH4202" t="str">
            <v>KH157-DRN200L4B270-X#</v>
          </cell>
        </row>
        <row r="4203">
          <cell r="A4203" t="str">
            <v>MR004192</v>
          </cell>
          <cell r="B4203" t="str">
            <v>MR</v>
          </cell>
          <cell r="C4203">
            <v>11</v>
          </cell>
          <cell r="D4203">
            <v>31</v>
          </cell>
          <cell r="E4203" t="str">
            <v>R107</v>
          </cell>
          <cell r="F4203">
            <v>3390</v>
          </cell>
          <cell r="G4203">
            <v>47.63</v>
          </cell>
          <cell r="H4203">
            <v>1.25</v>
          </cell>
          <cell r="I4203" t="str">
            <v>M3</v>
          </cell>
          <cell r="J4203" t="str">
            <v>IE3</v>
          </cell>
          <cell r="K4203" t="str">
            <v>240/415</v>
          </cell>
          <cell r="L4203">
            <v>50</v>
          </cell>
          <cell r="M4203" t="str">
            <v>35/20</v>
          </cell>
          <cell r="N4203">
            <v>55</v>
          </cell>
          <cell r="O4203" t="str">
            <v>155(F)</v>
          </cell>
          <cell r="P4203" t="str">
            <v>270°</v>
          </cell>
          <cell r="Q4203" t="str">
            <v>TF</v>
          </cell>
          <cell r="R4203" t="str">
            <v>V(VE)</v>
          </cell>
          <cell r="S4203" t="str">
            <v>-</v>
          </cell>
          <cell r="T4203" t="str">
            <v>-</v>
          </cell>
          <cell r="U4203" t="str">
            <v>-</v>
          </cell>
          <cell r="V4203" t="str">
            <v>FC</v>
          </cell>
          <cell r="W4203" t="str">
            <v>-</v>
          </cell>
          <cell r="X4203" t="str">
            <v>CLP 220 (-15/+40°C)</v>
          </cell>
          <cell r="Y4203" t="str">
            <v>R107DRN160M4 /TF/V</v>
          </cell>
          <cell r="Z4203" t="str">
            <v>SEW</v>
          </cell>
          <cell r="AB4203" t="str">
            <v>-</v>
          </cell>
          <cell r="AD4203" t="str">
            <v>BIS</v>
          </cell>
          <cell r="AF4203">
            <v>31</v>
          </cell>
          <cell r="AG4203" t="str">
            <v>DRN160M4</v>
          </cell>
          <cell r="AH4203" t="str">
            <v>R107-DRN160M4270-X#</v>
          </cell>
        </row>
        <row r="4204">
          <cell r="A4204" t="str">
            <v>MR004193</v>
          </cell>
          <cell r="B4204" t="str">
            <v>MR</v>
          </cell>
          <cell r="C4204">
            <v>18.5</v>
          </cell>
          <cell r="D4204">
            <v>12</v>
          </cell>
          <cell r="E4204" t="str">
            <v>KH157</v>
          </cell>
          <cell r="F4204">
            <v>14600</v>
          </cell>
          <cell r="G4204">
            <v>122.39</v>
          </cell>
          <cell r="H4204">
            <v>1.35</v>
          </cell>
          <cell r="I4204" t="str">
            <v>From M1B to M2B - 20°</v>
          </cell>
          <cell r="J4204" t="str">
            <v>IE3</v>
          </cell>
          <cell r="K4204" t="str">
            <v>240/415</v>
          </cell>
          <cell r="L4204">
            <v>50</v>
          </cell>
          <cell r="M4204" t="str">
            <v>55/32</v>
          </cell>
          <cell r="N4204">
            <v>55</v>
          </cell>
          <cell r="O4204" t="str">
            <v>155(F)</v>
          </cell>
          <cell r="P4204" t="str">
            <v>270°</v>
          </cell>
          <cell r="Q4204" t="str">
            <v>-</v>
          </cell>
          <cell r="R4204" t="str">
            <v>-</v>
          </cell>
          <cell r="S4204" t="str">
            <v>-</v>
          </cell>
          <cell r="T4204" t="str">
            <v>-</v>
          </cell>
          <cell r="U4204" t="str">
            <v>-</v>
          </cell>
          <cell r="V4204" t="str">
            <v>SS</v>
          </cell>
          <cell r="W4204" t="str">
            <v>-</v>
          </cell>
          <cell r="X4204" t="str">
            <v>CLP 220 (-15/+40°C)</v>
          </cell>
          <cell r="Y4204" t="str">
            <v>KH157DRN180M4</v>
          </cell>
          <cell r="Z4204" t="str">
            <v>SEW</v>
          </cell>
          <cell r="AB4204" t="str">
            <v>-</v>
          </cell>
          <cell r="AD4204" t="str">
            <v>BIS</v>
          </cell>
          <cell r="AF4204">
            <v>12</v>
          </cell>
          <cell r="AG4204" t="str">
            <v>DRN180M4</v>
          </cell>
          <cell r="AH4204" t="str">
            <v>KH157-DRN180M4B270-X</v>
          </cell>
        </row>
        <row r="4205">
          <cell r="A4205" t="str">
            <v>MR004194</v>
          </cell>
          <cell r="B4205" t="str">
            <v>MR</v>
          </cell>
          <cell r="C4205">
            <v>1.5</v>
          </cell>
          <cell r="D4205">
            <v>22</v>
          </cell>
          <cell r="E4205" t="str">
            <v>FA67</v>
          </cell>
          <cell r="F4205">
            <v>660</v>
          </cell>
          <cell r="G4205">
            <v>67.650000000000006</v>
          </cell>
          <cell r="H4205">
            <v>1.25</v>
          </cell>
          <cell r="I4205" t="str">
            <v>From M6 to M3 - 20°</v>
          </cell>
          <cell r="J4205" t="str">
            <v>IE3</v>
          </cell>
          <cell r="K4205" t="str">
            <v>240/415</v>
          </cell>
          <cell r="L4205">
            <v>50</v>
          </cell>
          <cell r="M4205" t="str">
            <v>5,7/3,25</v>
          </cell>
          <cell r="N4205">
            <v>55</v>
          </cell>
          <cell r="O4205" t="str">
            <v>155(F)</v>
          </cell>
          <cell r="P4205" t="str">
            <v>270°</v>
          </cell>
          <cell r="Q4205" t="str">
            <v>-</v>
          </cell>
          <cell r="R4205" t="str">
            <v>-</v>
          </cell>
          <cell r="S4205" t="str">
            <v>-</v>
          </cell>
          <cell r="T4205" t="str">
            <v>BEHF</v>
          </cell>
          <cell r="U4205" t="str">
            <v>G</v>
          </cell>
          <cell r="V4205" t="str">
            <v>D+R</v>
          </cell>
          <cell r="W4205" t="str">
            <v>-</v>
          </cell>
          <cell r="X4205" t="str">
            <v>CLP 220 (-15/+40°C)</v>
          </cell>
          <cell r="Y4205" t="str">
            <v>FA67/G DRN90L4 /BEHF</v>
          </cell>
          <cell r="Z4205" t="str">
            <v>SEW</v>
          </cell>
          <cell r="AB4205" t="str">
            <v>-</v>
          </cell>
          <cell r="AD4205" t="str">
            <v>BIS</v>
          </cell>
          <cell r="AF4205">
            <v>22</v>
          </cell>
          <cell r="AG4205" t="str">
            <v>DRN90L4</v>
          </cell>
          <cell r="AH4205" t="str">
            <v>FA67G-DRN90L4270-X</v>
          </cell>
        </row>
        <row r="4206">
          <cell r="A4206" t="str">
            <v>MR004195</v>
          </cell>
          <cell r="B4206" t="str">
            <v>MR</v>
          </cell>
          <cell r="C4206">
            <v>5.5</v>
          </cell>
          <cell r="D4206">
            <v>62</v>
          </cell>
          <cell r="E4206" t="str">
            <v>R87</v>
          </cell>
          <cell r="F4206">
            <v>840</v>
          </cell>
          <cell r="G4206">
            <v>23.4</v>
          </cell>
          <cell r="H4206">
            <v>1.85</v>
          </cell>
          <cell r="I4206" t="str">
            <v>M1</v>
          </cell>
          <cell r="J4206" t="str">
            <v>IE3</v>
          </cell>
          <cell r="K4206" t="str">
            <v>240/415</v>
          </cell>
          <cell r="L4206">
            <v>50</v>
          </cell>
          <cell r="M4206" t="str">
            <v>17,4/10,1</v>
          </cell>
          <cell r="N4206">
            <v>55</v>
          </cell>
          <cell r="O4206" t="str">
            <v>155(F)</v>
          </cell>
          <cell r="P4206" t="str">
            <v>270°</v>
          </cell>
          <cell r="Q4206" t="str">
            <v>-</v>
          </cell>
          <cell r="R4206" t="str">
            <v>-</v>
          </cell>
          <cell r="S4206" t="str">
            <v>-</v>
          </cell>
          <cell r="T4206" t="str">
            <v>-</v>
          </cell>
          <cell r="U4206" t="str">
            <v>-</v>
          </cell>
          <cell r="V4206" t="str">
            <v>D+R</v>
          </cell>
          <cell r="W4206" t="str">
            <v>-</v>
          </cell>
          <cell r="X4206" t="str">
            <v>CLP 220 (-15/+40°C)</v>
          </cell>
          <cell r="Y4206" t="str">
            <v>R87DRN132S4</v>
          </cell>
          <cell r="Z4206" t="str">
            <v>SEW</v>
          </cell>
          <cell r="AB4206" t="str">
            <v>-</v>
          </cell>
          <cell r="AD4206" t="str">
            <v>BIS</v>
          </cell>
          <cell r="AF4206">
            <v>62</v>
          </cell>
          <cell r="AG4206" t="str">
            <v>DRN132S4</v>
          </cell>
          <cell r="AH4206" t="str">
            <v>R87-DRN132S4270-X</v>
          </cell>
        </row>
        <row r="4207">
          <cell r="A4207" t="str">
            <v>MR004196</v>
          </cell>
          <cell r="B4207" t="str">
            <v>MR</v>
          </cell>
          <cell r="C4207">
            <v>15</v>
          </cell>
          <cell r="D4207">
            <v>16</v>
          </cell>
          <cell r="E4207" t="str">
            <v>KH127</v>
          </cell>
          <cell r="F4207">
            <v>8730</v>
          </cell>
          <cell r="G4207">
            <v>89.89</v>
          </cell>
          <cell r="H4207">
            <v>1.5</v>
          </cell>
          <cell r="I4207" t="str">
            <v>From M4A to M1A - 25°</v>
          </cell>
          <cell r="J4207" t="str">
            <v>IE3</v>
          </cell>
          <cell r="K4207" t="str">
            <v>240/415</v>
          </cell>
          <cell r="L4207">
            <v>50</v>
          </cell>
          <cell r="M4207" t="str">
            <v>48/27,5</v>
          </cell>
          <cell r="N4207">
            <v>55</v>
          </cell>
          <cell r="O4207" t="str">
            <v>155(F)</v>
          </cell>
          <cell r="P4207" t="str">
            <v>270°</v>
          </cell>
          <cell r="Q4207" t="str">
            <v>TF</v>
          </cell>
          <cell r="R4207" t="str">
            <v>V(VE)</v>
          </cell>
          <cell r="S4207" t="str">
            <v>-</v>
          </cell>
          <cell r="T4207" t="str">
            <v>-</v>
          </cell>
          <cell r="U4207" t="str">
            <v>-</v>
          </cell>
          <cell r="V4207" t="str">
            <v>FC</v>
          </cell>
          <cell r="W4207" t="str">
            <v>-</v>
          </cell>
          <cell r="X4207" t="str">
            <v>CLP 220 (-15/+40°C)</v>
          </cell>
          <cell r="Y4207" t="str">
            <v>KH127DRN160L4 /TF/V</v>
          </cell>
          <cell r="Z4207" t="str">
            <v>SEW</v>
          </cell>
          <cell r="AB4207" t="str">
            <v>-</v>
          </cell>
          <cell r="AD4207" t="str">
            <v>BIS</v>
          </cell>
          <cell r="AF4207">
            <v>16</v>
          </cell>
          <cell r="AG4207" t="str">
            <v>DRN160L4</v>
          </cell>
          <cell r="AH4207" t="str">
            <v>KH127-DRN160L4A270-X#</v>
          </cell>
        </row>
        <row r="4208">
          <cell r="A4208" t="str">
            <v>MR004197</v>
          </cell>
          <cell r="B4208" t="str">
            <v>MR</v>
          </cell>
          <cell r="C4208">
            <v>15</v>
          </cell>
          <cell r="D4208">
            <v>16</v>
          </cell>
          <cell r="E4208" t="str">
            <v>KH127</v>
          </cell>
          <cell r="F4208">
            <v>8730</v>
          </cell>
          <cell r="G4208">
            <v>89.89</v>
          </cell>
          <cell r="H4208">
            <v>1.5</v>
          </cell>
          <cell r="I4208" t="str">
            <v>From M4B to M1B - 25°</v>
          </cell>
          <cell r="J4208" t="str">
            <v>IE3</v>
          </cell>
          <cell r="K4208" t="str">
            <v>240/415</v>
          </cell>
          <cell r="L4208">
            <v>50</v>
          </cell>
          <cell r="M4208" t="str">
            <v>48/27,5</v>
          </cell>
          <cell r="N4208">
            <v>55</v>
          </cell>
          <cell r="O4208" t="str">
            <v>155(F)</v>
          </cell>
          <cell r="P4208" t="str">
            <v>270°</v>
          </cell>
          <cell r="Q4208" t="str">
            <v>TF</v>
          </cell>
          <cell r="R4208" t="str">
            <v>V(VE)</v>
          </cell>
          <cell r="S4208" t="str">
            <v>-</v>
          </cell>
          <cell r="T4208" t="str">
            <v>-</v>
          </cell>
          <cell r="U4208" t="str">
            <v>-</v>
          </cell>
          <cell r="V4208" t="str">
            <v>FC</v>
          </cell>
          <cell r="W4208" t="str">
            <v>-</v>
          </cell>
          <cell r="X4208" t="str">
            <v>CLP 220 (-15/+40°C)</v>
          </cell>
          <cell r="Y4208" t="str">
            <v>KH127DRN160L4 /TF/V</v>
          </cell>
          <cell r="Z4208" t="str">
            <v>SEW</v>
          </cell>
          <cell r="AB4208" t="str">
            <v>-</v>
          </cell>
          <cell r="AD4208" t="str">
            <v>BIS</v>
          </cell>
          <cell r="AF4208">
            <v>16</v>
          </cell>
          <cell r="AG4208" t="str">
            <v>DRN160L4</v>
          </cell>
          <cell r="AH4208" t="str">
            <v>KH127-DRN160L4B270-X#</v>
          </cell>
        </row>
        <row r="4209">
          <cell r="A4209" t="str">
            <v>MR004198</v>
          </cell>
          <cell r="B4209" t="str">
            <v>MR</v>
          </cell>
          <cell r="C4209">
            <v>18.5</v>
          </cell>
          <cell r="D4209">
            <v>16</v>
          </cell>
          <cell r="E4209" t="str">
            <v>KH127</v>
          </cell>
          <cell r="F4209">
            <v>10700</v>
          </cell>
          <cell r="G4209">
            <v>89.89</v>
          </cell>
          <cell r="H4209">
            <v>1.2</v>
          </cell>
          <cell r="I4209" t="str">
            <v>From M4B to M1B - 30°</v>
          </cell>
          <cell r="J4209" t="str">
            <v>IE3</v>
          </cell>
          <cell r="K4209" t="str">
            <v>240/415</v>
          </cell>
          <cell r="L4209">
            <v>50</v>
          </cell>
          <cell r="M4209" t="str">
            <v>55/32</v>
          </cell>
          <cell r="N4209">
            <v>55</v>
          </cell>
          <cell r="O4209" t="str">
            <v>155(F)</v>
          </cell>
          <cell r="P4209" t="str">
            <v>270°</v>
          </cell>
          <cell r="Q4209" t="str">
            <v>-</v>
          </cell>
          <cell r="R4209" t="str">
            <v>-</v>
          </cell>
          <cell r="S4209" t="str">
            <v>-</v>
          </cell>
          <cell r="T4209" t="str">
            <v>-</v>
          </cell>
          <cell r="U4209" t="str">
            <v>-</v>
          </cell>
          <cell r="V4209" t="str">
            <v>SS</v>
          </cell>
          <cell r="W4209" t="str">
            <v>-</v>
          </cell>
          <cell r="X4209" t="str">
            <v>CLP 220 (-15/+40°C)</v>
          </cell>
          <cell r="Y4209" t="str">
            <v>KH127DRN180M4</v>
          </cell>
          <cell r="Z4209" t="str">
            <v>SEW</v>
          </cell>
          <cell r="AB4209" t="str">
            <v>-</v>
          </cell>
          <cell r="AD4209" t="str">
            <v>BIS</v>
          </cell>
          <cell r="AF4209">
            <v>16</v>
          </cell>
          <cell r="AG4209" t="str">
            <v>DRN180M4</v>
          </cell>
          <cell r="AH4209" t="str">
            <v>KH127-DRN180M4B270-X</v>
          </cell>
        </row>
        <row r="4210">
          <cell r="A4210" t="str">
            <v>MR004199</v>
          </cell>
          <cell r="B4210" t="str">
            <v>MR</v>
          </cell>
          <cell r="C4210">
            <v>22</v>
          </cell>
          <cell r="D4210">
            <v>16</v>
          </cell>
          <cell r="E4210" t="str">
            <v>KH157</v>
          </cell>
          <cell r="F4210">
            <v>13000</v>
          </cell>
          <cell r="G4210">
            <v>91.65</v>
          </cell>
          <cell r="H4210">
            <v>1.55</v>
          </cell>
          <cell r="I4210" t="str">
            <v>From M1B to M2B - 35°</v>
          </cell>
          <cell r="J4210" t="str">
            <v>IE3</v>
          </cell>
          <cell r="K4210" t="str">
            <v>240/415</v>
          </cell>
          <cell r="L4210">
            <v>50</v>
          </cell>
          <cell r="M4210" t="str">
            <v>64/37</v>
          </cell>
          <cell r="N4210">
            <v>55</v>
          </cell>
          <cell r="O4210" t="str">
            <v>155(F)</v>
          </cell>
          <cell r="P4210" t="str">
            <v>270°</v>
          </cell>
          <cell r="Q4210" t="str">
            <v>-</v>
          </cell>
          <cell r="R4210" t="str">
            <v>-</v>
          </cell>
          <cell r="S4210" t="str">
            <v>-</v>
          </cell>
          <cell r="T4210" t="str">
            <v>-</v>
          </cell>
          <cell r="U4210" t="str">
            <v>-</v>
          </cell>
          <cell r="V4210" t="str">
            <v>SS</v>
          </cell>
          <cell r="W4210" t="str">
            <v>-</v>
          </cell>
          <cell r="X4210" t="str">
            <v>CLP 220 (-15/+40°C)</v>
          </cell>
          <cell r="Y4210" t="str">
            <v>KH157DRN180L4</v>
          </cell>
          <cell r="Z4210" t="str">
            <v>SEW</v>
          </cell>
          <cell r="AB4210" t="str">
            <v>-</v>
          </cell>
          <cell r="AD4210" t="str">
            <v>BIS</v>
          </cell>
          <cell r="AF4210">
            <v>16</v>
          </cell>
          <cell r="AG4210" t="str">
            <v>DRN180L4</v>
          </cell>
          <cell r="AH4210" t="str">
            <v>KH157-DRN180L4B270-X</v>
          </cell>
        </row>
        <row r="4211">
          <cell r="A4211" t="str">
            <v>MR004200</v>
          </cell>
          <cell r="B4211" t="str">
            <v>MR</v>
          </cell>
          <cell r="C4211">
            <v>18.5</v>
          </cell>
          <cell r="D4211">
            <v>12</v>
          </cell>
          <cell r="E4211" t="str">
            <v>KH157</v>
          </cell>
          <cell r="F4211">
            <v>14600</v>
          </cell>
          <cell r="G4211">
            <v>122.39</v>
          </cell>
          <cell r="H4211">
            <v>1.35</v>
          </cell>
          <cell r="I4211" t="str">
            <v>From M1B to M2B - 15°</v>
          </cell>
          <cell r="J4211" t="str">
            <v>IE3</v>
          </cell>
          <cell r="K4211" t="str">
            <v>240/415</v>
          </cell>
          <cell r="L4211">
            <v>50</v>
          </cell>
          <cell r="M4211" t="str">
            <v>55/32</v>
          </cell>
          <cell r="N4211">
            <v>55</v>
          </cell>
          <cell r="O4211" t="str">
            <v>155(F)</v>
          </cell>
          <cell r="P4211" t="str">
            <v>270°</v>
          </cell>
          <cell r="Q4211" t="str">
            <v>-</v>
          </cell>
          <cell r="R4211" t="str">
            <v>-</v>
          </cell>
          <cell r="S4211" t="str">
            <v>-</v>
          </cell>
          <cell r="T4211" t="str">
            <v>-</v>
          </cell>
          <cell r="U4211" t="str">
            <v>-</v>
          </cell>
          <cell r="V4211" t="str">
            <v>SS</v>
          </cell>
          <cell r="W4211" t="str">
            <v>-</v>
          </cell>
          <cell r="X4211" t="str">
            <v>CLP 220 (-15/+40°C)</v>
          </cell>
          <cell r="Y4211" t="str">
            <v>KH157DRN180M4</v>
          </cell>
          <cell r="Z4211" t="str">
            <v>SEW</v>
          </cell>
          <cell r="AB4211" t="str">
            <v>-</v>
          </cell>
          <cell r="AD4211" t="str">
            <v>BIS</v>
          </cell>
          <cell r="AF4211">
            <v>12</v>
          </cell>
          <cell r="AG4211" t="str">
            <v>DRN180M4</v>
          </cell>
          <cell r="AH4211" t="str">
            <v>KH157-DRN180M4B270-X</v>
          </cell>
        </row>
        <row r="4212">
          <cell r="A4212" t="str">
            <v>MR004201</v>
          </cell>
          <cell r="B4212" t="str">
            <v>MR</v>
          </cell>
          <cell r="C4212">
            <v>15</v>
          </cell>
          <cell r="D4212">
            <v>13</v>
          </cell>
          <cell r="E4212" t="str">
            <v>KH127</v>
          </cell>
          <cell r="F4212">
            <v>10700</v>
          </cell>
          <cell r="G4212">
            <v>110.18</v>
          </cell>
          <cell r="H4212">
            <v>1.2</v>
          </cell>
          <cell r="I4212" t="str">
            <v>From M1A to M2A - 30°</v>
          </cell>
          <cell r="J4212" t="str">
            <v>IE3</v>
          </cell>
          <cell r="K4212" t="str">
            <v>240/415</v>
          </cell>
          <cell r="L4212">
            <v>50</v>
          </cell>
          <cell r="M4212" t="str">
            <v>48/27,5</v>
          </cell>
          <cell r="N4212">
            <v>55</v>
          </cell>
          <cell r="O4212" t="str">
            <v>155(F)</v>
          </cell>
          <cell r="P4212" t="str">
            <v>270°</v>
          </cell>
          <cell r="Q4212" t="str">
            <v>-</v>
          </cell>
          <cell r="R4212" t="str">
            <v>-</v>
          </cell>
          <cell r="S4212" t="str">
            <v>-</v>
          </cell>
          <cell r="T4212" t="str">
            <v>-</v>
          </cell>
          <cell r="U4212" t="str">
            <v>-</v>
          </cell>
          <cell r="V4212" t="str">
            <v>SS</v>
          </cell>
          <cell r="W4212" t="str">
            <v>-</v>
          </cell>
          <cell r="X4212" t="str">
            <v>CLP 220 (-15/+40°C)</v>
          </cell>
          <cell r="Y4212" t="str">
            <v>KH127DRN160L4</v>
          </cell>
          <cell r="Z4212" t="str">
            <v>SEW</v>
          </cell>
          <cell r="AB4212" t="str">
            <v>-</v>
          </cell>
          <cell r="AD4212" t="str">
            <v>BIS</v>
          </cell>
          <cell r="AF4212">
            <v>13</v>
          </cell>
          <cell r="AG4212" t="str">
            <v>DRN160L4</v>
          </cell>
          <cell r="AH4212" t="str">
            <v>KH127-DRN160L4A270-X</v>
          </cell>
        </row>
        <row r="4213">
          <cell r="A4213" t="str">
            <v>MR004202</v>
          </cell>
          <cell r="B4213" t="str">
            <v>MR</v>
          </cell>
          <cell r="C4213">
            <v>22</v>
          </cell>
          <cell r="D4213">
            <v>12</v>
          </cell>
          <cell r="E4213" t="str">
            <v>KH157</v>
          </cell>
          <cell r="F4213">
            <v>17400</v>
          </cell>
          <cell r="G4213">
            <v>122.39</v>
          </cell>
          <cell r="H4213">
            <v>1.1499999999999999</v>
          </cell>
          <cell r="I4213" t="str">
            <v>From M1A to M2A - 30°</v>
          </cell>
          <cell r="J4213" t="str">
            <v>IE3</v>
          </cell>
          <cell r="K4213" t="str">
            <v>240/415</v>
          </cell>
          <cell r="L4213">
            <v>50</v>
          </cell>
          <cell r="M4213" t="str">
            <v>64/37</v>
          </cell>
          <cell r="N4213">
            <v>55</v>
          </cell>
          <cell r="O4213" t="str">
            <v>155(F)</v>
          </cell>
          <cell r="P4213" t="str">
            <v>270°</v>
          </cell>
          <cell r="Q4213" t="str">
            <v>-</v>
          </cell>
          <cell r="R4213" t="str">
            <v>-</v>
          </cell>
          <cell r="S4213" t="str">
            <v>-</v>
          </cell>
          <cell r="T4213" t="str">
            <v>-</v>
          </cell>
          <cell r="U4213" t="str">
            <v>-</v>
          </cell>
          <cell r="V4213" t="str">
            <v>SS</v>
          </cell>
          <cell r="W4213" t="str">
            <v>-</v>
          </cell>
          <cell r="X4213" t="str">
            <v>CLP 220 (-15/+40°C)</v>
          </cell>
          <cell r="Y4213" t="str">
            <v>KH157DRN180L4</v>
          </cell>
          <cell r="Z4213" t="str">
            <v>SEW</v>
          </cell>
          <cell r="AB4213" t="str">
            <v>-</v>
          </cell>
          <cell r="AD4213" t="str">
            <v>BIS</v>
          </cell>
          <cell r="AF4213">
            <v>12</v>
          </cell>
          <cell r="AG4213" t="str">
            <v>DRN180L4</v>
          </cell>
          <cell r="AH4213" t="str">
            <v>KH157-DRN180L4A270-X</v>
          </cell>
        </row>
        <row r="4214">
          <cell r="A4214" t="str">
            <v>MR004203</v>
          </cell>
          <cell r="B4214" t="str">
            <v>MR</v>
          </cell>
          <cell r="C4214">
            <v>15</v>
          </cell>
          <cell r="D4214">
            <v>13</v>
          </cell>
          <cell r="E4214" t="str">
            <v>KH127</v>
          </cell>
          <cell r="F4214">
            <v>10700</v>
          </cell>
          <cell r="G4214">
            <v>110.18</v>
          </cell>
          <cell r="H4214">
            <v>1.2</v>
          </cell>
          <cell r="I4214" t="str">
            <v>From M1A to M2A - 20°</v>
          </cell>
          <cell r="J4214" t="str">
            <v>IE3</v>
          </cell>
          <cell r="K4214" t="str">
            <v>240/415</v>
          </cell>
          <cell r="L4214">
            <v>50</v>
          </cell>
          <cell r="M4214" t="str">
            <v>48/27,5</v>
          </cell>
          <cell r="N4214">
            <v>55</v>
          </cell>
          <cell r="O4214" t="str">
            <v>155(F)</v>
          </cell>
          <cell r="P4214" t="str">
            <v>270°</v>
          </cell>
          <cell r="Q4214" t="str">
            <v>-</v>
          </cell>
          <cell r="R4214" t="str">
            <v>-</v>
          </cell>
          <cell r="S4214" t="str">
            <v>-</v>
          </cell>
          <cell r="T4214" t="str">
            <v>-</v>
          </cell>
          <cell r="U4214" t="str">
            <v>-</v>
          </cell>
          <cell r="V4214" t="str">
            <v>SS</v>
          </cell>
          <cell r="W4214" t="str">
            <v>-</v>
          </cell>
          <cell r="X4214" t="str">
            <v>CLP 220 (-15/+40°C)</v>
          </cell>
          <cell r="Y4214" t="str">
            <v>KH127DRN160L4</v>
          </cell>
          <cell r="Z4214" t="str">
            <v>SEW</v>
          </cell>
          <cell r="AB4214" t="str">
            <v>-</v>
          </cell>
          <cell r="AD4214" t="str">
            <v>BIS</v>
          </cell>
          <cell r="AF4214">
            <v>13</v>
          </cell>
          <cell r="AG4214" t="str">
            <v>DRN160L4</v>
          </cell>
          <cell r="AH4214" t="str">
            <v>KH127-DRN160L4A270-X</v>
          </cell>
        </row>
        <row r="4215">
          <cell r="A4215" t="str">
            <v>MR004204</v>
          </cell>
          <cell r="B4215" t="str">
            <v>MR</v>
          </cell>
          <cell r="C4215">
            <v>15</v>
          </cell>
          <cell r="D4215">
            <v>13</v>
          </cell>
          <cell r="E4215" t="str">
            <v>KH127</v>
          </cell>
          <cell r="F4215">
            <v>10700</v>
          </cell>
          <cell r="G4215">
            <v>110.18</v>
          </cell>
          <cell r="H4215">
            <v>1.2</v>
          </cell>
          <cell r="I4215" t="str">
            <v>From M1B to M2B - 20°</v>
          </cell>
          <cell r="J4215" t="str">
            <v>IE3</v>
          </cell>
          <cell r="K4215" t="str">
            <v>240/415</v>
          </cell>
          <cell r="L4215">
            <v>50</v>
          </cell>
          <cell r="M4215" t="str">
            <v>48/27,5</v>
          </cell>
          <cell r="N4215">
            <v>55</v>
          </cell>
          <cell r="O4215" t="str">
            <v>155(F)</v>
          </cell>
          <cell r="P4215" t="str">
            <v>270°</v>
          </cell>
          <cell r="Q4215" t="str">
            <v>-</v>
          </cell>
          <cell r="R4215" t="str">
            <v>-</v>
          </cell>
          <cell r="S4215" t="str">
            <v>-</v>
          </cell>
          <cell r="T4215" t="str">
            <v>-</v>
          </cell>
          <cell r="U4215" t="str">
            <v>-</v>
          </cell>
          <cell r="V4215" t="str">
            <v>SS</v>
          </cell>
          <cell r="W4215" t="str">
            <v>-</v>
          </cell>
          <cell r="X4215" t="str">
            <v>CLP 220 (-15/+40°C)</v>
          </cell>
          <cell r="Y4215" t="str">
            <v>KH127DRN160L4</v>
          </cell>
          <cell r="Z4215" t="str">
            <v>SEW</v>
          </cell>
          <cell r="AB4215" t="str">
            <v>-</v>
          </cell>
          <cell r="AD4215" t="str">
            <v>BIS</v>
          </cell>
          <cell r="AF4215">
            <v>13</v>
          </cell>
          <cell r="AG4215" t="str">
            <v>DRN160L4</v>
          </cell>
          <cell r="AH4215" t="str">
            <v>KH127-DRN160L4B270-X</v>
          </cell>
        </row>
        <row r="4216">
          <cell r="A4216" t="str">
            <v>MR004205</v>
          </cell>
          <cell r="B4216" t="str">
            <v>MR</v>
          </cell>
          <cell r="C4216">
            <v>15</v>
          </cell>
          <cell r="D4216">
            <v>13</v>
          </cell>
          <cell r="E4216" t="str">
            <v>KH127</v>
          </cell>
          <cell r="F4216">
            <v>10700</v>
          </cell>
          <cell r="G4216">
            <v>110.18</v>
          </cell>
          <cell r="H4216">
            <v>1.2</v>
          </cell>
          <cell r="I4216" t="str">
            <v>From M1A to M2A - 45°</v>
          </cell>
          <cell r="J4216" t="str">
            <v>IE3</v>
          </cell>
          <cell r="K4216" t="str">
            <v>240/415</v>
          </cell>
          <cell r="L4216">
            <v>50</v>
          </cell>
          <cell r="M4216" t="str">
            <v>48/27,5</v>
          </cell>
          <cell r="N4216">
            <v>55</v>
          </cell>
          <cell r="O4216" t="str">
            <v>155(F)</v>
          </cell>
          <cell r="P4216" t="str">
            <v>270°</v>
          </cell>
          <cell r="Q4216" t="str">
            <v>-</v>
          </cell>
          <cell r="R4216" t="str">
            <v>-</v>
          </cell>
          <cell r="S4216" t="str">
            <v>-</v>
          </cell>
          <cell r="T4216" t="str">
            <v>-</v>
          </cell>
          <cell r="U4216" t="str">
            <v>-</v>
          </cell>
          <cell r="V4216" t="str">
            <v>SS</v>
          </cell>
          <cell r="W4216" t="str">
            <v>-</v>
          </cell>
          <cell r="X4216" t="str">
            <v>CLP 220 (-15/+40°C)</v>
          </cell>
          <cell r="Y4216" t="str">
            <v>KH127DRN160L4</v>
          </cell>
          <cell r="Z4216" t="str">
            <v>SEW</v>
          </cell>
          <cell r="AB4216" t="str">
            <v>-</v>
          </cell>
          <cell r="AD4216" t="str">
            <v>BIS</v>
          </cell>
          <cell r="AF4216">
            <v>13</v>
          </cell>
          <cell r="AG4216" t="str">
            <v>DRN160L4</v>
          </cell>
          <cell r="AH4216" t="str">
            <v>KH127-DRN160L4A270-X</v>
          </cell>
        </row>
        <row r="4217">
          <cell r="A4217" t="str">
            <v>MR004206</v>
          </cell>
          <cell r="B4217" t="str">
            <v>MR</v>
          </cell>
          <cell r="C4217">
            <v>9.1999999999999993</v>
          </cell>
          <cell r="D4217">
            <v>59</v>
          </cell>
          <cell r="E4217" t="str">
            <v>R97</v>
          </cell>
          <cell r="F4217">
            <v>1490</v>
          </cell>
          <cell r="G4217">
            <v>25.03</v>
          </cell>
          <cell r="H4217">
            <v>1.9</v>
          </cell>
          <cell r="I4217" t="str">
            <v>M1</v>
          </cell>
          <cell r="J4217" t="str">
            <v>IE3</v>
          </cell>
          <cell r="K4217" t="str">
            <v>240/415</v>
          </cell>
          <cell r="L4217">
            <v>50</v>
          </cell>
          <cell r="M4217" t="str">
            <v>31/18</v>
          </cell>
          <cell r="N4217">
            <v>55</v>
          </cell>
          <cell r="O4217" t="str">
            <v>155(F)</v>
          </cell>
          <cell r="P4217" t="str">
            <v>270°</v>
          </cell>
          <cell r="Q4217" t="str">
            <v>-</v>
          </cell>
          <cell r="R4217" t="str">
            <v>-</v>
          </cell>
          <cell r="S4217" t="str">
            <v>-</v>
          </cell>
          <cell r="T4217" t="str">
            <v>-</v>
          </cell>
          <cell r="U4217" t="str">
            <v>-</v>
          </cell>
          <cell r="V4217" t="str">
            <v>D+R</v>
          </cell>
          <cell r="W4217" t="str">
            <v>-</v>
          </cell>
          <cell r="X4217" t="str">
            <v>CLP 220 (-15/+40°C)</v>
          </cell>
          <cell r="Y4217" t="str">
            <v>R97DRN132L4</v>
          </cell>
          <cell r="Z4217" t="str">
            <v>SEW</v>
          </cell>
          <cell r="AB4217" t="str">
            <v>-</v>
          </cell>
          <cell r="AD4217" t="str">
            <v>BIS</v>
          </cell>
          <cell r="AF4217">
            <v>59</v>
          </cell>
          <cell r="AG4217" t="str">
            <v>DRN132L4</v>
          </cell>
          <cell r="AH4217" t="str">
            <v>R97-DRN132L4270-X</v>
          </cell>
        </row>
        <row r="4218">
          <cell r="A4218" t="str">
            <v>MR004207</v>
          </cell>
          <cell r="B4218" t="str">
            <v>MR</v>
          </cell>
          <cell r="C4218">
            <v>9.1999999999999993</v>
          </cell>
          <cell r="D4218">
            <v>13</v>
          </cell>
          <cell r="E4218" t="str">
            <v>KH107</v>
          </cell>
          <cell r="F4218">
            <v>6710</v>
          </cell>
          <cell r="G4218">
            <v>112.41</v>
          </cell>
          <cell r="H4218">
            <v>1.2</v>
          </cell>
          <cell r="I4218" t="str">
            <v>M1A</v>
          </cell>
          <cell r="J4218" t="str">
            <v>IE3</v>
          </cell>
          <cell r="K4218" t="str">
            <v>240/415</v>
          </cell>
          <cell r="L4218">
            <v>50</v>
          </cell>
          <cell r="M4218" t="str">
            <v>31/18</v>
          </cell>
          <cell r="N4218">
            <v>55</v>
          </cell>
          <cell r="O4218" t="str">
            <v>155(F)</v>
          </cell>
          <cell r="P4218" t="str">
            <v>270°</v>
          </cell>
          <cell r="Q4218" t="str">
            <v>-</v>
          </cell>
          <cell r="R4218" t="str">
            <v>-</v>
          </cell>
          <cell r="S4218" t="str">
            <v>-</v>
          </cell>
          <cell r="T4218" t="str">
            <v>-</v>
          </cell>
          <cell r="U4218" t="str">
            <v>-</v>
          </cell>
          <cell r="V4218" t="str">
            <v>SS</v>
          </cell>
          <cell r="W4218" t="str">
            <v>-</v>
          </cell>
          <cell r="X4218" t="str">
            <v>CLP 220 (-15/+40°C)</v>
          </cell>
          <cell r="Y4218" t="str">
            <v>KH107DRN132L4</v>
          </cell>
          <cell r="Z4218" t="str">
            <v>SEW</v>
          </cell>
          <cell r="AB4218" t="str">
            <v>-</v>
          </cell>
          <cell r="AD4218" t="str">
            <v>BIS</v>
          </cell>
          <cell r="AF4218">
            <v>13</v>
          </cell>
          <cell r="AG4218" t="str">
            <v>DRN132L4</v>
          </cell>
          <cell r="AH4218" t="str">
            <v>KH107-DRN132L4A270-X</v>
          </cell>
        </row>
        <row r="4219">
          <cell r="A4219" t="str">
            <v>MR004208</v>
          </cell>
          <cell r="B4219" t="str">
            <v>MR</v>
          </cell>
          <cell r="C4219">
            <v>22</v>
          </cell>
          <cell r="D4219">
            <v>16</v>
          </cell>
          <cell r="E4219" t="str">
            <v>KH157</v>
          </cell>
          <cell r="F4219">
            <v>13000</v>
          </cell>
          <cell r="G4219">
            <v>91.65</v>
          </cell>
          <cell r="H4219">
            <v>1.55</v>
          </cell>
          <cell r="I4219" t="str">
            <v>From M1A to M2A - 30°</v>
          </cell>
          <cell r="J4219" t="str">
            <v>IE3</v>
          </cell>
          <cell r="K4219" t="str">
            <v>240/415</v>
          </cell>
          <cell r="L4219">
            <v>50</v>
          </cell>
          <cell r="M4219" t="str">
            <v>64/37</v>
          </cell>
          <cell r="N4219">
            <v>55</v>
          </cell>
          <cell r="O4219" t="str">
            <v>155(F)</v>
          </cell>
          <cell r="P4219" t="str">
            <v>270°</v>
          </cell>
          <cell r="Q4219" t="str">
            <v>-</v>
          </cell>
          <cell r="R4219" t="str">
            <v>-</v>
          </cell>
          <cell r="S4219" t="str">
            <v>-</v>
          </cell>
          <cell r="T4219" t="str">
            <v>-</v>
          </cell>
          <cell r="U4219" t="str">
            <v>-</v>
          </cell>
          <cell r="V4219" t="str">
            <v>SS</v>
          </cell>
          <cell r="W4219" t="str">
            <v>-</v>
          </cell>
          <cell r="X4219" t="str">
            <v>CLP 220 (-15/+40°C)</v>
          </cell>
          <cell r="Y4219" t="str">
            <v>KH157DRN180L4</v>
          </cell>
          <cell r="Z4219" t="str">
            <v>SEW</v>
          </cell>
          <cell r="AB4219" t="str">
            <v>-</v>
          </cell>
          <cell r="AD4219" t="str">
            <v>BIS</v>
          </cell>
          <cell r="AF4219">
            <v>16</v>
          </cell>
          <cell r="AG4219" t="str">
            <v>DRN180L4</v>
          </cell>
          <cell r="AH4219" t="str">
            <v>KH157-DRN180L4A270-X</v>
          </cell>
        </row>
        <row r="4220">
          <cell r="A4220" t="str">
            <v>MR004209</v>
          </cell>
          <cell r="B4220" t="str">
            <v>MR</v>
          </cell>
          <cell r="C4220">
            <v>1.5</v>
          </cell>
          <cell r="D4220">
            <v>22</v>
          </cell>
          <cell r="E4220" t="str">
            <v>FA67</v>
          </cell>
          <cell r="F4220">
            <v>660</v>
          </cell>
          <cell r="G4220">
            <v>67.650000000000006</v>
          </cell>
          <cell r="H4220">
            <v>1.25</v>
          </cell>
          <cell r="I4220" t="str">
            <v>From M6 to M3 - 30°</v>
          </cell>
          <cell r="J4220" t="str">
            <v>IE3</v>
          </cell>
          <cell r="K4220" t="str">
            <v>240/415</v>
          </cell>
          <cell r="L4220">
            <v>50</v>
          </cell>
          <cell r="M4220" t="str">
            <v>5,7/3,25</v>
          </cell>
          <cell r="N4220">
            <v>55</v>
          </cell>
          <cell r="O4220" t="str">
            <v>155(F)</v>
          </cell>
          <cell r="P4220" t="str">
            <v>270°</v>
          </cell>
          <cell r="Q4220" t="str">
            <v>-</v>
          </cell>
          <cell r="R4220" t="str">
            <v>-</v>
          </cell>
          <cell r="S4220" t="str">
            <v>-</v>
          </cell>
          <cell r="T4220" t="str">
            <v>BEHF</v>
          </cell>
          <cell r="U4220" t="str">
            <v>G</v>
          </cell>
          <cell r="V4220" t="str">
            <v>D+R</v>
          </cell>
          <cell r="W4220" t="str">
            <v>-</v>
          </cell>
          <cell r="X4220" t="str">
            <v>CLP 220 (-15/+40°C)</v>
          </cell>
          <cell r="Y4220" t="str">
            <v>FA67/G DRN90L4 /BEHF</v>
          </cell>
          <cell r="Z4220" t="str">
            <v>SEW</v>
          </cell>
          <cell r="AB4220" t="str">
            <v>-</v>
          </cell>
          <cell r="AD4220" t="str">
            <v>BIS</v>
          </cell>
          <cell r="AF4220">
            <v>22</v>
          </cell>
          <cell r="AG4220" t="str">
            <v>DRN90L4</v>
          </cell>
          <cell r="AH4220" t="str">
            <v>FA67G-DRN90L4270-X</v>
          </cell>
        </row>
        <row r="4221">
          <cell r="A4221" t="str">
            <v>MR004210</v>
          </cell>
          <cell r="B4221" t="str">
            <v>MR</v>
          </cell>
          <cell r="C4221">
            <v>5.5</v>
          </cell>
          <cell r="D4221">
            <v>62</v>
          </cell>
          <cell r="E4221" t="str">
            <v>R87</v>
          </cell>
          <cell r="F4221">
            <v>840</v>
          </cell>
          <cell r="G4221">
            <v>23.4</v>
          </cell>
          <cell r="H4221">
            <v>1.85</v>
          </cell>
          <cell r="I4221" t="str">
            <v>From M1 to M4 - 20°</v>
          </cell>
          <cell r="J4221" t="str">
            <v>IE3</v>
          </cell>
          <cell r="K4221" t="str">
            <v>240/415</v>
          </cell>
          <cell r="L4221">
            <v>50</v>
          </cell>
          <cell r="M4221" t="str">
            <v>17,4/10,1</v>
          </cell>
          <cell r="N4221">
            <v>55</v>
          </cell>
          <cell r="O4221" t="str">
            <v>155(F)</v>
          </cell>
          <cell r="P4221" t="str">
            <v>270°</v>
          </cell>
          <cell r="Q4221" t="str">
            <v>-</v>
          </cell>
          <cell r="R4221" t="str">
            <v>-</v>
          </cell>
          <cell r="S4221" t="str">
            <v>-</v>
          </cell>
          <cell r="T4221" t="str">
            <v>-</v>
          </cell>
          <cell r="U4221" t="str">
            <v>-</v>
          </cell>
          <cell r="V4221" t="str">
            <v>D</v>
          </cell>
          <cell r="W4221" t="str">
            <v>-</v>
          </cell>
          <cell r="X4221" t="str">
            <v>CLP 220 (-15/+40°C)</v>
          </cell>
          <cell r="Y4221" t="str">
            <v>R87DRN132S4</v>
          </cell>
          <cell r="Z4221" t="str">
            <v>SEW</v>
          </cell>
          <cell r="AB4221" t="str">
            <v>-</v>
          </cell>
          <cell r="AD4221" t="str">
            <v>BIS</v>
          </cell>
          <cell r="AF4221">
            <v>62</v>
          </cell>
          <cell r="AG4221" t="str">
            <v>DRN132S4</v>
          </cell>
          <cell r="AH4221" t="str">
            <v>R87-DRN132S4270-X</v>
          </cell>
        </row>
        <row r="4222">
          <cell r="A4222" t="str">
            <v>MR004211</v>
          </cell>
          <cell r="B4222" t="str">
            <v>MR</v>
          </cell>
          <cell r="C4222">
            <v>5.5</v>
          </cell>
          <cell r="D4222">
            <v>14</v>
          </cell>
          <cell r="E4222" t="str">
            <v>KH97</v>
          </cell>
          <cell r="F4222">
            <v>3770</v>
          </cell>
          <cell r="G4222">
            <v>105.13</v>
          </cell>
          <cell r="H4222">
            <v>1.1499999999999999</v>
          </cell>
          <cell r="I4222" t="str">
            <v>From M1A to M2A - 35°</v>
          </cell>
          <cell r="J4222" t="str">
            <v>IE3</v>
          </cell>
          <cell r="K4222" t="str">
            <v>240/415</v>
          </cell>
          <cell r="L4222">
            <v>50</v>
          </cell>
          <cell r="M4222" t="str">
            <v>17,4/10,1</v>
          </cell>
          <cell r="N4222">
            <v>55</v>
          </cell>
          <cell r="O4222" t="str">
            <v>155(F)</v>
          </cell>
          <cell r="P4222" t="str">
            <v>270°</v>
          </cell>
          <cell r="Q4222" t="str">
            <v>-</v>
          </cell>
          <cell r="R4222" t="str">
            <v>-</v>
          </cell>
          <cell r="S4222" t="str">
            <v>-</v>
          </cell>
          <cell r="T4222" t="str">
            <v>-</v>
          </cell>
          <cell r="U4222" t="str">
            <v>-</v>
          </cell>
          <cell r="V4222" t="str">
            <v>SS</v>
          </cell>
          <cell r="W4222" t="str">
            <v>-</v>
          </cell>
          <cell r="X4222" t="str">
            <v>CLP 220 (-15/+40°C)</v>
          </cell>
          <cell r="Y4222" t="str">
            <v>KH97DRN132S4</v>
          </cell>
          <cell r="Z4222" t="str">
            <v>SEW</v>
          </cell>
          <cell r="AB4222" t="str">
            <v>-</v>
          </cell>
          <cell r="AD4222" t="str">
            <v>BIS</v>
          </cell>
          <cell r="AF4222">
            <v>14</v>
          </cell>
          <cell r="AG4222" t="str">
            <v>DRN132S4</v>
          </cell>
          <cell r="AH4222" t="str">
            <v>KH97-DRN132S4A270-X</v>
          </cell>
        </row>
        <row r="4223">
          <cell r="A4223" t="str">
            <v>MR004212</v>
          </cell>
          <cell r="B4223" t="str">
            <v>MR</v>
          </cell>
          <cell r="C4223">
            <v>9.1999999999999993</v>
          </cell>
          <cell r="D4223">
            <v>13</v>
          </cell>
          <cell r="E4223" t="str">
            <v>KH107</v>
          </cell>
          <cell r="F4223">
            <v>6710</v>
          </cell>
          <cell r="G4223">
            <v>112.41</v>
          </cell>
          <cell r="H4223">
            <v>1.2</v>
          </cell>
          <cell r="I4223" t="str">
            <v>From M1A to M2A - 35°</v>
          </cell>
          <cell r="J4223" t="str">
            <v>IE3</v>
          </cell>
          <cell r="K4223" t="str">
            <v>240/415</v>
          </cell>
          <cell r="L4223">
            <v>50</v>
          </cell>
          <cell r="M4223" t="str">
            <v>31/18</v>
          </cell>
          <cell r="N4223">
            <v>55</v>
          </cell>
          <cell r="O4223" t="str">
            <v>155(F)</v>
          </cell>
          <cell r="P4223" t="str">
            <v>270°</v>
          </cell>
          <cell r="Q4223" t="str">
            <v>-</v>
          </cell>
          <cell r="R4223" t="str">
            <v>-</v>
          </cell>
          <cell r="S4223" t="str">
            <v>-</v>
          </cell>
          <cell r="T4223" t="str">
            <v>-</v>
          </cell>
          <cell r="U4223" t="str">
            <v>-</v>
          </cell>
          <cell r="V4223" t="str">
            <v>SS</v>
          </cell>
          <cell r="W4223" t="str">
            <v>-</v>
          </cell>
          <cell r="X4223" t="str">
            <v>CLP 220 (-15/+40°C)</v>
          </cell>
          <cell r="Y4223" t="str">
            <v>KH107DRN132L4</v>
          </cell>
          <cell r="Z4223" t="str">
            <v>SEW</v>
          </cell>
          <cell r="AB4223" t="str">
            <v>-</v>
          </cell>
          <cell r="AD4223" t="str">
            <v>BIS</v>
          </cell>
          <cell r="AF4223">
            <v>13</v>
          </cell>
          <cell r="AG4223" t="str">
            <v>DRN132L4</v>
          </cell>
          <cell r="AH4223" t="str">
            <v>KH107-DRN132L4A270-X</v>
          </cell>
        </row>
        <row r="4224">
          <cell r="A4224" t="str">
            <v>MR004213</v>
          </cell>
          <cell r="B4224" t="str">
            <v>MR</v>
          </cell>
          <cell r="C4224">
            <v>9.1999999999999993</v>
          </cell>
          <cell r="D4224">
            <v>13</v>
          </cell>
          <cell r="E4224" t="str">
            <v>KH107</v>
          </cell>
          <cell r="F4224">
            <v>6710</v>
          </cell>
          <cell r="G4224">
            <v>112.41</v>
          </cell>
          <cell r="H4224">
            <v>1.2</v>
          </cell>
          <cell r="I4224" t="str">
            <v>From M1B to M2B - 35°</v>
          </cell>
          <cell r="J4224" t="str">
            <v>IE3</v>
          </cell>
          <cell r="K4224" t="str">
            <v>240/415</v>
          </cell>
          <cell r="L4224">
            <v>50</v>
          </cell>
          <cell r="M4224" t="str">
            <v>31/18</v>
          </cell>
          <cell r="N4224">
            <v>55</v>
          </cell>
          <cell r="O4224" t="str">
            <v>155(F)</v>
          </cell>
          <cell r="P4224" t="str">
            <v>270°</v>
          </cell>
          <cell r="Q4224" t="str">
            <v>-</v>
          </cell>
          <cell r="R4224" t="str">
            <v>-</v>
          </cell>
          <cell r="S4224" t="str">
            <v>-</v>
          </cell>
          <cell r="T4224" t="str">
            <v>-</v>
          </cell>
          <cell r="U4224" t="str">
            <v>-</v>
          </cell>
          <cell r="V4224" t="str">
            <v>SS</v>
          </cell>
          <cell r="W4224" t="str">
            <v>-</v>
          </cell>
          <cell r="X4224" t="str">
            <v>CLP 220 (-15/+40°C)</v>
          </cell>
          <cell r="Y4224" t="str">
            <v>KH107DRN132L4</v>
          </cell>
          <cell r="Z4224" t="str">
            <v>SEW</v>
          </cell>
          <cell r="AB4224" t="str">
            <v>-</v>
          </cell>
          <cell r="AD4224" t="str">
            <v>BIS</v>
          </cell>
          <cell r="AF4224">
            <v>13</v>
          </cell>
          <cell r="AG4224" t="str">
            <v>DRN132L4</v>
          </cell>
          <cell r="AH4224" t="str">
            <v>KH107-DRN132L4B270-X</v>
          </cell>
        </row>
        <row r="4225">
          <cell r="A4225" t="str">
            <v>MR004214</v>
          </cell>
          <cell r="B4225" t="str">
            <v>MR</v>
          </cell>
          <cell r="C4225">
            <v>9.1999999999999993</v>
          </cell>
          <cell r="D4225">
            <v>15</v>
          </cell>
          <cell r="E4225" t="str">
            <v>KH107</v>
          </cell>
          <cell r="F4225">
            <v>6020</v>
          </cell>
          <cell r="G4225">
            <v>100.75</v>
          </cell>
          <cell r="H4225">
            <v>1.35</v>
          </cell>
          <cell r="I4225" t="str">
            <v>From M1A to M2A - 30°</v>
          </cell>
          <cell r="J4225" t="str">
            <v>IE3</v>
          </cell>
          <cell r="K4225" t="str">
            <v>240/415</v>
          </cell>
          <cell r="L4225">
            <v>50</v>
          </cell>
          <cell r="M4225" t="str">
            <v>31/18</v>
          </cell>
          <cell r="N4225">
            <v>55</v>
          </cell>
          <cell r="O4225" t="str">
            <v>155(F)</v>
          </cell>
          <cell r="P4225" t="str">
            <v>270°</v>
          </cell>
          <cell r="Q4225" t="str">
            <v>-</v>
          </cell>
          <cell r="R4225" t="str">
            <v>-</v>
          </cell>
          <cell r="S4225" t="str">
            <v>-</v>
          </cell>
          <cell r="T4225" t="str">
            <v>-</v>
          </cell>
          <cell r="U4225" t="str">
            <v>-</v>
          </cell>
          <cell r="V4225" t="str">
            <v>SS</v>
          </cell>
          <cell r="W4225" t="str">
            <v>-</v>
          </cell>
          <cell r="X4225" t="str">
            <v>CLP 220 (-15/+40°C)</v>
          </cell>
          <cell r="Y4225" t="str">
            <v>KH107DRN132L4</v>
          </cell>
          <cell r="Z4225" t="str">
            <v>SEW</v>
          </cell>
          <cell r="AB4225" t="str">
            <v>-</v>
          </cell>
          <cell r="AD4225" t="str">
            <v>BIS</v>
          </cell>
          <cell r="AF4225">
            <v>15</v>
          </cell>
          <cell r="AG4225" t="str">
            <v>DRN132L4</v>
          </cell>
          <cell r="AH4225" t="str">
            <v>KH107-DRN132L4A270-X</v>
          </cell>
        </row>
        <row r="4226">
          <cell r="A4226" t="str">
            <v>MR004215</v>
          </cell>
          <cell r="B4226" t="str">
            <v>MR</v>
          </cell>
          <cell r="C4226">
            <v>11</v>
          </cell>
          <cell r="D4226">
            <v>16</v>
          </cell>
          <cell r="E4226" t="str">
            <v>KH107</v>
          </cell>
          <cell r="F4226">
            <v>6480</v>
          </cell>
          <cell r="G4226">
            <v>90.96</v>
          </cell>
          <cell r="H4226">
            <v>1.25</v>
          </cell>
          <cell r="I4226" t="str">
            <v>From M1A to M2A - 10°</v>
          </cell>
          <cell r="J4226" t="str">
            <v>IE3</v>
          </cell>
          <cell r="K4226" t="str">
            <v>240/415</v>
          </cell>
          <cell r="L4226">
            <v>50</v>
          </cell>
          <cell r="M4226" t="str">
            <v>35/20</v>
          </cell>
          <cell r="N4226">
            <v>55</v>
          </cell>
          <cell r="O4226" t="str">
            <v>155(F)</v>
          </cell>
          <cell r="P4226" t="str">
            <v>270°</v>
          </cell>
          <cell r="Q4226" t="str">
            <v>-</v>
          </cell>
          <cell r="R4226" t="str">
            <v>-</v>
          </cell>
          <cell r="S4226" t="str">
            <v>-</v>
          </cell>
          <cell r="T4226" t="str">
            <v>-</v>
          </cell>
          <cell r="U4226" t="str">
            <v>-</v>
          </cell>
          <cell r="V4226" t="str">
            <v>SS</v>
          </cell>
          <cell r="W4226" t="str">
            <v>-</v>
          </cell>
          <cell r="X4226" t="str">
            <v>CLP 220 (-15/+40°C)</v>
          </cell>
          <cell r="Y4226" t="str">
            <v>KH107DRN160M4</v>
          </cell>
          <cell r="Z4226" t="str">
            <v>SEW</v>
          </cell>
          <cell r="AB4226" t="str">
            <v>-</v>
          </cell>
          <cell r="AD4226" t="str">
            <v>BIS</v>
          </cell>
          <cell r="AF4226">
            <v>16</v>
          </cell>
          <cell r="AG4226" t="str">
            <v>DRN160M4</v>
          </cell>
          <cell r="AH4226" t="str">
            <v>KH107-DRN160M4A270-X</v>
          </cell>
        </row>
        <row r="4227">
          <cell r="A4227" t="str">
            <v>MR004216</v>
          </cell>
          <cell r="B4227" t="str">
            <v>MR</v>
          </cell>
          <cell r="C4227">
            <v>9.1999999999999993</v>
          </cell>
          <cell r="D4227">
            <v>25</v>
          </cell>
          <cell r="E4227" t="str">
            <v>R107</v>
          </cell>
          <cell r="F4227">
            <v>3550</v>
          </cell>
          <cell r="G4227">
            <v>59.41</v>
          </cell>
          <cell r="H4227">
            <v>1.2</v>
          </cell>
          <cell r="I4227" t="str">
            <v>M1</v>
          </cell>
          <cell r="J4227" t="str">
            <v>IE3</v>
          </cell>
          <cell r="K4227" t="str">
            <v>240/415</v>
          </cell>
          <cell r="L4227">
            <v>50</v>
          </cell>
          <cell r="M4227" t="str">
            <v>31/18</v>
          </cell>
          <cell r="N4227">
            <v>55</v>
          </cell>
          <cell r="O4227" t="str">
            <v>155(F)</v>
          </cell>
          <cell r="P4227" t="str">
            <v>270°</v>
          </cell>
          <cell r="Q4227" t="str">
            <v>TF</v>
          </cell>
          <cell r="R4227" t="str">
            <v>V(VE)</v>
          </cell>
          <cell r="S4227" t="str">
            <v>-</v>
          </cell>
          <cell r="T4227" t="str">
            <v>-</v>
          </cell>
          <cell r="U4227" t="str">
            <v>-</v>
          </cell>
          <cell r="V4227" t="str">
            <v>FC</v>
          </cell>
          <cell r="W4227" t="str">
            <v>-</v>
          </cell>
          <cell r="X4227" t="str">
            <v>CLP 220 (-15/+40°C)</v>
          </cell>
          <cell r="Y4227" t="str">
            <v>R107DRN132L4 /TF/V</v>
          </cell>
          <cell r="Z4227" t="str">
            <v>SEW</v>
          </cell>
          <cell r="AB4227" t="str">
            <v>-</v>
          </cell>
          <cell r="AD4227" t="str">
            <v>BIS</v>
          </cell>
          <cell r="AF4227">
            <v>25</v>
          </cell>
          <cell r="AG4227" t="str">
            <v>DRN132L4</v>
          </cell>
          <cell r="AH4227" t="str">
            <v>R107-DRN132L4270-X#</v>
          </cell>
        </row>
        <row r="4228">
          <cell r="A4228" t="str">
            <v>MR004217</v>
          </cell>
          <cell r="B4228" t="str">
            <v>MR</v>
          </cell>
          <cell r="C4228">
            <v>7.5</v>
          </cell>
          <cell r="D4228">
            <v>15</v>
          </cell>
          <cell r="E4228" t="str">
            <v>KH107</v>
          </cell>
          <cell r="F4228">
            <v>4910</v>
          </cell>
          <cell r="G4228">
            <v>100.75</v>
          </cell>
          <cell r="H4228">
            <v>1.65</v>
          </cell>
          <cell r="I4228" t="str">
            <v>From M1A to M2A - 20°</v>
          </cell>
          <cell r="J4228" t="str">
            <v>IE3</v>
          </cell>
          <cell r="K4228" t="str">
            <v>240/415</v>
          </cell>
          <cell r="L4228">
            <v>50</v>
          </cell>
          <cell r="M4228" t="str">
            <v>25,5/14,7</v>
          </cell>
          <cell r="N4228">
            <v>55</v>
          </cell>
          <cell r="O4228" t="str">
            <v>155(F)</v>
          </cell>
          <cell r="P4228" t="str">
            <v>270°</v>
          </cell>
          <cell r="Q4228" t="str">
            <v>-</v>
          </cell>
          <cell r="R4228" t="str">
            <v>-</v>
          </cell>
          <cell r="S4228" t="str">
            <v>-</v>
          </cell>
          <cell r="T4228" t="str">
            <v>-</v>
          </cell>
          <cell r="U4228" t="str">
            <v>-</v>
          </cell>
          <cell r="V4228" t="str">
            <v>SS</v>
          </cell>
          <cell r="W4228" t="str">
            <v>-</v>
          </cell>
          <cell r="X4228" t="str">
            <v>CLP 220 (-15/+40°C)</v>
          </cell>
          <cell r="Y4228" t="str">
            <v>KH107DRN132M4</v>
          </cell>
          <cell r="Z4228" t="str">
            <v>SEW</v>
          </cell>
          <cell r="AB4228" t="str">
            <v>-</v>
          </cell>
          <cell r="AD4228" t="str">
            <v>BIS</v>
          </cell>
          <cell r="AF4228">
            <v>15</v>
          </cell>
          <cell r="AG4228" t="str">
            <v>DRN132M4</v>
          </cell>
          <cell r="AH4228" t="str">
            <v>KH107-DRN132M4A270-X</v>
          </cell>
        </row>
        <row r="4229">
          <cell r="A4229" t="str">
            <v>MR004218</v>
          </cell>
          <cell r="B4229" t="str">
            <v>MR</v>
          </cell>
          <cell r="C4229">
            <v>7.5</v>
          </cell>
          <cell r="D4229">
            <v>15</v>
          </cell>
          <cell r="E4229" t="str">
            <v>KH107</v>
          </cell>
          <cell r="F4229">
            <v>4910</v>
          </cell>
          <cell r="G4229">
            <v>100.75</v>
          </cell>
          <cell r="H4229">
            <v>1.65</v>
          </cell>
          <cell r="I4229" t="str">
            <v>From M1B to M2B - 20°</v>
          </cell>
          <cell r="J4229" t="str">
            <v>IE3</v>
          </cell>
          <cell r="K4229" t="str">
            <v>240/415</v>
          </cell>
          <cell r="L4229">
            <v>50</v>
          </cell>
          <cell r="M4229" t="str">
            <v>25,5/14,7</v>
          </cell>
          <cell r="N4229">
            <v>55</v>
          </cell>
          <cell r="O4229" t="str">
            <v>155(F)</v>
          </cell>
          <cell r="P4229" t="str">
            <v>270°</v>
          </cell>
          <cell r="Q4229" t="str">
            <v>-</v>
          </cell>
          <cell r="R4229" t="str">
            <v>-</v>
          </cell>
          <cell r="S4229" t="str">
            <v>-</v>
          </cell>
          <cell r="T4229" t="str">
            <v>-</v>
          </cell>
          <cell r="U4229" t="str">
            <v>-</v>
          </cell>
          <cell r="V4229" t="str">
            <v>SS</v>
          </cell>
          <cell r="W4229" t="str">
            <v>-</v>
          </cell>
          <cell r="X4229" t="str">
            <v>CLP 220 (-15/+40°C)</v>
          </cell>
          <cell r="Y4229" t="str">
            <v>KH107DRN132M4</v>
          </cell>
          <cell r="Z4229" t="str">
            <v>SEW</v>
          </cell>
          <cell r="AB4229" t="str">
            <v>-</v>
          </cell>
          <cell r="AD4229" t="str">
            <v>BIS</v>
          </cell>
          <cell r="AF4229">
            <v>15</v>
          </cell>
          <cell r="AG4229" t="str">
            <v>DRN132M4</v>
          </cell>
          <cell r="AH4229" t="str">
            <v>KH107-DRN132M4B270-X</v>
          </cell>
        </row>
        <row r="4230">
          <cell r="A4230" t="str">
            <v>MR004219</v>
          </cell>
          <cell r="B4230" t="str">
            <v>MR</v>
          </cell>
          <cell r="C4230">
            <v>7.5</v>
          </cell>
          <cell r="D4230">
            <v>63</v>
          </cell>
          <cell r="E4230" t="str">
            <v>R87</v>
          </cell>
          <cell r="F4230">
            <v>1140</v>
          </cell>
          <cell r="G4230">
            <v>23.4</v>
          </cell>
          <cell r="H4230">
            <v>1.35</v>
          </cell>
          <cell r="I4230" t="str">
            <v>M1</v>
          </cell>
          <cell r="J4230" t="str">
            <v>IE3</v>
          </cell>
          <cell r="K4230" t="str">
            <v>240/415</v>
          </cell>
          <cell r="L4230">
            <v>50</v>
          </cell>
          <cell r="M4230" t="str">
            <v>25,5/14,7</v>
          </cell>
          <cell r="N4230">
            <v>55</v>
          </cell>
          <cell r="O4230" t="str">
            <v>155(F)</v>
          </cell>
          <cell r="P4230" t="str">
            <v>270°</v>
          </cell>
          <cell r="Q4230" t="str">
            <v>-</v>
          </cell>
          <cell r="R4230" t="str">
            <v>-</v>
          </cell>
          <cell r="S4230" t="str">
            <v>-</v>
          </cell>
          <cell r="T4230" t="str">
            <v>-</v>
          </cell>
          <cell r="U4230" t="str">
            <v>-</v>
          </cell>
          <cell r="V4230" t="str">
            <v>D</v>
          </cell>
          <cell r="W4230" t="str">
            <v>-</v>
          </cell>
          <cell r="X4230" t="str">
            <v>CLP 220 (-15/+40°C)</v>
          </cell>
          <cell r="Y4230" t="str">
            <v>R87DRN132M4</v>
          </cell>
          <cell r="Z4230" t="str">
            <v>SEW</v>
          </cell>
          <cell r="AB4230" t="str">
            <v>-</v>
          </cell>
          <cell r="AD4230" t="str">
            <v>BIS</v>
          </cell>
          <cell r="AF4230">
            <v>63</v>
          </cell>
          <cell r="AG4230" t="str">
            <v>DRN132M4</v>
          </cell>
          <cell r="AH4230" t="str">
            <v>R87-DRN132M4270-X</v>
          </cell>
        </row>
        <row r="4231">
          <cell r="A4231" t="str">
            <v>MR004220</v>
          </cell>
          <cell r="B4231" t="str">
            <v>MR</v>
          </cell>
          <cell r="C4231">
            <v>5.5</v>
          </cell>
          <cell r="D4231">
            <v>14</v>
          </cell>
          <cell r="E4231" t="str">
            <v>KH97</v>
          </cell>
          <cell r="F4231">
            <v>3770</v>
          </cell>
          <cell r="G4231">
            <v>105.13</v>
          </cell>
          <cell r="H4231">
            <v>1.1499999999999999</v>
          </cell>
          <cell r="I4231" t="str">
            <v>From M1A to M2A - 10°</v>
          </cell>
          <cell r="J4231" t="str">
            <v>IE3</v>
          </cell>
          <cell r="K4231" t="str">
            <v>240/415</v>
          </cell>
          <cell r="L4231">
            <v>50</v>
          </cell>
          <cell r="M4231" t="str">
            <v>17,4/10,1</v>
          </cell>
          <cell r="N4231">
            <v>55</v>
          </cell>
          <cell r="O4231" t="str">
            <v>155(F)</v>
          </cell>
          <cell r="P4231" t="str">
            <v>270°</v>
          </cell>
          <cell r="Q4231" t="str">
            <v>-</v>
          </cell>
          <cell r="R4231" t="str">
            <v>-</v>
          </cell>
          <cell r="S4231" t="str">
            <v>-</v>
          </cell>
          <cell r="T4231" t="str">
            <v>-</v>
          </cell>
          <cell r="U4231" t="str">
            <v>-</v>
          </cell>
          <cell r="V4231" t="str">
            <v>SS</v>
          </cell>
          <cell r="W4231" t="str">
            <v>-</v>
          </cell>
          <cell r="X4231" t="str">
            <v>CLP 220 (-15/+40°C)</v>
          </cell>
          <cell r="Y4231" t="str">
            <v>KH97DRN132S4</v>
          </cell>
          <cell r="Z4231" t="str">
            <v>SEW</v>
          </cell>
          <cell r="AB4231" t="str">
            <v>-</v>
          </cell>
          <cell r="AD4231" t="str">
            <v>BIS</v>
          </cell>
          <cell r="AF4231">
            <v>14</v>
          </cell>
          <cell r="AG4231" t="str">
            <v>DRN132S4</v>
          </cell>
          <cell r="AH4231" t="str">
            <v>KH97-DRN132S4A270-X</v>
          </cell>
        </row>
        <row r="4232">
          <cell r="A4232" t="str">
            <v>MR004221</v>
          </cell>
          <cell r="B4232" t="str">
            <v>MR</v>
          </cell>
          <cell r="C4232">
            <v>11</v>
          </cell>
          <cell r="D4232">
            <v>16</v>
          </cell>
          <cell r="E4232" t="str">
            <v>KH107</v>
          </cell>
          <cell r="F4232">
            <v>6480</v>
          </cell>
          <cell r="G4232">
            <v>90.96</v>
          </cell>
          <cell r="H4232">
            <v>1.25</v>
          </cell>
          <cell r="I4232" t="str">
            <v>From M1A to M2A - 25°</v>
          </cell>
          <cell r="J4232" t="str">
            <v>IE3</v>
          </cell>
          <cell r="K4232" t="str">
            <v>240/415</v>
          </cell>
          <cell r="L4232">
            <v>50</v>
          </cell>
          <cell r="M4232" t="str">
            <v>35/20</v>
          </cell>
          <cell r="N4232">
            <v>55</v>
          </cell>
          <cell r="O4232" t="str">
            <v>155(F)</v>
          </cell>
          <cell r="P4232" t="str">
            <v>270°</v>
          </cell>
          <cell r="Q4232" t="str">
            <v>-</v>
          </cell>
          <cell r="R4232" t="str">
            <v>-</v>
          </cell>
          <cell r="S4232" t="str">
            <v>-</v>
          </cell>
          <cell r="T4232" t="str">
            <v>-</v>
          </cell>
          <cell r="U4232" t="str">
            <v>-</v>
          </cell>
          <cell r="V4232" t="str">
            <v>SS</v>
          </cell>
          <cell r="W4232" t="str">
            <v>-</v>
          </cell>
          <cell r="X4232" t="str">
            <v>CLP 220 (-15/+40°C)</v>
          </cell>
          <cell r="Y4232" t="str">
            <v>KH107DRN160M4</v>
          </cell>
          <cell r="Z4232" t="str">
            <v>SEW</v>
          </cell>
          <cell r="AB4232" t="str">
            <v>-</v>
          </cell>
          <cell r="AD4232" t="str">
            <v>BIS</v>
          </cell>
          <cell r="AF4232">
            <v>16</v>
          </cell>
          <cell r="AG4232" t="str">
            <v>DRN160M4</v>
          </cell>
          <cell r="AH4232" t="str">
            <v>KH107-DRN160M4A270-X</v>
          </cell>
        </row>
        <row r="4233">
          <cell r="A4233" t="str">
            <v>MR004222</v>
          </cell>
          <cell r="B4233" t="str">
            <v>MR</v>
          </cell>
          <cell r="C4233">
            <v>11</v>
          </cell>
          <cell r="D4233">
            <v>16</v>
          </cell>
          <cell r="E4233" t="str">
            <v>KH107</v>
          </cell>
          <cell r="F4233">
            <v>6480</v>
          </cell>
          <cell r="G4233">
            <v>90.96</v>
          </cell>
          <cell r="H4233">
            <v>1.25</v>
          </cell>
          <cell r="I4233" t="str">
            <v>From M1B to M2B - 25°</v>
          </cell>
          <cell r="J4233" t="str">
            <v>IE3</v>
          </cell>
          <cell r="K4233" t="str">
            <v>240/415</v>
          </cell>
          <cell r="L4233">
            <v>50</v>
          </cell>
          <cell r="M4233" t="str">
            <v>35/20</v>
          </cell>
          <cell r="N4233">
            <v>55</v>
          </cell>
          <cell r="O4233" t="str">
            <v>155(F)</v>
          </cell>
          <cell r="P4233" t="str">
            <v>270°</v>
          </cell>
          <cell r="Q4233" t="str">
            <v>-</v>
          </cell>
          <cell r="R4233" t="str">
            <v>-</v>
          </cell>
          <cell r="S4233" t="str">
            <v>-</v>
          </cell>
          <cell r="T4233" t="str">
            <v>-</v>
          </cell>
          <cell r="U4233" t="str">
            <v>-</v>
          </cell>
          <cell r="V4233" t="str">
            <v>SS</v>
          </cell>
          <cell r="W4233" t="str">
            <v>-</v>
          </cell>
          <cell r="X4233" t="str">
            <v>CLP 220 (-15/+40°C)</v>
          </cell>
          <cell r="Y4233" t="str">
            <v>KH107DRN160M4</v>
          </cell>
          <cell r="Z4233" t="str">
            <v>SEW</v>
          </cell>
          <cell r="AB4233" t="str">
            <v>-</v>
          </cell>
          <cell r="AD4233" t="str">
            <v>BIS</v>
          </cell>
          <cell r="AF4233">
            <v>16</v>
          </cell>
          <cell r="AG4233" t="str">
            <v>DRN160M4</v>
          </cell>
          <cell r="AH4233" t="str">
            <v>KH107-DRN160M4B270-X</v>
          </cell>
        </row>
        <row r="4234">
          <cell r="A4234" t="str">
            <v>MR004223</v>
          </cell>
          <cell r="B4234" t="str">
            <v>MR</v>
          </cell>
          <cell r="C4234">
            <v>7.5</v>
          </cell>
          <cell r="D4234">
            <v>63</v>
          </cell>
          <cell r="E4234" t="str">
            <v>R87</v>
          </cell>
          <cell r="F4234">
            <v>1140</v>
          </cell>
          <cell r="G4234">
            <v>23.4</v>
          </cell>
          <cell r="H4234">
            <v>1.35</v>
          </cell>
          <cell r="I4234" t="str">
            <v>M1</v>
          </cell>
          <cell r="J4234" t="str">
            <v>IE3</v>
          </cell>
          <cell r="K4234" t="str">
            <v>240/415</v>
          </cell>
          <cell r="L4234">
            <v>50</v>
          </cell>
          <cell r="M4234" t="str">
            <v>25,5/14,7</v>
          </cell>
          <cell r="N4234">
            <v>55</v>
          </cell>
          <cell r="O4234" t="str">
            <v>155(F)</v>
          </cell>
          <cell r="P4234" t="str">
            <v>270°</v>
          </cell>
          <cell r="Q4234" t="str">
            <v>-</v>
          </cell>
          <cell r="R4234" t="str">
            <v>-</v>
          </cell>
          <cell r="S4234" t="str">
            <v>-</v>
          </cell>
          <cell r="T4234" t="str">
            <v>-</v>
          </cell>
          <cell r="U4234" t="str">
            <v>-</v>
          </cell>
          <cell r="V4234" t="str">
            <v>D+R</v>
          </cell>
          <cell r="W4234" t="str">
            <v>-</v>
          </cell>
          <cell r="X4234" t="str">
            <v>CLP 220 (-15/+40°C)</v>
          </cell>
          <cell r="Y4234" t="str">
            <v>R87DRN132M4</v>
          </cell>
          <cell r="Z4234" t="str">
            <v>SEW</v>
          </cell>
          <cell r="AB4234" t="str">
            <v>-</v>
          </cell>
          <cell r="AD4234" t="str">
            <v>BIS</v>
          </cell>
          <cell r="AF4234">
            <v>63</v>
          </cell>
          <cell r="AG4234" t="str">
            <v>DRN132M4</v>
          </cell>
          <cell r="AH4234" t="str">
            <v>R87-DRN132M4270-X</v>
          </cell>
        </row>
        <row r="4235">
          <cell r="A4235" t="str">
            <v>MR004224</v>
          </cell>
          <cell r="B4235" t="str">
            <v>MR</v>
          </cell>
          <cell r="C4235">
            <v>7.5</v>
          </cell>
          <cell r="D4235">
            <v>15</v>
          </cell>
          <cell r="E4235" t="str">
            <v>KH107</v>
          </cell>
          <cell r="F4235">
            <v>4910</v>
          </cell>
          <cell r="G4235">
            <v>100.75</v>
          </cell>
          <cell r="H4235">
            <v>1.65</v>
          </cell>
          <cell r="I4235" t="str">
            <v>From M1A to M2A - 15°</v>
          </cell>
          <cell r="J4235" t="str">
            <v>IE3</v>
          </cell>
          <cell r="K4235" t="str">
            <v>240/415</v>
          </cell>
          <cell r="L4235">
            <v>50</v>
          </cell>
          <cell r="M4235" t="str">
            <v>25,5/14,7</v>
          </cell>
          <cell r="N4235">
            <v>55</v>
          </cell>
          <cell r="O4235" t="str">
            <v>155(F)</v>
          </cell>
          <cell r="P4235" t="str">
            <v>270°</v>
          </cell>
          <cell r="Q4235" t="str">
            <v>TF</v>
          </cell>
          <cell r="R4235" t="str">
            <v>V(VE)</v>
          </cell>
          <cell r="S4235" t="str">
            <v>-</v>
          </cell>
          <cell r="T4235" t="str">
            <v>-</v>
          </cell>
          <cell r="U4235" t="str">
            <v>-</v>
          </cell>
          <cell r="V4235" t="str">
            <v>FC</v>
          </cell>
          <cell r="W4235" t="str">
            <v>-</v>
          </cell>
          <cell r="X4235" t="str">
            <v>CLP 220 (-15/+40°C)</v>
          </cell>
          <cell r="Y4235" t="str">
            <v>KH107DRN132M4 /TF/V</v>
          </cell>
          <cell r="Z4235" t="str">
            <v>SEW</v>
          </cell>
          <cell r="AB4235" t="str">
            <v>-</v>
          </cell>
          <cell r="AD4235" t="str">
            <v>BIS</v>
          </cell>
          <cell r="AF4235">
            <v>15</v>
          </cell>
          <cell r="AG4235" t="str">
            <v>DRN132M4</v>
          </cell>
          <cell r="AH4235" t="str">
            <v>KH107-DRN132M4A270-X#</v>
          </cell>
        </row>
        <row r="4236">
          <cell r="A4236" t="str">
            <v>MR004225</v>
          </cell>
          <cell r="B4236" t="str">
            <v>MR</v>
          </cell>
          <cell r="C4236">
            <v>7.5</v>
          </cell>
          <cell r="D4236">
            <v>15</v>
          </cell>
          <cell r="E4236" t="str">
            <v>KH107</v>
          </cell>
          <cell r="F4236">
            <v>4910</v>
          </cell>
          <cell r="G4236">
            <v>100.75</v>
          </cell>
          <cell r="H4236">
            <v>1.65</v>
          </cell>
          <cell r="I4236" t="str">
            <v>From M1B to M2B - 15°</v>
          </cell>
          <cell r="J4236" t="str">
            <v>IE3</v>
          </cell>
          <cell r="K4236" t="str">
            <v>240/415</v>
          </cell>
          <cell r="L4236">
            <v>50</v>
          </cell>
          <cell r="M4236" t="str">
            <v>25,5/14,7</v>
          </cell>
          <cell r="N4236">
            <v>55</v>
          </cell>
          <cell r="O4236" t="str">
            <v>155(F)</v>
          </cell>
          <cell r="P4236" t="str">
            <v>270°</v>
          </cell>
          <cell r="Q4236" t="str">
            <v>TF</v>
          </cell>
          <cell r="R4236" t="str">
            <v>V(VE)</v>
          </cell>
          <cell r="S4236" t="str">
            <v>-</v>
          </cell>
          <cell r="T4236" t="str">
            <v>-</v>
          </cell>
          <cell r="U4236" t="str">
            <v>-</v>
          </cell>
          <cell r="V4236" t="str">
            <v>FC</v>
          </cell>
          <cell r="W4236" t="str">
            <v>-</v>
          </cell>
          <cell r="X4236" t="str">
            <v>CLP 220 (-15/+40°C)</v>
          </cell>
          <cell r="Y4236" t="str">
            <v>KH107DRN132M4 /TF/V</v>
          </cell>
          <cell r="Z4236" t="str">
            <v>SEW</v>
          </cell>
          <cell r="AB4236" t="str">
            <v>-</v>
          </cell>
          <cell r="AD4236" t="str">
            <v>BIS</v>
          </cell>
          <cell r="AF4236">
            <v>15</v>
          </cell>
          <cell r="AG4236" t="str">
            <v>DRN132M4</v>
          </cell>
          <cell r="AH4236" t="str">
            <v>KH107-DRN132M4B270-X#</v>
          </cell>
        </row>
        <row r="4237">
          <cell r="A4237" t="str">
            <v>MR004226</v>
          </cell>
          <cell r="B4237" t="str">
            <v>MR</v>
          </cell>
          <cell r="C4237">
            <v>5.5</v>
          </cell>
          <cell r="D4237">
            <v>14</v>
          </cell>
          <cell r="E4237" t="str">
            <v>KH97</v>
          </cell>
          <cell r="F4237">
            <v>3770</v>
          </cell>
          <cell r="G4237">
            <v>105.13</v>
          </cell>
          <cell r="H4237">
            <v>1.1499999999999999</v>
          </cell>
          <cell r="I4237" t="str">
            <v>From M1A to M2A - 20°</v>
          </cell>
          <cell r="J4237" t="str">
            <v>IE3</v>
          </cell>
          <cell r="K4237" t="str">
            <v>240/415</v>
          </cell>
          <cell r="L4237">
            <v>50</v>
          </cell>
          <cell r="M4237" t="str">
            <v>17,4/10,1</v>
          </cell>
          <cell r="N4237">
            <v>55</v>
          </cell>
          <cell r="O4237" t="str">
            <v>155(F)</v>
          </cell>
          <cell r="P4237" t="str">
            <v>270°</v>
          </cell>
          <cell r="Q4237" t="str">
            <v>-</v>
          </cell>
          <cell r="R4237" t="str">
            <v>-</v>
          </cell>
          <cell r="S4237" t="str">
            <v>-</v>
          </cell>
          <cell r="T4237" t="str">
            <v>-</v>
          </cell>
          <cell r="U4237" t="str">
            <v>-</v>
          </cell>
          <cell r="V4237" t="str">
            <v>SS</v>
          </cell>
          <cell r="W4237" t="str">
            <v>-</v>
          </cell>
          <cell r="X4237" t="str">
            <v>CLP 220 (-15/+40°C)</v>
          </cell>
          <cell r="Y4237" t="str">
            <v>KH97DRN132S4</v>
          </cell>
          <cell r="Z4237" t="str">
            <v>SEW</v>
          </cell>
          <cell r="AB4237" t="str">
            <v>-</v>
          </cell>
          <cell r="AD4237" t="str">
            <v>BIS</v>
          </cell>
          <cell r="AF4237">
            <v>14</v>
          </cell>
          <cell r="AG4237" t="str">
            <v>DRN132S4</v>
          </cell>
          <cell r="AH4237" t="str">
            <v>KH97-DRN132S4A270-X</v>
          </cell>
        </row>
        <row r="4238">
          <cell r="A4238" t="str">
            <v>MR004227</v>
          </cell>
          <cell r="B4238" t="str">
            <v>MR</v>
          </cell>
          <cell r="C4238">
            <v>18.5</v>
          </cell>
          <cell r="D4238">
            <v>16</v>
          </cell>
          <cell r="E4238" t="str">
            <v>KH127</v>
          </cell>
          <cell r="F4238">
            <v>10700</v>
          </cell>
          <cell r="G4238">
            <v>89.89</v>
          </cell>
          <cell r="H4238">
            <v>1.2</v>
          </cell>
          <cell r="I4238" t="str">
            <v>From M1A to M2A - 15°</v>
          </cell>
          <cell r="J4238" t="str">
            <v>IE3</v>
          </cell>
          <cell r="K4238" t="str">
            <v>240/415</v>
          </cell>
          <cell r="L4238">
            <v>50</v>
          </cell>
          <cell r="M4238" t="str">
            <v>55/32</v>
          </cell>
          <cell r="N4238">
            <v>55</v>
          </cell>
          <cell r="O4238" t="str">
            <v>155(F)</v>
          </cell>
          <cell r="P4238" t="str">
            <v>270°</v>
          </cell>
          <cell r="Q4238" t="str">
            <v>TF</v>
          </cell>
          <cell r="R4238" t="str">
            <v>V(VE)</v>
          </cell>
          <cell r="S4238" t="str">
            <v>-</v>
          </cell>
          <cell r="T4238" t="str">
            <v>-</v>
          </cell>
          <cell r="U4238" t="str">
            <v>-</v>
          </cell>
          <cell r="V4238" t="str">
            <v>FC</v>
          </cell>
          <cell r="W4238" t="str">
            <v>-</v>
          </cell>
          <cell r="X4238" t="str">
            <v>CLP 220 (-15/+40°C)</v>
          </cell>
          <cell r="Y4238" t="str">
            <v>KH127DRN180M4 /TF/V</v>
          </cell>
          <cell r="Z4238" t="str">
            <v>SEW</v>
          </cell>
          <cell r="AB4238" t="str">
            <v>-</v>
          </cell>
          <cell r="AD4238" t="str">
            <v>BIS</v>
          </cell>
          <cell r="AF4238">
            <v>16</v>
          </cell>
          <cell r="AG4238" t="str">
            <v>DRN180M4</v>
          </cell>
          <cell r="AH4238" t="str">
            <v>KH127-DRN180M4A270-X#</v>
          </cell>
        </row>
        <row r="4239">
          <cell r="A4239" t="str">
            <v>MR004228</v>
          </cell>
          <cell r="B4239" t="str">
            <v>MR</v>
          </cell>
          <cell r="C4239">
            <v>15</v>
          </cell>
          <cell r="D4239">
            <v>66</v>
          </cell>
          <cell r="E4239" t="str">
            <v>KH87</v>
          </cell>
          <cell r="F4239">
            <v>2170</v>
          </cell>
          <cell r="G4239">
            <v>22.41</v>
          </cell>
          <cell r="H4239">
            <v>1.05</v>
          </cell>
          <cell r="I4239" t="str">
            <v>From M3A to M4A - 20°</v>
          </cell>
          <cell r="J4239" t="str">
            <v>IE3</v>
          </cell>
          <cell r="K4239" t="str">
            <v>240/415</v>
          </cell>
          <cell r="L4239">
            <v>50</v>
          </cell>
          <cell r="M4239" t="str">
            <v>48/27,5</v>
          </cell>
          <cell r="N4239">
            <v>55</v>
          </cell>
          <cell r="O4239" t="str">
            <v>155(F)</v>
          </cell>
          <cell r="P4239" t="str">
            <v>180°</v>
          </cell>
          <cell r="Q4239" t="str">
            <v>TF</v>
          </cell>
          <cell r="R4239" t="str">
            <v>V(VE)</v>
          </cell>
          <cell r="S4239" t="str">
            <v>Free rotation CCW</v>
          </cell>
          <cell r="T4239" t="str">
            <v>-</v>
          </cell>
          <cell r="U4239" t="str">
            <v>T</v>
          </cell>
          <cell r="V4239" t="str">
            <v>FC</v>
          </cell>
          <cell r="W4239" t="str">
            <v>-</v>
          </cell>
          <cell r="X4239" t="str">
            <v>CLP 220 (-15/+40°C)</v>
          </cell>
          <cell r="Y4239" t="str">
            <v>KH87/T DRN160L4 /RS /TF/V</v>
          </cell>
          <cell r="Z4239" t="str">
            <v>SEW</v>
          </cell>
          <cell r="AB4239" t="str">
            <v>-</v>
          </cell>
          <cell r="AD4239" t="str">
            <v>BIS</v>
          </cell>
          <cell r="AF4239">
            <v>66</v>
          </cell>
          <cell r="AG4239" t="str">
            <v>DRN160L4</v>
          </cell>
          <cell r="AH4239" t="str">
            <v>KH87T-DRN160L4A180-X#</v>
          </cell>
        </row>
        <row r="4240">
          <cell r="A4240" t="str">
            <v>MR004229</v>
          </cell>
          <cell r="B4240" t="str">
            <v>MR</v>
          </cell>
          <cell r="C4240">
            <v>0.75</v>
          </cell>
          <cell r="D4240">
            <v>162</v>
          </cell>
          <cell r="E4240" t="str">
            <v>KA37</v>
          </cell>
          <cell r="F4240">
            <v>44</v>
          </cell>
          <cell r="G4240">
            <v>8.91</v>
          </cell>
          <cell r="H4240">
            <v>3.6</v>
          </cell>
          <cell r="I4240" t="str">
            <v>From M3A to M4A - 20°</v>
          </cell>
          <cell r="J4240" t="str">
            <v>IE3</v>
          </cell>
          <cell r="K4240" t="str">
            <v>240/415</v>
          </cell>
          <cell r="L4240">
            <v>50</v>
          </cell>
          <cell r="M4240" t="str">
            <v>2,9/1,69</v>
          </cell>
          <cell r="N4240">
            <v>55</v>
          </cell>
          <cell r="O4240" t="str">
            <v>155(F)</v>
          </cell>
          <cell r="P4240" t="str">
            <v>180°</v>
          </cell>
          <cell r="Q4240" t="str">
            <v>-</v>
          </cell>
          <cell r="R4240" t="str">
            <v>-</v>
          </cell>
          <cell r="S4240" t="str">
            <v>-</v>
          </cell>
          <cell r="T4240" t="str">
            <v>-</v>
          </cell>
          <cell r="U4240" t="str">
            <v>T</v>
          </cell>
          <cell r="V4240" t="str">
            <v>D</v>
          </cell>
          <cell r="W4240" t="str">
            <v>-</v>
          </cell>
          <cell r="X4240" t="str">
            <v>CLP 220 (-15/+40°C)</v>
          </cell>
          <cell r="Y4240" t="str">
            <v>KA37/T DRN80M4</v>
          </cell>
          <cell r="Z4240" t="str">
            <v>SEW</v>
          </cell>
          <cell r="AB4240" t="str">
            <v>-</v>
          </cell>
          <cell r="AD4240" t="str">
            <v>BIS</v>
          </cell>
          <cell r="AF4240">
            <v>162</v>
          </cell>
          <cell r="AG4240" t="str">
            <v>DRN80M4</v>
          </cell>
          <cell r="AH4240" t="str">
            <v>KA37T-DRN80M4A180-X</v>
          </cell>
        </row>
        <row r="4241">
          <cell r="A4241" t="str">
            <v>MR004230</v>
          </cell>
          <cell r="B4241" t="str">
            <v>MR</v>
          </cell>
          <cell r="C4241">
            <v>0.25</v>
          </cell>
          <cell r="D4241">
            <v>32</v>
          </cell>
          <cell r="E4241" t="str">
            <v>FA37</v>
          </cell>
          <cell r="F4241">
            <v>74</v>
          </cell>
          <cell r="G4241">
            <v>43.83</v>
          </cell>
          <cell r="H4241">
            <v>2.7</v>
          </cell>
          <cell r="I4241" t="str">
            <v>M1</v>
          </cell>
          <cell r="J4241" t="str">
            <v>IE3</v>
          </cell>
          <cell r="K4241" t="str">
            <v>240/415</v>
          </cell>
          <cell r="L4241">
            <v>50</v>
          </cell>
          <cell r="M4241" t="str">
            <v>1,21/0,7</v>
          </cell>
          <cell r="N4241">
            <v>55</v>
          </cell>
          <cell r="O4241" t="str">
            <v>155(F)</v>
          </cell>
          <cell r="P4241" t="str">
            <v>270°</v>
          </cell>
          <cell r="Q4241" t="str">
            <v>-</v>
          </cell>
          <cell r="R4241" t="str">
            <v>-</v>
          </cell>
          <cell r="S4241" t="str">
            <v>-</v>
          </cell>
          <cell r="T4241" t="str">
            <v>-</v>
          </cell>
          <cell r="U4241" t="str">
            <v>G</v>
          </cell>
          <cell r="V4241" t="str">
            <v>D</v>
          </cell>
          <cell r="W4241" t="str">
            <v>-</v>
          </cell>
          <cell r="X4241" t="str">
            <v>CLP 220 (-15/+40°C)</v>
          </cell>
          <cell r="Y4241" t="str">
            <v>FA37/G DRN71MS4</v>
          </cell>
          <cell r="Z4241" t="str">
            <v>SEW</v>
          </cell>
          <cell r="AB4241" t="str">
            <v>-</v>
          </cell>
          <cell r="AD4241" t="str">
            <v>BIS</v>
          </cell>
          <cell r="AF4241">
            <v>32</v>
          </cell>
          <cell r="AG4241" t="str">
            <v>DRN71MS4</v>
          </cell>
          <cell r="AH4241" t="str">
            <v>FA37G-DRN71MS4270-X</v>
          </cell>
        </row>
        <row r="4242">
          <cell r="A4242" t="str">
            <v>MR004231</v>
          </cell>
          <cell r="B4242" t="str">
            <v>MR</v>
          </cell>
          <cell r="C4242">
            <v>15</v>
          </cell>
          <cell r="D4242">
            <v>66</v>
          </cell>
          <cell r="E4242" t="str">
            <v>KH87</v>
          </cell>
          <cell r="F4242">
            <v>2170</v>
          </cell>
          <cell r="G4242">
            <v>22.41</v>
          </cell>
          <cell r="H4242">
            <v>1.05</v>
          </cell>
          <cell r="I4242" t="str">
            <v>From M3B to M4B - 20°</v>
          </cell>
          <cell r="J4242" t="str">
            <v>IE3</v>
          </cell>
          <cell r="K4242" t="str">
            <v>240/415</v>
          </cell>
          <cell r="L4242">
            <v>50</v>
          </cell>
          <cell r="M4242" t="str">
            <v>48/27,5</v>
          </cell>
          <cell r="N4242">
            <v>55</v>
          </cell>
          <cell r="O4242" t="str">
            <v>155(F)</v>
          </cell>
          <cell r="P4242" t="str">
            <v>0°</v>
          </cell>
          <cell r="Q4242" t="str">
            <v>TF</v>
          </cell>
          <cell r="R4242" t="str">
            <v>V(VE)</v>
          </cell>
          <cell r="S4242" t="str">
            <v>Free rotation CW</v>
          </cell>
          <cell r="T4242" t="str">
            <v>-</v>
          </cell>
          <cell r="U4242" t="str">
            <v>T</v>
          </cell>
          <cell r="V4242" t="str">
            <v>FC</v>
          </cell>
          <cell r="W4242" t="str">
            <v>-</v>
          </cell>
          <cell r="X4242" t="str">
            <v>CLP 220 (-15/+40°C)</v>
          </cell>
          <cell r="Y4242" t="str">
            <v>KH87/T DRN160L4 /RS /TF/V</v>
          </cell>
          <cell r="Z4242" t="str">
            <v>SEW</v>
          </cell>
          <cell r="AB4242" t="str">
            <v>-</v>
          </cell>
          <cell r="AD4242" t="str">
            <v>BIS</v>
          </cell>
          <cell r="AF4242">
            <v>66</v>
          </cell>
          <cell r="AG4242" t="str">
            <v>DRN160L4</v>
          </cell>
          <cell r="AH4242" t="str">
            <v>KH87T-DRN160L4B0-X#</v>
          </cell>
        </row>
        <row r="4243">
          <cell r="A4243" t="str">
            <v>MR004232</v>
          </cell>
          <cell r="B4243" t="str">
            <v>MR</v>
          </cell>
          <cell r="C4243">
            <v>0.75</v>
          </cell>
          <cell r="D4243">
            <v>162</v>
          </cell>
          <cell r="E4243" t="str">
            <v>KA37</v>
          </cell>
          <cell r="F4243">
            <v>44</v>
          </cell>
          <cell r="G4243">
            <v>8.91</v>
          </cell>
          <cell r="H4243">
            <v>3.6</v>
          </cell>
          <cell r="I4243" t="str">
            <v>From M3B to M4B - 20°</v>
          </cell>
          <cell r="J4243" t="str">
            <v>IE3</v>
          </cell>
          <cell r="K4243" t="str">
            <v>240/415</v>
          </cell>
          <cell r="L4243">
            <v>50</v>
          </cell>
          <cell r="M4243" t="str">
            <v>2,9/1,69</v>
          </cell>
          <cell r="N4243">
            <v>55</v>
          </cell>
          <cell r="O4243" t="str">
            <v>155(F)</v>
          </cell>
          <cell r="P4243" t="str">
            <v>0°</v>
          </cell>
          <cell r="Q4243" t="str">
            <v>-</v>
          </cell>
          <cell r="R4243" t="str">
            <v>-</v>
          </cell>
          <cell r="S4243" t="str">
            <v>-</v>
          </cell>
          <cell r="T4243" t="str">
            <v>-</v>
          </cell>
          <cell r="U4243" t="str">
            <v>T</v>
          </cell>
          <cell r="V4243" t="str">
            <v>D</v>
          </cell>
          <cell r="W4243" t="str">
            <v>-</v>
          </cell>
          <cell r="X4243" t="str">
            <v>CLP 220 (-15/+40°C)</v>
          </cell>
          <cell r="Y4243" t="str">
            <v>KA37/T DRN80M4</v>
          </cell>
          <cell r="Z4243" t="str">
            <v>SEW</v>
          </cell>
          <cell r="AB4243" t="str">
            <v>-</v>
          </cell>
          <cell r="AD4243" t="str">
            <v>BIS</v>
          </cell>
          <cell r="AF4243">
            <v>162</v>
          </cell>
          <cell r="AG4243" t="str">
            <v>DRN80M4</v>
          </cell>
          <cell r="AH4243" t="str">
            <v>KA37T-DRN80M4B0-X</v>
          </cell>
        </row>
        <row r="4244">
          <cell r="A4244" t="str">
            <v>MR004233</v>
          </cell>
          <cell r="B4244" t="str">
            <v>MR</v>
          </cell>
          <cell r="C4244">
            <v>5.5</v>
          </cell>
          <cell r="D4244">
            <v>72</v>
          </cell>
          <cell r="E4244" t="str">
            <v>KH77</v>
          </cell>
          <cell r="F4244">
            <v>725</v>
          </cell>
          <cell r="G4244">
            <v>20.25</v>
          </cell>
          <cell r="H4244">
            <v>2.1</v>
          </cell>
          <cell r="I4244" t="str">
            <v>M3A</v>
          </cell>
          <cell r="J4244" t="str">
            <v>IE3</v>
          </cell>
          <cell r="K4244" t="str">
            <v>240/415</v>
          </cell>
          <cell r="L4244">
            <v>50</v>
          </cell>
          <cell r="M4244" t="str">
            <v>17,4/10,1</v>
          </cell>
          <cell r="N4244">
            <v>55</v>
          </cell>
          <cell r="O4244" t="str">
            <v>155(F)</v>
          </cell>
          <cell r="P4244" t="str">
            <v>180°</v>
          </cell>
          <cell r="Q4244" t="str">
            <v>TF</v>
          </cell>
          <cell r="R4244" t="str">
            <v>V(VE)</v>
          </cell>
          <cell r="S4244" t="str">
            <v>Free rotation CCW</v>
          </cell>
          <cell r="T4244" t="str">
            <v>-</v>
          </cell>
          <cell r="U4244" t="str">
            <v>T</v>
          </cell>
          <cell r="V4244" t="str">
            <v>FC</v>
          </cell>
          <cell r="W4244" t="str">
            <v>-</v>
          </cell>
          <cell r="X4244" t="str">
            <v>CLP 220 (-15/+40°C)</v>
          </cell>
          <cell r="Y4244" t="str">
            <v>KH77/T DRN132S4 /RS /TF/V</v>
          </cell>
          <cell r="Z4244" t="str">
            <v>SEW</v>
          </cell>
          <cell r="AB4244" t="str">
            <v>-</v>
          </cell>
          <cell r="AD4244" t="str">
            <v>BIS</v>
          </cell>
          <cell r="AF4244">
            <v>72</v>
          </cell>
          <cell r="AG4244" t="str">
            <v>DRN132S4</v>
          </cell>
          <cell r="AH4244" t="str">
            <v>KH77T-DRN132S4A180-X#</v>
          </cell>
        </row>
        <row r="4245">
          <cell r="A4245" t="str">
            <v>MR004234</v>
          </cell>
          <cell r="B4245" t="str">
            <v>MR</v>
          </cell>
          <cell r="C4245">
            <v>0.75</v>
          </cell>
          <cell r="D4245">
            <v>162</v>
          </cell>
          <cell r="E4245" t="str">
            <v>KA37</v>
          </cell>
          <cell r="F4245">
            <v>44</v>
          </cell>
          <cell r="G4245">
            <v>8.91</v>
          </cell>
          <cell r="H4245">
            <v>3.6</v>
          </cell>
          <cell r="I4245" t="str">
            <v>M3A</v>
          </cell>
          <cell r="J4245" t="str">
            <v>IE3</v>
          </cell>
          <cell r="K4245" t="str">
            <v>240/415</v>
          </cell>
          <cell r="L4245">
            <v>50</v>
          </cell>
          <cell r="M4245" t="str">
            <v>2,9/1,69</v>
          </cell>
          <cell r="N4245">
            <v>55</v>
          </cell>
          <cell r="O4245" t="str">
            <v>155(F)</v>
          </cell>
          <cell r="P4245" t="str">
            <v>180°</v>
          </cell>
          <cell r="Q4245" t="str">
            <v>-</v>
          </cell>
          <cell r="R4245" t="str">
            <v>-</v>
          </cell>
          <cell r="S4245" t="str">
            <v>-</v>
          </cell>
          <cell r="T4245" t="str">
            <v>-</v>
          </cell>
          <cell r="U4245" t="str">
            <v>T</v>
          </cell>
          <cell r="V4245" t="str">
            <v>D</v>
          </cell>
          <cell r="W4245" t="str">
            <v>-</v>
          </cell>
          <cell r="X4245" t="str">
            <v>CLP 220 (-15/+40°C)</v>
          </cell>
          <cell r="Y4245" t="str">
            <v>KA37/T DRN80M4</v>
          </cell>
          <cell r="Z4245" t="str">
            <v>SEW</v>
          </cell>
          <cell r="AB4245" t="str">
            <v>-</v>
          </cell>
          <cell r="AD4245" t="str">
            <v>BIS</v>
          </cell>
          <cell r="AF4245">
            <v>162</v>
          </cell>
          <cell r="AG4245" t="str">
            <v>DRN80M4</v>
          </cell>
          <cell r="AH4245" t="str">
            <v>KA37T-DRN80M4A180-X</v>
          </cell>
        </row>
        <row r="4246">
          <cell r="A4246" t="str">
            <v>MR004235</v>
          </cell>
          <cell r="B4246" t="str">
            <v>MR</v>
          </cell>
          <cell r="C4246">
            <v>15</v>
          </cell>
          <cell r="D4246">
            <v>13</v>
          </cell>
          <cell r="E4246" t="str">
            <v>KH127</v>
          </cell>
          <cell r="F4246">
            <v>10700</v>
          </cell>
          <cell r="G4246">
            <v>110.18</v>
          </cell>
          <cell r="H4246">
            <v>1.2</v>
          </cell>
          <cell r="I4246" t="str">
            <v>From M1B to M2B - 30°</v>
          </cell>
          <cell r="J4246" t="str">
            <v>IE3</v>
          </cell>
          <cell r="K4246" t="str">
            <v>240/415</v>
          </cell>
          <cell r="L4246">
            <v>50</v>
          </cell>
          <cell r="M4246" t="str">
            <v>48/27,5</v>
          </cell>
          <cell r="N4246">
            <v>55</v>
          </cell>
          <cell r="O4246" t="str">
            <v>155(F)</v>
          </cell>
          <cell r="P4246" t="str">
            <v>270°</v>
          </cell>
          <cell r="Q4246" t="str">
            <v>-</v>
          </cell>
          <cell r="R4246" t="str">
            <v>-</v>
          </cell>
          <cell r="S4246" t="str">
            <v>-</v>
          </cell>
          <cell r="T4246" t="str">
            <v>-</v>
          </cell>
          <cell r="U4246" t="str">
            <v>-</v>
          </cell>
          <cell r="V4246" t="str">
            <v>SS</v>
          </cell>
          <cell r="W4246" t="str">
            <v>-</v>
          </cell>
          <cell r="X4246" t="str">
            <v>CLP 220 (-15/+40°C)</v>
          </cell>
          <cell r="Y4246" t="str">
            <v>KH127DRN160L4</v>
          </cell>
          <cell r="Z4246" t="str">
            <v>SEW</v>
          </cell>
          <cell r="AB4246" t="str">
            <v>-</v>
          </cell>
          <cell r="AD4246" t="str">
            <v>BIS</v>
          </cell>
          <cell r="AF4246">
            <v>13</v>
          </cell>
          <cell r="AG4246" t="str">
            <v>DRN160L4</v>
          </cell>
          <cell r="AH4246" t="str">
            <v>KH127-DRN160L4B270-X</v>
          </cell>
        </row>
        <row r="4247">
          <cell r="A4247" t="str">
            <v>MR004236</v>
          </cell>
          <cell r="B4247" t="str">
            <v>MR</v>
          </cell>
          <cell r="C4247">
            <v>15</v>
          </cell>
          <cell r="D4247">
            <v>12</v>
          </cell>
          <cell r="E4247" t="str">
            <v>R147</v>
          </cell>
          <cell r="F4247">
            <v>11600</v>
          </cell>
          <cell r="G4247">
            <v>119.86</v>
          </cell>
          <cell r="H4247">
            <v>1.1000000000000001</v>
          </cell>
          <cell r="I4247" t="str">
            <v>From M1 to M2 - 15°</v>
          </cell>
          <cell r="J4247" t="str">
            <v>IE3</v>
          </cell>
          <cell r="K4247" t="str">
            <v>240/415</v>
          </cell>
          <cell r="L4247">
            <v>50</v>
          </cell>
          <cell r="M4247" t="str">
            <v>48/27,5</v>
          </cell>
          <cell r="N4247">
            <v>55</v>
          </cell>
          <cell r="O4247" t="str">
            <v>155(F)</v>
          </cell>
          <cell r="P4247" t="str">
            <v>270°</v>
          </cell>
          <cell r="Q4247" t="str">
            <v>TF</v>
          </cell>
          <cell r="R4247" t="str">
            <v>V(VE)</v>
          </cell>
          <cell r="S4247" t="str">
            <v>-</v>
          </cell>
          <cell r="T4247" t="str">
            <v>-</v>
          </cell>
          <cell r="U4247" t="str">
            <v>-</v>
          </cell>
          <cell r="V4247" t="str">
            <v>FC</v>
          </cell>
          <cell r="W4247" t="str">
            <v>-</v>
          </cell>
          <cell r="X4247" t="str">
            <v>CLP 220 (-15/+40°C)</v>
          </cell>
          <cell r="Y4247" t="str">
            <v>R147DRN160L4 /TF/V</v>
          </cell>
          <cell r="Z4247" t="str">
            <v>SEW</v>
          </cell>
          <cell r="AB4247" t="str">
            <v>-</v>
          </cell>
          <cell r="AD4247" t="str">
            <v>BIS</v>
          </cell>
          <cell r="AF4247">
            <v>12</v>
          </cell>
          <cell r="AG4247" t="str">
            <v>DRN160L4</v>
          </cell>
          <cell r="AH4247" t="str">
            <v>R147-DRN160L4270-X#</v>
          </cell>
        </row>
        <row r="4248">
          <cell r="A4248" t="str">
            <v>MR004237</v>
          </cell>
          <cell r="B4248" t="str">
            <v>MR</v>
          </cell>
          <cell r="C4248">
            <v>5.5</v>
          </cell>
          <cell r="D4248">
            <v>63</v>
          </cell>
          <cell r="E4248" t="str">
            <v>K77</v>
          </cell>
          <cell r="F4248">
            <v>820</v>
          </cell>
          <cell r="G4248">
            <v>23.08</v>
          </cell>
          <cell r="H4248">
            <v>1.85</v>
          </cell>
          <cell r="I4248" t="str">
            <v>M4A</v>
          </cell>
          <cell r="J4248" t="str">
            <v>IE3</v>
          </cell>
          <cell r="K4248" t="str">
            <v>240/415</v>
          </cell>
          <cell r="L4248">
            <v>50</v>
          </cell>
          <cell r="M4248" t="str">
            <v>17,4/10,1</v>
          </cell>
          <cell r="N4248">
            <v>55</v>
          </cell>
          <cell r="O4248" t="str">
            <v>155(F)</v>
          </cell>
          <cell r="P4248" t="str">
            <v>270°</v>
          </cell>
          <cell r="Q4248" t="str">
            <v>TF</v>
          </cell>
          <cell r="R4248" t="str">
            <v>V(VE)</v>
          </cell>
          <cell r="S4248" t="str">
            <v>-</v>
          </cell>
          <cell r="T4248" t="str">
            <v>-</v>
          </cell>
          <cell r="U4248" t="str">
            <v>-</v>
          </cell>
          <cell r="V4248" t="str">
            <v>FC+R</v>
          </cell>
          <cell r="W4248" t="str">
            <v>-</v>
          </cell>
          <cell r="X4248" t="str">
            <v>CLP 220 (-15/+40°C)</v>
          </cell>
          <cell r="Y4248" t="str">
            <v>K77DRN132S4 /TF/V</v>
          </cell>
          <cell r="Z4248" t="str">
            <v>SEW</v>
          </cell>
          <cell r="AB4248" t="str">
            <v>-</v>
          </cell>
          <cell r="AD4248" t="str">
            <v>BIS</v>
          </cell>
          <cell r="AF4248">
            <v>63</v>
          </cell>
          <cell r="AG4248" t="str">
            <v>DRN132S4</v>
          </cell>
          <cell r="AH4248" t="str">
            <v>K77-DRN132S4A270-X#</v>
          </cell>
        </row>
        <row r="4249">
          <cell r="A4249" t="str">
            <v>MR004238</v>
          </cell>
          <cell r="B4249" t="str">
            <v>MR</v>
          </cell>
          <cell r="C4249">
            <v>2.2000000000000002</v>
          </cell>
          <cell r="D4249">
            <v>95</v>
          </cell>
          <cell r="E4249" t="str">
            <v>KH67</v>
          </cell>
          <cell r="F4249">
            <v>220</v>
          </cell>
          <cell r="G4249">
            <v>15.19</v>
          </cell>
          <cell r="H4249">
            <v>3.2</v>
          </cell>
          <cell r="I4249" t="str">
            <v>M1B</v>
          </cell>
          <cell r="J4249" t="str">
            <v>IE3</v>
          </cell>
          <cell r="K4249" t="str">
            <v>240/415</v>
          </cell>
          <cell r="L4249">
            <v>50</v>
          </cell>
          <cell r="M4249" t="str">
            <v>8/4,6</v>
          </cell>
          <cell r="N4249">
            <v>55</v>
          </cell>
          <cell r="O4249" t="str">
            <v>155(F)</v>
          </cell>
          <cell r="P4249" t="str">
            <v>270°</v>
          </cell>
          <cell r="Q4249" t="str">
            <v>-</v>
          </cell>
          <cell r="R4249" t="str">
            <v>-</v>
          </cell>
          <cell r="S4249" t="str">
            <v>-</v>
          </cell>
          <cell r="T4249" t="str">
            <v>-</v>
          </cell>
          <cell r="U4249" t="str">
            <v>T</v>
          </cell>
          <cell r="V4249" t="str">
            <v>D</v>
          </cell>
          <cell r="W4249" t="str">
            <v>-</v>
          </cell>
          <cell r="X4249" t="str">
            <v>CLP 220 (-15/+40°C)</v>
          </cell>
          <cell r="Y4249" t="str">
            <v>KH67/T DRN100LS4</v>
          </cell>
          <cell r="Z4249" t="str">
            <v>SEW</v>
          </cell>
          <cell r="AB4249" t="str">
            <v>-</v>
          </cell>
          <cell r="AD4249" t="str">
            <v>BIS</v>
          </cell>
          <cell r="AF4249">
            <v>95</v>
          </cell>
          <cell r="AG4249" t="str">
            <v>DRN100LS4</v>
          </cell>
          <cell r="AH4249" t="str">
            <v>KH67T-DRN100LS4B270-X</v>
          </cell>
        </row>
        <row r="4250">
          <cell r="A4250" t="str">
            <v>MR004239</v>
          </cell>
          <cell r="B4250" t="str">
            <v>MR</v>
          </cell>
          <cell r="C4250">
            <v>15</v>
          </cell>
          <cell r="D4250">
            <v>20</v>
          </cell>
          <cell r="E4250" t="str">
            <v>R137</v>
          </cell>
          <cell r="F4250">
            <v>7140</v>
          </cell>
          <cell r="G4250">
            <v>73.489999999999995</v>
          </cell>
          <cell r="H4250">
            <v>1.1000000000000001</v>
          </cell>
          <cell r="I4250" t="str">
            <v>M1</v>
          </cell>
          <cell r="J4250" t="str">
            <v>IE3</v>
          </cell>
          <cell r="K4250" t="str">
            <v>400/690</v>
          </cell>
          <cell r="L4250">
            <v>50</v>
          </cell>
          <cell r="M4250" t="str">
            <v>29/16,7</v>
          </cell>
          <cell r="N4250">
            <v>55</v>
          </cell>
          <cell r="O4250" t="str">
            <v>155(F)</v>
          </cell>
          <cell r="P4250" t="str">
            <v>270°</v>
          </cell>
          <cell r="Q4250" t="str">
            <v>TF</v>
          </cell>
          <cell r="R4250" t="str">
            <v>V(VE)</v>
          </cell>
          <cell r="S4250" t="str">
            <v>-</v>
          </cell>
          <cell r="T4250" t="str">
            <v>-</v>
          </cell>
          <cell r="U4250" t="str">
            <v>-</v>
          </cell>
          <cell r="V4250" t="str">
            <v>FC</v>
          </cell>
          <cell r="W4250" t="str">
            <v>-</v>
          </cell>
          <cell r="X4250" t="str">
            <v>CLP 220 (-15/+40°C)</v>
          </cell>
          <cell r="Y4250" t="str">
            <v>R137DRN160L4 /TF/V</v>
          </cell>
          <cell r="Z4250" t="str">
            <v>SEW</v>
          </cell>
          <cell r="AB4250" t="str">
            <v>-</v>
          </cell>
          <cell r="AG4250" t="str">
            <v>DRN160L4</v>
          </cell>
          <cell r="AH4250" t="str">
            <v>R137-DRN160L4270-X#</v>
          </cell>
        </row>
        <row r="4251">
          <cell r="A4251" t="str">
            <v>MR004240</v>
          </cell>
          <cell r="B4251" t="str">
            <v>MR</v>
          </cell>
          <cell r="C4251">
            <v>9.1999999999999993</v>
          </cell>
          <cell r="D4251">
            <v>66</v>
          </cell>
          <cell r="E4251" t="str">
            <v>KH87</v>
          </cell>
          <cell r="F4251">
            <v>1330</v>
          </cell>
          <cell r="G4251">
            <v>22.41</v>
          </cell>
          <cell r="H4251">
            <v>1.7</v>
          </cell>
          <cell r="I4251" t="str">
            <v xml:space="preserve"> M4B </v>
          </cell>
          <cell r="J4251" t="str">
            <v>IE3</v>
          </cell>
          <cell r="K4251" t="str">
            <v>400/690</v>
          </cell>
          <cell r="L4251">
            <v>50</v>
          </cell>
          <cell r="M4251" t="str">
            <v>18,7/10,8</v>
          </cell>
          <cell r="N4251">
            <v>55</v>
          </cell>
          <cell r="O4251" t="str">
            <v>155(F)</v>
          </cell>
          <cell r="P4251" t="str">
            <v>270°</v>
          </cell>
          <cell r="Q4251" t="str">
            <v>-</v>
          </cell>
          <cell r="R4251" t="str">
            <v>-</v>
          </cell>
          <cell r="S4251" t="str">
            <v>Free rotation CW</v>
          </cell>
          <cell r="T4251" t="str">
            <v>-</v>
          </cell>
          <cell r="U4251" t="str">
            <v>T</v>
          </cell>
          <cell r="V4251" t="str">
            <v>SS</v>
          </cell>
          <cell r="W4251" t="str">
            <v>-</v>
          </cell>
          <cell r="X4251" t="str">
            <v>CLP 220 (-15/+40°C)</v>
          </cell>
          <cell r="Y4251" t="str">
            <v>KH87/T DRN132L4 /RS</v>
          </cell>
          <cell r="Z4251" t="str">
            <v>SEW</v>
          </cell>
          <cell r="AB4251" t="str">
            <v>-</v>
          </cell>
          <cell r="AF4251">
            <v>66</v>
          </cell>
          <cell r="AG4251" t="str">
            <v>DRN132L4</v>
          </cell>
          <cell r="AH4251" t="str">
            <v>KH87T-DRN132L4B270-X</v>
          </cell>
        </row>
        <row r="4252">
          <cell r="A4252" t="str">
            <v>MR004241</v>
          </cell>
          <cell r="B4252" t="str">
            <v>MR</v>
          </cell>
          <cell r="C4252">
            <v>0.75</v>
          </cell>
          <cell r="D4252">
            <v>162</v>
          </cell>
          <cell r="E4252" t="str">
            <v>KA37</v>
          </cell>
          <cell r="F4252">
            <v>44</v>
          </cell>
          <cell r="G4252">
            <v>8.91</v>
          </cell>
          <cell r="H4252">
            <v>3.6</v>
          </cell>
          <cell r="I4252" t="str">
            <v>From M1B to M2B - 25°</v>
          </cell>
          <cell r="J4252" t="str">
            <v>IE3</v>
          </cell>
          <cell r="K4252" t="str">
            <v>230/400</v>
          </cell>
          <cell r="L4252">
            <v>50</v>
          </cell>
          <cell r="M4252" t="str">
            <v>3,05/1,75</v>
          </cell>
          <cell r="N4252">
            <v>55</v>
          </cell>
          <cell r="O4252" t="str">
            <v>155(F)</v>
          </cell>
          <cell r="P4252" t="str">
            <v>0°</v>
          </cell>
          <cell r="Q4252" t="str">
            <v>-</v>
          </cell>
          <cell r="R4252" t="str">
            <v>-</v>
          </cell>
          <cell r="S4252" t="str">
            <v>-</v>
          </cell>
          <cell r="T4252" t="str">
            <v>-</v>
          </cell>
          <cell r="U4252" t="str">
            <v>T</v>
          </cell>
          <cell r="V4252" t="str">
            <v>D</v>
          </cell>
          <cell r="W4252" t="str">
            <v>-</v>
          </cell>
          <cell r="X4252" t="str">
            <v>CLP 220 (-15/+40°C)</v>
          </cell>
          <cell r="Y4252" t="str">
            <v>KA37/T DRN80M4</v>
          </cell>
          <cell r="Z4252" t="str">
            <v>SEW</v>
          </cell>
          <cell r="AB4252" t="str">
            <v>-</v>
          </cell>
          <cell r="AF4252">
            <v>162</v>
          </cell>
          <cell r="AG4252" t="str">
            <v>DRN80M4</v>
          </cell>
          <cell r="AH4252" t="str">
            <v>KA37T-DRN80M4B0-X</v>
          </cell>
        </row>
        <row r="4253">
          <cell r="A4253" t="str">
            <v>MR004242</v>
          </cell>
          <cell r="B4253" t="str">
            <v>MR</v>
          </cell>
          <cell r="C4253">
            <v>2.2000000000000002</v>
          </cell>
          <cell r="D4253">
            <v>84</v>
          </cell>
          <cell r="E4253" t="str">
            <v>FH47</v>
          </cell>
          <cell r="F4253">
            <v>250</v>
          </cell>
          <cell r="G4253">
            <v>17.329999999999998</v>
          </cell>
          <cell r="H4253">
            <v>1.6</v>
          </cell>
          <cell r="I4253" t="str">
            <v>M1</v>
          </cell>
          <cell r="J4253" t="str">
            <v>IE3</v>
          </cell>
          <cell r="K4253" t="str">
            <v>230/400</v>
          </cell>
          <cell r="L4253">
            <v>50</v>
          </cell>
          <cell r="M4253" t="str">
            <v>8,3/4,75</v>
          </cell>
          <cell r="N4253">
            <v>55</v>
          </cell>
          <cell r="O4253" t="str">
            <v>155(F)</v>
          </cell>
          <cell r="P4253" t="str">
            <v>270°</v>
          </cell>
          <cell r="Q4253" t="str">
            <v>-</v>
          </cell>
          <cell r="R4253" t="str">
            <v>-</v>
          </cell>
          <cell r="S4253" t="str">
            <v>-</v>
          </cell>
          <cell r="T4253" t="str">
            <v>-</v>
          </cell>
          <cell r="U4253" t="str">
            <v>G</v>
          </cell>
          <cell r="V4253" t="str">
            <v>D</v>
          </cell>
          <cell r="W4253" t="str">
            <v>-</v>
          </cell>
          <cell r="X4253" t="str">
            <v>CLP 220 (-15/+40°C)</v>
          </cell>
          <cell r="Y4253" t="str">
            <v>FH47/G DRN100LS4</v>
          </cell>
          <cell r="Z4253" t="str">
            <v>SEW</v>
          </cell>
          <cell r="AB4253" t="str">
            <v>-</v>
          </cell>
          <cell r="AF4253">
            <v>84</v>
          </cell>
          <cell r="AG4253" t="str">
            <v>DRN100LS4</v>
          </cell>
          <cell r="AH4253" t="str">
            <v>FH47G-DRN100LS4270-X</v>
          </cell>
        </row>
        <row r="4254">
          <cell r="A4254" t="str">
            <v>MR004243</v>
          </cell>
          <cell r="B4254" t="str">
            <v>MR</v>
          </cell>
          <cell r="C4254">
            <v>7.5</v>
          </cell>
          <cell r="D4254">
            <v>68</v>
          </cell>
          <cell r="E4254" t="str">
            <v>R87</v>
          </cell>
          <cell r="F4254">
            <v>1040</v>
          </cell>
          <cell r="G4254">
            <v>21.51</v>
          </cell>
          <cell r="H4254">
            <v>1.45</v>
          </cell>
          <cell r="I4254" t="str">
            <v>From M1 to M4 - 20°</v>
          </cell>
          <cell r="J4254" t="str">
            <v>IE3</v>
          </cell>
          <cell r="K4254" t="str">
            <v>230/400</v>
          </cell>
          <cell r="L4254">
            <v>50</v>
          </cell>
          <cell r="M4254" t="str">
            <v>26,5/15,2</v>
          </cell>
          <cell r="N4254">
            <v>55</v>
          </cell>
          <cell r="O4254" t="str">
            <v>155(F)</v>
          </cell>
          <cell r="P4254" t="str">
            <v>270°</v>
          </cell>
          <cell r="Q4254" t="str">
            <v>-</v>
          </cell>
          <cell r="R4254" t="str">
            <v>-</v>
          </cell>
          <cell r="S4254" t="str">
            <v>-</v>
          </cell>
          <cell r="T4254" t="str">
            <v>-</v>
          </cell>
          <cell r="U4254" t="str">
            <v>-</v>
          </cell>
          <cell r="V4254" t="str">
            <v>D</v>
          </cell>
          <cell r="W4254" t="str">
            <v>-</v>
          </cell>
          <cell r="X4254" t="str">
            <v>CLP 220 (-15/+40°C)</v>
          </cell>
          <cell r="Y4254" t="str">
            <v>R87DRN132M4</v>
          </cell>
          <cell r="Z4254" t="str">
            <v>SEW</v>
          </cell>
          <cell r="AB4254" t="str">
            <v>-</v>
          </cell>
          <cell r="AG4254" t="str">
            <v>DRN132M4</v>
          </cell>
          <cell r="AH4254" t="str">
            <v>R87-DRN132M4270-X</v>
          </cell>
        </row>
        <row r="4255">
          <cell r="A4255" t="str">
            <v>MR004244</v>
          </cell>
          <cell r="B4255" t="str">
            <v>MR</v>
          </cell>
          <cell r="C4255">
            <v>4</v>
          </cell>
          <cell r="D4255">
            <v>80</v>
          </cell>
          <cell r="E4255" t="str">
            <v>FH67</v>
          </cell>
          <cell r="F4255">
            <v>475</v>
          </cell>
          <cell r="G4255">
            <v>18.29</v>
          </cell>
          <cell r="H4255">
            <v>1.7</v>
          </cell>
          <cell r="I4255" t="str">
            <v>M1</v>
          </cell>
          <cell r="J4255" t="str">
            <v>IE3</v>
          </cell>
          <cell r="K4255" t="str">
            <v>230/400</v>
          </cell>
          <cell r="L4255">
            <v>50</v>
          </cell>
          <cell r="M4255" t="str">
            <v>13,8/7,9</v>
          </cell>
          <cell r="N4255">
            <v>55</v>
          </cell>
          <cell r="O4255" t="str">
            <v>155(F)</v>
          </cell>
          <cell r="P4255" t="str">
            <v>270°</v>
          </cell>
          <cell r="Q4255" t="str">
            <v>-</v>
          </cell>
          <cell r="R4255" t="str">
            <v>-</v>
          </cell>
          <cell r="S4255" t="str">
            <v>-</v>
          </cell>
          <cell r="T4255" t="str">
            <v>-</v>
          </cell>
          <cell r="U4255" t="str">
            <v>G</v>
          </cell>
          <cell r="V4255" t="str">
            <v>D</v>
          </cell>
          <cell r="W4255" t="str">
            <v>-</v>
          </cell>
          <cell r="X4255" t="str">
            <v>CLP 220 (-15/+40°C)</v>
          </cell>
          <cell r="Y4255" t="str">
            <v>FH67/G DRN112M4</v>
          </cell>
          <cell r="Z4255" t="str">
            <v>SEW</v>
          </cell>
          <cell r="AB4255" t="str">
            <v>-</v>
          </cell>
          <cell r="AF4255">
            <v>80</v>
          </cell>
          <cell r="AG4255" t="str">
            <v>DRN112M4</v>
          </cell>
          <cell r="AH4255" t="str">
            <v>FH67G-DRN112M4270-X</v>
          </cell>
        </row>
        <row r="4256">
          <cell r="A4256" t="str">
            <v>MR004245</v>
          </cell>
          <cell r="B4256" t="str">
            <v>MR</v>
          </cell>
          <cell r="C4256">
            <v>2.2000000000000002</v>
          </cell>
          <cell r="D4256">
            <v>84</v>
          </cell>
          <cell r="E4256" t="str">
            <v>FH47</v>
          </cell>
          <cell r="F4256">
            <v>250</v>
          </cell>
          <cell r="G4256">
            <v>17.329999999999998</v>
          </cell>
          <cell r="H4256">
            <v>1.6</v>
          </cell>
          <cell r="I4256" t="str">
            <v>From M1 to M6 - 10°</v>
          </cell>
          <cell r="J4256" t="str">
            <v>IE3</v>
          </cell>
          <cell r="K4256" t="str">
            <v>230/400</v>
          </cell>
          <cell r="L4256">
            <v>50</v>
          </cell>
          <cell r="M4256" t="str">
            <v>8,3/4,75</v>
          </cell>
          <cell r="N4256">
            <v>55</v>
          </cell>
          <cell r="O4256" t="str">
            <v>155(F)</v>
          </cell>
          <cell r="P4256" t="str">
            <v>270°</v>
          </cell>
          <cell r="Q4256" t="str">
            <v>-</v>
          </cell>
          <cell r="R4256" t="str">
            <v>-</v>
          </cell>
          <cell r="S4256" t="str">
            <v>Free rotation CCW</v>
          </cell>
          <cell r="T4256" t="str">
            <v>-</v>
          </cell>
          <cell r="U4256" t="str">
            <v>G</v>
          </cell>
          <cell r="V4256" t="str">
            <v>D</v>
          </cell>
          <cell r="W4256" t="str">
            <v>-</v>
          </cell>
          <cell r="X4256" t="str">
            <v>CLP 220 (-15/+40°C)</v>
          </cell>
          <cell r="Y4256" t="str">
            <v>FH47/G DRN100LS4 /RS</v>
          </cell>
          <cell r="Z4256" t="str">
            <v>SEW</v>
          </cell>
          <cell r="AB4256" t="str">
            <v>-</v>
          </cell>
          <cell r="AF4256">
            <v>84</v>
          </cell>
          <cell r="AG4256" t="str">
            <v>DRN100LS4</v>
          </cell>
          <cell r="AH4256" t="str">
            <v>FH47G-DRN100LS4270-X</v>
          </cell>
        </row>
        <row r="4257">
          <cell r="A4257" t="str">
            <v>MR004246</v>
          </cell>
          <cell r="B4257" t="str">
            <v>MR</v>
          </cell>
          <cell r="C4257">
            <v>5.5</v>
          </cell>
          <cell r="D4257">
            <v>14</v>
          </cell>
          <cell r="E4257" t="str">
            <v>KH97</v>
          </cell>
          <cell r="F4257">
            <v>3770</v>
          </cell>
          <cell r="G4257">
            <v>105.13</v>
          </cell>
          <cell r="H4257">
            <v>1.1499999999999999</v>
          </cell>
          <cell r="I4257" t="str">
            <v>From M1B to M2B - 35°</v>
          </cell>
          <cell r="J4257" t="str">
            <v>IE3</v>
          </cell>
          <cell r="K4257" t="str">
            <v>230/400</v>
          </cell>
          <cell r="L4257">
            <v>50</v>
          </cell>
          <cell r="M4257" t="str">
            <v>18,2/10,5</v>
          </cell>
          <cell r="N4257">
            <v>55</v>
          </cell>
          <cell r="O4257" t="str">
            <v>155(F)</v>
          </cell>
          <cell r="P4257" t="str">
            <v>0°</v>
          </cell>
          <cell r="Q4257" t="str">
            <v>-</v>
          </cell>
          <cell r="R4257" t="str">
            <v>-</v>
          </cell>
          <cell r="S4257" t="str">
            <v>-</v>
          </cell>
          <cell r="T4257" t="str">
            <v>-</v>
          </cell>
          <cell r="U4257" t="str">
            <v>-</v>
          </cell>
          <cell r="V4257" t="str">
            <v>SS</v>
          </cell>
          <cell r="W4257" t="str">
            <v>-</v>
          </cell>
          <cell r="X4257" t="str">
            <v>CLP 220 (-15/+40°C)</v>
          </cell>
          <cell r="Y4257" t="str">
            <v>KH97DRN132S4</v>
          </cell>
          <cell r="Z4257" t="str">
            <v>SEW</v>
          </cell>
          <cell r="AB4257" t="str">
            <v>-</v>
          </cell>
          <cell r="AF4257">
            <v>14</v>
          </cell>
          <cell r="AG4257" t="str">
            <v>DRN132S4</v>
          </cell>
          <cell r="AH4257" t="str">
            <v>KH97-DRN132S4B0-X</v>
          </cell>
        </row>
        <row r="4258">
          <cell r="A4258" t="str">
            <v>MR004247</v>
          </cell>
          <cell r="B4258" t="str">
            <v>MR</v>
          </cell>
          <cell r="C4258">
            <v>5.5</v>
          </cell>
          <cell r="D4258">
            <v>14</v>
          </cell>
          <cell r="E4258" t="str">
            <v>KH97</v>
          </cell>
          <cell r="F4258">
            <v>3770</v>
          </cell>
          <cell r="G4258">
            <v>105.13</v>
          </cell>
          <cell r="H4258">
            <v>1.1499999999999999</v>
          </cell>
          <cell r="I4258" t="str">
            <v>From M1B to M2B - 15°</v>
          </cell>
          <cell r="J4258" t="str">
            <v>IE3</v>
          </cell>
          <cell r="K4258" t="str">
            <v>230/400</v>
          </cell>
          <cell r="L4258">
            <v>50</v>
          </cell>
          <cell r="M4258" t="str">
            <v>18,2/10,5</v>
          </cell>
          <cell r="N4258">
            <v>55</v>
          </cell>
          <cell r="O4258" t="str">
            <v>155(F)</v>
          </cell>
          <cell r="P4258" t="str">
            <v>0°</v>
          </cell>
          <cell r="Q4258" t="str">
            <v>-</v>
          </cell>
          <cell r="R4258" t="str">
            <v>-</v>
          </cell>
          <cell r="S4258" t="str">
            <v>-</v>
          </cell>
          <cell r="T4258" t="str">
            <v>-</v>
          </cell>
          <cell r="U4258" t="str">
            <v>-</v>
          </cell>
          <cell r="V4258" t="str">
            <v>SS</v>
          </cell>
          <cell r="W4258" t="str">
            <v>-</v>
          </cell>
          <cell r="X4258" t="str">
            <v>CLP 220 (-15/+40°C)</v>
          </cell>
          <cell r="Y4258" t="str">
            <v>KH97DRN132S4</v>
          </cell>
          <cell r="Z4258" t="str">
            <v>SEW</v>
          </cell>
          <cell r="AB4258" t="str">
            <v>-</v>
          </cell>
          <cell r="AF4258">
            <v>14</v>
          </cell>
          <cell r="AG4258" t="str">
            <v>DRN132S4</v>
          </cell>
          <cell r="AH4258" t="str">
            <v>KH97-DRN132S4B0-X</v>
          </cell>
        </row>
        <row r="4259">
          <cell r="A4259" t="str">
            <v>MR004248</v>
          </cell>
          <cell r="B4259" t="str">
            <v>MR</v>
          </cell>
          <cell r="C4259">
            <v>7.5</v>
          </cell>
          <cell r="D4259">
            <v>66</v>
          </cell>
          <cell r="E4259" t="str">
            <v>KH87</v>
          </cell>
          <cell r="F4259">
            <v>1090</v>
          </cell>
          <cell r="G4259">
            <v>22.41</v>
          </cell>
          <cell r="H4259">
            <v>2.1</v>
          </cell>
          <cell r="I4259" t="str">
            <v>M4B</v>
          </cell>
          <cell r="J4259" t="str">
            <v>IE3</v>
          </cell>
          <cell r="K4259" t="str">
            <v>230/400</v>
          </cell>
          <cell r="L4259">
            <v>50</v>
          </cell>
          <cell r="M4259" t="str">
            <v>26,5/15,2</v>
          </cell>
          <cell r="N4259">
            <v>55</v>
          </cell>
          <cell r="O4259" t="str">
            <v>155(F)</v>
          </cell>
          <cell r="P4259" t="str">
            <v>270°</v>
          </cell>
          <cell r="Q4259" t="str">
            <v>-</v>
          </cell>
          <cell r="R4259" t="str">
            <v>-</v>
          </cell>
          <cell r="S4259" t="str">
            <v>Free rotation CW</v>
          </cell>
          <cell r="T4259" t="str">
            <v>-</v>
          </cell>
          <cell r="U4259" t="str">
            <v>T</v>
          </cell>
          <cell r="V4259" t="str">
            <v>SS</v>
          </cell>
          <cell r="W4259" t="str">
            <v>-</v>
          </cell>
          <cell r="X4259" t="str">
            <v>CLP 220 (-15/+40°C)</v>
          </cell>
          <cell r="Y4259" t="str">
            <v>KH87/T DRN132M4 /RS</v>
          </cell>
          <cell r="Z4259" t="str">
            <v>SEW</v>
          </cell>
          <cell r="AB4259" t="str">
            <v>-</v>
          </cell>
          <cell r="AF4259">
            <v>66</v>
          </cell>
          <cell r="AG4259" t="str">
            <v>DRN132M4</v>
          </cell>
          <cell r="AH4259" t="str">
            <v>KH87T-DRN132M4B270-X</v>
          </cell>
        </row>
        <row r="4260">
          <cell r="A4260" t="str">
            <v>MR004249</v>
          </cell>
          <cell r="B4260" t="str">
            <v>MR</v>
          </cell>
          <cell r="C4260">
            <v>9.1999999999999993</v>
          </cell>
          <cell r="D4260">
            <v>66</v>
          </cell>
          <cell r="E4260" t="str">
            <v>KH87</v>
          </cell>
          <cell r="F4260">
            <v>1330</v>
          </cell>
          <cell r="G4260">
            <v>22.41</v>
          </cell>
          <cell r="H4260">
            <v>1.7</v>
          </cell>
          <cell r="I4260" t="str">
            <v xml:space="preserve"> M4B </v>
          </cell>
          <cell r="J4260" t="str">
            <v>IE3</v>
          </cell>
          <cell r="K4260" t="str">
            <v>400/690</v>
          </cell>
          <cell r="L4260">
            <v>50</v>
          </cell>
          <cell r="M4260" t="str">
            <v>18,7/10,8</v>
          </cell>
          <cell r="N4260">
            <v>55</v>
          </cell>
          <cell r="O4260" t="str">
            <v>155(F)</v>
          </cell>
          <cell r="P4260" t="str">
            <v>270°</v>
          </cell>
          <cell r="Q4260" t="str">
            <v>-</v>
          </cell>
          <cell r="R4260" t="str">
            <v>-</v>
          </cell>
          <cell r="S4260" t="str">
            <v>-</v>
          </cell>
          <cell r="T4260" t="str">
            <v>-</v>
          </cell>
          <cell r="U4260" t="str">
            <v>T</v>
          </cell>
          <cell r="V4260" t="str">
            <v>SS</v>
          </cell>
          <cell r="W4260" t="str">
            <v>-</v>
          </cell>
          <cell r="X4260" t="str">
            <v>CLP 220 (-15/+40°C)</v>
          </cell>
          <cell r="Y4260" t="str">
            <v>KH87/T DRN132L4</v>
          </cell>
          <cell r="Z4260" t="str">
            <v>SEW</v>
          </cell>
          <cell r="AB4260" t="str">
            <v>-</v>
          </cell>
          <cell r="AF4260">
            <v>66</v>
          </cell>
          <cell r="AG4260" t="str">
            <v>DRN132L4</v>
          </cell>
          <cell r="AH4260" t="str">
            <v>KH87T-DRN132L4B270-X</v>
          </cell>
        </row>
        <row r="4261">
          <cell r="A4261" t="str">
            <v>MR004250</v>
          </cell>
          <cell r="B4261" t="str">
            <v>MR</v>
          </cell>
          <cell r="C4261">
            <v>0.75</v>
          </cell>
          <cell r="D4261">
            <v>162</v>
          </cell>
          <cell r="E4261" t="str">
            <v>KA37</v>
          </cell>
          <cell r="F4261">
            <v>44</v>
          </cell>
          <cell r="G4261">
            <v>8.91</v>
          </cell>
          <cell r="H4261">
            <v>3.6</v>
          </cell>
          <cell r="I4261" t="str">
            <v>M1B</v>
          </cell>
          <cell r="J4261" t="str">
            <v>IE3</v>
          </cell>
          <cell r="K4261" t="str">
            <v>230/400</v>
          </cell>
          <cell r="L4261">
            <v>50</v>
          </cell>
          <cell r="M4261" t="str">
            <v>3,05/1,75</v>
          </cell>
          <cell r="N4261">
            <v>55</v>
          </cell>
          <cell r="O4261" t="str">
            <v>155(F)</v>
          </cell>
          <cell r="P4261" t="str">
            <v>0°</v>
          </cell>
          <cell r="Q4261" t="str">
            <v>-</v>
          </cell>
          <cell r="R4261" t="str">
            <v>-</v>
          </cell>
          <cell r="S4261" t="str">
            <v>-</v>
          </cell>
          <cell r="T4261" t="str">
            <v>-</v>
          </cell>
          <cell r="U4261" t="str">
            <v>T</v>
          </cell>
          <cell r="V4261" t="str">
            <v>D</v>
          </cell>
          <cell r="W4261" t="str">
            <v>-</v>
          </cell>
          <cell r="X4261" t="str">
            <v>CLP 220 (-15/+40°C)</v>
          </cell>
          <cell r="Y4261" t="str">
            <v>KA37/T DRN80M4</v>
          </cell>
          <cell r="Z4261" t="str">
            <v>SEW</v>
          </cell>
          <cell r="AB4261" t="str">
            <v>-</v>
          </cell>
          <cell r="AF4261">
            <v>162</v>
          </cell>
          <cell r="AG4261" t="str">
            <v>DRN80M4</v>
          </cell>
          <cell r="AH4261" t="str">
            <v>KA37T-DRN80M4B0-X</v>
          </cell>
        </row>
        <row r="4262">
          <cell r="A4262" t="str">
            <v>MR004251</v>
          </cell>
          <cell r="B4262" t="str">
            <v>MR</v>
          </cell>
          <cell r="C4262">
            <v>9.1999999999999993</v>
          </cell>
          <cell r="D4262">
            <v>66</v>
          </cell>
          <cell r="E4262" t="str">
            <v>KH87</v>
          </cell>
          <cell r="F4262">
            <v>1330</v>
          </cell>
          <cell r="G4262">
            <v>22.41</v>
          </cell>
          <cell r="H4262">
            <v>1.7</v>
          </cell>
          <cell r="I4262" t="str">
            <v xml:space="preserve"> M4A</v>
          </cell>
          <cell r="J4262" t="str">
            <v>IE3</v>
          </cell>
          <cell r="K4262" t="str">
            <v>400/690</v>
          </cell>
          <cell r="L4262">
            <v>50</v>
          </cell>
          <cell r="M4262" t="str">
            <v>18,7/10,8</v>
          </cell>
          <cell r="N4262">
            <v>55</v>
          </cell>
          <cell r="O4262" t="str">
            <v>155(F)</v>
          </cell>
          <cell r="P4262" t="str">
            <v>270°</v>
          </cell>
          <cell r="Q4262" t="str">
            <v>-</v>
          </cell>
          <cell r="R4262" t="str">
            <v>-</v>
          </cell>
          <cell r="S4262" t="str">
            <v>Free rotation CCW</v>
          </cell>
          <cell r="T4262" t="str">
            <v>-</v>
          </cell>
          <cell r="U4262" t="str">
            <v>T</v>
          </cell>
          <cell r="V4262" t="str">
            <v>SS</v>
          </cell>
          <cell r="W4262" t="str">
            <v>-</v>
          </cell>
          <cell r="X4262" t="str">
            <v>CLP 220 (-15/+40°C)</v>
          </cell>
          <cell r="Y4262" t="str">
            <v>KH87/T DRN132L4 /RS</v>
          </cell>
          <cell r="Z4262" t="str">
            <v>SEW</v>
          </cell>
          <cell r="AB4262" t="str">
            <v>-</v>
          </cell>
          <cell r="AF4262">
            <v>66</v>
          </cell>
          <cell r="AG4262" t="str">
            <v>DRN132L4</v>
          </cell>
          <cell r="AH4262" t="str">
            <v>KH87T-DRN132L4A270-X</v>
          </cell>
        </row>
        <row r="4263">
          <cell r="A4263" t="str">
            <v>MR004252</v>
          </cell>
          <cell r="B4263" t="str">
            <v>MR</v>
          </cell>
          <cell r="C4263">
            <v>0.75</v>
          </cell>
          <cell r="D4263">
            <v>162</v>
          </cell>
          <cell r="E4263" t="str">
            <v>KA37</v>
          </cell>
          <cell r="F4263">
            <v>44</v>
          </cell>
          <cell r="G4263">
            <v>8.91</v>
          </cell>
          <cell r="H4263">
            <v>3.6</v>
          </cell>
          <cell r="I4263" t="str">
            <v>From M1A to M2A - 25°</v>
          </cell>
          <cell r="J4263" t="str">
            <v>IE3</v>
          </cell>
          <cell r="K4263" t="str">
            <v>230/400</v>
          </cell>
          <cell r="L4263">
            <v>50</v>
          </cell>
          <cell r="M4263" t="str">
            <v>3,05/1,75</v>
          </cell>
          <cell r="N4263">
            <v>55</v>
          </cell>
          <cell r="O4263" t="str">
            <v>155(F)</v>
          </cell>
          <cell r="P4263" t="str">
            <v>180°</v>
          </cell>
          <cell r="Q4263" t="str">
            <v>-</v>
          </cell>
          <cell r="R4263" t="str">
            <v>-</v>
          </cell>
          <cell r="S4263" t="str">
            <v>-</v>
          </cell>
          <cell r="T4263" t="str">
            <v>-</v>
          </cell>
          <cell r="U4263" t="str">
            <v>T</v>
          </cell>
          <cell r="V4263" t="str">
            <v>D</v>
          </cell>
          <cell r="W4263" t="str">
            <v>-</v>
          </cell>
          <cell r="X4263" t="str">
            <v>CLP 220 (-15/+40°C)</v>
          </cell>
          <cell r="Y4263" t="str">
            <v>KA37/T DRN80M4</v>
          </cell>
          <cell r="Z4263" t="str">
            <v>SEW</v>
          </cell>
          <cell r="AB4263" t="str">
            <v>-</v>
          </cell>
          <cell r="AF4263">
            <v>162</v>
          </cell>
          <cell r="AG4263" t="str">
            <v>DRN80M4</v>
          </cell>
          <cell r="AH4263" t="str">
            <v>KA37T-DRN80M4A180-X</v>
          </cell>
        </row>
        <row r="4264">
          <cell r="A4264" t="str">
            <v>MR004253</v>
          </cell>
          <cell r="B4264" t="str">
            <v>MR</v>
          </cell>
          <cell r="C4264">
            <v>37</v>
          </cell>
          <cell r="D4264">
            <v>42</v>
          </cell>
          <cell r="E4264" t="str">
            <v>R147</v>
          </cell>
          <cell r="F4264">
            <v>8500</v>
          </cell>
          <cell r="G4264">
            <v>35.64</v>
          </cell>
          <cell r="H4264">
            <v>1.55</v>
          </cell>
          <cell r="I4264" t="str">
            <v>M1</v>
          </cell>
          <cell r="J4264" t="str">
            <v>IE3</v>
          </cell>
          <cell r="K4264" t="str">
            <v>400/690</v>
          </cell>
          <cell r="L4264">
            <v>50</v>
          </cell>
          <cell r="M4264" t="str">
            <v>64/37</v>
          </cell>
          <cell r="N4264">
            <v>65</v>
          </cell>
          <cell r="O4264" t="str">
            <v>155(F)</v>
          </cell>
          <cell r="P4264" t="str">
            <v>270°</v>
          </cell>
          <cell r="Q4264" t="str">
            <v>-</v>
          </cell>
          <cell r="R4264" t="str">
            <v>-</v>
          </cell>
          <cell r="S4264" t="str">
            <v>-</v>
          </cell>
          <cell r="T4264" t="str">
            <v>-</v>
          </cell>
          <cell r="U4264" t="str">
            <v>-</v>
          </cell>
          <cell r="V4264" t="str">
            <v>D</v>
          </cell>
          <cell r="W4264" t="str">
            <v>-</v>
          </cell>
          <cell r="X4264" t="str">
            <v>CLP 220 (-15/+40°C)</v>
          </cell>
          <cell r="Y4264" t="str">
            <v>R147DRN225S4</v>
          </cell>
          <cell r="Z4264" t="str">
            <v>SEW</v>
          </cell>
          <cell r="AB4264" t="str">
            <v>-</v>
          </cell>
          <cell r="AF4264">
            <v>42</v>
          </cell>
          <cell r="AG4264" t="str">
            <v>DRN225S4</v>
          </cell>
          <cell r="AH4264" t="str">
            <v>R147-DRN225S4270-X</v>
          </cell>
        </row>
        <row r="4265">
          <cell r="A4265" t="str">
            <v>MR004254</v>
          </cell>
          <cell r="B4265" t="str">
            <v>MR</v>
          </cell>
          <cell r="C4265">
            <v>5.5</v>
          </cell>
          <cell r="D4265">
            <v>52.5</v>
          </cell>
          <cell r="E4265" t="str">
            <v>R87</v>
          </cell>
          <cell r="F4265">
            <v>830</v>
          </cell>
          <cell r="G4265">
            <v>27.88</v>
          </cell>
          <cell r="H4265">
            <v>1.8</v>
          </cell>
          <cell r="I4265" t="str">
            <v>M1</v>
          </cell>
          <cell r="J4265" t="str">
            <v>IE3</v>
          </cell>
          <cell r="K4265" t="str">
            <v>330/575</v>
          </cell>
          <cell r="L4265">
            <v>60</v>
          </cell>
          <cell r="M4265" t="str">
            <v>12,8/7,4</v>
          </cell>
          <cell r="N4265">
            <v>55</v>
          </cell>
          <cell r="O4265" t="str">
            <v>155(F)</v>
          </cell>
          <cell r="P4265" t="str">
            <v>270°</v>
          </cell>
          <cell r="Q4265" t="str">
            <v>TF</v>
          </cell>
          <cell r="R4265" t="str">
            <v>-</v>
          </cell>
          <cell r="S4265" t="str">
            <v>-</v>
          </cell>
          <cell r="T4265" t="str">
            <v>-</v>
          </cell>
          <cell r="U4265" t="str">
            <v>-</v>
          </cell>
          <cell r="V4265" t="str">
            <v>D</v>
          </cell>
          <cell r="W4265" t="str">
            <v>-</v>
          </cell>
          <cell r="X4265" t="str">
            <v>GearOil Synth (-35/+50°C)</v>
          </cell>
          <cell r="Y4265" t="str">
            <v>R87DRN132S4 /TF</v>
          </cell>
          <cell r="Z4265" t="str">
            <v>SEW</v>
          </cell>
          <cell r="AB4265" t="str">
            <v>-</v>
          </cell>
          <cell r="AE4265" t="str">
            <v>NEMA5/CSA/UL/NPT terminal box</v>
          </cell>
          <cell r="AF4265">
            <v>63</v>
          </cell>
          <cell r="AG4265" t="str">
            <v>DRN132S4</v>
          </cell>
          <cell r="AH4265" t="str">
            <v>R87-DRN132S4270-X</v>
          </cell>
        </row>
        <row r="4266">
          <cell r="A4266" t="str">
            <v>MR004255</v>
          </cell>
          <cell r="B4266" t="str">
            <v>MR</v>
          </cell>
          <cell r="C4266">
            <v>3</v>
          </cell>
          <cell r="D4266">
            <v>82.5</v>
          </cell>
          <cell r="E4266" t="str">
            <v>R77</v>
          </cell>
          <cell r="F4266">
            <v>290</v>
          </cell>
          <cell r="G4266">
            <v>17.82</v>
          </cell>
          <cell r="H4266">
            <v>2.7</v>
          </cell>
          <cell r="I4266" t="str">
            <v>From M1 to M4 - 10°</v>
          </cell>
          <cell r="J4266" t="str">
            <v>IE3</v>
          </cell>
          <cell r="K4266" t="str">
            <v>330/575</v>
          </cell>
          <cell r="L4266">
            <v>60</v>
          </cell>
          <cell r="M4266" t="str">
            <v>8,1/4,65</v>
          </cell>
          <cell r="N4266">
            <v>55</v>
          </cell>
          <cell r="O4266" t="str">
            <v>155(F)</v>
          </cell>
          <cell r="P4266" t="str">
            <v>270°</v>
          </cell>
          <cell r="Q4266" t="str">
            <v>TF</v>
          </cell>
          <cell r="R4266" t="str">
            <v>-</v>
          </cell>
          <cell r="S4266" t="str">
            <v>-</v>
          </cell>
          <cell r="T4266" t="str">
            <v>-</v>
          </cell>
          <cell r="U4266" t="str">
            <v>-</v>
          </cell>
          <cell r="V4266" t="str">
            <v>D</v>
          </cell>
          <cell r="W4266" t="str">
            <v>-</v>
          </cell>
          <cell r="X4266" t="str">
            <v>GearOil Synth (-35/+50°C)</v>
          </cell>
          <cell r="Y4266" t="str">
            <v>R77DRN100L4 /TF</v>
          </cell>
          <cell r="Z4266" t="str">
            <v>SEW</v>
          </cell>
          <cell r="AB4266" t="str">
            <v>-</v>
          </cell>
          <cell r="AE4266" t="str">
            <v>NEMA5/CSA/UL/NPT terminal box</v>
          </cell>
          <cell r="AF4266">
            <v>99</v>
          </cell>
          <cell r="AG4266" t="str">
            <v>DRN100L4</v>
          </cell>
          <cell r="AH4266" t="str">
            <v>R77-DRN100L4270-X</v>
          </cell>
        </row>
        <row r="4267">
          <cell r="A4267" t="str">
            <v>MR004256</v>
          </cell>
          <cell r="B4267" t="str">
            <v>MR</v>
          </cell>
          <cell r="C4267">
            <v>9.1999999999999993</v>
          </cell>
          <cell r="D4267">
            <v>86.666666666666671</v>
          </cell>
          <cell r="E4267" t="str">
            <v>R87</v>
          </cell>
          <cell r="F4267">
            <v>850</v>
          </cell>
          <cell r="G4267">
            <v>17.079999999999998</v>
          </cell>
          <cell r="H4267">
            <v>1.65</v>
          </cell>
          <cell r="I4267" t="str">
            <v>M4</v>
          </cell>
          <cell r="J4267" t="str">
            <v>IE3</v>
          </cell>
          <cell r="K4267" t="str">
            <v>330/575</v>
          </cell>
          <cell r="L4267">
            <v>60</v>
          </cell>
          <cell r="M4267" t="str">
            <v>23/13,2</v>
          </cell>
          <cell r="N4267">
            <v>55</v>
          </cell>
          <cell r="O4267" t="str">
            <v>155(F)</v>
          </cell>
          <cell r="P4267" t="str">
            <v>270°</v>
          </cell>
          <cell r="Q4267" t="str">
            <v>TF</v>
          </cell>
          <cell r="R4267" t="str">
            <v>-</v>
          </cell>
          <cell r="S4267" t="str">
            <v>-</v>
          </cell>
          <cell r="T4267" t="str">
            <v>-</v>
          </cell>
          <cell r="U4267" t="str">
            <v>-</v>
          </cell>
          <cell r="V4267" t="str">
            <v>D</v>
          </cell>
          <cell r="W4267" t="str">
            <v>-</v>
          </cell>
          <cell r="X4267" t="str">
            <v>GearOil Synth (-35/+50°C)</v>
          </cell>
          <cell r="Y4267" t="str">
            <v>R87DRN132L4 /TF</v>
          </cell>
          <cell r="Z4267" t="str">
            <v>SEW</v>
          </cell>
          <cell r="AB4267" t="str">
            <v>-</v>
          </cell>
          <cell r="AE4267" t="str">
            <v>NEMA5/CSA/UL/NPT terminal box</v>
          </cell>
          <cell r="AF4267">
            <v>104</v>
          </cell>
          <cell r="AG4267" t="str">
            <v>DRN132L4</v>
          </cell>
          <cell r="AH4267" t="str">
            <v>R87-DRN132L4270-X</v>
          </cell>
        </row>
        <row r="4268">
          <cell r="A4268" t="str">
            <v>MR004257</v>
          </cell>
          <cell r="B4268" t="str">
            <v>MR</v>
          </cell>
          <cell r="C4268">
            <v>7.5</v>
          </cell>
          <cell r="D4268">
            <v>68.333333333333329</v>
          </cell>
          <cell r="E4268" t="str">
            <v>R87</v>
          </cell>
          <cell r="F4268">
            <v>870</v>
          </cell>
          <cell r="G4268">
            <v>21.51</v>
          </cell>
          <cell r="H4268">
            <v>1.75</v>
          </cell>
          <cell r="I4268" t="str">
            <v>From M1 to M4 - 20°</v>
          </cell>
          <cell r="J4268" t="str">
            <v>IE3</v>
          </cell>
          <cell r="K4268" t="str">
            <v>330/575</v>
          </cell>
          <cell r="L4268">
            <v>60</v>
          </cell>
          <cell r="M4268" t="str">
            <v>18,5/10,6</v>
          </cell>
          <cell r="N4268">
            <v>55</v>
          </cell>
          <cell r="O4268" t="str">
            <v>155(F)</v>
          </cell>
          <cell r="P4268" t="str">
            <v>270°</v>
          </cell>
          <cell r="Q4268" t="str">
            <v>TF</v>
          </cell>
          <cell r="R4268" t="str">
            <v>-</v>
          </cell>
          <cell r="S4268" t="str">
            <v>-</v>
          </cell>
          <cell r="T4268" t="str">
            <v>-</v>
          </cell>
          <cell r="U4268" t="str">
            <v>-</v>
          </cell>
          <cell r="V4268" t="str">
            <v>D</v>
          </cell>
          <cell r="W4268" t="str">
            <v>-</v>
          </cell>
          <cell r="X4268" t="str">
            <v>GearOil Synth (-35/+50°C)</v>
          </cell>
          <cell r="Y4268" t="str">
            <v>R87DRN132M4 /TF</v>
          </cell>
          <cell r="Z4268" t="str">
            <v>SEW</v>
          </cell>
          <cell r="AB4268" t="str">
            <v>-</v>
          </cell>
          <cell r="AE4268" t="str">
            <v>NEMA5/CSA/UL/NPT terminal box</v>
          </cell>
          <cell r="AF4268">
            <v>82</v>
          </cell>
          <cell r="AG4268" t="str">
            <v>DRN132M4</v>
          </cell>
          <cell r="AH4268" t="str">
            <v>R87-DRN132M4270-X</v>
          </cell>
        </row>
        <row r="4269">
          <cell r="A4269" t="str">
            <v>MR004258</v>
          </cell>
          <cell r="B4269" t="str">
            <v>MR</v>
          </cell>
          <cell r="C4269">
            <v>7.5</v>
          </cell>
          <cell r="D4269">
            <v>77.5</v>
          </cell>
          <cell r="E4269" t="str">
            <v>R87</v>
          </cell>
          <cell r="F4269">
            <v>770</v>
          </cell>
          <cell r="G4269">
            <v>19.100000000000001</v>
          </cell>
          <cell r="H4269">
            <v>1.85</v>
          </cell>
          <cell r="I4269" t="str">
            <v>From M1 to M4 - 15°</v>
          </cell>
          <cell r="J4269" t="str">
            <v>IE3</v>
          </cell>
          <cell r="K4269" t="str">
            <v>330/575</v>
          </cell>
          <cell r="L4269">
            <v>60</v>
          </cell>
          <cell r="M4269" t="str">
            <v>18,5/10,6</v>
          </cell>
          <cell r="N4269">
            <v>55</v>
          </cell>
          <cell r="O4269" t="str">
            <v>155(F)</v>
          </cell>
          <cell r="P4269" t="str">
            <v>270°</v>
          </cell>
          <cell r="Q4269" t="str">
            <v>TF</v>
          </cell>
          <cell r="R4269" t="str">
            <v>-</v>
          </cell>
          <cell r="S4269" t="str">
            <v>-</v>
          </cell>
          <cell r="T4269" t="str">
            <v>-</v>
          </cell>
          <cell r="U4269" t="str">
            <v>-</v>
          </cell>
          <cell r="V4269" t="str">
            <v>D</v>
          </cell>
          <cell r="W4269" t="str">
            <v>-</v>
          </cell>
          <cell r="X4269" t="str">
            <v>GearOil Synth (-35/+50°C)</v>
          </cell>
          <cell r="Y4269" t="str">
            <v>R87DRN132M4 /TF</v>
          </cell>
          <cell r="Z4269" t="str">
            <v>SEW</v>
          </cell>
          <cell r="AB4269" t="str">
            <v>-</v>
          </cell>
          <cell r="AE4269" t="str">
            <v>NEMA5/CSA/UL/NPT terminal box</v>
          </cell>
          <cell r="AF4269">
            <v>93</v>
          </cell>
          <cell r="AG4269" t="str">
            <v>DRN132M4</v>
          </cell>
          <cell r="AH4269" t="str">
            <v>R87-DRN132M4270-X</v>
          </cell>
        </row>
        <row r="4270">
          <cell r="A4270" t="str">
            <v>MR004259</v>
          </cell>
          <cell r="B4270" t="str">
            <v>MR</v>
          </cell>
          <cell r="C4270">
            <v>18.5</v>
          </cell>
          <cell r="D4270">
            <v>81.666666666666671</v>
          </cell>
          <cell r="E4270" t="str">
            <v>R97</v>
          </cell>
          <cell r="F4270">
            <v>1810</v>
          </cell>
          <cell r="G4270">
            <v>18.239999999999998</v>
          </cell>
          <cell r="H4270">
            <v>1.4</v>
          </cell>
          <cell r="I4270" t="str">
            <v>M4</v>
          </cell>
          <cell r="J4270" t="str">
            <v>IE3</v>
          </cell>
          <cell r="K4270" t="str">
            <v>330/575</v>
          </cell>
          <cell r="L4270">
            <v>60</v>
          </cell>
          <cell r="M4270" t="str">
            <v>41/23,5</v>
          </cell>
          <cell r="N4270">
            <v>55</v>
          </cell>
          <cell r="O4270" t="str">
            <v>155(F)</v>
          </cell>
          <cell r="P4270" t="str">
            <v>270°</v>
          </cell>
          <cell r="Q4270" t="str">
            <v>TF</v>
          </cell>
          <cell r="R4270" t="str">
            <v>-</v>
          </cell>
          <cell r="S4270" t="str">
            <v>-</v>
          </cell>
          <cell r="T4270" t="str">
            <v>-</v>
          </cell>
          <cell r="U4270" t="str">
            <v>-</v>
          </cell>
          <cell r="V4270" t="str">
            <v>D</v>
          </cell>
          <cell r="W4270" t="str">
            <v>-</v>
          </cell>
          <cell r="X4270" t="str">
            <v>GearOil Synth (-35/+50°C)</v>
          </cell>
          <cell r="Y4270" t="str">
            <v>R97DRN180M4 /TF</v>
          </cell>
          <cell r="Z4270" t="str">
            <v>SEW</v>
          </cell>
          <cell r="AB4270" t="str">
            <v>-</v>
          </cell>
          <cell r="AE4270" t="str">
            <v>NEMA5/CSA/UL/NPT terminal box</v>
          </cell>
          <cell r="AF4270">
            <v>98</v>
          </cell>
          <cell r="AG4270" t="str">
            <v>DRN180M4</v>
          </cell>
          <cell r="AH4270" t="str">
            <v>R97-DRN180M4270-X</v>
          </cell>
        </row>
        <row r="4271">
          <cell r="A4271" t="str">
            <v>MR004260</v>
          </cell>
          <cell r="B4271" t="str">
            <v>MR</v>
          </cell>
          <cell r="C4271">
            <v>15</v>
          </cell>
          <cell r="D4271">
            <v>76.599999999999994</v>
          </cell>
          <cell r="E4271" t="str">
            <v>S97</v>
          </cell>
          <cell r="F4271">
            <v>1470</v>
          </cell>
          <cell r="G4271">
            <v>19.23</v>
          </cell>
          <cell r="H4271">
            <v>1.7</v>
          </cell>
          <cell r="I4271" t="str">
            <v>From M1 to M5A - 70°</v>
          </cell>
          <cell r="J4271" t="str">
            <v>IE3</v>
          </cell>
          <cell r="K4271" t="str">
            <v>330/575</v>
          </cell>
          <cell r="L4271">
            <v>60</v>
          </cell>
          <cell r="M4271" t="str">
            <v>35/20</v>
          </cell>
          <cell r="N4271">
            <v>55</v>
          </cell>
          <cell r="O4271" t="str">
            <v>155(F)</v>
          </cell>
          <cell r="P4271" t="str">
            <v>270°</v>
          </cell>
          <cell r="Q4271" t="str">
            <v>TF</v>
          </cell>
          <cell r="R4271" t="str">
            <v>-</v>
          </cell>
          <cell r="S4271" t="str">
            <v>-</v>
          </cell>
          <cell r="T4271" t="str">
            <v>-</v>
          </cell>
          <cell r="U4271" t="str">
            <v>-</v>
          </cell>
          <cell r="V4271" t="str">
            <v>D</v>
          </cell>
          <cell r="W4271" t="str">
            <v>-</v>
          </cell>
          <cell r="X4271" t="str">
            <v>GearOil Synth (-35/+50°C)</v>
          </cell>
          <cell r="Y4271" t="str">
            <v>S97DRN160L4 /TF</v>
          </cell>
          <cell r="Z4271" t="str">
            <v>SEW</v>
          </cell>
          <cell r="AB4271" t="str">
            <v>-</v>
          </cell>
          <cell r="AE4271" t="str">
            <v>NEMA5/CSA/UL/NPT terminal box</v>
          </cell>
          <cell r="AF4271">
            <v>91.92</v>
          </cell>
          <cell r="AG4271" t="str">
            <v>DRN160L4</v>
          </cell>
          <cell r="AH4271" t="str">
            <v>S97-DRN160L4A270-X</v>
          </cell>
        </row>
        <row r="4272">
          <cell r="A4272" t="str">
            <v>MR004261</v>
          </cell>
          <cell r="B4272" t="str">
            <v>MR</v>
          </cell>
          <cell r="C4272">
            <v>15</v>
          </cell>
          <cell r="D4272">
            <v>59</v>
          </cell>
          <cell r="E4272" t="str">
            <v>R97</v>
          </cell>
          <cell r="F4272">
            <v>2430</v>
          </cell>
          <cell r="G4272">
            <v>25.03</v>
          </cell>
          <cell r="H4272">
            <v>1.1499999999999999</v>
          </cell>
          <cell r="I4272" t="str">
            <v>M1</v>
          </cell>
          <cell r="J4272" t="str">
            <v>IE3</v>
          </cell>
          <cell r="K4272" t="str">
            <v>230/400</v>
          </cell>
          <cell r="L4272">
            <v>50</v>
          </cell>
          <cell r="M4272" t="str">
            <v>50/29</v>
          </cell>
          <cell r="N4272">
            <v>55</v>
          </cell>
          <cell r="O4272" t="str">
            <v>155(F)</v>
          </cell>
          <cell r="P4272" t="str">
            <v>270°</v>
          </cell>
          <cell r="Q4272" t="str">
            <v>TF</v>
          </cell>
          <cell r="R4272" t="str">
            <v>V(VE)</v>
          </cell>
          <cell r="S4272" t="str">
            <v>-</v>
          </cell>
          <cell r="T4272" t="str">
            <v>-</v>
          </cell>
          <cell r="U4272" t="str">
            <v>-</v>
          </cell>
          <cell r="V4272" t="str">
            <v>FC</v>
          </cell>
          <cell r="W4272" t="str">
            <v>-</v>
          </cell>
          <cell r="X4272" t="str">
            <v>CLP 220 (-15/+40°C)</v>
          </cell>
          <cell r="Y4272" t="str">
            <v>R97DRN160L4 /TF/V</v>
          </cell>
          <cell r="Z4272" t="str">
            <v>SEW</v>
          </cell>
          <cell r="AB4272" t="str">
            <v>-</v>
          </cell>
          <cell r="AF4272">
            <v>59</v>
          </cell>
          <cell r="AG4272" t="str">
            <v>DRN160L4</v>
          </cell>
          <cell r="AH4272" t="str">
            <v>R97-DRN160L4270-X#</v>
          </cell>
        </row>
        <row r="4273">
          <cell r="A4273" t="str">
            <v>MR004262</v>
          </cell>
          <cell r="B4273" t="str">
            <v>MR</v>
          </cell>
          <cell r="C4273">
            <v>0.75</v>
          </cell>
          <cell r="D4273">
            <v>18</v>
          </cell>
          <cell r="E4273" t="str">
            <v>FA67</v>
          </cell>
          <cell r="F4273">
            <v>395</v>
          </cell>
          <cell r="G4273">
            <v>79.760000000000005</v>
          </cell>
          <cell r="H4273">
            <v>2.1</v>
          </cell>
          <cell r="I4273" t="str">
            <v>M5</v>
          </cell>
          <cell r="J4273" t="str">
            <v>IE3</v>
          </cell>
          <cell r="K4273" t="str">
            <v>230/400</v>
          </cell>
          <cell r="L4273">
            <v>50</v>
          </cell>
          <cell r="M4273" t="str">
            <v>3,05/1,75</v>
          </cell>
          <cell r="N4273">
            <v>55</v>
          </cell>
          <cell r="O4273" t="str">
            <v>155(F)</v>
          </cell>
          <cell r="P4273" t="str">
            <v>270°</v>
          </cell>
          <cell r="Q4273" t="str">
            <v>-</v>
          </cell>
          <cell r="R4273" t="str">
            <v>-</v>
          </cell>
          <cell r="S4273" t="str">
            <v>-</v>
          </cell>
          <cell r="T4273" t="str">
            <v>BEHF</v>
          </cell>
          <cell r="U4273" t="str">
            <v>G</v>
          </cell>
          <cell r="V4273" t="str">
            <v>D+R</v>
          </cell>
          <cell r="W4273" t="str">
            <v>-</v>
          </cell>
          <cell r="X4273" t="str">
            <v>CLP 220 (-15/+40°C)</v>
          </cell>
          <cell r="Y4273" t="str">
            <v>FA67/G DRN80M4 /BEHF</v>
          </cell>
          <cell r="Z4273" t="str">
            <v>SEW</v>
          </cell>
          <cell r="AB4273" t="str">
            <v>-</v>
          </cell>
          <cell r="AF4273">
            <v>18</v>
          </cell>
          <cell r="AG4273" t="str">
            <v>DRN80M4</v>
          </cell>
          <cell r="AH4273" t="str">
            <v>FA67G-DRN80M4270-X</v>
          </cell>
        </row>
        <row r="4274">
          <cell r="A4274" t="str">
            <v>MR004263</v>
          </cell>
          <cell r="B4274" t="str">
            <v>MR</v>
          </cell>
          <cell r="C4274">
            <v>15</v>
          </cell>
          <cell r="D4274">
            <v>16</v>
          </cell>
          <cell r="E4274" t="str">
            <v>KH127</v>
          </cell>
          <cell r="F4274">
            <v>8730</v>
          </cell>
          <cell r="G4274">
            <v>89.89</v>
          </cell>
          <cell r="H4274">
            <v>1.5</v>
          </cell>
          <cell r="I4274" t="str">
            <v>From M1A to M2A - 35°</v>
          </cell>
          <cell r="J4274" t="str">
            <v>IE3</v>
          </cell>
          <cell r="K4274" t="str">
            <v>230/400</v>
          </cell>
          <cell r="L4274">
            <v>50</v>
          </cell>
          <cell r="M4274" t="str">
            <v>50/29</v>
          </cell>
          <cell r="N4274">
            <v>55</v>
          </cell>
          <cell r="O4274" t="str">
            <v>155(F)</v>
          </cell>
          <cell r="P4274" t="str">
            <v>270°</v>
          </cell>
          <cell r="Q4274" t="str">
            <v>TF</v>
          </cell>
          <cell r="R4274" t="str">
            <v>V(VE)</v>
          </cell>
          <cell r="S4274" t="str">
            <v>-</v>
          </cell>
          <cell r="T4274" t="str">
            <v>-</v>
          </cell>
          <cell r="U4274" t="str">
            <v>-</v>
          </cell>
          <cell r="V4274" t="str">
            <v>FC</v>
          </cell>
          <cell r="W4274" t="str">
            <v>-</v>
          </cell>
          <cell r="X4274" t="str">
            <v>CLP 220 (-15/+40°C)</v>
          </cell>
          <cell r="Y4274" t="str">
            <v>KH127DRN160L4 /TF/V</v>
          </cell>
          <cell r="Z4274" t="str">
            <v>SEW</v>
          </cell>
          <cell r="AB4274" t="str">
            <v>-</v>
          </cell>
          <cell r="AF4274">
            <v>16</v>
          </cell>
          <cell r="AG4274" t="str">
            <v>DRN160L4</v>
          </cell>
          <cell r="AH4274" t="str">
            <v>KH127-DRN160L4A270-X#</v>
          </cell>
        </row>
        <row r="4275">
          <cell r="A4275" t="str">
            <v>MR004264</v>
          </cell>
          <cell r="B4275" t="str">
            <v>MR</v>
          </cell>
          <cell r="C4275">
            <v>15</v>
          </cell>
          <cell r="D4275">
            <v>16</v>
          </cell>
          <cell r="E4275" t="str">
            <v>KH127</v>
          </cell>
          <cell r="F4275">
            <v>8730</v>
          </cell>
          <cell r="G4275">
            <v>89.89</v>
          </cell>
          <cell r="H4275">
            <v>1.5</v>
          </cell>
          <cell r="I4275" t="str">
            <v>From M1B to M2B - 35°</v>
          </cell>
          <cell r="J4275" t="str">
            <v>IE3</v>
          </cell>
          <cell r="K4275" t="str">
            <v>230/400</v>
          </cell>
          <cell r="L4275">
            <v>50</v>
          </cell>
          <cell r="M4275" t="str">
            <v>50/29</v>
          </cell>
          <cell r="N4275">
            <v>55</v>
          </cell>
          <cell r="O4275" t="str">
            <v>155(F)</v>
          </cell>
          <cell r="P4275" t="str">
            <v>270°</v>
          </cell>
          <cell r="Q4275" t="str">
            <v>TF</v>
          </cell>
          <cell r="R4275" t="str">
            <v>V(VE)</v>
          </cell>
          <cell r="S4275" t="str">
            <v>-</v>
          </cell>
          <cell r="T4275" t="str">
            <v>-</v>
          </cell>
          <cell r="U4275" t="str">
            <v>-</v>
          </cell>
          <cell r="V4275" t="str">
            <v>FC</v>
          </cell>
          <cell r="W4275" t="str">
            <v>-</v>
          </cell>
          <cell r="X4275" t="str">
            <v>CLP 220 (-15/+40°C)</v>
          </cell>
          <cell r="Y4275" t="str">
            <v>KH127DRN160L4 /TF/V</v>
          </cell>
          <cell r="Z4275" t="str">
            <v>SEW</v>
          </cell>
          <cell r="AB4275" t="str">
            <v>-</v>
          </cell>
          <cell r="AF4275">
            <v>16</v>
          </cell>
          <cell r="AG4275" t="str">
            <v>DRN160L4</v>
          </cell>
          <cell r="AH4275" t="str">
            <v>KH127-DRN160L4B270-X#</v>
          </cell>
        </row>
        <row r="4276">
          <cell r="A4276" t="str">
            <v>MR004265</v>
          </cell>
          <cell r="B4276" t="str">
            <v>MR</v>
          </cell>
          <cell r="C4276">
            <v>9.1999999999999993</v>
          </cell>
          <cell r="D4276">
            <v>53</v>
          </cell>
          <cell r="E4276" t="str">
            <v>R97</v>
          </cell>
          <cell r="F4276">
            <v>1640</v>
          </cell>
          <cell r="G4276">
            <v>27.58</v>
          </cell>
          <cell r="H4276">
            <v>1.6</v>
          </cell>
          <cell r="I4276" t="str">
            <v>M1</v>
          </cell>
          <cell r="J4276" t="str">
            <v>IE3</v>
          </cell>
          <cell r="K4276" t="str">
            <v>230/400</v>
          </cell>
          <cell r="L4276">
            <v>50</v>
          </cell>
          <cell r="M4276" t="str">
            <v>32,5/18,7</v>
          </cell>
          <cell r="N4276">
            <v>55</v>
          </cell>
          <cell r="O4276" t="str">
            <v>155(F)</v>
          </cell>
          <cell r="P4276" t="str">
            <v>270°</v>
          </cell>
          <cell r="Q4276" t="str">
            <v>TF</v>
          </cell>
          <cell r="R4276" t="str">
            <v>V(VE)</v>
          </cell>
          <cell r="S4276" t="str">
            <v>-</v>
          </cell>
          <cell r="T4276" t="str">
            <v>-</v>
          </cell>
          <cell r="U4276" t="str">
            <v>-</v>
          </cell>
          <cell r="V4276" t="str">
            <v>FC</v>
          </cell>
          <cell r="W4276" t="str">
            <v>-</v>
          </cell>
          <cell r="X4276" t="str">
            <v>CLP 220 (-15/+40°C)</v>
          </cell>
          <cell r="Y4276" t="str">
            <v>R97DRN132L4 /TF/V</v>
          </cell>
          <cell r="Z4276" t="str">
            <v>SEW</v>
          </cell>
          <cell r="AB4276" t="str">
            <v>-</v>
          </cell>
          <cell r="AF4276">
            <v>53</v>
          </cell>
          <cell r="AG4276" t="str">
            <v>DRN132L4</v>
          </cell>
          <cell r="AH4276" t="str">
            <v>R97-DRN132L4270-X#</v>
          </cell>
        </row>
        <row r="4277">
          <cell r="A4277" t="str">
            <v>MR004266</v>
          </cell>
          <cell r="B4277" t="str">
            <v>MR</v>
          </cell>
          <cell r="C4277">
            <v>45</v>
          </cell>
          <cell r="D4277">
            <v>29</v>
          </cell>
          <cell r="E4277" t="str">
            <v>R167</v>
          </cell>
          <cell r="F4277">
            <v>15000</v>
          </cell>
          <cell r="G4277">
            <v>51.76</v>
          </cell>
          <cell r="H4277">
            <v>1.35</v>
          </cell>
          <cell r="I4277" t="str">
            <v>M1</v>
          </cell>
          <cell r="J4277" t="str">
            <v>IE3</v>
          </cell>
          <cell r="K4277" t="str">
            <v>400/690</v>
          </cell>
          <cell r="L4277">
            <v>50</v>
          </cell>
          <cell r="M4277" t="str">
            <v>81/47</v>
          </cell>
          <cell r="N4277">
            <v>55</v>
          </cell>
          <cell r="O4277" t="str">
            <v>155(F)</v>
          </cell>
          <cell r="P4277" t="str">
            <v>270°</v>
          </cell>
          <cell r="Q4277" t="str">
            <v>-</v>
          </cell>
          <cell r="R4277" t="str">
            <v>-</v>
          </cell>
          <cell r="S4277" t="str">
            <v>-</v>
          </cell>
          <cell r="T4277" t="str">
            <v>-</v>
          </cell>
          <cell r="U4277" t="str">
            <v>-</v>
          </cell>
          <cell r="V4277" t="str">
            <v>D</v>
          </cell>
          <cell r="W4277" t="str">
            <v>-</v>
          </cell>
          <cell r="X4277" t="str">
            <v>CLP 220 (-15/+40°C)</v>
          </cell>
          <cell r="Y4277" t="str">
            <v>R167DRN225M4</v>
          </cell>
          <cell r="Z4277" t="str">
            <v>SEW</v>
          </cell>
          <cell r="AB4277" t="str">
            <v>-</v>
          </cell>
          <cell r="AF4277">
            <v>29</v>
          </cell>
          <cell r="AG4277" t="str">
            <v>DRN225M4</v>
          </cell>
          <cell r="AH4277" t="str">
            <v>R167-DRN225M4270-X</v>
          </cell>
        </row>
        <row r="4278">
          <cell r="A4278" t="str">
            <v>MR004267</v>
          </cell>
          <cell r="B4278" t="str">
            <v>MR</v>
          </cell>
          <cell r="C4278">
            <v>15</v>
          </cell>
          <cell r="D4278">
            <v>60</v>
          </cell>
          <cell r="E4278" t="str">
            <v>KH97</v>
          </cell>
          <cell r="F4278">
            <v>2400</v>
          </cell>
          <cell r="G4278">
            <v>24.75</v>
          </cell>
          <cell r="H4278">
            <v>1.8</v>
          </cell>
          <cell r="I4278" t="str">
            <v>M4B</v>
          </cell>
          <cell r="J4278" t="str">
            <v>IE3</v>
          </cell>
          <cell r="K4278" t="str">
            <v>400/690</v>
          </cell>
          <cell r="L4278">
            <v>50</v>
          </cell>
          <cell r="M4278" t="str">
            <v>29/16,7</v>
          </cell>
          <cell r="N4278">
            <v>55</v>
          </cell>
          <cell r="O4278" t="str">
            <v>155(F)</v>
          </cell>
          <cell r="P4278" t="str">
            <v>270°</v>
          </cell>
          <cell r="Q4278" t="str">
            <v>-</v>
          </cell>
          <cell r="R4278" t="str">
            <v>-</v>
          </cell>
          <cell r="S4278" t="str">
            <v>Free rotation CW</v>
          </cell>
          <cell r="T4278" t="str">
            <v>-</v>
          </cell>
          <cell r="U4278" t="str">
            <v>T</v>
          </cell>
          <cell r="V4278" t="str">
            <v>SS</v>
          </cell>
          <cell r="W4278" t="str">
            <v>-</v>
          </cell>
          <cell r="X4278" t="str">
            <v>CLP 220 (-15/+40°C)</v>
          </cell>
          <cell r="Y4278" t="str">
            <v>KH97/T DRN160L4 /RS</v>
          </cell>
          <cell r="Z4278" t="str">
            <v>SEW</v>
          </cell>
          <cell r="AB4278" t="str">
            <v>-</v>
          </cell>
          <cell r="AF4278">
            <v>60</v>
          </cell>
          <cell r="AG4278" t="str">
            <v>DRN160L4</v>
          </cell>
          <cell r="AH4278" t="str">
            <v>KH97T-DRN160L4B270-X</v>
          </cell>
        </row>
        <row r="4279">
          <cell r="A4279" t="str">
            <v>MR004268</v>
          </cell>
          <cell r="B4279" t="str">
            <v>MR</v>
          </cell>
          <cell r="C4279">
            <v>15</v>
          </cell>
          <cell r="D4279">
            <v>12</v>
          </cell>
          <cell r="E4279" t="str">
            <v>KH127</v>
          </cell>
          <cell r="F4279">
            <v>11900</v>
          </cell>
          <cell r="G4279">
            <v>122.48</v>
          </cell>
          <cell r="H4279">
            <v>1.1000000000000001</v>
          </cell>
          <cell r="I4279" t="str">
            <v>From M1A to M2A - 50°</v>
          </cell>
          <cell r="J4279" t="str">
            <v>IE3</v>
          </cell>
          <cell r="K4279" t="str">
            <v>400/690</v>
          </cell>
          <cell r="L4279">
            <v>50</v>
          </cell>
          <cell r="M4279" t="str">
            <v>29/16,7</v>
          </cell>
          <cell r="N4279">
            <v>55</v>
          </cell>
          <cell r="O4279" t="str">
            <v>155(F)</v>
          </cell>
          <cell r="P4279" t="str">
            <v>270°</v>
          </cell>
          <cell r="Q4279" t="str">
            <v>TF</v>
          </cell>
          <cell r="R4279" t="str">
            <v>V(VE)</v>
          </cell>
          <cell r="S4279" t="str">
            <v>-</v>
          </cell>
          <cell r="T4279" t="str">
            <v>-</v>
          </cell>
          <cell r="U4279" t="str">
            <v>-</v>
          </cell>
          <cell r="V4279" t="str">
            <v>FC</v>
          </cell>
          <cell r="W4279" t="str">
            <v>-</v>
          </cell>
          <cell r="X4279" t="str">
            <v>CLP PG 220 (-25/+80°C)</v>
          </cell>
          <cell r="Y4279" t="str">
            <v>KH127DRN160L4 /TF/V</v>
          </cell>
          <cell r="Z4279" t="str">
            <v>SEW</v>
          </cell>
          <cell r="AB4279" t="str">
            <v>-</v>
          </cell>
          <cell r="AF4279">
            <v>12</v>
          </cell>
          <cell r="AG4279" t="str">
            <v>DRN160L4</v>
          </cell>
          <cell r="AH4279" t="str">
            <v>KH127-DRN160L4A270-X#</v>
          </cell>
        </row>
        <row r="4280">
          <cell r="A4280" t="str">
            <v>MR004269</v>
          </cell>
          <cell r="B4280" t="str">
            <v>MR</v>
          </cell>
          <cell r="C4280">
            <v>15</v>
          </cell>
          <cell r="D4280">
            <v>12</v>
          </cell>
          <cell r="E4280" t="str">
            <v>KH127</v>
          </cell>
          <cell r="F4280">
            <v>11900</v>
          </cell>
          <cell r="G4280">
            <v>122.48</v>
          </cell>
          <cell r="H4280">
            <v>1.1000000000000001</v>
          </cell>
          <cell r="I4280" t="str">
            <v>From M1B to M2B - 50°</v>
          </cell>
          <cell r="J4280" t="str">
            <v>IE3</v>
          </cell>
          <cell r="K4280" t="str">
            <v>400/690</v>
          </cell>
          <cell r="L4280">
            <v>50</v>
          </cell>
          <cell r="M4280" t="str">
            <v>29/16,7</v>
          </cell>
          <cell r="N4280">
            <v>55</v>
          </cell>
          <cell r="O4280" t="str">
            <v>155(F)</v>
          </cell>
          <cell r="P4280" t="str">
            <v>270°</v>
          </cell>
          <cell r="Q4280" t="str">
            <v>TF</v>
          </cell>
          <cell r="R4280" t="str">
            <v>V(VE)</v>
          </cell>
          <cell r="S4280" t="str">
            <v>-</v>
          </cell>
          <cell r="T4280" t="str">
            <v>-</v>
          </cell>
          <cell r="U4280" t="str">
            <v>-</v>
          </cell>
          <cell r="V4280" t="str">
            <v>FC</v>
          </cell>
          <cell r="W4280" t="str">
            <v>-</v>
          </cell>
          <cell r="X4280" t="str">
            <v>CLP PG 220 (-25/+80°C)</v>
          </cell>
          <cell r="Y4280" t="str">
            <v>KH127DRN160L4 /TF/V</v>
          </cell>
          <cell r="Z4280" t="str">
            <v>SEW</v>
          </cell>
          <cell r="AB4280" t="str">
            <v>-</v>
          </cell>
          <cell r="AF4280">
            <v>12</v>
          </cell>
          <cell r="AG4280" t="str">
            <v>DRN160L4</v>
          </cell>
          <cell r="AH4280" t="str">
            <v>KH127-DRN160L4B270-X#</v>
          </cell>
        </row>
        <row r="4281">
          <cell r="A4281" t="str">
            <v>MR004270</v>
          </cell>
          <cell r="B4281" t="str">
            <v>MR</v>
          </cell>
          <cell r="C4281">
            <v>0.75</v>
          </cell>
          <cell r="D4281">
            <v>18</v>
          </cell>
          <cell r="E4281" t="str">
            <v>FA67</v>
          </cell>
          <cell r="F4281">
            <v>390</v>
          </cell>
          <cell r="G4281">
            <v>79.760000000000005</v>
          </cell>
          <cell r="H4281">
            <v>2.1</v>
          </cell>
          <cell r="I4281" t="str">
            <v>M6</v>
          </cell>
          <cell r="J4281" t="str">
            <v>IE4</v>
          </cell>
          <cell r="K4281" t="str">
            <v>230/400</v>
          </cell>
          <cell r="L4281">
            <v>50</v>
          </cell>
          <cell r="M4281" t="str">
            <v>3,15/1,81</v>
          </cell>
          <cell r="N4281">
            <v>65</v>
          </cell>
          <cell r="O4281" t="str">
            <v>155(F)</v>
          </cell>
          <cell r="P4281" t="str">
            <v>270°</v>
          </cell>
          <cell r="Q4281" t="str">
            <v>-</v>
          </cell>
          <cell r="R4281" t="str">
            <v>-</v>
          </cell>
          <cell r="S4281" t="str">
            <v>-</v>
          </cell>
          <cell r="T4281" t="str">
            <v>BEHF</v>
          </cell>
          <cell r="U4281" t="str">
            <v>G</v>
          </cell>
          <cell r="V4281" t="str">
            <v>D+R</v>
          </cell>
          <cell r="W4281" t="str">
            <v>-</v>
          </cell>
          <cell r="X4281" t="str">
            <v>CLP 220 (-15/+40°C)</v>
          </cell>
          <cell r="Y4281" t="str">
            <v>FA67/G DRU90S4 /BEHF</v>
          </cell>
          <cell r="Z4281" t="str">
            <v>SEW</v>
          </cell>
          <cell r="AB4281" t="str">
            <v>-</v>
          </cell>
          <cell r="AF4281">
            <v>18</v>
          </cell>
          <cell r="AG4281" t="str">
            <v>DRU90S4</v>
          </cell>
          <cell r="AH4281" t="str">
            <v>FA67G-DRU90S4270-X</v>
          </cell>
        </row>
        <row r="4282">
          <cell r="A4282" t="str">
            <v>MR004271</v>
          </cell>
          <cell r="B4282" t="str">
            <v>MR</v>
          </cell>
          <cell r="C4282">
            <v>0.75</v>
          </cell>
          <cell r="D4282">
            <v>18</v>
          </cell>
          <cell r="E4282" t="str">
            <v>FA67</v>
          </cell>
          <cell r="F4282">
            <v>390</v>
          </cell>
          <cell r="G4282">
            <v>79.760000000000005</v>
          </cell>
          <cell r="H4282">
            <v>2.1</v>
          </cell>
          <cell r="I4282" t="str">
            <v>M5</v>
          </cell>
          <cell r="J4282" t="str">
            <v>IE4</v>
          </cell>
          <cell r="K4282" t="str">
            <v>230/400</v>
          </cell>
          <cell r="L4282">
            <v>50</v>
          </cell>
          <cell r="M4282" t="str">
            <v>3,15/1,81</v>
          </cell>
          <cell r="N4282">
            <v>65</v>
          </cell>
          <cell r="O4282" t="str">
            <v>155(F)</v>
          </cell>
          <cell r="P4282" t="str">
            <v>270°</v>
          </cell>
          <cell r="Q4282" t="str">
            <v>-</v>
          </cell>
          <cell r="R4282" t="str">
            <v>-</v>
          </cell>
          <cell r="S4282" t="str">
            <v>-</v>
          </cell>
          <cell r="T4282" t="str">
            <v>BEHF</v>
          </cell>
          <cell r="U4282" t="str">
            <v>G</v>
          </cell>
          <cell r="V4282" t="str">
            <v>D+R</v>
          </cell>
          <cell r="W4282" t="str">
            <v>-</v>
          </cell>
          <cell r="X4282" t="str">
            <v>CLP 220 (-15/+40°C)</v>
          </cell>
          <cell r="Y4282" t="str">
            <v>FA67/G DRU90S4 /BEHF</v>
          </cell>
          <cell r="Z4282" t="str">
            <v>SEW</v>
          </cell>
          <cell r="AB4282" t="str">
            <v>-</v>
          </cell>
          <cell r="AF4282">
            <v>18</v>
          </cell>
          <cell r="AG4282" t="str">
            <v>DRU90S4</v>
          </cell>
          <cell r="AH4282" t="str">
            <v>FA67G-DRU90S4270-X</v>
          </cell>
        </row>
        <row r="4283">
          <cell r="A4283" t="str">
            <v>MR004272</v>
          </cell>
          <cell r="B4283" t="str">
            <v>MR</v>
          </cell>
          <cell r="C4283">
            <v>9.1999999999999993</v>
          </cell>
          <cell r="D4283">
            <v>45</v>
          </cell>
          <cell r="E4283" t="str">
            <v>R97</v>
          </cell>
          <cell r="F4283">
            <v>1970</v>
          </cell>
          <cell r="G4283">
            <v>33.25</v>
          </cell>
          <cell r="H4283">
            <v>1.45</v>
          </cell>
          <cell r="I4283" t="str">
            <v>From M3 to M4 -20°</v>
          </cell>
          <cell r="J4283" t="str">
            <v>IE4</v>
          </cell>
          <cell r="K4283" t="str">
            <v>400/690</v>
          </cell>
          <cell r="L4283">
            <v>50</v>
          </cell>
          <cell r="M4283" t="str">
            <v>17,8/10,3</v>
          </cell>
          <cell r="N4283">
            <v>65</v>
          </cell>
          <cell r="O4283" t="str">
            <v>155(F)</v>
          </cell>
          <cell r="P4283" t="str">
            <v>270°</v>
          </cell>
          <cell r="Q4283" t="str">
            <v>TF</v>
          </cell>
          <cell r="R4283" t="str">
            <v>V(VE)</v>
          </cell>
          <cell r="S4283" t="str">
            <v>-</v>
          </cell>
          <cell r="T4283" t="str">
            <v>-</v>
          </cell>
          <cell r="U4283" t="str">
            <v>-</v>
          </cell>
          <cell r="V4283" t="str">
            <v>FC</v>
          </cell>
          <cell r="W4283" t="str">
            <v>-</v>
          </cell>
          <cell r="X4283" t="str">
            <v>CLP 220 (-15/+40°C)</v>
          </cell>
          <cell r="Y4283" t="str">
            <v>R97DRU160LR4 /TF/V</v>
          </cell>
          <cell r="Z4283" t="str">
            <v>SEW</v>
          </cell>
          <cell r="AB4283" t="str">
            <v>-</v>
          </cell>
          <cell r="AF4283">
            <v>45</v>
          </cell>
          <cell r="AG4283" t="str">
            <v>DRU160LR4</v>
          </cell>
          <cell r="AH4283" t="str">
            <v>R97-DRU160LR4270-X#</v>
          </cell>
        </row>
        <row r="4284">
          <cell r="A4284" t="str">
            <v>MR004273</v>
          </cell>
          <cell r="B4284" t="str">
            <v>MR</v>
          </cell>
          <cell r="C4284">
            <v>5.5</v>
          </cell>
          <cell r="D4284">
            <v>14</v>
          </cell>
          <cell r="E4284" t="str">
            <v>KH97</v>
          </cell>
          <cell r="F4284">
            <v>3770</v>
          </cell>
          <cell r="G4284">
            <v>105.13</v>
          </cell>
          <cell r="H4284">
            <v>1.1499999999999999</v>
          </cell>
          <cell r="I4284" t="str">
            <v>From M1A to M2A - 50°</v>
          </cell>
          <cell r="J4284" t="str">
            <v>IE3</v>
          </cell>
          <cell r="K4284" t="str">
            <v>230/400</v>
          </cell>
          <cell r="L4284">
            <v>50</v>
          </cell>
          <cell r="M4284" t="str">
            <v>18,2/10,5</v>
          </cell>
          <cell r="N4284">
            <v>65</v>
          </cell>
          <cell r="O4284" t="str">
            <v>155(F)</v>
          </cell>
          <cell r="P4284" t="str">
            <v>270°</v>
          </cell>
          <cell r="Q4284" t="str">
            <v>TF</v>
          </cell>
          <cell r="R4284" t="str">
            <v>-</v>
          </cell>
          <cell r="S4284" t="str">
            <v>-</v>
          </cell>
          <cell r="T4284" t="str">
            <v>-</v>
          </cell>
          <cell r="U4284" t="str">
            <v>-</v>
          </cell>
          <cell r="V4284" t="str">
            <v>SS</v>
          </cell>
          <cell r="W4284" t="str">
            <v>-</v>
          </cell>
          <cell r="X4284" t="str">
            <v>CLP HC 150 (-30/+50°C)</v>
          </cell>
          <cell r="Y4284" t="str">
            <v>KH97DRN132S4 /TF</v>
          </cell>
          <cell r="Z4284" t="str">
            <v>SEW</v>
          </cell>
          <cell r="AB4284" t="str">
            <v>-</v>
          </cell>
          <cell r="AF4284">
            <v>14</v>
          </cell>
          <cell r="AG4284" t="str">
            <v>DRN132S4</v>
          </cell>
          <cell r="AH4284" t="str">
            <v>KH97-DRN132S4A270-X</v>
          </cell>
        </row>
        <row r="4285">
          <cell r="A4285" t="str">
            <v>MR004274</v>
          </cell>
          <cell r="B4285" t="str">
            <v>MR</v>
          </cell>
          <cell r="C4285">
            <v>15</v>
          </cell>
          <cell r="D4285">
            <v>60</v>
          </cell>
          <cell r="E4285" t="str">
            <v>KH97</v>
          </cell>
          <cell r="F4285">
            <v>2400</v>
          </cell>
          <cell r="G4285">
            <v>24.75</v>
          </cell>
          <cell r="H4285">
            <v>1.8</v>
          </cell>
          <cell r="I4285" t="str">
            <v>M4B</v>
          </cell>
          <cell r="J4285" t="str">
            <v>IE3</v>
          </cell>
          <cell r="K4285" t="str">
            <v>400/690</v>
          </cell>
          <cell r="L4285">
            <v>50</v>
          </cell>
          <cell r="M4285" t="str">
            <v>29/16,7</v>
          </cell>
          <cell r="N4285">
            <v>55</v>
          </cell>
          <cell r="O4285" t="str">
            <v>155(F)</v>
          </cell>
          <cell r="P4285" t="str">
            <v>270°</v>
          </cell>
          <cell r="Q4285" t="str">
            <v>-</v>
          </cell>
          <cell r="R4285" t="str">
            <v>-</v>
          </cell>
          <cell r="S4285" t="str">
            <v>Free rotation CW</v>
          </cell>
          <cell r="T4285" t="str">
            <v>-</v>
          </cell>
          <cell r="U4285" t="str">
            <v>T</v>
          </cell>
          <cell r="V4285" t="str">
            <v>SS</v>
          </cell>
          <cell r="W4285" t="str">
            <v>-</v>
          </cell>
          <cell r="X4285" t="str">
            <v>CLP PG 220 (-25/+80°C)</v>
          </cell>
          <cell r="Y4285" t="str">
            <v>KH97/T DRN160L4 /RS</v>
          </cell>
          <cell r="Z4285" t="str">
            <v>SEW</v>
          </cell>
          <cell r="AB4285" t="str">
            <v>-</v>
          </cell>
          <cell r="AF4285">
            <v>60</v>
          </cell>
          <cell r="AG4285" t="str">
            <v>DRN160L4</v>
          </cell>
          <cell r="AH4285" t="str">
            <v>KH97T-DRN160L4B270-X</v>
          </cell>
        </row>
        <row r="4286">
          <cell r="A4286" t="str">
            <v>MR004275</v>
          </cell>
          <cell r="B4286" t="str">
            <v>MR</v>
          </cell>
          <cell r="C4286">
            <v>0.75</v>
          </cell>
          <cell r="D4286">
            <v>162</v>
          </cell>
          <cell r="E4286" t="str">
            <v>KA37</v>
          </cell>
          <cell r="F4286">
            <v>44</v>
          </cell>
          <cell r="G4286">
            <v>8.91</v>
          </cell>
          <cell r="H4286">
            <v>3.6</v>
          </cell>
          <cell r="I4286" t="str">
            <v>M1B</v>
          </cell>
          <cell r="J4286" t="str">
            <v>IE3</v>
          </cell>
          <cell r="K4286" t="str">
            <v>230/400</v>
          </cell>
          <cell r="L4286">
            <v>50</v>
          </cell>
          <cell r="M4286" t="str">
            <v>3,05/1,75</v>
          </cell>
          <cell r="N4286">
            <v>55</v>
          </cell>
          <cell r="O4286" t="str">
            <v>155(F)</v>
          </cell>
          <cell r="P4286" t="str">
            <v>0°</v>
          </cell>
          <cell r="Q4286" t="str">
            <v>-</v>
          </cell>
          <cell r="R4286" t="str">
            <v>-</v>
          </cell>
          <cell r="S4286" t="str">
            <v>-</v>
          </cell>
          <cell r="T4286" t="str">
            <v>-</v>
          </cell>
          <cell r="U4286" t="str">
            <v>T</v>
          </cell>
          <cell r="V4286" t="str">
            <v>D</v>
          </cell>
          <cell r="W4286" t="str">
            <v>-</v>
          </cell>
          <cell r="X4286" t="str">
            <v>CLP PG 220 (-25/+80°C)</v>
          </cell>
          <cell r="Y4286" t="str">
            <v>KA37/T DRN80M4</v>
          </cell>
          <cell r="Z4286" t="str">
            <v>SEW</v>
          </cell>
          <cell r="AB4286" t="str">
            <v>-</v>
          </cell>
          <cell r="AF4286">
            <v>162</v>
          </cell>
          <cell r="AG4286" t="str">
            <v>DRN80M4</v>
          </cell>
          <cell r="AH4286" t="str">
            <v>KA37T-DRN80M4B0-X</v>
          </cell>
        </row>
        <row r="4287">
          <cell r="A4287" t="str">
            <v>MR004276</v>
          </cell>
          <cell r="B4287" t="str">
            <v>MR</v>
          </cell>
          <cell r="C4287">
            <v>11</v>
          </cell>
          <cell r="D4287">
            <v>21</v>
          </cell>
          <cell r="E4287" t="str">
            <v>R127</v>
          </cell>
          <cell r="F4287">
            <v>4890</v>
          </cell>
          <cell r="G4287">
            <v>68.61</v>
          </cell>
          <cell r="H4287">
            <v>1.25</v>
          </cell>
          <cell r="I4287" t="str">
            <v>M1</v>
          </cell>
          <cell r="J4287" t="str">
            <v>IE3</v>
          </cell>
          <cell r="K4287" t="str">
            <v>400/690</v>
          </cell>
          <cell r="L4287">
            <v>50</v>
          </cell>
          <cell r="M4287" t="str">
            <v>21/12,2</v>
          </cell>
          <cell r="N4287">
            <v>55</v>
          </cell>
          <cell r="O4287" t="str">
            <v>155(F)</v>
          </cell>
          <cell r="P4287" t="str">
            <v>270°</v>
          </cell>
          <cell r="Q4287" t="str">
            <v>TF</v>
          </cell>
          <cell r="R4287" t="str">
            <v>V(VE)</v>
          </cell>
          <cell r="S4287" t="str">
            <v>-</v>
          </cell>
          <cell r="T4287" t="str">
            <v>-</v>
          </cell>
          <cell r="U4287" t="str">
            <v>-</v>
          </cell>
          <cell r="V4287" t="str">
            <v>FC</v>
          </cell>
          <cell r="W4287" t="str">
            <v>-</v>
          </cell>
          <cell r="X4287" t="str">
            <v>CLP 220 (-15/+40°C)</v>
          </cell>
          <cell r="Y4287" t="str">
            <v>R127DRN160M4 /TF/V</v>
          </cell>
          <cell r="Z4287" t="str">
            <v>SEW</v>
          </cell>
          <cell r="AB4287" t="str">
            <v>-</v>
          </cell>
          <cell r="AF4287">
            <v>21</v>
          </cell>
          <cell r="AG4287" t="str">
            <v>DRN160M4</v>
          </cell>
          <cell r="AH4287" t="str">
            <v>R127-DRN160M4270-X#</v>
          </cell>
        </row>
        <row r="4288">
          <cell r="A4288" t="str">
            <v>MR004277</v>
          </cell>
          <cell r="B4288" t="str">
            <v>MR</v>
          </cell>
          <cell r="C4288">
            <v>4</v>
          </cell>
          <cell r="D4288">
            <v>58</v>
          </cell>
          <cell r="E4288" t="str">
            <v>R77</v>
          </cell>
          <cell r="F4288">
            <v>660</v>
          </cell>
          <cell r="G4288">
            <v>25.23</v>
          </cell>
          <cell r="H4288">
            <v>1.2</v>
          </cell>
          <cell r="I4288" t="str">
            <v>From M1 to M4 -25°</v>
          </cell>
          <cell r="J4288" t="str">
            <v>IE3</v>
          </cell>
          <cell r="K4288" t="str">
            <v>240/415</v>
          </cell>
          <cell r="L4288">
            <v>50</v>
          </cell>
          <cell r="M4288" t="str">
            <v>13,2/7,6</v>
          </cell>
          <cell r="N4288">
            <v>55</v>
          </cell>
          <cell r="O4288" t="str">
            <v>155(F)</v>
          </cell>
          <cell r="P4288" t="str">
            <v>270°</v>
          </cell>
          <cell r="Q4288" t="str">
            <v>-</v>
          </cell>
          <cell r="R4288" t="str">
            <v>-</v>
          </cell>
          <cell r="S4288" t="str">
            <v>-</v>
          </cell>
          <cell r="T4288" t="str">
            <v>-</v>
          </cell>
          <cell r="U4288" t="str">
            <v>-</v>
          </cell>
          <cell r="V4288" t="str">
            <v>D</v>
          </cell>
          <cell r="W4288" t="str">
            <v>-</v>
          </cell>
          <cell r="X4288" t="str">
            <v>CLP 220 (-15/+40°C)</v>
          </cell>
          <cell r="Y4288" t="str">
            <v>R77DRN112M4</v>
          </cell>
          <cell r="Z4288" t="str">
            <v>SEW</v>
          </cell>
          <cell r="AB4288" t="str">
            <v>-</v>
          </cell>
          <cell r="AD4288" t="str">
            <v>BIS</v>
          </cell>
          <cell r="AF4288">
            <v>58</v>
          </cell>
          <cell r="AG4288" t="str">
            <v>DRN112M4</v>
          </cell>
          <cell r="AH4288" t="str">
            <v>R77-DRN112M4270-X</v>
          </cell>
        </row>
        <row r="4289">
          <cell r="A4289" t="str">
            <v>MR004278</v>
          </cell>
          <cell r="B4289" t="str">
            <v>MR</v>
          </cell>
          <cell r="C4289">
            <v>11</v>
          </cell>
          <cell r="D4289">
            <v>13</v>
          </cell>
          <cell r="E4289" t="str">
            <v>KH127</v>
          </cell>
          <cell r="F4289">
            <v>7850</v>
          </cell>
          <cell r="G4289">
            <v>110.18</v>
          </cell>
          <cell r="H4289">
            <v>1.65</v>
          </cell>
          <cell r="I4289" t="str">
            <v>M4A</v>
          </cell>
          <cell r="J4289" t="str">
            <v>IE3</v>
          </cell>
          <cell r="K4289" t="str">
            <v>400/690</v>
          </cell>
          <cell r="L4289">
            <v>50</v>
          </cell>
          <cell r="M4289" t="str">
            <v>21/12,2</v>
          </cell>
          <cell r="N4289">
            <v>65</v>
          </cell>
          <cell r="O4289" t="str">
            <v>155(F)</v>
          </cell>
          <cell r="P4289" t="str">
            <v>270°</v>
          </cell>
          <cell r="Q4289" t="str">
            <v>TF</v>
          </cell>
          <cell r="R4289" t="str">
            <v>V(VE)</v>
          </cell>
          <cell r="S4289" t="str">
            <v>-</v>
          </cell>
          <cell r="T4289" t="str">
            <v>-</v>
          </cell>
          <cell r="U4289" t="str">
            <v>-</v>
          </cell>
          <cell r="V4289" t="str">
            <v>FC</v>
          </cell>
          <cell r="W4289" t="str">
            <v>-</v>
          </cell>
          <cell r="X4289" t="str">
            <v>CLP 220 (-15/+40°C)</v>
          </cell>
          <cell r="Y4289" t="str">
            <v>KH127DRN160M4 /TF/V</v>
          </cell>
          <cell r="Z4289" t="str">
            <v>SEW</v>
          </cell>
          <cell r="AB4289" t="str">
            <v>-</v>
          </cell>
          <cell r="AF4289">
            <v>13</v>
          </cell>
          <cell r="AG4289" t="str">
            <v>DRN160M4</v>
          </cell>
          <cell r="AH4289" t="str">
            <v>KH127-DRN160M4A270-X#</v>
          </cell>
        </row>
        <row r="4290">
          <cell r="A4290" t="str">
            <v>MR004279</v>
          </cell>
          <cell r="B4290" t="str">
            <v>MR</v>
          </cell>
          <cell r="C4290">
            <v>11</v>
          </cell>
          <cell r="D4290">
            <v>13</v>
          </cell>
          <cell r="E4290" t="str">
            <v>KH127</v>
          </cell>
          <cell r="F4290">
            <v>7850</v>
          </cell>
          <cell r="G4290">
            <v>110.18</v>
          </cell>
          <cell r="H4290">
            <v>1.65</v>
          </cell>
          <cell r="I4290" t="str">
            <v>M4B</v>
          </cell>
          <cell r="J4290" t="str">
            <v>IE3</v>
          </cell>
          <cell r="K4290" t="str">
            <v>400/690</v>
          </cell>
          <cell r="L4290">
            <v>50</v>
          </cell>
          <cell r="M4290" t="str">
            <v>21/12,2</v>
          </cell>
          <cell r="N4290">
            <v>65</v>
          </cell>
          <cell r="O4290" t="str">
            <v>155(F)</v>
          </cell>
          <cell r="P4290" t="str">
            <v>270°</v>
          </cell>
          <cell r="Q4290" t="str">
            <v>TF</v>
          </cell>
          <cell r="R4290" t="str">
            <v>V(VE)</v>
          </cell>
          <cell r="S4290" t="str">
            <v>-</v>
          </cell>
          <cell r="T4290" t="str">
            <v>-</v>
          </cell>
          <cell r="U4290" t="str">
            <v>-</v>
          </cell>
          <cell r="V4290" t="str">
            <v>FC</v>
          </cell>
          <cell r="W4290" t="str">
            <v>-</v>
          </cell>
          <cell r="X4290" t="str">
            <v>CLP 220 (-15/+40°C)</v>
          </cell>
          <cell r="Y4290" t="str">
            <v>KH127DRN160M4 /TF/V</v>
          </cell>
          <cell r="Z4290" t="str">
            <v>SEW</v>
          </cell>
          <cell r="AB4290" t="str">
            <v>-</v>
          </cell>
          <cell r="AF4290">
            <v>13</v>
          </cell>
          <cell r="AG4290" t="str">
            <v>DRN160M4</v>
          </cell>
          <cell r="AH4290" t="str">
            <v>KH127-DRN160M4B270-X#</v>
          </cell>
        </row>
        <row r="4291">
          <cell r="A4291" t="str">
            <v>MR004280</v>
          </cell>
          <cell r="B4291" t="str">
            <v>MR</v>
          </cell>
          <cell r="C4291">
            <v>1.5</v>
          </cell>
          <cell r="D4291">
            <v>13</v>
          </cell>
          <cell r="E4291" t="str">
            <v>FA77</v>
          </cell>
          <cell r="F4291">
            <v>1120</v>
          </cell>
          <cell r="G4291">
            <v>114.45</v>
          </cell>
          <cell r="H4291">
            <v>1.35</v>
          </cell>
          <cell r="I4291" t="str">
            <v>M1</v>
          </cell>
          <cell r="J4291" t="str">
            <v>IE3</v>
          </cell>
          <cell r="K4291" t="str">
            <v>230/400</v>
          </cell>
          <cell r="L4291">
            <v>50</v>
          </cell>
          <cell r="M4291" t="str">
            <v>5,9/3,4</v>
          </cell>
          <cell r="N4291">
            <v>55</v>
          </cell>
          <cell r="O4291" t="str">
            <v>155(F)</v>
          </cell>
          <cell r="P4291" t="str">
            <v>270°</v>
          </cell>
          <cell r="Q4291" t="str">
            <v>TF</v>
          </cell>
          <cell r="R4291" t="str">
            <v>V(VE)</v>
          </cell>
          <cell r="S4291" t="str">
            <v>-</v>
          </cell>
          <cell r="T4291" t="str">
            <v>-</v>
          </cell>
          <cell r="U4291" t="str">
            <v>G</v>
          </cell>
          <cell r="V4291" t="str">
            <v>FC</v>
          </cell>
          <cell r="W4291" t="str">
            <v>-</v>
          </cell>
          <cell r="X4291" t="str">
            <v>CLP 220 (-15/+40°C)</v>
          </cell>
          <cell r="Y4291" t="str">
            <v>FA77/G DRN90L4 /TF/V</v>
          </cell>
          <cell r="Z4291" t="str">
            <v>SEW</v>
          </cell>
          <cell r="AB4291" t="str">
            <v>-</v>
          </cell>
          <cell r="AE4291" t="str">
            <v>With FKM sealing on the motor shaft</v>
          </cell>
          <cell r="AF4291">
            <v>13</v>
          </cell>
          <cell r="AG4291" t="str">
            <v>DRN90L4</v>
          </cell>
          <cell r="AH4291" t="str">
            <v>FA77G-DRN90L4270-X#</v>
          </cell>
        </row>
        <row r="4292">
          <cell r="A4292" t="str">
            <v>MR004281</v>
          </cell>
          <cell r="B4292" t="str">
            <v>MR</v>
          </cell>
          <cell r="C4292">
            <v>15</v>
          </cell>
          <cell r="D4292">
            <v>65</v>
          </cell>
          <cell r="E4292" t="str">
            <v>R107</v>
          </cell>
          <cell r="F4292">
            <v>2190</v>
          </cell>
          <cell r="G4292">
            <v>22.62</v>
          </cell>
          <cell r="H4292">
            <v>1.95</v>
          </cell>
          <cell r="I4292" t="str">
            <v>From M1 ro M4 - 15°</v>
          </cell>
          <cell r="J4292" t="str">
            <v>IE3</v>
          </cell>
          <cell r="K4292" t="str">
            <v>400/690</v>
          </cell>
          <cell r="L4292">
            <v>50</v>
          </cell>
          <cell r="M4292" t="str">
            <v>29/16,7</v>
          </cell>
          <cell r="N4292">
            <v>65</v>
          </cell>
          <cell r="O4292" t="str">
            <v>155(F)</v>
          </cell>
          <cell r="P4292" t="str">
            <v>270°</v>
          </cell>
          <cell r="Q4292" t="str">
            <v>-</v>
          </cell>
          <cell r="R4292" t="str">
            <v>-</v>
          </cell>
          <cell r="S4292" t="str">
            <v>-</v>
          </cell>
          <cell r="T4292" t="str">
            <v>-</v>
          </cell>
          <cell r="U4292" t="str">
            <v>-</v>
          </cell>
          <cell r="V4292" t="str">
            <v>D</v>
          </cell>
          <cell r="W4292" t="str">
            <v>-</v>
          </cell>
          <cell r="X4292" t="str">
            <v>CLP 220 (-15/+40°C)</v>
          </cell>
          <cell r="Y4292" t="str">
            <v>R107DRN160L4</v>
          </cell>
          <cell r="Z4292" t="str">
            <v>SEW</v>
          </cell>
          <cell r="AB4292" t="str">
            <v>-</v>
          </cell>
          <cell r="AF4292">
            <v>65</v>
          </cell>
          <cell r="AG4292" t="str">
            <v>DRN160L4</v>
          </cell>
          <cell r="AH4292" t="str">
            <v>R107-DRN160L4270-X</v>
          </cell>
        </row>
        <row r="4293">
          <cell r="A4293" t="str">
            <v>MR004282</v>
          </cell>
          <cell r="B4293" t="str">
            <v>MR</v>
          </cell>
          <cell r="C4293">
            <v>7.5</v>
          </cell>
          <cell r="D4293">
            <v>15</v>
          </cell>
          <cell r="E4293" t="str">
            <v>KH107</v>
          </cell>
          <cell r="F4293">
            <v>4920</v>
          </cell>
          <cell r="G4293" t="str">
            <v>100.75</v>
          </cell>
          <cell r="H4293">
            <v>1.65</v>
          </cell>
          <cell r="I4293" t="str">
            <v>From M1B to M2B - 35°</v>
          </cell>
          <cell r="J4293" t="str">
            <v>IE3</v>
          </cell>
          <cell r="K4293" t="str">
            <v>400/690</v>
          </cell>
          <cell r="L4293">
            <v>50</v>
          </cell>
          <cell r="M4293" t="str">
            <v>15,2/8,8</v>
          </cell>
          <cell r="N4293">
            <v>65</v>
          </cell>
          <cell r="O4293" t="str">
            <v>155(F)</v>
          </cell>
          <cell r="P4293" t="str">
            <v>0°</v>
          </cell>
          <cell r="Q4293" t="str">
            <v>-</v>
          </cell>
          <cell r="R4293" t="str">
            <v>-</v>
          </cell>
          <cell r="S4293" t="str">
            <v>-</v>
          </cell>
          <cell r="T4293" t="str">
            <v>-</v>
          </cell>
          <cell r="U4293" t="str">
            <v>-</v>
          </cell>
          <cell r="V4293" t="str">
            <v>SS</v>
          </cell>
          <cell r="W4293" t="str">
            <v>-</v>
          </cell>
          <cell r="X4293" t="str">
            <v>CLP 220 (-15/+40°C)</v>
          </cell>
          <cell r="Y4293" t="str">
            <v>KH107DRN132M4</v>
          </cell>
          <cell r="Z4293" t="str">
            <v>SEW</v>
          </cell>
          <cell r="AB4293" t="str">
            <v>-</v>
          </cell>
          <cell r="AF4293">
            <v>15</v>
          </cell>
          <cell r="AG4293" t="str">
            <v>DRN132M4</v>
          </cell>
          <cell r="AH4293" t="str">
            <v>KH107-DRN132M4B0-X</v>
          </cell>
        </row>
        <row r="4294">
          <cell r="A4294" t="str">
            <v>MR004283</v>
          </cell>
          <cell r="B4294" t="str">
            <v>MR</v>
          </cell>
          <cell r="C4294">
            <v>7.5</v>
          </cell>
          <cell r="D4294">
            <v>15</v>
          </cell>
          <cell r="E4294" t="str">
            <v>KH107</v>
          </cell>
          <cell r="F4294">
            <v>4920</v>
          </cell>
          <cell r="G4294">
            <v>100.75</v>
          </cell>
          <cell r="H4294">
            <v>1.65</v>
          </cell>
          <cell r="I4294" t="str">
            <v>From M1A to M2A - 35°</v>
          </cell>
          <cell r="J4294" t="str">
            <v>IE3</v>
          </cell>
          <cell r="K4294" t="str">
            <v>400/690</v>
          </cell>
          <cell r="L4294">
            <v>50</v>
          </cell>
          <cell r="M4294" t="str">
            <v>15,2/8,8</v>
          </cell>
          <cell r="N4294">
            <v>65</v>
          </cell>
          <cell r="O4294" t="str">
            <v>155(F)</v>
          </cell>
          <cell r="P4294" t="str">
            <v>180°</v>
          </cell>
          <cell r="Q4294" t="str">
            <v>-</v>
          </cell>
          <cell r="R4294" t="str">
            <v>-</v>
          </cell>
          <cell r="S4294" t="str">
            <v>-</v>
          </cell>
          <cell r="T4294" t="str">
            <v>-</v>
          </cell>
          <cell r="U4294" t="str">
            <v>-</v>
          </cell>
          <cell r="V4294" t="str">
            <v>SS</v>
          </cell>
          <cell r="W4294" t="str">
            <v>-</v>
          </cell>
          <cell r="X4294" t="str">
            <v>CLP 220 (-15/+40°C)</v>
          </cell>
          <cell r="Y4294" t="str">
            <v>KH107DRN132M4</v>
          </cell>
          <cell r="Z4294" t="str">
            <v>SEW</v>
          </cell>
          <cell r="AB4294" t="str">
            <v>-</v>
          </cell>
          <cell r="AF4294">
            <v>15</v>
          </cell>
          <cell r="AG4294" t="str">
            <v>DRN132M4</v>
          </cell>
          <cell r="AH4294" t="str">
            <v>KH107-DRN132M4A180-X</v>
          </cell>
        </row>
        <row r="4295">
          <cell r="A4295" t="str">
            <v>MR004284</v>
          </cell>
          <cell r="B4295" t="str">
            <v>-</v>
          </cell>
          <cell r="C4295" t="str">
            <v>-</v>
          </cell>
          <cell r="E4295" t="str">
            <v>-</v>
          </cell>
          <cell r="J4295" t="str">
            <v>-</v>
          </cell>
          <cell r="N4295" t="str">
            <v>-</v>
          </cell>
          <cell r="O4295" t="str">
            <v>-</v>
          </cell>
          <cell r="P4295" t="str">
            <v>-</v>
          </cell>
          <cell r="Q4295" t="str">
            <v>-</v>
          </cell>
          <cell r="R4295" t="str">
            <v>-</v>
          </cell>
          <cell r="S4295" t="str">
            <v>-</v>
          </cell>
          <cell r="T4295" t="str">
            <v>-</v>
          </cell>
          <cell r="U4295" t="str">
            <v>-</v>
          </cell>
          <cell r="V4295" t="str">
            <v>-</v>
          </cell>
          <cell r="W4295" t="str">
            <v>-</v>
          </cell>
          <cell r="X4295" t="str">
            <v>(if ATEX, synthetic only!)</v>
          </cell>
          <cell r="Y4295" t="str">
            <v>--</v>
          </cell>
          <cell r="AB4295" t="str">
            <v>-</v>
          </cell>
          <cell r="AF4295">
            <v>0</v>
          </cell>
          <cell r="AG4295" t="str">
            <v>-</v>
          </cell>
          <cell r="AH4295" t="str">
            <v>-----X</v>
          </cell>
        </row>
        <row r="4296">
          <cell r="A4296" t="str">
            <v>MR004285</v>
          </cell>
          <cell r="B4296" t="str">
            <v>-</v>
          </cell>
          <cell r="C4296" t="str">
            <v>-</v>
          </cell>
          <cell r="E4296" t="str">
            <v>-</v>
          </cell>
          <cell r="J4296" t="str">
            <v>-</v>
          </cell>
          <cell r="N4296" t="str">
            <v>-</v>
          </cell>
          <cell r="O4296" t="str">
            <v>-</v>
          </cell>
          <cell r="P4296" t="str">
            <v>-</v>
          </cell>
          <cell r="Q4296" t="str">
            <v>-</v>
          </cell>
          <cell r="R4296" t="str">
            <v>-</v>
          </cell>
          <cell r="S4296" t="str">
            <v>-</v>
          </cell>
          <cell r="T4296" t="str">
            <v>-</v>
          </cell>
          <cell r="U4296" t="str">
            <v>-</v>
          </cell>
          <cell r="V4296" t="str">
            <v>-</v>
          </cell>
          <cell r="W4296" t="str">
            <v>-</v>
          </cell>
          <cell r="X4296" t="str">
            <v>(if ATEX, synthetic only!)</v>
          </cell>
          <cell r="Y4296" t="str">
            <v>--</v>
          </cell>
          <cell r="AB4296" t="str">
            <v>-</v>
          </cell>
          <cell r="AF4296">
            <v>0</v>
          </cell>
          <cell r="AG4296" t="str">
            <v>-</v>
          </cell>
          <cell r="AH4296" t="str">
            <v>-----X</v>
          </cell>
        </row>
        <row r="4297">
          <cell r="A4297" t="str">
            <v>MR004286</v>
          </cell>
          <cell r="B4297" t="str">
            <v>MR</v>
          </cell>
          <cell r="C4297">
            <v>3</v>
          </cell>
          <cell r="D4297">
            <v>14</v>
          </cell>
          <cell r="E4297" t="str">
            <v>KH87</v>
          </cell>
          <cell r="F4297">
            <v>2020</v>
          </cell>
          <cell r="G4297">
            <v>102.71</v>
          </cell>
          <cell r="H4297">
            <v>1.35</v>
          </cell>
          <cell r="I4297" t="str">
            <v>M1A</v>
          </cell>
          <cell r="J4297" t="str">
            <v>IE3</v>
          </cell>
          <cell r="K4297" t="str">
            <v>400/690</v>
          </cell>
          <cell r="L4297">
            <v>50</v>
          </cell>
          <cell r="M4297" t="str">
            <v>11,2/6,4</v>
          </cell>
          <cell r="N4297">
            <v>65</v>
          </cell>
          <cell r="O4297" t="str">
            <v>155(F)</v>
          </cell>
          <cell r="P4297" t="str">
            <v>180°</v>
          </cell>
          <cell r="Q4297" t="str">
            <v>-</v>
          </cell>
          <cell r="R4297" t="str">
            <v>-</v>
          </cell>
          <cell r="S4297" t="str">
            <v>-</v>
          </cell>
          <cell r="T4297" t="str">
            <v>-</v>
          </cell>
          <cell r="U4297" t="str">
            <v>-</v>
          </cell>
          <cell r="V4297" t="str">
            <v>SS</v>
          </cell>
          <cell r="W4297" t="str">
            <v>-</v>
          </cell>
          <cell r="X4297" t="str">
            <v>CLP 220 (-15/+40°C)</v>
          </cell>
          <cell r="Y4297" t="str">
            <v>KH87DRN100L4</v>
          </cell>
          <cell r="Z4297" t="str">
            <v>SEW</v>
          </cell>
          <cell r="AB4297" t="str">
            <v>-</v>
          </cell>
          <cell r="AF4297">
            <v>14</v>
          </cell>
          <cell r="AG4297" t="str">
            <v>DRN100L4</v>
          </cell>
          <cell r="AH4297" t="str">
            <v>KH87-DRN100L4A180-X</v>
          </cell>
        </row>
        <row r="4298">
          <cell r="A4298" t="str">
            <v>MR004287</v>
          </cell>
          <cell r="B4298" t="str">
            <v>MR</v>
          </cell>
          <cell r="C4298">
            <v>11</v>
          </cell>
          <cell r="D4298">
            <v>53</v>
          </cell>
          <cell r="E4298" t="str">
            <v>R97</v>
          </cell>
          <cell r="F4298">
            <v>1970</v>
          </cell>
          <cell r="G4298">
            <v>27.58</v>
          </cell>
          <cell r="H4298">
            <v>1.35</v>
          </cell>
          <cell r="I4298" t="str">
            <v>M1</v>
          </cell>
          <cell r="J4298" t="str">
            <v>IE3</v>
          </cell>
          <cell r="K4298" t="str">
            <v>400/690</v>
          </cell>
          <cell r="L4298">
            <v>50</v>
          </cell>
          <cell r="M4298" t="str">
            <v>21/12,2</v>
          </cell>
          <cell r="N4298">
            <v>65</v>
          </cell>
          <cell r="O4298" t="str">
            <v>155(F)</v>
          </cell>
          <cell r="P4298" t="str">
            <v>270°</v>
          </cell>
          <cell r="Q4298" t="str">
            <v>-</v>
          </cell>
          <cell r="R4298" t="str">
            <v>-</v>
          </cell>
          <cell r="S4298" t="str">
            <v>-</v>
          </cell>
          <cell r="T4298" t="str">
            <v>-</v>
          </cell>
          <cell r="U4298" t="str">
            <v>-</v>
          </cell>
          <cell r="V4298" t="str">
            <v>D</v>
          </cell>
          <cell r="W4298" t="str">
            <v>-</v>
          </cell>
          <cell r="X4298" t="str">
            <v>CLP 220 (-15/+40°C)</v>
          </cell>
          <cell r="Y4298" t="str">
            <v>R97DRN160M4</v>
          </cell>
          <cell r="Z4298" t="str">
            <v>SEW</v>
          </cell>
          <cell r="AB4298" t="str">
            <v>-</v>
          </cell>
          <cell r="AF4298">
            <v>53</v>
          </cell>
          <cell r="AG4298" t="str">
            <v>DRN160M4</v>
          </cell>
          <cell r="AH4298" t="str">
            <v>R97-DRN160M4270-X</v>
          </cell>
        </row>
        <row r="4299">
          <cell r="A4299" t="str">
            <v>MR004288</v>
          </cell>
          <cell r="B4299" t="str">
            <v>MR</v>
          </cell>
          <cell r="C4299">
            <v>11</v>
          </cell>
          <cell r="D4299">
            <v>25</v>
          </cell>
          <cell r="E4299" t="str">
            <v>R107</v>
          </cell>
          <cell r="F4299">
            <v>4240</v>
          </cell>
          <cell r="G4299">
            <v>59.41</v>
          </cell>
          <cell r="H4299">
            <v>1</v>
          </cell>
          <cell r="I4299" t="str">
            <v>From M1 to M2 - 15°</v>
          </cell>
          <cell r="J4299" t="str">
            <v>IE3</v>
          </cell>
          <cell r="K4299" t="str">
            <v>400/690</v>
          </cell>
          <cell r="L4299">
            <v>50</v>
          </cell>
          <cell r="M4299" t="str">
            <v>21/12,2</v>
          </cell>
          <cell r="N4299">
            <v>65</v>
          </cell>
          <cell r="O4299" t="str">
            <v>155(F)</v>
          </cell>
          <cell r="P4299" t="str">
            <v>270°</v>
          </cell>
          <cell r="Q4299" t="str">
            <v>TF</v>
          </cell>
          <cell r="R4299" t="str">
            <v>V(VE)</v>
          </cell>
          <cell r="S4299" t="str">
            <v>-</v>
          </cell>
          <cell r="T4299" t="str">
            <v>-</v>
          </cell>
          <cell r="U4299" t="str">
            <v>-</v>
          </cell>
          <cell r="V4299" t="str">
            <v>FC</v>
          </cell>
          <cell r="W4299" t="str">
            <v>-</v>
          </cell>
          <cell r="X4299" t="str">
            <v>CLP 220 (-15/+40°C)</v>
          </cell>
          <cell r="Y4299" t="str">
            <v>R107DRN160M4 /TF/V</v>
          </cell>
          <cell r="Z4299" t="str">
            <v>SEW</v>
          </cell>
          <cell r="AB4299" t="str">
            <v>-</v>
          </cell>
          <cell r="AF4299">
            <v>25</v>
          </cell>
          <cell r="AG4299" t="str">
            <v>DRN160M4</v>
          </cell>
          <cell r="AH4299" t="str">
            <v>R107-DRN160M4270-X#</v>
          </cell>
        </row>
        <row r="4300">
          <cell r="A4300" t="str">
            <v>MR004289</v>
          </cell>
          <cell r="B4300" t="str">
            <v>MR</v>
          </cell>
          <cell r="C4300">
            <v>9.1999999999999993</v>
          </cell>
          <cell r="D4300">
            <v>66</v>
          </cell>
          <cell r="E4300" t="str">
            <v>R97</v>
          </cell>
          <cell r="F4300">
            <v>1340</v>
          </cell>
          <cell r="G4300">
            <v>22.37</v>
          </cell>
          <cell r="H4300">
            <v>2</v>
          </cell>
          <cell r="I4300" t="str">
            <v>M1</v>
          </cell>
          <cell r="J4300" t="str">
            <v>IE3</v>
          </cell>
          <cell r="K4300" t="str">
            <v>400/690</v>
          </cell>
          <cell r="L4300">
            <v>50</v>
          </cell>
          <cell r="M4300" t="str">
            <v>18,7/10,8</v>
          </cell>
          <cell r="N4300">
            <v>65</v>
          </cell>
          <cell r="O4300" t="str">
            <v>155(F)</v>
          </cell>
          <cell r="P4300" t="str">
            <v>270°</v>
          </cell>
          <cell r="Q4300" t="str">
            <v>-</v>
          </cell>
          <cell r="R4300" t="str">
            <v>-</v>
          </cell>
          <cell r="S4300" t="str">
            <v>-</v>
          </cell>
          <cell r="T4300" t="str">
            <v>-</v>
          </cell>
          <cell r="U4300" t="str">
            <v>-</v>
          </cell>
          <cell r="V4300" t="str">
            <v>D</v>
          </cell>
          <cell r="W4300" t="str">
            <v>-</v>
          </cell>
          <cell r="X4300" t="str">
            <v>CLP 220 (-15/+40°C)</v>
          </cell>
          <cell r="Y4300" t="str">
            <v>R97DRN132L4</v>
          </cell>
          <cell r="Z4300" t="str">
            <v>SEW</v>
          </cell>
          <cell r="AB4300" t="str">
            <v>-</v>
          </cell>
          <cell r="AF4300">
            <v>66</v>
          </cell>
          <cell r="AG4300" t="str">
            <v>DRN132L4</v>
          </cell>
          <cell r="AH4300" t="str">
            <v>R97-DRN132L4270-X</v>
          </cell>
        </row>
        <row r="4301">
          <cell r="A4301" t="str">
            <v>MR004290</v>
          </cell>
          <cell r="B4301" t="str">
            <v>MR</v>
          </cell>
          <cell r="C4301">
            <v>7.5</v>
          </cell>
          <cell r="D4301">
            <v>57</v>
          </cell>
          <cell r="E4301" t="str">
            <v>KH77</v>
          </cell>
          <cell r="F4301">
            <v>1250</v>
          </cell>
          <cell r="G4301">
            <v>25.62</v>
          </cell>
          <cell r="H4301">
            <v>1.25</v>
          </cell>
          <cell r="I4301" t="str">
            <v>From M4A to M3A -15°</v>
          </cell>
          <cell r="J4301" t="str">
            <v>IE3</v>
          </cell>
          <cell r="K4301" t="str">
            <v>230/400</v>
          </cell>
          <cell r="L4301">
            <v>50</v>
          </cell>
          <cell r="M4301" t="str">
            <v>15,2/8,8</v>
          </cell>
          <cell r="N4301">
            <v>65</v>
          </cell>
          <cell r="O4301" t="str">
            <v>155(F)</v>
          </cell>
          <cell r="P4301" t="str">
            <v>180°</v>
          </cell>
          <cell r="Q4301" t="str">
            <v>-</v>
          </cell>
          <cell r="R4301" t="str">
            <v>-</v>
          </cell>
          <cell r="S4301" t="str">
            <v>Free rotation CCW</v>
          </cell>
          <cell r="T4301" t="str">
            <v>-</v>
          </cell>
          <cell r="U4301" t="str">
            <v>T</v>
          </cell>
          <cell r="V4301" t="str">
            <v>D</v>
          </cell>
          <cell r="W4301" t="str">
            <v>-</v>
          </cell>
          <cell r="X4301" t="str">
            <v>CLP 220 (-15/+40°C)</v>
          </cell>
          <cell r="Y4301" t="str">
            <v>KH77/T DRN132M4 /RS</v>
          </cell>
          <cell r="Z4301" t="str">
            <v>SEW</v>
          </cell>
          <cell r="AB4301" t="str">
            <v>-</v>
          </cell>
          <cell r="AF4301">
            <v>57</v>
          </cell>
          <cell r="AG4301" t="str">
            <v>DRN132M4</v>
          </cell>
          <cell r="AH4301" t="str">
            <v>KH77T-DRN132M4A180-X</v>
          </cell>
        </row>
        <row r="4302">
          <cell r="A4302" t="str">
            <v>MR004291</v>
          </cell>
          <cell r="B4302" t="str">
            <v>MR</v>
          </cell>
          <cell r="C4302">
            <v>0.75</v>
          </cell>
          <cell r="D4302">
            <v>162</v>
          </cell>
          <cell r="E4302" t="str">
            <v>KA37</v>
          </cell>
          <cell r="F4302">
            <v>44</v>
          </cell>
          <cell r="G4302">
            <v>8.91</v>
          </cell>
          <cell r="H4302">
            <v>3.6</v>
          </cell>
          <cell r="I4302" t="str">
            <v>From M1A to M2A - 15°</v>
          </cell>
          <cell r="J4302" t="str">
            <v>IE3</v>
          </cell>
          <cell r="K4302" t="str">
            <v>230/400</v>
          </cell>
          <cell r="L4302">
            <v>50</v>
          </cell>
          <cell r="M4302" t="str">
            <v>3,05/1,75</v>
          </cell>
          <cell r="N4302">
            <v>65</v>
          </cell>
          <cell r="O4302" t="str">
            <v>155(F)</v>
          </cell>
          <cell r="P4302" t="str">
            <v>180°</v>
          </cell>
          <cell r="Q4302" t="str">
            <v>-</v>
          </cell>
          <cell r="R4302" t="str">
            <v>-</v>
          </cell>
          <cell r="S4302" t="str">
            <v>-</v>
          </cell>
          <cell r="T4302" t="str">
            <v>-</v>
          </cell>
          <cell r="U4302" t="str">
            <v>T</v>
          </cell>
          <cell r="V4302" t="str">
            <v>D</v>
          </cell>
          <cell r="W4302" t="str">
            <v>-</v>
          </cell>
          <cell r="X4302" t="str">
            <v>CLP 220 (-15/+40°C)</v>
          </cell>
          <cell r="Y4302" t="str">
            <v>KA37/T DRN80M4</v>
          </cell>
          <cell r="Z4302" t="str">
            <v>SEW</v>
          </cell>
          <cell r="AB4302" t="str">
            <v>-</v>
          </cell>
          <cell r="AF4302">
            <v>162</v>
          </cell>
          <cell r="AG4302" t="str">
            <v>DRN80M4</v>
          </cell>
          <cell r="AH4302" t="str">
            <v>KA37T-DRN80M4A180-X</v>
          </cell>
        </row>
        <row r="4303">
          <cell r="A4303" t="str">
            <v>MR004292</v>
          </cell>
          <cell r="B4303" t="str">
            <v>MR</v>
          </cell>
          <cell r="C4303">
            <v>9.1999999999999993</v>
          </cell>
          <cell r="D4303">
            <v>75</v>
          </cell>
          <cell r="E4303" t="str">
            <v>FH77</v>
          </cell>
          <cell r="F4303">
            <v>1180</v>
          </cell>
          <cell r="G4303">
            <v>19.7</v>
          </cell>
          <cell r="H4303">
            <v>1.25</v>
          </cell>
          <cell r="I4303" t="str">
            <v>M1</v>
          </cell>
          <cell r="J4303" t="str">
            <v>IE3</v>
          </cell>
          <cell r="K4303" t="str">
            <v>400/690</v>
          </cell>
          <cell r="L4303">
            <v>50</v>
          </cell>
          <cell r="M4303" t="str">
            <v>18,7/10,8</v>
          </cell>
          <cell r="N4303">
            <v>65</v>
          </cell>
          <cell r="O4303" t="str">
            <v>155(F)</v>
          </cell>
          <cell r="P4303" t="str">
            <v>270°</v>
          </cell>
          <cell r="Q4303" t="str">
            <v>-</v>
          </cell>
          <cell r="R4303" t="str">
            <v>-</v>
          </cell>
          <cell r="S4303" t="str">
            <v>-</v>
          </cell>
          <cell r="T4303" t="str">
            <v>-</v>
          </cell>
          <cell r="U4303" t="str">
            <v>G</v>
          </cell>
          <cell r="V4303" t="str">
            <v>D</v>
          </cell>
          <cell r="W4303" t="str">
            <v>-</v>
          </cell>
          <cell r="X4303" t="str">
            <v>CLP 220 (-15/+40°C)</v>
          </cell>
          <cell r="Y4303" t="str">
            <v>FH77/G DRN132L4</v>
          </cell>
          <cell r="Z4303" t="str">
            <v>SEW</v>
          </cell>
          <cell r="AB4303" t="str">
            <v>-</v>
          </cell>
          <cell r="AF4303">
            <v>75</v>
          </cell>
          <cell r="AG4303" t="str">
            <v>DRN132L4</v>
          </cell>
          <cell r="AH4303" t="str">
            <v>FH77G-DRN132L4270-X</v>
          </cell>
        </row>
        <row r="4304">
          <cell r="A4304" t="str">
            <v>MR004293</v>
          </cell>
          <cell r="B4304" t="str">
            <v>MR</v>
          </cell>
          <cell r="C4304">
            <v>2.2000000000000002</v>
          </cell>
          <cell r="D4304">
            <v>84</v>
          </cell>
          <cell r="E4304" t="str">
            <v>FH47</v>
          </cell>
          <cell r="F4304">
            <v>250</v>
          </cell>
          <cell r="G4304">
            <v>17.329999999999998</v>
          </cell>
          <cell r="H4304">
            <v>1.6</v>
          </cell>
          <cell r="I4304" t="str">
            <v>M1</v>
          </cell>
          <cell r="J4304" t="str">
            <v>IE3</v>
          </cell>
          <cell r="K4304" t="str">
            <v>230/400</v>
          </cell>
          <cell r="L4304">
            <v>50</v>
          </cell>
          <cell r="M4304" t="str">
            <v>8,3/4,75</v>
          </cell>
          <cell r="N4304">
            <v>65</v>
          </cell>
          <cell r="O4304" t="str">
            <v>155(F)</v>
          </cell>
          <cell r="P4304" t="str">
            <v>270°</v>
          </cell>
          <cell r="Q4304" t="str">
            <v>-</v>
          </cell>
          <cell r="R4304" t="str">
            <v>-</v>
          </cell>
          <cell r="S4304" t="str">
            <v>Free rotation CW</v>
          </cell>
          <cell r="T4304" t="str">
            <v>-</v>
          </cell>
          <cell r="U4304" t="str">
            <v>G</v>
          </cell>
          <cell r="V4304" t="str">
            <v>D</v>
          </cell>
          <cell r="W4304" t="str">
            <v>-</v>
          </cell>
          <cell r="X4304" t="str">
            <v>CLP 220 (-15/+40°C)</v>
          </cell>
          <cell r="Y4304" t="str">
            <v>FH47/G DRN100LS4 /RS</v>
          </cell>
          <cell r="Z4304" t="str">
            <v>SEW</v>
          </cell>
          <cell r="AB4304" t="str">
            <v>-</v>
          </cell>
          <cell r="AF4304">
            <v>84</v>
          </cell>
          <cell r="AG4304" t="str">
            <v>DRN100LS4</v>
          </cell>
          <cell r="AH4304" t="str">
            <v>FH47G-DRN100LS4270-X</v>
          </cell>
        </row>
        <row r="4305">
          <cell r="A4305" t="str">
            <v>MR004294</v>
          </cell>
          <cell r="B4305" t="str">
            <v>MR</v>
          </cell>
          <cell r="C4305">
            <v>2.2000000000000002</v>
          </cell>
          <cell r="D4305">
            <v>84</v>
          </cell>
          <cell r="E4305" t="str">
            <v>FH47</v>
          </cell>
          <cell r="F4305">
            <v>250</v>
          </cell>
          <cell r="G4305">
            <v>17.329999999999998</v>
          </cell>
          <cell r="H4305">
            <v>1.6</v>
          </cell>
          <cell r="I4305" t="str">
            <v>M1</v>
          </cell>
          <cell r="J4305" t="str">
            <v>IE3</v>
          </cell>
          <cell r="K4305" t="str">
            <v>230/400</v>
          </cell>
          <cell r="L4305">
            <v>50</v>
          </cell>
          <cell r="M4305" t="str">
            <v>8,3/4,75</v>
          </cell>
          <cell r="N4305">
            <v>65</v>
          </cell>
          <cell r="O4305" t="str">
            <v>155(F)</v>
          </cell>
          <cell r="P4305" t="str">
            <v>270°</v>
          </cell>
          <cell r="Q4305" t="str">
            <v>-</v>
          </cell>
          <cell r="R4305" t="str">
            <v>-</v>
          </cell>
          <cell r="S4305" t="str">
            <v>Free rotation CCW</v>
          </cell>
          <cell r="T4305" t="str">
            <v>-</v>
          </cell>
          <cell r="U4305" t="str">
            <v>G</v>
          </cell>
          <cell r="V4305" t="str">
            <v>D</v>
          </cell>
          <cell r="W4305" t="str">
            <v>-</v>
          </cell>
          <cell r="X4305" t="str">
            <v>CLP 220 (-15/+40°C)</v>
          </cell>
          <cell r="Y4305" t="str">
            <v>FH47/G DRN100LS4 /RS</v>
          </cell>
          <cell r="Z4305" t="str">
            <v>SEW</v>
          </cell>
          <cell r="AB4305" t="str">
            <v>-</v>
          </cell>
          <cell r="AF4305">
            <v>84</v>
          </cell>
          <cell r="AG4305" t="str">
            <v>DRN100LS4</v>
          </cell>
          <cell r="AH4305" t="str">
            <v>FH47G-DRN100LS4270-X</v>
          </cell>
        </row>
        <row r="4306">
          <cell r="A4306" t="str">
            <v>MR004295</v>
          </cell>
          <cell r="B4306" t="str">
            <v>MR</v>
          </cell>
          <cell r="C4306">
            <v>0.75</v>
          </cell>
          <cell r="D4306">
            <v>18</v>
          </cell>
          <cell r="E4306" t="str">
            <v>FA67</v>
          </cell>
          <cell r="F4306">
            <v>395</v>
          </cell>
          <cell r="G4306">
            <v>79.760000000000005</v>
          </cell>
          <cell r="H4306">
            <v>2.1</v>
          </cell>
          <cell r="I4306" t="str">
            <v>M5</v>
          </cell>
          <cell r="J4306" t="str">
            <v>IE3</v>
          </cell>
          <cell r="K4306" t="str">
            <v>230/400</v>
          </cell>
          <cell r="L4306">
            <v>50</v>
          </cell>
          <cell r="M4306" t="str">
            <v>3,05/1,75</v>
          </cell>
          <cell r="N4306">
            <v>65</v>
          </cell>
          <cell r="O4306" t="str">
            <v>155(F)</v>
          </cell>
          <cell r="P4306" t="str">
            <v>270°</v>
          </cell>
          <cell r="Q4306" t="str">
            <v>-</v>
          </cell>
          <cell r="R4306" t="str">
            <v>-</v>
          </cell>
          <cell r="S4306" t="str">
            <v>-</v>
          </cell>
          <cell r="T4306" t="str">
            <v>BEHF</v>
          </cell>
          <cell r="U4306" t="str">
            <v>G</v>
          </cell>
          <cell r="V4306" t="str">
            <v>D+R</v>
          </cell>
          <cell r="W4306" t="str">
            <v>-</v>
          </cell>
          <cell r="X4306" t="str">
            <v>CLP 220 (-15/+40°C)</v>
          </cell>
          <cell r="Y4306" t="str">
            <v>FA67/G DRN80M4 /BEHF</v>
          </cell>
          <cell r="Z4306" t="str">
            <v>SEW</v>
          </cell>
          <cell r="AB4306" t="str">
            <v>-</v>
          </cell>
          <cell r="AF4306">
            <v>18</v>
          </cell>
          <cell r="AG4306" t="str">
            <v>DRN80M4</v>
          </cell>
          <cell r="AH4306" t="str">
            <v>FA67G-DRN80M4270-X</v>
          </cell>
        </row>
        <row r="4307">
          <cell r="A4307" t="str">
            <v>MR004296</v>
          </cell>
          <cell r="B4307" t="str">
            <v>MR</v>
          </cell>
          <cell r="C4307">
            <v>9.1999999999999993</v>
          </cell>
          <cell r="D4307">
            <v>13</v>
          </cell>
          <cell r="E4307" t="str">
            <v>KH107</v>
          </cell>
          <cell r="F4307">
            <v>6720</v>
          </cell>
          <cell r="G4307">
            <v>112.41</v>
          </cell>
          <cell r="H4307">
            <v>1.2</v>
          </cell>
          <cell r="I4307" t="str">
            <v>From M1B to M2B - 35°</v>
          </cell>
          <cell r="J4307" t="str">
            <v>IE3</v>
          </cell>
          <cell r="K4307" t="str">
            <v>400/690</v>
          </cell>
          <cell r="L4307">
            <v>50</v>
          </cell>
          <cell r="M4307" t="str">
            <v>18,7/10,8</v>
          </cell>
          <cell r="N4307">
            <v>65</v>
          </cell>
          <cell r="O4307" t="str">
            <v>155(F)</v>
          </cell>
          <cell r="P4307" t="str">
            <v>0°</v>
          </cell>
          <cell r="Q4307" t="str">
            <v>-</v>
          </cell>
          <cell r="R4307" t="str">
            <v>-</v>
          </cell>
          <cell r="S4307" t="str">
            <v>-</v>
          </cell>
          <cell r="T4307" t="str">
            <v>-</v>
          </cell>
          <cell r="U4307" t="str">
            <v>-</v>
          </cell>
          <cell r="V4307" t="str">
            <v>SS</v>
          </cell>
          <cell r="W4307" t="str">
            <v>-</v>
          </cell>
          <cell r="X4307" t="str">
            <v>CLP 220 (-15/+40°C)</v>
          </cell>
          <cell r="Y4307" t="str">
            <v>KH107DRN132L4</v>
          </cell>
          <cell r="Z4307" t="str">
            <v>SEW</v>
          </cell>
          <cell r="AB4307" t="str">
            <v>-</v>
          </cell>
          <cell r="AF4307">
            <v>13</v>
          </cell>
          <cell r="AG4307" t="str">
            <v>DRN132L4</v>
          </cell>
          <cell r="AH4307" t="str">
            <v>KH107-DRN132L4B0-X</v>
          </cell>
        </row>
        <row r="4308">
          <cell r="A4308" t="str">
            <v>MR004297</v>
          </cell>
          <cell r="B4308" t="str">
            <v>MR</v>
          </cell>
          <cell r="C4308">
            <v>4</v>
          </cell>
          <cell r="D4308">
            <v>65</v>
          </cell>
          <cell r="I4308" t="str">
            <v>M4</v>
          </cell>
          <cell r="J4308" t="str">
            <v>IE3</v>
          </cell>
          <cell r="K4308" t="str">
            <v>400/690</v>
          </cell>
          <cell r="L4308">
            <v>50</v>
          </cell>
          <cell r="M4308">
            <v>7.9</v>
          </cell>
          <cell r="N4308">
            <v>55</v>
          </cell>
          <cell r="O4308" t="str">
            <v>155(F)</v>
          </cell>
          <cell r="Q4308" t="str">
            <v>-</v>
          </cell>
          <cell r="R4308" t="str">
            <v>-</v>
          </cell>
          <cell r="S4308" t="str">
            <v>-</v>
          </cell>
          <cell r="T4308" t="str">
            <v>-</v>
          </cell>
          <cell r="U4308" t="str">
            <v>T</v>
          </cell>
          <cell r="V4308" t="str">
            <v>D</v>
          </cell>
          <cell r="W4308" t="str">
            <v>-</v>
          </cell>
          <cell r="X4308" t="str">
            <v xml:space="preserve">CLP PG 680 </v>
          </cell>
          <cell r="Y4308" t="str">
            <v>SK32100 AD112M M/4</v>
          </cell>
          <cell r="Z4308" t="str">
            <v>NORD</v>
          </cell>
          <cell r="AB4308" t="str">
            <v>-</v>
          </cell>
          <cell r="AF4308">
            <v>65</v>
          </cell>
        </row>
        <row r="4309">
          <cell r="A4309" t="str">
            <v>MR004298</v>
          </cell>
          <cell r="B4309" t="str">
            <v>MR</v>
          </cell>
          <cell r="C4309">
            <v>2.2000000000000002</v>
          </cell>
          <cell r="D4309">
            <v>77</v>
          </cell>
          <cell r="F4309">
            <v>245</v>
          </cell>
          <cell r="G4309">
            <v>18.97</v>
          </cell>
          <cell r="H4309">
            <v>2.9</v>
          </cell>
          <cell r="I4309" t="str">
            <v>M4</v>
          </cell>
          <cell r="J4309" t="str">
            <v>IE3</v>
          </cell>
          <cell r="K4309" t="str">
            <v>400/690</v>
          </cell>
          <cell r="L4309">
            <v>50</v>
          </cell>
          <cell r="M4309">
            <v>4.68</v>
          </cell>
          <cell r="N4309">
            <v>55</v>
          </cell>
          <cell r="O4309" t="str">
            <v>155(F)</v>
          </cell>
          <cell r="Q4309" t="str">
            <v>TF</v>
          </cell>
          <cell r="R4309" t="str">
            <v>-</v>
          </cell>
          <cell r="S4309" t="str">
            <v>-</v>
          </cell>
          <cell r="T4309" t="str">
            <v>-</v>
          </cell>
          <cell r="U4309" t="str">
            <v>T</v>
          </cell>
          <cell r="V4309" t="str">
            <v>D</v>
          </cell>
          <cell r="W4309" t="str">
            <v>-</v>
          </cell>
          <cell r="X4309" t="str">
            <v xml:space="preserve">CLP PG 680 </v>
          </cell>
          <cell r="Y4309" t="str">
            <v>SK32100AZD-100LP/4 TF</v>
          </cell>
          <cell r="Z4309" t="str">
            <v>NORD</v>
          </cell>
          <cell r="AB4309" t="str">
            <v>-</v>
          </cell>
          <cell r="AF4309">
            <v>77</v>
          </cell>
        </row>
        <row r="4310">
          <cell r="A4310" t="str">
            <v>MR004299</v>
          </cell>
          <cell r="B4310" t="str">
            <v>MR</v>
          </cell>
          <cell r="C4310">
            <v>3</v>
          </cell>
          <cell r="D4310">
            <v>74</v>
          </cell>
          <cell r="F4310">
            <v>543</v>
          </cell>
          <cell r="G4310">
            <v>18.97</v>
          </cell>
          <cell r="I4310" t="str">
            <v>M4</v>
          </cell>
          <cell r="J4310" t="str">
            <v>IE3</v>
          </cell>
          <cell r="K4310" t="str">
            <v>400/690</v>
          </cell>
          <cell r="L4310">
            <v>50</v>
          </cell>
          <cell r="M4310">
            <v>5.9</v>
          </cell>
          <cell r="N4310">
            <v>55</v>
          </cell>
          <cell r="O4310" t="str">
            <v>155(F)</v>
          </cell>
          <cell r="Q4310" t="str">
            <v>-</v>
          </cell>
          <cell r="R4310" t="str">
            <v>-</v>
          </cell>
          <cell r="S4310" t="str">
            <v>-</v>
          </cell>
          <cell r="T4310" t="str">
            <v>-</v>
          </cell>
          <cell r="U4310" t="str">
            <v>T</v>
          </cell>
          <cell r="V4310" t="str">
            <v>D</v>
          </cell>
          <cell r="W4310" t="str">
            <v>-</v>
          </cell>
          <cell r="X4310" t="str">
            <v xml:space="preserve">CLP PG 680 </v>
          </cell>
          <cell r="Y4310" t="str">
            <v>SK32100 AD100M L/4</v>
          </cell>
          <cell r="Z4310" t="str">
            <v>NORD</v>
          </cell>
          <cell r="AB4310" t="str">
            <v>-</v>
          </cell>
          <cell r="AF4310">
            <v>74</v>
          </cell>
        </row>
        <row r="4311">
          <cell r="A4311" t="str">
            <v>MR004300</v>
          </cell>
          <cell r="B4311" t="str">
            <v>MR</v>
          </cell>
          <cell r="C4311">
            <v>2.2000000000000002</v>
          </cell>
          <cell r="D4311">
            <v>77</v>
          </cell>
          <cell r="F4311">
            <v>245</v>
          </cell>
          <cell r="G4311">
            <v>18.97</v>
          </cell>
          <cell r="H4311">
            <v>2.9</v>
          </cell>
          <cell r="I4311" t="str">
            <v>M4</v>
          </cell>
          <cell r="J4311" t="str">
            <v>IE3</v>
          </cell>
          <cell r="K4311" t="str">
            <v>400/690</v>
          </cell>
          <cell r="L4311">
            <v>50</v>
          </cell>
          <cell r="M4311">
            <v>4.68</v>
          </cell>
          <cell r="N4311">
            <v>55</v>
          </cell>
          <cell r="O4311" t="str">
            <v>155(F)</v>
          </cell>
          <cell r="Q4311" t="str">
            <v>TF</v>
          </cell>
          <cell r="R4311" t="str">
            <v>-</v>
          </cell>
          <cell r="S4311" t="str">
            <v>-</v>
          </cell>
          <cell r="T4311" t="str">
            <v>-</v>
          </cell>
          <cell r="U4311" t="str">
            <v>T</v>
          </cell>
          <cell r="V4311" t="str">
            <v>D</v>
          </cell>
          <cell r="W4311" t="str">
            <v>-</v>
          </cell>
          <cell r="X4311" t="str">
            <v xml:space="preserve">CLP PG 680 </v>
          </cell>
          <cell r="Y4311" t="str">
            <v>SK32100AZD-100LP/4 TF</v>
          </cell>
          <cell r="Z4311" t="str">
            <v>NORD</v>
          </cell>
          <cell r="AB4311" t="str">
            <v>-</v>
          </cell>
          <cell r="AF4311">
            <v>77</v>
          </cell>
        </row>
        <row r="4312">
          <cell r="A4312" t="str">
            <v>MR004301</v>
          </cell>
          <cell r="B4312" t="str">
            <v>MR</v>
          </cell>
          <cell r="C4312">
            <v>7.5</v>
          </cell>
          <cell r="D4312">
            <v>15</v>
          </cell>
          <cell r="E4312" t="str">
            <v>KH107</v>
          </cell>
          <cell r="F4312">
            <v>4920</v>
          </cell>
          <cell r="G4312">
            <v>100.75</v>
          </cell>
          <cell r="H4312">
            <v>1.65</v>
          </cell>
          <cell r="I4312" t="str">
            <v>From M1B to M2B - 20°</v>
          </cell>
          <cell r="J4312" t="str">
            <v>IE3</v>
          </cell>
          <cell r="K4312" t="str">
            <v>400/690</v>
          </cell>
          <cell r="L4312">
            <v>50</v>
          </cell>
          <cell r="M4312" t="str">
            <v>15,2/8,8</v>
          </cell>
          <cell r="N4312">
            <v>65</v>
          </cell>
          <cell r="O4312" t="str">
            <v>155(F)</v>
          </cell>
          <cell r="P4312" t="str">
            <v>0°</v>
          </cell>
          <cell r="Q4312" t="str">
            <v>-</v>
          </cell>
          <cell r="R4312" t="str">
            <v>-</v>
          </cell>
          <cell r="S4312" t="str">
            <v>-</v>
          </cell>
          <cell r="T4312" t="str">
            <v>-</v>
          </cell>
          <cell r="U4312" t="str">
            <v>-</v>
          </cell>
          <cell r="V4312" t="str">
            <v>SS</v>
          </cell>
          <cell r="W4312" t="str">
            <v>-</v>
          </cell>
          <cell r="X4312" t="str">
            <v>CLP 220 (-15/+40°C)</v>
          </cell>
          <cell r="Y4312" t="str">
            <v>KH107DRN132M4</v>
          </cell>
          <cell r="Z4312" t="str">
            <v>SEW</v>
          </cell>
          <cell r="AB4312" t="str">
            <v>-</v>
          </cell>
          <cell r="AF4312">
            <v>15</v>
          </cell>
          <cell r="AG4312" t="str">
            <v>DRN132M4</v>
          </cell>
          <cell r="AH4312" t="str">
            <v>KH107-DRN132M4B0-X</v>
          </cell>
        </row>
        <row r="4313">
          <cell r="A4313" t="str">
            <v>MR004302</v>
          </cell>
          <cell r="B4313" t="str">
            <v>MR</v>
          </cell>
          <cell r="C4313">
            <v>15</v>
          </cell>
          <cell r="D4313">
            <v>12</v>
          </cell>
          <cell r="E4313" t="str">
            <v>KH127</v>
          </cell>
          <cell r="F4313">
            <v>11900</v>
          </cell>
          <cell r="G4313">
            <v>122.48</v>
          </cell>
          <cell r="H4313">
            <v>1.1000000000000001</v>
          </cell>
          <cell r="I4313" t="str">
            <v>From M1B to M2B - 35°</v>
          </cell>
          <cell r="J4313" t="str">
            <v>IE3</v>
          </cell>
          <cell r="K4313" t="str">
            <v>400/690</v>
          </cell>
          <cell r="L4313">
            <v>50</v>
          </cell>
          <cell r="M4313" t="str">
            <v>29/16,7</v>
          </cell>
          <cell r="N4313">
            <v>65</v>
          </cell>
          <cell r="O4313" t="str">
            <v>155(F)</v>
          </cell>
          <cell r="P4313" t="str">
            <v>0°</v>
          </cell>
          <cell r="Q4313" t="str">
            <v>-</v>
          </cell>
          <cell r="R4313" t="str">
            <v>-</v>
          </cell>
          <cell r="S4313" t="str">
            <v>-</v>
          </cell>
          <cell r="T4313" t="str">
            <v>-</v>
          </cell>
          <cell r="U4313" t="str">
            <v>-</v>
          </cell>
          <cell r="V4313" t="str">
            <v>SS</v>
          </cell>
          <cell r="W4313" t="str">
            <v>-</v>
          </cell>
          <cell r="X4313" t="str">
            <v>CLP 220 (-15/+40°C)</v>
          </cell>
          <cell r="Y4313" t="str">
            <v>KH127DRN160L4</v>
          </cell>
          <cell r="Z4313" t="str">
            <v>SEW</v>
          </cell>
          <cell r="AB4313" t="str">
            <v>-</v>
          </cell>
          <cell r="AF4313">
            <v>12</v>
          </cell>
          <cell r="AG4313" t="str">
            <v>DRN160L4</v>
          </cell>
          <cell r="AH4313" t="str">
            <v>KH127-DRN160L4B0-X</v>
          </cell>
        </row>
        <row r="4314">
          <cell r="A4314" t="str">
            <v>MR004303</v>
          </cell>
          <cell r="B4314" t="str">
            <v>MR</v>
          </cell>
          <cell r="C4314">
            <v>15</v>
          </cell>
          <cell r="D4314">
            <v>12</v>
          </cell>
          <cell r="E4314" t="str">
            <v>KH127</v>
          </cell>
          <cell r="F4314">
            <v>11900</v>
          </cell>
          <cell r="G4314">
            <v>122.48</v>
          </cell>
          <cell r="H4314">
            <v>1.1000000000000001</v>
          </cell>
          <cell r="I4314" t="str">
            <v>From M1A to M2A - 35°</v>
          </cell>
          <cell r="J4314" t="str">
            <v>IE3</v>
          </cell>
          <cell r="K4314" t="str">
            <v>400/690</v>
          </cell>
          <cell r="L4314">
            <v>50</v>
          </cell>
          <cell r="M4314" t="str">
            <v>29/16,7</v>
          </cell>
          <cell r="N4314">
            <v>65</v>
          </cell>
          <cell r="O4314" t="str">
            <v>155(F)</v>
          </cell>
          <cell r="P4314" t="str">
            <v>180°</v>
          </cell>
          <cell r="Q4314" t="str">
            <v>-</v>
          </cell>
          <cell r="R4314" t="str">
            <v>-</v>
          </cell>
          <cell r="S4314" t="str">
            <v>-</v>
          </cell>
          <cell r="T4314" t="str">
            <v>-</v>
          </cell>
          <cell r="U4314" t="str">
            <v>-</v>
          </cell>
          <cell r="V4314" t="str">
            <v>SS</v>
          </cell>
          <cell r="W4314" t="str">
            <v>-</v>
          </cell>
          <cell r="X4314" t="str">
            <v>CLP 220 (-15/+40°C)</v>
          </cell>
          <cell r="Y4314" t="str">
            <v>KH127DRN160L4</v>
          </cell>
          <cell r="Z4314" t="str">
            <v>SEW</v>
          </cell>
          <cell r="AB4314" t="str">
            <v>-</v>
          </cell>
          <cell r="AF4314">
            <v>12</v>
          </cell>
          <cell r="AG4314" t="str">
            <v>DRN160L4</v>
          </cell>
          <cell r="AH4314" t="str">
            <v>KH127-DRN160L4A180-X</v>
          </cell>
        </row>
        <row r="4315">
          <cell r="A4315" t="str">
            <v>MR004304</v>
          </cell>
          <cell r="B4315" t="str">
            <v>MR</v>
          </cell>
          <cell r="C4315">
            <v>15</v>
          </cell>
          <cell r="D4315">
            <v>12</v>
          </cell>
          <cell r="E4315" t="str">
            <v>KH127</v>
          </cell>
          <cell r="F4315">
            <v>11900</v>
          </cell>
          <cell r="G4315">
            <v>122.48</v>
          </cell>
          <cell r="H4315">
            <v>1.1000000000000001</v>
          </cell>
          <cell r="I4315" t="str">
            <v>From M1B to M2B - 30°</v>
          </cell>
          <cell r="J4315" t="str">
            <v>IE3</v>
          </cell>
          <cell r="K4315" t="str">
            <v>400/690</v>
          </cell>
          <cell r="L4315">
            <v>50</v>
          </cell>
          <cell r="M4315" t="str">
            <v>29/16,7</v>
          </cell>
          <cell r="N4315">
            <v>65</v>
          </cell>
          <cell r="O4315" t="str">
            <v>155(F)</v>
          </cell>
          <cell r="P4315" t="str">
            <v>0°</v>
          </cell>
          <cell r="Q4315" t="str">
            <v>-</v>
          </cell>
          <cell r="R4315" t="str">
            <v>-</v>
          </cell>
          <cell r="S4315" t="str">
            <v>-</v>
          </cell>
          <cell r="T4315" t="str">
            <v>-</v>
          </cell>
          <cell r="U4315" t="str">
            <v>-</v>
          </cell>
          <cell r="V4315" t="str">
            <v>SS</v>
          </cell>
          <cell r="W4315" t="str">
            <v>-</v>
          </cell>
          <cell r="X4315" t="str">
            <v>CLP 220 (-15/+40°C)</v>
          </cell>
          <cell r="Y4315" t="str">
            <v>KH127DRN160L4</v>
          </cell>
          <cell r="Z4315" t="str">
            <v>SEW</v>
          </cell>
          <cell r="AB4315" t="str">
            <v>-</v>
          </cell>
          <cell r="AF4315">
            <v>12</v>
          </cell>
          <cell r="AG4315" t="str">
            <v>DRN160L4</v>
          </cell>
          <cell r="AH4315" t="str">
            <v>KH127-DRN160L4B0-X</v>
          </cell>
        </row>
        <row r="4316">
          <cell r="A4316" t="str">
            <v>MR004305</v>
          </cell>
          <cell r="B4316" t="str">
            <v>MR</v>
          </cell>
          <cell r="C4316">
            <v>15</v>
          </cell>
          <cell r="D4316">
            <v>12</v>
          </cell>
          <cell r="E4316" t="str">
            <v>KH127</v>
          </cell>
          <cell r="F4316">
            <v>11900</v>
          </cell>
          <cell r="G4316">
            <v>122.48</v>
          </cell>
          <cell r="H4316">
            <v>1.1000000000000001</v>
          </cell>
          <cell r="I4316" t="str">
            <v>From M1A to M2A - 30°</v>
          </cell>
          <cell r="J4316" t="str">
            <v>IE3</v>
          </cell>
          <cell r="K4316" t="str">
            <v>400/690</v>
          </cell>
          <cell r="L4316">
            <v>50</v>
          </cell>
          <cell r="M4316" t="str">
            <v>29/16,7</v>
          </cell>
          <cell r="N4316">
            <v>65</v>
          </cell>
          <cell r="O4316" t="str">
            <v>155(F)</v>
          </cell>
          <cell r="P4316" t="str">
            <v>180°</v>
          </cell>
          <cell r="Q4316" t="str">
            <v>-</v>
          </cell>
          <cell r="R4316" t="str">
            <v>-</v>
          </cell>
          <cell r="S4316" t="str">
            <v>-</v>
          </cell>
          <cell r="T4316" t="str">
            <v>-</v>
          </cell>
          <cell r="U4316" t="str">
            <v>-</v>
          </cell>
          <cell r="V4316" t="str">
            <v>SS</v>
          </cell>
          <cell r="W4316" t="str">
            <v>-</v>
          </cell>
          <cell r="X4316" t="str">
            <v>CLP 220 (-15/+40°C)</v>
          </cell>
          <cell r="Y4316" t="str">
            <v>KH127DRN160L4</v>
          </cell>
          <cell r="Z4316" t="str">
            <v>SEW</v>
          </cell>
          <cell r="AB4316" t="str">
            <v>-</v>
          </cell>
          <cell r="AF4316">
            <v>12</v>
          </cell>
          <cell r="AG4316" t="str">
            <v>DRN160L4</v>
          </cell>
          <cell r="AH4316" t="str">
            <v>KH127-DRN160L4A180-X</v>
          </cell>
        </row>
        <row r="4317">
          <cell r="A4317" t="str">
            <v>MR004306</v>
          </cell>
          <cell r="B4317" t="str">
            <v>MR</v>
          </cell>
          <cell r="C4317">
            <v>11</v>
          </cell>
          <cell r="D4317">
            <v>13.333333333333334</v>
          </cell>
          <cell r="E4317" t="str">
            <v>KH107</v>
          </cell>
          <cell r="F4317">
            <v>6650</v>
          </cell>
          <cell r="G4317">
            <v>112.4</v>
          </cell>
          <cell r="H4317">
            <v>1.2</v>
          </cell>
          <cell r="I4317" t="str">
            <v>From M1B to M2B - 35°</v>
          </cell>
          <cell r="J4317" t="str">
            <v>IE3</v>
          </cell>
          <cell r="K4317" t="str">
            <v>277/480</v>
          </cell>
          <cell r="L4317">
            <v>60</v>
          </cell>
          <cell r="M4317" t="str">
            <v>30,5/17,7</v>
          </cell>
          <cell r="N4317">
            <v>65</v>
          </cell>
          <cell r="O4317" t="str">
            <v>155(F)</v>
          </cell>
          <cell r="P4317" t="str">
            <v>270°</v>
          </cell>
          <cell r="Q4317" t="str">
            <v>TF</v>
          </cell>
          <cell r="R4317" t="str">
            <v>V(VE)</v>
          </cell>
          <cell r="S4317" t="str">
            <v>-</v>
          </cell>
          <cell r="T4317" t="str">
            <v>-</v>
          </cell>
          <cell r="U4317" t="str">
            <v>-</v>
          </cell>
          <cell r="V4317" t="str">
            <v>FC</v>
          </cell>
          <cell r="W4317" t="str">
            <v>-</v>
          </cell>
          <cell r="X4317" t="str">
            <v>CLP 220 (-15/+40°C)</v>
          </cell>
          <cell r="Y4317" t="str">
            <v>KH107DRN160M4 /TF/V</v>
          </cell>
          <cell r="Z4317" t="str">
            <v>SEW</v>
          </cell>
          <cell r="AB4317" t="str">
            <v>-</v>
          </cell>
          <cell r="AE4317" t="str">
            <v>NEMA5/UL/NPT terminal box</v>
          </cell>
          <cell r="AF4317">
            <v>16</v>
          </cell>
          <cell r="AG4317" t="str">
            <v>DRN160M4</v>
          </cell>
          <cell r="AH4317" t="str">
            <v>KH107-DRN160M4B270-X#</v>
          </cell>
        </row>
        <row r="4318">
          <cell r="A4318" t="str">
            <v>MR004307</v>
          </cell>
          <cell r="B4318" t="str">
            <v>MR</v>
          </cell>
          <cell r="C4318">
            <v>5.5</v>
          </cell>
          <cell r="D4318">
            <v>52.5</v>
          </cell>
          <cell r="E4318" t="str">
            <v>R87</v>
          </cell>
          <cell r="F4318">
            <v>830</v>
          </cell>
          <cell r="G4318">
            <v>27.88</v>
          </cell>
          <cell r="H4318">
            <v>1.8</v>
          </cell>
          <cell r="I4318" t="str">
            <v>From M1 to M4 - 15°</v>
          </cell>
          <cell r="J4318" t="str">
            <v>IE3</v>
          </cell>
          <cell r="K4318" t="str">
            <v>277/480</v>
          </cell>
          <cell r="L4318">
            <v>60</v>
          </cell>
          <cell r="M4318" t="str">
            <v>15,3/8,8</v>
          </cell>
          <cell r="N4318">
            <v>65</v>
          </cell>
          <cell r="O4318" t="str">
            <v>155(F)</v>
          </cell>
          <cell r="P4318" t="str">
            <v>270°</v>
          </cell>
          <cell r="Q4318" t="str">
            <v>-</v>
          </cell>
          <cell r="R4318" t="str">
            <v>-</v>
          </cell>
          <cell r="S4318" t="str">
            <v>-</v>
          </cell>
          <cell r="T4318" t="str">
            <v>-</v>
          </cell>
          <cell r="U4318" t="str">
            <v>-</v>
          </cell>
          <cell r="V4318" t="str">
            <v>D</v>
          </cell>
          <cell r="W4318" t="str">
            <v>-</v>
          </cell>
          <cell r="X4318" t="str">
            <v>CLP 220 (-15/+40°C)</v>
          </cell>
          <cell r="Y4318" t="str">
            <v>R87DRN132S4</v>
          </cell>
          <cell r="Z4318" t="str">
            <v>SEW</v>
          </cell>
          <cell r="AB4318" t="str">
            <v>-</v>
          </cell>
          <cell r="AE4318" t="str">
            <v>NEMA5/UL/NPT terminal box</v>
          </cell>
          <cell r="AF4318">
            <v>63</v>
          </cell>
          <cell r="AG4318" t="str">
            <v>DRN132S4</v>
          </cell>
          <cell r="AH4318" t="str">
            <v>R87-DRN132S4270-X</v>
          </cell>
        </row>
        <row r="4319">
          <cell r="A4319" t="str">
            <v>MR004308</v>
          </cell>
          <cell r="B4319" t="str">
            <v>MR</v>
          </cell>
          <cell r="C4319">
            <v>2.2000000000000002</v>
          </cell>
          <cell r="D4319">
            <v>67.5</v>
          </cell>
          <cell r="E4319" t="str">
            <v>FH47</v>
          </cell>
          <cell r="F4319">
            <v>260</v>
          </cell>
          <cell r="G4319">
            <v>21.82</v>
          </cell>
          <cell r="H4319">
            <v>1.55</v>
          </cell>
          <cell r="I4319" t="str">
            <v>M6</v>
          </cell>
          <cell r="J4319" t="str">
            <v>IE3</v>
          </cell>
          <cell r="K4319" t="str">
            <v>277/480</v>
          </cell>
          <cell r="L4319">
            <v>60</v>
          </cell>
          <cell r="M4319" t="str">
            <v>7/4,05</v>
          </cell>
          <cell r="N4319">
            <v>65</v>
          </cell>
          <cell r="O4319" t="str">
            <v>155(F)</v>
          </cell>
          <cell r="P4319" t="str">
            <v>270°</v>
          </cell>
          <cell r="Q4319" t="str">
            <v>-</v>
          </cell>
          <cell r="R4319" t="str">
            <v>-</v>
          </cell>
          <cell r="S4319" t="str">
            <v>-</v>
          </cell>
          <cell r="T4319" t="str">
            <v>-</v>
          </cell>
          <cell r="U4319" t="str">
            <v>G</v>
          </cell>
          <cell r="V4319" t="str">
            <v>D</v>
          </cell>
          <cell r="W4319" t="str">
            <v>-</v>
          </cell>
          <cell r="X4319" t="str">
            <v>CLP 220 (-15/+40°C)</v>
          </cell>
          <cell r="Y4319" t="str">
            <v>FH47/G DRN100LS4</v>
          </cell>
          <cell r="Z4319" t="str">
            <v>SEW</v>
          </cell>
          <cell r="AB4319" t="str">
            <v>-</v>
          </cell>
          <cell r="AE4319" t="str">
            <v>NEMA5/UL/NPT terminal box</v>
          </cell>
          <cell r="AF4319">
            <v>81</v>
          </cell>
          <cell r="AG4319" t="str">
            <v>DRN100LS4</v>
          </cell>
          <cell r="AH4319" t="str">
            <v>FH47G-DRN100LS4270-X</v>
          </cell>
        </row>
        <row r="4320">
          <cell r="A4320" t="str">
            <v>MR004309</v>
          </cell>
          <cell r="B4320" t="str">
            <v>MR</v>
          </cell>
          <cell r="C4320">
            <v>11</v>
          </cell>
          <cell r="D4320">
            <v>13.333333333333334</v>
          </cell>
          <cell r="E4320" t="str">
            <v>KH107</v>
          </cell>
          <cell r="F4320">
            <v>6650</v>
          </cell>
          <cell r="G4320">
            <v>112.4</v>
          </cell>
          <cell r="H4320">
            <v>1.2</v>
          </cell>
          <cell r="I4320" t="str">
            <v>From M1A to M2A - 35°</v>
          </cell>
          <cell r="J4320" t="str">
            <v>IE3</v>
          </cell>
          <cell r="K4320" t="str">
            <v>277/480</v>
          </cell>
          <cell r="L4320">
            <v>60</v>
          </cell>
          <cell r="M4320" t="str">
            <v>30,5/17,7</v>
          </cell>
          <cell r="N4320">
            <v>65</v>
          </cell>
          <cell r="O4320" t="str">
            <v>155(F)</v>
          </cell>
          <cell r="P4320" t="str">
            <v>270°</v>
          </cell>
          <cell r="Q4320" t="str">
            <v>TF</v>
          </cell>
          <cell r="R4320" t="str">
            <v>V(VE)</v>
          </cell>
          <cell r="S4320" t="str">
            <v>-</v>
          </cell>
          <cell r="T4320" t="str">
            <v>-</v>
          </cell>
          <cell r="U4320" t="str">
            <v>-</v>
          </cell>
          <cell r="V4320" t="str">
            <v>FC</v>
          </cell>
          <cell r="W4320" t="str">
            <v>-</v>
          </cell>
          <cell r="X4320" t="str">
            <v>CLP 220 (-15/+40°C)</v>
          </cell>
          <cell r="Y4320" t="str">
            <v>KH107DRN160M4 /TF/V</v>
          </cell>
          <cell r="Z4320" t="str">
            <v>SEW</v>
          </cell>
          <cell r="AB4320" t="str">
            <v>-</v>
          </cell>
          <cell r="AE4320" t="str">
            <v>NEMA5/UL/NPT terminal box</v>
          </cell>
          <cell r="AF4320">
            <v>16</v>
          </cell>
          <cell r="AG4320" t="str">
            <v>DRN160M4</v>
          </cell>
          <cell r="AH4320" t="str">
            <v>KH107-DRN160M4A270-X#</v>
          </cell>
        </row>
        <row r="4321">
          <cell r="A4321" t="str">
            <v>MR004310</v>
          </cell>
          <cell r="B4321" t="str">
            <v>MR</v>
          </cell>
          <cell r="C4321">
            <v>2.2000000000000002</v>
          </cell>
          <cell r="D4321">
            <v>67.5</v>
          </cell>
          <cell r="E4321" t="str">
            <v>FH47</v>
          </cell>
          <cell r="F4321">
            <v>260</v>
          </cell>
          <cell r="G4321">
            <v>21.82</v>
          </cell>
          <cell r="H4321">
            <v>1.55</v>
          </cell>
          <cell r="I4321" t="str">
            <v>M5</v>
          </cell>
          <cell r="J4321" t="str">
            <v>IE3</v>
          </cell>
          <cell r="K4321" t="str">
            <v>277/480</v>
          </cell>
          <cell r="L4321">
            <v>60</v>
          </cell>
          <cell r="M4321" t="str">
            <v>7/4,05</v>
          </cell>
          <cell r="N4321">
            <v>65</v>
          </cell>
          <cell r="O4321" t="str">
            <v>155(F)</v>
          </cell>
          <cell r="P4321" t="str">
            <v>270°</v>
          </cell>
          <cell r="Q4321" t="str">
            <v>-</v>
          </cell>
          <cell r="R4321" t="str">
            <v>-</v>
          </cell>
          <cell r="S4321" t="str">
            <v>-</v>
          </cell>
          <cell r="T4321" t="str">
            <v>-</v>
          </cell>
          <cell r="U4321" t="str">
            <v>G</v>
          </cell>
          <cell r="V4321" t="str">
            <v>D</v>
          </cell>
          <cell r="W4321" t="str">
            <v>-</v>
          </cell>
          <cell r="X4321" t="str">
            <v>CLP 220 (-15/+40°C)</v>
          </cell>
          <cell r="Y4321" t="str">
            <v>FH47/G DRN100LS4</v>
          </cell>
          <cell r="Z4321" t="str">
            <v>SEW</v>
          </cell>
          <cell r="AB4321" t="str">
            <v>-</v>
          </cell>
          <cell r="AE4321" t="str">
            <v>NEMA5/UL/NPT terminal box</v>
          </cell>
          <cell r="AF4321">
            <v>81</v>
          </cell>
          <cell r="AG4321" t="str">
            <v>DRN100LS4</v>
          </cell>
          <cell r="AH4321" t="str">
            <v>FH47G-DRN100LS4270-X</v>
          </cell>
        </row>
        <row r="4322">
          <cell r="A4322" t="str">
            <v>MR004311</v>
          </cell>
          <cell r="B4322" t="str">
            <v>MR</v>
          </cell>
          <cell r="C4322">
            <v>0.75</v>
          </cell>
          <cell r="D4322">
            <v>139.16666666666669</v>
          </cell>
          <cell r="E4322" t="str">
            <v>KA37</v>
          </cell>
          <cell r="F4322">
            <v>43</v>
          </cell>
          <cell r="G4322">
            <v>10.49</v>
          </cell>
          <cell r="H4322">
            <v>3.7</v>
          </cell>
          <cell r="I4322" t="str">
            <v>M1A</v>
          </cell>
          <cell r="J4322" t="str">
            <v>IE3</v>
          </cell>
          <cell r="K4322" t="str">
            <v>277/480</v>
          </cell>
          <cell r="L4322">
            <v>60</v>
          </cell>
          <cell r="M4322" t="str">
            <v>2,6/1,49</v>
          </cell>
          <cell r="N4322">
            <v>65</v>
          </cell>
          <cell r="O4322" t="str">
            <v>155(F)</v>
          </cell>
          <cell r="P4322" t="str">
            <v>270°</v>
          </cell>
          <cell r="Q4322" t="str">
            <v>-</v>
          </cell>
          <cell r="R4322" t="str">
            <v>-</v>
          </cell>
          <cell r="S4322" t="str">
            <v>-</v>
          </cell>
          <cell r="T4322" t="str">
            <v>-</v>
          </cell>
          <cell r="U4322" t="str">
            <v>T</v>
          </cell>
          <cell r="V4322" t="str">
            <v>D</v>
          </cell>
          <cell r="W4322" t="str">
            <v>-</v>
          </cell>
          <cell r="X4322" t="str">
            <v>CLP 220 (-15/+40°C)</v>
          </cell>
          <cell r="Y4322" t="str">
            <v>KA37/T DRN80M4</v>
          </cell>
          <cell r="Z4322" t="str">
            <v>SEW</v>
          </cell>
          <cell r="AB4322" t="str">
            <v>-</v>
          </cell>
          <cell r="AE4322" t="str">
            <v>NEMA5/UL/NPT terminal box</v>
          </cell>
          <cell r="AF4322">
            <v>167.00000000000003</v>
          </cell>
          <cell r="AG4322" t="str">
            <v>DRN80M4</v>
          </cell>
          <cell r="AH4322" t="str">
            <v>KA37T-DRN80M4A270-X</v>
          </cell>
        </row>
        <row r="4323">
          <cell r="A4323" t="str">
            <v>MR004312</v>
          </cell>
          <cell r="B4323" t="str">
            <v>MR</v>
          </cell>
          <cell r="C4323">
            <v>0.75</v>
          </cell>
          <cell r="D4323">
            <v>139.16666666666669</v>
          </cell>
          <cell r="E4323" t="str">
            <v>KA37</v>
          </cell>
          <cell r="F4323">
            <v>43</v>
          </cell>
          <cell r="G4323">
            <v>10.49</v>
          </cell>
          <cell r="H4323">
            <v>3.7</v>
          </cell>
          <cell r="I4323" t="str">
            <v>From  M1B to M2B - 5°</v>
          </cell>
          <cell r="J4323" t="str">
            <v>IE3</v>
          </cell>
          <cell r="K4323" t="str">
            <v>277/480</v>
          </cell>
          <cell r="L4323">
            <v>60</v>
          </cell>
          <cell r="M4323" t="str">
            <v>2,6/1,49</v>
          </cell>
          <cell r="N4323">
            <v>65</v>
          </cell>
          <cell r="O4323" t="str">
            <v>155(F)</v>
          </cell>
          <cell r="P4323" t="str">
            <v>270°</v>
          </cell>
          <cell r="Q4323" t="str">
            <v>-</v>
          </cell>
          <cell r="R4323" t="str">
            <v>-</v>
          </cell>
          <cell r="S4323" t="str">
            <v>-</v>
          </cell>
          <cell r="T4323" t="str">
            <v>-</v>
          </cell>
          <cell r="U4323" t="str">
            <v>T</v>
          </cell>
          <cell r="V4323" t="str">
            <v>D</v>
          </cell>
          <cell r="W4323" t="str">
            <v>-</v>
          </cell>
          <cell r="X4323" t="str">
            <v>CLP 220 (-15/+40°C)</v>
          </cell>
          <cell r="Y4323" t="str">
            <v>KA37/T DRN80M4</v>
          </cell>
          <cell r="Z4323" t="str">
            <v>SEW</v>
          </cell>
          <cell r="AB4323" t="str">
            <v>-</v>
          </cell>
          <cell r="AE4323" t="str">
            <v>NEMA5/UL/NPT terminal box</v>
          </cell>
          <cell r="AF4323">
            <v>167.00000000000003</v>
          </cell>
          <cell r="AG4323" t="str">
            <v>DRN80M4</v>
          </cell>
          <cell r="AH4323" t="str">
            <v>KA37T-DRN80M4B270-X</v>
          </cell>
        </row>
        <row r="4324">
          <cell r="A4324" t="str">
            <v>MR004313</v>
          </cell>
          <cell r="B4324" t="str">
            <v>MR</v>
          </cell>
          <cell r="C4324">
            <v>3</v>
          </cell>
          <cell r="D4324">
            <v>48.333333333333336</v>
          </cell>
          <cell r="E4324" t="str">
            <v>KH67</v>
          </cell>
          <cell r="F4324">
            <v>490</v>
          </cell>
          <cell r="G4324">
            <v>30.22</v>
          </cell>
          <cell r="H4324">
            <v>1.65</v>
          </cell>
          <cell r="I4324" t="str">
            <v>M4B</v>
          </cell>
          <cell r="J4324" t="str">
            <v>IE3</v>
          </cell>
          <cell r="K4324" t="str">
            <v>277/480</v>
          </cell>
          <cell r="L4324">
            <v>60</v>
          </cell>
          <cell r="M4324" t="str">
            <v>9,6/5,5</v>
          </cell>
          <cell r="N4324">
            <v>65</v>
          </cell>
          <cell r="O4324" t="str">
            <v>155(F)</v>
          </cell>
          <cell r="P4324" t="str">
            <v>270°</v>
          </cell>
          <cell r="Q4324" t="str">
            <v>-</v>
          </cell>
          <cell r="R4324" t="str">
            <v>-</v>
          </cell>
          <cell r="S4324" t="str">
            <v>-</v>
          </cell>
          <cell r="T4324" t="str">
            <v>-</v>
          </cell>
          <cell r="U4324" t="str">
            <v>T</v>
          </cell>
          <cell r="V4324" t="str">
            <v>D</v>
          </cell>
          <cell r="W4324" t="str">
            <v>-</v>
          </cell>
          <cell r="X4324" t="str">
            <v>CLP 220 (-15/+40°C)</v>
          </cell>
          <cell r="Y4324" t="str">
            <v>KH67/T DRN100L4</v>
          </cell>
          <cell r="Z4324" t="str">
            <v>SEW</v>
          </cell>
          <cell r="AB4324" t="str">
            <v>-</v>
          </cell>
          <cell r="AE4324" t="str">
            <v>NEMA5/UL/NPT terminal box</v>
          </cell>
          <cell r="AF4324">
            <v>58</v>
          </cell>
          <cell r="AG4324" t="str">
            <v>DRN100L4</v>
          </cell>
          <cell r="AH4324" t="str">
            <v>KH67T-DRN100L4B270-X</v>
          </cell>
        </row>
        <row r="4325">
          <cell r="A4325" t="str">
            <v>MR004314</v>
          </cell>
          <cell r="B4325" t="str">
            <v>MR</v>
          </cell>
          <cell r="C4325">
            <v>0.75</v>
          </cell>
          <cell r="D4325">
            <v>139.16666666666669</v>
          </cell>
          <cell r="E4325" t="str">
            <v>KA37</v>
          </cell>
          <cell r="F4325">
            <v>43</v>
          </cell>
          <cell r="G4325">
            <v>10.49</v>
          </cell>
          <cell r="H4325">
            <v>3.7</v>
          </cell>
          <cell r="I4325" t="str">
            <v>M1B</v>
          </cell>
          <cell r="J4325" t="str">
            <v>IE3</v>
          </cell>
          <cell r="K4325" t="str">
            <v>277/480</v>
          </cell>
          <cell r="L4325">
            <v>60</v>
          </cell>
          <cell r="M4325" t="str">
            <v>2,6/1,49</v>
          </cell>
          <cell r="N4325">
            <v>65</v>
          </cell>
          <cell r="O4325" t="str">
            <v>155(F)</v>
          </cell>
          <cell r="P4325" t="str">
            <v>270°</v>
          </cell>
          <cell r="Q4325" t="str">
            <v>-</v>
          </cell>
          <cell r="R4325" t="str">
            <v>-</v>
          </cell>
          <cell r="S4325" t="str">
            <v>-</v>
          </cell>
          <cell r="T4325" t="str">
            <v>-</v>
          </cell>
          <cell r="U4325" t="str">
            <v>T</v>
          </cell>
          <cell r="V4325" t="str">
            <v>D</v>
          </cell>
          <cell r="W4325" t="str">
            <v>-</v>
          </cell>
          <cell r="X4325" t="str">
            <v>CLP 220 (-15/+40°C)</v>
          </cell>
          <cell r="Y4325" t="str">
            <v>KA37/T DRN80M4</v>
          </cell>
          <cell r="Z4325" t="str">
            <v>SEW</v>
          </cell>
          <cell r="AB4325" t="str">
            <v>-</v>
          </cell>
          <cell r="AE4325" t="str">
            <v>NEMA5/UL/NPT terminal box</v>
          </cell>
          <cell r="AF4325">
            <v>167.00000000000003</v>
          </cell>
          <cell r="AG4325" t="str">
            <v>DRN80M4</v>
          </cell>
          <cell r="AH4325" t="str">
            <v>KA37T-DRN80M4B270-X</v>
          </cell>
        </row>
        <row r="4326">
          <cell r="A4326" t="str">
            <v>MR004315</v>
          </cell>
          <cell r="B4326" t="str">
            <v>MR</v>
          </cell>
          <cell r="C4326">
            <v>0.75</v>
          </cell>
          <cell r="D4326">
            <v>139.16666666666669</v>
          </cell>
          <cell r="E4326" t="str">
            <v>KA37</v>
          </cell>
          <cell r="F4326">
            <v>43</v>
          </cell>
          <cell r="G4326">
            <v>10.49</v>
          </cell>
          <cell r="H4326">
            <v>3.7</v>
          </cell>
          <cell r="I4326" t="str">
            <v>From  M1B to M2B - 15°</v>
          </cell>
          <cell r="J4326" t="str">
            <v>IE3</v>
          </cell>
          <cell r="K4326" t="str">
            <v>277/480</v>
          </cell>
          <cell r="L4326">
            <v>60</v>
          </cell>
          <cell r="M4326" t="str">
            <v>2,6/1,49</v>
          </cell>
          <cell r="N4326">
            <v>65</v>
          </cell>
          <cell r="O4326" t="str">
            <v>155(F)</v>
          </cell>
          <cell r="P4326" t="str">
            <v>270°</v>
          </cell>
          <cell r="Q4326" t="str">
            <v>-</v>
          </cell>
          <cell r="R4326" t="str">
            <v>-</v>
          </cell>
          <cell r="S4326" t="str">
            <v>-</v>
          </cell>
          <cell r="T4326" t="str">
            <v>-</v>
          </cell>
          <cell r="U4326" t="str">
            <v>T</v>
          </cell>
          <cell r="V4326" t="str">
            <v>D</v>
          </cell>
          <cell r="W4326" t="str">
            <v>-</v>
          </cell>
          <cell r="X4326" t="str">
            <v>CLP 220 (-15/+40°C)</v>
          </cell>
          <cell r="Y4326" t="str">
            <v>KA37/T DRN80M4</v>
          </cell>
          <cell r="Z4326" t="str">
            <v>SEW</v>
          </cell>
          <cell r="AB4326" t="str">
            <v>-</v>
          </cell>
          <cell r="AE4326" t="str">
            <v>NEMA5/UL/NPT terminal box</v>
          </cell>
          <cell r="AF4326">
            <v>167.00000000000003</v>
          </cell>
          <cell r="AG4326" t="str">
            <v>DRN80M4</v>
          </cell>
          <cell r="AH4326" t="str">
            <v>KA37T-DRN80M4B270-X</v>
          </cell>
        </row>
        <row r="4327">
          <cell r="A4327" t="str">
            <v>MR004316</v>
          </cell>
          <cell r="B4327" t="str">
            <v>MR</v>
          </cell>
          <cell r="C4327">
            <v>18.5</v>
          </cell>
          <cell r="D4327">
            <v>35.833333333333336</v>
          </cell>
          <cell r="E4327" t="str">
            <v>KH97</v>
          </cell>
          <cell r="F4327">
            <v>4150</v>
          </cell>
          <cell r="G4327">
            <v>41.87</v>
          </cell>
          <cell r="H4327">
            <v>1.05</v>
          </cell>
          <cell r="I4327" t="str">
            <v>M4B</v>
          </cell>
          <cell r="J4327" t="str">
            <v>IE3</v>
          </cell>
          <cell r="K4327" t="str">
            <v>277/480</v>
          </cell>
          <cell r="L4327">
            <v>60</v>
          </cell>
          <cell r="M4327" t="str">
            <v>49/28,5</v>
          </cell>
          <cell r="N4327">
            <v>65</v>
          </cell>
          <cell r="O4327" t="str">
            <v>155(F)</v>
          </cell>
          <cell r="P4327" t="str">
            <v>270°</v>
          </cell>
          <cell r="Q4327" t="str">
            <v>-</v>
          </cell>
          <cell r="R4327" t="str">
            <v>-</v>
          </cell>
          <cell r="S4327" t="str">
            <v>Free rotation CW</v>
          </cell>
          <cell r="T4327" t="str">
            <v>-</v>
          </cell>
          <cell r="U4327" t="str">
            <v>T</v>
          </cell>
          <cell r="V4327" t="str">
            <v>SS</v>
          </cell>
          <cell r="W4327" t="str">
            <v>-</v>
          </cell>
          <cell r="X4327" t="str">
            <v>CLP 220 (-15/+40°C)</v>
          </cell>
          <cell r="Y4327" t="str">
            <v>KH97/T DRN180M4 /RS</v>
          </cell>
          <cell r="Z4327" t="str">
            <v>SEW</v>
          </cell>
          <cell r="AB4327" t="str">
            <v>-</v>
          </cell>
          <cell r="AE4327" t="str">
            <v>NEMA5/UL/NPT terminal box</v>
          </cell>
          <cell r="AF4327">
            <v>43</v>
          </cell>
          <cell r="AG4327" t="str">
            <v>DRN180M4</v>
          </cell>
          <cell r="AH4327" t="str">
            <v>KH97T-DRN180M4B270-X</v>
          </cell>
        </row>
        <row r="4328">
          <cell r="A4328" t="str">
            <v>MR004317</v>
          </cell>
          <cell r="B4328" t="str">
            <v>MR</v>
          </cell>
          <cell r="C4328">
            <v>0.75</v>
          </cell>
          <cell r="D4328">
            <v>139.16666666666669</v>
          </cell>
          <cell r="E4328" t="str">
            <v>KA37</v>
          </cell>
          <cell r="F4328">
            <v>43</v>
          </cell>
          <cell r="G4328">
            <v>10.49</v>
          </cell>
          <cell r="H4328">
            <v>3.7</v>
          </cell>
          <cell r="I4328" t="str">
            <v>M1A</v>
          </cell>
          <cell r="J4328" t="str">
            <v>IE3</v>
          </cell>
          <cell r="K4328" t="str">
            <v>277/480</v>
          </cell>
          <cell r="L4328">
            <v>60</v>
          </cell>
          <cell r="M4328" t="str">
            <v>2,6/1,49</v>
          </cell>
          <cell r="N4328">
            <v>65</v>
          </cell>
          <cell r="O4328" t="str">
            <v>155(F)</v>
          </cell>
          <cell r="P4328" t="str">
            <v>270°</v>
          </cell>
          <cell r="Q4328" t="str">
            <v>-</v>
          </cell>
          <cell r="R4328" t="str">
            <v>-</v>
          </cell>
          <cell r="S4328" t="str">
            <v>-</v>
          </cell>
          <cell r="T4328" t="str">
            <v>-</v>
          </cell>
          <cell r="U4328" t="str">
            <v>T</v>
          </cell>
          <cell r="V4328" t="str">
            <v>D</v>
          </cell>
          <cell r="W4328" t="str">
            <v>-</v>
          </cell>
          <cell r="X4328" t="str">
            <v>CLP 220 (-15/+40°C)</v>
          </cell>
          <cell r="Y4328" t="str">
            <v>KA37/T DRN80M4</v>
          </cell>
          <cell r="Z4328" t="str">
            <v>SEW</v>
          </cell>
          <cell r="AB4328" t="str">
            <v>-</v>
          </cell>
          <cell r="AE4328" t="str">
            <v>NEMA5/UL/NPT terminal box</v>
          </cell>
          <cell r="AF4328">
            <v>167.00000000000003</v>
          </cell>
          <cell r="AG4328" t="str">
            <v>DRN80M4</v>
          </cell>
          <cell r="AH4328" t="str">
            <v>KA37T-DRN80M4A270-X</v>
          </cell>
        </row>
        <row r="4329">
          <cell r="A4329" t="str">
            <v>MR004318</v>
          </cell>
          <cell r="B4329" t="str">
            <v>MR</v>
          </cell>
          <cell r="C4329">
            <v>22</v>
          </cell>
          <cell r="D4329">
            <v>35</v>
          </cell>
          <cell r="E4329" t="str">
            <v>KH107</v>
          </cell>
          <cell r="F4329">
            <v>4990</v>
          </cell>
          <cell r="G4329">
            <v>42.33</v>
          </cell>
          <cell r="H4329">
            <v>1.45</v>
          </cell>
          <cell r="I4329" t="str">
            <v>M4B</v>
          </cell>
          <cell r="J4329" t="str">
            <v>IE3</v>
          </cell>
          <cell r="K4329" t="str">
            <v>277/480</v>
          </cell>
          <cell r="L4329">
            <v>60</v>
          </cell>
          <cell r="M4329" t="str">
            <v>57/32,5</v>
          </cell>
          <cell r="N4329">
            <v>65</v>
          </cell>
          <cell r="O4329" t="str">
            <v>155(F)</v>
          </cell>
          <cell r="P4329" t="str">
            <v>270°</v>
          </cell>
          <cell r="Q4329" t="str">
            <v>-</v>
          </cell>
          <cell r="R4329" t="str">
            <v>-</v>
          </cell>
          <cell r="S4329" t="str">
            <v>-</v>
          </cell>
          <cell r="T4329" t="str">
            <v>-</v>
          </cell>
          <cell r="U4329" t="str">
            <v>T</v>
          </cell>
          <cell r="V4329" t="str">
            <v>SS</v>
          </cell>
          <cell r="W4329" t="str">
            <v>-</v>
          </cell>
          <cell r="X4329" t="str">
            <v>CLP 220 (-15/+40°C)</v>
          </cell>
          <cell r="Y4329" t="str">
            <v>KH107/T DRN180L4</v>
          </cell>
          <cell r="Z4329" t="str">
            <v>SEW</v>
          </cell>
          <cell r="AB4329" t="str">
            <v>-</v>
          </cell>
          <cell r="AE4329" t="str">
            <v>NEMA5/UL/NPT terminal box</v>
          </cell>
          <cell r="AF4329">
            <v>42</v>
          </cell>
          <cell r="AG4329" t="str">
            <v>DRN180L4</v>
          </cell>
          <cell r="AH4329" t="str">
            <v>KH107T-DRN180L4B270-X</v>
          </cell>
        </row>
        <row r="4330">
          <cell r="A4330" t="str">
            <v>MR004319</v>
          </cell>
          <cell r="B4330" t="str">
            <v>MR</v>
          </cell>
          <cell r="C4330">
            <v>7.5</v>
          </cell>
          <cell r="D4330">
            <v>68.333333333333329</v>
          </cell>
          <cell r="E4330" t="str">
            <v>R87</v>
          </cell>
          <cell r="F4330">
            <v>870</v>
          </cell>
          <cell r="G4330">
            <v>21.51</v>
          </cell>
          <cell r="H4330">
            <v>1.75</v>
          </cell>
          <cell r="I4330" t="str">
            <v>From M1 to M4 - 25°</v>
          </cell>
          <cell r="J4330" t="str">
            <v>IE3</v>
          </cell>
          <cell r="K4330" t="str">
            <v>330/575</v>
          </cell>
          <cell r="L4330">
            <v>60</v>
          </cell>
          <cell r="M4330" t="str">
            <v>18,5/10,6</v>
          </cell>
          <cell r="N4330">
            <v>55</v>
          </cell>
          <cell r="O4330" t="str">
            <v>155(F)</v>
          </cell>
          <cell r="P4330" t="str">
            <v>270°</v>
          </cell>
          <cell r="Q4330" t="str">
            <v>TF</v>
          </cell>
          <cell r="R4330" t="str">
            <v>-</v>
          </cell>
          <cell r="S4330" t="str">
            <v>-</v>
          </cell>
          <cell r="T4330" t="str">
            <v>-</v>
          </cell>
          <cell r="U4330" t="str">
            <v>-</v>
          </cell>
          <cell r="V4330" t="str">
            <v>D</v>
          </cell>
          <cell r="W4330" t="str">
            <v>-</v>
          </cell>
          <cell r="X4330" t="str">
            <v>GearOil Synth (-35/+50°C)</v>
          </cell>
          <cell r="Y4330" t="str">
            <v>R87DRN132M4 /TF</v>
          </cell>
          <cell r="Z4330" t="str">
            <v>SEW</v>
          </cell>
          <cell r="AB4330" t="str">
            <v>-</v>
          </cell>
          <cell r="AE4330" t="str">
            <v>NEMA5/CSA/UL/NPT terminal box</v>
          </cell>
          <cell r="AF4330">
            <v>82</v>
          </cell>
          <cell r="AG4330" t="str">
            <v>DRN132M4</v>
          </cell>
          <cell r="AH4330" t="str">
            <v>R87-DRN132M4270-X</v>
          </cell>
        </row>
        <row r="4331">
          <cell r="A4331" t="str">
            <v>MR004320</v>
          </cell>
          <cell r="B4331" t="str">
            <v>MR</v>
          </cell>
          <cell r="C4331">
            <v>3</v>
          </cell>
          <cell r="D4331">
            <v>82.5</v>
          </cell>
          <cell r="E4331" t="str">
            <v>R77</v>
          </cell>
          <cell r="F4331">
            <v>290</v>
          </cell>
          <cell r="G4331">
            <v>17.82</v>
          </cell>
          <cell r="H4331">
            <v>2.7</v>
          </cell>
          <cell r="I4331" t="str">
            <v>From M1 to M4 - 15°</v>
          </cell>
          <cell r="J4331" t="str">
            <v>IE3</v>
          </cell>
          <cell r="K4331" t="str">
            <v>330/575</v>
          </cell>
          <cell r="L4331">
            <v>60</v>
          </cell>
          <cell r="M4331" t="str">
            <v>8,1/4,65</v>
          </cell>
          <cell r="N4331">
            <v>55</v>
          </cell>
          <cell r="O4331" t="str">
            <v>155(F)</v>
          </cell>
          <cell r="P4331" t="str">
            <v>270°</v>
          </cell>
          <cell r="Q4331" t="str">
            <v>TF</v>
          </cell>
          <cell r="R4331" t="str">
            <v>-</v>
          </cell>
          <cell r="S4331" t="str">
            <v>-</v>
          </cell>
          <cell r="T4331" t="str">
            <v>-</v>
          </cell>
          <cell r="U4331" t="str">
            <v>-</v>
          </cell>
          <cell r="V4331" t="str">
            <v>D</v>
          </cell>
          <cell r="W4331" t="str">
            <v>-</v>
          </cell>
          <cell r="X4331" t="str">
            <v>GearOil Synth (-35/+50°C)</v>
          </cell>
          <cell r="Y4331" t="str">
            <v>R77DRN100L4 /TF</v>
          </cell>
          <cell r="Z4331" t="str">
            <v>SEW</v>
          </cell>
          <cell r="AB4331" t="str">
            <v>-</v>
          </cell>
          <cell r="AE4331" t="str">
            <v>NEMA5/CSA/UL/NPT terminal box</v>
          </cell>
          <cell r="AF4331">
            <v>99</v>
          </cell>
          <cell r="AG4331" t="str">
            <v>DRN100L4</v>
          </cell>
          <cell r="AH4331" t="str">
            <v>R77-DRN100L4270-X</v>
          </cell>
        </row>
        <row r="4332">
          <cell r="A4332" t="str">
            <v>MR004321</v>
          </cell>
          <cell r="B4332" t="str">
            <v>MR</v>
          </cell>
          <cell r="C4332">
            <v>3</v>
          </cell>
          <cell r="D4332">
            <v>8.3000000000000007</v>
          </cell>
          <cell r="E4332" t="str">
            <v>KH97</v>
          </cell>
          <cell r="F4332">
            <v>3460</v>
          </cell>
          <cell r="G4332">
            <v>176.05</v>
          </cell>
          <cell r="H4332">
            <v>1.25</v>
          </cell>
          <cell r="I4332" t="str">
            <v>From M1B to M2B - 45°</v>
          </cell>
          <cell r="J4332" t="str">
            <v>IE3</v>
          </cell>
          <cell r="K4332" t="str">
            <v>230/400</v>
          </cell>
          <cell r="L4332">
            <v>50</v>
          </cell>
          <cell r="M4332" t="str">
            <v>11,4/6,6</v>
          </cell>
          <cell r="N4332">
            <v>65</v>
          </cell>
          <cell r="O4332" t="str">
            <v>155(F)</v>
          </cell>
          <cell r="P4332" t="str">
            <v>270°</v>
          </cell>
          <cell r="Q4332" t="str">
            <v>-</v>
          </cell>
          <cell r="R4332" t="str">
            <v>-</v>
          </cell>
          <cell r="S4332" t="str">
            <v>-</v>
          </cell>
          <cell r="T4332" t="str">
            <v>-</v>
          </cell>
          <cell r="U4332" t="str">
            <v>-</v>
          </cell>
          <cell r="V4332" t="str">
            <v>SS</v>
          </cell>
          <cell r="W4332" t="str">
            <v>-</v>
          </cell>
          <cell r="X4332" t="str">
            <v>CLP HC 150 (-30/+50°C)</v>
          </cell>
          <cell r="Y4332" t="str">
            <v>KH97EDRN100L4</v>
          </cell>
          <cell r="Z4332" t="str">
            <v>SEW</v>
          </cell>
          <cell r="AB4332" t="str">
            <v>ATEX22</v>
          </cell>
          <cell r="AF4332">
            <v>8.3000000000000007</v>
          </cell>
          <cell r="AG4332" t="str">
            <v>EDRN100L4</v>
          </cell>
          <cell r="AH4332" t="str">
            <v>KH97-EDRN100L4B270-X</v>
          </cell>
        </row>
        <row r="4333">
          <cell r="A4333" t="str">
            <v>MR004322</v>
          </cell>
          <cell r="B4333" t="str">
            <v>MR</v>
          </cell>
          <cell r="C4333">
            <v>0.75</v>
          </cell>
          <cell r="D4333">
            <v>162</v>
          </cell>
          <cell r="E4333" t="str">
            <v>KH37</v>
          </cell>
          <cell r="F4333">
            <v>44</v>
          </cell>
          <cell r="G4333">
            <v>8.91</v>
          </cell>
          <cell r="H4333">
            <v>3.6</v>
          </cell>
          <cell r="I4333" t="str">
            <v>M1B</v>
          </cell>
          <cell r="J4333" t="str">
            <v>IE3</v>
          </cell>
          <cell r="K4333" t="str">
            <v>230/400</v>
          </cell>
          <cell r="L4333">
            <v>50</v>
          </cell>
          <cell r="M4333" t="str">
            <v>3,05/1,75</v>
          </cell>
          <cell r="N4333">
            <v>65</v>
          </cell>
          <cell r="O4333" t="str">
            <v>155(F)</v>
          </cell>
          <cell r="P4333" t="str">
            <v>0°</v>
          </cell>
          <cell r="Q4333" t="str">
            <v>TF</v>
          </cell>
          <cell r="R4333" t="str">
            <v>-</v>
          </cell>
          <cell r="S4333" t="str">
            <v>-</v>
          </cell>
          <cell r="T4333" t="str">
            <v>-</v>
          </cell>
          <cell r="U4333" t="str">
            <v>T</v>
          </cell>
          <cell r="V4333" t="str">
            <v>D</v>
          </cell>
          <cell r="W4333" t="str">
            <v>-</v>
          </cell>
          <cell r="X4333" t="str">
            <v>CLP HC 150 (-30/+50°C)</v>
          </cell>
          <cell r="Y4333" t="str">
            <v>KH37/T DRN80M4 /TF</v>
          </cell>
          <cell r="Z4333" t="str">
            <v>SEW</v>
          </cell>
          <cell r="AB4333" t="str">
            <v>-</v>
          </cell>
          <cell r="AF4333">
            <v>162</v>
          </cell>
          <cell r="AG4333" t="str">
            <v>DRN80M4</v>
          </cell>
          <cell r="AH4333" t="str">
            <v>KH37T-DRN80M4B0-X</v>
          </cell>
        </row>
        <row r="4334">
          <cell r="A4334" t="str">
            <v>MR004323</v>
          </cell>
          <cell r="B4334" t="str">
            <v>MR</v>
          </cell>
          <cell r="C4334">
            <v>0.25</v>
          </cell>
          <cell r="D4334">
            <v>32</v>
          </cell>
          <cell r="E4334" t="str">
            <v>FH37</v>
          </cell>
          <cell r="F4334">
            <v>74</v>
          </cell>
          <cell r="G4334">
            <v>43.83</v>
          </cell>
          <cell r="H4334">
            <v>2.7</v>
          </cell>
          <cell r="I4334" t="str">
            <v>M1</v>
          </cell>
          <cell r="J4334" t="str">
            <v>IE3</v>
          </cell>
          <cell r="K4334" t="str">
            <v>230/400</v>
          </cell>
          <cell r="L4334">
            <v>50</v>
          </cell>
          <cell r="M4334" t="str">
            <v>1,26/0,72</v>
          </cell>
          <cell r="N4334">
            <v>65</v>
          </cell>
          <cell r="O4334" t="str">
            <v>155(F)</v>
          </cell>
          <cell r="P4334" t="str">
            <v>180°</v>
          </cell>
          <cell r="Q4334" t="str">
            <v>TF</v>
          </cell>
          <cell r="R4334" t="str">
            <v>-</v>
          </cell>
          <cell r="S4334" t="str">
            <v>-</v>
          </cell>
          <cell r="T4334" t="str">
            <v>-</v>
          </cell>
          <cell r="U4334" t="str">
            <v>G</v>
          </cell>
          <cell r="V4334" t="str">
            <v>D</v>
          </cell>
          <cell r="W4334" t="str">
            <v>-</v>
          </cell>
          <cell r="X4334" t="str">
            <v>CLP HC 150 (-30/+50°C)</v>
          </cell>
          <cell r="Y4334" t="str">
            <v>FH37/G DRN71MS4 /TF</v>
          </cell>
          <cell r="Z4334" t="str">
            <v>SEW</v>
          </cell>
          <cell r="AB4334" t="str">
            <v>-</v>
          </cell>
          <cell r="AF4334">
            <v>32</v>
          </cell>
          <cell r="AG4334" t="str">
            <v>DRN71MS4</v>
          </cell>
          <cell r="AH4334" t="str">
            <v>FH37G-DRN71MS4180-X</v>
          </cell>
        </row>
        <row r="4335">
          <cell r="A4335" t="str">
            <v>MR004324</v>
          </cell>
          <cell r="B4335" t="str">
            <v>MR</v>
          </cell>
          <cell r="C4335">
            <v>11</v>
          </cell>
          <cell r="D4335">
            <v>76</v>
          </cell>
          <cell r="E4335" t="str">
            <v>KH87</v>
          </cell>
          <cell r="F4335">
            <v>1380</v>
          </cell>
          <cell r="G4335">
            <v>19.45</v>
          </cell>
          <cell r="H4335">
            <v>1.65</v>
          </cell>
          <cell r="I4335" t="str">
            <v>From M4B to M1B - 20°</v>
          </cell>
          <cell r="J4335" t="str">
            <v>IE3</v>
          </cell>
          <cell r="K4335" t="str">
            <v>240/415</v>
          </cell>
          <cell r="L4335">
            <v>50</v>
          </cell>
          <cell r="M4335" t="str">
            <v>35/20</v>
          </cell>
          <cell r="N4335">
            <v>65</v>
          </cell>
          <cell r="O4335" t="str">
            <v>155(F)</v>
          </cell>
          <cell r="P4335" t="str">
            <v>270°</v>
          </cell>
          <cell r="Q4335" t="str">
            <v>-</v>
          </cell>
          <cell r="R4335" t="str">
            <v>-</v>
          </cell>
          <cell r="S4335" t="str">
            <v>Free rotation CW</v>
          </cell>
          <cell r="T4335" t="str">
            <v>-</v>
          </cell>
          <cell r="U4335" t="str">
            <v>T</v>
          </cell>
          <cell r="V4335" t="str">
            <v>SS</v>
          </cell>
          <cell r="W4335" t="str">
            <v>-</v>
          </cell>
          <cell r="X4335" t="str">
            <v>CLP HC 220 (-25/+60°C)</v>
          </cell>
          <cell r="Y4335" t="str">
            <v>KH87/T DRN160M4 /RS</v>
          </cell>
          <cell r="Z4335" t="str">
            <v>SEW</v>
          </cell>
          <cell r="AB4335" t="str">
            <v>-</v>
          </cell>
          <cell r="AD4335" t="str">
            <v>BIS</v>
          </cell>
          <cell r="AF4335">
            <v>76</v>
          </cell>
          <cell r="AG4335" t="str">
            <v>DRN160M4</v>
          </cell>
          <cell r="AH4335" t="str">
            <v>KH87T-DRN160M4B270-X</v>
          </cell>
        </row>
        <row r="4336">
          <cell r="A4336" t="str">
            <v>MR004325</v>
          </cell>
          <cell r="B4336" t="str">
            <v>MR</v>
          </cell>
          <cell r="C4336">
            <v>11</v>
          </cell>
          <cell r="D4336">
            <v>76</v>
          </cell>
          <cell r="E4336" t="str">
            <v>KH87</v>
          </cell>
          <cell r="F4336">
            <v>1380</v>
          </cell>
          <cell r="G4336">
            <v>19.45</v>
          </cell>
          <cell r="H4336">
            <v>1.65</v>
          </cell>
          <cell r="I4336" t="str">
            <v>From M4A to M1A</v>
          </cell>
          <cell r="J4336" t="str">
            <v>IE3</v>
          </cell>
          <cell r="K4336" t="str">
            <v>240/415</v>
          </cell>
          <cell r="L4336">
            <v>50</v>
          </cell>
          <cell r="M4336" t="str">
            <v>35/20</v>
          </cell>
          <cell r="N4336">
            <v>65</v>
          </cell>
          <cell r="O4336" t="str">
            <v>155(F)</v>
          </cell>
          <cell r="P4336" t="str">
            <v>270°</v>
          </cell>
          <cell r="Q4336" t="str">
            <v>-</v>
          </cell>
          <cell r="R4336" t="str">
            <v>-</v>
          </cell>
          <cell r="T4336" t="str">
            <v>-</v>
          </cell>
          <cell r="U4336" t="str">
            <v>T</v>
          </cell>
          <cell r="V4336" t="str">
            <v>SS</v>
          </cell>
          <cell r="W4336" t="str">
            <v>-</v>
          </cell>
          <cell r="X4336" t="str">
            <v>CLP HC 220 (-25/+60°C)</v>
          </cell>
          <cell r="Y4336" t="str">
            <v>KH87/T DRN160M4 /RS</v>
          </cell>
          <cell r="Z4336" t="str">
            <v>SEW</v>
          </cell>
          <cell r="AB4336" t="str">
            <v>-</v>
          </cell>
          <cell r="AD4336" t="str">
            <v>BIS</v>
          </cell>
          <cell r="AF4336">
            <v>76</v>
          </cell>
          <cell r="AG4336" t="str">
            <v>DRN160M4</v>
          </cell>
          <cell r="AH4336" t="str">
            <v>KH87T-DRN160M4A270-X</v>
          </cell>
        </row>
        <row r="4337">
          <cell r="A4337" t="str">
            <v>MR004326</v>
          </cell>
          <cell r="B4337" t="str">
            <v>MR</v>
          </cell>
          <cell r="C4337">
            <v>9.1999999999999993</v>
          </cell>
          <cell r="D4337">
            <v>13.333333333333334</v>
          </cell>
          <cell r="E4337" t="str">
            <v>KH107</v>
          </cell>
          <cell r="F4337">
            <v>5560</v>
          </cell>
          <cell r="G4337">
            <v>112.4</v>
          </cell>
          <cell r="H4337">
            <v>1.45</v>
          </cell>
          <cell r="I4337" t="str">
            <v>From M1B to M2B - 45°</v>
          </cell>
          <cell r="J4337" t="str">
            <v>IE3</v>
          </cell>
          <cell r="K4337" t="str">
            <v>277/480</v>
          </cell>
          <cell r="L4337">
            <v>60</v>
          </cell>
          <cell r="M4337" t="str">
            <v>27,5/15,8</v>
          </cell>
          <cell r="N4337">
            <v>65</v>
          </cell>
          <cell r="O4337" t="str">
            <v>155(F)</v>
          </cell>
          <cell r="P4337" t="str">
            <v>270°</v>
          </cell>
          <cell r="Q4337" t="str">
            <v>TF</v>
          </cell>
          <cell r="R4337" t="str">
            <v>V(VE)</v>
          </cell>
          <cell r="S4337" t="str">
            <v>-</v>
          </cell>
          <cell r="T4337" t="str">
            <v>-</v>
          </cell>
          <cell r="U4337" t="str">
            <v>-</v>
          </cell>
          <cell r="V4337" t="str">
            <v>FC</v>
          </cell>
          <cell r="W4337" t="str">
            <v>-</v>
          </cell>
          <cell r="X4337" t="str">
            <v>CLP 220 (-15/+40°C)</v>
          </cell>
          <cell r="Y4337" t="str">
            <v>KH107DRN132L4 /TF/V</v>
          </cell>
          <cell r="Z4337" t="str">
            <v>SEW</v>
          </cell>
          <cell r="AB4337" t="str">
            <v>-</v>
          </cell>
          <cell r="AE4337" t="str">
            <v>NEMA5/UL/NPT terminal box</v>
          </cell>
          <cell r="AF4337">
            <v>16</v>
          </cell>
          <cell r="AG4337" t="str">
            <v>DRN132L4</v>
          </cell>
          <cell r="AH4337" t="str">
            <v>KH107-DRN132L4B270-X#</v>
          </cell>
        </row>
        <row r="4338">
          <cell r="A4338" t="str">
            <v>MR004327</v>
          </cell>
          <cell r="B4338" t="str">
            <v>MR</v>
          </cell>
          <cell r="C4338">
            <v>0.75</v>
          </cell>
          <cell r="D4338">
            <v>162</v>
          </cell>
          <cell r="E4338" t="str">
            <v>KA37</v>
          </cell>
          <cell r="F4338">
            <v>44</v>
          </cell>
          <cell r="G4338">
            <v>8.91</v>
          </cell>
          <cell r="H4338">
            <v>3.6</v>
          </cell>
          <cell r="I4338" t="str">
            <v>From M3A to M2A - 20°</v>
          </cell>
          <cell r="J4338" t="str">
            <v>IE3</v>
          </cell>
          <cell r="K4338" t="str">
            <v>240/415</v>
          </cell>
          <cell r="L4338">
            <v>50</v>
          </cell>
          <cell r="M4338" t="str">
            <v>2,9/1,69</v>
          </cell>
          <cell r="N4338">
            <v>65</v>
          </cell>
          <cell r="O4338" t="str">
            <v>155(F)</v>
          </cell>
          <cell r="P4338" t="str">
            <v>180°</v>
          </cell>
          <cell r="Q4338" t="str">
            <v>-</v>
          </cell>
          <cell r="R4338" t="str">
            <v>-</v>
          </cell>
          <cell r="S4338" t="str">
            <v>-</v>
          </cell>
          <cell r="T4338" t="str">
            <v>-</v>
          </cell>
          <cell r="U4338" t="str">
            <v>T</v>
          </cell>
          <cell r="V4338" t="str">
            <v>D</v>
          </cell>
          <cell r="W4338" t="str">
            <v>-</v>
          </cell>
          <cell r="X4338" t="str">
            <v>CLP HC 220 (-25/+60°C)</v>
          </cell>
          <cell r="Y4338" t="str">
            <v>KA37/T DRN80M4</v>
          </cell>
          <cell r="Z4338" t="str">
            <v>SEW</v>
          </cell>
          <cell r="AB4338" t="str">
            <v>-</v>
          </cell>
          <cell r="AD4338" t="str">
            <v>BIS</v>
          </cell>
          <cell r="AF4338">
            <v>162</v>
          </cell>
          <cell r="AG4338" t="str">
            <v>DRN80M4</v>
          </cell>
          <cell r="AH4338" t="str">
            <v>KA37T-DRN80M4A180-X</v>
          </cell>
        </row>
        <row r="4339">
          <cell r="A4339" t="str">
            <v>MR004328</v>
          </cell>
          <cell r="B4339" t="str">
            <v>MR</v>
          </cell>
          <cell r="C4339">
            <v>5.5</v>
          </cell>
          <cell r="D4339">
            <v>92</v>
          </cell>
          <cell r="E4339" t="str">
            <v>KH77</v>
          </cell>
          <cell r="F4339">
            <v>565</v>
          </cell>
          <cell r="G4339">
            <v>15.84</v>
          </cell>
          <cell r="H4339">
            <v>2.5</v>
          </cell>
          <cell r="I4339" t="str">
            <v>M4B</v>
          </cell>
          <cell r="J4339" t="str">
            <v>IE3</v>
          </cell>
          <cell r="K4339" t="str">
            <v>240/415</v>
          </cell>
          <cell r="L4339">
            <v>50</v>
          </cell>
          <cell r="M4339" t="str">
            <v>17,4/10,1</v>
          </cell>
          <cell r="N4339">
            <v>65</v>
          </cell>
          <cell r="O4339" t="str">
            <v>155(F)</v>
          </cell>
          <cell r="P4339" t="str">
            <v>270°</v>
          </cell>
          <cell r="Q4339" t="str">
            <v>-</v>
          </cell>
          <cell r="R4339" t="str">
            <v>-</v>
          </cell>
          <cell r="S4339" t="str">
            <v>-</v>
          </cell>
          <cell r="T4339" t="str">
            <v>-</v>
          </cell>
          <cell r="U4339" t="str">
            <v>T</v>
          </cell>
          <cell r="V4339" t="str">
            <v>SS+R</v>
          </cell>
          <cell r="W4339" t="str">
            <v>-</v>
          </cell>
          <cell r="X4339" t="str">
            <v>CLP HC 220 (-25/+60°C)</v>
          </cell>
          <cell r="Y4339" t="str">
            <v>KH77/T DRN132S4</v>
          </cell>
          <cell r="Z4339" t="str">
            <v>SEW</v>
          </cell>
          <cell r="AB4339" t="str">
            <v>-</v>
          </cell>
          <cell r="AD4339" t="str">
            <v>BIS</v>
          </cell>
          <cell r="AF4339">
            <v>92</v>
          </cell>
          <cell r="AG4339" t="str">
            <v>DRN132S4</v>
          </cell>
          <cell r="AH4339" t="str">
            <v>KH77T-DRN132S4B270-X</v>
          </cell>
        </row>
        <row r="4340">
          <cell r="A4340" t="str">
            <v>MR004329</v>
          </cell>
          <cell r="B4340" t="str">
            <v>MR</v>
          </cell>
          <cell r="C4340">
            <v>5.5</v>
          </cell>
          <cell r="D4340">
            <v>92</v>
          </cell>
          <cell r="E4340" t="str">
            <v>KH77</v>
          </cell>
          <cell r="F4340">
            <v>565</v>
          </cell>
          <cell r="G4340">
            <v>15.84</v>
          </cell>
          <cell r="H4340">
            <v>2.5</v>
          </cell>
          <cell r="I4340" t="str">
            <v>M4A</v>
          </cell>
          <cell r="J4340" t="str">
            <v>IE3</v>
          </cell>
          <cell r="K4340" t="str">
            <v>240/415</v>
          </cell>
          <cell r="L4340">
            <v>50</v>
          </cell>
          <cell r="M4340" t="str">
            <v>17,4/10,1</v>
          </cell>
          <cell r="N4340">
            <v>65</v>
          </cell>
          <cell r="O4340" t="str">
            <v>155(F)</v>
          </cell>
          <cell r="P4340" t="str">
            <v>270°</v>
          </cell>
          <cell r="Q4340" t="str">
            <v>-</v>
          </cell>
          <cell r="R4340" t="str">
            <v>-</v>
          </cell>
          <cell r="S4340" t="str">
            <v>-</v>
          </cell>
          <cell r="T4340" t="str">
            <v>-</v>
          </cell>
          <cell r="U4340" t="str">
            <v>T</v>
          </cell>
          <cell r="V4340" t="str">
            <v>SS+R</v>
          </cell>
          <cell r="W4340" t="str">
            <v>-</v>
          </cell>
          <cell r="X4340" t="str">
            <v>CLP HC 220 (-25/+60°C)</v>
          </cell>
          <cell r="Y4340" t="str">
            <v>KH77/T DRN132S4</v>
          </cell>
          <cell r="Z4340" t="str">
            <v>SEW</v>
          </cell>
          <cell r="AB4340" t="str">
            <v>-</v>
          </cell>
          <cell r="AD4340" t="str">
            <v>BIS</v>
          </cell>
          <cell r="AF4340">
            <v>92</v>
          </cell>
          <cell r="AG4340" t="str">
            <v>DRN132S4</v>
          </cell>
          <cell r="AH4340" t="str">
            <v>KH77T-DRN132S4A270-X</v>
          </cell>
        </row>
        <row r="4341">
          <cell r="A4341" t="str">
            <v>MR004330</v>
          </cell>
          <cell r="B4341" t="str">
            <v>MR</v>
          </cell>
          <cell r="C4341">
            <v>18.5</v>
          </cell>
          <cell r="D4341">
            <v>53</v>
          </cell>
          <cell r="E4341" t="str">
            <v>KH97</v>
          </cell>
          <cell r="F4341">
            <v>3330</v>
          </cell>
          <cell r="G4341">
            <v>27.91</v>
          </cell>
          <cell r="H4341">
            <v>1.3</v>
          </cell>
          <cell r="I4341" t="str">
            <v>From M4B to M1B - 5°</v>
          </cell>
          <cell r="J4341" t="str">
            <v>IE3</v>
          </cell>
          <cell r="K4341">
            <v>415</v>
          </cell>
          <cell r="L4341">
            <v>50</v>
          </cell>
          <cell r="M4341">
            <v>32</v>
          </cell>
          <cell r="N4341">
            <v>65</v>
          </cell>
          <cell r="O4341" t="str">
            <v>155(F)</v>
          </cell>
          <cell r="P4341" t="str">
            <v>270°</v>
          </cell>
          <cell r="Q4341" t="str">
            <v>-</v>
          </cell>
          <cell r="R4341" t="str">
            <v>-</v>
          </cell>
          <cell r="S4341" t="str">
            <v>Free rotation CW</v>
          </cell>
          <cell r="T4341" t="str">
            <v>-</v>
          </cell>
          <cell r="U4341" t="str">
            <v>T</v>
          </cell>
          <cell r="V4341" t="str">
            <v>SS</v>
          </cell>
          <cell r="W4341" t="str">
            <v>-</v>
          </cell>
          <cell r="X4341" t="str">
            <v>CLP HC 220 (-25/+60°C)</v>
          </cell>
          <cell r="Y4341" t="str">
            <v>KH97/T DRN180M4 /RS</v>
          </cell>
          <cell r="Z4341" t="str">
            <v>SEW</v>
          </cell>
          <cell r="AB4341" t="str">
            <v>-</v>
          </cell>
          <cell r="AD4341" t="str">
            <v>BIS</v>
          </cell>
          <cell r="AF4341">
            <v>53</v>
          </cell>
          <cell r="AG4341" t="str">
            <v>DRN180M4</v>
          </cell>
          <cell r="AH4341" t="str">
            <v>KH97T-DRN180M4B270-X</v>
          </cell>
        </row>
        <row r="4342">
          <cell r="A4342" t="str">
            <v>MR004331</v>
          </cell>
          <cell r="B4342" t="str">
            <v>MR</v>
          </cell>
          <cell r="C4342">
            <v>0.75</v>
          </cell>
          <cell r="D4342">
            <v>162</v>
          </cell>
          <cell r="E4342" t="str">
            <v>KA37</v>
          </cell>
          <cell r="F4342">
            <v>44</v>
          </cell>
          <cell r="G4342">
            <v>8.91</v>
          </cell>
          <cell r="H4342">
            <v>3.6</v>
          </cell>
          <cell r="I4342" t="str">
            <v>From M3A to M2A - 5°</v>
          </cell>
          <cell r="J4342" t="str">
            <v>IE3</v>
          </cell>
          <cell r="K4342" t="str">
            <v>240/415</v>
          </cell>
          <cell r="L4342">
            <v>50</v>
          </cell>
          <cell r="M4342" t="str">
            <v>2,9/1,69</v>
          </cell>
          <cell r="N4342">
            <v>65</v>
          </cell>
          <cell r="O4342" t="str">
            <v>155(F)</v>
          </cell>
          <cell r="P4342" t="str">
            <v>180°</v>
          </cell>
          <cell r="Q4342" t="str">
            <v>-</v>
          </cell>
          <cell r="R4342" t="str">
            <v>-</v>
          </cell>
          <cell r="S4342" t="str">
            <v>-</v>
          </cell>
          <cell r="T4342" t="str">
            <v>-</v>
          </cell>
          <cell r="U4342" t="str">
            <v>T</v>
          </cell>
          <cell r="V4342" t="str">
            <v>D</v>
          </cell>
          <cell r="W4342" t="str">
            <v>-</v>
          </cell>
          <cell r="X4342" t="str">
            <v>CLP HC 220 (-25/+60°C)</v>
          </cell>
          <cell r="Y4342" t="str">
            <v>KA37/T DRN80M4</v>
          </cell>
          <cell r="Z4342" t="str">
            <v>SEW</v>
          </cell>
          <cell r="AB4342" t="str">
            <v>-</v>
          </cell>
          <cell r="AD4342" t="str">
            <v>BIS</v>
          </cell>
          <cell r="AF4342">
            <v>162</v>
          </cell>
          <cell r="AG4342" t="str">
            <v>DRN80M4</v>
          </cell>
          <cell r="AH4342" t="str">
            <v>KA37T-DRN80M4A180-X</v>
          </cell>
        </row>
        <row r="4343">
          <cell r="A4343" t="str">
            <v>MR004332</v>
          </cell>
          <cell r="B4343" t="str">
            <v>MR</v>
          </cell>
          <cell r="C4343">
            <v>7.5</v>
          </cell>
          <cell r="D4343">
            <v>75</v>
          </cell>
          <cell r="E4343" t="str">
            <v>KH87</v>
          </cell>
          <cell r="F4343">
            <v>940</v>
          </cell>
          <cell r="G4343">
            <v>19.45</v>
          </cell>
          <cell r="H4343">
            <v>2.4</v>
          </cell>
          <cell r="I4343" t="str">
            <v>From M4B to M1B - 30°</v>
          </cell>
          <cell r="J4343" t="str">
            <v>IE3</v>
          </cell>
          <cell r="K4343">
            <v>415</v>
          </cell>
          <cell r="L4343">
            <v>50</v>
          </cell>
          <cell r="M4343">
            <v>14.7</v>
          </cell>
          <cell r="N4343">
            <v>65</v>
          </cell>
          <cell r="O4343" t="str">
            <v>155(F)</v>
          </cell>
          <cell r="P4343" t="str">
            <v>270°</v>
          </cell>
          <cell r="Q4343" t="str">
            <v>-</v>
          </cell>
          <cell r="R4343" t="str">
            <v>-</v>
          </cell>
          <cell r="S4343" t="str">
            <v>Free rotation CW</v>
          </cell>
          <cell r="T4343" t="str">
            <v>-</v>
          </cell>
          <cell r="U4343" t="str">
            <v>T</v>
          </cell>
          <cell r="V4343" t="str">
            <v>SS</v>
          </cell>
          <cell r="W4343" t="str">
            <v>-</v>
          </cell>
          <cell r="X4343" t="str">
            <v>CLP HC 220 (-25/+60°C)</v>
          </cell>
          <cell r="Y4343" t="str">
            <v>KH87/T DRN132M4 /RS</v>
          </cell>
          <cell r="Z4343" t="str">
            <v>SEW</v>
          </cell>
          <cell r="AB4343" t="str">
            <v>-</v>
          </cell>
          <cell r="AD4343" t="str">
            <v>BIS</v>
          </cell>
          <cell r="AF4343">
            <v>75</v>
          </cell>
          <cell r="AG4343" t="str">
            <v>DRN132M4</v>
          </cell>
          <cell r="AH4343" t="str">
            <v>KH87T-DRN132M4B270-X</v>
          </cell>
        </row>
        <row r="4344">
          <cell r="A4344" t="str">
            <v>MR004333</v>
          </cell>
          <cell r="B4344" t="str">
            <v>MR</v>
          </cell>
          <cell r="C4344">
            <v>7.5</v>
          </cell>
          <cell r="D4344">
            <v>75</v>
          </cell>
          <cell r="E4344" t="str">
            <v>KH87</v>
          </cell>
          <cell r="F4344">
            <v>940</v>
          </cell>
          <cell r="G4344">
            <v>19.45</v>
          </cell>
          <cell r="H4344">
            <v>2.4</v>
          </cell>
          <cell r="I4344" t="str">
            <v>From M4A to M1A</v>
          </cell>
          <cell r="J4344" t="str">
            <v>IE3</v>
          </cell>
          <cell r="K4344">
            <v>415</v>
          </cell>
          <cell r="L4344">
            <v>50</v>
          </cell>
          <cell r="M4344">
            <v>14.7</v>
          </cell>
          <cell r="N4344">
            <v>65</v>
          </cell>
          <cell r="O4344" t="str">
            <v>155(F)</v>
          </cell>
          <cell r="P4344" t="str">
            <v>270°</v>
          </cell>
          <cell r="Q4344" t="str">
            <v>-</v>
          </cell>
          <cell r="R4344" t="str">
            <v>-</v>
          </cell>
          <cell r="S4344" t="str">
            <v>-</v>
          </cell>
          <cell r="T4344" t="str">
            <v>-</v>
          </cell>
          <cell r="U4344" t="str">
            <v>T</v>
          </cell>
          <cell r="V4344" t="str">
            <v>SS</v>
          </cell>
          <cell r="W4344" t="str">
            <v>-</v>
          </cell>
          <cell r="X4344" t="str">
            <v>CLP HC 220 (-25/+60°C)</v>
          </cell>
          <cell r="Y4344" t="str">
            <v>KH87/T DRN132M4</v>
          </cell>
          <cell r="Z4344" t="str">
            <v>SEW</v>
          </cell>
          <cell r="AB4344" t="str">
            <v>-</v>
          </cell>
          <cell r="AD4344" t="str">
            <v>BIS</v>
          </cell>
          <cell r="AF4344">
            <v>75</v>
          </cell>
          <cell r="AG4344" t="str">
            <v>DRN132M4</v>
          </cell>
          <cell r="AH4344" t="str">
            <v>KH87T-DRN132M4A270-X</v>
          </cell>
        </row>
        <row r="4345">
          <cell r="A4345" t="str">
            <v>MR004334</v>
          </cell>
          <cell r="B4345" t="str">
            <v>MR</v>
          </cell>
          <cell r="C4345">
            <v>0.75</v>
          </cell>
          <cell r="D4345">
            <v>162</v>
          </cell>
          <cell r="E4345" t="str">
            <v>KA37</v>
          </cell>
          <cell r="F4345">
            <v>44</v>
          </cell>
          <cell r="G4345">
            <v>8.91</v>
          </cell>
          <cell r="H4345">
            <v>3.6</v>
          </cell>
          <cell r="I4345" t="str">
            <v>From M3A to M2A - 30°</v>
          </cell>
          <cell r="J4345" t="str">
            <v>IE3</v>
          </cell>
          <cell r="K4345" t="str">
            <v>240/415</v>
          </cell>
          <cell r="L4345">
            <v>50</v>
          </cell>
          <cell r="M4345" t="str">
            <v>2,9/1,69</v>
          </cell>
          <cell r="N4345">
            <v>65</v>
          </cell>
          <cell r="O4345" t="str">
            <v>155(F)</v>
          </cell>
          <cell r="P4345" t="str">
            <v>180°</v>
          </cell>
          <cell r="Q4345" t="str">
            <v>-</v>
          </cell>
          <cell r="R4345" t="str">
            <v>-</v>
          </cell>
          <cell r="S4345" t="str">
            <v>-</v>
          </cell>
          <cell r="T4345" t="str">
            <v>-</v>
          </cell>
          <cell r="U4345" t="str">
            <v>T</v>
          </cell>
          <cell r="V4345" t="str">
            <v>D</v>
          </cell>
          <cell r="W4345" t="str">
            <v>-</v>
          </cell>
          <cell r="X4345" t="str">
            <v>CLP HC 220 (-25/+60°C)</v>
          </cell>
          <cell r="Y4345" t="str">
            <v>KA37/T DRN80M4</v>
          </cell>
          <cell r="Z4345" t="str">
            <v>SEW</v>
          </cell>
          <cell r="AB4345" t="str">
            <v>-</v>
          </cell>
          <cell r="AD4345" t="str">
            <v>BIS</v>
          </cell>
          <cell r="AF4345">
            <v>162</v>
          </cell>
          <cell r="AG4345" t="str">
            <v>DRN80M4</v>
          </cell>
          <cell r="AH4345" t="str">
            <v>KA37T-DRN80M4A180-X</v>
          </cell>
        </row>
        <row r="4346">
          <cell r="A4346" t="str">
            <v>MR004335</v>
          </cell>
          <cell r="B4346" t="str">
            <v>MR</v>
          </cell>
          <cell r="C4346">
            <v>11</v>
          </cell>
          <cell r="D4346">
            <v>59</v>
          </cell>
          <cell r="E4346" t="str">
            <v>R97</v>
          </cell>
          <cell r="F4346">
            <v>1780</v>
          </cell>
          <cell r="G4346">
            <v>25.03</v>
          </cell>
          <cell r="H4346">
            <v>1.6</v>
          </cell>
          <cell r="I4346" t="str">
            <v>From M1 to M2 - 15°</v>
          </cell>
          <cell r="J4346" t="str">
            <v>IE3</v>
          </cell>
          <cell r="K4346">
            <v>415</v>
          </cell>
          <cell r="L4346">
            <v>50</v>
          </cell>
          <cell r="M4346">
            <v>20</v>
          </cell>
          <cell r="N4346">
            <v>65</v>
          </cell>
          <cell r="O4346" t="str">
            <v>155(F)</v>
          </cell>
          <cell r="P4346" t="str">
            <v>270°</v>
          </cell>
          <cell r="Q4346" t="str">
            <v>-</v>
          </cell>
          <cell r="R4346" t="str">
            <v>-</v>
          </cell>
          <cell r="S4346" t="str">
            <v>-</v>
          </cell>
          <cell r="T4346" t="str">
            <v>-</v>
          </cell>
          <cell r="U4346" t="str">
            <v>-</v>
          </cell>
          <cell r="V4346" t="str">
            <v>D</v>
          </cell>
          <cell r="W4346" t="str">
            <v>-</v>
          </cell>
          <cell r="X4346" t="str">
            <v>CLP HC 220 (-25/+60°C)</v>
          </cell>
          <cell r="Y4346" t="str">
            <v>R97DRN160M4</v>
          </cell>
          <cell r="Z4346" t="str">
            <v>SEW</v>
          </cell>
          <cell r="AB4346" t="str">
            <v>-</v>
          </cell>
          <cell r="AD4346" t="str">
            <v>BIS</v>
          </cell>
          <cell r="AF4346">
            <v>84</v>
          </cell>
          <cell r="AG4346" t="str">
            <v>DRN160M4</v>
          </cell>
          <cell r="AH4346" t="str">
            <v>R97-DRN160M4270-X</v>
          </cell>
        </row>
        <row r="4347">
          <cell r="A4347" t="str">
            <v>MR004336</v>
          </cell>
          <cell r="B4347" t="str">
            <v>MR</v>
          </cell>
          <cell r="C4347">
            <v>9.1999999999999993</v>
          </cell>
          <cell r="D4347">
            <v>84</v>
          </cell>
          <cell r="E4347" t="str">
            <v>FH77</v>
          </cell>
          <cell r="F4347">
            <v>1040</v>
          </cell>
          <cell r="G4347">
            <v>17.489999999999998</v>
          </cell>
          <cell r="H4347">
            <v>1.45</v>
          </cell>
          <cell r="I4347" t="str">
            <v>From M5 to M1 - 15°</v>
          </cell>
          <cell r="J4347" t="str">
            <v>IE3</v>
          </cell>
          <cell r="K4347">
            <v>415</v>
          </cell>
          <cell r="L4347">
            <v>50</v>
          </cell>
          <cell r="M4347">
            <v>18</v>
          </cell>
          <cell r="N4347">
            <v>65</v>
          </cell>
          <cell r="O4347" t="str">
            <v>155(F)</v>
          </cell>
          <cell r="P4347" t="str">
            <v>180°</v>
          </cell>
          <cell r="Q4347" t="str">
            <v>-</v>
          </cell>
          <cell r="R4347" t="str">
            <v>-</v>
          </cell>
          <cell r="S4347" t="str">
            <v>Free rotation CW</v>
          </cell>
          <cell r="T4347" t="str">
            <v>-</v>
          </cell>
          <cell r="U4347" t="str">
            <v>G</v>
          </cell>
          <cell r="V4347" t="str">
            <v>D</v>
          </cell>
          <cell r="W4347" t="str">
            <v>-</v>
          </cell>
          <cell r="X4347" t="str">
            <v>CLP HC 220 (-25/+60°C)</v>
          </cell>
          <cell r="Y4347" t="str">
            <v>FH77/G DRN132L4 /RS</v>
          </cell>
          <cell r="Z4347" t="str">
            <v>SEW</v>
          </cell>
          <cell r="AB4347" t="str">
            <v>-</v>
          </cell>
          <cell r="AD4347" t="str">
            <v>BIS</v>
          </cell>
          <cell r="AF4347" t="e">
            <v>#REF!</v>
          </cell>
          <cell r="AG4347" t="str">
            <v>DRN132L4</v>
          </cell>
          <cell r="AH4347" t="str">
            <v>FH77G-DRN132L4180-X</v>
          </cell>
        </row>
        <row r="4348">
          <cell r="A4348" t="str">
            <v>MR004337</v>
          </cell>
          <cell r="B4348" t="str">
            <v>MR</v>
          </cell>
          <cell r="C4348">
            <v>9.1999999999999993</v>
          </cell>
          <cell r="D4348">
            <v>84</v>
          </cell>
          <cell r="E4348" t="str">
            <v>FH77</v>
          </cell>
          <cell r="F4348">
            <v>1040</v>
          </cell>
          <cell r="G4348">
            <v>17.489999999999998</v>
          </cell>
          <cell r="H4348">
            <v>1.45</v>
          </cell>
          <cell r="I4348" t="str">
            <v>From M6 to M1 - 15°</v>
          </cell>
          <cell r="J4348" t="str">
            <v>IE3</v>
          </cell>
          <cell r="K4348">
            <v>415</v>
          </cell>
          <cell r="L4348">
            <v>50</v>
          </cell>
          <cell r="M4348">
            <v>18</v>
          </cell>
          <cell r="N4348">
            <v>65</v>
          </cell>
          <cell r="O4348" t="str">
            <v>155(F)</v>
          </cell>
          <cell r="P4348" t="str">
            <v>0°</v>
          </cell>
          <cell r="Q4348" t="str">
            <v>-</v>
          </cell>
          <cell r="R4348" t="str">
            <v>-</v>
          </cell>
          <cell r="S4348" t="str">
            <v>Free rotation CCW</v>
          </cell>
          <cell r="T4348" t="str">
            <v>-</v>
          </cell>
          <cell r="U4348" t="str">
            <v>G</v>
          </cell>
          <cell r="V4348" t="str">
            <v>D</v>
          </cell>
          <cell r="W4348" t="str">
            <v>-</v>
          </cell>
          <cell r="X4348" t="str">
            <v>CLP HC 220 (-25/+60°C)</v>
          </cell>
          <cell r="Y4348" t="str">
            <v>FH77/G DRN132L4 /RS</v>
          </cell>
          <cell r="Z4348" t="str">
            <v>SEW</v>
          </cell>
          <cell r="AB4348" t="str">
            <v>-</v>
          </cell>
          <cell r="AD4348" t="str">
            <v>BIS</v>
          </cell>
          <cell r="AF4348" t="e">
            <v>#REF!</v>
          </cell>
          <cell r="AG4348" t="str">
            <v>DRN132L4</v>
          </cell>
          <cell r="AH4348" t="str">
            <v>FH77G-DRN132L40-X</v>
          </cell>
        </row>
        <row r="4349">
          <cell r="A4349" t="str">
            <v>MR004338</v>
          </cell>
          <cell r="B4349" t="str">
            <v>MR</v>
          </cell>
          <cell r="C4349">
            <v>22</v>
          </cell>
          <cell r="D4349">
            <v>56</v>
          </cell>
          <cell r="E4349" t="str">
            <v>KH107</v>
          </cell>
          <cell r="F4349">
            <v>3740</v>
          </cell>
          <cell r="G4349">
            <v>26.32</v>
          </cell>
          <cell r="H4349">
            <v>1.9</v>
          </cell>
          <cell r="I4349" t="str">
            <v>From M4B to M1B - 25°</v>
          </cell>
          <cell r="J4349" t="str">
            <v>IE3</v>
          </cell>
          <cell r="K4349">
            <v>415</v>
          </cell>
          <cell r="L4349">
            <v>50</v>
          </cell>
          <cell r="M4349">
            <v>37</v>
          </cell>
          <cell r="N4349">
            <v>65</v>
          </cell>
          <cell r="O4349" t="str">
            <v>155(F)</v>
          </cell>
          <cell r="P4349" t="str">
            <v>270°</v>
          </cell>
          <cell r="Q4349" t="str">
            <v>TF</v>
          </cell>
          <cell r="R4349" t="str">
            <v>V(VE)</v>
          </cell>
          <cell r="S4349" t="str">
            <v>Free rotation CW</v>
          </cell>
          <cell r="T4349" t="str">
            <v>-</v>
          </cell>
          <cell r="U4349" t="str">
            <v>T</v>
          </cell>
          <cell r="V4349" t="str">
            <v>FC</v>
          </cell>
          <cell r="W4349" t="str">
            <v>-</v>
          </cell>
          <cell r="X4349" t="str">
            <v>CLP HC 220 (-25/+60°C)</v>
          </cell>
          <cell r="Y4349" t="str">
            <v>KH107/T DRN180L4 /RS /TF/V</v>
          </cell>
          <cell r="Z4349" t="str">
            <v>SEW</v>
          </cell>
          <cell r="AB4349" t="str">
            <v>-</v>
          </cell>
          <cell r="AD4349" t="str">
            <v>BIS</v>
          </cell>
          <cell r="AF4349">
            <v>56</v>
          </cell>
          <cell r="AG4349" t="str">
            <v>DRN180L4</v>
          </cell>
          <cell r="AH4349" t="str">
            <v>KH107T-DRN180L4B270-X#</v>
          </cell>
        </row>
        <row r="4350">
          <cell r="A4350" t="str">
            <v>MR004339</v>
          </cell>
          <cell r="B4350" t="str">
            <v>MR</v>
          </cell>
          <cell r="C4350">
            <v>0.75</v>
          </cell>
          <cell r="D4350">
            <v>162</v>
          </cell>
          <cell r="E4350" t="str">
            <v>KA37</v>
          </cell>
          <cell r="F4350">
            <v>44</v>
          </cell>
          <cell r="G4350">
            <v>8.91</v>
          </cell>
          <cell r="H4350">
            <v>3.6</v>
          </cell>
          <cell r="I4350" t="str">
            <v>From M3A to M2A - 25°</v>
          </cell>
          <cell r="J4350" t="str">
            <v>IE3</v>
          </cell>
          <cell r="K4350" t="str">
            <v>240/415</v>
          </cell>
          <cell r="L4350">
            <v>50</v>
          </cell>
          <cell r="M4350" t="str">
            <v>2,9/1,69</v>
          </cell>
          <cell r="N4350">
            <v>65</v>
          </cell>
          <cell r="O4350" t="str">
            <v>155(F)</v>
          </cell>
          <cell r="P4350" t="str">
            <v>180°</v>
          </cell>
          <cell r="Q4350" t="str">
            <v>-</v>
          </cell>
          <cell r="R4350" t="str">
            <v>-</v>
          </cell>
          <cell r="S4350" t="str">
            <v>-</v>
          </cell>
          <cell r="T4350" t="str">
            <v>-</v>
          </cell>
          <cell r="U4350" t="str">
            <v>T</v>
          </cell>
          <cell r="V4350" t="str">
            <v>D</v>
          </cell>
          <cell r="W4350" t="str">
            <v>-</v>
          </cell>
          <cell r="X4350" t="str">
            <v>CLP HC 220 (-25/+60°C)</v>
          </cell>
          <cell r="Y4350" t="str">
            <v>KA37/T DRN80M4</v>
          </cell>
          <cell r="Z4350" t="str">
            <v>SEW</v>
          </cell>
          <cell r="AB4350" t="str">
            <v>-</v>
          </cell>
          <cell r="AD4350" t="str">
            <v>BIS</v>
          </cell>
          <cell r="AF4350">
            <v>162</v>
          </cell>
          <cell r="AG4350" t="str">
            <v>DRN80M4</v>
          </cell>
          <cell r="AH4350" t="str">
            <v>KA37T-DRN80M4A180-X</v>
          </cell>
        </row>
        <row r="4351">
          <cell r="A4351" t="str">
            <v>MR004340</v>
          </cell>
          <cell r="B4351" t="str">
            <v>MR</v>
          </cell>
          <cell r="C4351">
            <v>22</v>
          </cell>
          <cell r="D4351">
            <v>12</v>
          </cell>
          <cell r="E4351" t="str">
            <v>KH157</v>
          </cell>
          <cell r="F4351">
            <v>17400</v>
          </cell>
          <cell r="G4351">
            <v>122.39</v>
          </cell>
          <cell r="H4351">
            <v>1.1499999999999999</v>
          </cell>
          <cell r="I4351" t="str">
            <v>From M4A to M1A - 5°</v>
          </cell>
          <cell r="J4351" t="str">
            <v>IE3</v>
          </cell>
          <cell r="K4351" t="str">
            <v>400/690</v>
          </cell>
          <cell r="L4351">
            <v>50</v>
          </cell>
          <cell r="M4351" t="str">
            <v>40,5/23,5</v>
          </cell>
          <cell r="N4351">
            <v>55</v>
          </cell>
          <cell r="O4351" t="str">
            <v>155(F)</v>
          </cell>
          <cell r="P4351" t="str">
            <v>270°</v>
          </cell>
          <cell r="Q4351" t="str">
            <v>-</v>
          </cell>
          <cell r="R4351" t="str">
            <v>-</v>
          </cell>
          <cell r="S4351" t="str">
            <v>-</v>
          </cell>
          <cell r="T4351" t="str">
            <v>-</v>
          </cell>
          <cell r="U4351" t="str">
            <v>-</v>
          </cell>
          <cell r="V4351" t="str">
            <v>SS</v>
          </cell>
          <cell r="W4351" t="str">
            <v>-</v>
          </cell>
          <cell r="X4351" t="str">
            <v>CLP HC 150 (-30/+50°C)</v>
          </cell>
          <cell r="Y4351" t="str">
            <v>KH157EDRN180L4</v>
          </cell>
          <cell r="Z4351" t="str">
            <v>SEW</v>
          </cell>
          <cell r="AB4351" t="str">
            <v>ATEX22</v>
          </cell>
          <cell r="AF4351">
            <v>12</v>
          </cell>
          <cell r="AG4351" t="str">
            <v>EDRN180L4</v>
          </cell>
          <cell r="AH4351" t="str">
            <v>KH157-EDRN180L4A270-X</v>
          </cell>
        </row>
        <row r="4352">
          <cell r="A4352" t="str">
            <v>MR004341</v>
          </cell>
          <cell r="B4352" t="str">
            <v>MR</v>
          </cell>
          <cell r="C4352">
            <v>22</v>
          </cell>
          <cell r="D4352">
            <v>12</v>
          </cell>
          <cell r="E4352" t="str">
            <v>KH157</v>
          </cell>
          <cell r="F4352">
            <v>17400</v>
          </cell>
          <cell r="G4352">
            <v>122.39</v>
          </cell>
          <cell r="H4352">
            <v>1.1499999999999999</v>
          </cell>
          <cell r="I4352" t="str">
            <v>From M4B to M1B - 5°</v>
          </cell>
          <cell r="J4352" t="str">
            <v>IE3</v>
          </cell>
          <cell r="K4352" t="str">
            <v>400/690</v>
          </cell>
          <cell r="L4352">
            <v>50</v>
          </cell>
          <cell r="M4352" t="str">
            <v>40,5/23,5</v>
          </cell>
          <cell r="N4352">
            <v>55</v>
          </cell>
          <cell r="O4352" t="str">
            <v>155(F)</v>
          </cell>
          <cell r="P4352" t="str">
            <v>270°</v>
          </cell>
          <cell r="Q4352" t="str">
            <v>-</v>
          </cell>
          <cell r="R4352" t="str">
            <v>-</v>
          </cell>
          <cell r="S4352" t="str">
            <v>-</v>
          </cell>
          <cell r="T4352" t="str">
            <v>-</v>
          </cell>
          <cell r="U4352" t="str">
            <v>-</v>
          </cell>
          <cell r="V4352" t="str">
            <v>SS</v>
          </cell>
          <cell r="W4352" t="str">
            <v>-</v>
          </cell>
          <cell r="X4352" t="str">
            <v>CLP HC 150 (-30/+50°C)</v>
          </cell>
          <cell r="Y4352" t="str">
            <v>KH157EDRN180L4</v>
          </cell>
          <cell r="Z4352" t="str">
            <v>SEW</v>
          </cell>
          <cell r="AB4352" t="str">
            <v>ATEX22</v>
          </cell>
          <cell r="AF4352">
            <v>12</v>
          </cell>
          <cell r="AG4352" t="str">
            <v>EDRN180L4</v>
          </cell>
          <cell r="AH4352" t="str">
            <v>KH157-EDRN180L4B270-X</v>
          </cell>
        </row>
        <row r="4353">
          <cell r="A4353" t="str">
            <v>MR004342</v>
          </cell>
          <cell r="B4353" t="str">
            <v>MR</v>
          </cell>
          <cell r="C4353">
            <v>15</v>
          </cell>
          <cell r="D4353">
            <v>12</v>
          </cell>
          <cell r="E4353" t="str">
            <v>KH127</v>
          </cell>
          <cell r="F4353">
            <v>11900</v>
          </cell>
          <cell r="G4353">
            <v>122.48</v>
          </cell>
          <cell r="H4353">
            <v>1.1000000000000001</v>
          </cell>
          <cell r="I4353" t="str">
            <v>From M4A to M1A - 10°</v>
          </cell>
          <cell r="J4353" t="str">
            <v>IE3</v>
          </cell>
          <cell r="K4353" t="str">
            <v>400/690</v>
          </cell>
          <cell r="L4353">
            <v>50</v>
          </cell>
          <cell r="M4353" t="str">
            <v>29,5/16,9</v>
          </cell>
          <cell r="N4353">
            <v>55</v>
          </cell>
          <cell r="O4353" t="str">
            <v>155(F)</v>
          </cell>
          <cell r="P4353" t="str">
            <v>270°</v>
          </cell>
          <cell r="Q4353" t="str">
            <v>-</v>
          </cell>
          <cell r="R4353" t="str">
            <v>-</v>
          </cell>
          <cell r="S4353" t="str">
            <v>-</v>
          </cell>
          <cell r="T4353" t="str">
            <v>-</v>
          </cell>
          <cell r="U4353" t="str">
            <v>-</v>
          </cell>
          <cell r="V4353" t="str">
            <v>SS</v>
          </cell>
          <cell r="W4353" t="str">
            <v>-</v>
          </cell>
          <cell r="X4353" t="str">
            <v>CLP HC 150 (-30/+50°C)</v>
          </cell>
          <cell r="Y4353" t="str">
            <v>KH127EDRN160L4</v>
          </cell>
          <cell r="Z4353" t="str">
            <v>SEW</v>
          </cell>
          <cell r="AB4353" t="str">
            <v>ATEX22</v>
          </cell>
          <cell r="AF4353">
            <v>12</v>
          </cell>
          <cell r="AG4353" t="str">
            <v>EDRN160L4</v>
          </cell>
          <cell r="AH4353" t="str">
            <v>KH127-EDRN160L4A270-X</v>
          </cell>
        </row>
        <row r="4354">
          <cell r="A4354" t="str">
            <v>MR004343</v>
          </cell>
          <cell r="B4354" t="str">
            <v>MR</v>
          </cell>
          <cell r="C4354">
            <v>5.5</v>
          </cell>
          <cell r="D4354">
            <v>14</v>
          </cell>
          <cell r="E4354" t="str">
            <v>KH97</v>
          </cell>
          <cell r="F4354">
            <v>3780</v>
          </cell>
          <cell r="G4354">
            <v>105.13</v>
          </cell>
          <cell r="H4354">
            <v>1</v>
          </cell>
          <cell r="I4354" t="str">
            <v>From M1A to M2A - 5°</v>
          </cell>
          <cell r="J4354" t="str">
            <v>IE3</v>
          </cell>
          <cell r="K4354" t="str">
            <v>230/400</v>
          </cell>
          <cell r="L4354">
            <v>50</v>
          </cell>
          <cell r="M4354" t="str">
            <v>18,2/10,5</v>
          </cell>
          <cell r="N4354">
            <v>55</v>
          </cell>
          <cell r="O4354" t="str">
            <v>155(F)</v>
          </cell>
          <cell r="P4354" t="str">
            <v>270°</v>
          </cell>
          <cell r="Q4354" t="str">
            <v>TF</v>
          </cell>
          <cell r="R4354" t="str">
            <v>V(VE)</v>
          </cell>
          <cell r="S4354" t="str">
            <v>-</v>
          </cell>
          <cell r="T4354" t="str">
            <v>-</v>
          </cell>
          <cell r="U4354" t="str">
            <v>-</v>
          </cell>
          <cell r="V4354" t="str">
            <v>FC</v>
          </cell>
          <cell r="W4354" t="str">
            <v>-</v>
          </cell>
          <cell r="X4354" t="str">
            <v>CLP HC 150 (-30/+50°C)</v>
          </cell>
          <cell r="Y4354" t="str">
            <v>KH97EDRN132S4 /TF/VE</v>
          </cell>
          <cell r="Z4354" t="str">
            <v>SEW</v>
          </cell>
          <cell r="AB4354" t="str">
            <v>ATEX22</v>
          </cell>
          <cell r="AF4354">
            <v>14</v>
          </cell>
          <cell r="AG4354" t="str">
            <v>EDRN132S4</v>
          </cell>
          <cell r="AH4354" t="str">
            <v>KH97-EDRN132S4A270-X#</v>
          </cell>
        </row>
        <row r="4355">
          <cell r="A4355" t="str">
            <v>MR004344</v>
          </cell>
          <cell r="B4355" t="str">
            <v>MR</v>
          </cell>
          <cell r="C4355">
            <v>5.5</v>
          </cell>
          <cell r="D4355">
            <v>14</v>
          </cell>
          <cell r="E4355" t="str">
            <v>KH97</v>
          </cell>
          <cell r="F4355">
            <v>3780</v>
          </cell>
          <cell r="G4355">
            <v>105.13</v>
          </cell>
          <cell r="H4355">
            <v>1</v>
          </cell>
          <cell r="I4355" t="str">
            <v>From M1B to M2B - 5°</v>
          </cell>
          <cell r="J4355" t="str">
            <v>IE3</v>
          </cell>
          <cell r="K4355" t="str">
            <v>230/400</v>
          </cell>
          <cell r="L4355">
            <v>50</v>
          </cell>
          <cell r="M4355" t="str">
            <v>18,2/10,5</v>
          </cell>
          <cell r="N4355">
            <v>55</v>
          </cell>
          <cell r="O4355" t="str">
            <v>155(F)</v>
          </cell>
          <cell r="P4355" t="str">
            <v>270°</v>
          </cell>
          <cell r="Q4355" t="str">
            <v>TF</v>
          </cell>
          <cell r="R4355" t="str">
            <v>V(VE)</v>
          </cell>
          <cell r="S4355" t="str">
            <v>-</v>
          </cell>
          <cell r="T4355" t="str">
            <v>-</v>
          </cell>
          <cell r="U4355" t="str">
            <v>-</v>
          </cell>
          <cell r="V4355" t="str">
            <v>FC</v>
          </cell>
          <cell r="W4355" t="str">
            <v>-</v>
          </cell>
          <cell r="X4355" t="str">
            <v>CLP HC 150 (-30/+50°C)</v>
          </cell>
          <cell r="Y4355" t="str">
            <v>KH97EDRN132S4 /TF/VE</v>
          </cell>
          <cell r="Z4355" t="str">
            <v>SEW</v>
          </cell>
          <cell r="AB4355" t="str">
            <v>ATEX22</v>
          </cell>
          <cell r="AF4355">
            <v>14</v>
          </cell>
          <cell r="AG4355" t="str">
            <v>EDRN132S4</v>
          </cell>
          <cell r="AH4355" t="str">
            <v>KH97-EDRN132S4B270-X#</v>
          </cell>
        </row>
        <row r="4356">
          <cell r="A4356" t="str">
            <v>MR004345</v>
          </cell>
          <cell r="B4356" t="str">
            <v>MR</v>
          </cell>
          <cell r="C4356">
            <v>18.5</v>
          </cell>
          <cell r="D4356">
            <v>21</v>
          </cell>
          <cell r="E4356" t="str">
            <v>KH127</v>
          </cell>
          <cell r="F4356">
            <v>8480</v>
          </cell>
          <cell r="G4356">
            <v>70.95</v>
          </cell>
          <cell r="H4356">
            <v>1.55</v>
          </cell>
          <cell r="I4356" t="str">
            <v>From M4B to M1B - 45°</v>
          </cell>
          <cell r="J4356" t="str">
            <v>IE3</v>
          </cell>
          <cell r="K4356" t="str">
            <v>400/690</v>
          </cell>
          <cell r="L4356">
            <v>50</v>
          </cell>
          <cell r="M4356" t="str">
            <v>35/20</v>
          </cell>
          <cell r="N4356">
            <v>55</v>
          </cell>
          <cell r="O4356" t="str">
            <v>155(F)</v>
          </cell>
          <cell r="P4356" t="str">
            <v>270°</v>
          </cell>
          <cell r="Q4356" t="str">
            <v>TF</v>
          </cell>
          <cell r="R4356" t="str">
            <v>V(VE)</v>
          </cell>
          <cell r="S4356" t="str">
            <v>-</v>
          </cell>
          <cell r="T4356" t="str">
            <v>-</v>
          </cell>
          <cell r="U4356" t="str">
            <v>-</v>
          </cell>
          <cell r="V4356" t="str">
            <v>FC</v>
          </cell>
          <cell r="W4356" t="str">
            <v>-</v>
          </cell>
          <cell r="X4356" t="str">
            <v>CLP HC 150 (-30/+50°C)</v>
          </cell>
          <cell r="Y4356" t="str">
            <v>KH127EDRN180M4 /TF/VE</v>
          </cell>
          <cell r="Z4356" t="str">
            <v>SEW</v>
          </cell>
          <cell r="AB4356" t="str">
            <v>ATEX22</v>
          </cell>
          <cell r="AF4356">
            <v>21</v>
          </cell>
          <cell r="AG4356" t="str">
            <v>EDRN180M4</v>
          </cell>
          <cell r="AH4356" t="str">
            <v>KH127-EDRN180M4B270-X#</v>
          </cell>
        </row>
        <row r="4357">
          <cell r="A4357" t="str">
            <v>MR004346</v>
          </cell>
          <cell r="B4357" t="str">
            <v>MR</v>
          </cell>
          <cell r="C4357">
            <v>9.1999999999999993</v>
          </cell>
          <cell r="D4357">
            <v>64</v>
          </cell>
          <cell r="E4357" t="str">
            <v>KH77</v>
          </cell>
          <cell r="F4357">
            <v>1380</v>
          </cell>
          <cell r="G4357">
            <v>23.08</v>
          </cell>
          <cell r="H4357">
            <v>1.1000000000000001</v>
          </cell>
          <cell r="I4357" t="str">
            <v>From M3A to M4A - 20°</v>
          </cell>
          <cell r="J4357" t="str">
            <v>IE3</v>
          </cell>
          <cell r="K4357" t="str">
            <v>400/690</v>
          </cell>
          <cell r="L4357">
            <v>50</v>
          </cell>
          <cell r="M4357" t="str">
            <v>19,2/11,1</v>
          </cell>
          <cell r="N4357">
            <v>55</v>
          </cell>
          <cell r="O4357" t="str">
            <v>155(F)</v>
          </cell>
          <cell r="P4357" t="str">
            <v>180°</v>
          </cell>
          <cell r="Q4357" t="str">
            <v>TF</v>
          </cell>
          <cell r="R4357" t="str">
            <v>V(VE)</v>
          </cell>
          <cell r="S4357" t="str">
            <v>Free rotation CCW</v>
          </cell>
          <cell r="T4357" t="str">
            <v>-</v>
          </cell>
          <cell r="U4357" t="str">
            <v>T</v>
          </cell>
          <cell r="V4357" t="str">
            <v>FC</v>
          </cell>
          <cell r="W4357" t="str">
            <v>-</v>
          </cell>
          <cell r="X4357" t="str">
            <v>CLP HC 150 (-30/+50°C)</v>
          </cell>
          <cell r="Y4357" t="str">
            <v>KH77/T EDRN132L4 /RS /TF/VE</v>
          </cell>
          <cell r="Z4357" t="str">
            <v>SEW</v>
          </cell>
          <cell r="AB4357" t="str">
            <v>ATEX22</v>
          </cell>
          <cell r="AF4357">
            <v>64</v>
          </cell>
          <cell r="AG4357" t="str">
            <v>EDRN132L4</v>
          </cell>
          <cell r="AH4357" t="str">
            <v>KH77T-EDRN132L4A180-X#</v>
          </cell>
        </row>
        <row r="4358">
          <cell r="A4358" t="str">
            <v>MR004347</v>
          </cell>
          <cell r="B4358" t="str">
            <v>MR</v>
          </cell>
          <cell r="C4358">
            <v>0.75</v>
          </cell>
          <cell r="D4358">
            <v>162</v>
          </cell>
          <cell r="E4358" t="str">
            <v>KA37</v>
          </cell>
          <cell r="F4358">
            <v>44</v>
          </cell>
          <cell r="G4358">
            <v>8.91</v>
          </cell>
          <cell r="H4358">
            <v>3.1</v>
          </cell>
          <cell r="I4358" t="str">
            <v>From M3A to M4A - 20°</v>
          </cell>
          <cell r="J4358" t="str">
            <v>IE3</v>
          </cell>
          <cell r="K4358" t="str">
            <v>230/400</v>
          </cell>
          <cell r="L4358">
            <v>50</v>
          </cell>
          <cell r="M4358" t="str">
            <v>3,1/1,79</v>
          </cell>
          <cell r="N4358">
            <v>55</v>
          </cell>
          <cell r="O4358" t="str">
            <v>155(F)</v>
          </cell>
          <cell r="P4358" t="str">
            <v>180°</v>
          </cell>
          <cell r="Q4358" t="str">
            <v>-</v>
          </cell>
          <cell r="R4358" t="str">
            <v>-</v>
          </cell>
          <cell r="S4358" t="str">
            <v>-</v>
          </cell>
          <cell r="T4358" t="str">
            <v>-</v>
          </cell>
          <cell r="U4358" t="str">
            <v>T</v>
          </cell>
          <cell r="V4358" t="str">
            <v>D</v>
          </cell>
          <cell r="W4358" t="str">
            <v>-</v>
          </cell>
          <cell r="X4358" t="str">
            <v>CLP HC 150 (-30/+50°C)</v>
          </cell>
          <cell r="Y4358" t="str">
            <v>KA37/T EDRN80M4</v>
          </cell>
          <cell r="Z4358" t="str">
            <v>SEW</v>
          </cell>
          <cell r="AB4358" t="str">
            <v>ATEX22</v>
          </cell>
          <cell r="AF4358">
            <v>162</v>
          </cell>
          <cell r="AG4358" t="str">
            <v>EDRN80M4</v>
          </cell>
          <cell r="AH4358" t="str">
            <v>KA37T-EDRN80M4A180-X</v>
          </cell>
        </row>
        <row r="4359">
          <cell r="A4359" t="str">
            <v>MR004348</v>
          </cell>
          <cell r="B4359" t="str">
            <v>MR</v>
          </cell>
          <cell r="C4359">
            <v>0.25</v>
          </cell>
          <cell r="D4359">
            <v>32</v>
          </cell>
          <cell r="E4359" t="str">
            <v>FA37</v>
          </cell>
          <cell r="F4359">
            <v>75</v>
          </cell>
          <cell r="G4359">
            <v>44.46</v>
          </cell>
          <cell r="H4359">
            <v>2.7</v>
          </cell>
          <cell r="I4359" t="str">
            <v>M1</v>
          </cell>
          <cell r="J4359" t="str">
            <v>IE3</v>
          </cell>
          <cell r="K4359" t="str">
            <v>230/400</v>
          </cell>
          <cell r="L4359">
            <v>50</v>
          </cell>
          <cell r="M4359" t="str">
            <v>1,51/0,87</v>
          </cell>
          <cell r="N4359">
            <v>55</v>
          </cell>
          <cell r="O4359" t="str">
            <v>155(F)</v>
          </cell>
          <cell r="P4359" t="str">
            <v>270°</v>
          </cell>
          <cell r="Q4359" t="str">
            <v>-</v>
          </cell>
          <cell r="R4359" t="str">
            <v>-</v>
          </cell>
          <cell r="S4359" t="str">
            <v>-</v>
          </cell>
          <cell r="T4359" t="str">
            <v>-</v>
          </cell>
          <cell r="U4359" t="str">
            <v>G</v>
          </cell>
          <cell r="V4359" t="str">
            <v>D</v>
          </cell>
          <cell r="W4359" t="str">
            <v>-</v>
          </cell>
          <cell r="X4359" t="str">
            <v>CLP HC 150 (-30/+50°C)</v>
          </cell>
          <cell r="Y4359" t="str">
            <v>FA37/G EDRS71S4</v>
          </cell>
          <cell r="Z4359" t="str">
            <v>SEW</v>
          </cell>
          <cell r="AB4359" t="str">
            <v>ATEX22</v>
          </cell>
          <cell r="AF4359">
            <v>32</v>
          </cell>
          <cell r="AG4359" t="str">
            <v>EDRS71S4</v>
          </cell>
          <cell r="AH4359" t="str">
            <v>FA37G-EDRS71S4270-X</v>
          </cell>
        </row>
        <row r="4360">
          <cell r="A4360" t="str">
            <v>MR004349</v>
          </cell>
          <cell r="B4360" t="str">
            <v>MR</v>
          </cell>
          <cell r="C4360">
            <v>22</v>
          </cell>
          <cell r="D4360">
            <v>16</v>
          </cell>
          <cell r="E4360" t="str">
            <v>KH157</v>
          </cell>
          <cell r="F4360">
            <v>13000</v>
          </cell>
          <cell r="G4360">
            <v>91.65</v>
          </cell>
          <cell r="H4360">
            <v>1.4</v>
          </cell>
          <cell r="I4360" t="str">
            <v>From M4B to M1B - 15°</v>
          </cell>
          <cell r="J4360" t="str">
            <v>IE3</v>
          </cell>
          <cell r="K4360" t="str">
            <v>400/690</v>
          </cell>
          <cell r="L4360">
            <v>50</v>
          </cell>
          <cell r="M4360" t="str">
            <v>40,5/23,5</v>
          </cell>
          <cell r="N4360">
            <v>55</v>
          </cell>
          <cell r="O4360" t="str">
            <v>155(F)</v>
          </cell>
          <cell r="P4360" t="str">
            <v>270°</v>
          </cell>
          <cell r="Q4360" t="str">
            <v>TF</v>
          </cell>
          <cell r="R4360" t="str">
            <v>V(VE)</v>
          </cell>
          <cell r="S4360" t="str">
            <v>-</v>
          </cell>
          <cell r="T4360" t="str">
            <v>-</v>
          </cell>
          <cell r="U4360" t="str">
            <v>-</v>
          </cell>
          <cell r="V4360" t="str">
            <v>FC</v>
          </cell>
          <cell r="W4360" t="str">
            <v>-</v>
          </cell>
          <cell r="X4360" t="str">
            <v>CLP HC 150 (-30/+50°C)</v>
          </cell>
          <cell r="Y4360" t="str">
            <v>KH157EDRN180L4 /TF/VE</v>
          </cell>
          <cell r="Z4360" t="str">
            <v>SEW</v>
          </cell>
          <cell r="AB4360" t="str">
            <v>ATEX22</v>
          </cell>
          <cell r="AF4360">
            <v>16</v>
          </cell>
          <cell r="AG4360" t="str">
            <v>EDRN180L4</v>
          </cell>
          <cell r="AH4360" t="str">
            <v>KH157-EDRN180L4B270-X#</v>
          </cell>
        </row>
        <row r="4361">
          <cell r="A4361" t="str">
            <v>MR004350</v>
          </cell>
          <cell r="B4361" t="str">
            <v>MR</v>
          </cell>
          <cell r="C4361">
            <v>7.5</v>
          </cell>
          <cell r="D4361">
            <v>16</v>
          </cell>
          <cell r="E4361" t="str">
            <v>KH107</v>
          </cell>
          <cell r="F4361">
            <v>4440</v>
          </cell>
          <cell r="G4361">
            <v>90.96</v>
          </cell>
          <cell r="H4361">
            <v>1.7</v>
          </cell>
          <cell r="I4361" t="str">
            <v>From M4A to M1A - 5°</v>
          </cell>
          <cell r="J4361" t="str">
            <v>IE3</v>
          </cell>
          <cell r="K4361" t="str">
            <v>400/690</v>
          </cell>
          <cell r="L4361">
            <v>50</v>
          </cell>
          <cell r="M4361" t="str">
            <v>15,7/9</v>
          </cell>
          <cell r="N4361">
            <v>55</v>
          </cell>
          <cell r="O4361" t="str">
            <v>155(F)</v>
          </cell>
          <cell r="P4361" t="str">
            <v>270°</v>
          </cell>
          <cell r="Q4361" t="str">
            <v>TF</v>
          </cell>
          <cell r="R4361" t="str">
            <v>V(VE)</v>
          </cell>
          <cell r="S4361" t="str">
            <v>-</v>
          </cell>
          <cell r="T4361" t="str">
            <v>-</v>
          </cell>
          <cell r="U4361" t="str">
            <v>-</v>
          </cell>
          <cell r="V4361" t="str">
            <v>FC</v>
          </cell>
          <cell r="W4361" t="str">
            <v>-</v>
          </cell>
          <cell r="X4361" t="str">
            <v>CLP HC 150 (-30/+50°C)</v>
          </cell>
          <cell r="Y4361" t="str">
            <v>KH107EDRN132M4 /TF/VE</v>
          </cell>
          <cell r="Z4361" t="str">
            <v>SEW</v>
          </cell>
          <cell r="AB4361" t="str">
            <v>ATEX22</v>
          </cell>
          <cell r="AF4361">
            <v>16</v>
          </cell>
          <cell r="AG4361" t="str">
            <v>EDRN132M4</v>
          </cell>
          <cell r="AH4361" t="str">
            <v>KH107-EDRN132M4A270-X#</v>
          </cell>
        </row>
        <row r="4362">
          <cell r="A4362" t="str">
            <v>MR004351</v>
          </cell>
          <cell r="B4362" t="str">
            <v>MR</v>
          </cell>
          <cell r="C4362">
            <v>15</v>
          </cell>
          <cell r="D4362">
            <v>21</v>
          </cell>
          <cell r="E4362" t="str">
            <v>KH127</v>
          </cell>
          <cell r="F4362">
            <v>6890</v>
          </cell>
          <cell r="G4362">
            <v>70.95</v>
          </cell>
          <cell r="H4362">
            <v>1.9</v>
          </cell>
          <cell r="I4362" t="str">
            <v>From M4B to M1B - 10°</v>
          </cell>
          <cell r="J4362" t="str">
            <v>IE3</v>
          </cell>
          <cell r="K4362" t="str">
            <v>400/690</v>
          </cell>
          <cell r="L4362">
            <v>50</v>
          </cell>
          <cell r="M4362" t="str">
            <v>29,5/16,9</v>
          </cell>
          <cell r="N4362">
            <v>55</v>
          </cell>
          <cell r="O4362" t="str">
            <v>155(F)</v>
          </cell>
          <cell r="P4362" t="str">
            <v>270°</v>
          </cell>
          <cell r="Q4362" t="str">
            <v>TF</v>
          </cell>
          <cell r="R4362" t="str">
            <v>V(VE)</v>
          </cell>
          <cell r="S4362" t="str">
            <v>-</v>
          </cell>
          <cell r="T4362" t="str">
            <v>-</v>
          </cell>
          <cell r="U4362" t="str">
            <v>-</v>
          </cell>
          <cell r="V4362" t="str">
            <v>FC</v>
          </cell>
          <cell r="W4362" t="str">
            <v>-</v>
          </cell>
          <cell r="X4362" t="str">
            <v>CLP HC 150 (-30/+50°C)</v>
          </cell>
          <cell r="Y4362" t="str">
            <v>KH127EDRN160L4 /TF/VE</v>
          </cell>
          <cell r="Z4362" t="str">
            <v>SEW</v>
          </cell>
          <cell r="AB4362" t="str">
            <v>ATEX22</v>
          </cell>
          <cell r="AF4362">
            <v>21</v>
          </cell>
          <cell r="AG4362" t="str">
            <v>EDRN160L4</v>
          </cell>
          <cell r="AH4362" t="str">
            <v>KH127-EDRN160L4B270-X#</v>
          </cell>
        </row>
        <row r="4363">
          <cell r="A4363" t="str">
            <v>MR004352</v>
          </cell>
          <cell r="B4363" t="str">
            <v>MR</v>
          </cell>
          <cell r="C4363">
            <v>9.1999999999999993</v>
          </cell>
          <cell r="D4363">
            <v>53</v>
          </cell>
          <cell r="E4363" t="str">
            <v>R97</v>
          </cell>
          <cell r="F4363">
            <v>1650</v>
          </cell>
          <cell r="G4363">
            <v>27.58</v>
          </cell>
          <cell r="H4363">
            <v>1.45</v>
          </cell>
          <cell r="I4363" t="str">
            <v>M1</v>
          </cell>
          <cell r="J4363" t="str">
            <v>IE3</v>
          </cell>
          <cell r="K4363" t="str">
            <v>400/690</v>
          </cell>
          <cell r="L4363">
            <v>50</v>
          </cell>
          <cell r="M4363" t="str">
            <v>19,2/11,1</v>
          </cell>
          <cell r="N4363">
            <v>55</v>
          </cell>
          <cell r="O4363" t="str">
            <v>155(F)</v>
          </cell>
          <cell r="P4363" t="str">
            <v>270°</v>
          </cell>
          <cell r="Q4363" t="str">
            <v>TF</v>
          </cell>
          <cell r="R4363" t="str">
            <v>V(VE)</v>
          </cell>
          <cell r="S4363" t="str">
            <v>-</v>
          </cell>
          <cell r="T4363" t="str">
            <v>-</v>
          </cell>
          <cell r="U4363" t="str">
            <v>-</v>
          </cell>
          <cell r="V4363" t="str">
            <v>FC</v>
          </cell>
          <cell r="W4363" t="str">
            <v>-</v>
          </cell>
          <cell r="X4363" t="str">
            <v>CLP HC 150 (-30/+50°C)</v>
          </cell>
          <cell r="Y4363" t="str">
            <v>R97EDRN132L4 /TF/VE</v>
          </cell>
          <cell r="Z4363" t="str">
            <v>SEW</v>
          </cell>
          <cell r="AB4363" t="str">
            <v>ATEX22</v>
          </cell>
          <cell r="AF4363">
            <v>53</v>
          </cell>
          <cell r="AG4363" t="str">
            <v>EDRN132L4</v>
          </cell>
          <cell r="AH4363" t="str">
            <v>R97-EDRN132L4270-X#</v>
          </cell>
        </row>
        <row r="4364">
          <cell r="A4364" t="str">
            <v>MR004353</v>
          </cell>
          <cell r="B4364" t="str">
            <v>ME</v>
          </cell>
          <cell r="C4364">
            <v>37</v>
          </cell>
          <cell r="D4364">
            <v>1478</v>
          </cell>
          <cell r="E4364" t="str">
            <v>1CV3220B</v>
          </cell>
          <cell r="F4364">
            <v>240</v>
          </cell>
          <cell r="I4364" t="str">
            <v>V1/B5</v>
          </cell>
          <cell r="J4364" t="str">
            <v>IE3</v>
          </cell>
          <cell r="K4364" t="str">
            <v>400/690</v>
          </cell>
          <cell r="L4364">
            <v>50</v>
          </cell>
          <cell r="M4364" t="str">
            <v>66/38,5</v>
          </cell>
          <cell r="N4364">
            <v>65</v>
          </cell>
          <cell r="O4364" t="str">
            <v>155(F)</v>
          </cell>
          <cell r="P4364" t="str">
            <v>-</v>
          </cell>
          <cell r="Q4364" t="str">
            <v>TF</v>
          </cell>
          <cell r="R4364" t="str">
            <v>-</v>
          </cell>
          <cell r="S4364" t="str">
            <v>-</v>
          </cell>
          <cell r="T4364" t="str">
            <v>-</v>
          </cell>
          <cell r="U4364" t="str">
            <v>-</v>
          </cell>
          <cell r="V4364" t="str">
            <v>D</v>
          </cell>
          <cell r="W4364" t="str">
            <v>YES</v>
          </cell>
          <cell r="X4364" t="str">
            <v>-</v>
          </cell>
          <cell r="Y4364" t="str">
            <v>1LE1503-2BB03-4GB4-Z H20+Q02</v>
          </cell>
          <cell r="Z4364" t="str">
            <v>SIEMENS</v>
          </cell>
          <cell r="AB4364" t="str">
            <v>-</v>
          </cell>
          <cell r="AF4364">
            <v>1478</v>
          </cell>
          <cell r="AH4364" t="str">
            <v>1CV3220B-B--X</v>
          </cell>
        </row>
        <row r="4365">
          <cell r="A4365" t="str">
            <v>MR004354</v>
          </cell>
          <cell r="B4365" t="str">
            <v>MR</v>
          </cell>
          <cell r="C4365">
            <v>15</v>
          </cell>
          <cell r="D4365">
            <v>30</v>
          </cell>
          <cell r="E4365" t="str">
            <v>R127</v>
          </cell>
          <cell r="F4365">
            <v>4840</v>
          </cell>
          <cell r="G4365">
            <v>49.81</v>
          </cell>
          <cell r="H4365">
            <v>1.25</v>
          </cell>
          <cell r="I4365" t="str">
            <v>M3</v>
          </cell>
          <cell r="J4365" t="str">
            <v>IE3</v>
          </cell>
          <cell r="K4365" t="str">
            <v>400/690</v>
          </cell>
          <cell r="L4365">
            <v>50</v>
          </cell>
          <cell r="M4365" t="str">
            <v>29/16,7</v>
          </cell>
          <cell r="N4365">
            <v>65</v>
          </cell>
          <cell r="O4365" t="str">
            <v>155(F)</v>
          </cell>
          <cell r="P4365" t="str">
            <v>180°</v>
          </cell>
          <cell r="Q4365" t="str">
            <v>TF</v>
          </cell>
          <cell r="R4365" t="str">
            <v>V(VE)</v>
          </cell>
          <cell r="S4365" t="str">
            <v>-</v>
          </cell>
          <cell r="T4365" t="str">
            <v>-</v>
          </cell>
          <cell r="U4365" t="str">
            <v>-</v>
          </cell>
          <cell r="V4365" t="str">
            <v>FC</v>
          </cell>
          <cell r="W4365" t="str">
            <v>YES</v>
          </cell>
          <cell r="X4365" t="str">
            <v>CLP HC 150 (-30/+50°C)</v>
          </cell>
          <cell r="Y4365" t="str">
            <v>R127DRN160L4 /TF/V</v>
          </cell>
          <cell r="Z4365" t="str">
            <v>SEW</v>
          </cell>
          <cell r="AB4365" t="str">
            <v>-</v>
          </cell>
          <cell r="AF4365">
            <v>30</v>
          </cell>
          <cell r="AG4365" t="str">
            <v>DRN160L4</v>
          </cell>
          <cell r="AH4365" t="str">
            <v>R127-DRN160L4180-X#</v>
          </cell>
        </row>
        <row r="4366">
          <cell r="A4366" t="str">
            <v>MR004355</v>
          </cell>
          <cell r="B4366" t="str">
            <v>MR</v>
          </cell>
          <cell r="C4366">
            <v>7.5</v>
          </cell>
          <cell r="D4366">
            <v>15</v>
          </cell>
          <cell r="E4366" t="str">
            <v>KH107</v>
          </cell>
          <cell r="F4366">
            <v>4920</v>
          </cell>
          <cell r="G4366">
            <v>100.75</v>
          </cell>
          <cell r="H4366">
            <v>1.65</v>
          </cell>
          <cell r="I4366" t="str">
            <v>From M1B to M2B - 20°</v>
          </cell>
          <cell r="J4366" t="str">
            <v>IE3</v>
          </cell>
          <cell r="K4366" t="str">
            <v>400/690</v>
          </cell>
          <cell r="L4366">
            <v>50</v>
          </cell>
          <cell r="M4366" t="str">
            <v>15,2/8,8</v>
          </cell>
          <cell r="N4366">
            <v>65</v>
          </cell>
          <cell r="O4366" t="str">
            <v>155(F)</v>
          </cell>
          <cell r="P4366" t="str">
            <v>270°</v>
          </cell>
          <cell r="Q4366" t="str">
            <v>TF</v>
          </cell>
          <cell r="R4366" t="str">
            <v>V(VE)</v>
          </cell>
          <cell r="S4366" t="str">
            <v>-</v>
          </cell>
          <cell r="T4366" t="str">
            <v>-</v>
          </cell>
          <cell r="U4366" t="str">
            <v>-</v>
          </cell>
          <cell r="V4366" t="str">
            <v>FC</v>
          </cell>
          <cell r="W4366" t="str">
            <v>YES</v>
          </cell>
          <cell r="X4366" t="str">
            <v>CLP HC 150 (-30/+50°C)</v>
          </cell>
          <cell r="Y4366" t="str">
            <v>KH107DRN132M4 /TF/V</v>
          </cell>
          <cell r="Z4366" t="str">
            <v>SEW</v>
          </cell>
          <cell r="AB4366" t="str">
            <v>-</v>
          </cell>
          <cell r="AF4366">
            <v>15</v>
          </cell>
          <cell r="AG4366" t="str">
            <v>DRN132M4</v>
          </cell>
          <cell r="AH4366" t="str">
            <v>KH107-DRN132M4B270-X#</v>
          </cell>
        </row>
        <row r="4367">
          <cell r="A4367" t="str">
            <v>MR004356</v>
          </cell>
          <cell r="B4367" t="str">
            <v>MR</v>
          </cell>
          <cell r="C4367">
            <v>2.2000000000000002</v>
          </cell>
          <cell r="D4367">
            <v>79</v>
          </cell>
          <cell r="E4367" t="str">
            <v>FH67</v>
          </cell>
          <cell r="F4367">
            <v>265</v>
          </cell>
          <cell r="G4367">
            <v>18.29</v>
          </cell>
          <cell r="H4367">
            <v>3.1</v>
          </cell>
          <cell r="I4367" t="str">
            <v>M1</v>
          </cell>
          <cell r="J4367" t="str">
            <v>IE3</v>
          </cell>
          <cell r="K4367" t="str">
            <v>230/400</v>
          </cell>
          <cell r="L4367">
            <v>50</v>
          </cell>
          <cell r="M4367" t="str">
            <v>8,3/4,75</v>
          </cell>
          <cell r="N4367">
            <v>65</v>
          </cell>
          <cell r="O4367" t="str">
            <v>155(F)</v>
          </cell>
          <cell r="P4367" t="str">
            <v>270°</v>
          </cell>
          <cell r="Q4367" t="str">
            <v>TF</v>
          </cell>
          <cell r="R4367" t="str">
            <v>-</v>
          </cell>
          <cell r="S4367" t="str">
            <v>-</v>
          </cell>
          <cell r="T4367" t="str">
            <v>-</v>
          </cell>
          <cell r="U4367" t="str">
            <v>G</v>
          </cell>
          <cell r="V4367" t="str">
            <v>D</v>
          </cell>
          <cell r="W4367" t="str">
            <v>YES</v>
          </cell>
          <cell r="X4367" t="str">
            <v>CLP HC 150 (-30/+50°C)</v>
          </cell>
          <cell r="Y4367" t="str">
            <v>FH67/G DRN100LS4 /TF</v>
          </cell>
          <cell r="Z4367" t="str">
            <v>SEW</v>
          </cell>
          <cell r="AB4367" t="str">
            <v>-</v>
          </cell>
          <cell r="AF4367">
            <v>79</v>
          </cell>
          <cell r="AG4367" t="str">
            <v>DRN100LS4</v>
          </cell>
          <cell r="AH4367" t="str">
            <v>FH67G-DRN100LS4270-X</v>
          </cell>
        </row>
        <row r="4368">
          <cell r="A4368" t="str">
            <v>MR004357</v>
          </cell>
          <cell r="B4368" t="str">
            <v>MR</v>
          </cell>
          <cell r="C4368">
            <v>4</v>
          </cell>
          <cell r="D4368">
            <v>14</v>
          </cell>
          <cell r="E4368" t="str">
            <v>KH97</v>
          </cell>
          <cell r="F4368">
            <v>2740</v>
          </cell>
          <cell r="G4368">
            <v>105.13</v>
          </cell>
          <cell r="H4368">
            <v>1.55</v>
          </cell>
          <cell r="I4368" t="str">
            <v>From M1B to M2B - 15°</v>
          </cell>
          <cell r="J4368" t="str">
            <v>IE3</v>
          </cell>
          <cell r="K4368" t="str">
            <v>230/400</v>
          </cell>
          <cell r="L4368">
            <v>50</v>
          </cell>
          <cell r="M4368" t="str">
            <v>13,8/7,9</v>
          </cell>
          <cell r="N4368">
            <v>65</v>
          </cell>
          <cell r="O4368" t="str">
            <v>155(F)</v>
          </cell>
          <cell r="P4368" t="str">
            <v>270°</v>
          </cell>
          <cell r="Q4368" t="str">
            <v>TF</v>
          </cell>
          <cell r="R4368" t="str">
            <v>-</v>
          </cell>
          <cell r="S4368" t="str">
            <v>-</v>
          </cell>
          <cell r="T4368" t="str">
            <v>-</v>
          </cell>
          <cell r="U4368" t="str">
            <v>-</v>
          </cell>
          <cell r="V4368" t="str">
            <v>SS</v>
          </cell>
          <cell r="W4368" t="str">
            <v>YES</v>
          </cell>
          <cell r="X4368" t="str">
            <v>CLP HC 150 (-30/+50°C)</v>
          </cell>
          <cell r="Y4368" t="str">
            <v>KH97DRN112M4 /TF</v>
          </cell>
          <cell r="Z4368" t="str">
            <v>SEW</v>
          </cell>
          <cell r="AB4368" t="str">
            <v>-</v>
          </cell>
          <cell r="AF4368">
            <v>14</v>
          </cell>
          <cell r="AG4368" t="str">
            <v>DRN112M4</v>
          </cell>
          <cell r="AH4368" t="str">
            <v>KH97-DRN112M4B270-X</v>
          </cell>
        </row>
        <row r="4369">
          <cell r="A4369" t="str">
            <v>MR004358</v>
          </cell>
          <cell r="B4369" t="str">
            <v>MR</v>
          </cell>
          <cell r="C4369">
            <v>0.37</v>
          </cell>
          <cell r="D4369">
            <v>3.4</v>
          </cell>
          <cell r="E4369" t="str">
            <v>KA67R37</v>
          </cell>
          <cell r="F4369">
            <v>920</v>
          </cell>
          <cell r="G4369">
            <v>420</v>
          </cell>
          <cell r="H4369">
            <v>0.9</v>
          </cell>
          <cell r="I4369" t="str">
            <v>M3B</v>
          </cell>
          <cell r="J4369" t="str">
            <v>IE3</v>
          </cell>
          <cell r="K4369" t="str">
            <v>230/400</v>
          </cell>
          <cell r="L4369">
            <v>50</v>
          </cell>
          <cell r="M4369" t="str">
            <v>1,78/1,02</v>
          </cell>
          <cell r="N4369">
            <v>65</v>
          </cell>
          <cell r="O4369" t="str">
            <v>155(F)</v>
          </cell>
          <cell r="P4369" t="str">
            <v>90°</v>
          </cell>
          <cell r="Q4369" t="str">
            <v>-</v>
          </cell>
          <cell r="R4369" t="str">
            <v>-</v>
          </cell>
          <cell r="S4369" t="str">
            <v>-</v>
          </cell>
          <cell r="T4369" t="str">
            <v>BEHF</v>
          </cell>
          <cell r="U4369" t="str">
            <v>T</v>
          </cell>
          <cell r="V4369" t="str">
            <v>D+R</v>
          </cell>
          <cell r="W4369" t="str">
            <v>-</v>
          </cell>
          <cell r="X4369" t="str">
            <v>CLP 220 (-15/+40°C)</v>
          </cell>
          <cell r="Y4369" t="str">
            <v>KA67R37/T  /BEHF</v>
          </cell>
          <cell r="Z4369" t="str">
            <v>SEW</v>
          </cell>
          <cell r="AA4369" t="str">
            <v>RAL 5017</v>
          </cell>
          <cell r="AB4369" t="str">
            <v>-</v>
          </cell>
        </row>
        <row r="4370">
          <cell r="A4370" t="str">
            <v>MR004359</v>
          </cell>
          <cell r="B4370" t="str">
            <v>MR</v>
          </cell>
          <cell r="C4370">
            <v>11</v>
          </cell>
          <cell r="D4370">
            <v>66</v>
          </cell>
          <cell r="E4370" t="str">
            <v>R97</v>
          </cell>
          <cell r="F4370">
            <v>1590</v>
          </cell>
          <cell r="G4370">
            <v>22.37</v>
          </cell>
          <cell r="H4370">
            <v>1.7</v>
          </cell>
          <cell r="I4370" t="str">
            <v>From M1 to M2 - 15°</v>
          </cell>
          <cell r="J4370" t="str">
            <v>IE3</v>
          </cell>
          <cell r="K4370" t="str">
            <v>400/690</v>
          </cell>
          <cell r="L4370">
            <v>50</v>
          </cell>
          <cell r="M4370" t="str">
            <v>21/12,2</v>
          </cell>
          <cell r="N4370">
            <v>65</v>
          </cell>
          <cell r="O4370" t="str">
            <v>155(F)</v>
          </cell>
          <cell r="P4370" t="str">
            <v>270°</v>
          </cell>
          <cell r="Q4370" t="str">
            <v>-</v>
          </cell>
          <cell r="R4370" t="str">
            <v>-</v>
          </cell>
          <cell r="S4370" t="str">
            <v>-</v>
          </cell>
          <cell r="T4370" t="str">
            <v>-</v>
          </cell>
          <cell r="U4370" t="str">
            <v>-</v>
          </cell>
          <cell r="V4370" t="str">
            <v>D</v>
          </cell>
          <cell r="W4370" t="str">
            <v>-</v>
          </cell>
          <cell r="X4370" t="str">
            <v>CLP 220 (-15/+40°C)</v>
          </cell>
          <cell r="Y4370" t="str">
            <v>R97DRN160M4</v>
          </cell>
          <cell r="Z4370" t="str">
            <v>SEW</v>
          </cell>
          <cell r="AA4370" t="str">
            <v>RAL 5017</v>
          </cell>
          <cell r="AB4370" t="str">
            <v>-</v>
          </cell>
          <cell r="AF4370">
            <v>66</v>
          </cell>
          <cell r="AG4370" t="str">
            <v>DRN160M4</v>
          </cell>
          <cell r="AH4370" t="str">
            <v>R97-DRN160M4270-X</v>
          </cell>
        </row>
        <row r="4371">
          <cell r="A4371" t="str">
            <v>MR004360</v>
          </cell>
          <cell r="B4371" t="str">
            <v>MR</v>
          </cell>
          <cell r="C4371">
            <v>18.5</v>
          </cell>
          <cell r="D4371">
            <v>81</v>
          </cell>
          <cell r="E4371" t="str">
            <v>R97</v>
          </cell>
          <cell r="F4371">
            <v>2180</v>
          </cell>
          <cell r="G4371">
            <v>18.239999999999998</v>
          </cell>
          <cell r="H4371" t="str">
            <v>1.15</v>
          </cell>
          <cell r="I4371" t="str">
            <v>M4</v>
          </cell>
          <cell r="J4371" t="str">
            <v>IE3</v>
          </cell>
          <cell r="K4371" t="str">
            <v>400/690</v>
          </cell>
          <cell r="L4371">
            <v>50</v>
          </cell>
          <cell r="M4371" t="str">
            <v>33,5/19,3</v>
          </cell>
          <cell r="N4371">
            <v>65</v>
          </cell>
          <cell r="O4371" t="str">
            <v>155(F)</v>
          </cell>
          <cell r="P4371" t="str">
            <v>180°</v>
          </cell>
          <cell r="Q4371" t="str">
            <v>-</v>
          </cell>
          <cell r="R4371" t="str">
            <v>-</v>
          </cell>
          <cell r="S4371" t="str">
            <v>-</v>
          </cell>
          <cell r="T4371" t="str">
            <v>-</v>
          </cell>
          <cell r="U4371" t="str">
            <v>-</v>
          </cell>
          <cell r="V4371" t="str">
            <v>D</v>
          </cell>
          <cell r="W4371" t="str">
            <v>-</v>
          </cell>
          <cell r="X4371" t="str">
            <v>CLP 220 (-15/+40°C)</v>
          </cell>
          <cell r="Y4371" t="str">
            <v>R97DRN180M4</v>
          </cell>
          <cell r="Z4371" t="str">
            <v>SEW</v>
          </cell>
          <cell r="AA4371" t="str">
            <v>RAL 5017</v>
          </cell>
          <cell r="AB4371" t="str">
            <v>-</v>
          </cell>
          <cell r="AF4371">
            <v>81</v>
          </cell>
          <cell r="AG4371" t="str">
            <v>DRN180M4</v>
          </cell>
          <cell r="AH4371" t="str">
            <v>R97-DRN180M4180-X</v>
          </cell>
        </row>
        <row r="4372">
          <cell r="A4372" t="str">
            <v>MR004361</v>
          </cell>
          <cell r="B4372" t="str">
            <v>MR</v>
          </cell>
          <cell r="C4372">
            <v>11</v>
          </cell>
          <cell r="D4372">
            <v>66</v>
          </cell>
          <cell r="E4372" t="str">
            <v>R97</v>
          </cell>
          <cell r="F4372">
            <v>1590</v>
          </cell>
          <cell r="G4372">
            <v>22.37</v>
          </cell>
          <cell r="H4372">
            <v>1.7</v>
          </cell>
          <cell r="I4372" t="str">
            <v>M1</v>
          </cell>
          <cell r="J4372" t="str">
            <v>IE3</v>
          </cell>
          <cell r="K4372" t="str">
            <v>400/690</v>
          </cell>
          <cell r="L4372">
            <v>50</v>
          </cell>
          <cell r="M4372" t="str">
            <v>21/12,2</v>
          </cell>
          <cell r="N4372">
            <v>65</v>
          </cell>
          <cell r="O4372" t="str">
            <v>155(F)</v>
          </cell>
          <cell r="P4372" t="str">
            <v>270°</v>
          </cell>
          <cell r="Q4372" t="str">
            <v>-</v>
          </cell>
          <cell r="R4372" t="str">
            <v>-</v>
          </cell>
          <cell r="S4372" t="str">
            <v>-</v>
          </cell>
          <cell r="T4372" t="str">
            <v>-</v>
          </cell>
          <cell r="U4372" t="str">
            <v>-</v>
          </cell>
          <cell r="V4372" t="str">
            <v>D</v>
          </cell>
          <cell r="W4372" t="str">
            <v>-</v>
          </cell>
          <cell r="X4372" t="str">
            <v>CLP 220 (-15/+40°C)</v>
          </cell>
          <cell r="Y4372" t="str">
            <v>R97DRN160M4</v>
          </cell>
          <cell r="Z4372" t="str">
            <v>SEW</v>
          </cell>
          <cell r="AA4372" t="str">
            <v>RAL 5017</v>
          </cell>
          <cell r="AB4372" t="str">
            <v>-</v>
          </cell>
          <cell r="AF4372">
            <v>66</v>
          </cell>
          <cell r="AG4372" t="str">
            <v>DRN160M4</v>
          </cell>
          <cell r="AH4372" t="str">
            <v>R97-DRN160M4270-X</v>
          </cell>
        </row>
        <row r="4373">
          <cell r="A4373" t="str">
            <v>MR004362</v>
          </cell>
          <cell r="B4373" t="str">
            <v>MR</v>
          </cell>
          <cell r="C4373">
            <v>15</v>
          </cell>
          <cell r="D4373">
            <v>24</v>
          </cell>
          <cell r="E4373" t="str">
            <v>R127</v>
          </cell>
          <cell r="F4373">
            <v>6030</v>
          </cell>
          <cell r="G4373">
            <v>62.13</v>
          </cell>
          <cell r="H4373">
            <v>1</v>
          </cell>
          <cell r="I4373" t="str">
            <v>From M1 to M2 - 15°</v>
          </cell>
          <cell r="J4373" t="str">
            <v>IE3</v>
          </cell>
          <cell r="K4373" t="str">
            <v>400/690</v>
          </cell>
          <cell r="L4373">
            <v>50</v>
          </cell>
          <cell r="M4373" t="str">
            <v>29/16,7</v>
          </cell>
          <cell r="N4373">
            <v>65</v>
          </cell>
          <cell r="O4373" t="str">
            <v>155(F)</v>
          </cell>
          <cell r="P4373" t="str">
            <v>270°</v>
          </cell>
          <cell r="Q4373" t="str">
            <v>TF</v>
          </cell>
          <cell r="R4373" t="str">
            <v>V(VE)</v>
          </cell>
          <cell r="S4373" t="str">
            <v>-</v>
          </cell>
          <cell r="T4373" t="str">
            <v>-</v>
          </cell>
          <cell r="U4373" t="str">
            <v>-</v>
          </cell>
          <cell r="V4373" t="str">
            <v>FC</v>
          </cell>
          <cell r="W4373" t="str">
            <v>-</v>
          </cell>
          <cell r="X4373" t="str">
            <v>CLP 220 (-15/+40°C)</v>
          </cell>
          <cell r="Y4373" t="str">
            <v>R127DRN160L4 /TF/V</v>
          </cell>
          <cell r="Z4373" t="str">
            <v>SEW</v>
          </cell>
          <cell r="AA4373" t="str">
            <v>RAL 5017</v>
          </cell>
          <cell r="AB4373" t="str">
            <v>-</v>
          </cell>
          <cell r="AF4373">
            <v>24</v>
          </cell>
          <cell r="AG4373" t="str">
            <v>DRN160L4</v>
          </cell>
          <cell r="AH4373" t="str">
            <v>R127-DRN160L4270-X#</v>
          </cell>
        </row>
        <row r="4374">
          <cell r="A4374" t="str">
            <v>MR004363</v>
          </cell>
          <cell r="B4374" t="str">
            <v>MR</v>
          </cell>
          <cell r="C4374">
            <v>11</v>
          </cell>
          <cell r="D4374">
            <v>15</v>
          </cell>
          <cell r="E4374" t="str">
            <v>KH107</v>
          </cell>
          <cell r="F4374">
            <v>7180</v>
          </cell>
          <cell r="G4374">
            <v>100.75</v>
          </cell>
          <cell r="H4374">
            <v>1.1000000000000001</v>
          </cell>
          <cell r="I4374" t="str">
            <v>From M1A to M2A - 5°</v>
          </cell>
          <cell r="J4374" t="str">
            <v>IE3</v>
          </cell>
          <cell r="K4374" t="str">
            <v>400/690</v>
          </cell>
          <cell r="L4374">
            <v>50</v>
          </cell>
          <cell r="M4374" t="str">
            <v>21/12,2</v>
          </cell>
          <cell r="N4374">
            <v>65</v>
          </cell>
          <cell r="O4374" t="str">
            <v>155(F)</v>
          </cell>
          <cell r="P4374" t="str">
            <v>180°</v>
          </cell>
          <cell r="Q4374" t="str">
            <v>-</v>
          </cell>
          <cell r="R4374" t="str">
            <v>-</v>
          </cell>
          <cell r="S4374" t="str">
            <v>-</v>
          </cell>
          <cell r="T4374" t="str">
            <v>-</v>
          </cell>
          <cell r="U4374" t="str">
            <v>-</v>
          </cell>
          <cell r="V4374" t="str">
            <v>SS</v>
          </cell>
          <cell r="W4374" t="str">
            <v>-</v>
          </cell>
          <cell r="X4374" t="str">
            <v>CLP 220 (-15/+40°C)</v>
          </cell>
          <cell r="Y4374" t="str">
            <v>KH107DRN160M4</v>
          </cell>
          <cell r="Z4374" t="str">
            <v>SEW</v>
          </cell>
          <cell r="AA4374" t="str">
            <v>RAL 5017</v>
          </cell>
          <cell r="AB4374" t="str">
            <v>-</v>
          </cell>
          <cell r="AF4374">
            <v>15</v>
          </cell>
          <cell r="AG4374" t="str">
            <v>DRN160M4</v>
          </cell>
          <cell r="AH4374" t="str">
            <v>KH107-DRN160M4A180-X</v>
          </cell>
        </row>
        <row r="4375">
          <cell r="A4375" t="str">
            <v>MR004364</v>
          </cell>
          <cell r="B4375" t="str">
            <v>MR</v>
          </cell>
          <cell r="C4375">
            <v>9.1999999999999993</v>
          </cell>
          <cell r="D4375">
            <v>13</v>
          </cell>
          <cell r="E4375" t="str">
            <v>KH107</v>
          </cell>
          <cell r="F4375">
            <v>6710</v>
          </cell>
          <cell r="G4375">
            <v>112.41</v>
          </cell>
          <cell r="H4375">
            <v>1.2</v>
          </cell>
          <cell r="I4375" t="str">
            <v>From M1A to M2A - 15°</v>
          </cell>
          <cell r="J4375" t="str">
            <v>IE3</v>
          </cell>
          <cell r="K4375" t="str">
            <v>400/690</v>
          </cell>
          <cell r="L4375">
            <v>50</v>
          </cell>
          <cell r="M4375" t="str">
            <v>18,7/10,8</v>
          </cell>
          <cell r="N4375">
            <v>65</v>
          </cell>
          <cell r="O4375" t="str">
            <v>155(F)</v>
          </cell>
          <cell r="P4375" t="str">
            <v>180°</v>
          </cell>
          <cell r="Q4375" t="str">
            <v>-</v>
          </cell>
          <cell r="R4375" t="str">
            <v>-</v>
          </cell>
          <cell r="S4375" t="str">
            <v>-</v>
          </cell>
          <cell r="T4375" t="str">
            <v>-</v>
          </cell>
          <cell r="U4375" t="str">
            <v>-</v>
          </cell>
          <cell r="V4375" t="str">
            <v>SS</v>
          </cell>
          <cell r="W4375" t="str">
            <v>-</v>
          </cell>
          <cell r="X4375" t="str">
            <v>CLP 220 (-15/+40°C)</v>
          </cell>
          <cell r="Y4375" t="str">
            <v>KH107DRN132L4</v>
          </cell>
          <cell r="Z4375" t="str">
            <v>SEW</v>
          </cell>
          <cell r="AA4375" t="str">
            <v>RAL 5017</v>
          </cell>
          <cell r="AB4375" t="str">
            <v>-</v>
          </cell>
          <cell r="AF4375">
            <v>13</v>
          </cell>
          <cell r="AG4375" t="str">
            <v>DRN132L4</v>
          </cell>
          <cell r="AH4375" t="str">
            <v>KH107-DRN132L4A180-X</v>
          </cell>
        </row>
        <row r="4376">
          <cell r="A4376" t="str">
            <v>MR004365</v>
          </cell>
          <cell r="B4376" t="str">
            <v>MR</v>
          </cell>
          <cell r="C4376">
            <v>22</v>
          </cell>
          <cell r="D4376">
            <v>15</v>
          </cell>
          <cell r="E4376" t="str">
            <v>KH157</v>
          </cell>
          <cell r="F4376">
            <v>14200</v>
          </cell>
          <cell r="G4376">
            <v>100.22</v>
          </cell>
          <cell r="H4376">
            <v>1.4</v>
          </cell>
          <cell r="I4376" t="str">
            <v>M1B</v>
          </cell>
          <cell r="J4376" t="str">
            <v>IE4</v>
          </cell>
          <cell r="K4376" t="str">
            <v>400/690</v>
          </cell>
          <cell r="L4376">
            <v>50</v>
          </cell>
          <cell r="M4376" t="str">
            <v>41/23,5</v>
          </cell>
          <cell r="N4376">
            <v>55</v>
          </cell>
          <cell r="O4376" t="str">
            <v>155(F)</v>
          </cell>
          <cell r="P4376" t="str">
            <v>0°</v>
          </cell>
          <cell r="Q4376" t="str">
            <v>TF</v>
          </cell>
          <cell r="R4376" t="str">
            <v>V(VE)</v>
          </cell>
          <cell r="S4376" t="str">
            <v>-</v>
          </cell>
          <cell r="T4376" t="str">
            <v>-</v>
          </cell>
          <cell r="U4376" t="str">
            <v>-</v>
          </cell>
          <cell r="V4376" t="str">
            <v>FC</v>
          </cell>
          <cell r="W4376" t="str">
            <v>-</v>
          </cell>
          <cell r="X4376" t="str">
            <v>CLP 220 (-15/+40°C)</v>
          </cell>
          <cell r="Y4376" t="str">
            <v>KH157DRU200L4 /TF/V</v>
          </cell>
          <cell r="Z4376" t="str">
            <v>SEW</v>
          </cell>
          <cell r="AB4376" t="str">
            <v>-</v>
          </cell>
          <cell r="AF4376">
            <v>15</v>
          </cell>
          <cell r="AG4376" t="str">
            <v>DRU200L4</v>
          </cell>
          <cell r="AH4376" t="str">
            <v>KH157-DRU200L4B0-X#</v>
          </cell>
        </row>
        <row r="4377">
          <cell r="A4377" t="str">
            <v>MR004366</v>
          </cell>
          <cell r="B4377" t="str">
            <v>MR</v>
          </cell>
          <cell r="C4377">
            <v>4</v>
          </cell>
          <cell r="D4377">
            <v>14</v>
          </cell>
          <cell r="E4377" t="str">
            <v>KH87</v>
          </cell>
          <cell r="F4377">
            <v>2670</v>
          </cell>
          <cell r="G4377">
            <v>102.71</v>
          </cell>
          <cell r="H4377">
            <v>1</v>
          </cell>
          <cell r="I4377" t="str">
            <v>M4B</v>
          </cell>
          <cell r="J4377" t="str">
            <v>IE4</v>
          </cell>
          <cell r="K4377" t="str">
            <v>230/400</v>
          </cell>
          <cell r="L4377">
            <v>50</v>
          </cell>
          <cell r="M4377" t="str">
            <v>13,7/7,9</v>
          </cell>
          <cell r="N4377">
            <v>55</v>
          </cell>
          <cell r="O4377" t="str">
            <v>155(F)</v>
          </cell>
          <cell r="P4377" t="str">
            <v>270°</v>
          </cell>
          <cell r="Q4377" t="str">
            <v>TF</v>
          </cell>
          <cell r="R4377" t="str">
            <v>V(VE)</v>
          </cell>
          <cell r="S4377" t="str">
            <v>-</v>
          </cell>
          <cell r="T4377" t="str">
            <v>-</v>
          </cell>
          <cell r="U4377" t="str">
            <v>-</v>
          </cell>
          <cell r="V4377" t="str">
            <v>FC</v>
          </cell>
          <cell r="W4377" t="str">
            <v>-</v>
          </cell>
          <cell r="X4377" t="str">
            <v>CLP 220 (-15/+40°C)</v>
          </cell>
          <cell r="Y4377" t="str">
            <v>KH87DRU132S4 /TF/V</v>
          </cell>
          <cell r="Z4377" t="str">
            <v>SEW</v>
          </cell>
          <cell r="AB4377" t="str">
            <v>-</v>
          </cell>
          <cell r="AF4377">
            <v>14</v>
          </cell>
          <cell r="AG4377" t="str">
            <v>DRU132S4</v>
          </cell>
          <cell r="AH4377" t="str">
            <v>KH87-DRU132S4B270-X#</v>
          </cell>
        </row>
        <row r="4378">
          <cell r="A4378" t="str">
            <v>MR004367</v>
          </cell>
          <cell r="B4378" t="str">
            <v>MR</v>
          </cell>
          <cell r="C4378">
            <v>15</v>
          </cell>
          <cell r="D4378">
            <v>13</v>
          </cell>
          <cell r="E4378" t="str">
            <v>KH127</v>
          </cell>
          <cell r="F4378">
            <v>10600</v>
          </cell>
          <cell r="G4378">
            <v>110.18</v>
          </cell>
          <cell r="H4378">
            <v>1.2</v>
          </cell>
          <cell r="I4378" t="str">
            <v>From M1A to M2A-35°</v>
          </cell>
          <cell r="J4378" t="str">
            <v>IE4</v>
          </cell>
          <cell r="K4378" t="str">
            <v>400/690</v>
          </cell>
          <cell r="L4378">
            <v>50</v>
          </cell>
          <cell r="M4378" t="str">
            <v>27/15,7</v>
          </cell>
          <cell r="N4378">
            <v>55</v>
          </cell>
          <cell r="O4378" t="str">
            <v>155(F)</v>
          </cell>
          <cell r="P4378" t="str">
            <v>180°</v>
          </cell>
          <cell r="Q4378" t="str">
            <v>TF</v>
          </cell>
          <cell r="R4378" t="str">
            <v>V(VE)</v>
          </cell>
          <cell r="S4378" t="str">
            <v>-</v>
          </cell>
          <cell r="T4378" t="str">
            <v>-</v>
          </cell>
          <cell r="U4378" t="str">
            <v>-</v>
          </cell>
          <cell r="V4378" t="str">
            <v>FC</v>
          </cell>
          <cell r="W4378" t="str">
            <v>-</v>
          </cell>
          <cell r="X4378" t="str">
            <v>CLP 220 (-15/+40°C)</v>
          </cell>
          <cell r="Y4378" t="str">
            <v>KH127DRU180L4 /TF/V</v>
          </cell>
          <cell r="Z4378" t="str">
            <v>SEW</v>
          </cell>
          <cell r="AB4378" t="str">
            <v>-</v>
          </cell>
          <cell r="AF4378">
            <v>13</v>
          </cell>
          <cell r="AG4378" t="str">
            <v>DRU180L4</v>
          </cell>
          <cell r="AH4378" t="str">
            <v>KH127-DRU180L4A180-X#</v>
          </cell>
        </row>
        <row r="4379">
          <cell r="A4379" t="str">
            <v>MR004368</v>
          </cell>
          <cell r="B4379" t="str">
            <v>MR</v>
          </cell>
          <cell r="C4379">
            <v>15</v>
          </cell>
          <cell r="D4379">
            <v>13</v>
          </cell>
          <cell r="E4379" t="str">
            <v>KH127</v>
          </cell>
          <cell r="F4379">
            <v>10600</v>
          </cell>
          <cell r="G4379">
            <v>110.18</v>
          </cell>
          <cell r="H4379">
            <v>1.2</v>
          </cell>
          <cell r="I4379" t="str">
            <v>From M1B to M2B-35°</v>
          </cell>
          <cell r="J4379" t="str">
            <v>IE4</v>
          </cell>
          <cell r="K4379" t="str">
            <v>400/690</v>
          </cell>
          <cell r="L4379">
            <v>50</v>
          </cell>
          <cell r="M4379" t="str">
            <v>27/15,7</v>
          </cell>
          <cell r="N4379">
            <v>55</v>
          </cell>
          <cell r="O4379" t="str">
            <v>155(F)</v>
          </cell>
          <cell r="P4379" t="str">
            <v>0°</v>
          </cell>
          <cell r="Q4379" t="str">
            <v>TF</v>
          </cell>
          <cell r="R4379" t="str">
            <v>V(VE)</v>
          </cell>
          <cell r="S4379" t="str">
            <v>-</v>
          </cell>
          <cell r="T4379" t="str">
            <v>-</v>
          </cell>
          <cell r="U4379" t="str">
            <v>-</v>
          </cell>
          <cell r="V4379" t="str">
            <v>FC</v>
          </cell>
          <cell r="W4379" t="str">
            <v>-</v>
          </cell>
          <cell r="X4379" t="str">
            <v>CLP 220 (-15/+40°C)</v>
          </cell>
          <cell r="Y4379" t="str">
            <v>KH127DRU180L4 /TF/V</v>
          </cell>
          <cell r="Z4379" t="str">
            <v>SEW</v>
          </cell>
          <cell r="AB4379" t="str">
            <v>-</v>
          </cell>
          <cell r="AF4379">
            <v>13</v>
          </cell>
          <cell r="AG4379" t="str">
            <v>DRU180L4</v>
          </cell>
          <cell r="AH4379" t="str">
            <v>KH127-DRU180L4B0-X#</v>
          </cell>
        </row>
        <row r="4380">
          <cell r="A4380" t="str">
            <v>MR004369</v>
          </cell>
          <cell r="B4380" t="str">
            <v>MR</v>
          </cell>
          <cell r="C4380">
            <v>22</v>
          </cell>
          <cell r="D4380">
            <v>15</v>
          </cell>
          <cell r="E4380" t="str">
            <v>KH157</v>
          </cell>
          <cell r="F4380">
            <v>14200</v>
          </cell>
          <cell r="G4380">
            <v>100.22</v>
          </cell>
          <cell r="H4380">
            <v>1.4</v>
          </cell>
          <cell r="I4380" t="str">
            <v>From M1B to M2B-15°</v>
          </cell>
          <cell r="J4380" t="str">
            <v>IE4</v>
          </cell>
          <cell r="K4380" t="str">
            <v>400/690</v>
          </cell>
          <cell r="L4380">
            <v>50</v>
          </cell>
          <cell r="M4380" t="str">
            <v>41/23,5</v>
          </cell>
          <cell r="N4380">
            <v>55</v>
          </cell>
          <cell r="O4380" t="str">
            <v>155(F)</v>
          </cell>
          <cell r="P4380" t="str">
            <v>0°</v>
          </cell>
          <cell r="Q4380" t="str">
            <v>TF</v>
          </cell>
          <cell r="R4380" t="str">
            <v>V(VE)</v>
          </cell>
          <cell r="S4380" t="str">
            <v>-</v>
          </cell>
          <cell r="T4380" t="str">
            <v>-</v>
          </cell>
          <cell r="U4380" t="str">
            <v>-</v>
          </cell>
          <cell r="V4380" t="str">
            <v>FC</v>
          </cell>
          <cell r="W4380" t="str">
            <v>-</v>
          </cell>
          <cell r="X4380" t="str">
            <v>CLP 220 (-15/+40°C)</v>
          </cell>
          <cell r="Y4380" t="str">
            <v>KH157DRU200L4 /TF/V</v>
          </cell>
          <cell r="Z4380" t="str">
            <v>SEW</v>
          </cell>
          <cell r="AB4380" t="str">
            <v>-</v>
          </cell>
          <cell r="AF4380">
            <v>15</v>
          </cell>
          <cell r="AG4380" t="str">
            <v>DRU200L4</v>
          </cell>
          <cell r="AH4380" t="str">
            <v>KH157-DRU200L4B0-X#</v>
          </cell>
        </row>
        <row r="4381">
          <cell r="A4381" t="str">
            <v>MR004370</v>
          </cell>
          <cell r="B4381" t="str">
            <v>MR</v>
          </cell>
          <cell r="C4381">
            <v>30</v>
          </cell>
          <cell r="D4381">
            <v>16</v>
          </cell>
          <cell r="E4381" t="str">
            <v>KH157</v>
          </cell>
          <cell r="F4381">
            <v>17700</v>
          </cell>
          <cell r="G4381">
            <v>91.65</v>
          </cell>
          <cell r="H4381">
            <v>1.1499999999999999</v>
          </cell>
          <cell r="I4381" t="str">
            <v>M1B</v>
          </cell>
          <cell r="J4381" t="str">
            <v>IE4</v>
          </cell>
          <cell r="K4381" t="str">
            <v>400/690</v>
          </cell>
          <cell r="L4381">
            <v>50</v>
          </cell>
          <cell r="M4381" t="str">
            <v>52/30,5</v>
          </cell>
          <cell r="N4381">
            <v>55</v>
          </cell>
          <cell r="O4381" t="str">
            <v>155(F)</v>
          </cell>
          <cell r="P4381" t="str">
            <v>0°</v>
          </cell>
          <cell r="Q4381" t="str">
            <v>TF</v>
          </cell>
          <cell r="R4381" t="str">
            <v>V(VE)</v>
          </cell>
          <cell r="S4381" t="str">
            <v>-</v>
          </cell>
          <cell r="T4381" t="str">
            <v>-</v>
          </cell>
          <cell r="U4381" t="str">
            <v>-</v>
          </cell>
          <cell r="V4381" t="str">
            <v>FC</v>
          </cell>
          <cell r="W4381" t="str">
            <v>-</v>
          </cell>
          <cell r="X4381" t="str">
            <v>CLP 220 (-15/+40°C)</v>
          </cell>
          <cell r="Y4381" t="str">
            <v>KH157DRU225S4 /TF/V</v>
          </cell>
          <cell r="Z4381" t="str">
            <v>SEW</v>
          </cell>
          <cell r="AB4381" t="str">
            <v>-</v>
          </cell>
          <cell r="AF4381">
            <v>16</v>
          </cell>
          <cell r="AG4381" t="str">
            <v>DRU225S4</v>
          </cell>
          <cell r="AH4381" t="str">
            <v>KH157-DRU225S4B0-X#</v>
          </cell>
        </row>
        <row r="4382">
          <cell r="A4382" t="str">
            <v>MR004371</v>
          </cell>
          <cell r="B4382" t="str">
            <v>MR</v>
          </cell>
          <cell r="C4382">
            <v>11</v>
          </cell>
          <cell r="D4382">
            <v>53</v>
          </cell>
          <cell r="E4382" t="str">
            <v>R97</v>
          </cell>
          <cell r="F4382">
            <v>1970</v>
          </cell>
          <cell r="G4382">
            <v>27.58</v>
          </cell>
          <cell r="H4382">
            <v>1.2</v>
          </cell>
          <cell r="I4382" t="str">
            <v>M1</v>
          </cell>
          <cell r="J4382" t="str">
            <v>IE3</v>
          </cell>
          <cell r="K4382" t="str">
            <v>400/690</v>
          </cell>
          <cell r="L4382">
            <v>50</v>
          </cell>
          <cell r="M4382" t="str">
            <v>21,5/12,4</v>
          </cell>
          <cell r="N4382">
            <v>65</v>
          </cell>
          <cell r="O4382" t="str">
            <v>155(F)</v>
          </cell>
          <cell r="P4382" t="str">
            <v>180°</v>
          </cell>
          <cell r="Q4382" t="str">
            <v>TF</v>
          </cell>
          <cell r="R4382" t="str">
            <v>V(VE)</v>
          </cell>
          <cell r="S4382" t="str">
            <v>-</v>
          </cell>
          <cell r="T4382" t="str">
            <v>-</v>
          </cell>
          <cell r="U4382" t="str">
            <v>-</v>
          </cell>
          <cell r="V4382" t="str">
            <v>FC+R</v>
          </cell>
          <cell r="W4382" t="str">
            <v>-</v>
          </cell>
          <cell r="X4382" t="str">
            <v>CLP HC 220 (-25/+60°C)</v>
          </cell>
          <cell r="Y4382" t="str">
            <v>R97EDRN160M4 /TF/VE</v>
          </cell>
          <cell r="Z4382" t="str">
            <v>SEW</v>
          </cell>
          <cell r="AB4382" t="str">
            <v>ATEX22</v>
          </cell>
          <cell r="AF4382">
            <v>53</v>
          </cell>
          <cell r="AG4382" t="str">
            <v>EDRN160M4</v>
          </cell>
          <cell r="AH4382" t="str">
            <v>R97-EDRN160M4180-X#</v>
          </cell>
        </row>
        <row r="4383">
          <cell r="A4383" t="str">
            <v>MR004372</v>
          </cell>
          <cell r="B4383" t="str">
            <v>MR</v>
          </cell>
          <cell r="C4383">
            <v>9.1999999999999993</v>
          </cell>
          <cell r="D4383">
            <v>59</v>
          </cell>
          <cell r="E4383" t="str">
            <v>R97</v>
          </cell>
          <cell r="F4383">
            <v>1500</v>
          </cell>
          <cell r="G4383">
            <v>25.03</v>
          </cell>
          <cell r="H4383">
            <v>1.45</v>
          </cell>
          <cell r="I4383" t="str">
            <v>From M1 to M2 - 15°</v>
          </cell>
          <cell r="J4383" t="str">
            <v>IE3</v>
          </cell>
          <cell r="K4383" t="str">
            <v>400/690</v>
          </cell>
          <cell r="L4383">
            <v>50</v>
          </cell>
          <cell r="M4383" t="str">
            <v>19,2/11,1</v>
          </cell>
          <cell r="N4383">
            <v>65</v>
          </cell>
          <cell r="O4383" t="str">
            <v>155(F)</v>
          </cell>
          <cell r="P4383" t="str">
            <v>180°</v>
          </cell>
          <cell r="Q4383" t="str">
            <v>TF</v>
          </cell>
          <cell r="R4383" t="str">
            <v>V(VE)</v>
          </cell>
          <cell r="S4383" t="str">
            <v>-</v>
          </cell>
          <cell r="T4383" t="str">
            <v>-</v>
          </cell>
          <cell r="U4383" t="str">
            <v>-</v>
          </cell>
          <cell r="V4383" t="str">
            <v>FC</v>
          </cell>
          <cell r="W4383" t="str">
            <v>-</v>
          </cell>
          <cell r="X4383" t="str">
            <v>CLP HC 220 (-25/+60°C)</v>
          </cell>
          <cell r="Y4383" t="str">
            <v>R97EDRN132L4 /TF/VE</v>
          </cell>
          <cell r="Z4383" t="str">
            <v>SEW</v>
          </cell>
          <cell r="AB4383" t="str">
            <v>ATEX22</v>
          </cell>
          <cell r="AF4383">
            <v>59</v>
          </cell>
          <cell r="AG4383" t="str">
            <v>EDRN132L4</v>
          </cell>
          <cell r="AH4383" t="str">
            <v>R97-EDRN132L4180-X#</v>
          </cell>
        </row>
        <row r="4384">
          <cell r="A4384" t="str">
            <v>MR004373</v>
          </cell>
          <cell r="B4384" t="str">
            <v>MR</v>
          </cell>
          <cell r="C4384">
            <v>5.5</v>
          </cell>
          <cell r="D4384">
            <v>86</v>
          </cell>
          <cell r="E4384" t="str">
            <v>R87</v>
          </cell>
          <cell r="F4384">
            <v>615</v>
          </cell>
          <cell r="G4384">
            <v>17.079999999999998</v>
          </cell>
          <cell r="H4384">
            <v>1.85</v>
          </cell>
          <cell r="I4384" t="str">
            <v>From M1 to M2 - 15°</v>
          </cell>
          <cell r="J4384" t="str">
            <v>IE3</v>
          </cell>
          <cell r="K4384" t="str">
            <v>230/400</v>
          </cell>
          <cell r="L4384">
            <v>50</v>
          </cell>
          <cell r="M4384" t="str">
            <v>18,8/10,9</v>
          </cell>
          <cell r="N4384">
            <v>65</v>
          </cell>
          <cell r="O4384" t="str">
            <v>155(F)</v>
          </cell>
          <cell r="P4384" t="str">
            <v>180°</v>
          </cell>
          <cell r="Q4384" t="str">
            <v>-</v>
          </cell>
          <cell r="R4384" t="str">
            <v>-</v>
          </cell>
          <cell r="S4384" t="str">
            <v>-</v>
          </cell>
          <cell r="T4384" t="str">
            <v>-</v>
          </cell>
          <cell r="U4384" t="str">
            <v>-</v>
          </cell>
          <cell r="V4384" t="str">
            <v>D</v>
          </cell>
          <cell r="W4384" t="str">
            <v>-</v>
          </cell>
          <cell r="X4384" t="str">
            <v>CLP HC 220 (-25/+60°C)</v>
          </cell>
          <cell r="Y4384" t="str">
            <v>R87EDRN132S4</v>
          </cell>
          <cell r="Z4384" t="str">
            <v>SEW</v>
          </cell>
          <cell r="AB4384" t="str">
            <v>ATEX22</v>
          </cell>
          <cell r="AF4384">
            <v>86</v>
          </cell>
          <cell r="AG4384" t="str">
            <v>EDRN132S4</v>
          </cell>
          <cell r="AH4384" t="str">
            <v>R87-EDRN132S4180-X</v>
          </cell>
        </row>
        <row r="4385">
          <cell r="A4385" t="str">
            <v>MR004374</v>
          </cell>
          <cell r="B4385" t="str">
            <v>ME</v>
          </cell>
          <cell r="C4385">
            <v>15</v>
          </cell>
          <cell r="D4385">
            <v>1475</v>
          </cell>
          <cell r="E4385" t="str">
            <v>1LE1003</v>
          </cell>
          <cell r="I4385" t="str">
            <v>V1-B5</v>
          </cell>
          <cell r="J4385" t="str">
            <v>IE3</v>
          </cell>
          <cell r="K4385" t="str">
            <v>400/690</v>
          </cell>
          <cell r="L4385">
            <v>50</v>
          </cell>
          <cell r="M4385" t="str">
            <v>28,5/16,4</v>
          </cell>
          <cell r="N4385">
            <v>55</v>
          </cell>
          <cell r="O4385" t="str">
            <v>155(F)</v>
          </cell>
          <cell r="P4385" t="str">
            <v>270°</v>
          </cell>
          <cell r="Q4385" t="str">
            <v>-</v>
          </cell>
          <cell r="R4385" t="str">
            <v>-</v>
          </cell>
          <cell r="S4385" t="str">
            <v>-</v>
          </cell>
          <cell r="T4385" t="str">
            <v>-</v>
          </cell>
          <cell r="U4385" t="str">
            <v>-</v>
          </cell>
          <cell r="V4385" t="str">
            <v>D</v>
          </cell>
          <cell r="W4385" t="str">
            <v>-</v>
          </cell>
          <cell r="X4385" t="str">
            <v>-</v>
          </cell>
          <cell r="Y4385" t="str">
            <v>1LE1003-1DB43-4FA4</v>
          </cell>
          <cell r="Z4385" t="str">
            <v>SIEMENS</v>
          </cell>
          <cell r="AB4385" t="str">
            <v>-</v>
          </cell>
          <cell r="AE4385" t="str">
            <v>4 POLES</v>
          </cell>
          <cell r="AF4385">
            <v>1475</v>
          </cell>
          <cell r="AG4385" t="str">
            <v>DRN160L4</v>
          </cell>
          <cell r="AH4385" t="str">
            <v>1LE1003-DRN160L4B270-X</v>
          </cell>
        </row>
        <row r="4386">
          <cell r="A4386" t="str">
            <v>MR004375</v>
          </cell>
          <cell r="B4386" t="str">
            <v>MR</v>
          </cell>
          <cell r="C4386">
            <v>5.5</v>
          </cell>
          <cell r="D4386">
            <v>80</v>
          </cell>
          <cell r="E4386" t="str">
            <v>FH67</v>
          </cell>
          <cell r="F4386">
            <v>655</v>
          </cell>
          <cell r="G4386">
            <v>18.29</v>
          </cell>
          <cell r="H4386">
            <v>1.25</v>
          </cell>
          <cell r="I4386" t="str">
            <v>From M1 to M6 - 5°</v>
          </cell>
          <cell r="J4386" t="str">
            <v>IE3</v>
          </cell>
          <cell r="K4386" t="str">
            <v>230/400</v>
          </cell>
          <cell r="L4386">
            <v>50</v>
          </cell>
          <cell r="M4386" t="str">
            <v>18,2/10,5</v>
          </cell>
          <cell r="N4386">
            <v>55</v>
          </cell>
          <cell r="O4386" t="str">
            <v>155(F)</v>
          </cell>
          <cell r="P4386" t="str">
            <v>270°</v>
          </cell>
          <cell r="Q4386" t="str">
            <v>-</v>
          </cell>
          <cell r="R4386" t="str">
            <v>-</v>
          </cell>
          <cell r="S4386" t="str">
            <v>Free rotation CW</v>
          </cell>
          <cell r="T4386" t="str">
            <v>-</v>
          </cell>
          <cell r="U4386" t="str">
            <v>G</v>
          </cell>
          <cell r="V4386" t="str">
            <v>D</v>
          </cell>
          <cell r="W4386" t="str">
            <v>-</v>
          </cell>
          <cell r="X4386" t="str">
            <v>CLP 220 (-15/+40°C)</v>
          </cell>
          <cell r="Y4386" t="str">
            <v>FH67/G DRN132S4 /RS</v>
          </cell>
          <cell r="Z4386" t="str">
            <v>SEW</v>
          </cell>
          <cell r="AB4386" t="str">
            <v>-</v>
          </cell>
          <cell r="AF4386">
            <v>80</v>
          </cell>
          <cell r="AG4386" t="str">
            <v>DRN132S4</v>
          </cell>
          <cell r="AH4386" t="str">
            <v>FH67G-DRN132S4270-X</v>
          </cell>
        </row>
        <row r="4387">
          <cell r="A4387" t="str">
            <v>MR004376</v>
          </cell>
          <cell r="B4387" t="str">
            <v>MR</v>
          </cell>
          <cell r="C4387">
            <v>11</v>
          </cell>
          <cell r="D4387">
            <v>11</v>
          </cell>
          <cell r="E4387" t="str">
            <v>KH127</v>
          </cell>
          <cell r="F4387">
            <v>9700</v>
          </cell>
          <cell r="G4387">
            <v>136.15</v>
          </cell>
          <cell r="H4387">
            <v>1.35</v>
          </cell>
          <cell r="I4387" t="str">
            <v>M4A</v>
          </cell>
          <cell r="J4387" t="str">
            <v>IE3</v>
          </cell>
          <cell r="K4387" t="str">
            <v>400/690</v>
          </cell>
          <cell r="L4387">
            <v>50</v>
          </cell>
          <cell r="M4387" t="str">
            <v>21/12,2</v>
          </cell>
          <cell r="N4387">
            <v>55</v>
          </cell>
          <cell r="O4387" t="str">
            <v>155(F)</v>
          </cell>
          <cell r="P4387" t="str">
            <v>270°</v>
          </cell>
          <cell r="Q4387" t="str">
            <v>TF</v>
          </cell>
          <cell r="R4387" t="str">
            <v>V(VE)</v>
          </cell>
          <cell r="S4387" t="str">
            <v>-</v>
          </cell>
          <cell r="T4387" t="str">
            <v>-</v>
          </cell>
          <cell r="U4387" t="str">
            <v>-</v>
          </cell>
          <cell r="V4387" t="str">
            <v>FC</v>
          </cell>
          <cell r="W4387" t="str">
            <v>-</v>
          </cell>
          <cell r="X4387" t="str">
            <v>CLP 220 (-15/+40°C)</v>
          </cell>
          <cell r="Y4387" t="str">
            <v>KH127DRN160M4 /TF/V</v>
          </cell>
          <cell r="Z4387" t="str">
            <v>SEW</v>
          </cell>
          <cell r="AB4387" t="str">
            <v>-</v>
          </cell>
          <cell r="AF4387">
            <v>11</v>
          </cell>
          <cell r="AG4387" t="str">
            <v>DRN160M4</v>
          </cell>
          <cell r="AH4387" t="str">
            <v>KH127-DRN160M4A270-X#</v>
          </cell>
        </row>
        <row r="4388">
          <cell r="A4388" t="str">
            <v>MR004377</v>
          </cell>
          <cell r="B4388" t="str">
            <v>MR</v>
          </cell>
          <cell r="C4388">
            <v>4</v>
          </cell>
          <cell r="D4388">
            <v>77.5</v>
          </cell>
          <cell r="E4388" t="str">
            <v>R87</v>
          </cell>
          <cell r="F4388">
            <v>410</v>
          </cell>
          <cell r="G4388" t="str">
            <v>19.10</v>
          </cell>
          <cell r="H4388" t="str">
            <v>3.5</v>
          </cell>
          <cell r="I4388" t="str">
            <v>From M1 to M2 - 10°</v>
          </cell>
          <cell r="J4388" t="str">
            <v>IE3</v>
          </cell>
          <cell r="K4388" t="str">
            <v>440/690</v>
          </cell>
          <cell r="L4388">
            <v>60</v>
          </cell>
          <cell r="M4388" t="str">
            <v>12,4/7,2</v>
          </cell>
          <cell r="N4388">
            <v>55</v>
          </cell>
          <cell r="O4388" t="str">
            <v>155(F)</v>
          </cell>
          <cell r="P4388" t="str">
            <v>270°</v>
          </cell>
          <cell r="Q4388" t="str">
            <v>-</v>
          </cell>
          <cell r="R4388" t="str">
            <v>-</v>
          </cell>
          <cell r="S4388" t="str">
            <v>-</v>
          </cell>
          <cell r="T4388" t="str">
            <v>-</v>
          </cell>
          <cell r="U4388" t="str">
            <v>-</v>
          </cell>
          <cell r="V4388" t="str">
            <v>D</v>
          </cell>
          <cell r="W4388" t="str">
            <v>-</v>
          </cell>
          <cell r="X4388" t="str">
            <v>CLP 220 (-15/+40°C)</v>
          </cell>
          <cell r="Y4388" t="str">
            <v>R87DRN112M4</v>
          </cell>
          <cell r="Z4388" t="str">
            <v>SEW</v>
          </cell>
          <cell r="AB4388" t="str">
            <v>-</v>
          </cell>
          <cell r="AF4388">
            <v>93</v>
          </cell>
          <cell r="AG4388" t="str">
            <v>DRN112M4</v>
          </cell>
          <cell r="AH4388" t="str">
            <v>R87-DRN112M4270-X</v>
          </cell>
        </row>
        <row r="4389">
          <cell r="A4389" t="str">
            <v>MR004378</v>
          </cell>
          <cell r="B4389" t="str">
            <v>MR</v>
          </cell>
          <cell r="C4389">
            <v>18.5</v>
          </cell>
          <cell r="D4389">
            <v>81.666666666666671</v>
          </cell>
          <cell r="E4389" t="str">
            <v>R97</v>
          </cell>
          <cell r="F4389">
            <v>1810</v>
          </cell>
          <cell r="G4389">
            <v>18.239999999999998</v>
          </cell>
          <cell r="H4389">
            <v>1.4</v>
          </cell>
          <cell r="I4389" t="str">
            <v>M1</v>
          </cell>
          <cell r="J4389" t="str">
            <v>IE3</v>
          </cell>
          <cell r="K4389" t="str">
            <v>440/690</v>
          </cell>
          <cell r="L4389">
            <v>60</v>
          </cell>
          <cell r="M4389">
            <v>30</v>
          </cell>
          <cell r="N4389">
            <v>55</v>
          </cell>
          <cell r="O4389" t="str">
            <v>155(F)</v>
          </cell>
          <cell r="P4389" t="str">
            <v>0°</v>
          </cell>
          <cell r="Q4389" t="str">
            <v>-</v>
          </cell>
          <cell r="R4389" t="str">
            <v>-</v>
          </cell>
          <cell r="S4389" t="str">
            <v>-</v>
          </cell>
          <cell r="T4389" t="str">
            <v>-</v>
          </cell>
          <cell r="U4389" t="str">
            <v>-</v>
          </cell>
          <cell r="V4389" t="str">
            <v>D</v>
          </cell>
          <cell r="W4389" t="str">
            <v>-</v>
          </cell>
          <cell r="X4389" t="str">
            <v>CLP 220 (-15/+40°C)</v>
          </cell>
          <cell r="Y4389" t="str">
            <v>R97DRN180M4</v>
          </cell>
          <cell r="Z4389" t="str">
            <v>SEW</v>
          </cell>
          <cell r="AB4389" t="str">
            <v>-</v>
          </cell>
          <cell r="AF4389">
            <v>98</v>
          </cell>
          <cell r="AG4389" t="str">
            <v>DRN180M4</v>
          </cell>
          <cell r="AH4389" t="str">
            <v>R97-DRN180M40-X</v>
          </cell>
        </row>
        <row r="4390">
          <cell r="A4390" t="str">
            <v>MR004379</v>
          </cell>
          <cell r="B4390" t="str">
            <v>MR</v>
          </cell>
          <cell r="C4390">
            <v>5.5</v>
          </cell>
          <cell r="D4390">
            <v>77.5</v>
          </cell>
          <cell r="E4390" t="str">
            <v>R87</v>
          </cell>
          <cell r="F4390">
            <v>565</v>
          </cell>
          <cell r="G4390">
            <v>19.100000000000001</v>
          </cell>
          <cell r="H4390">
            <v>2.5</v>
          </cell>
          <cell r="I4390" t="str">
            <v>From M1 to M2 - 10°</v>
          </cell>
          <cell r="J4390" t="str">
            <v>IE3</v>
          </cell>
          <cell r="K4390" t="str">
            <v>440/690</v>
          </cell>
          <cell r="L4390">
            <v>60</v>
          </cell>
          <cell r="M4390" t="str">
            <v>16,4/9,5</v>
          </cell>
          <cell r="N4390">
            <v>55</v>
          </cell>
          <cell r="O4390" t="str">
            <v>155(F)</v>
          </cell>
          <cell r="P4390" t="str">
            <v>270°</v>
          </cell>
          <cell r="Q4390" t="str">
            <v>-</v>
          </cell>
          <cell r="R4390" t="str">
            <v>-</v>
          </cell>
          <cell r="S4390" t="str">
            <v>-</v>
          </cell>
          <cell r="T4390" t="str">
            <v>-</v>
          </cell>
          <cell r="U4390" t="str">
            <v>-</v>
          </cell>
          <cell r="V4390" t="str">
            <v>D</v>
          </cell>
          <cell r="W4390" t="str">
            <v>-</v>
          </cell>
          <cell r="X4390" t="str">
            <v>CLP 220 (-15/+40°C)</v>
          </cell>
          <cell r="Y4390" t="str">
            <v>R87DRN132S4</v>
          </cell>
          <cell r="Z4390" t="str">
            <v>SEW</v>
          </cell>
          <cell r="AB4390" t="str">
            <v>-</v>
          </cell>
          <cell r="AF4390">
            <v>93</v>
          </cell>
          <cell r="AG4390" t="str">
            <v>DRN132S4</v>
          </cell>
          <cell r="AH4390" t="str">
            <v>R87-DRN132S4270-X</v>
          </cell>
        </row>
        <row r="4391">
          <cell r="A4391" t="str">
            <v>MR004380</v>
          </cell>
          <cell r="B4391" t="str">
            <v>MR</v>
          </cell>
          <cell r="C4391">
            <v>37</v>
          </cell>
          <cell r="D4391">
            <v>95</v>
          </cell>
          <cell r="E4391" t="str">
            <v>R107</v>
          </cell>
          <cell r="F4391">
            <v>3100</v>
          </cell>
          <cell r="G4391">
            <v>15.65</v>
          </cell>
          <cell r="H4391">
            <v>1.4</v>
          </cell>
          <cell r="I4391" t="str">
            <v>M1</v>
          </cell>
          <cell r="J4391" t="str">
            <v>IE3</v>
          </cell>
          <cell r="K4391" t="str">
            <v>440/690</v>
          </cell>
          <cell r="L4391">
            <v>60</v>
          </cell>
          <cell r="M4391">
            <v>58</v>
          </cell>
          <cell r="N4391">
            <v>55</v>
          </cell>
          <cell r="O4391" t="str">
            <v>155(F)</v>
          </cell>
          <cell r="P4391" t="str">
            <v>0°</v>
          </cell>
          <cell r="Q4391" t="str">
            <v>-</v>
          </cell>
          <cell r="R4391" t="str">
            <v>-</v>
          </cell>
          <cell r="S4391" t="str">
            <v>-</v>
          </cell>
          <cell r="T4391" t="str">
            <v>-</v>
          </cell>
          <cell r="U4391" t="str">
            <v>-</v>
          </cell>
          <cell r="V4391" t="str">
            <v>D</v>
          </cell>
          <cell r="W4391" t="str">
            <v>-</v>
          </cell>
          <cell r="X4391" t="str">
            <v>CLP 220 (-15/+40°C)</v>
          </cell>
          <cell r="Y4391" t="str">
            <v>R107DRN225S4</v>
          </cell>
          <cell r="Z4391" t="str">
            <v>SEW</v>
          </cell>
          <cell r="AB4391" t="str">
            <v>-</v>
          </cell>
          <cell r="AF4391">
            <v>114</v>
          </cell>
          <cell r="AG4391" t="str">
            <v>DRN225S4</v>
          </cell>
          <cell r="AH4391" t="str">
            <v>R107-DRN225S40-X</v>
          </cell>
        </row>
        <row r="4392">
          <cell r="A4392" t="str">
            <v>MR004381</v>
          </cell>
          <cell r="B4392" t="str">
            <v>MR</v>
          </cell>
          <cell r="C4392">
            <v>22</v>
          </cell>
          <cell r="D4392">
            <v>78</v>
          </cell>
          <cell r="E4392" t="str">
            <v>KH97</v>
          </cell>
          <cell r="F4392">
            <v>1380</v>
          </cell>
          <cell r="G4392">
            <v>18.96</v>
          </cell>
          <cell r="H4392">
            <v>1.6</v>
          </cell>
          <cell r="I4392" t="str">
            <v>From M4B to M1B - 15°</v>
          </cell>
          <cell r="J4392" t="str">
            <v>IE3</v>
          </cell>
          <cell r="K4392">
            <v>415</v>
          </cell>
          <cell r="L4392">
            <v>50</v>
          </cell>
          <cell r="M4392">
            <v>37</v>
          </cell>
          <cell r="N4392">
            <v>65</v>
          </cell>
          <cell r="O4392" t="str">
            <v>155(F)</v>
          </cell>
          <cell r="P4392" t="str">
            <v>270°</v>
          </cell>
          <cell r="Q4392" t="str">
            <v>-</v>
          </cell>
          <cell r="R4392" t="str">
            <v>-</v>
          </cell>
          <cell r="S4392" t="str">
            <v>Free rotation CW</v>
          </cell>
          <cell r="T4392" t="str">
            <v>-</v>
          </cell>
          <cell r="U4392" t="str">
            <v>T</v>
          </cell>
          <cell r="V4392" t="str">
            <v>SS</v>
          </cell>
          <cell r="W4392" t="str">
            <v>-</v>
          </cell>
          <cell r="X4392" t="str">
            <v>CLP HC 220 (-25/+60°C)</v>
          </cell>
          <cell r="Y4392" t="str">
            <v>KH97/T DRN180L4 /RS</v>
          </cell>
          <cell r="Z4392" t="str">
            <v>SEW</v>
          </cell>
          <cell r="AB4392" t="str">
            <v>-</v>
          </cell>
          <cell r="AD4392" t="str">
            <v>BIS</v>
          </cell>
          <cell r="AF4392">
            <v>78</v>
          </cell>
          <cell r="AG4392" t="str">
            <v>DRN180L4</v>
          </cell>
          <cell r="AH4392" t="str">
            <v>KH97T-DRN180L4B270-X</v>
          </cell>
        </row>
        <row r="4393">
          <cell r="A4393" t="str">
            <v>MR004382</v>
          </cell>
          <cell r="B4393" t="str">
            <v>MR</v>
          </cell>
          <cell r="C4393">
            <v>5.5</v>
          </cell>
          <cell r="D4393">
            <v>14</v>
          </cell>
          <cell r="E4393" t="str">
            <v>KH97</v>
          </cell>
          <cell r="F4393">
            <v>3770</v>
          </cell>
          <cell r="G4393">
            <v>105.13</v>
          </cell>
          <cell r="H4393">
            <v>1.1499999999999999</v>
          </cell>
          <cell r="I4393" t="str">
            <v>From M1A to M2A - 25°</v>
          </cell>
          <cell r="J4393" t="str">
            <v>IE3</v>
          </cell>
          <cell r="K4393" t="str">
            <v>230/400</v>
          </cell>
          <cell r="L4393">
            <v>50</v>
          </cell>
          <cell r="M4393" t="str">
            <v>18,2/10,5</v>
          </cell>
          <cell r="N4393">
            <v>65</v>
          </cell>
          <cell r="O4393" t="str">
            <v>155(F)</v>
          </cell>
          <cell r="P4393" t="str">
            <v>270°</v>
          </cell>
          <cell r="Q4393" t="str">
            <v>TF</v>
          </cell>
          <cell r="R4393" t="str">
            <v>-</v>
          </cell>
          <cell r="S4393" t="str">
            <v>-</v>
          </cell>
          <cell r="T4393" t="str">
            <v>-</v>
          </cell>
          <cell r="U4393" t="str">
            <v>-</v>
          </cell>
          <cell r="V4393" t="str">
            <v>SS</v>
          </cell>
          <cell r="W4393" t="str">
            <v>-</v>
          </cell>
          <cell r="X4393" t="str">
            <v>CLP 220 (-15/+40°C)</v>
          </cell>
          <cell r="Y4393" t="str">
            <v>KH97DRN132S4 /TF</v>
          </cell>
          <cell r="Z4393" t="str">
            <v>SEW</v>
          </cell>
          <cell r="AB4393" t="str">
            <v>-</v>
          </cell>
          <cell r="AF4393">
            <v>14</v>
          </cell>
          <cell r="AG4393" t="str">
            <v>DRN132S4</v>
          </cell>
          <cell r="AH4393" t="str">
            <v>KH97-DRN132S4A270-X</v>
          </cell>
        </row>
        <row r="4394">
          <cell r="A4394" t="str">
            <v>MR004383</v>
          </cell>
          <cell r="B4394" t="str">
            <v>MR</v>
          </cell>
          <cell r="C4394">
            <v>0.37</v>
          </cell>
          <cell r="D4394">
            <v>3.4</v>
          </cell>
          <cell r="E4394" t="str">
            <v>KA67R37</v>
          </cell>
          <cell r="F4394">
            <v>920</v>
          </cell>
          <cell r="G4394">
            <v>420</v>
          </cell>
          <cell r="H4394">
            <v>0.9</v>
          </cell>
          <cell r="I4394" t="str">
            <v>M3B</v>
          </cell>
          <cell r="J4394" t="str">
            <v>IE3</v>
          </cell>
          <cell r="K4394" t="str">
            <v>230/400</v>
          </cell>
          <cell r="L4394">
            <v>50</v>
          </cell>
          <cell r="M4394" t="str">
            <v>1,78/1,02</v>
          </cell>
          <cell r="N4394">
            <v>65</v>
          </cell>
          <cell r="O4394" t="str">
            <v>155(F)</v>
          </cell>
          <cell r="P4394" t="str">
            <v>90°</v>
          </cell>
          <cell r="Q4394" t="str">
            <v>-</v>
          </cell>
          <cell r="R4394" t="str">
            <v>-</v>
          </cell>
          <cell r="S4394" t="str">
            <v>-</v>
          </cell>
          <cell r="T4394" t="str">
            <v>BEHF</v>
          </cell>
          <cell r="U4394" t="str">
            <v>T</v>
          </cell>
          <cell r="V4394" t="str">
            <v>D+R</v>
          </cell>
          <cell r="W4394" t="str">
            <v>YES</v>
          </cell>
          <cell r="X4394" t="str">
            <v>CLP HC 150 (-30/+50°C)</v>
          </cell>
          <cell r="Y4394" t="str">
            <v>KA67R37/T DRN71M4 /BEHF</v>
          </cell>
          <cell r="Z4394" t="str">
            <v>SEW</v>
          </cell>
          <cell r="AB4394" t="str">
            <v>-</v>
          </cell>
          <cell r="AF4394">
            <v>3.4</v>
          </cell>
          <cell r="AG4394" t="str">
            <v>DRN71M4</v>
          </cell>
          <cell r="AH4394" t="str">
            <v>KA67R37T-DRN71M4B90-X</v>
          </cell>
        </row>
        <row r="4395">
          <cell r="A4395" t="str">
            <v>MR004384</v>
          </cell>
          <cell r="B4395" t="str">
            <v>MR</v>
          </cell>
          <cell r="C4395">
            <v>7.5</v>
          </cell>
          <cell r="D4395">
            <v>50</v>
          </cell>
          <cell r="E4395" t="str">
            <v>FH87</v>
          </cell>
          <cell r="F4395">
            <v>1420</v>
          </cell>
          <cell r="G4395">
            <v>29.2</v>
          </cell>
          <cell r="H4395">
            <v>1.3</v>
          </cell>
          <cell r="I4395" t="str">
            <v>M1</v>
          </cell>
          <cell r="J4395" t="str">
            <v>IE3</v>
          </cell>
          <cell r="K4395" t="str">
            <v>400/690</v>
          </cell>
          <cell r="L4395">
            <v>50</v>
          </cell>
          <cell r="M4395" t="str">
            <v>15,7/9</v>
          </cell>
          <cell r="N4395">
            <v>65</v>
          </cell>
          <cell r="O4395" t="str">
            <v>155(F)</v>
          </cell>
          <cell r="P4395" t="str">
            <v>270°</v>
          </cell>
          <cell r="Q4395" t="str">
            <v>TF</v>
          </cell>
          <cell r="R4395" t="str">
            <v>-</v>
          </cell>
          <cell r="S4395" t="str">
            <v>-</v>
          </cell>
          <cell r="T4395" t="str">
            <v>-</v>
          </cell>
          <cell r="U4395" t="str">
            <v>G</v>
          </cell>
          <cell r="V4395" t="str">
            <v>D</v>
          </cell>
          <cell r="W4395" t="str">
            <v>-</v>
          </cell>
          <cell r="X4395" t="str">
            <v>CLP HC 150 (-30/+50°C)</v>
          </cell>
          <cell r="Y4395" t="str">
            <v>FH87/G EDRN132M4 /TF</v>
          </cell>
          <cell r="Z4395" t="str">
            <v>SEW</v>
          </cell>
          <cell r="AB4395" t="str">
            <v>ATEX22</v>
          </cell>
          <cell r="AF4395">
            <v>50</v>
          </cell>
          <cell r="AG4395" t="str">
            <v>EDRN132M4</v>
          </cell>
          <cell r="AH4395" t="str">
            <v>FH87G-EDRN132M4270-X</v>
          </cell>
        </row>
        <row r="4396">
          <cell r="A4396" t="str">
            <v>MR004385</v>
          </cell>
          <cell r="B4396" t="str">
            <v>MR</v>
          </cell>
          <cell r="C4396">
            <v>11</v>
          </cell>
          <cell r="D4396">
            <v>69</v>
          </cell>
          <cell r="E4396" t="str">
            <v>FH87</v>
          </cell>
          <cell r="F4396">
            <v>1520</v>
          </cell>
          <cell r="G4396">
            <v>21.32</v>
          </cell>
          <cell r="H4396">
            <v>1.7</v>
          </cell>
          <cell r="I4396" t="str">
            <v>M1</v>
          </cell>
          <cell r="J4396" t="str">
            <v>IE3</v>
          </cell>
          <cell r="K4396" t="str">
            <v>400/690</v>
          </cell>
          <cell r="L4396">
            <v>50</v>
          </cell>
          <cell r="M4396" t="str">
            <v>21/12,2</v>
          </cell>
          <cell r="N4396">
            <v>65</v>
          </cell>
          <cell r="O4396" t="str">
            <v>155(F)</v>
          </cell>
          <cell r="P4396" t="str">
            <v>270°</v>
          </cell>
          <cell r="Q4396" t="str">
            <v>TF</v>
          </cell>
          <cell r="R4396" t="str">
            <v>-</v>
          </cell>
          <cell r="S4396" t="str">
            <v>-</v>
          </cell>
          <cell r="T4396" t="str">
            <v>-</v>
          </cell>
          <cell r="U4396" t="str">
            <v>G</v>
          </cell>
          <cell r="V4396" t="str">
            <v>D</v>
          </cell>
          <cell r="W4396" t="str">
            <v>-</v>
          </cell>
          <cell r="X4396" t="str">
            <v>CLP HC 150 (-30/+50°C)</v>
          </cell>
          <cell r="Y4396" t="str">
            <v>FH87/G EDRN160M4 /TF</v>
          </cell>
          <cell r="Z4396" t="str">
            <v>SEW</v>
          </cell>
          <cell r="AB4396" t="str">
            <v>ATEX22</v>
          </cell>
          <cell r="AF4396">
            <v>69</v>
          </cell>
          <cell r="AG4396" t="str">
            <v>EDRN160M4</v>
          </cell>
          <cell r="AH4396" t="str">
            <v>FH87G-EDRN160M4270-X</v>
          </cell>
        </row>
        <row r="4397">
          <cell r="A4397" t="str">
            <v>MR004386</v>
          </cell>
          <cell r="B4397" t="str">
            <v>MR</v>
          </cell>
          <cell r="C4397">
            <v>11</v>
          </cell>
          <cell r="D4397">
            <v>69</v>
          </cell>
          <cell r="E4397" t="str">
            <v>FH87</v>
          </cell>
          <cell r="F4397">
            <v>1520</v>
          </cell>
          <cell r="G4397">
            <v>21.32</v>
          </cell>
          <cell r="H4397">
            <v>1.7</v>
          </cell>
          <cell r="I4397" t="str">
            <v>From M1 to M4 - 15°</v>
          </cell>
          <cell r="J4397" t="str">
            <v>IE3</v>
          </cell>
          <cell r="K4397" t="str">
            <v>400/690</v>
          </cell>
          <cell r="L4397">
            <v>50</v>
          </cell>
          <cell r="M4397" t="str">
            <v>21/12,2</v>
          </cell>
          <cell r="N4397">
            <v>65</v>
          </cell>
          <cell r="O4397" t="str">
            <v>155(F)</v>
          </cell>
          <cell r="P4397" t="str">
            <v>270°</v>
          </cell>
          <cell r="Q4397" t="str">
            <v>TF</v>
          </cell>
          <cell r="R4397" t="str">
            <v>-</v>
          </cell>
          <cell r="S4397" t="str">
            <v>-</v>
          </cell>
          <cell r="T4397" t="str">
            <v>-</v>
          </cell>
          <cell r="U4397" t="str">
            <v>G</v>
          </cell>
          <cell r="V4397" t="str">
            <v>D</v>
          </cell>
          <cell r="W4397" t="str">
            <v>-</v>
          </cell>
          <cell r="X4397" t="str">
            <v>CLP HC 150 (-30/+50°C)</v>
          </cell>
          <cell r="Y4397" t="str">
            <v>FH87/G EDRN160M4 /TF</v>
          </cell>
          <cell r="Z4397" t="str">
            <v>SEW</v>
          </cell>
          <cell r="AB4397" t="str">
            <v>ATEX22</v>
          </cell>
          <cell r="AF4397">
            <v>69</v>
          </cell>
          <cell r="AG4397" t="str">
            <v>EDRN160M4</v>
          </cell>
          <cell r="AH4397" t="str">
            <v>FH87G-EDRN160M4270-X</v>
          </cell>
        </row>
        <row r="4398">
          <cell r="A4398" t="str">
            <v>MR004387</v>
          </cell>
          <cell r="B4398" t="str">
            <v>MR</v>
          </cell>
          <cell r="C4398">
            <v>7.5</v>
          </cell>
          <cell r="D4398">
            <v>15</v>
          </cell>
          <cell r="E4398" t="str">
            <v>KH107</v>
          </cell>
          <cell r="F4398">
            <v>4920</v>
          </cell>
          <cell r="G4398">
            <v>100.75</v>
          </cell>
          <cell r="H4398">
            <v>1.65</v>
          </cell>
          <cell r="I4398" t="str">
            <v>From M1A to M2A - 20°</v>
          </cell>
          <cell r="J4398" t="str">
            <v>IE3</v>
          </cell>
          <cell r="K4398" t="str">
            <v>400/690</v>
          </cell>
          <cell r="L4398">
            <v>50</v>
          </cell>
          <cell r="M4398" t="str">
            <v>15,2/8,8</v>
          </cell>
          <cell r="N4398">
            <v>65</v>
          </cell>
          <cell r="O4398" t="str">
            <v>155(F)</v>
          </cell>
          <cell r="P4398" t="str">
            <v>270°</v>
          </cell>
          <cell r="Q4398" t="str">
            <v>TF</v>
          </cell>
          <cell r="R4398" t="str">
            <v>V(VE)</v>
          </cell>
          <cell r="S4398" t="str">
            <v>-</v>
          </cell>
          <cell r="T4398" t="str">
            <v>-</v>
          </cell>
          <cell r="U4398" t="str">
            <v>-</v>
          </cell>
          <cell r="V4398" t="str">
            <v>FC</v>
          </cell>
          <cell r="W4398" t="str">
            <v>YES</v>
          </cell>
          <cell r="X4398" t="str">
            <v>CLP HC 150 (-30/+50°C)</v>
          </cell>
          <cell r="Y4398" t="str">
            <v>KH107DRN132M4 /TF/V</v>
          </cell>
          <cell r="Z4398" t="str">
            <v>SEW</v>
          </cell>
          <cell r="AB4398" t="str">
            <v>-</v>
          </cell>
          <cell r="AF4398">
            <v>15</v>
          </cell>
          <cell r="AG4398" t="str">
            <v>DRN132M4</v>
          </cell>
          <cell r="AH4398" t="str">
            <v>KH107-DRN132M4A270-X#</v>
          </cell>
        </row>
        <row r="4399">
          <cell r="A4399" t="str">
            <v>MR004388</v>
          </cell>
          <cell r="B4399" t="str">
            <v>MR</v>
          </cell>
          <cell r="C4399">
            <v>4</v>
          </cell>
          <cell r="D4399">
            <v>14</v>
          </cell>
          <cell r="E4399" t="str">
            <v>KH97</v>
          </cell>
          <cell r="F4399">
            <v>2740</v>
          </cell>
          <cell r="G4399">
            <v>105.13</v>
          </cell>
          <cell r="H4399">
            <v>1.55</v>
          </cell>
          <cell r="I4399" t="str">
            <v>From M1A to M2A - 15°</v>
          </cell>
          <cell r="J4399" t="str">
            <v>IE3</v>
          </cell>
          <cell r="K4399" t="str">
            <v>230/400</v>
          </cell>
          <cell r="L4399">
            <v>50</v>
          </cell>
          <cell r="M4399" t="str">
            <v>13,8/7,9</v>
          </cell>
          <cell r="N4399">
            <v>65</v>
          </cell>
          <cell r="O4399" t="str">
            <v>155(F)</v>
          </cell>
          <cell r="P4399" t="str">
            <v>270°</v>
          </cell>
          <cell r="Q4399" t="str">
            <v>TF</v>
          </cell>
          <cell r="R4399" t="str">
            <v>-</v>
          </cell>
          <cell r="S4399" t="str">
            <v>-</v>
          </cell>
          <cell r="T4399" t="str">
            <v>-</v>
          </cell>
          <cell r="U4399" t="str">
            <v>-</v>
          </cell>
          <cell r="V4399" t="str">
            <v>SS</v>
          </cell>
          <cell r="W4399" t="str">
            <v>YES</v>
          </cell>
          <cell r="X4399" t="str">
            <v>CLP HC 150 (-30/+50°C)</v>
          </cell>
          <cell r="Y4399" t="str">
            <v>KH97DRN112M4 /TF</v>
          </cell>
          <cell r="Z4399" t="str">
            <v>SEW</v>
          </cell>
          <cell r="AB4399" t="str">
            <v>-</v>
          </cell>
          <cell r="AF4399">
            <v>14</v>
          </cell>
          <cell r="AG4399" t="str">
            <v>DRN112M4</v>
          </cell>
          <cell r="AH4399" t="str">
            <v>KH97-DRN112M4A270-X</v>
          </cell>
        </row>
        <row r="4400">
          <cell r="A4400" t="str">
            <v>MR004389</v>
          </cell>
          <cell r="B4400" t="str">
            <v>MR</v>
          </cell>
          <cell r="C4400">
            <v>22</v>
          </cell>
          <cell r="D4400">
            <v>16</v>
          </cell>
          <cell r="E4400" t="str">
            <v>KH157</v>
          </cell>
          <cell r="F4400">
            <v>13000</v>
          </cell>
          <cell r="G4400">
            <v>91.65</v>
          </cell>
          <cell r="H4400">
            <v>1.55</v>
          </cell>
          <cell r="I4400" t="str">
            <v>From M1A to M4A - 70°</v>
          </cell>
          <cell r="J4400" t="str">
            <v>IE3</v>
          </cell>
          <cell r="K4400" t="str">
            <v>400/690</v>
          </cell>
          <cell r="L4400">
            <v>50</v>
          </cell>
          <cell r="M4400" t="str">
            <v>38,5/22,5</v>
          </cell>
          <cell r="N4400">
            <v>65</v>
          </cell>
          <cell r="O4400" t="str">
            <v>155(F)</v>
          </cell>
          <cell r="P4400" t="str">
            <v>270°</v>
          </cell>
          <cell r="Q4400" t="str">
            <v>TF</v>
          </cell>
          <cell r="R4400" t="str">
            <v>-</v>
          </cell>
          <cell r="S4400" t="str">
            <v>-</v>
          </cell>
          <cell r="T4400" t="str">
            <v>-</v>
          </cell>
          <cell r="U4400" t="str">
            <v>-</v>
          </cell>
          <cell r="V4400" t="str">
            <v>SS</v>
          </cell>
          <cell r="W4400" t="str">
            <v>-</v>
          </cell>
          <cell r="X4400" t="str">
            <v>CLP HC 220 (-25/+60°C)</v>
          </cell>
          <cell r="Y4400" t="str">
            <v>KH157DRN180L4 /TF</v>
          </cell>
          <cell r="Z4400" t="str">
            <v>SEW</v>
          </cell>
          <cell r="AB4400" t="str">
            <v>-</v>
          </cell>
          <cell r="AE4400" t="str">
            <v>Work frequency: 50Hz - constant work speed ; CAST IRON FRAME ; B61 sight glass for oil; surface protection OS4;  tropicalized, suitable for high humidity and dustiness</v>
          </cell>
          <cell r="AF4400">
            <v>16</v>
          </cell>
          <cell r="AG4400" t="str">
            <v>DRN180L4</v>
          </cell>
          <cell r="AH4400" t="str">
            <v>KH157-DRN180L4A270-X</v>
          </cell>
        </row>
        <row r="4401">
          <cell r="A4401" t="str">
            <v>MR004390</v>
          </cell>
          <cell r="B4401" t="str">
            <v>MR</v>
          </cell>
          <cell r="C4401">
            <v>22</v>
          </cell>
          <cell r="D4401">
            <v>16</v>
          </cell>
          <cell r="E4401" t="str">
            <v>KH157</v>
          </cell>
          <cell r="F4401">
            <v>13000</v>
          </cell>
          <cell r="G4401">
            <v>91.65</v>
          </cell>
          <cell r="H4401">
            <v>1.55</v>
          </cell>
          <cell r="I4401" t="str">
            <v>From M1B to M4B - 70°</v>
          </cell>
          <cell r="J4401" t="str">
            <v>IE3</v>
          </cell>
          <cell r="K4401" t="str">
            <v>400/690</v>
          </cell>
          <cell r="L4401">
            <v>50</v>
          </cell>
          <cell r="M4401" t="str">
            <v>38,5/22,5</v>
          </cell>
          <cell r="N4401">
            <v>65</v>
          </cell>
          <cell r="O4401" t="str">
            <v>155(F)</v>
          </cell>
          <cell r="P4401" t="str">
            <v>270°</v>
          </cell>
          <cell r="Q4401" t="str">
            <v>TF</v>
          </cell>
          <cell r="R4401" t="str">
            <v>-</v>
          </cell>
          <cell r="S4401" t="str">
            <v>-</v>
          </cell>
          <cell r="T4401" t="str">
            <v>-</v>
          </cell>
          <cell r="U4401" t="str">
            <v>-</v>
          </cell>
          <cell r="V4401" t="str">
            <v>SS</v>
          </cell>
          <cell r="W4401" t="str">
            <v>-</v>
          </cell>
          <cell r="X4401" t="str">
            <v>CLP HC 220 (-25/+60°C)</v>
          </cell>
          <cell r="Y4401" t="str">
            <v>KH157DRN180L4 /TF</v>
          </cell>
          <cell r="Z4401" t="str">
            <v>SEW</v>
          </cell>
          <cell r="AB4401" t="str">
            <v>-</v>
          </cell>
          <cell r="AE4401" t="str">
            <v>Work frequency: 50Hz - constant work speed ; CAST IRON FRAME ; B61 sight glass for oil; surface protection OS4;  tropicalized, suitable for high humidity and dustiness</v>
          </cell>
          <cell r="AF4401">
            <v>16</v>
          </cell>
          <cell r="AG4401" t="str">
            <v>DRN180L4</v>
          </cell>
          <cell r="AH4401" t="str">
            <v>KH157-DRN180L4B270-X</v>
          </cell>
        </row>
        <row r="4402">
          <cell r="A4402" t="str">
            <v>MR004391</v>
          </cell>
          <cell r="B4402" t="str">
            <v>MR</v>
          </cell>
          <cell r="C4402">
            <v>15</v>
          </cell>
          <cell r="D4402">
            <v>16</v>
          </cell>
          <cell r="E4402" t="str">
            <v>KH127</v>
          </cell>
          <cell r="F4402">
            <v>8730</v>
          </cell>
          <cell r="G4402">
            <v>89.89</v>
          </cell>
          <cell r="H4402">
            <v>1.5</v>
          </cell>
          <cell r="I4402" t="str">
            <v>M4A</v>
          </cell>
          <cell r="J4402" t="str">
            <v>IE3</v>
          </cell>
          <cell r="K4402" t="str">
            <v>400/690</v>
          </cell>
          <cell r="L4402">
            <v>50</v>
          </cell>
          <cell r="M4402" t="str">
            <v>48/27,5</v>
          </cell>
          <cell r="N4402">
            <v>65</v>
          </cell>
          <cell r="O4402" t="str">
            <v>155(F)</v>
          </cell>
          <cell r="P4402" t="str">
            <v>270°</v>
          </cell>
          <cell r="Q4402" t="str">
            <v>TF</v>
          </cell>
          <cell r="R4402" t="str">
            <v>-</v>
          </cell>
          <cell r="S4402" t="str">
            <v>-</v>
          </cell>
          <cell r="T4402" t="str">
            <v>-</v>
          </cell>
          <cell r="U4402" t="str">
            <v>-</v>
          </cell>
          <cell r="V4402" t="str">
            <v>SS</v>
          </cell>
          <cell r="W4402" t="str">
            <v>-</v>
          </cell>
          <cell r="X4402" t="str">
            <v>CLP HC 220 (-25/+60°C)</v>
          </cell>
          <cell r="Y4402" t="str">
            <v>KH127DRN160L4 /TF</v>
          </cell>
          <cell r="Z4402" t="str">
            <v>SEW</v>
          </cell>
          <cell r="AB4402" t="str">
            <v>-</v>
          </cell>
          <cell r="AE4402" t="str">
            <v>Work frequency: 50Hz - constant work speed ; CAST IRON FRAME ; B61 sight glass for oil; surface protection OS4;  tropicalized, suitable for high humidity and dustiness</v>
          </cell>
          <cell r="AF4402">
            <v>16</v>
          </cell>
          <cell r="AG4402" t="str">
            <v>DRN160L4</v>
          </cell>
          <cell r="AH4402" t="str">
            <v>KH127-DRN160L4A270-X</v>
          </cell>
        </row>
        <row r="4403">
          <cell r="A4403" t="str">
            <v>MR004392</v>
          </cell>
          <cell r="B4403" t="str">
            <v>MR</v>
          </cell>
          <cell r="C4403">
            <v>1.5</v>
          </cell>
          <cell r="D4403">
            <v>22</v>
          </cell>
          <cell r="E4403" t="str">
            <v>FA67</v>
          </cell>
          <cell r="F4403">
            <v>660</v>
          </cell>
          <cell r="G4403">
            <v>67.650000000000006</v>
          </cell>
          <cell r="H4403">
            <v>1.25</v>
          </cell>
          <cell r="I4403" t="str">
            <v>M5</v>
          </cell>
          <cell r="J4403" t="str">
            <v>IE3</v>
          </cell>
          <cell r="K4403" t="str">
            <v>230/400</v>
          </cell>
          <cell r="L4403">
            <v>50</v>
          </cell>
          <cell r="M4403" t="str">
            <v>5,9/3,4</v>
          </cell>
          <cell r="N4403">
            <v>65</v>
          </cell>
          <cell r="O4403" t="str">
            <v>155(F)</v>
          </cell>
          <cell r="P4403" t="str">
            <v>270°</v>
          </cell>
          <cell r="Q4403" t="str">
            <v>TF</v>
          </cell>
          <cell r="R4403" t="str">
            <v>-</v>
          </cell>
          <cell r="S4403" t="str">
            <v>-</v>
          </cell>
          <cell r="T4403" t="str">
            <v>BEHF</v>
          </cell>
          <cell r="U4403" t="str">
            <v>G</v>
          </cell>
          <cell r="V4403" t="str">
            <v>D+R</v>
          </cell>
          <cell r="W4403" t="str">
            <v>-</v>
          </cell>
          <cell r="X4403" t="str">
            <v>CLP HC 220 (-25/+60°C)</v>
          </cell>
          <cell r="Y4403" t="str">
            <v>FA67/G DRN90L4 /BEHF /TF</v>
          </cell>
          <cell r="Z4403" t="str">
            <v>SEW</v>
          </cell>
          <cell r="AB4403" t="str">
            <v>-</v>
          </cell>
          <cell r="AE4403" t="str">
            <v>Work frequency: 50Hz - constant work speed ; CAST IRON FRAME ; B61 sight glass for oil; surface protection OS4;  tropicalized, suitable for high humidity and dustiness</v>
          </cell>
          <cell r="AF4403">
            <v>22</v>
          </cell>
          <cell r="AG4403" t="str">
            <v>DRN90L4</v>
          </cell>
          <cell r="AH4403" t="str">
            <v>FA67G-DRN90L4270-X</v>
          </cell>
        </row>
        <row r="4404">
          <cell r="A4404" t="str">
            <v>MR004393</v>
          </cell>
          <cell r="B4404" t="str">
            <v>ME</v>
          </cell>
          <cell r="C4404">
            <v>4</v>
          </cell>
          <cell r="D4404">
            <v>2945</v>
          </cell>
          <cell r="E4404" t="str">
            <v>1AV3112A</v>
          </cell>
          <cell r="F4404">
            <v>13</v>
          </cell>
          <cell r="I4404" t="str">
            <v>B5</v>
          </cell>
          <cell r="J4404" t="str">
            <v>IE3</v>
          </cell>
          <cell r="K4404" t="str">
            <v>230/400</v>
          </cell>
          <cell r="L4404">
            <v>50</v>
          </cell>
          <cell r="M4404" t="str">
            <v>12,8/7,4</v>
          </cell>
          <cell r="N4404">
            <v>65</v>
          </cell>
          <cell r="O4404" t="str">
            <v>155(F)</v>
          </cell>
          <cell r="P4404" t="str">
            <v>-</v>
          </cell>
          <cell r="Q4404" t="str">
            <v>TF</v>
          </cell>
          <cell r="R4404" t="str">
            <v>-</v>
          </cell>
          <cell r="S4404" t="str">
            <v>-</v>
          </cell>
          <cell r="T4404" t="str">
            <v>-</v>
          </cell>
          <cell r="U4404" t="str">
            <v>-</v>
          </cell>
          <cell r="V4404" t="str">
            <v>D</v>
          </cell>
          <cell r="W4404" t="str">
            <v>YES</v>
          </cell>
          <cell r="X4404" t="str">
            <v>-</v>
          </cell>
          <cell r="Y4404" t="str">
            <v>1LE1003-1BA22-2FB4-Z H20+Q02</v>
          </cell>
          <cell r="Z4404" t="str">
            <v>SIEMENS</v>
          </cell>
          <cell r="AB4404" t="str">
            <v>-</v>
          </cell>
          <cell r="AF4404">
            <v>2945</v>
          </cell>
          <cell r="AG4404" t="str">
            <v>DRN112M4</v>
          </cell>
          <cell r="AH4404" t="str">
            <v>1AV3112A-DRN112M4B--X</v>
          </cell>
        </row>
        <row r="4405">
          <cell r="A4405" t="str">
            <v>MR004394</v>
          </cell>
          <cell r="B4405" t="str">
            <v>MR</v>
          </cell>
          <cell r="C4405">
            <v>22</v>
          </cell>
          <cell r="D4405">
            <v>12</v>
          </cell>
          <cell r="E4405" t="str">
            <v>KH157</v>
          </cell>
          <cell r="F4405">
            <v>17400</v>
          </cell>
          <cell r="G4405">
            <v>122.39</v>
          </cell>
          <cell r="H4405">
            <v>1.1499999999999999</v>
          </cell>
          <cell r="I4405" t="str">
            <v>From M4A to M1A - 5°</v>
          </cell>
          <cell r="J4405" t="str">
            <v>IE3</v>
          </cell>
          <cell r="K4405" t="str">
            <v>400/690</v>
          </cell>
          <cell r="L4405">
            <v>50</v>
          </cell>
          <cell r="M4405" t="str">
            <v>38,5/22,5</v>
          </cell>
          <cell r="N4405">
            <v>55</v>
          </cell>
          <cell r="O4405" t="str">
            <v>155(F)</v>
          </cell>
          <cell r="P4405" t="str">
            <v>270°</v>
          </cell>
          <cell r="Q4405" t="str">
            <v>-</v>
          </cell>
          <cell r="R4405" t="str">
            <v>-</v>
          </cell>
          <cell r="S4405" t="str">
            <v>-</v>
          </cell>
          <cell r="T4405" t="str">
            <v>-</v>
          </cell>
          <cell r="U4405" t="str">
            <v>-</v>
          </cell>
          <cell r="V4405" t="str">
            <v>SS</v>
          </cell>
          <cell r="W4405" t="str">
            <v>-</v>
          </cell>
          <cell r="X4405" t="str">
            <v>CLP 220 (-15/+40°C)</v>
          </cell>
          <cell r="Y4405" t="str">
            <v>KH157DRN180L4</v>
          </cell>
          <cell r="Z4405" t="str">
            <v>SEW</v>
          </cell>
          <cell r="AB4405" t="str">
            <v>-</v>
          </cell>
          <cell r="AF4405">
            <v>12</v>
          </cell>
          <cell r="AG4405" t="str">
            <v>DRN180L4</v>
          </cell>
          <cell r="AH4405" t="str">
            <v>KH157-DRN180L4A270-X</v>
          </cell>
        </row>
        <row r="4406">
          <cell r="A4406" t="str">
            <v>MR004395</v>
          </cell>
          <cell r="B4406" t="str">
            <v>MR</v>
          </cell>
          <cell r="C4406">
            <v>22</v>
          </cell>
          <cell r="D4406">
            <v>12</v>
          </cell>
          <cell r="E4406" t="str">
            <v>KH157</v>
          </cell>
          <cell r="F4406">
            <v>17400</v>
          </cell>
          <cell r="G4406">
            <v>122.39</v>
          </cell>
          <cell r="H4406">
            <v>1.1499999999999999</v>
          </cell>
          <cell r="I4406" t="str">
            <v>From M4B to M1B - 5°</v>
          </cell>
          <cell r="J4406" t="str">
            <v>IE3</v>
          </cell>
          <cell r="K4406" t="str">
            <v>400/690</v>
          </cell>
          <cell r="L4406">
            <v>50</v>
          </cell>
          <cell r="M4406" t="str">
            <v>38,5/22,5</v>
          </cell>
          <cell r="N4406">
            <v>55</v>
          </cell>
          <cell r="O4406" t="str">
            <v>155(F)</v>
          </cell>
          <cell r="P4406" t="str">
            <v>270°</v>
          </cell>
          <cell r="Q4406" t="str">
            <v>-</v>
          </cell>
          <cell r="R4406" t="str">
            <v>-</v>
          </cell>
          <cell r="S4406" t="str">
            <v>-</v>
          </cell>
          <cell r="T4406" t="str">
            <v>-</v>
          </cell>
          <cell r="U4406" t="str">
            <v>-</v>
          </cell>
          <cell r="V4406" t="str">
            <v>SS</v>
          </cell>
          <cell r="W4406" t="str">
            <v>-</v>
          </cell>
          <cell r="X4406" t="str">
            <v>CLP 220 (-15/+40°C)</v>
          </cell>
          <cell r="Y4406" t="str">
            <v>KH157DRN180L4</v>
          </cell>
          <cell r="Z4406" t="str">
            <v>SEW</v>
          </cell>
          <cell r="AB4406" t="str">
            <v>-</v>
          </cell>
          <cell r="AF4406">
            <v>12</v>
          </cell>
          <cell r="AG4406" t="str">
            <v>DRN180L4</v>
          </cell>
          <cell r="AH4406" t="str">
            <v>KH157-DRN180L4B270-X</v>
          </cell>
        </row>
        <row r="4407">
          <cell r="A4407" t="str">
            <v>MR004396</v>
          </cell>
          <cell r="B4407" t="str">
            <v>MR</v>
          </cell>
          <cell r="C4407">
            <v>15</v>
          </cell>
          <cell r="D4407">
            <v>12</v>
          </cell>
          <cell r="E4407" t="str">
            <v>KH127</v>
          </cell>
          <cell r="F4407">
            <v>11900</v>
          </cell>
          <cell r="G4407">
            <v>122.48</v>
          </cell>
          <cell r="H4407">
            <v>1.1000000000000001</v>
          </cell>
          <cell r="I4407" t="str">
            <v>From M4A to M1A - 10°</v>
          </cell>
          <cell r="J4407" t="str">
            <v>IE3</v>
          </cell>
          <cell r="K4407" t="str">
            <v>400/690</v>
          </cell>
          <cell r="L4407">
            <v>50</v>
          </cell>
          <cell r="M4407" t="str">
            <v>29/16,7</v>
          </cell>
          <cell r="N4407">
            <v>55</v>
          </cell>
          <cell r="O4407" t="str">
            <v>155(F)</v>
          </cell>
          <cell r="P4407" t="str">
            <v>270°</v>
          </cell>
          <cell r="Q4407" t="str">
            <v>-</v>
          </cell>
          <cell r="R4407" t="str">
            <v>-</v>
          </cell>
          <cell r="S4407" t="str">
            <v>-</v>
          </cell>
          <cell r="T4407" t="str">
            <v>-</v>
          </cell>
          <cell r="U4407" t="str">
            <v>-</v>
          </cell>
          <cell r="V4407" t="str">
            <v>SS</v>
          </cell>
          <cell r="W4407" t="str">
            <v>-</v>
          </cell>
          <cell r="X4407" t="str">
            <v>CLP 220 (-15/+40°C)</v>
          </cell>
          <cell r="Y4407" t="str">
            <v>KH127DRN160L4</v>
          </cell>
          <cell r="Z4407" t="str">
            <v>SEW</v>
          </cell>
          <cell r="AB4407" t="str">
            <v>-</v>
          </cell>
          <cell r="AF4407">
            <v>12</v>
          </cell>
          <cell r="AG4407" t="str">
            <v>DRN160L4</v>
          </cell>
          <cell r="AH4407" t="str">
            <v>KH127-DRN160L4A270-X</v>
          </cell>
        </row>
        <row r="4408">
          <cell r="A4408" t="str">
            <v>MR004397</v>
          </cell>
          <cell r="B4408" t="str">
            <v>MR</v>
          </cell>
          <cell r="C4408">
            <v>5.5</v>
          </cell>
          <cell r="D4408">
            <v>14</v>
          </cell>
          <cell r="E4408" t="str">
            <v>KH97</v>
          </cell>
          <cell r="F4408">
            <v>3780</v>
          </cell>
          <cell r="G4408">
            <v>105.13</v>
          </cell>
          <cell r="H4408">
            <v>1.1499999999999999</v>
          </cell>
          <cell r="I4408" t="str">
            <v>From M1A to M2A - 5°</v>
          </cell>
          <cell r="J4408" t="str">
            <v>IE3</v>
          </cell>
          <cell r="K4408" t="str">
            <v>230/400</v>
          </cell>
          <cell r="L4408">
            <v>50</v>
          </cell>
          <cell r="M4408" t="str">
            <v>18,2/10,5</v>
          </cell>
          <cell r="N4408">
            <v>55</v>
          </cell>
          <cell r="O4408" t="str">
            <v>155(F)</v>
          </cell>
          <cell r="P4408" t="str">
            <v>270°</v>
          </cell>
          <cell r="Q4408" t="str">
            <v>TF</v>
          </cell>
          <cell r="R4408" t="str">
            <v>V(VE)</v>
          </cell>
          <cell r="S4408" t="str">
            <v>-</v>
          </cell>
          <cell r="T4408" t="str">
            <v>-</v>
          </cell>
          <cell r="U4408" t="str">
            <v>-</v>
          </cell>
          <cell r="V4408" t="str">
            <v>FC</v>
          </cell>
          <cell r="W4408" t="str">
            <v>-</v>
          </cell>
          <cell r="X4408" t="str">
            <v>CLP 220 (-15/+40°C)</v>
          </cell>
          <cell r="Y4408" t="str">
            <v>KH97DRN132S4 /TF/V</v>
          </cell>
          <cell r="Z4408" t="str">
            <v>SEW</v>
          </cell>
          <cell r="AB4408" t="str">
            <v>-</v>
          </cell>
          <cell r="AF4408">
            <v>14</v>
          </cell>
          <cell r="AG4408" t="str">
            <v>DRN132S4</v>
          </cell>
          <cell r="AH4408" t="str">
            <v>KH97-DRN132S4A270-X#</v>
          </cell>
        </row>
        <row r="4409">
          <cell r="A4409" t="str">
            <v>MR004398</v>
          </cell>
          <cell r="B4409" t="str">
            <v>MR</v>
          </cell>
          <cell r="C4409">
            <v>5.5</v>
          </cell>
          <cell r="D4409">
            <v>14</v>
          </cell>
          <cell r="E4409" t="str">
            <v>KH97</v>
          </cell>
          <cell r="F4409">
            <v>3780</v>
          </cell>
          <cell r="G4409">
            <v>105.13</v>
          </cell>
          <cell r="H4409">
            <v>1.1499999999999999</v>
          </cell>
          <cell r="I4409" t="str">
            <v>From M1B to M2B - 5°</v>
          </cell>
          <cell r="J4409" t="str">
            <v>IE3</v>
          </cell>
          <cell r="K4409" t="str">
            <v>230/400</v>
          </cell>
          <cell r="L4409">
            <v>50</v>
          </cell>
          <cell r="M4409" t="str">
            <v>18,2/10,5</v>
          </cell>
          <cell r="N4409">
            <v>55</v>
          </cell>
          <cell r="O4409" t="str">
            <v>155(F)</v>
          </cell>
          <cell r="P4409" t="str">
            <v>270°</v>
          </cell>
          <cell r="Q4409" t="str">
            <v>TF</v>
          </cell>
          <cell r="R4409" t="str">
            <v>V(VE)</v>
          </cell>
          <cell r="S4409" t="str">
            <v>-</v>
          </cell>
          <cell r="T4409" t="str">
            <v>-</v>
          </cell>
          <cell r="U4409" t="str">
            <v>-</v>
          </cell>
          <cell r="V4409" t="str">
            <v>FC</v>
          </cell>
          <cell r="W4409" t="str">
            <v>-</v>
          </cell>
          <cell r="X4409" t="str">
            <v>CLP 220 (-15/+40°C)</v>
          </cell>
          <cell r="Y4409" t="str">
            <v>KH97DRN132S4 /TF/V</v>
          </cell>
          <cell r="Z4409" t="str">
            <v>SEW</v>
          </cell>
          <cell r="AB4409" t="str">
            <v>-</v>
          </cell>
          <cell r="AF4409">
            <v>14</v>
          </cell>
          <cell r="AG4409" t="str">
            <v>DRN132S4</v>
          </cell>
          <cell r="AH4409" t="str">
            <v>KH97-DRN132S4B270-X#</v>
          </cell>
        </row>
        <row r="4410">
          <cell r="A4410" t="str">
            <v>MR004399</v>
          </cell>
          <cell r="B4410" t="str">
            <v>MR</v>
          </cell>
          <cell r="C4410">
            <v>18.5</v>
          </cell>
          <cell r="D4410">
            <v>21</v>
          </cell>
          <cell r="E4410" t="str">
            <v>KH127</v>
          </cell>
          <cell r="F4410">
            <v>8480</v>
          </cell>
          <cell r="G4410">
            <v>70.95</v>
          </cell>
          <cell r="H4410">
            <v>1.55</v>
          </cell>
          <cell r="I4410" t="str">
            <v>From M4B to M1B - 45°</v>
          </cell>
          <cell r="J4410" t="str">
            <v>IE3</v>
          </cell>
          <cell r="K4410" t="str">
            <v>400/690</v>
          </cell>
          <cell r="L4410">
            <v>50</v>
          </cell>
          <cell r="M4410" t="str">
            <v>33,5/19,3</v>
          </cell>
          <cell r="N4410">
            <v>55</v>
          </cell>
          <cell r="O4410" t="str">
            <v>155(F)</v>
          </cell>
          <cell r="P4410" t="str">
            <v>270°</v>
          </cell>
          <cell r="Q4410" t="str">
            <v>TF</v>
          </cell>
          <cell r="R4410" t="str">
            <v>V(VE)</v>
          </cell>
          <cell r="S4410" t="str">
            <v>-</v>
          </cell>
          <cell r="T4410" t="str">
            <v>-</v>
          </cell>
          <cell r="U4410" t="str">
            <v>-</v>
          </cell>
          <cell r="V4410" t="str">
            <v>FC</v>
          </cell>
          <cell r="W4410" t="str">
            <v>-</v>
          </cell>
          <cell r="X4410" t="str">
            <v>CLP 220 (-15/+40°C)</v>
          </cell>
          <cell r="Y4410" t="str">
            <v>KH127DRN180M4 /TF/V</v>
          </cell>
          <cell r="Z4410" t="str">
            <v>SEW</v>
          </cell>
          <cell r="AB4410" t="str">
            <v>-</v>
          </cell>
          <cell r="AF4410">
            <v>21</v>
          </cell>
          <cell r="AG4410" t="str">
            <v>DRN180M4</v>
          </cell>
          <cell r="AH4410" t="str">
            <v>KH127-DRN180M4B270-X#</v>
          </cell>
        </row>
        <row r="4411">
          <cell r="A4411" t="str">
            <v>MR004400</v>
          </cell>
          <cell r="B4411" t="str">
            <v>MR</v>
          </cell>
          <cell r="C4411">
            <v>9.1999999999999993</v>
          </cell>
          <cell r="D4411">
            <v>64</v>
          </cell>
          <cell r="E4411" t="str">
            <v>KH77</v>
          </cell>
          <cell r="F4411">
            <v>1370</v>
          </cell>
          <cell r="G4411">
            <v>23.08</v>
          </cell>
          <cell r="H4411">
            <v>1.1000000000000001</v>
          </cell>
          <cell r="I4411" t="str">
            <v>From M3A to M4A - 20°</v>
          </cell>
          <cell r="J4411" t="str">
            <v>IE3</v>
          </cell>
          <cell r="K4411" t="str">
            <v>400/690</v>
          </cell>
          <cell r="L4411">
            <v>50</v>
          </cell>
          <cell r="M4411" t="str">
            <v>18,7/10,8</v>
          </cell>
          <cell r="N4411">
            <v>55</v>
          </cell>
          <cell r="O4411" t="str">
            <v>155(F)</v>
          </cell>
          <cell r="P4411" t="str">
            <v>180°</v>
          </cell>
          <cell r="Q4411" t="str">
            <v>TF</v>
          </cell>
          <cell r="R4411" t="str">
            <v>V(VE)</v>
          </cell>
          <cell r="S4411" t="str">
            <v>Free rotation CCW</v>
          </cell>
          <cell r="T4411" t="str">
            <v>-</v>
          </cell>
          <cell r="U4411" t="str">
            <v>T</v>
          </cell>
          <cell r="V4411" t="str">
            <v>FC</v>
          </cell>
          <cell r="W4411" t="str">
            <v>-</v>
          </cell>
          <cell r="X4411" t="str">
            <v>CLP 220 (-15/+40°C)</v>
          </cell>
          <cell r="Y4411" t="str">
            <v>KH77/T DRN132L4 /RS /TF/V</v>
          </cell>
          <cell r="Z4411" t="str">
            <v>SEW</v>
          </cell>
          <cell r="AB4411" t="str">
            <v>-</v>
          </cell>
          <cell r="AF4411">
            <v>64</v>
          </cell>
          <cell r="AG4411" t="str">
            <v>DRN132L4</v>
          </cell>
          <cell r="AH4411" t="str">
            <v>KH77T-DRN132L4A180-X#</v>
          </cell>
        </row>
        <row r="4412">
          <cell r="A4412" t="str">
            <v>MR004401</v>
          </cell>
          <cell r="B4412" t="str">
            <v>MR</v>
          </cell>
          <cell r="C4412">
            <v>22</v>
          </cell>
          <cell r="D4412">
            <v>16</v>
          </cell>
          <cell r="E4412" t="str">
            <v>KH157</v>
          </cell>
          <cell r="F4412">
            <v>13000</v>
          </cell>
          <cell r="G4412">
            <v>91.65</v>
          </cell>
          <cell r="H4412">
            <v>1.55</v>
          </cell>
          <cell r="I4412" t="str">
            <v>From M4B to M1B - 15°</v>
          </cell>
          <cell r="J4412" t="str">
            <v>IE3</v>
          </cell>
          <cell r="K4412" t="str">
            <v>400/690</v>
          </cell>
          <cell r="L4412">
            <v>50</v>
          </cell>
          <cell r="M4412" t="str">
            <v>38,5/22,5</v>
          </cell>
          <cell r="N4412">
            <v>55</v>
          </cell>
          <cell r="O4412" t="str">
            <v>155(F)</v>
          </cell>
          <cell r="P4412" t="str">
            <v>270°</v>
          </cell>
          <cell r="Q4412" t="str">
            <v>TF</v>
          </cell>
          <cell r="R4412" t="str">
            <v>V(VE)</v>
          </cell>
          <cell r="S4412" t="str">
            <v>-</v>
          </cell>
          <cell r="T4412" t="str">
            <v>-</v>
          </cell>
          <cell r="U4412" t="str">
            <v>-</v>
          </cell>
          <cell r="V4412" t="str">
            <v>FC</v>
          </cell>
          <cell r="W4412" t="str">
            <v>-</v>
          </cell>
          <cell r="X4412" t="str">
            <v>CLP 220 (-15/+40°C)</v>
          </cell>
          <cell r="Y4412" t="str">
            <v>KH157DRN180L4 /TF/V</v>
          </cell>
          <cell r="Z4412" t="str">
            <v>SEW</v>
          </cell>
          <cell r="AB4412" t="str">
            <v>-</v>
          </cell>
          <cell r="AF4412">
            <v>16</v>
          </cell>
          <cell r="AG4412" t="str">
            <v>DRN180L4</v>
          </cell>
          <cell r="AH4412" t="str">
            <v>KH157-DRN180L4B270-X#</v>
          </cell>
        </row>
        <row r="4413">
          <cell r="A4413" t="str">
            <v>MR004402</v>
          </cell>
          <cell r="B4413" t="str">
            <v>MR</v>
          </cell>
          <cell r="C4413">
            <v>7.5</v>
          </cell>
          <cell r="D4413">
            <v>16</v>
          </cell>
          <cell r="E4413" t="str">
            <v>KH107</v>
          </cell>
          <cell r="F4413">
            <v>4430</v>
          </cell>
          <cell r="G4413">
            <v>90.96</v>
          </cell>
          <cell r="H4413">
            <v>1.8</v>
          </cell>
          <cell r="I4413" t="str">
            <v>From M4A to M1A - 5°</v>
          </cell>
          <cell r="J4413" t="str">
            <v>IE3</v>
          </cell>
          <cell r="K4413" t="str">
            <v>400/690</v>
          </cell>
          <cell r="L4413">
            <v>50</v>
          </cell>
          <cell r="M4413" t="str">
            <v>15,2/8,8</v>
          </cell>
          <cell r="N4413">
            <v>55</v>
          </cell>
          <cell r="O4413" t="str">
            <v>155(F)</v>
          </cell>
          <cell r="P4413" t="str">
            <v>270°</v>
          </cell>
          <cell r="Q4413" t="str">
            <v>TF</v>
          </cell>
          <cell r="R4413" t="str">
            <v>V(VE)</v>
          </cell>
          <cell r="S4413" t="str">
            <v>-</v>
          </cell>
          <cell r="T4413" t="str">
            <v>-</v>
          </cell>
          <cell r="U4413" t="str">
            <v>-</v>
          </cell>
          <cell r="V4413" t="str">
            <v>FC</v>
          </cell>
          <cell r="W4413" t="str">
            <v>-</v>
          </cell>
          <cell r="X4413" t="str">
            <v>CLP 220 (-15/+40°C)</v>
          </cell>
          <cell r="Y4413" t="str">
            <v>KH107DRN132M4 /TF/V</v>
          </cell>
          <cell r="Z4413" t="str">
            <v>SEW</v>
          </cell>
          <cell r="AB4413" t="str">
            <v>-</v>
          </cell>
          <cell r="AF4413">
            <v>16</v>
          </cell>
          <cell r="AG4413" t="str">
            <v>DRN132M4</v>
          </cell>
          <cell r="AH4413" t="str">
            <v>KH107-DRN132M4A270-X#</v>
          </cell>
        </row>
        <row r="4414">
          <cell r="A4414" t="str">
            <v>MR004403</v>
          </cell>
          <cell r="B4414" t="str">
            <v>MR</v>
          </cell>
          <cell r="C4414">
            <v>15</v>
          </cell>
          <cell r="D4414">
            <v>21</v>
          </cell>
          <cell r="E4414" t="str">
            <v>KH127</v>
          </cell>
          <cell r="F4414">
            <v>6890</v>
          </cell>
          <cell r="G4414">
            <v>70.95</v>
          </cell>
          <cell r="H4414">
            <v>1.9</v>
          </cell>
          <cell r="I4414" t="str">
            <v>From M4B to M1B - 10°</v>
          </cell>
          <cell r="J4414" t="str">
            <v>IE3</v>
          </cell>
          <cell r="K4414" t="str">
            <v>400/690</v>
          </cell>
          <cell r="L4414">
            <v>50</v>
          </cell>
          <cell r="M4414" t="str">
            <v>29/16,7</v>
          </cell>
          <cell r="N4414">
            <v>55</v>
          </cell>
          <cell r="O4414" t="str">
            <v>155(F)</v>
          </cell>
          <cell r="P4414" t="str">
            <v>270°</v>
          </cell>
          <cell r="Q4414" t="str">
            <v>TF</v>
          </cell>
          <cell r="R4414" t="str">
            <v>V(VE)</v>
          </cell>
          <cell r="S4414" t="str">
            <v>-</v>
          </cell>
          <cell r="T4414" t="str">
            <v>-</v>
          </cell>
          <cell r="U4414" t="str">
            <v>-</v>
          </cell>
          <cell r="V4414" t="str">
            <v>FC</v>
          </cell>
          <cell r="W4414" t="str">
            <v>-</v>
          </cell>
          <cell r="X4414" t="str">
            <v>CLP 220 (-15/+40°C)</v>
          </cell>
          <cell r="Y4414" t="str">
            <v>KH127DRN160L4 /TF/V</v>
          </cell>
          <cell r="Z4414" t="str">
            <v>SEW</v>
          </cell>
          <cell r="AB4414" t="str">
            <v>-</v>
          </cell>
          <cell r="AF4414">
            <v>21</v>
          </cell>
          <cell r="AG4414" t="str">
            <v>DRN160L4</v>
          </cell>
          <cell r="AH4414" t="str">
            <v>KH127-DRN160L4B270-X#</v>
          </cell>
        </row>
        <row r="4415">
          <cell r="A4415" t="str">
            <v>MR004404</v>
          </cell>
          <cell r="B4415" t="str">
            <v>MR</v>
          </cell>
          <cell r="C4415">
            <v>9.1999999999999993</v>
          </cell>
          <cell r="D4415">
            <v>53</v>
          </cell>
          <cell r="E4415" t="str">
            <v>R97</v>
          </cell>
          <cell r="F4415">
            <v>1650</v>
          </cell>
          <cell r="G4415">
            <v>27.58</v>
          </cell>
          <cell r="H4415">
            <v>1.6</v>
          </cell>
          <cell r="I4415" t="str">
            <v>M1</v>
          </cell>
          <cell r="J4415" t="str">
            <v>IE3</v>
          </cell>
          <cell r="K4415" t="str">
            <v>400/690</v>
          </cell>
          <cell r="L4415">
            <v>50</v>
          </cell>
          <cell r="M4415" t="str">
            <v>18,7/10,8</v>
          </cell>
          <cell r="N4415">
            <v>55</v>
          </cell>
          <cell r="O4415" t="str">
            <v>155(F)</v>
          </cell>
          <cell r="P4415" t="str">
            <v>270°</v>
          </cell>
          <cell r="Q4415" t="str">
            <v>TF</v>
          </cell>
          <cell r="R4415" t="str">
            <v>V(VE)</v>
          </cell>
          <cell r="S4415" t="str">
            <v>-</v>
          </cell>
          <cell r="T4415" t="str">
            <v>-</v>
          </cell>
          <cell r="U4415" t="str">
            <v>-</v>
          </cell>
          <cell r="V4415" t="str">
            <v>FC</v>
          </cell>
          <cell r="W4415" t="str">
            <v>-</v>
          </cell>
          <cell r="X4415" t="str">
            <v>CLP 220 (-15/+40°C)</v>
          </cell>
          <cell r="Y4415" t="str">
            <v>R97DRN132L4 /TF/V</v>
          </cell>
          <cell r="Z4415" t="str">
            <v>SEW</v>
          </cell>
          <cell r="AB4415" t="str">
            <v>-</v>
          </cell>
          <cell r="AF4415">
            <v>53</v>
          </cell>
          <cell r="AG4415" t="str">
            <v>DRN132L4</v>
          </cell>
          <cell r="AH4415" t="str">
            <v>R97-DRN132L4270-X#</v>
          </cell>
        </row>
        <row r="4416">
          <cell r="A4416" t="str">
            <v>MR004405</v>
          </cell>
          <cell r="B4416" t="str">
            <v>MR</v>
          </cell>
          <cell r="C4416">
            <v>37</v>
          </cell>
          <cell r="D4416">
            <v>16</v>
          </cell>
          <cell r="E4416" t="str">
            <v>KH157</v>
          </cell>
          <cell r="F4416">
            <v>21900</v>
          </cell>
          <cell r="G4416">
            <v>91.65</v>
          </cell>
          <cell r="H4416">
            <v>0.9</v>
          </cell>
          <cell r="I4416" t="str">
            <v>From M4A to M1A - 25°</v>
          </cell>
          <cell r="J4416" t="str">
            <v>IE3</v>
          </cell>
          <cell r="K4416" t="str">
            <v>400/690</v>
          </cell>
          <cell r="L4416">
            <v>50</v>
          </cell>
          <cell r="M4416" t="str">
            <v>64/37</v>
          </cell>
          <cell r="N4416">
            <v>55</v>
          </cell>
          <cell r="O4416" t="str">
            <v>155(F)</v>
          </cell>
          <cell r="P4416" t="str">
            <v>270°</v>
          </cell>
          <cell r="Q4416" t="str">
            <v>TF</v>
          </cell>
          <cell r="R4416" t="str">
            <v>V(VE)</v>
          </cell>
          <cell r="S4416" t="str">
            <v>-</v>
          </cell>
          <cell r="T4416" t="str">
            <v>-</v>
          </cell>
          <cell r="U4416" t="str">
            <v>-</v>
          </cell>
          <cell r="V4416" t="str">
            <v>FC</v>
          </cell>
          <cell r="W4416" t="str">
            <v>-</v>
          </cell>
          <cell r="X4416" t="str">
            <v>CLP 220 (-15/+40°C)</v>
          </cell>
          <cell r="Y4416" t="str">
            <v>KH157DRN225S4 /TF/V</v>
          </cell>
          <cell r="Z4416" t="str">
            <v>SEW</v>
          </cell>
          <cell r="AB4416" t="str">
            <v>-</v>
          </cell>
          <cell r="AF4416">
            <v>16</v>
          </cell>
          <cell r="AG4416" t="str">
            <v>DRN225S4</v>
          </cell>
          <cell r="AH4416" t="str">
            <v>KH157-DRN225S4A270-X#</v>
          </cell>
        </row>
        <row r="4417">
          <cell r="A4417" t="str">
            <v>MR004406</v>
          </cell>
          <cell r="B4417" t="str">
            <v>MR</v>
          </cell>
          <cell r="C4417">
            <v>37</v>
          </cell>
          <cell r="D4417">
            <v>16</v>
          </cell>
          <cell r="E4417" t="str">
            <v>KH157</v>
          </cell>
          <cell r="F4417">
            <v>21900</v>
          </cell>
          <cell r="G4417">
            <v>91.65</v>
          </cell>
          <cell r="H4417">
            <v>0.9</v>
          </cell>
          <cell r="I4417" t="str">
            <v>From M4B to M1B - 25°</v>
          </cell>
          <cell r="J4417" t="str">
            <v>IE3</v>
          </cell>
          <cell r="K4417" t="str">
            <v>400/690</v>
          </cell>
          <cell r="L4417">
            <v>50</v>
          </cell>
          <cell r="M4417" t="str">
            <v>64/37</v>
          </cell>
          <cell r="N4417">
            <v>55</v>
          </cell>
          <cell r="O4417" t="str">
            <v>155(F)</v>
          </cell>
          <cell r="P4417" t="str">
            <v>270°</v>
          </cell>
          <cell r="Q4417" t="str">
            <v>TF</v>
          </cell>
          <cell r="R4417" t="str">
            <v>V(VE)</v>
          </cell>
          <cell r="S4417" t="str">
            <v>-</v>
          </cell>
          <cell r="T4417" t="str">
            <v>-</v>
          </cell>
          <cell r="U4417" t="str">
            <v>-</v>
          </cell>
          <cell r="V4417" t="str">
            <v>FC</v>
          </cell>
          <cell r="W4417" t="str">
            <v>-</v>
          </cell>
          <cell r="X4417" t="str">
            <v>CLP 220 (-15/+40°C)</v>
          </cell>
          <cell r="Y4417" t="str">
            <v>KH157DRN225S4 /TF/V</v>
          </cell>
          <cell r="Z4417" t="str">
            <v>SEW</v>
          </cell>
          <cell r="AB4417" t="str">
            <v>-</v>
          </cell>
          <cell r="AF4417">
            <v>16</v>
          </cell>
          <cell r="AG4417" t="str">
            <v>DRN225S4</v>
          </cell>
          <cell r="AH4417" t="str">
            <v>KH157-DRN225S4B270-X#</v>
          </cell>
        </row>
        <row r="4418">
          <cell r="A4418" t="str">
            <v>MR004407</v>
          </cell>
          <cell r="B4418" t="str">
            <v>MR</v>
          </cell>
          <cell r="C4418">
            <v>3</v>
          </cell>
          <cell r="D4418">
            <v>83</v>
          </cell>
          <cell r="E4418" t="str">
            <v>KA67</v>
          </cell>
          <cell r="F4418">
            <v>340</v>
          </cell>
          <cell r="G4418">
            <v>17.54</v>
          </cell>
          <cell r="H4418">
            <v>2.1</v>
          </cell>
          <cell r="I4418" t="str">
            <v>M1B</v>
          </cell>
          <cell r="J4418" t="str">
            <v>IE3</v>
          </cell>
          <cell r="K4418" t="str">
            <v>230/400</v>
          </cell>
          <cell r="L4418">
            <v>50</v>
          </cell>
          <cell r="M4418" t="str">
            <v>11,2/6,4</v>
          </cell>
          <cell r="N4418">
            <v>55</v>
          </cell>
          <cell r="O4418" t="str">
            <v>155(F)</v>
          </cell>
          <cell r="P4418" t="str">
            <v>270°</v>
          </cell>
          <cell r="Q4418" t="str">
            <v>-</v>
          </cell>
          <cell r="R4418" t="str">
            <v>-</v>
          </cell>
          <cell r="S4418" t="str">
            <v>-</v>
          </cell>
          <cell r="T4418" t="str">
            <v>-</v>
          </cell>
          <cell r="U4418" t="str">
            <v>T</v>
          </cell>
          <cell r="V4418" t="str">
            <v>D</v>
          </cell>
          <cell r="W4418" t="str">
            <v>-</v>
          </cell>
          <cell r="X4418" t="str">
            <v>CLP 220 (-15/+40°C)</v>
          </cell>
          <cell r="Y4418" t="str">
            <v>KA67/T DRN100L4</v>
          </cell>
          <cell r="Z4418" t="str">
            <v>SEW</v>
          </cell>
          <cell r="AB4418" t="str">
            <v>-</v>
          </cell>
          <cell r="AF4418">
            <v>83</v>
          </cell>
          <cell r="AG4418" t="str">
            <v>DRN100L4</v>
          </cell>
          <cell r="AH4418" t="str">
            <v>KA67T-DRN100L4B270-X</v>
          </cell>
        </row>
        <row r="4419">
          <cell r="A4419" t="str">
            <v>MR004408</v>
          </cell>
          <cell r="B4419" t="str">
            <v>ME</v>
          </cell>
          <cell r="C4419">
            <v>3</v>
          </cell>
          <cell r="D4419">
            <v>1456</v>
          </cell>
          <cell r="F4419">
            <v>19.600000000000001</v>
          </cell>
          <cell r="G4419" t="str">
            <v>-</v>
          </cell>
          <cell r="H4419" t="str">
            <v>-</v>
          </cell>
          <cell r="I4419" t="str">
            <v>M1</v>
          </cell>
          <cell r="J4419" t="str">
            <v>IE3</v>
          </cell>
          <cell r="K4419" t="str">
            <v>230/400</v>
          </cell>
          <cell r="L4419">
            <v>50</v>
          </cell>
          <cell r="M4419" t="str">
            <v>11,2/6,4</v>
          </cell>
          <cell r="N4419">
            <v>65</v>
          </cell>
          <cell r="O4419" t="str">
            <v>155(F)</v>
          </cell>
          <cell r="Q4419" t="str">
            <v>TF</v>
          </cell>
          <cell r="R4419" t="str">
            <v>-</v>
          </cell>
          <cell r="S4419" t="str">
            <v>-</v>
          </cell>
          <cell r="T4419" t="str">
            <v>-</v>
          </cell>
          <cell r="U4419" t="str">
            <v>-</v>
          </cell>
          <cell r="V4419" t="str">
            <v>-</v>
          </cell>
          <cell r="W4419" t="str">
            <v>-</v>
          </cell>
          <cell r="X4419" t="str">
            <v>-</v>
          </cell>
          <cell r="Y4419" t="str">
            <v>DRN100L4/FG/TF</v>
          </cell>
          <cell r="Z4419" t="str">
            <v>SEW</v>
          </cell>
          <cell r="AB4419" t="str">
            <v>-</v>
          </cell>
          <cell r="AE4419" t="str">
            <v>Da installare su MR003443 al posto del motore 2,2kW</v>
          </cell>
          <cell r="AF4419">
            <v>1456</v>
          </cell>
          <cell r="AG4419" t="str">
            <v>DRN100L4</v>
          </cell>
          <cell r="AH4419" t="str">
            <v>-DRN100L4-X</v>
          </cell>
        </row>
        <row r="4420">
          <cell r="A4420" t="str">
            <v>MR004409</v>
          </cell>
          <cell r="B4420" t="str">
            <v>MR</v>
          </cell>
          <cell r="C4420">
            <v>7.5</v>
          </cell>
          <cell r="D4420">
            <v>15</v>
          </cell>
          <cell r="E4420" t="str">
            <v>KH107</v>
          </cell>
          <cell r="F4420">
            <v>4920</v>
          </cell>
          <cell r="G4420" t="str">
            <v>100.75</v>
          </cell>
          <cell r="H4420">
            <v>1.65</v>
          </cell>
          <cell r="I4420" t="str">
            <v>M1B</v>
          </cell>
          <cell r="J4420" t="str">
            <v>IE3</v>
          </cell>
          <cell r="K4420" t="str">
            <v>230/400</v>
          </cell>
          <cell r="L4420">
            <v>50</v>
          </cell>
          <cell r="M4420" t="str">
            <v>26,5/15,2</v>
          </cell>
          <cell r="N4420">
            <v>65</v>
          </cell>
          <cell r="O4420" t="str">
            <v>155(F)</v>
          </cell>
          <cell r="P4420" t="str">
            <v>270°</v>
          </cell>
          <cell r="Q4420" t="str">
            <v>TF</v>
          </cell>
          <cell r="R4420" t="str">
            <v>V(VE)</v>
          </cell>
          <cell r="S4420" t="str">
            <v>-</v>
          </cell>
          <cell r="T4420" t="str">
            <v>-</v>
          </cell>
          <cell r="U4420" t="str">
            <v>-</v>
          </cell>
          <cell r="V4420" t="str">
            <v>FC</v>
          </cell>
          <cell r="W4420" t="str">
            <v>-</v>
          </cell>
          <cell r="X4420" t="str">
            <v>CLP 220 (-15/+40°C)</v>
          </cell>
          <cell r="Y4420" t="str">
            <v>KH107DRN132M4 /TF/V</v>
          </cell>
          <cell r="Z4420" t="str">
            <v>SEW</v>
          </cell>
          <cell r="AB4420" t="str">
            <v>-</v>
          </cell>
          <cell r="AF4420">
            <v>15</v>
          </cell>
          <cell r="AG4420" t="str">
            <v>DRN132M4</v>
          </cell>
          <cell r="AH4420" t="str">
            <v>KH107-DRN132M4B270-X#</v>
          </cell>
        </row>
        <row r="4421">
          <cell r="A4421" t="str">
            <v>MR004410</v>
          </cell>
          <cell r="B4421" t="str">
            <v>MR</v>
          </cell>
          <cell r="C4421">
            <v>0.75</v>
          </cell>
          <cell r="D4421">
            <v>162</v>
          </cell>
          <cell r="E4421" t="str">
            <v>KA37</v>
          </cell>
          <cell r="F4421">
            <v>44</v>
          </cell>
          <cell r="G4421">
            <v>8.91</v>
          </cell>
          <cell r="H4421">
            <v>3.6</v>
          </cell>
          <cell r="I4421" t="str">
            <v>From M3A to M2A - 15°</v>
          </cell>
          <cell r="J4421" t="str">
            <v>IE3</v>
          </cell>
          <cell r="K4421" t="str">
            <v>240/415</v>
          </cell>
          <cell r="L4421">
            <v>50</v>
          </cell>
          <cell r="M4421" t="str">
            <v>2,9/1,69</v>
          </cell>
          <cell r="N4421">
            <v>65</v>
          </cell>
          <cell r="O4421" t="str">
            <v>155(F)</v>
          </cell>
          <cell r="P4421" t="str">
            <v>180°</v>
          </cell>
          <cell r="Q4421" t="str">
            <v>-</v>
          </cell>
          <cell r="R4421" t="str">
            <v>-</v>
          </cell>
          <cell r="S4421" t="str">
            <v>-</v>
          </cell>
          <cell r="T4421" t="str">
            <v>-</v>
          </cell>
          <cell r="U4421" t="str">
            <v>T</v>
          </cell>
          <cell r="V4421" t="str">
            <v>D</v>
          </cell>
          <cell r="W4421" t="str">
            <v>-</v>
          </cell>
          <cell r="X4421" t="str">
            <v>CLP HC 220 (-25/+60°C)</v>
          </cell>
          <cell r="Y4421" t="str">
            <v>KA37/T DRN80M4</v>
          </cell>
          <cell r="Z4421" t="str">
            <v>SEW</v>
          </cell>
          <cell r="AB4421" t="str">
            <v>-</v>
          </cell>
          <cell r="AD4421" t="str">
            <v>BIS</v>
          </cell>
          <cell r="AF4421">
            <v>162</v>
          </cell>
          <cell r="AG4421" t="str">
            <v>DRN80M4</v>
          </cell>
          <cell r="AH4421" t="str">
            <v>KA37T-DRN80M4A180-X</v>
          </cell>
        </row>
        <row r="4422">
          <cell r="A4422" t="str">
            <v>MR004411</v>
          </cell>
          <cell r="B4422" t="str">
            <v>MR</v>
          </cell>
          <cell r="C4422">
            <v>9.1999999999999993</v>
          </cell>
          <cell r="D4422">
            <v>13</v>
          </cell>
          <cell r="E4422" t="str">
            <v>KH107</v>
          </cell>
          <cell r="F4422">
            <v>6720</v>
          </cell>
          <cell r="G4422">
            <v>112.41</v>
          </cell>
          <cell r="H4422">
            <v>1.2</v>
          </cell>
          <cell r="I4422" t="str">
            <v>M1B</v>
          </cell>
          <cell r="J4422" t="str">
            <v>IE3</v>
          </cell>
          <cell r="K4422" t="str">
            <v>400/690</v>
          </cell>
          <cell r="L4422">
            <v>50</v>
          </cell>
          <cell r="M4422" t="str">
            <v>18,7/10,8</v>
          </cell>
          <cell r="N4422">
            <v>65</v>
          </cell>
          <cell r="O4422" t="str">
            <v>155(F)</v>
          </cell>
          <cell r="P4422" t="str">
            <v>270°</v>
          </cell>
          <cell r="Q4422" t="str">
            <v>TF</v>
          </cell>
          <cell r="R4422" t="str">
            <v>-</v>
          </cell>
          <cell r="S4422" t="str">
            <v>-</v>
          </cell>
          <cell r="T4422" t="str">
            <v>-</v>
          </cell>
          <cell r="U4422" t="str">
            <v>-</v>
          </cell>
          <cell r="V4422" t="str">
            <v>FC</v>
          </cell>
          <cell r="W4422" t="str">
            <v>YES</v>
          </cell>
          <cell r="X4422" t="str">
            <v>CLP HC 150 (-30/+50°C)</v>
          </cell>
          <cell r="Y4422" t="str">
            <v>KH107DRN132L4 /TF</v>
          </cell>
          <cell r="Z4422" t="str">
            <v>SEW</v>
          </cell>
          <cell r="AB4422" t="str">
            <v>-</v>
          </cell>
          <cell r="AF4422">
            <v>13</v>
          </cell>
          <cell r="AG4422" t="str">
            <v>DRN132L4</v>
          </cell>
          <cell r="AH4422" t="str">
            <v>KH107-DRN132L4B270-X</v>
          </cell>
        </row>
        <row r="4423">
          <cell r="A4423" t="str">
            <v>MR004412</v>
          </cell>
          <cell r="B4423" t="str">
            <v>MR</v>
          </cell>
          <cell r="C4423">
            <v>9.1999999999999993</v>
          </cell>
          <cell r="D4423">
            <v>13</v>
          </cell>
          <cell r="E4423" t="str">
            <v>KH107</v>
          </cell>
          <cell r="F4423">
            <v>6720</v>
          </cell>
          <cell r="G4423">
            <v>112.41</v>
          </cell>
          <cell r="H4423">
            <v>1.2</v>
          </cell>
          <cell r="I4423" t="str">
            <v>From M1B to M2B - 5°</v>
          </cell>
          <cell r="J4423" t="str">
            <v>IE3</v>
          </cell>
          <cell r="K4423" t="str">
            <v>400/690</v>
          </cell>
          <cell r="L4423">
            <v>50</v>
          </cell>
          <cell r="M4423" t="str">
            <v>18,7/10,8</v>
          </cell>
          <cell r="N4423">
            <v>65</v>
          </cell>
          <cell r="O4423" t="str">
            <v>155(F)</v>
          </cell>
          <cell r="P4423" t="str">
            <v>270°</v>
          </cell>
          <cell r="Q4423" t="str">
            <v>TF</v>
          </cell>
          <cell r="R4423" t="str">
            <v>-</v>
          </cell>
          <cell r="S4423" t="str">
            <v>-</v>
          </cell>
          <cell r="T4423" t="str">
            <v>-</v>
          </cell>
          <cell r="U4423" t="str">
            <v>-</v>
          </cell>
          <cell r="V4423" t="str">
            <v>FC</v>
          </cell>
          <cell r="W4423" t="str">
            <v>YES</v>
          </cell>
          <cell r="X4423" t="str">
            <v>CLP HC 150 (-30/+50°C)</v>
          </cell>
          <cell r="Y4423" t="str">
            <v>KH107DRN132L4 /TF</v>
          </cell>
          <cell r="Z4423" t="str">
            <v>SEW</v>
          </cell>
          <cell r="AB4423" t="str">
            <v>-</v>
          </cell>
          <cell r="AF4423">
            <v>13</v>
          </cell>
          <cell r="AG4423" t="str">
            <v>DRN132L4</v>
          </cell>
          <cell r="AH4423" t="str">
            <v>KH107-DRN132L4B270-X</v>
          </cell>
        </row>
        <row r="4424">
          <cell r="A4424" t="str">
            <v>MR004413</v>
          </cell>
          <cell r="B4424" t="str">
            <v>MR</v>
          </cell>
          <cell r="C4424">
            <v>22</v>
          </cell>
          <cell r="D4424">
            <v>15</v>
          </cell>
          <cell r="E4424" t="str">
            <v>KH157</v>
          </cell>
          <cell r="F4424">
            <v>14200</v>
          </cell>
          <cell r="G4424">
            <v>100.22</v>
          </cell>
          <cell r="H4424">
            <v>1.4</v>
          </cell>
          <cell r="I4424" t="str">
            <v>From M1B to M2B-10°</v>
          </cell>
          <cell r="J4424" t="str">
            <v>IE4</v>
          </cell>
          <cell r="K4424" t="str">
            <v>400/690</v>
          </cell>
          <cell r="L4424">
            <v>50</v>
          </cell>
          <cell r="M4424" t="str">
            <v>41/23,5</v>
          </cell>
          <cell r="N4424">
            <v>55</v>
          </cell>
          <cell r="O4424" t="str">
            <v>155(F)</v>
          </cell>
          <cell r="P4424" t="str">
            <v>0°</v>
          </cell>
          <cell r="Q4424" t="str">
            <v>TF</v>
          </cell>
          <cell r="R4424" t="str">
            <v>V(VE)</v>
          </cell>
          <cell r="S4424" t="str">
            <v>-</v>
          </cell>
          <cell r="T4424" t="str">
            <v>-</v>
          </cell>
          <cell r="U4424" t="str">
            <v>-</v>
          </cell>
          <cell r="V4424" t="str">
            <v>FC</v>
          </cell>
          <cell r="W4424" t="str">
            <v>-</v>
          </cell>
          <cell r="X4424" t="str">
            <v>CLP 220 (-15/+40°C)</v>
          </cell>
          <cell r="Y4424" t="str">
            <v>KH157DRU200L4 /TF/V</v>
          </cell>
          <cell r="Z4424" t="str">
            <v>SEW</v>
          </cell>
          <cell r="AB4424" t="str">
            <v>-</v>
          </cell>
          <cell r="AF4424">
            <v>15</v>
          </cell>
          <cell r="AG4424" t="str">
            <v>DRU200L4</v>
          </cell>
          <cell r="AH4424" t="str">
            <v>KH157-DRU200L4B0-X#</v>
          </cell>
        </row>
        <row r="4425">
          <cell r="A4425" t="str">
            <v>MR004414</v>
          </cell>
          <cell r="B4425" t="str">
            <v>MR</v>
          </cell>
          <cell r="C4425">
            <v>22</v>
          </cell>
          <cell r="D4425">
            <v>15</v>
          </cell>
          <cell r="E4425" t="str">
            <v>KH157</v>
          </cell>
          <cell r="F4425">
            <v>14200</v>
          </cell>
          <cell r="G4425">
            <v>100.22</v>
          </cell>
          <cell r="H4425">
            <v>1.4</v>
          </cell>
          <cell r="I4425" t="str">
            <v>From M1A to M2A-15°</v>
          </cell>
          <cell r="J4425" t="str">
            <v>IE4</v>
          </cell>
          <cell r="K4425" t="str">
            <v>400/690</v>
          </cell>
          <cell r="L4425">
            <v>50</v>
          </cell>
          <cell r="M4425" t="str">
            <v>41/23,5</v>
          </cell>
          <cell r="N4425">
            <v>55</v>
          </cell>
          <cell r="O4425" t="str">
            <v>155(F)</v>
          </cell>
          <cell r="P4425" t="str">
            <v>180°</v>
          </cell>
          <cell r="Q4425" t="str">
            <v>TF</v>
          </cell>
          <cell r="R4425" t="str">
            <v>V(VE)</v>
          </cell>
          <cell r="S4425" t="str">
            <v>-</v>
          </cell>
          <cell r="T4425" t="str">
            <v>-</v>
          </cell>
          <cell r="U4425" t="str">
            <v>-</v>
          </cell>
          <cell r="V4425" t="str">
            <v>FC</v>
          </cell>
          <cell r="W4425" t="str">
            <v>-</v>
          </cell>
          <cell r="X4425" t="str">
            <v>CLP 220 (-15/+40°C)</v>
          </cell>
          <cell r="Y4425" t="str">
            <v>KH157DRU200L4 /TF/V</v>
          </cell>
          <cell r="Z4425" t="str">
            <v>SEW</v>
          </cell>
          <cell r="AB4425" t="str">
            <v>-</v>
          </cell>
          <cell r="AF4425">
            <v>15</v>
          </cell>
          <cell r="AG4425" t="str">
            <v>DRU200L4</v>
          </cell>
          <cell r="AH4425" t="str">
            <v>KH157-DRU200L4A180-X#</v>
          </cell>
        </row>
        <row r="4426">
          <cell r="A4426" t="str">
            <v>MR004415</v>
          </cell>
          <cell r="B4426" t="str">
            <v>MR</v>
          </cell>
          <cell r="C4426">
            <v>22</v>
          </cell>
          <cell r="D4426">
            <v>21</v>
          </cell>
          <cell r="E4426" t="str">
            <v>FH127</v>
          </cell>
          <cell r="F4426">
            <v>9960</v>
          </cell>
          <cell r="G4426">
            <v>70.069999999999993</v>
          </cell>
          <cell r="H4426">
            <v>1.2</v>
          </cell>
          <cell r="I4426" t="str">
            <v>From M1 to M2 - 15°</v>
          </cell>
          <cell r="J4426" t="str">
            <v>IE3</v>
          </cell>
          <cell r="K4426" t="str">
            <v>230/400</v>
          </cell>
          <cell r="L4426">
            <v>50</v>
          </cell>
          <cell r="M4426" t="str">
            <v>67/38,5</v>
          </cell>
          <cell r="N4426">
            <v>65</v>
          </cell>
          <cell r="O4426" t="str">
            <v>155(F)</v>
          </cell>
          <cell r="P4426" t="str">
            <v>270°</v>
          </cell>
          <cell r="Q4426" t="str">
            <v>TF</v>
          </cell>
          <cell r="R4426" t="str">
            <v>V(VE)</v>
          </cell>
          <cell r="S4426" t="str">
            <v>-</v>
          </cell>
          <cell r="T4426" t="str">
            <v>-</v>
          </cell>
          <cell r="U4426" t="str">
            <v>G</v>
          </cell>
          <cell r="V4426" t="str">
            <v>FC</v>
          </cell>
          <cell r="W4426" t="str">
            <v>-</v>
          </cell>
          <cell r="X4426" t="str">
            <v>CLP HC 220 (-25/+60°C)</v>
          </cell>
          <cell r="Y4426" t="str">
            <v>FH127/G DRN180L4 /TF/V</v>
          </cell>
          <cell r="Z4426" t="str">
            <v>SEW</v>
          </cell>
          <cell r="AB4426" t="str">
            <v>-</v>
          </cell>
          <cell r="AF4426">
            <v>21</v>
          </cell>
          <cell r="AG4426" t="str">
            <v>DRN180L4</v>
          </cell>
          <cell r="AH4426" t="str">
            <v>FH127G-DRN180L4270-X#</v>
          </cell>
        </row>
        <row r="4427">
          <cell r="A4427" t="str">
            <v>MR004416</v>
          </cell>
          <cell r="B4427" t="str">
            <v>MR</v>
          </cell>
          <cell r="C4427">
            <v>15</v>
          </cell>
          <cell r="D4427">
            <v>54</v>
          </cell>
          <cell r="E4427" t="str">
            <v>FH97</v>
          </cell>
          <cell r="F4427">
            <v>2660</v>
          </cell>
          <cell r="G4427">
            <v>27.44</v>
          </cell>
          <cell r="H4427">
            <v>1.6</v>
          </cell>
          <cell r="I4427" t="str">
            <v>From M1 to M2 - 20°</v>
          </cell>
          <cell r="J4427" t="str">
            <v>IE3</v>
          </cell>
          <cell r="K4427" t="str">
            <v>230/400</v>
          </cell>
          <cell r="L4427">
            <v>50</v>
          </cell>
          <cell r="M4427" t="str">
            <v>50/29</v>
          </cell>
          <cell r="N4427">
            <v>65</v>
          </cell>
          <cell r="O4427" t="str">
            <v>155(F)</v>
          </cell>
          <cell r="P4427" t="str">
            <v>270°</v>
          </cell>
          <cell r="Q4427" t="str">
            <v>TF</v>
          </cell>
          <cell r="R4427" t="str">
            <v>-</v>
          </cell>
          <cell r="S4427" t="str">
            <v>-</v>
          </cell>
          <cell r="T4427" t="str">
            <v>-</v>
          </cell>
          <cell r="U4427" t="str">
            <v>G</v>
          </cell>
          <cell r="V4427" t="str">
            <v>D</v>
          </cell>
          <cell r="W4427" t="str">
            <v>-</v>
          </cell>
          <cell r="X4427" t="str">
            <v>CLP HC 220 (-25/+60°C)</v>
          </cell>
          <cell r="Y4427" t="str">
            <v>FH97/G DRN160L4 /TF</v>
          </cell>
          <cell r="Z4427" t="str">
            <v>SEW</v>
          </cell>
          <cell r="AB4427" t="str">
            <v>-</v>
          </cell>
          <cell r="AF4427">
            <v>54</v>
          </cell>
          <cell r="AG4427" t="str">
            <v>DRN160L4</v>
          </cell>
          <cell r="AH4427" t="str">
            <v>FH97G-DRN160L4270-X</v>
          </cell>
        </row>
        <row r="4428">
          <cell r="A4428" t="str">
            <v>MR004417</v>
          </cell>
          <cell r="B4428" t="str">
            <v>MR</v>
          </cell>
          <cell r="C4428">
            <v>2.2000000000000002</v>
          </cell>
          <cell r="D4428">
            <v>20</v>
          </cell>
          <cell r="E4428" t="str">
            <v>FH77</v>
          </cell>
          <cell r="F4428">
            <v>1050</v>
          </cell>
          <cell r="G4428">
            <v>72.5</v>
          </cell>
          <cell r="H4428">
            <v>1.45</v>
          </cell>
          <cell r="I4428" t="str">
            <v>From M5 to M4 - 15°</v>
          </cell>
          <cell r="J4428" t="str">
            <v>IE3</v>
          </cell>
          <cell r="K4428" t="str">
            <v>230/400</v>
          </cell>
          <cell r="L4428">
            <v>50</v>
          </cell>
          <cell r="M4428" t="str">
            <v>8,3/4,75</v>
          </cell>
          <cell r="N4428">
            <v>65</v>
          </cell>
          <cell r="O4428" t="str">
            <v>155(F)</v>
          </cell>
          <cell r="P4428" t="str">
            <v>180°</v>
          </cell>
          <cell r="Q4428" t="str">
            <v>TF</v>
          </cell>
          <cell r="R4428" t="str">
            <v>-</v>
          </cell>
          <cell r="S4428" t="str">
            <v>-</v>
          </cell>
          <cell r="T4428" t="str">
            <v>-</v>
          </cell>
          <cell r="U4428" t="str">
            <v>G</v>
          </cell>
          <cell r="V4428" t="str">
            <v>D</v>
          </cell>
          <cell r="W4428" t="str">
            <v>-</v>
          </cell>
          <cell r="X4428" t="str">
            <v>CLP HC 220 (-25/+60°C)</v>
          </cell>
          <cell r="Y4428" t="str">
            <v>FH77/G DRN100LS4 /TF</v>
          </cell>
          <cell r="Z4428" t="str">
            <v>SEW</v>
          </cell>
          <cell r="AB4428" t="str">
            <v>-</v>
          </cell>
          <cell r="AF4428">
            <v>20</v>
          </cell>
          <cell r="AG4428" t="str">
            <v>DRN100LS4</v>
          </cell>
          <cell r="AH4428" t="str">
            <v>FH77G-DRN100LS4180-X</v>
          </cell>
        </row>
        <row r="4429">
          <cell r="A4429" t="str">
            <v>MR004418</v>
          </cell>
          <cell r="B4429" t="str">
            <v>MR</v>
          </cell>
          <cell r="C4429">
            <v>15</v>
          </cell>
          <cell r="D4429">
            <v>38</v>
          </cell>
          <cell r="E4429" t="str">
            <v>FH97</v>
          </cell>
          <cell r="F4429">
            <v>3770</v>
          </cell>
          <cell r="G4429">
            <v>38.86</v>
          </cell>
          <cell r="H4429">
            <v>1.1499999999999999</v>
          </cell>
          <cell r="I4429" t="str">
            <v>M1</v>
          </cell>
          <cell r="J4429" t="str">
            <v>IE3</v>
          </cell>
          <cell r="K4429" t="str">
            <v>230/400</v>
          </cell>
          <cell r="L4429">
            <v>50</v>
          </cell>
          <cell r="M4429" t="str">
            <v>50/29</v>
          </cell>
          <cell r="N4429">
            <v>65</v>
          </cell>
          <cell r="O4429" t="str">
            <v>155(F)</v>
          </cell>
          <cell r="P4429" t="str">
            <v>270°</v>
          </cell>
          <cell r="Q4429" t="str">
            <v>TF</v>
          </cell>
          <cell r="R4429" t="str">
            <v>-</v>
          </cell>
          <cell r="S4429" t="str">
            <v>-</v>
          </cell>
          <cell r="T4429" t="str">
            <v>-</v>
          </cell>
          <cell r="U4429" t="str">
            <v>G</v>
          </cell>
          <cell r="V4429" t="str">
            <v>D+R</v>
          </cell>
          <cell r="W4429" t="str">
            <v>-</v>
          </cell>
          <cell r="X4429" t="str">
            <v>CLP HC 220 (-25/+60°C)</v>
          </cell>
          <cell r="Y4429" t="str">
            <v>FH97/G DRN160L4 /TF</v>
          </cell>
          <cell r="Z4429" t="str">
            <v>SEW</v>
          </cell>
          <cell r="AB4429" t="str">
            <v>-</v>
          </cell>
          <cell r="AF4429">
            <v>38</v>
          </cell>
          <cell r="AG4429" t="str">
            <v>DRN160L4</v>
          </cell>
          <cell r="AH4429" t="str">
            <v>FH97G-DRN160L4270-X</v>
          </cell>
        </row>
        <row r="4430">
          <cell r="A4430" t="str">
            <v>MR004419</v>
          </cell>
          <cell r="B4430" t="str">
            <v>MR</v>
          </cell>
          <cell r="C4430">
            <v>5.5</v>
          </cell>
          <cell r="D4430">
            <v>57</v>
          </cell>
          <cell r="E4430" t="str">
            <v>FH77</v>
          </cell>
          <cell r="F4430">
            <v>910</v>
          </cell>
          <cell r="G4430">
            <v>25.54</v>
          </cell>
          <cell r="H4430">
            <v>1.6</v>
          </cell>
          <cell r="I4430" t="str">
            <v>M1</v>
          </cell>
          <cell r="J4430" t="str">
            <v>IE3</v>
          </cell>
          <cell r="K4430" t="str">
            <v>230/400</v>
          </cell>
          <cell r="L4430">
            <v>50</v>
          </cell>
          <cell r="M4430" t="str">
            <v>18,2/10,5</v>
          </cell>
          <cell r="N4430">
            <v>65</v>
          </cell>
          <cell r="O4430" t="str">
            <v>155(F)</v>
          </cell>
          <cell r="P4430" t="str">
            <v>270°</v>
          </cell>
          <cell r="Q4430" t="str">
            <v>TF</v>
          </cell>
          <cell r="R4430" t="str">
            <v>-</v>
          </cell>
          <cell r="S4430" t="str">
            <v>-</v>
          </cell>
          <cell r="T4430" t="str">
            <v>-</v>
          </cell>
          <cell r="U4430" t="str">
            <v>G</v>
          </cell>
          <cell r="V4430" t="str">
            <v>D</v>
          </cell>
          <cell r="W4430" t="str">
            <v>-</v>
          </cell>
          <cell r="X4430" t="str">
            <v>CLP HC 220 (-25/+60°C)</v>
          </cell>
          <cell r="Y4430" t="str">
            <v>FH77/G DRN132S4 /TF</v>
          </cell>
          <cell r="Z4430" t="str">
            <v>SEW</v>
          </cell>
          <cell r="AB4430" t="str">
            <v>-</v>
          </cell>
          <cell r="AF4430">
            <v>57</v>
          </cell>
          <cell r="AG4430" t="str">
            <v>DRN132S4</v>
          </cell>
          <cell r="AH4430" t="str">
            <v>FH77G-DRN132S4270-X</v>
          </cell>
        </row>
        <row r="4431">
          <cell r="A4431" t="str">
            <v>MR004420</v>
          </cell>
          <cell r="B4431" t="str">
            <v>MR</v>
          </cell>
          <cell r="C4431">
            <v>3</v>
          </cell>
          <cell r="D4431">
            <v>75</v>
          </cell>
          <cell r="E4431" t="str">
            <v>KH67</v>
          </cell>
          <cell r="F4431">
            <v>375</v>
          </cell>
          <cell r="G4431">
            <v>19.3</v>
          </cell>
          <cell r="H4431">
            <v>2</v>
          </cell>
          <cell r="I4431" t="str">
            <v>From M3B to M2B - 5°</v>
          </cell>
          <cell r="J4431" t="str">
            <v>IE3</v>
          </cell>
          <cell r="K4431" t="str">
            <v>230/400</v>
          </cell>
          <cell r="L4431">
            <v>50</v>
          </cell>
          <cell r="M4431" t="str">
            <v>11,2/6,4</v>
          </cell>
          <cell r="N4431">
            <v>65</v>
          </cell>
          <cell r="O4431" t="str">
            <v>155(F)</v>
          </cell>
          <cell r="P4431" t="str">
            <v>0°</v>
          </cell>
          <cell r="Q4431" t="str">
            <v>TF</v>
          </cell>
          <cell r="R4431" t="str">
            <v>V(VE)</v>
          </cell>
          <cell r="S4431" t="str">
            <v>-</v>
          </cell>
          <cell r="T4431" t="str">
            <v>-</v>
          </cell>
          <cell r="U4431" t="str">
            <v>T</v>
          </cell>
          <cell r="V4431" t="str">
            <v>FC</v>
          </cell>
          <cell r="W4431" t="str">
            <v>-</v>
          </cell>
          <cell r="X4431" t="str">
            <v>CLP HC 220 (-25/+60°C)</v>
          </cell>
          <cell r="Y4431" t="str">
            <v>KH67/T DRN100L4 /TF/V</v>
          </cell>
          <cell r="Z4431" t="str">
            <v>SEW</v>
          </cell>
          <cell r="AB4431" t="str">
            <v>-</v>
          </cell>
          <cell r="AF4431">
            <v>75</v>
          </cell>
          <cell r="AG4431" t="str">
            <v>DRN100L4</v>
          </cell>
          <cell r="AH4431" t="str">
            <v>KH67T-DRN100L4B0-X#</v>
          </cell>
        </row>
        <row r="4432">
          <cell r="A4432" t="str">
            <v>MR004421</v>
          </cell>
          <cell r="B4432" t="str">
            <v>MR</v>
          </cell>
          <cell r="C4432">
            <v>9.1999999999999993</v>
          </cell>
          <cell r="D4432">
            <v>16</v>
          </cell>
          <cell r="E4432" t="str">
            <v>KH107</v>
          </cell>
          <cell r="F4432">
            <v>5440</v>
          </cell>
          <cell r="G4432">
            <v>90.96</v>
          </cell>
          <cell r="H4432">
            <v>1.35</v>
          </cell>
          <cell r="I4432" t="str">
            <v>From M1A to M2A - 35°</v>
          </cell>
          <cell r="J4432" t="str">
            <v>IE3</v>
          </cell>
          <cell r="K4432" t="str">
            <v>400/690</v>
          </cell>
          <cell r="L4432">
            <v>50</v>
          </cell>
          <cell r="M4432" t="str">
            <v>19,2/11,1</v>
          </cell>
          <cell r="N4432">
            <v>55</v>
          </cell>
          <cell r="O4432" t="str">
            <v>155(F)</v>
          </cell>
          <cell r="P4432" t="str">
            <v>270°</v>
          </cell>
          <cell r="Q4432" t="str">
            <v>TF</v>
          </cell>
          <cell r="R4432" t="str">
            <v>-</v>
          </cell>
          <cell r="S4432" t="str">
            <v>-</v>
          </cell>
          <cell r="T4432" t="str">
            <v>-</v>
          </cell>
          <cell r="U4432" t="str">
            <v>-</v>
          </cell>
          <cell r="V4432" t="str">
            <v>SS</v>
          </cell>
          <cell r="W4432" t="str">
            <v>-</v>
          </cell>
          <cell r="X4432" t="str">
            <v>CLP HC 150 (-30/+50°C)</v>
          </cell>
          <cell r="Y4432" t="str">
            <v>K107/II2GDEDRN132L4/3D/TF/AL</v>
          </cell>
          <cell r="Z4432" t="str">
            <v>SEW</v>
          </cell>
          <cell r="AB4432" t="str">
            <v>ATEX22</v>
          </cell>
          <cell r="AF4432">
            <v>16</v>
          </cell>
          <cell r="AG4432" t="str">
            <v>EDRN132L4</v>
          </cell>
          <cell r="AH4432" t="str">
            <v>KH107-EDRN132L4A270-X</v>
          </cell>
        </row>
        <row r="4433">
          <cell r="A4433" t="str">
            <v>MR004422</v>
          </cell>
          <cell r="B4433" t="str">
            <v>MR</v>
          </cell>
          <cell r="C4433">
            <v>9.1999999999999993</v>
          </cell>
          <cell r="D4433">
            <v>16</v>
          </cell>
          <cell r="E4433" t="str">
            <v>KH107</v>
          </cell>
          <cell r="F4433">
            <v>5440</v>
          </cell>
          <cell r="G4433">
            <v>90.96</v>
          </cell>
          <cell r="H4433">
            <v>1.35</v>
          </cell>
          <cell r="I4433" t="str">
            <v>From M1B to M2B - 35°</v>
          </cell>
          <cell r="J4433" t="str">
            <v>IE3</v>
          </cell>
          <cell r="K4433" t="str">
            <v>400/690</v>
          </cell>
          <cell r="L4433">
            <v>50</v>
          </cell>
          <cell r="M4433" t="str">
            <v>19,2/11,1</v>
          </cell>
          <cell r="N4433">
            <v>55</v>
          </cell>
          <cell r="O4433" t="str">
            <v>155(F)</v>
          </cell>
          <cell r="P4433" t="str">
            <v>270°</v>
          </cell>
          <cell r="Q4433" t="str">
            <v>TF</v>
          </cell>
          <cell r="R4433" t="str">
            <v>-</v>
          </cell>
          <cell r="S4433" t="str">
            <v>-</v>
          </cell>
          <cell r="T4433" t="str">
            <v>-</v>
          </cell>
          <cell r="U4433" t="str">
            <v>-</v>
          </cell>
          <cell r="V4433" t="str">
            <v>SS</v>
          </cell>
          <cell r="W4433" t="str">
            <v>-</v>
          </cell>
          <cell r="X4433" t="str">
            <v>CLP HC 150 (-30/+50°C)</v>
          </cell>
          <cell r="Y4433" t="str">
            <v>K107/II2GDEDRN132L4/3D/TF/AL</v>
          </cell>
          <cell r="Z4433" t="str">
            <v>SEW</v>
          </cell>
          <cell r="AB4433" t="str">
            <v>ATEX22</v>
          </cell>
          <cell r="AF4433">
            <v>16</v>
          </cell>
          <cell r="AG4433" t="str">
            <v>EDRN132L4</v>
          </cell>
          <cell r="AH4433" t="str">
            <v>KH107-EDRN132L4B270-X</v>
          </cell>
        </row>
        <row r="4434">
          <cell r="A4434" t="str">
            <v>MR004423</v>
          </cell>
          <cell r="B4434" t="str">
            <v>MR</v>
          </cell>
          <cell r="C4434">
            <v>5.5</v>
          </cell>
          <cell r="D4434">
            <v>14</v>
          </cell>
          <cell r="E4434" t="str">
            <v>KH97</v>
          </cell>
          <cell r="F4434">
            <v>3780</v>
          </cell>
          <cell r="G4434">
            <v>105.13</v>
          </cell>
          <cell r="H4434">
            <v>1.1000000000000001</v>
          </cell>
          <cell r="I4434" t="str">
            <v>From M1A to M2A - 25°</v>
          </cell>
          <cell r="J4434" t="str">
            <v>IE3</v>
          </cell>
          <cell r="K4434" t="str">
            <v>230/400</v>
          </cell>
          <cell r="L4434">
            <v>50</v>
          </cell>
          <cell r="M4434" t="str">
            <v>18,8/10,9</v>
          </cell>
          <cell r="N4434">
            <v>55</v>
          </cell>
          <cell r="O4434" t="str">
            <v>155(F)</v>
          </cell>
          <cell r="P4434" t="str">
            <v>270°</v>
          </cell>
          <cell r="Q4434" t="str">
            <v>TF</v>
          </cell>
          <cell r="R4434" t="str">
            <v>-</v>
          </cell>
          <cell r="S4434" t="str">
            <v>-</v>
          </cell>
          <cell r="T4434" t="str">
            <v>-</v>
          </cell>
          <cell r="U4434" t="str">
            <v>-</v>
          </cell>
          <cell r="V4434" t="str">
            <v>SS</v>
          </cell>
          <cell r="W4434" t="str">
            <v>-</v>
          </cell>
          <cell r="X4434" t="str">
            <v>CLP HC 150 (-30/+50°C)</v>
          </cell>
          <cell r="Y4434" t="str">
            <v>K97/II2GDEDRN132S4/3D/KCC/TF/AL</v>
          </cell>
          <cell r="Z4434" t="str">
            <v>SEW</v>
          </cell>
          <cell r="AB4434" t="str">
            <v>ATEX22</v>
          </cell>
          <cell r="AF4434">
            <v>14</v>
          </cell>
          <cell r="AG4434" t="str">
            <v>EDRN132S4</v>
          </cell>
          <cell r="AH4434" t="str">
            <v>KH97-EDRN132S4A270-X</v>
          </cell>
        </row>
        <row r="4435">
          <cell r="A4435" t="str">
            <v>MR004424</v>
          </cell>
          <cell r="B4435" t="str">
            <v>MR</v>
          </cell>
          <cell r="C4435">
            <v>5.5</v>
          </cell>
          <cell r="D4435">
            <v>14</v>
          </cell>
          <cell r="E4435" t="str">
            <v>KH97</v>
          </cell>
          <cell r="F4435">
            <v>3780</v>
          </cell>
          <cell r="G4435">
            <v>105.13</v>
          </cell>
          <cell r="H4435">
            <v>1.1000000000000001</v>
          </cell>
          <cell r="I4435" t="str">
            <v>From M1B to M2B - 25°</v>
          </cell>
          <cell r="J4435" t="str">
            <v>IE3</v>
          </cell>
          <cell r="K4435" t="str">
            <v>230/400</v>
          </cell>
          <cell r="L4435">
            <v>50</v>
          </cell>
          <cell r="M4435" t="str">
            <v>18,8/10,9</v>
          </cell>
          <cell r="N4435">
            <v>55</v>
          </cell>
          <cell r="O4435" t="str">
            <v>155(F)</v>
          </cell>
          <cell r="P4435" t="str">
            <v>270°</v>
          </cell>
          <cell r="Q4435" t="str">
            <v>TF</v>
          </cell>
          <cell r="R4435" t="str">
            <v>-</v>
          </cell>
          <cell r="S4435" t="str">
            <v>-</v>
          </cell>
          <cell r="T4435" t="str">
            <v>-</v>
          </cell>
          <cell r="U4435" t="str">
            <v>-</v>
          </cell>
          <cell r="V4435" t="str">
            <v>SS</v>
          </cell>
          <cell r="W4435" t="str">
            <v>-</v>
          </cell>
          <cell r="X4435" t="str">
            <v>CLP HC 150 (-30/+50°C)</v>
          </cell>
          <cell r="Y4435" t="str">
            <v>K97/II2GDEDRN132S4/3D/KCC/TF/AL</v>
          </cell>
          <cell r="Z4435" t="str">
            <v>SEW</v>
          </cell>
          <cell r="AB4435" t="str">
            <v>ATEX22</v>
          </cell>
          <cell r="AF4435">
            <v>14</v>
          </cell>
          <cell r="AG4435" t="str">
            <v>EDRN132S4</v>
          </cell>
          <cell r="AH4435" t="str">
            <v>KH97-EDRN132S4B270-X</v>
          </cell>
        </row>
        <row r="4436">
          <cell r="A4436" t="str">
            <v>MR004425</v>
          </cell>
          <cell r="B4436" t="str">
            <v>MR</v>
          </cell>
          <cell r="C4436">
            <v>7.5</v>
          </cell>
          <cell r="D4436">
            <v>62</v>
          </cell>
          <cell r="E4436" t="str">
            <v>FH87</v>
          </cell>
          <cell r="F4436">
            <v>1150</v>
          </cell>
          <cell r="G4436">
            <v>23.68</v>
          </cell>
          <cell r="H4436">
            <v>2.6</v>
          </cell>
          <cell r="I4436" t="str">
            <v>M1</v>
          </cell>
          <cell r="J4436" t="str">
            <v>IE3</v>
          </cell>
          <cell r="K4436" t="str">
            <v>230/400</v>
          </cell>
          <cell r="L4436">
            <v>50</v>
          </cell>
          <cell r="M4436" t="str">
            <v>26,5/15,2</v>
          </cell>
          <cell r="N4436">
            <v>65</v>
          </cell>
          <cell r="O4436" t="str">
            <v>155(F)</v>
          </cell>
          <cell r="P4436" t="str">
            <v>270°</v>
          </cell>
          <cell r="Q4436" t="str">
            <v>TF</v>
          </cell>
          <cell r="R4436" t="str">
            <v>-</v>
          </cell>
          <cell r="S4436" t="str">
            <v>-</v>
          </cell>
          <cell r="T4436" t="str">
            <v>-</v>
          </cell>
          <cell r="U4436" t="str">
            <v>G</v>
          </cell>
          <cell r="V4436" t="str">
            <v>D</v>
          </cell>
          <cell r="W4436" t="str">
            <v>-</v>
          </cell>
          <cell r="X4436" t="str">
            <v>CLP HC 220 (-25/+60°C)</v>
          </cell>
          <cell r="Y4436" t="str">
            <v>FH87/G DRN132M4 /TF</v>
          </cell>
          <cell r="Z4436" t="str">
            <v>SEW</v>
          </cell>
          <cell r="AB4436" t="str">
            <v>-</v>
          </cell>
          <cell r="AF4436">
            <v>62</v>
          </cell>
          <cell r="AG4436" t="str">
            <v>DRN132M4</v>
          </cell>
          <cell r="AH4436" t="str">
            <v>FH87G-DRN132M4270-X</v>
          </cell>
        </row>
        <row r="4437">
          <cell r="A4437" t="str">
            <v>MR004426</v>
          </cell>
          <cell r="B4437" t="str">
            <v>MR</v>
          </cell>
          <cell r="C4437">
            <v>9.1999999999999993</v>
          </cell>
          <cell r="D4437">
            <v>62</v>
          </cell>
          <cell r="E4437" t="str">
            <v>FH87</v>
          </cell>
          <cell r="F4437">
            <v>1410</v>
          </cell>
          <cell r="G4437">
            <v>23.68</v>
          </cell>
          <cell r="H4437">
            <v>2.1</v>
          </cell>
          <cell r="I4437" t="str">
            <v>M1</v>
          </cell>
          <cell r="J4437" t="str">
            <v>IE3</v>
          </cell>
          <cell r="K4437" t="str">
            <v>230/400</v>
          </cell>
          <cell r="L4437">
            <v>50</v>
          </cell>
          <cell r="M4437" t="str">
            <v>32,5/18,7</v>
          </cell>
          <cell r="N4437">
            <v>65</v>
          </cell>
          <cell r="O4437" t="str">
            <v>155(F)</v>
          </cell>
          <cell r="P4437" t="str">
            <v>270°</v>
          </cell>
          <cell r="Q4437" t="str">
            <v>TF</v>
          </cell>
          <cell r="R4437" t="str">
            <v>-</v>
          </cell>
          <cell r="S4437" t="str">
            <v>-</v>
          </cell>
          <cell r="T4437" t="str">
            <v>-</v>
          </cell>
          <cell r="U4437" t="str">
            <v>G</v>
          </cell>
          <cell r="V4437" t="str">
            <v>D+R</v>
          </cell>
          <cell r="W4437" t="str">
            <v>-</v>
          </cell>
          <cell r="X4437" t="str">
            <v>CLP HC 220 (-25/+60°C)</v>
          </cell>
          <cell r="Y4437" t="str">
            <v>FH87/G DRN132L4 /TF</v>
          </cell>
          <cell r="Z4437" t="str">
            <v>SEW</v>
          </cell>
          <cell r="AB4437" t="str">
            <v>-</v>
          </cell>
          <cell r="AF4437">
            <v>62</v>
          </cell>
          <cell r="AG4437" t="str">
            <v>DRN132L4</v>
          </cell>
          <cell r="AH4437" t="str">
            <v>FH87G-DRN132L4270-X</v>
          </cell>
        </row>
        <row r="4438">
          <cell r="A4438" t="str">
            <v>MR004427</v>
          </cell>
          <cell r="B4438" t="str">
            <v>MR</v>
          </cell>
          <cell r="C4438">
            <v>5.5</v>
          </cell>
          <cell r="D4438">
            <v>66</v>
          </cell>
          <cell r="E4438" t="str">
            <v>FH87</v>
          </cell>
          <cell r="F4438">
            <v>790</v>
          </cell>
          <cell r="G4438">
            <v>22.05</v>
          </cell>
          <cell r="H4438">
            <v>1.05</v>
          </cell>
          <cell r="I4438" t="str">
            <v>M1</v>
          </cell>
          <cell r="J4438" t="str">
            <v>IE3</v>
          </cell>
          <cell r="K4438" t="str">
            <v>230/400</v>
          </cell>
          <cell r="L4438">
            <v>50</v>
          </cell>
          <cell r="M4438" t="str">
            <v>18,2/10,5</v>
          </cell>
          <cell r="N4438">
            <v>65</v>
          </cell>
          <cell r="O4438" t="str">
            <v>155(F)</v>
          </cell>
          <cell r="P4438" t="str">
            <v>270°</v>
          </cell>
          <cell r="Q4438" t="str">
            <v>TF</v>
          </cell>
          <cell r="R4438" t="str">
            <v>-</v>
          </cell>
          <cell r="S4438" t="str">
            <v>-</v>
          </cell>
          <cell r="T4438" t="str">
            <v>-</v>
          </cell>
          <cell r="U4438" t="str">
            <v>G</v>
          </cell>
          <cell r="V4438" t="str">
            <v>D+R</v>
          </cell>
          <cell r="W4438" t="str">
            <v>-</v>
          </cell>
          <cell r="X4438" t="str">
            <v>CLP HC 220 (-25/+60°C)</v>
          </cell>
          <cell r="Y4438" t="str">
            <v>FH87/G DRN132S4 /TF</v>
          </cell>
          <cell r="Z4438" t="str">
            <v>SEW</v>
          </cell>
          <cell r="AB4438" t="str">
            <v>-</v>
          </cell>
          <cell r="AF4438">
            <v>66</v>
          </cell>
          <cell r="AG4438" t="str">
            <v>DRN132S4</v>
          </cell>
          <cell r="AH4438" t="str">
            <v>FH87G-DRN132S4270-X</v>
          </cell>
        </row>
        <row r="4439">
          <cell r="A4439" t="str">
            <v>MR004428</v>
          </cell>
          <cell r="B4439" t="str">
            <v>MR</v>
          </cell>
          <cell r="C4439">
            <v>22</v>
          </cell>
          <cell r="D4439">
            <v>33</v>
          </cell>
          <cell r="E4439" t="str">
            <v>R137</v>
          </cell>
          <cell r="F4439">
            <v>6310</v>
          </cell>
          <cell r="G4439">
            <v>44.39</v>
          </cell>
          <cell r="H4439">
            <v>1.25</v>
          </cell>
          <cell r="I4439" t="str">
            <v>From M1 to M2 - 15°</v>
          </cell>
          <cell r="J4439" t="str">
            <v>IE3</v>
          </cell>
          <cell r="K4439" t="str">
            <v>230/400</v>
          </cell>
          <cell r="L4439">
            <v>50</v>
          </cell>
          <cell r="M4439" t="str">
            <v>67/38,5</v>
          </cell>
          <cell r="N4439">
            <v>65</v>
          </cell>
          <cell r="O4439" t="str">
            <v>155(F)</v>
          </cell>
          <cell r="P4439" t="str">
            <v>270°</v>
          </cell>
          <cell r="Q4439" t="str">
            <v>TF</v>
          </cell>
          <cell r="R4439" t="str">
            <v>V(VE)</v>
          </cell>
          <cell r="S4439" t="str">
            <v>-</v>
          </cell>
          <cell r="T4439" t="str">
            <v>-</v>
          </cell>
          <cell r="U4439" t="str">
            <v>-</v>
          </cell>
          <cell r="V4439" t="str">
            <v>FC</v>
          </cell>
          <cell r="W4439" t="str">
            <v>-</v>
          </cell>
          <cell r="X4439" t="str">
            <v>CLP HC 220 (-25/+60°C)</v>
          </cell>
          <cell r="Y4439" t="str">
            <v>R137DRN180L4 /TF/V</v>
          </cell>
          <cell r="Z4439" t="str">
            <v>SEW</v>
          </cell>
          <cell r="AB4439" t="str">
            <v>-</v>
          </cell>
          <cell r="AF4439">
            <v>33</v>
          </cell>
          <cell r="AG4439" t="str">
            <v>DRN180L4</v>
          </cell>
          <cell r="AH4439" t="str">
            <v>R137-DRN180L4270-X#</v>
          </cell>
        </row>
        <row r="4440">
          <cell r="A4440" t="str">
            <v>MR004429</v>
          </cell>
          <cell r="B4440" t="str">
            <v>MR</v>
          </cell>
          <cell r="C4440">
            <v>4</v>
          </cell>
          <cell r="D4440">
            <v>102</v>
          </cell>
          <cell r="E4440" t="str">
            <v>FH67</v>
          </cell>
          <cell r="F4440">
            <v>375</v>
          </cell>
          <cell r="G4440">
            <v>14.46</v>
          </cell>
          <cell r="H4440">
            <v>2.2000000000000002</v>
          </cell>
          <cell r="I4440" t="str">
            <v>From M4 to M3 - 10°</v>
          </cell>
          <cell r="J4440" t="str">
            <v>IE3</v>
          </cell>
          <cell r="K4440" t="str">
            <v>230/400</v>
          </cell>
          <cell r="L4440">
            <v>50</v>
          </cell>
          <cell r="M4440" t="str">
            <v>13,8/7,9</v>
          </cell>
          <cell r="N4440">
            <v>65</v>
          </cell>
          <cell r="O4440" t="str">
            <v>155(F)</v>
          </cell>
          <cell r="P4440" t="str">
            <v>270°</v>
          </cell>
          <cell r="Q4440" t="str">
            <v>TF</v>
          </cell>
          <cell r="R4440" t="str">
            <v>-</v>
          </cell>
          <cell r="S4440" t="str">
            <v>-</v>
          </cell>
          <cell r="T4440" t="str">
            <v>-</v>
          </cell>
          <cell r="U4440" t="str">
            <v>G</v>
          </cell>
          <cell r="V4440" t="str">
            <v>D</v>
          </cell>
          <cell r="W4440" t="str">
            <v>-</v>
          </cell>
          <cell r="X4440" t="str">
            <v>CLP HC 150 (-30/+50°C)</v>
          </cell>
          <cell r="Y4440" t="str">
            <v>FH67/G DRN112M4 /TF</v>
          </cell>
          <cell r="Z4440" t="str">
            <v>SEW</v>
          </cell>
          <cell r="AB4440" t="str">
            <v>-</v>
          </cell>
          <cell r="AF4440">
            <v>102</v>
          </cell>
          <cell r="AG4440" t="str">
            <v>DRN112M4</v>
          </cell>
          <cell r="AH4440" t="str">
            <v>FH67G-DRN112M4270-X</v>
          </cell>
        </row>
        <row r="4441">
          <cell r="A4441" t="str">
            <v>MR004430</v>
          </cell>
          <cell r="B4441" t="str">
            <v>MR</v>
          </cell>
          <cell r="C4441">
            <v>1.1000000000000001</v>
          </cell>
          <cell r="D4441">
            <v>76</v>
          </cell>
          <cell r="E4441" t="str">
            <v>FH37</v>
          </cell>
          <cell r="F4441">
            <v>139</v>
          </cell>
          <cell r="G4441">
            <v>19.27</v>
          </cell>
          <cell r="H4441">
            <v>1.45</v>
          </cell>
          <cell r="I4441" t="str">
            <v>M1</v>
          </cell>
          <cell r="J4441" t="str">
            <v>IE3</v>
          </cell>
          <cell r="K4441" t="str">
            <v>230/400</v>
          </cell>
          <cell r="L4441">
            <v>50</v>
          </cell>
          <cell r="M4441" t="str">
            <v>4,45/2,55</v>
          </cell>
          <cell r="N4441">
            <v>65</v>
          </cell>
          <cell r="O4441" t="str">
            <v>155(F)</v>
          </cell>
          <cell r="P4441" t="str">
            <v>270°</v>
          </cell>
          <cell r="Q4441" t="str">
            <v>TF</v>
          </cell>
          <cell r="R4441" t="str">
            <v>-</v>
          </cell>
          <cell r="S4441" t="str">
            <v>-</v>
          </cell>
          <cell r="T4441" t="str">
            <v>-</v>
          </cell>
          <cell r="U4441" t="str">
            <v>G</v>
          </cell>
          <cell r="V4441" t="str">
            <v>D</v>
          </cell>
          <cell r="W4441" t="str">
            <v>-</v>
          </cell>
          <cell r="X4441" t="str">
            <v>CLP HC 150 (-30/+50°C)</v>
          </cell>
          <cell r="Y4441" t="str">
            <v>FH37/G DRN90S4 /TF</v>
          </cell>
          <cell r="Z4441" t="str">
            <v>SEW</v>
          </cell>
          <cell r="AB4441" t="str">
            <v>-</v>
          </cell>
          <cell r="AF4441">
            <v>76</v>
          </cell>
          <cell r="AG4441" t="str">
            <v>DRN90S4</v>
          </cell>
          <cell r="AH4441" t="str">
            <v>FH37G-DRN90S4270-X</v>
          </cell>
        </row>
        <row r="4442">
          <cell r="A4442" t="str">
            <v>MR004431</v>
          </cell>
          <cell r="B4442" t="str">
            <v>MR</v>
          </cell>
          <cell r="C4442">
            <v>5.5</v>
          </cell>
          <cell r="D4442">
            <v>47</v>
          </cell>
          <cell r="E4442" t="str">
            <v>K77</v>
          </cell>
          <cell r="F4442">
            <v>1110</v>
          </cell>
          <cell r="G4442">
            <v>30.89</v>
          </cell>
          <cell r="H4442">
            <v>1.4</v>
          </cell>
          <cell r="I4442" t="str">
            <v>M4B</v>
          </cell>
          <cell r="J4442" t="str">
            <v>IE3</v>
          </cell>
          <cell r="K4442" t="str">
            <v>230/400</v>
          </cell>
          <cell r="L4442">
            <v>50</v>
          </cell>
          <cell r="M4442" t="str">
            <v>18,2/10,5</v>
          </cell>
          <cell r="N4442">
            <v>65</v>
          </cell>
          <cell r="O4442" t="str">
            <v>155(F)</v>
          </cell>
          <cell r="P4442" t="str">
            <v>0°</v>
          </cell>
          <cell r="Q4442" t="str">
            <v>TF</v>
          </cell>
          <cell r="R4442" t="str">
            <v>V(VE)</v>
          </cell>
          <cell r="S4442" t="str">
            <v>-</v>
          </cell>
          <cell r="T4442" t="str">
            <v>-</v>
          </cell>
          <cell r="U4442" t="str">
            <v>-</v>
          </cell>
          <cell r="V4442" t="str">
            <v>FC+R</v>
          </cell>
          <cell r="W4442" t="str">
            <v>YES</v>
          </cell>
          <cell r="X4442" t="str">
            <v>CLP HC 150 (-30/+50°C)</v>
          </cell>
          <cell r="Y4442" t="str">
            <v>K77DRN132S4 /TF/V</v>
          </cell>
          <cell r="Z4442" t="str">
            <v>SEW</v>
          </cell>
          <cell r="AB4442" t="str">
            <v>-</v>
          </cell>
          <cell r="AF4442">
            <v>47</v>
          </cell>
          <cell r="AG4442" t="str">
            <v>DRN132S4</v>
          </cell>
          <cell r="AH4442" t="str">
            <v>K77-DRN132S4B0-X#</v>
          </cell>
        </row>
        <row r="4443">
          <cell r="A4443" t="str">
            <v>MR004432</v>
          </cell>
          <cell r="B4443" t="str">
            <v>MR</v>
          </cell>
          <cell r="C4443">
            <v>5.5</v>
          </cell>
          <cell r="D4443">
            <v>47</v>
          </cell>
          <cell r="E4443" t="str">
            <v>K77</v>
          </cell>
          <cell r="F4443">
            <v>1110</v>
          </cell>
          <cell r="G4443">
            <v>30.89</v>
          </cell>
          <cell r="H4443">
            <v>1.4</v>
          </cell>
          <cell r="I4443" t="str">
            <v>M4A</v>
          </cell>
          <cell r="J4443" t="str">
            <v>IE3</v>
          </cell>
          <cell r="K4443" t="str">
            <v>230/400</v>
          </cell>
          <cell r="L4443">
            <v>50</v>
          </cell>
          <cell r="M4443" t="str">
            <v>18,2/10,5</v>
          </cell>
          <cell r="N4443">
            <v>65</v>
          </cell>
          <cell r="O4443" t="str">
            <v>155(F)</v>
          </cell>
          <cell r="P4443" t="str">
            <v>180°</v>
          </cell>
          <cell r="Q4443" t="str">
            <v>TF</v>
          </cell>
          <cell r="R4443" t="str">
            <v>V(VE)</v>
          </cell>
          <cell r="S4443" t="str">
            <v>-</v>
          </cell>
          <cell r="T4443" t="str">
            <v>-</v>
          </cell>
          <cell r="U4443" t="str">
            <v>-</v>
          </cell>
          <cell r="V4443" t="str">
            <v>FC+R</v>
          </cell>
          <cell r="W4443" t="str">
            <v>YES</v>
          </cell>
          <cell r="X4443" t="str">
            <v>CLP HC 150 (-30/+50°C)</v>
          </cell>
          <cell r="Y4443" t="str">
            <v>K77DRN132S4 /TF/V</v>
          </cell>
          <cell r="Z4443" t="str">
            <v>SEW</v>
          </cell>
          <cell r="AB4443" t="str">
            <v>-</v>
          </cell>
          <cell r="AF4443">
            <v>47</v>
          </cell>
          <cell r="AG4443" t="str">
            <v>DRN132S4</v>
          </cell>
          <cell r="AH4443" t="str">
            <v>K77-DRN132S4A180-X#</v>
          </cell>
        </row>
        <row r="4444">
          <cell r="A4444" t="str">
            <v>MR004433</v>
          </cell>
          <cell r="B4444" t="str">
            <v>MR</v>
          </cell>
          <cell r="C4444">
            <v>18.5</v>
          </cell>
          <cell r="D4444">
            <v>59</v>
          </cell>
          <cell r="E4444" t="str">
            <v>FH97</v>
          </cell>
          <cell r="F4444">
            <v>2970</v>
          </cell>
          <cell r="G4444">
            <v>24.92</v>
          </cell>
          <cell r="H4444">
            <v>1.45</v>
          </cell>
          <cell r="I4444" t="str">
            <v>M1</v>
          </cell>
          <cell r="J4444" t="str">
            <v>IE3</v>
          </cell>
          <cell r="K4444" t="str">
            <v>400/690</v>
          </cell>
          <cell r="L4444">
            <v>50</v>
          </cell>
          <cell r="M4444" t="str">
            <v>33,5/19,3</v>
          </cell>
          <cell r="N4444">
            <v>65</v>
          </cell>
          <cell r="O4444" t="str">
            <v>155(F)</v>
          </cell>
          <cell r="P4444" t="str">
            <v>270°</v>
          </cell>
          <cell r="Q4444" t="str">
            <v>TF</v>
          </cell>
          <cell r="R4444" t="str">
            <v>-</v>
          </cell>
          <cell r="S4444" t="str">
            <v>-</v>
          </cell>
          <cell r="T4444" t="str">
            <v>-</v>
          </cell>
          <cell r="U4444" t="str">
            <v>G</v>
          </cell>
          <cell r="V4444" t="str">
            <v>D+R</v>
          </cell>
          <cell r="W4444" t="str">
            <v>YES</v>
          </cell>
          <cell r="X4444" t="str">
            <v>CLP HC 150 (-30/+50°C)</v>
          </cell>
          <cell r="Y4444" t="str">
            <v>FH97/G DRN180M4 /TF</v>
          </cell>
          <cell r="Z4444" t="str">
            <v>SEW</v>
          </cell>
          <cell r="AB4444" t="str">
            <v>-</v>
          </cell>
          <cell r="AF4444">
            <v>59</v>
          </cell>
          <cell r="AG4444" t="str">
            <v>DRN180M4</v>
          </cell>
          <cell r="AH4444" t="str">
            <v>FH97G-DRN180M4270-X</v>
          </cell>
        </row>
        <row r="4445">
          <cell r="A4445" t="str">
            <v>MR004434</v>
          </cell>
          <cell r="B4445" t="str">
            <v>MR</v>
          </cell>
          <cell r="C4445">
            <v>7.5</v>
          </cell>
          <cell r="D4445">
            <v>59</v>
          </cell>
          <cell r="E4445" t="str">
            <v>KH87</v>
          </cell>
          <cell r="F4445">
            <v>1210</v>
          </cell>
          <cell r="G4445">
            <v>24.92</v>
          </cell>
          <cell r="H4445">
            <v>2.1</v>
          </cell>
          <cell r="I4445" t="str">
            <v>From M4A to M1A - 25°</v>
          </cell>
          <cell r="J4445" t="str">
            <v>IE3</v>
          </cell>
          <cell r="K4445" t="str">
            <v>400/690</v>
          </cell>
          <cell r="L4445">
            <v>50</v>
          </cell>
          <cell r="M4445" t="str">
            <v>15,2/8,8</v>
          </cell>
          <cell r="N4445">
            <v>65</v>
          </cell>
          <cell r="O4445" t="str">
            <v>155(F)</v>
          </cell>
          <cell r="P4445" t="str">
            <v>270°</v>
          </cell>
          <cell r="Q4445" t="str">
            <v>TF</v>
          </cell>
          <cell r="R4445" t="str">
            <v>-</v>
          </cell>
          <cell r="S4445" t="str">
            <v>Free rotation CCW</v>
          </cell>
          <cell r="T4445" t="str">
            <v>-</v>
          </cell>
          <cell r="U4445" t="str">
            <v>T</v>
          </cell>
          <cell r="V4445" t="str">
            <v>SS</v>
          </cell>
          <cell r="W4445" t="str">
            <v>YES</v>
          </cell>
          <cell r="X4445" t="str">
            <v>CLP HC 150 (-30/+50°C)</v>
          </cell>
          <cell r="Y4445" t="str">
            <v>KH87/T DRN132M4 /RS /TF</v>
          </cell>
          <cell r="Z4445" t="str">
            <v>SEW</v>
          </cell>
          <cell r="AB4445" t="str">
            <v>-</v>
          </cell>
          <cell r="AF4445">
            <v>59</v>
          </cell>
          <cell r="AG4445" t="str">
            <v>DRN132M4</v>
          </cell>
          <cell r="AH4445" t="str">
            <v>KH87T-DRN132M4A270-X</v>
          </cell>
        </row>
        <row r="4446">
          <cell r="A4446" t="str">
            <v>MR004435</v>
          </cell>
          <cell r="B4446" t="str">
            <v>MR</v>
          </cell>
          <cell r="C4446">
            <v>0.75</v>
          </cell>
          <cell r="D4446">
            <v>162</v>
          </cell>
          <cell r="E4446" t="str">
            <v>KA37</v>
          </cell>
          <cell r="F4446">
            <v>44</v>
          </cell>
          <cell r="G4446">
            <v>8.91</v>
          </cell>
          <cell r="H4446">
            <v>3.6</v>
          </cell>
          <cell r="I4446" t="str">
            <v>From M3A to M4A - 25°</v>
          </cell>
          <cell r="J4446" t="str">
            <v>IE3</v>
          </cell>
          <cell r="K4446" t="str">
            <v>230/400</v>
          </cell>
          <cell r="L4446">
            <v>50</v>
          </cell>
          <cell r="M4446" t="str">
            <v>3,05/1,75</v>
          </cell>
          <cell r="N4446">
            <v>65</v>
          </cell>
          <cell r="O4446" t="str">
            <v>155(F)</v>
          </cell>
          <cell r="P4446" t="str">
            <v>180°</v>
          </cell>
          <cell r="Q4446" t="str">
            <v>TF</v>
          </cell>
          <cell r="R4446" t="str">
            <v>-</v>
          </cell>
          <cell r="S4446" t="str">
            <v>-</v>
          </cell>
          <cell r="T4446" t="str">
            <v>-</v>
          </cell>
          <cell r="U4446" t="str">
            <v>T</v>
          </cell>
          <cell r="V4446" t="str">
            <v>D</v>
          </cell>
          <cell r="W4446" t="str">
            <v>YES</v>
          </cell>
          <cell r="X4446" t="str">
            <v>CLP HC 150 (-30/+50°C)</v>
          </cell>
          <cell r="Y4446" t="str">
            <v>KA37/T DRN80M4 /TF</v>
          </cell>
          <cell r="Z4446" t="str">
            <v>SEW</v>
          </cell>
          <cell r="AB4446" t="str">
            <v>-</v>
          </cell>
          <cell r="AF4446">
            <v>162</v>
          </cell>
          <cell r="AG4446" t="str">
            <v>DRN80M4</v>
          </cell>
          <cell r="AH4446" t="str">
            <v>KA37T-DRN80M4A180-X</v>
          </cell>
        </row>
        <row r="4447">
          <cell r="A4447" t="str">
            <v>MR004436</v>
          </cell>
          <cell r="B4447" t="str">
            <v>MR</v>
          </cell>
          <cell r="C4447">
            <v>15</v>
          </cell>
          <cell r="D4447">
            <v>12</v>
          </cell>
          <cell r="E4447" t="str">
            <v>KH127</v>
          </cell>
          <cell r="F4447">
            <v>11900</v>
          </cell>
          <cell r="G4447">
            <v>122.48</v>
          </cell>
          <cell r="H4447">
            <v>1.1000000000000001</v>
          </cell>
          <cell r="I4447" t="str">
            <v>From M1A to M2A - 40°</v>
          </cell>
          <cell r="J4447" t="str">
            <v>IE3</v>
          </cell>
          <cell r="K4447" t="str">
            <v>400/690</v>
          </cell>
          <cell r="L4447">
            <v>50</v>
          </cell>
          <cell r="M4447" t="str">
            <v>29/16,7</v>
          </cell>
          <cell r="N4447">
            <v>65</v>
          </cell>
          <cell r="O4447" t="str">
            <v>155(F)</v>
          </cell>
          <cell r="P4447" t="str">
            <v>270°</v>
          </cell>
          <cell r="Q4447" t="str">
            <v>TF</v>
          </cell>
          <cell r="R4447" t="str">
            <v>V(VE)</v>
          </cell>
          <cell r="S4447" t="str">
            <v>-</v>
          </cell>
          <cell r="T4447" t="str">
            <v>-</v>
          </cell>
          <cell r="U4447" t="str">
            <v>-</v>
          </cell>
          <cell r="V4447" t="str">
            <v>FC</v>
          </cell>
          <cell r="W4447" t="str">
            <v>YES</v>
          </cell>
          <cell r="X4447" t="str">
            <v>CLP HC 150 (-30/+50°C)</v>
          </cell>
          <cell r="Y4447" t="str">
            <v>KH127DRN160L4 /TF/V</v>
          </cell>
          <cell r="Z4447" t="str">
            <v>SEW</v>
          </cell>
          <cell r="AB4447" t="str">
            <v>-</v>
          </cell>
          <cell r="AF4447">
            <v>12</v>
          </cell>
          <cell r="AG4447" t="str">
            <v>DRN160L4</v>
          </cell>
          <cell r="AH4447" t="str">
            <v>KH127-DRN160L4A270-X#</v>
          </cell>
        </row>
        <row r="4448">
          <cell r="A4448" t="str">
            <v>MR004437</v>
          </cell>
          <cell r="B4448" t="str">
            <v>MR</v>
          </cell>
          <cell r="C4448">
            <v>15</v>
          </cell>
          <cell r="D4448">
            <v>12</v>
          </cell>
          <cell r="E4448" t="str">
            <v>KH127</v>
          </cell>
          <cell r="F4448">
            <v>11900</v>
          </cell>
          <cell r="G4448">
            <v>122.48</v>
          </cell>
          <cell r="H4448">
            <v>1.1000000000000001</v>
          </cell>
          <cell r="I4448" t="str">
            <v>From M1B to M2B - 40°</v>
          </cell>
          <cell r="J4448" t="str">
            <v>IE3</v>
          </cell>
          <cell r="K4448" t="str">
            <v>400/690</v>
          </cell>
          <cell r="L4448">
            <v>50</v>
          </cell>
          <cell r="M4448" t="str">
            <v>29/16,7</v>
          </cell>
          <cell r="N4448">
            <v>65</v>
          </cell>
          <cell r="O4448" t="str">
            <v>155(F)</v>
          </cell>
          <cell r="P4448" t="str">
            <v>270°</v>
          </cell>
          <cell r="Q4448" t="str">
            <v>TF</v>
          </cell>
          <cell r="R4448" t="str">
            <v>V(VE)</v>
          </cell>
          <cell r="S4448" t="str">
            <v>-</v>
          </cell>
          <cell r="T4448" t="str">
            <v>-</v>
          </cell>
          <cell r="U4448" t="str">
            <v>-</v>
          </cell>
          <cell r="V4448" t="str">
            <v>FC</v>
          </cell>
          <cell r="W4448" t="str">
            <v>YES</v>
          </cell>
          <cell r="X4448" t="str">
            <v>CLP HC 150 (-30/+50°C)</v>
          </cell>
          <cell r="Y4448" t="str">
            <v>KH127DRN160L4 /TF/V</v>
          </cell>
          <cell r="Z4448" t="str">
            <v>SEW</v>
          </cell>
          <cell r="AB4448" t="str">
            <v>-</v>
          </cell>
          <cell r="AF4448">
            <v>12</v>
          </cell>
          <cell r="AG4448" t="str">
            <v>DRN160L4</v>
          </cell>
          <cell r="AH4448" t="str">
            <v>KH127-DRN160L4B270-X#</v>
          </cell>
        </row>
        <row r="4449">
          <cell r="A4449" t="str">
            <v>MR004438</v>
          </cell>
          <cell r="B4449" t="str">
            <v>MR</v>
          </cell>
          <cell r="C4449">
            <v>18.5</v>
          </cell>
          <cell r="D4449">
            <v>12</v>
          </cell>
          <cell r="E4449" t="str">
            <v>KH157</v>
          </cell>
          <cell r="F4449">
            <v>14600</v>
          </cell>
          <cell r="G4449">
            <v>122.39</v>
          </cell>
          <cell r="H4449">
            <v>1.35</v>
          </cell>
          <cell r="I4449" t="str">
            <v>M1B</v>
          </cell>
          <cell r="J4449" t="str">
            <v>IE3</v>
          </cell>
          <cell r="K4449" t="str">
            <v>400/690</v>
          </cell>
          <cell r="L4449">
            <v>50</v>
          </cell>
          <cell r="M4449" t="str">
            <v>33,5/19,3</v>
          </cell>
          <cell r="N4449">
            <v>65</v>
          </cell>
          <cell r="O4449" t="str">
            <v>155(F)</v>
          </cell>
          <cell r="P4449" t="str">
            <v>270°</v>
          </cell>
          <cell r="Q4449" t="str">
            <v>TF</v>
          </cell>
          <cell r="R4449" t="str">
            <v>V(VE)</v>
          </cell>
          <cell r="S4449" t="str">
            <v>-</v>
          </cell>
          <cell r="T4449" t="str">
            <v>-</v>
          </cell>
          <cell r="U4449" t="str">
            <v>-</v>
          </cell>
          <cell r="V4449" t="str">
            <v>FC</v>
          </cell>
          <cell r="W4449" t="str">
            <v>YES</v>
          </cell>
          <cell r="X4449" t="str">
            <v>CLP HC 150 (-30/+50°C)</v>
          </cell>
          <cell r="Y4449" t="str">
            <v>KH157DRN180M4 /TF/V</v>
          </cell>
          <cell r="Z4449" t="str">
            <v>SEW</v>
          </cell>
          <cell r="AB4449" t="str">
            <v>-</v>
          </cell>
          <cell r="AF4449">
            <v>12</v>
          </cell>
          <cell r="AG4449" t="str">
            <v>DRN180M4</v>
          </cell>
          <cell r="AH4449" t="str">
            <v>KH157-DRN180M4B270-X#</v>
          </cell>
        </row>
        <row r="4450">
          <cell r="A4450" t="str">
            <v>MR004439</v>
          </cell>
          <cell r="B4450" t="str">
            <v>MR</v>
          </cell>
          <cell r="C4450">
            <v>15</v>
          </cell>
          <cell r="D4450">
            <v>16</v>
          </cell>
          <cell r="E4450" t="str">
            <v>KH127</v>
          </cell>
          <cell r="F4450">
            <v>8730</v>
          </cell>
          <cell r="G4450">
            <v>89.89</v>
          </cell>
          <cell r="H4450">
            <v>1.5</v>
          </cell>
          <cell r="I4450" t="str">
            <v>From M1A to M4A - 55°</v>
          </cell>
          <cell r="J4450" t="str">
            <v>IE3</v>
          </cell>
          <cell r="K4450" t="str">
            <v>400/690</v>
          </cell>
          <cell r="L4450">
            <v>50</v>
          </cell>
          <cell r="M4450" t="str">
            <v>29/16,7</v>
          </cell>
          <cell r="N4450">
            <v>55</v>
          </cell>
          <cell r="O4450" t="str">
            <v>155(F)</v>
          </cell>
          <cell r="P4450" t="str">
            <v>270°</v>
          </cell>
          <cell r="Q4450" t="str">
            <v>TF</v>
          </cell>
          <cell r="R4450" t="str">
            <v>-</v>
          </cell>
          <cell r="S4450" t="str">
            <v>-</v>
          </cell>
          <cell r="T4450" t="str">
            <v>-</v>
          </cell>
          <cell r="U4450" t="str">
            <v>-</v>
          </cell>
          <cell r="V4450" t="str">
            <v>SS</v>
          </cell>
          <cell r="W4450" t="str">
            <v>-</v>
          </cell>
          <cell r="X4450" t="str">
            <v>CLP 220 (-15/+40°C)</v>
          </cell>
          <cell r="Y4450" t="str">
            <v>KH127DRN160L4 /TF</v>
          </cell>
          <cell r="Z4450" t="str">
            <v>SEW</v>
          </cell>
          <cell r="AB4450" t="str">
            <v>-</v>
          </cell>
          <cell r="AF4450">
            <v>16</v>
          </cell>
          <cell r="AG4450" t="str">
            <v>DRN160L4</v>
          </cell>
          <cell r="AH4450" t="str">
            <v>KH127-DRN160L4A270-X</v>
          </cell>
        </row>
        <row r="4451">
          <cell r="A4451" t="str">
            <v>MR004440</v>
          </cell>
          <cell r="B4451" t="str">
            <v>MR</v>
          </cell>
          <cell r="C4451">
            <v>7.5</v>
          </cell>
          <cell r="D4451">
            <v>87</v>
          </cell>
          <cell r="E4451" t="str">
            <v>R87</v>
          </cell>
          <cell r="F4451">
            <v>830</v>
          </cell>
          <cell r="G4451">
            <v>17.079999999999998</v>
          </cell>
          <cell r="H4451">
            <v>1.7</v>
          </cell>
          <cell r="I4451" t="str">
            <v>From M1 to M2 - 15°</v>
          </cell>
          <cell r="J4451" t="str">
            <v>IE4</v>
          </cell>
          <cell r="K4451" t="str">
            <v>400/690</v>
          </cell>
          <cell r="L4451">
            <v>50</v>
          </cell>
          <cell r="M4451" t="str">
            <v>14,7/8,5</v>
          </cell>
          <cell r="N4451">
            <v>55</v>
          </cell>
          <cell r="O4451" t="str">
            <v>155(F)</v>
          </cell>
          <cell r="P4451" t="str">
            <v>270°</v>
          </cell>
          <cell r="Q4451" t="str">
            <v>TF</v>
          </cell>
          <cell r="R4451" t="str">
            <v>-</v>
          </cell>
          <cell r="S4451" t="str">
            <v>-</v>
          </cell>
          <cell r="T4451" t="str">
            <v>-</v>
          </cell>
          <cell r="U4451" t="str">
            <v>-</v>
          </cell>
          <cell r="V4451" t="str">
            <v>D</v>
          </cell>
          <cell r="W4451" t="str">
            <v>-</v>
          </cell>
          <cell r="X4451" t="str">
            <v>CLP 220 (-15/+40°C)</v>
          </cell>
          <cell r="Y4451" t="str">
            <v>R87DRU160M4 /TF</v>
          </cell>
          <cell r="Z4451" t="str">
            <v>SEW</v>
          </cell>
          <cell r="AB4451" t="str">
            <v>-</v>
          </cell>
          <cell r="AF4451">
            <v>87</v>
          </cell>
          <cell r="AG4451" t="str">
            <v>DRU160M4</v>
          </cell>
          <cell r="AH4451" t="str">
            <v>R87-DRU160M4270-X</v>
          </cell>
        </row>
        <row r="4452">
          <cell r="A4452" t="str">
            <v>MR004441</v>
          </cell>
          <cell r="B4452" t="str">
            <v>MR</v>
          </cell>
          <cell r="C4452">
            <v>11</v>
          </cell>
          <cell r="D4452">
            <v>54</v>
          </cell>
          <cell r="E4452" t="str">
            <v>R97</v>
          </cell>
          <cell r="F4452">
            <v>1960</v>
          </cell>
          <cell r="G4452">
            <v>27.58</v>
          </cell>
          <cell r="H4452">
            <v>1.35</v>
          </cell>
          <cell r="I4452" t="str">
            <v>M1</v>
          </cell>
          <cell r="J4452" t="str">
            <v>IE4</v>
          </cell>
          <cell r="K4452" t="str">
            <v>400/690</v>
          </cell>
          <cell r="L4452">
            <v>50</v>
          </cell>
          <cell r="M4452" t="str">
            <v>21/12,3</v>
          </cell>
          <cell r="N4452">
            <v>55</v>
          </cell>
          <cell r="O4452" t="str">
            <v>155(F)</v>
          </cell>
          <cell r="P4452" t="str">
            <v>270°</v>
          </cell>
          <cell r="Q4452" t="str">
            <v>TF</v>
          </cell>
          <cell r="R4452" t="str">
            <v>V(VE)</v>
          </cell>
          <cell r="S4452" t="str">
            <v>-</v>
          </cell>
          <cell r="T4452" t="str">
            <v>-</v>
          </cell>
          <cell r="U4452" t="str">
            <v>-</v>
          </cell>
          <cell r="V4452" t="str">
            <v>FC+R</v>
          </cell>
          <cell r="W4452" t="str">
            <v>-</v>
          </cell>
          <cell r="X4452" t="str">
            <v>CLP 220 (-15/+40°C)</v>
          </cell>
          <cell r="Y4452" t="str">
            <v>R97DRU160L4 /TF/V</v>
          </cell>
          <cell r="Z4452" t="str">
            <v>SEW</v>
          </cell>
          <cell r="AB4452" t="str">
            <v>-</v>
          </cell>
          <cell r="AF4452">
            <v>54</v>
          </cell>
          <cell r="AG4452" t="str">
            <v>DRU160L4</v>
          </cell>
          <cell r="AH4452" t="str">
            <v>R97-DRU160L4270-X#</v>
          </cell>
        </row>
        <row r="4453">
          <cell r="A4453" t="str">
            <v>MR004442</v>
          </cell>
          <cell r="B4453" t="str">
            <v>MR</v>
          </cell>
          <cell r="C4453">
            <v>9.1999999999999993</v>
          </cell>
          <cell r="D4453">
            <v>59</v>
          </cell>
          <cell r="E4453" t="str">
            <v>R97</v>
          </cell>
          <cell r="F4453">
            <v>1480</v>
          </cell>
          <cell r="G4453">
            <v>25.03</v>
          </cell>
          <cell r="H4453">
            <v>1.9</v>
          </cell>
          <cell r="I4453" t="str">
            <v>From M1 to M2 - 15°</v>
          </cell>
          <cell r="J4453" t="str">
            <v>IE4</v>
          </cell>
          <cell r="K4453" t="str">
            <v>400/690</v>
          </cell>
          <cell r="L4453">
            <v>50</v>
          </cell>
          <cell r="M4453" t="str">
            <v>17,8/10,3</v>
          </cell>
          <cell r="N4453">
            <v>55</v>
          </cell>
          <cell r="O4453" t="str">
            <v>155(F)</v>
          </cell>
          <cell r="P4453" t="str">
            <v>270°</v>
          </cell>
          <cell r="Q4453" t="str">
            <v>TF</v>
          </cell>
          <cell r="R4453" t="str">
            <v>V(VE)</v>
          </cell>
          <cell r="S4453" t="str">
            <v>-</v>
          </cell>
          <cell r="T4453" t="str">
            <v>-</v>
          </cell>
          <cell r="U4453" t="str">
            <v>-</v>
          </cell>
          <cell r="V4453" t="str">
            <v>FC</v>
          </cell>
          <cell r="W4453" t="str">
            <v>-</v>
          </cell>
          <cell r="X4453" t="str">
            <v>CLP 220 (-15/+40°C)</v>
          </cell>
          <cell r="Y4453" t="str">
            <v>R97DRU160LR4 /TF/V</v>
          </cell>
          <cell r="Z4453" t="str">
            <v>SEW</v>
          </cell>
          <cell r="AB4453" t="str">
            <v>-</v>
          </cell>
          <cell r="AF4453">
            <v>59</v>
          </cell>
          <cell r="AG4453" t="str">
            <v>DRU160LR4</v>
          </cell>
          <cell r="AH4453" t="str">
            <v>R97-DRU160LR4270-X#</v>
          </cell>
        </row>
        <row r="4454">
          <cell r="A4454" t="str">
            <v>MR004443</v>
          </cell>
          <cell r="B4454" t="str">
            <v>MR</v>
          </cell>
          <cell r="C4454">
            <v>5.5</v>
          </cell>
          <cell r="D4454">
            <v>86</v>
          </cell>
          <cell r="E4454" t="str">
            <v>R87</v>
          </cell>
          <cell r="F4454">
            <v>605</v>
          </cell>
          <cell r="G4454">
            <v>17.079999999999998</v>
          </cell>
          <cell r="H4454">
            <v>2.2999999999999998</v>
          </cell>
          <cell r="I4454" t="str">
            <v>From M1 to M2 - 15°</v>
          </cell>
          <cell r="J4454" t="str">
            <v>IE4</v>
          </cell>
          <cell r="K4454" t="str">
            <v>230/400</v>
          </cell>
          <cell r="L4454">
            <v>50</v>
          </cell>
          <cell r="M4454" t="str">
            <v>19,8/11,4</v>
          </cell>
          <cell r="N4454">
            <v>55</v>
          </cell>
          <cell r="O4454" t="str">
            <v>155(F)</v>
          </cell>
          <cell r="P4454" t="str">
            <v>270°</v>
          </cell>
          <cell r="Q4454" t="str">
            <v>TF</v>
          </cell>
          <cell r="R4454" t="str">
            <v>-</v>
          </cell>
          <cell r="S4454" t="str">
            <v>-</v>
          </cell>
          <cell r="T4454" t="str">
            <v>-</v>
          </cell>
          <cell r="U4454" t="str">
            <v>-</v>
          </cell>
          <cell r="V4454" t="str">
            <v>D</v>
          </cell>
          <cell r="W4454" t="str">
            <v>-</v>
          </cell>
          <cell r="X4454" t="str">
            <v>CLP 220 (-15/+40°C)</v>
          </cell>
          <cell r="Y4454" t="str">
            <v>R87DRU132M4 /TF</v>
          </cell>
          <cell r="Z4454" t="str">
            <v>SEW</v>
          </cell>
          <cell r="AB4454" t="str">
            <v>-</v>
          </cell>
          <cell r="AF4454">
            <v>86</v>
          </cell>
          <cell r="AG4454" t="str">
            <v>DRU132M4</v>
          </cell>
          <cell r="AH4454" t="str">
            <v>R87-DRU132M4270-X</v>
          </cell>
        </row>
        <row r="4455">
          <cell r="A4455" t="str">
            <v>MR004444</v>
          </cell>
          <cell r="B4455" t="str">
            <v>MR</v>
          </cell>
          <cell r="C4455">
            <v>5.5</v>
          </cell>
          <cell r="D4455">
            <v>57</v>
          </cell>
          <cell r="E4455" t="str">
            <v>KH77</v>
          </cell>
          <cell r="F4455">
            <v>920</v>
          </cell>
          <cell r="G4455">
            <v>25.62</v>
          </cell>
          <cell r="H4455">
            <v>1.7</v>
          </cell>
          <cell r="I4455" t="str">
            <v>M4A</v>
          </cell>
          <cell r="J4455" t="str">
            <v>IE3</v>
          </cell>
          <cell r="K4455" t="str">
            <v>400/690</v>
          </cell>
          <cell r="L4455">
            <v>50</v>
          </cell>
          <cell r="M4455" t="str">
            <v>10,50/6,10</v>
          </cell>
          <cell r="N4455">
            <v>55</v>
          </cell>
          <cell r="O4455" t="str">
            <v>155(F)</v>
          </cell>
          <cell r="P4455" t="str">
            <v>270°</v>
          </cell>
          <cell r="Q4455" t="str">
            <v>-</v>
          </cell>
          <cell r="R4455" t="str">
            <v>-</v>
          </cell>
          <cell r="S4455" t="str">
            <v>Free rotation CCW</v>
          </cell>
          <cell r="T4455" t="str">
            <v>-</v>
          </cell>
          <cell r="U4455" t="str">
            <v>T</v>
          </cell>
          <cell r="V4455" t="str">
            <v>SS</v>
          </cell>
          <cell r="W4455" t="str">
            <v>-</v>
          </cell>
          <cell r="X4455" t="str">
            <v>CLP HC 150 (-30/+50°C)</v>
          </cell>
          <cell r="Y4455" t="str">
            <v>KH77/T DRN132S4 /RS</v>
          </cell>
          <cell r="Z4455" t="str">
            <v>SEW</v>
          </cell>
          <cell r="AB4455" t="str">
            <v>-</v>
          </cell>
          <cell r="AF4455">
            <v>57</v>
          </cell>
          <cell r="AG4455" t="str">
            <v>DRN132S4</v>
          </cell>
          <cell r="AH4455" t="str">
            <v>KH77T-DRN132S4A270-X</v>
          </cell>
        </row>
        <row r="4456">
          <cell r="A4456" t="str">
            <v>MR004445</v>
          </cell>
          <cell r="B4456" t="str">
            <v>MR</v>
          </cell>
          <cell r="C4456">
            <v>0.75</v>
          </cell>
          <cell r="D4456">
            <v>137</v>
          </cell>
          <cell r="E4456" t="str">
            <v>KA37</v>
          </cell>
          <cell r="F4456">
            <v>52</v>
          </cell>
          <cell r="G4456">
            <v>10.49</v>
          </cell>
          <cell r="H4456">
            <v>3.1</v>
          </cell>
          <cell r="I4456" t="str">
            <v>From M1A to M2A - 5°</v>
          </cell>
          <cell r="J4456" t="str">
            <v>IE3</v>
          </cell>
          <cell r="K4456" t="str">
            <v>230/400</v>
          </cell>
          <cell r="L4456">
            <v>50</v>
          </cell>
          <cell r="M4456" t="str">
            <v>3,05/1,75</v>
          </cell>
          <cell r="N4456">
            <v>55</v>
          </cell>
          <cell r="O4456" t="str">
            <v>155(F)</v>
          </cell>
          <cell r="P4456" t="str">
            <v>180°</v>
          </cell>
          <cell r="Q4456" t="str">
            <v>-</v>
          </cell>
          <cell r="R4456" t="str">
            <v>-</v>
          </cell>
          <cell r="S4456" t="str">
            <v>-</v>
          </cell>
          <cell r="T4456" t="str">
            <v>-</v>
          </cell>
          <cell r="U4456" t="str">
            <v>T</v>
          </cell>
          <cell r="V4456" t="str">
            <v>D</v>
          </cell>
          <cell r="W4456" t="str">
            <v>-</v>
          </cell>
          <cell r="X4456" t="str">
            <v>CLP HC 150 (-30/+50°C)</v>
          </cell>
          <cell r="Y4456" t="str">
            <v>KA37/T DRN80M4</v>
          </cell>
          <cell r="Z4456" t="str">
            <v>SEW</v>
          </cell>
          <cell r="AB4456" t="str">
            <v>-</v>
          </cell>
          <cell r="AF4456">
            <v>137</v>
          </cell>
          <cell r="AG4456" t="str">
            <v>DRN80M4</v>
          </cell>
          <cell r="AH4456" t="str">
            <v>KA37T-DRN80M4A180-X</v>
          </cell>
        </row>
        <row r="4457">
          <cell r="A4457" t="str">
            <v>MR004446</v>
          </cell>
          <cell r="B4457" t="str">
            <v>MR</v>
          </cell>
          <cell r="C4457">
            <v>7.5</v>
          </cell>
          <cell r="D4457">
            <v>57</v>
          </cell>
          <cell r="E4457" t="str">
            <v>KH77</v>
          </cell>
          <cell r="F4457">
            <v>1250</v>
          </cell>
          <cell r="G4457">
            <v>25.62</v>
          </cell>
          <cell r="H4457">
            <v>1.25</v>
          </cell>
          <cell r="I4457" t="str">
            <v>M4A</v>
          </cell>
          <cell r="J4457" t="str">
            <v>IE3</v>
          </cell>
          <cell r="K4457" t="str">
            <v>400/690</v>
          </cell>
          <cell r="L4457">
            <v>50</v>
          </cell>
          <cell r="M4457" t="str">
            <v>15,2/8,8</v>
          </cell>
          <cell r="N4457">
            <v>55</v>
          </cell>
          <cell r="O4457" t="str">
            <v>155(F)</v>
          </cell>
          <cell r="P4457" t="str">
            <v>270°</v>
          </cell>
          <cell r="Q4457" t="str">
            <v>-</v>
          </cell>
          <cell r="R4457" t="str">
            <v>-</v>
          </cell>
          <cell r="S4457" t="str">
            <v>Free rotation CCW</v>
          </cell>
          <cell r="T4457" t="str">
            <v>-</v>
          </cell>
          <cell r="U4457" t="str">
            <v>T</v>
          </cell>
          <cell r="V4457" t="str">
            <v>SS</v>
          </cell>
          <cell r="W4457" t="str">
            <v>-</v>
          </cell>
          <cell r="X4457" t="str">
            <v>CLP HC 150 (-30/+50°C)</v>
          </cell>
          <cell r="Y4457" t="str">
            <v>KH77/T DRN132M4 /RS</v>
          </cell>
          <cell r="Z4457" t="str">
            <v>SEW</v>
          </cell>
          <cell r="AB4457" t="str">
            <v>-</v>
          </cell>
          <cell r="AF4457">
            <v>57</v>
          </cell>
          <cell r="AG4457" t="str">
            <v>DRN132M4</v>
          </cell>
          <cell r="AH4457" t="str">
            <v>KH77T-DRN132M4A270-X</v>
          </cell>
        </row>
        <row r="4458">
          <cell r="A4458" t="str">
            <v>MR004447</v>
          </cell>
          <cell r="B4458" t="str">
            <v>MR</v>
          </cell>
          <cell r="C4458">
            <v>0.75</v>
          </cell>
          <cell r="D4458">
            <v>162</v>
          </cell>
          <cell r="E4458" t="str">
            <v>KA37</v>
          </cell>
          <cell r="F4458">
            <v>44</v>
          </cell>
          <cell r="G4458">
            <v>8.91</v>
          </cell>
          <cell r="H4458">
            <v>3.1</v>
          </cell>
          <cell r="I4458" t="str">
            <v>From M1A to M2A - 30°</v>
          </cell>
          <cell r="J4458" t="str">
            <v>IE3</v>
          </cell>
          <cell r="K4458" t="str">
            <v>230/400</v>
          </cell>
          <cell r="L4458">
            <v>50</v>
          </cell>
          <cell r="M4458" t="str">
            <v>3,05/1,75</v>
          </cell>
          <cell r="N4458">
            <v>55</v>
          </cell>
          <cell r="O4458" t="str">
            <v>155(F)</v>
          </cell>
          <cell r="P4458" t="str">
            <v>180°</v>
          </cell>
          <cell r="Q4458" t="str">
            <v>-</v>
          </cell>
          <cell r="R4458" t="str">
            <v>-</v>
          </cell>
          <cell r="S4458" t="str">
            <v>-</v>
          </cell>
          <cell r="T4458" t="str">
            <v>-</v>
          </cell>
          <cell r="U4458" t="str">
            <v>T</v>
          </cell>
          <cell r="V4458" t="str">
            <v>D</v>
          </cell>
          <cell r="W4458" t="str">
            <v>-</v>
          </cell>
          <cell r="X4458" t="str">
            <v>CLP HC 150 (-30/+50°C)</v>
          </cell>
          <cell r="Y4458" t="str">
            <v>KA37/T DRN80M4</v>
          </cell>
          <cell r="Z4458" t="str">
            <v>SEW</v>
          </cell>
          <cell r="AB4458" t="str">
            <v>-</v>
          </cell>
          <cell r="AF4458">
            <v>162</v>
          </cell>
          <cell r="AG4458" t="str">
            <v>DRN80M4</v>
          </cell>
          <cell r="AH4458" t="str">
            <v>KA37T-DRN80M4A180-X</v>
          </cell>
        </row>
        <row r="4459">
          <cell r="A4459" t="str">
            <v>MR004448</v>
          </cell>
          <cell r="B4459" t="str">
            <v>MR</v>
          </cell>
          <cell r="C4459">
            <v>4</v>
          </cell>
          <cell r="D4459">
            <v>61</v>
          </cell>
          <cell r="E4459" t="str">
            <v>KH67</v>
          </cell>
          <cell r="F4459">
            <v>625</v>
          </cell>
          <cell r="G4459">
            <v>24</v>
          </cell>
          <cell r="H4459">
            <v>1.3</v>
          </cell>
          <cell r="I4459" t="str">
            <v>M4A</v>
          </cell>
          <cell r="J4459" t="str">
            <v>IE3</v>
          </cell>
          <cell r="K4459" t="str">
            <v>230/400</v>
          </cell>
          <cell r="L4459">
            <v>50</v>
          </cell>
          <cell r="M4459" t="str">
            <v>13,8/7,9</v>
          </cell>
          <cell r="N4459">
            <v>55</v>
          </cell>
          <cell r="O4459" t="str">
            <v>155(F)</v>
          </cell>
          <cell r="P4459" t="str">
            <v>270°</v>
          </cell>
          <cell r="Q4459" t="str">
            <v>-</v>
          </cell>
          <cell r="R4459" t="str">
            <v>-</v>
          </cell>
          <cell r="S4459" t="str">
            <v>-</v>
          </cell>
          <cell r="T4459" t="str">
            <v>-</v>
          </cell>
          <cell r="U4459" t="str">
            <v>T</v>
          </cell>
          <cell r="V4459" t="str">
            <v>SS</v>
          </cell>
          <cell r="W4459" t="str">
            <v>-</v>
          </cell>
          <cell r="X4459" t="str">
            <v>CLP HC 150 (-30/+50°C)</v>
          </cell>
          <cell r="Y4459" t="str">
            <v>KH67/T DRN112M4</v>
          </cell>
          <cell r="Z4459" t="str">
            <v>SEW</v>
          </cell>
          <cell r="AB4459" t="str">
            <v>-</v>
          </cell>
          <cell r="AF4459">
            <v>61</v>
          </cell>
          <cell r="AG4459" t="str">
            <v>DRN112M4</v>
          </cell>
          <cell r="AH4459" t="str">
            <v>KH67T-DRN112M4A270-X</v>
          </cell>
        </row>
        <row r="4460">
          <cell r="A4460" t="str">
            <v>MR004449</v>
          </cell>
          <cell r="B4460" t="str">
            <v>MR</v>
          </cell>
          <cell r="C4460">
            <v>5.5</v>
          </cell>
          <cell r="D4460">
            <v>57</v>
          </cell>
          <cell r="E4460" t="str">
            <v>KH77</v>
          </cell>
          <cell r="F4460">
            <v>920</v>
          </cell>
          <cell r="G4460">
            <v>25.62</v>
          </cell>
          <cell r="H4460">
            <v>1.7</v>
          </cell>
          <cell r="I4460" t="str">
            <v>M4A</v>
          </cell>
          <cell r="J4460" t="str">
            <v>IE3</v>
          </cell>
          <cell r="K4460" t="str">
            <v>400/690</v>
          </cell>
          <cell r="L4460">
            <v>50</v>
          </cell>
          <cell r="M4460" t="str">
            <v>10,5/6,10</v>
          </cell>
          <cell r="N4460">
            <v>55</v>
          </cell>
          <cell r="O4460" t="str">
            <v>155(F)</v>
          </cell>
          <cell r="P4460" t="str">
            <v>270°</v>
          </cell>
          <cell r="Q4460" t="str">
            <v>-</v>
          </cell>
          <cell r="R4460" t="str">
            <v>-</v>
          </cell>
          <cell r="S4460" t="str">
            <v>Free rotation CCW</v>
          </cell>
          <cell r="T4460" t="str">
            <v>-</v>
          </cell>
          <cell r="U4460" t="str">
            <v>T</v>
          </cell>
          <cell r="V4460" t="str">
            <v>SS</v>
          </cell>
          <cell r="W4460" t="str">
            <v>-</v>
          </cell>
          <cell r="X4460" t="str">
            <v>CLP HC 150 (-30/+50°C)</v>
          </cell>
          <cell r="Y4460" t="str">
            <v>KH77/T DRN132S4 /RS</v>
          </cell>
          <cell r="Z4460" t="str">
            <v>SEW</v>
          </cell>
          <cell r="AB4460" t="str">
            <v>-</v>
          </cell>
          <cell r="AF4460">
            <v>57</v>
          </cell>
          <cell r="AG4460" t="str">
            <v>DRN132S4</v>
          </cell>
          <cell r="AH4460" t="str">
            <v>KH77T-DRN132S4A270-X</v>
          </cell>
        </row>
        <row r="4461">
          <cell r="A4461" t="str">
            <v>MR004450</v>
          </cell>
          <cell r="B4461" t="str">
            <v>MR</v>
          </cell>
          <cell r="C4461">
            <v>0.75</v>
          </cell>
          <cell r="D4461">
            <v>137</v>
          </cell>
          <cell r="E4461" t="str">
            <v>KA37</v>
          </cell>
          <cell r="F4461">
            <v>52</v>
          </cell>
          <cell r="G4461">
            <v>10.49</v>
          </cell>
          <cell r="H4461">
            <v>3.1</v>
          </cell>
          <cell r="I4461" t="str">
            <v>From M1A to M2A - 20°</v>
          </cell>
          <cell r="J4461" t="str">
            <v>IE3</v>
          </cell>
          <cell r="K4461" t="str">
            <v>230/400</v>
          </cell>
          <cell r="L4461">
            <v>50</v>
          </cell>
          <cell r="M4461" t="str">
            <v>3,05/1,75</v>
          </cell>
          <cell r="N4461">
            <v>55</v>
          </cell>
          <cell r="O4461" t="str">
            <v>155(F)</v>
          </cell>
          <cell r="P4461" t="str">
            <v>180°</v>
          </cell>
          <cell r="Q4461" t="str">
            <v>-</v>
          </cell>
          <cell r="R4461" t="str">
            <v>-</v>
          </cell>
          <cell r="S4461" t="str">
            <v>-</v>
          </cell>
          <cell r="T4461" t="str">
            <v>-</v>
          </cell>
          <cell r="U4461" t="str">
            <v>T</v>
          </cell>
          <cell r="V4461" t="str">
            <v>D</v>
          </cell>
          <cell r="W4461" t="str">
            <v>-</v>
          </cell>
          <cell r="X4461" t="str">
            <v>CLP HC 150 (-30/+50°C)</v>
          </cell>
          <cell r="Y4461" t="str">
            <v>KA37/T DRN80M4</v>
          </cell>
          <cell r="Z4461" t="str">
            <v>SEW</v>
          </cell>
          <cell r="AB4461" t="str">
            <v>-</v>
          </cell>
          <cell r="AF4461">
            <v>137</v>
          </cell>
          <cell r="AG4461" t="str">
            <v>DRN80M4</v>
          </cell>
          <cell r="AH4461" t="str">
            <v>KA37T-DRN80M4A180-X</v>
          </cell>
        </row>
        <row r="4462">
          <cell r="A4462" t="str">
            <v>MR004451</v>
          </cell>
          <cell r="B4462" t="str">
            <v>MR</v>
          </cell>
          <cell r="C4462">
            <v>5.5</v>
          </cell>
          <cell r="D4462">
            <v>57</v>
          </cell>
          <cell r="E4462" t="str">
            <v>KH77</v>
          </cell>
          <cell r="F4462">
            <v>920</v>
          </cell>
          <cell r="G4462">
            <v>25.62</v>
          </cell>
          <cell r="H4462">
            <v>1.7</v>
          </cell>
          <cell r="I4462" t="str">
            <v>M4B</v>
          </cell>
          <cell r="J4462" t="str">
            <v>IE3</v>
          </cell>
          <cell r="K4462" t="str">
            <v>230/400</v>
          </cell>
          <cell r="L4462">
            <v>50</v>
          </cell>
          <cell r="M4462" t="str">
            <v>10,5/6,10</v>
          </cell>
          <cell r="N4462">
            <v>55</v>
          </cell>
          <cell r="O4462" t="str">
            <v>155(F)</v>
          </cell>
          <cell r="P4462" t="str">
            <v>270°</v>
          </cell>
          <cell r="Q4462" t="str">
            <v>-</v>
          </cell>
          <cell r="R4462" t="str">
            <v>-</v>
          </cell>
          <cell r="S4462" t="str">
            <v>Free rotation CW</v>
          </cell>
          <cell r="T4462" t="str">
            <v>-</v>
          </cell>
          <cell r="U4462" t="str">
            <v>T</v>
          </cell>
          <cell r="V4462" t="str">
            <v>SS</v>
          </cell>
          <cell r="W4462" t="str">
            <v>-</v>
          </cell>
          <cell r="X4462" t="str">
            <v>CLP HC 150 (-30/+50°C)</v>
          </cell>
          <cell r="Y4462" t="str">
            <v>KH77/T DRN132S4 /RS</v>
          </cell>
          <cell r="Z4462" t="str">
            <v>SEW</v>
          </cell>
          <cell r="AB4462" t="str">
            <v>-</v>
          </cell>
          <cell r="AF4462">
            <v>57</v>
          </cell>
          <cell r="AG4462" t="str">
            <v>DRN132S4</v>
          </cell>
          <cell r="AH4462" t="str">
            <v>KH77T-DRN132S4B270-X</v>
          </cell>
        </row>
        <row r="4463">
          <cell r="A4463" t="str">
            <v>MR004452</v>
          </cell>
          <cell r="B4463" t="str">
            <v>MR</v>
          </cell>
          <cell r="C4463">
            <v>0.75</v>
          </cell>
          <cell r="D4463">
            <v>137</v>
          </cell>
          <cell r="E4463" t="str">
            <v>KA37</v>
          </cell>
          <cell r="F4463">
            <v>52</v>
          </cell>
          <cell r="G4463">
            <v>10.49</v>
          </cell>
          <cell r="H4463">
            <v>3.1</v>
          </cell>
          <cell r="I4463" t="str">
            <v>From M1B to M2B - 10°</v>
          </cell>
          <cell r="J4463" t="str">
            <v>IE3</v>
          </cell>
          <cell r="K4463" t="str">
            <v>230/400</v>
          </cell>
          <cell r="L4463">
            <v>50</v>
          </cell>
          <cell r="M4463" t="str">
            <v>3,05/1,75</v>
          </cell>
          <cell r="N4463">
            <v>55</v>
          </cell>
          <cell r="O4463" t="str">
            <v>155(F)</v>
          </cell>
          <cell r="P4463" t="str">
            <v>0°</v>
          </cell>
          <cell r="Q4463" t="str">
            <v>-</v>
          </cell>
          <cell r="R4463" t="str">
            <v>-</v>
          </cell>
          <cell r="S4463" t="str">
            <v>-</v>
          </cell>
          <cell r="T4463" t="str">
            <v>-</v>
          </cell>
          <cell r="U4463" t="str">
            <v>T</v>
          </cell>
          <cell r="V4463" t="str">
            <v>D</v>
          </cell>
          <cell r="W4463" t="str">
            <v>-</v>
          </cell>
          <cell r="X4463" t="str">
            <v>CLP HC 150 (-30/+50°C)</v>
          </cell>
          <cell r="Y4463" t="str">
            <v>KA37/T DRN80M4</v>
          </cell>
          <cell r="Z4463" t="str">
            <v>SEW</v>
          </cell>
          <cell r="AB4463" t="str">
            <v>-</v>
          </cell>
          <cell r="AF4463">
            <v>137</v>
          </cell>
          <cell r="AG4463" t="str">
            <v>DRN80M4</v>
          </cell>
          <cell r="AH4463" t="str">
            <v>KA37T-DRN80M4B0-X</v>
          </cell>
        </row>
        <row r="4464">
          <cell r="A4464" t="str">
            <v>MR004453</v>
          </cell>
          <cell r="B4464" t="str">
            <v>MR</v>
          </cell>
          <cell r="C4464">
            <v>5.5</v>
          </cell>
          <cell r="D4464">
            <v>57</v>
          </cell>
          <cell r="E4464" t="str">
            <v>KH77</v>
          </cell>
          <cell r="F4464">
            <v>920</v>
          </cell>
          <cell r="G4464">
            <v>25.62</v>
          </cell>
          <cell r="H4464">
            <v>1.7</v>
          </cell>
          <cell r="I4464" t="str">
            <v>M4B</v>
          </cell>
          <cell r="J4464" t="str">
            <v>IE3</v>
          </cell>
          <cell r="K4464" t="str">
            <v>230/400</v>
          </cell>
          <cell r="L4464">
            <v>50</v>
          </cell>
          <cell r="M4464" t="str">
            <v>10,5/6,10</v>
          </cell>
          <cell r="N4464">
            <v>55</v>
          </cell>
          <cell r="O4464" t="str">
            <v>155(F)</v>
          </cell>
          <cell r="P4464" t="str">
            <v>270°</v>
          </cell>
          <cell r="Q4464" t="str">
            <v>-</v>
          </cell>
          <cell r="R4464" t="str">
            <v>-</v>
          </cell>
          <cell r="S4464" t="str">
            <v>Free rotation CW</v>
          </cell>
          <cell r="T4464" t="str">
            <v>-</v>
          </cell>
          <cell r="U4464" t="str">
            <v>T</v>
          </cell>
          <cell r="V4464" t="str">
            <v>SS</v>
          </cell>
          <cell r="W4464" t="str">
            <v>-</v>
          </cell>
          <cell r="X4464" t="str">
            <v>CLP HC 150 (-30/+50°C)</v>
          </cell>
          <cell r="Y4464" t="str">
            <v>KH77/T DRN132S4 /RS</v>
          </cell>
          <cell r="Z4464" t="str">
            <v>SEW</v>
          </cell>
          <cell r="AB4464" t="str">
            <v>-</v>
          </cell>
          <cell r="AF4464">
            <v>57</v>
          </cell>
          <cell r="AG4464" t="str">
            <v>DRN132S4</v>
          </cell>
          <cell r="AH4464" t="str">
            <v>KH77T-DRN132S4B270-X</v>
          </cell>
        </row>
        <row r="4465">
          <cell r="A4465" t="str">
            <v>MR004454</v>
          </cell>
          <cell r="B4465" t="str">
            <v>MR</v>
          </cell>
          <cell r="C4465">
            <v>0.75</v>
          </cell>
          <cell r="D4465">
            <v>137</v>
          </cell>
          <cell r="E4465" t="str">
            <v>KA37</v>
          </cell>
          <cell r="F4465">
            <v>52</v>
          </cell>
          <cell r="G4465">
            <v>10.49</v>
          </cell>
          <cell r="H4465">
            <v>3.1</v>
          </cell>
          <cell r="I4465" t="str">
            <v>From M1B to M2B - 20°</v>
          </cell>
          <cell r="J4465" t="str">
            <v>IE3</v>
          </cell>
          <cell r="K4465" t="str">
            <v>230/400</v>
          </cell>
          <cell r="L4465">
            <v>50</v>
          </cell>
          <cell r="M4465" t="str">
            <v>3,05/1,75</v>
          </cell>
          <cell r="N4465">
            <v>55</v>
          </cell>
          <cell r="O4465" t="str">
            <v>155(F)</v>
          </cell>
          <cell r="P4465" t="str">
            <v>0°</v>
          </cell>
          <cell r="Q4465" t="str">
            <v>-</v>
          </cell>
          <cell r="R4465" t="str">
            <v>-</v>
          </cell>
          <cell r="S4465" t="str">
            <v>-</v>
          </cell>
          <cell r="T4465" t="str">
            <v>-</v>
          </cell>
          <cell r="U4465" t="str">
            <v>T</v>
          </cell>
          <cell r="V4465" t="str">
            <v>D</v>
          </cell>
          <cell r="W4465" t="str">
            <v>-</v>
          </cell>
          <cell r="X4465" t="str">
            <v>CLP HC 150 (-30/+50°C)</v>
          </cell>
          <cell r="Y4465" t="str">
            <v>KA37/T DRN80M4</v>
          </cell>
          <cell r="Z4465" t="str">
            <v>SEW</v>
          </cell>
          <cell r="AB4465" t="str">
            <v>-</v>
          </cell>
          <cell r="AF4465">
            <v>137</v>
          </cell>
          <cell r="AG4465" t="str">
            <v>DRN80M4</v>
          </cell>
          <cell r="AH4465" t="str">
            <v>KA37T-DRN80M4B0-X</v>
          </cell>
        </row>
        <row r="4466">
          <cell r="A4466" t="str">
            <v>MR004455</v>
          </cell>
          <cell r="B4466" t="str">
            <v>MR</v>
          </cell>
          <cell r="C4466">
            <v>2.2000000000000002</v>
          </cell>
          <cell r="D4466">
            <v>89</v>
          </cell>
          <cell r="E4466" t="str">
            <v>FH47</v>
          </cell>
          <cell r="F4466">
            <v>235</v>
          </cell>
          <cell r="G4466">
            <v>16.36</v>
          </cell>
          <cell r="H4466">
            <v>1.7</v>
          </cell>
          <cell r="I4466" t="str">
            <v>M1</v>
          </cell>
          <cell r="J4466" t="str">
            <v>IE3</v>
          </cell>
          <cell r="K4466" t="str">
            <v>230/400</v>
          </cell>
          <cell r="L4466">
            <v>50</v>
          </cell>
          <cell r="M4466" t="str">
            <v>8,2/4,75</v>
          </cell>
          <cell r="N4466">
            <v>65</v>
          </cell>
          <cell r="O4466" t="str">
            <v>155(F)</v>
          </cell>
          <cell r="P4466" t="str">
            <v>270°</v>
          </cell>
          <cell r="Q4466" t="str">
            <v>TF</v>
          </cell>
          <cell r="R4466" t="str">
            <v>-</v>
          </cell>
          <cell r="S4466" t="str">
            <v>-</v>
          </cell>
          <cell r="T4466" t="str">
            <v>-</v>
          </cell>
          <cell r="U4466" t="str">
            <v>G</v>
          </cell>
          <cell r="V4466" t="str">
            <v>D</v>
          </cell>
          <cell r="W4466" t="str">
            <v>-</v>
          </cell>
          <cell r="X4466" t="str">
            <v>CLP HC 150 (-30/+50°C)</v>
          </cell>
          <cell r="Y4466" t="str">
            <v>FH47/G DRN100LS4 /TF</v>
          </cell>
          <cell r="Z4466" t="str">
            <v>SEW</v>
          </cell>
          <cell r="AB4466" t="str">
            <v>-</v>
          </cell>
          <cell r="AF4466">
            <v>89</v>
          </cell>
          <cell r="AG4466" t="str">
            <v>DRN100LS4</v>
          </cell>
          <cell r="AH4466" t="str">
            <v>FH47G-DRN100LS4270-X</v>
          </cell>
        </row>
        <row r="4467">
          <cell r="A4467" t="str">
            <v>MR004456</v>
          </cell>
          <cell r="B4467" t="str">
            <v>MR</v>
          </cell>
          <cell r="C4467">
            <v>5.5</v>
          </cell>
          <cell r="D4467">
            <v>101</v>
          </cell>
          <cell r="E4467" t="str">
            <v>FH67</v>
          </cell>
          <cell r="F4467">
            <v>515</v>
          </cell>
          <cell r="G4467">
            <v>14.46</v>
          </cell>
          <cell r="H4467">
            <v>1.6</v>
          </cell>
          <cell r="I4467" t="str">
            <v>M4</v>
          </cell>
          <cell r="J4467" t="str">
            <v>IE3</v>
          </cell>
          <cell r="K4467" t="str">
            <v>230/400</v>
          </cell>
          <cell r="L4467">
            <v>50</v>
          </cell>
          <cell r="M4467" t="str">
            <v>18,2/10,5</v>
          </cell>
          <cell r="N4467">
            <v>65</v>
          </cell>
          <cell r="O4467" t="str">
            <v>155(F)</v>
          </cell>
          <cell r="P4467" t="str">
            <v>270°</v>
          </cell>
          <cell r="Q4467" t="str">
            <v>TF</v>
          </cell>
          <cell r="R4467" t="str">
            <v>-</v>
          </cell>
          <cell r="S4467" t="str">
            <v>-</v>
          </cell>
          <cell r="T4467" t="str">
            <v>-</v>
          </cell>
          <cell r="U4467" t="str">
            <v>G</v>
          </cell>
          <cell r="V4467" t="str">
            <v>D</v>
          </cell>
          <cell r="W4467" t="str">
            <v>-</v>
          </cell>
          <cell r="X4467" t="str">
            <v>CLP HC 150 (-30/+50°C)</v>
          </cell>
          <cell r="Y4467" t="str">
            <v>FH67/G DRN132S4 /TF</v>
          </cell>
          <cell r="Z4467" t="str">
            <v>SEW</v>
          </cell>
          <cell r="AB4467" t="str">
            <v>-</v>
          </cell>
          <cell r="AF4467">
            <v>101</v>
          </cell>
          <cell r="AG4467" t="str">
            <v>DRN132S4</v>
          </cell>
          <cell r="AH4467" t="str">
            <v>FH67G-DRN132S4270-X</v>
          </cell>
        </row>
        <row r="4468">
          <cell r="A4468" t="str">
            <v>MR004457</v>
          </cell>
          <cell r="B4468" t="str">
            <v>MR</v>
          </cell>
          <cell r="C4468">
            <v>0.75</v>
          </cell>
          <cell r="D4468">
            <v>137</v>
          </cell>
          <cell r="E4468" t="str">
            <v>KA37</v>
          </cell>
          <cell r="F4468">
            <v>52</v>
          </cell>
          <cell r="G4468">
            <v>10.49</v>
          </cell>
          <cell r="H4468">
            <v>3.1</v>
          </cell>
          <cell r="I4468" t="str">
            <v>M1A</v>
          </cell>
          <cell r="J4468" t="str">
            <v>IE3</v>
          </cell>
          <cell r="K4468" t="str">
            <v>230/400</v>
          </cell>
          <cell r="L4468">
            <v>50</v>
          </cell>
          <cell r="M4468" t="str">
            <v>3,05/1,75</v>
          </cell>
          <cell r="N4468">
            <v>55</v>
          </cell>
          <cell r="O4468" t="str">
            <v>155(F)</v>
          </cell>
          <cell r="P4468" t="str">
            <v>180°</v>
          </cell>
          <cell r="Q4468" t="str">
            <v>-</v>
          </cell>
          <cell r="R4468" t="str">
            <v>-</v>
          </cell>
          <cell r="S4468" t="str">
            <v>-</v>
          </cell>
          <cell r="T4468" t="str">
            <v>-</v>
          </cell>
          <cell r="U4468" t="str">
            <v>T</v>
          </cell>
          <cell r="V4468" t="str">
            <v>D</v>
          </cell>
          <cell r="W4468" t="str">
            <v>-</v>
          </cell>
          <cell r="X4468" t="str">
            <v>CLP HC 150 (-30/+50°C)</v>
          </cell>
          <cell r="Y4468" t="str">
            <v>KA37/T DRN80M4</v>
          </cell>
          <cell r="Z4468" t="str">
            <v>SEW</v>
          </cell>
          <cell r="AB4468" t="str">
            <v>-</v>
          </cell>
          <cell r="AF4468">
            <v>137</v>
          </cell>
          <cell r="AG4468" t="str">
            <v>DRN80M4</v>
          </cell>
          <cell r="AH4468" t="str">
            <v>KA37T-DRN80M4A180-X</v>
          </cell>
        </row>
        <row r="4469">
          <cell r="A4469" t="str">
            <v>MR004458</v>
          </cell>
          <cell r="B4469" t="str">
            <v>MR</v>
          </cell>
          <cell r="C4469">
            <v>7.5</v>
          </cell>
          <cell r="D4469">
            <v>63</v>
          </cell>
          <cell r="E4469" t="str">
            <v>R87</v>
          </cell>
          <cell r="F4469">
            <v>940</v>
          </cell>
          <cell r="G4469">
            <v>23.4</v>
          </cell>
          <cell r="H4469">
            <v>1.65</v>
          </cell>
          <cell r="I4469" t="str">
            <v>From M1 to M2 - 10°</v>
          </cell>
          <cell r="J4469" t="str">
            <v>IE3</v>
          </cell>
          <cell r="K4469">
            <v>460</v>
          </cell>
          <cell r="L4469">
            <v>60</v>
          </cell>
          <cell r="M4469">
            <v>13.6</v>
          </cell>
          <cell r="N4469">
            <v>65</v>
          </cell>
          <cell r="O4469" t="str">
            <v>155(F)</v>
          </cell>
          <cell r="P4469" t="str">
            <v>270°</v>
          </cell>
          <cell r="Q4469" t="str">
            <v>TF</v>
          </cell>
          <cell r="R4469" t="str">
            <v>-</v>
          </cell>
          <cell r="S4469" t="str">
            <v>-</v>
          </cell>
          <cell r="T4469" t="str">
            <v>-</v>
          </cell>
          <cell r="U4469" t="str">
            <v>-</v>
          </cell>
          <cell r="V4469" t="str">
            <v>D</v>
          </cell>
          <cell r="W4469" t="str">
            <v>-</v>
          </cell>
          <cell r="X4469" t="str">
            <v>CLP 220 (-15/+40°C)</v>
          </cell>
          <cell r="Y4469" t="str">
            <v>R87DRN132M4 /TF</v>
          </cell>
          <cell r="Z4469" t="str">
            <v>SEW</v>
          </cell>
          <cell r="AA4469" t="str">
            <v>RAL 5002</v>
          </cell>
          <cell r="AB4469" t="str">
            <v>-</v>
          </cell>
          <cell r="AF4469">
            <v>75.599999999999994</v>
          </cell>
          <cell r="AG4469" t="str">
            <v>DRN132M4</v>
          </cell>
          <cell r="AH4469" t="str">
            <v>R87-DRN132M4270-X</v>
          </cell>
        </row>
        <row r="4470">
          <cell r="A4470" t="str">
            <v>MR004459</v>
          </cell>
          <cell r="B4470" t="str">
            <v>MR</v>
          </cell>
          <cell r="C4470">
            <v>30</v>
          </cell>
          <cell r="D4470">
            <v>81</v>
          </cell>
          <cell r="E4470" t="str">
            <v>R107</v>
          </cell>
          <cell r="F4470">
            <v>2930</v>
          </cell>
          <cell r="G4470">
            <v>18.21</v>
          </cell>
          <cell r="H4470">
            <v>1.45</v>
          </cell>
          <cell r="I4470" t="str">
            <v>M4</v>
          </cell>
          <cell r="J4470" t="str">
            <v>IE3</v>
          </cell>
          <cell r="K4470">
            <v>460</v>
          </cell>
          <cell r="L4470">
            <v>60</v>
          </cell>
          <cell r="M4470">
            <v>50</v>
          </cell>
          <cell r="N4470">
            <v>65</v>
          </cell>
          <cell r="O4470" t="str">
            <v>155(F)</v>
          </cell>
          <cell r="P4470" t="str">
            <v>270°</v>
          </cell>
          <cell r="Q4470" t="str">
            <v>TF</v>
          </cell>
          <cell r="R4470" t="str">
            <v>-</v>
          </cell>
          <cell r="S4470" t="str">
            <v>-</v>
          </cell>
          <cell r="T4470" t="str">
            <v>-</v>
          </cell>
          <cell r="U4470" t="str">
            <v>-</v>
          </cell>
          <cell r="V4470" t="str">
            <v>D</v>
          </cell>
          <cell r="W4470" t="str">
            <v>-</v>
          </cell>
          <cell r="X4470" t="str">
            <v>CLP 220 (-15/+40°C)</v>
          </cell>
          <cell r="Y4470" t="str">
            <v>R107DRN200L4 /TF</v>
          </cell>
          <cell r="Z4470" t="str">
            <v>SEW</v>
          </cell>
          <cell r="AA4470" t="str">
            <v>RAL 5002</v>
          </cell>
          <cell r="AB4470" t="str">
            <v>-</v>
          </cell>
          <cell r="AF4470">
            <v>97.2</v>
          </cell>
          <cell r="AG4470" t="str">
            <v>DRN200L4</v>
          </cell>
          <cell r="AH4470" t="str">
            <v>R107-DRN200L4270-X</v>
          </cell>
        </row>
        <row r="4471">
          <cell r="A4471" t="str">
            <v>MR004460</v>
          </cell>
          <cell r="B4471" t="str">
            <v>MR</v>
          </cell>
          <cell r="C4471">
            <v>0.75</v>
          </cell>
          <cell r="D4471">
            <v>137</v>
          </cell>
          <cell r="E4471" t="str">
            <v>KA37</v>
          </cell>
          <cell r="F4471">
            <v>52</v>
          </cell>
          <cell r="G4471">
            <v>10.49</v>
          </cell>
          <cell r="H4471">
            <v>3.1</v>
          </cell>
          <cell r="I4471" t="str">
            <v>M1B</v>
          </cell>
          <cell r="J4471" t="str">
            <v>IE3</v>
          </cell>
          <cell r="K4471" t="str">
            <v>230/400</v>
          </cell>
          <cell r="L4471">
            <v>50</v>
          </cell>
          <cell r="M4471" t="str">
            <v>3,05/1,75</v>
          </cell>
          <cell r="N4471">
            <v>55</v>
          </cell>
          <cell r="O4471" t="str">
            <v>155(F)</v>
          </cell>
          <cell r="P4471" t="str">
            <v>0°</v>
          </cell>
          <cell r="Q4471" t="str">
            <v>-</v>
          </cell>
          <cell r="R4471" t="str">
            <v>-</v>
          </cell>
          <cell r="S4471" t="str">
            <v>-</v>
          </cell>
          <cell r="T4471" t="str">
            <v>-</v>
          </cell>
          <cell r="U4471" t="str">
            <v>T</v>
          </cell>
          <cell r="V4471" t="str">
            <v>D</v>
          </cell>
          <cell r="W4471" t="str">
            <v>-</v>
          </cell>
          <cell r="X4471" t="str">
            <v>CLP HC 150 (-30/+50°C)</v>
          </cell>
          <cell r="Y4471" t="str">
            <v>KA37/T DRN80M4</v>
          </cell>
          <cell r="Z4471" t="str">
            <v>SEW</v>
          </cell>
          <cell r="AB4471" t="str">
            <v>-</v>
          </cell>
          <cell r="AF4471">
            <v>137</v>
          </cell>
          <cell r="AG4471" t="str">
            <v>DRN80M4</v>
          </cell>
          <cell r="AH4471" t="str">
            <v>KA37T-DRN80M4B0-X</v>
          </cell>
        </row>
        <row r="4472">
          <cell r="A4472" t="str">
            <v>MR004461</v>
          </cell>
          <cell r="B4472" t="str">
            <v>MR</v>
          </cell>
          <cell r="C4472">
            <v>18.5</v>
          </cell>
          <cell r="D4472">
            <v>56</v>
          </cell>
          <cell r="E4472" t="str">
            <v>KH107</v>
          </cell>
          <cell r="F4472">
            <v>3140</v>
          </cell>
          <cell r="G4472">
            <v>26.32</v>
          </cell>
          <cell r="H4472">
            <v>2.2999999999999998</v>
          </cell>
          <cell r="I4472" t="str">
            <v>From M4A to M1A - 20°</v>
          </cell>
          <cell r="J4472" t="str">
            <v>IE3</v>
          </cell>
          <cell r="K4472" t="str">
            <v>380/660</v>
          </cell>
          <cell r="L4472">
            <v>50</v>
          </cell>
          <cell r="M4472" t="str">
            <v>35/20</v>
          </cell>
          <cell r="N4472">
            <v>55</v>
          </cell>
          <cell r="O4472" t="str">
            <v>155(F)</v>
          </cell>
          <cell r="P4472" t="str">
            <v>270°</v>
          </cell>
          <cell r="Q4472" t="str">
            <v>TF</v>
          </cell>
          <cell r="R4472" t="str">
            <v>-</v>
          </cell>
          <cell r="S4472" t="str">
            <v>Free rotation CCW</v>
          </cell>
          <cell r="T4472" t="str">
            <v>-</v>
          </cell>
          <cell r="U4472" t="str">
            <v>T</v>
          </cell>
          <cell r="V4472" t="str">
            <v>SS</v>
          </cell>
          <cell r="W4472" t="str">
            <v>-</v>
          </cell>
          <cell r="X4472" t="str">
            <v>CLP HC 220 (-25/+60°C)</v>
          </cell>
          <cell r="Y4472" t="str">
            <v>KH107/T DRN180M4 /RS /TF</v>
          </cell>
          <cell r="Z4472" t="str">
            <v>SEW</v>
          </cell>
          <cell r="AB4472" t="str">
            <v>-</v>
          </cell>
          <cell r="AF4472">
            <v>56</v>
          </cell>
          <cell r="AG4472" t="str">
            <v>DRN180M4</v>
          </cell>
          <cell r="AH4472" t="str">
            <v>KH107T-DRN180M4A270-X</v>
          </cell>
        </row>
        <row r="4473">
          <cell r="A4473" t="str">
            <v>MR004462</v>
          </cell>
          <cell r="B4473" t="str">
            <v>MR</v>
          </cell>
          <cell r="C4473">
            <v>0.75</v>
          </cell>
          <cell r="D4473">
            <v>162</v>
          </cell>
          <cell r="E4473" t="str">
            <v>KA37</v>
          </cell>
          <cell r="F4473">
            <v>44</v>
          </cell>
          <cell r="G4473">
            <v>8.91</v>
          </cell>
          <cell r="H4473">
            <v>3.6</v>
          </cell>
          <cell r="I4473" t="str">
            <v>From M3B to M2B - 20°</v>
          </cell>
          <cell r="J4473" t="str">
            <v>IE3</v>
          </cell>
          <cell r="K4473" t="str">
            <v>220/380</v>
          </cell>
          <cell r="L4473">
            <v>50</v>
          </cell>
          <cell r="M4473" t="str">
            <v>3,20/1,85</v>
          </cell>
          <cell r="N4473">
            <v>55</v>
          </cell>
          <cell r="O4473" t="str">
            <v>155(F)</v>
          </cell>
          <cell r="P4473" t="str">
            <v>0°</v>
          </cell>
          <cell r="Q4473" t="str">
            <v>TF</v>
          </cell>
          <cell r="R4473" t="str">
            <v>-</v>
          </cell>
          <cell r="S4473" t="str">
            <v>-</v>
          </cell>
          <cell r="T4473" t="str">
            <v>-</v>
          </cell>
          <cell r="U4473" t="str">
            <v>T</v>
          </cell>
          <cell r="V4473" t="str">
            <v>D</v>
          </cell>
          <cell r="W4473" t="str">
            <v>-</v>
          </cell>
          <cell r="X4473" t="str">
            <v>CLP HC 220 (-25/+60°C)</v>
          </cell>
          <cell r="Y4473" t="str">
            <v>KA37/T DRN80M4 /TF</v>
          </cell>
          <cell r="Z4473" t="str">
            <v>SEW</v>
          </cell>
          <cell r="AB4473" t="str">
            <v>-</v>
          </cell>
          <cell r="AF4473">
            <v>162</v>
          </cell>
          <cell r="AG4473" t="str">
            <v>DRN80M4</v>
          </cell>
          <cell r="AH4473" t="str">
            <v>KA37T-DRN80M4B0-X</v>
          </cell>
        </row>
        <row r="4474">
          <cell r="A4474" t="str">
            <v>MR004463</v>
          </cell>
          <cell r="B4474" t="str">
            <v>MR</v>
          </cell>
          <cell r="C4474">
            <v>2.2000000000000002</v>
          </cell>
          <cell r="D4474">
            <v>95</v>
          </cell>
          <cell r="E4474" t="str">
            <v>KH67</v>
          </cell>
          <cell r="F4474">
            <v>220</v>
          </cell>
          <cell r="G4474">
            <v>15.19</v>
          </cell>
          <cell r="H4474">
            <v>3.2</v>
          </cell>
          <cell r="I4474" t="str">
            <v>M1B</v>
          </cell>
          <cell r="J4474" t="str">
            <v>IE3</v>
          </cell>
          <cell r="K4474" t="str">
            <v>220/380</v>
          </cell>
          <cell r="L4474">
            <v>50</v>
          </cell>
          <cell r="M4474" t="str">
            <v>8,7/5</v>
          </cell>
          <cell r="N4474">
            <v>55</v>
          </cell>
          <cell r="O4474" t="str">
            <v>155(F)</v>
          </cell>
          <cell r="P4474" t="str">
            <v>270°</v>
          </cell>
          <cell r="Q4474" t="str">
            <v>TF</v>
          </cell>
          <cell r="R4474" t="str">
            <v>-</v>
          </cell>
          <cell r="S4474" t="str">
            <v>-</v>
          </cell>
          <cell r="T4474" t="str">
            <v>-</v>
          </cell>
          <cell r="U4474" t="str">
            <v>T</v>
          </cell>
          <cell r="V4474" t="str">
            <v>D</v>
          </cell>
          <cell r="W4474" t="str">
            <v>-</v>
          </cell>
          <cell r="X4474" t="str">
            <v>CLP HC 220 (-25/+60°C)</v>
          </cell>
          <cell r="Y4474" t="str">
            <v>KH67/T DRN100LS4 /TF</v>
          </cell>
          <cell r="Z4474" t="str">
            <v>SEW</v>
          </cell>
          <cell r="AB4474" t="str">
            <v>-</v>
          </cell>
          <cell r="AF4474">
            <v>95</v>
          </cell>
          <cell r="AG4474" t="str">
            <v>DRN100LS4</v>
          </cell>
          <cell r="AH4474" t="str">
            <v>KH67T-DRN100LS4B270-X</v>
          </cell>
        </row>
        <row r="4475">
          <cell r="A4475" t="str">
            <v>MR004464</v>
          </cell>
          <cell r="B4475" t="str">
            <v>MR</v>
          </cell>
          <cell r="C4475">
            <v>18.5</v>
          </cell>
          <cell r="D4475">
            <v>35</v>
          </cell>
          <cell r="E4475" t="str">
            <v>KH107</v>
          </cell>
          <cell r="F4475">
            <v>5050</v>
          </cell>
          <cell r="G4475">
            <v>42.33</v>
          </cell>
          <cell r="H4475">
            <v>1.45</v>
          </cell>
          <cell r="I4475" t="str">
            <v>M4A</v>
          </cell>
          <cell r="J4475" t="str">
            <v>IE3</v>
          </cell>
          <cell r="K4475" t="str">
            <v>380/660</v>
          </cell>
          <cell r="L4475">
            <v>50</v>
          </cell>
          <cell r="M4475" t="str">
            <v>35/20</v>
          </cell>
          <cell r="N4475">
            <v>55</v>
          </cell>
          <cell r="O4475" t="str">
            <v>155(F)</v>
          </cell>
          <cell r="P4475" t="str">
            <v>270°</v>
          </cell>
          <cell r="Q4475" t="str">
            <v>TF</v>
          </cell>
          <cell r="R4475" t="str">
            <v>-</v>
          </cell>
          <cell r="S4475" t="str">
            <v>-</v>
          </cell>
          <cell r="T4475" t="str">
            <v>-</v>
          </cell>
          <cell r="U4475" t="str">
            <v>T</v>
          </cell>
          <cell r="V4475" t="str">
            <v>SS</v>
          </cell>
          <cell r="W4475" t="str">
            <v>-</v>
          </cell>
          <cell r="X4475" t="str">
            <v>CLP HC 220 (-25/+60°C)</v>
          </cell>
          <cell r="Y4475" t="str">
            <v>KH107/T DRN180M4 /TF</v>
          </cell>
          <cell r="Z4475" t="str">
            <v>SEW</v>
          </cell>
          <cell r="AB4475" t="str">
            <v>-</v>
          </cell>
          <cell r="AF4475">
            <v>35</v>
          </cell>
          <cell r="AG4475" t="str">
            <v>DRN180M4</v>
          </cell>
          <cell r="AH4475" t="str">
            <v>KH107T-DRN180M4A270-X</v>
          </cell>
        </row>
        <row r="4476">
          <cell r="A4476" t="str">
            <v>MR004465</v>
          </cell>
          <cell r="B4476" t="str">
            <v>MR</v>
          </cell>
          <cell r="C4476">
            <v>0.75</v>
          </cell>
          <cell r="D4476">
            <v>162</v>
          </cell>
          <cell r="E4476" t="str">
            <v>KA37</v>
          </cell>
          <cell r="F4476">
            <v>44</v>
          </cell>
          <cell r="G4476">
            <v>8.91</v>
          </cell>
          <cell r="H4476">
            <v>3.6</v>
          </cell>
          <cell r="I4476" t="str">
            <v>M1B</v>
          </cell>
          <cell r="J4476" t="str">
            <v>IE3</v>
          </cell>
          <cell r="K4476" t="str">
            <v>220/380</v>
          </cell>
          <cell r="L4476">
            <v>50</v>
          </cell>
          <cell r="M4476" t="str">
            <v>3,20/1,85</v>
          </cell>
          <cell r="N4476">
            <v>55</v>
          </cell>
          <cell r="O4476" t="str">
            <v>155(F)</v>
          </cell>
          <cell r="P4476" t="str">
            <v>0°</v>
          </cell>
          <cell r="Q4476" t="str">
            <v>TF</v>
          </cell>
          <cell r="R4476" t="str">
            <v>-</v>
          </cell>
          <cell r="S4476" t="str">
            <v>-</v>
          </cell>
          <cell r="T4476" t="str">
            <v>-</v>
          </cell>
          <cell r="U4476" t="str">
            <v>T</v>
          </cell>
          <cell r="V4476" t="str">
            <v>D</v>
          </cell>
          <cell r="W4476" t="str">
            <v>-</v>
          </cell>
          <cell r="X4476" t="str">
            <v>CLP HC 220 (-25/+60°C)</v>
          </cell>
          <cell r="Y4476" t="str">
            <v>KA37/T DRN80M4 /TF</v>
          </cell>
          <cell r="Z4476" t="str">
            <v>SEW</v>
          </cell>
          <cell r="AB4476" t="str">
            <v>-</v>
          </cell>
          <cell r="AF4476">
            <v>162</v>
          </cell>
          <cell r="AG4476" t="str">
            <v>DRN80M4</v>
          </cell>
          <cell r="AH4476" t="str">
            <v>KA37T-DRN80M4B0-X</v>
          </cell>
        </row>
        <row r="4477">
          <cell r="A4477" t="str">
            <v>MR004466</v>
          </cell>
          <cell r="B4477" t="str">
            <v>MR</v>
          </cell>
          <cell r="C4477">
            <v>1.1000000000000001</v>
          </cell>
          <cell r="D4477">
            <v>7.3</v>
          </cell>
          <cell r="E4477" t="str">
            <v>FV77</v>
          </cell>
          <cell r="F4477">
            <v>1430</v>
          </cell>
          <cell r="G4477">
            <v>198.31</v>
          </cell>
          <cell r="H4477">
            <v>1.05</v>
          </cell>
          <cell r="I4477" t="str">
            <v>M5</v>
          </cell>
          <cell r="J4477" t="str">
            <v>IE3</v>
          </cell>
          <cell r="K4477" t="str">
            <v>220/380</v>
          </cell>
          <cell r="L4477">
            <v>50</v>
          </cell>
          <cell r="M4477" t="str">
            <v>4,65/2,7</v>
          </cell>
          <cell r="N4477">
            <v>55</v>
          </cell>
          <cell r="O4477" t="str">
            <v>155(F)</v>
          </cell>
          <cell r="P4477" t="str">
            <v>180°</v>
          </cell>
          <cell r="Q4477" t="str">
            <v>TF</v>
          </cell>
          <cell r="R4477" t="str">
            <v>V(VE)</v>
          </cell>
          <cell r="S4477" t="str">
            <v>-</v>
          </cell>
          <cell r="T4477" t="str">
            <v>BEHF</v>
          </cell>
          <cell r="U4477" t="str">
            <v>G</v>
          </cell>
          <cell r="V4477" t="str">
            <v>FC+R</v>
          </cell>
          <cell r="W4477" t="str">
            <v>-</v>
          </cell>
          <cell r="X4477" t="str">
            <v>CLP HC 220 (-25/+60°C)</v>
          </cell>
          <cell r="Y4477" t="str">
            <v>FV77/G DRN90S4 /BEHF /TF/V</v>
          </cell>
          <cell r="Z4477" t="str">
            <v>SEW</v>
          </cell>
          <cell r="AB4477" t="str">
            <v>-</v>
          </cell>
          <cell r="AE4477" t="str">
            <v>BROCCIATURA PER FV67-DIN 5480N45x2x30x21xH9</v>
          </cell>
          <cell r="AF4477">
            <v>7.3</v>
          </cell>
          <cell r="AG4477" t="str">
            <v>DRN90S4</v>
          </cell>
          <cell r="AH4477" t="str">
            <v>FV77G-DRN90S4180-X#</v>
          </cell>
        </row>
        <row r="4478">
          <cell r="A4478" t="str">
            <v>MR004467</v>
          </cell>
          <cell r="B4478" t="str">
            <v>MR</v>
          </cell>
          <cell r="C4478">
            <v>1.1000000000000001</v>
          </cell>
          <cell r="D4478">
            <v>7.3</v>
          </cell>
          <cell r="E4478" t="str">
            <v>FV77</v>
          </cell>
          <cell r="F4478">
            <v>1430</v>
          </cell>
          <cell r="G4478">
            <v>198.31</v>
          </cell>
          <cell r="H4478">
            <v>1.05</v>
          </cell>
          <cell r="I4478" t="str">
            <v>M6</v>
          </cell>
          <cell r="J4478" t="str">
            <v>IE3</v>
          </cell>
          <cell r="K4478" t="str">
            <v>220/380</v>
          </cell>
          <cell r="L4478">
            <v>50</v>
          </cell>
          <cell r="M4478" t="str">
            <v>4,65/2,7</v>
          </cell>
          <cell r="N4478">
            <v>55</v>
          </cell>
          <cell r="O4478" t="str">
            <v>155(F)</v>
          </cell>
          <cell r="P4478" t="str">
            <v>0°</v>
          </cell>
          <cell r="Q4478" t="str">
            <v>TF</v>
          </cell>
          <cell r="R4478" t="str">
            <v>V(VE)</v>
          </cell>
          <cell r="S4478" t="str">
            <v>-</v>
          </cell>
          <cell r="T4478" t="str">
            <v>BEHF</v>
          </cell>
          <cell r="U4478" t="str">
            <v>G</v>
          </cell>
          <cell r="V4478" t="str">
            <v>FC+R</v>
          </cell>
          <cell r="W4478" t="str">
            <v>-</v>
          </cell>
          <cell r="X4478" t="str">
            <v>CLP HC 220 (-25/+60°C)</v>
          </cell>
          <cell r="Y4478" t="str">
            <v>FV77/G DRN90S4 /BEHF /TF/V</v>
          </cell>
          <cell r="Z4478" t="str">
            <v>SEW</v>
          </cell>
          <cell r="AB4478" t="str">
            <v>-</v>
          </cell>
          <cell r="AE4478" t="str">
            <v>BROCCIATURA PER FV67-DIN 5480N45x2x30x21xH9</v>
          </cell>
          <cell r="AF4478">
            <v>7.3</v>
          </cell>
          <cell r="AG4478" t="str">
            <v>DRN90S4</v>
          </cell>
          <cell r="AH4478" t="str">
            <v>FV77G-DRN90S40-X#</v>
          </cell>
        </row>
        <row r="4479">
          <cell r="A4479" t="str">
            <v>MR004468</v>
          </cell>
          <cell r="B4479" t="str">
            <v>MR</v>
          </cell>
          <cell r="C4479">
            <v>4</v>
          </cell>
          <cell r="D4479">
            <v>138</v>
          </cell>
          <cell r="E4479" t="str">
            <v>KH67</v>
          </cell>
          <cell r="F4479">
            <v>275</v>
          </cell>
          <cell r="G4479">
            <v>10.63</v>
          </cell>
          <cell r="H4479">
            <v>1.8</v>
          </cell>
          <cell r="I4479" t="str">
            <v>M4B</v>
          </cell>
          <cell r="J4479" t="str">
            <v>IE3</v>
          </cell>
          <cell r="K4479" t="str">
            <v>220/380</v>
          </cell>
          <cell r="L4479">
            <v>50</v>
          </cell>
          <cell r="M4479" t="str">
            <v>14,/8,4</v>
          </cell>
          <cell r="N4479">
            <v>55</v>
          </cell>
          <cell r="O4479" t="str">
            <v>155(F)</v>
          </cell>
          <cell r="P4479" t="str">
            <v>270°</v>
          </cell>
          <cell r="Q4479" t="str">
            <v>TF</v>
          </cell>
          <cell r="R4479" t="str">
            <v>-</v>
          </cell>
          <cell r="S4479" t="str">
            <v>-</v>
          </cell>
          <cell r="T4479" t="str">
            <v>-</v>
          </cell>
          <cell r="U4479" t="str">
            <v>T</v>
          </cell>
          <cell r="V4479" t="str">
            <v>D+R</v>
          </cell>
          <cell r="W4479" t="str">
            <v>-</v>
          </cell>
          <cell r="X4479" t="str">
            <v>CLP HC 220 (-25/+60°C)</v>
          </cell>
          <cell r="Y4479" t="str">
            <v>KH67/T DRN112M4 /TF</v>
          </cell>
          <cell r="Z4479" t="str">
            <v>SEW</v>
          </cell>
          <cell r="AB4479" t="str">
            <v>-</v>
          </cell>
          <cell r="AF4479">
            <v>138</v>
          </cell>
          <cell r="AG4479" t="str">
            <v>DRN112M4</v>
          </cell>
          <cell r="AH4479" t="str">
            <v>KH67T-DRN112M4B270-X</v>
          </cell>
        </row>
        <row r="4480">
          <cell r="A4480" t="str">
            <v>MR004469</v>
          </cell>
          <cell r="B4480" t="str">
            <v>MR</v>
          </cell>
          <cell r="C4480">
            <v>18.5</v>
          </cell>
          <cell r="D4480">
            <v>16</v>
          </cell>
          <cell r="E4480" t="str">
            <v>KH127</v>
          </cell>
          <cell r="F4480">
            <v>10700</v>
          </cell>
          <cell r="G4480">
            <v>89.89</v>
          </cell>
          <cell r="H4480">
            <v>1.2</v>
          </cell>
          <cell r="I4480" t="str">
            <v>From M4A to M1A - 25°</v>
          </cell>
          <cell r="J4480" t="str">
            <v>IE3</v>
          </cell>
          <cell r="K4480" t="str">
            <v>380/660</v>
          </cell>
          <cell r="L4480">
            <v>50</v>
          </cell>
          <cell r="M4480" t="str">
            <v>35/20</v>
          </cell>
          <cell r="N4480">
            <v>55</v>
          </cell>
          <cell r="O4480" t="str">
            <v>155(F)</v>
          </cell>
          <cell r="P4480" t="str">
            <v>270°</v>
          </cell>
          <cell r="Q4480" t="str">
            <v>TF</v>
          </cell>
          <cell r="R4480" t="str">
            <v>-</v>
          </cell>
          <cell r="S4480" t="str">
            <v>-</v>
          </cell>
          <cell r="T4480" t="str">
            <v>-</v>
          </cell>
          <cell r="U4480" t="str">
            <v>-</v>
          </cell>
          <cell r="V4480" t="str">
            <v>SS</v>
          </cell>
          <cell r="W4480" t="str">
            <v>-</v>
          </cell>
          <cell r="X4480" t="str">
            <v>CLP HC 220 (-25/+60°C)</v>
          </cell>
          <cell r="Y4480" t="str">
            <v>KH127DRN180M4 /TF</v>
          </cell>
          <cell r="Z4480" t="str">
            <v>SEW</v>
          </cell>
          <cell r="AB4480" t="str">
            <v>-</v>
          </cell>
          <cell r="AF4480">
            <v>16</v>
          </cell>
          <cell r="AG4480" t="str">
            <v>DRN180M4</v>
          </cell>
          <cell r="AH4480" t="str">
            <v>KH127-DRN180M4A270-X</v>
          </cell>
        </row>
        <row r="4481">
          <cell r="A4481" t="str">
            <v>MR004470</v>
          </cell>
          <cell r="B4481" t="str">
            <v>MR</v>
          </cell>
          <cell r="C4481">
            <v>18.5</v>
          </cell>
          <cell r="D4481">
            <v>16</v>
          </cell>
          <cell r="E4481" t="str">
            <v>KH127</v>
          </cell>
          <cell r="F4481">
            <v>10700</v>
          </cell>
          <cell r="G4481">
            <v>89.89</v>
          </cell>
          <cell r="H4481">
            <v>1.2</v>
          </cell>
          <cell r="I4481" t="str">
            <v>From M4B to M1B - 25°</v>
          </cell>
          <cell r="J4481" t="str">
            <v>IE3</v>
          </cell>
          <cell r="K4481" t="str">
            <v>380/660</v>
          </cell>
          <cell r="L4481">
            <v>50</v>
          </cell>
          <cell r="M4481" t="str">
            <v>35/20</v>
          </cell>
          <cell r="N4481">
            <v>55</v>
          </cell>
          <cell r="O4481" t="str">
            <v>155(F)</v>
          </cell>
          <cell r="P4481" t="str">
            <v>270°</v>
          </cell>
          <cell r="Q4481" t="str">
            <v>TF</v>
          </cell>
          <cell r="R4481" t="str">
            <v>-</v>
          </cell>
          <cell r="S4481" t="str">
            <v>-</v>
          </cell>
          <cell r="T4481" t="str">
            <v>-</v>
          </cell>
          <cell r="U4481" t="str">
            <v>-</v>
          </cell>
          <cell r="V4481" t="str">
            <v>SS</v>
          </cell>
          <cell r="W4481" t="str">
            <v>-</v>
          </cell>
          <cell r="X4481" t="str">
            <v>CLP HC 220 (-25/+60°C)</v>
          </cell>
          <cell r="Y4481" t="str">
            <v>KH127DRN180M4 /TF</v>
          </cell>
          <cell r="Z4481" t="str">
            <v>SEW</v>
          </cell>
          <cell r="AB4481" t="str">
            <v>-</v>
          </cell>
          <cell r="AF4481">
            <v>16</v>
          </cell>
          <cell r="AG4481" t="str">
            <v>DRN180M4</v>
          </cell>
          <cell r="AH4481" t="str">
            <v>KH127-DRN180M4B270-X</v>
          </cell>
        </row>
        <row r="4482">
          <cell r="A4482" t="str">
            <v>MR004471</v>
          </cell>
          <cell r="B4482" t="str">
            <v>MR</v>
          </cell>
          <cell r="C4482">
            <v>15</v>
          </cell>
          <cell r="D4482">
            <v>27</v>
          </cell>
          <cell r="E4482" t="str">
            <v>R127</v>
          </cell>
          <cell r="F4482">
            <v>5350</v>
          </cell>
          <cell r="G4482">
            <v>55.09</v>
          </cell>
          <cell r="H4482">
            <v>1.1000000000000001</v>
          </cell>
          <cell r="I4482" t="str">
            <v>M1</v>
          </cell>
          <cell r="J4482" t="str">
            <v>IE3</v>
          </cell>
          <cell r="K4482" t="str">
            <v>220/380</v>
          </cell>
          <cell r="L4482">
            <v>50</v>
          </cell>
          <cell r="M4482" t="str">
            <v>52/30,5</v>
          </cell>
          <cell r="N4482">
            <v>55</v>
          </cell>
          <cell r="O4482" t="str">
            <v>155(F)</v>
          </cell>
          <cell r="P4482" t="str">
            <v>270°</v>
          </cell>
          <cell r="Q4482" t="str">
            <v>TF</v>
          </cell>
          <cell r="R4482" t="str">
            <v>V(VE)</v>
          </cell>
          <cell r="S4482" t="str">
            <v>-</v>
          </cell>
          <cell r="T4482" t="str">
            <v>-</v>
          </cell>
          <cell r="U4482" t="str">
            <v>-</v>
          </cell>
          <cell r="V4482" t="str">
            <v>FC</v>
          </cell>
          <cell r="W4482" t="str">
            <v>-</v>
          </cell>
          <cell r="X4482" t="str">
            <v>CLP HC 220 (-25/+60°C)</v>
          </cell>
          <cell r="Y4482" t="str">
            <v>R127DRN160L4 /TF/V</v>
          </cell>
          <cell r="Z4482" t="str">
            <v>SEW</v>
          </cell>
          <cell r="AB4482" t="str">
            <v>-</v>
          </cell>
          <cell r="AF4482">
            <v>27</v>
          </cell>
          <cell r="AG4482" t="str">
            <v>DRN160L4</v>
          </cell>
          <cell r="AH4482" t="str">
            <v>R127-DRN160L4270-X#</v>
          </cell>
        </row>
        <row r="4483">
          <cell r="A4483" t="str">
            <v>MR004472</v>
          </cell>
          <cell r="B4483" t="str">
            <v>MR</v>
          </cell>
          <cell r="C4483">
            <v>9.1999999999999993</v>
          </cell>
          <cell r="D4483">
            <v>15</v>
          </cell>
          <cell r="E4483" t="str">
            <v>KH107</v>
          </cell>
          <cell r="F4483">
            <v>6020</v>
          </cell>
          <cell r="G4483">
            <v>100.75</v>
          </cell>
          <cell r="H4483">
            <v>1.35</v>
          </cell>
          <cell r="I4483" t="str">
            <v>From M1A to M2A - 25°</v>
          </cell>
          <cell r="J4483" t="str">
            <v>IE3</v>
          </cell>
          <cell r="K4483" t="str">
            <v>380/660</v>
          </cell>
          <cell r="L4483">
            <v>50</v>
          </cell>
          <cell r="M4483" t="str">
            <v>19,7/11,3</v>
          </cell>
          <cell r="N4483">
            <v>55</v>
          </cell>
          <cell r="O4483" t="str">
            <v>155(F)</v>
          </cell>
          <cell r="P4483" t="str">
            <v>270°</v>
          </cell>
          <cell r="Q4483" t="str">
            <v>TF</v>
          </cell>
          <cell r="R4483" t="str">
            <v>-</v>
          </cell>
          <cell r="S4483" t="str">
            <v>-</v>
          </cell>
          <cell r="T4483" t="str">
            <v>-</v>
          </cell>
          <cell r="U4483" t="str">
            <v>-</v>
          </cell>
          <cell r="V4483" t="str">
            <v>SS</v>
          </cell>
          <cell r="W4483" t="str">
            <v>-</v>
          </cell>
          <cell r="X4483" t="str">
            <v>CLP HC 220 (-25/+60°C)</v>
          </cell>
          <cell r="Y4483" t="str">
            <v>KH107DRN132L4 /TF</v>
          </cell>
          <cell r="Z4483" t="str">
            <v>SEW</v>
          </cell>
          <cell r="AB4483" t="str">
            <v>-</v>
          </cell>
          <cell r="AF4483">
            <v>15</v>
          </cell>
          <cell r="AG4483" t="str">
            <v>DRN132L4</v>
          </cell>
          <cell r="AH4483" t="str">
            <v>KH107-DRN132L4A270-X</v>
          </cell>
        </row>
        <row r="4484">
          <cell r="A4484" t="str">
            <v>MR004473</v>
          </cell>
          <cell r="B4484" t="str">
            <v>MR</v>
          </cell>
          <cell r="C4484">
            <v>9.1999999999999993</v>
          </cell>
          <cell r="D4484">
            <v>15</v>
          </cell>
          <cell r="E4484" t="str">
            <v>KH107</v>
          </cell>
          <cell r="F4484">
            <v>6020</v>
          </cell>
          <cell r="G4484">
            <v>100.75</v>
          </cell>
          <cell r="H4484">
            <v>1.35</v>
          </cell>
          <cell r="I4484" t="str">
            <v>From M1B to M2B - 25°</v>
          </cell>
          <cell r="J4484" t="str">
            <v>IE3</v>
          </cell>
          <cell r="K4484" t="str">
            <v>380/660</v>
          </cell>
          <cell r="L4484">
            <v>50</v>
          </cell>
          <cell r="M4484" t="str">
            <v>19,7/11,3</v>
          </cell>
          <cell r="N4484">
            <v>55</v>
          </cell>
          <cell r="O4484" t="str">
            <v>155(F)</v>
          </cell>
          <cell r="P4484" t="str">
            <v>270°</v>
          </cell>
          <cell r="Q4484" t="str">
            <v>TF</v>
          </cell>
          <cell r="R4484" t="str">
            <v>-</v>
          </cell>
          <cell r="S4484" t="str">
            <v>-</v>
          </cell>
          <cell r="T4484" t="str">
            <v>-</v>
          </cell>
          <cell r="U4484" t="str">
            <v>-</v>
          </cell>
          <cell r="V4484" t="str">
            <v>SS</v>
          </cell>
          <cell r="W4484" t="str">
            <v>-</v>
          </cell>
          <cell r="X4484" t="str">
            <v>CLP HC 220 (-25/+60°C)</v>
          </cell>
          <cell r="Y4484" t="str">
            <v>KH107DRN132L4 /TF</v>
          </cell>
          <cell r="Z4484" t="str">
            <v>SEW</v>
          </cell>
          <cell r="AB4484" t="str">
            <v>-</v>
          </cell>
          <cell r="AF4484">
            <v>15</v>
          </cell>
          <cell r="AG4484" t="str">
            <v>DRN132L4</v>
          </cell>
          <cell r="AH4484" t="str">
            <v>KH107-DRN132L4B270-X</v>
          </cell>
        </row>
        <row r="4485">
          <cell r="A4485" t="str">
            <v>MR004474</v>
          </cell>
          <cell r="B4485" t="str">
            <v>MR</v>
          </cell>
          <cell r="C4485">
            <v>15</v>
          </cell>
          <cell r="D4485">
            <v>59</v>
          </cell>
          <cell r="E4485" t="str">
            <v>KH87</v>
          </cell>
          <cell r="F4485">
            <v>2420</v>
          </cell>
          <cell r="G4485">
            <v>24.92</v>
          </cell>
          <cell r="H4485">
            <v>1.05</v>
          </cell>
          <cell r="I4485" t="str">
            <v>From M4A to M1A - 10°</v>
          </cell>
          <cell r="J4485" t="str">
            <v>IE3</v>
          </cell>
          <cell r="K4485" t="str">
            <v>220/380</v>
          </cell>
          <cell r="L4485">
            <v>50</v>
          </cell>
          <cell r="M4485" t="str">
            <v>52/30,5</v>
          </cell>
          <cell r="N4485">
            <v>55</v>
          </cell>
          <cell r="O4485" t="str">
            <v>155(F)</v>
          </cell>
          <cell r="P4485" t="str">
            <v>270°</v>
          </cell>
          <cell r="Q4485" t="str">
            <v>TF</v>
          </cell>
          <cell r="R4485" t="str">
            <v>V(VE)</v>
          </cell>
          <cell r="S4485" t="str">
            <v>Free rotation CCW</v>
          </cell>
          <cell r="T4485" t="str">
            <v>-</v>
          </cell>
          <cell r="U4485" t="str">
            <v>T</v>
          </cell>
          <cell r="V4485" t="str">
            <v>FC</v>
          </cell>
          <cell r="W4485" t="str">
            <v>-</v>
          </cell>
          <cell r="X4485" t="str">
            <v>CLP HC 220 (-25/+60°C)</v>
          </cell>
          <cell r="Y4485" t="str">
            <v>KH87/T DRN160L4 /RS /TF/V</v>
          </cell>
          <cell r="Z4485" t="str">
            <v>SEW</v>
          </cell>
          <cell r="AB4485" t="str">
            <v>-</v>
          </cell>
          <cell r="AF4485">
            <v>59</v>
          </cell>
          <cell r="AG4485" t="str">
            <v>DRN160L4</v>
          </cell>
          <cell r="AH4485" t="str">
            <v>KH87T-DRN160L4A270-X#</v>
          </cell>
        </row>
        <row r="4486">
          <cell r="A4486" t="str">
            <v>MR004475</v>
          </cell>
          <cell r="B4486" t="str">
            <v>MR</v>
          </cell>
          <cell r="C4486">
            <v>0.75</v>
          </cell>
          <cell r="D4486">
            <v>162</v>
          </cell>
          <cell r="E4486" t="str">
            <v>KA37</v>
          </cell>
          <cell r="F4486">
            <v>44</v>
          </cell>
          <cell r="G4486">
            <v>8.91</v>
          </cell>
          <cell r="H4486">
            <v>3.6</v>
          </cell>
          <cell r="I4486" t="str">
            <v>From M3B to M2B - 10°</v>
          </cell>
          <cell r="J4486" t="str">
            <v>IE3</v>
          </cell>
          <cell r="K4486" t="str">
            <v>220/380</v>
          </cell>
          <cell r="L4486">
            <v>50</v>
          </cell>
          <cell r="M4486" t="str">
            <v>3,20/1,85</v>
          </cell>
          <cell r="N4486">
            <v>55</v>
          </cell>
          <cell r="O4486" t="str">
            <v>155(F)</v>
          </cell>
          <cell r="P4486" t="str">
            <v>0°</v>
          </cell>
          <cell r="Q4486" t="str">
            <v>TF</v>
          </cell>
          <cell r="R4486" t="str">
            <v>-</v>
          </cell>
          <cell r="S4486" t="str">
            <v>-</v>
          </cell>
          <cell r="T4486" t="str">
            <v>-</v>
          </cell>
          <cell r="U4486" t="str">
            <v>T</v>
          </cell>
          <cell r="V4486" t="str">
            <v>D</v>
          </cell>
          <cell r="W4486" t="str">
            <v>-</v>
          </cell>
          <cell r="X4486" t="str">
            <v>CLP HC 220 (-25/+60°C)</v>
          </cell>
          <cell r="Y4486" t="str">
            <v>KA37/T DRN80M4 /TF</v>
          </cell>
          <cell r="Z4486" t="str">
            <v>SEW</v>
          </cell>
          <cell r="AB4486" t="str">
            <v>-</v>
          </cell>
          <cell r="AF4486">
            <v>162</v>
          </cell>
          <cell r="AG4486" t="str">
            <v>DRN80M4</v>
          </cell>
          <cell r="AH4486" t="str">
            <v>KA37T-DRN80M4B0-X</v>
          </cell>
        </row>
        <row r="4487">
          <cell r="A4487" t="str">
            <v>MR004476</v>
          </cell>
          <cell r="B4487" t="str">
            <v>MR</v>
          </cell>
          <cell r="C4487">
            <v>5.5</v>
          </cell>
          <cell r="D4487">
            <v>62</v>
          </cell>
          <cell r="E4487" t="str">
            <v>R87</v>
          </cell>
          <cell r="F4487">
            <v>840</v>
          </cell>
          <cell r="G4487">
            <v>23.4</v>
          </cell>
          <cell r="H4487">
            <v>1.85</v>
          </cell>
          <cell r="I4487" t="str">
            <v>From M1 to M4 - 25°</v>
          </cell>
          <cell r="J4487" t="str">
            <v>IE3</v>
          </cell>
          <cell r="K4487" t="str">
            <v>220/380</v>
          </cell>
          <cell r="L4487">
            <v>50</v>
          </cell>
          <cell r="M4487" t="str">
            <v>19/11</v>
          </cell>
          <cell r="N4487">
            <v>55</v>
          </cell>
          <cell r="O4487" t="str">
            <v>155(F)</v>
          </cell>
          <cell r="P4487" t="str">
            <v>270°</v>
          </cell>
          <cell r="Q4487" t="str">
            <v>TF</v>
          </cell>
          <cell r="R4487" t="str">
            <v>-</v>
          </cell>
          <cell r="S4487" t="str">
            <v>-</v>
          </cell>
          <cell r="T4487" t="str">
            <v>-</v>
          </cell>
          <cell r="U4487" t="str">
            <v>-</v>
          </cell>
          <cell r="V4487" t="str">
            <v>D</v>
          </cell>
          <cell r="W4487" t="str">
            <v>-</v>
          </cell>
          <cell r="X4487" t="str">
            <v>CLP HC 220 (-25/+60°C)</v>
          </cell>
          <cell r="Y4487" t="str">
            <v>R87DRN132S4 /TF</v>
          </cell>
          <cell r="Z4487" t="str">
            <v>SEW</v>
          </cell>
          <cell r="AB4487" t="str">
            <v>-</v>
          </cell>
          <cell r="AF4487">
            <v>62</v>
          </cell>
          <cell r="AG4487" t="str">
            <v>DRN132S4</v>
          </cell>
          <cell r="AH4487" t="str">
            <v>R87-DRN132S4270-X</v>
          </cell>
        </row>
        <row r="4488">
          <cell r="A4488" t="str">
            <v>MR004477</v>
          </cell>
          <cell r="B4488" t="str">
            <v>MR</v>
          </cell>
          <cell r="C4488">
            <v>11</v>
          </cell>
          <cell r="D4488">
            <v>40</v>
          </cell>
          <cell r="E4488" t="str">
            <v>R97</v>
          </cell>
          <cell r="F4488">
            <v>2640</v>
          </cell>
          <cell r="G4488">
            <v>37.130000000000003</v>
          </cell>
          <cell r="H4488">
            <v>1.1499999999999999</v>
          </cell>
          <cell r="I4488" t="str">
            <v>M1</v>
          </cell>
          <cell r="J4488" t="str">
            <v>IE3</v>
          </cell>
          <cell r="K4488" t="str">
            <v>220/380</v>
          </cell>
          <cell r="L4488">
            <v>50</v>
          </cell>
          <cell r="M4488" t="str">
            <v>38/22</v>
          </cell>
          <cell r="N4488">
            <v>55</v>
          </cell>
          <cell r="O4488" t="str">
            <v>155(F)</v>
          </cell>
          <cell r="P4488" t="str">
            <v>270°</v>
          </cell>
          <cell r="Q4488" t="str">
            <v>TF</v>
          </cell>
          <cell r="R4488" t="str">
            <v>V(VE)</v>
          </cell>
          <cell r="S4488" t="str">
            <v>-</v>
          </cell>
          <cell r="T4488" t="str">
            <v>-</v>
          </cell>
          <cell r="U4488" t="str">
            <v>-</v>
          </cell>
          <cell r="V4488" t="str">
            <v>FC</v>
          </cell>
          <cell r="W4488" t="str">
            <v>-</v>
          </cell>
          <cell r="X4488" t="str">
            <v>CLP HC 220 (-25/+60°C)</v>
          </cell>
          <cell r="Y4488" t="str">
            <v>R97DRN160M4 /TF/V</v>
          </cell>
          <cell r="Z4488" t="str">
            <v>SEW</v>
          </cell>
          <cell r="AB4488" t="str">
            <v>-</v>
          </cell>
          <cell r="AF4488">
            <v>40</v>
          </cell>
          <cell r="AG4488" t="str">
            <v>DRN160M4</v>
          </cell>
          <cell r="AH4488" t="str">
            <v>R97-DRN160M4270-X#</v>
          </cell>
        </row>
        <row r="4489">
          <cell r="A4489" t="str">
            <v>MR004478</v>
          </cell>
          <cell r="B4489" t="str">
            <v>MR</v>
          </cell>
          <cell r="C4489">
            <v>22</v>
          </cell>
          <cell r="D4489">
            <v>16</v>
          </cell>
          <cell r="E4489" t="str">
            <v>KH157</v>
          </cell>
          <cell r="F4489">
            <v>13000</v>
          </cell>
          <cell r="G4489">
            <v>91.65</v>
          </cell>
          <cell r="H4489">
            <v>1.55</v>
          </cell>
          <cell r="I4489" t="str">
            <v>From M4B to M1B - 35°</v>
          </cell>
          <cell r="J4489" t="str">
            <v>IE3</v>
          </cell>
          <cell r="K4489" t="str">
            <v>220/380</v>
          </cell>
          <cell r="L4489">
            <v>50</v>
          </cell>
          <cell r="M4489" t="str">
            <v>70/40,5</v>
          </cell>
          <cell r="N4489">
            <v>55</v>
          </cell>
          <cell r="O4489" t="str">
            <v>155(F)</v>
          </cell>
          <cell r="P4489" t="str">
            <v>270°</v>
          </cell>
          <cell r="Q4489" t="str">
            <v>TF</v>
          </cell>
          <cell r="R4489" t="str">
            <v>V(VE)</v>
          </cell>
          <cell r="S4489" t="str">
            <v>-</v>
          </cell>
          <cell r="T4489" t="str">
            <v>-</v>
          </cell>
          <cell r="U4489" t="str">
            <v>-</v>
          </cell>
          <cell r="V4489" t="str">
            <v>FC</v>
          </cell>
          <cell r="W4489" t="str">
            <v>-</v>
          </cell>
          <cell r="X4489" t="str">
            <v>CLP HC 220 (-25/+60°C)</v>
          </cell>
          <cell r="Y4489" t="str">
            <v>KH157DRN180L4 /TF/V</v>
          </cell>
          <cell r="Z4489" t="str">
            <v>SEW</v>
          </cell>
          <cell r="AB4489" t="str">
            <v>-</v>
          </cell>
          <cell r="AF4489">
            <v>16</v>
          </cell>
          <cell r="AG4489" t="str">
            <v>DRN180L4</v>
          </cell>
          <cell r="AH4489" t="str">
            <v>KH157-DRN180L4B270-X#</v>
          </cell>
        </row>
        <row r="4490">
          <cell r="A4490" t="str">
            <v>MR004479</v>
          </cell>
          <cell r="B4490" t="str">
            <v>ME</v>
          </cell>
          <cell r="C4490">
            <v>45</v>
          </cell>
          <cell r="D4490">
            <v>1478</v>
          </cell>
          <cell r="E4490" t="str">
            <v>1LE1503</v>
          </cell>
          <cell r="F4490">
            <v>291.39999999999998</v>
          </cell>
          <cell r="I4490" t="str">
            <v>V1/B5</v>
          </cell>
          <cell r="J4490" t="str">
            <v>IE3</v>
          </cell>
          <cell r="K4490" t="str">
            <v>380/660</v>
          </cell>
          <cell r="L4490">
            <v>50</v>
          </cell>
          <cell r="N4490">
            <v>55</v>
          </cell>
          <cell r="O4490" t="str">
            <v>155(F)</v>
          </cell>
          <cell r="P4490" t="str">
            <v>-</v>
          </cell>
          <cell r="Q4490" t="str">
            <v>TF</v>
          </cell>
          <cell r="R4490" t="str">
            <v>-</v>
          </cell>
          <cell r="S4490" t="str">
            <v>-</v>
          </cell>
          <cell r="T4490" t="str">
            <v>-</v>
          </cell>
          <cell r="U4490" t="str">
            <v>-</v>
          </cell>
          <cell r="V4490" t="str">
            <v>D</v>
          </cell>
          <cell r="W4490" t="str">
            <v>-</v>
          </cell>
          <cell r="X4490" t="str">
            <v>-</v>
          </cell>
          <cell r="Y4490" t="str">
            <v>1LE1503-2BB23-4GA4-Z+N11</v>
          </cell>
          <cell r="Z4490" t="str">
            <v>SIEMENS</v>
          </cell>
          <cell r="AB4490" t="str">
            <v>-</v>
          </cell>
          <cell r="AE4490" t="str">
            <v>ok per +50°C</v>
          </cell>
          <cell r="AF4490">
            <v>1478</v>
          </cell>
          <cell r="AG4490" t="str">
            <v>DRN225M4</v>
          </cell>
          <cell r="AH4490" t="str">
            <v>1LE1503-DRN225M4B--X</v>
          </cell>
        </row>
        <row r="4491">
          <cell r="A4491" t="str">
            <v>MR004480</v>
          </cell>
          <cell r="B4491" t="str">
            <v>ME</v>
          </cell>
          <cell r="C4491">
            <v>4</v>
          </cell>
          <cell r="D4491">
            <v>2950</v>
          </cell>
          <cell r="E4491" t="str">
            <v>1LE1003</v>
          </cell>
          <cell r="F4491">
            <v>12.9</v>
          </cell>
          <cell r="I4491" t="str">
            <v>B5</v>
          </cell>
          <cell r="J4491" t="str">
            <v>IE3</v>
          </cell>
          <cell r="K4491" t="str">
            <v>380/660</v>
          </cell>
          <cell r="L4491">
            <v>50</v>
          </cell>
          <cell r="N4491">
            <v>55</v>
          </cell>
          <cell r="O4491" t="str">
            <v>155(F)</v>
          </cell>
          <cell r="P4491" t="str">
            <v>-</v>
          </cell>
          <cell r="Q4491" t="str">
            <v>TF</v>
          </cell>
          <cell r="R4491" t="str">
            <v>-</v>
          </cell>
          <cell r="S4491" t="str">
            <v>-</v>
          </cell>
          <cell r="T4491" t="str">
            <v>-</v>
          </cell>
          <cell r="U4491" t="str">
            <v>-</v>
          </cell>
          <cell r="V4491" t="str">
            <v>D</v>
          </cell>
          <cell r="W4491" t="str">
            <v>-</v>
          </cell>
          <cell r="X4491" t="str">
            <v>-</v>
          </cell>
          <cell r="Y4491" t="str">
            <v>1LE1003-1BA23-4FA4-Z+N11</v>
          </cell>
          <cell r="Z4491" t="str">
            <v>SIEMENS</v>
          </cell>
          <cell r="AB4491" t="str">
            <v>-</v>
          </cell>
          <cell r="AE4491" t="str">
            <v>ok per +50°C</v>
          </cell>
          <cell r="AF4491">
            <v>2950</v>
          </cell>
          <cell r="AG4491" t="str">
            <v>DRN112M4</v>
          </cell>
          <cell r="AH4491" t="str">
            <v>1LE1003-DRN112M4B--X</v>
          </cell>
        </row>
        <row r="4492">
          <cell r="A4492" t="str">
            <v>MR004481</v>
          </cell>
          <cell r="B4492" t="str">
            <v>MR</v>
          </cell>
          <cell r="C4492">
            <v>22</v>
          </cell>
          <cell r="D4492">
            <v>39</v>
          </cell>
          <cell r="E4492" t="str">
            <v>R137</v>
          </cell>
          <cell r="F4492">
            <v>5350</v>
          </cell>
          <cell r="G4492">
            <v>37.65</v>
          </cell>
          <cell r="H4492">
            <v>1.5</v>
          </cell>
          <cell r="I4492" t="str">
            <v>M1</v>
          </cell>
          <cell r="J4492" t="str">
            <v>IE3</v>
          </cell>
          <cell r="K4492" t="str">
            <v>220/380</v>
          </cell>
          <cell r="L4492">
            <v>50</v>
          </cell>
          <cell r="M4492" t="str">
            <v>70/40,5</v>
          </cell>
          <cell r="N4492">
            <v>55</v>
          </cell>
          <cell r="O4492" t="str">
            <v>155(F)</v>
          </cell>
          <cell r="P4492" t="str">
            <v>270°</v>
          </cell>
          <cell r="Q4492" t="str">
            <v>TF</v>
          </cell>
          <cell r="R4492" t="str">
            <v>V(VE)</v>
          </cell>
          <cell r="S4492" t="str">
            <v>-</v>
          </cell>
          <cell r="T4492" t="str">
            <v>-</v>
          </cell>
          <cell r="U4492" t="str">
            <v>-</v>
          </cell>
          <cell r="V4492" t="str">
            <v>FC</v>
          </cell>
          <cell r="W4492" t="str">
            <v>-</v>
          </cell>
          <cell r="X4492" t="str">
            <v>CLP HC 220 (-25/+60°C)</v>
          </cell>
          <cell r="Y4492" t="str">
            <v>R137DRN180L4 /TF/V</v>
          </cell>
          <cell r="Z4492" t="str">
            <v>SEW</v>
          </cell>
          <cell r="AB4492" t="str">
            <v>-</v>
          </cell>
          <cell r="AF4492">
            <v>39</v>
          </cell>
          <cell r="AG4492" t="str">
            <v>DRN180L4</v>
          </cell>
          <cell r="AH4492" t="str">
            <v>R137-DRN180L4270-X#</v>
          </cell>
        </row>
        <row r="4493">
          <cell r="A4493" t="str">
            <v>MR004482</v>
          </cell>
          <cell r="B4493" t="str">
            <v>MR</v>
          </cell>
          <cell r="C4493">
            <v>15</v>
          </cell>
          <cell r="D4493">
            <v>37</v>
          </cell>
          <cell r="E4493" t="str">
            <v>R107</v>
          </cell>
          <cell r="F4493">
            <v>3930</v>
          </cell>
          <cell r="G4493">
            <v>40.369999999999997</v>
          </cell>
          <cell r="H4493">
            <v>1.1000000000000001</v>
          </cell>
          <cell r="I4493" t="str">
            <v>M1</v>
          </cell>
          <cell r="J4493" t="str">
            <v>IE3</v>
          </cell>
          <cell r="K4493" t="str">
            <v>220/380</v>
          </cell>
          <cell r="L4493">
            <v>50</v>
          </cell>
          <cell r="M4493" t="str">
            <v>52/30,5</v>
          </cell>
          <cell r="N4493">
            <v>55</v>
          </cell>
          <cell r="O4493" t="str">
            <v>155(F)</v>
          </cell>
          <cell r="P4493" t="str">
            <v>270°</v>
          </cell>
          <cell r="Q4493" t="str">
            <v>TF</v>
          </cell>
          <cell r="R4493" t="str">
            <v>V(VE)</v>
          </cell>
          <cell r="S4493" t="str">
            <v>-</v>
          </cell>
          <cell r="T4493" t="str">
            <v>-</v>
          </cell>
          <cell r="U4493" t="str">
            <v>-</v>
          </cell>
          <cell r="V4493" t="str">
            <v>FC</v>
          </cell>
          <cell r="W4493" t="str">
            <v>-</v>
          </cell>
          <cell r="X4493" t="str">
            <v>CLP HC 220 (-25/+60°C)</v>
          </cell>
          <cell r="Y4493" t="str">
            <v>R107DRN160L4 /TF/V</v>
          </cell>
          <cell r="Z4493" t="str">
            <v>SEW</v>
          </cell>
          <cell r="AB4493" t="str">
            <v>-</v>
          </cell>
          <cell r="AF4493">
            <v>37</v>
          </cell>
          <cell r="AG4493" t="str">
            <v>DRN160L4</v>
          </cell>
          <cell r="AH4493" t="str">
            <v>R107-DRN160L4270-X#</v>
          </cell>
        </row>
        <row r="4494">
          <cell r="A4494" t="str">
            <v>MR004483</v>
          </cell>
          <cell r="B4494" t="str">
            <v>MR</v>
          </cell>
          <cell r="C4494">
            <v>11</v>
          </cell>
          <cell r="D4494">
            <v>66</v>
          </cell>
          <cell r="E4494" t="str">
            <v>R97</v>
          </cell>
          <cell r="F4494">
            <v>1320</v>
          </cell>
          <cell r="G4494">
            <v>22.37</v>
          </cell>
          <cell r="H4494">
            <v>2.1</v>
          </cell>
          <cell r="I4494" t="str">
            <v>FROM M1 TO M2 -14°</v>
          </cell>
          <cell r="J4494" t="str">
            <v>IE3</v>
          </cell>
          <cell r="K4494">
            <v>480</v>
          </cell>
          <cell r="L4494">
            <v>60</v>
          </cell>
          <cell r="M4494" t="str">
            <v>37/18,5</v>
          </cell>
          <cell r="N4494">
            <v>55</v>
          </cell>
          <cell r="O4494" t="str">
            <v>155(F)</v>
          </cell>
          <cell r="P4494" t="str">
            <v>270°</v>
          </cell>
          <cell r="Q4494" t="str">
            <v>-</v>
          </cell>
          <cell r="R4494" t="str">
            <v>-</v>
          </cell>
          <cell r="V4494" t="str">
            <v>SS</v>
          </cell>
          <cell r="W4494" t="str">
            <v>-</v>
          </cell>
          <cell r="X4494" t="str">
            <v>CLP 220 (-15/+40°C)</v>
          </cell>
          <cell r="Y4494" t="str">
            <v>R97DRN160M4</v>
          </cell>
          <cell r="Z4494" t="str">
            <v>SEW</v>
          </cell>
          <cell r="AB4494" t="str">
            <v>-</v>
          </cell>
          <cell r="AE4494" t="str">
            <v>NEMA5/CSA/UL/NPT terminal box</v>
          </cell>
          <cell r="AF4494">
            <v>79.2</v>
          </cell>
          <cell r="AG4494" t="str">
            <v>DRN160M4</v>
          </cell>
          <cell r="AH4494" t="str">
            <v>R97DRN160M4</v>
          </cell>
        </row>
        <row r="4495">
          <cell r="A4495" t="str">
            <v>MR004484</v>
          </cell>
          <cell r="B4495" t="str">
            <v>MR</v>
          </cell>
          <cell r="C4495">
            <v>18.5</v>
          </cell>
          <cell r="D4495">
            <v>66</v>
          </cell>
          <cell r="E4495" t="str">
            <v>R107</v>
          </cell>
          <cell r="F4495">
            <v>2240</v>
          </cell>
          <cell r="G4495">
            <v>22.62</v>
          </cell>
          <cell r="H4495">
            <v>1.9</v>
          </cell>
          <cell r="I4495" t="str">
            <v>M4</v>
          </cell>
          <cell r="J4495" t="str">
            <v>IE3</v>
          </cell>
          <cell r="K4495">
            <v>480</v>
          </cell>
          <cell r="L4495">
            <v>60</v>
          </cell>
          <cell r="M4495" t="str">
            <v>59/29,5</v>
          </cell>
          <cell r="N4495">
            <v>55</v>
          </cell>
          <cell r="O4495" t="str">
            <v>155(F)</v>
          </cell>
          <cell r="P4495" t="str">
            <v>270°</v>
          </cell>
          <cell r="Q4495" t="str">
            <v>-</v>
          </cell>
          <cell r="R4495" t="str">
            <v>-</v>
          </cell>
          <cell r="V4495" t="str">
            <v>SS</v>
          </cell>
          <cell r="W4495" t="str">
            <v>-</v>
          </cell>
          <cell r="X4495" t="str">
            <v>CLP 220 (-15/+40°C)</v>
          </cell>
          <cell r="Y4495" t="str">
            <v>R107DRN180M4</v>
          </cell>
          <cell r="Z4495" t="str">
            <v>SEW</v>
          </cell>
          <cell r="AB4495" t="str">
            <v>-</v>
          </cell>
          <cell r="AE4495" t="str">
            <v>NEMA5/CSA/UL/NPT terminal box</v>
          </cell>
          <cell r="AF4495">
            <v>79.2</v>
          </cell>
          <cell r="AG4495" t="str">
            <v>DRN180M4</v>
          </cell>
          <cell r="AH4495" t="str">
            <v>R107DRN180M4</v>
          </cell>
        </row>
        <row r="4496">
          <cell r="A4496" t="str">
            <v>MR004485</v>
          </cell>
          <cell r="B4496" t="str">
            <v>MR</v>
          </cell>
          <cell r="C4496">
            <v>3</v>
          </cell>
          <cell r="D4496">
            <v>58</v>
          </cell>
          <cell r="E4496" t="str">
            <v>R77</v>
          </cell>
          <cell r="F4496">
            <v>410</v>
          </cell>
          <cell r="G4496">
            <v>25.23</v>
          </cell>
          <cell r="H4496">
            <v>1.9</v>
          </cell>
          <cell r="I4496" t="str">
            <v>M1</v>
          </cell>
          <cell r="J4496" t="str">
            <v>IE3</v>
          </cell>
          <cell r="K4496">
            <v>480</v>
          </cell>
          <cell r="L4496">
            <v>60</v>
          </cell>
          <cell r="M4496" t="str">
            <v>11,6/5,8</v>
          </cell>
          <cell r="N4496">
            <v>55</v>
          </cell>
          <cell r="O4496" t="str">
            <v>155(F)</v>
          </cell>
          <cell r="P4496" t="str">
            <v>270°</v>
          </cell>
          <cell r="Q4496" t="str">
            <v>-</v>
          </cell>
          <cell r="R4496" t="str">
            <v>-</v>
          </cell>
          <cell r="V4496" t="str">
            <v>D</v>
          </cell>
          <cell r="W4496" t="str">
            <v>-</v>
          </cell>
          <cell r="X4496" t="str">
            <v>CLP 220 (-15/+40°C)</v>
          </cell>
          <cell r="Y4496" t="str">
            <v xml:space="preserve">R77DRN100L4 </v>
          </cell>
          <cell r="Z4496" t="str">
            <v>SEW</v>
          </cell>
          <cell r="AB4496" t="str">
            <v>-</v>
          </cell>
          <cell r="AE4496" t="str">
            <v>NEMA5/CSA/UL/NPT terminal box</v>
          </cell>
          <cell r="AF4496">
            <v>70</v>
          </cell>
          <cell r="AG4496" t="str">
            <v>DRN100L4</v>
          </cell>
        </row>
        <row r="4497">
          <cell r="A4497" t="str">
            <v>MR004486</v>
          </cell>
          <cell r="B4497" t="str">
            <v>MR</v>
          </cell>
          <cell r="C4497">
            <v>9.1999999999999993</v>
          </cell>
          <cell r="D4497">
            <v>77.5</v>
          </cell>
          <cell r="E4497" t="str">
            <v>R87</v>
          </cell>
          <cell r="F4497">
            <v>950</v>
          </cell>
          <cell r="G4497">
            <v>19.100000000000001</v>
          </cell>
          <cell r="H4497">
            <v>1.5</v>
          </cell>
          <cell r="I4497" t="str">
            <v>From M1 to M2 - 15°</v>
          </cell>
          <cell r="J4497" t="str">
            <v>IE3</v>
          </cell>
          <cell r="K4497">
            <v>460</v>
          </cell>
          <cell r="L4497">
            <v>60</v>
          </cell>
          <cell r="M4497" t="str">
            <v>33/16,5</v>
          </cell>
          <cell r="N4497">
            <v>55</v>
          </cell>
          <cell r="O4497" t="str">
            <v>155(F)</v>
          </cell>
          <cell r="P4497" t="str">
            <v>0°</v>
          </cell>
          <cell r="Q4497" t="str">
            <v>TF</v>
          </cell>
          <cell r="R4497" t="str">
            <v>-</v>
          </cell>
          <cell r="S4497" t="str">
            <v>-</v>
          </cell>
          <cell r="T4497" t="str">
            <v>-</v>
          </cell>
          <cell r="U4497" t="str">
            <v>-</v>
          </cell>
          <cell r="V4497" t="str">
            <v>D</v>
          </cell>
          <cell r="W4497" t="str">
            <v>-</v>
          </cell>
          <cell r="X4497" t="str">
            <v>CLP PG 680 (-20 / +80 °C)</v>
          </cell>
          <cell r="Y4497" t="str">
            <v>R87DRN132L4 /TF</v>
          </cell>
          <cell r="Z4497" t="str">
            <v>SEW</v>
          </cell>
          <cell r="AA4497" t="str">
            <v>RAL 7031</v>
          </cell>
          <cell r="AB4497" t="str">
            <v>-</v>
          </cell>
          <cell r="AE4497" t="str">
            <v>UR/CSA/CE</v>
          </cell>
          <cell r="AF4497">
            <v>93</v>
          </cell>
          <cell r="AG4497" t="str">
            <v>DRN132L4</v>
          </cell>
          <cell r="AH4497" t="str">
            <v>R87-DRN132L40-X</v>
          </cell>
        </row>
        <row r="4498">
          <cell r="A4498" t="str">
            <v>MR004487</v>
          </cell>
          <cell r="B4498" t="str">
            <v>MR</v>
          </cell>
          <cell r="C4498">
            <v>37</v>
          </cell>
          <cell r="D4498">
            <v>81.599999999999994</v>
          </cell>
          <cell r="E4498" t="str">
            <v>R107</v>
          </cell>
          <cell r="F4498">
            <v>3600</v>
          </cell>
          <cell r="G4498">
            <v>18.21</v>
          </cell>
          <cell r="H4498">
            <v>1.2</v>
          </cell>
          <cell r="I4498" t="str">
            <v>M4</v>
          </cell>
          <cell r="J4498" t="str">
            <v>IE3</v>
          </cell>
          <cell r="K4498">
            <v>460</v>
          </cell>
          <cell r="L4498">
            <v>60</v>
          </cell>
          <cell r="M4498" t="str">
            <v>111/56</v>
          </cell>
          <cell r="N4498">
            <v>55</v>
          </cell>
          <cell r="O4498" t="str">
            <v>155(F)</v>
          </cell>
          <cell r="P4498" t="str">
            <v>0°</v>
          </cell>
          <cell r="Q4498" t="str">
            <v>TF</v>
          </cell>
          <cell r="R4498" t="str">
            <v>-</v>
          </cell>
          <cell r="S4498" t="str">
            <v>-</v>
          </cell>
          <cell r="T4498" t="str">
            <v>-</v>
          </cell>
          <cell r="U4498" t="str">
            <v>-</v>
          </cell>
          <cell r="V4498" t="str">
            <v>D</v>
          </cell>
          <cell r="W4498" t="str">
            <v>-</v>
          </cell>
          <cell r="X4498" t="str">
            <v>CLP PG 680 (-20 / +80 °C)</v>
          </cell>
          <cell r="Y4498" t="str">
            <v>R107DRN225S4 /TF</v>
          </cell>
          <cell r="Z4498" t="str">
            <v>SEW</v>
          </cell>
          <cell r="AA4498" t="str">
            <v>RAL 7031</v>
          </cell>
          <cell r="AB4498" t="str">
            <v>-</v>
          </cell>
          <cell r="AE4498" t="str">
            <v>UR/CSA/CE</v>
          </cell>
          <cell r="AF4498">
            <v>97.92</v>
          </cell>
          <cell r="AG4498" t="str">
            <v>DRN225S4</v>
          </cell>
          <cell r="AH4498" t="str">
            <v>R107-DRN225S40-X</v>
          </cell>
        </row>
        <row r="4499">
          <cell r="A4499" t="str">
            <v>MR004488</v>
          </cell>
          <cell r="B4499" t="str">
            <v>MR</v>
          </cell>
          <cell r="C4499">
            <v>5.5</v>
          </cell>
          <cell r="D4499">
            <v>68</v>
          </cell>
          <cell r="E4499" t="str">
            <v>R87</v>
          </cell>
          <cell r="F4499">
            <v>770</v>
          </cell>
          <cell r="G4499">
            <v>21.51</v>
          </cell>
          <cell r="H4499">
            <v>1.95</v>
          </cell>
          <cell r="I4499" t="str">
            <v>M1</v>
          </cell>
          <cell r="J4499" t="str">
            <v>IE3</v>
          </cell>
          <cell r="K4499" t="str">
            <v>230/400</v>
          </cell>
          <cell r="L4499">
            <v>50</v>
          </cell>
          <cell r="M4499" t="str">
            <v>18,2/10,5</v>
          </cell>
          <cell r="N4499">
            <v>55</v>
          </cell>
          <cell r="O4499" t="str">
            <v>155(F)</v>
          </cell>
          <cell r="P4499" t="str">
            <v>270°</v>
          </cell>
          <cell r="Q4499" t="str">
            <v>TF</v>
          </cell>
          <cell r="R4499" t="str">
            <v>-</v>
          </cell>
          <cell r="S4499" t="str">
            <v>-</v>
          </cell>
          <cell r="T4499" t="str">
            <v>-</v>
          </cell>
          <cell r="U4499" t="str">
            <v>-</v>
          </cell>
          <cell r="V4499" t="str">
            <v>D</v>
          </cell>
          <cell r="W4499" t="str">
            <v>-</v>
          </cell>
          <cell r="X4499" t="str">
            <v>CLP 220 (-15/+40°C)</v>
          </cell>
          <cell r="Y4499" t="str">
            <v>R87DRN132S4 /TF</v>
          </cell>
          <cell r="Z4499" t="str">
            <v>SEW</v>
          </cell>
          <cell r="AB4499" t="str">
            <v>-</v>
          </cell>
          <cell r="AF4499">
            <v>68</v>
          </cell>
          <cell r="AG4499" t="str">
            <v>DRN132S4</v>
          </cell>
          <cell r="AH4499" t="str">
            <v>R87-DRN132S4270-X</v>
          </cell>
        </row>
        <row r="4500">
          <cell r="A4500" t="str">
            <v>MR004489</v>
          </cell>
          <cell r="B4500" t="str">
            <v>MR</v>
          </cell>
          <cell r="C4500">
            <v>9.1999999999999993</v>
          </cell>
          <cell r="D4500">
            <v>15</v>
          </cell>
          <cell r="E4500" t="str">
            <v>KH107</v>
          </cell>
          <cell r="F4500">
            <v>6020</v>
          </cell>
          <cell r="G4500">
            <v>100.75</v>
          </cell>
          <cell r="H4500">
            <v>1.25</v>
          </cell>
          <cell r="I4500" t="str">
            <v>From M1A to M2A - 45°</v>
          </cell>
          <cell r="J4500" t="str">
            <v>IE3</v>
          </cell>
          <cell r="K4500" t="str">
            <v>400/690</v>
          </cell>
          <cell r="L4500">
            <v>50</v>
          </cell>
          <cell r="M4500" t="str">
            <v>19,2/11,1</v>
          </cell>
          <cell r="N4500">
            <v>65</v>
          </cell>
          <cell r="O4500" t="str">
            <v>155(F)</v>
          </cell>
          <cell r="P4500" t="str">
            <v>270°</v>
          </cell>
          <cell r="Q4500" t="str">
            <v>TF</v>
          </cell>
          <cell r="R4500" t="str">
            <v>-</v>
          </cell>
          <cell r="S4500" t="str">
            <v>-</v>
          </cell>
          <cell r="T4500" t="str">
            <v>-</v>
          </cell>
          <cell r="U4500" t="str">
            <v>-</v>
          </cell>
          <cell r="V4500" t="str">
            <v>SS</v>
          </cell>
          <cell r="W4500" t="str">
            <v>-</v>
          </cell>
          <cell r="X4500" t="str">
            <v>CLP HC 220 (-25/+60°C)</v>
          </cell>
          <cell r="Y4500" t="str">
            <v>KH107EDRN132L4 /TF</v>
          </cell>
          <cell r="Z4500" t="str">
            <v>SEW</v>
          </cell>
          <cell r="AB4500" t="str">
            <v>ATEX22</v>
          </cell>
          <cell r="AF4500">
            <v>15</v>
          </cell>
          <cell r="AG4500" t="str">
            <v>EDRN132L4</v>
          </cell>
          <cell r="AH4500" t="str">
            <v>KH107-EDRN132L4A270-X</v>
          </cell>
        </row>
        <row r="4501">
          <cell r="A4501" t="str">
            <v>MR004490</v>
          </cell>
          <cell r="B4501" t="str">
            <v>MR</v>
          </cell>
          <cell r="C4501">
            <v>9.1999999999999993</v>
          </cell>
          <cell r="D4501">
            <v>15</v>
          </cell>
          <cell r="E4501" t="str">
            <v>KH107</v>
          </cell>
          <cell r="F4501">
            <v>6020</v>
          </cell>
          <cell r="G4501">
            <v>100.75</v>
          </cell>
          <cell r="H4501">
            <v>1.25</v>
          </cell>
          <cell r="I4501" t="str">
            <v>From M1B to M2B - 45°</v>
          </cell>
          <cell r="J4501" t="str">
            <v>IE3</v>
          </cell>
          <cell r="K4501" t="str">
            <v>400/690</v>
          </cell>
          <cell r="L4501">
            <v>50</v>
          </cell>
          <cell r="M4501" t="str">
            <v>19,2/11,1</v>
          </cell>
          <cell r="N4501">
            <v>65</v>
          </cell>
          <cell r="O4501" t="str">
            <v>155(F)</v>
          </cell>
          <cell r="P4501" t="str">
            <v>270°</v>
          </cell>
          <cell r="Q4501" t="str">
            <v>TF</v>
          </cell>
          <cell r="R4501" t="str">
            <v>-</v>
          </cell>
          <cell r="S4501" t="str">
            <v>-</v>
          </cell>
          <cell r="T4501" t="str">
            <v>-</v>
          </cell>
          <cell r="U4501" t="str">
            <v>-</v>
          </cell>
          <cell r="V4501" t="str">
            <v>SS</v>
          </cell>
          <cell r="W4501" t="str">
            <v>-</v>
          </cell>
          <cell r="X4501" t="str">
            <v>CLP HC 220 (-25/+60°C)</v>
          </cell>
          <cell r="Y4501" t="str">
            <v>KH107EDRN132L4 /TF</v>
          </cell>
          <cell r="Z4501" t="str">
            <v>SEW</v>
          </cell>
          <cell r="AB4501" t="str">
            <v>ATEX22</v>
          </cell>
          <cell r="AF4501">
            <v>15</v>
          </cell>
          <cell r="AG4501" t="str">
            <v>EDRN132L4</v>
          </cell>
          <cell r="AH4501" t="str">
            <v>KH107-EDRN132L4B270-X</v>
          </cell>
        </row>
        <row r="4502">
          <cell r="A4502" t="str">
            <v>MR004491</v>
          </cell>
          <cell r="B4502" t="str">
            <v>MR</v>
          </cell>
          <cell r="C4502">
            <v>7.5</v>
          </cell>
          <cell r="D4502">
            <v>54</v>
          </cell>
          <cell r="E4502" t="str">
            <v>R97</v>
          </cell>
          <cell r="F4502">
            <v>1320</v>
          </cell>
          <cell r="G4502">
            <v>27.19</v>
          </cell>
          <cell r="H4502">
            <v>1.95</v>
          </cell>
          <cell r="I4502" t="str">
            <v>M1</v>
          </cell>
          <cell r="J4502" t="str">
            <v>IE3</v>
          </cell>
          <cell r="K4502" t="str">
            <v>400/690</v>
          </cell>
          <cell r="L4502">
            <v>50</v>
          </cell>
          <cell r="M4502" t="str">
            <v>15,2-8,8</v>
          </cell>
          <cell r="N4502">
            <v>55</v>
          </cell>
          <cell r="O4502" t="str">
            <v>155(F)</v>
          </cell>
          <cell r="P4502" t="str">
            <v>270°</v>
          </cell>
          <cell r="Q4502" t="str">
            <v>TF</v>
          </cell>
          <cell r="R4502" t="str">
            <v>-</v>
          </cell>
          <cell r="S4502" t="str">
            <v>-</v>
          </cell>
          <cell r="V4502" t="str">
            <v>D</v>
          </cell>
          <cell r="X4502" t="str">
            <v>CLP 220 (-15/+40°C)</v>
          </cell>
          <cell r="Y4502" t="str">
            <v>R97/ DRN132M4 / /TF</v>
          </cell>
          <cell r="Z4502" t="str">
            <v>SEW</v>
          </cell>
          <cell r="AF4502">
            <v>54</v>
          </cell>
          <cell r="AG4502" t="str">
            <v>DRN132M4</v>
          </cell>
          <cell r="AH4502" t="str">
            <v>R97-DRN132M4270-X</v>
          </cell>
        </row>
        <row r="4503">
          <cell r="A4503" t="str">
            <v>MR004492</v>
          </cell>
          <cell r="B4503" t="str">
            <v>MR</v>
          </cell>
          <cell r="C4503">
            <v>5.5</v>
          </cell>
          <cell r="D4503">
            <v>47.5</v>
          </cell>
          <cell r="E4503" t="str">
            <v>KH77</v>
          </cell>
          <cell r="F4503">
            <v>920</v>
          </cell>
          <cell r="G4503">
            <v>30.89</v>
          </cell>
          <cell r="H4503">
            <v>1.7</v>
          </cell>
          <cell r="I4503" t="str">
            <v>M4B</v>
          </cell>
          <cell r="J4503" t="str">
            <v>IE3</v>
          </cell>
          <cell r="K4503" t="str">
            <v>277/480</v>
          </cell>
          <cell r="L4503">
            <v>60</v>
          </cell>
          <cell r="M4503" t="str">
            <v>18,4/9,2</v>
          </cell>
          <cell r="N4503">
            <v>65</v>
          </cell>
          <cell r="O4503" t="str">
            <v>155(F)</v>
          </cell>
          <cell r="P4503" t="str">
            <v>270°</v>
          </cell>
          <cell r="Q4503" t="str">
            <v>-</v>
          </cell>
          <cell r="R4503" t="str">
            <v>-</v>
          </cell>
          <cell r="S4503" t="str">
            <v>Free rotation CW</v>
          </cell>
          <cell r="T4503" t="str">
            <v>-</v>
          </cell>
          <cell r="U4503" t="str">
            <v>T</v>
          </cell>
          <cell r="V4503" t="str">
            <v>SS</v>
          </cell>
          <cell r="W4503" t="str">
            <v>-</v>
          </cell>
          <cell r="X4503" t="str">
            <v>CLP 220 (-15/+40°C)</v>
          </cell>
          <cell r="Y4503" t="str">
            <v>KH77/T DRN132S4 /RS</v>
          </cell>
          <cell r="Z4503" t="str">
            <v>SEW</v>
          </cell>
          <cell r="AB4503" t="str">
            <v>-</v>
          </cell>
          <cell r="AE4503" t="str">
            <v>NEMA5/UL/NPT terminal box</v>
          </cell>
          <cell r="AF4503">
            <v>57</v>
          </cell>
          <cell r="AG4503" t="str">
            <v>DRN132S4</v>
          </cell>
          <cell r="AH4503" t="str">
            <v>KH77T-DRN132S4B270-X</v>
          </cell>
        </row>
        <row r="4504">
          <cell r="A4504" t="str">
            <v>MR004493</v>
          </cell>
          <cell r="B4504" t="str">
            <v>MR</v>
          </cell>
          <cell r="C4504">
            <v>5.5</v>
          </cell>
          <cell r="D4504">
            <v>47.5</v>
          </cell>
          <cell r="E4504" t="str">
            <v>KH77</v>
          </cell>
          <cell r="F4504">
            <v>920</v>
          </cell>
          <cell r="G4504">
            <v>30.89</v>
          </cell>
          <cell r="H4504">
            <v>1.7</v>
          </cell>
          <cell r="I4504" t="str">
            <v>M4B</v>
          </cell>
          <cell r="J4504" t="str">
            <v>IE3</v>
          </cell>
          <cell r="K4504" t="str">
            <v>277/480</v>
          </cell>
          <cell r="L4504">
            <v>60</v>
          </cell>
          <cell r="M4504" t="str">
            <v>18,4/9,2</v>
          </cell>
          <cell r="N4504">
            <v>65</v>
          </cell>
          <cell r="O4504" t="str">
            <v>155(F)</v>
          </cell>
          <cell r="P4504" t="str">
            <v>270°</v>
          </cell>
          <cell r="Q4504" t="str">
            <v>-</v>
          </cell>
          <cell r="R4504" t="str">
            <v>-</v>
          </cell>
          <cell r="S4504" t="str">
            <v>-</v>
          </cell>
          <cell r="T4504" t="str">
            <v>-</v>
          </cell>
          <cell r="U4504" t="str">
            <v>T</v>
          </cell>
          <cell r="V4504" t="str">
            <v>SS</v>
          </cell>
          <cell r="W4504" t="str">
            <v>-</v>
          </cell>
          <cell r="X4504" t="str">
            <v>CLP 220 (-15/+40°C)</v>
          </cell>
          <cell r="Y4504" t="str">
            <v>KH77/T DRN132S4</v>
          </cell>
          <cell r="Z4504" t="str">
            <v>SEW</v>
          </cell>
          <cell r="AB4504" t="str">
            <v>-</v>
          </cell>
          <cell r="AE4504" t="str">
            <v>NEMA5/UL/NPT terminal box</v>
          </cell>
          <cell r="AF4504">
            <v>57</v>
          </cell>
          <cell r="AG4504" t="str">
            <v>DRN132S4</v>
          </cell>
          <cell r="AH4504" t="str">
            <v>KH77T-DRN132S4B270-X</v>
          </cell>
        </row>
        <row r="4505">
          <cell r="A4505" t="str">
            <v>MR004494</v>
          </cell>
          <cell r="B4505" t="str">
            <v>MR</v>
          </cell>
          <cell r="C4505">
            <v>0.75</v>
          </cell>
          <cell r="D4505">
            <v>139.16666666666669</v>
          </cell>
          <cell r="E4505" t="str">
            <v>KA37</v>
          </cell>
          <cell r="F4505">
            <v>43</v>
          </cell>
          <cell r="G4505">
            <v>10.49</v>
          </cell>
          <cell r="H4505">
            <v>3.7</v>
          </cell>
          <cell r="I4505" t="str">
            <v>From M1B to M2B - 20°</v>
          </cell>
          <cell r="J4505" t="str">
            <v>IE3</v>
          </cell>
          <cell r="K4505" t="str">
            <v>277/480</v>
          </cell>
          <cell r="L4505">
            <v>60</v>
          </cell>
          <cell r="M4505" t="str">
            <v>2,6/1,49</v>
          </cell>
          <cell r="N4505">
            <v>65</v>
          </cell>
          <cell r="O4505" t="str">
            <v>155(F)</v>
          </cell>
          <cell r="P4505" t="str">
            <v>270°</v>
          </cell>
          <cell r="Q4505" t="str">
            <v>-</v>
          </cell>
          <cell r="R4505" t="str">
            <v>-</v>
          </cell>
          <cell r="S4505" t="str">
            <v>-</v>
          </cell>
          <cell r="T4505" t="str">
            <v>-</v>
          </cell>
          <cell r="U4505" t="str">
            <v>T</v>
          </cell>
          <cell r="V4505" t="str">
            <v>D</v>
          </cell>
          <cell r="W4505" t="str">
            <v>-</v>
          </cell>
          <cell r="X4505" t="str">
            <v>CLP 220 (-15/+40°C)</v>
          </cell>
          <cell r="Y4505" t="str">
            <v>KA37/T DRN80M4</v>
          </cell>
          <cell r="Z4505" t="str">
            <v>SEW</v>
          </cell>
          <cell r="AB4505" t="str">
            <v>-</v>
          </cell>
          <cell r="AE4505" t="str">
            <v>NEMA5/UL/NPT terminal box</v>
          </cell>
          <cell r="AF4505">
            <v>167.00000000000003</v>
          </cell>
          <cell r="AG4505" t="str">
            <v>DRN80M4</v>
          </cell>
          <cell r="AH4505" t="str">
            <v>KA37T-DRN80M4B270-X</v>
          </cell>
        </row>
        <row r="4506">
          <cell r="A4506" t="str">
            <v>MR004495</v>
          </cell>
          <cell r="B4506" t="str">
            <v>MR</v>
          </cell>
          <cell r="C4506">
            <v>0.55000000000000004</v>
          </cell>
          <cell r="D4506">
            <v>0.74</v>
          </cell>
          <cell r="E4506" t="str">
            <v>KH107R77</v>
          </cell>
          <cell r="F4506">
            <v>6170</v>
          </cell>
          <cell r="G4506">
            <v>1939</v>
          </cell>
          <cell r="H4506">
            <v>1.3</v>
          </cell>
          <cell r="I4506" t="str">
            <v>From M4B to M1B - 45°</v>
          </cell>
          <cell r="J4506" t="str">
            <v>IE3</v>
          </cell>
          <cell r="K4506" t="str">
            <v>230/400</v>
          </cell>
          <cell r="L4506">
            <v>50</v>
          </cell>
          <cell r="M4506" t="str">
            <v>2,25/1,29</v>
          </cell>
          <cell r="N4506">
            <v>65</v>
          </cell>
          <cell r="O4506" t="str">
            <v>155(F)</v>
          </cell>
          <cell r="P4506" t="str">
            <v>270°</v>
          </cell>
          <cell r="Q4506" t="str">
            <v>TF</v>
          </cell>
          <cell r="R4506" t="str">
            <v>V(VE)</v>
          </cell>
          <cell r="S4506" t="str">
            <v>-</v>
          </cell>
          <cell r="T4506" t="str">
            <v>-</v>
          </cell>
          <cell r="U4506" t="str">
            <v>T</v>
          </cell>
          <cell r="V4506" t="str">
            <v>FC</v>
          </cell>
          <cell r="W4506" t="str">
            <v>-</v>
          </cell>
          <cell r="X4506" t="str">
            <v>CLP HC 220 (-25/+60°C)</v>
          </cell>
          <cell r="Y4506" t="str">
            <v>KH107R77/T DRN80MK4 /TF/V</v>
          </cell>
          <cell r="Z4506" t="str">
            <v>SEW</v>
          </cell>
          <cell r="AB4506" t="str">
            <v>-</v>
          </cell>
          <cell r="AF4506">
            <v>0.74</v>
          </cell>
          <cell r="AG4506" t="str">
            <v>DRN80MK4</v>
          </cell>
          <cell r="AH4506" t="str">
            <v>KH107R77T-DRN80MK4B270-X#</v>
          </cell>
        </row>
        <row r="4507">
          <cell r="A4507" t="str">
            <v>MR004496</v>
          </cell>
          <cell r="B4507" t="str">
            <v>MR</v>
          </cell>
          <cell r="C4507">
            <v>15</v>
          </cell>
          <cell r="D4507">
            <v>12</v>
          </cell>
          <cell r="E4507" t="str">
            <v>KH127</v>
          </cell>
          <cell r="F4507">
            <v>11900</v>
          </cell>
          <cell r="G4507">
            <v>122.48</v>
          </cell>
          <cell r="H4507">
            <v>1.1000000000000001</v>
          </cell>
          <cell r="I4507" t="str">
            <v>From M1B to M2B - 45°</v>
          </cell>
          <cell r="J4507" t="str">
            <v>IE3</v>
          </cell>
          <cell r="K4507" t="str">
            <v>230/400</v>
          </cell>
          <cell r="L4507">
            <v>50</v>
          </cell>
          <cell r="M4507" t="str">
            <v>51/29,5</v>
          </cell>
          <cell r="N4507">
            <v>55</v>
          </cell>
          <cell r="O4507" t="str">
            <v>155(F)</v>
          </cell>
          <cell r="P4507" t="str">
            <v>270°</v>
          </cell>
          <cell r="Q4507" t="str">
            <v>TF</v>
          </cell>
          <cell r="R4507" t="str">
            <v>-</v>
          </cell>
          <cell r="S4507" t="str">
            <v>-</v>
          </cell>
          <cell r="T4507" t="str">
            <v>-</v>
          </cell>
          <cell r="U4507" t="str">
            <v>-</v>
          </cell>
          <cell r="V4507" t="str">
            <v>SS</v>
          </cell>
          <cell r="W4507" t="str">
            <v>-</v>
          </cell>
          <cell r="X4507" t="str">
            <v>CLP HC 220 (-25/+60°C)</v>
          </cell>
          <cell r="Y4507" t="str">
            <v>KH127EDRN160L4 /TF</v>
          </cell>
          <cell r="Z4507" t="str">
            <v>SEW</v>
          </cell>
          <cell r="AB4507" t="str">
            <v>ATEX22</v>
          </cell>
          <cell r="AF4507">
            <v>12</v>
          </cell>
          <cell r="AG4507" t="str">
            <v>EDRN160L4</v>
          </cell>
          <cell r="AH4507" t="str">
            <v>KH127-EDRN160L4B270-X</v>
          </cell>
        </row>
        <row r="4508">
          <cell r="A4508" t="str">
            <v>MR004497</v>
          </cell>
          <cell r="B4508" t="str">
            <v>MR</v>
          </cell>
          <cell r="C4508">
            <v>18.5</v>
          </cell>
          <cell r="D4508">
            <v>12</v>
          </cell>
          <cell r="E4508" t="str">
            <v>KH157</v>
          </cell>
          <cell r="F4508">
            <v>14600</v>
          </cell>
          <cell r="G4508">
            <v>122.39</v>
          </cell>
          <cell r="H4508">
            <v>1.35</v>
          </cell>
          <cell r="I4508" t="str">
            <v>From M1B to M2B - 25°</v>
          </cell>
          <cell r="J4508" t="str">
            <v>IE3</v>
          </cell>
          <cell r="K4508" t="str">
            <v>230/400</v>
          </cell>
          <cell r="L4508">
            <v>50</v>
          </cell>
          <cell r="M4508" t="str">
            <v>61/35</v>
          </cell>
          <cell r="N4508">
            <v>55</v>
          </cell>
          <cell r="O4508" t="str">
            <v>155(F)</v>
          </cell>
          <cell r="P4508" t="str">
            <v>270°</v>
          </cell>
          <cell r="Q4508" t="str">
            <v>TF</v>
          </cell>
          <cell r="R4508" t="str">
            <v>-</v>
          </cell>
          <cell r="S4508" t="str">
            <v>-</v>
          </cell>
          <cell r="T4508" t="str">
            <v>-</v>
          </cell>
          <cell r="U4508" t="str">
            <v>-</v>
          </cell>
          <cell r="V4508" t="str">
            <v>SS</v>
          </cell>
          <cell r="W4508" t="str">
            <v>-</v>
          </cell>
          <cell r="X4508" t="str">
            <v>CLP HC 220 (-25/+60°C)</v>
          </cell>
          <cell r="Y4508" t="str">
            <v>KH157EDRN180M4 /TF</v>
          </cell>
          <cell r="Z4508" t="str">
            <v>SEW</v>
          </cell>
          <cell r="AB4508" t="str">
            <v>ATEX22</v>
          </cell>
          <cell r="AF4508">
            <v>12</v>
          </cell>
          <cell r="AG4508" t="str">
            <v>EDRN180M4</v>
          </cell>
          <cell r="AH4508" t="str">
            <v>KH157-EDRN180M4B270-X</v>
          </cell>
        </row>
        <row r="4509">
          <cell r="A4509" t="str">
            <v>MR004498</v>
          </cell>
          <cell r="B4509" t="str">
            <v>MR</v>
          </cell>
          <cell r="C4509">
            <v>7.5</v>
          </cell>
          <cell r="D4509">
            <v>68</v>
          </cell>
          <cell r="E4509" t="str">
            <v>R87</v>
          </cell>
          <cell r="F4509">
            <v>1050</v>
          </cell>
          <cell r="G4509">
            <v>21.51</v>
          </cell>
          <cell r="H4509">
            <v>1.1499999999999999</v>
          </cell>
          <cell r="I4509" t="str">
            <v>From M1 to M2 - 20°</v>
          </cell>
          <cell r="J4509" t="str">
            <v>IE3</v>
          </cell>
          <cell r="K4509" t="str">
            <v>230/400</v>
          </cell>
          <cell r="L4509">
            <v>50</v>
          </cell>
          <cell r="M4509" t="str">
            <v>27/15,7</v>
          </cell>
          <cell r="N4509">
            <v>55</v>
          </cell>
          <cell r="O4509" t="str">
            <v>155(F)</v>
          </cell>
          <cell r="P4509" t="str">
            <v>270°</v>
          </cell>
          <cell r="Q4509" t="str">
            <v>TF</v>
          </cell>
          <cell r="R4509" t="str">
            <v>-</v>
          </cell>
          <cell r="S4509" t="str">
            <v>-</v>
          </cell>
          <cell r="T4509" t="str">
            <v>-</v>
          </cell>
          <cell r="U4509" t="str">
            <v>-</v>
          </cell>
          <cell r="V4509" t="str">
            <v>D+R</v>
          </cell>
          <cell r="W4509" t="str">
            <v>-</v>
          </cell>
          <cell r="X4509" t="str">
            <v>CLP HC 220 (-25/+60°C)</v>
          </cell>
          <cell r="Y4509" t="str">
            <v>R87EDRN132M4 /TF</v>
          </cell>
          <cell r="Z4509" t="str">
            <v>SEW</v>
          </cell>
          <cell r="AB4509" t="str">
            <v>ATEX22</v>
          </cell>
          <cell r="AF4509">
            <v>68</v>
          </cell>
          <cell r="AG4509" t="str">
            <v>EDRN132M4</v>
          </cell>
          <cell r="AH4509" t="str">
            <v>R87-EDRN132M4270-X</v>
          </cell>
        </row>
        <row r="4510">
          <cell r="A4510" t="str">
            <v>MR004499</v>
          </cell>
          <cell r="B4510" t="str">
            <v>MR</v>
          </cell>
          <cell r="C4510">
            <v>11</v>
          </cell>
          <cell r="D4510">
            <v>13</v>
          </cell>
          <cell r="E4510" t="str">
            <v>KH127</v>
          </cell>
          <cell r="F4510">
            <v>7860</v>
          </cell>
          <cell r="G4510">
            <v>110.18</v>
          </cell>
          <cell r="H4510">
            <v>1.65</v>
          </cell>
          <cell r="I4510" t="str">
            <v>From M1B to M2B - 10°</v>
          </cell>
          <cell r="J4510" t="str">
            <v>IE3</v>
          </cell>
          <cell r="K4510" t="str">
            <v>230/400</v>
          </cell>
          <cell r="L4510">
            <v>50</v>
          </cell>
          <cell r="M4510" t="str">
            <v>37/21,5</v>
          </cell>
          <cell r="N4510">
            <v>55</v>
          </cell>
          <cell r="O4510" t="str">
            <v>155(F)</v>
          </cell>
          <cell r="P4510" t="str">
            <v>270°</v>
          </cell>
          <cell r="Q4510" t="str">
            <v>TF</v>
          </cell>
          <cell r="R4510" t="str">
            <v>-</v>
          </cell>
          <cell r="S4510" t="str">
            <v>-</v>
          </cell>
          <cell r="T4510" t="str">
            <v>-</v>
          </cell>
          <cell r="U4510" t="str">
            <v>-</v>
          </cell>
          <cell r="V4510" t="str">
            <v>SS</v>
          </cell>
          <cell r="W4510" t="str">
            <v>-</v>
          </cell>
          <cell r="X4510" t="str">
            <v>CLP HC 220 (-25/+60°C)</v>
          </cell>
          <cell r="Y4510" t="str">
            <v>KH127EDRN160M4 /TF</v>
          </cell>
          <cell r="Z4510" t="str">
            <v>SEW</v>
          </cell>
          <cell r="AB4510" t="str">
            <v>ATEX22</v>
          </cell>
          <cell r="AF4510">
            <v>13</v>
          </cell>
          <cell r="AG4510" t="str">
            <v>EDRN160M4</v>
          </cell>
          <cell r="AH4510" t="str">
            <v>KH127-EDRN160M4B270-X</v>
          </cell>
        </row>
        <row r="4511">
          <cell r="A4511" t="str">
            <v>MR004500</v>
          </cell>
          <cell r="B4511" t="str">
            <v>MR</v>
          </cell>
          <cell r="C4511">
            <v>11</v>
          </cell>
          <cell r="D4511">
            <v>13</v>
          </cell>
          <cell r="E4511" t="str">
            <v>KH127</v>
          </cell>
          <cell r="F4511">
            <v>7860</v>
          </cell>
          <cell r="G4511">
            <v>110.18</v>
          </cell>
          <cell r="H4511">
            <v>1.65</v>
          </cell>
          <cell r="I4511" t="str">
            <v>From M1A to M2A - 10°</v>
          </cell>
          <cell r="J4511" t="str">
            <v>IE3</v>
          </cell>
          <cell r="K4511" t="str">
            <v>230/400</v>
          </cell>
          <cell r="L4511">
            <v>50</v>
          </cell>
          <cell r="M4511" t="str">
            <v>37/21,5</v>
          </cell>
          <cell r="N4511">
            <v>55</v>
          </cell>
          <cell r="O4511" t="str">
            <v>155(F)</v>
          </cell>
          <cell r="P4511" t="str">
            <v>270°</v>
          </cell>
          <cell r="Q4511" t="str">
            <v>TF</v>
          </cell>
          <cell r="R4511" t="str">
            <v>-</v>
          </cell>
          <cell r="S4511" t="str">
            <v>-</v>
          </cell>
          <cell r="T4511" t="str">
            <v>-</v>
          </cell>
          <cell r="U4511" t="str">
            <v>-</v>
          </cell>
          <cell r="V4511" t="str">
            <v>SS</v>
          </cell>
          <cell r="W4511" t="str">
            <v>-</v>
          </cell>
          <cell r="X4511" t="str">
            <v>CLP HC 220 (-25/+60°C)</v>
          </cell>
          <cell r="Y4511" t="str">
            <v>KH127EDRN160M4 /TF</v>
          </cell>
          <cell r="Z4511" t="str">
            <v>SEW</v>
          </cell>
          <cell r="AB4511" t="str">
            <v>ATEX22</v>
          </cell>
          <cell r="AF4511">
            <v>13</v>
          </cell>
          <cell r="AG4511" t="str">
            <v>EDRN160M4</v>
          </cell>
          <cell r="AH4511" t="str">
            <v>KH127-EDRN160M4A270-X</v>
          </cell>
        </row>
        <row r="4512">
          <cell r="A4512" t="str">
            <v>MR004501</v>
          </cell>
          <cell r="B4512" t="str">
            <v>MR</v>
          </cell>
          <cell r="C4512">
            <v>1.5</v>
          </cell>
          <cell r="D4512">
            <v>22</v>
          </cell>
          <cell r="E4512" t="str">
            <v>FA67</v>
          </cell>
          <cell r="F4512">
            <v>665</v>
          </cell>
          <cell r="G4512">
            <v>67.650000000000006</v>
          </cell>
          <cell r="H4512">
            <v>1.1499999999999999</v>
          </cell>
          <cell r="I4512" t="str">
            <v>From M1 to M6 - 80°</v>
          </cell>
          <cell r="J4512" t="str">
            <v>IE3</v>
          </cell>
          <cell r="K4512" t="str">
            <v>230/400</v>
          </cell>
          <cell r="L4512">
            <v>50</v>
          </cell>
          <cell r="M4512" t="str">
            <v>6,1/3,5</v>
          </cell>
          <cell r="N4512">
            <v>55</v>
          </cell>
          <cell r="O4512" t="str">
            <v>155(F)</v>
          </cell>
          <cell r="P4512" t="str">
            <v>270°</v>
          </cell>
          <cell r="Q4512" t="str">
            <v>TF</v>
          </cell>
          <cell r="R4512" t="str">
            <v>-</v>
          </cell>
          <cell r="S4512" t="str">
            <v>-</v>
          </cell>
          <cell r="T4512" t="str">
            <v>BEHF</v>
          </cell>
          <cell r="U4512" t="str">
            <v>G</v>
          </cell>
          <cell r="V4512" t="str">
            <v>D+R</v>
          </cell>
          <cell r="W4512" t="str">
            <v>-</v>
          </cell>
          <cell r="X4512" t="str">
            <v>CLP HC 220 (-25/+60°C)</v>
          </cell>
          <cell r="Y4512" t="str">
            <v>FA67/G EDRN90L4 /BEHF /TF</v>
          </cell>
          <cell r="Z4512" t="str">
            <v>SEW</v>
          </cell>
          <cell r="AB4512" t="str">
            <v>ATEX22</v>
          </cell>
          <cell r="AF4512">
            <v>22</v>
          </cell>
          <cell r="AG4512" t="str">
            <v>EDRN90L4</v>
          </cell>
          <cell r="AH4512" t="str">
            <v>FA67G-EDRN90L4270-X</v>
          </cell>
        </row>
        <row r="4513">
          <cell r="A4513" t="str">
            <v>MR004502</v>
          </cell>
          <cell r="B4513" t="str">
            <v>MR</v>
          </cell>
          <cell r="C4513">
            <v>7.5</v>
          </cell>
          <cell r="D4513">
            <v>13</v>
          </cell>
          <cell r="E4513" t="str">
            <v>KH107</v>
          </cell>
          <cell r="F4513">
            <v>5480</v>
          </cell>
          <cell r="G4513">
            <v>112.41</v>
          </cell>
          <cell r="H4513">
            <v>1.45</v>
          </cell>
          <cell r="I4513" t="str">
            <v>From M1B to M2B - 5°</v>
          </cell>
          <cell r="J4513" t="str">
            <v>IE3</v>
          </cell>
          <cell r="K4513" t="str">
            <v>230/400</v>
          </cell>
          <cell r="L4513">
            <v>50</v>
          </cell>
          <cell r="M4513" t="str">
            <v>27/15,7</v>
          </cell>
          <cell r="N4513">
            <v>55</v>
          </cell>
          <cell r="O4513" t="str">
            <v>155(F)</v>
          </cell>
          <cell r="P4513" t="str">
            <v>270°</v>
          </cell>
          <cell r="Q4513" t="str">
            <v>TF</v>
          </cell>
          <cell r="R4513" t="str">
            <v>-</v>
          </cell>
          <cell r="S4513" t="str">
            <v>-</v>
          </cell>
          <cell r="T4513" t="str">
            <v>-</v>
          </cell>
          <cell r="U4513" t="str">
            <v>-</v>
          </cell>
          <cell r="V4513" t="str">
            <v>SS</v>
          </cell>
          <cell r="W4513" t="str">
            <v>-</v>
          </cell>
          <cell r="X4513" t="str">
            <v>CLP HC 220 (-25/+60°C)</v>
          </cell>
          <cell r="Y4513" t="str">
            <v>KH107EDRN132M4 /TF</v>
          </cell>
          <cell r="Z4513" t="str">
            <v>SEW</v>
          </cell>
          <cell r="AB4513" t="str">
            <v>ATEX22</v>
          </cell>
          <cell r="AF4513">
            <v>13</v>
          </cell>
          <cell r="AG4513" t="str">
            <v>EDRN132M4</v>
          </cell>
          <cell r="AH4513" t="str">
            <v>KH107-EDRN132M4B270-X</v>
          </cell>
        </row>
        <row r="4514">
          <cell r="A4514" t="str">
            <v>MR004503</v>
          </cell>
          <cell r="B4514" t="str">
            <v>MR</v>
          </cell>
          <cell r="C4514">
            <v>7.5</v>
          </cell>
          <cell r="D4514">
            <v>13</v>
          </cell>
          <cell r="E4514" t="str">
            <v>KH107</v>
          </cell>
          <cell r="F4514">
            <v>5480</v>
          </cell>
          <cell r="G4514">
            <v>112.41</v>
          </cell>
          <cell r="H4514">
            <v>1.45</v>
          </cell>
          <cell r="I4514" t="str">
            <v>From M1A to M2A - 5°</v>
          </cell>
          <cell r="J4514" t="str">
            <v>IE3</v>
          </cell>
          <cell r="K4514" t="str">
            <v>230/400</v>
          </cell>
          <cell r="L4514">
            <v>50</v>
          </cell>
          <cell r="M4514" t="str">
            <v>27/15,7</v>
          </cell>
          <cell r="N4514">
            <v>55</v>
          </cell>
          <cell r="O4514" t="str">
            <v>155(F)</v>
          </cell>
          <cell r="P4514" t="str">
            <v>270°</v>
          </cell>
          <cell r="Q4514" t="str">
            <v>TF</v>
          </cell>
          <cell r="R4514" t="str">
            <v>-</v>
          </cell>
          <cell r="S4514" t="str">
            <v>-</v>
          </cell>
          <cell r="T4514" t="str">
            <v>-</v>
          </cell>
          <cell r="U4514" t="str">
            <v>-</v>
          </cell>
          <cell r="V4514" t="str">
            <v>SS</v>
          </cell>
          <cell r="W4514" t="str">
            <v>-</v>
          </cell>
          <cell r="X4514" t="str">
            <v>CLP HC 220 (-25/+60°C)</v>
          </cell>
          <cell r="Y4514" t="str">
            <v>KH107EDRN132M4 /TF</v>
          </cell>
          <cell r="Z4514" t="str">
            <v>SEW</v>
          </cell>
          <cell r="AB4514" t="str">
            <v>ATEX22</v>
          </cell>
          <cell r="AF4514">
            <v>13</v>
          </cell>
          <cell r="AG4514" t="str">
            <v>EDRN132M4</v>
          </cell>
          <cell r="AH4514" t="str">
            <v>KH107-EDRN132M4A270-X</v>
          </cell>
        </row>
        <row r="4515">
          <cell r="A4515" t="str">
            <v>MR004504</v>
          </cell>
          <cell r="B4515" t="str">
            <v>MR</v>
          </cell>
          <cell r="C4515">
            <v>1.5</v>
          </cell>
          <cell r="D4515">
            <v>22</v>
          </cell>
          <cell r="E4515" t="str">
            <v>FA67</v>
          </cell>
          <cell r="F4515">
            <v>665</v>
          </cell>
          <cell r="G4515">
            <v>67.650000000000006</v>
          </cell>
          <cell r="H4515">
            <v>1.1499999999999999</v>
          </cell>
          <cell r="I4515" t="str">
            <v>From M1 to M5 - 85°</v>
          </cell>
          <cell r="J4515" t="str">
            <v>IE3</v>
          </cell>
          <cell r="K4515" t="str">
            <v>230/400</v>
          </cell>
          <cell r="L4515">
            <v>50</v>
          </cell>
          <cell r="M4515" t="str">
            <v>6,1/3,5</v>
          </cell>
          <cell r="N4515">
            <v>55</v>
          </cell>
          <cell r="O4515" t="str">
            <v>155(F)</v>
          </cell>
          <cell r="P4515" t="str">
            <v>270°</v>
          </cell>
          <cell r="Q4515" t="str">
            <v>TF</v>
          </cell>
          <cell r="R4515" t="str">
            <v>-</v>
          </cell>
          <cell r="S4515" t="str">
            <v>-</v>
          </cell>
          <cell r="T4515" t="str">
            <v>BEHF</v>
          </cell>
          <cell r="U4515" t="str">
            <v>G</v>
          </cell>
          <cell r="V4515" t="str">
            <v>D+R</v>
          </cell>
          <cell r="W4515" t="str">
            <v>-</v>
          </cell>
          <cell r="X4515" t="str">
            <v>CLP HC 220 (-25/+60°C)</v>
          </cell>
          <cell r="Y4515" t="str">
            <v>FA67/G EDRN90L4 /BEHF /TF</v>
          </cell>
          <cell r="Z4515" t="str">
            <v>SEW</v>
          </cell>
          <cell r="AB4515" t="str">
            <v>ATEX22</v>
          </cell>
          <cell r="AF4515">
            <v>22</v>
          </cell>
          <cell r="AG4515" t="str">
            <v>EDRN90L4</v>
          </cell>
          <cell r="AH4515" t="str">
            <v>FA67G-EDRN90L4270-X</v>
          </cell>
        </row>
        <row r="4516">
          <cell r="A4516" t="str">
            <v>MR004505</v>
          </cell>
          <cell r="B4516" t="str">
            <v>MR</v>
          </cell>
          <cell r="C4516">
            <v>18.5</v>
          </cell>
          <cell r="D4516">
            <v>102</v>
          </cell>
          <cell r="E4516" t="str">
            <v>KH87</v>
          </cell>
          <cell r="F4516">
            <v>1730</v>
          </cell>
          <cell r="G4516">
            <v>14.45</v>
          </cell>
          <cell r="H4516">
            <v>1.2</v>
          </cell>
          <cell r="I4516" t="str">
            <v>From M1A to M4A - 80°</v>
          </cell>
          <cell r="J4516" t="str">
            <v>IE3</v>
          </cell>
          <cell r="K4516" t="str">
            <v>230/400</v>
          </cell>
          <cell r="L4516">
            <v>50</v>
          </cell>
          <cell r="M4516" t="str">
            <v>61/35</v>
          </cell>
          <cell r="N4516">
            <v>55</v>
          </cell>
          <cell r="O4516" t="str">
            <v>155(F)</v>
          </cell>
          <cell r="P4516" t="str">
            <v>270°</v>
          </cell>
          <cell r="Q4516" t="str">
            <v>TF</v>
          </cell>
          <cell r="R4516" t="str">
            <v>V(VE)</v>
          </cell>
          <cell r="S4516" t="str">
            <v>Free rotation CW</v>
          </cell>
          <cell r="T4516" t="str">
            <v>-</v>
          </cell>
          <cell r="U4516" t="str">
            <v>T</v>
          </cell>
          <cell r="V4516" t="str">
            <v>FC</v>
          </cell>
          <cell r="W4516" t="str">
            <v>-</v>
          </cell>
          <cell r="X4516" t="str">
            <v>CLP HC 220 (-25/+60°C)</v>
          </cell>
          <cell r="Y4516" t="str">
            <v>KH87/T EDRN180M4 /RS /TF/VE</v>
          </cell>
          <cell r="Z4516" t="str">
            <v>SEW</v>
          </cell>
          <cell r="AB4516" t="str">
            <v>ATEX22</v>
          </cell>
          <cell r="AF4516">
            <v>102</v>
          </cell>
          <cell r="AG4516" t="str">
            <v>EDRN180M4</v>
          </cell>
          <cell r="AH4516" t="str">
            <v>KH87T-EDRN180M4A270-X#</v>
          </cell>
        </row>
        <row r="4517">
          <cell r="A4517" t="str">
            <v>MR004506</v>
          </cell>
          <cell r="B4517" t="str">
            <v>MR</v>
          </cell>
          <cell r="C4517">
            <v>0.55000000000000004</v>
          </cell>
          <cell r="D4517">
            <v>6.2</v>
          </cell>
          <cell r="E4517" t="str">
            <v>FH67</v>
          </cell>
          <cell r="F4517">
            <v>765</v>
          </cell>
          <cell r="G4517">
            <v>231</v>
          </cell>
          <cell r="H4517">
            <v>1.05</v>
          </cell>
          <cell r="I4517" t="str">
            <v>From M5 to M3 - 10°</v>
          </cell>
          <cell r="J4517" t="str">
            <v>IE3</v>
          </cell>
          <cell r="K4517" t="str">
            <v>230/400</v>
          </cell>
          <cell r="L4517">
            <v>50</v>
          </cell>
          <cell r="M4517" t="str">
            <v>2,4/1,38</v>
          </cell>
          <cell r="N4517">
            <v>55</v>
          </cell>
          <cell r="O4517" t="str">
            <v>155(F)</v>
          </cell>
          <cell r="P4517" t="str">
            <v>270°</v>
          </cell>
          <cell r="Q4517" t="str">
            <v>TF</v>
          </cell>
          <cell r="R4517" t="str">
            <v>-</v>
          </cell>
          <cell r="S4517" t="str">
            <v>-</v>
          </cell>
          <cell r="T4517" t="str">
            <v>-</v>
          </cell>
          <cell r="U4517" t="str">
            <v>G</v>
          </cell>
          <cell r="V4517" t="str">
            <v>D</v>
          </cell>
          <cell r="W4517" t="str">
            <v>-</v>
          </cell>
          <cell r="X4517" t="str">
            <v>CLP HC 220 (-25/+60°C)</v>
          </cell>
          <cell r="Y4517" t="str">
            <v>FH67/G EDRE80S4 /TF</v>
          </cell>
          <cell r="Z4517" t="str">
            <v>SEW</v>
          </cell>
          <cell r="AB4517" t="str">
            <v>ATEX22</v>
          </cell>
          <cell r="AF4517">
            <v>6.2</v>
          </cell>
          <cell r="AG4517" t="str">
            <v>EDRE80S4</v>
          </cell>
          <cell r="AH4517" t="str">
            <v>FH67G-EDRE80S4270-X</v>
          </cell>
        </row>
        <row r="4518">
          <cell r="A4518" t="str">
            <v>MR004507</v>
          </cell>
          <cell r="B4518" t="str">
            <v>MR</v>
          </cell>
          <cell r="C4518">
            <v>11</v>
          </cell>
          <cell r="D4518">
            <v>109</v>
          </cell>
          <cell r="E4518" t="str">
            <v>KH77</v>
          </cell>
          <cell r="F4518">
            <v>960</v>
          </cell>
          <cell r="G4518">
            <v>13.52</v>
          </cell>
          <cell r="H4518">
            <v>1.35</v>
          </cell>
          <cell r="I4518" t="str">
            <v>From M1A to M4A - 80°</v>
          </cell>
          <cell r="J4518" t="str">
            <v>IE3</v>
          </cell>
          <cell r="K4518" t="str">
            <v>230/400</v>
          </cell>
          <cell r="L4518">
            <v>50</v>
          </cell>
          <cell r="M4518" t="str">
            <v>37/21,5</v>
          </cell>
          <cell r="N4518">
            <v>55</v>
          </cell>
          <cell r="O4518" t="str">
            <v>155(F)</v>
          </cell>
          <cell r="P4518" t="str">
            <v>270°</v>
          </cell>
          <cell r="Q4518" t="str">
            <v>TF</v>
          </cell>
          <cell r="R4518" t="str">
            <v>V(VE)</v>
          </cell>
          <cell r="S4518" t="str">
            <v>Free rotation CW</v>
          </cell>
          <cell r="T4518" t="str">
            <v>-</v>
          </cell>
          <cell r="U4518" t="str">
            <v>T</v>
          </cell>
          <cell r="V4518" t="str">
            <v>FC</v>
          </cell>
          <cell r="W4518" t="str">
            <v>-</v>
          </cell>
          <cell r="X4518" t="str">
            <v>CLP HC 220 (-25/+60°C)</v>
          </cell>
          <cell r="Y4518" t="str">
            <v>KH77/T EDRN160M4 /RS /TF/VE</v>
          </cell>
          <cell r="Z4518" t="str">
            <v>SEW</v>
          </cell>
          <cell r="AB4518" t="str">
            <v>ATEX22</v>
          </cell>
          <cell r="AF4518">
            <v>109</v>
          </cell>
          <cell r="AG4518" t="str">
            <v>EDRN160M4</v>
          </cell>
          <cell r="AH4518" t="str">
            <v>KH77T-EDRN160M4A270-X#</v>
          </cell>
        </row>
        <row r="4519">
          <cell r="A4519" t="str">
            <v>MR004508</v>
          </cell>
          <cell r="B4519" t="str">
            <v>MR</v>
          </cell>
          <cell r="C4519">
            <v>0.75</v>
          </cell>
          <cell r="D4519">
            <v>162</v>
          </cell>
          <cell r="E4519" t="str">
            <v>KA37</v>
          </cell>
          <cell r="F4519">
            <v>44</v>
          </cell>
          <cell r="G4519">
            <v>8.91</v>
          </cell>
          <cell r="H4519">
            <v>3.1</v>
          </cell>
          <cell r="I4519" t="str">
            <v>From M3A to M4A - 10°</v>
          </cell>
          <cell r="J4519" t="str">
            <v>IE3</v>
          </cell>
          <cell r="K4519" t="str">
            <v>230/400</v>
          </cell>
          <cell r="L4519">
            <v>50</v>
          </cell>
          <cell r="M4519" t="str">
            <v>3,1/1,79</v>
          </cell>
          <cell r="N4519">
            <v>55</v>
          </cell>
          <cell r="O4519" t="str">
            <v>155(F)</v>
          </cell>
          <cell r="P4519" t="str">
            <v>270°</v>
          </cell>
          <cell r="Q4519" t="str">
            <v>TF</v>
          </cell>
          <cell r="R4519" t="str">
            <v>-</v>
          </cell>
          <cell r="S4519" t="str">
            <v>-</v>
          </cell>
          <cell r="T4519" t="str">
            <v>-</v>
          </cell>
          <cell r="U4519" t="str">
            <v>T</v>
          </cell>
          <cell r="V4519" t="str">
            <v>D</v>
          </cell>
          <cell r="W4519" t="str">
            <v>-</v>
          </cell>
          <cell r="X4519" t="str">
            <v>CLP HC 220 (-25/+60°C)</v>
          </cell>
          <cell r="Y4519" t="str">
            <v>KA37/T EDRN80M4 /TF</v>
          </cell>
          <cell r="Z4519" t="str">
            <v>SEW</v>
          </cell>
          <cell r="AB4519" t="str">
            <v>ATEX22</v>
          </cell>
          <cell r="AF4519">
            <v>162</v>
          </cell>
          <cell r="AG4519" t="str">
            <v>EDRN80M4</v>
          </cell>
          <cell r="AH4519" t="str">
            <v>KA37T-EDRN80M4A270-X</v>
          </cell>
        </row>
        <row r="4520">
          <cell r="A4520" t="str">
            <v>MR004509</v>
          </cell>
          <cell r="B4520" t="str">
            <v>MR</v>
          </cell>
          <cell r="C4520">
            <v>7.5</v>
          </cell>
          <cell r="D4520">
            <v>59</v>
          </cell>
          <cell r="E4520" t="str">
            <v>KH87</v>
          </cell>
          <cell r="F4520">
            <v>1210</v>
          </cell>
          <cell r="G4520">
            <v>24.92</v>
          </cell>
          <cell r="H4520">
            <v>2.1</v>
          </cell>
          <cell r="I4520" t="str">
            <v>From M4B to M1B - 20°</v>
          </cell>
          <cell r="J4520" t="str">
            <v>IE3</v>
          </cell>
          <cell r="K4520" t="str">
            <v>400/690</v>
          </cell>
          <cell r="L4520">
            <v>50</v>
          </cell>
          <cell r="M4520" t="str">
            <v>15,2/8,8</v>
          </cell>
          <cell r="N4520">
            <v>65</v>
          </cell>
          <cell r="O4520" t="str">
            <v>155(F)</v>
          </cell>
          <cell r="P4520" t="str">
            <v>270°</v>
          </cell>
          <cell r="Q4520" t="str">
            <v>TF</v>
          </cell>
          <cell r="R4520" t="str">
            <v>-</v>
          </cell>
          <cell r="S4520" t="str">
            <v>Free rotation CW</v>
          </cell>
          <cell r="T4520" t="str">
            <v>-</v>
          </cell>
          <cell r="U4520" t="str">
            <v>T</v>
          </cell>
          <cell r="V4520" t="str">
            <v>SS</v>
          </cell>
          <cell r="W4520" t="str">
            <v>-</v>
          </cell>
          <cell r="X4520" t="str">
            <v>CLP 220 (-15/+40°C)</v>
          </cell>
          <cell r="Y4520" t="str">
            <v>KH87/T DRN132M4 /RS /TF</v>
          </cell>
          <cell r="Z4520" t="str">
            <v>SEW</v>
          </cell>
          <cell r="AB4520" t="str">
            <v>-</v>
          </cell>
          <cell r="AF4520">
            <v>59</v>
          </cell>
          <cell r="AG4520" t="str">
            <v>DRN132M4</v>
          </cell>
          <cell r="AH4520" t="str">
            <v>KH87T-DRN132M4B270-X</v>
          </cell>
        </row>
        <row r="4521">
          <cell r="A4521" t="str">
            <v>MR004510</v>
          </cell>
          <cell r="B4521" t="str">
            <v>MR</v>
          </cell>
          <cell r="C4521">
            <v>7.5</v>
          </cell>
          <cell r="D4521">
            <v>59</v>
          </cell>
          <cell r="E4521" t="str">
            <v>KH87</v>
          </cell>
          <cell r="F4521">
            <v>1210</v>
          </cell>
          <cell r="G4521">
            <v>24.92</v>
          </cell>
          <cell r="H4521">
            <v>2.1</v>
          </cell>
          <cell r="I4521" t="str">
            <v>From M4A to M3A - 10°</v>
          </cell>
          <cell r="J4521" t="str">
            <v>IE3</v>
          </cell>
          <cell r="K4521" t="str">
            <v>400/690</v>
          </cell>
          <cell r="L4521">
            <v>50</v>
          </cell>
          <cell r="M4521" t="str">
            <v>15,2/8,8</v>
          </cell>
          <cell r="N4521">
            <v>65</v>
          </cell>
          <cell r="O4521" t="str">
            <v>155(F)</v>
          </cell>
          <cell r="P4521" t="str">
            <v>270°</v>
          </cell>
          <cell r="Q4521" t="str">
            <v>TF</v>
          </cell>
          <cell r="R4521" t="str">
            <v>-</v>
          </cell>
          <cell r="S4521" t="str">
            <v>-</v>
          </cell>
          <cell r="T4521" t="str">
            <v>-</v>
          </cell>
          <cell r="U4521" t="str">
            <v>T</v>
          </cell>
          <cell r="V4521" t="str">
            <v>SS</v>
          </cell>
          <cell r="W4521" t="str">
            <v>-</v>
          </cell>
          <cell r="X4521" t="str">
            <v>CLP 220 (-15/+40°C)</v>
          </cell>
          <cell r="Y4521" t="str">
            <v>KH87/T DRN132M4 /TF</v>
          </cell>
          <cell r="Z4521" t="str">
            <v>SEW</v>
          </cell>
          <cell r="AB4521" t="str">
            <v>-</v>
          </cell>
          <cell r="AF4521">
            <v>59</v>
          </cell>
          <cell r="AG4521" t="str">
            <v>DRN132M4</v>
          </cell>
          <cell r="AH4521" t="str">
            <v>KH87T-DRN132M4A270-X</v>
          </cell>
        </row>
        <row r="4522">
          <cell r="A4522" t="str">
            <v>MR004511</v>
          </cell>
          <cell r="B4522" t="str">
            <v>MR</v>
          </cell>
          <cell r="C4522">
            <v>0.75</v>
          </cell>
          <cell r="D4522">
            <v>6.4</v>
          </cell>
          <cell r="E4522" t="str">
            <v>FH77</v>
          </cell>
          <cell r="F4522">
            <v>1120</v>
          </cell>
          <cell r="G4522">
            <v>225.79</v>
          </cell>
          <cell r="H4522">
            <v>1.35</v>
          </cell>
          <cell r="I4522" t="str">
            <v>From M6 to M3 - 20°</v>
          </cell>
          <cell r="J4522" t="str">
            <v>IE3</v>
          </cell>
          <cell r="K4522" t="str">
            <v>230/400</v>
          </cell>
          <cell r="L4522">
            <v>50</v>
          </cell>
          <cell r="M4522" t="str">
            <v>3,05/1,75</v>
          </cell>
          <cell r="N4522">
            <v>65</v>
          </cell>
          <cell r="O4522" t="str">
            <v>155(F)</v>
          </cell>
          <cell r="P4522" t="str">
            <v>0°</v>
          </cell>
          <cell r="Q4522" t="str">
            <v>TF</v>
          </cell>
          <cell r="R4522" t="str">
            <v>-</v>
          </cell>
          <cell r="S4522" t="str">
            <v>-</v>
          </cell>
          <cell r="T4522" t="str">
            <v>-</v>
          </cell>
          <cell r="U4522" t="str">
            <v>G</v>
          </cell>
          <cell r="V4522" t="str">
            <v>D</v>
          </cell>
          <cell r="W4522" t="str">
            <v>-</v>
          </cell>
          <cell r="X4522" t="str">
            <v>CLP 220 (-15/+40°C)</v>
          </cell>
          <cell r="Y4522" t="str">
            <v>FH77/G DRN80M4 /TF</v>
          </cell>
          <cell r="Z4522" t="str">
            <v>SEW</v>
          </cell>
          <cell r="AB4522" t="str">
            <v>-</v>
          </cell>
          <cell r="AF4522">
            <v>6.4</v>
          </cell>
          <cell r="AG4522" t="str">
            <v>DRN80M4</v>
          </cell>
          <cell r="AH4522" t="str">
            <v>FH77G-DRN80M40-X</v>
          </cell>
        </row>
        <row r="4523">
          <cell r="A4523" t="str">
            <v>MR004512</v>
          </cell>
          <cell r="B4523" t="str">
            <v>MR</v>
          </cell>
          <cell r="C4523">
            <v>2.2000000000000002</v>
          </cell>
          <cell r="D4523">
            <v>84</v>
          </cell>
          <cell r="E4523" t="str">
            <v>FH47</v>
          </cell>
          <cell r="F4523">
            <v>250</v>
          </cell>
          <cell r="G4523">
            <v>17.329999999999998</v>
          </cell>
          <cell r="H4523">
            <v>1.6</v>
          </cell>
          <cell r="I4523" t="str">
            <v>M5</v>
          </cell>
          <cell r="J4523" t="str">
            <v>IE3</v>
          </cell>
          <cell r="K4523" t="str">
            <v>230/400</v>
          </cell>
          <cell r="L4523">
            <v>50</v>
          </cell>
          <cell r="M4523" t="str">
            <v>8,3/4,75</v>
          </cell>
          <cell r="N4523">
            <v>65</v>
          </cell>
          <cell r="O4523" t="str">
            <v>155(F)</v>
          </cell>
          <cell r="P4523" t="str">
            <v>180°</v>
          </cell>
          <cell r="Q4523" t="str">
            <v>TF</v>
          </cell>
          <cell r="R4523" t="str">
            <v>-</v>
          </cell>
          <cell r="S4523" t="str">
            <v>-</v>
          </cell>
          <cell r="T4523" t="str">
            <v>-</v>
          </cell>
          <cell r="U4523" t="str">
            <v>G</v>
          </cell>
          <cell r="V4523" t="str">
            <v>D</v>
          </cell>
          <cell r="W4523" t="str">
            <v>-</v>
          </cell>
          <cell r="X4523" t="str">
            <v>CLP 220 (-15/+40°C)</v>
          </cell>
          <cell r="Y4523" t="str">
            <v>FH47/G DRN100LS4 /TF</v>
          </cell>
          <cell r="Z4523" t="str">
            <v>SEW</v>
          </cell>
          <cell r="AB4523" t="str">
            <v>-</v>
          </cell>
          <cell r="AF4523">
            <v>84</v>
          </cell>
          <cell r="AG4523" t="str">
            <v>DRN100LS4</v>
          </cell>
          <cell r="AH4523" t="str">
            <v>FH47G-DRN100LS4180-X</v>
          </cell>
        </row>
        <row r="4524">
          <cell r="A4524" t="str">
            <v>MR004513</v>
          </cell>
          <cell r="B4524" t="str">
            <v>MR</v>
          </cell>
          <cell r="C4524">
            <v>11</v>
          </cell>
          <cell r="D4524">
            <v>59</v>
          </cell>
          <cell r="E4524" t="str">
            <v>KH87</v>
          </cell>
          <cell r="F4524">
            <v>1770</v>
          </cell>
          <cell r="G4524" t="str">
            <v>24,92</v>
          </cell>
          <cell r="H4524" t="str">
            <v>1,4</v>
          </cell>
          <cell r="I4524" t="str">
            <v>From M4B to M1B - 20°</v>
          </cell>
          <cell r="J4524" t="str">
            <v>IE3</v>
          </cell>
          <cell r="K4524" t="str">
            <v>400/690</v>
          </cell>
          <cell r="L4524">
            <v>50</v>
          </cell>
          <cell r="M4524" t="str">
            <v>21/12,2</v>
          </cell>
          <cell r="N4524">
            <v>65</v>
          </cell>
          <cell r="O4524" t="str">
            <v>155(F)</v>
          </cell>
          <cell r="P4524" t="str">
            <v>270°</v>
          </cell>
          <cell r="Q4524" t="str">
            <v>TF</v>
          </cell>
          <cell r="R4524" t="str">
            <v>-</v>
          </cell>
          <cell r="S4524" t="str">
            <v>Free rotation CW</v>
          </cell>
          <cell r="T4524" t="str">
            <v>-</v>
          </cell>
          <cell r="U4524" t="str">
            <v>T</v>
          </cell>
          <cell r="V4524" t="str">
            <v>SS</v>
          </cell>
          <cell r="W4524" t="str">
            <v>-</v>
          </cell>
          <cell r="X4524" t="str">
            <v>CLP 220 (-15/+40°C)</v>
          </cell>
          <cell r="Y4524" t="str">
            <v>KH87/T DRN160M4 /RS /TF</v>
          </cell>
          <cell r="Z4524" t="str">
            <v>SEW</v>
          </cell>
          <cell r="AB4524" t="str">
            <v>-</v>
          </cell>
          <cell r="AF4524">
            <v>59</v>
          </cell>
          <cell r="AG4524" t="str">
            <v>DRN160M4</v>
          </cell>
          <cell r="AH4524" t="str">
            <v>KH87T-DRN160M4B270-X</v>
          </cell>
        </row>
        <row r="4525">
          <cell r="A4525" t="str">
            <v>MR004514</v>
          </cell>
          <cell r="B4525" t="str">
            <v>MR</v>
          </cell>
          <cell r="C4525">
            <v>4</v>
          </cell>
          <cell r="D4525">
            <v>61</v>
          </cell>
          <cell r="E4525" t="str">
            <v>KH67</v>
          </cell>
          <cell r="F4525">
            <v>625</v>
          </cell>
          <cell r="G4525">
            <v>24</v>
          </cell>
          <cell r="H4525">
            <v>1.1000000000000001</v>
          </cell>
          <cell r="I4525" t="str">
            <v>From M4B to M1B - 10°</v>
          </cell>
          <cell r="J4525" t="str">
            <v>IE3</v>
          </cell>
          <cell r="K4525" t="str">
            <v>230/400</v>
          </cell>
          <cell r="L4525">
            <v>50</v>
          </cell>
          <cell r="M4525" t="str">
            <v>14,2/8,2</v>
          </cell>
          <cell r="N4525">
            <v>65</v>
          </cell>
          <cell r="O4525" t="str">
            <v>155(F)</v>
          </cell>
          <cell r="P4525" t="str">
            <v>270°</v>
          </cell>
          <cell r="Q4525" t="str">
            <v>TF</v>
          </cell>
          <cell r="R4525" t="str">
            <v>-</v>
          </cell>
          <cell r="S4525" t="str">
            <v>-</v>
          </cell>
          <cell r="T4525" t="str">
            <v>-</v>
          </cell>
          <cell r="U4525" t="str">
            <v>T</v>
          </cell>
          <cell r="V4525" t="str">
            <v>SS+R</v>
          </cell>
          <cell r="W4525" t="str">
            <v>-</v>
          </cell>
          <cell r="X4525" t="str">
            <v>CLP HC 150 (-30/+50°C)</v>
          </cell>
          <cell r="Y4525" t="str">
            <v>KH67/T EDRN112M4 /TF</v>
          </cell>
          <cell r="Z4525" t="str">
            <v>SEW</v>
          </cell>
          <cell r="AB4525" t="str">
            <v>ATEX22</v>
          </cell>
          <cell r="AF4525">
            <v>61</v>
          </cell>
          <cell r="AG4525" t="str">
            <v>EDRN112M4</v>
          </cell>
          <cell r="AH4525" t="str">
            <v>KH67T-EDRN112M4B270-X</v>
          </cell>
        </row>
        <row r="4526">
          <cell r="A4526" t="str">
            <v>MR004515</v>
          </cell>
          <cell r="B4526" t="str">
            <v>MR</v>
          </cell>
          <cell r="C4526">
            <v>4</v>
          </cell>
          <cell r="D4526">
            <v>61</v>
          </cell>
          <cell r="E4526" t="str">
            <v>KH67</v>
          </cell>
          <cell r="F4526">
            <v>625</v>
          </cell>
          <cell r="G4526">
            <v>24</v>
          </cell>
          <cell r="H4526">
            <v>1.1000000000000001</v>
          </cell>
          <cell r="I4526" t="str">
            <v>From M4A to M3A - 10°</v>
          </cell>
          <cell r="J4526" t="str">
            <v>IE3</v>
          </cell>
          <cell r="K4526" t="str">
            <v>230/400</v>
          </cell>
          <cell r="L4526">
            <v>50</v>
          </cell>
          <cell r="M4526" t="str">
            <v>14,2/8,2</v>
          </cell>
          <cell r="N4526">
            <v>65</v>
          </cell>
          <cell r="O4526" t="str">
            <v>155(F)</v>
          </cell>
          <cell r="P4526" t="str">
            <v>270°</v>
          </cell>
          <cell r="Q4526" t="str">
            <v>TF</v>
          </cell>
          <cell r="R4526" t="str">
            <v>-</v>
          </cell>
          <cell r="S4526" t="str">
            <v>-</v>
          </cell>
          <cell r="T4526" t="str">
            <v>-</v>
          </cell>
          <cell r="U4526" t="str">
            <v>T</v>
          </cell>
          <cell r="V4526" t="str">
            <v>SS+R</v>
          </cell>
          <cell r="W4526" t="str">
            <v>-</v>
          </cell>
          <cell r="X4526" t="str">
            <v>CLP HC 150 (-30/+50°C)</v>
          </cell>
          <cell r="Y4526" t="str">
            <v>KH67/T EDRN112M4 /TF</v>
          </cell>
          <cell r="Z4526" t="str">
            <v>SEW</v>
          </cell>
          <cell r="AB4526" t="str">
            <v>ATEX22</v>
          </cell>
          <cell r="AF4526">
            <v>61</v>
          </cell>
          <cell r="AG4526" t="str">
            <v>EDRN112M4</v>
          </cell>
          <cell r="AH4526" t="str">
            <v>KH67T-EDRN112M4A270-X</v>
          </cell>
        </row>
        <row r="4527">
          <cell r="A4527" t="str">
            <v>MR004516</v>
          </cell>
          <cell r="B4527" t="str">
            <v>MR</v>
          </cell>
          <cell r="C4527">
            <v>0.75</v>
          </cell>
          <cell r="D4527">
            <v>6.4</v>
          </cell>
          <cell r="E4527" t="str">
            <v>FH77</v>
          </cell>
          <cell r="F4527">
            <v>1120</v>
          </cell>
          <cell r="G4527">
            <v>225.79</v>
          </cell>
          <cell r="H4527">
            <v>1.35</v>
          </cell>
          <cell r="I4527" t="str">
            <v>From M6 to M3 - 10°</v>
          </cell>
          <cell r="J4527" t="str">
            <v>IE3</v>
          </cell>
          <cell r="K4527" t="str">
            <v>230/400</v>
          </cell>
          <cell r="L4527">
            <v>50</v>
          </cell>
          <cell r="M4527" t="str">
            <v>3,1/1,79</v>
          </cell>
          <cell r="N4527">
            <v>65</v>
          </cell>
          <cell r="O4527" t="str">
            <v>155(F)</v>
          </cell>
          <cell r="P4527" t="str">
            <v>270°</v>
          </cell>
          <cell r="Q4527" t="str">
            <v>TF</v>
          </cell>
          <cell r="R4527" t="str">
            <v>-</v>
          </cell>
          <cell r="S4527" t="str">
            <v>-</v>
          </cell>
          <cell r="T4527" t="str">
            <v>-</v>
          </cell>
          <cell r="U4527" t="str">
            <v>G</v>
          </cell>
          <cell r="V4527" t="str">
            <v>D</v>
          </cell>
          <cell r="W4527" t="str">
            <v>-</v>
          </cell>
          <cell r="X4527" t="str">
            <v>CLP HC 150 (-30/+50°C)</v>
          </cell>
          <cell r="Y4527" t="str">
            <v>FH77/G EDRN80M4 /TF</v>
          </cell>
          <cell r="Z4527" t="str">
            <v>SEW</v>
          </cell>
          <cell r="AB4527" t="str">
            <v>ATEX22</v>
          </cell>
          <cell r="AF4527">
            <v>6.4</v>
          </cell>
          <cell r="AG4527" t="str">
            <v>EDRN80M4</v>
          </cell>
          <cell r="AH4527" t="str">
            <v>FH77G-EDRN80M4270-X</v>
          </cell>
        </row>
        <row r="4528">
          <cell r="A4528" t="str">
            <v>MR004517</v>
          </cell>
          <cell r="B4528" t="str">
            <v>MR</v>
          </cell>
          <cell r="C4528">
            <v>5.5</v>
          </cell>
          <cell r="D4528">
            <v>17</v>
          </cell>
          <cell r="E4528" t="str">
            <v>KH97</v>
          </cell>
          <cell r="F4528">
            <v>3110</v>
          </cell>
          <cell r="G4528">
            <v>86.52</v>
          </cell>
          <cell r="H4528">
            <v>1.4</v>
          </cell>
          <cell r="I4528" t="str">
            <v>From M1B to M2B - 30°</v>
          </cell>
          <cell r="J4528" t="str">
            <v>IE3</v>
          </cell>
          <cell r="K4528" t="str">
            <v>230/400</v>
          </cell>
          <cell r="L4528">
            <v>50</v>
          </cell>
          <cell r="M4528" t="str">
            <v>18,2/10,5</v>
          </cell>
          <cell r="N4528">
            <v>65</v>
          </cell>
          <cell r="O4528" t="str">
            <v>155(F)</v>
          </cell>
          <cell r="P4528" t="str">
            <v>0°</v>
          </cell>
          <cell r="Q4528" t="str">
            <v>TF</v>
          </cell>
          <cell r="R4528" t="str">
            <v>V(VE)</v>
          </cell>
          <cell r="S4528" t="str">
            <v>-</v>
          </cell>
          <cell r="T4528" t="str">
            <v>-</v>
          </cell>
          <cell r="U4528" t="str">
            <v>-</v>
          </cell>
          <cell r="V4528" t="str">
            <v>FC</v>
          </cell>
          <cell r="W4528" t="str">
            <v>-</v>
          </cell>
          <cell r="X4528" t="str">
            <v>CLP 220 (-15/+40°C)</v>
          </cell>
          <cell r="Y4528" t="str">
            <v>KH97DRN132S4 /TF/V</v>
          </cell>
          <cell r="Z4528" t="str">
            <v>SEW</v>
          </cell>
          <cell r="AB4528" t="str">
            <v>-</v>
          </cell>
          <cell r="AF4528">
            <v>17</v>
          </cell>
          <cell r="AG4528" t="str">
            <v>DRN132S4</v>
          </cell>
          <cell r="AH4528" t="str">
            <v>KH97-DRN132S4B0-X#</v>
          </cell>
        </row>
        <row r="4529">
          <cell r="A4529" t="str">
            <v>MR004518</v>
          </cell>
          <cell r="B4529" t="str">
            <v>MR</v>
          </cell>
          <cell r="C4529">
            <v>5.5</v>
          </cell>
          <cell r="D4529">
            <v>17</v>
          </cell>
          <cell r="E4529" t="str">
            <v>KH97</v>
          </cell>
          <cell r="F4529">
            <v>3110</v>
          </cell>
          <cell r="G4529">
            <v>86.52</v>
          </cell>
          <cell r="H4529">
            <v>1.4</v>
          </cell>
          <cell r="I4529" t="str">
            <v>From M1A to M2A - 30°</v>
          </cell>
          <cell r="J4529" t="str">
            <v>IE3</v>
          </cell>
          <cell r="K4529" t="str">
            <v>230/400</v>
          </cell>
          <cell r="L4529">
            <v>50</v>
          </cell>
          <cell r="M4529" t="str">
            <v>18,2/10,5</v>
          </cell>
          <cell r="N4529">
            <v>65</v>
          </cell>
          <cell r="O4529" t="str">
            <v>155(F)</v>
          </cell>
          <cell r="P4529" t="str">
            <v>180°</v>
          </cell>
          <cell r="Q4529" t="str">
            <v>TF</v>
          </cell>
          <cell r="R4529" t="str">
            <v>V(VE)</v>
          </cell>
          <cell r="S4529" t="str">
            <v>-</v>
          </cell>
          <cell r="T4529" t="str">
            <v>-</v>
          </cell>
          <cell r="U4529" t="str">
            <v>-</v>
          </cell>
          <cell r="V4529" t="str">
            <v>FC</v>
          </cell>
          <cell r="W4529" t="str">
            <v>-</v>
          </cell>
          <cell r="X4529" t="str">
            <v>CLP 220 (-15/+40°C)</v>
          </cell>
          <cell r="Y4529" t="str">
            <v>KH97DRN132S4 /TF/V</v>
          </cell>
          <cell r="Z4529" t="str">
            <v>SEW</v>
          </cell>
          <cell r="AB4529" t="str">
            <v>-</v>
          </cell>
          <cell r="AF4529">
            <v>17</v>
          </cell>
          <cell r="AG4529" t="str">
            <v>DRN132S4</v>
          </cell>
          <cell r="AH4529" t="str">
            <v>KH97-DRN132S4A180-X#</v>
          </cell>
        </row>
        <row r="4530">
          <cell r="A4530" t="str">
            <v>MR004519</v>
          </cell>
          <cell r="B4530" t="str">
            <v>MR</v>
          </cell>
          <cell r="C4530">
            <v>37</v>
          </cell>
          <cell r="D4530">
            <v>110</v>
          </cell>
          <cell r="E4530" t="str">
            <v>KH107</v>
          </cell>
          <cell r="F4530">
            <v>3200</v>
          </cell>
          <cell r="G4530">
            <v>13.43</v>
          </cell>
          <cell r="H4530">
            <v>1.35</v>
          </cell>
          <cell r="I4530" t="str">
            <v>M4B</v>
          </cell>
          <cell r="J4530" t="str">
            <v>IE3</v>
          </cell>
          <cell r="K4530" t="str">
            <v>400/690</v>
          </cell>
          <cell r="L4530">
            <v>50</v>
          </cell>
          <cell r="M4530" t="str">
            <v>64/37</v>
          </cell>
          <cell r="N4530">
            <v>65</v>
          </cell>
          <cell r="O4530" t="str">
            <v>155(F)</v>
          </cell>
          <cell r="P4530" t="str">
            <v>270°</v>
          </cell>
          <cell r="Q4530" t="str">
            <v>TF</v>
          </cell>
          <cell r="R4530" t="str">
            <v>V(VE)</v>
          </cell>
          <cell r="S4530" t="str">
            <v>Free rotation CW</v>
          </cell>
          <cell r="T4530" t="str">
            <v>-</v>
          </cell>
          <cell r="U4530" t="str">
            <v>T</v>
          </cell>
          <cell r="V4530" t="str">
            <v>FC</v>
          </cell>
          <cell r="W4530" t="str">
            <v>-</v>
          </cell>
          <cell r="X4530" t="str">
            <v>CLP 220 (-15/+40°C)</v>
          </cell>
          <cell r="Y4530" t="str">
            <v>KH107/T DRN225S4 /RS /TF/V</v>
          </cell>
          <cell r="Z4530" t="str">
            <v>SEW</v>
          </cell>
          <cell r="AB4530" t="str">
            <v>-</v>
          </cell>
          <cell r="AF4530">
            <v>110</v>
          </cell>
          <cell r="AG4530" t="str">
            <v>DRN225S4</v>
          </cell>
          <cell r="AH4530" t="str">
            <v>KH107T-DRN225S4B270-X#</v>
          </cell>
        </row>
        <row r="4531">
          <cell r="A4531" t="str">
            <v>MR004520</v>
          </cell>
          <cell r="B4531" t="str">
            <v>MR</v>
          </cell>
          <cell r="C4531">
            <v>0.75</v>
          </cell>
          <cell r="D4531">
            <v>162</v>
          </cell>
          <cell r="E4531" t="str">
            <v>KA37</v>
          </cell>
          <cell r="F4531">
            <v>44</v>
          </cell>
          <cell r="G4531">
            <v>8.91</v>
          </cell>
          <cell r="H4531">
            <v>3.6</v>
          </cell>
          <cell r="I4531" t="str">
            <v>M3B</v>
          </cell>
          <cell r="J4531" t="str">
            <v>IE3</v>
          </cell>
          <cell r="K4531" t="str">
            <v>230/400</v>
          </cell>
          <cell r="L4531">
            <v>50</v>
          </cell>
          <cell r="M4531" t="str">
            <v>3,05/1,75</v>
          </cell>
          <cell r="N4531">
            <v>65</v>
          </cell>
          <cell r="O4531" t="str">
            <v>155(F)</v>
          </cell>
          <cell r="P4531" t="str">
            <v>0°</v>
          </cell>
          <cell r="Q4531" t="str">
            <v>TF</v>
          </cell>
          <cell r="R4531" t="str">
            <v>-</v>
          </cell>
          <cell r="S4531" t="str">
            <v>-</v>
          </cell>
          <cell r="T4531" t="str">
            <v>-</v>
          </cell>
          <cell r="U4531" t="str">
            <v>T</v>
          </cell>
          <cell r="V4531" t="str">
            <v>D</v>
          </cell>
          <cell r="W4531" t="str">
            <v>-</v>
          </cell>
          <cell r="X4531" t="str">
            <v>CLP 220 (-15/+40°C)</v>
          </cell>
          <cell r="Y4531" t="str">
            <v>KA37/T DRN80M4 /TF</v>
          </cell>
          <cell r="Z4531" t="str">
            <v>SEW</v>
          </cell>
          <cell r="AB4531" t="str">
            <v>-</v>
          </cell>
          <cell r="AF4531">
            <v>162</v>
          </cell>
          <cell r="AG4531" t="str">
            <v>DRN80M4</v>
          </cell>
          <cell r="AH4531" t="str">
            <v>KA37T-DRN80M4B0-X</v>
          </cell>
        </row>
        <row r="4532">
          <cell r="A4532" t="str">
            <v>MR004521</v>
          </cell>
          <cell r="B4532" t="str">
            <v>MR</v>
          </cell>
          <cell r="C4532">
            <v>0.37</v>
          </cell>
          <cell r="D4532">
            <v>6.2</v>
          </cell>
          <cell r="E4532" t="str">
            <v>FH67</v>
          </cell>
          <cell r="F4532">
            <v>570</v>
          </cell>
          <cell r="G4532">
            <v>229</v>
          </cell>
          <cell r="H4532">
            <v>1.45</v>
          </cell>
          <cell r="I4532" t="str">
            <v>M6</v>
          </cell>
          <cell r="J4532" t="str">
            <v>IE3</v>
          </cell>
          <cell r="K4532" t="str">
            <v>230/400</v>
          </cell>
          <cell r="L4532">
            <v>50</v>
          </cell>
          <cell r="M4532" t="str">
            <v>1,78/1,02</v>
          </cell>
          <cell r="N4532">
            <v>65</v>
          </cell>
          <cell r="O4532" t="str">
            <v>155(F)</v>
          </cell>
          <cell r="P4532" t="str">
            <v>270°</v>
          </cell>
          <cell r="Q4532" t="str">
            <v>TF</v>
          </cell>
          <cell r="R4532" t="str">
            <v>-</v>
          </cell>
          <cell r="S4532" t="str">
            <v>-</v>
          </cell>
          <cell r="T4532" t="str">
            <v>-</v>
          </cell>
          <cell r="U4532" t="str">
            <v>G</v>
          </cell>
          <cell r="V4532" t="str">
            <v>D</v>
          </cell>
          <cell r="W4532" t="str">
            <v>-</v>
          </cell>
          <cell r="X4532" t="str">
            <v>CLP 220 (-15/+40°C)</v>
          </cell>
          <cell r="Y4532" t="str">
            <v>FH67/G DRN71M4 /TF</v>
          </cell>
          <cell r="Z4532" t="str">
            <v>SEW</v>
          </cell>
          <cell r="AB4532" t="str">
            <v>-</v>
          </cell>
          <cell r="AF4532">
            <v>6.2</v>
          </cell>
          <cell r="AG4532" t="str">
            <v>DRN71M4</v>
          </cell>
          <cell r="AH4532" t="str">
            <v>FH67G-DRN71M4270-X</v>
          </cell>
        </row>
        <row r="4533">
          <cell r="A4533" t="str">
            <v>MR004522</v>
          </cell>
          <cell r="B4533" t="str">
            <v>MR</v>
          </cell>
          <cell r="C4533">
            <v>22</v>
          </cell>
          <cell r="D4533">
            <v>12</v>
          </cell>
          <cell r="E4533" t="str">
            <v>KH157</v>
          </cell>
          <cell r="F4533">
            <v>17400</v>
          </cell>
          <cell r="G4533">
            <v>122.39</v>
          </cell>
          <cell r="H4533">
            <v>1.1499999999999999</v>
          </cell>
          <cell r="I4533" t="str">
            <v>From M1B to M2B - 40°</v>
          </cell>
          <cell r="J4533" t="str">
            <v>IE3</v>
          </cell>
          <cell r="K4533" t="str">
            <v>400/690</v>
          </cell>
          <cell r="L4533">
            <v>50</v>
          </cell>
          <cell r="M4533" t="str">
            <v>38,5/22,5</v>
          </cell>
          <cell r="N4533">
            <v>65</v>
          </cell>
          <cell r="O4533" t="str">
            <v>155(F)</v>
          </cell>
          <cell r="P4533" t="str">
            <v>270°</v>
          </cell>
          <cell r="Q4533" t="str">
            <v>TF</v>
          </cell>
          <cell r="R4533" t="str">
            <v>-</v>
          </cell>
          <cell r="S4533" t="str">
            <v>-</v>
          </cell>
          <cell r="T4533" t="str">
            <v>-</v>
          </cell>
          <cell r="U4533" t="str">
            <v>-</v>
          </cell>
          <cell r="V4533" t="str">
            <v>SS</v>
          </cell>
          <cell r="W4533" t="str">
            <v>-</v>
          </cell>
          <cell r="X4533" t="str">
            <v>CLP 220 (-15/+40°C)</v>
          </cell>
          <cell r="Y4533" t="str">
            <v>KH157DRN180L4 /TF</v>
          </cell>
          <cell r="Z4533" t="str">
            <v>SEW</v>
          </cell>
          <cell r="AB4533" t="str">
            <v>-</v>
          </cell>
          <cell r="AF4533">
            <v>12</v>
          </cell>
          <cell r="AG4533" t="str">
            <v>DRN180L4</v>
          </cell>
          <cell r="AH4533" t="str">
            <v>KH157-DRN180L4B270-X</v>
          </cell>
        </row>
        <row r="4534">
          <cell r="A4534" t="str">
            <v>MR004523</v>
          </cell>
          <cell r="B4534" t="str">
            <v>MR</v>
          </cell>
          <cell r="C4534">
            <v>7.5</v>
          </cell>
          <cell r="D4534">
            <v>59</v>
          </cell>
          <cell r="E4534" t="str">
            <v>KH87</v>
          </cell>
          <cell r="F4534">
            <v>1220</v>
          </cell>
          <cell r="G4534">
            <v>24.92</v>
          </cell>
          <cell r="H4534">
            <v>2</v>
          </cell>
          <cell r="I4534" t="str">
            <v>From M4B to M1B - 15°</v>
          </cell>
          <cell r="J4534" t="str">
            <v>IE3</v>
          </cell>
          <cell r="K4534" t="str">
            <v>400/690</v>
          </cell>
          <cell r="L4534">
            <v>50</v>
          </cell>
          <cell r="M4534" t="str">
            <v>15,7/9</v>
          </cell>
          <cell r="N4534">
            <v>65</v>
          </cell>
          <cell r="O4534" t="str">
            <v>155(F)</v>
          </cell>
          <cell r="P4534" t="str">
            <v>270°</v>
          </cell>
          <cell r="Q4534" t="str">
            <v>TF</v>
          </cell>
          <cell r="R4534" t="str">
            <v>-</v>
          </cell>
          <cell r="S4534" t="str">
            <v>Free rotation CW</v>
          </cell>
          <cell r="T4534" t="str">
            <v>-</v>
          </cell>
          <cell r="U4534" t="str">
            <v>T</v>
          </cell>
          <cell r="V4534" t="str">
            <v>SS</v>
          </cell>
          <cell r="W4534" t="str">
            <v>-</v>
          </cell>
          <cell r="X4534" t="str">
            <v>CLP 220 (-15/+40°C)</v>
          </cell>
          <cell r="Y4534" t="str">
            <v>KH87/T DRN132M4 /RS /TF</v>
          </cell>
          <cell r="Z4534" t="str">
            <v>SEW</v>
          </cell>
          <cell r="AB4534" t="str">
            <v>-</v>
          </cell>
          <cell r="AF4534">
            <v>59</v>
          </cell>
          <cell r="AG4534" t="str">
            <v>DRN132M4</v>
          </cell>
          <cell r="AH4534" t="str">
            <v>KH87T-DRN132M4B270-X</v>
          </cell>
        </row>
        <row r="4535">
          <cell r="A4535" t="str">
            <v>MR004524</v>
          </cell>
          <cell r="B4535" t="str">
            <v>MR</v>
          </cell>
          <cell r="C4535">
            <v>0.75</v>
          </cell>
          <cell r="D4535">
            <v>6.4</v>
          </cell>
          <cell r="E4535" t="str">
            <v>FH77</v>
          </cell>
          <cell r="F4535">
            <v>1120</v>
          </cell>
          <cell r="G4535">
            <v>225.79</v>
          </cell>
          <cell r="H4535">
            <v>1.35</v>
          </cell>
          <cell r="I4535" t="str">
            <v>From M6 to M3 - 15°</v>
          </cell>
          <cell r="J4535" t="str">
            <v>IE3</v>
          </cell>
          <cell r="K4535" t="str">
            <v>230/400</v>
          </cell>
          <cell r="L4535">
            <v>50</v>
          </cell>
          <cell r="M4535" t="str">
            <v>3,1/1,79</v>
          </cell>
          <cell r="N4535">
            <v>65</v>
          </cell>
          <cell r="O4535" t="str">
            <v>155(F)</v>
          </cell>
          <cell r="P4535" t="str">
            <v>270°</v>
          </cell>
          <cell r="Q4535" t="str">
            <v>TF</v>
          </cell>
          <cell r="R4535" t="str">
            <v>-</v>
          </cell>
          <cell r="S4535" t="str">
            <v>-</v>
          </cell>
          <cell r="T4535" t="str">
            <v>-</v>
          </cell>
          <cell r="U4535" t="str">
            <v>G</v>
          </cell>
          <cell r="V4535" t="str">
            <v>D</v>
          </cell>
          <cell r="W4535" t="str">
            <v>-</v>
          </cell>
          <cell r="X4535" t="str">
            <v>CLP 220 (-15/+40°C)</v>
          </cell>
          <cell r="Y4535" t="str">
            <v>FH77/G DRN80M4 /TF</v>
          </cell>
          <cell r="Z4535" t="str">
            <v>SEW</v>
          </cell>
          <cell r="AB4535" t="str">
            <v>-</v>
          </cell>
          <cell r="AF4535">
            <v>6.4</v>
          </cell>
          <cell r="AG4535" t="str">
            <v>DRN80M4</v>
          </cell>
          <cell r="AH4535" t="str">
            <v>FH77G-DRN80M4270-X</v>
          </cell>
        </row>
        <row r="4536">
          <cell r="A4536" t="str">
            <v>MR004525</v>
          </cell>
          <cell r="B4536" t="str">
            <v>MR</v>
          </cell>
          <cell r="C4536">
            <v>11</v>
          </cell>
          <cell r="D4536">
            <v>59</v>
          </cell>
          <cell r="E4536" t="str">
            <v>KH87</v>
          </cell>
          <cell r="F4536">
            <v>1780</v>
          </cell>
          <cell r="G4536" t="str">
            <v>24,92</v>
          </cell>
          <cell r="H4536">
            <v>1.35</v>
          </cell>
          <cell r="I4536" t="str">
            <v>From M4A to M1A - 20°</v>
          </cell>
          <cell r="J4536" t="str">
            <v>IE3</v>
          </cell>
          <cell r="K4536" t="str">
            <v>400/690</v>
          </cell>
          <cell r="L4536">
            <v>50</v>
          </cell>
          <cell r="M4536" t="str">
            <v>21,5/12,4</v>
          </cell>
          <cell r="N4536">
            <v>65</v>
          </cell>
          <cell r="O4536" t="str">
            <v>155(F)</v>
          </cell>
          <cell r="P4536" t="str">
            <v>270°</v>
          </cell>
          <cell r="Q4536" t="str">
            <v>TF</v>
          </cell>
          <cell r="R4536" t="str">
            <v>-</v>
          </cell>
          <cell r="S4536" t="str">
            <v>Free rotation CCW</v>
          </cell>
          <cell r="T4536" t="str">
            <v>-</v>
          </cell>
          <cell r="U4536" t="str">
            <v>T</v>
          </cell>
          <cell r="V4536" t="str">
            <v>SS</v>
          </cell>
          <cell r="W4536" t="str">
            <v>-</v>
          </cell>
          <cell r="X4536" t="str">
            <v>CLP 220 (-15/+40°C)</v>
          </cell>
          <cell r="Y4536" t="str">
            <v>KH87/T DRN160M4 /RS /TF</v>
          </cell>
          <cell r="Z4536" t="str">
            <v>SEW</v>
          </cell>
          <cell r="AB4536" t="str">
            <v>-</v>
          </cell>
          <cell r="AF4536">
            <v>59</v>
          </cell>
          <cell r="AG4536" t="str">
            <v>DRN160M4</v>
          </cell>
          <cell r="AH4536" t="str">
            <v>KH87T-DRN160M4A270-X</v>
          </cell>
        </row>
        <row r="4537">
          <cell r="A4537" t="str">
            <v>MR004526</v>
          </cell>
          <cell r="B4537" t="str">
            <v>MR</v>
          </cell>
          <cell r="C4537">
            <v>11</v>
          </cell>
          <cell r="D4537">
            <v>59</v>
          </cell>
          <cell r="E4537" t="str">
            <v>KH87</v>
          </cell>
          <cell r="F4537">
            <v>1780</v>
          </cell>
          <cell r="G4537" t="str">
            <v>24,92</v>
          </cell>
          <cell r="H4537">
            <v>1.35</v>
          </cell>
          <cell r="I4537" t="str">
            <v>From M4B to M1B - 20°</v>
          </cell>
          <cell r="J4537" t="str">
            <v>IE3</v>
          </cell>
          <cell r="K4537" t="str">
            <v>400/690</v>
          </cell>
          <cell r="L4537">
            <v>50</v>
          </cell>
          <cell r="M4537" t="str">
            <v>21,5/12,4</v>
          </cell>
          <cell r="N4537">
            <v>65</v>
          </cell>
          <cell r="O4537" t="str">
            <v>155(F)</v>
          </cell>
          <cell r="P4537" t="str">
            <v>270°</v>
          </cell>
          <cell r="Q4537" t="str">
            <v>TF</v>
          </cell>
          <cell r="R4537" t="str">
            <v>-</v>
          </cell>
          <cell r="S4537" t="str">
            <v>Free rotation CW</v>
          </cell>
          <cell r="T4537" t="str">
            <v>-</v>
          </cell>
          <cell r="U4537" t="str">
            <v>T</v>
          </cell>
          <cell r="V4537" t="str">
            <v>SS</v>
          </cell>
          <cell r="W4537" t="str">
            <v>-</v>
          </cell>
          <cell r="X4537" t="str">
            <v>CLP 220 (-15/+40°C)</v>
          </cell>
          <cell r="Y4537" t="str">
            <v>KH87/T DRN160M4 /RS /TF</v>
          </cell>
          <cell r="Z4537" t="str">
            <v>SEW</v>
          </cell>
          <cell r="AB4537" t="str">
            <v>-</v>
          </cell>
          <cell r="AF4537">
            <v>59</v>
          </cell>
          <cell r="AG4537" t="str">
            <v>DRN160M4</v>
          </cell>
          <cell r="AH4537" t="str">
            <v>KH87T-DRN160M4B270-X</v>
          </cell>
        </row>
        <row r="4538">
          <cell r="A4538" t="str">
            <v>MR004527</v>
          </cell>
          <cell r="B4538" t="str">
            <v>MR</v>
          </cell>
          <cell r="C4538">
            <v>0.75</v>
          </cell>
          <cell r="D4538">
            <v>6.4</v>
          </cell>
          <cell r="E4538" t="str">
            <v>FH77</v>
          </cell>
          <cell r="F4538">
            <v>1120</v>
          </cell>
          <cell r="G4538">
            <v>225.79</v>
          </cell>
          <cell r="H4538">
            <v>1.35</v>
          </cell>
          <cell r="I4538" t="str">
            <v>From M5 to M3 - 20°</v>
          </cell>
          <cell r="J4538" t="str">
            <v>IE3</v>
          </cell>
          <cell r="K4538" t="str">
            <v>230/400</v>
          </cell>
          <cell r="L4538">
            <v>50</v>
          </cell>
          <cell r="M4538" t="str">
            <v>3,1/1,79</v>
          </cell>
          <cell r="N4538">
            <v>65</v>
          </cell>
          <cell r="O4538" t="str">
            <v>155(F)</v>
          </cell>
          <cell r="P4538" t="str">
            <v>270°</v>
          </cell>
          <cell r="Q4538" t="str">
            <v>TF</v>
          </cell>
          <cell r="R4538" t="str">
            <v>-</v>
          </cell>
          <cell r="S4538" t="str">
            <v>-</v>
          </cell>
          <cell r="T4538" t="str">
            <v>-</v>
          </cell>
          <cell r="U4538" t="str">
            <v>G</v>
          </cell>
          <cell r="V4538" t="str">
            <v>D</v>
          </cell>
          <cell r="W4538" t="str">
            <v>-</v>
          </cell>
          <cell r="X4538" t="str">
            <v>CLP 220 (-15/+40°C)</v>
          </cell>
          <cell r="Y4538" t="str">
            <v>FH77/G DRN80M4 /TF</v>
          </cell>
          <cell r="Z4538" t="str">
            <v>SEW</v>
          </cell>
          <cell r="AB4538" t="str">
            <v>-</v>
          </cell>
          <cell r="AF4538">
            <v>6.4</v>
          </cell>
          <cell r="AG4538" t="str">
            <v>DRN80M4</v>
          </cell>
          <cell r="AH4538" t="str">
            <v>FH77G-DRN80M4270-X</v>
          </cell>
        </row>
        <row r="4539">
          <cell r="A4539" t="str">
            <v>MR004528</v>
          </cell>
          <cell r="B4539" t="str">
            <v>MR</v>
          </cell>
          <cell r="C4539">
            <v>9.1999999999999993</v>
          </cell>
          <cell r="D4539">
            <v>18</v>
          </cell>
          <cell r="E4539" t="str">
            <v>R127</v>
          </cell>
          <cell r="F4539">
            <v>4910</v>
          </cell>
          <cell r="G4539">
            <v>82.17</v>
          </cell>
          <cell r="H4539">
            <v>1.2</v>
          </cell>
          <cell r="I4539" t="str">
            <v>From M1 to M2 - 20°</v>
          </cell>
          <cell r="J4539" t="str">
            <v>IE3</v>
          </cell>
          <cell r="K4539" t="str">
            <v>400/690</v>
          </cell>
          <cell r="L4539">
            <v>50</v>
          </cell>
          <cell r="M4539" t="str">
            <v>18,7/10,8</v>
          </cell>
          <cell r="N4539">
            <v>65</v>
          </cell>
          <cell r="O4539" t="str">
            <v>155(F)</v>
          </cell>
          <cell r="P4539" t="str">
            <v>270°</v>
          </cell>
          <cell r="Q4539" t="str">
            <v>TF</v>
          </cell>
          <cell r="R4539" t="str">
            <v>V(VE)</v>
          </cell>
          <cell r="S4539" t="str">
            <v>-</v>
          </cell>
          <cell r="T4539" t="str">
            <v>-</v>
          </cell>
          <cell r="U4539" t="str">
            <v>-</v>
          </cell>
          <cell r="V4539" t="str">
            <v>FC</v>
          </cell>
          <cell r="W4539" t="str">
            <v>-</v>
          </cell>
          <cell r="X4539" t="str">
            <v>CLP 220 (-15/+40°C)</v>
          </cell>
          <cell r="Y4539" t="str">
            <v>R127DRN132L4 /TF/V</v>
          </cell>
          <cell r="Z4539" t="str">
            <v>SEW</v>
          </cell>
          <cell r="AB4539" t="str">
            <v>-</v>
          </cell>
          <cell r="AF4539">
            <v>18</v>
          </cell>
          <cell r="AG4539" t="str">
            <v>DRN132L4</v>
          </cell>
          <cell r="AH4539" t="str">
            <v>R127-DRN132L4270-X#</v>
          </cell>
        </row>
        <row r="4540">
          <cell r="A4540" t="str">
            <v>MR004529</v>
          </cell>
          <cell r="B4540" t="str">
            <v>MR</v>
          </cell>
          <cell r="C4540">
            <v>22</v>
          </cell>
          <cell r="D4540">
            <v>19</v>
          </cell>
          <cell r="E4540" t="str">
            <v>KH157</v>
          </cell>
          <cell r="F4540">
            <v>11300</v>
          </cell>
          <cell r="G4540">
            <v>79.75</v>
          </cell>
          <cell r="H4540">
            <v>1.75</v>
          </cell>
          <cell r="I4540" t="str">
            <v>From M4B to M1B - 45°</v>
          </cell>
          <cell r="J4540" t="str">
            <v>IE3</v>
          </cell>
          <cell r="K4540" t="str">
            <v>400/690</v>
          </cell>
          <cell r="L4540">
            <v>50</v>
          </cell>
          <cell r="M4540" t="str">
            <v>38,5/22,5</v>
          </cell>
          <cell r="N4540">
            <v>65</v>
          </cell>
          <cell r="O4540" t="str">
            <v>155(F)</v>
          </cell>
          <cell r="P4540" t="str">
            <v>270°</v>
          </cell>
          <cell r="Q4540" t="str">
            <v>TF</v>
          </cell>
          <cell r="R4540" t="str">
            <v>-</v>
          </cell>
          <cell r="S4540" t="str">
            <v>-</v>
          </cell>
          <cell r="T4540" t="str">
            <v>-</v>
          </cell>
          <cell r="U4540" t="str">
            <v>-</v>
          </cell>
          <cell r="V4540" t="str">
            <v>SS</v>
          </cell>
          <cell r="W4540" t="str">
            <v>-</v>
          </cell>
          <cell r="X4540" t="str">
            <v>CLP 220 (-15/+40°C)</v>
          </cell>
          <cell r="Y4540" t="str">
            <v>KH157DRN180L4 /TF</v>
          </cell>
          <cell r="Z4540" t="str">
            <v>SEW</v>
          </cell>
          <cell r="AB4540" t="str">
            <v>-</v>
          </cell>
          <cell r="AF4540">
            <v>19</v>
          </cell>
          <cell r="AG4540" t="str">
            <v>DRN180L4</v>
          </cell>
          <cell r="AH4540" t="str">
            <v>KH157-DRN180L4B270-X</v>
          </cell>
        </row>
        <row r="4541">
          <cell r="A4541" t="str">
            <v>MR004530</v>
          </cell>
          <cell r="B4541" t="str">
            <v>MR</v>
          </cell>
          <cell r="C4541">
            <v>22</v>
          </cell>
          <cell r="D4541">
            <v>19</v>
          </cell>
          <cell r="E4541" t="str">
            <v>KH157</v>
          </cell>
          <cell r="F4541">
            <v>11300</v>
          </cell>
          <cell r="G4541">
            <v>79.75</v>
          </cell>
          <cell r="H4541">
            <v>1.75</v>
          </cell>
          <cell r="I4541" t="str">
            <v>From M4A to M1A - 45°</v>
          </cell>
          <cell r="J4541" t="str">
            <v>IE3</v>
          </cell>
          <cell r="K4541" t="str">
            <v>400/690</v>
          </cell>
          <cell r="L4541">
            <v>50</v>
          </cell>
          <cell r="M4541" t="str">
            <v>38,5/22,5</v>
          </cell>
          <cell r="N4541">
            <v>65</v>
          </cell>
          <cell r="O4541" t="str">
            <v>155(F)</v>
          </cell>
          <cell r="P4541" t="str">
            <v>270°</v>
          </cell>
          <cell r="Q4541" t="str">
            <v>TF</v>
          </cell>
          <cell r="R4541" t="str">
            <v>-</v>
          </cell>
          <cell r="S4541" t="str">
            <v>-</v>
          </cell>
          <cell r="T4541" t="str">
            <v>-</v>
          </cell>
          <cell r="U4541" t="str">
            <v>-</v>
          </cell>
          <cell r="V4541" t="str">
            <v>SS</v>
          </cell>
          <cell r="W4541" t="str">
            <v>-</v>
          </cell>
          <cell r="X4541" t="str">
            <v>CLP 220 (-15/+40°C)</v>
          </cell>
          <cell r="Y4541" t="str">
            <v>KH157DRN180L4 /TF</v>
          </cell>
          <cell r="Z4541" t="str">
            <v>SEW</v>
          </cell>
          <cell r="AB4541" t="str">
            <v>-</v>
          </cell>
          <cell r="AF4541">
            <v>19</v>
          </cell>
          <cell r="AG4541" t="str">
            <v>DRN180L4</v>
          </cell>
          <cell r="AH4541" t="str">
            <v>KH157-DRN180L4A270-X</v>
          </cell>
        </row>
        <row r="4542">
          <cell r="A4542" t="str">
            <v>MR004531</v>
          </cell>
          <cell r="B4542" t="str">
            <v>MR</v>
          </cell>
          <cell r="C4542">
            <v>0.75</v>
          </cell>
          <cell r="D4542">
            <v>162</v>
          </cell>
          <cell r="E4542" t="str">
            <v>KA37</v>
          </cell>
          <cell r="F4542">
            <v>44</v>
          </cell>
          <cell r="G4542">
            <v>8.91</v>
          </cell>
          <cell r="H4542">
            <v>3.6</v>
          </cell>
          <cell r="I4542" t="str">
            <v>From M3A to M2A - 30°</v>
          </cell>
          <cell r="J4542" t="str">
            <v>IE3</v>
          </cell>
          <cell r="K4542" t="str">
            <v>230/400</v>
          </cell>
          <cell r="L4542">
            <v>50</v>
          </cell>
          <cell r="M4542" t="str">
            <v>3,05/1,75</v>
          </cell>
          <cell r="N4542">
            <v>65</v>
          </cell>
          <cell r="O4542" t="str">
            <v>155(F)</v>
          </cell>
          <cell r="P4542" t="str">
            <v>180°</v>
          </cell>
          <cell r="Q4542" t="str">
            <v>TF</v>
          </cell>
          <cell r="R4542" t="str">
            <v>-</v>
          </cell>
          <cell r="S4542" t="str">
            <v>-</v>
          </cell>
          <cell r="T4542" t="str">
            <v>-</v>
          </cell>
          <cell r="U4542" t="str">
            <v>T</v>
          </cell>
          <cell r="V4542" t="str">
            <v>D</v>
          </cell>
          <cell r="W4542" t="str">
            <v>-</v>
          </cell>
          <cell r="X4542" t="str">
            <v>CLP 220 (-15/+40°C)</v>
          </cell>
          <cell r="Y4542" t="str">
            <v>KA37/T DRN80M4 /TF</v>
          </cell>
          <cell r="Z4542" t="str">
            <v>SEW</v>
          </cell>
          <cell r="AB4542" t="str">
            <v>-</v>
          </cell>
          <cell r="AF4542">
            <v>162</v>
          </cell>
          <cell r="AG4542" t="str">
            <v>DRN80M4</v>
          </cell>
          <cell r="AH4542" t="str">
            <v>KA37T-DRN80M4A180-X</v>
          </cell>
        </row>
        <row r="4543">
          <cell r="A4543" t="str">
            <v>MR004532</v>
          </cell>
          <cell r="B4543" t="str">
            <v>MR</v>
          </cell>
          <cell r="C4543">
            <v>0.75</v>
          </cell>
          <cell r="D4543">
            <v>162</v>
          </cell>
          <cell r="E4543" t="str">
            <v>KA37</v>
          </cell>
          <cell r="F4543">
            <v>44</v>
          </cell>
          <cell r="G4543">
            <v>8.91</v>
          </cell>
          <cell r="H4543">
            <v>3.1</v>
          </cell>
          <cell r="I4543" t="str">
            <v>From M3A to M2A - 30°</v>
          </cell>
          <cell r="J4543" t="str">
            <v>IE3</v>
          </cell>
          <cell r="K4543" t="str">
            <v>230/400</v>
          </cell>
          <cell r="L4543">
            <v>50</v>
          </cell>
          <cell r="M4543" t="str">
            <v>3,1/1,79</v>
          </cell>
          <cell r="N4543">
            <v>65</v>
          </cell>
          <cell r="O4543" t="str">
            <v>155(F)</v>
          </cell>
          <cell r="P4543" t="str">
            <v>180°</v>
          </cell>
          <cell r="Q4543" t="str">
            <v>TF</v>
          </cell>
          <cell r="R4543" t="str">
            <v>-</v>
          </cell>
          <cell r="S4543" t="str">
            <v>-</v>
          </cell>
          <cell r="T4543" t="str">
            <v>-</v>
          </cell>
          <cell r="U4543" t="str">
            <v>T</v>
          </cell>
          <cell r="V4543" t="str">
            <v>D</v>
          </cell>
          <cell r="W4543" t="str">
            <v>-</v>
          </cell>
          <cell r="X4543" t="str">
            <v>CLP HC 150 (-30/+50°C)</v>
          </cell>
          <cell r="Y4543" t="str">
            <v>KA37/T EDRN80M4 /TF</v>
          </cell>
          <cell r="Z4543" t="str">
            <v>SEW</v>
          </cell>
          <cell r="AB4543" t="str">
            <v>ATEX22</v>
          </cell>
          <cell r="AF4543">
            <v>162</v>
          </cell>
          <cell r="AG4543" t="str">
            <v>EDRN80M4</v>
          </cell>
          <cell r="AH4543" t="str">
            <v>KA37T-EDRN80M4A180-X</v>
          </cell>
        </row>
        <row r="4544">
          <cell r="A4544" t="str">
            <v>MR004533</v>
          </cell>
          <cell r="B4544" t="str">
            <v>MR</v>
          </cell>
          <cell r="C4544">
            <v>0.75</v>
          </cell>
          <cell r="D4544">
            <v>162</v>
          </cell>
          <cell r="E4544" t="str">
            <v>KA37</v>
          </cell>
          <cell r="F4544">
            <v>44</v>
          </cell>
          <cell r="G4544">
            <v>8.91</v>
          </cell>
          <cell r="H4544">
            <v>3.6</v>
          </cell>
          <cell r="I4544" t="str">
            <v>From M3B to M2B - 35°</v>
          </cell>
          <cell r="J4544" t="str">
            <v>IE3</v>
          </cell>
          <cell r="K4544" t="str">
            <v>230/400</v>
          </cell>
          <cell r="L4544">
            <v>50</v>
          </cell>
          <cell r="M4544" t="str">
            <v>3,05/1,75</v>
          </cell>
          <cell r="N4544">
            <v>65</v>
          </cell>
          <cell r="O4544" t="str">
            <v>155(F)</v>
          </cell>
          <cell r="P4544" t="str">
            <v>0°</v>
          </cell>
          <cell r="Q4544" t="str">
            <v>TF</v>
          </cell>
          <cell r="R4544" t="str">
            <v>-</v>
          </cell>
          <cell r="S4544" t="str">
            <v>-</v>
          </cell>
          <cell r="T4544" t="str">
            <v>-</v>
          </cell>
          <cell r="U4544" t="str">
            <v>T</v>
          </cell>
          <cell r="V4544" t="str">
            <v>D</v>
          </cell>
          <cell r="W4544" t="str">
            <v>-</v>
          </cell>
          <cell r="X4544" t="str">
            <v>CLP 220 (-15/+40°C)</v>
          </cell>
          <cell r="Y4544" t="str">
            <v>KA37/T DRN80M4 /TF</v>
          </cell>
          <cell r="Z4544" t="str">
            <v>SEW</v>
          </cell>
          <cell r="AB4544" t="str">
            <v>-</v>
          </cell>
          <cell r="AF4544">
            <v>162</v>
          </cell>
          <cell r="AG4544" t="str">
            <v>DRN80M4</v>
          </cell>
          <cell r="AH4544" t="str">
            <v>KA37T-DRN80M4B0-X</v>
          </cell>
        </row>
        <row r="4545">
          <cell r="A4545" t="str">
            <v>MR004534</v>
          </cell>
          <cell r="B4545" t="str">
            <v>MR</v>
          </cell>
          <cell r="C4545">
            <v>15</v>
          </cell>
          <cell r="D4545">
            <v>50</v>
          </cell>
          <cell r="E4545" t="str">
            <v>R107</v>
          </cell>
          <cell r="F4545">
            <v>2860</v>
          </cell>
          <cell r="G4545">
            <v>29.49</v>
          </cell>
          <cell r="H4545">
            <v>1.5</v>
          </cell>
          <cell r="I4545" t="str">
            <v>M1</v>
          </cell>
          <cell r="J4545" t="str">
            <v>IE3</v>
          </cell>
          <cell r="K4545" t="str">
            <v>400/690</v>
          </cell>
          <cell r="L4545">
            <v>50</v>
          </cell>
          <cell r="M4545" t="str">
            <v>29/16,7</v>
          </cell>
          <cell r="N4545">
            <v>65</v>
          </cell>
          <cell r="O4545" t="str">
            <v>155(F)</v>
          </cell>
          <cell r="P4545" t="str">
            <v>270°</v>
          </cell>
          <cell r="Q4545" t="str">
            <v>TF</v>
          </cell>
          <cell r="R4545" t="str">
            <v>-</v>
          </cell>
          <cell r="S4545" t="str">
            <v>-</v>
          </cell>
          <cell r="T4545" t="str">
            <v>-</v>
          </cell>
          <cell r="U4545" t="str">
            <v>-</v>
          </cell>
          <cell r="V4545" t="str">
            <v>D+R</v>
          </cell>
          <cell r="W4545" t="str">
            <v>-</v>
          </cell>
          <cell r="X4545" t="str">
            <v>CLP 220 (-15/+40°C)</v>
          </cell>
          <cell r="Y4545" t="str">
            <v>R107DRN160L4 /TF</v>
          </cell>
          <cell r="Z4545" t="str">
            <v>SEW</v>
          </cell>
          <cell r="AB4545" t="str">
            <v>-</v>
          </cell>
          <cell r="AF4545">
            <v>50</v>
          </cell>
          <cell r="AG4545" t="str">
            <v>DRN160L4</v>
          </cell>
          <cell r="AH4545" t="str">
            <v>R107-DRN160L4270-X</v>
          </cell>
        </row>
        <row r="4546">
          <cell r="A4546" t="str">
            <v>MR004535</v>
          </cell>
          <cell r="B4546" t="str">
            <v>MR</v>
          </cell>
          <cell r="C4546">
            <v>1.5</v>
          </cell>
          <cell r="D4546">
            <v>22</v>
          </cell>
          <cell r="E4546" t="str">
            <v>FA67</v>
          </cell>
          <cell r="F4546">
            <v>660</v>
          </cell>
          <cell r="G4546">
            <v>67.650000000000006</v>
          </cell>
          <cell r="H4546">
            <v>1.25</v>
          </cell>
          <cell r="I4546" t="str">
            <v>M6</v>
          </cell>
          <cell r="J4546" t="str">
            <v>IE3</v>
          </cell>
          <cell r="K4546" t="str">
            <v>230/400</v>
          </cell>
          <cell r="L4546">
            <v>50</v>
          </cell>
          <cell r="M4546" t="str">
            <v>5,9/3,4</v>
          </cell>
          <cell r="N4546">
            <v>65</v>
          </cell>
          <cell r="O4546" t="str">
            <v>155(F)</v>
          </cell>
          <cell r="P4546" t="str">
            <v>0°</v>
          </cell>
          <cell r="Q4546" t="str">
            <v>TF</v>
          </cell>
          <cell r="R4546" t="str">
            <v>-</v>
          </cell>
          <cell r="S4546" t="str">
            <v>-</v>
          </cell>
          <cell r="T4546" t="str">
            <v>BEHF</v>
          </cell>
          <cell r="U4546" t="str">
            <v>G</v>
          </cell>
          <cell r="V4546" t="str">
            <v>D+R</v>
          </cell>
          <cell r="W4546" t="str">
            <v>-</v>
          </cell>
          <cell r="X4546" t="str">
            <v>CLP 220 (-15/+40°C)</v>
          </cell>
          <cell r="Y4546" t="str">
            <v>FA67/G DRN90L4 /BEHF /TF</v>
          </cell>
          <cell r="Z4546" t="str">
            <v>SEW</v>
          </cell>
          <cell r="AB4546" t="str">
            <v>-</v>
          </cell>
          <cell r="AF4546">
            <v>22</v>
          </cell>
          <cell r="AG4546" t="str">
            <v>DRN90L4</v>
          </cell>
          <cell r="AH4546" t="str">
            <v>FA67G-DRN90L40-X</v>
          </cell>
        </row>
        <row r="4547">
          <cell r="A4547" t="str">
            <v>MR004536</v>
          </cell>
          <cell r="B4547" t="str">
            <v>MR</v>
          </cell>
          <cell r="C4547">
            <v>11</v>
          </cell>
          <cell r="D4547">
            <v>47</v>
          </cell>
          <cell r="E4547" t="str">
            <v>KH87</v>
          </cell>
          <cell r="F4547">
            <v>2230</v>
          </cell>
          <cell r="G4547">
            <v>31.39</v>
          </cell>
          <cell r="H4547">
            <v>1.2</v>
          </cell>
          <cell r="I4547" t="str">
            <v>From M4B to M1B-20°</v>
          </cell>
          <cell r="J4547" t="str">
            <v>IE3</v>
          </cell>
          <cell r="K4547" t="str">
            <v>400/690</v>
          </cell>
          <cell r="L4547">
            <v>50</v>
          </cell>
          <cell r="M4547" t="str">
            <v>21/12,2</v>
          </cell>
          <cell r="N4547">
            <v>65</v>
          </cell>
          <cell r="O4547" t="str">
            <v>155(F)</v>
          </cell>
          <cell r="P4547" t="str">
            <v>270°</v>
          </cell>
          <cell r="Q4547" t="str">
            <v>TF</v>
          </cell>
          <cell r="R4547" t="str">
            <v>-</v>
          </cell>
          <cell r="S4547" t="str">
            <v>Free rotation CW</v>
          </cell>
          <cell r="T4547" t="str">
            <v>-</v>
          </cell>
          <cell r="U4547" t="str">
            <v>T</v>
          </cell>
          <cell r="V4547" t="str">
            <v>SS</v>
          </cell>
          <cell r="W4547" t="str">
            <v>-</v>
          </cell>
          <cell r="X4547" t="str">
            <v>CLP 220 (-15/+40°C)</v>
          </cell>
          <cell r="Y4547" t="str">
            <v>KH87/T DRN160M4 /RS /TF</v>
          </cell>
          <cell r="Z4547" t="str">
            <v>SEW</v>
          </cell>
          <cell r="AB4547" t="str">
            <v>-</v>
          </cell>
          <cell r="AF4547">
            <v>47</v>
          </cell>
          <cell r="AG4547" t="str">
            <v>DRN160M4</v>
          </cell>
          <cell r="AH4547" t="str">
            <v>KH87T-DRN160M4B270-X</v>
          </cell>
        </row>
        <row r="4548">
          <cell r="A4548" t="str">
            <v>MR004537</v>
          </cell>
          <cell r="B4548" t="str">
            <v>MR</v>
          </cell>
          <cell r="C4548">
            <v>11</v>
          </cell>
          <cell r="D4548">
            <v>47</v>
          </cell>
          <cell r="E4548" t="str">
            <v>KH87</v>
          </cell>
          <cell r="F4548">
            <v>2230</v>
          </cell>
          <cell r="G4548">
            <v>31.39</v>
          </cell>
          <cell r="H4548">
            <v>1.2</v>
          </cell>
          <cell r="I4548" t="str">
            <v>M4A</v>
          </cell>
          <cell r="J4548" t="str">
            <v>IE3</v>
          </cell>
          <cell r="K4548" t="str">
            <v>400/690</v>
          </cell>
          <cell r="L4548">
            <v>50</v>
          </cell>
          <cell r="M4548" t="str">
            <v>21/12,2</v>
          </cell>
          <cell r="N4548">
            <v>65</v>
          </cell>
          <cell r="O4548" t="str">
            <v>155(F)</v>
          </cell>
          <cell r="P4548" t="str">
            <v>270°</v>
          </cell>
          <cell r="Q4548" t="str">
            <v>TF</v>
          </cell>
          <cell r="R4548" t="str">
            <v>-</v>
          </cell>
          <cell r="S4548" t="str">
            <v>-</v>
          </cell>
          <cell r="T4548" t="str">
            <v>-</v>
          </cell>
          <cell r="U4548" t="str">
            <v>T</v>
          </cell>
          <cell r="V4548" t="str">
            <v>SS</v>
          </cell>
          <cell r="W4548" t="str">
            <v>-</v>
          </cell>
          <cell r="X4548" t="str">
            <v>CLP 220 (-15/+40°C)</v>
          </cell>
          <cell r="Y4548" t="str">
            <v>KH87/T DRN160M4 /TF</v>
          </cell>
          <cell r="Z4548" t="str">
            <v>SEW</v>
          </cell>
          <cell r="AB4548" t="str">
            <v>-</v>
          </cell>
          <cell r="AF4548">
            <v>47</v>
          </cell>
          <cell r="AG4548" t="str">
            <v>DRN160M4</v>
          </cell>
          <cell r="AH4548" t="str">
            <v>KH87T-DRN160M4A270-X</v>
          </cell>
        </row>
        <row r="4549">
          <cell r="A4549" t="str">
            <v>MR004538</v>
          </cell>
          <cell r="B4549" t="str">
            <v>MR</v>
          </cell>
          <cell r="C4549">
            <v>0.75</v>
          </cell>
          <cell r="D4549">
            <v>162</v>
          </cell>
          <cell r="E4549" t="str">
            <v>KA37</v>
          </cell>
          <cell r="F4549">
            <v>44</v>
          </cell>
          <cell r="G4549">
            <v>8.91</v>
          </cell>
          <cell r="H4549">
            <v>3.6</v>
          </cell>
          <cell r="I4549" t="str">
            <v>M3A</v>
          </cell>
          <cell r="J4549" t="str">
            <v>IE3</v>
          </cell>
          <cell r="K4549" t="str">
            <v>230/400</v>
          </cell>
          <cell r="L4549">
            <v>50</v>
          </cell>
          <cell r="M4549" t="str">
            <v>3,05/1,75</v>
          </cell>
          <cell r="N4549">
            <v>65</v>
          </cell>
          <cell r="O4549" t="str">
            <v>155(F)</v>
          </cell>
          <cell r="P4549" t="str">
            <v>180°</v>
          </cell>
          <cell r="Q4549" t="str">
            <v>TF</v>
          </cell>
          <cell r="R4549" t="str">
            <v>-</v>
          </cell>
          <cell r="S4549" t="str">
            <v>-</v>
          </cell>
          <cell r="T4549" t="str">
            <v>-</v>
          </cell>
          <cell r="U4549" t="str">
            <v>T</v>
          </cell>
          <cell r="V4549" t="str">
            <v>D</v>
          </cell>
          <cell r="W4549" t="str">
            <v>-</v>
          </cell>
          <cell r="X4549" t="str">
            <v>CLP 220 (-15/+40°C)</v>
          </cell>
          <cell r="Y4549" t="str">
            <v>KA37/T DRN80M4 /TF</v>
          </cell>
          <cell r="Z4549" t="str">
            <v>SEW</v>
          </cell>
          <cell r="AB4549" t="str">
            <v>-</v>
          </cell>
          <cell r="AF4549">
            <v>162</v>
          </cell>
          <cell r="AG4549" t="str">
            <v>DRN80M4</v>
          </cell>
          <cell r="AH4549" t="str">
            <v>KA37T-DRN80M4A180-X</v>
          </cell>
        </row>
        <row r="4550">
          <cell r="A4550" t="str">
            <v>MR004539</v>
          </cell>
          <cell r="B4550" t="str">
            <v>MR</v>
          </cell>
          <cell r="C4550">
            <v>0.37</v>
          </cell>
          <cell r="D4550">
            <v>6.2</v>
          </cell>
          <cell r="E4550" t="str">
            <v>FH67</v>
          </cell>
          <cell r="F4550">
            <v>570</v>
          </cell>
          <cell r="G4550">
            <v>229</v>
          </cell>
          <cell r="H4550">
            <v>1.45</v>
          </cell>
          <cell r="I4550" t="str">
            <v>M5</v>
          </cell>
          <cell r="J4550" t="str">
            <v>IE3</v>
          </cell>
          <cell r="K4550" t="str">
            <v>230/400</v>
          </cell>
          <cell r="L4550">
            <v>50</v>
          </cell>
          <cell r="M4550" t="str">
            <v>1,78/1,02</v>
          </cell>
          <cell r="N4550">
            <v>65</v>
          </cell>
          <cell r="O4550" t="str">
            <v>155(F)</v>
          </cell>
          <cell r="P4550" t="str">
            <v>180°</v>
          </cell>
          <cell r="Q4550" t="str">
            <v>TF</v>
          </cell>
          <cell r="R4550" t="str">
            <v>-</v>
          </cell>
          <cell r="S4550" t="str">
            <v>-</v>
          </cell>
          <cell r="T4550" t="str">
            <v>-</v>
          </cell>
          <cell r="U4550" t="str">
            <v>G</v>
          </cell>
          <cell r="V4550" t="str">
            <v>D</v>
          </cell>
          <cell r="W4550" t="str">
            <v>-</v>
          </cell>
          <cell r="X4550" t="str">
            <v>CLP 220 (-15/+40°C)</v>
          </cell>
          <cell r="Y4550" t="str">
            <v>FH67/G DRN71M4 /TF</v>
          </cell>
          <cell r="Z4550" t="str">
            <v>SEW</v>
          </cell>
          <cell r="AB4550" t="str">
            <v>-</v>
          </cell>
          <cell r="AF4550">
            <v>6.2</v>
          </cell>
          <cell r="AG4550" t="str">
            <v>DRN71M4</v>
          </cell>
          <cell r="AH4550" t="str">
            <v>FH67G-DRN71M4180-X</v>
          </cell>
        </row>
        <row r="4551">
          <cell r="A4551" t="str">
            <v>MR004540</v>
          </cell>
          <cell r="B4551" t="str">
            <v>MR</v>
          </cell>
          <cell r="C4551">
            <v>30</v>
          </cell>
          <cell r="D4551">
            <v>110</v>
          </cell>
          <cell r="E4551" t="str">
            <v>KH107</v>
          </cell>
          <cell r="F4551">
            <v>2590</v>
          </cell>
          <cell r="G4551">
            <v>13.43</v>
          </cell>
          <cell r="H4551">
            <v>1.65</v>
          </cell>
          <cell r="I4551" t="str">
            <v>M4B</v>
          </cell>
          <cell r="J4551" t="str">
            <v>IE3</v>
          </cell>
          <cell r="K4551" t="str">
            <v>400/690</v>
          </cell>
          <cell r="L4551">
            <v>50</v>
          </cell>
          <cell r="M4551" t="str">
            <v>56/32,5</v>
          </cell>
          <cell r="N4551">
            <v>65</v>
          </cell>
          <cell r="O4551" t="str">
            <v>155(F)</v>
          </cell>
          <cell r="P4551" t="str">
            <v>270°</v>
          </cell>
          <cell r="Q4551" t="str">
            <v>TF</v>
          </cell>
          <cell r="R4551" t="str">
            <v>V(VE)</v>
          </cell>
          <cell r="S4551" t="str">
            <v>-</v>
          </cell>
          <cell r="T4551" t="str">
            <v>-</v>
          </cell>
          <cell r="U4551" t="str">
            <v>T</v>
          </cell>
          <cell r="V4551" t="str">
            <v>FC</v>
          </cell>
          <cell r="W4551" t="str">
            <v>-</v>
          </cell>
          <cell r="X4551" t="str">
            <v>CLP 220 (-15/+40°C)</v>
          </cell>
          <cell r="Y4551" t="str">
            <v>KH107/T DRN200L4 /TF/V</v>
          </cell>
          <cell r="Z4551" t="str">
            <v>SEW</v>
          </cell>
          <cell r="AB4551" t="str">
            <v>-</v>
          </cell>
          <cell r="AF4551">
            <v>110</v>
          </cell>
          <cell r="AG4551" t="str">
            <v>DRN200L4</v>
          </cell>
          <cell r="AH4551" t="str">
            <v>KH107T-DRN200L4B270-X#</v>
          </cell>
        </row>
        <row r="4552">
          <cell r="A4552" t="str">
            <v>MR004541</v>
          </cell>
          <cell r="B4552" t="str">
            <v>MR</v>
          </cell>
          <cell r="C4552">
            <v>30</v>
          </cell>
          <cell r="D4552">
            <v>110</v>
          </cell>
          <cell r="E4552" t="str">
            <v>KH107</v>
          </cell>
          <cell r="F4552">
            <v>2590</v>
          </cell>
          <cell r="G4552">
            <v>13.43</v>
          </cell>
          <cell r="H4552">
            <v>1.65</v>
          </cell>
          <cell r="I4552" t="str">
            <v>M4A</v>
          </cell>
          <cell r="J4552" t="str">
            <v>IE3</v>
          </cell>
          <cell r="K4552" t="str">
            <v>400/690</v>
          </cell>
          <cell r="L4552">
            <v>50</v>
          </cell>
          <cell r="M4552" t="str">
            <v>56/32,5</v>
          </cell>
          <cell r="N4552">
            <v>65</v>
          </cell>
          <cell r="O4552" t="str">
            <v>155(F)</v>
          </cell>
          <cell r="P4552" t="str">
            <v>270°</v>
          </cell>
          <cell r="Q4552" t="str">
            <v>TF</v>
          </cell>
          <cell r="R4552" t="str">
            <v>V(VE)</v>
          </cell>
          <cell r="S4552" t="str">
            <v>-</v>
          </cell>
          <cell r="T4552" t="str">
            <v>-</v>
          </cell>
          <cell r="U4552" t="str">
            <v>T</v>
          </cell>
          <cell r="V4552" t="str">
            <v>FC</v>
          </cell>
          <cell r="W4552" t="str">
            <v>-</v>
          </cell>
          <cell r="X4552" t="str">
            <v>CLP 220 (-15/+40°C)</v>
          </cell>
          <cell r="Y4552" t="str">
            <v>KH107/T DRN200L4 /TF/V</v>
          </cell>
          <cell r="Z4552" t="str">
            <v>SEW</v>
          </cell>
          <cell r="AB4552" t="str">
            <v>-</v>
          </cell>
          <cell r="AF4552">
            <v>110</v>
          </cell>
          <cell r="AG4552" t="str">
            <v>DRN200L4</v>
          </cell>
          <cell r="AH4552" t="str">
            <v>KH107T-DRN200L4A270-X#</v>
          </cell>
        </row>
        <row r="4553">
          <cell r="A4553" t="str">
            <v>MR004542</v>
          </cell>
          <cell r="B4553" t="str">
            <v>MR</v>
          </cell>
          <cell r="C4553">
            <v>22</v>
          </cell>
          <cell r="D4553">
            <v>12</v>
          </cell>
          <cell r="E4553" t="str">
            <v>KH157</v>
          </cell>
          <cell r="F4553">
            <v>17400</v>
          </cell>
          <cell r="G4553">
            <v>122.39</v>
          </cell>
          <cell r="H4553">
            <v>1.1499999999999999</v>
          </cell>
          <cell r="I4553" t="str">
            <v>From M1A to M2A - 30°</v>
          </cell>
          <cell r="J4553" t="str">
            <v>IE3</v>
          </cell>
          <cell r="K4553" t="str">
            <v>400/690</v>
          </cell>
          <cell r="L4553">
            <v>50</v>
          </cell>
          <cell r="M4553" t="str">
            <v>38,5/22,5</v>
          </cell>
          <cell r="N4553">
            <v>65</v>
          </cell>
          <cell r="O4553" t="str">
            <v>155(F)</v>
          </cell>
          <cell r="P4553" t="str">
            <v>180°</v>
          </cell>
          <cell r="Q4553" t="str">
            <v>TF</v>
          </cell>
          <cell r="R4553" t="str">
            <v>V(VE)</v>
          </cell>
          <cell r="S4553" t="str">
            <v>-</v>
          </cell>
          <cell r="T4553" t="str">
            <v>-</v>
          </cell>
          <cell r="U4553" t="str">
            <v>-</v>
          </cell>
          <cell r="V4553" t="str">
            <v>FC</v>
          </cell>
          <cell r="W4553" t="str">
            <v>-</v>
          </cell>
          <cell r="X4553" t="str">
            <v>CLP 220 (-15/+40°C)</v>
          </cell>
          <cell r="Y4553" t="str">
            <v>KH157DRN180L4 /TF/V</v>
          </cell>
          <cell r="Z4553" t="str">
            <v>SEW</v>
          </cell>
          <cell r="AB4553" t="str">
            <v>-</v>
          </cell>
          <cell r="AF4553">
            <v>12</v>
          </cell>
          <cell r="AG4553" t="str">
            <v>DRN180L4</v>
          </cell>
          <cell r="AH4553" t="str">
            <v>KH157-DRN180L4A180-X#</v>
          </cell>
        </row>
        <row r="4554">
          <cell r="A4554" t="str">
            <v>MR004543</v>
          </cell>
          <cell r="B4554" t="str">
            <v>MR</v>
          </cell>
          <cell r="C4554">
            <v>22</v>
          </cell>
          <cell r="D4554">
            <v>12</v>
          </cell>
          <cell r="E4554" t="str">
            <v>KH157</v>
          </cell>
          <cell r="F4554">
            <v>17400</v>
          </cell>
          <cell r="G4554">
            <v>122.39</v>
          </cell>
          <cell r="H4554">
            <v>1.1499999999999999</v>
          </cell>
          <cell r="I4554" t="str">
            <v>From M1B to M2B - 30°</v>
          </cell>
          <cell r="J4554" t="str">
            <v>IE3</v>
          </cell>
          <cell r="K4554" t="str">
            <v>400/690</v>
          </cell>
          <cell r="L4554">
            <v>50</v>
          </cell>
          <cell r="M4554" t="str">
            <v>38,5/22,5</v>
          </cell>
          <cell r="N4554">
            <v>65</v>
          </cell>
          <cell r="O4554" t="str">
            <v>155(F)</v>
          </cell>
          <cell r="P4554" t="str">
            <v>0°</v>
          </cell>
          <cell r="Q4554" t="str">
            <v>TF</v>
          </cell>
          <cell r="R4554" t="str">
            <v>V(VE)</v>
          </cell>
          <cell r="S4554" t="str">
            <v>-</v>
          </cell>
          <cell r="T4554" t="str">
            <v>-</v>
          </cell>
          <cell r="U4554" t="str">
            <v>-</v>
          </cell>
          <cell r="V4554" t="str">
            <v>FC</v>
          </cell>
          <cell r="W4554" t="str">
            <v>-</v>
          </cell>
          <cell r="X4554" t="str">
            <v>CLP 220 (-15/+40°C)</v>
          </cell>
          <cell r="Y4554" t="str">
            <v>KH157DRN180L4 /TF/V</v>
          </cell>
          <cell r="Z4554" t="str">
            <v>SEW</v>
          </cell>
          <cell r="AB4554" t="str">
            <v>-</v>
          </cell>
          <cell r="AF4554">
            <v>12</v>
          </cell>
          <cell r="AG4554" t="str">
            <v>DRN180L4</v>
          </cell>
          <cell r="AH4554" t="str">
            <v>KH157-DRN180L4B0-X#</v>
          </cell>
        </row>
        <row r="4555">
          <cell r="A4555" t="str">
            <v>MR004544</v>
          </cell>
          <cell r="B4555" t="str">
            <v>MR</v>
          </cell>
          <cell r="C4555">
            <v>11</v>
          </cell>
          <cell r="D4555">
            <v>47</v>
          </cell>
          <cell r="E4555" t="str">
            <v>KH87</v>
          </cell>
          <cell r="F4555">
            <v>2230</v>
          </cell>
          <cell r="G4555">
            <v>31.39</v>
          </cell>
          <cell r="H4555">
            <v>1.2</v>
          </cell>
          <cell r="I4555" t="str">
            <v>M4B</v>
          </cell>
          <cell r="J4555" t="str">
            <v>IE3</v>
          </cell>
          <cell r="K4555" t="str">
            <v>400/690</v>
          </cell>
          <cell r="L4555">
            <v>50</v>
          </cell>
          <cell r="M4555" t="str">
            <v>21/12,2</v>
          </cell>
          <cell r="N4555">
            <v>65</v>
          </cell>
          <cell r="O4555" t="str">
            <v>155(F)</v>
          </cell>
          <cell r="P4555" t="str">
            <v>270°</v>
          </cell>
          <cell r="Q4555" t="str">
            <v>TF</v>
          </cell>
          <cell r="R4555" t="str">
            <v>-</v>
          </cell>
          <cell r="S4555" t="str">
            <v>-</v>
          </cell>
          <cell r="T4555" t="str">
            <v>-</v>
          </cell>
          <cell r="U4555" t="str">
            <v>T</v>
          </cell>
          <cell r="V4555" t="str">
            <v>SS</v>
          </cell>
          <cell r="W4555" t="str">
            <v>-</v>
          </cell>
          <cell r="X4555" t="str">
            <v>CLP 220 (-15/+40°C)</v>
          </cell>
          <cell r="Y4555" t="str">
            <v>KH87/T DRN160M4 /TF</v>
          </cell>
          <cell r="Z4555" t="str">
            <v>SEW</v>
          </cell>
          <cell r="AB4555" t="str">
            <v>-</v>
          </cell>
          <cell r="AF4555">
            <v>47</v>
          </cell>
          <cell r="AG4555" t="str">
            <v>DRN160M4</v>
          </cell>
          <cell r="AH4555" t="str">
            <v>KH87T-DRN160M4B270-X</v>
          </cell>
        </row>
        <row r="4556">
          <cell r="A4556" t="str">
            <v>MR004545</v>
          </cell>
          <cell r="B4556" t="str">
            <v>MR</v>
          </cell>
          <cell r="C4556">
            <v>0.75</v>
          </cell>
          <cell r="D4556">
            <v>6.4</v>
          </cell>
          <cell r="E4556" t="str">
            <v>FH77</v>
          </cell>
          <cell r="F4556">
            <v>1120</v>
          </cell>
          <cell r="G4556">
            <v>225.79</v>
          </cell>
          <cell r="H4556">
            <v>1.35</v>
          </cell>
          <cell r="I4556" t="str">
            <v>M6</v>
          </cell>
          <cell r="J4556" t="str">
            <v>IE3</v>
          </cell>
          <cell r="K4556" t="str">
            <v>230/400</v>
          </cell>
          <cell r="L4556">
            <v>50</v>
          </cell>
          <cell r="M4556" t="str">
            <v>3,1/1,79</v>
          </cell>
          <cell r="N4556">
            <v>65</v>
          </cell>
          <cell r="O4556" t="str">
            <v>155(F)</v>
          </cell>
          <cell r="P4556" t="str">
            <v>0°</v>
          </cell>
          <cell r="Q4556" t="str">
            <v>TF</v>
          </cell>
          <cell r="R4556" t="str">
            <v>-</v>
          </cell>
          <cell r="S4556" t="str">
            <v>-</v>
          </cell>
          <cell r="T4556" t="str">
            <v>-</v>
          </cell>
          <cell r="U4556" t="str">
            <v>G</v>
          </cell>
          <cell r="V4556" t="str">
            <v>D</v>
          </cell>
          <cell r="W4556" t="str">
            <v>-</v>
          </cell>
          <cell r="X4556" t="str">
            <v>CLP 220 (-15/+40°C)</v>
          </cell>
          <cell r="Y4556" t="str">
            <v>FH77/G DRN80M4 /TF</v>
          </cell>
          <cell r="Z4556" t="str">
            <v>SEW</v>
          </cell>
          <cell r="AB4556" t="str">
            <v>-</v>
          </cell>
          <cell r="AF4556">
            <v>6.4</v>
          </cell>
          <cell r="AG4556" t="str">
            <v>DRN80M4</v>
          </cell>
          <cell r="AH4556" t="str">
            <v>FH77G-DRN80M40-X</v>
          </cell>
        </row>
        <row r="4557">
          <cell r="A4557" t="str">
            <v>MR004546</v>
          </cell>
          <cell r="B4557" t="str">
            <v>MR</v>
          </cell>
          <cell r="C4557">
            <v>0.75</v>
          </cell>
          <cell r="D4557">
            <v>162</v>
          </cell>
          <cell r="E4557" t="str">
            <v>KA37</v>
          </cell>
          <cell r="F4557">
            <v>44</v>
          </cell>
          <cell r="G4557">
            <v>8.91</v>
          </cell>
          <cell r="H4557">
            <v>3.6</v>
          </cell>
          <cell r="I4557" t="str">
            <v>M1A</v>
          </cell>
          <cell r="J4557" t="str">
            <v>IE3</v>
          </cell>
          <cell r="K4557" t="str">
            <v>230/400</v>
          </cell>
          <cell r="L4557">
            <v>50</v>
          </cell>
          <cell r="M4557" t="str">
            <v>3,05/1,75</v>
          </cell>
          <cell r="N4557">
            <v>55</v>
          </cell>
          <cell r="O4557" t="str">
            <v>155(F)</v>
          </cell>
          <cell r="P4557" t="str">
            <v>180°</v>
          </cell>
          <cell r="Q4557" t="str">
            <v>-</v>
          </cell>
          <cell r="R4557" t="str">
            <v>-</v>
          </cell>
          <cell r="S4557" t="str">
            <v>-</v>
          </cell>
          <cell r="T4557" t="str">
            <v>-</v>
          </cell>
          <cell r="U4557" t="str">
            <v>T</v>
          </cell>
          <cell r="V4557" t="str">
            <v>D</v>
          </cell>
          <cell r="W4557" t="str">
            <v>-</v>
          </cell>
          <cell r="X4557" t="str">
            <v>CLP 220 (-15/+40°C)</v>
          </cell>
          <cell r="Y4557" t="str">
            <v>KA37/T DRN80M4</v>
          </cell>
          <cell r="Z4557" t="str">
            <v>SEW</v>
          </cell>
          <cell r="AB4557" t="str">
            <v>-</v>
          </cell>
          <cell r="AE4557" t="str">
            <v>DOPPIONE: USARE MR001411</v>
          </cell>
          <cell r="AF4557">
            <v>162</v>
          </cell>
          <cell r="AG4557" t="str">
            <v>DRN80M4</v>
          </cell>
          <cell r="AH4557" t="str">
            <v>KA37T-DRN80M4A180-X</v>
          </cell>
        </row>
        <row r="4558">
          <cell r="A4558" t="str">
            <v>MR004547</v>
          </cell>
          <cell r="B4558" t="str">
            <v>MR</v>
          </cell>
          <cell r="C4558">
            <v>11</v>
          </cell>
          <cell r="D4558">
            <v>23</v>
          </cell>
          <cell r="E4558" t="str">
            <v>R137</v>
          </cell>
          <cell r="F4558">
            <v>4650</v>
          </cell>
          <cell r="G4558">
            <v>65.2</v>
          </cell>
          <cell r="H4558">
            <v>1.7</v>
          </cell>
          <cell r="I4558" t="str">
            <v>M1</v>
          </cell>
          <cell r="J4558" t="str">
            <v>IE3</v>
          </cell>
          <cell r="K4558" t="str">
            <v>400/690</v>
          </cell>
          <cell r="L4558">
            <v>50</v>
          </cell>
          <cell r="M4558" t="str">
            <v>21/12,2</v>
          </cell>
          <cell r="N4558">
            <v>55</v>
          </cell>
          <cell r="O4558" t="str">
            <v>155(F)</v>
          </cell>
          <cell r="P4558" t="str">
            <v>270°</v>
          </cell>
          <cell r="Q4558" t="str">
            <v>-</v>
          </cell>
          <cell r="R4558" t="str">
            <v>-</v>
          </cell>
          <cell r="S4558" t="str">
            <v>-</v>
          </cell>
          <cell r="T4558" t="str">
            <v>-</v>
          </cell>
          <cell r="U4558" t="str">
            <v>-</v>
          </cell>
          <cell r="V4558" t="str">
            <v>D</v>
          </cell>
          <cell r="W4558" t="str">
            <v>-</v>
          </cell>
          <cell r="X4558" t="str">
            <v>CLP 220 (-15/+40°C)</v>
          </cell>
          <cell r="Y4558" t="str">
            <v>R137DRN160M4</v>
          </cell>
          <cell r="Z4558" t="str">
            <v>SEW</v>
          </cell>
          <cell r="AB4558" t="str">
            <v>-</v>
          </cell>
          <cell r="AF4558">
            <v>23</v>
          </cell>
          <cell r="AG4558" t="str">
            <v>DRN160M4</v>
          </cell>
          <cell r="AH4558" t="str">
            <v>R137-DRN160M4270-X</v>
          </cell>
        </row>
        <row r="4559">
          <cell r="A4559" t="str">
            <v>MR004548</v>
          </cell>
          <cell r="B4559" t="str">
            <v>MR</v>
          </cell>
          <cell r="C4559">
            <v>7.5</v>
          </cell>
          <cell r="D4559">
            <v>11</v>
          </cell>
          <cell r="E4559" t="str">
            <v>R137</v>
          </cell>
          <cell r="F4559">
            <v>6250</v>
          </cell>
          <cell r="G4559">
            <v>128.18</v>
          </cell>
          <cell r="H4559">
            <v>1.3</v>
          </cell>
          <cell r="I4559" t="str">
            <v>M1</v>
          </cell>
          <cell r="J4559" t="str">
            <v>IE3</v>
          </cell>
          <cell r="K4559" t="str">
            <v>400/690</v>
          </cell>
          <cell r="L4559">
            <v>50</v>
          </cell>
          <cell r="M4559" t="str">
            <v>15,2/8,8</v>
          </cell>
          <cell r="N4559">
            <v>55</v>
          </cell>
          <cell r="O4559" t="str">
            <v>155(F)</v>
          </cell>
          <cell r="P4559" t="str">
            <v>270°</v>
          </cell>
          <cell r="Q4559" t="str">
            <v>-</v>
          </cell>
          <cell r="R4559" t="str">
            <v>-</v>
          </cell>
          <cell r="S4559" t="str">
            <v>-</v>
          </cell>
          <cell r="T4559" t="str">
            <v>-</v>
          </cell>
          <cell r="U4559" t="str">
            <v>-</v>
          </cell>
          <cell r="V4559" t="str">
            <v>D</v>
          </cell>
          <cell r="W4559" t="str">
            <v>-</v>
          </cell>
          <cell r="X4559" t="str">
            <v>CLP 220 (-15/+40°C)</v>
          </cell>
          <cell r="Y4559" t="str">
            <v>R137DRN132M4</v>
          </cell>
          <cell r="Z4559" t="str">
            <v>SEW</v>
          </cell>
          <cell r="AB4559" t="str">
            <v>-</v>
          </cell>
          <cell r="AF4559">
            <v>11</v>
          </cell>
          <cell r="AG4559" t="str">
            <v>DRN132M4</v>
          </cell>
          <cell r="AH4559" t="str">
            <v>R137-DRN132M4270-X</v>
          </cell>
        </row>
        <row r="4560">
          <cell r="A4560" t="str">
            <v>MR004549</v>
          </cell>
          <cell r="B4560" t="str">
            <v>MR</v>
          </cell>
          <cell r="C4560">
            <v>4</v>
          </cell>
          <cell r="D4560">
            <v>28</v>
          </cell>
          <cell r="E4560" t="str">
            <v>R97</v>
          </cell>
          <cell r="F4560">
            <v>1390</v>
          </cell>
          <cell r="G4560">
            <v>53.21</v>
          </cell>
          <cell r="H4560">
            <v>2.2000000000000002</v>
          </cell>
          <cell r="I4560" t="str">
            <v>M1</v>
          </cell>
          <cell r="J4560" t="str">
            <v>IE3</v>
          </cell>
          <cell r="K4560" t="str">
            <v>230/400</v>
          </cell>
          <cell r="L4560">
            <v>50</v>
          </cell>
          <cell r="M4560" t="str">
            <v>13,8/7,90</v>
          </cell>
          <cell r="N4560">
            <v>55</v>
          </cell>
          <cell r="O4560" t="str">
            <v>155(F)</v>
          </cell>
          <cell r="P4560" t="str">
            <v>270°</v>
          </cell>
          <cell r="Q4560" t="str">
            <v>TF</v>
          </cell>
          <cell r="R4560" t="str">
            <v>-</v>
          </cell>
          <cell r="S4560" t="str">
            <v>-</v>
          </cell>
          <cell r="T4560" t="str">
            <v>-</v>
          </cell>
          <cell r="U4560" t="str">
            <v>-</v>
          </cell>
          <cell r="V4560" t="str">
            <v>D</v>
          </cell>
          <cell r="X4560" t="str">
            <v>CLP 220 (-15/+40°C)</v>
          </cell>
          <cell r="Y4560" t="str">
            <v>R97DRN112M4 /TF</v>
          </cell>
          <cell r="Z4560" t="str">
            <v>SEW</v>
          </cell>
          <cell r="AB4560" t="str">
            <v>-</v>
          </cell>
          <cell r="AF4560">
            <v>28</v>
          </cell>
          <cell r="AG4560" t="str">
            <v>DRN112M4</v>
          </cell>
          <cell r="AH4560" t="str">
            <v>R97-DRN112M4270-X</v>
          </cell>
        </row>
        <row r="4561">
          <cell r="A4561" t="str">
            <v>MR004550</v>
          </cell>
          <cell r="B4561" t="str">
            <v>MR</v>
          </cell>
          <cell r="C4561">
            <v>18.5</v>
          </cell>
          <cell r="D4561">
            <v>50</v>
          </cell>
          <cell r="E4561" t="str">
            <v>R107</v>
          </cell>
          <cell r="F4561">
            <v>3530</v>
          </cell>
          <cell r="G4561">
            <v>29.49</v>
          </cell>
          <cell r="H4561">
            <v>1.1000000000000001</v>
          </cell>
          <cell r="I4561" t="str">
            <v>M1</v>
          </cell>
          <cell r="J4561" t="str">
            <v>IE3</v>
          </cell>
          <cell r="K4561" t="str">
            <v>400/690</v>
          </cell>
          <cell r="L4561">
            <v>50</v>
          </cell>
          <cell r="M4561" t="str">
            <v>35/20</v>
          </cell>
          <cell r="N4561">
            <v>65</v>
          </cell>
          <cell r="O4561" t="str">
            <v>155(F)</v>
          </cell>
          <cell r="P4561" t="str">
            <v>270°</v>
          </cell>
          <cell r="Q4561" t="str">
            <v>TF</v>
          </cell>
          <cell r="R4561" t="str">
            <v>-</v>
          </cell>
          <cell r="S4561" t="str">
            <v>-</v>
          </cell>
          <cell r="T4561" t="str">
            <v>-</v>
          </cell>
          <cell r="U4561" t="str">
            <v>-</v>
          </cell>
          <cell r="V4561" t="str">
            <v>D+R</v>
          </cell>
          <cell r="W4561" t="str">
            <v>-</v>
          </cell>
          <cell r="X4561" t="str">
            <v>CLP HC 150 (-30/+50°C)</v>
          </cell>
          <cell r="Y4561" t="str">
            <v>R107EDRN180M4 /TF</v>
          </cell>
          <cell r="Z4561" t="str">
            <v>SEW</v>
          </cell>
          <cell r="AB4561" t="str">
            <v>ATEX22</v>
          </cell>
          <cell r="AF4561">
            <v>50</v>
          </cell>
          <cell r="AG4561" t="str">
            <v>EDRN180M4</v>
          </cell>
          <cell r="AH4561" t="str">
            <v>R107-EDRN180M4270-X</v>
          </cell>
        </row>
        <row r="4562">
          <cell r="A4562" t="str">
            <v>MR004551</v>
          </cell>
          <cell r="B4562" t="str">
            <v>MR</v>
          </cell>
          <cell r="C4562">
            <v>18.5</v>
          </cell>
          <cell r="D4562">
            <v>12</v>
          </cell>
          <cell r="E4562" t="str">
            <v>KH157</v>
          </cell>
          <cell r="F4562">
            <v>14600</v>
          </cell>
          <cell r="G4562" t="str">
            <v>122,39</v>
          </cell>
          <cell r="H4562" t="str">
            <v>1,35</v>
          </cell>
          <cell r="I4562" t="str">
            <v>From M1A to M2A - 45°</v>
          </cell>
          <cell r="J4562" t="str">
            <v>IE3</v>
          </cell>
          <cell r="K4562" t="str">
            <v>400/690</v>
          </cell>
          <cell r="L4562">
            <v>50</v>
          </cell>
          <cell r="M4562" t="str">
            <v>33,5/19,3</v>
          </cell>
          <cell r="N4562">
            <v>65</v>
          </cell>
          <cell r="O4562" t="str">
            <v>155(F)</v>
          </cell>
          <cell r="P4562" t="str">
            <v>180°</v>
          </cell>
          <cell r="Q4562" t="str">
            <v>TF</v>
          </cell>
          <cell r="R4562" t="str">
            <v>V(VE)</v>
          </cell>
          <cell r="S4562" t="str">
            <v>-</v>
          </cell>
          <cell r="T4562" t="str">
            <v>-</v>
          </cell>
          <cell r="U4562" t="str">
            <v>-</v>
          </cell>
          <cell r="V4562" t="str">
            <v>FC</v>
          </cell>
          <cell r="W4562" t="str">
            <v>-</v>
          </cell>
          <cell r="X4562" t="str">
            <v>CLP HC 150 (-30/+50°C)</v>
          </cell>
          <cell r="Y4562" t="str">
            <v>KH157EDRN180M4 /TF/VE</v>
          </cell>
          <cell r="Z4562" t="str">
            <v>SEW</v>
          </cell>
          <cell r="AB4562" t="str">
            <v>ATEX22</v>
          </cell>
          <cell r="AF4562">
            <v>12</v>
          </cell>
          <cell r="AG4562" t="str">
            <v>EDRN180M4</v>
          </cell>
          <cell r="AH4562" t="str">
            <v>KH157-EDRN180M4A180-X#</v>
          </cell>
        </row>
        <row r="4563">
          <cell r="A4563" t="str">
            <v>MR004552</v>
          </cell>
          <cell r="B4563" t="str">
            <v>MR</v>
          </cell>
          <cell r="C4563">
            <v>18.5</v>
          </cell>
          <cell r="D4563">
            <v>12</v>
          </cell>
          <cell r="E4563" t="str">
            <v>KH157</v>
          </cell>
          <cell r="F4563">
            <v>14600</v>
          </cell>
          <cell r="G4563" t="str">
            <v>122,39</v>
          </cell>
          <cell r="H4563" t="str">
            <v>1,35</v>
          </cell>
          <cell r="I4563" t="str">
            <v>From M1B to M2B - 45°</v>
          </cell>
          <cell r="J4563" t="str">
            <v>IE3</v>
          </cell>
          <cell r="K4563" t="str">
            <v>400/690</v>
          </cell>
          <cell r="L4563">
            <v>50</v>
          </cell>
          <cell r="M4563" t="str">
            <v>33,5/19,3</v>
          </cell>
          <cell r="N4563">
            <v>65</v>
          </cell>
          <cell r="O4563" t="str">
            <v>155(F)</v>
          </cell>
          <cell r="P4563" t="str">
            <v>0°</v>
          </cell>
          <cell r="Q4563" t="str">
            <v>TF</v>
          </cell>
          <cell r="R4563" t="str">
            <v>V(VE)</v>
          </cell>
          <cell r="S4563" t="str">
            <v>-</v>
          </cell>
          <cell r="T4563" t="str">
            <v>-</v>
          </cell>
          <cell r="U4563" t="str">
            <v>-</v>
          </cell>
          <cell r="V4563" t="str">
            <v>FC</v>
          </cell>
          <cell r="W4563" t="str">
            <v>-</v>
          </cell>
          <cell r="X4563" t="str">
            <v>CLP HC 150 (-30/+50°C)</v>
          </cell>
          <cell r="Y4563" t="str">
            <v>KH157EDRN180M4 /TF/VE</v>
          </cell>
          <cell r="Z4563" t="str">
            <v>SEW</v>
          </cell>
          <cell r="AB4563" t="str">
            <v>ATEX22</v>
          </cell>
          <cell r="AF4563">
            <v>12</v>
          </cell>
          <cell r="AG4563" t="str">
            <v>EDRN180M4</v>
          </cell>
          <cell r="AH4563" t="str">
            <v>KH157-EDRN180M4B0-X#</v>
          </cell>
        </row>
        <row r="4564">
          <cell r="A4564" t="str">
            <v>MR004553</v>
          </cell>
          <cell r="B4564" t="str">
            <v>MR</v>
          </cell>
          <cell r="C4564">
            <v>18.5</v>
          </cell>
          <cell r="D4564">
            <v>40</v>
          </cell>
          <cell r="E4564" t="str">
            <v>R127</v>
          </cell>
          <cell r="F4564">
            <v>4410</v>
          </cell>
          <cell r="G4564">
            <v>36.880000000000003</v>
          </cell>
          <cell r="H4564">
            <v>1.2</v>
          </cell>
          <cell r="I4564" t="str">
            <v>M1</v>
          </cell>
          <cell r="J4564" t="str">
            <v>IE3</v>
          </cell>
          <cell r="K4564" t="str">
            <v>400/690</v>
          </cell>
          <cell r="L4564">
            <v>50</v>
          </cell>
          <cell r="M4564" t="str">
            <v>35/20</v>
          </cell>
          <cell r="N4564">
            <v>65</v>
          </cell>
          <cell r="O4564" t="str">
            <v>155(F)</v>
          </cell>
          <cell r="P4564" t="str">
            <v>270°</v>
          </cell>
          <cell r="Q4564" t="str">
            <v>TF</v>
          </cell>
          <cell r="R4564" t="str">
            <v>-</v>
          </cell>
          <cell r="S4564" t="str">
            <v>-</v>
          </cell>
          <cell r="T4564" t="str">
            <v>-</v>
          </cell>
          <cell r="U4564" t="str">
            <v>-</v>
          </cell>
          <cell r="V4564" t="str">
            <v>D+R</v>
          </cell>
          <cell r="W4564" t="str">
            <v>-</v>
          </cell>
          <cell r="X4564" t="str">
            <v>CLP HC 150 (-30/+50°C)</v>
          </cell>
          <cell r="Y4564" t="str">
            <v>R127EDRN180M4 /TF</v>
          </cell>
          <cell r="Z4564" t="str">
            <v>SEW</v>
          </cell>
          <cell r="AB4564" t="str">
            <v>ATEX22</v>
          </cell>
          <cell r="AF4564">
            <v>40</v>
          </cell>
          <cell r="AG4564" t="str">
            <v>EDRN180M4</v>
          </cell>
          <cell r="AH4564" t="str">
            <v>R127-EDRN180M4270-X</v>
          </cell>
        </row>
        <row r="4565">
          <cell r="A4565" t="str">
            <v>MR004554</v>
          </cell>
          <cell r="B4565" t="str">
            <v>MR</v>
          </cell>
          <cell r="C4565">
            <v>30</v>
          </cell>
          <cell r="D4565">
            <v>107</v>
          </cell>
          <cell r="E4565" t="str">
            <v>KH97</v>
          </cell>
          <cell r="F4565">
            <v>2680</v>
          </cell>
          <cell r="G4565">
            <v>13.85</v>
          </cell>
          <cell r="H4565">
            <v>1.4</v>
          </cell>
          <cell r="I4565" t="str">
            <v>From M4A to M1A - 10°</v>
          </cell>
          <cell r="J4565" t="str">
            <v>IE3</v>
          </cell>
          <cell r="K4565" t="str">
            <v>400/690</v>
          </cell>
          <cell r="L4565">
            <v>50</v>
          </cell>
          <cell r="M4565" t="str">
            <v>57/33</v>
          </cell>
          <cell r="N4565">
            <v>65</v>
          </cell>
          <cell r="O4565" t="str">
            <v>155(F)</v>
          </cell>
          <cell r="P4565" t="str">
            <v>270°</v>
          </cell>
          <cell r="Q4565" t="str">
            <v>TF</v>
          </cell>
          <cell r="R4565" t="str">
            <v>-</v>
          </cell>
          <cell r="S4565" t="str">
            <v>Free rotation CCW</v>
          </cell>
          <cell r="T4565" t="str">
            <v>-</v>
          </cell>
          <cell r="U4565" t="str">
            <v>T</v>
          </cell>
          <cell r="V4565" t="str">
            <v>SS</v>
          </cell>
          <cell r="W4565" t="str">
            <v>-</v>
          </cell>
          <cell r="X4565" t="str">
            <v>CLP HC 150 (-30/+50°C)</v>
          </cell>
          <cell r="Y4565" t="str">
            <v>KH97/T EDRN200L4 /RS /TF</v>
          </cell>
          <cell r="Z4565" t="str">
            <v>SEW</v>
          </cell>
          <cell r="AB4565" t="str">
            <v>ATEX22</v>
          </cell>
          <cell r="AF4565">
            <v>107</v>
          </cell>
          <cell r="AG4565" t="str">
            <v>EDRN200L4</v>
          </cell>
          <cell r="AH4565" t="str">
            <v>KH97T-EDRN200L4A270-X</v>
          </cell>
        </row>
        <row r="4566">
          <cell r="A4566" t="str">
            <v>MR004555</v>
          </cell>
          <cell r="B4566" t="str">
            <v>MR</v>
          </cell>
          <cell r="C4566">
            <v>0.75</v>
          </cell>
          <cell r="D4566">
            <v>162</v>
          </cell>
          <cell r="E4566" t="str">
            <v>KA37</v>
          </cell>
          <cell r="F4566">
            <v>44</v>
          </cell>
          <cell r="G4566">
            <v>8.91</v>
          </cell>
          <cell r="H4566">
            <v>3.1</v>
          </cell>
          <cell r="I4566" t="str">
            <v>From M3A to M4A - 10°</v>
          </cell>
          <cell r="J4566" t="str">
            <v>IE3</v>
          </cell>
          <cell r="K4566" t="str">
            <v>230/400</v>
          </cell>
          <cell r="L4566">
            <v>50</v>
          </cell>
          <cell r="M4566" t="str">
            <v>3,1/1,79</v>
          </cell>
          <cell r="N4566">
            <v>65</v>
          </cell>
          <cell r="O4566" t="str">
            <v>155(F)</v>
          </cell>
          <cell r="P4566" t="str">
            <v>180°</v>
          </cell>
          <cell r="Q4566" t="str">
            <v>TF</v>
          </cell>
          <cell r="R4566" t="str">
            <v>-</v>
          </cell>
          <cell r="S4566" t="str">
            <v>-</v>
          </cell>
          <cell r="T4566" t="str">
            <v>-</v>
          </cell>
          <cell r="U4566" t="str">
            <v>T</v>
          </cell>
          <cell r="V4566" t="str">
            <v>D</v>
          </cell>
          <cell r="W4566" t="str">
            <v>-</v>
          </cell>
          <cell r="X4566" t="str">
            <v>CLP HC 150 (-30/+50°C)</v>
          </cell>
          <cell r="Y4566" t="str">
            <v>KA37/T EDRN80M4 /TF</v>
          </cell>
          <cell r="Z4566" t="str">
            <v>SEW</v>
          </cell>
          <cell r="AB4566" t="str">
            <v>ATEX22</v>
          </cell>
          <cell r="AF4566">
            <v>162</v>
          </cell>
          <cell r="AG4566" t="str">
            <v>EDRN80M4</v>
          </cell>
          <cell r="AH4566" t="str">
            <v>KA37T-EDRN80M4A180-X</v>
          </cell>
        </row>
        <row r="4567">
          <cell r="A4567" t="str">
            <v>MR004556</v>
          </cell>
          <cell r="B4567" t="str">
            <v>MR</v>
          </cell>
          <cell r="C4567">
            <v>0.37</v>
          </cell>
          <cell r="D4567">
            <v>6.1</v>
          </cell>
          <cell r="E4567" t="str">
            <v>FH67</v>
          </cell>
          <cell r="F4567">
            <v>575</v>
          </cell>
          <cell r="G4567">
            <v>228.99</v>
          </cell>
          <cell r="H4567">
            <v>1.4</v>
          </cell>
          <cell r="I4567" t="str">
            <v>From M5 to M3 - 10°</v>
          </cell>
          <cell r="J4567" t="str">
            <v>IE3</v>
          </cell>
          <cell r="K4567" t="str">
            <v>230/400</v>
          </cell>
          <cell r="L4567">
            <v>50</v>
          </cell>
          <cell r="M4567" t="str">
            <v>1,98/1,14</v>
          </cell>
          <cell r="N4567">
            <v>65</v>
          </cell>
          <cell r="O4567" t="str">
            <v>155(F)</v>
          </cell>
          <cell r="P4567" t="str">
            <v>180°</v>
          </cell>
          <cell r="Q4567" t="str">
            <v>TF</v>
          </cell>
          <cell r="R4567" t="str">
            <v>-</v>
          </cell>
          <cell r="S4567" t="str">
            <v>-</v>
          </cell>
          <cell r="T4567" t="str">
            <v>-</v>
          </cell>
          <cell r="U4567" t="str">
            <v>G</v>
          </cell>
          <cell r="V4567" t="str">
            <v>D</v>
          </cell>
          <cell r="W4567" t="str">
            <v>-</v>
          </cell>
          <cell r="X4567" t="str">
            <v>CLP HC 150 (-30/+50°C)</v>
          </cell>
          <cell r="Y4567" t="str">
            <v>FH67/G EDRN71M4 /TF</v>
          </cell>
          <cell r="Z4567" t="str">
            <v>SEW</v>
          </cell>
          <cell r="AB4567" t="str">
            <v>ATEX22</v>
          </cell>
          <cell r="AF4567">
            <v>6.1</v>
          </cell>
          <cell r="AG4567" t="str">
            <v>EDRN71M4</v>
          </cell>
          <cell r="AH4567" t="str">
            <v>FH67G-EDRN71M4180-X</v>
          </cell>
        </row>
        <row r="4568">
          <cell r="A4568" t="str">
            <v>MR004557</v>
          </cell>
          <cell r="B4568" t="str">
            <v>MR</v>
          </cell>
          <cell r="C4568">
            <v>30</v>
          </cell>
          <cell r="D4568">
            <v>123</v>
          </cell>
          <cell r="E4568" t="str">
            <v>KH97</v>
          </cell>
          <cell r="F4568">
            <v>2320</v>
          </cell>
          <cell r="G4568">
            <v>11.99</v>
          </cell>
          <cell r="H4568">
            <v>1.6</v>
          </cell>
          <cell r="I4568" t="str">
            <v>From M4B to M1B - 20°</v>
          </cell>
          <cell r="J4568" t="str">
            <v>IE3</v>
          </cell>
          <cell r="K4568" t="str">
            <v>400/690</v>
          </cell>
          <cell r="L4568">
            <v>50</v>
          </cell>
          <cell r="M4568" t="str">
            <v>57/33</v>
          </cell>
          <cell r="N4568">
            <v>65</v>
          </cell>
          <cell r="O4568" t="str">
            <v>155(F)</v>
          </cell>
          <cell r="P4568" t="str">
            <v>270°</v>
          </cell>
          <cell r="Q4568" t="str">
            <v>TF</v>
          </cell>
          <cell r="R4568" t="str">
            <v>-</v>
          </cell>
          <cell r="S4568" t="str">
            <v>Free rotation CW</v>
          </cell>
          <cell r="T4568" t="str">
            <v>-</v>
          </cell>
          <cell r="U4568" t="str">
            <v>T</v>
          </cell>
          <cell r="V4568" t="str">
            <v>SS</v>
          </cell>
          <cell r="W4568" t="str">
            <v>-</v>
          </cell>
          <cell r="X4568" t="str">
            <v>CLP HC 150 (-30/+50°C)</v>
          </cell>
          <cell r="Y4568" t="str">
            <v>KH97/T EDRN200L4 /RS /TF</v>
          </cell>
          <cell r="Z4568" t="str">
            <v>SEW</v>
          </cell>
          <cell r="AB4568" t="str">
            <v>ATEX22</v>
          </cell>
          <cell r="AF4568">
            <v>123</v>
          </cell>
          <cell r="AG4568" t="str">
            <v>EDRN200L4</v>
          </cell>
          <cell r="AH4568" t="str">
            <v>KH97T-EDRN200L4B270-X</v>
          </cell>
        </row>
        <row r="4569">
          <cell r="A4569" t="str">
            <v>MR004558</v>
          </cell>
          <cell r="B4569" t="str">
            <v>MR</v>
          </cell>
          <cell r="C4569">
            <v>0.75</v>
          </cell>
          <cell r="D4569">
            <v>162</v>
          </cell>
          <cell r="E4569" t="str">
            <v>KA37</v>
          </cell>
          <cell r="F4569">
            <v>44</v>
          </cell>
          <cell r="G4569">
            <v>8.91</v>
          </cell>
          <cell r="H4569">
            <v>3.1</v>
          </cell>
          <cell r="I4569" t="str">
            <v>From M3B to M4B - 20°</v>
          </cell>
          <cell r="J4569" t="str">
            <v>IE3</v>
          </cell>
          <cell r="K4569" t="str">
            <v>230/400</v>
          </cell>
          <cell r="L4569">
            <v>50</v>
          </cell>
          <cell r="M4569" t="str">
            <v>3,1/1,79</v>
          </cell>
          <cell r="N4569">
            <v>65</v>
          </cell>
          <cell r="O4569" t="str">
            <v>155(F)</v>
          </cell>
          <cell r="P4569" t="str">
            <v>0°</v>
          </cell>
          <cell r="Q4569" t="str">
            <v>TF</v>
          </cell>
          <cell r="R4569" t="str">
            <v>-</v>
          </cell>
          <cell r="S4569" t="str">
            <v>-</v>
          </cell>
          <cell r="T4569" t="str">
            <v>-</v>
          </cell>
          <cell r="U4569" t="str">
            <v>T</v>
          </cell>
          <cell r="V4569" t="str">
            <v>D</v>
          </cell>
          <cell r="W4569" t="str">
            <v>-</v>
          </cell>
          <cell r="X4569" t="str">
            <v>CLP HC 150 (-30/+50°C)</v>
          </cell>
          <cell r="Y4569" t="str">
            <v>KA37/T EDRN80M4 /TF</v>
          </cell>
          <cell r="Z4569" t="str">
            <v>SEW</v>
          </cell>
          <cell r="AB4569" t="str">
            <v>ATEX22</v>
          </cell>
          <cell r="AF4569">
            <v>162</v>
          </cell>
          <cell r="AG4569" t="str">
            <v>EDRN80M4</v>
          </cell>
          <cell r="AH4569" t="str">
            <v>KA37T-EDRN80M4B0-X</v>
          </cell>
        </row>
        <row r="4570">
          <cell r="A4570" t="str">
            <v>MR004559</v>
          </cell>
          <cell r="B4570" t="str">
            <v>MR</v>
          </cell>
          <cell r="C4570">
            <v>0.37</v>
          </cell>
          <cell r="D4570">
            <v>6.1</v>
          </cell>
          <cell r="E4570" t="str">
            <v>FH67</v>
          </cell>
          <cell r="F4570">
            <v>575</v>
          </cell>
          <cell r="G4570">
            <v>228.99</v>
          </cell>
          <cell r="H4570">
            <v>1.4</v>
          </cell>
          <cell r="I4570" t="str">
            <v>From M6 to M3 - 20°</v>
          </cell>
          <cell r="J4570" t="str">
            <v>IE3</v>
          </cell>
          <cell r="K4570" t="str">
            <v>230/400</v>
          </cell>
          <cell r="L4570">
            <v>50</v>
          </cell>
          <cell r="M4570" t="str">
            <v>1,98/1,14</v>
          </cell>
          <cell r="N4570">
            <v>65</v>
          </cell>
          <cell r="O4570" t="str">
            <v>155(F)</v>
          </cell>
          <cell r="P4570" t="str">
            <v>0°</v>
          </cell>
          <cell r="Q4570" t="str">
            <v>TF</v>
          </cell>
          <cell r="R4570" t="str">
            <v>-</v>
          </cell>
          <cell r="S4570" t="str">
            <v>-</v>
          </cell>
          <cell r="T4570" t="str">
            <v>-</v>
          </cell>
          <cell r="U4570" t="str">
            <v>G</v>
          </cell>
          <cell r="V4570" t="str">
            <v>D</v>
          </cell>
          <cell r="W4570" t="str">
            <v>-</v>
          </cell>
          <cell r="X4570" t="str">
            <v>CLP HC 150 (-30/+50°C)</v>
          </cell>
          <cell r="Y4570" t="str">
            <v>FH67/G EDRN71M4 /TF</v>
          </cell>
          <cell r="Z4570" t="str">
            <v>SEW</v>
          </cell>
          <cell r="AB4570" t="str">
            <v>ATEX22</v>
          </cell>
          <cell r="AF4570">
            <v>6.1</v>
          </cell>
          <cell r="AG4570" t="str">
            <v>EDRN71M4</v>
          </cell>
          <cell r="AH4570" t="str">
            <v>FH67G-EDRN71M40-X</v>
          </cell>
        </row>
        <row r="4571">
          <cell r="A4571" t="str">
            <v>MR004560</v>
          </cell>
          <cell r="B4571" t="str">
            <v>MR</v>
          </cell>
          <cell r="C4571">
            <v>1.5</v>
          </cell>
          <cell r="D4571">
            <v>13</v>
          </cell>
          <cell r="E4571" t="str">
            <v>FA77</v>
          </cell>
          <cell r="F4571">
            <v>1120</v>
          </cell>
          <cell r="G4571">
            <v>114.45</v>
          </cell>
          <cell r="H4571">
            <v>1.35</v>
          </cell>
          <cell r="I4571" t="str">
            <v>M5</v>
          </cell>
          <cell r="J4571" t="str">
            <v>IE3</v>
          </cell>
          <cell r="K4571" t="str">
            <v>230/400</v>
          </cell>
          <cell r="L4571">
            <v>50</v>
          </cell>
          <cell r="M4571" t="str">
            <v>5,9/3,4</v>
          </cell>
          <cell r="N4571">
            <v>55</v>
          </cell>
          <cell r="O4571" t="str">
            <v>155(F)</v>
          </cell>
          <cell r="P4571" t="str">
            <v>270°</v>
          </cell>
          <cell r="Q4571" t="str">
            <v>TF</v>
          </cell>
          <cell r="R4571" t="str">
            <v>V(VE)</v>
          </cell>
          <cell r="S4571" t="str">
            <v>-</v>
          </cell>
          <cell r="T4571" t="str">
            <v>-</v>
          </cell>
          <cell r="U4571" t="str">
            <v>G</v>
          </cell>
          <cell r="V4571" t="str">
            <v>FC</v>
          </cell>
          <cell r="W4571" t="str">
            <v>-</v>
          </cell>
          <cell r="X4571" t="str">
            <v>CLP HC 220 (-25/+60°C)</v>
          </cell>
          <cell r="Y4571" t="str">
            <v>FA77/G EDRN90L4 /TF/VE</v>
          </cell>
          <cell r="Z4571" t="str">
            <v>SEW</v>
          </cell>
          <cell r="AA4571" t="str">
            <v>RAL7035</v>
          </cell>
          <cell r="AB4571" t="str">
            <v>ATEX22</v>
          </cell>
          <cell r="AF4571">
            <v>13</v>
          </cell>
          <cell r="AG4571" t="str">
            <v>EDRN90L4</v>
          </cell>
          <cell r="AH4571" t="str">
            <v>FA77G-EDRN90L4270-X#</v>
          </cell>
        </row>
        <row r="4572">
          <cell r="A4572" t="str">
            <v>MR004561</v>
          </cell>
          <cell r="B4572" t="str">
            <v>MR</v>
          </cell>
          <cell r="C4572">
            <v>1.5</v>
          </cell>
          <cell r="D4572">
            <v>13</v>
          </cell>
          <cell r="E4572" t="str">
            <v>FA77</v>
          </cell>
          <cell r="F4572">
            <v>1120</v>
          </cell>
          <cell r="G4572">
            <v>114.45</v>
          </cell>
          <cell r="H4572">
            <v>1.35</v>
          </cell>
          <cell r="I4572" t="str">
            <v>M6</v>
          </cell>
          <cell r="J4572" t="str">
            <v>IE3</v>
          </cell>
          <cell r="K4572" t="str">
            <v>230/400</v>
          </cell>
          <cell r="L4572">
            <v>50</v>
          </cell>
          <cell r="M4572" t="str">
            <v>5,9/3,4</v>
          </cell>
          <cell r="N4572">
            <v>55</v>
          </cell>
          <cell r="O4572" t="str">
            <v>155(F)</v>
          </cell>
          <cell r="P4572" t="str">
            <v>0°</v>
          </cell>
          <cell r="Q4572" t="str">
            <v>TF</v>
          </cell>
          <cell r="R4572" t="str">
            <v>V(VE)</v>
          </cell>
          <cell r="S4572" t="str">
            <v>-</v>
          </cell>
          <cell r="T4572" t="str">
            <v>-</v>
          </cell>
          <cell r="U4572" t="str">
            <v>G</v>
          </cell>
          <cell r="V4572" t="str">
            <v>FC</v>
          </cell>
          <cell r="W4572" t="str">
            <v>-</v>
          </cell>
          <cell r="X4572" t="str">
            <v>CLP HC 220 (-25/+60°C)</v>
          </cell>
          <cell r="Y4572" t="str">
            <v>FA77/G EDRN90L4 /TF/VE</v>
          </cell>
          <cell r="Z4572" t="str">
            <v>SEW</v>
          </cell>
          <cell r="AA4572" t="str">
            <v>RAL7035</v>
          </cell>
          <cell r="AB4572" t="str">
            <v>ATEX22</v>
          </cell>
          <cell r="AF4572">
            <v>13</v>
          </cell>
          <cell r="AG4572" t="str">
            <v>EDRN90L4</v>
          </cell>
          <cell r="AH4572" t="str">
            <v>FA77G-EDRN90L40-X#</v>
          </cell>
        </row>
        <row r="4573">
          <cell r="A4573" t="str">
            <v>MR004562</v>
          </cell>
          <cell r="B4573" t="str">
            <v>MR</v>
          </cell>
          <cell r="C4573">
            <v>3</v>
          </cell>
          <cell r="D4573">
            <v>62</v>
          </cell>
          <cell r="E4573" t="str">
            <v>R67</v>
          </cell>
          <cell r="F4573">
            <v>460</v>
          </cell>
          <cell r="G4573">
            <v>23.44</v>
          </cell>
          <cell r="H4573">
            <v>1.2</v>
          </cell>
          <cell r="I4573" t="str">
            <v>From M1 to M4 - 20°</v>
          </cell>
          <cell r="J4573" t="str">
            <v>IE3</v>
          </cell>
          <cell r="K4573" t="str">
            <v>230/400</v>
          </cell>
          <cell r="L4573">
            <v>50</v>
          </cell>
          <cell r="M4573" t="str">
            <v>11,2/6,4</v>
          </cell>
          <cell r="N4573">
            <v>55</v>
          </cell>
          <cell r="O4573" t="str">
            <v>155(F)</v>
          </cell>
          <cell r="P4573" t="str">
            <v>0°</v>
          </cell>
          <cell r="Q4573" t="str">
            <v>-</v>
          </cell>
          <cell r="R4573" t="str">
            <v>-</v>
          </cell>
          <cell r="S4573" t="str">
            <v>-</v>
          </cell>
          <cell r="T4573" t="str">
            <v>-</v>
          </cell>
          <cell r="U4573" t="str">
            <v>-</v>
          </cell>
          <cell r="V4573" t="str">
            <v>D</v>
          </cell>
          <cell r="W4573" t="str">
            <v>-</v>
          </cell>
          <cell r="X4573" t="str">
            <v>CLP HC 220 (-25/+60°C)</v>
          </cell>
          <cell r="Y4573" t="str">
            <v>R67EDRN100L4</v>
          </cell>
          <cell r="Z4573" t="str">
            <v>SEW</v>
          </cell>
          <cell r="AA4573" t="str">
            <v>RAL7035</v>
          </cell>
          <cell r="AB4573" t="str">
            <v>ATEX22</v>
          </cell>
          <cell r="AF4573">
            <v>62</v>
          </cell>
          <cell r="AG4573" t="str">
            <v>EDRN100L4</v>
          </cell>
          <cell r="AH4573" t="str">
            <v>R67-EDRN100L40-X</v>
          </cell>
        </row>
        <row r="4574">
          <cell r="A4574" t="str">
            <v>MR004563</v>
          </cell>
          <cell r="B4574" t="str">
            <v>MR</v>
          </cell>
          <cell r="C4574">
            <v>7.5</v>
          </cell>
          <cell r="D4574">
            <v>76</v>
          </cell>
          <cell r="E4574" t="str">
            <v>FH87</v>
          </cell>
          <cell r="F4574">
            <v>940</v>
          </cell>
          <cell r="G4574" t="str">
            <v>19,31</v>
          </cell>
          <cell r="H4574" t="str">
            <v>3,2</v>
          </cell>
          <cell r="I4574" t="str">
            <v>From M1 to M4 - 15°</v>
          </cell>
          <cell r="J4574" t="str">
            <v>IE3</v>
          </cell>
          <cell r="K4574" t="str">
            <v>400/690</v>
          </cell>
          <cell r="L4574">
            <v>50</v>
          </cell>
          <cell r="M4574" t="str">
            <v>15,2/8,8</v>
          </cell>
          <cell r="N4574">
            <v>55</v>
          </cell>
          <cell r="O4574" t="str">
            <v>155(F)</v>
          </cell>
          <cell r="P4574" t="str">
            <v>270°</v>
          </cell>
          <cell r="Q4574" t="str">
            <v>TF</v>
          </cell>
          <cell r="R4574" t="str">
            <v>-</v>
          </cell>
          <cell r="S4574" t="str">
            <v>-</v>
          </cell>
          <cell r="T4574" t="str">
            <v>-</v>
          </cell>
          <cell r="U4574" t="str">
            <v>G</v>
          </cell>
          <cell r="V4574" t="str">
            <v>D</v>
          </cell>
          <cell r="W4574" t="str">
            <v>-</v>
          </cell>
          <cell r="X4574" t="str">
            <v>CLP 220 (-15/+40°C)</v>
          </cell>
          <cell r="Y4574" t="str">
            <v>FH87/G DRN132M4 /TF</v>
          </cell>
          <cell r="Z4574" t="str">
            <v>SEW</v>
          </cell>
          <cell r="AB4574" t="str">
            <v>-</v>
          </cell>
          <cell r="AF4574">
            <v>76</v>
          </cell>
          <cell r="AG4574" t="str">
            <v>DRN132M4</v>
          </cell>
          <cell r="AH4574" t="str">
            <v>FH87G-DRN132M4270-X</v>
          </cell>
        </row>
        <row r="4575">
          <cell r="A4575" t="str">
            <v>MR004564</v>
          </cell>
          <cell r="B4575" t="str">
            <v>MR</v>
          </cell>
          <cell r="C4575">
            <v>15</v>
          </cell>
          <cell r="D4575">
            <v>92</v>
          </cell>
          <cell r="E4575" t="str">
            <v>R97</v>
          </cell>
          <cell r="F4575">
            <v>1300</v>
          </cell>
          <cell r="G4575">
            <v>16.170000000000002</v>
          </cell>
          <cell r="H4575">
            <v>1.85</v>
          </cell>
          <cell r="I4575" t="str">
            <v>M4</v>
          </cell>
          <cell r="J4575" t="str">
            <v>IE3</v>
          </cell>
          <cell r="K4575" t="str">
            <v>400/690</v>
          </cell>
          <cell r="L4575">
            <v>50</v>
          </cell>
          <cell r="M4575" t="str">
            <v>29/16,7</v>
          </cell>
          <cell r="N4575">
            <v>55</v>
          </cell>
          <cell r="O4575" t="str">
            <v>155(F)</v>
          </cell>
          <cell r="P4575" t="str">
            <v>270°</v>
          </cell>
          <cell r="Q4575" t="str">
            <v>TF</v>
          </cell>
          <cell r="R4575" t="str">
            <v>-</v>
          </cell>
          <cell r="S4575" t="str">
            <v>-</v>
          </cell>
          <cell r="T4575" t="str">
            <v>-</v>
          </cell>
          <cell r="U4575" t="str">
            <v>-</v>
          </cell>
          <cell r="V4575" t="str">
            <v>D</v>
          </cell>
          <cell r="W4575" t="str">
            <v>-</v>
          </cell>
          <cell r="X4575" t="str">
            <v>CLP 220 (-15/+40°C)</v>
          </cell>
          <cell r="Y4575" t="str">
            <v>R97DRN160L4 /TF</v>
          </cell>
          <cell r="Z4575" t="str">
            <v>SEW</v>
          </cell>
          <cell r="AB4575" t="str">
            <v>-</v>
          </cell>
          <cell r="AF4575">
            <v>92</v>
          </cell>
          <cell r="AG4575" t="str">
            <v>DRN160L4</v>
          </cell>
          <cell r="AH4575" t="str">
            <v>R97-DRN160L4270-X</v>
          </cell>
        </row>
        <row r="4576">
          <cell r="A4576" t="str">
            <v>MR004565</v>
          </cell>
          <cell r="B4576" t="str">
            <v>MR</v>
          </cell>
          <cell r="C4576">
            <v>5.5</v>
          </cell>
          <cell r="D4576">
            <v>62</v>
          </cell>
          <cell r="E4576" t="str">
            <v>R87</v>
          </cell>
          <cell r="F4576">
            <v>840</v>
          </cell>
          <cell r="G4576">
            <v>23.4</v>
          </cell>
          <cell r="H4576">
            <v>1.85</v>
          </cell>
          <cell r="I4576" t="str">
            <v>M1</v>
          </cell>
          <cell r="J4576" t="str">
            <v>IE3</v>
          </cell>
          <cell r="K4576" t="str">
            <v>230/400</v>
          </cell>
          <cell r="L4576">
            <v>50</v>
          </cell>
          <cell r="M4576" t="str">
            <v>19,3/11,1</v>
          </cell>
          <cell r="N4576">
            <v>55</v>
          </cell>
          <cell r="O4576" t="str">
            <v>155(F)</v>
          </cell>
          <cell r="P4576" t="str">
            <v>270°</v>
          </cell>
          <cell r="Q4576" t="str">
            <v>TF</v>
          </cell>
          <cell r="R4576" t="str">
            <v>-</v>
          </cell>
          <cell r="S4576" t="str">
            <v>-</v>
          </cell>
          <cell r="T4576" t="str">
            <v>-</v>
          </cell>
          <cell r="U4576" t="str">
            <v>-</v>
          </cell>
          <cell r="V4576" t="str">
            <v>D</v>
          </cell>
          <cell r="W4576" t="str">
            <v>-</v>
          </cell>
          <cell r="X4576" t="str">
            <v>CLP 220 (-15/+40°C)</v>
          </cell>
          <cell r="Y4576" t="str">
            <v>R87DRN132S4 /TF</v>
          </cell>
          <cell r="Z4576" t="str">
            <v>SEW</v>
          </cell>
          <cell r="AB4576" t="str">
            <v>-</v>
          </cell>
          <cell r="AF4576">
            <v>62</v>
          </cell>
          <cell r="AG4576" t="str">
            <v>DRN132S4</v>
          </cell>
          <cell r="AH4576" t="str">
            <v>R87-DRN132S4270-X</v>
          </cell>
        </row>
        <row r="4577">
          <cell r="A4577" t="str">
            <v>MR004566</v>
          </cell>
          <cell r="B4577" t="str">
            <v>MR</v>
          </cell>
          <cell r="C4577">
            <v>0.75</v>
          </cell>
          <cell r="D4577">
            <v>162</v>
          </cell>
          <cell r="E4577" t="str">
            <v>KA37</v>
          </cell>
          <cell r="F4577">
            <v>44</v>
          </cell>
          <cell r="G4577">
            <v>8.91</v>
          </cell>
          <cell r="H4577">
            <v>3.6</v>
          </cell>
          <cell r="I4577" t="str">
            <v>From M3A to M2A - 15°</v>
          </cell>
          <cell r="J4577" t="str">
            <v>IE3</v>
          </cell>
          <cell r="K4577" t="str">
            <v>230/400</v>
          </cell>
          <cell r="L4577">
            <v>50</v>
          </cell>
          <cell r="M4577" t="str">
            <v>3,05/1,75</v>
          </cell>
          <cell r="N4577">
            <v>65</v>
          </cell>
          <cell r="O4577" t="str">
            <v>155(F)</v>
          </cell>
          <cell r="P4577" t="str">
            <v>180°</v>
          </cell>
          <cell r="Q4577" t="str">
            <v>TF</v>
          </cell>
          <cell r="R4577" t="str">
            <v>-</v>
          </cell>
          <cell r="S4577" t="str">
            <v>-</v>
          </cell>
          <cell r="T4577" t="str">
            <v>-</v>
          </cell>
          <cell r="U4577" t="str">
            <v>T</v>
          </cell>
          <cell r="V4577" t="str">
            <v>D</v>
          </cell>
          <cell r="W4577" t="str">
            <v>-</v>
          </cell>
          <cell r="X4577" t="str">
            <v>CLP 220 (-15/+40°C)</v>
          </cell>
          <cell r="Y4577" t="str">
            <v>KA37/T DRN80M4 /TF</v>
          </cell>
          <cell r="Z4577" t="str">
            <v>SEW</v>
          </cell>
          <cell r="AB4577" t="str">
            <v>-</v>
          </cell>
          <cell r="AF4577">
            <v>162</v>
          </cell>
          <cell r="AG4577" t="str">
            <v>DRN80M4</v>
          </cell>
          <cell r="AH4577" t="str">
            <v>KA37T-DRN80M4A180-X</v>
          </cell>
        </row>
        <row r="4578">
          <cell r="A4578" t="str">
            <v>MR004567</v>
          </cell>
          <cell r="B4578" t="str">
            <v>MR</v>
          </cell>
          <cell r="C4578">
            <v>7.5</v>
          </cell>
          <cell r="D4578">
            <v>66</v>
          </cell>
          <cell r="E4578" t="str">
            <v>R97</v>
          </cell>
          <cell r="F4578">
            <v>1090</v>
          </cell>
          <cell r="G4578">
            <v>22.37</v>
          </cell>
          <cell r="H4578">
            <v>2.5</v>
          </cell>
          <cell r="I4578" t="str">
            <v>M1</v>
          </cell>
          <cell r="J4578" t="str">
            <v>IE3</v>
          </cell>
          <cell r="K4578" t="str">
            <v>400/690</v>
          </cell>
          <cell r="L4578">
            <v>50</v>
          </cell>
          <cell r="M4578" t="str">
            <v>15,2/8,8</v>
          </cell>
          <cell r="N4578">
            <v>55</v>
          </cell>
          <cell r="O4578" t="str">
            <v>155(F)</v>
          </cell>
          <cell r="P4578" t="str">
            <v>270°</v>
          </cell>
          <cell r="Q4578" t="str">
            <v>TF</v>
          </cell>
          <cell r="R4578" t="str">
            <v>-</v>
          </cell>
          <cell r="S4578" t="str">
            <v>-</v>
          </cell>
          <cell r="T4578" t="str">
            <v>-</v>
          </cell>
          <cell r="U4578" t="str">
            <v>-</v>
          </cell>
          <cell r="V4578" t="str">
            <v>D</v>
          </cell>
          <cell r="W4578" t="str">
            <v>-</v>
          </cell>
          <cell r="X4578" t="str">
            <v>CLP 220 (-15/+40°C)</v>
          </cell>
          <cell r="Y4578" t="str">
            <v>R97DRN132M4 /TF</v>
          </cell>
          <cell r="Z4578" t="str">
            <v>SEW</v>
          </cell>
          <cell r="AB4578" t="str">
            <v>-</v>
          </cell>
          <cell r="AF4578">
            <v>66</v>
          </cell>
          <cell r="AG4578" t="str">
            <v>DRN132M4</v>
          </cell>
          <cell r="AH4578" t="str">
            <v>R97-DRN132M4270-X</v>
          </cell>
        </row>
        <row r="4579">
          <cell r="A4579" t="str">
            <v>MR004568</v>
          </cell>
          <cell r="B4579" t="str">
            <v>MR</v>
          </cell>
          <cell r="C4579">
            <v>11</v>
          </cell>
          <cell r="D4579">
            <v>109</v>
          </cell>
          <cell r="E4579" t="str">
            <v>KH77</v>
          </cell>
          <cell r="F4579">
            <v>960</v>
          </cell>
          <cell r="G4579">
            <v>13.52</v>
          </cell>
          <cell r="H4579">
            <v>1.4</v>
          </cell>
          <cell r="I4579" t="str">
            <v xml:space="preserve"> From M4B to M1B - 5°</v>
          </cell>
          <cell r="J4579" t="str">
            <v>IE3</v>
          </cell>
          <cell r="K4579" t="str">
            <v>400/690</v>
          </cell>
          <cell r="L4579">
            <v>50</v>
          </cell>
          <cell r="M4579" t="str">
            <v>21/12,2</v>
          </cell>
          <cell r="N4579">
            <v>55</v>
          </cell>
          <cell r="O4579" t="str">
            <v>155(F)</v>
          </cell>
          <cell r="P4579" t="str">
            <v>270°</v>
          </cell>
          <cell r="Q4579" t="str">
            <v>TF</v>
          </cell>
          <cell r="R4579" t="str">
            <v>-</v>
          </cell>
          <cell r="S4579" t="str">
            <v>Free rotation CW</v>
          </cell>
          <cell r="T4579" t="str">
            <v>-</v>
          </cell>
          <cell r="U4579" t="str">
            <v>T</v>
          </cell>
          <cell r="V4579" t="str">
            <v>SS</v>
          </cell>
          <cell r="W4579" t="str">
            <v>-</v>
          </cell>
          <cell r="X4579" t="str">
            <v>CLP 220 (-15/+40°C)</v>
          </cell>
          <cell r="Y4579" t="str">
            <v>KH77/T DRN160M4 /RS /TF</v>
          </cell>
          <cell r="Z4579" t="str">
            <v>SEW</v>
          </cell>
          <cell r="AB4579" t="str">
            <v>-</v>
          </cell>
          <cell r="AF4579">
            <v>109</v>
          </cell>
          <cell r="AG4579" t="str">
            <v>DRN160M4</v>
          </cell>
          <cell r="AH4579" t="str">
            <v>KH77T-DRN160M4B270-X</v>
          </cell>
        </row>
        <row r="4580">
          <cell r="A4580" t="str">
            <v>MR004569</v>
          </cell>
          <cell r="B4580" t="str">
            <v>MR</v>
          </cell>
          <cell r="C4580">
            <v>0.75</v>
          </cell>
          <cell r="D4580">
            <v>162</v>
          </cell>
          <cell r="E4580" t="str">
            <v>KA37</v>
          </cell>
          <cell r="F4580">
            <v>44</v>
          </cell>
          <cell r="G4580">
            <v>8.91</v>
          </cell>
          <cell r="H4580">
            <v>3.6</v>
          </cell>
          <cell r="I4580" t="str">
            <v>From M3B to M4B - 5°</v>
          </cell>
          <cell r="J4580" t="str">
            <v>IE3</v>
          </cell>
          <cell r="K4580" t="str">
            <v>230/400</v>
          </cell>
          <cell r="L4580">
            <v>50</v>
          </cell>
          <cell r="M4580" t="str">
            <v>3,05/1,75</v>
          </cell>
          <cell r="N4580">
            <v>55</v>
          </cell>
          <cell r="O4580" t="str">
            <v>155(F)</v>
          </cell>
          <cell r="P4580" t="str">
            <v>0°</v>
          </cell>
          <cell r="Q4580" t="str">
            <v>TF</v>
          </cell>
          <cell r="R4580" t="str">
            <v>-</v>
          </cell>
          <cell r="S4580" t="str">
            <v>-</v>
          </cell>
          <cell r="T4580" t="str">
            <v>-</v>
          </cell>
          <cell r="U4580" t="str">
            <v>T</v>
          </cell>
          <cell r="V4580" t="str">
            <v>D</v>
          </cell>
          <cell r="W4580" t="str">
            <v>-</v>
          </cell>
          <cell r="X4580" t="str">
            <v>CLP 220 (-15/+40°C)</v>
          </cell>
          <cell r="Y4580" t="str">
            <v>KA37/T DRN80M4 /TF</v>
          </cell>
          <cell r="Z4580" t="str">
            <v>SEW</v>
          </cell>
          <cell r="AB4580" t="str">
            <v>-</v>
          </cell>
          <cell r="AF4580">
            <v>162</v>
          </cell>
          <cell r="AG4580" t="str">
            <v>DRN80M4</v>
          </cell>
          <cell r="AH4580" t="str">
            <v>KA37T-DRN80M4B0-X</v>
          </cell>
        </row>
        <row r="4581">
          <cell r="A4581" t="str">
            <v>MR004570</v>
          </cell>
          <cell r="B4581" t="str">
            <v>MR</v>
          </cell>
          <cell r="C4581">
            <v>7.5</v>
          </cell>
          <cell r="D4581">
            <v>62</v>
          </cell>
          <cell r="E4581" t="str">
            <v>FH87</v>
          </cell>
          <cell r="F4581">
            <v>1150</v>
          </cell>
          <cell r="G4581">
            <v>23.68</v>
          </cell>
          <cell r="H4581">
            <v>2.6</v>
          </cell>
          <cell r="I4581" t="str">
            <v>From M1 to M2 - 30°</v>
          </cell>
          <cell r="J4581" t="str">
            <v>IE3</v>
          </cell>
          <cell r="K4581" t="str">
            <v>400/690</v>
          </cell>
          <cell r="L4581">
            <v>50</v>
          </cell>
          <cell r="M4581" t="str">
            <v>15,2/8,8</v>
          </cell>
          <cell r="N4581">
            <v>55</v>
          </cell>
          <cell r="O4581" t="str">
            <v>155(F)</v>
          </cell>
          <cell r="P4581" t="str">
            <v>270°</v>
          </cell>
          <cell r="Q4581" t="str">
            <v>TF</v>
          </cell>
          <cell r="R4581" t="str">
            <v>-</v>
          </cell>
          <cell r="S4581" t="str">
            <v>-</v>
          </cell>
          <cell r="T4581" t="str">
            <v>-</v>
          </cell>
          <cell r="U4581" t="str">
            <v>G</v>
          </cell>
          <cell r="V4581" t="str">
            <v>D</v>
          </cell>
          <cell r="W4581" t="str">
            <v>-</v>
          </cell>
          <cell r="X4581" t="str">
            <v>CLP 220 (-15/+40°C)</v>
          </cell>
          <cell r="Y4581" t="str">
            <v>FH87/G DRN132M4 /TF</v>
          </cell>
          <cell r="Z4581" t="str">
            <v>SEW</v>
          </cell>
          <cell r="AB4581" t="str">
            <v>-</v>
          </cell>
          <cell r="AF4581">
            <v>62</v>
          </cell>
          <cell r="AG4581" t="str">
            <v>DRN132M4</v>
          </cell>
          <cell r="AH4581" t="str">
            <v>FH87G-DRN132M4270-X</v>
          </cell>
        </row>
        <row r="4582">
          <cell r="A4582" t="str">
            <v>MR004571</v>
          </cell>
          <cell r="B4582" t="str">
            <v>MR</v>
          </cell>
          <cell r="C4582">
            <v>9.1999999999999993</v>
          </cell>
          <cell r="D4582">
            <v>25</v>
          </cell>
          <cell r="E4582" t="str">
            <v>R107</v>
          </cell>
          <cell r="F4582">
            <v>3550</v>
          </cell>
          <cell r="G4582">
            <v>59.41</v>
          </cell>
          <cell r="H4582">
            <v>1.2</v>
          </cell>
          <cell r="I4582" t="str">
            <v>From M1 to M2 - 20°</v>
          </cell>
          <cell r="J4582" t="str">
            <v>IE3</v>
          </cell>
          <cell r="K4582" t="str">
            <v>400/690</v>
          </cell>
          <cell r="L4582">
            <v>50</v>
          </cell>
          <cell r="M4582" t="str">
            <v>18,7/10,8</v>
          </cell>
          <cell r="N4582">
            <v>55</v>
          </cell>
          <cell r="O4582" t="str">
            <v>155(F)</v>
          </cell>
          <cell r="P4582" t="str">
            <v>270°</v>
          </cell>
          <cell r="Q4582" t="str">
            <v>TF</v>
          </cell>
          <cell r="R4582" t="str">
            <v>V(VE)</v>
          </cell>
          <cell r="S4582" t="str">
            <v>-</v>
          </cell>
          <cell r="T4582" t="str">
            <v>-</v>
          </cell>
          <cell r="U4582" t="str">
            <v>-</v>
          </cell>
          <cell r="V4582" t="str">
            <v>FC</v>
          </cell>
          <cell r="W4582" t="str">
            <v>-</v>
          </cell>
          <cell r="X4582" t="str">
            <v>CLP 220 (-15/+40°C)</v>
          </cell>
          <cell r="Y4582" t="str">
            <v>R107DRN132L4 /TF/V</v>
          </cell>
          <cell r="Z4582" t="str">
            <v>SEW</v>
          </cell>
          <cell r="AB4582" t="str">
            <v>-</v>
          </cell>
          <cell r="AF4582">
            <v>25</v>
          </cell>
          <cell r="AG4582" t="str">
            <v>DRN132L4</v>
          </cell>
          <cell r="AH4582" t="str">
            <v>R107-DRN132L4270-X#</v>
          </cell>
        </row>
        <row r="4583">
          <cell r="A4583" t="str">
            <v>MR004572</v>
          </cell>
          <cell r="B4583" t="str">
            <v>MR</v>
          </cell>
          <cell r="C4583">
            <v>11</v>
          </cell>
          <cell r="D4583">
            <v>11</v>
          </cell>
          <cell r="E4583" t="str">
            <v>KH127</v>
          </cell>
          <cell r="F4583">
            <v>9700</v>
          </cell>
          <cell r="G4583">
            <v>136.15</v>
          </cell>
          <cell r="H4583">
            <v>1.35</v>
          </cell>
          <cell r="I4583" t="str">
            <v>From M1B to M2B - 40°</v>
          </cell>
          <cell r="J4583" t="str">
            <v>IE3</v>
          </cell>
          <cell r="K4583" t="str">
            <v>400/690</v>
          </cell>
          <cell r="L4583">
            <v>50</v>
          </cell>
          <cell r="M4583" t="str">
            <v>21/12,2</v>
          </cell>
          <cell r="N4583">
            <v>55</v>
          </cell>
          <cell r="O4583" t="str">
            <v>155(F)</v>
          </cell>
          <cell r="P4583" t="str">
            <v>270°</v>
          </cell>
          <cell r="Q4583" t="str">
            <v>TF</v>
          </cell>
          <cell r="R4583" t="str">
            <v>-</v>
          </cell>
          <cell r="S4583" t="str">
            <v>-</v>
          </cell>
          <cell r="T4583" t="str">
            <v>-</v>
          </cell>
          <cell r="U4583" t="str">
            <v>-</v>
          </cell>
          <cell r="V4583" t="str">
            <v>SS</v>
          </cell>
          <cell r="W4583" t="str">
            <v>-</v>
          </cell>
          <cell r="X4583" t="str">
            <v>CLP 220 (-15/+40°C)</v>
          </cell>
          <cell r="Y4583" t="str">
            <v>KH127DRN160M4 /TF</v>
          </cell>
          <cell r="Z4583" t="str">
            <v>SEW</v>
          </cell>
          <cell r="AB4583" t="str">
            <v>-</v>
          </cell>
          <cell r="AF4583">
            <v>11</v>
          </cell>
          <cell r="AG4583" t="str">
            <v>DRN160M4</v>
          </cell>
          <cell r="AH4583" t="str">
            <v>KH127-DRN160M4B270-X</v>
          </cell>
        </row>
        <row r="4584">
          <cell r="A4584" t="str">
            <v>MR004573</v>
          </cell>
          <cell r="B4584" t="str">
            <v>MR</v>
          </cell>
          <cell r="C4584">
            <v>4</v>
          </cell>
          <cell r="D4584">
            <v>95</v>
          </cell>
          <cell r="E4584" t="str">
            <v>R87</v>
          </cell>
          <cell r="F4584">
            <v>400</v>
          </cell>
          <cell r="G4584">
            <v>15.35</v>
          </cell>
          <cell r="H4584">
            <v>3.3</v>
          </cell>
          <cell r="I4584" t="str">
            <v>From M1 to M2 - 15°</v>
          </cell>
          <cell r="J4584" t="str">
            <v>IE3</v>
          </cell>
          <cell r="K4584" t="str">
            <v>230/400</v>
          </cell>
          <cell r="L4584">
            <v>50</v>
          </cell>
          <cell r="M4584" t="str">
            <v>13,8/7,9</v>
          </cell>
          <cell r="N4584">
            <v>55</v>
          </cell>
          <cell r="O4584" t="str">
            <v>155(F)</v>
          </cell>
          <cell r="P4584" t="str">
            <v>270°</v>
          </cell>
          <cell r="Q4584" t="str">
            <v>TF</v>
          </cell>
          <cell r="R4584" t="str">
            <v>-</v>
          </cell>
          <cell r="S4584" t="str">
            <v>-</v>
          </cell>
          <cell r="T4584" t="str">
            <v>-</v>
          </cell>
          <cell r="U4584" t="str">
            <v>-</v>
          </cell>
          <cell r="V4584" t="str">
            <v>D</v>
          </cell>
          <cell r="W4584" t="str">
            <v>-</v>
          </cell>
          <cell r="X4584" t="str">
            <v>CLP 220 (-15/+40°C)</v>
          </cell>
          <cell r="Y4584" t="str">
            <v>R87DRN112M4 /TF</v>
          </cell>
          <cell r="Z4584" t="str">
            <v>SEW</v>
          </cell>
          <cell r="AB4584" t="str">
            <v>-</v>
          </cell>
          <cell r="AF4584">
            <v>95</v>
          </cell>
          <cell r="AG4584" t="str">
            <v>DRN112M4</v>
          </cell>
          <cell r="AH4584" t="str">
            <v>R87-DRN112M4270-X</v>
          </cell>
        </row>
        <row r="4585">
          <cell r="A4585" t="str">
            <v>MR004574</v>
          </cell>
          <cell r="B4585" t="str">
            <v>MR</v>
          </cell>
          <cell r="C4585">
            <v>22</v>
          </cell>
          <cell r="D4585">
            <v>16</v>
          </cell>
          <cell r="E4585" t="str">
            <v>KH157</v>
          </cell>
          <cell r="F4585">
            <v>13000</v>
          </cell>
          <cell r="G4585">
            <v>91.65</v>
          </cell>
          <cell r="H4585">
            <v>1.55</v>
          </cell>
          <cell r="I4585" t="str">
            <v>From M1B to M2B - 30°</v>
          </cell>
          <cell r="J4585" t="str">
            <v>IE3</v>
          </cell>
          <cell r="K4585">
            <v>415</v>
          </cell>
          <cell r="L4585">
            <v>50</v>
          </cell>
          <cell r="M4585">
            <v>37</v>
          </cell>
          <cell r="N4585">
            <v>55</v>
          </cell>
          <cell r="O4585" t="str">
            <v>155(F)</v>
          </cell>
          <cell r="P4585" t="str">
            <v>0°</v>
          </cell>
          <cell r="Q4585" t="str">
            <v>TF</v>
          </cell>
          <cell r="R4585" t="str">
            <v>V(VE)</v>
          </cell>
          <cell r="S4585" t="str">
            <v>-</v>
          </cell>
          <cell r="T4585" t="str">
            <v>-</v>
          </cell>
          <cell r="U4585" t="str">
            <v>-</v>
          </cell>
          <cell r="V4585" t="str">
            <v>FC</v>
          </cell>
          <cell r="W4585" t="str">
            <v>-</v>
          </cell>
          <cell r="X4585" t="str">
            <v>CLP 220 (-15/+40°C)</v>
          </cell>
          <cell r="Y4585" t="str">
            <v>KH157DRN180L4 /TF/V</v>
          </cell>
          <cell r="Z4585" t="str">
            <v>SEW</v>
          </cell>
          <cell r="AB4585" t="str">
            <v>-</v>
          </cell>
          <cell r="AF4585">
            <v>16</v>
          </cell>
          <cell r="AG4585" t="str">
            <v>DRN180L4</v>
          </cell>
          <cell r="AH4585" t="str">
            <v>KH157-DRN180L4B0-X#</v>
          </cell>
        </row>
        <row r="4586">
          <cell r="A4586" t="str">
            <v>MR004575</v>
          </cell>
          <cell r="B4586" t="str">
            <v>MR</v>
          </cell>
          <cell r="C4586">
            <v>9.1999999999999993</v>
          </cell>
          <cell r="D4586">
            <v>15</v>
          </cell>
          <cell r="E4586" t="str">
            <v>KH107</v>
          </cell>
          <cell r="F4586">
            <v>6020</v>
          </cell>
          <cell r="G4586">
            <v>100.75</v>
          </cell>
          <cell r="H4586">
            <v>1.35</v>
          </cell>
          <cell r="I4586" t="str">
            <v>From M1B to M4B - 50°</v>
          </cell>
          <cell r="J4586" t="str">
            <v>IE3</v>
          </cell>
          <cell r="K4586">
            <v>400</v>
          </cell>
          <cell r="L4586">
            <v>50</v>
          </cell>
          <cell r="N4586">
            <v>55</v>
          </cell>
          <cell r="O4586" t="str">
            <v>155(F)</v>
          </cell>
          <cell r="P4586" t="str">
            <v>270°</v>
          </cell>
          <cell r="Q4586" t="str">
            <v>-</v>
          </cell>
          <cell r="R4586" t="str">
            <v>-</v>
          </cell>
          <cell r="S4586" t="str">
            <v>-</v>
          </cell>
          <cell r="T4586" t="str">
            <v>-</v>
          </cell>
          <cell r="U4586" t="str">
            <v>T</v>
          </cell>
          <cell r="V4586" t="str">
            <v>FC</v>
          </cell>
          <cell r="W4586" t="str">
            <v>-</v>
          </cell>
          <cell r="X4586" t="str">
            <v>CLP 220 (-15/+40°C)</v>
          </cell>
          <cell r="Y4586" t="str">
            <v>KH107/T DRN132L4</v>
          </cell>
          <cell r="Z4586" t="str">
            <v>SEW</v>
          </cell>
          <cell r="AB4586" t="str">
            <v>-</v>
          </cell>
          <cell r="AF4586">
            <v>15</v>
          </cell>
          <cell r="AG4586" t="str">
            <v>DRN132L4</v>
          </cell>
          <cell r="AH4586" t="str">
            <v>KH107T-DRN132L4B270-X</v>
          </cell>
        </row>
        <row r="4587">
          <cell r="A4587" t="str">
            <v>MR004576</v>
          </cell>
          <cell r="B4587" t="str">
            <v>MR</v>
          </cell>
          <cell r="C4587">
            <v>11</v>
          </cell>
          <cell r="D4587">
            <v>15</v>
          </cell>
          <cell r="E4587" t="str">
            <v>KH107</v>
          </cell>
          <cell r="F4587">
            <v>6020</v>
          </cell>
          <cell r="G4587">
            <v>100.75</v>
          </cell>
          <cell r="H4587">
            <v>1.35</v>
          </cell>
          <cell r="I4587" t="str">
            <v>From M1B to M4B - 65°</v>
          </cell>
          <cell r="J4587" t="str">
            <v>IE3</v>
          </cell>
          <cell r="K4587">
            <v>400</v>
          </cell>
          <cell r="L4587">
            <v>50</v>
          </cell>
          <cell r="N4587">
            <v>55</v>
          </cell>
          <cell r="O4587" t="str">
            <v>155(F)</v>
          </cell>
          <cell r="P4587" t="str">
            <v>270°</v>
          </cell>
          <cell r="Q4587" t="str">
            <v>-</v>
          </cell>
          <cell r="R4587" t="str">
            <v>-</v>
          </cell>
          <cell r="S4587" t="str">
            <v>-</v>
          </cell>
          <cell r="T4587" t="str">
            <v>-</v>
          </cell>
          <cell r="U4587" t="str">
            <v>T</v>
          </cell>
          <cell r="V4587" t="str">
            <v>FC</v>
          </cell>
          <cell r="W4587" t="str">
            <v>-</v>
          </cell>
          <cell r="X4587" t="str">
            <v>CLP 220 (-15/+40°C)</v>
          </cell>
          <cell r="Y4587" t="str">
            <v>KH107/T DRN160M4</v>
          </cell>
          <cell r="Z4587" t="str">
            <v>SEW</v>
          </cell>
          <cell r="AB4587" t="str">
            <v>-</v>
          </cell>
          <cell r="AF4587">
            <v>15</v>
          </cell>
          <cell r="AG4587" t="str">
            <v>DRN160M4</v>
          </cell>
          <cell r="AH4587" t="str">
            <v>KH107T-DRN160M4B270-X</v>
          </cell>
        </row>
        <row r="4588">
          <cell r="A4588" t="str">
            <v>MR004577</v>
          </cell>
          <cell r="B4588" t="str">
            <v>MR</v>
          </cell>
          <cell r="C4588">
            <v>11</v>
          </cell>
          <cell r="D4588">
            <v>15</v>
          </cell>
          <cell r="E4588" t="str">
            <v>KH107</v>
          </cell>
          <cell r="F4588">
            <v>6020</v>
          </cell>
          <cell r="G4588">
            <v>100.75</v>
          </cell>
          <cell r="H4588">
            <v>1.35</v>
          </cell>
          <cell r="I4588" t="str">
            <v>From M1A to M4A - 65°</v>
          </cell>
          <cell r="J4588" t="str">
            <v>IE3</v>
          </cell>
          <cell r="K4588">
            <v>400</v>
          </cell>
          <cell r="L4588">
            <v>50</v>
          </cell>
          <cell r="N4588">
            <v>55</v>
          </cell>
          <cell r="O4588" t="str">
            <v>155(F)</v>
          </cell>
          <cell r="P4588" t="str">
            <v>270°</v>
          </cell>
          <cell r="Q4588" t="str">
            <v>-</v>
          </cell>
          <cell r="R4588" t="str">
            <v>-</v>
          </cell>
          <cell r="S4588" t="str">
            <v>-</v>
          </cell>
          <cell r="T4588" t="str">
            <v>-</v>
          </cell>
          <cell r="U4588" t="str">
            <v>T</v>
          </cell>
          <cell r="V4588" t="str">
            <v>FC</v>
          </cell>
          <cell r="W4588" t="str">
            <v>-</v>
          </cell>
          <cell r="X4588" t="str">
            <v>CLP 220 (-15/+40°C)</v>
          </cell>
          <cell r="Y4588" t="str">
            <v>KH107/T DRN160M4</v>
          </cell>
          <cell r="Z4588" t="str">
            <v>SEW</v>
          </cell>
          <cell r="AB4588" t="str">
            <v>-</v>
          </cell>
          <cell r="AF4588">
            <v>15</v>
          </cell>
          <cell r="AG4588" t="str">
            <v>DRN160M4</v>
          </cell>
          <cell r="AH4588" t="str">
            <v>KH107T-DRN160M4A270-X</v>
          </cell>
        </row>
        <row r="4589">
          <cell r="A4589" t="str">
            <v>MR004578</v>
          </cell>
          <cell r="B4589" t="str">
            <v>MR</v>
          </cell>
          <cell r="C4589">
            <v>9.1999999999999993</v>
          </cell>
          <cell r="D4589">
            <v>75</v>
          </cell>
          <cell r="E4589" t="str">
            <v>FH77</v>
          </cell>
          <cell r="F4589">
            <v>1170</v>
          </cell>
          <cell r="G4589">
            <v>19.7</v>
          </cell>
          <cell r="H4589">
            <v>1.25</v>
          </cell>
          <cell r="I4589" t="str">
            <v>From M1 to M2 - 25°</v>
          </cell>
          <cell r="J4589" t="str">
            <v>IE3</v>
          </cell>
          <cell r="K4589">
            <v>400</v>
          </cell>
          <cell r="L4589">
            <v>50</v>
          </cell>
          <cell r="N4589">
            <v>55</v>
          </cell>
          <cell r="O4589" t="str">
            <v>155(F)</v>
          </cell>
          <cell r="P4589" t="str">
            <v>270°</v>
          </cell>
          <cell r="Q4589" t="str">
            <v>-</v>
          </cell>
          <cell r="R4589" t="str">
            <v>-</v>
          </cell>
          <cell r="S4589" t="str">
            <v>Free rotation CCW</v>
          </cell>
          <cell r="T4589" t="str">
            <v>-</v>
          </cell>
          <cell r="U4589" t="str">
            <v>G</v>
          </cell>
          <cell r="V4589" t="str">
            <v>D</v>
          </cell>
          <cell r="W4589" t="str">
            <v>-</v>
          </cell>
          <cell r="X4589" t="str">
            <v>CLP 220 (-15/+40°C)</v>
          </cell>
          <cell r="Y4589" t="str">
            <v>FH77/G DRN132L4 /RS</v>
          </cell>
          <cell r="Z4589" t="str">
            <v>SEW</v>
          </cell>
          <cell r="AB4589" t="str">
            <v>-</v>
          </cell>
          <cell r="AF4589">
            <v>75</v>
          </cell>
          <cell r="AG4589" t="str">
            <v>DRN132L4</v>
          </cell>
          <cell r="AH4589" t="str">
            <v>FH77G-DRN132L4270-X</v>
          </cell>
        </row>
        <row r="4590">
          <cell r="A4590" t="str">
            <v>MR004579</v>
          </cell>
          <cell r="B4590" t="str">
            <v>MR</v>
          </cell>
          <cell r="C4590">
            <v>7.5</v>
          </cell>
          <cell r="D4590">
            <v>64</v>
          </cell>
          <cell r="E4590" t="str">
            <v>K77</v>
          </cell>
          <cell r="F4590">
            <v>1120</v>
          </cell>
          <cell r="G4590">
            <v>23.08</v>
          </cell>
          <cell r="H4590">
            <v>1.4</v>
          </cell>
          <cell r="I4590" t="str">
            <v>M4B</v>
          </cell>
          <cell r="J4590" t="str">
            <v>IE3</v>
          </cell>
          <cell r="K4590">
            <v>400</v>
          </cell>
          <cell r="L4590">
            <v>50</v>
          </cell>
          <cell r="M4590">
            <v>15.2</v>
          </cell>
          <cell r="N4590">
            <v>55</v>
          </cell>
          <cell r="O4590" t="str">
            <v>155(F)</v>
          </cell>
          <cell r="P4590" t="str">
            <v>0°</v>
          </cell>
          <cell r="Q4590" t="str">
            <v>TF</v>
          </cell>
          <cell r="R4590" t="str">
            <v>V(VE)</v>
          </cell>
          <cell r="S4590" t="str">
            <v>-</v>
          </cell>
          <cell r="T4590" t="str">
            <v>-</v>
          </cell>
          <cell r="U4590" t="str">
            <v>-</v>
          </cell>
          <cell r="V4590" t="str">
            <v>FC</v>
          </cell>
          <cell r="W4590" t="str">
            <v>-</v>
          </cell>
          <cell r="X4590" t="str">
            <v>CLP 220 (-15/+40°C)</v>
          </cell>
          <cell r="Y4590" t="str">
            <v>K77DRN132M4 /TF/V</v>
          </cell>
          <cell r="Z4590" t="str">
            <v>SEW</v>
          </cell>
          <cell r="AB4590" t="str">
            <v>-</v>
          </cell>
          <cell r="AF4590">
            <v>64</v>
          </cell>
          <cell r="AG4590" t="str">
            <v>DRN132M4</v>
          </cell>
          <cell r="AH4590" t="str">
            <v>K77-DRN132M4B0-X#</v>
          </cell>
        </row>
        <row r="4591">
          <cell r="A4591" t="str">
            <v>MR004580</v>
          </cell>
          <cell r="B4591" t="str">
            <v>MR</v>
          </cell>
          <cell r="C4591">
            <v>0.55000000000000004</v>
          </cell>
          <cell r="D4591">
            <v>0.74</v>
          </cell>
          <cell r="E4591" t="str">
            <v>KH107R77</v>
          </cell>
          <cell r="F4591">
            <v>6170</v>
          </cell>
          <cell r="G4591">
            <v>1939</v>
          </cell>
          <cell r="H4591">
            <v>1.3</v>
          </cell>
          <cell r="I4591" t="str">
            <v>M4B</v>
          </cell>
          <cell r="J4591" t="str">
            <v>IE3</v>
          </cell>
          <cell r="K4591">
            <v>400</v>
          </cell>
          <cell r="L4591">
            <v>50</v>
          </cell>
          <cell r="N4591">
            <v>55</v>
          </cell>
          <cell r="O4591" t="str">
            <v>155(F)</v>
          </cell>
          <cell r="P4591" t="str">
            <v>0°</v>
          </cell>
          <cell r="Q4591" t="str">
            <v>-</v>
          </cell>
          <cell r="R4591" t="str">
            <v>-</v>
          </cell>
          <cell r="S4591" t="str">
            <v>-</v>
          </cell>
          <cell r="T4591" t="str">
            <v>-</v>
          </cell>
          <cell r="U4591" t="str">
            <v>T</v>
          </cell>
          <cell r="V4591" t="str">
            <v>D</v>
          </cell>
          <cell r="W4591" t="str">
            <v>-</v>
          </cell>
          <cell r="X4591" t="str">
            <v>CLP 220 (-15/+40°C)</v>
          </cell>
          <cell r="Y4591" t="str">
            <v>KH107R77/T DRN80MK4</v>
          </cell>
          <cell r="Z4591" t="str">
            <v>SEW</v>
          </cell>
          <cell r="AB4591" t="str">
            <v>-</v>
          </cell>
          <cell r="AF4591">
            <v>0.74</v>
          </cell>
          <cell r="AG4591" t="str">
            <v>DRN80MK4</v>
          </cell>
          <cell r="AH4591" t="str">
            <v>KH107R77T-DRN80MK4B0-X</v>
          </cell>
        </row>
        <row r="4592">
          <cell r="A4592" t="str">
            <v>MR004581</v>
          </cell>
          <cell r="B4592" t="str">
            <v>MR</v>
          </cell>
          <cell r="C4592">
            <v>0.55000000000000004</v>
          </cell>
          <cell r="D4592">
            <v>0.74</v>
          </cell>
          <cell r="E4592" t="str">
            <v>KH107R77</v>
          </cell>
          <cell r="F4592">
            <v>6170</v>
          </cell>
          <cell r="G4592">
            <v>1939</v>
          </cell>
          <cell r="H4592">
            <v>1.3</v>
          </cell>
          <cell r="I4592" t="str">
            <v>From M1B to M4B - 45°</v>
          </cell>
          <cell r="J4592" t="str">
            <v>IE3</v>
          </cell>
          <cell r="K4592">
            <v>400</v>
          </cell>
          <cell r="L4592">
            <v>50</v>
          </cell>
          <cell r="N4592">
            <v>55</v>
          </cell>
          <cell r="O4592" t="str">
            <v>155(F)</v>
          </cell>
          <cell r="P4592" t="str">
            <v>0°</v>
          </cell>
          <cell r="Q4592" t="str">
            <v>-</v>
          </cell>
          <cell r="R4592" t="str">
            <v>-</v>
          </cell>
          <cell r="S4592" t="str">
            <v>-</v>
          </cell>
          <cell r="T4592" t="str">
            <v>-</v>
          </cell>
          <cell r="U4592" t="str">
            <v>T</v>
          </cell>
          <cell r="V4592" t="str">
            <v>D</v>
          </cell>
          <cell r="W4592" t="str">
            <v>-</v>
          </cell>
          <cell r="X4592" t="str">
            <v>CLP 220 (-15/+40°C)</v>
          </cell>
          <cell r="Y4592" t="str">
            <v>KH107R77/T DRN80MK4</v>
          </cell>
          <cell r="Z4592" t="str">
            <v>SEW</v>
          </cell>
          <cell r="AB4592" t="str">
            <v>-</v>
          </cell>
          <cell r="AF4592">
            <v>0.74</v>
          </cell>
          <cell r="AG4592" t="str">
            <v>DRN80MK4</v>
          </cell>
          <cell r="AH4592" t="str">
            <v>KH107R77T-DRN80MK4B0-X</v>
          </cell>
        </row>
        <row r="4593">
          <cell r="A4593" t="str">
            <v>MR004582</v>
          </cell>
          <cell r="B4593" t="str">
            <v>MR</v>
          </cell>
          <cell r="C4593">
            <v>0.75</v>
          </cell>
          <cell r="D4593">
            <v>18</v>
          </cell>
          <cell r="E4593" t="str">
            <v>FA67</v>
          </cell>
          <cell r="F4593">
            <v>395</v>
          </cell>
          <cell r="G4593">
            <v>79.760000000000005</v>
          </cell>
          <cell r="H4593">
            <v>2.1</v>
          </cell>
          <cell r="I4593" t="str">
            <v>M6</v>
          </cell>
          <cell r="J4593" t="str">
            <v>IE3</v>
          </cell>
          <cell r="K4593">
            <v>400</v>
          </cell>
          <cell r="L4593">
            <v>50</v>
          </cell>
          <cell r="N4593">
            <v>55</v>
          </cell>
          <cell r="O4593" t="str">
            <v>155(F)</v>
          </cell>
          <cell r="P4593" t="str">
            <v>0°</v>
          </cell>
          <cell r="Q4593" t="str">
            <v>-</v>
          </cell>
          <cell r="R4593" t="str">
            <v>-</v>
          </cell>
          <cell r="S4593" t="str">
            <v>-</v>
          </cell>
          <cell r="T4593" t="str">
            <v>-</v>
          </cell>
          <cell r="U4593" t="str">
            <v>G</v>
          </cell>
          <cell r="V4593" t="str">
            <v>D+R</v>
          </cell>
          <cell r="W4593" t="str">
            <v>-</v>
          </cell>
          <cell r="X4593" t="str">
            <v>CLP 220 (-15/+40°C)</v>
          </cell>
          <cell r="Y4593" t="str">
            <v>FA67/G DRN80M4</v>
          </cell>
          <cell r="Z4593" t="str">
            <v>SEW</v>
          </cell>
          <cell r="AB4593" t="str">
            <v>-</v>
          </cell>
          <cell r="AF4593">
            <v>18</v>
          </cell>
          <cell r="AG4593" t="str">
            <v>DRN80M4</v>
          </cell>
          <cell r="AH4593" t="str">
            <v>FA67G-DRN80M40-X</v>
          </cell>
        </row>
        <row r="4594">
          <cell r="A4594" t="str">
            <v>MR004583</v>
          </cell>
          <cell r="B4594" t="str">
            <v>MR</v>
          </cell>
          <cell r="C4594">
            <v>0.75</v>
          </cell>
          <cell r="D4594">
            <v>6.4</v>
          </cell>
          <cell r="E4594" t="str">
            <v>FA77</v>
          </cell>
          <cell r="F4594">
            <v>1120</v>
          </cell>
          <cell r="G4594">
            <v>225.79</v>
          </cell>
          <cell r="H4594">
            <v>1.35</v>
          </cell>
          <cell r="I4594" t="str">
            <v>From M1 to M4 - 10°</v>
          </cell>
          <cell r="J4594" t="str">
            <v>IE3</v>
          </cell>
          <cell r="K4594">
            <v>400</v>
          </cell>
          <cell r="L4594">
            <v>50</v>
          </cell>
          <cell r="N4594">
            <v>55</v>
          </cell>
          <cell r="O4594" t="str">
            <v>155(F)</v>
          </cell>
          <cell r="P4594" t="str">
            <v>0°</v>
          </cell>
          <cell r="Q4594" t="str">
            <v>-</v>
          </cell>
          <cell r="R4594" t="str">
            <v>-</v>
          </cell>
          <cell r="S4594" t="str">
            <v>-</v>
          </cell>
          <cell r="T4594" t="str">
            <v>-</v>
          </cell>
          <cell r="U4594" t="str">
            <v>G</v>
          </cell>
          <cell r="V4594" t="str">
            <v>D</v>
          </cell>
          <cell r="W4594" t="str">
            <v>-</v>
          </cell>
          <cell r="X4594" t="str">
            <v>CLP 220 (-15/+40°C)</v>
          </cell>
          <cell r="Y4594" t="str">
            <v>FA77/G DRN80M4</v>
          </cell>
          <cell r="Z4594" t="str">
            <v>SEW</v>
          </cell>
          <cell r="AB4594" t="str">
            <v>-</v>
          </cell>
          <cell r="AF4594">
            <v>6.4</v>
          </cell>
          <cell r="AG4594" t="str">
            <v>DRN80M4</v>
          </cell>
          <cell r="AH4594" t="str">
            <v>FA77G-DRN80M40-X</v>
          </cell>
        </row>
        <row r="4595">
          <cell r="A4595" t="str">
            <v>MR004584</v>
          </cell>
          <cell r="B4595" t="str">
            <v>MR</v>
          </cell>
          <cell r="C4595">
            <v>0.55000000000000004</v>
          </cell>
          <cell r="D4595">
            <v>12</v>
          </cell>
          <cell r="E4595" t="str">
            <v>R77</v>
          </cell>
          <cell r="F4595">
            <v>440</v>
          </cell>
          <cell r="G4595">
            <v>121.42</v>
          </cell>
          <cell r="H4595">
            <v>1.85</v>
          </cell>
          <cell r="I4595" t="str">
            <v>M1</v>
          </cell>
          <cell r="J4595" t="str">
            <v>IE3</v>
          </cell>
          <cell r="K4595">
            <v>400</v>
          </cell>
          <cell r="L4595">
            <v>50</v>
          </cell>
          <cell r="N4595">
            <v>55</v>
          </cell>
          <cell r="O4595" t="str">
            <v>155(F)</v>
          </cell>
          <cell r="P4595" t="str">
            <v>0°</v>
          </cell>
          <cell r="Q4595" t="str">
            <v>-</v>
          </cell>
          <cell r="R4595" t="str">
            <v>-</v>
          </cell>
          <cell r="S4595" t="str">
            <v>-</v>
          </cell>
          <cell r="T4595" t="str">
            <v>-</v>
          </cell>
          <cell r="U4595" t="str">
            <v>-</v>
          </cell>
          <cell r="V4595" t="str">
            <v>D</v>
          </cell>
          <cell r="W4595" t="str">
            <v>-</v>
          </cell>
          <cell r="X4595" t="str">
            <v>CLP 220 (-15/+40°C)</v>
          </cell>
          <cell r="Y4595" t="str">
            <v>R77DRN80MK4</v>
          </cell>
          <cell r="Z4595" t="str">
            <v>SEW</v>
          </cell>
          <cell r="AB4595" t="str">
            <v>-</v>
          </cell>
          <cell r="AF4595">
            <v>12</v>
          </cell>
          <cell r="AG4595" t="str">
            <v>DRN80MK4</v>
          </cell>
          <cell r="AH4595" t="str">
            <v>R77-DRN80MK40-X</v>
          </cell>
        </row>
        <row r="4596">
          <cell r="A4596" t="str">
            <v>MR004585</v>
          </cell>
          <cell r="B4596" t="str">
            <v>MR</v>
          </cell>
          <cell r="C4596">
            <v>5.5</v>
          </cell>
          <cell r="D4596">
            <v>15</v>
          </cell>
          <cell r="E4596" t="str">
            <v>KH97</v>
          </cell>
          <cell r="F4596">
            <v>3470</v>
          </cell>
          <cell r="G4596">
            <v>96.8</v>
          </cell>
          <cell r="H4596">
            <v>1.25</v>
          </cell>
          <cell r="I4596" t="str">
            <v>From M1B to M2B - 45°</v>
          </cell>
          <cell r="J4596" t="str">
            <v>IE3</v>
          </cell>
          <cell r="K4596" t="str">
            <v>230/400</v>
          </cell>
          <cell r="L4596">
            <v>50</v>
          </cell>
          <cell r="M4596" t="str">
            <v>18,2/10,5</v>
          </cell>
          <cell r="N4596">
            <v>65</v>
          </cell>
          <cell r="O4596" t="str">
            <v>155(F)</v>
          </cell>
          <cell r="P4596" t="str">
            <v>0°</v>
          </cell>
          <cell r="Q4596" t="str">
            <v>-</v>
          </cell>
          <cell r="R4596" t="str">
            <v>-</v>
          </cell>
          <cell r="S4596" t="str">
            <v>-</v>
          </cell>
          <cell r="T4596" t="str">
            <v>-</v>
          </cell>
          <cell r="U4596" t="str">
            <v>-</v>
          </cell>
          <cell r="V4596" t="str">
            <v>SS</v>
          </cell>
          <cell r="W4596" t="str">
            <v>-</v>
          </cell>
          <cell r="X4596" t="str">
            <v>CLP HC 220 (-25/+60°C)</v>
          </cell>
          <cell r="Y4596" t="str">
            <v>KH97DRN132S4</v>
          </cell>
          <cell r="Z4596" t="str">
            <v>SEW</v>
          </cell>
          <cell r="AB4596" t="str">
            <v>-</v>
          </cell>
          <cell r="AF4596">
            <v>15</v>
          </cell>
          <cell r="AG4596" t="str">
            <v>DRN132S4</v>
          </cell>
          <cell r="AH4596" t="str">
            <v>KH97-DRN132S4B0-X</v>
          </cell>
        </row>
        <row r="4597">
          <cell r="A4597" t="str">
            <v>MR004586</v>
          </cell>
          <cell r="B4597" t="str">
            <v>MR</v>
          </cell>
          <cell r="C4597">
            <v>9.1999999999999993</v>
          </cell>
          <cell r="D4597">
            <v>16</v>
          </cell>
          <cell r="E4597" t="str">
            <v>KH107</v>
          </cell>
          <cell r="F4597">
            <v>5440</v>
          </cell>
          <cell r="G4597">
            <v>90.96</v>
          </cell>
          <cell r="H4597">
            <v>1.35</v>
          </cell>
          <cell r="I4597" t="str">
            <v>From M1A to M2A - 45°</v>
          </cell>
          <cell r="J4597" t="str">
            <v>IE3</v>
          </cell>
          <cell r="K4597" t="str">
            <v>400/690</v>
          </cell>
          <cell r="L4597">
            <v>50</v>
          </cell>
          <cell r="M4597" t="str">
            <v>19,2/11,1</v>
          </cell>
          <cell r="N4597">
            <v>65</v>
          </cell>
          <cell r="O4597" t="str">
            <v>155(F)</v>
          </cell>
          <cell r="P4597" t="str">
            <v>270°</v>
          </cell>
          <cell r="Q4597" t="str">
            <v>TF</v>
          </cell>
          <cell r="R4597" t="str">
            <v>-</v>
          </cell>
          <cell r="S4597" t="str">
            <v>-</v>
          </cell>
          <cell r="T4597" t="str">
            <v>-</v>
          </cell>
          <cell r="U4597" t="str">
            <v>-</v>
          </cell>
          <cell r="V4597" t="str">
            <v>SS</v>
          </cell>
          <cell r="W4597" t="str">
            <v>-</v>
          </cell>
          <cell r="X4597" t="str">
            <v>CLP HC 220 (-25/+60°C)</v>
          </cell>
          <cell r="Y4597" t="str">
            <v>KH107EDRN132L4 /TF</v>
          </cell>
          <cell r="Z4597" t="str">
            <v>SEW</v>
          </cell>
          <cell r="AB4597" t="str">
            <v>ATEX22</v>
          </cell>
          <cell r="AF4597">
            <v>16</v>
          </cell>
          <cell r="AG4597" t="str">
            <v>EDRN132L4</v>
          </cell>
          <cell r="AH4597" t="str">
            <v>KH107-EDRN132L4A270-X</v>
          </cell>
        </row>
        <row r="4598">
          <cell r="A4598" t="str">
            <v>MR004586</v>
          </cell>
          <cell r="B4598" t="str">
            <v>MR</v>
          </cell>
          <cell r="C4598">
            <v>9.1999999999999993</v>
          </cell>
          <cell r="D4598">
            <v>16</v>
          </cell>
          <cell r="E4598" t="str">
            <v>KH107</v>
          </cell>
          <cell r="F4598">
            <v>5440</v>
          </cell>
          <cell r="G4598">
            <v>90.96</v>
          </cell>
          <cell r="H4598">
            <v>1.35</v>
          </cell>
          <cell r="I4598" t="str">
            <v>From M1B to M2B - 45°</v>
          </cell>
          <cell r="J4598" t="str">
            <v>IE3</v>
          </cell>
          <cell r="K4598" t="str">
            <v>400/690</v>
          </cell>
          <cell r="L4598">
            <v>50</v>
          </cell>
          <cell r="M4598" t="str">
            <v>19,2/11,1</v>
          </cell>
          <cell r="N4598">
            <v>65</v>
          </cell>
          <cell r="O4598" t="str">
            <v>155(F)</v>
          </cell>
          <cell r="P4598" t="str">
            <v>270°</v>
          </cell>
          <cell r="Q4598" t="str">
            <v>TF</v>
          </cell>
          <cell r="R4598" t="str">
            <v>-</v>
          </cell>
          <cell r="S4598" t="str">
            <v>-</v>
          </cell>
          <cell r="T4598" t="str">
            <v>-</v>
          </cell>
          <cell r="U4598" t="str">
            <v>-</v>
          </cell>
          <cell r="V4598" t="str">
            <v>SS</v>
          </cell>
          <cell r="W4598" t="str">
            <v>-</v>
          </cell>
          <cell r="X4598" t="str">
            <v>CLP HC 220 (-25/+60°C)</v>
          </cell>
          <cell r="Y4598" t="str">
            <v>KH107EDRN132L4 /TF</v>
          </cell>
          <cell r="Z4598" t="str">
            <v>SEW</v>
          </cell>
          <cell r="AB4598" t="str">
            <v>ATEX22</v>
          </cell>
          <cell r="AF4598">
            <v>16</v>
          </cell>
          <cell r="AG4598" t="str">
            <v>EDRN132L4</v>
          </cell>
          <cell r="AH4598" t="str">
            <v>KH107-EDRN132L4B270-X</v>
          </cell>
        </row>
        <row r="4599">
          <cell r="A4599" t="str">
            <v>MR004588</v>
          </cell>
          <cell r="B4599" t="str">
            <v>MR</v>
          </cell>
          <cell r="C4599">
            <v>2.2000000000000002</v>
          </cell>
          <cell r="D4599">
            <v>95</v>
          </cell>
          <cell r="E4599" t="str">
            <v>KH67</v>
          </cell>
          <cell r="F4599">
            <v>220</v>
          </cell>
          <cell r="G4599">
            <v>15.19</v>
          </cell>
          <cell r="H4599">
            <v>2.7</v>
          </cell>
          <cell r="I4599" t="str">
            <v>M1B</v>
          </cell>
          <cell r="J4599" t="str">
            <v>IE3</v>
          </cell>
          <cell r="K4599" t="str">
            <v>220/380</v>
          </cell>
          <cell r="L4599">
            <v>50</v>
          </cell>
          <cell r="M4599" t="str">
            <v>8,3/4,8</v>
          </cell>
          <cell r="N4599">
            <v>55</v>
          </cell>
          <cell r="O4599" t="str">
            <v>155(F)</v>
          </cell>
          <cell r="P4599" t="str">
            <v>270°</v>
          </cell>
          <cell r="Q4599" t="str">
            <v>TF</v>
          </cell>
          <cell r="R4599" t="str">
            <v>-</v>
          </cell>
          <cell r="S4599" t="str">
            <v>-</v>
          </cell>
          <cell r="T4599" t="str">
            <v>-</v>
          </cell>
          <cell r="U4599" t="str">
            <v>T</v>
          </cell>
          <cell r="V4599" t="str">
            <v>D</v>
          </cell>
          <cell r="W4599" t="str">
            <v>-</v>
          </cell>
          <cell r="X4599" t="str">
            <v>CLP HC 220 (-25/+60°C)</v>
          </cell>
          <cell r="Y4599" t="str">
            <v>KH67/T EDRN100LS4 /TF</v>
          </cell>
          <cell r="Z4599" t="str">
            <v>SEW</v>
          </cell>
          <cell r="AB4599" t="str">
            <v>ATEX22</v>
          </cell>
          <cell r="AF4599">
            <v>95</v>
          </cell>
          <cell r="AG4599" t="str">
            <v>EDRN100LS4</v>
          </cell>
          <cell r="AH4599" t="str">
            <v>KH67T-EDRN100LS4B270-X</v>
          </cell>
        </row>
        <row r="4600">
          <cell r="A4600" t="str">
            <v>MR004589</v>
          </cell>
          <cell r="B4600" t="str">
            <v>MR</v>
          </cell>
          <cell r="C4600">
            <v>0.75</v>
          </cell>
          <cell r="D4600">
            <v>18</v>
          </cell>
          <cell r="E4600" t="str">
            <v>FH67</v>
          </cell>
          <cell r="F4600">
            <v>395</v>
          </cell>
          <cell r="G4600">
            <v>79.760000000000005</v>
          </cell>
          <cell r="H4600">
            <v>2</v>
          </cell>
          <cell r="I4600" t="str">
            <v>M5</v>
          </cell>
          <cell r="J4600" t="str">
            <v>IE4</v>
          </cell>
          <cell r="K4600" t="str">
            <v>230/400</v>
          </cell>
          <cell r="L4600">
            <v>50</v>
          </cell>
          <cell r="M4600" t="str">
            <v>3,05/1,75</v>
          </cell>
          <cell r="N4600">
            <v>55</v>
          </cell>
          <cell r="O4600" t="str">
            <v>155(F)</v>
          </cell>
          <cell r="P4600" t="str">
            <v>180°</v>
          </cell>
          <cell r="Q4600" t="str">
            <v>TF</v>
          </cell>
          <cell r="R4600" t="str">
            <v>-</v>
          </cell>
          <cell r="S4600" t="str">
            <v>-</v>
          </cell>
          <cell r="T4600" t="str">
            <v>BEHF</v>
          </cell>
          <cell r="U4600" t="str">
            <v>G</v>
          </cell>
          <cell r="V4600" t="str">
            <v>D+R</v>
          </cell>
          <cell r="W4600" t="str">
            <v>-</v>
          </cell>
          <cell r="X4600" t="str">
            <v>CLP 220 (-15/+40°C)</v>
          </cell>
          <cell r="Y4600" t="str">
            <v>FH67/G DRN80M4 /BEHF /TF</v>
          </cell>
          <cell r="Z4600" t="str">
            <v>SEW</v>
          </cell>
          <cell r="AB4600" t="str">
            <v>-</v>
          </cell>
          <cell r="AF4600">
            <v>18</v>
          </cell>
          <cell r="AG4600" t="str">
            <v>DRN80M4</v>
          </cell>
          <cell r="AH4600" t="str">
            <v>FH67G-DRN80M4180-X</v>
          </cell>
        </row>
        <row r="4601">
          <cell r="A4601" t="str">
            <v>MR004590</v>
          </cell>
          <cell r="B4601" t="str">
            <v>MR</v>
          </cell>
          <cell r="C4601">
            <v>0.75</v>
          </cell>
          <cell r="D4601">
            <v>18</v>
          </cell>
          <cell r="E4601" t="str">
            <v>FH67</v>
          </cell>
          <cell r="F4601">
            <v>395</v>
          </cell>
          <cell r="G4601">
            <v>79.760000000000005</v>
          </cell>
          <cell r="H4601">
            <v>2</v>
          </cell>
          <cell r="I4601" t="str">
            <v>M6</v>
          </cell>
          <cell r="J4601" t="str">
            <v>IE4</v>
          </cell>
          <cell r="K4601" t="str">
            <v>230/400</v>
          </cell>
          <cell r="L4601">
            <v>50</v>
          </cell>
          <cell r="M4601" t="str">
            <v>3,05/1,75</v>
          </cell>
          <cell r="N4601">
            <v>55</v>
          </cell>
          <cell r="O4601" t="str">
            <v>155(F)</v>
          </cell>
          <cell r="P4601" t="str">
            <v>0°</v>
          </cell>
          <cell r="Q4601" t="str">
            <v>TF</v>
          </cell>
          <cell r="R4601" t="str">
            <v>-</v>
          </cell>
          <cell r="S4601" t="str">
            <v>-</v>
          </cell>
          <cell r="T4601" t="str">
            <v>BEHF</v>
          </cell>
          <cell r="U4601" t="str">
            <v>G</v>
          </cell>
          <cell r="V4601" t="str">
            <v>D+R</v>
          </cell>
          <cell r="W4601" t="str">
            <v>-</v>
          </cell>
          <cell r="X4601" t="str">
            <v>CLP 220 (-15/+40°C)</v>
          </cell>
          <cell r="Y4601" t="str">
            <v>FH67/G DRN80M4 /BEHF /TF</v>
          </cell>
          <cell r="Z4601" t="str">
            <v>SEW</v>
          </cell>
          <cell r="AB4601" t="str">
            <v>-</v>
          </cell>
          <cell r="AF4601">
            <v>18</v>
          </cell>
          <cell r="AG4601" t="str">
            <v>DRN80M4</v>
          </cell>
          <cell r="AH4601" t="str">
            <v>FH67G-DRN80M40-X</v>
          </cell>
        </row>
        <row r="4602">
          <cell r="A4602" t="str">
            <v>MR004591</v>
          </cell>
          <cell r="B4602" t="str">
            <v>MR</v>
          </cell>
          <cell r="C4602">
            <v>11</v>
          </cell>
          <cell r="D4602">
            <v>66</v>
          </cell>
          <cell r="E4602" t="str">
            <v>R97</v>
          </cell>
          <cell r="F4602">
            <v>1590</v>
          </cell>
          <cell r="G4602">
            <v>22.37</v>
          </cell>
          <cell r="H4602">
            <v>1.7</v>
          </cell>
          <cell r="I4602" t="str">
            <v>M5</v>
          </cell>
          <cell r="J4602" t="str">
            <v>IE3</v>
          </cell>
          <cell r="K4602" t="str">
            <v>400/690</v>
          </cell>
          <cell r="L4602">
            <v>50</v>
          </cell>
          <cell r="M4602" t="str">
            <v>21/12,2</v>
          </cell>
          <cell r="N4602">
            <v>55</v>
          </cell>
          <cell r="O4602" t="str">
            <v>155(F)</v>
          </cell>
          <cell r="P4602" t="str">
            <v>270°</v>
          </cell>
          <cell r="Q4602" t="str">
            <v>TF</v>
          </cell>
          <cell r="R4602" t="str">
            <v>-</v>
          </cell>
          <cell r="S4602" t="str">
            <v>-</v>
          </cell>
          <cell r="T4602" t="str">
            <v>-</v>
          </cell>
          <cell r="U4602" t="str">
            <v>-</v>
          </cell>
          <cell r="V4602" t="str">
            <v>D</v>
          </cell>
          <cell r="W4602" t="str">
            <v>-</v>
          </cell>
          <cell r="X4602" t="str">
            <v>CLP 220 (-15/+40°C)</v>
          </cell>
          <cell r="Y4602" t="str">
            <v>R97DRN160M4 /TF</v>
          </cell>
          <cell r="Z4602" t="str">
            <v>SEW</v>
          </cell>
          <cell r="AB4602" t="str">
            <v>-</v>
          </cell>
          <cell r="AF4602">
            <v>66</v>
          </cell>
          <cell r="AG4602" t="str">
            <v>DRN160M4</v>
          </cell>
          <cell r="AH4602" t="str">
            <v>R97-DRN160M4270-X</v>
          </cell>
        </row>
        <row r="4603">
          <cell r="A4603" t="str">
            <v>MR004592</v>
          </cell>
          <cell r="B4603" t="str">
            <v>MR</v>
          </cell>
          <cell r="C4603">
            <v>11</v>
          </cell>
          <cell r="D4603">
            <v>16</v>
          </cell>
          <cell r="E4603" t="str">
            <v>KH107</v>
          </cell>
          <cell r="F4603">
            <v>6480</v>
          </cell>
          <cell r="G4603">
            <v>90.96</v>
          </cell>
          <cell r="H4603">
            <v>1.25</v>
          </cell>
          <cell r="I4603" t="str">
            <v>From M4A to M1A - 40°</v>
          </cell>
          <cell r="J4603" t="str">
            <v>IE3</v>
          </cell>
          <cell r="K4603">
            <v>415</v>
          </cell>
          <cell r="L4603">
            <v>50</v>
          </cell>
          <cell r="M4603">
            <v>20</v>
          </cell>
          <cell r="N4603">
            <v>55</v>
          </cell>
          <cell r="O4603" t="str">
            <v>155(F)</v>
          </cell>
          <cell r="P4603" t="str">
            <v>270°</v>
          </cell>
          <cell r="Q4603" t="str">
            <v>TF</v>
          </cell>
          <cell r="R4603" t="str">
            <v>V(VE)</v>
          </cell>
          <cell r="S4603" t="str">
            <v>-</v>
          </cell>
          <cell r="T4603" t="str">
            <v>-</v>
          </cell>
          <cell r="U4603" t="str">
            <v>-</v>
          </cell>
          <cell r="V4603" t="str">
            <v>FC</v>
          </cell>
          <cell r="W4603" t="str">
            <v>-</v>
          </cell>
          <cell r="X4603" t="str">
            <v>CLP 220 (-15/+40°C)</v>
          </cell>
          <cell r="Y4603" t="str">
            <v>KH107DRN160M4 /TF/V</v>
          </cell>
          <cell r="Z4603" t="str">
            <v>SEW</v>
          </cell>
          <cell r="AB4603" t="str">
            <v>-</v>
          </cell>
          <cell r="AF4603">
            <v>16</v>
          </cell>
          <cell r="AG4603" t="str">
            <v>DRN160M4</v>
          </cell>
          <cell r="AH4603" t="str">
            <v>KH107-DRN160M4A270-X#</v>
          </cell>
        </row>
        <row r="4604">
          <cell r="A4604" t="str">
            <v>MR004593</v>
          </cell>
          <cell r="B4604" t="str">
            <v>MR</v>
          </cell>
          <cell r="C4604">
            <v>7.5</v>
          </cell>
          <cell r="D4604">
            <v>63</v>
          </cell>
          <cell r="E4604" t="str">
            <v>R87</v>
          </cell>
          <cell r="F4604">
            <v>1140</v>
          </cell>
          <cell r="G4604">
            <v>23.4</v>
          </cell>
          <cell r="H4604">
            <v>1.35</v>
          </cell>
          <cell r="I4604" t="str">
            <v>M1</v>
          </cell>
          <cell r="J4604" t="str">
            <v>IE3</v>
          </cell>
          <cell r="K4604" t="str">
            <v>240/415</v>
          </cell>
          <cell r="L4604">
            <v>50</v>
          </cell>
          <cell r="M4604" t="str">
            <v>25,5/14,7</v>
          </cell>
          <cell r="N4604">
            <v>55</v>
          </cell>
          <cell r="O4604" t="str">
            <v>155(F)</v>
          </cell>
          <cell r="P4604" t="str">
            <v>270°</v>
          </cell>
          <cell r="Q4604" t="str">
            <v>TF</v>
          </cell>
          <cell r="R4604" t="str">
            <v>-</v>
          </cell>
          <cell r="S4604" t="str">
            <v>-</v>
          </cell>
          <cell r="T4604" t="str">
            <v>-</v>
          </cell>
          <cell r="U4604" t="str">
            <v>-</v>
          </cell>
          <cell r="V4604" t="str">
            <v>D</v>
          </cell>
          <cell r="W4604" t="str">
            <v>-</v>
          </cell>
          <cell r="X4604" t="str">
            <v>CLP 220 (-15/+40°C)</v>
          </cell>
          <cell r="Y4604" t="str">
            <v>R87DRN132M4 /TF</v>
          </cell>
          <cell r="Z4604" t="str">
            <v>SEW</v>
          </cell>
          <cell r="AB4604" t="str">
            <v>-</v>
          </cell>
          <cell r="AF4604">
            <v>63</v>
          </cell>
          <cell r="AG4604" t="str">
            <v>DRN132M4</v>
          </cell>
          <cell r="AH4604" t="str">
            <v>R87-DRN132M4270-X</v>
          </cell>
        </row>
        <row r="4605">
          <cell r="A4605" t="str">
            <v>MR004594</v>
          </cell>
          <cell r="B4605" t="str">
            <v>MR</v>
          </cell>
          <cell r="C4605">
            <v>15</v>
          </cell>
          <cell r="D4605">
            <v>16</v>
          </cell>
          <cell r="E4605" t="str">
            <v>KH127</v>
          </cell>
          <cell r="F4605">
            <v>8730</v>
          </cell>
          <cell r="G4605">
            <v>89.89</v>
          </cell>
          <cell r="H4605">
            <v>1.5</v>
          </cell>
          <cell r="I4605" t="str">
            <v>From M4A to M1A - 30°</v>
          </cell>
          <cell r="J4605" t="str">
            <v>IE3</v>
          </cell>
          <cell r="K4605">
            <v>415</v>
          </cell>
          <cell r="L4605">
            <v>50</v>
          </cell>
          <cell r="M4605">
            <v>27.5</v>
          </cell>
          <cell r="N4605">
            <v>55</v>
          </cell>
          <cell r="O4605" t="str">
            <v>155(F)</v>
          </cell>
          <cell r="P4605" t="str">
            <v>270°</v>
          </cell>
          <cell r="Q4605" t="str">
            <v>TF</v>
          </cell>
          <cell r="R4605" t="str">
            <v>V(VE)</v>
          </cell>
          <cell r="S4605" t="str">
            <v>-</v>
          </cell>
          <cell r="T4605" t="str">
            <v>-</v>
          </cell>
          <cell r="U4605" t="str">
            <v>-</v>
          </cell>
          <cell r="V4605" t="str">
            <v>FC</v>
          </cell>
          <cell r="W4605" t="str">
            <v>-</v>
          </cell>
          <cell r="X4605" t="str">
            <v>CLP 220 (-15/+40°C)</v>
          </cell>
          <cell r="Y4605" t="str">
            <v>KH127DRN160L4 /TF/V</v>
          </cell>
          <cell r="Z4605" t="str">
            <v>SEW</v>
          </cell>
          <cell r="AB4605" t="str">
            <v>-</v>
          </cell>
          <cell r="AF4605">
            <v>16</v>
          </cell>
          <cell r="AG4605" t="str">
            <v>DRN160L4</v>
          </cell>
          <cell r="AH4605" t="str">
            <v>KH127-DRN160L4A270-X#</v>
          </cell>
        </row>
        <row r="4606">
          <cell r="A4606" t="str">
            <v>MR004595</v>
          </cell>
          <cell r="B4606" t="str">
            <v>MR</v>
          </cell>
          <cell r="C4606">
            <v>15</v>
          </cell>
          <cell r="D4606">
            <v>16</v>
          </cell>
          <cell r="E4606" t="str">
            <v>KH127</v>
          </cell>
          <cell r="F4606">
            <v>8730</v>
          </cell>
          <cell r="G4606">
            <v>89.89</v>
          </cell>
          <cell r="H4606">
            <v>1.5</v>
          </cell>
          <cell r="I4606" t="str">
            <v>From M4B to M1B - 30°</v>
          </cell>
          <cell r="J4606" t="str">
            <v>IE3</v>
          </cell>
          <cell r="K4606">
            <v>415</v>
          </cell>
          <cell r="L4606">
            <v>50</v>
          </cell>
          <cell r="M4606">
            <v>27.5</v>
          </cell>
          <cell r="N4606">
            <v>55</v>
          </cell>
          <cell r="O4606" t="str">
            <v>155(F)</v>
          </cell>
          <cell r="P4606" t="str">
            <v>270°</v>
          </cell>
          <cell r="Q4606" t="str">
            <v>TF</v>
          </cell>
          <cell r="R4606" t="str">
            <v>V(VE)</v>
          </cell>
          <cell r="S4606" t="str">
            <v>-</v>
          </cell>
          <cell r="T4606" t="str">
            <v>-</v>
          </cell>
          <cell r="U4606" t="str">
            <v>-</v>
          </cell>
          <cell r="V4606" t="str">
            <v>FC</v>
          </cell>
          <cell r="W4606" t="str">
            <v>-</v>
          </cell>
          <cell r="X4606" t="str">
            <v>CLP 220 (-15/+40°C)</v>
          </cell>
          <cell r="Y4606" t="str">
            <v>KH127DRN160L4 /TF/V</v>
          </cell>
          <cell r="Z4606" t="str">
            <v>SEW</v>
          </cell>
          <cell r="AB4606" t="str">
            <v>-</v>
          </cell>
          <cell r="AF4606">
            <v>16</v>
          </cell>
          <cell r="AG4606" t="str">
            <v>DRN160L4</v>
          </cell>
          <cell r="AH4606" t="str">
            <v>KH127-DRN160L4B270-X#</v>
          </cell>
        </row>
        <row r="4607">
          <cell r="A4607" t="str">
            <v>MR004596</v>
          </cell>
          <cell r="B4607" t="str">
            <v>MR</v>
          </cell>
          <cell r="C4607">
            <v>0.25</v>
          </cell>
          <cell r="D4607">
            <v>1.7</v>
          </cell>
          <cell r="E4607" t="str">
            <v>KA77R37</v>
          </cell>
          <cell r="F4607">
            <v>1230</v>
          </cell>
          <cell r="G4607">
            <v>815</v>
          </cell>
          <cell r="H4607">
            <v>1.25</v>
          </cell>
          <cell r="I4607" t="str">
            <v>M3B</v>
          </cell>
          <cell r="J4607" t="str">
            <v>IE3</v>
          </cell>
          <cell r="K4607" t="str">
            <v>240/415</v>
          </cell>
          <cell r="L4607">
            <v>50</v>
          </cell>
          <cell r="M4607" t="str">
            <v>1,21/0,7</v>
          </cell>
          <cell r="N4607">
            <v>55</v>
          </cell>
          <cell r="O4607" t="str">
            <v>155(F)</v>
          </cell>
          <cell r="P4607" t="str">
            <v>0°</v>
          </cell>
          <cell r="Q4607" t="str">
            <v>TF</v>
          </cell>
          <cell r="R4607" t="str">
            <v>-</v>
          </cell>
          <cell r="S4607" t="str">
            <v>-</v>
          </cell>
          <cell r="T4607" t="str">
            <v>BEHF</v>
          </cell>
          <cell r="U4607" t="str">
            <v>T</v>
          </cell>
          <cell r="V4607" t="str">
            <v>D+R</v>
          </cell>
          <cell r="W4607" t="str">
            <v>-</v>
          </cell>
          <cell r="X4607" t="str">
            <v>CLP 220 (-15/+40°C)</v>
          </cell>
          <cell r="Y4607" t="str">
            <v>KA77R37/T DRN71MS4 /BEHF /TF</v>
          </cell>
          <cell r="Z4607" t="str">
            <v>SEW</v>
          </cell>
          <cell r="AB4607" t="str">
            <v>-</v>
          </cell>
          <cell r="AF4607">
            <v>1.7</v>
          </cell>
          <cell r="AG4607" t="str">
            <v>DRN71MS4</v>
          </cell>
          <cell r="AH4607" t="str">
            <v>KA77R37T-DRN71MS4B0-X</v>
          </cell>
        </row>
        <row r="4608">
          <cell r="A4608" t="str">
            <v>MR004597</v>
          </cell>
          <cell r="B4608" t="str">
            <v>ME</v>
          </cell>
          <cell r="C4608">
            <v>45</v>
          </cell>
          <cell r="D4608">
            <v>1478</v>
          </cell>
          <cell r="E4608" t="str">
            <v>1CV3222B</v>
          </cell>
          <cell r="F4608">
            <v>290</v>
          </cell>
          <cell r="G4608" t="str">
            <v>-</v>
          </cell>
          <cell r="H4608" t="str">
            <v>-</v>
          </cell>
          <cell r="I4608" t="str">
            <v>IM B5</v>
          </cell>
          <cell r="J4608" t="str">
            <v>IE3</v>
          </cell>
          <cell r="K4608" t="str">
            <v>400/690</v>
          </cell>
          <cell r="L4608">
            <v>50</v>
          </cell>
          <cell r="M4608" t="str">
            <v>80/46,5</v>
          </cell>
          <cell r="N4608">
            <v>55</v>
          </cell>
          <cell r="O4608" t="str">
            <v>155(F)</v>
          </cell>
          <cell r="P4608" t="str">
            <v>TOP</v>
          </cell>
          <cell r="Q4608" t="str">
            <v>TF</v>
          </cell>
          <cell r="R4608" t="str">
            <v>-</v>
          </cell>
          <cell r="S4608" t="str">
            <v>-</v>
          </cell>
          <cell r="T4608" t="str">
            <v>-</v>
          </cell>
          <cell r="U4608" t="str">
            <v>-</v>
          </cell>
          <cell r="V4608" t="str">
            <v>D</v>
          </cell>
          <cell r="W4608" t="str">
            <v>-</v>
          </cell>
          <cell r="X4608" t="str">
            <v>-</v>
          </cell>
          <cell r="Y4608" t="str">
            <v>1MB1523-2BB23-4FB4-Z+B02</v>
          </cell>
          <cell r="Z4608" t="str">
            <v>SIEMENS</v>
          </cell>
          <cell r="AB4608" t="str">
            <v>ATEX22</v>
          </cell>
          <cell r="AE4608" t="str">
            <v>4 POLES</v>
          </cell>
          <cell r="AF4608">
            <v>1478</v>
          </cell>
          <cell r="AG4608" t="str">
            <v>1CV3222B</v>
          </cell>
          <cell r="AH4608" t="str">
            <v>1CV3222B-1CV3222BBTOP-X</v>
          </cell>
        </row>
        <row r="4609">
          <cell r="A4609" t="str">
            <v>MR004598</v>
          </cell>
          <cell r="B4609" t="str">
            <v>ME</v>
          </cell>
          <cell r="C4609">
            <v>3</v>
          </cell>
          <cell r="D4609">
            <v>3000</v>
          </cell>
          <cell r="E4609" t="str">
            <v>1AV3104A</v>
          </cell>
          <cell r="F4609">
            <v>9.8000000000000007</v>
          </cell>
          <cell r="G4609" t="str">
            <v>-</v>
          </cell>
          <cell r="H4609" t="str">
            <v>-</v>
          </cell>
          <cell r="I4609" t="str">
            <v>IM B5</v>
          </cell>
          <cell r="J4609" t="str">
            <v>IE3</v>
          </cell>
          <cell r="K4609" t="str">
            <v>230/400</v>
          </cell>
          <cell r="L4609">
            <v>50</v>
          </cell>
          <cell r="M4609" t="str">
            <v>9,9/5,7</v>
          </cell>
          <cell r="N4609">
            <v>55</v>
          </cell>
          <cell r="O4609" t="str">
            <v>155(F)</v>
          </cell>
          <cell r="P4609" t="str">
            <v>TOP</v>
          </cell>
          <cell r="Q4609" t="str">
            <v>TF</v>
          </cell>
          <cell r="R4609" t="str">
            <v>-</v>
          </cell>
          <cell r="S4609" t="str">
            <v>-</v>
          </cell>
          <cell r="T4609" t="str">
            <v>-</v>
          </cell>
          <cell r="U4609" t="str">
            <v>-</v>
          </cell>
          <cell r="V4609" t="str">
            <v>D</v>
          </cell>
          <cell r="W4609" t="str">
            <v>-</v>
          </cell>
          <cell r="X4609" t="str">
            <v>-</v>
          </cell>
          <cell r="Y4609" t="str">
            <v>1MB1023-1AA42-2FB4-Z+B02</v>
          </cell>
          <cell r="Z4609" t="str">
            <v>SIEMENS</v>
          </cell>
          <cell r="AB4609" t="str">
            <v>ATEX22</v>
          </cell>
          <cell r="AE4609" t="str">
            <v>2 POLES</v>
          </cell>
          <cell r="AF4609">
            <v>3000</v>
          </cell>
          <cell r="AG4609" t="str">
            <v>1AV3104A</v>
          </cell>
          <cell r="AH4609" t="str">
            <v>1AV3104A-1AV3104ABTOP-X</v>
          </cell>
        </row>
        <row r="4610">
          <cell r="A4610" t="str">
            <v>MR004599</v>
          </cell>
          <cell r="B4610" t="str">
            <v>MR</v>
          </cell>
          <cell r="C4610">
            <v>30</v>
          </cell>
          <cell r="D4610">
            <v>15</v>
          </cell>
          <cell r="E4610" t="str">
            <v>KH157</v>
          </cell>
          <cell r="F4610">
            <v>19400</v>
          </cell>
          <cell r="G4610">
            <v>100.22</v>
          </cell>
          <cell r="H4610">
            <v>1.05</v>
          </cell>
          <cell r="I4610" t="str">
            <v>From M4A to M1A-20°</v>
          </cell>
          <cell r="J4610" t="str">
            <v>IE3</v>
          </cell>
          <cell r="K4610" t="str">
            <v>400/690</v>
          </cell>
          <cell r="L4610">
            <v>50</v>
          </cell>
          <cell r="M4610" t="str">
            <v>56/32,5</v>
          </cell>
          <cell r="N4610">
            <v>65</v>
          </cell>
          <cell r="O4610" t="str">
            <v>155(F)</v>
          </cell>
          <cell r="P4610" t="str">
            <v>270°</v>
          </cell>
          <cell r="Q4610" t="str">
            <v>TF</v>
          </cell>
          <cell r="R4610" t="str">
            <v>V(VE)</v>
          </cell>
          <cell r="S4610" t="str">
            <v>-</v>
          </cell>
          <cell r="T4610" t="str">
            <v>-</v>
          </cell>
          <cell r="U4610" t="str">
            <v>-</v>
          </cell>
          <cell r="V4610" t="str">
            <v>FC</v>
          </cell>
          <cell r="W4610" t="str">
            <v>-</v>
          </cell>
          <cell r="X4610" t="str">
            <v>CLP 220 (-15/+40°C)</v>
          </cell>
          <cell r="Y4610" t="str">
            <v>KH157DRN200L4 /TF/V</v>
          </cell>
          <cell r="Z4610" t="str">
            <v>SEW</v>
          </cell>
          <cell r="AB4610" t="str">
            <v>-</v>
          </cell>
          <cell r="AF4610">
            <v>15</v>
          </cell>
          <cell r="AG4610" t="str">
            <v>DRN200L4</v>
          </cell>
          <cell r="AH4610" t="str">
            <v>KH157-DRN200L4A270-X#</v>
          </cell>
        </row>
        <row r="4611">
          <cell r="A4611" t="str">
            <v>MR004600</v>
          </cell>
          <cell r="B4611" t="str">
            <v>R</v>
          </cell>
          <cell r="C4611" t="str">
            <v>-</v>
          </cell>
          <cell r="E4611" t="str">
            <v>KH47</v>
          </cell>
          <cell r="I4611" t="str">
            <v>M4B</v>
          </cell>
          <cell r="J4611" t="str">
            <v>IE3</v>
          </cell>
          <cell r="K4611" t="str">
            <v>-</v>
          </cell>
          <cell r="L4611" t="str">
            <v>-</v>
          </cell>
          <cell r="M4611" t="str">
            <v>-</v>
          </cell>
          <cell r="N4611">
            <v>55</v>
          </cell>
          <cell r="O4611" t="str">
            <v>155(F)</v>
          </cell>
          <cell r="P4611" t="str">
            <v>-</v>
          </cell>
          <cell r="Q4611" t="str">
            <v>-</v>
          </cell>
          <cell r="R4611" t="str">
            <v>-</v>
          </cell>
          <cell r="S4611" t="str">
            <v>-</v>
          </cell>
          <cell r="T4611" t="str">
            <v>-</v>
          </cell>
          <cell r="U4611" t="str">
            <v>-</v>
          </cell>
          <cell r="V4611" t="str">
            <v>-</v>
          </cell>
          <cell r="W4611" t="str">
            <v>-</v>
          </cell>
          <cell r="X4611" t="str">
            <v>CLP 220 (-15/+40°C)</v>
          </cell>
          <cell r="Y4611" t="str">
            <v>KH47-</v>
          </cell>
          <cell r="Z4611" t="str">
            <v>SEW</v>
          </cell>
          <cell r="AB4611" t="str">
            <v>-</v>
          </cell>
          <cell r="AF4611" t="e">
            <v>#VALUE!</v>
          </cell>
          <cell r="AG4611" t="str">
            <v>-</v>
          </cell>
          <cell r="AH4611" t="str">
            <v>KH47--B--X</v>
          </cell>
        </row>
        <row r="4612">
          <cell r="A4612" t="str">
            <v>MR004601</v>
          </cell>
          <cell r="B4612" t="str">
            <v>ME</v>
          </cell>
          <cell r="C4612">
            <v>37</v>
          </cell>
          <cell r="D4612">
            <v>1485</v>
          </cell>
          <cell r="E4612" t="str">
            <v>225 S</v>
          </cell>
          <cell r="F4612">
            <v>238</v>
          </cell>
          <cell r="I4612" t="str">
            <v>M</v>
          </cell>
          <cell r="J4612" t="str">
            <v>IE3</v>
          </cell>
          <cell r="K4612" t="str">
            <v>400/690</v>
          </cell>
          <cell r="L4612">
            <v>50</v>
          </cell>
          <cell r="M4612" t="str">
            <v>69,4/40,2</v>
          </cell>
          <cell r="N4612">
            <v>65</v>
          </cell>
          <cell r="O4612" t="str">
            <v>155(F)</v>
          </cell>
          <cell r="P4612" t="str">
            <v>270°</v>
          </cell>
          <cell r="Q4612" t="str">
            <v>TF</v>
          </cell>
          <cell r="R4612" t="str">
            <v>V(VE)</v>
          </cell>
          <cell r="S4612" t="str">
            <v>-</v>
          </cell>
          <cell r="T4612" t="str">
            <v>-</v>
          </cell>
          <cell r="U4612" t="str">
            <v>-</v>
          </cell>
          <cell r="V4612" t="str">
            <v>FC</v>
          </cell>
          <cell r="W4612" t="str">
            <v>-</v>
          </cell>
          <cell r="X4612" t="str">
            <v>-</v>
          </cell>
          <cell r="Y4612" t="str">
            <v>225 SDRN225S4 /TF/V</v>
          </cell>
          <cell r="Z4612" t="str">
            <v>WEG</v>
          </cell>
          <cell r="AB4612" t="str">
            <v>-</v>
          </cell>
          <cell r="AF4612">
            <v>1485</v>
          </cell>
          <cell r="AG4612" t="str">
            <v>DRN225S4</v>
          </cell>
          <cell r="AH4612" t="str">
            <v>225 S-DRN225S4270-X#</v>
          </cell>
        </row>
        <row r="4613">
          <cell r="A4613" t="str">
            <v>MR004602</v>
          </cell>
          <cell r="B4613" t="str">
            <v>R</v>
          </cell>
          <cell r="D4613">
            <v>8.6</v>
          </cell>
          <cell r="E4613" t="str">
            <v>314M L3</v>
          </cell>
          <cell r="F4613">
            <v>60200</v>
          </cell>
          <cell r="G4613">
            <v>174</v>
          </cell>
          <cell r="I4613" t="str">
            <v>G</v>
          </cell>
          <cell r="J4613" t="str">
            <v>-</v>
          </cell>
          <cell r="N4613" t="str">
            <v>-</v>
          </cell>
          <cell r="O4613" t="str">
            <v>-</v>
          </cell>
          <cell r="P4613" t="str">
            <v>-</v>
          </cell>
          <cell r="Q4613" t="str">
            <v>-</v>
          </cell>
          <cell r="R4613" t="str">
            <v>-</v>
          </cell>
          <cell r="S4613" t="str">
            <v>-</v>
          </cell>
          <cell r="T4613" t="str">
            <v>-</v>
          </cell>
          <cell r="U4613" t="str">
            <v>-</v>
          </cell>
          <cell r="V4613" t="str">
            <v>-</v>
          </cell>
          <cell r="W4613" t="str">
            <v>-</v>
          </cell>
          <cell r="X4613" t="str">
            <v>SHELL OMALA S4 WE 150</v>
          </cell>
          <cell r="Y4613" t="str">
            <v>314M L3 174 PC FV06B G LM</v>
          </cell>
          <cell r="Z4613" t="str">
            <v>Bonfiglioli</v>
          </cell>
          <cell r="AB4613" t="str">
            <v>-</v>
          </cell>
          <cell r="AF4613">
            <v>0</v>
          </cell>
          <cell r="AG4613" t="e">
            <v>#N/A</v>
          </cell>
          <cell r="AH4613" t="e">
            <v>#N/A</v>
          </cell>
        </row>
        <row r="4614">
          <cell r="A4614" t="str">
            <v>MR004603</v>
          </cell>
          <cell r="B4614" t="str">
            <v>MR</v>
          </cell>
          <cell r="C4614">
            <v>22</v>
          </cell>
          <cell r="D4614">
            <v>6.9</v>
          </cell>
          <cell r="E4614" t="str">
            <v>KH167R107</v>
          </cell>
          <cell r="F4614">
            <v>27900</v>
          </cell>
          <cell r="G4614">
            <v>213</v>
          </cell>
          <cell r="H4614">
            <v>1.25</v>
          </cell>
          <cell r="I4614" t="str">
            <v>From M4A to M1A-25°</v>
          </cell>
          <cell r="J4614" t="str">
            <v>IE3</v>
          </cell>
          <cell r="K4614" t="str">
            <v>400/690</v>
          </cell>
          <cell r="L4614">
            <v>50</v>
          </cell>
          <cell r="M4614" t="str">
            <v>38,5/22,5</v>
          </cell>
          <cell r="N4614">
            <v>65</v>
          </cell>
          <cell r="O4614" t="str">
            <v>155(F)</v>
          </cell>
          <cell r="P4614" t="str">
            <v>270°</v>
          </cell>
          <cell r="Q4614" t="str">
            <v>TF</v>
          </cell>
          <cell r="R4614" t="str">
            <v>V(VE)</v>
          </cell>
          <cell r="S4614" t="str">
            <v>-</v>
          </cell>
          <cell r="T4614" t="str">
            <v>-</v>
          </cell>
          <cell r="U4614" t="str">
            <v>-</v>
          </cell>
          <cell r="V4614" t="str">
            <v>FC</v>
          </cell>
          <cell r="W4614" t="str">
            <v>-</v>
          </cell>
          <cell r="X4614" t="str">
            <v>CLP 220 (-15/+40°C)</v>
          </cell>
          <cell r="Y4614" t="str">
            <v>KH167R107DRN180L4 /TF/V</v>
          </cell>
          <cell r="Z4614" t="str">
            <v>SEW</v>
          </cell>
          <cell r="AB4614" t="str">
            <v>-</v>
          </cell>
          <cell r="AF4614">
            <v>6.9</v>
          </cell>
          <cell r="AG4614" t="str">
            <v>DRN180L4</v>
          </cell>
          <cell r="AH4614" t="str">
            <v>KH167R107-DRN180L4A270-X#</v>
          </cell>
        </row>
        <row r="4615">
          <cell r="A4615" t="str">
            <v>MR004604</v>
          </cell>
          <cell r="B4615" t="str">
            <v>MR</v>
          </cell>
          <cell r="C4615">
            <v>22</v>
          </cell>
          <cell r="D4615">
            <v>6.9</v>
          </cell>
          <cell r="E4615" t="str">
            <v>KH167R107</v>
          </cell>
          <cell r="F4615">
            <v>27900</v>
          </cell>
          <cell r="G4615">
            <v>213</v>
          </cell>
          <cell r="H4615">
            <v>1.25</v>
          </cell>
          <cell r="I4615" t="str">
            <v>From M4B to M1B-25°</v>
          </cell>
          <cell r="J4615" t="str">
            <v>IE3</v>
          </cell>
          <cell r="K4615" t="str">
            <v>400/690</v>
          </cell>
          <cell r="L4615">
            <v>50</v>
          </cell>
          <cell r="M4615" t="str">
            <v>38,5/22,5</v>
          </cell>
          <cell r="N4615">
            <v>65</v>
          </cell>
          <cell r="O4615" t="str">
            <v>155(F)</v>
          </cell>
          <cell r="P4615" t="str">
            <v>270°</v>
          </cell>
          <cell r="Q4615" t="str">
            <v>TF</v>
          </cell>
          <cell r="R4615" t="str">
            <v>V(VE)</v>
          </cell>
          <cell r="S4615" t="str">
            <v>-</v>
          </cell>
          <cell r="T4615" t="str">
            <v>-</v>
          </cell>
          <cell r="U4615" t="str">
            <v>-</v>
          </cell>
          <cell r="V4615" t="str">
            <v>FC</v>
          </cell>
          <cell r="W4615" t="str">
            <v>-</v>
          </cell>
          <cell r="X4615" t="str">
            <v>CLP 220 (-15/+40°C)</v>
          </cell>
          <cell r="Y4615" t="str">
            <v>KH167R107DRN180L4 /TF/V</v>
          </cell>
          <cell r="Z4615" t="str">
            <v>SEW</v>
          </cell>
          <cell r="AB4615" t="str">
            <v>-</v>
          </cell>
          <cell r="AF4615">
            <v>6.9</v>
          </cell>
          <cell r="AG4615" t="str">
            <v>DRN180L4</v>
          </cell>
          <cell r="AH4615" t="str">
            <v>KH167R107-DRN180L4B270-X#</v>
          </cell>
        </row>
        <row r="4616">
          <cell r="A4616" t="str">
            <v>MR004605</v>
          </cell>
          <cell r="B4616" t="str">
            <v>MR</v>
          </cell>
          <cell r="C4616">
            <v>7.5</v>
          </cell>
          <cell r="D4616">
            <v>2.25</v>
          </cell>
          <cell r="E4616" t="str">
            <v>313M R4</v>
          </cell>
          <cell r="F4616">
            <v>28100</v>
          </cell>
          <cell r="G4616">
            <v>647</v>
          </cell>
          <cell r="H4616">
            <v>1.8</v>
          </cell>
          <cell r="I4616" t="str">
            <v>B0</v>
          </cell>
          <cell r="J4616" t="str">
            <v>IE3</v>
          </cell>
          <cell r="K4616" t="str">
            <v>230/400</v>
          </cell>
          <cell r="L4616">
            <v>50</v>
          </cell>
          <cell r="M4616" t="str">
            <v>27/15</v>
          </cell>
          <cell r="N4616">
            <v>55</v>
          </cell>
          <cell r="O4616" t="str">
            <v>155(F)</v>
          </cell>
          <cell r="P4616" t="str">
            <v>-</v>
          </cell>
          <cell r="Q4616" t="str">
            <v>TF</v>
          </cell>
          <cell r="R4616" t="str">
            <v>V(VE)</v>
          </cell>
          <cell r="S4616" t="str">
            <v>-</v>
          </cell>
          <cell r="T4616" t="str">
            <v>-</v>
          </cell>
          <cell r="U4616" t="str">
            <v>-</v>
          </cell>
          <cell r="V4616" t="str">
            <v>FC</v>
          </cell>
          <cell r="W4616" t="str">
            <v>-</v>
          </cell>
          <cell r="X4616" t="str">
            <v>SHELL OMALA S4 WE 150</v>
          </cell>
          <cell r="Y4616" t="str">
            <v>MT313R464019</v>
          </cell>
          <cell r="Z4616" t="str">
            <v>Bonfiglioli</v>
          </cell>
          <cell r="AB4616" t="str">
            <v>-</v>
          </cell>
          <cell r="AE4616" t="str">
            <v>MOTOR 132MA-4POLES-230/400V-50HZ-CL.F.B5-E3(TF)-U1(V)</v>
          </cell>
          <cell r="AF4616">
            <v>2.25</v>
          </cell>
          <cell r="AG4616" t="str">
            <v>DRN132M4</v>
          </cell>
          <cell r="AH4616" t="str">
            <v>313M R4-DRN132M4B--X#</v>
          </cell>
        </row>
        <row r="4617">
          <cell r="A4617" t="str">
            <v>MR004606</v>
          </cell>
          <cell r="B4617" t="str">
            <v>MR</v>
          </cell>
          <cell r="C4617">
            <v>0.75</v>
          </cell>
          <cell r="D4617">
            <v>164.59</v>
          </cell>
          <cell r="E4617" t="str">
            <v>KAD39</v>
          </cell>
          <cell r="F4617">
            <v>43.6</v>
          </cell>
          <cell r="G4617">
            <v>8.81</v>
          </cell>
          <cell r="H4617">
            <v>4.2</v>
          </cell>
          <cell r="I4617" t="str">
            <v>M3A</v>
          </cell>
          <cell r="J4617" t="str">
            <v>IE3</v>
          </cell>
          <cell r="K4617" t="str">
            <v>230/400</v>
          </cell>
          <cell r="L4617">
            <v>50</v>
          </cell>
          <cell r="M4617" t="str">
            <v>3,04/1,75</v>
          </cell>
          <cell r="N4617">
            <v>55</v>
          </cell>
          <cell r="O4617" t="str">
            <v>155(F)</v>
          </cell>
          <cell r="P4617" t="str">
            <v>180°</v>
          </cell>
          <cell r="Q4617" t="str">
            <v>-</v>
          </cell>
          <cell r="R4617" t="str">
            <v>-</v>
          </cell>
          <cell r="S4617" t="str">
            <v>-</v>
          </cell>
          <cell r="T4617" t="str">
            <v>-</v>
          </cell>
          <cell r="U4617" t="str">
            <v>-</v>
          </cell>
          <cell r="V4617" t="str">
            <v>-</v>
          </cell>
          <cell r="W4617" t="str">
            <v>-</v>
          </cell>
          <cell r="X4617" t="str">
            <v>CLP PG 220 (-25/+80°C)</v>
          </cell>
          <cell r="Y4617" t="str">
            <v>KAD39EDRN80M4</v>
          </cell>
          <cell r="Z4617" t="str">
            <v>Siemens</v>
          </cell>
          <cell r="AB4617" t="str">
            <v>ATEX22</v>
          </cell>
          <cell r="AF4617">
            <v>164.59</v>
          </cell>
          <cell r="AG4617" t="str">
            <v>EDRN80M4</v>
          </cell>
          <cell r="AH4617" t="str">
            <v>KAD39-EDRN80M4A180-X</v>
          </cell>
        </row>
        <row r="4618">
          <cell r="A4618" t="str">
            <v>MR004607</v>
          </cell>
          <cell r="B4618" t="str">
            <v>MR</v>
          </cell>
          <cell r="C4618">
            <v>3</v>
          </cell>
          <cell r="D4618">
            <v>70.489999999999995</v>
          </cell>
          <cell r="E4618" t="str">
            <v>KADS79</v>
          </cell>
          <cell r="F4618">
            <v>406.4</v>
          </cell>
          <cell r="G4618">
            <v>20.57</v>
          </cell>
          <cell r="H4618">
            <v>1.84</v>
          </cell>
          <cell r="I4618" t="str">
            <v>M3B</v>
          </cell>
          <cell r="J4618" t="str">
            <v>IE3</v>
          </cell>
          <cell r="K4618" t="str">
            <v>230/400</v>
          </cell>
          <cell r="L4618">
            <v>50</v>
          </cell>
          <cell r="M4618" t="str">
            <v>10,7/6,2</v>
          </cell>
          <cell r="N4618">
            <v>55</v>
          </cell>
          <cell r="O4618" t="str">
            <v>155(F)</v>
          </cell>
          <cell r="P4618" t="str">
            <v>180°</v>
          </cell>
          <cell r="Q4618" t="str">
            <v>-</v>
          </cell>
          <cell r="R4618" t="str">
            <v>-</v>
          </cell>
          <cell r="S4618" t="str">
            <v>-</v>
          </cell>
          <cell r="T4618" t="str">
            <v>-</v>
          </cell>
          <cell r="U4618" t="str">
            <v>-</v>
          </cell>
          <cell r="V4618" t="str">
            <v>-</v>
          </cell>
          <cell r="W4618" t="str">
            <v>-</v>
          </cell>
          <cell r="X4618" t="str">
            <v>CLP PG 220 (-25/+80°C)</v>
          </cell>
          <cell r="Y4618" t="str">
            <v>KADS79EDRN100L4</v>
          </cell>
          <cell r="Z4618" t="str">
            <v>Siemens</v>
          </cell>
          <cell r="AB4618" t="str">
            <v>ATEX22</v>
          </cell>
          <cell r="AF4618">
            <v>70.489999999999995</v>
          </cell>
          <cell r="AG4618" t="str">
            <v>EDRN100L4</v>
          </cell>
          <cell r="AH4618" t="str">
            <v>KADS79-EDRN100L4B180-X</v>
          </cell>
        </row>
        <row r="4619">
          <cell r="A4619" t="str">
            <v>MR004608</v>
          </cell>
          <cell r="B4619" t="str">
            <v>MR</v>
          </cell>
          <cell r="C4619">
            <v>15</v>
          </cell>
          <cell r="D4619">
            <v>54</v>
          </cell>
          <cell r="E4619" t="str">
            <v>FH97</v>
          </cell>
          <cell r="F4619">
            <v>2670</v>
          </cell>
          <cell r="G4619">
            <v>27.44</v>
          </cell>
          <cell r="H4619">
            <v>1.6</v>
          </cell>
          <cell r="I4619" t="str">
            <v>M1</v>
          </cell>
          <cell r="J4619" t="str">
            <v>IE3</v>
          </cell>
          <cell r="K4619" t="str">
            <v>400/690</v>
          </cell>
          <cell r="L4619">
            <v>50</v>
          </cell>
          <cell r="M4619" t="str">
            <v>29,5/16,9</v>
          </cell>
          <cell r="N4619">
            <v>65</v>
          </cell>
          <cell r="O4619" t="str">
            <v>155(F)</v>
          </cell>
          <cell r="P4619" t="str">
            <v>270°</v>
          </cell>
          <cell r="Q4619" t="str">
            <v>TF</v>
          </cell>
          <cell r="R4619" t="str">
            <v>V(VE)</v>
          </cell>
          <cell r="S4619" t="str">
            <v>-</v>
          </cell>
          <cell r="T4619" t="str">
            <v>-</v>
          </cell>
          <cell r="U4619" t="str">
            <v>G</v>
          </cell>
          <cell r="V4619" t="str">
            <v>FC</v>
          </cell>
          <cell r="W4619" t="str">
            <v>-</v>
          </cell>
          <cell r="X4619" t="str">
            <v>CLP HC 150 (-30/+50°C)</v>
          </cell>
          <cell r="Y4619" t="str">
            <v>FH97/G EDRN160L4 /TF/VE</v>
          </cell>
          <cell r="Z4619" t="str">
            <v>SEW</v>
          </cell>
          <cell r="AB4619" t="str">
            <v>ATEX22</v>
          </cell>
          <cell r="AF4619">
            <v>54</v>
          </cell>
          <cell r="AG4619" t="str">
            <v>EDRN160L4</v>
          </cell>
          <cell r="AH4619" t="str">
            <v>FH97G-EDRN160L4270-X#</v>
          </cell>
        </row>
        <row r="4620">
          <cell r="A4620" t="str">
            <v>MR004609</v>
          </cell>
          <cell r="B4620" t="str">
            <v>MR</v>
          </cell>
          <cell r="C4620">
            <v>37</v>
          </cell>
          <cell r="D4620">
            <v>19</v>
          </cell>
          <cell r="E4620" t="str">
            <v>KH157</v>
          </cell>
          <cell r="F4620">
            <v>19000</v>
          </cell>
          <cell r="G4620">
            <v>79.75</v>
          </cell>
          <cell r="H4620">
            <v>1.05</v>
          </cell>
          <cell r="I4620" t="str">
            <v>From M4A to M1A-45°</v>
          </cell>
          <cell r="J4620" t="str">
            <v>IE3</v>
          </cell>
          <cell r="K4620" t="str">
            <v>400/690</v>
          </cell>
          <cell r="L4620">
            <v>50</v>
          </cell>
          <cell r="M4620" t="str">
            <v>64/37</v>
          </cell>
          <cell r="N4620">
            <v>65</v>
          </cell>
          <cell r="O4620" t="str">
            <v>155(F)</v>
          </cell>
          <cell r="P4620" t="str">
            <v>270°</v>
          </cell>
          <cell r="Q4620" t="str">
            <v>TF</v>
          </cell>
          <cell r="R4620" t="str">
            <v>-</v>
          </cell>
          <cell r="S4620" t="str">
            <v>-</v>
          </cell>
          <cell r="T4620" t="str">
            <v>-</v>
          </cell>
          <cell r="U4620" t="str">
            <v>-</v>
          </cell>
          <cell r="V4620" t="str">
            <v>SS</v>
          </cell>
          <cell r="W4620" t="str">
            <v>-</v>
          </cell>
          <cell r="X4620" t="str">
            <v>CLP 220 (-15/+40°C)</v>
          </cell>
          <cell r="Y4620" t="str">
            <v>KH157DRN225S4 /TF</v>
          </cell>
          <cell r="Z4620" t="str">
            <v>SEW</v>
          </cell>
          <cell r="AB4620" t="str">
            <v>-</v>
          </cell>
          <cell r="AF4620">
            <v>19</v>
          </cell>
          <cell r="AG4620" t="str">
            <v>DRN225S4</v>
          </cell>
          <cell r="AH4620" t="str">
            <v>KH157-DRN225S4A270-X</v>
          </cell>
        </row>
        <row r="4621">
          <cell r="A4621" t="str">
            <v>MR004610</v>
          </cell>
          <cell r="B4621" t="str">
            <v>MR</v>
          </cell>
          <cell r="C4621">
            <v>22</v>
          </cell>
          <cell r="D4621">
            <v>12</v>
          </cell>
          <cell r="E4621" t="str">
            <v>KH157</v>
          </cell>
          <cell r="F4621">
            <v>17400</v>
          </cell>
          <cell r="G4621">
            <v>122.39</v>
          </cell>
          <cell r="H4621">
            <v>1.1499999999999999</v>
          </cell>
          <cell r="I4621" t="str">
            <v>M1A</v>
          </cell>
          <cell r="J4621" t="str">
            <v>IE3</v>
          </cell>
          <cell r="K4621" t="str">
            <v>400/690</v>
          </cell>
          <cell r="L4621">
            <v>50</v>
          </cell>
          <cell r="M4621" t="str">
            <v>38,5/22,5</v>
          </cell>
          <cell r="N4621">
            <v>65</v>
          </cell>
          <cell r="O4621" t="str">
            <v>155(F)</v>
          </cell>
          <cell r="P4621" t="str">
            <v>270°</v>
          </cell>
          <cell r="Q4621" t="str">
            <v>TF</v>
          </cell>
          <cell r="R4621" t="str">
            <v>V(VE)</v>
          </cell>
          <cell r="S4621" t="str">
            <v>-</v>
          </cell>
          <cell r="T4621" t="str">
            <v>-</v>
          </cell>
          <cell r="U4621" t="str">
            <v>-</v>
          </cell>
          <cell r="V4621" t="str">
            <v>FC</v>
          </cell>
          <cell r="W4621" t="str">
            <v>-</v>
          </cell>
          <cell r="X4621" t="str">
            <v>CLP 220 (-15/+40°C)</v>
          </cell>
          <cell r="Y4621" t="str">
            <v>KH157DRN180L4 /TF/V</v>
          </cell>
          <cell r="Z4621" t="str">
            <v>SEW</v>
          </cell>
          <cell r="AB4621" t="str">
            <v>-</v>
          </cell>
          <cell r="AF4621">
            <v>12</v>
          </cell>
          <cell r="AG4621" t="str">
            <v>DRN180L4</v>
          </cell>
          <cell r="AH4621" t="str">
            <v>KH157-DRN180L4A270-X#</v>
          </cell>
        </row>
        <row r="4622">
          <cell r="A4622" t="str">
            <v>MR004611</v>
          </cell>
          <cell r="B4622" t="str">
            <v>MR</v>
          </cell>
          <cell r="C4622">
            <v>0.37</v>
          </cell>
          <cell r="D4622">
            <v>3.4</v>
          </cell>
          <cell r="E4622" t="str">
            <v>KA67R37</v>
          </cell>
          <cell r="F4622">
            <v>920</v>
          </cell>
          <cell r="G4622">
            <v>420</v>
          </cell>
          <cell r="H4622">
            <v>0.9</v>
          </cell>
          <cell r="I4622" t="str">
            <v>M3B</v>
          </cell>
          <cell r="J4622" t="str">
            <v>IE3</v>
          </cell>
          <cell r="K4622" t="str">
            <v>230/400</v>
          </cell>
          <cell r="L4622">
            <v>50</v>
          </cell>
          <cell r="M4622" t="str">
            <v>1,78/1,02</v>
          </cell>
          <cell r="N4622">
            <v>55</v>
          </cell>
          <cell r="O4622" t="str">
            <v>155(F)</v>
          </cell>
          <cell r="P4622" t="str">
            <v>90°</v>
          </cell>
          <cell r="Q4622" t="str">
            <v>TF</v>
          </cell>
          <cell r="R4622" t="str">
            <v>-</v>
          </cell>
          <cell r="S4622" t="str">
            <v>-</v>
          </cell>
          <cell r="T4622" t="str">
            <v>BEHF</v>
          </cell>
          <cell r="U4622" t="str">
            <v>T</v>
          </cell>
          <cell r="V4622" t="str">
            <v>D+R</v>
          </cell>
          <cell r="W4622" t="str">
            <v>-</v>
          </cell>
          <cell r="X4622" t="str">
            <v>CLP 220 (-15/+40°C)</v>
          </cell>
          <cell r="Y4622" t="str">
            <v>KA67R37/T DRN71M4 /BEHF /TF</v>
          </cell>
          <cell r="Z4622" t="str">
            <v>SEW</v>
          </cell>
          <cell r="AB4622" t="str">
            <v>-</v>
          </cell>
          <cell r="AF4622">
            <v>3.4</v>
          </cell>
          <cell r="AG4622" t="str">
            <v>DRN71M4</v>
          </cell>
          <cell r="AH4622" t="str">
            <v>KA67R37T-DRN71M4B90-X</v>
          </cell>
        </row>
        <row r="4623">
          <cell r="A4623" t="str">
            <v>MR004612</v>
          </cell>
          <cell r="B4623" t="str">
            <v>MR</v>
          </cell>
          <cell r="C4623">
            <v>4</v>
          </cell>
          <cell r="D4623">
            <v>14</v>
          </cell>
          <cell r="E4623" t="str">
            <v>KH97</v>
          </cell>
          <cell r="F4623">
            <v>2740</v>
          </cell>
          <cell r="G4623">
            <v>105.13</v>
          </cell>
          <cell r="H4623">
            <v>1.55</v>
          </cell>
          <cell r="I4623" t="str">
            <v>From M1B to M2B - 35°</v>
          </cell>
          <cell r="J4623" t="str">
            <v>IE3</v>
          </cell>
          <cell r="K4623" t="str">
            <v>400/690</v>
          </cell>
          <cell r="L4623">
            <v>50</v>
          </cell>
          <cell r="M4623" t="str">
            <v>7,9/4,6</v>
          </cell>
          <cell r="N4623">
            <v>55</v>
          </cell>
          <cell r="O4623" t="str">
            <v>155(F)</v>
          </cell>
          <cell r="P4623" t="str">
            <v>270°</v>
          </cell>
          <cell r="Q4623" t="str">
            <v>TF</v>
          </cell>
          <cell r="R4623" t="str">
            <v>-</v>
          </cell>
          <cell r="S4623" t="str">
            <v>-</v>
          </cell>
          <cell r="T4623" t="str">
            <v>-</v>
          </cell>
          <cell r="U4623" t="str">
            <v>-</v>
          </cell>
          <cell r="V4623" t="str">
            <v>SS</v>
          </cell>
          <cell r="W4623" t="str">
            <v>-</v>
          </cell>
          <cell r="X4623" t="str">
            <v>CLP 220 (-15/+40°C)</v>
          </cell>
          <cell r="Y4623" t="str">
            <v>KH97DRN112M4 /TF</v>
          </cell>
          <cell r="Z4623" t="str">
            <v>SEW</v>
          </cell>
          <cell r="AB4623" t="str">
            <v>-</v>
          </cell>
          <cell r="AF4623">
            <v>14</v>
          </cell>
          <cell r="AG4623" t="str">
            <v>DRN112M4</v>
          </cell>
          <cell r="AH4623" t="str">
            <v>KH97-DRN112M4B270-X</v>
          </cell>
        </row>
        <row r="4624">
          <cell r="A4624" t="str">
            <v>MR004613</v>
          </cell>
          <cell r="B4624" t="str">
            <v>MR</v>
          </cell>
          <cell r="C4624">
            <v>2.2000000000000002</v>
          </cell>
          <cell r="D4624">
            <v>62</v>
          </cell>
          <cell r="E4624" t="str">
            <v>R77</v>
          </cell>
          <cell r="F4624">
            <v>335</v>
          </cell>
          <cell r="G4624">
            <v>23.44</v>
          </cell>
          <cell r="H4624">
            <v>1.65</v>
          </cell>
          <cell r="I4624" t="str">
            <v>M1</v>
          </cell>
          <cell r="J4624" t="str">
            <v>IE3</v>
          </cell>
          <cell r="K4624" t="str">
            <v>230/400</v>
          </cell>
          <cell r="L4624">
            <v>50</v>
          </cell>
          <cell r="M4624" t="str">
            <v>8,3/4,75</v>
          </cell>
          <cell r="N4624">
            <v>55</v>
          </cell>
          <cell r="O4624" t="str">
            <v>155(F)</v>
          </cell>
          <cell r="P4624" t="str">
            <v>270°</v>
          </cell>
          <cell r="Q4624" t="str">
            <v>TF</v>
          </cell>
          <cell r="R4624" t="str">
            <v>-</v>
          </cell>
          <cell r="S4624" t="str">
            <v>-</v>
          </cell>
          <cell r="T4624" t="str">
            <v>-</v>
          </cell>
          <cell r="U4624" t="str">
            <v>-</v>
          </cell>
          <cell r="V4624" t="str">
            <v>D</v>
          </cell>
          <cell r="W4624" t="str">
            <v>-</v>
          </cell>
          <cell r="X4624" t="str">
            <v>CLP 220 (-15/+40°C)</v>
          </cell>
          <cell r="Y4624" t="str">
            <v>R77DRN100LS4 /TF</v>
          </cell>
          <cell r="Z4624" t="str">
            <v>SEW</v>
          </cell>
          <cell r="AB4624" t="str">
            <v>-</v>
          </cell>
          <cell r="AF4624">
            <v>62</v>
          </cell>
          <cell r="AG4624" t="str">
            <v>DRN100LS4</v>
          </cell>
          <cell r="AH4624" t="str">
            <v>R77-DRN100LS4270-X</v>
          </cell>
        </row>
        <row r="4625">
          <cell r="A4625" t="str">
            <v>MR004614</v>
          </cell>
          <cell r="B4625" t="str">
            <v>MR</v>
          </cell>
          <cell r="C4625">
            <v>9.1999999999999993</v>
          </cell>
          <cell r="D4625">
            <v>15</v>
          </cell>
          <cell r="E4625" t="str">
            <v>KH107</v>
          </cell>
          <cell r="F4625">
            <v>6020</v>
          </cell>
          <cell r="G4625">
            <v>100.75</v>
          </cell>
          <cell r="H4625">
            <v>1.35</v>
          </cell>
          <cell r="I4625" t="str">
            <v>From M1B to M2B - 25°</v>
          </cell>
          <cell r="J4625" t="str">
            <v>IE3</v>
          </cell>
          <cell r="K4625" t="str">
            <v>400/690</v>
          </cell>
          <cell r="L4625">
            <v>50</v>
          </cell>
          <cell r="M4625" t="str">
            <v>18,7/10,8</v>
          </cell>
          <cell r="N4625">
            <v>65</v>
          </cell>
          <cell r="O4625" t="str">
            <v>155(F)</v>
          </cell>
          <cell r="P4625" t="str">
            <v>270°</v>
          </cell>
          <cell r="Q4625" t="str">
            <v>TF</v>
          </cell>
          <cell r="R4625" t="str">
            <v>-</v>
          </cell>
          <cell r="S4625" t="str">
            <v>-</v>
          </cell>
          <cell r="T4625" t="str">
            <v>-</v>
          </cell>
          <cell r="U4625" t="str">
            <v>-</v>
          </cell>
          <cell r="V4625" t="str">
            <v>SS</v>
          </cell>
          <cell r="W4625" t="str">
            <v>-</v>
          </cell>
          <cell r="X4625" t="str">
            <v>CLP 220 (-15/+40°C)</v>
          </cell>
          <cell r="Y4625" t="str">
            <v>KH107DRN132L4 /TF</v>
          </cell>
          <cell r="Z4625" t="str">
            <v>SEW</v>
          </cell>
          <cell r="AB4625" t="str">
            <v>-</v>
          </cell>
          <cell r="AF4625">
            <v>15</v>
          </cell>
          <cell r="AG4625" t="str">
            <v>DRN132L4</v>
          </cell>
          <cell r="AH4625" t="str">
            <v>KH107-DRN132L4B270-X</v>
          </cell>
        </row>
        <row r="4626">
          <cell r="A4626" t="str">
            <v>MR004615</v>
          </cell>
          <cell r="B4626" t="str">
            <v>MR</v>
          </cell>
          <cell r="C4626">
            <v>22</v>
          </cell>
          <cell r="D4626">
            <v>39</v>
          </cell>
          <cell r="E4626" t="str">
            <v>R137</v>
          </cell>
          <cell r="F4626">
            <v>5360</v>
          </cell>
          <cell r="G4626">
            <v>37.65</v>
          </cell>
          <cell r="H4626">
            <v>1.5</v>
          </cell>
          <cell r="I4626" t="str">
            <v>From M5 to M2 - 15°</v>
          </cell>
          <cell r="J4626" t="str">
            <v>IE3</v>
          </cell>
          <cell r="K4626" t="str">
            <v>400/690</v>
          </cell>
          <cell r="L4626">
            <v>50</v>
          </cell>
          <cell r="M4626" t="str">
            <v>38,5/22,5</v>
          </cell>
          <cell r="N4626">
            <v>55</v>
          </cell>
          <cell r="O4626" t="str">
            <v>155(F)</v>
          </cell>
          <cell r="P4626" t="str">
            <v>270°</v>
          </cell>
          <cell r="Q4626" t="str">
            <v>TF</v>
          </cell>
          <cell r="R4626" t="str">
            <v>V(VE)</v>
          </cell>
          <cell r="S4626" t="str">
            <v>-</v>
          </cell>
          <cell r="T4626" t="str">
            <v>-</v>
          </cell>
          <cell r="U4626" t="str">
            <v>-</v>
          </cell>
          <cell r="V4626" t="str">
            <v>FC</v>
          </cell>
          <cell r="W4626" t="str">
            <v>-</v>
          </cell>
          <cell r="X4626" t="str">
            <v>CLP 220 (-15/+40°C)</v>
          </cell>
          <cell r="Y4626" t="str">
            <v>R137DRN180L4 /TF/V</v>
          </cell>
          <cell r="Z4626" t="str">
            <v>SEW</v>
          </cell>
          <cell r="AB4626" t="str">
            <v>-</v>
          </cell>
          <cell r="AF4626">
            <v>39</v>
          </cell>
          <cell r="AG4626" t="str">
            <v>DRN180L4</v>
          </cell>
          <cell r="AH4626" t="str">
            <v>R137-DRN180L4270-X#</v>
          </cell>
        </row>
        <row r="4627">
          <cell r="A4627" t="str">
            <v>MR004616</v>
          </cell>
          <cell r="B4627" t="str">
            <v>MR</v>
          </cell>
          <cell r="C4627">
            <v>22</v>
          </cell>
          <cell r="D4627">
            <v>39</v>
          </cell>
          <cell r="E4627" t="str">
            <v>R137</v>
          </cell>
          <cell r="F4627">
            <v>5360</v>
          </cell>
          <cell r="G4627">
            <v>37.65</v>
          </cell>
          <cell r="H4627">
            <v>1.5</v>
          </cell>
          <cell r="I4627" t="str">
            <v>From M6 to M2 - 15°</v>
          </cell>
          <cell r="J4627" t="str">
            <v>IE3</v>
          </cell>
          <cell r="K4627" t="str">
            <v>400/690</v>
          </cell>
          <cell r="L4627">
            <v>50</v>
          </cell>
          <cell r="M4627" t="str">
            <v>38,5/22,5</v>
          </cell>
          <cell r="N4627">
            <v>55</v>
          </cell>
          <cell r="O4627" t="str">
            <v>155(F)</v>
          </cell>
          <cell r="P4627" t="str">
            <v>270°</v>
          </cell>
          <cell r="Q4627" t="str">
            <v>TF</v>
          </cell>
          <cell r="R4627" t="str">
            <v>V(VE)</v>
          </cell>
          <cell r="S4627" t="str">
            <v>-</v>
          </cell>
          <cell r="T4627" t="str">
            <v>-</v>
          </cell>
          <cell r="U4627" t="str">
            <v>-</v>
          </cell>
          <cell r="V4627" t="str">
            <v>FC</v>
          </cell>
          <cell r="W4627" t="str">
            <v>-</v>
          </cell>
          <cell r="X4627" t="str">
            <v>CLP 220 (-15/+40°C)</v>
          </cell>
          <cell r="Y4627" t="str">
            <v>R137DRN180L4 /TF/V</v>
          </cell>
          <cell r="Z4627" t="str">
            <v>SEW</v>
          </cell>
          <cell r="AB4627" t="str">
            <v>-</v>
          </cell>
          <cell r="AF4627">
            <v>39</v>
          </cell>
          <cell r="AG4627" t="str">
            <v>DRN180L4</v>
          </cell>
          <cell r="AH4627" t="str">
            <v>R137-DRN180L4270-X#</v>
          </cell>
        </row>
        <row r="4628">
          <cell r="A4628" t="str">
            <v>MR004617</v>
          </cell>
          <cell r="B4628" t="str">
            <v>MR</v>
          </cell>
          <cell r="C4628">
            <v>18.5</v>
          </cell>
          <cell r="D4628">
            <v>45</v>
          </cell>
          <cell r="E4628" t="str">
            <v>KH107</v>
          </cell>
          <cell r="F4628">
            <v>3910</v>
          </cell>
          <cell r="G4628">
            <v>32.69</v>
          </cell>
          <cell r="H4628">
            <v>1.85</v>
          </cell>
          <cell r="I4628" t="str">
            <v>From M4B to M1B- 20°</v>
          </cell>
          <cell r="J4628" t="str">
            <v>IE3</v>
          </cell>
          <cell r="K4628" t="str">
            <v>400/690</v>
          </cell>
          <cell r="L4628">
            <v>50</v>
          </cell>
          <cell r="M4628" t="str">
            <v>33,5/19,3</v>
          </cell>
          <cell r="N4628">
            <v>55</v>
          </cell>
          <cell r="O4628" t="str">
            <v>155(F)</v>
          </cell>
          <cell r="P4628" t="str">
            <v>270°</v>
          </cell>
          <cell r="Q4628" t="str">
            <v>TF</v>
          </cell>
          <cell r="R4628" t="str">
            <v>-</v>
          </cell>
          <cell r="S4628" t="str">
            <v>Free rotation CW</v>
          </cell>
          <cell r="T4628" t="str">
            <v>-</v>
          </cell>
          <cell r="U4628" t="str">
            <v>T</v>
          </cell>
          <cell r="V4628" t="str">
            <v>SS</v>
          </cell>
          <cell r="W4628" t="str">
            <v>-</v>
          </cell>
          <cell r="X4628" t="str">
            <v>CLP 220 (-15/+40°C)</v>
          </cell>
          <cell r="Y4628" t="str">
            <v>KH107/T DRN180M4 /RS /TF</v>
          </cell>
          <cell r="Z4628" t="str">
            <v>SEW</v>
          </cell>
          <cell r="AB4628" t="str">
            <v>-</v>
          </cell>
          <cell r="AF4628">
            <v>45</v>
          </cell>
          <cell r="AG4628" t="str">
            <v>DRN180M4</v>
          </cell>
          <cell r="AH4628" t="str">
            <v>KH107T-DRN180M4B270-X</v>
          </cell>
        </row>
        <row r="4629">
          <cell r="A4629" t="str">
            <v>MR004618</v>
          </cell>
          <cell r="B4629" t="str">
            <v>MR</v>
          </cell>
          <cell r="C4629">
            <v>0.75</v>
          </cell>
          <cell r="D4629">
            <v>162</v>
          </cell>
          <cell r="E4629" t="str">
            <v>KA37</v>
          </cell>
          <cell r="F4629">
            <v>44</v>
          </cell>
          <cell r="G4629">
            <v>8.91</v>
          </cell>
          <cell r="H4629">
            <v>3.6</v>
          </cell>
          <cell r="I4629" t="str">
            <v>From M3A to M2A - 35°</v>
          </cell>
          <cell r="J4629" t="str">
            <v>IE3</v>
          </cell>
          <cell r="K4629" t="str">
            <v>230/400</v>
          </cell>
          <cell r="L4629">
            <v>50</v>
          </cell>
          <cell r="M4629" t="str">
            <v>3,05/1,75</v>
          </cell>
          <cell r="N4629">
            <v>55</v>
          </cell>
          <cell r="O4629" t="str">
            <v>155(F)</v>
          </cell>
          <cell r="P4629" t="str">
            <v>180°</v>
          </cell>
          <cell r="Q4629" t="str">
            <v>TF</v>
          </cell>
          <cell r="R4629" t="str">
            <v>-</v>
          </cell>
          <cell r="S4629" t="str">
            <v>-</v>
          </cell>
          <cell r="T4629" t="str">
            <v>-</v>
          </cell>
          <cell r="U4629" t="str">
            <v>T</v>
          </cell>
          <cell r="V4629" t="str">
            <v>D</v>
          </cell>
          <cell r="W4629" t="str">
            <v>-</v>
          </cell>
          <cell r="X4629" t="str">
            <v>CLP 220 (-15/+40°C)</v>
          </cell>
          <cell r="Y4629" t="str">
            <v>KA37/T DRN80M4 /TF</v>
          </cell>
          <cell r="Z4629" t="str">
            <v>SEW</v>
          </cell>
          <cell r="AB4629" t="str">
            <v>-</v>
          </cell>
          <cell r="AF4629">
            <v>162</v>
          </cell>
          <cell r="AG4629" t="str">
            <v>DRN80M4</v>
          </cell>
          <cell r="AH4629" t="str">
            <v>KA37T-DRN80M4A180-X</v>
          </cell>
        </row>
        <row r="4630">
          <cell r="A4630" t="str">
            <v>MR004619</v>
          </cell>
          <cell r="B4630" t="str">
            <v>MR</v>
          </cell>
          <cell r="C4630">
            <v>0.75</v>
          </cell>
          <cell r="D4630">
            <v>6.4</v>
          </cell>
          <cell r="E4630" t="str">
            <v>FH77</v>
          </cell>
          <cell r="F4630">
            <v>1120</v>
          </cell>
          <cell r="G4630">
            <v>225.79</v>
          </cell>
          <cell r="H4630">
            <v>1.35</v>
          </cell>
          <cell r="I4630" t="str">
            <v>From M6 to M3 - 20°</v>
          </cell>
          <cell r="J4630" t="str">
            <v>IE3</v>
          </cell>
          <cell r="K4630" t="str">
            <v>230/400</v>
          </cell>
          <cell r="L4630">
            <v>50</v>
          </cell>
          <cell r="M4630" t="str">
            <v>3,05/1,75</v>
          </cell>
          <cell r="N4630">
            <v>55</v>
          </cell>
          <cell r="O4630" t="str">
            <v>155(F)</v>
          </cell>
          <cell r="P4630" t="str">
            <v>0°</v>
          </cell>
          <cell r="Q4630" t="str">
            <v>TF</v>
          </cell>
          <cell r="R4630" t="str">
            <v>-</v>
          </cell>
          <cell r="S4630" t="str">
            <v>-</v>
          </cell>
          <cell r="T4630" t="str">
            <v>-</v>
          </cell>
          <cell r="U4630" t="str">
            <v>G</v>
          </cell>
          <cell r="V4630" t="str">
            <v>D</v>
          </cell>
          <cell r="W4630" t="str">
            <v>-</v>
          </cell>
          <cell r="X4630" t="str">
            <v>CLP 220 (-15/+40°C)</v>
          </cell>
          <cell r="Y4630" t="str">
            <v>FH77/G DRN80M4 /TF</v>
          </cell>
          <cell r="Z4630" t="str">
            <v>SEW</v>
          </cell>
          <cell r="AB4630" t="str">
            <v>-</v>
          </cell>
          <cell r="AF4630">
            <v>6.4</v>
          </cell>
          <cell r="AG4630" t="str">
            <v>DRN80M4</v>
          </cell>
          <cell r="AH4630" t="str">
            <v>FH77G-DRN80M40-X</v>
          </cell>
        </row>
        <row r="4631">
          <cell r="A4631" t="str">
            <v>MR004620</v>
          </cell>
          <cell r="B4631" t="str">
            <v>MR</v>
          </cell>
          <cell r="C4631">
            <v>15</v>
          </cell>
          <cell r="D4631">
            <v>35</v>
          </cell>
          <cell r="E4631" t="str">
            <v>KH97</v>
          </cell>
          <cell r="F4631">
            <v>4070</v>
          </cell>
          <cell r="G4631">
            <v>41.87</v>
          </cell>
          <cell r="H4631">
            <v>1.05</v>
          </cell>
          <cell r="I4631" t="str">
            <v>M4B</v>
          </cell>
          <cell r="J4631" t="str">
            <v>IE3</v>
          </cell>
          <cell r="K4631" t="str">
            <v>400/690</v>
          </cell>
          <cell r="L4631">
            <v>50</v>
          </cell>
          <cell r="M4631" t="str">
            <v>29/16,7</v>
          </cell>
          <cell r="N4631">
            <v>55</v>
          </cell>
          <cell r="O4631" t="str">
            <v>155(F)</v>
          </cell>
          <cell r="P4631" t="str">
            <v>270°</v>
          </cell>
          <cell r="Q4631" t="str">
            <v>TF</v>
          </cell>
          <cell r="R4631" t="str">
            <v>-</v>
          </cell>
          <cell r="S4631" t="str">
            <v>-</v>
          </cell>
          <cell r="T4631" t="str">
            <v>-</v>
          </cell>
          <cell r="U4631" t="str">
            <v>T</v>
          </cell>
          <cell r="V4631" t="str">
            <v>SS</v>
          </cell>
          <cell r="W4631" t="str">
            <v>-</v>
          </cell>
          <cell r="X4631" t="str">
            <v>CLP 220 (-15/+40°C)</v>
          </cell>
          <cell r="Y4631" t="str">
            <v>KH97/T DRN160L4 /TF</v>
          </cell>
          <cell r="Z4631" t="str">
            <v>SEW</v>
          </cell>
          <cell r="AB4631" t="str">
            <v>-</v>
          </cell>
          <cell r="AF4631">
            <v>35</v>
          </cell>
          <cell r="AG4631" t="str">
            <v>DRN160L4</v>
          </cell>
          <cell r="AH4631" t="str">
            <v>KH97T-DRN160L4B270-X</v>
          </cell>
        </row>
        <row r="4632">
          <cell r="A4632" t="str">
            <v>MR004621</v>
          </cell>
          <cell r="B4632" t="str">
            <v>MR</v>
          </cell>
          <cell r="C4632">
            <v>0.75</v>
          </cell>
          <cell r="D4632">
            <v>162</v>
          </cell>
          <cell r="E4632" t="str">
            <v>KA37</v>
          </cell>
          <cell r="F4632">
            <v>44</v>
          </cell>
          <cell r="G4632">
            <v>8.91</v>
          </cell>
          <cell r="H4632">
            <v>3.6</v>
          </cell>
          <cell r="I4632" t="str">
            <v>M1A</v>
          </cell>
          <cell r="J4632" t="str">
            <v>IE3</v>
          </cell>
          <cell r="K4632" t="str">
            <v>230/400</v>
          </cell>
          <cell r="L4632">
            <v>50</v>
          </cell>
          <cell r="M4632" t="str">
            <v>3,05/1,75</v>
          </cell>
          <cell r="N4632">
            <v>55</v>
          </cell>
          <cell r="O4632" t="str">
            <v>155(F)</v>
          </cell>
          <cell r="P4632" t="str">
            <v>180°</v>
          </cell>
          <cell r="Q4632" t="str">
            <v>TF</v>
          </cell>
          <cell r="R4632" t="str">
            <v>-</v>
          </cell>
          <cell r="S4632" t="str">
            <v>-</v>
          </cell>
          <cell r="T4632" t="str">
            <v>-</v>
          </cell>
          <cell r="U4632" t="str">
            <v>T</v>
          </cell>
          <cell r="V4632" t="str">
            <v>D</v>
          </cell>
          <cell r="W4632" t="str">
            <v>-</v>
          </cell>
          <cell r="X4632" t="str">
            <v>CLP 220 (-15/+40°C)</v>
          </cell>
          <cell r="Y4632" t="str">
            <v>KA37/T DRN80M4 /TF</v>
          </cell>
          <cell r="Z4632" t="str">
            <v>SEW</v>
          </cell>
          <cell r="AB4632" t="str">
            <v>-</v>
          </cell>
          <cell r="AF4632">
            <v>162</v>
          </cell>
          <cell r="AG4632" t="str">
            <v>DRN80M4</v>
          </cell>
          <cell r="AH4632" t="str">
            <v>KA37T-DRN80M4A180-X</v>
          </cell>
        </row>
        <row r="4633">
          <cell r="A4633" t="str">
            <v>MR004622</v>
          </cell>
          <cell r="B4633" t="str">
            <v>MR</v>
          </cell>
          <cell r="C4633">
            <v>4</v>
          </cell>
          <cell r="D4633">
            <v>152</v>
          </cell>
          <cell r="E4633" t="str">
            <v>KH67</v>
          </cell>
          <cell r="F4633">
            <v>250</v>
          </cell>
          <cell r="G4633">
            <v>9.66</v>
          </cell>
          <cell r="H4633">
            <v>1.9</v>
          </cell>
          <cell r="I4633" t="str">
            <v>M4B</v>
          </cell>
          <cell r="J4633" t="str">
            <v>IE3</v>
          </cell>
          <cell r="K4633" t="str">
            <v>230/400</v>
          </cell>
          <cell r="L4633">
            <v>50</v>
          </cell>
          <cell r="M4633" t="str">
            <v>13,8/7,9</v>
          </cell>
          <cell r="N4633">
            <v>55</v>
          </cell>
          <cell r="O4633" t="str">
            <v>155(F)</v>
          </cell>
          <cell r="P4633" t="str">
            <v>270°</v>
          </cell>
          <cell r="Q4633" t="str">
            <v>TF</v>
          </cell>
          <cell r="R4633" t="str">
            <v>-</v>
          </cell>
          <cell r="S4633" t="str">
            <v>-</v>
          </cell>
          <cell r="T4633" t="str">
            <v>-</v>
          </cell>
          <cell r="U4633" t="str">
            <v>T</v>
          </cell>
          <cell r="V4633" t="str">
            <v>D+R</v>
          </cell>
          <cell r="W4633" t="str">
            <v>-</v>
          </cell>
          <cell r="X4633" t="str">
            <v>CLP 220 (-15/+40°C)</v>
          </cell>
          <cell r="Y4633" t="str">
            <v>KH67/T DRN112M4 /TF</v>
          </cell>
          <cell r="Z4633" t="str">
            <v>SEW</v>
          </cell>
          <cell r="AB4633" t="str">
            <v>-</v>
          </cell>
          <cell r="AF4633">
            <v>152</v>
          </cell>
          <cell r="AG4633" t="str">
            <v>DRN112M4</v>
          </cell>
          <cell r="AH4633" t="str">
            <v>KH67T-DRN112M4B270-X</v>
          </cell>
        </row>
        <row r="4634">
          <cell r="A4634" t="str">
            <v>MR004623</v>
          </cell>
          <cell r="B4634" t="str">
            <v>MR</v>
          </cell>
          <cell r="C4634">
            <v>1.1000000000000001</v>
          </cell>
          <cell r="D4634">
            <v>7.3</v>
          </cell>
          <cell r="E4634" t="str">
            <v>FV77</v>
          </cell>
          <cell r="F4634">
            <v>1430</v>
          </cell>
          <cell r="G4634">
            <v>198.31</v>
          </cell>
          <cell r="H4634">
            <v>1.05</v>
          </cell>
          <cell r="I4634" t="str">
            <v>M5</v>
          </cell>
          <cell r="J4634" t="str">
            <v>IE3</v>
          </cell>
          <cell r="K4634" t="str">
            <v>230/400</v>
          </cell>
          <cell r="L4634">
            <v>50</v>
          </cell>
          <cell r="M4634" t="str">
            <v>4,45/2,55</v>
          </cell>
          <cell r="N4634">
            <v>55</v>
          </cell>
          <cell r="O4634" t="str">
            <v>155(F)</v>
          </cell>
          <cell r="P4634" t="str">
            <v>180°</v>
          </cell>
          <cell r="Q4634" t="str">
            <v>TF</v>
          </cell>
          <cell r="R4634" t="str">
            <v>-</v>
          </cell>
          <cell r="S4634" t="str">
            <v>-</v>
          </cell>
          <cell r="T4634" t="str">
            <v>BEHF</v>
          </cell>
          <cell r="U4634" t="str">
            <v>G</v>
          </cell>
          <cell r="V4634" t="str">
            <v>FC+R</v>
          </cell>
          <cell r="W4634" t="str">
            <v>-</v>
          </cell>
          <cell r="X4634" t="str">
            <v>CLP 220 (-15/+40°C)</v>
          </cell>
          <cell r="Y4634" t="str">
            <v>FV77/G DRN90S4 /BEHF /TF</v>
          </cell>
          <cell r="Z4634" t="str">
            <v>SEW</v>
          </cell>
          <cell r="AB4634" t="str">
            <v>-</v>
          </cell>
          <cell r="AE4634" t="str">
            <v>BROCCIATURA PER ALBERO CAVO -DIN 5480-N45x2x30x21x9H</v>
          </cell>
          <cell r="AF4634">
            <v>7.3</v>
          </cell>
          <cell r="AG4634" t="str">
            <v>DRN90S4</v>
          </cell>
          <cell r="AH4634" t="str">
            <v>FV77G-DRN90S4180-X</v>
          </cell>
        </row>
        <row r="4635">
          <cell r="A4635" t="str">
            <v>MR004624</v>
          </cell>
          <cell r="B4635" t="str">
            <v>MR</v>
          </cell>
          <cell r="C4635">
            <v>1.1000000000000001</v>
          </cell>
          <cell r="D4635">
            <v>7.3</v>
          </cell>
          <cell r="E4635" t="str">
            <v>FV77</v>
          </cell>
          <cell r="F4635">
            <v>1430</v>
          </cell>
          <cell r="G4635">
            <v>198.31</v>
          </cell>
          <cell r="H4635">
            <v>1.05</v>
          </cell>
          <cell r="I4635" t="str">
            <v>M6</v>
          </cell>
          <cell r="J4635" t="str">
            <v>IE3</v>
          </cell>
          <cell r="K4635" t="str">
            <v>230/400</v>
          </cell>
          <cell r="L4635">
            <v>50</v>
          </cell>
          <cell r="M4635" t="str">
            <v>4,45/2,55</v>
          </cell>
          <cell r="N4635">
            <v>55</v>
          </cell>
          <cell r="O4635" t="str">
            <v>155(F)</v>
          </cell>
          <cell r="P4635" t="str">
            <v>0°</v>
          </cell>
          <cell r="Q4635" t="str">
            <v>TF</v>
          </cell>
          <cell r="R4635" t="str">
            <v>-</v>
          </cell>
          <cell r="S4635" t="str">
            <v>-</v>
          </cell>
          <cell r="T4635" t="str">
            <v>BEHF</v>
          </cell>
          <cell r="U4635" t="str">
            <v>G</v>
          </cell>
          <cell r="V4635" t="str">
            <v>FC+R</v>
          </cell>
          <cell r="W4635" t="str">
            <v>-</v>
          </cell>
          <cell r="X4635" t="str">
            <v>CLP 220 (-15/+40°C)</v>
          </cell>
          <cell r="Y4635" t="str">
            <v>FV77/G DRN90S4 /BEHF /TF</v>
          </cell>
          <cell r="Z4635" t="str">
            <v>SEW</v>
          </cell>
          <cell r="AB4635" t="str">
            <v>-</v>
          </cell>
          <cell r="AE4635" t="str">
            <v>BROCCIATURA PER ALBERO CAVO -DIN 5480-N45x2x30x21x9H</v>
          </cell>
          <cell r="AF4635">
            <v>7.3</v>
          </cell>
          <cell r="AG4635" t="str">
            <v>DRN90S4</v>
          </cell>
          <cell r="AH4635" t="str">
            <v>FV77G-DRN90S40-X</v>
          </cell>
        </row>
        <row r="4636">
          <cell r="A4636" t="str">
            <v>MR004625</v>
          </cell>
          <cell r="B4636" t="str">
            <v>ME</v>
          </cell>
          <cell r="C4636">
            <v>45</v>
          </cell>
          <cell r="D4636">
            <v>1478</v>
          </cell>
          <cell r="E4636" t="str">
            <v>1CV3222B</v>
          </cell>
          <cell r="F4636">
            <v>290</v>
          </cell>
          <cell r="G4636" t="str">
            <v>-</v>
          </cell>
          <cell r="H4636" t="str">
            <v>-</v>
          </cell>
          <cell r="I4636" t="str">
            <v>IM B5</v>
          </cell>
          <cell r="J4636" t="str">
            <v>IE3</v>
          </cell>
          <cell r="K4636" t="str">
            <v>400/690</v>
          </cell>
          <cell r="L4636">
            <v>50</v>
          </cell>
          <cell r="M4636" t="str">
            <v>80/46,5</v>
          </cell>
          <cell r="N4636">
            <v>55</v>
          </cell>
          <cell r="O4636" t="str">
            <v>155(F)</v>
          </cell>
          <cell r="P4636" t="str">
            <v>TOP</v>
          </cell>
          <cell r="Q4636" t="str">
            <v>TF</v>
          </cell>
          <cell r="R4636" t="str">
            <v>-</v>
          </cell>
          <cell r="S4636" t="str">
            <v>-</v>
          </cell>
          <cell r="T4636" t="str">
            <v>-</v>
          </cell>
          <cell r="U4636" t="str">
            <v>-</v>
          </cell>
          <cell r="V4636" t="str">
            <v>D</v>
          </cell>
          <cell r="W4636" t="str">
            <v>-</v>
          </cell>
          <cell r="X4636" t="str">
            <v>-</v>
          </cell>
          <cell r="Y4636" t="str">
            <v>1LE1503-2BB23-4GB4-Z N11</v>
          </cell>
          <cell r="Z4636" t="str">
            <v>SIEMENS</v>
          </cell>
          <cell r="AB4636" t="str">
            <v>-</v>
          </cell>
          <cell r="AE4636" t="str">
            <v>4 POLES</v>
          </cell>
          <cell r="AF4636">
            <v>1478</v>
          </cell>
          <cell r="AG4636" t="str">
            <v>1CV3222B</v>
          </cell>
          <cell r="AH4636" t="str">
            <v>1CV3222B-1CV3222BBTOP-X</v>
          </cell>
        </row>
        <row r="4637">
          <cell r="A4637" t="str">
            <v>MR004626</v>
          </cell>
          <cell r="B4637" t="str">
            <v>ME</v>
          </cell>
          <cell r="C4637">
            <v>4</v>
          </cell>
          <cell r="D4637">
            <v>2945</v>
          </cell>
          <cell r="E4637" t="str">
            <v>1AV3112A</v>
          </cell>
          <cell r="F4637">
            <v>13</v>
          </cell>
          <cell r="G4637" t="str">
            <v>-</v>
          </cell>
          <cell r="H4637" t="str">
            <v>-</v>
          </cell>
          <cell r="I4637" t="str">
            <v>IM B5</v>
          </cell>
          <cell r="J4637" t="str">
            <v>IE3</v>
          </cell>
          <cell r="K4637" t="str">
            <v>230/400</v>
          </cell>
          <cell r="L4637">
            <v>50</v>
          </cell>
          <cell r="M4637" t="str">
            <v>12,8/7,4</v>
          </cell>
          <cell r="N4637">
            <v>55</v>
          </cell>
          <cell r="O4637" t="str">
            <v>155(F)</v>
          </cell>
          <cell r="P4637" t="str">
            <v>TOP</v>
          </cell>
          <cell r="Q4637" t="str">
            <v>TF</v>
          </cell>
          <cell r="R4637" t="str">
            <v>-</v>
          </cell>
          <cell r="S4637" t="str">
            <v>-</v>
          </cell>
          <cell r="T4637" t="str">
            <v>-</v>
          </cell>
          <cell r="U4637" t="str">
            <v>-</v>
          </cell>
          <cell r="V4637" t="str">
            <v>D</v>
          </cell>
          <cell r="W4637" t="str">
            <v>-</v>
          </cell>
          <cell r="X4637" t="str">
            <v>-</v>
          </cell>
          <cell r="Y4637" t="str">
            <v>1LE1003-1BA22-2FB4-Z N11</v>
          </cell>
          <cell r="Z4637" t="str">
            <v>SIEMENS</v>
          </cell>
          <cell r="AB4637" t="str">
            <v>-</v>
          </cell>
          <cell r="AE4637" t="str">
            <v>2 POLES</v>
          </cell>
          <cell r="AF4637">
            <v>2945</v>
          </cell>
          <cell r="AG4637" t="str">
            <v>1CV3222B</v>
          </cell>
          <cell r="AH4637" t="str">
            <v>1AV3112A-1CV3222BBTOP-X</v>
          </cell>
        </row>
        <row r="4638">
          <cell r="A4638" t="str">
            <v>MR004627</v>
          </cell>
          <cell r="B4638" t="str">
            <v>MR</v>
          </cell>
          <cell r="C4638">
            <v>37</v>
          </cell>
          <cell r="D4638">
            <v>19</v>
          </cell>
          <cell r="E4638" t="str">
            <v>FH157</v>
          </cell>
          <cell r="F4638">
            <v>18700</v>
          </cell>
          <cell r="G4638">
            <v>78.459999999999994</v>
          </cell>
          <cell r="H4638">
            <v>1.05</v>
          </cell>
          <cell r="I4638" t="str">
            <v>M1</v>
          </cell>
          <cell r="J4638" t="str">
            <v>IE3</v>
          </cell>
          <cell r="K4638" t="str">
            <v>400/690</v>
          </cell>
          <cell r="L4638">
            <v>50</v>
          </cell>
          <cell r="M4638" t="str">
            <v>64/37</v>
          </cell>
          <cell r="N4638">
            <v>55</v>
          </cell>
          <cell r="O4638" t="str">
            <v>155(F)</v>
          </cell>
          <cell r="P4638" t="str">
            <v>270°</v>
          </cell>
          <cell r="Q4638" t="str">
            <v>TF</v>
          </cell>
          <cell r="R4638" t="str">
            <v>V(VE)</v>
          </cell>
          <cell r="S4638" t="str">
            <v>-</v>
          </cell>
          <cell r="T4638" t="str">
            <v>-</v>
          </cell>
          <cell r="U4638" t="str">
            <v>G</v>
          </cell>
          <cell r="V4638" t="str">
            <v>FC</v>
          </cell>
          <cell r="W4638" t="str">
            <v>-</v>
          </cell>
          <cell r="X4638" t="str">
            <v>CLP 220 (-15/+40°C)</v>
          </cell>
          <cell r="Y4638" t="str">
            <v>FH157/G DRN225S4 /TF/V</v>
          </cell>
          <cell r="Z4638" t="str">
            <v>SEW</v>
          </cell>
          <cell r="AB4638" t="str">
            <v>-</v>
          </cell>
          <cell r="AF4638">
            <v>19</v>
          </cell>
          <cell r="AG4638" t="str">
            <v>DRN225S4</v>
          </cell>
          <cell r="AH4638" t="str">
            <v>FH157G-DRN225S4270-X#</v>
          </cell>
        </row>
        <row r="4639">
          <cell r="A4639" t="str">
            <v>MR004628</v>
          </cell>
          <cell r="B4639" t="str">
            <v>MR</v>
          </cell>
          <cell r="C4639">
            <v>45</v>
          </cell>
          <cell r="D4639">
            <v>110</v>
          </cell>
          <cell r="E4639" t="str">
            <v>KH107</v>
          </cell>
          <cell r="F4639">
            <v>3890</v>
          </cell>
          <cell r="G4639">
            <v>13.43</v>
          </cell>
          <cell r="H4639">
            <v>1.1000000000000001</v>
          </cell>
          <cell r="I4639" t="str">
            <v>From M4A to M1A-20°</v>
          </cell>
          <cell r="J4639" t="str">
            <v>IE3</v>
          </cell>
          <cell r="K4639" t="str">
            <v>400/690</v>
          </cell>
          <cell r="L4639">
            <v>50</v>
          </cell>
          <cell r="M4639" t="str">
            <v>81/47</v>
          </cell>
          <cell r="N4639">
            <v>55</v>
          </cell>
          <cell r="O4639" t="str">
            <v>155(F)</v>
          </cell>
          <cell r="P4639" t="str">
            <v>270°</v>
          </cell>
          <cell r="Q4639" t="str">
            <v>TF</v>
          </cell>
          <cell r="R4639" t="str">
            <v>-</v>
          </cell>
          <cell r="S4639" t="str">
            <v>Free rotation CCW</v>
          </cell>
          <cell r="T4639" t="str">
            <v>-</v>
          </cell>
          <cell r="U4639" t="str">
            <v>T</v>
          </cell>
          <cell r="V4639" t="str">
            <v>SS</v>
          </cell>
          <cell r="W4639" t="str">
            <v>-</v>
          </cell>
          <cell r="X4639" t="str">
            <v>CLP 220 (-15/+40°C)</v>
          </cell>
          <cell r="Y4639" t="str">
            <v>KH107/T DRN225M4 /RS /TF</v>
          </cell>
          <cell r="Z4639" t="str">
            <v>SEW</v>
          </cell>
          <cell r="AB4639" t="str">
            <v>-</v>
          </cell>
          <cell r="AF4639">
            <v>110</v>
          </cell>
          <cell r="AG4639" t="str">
            <v>DRN225M4</v>
          </cell>
          <cell r="AH4639" t="str">
            <v>KH107T-DRN225M4A270-X</v>
          </cell>
        </row>
        <row r="4640">
          <cell r="A4640" t="str">
            <v>MR004629</v>
          </cell>
          <cell r="B4640" t="str">
            <v>MR</v>
          </cell>
          <cell r="C4640">
            <v>0.75</v>
          </cell>
          <cell r="D4640">
            <v>162</v>
          </cell>
          <cell r="E4640" t="str">
            <v>KA37</v>
          </cell>
          <cell r="F4640">
            <v>44</v>
          </cell>
          <cell r="G4640">
            <v>8.91</v>
          </cell>
          <cell r="H4640">
            <v>3.6</v>
          </cell>
          <cell r="I4640" t="str">
            <v>From M3A to M4A - 20°</v>
          </cell>
          <cell r="J4640" t="str">
            <v>IE3</v>
          </cell>
          <cell r="K4640" t="str">
            <v>230/400</v>
          </cell>
          <cell r="L4640">
            <v>50</v>
          </cell>
          <cell r="M4640" t="str">
            <v>3,05/1,75</v>
          </cell>
          <cell r="N4640">
            <v>55</v>
          </cell>
          <cell r="O4640" t="str">
            <v>155(F)</v>
          </cell>
          <cell r="P4640" t="str">
            <v>180°</v>
          </cell>
          <cell r="Q4640" t="str">
            <v>TF</v>
          </cell>
          <cell r="R4640" t="str">
            <v>-</v>
          </cell>
          <cell r="S4640" t="str">
            <v>-</v>
          </cell>
          <cell r="T4640" t="str">
            <v>-</v>
          </cell>
          <cell r="U4640" t="str">
            <v>T</v>
          </cell>
          <cell r="V4640" t="str">
            <v>D</v>
          </cell>
          <cell r="W4640" t="str">
            <v>-</v>
          </cell>
          <cell r="X4640" t="str">
            <v>CLP 220 (-15/+40°C)</v>
          </cell>
          <cell r="Y4640" t="str">
            <v>KA37/T DRN80M4 /TF</v>
          </cell>
          <cell r="Z4640" t="str">
            <v>SEW</v>
          </cell>
          <cell r="AB4640" t="str">
            <v>-</v>
          </cell>
          <cell r="AF4640">
            <v>162</v>
          </cell>
          <cell r="AG4640" t="str">
            <v>DRN80M4</v>
          </cell>
          <cell r="AH4640" t="str">
            <v>KA37T-DRN80M4A180-X</v>
          </cell>
        </row>
        <row r="4641">
          <cell r="A4641" t="str">
            <v>MR004630</v>
          </cell>
          <cell r="B4641" t="str">
            <v>MR</v>
          </cell>
          <cell r="C4641">
            <v>0.37</v>
          </cell>
          <cell r="D4641">
            <v>6.2</v>
          </cell>
          <cell r="E4641" t="str">
            <v>FH67</v>
          </cell>
          <cell r="F4641">
            <v>570</v>
          </cell>
          <cell r="G4641">
            <v>229</v>
          </cell>
          <cell r="H4641">
            <v>1.45</v>
          </cell>
          <cell r="I4641" t="str">
            <v>From M5 to M3 - 20°</v>
          </cell>
          <cell r="J4641" t="str">
            <v>IE3</v>
          </cell>
          <cell r="K4641" t="str">
            <v>230/400</v>
          </cell>
          <cell r="L4641">
            <v>50</v>
          </cell>
          <cell r="M4641" t="str">
            <v>1,78/1,02</v>
          </cell>
          <cell r="N4641">
            <v>55</v>
          </cell>
          <cell r="O4641" t="str">
            <v>155(F)</v>
          </cell>
          <cell r="P4641" t="str">
            <v>180°</v>
          </cell>
          <cell r="Q4641" t="str">
            <v>TF</v>
          </cell>
          <cell r="R4641" t="str">
            <v>-</v>
          </cell>
          <cell r="S4641" t="str">
            <v>-</v>
          </cell>
          <cell r="T4641" t="str">
            <v>-</v>
          </cell>
          <cell r="U4641" t="str">
            <v>G</v>
          </cell>
          <cell r="V4641" t="str">
            <v>D</v>
          </cell>
          <cell r="W4641" t="str">
            <v>-</v>
          </cell>
          <cell r="X4641" t="str">
            <v>CLP 220 (-15/+40°C)</v>
          </cell>
          <cell r="Y4641" t="str">
            <v>FH67/G DRN71M4 /TF</v>
          </cell>
          <cell r="Z4641" t="str">
            <v>SEW</v>
          </cell>
          <cell r="AB4641" t="str">
            <v>-</v>
          </cell>
          <cell r="AF4641">
            <v>6.2</v>
          </cell>
          <cell r="AG4641" t="str">
            <v>DRN71M4</v>
          </cell>
          <cell r="AH4641" t="str">
            <v>FH67G-DRN71M4180-X</v>
          </cell>
        </row>
        <row r="4642">
          <cell r="A4642" t="str">
            <v>MR004631</v>
          </cell>
          <cell r="B4642" t="str">
            <v>MR</v>
          </cell>
          <cell r="C4642">
            <v>11</v>
          </cell>
          <cell r="D4642">
            <v>69</v>
          </cell>
          <cell r="E4642" t="str">
            <v>FH87</v>
          </cell>
          <cell r="F4642">
            <v>1520</v>
          </cell>
          <cell r="G4642">
            <v>21.32</v>
          </cell>
          <cell r="H4642">
            <v>1.95</v>
          </cell>
          <cell r="I4642" t="str">
            <v>From M1 to M4 - 25°</v>
          </cell>
          <cell r="J4642" t="str">
            <v>IE3</v>
          </cell>
          <cell r="K4642" t="str">
            <v>400/690</v>
          </cell>
          <cell r="L4642">
            <v>50</v>
          </cell>
          <cell r="M4642" t="str">
            <v>21/12,2</v>
          </cell>
          <cell r="N4642">
            <v>55</v>
          </cell>
          <cell r="O4642" t="str">
            <v>155(F)</v>
          </cell>
          <cell r="P4642" t="str">
            <v>270°</v>
          </cell>
          <cell r="Q4642" t="str">
            <v>TF</v>
          </cell>
          <cell r="R4642" t="str">
            <v>-</v>
          </cell>
          <cell r="S4642" t="str">
            <v>-</v>
          </cell>
          <cell r="T4642" t="str">
            <v>-</v>
          </cell>
          <cell r="U4642" t="str">
            <v>G</v>
          </cell>
          <cell r="V4642" t="str">
            <v>D</v>
          </cell>
          <cell r="W4642" t="str">
            <v>-</v>
          </cell>
          <cell r="X4642" t="str">
            <v>CLP 220 (-15/+40°C)</v>
          </cell>
          <cell r="Y4642" t="str">
            <v>FH87/G DRN160M4 /TF</v>
          </cell>
          <cell r="Z4642" t="str">
            <v>SEW</v>
          </cell>
          <cell r="AB4642" t="str">
            <v>-</v>
          </cell>
          <cell r="AF4642">
            <v>69</v>
          </cell>
          <cell r="AG4642" t="str">
            <v>DRN160M4</v>
          </cell>
          <cell r="AH4642" t="str">
            <v>FH87G-DRN160M4270-X</v>
          </cell>
        </row>
        <row r="4643">
          <cell r="A4643" t="str">
            <v>MR004632</v>
          </cell>
          <cell r="B4643" t="str">
            <v>MR</v>
          </cell>
          <cell r="C4643">
            <v>9.1999999999999993</v>
          </cell>
          <cell r="D4643">
            <v>84</v>
          </cell>
          <cell r="E4643" t="str">
            <v>FH77</v>
          </cell>
          <cell r="F4643">
            <v>1050</v>
          </cell>
          <cell r="G4643">
            <v>17.489999999999998</v>
          </cell>
          <cell r="H4643">
            <v>1.45</v>
          </cell>
          <cell r="I4643" t="str">
            <v>M5</v>
          </cell>
          <cell r="J4643" t="str">
            <v>IE3</v>
          </cell>
          <cell r="K4643" t="str">
            <v>400/690</v>
          </cell>
          <cell r="L4643">
            <v>50</v>
          </cell>
          <cell r="M4643" t="str">
            <v>18,7/10,8</v>
          </cell>
          <cell r="N4643">
            <v>55</v>
          </cell>
          <cell r="O4643" t="str">
            <v>155(F)</v>
          </cell>
          <cell r="P4643" t="str">
            <v>180°</v>
          </cell>
          <cell r="Q4643" t="str">
            <v>TF</v>
          </cell>
          <cell r="R4643" t="str">
            <v>-</v>
          </cell>
          <cell r="S4643" t="str">
            <v>-</v>
          </cell>
          <cell r="T4643" t="str">
            <v>-</v>
          </cell>
          <cell r="U4643" t="str">
            <v>G</v>
          </cell>
          <cell r="V4643" t="str">
            <v>D</v>
          </cell>
          <cell r="W4643" t="str">
            <v>-</v>
          </cell>
          <cell r="X4643" t="str">
            <v>CLP 220 (-15/+40°C)</v>
          </cell>
          <cell r="Y4643" t="str">
            <v>FH77/G DRN132L4 /TF</v>
          </cell>
          <cell r="Z4643" t="str">
            <v>SEW</v>
          </cell>
          <cell r="AB4643" t="str">
            <v>-</v>
          </cell>
          <cell r="AF4643" t="e">
            <v>#REF!</v>
          </cell>
          <cell r="AG4643" t="str">
            <v>DRN132L4</v>
          </cell>
          <cell r="AH4643" t="str">
            <v>FH77G-DRN132L4180-X</v>
          </cell>
        </row>
        <row r="4644">
          <cell r="A4644" t="str">
            <v>MR004633</v>
          </cell>
          <cell r="B4644" t="str">
            <v>MR</v>
          </cell>
          <cell r="C4644">
            <v>5.5</v>
          </cell>
          <cell r="D4644">
            <v>80</v>
          </cell>
          <cell r="E4644" t="str">
            <v>FH67</v>
          </cell>
          <cell r="F4644">
            <v>655</v>
          </cell>
          <cell r="G4644">
            <v>18.29</v>
          </cell>
          <cell r="H4644">
            <v>1.25</v>
          </cell>
          <cell r="I4644" t="str">
            <v>From M5 to M1- 15°</v>
          </cell>
          <cell r="J4644" t="str">
            <v>IE3</v>
          </cell>
          <cell r="K4644" t="str">
            <v>230/400</v>
          </cell>
          <cell r="L4644">
            <v>50</v>
          </cell>
          <cell r="M4644" t="str">
            <v>18,2/10,5</v>
          </cell>
          <cell r="N4644">
            <v>55</v>
          </cell>
          <cell r="O4644" t="str">
            <v>155(F)</v>
          </cell>
          <cell r="P4644" t="str">
            <v>180°</v>
          </cell>
          <cell r="Q4644" t="str">
            <v>TF</v>
          </cell>
          <cell r="R4644" t="str">
            <v>-</v>
          </cell>
          <cell r="S4644" t="str">
            <v>Free rotation CW</v>
          </cell>
          <cell r="T4644" t="str">
            <v>-</v>
          </cell>
          <cell r="U4644" t="str">
            <v>G</v>
          </cell>
          <cell r="V4644" t="str">
            <v>D</v>
          </cell>
          <cell r="W4644" t="str">
            <v>-</v>
          </cell>
          <cell r="X4644" t="str">
            <v>CLP 220 (-15/+40°C)</v>
          </cell>
          <cell r="Y4644" t="str">
            <v>FH67/G DRN132S4 /RS /TF</v>
          </cell>
          <cell r="Z4644" t="str">
            <v>SEW</v>
          </cell>
          <cell r="AB4644" t="str">
            <v>-</v>
          </cell>
          <cell r="AF4644">
            <v>80</v>
          </cell>
          <cell r="AG4644" t="str">
            <v>DRN132S4</v>
          </cell>
          <cell r="AH4644" t="str">
            <v>FH67G-DRN132S4180-X</v>
          </cell>
        </row>
        <row r="4645">
          <cell r="A4645" t="str">
            <v>MR004634</v>
          </cell>
          <cell r="B4645" t="str">
            <v>MR</v>
          </cell>
          <cell r="C4645">
            <v>7.5</v>
          </cell>
          <cell r="D4645">
            <v>13</v>
          </cell>
          <cell r="E4645" t="str">
            <v>KH107</v>
          </cell>
          <cell r="F4645">
            <v>5480</v>
          </cell>
          <cell r="G4645">
            <v>112.41</v>
          </cell>
          <cell r="H4645">
            <v>1.45</v>
          </cell>
          <cell r="I4645" t="str">
            <v>From M1B to M2B - 30°</v>
          </cell>
          <cell r="J4645" t="str">
            <v>IE3</v>
          </cell>
          <cell r="K4645" t="str">
            <v>230/400</v>
          </cell>
          <cell r="L4645">
            <v>50</v>
          </cell>
          <cell r="M4645" t="str">
            <v>27/15,7</v>
          </cell>
          <cell r="N4645">
            <v>55</v>
          </cell>
          <cell r="O4645" t="str">
            <v>155(F)</v>
          </cell>
          <cell r="P4645" t="str">
            <v>0°</v>
          </cell>
          <cell r="Q4645" t="str">
            <v>TF</v>
          </cell>
          <cell r="R4645" t="str">
            <v>-</v>
          </cell>
          <cell r="S4645" t="str">
            <v>-</v>
          </cell>
          <cell r="T4645" t="str">
            <v>-</v>
          </cell>
          <cell r="U4645" t="str">
            <v>-</v>
          </cell>
          <cell r="V4645" t="str">
            <v>SS</v>
          </cell>
          <cell r="W4645" t="str">
            <v>-</v>
          </cell>
          <cell r="X4645" t="str">
            <v>CLP 220 (-15/+40°C)</v>
          </cell>
          <cell r="Y4645" t="str">
            <v>KH107DRN132M4 /TF</v>
          </cell>
          <cell r="Z4645" t="str">
            <v>SEW</v>
          </cell>
          <cell r="AB4645" t="str">
            <v>-</v>
          </cell>
          <cell r="AF4645">
            <v>13</v>
          </cell>
          <cell r="AG4645" t="str">
            <v>DRN132M4</v>
          </cell>
          <cell r="AH4645" t="str">
            <v>KH107-DRN132M4B0-X</v>
          </cell>
        </row>
        <row r="4646">
          <cell r="A4646" t="str">
            <v>MR004635</v>
          </cell>
          <cell r="B4646" t="str">
            <v>MR</v>
          </cell>
          <cell r="C4646">
            <v>7.5</v>
          </cell>
          <cell r="D4646">
            <v>13</v>
          </cell>
          <cell r="E4646" t="str">
            <v>KH107</v>
          </cell>
          <cell r="F4646">
            <v>5480</v>
          </cell>
          <cell r="G4646">
            <v>112.41</v>
          </cell>
          <cell r="H4646">
            <v>1.45</v>
          </cell>
          <cell r="I4646" t="str">
            <v>From M1A to M2A - 30°</v>
          </cell>
          <cell r="J4646" t="str">
            <v>IE3</v>
          </cell>
          <cell r="K4646" t="str">
            <v>230/400</v>
          </cell>
          <cell r="L4646">
            <v>50</v>
          </cell>
          <cell r="M4646" t="str">
            <v>27/15,7</v>
          </cell>
          <cell r="N4646">
            <v>55</v>
          </cell>
          <cell r="O4646" t="str">
            <v>155(F)</v>
          </cell>
          <cell r="P4646" t="str">
            <v>180°</v>
          </cell>
          <cell r="Q4646" t="str">
            <v>TF</v>
          </cell>
          <cell r="R4646" t="str">
            <v>-</v>
          </cell>
          <cell r="S4646" t="str">
            <v>-</v>
          </cell>
          <cell r="T4646" t="str">
            <v>-</v>
          </cell>
          <cell r="U4646" t="str">
            <v>-</v>
          </cell>
          <cell r="V4646" t="str">
            <v>SS</v>
          </cell>
          <cell r="W4646" t="str">
            <v>-</v>
          </cell>
          <cell r="X4646" t="str">
            <v>CLP 220 (-15/+40°C)</v>
          </cell>
          <cell r="Y4646" t="str">
            <v>KH107DRN132M4 /TF</v>
          </cell>
          <cell r="Z4646" t="str">
            <v>SEW</v>
          </cell>
          <cell r="AB4646" t="str">
            <v>-</v>
          </cell>
          <cell r="AF4646">
            <v>13</v>
          </cell>
          <cell r="AG4646" t="str">
            <v>DRN132M4</v>
          </cell>
          <cell r="AH4646" t="str">
            <v>KH107-DRN132M4A180-X</v>
          </cell>
        </row>
        <row r="4647">
          <cell r="A4647" t="str">
            <v>MR004636</v>
          </cell>
          <cell r="B4647" t="str">
            <v>MR</v>
          </cell>
          <cell r="C4647">
            <v>3</v>
          </cell>
          <cell r="D4647">
            <v>68</v>
          </cell>
          <cell r="E4647" t="str">
            <v>R77</v>
          </cell>
          <cell r="F4647">
            <v>420</v>
          </cell>
          <cell r="G4647">
            <v>21.43</v>
          </cell>
          <cell r="H4647">
            <v>1.95</v>
          </cell>
          <cell r="I4647" t="str">
            <v>From M1 to M4- 15°</v>
          </cell>
          <cell r="J4647" t="str">
            <v>IE3</v>
          </cell>
          <cell r="K4647" t="str">
            <v>230/400</v>
          </cell>
          <cell r="L4647">
            <v>50</v>
          </cell>
          <cell r="M4647" t="str">
            <v>11,2/6,4</v>
          </cell>
          <cell r="N4647">
            <v>55</v>
          </cell>
          <cell r="O4647" t="str">
            <v>155(F)</v>
          </cell>
          <cell r="P4647" t="str">
            <v>270°</v>
          </cell>
          <cell r="Q4647" t="str">
            <v>TF</v>
          </cell>
          <cell r="R4647" t="str">
            <v>-</v>
          </cell>
          <cell r="S4647" t="str">
            <v>-</v>
          </cell>
          <cell r="T4647" t="str">
            <v>-</v>
          </cell>
          <cell r="U4647" t="str">
            <v>-</v>
          </cell>
          <cell r="V4647" t="str">
            <v>D</v>
          </cell>
          <cell r="W4647" t="str">
            <v>-</v>
          </cell>
          <cell r="X4647" t="str">
            <v>CLP 220 (-15/+40°C)</v>
          </cell>
          <cell r="Y4647" t="str">
            <v>R77DRN100L4 /TF</v>
          </cell>
          <cell r="Z4647" t="str">
            <v>SEW</v>
          </cell>
          <cell r="AB4647" t="str">
            <v>-</v>
          </cell>
          <cell r="AF4647">
            <v>68</v>
          </cell>
          <cell r="AG4647" t="str">
            <v>DRN100L4</v>
          </cell>
          <cell r="AH4647" t="str">
            <v>R77-DRN100L4270-X</v>
          </cell>
        </row>
        <row r="4648">
          <cell r="A4648" t="str">
            <v>MR004637</v>
          </cell>
          <cell r="B4648" t="str">
            <v>MR</v>
          </cell>
          <cell r="C4648">
            <v>7.5</v>
          </cell>
          <cell r="D4648">
            <v>63</v>
          </cell>
          <cell r="E4648" t="str">
            <v>R87</v>
          </cell>
          <cell r="F4648">
            <v>1140</v>
          </cell>
          <cell r="G4648">
            <v>23.4</v>
          </cell>
          <cell r="H4648">
            <v>1.35</v>
          </cell>
          <cell r="I4648" t="str">
            <v>From M6 to M4 - 30°</v>
          </cell>
          <cell r="J4648" t="str">
            <v>IE3</v>
          </cell>
          <cell r="K4648" t="str">
            <v>400/690</v>
          </cell>
          <cell r="L4648">
            <v>50</v>
          </cell>
          <cell r="M4648" t="str">
            <v>15,2/8,8</v>
          </cell>
          <cell r="N4648">
            <v>55</v>
          </cell>
          <cell r="O4648" t="str">
            <v>155(F)</v>
          </cell>
          <cell r="P4648" t="str">
            <v>270°</v>
          </cell>
          <cell r="Q4648" t="str">
            <v>TF</v>
          </cell>
          <cell r="R4648" t="str">
            <v>-</v>
          </cell>
          <cell r="S4648" t="str">
            <v>-</v>
          </cell>
          <cell r="T4648" t="str">
            <v>-</v>
          </cell>
          <cell r="U4648" t="str">
            <v>-</v>
          </cell>
          <cell r="V4648" t="str">
            <v>D</v>
          </cell>
          <cell r="W4648" t="str">
            <v>-</v>
          </cell>
          <cell r="X4648" t="str">
            <v>CLP 220 (-15/+40°C)</v>
          </cell>
          <cell r="Y4648" t="str">
            <v>R87DRN132M4 /TF</v>
          </cell>
          <cell r="Z4648" t="str">
            <v>SEW</v>
          </cell>
          <cell r="AB4648" t="str">
            <v>-</v>
          </cell>
          <cell r="AF4648">
            <v>63</v>
          </cell>
          <cell r="AG4648" t="str">
            <v>DRN132M4</v>
          </cell>
          <cell r="AH4648" t="str">
            <v>R87-DRN132M4270-X</v>
          </cell>
        </row>
        <row r="4649">
          <cell r="A4649" t="str">
            <v>MR004638</v>
          </cell>
          <cell r="B4649" t="str">
            <v>MR</v>
          </cell>
          <cell r="C4649">
            <v>5.5</v>
          </cell>
          <cell r="D4649">
            <v>62</v>
          </cell>
          <cell r="E4649" t="str">
            <v>R87</v>
          </cell>
          <cell r="F4649">
            <v>840</v>
          </cell>
          <cell r="G4649">
            <v>23.4</v>
          </cell>
          <cell r="H4649">
            <v>1.3</v>
          </cell>
          <cell r="I4649" t="str">
            <v>From M1 to M2 - 20°</v>
          </cell>
          <cell r="J4649" t="str">
            <v>IE3</v>
          </cell>
          <cell r="K4649" t="str">
            <v>230/400</v>
          </cell>
          <cell r="L4649">
            <v>50</v>
          </cell>
          <cell r="M4649" t="str">
            <v>18,2/10,5</v>
          </cell>
          <cell r="N4649">
            <v>65</v>
          </cell>
          <cell r="O4649" t="str">
            <v>155(F)</v>
          </cell>
          <cell r="P4649" t="str">
            <v>270°</v>
          </cell>
          <cell r="Q4649" t="str">
            <v>TF</v>
          </cell>
          <cell r="R4649" t="str">
            <v>V(VE)</v>
          </cell>
          <cell r="S4649" t="str">
            <v>-</v>
          </cell>
          <cell r="T4649" t="str">
            <v>-</v>
          </cell>
          <cell r="U4649" t="str">
            <v>-</v>
          </cell>
          <cell r="V4649" t="str">
            <v>FC</v>
          </cell>
          <cell r="W4649" t="str">
            <v>-</v>
          </cell>
          <cell r="X4649" t="str">
            <v>CLP 220 (-15/+40°C)</v>
          </cell>
          <cell r="Y4649" t="str">
            <v>R87EDRN132S4 /TF/VE</v>
          </cell>
          <cell r="Z4649" t="str">
            <v>SEW</v>
          </cell>
          <cell r="AB4649" t="str">
            <v>ATEX22</v>
          </cell>
          <cell r="AF4649">
            <v>62</v>
          </cell>
          <cell r="AG4649" t="str">
            <v>EDRN132S4</v>
          </cell>
          <cell r="AH4649" t="str">
            <v>R87-EDRN132S4270-X#</v>
          </cell>
        </row>
        <row r="4650">
          <cell r="A4650" t="str">
            <v>MR004639</v>
          </cell>
          <cell r="B4650" t="str">
            <v>MR</v>
          </cell>
          <cell r="C4650">
            <v>7.5</v>
          </cell>
          <cell r="D4650">
            <v>13</v>
          </cell>
          <cell r="E4650" t="str">
            <v>KH107</v>
          </cell>
          <cell r="F4650">
            <v>5480</v>
          </cell>
          <cell r="G4650">
            <v>112.41</v>
          </cell>
          <cell r="H4650">
            <v>1.45</v>
          </cell>
          <cell r="I4650" t="str">
            <v>M1B</v>
          </cell>
          <cell r="J4650" t="str">
            <v>IE3</v>
          </cell>
          <cell r="K4650" t="str">
            <v>230/400</v>
          </cell>
          <cell r="L4650">
            <v>50</v>
          </cell>
          <cell r="M4650" t="str">
            <v>27/15,7</v>
          </cell>
          <cell r="N4650">
            <v>55</v>
          </cell>
          <cell r="O4650" t="str">
            <v>155(F)</v>
          </cell>
          <cell r="P4650" t="str">
            <v>0°</v>
          </cell>
          <cell r="Q4650" t="str">
            <v>TF</v>
          </cell>
          <cell r="R4650" t="str">
            <v>-</v>
          </cell>
          <cell r="S4650" t="str">
            <v>-</v>
          </cell>
          <cell r="T4650" t="str">
            <v>-</v>
          </cell>
          <cell r="U4650" t="str">
            <v>-</v>
          </cell>
          <cell r="V4650" t="str">
            <v>SS</v>
          </cell>
          <cell r="W4650" t="str">
            <v>-</v>
          </cell>
          <cell r="X4650" t="str">
            <v>CLP 220 (-15/+40°C)</v>
          </cell>
          <cell r="Y4650" t="str">
            <v>KH107DRN132M4 /TF</v>
          </cell>
          <cell r="Z4650" t="str">
            <v>SEW</v>
          </cell>
          <cell r="AB4650" t="str">
            <v>-</v>
          </cell>
          <cell r="AF4650">
            <v>13</v>
          </cell>
          <cell r="AG4650" t="str">
            <v>DRN132M4</v>
          </cell>
          <cell r="AH4650" t="str">
            <v>KH107-DRN132M4B0-X</v>
          </cell>
        </row>
        <row r="4651">
          <cell r="A4651" t="str">
            <v>MR004640</v>
          </cell>
          <cell r="B4651" t="str">
            <v>MR</v>
          </cell>
          <cell r="C4651">
            <v>7.5</v>
          </cell>
          <cell r="D4651">
            <v>13</v>
          </cell>
          <cell r="E4651" t="str">
            <v>KH107</v>
          </cell>
          <cell r="F4651">
            <v>5480</v>
          </cell>
          <cell r="G4651">
            <v>112.41</v>
          </cell>
          <cell r="H4651">
            <v>1.45</v>
          </cell>
          <cell r="I4651" t="str">
            <v>M1A</v>
          </cell>
          <cell r="J4651" t="str">
            <v>IE3</v>
          </cell>
          <cell r="K4651" t="str">
            <v>230/400</v>
          </cell>
          <cell r="L4651">
            <v>50</v>
          </cell>
          <cell r="M4651" t="str">
            <v>27/15,7</v>
          </cell>
          <cell r="N4651">
            <v>55</v>
          </cell>
          <cell r="O4651" t="str">
            <v>155(F)</v>
          </cell>
          <cell r="P4651" t="str">
            <v>180°</v>
          </cell>
          <cell r="Q4651" t="str">
            <v>TF</v>
          </cell>
          <cell r="R4651" t="str">
            <v>-</v>
          </cell>
          <cell r="S4651" t="str">
            <v>-</v>
          </cell>
          <cell r="T4651" t="str">
            <v>-</v>
          </cell>
          <cell r="U4651" t="str">
            <v>-</v>
          </cell>
          <cell r="V4651" t="str">
            <v>SS</v>
          </cell>
          <cell r="W4651" t="str">
            <v>-</v>
          </cell>
          <cell r="X4651" t="str">
            <v>CLP 220 (-15/+40°C)</v>
          </cell>
          <cell r="Y4651" t="str">
            <v>KH107DRN132M4 /TF</v>
          </cell>
          <cell r="Z4651" t="str">
            <v>SEW</v>
          </cell>
          <cell r="AB4651" t="str">
            <v>-</v>
          </cell>
          <cell r="AF4651">
            <v>13</v>
          </cell>
          <cell r="AG4651" t="str">
            <v>DRN132M4</v>
          </cell>
          <cell r="AH4651" t="str">
            <v>KH107-DRN132M4A180-X</v>
          </cell>
        </row>
        <row r="4652">
          <cell r="A4652" t="str">
            <v>MR004641</v>
          </cell>
          <cell r="B4652" t="str">
            <v>MR</v>
          </cell>
          <cell r="C4652">
            <v>11</v>
          </cell>
          <cell r="D4652">
            <v>15</v>
          </cell>
          <cell r="E4652" t="str">
            <v>KH107</v>
          </cell>
          <cell r="F4652">
            <v>7180</v>
          </cell>
          <cell r="G4652">
            <v>100.75</v>
          </cell>
          <cell r="H4652">
            <v>1.1000000000000001</v>
          </cell>
          <cell r="I4652" t="str">
            <v>From M1A to M2A - 30°</v>
          </cell>
          <cell r="J4652" t="str">
            <v>IE3</v>
          </cell>
          <cell r="K4652" t="str">
            <v>400/690</v>
          </cell>
          <cell r="L4652">
            <v>50</v>
          </cell>
          <cell r="M4652" t="str">
            <v>21/12,2</v>
          </cell>
          <cell r="N4652">
            <v>55</v>
          </cell>
          <cell r="O4652" t="str">
            <v>155(F)</v>
          </cell>
          <cell r="P4652" t="str">
            <v>180°</v>
          </cell>
          <cell r="Q4652" t="str">
            <v>TF</v>
          </cell>
          <cell r="R4652" t="str">
            <v>-</v>
          </cell>
          <cell r="S4652" t="str">
            <v>-</v>
          </cell>
          <cell r="T4652" t="str">
            <v>-</v>
          </cell>
          <cell r="U4652" t="str">
            <v>-</v>
          </cell>
          <cell r="V4652" t="str">
            <v>SS</v>
          </cell>
          <cell r="W4652" t="str">
            <v>-</v>
          </cell>
          <cell r="X4652" t="str">
            <v>CLP 220 (-15/+40°C)</v>
          </cell>
          <cell r="Y4652" t="str">
            <v>KH107DRN160M4 /TF</v>
          </cell>
          <cell r="Z4652" t="str">
            <v>SEW</v>
          </cell>
          <cell r="AB4652" t="str">
            <v>-</v>
          </cell>
          <cell r="AF4652">
            <v>15</v>
          </cell>
          <cell r="AG4652" t="str">
            <v>DRN160M4</v>
          </cell>
          <cell r="AH4652" t="str">
            <v>KH107-DRN160M4A180-X</v>
          </cell>
        </row>
        <row r="4653">
          <cell r="A4653" t="str">
            <v>MR004642</v>
          </cell>
          <cell r="B4653" t="str">
            <v>MR</v>
          </cell>
          <cell r="C4653">
            <v>7.5</v>
          </cell>
          <cell r="D4653">
            <v>62</v>
          </cell>
          <cell r="E4653" t="str">
            <v>FH87</v>
          </cell>
          <cell r="F4653">
            <v>1150</v>
          </cell>
          <cell r="G4653">
            <v>23.68</v>
          </cell>
          <cell r="H4653">
            <v>2.6</v>
          </cell>
          <cell r="I4653" t="str">
            <v>From M1 to M2 - 45°</v>
          </cell>
          <cell r="J4653" t="str">
            <v>IE3</v>
          </cell>
          <cell r="K4653" t="str">
            <v>400/690</v>
          </cell>
          <cell r="L4653">
            <v>50</v>
          </cell>
          <cell r="M4653" t="str">
            <v>15,2/8,8</v>
          </cell>
          <cell r="N4653">
            <v>55</v>
          </cell>
          <cell r="O4653" t="str">
            <v>155(F)</v>
          </cell>
          <cell r="P4653" t="str">
            <v>270°</v>
          </cell>
          <cell r="Q4653" t="str">
            <v>TF</v>
          </cell>
          <cell r="R4653" t="str">
            <v>-</v>
          </cell>
          <cell r="S4653" t="str">
            <v>-</v>
          </cell>
          <cell r="T4653" t="str">
            <v>-</v>
          </cell>
          <cell r="U4653" t="str">
            <v>G</v>
          </cell>
          <cell r="V4653" t="str">
            <v>D</v>
          </cell>
          <cell r="W4653" t="str">
            <v>-</v>
          </cell>
          <cell r="X4653" t="str">
            <v>CLP 220 (-15/+40°C)</v>
          </cell>
          <cell r="Y4653" t="str">
            <v>FH87/G DRN132M4 /TF</v>
          </cell>
          <cell r="Z4653" t="str">
            <v>SEW</v>
          </cell>
          <cell r="AB4653" t="str">
            <v>-</v>
          </cell>
          <cell r="AF4653">
            <v>62</v>
          </cell>
          <cell r="AG4653" t="str">
            <v>DRN132M4</v>
          </cell>
          <cell r="AH4653" t="str">
            <v>FH87G-DRN132M4270-X</v>
          </cell>
        </row>
        <row r="4654">
          <cell r="A4654" t="str">
            <v>MR004643</v>
          </cell>
          <cell r="B4654" t="str">
            <v>MR</v>
          </cell>
          <cell r="C4654">
            <v>30</v>
          </cell>
          <cell r="D4654">
            <v>15</v>
          </cell>
          <cell r="E4654" t="str">
            <v>KH157</v>
          </cell>
          <cell r="F4654">
            <v>19400</v>
          </cell>
          <cell r="G4654">
            <v>100.22</v>
          </cell>
          <cell r="H4654">
            <v>1.05</v>
          </cell>
          <cell r="I4654" t="str">
            <v>From M1A to M2A - 20°</v>
          </cell>
          <cell r="J4654" t="str">
            <v>IE3</v>
          </cell>
          <cell r="K4654" t="str">
            <v>400/690</v>
          </cell>
          <cell r="L4654">
            <v>50</v>
          </cell>
          <cell r="M4654" t="str">
            <v>56/32,5</v>
          </cell>
          <cell r="N4654">
            <v>55</v>
          </cell>
          <cell r="O4654" t="str">
            <v>155(F)</v>
          </cell>
          <cell r="P4654" t="str">
            <v>180°</v>
          </cell>
          <cell r="Q4654" t="str">
            <v>TF</v>
          </cell>
          <cell r="R4654" t="str">
            <v>V(VE)</v>
          </cell>
          <cell r="S4654" t="str">
            <v>-</v>
          </cell>
          <cell r="T4654" t="str">
            <v>-</v>
          </cell>
          <cell r="U4654" t="str">
            <v>-</v>
          </cell>
          <cell r="V4654" t="str">
            <v>FC</v>
          </cell>
          <cell r="W4654" t="str">
            <v>-</v>
          </cell>
          <cell r="X4654" t="str">
            <v>CLP 220 (-15/+40°C)</v>
          </cell>
          <cell r="Y4654" t="str">
            <v>KH157DRN200L4 /TF/V</v>
          </cell>
          <cell r="Z4654" t="str">
            <v>SEW</v>
          </cell>
          <cell r="AB4654" t="str">
            <v>-</v>
          </cell>
          <cell r="AE4654" t="str">
            <v>WORK FREQUENCY 38 HZ ( CHAIN SPEED 0,5 M/SEC )</v>
          </cell>
          <cell r="AF4654">
            <v>15</v>
          </cell>
          <cell r="AG4654" t="str">
            <v>DRN200L4</v>
          </cell>
          <cell r="AH4654" t="str">
            <v>KH157-DRN200L4A180-X#</v>
          </cell>
        </row>
        <row r="4655">
          <cell r="A4655" t="str">
            <v>MR004644</v>
          </cell>
          <cell r="B4655" t="str">
            <v>MR</v>
          </cell>
          <cell r="C4655">
            <v>30</v>
          </cell>
          <cell r="D4655">
            <v>15</v>
          </cell>
          <cell r="E4655" t="str">
            <v>KH157</v>
          </cell>
          <cell r="F4655">
            <v>19400</v>
          </cell>
          <cell r="G4655">
            <v>100.22</v>
          </cell>
          <cell r="H4655">
            <v>1.05</v>
          </cell>
          <cell r="I4655" t="str">
            <v>From M1B to M2B - 20°</v>
          </cell>
          <cell r="J4655" t="str">
            <v>IE3</v>
          </cell>
          <cell r="K4655" t="str">
            <v>400/690</v>
          </cell>
          <cell r="L4655">
            <v>50</v>
          </cell>
          <cell r="M4655" t="str">
            <v>56/32,5</v>
          </cell>
          <cell r="N4655">
            <v>55</v>
          </cell>
          <cell r="O4655" t="str">
            <v>155(F)</v>
          </cell>
          <cell r="P4655" t="str">
            <v>0°</v>
          </cell>
          <cell r="Q4655" t="str">
            <v>TF</v>
          </cell>
          <cell r="R4655" t="str">
            <v>V(VE)</v>
          </cell>
          <cell r="S4655" t="str">
            <v>-</v>
          </cell>
          <cell r="T4655" t="str">
            <v>-</v>
          </cell>
          <cell r="U4655" t="str">
            <v>-</v>
          </cell>
          <cell r="V4655" t="str">
            <v>FC</v>
          </cell>
          <cell r="W4655" t="str">
            <v>-</v>
          </cell>
          <cell r="X4655" t="str">
            <v>CLP 220 (-15/+40°C)</v>
          </cell>
          <cell r="Y4655" t="str">
            <v>KH157DRN200L4 /TF/V</v>
          </cell>
          <cell r="Z4655" t="str">
            <v>SEW</v>
          </cell>
          <cell r="AB4655" t="str">
            <v>-</v>
          </cell>
          <cell r="AE4655" t="str">
            <v>WORK FREQUENCY 38 HZ ( CHAIN SPEED 0,5 M/SEC )</v>
          </cell>
          <cell r="AF4655">
            <v>15</v>
          </cell>
          <cell r="AG4655" t="str">
            <v>DRN200L4</v>
          </cell>
          <cell r="AH4655" t="str">
            <v>KH157-DRN200L4B0-X#</v>
          </cell>
        </row>
        <row r="4656">
          <cell r="A4656" t="str">
            <v>MR004645</v>
          </cell>
          <cell r="B4656" t="str">
            <v>MR</v>
          </cell>
          <cell r="C4656">
            <v>22</v>
          </cell>
          <cell r="D4656">
            <v>12</v>
          </cell>
          <cell r="E4656" t="str">
            <v>KH157</v>
          </cell>
          <cell r="F4656">
            <v>17400</v>
          </cell>
          <cell r="G4656">
            <v>122.39</v>
          </cell>
          <cell r="H4656">
            <v>1.1499999999999999</v>
          </cell>
          <cell r="I4656" t="str">
            <v>M1B</v>
          </cell>
          <cell r="J4656" t="str">
            <v>IE3</v>
          </cell>
          <cell r="K4656" t="str">
            <v>400/690</v>
          </cell>
          <cell r="L4656">
            <v>50</v>
          </cell>
          <cell r="M4656" t="str">
            <v>38,5/22,5</v>
          </cell>
          <cell r="N4656">
            <v>55</v>
          </cell>
          <cell r="O4656" t="str">
            <v>155(F)</v>
          </cell>
          <cell r="P4656" t="str">
            <v>0°</v>
          </cell>
          <cell r="Q4656" t="str">
            <v>TF</v>
          </cell>
          <cell r="R4656" t="str">
            <v>V(VE)</v>
          </cell>
          <cell r="S4656" t="str">
            <v>-</v>
          </cell>
          <cell r="T4656" t="str">
            <v>-</v>
          </cell>
          <cell r="U4656" t="str">
            <v>-</v>
          </cell>
          <cell r="V4656" t="str">
            <v>FC</v>
          </cell>
          <cell r="W4656" t="str">
            <v>-</v>
          </cell>
          <cell r="X4656" t="str">
            <v>CLP 220 (-15/+40°C)</v>
          </cell>
          <cell r="Y4656" t="str">
            <v>KH157DRN180L4 /TF/V</v>
          </cell>
          <cell r="Z4656" t="str">
            <v>SEW</v>
          </cell>
          <cell r="AB4656" t="str">
            <v>-</v>
          </cell>
          <cell r="AE4656" t="str">
            <v>WORK FREQUENCY 40 HZ ( CHAIN SPEED 0,43 M/SEC )</v>
          </cell>
          <cell r="AF4656">
            <v>12</v>
          </cell>
          <cell r="AG4656" t="str">
            <v>DRN180L4</v>
          </cell>
          <cell r="AH4656" t="str">
            <v>KH157-DRN180L4B0-X#</v>
          </cell>
        </row>
        <row r="4657">
          <cell r="A4657" t="str">
            <v>MR004646</v>
          </cell>
          <cell r="B4657" t="str">
            <v>MR</v>
          </cell>
          <cell r="C4657">
            <v>5.5</v>
          </cell>
          <cell r="D4657">
            <v>68</v>
          </cell>
          <cell r="E4657" t="str">
            <v>R87</v>
          </cell>
          <cell r="F4657">
            <v>775</v>
          </cell>
          <cell r="G4657">
            <v>21.51</v>
          </cell>
          <cell r="H4657">
            <v>1.55</v>
          </cell>
          <cell r="I4657" t="str">
            <v>From M1 to M2 - 10°</v>
          </cell>
          <cell r="J4657" t="str">
            <v>IE3</v>
          </cell>
          <cell r="K4657" t="str">
            <v>230/400</v>
          </cell>
          <cell r="L4657">
            <v>50</v>
          </cell>
          <cell r="M4657" t="str">
            <v>18,2/10,5</v>
          </cell>
          <cell r="N4657">
            <v>65</v>
          </cell>
          <cell r="O4657" t="str">
            <v>155(F)</v>
          </cell>
          <cell r="P4657" t="str">
            <v>270°</v>
          </cell>
          <cell r="Q4657" t="str">
            <v>TF</v>
          </cell>
          <cell r="R4657" t="str">
            <v>-</v>
          </cell>
          <cell r="S4657" t="str">
            <v>-</v>
          </cell>
          <cell r="T4657" t="str">
            <v>-</v>
          </cell>
          <cell r="U4657" t="str">
            <v>-</v>
          </cell>
          <cell r="V4657" t="str">
            <v>D</v>
          </cell>
          <cell r="W4657" t="str">
            <v>-</v>
          </cell>
          <cell r="X4657" t="str">
            <v>CLP HC 150 (-30/+50°C)</v>
          </cell>
          <cell r="Y4657" t="str">
            <v>R87/II2GDEDRN132S4/3GD/KCC/TF/AL</v>
          </cell>
          <cell r="Z4657" t="str">
            <v>SEW</v>
          </cell>
          <cell r="AB4657" t="str">
            <v>ATEX22</v>
          </cell>
          <cell r="AF4657">
            <v>68</v>
          </cell>
          <cell r="AG4657" t="str">
            <v>EDRN132S4</v>
          </cell>
          <cell r="AH4657" t="str">
            <v>R87-EDRN132S4270-X</v>
          </cell>
        </row>
        <row r="4658">
          <cell r="A4658" t="str">
            <v>MR004647</v>
          </cell>
          <cell r="B4658" t="str">
            <v>MR</v>
          </cell>
          <cell r="C4658">
            <v>30</v>
          </cell>
          <cell r="D4658">
            <v>81</v>
          </cell>
          <cell r="E4658" t="str">
            <v>R107</v>
          </cell>
          <cell r="F4658">
            <v>3520</v>
          </cell>
          <cell r="G4658">
            <v>18.21</v>
          </cell>
          <cell r="H4658">
            <v>1.2</v>
          </cell>
          <cell r="I4658" t="str">
            <v>M4</v>
          </cell>
          <cell r="J4658" t="str">
            <v>IE3</v>
          </cell>
          <cell r="K4658" t="str">
            <v>230/400</v>
          </cell>
          <cell r="L4658">
            <v>50</v>
          </cell>
          <cell r="M4658" t="str">
            <v>97/56</v>
          </cell>
          <cell r="N4658">
            <v>65</v>
          </cell>
          <cell r="O4658" t="str">
            <v>155(F)</v>
          </cell>
          <cell r="P4658" t="str">
            <v>270°</v>
          </cell>
          <cell r="Q4658" t="str">
            <v>TF</v>
          </cell>
          <cell r="R4658" t="str">
            <v>-</v>
          </cell>
          <cell r="S4658" t="str">
            <v>-</v>
          </cell>
          <cell r="T4658" t="str">
            <v>-</v>
          </cell>
          <cell r="U4658" t="str">
            <v>-</v>
          </cell>
          <cell r="V4658" t="str">
            <v>D</v>
          </cell>
          <cell r="W4658" t="str">
            <v>-</v>
          </cell>
          <cell r="X4658" t="str">
            <v>CLP HC 150 (-30/+50°C)</v>
          </cell>
          <cell r="Y4658" t="str">
            <v>R107/II2GDEDRN200L4/3GD/TF/AL/C</v>
          </cell>
          <cell r="Z4658" t="str">
            <v>SEW</v>
          </cell>
          <cell r="AB4658" t="str">
            <v>ATEX22</v>
          </cell>
          <cell r="AF4658">
            <v>81</v>
          </cell>
          <cell r="AG4658" t="str">
            <v>EDRN200L4</v>
          </cell>
          <cell r="AH4658" t="str">
            <v>R107-EDRN200L4270-X</v>
          </cell>
        </row>
        <row r="4659">
          <cell r="A4659" t="str">
            <v>MR004648</v>
          </cell>
          <cell r="B4659" t="str">
            <v>MR</v>
          </cell>
          <cell r="C4659">
            <v>15</v>
          </cell>
          <cell r="D4659">
            <v>53</v>
          </cell>
          <cell r="E4659" t="str">
            <v>R107</v>
          </cell>
          <cell r="F4659">
            <v>2680</v>
          </cell>
          <cell r="G4659">
            <v>27.58</v>
          </cell>
          <cell r="H4659">
            <v>1.6</v>
          </cell>
          <cell r="I4659" t="str">
            <v>From M1 to M4 - 30°</v>
          </cell>
          <cell r="J4659" t="str">
            <v>IE3</v>
          </cell>
          <cell r="K4659" t="str">
            <v>230/400</v>
          </cell>
          <cell r="L4659">
            <v>50</v>
          </cell>
          <cell r="M4659" t="str">
            <v>50/29</v>
          </cell>
          <cell r="N4659">
            <v>65</v>
          </cell>
          <cell r="O4659" t="str">
            <v>155(F)</v>
          </cell>
          <cell r="P4659" t="str">
            <v>270°</v>
          </cell>
          <cell r="Q4659" t="str">
            <v>TF</v>
          </cell>
          <cell r="R4659" t="str">
            <v>-</v>
          </cell>
          <cell r="S4659" t="str">
            <v>-</v>
          </cell>
          <cell r="T4659" t="str">
            <v>-</v>
          </cell>
          <cell r="U4659" t="str">
            <v>-</v>
          </cell>
          <cell r="V4659" t="str">
            <v>D</v>
          </cell>
          <cell r="W4659" t="str">
            <v>-</v>
          </cell>
          <cell r="X4659" t="str">
            <v>CLP HC 150 (-30/+50°C)</v>
          </cell>
          <cell r="Y4659" t="str">
            <v>R107/II2GDEDRN160L4/3GD/TF/AL/C</v>
          </cell>
          <cell r="Z4659" t="str">
            <v>SEW</v>
          </cell>
          <cell r="AB4659" t="str">
            <v>ATEX22</v>
          </cell>
          <cell r="AF4659">
            <v>53</v>
          </cell>
          <cell r="AG4659" t="str">
            <v>EDRN160L4</v>
          </cell>
          <cell r="AH4659" t="str">
            <v>R107-EDRN160L4270-X</v>
          </cell>
        </row>
        <row r="4660">
          <cell r="A4660" t="str">
            <v>MR004649</v>
          </cell>
          <cell r="B4660" t="str">
            <v>MR</v>
          </cell>
          <cell r="C4660">
            <v>15</v>
          </cell>
          <cell r="D4660">
            <v>40</v>
          </cell>
          <cell r="E4660" t="str">
            <v>R127</v>
          </cell>
          <cell r="F4660">
            <v>3580</v>
          </cell>
          <cell r="G4660">
            <v>26.88</v>
          </cell>
          <cell r="H4660">
            <v>1.4</v>
          </cell>
          <cell r="I4660" t="str">
            <v>From M1 to M2 - 15°</v>
          </cell>
          <cell r="J4660" t="str">
            <v>IE3</v>
          </cell>
          <cell r="K4660" t="str">
            <v>230/400</v>
          </cell>
          <cell r="L4660">
            <v>50</v>
          </cell>
          <cell r="M4660" t="str">
            <v>50/29</v>
          </cell>
          <cell r="N4660">
            <v>65</v>
          </cell>
          <cell r="O4660" t="str">
            <v>155(F)</v>
          </cell>
          <cell r="P4660" t="str">
            <v>270°</v>
          </cell>
          <cell r="Q4660" t="str">
            <v>TF</v>
          </cell>
          <cell r="R4660" t="str">
            <v>V(VE)</v>
          </cell>
          <cell r="S4660" t="str">
            <v>-</v>
          </cell>
          <cell r="T4660" t="str">
            <v>-</v>
          </cell>
          <cell r="U4660" t="str">
            <v>-</v>
          </cell>
          <cell r="V4660" t="str">
            <v>FC</v>
          </cell>
          <cell r="W4660" t="str">
            <v>-</v>
          </cell>
          <cell r="X4660" t="str">
            <v>CLP HC 150 (-30/+50°C)</v>
          </cell>
          <cell r="Y4660" t="str">
            <v>R127/II2GD EDRN160L4/3GD/TF/VE</v>
          </cell>
          <cell r="Z4660" t="str">
            <v>SEW</v>
          </cell>
          <cell r="AB4660" t="str">
            <v>ATEX22</v>
          </cell>
          <cell r="AF4660">
            <v>40</v>
          </cell>
          <cell r="AG4660" t="str">
            <v>EDRN160L4</v>
          </cell>
          <cell r="AH4660" t="str">
            <v>R127-EDRN160L4270-X#</v>
          </cell>
        </row>
        <row r="4661">
          <cell r="A4661" t="str">
            <v>MR004650</v>
          </cell>
          <cell r="B4661" t="str">
            <v>MR</v>
          </cell>
          <cell r="C4661">
            <v>7.5</v>
          </cell>
          <cell r="D4661">
            <v>63</v>
          </cell>
          <cell r="E4661" t="str">
            <v>R87</v>
          </cell>
          <cell r="F4661">
            <v>1140</v>
          </cell>
          <cell r="G4661">
            <v>23.4</v>
          </cell>
          <cell r="H4661">
            <v>1.35</v>
          </cell>
          <cell r="I4661" t="str">
            <v>M1</v>
          </cell>
          <cell r="J4661" t="str">
            <v>IE3</v>
          </cell>
          <cell r="K4661" t="str">
            <v>230/400</v>
          </cell>
          <cell r="L4661">
            <v>50</v>
          </cell>
          <cell r="M4661" t="str">
            <v>26,5/15,2</v>
          </cell>
          <cell r="N4661">
            <v>65</v>
          </cell>
          <cell r="O4661" t="str">
            <v>155(F)</v>
          </cell>
          <cell r="P4661" t="str">
            <v>270°</v>
          </cell>
          <cell r="Q4661" t="str">
            <v>TF</v>
          </cell>
          <cell r="R4661" t="str">
            <v>-</v>
          </cell>
          <cell r="S4661" t="str">
            <v>-</v>
          </cell>
          <cell r="T4661" t="str">
            <v>-</v>
          </cell>
          <cell r="U4661" t="str">
            <v>-</v>
          </cell>
          <cell r="V4661" t="str">
            <v>D</v>
          </cell>
          <cell r="W4661" t="str">
            <v>-</v>
          </cell>
          <cell r="X4661" t="str">
            <v>CLP 220 (-15/+40°C)</v>
          </cell>
          <cell r="Y4661" t="str">
            <v>R87DRN132M4 /TF</v>
          </cell>
          <cell r="Z4661" t="str">
            <v>SEW</v>
          </cell>
          <cell r="AB4661" t="str">
            <v>-</v>
          </cell>
          <cell r="AF4661">
            <v>63</v>
          </cell>
          <cell r="AG4661" t="str">
            <v>DRN132M4</v>
          </cell>
          <cell r="AH4661" t="str">
            <v>R87-DRN132M4270-X</v>
          </cell>
        </row>
        <row r="4662">
          <cell r="A4662" t="str">
            <v>MR004651</v>
          </cell>
          <cell r="B4662" t="str">
            <v>MR</v>
          </cell>
          <cell r="C4662">
            <v>5.5</v>
          </cell>
          <cell r="D4662">
            <v>7.4</v>
          </cell>
          <cell r="E4662" t="str">
            <v>R137R77</v>
          </cell>
          <cell r="F4662">
            <v>6620</v>
          </cell>
          <cell r="G4662">
            <v>197</v>
          </cell>
          <cell r="H4662">
            <v>1.2</v>
          </cell>
          <cell r="I4662" t="str">
            <v>M1</v>
          </cell>
          <cell r="J4662" t="str">
            <v>IE3</v>
          </cell>
          <cell r="K4662" t="str">
            <v>230/400</v>
          </cell>
          <cell r="L4662">
            <v>50</v>
          </cell>
          <cell r="M4662" t="str">
            <v>18,2/10,5</v>
          </cell>
          <cell r="N4662">
            <v>55</v>
          </cell>
          <cell r="O4662" t="str">
            <v>155(F)</v>
          </cell>
          <cell r="P4662" t="str">
            <v>270°</v>
          </cell>
          <cell r="Q4662" t="str">
            <v>TF</v>
          </cell>
          <cell r="R4662" t="str">
            <v>V(VE)</v>
          </cell>
          <cell r="S4662" t="str">
            <v>-</v>
          </cell>
          <cell r="T4662" t="str">
            <v>-</v>
          </cell>
          <cell r="U4662" t="str">
            <v>-</v>
          </cell>
          <cell r="V4662" t="str">
            <v>FC</v>
          </cell>
          <cell r="W4662" t="str">
            <v>-</v>
          </cell>
          <cell r="X4662" t="str">
            <v>CLP 220 (-15/+40°C)</v>
          </cell>
          <cell r="Y4662" t="str">
            <v>R137R77DRN132S4 /TF/V</v>
          </cell>
          <cell r="Z4662" t="str">
            <v>SEW</v>
          </cell>
          <cell r="AB4662" t="str">
            <v>-</v>
          </cell>
          <cell r="AF4662">
            <v>7.4</v>
          </cell>
          <cell r="AG4662" t="str">
            <v>DRN132S4</v>
          </cell>
          <cell r="AH4662" t="str">
            <v>R137R77-DRN132S4270-X#</v>
          </cell>
        </row>
        <row r="4663">
          <cell r="A4663" t="str">
            <v>MR004652</v>
          </cell>
          <cell r="B4663" t="str">
            <v>MR</v>
          </cell>
          <cell r="C4663">
            <v>7.5</v>
          </cell>
          <cell r="D4663">
            <v>62</v>
          </cell>
          <cell r="E4663" t="str">
            <v>FH87</v>
          </cell>
          <cell r="F4663">
            <v>1150</v>
          </cell>
          <cell r="G4663">
            <v>23.68</v>
          </cell>
          <cell r="H4663">
            <v>2.6</v>
          </cell>
          <cell r="I4663" t="str">
            <v>M1</v>
          </cell>
          <cell r="J4663" t="str">
            <v>IE3</v>
          </cell>
          <cell r="K4663" t="str">
            <v>400/690</v>
          </cell>
          <cell r="L4663">
            <v>50</v>
          </cell>
          <cell r="M4663" t="str">
            <v>15,2/8,8</v>
          </cell>
          <cell r="N4663">
            <v>65</v>
          </cell>
          <cell r="O4663" t="str">
            <v>155(F)</v>
          </cell>
          <cell r="P4663" t="str">
            <v>270°</v>
          </cell>
          <cell r="Q4663" t="str">
            <v>TF</v>
          </cell>
          <cell r="R4663" t="str">
            <v>-</v>
          </cell>
          <cell r="S4663" t="str">
            <v>-</v>
          </cell>
          <cell r="T4663" t="str">
            <v>-</v>
          </cell>
          <cell r="U4663" t="str">
            <v>G</v>
          </cell>
          <cell r="V4663" t="str">
            <v>D</v>
          </cell>
          <cell r="W4663" t="str">
            <v>-</v>
          </cell>
          <cell r="X4663" t="str">
            <v>CLP HC 150 (-30/+50°C)</v>
          </cell>
          <cell r="Y4663" t="str">
            <v>FH87/G DRN132M4 /TF</v>
          </cell>
          <cell r="Z4663" t="str">
            <v>SEW</v>
          </cell>
          <cell r="AB4663" t="str">
            <v>-</v>
          </cell>
          <cell r="AF4663">
            <v>62</v>
          </cell>
          <cell r="AG4663" t="str">
            <v>DRN132M4</v>
          </cell>
          <cell r="AH4663" t="str">
            <v>FH87G-DRN132M4270-X</v>
          </cell>
        </row>
        <row r="4664">
          <cell r="A4664" t="str">
            <v>MR004653</v>
          </cell>
          <cell r="B4664" t="str">
            <v>MR</v>
          </cell>
          <cell r="C4664">
            <v>15</v>
          </cell>
          <cell r="D4664">
            <v>18</v>
          </cell>
          <cell r="E4664" t="str">
            <v>KH107</v>
          </cell>
          <cell r="F4664">
            <v>8020</v>
          </cell>
          <cell r="G4664">
            <v>82.61</v>
          </cell>
          <cell r="H4664">
            <v>1</v>
          </cell>
          <cell r="I4664" t="str">
            <v>M1A</v>
          </cell>
          <cell r="J4664" t="str">
            <v>IE3</v>
          </cell>
          <cell r="K4664" t="str">
            <v>400/690</v>
          </cell>
          <cell r="L4664">
            <v>50</v>
          </cell>
          <cell r="M4664" t="str">
            <v>29/16,7</v>
          </cell>
          <cell r="N4664">
            <v>55</v>
          </cell>
          <cell r="O4664" t="str">
            <v>155(F)</v>
          </cell>
          <cell r="P4664" t="str">
            <v>180°</v>
          </cell>
          <cell r="Q4664" t="str">
            <v>TF</v>
          </cell>
          <cell r="R4664" t="str">
            <v>-</v>
          </cell>
          <cell r="S4664" t="str">
            <v>-</v>
          </cell>
          <cell r="T4664" t="str">
            <v>-</v>
          </cell>
          <cell r="U4664" t="str">
            <v>-</v>
          </cell>
          <cell r="V4664" t="str">
            <v>SS</v>
          </cell>
          <cell r="W4664" t="str">
            <v>-</v>
          </cell>
          <cell r="X4664" t="str">
            <v>CLP 220 (-15/+40°C)</v>
          </cell>
          <cell r="Y4664" t="str">
            <v>KH107DRN160L4 /TF</v>
          </cell>
          <cell r="Z4664" t="str">
            <v>SEW</v>
          </cell>
          <cell r="AB4664" t="str">
            <v>-</v>
          </cell>
          <cell r="AF4664">
            <v>18</v>
          </cell>
          <cell r="AG4664" t="str">
            <v>DRN160L4</v>
          </cell>
          <cell r="AH4664" t="str">
            <v>KH107-DRN160L4A180-X</v>
          </cell>
        </row>
        <row r="4665">
          <cell r="A4665" t="str">
            <v>MR004654</v>
          </cell>
          <cell r="B4665" t="str">
            <v>MR</v>
          </cell>
          <cell r="C4665">
            <v>7.5</v>
          </cell>
          <cell r="D4665">
            <v>64</v>
          </cell>
          <cell r="E4665" t="str">
            <v>KH77</v>
          </cell>
          <cell r="F4665">
            <v>1130</v>
          </cell>
          <cell r="G4665">
            <v>23.08</v>
          </cell>
          <cell r="H4665">
            <v>1.4</v>
          </cell>
          <cell r="I4665" t="str">
            <v>M4B</v>
          </cell>
          <cell r="J4665" t="str">
            <v>IE3</v>
          </cell>
          <cell r="K4665" t="str">
            <v>400/690</v>
          </cell>
          <cell r="L4665">
            <v>50</v>
          </cell>
          <cell r="M4665" t="str">
            <v>15,2/8,8</v>
          </cell>
          <cell r="N4665">
            <v>55</v>
          </cell>
          <cell r="O4665" t="str">
            <v>155(F)</v>
          </cell>
          <cell r="P4665" t="str">
            <v>270°</v>
          </cell>
          <cell r="Q4665" t="str">
            <v>TF</v>
          </cell>
          <cell r="R4665" t="str">
            <v>-</v>
          </cell>
          <cell r="S4665" t="str">
            <v>-</v>
          </cell>
          <cell r="T4665" t="str">
            <v>-</v>
          </cell>
          <cell r="U4665" t="str">
            <v>T</v>
          </cell>
          <cell r="V4665" t="str">
            <v>SS</v>
          </cell>
          <cell r="W4665" t="str">
            <v>-</v>
          </cell>
          <cell r="X4665" t="str">
            <v>CLP 220 (-15/+40°C)</v>
          </cell>
          <cell r="Y4665" t="str">
            <v>KH77/T DRN132M4 /TF</v>
          </cell>
          <cell r="Z4665" t="str">
            <v>SEW</v>
          </cell>
          <cell r="AB4665" t="str">
            <v>-</v>
          </cell>
          <cell r="AF4665">
            <v>64</v>
          </cell>
          <cell r="AG4665" t="str">
            <v>DRN132M4</v>
          </cell>
          <cell r="AH4665" t="str">
            <v>KH77T-DRN132M4B270-X</v>
          </cell>
        </row>
        <row r="4666">
          <cell r="A4666" t="str">
            <v>MR004655</v>
          </cell>
          <cell r="B4666" t="str">
            <v>MR</v>
          </cell>
          <cell r="C4666">
            <v>0.75</v>
          </cell>
          <cell r="D4666">
            <v>162</v>
          </cell>
          <cell r="E4666" t="str">
            <v>KA37</v>
          </cell>
          <cell r="F4666">
            <v>44</v>
          </cell>
          <cell r="G4666">
            <v>8.91</v>
          </cell>
          <cell r="H4666">
            <v>3.6</v>
          </cell>
          <cell r="I4666" t="str">
            <v>From M3A to M2A - 15°</v>
          </cell>
          <cell r="J4666" t="str">
            <v>IE3</v>
          </cell>
          <cell r="K4666" t="str">
            <v>230/400</v>
          </cell>
          <cell r="L4666">
            <v>50</v>
          </cell>
          <cell r="M4666" t="str">
            <v>3,05/1,75</v>
          </cell>
          <cell r="N4666">
            <v>55</v>
          </cell>
          <cell r="O4666" t="str">
            <v>155(F)</v>
          </cell>
          <cell r="P4666" t="str">
            <v>180°</v>
          </cell>
          <cell r="Q4666" t="str">
            <v>TF</v>
          </cell>
          <cell r="R4666" t="str">
            <v>-</v>
          </cell>
          <cell r="S4666" t="str">
            <v>-</v>
          </cell>
          <cell r="T4666" t="str">
            <v>-</v>
          </cell>
          <cell r="U4666" t="str">
            <v>T</v>
          </cell>
          <cell r="V4666" t="str">
            <v>D</v>
          </cell>
          <cell r="W4666" t="str">
            <v>-</v>
          </cell>
          <cell r="X4666" t="str">
            <v>CLP 220 (-15/+40°C)</v>
          </cell>
          <cell r="Y4666" t="str">
            <v>KA37/T DRN80M4 /TF</v>
          </cell>
          <cell r="Z4666" t="str">
            <v>SEW</v>
          </cell>
          <cell r="AB4666" t="str">
            <v>-</v>
          </cell>
          <cell r="AF4666">
            <v>162</v>
          </cell>
          <cell r="AG4666" t="str">
            <v>DRN80M4</v>
          </cell>
          <cell r="AH4666" t="str">
            <v>KA37T-DRN80M4A180-X</v>
          </cell>
        </row>
        <row r="4667">
          <cell r="A4667" t="str">
            <v>MR004656</v>
          </cell>
          <cell r="B4667" t="str">
            <v>MR</v>
          </cell>
          <cell r="C4667">
            <v>5.5</v>
          </cell>
          <cell r="D4667">
            <v>46</v>
          </cell>
          <cell r="E4667" t="str">
            <v>FH77</v>
          </cell>
          <cell r="F4667">
            <v>1130</v>
          </cell>
          <cell r="G4667">
            <v>38.229999999999997</v>
          </cell>
          <cell r="H4667">
            <v>1.2</v>
          </cell>
          <cell r="I4667" t="str">
            <v>M1</v>
          </cell>
          <cell r="J4667" t="str">
            <v>IE3</v>
          </cell>
          <cell r="K4667" t="str">
            <v>330/575</v>
          </cell>
          <cell r="L4667">
            <v>60</v>
          </cell>
          <cell r="M4667" t="str">
            <v>12,6/6,2</v>
          </cell>
          <cell r="N4667">
            <v>55</v>
          </cell>
          <cell r="O4667" t="str">
            <v>155(F)</v>
          </cell>
          <cell r="P4667" t="str">
            <v>270°</v>
          </cell>
          <cell r="Q4667" t="str">
            <v>TF</v>
          </cell>
          <cell r="R4667" t="str">
            <v>-</v>
          </cell>
          <cell r="S4667" t="str">
            <v>-</v>
          </cell>
          <cell r="T4667" t="str">
            <v>-</v>
          </cell>
          <cell r="U4667" t="str">
            <v>G</v>
          </cell>
          <cell r="V4667" t="str">
            <v>D+R</v>
          </cell>
          <cell r="W4667" t="str">
            <v>-</v>
          </cell>
          <cell r="X4667" t="str">
            <v>GearOil Synth (-35/+50°C)</v>
          </cell>
          <cell r="Y4667" t="str">
            <v>FH77/G/II2GD EDRN132S4/3D/TF/AL</v>
          </cell>
          <cell r="Z4667" t="str">
            <v>SEW</v>
          </cell>
          <cell r="AB4667" t="str">
            <v>ATEX22</v>
          </cell>
          <cell r="AE4667" t="str">
            <v>NEMA5/CSA/UL/NPT terminal box</v>
          </cell>
          <cell r="AF4667">
            <v>55.2</v>
          </cell>
          <cell r="AG4667" t="str">
            <v>EDRN132S4</v>
          </cell>
          <cell r="AH4667" t="str">
            <v>FH77G-EDRN132S4270-X</v>
          </cell>
        </row>
        <row r="4668">
          <cell r="A4668" t="str">
            <v>MR004657</v>
          </cell>
          <cell r="B4668" t="str">
            <v>MR</v>
          </cell>
          <cell r="C4668">
            <v>9.1999999999999993</v>
          </cell>
          <cell r="D4668">
            <v>59</v>
          </cell>
          <cell r="E4668" t="str">
            <v>R97</v>
          </cell>
          <cell r="F4668">
            <v>1500</v>
          </cell>
          <cell r="G4668">
            <v>25.03</v>
          </cell>
          <cell r="H4668">
            <v>1.9</v>
          </cell>
          <cell r="I4668" t="str">
            <v>M1</v>
          </cell>
          <cell r="J4668" t="str">
            <v>IE3</v>
          </cell>
          <cell r="K4668" t="str">
            <v>400/690</v>
          </cell>
          <cell r="L4668">
            <v>50</v>
          </cell>
          <cell r="M4668" t="str">
            <v>18,7/10,8</v>
          </cell>
          <cell r="N4668">
            <v>55</v>
          </cell>
          <cell r="O4668" t="str">
            <v>155(F)</v>
          </cell>
          <cell r="P4668" t="str">
            <v>270°</v>
          </cell>
          <cell r="Q4668" t="str">
            <v>TF</v>
          </cell>
          <cell r="R4668" t="str">
            <v>V(VE)</v>
          </cell>
          <cell r="S4668" t="str">
            <v>-</v>
          </cell>
          <cell r="T4668" t="str">
            <v>-</v>
          </cell>
          <cell r="U4668" t="str">
            <v>-</v>
          </cell>
          <cell r="V4668" t="str">
            <v>FC</v>
          </cell>
          <cell r="W4668" t="str">
            <v>-</v>
          </cell>
          <cell r="X4668" t="str">
            <v>Castrol Optigear Synthetic 800/220 PG220</v>
          </cell>
          <cell r="Y4668" t="str">
            <v>R97DRN132L4 /TF/V</v>
          </cell>
          <cell r="Z4668" t="str">
            <v>SEW</v>
          </cell>
          <cell r="AB4668" t="str">
            <v>-</v>
          </cell>
          <cell r="AF4668">
            <v>59</v>
          </cell>
          <cell r="AG4668" t="str">
            <v>DRN132L4</v>
          </cell>
          <cell r="AH4668" t="str">
            <v>R97-DRN132L4270-X#</v>
          </cell>
        </row>
        <row r="4669">
          <cell r="A4669" t="str">
            <v>MR004658</v>
          </cell>
          <cell r="B4669" t="str">
            <v>MR</v>
          </cell>
          <cell r="C4669">
            <v>11</v>
          </cell>
          <cell r="D4669">
            <v>40</v>
          </cell>
          <cell r="E4669" t="str">
            <v>R97</v>
          </cell>
          <cell r="F4669">
            <v>2650</v>
          </cell>
          <cell r="G4669">
            <v>37.130000000000003</v>
          </cell>
          <cell r="H4669">
            <v>1.1499999999999999</v>
          </cell>
          <cell r="I4669" t="str">
            <v>M1</v>
          </cell>
          <cell r="J4669" t="str">
            <v>IE3</v>
          </cell>
          <cell r="K4669" t="str">
            <v>400/690</v>
          </cell>
          <cell r="L4669">
            <v>50</v>
          </cell>
          <cell r="M4669" t="str">
            <v>21/12,2</v>
          </cell>
          <cell r="N4669">
            <v>55</v>
          </cell>
          <cell r="O4669" t="str">
            <v>155(F)</v>
          </cell>
          <cell r="P4669" t="str">
            <v>270°</v>
          </cell>
          <cell r="Q4669" t="str">
            <v>TF</v>
          </cell>
          <cell r="R4669" t="str">
            <v>V(VE)</v>
          </cell>
          <cell r="S4669" t="str">
            <v>-</v>
          </cell>
          <cell r="T4669" t="str">
            <v>-</v>
          </cell>
          <cell r="U4669" t="str">
            <v>-</v>
          </cell>
          <cell r="V4669" t="str">
            <v>FC</v>
          </cell>
          <cell r="W4669" t="str">
            <v>-</v>
          </cell>
          <cell r="X4669" t="str">
            <v>Castrol Optigear Synthetic 800/220 PG220</v>
          </cell>
          <cell r="Y4669" t="str">
            <v>R97DRN160M4 /TF/V</v>
          </cell>
          <cell r="Z4669" t="str">
            <v>SEW</v>
          </cell>
          <cell r="AB4669" t="str">
            <v>-</v>
          </cell>
          <cell r="AF4669">
            <v>40</v>
          </cell>
          <cell r="AG4669" t="str">
            <v>DRN160M4</v>
          </cell>
          <cell r="AH4669" t="str">
            <v>R97-DRN160M4270-X#</v>
          </cell>
        </row>
        <row r="4670">
          <cell r="A4670" t="str">
            <v>MR004659</v>
          </cell>
          <cell r="B4670" t="str">
            <v>MR</v>
          </cell>
          <cell r="C4670">
            <v>0.55000000000000004</v>
          </cell>
          <cell r="D4670">
            <v>3.9</v>
          </cell>
          <cell r="E4670" t="str">
            <v>KA77R37</v>
          </cell>
          <cell r="F4670">
            <v>1230</v>
          </cell>
          <cell r="G4670">
            <v>367</v>
          </cell>
          <cell r="H4670">
            <v>1.25</v>
          </cell>
          <cell r="I4670" t="str">
            <v>M3B</v>
          </cell>
          <cell r="J4670" t="str">
            <v>IE3</v>
          </cell>
          <cell r="K4670" t="str">
            <v>230/400</v>
          </cell>
          <cell r="L4670">
            <v>50</v>
          </cell>
          <cell r="M4670" t="str">
            <v>2,25/1,29</v>
          </cell>
          <cell r="N4670">
            <v>55</v>
          </cell>
          <cell r="O4670" t="str">
            <v>155(F)</v>
          </cell>
          <cell r="P4670" t="str">
            <v>0°</v>
          </cell>
          <cell r="Q4670" t="str">
            <v>TF</v>
          </cell>
          <cell r="R4670" t="str">
            <v>-</v>
          </cell>
          <cell r="S4670" t="str">
            <v>-</v>
          </cell>
          <cell r="T4670" t="str">
            <v>BEHF</v>
          </cell>
          <cell r="U4670" t="str">
            <v>T</v>
          </cell>
          <cell r="V4670" t="str">
            <v>D+R</v>
          </cell>
          <cell r="W4670" t="str">
            <v>-</v>
          </cell>
          <cell r="X4670" t="str">
            <v>Castrol Optigear Synthetic 800/220 PG220</v>
          </cell>
          <cell r="Y4670" t="str">
            <v>KA77R37/T DRN80MK4 /BEHF /TF</v>
          </cell>
          <cell r="Z4670" t="str">
            <v>SEW</v>
          </cell>
          <cell r="AB4670" t="str">
            <v>-</v>
          </cell>
          <cell r="AF4670">
            <v>3.9</v>
          </cell>
          <cell r="AG4670" t="str">
            <v>DRN80MK4</v>
          </cell>
          <cell r="AH4670" t="str">
            <v>KA77R37T-DRN80MK4B0-X</v>
          </cell>
        </row>
        <row r="4671">
          <cell r="A4671" t="str">
            <v>MR004660</v>
          </cell>
          <cell r="B4671" t="str">
            <v>MR</v>
          </cell>
          <cell r="C4671">
            <v>15</v>
          </cell>
          <cell r="D4671">
            <v>42</v>
          </cell>
          <cell r="E4671" t="str">
            <v>R107</v>
          </cell>
          <cell r="F4671">
            <v>3430</v>
          </cell>
          <cell r="G4671">
            <v>35.26</v>
          </cell>
          <cell r="H4671">
            <v>1.25</v>
          </cell>
          <cell r="I4671" t="str">
            <v>M1</v>
          </cell>
          <cell r="J4671" t="str">
            <v>IE3</v>
          </cell>
          <cell r="K4671" t="str">
            <v>400/690</v>
          </cell>
          <cell r="L4671">
            <v>50</v>
          </cell>
          <cell r="M4671" t="str">
            <v>29/16,7</v>
          </cell>
          <cell r="N4671">
            <v>55</v>
          </cell>
          <cell r="O4671" t="str">
            <v>155(F)</v>
          </cell>
          <cell r="P4671" t="str">
            <v>270°</v>
          </cell>
          <cell r="Q4671" t="str">
            <v>TF</v>
          </cell>
          <cell r="R4671" t="str">
            <v>-</v>
          </cell>
          <cell r="S4671" t="str">
            <v>-</v>
          </cell>
          <cell r="T4671" t="str">
            <v>-</v>
          </cell>
          <cell r="U4671" t="str">
            <v>-</v>
          </cell>
          <cell r="V4671" t="str">
            <v>D+R</v>
          </cell>
          <cell r="W4671" t="str">
            <v>-</v>
          </cell>
          <cell r="X4671" t="str">
            <v>Castrol Optigear Synthetic 800/220 PG220</v>
          </cell>
          <cell r="Y4671" t="str">
            <v>R107DRN160L4 /TF</v>
          </cell>
          <cell r="Z4671" t="str">
            <v>SEW</v>
          </cell>
          <cell r="AB4671" t="str">
            <v>-</v>
          </cell>
          <cell r="AF4671">
            <v>42</v>
          </cell>
          <cell r="AG4671" t="str">
            <v>DRN160L4</v>
          </cell>
          <cell r="AH4671" t="str">
            <v>R107-DRN160L4270-X</v>
          </cell>
        </row>
        <row r="4672">
          <cell r="A4672" t="str">
            <v>MR004661</v>
          </cell>
          <cell r="B4672" t="str">
            <v>MR</v>
          </cell>
          <cell r="C4672">
            <v>0.75</v>
          </cell>
          <cell r="D4672">
            <v>1.7</v>
          </cell>
          <cell r="E4672" t="str">
            <v>KA97R57</v>
          </cell>
          <cell r="F4672">
            <v>3940</v>
          </cell>
          <cell r="G4672">
            <v>855</v>
          </cell>
          <cell r="H4672">
            <v>1.1000000000000001</v>
          </cell>
          <cell r="I4672" t="str">
            <v>M3B</v>
          </cell>
          <cell r="J4672" t="str">
            <v>IE3</v>
          </cell>
          <cell r="K4672" t="str">
            <v>230/400</v>
          </cell>
          <cell r="L4672">
            <v>50</v>
          </cell>
          <cell r="M4672" t="str">
            <v>3,05/1,75</v>
          </cell>
          <cell r="N4672">
            <v>55</v>
          </cell>
          <cell r="O4672" t="str">
            <v>155(F)</v>
          </cell>
          <cell r="P4672" t="str">
            <v>0°</v>
          </cell>
          <cell r="Q4672" t="str">
            <v>TF</v>
          </cell>
          <cell r="R4672" t="str">
            <v>V(VE)</v>
          </cell>
          <cell r="S4672" t="str">
            <v>-</v>
          </cell>
          <cell r="T4672" t="str">
            <v>BEHF</v>
          </cell>
          <cell r="U4672" t="str">
            <v>T</v>
          </cell>
          <cell r="V4672" t="str">
            <v>FC+R</v>
          </cell>
          <cell r="W4672" t="str">
            <v>-</v>
          </cell>
          <cell r="X4672" t="str">
            <v>Castrol Optigear Synthetic 800/220 PG220</v>
          </cell>
          <cell r="Y4672" t="str">
            <v>KA97R57/T DRN80M4 /BEHF /TF/V</v>
          </cell>
          <cell r="Z4672" t="str">
            <v>SEW</v>
          </cell>
          <cell r="AB4672" t="str">
            <v>-</v>
          </cell>
          <cell r="AF4672">
            <v>1.7</v>
          </cell>
          <cell r="AG4672" t="str">
            <v>DRN80M4</v>
          </cell>
          <cell r="AH4672" t="str">
            <v>KA97R57T-DRN80M4B0-X#</v>
          </cell>
        </row>
        <row r="4673">
          <cell r="A4673" t="str">
            <v>MR004662</v>
          </cell>
          <cell r="B4673" t="str">
            <v>MR</v>
          </cell>
          <cell r="C4673">
            <v>0.25</v>
          </cell>
          <cell r="D4673">
            <v>1.5</v>
          </cell>
          <cell r="E4673" t="str">
            <v>KA77R37</v>
          </cell>
          <cell r="F4673">
            <v>1400</v>
          </cell>
          <cell r="G4673">
            <v>924</v>
          </cell>
          <cell r="H4673">
            <v>1.1000000000000001</v>
          </cell>
          <cell r="I4673" t="str">
            <v>M3B</v>
          </cell>
          <cell r="J4673" t="str">
            <v>IE3</v>
          </cell>
          <cell r="K4673" t="str">
            <v>230/400</v>
          </cell>
          <cell r="L4673">
            <v>50</v>
          </cell>
          <cell r="M4673" t="str">
            <v>1,26/0,72</v>
          </cell>
          <cell r="N4673">
            <v>55</v>
          </cell>
          <cell r="O4673" t="str">
            <v>155(F)</v>
          </cell>
          <cell r="P4673" t="str">
            <v>0°</v>
          </cell>
          <cell r="Q4673" t="str">
            <v>TF</v>
          </cell>
          <cell r="R4673" t="str">
            <v>V(VE)</v>
          </cell>
          <cell r="S4673" t="str">
            <v>-</v>
          </cell>
          <cell r="T4673" t="str">
            <v>BEHF</v>
          </cell>
          <cell r="U4673" t="str">
            <v>T</v>
          </cell>
          <cell r="V4673" t="str">
            <v>FC+R</v>
          </cell>
          <cell r="W4673" t="str">
            <v>-</v>
          </cell>
          <cell r="X4673" t="str">
            <v>Castrol Optigear Synthetic 800/220 PG220</v>
          </cell>
          <cell r="Y4673" t="str">
            <v>KA77R37/T DRN71MS4 /BEHF /TF/V</v>
          </cell>
          <cell r="Z4673" t="str">
            <v>SEW</v>
          </cell>
          <cell r="AB4673" t="str">
            <v>-</v>
          </cell>
          <cell r="AF4673">
            <v>1.5</v>
          </cell>
          <cell r="AG4673" t="str">
            <v>DRN71MS4</v>
          </cell>
          <cell r="AH4673" t="str">
            <v>KA77R37T-DRN71MS4B0-X#</v>
          </cell>
        </row>
        <row r="4674">
          <cell r="A4674" t="str">
            <v>MR004663</v>
          </cell>
          <cell r="B4674" t="str">
            <v>MR</v>
          </cell>
          <cell r="C4674">
            <v>1.5</v>
          </cell>
          <cell r="D4674">
            <v>3.8</v>
          </cell>
          <cell r="E4674" t="str">
            <v>KA97R57</v>
          </cell>
          <cell r="F4674">
            <v>3450</v>
          </cell>
          <cell r="G4674">
            <v>382</v>
          </cell>
          <cell r="H4674">
            <v>1.25</v>
          </cell>
          <cell r="I4674" t="str">
            <v>M3B</v>
          </cell>
          <cell r="J4674" t="str">
            <v>IE3</v>
          </cell>
          <cell r="K4674" t="str">
            <v>230/400</v>
          </cell>
          <cell r="L4674">
            <v>50</v>
          </cell>
          <cell r="M4674" t="str">
            <v>5,9/3,4</v>
          </cell>
          <cell r="N4674">
            <v>55</v>
          </cell>
          <cell r="O4674" t="str">
            <v>155(F)</v>
          </cell>
          <cell r="P4674" t="str">
            <v>0°</v>
          </cell>
          <cell r="Q4674" t="str">
            <v>TF</v>
          </cell>
          <cell r="R4674" t="str">
            <v>-</v>
          </cell>
          <cell r="S4674" t="str">
            <v>-</v>
          </cell>
          <cell r="T4674" t="str">
            <v>BEHF</v>
          </cell>
          <cell r="U4674" t="str">
            <v>T</v>
          </cell>
          <cell r="V4674" t="str">
            <v>D+R</v>
          </cell>
          <cell r="W4674" t="str">
            <v>-</v>
          </cell>
          <cell r="X4674" t="str">
            <v>Castrol Optigear Synthetic 800/220 PG221</v>
          </cell>
          <cell r="Y4674" t="str">
            <v>KA97R57/T DRN90L4 /BEHF /TF</v>
          </cell>
          <cell r="Z4674" t="str">
            <v>SEW</v>
          </cell>
          <cell r="AB4674" t="str">
            <v>-</v>
          </cell>
          <cell r="AF4674">
            <v>3.8</v>
          </cell>
          <cell r="AG4674" t="str">
            <v>DRN90L4</v>
          </cell>
          <cell r="AH4674" t="str">
            <v>KA97R57T-DRN90L4B0-X</v>
          </cell>
        </row>
        <row r="4675">
          <cell r="A4675" t="str">
            <v>MR004664</v>
          </cell>
          <cell r="B4675" t="str">
            <v>MR</v>
          </cell>
          <cell r="C4675">
            <v>11</v>
          </cell>
          <cell r="D4675">
            <v>59</v>
          </cell>
          <cell r="E4675" t="str">
            <v>R97</v>
          </cell>
          <cell r="F4675">
            <v>1790</v>
          </cell>
          <cell r="G4675">
            <v>25.03</v>
          </cell>
          <cell r="H4675">
            <v>1.6</v>
          </cell>
          <cell r="I4675" t="str">
            <v>M1</v>
          </cell>
          <cell r="J4675" t="str">
            <v>IE3</v>
          </cell>
          <cell r="K4675" t="str">
            <v>400/690</v>
          </cell>
          <cell r="L4675">
            <v>50</v>
          </cell>
          <cell r="M4675" t="str">
            <v>21/12,2</v>
          </cell>
          <cell r="N4675">
            <v>55</v>
          </cell>
          <cell r="O4675" t="str">
            <v>155(F)</v>
          </cell>
          <cell r="P4675" t="str">
            <v>270°</v>
          </cell>
          <cell r="Q4675" t="str">
            <v>TF</v>
          </cell>
          <cell r="R4675" t="str">
            <v>V(VE)</v>
          </cell>
          <cell r="S4675" t="str">
            <v>-</v>
          </cell>
          <cell r="T4675" t="str">
            <v>-</v>
          </cell>
          <cell r="U4675" t="str">
            <v>-</v>
          </cell>
          <cell r="V4675" t="str">
            <v>FC</v>
          </cell>
          <cell r="W4675" t="str">
            <v>-</v>
          </cell>
          <cell r="X4675" t="str">
            <v>Castrol Optigear Synthetic 800/220 PG221</v>
          </cell>
          <cell r="Y4675" t="str">
            <v>R97DRN160M4 /TF/V</v>
          </cell>
          <cell r="Z4675" t="str">
            <v>SEW</v>
          </cell>
          <cell r="AB4675" t="str">
            <v>-</v>
          </cell>
          <cell r="AF4675">
            <v>59</v>
          </cell>
          <cell r="AG4675" t="str">
            <v>DRN160M4</v>
          </cell>
          <cell r="AH4675" t="str">
            <v>R97-DRN160M4270-X#</v>
          </cell>
        </row>
        <row r="4676">
          <cell r="A4676" t="str">
            <v>MR004665</v>
          </cell>
          <cell r="B4676" t="str">
            <v>MR</v>
          </cell>
          <cell r="C4676">
            <v>0.37</v>
          </cell>
          <cell r="D4676">
            <v>3.4</v>
          </cell>
          <cell r="E4676" t="str">
            <v>KA67R37</v>
          </cell>
          <cell r="F4676">
            <v>920</v>
          </cell>
          <cell r="G4676">
            <v>420</v>
          </cell>
          <cell r="H4676">
            <v>0.9</v>
          </cell>
          <cell r="I4676" t="str">
            <v>M3B</v>
          </cell>
          <cell r="J4676" t="str">
            <v>IE3</v>
          </cell>
          <cell r="K4676" t="str">
            <v>230/400</v>
          </cell>
          <cell r="L4676">
            <v>50</v>
          </cell>
          <cell r="M4676" t="str">
            <v>1,78/1,02</v>
          </cell>
          <cell r="N4676">
            <v>55</v>
          </cell>
          <cell r="O4676" t="str">
            <v>155(F)</v>
          </cell>
          <cell r="P4676" t="str">
            <v>0°</v>
          </cell>
          <cell r="Q4676" t="str">
            <v>TF</v>
          </cell>
          <cell r="R4676" t="str">
            <v>-</v>
          </cell>
          <cell r="S4676" t="str">
            <v>-</v>
          </cell>
          <cell r="T4676" t="str">
            <v>BEHF</v>
          </cell>
          <cell r="U4676" t="str">
            <v>T</v>
          </cell>
          <cell r="V4676" t="str">
            <v>D+R</v>
          </cell>
          <cell r="W4676" t="str">
            <v>-</v>
          </cell>
          <cell r="X4676" t="str">
            <v>Castrol Optigear Synthetic 800/220 PG221</v>
          </cell>
          <cell r="Y4676" t="str">
            <v>KA67R37/T DRN71M4 /BEHF /TF</v>
          </cell>
          <cell r="Z4676" t="str">
            <v>SEW</v>
          </cell>
          <cell r="AB4676" t="str">
            <v>-</v>
          </cell>
          <cell r="AF4676">
            <v>3.4</v>
          </cell>
          <cell r="AG4676" t="str">
            <v>DRN71M4</v>
          </cell>
          <cell r="AH4676" t="str">
            <v>KA67R37T-DRN71M4B0-X</v>
          </cell>
        </row>
        <row r="4677">
          <cell r="A4677" t="str">
            <v>MR004666</v>
          </cell>
          <cell r="B4677" t="str">
            <v>MR</v>
          </cell>
          <cell r="C4677">
            <v>4</v>
          </cell>
          <cell r="D4677">
            <v>63</v>
          </cell>
          <cell r="E4677" t="str">
            <v>R77</v>
          </cell>
          <cell r="F4677">
            <v>610</v>
          </cell>
          <cell r="G4677">
            <v>23.37</v>
          </cell>
          <cell r="H4677">
            <v>1.35</v>
          </cell>
          <cell r="I4677" t="str">
            <v>M1</v>
          </cell>
          <cell r="J4677" t="str">
            <v>IE3</v>
          </cell>
          <cell r="K4677" t="str">
            <v>230/400</v>
          </cell>
          <cell r="L4677">
            <v>50</v>
          </cell>
          <cell r="M4677" t="str">
            <v>13,8/7,9</v>
          </cell>
          <cell r="N4677">
            <v>55</v>
          </cell>
          <cell r="O4677" t="str">
            <v>155(F)</v>
          </cell>
          <cell r="P4677" t="str">
            <v>270°</v>
          </cell>
          <cell r="Q4677" t="str">
            <v>TF</v>
          </cell>
          <cell r="R4677" t="str">
            <v>-</v>
          </cell>
          <cell r="S4677" t="str">
            <v>-</v>
          </cell>
          <cell r="T4677" t="str">
            <v>-</v>
          </cell>
          <cell r="U4677" t="str">
            <v>-</v>
          </cell>
          <cell r="V4677" t="str">
            <v>D+R</v>
          </cell>
          <cell r="W4677" t="str">
            <v>-</v>
          </cell>
          <cell r="X4677" t="str">
            <v>Castrol Optigear Synthetic 800/220 PG221</v>
          </cell>
          <cell r="Y4677" t="str">
            <v>R77DRN112M4 /TF</v>
          </cell>
          <cell r="Z4677" t="str">
            <v>SEW</v>
          </cell>
          <cell r="AB4677" t="str">
            <v>-</v>
          </cell>
          <cell r="AF4677">
            <v>63</v>
          </cell>
          <cell r="AG4677" t="str">
            <v>DRN112M4</v>
          </cell>
          <cell r="AH4677" t="str">
            <v>R77-DRN112M4270-X</v>
          </cell>
        </row>
        <row r="4678">
          <cell r="A4678" t="str">
            <v>MR004667</v>
          </cell>
          <cell r="B4678" t="str">
            <v>MR</v>
          </cell>
          <cell r="C4678">
            <v>0.75</v>
          </cell>
          <cell r="D4678">
            <v>6.4</v>
          </cell>
          <cell r="E4678" t="str">
            <v>FA77</v>
          </cell>
          <cell r="F4678">
            <v>1120</v>
          </cell>
          <cell r="G4678">
            <v>225.79</v>
          </cell>
          <cell r="H4678">
            <v>1.35</v>
          </cell>
          <cell r="I4678" t="str">
            <v>From M1 to M4 - 15°</v>
          </cell>
          <cell r="J4678" t="str">
            <v>IE3</v>
          </cell>
          <cell r="K4678" t="str">
            <v>230/400</v>
          </cell>
          <cell r="L4678">
            <v>50</v>
          </cell>
          <cell r="M4678" t="str">
            <v>3,05/1,75</v>
          </cell>
          <cell r="N4678">
            <v>55</v>
          </cell>
          <cell r="O4678" t="str">
            <v>155(F)</v>
          </cell>
          <cell r="P4678" t="str">
            <v>270°</v>
          </cell>
          <cell r="Q4678" t="str">
            <v>-</v>
          </cell>
          <cell r="R4678" t="str">
            <v>-</v>
          </cell>
          <cell r="S4678" t="str">
            <v>-</v>
          </cell>
          <cell r="T4678" t="str">
            <v>-</v>
          </cell>
          <cell r="U4678" t="str">
            <v>G</v>
          </cell>
          <cell r="V4678" t="str">
            <v>D</v>
          </cell>
          <cell r="W4678" t="str">
            <v>-</v>
          </cell>
          <cell r="X4678" t="str">
            <v>CLP 220 (-15/+40°C)</v>
          </cell>
          <cell r="Y4678" t="str">
            <v>FA77/G DRN80M4</v>
          </cell>
          <cell r="Z4678" t="str">
            <v>SEW</v>
          </cell>
          <cell r="AB4678" t="str">
            <v>-</v>
          </cell>
          <cell r="AF4678">
            <v>6.4</v>
          </cell>
          <cell r="AG4678" t="str">
            <v>DRN80M4</v>
          </cell>
          <cell r="AH4678" t="str">
            <v>FA77G-DRN80M4270-X</v>
          </cell>
        </row>
        <row r="4679">
          <cell r="A4679" t="str">
            <v>MR004668</v>
          </cell>
          <cell r="B4679" t="str">
            <v>MR</v>
          </cell>
          <cell r="C4679">
            <v>22</v>
          </cell>
          <cell r="D4679">
            <v>39</v>
          </cell>
          <cell r="E4679" t="str">
            <v>R137</v>
          </cell>
          <cell r="F4679">
            <v>5360</v>
          </cell>
          <cell r="G4679">
            <v>37.65</v>
          </cell>
          <cell r="H4679">
            <v>1.35</v>
          </cell>
          <cell r="I4679" t="str">
            <v>M1</v>
          </cell>
          <cell r="J4679" t="str">
            <v>IE3</v>
          </cell>
          <cell r="K4679" t="str">
            <v>230/400</v>
          </cell>
          <cell r="L4679">
            <v>50</v>
          </cell>
          <cell r="M4679" t="str">
            <v>67/38,5</v>
          </cell>
          <cell r="N4679">
            <v>65</v>
          </cell>
          <cell r="O4679" t="str">
            <v>155(F)</v>
          </cell>
          <cell r="P4679" t="str">
            <v>270°</v>
          </cell>
          <cell r="Q4679" t="str">
            <v>TF</v>
          </cell>
          <cell r="R4679" t="str">
            <v>-</v>
          </cell>
          <cell r="S4679" t="str">
            <v>-</v>
          </cell>
          <cell r="T4679" t="str">
            <v>-</v>
          </cell>
          <cell r="U4679" t="str">
            <v>-</v>
          </cell>
          <cell r="V4679" t="str">
            <v>D</v>
          </cell>
          <cell r="W4679" t="str">
            <v>-</v>
          </cell>
          <cell r="X4679" t="str">
            <v>CLP HC 150 (-30/+50°C)</v>
          </cell>
          <cell r="Y4679" t="str">
            <v>R137/II2GDEDRN180L4/3GD/TF/AL</v>
          </cell>
          <cell r="Z4679" t="str">
            <v>SEW</v>
          </cell>
          <cell r="AB4679" t="str">
            <v>ATEX22</v>
          </cell>
          <cell r="AF4679">
            <v>39</v>
          </cell>
          <cell r="AG4679" t="str">
            <v>EDRN180L4</v>
          </cell>
          <cell r="AH4679" t="str">
            <v>R137-EDRN180L4270-X</v>
          </cell>
        </row>
        <row r="4680">
          <cell r="A4680" t="str">
            <v>MR004669</v>
          </cell>
          <cell r="B4680" t="str">
            <v>MR</v>
          </cell>
          <cell r="C4680">
            <v>11</v>
          </cell>
          <cell r="D4680">
            <v>27</v>
          </cell>
          <cell r="E4680" t="str">
            <v>R127</v>
          </cell>
          <cell r="F4680">
            <v>3930</v>
          </cell>
          <cell r="G4680">
            <v>55.09</v>
          </cell>
          <cell r="H4680">
            <v>1.3</v>
          </cell>
          <cell r="I4680" t="str">
            <v>M1</v>
          </cell>
          <cell r="J4680" t="str">
            <v>IE3</v>
          </cell>
          <cell r="K4680" t="str">
            <v>230/400</v>
          </cell>
          <cell r="L4680">
            <v>50</v>
          </cell>
          <cell r="M4680" t="str">
            <v>36,5/21</v>
          </cell>
          <cell r="N4680">
            <v>65</v>
          </cell>
          <cell r="O4680" t="str">
            <v>155(F)</v>
          </cell>
          <cell r="P4680" t="str">
            <v>270°</v>
          </cell>
          <cell r="Q4680" t="str">
            <v>TF</v>
          </cell>
          <cell r="R4680" t="str">
            <v>V(VE)</v>
          </cell>
          <cell r="S4680" t="str">
            <v>-</v>
          </cell>
          <cell r="T4680" t="str">
            <v>-</v>
          </cell>
          <cell r="U4680" t="str">
            <v>-</v>
          </cell>
          <cell r="V4680" t="str">
            <v>FC</v>
          </cell>
          <cell r="W4680" t="str">
            <v>-</v>
          </cell>
          <cell r="X4680" t="str">
            <v>CLP HC 150 (-30/+50°C)</v>
          </cell>
          <cell r="Y4680" t="str">
            <v>R127/II2GD EDRN160M4/3GD/TF/VE</v>
          </cell>
          <cell r="Z4680" t="str">
            <v>SEW</v>
          </cell>
          <cell r="AB4680" t="str">
            <v>ATEX22</v>
          </cell>
          <cell r="AF4680">
            <v>27</v>
          </cell>
          <cell r="AG4680" t="str">
            <v>EDRN160M4</v>
          </cell>
          <cell r="AH4680" t="str">
            <v>R127-EDRN160M4270-X#</v>
          </cell>
        </row>
        <row r="4681">
          <cell r="A4681" t="str">
            <v>MR004670</v>
          </cell>
          <cell r="B4681" t="str">
            <v>MR</v>
          </cell>
          <cell r="C4681">
            <v>22</v>
          </cell>
          <cell r="D4681">
            <v>74</v>
          </cell>
          <cell r="E4681" t="str">
            <v>R107</v>
          </cell>
          <cell r="F4681">
            <v>2850</v>
          </cell>
          <cell r="G4681">
            <v>20.07</v>
          </cell>
          <cell r="H4681">
            <v>1.5</v>
          </cell>
          <cell r="I4681" t="str">
            <v>M1</v>
          </cell>
          <cell r="J4681" t="str">
            <v>IE3</v>
          </cell>
          <cell r="K4681" t="str">
            <v>230/400</v>
          </cell>
          <cell r="L4681">
            <v>50</v>
          </cell>
          <cell r="M4681" t="str">
            <v>67/38,5</v>
          </cell>
          <cell r="N4681">
            <v>65</v>
          </cell>
          <cell r="O4681" t="str">
            <v>155(F)</v>
          </cell>
          <cell r="P4681" t="str">
            <v>270°</v>
          </cell>
          <cell r="Q4681" t="str">
            <v>TF</v>
          </cell>
          <cell r="R4681" t="str">
            <v>-</v>
          </cell>
          <cell r="S4681" t="str">
            <v>-</v>
          </cell>
          <cell r="T4681" t="str">
            <v>-</v>
          </cell>
          <cell r="U4681" t="str">
            <v>-</v>
          </cell>
          <cell r="V4681" t="str">
            <v>D</v>
          </cell>
          <cell r="W4681" t="str">
            <v>-</v>
          </cell>
          <cell r="X4681" t="str">
            <v>CLP HC 150 (-30/+50°C)</v>
          </cell>
          <cell r="Y4681" t="str">
            <v>R107/II2GDEDRN180L4/3GD/TF/AL</v>
          </cell>
          <cell r="Z4681" t="str">
            <v>SEW</v>
          </cell>
          <cell r="AB4681" t="str">
            <v>ATEX22</v>
          </cell>
          <cell r="AF4681">
            <v>74</v>
          </cell>
          <cell r="AG4681" t="str">
            <v>EDRN180L4</v>
          </cell>
          <cell r="AH4681" t="str">
            <v>R107-EDRN180L4270-X</v>
          </cell>
        </row>
        <row r="4682">
          <cell r="A4682" t="str">
            <v>MR004671</v>
          </cell>
          <cell r="B4682" t="str">
            <v>MR</v>
          </cell>
          <cell r="C4682">
            <v>37</v>
          </cell>
          <cell r="D4682">
            <v>78</v>
          </cell>
          <cell r="E4682" t="str">
            <v>R127</v>
          </cell>
          <cell r="F4682">
            <v>4540</v>
          </cell>
          <cell r="G4682">
            <v>19.04</v>
          </cell>
          <cell r="H4682">
            <v>1.1499999999999999</v>
          </cell>
          <cell r="I4682" t="str">
            <v>M4</v>
          </cell>
          <cell r="J4682" t="str">
            <v>IE3</v>
          </cell>
          <cell r="K4682" t="str">
            <v>230/400</v>
          </cell>
          <cell r="L4682">
            <v>50</v>
          </cell>
          <cell r="M4682" t="str">
            <v>111/64</v>
          </cell>
          <cell r="N4682">
            <v>65</v>
          </cell>
          <cell r="O4682" t="str">
            <v>155(F)</v>
          </cell>
          <cell r="P4682" t="str">
            <v>270°</v>
          </cell>
          <cell r="Q4682" t="str">
            <v>TF</v>
          </cell>
          <cell r="R4682" t="str">
            <v>-</v>
          </cell>
          <cell r="S4682" t="str">
            <v>-</v>
          </cell>
          <cell r="T4682" t="str">
            <v>-</v>
          </cell>
          <cell r="U4682" t="str">
            <v>-</v>
          </cell>
          <cell r="V4682" t="str">
            <v>D</v>
          </cell>
          <cell r="W4682" t="str">
            <v>-</v>
          </cell>
          <cell r="X4682" t="str">
            <v>CLP HC 150 (-30/+50°C)</v>
          </cell>
          <cell r="Y4682" t="str">
            <v>R127/II2GDEDRN225S4/3GD/TF/AL/C</v>
          </cell>
          <cell r="Z4682" t="str">
            <v>SEW</v>
          </cell>
          <cell r="AB4682" t="str">
            <v>ATEX22</v>
          </cell>
          <cell r="AF4682">
            <v>78</v>
          </cell>
          <cell r="AG4682" t="str">
            <v>EDRN225S4</v>
          </cell>
          <cell r="AH4682" t="str">
            <v>R127-EDRN225S4270-X</v>
          </cell>
        </row>
        <row r="4683">
          <cell r="A4683" t="str">
            <v>MR004672</v>
          </cell>
          <cell r="B4683" t="str">
            <v>MR</v>
          </cell>
          <cell r="C4683">
            <v>9.1999999999999993</v>
          </cell>
          <cell r="D4683">
            <v>22</v>
          </cell>
          <cell r="E4683" t="str">
            <v>R107</v>
          </cell>
          <cell r="F4683">
            <v>3920</v>
          </cell>
          <cell r="G4683">
            <v>65.599999999999994</v>
          </cell>
          <cell r="H4683">
            <v>1.05</v>
          </cell>
          <cell r="I4683" t="str">
            <v>M1</v>
          </cell>
          <cell r="J4683" t="str">
            <v>IE3</v>
          </cell>
          <cell r="K4683" t="str">
            <v>230/400</v>
          </cell>
          <cell r="L4683">
            <v>50</v>
          </cell>
          <cell r="M4683" t="str">
            <v>32,5/18,7</v>
          </cell>
          <cell r="N4683">
            <v>65</v>
          </cell>
          <cell r="O4683" t="str">
            <v>155(F)</v>
          </cell>
          <cell r="P4683" t="str">
            <v>270°</v>
          </cell>
          <cell r="Q4683" t="str">
            <v>TF</v>
          </cell>
          <cell r="R4683" t="str">
            <v>V(VE)</v>
          </cell>
          <cell r="S4683" t="str">
            <v>-</v>
          </cell>
          <cell r="T4683" t="str">
            <v>-</v>
          </cell>
          <cell r="U4683" t="str">
            <v>-</v>
          </cell>
          <cell r="V4683" t="str">
            <v>FC</v>
          </cell>
          <cell r="W4683" t="str">
            <v>-</v>
          </cell>
          <cell r="X4683" t="str">
            <v>CLP HC 150 (-30/+50°C)</v>
          </cell>
          <cell r="Y4683" t="str">
            <v>R107/II2GD EDRN132L4/3GD/TF/VE</v>
          </cell>
          <cell r="Z4683" t="str">
            <v>SEW</v>
          </cell>
          <cell r="AB4683" t="str">
            <v>ATEX22</v>
          </cell>
          <cell r="AF4683">
            <v>22</v>
          </cell>
          <cell r="AG4683" t="str">
            <v>EDRN132L4</v>
          </cell>
          <cell r="AH4683" t="str">
            <v>R107-EDRN132L4270-X#</v>
          </cell>
        </row>
        <row r="4684">
          <cell r="A4684" t="str">
            <v>MR004673</v>
          </cell>
          <cell r="B4684" t="str">
            <v>MR</v>
          </cell>
          <cell r="C4684">
            <v>5.5</v>
          </cell>
          <cell r="D4684">
            <v>20</v>
          </cell>
          <cell r="E4684" t="str">
            <v>R97</v>
          </cell>
          <cell r="F4684">
            <v>2590</v>
          </cell>
          <cell r="G4684">
            <v>72.17</v>
          </cell>
          <cell r="H4684">
            <v>1.05</v>
          </cell>
          <cell r="I4684" t="str">
            <v>From M1 to M2 - 5°</v>
          </cell>
          <cell r="J4684" t="str">
            <v>IE3</v>
          </cell>
          <cell r="K4684" t="str">
            <v>230/400</v>
          </cell>
          <cell r="L4684">
            <v>50</v>
          </cell>
          <cell r="M4684" t="str">
            <v>18,2/10,5</v>
          </cell>
          <cell r="N4684">
            <v>65</v>
          </cell>
          <cell r="O4684" t="str">
            <v>155(F)</v>
          </cell>
          <cell r="P4684" t="str">
            <v>270°</v>
          </cell>
          <cell r="Q4684" t="str">
            <v>TF</v>
          </cell>
          <cell r="R4684" t="str">
            <v>V(VE)</v>
          </cell>
          <cell r="S4684" t="str">
            <v>-</v>
          </cell>
          <cell r="T4684" t="str">
            <v>-</v>
          </cell>
          <cell r="U4684" t="str">
            <v>-</v>
          </cell>
          <cell r="V4684" t="str">
            <v>FC</v>
          </cell>
          <cell r="W4684" t="str">
            <v>-</v>
          </cell>
          <cell r="X4684" t="str">
            <v>CLP HC 150 (-30/+50°C)</v>
          </cell>
          <cell r="Y4684" t="str">
            <v>R97/II2GD EDRN132S4/3GD/KCC/TF/VE</v>
          </cell>
          <cell r="Z4684" t="str">
            <v>SEW</v>
          </cell>
          <cell r="AB4684" t="str">
            <v>ATEX22</v>
          </cell>
          <cell r="AF4684">
            <v>20</v>
          </cell>
          <cell r="AG4684" t="str">
            <v>EDRN132S4</v>
          </cell>
          <cell r="AH4684" t="str">
            <v>R97-EDRN132S4270-X#</v>
          </cell>
        </row>
        <row r="4685">
          <cell r="A4685" t="str">
            <v>MR004674</v>
          </cell>
          <cell r="B4685" t="str">
            <v>MR</v>
          </cell>
          <cell r="C4685">
            <v>9.1999999999999993</v>
          </cell>
          <cell r="D4685">
            <v>66</v>
          </cell>
          <cell r="E4685" t="str">
            <v>R97</v>
          </cell>
          <cell r="F4685">
            <v>1340</v>
          </cell>
          <cell r="G4685">
            <v>22.37</v>
          </cell>
          <cell r="H4685">
            <v>1.6</v>
          </cell>
          <cell r="I4685" t="str">
            <v>M1</v>
          </cell>
          <cell r="J4685" t="str">
            <v>IE3</v>
          </cell>
          <cell r="K4685" t="str">
            <v>230/400</v>
          </cell>
          <cell r="L4685">
            <v>50</v>
          </cell>
          <cell r="M4685" t="str">
            <v>32,5/18,7</v>
          </cell>
          <cell r="N4685">
            <v>65</v>
          </cell>
          <cell r="O4685" t="str">
            <v>155(F)</v>
          </cell>
          <cell r="P4685" t="str">
            <v>270°</v>
          </cell>
          <cell r="Q4685" t="str">
            <v>TF</v>
          </cell>
          <cell r="R4685" t="str">
            <v>-</v>
          </cell>
          <cell r="S4685" t="str">
            <v>-</v>
          </cell>
          <cell r="T4685" t="str">
            <v>-</v>
          </cell>
          <cell r="U4685" t="str">
            <v>-</v>
          </cell>
          <cell r="V4685" t="str">
            <v>D</v>
          </cell>
          <cell r="W4685" t="str">
            <v>-</v>
          </cell>
          <cell r="X4685" t="str">
            <v>CLP HC 150 (-30/+50°C)</v>
          </cell>
          <cell r="Y4685" t="str">
            <v>R97/II2GDEDRN132L4/3GD/TF/AL</v>
          </cell>
          <cell r="Z4685" t="str">
            <v>SEW</v>
          </cell>
          <cell r="AB4685" t="str">
            <v>ATEX22</v>
          </cell>
          <cell r="AF4685">
            <v>66</v>
          </cell>
          <cell r="AG4685" t="str">
            <v>EDRN132L4</v>
          </cell>
          <cell r="AH4685" t="str">
            <v>R97-EDRN132L4270-X</v>
          </cell>
        </row>
        <row r="4686">
          <cell r="A4686" t="str">
            <v>MR004675</v>
          </cell>
          <cell r="B4686" t="str">
            <v>MR</v>
          </cell>
          <cell r="C4686">
            <v>22</v>
          </cell>
          <cell r="D4686">
            <v>81</v>
          </cell>
          <cell r="E4686" t="str">
            <v>R107</v>
          </cell>
          <cell r="F4686">
            <v>2590</v>
          </cell>
          <cell r="G4686">
            <v>18.21</v>
          </cell>
          <cell r="H4686">
            <v>1.65</v>
          </cell>
          <cell r="I4686" t="str">
            <v>M4</v>
          </cell>
          <cell r="J4686" t="str">
            <v>IE3</v>
          </cell>
          <cell r="K4686" t="str">
            <v>230/400</v>
          </cell>
          <cell r="L4686">
            <v>50</v>
          </cell>
          <cell r="M4686" t="str">
            <v>67/38,5</v>
          </cell>
          <cell r="N4686">
            <v>65</v>
          </cell>
          <cell r="O4686" t="str">
            <v>155(F)</v>
          </cell>
          <cell r="P4686" t="str">
            <v>270°</v>
          </cell>
          <cell r="Q4686" t="str">
            <v>TF</v>
          </cell>
          <cell r="R4686" t="str">
            <v>-</v>
          </cell>
          <cell r="S4686" t="str">
            <v>-</v>
          </cell>
          <cell r="T4686" t="str">
            <v>-</v>
          </cell>
          <cell r="U4686" t="str">
            <v>-</v>
          </cell>
          <cell r="V4686" t="str">
            <v>D</v>
          </cell>
          <cell r="W4686" t="str">
            <v>-</v>
          </cell>
          <cell r="X4686" t="str">
            <v>CLP HC 150 (-30/+50°C)</v>
          </cell>
          <cell r="Y4686" t="str">
            <v>R107/II2GDEDRN180L4/3GD/TF/AL/C</v>
          </cell>
          <cell r="Z4686" t="str">
            <v>SEW</v>
          </cell>
          <cell r="AB4686" t="str">
            <v>ATEX22</v>
          </cell>
          <cell r="AF4686">
            <v>81</v>
          </cell>
          <cell r="AG4686" t="str">
            <v>EDRN180L4</v>
          </cell>
          <cell r="AH4686" t="str">
            <v>R107-EDRN180L4270-X</v>
          </cell>
        </row>
        <row r="4687">
          <cell r="A4687" t="str">
            <v>MR004676</v>
          </cell>
          <cell r="B4687" t="str">
            <v>MR</v>
          </cell>
          <cell r="C4687">
            <v>7.5</v>
          </cell>
          <cell r="D4687">
            <v>63</v>
          </cell>
          <cell r="E4687" t="str">
            <v>R87</v>
          </cell>
          <cell r="F4687">
            <v>1140</v>
          </cell>
          <cell r="G4687">
            <v>23.4</v>
          </cell>
          <cell r="H4687">
            <v>1.05</v>
          </cell>
          <cell r="I4687" t="str">
            <v>M1</v>
          </cell>
          <cell r="J4687" t="str">
            <v>IE3</v>
          </cell>
          <cell r="K4687" t="str">
            <v>230/400</v>
          </cell>
          <cell r="L4687">
            <v>50</v>
          </cell>
          <cell r="M4687" t="str">
            <v>26,5/15,2</v>
          </cell>
          <cell r="N4687">
            <v>65</v>
          </cell>
          <cell r="O4687" t="str">
            <v>155(F)</v>
          </cell>
          <cell r="P4687" t="str">
            <v>270°</v>
          </cell>
          <cell r="Q4687" t="str">
            <v>TF</v>
          </cell>
          <cell r="R4687" t="str">
            <v>-</v>
          </cell>
          <cell r="S4687" t="str">
            <v>-</v>
          </cell>
          <cell r="T4687" t="str">
            <v>-</v>
          </cell>
          <cell r="U4687" t="str">
            <v>-</v>
          </cell>
          <cell r="V4687" t="str">
            <v>D</v>
          </cell>
          <cell r="W4687" t="str">
            <v>-</v>
          </cell>
          <cell r="X4687" t="str">
            <v>CLP HC 150 (-30/+50°C)</v>
          </cell>
          <cell r="Y4687" t="str">
            <v>R87/II2GDEDRN132M4/3GD/TF/AL</v>
          </cell>
          <cell r="Z4687" t="str">
            <v>SEW</v>
          </cell>
          <cell r="AB4687" t="str">
            <v>ATEX22</v>
          </cell>
          <cell r="AF4687">
            <v>63</v>
          </cell>
          <cell r="AG4687" t="str">
            <v>EDRN132M4</v>
          </cell>
          <cell r="AH4687" t="str">
            <v>R87-EDRN132M4270-X</v>
          </cell>
        </row>
        <row r="4688">
          <cell r="A4688" t="str">
            <v>MR004677</v>
          </cell>
          <cell r="B4688" t="str">
            <v>MR</v>
          </cell>
          <cell r="C4688">
            <v>7.5</v>
          </cell>
          <cell r="D4688">
            <v>63</v>
          </cell>
          <cell r="E4688" t="str">
            <v>R87</v>
          </cell>
          <cell r="F4688">
            <v>1140</v>
          </cell>
          <cell r="G4688">
            <v>23.4</v>
          </cell>
          <cell r="H4688">
            <v>1.05</v>
          </cell>
          <cell r="I4688" t="str">
            <v>From M1 to M2 - 25°</v>
          </cell>
          <cell r="J4688" t="str">
            <v>IE3</v>
          </cell>
          <cell r="K4688" t="str">
            <v>230/400</v>
          </cell>
          <cell r="L4688">
            <v>50</v>
          </cell>
          <cell r="M4688" t="str">
            <v>26,5/15,2</v>
          </cell>
          <cell r="N4688">
            <v>65</v>
          </cell>
          <cell r="O4688" t="str">
            <v>155(F)</v>
          </cell>
          <cell r="P4688" t="str">
            <v>270°</v>
          </cell>
          <cell r="Q4688" t="str">
            <v>TF</v>
          </cell>
          <cell r="R4688" t="str">
            <v>-</v>
          </cell>
          <cell r="S4688" t="str">
            <v>-</v>
          </cell>
          <cell r="T4688" t="str">
            <v>-</v>
          </cell>
          <cell r="U4688" t="str">
            <v>-</v>
          </cell>
          <cell r="V4688" t="str">
            <v>D</v>
          </cell>
          <cell r="W4688" t="str">
            <v>-</v>
          </cell>
          <cell r="X4688" t="str">
            <v>CLP HC 150 (-30/+50°C)</v>
          </cell>
          <cell r="Y4688" t="str">
            <v>R87/II2GDEDRN132M4/3GD/TF/AL</v>
          </cell>
          <cell r="Z4688" t="str">
            <v>SEW</v>
          </cell>
          <cell r="AB4688" t="str">
            <v>ATEX22</v>
          </cell>
          <cell r="AF4688">
            <v>63</v>
          </cell>
          <cell r="AG4688" t="str">
            <v>EDRN132M4</v>
          </cell>
          <cell r="AH4688" t="str">
            <v>R87-EDRN132M4270-X</v>
          </cell>
        </row>
        <row r="4689">
          <cell r="A4689" t="str">
            <v>MR004678</v>
          </cell>
          <cell r="B4689" t="str">
            <v>MR</v>
          </cell>
          <cell r="C4689">
            <v>11</v>
          </cell>
          <cell r="D4689">
            <v>66</v>
          </cell>
          <cell r="E4689" t="str">
            <v>R97</v>
          </cell>
          <cell r="F4689">
            <v>1600</v>
          </cell>
          <cell r="G4689">
            <v>22.37</v>
          </cell>
          <cell r="H4689">
            <v>1.35</v>
          </cell>
          <cell r="I4689" t="str">
            <v>From M1 to M2 - 5°</v>
          </cell>
          <cell r="J4689" t="str">
            <v>IE3</v>
          </cell>
          <cell r="K4689" t="str">
            <v>230/400</v>
          </cell>
          <cell r="L4689">
            <v>50</v>
          </cell>
          <cell r="M4689" t="str">
            <v>36,5/21</v>
          </cell>
          <cell r="N4689">
            <v>65</v>
          </cell>
          <cell r="O4689" t="str">
            <v>155(F)</v>
          </cell>
          <cell r="P4689" t="str">
            <v>270°</v>
          </cell>
          <cell r="Q4689" t="str">
            <v>TF</v>
          </cell>
          <cell r="R4689" t="str">
            <v>-</v>
          </cell>
          <cell r="S4689" t="str">
            <v>-</v>
          </cell>
          <cell r="T4689" t="str">
            <v>-</v>
          </cell>
          <cell r="U4689" t="str">
            <v>-</v>
          </cell>
          <cell r="V4689" t="str">
            <v>D</v>
          </cell>
          <cell r="W4689" t="str">
            <v>-</v>
          </cell>
          <cell r="X4689" t="str">
            <v>CLP HC 150 (-30/+50°C)</v>
          </cell>
          <cell r="Y4689" t="str">
            <v>R97/II2GDEDRN160M4/3GD/TF/AL</v>
          </cell>
          <cell r="Z4689" t="str">
            <v>SEW</v>
          </cell>
          <cell r="AB4689" t="str">
            <v>ATEX22</v>
          </cell>
          <cell r="AF4689">
            <v>66</v>
          </cell>
          <cell r="AG4689" t="str">
            <v>EDRN160M4</v>
          </cell>
          <cell r="AH4689" t="str">
            <v>R97-EDRN160M4270-X</v>
          </cell>
        </row>
        <row r="4690">
          <cell r="A4690" t="str">
            <v>MR004679</v>
          </cell>
          <cell r="B4690" t="str">
            <v>MR</v>
          </cell>
          <cell r="C4690">
            <v>11</v>
          </cell>
          <cell r="D4690">
            <v>14</v>
          </cell>
          <cell r="E4690" t="str">
            <v>R137</v>
          </cell>
          <cell r="F4690">
            <v>7350</v>
          </cell>
          <cell r="G4690">
            <v>103.2</v>
          </cell>
          <cell r="H4690">
            <v>1.1000000000000001</v>
          </cell>
          <cell r="I4690" t="str">
            <v>M1</v>
          </cell>
          <cell r="J4690" t="str">
            <v>IE3</v>
          </cell>
          <cell r="K4690" t="str">
            <v>230/400</v>
          </cell>
          <cell r="L4690">
            <v>50</v>
          </cell>
          <cell r="M4690" t="str">
            <v>36,5/21</v>
          </cell>
          <cell r="N4690">
            <v>55</v>
          </cell>
          <cell r="O4690" t="str">
            <v>155(F)</v>
          </cell>
          <cell r="P4690" t="str">
            <v>270°</v>
          </cell>
          <cell r="Q4690" t="str">
            <v>TF</v>
          </cell>
          <cell r="R4690" t="str">
            <v>V(VE)</v>
          </cell>
          <cell r="S4690" t="str">
            <v>-</v>
          </cell>
          <cell r="T4690" t="str">
            <v>-</v>
          </cell>
          <cell r="U4690" t="str">
            <v>-</v>
          </cell>
          <cell r="V4690" t="str">
            <v>FC</v>
          </cell>
          <cell r="W4690" t="str">
            <v>-</v>
          </cell>
          <cell r="X4690" t="str">
            <v>CLP 220 (-15/+40°C)</v>
          </cell>
          <cell r="Y4690" t="str">
            <v>R137DRN160M4 /TF/V</v>
          </cell>
          <cell r="Z4690" t="str">
            <v>SEW</v>
          </cell>
          <cell r="AB4690" t="str">
            <v>-</v>
          </cell>
          <cell r="AF4690">
            <v>14</v>
          </cell>
          <cell r="AG4690" t="str">
            <v>DRN160M4</v>
          </cell>
          <cell r="AH4690" t="str">
            <v>R137-DRN160M4270-X#</v>
          </cell>
        </row>
        <row r="4691">
          <cell r="A4691" t="str">
            <v>MR004680</v>
          </cell>
          <cell r="B4691" t="str">
            <v>MR</v>
          </cell>
          <cell r="C4691">
            <v>11</v>
          </cell>
          <cell r="D4691">
            <v>17</v>
          </cell>
          <cell r="E4691" t="str">
            <v>R137</v>
          </cell>
          <cell r="F4691">
            <v>6320</v>
          </cell>
          <cell r="G4691">
            <v>88.7</v>
          </cell>
          <cell r="H4691">
            <v>1.25</v>
          </cell>
          <cell r="I4691" t="str">
            <v>M1</v>
          </cell>
          <cell r="J4691" t="str">
            <v>IE3</v>
          </cell>
          <cell r="K4691" t="str">
            <v>230/400</v>
          </cell>
          <cell r="L4691">
            <v>50</v>
          </cell>
          <cell r="M4691" t="str">
            <v>36,5/21</v>
          </cell>
          <cell r="N4691">
            <v>55</v>
          </cell>
          <cell r="O4691" t="str">
            <v>155(F)</v>
          </cell>
          <cell r="P4691" t="str">
            <v>270°</v>
          </cell>
          <cell r="Q4691" t="str">
            <v>TF</v>
          </cell>
          <cell r="R4691" t="str">
            <v>V(VE)</v>
          </cell>
          <cell r="S4691" t="str">
            <v>-</v>
          </cell>
          <cell r="T4691" t="str">
            <v>-</v>
          </cell>
          <cell r="U4691" t="str">
            <v>-</v>
          </cell>
          <cell r="V4691" t="str">
            <v>FC</v>
          </cell>
          <cell r="W4691" t="str">
            <v>-</v>
          </cell>
          <cell r="X4691" t="str">
            <v>CLP 220 (-15/+40°C)</v>
          </cell>
          <cell r="Y4691" t="str">
            <v>R137DRN160M4 /TF/V</v>
          </cell>
          <cell r="Z4691" t="str">
            <v>SEW</v>
          </cell>
          <cell r="AB4691" t="str">
            <v>-</v>
          </cell>
          <cell r="AF4691">
            <v>17</v>
          </cell>
          <cell r="AG4691" t="str">
            <v>DRN160M4</v>
          </cell>
          <cell r="AH4691" t="str">
            <v>R137-DRN160M4270-X#</v>
          </cell>
        </row>
        <row r="4692">
          <cell r="A4692" t="str">
            <v>MR004681</v>
          </cell>
          <cell r="B4692" t="str">
            <v>MR</v>
          </cell>
          <cell r="C4692">
            <v>18.5</v>
          </cell>
          <cell r="D4692">
            <v>16</v>
          </cell>
          <cell r="E4692" t="str">
            <v>KH127</v>
          </cell>
          <cell r="F4692">
            <v>10700</v>
          </cell>
          <cell r="G4692">
            <v>89.89</v>
          </cell>
          <cell r="H4692">
            <v>1.2</v>
          </cell>
          <cell r="I4692" t="str">
            <v>From M4A to M1A - 40°</v>
          </cell>
          <cell r="J4692" t="str">
            <v>IE3</v>
          </cell>
          <cell r="K4692" t="str">
            <v>230/400</v>
          </cell>
          <cell r="L4692">
            <v>50</v>
          </cell>
          <cell r="M4692" t="str">
            <v>58/33,5</v>
          </cell>
          <cell r="N4692">
            <v>55</v>
          </cell>
          <cell r="O4692" t="str">
            <v>155(F)</v>
          </cell>
          <cell r="P4692" t="str">
            <v>270°</v>
          </cell>
          <cell r="Q4692" t="str">
            <v>TF</v>
          </cell>
          <cell r="R4692" t="str">
            <v>-</v>
          </cell>
          <cell r="S4692" t="str">
            <v>-</v>
          </cell>
          <cell r="T4692" t="str">
            <v>-</v>
          </cell>
          <cell r="U4692" t="str">
            <v>-</v>
          </cell>
          <cell r="V4692" t="str">
            <v>FC</v>
          </cell>
          <cell r="W4692" t="str">
            <v>-</v>
          </cell>
          <cell r="X4692" t="str">
            <v>CLP 220 (-15/+40°C)</v>
          </cell>
          <cell r="Y4692" t="str">
            <v>KH127DRN180M4 /TF</v>
          </cell>
          <cell r="Z4692" t="str">
            <v>SEW</v>
          </cell>
          <cell r="AB4692" t="str">
            <v>-</v>
          </cell>
          <cell r="AF4692">
            <v>16</v>
          </cell>
          <cell r="AG4692" t="str">
            <v>DRN180M4</v>
          </cell>
          <cell r="AH4692" t="str">
            <v>KH127-DRN180M4A270-X</v>
          </cell>
        </row>
        <row r="4693">
          <cell r="A4693" t="str">
            <v>MR004682</v>
          </cell>
          <cell r="B4693" t="str">
            <v>MR</v>
          </cell>
          <cell r="C4693">
            <v>3</v>
          </cell>
          <cell r="D4693">
            <v>61</v>
          </cell>
          <cell r="E4693" t="str">
            <v>KH67</v>
          </cell>
          <cell r="F4693">
            <v>470</v>
          </cell>
          <cell r="G4693">
            <v>24</v>
          </cell>
          <cell r="H4693">
            <v>1.7</v>
          </cell>
          <cell r="I4693" t="str">
            <v>M4A</v>
          </cell>
          <cell r="J4693" t="str">
            <v>IE3</v>
          </cell>
          <cell r="K4693" t="str">
            <v>230/400</v>
          </cell>
          <cell r="L4693">
            <v>50</v>
          </cell>
          <cell r="M4693" t="str">
            <v>11,2/6,4</v>
          </cell>
          <cell r="N4693">
            <v>55</v>
          </cell>
          <cell r="O4693" t="str">
            <v>155(F)</v>
          </cell>
          <cell r="P4693" t="str">
            <v>270°</v>
          </cell>
          <cell r="Q4693" t="str">
            <v>TF</v>
          </cell>
          <cell r="R4693" t="str">
            <v>-</v>
          </cell>
          <cell r="S4693" t="str">
            <v>-</v>
          </cell>
          <cell r="T4693" t="str">
            <v>-</v>
          </cell>
          <cell r="U4693" t="str">
            <v>T</v>
          </cell>
          <cell r="V4693" t="str">
            <v>SS</v>
          </cell>
          <cell r="W4693" t="str">
            <v>-</v>
          </cell>
          <cell r="X4693" t="str">
            <v>CLP 220 (-15/+40°C)</v>
          </cell>
          <cell r="Y4693" t="str">
            <v>KH67/T DRN100L4 /TF</v>
          </cell>
          <cell r="Z4693" t="str">
            <v>SEW</v>
          </cell>
          <cell r="AB4693" t="str">
            <v>-</v>
          </cell>
          <cell r="AF4693">
            <v>61</v>
          </cell>
          <cell r="AG4693" t="str">
            <v>DRN100L4</v>
          </cell>
          <cell r="AH4693" t="str">
            <v>KH67T-DRN100L4A270-X</v>
          </cell>
        </row>
        <row r="4694">
          <cell r="A4694" t="str">
            <v>MR004683</v>
          </cell>
          <cell r="B4694" t="str">
            <v>MR</v>
          </cell>
          <cell r="C4694">
            <v>7.5</v>
          </cell>
          <cell r="D4694">
            <v>64</v>
          </cell>
          <cell r="E4694" t="str">
            <v>K77</v>
          </cell>
          <cell r="F4694">
            <v>1120</v>
          </cell>
          <cell r="G4694">
            <v>23.08</v>
          </cell>
          <cell r="H4694">
            <v>1.4</v>
          </cell>
          <cell r="I4694" t="str">
            <v>M4A</v>
          </cell>
          <cell r="J4694" t="str">
            <v>IE3</v>
          </cell>
          <cell r="K4694" t="str">
            <v>230/400</v>
          </cell>
          <cell r="L4694">
            <v>50</v>
          </cell>
          <cell r="M4694" t="str">
            <v>26,5/15,2</v>
          </cell>
          <cell r="N4694">
            <v>55</v>
          </cell>
          <cell r="O4694" t="str">
            <v>155(F)</v>
          </cell>
          <cell r="P4694" t="str">
            <v>180°</v>
          </cell>
          <cell r="Q4694" t="str">
            <v>TF</v>
          </cell>
          <cell r="R4694" t="str">
            <v>V(VE)</v>
          </cell>
          <cell r="S4694" t="str">
            <v>-</v>
          </cell>
          <cell r="T4694" t="str">
            <v>-</v>
          </cell>
          <cell r="U4694" t="str">
            <v>-</v>
          </cell>
          <cell r="V4694" t="str">
            <v>FC+R</v>
          </cell>
          <cell r="W4694" t="str">
            <v>-</v>
          </cell>
          <cell r="X4694" t="str">
            <v>CLP 220 (-15/+40°C)</v>
          </cell>
          <cell r="Y4694" t="str">
            <v>K77DRN132M4 /TF/V</v>
          </cell>
          <cell r="Z4694" t="str">
            <v>SEW</v>
          </cell>
          <cell r="AB4694" t="str">
            <v>-</v>
          </cell>
          <cell r="AF4694">
            <v>64</v>
          </cell>
          <cell r="AG4694" t="str">
            <v>DRN132M4</v>
          </cell>
          <cell r="AH4694" t="str">
            <v>K77-DRN132M4A180-X#</v>
          </cell>
        </row>
        <row r="4695">
          <cell r="A4695" t="str">
            <v>MR004684</v>
          </cell>
          <cell r="B4695" t="str">
            <v>MR</v>
          </cell>
          <cell r="C4695">
            <v>0.37</v>
          </cell>
          <cell r="D4695">
            <v>4.7</v>
          </cell>
          <cell r="E4695" t="str">
            <v>FA67/R37</v>
          </cell>
          <cell r="F4695">
            <v>685</v>
          </cell>
          <cell r="G4695">
            <v>305</v>
          </cell>
          <cell r="H4695">
            <v>1.25</v>
          </cell>
          <cell r="I4695" t="str">
            <v>M5</v>
          </cell>
          <cell r="J4695" t="str">
            <v>IE3</v>
          </cell>
          <cell r="K4695" t="str">
            <v>230/400</v>
          </cell>
          <cell r="L4695">
            <v>50</v>
          </cell>
          <cell r="M4695" t="str">
            <v>1,78/1,02</v>
          </cell>
          <cell r="N4695">
            <v>55</v>
          </cell>
          <cell r="O4695" t="str">
            <v>155(F)</v>
          </cell>
          <cell r="P4695" t="str">
            <v>180°</v>
          </cell>
          <cell r="Q4695" t="str">
            <v>TF</v>
          </cell>
          <cell r="R4695" t="str">
            <v>-</v>
          </cell>
          <cell r="S4695" t="str">
            <v>-</v>
          </cell>
          <cell r="T4695" t="str">
            <v>-</v>
          </cell>
          <cell r="U4695" t="str">
            <v>G</v>
          </cell>
          <cell r="V4695" t="str">
            <v>D</v>
          </cell>
          <cell r="W4695" t="str">
            <v>-</v>
          </cell>
          <cell r="X4695" t="str">
            <v>CLP 220 (-15/+40°C)</v>
          </cell>
          <cell r="Y4695" t="str">
            <v>FA67/R37/G DRN71M4 /TF</v>
          </cell>
          <cell r="Z4695" t="str">
            <v>SEW</v>
          </cell>
          <cell r="AB4695" t="str">
            <v>-</v>
          </cell>
          <cell r="AF4695">
            <v>4.7</v>
          </cell>
          <cell r="AG4695" t="str">
            <v>DRN71M4</v>
          </cell>
          <cell r="AH4695" t="str">
            <v>FA67/R37G-DRN71M4180-X</v>
          </cell>
        </row>
        <row r="4696">
          <cell r="A4696" t="str">
            <v>MR004685</v>
          </cell>
          <cell r="B4696" t="str">
            <v>MR</v>
          </cell>
          <cell r="C4696">
            <v>11</v>
          </cell>
          <cell r="D4696">
            <v>16</v>
          </cell>
          <cell r="E4696" t="str">
            <v>KH127</v>
          </cell>
          <cell r="F4696">
            <v>6410</v>
          </cell>
          <cell r="G4696">
            <v>89.89</v>
          </cell>
          <cell r="H4696">
            <v>2</v>
          </cell>
          <cell r="I4696" t="str">
            <v>From M4B to M1B - 30°</v>
          </cell>
          <cell r="J4696" t="str">
            <v>IE3</v>
          </cell>
          <cell r="K4696" t="str">
            <v>230/400</v>
          </cell>
          <cell r="L4696">
            <v>50</v>
          </cell>
          <cell r="M4696" t="str">
            <v>36,5/21</v>
          </cell>
          <cell r="N4696">
            <v>55</v>
          </cell>
          <cell r="O4696" t="str">
            <v>155(F)</v>
          </cell>
          <cell r="P4696" t="str">
            <v>270°</v>
          </cell>
          <cell r="Q4696" t="str">
            <v>TF</v>
          </cell>
          <cell r="R4696" t="str">
            <v>-</v>
          </cell>
          <cell r="S4696" t="str">
            <v>-</v>
          </cell>
          <cell r="T4696" t="str">
            <v>-</v>
          </cell>
          <cell r="U4696" t="str">
            <v>-</v>
          </cell>
          <cell r="V4696" t="str">
            <v>FC</v>
          </cell>
          <cell r="W4696" t="str">
            <v>-</v>
          </cell>
          <cell r="X4696" t="str">
            <v>CLP 220 (-15/+40°C)</v>
          </cell>
          <cell r="Y4696" t="str">
            <v>KH127DRN160M4 /TF</v>
          </cell>
          <cell r="Z4696" t="str">
            <v>SEW</v>
          </cell>
          <cell r="AB4696" t="str">
            <v>-</v>
          </cell>
          <cell r="AF4696">
            <v>16</v>
          </cell>
          <cell r="AG4696" t="str">
            <v>DRN160M4</v>
          </cell>
          <cell r="AH4696" t="str">
            <v>KH127-DRN160M4B270-X</v>
          </cell>
        </row>
        <row r="4697">
          <cell r="A4697" t="str">
            <v>MR004686</v>
          </cell>
          <cell r="B4697" t="str">
            <v>MR</v>
          </cell>
          <cell r="C4697">
            <v>11</v>
          </cell>
          <cell r="D4697">
            <v>16</v>
          </cell>
          <cell r="E4697" t="str">
            <v>KH127</v>
          </cell>
          <cell r="F4697">
            <v>6410</v>
          </cell>
          <cell r="G4697">
            <v>89.89</v>
          </cell>
          <cell r="H4697">
            <v>2</v>
          </cell>
          <cell r="I4697" t="str">
            <v>From M4A to M1A - 30°</v>
          </cell>
          <cell r="J4697" t="str">
            <v>IE3</v>
          </cell>
          <cell r="K4697" t="str">
            <v>230/400</v>
          </cell>
          <cell r="L4697">
            <v>50</v>
          </cell>
          <cell r="M4697" t="str">
            <v>36,5/21</v>
          </cell>
          <cell r="N4697">
            <v>55</v>
          </cell>
          <cell r="O4697" t="str">
            <v>155(F)</v>
          </cell>
          <cell r="P4697" t="str">
            <v>270°</v>
          </cell>
          <cell r="Q4697" t="str">
            <v>TF</v>
          </cell>
          <cell r="R4697" t="str">
            <v>-</v>
          </cell>
          <cell r="S4697" t="str">
            <v>-</v>
          </cell>
          <cell r="T4697" t="str">
            <v>-</v>
          </cell>
          <cell r="U4697" t="str">
            <v>-</v>
          </cell>
          <cell r="V4697" t="str">
            <v>FC</v>
          </cell>
          <cell r="W4697" t="str">
            <v>-</v>
          </cell>
          <cell r="X4697" t="str">
            <v>CLP 220 (-15/+40°C)</v>
          </cell>
          <cell r="Y4697" t="str">
            <v>KH127DRN160M4 /TF</v>
          </cell>
          <cell r="Z4697" t="str">
            <v>SEW</v>
          </cell>
          <cell r="AB4697" t="str">
            <v>-</v>
          </cell>
          <cell r="AF4697">
            <v>16</v>
          </cell>
          <cell r="AG4697" t="str">
            <v>DRN160M4</v>
          </cell>
          <cell r="AH4697" t="str">
            <v>KH127-DRN160M4A270-X</v>
          </cell>
        </row>
        <row r="4698">
          <cell r="A4698" t="str">
            <v>MR004687</v>
          </cell>
          <cell r="B4698" t="str">
            <v>MR</v>
          </cell>
          <cell r="C4698">
            <v>7.5</v>
          </cell>
          <cell r="D4698">
            <v>59</v>
          </cell>
          <cell r="E4698" t="str">
            <v>R97</v>
          </cell>
          <cell r="F4698">
            <v>1220</v>
          </cell>
          <cell r="G4698">
            <v>25.03</v>
          </cell>
          <cell r="H4698">
            <v>2.2999999999999998</v>
          </cell>
          <cell r="I4698" t="str">
            <v>M1</v>
          </cell>
          <cell r="J4698" t="str">
            <v>IE3</v>
          </cell>
          <cell r="K4698" t="str">
            <v>230/400</v>
          </cell>
          <cell r="L4698">
            <v>50</v>
          </cell>
          <cell r="M4698" t="str">
            <v>26,5/15,2</v>
          </cell>
          <cell r="N4698">
            <v>55</v>
          </cell>
          <cell r="O4698" t="str">
            <v>155(F)</v>
          </cell>
          <cell r="P4698" t="str">
            <v>270°</v>
          </cell>
          <cell r="Q4698" t="str">
            <v>TF</v>
          </cell>
          <cell r="R4698" t="str">
            <v>-</v>
          </cell>
          <cell r="S4698" t="str">
            <v>-</v>
          </cell>
          <cell r="T4698" t="str">
            <v>-</v>
          </cell>
          <cell r="U4698" t="str">
            <v>-</v>
          </cell>
          <cell r="V4698" t="str">
            <v>D+R</v>
          </cell>
          <cell r="W4698" t="str">
            <v>-</v>
          </cell>
          <cell r="X4698" t="str">
            <v>CLP 220 (-15/+40°C)</v>
          </cell>
          <cell r="Y4698" t="str">
            <v>R97DRN132M4 /TF</v>
          </cell>
          <cell r="Z4698" t="str">
            <v>SEW</v>
          </cell>
          <cell r="AB4698" t="str">
            <v>-</v>
          </cell>
          <cell r="AF4698">
            <v>59</v>
          </cell>
          <cell r="AG4698" t="str">
            <v>DRN132M4</v>
          </cell>
          <cell r="AH4698" t="str">
            <v>R97-DRN132M4270-X</v>
          </cell>
        </row>
        <row r="4699">
          <cell r="A4699" t="str">
            <v>MR004688</v>
          </cell>
          <cell r="B4699" t="str">
            <v>MR</v>
          </cell>
          <cell r="C4699">
            <v>2.2000000000000002</v>
          </cell>
          <cell r="D4699">
            <v>95</v>
          </cell>
          <cell r="E4699" t="str">
            <v>KA67</v>
          </cell>
          <cell r="F4699">
            <v>220</v>
          </cell>
          <cell r="G4699">
            <v>15.19</v>
          </cell>
          <cell r="H4699">
            <v>3.2</v>
          </cell>
          <cell r="I4699" t="str">
            <v>M1A</v>
          </cell>
          <cell r="J4699" t="str">
            <v>IE3</v>
          </cell>
          <cell r="K4699" t="str">
            <v>230/400</v>
          </cell>
          <cell r="L4699">
            <v>50</v>
          </cell>
          <cell r="M4699" t="str">
            <v>8,3/4,75</v>
          </cell>
          <cell r="N4699">
            <v>55</v>
          </cell>
          <cell r="O4699" t="str">
            <v>155(F)</v>
          </cell>
          <cell r="P4699" t="str">
            <v>270°</v>
          </cell>
          <cell r="Q4699" t="str">
            <v>TF</v>
          </cell>
          <cell r="R4699" t="str">
            <v>-</v>
          </cell>
          <cell r="S4699" t="str">
            <v>-</v>
          </cell>
          <cell r="T4699" t="str">
            <v>-</v>
          </cell>
          <cell r="U4699" t="str">
            <v>T</v>
          </cell>
          <cell r="V4699" t="str">
            <v>D</v>
          </cell>
          <cell r="W4699" t="str">
            <v>-</v>
          </cell>
          <cell r="X4699" t="str">
            <v>CLP 220 (-15/+40°C)</v>
          </cell>
          <cell r="Y4699" t="str">
            <v>KA67/T DRN100LS4 /TF</v>
          </cell>
          <cell r="Z4699" t="str">
            <v>SEW</v>
          </cell>
          <cell r="AB4699" t="str">
            <v>-</v>
          </cell>
          <cell r="AF4699">
            <v>95</v>
          </cell>
          <cell r="AG4699" t="str">
            <v>DRN100LS4</v>
          </cell>
          <cell r="AH4699" t="str">
            <v>KA67T-DRN100LS4A270-X</v>
          </cell>
        </row>
        <row r="4700">
          <cell r="A4700" t="str">
            <v>MR004689</v>
          </cell>
          <cell r="B4700" t="str">
            <v>MR</v>
          </cell>
          <cell r="C4700">
            <v>5.5</v>
          </cell>
          <cell r="D4700">
            <v>62</v>
          </cell>
          <cell r="E4700" t="str">
            <v>R87</v>
          </cell>
          <cell r="F4700">
            <v>840</v>
          </cell>
          <cell r="G4700">
            <v>23.4</v>
          </cell>
          <cell r="H4700">
            <v>1.45</v>
          </cell>
          <cell r="I4700" t="str">
            <v>M1</v>
          </cell>
          <cell r="J4700" t="str">
            <v>IE3</v>
          </cell>
          <cell r="K4700" t="str">
            <v>230/400</v>
          </cell>
          <cell r="L4700">
            <v>50</v>
          </cell>
          <cell r="M4700" t="str">
            <v>18,2/10,5</v>
          </cell>
          <cell r="N4700">
            <v>65</v>
          </cell>
          <cell r="O4700" t="str">
            <v>155(F)</v>
          </cell>
          <cell r="P4700" t="str">
            <v>270°</v>
          </cell>
          <cell r="Q4700" t="str">
            <v>TF</v>
          </cell>
          <cell r="R4700" t="str">
            <v>-</v>
          </cell>
          <cell r="S4700" t="str">
            <v>-</v>
          </cell>
          <cell r="T4700" t="str">
            <v>-</v>
          </cell>
          <cell r="U4700" t="str">
            <v>-</v>
          </cell>
          <cell r="V4700" t="str">
            <v>D+R</v>
          </cell>
          <cell r="W4700" t="str">
            <v>-</v>
          </cell>
          <cell r="X4700" t="str">
            <v>CLP HC 150 (-30/+50°C)</v>
          </cell>
          <cell r="Y4700" t="str">
            <v>R87/II2GDEDRN132S4/3GD/KCC/TF/AL</v>
          </cell>
          <cell r="Z4700" t="str">
            <v>SEW</v>
          </cell>
          <cell r="AB4700" t="str">
            <v>ATEX22</v>
          </cell>
          <cell r="AF4700">
            <v>62</v>
          </cell>
          <cell r="AG4700" t="str">
            <v>EDRN132S4</v>
          </cell>
          <cell r="AH4700" t="str">
            <v>R87-EDRN132S4270-X</v>
          </cell>
        </row>
        <row r="4701">
          <cell r="A4701" t="str">
            <v>MR004690</v>
          </cell>
          <cell r="B4701" t="str">
            <v>MR</v>
          </cell>
          <cell r="C4701">
            <v>4</v>
          </cell>
          <cell r="D4701">
            <v>68</v>
          </cell>
          <cell r="E4701" t="str">
            <v>R77</v>
          </cell>
          <cell r="F4701">
            <v>560</v>
          </cell>
          <cell r="G4701">
            <v>21.43</v>
          </cell>
          <cell r="H4701">
            <v>1.1000000000000001</v>
          </cell>
          <cell r="I4701" t="str">
            <v>From M1 to M2 - 20°</v>
          </cell>
          <cell r="J4701" t="str">
            <v>IE3</v>
          </cell>
          <cell r="K4701" t="str">
            <v>230/400</v>
          </cell>
          <cell r="L4701">
            <v>50</v>
          </cell>
          <cell r="M4701" t="str">
            <v>13,8/7,9</v>
          </cell>
          <cell r="N4701">
            <v>65</v>
          </cell>
          <cell r="O4701" t="str">
            <v>155(F)</v>
          </cell>
          <cell r="P4701" t="str">
            <v>270°</v>
          </cell>
          <cell r="Q4701" t="str">
            <v>TF</v>
          </cell>
          <cell r="R4701" t="str">
            <v>-</v>
          </cell>
          <cell r="S4701" t="str">
            <v>-</v>
          </cell>
          <cell r="T4701" t="str">
            <v>-</v>
          </cell>
          <cell r="U4701" t="str">
            <v>-</v>
          </cell>
          <cell r="V4701" t="str">
            <v>D</v>
          </cell>
          <cell r="W4701" t="str">
            <v>-</v>
          </cell>
          <cell r="X4701" t="str">
            <v>CLP HC 150 (-30/+50°C)</v>
          </cell>
          <cell r="Y4701" t="str">
            <v>R77/II2GDEDRN112M4/3GD/KCC/TF/AL</v>
          </cell>
          <cell r="Z4701" t="str">
            <v>SEW</v>
          </cell>
          <cell r="AB4701" t="str">
            <v>ATEX22</v>
          </cell>
          <cell r="AF4701">
            <v>68</v>
          </cell>
          <cell r="AG4701" t="str">
            <v>EDRN112M4</v>
          </cell>
          <cell r="AH4701" t="str">
            <v>R77-EDRN112M4270-X</v>
          </cell>
        </row>
        <row r="4702">
          <cell r="A4702" t="str">
            <v>MR004691</v>
          </cell>
          <cell r="B4702" t="str">
            <v>MR</v>
          </cell>
          <cell r="C4702">
            <v>0.25</v>
          </cell>
          <cell r="D4702">
            <v>1.7</v>
          </cell>
          <cell r="E4702" t="str">
            <v>KA77R37</v>
          </cell>
          <cell r="F4702">
            <v>1230</v>
          </cell>
          <cell r="G4702">
            <v>815</v>
          </cell>
          <cell r="H4702">
            <v>1.25</v>
          </cell>
          <cell r="I4702" t="str">
            <v>M3B</v>
          </cell>
          <cell r="J4702" t="str">
            <v>IE3</v>
          </cell>
          <cell r="K4702" t="str">
            <v>230/400</v>
          </cell>
          <cell r="L4702">
            <v>50</v>
          </cell>
          <cell r="M4702" t="str">
            <v>1,26/0,72</v>
          </cell>
          <cell r="N4702">
            <v>55</v>
          </cell>
          <cell r="O4702" t="str">
            <v>155(F)</v>
          </cell>
          <cell r="P4702" t="str">
            <v>0°</v>
          </cell>
          <cell r="Q4702" t="str">
            <v>TF</v>
          </cell>
          <cell r="R4702" t="str">
            <v>-</v>
          </cell>
          <cell r="S4702" t="str">
            <v>-</v>
          </cell>
          <cell r="T4702" t="str">
            <v>BEHF</v>
          </cell>
          <cell r="U4702" t="str">
            <v>T</v>
          </cell>
          <cell r="V4702" t="str">
            <v>D+R</v>
          </cell>
          <cell r="W4702" t="str">
            <v>-</v>
          </cell>
          <cell r="X4702" t="str">
            <v>CLP 220 (-15/+40°C)</v>
          </cell>
          <cell r="Y4702" t="str">
            <v>KA77R37/T DRN71MS4 /BEHF /TF</v>
          </cell>
          <cell r="Z4702" t="str">
            <v>SEW</v>
          </cell>
          <cell r="AB4702" t="str">
            <v>-</v>
          </cell>
          <cell r="AF4702">
            <v>1.7</v>
          </cell>
          <cell r="AG4702" t="str">
            <v>DRN71MS4</v>
          </cell>
          <cell r="AH4702" t="str">
            <v>KA77R37T-DRN71MS4B0-X</v>
          </cell>
        </row>
        <row r="4703">
          <cell r="A4703" t="str">
            <v>MR004692</v>
          </cell>
          <cell r="B4703" t="str">
            <v>MR</v>
          </cell>
          <cell r="C4703">
            <v>7.5</v>
          </cell>
          <cell r="D4703">
            <v>66</v>
          </cell>
          <cell r="E4703" t="str">
            <v>K87</v>
          </cell>
          <cell r="F4703">
            <v>1090</v>
          </cell>
          <cell r="G4703">
            <v>22.41</v>
          </cell>
          <cell r="H4703">
            <v>2.1</v>
          </cell>
          <cell r="I4703" t="str">
            <v>M4A</v>
          </cell>
          <cell r="J4703" t="str">
            <v>IE3</v>
          </cell>
          <cell r="K4703" t="str">
            <v>400/690</v>
          </cell>
          <cell r="L4703">
            <v>50</v>
          </cell>
          <cell r="M4703" t="str">
            <v>15,2/8,8</v>
          </cell>
          <cell r="N4703">
            <v>65</v>
          </cell>
          <cell r="O4703" t="str">
            <v>155(F)</v>
          </cell>
          <cell r="P4703" t="str">
            <v>270°</v>
          </cell>
          <cell r="Q4703" t="str">
            <v>TF</v>
          </cell>
          <cell r="R4703" t="str">
            <v>-</v>
          </cell>
          <cell r="S4703" t="str">
            <v>-</v>
          </cell>
          <cell r="T4703" t="str">
            <v>-</v>
          </cell>
          <cell r="U4703" t="str">
            <v>-</v>
          </cell>
          <cell r="V4703" t="str">
            <v>D+R</v>
          </cell>
          <cell r="W4703" t="str">
            <v>-</v>
          </cell>
          <cell r="X4703" t="str">
            <v>CLP 220 (-15/+40°C)</v>
          </cell>
          <cell r="Y4703" t="str">
            <v>K87DRN132M4 /TF</v>
          </cell>
          <cell r="Z4703" t="str">
            <v>SEW</v>
          </cell>
          <cell r="AB4703" t="str">
            <v>-</v>
          </cell>
          <cell r="AF4703">
            <v>66</v>
          </cell>
          <cell r="AG4703" t="str">
            <v>DRN132M4</v>
          </cell>
          <cell r="AH4703" t="str">
            <v>K87-DRN132M4A270-X</v>
          </cell>
        </row>
        <row r="4704">
          <cell r="A4704" t="str">
            <v>MR004693</v>
          </cell>
          <cell r="B4704" t="str">
            <v>MR</v>
          </cell>
          <cell r="C4704">
            <v>9.1999999999999993</v>
          </cell>
          <cell r="D4704">
            <v>59</v>
          </cell>
          <cell r="E4704" t="str">
            <v>R97</v>
          </cell>
          <cell r="F4704">
            <v>1500</v>
          </cell>
          <cell r="G4704">
            <v>25.03</v>
          </cell>
          <cell r="H4704">
            <v>1.9</v>
          </cell>
          <cell r="I4704" t="str">
            <v>M1</v>
          </cell>
          <cell r="J4704" t="str">
            <v>IE3</v>
          </cell>
          <cell r="K4704" t="str">
            <v>400/690</v>
          </cell>
          <cell r="L4704">
            <v>50</v>
          </cell>
          <cell r="M4704" t="str">
            <v>18,7/10,8</v>
          </cell>
          <cell r="N4704">
            <v>65</v>
          </cell>
          <cell r="O4704" t="str">
            <v>155(F)</v>
          </cell>
          <cell r="P4704" t="str">
            <v>270°</v>
          </cell>
          <cell r="Q4704" t="str">
            <v>TF</v>
          </cell>
          <cell r="R4704" t="str">
            <v>-</v>
          </cell>
          <cell r="S4704" t="str">
            <v>-</v>
          </cell>
          <cell r="T4704" t="str">
            <v>-</v>
          </cell>
          <cell r="U4704" t="str">
            <v>-</v>
          </cell>
          <cell r="V4704" t="str">
            <v>D+R</v>
          </cell>
          <cell r="W4704" t="str">
            <v>-</v>
          </cell>
          <cell r="X4704" t="str">
            <v>CLP 220 (-15/+40°C)</v>
          </cell>
          <cell r="Y4704" t="str">
            <v>R97DRN132L4 /TF</v>
          </cell>
          <cell r="Z4704" t="str">
            <v>SEW</v>
          </cell>
          <cell r="AB4704" t="str">
            <v>-</v>
          </cell>
          <cell r="AF4704">
            <v>59</v>
          </cell>
          <cell r="AG4704" t="str">
            <v>DRN132L4</v>
          </cell>
          <cell r="AH4704" t="str">
            <v>R97-DRN132L4270-X</v>
          </cell>
        </row>
        <row r="4705">
          <cell r="A4705" t="str">
            <v>MR004694</v>
          </cell>
          <cell r="B4705" t="str">
            <v>MR</v>
          </cell>
          <cell r="C4705">
            <v>0.55000000000000004</v>
          </cell>
          <cell r="D4705">
            <v>70</v>
          </cell>
          <cell r="E4705" t="str">
            <v>FA37</v>
          </cell>
          <cell r="F4705">
            <v>76</v>
          </cell>
          <cell r="G4705">
            <v>20.57</v>
          </cell>
          <cell r="H4705">
            <v>2.5</v>
          </cell>
          <cell r="I4705" t="str">
            <v>M1</v>
          </cell>
          <cell r="J4705" t="str">
            <v>IE3</v>
          </cell>
          <cell r="K4705" t="str">
            <v>230/400</v>
          </cell>
          <cell r="L4705">
            <v>50</v>
          </cell>
          <cell r="M4705" t="str">
            <v>2,4/1,38</v>
          </cell>
          <cell r="N4705">
            <v>65</v>
          </cell>
          <cell r="O4705" t="str">
            <v>155(F)</v>
          </cell>
          <cell r="P4705" t="str">
            <v>270°</v>
          </cell>
          <cell r="Q4705" t="str">
            <v>TF</v>
          </cell>
          <cell r="R4705" t="str">
            <v>-</v>
          </cell>
          <cell r="S4705" t="str">
            <v>-</v>
          </cell>
          <cell r="T4705" t="str">
            <v>-</v>
          </cell>
          <cell r="U4705" t="str">
            <v>G</v>
          </cell>
          <cell r="V4705" t="str">
            <v>D+R</v>
          </cell>
          <cell r="W4705" t="str">
            <v>-</v>
          </cell>
          <cell r="X4705" t="str">
            <v>CLP HC 150 (-30/+50°C)</v>
          </cell>
          <cell r="Y4705" t="str">
            <v>FA37/G/II2GDEDRN80MK4/3GD/KCC/TF/AL</v>
          </cell>
          <cell r="Z4705" t="str">
            <v>SEW</v>
          </cell>
          <cell r="AB4705" t="str">
            <v>ATEX22</v>
          </cell>
          <cell r="AF4705">
            <v>70</v>
          </cell>
          <cell r="AG4705" t="str">
            <v>EDRE80S4</v>
          </cell>
          <cell r="AH4705" t="str">
            <v>FA37G-EDRE80S4270-X</v>
          </cell>
        </row>
        <row r="4706">
          <cell r="A4706" t="str">
            <v>MR004695</v>
          </cell>
          <cell r="B4706" t="str">
            <v>MR</v>
          </cell>
          <cell r="C4706">
            <v>22</v>
          </cell>
          <cell r="D4706">
            <v>33</v>
          </cell>
          <cell r="E4706" t="str">
            <v>R137</v>
          </cell>
          <cell r="F4706">
            <v>6310</v>
          </cell>
          <cell r="G4706">
            <v>44.39</v>
          </cell>
          <cell r="H4706">
            <v>1.2</v>
          </cell>
          <cell r="I4706" t="str">
            <v>From M1 to M2 - 20°</v>
          </cell>
          <cell r="J4706" t="str">
            <v>IE3</v>
          </cell>
          <cell r="K4706" t="str">
            <v>400/690</v>
          </cell>
          <cell r="L4706">
            <v>50</v>
          </cell>
          <cell r="M4706" t="str">
            <v>38,5/22,5</v>
          </cell>
          <cell r="N4706">
            <v>65</v>
          </cell>
          <cell r="O4706" t="str">
            <v>155(F)</v>
          </cell>
          <cell r="P4706" t="str">
            <v>270°</v>
          </cell>
          <cell r="Q4706" t="str">
            <v>TF</v>
          </cell>
          <cell r="R4706" t="str">
            <v>V(VE)</v>
          </cell>
          <cell r="S4706" t="str">
            <v>-</v>
          </cell>
          <cell r="T4706" t="str">
            <v>-</v>
          </cell>
          <cell r="U4706" t="str">
            <v>-</v>
          </cell>
          <cell r="V4706" t="str">
            <v>FC</v>
          </cell>
          <cell r="W4706" t="str">
            <v>-</v>
          </cell>
          <cell r="X4706" t="str">
            <v>CLP HC 150 (-30/+50°C)</v>
          </cell>
          <cell r="Y4706" t="str">
            <v>R137/II2GDREDRN180L4/3GD/TF/VE</v>
          </cell>
          <cell r="Z4706" t="str">
            <v>SEW</v>
          </cell>
          <cell r="AB4706" t="str">
            <v>ATEX22</v>
          </cell>
          <cell r="AF4706">
            <v>33</v>
          </cell>
          <cell r="AG4706" t="str">
            <v>EDRN180L4</v>
          </cell>
          <cell r="AH4706" t="str">
            <v>R137-EDRN180L4270-X#</v>
          </cell>
        </row>
        <row r="4707">
          <cell r="A4707" t="str">
            <v>MR004696</v>
          </cell>
          <cell r="B4707" t="str">
            <v>MR</v>
          </cell>
          <cell r="C4707">
            <v>0.75</v>
          </cell>
          <cell r="D4707">
            <v>162</v>
          </cell>
          <cell r="E4707" t="str">
            <v>KA37</v>
          </cell>
          <cell r="F4707">
            <v>44</v>
          </cell>
          <cell r="G4707">
            <v>8.91</v>
          </cell>
          <cell r="H4707">
            <v>3.6</v>
          </cell>
          <cell r="I4707" t="str">
            <v>M3A</v>
          </cell>
          <cell r="J4707" t="str">
            <v>IE3</v>
          </cell>
          <cell r="K4707" t="str">
            <v>230/400</v>
          </cell>
          <cell r="L4707">
            <v>50</v>
          </cell>
          <cell r="M4707" t="str">
            <v>3,05/1,75</v>
          </cell>
          <cell r="N4707">
            <v>55</v>
          </cell>
          <cell r="O4707" t="str">
            <v>155(F)</v>
          </cell>
          <cell r="P4707" t="str">
            <v>180°</v>
          </cell>
          <cell r="Q4707" t="str">
            <v>TF</v>
          </cell>
          <cell r="R4707" t="str">
            <v>-</v>
          </cell>
          <cell r="S4707" t="str">
            <v>-</v>
          </cell>
          <cell r="T4707" t="str">
            <v>-</v>
          </cell>
          <cell r="U4707" t="str">
            <v>T</v>
          </cell>
          <cell r="V4707" t="str">
            <v>D</v>
          </cell>
          <cell r="W4707" t="str">
            <v>-</v>
          </cell>
          <cell r="X4707" t="str">
            <v>CLP 220 (-15/+40°C)</v>
          </cell>
          <cell r="Y4707" t="str">
            <v>KA37/T DRN80M4 /TF</v>
          </cell>
          <cell r="Z4707" t="str">
            <v>SEW</v>
          </cell>
          <cell r="AB4707" t="str">
            <v>-</v>
          </cell>
          <cell r="AF4707">
            <v>162</v>
          </cell>
          <cell r="AG4707" t="str">
            <v>DRN80M4</v>
          </cell>
          <cell r="AH4707" t="str">
            <v>KA37T-DRN80M4A180-X</v>
          </cell>
        </row>
        <row r="4708">
          <cell r="A4708" t="str">
            <v>MR004697</v>
          </cell>
          <cell r="B4708" t="str">
            <v>MR</v>
          </cell>
          <cell r="C4708">
            <v>30</v>
          </cell>
          <cell r="D4708">
            <v>107</v>
          </cell>
          <cell r="E4708" t="str">
            <v>KH97</v>
          </cell>
          <cell r="F4708">
            <v>2680</v>
          </cell>
          <cell r="G4708">
            <v>13.85</v>
          </cell>
          <cell r="H4708">
            <v>1.6</v>
          </cell>
          <cell r="I4708" t="str">
            <v>From M4B to M1B - 20°</v>
          </cell>
          <cell r="J4708" t="str">
            <v>IE3</v>
          </cell>
          <cell r="K4708" t="str">
            <v>400/690</v>
          </cell>
          <cell r="L4708">
            <v>50</v>
          </cell>
          <cell r="M4708" t="str">
            <v>56/32,5</v>
          </cell>
          <cell r="N4708">
            <v>55</v>
          </cell>
          <cell r="O4708" t="str">
            <v>155(F)</v>
          </cell>
          <cell r="P4708" t="str">
            <v>270°</v>
          </cell>
          <cell r="Q4708" t="str">
            <v>TF</v>
          </cell>
          <cell r="R4708" t="str">
            <v>-</v>
          </cell>
          <cell r="S4708" t="str">
            <v>Free rotation CW</v>
          </cell>
          <cell r="T4708" t="str">
            <v>-</v>
          </cell>
          <cell r="U4708" t="str">
            <v>T</v>
          </cell>
          <cell r="V4708" t="str">
            <v>SS</v>
          </cell>
          <cell r="W4708" t="str">
            <v>-</v>
          </cell>
          <cell r="X4708" t="str">
            <v>CLP 220 (-15/+40°C)</v>
          </cell>
          <cell r="Y4708" t="str">
            <v>KH97/T DRN200L4 /RS /TF</v>
          </cell>
          <cell r="Z4708" t="str">
            <v>SEW</v>
          </cell>
          <cell r="AB4708" t="str">
            <v>-</v>
          </cell>
          <cell r="AF4708">
            <v>107</v>
          </cell>
          <cell r="AG4708" t="str">
            <v>DRN200L4</v>
          </cell>
          <cell r="AH4708" t="str">
            <v>KH97T-DRN200L4B270-X</v>
          </cell>
        </row>
        <row r="4709">
          <cell r="A4709" t="str">
            <v>MR004698</v>
          </cell>
          <cell r="B4709" t="str">
            <v>MR</v>
          </cell>
          <cell r="C4709">
            <v>0.75</v>
          </cell>
          <cell r="D4709">
            <v>162</v>
          </cell>
          <cell r="E4709" t="str">
            <v>KA37</v>
          </cell>
          <cell r="F4709">
            <v>44</v>
          </cell>
          <cell r="G4709">
            <v>8.91</v>
          </cell>
          <cell r="H4709">
            <v>3.6</v>
          </cell>
          <cell r="I4709" t="str">
            <v>From M3B to M4B- 20°</v>
          </cell>
          <cell r="J4709" t="str">
            <v>IE3</v>
          </cell>
          <cell r="K4709" t="str">
            <v>230/400</v>
          </cell>
          <cell r="L4709">
            <v>50</v>
          </cell>
          <cell r="M4709" t="str">
            <v>3,05/1,75</v>
          </cell>
          <cell r="N4709">
            <v>55</v>
          </cell>
          <cell r="O4709" t="str">
            <v>155(F)</v>
          </cell>
          <cell r="P4709" t="str">
            <v>180°</v>
          </cell>
          <cell r="Q4709" t="str">
            <v>TF</v>
          </cell>
          <cell r="R4709" t="str">
            <v>-</v>
          </cell>
          <cell r="S4709" t="str">
            <v>-</v>
          </cell>
          <cell r="T4709" t="str">
            <v>-</v>
          </cell>
          <cell r="U4709" t="str">
            <v>T</v>
          </cell>
          <cell r="V4709" t="str">
            <v>D</v>
          </cell>
          <cell r="W4709" t="str">
            <v>-</v>
          </cell>
          <cell r="X4709" t="str">
            <v>CLP 220 (-15/+40°C)</v>
          </cell>
          <cell r="Y4709" t="str">
            <v>KA37/T DRN80M4 /TF</v>
          </cell>
          <cell r="Z4709" t="str">
            <v>SEW</v>
          </cell>
          <cell r="AB4709" t="str">
            <v>-</v>
          </cell>
          <cell r="AF4709">
            <v>162</v>
          </cell>
          <cell r="AG4709" t="str">
            <v>DRN80M4</v>
          </cell>
          <cell r="AH4709" t="str">
            <v>KA37T-DRN80M4B180-X</v>
          </cell>
        </row>
        <row r="4710">
          <cell r="A4710" t="str">
            <v>MR004699</v>
          </cell>
          <cell r="B4710" t="str">
            <v>MR</v>
          </cell>
          <cell r="C4710">
            <v>0.37</v>
          </cell>
          <cell r="D4710">
            <v>6.2</v>
          </cell>
          <cell r="E4710" t="str">
            <v>FH67</v>
          </cell>
          <cell r="F4710">
            <v>570</v>
          </cell>
          <cell r="G4710">
            <v>229</v>
          </cell>
          <cell r="H4710">
            <v>1.45</v>
          </cell>
          <cell r="I4710" t="str">
            <v>From M6 to M3 - 20°</v>
          </cell>
          <cell r="J4710" t="str">
            <v>IE3</v>
          </cell>
          <cell r="K4710" t="str">
            <v>230/400</v>
          </cell>
          <cell r="L4710">
            <v>50</v>
          </cell>
          <cell r="M4710" t="str">
            <v>1,78/1,02</v>
          </cell>
          <cell r="N4710">
            <v>55</v>
          </cell>
          <cell r="O4710" t="str">
            <v>155(F)</v>
          </cell>
          <cell r="P4710" t="str">
            <v>0°</v>
          </cell>
          <cell r="Q4710" t="str">
            <v>TF</v>
          </cell>
          <cell r="R4710" t="str">
            <v>-</v>
          </cell>
          <cell r="S4710" t="str">
            <v>-</v>
          </cell>
          <cell r="T4710" t="str">
            <v>-</v>
          </cell>
          <cell r="U4710" t="str">
            <v>G</v>
          </cell>
          <cell r="V4710" t="str">
            <v>D</v>
          </cell>
          <cell r="W4710" t="str">
            <v>-</v>
          </cell>
          <cell r="X4710" t="str">
            <v>CLP 220 (-15/+40°C)</v>
          </cell>
          <cell r="Y4710" t="str">
            <v>FH67/G DRN71M4 /TF</v>
          </cell>
          <cell r="Z4710" t="str">
            <v>SEW</v>
          </cell>
          <cell r="AB4710" t="str">
            <v>-</v>
          </cell>
          <cell r="AF4710">
            <v>6.2</v>
          </cell>
          <cell r="AG4710" t="str">
            <v>DRN71M4</v>
          </cell>
          <cell r="AH4710" t="str">
            <v>FH67G-DRN71M40-X</v>
          </cell>
        </row>
        <row r="4711">
          <cell r="A4711" t="str">
            <v>MR004700</v>
          </cell>
          <cell r="B4711" t="str">
            <v>MR</v>
          </cell>
          <cell r="C4711">
            <v>5.5</v>
          </cell>
          <cell r="D4711">
            <v>80</v>
          </cell>
          <cell r="E4711" t="str">
            <v>FH67</v>
          </cell>
          <cell r="F4711">
            <v>655</v>
          </cell>
          <cell r="G4711">
            <v>18.29</v>
          </cell>
          <cell r="H4711">
            <v>1.25</v>
          </cell>
          <cell r="I4711" t="str">
            <v>M5</v>
          </cell>
          <cell r="J4711" t="str">
            <v>IE3</v>
          </cell>
          <cell r="K4711" t="str">
            <v>230/400</v>
          </cell>
          <cell r="L4711">
            <v>50</v>
          </cell>
          <cell r="M4711" t="str">
            <v>18,2/10,5</v>
          </cell>
          <cell r="N4711">
            <v>55</v>
          </cell>
          <cell r="O4711" t="str">
            <v>155(F)</v>
          </cell>
          <cell r="P4711" t="str">
            <v>180°</v>
          </cell>
          <cell r="Q4711" t="str">
            <v>TF</v>
          </cell>
          <cell r="R4711" t="str">
            <v>-</v>
          </cell>
          <cell r="S4711" t="str">
            <v>-</v>
          </cell>
          <cell r="T4711" t="str">
            <v>-</v>
          </cell>
          <cell r="U4711" t="str">
            <v>G</v>
          </cell>
          <cell r="V4711" t="str">
            <v>D</v>
          </cell>
          <cell r="W4711" t="str">
            <v>-</v>
          </cell>
          <cell r="X4711" t="str">
            <v>CLP 220 (-15/+40°C)</v>
          </cell>
          <cell r="Y4711" t="str">
            <v>FH67/G DRN132S4 /TF</v>
          </cell>
          <cell r="Z4711" t="str">
            <v>SEW</v>
          </cell>
          <cell r="AB4711" t="str">
            <v>-</v>
          </cell>
          <cell r="AF4711">
            <v>80</v>
          </cell>
          <cell r="AG4711" t="str">
            <v>DRN132S4</v>
          </cell>
          <cell r="AH4711" t="str">
            <v>FH67G-DRN132S4180-X</v>
          </cell>
        </row>
        <row r="4712">
          <cell r="A4712" t="str">
            <v>MR004701</v>
          </cell>
          <cell r="B4712" t="str">
            <v>MR</v>
          </cell>
          <cell r="C4712">
            <v>5.5</v>
          </cell>
          <cell r="D4712">
            <v>63</v>
          </cell>
          <cell r="E4712" t="str">
            <v>KH77</v>
          </cell>
          <cell r="F4712">
            <v>830</v>
          </cell>
          <cell r="G4712">
            <v>23.08</v>
          </cell>
          <cell r="H4712">
            <v>1.85</v>
          </cell>
          <cell r="I4712" t="str">
            <v>M4B</v>
          </cell>
          <cell r="J4712" t="str">
            <v>IE3</v>
          </cell>
          <cell r="K4712" t="str">
            <v>230/400</v>
          </cell>
          <cell r="L4712">
            <v>50</v>
          </cell>
          <cell r="M4712" t="str">
            <v>18,2/10,5</v>
          </cell>
          <cell r="N4712">
            <v>55</v>
          </cell>
          <cell r="O4712" t="str">
            <v>155(F)</v>
          </cell>
          <cell r="P4712" t="str">
            <v>270°</v>
          </cell>
          <cell r="Q4712" t="str">
            <v>TF</v>
          </cell>
          <cell r="R4712" t="str">
            <v>-</v>
          </cell>
          <cell r="S4712" t="str">
            <v>-</v>
          </cell>
          <cell r="T4712" t="str">
            <v>-</v>
          </cell>
          <cell r="U4712" t="str">
            <v>T</v>
          </cell>
          <cell r="V4712" t="str">
            <v>SS</v>
          </cell>
          <cell r="W4712" t="str">
            <v>-</v>
          </cell>
          <cell r="X4712" t="str">
            <v>CLP 220 (-15/+40°C)</v>
          </cell>
          <cell r="Y4712" t="str">
            <v>KH77/T DRN132S4 /TF</v>
          </cell>
          <cell r="Z4712" t="str">
            <v>SEW</v>
          </cell>
          <cell r="AB4712" t="str">
            <v>-</v>
          </cell>
          <cell r="AF4712">
            <v>63</v>
          </cell>
          <cell r="AG4712" t="str">
            <v>DRN132S4</v>
          </cell>
          <cell r="AH4712" t="str">
            <v>KH77T-DRN132S4B270-X</v>
          </cell>
        </row>
        <row r="4713">
          <cell r="A4713" t="str">
            <v>MR004702</v>
          </cell>
          <cell r="B4713" t="str">
            <v>MR</v>
          </cell>
          <cell r="C4713">
            <v>7.5</v>
          </cell>
          <cell r="D4713">
            <v>63</v>
          </cell>
          <cell r="E4713" t="str">
            <v>R87</v>
          </cell>
          <cell r="F4713">
            <v>1140</v>
          </cell>
          <cell r="G4713">
            <v>23.4</v>
          </cell>
          <cell r="H4713">
            <v>1.35</v>
          </cell>
          <cell r="I4713" t="str">
            <v>From M5 to M4 - 20°</v>
          </cell>
          <cell r="J4713" t="str">
            <v>IE3</v>
          </cell>
          <cell r="K4713" t="str">
            <v>400/690</v>
          </cell>
          <cell r="L4713">
            <v>50</v>
          </cell>
          <cell r="M4713" t="str">
            <v>15,2/8,8</v>
          </cell>
          <cell r="N4713">
            <v>55</v>
          </cell>
          <cell r="O4713" t="str">
            <v>155(F)</v>
          </cell>
          <cell r="P4713" t="str">
            <v>270°</v>
          </cell>
          <cell r="Q4713" t="str">
            <v>TF</v>
          </cell>
          <cell r="R4713" t="str">
            <v>-</v>
          </cell>
          <cell r="S4713" t="str">
            <v>-</v>
          </cell>
          <cell r="T4713" t="str">
            <v>-</v>
          </cell>
          <cell r="U4713" t="str">
            <v>-</v>
          </cell>
          <cell r="V4713" t="str">
            <v>D</v>
          </cell>
          <cell r="W4713" t="str">
            <v>-</v>
          </cell>
          <cell r="X4713" t="str">
            <v>CLP 220 (-15/+40°C)</v>
          </cell>
          <cell r="Y4713" t="str">
            <v>R87DRN132M4 /TF</v>
          </cell>
          <cell r="Z4713" t="str">
            <v>SEW</v>
          </cell>
          <cell r="AB4713" t="str">
            <v>-</v>
          </cell>
          <cell r="AF4713">
            <v>63</v>
          </cell>
          <cell r="AG4713" t="str">
            <v>DRN132M4</v>
          </cell>
          <cell r="AH4713" t="str">
            <v>R87-DRN132M4270-X</v>
          </cell>
        </row>
        <row r="4714">
          <cell r="A4714" t="str">
            <v>MR004703</v>
          </cell>
          <cell r="B4714" t="str">
            <v>MR</v>
          </cell>
          <cell r="C4714">
            <v>5.5</v>
          </cell>
          <cell r="D4714">
            <v>80</v>
          </cell>
          <cell r="E4714" t="str">
            <v>FH67</v>
          </cell>
          <cell r="F4714">
            <v>660</v>
          </cell>
          <cell r="G4714">
            <v>18.29</v>
          </cell>
          <cell r="H4714">
            <v>1.25</v>
          </cell>
          <cell r="I4714" t="str">
            <v xml:space="preserve"> M5 </v>
          </cell>
          <cell r="J4714" t="str">
            <v>IE3</v>
          </cell>
          <cell r="K4714" t="str">
            <v>230/400</v>
          </cell>
          <cell r="L4714">
            <v>50</v>
          </cell>
          <cell r="M4714" t="str">
            <v>18,2/10,5</v>
          </cell>
          <cell r="N4714">
            <v>55</v>
          </cell>
          <cell r="O4714" t="str">
            <v>155(F)</v>
          </cell>
          <cell r="P4714" t="str">
            <v>180°</v>
          </cell>
          <cell r="Q4714" t="str">
            <v>TF</v>
          </cell>
          <cell r="R4714" t="str">
            <v>-</v>
          </cell>
          <cell r="S4714" t="str">
            <v>-</v>
          </cell>
          <cell r="T4714" t="str">
            <v>-</v>
          </cell>
          <cell r="U4714" t="str">
            <v>G</v>
          </cell>
          <cell r="V4714" t="str">
            <v>D</v>
          </cell>
          <cell r="W4714" t="str">
            <v>-</v>
          </cell>
          <cell r="X4714" t="str">
            <v>CLP 220 (-15/+40°C)</v>
          </cell>
          <cell r="Y4714" t="str">
            <v>FH67/G DRN132S4 /TF</v>
          </cell>
          <cell r="Z4714" t="str">
            <v>SEW</v>
          </cell>
          <cell r="AB4714" t="str">
            <v>-</v>
          </cell>
          <cell r="AF4714">
            <v>80</v>
          </cell>
          <cell r="AG4714" t="str">
            <v>DRN132S4</v>
          </cell>
          <cell r="AH4714" t="str">
            <v>FH67G-DRN132S4180-X</v>
          </cell>
        </row>
        <row r="4715">
          <cell r="A4715" t="str">
            <v>MR004704</v>
          </cell>
          <cell r="B4715" t="str">
            <v>MR</v>
          </cell>
          <cell r="C4715">
            <v>7.5</v>
          </cell>
          <cell r="D4715">
            <v>17</v>
          </cell>
          <cell r="E4715" t="str">
            <v>KH97</v>
          </cell>
          <cell r="F4715">
            <v>4220</v>
          </cell>
          <cell r="G4715">
            <v>86.52</v>
          </cell>
          <cell r="H4715">
            <v>1</v>
          </cell>
          <cell r="I4715" t="str">
            <v>M1B</v>
          </cell>
          <cell r="J4715" t="str">
            <v>IE3</v>
          </cell>
          <cell r="K4715" t="str">
            <v>400/690</v>
          </cell>
          <cell r="L4715">
            <v>50</v>
          </cell>
          <cell r="M4715" t="str">
            <v>15,2/8,8</v>
          </cell>
          <cell r="N4715">
            <v>55</v>
          </cell>
          <cell r="O4715" t="str">
            <v>155(F)</v>
          </cell>
          <cell r="P4715" t="str">
            <v>0°</v>
          </cell>
          <cell r="Q4715" t="str">
            <v>TF</v>
          </cell>
          <cell r="R4715" t="str">
            <v>-</v>
          </cell>
          <cell r="S4715" t="str">
            <v>-</v>
          </cell>
          <cell r="T4715" t="str">
            <v>-</v>
          </cell>
          <cell r="U4715" t="str">
            <v>-</v>
          </cell>
          <cell r="V4715" t="str">
            <v>SS</v>
          </cell>
          <cell r="W4715" t="str">
            <v>-</v>
          </cell>
          <cell r="X4715" t="str">
            <v>CLP 220 (-15/+40°C)</v>
          </cell>
          <cell r="Y4715" t="str">
            <v>KH97DRN132M4 /TF</v>
          </cell>
          <cell r="AB4715" t="str">
            <v>-</v>
          </cell>
          <cell r="AF4715">
            <v>17</v>
          </cell>
          <cell r="AG4715" t="str">
            <v>DRN132M4</v>
          </cell>
          <cell r="AH4715" t="str">
            <v>KH97-DRN132M4B0-X</v>
          </cell>
        </row>
        <row r="4716">
          <cell r="A4716" t="str">
            <v>MR004705</v>
          </cell>
          <cell r="B4716" t="str">
            <v>MR</v>
          </cell>
          <cell r="C4716">
            <v>5.5</v>
          </cell>
          <cell r="D4716">
            <v>14</v>
          </cell>
          <cell r="E4716" t="str">
            <v>KH97</v>
          </cell>
          <cell r="F4716">
            <v>3780</v>
          </cell>
          <cell r="G4716">
            <v>105.13</v>
          </cell>
          <cell r="H4716">
            <v>1.1499999999999999</v>
          </cell>
          <cell r="I4716" t="str">
            <v>From M1A to M2A - 30°</v>
          </cell>
          <cell r="J4716" t="str">
            <v>IE3</v>
          </cell>
          <cell r="K4716" t="str">
            <v>230/400</v>
          </cell>
          <cell r="L4716">
            <v>50</v>
          </cell>
          <cell r="M4716" t="str">
            <v>18,2/10,5</v>
          </cell>
          <cell r="N4716">
            <v>55</v>
          </cell>
          <cell r="O4716" t="str">
            <v>155(F)</v>
          </cell>
          <cell r="P4716" t="str">
            <v>270°</v>
          </cell>
          <cell r="Q4716" t="str">
            <v>TF</v>
          </cell>
          <cell r="R4716" t="str">
            <v>-</v>
          </cell>
          <cell r="S4716" t="str">
            <v>-</v>
          </cell>
          <cell r="T4716" t="str">
            <v>-</v>
          </cell>
          <cell r="U4716" t="str">
            <v>-</v>
          </cell>
          <cell r="V4716" t="str">
            <v>SS</v>
          </cell>
          <cell r="W4716" t="str">
            <v>-</v>
          </cell>
          <cell r="X4716" t="str">
            <v>CLP 220 (-15/+40°C)</v>
          </cell>
          <cell r="Y4716" t="str">
            <v>KH97DRN132S4 /TF</v>
          </cell>
          <cell r="Z4716" t="str">
            <v>SEW</v>
          </cell>
          <cell r="AB4716" t="str">
            <v>-</v>
          </cell>
          <cell r="AF4716">
            <v>14</v>
          </cell>
          <cell r="AG4716" t="str">
            <v>DRN132S4</v>
          </cell>
          <cell r="AH4716" t="str">
            <v>KH97-DRN132S4A270-X</v>
          </cell>
        </row>
        <row r="4717">
          <cell r="A4717" t="str">
            <v>MR004706</v>
          </cell>
          <cell r="B4717" t="str">
            <v>MR</v>
          </cell>
          <cell r="C4717">
            <v>5.5</v>
          </cell>
          <cell r="D4717">
            <v>14</v>
          </cell>
          <cell r="E4717" t="str">
            <v>KH97</v>
          </cell>
          <cell r="F4717">
            <v>3780</v>
          </cell>
          <cell r="G4717">
            <v>105.13</v>
          </cell>
          <cell r="H4717">
            <v>1.1499999999999999</v>
          </cell>
          <cell r="I4717" t="str">
            <v>From M1B to M2B - 30°</v>
          </cell>
          <cell r="J4717" t="str">
            <v>IE3</v>
          </cell>
          <cell r="K4717" t="str">
            <v>230/400</v>
          </cell>
          <cell r="L4717">
            <v>50</v>
          </cell>
          <cell r="M4717" t="str">
            <v>18,2/10,5</v>
          </cell>
          <cell r="N4717">
            <v>55</v>
          </cell>
          <cell r="O4717" t="str">
            <v>155(F)</v>
          </cell>
          <cell r="P4717" t="str">
            <v>270°</v>
          </cell>
          <cell r="Q4717" t="str">
            <v>TF</v>
          </cell>
          <cell r="R4717" t="str">
            <v>-</v>
          </cell>
          <cell r="S4717" t="str">
            <v>-</v>
          </cell>
          <cell r="T4717" t="str">
            <v>-</v>
          </cell>
          <cell r="U4717" t="str">
            <v>-</v>
          </cell>
          <cell r="V4717" t="str">
            <v>SS</v>
          </cell>
          <cell r="W4717" t="str">
            <v>-</v>
          </cell>
          <cell r="X4717" t="str">
            <v>CLP 220 (-15/+40°C)</v>
          </cell>
          <cell r="Y4717" t="str">
            <v>KH97DRN132S4 /TF</v>
          </cell>
          <cell r="Z4717" t="str">
            <v>SEW</v>
          </cell>
          <cell r="AB4717" t="str">
            <v>-</v>
          </cell>
          <cell r="AF4717">
            <v>14</v>
          </cell>
          <cell r="AG4717" t="str">
            <v>DRN132S4</v>
          </cell>
          <cell r="AH4717" t="str">
            <v>KH97-DRN132S4B270-X</v>
          </cell>
        </row>
        <row r="4718">
          <cell r="A4718" t="str">
            <v>MR004707</v>
          </cell>
          <cell r="B4718" t="str">
            <v>MR</v>
          </cell>
          <cell r="C4718">
            <v>15</v>
          </cell>
          <cell r="D4718">
            <v>12</v>
          </cell>
          <cell r="E4718" t="str">
            <v>KH157</v>
          </cell>
          <cell r="F4718">
            <v>11900</v>
          </cell>
          <cell r="G4718">
            <v>122.39</v>
          </cell>
          <cell r="H4718">
            <v>1.7</v>
          </cell>
          <cell r="I4718" t="str">
            <v>From M1A to M2A - 20°</v>
          </cell>
          <cell r="J4718" t="str">
            <v>IE3</v>
          </cell>
          <cell r="K4718" t="str">
            <v>400/690</v>
          </cell>
          <cell r="L4718">
            <v>50</v>
          </cell>
          <cell r="M4718" t="str">
            <v>29/16,7</v>
          </cell>
          <cell r="N4718">
            <v>55</v>
          </cell>
          <cell r="O4718" t="str">
            <v>155(F)</v>
          </cell>
          <cell r="P4718" t="str">
            <v>180°</v>
          </cell>
          <cell r="Q4718" t="str">
            <v>TF</v>
          </cell>
          <cell r="R4718" t="str">
            <v>V(VE)</v>
          </cell>
          <cell r="S4718" t="str">
            <v>-</v>
          </cell>
          <cell r="T4718" t="str">
            <v>-</v>
          </cell>
          <cell r="U4718" t="str">
            <v>-</v>
          </cell>
          <cell r="V4718" t="str">
            <v>FC</v>
          </cell>
          <cell r="W4718" t="str">
            <v>-</v>
          </cell>
          <cell r="X4718" t="str">
            <v>CLP 220 (-15/+40°C)</v>
          </cell>
          <cell r="Y4718" t="str">
            <v>KH157DRN160L4 /TF/V</v>
          </cell>
          <cell r="Z4718" t="str">
            <v>SEW</v>
          </cell>
          <cell r="AB4718" t="str">
            <v>-</v>
          </cell>
          <cell r="AF4718">
            <v>12</v>
          </cell>
          <cell r="AG4718" t="str">
            <v>DRN160L4</v>
          </cell>
          <cell r="AH4718" t="str">
            <v>KH157-DRN160L4A180-X#</v>
          </cell>
        </row>
        <row r="4719">
          <cell r="A4719" t="str">
            <v>MR004708</v>
          </cell>
          <cell r="B4719" t="str">
            <v>MR</v>
          </cell>
          <cell r="C4719">
            <v>15</v>
          </cell>
          <cell r="D4719">
            <v>12</v>
          </cell>
          <cell r="E4719" t="str">
            <v>KH157</v>
          </cell>
          <cell r="F4719">
            <v>11900</v>
          </cell>
          <cell r="G4719">
            <v>122.39</v>
          </cell>
          <cell r="H4719">
            <v>1.7</v>
          </cell>
          <cell r="I4719" t="str">
            <v>From M1B to M2B - 20°</v>
          </cell>
          <cell r="J4719" t="str">
            <v>IE3</v>
          </cell>
          <cell r="K4719" t="str">
            <v>400/690</v>
          </cell>
          <cell r="L4719">
            <v>50</v>
          </cell>
          <cell r="M4719" t="str">
            <v>29/16,7</v>
          </cell>
          <cell r="N4719">
            <v>55</v>
          </cell>
          <cell r="O4719" t="str">
            <v>155(F)</v>
          </cell>
          <cell r="P4719" t="str">
            <v>0°</v>
          </cell>
          <cell r="Q4719" t="str">
            <v>TF</v>
          </cell>
          <cell r="R4719" t="str">
            <v>V(VE)</v>
          </cell>
          <cell r="S4719" t="str">
            <v>-</v>
          </cell>
          <cell r="T4719" t="str">
            <v>-</v>
          </cell>
          <cell r="U4719" t="str">
            <v>-</v>
          </cell>
          <cell r="V4719" t="str">
            <v>FC</v>
          </cell>
          <cell r="W4719" t="str">
            <v>-</v>
          </cell>
          <cell r="X4719" t="str">
            <v>CLP 220 (-15/+40°C)</v>
          </cell>
          <cell r="Y4719" t="str">
            <v>KH157DRN160L4 /TF/V</v>
          </cell>
          <cell r="Z4719" t="str">
            <v>SEW</v>
          </cell>
          <cell r="AB4719" t="str">
            <v>-</v>
          </cell>
          <cell r="AF4719">
            <v>12</v>
          </cell>
          <cell r="AG4719" t="str">
            <v>DRN160L4</v>
          </cell>
          <cell r="AH4719" t="str">
            <v>KH157-DRN160L4B0-X#</v>
          </cell>
        </row>
        <row r="4720">
          <cell r="A4720" t="str">
            <v>MR004709</v>
          </cell>
          <cell r="B4720" t="str">
            <v>MR</v>
          </cell>
          <cell r="C4720">
            <v>5.5</v>
          </cell>
          <cell r="D4720">
            <v>80</v>
          </cell>
          <cell r="E4720" t="str">
            <v>FH67</v>
          </cell>
          <cell r="F4720">
            <v>660</v>
          </cell>
          <cell r="G4720">
            <v>18.29</v>
          </cell>
          <cell r="H4720">
            <v>1.3</v>
          </cell>
          <cell r="I4720" t="str">
            <v>M6</v>
          </cell>
          <cell r="J4720" t="str">
            <v>IE3</v>
          </cell>
          <cell r="K4720" t="str">
            <v>230/400</v>
          </cell>
          <cell r="L4720">
            <v>50</v>
          </cell>
          <cell r="M4720" t="str">
            <v>18,2/10,5</v>
          </cell>
          <cell r="N4720">
            <v>55</v>
          </cell>
          <cell r="O4720" t="str">
            <v>155(F)</v>
          </cell>
          <cell r="P4720" t="str">
            <v>0°</v>
          </cell>
          <cell r="Q4720" t="str">
            <v>TF</v>
          </cell>
          <cell r="R4720" t="str">
            <v>-</v>
          </cell>
          <cell r="S4720" t="str">
            <v>-</v>
          </cell>
          <cell r="T4720" t="str">
            <v>-</v>
          </cell>
          <cell r="U4720" t="str">
            <v>G</v>
          </cell>
          <cell r="V4720" t="str">
            <v>D</v>
          </cell>
          <cell r="W4720" t="str">
            <v>-</v>
          </cell>
          <cell r="X4720" t="str">
            <v>CLP 220 (-15/+40°C)</v>
          </cell>
          <cell r="Y4720" t="str">
            <v>FH67/G DRN132S4 /TF</v>
          </cell>
          <cell r="Z4720" t="str">
            <v>SEW</v>
          </cell>
          <cell r="AB4720" t="str">
            <v>-</v>
          </cell>
          <cell r="AF4720">
            <v>80</v>
          </cell>
          <cell r="AG4720" t="str">
            <v>DRN132S4</v>
          </cell>
          <cell r="AH4720" t="str">
            <v>FH67G-DRN132S40-X</v>
          </cell>
        </row>
        <row r="4721">
          <cell r="A4721" t="str">
            <v>MR004710</v>
          </cell>
          <cell r="B4721" t="str">
            <v>MR</v>
          </cell>
          <cell r="C4721">
            <v>5.5</v>
          </cell>
          <cell r="D4721">
            <v>80</v>
          </cell>
          <cell r="E4721" t="str">
            <v>FH67</v>
          </cell>
          <cell r="F4721">
            <v>660</v>
          </cell>
          <cell r="G4721">
            <v>18.29</v>
          </cell>
          <cell r="H4721">
            <v>1.3</v>
          </cell>
          <cell r="I4721" t="str">
            <v>From M6 to M3-25°</v>
          </cell>
          <cell r="J4721" t="str">
            <v>IE3</v>
          </cell>
          <cell r="K4721" t="str">
            <v>230/400</v>
          </cell>
          <cell r="L4721">
            <v>50</v>
          </cell>
          <cell r="M4721" t="str">
            <v>18,2/10,5</v>
          </cell>
          <cell r="N4721">
            <v>55</v>
          </cell>
          <cell r="O4721" t="str">
            <v>155(F)</v>
          </cell>
          <cell r="P4721" t="str">
            <v>0°</v>
          </cell>
          <cell r="Q4721" t="str">
            <v>TF</v>
          </cell>
          <cell r="R4721" t="str">
            <v>-</v>
          </cell>
          <cell r="S4721" t="str">
            <v>Free rotation CCW</v>
          </cell>
          <cell r="T4721" t="str">
            <v>-</v>
          </cell>
          <cell r="U4721" t="str">
            <v>G</v>
          </cell>
          <cell r="V4721" t="str">
            <v>D</v>
          </cell>
          <cell r="W4721" t="str">
            <v>-</v>
          </cell>
          <cell r="X4721" t="str">
            <v>CLP 220 (-15/+40°C)</v>
          </cell>
          <cell r="Y4721" t="str">
            <v>FH67/G DRN132S4 /RS /TF</v>
          </cell>
          <cell r="Z4721" t="str">
            <v>SEW</v>
          </cell>
          <cell r="AB4721" t="str">
            <v>-</v>
          </cell>
          <cell r="AF4721">
            <v>80</v>
          </cell>
          <cell r="AG4721" t="str">
            <v>DRN132S4</v>
          </cell>
          <cell r="AH4721" t="str">
            <v>FH67G-DRN132S40-X</v>
          </cell>
        </row>
        <row r="4722">
          <cell r="A4722" t="str">
            <v>MR004711</v>
          </cell>
          <cell r="B4722" t="str">
            <v>MR</v>
          </cell>
          <cell r="C4722">
            <v>11</v>
          </cell>
          <cell r="D4722">
            <v>11</v>
          </cell>
          <cell r="E4722" t="str">
            <v>KH127</v>
          </cell>
          <cell r="F4722">
            <v>9700</v>
          </cell>
          <cell r="G4722">
            <v>136.15</v>
          </cell>
          <cell r="H4722">
            <v>1.35</v>
          </cell>
          <cell r="I4722" t="str">
            <v>M1B</v>
          </cell>
          <cell r="J4722" t="str">
            <v>IE3</v>
          </cell>
          <cell r="K4722" t="str">
            <v>400/690</v>
          </cell>
          <cell r="L4722">
            <v>50</v>
          </cell>
          <cell r="M4722" t="str">
            <v>21/12,2</v>
          </cell>
          <cell r="N4722">
            <v>55</v>
          </cell>
          <cell r="O4722" t="str">
            <v>155(F)</v>
          </cell>
          <cell r="P4722" t="str">
            <v>0°</v>
          </cell>
          <cell r="Q4722" t="str">
            <v>TF</v>
          </cell>
          <cell r="R4722" t="str">
            <v>V(VE)</v>
          </cell>
          <cell r="S4722" t="str">
            <v>-</v>
          </cell>
          <cell r="T4722" t="str">
            <v>-</v>
          </cell>
          <cell r="U4722" t="str">
            <v>-</v>
          </cell>
          <cell r="V4722" t="str">
            <v>FC</v>
          </cell>
          <cell r="W4722" t="str">
            <v>-</v>
          </cell>
          <cell r="X4722" t="str">
            <v>CLP 220 (-15/+40°C)</v>
          </cell>
          <cell r="Y4722" t="str">
            <v>KH127DRN160M4 /TF/V</v>
          </cell>
          <cell r="Z4722" t="str">
            <v>SEW</v>
          </cell>
          <cell r="AB4722" t="str">
            <v>-</v>
          </cell>
          <cell r="AF4722">
            <v>11</v>
          </cell>
          <cell r="AG4722" t="str">
            <v>DRN160M4</v>
          </cell>
          <cell r="AH4722" t="str">
            <v>KH127-DRN160M4B0-X#</v>
          </cell>
        </row>
        <row r="4723">
          <cell r="A4723" t="str">
            <v>MR004712</v>
          </cell>
          <cell r="B4723" t="str">
            <v>MR</v>
          </cell>
          <cell r="C4723">
            <v>11</v>
          </cell>
          <cell r="D4723">
            <v>11</v>
          </cell>
          <cell r="E4723" t="str">
            <v>KH127</v>
          </cell>
          <cell r="F4723">
            <v>9700</v>
          </cell>
          <cell r="G4723">
            <v>136.15</v>
          </cell>
          <cell r="H4723">
            <v>1.35</v>
          </cell>
          <cell r="I4723" t="str">
            <v>M1A</v>
          </cell>
          <cell r="J4723" t="str">
            <v>IE3</v>
          </cell>
          <cell r="K4723" t="str">
            <v>400/690</v>
          </cell>
          <cell r="L4723">
            <v>50</v>
          </cell>
          <cell r="M4723" t="str">
            <v>21/12,2</v>
          </cell>
          <cell r="N4723">
            <v>55</v>
          </cell>
          <cell r="O4723" t="str">
            <v>155(F)</v>
          </cell>
          <cell r="P4723" t="str">
            <v>180°</v>
          </cell>
          <cell r="Q4723" t="str">
            <v>TF</v>
          </cell>
          <cell r="R4723" t="str">
            <v>V(VE)</v>
          </cell>
          <cell r="S4723" t="str">
            <v>-</v>
          </cell>
          <cell r="T4723" t="str">
            <v>-</v>
          </cell>
          <cell r="U4723" t="str">
            <v>-</v>
          </cell>
          <cell r="V4723" t="str">
            <v>FC</v>
          </cell>
          <cell r="W4723" t="str">
            <v>-</v>
          </cell>
          <cell r="X4723" t="str">
            <v>CLP 220 (-15/+40°C)</v>
          </cell>
          <cell r="Y4723" t="str">
            <v>KH127DRN160M4 /TF/V</v>
          </cell>
          <cell r="Z4723" t="str">
            <v>SEW</v>
          </cell>
          <cell r="AB4723" t="str">
            <v>-</v>
          </cell>
          <cell r="AF4723">
            <v>11</v>
          </cell>
          <cell r="AG4723" t="str">
            <v>DRN160M4</v>
          </cell>
          <cell r="AH4723" t="str">
            <v>KH127-DRN160M4A180-X#</v>
          </cell>
        </row>
        <row r="4724">
          <cell r="A4724" t="str">
            <v>MR004713</v>
          </cell>
          <cell r="B4724" t="str">
            <v>MR</v>
          </cell>
          <cell r="C4724">
            <v>22</v>
          </cell>
          <cell r="D4724">
            <v>110</v>
          </cell>
          <cell r="E4724" t="str">
            <v>KH107</v>
          </cell>
          <cell r="F4724">
            <v>1910</v>
          </cell>
          <cell r="G4724">
            <v>13.43</v>
          </cell>
          <cell r="H4724">
            <v>2.2999999999999998</v>
          </cell>
          <cell r="I4724" t="str">
            <v>From M4B to M1B-5°</v>
          </cell>
          <cell r="J4724" t="str">
            <v>IE3</v>
          </cell>
          <cell r="K4724" t="str">
            <v>400/690</v>
          </cell>
          <cell r="L4724">
            <v>50</v>
          </cell>
          <cell r="M4724" t="str">
            <v>38,5/22,5</v>
          </cell>
          <cell r="N4724">
            <v>55</v>
          </cell>
          <cell r="O4724" t="str">
            <v>155(F)</v>
          </cell>
          <cell r="P4724" t="str">
            <v>270°</v>
          </cell>
          <cell r="Q4724" t="str">
            <v>TF</v>
          </cell>
          <cell r="R4724" t="str">
            <v>-</v>
          </cell>
          <cell r="S4724" t="str">
            <v>Free rotation CW</v>
          </cell>
          <cell r="T4724" t="str">
            <v>-</v>
          </cell>
          <cell r="U4724" t="str">
            <v>T</v>
          </cell>
          <cell r="V4724" t="str">
            <v>SS</v>
          </cell>
          <cell r="W4724" t="str">
            <v>-</v>
          </cell>
          <cell r="X4724" t="str">
            <v>CLP 220 (-15/+40°C)</v>
          </cell>
          <cell r="Y4724" t="str">
            <v>KH107/T DRN180L4 /RS /TF</v>
          </cell>
          <cell r="Z4724" t="str">
            <v>SEW</v>
          </cell>
          <cell r="AB4724" t="str">
            <v>-</v>
          </cell>
          <cell r="AF4724">
            <v>110</v>
          </cell>
          <cell r="AG4724" t="str">
            <v>DRN180L4</v>
          </cell>
          <cell r="AH4724" t="str">
            <v>KH107T-DRN180L4B270-X</v>
          </cell>
        </row>
        <row r="4725">
          <cell r="A4725" t="str">
            <v>MR004714</v>
          </cell>
          <cell r="B4725" t="str">
            <v>MR</v>
          </cell>
          <cell r="C4725">
            <v>22</v>
          </cell>
          <cell r="D4725">
            <v>110</v>
          </cell>
          <cell r="E4725" t="str">
            <v>KH107</v>
          </cell>
          <cell r="F4725">
            <v>1910</v>
          </cell>
          <cell r="G4725">
            <v>13.43</v>
          </cell>
          <cell r="H4725">
            <v>2.2999999999999998</v>
          </cell>
          <cell r="I4725" t="str">
            <v>From M4A to M1A-5°</v>
          </cell>
          <cell r="J4725" t="str">
            <v>IE3</v>
          </cell>
          <cell r="K4725" t="str">
            <v>400/690</v>
          </cell>
          <cell r="L4725">
            <v>50</v>
          </cell>
          <cell r="M4725" t="str">
            <v>38,5/22,5</v>
          </cell>
          <cell r="N4725">
            <v>55</v>
          </cell>
          <cell r="O4725" t="str">
            <v>155(F)</v>
          </cell>
          <cell r="P4725" t="str">
            <v>270°</v>
          </cell>
          <cell r="Q4725" t="str">
            <v>TF</v>
          </cell>
          <cell r="R4725" t="str">
            <v>-</v>
          </cell>
          <cell r="S4725" t="str">
            <v>Free rotation CCW</v>
          </cell>
          <cell r="T4725" t="str">
            <v>-</v>
          </cell>
          <cell r="U4725" t="str">
            <v>T</v>
          </cell>
          <cell r="V4725" t="str">
            <v>SS</v>
          </cell>
          <cell r="W4725" t="str">
            <v>-</v>
          </cell>
          <cell r="X4725" t="str">
            <v>CLP 220 (-15/+40°C)</v>
          </cell>
          <cell r="Y4725" t="str">
            <v>KH107/T DRN180L4 /RS /TF</v>
          </cell>
          <cell r="Z4725" t="str">
            <v>SEW</v>
          </cell>
          <cell r="AB4725" t="str">
            <v>-</v>
          </cell>
          <cell r="AF4725">
            <v>110</v>
          </cell>
          <cell r="AG4725" t="str">
            <v>DRN180L4</v>
          </cell>
          <cell r="AH4725" t="str">
            <v>KH107T-DRN180L4A270-X</v>
          </cell>
        </row>
        <row r="4726">
          <cell r="A4726" t="str">
            <v>MR004715</v>
          </cell>
          <cell r="B4726" t="str">
            <v>MR</v>
          </cell>
          <cell r="C4726">
            <v>0.75</v>
          </cell>
          <cell r="D4726">
            <v>162</v>
          </cell>
          <cell r="E4726" t="str">
            <v>KA37</v>
          </cell>
          <cell r="F4726">
            <v>44</v>
          </cell>
          <cell r="G4726">
            <v>8.91</v>
          </cell>
          <cell r="H4726">
            <v>3.6</v>
          </cell>
          <cell r="I4726" t="str">
            <v>From M3B to M4B - 5°</v>
          </cell>
          <cell r="J4726" t="str">
            <v>IE3</v>
          </cell>
          <cell r="K4726" t="str">
            <v>230/400</v>
          </cell>
          <cell r="L4726">
            <v>50</v>
          </cell>
          <cell r="M4726" t="str">
            <v>3,05/1,75</v>
          </cell>
          <cell r="N4726">
            <v>55</v>
          </cell>
          <cell r="O4726" t="str">
            <v>155(F)</v>
          </cell>
          <cell r="P4726" t="str">
            <v>0°</v>
          </cell>
          <cell r="Q4726" t="str">
            <v>TF</v>
          </cell>
          <cell r="R4726" t="str">
            <v>-</v>
          </cell>
          <cell r="S4726" t="str">
            <v>-</v>
          </cell>
          <cell r="T4726" t="str">
            <v>-</v>
          </cell>
          <cell r="U4726" t="str">
            <v>T</v>
          </cell>
          <cell r="V4726" t="str">
            <v>D</v>
          </cell>
          <cell r="W4726" t="str">
            <v>-</v>
          </cell>
          <cell r="X4726" t="str">
            <v>CLP 220 (-15/+40°C)</v>
          </cell>
          <cell r="Y4726" t="str">
            <v>KA37/T DRN80M4 /TF</v>
          </cell>
          <cell r="Z4726" t="str">
            <v>SEW</v>
          </cell>
          <cell r="AB4726" t="str">
            <v>-</v>
          </cell>
          <cell r="AF4726">
            <v>162</v>
          </cell>
          <cell r="AG4726" t="str">
            <v>DRN80M4</v>
          </cell>
          <cell r="AH4726" t="str">
            <v>KA37T-DRN80M4B0-X</v>
          </cell>
        </row>
        <row r="4727">
          <cell r="A4727" t="str">
            <v>MR004716</v>
          </cell>
          <cell r="B4727" t="str">
            <v>MR</v>
          </cell>
          <cell r="C4727">
            <v>0.37</v>
          </cell>
          <cell r="D4727">
            <v>6.2</v>
          </cell>
          <cell r="E4727" t="str">
            <v>FH67</v>
          </cell>
          <cell r="F4727">
            <v>570</v>
          </cell>
          <cell r="G4727">
            <v>229</v>
          </cell>
          <cell r="H4727">
            <v>1.45</v>
          </cell>
          <cell r="I4727" t="str">
            <v>From M6 to M3 - 5°</v>
          </cell>
          <cell r="J4727" t="str">
            <v>IE3</v>
          </cell>
          <cell r="K4727" t="str">
            <v>230/400</v>
          </cell>
          <cell r="L4727">
            <v>50</v>
          </cell>
          <cell r="M4727" t="str">
            <v>1,78/1,02</v>
          </cell>
          <cell r="N4727">
            <v>55</v>
          </cell>
          <cell r="O4727" t="str">
            <v>155(F)</v>
          </cell>
          <cell r="P4727" t="str">
            <v>0°</v>
          </cell>
          <cell r="Q4727" t="str">
            <v>TF</v>
          </cell>
          <cell r="R4727" t="str">
            <v>-</v>
          </cell>
          <cell r="S4727" t="str">
            <v>-</v>
          </cell>
          <cell r="T4727" t="str">
            <v>-</v>
          </cell>
          <cell r="U4727" t="str">
            <v>G</v>
          </cell>
          <cell r="V4727" t="str">
            <v>D</v>
          </cell>
          <cell r="W4727" t="str">
            <v>-</v>
          </cell>
          <cell r="X4727" t="str">
            <v>CLP 220 (-15/+40°C)</v>
          </cell>
          <cell r="Y4727" t="str">
            <v>FH67/G DRN71M4 /TF</v>
          </cell>
          <cell r="Z4727" t="str">
            <v>SEW</v>
          </cell>
          <cell r="AB4727" t="str">
            <v>-</v>
          </cell>
          <cell r="AF4727">
            <v>6.2</v>
          </cell>
          <cell r="AG4727" t="str">
            <v>DRN71M4</v>
          </cell>
          <cell r="AH4727" t="str">
            <v>FH67G-DRN71M40-X</v>
          </cell>
        </row>
        <row r="4728">
          <cell r="A4728" t="str">
            <v>MR004717</v>
          </cell>
          <cell r="B4728" t="str">
            <v>MR</v>
          </cell>
          <cell r="C4728">
            <v>30</v>
          </cell>
          <cell r="D4728">
            <v>47</v>
          </cell>
          <cell r="E4728" t="str">
            <v>KH107</v>
          </cell>
          <cell r="F4728">
            <v>6050</v>
          </cell>
          <cell r="G4728">
            <v>31.28</v>
          </cell>
          <cell r="H4728">
            <v>1.1000000000000001</v>
          </cell>
          <cell r="I4728" t="str">
            <v>From M4B to M1B-30°</v>
          </cell>
          <cell r="J4728" t="str">
            <v>IE3</v>
          </cell>
          <cell r="K4728">
            <v>415</v>
          </cell>
          <cell r="L4728">
            <v>50</v>
          </cell>
          <cell r="M4728">
            <v>54</v>
          </cell>
          <cell r="N4728">
            <v>55</v>
          </cell>
          <cell r="O4728" t="str">
            <v>155(F)</v>
          </cell>
          <cell r="P4728" t="str">
            <v>270°</v>
          </cell>
          <cell r="Q4728" t="str">
            <v>TF</v>
          </cell>
          <cell r="R4728" t="str">
            <v>-</v>
          </cell>
          <cell r="S4728" t="str">
            <v>Free rotation CW</v>
          </cell>
          <cell r="T4728" t="str">
            <v>-</v>
          </cell>
          <cell r="U4728" t="str">
            <v>T</v>
          </cell>
          <cell r="V4728" t="str">
            <v>SS</v>
          </cell>
          <cell r="W4728" t="str">
            <v>-</v>
          </cell>
          <cell r="X4728" t="str">
            <v>CLP HC 220 (-25/+60°C)</v>
          </cell>
          <cell r="Y4728" t="str">
            <v>KH107/T DRN200L4 /RS /TF</v>
          </cell>
          <cell r="Z4728" t="str">
            <v>SEW</v>
          </cell>
          <cell r="AB4728" t="str">
            <v>-</v>
          </cell>
          <cell r="AF4728">
            <v>47</v>
          </cell>
          <cell r="AG4728" t="str">
            <v>DRN200L4</v>
          </cell>
          <cell r="AH4728" t="str">
            <v>KH107T-DRN200L4B270-X</v>
          </cell>
        </row>
        <row r="4729">
          <cell r="A4729" t="str">
            <v>MR004718</v>
          </cell>
          <cell r="B4729" t="str">
            <v>MR</v>
          </cell>
          <cell r="C4729">
            <v>0.75</v>
          </cell>
          <cell r="D4729">
            <v>162</v>
          </cell>
          <cell r="E4729" t="str">
            <v>KA37</v>
          </cell>
          <cell r="F4729">
            <v>44</v>
          </cell>
          <cell r="G4729">
            <v>8.91</v>
          </cell>
          <cell r="H4729">
            <v>3.6</v>
          </cell>
          <cell r="I4729" t="str">
            <v>From M3A to M2A - 30°</v>
          </cell>
          <cell r="J4729" t="str">
            <v>IE3</v>
          </cell>
          <cell r="K4729" t="str">
            <v>240/415</v>
          </cell>
          <cell r="L4729">
            <v>50</v>
          </cell>
          <cell r="M4729" t="str">
            <v>2,9/1,69</v>
          </cell>
          <cell r="N4729">
            <v>55</v>
          </cell>
          <cell r="O4729" t="str">
            <v>155(F)</v>
          </cell>
          <cell r="P4729" t="str">
            <v>180°</v>
          </cell>
          <cell r="Q4729" t="str">
            <v>TF</v>
          </cell>
          <cell r="R4729" t="str">
            <v>-</v>
          </cell>
          <cell r="S4729" t="str">
            <v>-</v>
          </cell>
          <cell r="T4729" t="str">
            <v>-</v>
          </cell>
          <cell r="U4729" t="str">
            <v>T</v>
          </cell>
          <cell r="V4729" t="str">
            <v>D</v>
          </cell>
          <cell r="W4729" t="str">
            <v>-</v>
          </cell>
          <cell r="X4729" t="str">
            <v>CLP HC 220 (-25/+60°C)</v>
          </cell>
          <cell r="Y4729" t="str">
            <v>KA37/T DRN80M4 /TF</v>
          </cell>
          <cell r="Z4729" t="str">
            <v>SEW</v>
          </cell>
          <cell r="AB4729" t="str">
            <v>-</v>
          </cell>
          <cell r="AF4729">
            <v>162</v>
          </cell>
          <cell r="AG4729" t="str">
            <v>DRN80M4</v>
          </cell>
          <cell r="AH4729" t="str">
            <v>KA37T-DRN80M4A180-X</v>
          </cell>
        </row>
        <row r="4730">
          <cell r="A4730" t="str">
            <v>MR004719</v>
          </cell>
          <cell r="B4730" t="str">
            <v>MR</v>
          </cell>
          <cell r="C4730">
            <v>0.55000000000000004</v>
          </cell>
          <cell r="D4730">
            <v>3.9</v>
          </cell>
          <cell r="E4730" t="str">
            <v>KA77R37</v>
          </cell>
          <cell r="F4730">
            <v>1210</v>
          </cell>
          <cell r="G4730">
            <v>367</v>
          </cell>
          <cell r="H4730">
            <v>1.25</v>
          </cell>
          <cell r="I4730" t="str">
            <v>M3B</v>
          </cell>
          <cell r="J4730" t="str">
            <v>IE3</v>
          </cell>
          <cell r="K4730" t="str">
            <v>240/415</v>
          </cell>
          <cell r="L4730">
            <v>50</v>
          </cell>
          <cell r="M4730" t="str">
            <v>2,15/1,25</v>
          </cell>
          <cell r="N4730">
            <v>55</v>
          </cell>
          <cell r="O4730" t="str">
            <v>155(F)</v>
          </cell>
          <cell r="P4730" t="str">
            <v>0°</v>
          </cell>
          <cell r="Q4730" t="str">
            <v>TF</v>
          </cell>
          <cell r="R4730" t="str">
            <v>-</v>
          </cell>
          <cell r="S4730" t="str">
            <v>-</v>
          </cell>
          <cell r="T4730" t="str">
            <v>BEHF</v>
          </cell>
          <cell r="U4730" t="str">
            <v>T</v>
          </cell>
          <cell r="V4730" t="str">
            <v>D+R</v>
          </cell>
          <cell r="W4730" t="str">
            <v>-</v>
          </cell>
          <cell r="X4730" t="str">
            <v>CLP HC 220 (-25/+60°C)</v>
          </cell>
          <cell r="Y4730" t="str">
            <v>KA77R37/T DRN80MK4 /BEHF /TF</v>
          </cell>
          <cell r="Z4730" t="str">
            <v>SEW</v>
          </cell>
          <cell r="AB4730" t="str">
            <v>-</v>
          </cell>
          <cell r="AF4730">
            <v>3.9</v>
          </cell>
          <cell r="AG4730" t="str">
            <v>DRN80MK4</v>
          </cell>
          <cell r="AH4730" t="str">
            <v>KA77R37T-DRN80MK4B0-X</v>
          </cell>
        </row>
        <row r="4731">
          <cell r="A4731" t="str">
            <v>MR004720</v>
          </cell>
          <cell r="B4731" t="str">
            <v>MR</v>
          </cell>
          <cell r="C4731">
            <v>0.55000000000000004</v>
          </cell>
          <cell r="D4731">
            <v>3.9</v>
          </cell>
          <cell r="E4731" t="str">
            <v>KA77R37</v>
          </cell>
          <cell r="F4731">
            <v>1210</v>
          </cell>
          <cell r="G4731">
            <v>367</v>
          </cell>
          <cell r="H4731">
            <v>1.25</v>
          </cell>
          <cell r="I4731" t="str">
            <v>M3A</v>
          </cell>
          <cell r="J4731" t="str">
            <v>IE3</v>
          </cell>
          <cell r="K4731" t="str">
            <v>240/415</v>
          </cell>
          <cell r="L4731">
            <v>50</v>
          </cell>
          <cell r="M4731" t="str">
            <v>2,15/1,25</v>
          </cell>
          <cell r="N4731">
            <v>55</v>
          </cell>
          <cell r="O4731" t="str">
            <v>155(F)</v>
          </cell>
          <cell r="P4731" t="str">
            <v>180°</v>
          </cell>
          <cell r="Q4731" t="str">
            <v>TF</v>
          </cell>
          <cell r="R4731" t="str">
            <v>-</v>
          </cell>
          <cell r="S4731" t="str">
            <v>-</v>
          </cell>
          <cell r="T4731" t="str">
            <v>BEHF</v>
          </cell>
          <cell r="U4731" t="str">
            <v>T</v>
          </cell>
          <cell r="V4731" t="str">
            <v>D+R</v>
          </cell>
          <cell r="W4731" t="str">
            <v>-</v>
          </cell>
          <cell r="X4731" t="str">
            <v>CLP HC 220 (-25/+60°C)</v>
          </cell>
          <cell r="Y4731" t="str">
            <v>KA77R37/T DRN80MK4 /BEHF /TF</v>
          </cell>
          <cell r="Z4731" t="str">
            <v>SEW</v>
          </cell>
          <cell r="AB4731" t="str">
            <v>-</v>
          </cell>
          <cell r="AF4731">
            <v>3.9</v>
          </cell>
          <cell r="AG4731" t="str">
            <v>DRN80MK4</v>
          </cell>
          <cell r="AH4731" t="str">
            <v>KA77R37T-DRN80MK4A180-X</v>
          </cell>
        </row>
        <row r="4732">
          <cell r="A4732" t="str">
            <v>MR004721</v>
          </cell>
          <cell r="B4732" t="str">
            <v>MR</v>
          </cell>
          <cell r="C4732">
            <v>3</v>
          </cell>
          <cell r="D4732">
            <v>62</v>
          </cell>
          <cell r="E4732" t="str">
            <v>R77</v>
          </cell>
          <cell r="F4732">
            <v>460</v>
          </cell>
          <cell r="G4732">
            <v>23.37</v>
          </cell>
          <cell r="H4732">
            <v>1.2</v>
          </cell>
          <cell r="I4732" t="str">
            <v>M1</v>
          </cell>
          <cell r="J4732" t="str">
            <v>IE3</v>
          </cell>
          <cell r="K4732" t="str">
            <v>240/415</v>
          </cell>
          <cell r="L4732">
            <v>50</v>
          </cell>
          <cell r="M4732" t="str">
            <v>11,4/6,6</v>
          </cell>
          <cell r="N4732">
            <v>55</v>
          </cell>
          <cell r="O4732" t="str">
            <v>155(F)</v>
          </cell>
          <cell r="P4732" t="str">
            <v>270°</v>
          </cell>
          <cell r="Q4732" t="str">
            <v>TF</v>
          </cell>
          <cell r="R4732" t="str">
            <v>-</v>
          </cell>
          <cell r="S4732" t="str">
            <v>-</v>
          </cell>
          <cell r="T4732" t="str">
            <v>-</v>
          </cell>
          <cell r="U4732" t="str">
            <v>-</v>
          </cell>
          <cell r="V4732" t="str">
            <v>D</v>
          </cell>
          <cell r="W4732" t="str">
            <v>-</v>
          </cell>
          <cell r="X4732" t="str">
            <v>CLP HC 220 (-25/+60°C)</v>
          </cell>
          <cell r="Y4732" t="str">
            <v>R77/II2GDEDRN100L4/3D/KCC/TF/AL</v>
          </cell>
          <cell r="Z4732" t="str">
            <v>SEW</v>
          </cell>
          <cell r="AB4732" t="str">
            <v>ATEX22</v>
          </cell>
          <cell r="AF4732">
            <v>62</v>
          </cell>
          <cell r="AG4732" t="str">
            <v>EDRN100L4</v>
          </cell>
          <cell r="AH4732" t="str">
            <v>R77-EDRN100L4270-X</v>
          </cell>
        </row>
        <row r="4733">
          <cell r="A4733" t="str">
            <v>MR004722</v>
          </cell>
          <cell r="B4733" t="str">
            <v>MR</v>
          </cell>
          <cell r="C4733">
            <v>9.1999999999999993</v>
          </cell>
          <cell r="D4733">
            <v>15</v>
          </cell>
          <cell r="E4733" t="str">
            <v>KH107</v>
          </cell>
          <cell r="F4733">
            <v>6020</v>
          </cell>
          <cell r="G4733">
            <v>100.75</v>
          </cell>
          <cell r="H4733">
            <v>1.35</v>
          </cell>
          <cell r="I4733" t="str">
            <v>From M1B to M2B - 20°</v>
          </cell>
          <cell r="J4733" t="str">
            <v>IE3</v>
          </cell>
          <cell r="K4733" t="str">
            <v>400/690</v>
          </cell>
          <cell r="L4733">
            <v>50</v>
          </cell>
          <cell r="M4733" t="str">
            <v>18,7/10,8</v>
          </cell>
          <cell r="N4733">
            <v>65</v>
          </cell>
          <cell r="O4733" t="str">
            <v>155(F)</v>
          </cell>
          <cell r="P4733" t="str">
            <v>0°</v>
          </cell>
          <cell r="Q4733" t="str">
            <v>-</v>
          </cell>
          <cell r="R4733" t="str">
            <v>-</v>
          </cell>
          <cell r="S4733" t="str">
            <v>-</v>
          </cell>
          <cell r="T4733" t="str">
            <v>-</v>
          </cell>
          <cell r="U4733" t="str">
            <v>-</v>
          </cell>
          <cell r="V4733" t="str">
            <v>SS</v>
          </cell>
          <cell r="W4733" t="str">
            <v>-</v>
          </cell>
          <cell r="X4733" t="str">
            <v>CLP 220 (-15/+40°C)</v>
          </cell>
          <cell r="Y4733" t="str">
            <v>KH107DRN132L4</v>
          </cell>
          <cell r="Z4733" t="str">
            <v>SEW</v>
          </cell>
          <cell r="AB4733" t="str">
            <v>-</v>
          </cell>
          <cell r="AF4733">
            <v>15</v>
          </cell>
          <cell r="AG4733" t="str">
            <v>DRN132L4</v>
          </cell>
          <cell r="AH4733" t="str">
            <v>KH107-DRN132L4B0-X</v>
          </cell>
        </row>
        <row r="4734">
          <cell r="A4734" t="str">
            <v>MR004723</v>
          </cell>
          <cell r="B4734" t="str">
            <v>MR</v>
          </cell>
          <cell r="C4734">
            <v>1.5</v>
          </cell>
          <cell r="D4734">
            <v>1.1000000000000001</v>
          </cell>
          <cell r="E4734" t="str">
            <v>KH127R77</v>
          </cell>
          <cell r="F4734">
            <v>12000</v>
          </cell>
          <cell r="G4734">
            <v>1342</v>
          </cell>
          <cell r="H4734">
            <v>1.1000000000000001</v>
          </cell>
          <cell r="I4734" t="str">
            <v>From M1A to M4A - 55°</v>
          </cell>
          <cell r="J4734" t="str">
            <v>IE3</v>
          </cell>
          <cell r="K4734" t="str">
            <v>230/400</v>
          </cell>
          <cell r="L4734">
            <v>50</v>
          </cell>
          <cell r="M4734" t="str">
            <v>5,9/3,4</v>
          </cell>
          <cell r="N4734">
            <v>65</v>
          </cell>
          <cell r="O4734" t="str">
            <v>155(F)</v>
          </cell>
          <cell r="P4734" t="str">
            <v>270°</v>
          </cell>
          <cell r="Q4734" t="str">
            <v>TF</v>
          </cell>
          <cell r="R4734" t="str">
            <v>-</v>
          </cell>
          <cell r="S4734" t="str">
            <v>-</v>
          </cell>
          <cell r="T4734" t="str">
            <v>-</v>
          </cell>
          <cell r="U4734" t="str">
            <v>-</v>
          </cell>
          <cell r="V4734" t="str">
            <v>D</v>
          </cell>
          <cell r="W4734" t="str">
            <v>-</v>
          </cell>
          <cell r="X4734" t="str">
            <v>CLP 220 (-15/+40°C)</v>
          </cell>
          <cell r="Y4734" t="str">
            <v>KH127R77DRN90L4 /TF</v>
          </cell>
          <cell r="Z4734" t="str">
            <v>SEW</v>
          </cell>
          <cell r="AB4734" t="str">
            <v>-</v>
          </cell>
          <cell r="AF4734">
            <v>1.1000000000000001</v>
          </cell>
          <cell r="AG4734" t="str">
            <v>DRN90L4</v>
          </cell>
          <cell r="AH4734" t="str">
            <v>KH127R77-DRN90L4A270-X</v>
          </cell>
        </row>
        <row r="4735">
          <cell r="A4735" t="str">
            <v>MR004724</v>
          </cell>
          <cell r="B4735" t="str">
            <v>MR</v>
          </cell>
          <cell r="C4735">
            <v>18.5</v>
          </cell>
          <cell r="D4735">
            <v>13</v>
          </cell>
          <cell r="E4735" t="str">
            <v>KH127</v>
          </cell>
          <cell r="F4735">
            <v>10900</v>
          </cell>
          <cell r="G4735">
            <v>110.18</v>
          </cell>
          <cell r="H4735">
            <v>1.2</v>
          </cell>
          <cell r="I4735" t="str">
            <v>From M4B to M1B - 15°</v>
          </cell>
          <cell r="J4735" t="str">
            <v>IE3</v>
          </cell>
          <cell r="K4735">
            <v>440</v>
          </cell>
          <cell r="L4735">
            <v>60</v>
          </cell>
          <cell r="M4735">
            <v>31</v>
          </cell>
          <cell r="N4735">
            <v>55</v>
          </cell>
          <cell r="O4735" t="str">
            <v>155(F)</v>
          </cell>
          <cell r="P4735" t="str">
            <v>270°</v>
          </cell>
          <cell r="Q4735" t="str">
            <v>TF</v>
          </cell>
          <cell r="R4735" t="str">
            <v>-</v>
          </cell>
          <cell r="S4735" t="str">
            <v>-</v>
          </cell>
          <cell r="T4735" t="str">
            <v>-</v>
          </cell>
          <cell r="U4735" t="str">
            <v>-</v>
          </cell>
          <cell r="V4735" t="str">
            <v>SS</v>
          </cell>
          <cell r="W4735" t="str">
            <v>-</v>
          </cell>
          <cell r="X4735" t="str">
            <v>CLP 220 (-15/+40°C)</v>
          </cell>
          <cell r="Y4735" t="str">
            <v>KH127DRN180M4 /TF</v>
          </cell>
          <cell r="Z4735" t="str">
            <v>SEW</v>
          </cell>
          <cell r="AB4735" t="str">
            <v>-</v>
          </cell>
          <cell r="AF4735">
            <v>15.6</v>
          </cell>
          <cell r="AG4735" t="str">
            <v>DRN180M4</v>
          </cell>
          <cell r="AH4735" t="str">
            <v>KH127-DRN180M4B270-X</v>
          </cell>
        </row>
        <row r="4736">
          <cell r="A4736" t="str">
            <v>MR004725</v>
          </cell>
          <cell r="B4736" t="str">
            <v>MR</v>
          </cell>
          <cell r="C4736">
            <v>9.1999999999999993</v>
          </cell>
          <cell r="D4736">
            <v>53</v>
          </cell>
          <cell r="E4736" t="str">
            <v>KH87</v>
          </cell>
          <cell r="F4736">
            <v>1380</v>
          </cell>
          <cell r="G4736">
            <v>27.88</v>
          </cell>
          <cell r="H4736">
            <v>1.9</v>
          </cell>
          <cell r="I4736" t="str">
            <v>M4A</v>
          </cell>
          <cell r="J4736" t="str">
            <v>IE3</v>
          </cell>
          <cell r="K4736">
            <v>440</v>
          </cell>
          <cell r="L4736">
            <v>60</v>
          </cell>
          <cell r="M4736">
            <v>17.2</v>
          </cell>
          <cell r="N4736">
            <v>55</v>
          </cell>
          <cell r="O4736" t="str">
            <v>155(F)</v>
          </cell>
          <cell r="P4736" t="str">
            <v>270°</v>
          </cell>
          <cell r="Q4736" t="str">
            <v>TF</v>
          </cell>
          <cell r="R4736" t="str">
            <v>-</v>
          </cell>
          <cell r="S4736" t="str">
            <v>Free rotation CCW</v>
          </cell>
          <cell r="T4736" t="str">
            <v>-</v>
          </cell>
          <cell r="U4736" t="str">
            <v>T</v>
          </cell>
          <cell r="V4736" t="str">
            <v>SS</v>
          </cell>
          <cell r="W4736" t="str">
            <v>-</v>
          </cell>
          <cell r="X4736" t="str">
            <v>CLP 220 (-15/+40°C)</v>
          </cell>
          <cell r="Y4736" t="str">
            <v>KH87/T DRN132L4 /RS /TF</v>
          </cell>
          <cell r="Z4736" t="str">
            <v>SEW</v>
          </cell>
          <cell r="AB4736" t="str">
            <v>-</v>
          </cell>
          <cell r="AF4736">
            <v>63.6</v>
          </cell>
          <cell r="AG4736" t="str">
            <v>DRN132L4</v>
          </cell>
          <cell r="AH4736" t="str">
            <v>KH87T-DRN132L4A270-X</v>
          </cell>
        </row>
        <row r="4737">
          <cell r="A4737" t="str">
            <v>MR004726</v>
          </cell>
          <cell r="B4737" t="str">
            <v>MR</v>
          </cell>
          <cell r="C4737">
            <v>0.75</v>
          </cell>
          <cell r="D4737">
            <v>119</v>
          </cell>
          <cell r="E4737" t="str">
            <v>KA37</v>
          </cell>
          <cell r="F4737">
            <v>49</v>
          </cell>
          <cell r="G4737">
            <v>12.14</v>
          </cell>
          <cell r="H4737">
            <v>3.2</v>
          </cell>
          <cell r="I4737" t="str">
            <v>From M3B-to M2B-20°</v>
          </cell>
          <cell r="J4737" t="str">
            <v>IE3</v>
          </cell>
          <cell r="K4737" t="str">
            <v>254/440</v>
          </cell>
          <cell r="L4737">
            <v>60</v>
          </cell>
          <cell r="M4737" t="str">
            <v>2,8/1,63</v>
          </cell>
          <cell r="N4737">
            <v>55</v>
          </cell>
          <cell r="O4737" t="str">
            <v>155(F)</v>
          </cell>
          <cell r="P4737" t="str">
            <v>0°</v>
          </cell>
          <cell r="Q4737" t="str">
            <v>TF</v>
          </cell>
          <cell r="R4737" t="str">
            <v>-</v>
          </cell>
          <cell r="S4737" t="str">
            <v>-</v>
          </cell>
          <cell r="T4737" t="str">
            <v>-</v>
          </cell>
          <cell r="U4737" t="str">
            <v>T</v>
          </cell>
          <cell r="V4737" t="str">
            <v>D</v>
          </cell>
          <cell r="W4737" t="str">
            <v>-</v>
          </cell>
          <cell r="X4737" t="str">
            <v>CLP 220 (-15/+40°C)</v>
          </cell>
          <cell r="Y4737" t="str">
            <v>KA37/T DRN80M4 /TF</v>
          </cell>
          <cell r="Z4737" t="str">
            <v>SEW</v>
          </cell>
          <cell r="AB4737" t="str">
            <v>-</v>
          </cell>
          <cell r="AF4737">
            <v>142.80000000000001</v>
          </cell>
          <cell r="AG4737" t="str">
            <v>DRN80M4</v>
          </cell>
          <cell r="AH4737" t="str">
            <v>KA37T-DRN80M4B0-X</v>
          </cell>
        </row>
        <row r="4738">
          <cell r="A4738" t="str">
            <v>MR004727</v>
          </cell>
          <cell r="B4738" t="str">
            <v>MR</v>
          </cell>
          <cell r="C4738">
            <v>5.5</v>
          </cell>
          <cell r="D4738">
            <v>14</v>
          </cell>
          <cell r="E4738" t="str">
            <v>KH97</v>
          </cell>
          <cell r="F4738">
            <v>3780</v>
          </cell>
          <cell r="G4738">
            <v>105.13</v>
          </cell>
          <cell r="H4738">
            <v>1</v>
          </cell>
          <cell r="I4738" t="str">
            <v>M1A</v>
          </cell>
          <cell r="J4738" t="str">
            <v>IE3</v>
          </cell>
          <cell r="K4738" t="str">
            <v>230/400</v>
          </cell>
          <cell r="L4738">
            <v>50</v>
          </cell>
          <cell r="M4738" t="str">
            <v>18,2/10,5</v>
          </cell>
          <cell r="N4738">
            <v>55</v>
          </cell>
          <cell r="O4738" t="str">
            <v>155(F)</v>
          </cell>
          <cell r="P4738" t="str">
            <v>270°</v>
          </cell>
          <cell r="Q4738" t="str">
            <v>TF</v>
          </cell>
          <cell r="R4738" t="str">
            <v>V(VE)</v>
          </cell>
          <cell r="S4738" t="str">
            <v>-</v>
          </cell>
          <cell r="T4738" t="str">
            <v>-</v>
          </cell>
          <cell r="U4738" t="str">
            <v>-</v>
          </cell>
          <cell r="V4738" t="str">
            <v>FC</v>
          </cell>
          <cell r="W4738" t="str">
            <v>-</v>
          </cell>
          <cell r="X4738" t="str">
            <v>CLP HC 220 (-25/+60°C)</v>
          </cell>
          <cell r="Y4738" t="str">
            <v>KH97EDRN132S4 /TF/VE</v>
          </cell>
          <cell r="Z4738" t="str">
            <v>SEW</v>
          </cell>
          <cell r="AB4738" t="str">
            <v>ATEX22</v>
          </cell>
          <cell r="AF4738">
            <v>14</v>
          </cell>
          <cell r="AG4738" t="str">
            <v>EDRN132S4</v>
          </cell>
          <cell r="AH4738" t="str">
            <v>KH97-EDRN132S4A270-X#</v>
          </cell>
        </row>
        <row r="4739">
          <cell r="A4739" t="str">
            <v>MR004728</v>
          </cell>
          <cell r="B4739" t="str">
            <v>MR</v>
          </cell>
          <cell r="C4739">
            <v>5.5</v>
          </cell>
          <cell r="D4739">
            <v>14</v>
          </cell>
          <cell r="E4739" t="str">
            <v>KH97</v>
          </cell>
          <cell r="F4739">
            <v>3780</v>
          </cell>
          <cell r="G4739">
            <v>105.13</v>
          </cell>
          <cell r="H4739">
            <v>1.1000000000000001</v>
          </cell>
          <cell r="I4739" t="str">
            <v>From M1A to M2A - 40°</v>
          </cell>
          <cell r="J4739" t="str">
            <v>IE3</v>
          </cell>
          <cell r="K4739" t="str">
            <v>230/400</v>
          </cell>
          <cell r="L4739">
            <v>50</v>
          </cell>
          <cell r="M4739" t="str">
            <v>18,2/10,5</v>
          </cell>
          <cell r="N4739">
            <v>55</v>
          </cell>
          <cell r="O4739" t="str">
            <v>155(F)</v>
          </cell>
          <cell r="P4739" t="str">
            <v>270°</v>
          </cell>
          <cell r="Q4739" t="str">
            <v>TF</v>
          </cell>
          <cell r="R4739" t="str">
            <v>-</v>
          </cell>
          <cell r="S4739" t="str">
            <v>-</v>
          </cell>
          <cell r="T4739" t="str">
            <v>-</v>
          </cell>
          <cell r="U4739" t="str">
            <v>-</v>
          </cell>
          <cell r="V4739" t="str">
            <v>FC</v>
          </cell>
          <cell r="W4739" t="str">
            <v>-</v>
          </cell>
          <cell r="X4739" t="str">
            <v>CLP HC 220 (-25/+60°C)</v>
          </cell>
          <cell r="Y4739" t="str">
            <v>KH97EDRN132S4 /TF</v>
          </cell>
          <cell r="Z4739" t="str">
            <v>SEW</v>
          </cell>
          <cell r="AB4739" t="str">
            <v>ATEX22</v>
          </cell>
          <cell r="AE4739" t="str">
            <v>Work freq: 50Hz. Work frequency must remain higher than 35Hz</v>
          </cell>
          <cell r="AF4739">
            <v>14</v>
          </cell>
          <cell r="AG4739" t="str">
            <v>EDRN132S4</v>
          </cell>
          <cell r="AH4739" t="str">
            <v>KH97-EDRN132S4A270-X</v>
          </cell>
        </row>
        <row r="4740">
          <cell r="A4740" t="str">
            <v>MR004729</v>
          </cell>
          <cell r="B4740" t="str">
            <v>MR</v>
          </cell>
          <cell r="C4740">
            <v>15</v>
          </cell>
          <cell r="D4740">
            <v>53</v>
          </cell>
          <cell r="E4740" t="str">
            <v>KH87</v>
          </cell>
          <cell r="F4740">
            <v>2250</v>
          </cell>
          <cell r="G4740">
            <v>27.88</v>
          </cell>
          <cell r="H4740">
            <v>1.1499999999999999</v>
          </cell>
          <cell r="I4740" t="str">
            <v>From M4A to M1A-10°</v>
          </cell>
          <cell r="J4740" t="str">
            <v>IE3</v>
          </cell>
          <cell r="K4740">
            <v>440</v>
          </cell>
          <cell r="L4740">
            <v>60</v>
          </cell>
          <cell r="M4740">
            <v>26.5</v>
          </cell>
          <cell r="N4740">
            <v>55</v>
          </cell>
          <cell r="O4740" t="str">
            <v>155(F)</v>
          </cell>
          <cell r="P4740" t="str">
            <v>270°</v>
          </cell>
          <cell r="Q4740" t="str">
            <v>TF</v>
          </cell>
          <cell r="R4740" t="str">
            <v>-</v>
          </cell>
          <cell r="S4740" t="str">
            <v>Free rotation CCW</v>
          </cell>
          <cell r="T4740" t="str">
            <v>-</v>
          </cell>
          <cell r="U4740" t="str">
            <v>T</v>
          </cell>
          <cell r="V4740" t="str">
            <v>SS</v>
          </cell>
          <cell r="W4740" t="str">
            <v>-</v>
          </cell>
          <cell r="X4740" t="str">
            <v>CLP 220 (-15/+40°C)</v>
          </cell>
          <cell r="Y4740" t="str">
            <v>KH87/T DRN160L4 /RS /TF</v>
          </cell>
          <cell r="Z4740" t="str">
            <v>SEW</v>
          </cell>
          <cell r="AB4740" t="str">
            <v>-</v>
          </cell>
          <cell r="AF4740">
            <v>63.6</v>
          </cell>
          <cell r="AG4740" t="str">
            <v>DRN160L4</v>
          </cell>
          <cell r="AH4740" t="str">
            <v>KH87T-DRN160L4A270-X</v>
          </cell>
        </row>
        <row r="4741">
          <cell r="A4741" t="str">
            <v>MR004730</v>
          </cell>
          <cell r="B4741" t="str">
            <v>MR</v>
          </cell>
          <cell r="C4741">
            <v>15</v>
          </cell>
          <cell r="D4741">
            <v>53</v>
          </cell>
          <cell r="E4741" t="str">
            <v>KH87</v>
          </cell>
          <cell r="F4741">
            <v>2250</v>
          </cell>
          <cell r="G4741">
            <v>27.88</v>
          </cell>
          <cell r="H4741">
            <v>1.1499999999999999</v>
          </cell>
          <cell r="I4741" t="str">
            <v>From M4B to M1B-10°</v>
          </cell>
          <cell r="J4741" t="str">
            <v>IE3</v>
          </cell>
          <cell r="K4741">
            <v>440</v>
          </cell>
          <cell r="L4741">
            <v>60</v>
          </cell>
          <cell r="M4741">
            <v>26.5</v>
          </cell>
          <cell r="N4741">
            <v>55</v>
          </cell>
          <cell r="O4741" t="str">
            <v>155(F)</v>
          </cell>
          <cell r="P4741" t="str">
            <v>270°</v>
          </cell>
          <cell r="Q4741" t="str">
            <v>TF</v>
          </cell>
          <cell r="R4741" t="str">
            <v>-</v>
          </cell>
          <cell r="S4741" t="str">
            <v>Free rotation CW</v>
          </cell>
          <cell r="T4741" t="str">
            <v>-</v>
          </cell>
          <cell r="U4741" t="str">
            <v>T</v>
          </cell>
          <cell r="V4741" t="str">
            <v>SS</v>
          </cell>
          <cell r="W4741" t="str">
            <v>-</v>
          </cell>
          <cell r="X4741" t="str">
            <v>CLP 220 (-15/+40°C)</v>
          </cell>
          <cell r="Y4741" t="str">
            <v>KH87/T DRN160L4 /RS /TF</v>
          </cell>
          <cell r="Z4741" t="str">
            <v>SEW</v>
          </cell>
          <cell r="AB4741" t="str">
            <v>-</v>
          </cell>
          <cell r="AF4741">
            <v>63.6</v>
          </cell>
          <cell r="AG4741" t="str">
            <v>DRN160L4</v>
          </cell>
          <cell r="AH4741" t="str">
            <v>KH87T-DRN160L4B270-X</v>
          </cell>
        </row>
        <row r="4742">
          <cell r="A4742" t="str">
            <v>MR004731</v>
          </cell>
          <cell r="B4742" t="str">
            <v>MR</v>
          </cell>
          <cell r="C4742">
            <v>0.75</v>
          </cell>
          <cell r="D4742">
            <v>3.9</v>
          </cell>
          <cell r="E4742" t="str">
            <v>KH77R37</v>
          </cell>
          <cell r="F4742">
            <v>1360</v>
          </cell>
          <cell r="G4742">
            <v>367</v>
          </cell>
          <cell r="H4742">
            <v>1.1499999999999999</v>
          </cell>
          <cell r="I4742" t="str">
            <v>M3B</v>
          </cell>
          <cell r="J4742" t="str">
            <v>IE3</v>
          </cell>
          <cell r="K4742" t="str">
            <v>254/440</v>
          </cell>
          <cell r="L4742">
            <v>60</v>
          </cell>
          <cell r="M4742" t="str">
            <v>2,8/1,63</v>
          </cell>
          <cell r="N4742">
            <v>55</v>
          </cell>
          <cell r="O4742" t="str">
            <v>155(F)</v>
          </cell>
          <cell r="P4742" t="str">
            <v>0°</v>
          </cell>
          <cell r="Q4742" t="str">
            <v>TF</v>
          </cell>
          <cell r="R4742" t="str">
            <v>-</v>
          </cell>
          <cell r="S4742" t="str">
            <v>-</v>
          </cell>
          <cell r="T4742" t="str">
            <v>BEHF</v>
          </cell>
          <cell r="U4742" t="str">
            <v>T</v>
          </cell>
          <cell r="V4742" t="str">
            <v>D+R</v>
          </cell>
          <cell r="W4742" t="str">
            <v>-</v>
          </cell>
          <cell r="X4742" t="str">
            <v>CLP 220 (-15/+40°C)</v>
          </cell>
          <cell r="Y4742" t="str">
            <v>KH77R37/T DRN80M4 /BEHF /TF</v>
          </cell>
          <cell r="Z4742" t="str">
            <v>SEW</v>
          </cell>
          <cell r="AB4742" t="str">
            <v>-</v>
          </cell>
          <cell r="AF4742">
            <v>4.68</v>
          </cell>
          <cell r="AG4742" t="str">
            <v>DRN80M4</v>
          </cell>
          <cell r="AH4742" t="str">
            <v>KH77R37T-DRN80M4B0-X</v>
          </cell>
        </row>
        <row r="4743">
          <cell r="A4743" t="str">
            <v>MR004732</v>
          </cell>
          <cell r="B4743" t="str">
            <v>MR</v>
          </cell>
          <cell r="C4743">
            <v>9.1999999999999993</v>
          </cell>
          <cell r="D4743">
            <v>64</v>
          </cell>
          <cell r="E4743" t="str">
            <v>KH87</v>
          </cell>
          <cell r="F4743">
            <v>1380</v>
          </cell>
          <cell r="G4743">
            <v>27.88</v>
          </cell>
          <cell r="H4743">
            <v>1.9</v>
          </cell>
          <cell r="I4743" t="str">
            <v>From M4A to M1A-15°</v>
          </cell>
          <cell r="J4743" t="str">
            <v>IE3</v>
          </cell>
          <cell r="K4743">
            <v>440</v>
          </cell>
          <cell r="L4743">
            <v>60</v>
          </cell>
          <cell r="M4743">
            <v>17.2</v>
          </cell>
          <cell r="N4743">
            <v>55</v>
          </cell>
          <cell r="O4743" t="str">
            <v>155(F)</v>
          </cell>
          <cell r="P4743" t="str">
            <v>270°</v>
          </cell>
          <cell r="Q4743" t="str">
            <v>TF</v>
          </cell>
          <cell r="R4743" t="str">
            <v>-</v>
          </cell>
          <cell r="S4743" t="str">
            <v>Free rotation CCW</v>
          </cell>
          <cell r="T4743" t="str">
            <v>-</v>
          </cell>
          <cell r="U4743" t="str">
            <v>T</v>
          </cell>
          <cell r="V4743" t="str">
            <v>SS</v>
          </cell>
          <cell r="W4743" t="str">
            <v>-</v>
          </cell>
          <cell r="X4743" t="str">
            <v>CLP 220 (-15/+40°C)</v>
          </cell>
          <cell r="Y4743" t="str">
            <v>KH87/T DRN132L4 /RS /TF</v>
          </cell>
          <cell r="Z4743" t="str">
            <v>SEW</v>
          </cell>
          <cell r="AB4743" t="str">
            <v>-</v>
          </cell>
          <cell r="AF4743">
            <v>76.8</v>
          </cell>
          <cell r="AG4743" t="str">
            <v>DRN132L4</v>
          </cell>
          <cell r="AH4743" t="str">
            <v>KH87T-DRN132L4A270-X</v>
          </cell>
        </row>
        <row r="4744">
          <cell r="A4744" t="str">
            <v>MR004733</v>
          </cell>
          <cell r="B4744" t="str">
            <v>MR</v>
          </cell>
          <cell r="C4744">
            <v>11</v>
          </cell>
          <cell r="D4744">
            <v>53</v>
          </cell>
          <cell r="E4744" t="str">
            <v>R97</v>
          </cell>
          <cell r="F4744">
            <v>1970</v>
          </cell>
          <cell r="G4744">
            <v>33.25</v>
          </cell>
          <cell r="H4744">
            <v>1.45</v>
          </cell>
          <cell r="I4744" t="str">
            <v>M1</v>
          </cell>
          <cell r="J4744" t="str">
            <v>IE3</v>
          </cell>
          <cell r="K4744">
            <v>440</v>
          </cell>
          <cell r="L4744">
            <v>60</v>
          </cell>
          <cell r="M4744">
            <v>19.3</v>
          </cell>
          <cell r="N4744">
            <v>55</v>
          </cell>
          <cell r="O4744" t="str">
            <v>155(F)</v>
          </cell>
          <cell r="P4744" t="str">
            <v>270°</v>
          </cell>
          <cell r="Q4744" t="str">
            <v>TF</v>
          </cell>
          <cell r="R4744" t="str">
            <v>-</v>
          </cell>
          <cell r="S4744" t="str">
            <v>-</v>
          </cell>
          <cell r="T4744" t="str">
            <v>-</v>
          </cell>
          <cell r="U4744" t="str">
            <v>-</v>
          </cell>
          <cell r="V4744" t="str">
            <v>D</v>
          </cell>
          <cell r="W4744" t="str">
            <v>-</v>
          </cell>
          <cell r="X4744" t="str">
            <v>CLP 220 (-15/+40°C)</v>
          </cell>
          <cell r="Y4744" t="str">
            <v>R97DRN160M4 /TF</v>
          </cell>
          <cell r="Z4744" t="str">
            <v>SEW</v>
          </cell>
          <cell r="AB4744" t="str">
            <v>-</v>
          </cell>
          <cell r="AF4744">
            <v>63.6</v>
          </cell>
          <cell r="AG4744" t="str">
            <v>DRN160M4</v>
          </cell>
          <cell r="AH4744" t="str">
            <v>R97-DRN160M4270-X</v>
          </cell>
        </row>
        <row r="4745">
          <cell r="A4745" t="str">
            <v>MR004734</v>
          </cell>
          <cell r="B4745" t="str">
            <v>ME</v>
          </cell>
          <cell r="C4745">
            <v>4</v>
          </cell>
          <cell r="D4745">
            <v>1465</v>
          </cell>
          <cell r="E4745" t="str">
            <v>1AV3112B</v>
          </cell>
          <cell r="F4745">
            <v>21.5</v>
          </cell>
          <cell r="I4745" t="str">
            <v>IM B5</v>
          </cell>
          <cell r="J4745" t="str">
            <v>IE3</v>
          </cell>
          <cell r="K4745">
            <v>440</v>
          </cell>
          <cell r="L4745">
            <v>60</v>
          </cell>
          <cell r="M4745">
            <v>7.2</v>
          </cell>
          <cell r="N4745">
            <v>55</v>
          </cell>
          <cell r="O4745" t="str">
            <v>155(F)</v>
          </cell>
          <cell r="Q4745" t="str">
            <v>TF</v>
          </cell>
          <cell r="R4745" t="str">
            <v>-</v>
          </cell>
          <cell r="S4745" t="str">
            <v>-</v>
          </cell>
          <cell r="T4745" t="str">
            <v>-</v>
          </cell>
          <cell r="U4745" t="str">
            <v>-</v>
          </cell>
          <cell r="V4745" t="str">
            <v>D</v>
          </cell>
          <cell r="W4745" t="str">
            <v>-</v>
          </cell>
          <cell r="X4745" t="str">
            <v>-</v>
          </cell>
          <cell r="Y4745" t="str">
            <v>1LE1003-1BB22-1FB4-Z</v>
          </cell>
          <cell r="Z4745" t="str">
            <v>SIEMENS</v>
          </cell>
          <cell r="AB4745" t="str">
            <v>-</v>
          </cell>
          <cell r="AE4745" t="str">
            <v>4 POLES</v>
          </cell>
          <cell r="AF4745">
            <v>1758</v>
          </cell>
          <cell r="AG4745" t="str">
            <v>DRN112M4</v>
          </cell>
          <cell r="AH4745" t="str">
            <v>1AV3112B-DRN112M4B-X</v>
          </cell>
        </row>
        <row r="4746">
          <cell r="A4746" t="str">
            <v>MR004735</v>
          </cell>
          <cell r="B4746" t="str">
            <v>ME</v>
          </cell>
          <cell r="C4746">
            <v>37</v>
          </cell>
          <cell r="D4746">
            <v>1480</v>
          </cell>
          <cell r="E4746" t="str">
            <v>1CV3220B</v>
          </cell>
          <cell r="F4746">
            <v>198</v>
          </cell>
          <cell r="I4746" t="str">
            <v>IM V1</v>
          </cell>
          <cell r="J4746" t="str">
            <v>IE3</v>
          </cell>
          <cell r="K4746">
            <v>440</v>
          </cell>
          <cell r="L4746">
            <v>60</v>
          </cell>
          <cell r="M4746">
            <v>60</v>
          </cell>
          <cell r="N4746">
            <v>55</v>
          </cell>
          <cell r="O4746" t="str">
            <v>155(F)</v>
          </cell>
          <cell r="Q4746" t="str">
            <v>TF</v>
          </cell>
          <cell r="R4746" t="str">
            <v>-</v>
          </cell>
          <cell r="S4746" t="str">
            <v>-</v>
          </cell>
          <cell r="T4746" t="str">
            <v>-</v>
          </cell>
          <cell r="U4746" t="str">
            <v>-</v>
          </cell>
          <cell r="V4746" t="str">
            <v>D</v>
          </cell>
          <cell r="W4746" t="str">
            <v>-</v>
          </cell>
          <cell r="X4746" t="str">
            <v>-</v>
          </cell>
          <cell r="Y4746" t="str">
            <v>1LE1503-2BB03-3GB4-Z</v>
          </cell>
          <cell r="Z4746" t="str">
            <v>SIEMENS</v>
          </cell>
          <cell r="AB4746" t="str">
            <v>-</v>
          </cell>
          <cell r="AE4746" t="str">
            <v>4 POLES</v>
          </cell>
          <cell r="AF4746">
            <v>1776</v>
          </cell>
          <cell r="AG4746" t="str">
            <v>DRN225S4</v>
          </cell>
          <cell r="AH4746" t="str">
            <v>1CV3220B-DRN225S4-X</v>
          </cell>
        </row>
        <row r="4747">
          <cell r="A4747" t="str">
            <v>MR004736</v>
          </cell>
          <cell r="B4747" t="str">
            <v>ME</v>
          </cell>
          <cell r="C4747">
            <v>22</v>
          </cell>
          <cell r="D4747">
            <v>1475</v>
          </cell>
          <cell r="E4747" t="str">
            <v>BX 180L</v>
          </cell>
          <cell r="F4747">
            <v>142</v>
          </cell>
          <cell r="I4747" t="str">
            <v>B5</v>
          </cell>
          <cell r="J4747" t="str">
            <v>IE3</v>
          </cell>
          <cell r="K4747" t="str">
            <v>400/690</v>
          </cell>
          <cell r="L4747">
            <v>50</v>
          </cell>
          <cell r="M4747">
            <v>38.200000000000003</v>
          </cell>
          <cell r="N4747">
            <v>55</v>
          </cell>
          <cell r="O4747" t="str">
            <v>CLF</v>
          </cell>
          <cell r="P4747" t="str">
            <v>270°</v>
          </cell>
          <cell r="Q4747" t="str">
            <v>TF</v>
          </cell>
          <cell r="R4747" t="str">
            <v>V(VE)</v>
          </cell>
          <cell r="S4747" t="str">
            <v>Free rotation CW</v>
          </cell>
          <cell r="T4747" t="str">
            <v>-</v>
          </cell>
          <cell r="U4747" t="str">
            <v>-</v>
          </cell>
          <cell r="V4747" t="str">
            <v>FC</v>
          </cell>
          <cell r="W4747" t="str">
            <v>-</v>
          </cell>
          <cell r="X4747" t="str">
            <v>-</v>
          </cell>
          <cell r="Y4747" t="str">
            <v>IE3 BX 180L 4 400/690-50 IP55 CLF B5 E3 U1 Pn = 22 Kw</v>
          </cell>
          <cell r="Z4747" t="str">
            <v>BONFIGLIOLI</v>
          </cell>
          <cell r="AB4747" t="str">
            <v>-</v>
          </cell>
          <cell r="AE4747" t="str">
            <v>4  POLES</v>
          </cell>
          <cell r="AF4747">
            <v>1475</v>
          </cell>
        </row>
        <row r="4748">
          <cell r="A4748" t="str">
            <v>MR004737</v>
          </cell>
          <cell r="B4748" t="str">
            <v>R</v>
          </cell>
          <cell r="C4748" t="str">
            <v>-</v>
          </cell>
          <cell r="D4748" t="str">
            <v>-</v>
          </cell>
          <cell r="E4748" t="str">
            <v>3/A 11M L 2 197.5 FP P180 AF G0A AR LO</v>
          </cell>
          <cell r="F4748">
            <v>41500</v>
          </cell>
          <cell r="G4748">
            <v>197.5</v>
          </cell>
          <cell r="H4748">
            <v>1.7</v>
          </cell>
          <cell r="I4748" t="str">
            <v>-</v>
          </cell>
          <cell r="J4748" t="str">
            <v>IE3</v>
          </cell>
          <cell r="K4748" t="str">
            <v>400/690</v>
          </cell>
          <cell r="L4748">
            <v>50</v>
          </cell>
          <cell r="M4748" t="str">
            <v>-</v>
          </cell>
          <cell r="N4748">
            <v>55</v>
          </cell>
          <cell r="O4748" t="str">
            <v>CLF</v>
          </cell>
          <cell r="P4748" t="str">
            <v>-</v>
          </cell>
          <cell r="Q4748" t="str">
            <v>-</v>
          </cell>
          <cell r="R4748" t="str">
            <v>-</v>
          </cell>
          <cell r="S4748" t="str">
            <v>-</v>
          </cell>
          <cell r="T4748" t="str">
            <v>-</v>
          </cell>
          <cell r="U4748" t="str">
            <v>-</v>
          </cell>
          <cell r="V4748" t="str">
            <v>-</v>
          </cell>
          <cell r="W4748" t="str">
            <v>-</v>
          </cell>
          <cell r="X4748" t="str">
            <v>SHELL OMALA S4 WE 320</v>
          </cell>
          <cell r="Y4748" t="str">
            <v>3/A 11M L 2 197.5 FP P180 AF G0A AR LO-</v>
          </cell>
          <cell r="Z4748" t="str">
            <v>BONFIGLIOLI</v>
          </cell>
          <cell r="AB4748" t="str">
            <v>-</v>
          </cell>
          <cell r="AF4748" t="e">
            <v>#VALUE!</v>
          </cell>
          <cell r="AG4748" t="str">
            <v>-</v>
          </cell>
          <cell r="AH4748" t="str">
            <v>3/A 11M L 2 197.5 FP P180 AF G0A AR LO----X</v>
          </cell>
        </row>
        <row r="4749">
          <cell r="A4749" t="str">
            <v>MR004738</v>
          </cell>
          <cell r="B4749" t="str">
            <v>MR</v>
          </cell>
          <cell r="C4749">
            <v>15</v>
          </cell>
          <cell r="D4749">
            <v>17</v>
          </cell>
          <cell r="E4749" t="str">
            <v>R137</v>
          </cell>
          <cell r="F4749">
            <v>7150</v>
          </cell>
          <cell r="G4749">
            <v>88.7</v>
          </cell>
          <cell r="H4749">
            <v>1.1000000000000001</v>
          </cell>
          <cell r="I4749" t="str">
            <v>M1</v>
          </cell>
          <cell r="J4749" t="str">
            <v>IE3</v>
          </cell>
          <cell r="K4749">
            <v>440</v>
          </cell>
          <cell r="L4749">
            <v>60</v>
          </cell>
          <cell r="M4749">
            <v>26.5</v>
          </cell>
          <cell r="N4749">
            <v>55</v>
          </cell>
          <cell r="O4749" t="str">
            <v>155(F)</v>
          </cell>
          <cell r="P4749" t="str">
            <v>270°</v>
          </cell>
          <cell r="Q4749" t="str">
            <v>TF</v>
          </cell>
          <cell r="R4749" t="str">
            <v>V(VE)</v>
          </cell>
          <cell r="S4749" t="str">
            <v>-</v>
          </cell>
          <cell r="T4749" t="str">
            <v>-</v>
          </cell>
          <cell r="U4749" t="str">
            <v>-</v>
          </cell>
          <cell r="V4749" t="str">
            <v>FC</v>
          </cell>
          <cell r="W4749" t="str">
            <v>-</v>
          </cell>
          <cell r="X4749" t="str">
            <v>CLP 220 (-15/+40°C)</v>
          </cell>
          <cell r="Y4749" t="str">
            <v>R137DRN160L4 /TF/V</v>
          </cell>
          <cell r="Z4749" t="str">
            <v>SEW</v>
          </cell>
          <cell r="AB4749" t="str">
            <v>-</v>
          </cell>
          <cell r="AF4749">
            <v>20.399999999999999</v>
          </cell>
          <cell r="AG4749" t="str">
            <v>DRN160L4</v>
          </cell>
          <cell r="AH4749" t="str">
            <v>R137-DRN160L4270-X#</v>
          </cell>
        </row>
        <row r="4750">
          <cell r="A4750" t="str">
            <v>MR004739</v>
          </cell>
          <cell r="B4750" t="str">
            <v>MR</v>
          </cell>
          <cell r="C4750">
            <v>11</v>
          </cell>
          <cell r="D4750">
            <v>50</v>
          </cell>
          <cell r="E4750" t="str">
            <v>FH87</v>
          </cell>
          <cell r="F4750">
            <v>1730</v>
          </cell>
          <cell r="G4750">
            <v>29.2</v>
          </cell>
          <cell r="H4750">
            <v>1.45</v>
          </cell>
          <cell r="I4750" t="str">
            <v>From M1 to M2-10°</v>
          </cell>
          <cell r="J4750" t="str">
            <v>IE3</v>
          </cell>
          <cell r="K4750">
            <v>440</v>
          </cell>
          <cell r="L4750">
            <v>60</v>
          </cell>
          <cell r="M4750">
            <v>19.3</v>
          </cell>
          <cell r="N4750">
            <v>55</v>
          </cell>
          <cell r="O4750" t="str">
            <v>155(F)</v>
          </cell>
          <cell r="P4750" t="str">
            <v>270°</v>
          </cell>
          <cell r="Q4750" t="str">
            <v>TF</v>
          </cell>
          <cell r="R4750" t="str">
            <v>-</v>
          </cell>
          <cell r="S4750" t="str">
            <v>-</v>
          </cell>
          <cell r="T4750" t="str">
            <v>-</v>
          </cell>
          <cell r="U4750" t="str">
            <v>G</v>
          </cell>
          <cell r="V4750" t="str">
            <v>D</v>
          </cell>
          <cell r="W4750" t="str">
            <v>-</v>
          </cell>
          <cell r="X4750" t="str">
            <v>CLP 220 (-15/+40°C)</v>
          </cell>
          <cell r="Y4750" t="str">
            <v>FH87/G DRN160M4 /TF</v>
          </cell>
          <cell r="Z4750" t="str">
            <v>SEW</v>
          </cell>
          <cell r="AB4750" t="str">
            <v>-</v>
          </cell>
          <cell r="AF4750">
            <v>60</v>
          </cell>
          <cell r="AG4750" t="str">
            <v>DRN160M4</v>
          </cell>
          <cell r="AH4750" t="str">
            <v>FH87G-DRN160M4270-X</v>
          </cell>
        </row>
        <row r="4751">
          <cell r="A4751" t="str">
            <v>MR004740</v>
          </cell>
          <cell r="B4751" t="str">
            <v>MR</v>
          </cell>
          <cell r="C4751">
            <v>11</v>
          </cell>
          <cell r="D4751">
            <v>50</v>
          </cell>
          <cell r="E4751" t="str">
            <v>FH87</v>
          </cell>
          <cell r="F4751">
            <v>1730</v>
          </cell>
          <cell r="G4751">
            <v>29.2</v>
          </cell>
          <cell r="H4751">
            <v>1.45</v>
          </cell>
          <cell r="I4751" t="str">
            <v>From M3 to M4-25°</v>
          </cell>
          <cell r="J4751" t="str">
            <v>IE3</v>
          </cell>
          <cell r="K4751">
            <v>440</v>
          </cell>
          <cell r="L4751">
            <v>60</v>
          </cell>
          <cell r="M4751">
            <v>19.3</v>
          </cell>
          <cell r="N4751">
            <v>55</v>
          </cell>
          <cell r="O4751" t="str">
            <v>155(F)</v>
          </cell>
          <cell r="P4751" t="str">
            <v>270°</v>
          </cell>
          <cell r="Q4751" t="str">
            <v>TF</v>
          </cell>
          <cell r="R4751" t="str">
            <v>-</v>
          </cell>
          <cell r="S4751" t="str">
            <v>-</v>
          </cell>
          <cell r="T4751" t="str">
            <v>-</v>
          </cell>
          <cell r="U4751" t="str">
            <v>G</v>
          </cell>
          <cell r="V4751" t="str">
            <v>D</v>
          </cell>
          <cell r="W4751" t="str">
            <v>-</v>
          </cell>
          <cell r="X4751" t="str">
            <v>CLP 220 (-15/+40°C)</v>
          </cell>
          <cell r="Y4751" t="str">
            <v>FH87/G DRN160M4 /TF</v>
          </cell>
          <cell r="Z4751" t="str">
            <v>SEW</v>
          </cell>
          <cell r="AB4751" t="str">
            <v>-</v>
          </cell>
          <cell r="AF4751">
            <v>60</v>
          </cell>
          <cell r="AG4751" t="str">
            <v>DRN160M4</v>
          </cell>
          <cell r="AH4751" t="str">
            <v>FH87G-DRN160M4270-X</v>
          </cell>
        </row>
        <row r="4752">
          <cell r="A4752" t="str">
            <v>MR004741</v>
          </cell>
          <cell r="B4752" t="str">
            <v>MR</v>
          </cell>
          <cell r="C4752">
            <v>11</v>
          </cell>
          <cell r="D4752">
            <v>47.5</v>
          </cell>
          <cell r="E4752" t="str">
            <v>KH87</v>
          </cell>
          <cell r="F4752">
            <v>1860</v>
          </cell>
          <cell r="G4752">
            <v>31.39</v>
          </cell>
          <cell r="H4752">
            <v>1.45</v>
          </cell>
          <cell r="I4752" t="str">
            <v>From M4B to M1B - 25°</v>
          </cell>
          <cell r="J4752" t="str">
            <v>IE3</v>
          </cell>
          <cell r="K4752">
            <v>440</v>
          </cell>
          <cell r="L4752">
            <v>60</v>
          </cell>
          <cell r="M4752">
            <v>19.3</v>
          </cell>
          <cell r="N4752">
            <v>55</v>
          </cell>
          <cell r="O4752" t="str">
            <v>155(F)</v>
          </cell>
          <cell r="P4752" t="str">
            <v>270°</v>
          </cell>
          <cell r="Q4752" t="str">
            <v>TF</v>
          </cell>
          <cell r="R4752" t="str">
            <v>-</v>
          </cell>
          <cell r="S4752" t="str">
            <v>Free rotation CW</v>
          </cell>
          <cell r="T4752" t="str">
            <v>-</v>
          </cell>
          <cell r="U4752" t="str">
            <v>G</v>
          </cell>
          <cell r="V4752" t="str">
            <v>SS</v>
          </cell>
          <cell r="W4752" t="str">
            <v>-</v>
          </cell>
          <cell r="X4752" t="str">
            <v>CLP 220 (-15/+40°C)</v>
          </cell>
          <cell r="Y4752" t="str">
            <v>KH87/G DRN160M4 /RS /TF</v>
          </cell>
          <cell r="Z4752" t="str">
            <v>SEW</v>
          </cell>
          <cell r="AB4752" t="str">
            <v>-</v>
          </cell>
          <cell r="AF4752">
            <v>57</v>
          </cell>
          <cell r="AG4752" t="str">
            <v>DRN160M4</v>
          </cell>
          <cell r="AH4752" t="str">
            <v>KH87G-DRN160M4B270-X</v>
          </cell>
        </row>
        <row r="4753">
          <cell r="A4753" t="str">
            <v>MR004742</v>
          </cell>
          <cell r="B4753" t="str">
            <v>MR</v>
          </cell>
          <cell r="C4753">
            <v>0.75</v>
          </cell>
          <cell r="D4753">
            <v>119</v>
          </cell>
          <cell r="E4753" t="str">
            <v>KA37</v>
          </cell>
          <cell r="F4753">
            <v>49</v>
          </cell>
          <cell r="G4753">
            <v>12.14</v>
          </cell>
          <cell r="H4753">
            <v>3.2</v>
          </cell>
          <cell r="I4753" t="str">
            <v>From M3A-to M2A-40°</v>
          </cell>
          <cell r="J4753" t="str">
            <v>IE3</v>
          </cell>
          <cell r="K4753" t="str">
            <v>254/440</v>
          </cell>
          <cell r="L4753">
            <v>60</v>
          </cell>
          <cell r="M4753" t="str">
            <v>2,8/1,63</v>
          </cell>
          <cell r="N4753">
            <v>55</v>
          </cell>
          <cell r="O4753" t="str">
            <v>155(F)</v>
          </cell>
          <cell r="P4753" t="str">
            <v>180°</v>
          </cell>
          <cell r="Q4753" t="str">
            <v>TF</v>
          </cell>
          <cell r="R4753" t="str">
            <v>-</v>
          </cell>
          <cell r="S4753" t="str">
            <v>-</v>
          </cell>
          <cell r="T4753" t="str">
            <v>-</v>
          </cell>
          <cell r="U4753" t="str">
            <v>T</v>
          </cell>
          <cell r="V4753" t="str">
            <v>D</v>
          </cell>
          <cell r="W4753" t="str">
            <v>-</v>
          </cell>
          <cell r="X4753" t="str">
            <v>CLP 220 (-15/+40°C)</v>
          </cell>
          <cell r="Y4753" t="str">
            <v>KA37/T DRN80M4 /TF</v>
          </cell>
          <cell r="Z4753" t="str">
            <v>SEW</v>
          </cell>
          <cell r="AB4753" t="str">
            <v>-</v>
          </cell>
          <cell r="AF4753">
            <v>142.80000000000001</v>
          </cell>
          <cell r="AG4753" t="str">
            <v>DRN80M4</v>
          </cell>
          <cell r="AH4753" t="str">
            <v>KA37T-DRN80M4A180-X</v>
          </cell>
        </row>
        <row r="4754">
          <cell r="A4754" t="str">
            <v>MR004743</v>
          </cell>
          <cell r="B4754" t="str">
            <v>MR</v>
          </cell>
          <cell r="C4754">
            <v>15</v>
          </cell>
          <cell r="D4754">
            <v>47</v>
          </cell>
          <cell r="E4754" t="str">
            <v>KH87</v>
          </cell>
          <cell r="F4754">
            <v>2530</v>
          </cell>
          <cell r="G4754">
            <v>31.39</v>
          </cell>
          <cell r="H4754">
            <v>1.05</v>
          </cell>
          <cell r="I4754" t="str">
            <v>From M4B to M1B - 25°</v>
          </cell>
          <cell r="J4754" t="str">
            <v>IE3</v>
          </cell>
          <cell r="K4754">
            <v>440</v>
          </cell>
          <cell r="L4754">
            <v>60</v>
          </cell>
          <cell r="M4754">
            <v>26.5</v>
          </cell>
          <cell r="N4754">
            <v>55</v>
          </cell>
          <cell r="O4754" t="str">
            <v>155(F)</v>
          </cell>
          <cell r="P4754" t="str">
            <v>270°</v>
          </cell>
          <cell r="Q4754" t="str">
            <v>TF</v>
          </cell>
          <cell r="R4754" t="str">
            <v>-</v>
          </cell>
          <cell r="S4754" t="str">
            <v>Free rotation CW</v>
          </cell>
          <cell r="T4754" t="str">
            <v>-</v>
          </cell>
          <cell r="U4754" t="str">
            <v>T</v>
          </cell>
          <cell r="V4754" t="str">
            <v>SS</v>
          </cell>
          <cell r="W4754" t="str">
            <v>-</v>
          </cell>
          <cell r="X4754" t="str">
            <v>CLP 220 (-15/+40°C)</v>
          </cell>
          <cell r="Y4754" t="str">
            <v>KH87/T DRN160L4 /RS /TF</v>
          </cell>
          <cell r="Z4754" t="str">
            <v>SEW</v>
          </cell>
          <cell r="AB4754" t="str">
            <v>-</v>
          </cell>
          <cell r="AF4754">
            <v>56.4</v>
          </cell>
          <cell r="AG4754" t="str">
            <v>DRN160L4</v>
          </cell>
          <cell r="AH4754" t="str">
            <v>KH87T-DRN160L4B270-X</v>
          </cell>
        </row>
        <row r="4755">
          <cell r="A4755" t="str">
            <v>MR004744</v>
          </cell>
          <cell r="B4755" t="str">
            <v>MR</v>
          </cell>
          <cell r="C4755">
            <v>5.5</v>
          </cell>
          <cell r="D4755">
            <v>70</v>
          </cell>
          <cell r="E4755" t="str">
            <v>FH67</v>
          </cell>
          <cell r="F4755">
            <v>630</v>
          </cell>
          <cell r="G4755">
            <v>20.9</v>
          </cell>
          <cell r="H4755">
            <v>1.4</v>
          </cell>
          <cell r="I4755" t="str">
            <v>From M5 to M1 - 15°</v>
          </cell>
          <cell r="J4755" t="str">
            <v>IE3</v>
          </cell>
          <cell r="K4755" t="str">
            <v>254/440</v>
          </cell>
          <cell r="L4755">
            <v>60</v>
          </cell>
          <cell r="M4755" t="str">
            <v>17,4/10</v>
          </cell>
          <cell r="N4755">
            <v>55</v>
          </cell>
          <cell r="O4755" t="str">
            <v>155(F)</v>
          </cell>
          <cell r="P4755" t="str">
            <v>180°</v>
          </cell>
          <cell r="Q4755" t="str">
            <v>TF</v>
          </cell>
          <cell r="R4755" t="str">
            <v>-</v>
          </cell>
          <cell r="S4755" t="str">
            <v>Free rotation CW</v>
          </cell>
          <cell r="T4755" t="str">
            <v>-</v>
          </cell>
          <cell r="U4755" t="str">
            <v>G</v>
          </cell>
          <cell r="V4755" t="str">
            <v>D</v>
          </cell>
          <cell r="W4755" t="str">
            <v>-</v>
          </cell>
          <cell r="X4755" t="str">
            <v>CLP 220 (-15/+40°C)</v>
          </cell>
          <cell r="Y4755" t="str">
            <v>FH67/G DRN132S4 /RS /TF</v>
          </cell>
          <cell r="Z4755" t="str">
            <v>SEW</v>
          </cell>
          <cell r="AB4755" t="str">
            <v>-</v>
          </cell>
          <cell r="AF4755">
            <v>84</v>
          </cell>
          <cell r="AG4755" t="str">
            <v>DRN132S4</v>
          </cell>
          <cell r="AH4755" t="str">
            <v>FH67G-DRN132S4180-X</v>
          </cell>
        </row>
        <row r="4756">
          <cell r="A4756" t="str">
            <v>MR004745</v>
          </cell>
          <cell r="B4756" t="str">
            <v>MR</v>
          </cell>
          <cell r="C4756">
            <v>2.2000000000000002</v>
          </cell>
          <cell r="D4756">
            <v>75</v>
          </cell>
          <cell r="E4756" t="str">
            <v>KH67</v>
          </cell>
          <cell r="F4756">
            <v>235</v>
          </cell>
          <cell r="G4756">
            <v>19.3</v>
          </cell>
          <cell r="H4756">
            <v>3.3</v>
          </cell>
          <cell r="I4756" t="str">
            <v>From M1A to M5 - 15°</v>
          </cell>
          <cell r="J4756" t="str">
            <v>IE3</v>
          </cell>
          <cell r="K4756" t="str">
            <v>254/440</v>
          </cell>
          <cell r="L4756">
            <v>60</v>
          </cell>
          <cell r="M4756" t="str">
            <v>7,6/4,4</v>
          </cell>
          <cell r="N4756">
            <v>55</v>
          </cell>
          <cell r="O4756" t="str">
            <v>155(F)</v>
          </cell>
          <cell r="P4756" t="str">
            <v>180°</v>
          </cell>
          <cell r="Q4756" t="str">
            <v>TF</v>
          </cell>
          <cell r="R4756" t="str">
            <v>-</v>
          </cell>
          <cell r="S4756" t="str">
            <v>-</v>
          </cell>
          <cell r="T4756" t="str">
            <v>-</v>
          </cell>
          <cell r="U4756" t="str">
            <v>T</v>
          </cell>
          <cell r="V4756" t="str">
            <v>D</v>
          </cell>
          <cell r="W4756" t="str">
            <v>-</v>
          </cell>
          <cell r="X4756" t="str">
            <v>CLP 220 (-15/+40°C)</v>
          </cell>
          <cell r="Y4756" t="str">
            <v>KH67/T DRN100LS4 /TF</v>
          </cell>
          <cell r="Z4756" t="str">
            <v>SEW</v>
          </cell>
          <cell r="AB4756" t="str">
            <v>-</v>
          </cell>
          <cell r="AF4756">
            <v>90</v>
          </cell>
          <cell r="AG4756" t="str">
            <v>DRN100LS4</v>
          </cell>
          <cell r="AH4756" t="str">
            <v>KH67T-DRN100LS4A180-X</v>
          </cell>
        </row>
        <row r="4757">
          <cell r="A4757" t="str">
            <v>MR004746</v>
          </cell>
          <cell r="B4757" t="str">
            <v>MR</v>
          </cell>
          <cell r="C4757">
            <v>2.2000000000000002</v>
          </cell>
          <cell r="D4757">
            <v>75</v>
          </cell>
          <cell r="E4757" t="str">
            <v>KH67</v>
          </cell>
          <cell r="F4757">
            <v>235</v>
          </cell>
          <cell r="G4757">
            <v>19.3</v>
          </cell>
          <cell r="H4757">
            <v>3.3</v>
          </cell>
          <cell r="I4757" t="str">
            <v>From M1A to M6 - 30°</v>
          </cell>
          <cell r="J4757" t="str">
            <v>IE3</v>
          </cell>
          <cell r="K4757" t="str">
            <v>254/440</v>
          </cell>
          <cell r="L4757">
            <v>60</v>
          </cell>
          <cell r="M4757" t="str">
            <v>7,6/4,4</v>
          </cell>
          <cell r="N4757">
            <v>55</v>
          </cell>
          <cell r="O4757" t="str">
            <v>155(F)</v>
          </cell>
          <cell r="P4757" t="str">
            <v>180°</v>
          </cell>
          <cell r="Q4757" t="str">
            <v>TF</v>
          </cell>
          <cell r="R4757" t="str">
            <v>-</v>
          </cell>
          <cell r="S4757" t="str">
            <v>-</v>
          </cell>
          <cell r="T4757" t="str">
            <v>-</v>
          </cell>
          <cell r="U4757" t="str">
            <v>T</v>
          </cell>
          <cell r="V4757" t="str">
            <v>D</v>
          </cell>
          <cell r="W4757" t="str">
            <v>-</v>
          </cell>
          <cell r="X4757" t="str">
            <v>CLP 220 (-15/+40°C)</v>
          </cell>
          <cell r="Y4757" t="str">
            <v>KH67/T DRN100LS4 /TF</v>
          </cell>
          <cell r="Z4757" t="str">
            <v>SEW</v>
          </cell>
          <cell r="AB4757" t="str">
            <v>-</v>
          </cell>
          <cell r="AF4757">
            <v>90</v>
          </cell>
          <cell r="AG4757" t="str">
            <v>DRN100LS4</v>
          </cell>
          <cell r="AH4757" t="str">
            <v>KH67T-DRN100LS4A180-X</v>
          </cell>
        </row>
        <row r="4758">
          <cell r="A4758" t="str">
            <v>MR004747</v>
          </cell>
          <cell r="B4758" t="str">
            <v>MR</v>
          </cell>
          <cell r="C4758">
            <v>7.5</v>
          </cell>
          <cell r="D4758">
            <v>48</v>
          </cell>
          <cell r="E4758" t="str">
            <v>KH77</v>
          </cell>
          <cell r="F4758">
            <v>1250</v>
          </cell>
          <cell r="G4758">
            <v>30.89</v>
          </cell>
          <cell r="H4758">
            <v>1.25</v>
          </cell>
          <cell r="I4758" t="str">
            <v>From M4B to M1B-30°</v>
          </cell>
          <cell r="J4758" t="str">
            <v>IE3</v>
          </cell>
          <cell r="K4758">
            <v>440</v>
          </cell>
          <cell r="L4758">
            <v>60</v>
          </cell>
          <cell r="M4758">
            <v>13.9</v>
          </cell>
          <cell r="N4758">
            <v>55</v>
          </cell>
          <cell r="O4758" t="str">
            <v>155(F)</v>
          </cell>
          <cell r="P4758" t="str">
            <v>270°</v>
          </cell>
          <cell r="Q4758" t="str">
            <v>TF</v>
          </cell>
          <cell r="R4758" t="str">
            <v>-</v>
          </cell>
          <cell r="S4758" t="str">
            <v>Free rotation CW</v>
          </cell>
          <cell r="T4758" t="str">
            <v>-</v>
          </cell>
          <cell r="U4758" t="str">
            <v>T</v>
          </cell>
          <cell r="V4758" t="str">
            <v>SS</v>
          </cell>
          <cell r="W4758" t="str">
            <v>-</v>
          </cell>
          <cell r="X4758" t="str">
            <v>CLP 220 (-15/+40°C)</v>
          </cell>
          <cell r="Y4758" t="str">
            <v>KH77/T DRN132M4 /RS /TF</v>
          </cell>
          <cell r="Z4758" t="str">
            <v>SEW</v>
          </cell>
          <cell r="AB4758" t="str">
            <v>-</v>
          </cell>
          <cell r="AF4758">
            <v>57.6</v>
          </cell>
          <cell r="AG4758" t="str">
            <v>DRN132M4</v>
          </cell>
          <cell r="AH4758" t="str">
            <v>KH77T-DRN132M4B270-X</v>
          </cell>
        </row>
        <row r="4759">
          <cell r="A4759" t="str">
            <v>MR004748</v>
          </cell>
          <cell r="B4759" t="str">
            <v>MR</v>
          </cell>
          <cell r="C4759">
            <v>7.5</v>
          </cell>
          <cell r="D4759">
            <v>48</v>
          </cell>
          <cell r="E4759" t="str">
            <v>KH77</v>
          </cell>
          <cell r="F4759">
            <v>1250</v>
          </cell>
          <cell r="G4759">
            <v>30.89</v>
          </cell>
          <cell r="H4759">
            <v>1.25</v>
          </cell>
          <cell r="I4759" t="str">
            <v>M4A</v>
          </cell>
          <cell r="J4759" t="str">
            <v>IE3</v>
          </cell>
          <cell r="K4759">
            <v>440</v>
          </cell>
          <cell r="L4759">
            <v>60</v>
          </cell>
          <cell r="M4759">
            <v>13.9</v>
          </cell>
          <cell r="N4759">
            <v>55</v>
          </cell>
          <cell r="O4759" t="str">
            <v>155(F)</v>
          </cell>
          <cell r="P4759" t="str">
            <v>270°</v>
          </cell>
          <cell r="Q4759" t="str">
            <v>TF</v>
          </cell>
          <cell r="R4759" t="str">
            <v>-</v>
          </cell>
          <cell r="S4759" t="str">
            <v>-</v>
          </cell>
          <cell r="T4759" t="str">
            <v>-</v>
          </cell>
          <cell r="U4759" t="str">
            <v>T</v>
          </cell>
          <cell r="V4759" t="str">
            <v>SS</v>
          </cell>
          <cell r="W4759" t="str">
            <v>-</v>
          </cell>
          <cell r="X4759" t="str">
            <v>CLP 220 (-15/+40°C)</v>
          </cell>
          <cell r="Y4759" t="str">
            <v>KH77/T DRN132M4 /TF</v>
          </cell>
          <cell r="Z4759" t="str">
            <v>SEW</v>
          </cell>
          <cell r="AB4759" t="str">
            <v>-</v>
          </cell>
          <cell r="AF4759">
            <v>57.6</v>
          </cell>
          <cell r="AG4759" t="str">
            <v>DRN132M4</v>
          </cell>
          <cell r="AH4759" t="str">
            <v>KH77T-DRN132M4A270-X</v>
          </cell>
        </row>
        <row r="4760">
          <cell r="A4760" t="str">
            <v>MR004749</v>
          </cell>
          <cell r="B4760" t="str">
            <v>MR</v>
          </cell>
          <cell r="C4760">
            <v>0.25</v>
          </cell>
          <cell r="D4760">
            <v>1.7</v>
          </cell>
          <cell r="E4760" t="str">
            <v>KA77R37</v>
          </cell>
          <cell r="F4760">
            <v>1220</v>
          </cell>
          <cell r="G4760">
            <v>815</v>
          </cell>
          <cell r="H4760">
            <v>1.26</v>
          </cell>
          <cell r="I4760" t="str">
            <v>M3B</v>
          </cell>
          <cell r="J4760" t="str">
            <v>IE3</v>
          </cell>
          <cell r="K4760" t="str">
            <v>230/400</v>
          </cell>
          <cell r="L4760">
            <v>50</v>
          </cell>
          <cell r="M4760" t="str">
            <v>1,41/0,81</v>
          </cell>
          <cell r="N4760">
            <v>55</v>
          </cell>
          <cell r="O4760" t="str">
            <v>155(F)</v>
          </cell>
          <cell r="P4760" t="str">
            <v>270°</v>
          </cell>
          <cell r="Q4760" t="str">
            <v>TF</v>
          </cell>
          <cell r="R4760" t="str">
            <v>V(VE)</v>
          </cell>
          <cell r="S4760" t="str">
            <v>-</v>
          </cell>
          <cell r="T4760" t="str">
            <v>BEHF</v>
          </cell>
          <cell r="U4760" t="str">
            <v>T</v>
          </cell>
          <cell r="V4760" t="str">
            <v>FC+R</v>
          </cell>
          <cell r="W4760" t="str">
            <v>-</v>
          </cell>
          <cell r="X4760" t="str">
            <v>CLP HC 220 (-25/+60°C)</v>
          </cell>
          <cell r="Y4760" t="str">
            <v>KA77R37/T EDRN71MS4 /BEHF /TF/VE</v>
          </cell>
          <cell r="Z4760" t="str">
            <v>SEW</v>
          </cell>
          <cell r="AB4760" t="str">
            <v>ATEX22</v>
          </cell>
          <cell r="AF4760">
            <v>1.7</v>
          </cell>
          <cell r="AG4760" t="str">
            <v>EDRN71MS4</v>
          </cell>
          <cell r="AH4760" t="str">
            <v>KA77R37T-EDRN71MS4B270-X#</v>
          </cell>
        </row>
        <row r="4761">
          <cell r="A4761" t="str">
            <v>MR004750</v>
          </cell>
          <cell r="B4761" t="str">
            <v>MR</v>
          </cell>
          <cell r="C4761">
            <v>11</v>
          </cell>
          <cell r="D4761">
            <v>62</v>
          </cell>
          <cell r="E4761" t="str">
            <v>FH87</v>
          </cell>
          <cell r="F4761">
            <v>1690</v>
          </cell>
          <cell r="G4761">
            <v>23.68</v>
          </cell>
          <cell r="H4761">
            <v>1.55</v>
          </cell>
          <cell r="I4761" t="str">
            <v>M1</v>
          </cell>
          <cell r="J4761" t="str">
            <v>IE3</v>
          </cell>
          <cell r="K4761" t="str">
            <v>230/400</v>
          </cell>
          <cell r="L4761">
            <v>50</v>
          </cell>
          <cell r="M4761" t="str">
            <v>37/21,5</v>
          </cell>
          <cell r="N4761">
            <v>55</v>
          </cell>
          <cell r="O4761" t="str">
            <v>155(F)</v>
          </cell>
          <cell r="P4761" t="str">
            <v>270°</v>
          </cell>
          <cell r="Q4761" t="str">
            <v>TF</v>
          </cell>
          <cell r="R4761" t="str">
            <v>V(VE)</v>
          </cell>
          <cell r="S4761" t="str">
            <v>-</v>
          </cell>
          <cell r="T4761" t="str">
            <v>-</v>
          </cell>
          <cell r="U4761" t="str">
            <v>G</v>
          </cell>
          <cell r="V4761" t="str">
            <v>FC+R</v>
          </cell>
          <cell r="W4761" t="str">
            <v>-</v>
          </cell>
          <cell r="X4761" t="str">
            <v>CLP HC 220 (-25/+60°C)</v>
          </cell>
          <cell r="Y4761" t="str">
            <v>FH87/G EDRN160M4 /TF/VE</v>
          </cell>
          <cell r="Z4761" t="str">
            <v>SEW</v>
          </cell>
          <cell r="AB4761" t="str">
            <v>ATEX22</v>
          </cell>
          <cell r="AF4761">
            <v>62</v>
          </cell>
          <cell r="AG4761" t="str">
            <v>EDRN160M4</v>
          </cell>
          <cell r="AH4761" t="str">
            <v>FH87G-EDRN160M4270-X#</v>
          </cell>
        </row>
        <row r="4762">
          <cell r="A4762" t="str">
            <v>MR004751</v>
          </cell>
          <cell r="B4762" t="str">
            <v>MR</v>
          </cell>
          <cell r="C4762">
            <v>18.5</v>
          </cell>
          <cell r="D4762">
            <v>10</v>
          </cell>
          <cell r="E4762" t="str">
            <v>FH157</v>
          </cell>
          <cell r="F4762">
            <v>16900</v>
          </cell>
          <cell r="G4762">
            <v>141.80000000000001</v>
          </cell>
          <cell r="H4762">
            <v>1.1499999999999999</v>
          </cell>
          <cell r="I4762" t="str">
            <v>From M1 to M4 - 20°</v>
          </cell>
          <cell r="J4762" t="str">
            <v>IE3</v>
          </cell>
          <cell r="K4762" t="str">
            <v>230/400</v>
          </cell>
          <cell r="L4762">
            <v>50</v>
          </cell>
          <cell r="M4762" t="str">
            <v>61/35</v>
          </cell>
          <cell r="N4762">
            <v>55</v>
          </cell>
          <cell r="O4762" t="str">
            <v>F(105°C)</v>
          </cell>
          <cell r="P4762" t="str">
            <v>270°</v>
          </cell>
          <cell r="Q4762" t="str">
            <v>TF</v>
          </cell>
          <cell r="R4762" t="str">
            <v>V(VE)</v>
          </cell>
          <cell r="S4762" t="str">
            <v>-</v>
          </cell>
          <cell r="T4762" t="str">
            <v>-</v>
          </cell>
          <cell r="U4762" t="str">
            <v>G</v>
          </cell>
          <cell r="V4762" t="str">
            <v>FC</v>
          </cell>
          <cell r="W4762" t="str">
            <v>-</v>
          </cell>
          <cell r="X4762" t="str">
            <v>CLP HC 220 (-25/+60°C)</v>
          </cell>
          <cell r="Y4762" t="str">
            <v>FH157/G EDRN180M4 /TF/VE</v>
          </cell>
          <cell r="Z4762" t="str">
            <v>SEW</v>
          </cell>
          <cell r="AB4762" t="str">
            <v>ATEX22</v>
          </cell>
          <cell r="AF4762">
            <v>10</v>
          </cell>
          <cell r="AG4762" t="str">
            <v>EDRN180M4</v>
          </cell>
          <cell r="AH4762" t="str">
            <v>FH157G-EDRN180M4270-X#</v>
          </cell>
        </row>
        <row r="4763">
          <cell r="A4763" t="str">
            <v>MR004752</v>
          </cell>
          <cell r="B4763" t="str">
            <v>MR</v>
          </cell>
          <cell r="C4763">
            <v>11</v>
          </cell>
          <cell r="D4763">
            <v>69</v>
          </cell>
          <cell r="E4763" t="str">
            <v>FH87</v>
          </cell>
          <cell r="F4763">
            <v>1520</v>
          </cell>
          <cell r="G4763">
            <v>21.32</v>
          </cell>
          <cell r="H4763">
            <v>1.7</v>
          </cell>
          <cell r="I4763" t="str">
            <v>From M1 to M4 - 35°</v>
          </cell>
          <cell r="J4763" t="str">
            <v>IE3</v>
          </cell>
          <cell r="K4763" t="str">
            <v>400/690</v>
          </cell>
          <cell r="L4763">
            <v>50</v>
          </cell>
          <cell r="M4763" t="str">
            <v>21/12,2</v>
          </cell>
          <cell r="N4763">
            <v>55</v>
          </cell>
          <cell r="O4763" t="str">
            <v>155(F)</v>
          </cell>
          <cell r="P4763" t="str">
            <v>270°</v>
          </cell>
          <cell r="Q4763" t="str">
            <v>TF</v>
          </cell>
          <cell r="R4763" t="str">
            <v>-</v>
          </cell>
          <cell r="S4763" t="str">
            <v>-</v>
          </cell>
          <cell r="T4763" t="str">
            <v>-</v>
          </cell>
          <cell r="U4763" t="str">
            <v>G</v>
          </cell>
          <cell r="V4763" t="str">
            <v>D</v>
          </cell>
          <cell r="W4763" t="str">
            <v>-</v>
          </cell>
          <cell r="X4763" t="str">
            <v>CLP HC 220 (-25/+60°C)</v>
          </cell>
          <cell r="Y4763" t="str">
            <v>FH87/G EDRN160M4 /TF</v>
          </cell>
          <cell r="Z4763" t="str">
            <v>SEW</v>
          </cell>
          <cell r="AB4763" t="str">
            <v>ATEX22</v>
          </cell>
          <cell r="AF4763">
            <v>69</v>
          </cell>
          <cell r="AG4763" t="str">
            <v>EDRN160M4</v>
          </cell>
          <cell r="AH4763" t="str">
            <v>FH87G-EDRN160M4270-X</v>
          </cell>
        </row>
        <row r="4764">
          <cell r="A4764" t="str">
            <v>MR004753</v>
          </cell>
          <cell r="B4764" t="str">
            <v>MR</v>
          </cell>
          <cell r="C4764">
            <v>11</v>
          </cell>
          <cell r="D4764">
            <v>76</v>
          </cell>
          <cell r="E4764" t="str">
            <v>KH87</v>
          </cell>
          <cell r="F4764">
            <v>1380</v>
          </cell>
          <cell r="G4764">
            <v>19.45</v>
          </cell>
          <cell r="H4764">
            <v>1.65</v>
          </cell>
          <cell r="I4764" t="str">
            <v>From M4A to M1A-30°</v>
          </cell>
          <cell r="J4764" t="str">
            <v>IE3</v>
          </cell>
          <cell r="K4764">
            <v>415</v>
          </cell>
          <cell r="L4764">
            <v>50</v>
          </cell>
          <cell r="M4764">
            <v>20</v>
          </cell>
          <cell r="N4764">
            <v>65</v>
          </cell>
          <cell r="O4764" t="str">
            <v>155(F)</v>
          </cell>
          <cell r="P4764" t="str">
            <v>270°</v>
          </cell>
          <cell r="Q4764" t="str">
            <v>-</v>
          </cell>
          <cell r="R4764" t="str">
            <v>-</v>
          </cell>
          <cell r="S4764" t="str">
            <v>Free rotation CCW</v>
          </cell>
          <cell r="T4764" t="str">
            <v>-</v>
          </cell>
          <cell r="U4764" t="str">
            <v>T</v>
          </cell>
          <cell r="V4764" t="str">
            <v>SS</v>
          </cell>
          <cell r="W4764" t="str">
            <v>-</v>
          </cell>
          <cell r="X4764" t="str">
            <v>CLP HC 220 (-25/+60°C)</v>
          </cell>
          <cell r="Y4764" t="str">
            <v>KH87/T DRN160M4 /RS</v>
          </cell>
          <cell r="Z4764" t="str">
            <v>SEW</v>
          </cell>
          <cell r="AB4764" t="str">
            <v>-</v>
          </cell>
          <cell r="AF4764">
            <v>76</v>
          </cell>
          <cell r="AG4764" t="str">
            <v>DRN160M4</v>
          </cell>
          <cell r="AH4764" t="str">
            <v>KH87T-DRN160M4A270-X</v>
          </cell>
        </row>
        <row r="4765">
          <cell r="A4765" t="str">
            <v>MR004754</v>
          </cell>
          <cell r="B4765" t="str">
            <v>MR</v>
          </cell>
          <cell r="C4765">
            <v>11</v>
          </cell>
          <cell r="D4765">
            <v>76</v>
          </cell>
          <cell r="E4765" t="str">
            <v>KH87</v>
          </cell>
          <cell r="F4765">
            <v>1380</v>
          </cell>
          <cell r="G4765">
            <v>19.45</v>
          </cell>
          <cell r="H4765">
            <v>1.65</v>
          </cell>
          <cell r="I4765" t="str">
            <v>From M4B</v>
          </cell>
          <cell r="J4765" t="str">
            <v>IE3</v>
          </cell>
          <cell r="K4765">
            <v>415</v>
          </cell>
          <cell r="L4765">
            <v>50</v>
          </cell>
          <cell r="M4765">
            <v>20</v>
          </cell>
          <cell r="N4765">
            <v>65</v>
          </cell>
          <cell r="O4765" t="str">
            <v>155(F)</v>
          </cell>
          <cell r="P4765" t="str">
            <v>270°</v>
          </cell>
          <cell r="Q4765" t="str">
            <v>-</v>
          </cell>
          <cell r="R4765" t="str">
            <v>-</v>
          </cell>
          <cell r="S4765" t="str">
            <v>-</v>
          </cell>
          <cell r="T4765" t="str">
            <v>-</v>
          </cell>
          <cell r="U4765" t="str">
            <v>T</v>
          </cell>
          <cell r="V4765" t="str">
            <v>SS</v>
          </cell>
          <cell r="W4765" t="str">
            <v>-</v>
          </cell>
          <cell r="X4765" t="str">
            <v>CLP HC 220 (-25/+60°C)</v>
          </cell>
          <cell r="Y4765" t="str">
            <v>KH87/T DRN160M4</v>
          </cell>
          <cell r="Z4765" t="str">
            <v>SEW</v>
          </cell>
          <cell r="AB4765" t="str">
            <v>-</v>
          </cell>
          <cell r="AF4765">
            <v>76</v>
          </cell>
          <cell r="AG4765" t="str">
            <v>DRN160M4</v>
          </cell>
          <cell r="AH4765" t="str">
            <v>KH87T-DRN160M4B270-X</v>
          </cell>
        </row>
        <row r="4766">
          <cell r="A4766" t="str">
            <v>MR004755</v>
          </cell>
          <cell r="B4766" t="str">
            <v>MR</v>
          </cell>
          <cell r="C4766">
            <v>0.75</v>
          </cell>
          <cell r="D4766">
            <v>162</v>
          </cell>
          <cell r="E4766" t="str">
            <v>KA37</v>
          </cell>
          <cell r="F4766">
            <v>44</v>
          </cell>
          <cell r="G4766">
            <v>8.91</v>
          </cell>
          <cell r="H4766">
            <v>3.6</v>
          </cell>
          <cell r="I4766" t="str">
            <v>From M3B to M2B-30°</v>
          </cell>
          <cell r="J4766" t="str">
            <v>IE3</v>
          </cell>
          <cell r="K4766">
            <v>415</v>
          </cell>
          <cell r="L4766">
            <v>50</v>
          </cell>
          <cell r="M4766">
            <v>1.69</v>
          </cell>
          <cell r="N4766">
            <v>65</v>
          </cell>
          <cell r="O4766" t="str">
            <v>155(F)</v>
          </cell>
          <cell r="P4766" t="str">
            <v>0°</v>
          </cell>
          <cell r="Q4766" t="str">
            <v>-</v>
          </cell>
          <cell r="R4766" t="str">
            <v>-</v>
          </cell>
          <cell r="S4766" t="str">
            <v>-</v>
          </cell>
          <cell r="T4766" t="str">
            <v>-</v>
          </cell>
          <cell r="U4766" t="str">
            <v>T</v>
          </cell>
          <cell r="V4766" t="str">
            <v>D</v>
          </cell>
          <cell r="W4766" t="str">
            <v>-</v>
          </cell>
          <cell r="X4766" t="str">
            <v>CLP HC 220 (-25/+60°C)</v>
          </cell>
          <cell r="Y4766" t="str">
            <v>KA37/T DRN80M4</v>
          </cell>
          <cell r="Z4766" t="str">
            <v>SEW</v>
          </cell>
          <cell r="AB4766" t="str">
            <v>-</v>
          </cell>
          <cell r="AF4766">
            <v>162</v>
          </cell>
          <cell r="AG4766" t="str">
            <v>DRN80M4</v>
          </cell>
          <cell r="AH4766" t="str">
            <v>KA37T-DRN80M4B0-X</v>
          </cell>
        </row>
        <row r="4767">
          <cell r="A4767" t="str">
            <v>MR004756</v>
          </cell>
          <cell r="B4767" t="str">
            <v>MR</v>
          </cell>
          <cell r="C4767">
            <v>11</v>
          </cell>
          <cell r="D4767">
            <v>59</v>
          </cell>
          <cell r="E4767" t="str">
            <v>R97</v>
          </cell>
          <cell r="F4767">
            <v>1790</v>
          </cell>
          <cell r="G4767">
            <v>25.03</v>
          </cell>
          <cell r="H4767">
            <v>1.6</v>
          </cell>
          <cell r="I4767" t="str">
            <v>M1</v>
          </cell>
          <cell r="J4767" t="str">
            <v>IE3</v>
          </cell>
          <cell r="K4767" t="str">
            <v>400/690</v>
          </cell>
          <cell r="L4767">
            <v>50</v>
          </cell>
          <cell r="M4767" t="str">
            <v>21/12,2</v>
          </cell>
          <cell r="N4767">
            <v>55</v>
          </cell>
          <cell r="O4767" t="str">
            <v>155(F)</v>
          </cell>
          <cell r="P4767" t="str">
            <v>270°</v>
          </cell>
          <cell r="Q4767" t="str">
            <v>TF</v>
          </cell>
          <cell r="R4767" t="str">
            <v>-</v>
          </cell>
          <cell r="S4767" t="str">
            <v>-</v>
          </cell>
          <cell r="T4767" t="str">
            <v>-</v>
          </cell>
          <cell r="U4767" t="str">
            <v>-</v>
          </cell>
          <cell r="V4767" t="str">
            <v>D</v>
          </cell>
          <cell r="W4767" t="str">
            <v>-</v>
          </cell>
          <cell r="X4767" t="str">
            <v>Castrol Optigear Synthetic 800/220 PG221</v>
          </cell>
          <cell r="Y4767" t="str">
            <v>R97DRN160M4 /TF</v>
          </cell>
          <cell r="Z4767" t="str">
            <v>SEW</v>
          </cell>
          <cell r="AB4767" t="str">
            <v>-</v>
          </cell>
          <cell r="AF4767">
            <v>59</v>
          </cell>
          <cell r="AG4767" t="str">
            <v>DRN160M4</v>
          </cell>
          <cell r="AH4767" t="str">
            <v>R97-DRN160M4270-X</v>
          </cell>
        </row>
        <row r="4768">
          <cell r="A4768" t="str">
            <v>MR004757</v>
          </cell>
          <cell r="B4768" t="str">
            <v>MR</v>
          </cell>
          <cell r="C4768">
            <v>7.5</v>
          </cell>
          <cell r="D4768">
            <v>49</v>
          </cell>
          <cell r="E4768" t="str">
            <v>FH77</v>
          </cell>
          <cell r="F4768">
            <v>1210</v>
          </cell>
          <cell r="G4768">
            <v>29.91</v>
          </cell>
          <cell r="H4768">
            <v>1.25</v>
          </cell>
          <cell r="I4768" t="str">
            <v>From M1 to M2 - 15°</v>
          </cell>
          <cell r="J4768" t="str">
            <v>IE3</v>
          </cell>
          <cell r="K4768">
            <v>440</v>
          </cell>
          <cell r="L4768">
            <v>60</v>
          </cell>
          <cell r="M4768">
            <v>13.6</v>
          </cell>
          <cell r="N4768">
            <v>55</v>
          </cell>
          <cell r="O4768" t="str">
            <v>155(F)</v>
          </cell>
          <cell r="P4768" t="str">
            <v>270°</v>
          </cell>
          <cell r="Q4768" t="str">
            <v>TF</v>
          </cell>
          <cell r="R4768" t="str">
            <v>-</v>
          </cell>
          <cell r="S4768" t="str">
            <v>-</v>
          </cell>
          <cell r="T4768" t="str">
            <v>-</v>
          </cell>
          <cell r="U4768" t="str">
            <v>G</v>
          </cell>
          <cell r="V4768" t="str">
            <v>D</v>
          </cell>
          <cell r="W4768" t="str">
            <v>-</v>
          </cell>
          <cell r="X4768" t="str">
            <v>CLP 220 (-15/+40°C)</v>
          </cell>
          <cell r="Y4768" t="str">
            <v>FH77/G DRN132M4 /TF</v>
          </cell>
          <cell r="Z4768" t="str">
            <v>SEW</v>
          </cell>
          <cell r="AB4768" t="str">
            <v>-</v>
          </cell>
          <cell r="AF4768">
            <v>58.8</v>
          </cell>
          <cell r="AG4768" t="str">
            <v>DRN132M4</v>
          </cell>
          <cell r="AH4768" t="str">
            <v>FH77G-DRN132M4270-X</v>
          </cell>
        </row>
        <row r="4769">
          <cell r="A4769" t="str">
            <v>MR004758</v>
          </cell>
          <cell r="B4769" t="str">
            <v>MR</v>
          </cell>
          <cell r="C4769">
            <v>15</v>
          </cell>
          <cell r="D4769">
            <v>39</v>
          </cell>
          <cell r="E4769" t="str">
            <v>R137</v>
          </cell>
          <cell r="F4769">
            <v>3650</v>
          </cell>
          <cell r="G4769">
            <v>37.65</v>
          </cell>
          <cell r="H4769">
            <v>2.2000000000000002</v>
          </cell>
          <cell r="I4769" t="str">
            <v>M3</v>
          </cell>
          <cell r="J4769" t="str">
            <v>IE3</v>
          </cell>
          <cell r="K4769">
            <v>415</v>
          </cell>
          <cell r="L4769">
            <v>50</v>
          </cell>
          <cell r="M4769" t="str">
            <v>48/27,5</v>
          </cell>
          <cell r="N4769">
            <v>65</v>
          </cell>
          <cell r="O4769" t="str">
            <v>155(F)</v>
          </cell>
          <cell r="P4769" t="str">
            <v>180°</v>
          </cell>
          <cell r="Q4769" t="str">
            <v>TF</v>
          </cell>
          <cell r="R4769" t="str">
            <v>V(VE)</v>
          </cell>
          <cell r="S4769" t="str">
            <v>-</v>
          </cell>
          <cell r="T4769" t="str">
            <v>-</v>
          </cell>
          <cell r="U4769" t="str">
            <v>-</v>
          </cell>
          <cell r="V4769" t="str">
            <v>FC</v>
          </cell>
          <cell r="W4769" t="str">
            <v>-</v>
          </cell>
          <cell r="X4769" t="str">
            <v>CLP 220 (-15/+40°C)</v>
          </cell>
          <cell r="Y4769" t="str">
            <v>R137DRN160L4 /TF/V</v>
          </cell>
          <cell r="Z4769" t="str">
            <v>SEW</v>
          </cell>
          <cell r="AB4769" t="str">
            <v>-</v>
          </cell>
          <cell r="AF4769">
            <v>39</v>
          </cell>
          <cell r="AG4769" t="str">
            <v>DRN160L4</v>
          </cell>
          <cell r="AH4769" t="str">
            <v>R137-DRN160L4180-X#</v>
          </cell>
        </row>
        <row r="4770">
          <cell r="A4770" t="str">
            <v>MR004759</v>
          </cell>
          <cell r="B4770" t="str">
            <v>MR</v>
          </cell>
          <cell r="C4770">
            <v>7.5</v>
          </cell>
          <cell r="D4770">
            <v>63</v>
          </cell>
          <cell r="E4770" t="str">
            <v>R87</v>
          </cell>
          <cell r="F4770">
            <v>1140</v>
          </cell>
          <cell r="G4770">
            <v>23.4</v>
          </cell>
          <cell r="H4770">
            <v>1.35</v>
          </cell>
          <cell r="I4770" t="str">
            <v>M6</v>
          </cell>
          <cell r="J4770" t="str">
            <v>IE3</v>
          </cell>
          <cell r="K4770">
            <v>415</v>
          </cell>
          <cell r="L4770">
            <v>50</v>
          </cell>
          <cell r="M4770" t="str">
            <v>25,5/14,7</v>
          </cell>
          <cell r="N4770">
            <v>65</v>
          </cell>
          <cell r="O4770" t="str">
            <v>155(F)</v>
          </cell>
          <cell r="P4770" t="str">
            <v>270°</v>
          </cell>
          <cell r="Q4770" t="str">
            <v>TF</v>
          </cell>
          <cell r="R4770" t="str">
            <v>-</v>
          </cell>
          <cell r="S4770" t="str">
            <v>-</v>
          </cell>
          <cell r="T4770" t="str">
            <v>-</v>
          </cell>
          <cell r="U4770" t="str">
            <v>-</v>
          </cell>
          <cell r="V4770" t="str">
            <v>D</v>
          </cell>
          <cell r="W4770" t="str">
            <v>-</v>
          </cell>
          <cell r="X4770" t="str">
            <v>CLP 220 (-15/+40°C)</v>
          </cell>
          <cell r="Y4770" t="str">
            <v>R87DRN132M4 /TF</v>
          </cell>
          <cell r="Z4770" t="str">
            <v>SEW</v>
          </cell>
          <cell r="AB4770" t="str">
            <v>-</v>
          </cell>
          <cell r="AF4770">
            <v>63</v>
          </cell>
          <cell r="AG4770" t="str">
            <v>DRN132M4</v>
          </cell>
          <cell r="AH4770" t="str">
            <v>R87-DRN132M4270-X</v>
          </cell>
        </row>
        <row r="4771">
          <cell r="A4771" t="str">
            <v>MR004760</v>
          </cell>
          <cell r="B4771" t="str">
            <v>MR</v>
          </cell>
          <cell r="C4771">
            <v>15</v>
          </cell>
          <cell r="D4771">
            <v>25</v>
          </cell>
          <cell r="E4771" t="str">
            <v>R137</v>
          </cell>
          <cell r="F4771">
            <v>5740</v>
          </cell>
          <cell r="G4771">
            <v>53.17</v>
          </cell>
          <cell r="H4771">
            <v>1.4</v>
          </cell>
          <cell r="I4771" t="str">
            <v>From M1 to M2 - 20°</v>
          </cell>
          <cell r="J4771" t="str">
            <v>IE3</v>
          </cell>
          <cell r="K4771">
            <v>415</v>
          </cell>
          <cell r="L4771">
            <v>50</v>
          </cell>
          <cell r="M4771" t="str">
            <v>48/27,5</v>
          </cell>
          <cell r="N4771">
            <v>65</v>
          </cell>
          <cell r="O4771" t="str">
            <v>155(F)</v>
          </cell>
          <cell r="P4771" t="str">
            <v>270°</v>
          </cell>
          <cell r="Q4771" t="str">
            <v>TF</v>
          </cell>
          <cell r="R4771" t="str">
            <v>V(VE)</v>
          </cell>
          <cell r="S4771" t="str">
            <v>-</v>
          </cell>
          <cell r="T4771" t="str">
            <v>-</v>
          </cell>
          <cell r="U4771" t="str">
            <v>-</v>
          </cell>
          <cell r="V4771" t="str">
            <v>FC</v>
          </cell>
          <cell r="W4771" t="str">
            <v>-</v>
          </cell>
          <cell r="X4771" t="str">
            <v>CLP 220 (-15/+40°C)</v>
          </cell>
          <cell r="Y4771" t="str">
            <v>R137DRN160L4 /TF/V</v>
          </cell>
          <cell r="Z4771" t="str">
            <v>SEW</v>
          </cell>
          <cell r="AB4771" t="str">
            <v>-</v>
          </cell>
          <cell r="AF4771">
            <v>25</v>
          </cell>
          <cell r="AG4771" t="str">
            <v>DRN160L4</v>
          </cell>
          <cell r="AH4771" t="str">
            <v>R137-DRN160L4270-X#</v>
          </cell>
        </row>
        <row r="4772">
          <cell r="A4772" t="str">
            <v>MR004761</v>
          </cell>
          <cell r="B4772" t="str">
            <v>MR</v>
          </cell>
          <cell r="C4772">
            <v>11</v>
          </cell>
          <cell r="D4772">
            <v>66</v>
          </cell>
          <cell r="E4772" t="str">
            <v>R97</v>
          </cell>
          <cell r="F4772">
            <v>1590</v>
          </cell>
          <cell r="G4772">
            <v>22.37</v>
          </cell>
          <cell r="H4772">
            <v>1.7</v>
          </cell>
          <cell r="I4772" t="str">
            <v>M1</v>
          </cell>
          <cell r="J4772" t="str">
            <v>IE3</v>
          </cell>
          <cell r="K4772">
            <v>415</v>
          </cell>
          <cell r="L4772">
            <v>50</v>
          </cell>
          <cell r="M4772" t="str">
            <v>35/20</v>
          </cell>
          <cell r="N4772">
            <v>65</v>
          </cell>
          <cell r="O4772" t="str">
            <v>155(F)</v>
          </cell>
          <cell r="P4772" t="str">
            <v>270°</v>
          </cell>
          <cell r="Q4772" t="str">
            <v>TF</v>
          </cell>
          <cell r="R4772" t="str">
            <v>-</v>
          </cell>
          <cell r="S4772" t="str">
            <v>-</v>
          </cell>
          <cell r="T4772" t="str">
            <v>-</v>
          </cell>
          <cell r="U4772" t="str">
            <v>-</v>
          </cell>
          <cell r="V4772" t="str">
            <v>D</v>
          </cell>
          <cell r="W4772" t="str">
            <v>-</v>
          </cell>
          <cell r="X4772" t="str">
            <v>CLP 220 (-15/+40°C)</v>
          </cell>
          <cell r="Y4772" t="str">
            <v>R97DRN160M4 /TF</v>
          </cell>
          <cell r="Z4772" t="str">
            <v>SEW</v>
          </cell>
          <cell r="AB4772" t="str">
            <v>-</v>
          </cell>
          <cell r="AF4772">
            <v>66</v>
          </cell>
          <cell r="AG4772" t="str">
            <v>DRN160M4</v>
          </cell>
          <cell r="AH4772" t="str">
            <v>R97-DRN160M4270-X</v>
          </cell>
        </row>
        <row r="4773">
          <cell r="A4773" t="str">
            <v>MR004762</v>
          </cell>
          <cell r="B4773" t="str">
            <v>MR</v>
          </cell>
          <cell r="C4773">
            <v>5.5</v>
          </cell>
          <cell r="D4773">
            <v>62</v>
          </cell>
          <cell r="E4773" t="str">
            <v>R87</v>
          </cell>
          <cell r="F4773">
            <v>840</v>
          </cell>
          <cell r="G4773">
            <v>23.4</v>
          </cell>
          <cell r="H4773">
            <v>1.85</v>
          </cell>
          <cell r="I4773" t="str">
            <v>M1</v>
          </cell>
          <cell r="J4773" t="str">
            <v>IE3</v>
          </cell>
          <cell r="K4773">
            <v>415</v>
          </cell>
          <cell r="L4773">
            <v>50</v>
          </cell>
          <cell r="M4773" t="str">
            <v>17,4/10,1</v>
          </cell>
          <cell r="N4773">
            <v>65</v>
          </cell>
          <cell r="O4773" t="str">
            <v>155(F)</v>
          </cell>
          <cell r="P4773" t="str">
            <v>270°</v>
          </cell>
          <cell r="Q4773" t="str">
            <v>TF</v>
          </cell>
          <cell r="R4773" t="str">
            <v>-</v>
          </cell>
          <cell r="S4773" t="str">
            <v>-</v>
          </cell>
          <cell r="T4773" t="str">
            <v>-</v>
          </cell>
          <cell r="U4773" t="str">
            <v>-</v>
          </cell>
          <cell r="V4773" t="str">
            <v>D</v>
          </cell>
          <cell r="W4773" t="str">
            <v>-</v>
          </cell>
          <cell r="X4773" t="str">
            <v>CLP 220 (-15/+40°C)</v>
          </cell>
          <cell r="Y4773" t="str">
            <v>R87DRN132S4 /TF</v>
          </cell>
          <cell r="Z4773" t="str">
            <v>SEW</v>
          </cell>
          <cell r="AB4773" t="str">
            <v>-</v>
          </cell>
          <cell r="AF4773">
            <v>62</v>
          </cell>
          <cell r="AG4773" t="str">
            <v>DRN132S4</v>
          </cell>
          <cell r="AH4773" t="str">
            <v>R87-DRN132S4270-X</v>
          </cell>
        </row>
        <row r="4774">
          <cell r="A4774" t="str">
            <v>MR004763</v>
          </cell>
          <cell r="B4774" t="str">
            <v>MR</v>
          </cell>
          <cell r="C4774">
            <v>7.5</v>
          </cell>
          <cell r="D4774">
            <v>46</v>
          </cell>
          <cell r="E4774" t="str">
            <v>R97</v>
          </cell>
          <cell r="F4774">
            <v>1560</v>
          </cell>
          <cell r="G4774">
            <v>32.049999999999997</v>
          </cell>
          <cell r="H4774">
            <v>1.65</v>
          </cell>
          <cell r="I4774" t="str">
            <v>From M6 to M2 - 20°</v>
          </cell>
          <cell r="J4774" t="str">
            <v>IE3</v>
          </cell>
          <cell r="K4774">
            <v>415</v>
          </cell>
          <cell r="L4774">
            <v>50</v>
          </cell>
          <cell r="M4774" t="str">
            <v>25,5/14,7</v>
          </cell>
          <cell r="N4774">
            <v>65</v>
          </cell>
          <cell r="O4774" t="str">
            <v>155(F)</v>
          </cell>
          <cell r="P4774" t="str">
            <v>270°</v>
          </cell>
          <cell r="Q4774" t="str">
            <v>TF</v>
          </cell>
          <cell r="R4774" t="str">
            <v>V(VE)</v>
          </cell>
          <cell r="S4774" t="str">
            <v>-</v>
          </cell>
          <cell r="T4774" t="str">
            <v>-</v>
          </cell>
          <cell r="U4774" t="str">
            <v>-</v>
          </cell>
          <cell r="V4774" t="str">
            <v>FC</v>
          </cell>
          <cell r="W4774" t="str">
            <v>-</v>
          </cell>
          <cell r="X4774" t="str">
            <v>CLP 220 (-15/+40°C)</v>
          </cell>
          <cell r="Y4774" t="str">
            <v>R97DRN132M4 /TF/V</v>
          </cell>
          <cell r="Z4774" t="str">
            <v>SEW</v>
          </cell>
          <cell r="AB4774" t="str">
            <v>-</v>
          </cell>
          <cell r="AF4774">
            <v>46</v>
          </cell>
          <cell r="AG4774" t="str">
            <v>DRN132M4</v>
          </cell>
          <cell r="AH4774" t="str">
            <v>R97-DRN132M4270-X#</v>
          </cell>
        </row>
        <row r="4775">
          <cell r="A4775" t="str">
            <v>MR004764</v>
          </cell>
          <cell r="B4775" t="str">
            <v>MR</v>
          </cell>
          <cell r="C4775">
            <v>7.5</v>
          </cell>
          <cell r="D4775">
            <v>28</v>
          </cell>
          <cell r="E4775" t="str">
            <v>R97</v>
          </cell>
          <cell r="F4775">
            <v>2590</v>
          </cell>
          <cell r="G4775">
            <v>53.21</v>
          </cell>
          <cell r="H4775">
            <v>1.1499999999999999</v>
          </cell>
          <cell r="I4775" t="str">
            <v>M3</v>
          </cell>
          <cell r="J4775" t="str">
            <v>IE3</v>
          </cell>
          <cell r="K4775">
            <v>415</v>
          </cell>
          <cell r="L4775">
            <v>50</v>
          </cell>
          <cell r="M4775" t="str">
            <v>25,5/14,7</v>
          </cell>
          <cell r="N4775">
            <v>65</v>
          </cell>
          <cell r="O4775" t="str">
            <v>155(F)</v>
          </cell>
          <cell r="P4775" t="str">
            <v>180°</v>
          </cell>
          <cell r="Q4775" t="str">
            <v>TF</v>
          </cell>
          <cell r="R4775" t="str">
            <v>V(VE)</v>
          </cell>
          <cell r="S4775" t="str">
            <v>-</v>
          </cell>
          <cell r="T4775" t="str">
            <v>-</v>
          </cell>
          <cell r="U4775" t="str">
            <v>-</v>
          </cell>
          <cell r="V4775" t="str">
            <v>FC</v>
          </cell>
          <cell r="W4775" t="str">
            <v>-</v>
          </cell>
          <cell r="X4775" t="str">
            <v>CLP 220 (-15/+40°C)</v>
          </cell>
          <cell r="Y4775" t="str">
            <v>R97DRN132M4 /TF/V</v>
          </cell>
          <cell r="Z4775" t="str">
            <v>SEW</v>
          </cell>
          <cell r="AB4775" t="str">
            <v>-</v>
          </cell>
          <cell r="AF4775">
            <v>28</v>
          </cell>
          <cell r="AG4775" t="str">
            <v>DRN132M4</v>
          </cell>
          <cell r="AH4775" t="str">
            <v>R97-DRN132M4180-X#</v>
          </cell>
        </row>
        <row r="4776">
          <cell r="A4776" t="str">
            <v>MR004765</v>
          </cell>
          <cell r="B4776" t="str">
            <v>MR</v>
          </cell>
          <cell r="C4776">
            <v>7.5</v>
          </cell>
          <cell r="D4776">
            <v>28</v>
          </cell>
          <cell r="E4776" t="str">
            <v>R97</v>
          </cell>
          <cell r="F4776">
            <v>2590</v>
          </cell>
          <cell r="G4776">
            <v>53.21</v>
          </cell>
          <cell r="H4776">
            <v>1.1499999999999999</v>
          </cell>
          <cell r="I4776" t="str">
            <v>M3</v>
          </cell>
          <cell r="J4776" t="str">
            <v>IE3</v>
          </cell>
          <cell r="K4776">
            <v>415</v>
          </cell>
          <cell r="L4776">
            <v>50</v>
          </cell>
          <cell r="M4776" t="str">
            <v>25,5/14,7</v>
          </cell>
          <cell r="N4776">
            <v>65</v>
          </cell>
          <cell r="O4776" t="str">
            <v>155(F)</v>
          </cell>
          <cell r="P4776" t="str">
            <v>0°</v>
          </cell>
          <cell r="Q4776" t="str">
            <v>TF</v>
          </cell>
          <cell r="R4776" t="str">
            <v>V(VE)</v>
          </cell>
          <cell r="S4776" t="str">
            <v>-</v>
          </cell>
          <cell r="T4776" t="str">
            <v>-</v>
          </cell>
          <cell r="U4776" t="str">
            <v>-</v>
          </cell>
          <cell r="V4776" t="str">
            <v>FC</v>
          </cell>
          <cell r="W4776" t="str">
            <v>-</v>
          </cell>
          <cell r="X4776" t="str">
            <v>CLP 220 (-15/+40°C)</v>
          </cell>
          <cell r="Y4776" t="str">
            <v>R97DRN132M4 /TF/V</v>
          </cell>
          <cell r="Z4776" t="str">
            <v>SEW</v>
          </cell>
          <cell r="AB4776" t="str">
            <v>-</v>
          </cell>
          <cell r="AF4776">
            <v>28</v>
          </cell>
          <cell r="AG4776" t="str">
            <v>DRN132M4</v>
          </cell>
          <cell r="AH4776" t="str">
            <v>R97-DRN132M40-X#</v>
          </cell>
        </row>
        <row r="4777">
          <cell r="A4777" t="str">
            <v>MR004766</v>
          </cell>
          <cell r="B4777" t="str">
            <v>MR</v>
          </cell>
          <cell r="C4777">
            <v>7.5</v>
          </cell>
          <cell r="D4777">
            <v>63</v>
          </cell>
          <cell r="E4777" t="str">
            <v>R87</v>
          </cell>
          <cell r="F4777">
            <v>1140</v>
          </cell>
          <cell r="G4777">
            <v>23.4</v>
          </cell>
          <cell r="H4777">
            <v>1.35</v>
          </cell>
          <cell r="I4777" t="str">
            <v>M1</v>
          </cell>
          <cell r="J4777" t="str">
            <v>IE3</v>
          </cell>
          <cell r="K4777" t="str">
            <v>240/415</v>
          </cell>
          <cell r="L4777">
            <v>50</v>
          </cell>
          <cell r="M4777" t="str">
            <v>25,5/14,7</v>
          </cell>
          <cell r="N4777">
            <v>65</v>
          </cell>
          <cell r="O4777" t="str">
            <v>155(F)</v>
          </cell>
          <cell r="P4777" t="str">
            <v>270°</v>
          </cell>
          <cell r="Q4777" t="str">
            <v>TF</v>
          </cell>
          <cell r="R4777" t="str">
            <v>-</v>
          </cell>
          <cell r="S4777" t="str">
            <v>-</v>
          </cell>
          <cell r="T4777" t="str">
            <v>-</v>
          </cell>
          <cell r="U4777" t="str">
            <v>-</v>
          </cell>
          <cell r="V4777" t="str">
            <v>D</v>
          </cell>
          <cell r="W4777" t="str">
            <v>-</v>
          </cell>
          <cell r="X4777" t="str">
            <v>CLP 220 (-15/+40°C)</v>
          </cell>
          <cell r="Y4777" t="str">
            <v>R87DRN132M4 /TF</v>
          </cell>
          <cell r="Z4777" t="str">
            <v>SEW</v>
          </cell>
          <cell r="AB4777" t="str">
            <v>-</v>
          </cell>
          <cell r="AF4777">
            <v>63</v>
          </cell>
          <cell r="AG4777" t="str">
            <v>DRN132M4</v>
          </cell>
          <cell r="AH4777" t="str">
            <v>R87-DRN132M4270-X</v>
          </cell>
        </row>
        <row r="4778">
          <cell r="A4778" t="str">
            <v>MR004767</v>
          </cell>
          <cell r="B4778" t="str">
            <v>MR</v>
          </cell>
          <cell r="C4778">
            <v>15</v>
          </cell>
          <cell r="D4778">
            <v>16</v>
          </cell>
          <cell r="E4778" t="str">
            <v>KH127</v>
          </cell>
          <cell r="F4778">
            <v>8730</v>
          </cell>
          <cell r="G4778">
            <v>1.5</v>
          </cell>
          <cell r="H4778">
            <v>1.5</v>
          </cell>
          <cell r="I4778" t="str">
            <v>From M4B to M1B-40°</v>
          </cell>
          <cell r="J4778" t="str">
            <v>IE3</v>
          </cell>
          <cell r="K4778" t="str">
            <v>240/415</v>
          </cell>
          <cell r="L4778">
            <v>50</v>
          </cell>
          <cell r="M4778" t="str">
            <v>48/27,5</v>
          </cell>
          <cell r="N4778">
            <v>55</v>
          </cell>
          <cell r="O4778" t="str">
            <v>155(F)</v>
          </cell>
          <cell r="P4778" t="str">
            <v>270°</v>
          </cell>
          <cell r="Q4778" t="str">
            <v>TF</v>
          </cell>
          <cell r="R4778" t="str">
            <v>-</v>
          </cell>
          <cell r="S4778" t="str">
            <v>-</v>
          </cell>
          <cell r="T4778" t="str">
            <v>-</v>
          </cell>
          <cell r="U4778" t="str">
            <v>-</v>
          </cell>
          <cell r="V4778" t="str">
            <v>FC</v>
          </cell>
          <cell r="W4778" t="str">
            <v>-</v>
          </cell>
          <cell r="X4778" t="str">
            <v>CLP 220 (-15/+40°C)</v>
          </cell>
          <cell r="Y4778" t="str">
            <v>KH127DRN160L4 /TF</v>
          </cell>
          <cell r="Z4778" t="str">
            <v>SEW</v>
          </cell>
          <cell r="AB4778" t="str">
            <v>-</v>
          </cell>
          <cell r="AD4778" t="str">
            <v>BIS</v>
          </cell>
          <cell r="AF4778">
            <v>16</v>
          </cell>
          <cell r="AG4778" t="str">
            <v>DRN160L4</v>
          </cell>
          <cell r="AH4778" t="str">
            <v>KH127-DRN160L4B270-X</v>
          </cell>
        </row>
        <row r="4779">
          <cell r="A4779" t="str">
            <v>MR004768</v>
          </cell>
          <cell r="B4779" t="str">
            <v>MR</v>
          </cell>
          <cell r="C4779">
            <v>7.5</v>
          </cell>
          <cell r="D4779">
            <v>63</v>
          </cell>
          <cell r="E4779" t="str">
            <v>R87</v>
          </cell>
          <cell r="F4779">
            <v>1140</v>
          </cell>
          <cell r="G4779">
            <v>23.4</v>
          </cell>
          <cell r="H4779">
            <v>1.35</v>
          </cell>
          <cell r="I4779" t="str">
            <v>M1</v>
          </cell>
          <cell r="J4779" t="str">
            <v>IE3</v>
          </cell>
          <cell r="K4779" t="str">
            <v>400/690</v>
          </cell>
          <cell r="L4779">
            <v>50</v>
          </cell>
          <cell r="M4779" t="str">
            <v>15,2/8,8</v>
          </cell>
          <cell r="N4779">
            <v>55</v>
          </cell>
          <cell r="O4779" t="str">
            <v>155(F)</v>
          </cell>
          <cell r="P4779" t="str">
            <v>270°</v>
          </cell>
          <cell r="Q4779" t="str">
            <v>TF</v>
          </cell>
          <cell r="R4779" t="str">
            <v>-</v>
          </cell>
          <cell r="S4779" t="str">
            <v>-</v>
          </cell>
          <cell r="T4779" t="str">
            <v>-</v>
          </cell>
          <cell r="U4779" t="str">
            <v>-</v>
          </cell>
          <cell r="V4779" t="str">
            <v>D</v>
          </cell>
          <cell r="W4779" t="str">
            <v>-</v>
          </cell>
          <cell r="X4779" t="str">
            <v>CLP 220 (-15/+40°C)</v>
          </cell>
          <cell r="Y4779" t="str">
            <v>R87DRN132M4 /TF</v>
          </cell>
          <cell r="Z4779" t="str">
            <v>SEW</v>
          </cell>
          <cell r="AB4779" t="str">
            <v>-</v>
          </cell>
          <cell r="AD4779" t="str">
            <v>BIS</v>
          </cell>
          <cell r="AF4779">
            <v>63</v>
          </cell>
          <cell r="AG4779" t="str">
            <v>DRN132M4</v>
          </cell>
          <cell r="AH4779" t="str">
            <v>R87-DRN132M4270-X</v>
          </cell>
        </row>
        <row r="4780">
          <cell r="A4780" t="str">
            <v>MR004769</v>
          </cell>
          <cell r="B4780" t="str">
            <v>ME</v>
          </cell>
          <cell r="C4780">
            <v>30</v>
          </cell>
          <cell r="D4780">
            <v>1470</v>
          </cell>
          <cell r="E4780" t="str">
            <v>1CV3205B</v>
          </cell>
          <cell r="F4780">
            <v>195</v>
          </cell>
          <cell r="G4780" t="str">
            <v>-</v>
          </cell>
          <cell r="H4780" t="str">
            <v>-</v>
          </cell>
          <cell r="I4780" t="str">
            <v>IM V1</v>
          </cell>
          <cell r="J4780" t="str">
            <v>IE3</v>
          </cell>
          <cell r="K4780">
            <v>415</v>
          </cell>
          <cell r="L4780">
            <v>50</v>
          </cell>
          <cell r="M4780">
            <v>53</v>
          </cell>
          <cell r="N4780">
            <v>55</v>
          </cell>
          <cell r="O4780" t="str">
            <v>155(F)</v>
          </cell>
          <cell r="P4780" t="str">
            <v>TOP</v>
          </cell>
          <cell r="Q4780" t="str">
            <v>TF</v>
          </cell>
          <cell r="R4780" t="str">
            <v>-</v>
          </cell>
          <cell r="S4780" t="str">
            <v>-</v>
          </cell>
          <cell r="T4780" t="str">
            <v>-</v>
          </cell>
          <cell r="U4780" t="str">
            <v>-</v>
          </cell>
          <cell r="V4780" t="str">
            <v>D</v>
          </cell>
          <cell r="W4780" t="str">
            <v>-</v>
          </cell>
          <cell r="X4780" t="str">
            <v>-</v>
          </cell>
          <cell r="Y4780" t="str">
            <v xml:space="preserve">1LE1503-2AB53-5GB4-Z D72+N11+Y99     </v>
          </cell>
          <cell r="Z4780" t="str">
            <v>INNOMOTICS</v>
          </cell>
          <cell r="AB4780" t="str">
            <v>-</v>
          </cell>
          <cell r="AD4780" t="str">
            <v>BIS</v>
          </cell>
          <cell r="AE4780" t="str">
            <v>4 POLES</v>
          </cell>
          <cell r="AF4780">
            <v>1470</v>
          </cell>
          <cell r="AG4780" t="str">
            <v>1CV3222B</v>
          </cell>
          <cell r="AH4780" t="str">
            <v>1CV3205B-1CV3222BTOP-X</v>
          </cell>
        </row>
        <row r="4781">
          <cell r="A4781" t="str">
            <v>MR004770</v>
          </cell>
          <cell r="B4781" t="str">
            <v>ME</v>
          </cell>
          <cell r="C4781">
            <v>3</v>
          </cell>
          <cell r="D4781">
            <v>2899</v>
          </cell>
          <cell r="E4781" t="str">
            <v>1AV3104A</v>
          </cell>
          <cell r="F4781">
            <v>9.9</v>
          </cell>
          <cell r="G4781" t="str">
            <v>-</v>
          </cell>
          <cell r="H4781" t="str">
            <v>-</v>
          </cell>
          <cell r="I4781" t="str">
            <v>IM B5</v>
          </cell>
          <cell r="J4781" t="str">
            <v>IE3</v>
          </cell>
          <cell r="K4781">
            <v>415</v>
          </cell>
          <cell r="L4781">
            <v>50</v>
          </cell>
          <cell r="M4781">
            <v>5.5</v>
          </cell>
          <cell r="N4781">
            <v>55</v>
          </cell>
          <cell r="O4781" t="str">
            <v>155(F)</v>
          </cell>
          <cell r="P4781" t="str">
            <v>TOP</v>
          </cell>
          <cell r="Q4781" t="str">
            <v>TF</v>
          </cell>
          <cell r="R4781" t="str">
            <v>-</v>
          </cell>
          <cell r="S4781" t="str">
            <v>-</v>
          </cell>
          <cell r="T4781" t="str">
            <v>-</v>
          </cell>
          <cell r="U4781" t="str">
            <v>-</v>
          </cell>
          <cell r="V4781" t="str">
            <v>D</v>
          </cell>
          <cell r="W4781" t="str">
            <v>-</v>
          </cell>
          <cell r="X4781" t="str">
            <v>-</v>
          </cell>
          <cell r="Y4781" t="str">
            <v>1LE1003-1AA42-3FB4-Z D72+N11+Y99</v>
          </cell>
          <cell r="Z4781" t="str">
            <v>INNOMOTICS</v>
          </cell>
          <cell r="AB4781" t="str">
            <v>-</v>
          </cell>
          <cell r="AD4781" t="str">
            <v>BIS</v>
          </cell>
          <cell r="AE4781" t="str">
            <v>2 POLES</v>
          </cell>
          <cell r="AF4781">
            <v>2899</v>
          </cell>
          <cell r="AG4781" t="str">
            <v>1CV3222B</v>
          </cell>
          <cell r="AH4781" t="str">
            <v>1AV3104A-1CV3222BBTOP-X</v>
          </cell>
        </row>
        <row r="4782">
          <cell r="A4782" t="str">
            <v>MR004771</v>
          </cell>
          <cell r="B4782" t="str">
            <v>MR</v>
          </cell>
          <cell r="C4782">
            <v>11</v>
          </cell>
          <cell r="D4782">
            <v>16</v>
          </cell>
          <cell r="E4782" t="str">
            <v>KH107</v>
          </cell>
          <cell r="F4782">
            <v>6480</v>
          </cell>
          <cell r="G4782">
            <v>90.96</v>
          </cell>
          <cell r="H4782">
            <v>1.25</v>
          </cell>
          <cell r="I4782" t="str">
            <v>From M4A to M1A-35°</v>
          </cell>
          <cell r="J4782" t="str">
            <v>IE3</v>
          </cell>
          <cell r="K4782" t="str">
            <v>240/415</v>
          </cell>
          <cell r="L4782">
            <v>50</v>
          </cell>
          <cell r="M4782" t="str">
            <v>35/20</v>
          </cell>
          <cell r="N4782">
            <v>55</v>
          </cell>
          <cell r="O4782" t="str">
            <v>155(F)</v>
          </cell>
          <cell r="P4782" t="str">
            <v>270°</v>
          </cell>
          <cell r="Q4782" t="str">
            <v>TF</v>
          </cell>
          <cell r="R4782" t="str">
            <v>V(VE)</v>
          </cell>
          <cell r="S4782" t="str">
            <v>-</v>
          </cell>
          <cell r="T4782" t="str">
            <v>-</v>
          </cell>
          <cell r="U4782" t="str">
            <v>-</v>
          </cell>
          <cell r="V4782" t="str">
            <v>FC</v>
          </cell>
          <cell r="W4782" t="str">
            <v>-</v>
          </cell>
          <cell r="X4782" t="str">
            <v>CLP 220 (-15/+40°C)</v>
          </cell>
          <cell r="Y4782" t="str">
            <v>KH107DRN160M4 /TF/V</v>
          </cell>
          <cell r="Z4782" t="str">
            <v>SEW</v>
          </cell>
          <cell r="AB4782" t="str">
            <v>-</v>
          </cell>
          <cell r="AD4782" t="str">
            <v>BIS</v>
          </cell>
          <cell r="AF4782">
            <v>16</v>
          </cell>
          <cell r="AG4782" t="str">
            <v>DRN160M4</v>
          </cell>
          <cell r="AH4782" t="str">
            <v>KH107-DRN160M4A270-X#</v>
          </cell>
        </row>
        <row r="4783">
          <cell r="A4783" t="str">
            <v>MR004772</v>
          </cell>
          <cell r="B4783" t="str">
            <v>MR</v>
          </cell>
          <cell r="C4783">
            <v>11</v>
          </cell>
          <cell r="D4783">
            <v>16</v>
          </cell>
          <cell r="E4783" t="str">
            <v>KH107</v>
          </cell>
          <cell r="F4783">
            <v>6480</v>
          </cell>
          <cell r="G4783">
            <v>90.96</v>
          </cell>
          <cell r="H4783">
            <v>1.25</v>
          </cell>
          <cell r="I4783" t="str">
            <v>From M4B to M1B-35°</v>
          </cell>
          <cell r="J4783" t="str">
            <v>IE3</v>
          </cell>
          <cell r="K4783" t="str">
            <v>240/415</v>
          </cell>
          <cell r="L4783">
            <v>50</v>
          </cell>
          <cell r="M4783" t="str">
            <v>35/20</v>
          </cell>
          <cell r="N4783">
            <v>55</v>
          </cell>
          <cell r="O4783" t="str">
            <v>155(F)</v>
          </cell>
          <cell r="P4783" t="str">
            <v>270°</v>
          </cell>
          <cell r="Q4783" t="str">
            <v>TF</v>
          </cell>
          <cell r="R4783" t="str">
            <v>V(VE)</v>
          </cell>
          <cell r="S4783" t="str">
            <v>-</v>
          </cell>
          <cell r="T4783" t="str">
            <v>-</v>
          </cell>
          <cell r="U4783" t="str">
            <v>-</v>
          </cell>
          <cell r="V4783" t="str">
            <v>FC</v>
          </cell>
          <cell r="W4783" t="str">
            <v>-</v>
          </cell>
          <cell r="X4783" t="str">
            <v>CLP 220 (-15/+40°C)</v>
          </cell>
          <cell r="Y4783" t="str">
            <v>KH107DRN160M4 /TF/V</v>
          </cell>
          <cell r="Z4783" t="str">
            <v>SEW</v>
          </cell>
          <cell r="AB4783" t="str">
            <v>-</v>
          </cell>
          <cell r="AD4783" t="str">
            <v>BIS</v>
          </cell>
          <cell r="AF4783">
            <v>16</v>
          </cell>
          <cell r="AG4783" t="str">
            <v>DRN160M4</v>
          </cell>
          <cell r="AH4783" t="str">
            <v>KH107-DRN160M4B270-X#</v>
          </cell>
        </row>
        <row r="4784">
          <cell r="A4784" t="str">
            <v>MR004773</v>
          </cell>
          <cell r="B4784" t="str">
            <v>MR</v>
          </cell>
          <cell r="C4784">
            <v>11</v>
          </cell>
          <cell r="D4784">
            <v>16</v>
          </cell>
          <cell r="E4784" t="str">
            <v>KH107</v>
          </cell>
          <cell r="F4784">
            <v>6480</v>
          </cell>
          <cell r="G4784">
            <v>90.96</v>
          </cell>
          <cell r="H4784">
            <v>1.25</v>
          </cell>
          <cell r="I4784" t="str">
            <v>From M4A to M1A-15°</v>
          </cell>
          <cell r="J4784" t="str">
            <v>IE3</v>
          </cell>
          <cell r="K4784" t="str">
            <v>240/415</v>
          </cell>
          <cell r="L4784">
            <v>50</v>
          </cell>
          <cell r="M4784" t="str">
            <v>35/20</v>
          </cell>
          <cell r="N4784">
            <v>55</v>
          </cell>
          <cell r="O4784" t="str">
            <v>155(F)</v>
          </cell>
          <cell r="P4784" t="str">
            <v>270°</v>
          </cell>
          <cell r="Q4784" t="str">
            <v>TF</v>
          </cell>
          <cell r="R4784" t="str">
            <v>-</v>
          </cell>
          <cell r="S4784" t="str">
            <v>-</v>
          </cell>
          <cell r="T4784" t="str">
            <v>-</v>
          </cell>
          <cell r="U4784" t="str">
            <v>-</v>
          </cell>
          <cell r="V4784" t="str">
            <v>FC</v>
          </cell>
          <cell r="W4784" t="str">
            <v>-</v>
          </cell>
          <cell r="X4784" t="str">
            <v>CLP 220 (-15/+40°C)</v>
          </cell>
          <cell r="Y4784" t="str">
            <v>KH107DRN160M4 /TF</v>
          </cell>
          <cell r="Z4784" t="str">
            <v>SEW</v>
          </cell>
          <cell r="AB4784" t="str">
            <v>-</v>
          </cell>
          <cell r="AD4784" t="str">
            <v>BIS</v>
          </cell>
          <cell r="AF4784">
            <v>16</v>
          </cell>
          <cell r="AG4784" t="str">
            <v>DRN160M4</v>
          </cell>
          <cell r="AH4784" t="str">
            <v>KH107-DRN160M4A270-X</v>
          </cell>
        </row>
        <row r="4785">
          <cell r="A4785" t="str">
            <v>MR004774</v>
          </cell>
          <cell r="B4785" t="str">
            <v>MR</v>
          </cell>
          <cell r="C4785">
            <v>7.5</v>
          </cell>
          <cell r="D4785">
            <v>16</v>
          </cell>
          <cell r="E4785" t="str">
            <v>KH107</v>
          </cell>
          <cell r="F4785">
            <v>4430</v>
          </cell>
          <cell r="G4785">
            <v>90.96</v>
          </cell>
          <cell r="H4785">
            <v>1.8</v>
          </cell>
          <cell r="I4785" t="str">
            <v>M4B</v>
          </cell>
          <cell r="J4785" t="str">
            <v>IE3</v>
          </cell>
          <cell r="K4785" t="str">
            <v>240/415</v>
          </cell>
          <cell r="L4785">
            <v>50</v>
          </cell>
          <cell r="M4785" t="str">
            <v>25,5/14,7</v>
          </cell>
          <cell r="N4785">
            <v>55</v>
          </cell>
          <cell r="O4785" t="str">
            <v>155(F)</v>
          </cell>
          <cell r="P4785" t="str">
            <v>270°</v>
          </cell>
          <cell r="Q4785" t="str">
            <v>TF</v>
          </cell>
          <cell r="R4785" t="str">
            <v>-</v>
          </cell>
          <cell r="S4785" t="str">
            <v>-</v>
          </cell>
          <cell r="T4785" t="str">
            <v>-</v>
          </cell>
          <cell r="U4785" t="str">
            <v>-</v>
          </cell>
          <cell r="V4785" t="str">
            <v>FC</v>
          </cell>
          <cell r="W4785" t="str">
            <v>-</v>
          </cell>
          <cell r="X4785" t="str">
            <v>CLP 220 (-15/+40°C)</v>
          </cell>
          <cell r="Y4785" t="str">
            <v>KH107DRN132M4 /TF</v>
          </cell>
          <cell r="Z4785" t="str">
            <v>SEW</v>
          </cell>
          <cell r="AB4785" t="str">
            <v>-</v>
          </cell>
          <cell r="AD4785" t="str">
            <v>BIS</v>
          </cell>
          <cell r="AF4785">
            <v>16</v>
          </cell>
          <cell r="AG4785" t="str">
            <v>DRN132M4</v>
          </cell>
          <cell r="AH4785" t="str">
            <v>KH107-DRN132M4B270-X</v>
          </cell>
        </row>
        <row r="4786">
          <cell r="A4786" t="str">
            <v>MR004775</v>
          </cell>
          <cell r="B4786" t="str">
            <v>MR</v>
          </cell>
          <cell r="C4786">
            <v>11</v>
          </cell>
          <cell r="D4786">
            <v>109</v>
          </cell>
          <cell r="E4786" t="str">
            <v>KH77</v>
          </cell>
          <cell r="F4786">
            <v>960</v>
          </cell>
          <cell r="G4786">
            <v>13.52</v>
          </cell>
          <cell r="H4786">
            <v>1.4</v>
          </cell>
          <cell r="I4786" t="str">
            <v>From M4B to M1B-5°</v>
          </cell>
          <cell r="J4786" t="str">
            <v>IE3</v>
          </cell>
          <cell r="K4786" t="str">
            <v>240/415</v>
          </cell>
          <cell r="L4786">
            <v>50</v>
          </cell>
          <cell r="M4786" t="str">
            <v>35/20</v>
          </cell>
          <cell r="N4786">
            <v>55</v>
          </cell>
          <cell r="O4786" t="str">
            <v>155(F)</v>
          </cell>
          <cell r="P4786" t="str">
            <v>270°</v>
          </cell>
          <cell r="Q4786" t="str">
            <v>TF</v>
          </cell>
          <cell r="R4786" t="str">
            <v>-</v>
          </cell>
          <cell r="S4786" t="str">
            <v>Free rotation CW</v>
          </cell>
          <cell r="T4786" t="str">
            <v>-</v>
          </cell>
          <cell r="U4786" t="str">
            <v>T</v>
          </cell>
          <cell r="V4786" t="str">
            <v>FC</v>
          </cell>
          <cell r="W4786" t="str">
            <v>-</v>
          </cell>
          <cell r="X4786" t="str">
            <v>CLP 220 (-15/+40°C)</v>
          </cell>
          <cell r="Y4786" t="str">
            <v>KH77/T DRN160M4 /RS /TF</v>
          </cell>
          <cell r="Z4786" t="str">
            <v>SEW</v>
          </cell>
          <cell r="AB4786" t="str">
            <v>-</v>
          </cell>
          <cell r="AD4786" t="str">
            <v>BIS</v>
          </cell>
          <cell r="AF4786">
            <v>109</v>
          </cell>
          <cell r="AG4786" t="str">
            <v>DRN160M4</v>
          </cell>
          <cell r="AH4786" t="str">
            <v>KH77T-DRN160M4B270-X</v>
          </cell>
        </row>
        <row r="4787">
          <cell r="A4787" t="str">
            <v>MR004776</v>
          </cell>
          <cell r="B4787" t="str">
            <v>MR</v>
          </cell>
          <cell r="C4787">
            <v>0.75</v>
          </cell>
          <cell r="D4787">
            <v>162</v>
          </cell>
          <cell r="E4787" t="str">
            <v>KA37</v>
          </cell>
          <cell r="F4787">
            <v>44</v>
          </cell>
          <cell r="G4787">
            <v>8.91</v>
          </cell>
          <cell r="H4787">
            <v>3.6</v>
          </cell>
          <cell r="I4787" t="str">
            <v>From M3B to M4B-5°</v>
          </cell>
          <cell r="J4787" t="str">
            <v>IE3</v>
          </cell>
          <cell r="K4787" t="str">
            <v>240/415</v>
          </cell>
          <cell r="L4787">
            <v>50</v>
          </cell>
          <cell r="M4787" t="str">
            <v>2,9/1,69</v>
          </cell>
          <cell r="N4787">
            <v>55</v>
          </cell>
          <cell r="O4787" t="str">
            <v>155(F)</v>
          </cell>
          <cell r="P4787" t="str">
            <v>0°</v>
          </cell>
          <cell r="Q4787" t="str">
            <v>TF</v>
          </cell>
          <cell r="R4787" t="str">
            <v>-</v>
          </cell>
          <cell r="S4787" t="str">
            <v>-</v>
          </cell>
          <cell r="T4787" t="str">
            <v>-</v>
          </cell>
          <cell r="U4787" t="str">
            <v>T</v>
          </cell>
          <cell r="V4787" t="str">
            <v>D</v>
          </cell>
          <cell r="W4787" t="str">
            <v>-</v>
          </cell>
          <cell r="X4787" t="str">
            <v>CLP 220 (-15/+40°C)</v>
          </cell>
          <cell r="Y4787" t="str">
            <v>KA37/T DRN80M4 /TF</v>
          </cell>
          <cell r="Z4787" t="str">
            <v>SEW</v>
          </cell>
          <cell r="AB4787" t="str">
            <v>-</v>
          </cell>
          <cell r="AD4787" t="str">
            <v>BIS</v>
          </cell>
          <cell r="AF4787">
            <v>162</v>
          </cell>
          <cell r="AG4787" t="str">
            <v>DRN80M4</v>
          </cell>
          <cell r="AH4787" t="str">
            <v>KA37T-DRN80M4B0-X</v>
          </cell>
        </row>
        <row r="4788">
          <cell r="A4788" t="str">
            <v>MR004777</v>
          </cell>
          <cell r="B4788" t="str">
            <v>MR</v>
          </cell>
          <cell r="C4788">
            <v>0.55000000000000004</v>
          </cell>
          <cell r="D4788">
            <v>3.9</v>
          </cell>
          <cell r="E4788" t="str">
            <v>KA77R37</v>
          </cell>
          <cell r="F4788">
            <v>1210</v>
          </cell>
          <cell r="G4788">
            <v>367</v>
          </cell>
          <cell r="H4788">
            <v>1.25</v>
          </cell>
          <cell r="I4788" t="str">
            <v>M3B</v>
          </cell>
          <cell r="J4788" t="str">
            <v>IE3</v>
          </cell>
          <cell r="K4788" t="str">
            <v>230/400</v>
          </cell>
          <cell r="L4788">
            <v>50</v>
          </cell>
          <cell r="M4788" t="str">
            <v>2,25/1,29</v>
          </cell>
          <cell r="N4788">
            <v>55</v>
          </cell>
          <cell r="O4788" t="str">
            <v>155(F)</v>
          </cell>
          <cell r="P4788" t="str">
            <v>0°</v>
          </cell>
          <cell r="Q4788" t="str">
            <v>TF</v>
          </cell>
          <cell r="R4788" t="str">
            <v>-</v>
          </cell>
          <cell r="S4788" t="str">
            <v>-</v>
          </cell>
          <cell r="T4788" t="str">
            <v>BEHF</v>
          </cell>
          <cell r="U4788" t="str">
            <v>T</v>
          </cell>
          <cell r="V4788" t="str">
            <v>D+R</v>
          </cell>
          <cell r="W4788" t="str">
            <v>-</v>
          </cell>
          <cell r="X4788" t="str">
            <v>CLP 220 (-15/+40°C)</v>
          </cell>
          <cell r="Y4788" t="str">
            <v>KA77R37/T DRN80MK4 /BEHF /TF</v>
          </cell>
          <cell r="Z4788" t="str">
            <v>SEW</v>
          </cell>
          <cell r="AB4788" t="str">
            <v>-</v>
          </cell>
          <cell r="AF4788">
            <v>3.9</v>
          </cell>
          <cell r="AG4788" t="str">
            <v>DRN80MK4</v>
          </cell>
          <cell r="AH4788" t="str">
            <v>KA77R37T-DRN80MK4B0-X</v>
          </cell>
        </row>
        <row r="4789">
          <cell r="A4789" t="str">
            <v>MR004778</v>
          </cell>
          <cell r="B4789" t="str">
            <v>MR</v>
          </cell>
          <cell r="C4789">
            <v>18.5</v>
          </cell>
          <cell r="D4789">
            <v>16</v>
          </cell>
          <cell r="E4789" t="str">
            <v>KH127</v>
          </cell>
          <cell r="F4789">
            <v>10700</v>
          </cell>
          <cell r="G4789">
            <v>89.89</v>
          </cell>
          <cell r="H4789">
            <v>1.2</v>
          </cell>
          <cell r="I4789" t="str">
            <v>From M1A to M4A - 60°</v>
          </cell>
          <cell r="J4789" t="str">
            <v>IE3</v>
          </cell>
          <cell r="K4789" t="str">
            <v>230/400</v>
          </cell>
          <cell r="L4789">
            <v>50</v>
          </cell>
          <cell r="M4789" t="str">
            <v>58/33,5</v>
          </cell>
          <cell r="N4789">
            <v>55</v>
          </cell>
          <cell r="O4789" t="str">
            <v>155(F)</v>
          </cell>
          <cell r="P4789" t="str">
            <v>270°</v>
          </cell>
          <cell r="Q4789" t="str">
            <v>TF</v>
          </cell>
          <cell r="R4789" t="str">
            <v>-</v>
          </cell>
          <cell r="S4789" t="str">
            <v>-</v>
          </cell>
          <cell r="T4789" t="str">
            <v>-</v>
          </cell>
          <cell r="U4789" t="str">
            <v>-</v>
          </cell>
          <cell r="V4789" t="str">
            <v>FC</v>
          </cell>
          <cell r="W4789" t="str">
            <v>-</v>
          </cell>
          <cell r="X4789" t="str">
            <v>CLP 220 (-15/+40°C)</v>
          </cell>
          <cell r="Y4789" t="str">
            <v>KH127DRN180M4 /TF</v>
          </cell>
          <cell r="Z4789" t="str">
            <v>SEW</v>
          </cell>
          <cell r="AB4789" t="str">
            <v>-</v>
          </cell>
          <cell r="AF4789">
            <v>16</v>
          </cell>
          <cell r="AG4789" t="str">
            <v>DRN180M4</v>
          </cell>
          <cell r="AH4789" t="str">
            <v>KH127-DRN180M4A270-X</v>
          </cell>
        </row>
        <row r="4790">
          <cell r="A4790" t="str">
            <v>MR004779</v>
          </cell>
          <cell r="B4790" t="str">
            <v>MR</v>
          </cell>
          <cell r="C4790">
            <v>18.5</v>
          </cell>
          <cell r="D4790">
            <v>16</v>
          </cell>
          <cell r="E4790" t="str">
            <v>KH127</v>
          </cell>
          <cell r="F4790">
            <v>10700</v>
          </cell>
          <cell r="G4790">
            <v>89.89</v>
          </cell>
          <cell r="H4790">
            <v>1.2</v>
          </cell>
          <cell r="I4790" t="str">
            <v>From M1A to M4A - 80°</v>
          </cell>
          <cell r="J4790" t="str">
            <v>IE3</v>
          </cell>
          <cell r="K4790" t="str">
            <v>230/400</v>
          </cell>
          <cell r="L4790">
            <v>50</v>
          </cell>
          <cell r="M4790" t="str">
            <v>58/33,5</v>
          </cell>
          <cell r="N4790">
            <v>55</v>
          </cell>
          <cell r="O4790" t="str">
            <v>155(F)</v>
          </cell>
          <cell r="P4790" t="str">
            <v>270°</v>
          </cell>
          <cell r="Q4790" t="str">
            <v>TF</v>
          </cell>
          <cell r="R4790" t="str">
            <v>-</v>
          </cell>
          <cell r="S4790" t="str">
            <v>-</v>
          </cell>
          <cell r="T4790" t="str">
            <v>-</v>
          </cell>
          <cell r="U4790" t="str">
            <v>-</v>
          </cell>
          <cell r="V4790" t="str">
            <v>FC</v>
          </cell>
          <cell r="W4790" t="str">
            <v>-</v>
          </cell>
          <cell r="X4790" t="str">
            <v>CLP 220 (-15/+40°C)</v>
          </cell>
          <cell r="Y4790" t="str">
            <v>KH127DRN180M4 /TF</v>
          </cell>
          <cell r="Z4790" t="str">
            <v>SEW</v>
          </cell>
          <cell r="AB4790" t="str">
            <v>-</v>
          </cell>
          <cell r="AF4790">
            <v>16</v>
          </cell>
          <cell r="AG4790" t="str">
            <v>DRN180M4</v>
          </cell>
          <cell r="AH4790" t="str">
            <v>KH127-DRN180M4A270-X</v>
          </cell>
        </row>
        <row r="4791">
          <cell r="A4791" t="str">
            <v>MR004780</v>
          </cell>
          <cell r="B4791" t="str">
            <v>MR</v>
          </cell>
          <cell r="C4791">
            <v>9.1999999999999993</v>
          </cell>
          <cell r="D4791">
            <v>59</v>
          </cell>
          <cell r="E4791" t="str">
            <v>R97</v>
          </cell>
          <cell r="F4791">
            <v>1500</v>
          </cell>
          <cell r="G4791">
            <v>25.03</v>
          </cell>
          <cell r="H4791">
            <v>1.9</v>
          </cell>
          <cell r="I4791" t="str">
            <v>M1</v>
          </cell>
          <cell r="J4791" t="str">
            <v>IE3</v>
          </cell>
          <cell r="K4791" t="str">
            <v>230/400</v>
          </cell>
          <cell r="L4791">
            <v>50</v>
          </cell>
          <cell r="M4791" t="str">
            <v>32,5/18,7</v>
          </cell>
          <cell r="N4791">
            <v>55</v>
          </cell>
          <cell r="O4791" t="str">
            <v>155(F)</v>
          </cell>
          <cell r="P4791" t="str">
            <v>270°</v>
          </cell>
          <cell r="Q4791" t="str">
            <v>TF</v>
          </cell>
          <cell r="R4791" t="str">
            <v>-</v>
          </cell>
          <cell r="S4791" t="str">
            <v>-</v>
          </cell>
          <cell r="T4791" t="str">
            <v>-</v>
          </cell>
          <cell r="U4791" t="str">
            <v>-</v>
          </cell>
          <cell r="V4791" t="str">
            <v>D+R</v>
          </cell>
          <cell r="W4791" t="str">
            <v>-</v>
          </cell>
          <cell r="X4791" t="str">
            <v>CLP 220 (-15/+40°C)</v>
          </cell>
          <cell r="Y4791" t="str">
            <v>R97DRN132L4 /TF</v>
          </cell>
          <cell r="Z4791" t="str">
            <v>SEW</v>
          </cell>
          <cell r="AB4791" t="str">
            <v>-</v>
          </cell>
          <cell r="AF4791">
            <v>59</v>
          </cell>
          <cell r="AG4791" t="str">
            <v>DRN132L4</v>
          </cell>
          <cell r="AH4791" t="str">
            <v>R97-DRN132L4270-X</v>
          </cell>
        </row>
        <row r="4792">
          <cell r="A4792" t="str">
            <v>MR004781</v>
          </cell>
          <cell r="B4792" t="str">
            <v>MR</v>
          </cell>
          <cell r="C4792">
            <v>7.5</v>
          </cell>
          <cell r="D4792">
            <v>16</v>
          </cell>
          <cell r="E4792" t="str">
            <v>KH107</v>
          </cell>
          <cell r="F4792">
            <v>4440</v>
          </cell>
          <cell r="G4792">
            <v>90.96</v>
          </cell>
          <cell r="H4792">
            <v>1.8</v>
          </cell>
          <cell r="I4792" t="str">
            <v>From M1A to M4A - 60°</v>
          </cell>
          <cell r="J4792" t="str">
            <v>IE3</v>
          </cell>
          <cell r="K4792" t="str">
            <v>230/400</v>
          </cell>
          <cell r="L4792">
            <v>50</v>
          </cell>
          <cell r="M4792" t="str">
            <v>26,5/15,2</v>
          </cell>
          <cell r="N4792">
            <v>55</v>
          </cell>
          <cell r="O4792" t="str">
            <v>155(F)</v>
          </cell>
          <cell r="P4792" t="str">
            <v>270°</v>
          </cell>
          <cell r="Q4792" t="str">
            <v>TF</v>
          </cell>
          <cell r="R4792" t="str">
            <v>-</v>
          </cell>
          <cell r="S4792" t="str">
            <v>-</v>
          </cell>
          <cell r="T4792" t="str">
            <v>-</v>
          </cell>
          <cell r="U4792" t="str">
            <v>-</v>
          </cell>
          <cell r="V4792" t="str">
            <v>FC</v>
          </cell>
          <cell r="W4792" t="str">
            <v>-</v>
          </cell>
          <cell r="X4792" t="str">
            <v>CLP 220 (-15/+40°C)</v>
          </cell>
          <cell r="Y4792" t="str">
            <v>KH107DRN132M4 /TF</v>
          </cell>
          <cell r="Z4792" t="str">
            <v>SEW</v>
          </cell>
          <cell r="AB4792" t="str">
            <v>-</v>
          </cell>
          <cell r="AF4792">
            <v>16</v>
          </cell>
          <cell r="AG4792" t="str">
            <v>DRN132M4</v>
          </cell>
          <cell r="AH4792" t="str">
            <v>KH107-DRN132M4A270-X</v>
          </cell>
        </row>
        <row r="4793">
          <cell r="A4793" t="str">
            <v>MR004782</v>
          </cell>
          <cell r="B4793" t="str">
            <v>MR</v>
          </cell>
          <cell r="C4793">
            <v>11</v>
          </cell>
          <cell r="D4793">
            <v>13</v>
          </cell>
          <cell r="E4793" t="str">
            <v>FH127</v>
          </cell>
          <cell r="F4793">
            <v>8150</v>
          </cell>
          <cell r="G4793">
            <v>114.34</v>
          </cell>
          <cell r="H4793">
            <v>1.45</v>
          </cell>
          <cell r="I4793" t="str">
            <v>From M1 to M2 - 5°</v>
          </cell>
          <cell r="J4793" t="str">
            <v>IE3</v>
          </cell>
          <cell r="K4793" t="str">
            <v>230/400</v>
          </cell>
          <cell r="L4793">
            <v>50</v>
          </cell>
          <cell r="M4793" t="str">
            <v>36,5/21</v>
          </cell>
          <cell r="N4793">
            <v>55</v>
          </cell>
          <cell r="O4793" t="str">
            <v>155(F)</v>
          </cell>
          <cell r="P4793" t="str">
            <v>270°</v>
          </cell>
          <cell r="Q4793" t="str">
            <v>TF</v>
          </cell>
          <cell r="R4793" t="str">
            <v>V(VE)</v>
          </cell>
          <cell r="S4793" t="str">
            <v>-</v>
          </cell>
          <cell r="T4793" t="str">
            <v>-</v>
          </cell>
          <cell r="U4793" t="str">
            <v>G</v>
          </cell>
          <cell r="V4793" t="str">
            <v>FC</v>
          </cell>
          <cell r="W4793" t="str">
            <v>-</v>
          </cell>
          <cell r="X4793" t="str">
            <v>CLP 220 (-15/+40°C)</v>
          </cell>
          <cell r="Y4793" t="str">
            <v>FH127/G DRN160M4 /TF/V</v>
          </cell>
          <cell r="Z4793" t="str">
            <v>SEW</v>
          </cell>
          <cell r="AB4793" t="str">
            <v>-</v>
          </cell>
          <cell r="AF4793">
            <v>13</v>
          </cell>
          <cell r="AG4793" t="str">
            <v>DRN160M4</v>
          </cell>
          <cell r="AH4793" t="str">
            <v>FH127G-DRN160M4270-X#</v>
          </cell>
        </row>
        <row r="4794">
          <cell r="A4794" t="str">
            <v>MR004783</v>
          </cell>
          <cell r="B4794" t="str">
            <v>MR</v>
          </cell>
          <cell r="C4794">
            <v>5.5</v>
          </cell>
          <cell r="D4794">
            <v>66</v>
          </cell>
          <cell r="E4794" t="str">
            <v>K073220</v>
          </cell>
          <cell r="F4794">
            <v>766</v>
          </cell>
          <cell r="G4794">
            <v>21.84</v>
          </cell>
          <cell r="H4794">
            <v>1.88</v>
          </cell>
          <cell r="I4794" t="str">
            <v>From 5Y to 1Y-20°</v>
          </cell>
          <cell r="J4794" t="str">
            <v>IE3</v>
          </cell>
          <cell r="K4794">
            <v>415</v>
          </cell>
          <cell r="L4794">
            <v>50</v>
          </cell>
          <cell r="M4794">
            <v>10.1</v>
          </cell>
          <cell r="N4794">
            <v>55</v>
          </cell>
          <cell r="O4794" t="str">
            <v>155(F)</v>
          </cell>
          <cell r="P4794" t="str">
            <v>270°</v>
          </cell>
          <cell r="Q4794" t="str">
            <v>TF</v>
          </cell>
          <cell r="R4794" t="str">
            <v>-</v>
          </cell>
          <cell r="S4794" t="str">
            <v>Free rotation CCW</v>
          </cell>
          <cell r="T4794" t="str">
            <v>-</v>
          </cell>
          <cell r="U4794" t="str">
            <v>T-LHS</v>
          </cell>
          <cell r="V4794" t="str">
            <v>SS</v>
          </cell>
          <cell r="W4794" t="str">
            <v>-</v>
          </cell>
          <cell r="X4794" t="str">
            <v>CLP 220 (-15/+40°C)</v>
          </cell>
          <cell r="Y4794" t="str">
            <v xml:space="preserve">K073220.TMYC5D5.5AM00601G0169   </v>
          </cell>
          <cell r="Z4794" t="str">
            <v>RADICON</v>
          </cell>
          <cell r="AB4794" t="str">
            <v>-</v>
          </cell>
          <cell r="AD4794" t="str">
            <v>BIS</v>
          </cell>
          <cell r="AF4794">
            <v>66</v>
          </cell>
          <cell r="AG4794" t="str">
            <v>DRN132S4</v>
          </cell>
          <cell r="AH4794" t="str">
            <v>K073220T-LHS-DRN132S4270-X</v>
          </cell>
        </row>
        <row r="4795">
          <cell r="A4795" t="str">
            <v>MR004784</v>
          </cell>
          <cell r="B4795" t="str">
            <v>MR</v>
          </cell>
          <cell r="C4795">
            <v>5.5</v>
          </cell>
          <cell r="D4795">
            <v>66</v>
          </cell>
          <cell r="E4795" t="str">
            <v>K073220</v>
          </cell>
          <cell r="F4795">
            <v>766</v>
          </cell>
          <cell r="G4795">
            <v>21.84</v>
          </cell>
          <cell r="H4795">
            <v>1.88</v>
          </cell>
          <cell r="I4795" t="str">
            <v>From 5X to 1X-5°</v>
          </cell>
          <cell r="J4795" t="str">
            <v>IE3</v>
          </cell>
          <cell r="K4795">
            <v>415</v>
          </cell>
          <cell r="L4795">
            <v>50</v>
          </cell>
          <cell r="M4795">
            <v>10.1</v>
          </cell>
          <cell r="N4795">
            <v>55</v>
          </cell>
          <cell r="O4795" t="str">
            <v>155(F)</v>
          </cell>
          <cell r="P4795" t="str">
            <v>270°</v>
          </cell>
          <cell r="Q4795" t="str">
            <v>TF</v>
          </cell>
          <cell r="R4795" t="str">
            <v>-</v>
          </cell>
          <cell r="S4795" t="str">
            <v>-</v>
          </cell>
          <cell r="T4795" t="str">
            <v>-</v>
          </cell>
          <cell r="U4795" t="str">
            <v>Q-RHS</v>
          </cell>
          <cell r="V4795" t="str">
            <v>SS</v>
          </cell>
          <cell r="W4795" t="str">
            <v>-</v>
          </cell>
          <cell r="X4795" t="str">
            <v>CLP 220 (-15/+40°C)</v>
          </cell>
          <cell r="Y4795" t="str">
            <v xml:space="preserve">K073220.QMXC5D5.5AM01689G0000 </v>
          </cell>
          <cell r="Z4795" t="str">
            <v>RADICON</v>
          </cell>
          <cell r="AB4795" t="str">
            <v>-</v>
          </cell>
          <cell r="AD4795" t="str">
            <v>BIS</v>
          </cell>
          <cell r="AF4795">
            <v>66</v>
          </cell>
          <cell r="AG4795" t="str">
            <v>DRN132S4</v>
          </cell>
          <cell r="AH4795" t="str">
            <v>K073220Q-RHS-DRN132S4270-X</v>
          </cell>
        </row>
        <row r="4796">
          <cell r="A4796" t="str">
            <v>MR004785</v>
          </cell>
          <cell r="B4796" t="str">
            <v>MR</v>
          </cell>
          <cell r="C4796">
            <v>0.75</v>
          </cell>
          <cell r="D4796">
            <v>170</v>
          </cell>
          <cell r="E4796" t="str">
            <v>K03328.0</v>
          </cell>
          <cell r="F4796">
            <v>41</v>
          </cell>
          <cell r="G4796">
            <v>8.33</v>
          </cell>
          <cell r="H4796">
            <v>3.42</v>
          </cell>
          <cell r="I4796" t="str">
            <v>From 4H to 6H-35°</v>
          </cell>
          <cell r="J4796" t="str">
            <v>IE3</v>
          </cell>
          <cell r="K4796">
            <v>415</v>
          </cell>
          <cell r="L4796">
            <v>50</v>
          </cell>
          <cell r="M4796">
            <v>1.69</v>
          </cell>
          <cell r="N4796">
            <v>55</v>
          </cell>
          <cell r="O4796" t="str">
            <v>155(F)</v>
          </cell>
          <cell r="P4796" t="str">
            <v>90°</v>
          </cell>
          <cell r="Q4796" t="str">
            <v>TF</v>
          </cell>
          <cell r="R4796" t="str">
            <v>-</v>
          </cell>
          <cell r="S4796" t="str">
            <v>-</v>
          </cell>
          <cell r="T4796" t="str">
            <v>-</v>
          </cell>
          <cell r="U4796" t="str">
            <v>T-RHS</v>
          </cell>
          <cell r="V4796" t="str">
            <v>D</v>
          </cell>
          <cell r="W4796" t="str">
            <v>-</v>
          </cell>
          <cell r="X4796" t="str">
            <v>CLP 220 (-15/+40°C)</v>
          </cell>
          <cell r="Y4796" t="str">
            <v xml:space="preserve">K03328.0QMHA4B.75AX </v>
          </cell>
          <cell r="Z4796" t="str">
            <v>RADICON</v>
          </cell>
          <cell r="AB4796" t="str">
            <v>-</v>
          </cell>
          <cell r="AD4796" t="str">
            <v>BIS</v>
          </cell>
          <cell r="AF4796">
            <v>170</v>
          </cell>
          <cell r="AG4796" t="str">
            <v>DRN80M4</v>
          </cell>
          <cell r="AH4796" t="str">
            <v>K03328.0T-RHS-DRN80M490-X</v>
          </cell>
        </row>
        <row r="4797">
          <cell r="A4797" t="str">
            <v>MR004786</v>
          </cell>
          <cell r="B4797" t="str">
            <v>MR</v>
          </cell>
          <cell r="C4797">
            <v>7.5</v>
          </cell>
          <cell r="D4797">
            <v>62</v>
          </cell>
          <cell r="E4797" t="str">
            <v>M082222.</v>
          </cell>
          <cell r="F4797">
            <v>1129</v>
          </cell>
          <cell r="G4797">
            <v>23.32</v>
          </cell>
          <cell r="H4797">
            <v>1.37</v>
          </cell>
          <cell r="I4797" t="str">
            <v>From 1B3 to 6V6 - 15°</v>
          </cell>
          <cell r="J4797" t="str">
            <v>IE3</v>
          </cell>
          <cell r="K4797" t="str">
            <v>240/415</v>
          </cell>
          <cell r="L4797">
            <v>50</v>
          </cell>
          <cell r="M4797" t="str">
            <v>25,5/14,7</v>
          </cell>
          <cell r="N4797">
            <v>55</v>
          </cell>
          <cell r="O4797" t="str">
            <v>155(F)</v>
          </cell>
          <cell r="P4797" t="str">
            <v>270°</v>
          </cell>
          <cell r="Q4797" t="str">
            <v>TF</v>
          </cell>
          <cell r="R4797" t="str">
            <v>-</v>
          </cell>
          <cell r="S4797" t="str">
            <v>-</v>
          </cell>
          <cell r="T4797" t="str">
            <v>-</v>
          </cell>
          <cell r="U4797" t="str">
            <v>-</v>
          </cell>
          <cell r="V4797" t="str">
            <v>D</v>
          </cell>
          <cell r="W4797" t="str">
            <v>-</v>
          </cell>
          <cell r="X4797" t="str">
            <v>CLP 220 (-15/+40°C)</v>
          </cell>
          <cell r="Y4797" t="str">
            <v>M082222.BMCG1D7.5AM02280G0000</v>
          </cell>
          <cell r="Z4797" t="str">
            <v>RADICON</v>
          </cell>
          <cell r="AB4797" t="str">
            <v>-</v>
          </cell>
          <cell r="AD4797" t="str">
            <v>BIS</v>
          </cell>
          <cell r="AF4797">
            <v>62</v>
          </cell>
          <cell r="AG4797" t="str">
            <v>DRN132M4</v>
          </cell>
          <cell r="AH4797" t="str">
            <v>M082222.-DRN132M4B270-X</v>
          </cell>
        </row>
        <row r="4798">
          <cell r="A4798" t="str">
            <v>MR004787</v>
          </cell>
          <cell r="B4798" t="str">
            <v>MR</v>
          </cell>
          <cell r="C4798">
            <v>3.7</v>
          </cell>
          <cell r="D4798">
            <v>62</v>
          </cell>
          <cell r="E4798" t="str">
            <v>M072222.</v>
          </cell>
          <cell r="F4798">
            <v>559</v>
          </cell>
          <cell r="G4798">
            <v>23.23</v>
          </cell>
          <cell r="H4798">
            <v>1.47</v>
          </cell>
          <cell r="I4798" t="str">
            <v>From 1B3 to 6V6 - 20°</v>
          </cell>
          <cell r="J4798" t="str">
            <v>IE3</v>
          </cell>
          <cell r="K4798" t="str">
            <v>240/415</v>
          </cell>
          <cell r="L4798">
            <v>50</v>
          </cell>
          <cell r="M4798" t="str">
            <v>13,2/7,6</v>
          </cell>
          <cell r="N4798">
            <v>55</v>
          </cell>
          <cell r="O4798" t="str">
            <v>155(F)</v>
          </cell>
          <cell r="P4798" t="str">
            <v>270°</v>
          </cell>
          <cell r="Q4798" t="str">
            <v>TF</v>
          </cell>
          <cell r="R4798" t="str">
            <v>-</v>
          </cell>
          <cell r="S4798" t="str">
            <v>-</v>
          </cell>
          <cell r="T4798" t="str">
            <v>-</v>
          </cell>
          <cell r="U4798" t="str">
            <v>-</v>
          </cell>
          <cell r="V4798" t="str">
            <v>D</v>
          </cell>
          <cell r="W4798" t="str">
            <v>-</v>
          </cell>
          <cell r="X4798" t="str">
            <v>CLP 220 (-15/+40°C)</v>
          </cell>
          <cell r="Y4798" t="str">
            <v>M072222.BMCK1D3.7AM01690G0000</v>
          </cell>
          <cell r="Z4798" t="str">
            <v>RADICON</v>
          </cell>
          <cell r="AB4798" t="str">
            <v>-</v>
          </cell>
          <cell r="AD4798" t="str">
            <v>BIS</v>
          </cell>
          <cell r="AF4798">
            <v>62</v>
          </cell>
          <cell r="AG4798" t="e">
            <v>#N/A</v>
          </cell>
          <cell r="AH4798" t="e">
            <v>#N/A</v>
          </cell>
        </row>
        <row r="4799">
          <cell r="A4799" t="str">
            <v>MR004788</v>
          </cell>
          <cell r="B4799" t="str">
            <v>MR</v>
          </cell>
          <cell r="C4799">
            <v>7.5</v>
          </cell>
          <cell r="D4799">
            <v>11</v>
          </cell>
          <cell r="E4799" t="str">
            <v>M1332125</v>
          </cell>
          <cell r="F4799">
            <v>6352</v>
          </cell>
          <cell r="G4799">
            <v>132.56</v>
          </cell>
          <cell r="H4799">
            <v>1.53</v>
          </cell>
          <cell r="I4799" t="str">
            <v>From 1B3 to 6V6 - 15°</v>
          </cell>
          <cell r="J4799" t="str">
            <v>IE3</v>
          </cell>
          <cell r="K4799" t="str">
            <v>240/415</v>
          </cell>
          <cell r="L4799">
            <v>50</v>
          </cell>
          <cell r="M4799" t="str">
            <v>25,5/14,7</v>
          </cell>
          <cell r="N4799">
            <v>55</v>
          </cell>
          <cell r="O4799" t="str">
            <v>155(F)</v>
          </cell>
          <cell r="P4799" t="str">
            <v>270°</v>
          </cell>
          <cell r="Q4799" t="str">
            <v>TF</v>
          </cell>
          <cell r="R4799" t="str">
            <v>V(VE)</v>
          </cell>
          <cell r="S4799" t="str">
            <v>-</v>
          </cell>
          <cell r="T4799" t="str">
            <v>-</v>
          </cell>
          <cell r="U4799" t="str">
            <v>-</v>
          </cell>
          <cell r="V4799" t="str">
            <v>FC</v>
          </cell>
          <cell r="W4799" t="str">
            <v>-</v>
          </cell>
          <cell r="X4799" t="str">
            <v>CLP 220 (-15/+40°C)</v>
          </cell>
          <cell r="Y4799" t="str">
            <v>M1332125BMCF1D7.5AM03631G0000</v>
          </cell>
          <cell r="Z4799" t="str">
            <v>RADICON</v>
          </cell>
          <cell r="AB4799" t="str">
            <v>-</v>
          </cell>
          <cell r="AD4799" t="str">
            <v>BIS</v>
          </cell>
          <cell r="AF4799">
            <v>11</v>
          </cell>
          <cell r="AG4799" t="str">
            <v>DRN132M4</v>
          </cell>
          <cell r="AH4799" t="str">
            <v>M1332125-DRN132M4B270-X#</v>
          </cell>
        </row>
        <row r="4800">
          <cell r="A4800" t="str">
            <v>MR004789</v>
          </cell>
          <cell r="B4800" t="str">
            <v>MR</v>
          </cell>
          <cell r="C4800">
            <v>3</v>
          </cell>
          <cell r="D4800">
            <v>101</v>
          </cell>
          <cell r="E4800" t="str">
            <v>M072214.</v>
          </cell>
          <cell r="F4800">
            <v>278</v>
          </cell>
          <cell r="G4800">
            <v>14.34</v>
          </cell>
          <cell r="H4800">
            <v>2.74</v>
          </cell>
          <cell r="I4800" t="str">
            <v>From 1B3 to 6V6 - 15°</v>
          </cell>
          <cell r="J4800" t="str">
            <v>IE3</v>
          </cell>
          <cell r="K4800" t="str">
            <v>240/415</v>
          </cell>
          <cell r="L4800">
            <v>50</v>
          </cell>
          <cell r="M4800" t="str">
            <v>10,7/6,2</v>
          </cell>
          <cell r="N4800">
            <v>55</v>
          </cell>
          <cell r="O4800" t="str">
            <v>155(F)</v>
          </cell>
          <cell r="P4800" t="str">
            <v>270°</v>
          </cell>
          <cell r="Q4800" t="str">
            <v>TF</v>
          </cell>
          <cell r="R4800" t="str">
            <v>-</v>
          </cell>
          <cell r="S4800" t="str">
            <v>-</v>
          </cell>
          <cell r="T4800" t="str">
            <v>-</v>
          </cell>
          <cell r="U4800" t="str">
            <v>-</v>
          </cell>
          <cell r="V4800" t="str">
            <v>D</v>
          </cell>
          <cell r="W4800" t="str">
            <v>-</v>
          </cell>
          <cell r="X4800" t="str">
            <v>CLP 220 (-15/+40°C)</v>
          </cell>
          <cell r="Y4800" t="str">
            <v>M072214.BMCK1D3.0AM03632G0000</v>
          </cell>
          <cell r="Z4800" t="str">
            <v>RADICON</v>
          </cell>
          <cell r="AB4800" t="str">
            <v>-</v>
          </cell>
          <cell r="AD4800" t="str">
            <v>BIS</v>
          </cell>
          <cell r="AF4800">
            <v>101</v>
          </cell>
          <cell r="AG4800" t="str">
            <v>DRN100L4</v>
          </cell>
          <cell r="AH4800" t="str">
            <v>M072214.-DRN100L4B270-X</v>
          </cell>
        </row>
        <row r="4801">
          <cell r="A4801" t="str">
            <v>MR004790</v>
          </cell>
          <cell r="B4801" t="str">
            <v>MR</v>
          </cell>
          <cell r="C4801">
            <v>5.5</v>
          </cell>
          <cell r="D4801">
            <v>33</v>
          </cell>
          <cell r="E4801" t="str">
            <v>M092245.</v>
          </cell>
          <cell r="F4801">
            <v>1539</v>
          </cell>
          <cell r="G4801">
            <v>43.35</v>
          </cell>
          <cell r="H4801">
            <v>1.99</v>
          </cell>
          <cell r="I4801" t="str">
            <v>1B3</v>
          </cell>
          <cell r="J4801" t="str">
            <v>IE3</v>
          </cell>
          <cell r="K4801" t="str">
            <v>240/415</v>
          </cell>
          <cell r="L4801">
            <v>50</v>
          </cell>
          <cell r="M4801" t="str">
            <v>17,4/10,1</v>
          </cell>
          <cell r="N4801">
            <v>55</v>
          </cell>
          <cell r="O4801" t="str">
            <v>155(F)</v>
          </cell>
          <cell r="P4801" t="str">
            <v>270°</v>
          </cell>
          <cell r="Q4801" t="str">
            <v>TF</v>
          </cell>
          <cell r="R4801" t="str">
            <v>-</v>
          </cell>
          <cell r="S4801" t="str">
            <v>Free rotation CCW</v>
          </cell>
          <cell r="T4801" t="str">
            <v>-</v>
          </cell>
          <cell r="U4801" t="str">
            <v>-</v>
          </cell>
          <cell r="V4801" t="str">
            <v>SS</v>
          </cell>
          <cell r="W4801" t="str">
            <v>-</v>
          </cell>
          <cell r="X4801" t="str">
            <v>CLP 220 (-15/+40°C)</v>
          </cell>
          <cell r="Y4801" t="str">
            <v>M092245.BMCH1A5.5AXH</v>
          </cell>
          <cell r="Z4801" t="str">
            <v>RADICON</v>
          </cell>
          <cell r="AB4801" t="str">
            <v>-</v>
          </cell>
          <cell r="AD4801" t="str">
            <v>BIS</v>
          </cell>
          <cell r="AF4801">
            <v>33</v>
          </cell>
          <cell r="AG4801" t="str">
            <v>DRN132S4</v>
          </cell>
          <cell r="AH4801" t="str">
            <v>M092245.-DRN132S4B270-X</v>
          </cell>
        </row>
        <row r="4802">
          <cell r="A4802" t="str">
            <v>MR004791</v>
          </cell>
          <cell r="B4802" t="str">
            <v>MR</v>
          </cell>
          <cell r="C4802">
            <v>5.5</v>
          </cell>
          <cell r="D4802">
            <v>62</v>
          </cell>
          <cell r="E4802" t="str">
            <v>M082222.</v>
          </cell>
          <cell r="F4802">
            <v>828</v>
          </cell>
          <cell r="G4802">
            <v>23.32</v>
          </cell>
          <cell r="H4802">
            <v>1.86</v>
          </cell>
          <cell r="I4802" t="str">
            <v>1B3</v>
          </cell>
          <cell r="J4802" t="str">
            <v>IE3</v>
          </cell>
          <cell r="K4802" t="str">
            <v>240/415</v>
          </cell>
          <cell r="L4802">
            <v>50</v>
          </cell>
          <cell r="M4802" t="str">
            <v>17,4/10,1</v>
          </cell>
          <cell r="N4802">
            <v>55</v>
          </cell>
          <cell r="O4802" t="str">
            <v>155(F)</v>
          </cell>
          <cell r="P4802" t="str">
            <v>270°</v>
          </cell>
          <cell r="Q4802" t="str">
            <v>TF</v>
          </cell>
          <cell r="R4802" t="str">
            <v>-</v>
          </cell>
          <cell r="S4802" t="str">
            <v>-</v>
          </cell>
          <cell r="T4802" t="str">
            <v>-</v>
          </cell>
          <cell r="U4802" t="str">
            <v>-</v>
          </cell>
          <cell r="V4802" t="str">
            <v>D</v>
          </cell>
          <cell r="W4802" t="str">
            <v>-</v>
          </cell>
          <cell r="X4802" t="str">
            <v>CLP 220 (-15/+40°C)</v>
          </cell>
          <cell r="Y4802" t="str">
            <v>M082222.BMCG1D5.5AM01689G0000</v>
          </cell>
          <cell r="Z4802" t="str">
            <v>RADICON</v>
          </cell>
          <cell r="AB4802" t="str">
            <v>-</v>
          </cell>
          <cell r="AD4802" t="str">
            <v>BIS</v>
          </cell>
          <cell r="AF4802">
            <v>62</v>
          </cell>
          <cell r="AG4802" t="str">
            <v>DRN132S4</v>
          </cell>
          <cell r="AH4802" t="str">
            <v>M082222.-DRN132S4B270-X</v>
          </cell>
        </row>
        <row r="4803">
          <cell r="A4803" t="str">
            <v>MR004792</v>
          </cell>
          <cell r="B4803" t="str">
            <v>MR</v>
          </cell>
          <cell r="C4803">
            <v>7.5</v>
          </cell>
          <cell r="D4803">
            <v>13</v>
          </cell>
          <cell r="E4803" t="str">
            <v>M1332112</v>
          </cell>
          <cell r="F4803">
            <v>5514</v>
          </cell>
          <cell r="G4803">
            <v>115.08</v>
          </cell>
          <cell r="H4803">
            <v>1.76</v>
          </cell>
          <cell r="I4803" t="str">
            <v>1B3</v>
          </cell>
          <cell r="J4803" t="str">
            <v>IE3</v>
          </cell>
          <cell r="K4803" t="str">
            <v>240/415</v>
          </cell>
          <cell r="L4803">
            <v>50</v>
          </cell>
          <cell r="M4803" t="str">
            <v>25,5/14,7</v>
          </cell>
          <cell r="N4803">
            <v>55</v>
          </cell>
          <cell r="O4803" t="str">
            <v>155(F)</v>
          </cell>
          <cell r="P4803" t="str">
            <v>270°</v>
          </cell>
          <cell r="Q4803" t="str">
            <v>TF</v>
          </cell>
          <cell r="R4803" t="str">
            <v>V(VE)</v>
          </cell>
          <cell r="S4803" t="str">
            <v>-</v>
          </cell>
          <cell r="T4803" t="str">
            <v>-</v>
          </cell>
          <cell r="U4803" t="str">
            <v>-</v>
          </cell>
          <cell r="V4803" t="str">
            <v>FC</v>
          </cell>
          <cell r="W4803" t="str">
            <v>-</v>
          </cell>
          <cell r="X4803" t="str">
            <v>CLP 220 (-15/+40°C)</v>
          </cell>
          <cell r="Y4803" t="str">
            <v>M1332112BMCF1D7.5AM03631G0000</v>
          </cell>
          <cell r="Z4803" t="str">
            <v>RADICON</v>
          </cell>
          <cell r="AB4803" t="str">
            <v>-</v>
          </cell>
          <cell r="AD4803" t="str">
            <v>BIS</v>
          </cell>
          <cell r="AF4803">
            <v>13</v>
          </cell>
          <cell r="AG4803" t="str">
            <v>DRN132M4</v>
          </cell>
          <cell r="AH4803" t="str">
            <v>M1332112-DRN132M4B270-X#</v>
          </cell>
        </row>
        <row r="4804">
          <cell r="A4804" t="str">
            <v>MR004793</v>
          </cell>
          <cell r="B4804" t="str">
            <v>MR</v>
          </cell>
          <cell r="C4804">
            <v>30</v>
          </cell>
          <cell r="D4804">
            <v>107</v>
          </cell>
          <cell r="E4804" t="str">
            <v>KH97</v>
          </cell>
          <cell r="F4804">
            <v>2680</v>
          </cell>
          <cell r="G4804">
            <v>13.85</v>
          </cell>
          <cell r="H4804">
            <v>1.6</v>
          </cell>
          <cell r="I4804" t="str">
            <v>From M4A to M1A - 20°</v>
          </cell>
          <cell r="J4804" t="str">
            <v>IE3</v>
          </cell>
          <cell r="K4804" t="str">
            <v>400/690</v>
          </cell>
          <cell r="L4804">
            <v>50</v>
          </cell>
          <cell r="M4804" t="str">
            <v>56/32,5</v>
          </cell>
          <cell r="N4804">
            <v>55</v>
          </cell>
          <cell r="O4804" t="str">
            <v>155(F)</v>
          </cell>
          <cell r="P4804" t="str">
            <v>270°</v>
          </cell>
          <cell r="Q4804" t="str">
            <v>TF</v>
          </cell>
          <cell r="R4804" t="str">
            <v>-</v>
          </cell>
          <cell r="S4804" t="str">
            <v>Free rotation CCW</v>
          </cell>
          <cell r="T4804" t="str">
            <v>-</v>
          </cell>
          <cell r="U4804" t="str">
            <v>T</v>
          </cell>
          <cell r="V4804" t="str">
            <v>SS</v>
          </cell>
          <cell r="W4804" t="str">
            <v>-</v>
          </cell>
          <cell r="X4804" t="str">
            <v>CLP 220 (-15/+40°C)</v>
          </cell>
          <cell r="Y4804" t="str">
            <v>KH97/T DRN200L4 /RS /TF</v>
          </cell>
          <cell r="Z4804" t="str">
            <v>SEW</v>
          </cell>
          <cell r="AB4804" t="str">
            <v>-</v>
          </cell>
          <cell r="AF4804">
            <v>107</v>
          </cell>
          <cell r="AG4804" t="str">
            <v>DRN200L4</v>
          </cell>
          <cell r="AH4804" t="str">
            <v>KH97T-DRN200L4A270-X</v>
          </cell>
        </row>
        <row r="4805">
          <cell r="A4805" t="str">
            <v>MR004794</v>
          </cell>
          <cell r="B4805" t="str">
            <v>MR</v>
          </cell>
          <cell r="C4805">
            <v>0.75</v>
          </cell>
          <cell r="D4805">
            <v>162</v>
          </cell>
          <cell r="E4805" t="str">
            <v>KA37</v>
          </cell>
          <cell r="F4805">
            <v>44</v>
          </cell>
          <cell r="G4805">
            <v>8.91</v>
          </cell>
          <cell r="H4805">
            <v>3.6</v>
          </cell>
          <cell r="I4805" t="str">
            <v>From M3A to M4A- 20°</v>
          </cell>
          <cell r="J4805" t="str">
            <v>IE3</v>
          </cell>
          <cell r="K4805" t="str">
            <v>230/400</v>
          </cell>
          <cell r="L4805">
            <v>50</v>
          </cell>
          <cell r="M4805" t="str">
            <v>3,05/1,75</v>
          </cell>
          <cell r="N4805">
            <v>55</v>
          </cell>
          <cell r="O4805" t="str">
            <v>155(F)</v>
          </cell>
          <cell r="P4805" t="str">
            <v>180°</v>
          </cell>
          <cell r="Q4805" t="str">
            <v>TF</v>
          </cell>
          <cell r="R4805" t="str">
            <v>-</v>
          </cell>
          <cell r="S4805" t="str">
            <v>-</v>
          </cell>
          <cell r="T4805" t="str">
            <v>-</v>
          </cell>
          <cell r="U4805" t="str">
            <v>T</v>
          </cell>
          <cell r="V4805" t="str">
            <v>D</v>
          </cell>
          <cell r="W4805" t="str">
            <v>-</v>
          </cell>
          <cell r="X4805" t="str">
            <v>CLP 220 (-15/+40°C)</v>
          </cell>
          <cell r="Y4805" t="str">
            <v>KA37/T DRN80M4 /TF</v>
          </cell>
          <cell r="Z4805" t="str">
            <v>SEW</v>
          </cell>
          <cell r="AB4805" t="str">
            <v>-</v>
          </cell>
          <cell r="AF4805">
            <v>162</v>
          </cell>
          <cell r="AG4805" t="str">
            <v>DRN80M4</v>
          </cell>
          <cell r="AH4805" t="str">
            <v>KA37T-DRN80M4A180-X</v>
          </cell>
        </row>
        <row r="4806">
          <cell r="A4806" t="str">
            <v>MR004795</v>
          </cell>
          <cell r="B4806" t="str">
            <v>MR</v>
          </cell>
          <cell r="C4806">
            <v>0.37</v>
          </cell>
          <cell r="D4806">
            <v>6.2</v>
          </cell>
          <cell r="E4806" t="str">
            <v>FH67</v>
          </cell>
          <cell r="F4806">
            <v>570</v>
          </cell>
          <cell r="G4806">
            <v>229</v>
          </cell>
          <cell r="H4806">
            <v>1.45</v>
          </cell>
          <cell r="I4806" t="str">
            <v>From M5 to M3 - 20°</v>
          </cell>
          <cell r="J4806" t="str">
            <v>IE3</v>
          </cell>
          <cell r="K4806" t="str">
            <v>230/400</v>
          </cell>
          <cell r="L4806">
            <v>50</v>
          </cell>
          <cell r="M4806" t="str">
            <v>1,78/1,02</v>
          </cell>
          <cell r="N4806">
            <v>55</v>
          </cell>
          <cell r="O4806" t="str">
            <v>155(F)</v>
          </cell>
          <cell r="P4806" t="str">
            <v>180°</v>
          </cell>
          <cell r="Q4806" t="str">
            <v>TF</v>
          </cell>
          <cell r="R4806" t="str">
            <v>-</v>
          </cell>
          <cell r="S4806" t="str">
            <v>-</v>
          </cell>
          <cell r="T4806" t="str">
            <v>-</v>
          </cell>
          <cell r="U4806" t="str">
            <v>G</v>
          </cell>
          <cell r="V4806" t="str">
            <v>D</v>
          </cell>
          <cell r="W4806" t="str">
            <v>-</v>
          </cell>
          <cell r="X4806" t="str">
            <v>CLP 220 (-15/+40°C)</v>
          </cell>
          <cell r="Y4806" t="str">
            <v>FH67/G DRN71M4 /TF</v>
          </cell>
          <cell r="Z4806" t="str">
            <v>SEW</v>
          </cell>
          <cell r="AB4806" t="str">
            <v>-</v>
          </cell>
          <cell r="AF4806">
            <v>6.2</v>
          </cell>
          <cell r="AG4806" t="str">
            <v>DRN71M4</v>
          </cell>
          <cell r="AH4806" t="str">
            <v>FH67G-DRN71M4180-X</v>
          </cell>
        </row>
        <row r="4807">
          <cell r="A4807" t="str">
            <v>MR004796</v>
          </cell>
          <cell r="B4807" t="str">
            <v>MR</v>
          </cell>
          <cell r="C4807">
            <v>9.1999999999999993</v>
          </cell>
          <cell r="D4807">
            <v>18</v>
          </cell>
          <cell r="E4807" t="str">
            <v>R127</v>
          </cell>
          <cell r="F4807">
            <v>4910</v>
          </cell>
          <cell r="G4807">
            <v>82.17</v>
          </cell>
          <cell r="H4807">
            <v>1.2</v>
          </cell>
          <cell r="I4807" t="str">
            <v>From M1 to M2 - 10°</v>
          </cell>
          <cell r="J4807" t="str">
            <v>IE3</v>
          </cell>
          <cell r="K4807" t="str">
            <v>400/690</v>
          </cell>
          <cell r="L4807">
            <v>50</v>
          </cell>
          <cell r="M4807" t="str">
            <v>18,7/10,8</v>
          </cell>
          <cell r="N4807">
            <v>55</v>
          </cell>
          <cell r="O4807" t="str">
            <v>155(F)</v>
          </cell>
          <cell r="P4807" t="str">
            <v>270°</v>
          </cell>
          <cell r="Q4807" t="str">
            <v>TF</v>
          </cell>
          <cell r="R4807" t="str">
            <v>V(VE)</v>
          </cell>
          <cell r="S4807" t="str">
            <v>-</v>
          </cell>
          <cell r="T4807" t="str">
            <v>-</v>
          </cell>
          <cell r="U4807" t="str">
            <v>-</v>
          </cell>
          <cell r="V4807" t="str">
            <v>FC</v>
          </cell>
          <cell r="W4807" t="str">
            <v>-</v>
          </cell>
          <cell r="X4807" t="str">
            <v>CLP 220 (-15/+40°C)</v>
          </cell>
          <cell r="Y4807" t="str">
            <v>R127DRN132L4 /TF/V</v>
          </cell>
          <cell r="Z4807" t="str">
            <v>SEW</v>
          </cell>
          <cell r="AB4807" t="str">
            <v>-</v>
          </cell>
          <cell r="AF4807">
            <v>18</v>
          </cell>
          <cell r="AG4807" t="str">
            <v>DRN132L4</v>
          </cell>
          <cell r="AH4807" t="str">
            <v>R127-DRN132L4270-X#</v>
          </cell>
        </row>
        <row r="4808">
          <cell r="A4808" t="str">
            <v>MR004797</v>
          </cell>
          <cell r="B4808" t="str">
            <v>MR</v>
          </cell>
          <cell r="C4808">
            <v>5.5</v>
          </cell>
          <cell r="D4808">
            <v>80</v>
          </cell>
          <cell r="E4808" t="str">
            <v>FH67</v>
          </cell>
          <cell r="F4808">
            <v>660</v>
          </cell>
          <cell r="G4808">
            <v>18.29</v>
          </cell>
          <cell r="H4808">
            <v>1.25</v>
          </cell>
          <cell r="I4808" t="str">
            <v>M6</v>
          </cell>
          <cell r="J4808" t="str">
            <v>IE3</v>
          </cell>
          <cell r="K4808" t="str">
            <v>230/400</v>
          </cell>
          <cell r="L4808">
            <v>50</v>
          </cell>
          <cell r="M4808" t="str">
            <v>19,3/11,1</v>
          </cell>
          <cell r="N4808">
            <v>55</v>
          </cell>
          <cell r="O4808" t="str">
            <v>155(F)</v>
          </cell>
          <cell r="P4808" t="str">
            <v>0°</v>
          </cell>
          <cell r="Q4808" t="str">
            <v>TF</v>
          </cell>
          <cell r="R4808" t="str">
            <v>-</v>
          </cell>
          <cell r="S4808" t="str">
            <v>-</v>
          </cell>
          <cell r="T4808" t="str">
            <v>-</v>
          </cell>
          <cell r="U4808" t="str">
            <v>G</v>
          </cell>
          <cell r="V4808" t="str">
            <v>D</v>
          </cell>
          <cell r="W4808" t="str">
            <v>-</v>
          </cell>
          <cell r="X4808" t="str">
            <v>CLP 220 (-15/+40°C)</v>
          </cell>
          <cell r="Y4808" t="str">
            <v>FH67/G DRN132S4 /TF</v>
          </cell>
          <cell r="Z4808" t="str">
            <v>SEW</v>
          </cell>
          <cell r="AB4808" t="str">
            <v>-</v>
          </cell>
          <cell r="AF4808">
            <v>80</v>
          </cell>
          <cell r="AG4808" t="str">
            <v>DRN132S4</v>
          </cell>
          <cell r="AH4808" t="str">
            <v>FH67G-DRN132S40-X</v>
          </cell>
        </row>
        <row r="4809">
          <cell r="A4809" t="str">
            <v>MR004798</v>
          </cell>
          <cell r="B4809" t="str">
            <v>MR</v>
          </cell>
          <cell r="C4809">
            <v>5.5</v>
          </cell>
          <cell r="D4809">
            <v>63</v>
          </cell>
          <cell r="E4809" t="str">
            <v>KH77</v>
          </cell>
          <cell r="F4809">
            <v>830</v>
          </cell>
          <cell r="G4809">
            <v>23.08</v>
          </cell>
          <cell r="H4809">
            <v>1.85</v>
          </cell>
          <cell r="I4809" t="str">
            <v>M4A</v>
          </cell>
          <cell r="J4809" t="str">
            <v>IE3</v>
          </cell>
          <cell r="K4809" t="str">
            <v>230/400</v>
          </cell>
          <cell r="L4809">
            <v>50</v>
          </cell>
          <cell r="M4809" t="str">
            <v>18,2/10,5</v>
          </cell>
          <cell r="N4809">
            <v>55</v>
          </cell>
          <cell r="O4809" t="str">
            <v>155(F)</v>
          </cell>
          <cell r="P4809" t="str">
            <v>270°</v>
          </cell>
          <cell r="Q4809" t="str">
            <v>TF</v>
          </cell>
          <cell r="R4809" t="str">
            <v>-</v>
          </cell>
          <cell r="S4809" t="str">
            <v>-</v>
          </cell>
          <cell r="T4809" t="str">
            <v>-</v>
          </cell>
          <cell r="U4809" t="str">
            <v>T</v>
          </cell>
          <cell r="V4809" t="str">
            <v>SS</v>
          </cell>
          <cell r="W4809" t="str">
            <v>-</v>
          </cell>
          <cell r="X4809" t="str">
            <v>CLP 220 (-15/+40°C)</v>
          </cell>
          <cell r="Y4809" t="str">
            <v>KH77/T DRN132S4 /TF</v>
          </cell>
          <cell r="Z4809" t="str">
            <v>SEW</v>
          </cell>
          <cell r="AB4809" t="str">
            <v>-</v>
          </cell>
          <cell r="AF4809">
            <v>63</v>
          </cell>
          <cell r="AG4809" t="str">
            <v>DRN132S4</v>
          </cell>
          <cell r="AH4809" t="str">
            <v>KH77T-DRN132S4A270-X</v>
          </cell>
        </row>
        <row r="4810">
          <cell r="A4810" t="str">
            <v>MR004799</v>
          </cell>
          <cell r="B4810" t="str">
            <v>MR</v>
          </cell>
          <cell r="C4810">
            <v>0.75</v>
          </cell>
          <cell r="D4810">
            <v>162</v>
          </cell>
          <cell r="E4810" t="str">
            <v>KA37</v>
          </cell>
          <cell r="F4810">
            <v>44</v>
          </cell>
          <cell r="G4810">
            <v>8.91</v>
          </cell>
          <cell r="H4810">
            <v>3.6</v>
          </cell>
          <cell r="I4810" t="str">
            <v>From M3B to M2B - 15°</v>
          </cell>
          <cell r="J4810" t="str">
            <v>IE3</v>
          </cell>
          <cell r="K4810" t="str">
            <v>230/400</v>
          </cell>
          <cell r="L4810">
            <v>50</v>
          </cell>
          <cell r="M4810" t="str">
            <v>3,05/1,75</v>
          </cell>
          <cell r="N4810">
            <v>55</v>
          </cell>
          <cell r="O4810" t="str">
            <v>155(F)</v>
          </cell>
          <cell r="P4810" t="str">
            <v>0°</v>
          </cell>
          <cell r="Q4810" t="str">
            <v>TF</v>
          </cell>
          <cell r="R4810" t="str">
            <v>-</v>
          </cell>
          <cell r="S4810" t="str">
            <v>-</v>
          </cell>
          <cell r="T4810" t="str">
            <v>-</v>
          </cell>
          <cell r="U4810" t="str">
            <v>T</v>
          </cell>
          <cell r="V4810" t="str">
            <v>D</v>
          </cell>
          <cell r="W4810" t="str">
            <v>-</v>
          </cell>
          <cell r="X4810" t="str">
            <v>CLP 220 (-15/+40°C)</v>
          </cell>
          <cell r="Y4810" t="str">
            <v>KA37/T DRN80M4 /TF</v>
          </cell>
          <cell r="Z4810" t="str">
            <v>SEW</v>
          </cell>
          <cell r="AB4810" t="str">
            <v>-</v>
          </cell>
          <cell r="AF4810">
            <v>162</v>
          </cell>
          <cell r="AG4810" t="str">
            <v>DRN80M4</v>
          </cell>
          <cell r="AH4810" t="str">
            <v>KA37T-DRN80M4B0-X</v>
          </cell>
        </row>
        <row r="4811">
          <cell r="A4811" t="str">
            <v>MR004800</v>
          </cell>
          <cell r="B4811" t="str">
            <v>MR</v>
          </cell>
          <cell r="C4811">
            <v>7.5</v>
          </cell>
          <cell r="D4811">
            <v>63</v>
          </cell>
          <cell r="E4811" t="str">
            <v>R87</v>
          </cell>
          <cell r="F4811">
            <v>1140</v>
          </cell>
          <cell r="G4811">
            <v>23.4</v>
          </cell>
          <cell r="H4811">
            <v>1.35</v>
          </cell>
          <cell r="I4811" t="str">
            <v>M1</v>
          </cell>
          <cell r="J4811" t="str">
            <v>IE3</v>
          </cell>
          <cell r="K4811" t="str">
            <v>400/690</v>
          </cell>
          <cell r="L4811">
            <v>50</v>
          </cell>
          <cell r="M4811" t="str">
            <v>15,2/8,8</v>
          </cell>
          <cell r="N4811">
            <v>55</v>
          </cell>
          <cell r="O4811" t="str">
            <v>155(F)</v>
          </cell>
          <cell r="P4811" t="str">
            <v>270°</v>
          </cell>
          <cell r="Q4811" t="str">
            <v>TF</v>
          </cell>
          <cell r="R4811" t="str">
            <v>-</v>
          </cell>
          <cell r="S4811" t="str">
            <v>-</v>
          </cell>
          <cell r="T4811" t="str">
            <v>-</v>
          </cell>
          <cell r="U4811" t="str">
            <v>-</v>
          </cell>
          <cell r="V4811" t="str">
            <v>D+R</v>
          </cell>
          <cell r="W4811" t="str">
            <v>-</v>
          </cell>
          <cell r="X4811" t="str">
            <v>CLP 220 (-15/+40°C)</v>
          </cell>
          <cell r="Y4811" t="str">
            <v>R87DRN132M4 /TF</v>
          </cell>
          <cell r="Z4811" t="str">
            <v>SEW</v>
          </cell>
          <cell r="AB4811" t="str">
            <v>-</v>
          </cell>
          <cell r="AF4811">
            <v>63</v>
          </cell>
          <cell r="AG4811" t="str">
            <v>DRN132M4</v>
          </cell>
          <cell r="AH4811" t="str">
            <v>R87-DRN132M4270-X</v>
          </cell>
        </row>
        <row r="4812">
          <cell r="A4812" t="str">
            <v>MR004801</v>
          </cell>
          <cell r="B4812" t="str">
            <v>MR</v>
          </cell>
          <cell r="C4812">
            <v>7.5</v>
          </cell>
          <cell r="D4812">
            <v>63</v>
          </cell>
          <cell r="E4812" t="str">
            <v>R87</v>
          </cell>
          <cell r="F4812">
            <v>1140</v>
          </cell>
          <cell r="G4812">
            <v>23.4</v>
          </cell>
          <cell r="H4812">
            <v>1.35</v>
          </cell>
          <cell r="I4812" t="str">
            <v>From M6 to M4 - 20°</v>
          </cell>
          <cell r="J4812" t="str">
            <v>IE3</v>
          </cell>
          <cell r="K4812" t="str">
            <v>400/690</v>
          </cell>
          <cell r="L4812">
            <v>50</v>
          </cell>
          <cell r="M4812" t="str">
            <v>15,2/8,8</v>
          </cell>
          <cell r="N4812">
            <v>55</v>
          </cell>
          <cell r="O4812" t="str">
            <v>155(F)</v>
          </cell>
          <cell r="P4812" t="str">
            <v>270°</v>
          </cell>
          <cell r="Q4812" t="str">
            <v>TF</v>
          </cell>
          <cell r="R4812" t="str">
            <v>-</v>
          </cell>
          <cell r="S4812" t="str">
            <v>-</v>
          </cell>
          <cell r="T4812" t="str">
            <v>-</v>
          </cell>
          <cell r="U4812" t="str">
            <v>-</v>
          </cell>
          <cell r="V4812" t="str">
            <v>D</v>
          </cell>
          <cell r="W4812" t="str">
            <v>-</v>
          </cell>
          <cell r="X4812" t="str">
            <v>CLP 220 (-15/+40°C)</v>
          </cell>
          <cell r="Y4812" t="str">
            <v>R87DRN132M4 /TF</v>
          </cell>
          <cell r="Z4812" t="str">
            <v>SEW</v>
          </cell>
          <cell r="AB4812" t="str">
            <v>-</v>
          </cell>
          <cell r="AF4812">
            <v>63</v>
          </cell>
          <cell r="AG4812" t="str">
            <v>DRN132M4</v>
          </cell>
          <cell r="AH4812" t="str">
            <v>R87-DRN132M4270-X</v>
          </cell>
        </row>
        <row r="4813">
          <cell r="A4813" t="str">
            <v>MR004802</v>
          </cell>
          <cell r="B4813" t="str">
            <v>MR</v>
          </cell>
          <cell r="C4813">
            <v>7.5</v>
          </cell>
          <cell r="D4813">
            <v>17</v>
          </cell>
          <cell r="E4813" t="str">
            <v>KH97</v>
          </cell>
          <cell r="F4813">
            <v>4220</v>
          </cell>
          <cell r="G4813">
            <v>86.52</v>
          </cell>
          <cell r="H4813">
            <v>1</v>
          </cell>
          <cell r="I4813" t="str">
            <v>M1A</v>
          </cell>
          <cell r="J4813" t="str">
            <v>IE3</v>
          </cell>
          <cell r="K4813" t="str">
            <v>400/690</v>
          </cell>
          <cell r="L4813">
            <v>50</v>
          </cell>
          <cell r="M4813" t="str">
            <v>15,2/8,8</v>
          </cell>
          <cell r="N4813">
            <v>55</v>
          </cell>
          <cell r="O4813" t="str">
            <v>155(F)</v>
          </cell>
          <cell r="P4813" t="str">
            <v>180°</v>
          </cell>
          <cell r="Q4813" t="str">
            <v>TF</v>
          </cell>
          <cell r="R4813" t="str">
            <v>-</v>
          </cell>
          <cell r="S4813" t="str">
            <v>-</v>
          </cell>
          <cell r="T4813" t="str">
            <v>-</v>
          </cell>
          <cell r="U4813" t="str">
            <v>-</v>
          </cell>
          <cell r="V4813" t="str">
            <v>SS</v>
          </cell>
          <cell r="W4813" t="str">
            <v>-</v>
          </cell>
          <cell r="X4813" t="str">
            <v>CLP 220 (-15/+40°C)</v>
          </cell>
          <cell r="Y4813" t="str">
            <v>KH97DRN132M4 /TF</v>
          </cell>
          <cell r="Z4813" t="str">
            <v>SEW</v>
          </cell>
          <cell r="AB4813" t="str">
            <v>-</v>
          </cell>
          <cell r="AF4813">
            <v>17</v>
          </cell>
          <cell r="AG4813" t="str">
            <v>DRN132M4</v>
          </cell>
          <cell r="AH4813" t="str">
            <v>KH97-DRN132M4A180-X</v>
          </cell>
        </row>
        <row r="4814">
          <cell r="A4814" t="str">
            <v>MR004803</v>
          </cell>
          <cell r="B4814" t="str">
            <v>MR</v>
          </cell>
          <cell r="C4814">
            <v>5.5</v>
          </cell>
          <cell r="D4814">
            <v>80</v>
          </cell>
          <cell r="E4814" t="str">
            <v>FH67</v>
          </cell>
          <cell r="F4814">
            <v>660</v>
          </cell>
          <cell r="G4814">
            <v>18.29</v>
          </cell>
          <cell r="H4814">
            <v>1.25</v>
          </cell>
          <cell r="I4814" t="str">
            <v>From M5 to M1 - 25°</v>
          </cell>
          <cell r="J4814" t="str">
            <v>IE3</v>
          </cell>
          <cell r="K4814" t="str">
            <v>230/400</v>
          </cell>
          <cell r="L4814">
            <v>50</v>
          </cell>
          <cell r="M4814" t="str">
            <v>18,2/10,5</v>
          </cell>
          <cell r="N4814">
            <v>55</v>
          </cell>
          <cell r="O4814" t="str">
            <v>155(F)</v>
          </cell>
          <cell r="P4814" t="str">
            <v>180°</v>
          </cell>
          <cell r="Q4814" t="str">
            <v>TF</v>
          </cell>
          <cell r="R4814" t="str">
            <v>-</v>
          </cell>
          <cell r="S4814" t="str">
            <v>Free rotation CW</v>
          </cell>
          <cell r="T4814" t="str">
            <v>-</v>
          </cell>
          <cell r="U4814" t="str">
            <v>G</v>
          </cell>
          <cell r="V4814" t="str">
            <v>D</v>
          </cell>
          <cell r="W4814" t="str">
            <v>-</v>
          </cell>
          <cell r="X4814" t="str">
            <v>CLP 220 (-15/+40°C)</v>
          </cell>
          <cell r="Y4814" t="str">
            <v>FH67/G DRN132S4 /RS /TF</v>
          </cell>
          <cell r="Z4814" t="str">
            <v>SEW</v>
          </cell>
          <cell r="AB4814" t="str">
            <v>-</v>
          </cell>
          <cell r="AF4814">
            <v>80</v>
          </cell>
          <cell r="AG4814" t="str">
            <v>DRN132S4</v>
          </cell>
          <cell r="AH4814" t="str">
            <v>FH67G-DRN132S4180-X</v>
          </cell>
        </row>
        <row r="4815">
          <cell r="A4815" t="str">
            <v>MR004804</v>
          </cell>
          <cell r="B4815" t="str">
            <v>MR</v>
          </cell>
          <cell r="C4815">
            <v>15</v>
          </cell>
          <cell r="D4815">
            <v>12</v>
          </cell>
          <cell r="E4815" t="str">
            <v>KH127</v>
          </cell>
          <cell r="F4815">
            <v>11900</v>
          </cell>
          <cell r="G4815">
            <v>122.48</v>
          </cell>
          <cell r="H4815">
            <v>1.1000000000000001</v>
          </cell>
          <cell r="I4815" t="str">
            <v>From M1A to M2A - 10°</v>
          </cell>
          <cell r="J4815" t="str">
            <v>IE3</v>
          </cell>
          <cell r="K4815" t="str">
            <v>400/690</v>
          </cell>
          <cell r="L4815">
            <v>50</v>
          </cell>
          <cell r="M4815" t="str">
            <v>29/16,7</v>
          </cell>
          <cell r="N4815">
            <v>55</v>
          </cell>
          <cell r="O4815" t="str">
            <v>155(F)</v>
          </cell>
          <cell r="P4815" t="str">
            <v>180°</v>
          </cell>
          <cell r="Q4815" t="str">
            <v>TF</v>
          </cell>
          <cell r="R4815" t="str">
            <v>V(VE)</v>
          </cell>
          <cell r="S4815" t="str">
            <v>-</v>
          </cell>
          <cell r="T4815" t="str">
            <v>-</v>
          </cell>
          <cell r="U4815" t="str">
            <v>-</v>
          </cell>
          <cell r="V4815" t="str">
            <v>FC</v>
          </cell>
          <cell r="W4815" t="str">
            <v>-</v>
          </cell>
          <cell r="X4815" t="str">
            <v>CLP 220 (-15/+40°C)</v>
          </cell>
          <cell r="Y4815" t="str">
            <v>KH127DRN160L4 /TF/V</v>
          </cell>
          <cell r="Z4815" t="str">
            <v>SEW</v>
          </cell>
          <cell r="AB4815" t="str">
            <v>-</v>
          </cell>
          <cell r="AF4815">
            <v>12</v>
          </cell>
          <cell r="AG4815" t="str">
            <v>DRN160L4</v>
          </cell>
          <cell r="AH4815" t="str">
            <v>KH127-DRN160L4A180-X#</v>
          </cell>
        </row>
        <row r="4816">
          <cell r="A4816" t="str">
            <v>MR004805</v>
          </cell>
          <cell r="B4816" t="str">
            <v>MR</v>
          </cell>
          <cell r="C4816">
            <v>11</v>
          </cell>
          <cell r="D4816">
            <v>16</v>
          </cell>
          <cell r="E4816" t="str">
            <v>KH107</v>
          </cell>
          <cell r="F4816">
            <v>6480</v>
          </cell>
          <cell r="G4816">
            <v>90.96</v>
          </cell>
          <cell r="H4816">
            <v>1.25</v>
          </cell>
          <cell r="I4816" t="str">
            <v>From M4A to M1A-30°</v>
          </cell>
          <cell r="J4816" t="str">
            <v>IE3</v>
          </cell>
          <cell r="K4816" t="str">
            <v>240/415</v>
          </cell>
          <cell r="L4816">
            <v>50</v>
          </cell>
          <cell r="M4816" t="str">
            <v>35/20</v>
          </cell>
          <cell r="N4816">
            <v>55</v>
          </cell>
          <cell r="O4816" t="str">
            <v>155(F)</v>
          </cell>
          <cell r="P4816" t="str">
            <v>270°</v>
          </cell>
          <cell r="Q4816" t="str">
            <v>TF</v>
          </cell>
          <cell r="R4816" t="str">
            <v>V(VE)</v>
          </cell>
          <cell r="S4816" t="str">
            <v>-</v>
          </cell>
          <cell r="T4816" t="str">
            <v>-</v>
          </cell>
          <cell r="U4816" t="str">
            <v>-</v>
          </cell>
          <cell r="V4816" t="str">
            <v>FC</v>
          </cell>
          <cell r="W4816" t="str">
            <v>-</v>
          </cell>
          <cell r="X4816" t="str">
            <v>CLP 220 (-15/+40°C)</v>
          </cell>
          <cell r="Y4816" t="str">
            <v>KH107DRN160M4 /TF/V</v>
          </cell>
          <cell r="Z4816" t="str">
            <v>SEW</v>
          </cell>
          <cell r="AB4816" t="str">
            <v>-</v>
          </cell>
          <cell r="AD4816" t="str">
            <v>BIS</v>
          </cell>
          <cell r="AF4816">
            <v>16</v>
          </cell>
          <cell r="AG4816" t="str">
            <v>DRN160M4</v>
          </cell>
          <cell r="AH4816" t="str">
            <v>KH107-DRN160M4A270-X#</v>
          </cell>
        </row>
        <row r="4817">
          <cell r="A4817" t="str">
            <v>MR004806</v>
          </cell>
          <cell r="B4817" t="str">
            <v>MR</v>
          </cell>
          <cell r="C4817">
            <v>11</v>
          </cell>
          <cell r="D4817">
            <v>16</v>
          </cell>
          <cell r="E4817" t="str">
            <v>KH107</v>
          </cell>
          <cell r="F4817">
            <v>6480</v>
          </cell>
          <cell r="G4817">
            <v>90.96</v>
          </cell>
          <cell r="H4817">
            <v>1.25</v>
          </cell>
          <cell r="I4817" t="str">
            <v>From M4B to M1B-30°</v>
          </cell>
          <cell r="J4817" t="str">
            <v>IE3</v>
          </cell>
          <cell r="K4817">
            <v>415</v>
          </cell>
          <cell r="L4817">
            <v>50</v>
          </cell>
          <cell r="M4817" t="str">
            <v>35/20</v>
          </cell>
          <cell r="N4817">
            <v>55</v>
          </cell>
          <cell r="O4817" t="str">
            <v>155(F)</v>
          </cell>
          <cell r="P4817" t="str">
            <v>270°</v>
          </cell>
          <cell r="Q4817" t="str">
            <v>TF</v>
          </cell>
          <cell r="R4817" t="str">
            <v>V(VE)</v>
          </cell>
          <cell r="S4817" t="str">
            <v>-</v>
          </cell>
          <cell r="T4817" t="str">
            <v>-</v>
          </cell>
          <cell r="U4817" t="str">
            <v>-</v>
          </cell>
          <cell r="V4817" t="str">
            <v>FC</v>
          </cell>
          <cell r="W4817" t="str">
            <v>-</v>
          </cell>
          <cell r="X4817" t="str">
            <v>CLP 220 (-15/+40°C)</v>
          </cell>
          <cell r="Y4817" t="str">
            <v>KH107DRN160M4 /TF/V</v>
          </cell>
          <cell r="Z4817" t="str">
            <v>SEW</v>
          </cell>
          <cell r="AB4817" t="str">
            <v>-</v>
          </cell>
          <cell r="AD4817" t="str">
            <v>BIS</v>
          </cell>
          <cell r="AF4817">
            <v>16</v>
          </cell>
          <cell r="AG4817" t="str">
            <v>DRN160M4</v>
          </cell>
          <cell r="AH4817" t="str">
            <v>KH107-DRN160M4B270-X#</v>
          </cell>
        </row>
        <row r="4818">
          <cell r="A4818" t="str">
            <v>MR004807</v>
          </cell>
          <cell r="B4818" t="str">
            <v>MR</v>
          </cell>
          <cell r="C4818">
            <v>18.5</v>
          </cell>
          <cell r="D4818">
            <v>46.4</v>
          </cell>
          <cell r="E4818" t="str">
            <v>K093232.</v>
          </cell>
          <cell r="F4818">
            <v>3685</v>
          </cell>
          <cell r="G4818">
            <v>31.67</v>
          </cell>
          <cell r="H4818">
            <v>1.03</v>
          </cell>
          <cell r="I4818" t="str">
            <v>From 5Y to M1Y - 20°</v>
          </cell>
          <cell r="J4818" t="str">
            <v>IE3</v>
          </cell>
          <cell r="K4818">
            <v>415</v>
          </cell>
          <cell r="L4818">
            <v>50</v>
          </cell>
          <cell r="M4818">
            <v>32</v>
          </cell>
          <cell r="N4818">
            <v>55</v>
          </cell>
          <cell r="O4818" t="str">
            <v>155(F)</v>
          </cell>
          <cell r="P4818" t="str">
            <v>270°</v>
          </cell>
          <cell r="Q4818" t="str">
            <v>TF</v>
          </cell>
          <cell r="R4818" t="str">
            <v>-</v>
          </cell>
          <cell r="S4818" t="str">
            <v>Free rotation CCW</v>
          </cell>
          <cell r="U4818" t="str">
            <v>T-LHS</v>
          </cell>
          <cell r="V4818" t="str">
            <v>SS</v>
          </cell>
          <cell r="X4818" t="str">
            <v>Mineral Oil 460</v>
          </cell>
          <cell r="Y4818" t="str">
            <v>K093232.TMYB5D18.AM03940G1528</v>
          </cell>
          <cell r="Z4818" t="str">
            <v>RADICON</v>
          </cell>
          <cell r="AB4818" t="str">
            <v>-</v>
          </cell>
          <cell r="AD4818" t="str">
            <v>BIS</v>
          </cell>
          <cell r="AF4818">
            <v>46.4</v>
          </cell>
          <cell r="AG4818" t="str">
            <v>DRN180M4</v>
          </cell>
          <cell r="AH4818" t="str">
            <v>K093232.T-LHS-DRN180M4270-X</v>
          </cell>
        </row>
        <row r="4819">
          <cell r="A4819" t="str">
            <v>MR004808</v>
          </cell>
          <cell r="B4819" t="str">
            <v>MR</v>
          </cell>
          <cell r="C4819">
            <v>0.75</v>
          </cell>
          <cell r="D4819">
            <v>170</v>
          </cell>
          <cell r="E4819" t="str">
            <v>K03328.0</v>
          </cell>
          <cell r="F4819">
            <v>41</v>
          </cell>
          <cell r="G4819">
            <v>8.33</v>
          </cell>
          <cell r="H4819">
            <v>3.42</v>
          </cell>
          <cell r="I4819" t="str">
            <v>From M4H to M6H - 35°</v>
          </cell>
          <cell r="J4819" t="str">
            <v>IE3</v>
          </cell>
          <cell r="K4819">
            <v>415</v>
          </cell>
          <cell r="L4819">
            <v>50</v>
          </cell>
          <cell r="M4819">
            <v>1.69</v>
          </cell>
          <cell r="N4819">
            <v>55</v>
          </cell>
          <cell r="O4819" t="str">
            <v>155(F)</v>
          </cell>
          <cell r="P4819" t="str">
            <v>270°</v>
          </cell>
          <cell r="Q4819" t="str">
            <v>TF</v>
          </cell>
          <cell r="R4819" t="str">
            <v>-</v>
          </cell>
          <cell r="S4819" t="str">
            <v>-</v>
          </cell>
          <cell r="T4819" t="str">
            <v>-</v>
          </cell>
          <cell r="U4819" t="str">
            <v>TQB-RHS</v>
          </cell>
          <cell r="V4819" t="str">
            <v>D</v>
          </cell>
          <cell r="W4819" t="str">
            <v>-</v>
          </cell>
          <cell r="X4819" t="str">
            <v>Mineral Oil 460</v>
          </cell>
          <cell r="Y4819" t="str">
            <v>K03328.0QMHA4D.75AM03546G0390</v>
          </cell>
          <cell r="Z4819" t="str">
            <v>RADICON</v>
          </cell>
          <cell r="AB4819" t="str">
            <v>-</v>
          </cell>
          <cell r="AD4819" t="str">
            <v>BIS</v>
          </cell>
          <cell r="AF4819">
            <v>170</v>
          </cell>
          <cell r="AG4819" t="str">
            <v>DRN80M4</v>
          </cell>
          <cell r="AH4819" t="str">
            <v>K03328.0TQB-RHS-DRN80M4270-X</v>
          </cell>
        </row>
        <row r="4820">
          <cell r="A4820" t="str">
            <v>MR004809</v>
          </cell>
          <cell r="B4820" t="str">
            <v>MR</v>
          </cell>
          <cell r="C4820">
            <v>18.5</v>
          </cell>
          <cell r="D4820">
            <v>28</v>
          </cell>
          <cell r="E4820" t="str">
            <v>M1332</v>
          </cell>
          <cell r="F4820">
            <v>6175</v>
          </cell>
          <cell r="G4820">
            <v>52.97</v>
          </cell>
          <cell r="H4820">
            <v>1.48</v>
          </cell>
          <cell r="I4820" t="str">
            <v>From 1  to 6 - 5°</v>
          </cell>
          <cell r="J4820" t="str">
            <v>IE3</v>
          </cell>
          <cell r="K4820">
            <v>415</v>
          </cell>
          <cell r="L4820">
            <v>50</v>
          </cell>
          <cell r="M4820">
            <v>32</v>
          </cell>
          <cell r="N4820">
            <v>55</v>
          </cell>
          <cell r="O4820" t="str">
            <v>155(F)</v>
          </cell>
          <cell r="P4820" t="str">
            <v>270°</v>
          </cell>
          <cell r="Q4820" t="str">
            <v>TF</v>
          </cell>
          <cell r="R4820" t="str">
            <v>V(VE)</v>
          </cell>
          <cell r="S4820" t="str">
            <v>-</v>
          </cell>
          <cell r="T4820" t="str">
            <v>-</v>
          </cell>
          <cell r="U4820" t="str">
            <v>-</v>
          </cell>
          <cell r="V4820" t="str">
            <v>FC</v>
          </cell>
          <cell r="W4820" t="str">
            <v>-</v>
          </cell>
          <cell r="X4820" t="str">
            <v>Mineral Oil 460</v>
          </cell>
          <cell r="Y4820" t="str">
            <v>GM007831</v>
          </cell>
          <cell r="Z4820" t="str">
            <v>RADICON</v>
          </cell>
          <cell r="AB4820" t="str">
            <v>-</v>
          </cell>
          <cell r="AD4820" t="str">
            <v>BIS</v>
          </cell>
          <cell r="AF4820">
            <v>28</v>
          </cell>
          <cell r="AG4820" t="str">
            <v>DRN180M4</v>
          </cell>
          <cell r="AH4820" t="str">
            <v>M1332-DRN180M4270-X#</v>
          </cell>
        </row>
        <row r="4821">
          <cell r="A4821" t="str">
            <v>MR004810</v>
          </cell>
          <cell r="B4821" t="str">
            <v>MR</v>
          </cell>
          <cell r="C4821">
            <v>3</v>
          </cell>
          <cell r="D4821">
            <v>68</v>
          </cell>
          <cell r="E4821" t="str">
            <v>R77</v>
          </cell>
          <cell r="F4821">
            <v>420</v>
          </cell>
          <cell r="G4821">
            <v>21.43</v>
          </cell>
          <cell r="H4821">
            <v>1.95</v>
          </cell>
          <cell r="I4821" t="str">
            <v>From M1 to M2 - 5°</v>
          </cell>
          <cell r="J4821" t="str">
            <v>IE3</v>
          </cell>
          <cell r="K4821">
            <v>415</v>
          </cell>
          <cell r="L4821">
            <v>50</v>
          </cell>
          <cell r="M4821" t="str">
            <v>10,7/6,2</v>
          </cell>
          <cell r="N4821">
            <v>55</v>
          </cell>
          <cell r="O4821" t="str">
            <v>155(F)</v>
          </cell>
          <cell r="P4821" t="str">
            <v>270°</v>
          </cell>
          <cell r="Q4821" t="str">
            <v>TF</v>
          </cell>
          <cell r="R4821" t="str">
            <v>-</v>
          </cell>
          <cell r="S4821" t="str">
            <v>-</v>
          </cell>
          <cell r="T4821" t="str">
            <v>-</v>
          </cell>
          <cell r="U4821" t="str">
            <v>-</v>
          </cell>
          <cell r="V4821" t="str">
            <v>D</v>
          </cell>
          <cell r="W4821" t="str">
            <v>-</v>
          </cell>
          <cell r="X4821" t="str">
            <v>CLP 220 (-15/+40°C)</v>
          </cell>
          <cell r="Y4821" t="str">
            <v>R77DRN100L4 /TF</v>
          </cell>
          <cell r="Z4821" t="str">
            <v>RADICON</v>
          </cell>
          <cell r="AB4821" t="str">
            <v>-</v>
          </cell>
          <cell r="AD4821" t="str">
            <v>BIS</v>
          </cell>
          <cell r="AF4821">
            <v>68</v>
          </cell>
          <cell r="AG4821" t="str">
            <v>DRN100L4</v>
          </cell>
          <cell r="AH4821" t="str">
            <v>R77-DRN100L4270-X</v>
          </cell>
        </row>
        <row r="4822">
          <cell r="A4822" t="str">
            <v>MR004811</v>
          </cell>
          <cell r="B4822" t="str">
            <v>MR</v>
          </cell>
          <cell r="C4822">
            <v>11</v>
          </cell>
          <cell r="D4822">
            <v>47</v>
          </cell>
          <cell r="E4822" t="str">
            <v>KH87</v>
          </cell>
          <cell r="F4822">
            <v>2230</v>
          </cell>
          <cell r="G4822">
            <v>31.39</v>
          </cell>
          <cell r="H4822">
            <v>1.2</v>
          </cell>
          <cell r="I4822" t="str">
            <v>M1A</v>
          </cell>
          <cell r="J4822" t="str">
            <v>IE3</v>
          </cell>
          <cell r="K4822">
            <v>415</v>
          </cell>
          <cell r="L4822">
            <v>50</v>
          </cell>
          <cell r="M4822" t="str">
            <v>35/20</v>
          </cell>
          <cell r="N4822">
            <v>55</v>
          </cell>
          <cell r="O4822" t="str">
            <v>155(F)</v>
          </cell>
          <cell r="P4822" t="str">
            <v>180°</v>
          </cell>
          <cell r="Q4822" t="str">
            <v>TF</v>
          </cell>
          <cell r="R4822" t="str">
            <v>-</v>
          </cell>
          <cell r="S4822" t="str">
            <v>Free rotation CCW</v>
          </cell>
          <cell r="T4822" t="str">
            <v>-</v>
          </cell>
          <cell r="U4822" t="str">
            <v>T</v>
          </cell>
          <cell r="V4822" t="str">
            <v>SS</v>
          </cell>
          <cell r="W4822" t="str">
            <v>-</v>
          </cell>
          <cell r="X4822" t="str">
            <v>CLP 220 (-15/+40°C)</v>
          </cell>
          <cell r="Y4822" t="str">
            <v>KH87/T DRN160M4 /RS /TF</v>
          </cell>
          <cell r="Z4822" t="str">
            <v>RADICON</v>
          </cell>
          <cell r="AB4822" t="str">
            <v>-</v>
          </cell>
          <cell r="AD4822" t="str">
            <v>BIS</v>
          </cell>
          <cell r="AF4822">
            <v>47</v>
          </cell>
          <cell r="AG4822" t="str">
            <v>DRN160M4</v>
          </cell>
          <cell r="AH4822" t="str">
            <v>KH87T-DRN160M4A180-X</v>
          </cell>
        </row>
        <row r="4823">
          <cell r="A4823" t="str">
            <v>MR004812</v>
          </cell>
          <cell r="B4823" t="str">
            <v>MR</v>
          </cell>
          <cell r="C4823">
            <v>7.5</v>
          </cell>
          <cell r="D4823">
            <v>62</v>
          </cell>
          <cell r="E4823" t="str">
            <v>M082222.</v>
          </cell>
          <cell r="F4823">
            <v>1129</v>
          </cell>
          <cell r="G4823">
            <v>23.32</v>
          </cell>
          <cell r="H4823">
            <v>1.37</v>
          </cell>
          <cell r="I4823">
            <v>1</v>
          </cell>
          <cell r="J4823" t="str">
            <v>IE3</v>
          </cell>
          <cell r="K4823">
            <v>415</v>
          </cell>
          <cell r="L4823">
            <v>50</v>
          </cell>
          <cell r="M4823">
            <v>14.7</v>
          </cell>
          <cell r="N4823">
            <v>55</v>
          </cell>
          <cell r="O4823" t="str">
            <v>155(F)</v>
          </cell>
          <cell r="P4823" t="str">
            <v>270°</v>
          </cell>
          <cell r="Q4823" t="str">
            <v>TF</v>
          </cell>
          <cell r="R4823" t="str">
            <v>-</v>
          </cell>
          <cell r="S4823" t="str">
            <v>-</v>
          </cell>
          <cell r="T4823" t="str">
            <v>-</v>
          </cell>
          <cell r="U4823" t="str">
            <v>-</v>
          </cell>
          <cell r="V4823" t="str">
            <v>D</v>
          </cell>
          <cell r="W4823" t="str">
            <v>-</v>
          </cell>
          <cell r="X4823" t="str">
            <v>Mineral Oil 460</v>
          </cell>
          <cell r="Y4823" t="str">
            <v>M082222.BMCG1D7.5AM02280G0653</v>
          </cell>
          <cell r="Z4823" t="str">
            <v>RADICON</v>
          </cell>
          <cell r="AB4823" t="str">
            <v>-</v>
          </cell>
          <cell r="AD4823" t="str">
            <v>BIS</v>
          </cell>
          <cell r="AF4823">
            <v>62</v>
          </cell>
          <cell r="AG4823" t="str">
            <v>DRN132M4</v>
          </cell>
          <cell r="AH4823" t="str">
            <v>M082222.-DRN132M4270-X</v>
          </cell>
        </row>
        <row r="4824">
          <cell r="A4824" t="str">
            <v>MR004813</v>
          </cell>
          <cell r="B4824" t="str">
            <v>MR</v>
          </cell>
          <cell r="C4824">
            <v>11</v>
          </cell>
          <cell r="D4824">
            <v>18</v>
          </cell>
          <cell r="E4824" t="str">
            <v>M133280.</v>
          </cell>
          <cell r="F4824">
            <v>5631</v>
          </cell>
          <cell r="G4824">
            <v>80.680000000000007</v>
          </cell>
          <cell r="H4824">
            <v>1.7</v>
          </cell>
          <cell r="I4824">
            <v>1</v>
          </cell>
          <cell r="J4824" t="str">
            <v>IE3</v>
          </cell>
          <cell r="K4824">
            <v>415</v>
          </cell>
          <cell r="L4824">
            <v>50</v>
          </cell>
          <cell r="M4824">
            <v>20</v>
          </cell>
          <cell r="N4824">
            <v>55</v>
          </cell>
          <cell r="O4824" t="str">
            <v>155(F)</v>
          </cell>
          <cell r="P4824" t="str">
            <v>270°</v>
          </cell>
          <cell r="Q4824" t="str">
            <v>TF</v>
          </cell>
          <cell r="R4824" t="str">
            <v>V(VE)</v>
          </cell>
          <cell r="S4824" t="str">
            <v>-</v>
          </cell>
          <cell r="T4824" t="str">
            <v>-</v>
          </cell>
          <cell r="U4824" t="str">
            <v>-</v>
          </cell>
          <cell r="V4824" t="str">
            <v>FC</v>
          </cell>
          <cell r="W4824" t="str">
            <v>-</v>
          </cell>
          <cell r="X4824" t="str">
            <v>Mineral Oil 460</v>
          </cell>
          <cell r="Y4824" t="str">
            <v>M133280.BMCG1D11.AM03698G0653</v>
          </cell>
          <cell r="Z4824" t="str">
            <v>RADICON</v>
          </cell>
          <cell r="AB4824" t="str">
            <v>-</v>
          </cell>
          <cell r="AD4824" t="str">
            <v>BIS</v>
          </cell>
          <cell r="AF4824">
            <v>18</v>
          </cell>
          <cell r="AG4824" t="str">
            <v>DRN160M4</v>
          </cell>
          <cell r="AH4824" t="str">
            <v>M133280.-DRN160M4270-X#</v>
          </cell>
        </row>
        <row r="4825">
          <cell r="A4825" t="str">
            <v>MR004814</v>
          </cell>
          <cell r="B4825" t="str">
            <v>ME</v>
          </cell>
          <cell r="C4825">
            <v>0.25</v>
          </cell>
          <cell r="D4825">
            <v>1405</v>
          </cell>
          <cell r="E4825" t="str">
            <v>M1AB</v>
          </cell>
          <cell r="F4825">
            <v>1.7</v>
          </cell>
          <cell r="G4825" t="str">
            <v>-</v>
          </cell>
          <cell r="H4825" t="str">
            <v>-</v>
          </cell>
          <cell r="I4825" t="str">
            <v>M1AB</v>
          </cell>
          <cell r="J4825" t="str">
            <v>IE3</v>
          </cell>
          <cell r="K4825" t="str">
            <v>220/380</v>
          </cell>
          <cell r="L4825">
            <v>50</v>
          </cell>
          <cell r="M4825" t="str">
            <v>1,31/0,86</v>
          </cell>
          <cell r="N4825">
            <v>65</v>
          </cell>
          <cell r="O4825" t="str">
            <v>155(F)</v>
          </cell>
          <cell r="P4825" t="str">
            <v>270°</v>
          </cell>
          <cell r="Q4825" t="str">
            <v>TF</v>
          </cell>
          <cell r="S4825" t="str">
            <v>-</v>
          </cell>
          <cell r="T4825" t="str">
            <v>BEHF</v>
          </cell>
          <cell r="U4825" t="str">
            <v>-</v>
          </cell>
          <cell r="V4825" t="str">
            <v>D+R</v>
          </cell>
          <cell r="X4825" t="str">
            <v>-</v>
          </cell>
          <cell r="Y4825" t="str">
            <v>DRN71MS4/BE03HF/FG/TF</v>
          </cell>
          <cell r="Z4825" t="str">
            <v>SEW</v>
          </cell>
          <cell r="AB4825" t="str">
            <v>-</v>
          </cell>
          <cell r="AE4825" t="str">
            <v>Replacement for MR004151</v>
          </cell>
          <cell r="AF4825">
            <v>1405</v>
          </cell>
          <cell r="AG4825" t="str">
            <v>DRN71MS4</v>
          </cell>
          <cell r="AH4825" t="str">
            <v>M1AB-DRN71MS4B270-X#</v>
          </cell>
        </row>
        <row r="4826">
          <cell r="A4826" t="str">
            <v>MR004815</v>
          </cell>
          <cell r="B4826" t="str">
            <v>MR</v>
          </cell>
          <cell r="C4826">
            <v>22</v>
          </cell>
          <cell r="D4826">
            <v>12</v>
          </cell>
          <cell r="E4826" t="str">
            <v>KH157</v>
          </cell>
          <cell r="F4826">
            <v>17400</v>
          </cell>
          <cell r="G4826">
            <v>122.39</v>
          </cell>
          <cell r="H4826">
            <v>1.1499999999999999</v>
          </cell>
          <cell r="I4826" t="str">
            <v>From M1A to M2A - 35°</v>
          </cell>
          <cell r="J4826" t="str">
            <v>IE3</v>
          </cell>
          <cell r="K4826">
            <v>415</v>
          </cell>
          <cell r="L4826">
            <v>50</v>
          </cell>
          <cell r="M4826" t="str">
            <v>64/37</v>
          </cell>
          <cell r="N4826">
            <v>65</v>
          </cell>
          <cell r="O4826" t="str">
            <v>155(F)</v>
          </cell>
          <cell r="P4826" t="str">
            <v>180°</v>
          </cell>
          <cell r="Q4826" t="str">
            <v>TF</v>
          </cell>
          <cell r="R4826" t="str">
            <v>V(VE)</v>
          </cell>
          <cell r="S4826" t="str">
            <v>-</v>
          </cell>
          <cell r="T4826" t="str">
            <v>-</v>
          </cell>
          <cell r="U4826" t="str">
            <v>-</v>
          </cell>
          <cell r="V4826" t="str">
            <v>FC</v>
          </cell>
          <cell r="W4826" t="str">
            <v>-</v>
          </cell>
          <cell r="X4826" t="str">
            <v>CLP 220 (-15/+40°C)</v>
          </cell>
          <cell r="Y4826" t="str">
            <v>KH157DRN180L4 /TF/V</v>
          </cell>
          <cell r="Z4826" t="str">
            <v>SEW</v>
          </cell>
          <cell r="AB4826" t="str">
            <v>-</v>
          </cell>
          <cell r="AF4826">
            <v>12</v>
          </cell>
          <cell r="AG4826" t="str">
            <v>DRN180L4</v>
          </cell>
          <cell r="AH4826" t="str">
            <v>KH157-DRN180L4A180-X#</v>
          </cell>
        </row>
        <row r="4827">
          <cell r="A4827" t="str">
            <v>MR004816</v>
          </cell>
          <cell r="B4827" t="str">
            <v>MR</v>
          </cell>
          <cell r="C4827">
            <v>22</v>
          </cell>
          <cell r="D4827">
            <v>12</v>
          </cell>
          <cell r="E4827" t="str">
            <v>KH157</v>
          </cell>
          <cell r="F4827">
            <v>17400</v>
          </cell>
          <cell r="G4827">
            <v>122.39</v>
          </cell>
          <cell r="H4827">
            <v>1.1499999999999999</v>
          </cell>
          <cell r="I4827" t="str">
            <v>From M1B to M2B - 35°</v>
          </cell>
          <cell r="J4827" t="str">
            <v>IE3</v>
          </cell>
          <cell r="K4827">
            <v>415</v>
          </cell>
          <cell r="L4827">
            <v>50</v>
          </cell>
          <cell r="M4827" t="str">
            <v>64/37</v>
          </cell>
          <cell r="N4827">
            <v>65</v>
          </cell>
          <cell r="O4827" t="str">
            <v>155(F)</v>
          </cell>
          <cell r="P4827" t="str">
            <v>0°</v>
          </cell>
          <cell r="Q4827" t="str">
            <v>TF</v>
          </cell>
          <cell r="R4827" t="str">
            <v>V(VE)</v>
          </cell>
          <cell r="S4827" t="str">
            <v>-</v>
          </cell>
          <cell r="T4827" t="str">
            <v>-</v>
          </cell>
          <cell r="U4827" t="str">
            <v>-</v>
          </cell>
          <cell r="V4827" t="str">
            <v>FC</v>
          </cell>
          <cell r="W4827" t="str">
            <v>-</v>
          </cell>
          <cell r="X4827" t="str">
            <v>CLP 220 (-15/+40°C)</v>
          </cell>
          <cell r="Y4827" t="str">
            <v>KH157DRN180L4 /TF/V</v>
          </cell>
          <cell r="Z4827" t="str">
            <v>SEW</v>
          </cell>
          <cell r="AB4827" t="str">
            <v>-</v>
          </cell>
          <cell r="AF4827">
            <v>12</v>
          </cell>
          <cell r="AG4827" t="str">
            <v>DRN180L4</v>
          </cell>
          <cell r="AH4827" t="str">
            <v>KH157-DRN180L4B0-X#</v>
          </cell>
        </row>
        <row r="4828">
          <cell r="A4828" t="str">
            <v>MR004817</v>
          </cell>
          <cell r="B4828" t="str">
            <v>MR</v>
          </cell>
          <cell r="C4828">
            <v>5.5</v>
          </cell>
          <cell r="D4828">
            <v>14</v>
          </cell>
          <cell r="E4828" t="str">
            <v>KH97</v>
          </cell>
          <cell r="F4828">
            <v>3770</v>
          </cell>
          <cell r="G4828">
            <v>105.13</v>
          </cell>
          <cell r="H4828">
            <v>1.1499999999999999</v>
          </cell>
          <cell r="I4828" t="str">
            <v>From M1A to M2A - 35°</v>
          </cell>
          <cell r="J4828" t="str">
            <v>IE3</v>
          </cell>
          <cell r="K4828">
            <v>415</v>
          </cell>
          <cell r="L4828">
            <v>50</v>
          </cell>
          <cell r="M4828" t="str">
            <v>18,5/10,7</v>
          </cell>
          <cell r="N4828">
            <v>65</v>
          </cell>
          <cell r="O4828" t="str">
            <v>155(F)</v>
          </cell>
          <cell r="P4828" t="str">
            <v>180°</v>
          </cell>
          <cell r="Q4828" t="str">
            <v>TF</v>
          </cell>
          <cell r="R4828" t="str">
            <v>V(VE)</v>
          </cell>
          <cell r="S4828" t="str">
            <v>-</v>
          </cell>
          <cell r="T4828" t="str">
            <v>-</v>
          </cell>
          <cell r="U4828" t="str">
            <v>-</v>
          </cell>
          <cell r="V4828" t="str">
            <v>FC</v>
          </cell>
          <cell r="W4828" t="str">
            <v>-</v>
          </cell>
          <cell r="X4828" t="str">
            <v>CLP 220 (-15/+40°C)</v>
          </cell>
          <cell r="Y4828" t="str">
            <v>KH97DRN132S4 /TF/V</v>
          </cell>
          <cell r="Z4828" t="str">
            <v>SEW</v>
          </cell>
          <cell r="AB4828" t="str">
            <v>-</v>
          </cell>
          <cell r="AF4828">
            <v>14</v>
          </cell>
          <cell r="AG4828" t="str">
            <v>DRN132S4</v>
          </cell>
          <cell r="AH4828" t="str">
            <v>KH97-DRN132S4A180-X#</v>
          </cell>
        </row>
        <row r="4829">
          <cell r="A4829" t="str">
            <v>MR004818</v>
          </cell>
          <cell r="B4829" t="str">
            <v>MR</v>
          </cell>
          <cell r="C4829">
            <v>5.5</v>
          </cell>
          <cell r="D4829">
            <v>14</v>
          </cell>
          <cell r="E4829" t="str">
            <v>KH97</v>
          </cell>
          <cell r="F4829">
            <v>3770</v>
          </cell>
          <cell r="G4829">
            <v>105.13</v>
          </cell>
          <cell r="H4829">
            <v>1.1499999999999999</v>
          </cell>
          <cell r="I4829" t="str">
            <v>From M1B to M2B - 35°</v>
          </cell>
          <cell r="J4829" t="str">
            <v>IE3</v>
          </cell>
          <cell r="K4829">
            <v>415</v>
          </cell>
          <cell r="L4829">
            <v>50</v>
          </cell>
          <cell r="M4829" t="str">
            <v>18,5/10,7</v>
          </cell>
          <cell r="N4829">
            <v>65</v>
          </cell>
          <cell r="O4829" t="str">
            <v>155(F)</v>
          </cell>
          <cell r="P4829" t="str">
            <v>0°</v>
          </cell>
          <cell r="Q4829" t="str">
            <v>TF</v>
          </cell>
          <cell r="R4829" t="str">
            <v>V(VE)</v>
          </cell>
          <cell r="S4829" t="str">
            <v>-</v>
          </cell>
          <cell r="T4829" t="str">
            <v>-</v>
          </cell>
          <cell r="U4829" t="str">
            <v>-</v>
          </cell>
          <cell r="V4829" t="str">
            <v>FC</v>
          </cell>
          <cell r="W4829" t="str">
            <v>-</v>
          </cell>
          <cell r="X4829" t="str">
            <v>CLP 220 (-15/+40°C)</v>
          </cell>
          <cell r="Y4829" t="str">
            <v>KH97DRN132S4 /TF/V</v>
          </cell>
          <cell r="Z4829" t="str">
            <v>SEW</v>
          </cell>
          <cell r="AB4829" t="str">
            <v>-</v>
          </cell>
          <cell r="AF4829">
            <v>14</v>
          </cell>
          <cell r="AG4829" t="str">
            <v>DRN132S4</v>
          </cell>
          <cell r="AH4829" t="str">
            <v>KH97-DRN132S4B0-X#</v>
          </cell>
        </row>
        <row r="4830">
          <cell r="A4830" t="str">
            <v>MR004819</v>
          </cell>
          <cell r="B4830" t="str">
            <v>MR</v>
          </cell>
          <cell r="C4830">
            <v>15</v>
          </cell>
          <cell r="D4830">
            <v>13</v>
          </cell>
          <cell r="E4830" t="str">
            <v>KH127</v>
          </cell>
          <cell r="F4830">
            <v>10700</v>
          </cell>
          <cell r="G4830">
            <v>110.18</v>
          </cell>
          <cell r="H4830">
            <v>1.2</v>
          </cell>
          <cell r="I4830" t="str">
            <v>From M1A to M2A - 5°</v>
          </cell>
          <cell r="J4830" t="str">
            <v>IE3</v>
          </cell>
          <cell r="K4830">
            <v>415</v>
          </cell>
          <cell r="L4830">
            <v>50</v>
          </cell>
          <cell r="M4830" t="str">
            <v>48/27,5</v>
          </cell>
          <cell r="N4830">
            <v>65</v>
          </cell>
          <cell r="O4830" t="str">
            <v>155(F)</v>
          </cell>
          <cell r="P4830" t="str">
            <v>180°</v>
          </cell>
          <cell r="Q4830" t="str">
            <v>TF</v>
          </cell>
          <cell r="R4830" t="str">
            <v>V(VE)</v>
          </cell>
          <cell r="S4830" t="str">
            <v>-</v>
          </cell>
          <cell r="T4830" t="str">
            <v>-</v>
          </cell>
          <cell r="U4830" t="str">
            <v>-</v>
          </cell>
          <cell r="V4830" t="str">
            <v>FC</v>
          </cell>
          <cell r="W4830" t="str">
            <v>-</v>
          </cell>
          <cell r="X4830" t="str">
            <v>CLP 220 (-15/+40°C)</v>
          </cell>
          <cell r="Y4830" t="str">
            <v>KH127DRN160L4 /TF/V</v>
          </cell>
          <cell r="Z4830" t="str">
            <v>SEW</v>
          </cell>
          <cell r="AB4830" t="str">
            <v>-</v>
          </cell>
          <cell r="AF4830">
            <v>13</v>
          </cell>
          <cell r="AG4830" t="str">
            <v>DRN160L4</v>
          </cell>
          <cell r="AH4830" t="str">
            <v>KH127-DRN160L4A180-X#</v>
          </cell>
        </row>
        <row r="4831">
          <cell r="A4831" t="str">
            <v>MR004820</v>
          </cell>
          <cell r="B4831" t="str">
            <v>MR</v>
          </cell>
          <cell r="C4831">
            <v>15</v>
          </cell>
          <cell r="D4831">
            <v>13</v>
          </cell>
          <cell r="E4831" t="str">
            <v>KH127</v>
          </cell>
          <cell r="F4831">
            <v>10700</v>
          </cell>
          <cell r="G4831">
            <v>110.18</v>
          </cell>
          <cell r="H4831">
            <v>1.2</v>
          </cell>
          <cell r="I4831" t="str">
            <v>From M1B to M2B - 5°</v>
          </cell>
          <cell r="J4831" t="str">
            <v>IE3</v>
          </cell>
          <cell r="K4831">
            <v>415</v>
          </cell>
          <cell r="L4831">
            <v>50</v>
          </cell>
          <cell r="M4831" t="str">
            <v>48/27,5</v>
          </cell>
          <cell r="N4831">
            <v>65</v>
          </cell>
          <cell r="O4831" t="str">
            <v>155(F)</v>
          </cell>
          <cell r="P4831" t="str">
            <v>0°</v>
          </cell>
          <cell r="Q4831" t="str">
            <v>TF</v>
          </cell>
          <cell r="R4831" t="str">
            <v>V(VE)</v>
          </cell>
          <cell r="S4831" t="str">
            <v>-</v>
          </cell>
          <cell r="T4831" t="str">
            <v>-</v>
          </cell>
          <cell r="U4831" t="str">
            <v>-</v>
          </cell>
          <cell r="V4831" t="str">
            <v>FC</v>
          </cell>
          <cell r="W4831" t="str">
            <v>-</v>
          </cell>
          <cell r="X4831" t="str">
            <v>CLP 220 (-15/+40°C)</v>
          </cell>
          <cell r="Y4831" t="str">
            <v>KH127DRN160L4 /TF/V</v>
          </cell>
          <cell r="Z4831" t="str">
            <v>SEW</v>
          </cell>
          <cell r="AB4831" t="str">
            <v>-</v>
          </cell>
          <cell r="AF4831">
            <v>13</v>
          </cell>
          <cell r="AG4831" t="str">
            <v>DRN160L4</v>
          </cell>
          <cell r="AH4831" t="str">
            <v>KH127-DRN160L4B0-X#</v>
          </cell>
        </row>
        <row r="4832">
          <cell r="A4832" t="str">
            <v>MR004821</v>
          </cell>
          <cell r="B4832" t="str">
            <v>MR</v>
          </cell>
          <cell r="C4832">
            <v>15</v>
          </cell>
          <cell r="D4832">
            <v>13</v>
          </cell>
          <cell r="E4832" t="str">
            <v>KH127</v>
          </cell>
          <cell r="F4832">
            <v>10700</v>
          </cell>
          <cell r="G4832">
            <v>110.18</v>
          </cell>
          <cell r="H4832">
            <v>1.2</v>
          </cell>
          <cell r="I4832" t="str">
            <v>From M1B to M2B - 25°</v>
          </cell>
          <cell r="J4832" t="str">
            <v>IE3</v>
          </cell>
          <cell r="K4832">
            <v>415</v>
          </cell>
          <cell r="L4832">
            <v>50</v>
          </cell>
          <cell r="M4832" t="str">
            <v>48/27,5</v>
          </cell>
          <cell r="N4832">
            <v>65</v>
          </cell>
          <cell r="O4832" t="str">
            <v>155(F)</v>
          </cell>
          <cell r="P4832" t="str">
            <v>0°</v>
          </cell>
          <cell r="Q4832" t="str">
            <v>TF</v>
          </cell>
          <cell r="R4832" t="str">
            <v>V(VE)</v>
          </cell>
          <cell r="S4832" t="str">
            <v>-</v>
          </cell>
          <cell r="T4832" t="str">
            <v>-</v>
          </cell>
          <cell r="U4832" t="str">
            <v>-</v>
          </cell>
          <cell r="V4832" t="str">
            <v>FC</v>
          </cell>
          <cell r="W4832" t="str">
            <v>-</v>
          </cell>
          <cell r="X4832" t="str">
            <v>CLP 220 (-15/+40°C)</v>
          </cell>
          <cell r="Y4832" t="str">
            <v>KH127DRN160L4 /TF/V</v>
          </cell>
          <cell r="Z4832" t="str">
            <v>SEW</v>
          </cell>
          <cell r="AB4832" t="str">
            <v>-</v>
          </cell>
          <cell r="AF4832">
            <v>13</v>
          </cell>
          <cell r="AG4832" t="str">
            <v>DRN160L4</v>
          </cell>
          <cell r="AH4832" t="str">
            <v>KH127-DRN160L4B0-X#</v>
          </cell>
        </row>
        <row r="4833">
          <cell r="A4833" t="str">
            <v>MR004822</v>
          </cell>
          <cell r="B4833" t="str">
            <v>MR</v>
          </cell>
          <cell r="C4833">
            <v>15</v>
          </cell>
          <cell r="D4833">
            <v>9.8000000000000007</v>
          </cell>
          <cell r="E4833" t="str">
            <v>KH157</v>
          </cell>
          <cell r="F4833">
            <v>14600</v>
          </cell>
          <cell r="G4833">
            <v>150.41</v>
          </cell>
          <cell r="H4833">
            <v>1.35</v>
          </cell>
          <cell r="I4833" t="str">
            <v>From M1A to M2A - 25°</v>
          </cell>
          <cell r="J4833" t="str">
            <v>IE3</v>
          </cell>
          <cell r="K4833">
            <v>415</v>
          </cell>
          <cell r="L4833">
            <v>50</v>
          </cell>
          <cell r="M4833" t="str">
            <v>48/27,5</v>
          </cell>
          <cell r="N4833">
            <v>65</v>
          </cell>
          <cell r="O4833" t="str">
            <v>155(F)</v>
          </cell>
          <cell r="P4833" t="str">
            <v>180°</v>
          </cell>
          <cell r="Q4833" t="str">
            <v>TF</v>
          </cell>
          <cell r="R4833" t="str">
            <v>V(VE)</v>
          </cell>
          <cell r="S4833" t="str">
            <v>-</v>
          </cell>
          <cell r="T4833" t="str">
            <v>-</v>
          </cell>
          <cell r="U4833" t="str">
            <v>-</v>
          </cell>
          <cell r="V4833" t="str">
            <v>FC</v>
          </cell>
          <cell r="W4833" t="str">
            <v>-</v>
          </cell>
          <cell r="X4833" t="str">
            <v>CLP 220 (-15/+40°C)</v>
          </cell>
          <cell r="Y4833" t="str">
            <v>KH157DRN160L4 /TF/V</v>
          </cell>
          <cell r="Z4833" t="str">
            <v>SEW</v>
          </cell>
          <cell r="AB4833" t="str">
            <v>-</v>
          </cell>
          <cell r="AF4833">
            <v>9.8000000000000007</v>
          </cell>
          <cell r="AG4833" t="str">
            <v>DRN160L4</v>
          </cell>
          <cell r="AH4833" t="str">
            <v>KH157-DRN160L4A180-X#</v>
          </cell>
        </row>
        <row r="4834">
          <cell r="A4834" t="str">
            <v>MR004823</v>
          </cell>
          <cell r="B4834" t="str">
            <v>MR</v>
          </cell>
          <cell r="C4834">
            <v>15</v>
          </cell>
          <cell r="D4834">
            <v>9.8000000000000007</v>
          </cell>
          <cell r="E4834" t="str">
            <v>KH157</v>
          </cell>
          <cell r="F4834">
            <v>14600</v>
          </cell>
          <cell r="G4834">
            <v>150.41</v>
          </cell>
          <cell r="H4834">
            <v>1.35</v>
          </cell>
          <cell r="I4834" t="str">
            <v>From M1B to M2B - 25°</v>
          </cell>
          <cell r="J4834" t="str">
            <v>IE3</v>
          </cell>
          <cell r="K4834">
            <v>415</v>
          </cell>
          <cell r="L4834">
            <v>50</v>
          </cell>
          <cell r="M4834" t="str">
            <v>48/27,5</v>
          </cell>
          <cell r="N4834">
            <v>65</v>
          </cell>
          <cell r="O4834" t="str">
            <v>155(F)</v>
          </cell>
          <cell r="P4834" t="str">
            <v>0°</v>
          </cell>
          <cell r="Q4834" t="str">
            <v>TF</v>
          </cell>
          <cell r="R4834" t="str">
            <v>V(VE)</v>
          </cell>
          <cell r="S4834" t="str">
            <v>-</v>
          </cell>
          <cell r="T4834" t="str">
            <v>-</v>
          </cell>
          <cell r="U4834" t="str">
            <v>-</v>
          </cell>
          <cell r="V4834" t="str">
            <v>FC</v>
          </cell>
          <cell r="W4834" t="str">
            <v>-</v>
          </cell>
          <cell r="X4834" t="str">
            <v>CLP 220 (-15/+40°C)</v>
          </cell>
          <cell r="Y4834" t="str">
            <v>KH157DRN160L4 /TF/V</v>
          </cell>
          <cell r="Z4834" t="str">
            <v>SEW</v>
          </cell>
          <cell r="AB4834" t="str">
            <v>-</v>
          </cell>
          <cell r="AF4834">
            <v>9.8000000000000007</v>
          </cell>
          <cell r="AG4834" t="str">
            <v>DRN160L4</v>
          </cell>
          <cell r="AH4834" t="str">
            <v>KH157-DRN160L4B0-X#</v>
          </cell>
        </row>
        <row r="4835">
          <cell r="A4835" t="str">
            <v>MR004824</v>
          </cell>
          <cell r="B4835" t="str">
            <v>MR</v>
          </cell>
          <cell r="C4835">
            <v>18.5</v>
          </cell>
          <cell r="D4835">
            <v>12</v>
          </cell>
          <cell r="E4835" t="str">
            <v>KH157</v>
          </cell>
          <cell r="F4835">
            <v>14600</v>
          </cell>
          <cell r="G4835">
            <v>122.39</v>
          </cell>
          <cell r="H4835">
            <v>1.35</v>
          </cell>
          <cell r="I4835" t="str">
            <v>From M1B to M2B - 25°</v>
          </cell>
          <cell r="J4835" t="str">
            <v>IE3</v>
          </cell>
          <cell r="K4835">
            <v>415</v>
          </cell>
          <cell r="L4835">
            <v>50</v>
          </cell>
          <cell r="M4835" t="str">
            <v>56/32</v>
          </cell>
          <cell r="N4835">
            <v>65</v>
          </cell>
          <cell r="O4835" t="str">
            <v>155(F)</v>
          </cell>
          <cell r="P4835" t="str">
            <v>0°</v>
          </cell>
          <cell r="Q4835" t="str">
            <v>TF</v>
          </cell>
          <cell r="R4835" t="str">
            <v>V(VE)</v>
          </cell>
          <cell r="S4835" t="str">
            <v>-</v>
          </cell>
          <cell r="T4835" t="str">
            <v>-</v>
          </cell>
          <cell r="U4835" t="str">
            <v>-</v>
          </cell>
          <cell r="V4835" t="str">
            <v>FC</v>
          </cell>
          <cell r="W4835" t="str">
            <v>-</v>
          </cell>
          <cell r="X4835" t="str">
            <v>CLP 220 (-15/+40°C)</v>
          </cell>
          <cell r="Y4835" t="str">
            <v>KH157DRN180M4 /TF/V</v>
          </cell>
          <cell r="Z4835" t="str">
            <v>SEW</v>
          </cell>
          <cell r="AB4835" t="str">
            <v>-</v>
          </cell>
          <cell r="AF4835">
            <v>12</v>
          </cell>
          <cell r="AG4835" t="str">
            <v>DRN180M4</v>
          </cell>
          <cell r="AH4835" t="str">
            <v>KH157-DRN180M4B0-X#</v>
          </cell>
        </row>
        <row r="4836">
          <cell r="A4836" t="str">
            <v>MR004825</v>
          </cell>
          <cell r="B4836" t="str">
            <v>MR</v>
          </cell>
          <cell r="C4836">
            <v>11</v>
          </cell>
          <cell r="D4836">
            <v>15</v>
          </cell>
          <cell r="E4836" t="str">
            <v>KH107</v>
          </cell>
          <cell r="F4836">
            <v>7180</v>
          </cell>
          <cell r="G4836">
            <v>100.75</v>
          </cell>
          <cell r="H4836">
            <v>1.1000000000000001</v>
          </cell>
          <cell r="I4836" t="str">
            <v>From M1A to M2A - 45°</v>
          </cell>
          <cell r="J4836" t="str">
            <v>IE3</v>
          </cell>
          <cell r="K4836">
            <v>415</v>
          </cell>
          <cell r="L4836">
            <v>50</v>
          </cell>
          <cell r="M4836" t="str">
            <v>21/12,2</v>
          </cell>
          <cell r="N4836">
            <v>65</v>
          </cell>
          <cell r="O4836" t="str">
            <v>155(F)</v>
          </cell>
          <cell r="P4836" t="str">
            <v>180°</v>
          </cell>
          <cell r="Q4836" t="str">
            <v>TF</v>
          </cell>
          <cell r="R4836" t="str">
            <v>V(VE)</v>
          </cell>
          <cell r="S4836" t="str">
            <v>-</v>
          </cell>
          <cell r="T4836" t="str">
            <v>-</v>
          </cell>
          <cell r="U4836" t="str">
            <v>-</v>
          </cell>
          <cell r="V4836" t="str">
            <v>FC</v>
          </cell>
          <cell r="W4836" t="str">
            <v>-</v>
          </cell>
          <cell r="X4836" t="str">
            <v>CLP 220 (-15/+40°C)</v>
          </cell>
          <cell r="Y4836" t="str">
            <v>KH107DRN160M4 /TF/V</v>
          </cell>
          <cell r="Z4836" t="str">
            <v>SEW</v>
          </cell>
          <cell r="AB4836" t="str">
            <v>-</v>
          </cell>
          <cell r="AF4836">
            <v>15</v>
          </cell>
          <cell r="AG4836" t="str">
            <v>DRN160M4</v>
          </cell>
          <cell r="AH4836" t="str">
            <v>KH107-DRN160M4A180-X#</v>
          </cell>
        </row>
        <row r="4837">
          <cell r="A4837" t="str">
            <v>MR004826</v>
          </cell>
          <cell r="B4837" t="str">
            <v>MR</v>
          </cell>
          <cell r="C4837">
            <v>9.1999999999999993</v>
          </cell>
          <cell r="D4837">
            <v>15</v>
          </cell>
          <cell r="E4837" t="str">
            <v>KH107</v>
          </cell>
          <cell r="F4837">
            <v>6020</v>
          </cell>
          <cell r="G4837">
            <v>100.75</v>
          </cell>
          <cell r="H4837">
            <v>1.35</v>
          </cell>
          <cell r="I4837" t="str">
            <v>From M1A to M2A - 40°</v>
          </cell>
          <cell r="J4837" t="str">
            <v>IE3</v>
          </cell>
          <cell r="K4837">
            <v>415</v>
          </cell>
          <cell r="L4837">
            <v>50</v>
          </cell>
          <cell r="M4837" t="str">
            <v>31/18</v>
          </cell>
          <cell r="N4837">
            <v>65</v>
          </cell>
          <cell r="O4837" t="str">
            <v>155(F)</v>
          </cell>
          <cell r="P4837" t="str">
            <v>180°</v>
          </cell>
          <cell r="Q4837" t="str">
            <v>TF</v>
          </cell>
          <cell r="R4837" t="str">
            <v>V(VE)</v>
          </cell>
          <cell r="S4837" t="str">
            <v>-</v>
          </cell>
          <cell r="T4837" t="str">
            <v>-</v>
          </cell>
          <cell r="U4837" t="str">
            <v>-</v>
          </cell>
          <cell r="V4837" t="str">
            <v>FC</v>
          </cell>
          <cell r="W4837" t="str">
            <v>-</v>
          </cell>
          <cell r="X4837" t="str">
            <v>CLP 220 (-15/+40°C)</v>
          </cell>
          <cell r="Y4837" t="str">
            <v>KH107DRN132L4 /TF/V</v>
          </cell>
          <cell r="Z4837" t="str">
            <v>SEW</v>
          </cell>
          <cell r="AB4837" t="str">
            <v>-</v>
          </cell>
          <cell r="AF4837">
            <v>15</v>
          </cell>
          <cell r="AG4837" t="str">
            <v>DRN132L4</v>
          </cell>
          <cell r="AH4837" t="str">
            <v>KH107-DRN132L4A180-X#</v>
          </cell>
        </row>
        <row r="4838">
          <cell r="A4838" t="str">
            <v>MR004827</v>
          </cell>
          <cell r="B4838" t="str">
            <v>MR</v>
          </cell>
          <cell r="C4838">
            <v>9.1999999999999993</v>
          </cell>
          <cell r="D4838">
            <v>15</v>
          </cell>
          <cell r="E4838" t="str">
            <v>KH107</v>
          </cell>
          <cell r="F4838">
            <v>6020</v>
          </cell>
          <cell r="G4838">
            <v>100.75</v>
          </cell>
          <cell r="H4838">
            <v>1.35</v>
          </cell>
          <cell r="I4838" t="str">
            <v>From M1B to M2B - 40°</v>
          </cell>
          <cell r="J4838" t="str">
            <v>IE3</v>
          </cell>
          <cell r="K4838">
            <v>415</v>
          </cell>
          <cell r="L4838">
            <v>50</v>
          </cell>
          <cell r="M4838" t="str">
            <v>31/18</v>
          </cell>
          <cell r="N4838">
            <v>65</v>
          </cell>
          <cell r="O4838" t="str">
            <v>155(F)</v>
          </cell>
          <cell r="P4838" t="str">
            <v>0°</v>
          </cell>
          <cell r="Q4838" t="str">
            <v>TF</v>
          </cell>
          <cell r="R4838" t="str">
            <v>V(VE)</v>
          </cell>
          <cell r="S4838" t="str">
            <v>-</v>
          </cell>
          <cell r="T4838" t="str">
            <v>-</v>
          </cell>
          <cell r="U4838" t="str">
            <v>-</v>
          </cell>
          <cell r="V4838" t="str">
            <v>FC</v>
          </cell>
          <cell r="W4838" t="str">
            <v>-</v>
          </cell>
          <cell r="X4838" t="str">
            <v>CLP 220 (-15/+40°C)</v>
          </cell>
          <cell r="Y4838" t="str">
            <v>KH107DRN132L4 /TF/V</v>
          </cell>
          <cell r="Z4838" t="str">
            <v>SEW</v>
          </cell>
          <cell r="AB4838" t="str">
            <v>-</v>
          </cell>
          <cell r="AF4838">
            <v>15</v>
          </cell>
          <cell r="AG4838" t="str">
            <v>DRN132L4</v>
          </cell>
          <cell r="AH4838" t="str">
            <v>KH107-DRN132L4B0-X#</v>
          </cell>
        </row>
        <row r="4839">
          <cell r="A4839" t="str">
            <v>MR004828</v>
          </cell>
          <cell r="B4839" t="str">
            <v>MR</v>
          </cell>
          <cell r="C4839">
            <v>7.5</v>
          </cell>
          <cell r="D4839">
            <v>86</v>
          </cell>
          <cell r="E4839" t="str">
            <v>R87</v>
          </cell>
          <cell r="F4839">
            <v>830</v>
          </cell>
          <cell r="G4839">
            <v>17.079999999999998</v>
          </cell>
          <cell r="H4839">
            <v>1.65</v>
          </cell>
          <cell r="I4839" t="str">
            <v>From M1 to M2 - 10°</v>
          </cell>
          <cell r="J4839" t="str">
            <v>IE3</v>
          </cell>
          <cell r="K4839">
            <v>415</v>
          </cell>
          <cell r="L4839">
            <v>50</v>
          </cell>
          <cell r="M4839">
            <v>14.7</v>
          </cell>
          <cell r="N4839">
            <v>65</v>
          </cell>
          <cell r="O4839" t="str">
            <v>155(F)</v>
          </cell>
          <cell r="P4839" t="str">
            <v>270°</v>
          </cell>
          <cell r="Q4839" t="str">
            <v>TF</v>
          </cell>
          <cell r="R4839" t="str">
            <v>-</v>
          </cell>
          <cell r="S4839" t="str">
            <v>-</v>
          </cell>
          <cell r="T4839" t="str">
            <v>-</v>
          </cell>
          <cell r="U4839" t="str">
            <v>-</v>
          </cell>
          <cell r="V4839" t="str">
            <v>D</v>
          </cell>
          <cell r="W4839" t="str">
            <v>-</v>
          </cell>
          <cell r="X4839" t="str">
            <v>CLP 220 (-15/+40°C)</v>
          </cell>
          <cell r="Y4839" t="str">
            <v>R87DRN132M4 /TF</v>
          </cell>
          <cell r="Z4839" t="str">
            <v>SEW</v>
          </cell>
          <cell r="AB4839" t="str">
            <v>-</v>
          </cell>
          <cell r="AF4839">
            <v>86</v>
          </cell>
          <cell r="AG4839" t="str">
            <v>DRN132M4</v>
          </cell>
          <cell r="AH4839" t="str">
            <v>R87-DRN132M4270-X</v>
          </cell>
        </row>
        <row r="4840">
          <cell r="A4840" t="str">
            <v>MR004829</v>
          </cell>
          <cell r="B4840" t="str">
            <v>MR</v>
          </cell>
          <cell r="C4840">
            <v>22</v>
          </cell>
          <cell r="D4840">
            <v>108</v>
          </cell>
          <cell r="E4840" t="str">
            <v>R107</v>
          </cell>
          <cell r="F4840">
            <v>1940</v>
          </cell>
          <cell r="G4840">
            <v>13.66</v>
          </cell>
          <cell r="H4840">
            <v>2.2000000000000002</v>
          </cell>
          <cell r="I4840" t="str">
            <v>M4</v>
          </cell>
          <cell r="J4840" t="str">
            <v>IE3</v>
          </cell>
          <cell r="K4840">
            <v>415</v>
          </cell>
          <cell r="L4840">
            <v>50</v>
          </cell>
          <cell r="M4840">
            <v>37</v>
          </cell>
          <cell r="N4840">
            <v>65</v>
          </cell>
          <cell r="O4840" t="str">
            <v>155(F)</v>
          </cell>
          <cell r="P4840" t="str">
            <v>270°</v>
          </cell>
          <cell r="Q4840" t="str">
            <v>TF</v>
          </cell>
          <cell r="R4840" t="str">
            <v>-</v>
          </cell>
          <cell r="S4840" t="str">
            <v>-</v>
          </cell>
          <cell r="T4840" t="str">
            <v>-</v>
          </cell>
          <cell r="U4840" t="str">
            <v>-</v>
          </cell>
          <cell r="V4840" t="str">
            <v>D</v>
          </cell>
          <cell r="W4840" t="str">
            <v>-</v>
          </cell>
          <cell r="X4840" t="str">
            <v>CLP 220 (-15/+40°C)</v>
          </cell>
          <cell r="Y4840" t="str">
            <v>R107DRN180L4 /TF</v>
          </cell>
          <cell r="Z4840" t="str">
            <v>SEW</v>
          </cell>
          <cell r="AB4840" t="str">
            <v>-</v>
          </cell>
          <cell r="AF4840">
            <v>108</v>
          </cell>
          <cell r="AG4840" t="str">
            <v>DRN180L4</v>
          </cell>
          <cell r="AH4840" t="str">
            <v>R107-DRN180L4270-X</v>
          </cell>
        </row>
        <row r="4841">
          <cell r="A4841" t="str">
            <v>MR004830</v>
          </cell>
          <cell r="B4841" t="str">
            <v>MR</v>
          </cell>
          <cell r="C4841">
            <v>1.5</v>
          </cell>
          <cell r="D4841">
            <v>3.8</v>
          </cell>
          <cell r="E4841" t="str">
            <v>KA97R57</v>
          </cell>
          <cell r="F4841">
            <v>3450</v>
          </cell>
          <cell r="G4841">
            <v>382</v>
          </cell>
          <cell r="H4841">
            <v>1.25</v>
          </cell>
          <cell r="I4841" t="str">
            <v>M3B</v>
          </cell>
          <cell r="J4841" t="str">
            <v>IE3</v>
          </cell>
          <cell r="K4841" t="str">
            <v>230/400</v>
          </cell>
          <cell r="L4841">
            <v>50</v>
          </cell>
          <cell r="M4841" t="str">
            <v>5,9/3,4</v>
          </cell>
          <cell r="N4841">
            <v>55</v>
          </cell>
          <cell r="O4841" t="str">
            <v>155(F)</v>
          </cell>
          <cell r="P4841" t="str">
            <v>0°</v>
          </cell>
          <cell r="Q4841" t="str">
            <v>TF</v>
          </cell>
          <cell r="R4841" t="str">
            <v>-</v>
          </cell>
          <cell r="S4841" t="str">
            <v>-</v>
          </cell>
          <cell r="T4841" t="str">
            <v>BEHF</v>
          </cell>
          <cell r="U4841" t="str">
            <v>T</v>
          </cell>
          <cell r="V4841" t="str">
            <v>D+R</v>
          </cell>
          <cell r="W4841" t="str">
            <v>-</v>
          </cell>
          <cell r="X4841" t="str">
            <v>CLP 220 (-15/+40°C)</v>
          </cell>
          <cell r="Y4841" t="str">
            <v>KA97R57/T DRN90L4 /BEHF /TF</v>
          </cell>
          <cell r="Z4841" t="str">
            <v>SEW</v>
          </cell>
          <cell r="AB4841" t="str">
            <v>-</v>
          </cell>
          <cell r="AF4841">
            <v>3.8</v>
          </cell>
          <cell r="AG4841" t="str">
            <v>DRN90L4</v>
          </cell>
          <cell r="AH4841" t="str">
            <v>KA97R57T-DRN90L4B0-X</v>
          </cell>
        </row>
        <row r="4842">
          <cell r="A4842" t="str">
            <v>MR004831</v>
          </cell>
          <cell r="B4842" t="str">
            <v>MR</v>
          </cell>
          <cell r="C4842">
            <v>30</v>
          </cell>
          <cell r="D4842">
            <v>28</v>
          </cell>
          <cell r="E4842" t="str">
            <v>R147</v>
          </cell>
          <cell r="F4842">
            <v>10200</v>
          </cell>
          <cell r="G4842">
            <v>52.87</v>
          </cell>
          <cell r="H4842">
            <v>1.25</v>
          </cell>
          <cell r="I4842" t="str">
            <v>M1</v>
          </cell>
          <cell r="J4842" t="str">
            <v>IE3</v>
          </cell>
          <cell r="K4842" t="str">
            <v>230/400</v>
          </cell>
          <cell r="L4842">
            <v>50</v>
          </cell>
          <cell r="M4842" t="str">
            <v>97/56</v>
          </cell>
          <cell r="N4842">
            <v>55</v>
          </cell>
          <cell r="O4842" t="str">
            <v>155(F)</v>
          </cell>
          <cell r="P4842" t="str">
            <v>270°</v>
          </cell>
          <cell r="Q4842" t="str">
            <v>TF</v>
          </cell>
          <cell r="R4842" t="str">
            <v>V(VE)</v>
          </cell>
          <cell r="S4842" t="str">
            <v>-</v>
          </cell>
          <cell r="T4842" t="str">
            <v>-</v>
          </cell>
          <cell r="U4842" t="str">
            <v>-</v>
          </cell>
          <cell r="V4842" t="str">
            <v>FC</v>
          </cell>
          <cell r="W4842" t="str">
            <v>-</v>
          </cell>
          <cell r="X4842" t="str">
            <v>CLP 220 (-15/+40°C)</v>
          </cell>
          <cell r="Y4842" t="str">
            <v>R147DRN200L4 /TF/V</v>
          </cell>
          <cell r="Z4842" t="str">
            <v>SEW</v>
          </cell>
          <cell r="AB4842" t="str">
            <v>-</v>
          </cell>
          <cell r="AF4842">
            <v>28</v>
          </cell>
          <cell r="AG4842" t="str">
            <v>DRN200L4</v>
          </cell>
          <cell r="AH4842" t="str">
            <v>R147-DRN200L4270-X#</v>
          </cell>
        </row>
        <row r="4843">
          <cell r="A4843" t="str">
            <v>MR004832</v>
          </cell>
          <cell r="B4843" t="str">
            <v>MR</v>
          </cell>
          <cell r="C4843">
            <v>30</v>
          </cell>
          <cell r="D4843">
            <v>32</v>
          </cell>
          <cell r="E4843" t="str">
            <v>R147</v>
          </cell>
          <cell r="F4843">
            <v>9090</v>
          </cell>
          <cell r="G4843">
            <v>46.65</v>
          </cell>
          <cell r="H4843">
            <v>1.3</v>
          </cell>
          <cell r="I4843" t="str">
            <v>M1</v>
          </cell>
          <cell r="J4843" t="str">
            <v>IE3</v>
          </cell>
          <cell r="K4843">
            <v>400</v>
          </cell>
          <cell r="L4843">
            <v>50</v>
          </cell>
          <cell r="N4843">
            <v>55</v>
          </cell>
          <cell r="O4843" t="str">
            <v>155(F)</v>
          </cell>
          <cell r="P4843" t="str">
            <v>270°</v>
          </cell>
          <cell r="Q4843" t="str">
            <v>-</v>
          </cell>
          <cell r="R4843" t="str">
            <v>-</v>
          </cell>
          <cell r="S4843" t="str">
            <v>-</v>
          </cell>
          <cell r="T4843" t="str">
            <v>-</v>
          </cell>
          <cell r="U4843" t="str">
            <v>T</v>
          </cell>
          <cell r="V4843" t="str">
            <v>SS</v>
          </cell>
          <cell r="X4843" t="str">
            <v>CLP 220 (-15/+40°C)</v>
          </cell>
          <cell r="Y4843" t="str">
            <v>R147/T DRN200L4</v>
          </cell>
          <cell r="Z4843" t="str">
            <v>SEW</v>
          </cell>
          <cell r="AB4843" t="str">
            <v>-</v>
          </cell>
          <cell r="AF4843">
            <v>32</v>
          </cell>
          <cell r="AG4843" t="str">
            <v>DRN200L4</v>
          </cell>
          <cell r="AH4843" t="str">
            <v>R147T-DRN200L4270-X</v>
          </cell>
        </row>
        <row r="4844">
          <cell r="A4844" t="str">
            <v>MR004833</v>
          </cell>
          <cell r="B4844" t="str">
            <v>MR</v>
          </cell>
          <cell r="C4844">
            <v>30</v>
          </cell>
          <cell r="D4844">
            <v>28</v>
          </cell>
          <cell r="E4844" t="str">
            <v>R147</v>
          </cell>
          <cell r="F4844">
            <v>10300</v>
          </cell>
          <cell r="G4844">
            <v>52.87</v>
          </cell>
          <cell r="H4844">
            <v>1.2</v>
          </cell>
          <cell r="I4844" t="str">
            <v>M1</v>
          </cell>
          <cell r="J4844" t="str">
            <v>IE3</v>
          </cell>
          <cell r="K4844">
            <v>400</v>
          </cell>
          <cell r="L4844">
            <v>50</v>
          </cell>
          <cell r="N4844">
            <v>55</v>
          </cell>
          <cell r="O4844" t="str">
            <v>155(F)</v>
          </cell>
          <cell r="P4844" t="str">
            <v>270°</v>
          </cell>
          <cell r="Q4844" t="str">
            <v>-</v>
          </cell>
          <cell r="V4844" t="str">
            <v>SS</v>
          </cell>
          <cell r="X4844" t="str">
            <v>CLP 220 (-15/+40°C)</v>
          </cell>
          <cell r="Y4844" t="str">
            <v>R147/ DRN200L4 / /RS/V</v>
          </cell>
          <cell r="Z4844" t="str">
            <v>SEW</v>
          </cell>
          <cell r="AB4844" t="str">
            <v>-</v>
          </cell>
          <cell r="AF4844">
            <v>28</v>
          </cell>
          <cell r="AG4844" t="str">
            <v>DRN200L4</v>
          </cell>
          <cell r="AH4844" t="str">
            <v>R147-DRN200L4270-X#</v>
          </cell>
        </row>
        <row r="4845">
          <cell r="A4845" t="str">
            <v>MR004834</v>
          </cell>
          <cell r="B4845" t="str">
            <v>MR</v>
          </cell>
          <cell r="C4845">
            <v>7.5</v>
          </cell>
          <cell r="D4845">
            <v>59</v>
          </cell>
          <cell r="E4845" t="str">
            <v>KH87</v>
          </cell>
          <cell r="F4845">
            <v>1210</v>
          </cell>
          <cell r="G4845">
            <v>24.92</v>
          </cell>
          <cell r="H4845">
            <v>2.1</v>
          </cell>
          <cell r="I4845" t="str">
            <v>From M1B to M4B - 75°</v>
          </cell>
          <cell r="J4845" t="str">
            <v>IE3</v>
          </cell>
          <cell r="K4845" t="str">
            <v>230/400</v>
          </cell>
          <cell r="L4845">
            <v>50</v>
          </cell>
          <cell r="M4845" t="str">
            <v>26,5/15,2</v>
          </cell>
          <cell r="N4845">
            <v>55</v>
          </cell>
          <cell r="O4845" t="str">
            <v>155(F)</v>
          </cell>
          <cell r="P4845" t="str">
            <v>270°</v>
          </cell>
          <cell r="Q4845" t="str">
            <v>TF</v>
          </cell>
          <cell r="R4845" t="str">
            <v>-</v>
          </cell>
          <cell r="S4845" t="str">
            <v>Free rotation CCW</v>
          </cell>
          <cell r="T4845" t="str">
            <v>-</v>
          </cell>
          <cell r="U4845" t="str">
            <v>T</v>
          </cell>
          <cell r="V4845" t="str">
            <v>SS</v>
          </cell>
          <cell r="W4845" t="str">
            <v>-</v>
          </cell>
          <cell r="X4845" t="str">
            <v>CLP 220 (-15/+40°C)</v>
          </cell>
          <cell r="Y4845" t="str">
            <v>KH87/T DRN132M4 /RS /TF</v>
          </cell>
          <cell r="Z4845" t="str">
            <v>SEW</v>
          </cell>
          <cell r="AB4845" t="str">
            <v>-</v>
          </cell>
          <cell r="AF4845">
            <v>59</v>
          </cell>
          <cell r="AG4845" t="str">
            <v>DRN132M4</v>
          </cell>
          <cell r="AH4845" t="str">
            <v>KH87T-DRN132M4B270-X</v>
          </cell>
        </row>
        <row r="4846">
          <cell r="A4846" t="str">
            <v>MR004835</v>
          </cell>
          <cell r="B4846" t="str">
            <v>MR</v>
          </cell>
          <cell r="C4846">
            <v>0.75</v>
          </cell>
          <cell r="D4846">
            <v>162</v>
          </cell>
          <cell r="E4846" t="str">
            <v>KA37</v>
          </cell>
          <cell r="F4846">
            <v>44</v>
          </cell>
          <cell r="G4846">
            <v>8.91</v>
          </cell>
          <cell r="H4846">
            <v>3.1</v>
          </cell>
          <cell r="I4846" t="str">
            <v>From M3A to M2A - 30°</v>
          </cell>
          <cell r="J4846" t="str">
            <v>IE3</v>
          </cell>
          <cell r="K4846" t="str">
            <v>230/400</v>
          </cell>
          <cell r="L4846">
            <v>50</v>
          </cell>
          <cell r="M4846" t="str">
            <v>3,1/1,79</v>
          </cell>
          <cell r="N4846">
            <v>55</v>
          </cell>
          <cell r="O4846" t="str">
            <v>155(F)</v>
          </cell>
          <cell r="P4846" t="str">
            <v>180°</v>
          </cell>
          <cell r="Q4846" t="str">
            <v>TF</v>
          </cell>
          <cell r="R4846" t="str">
            <v>-</v>
          </cell>
          <cell r="S4846" t="str">
            <v>-</v>
          </cell>
          <cell r="T4846" t="str">
            <v>-</v>
          </cell>
          <cell r="U4846" t="str">
            <v>T</v>
          </cell>
          <cell r="V4846" t="str">
            <v>D</v>
          </cell>
          <cell r="W4846" t="str">
            <v>-</v>
          </cell>
          <cell r="X4846" t="str">
            <v>CLP 220 (-15/+40°C)</v>
          </cell>
          <cell r="Y4846" t="str">
            <v>KA37/T DRN80M4 /TF</v>
          </cell>
          <cell r="Z4846" t="str">
            <v>SEW</v>
          </cell>
          <cell r="AB4846" t="str">
            <v>-</v>
          </cell>
          <cell r="AF4846">
            <v>162</v>
          </cell>
          <cell r="AG4846" t="str">
            <v>DRN80M4</v>
          </cell>
          <cell r="AH4846" t="str">
            <v>KA37T-DRN80M4A180-X</v>
          </cell>
        </row>
        <row r="4847">
          <cell r="A4847" t="str">
            <v>MR004836</v>
          </cell>
          <cell r="B4847" t="str">
            <v>MR</v>
          </cell>
          <cell r="C4847">
            <v>18.5</v>
          </cell>
          <cell r="D4847">
            <v>12</v>
          </cell>
          <cell r="E4847" t="str">
            <v>KH157</v>
          </cell>
          <cell r="F4847">
            <v>14600</v>
          </cell>
          <cell r="G4847" t="str">
            <v>122,39</v>
          </cell>
          <cell r="H4847" t="str">
            <v>1,35</v>
          </cell>
          <cell r="I4847" t="str">
            <v>From M1A to M4A - 75°</v>
          </cell>
          <cell r="J4847" t="str">
            <v>IE3</v>
          </cell>
          <cell r="K4847" t="str">
            <v>230/400</v>
          </cell>
          <cell r="L4847">
            <v>50</v>
          </cell>
          <cell r="M4847" t="str">
            <v>61/35</v>
          </cell>
          <cell r="N4847">
            <v>55</v>
          </cell>
          <cell r="O4847" t="str">
            <v>155(F)</v>
          </cell>
          <cell r="P4847" t="str">
            <v>270°</v>
          </cell>
          <cell r="Q4847" t="str">
            <v>TF</v>
          </cell>
          <cell r="R4847" t="str">
            <v>-</v>
          </cell>
          <cell r="S4847" t="str">
            <v>-</v>
          </cell>
          <cell r="T4847" t="str">
            <v>-</v>
          </cell>
          <cell r="U4847" t="str">
            <v>-</v>
          </cell>
          <cell r="V4847" t="str">
            <v>SS</v>
          </cell>
          <cell r="W4847" t="str">
            <v>-</v>
          </cell>
          <cell r="X4847" t="str">
            <v>CLP 220 (-15/+40°C)</v>
          </cell>
          <cell r="Y4847" t="str">
            <v>KH157DRN180M4 /TF</v>
          </cell>
          <cell r="Z4847" t="str">
            <v>SEW</v>
          </cell>
          <cell r="AB4847" t="str">
            <v>-</v>
          </cell>
          <cell r="AF4847">
            <v>12</v>
          </cell>
          <cell r="AG4847" t="str">
            <v>DRN180M4</v>
          </cell>
          <cell r="AH4847" t="str">
            <v>KH157-DRN180M4A270-X</v>
          </cell>
        </row>
        <row r="4848">
          <cell r="A4848" t="str">
            <v>MR004837</v>
          </cell>
          <cell r="B4848" t="str">
            <v>MR</v>
          </cell>
          <cell r="C4848">
            <v>18.5</v>
          </cell>
          <cell r="D4848">
            <v>12</v>
          </cell>
          <cell r="E4848" t="str">
            <v>KH157</v>
          </cell>
          <cell r="F4848">
            <v>14600</v>
          </cell>
          <cell r="G4848" t="str">
            <v>122,39</v>
          </cell>
          <cell r="H4848" t="str">
            <v>1,35</v>
          </cell>
          <cell r="I4848" t="str">
            <v>From M1B to M4B - 75°</v>
          </cell>
          <cell r="J4848" t="str">
            <v>IE3</v>
          </cell>
          <cell r="K4848" t="str">
            <v>230/400</v>
          </cell>
          <cell r="L4848">
            <v>50</v>
          </cell>
          <cell r="M4848" t="str">
            <v>61/35</v>
          </cell>
          <cell r="N4848">
            <v>55</v>
          </cell>
          <cell r="O4848" t="str">
            <v>155(F)</v>
          </cell>
          <cell r="P4848" t="str">
            <v>270°</v>
          </cell>
          <cell r="Q4848" t="str">
            <v>TF</v>
          </cell>
          <cell r="R4848" t="str">
            <v>-</v>
          </cell>
          <cell r="S4848" t="str">
            <v>-</v>
          </cell>
          <cell r="T4848" t="str">
            <v>-</v>
          </cell>
          <cell r="U4848" t="str">
            <v>-</v>
          </cell>
          <cell r="V4848" t="str">
            <v>SS</v>
          </cell>
          <cell r="W4848" t="str">
            <v>-</v>
          </cell>
          <cell r="X4848" t="str">
            <v>CLP 220 (-15/+40°C)</v>
          </cell>
          <cell r="Y4848" t="str">
            <v>KH157DRN180M4 /TF</v>
          </cell>
          <cell r="Z4848" t="str">
            <v>SEW</v>
          </cell>
          <cell r="AB4848" t="str">
            <v>-</v>
          </cell>
          <cell r="AF4848">
            <v>12</v>
          </cell>
          <cell r="AG4848" t="str">
            <v>DRN180M4</v>
          </cell>
          <cell r="AH4848" t="str">
            <v>KH157-DRN180M4B270-X</v>
          </cell>
        </row>
        <row r="4849">
          <cell r="A4849" t="str">
            <v>MR004838</v>
          </cell>
          <cell r="B4849" t="str">
            <v>MR</v>
          </cell>
          <cell r="C4849">
            <v>1.5</v>
          </cell>
          <cell r="D4849">
            <v>22</v>
          </cell>
          <cell r="E4849" t="str">
            <v>FA67</v>
          </cell>
          <cell r="F4849">
            <v>660</v>
          </cell>
          <cell r="G4849">
            <v>67.650000000000006</v>
          </cell>
          <cell r="H4849">
            <v>1.25</v>
          </cell>
          <cell r="I4849" t="str">
            <v>From M1 to M6 - 55°</v>
          </cell>
          <cell r="J4849" t="str">
            <v>IE3</v>
          </cell>
          <cell r="K4849" t="str">
            <v>230/400</v>
          </cell>
          <cell r="L4849">
            <v>50</v>
          </cell>
          <cell r="M4849" t="str">
            <v>6,1/3,5</v>
          </cell>
          <cell r="N4849">
            <v>55</v>
          </cell>
          <cell r="O4849" t="str">
            <v>155(F)</v>
          </cell>
          <cell r="P4849" t="str">
            <v>270°</v>
          </cell>
          <cell r="Q4849" t="str">
            <v>TF</v>
          </cell>
          <cell r="R4849" t="str">
            <v>-</v>
          </cell>
          <cell r="S4849" t="str">
            <v>-</v>
          </cell>
          <cell r="T4849" t="str">
            <v>BEHF</v>
          </cell>
          <cell r="U4849" t="str">
            <v>G</v>
          </cell>
          <cell r="V4849" t="str">
            <v>D+R</v>
          </cell>
          <cell r="W4849" t="str">
            <v>-</v>
          </cell>
          <cell r="X4849" t="str">
            <v>CLP 220 (-15/+40°C)</v>
          </cell>
          <cell r="Y4849" t="str">
            <v>FA67/G DRN90L4 /BEHF /TF</v>
          </cell>
          <cell r="Z4849" t="str">
            <v>SEW</v>
          </cell>
          <cell r="AB4849" t="str">
            <v>-</v>
          </cell>
          <cell r="AF4849">
            <v>22</v>
          </cell>
          <cell r="AG4849" t="str">
            <v>DRN90L4</v>
          </cell>
          <cell r="AH4849" t="str">
            <v>FA67G-DRN90L4270-X</v>
          </cell>
        </row>
        <row r="4850">
          <cell r="A4850" t="str">
            <v>MR004839</v>
          </cell>
          <cell r="B4850" t="str">
            <v>MR</v>
          </cell>
          <cell r="C4850">
            <v>11</v>
          </cell>
          <cell r="D4850">
            <v>12</v>
          </cell>
          <cell r="E4850" t="str">
            <v>KH127</v>
          </cell>
          <cell r="F4850">
            <v>8730</v>
          </cell>
          <cell r="G4850">
            <v>122.39</v>
          </cell>
          <cell r="H4850">
            <v>2.2999999999999998</v>
          </cell>
          <cell r="I4850" t="str">
            <v>M4A</v>
          </cell>
          <cell r="J4850" t="str">
            <v>IE3</v>
          </cell>
          <cell r="K4850" t="str">
            <v>230/400</v>
          </cell>
          <cell r="L4850">
            <v>50</v>
          </cell>
          <cell r="M4850" t="str">
            <v>36,5/21</v>
          </cell>
          <cell r="N4850">
            <v>55</v>
          </cell>
          <cell r="O4850" t="str">
            <v>155(F)</v>
          </cell>
          <cell r="P4850" t="str">
            <v>270°</v>
          </cell>
          <cell r="Q4850" t="str">
            <v>TF</v>
          </cell>
          <cell r="R4850" t="str">
            <v>-</v>
          </cell>
          <cell r="S4850" t="str">
            <v>-</v>
          </cell>
          <cell r="T4850" t="str">
            <v>-</v>
          </cell>
          <cell r="U4850" t="str">
            <v>-</v>
          </cell>
          <cell r="V4850" t="str">
            <v>SS</v>
          </cell>
          <cell r="W4850" t="str">
            <v>-</v>
          </cell>
          <cell r="X4850" t="str">
            <v>CLP 220 (-15/+40°C)</v>
          </cell>
          <cell r="Y4850" t="str">
            <v>KH127DRN160M4 /TF</v>
          </cell>
          <cell r="Z4850" t="str">
            <v>SEW</v>
          </cell>
          <cell r="AB4850" t="str">
            <v>-</v>
          </cell>
          <cell r="AF4850">
            <v>12</v>
          </cell>
          <cell r="AG4850" t="str">
            <v>DRN160M4</v>
          </cell>
          <cell r="AH4850" t="str">
            <v>KH127-DRN160M4A270-X</v>
          </cell>
        </row>
        <row r="4851">
          <cell r="A4851" t="str">
            <v>MR004840</v>
          </cell>
          <cell r="B4851" t="str">
            <v>MR</v>
          </cell>
          <cell r="C4851">
            <v>11</v>
          </cell>
          <cell r="D4851">
            <v>12</v>
          </cell>
          <cell r="E4851" t="str">
            <v>KH127</v>
          </cell>
          <cell r="F4851">
            <v>8730</v>
          </cell>
          <cell r="G4851">
            <v>122.39</v>
          </cell>
          <cell r="H4851">
            <v>2.2999999999999998</v>
          </cell>
          <cell r="I4851" t="str">
            <v>M4B</v>
          </cell>
          <cell r="J4851" t="str">
            <v>IE3</v>
          </cell>
          <cell r="K4851" t="str">
            <v>230/400</v>
          </cell>
          <cell r="L4851">
            <v>50</v>
          </cell>
          <cell r="M4851" t="str">
            <v>36,5/21</v>
          </cell>
          <cell r="N4851">
            <v>55</v>
          </cell>
          <cell r="O4851" t="str">
            <v>155(F)</v>
          </cell>
          <cell r="P4851" t="str">
            <v>270°</v>
          </cell>
          <cell r="Q4851" t="str">
            <v>TF</v>
          </cell>
          <cell r="R4851" t="str">
            <v>-</v>
          </cell>
          <cell r="S4851" t="str">
            <v>-</v>
          </cell>
          <cell r="T4851" t="str">
            <v>-</v>
          </cell>
          <cell r="U4851" t="str">
            <v>-</v>
          </cell>
          <cell r="V4851" t="str">
            <v>SS</v>
          </cell>
          <cell r="W4851" t="str">
            <v>-</v>
          </cell>
          <cell r="X4851" t="str">
            <v>CLP 220 (-15/+40°C)</v>
          </cell>
          <cell r="Y4851" t="str">
            <v>KH127DRN160M4 /TF</v>
          </cell>
          <cell r="Z4851" t="str">
            <v>SEW</v>
          </cell>
          <cell r="AB4851" t="str">
            <v>-</v>
          </cell>
          <cell r="AF4851">
            <v>12</v>
          </cell>
          <cell r="AG4851" t="str">
            <v>DRN160M4</v>
          </cell>
          <cell r="AH4851" t="str">
            <v>KH127-DRN160M4B270-X</v>
          </cell>
        </row>
        <row r="4852">
          <cell r="A4852" t="str">
            <v>MR004841</v>
          </cell>
          <cell r="B4852" t="str">
            <v>MR</v>
          </cell>
          <cell r="C4852">
            <v>1.5</v>
          </cell>
          <cell r="D4852">
            <v>22</v>
          </cell>
          <cell r="E4852" t="str">
            <v>FA67</v>
          </cell>
          <cell r="F4852">
            <v>660</v>
          </cell>
          <cell r="G4852">
            <v>67.650000000000006</v>
          </cell>
          <cell r="H4852">
            <v>1.25</v>
          </cell>
          <cell r="I4852" t="str">
            <v>M6</v>
          </cell>
          <cell r="J4852" t="str">
            <v>IE3</v>
          </cell>
          <cell r="K4852" t="str">
            <v>230/400</v>
          </cell>
          <cell r="L4852">
            <v>50</v>
          </cell>
          <cell r="M4852" t="str">
            <v>5,9/3,4</v>
          </cell>
          <cell r="N4852">
            <v>55</v>
          </cell>
          <cell r="O4852" t="str">
            <v>155(F)</v>
          </cell>
          <cell r="P4852" t="str">
            <v>270°</v>
          </cell>
          <cell r="Q4852" t="str">
            <v>TF</v>
          </cell>
          <cell r="R4852" t="str">
            <v>-</v>
          </cell>
          <cell r="S4852" t="str">
            <v>-</v>
          </cell>
          <cell r="T4852" t="str">
            <v>BEHF</v>
          </cell>
          <cell r="U4852" t="str">
            <v>G</v>
          </cell>
          <cell r="V4852" t="str">
            <v>D+R</v>
          </cell>
          <cell r="W4852" t="str">
            <v>-</v>
          </cell>
          <cell r="X4852" t="str">
            <v>CLP 220 (-15/+40°C)</v>
          </cell>
          <cell r="Y4852" t="str">
            <v>FA67/G DRN90L4 /BEHF /TF</v>
          </cell>
          <cell r="Z4852" t="str">
            <v>SEW</v>
          </cell>
          <cell r="AB4852" t="str">
            <v>-</v>
          </cell>
          <cell r="AF4852">
            <v>22</v>
          </cell>
          <cell r="AG4852" t="str">
            <v>DRN90L4</v>
          </cell>
          <cell r="AH4852" t="str">
            <v>FA67G-DRN90L4270-X</v>
          </cell>
        </row>
        <row r="4853">
          <cell r="A4853" t="str">
            <v>MR004842</v>
          </cell>
          <cell r="B4853" t="str">
            <v>MR</v>
          </cell>
          <cell r="C4853">
            <v>11</v>
          </cell>
          <cell r="D4853">
            <v>59</v>
          </cell>
          <cell r="E4853" t="str">
            <v>R97</v>
          </cell>
          <cell r="F4853">
            <v>1790</v>
          </cell>
          <cell r="G4853">
            <v>25.03</v>
          </cell>
          <cell r="H4853">
            <v>1.6</v>
          </cell>
          <cell r="I4853" t="str">
            <v>M1</v>
          </cell>
          <cell r="J4853" t="str">
            <v>IE3</v>
          </cell>
          <cell r="K4853" t="str">
            <v>230/400</v>
          </cell>
          <cell r="L4853">
            <v>50</v>
          </cell>
          <cell r="M4853" t="str">
            <v>36,5/21</v>
          </cell>
          <cell r="N4853">
            <v>55</v>
          </cell>
          <cell r="O4853" t="str">
            <v>155(F)</v>
          </cell>
          <cell r="P4853" t="str">
            <v>270°</v>
          </cell>
          <cell r="Q4853" t="str">
            <v>TF</v>
          </cell>
          <cell r="R4853" t="str">
            <v>-</v>
          </cell>
          <cell r="S4853" t="str">
            <v>-</v>
          </cell>
          <cell r="T4853" t="str">
            <v>-</v>
          </cell>
          <cell r="U4853" t="str">
            <v>-</v>
          </cell>
          <cell r="V4853" t="str">
            <v>D</v>
          </cell>
          <cell r="W4853" t="str">
            <v>-</v>
          </cell>
          <cell r="X4853" t="str">
            <v>CLP 220 (-15/+40°C)</v>
          </cell>
          <cell r="Y4853" t="str">
            <v>R97DRN160M4 /TF</v>
          </cell>
          <cell r="Z4853" t="str">
            <v>SEW</v>
          </cell>
          <cell r="AB4853" t="str">
            <v>-</v>
          </cell>
          <cell r="AF4853">
            <v>59</v>
          </cell>
          <cell r="AG4853" t="str">
            <v>DRN160M4</v>
          </cell>
          <cell r="AH4853" t="str">
            <v>R97-DRN160M4270-X</v>
          </cell>
        </row>
        <row r="4854">
          <cell r="A4854" t="str">
            <v>MR004843</v>
          </cell>
          <cell r="B4854" t="str">
            <v>MR</v>
          </cell>
          <cell r="C4854">
            <v>7.5</v>
          </cell>
          <cell r="D4854">
            <v>10</v>
          </cell>
          <cell r="E4854" t="str">
            <v>R137</v>
          </cell>
          <cell r="F4854">
            <v>6880</v>
          </cell>
          <cell r="G4854">
            <v>141.12</v>
          </cell>
          <cell r="H4854">
            <v>1.1499999999999999</v>
          </cell>
          <cell r="I4854" t="str">
            <v>M1</v>
          </cell>
          <cell r="J4854" t="str">
            <v>IE3</v>
          </cell>
          <cell r="K4854" t="str">
            <v>230/400</v>
          </cell>
          <cell r="L4854">
            <v>50</v>
          </cell>
          <cell r="M4854" t="str">
            <v>26,5/15,2</v>
          </cell>
          <cell r="N4854">
            <v>55</v>
          </cell>
          <cell r="O4854" t="str">
            <v>155(F)</v>
          </cell>
          <cell r="P4854" t="str">
            <v>270°</v>
          </cell>
          <cell r="Q4854" t="str">
            <v>TF</v>
          </cell>
          <cell r="R4854" t="str">
            <v>V(VE)</v>
          </cell>
          <cell r="S4854" t="str">
            <v>-</v>
          </cell>
          <cell r="T4854" t="str">
            <v>-</v>
          </cell>
          <cell r="U4854" t="str">
            <v>-</v>
          </cell>
          <cell r="V4854" t="str">
            <v>FC</v>
          </cell>
          <cell r="W4854" t="str">
            <v>-</v>
          </cell>
          <cell r="X4854" t="str">
            <v>CLP 220 (-15/+40°C)</v>
          </cell>
          <cell r="Y4854" t="str">
            <v>R137DRN132M4 /TF/V</v>
          </cell>
          <cell r="Z4854" t="str">
            <v>SEW</v>
          </cell>
          <cell r="AB4854" t="str">
            <v>-</v>
          </cell>
          <cell r="AF4854">
            <v>10</v>
          </cell>
          <cell r="AG4854" t="str">
            <v>DRN132M4</v>
          </cell>
          <cell r="AH4854" t="str">
            <v>R137-DRN132M4270-X#</v>
          </cell>
        </row>
        <row r="4855">
          <cell r="A4855" t="str">
            <v>MR004844</v>
          </cell>
          <cell r="B4855" t="str">
            <v>MR</v>
          </cell>
          <cell r="C4855">
            <v>18.5</v>
          </cell>
          <cell r="D4855">
            <v>78</v>
          </cell>
          <cell r="E4855" t="str">
            <v>KH97</v>
          </cell>
          <cell r="F4855">
            <v>2270</v>
          </cell>
          <cell r="G4855">
            <v>18.96</v>
          </cell>
          <cell r="H4855">
            <v>1.7</v>
          </cell>
          <cell r="I4855" t="str">
            <v>From M3B to M4B - 15°</v>
          </cell>
          <cell r="J4855" t="str">
            <v>IE3</v>
          </cell>
          <cell r="K4855">
            <v>415</v>
          </cell>
          <cell r="L4855">
            <v>50</v>
          </cell>
          <cell r="M4855" t="str">
            <v>61/35</v>
          </cell>
          <cell r="N4855">
            <v>65</v>
          </cell>
          <cell r="O4855" t="str">
            <v>155(F)</v>
          </cell>
          <cell r="P4855" t="str">
            <v>90°</v>
          </cell>
          <cell r="Q4855" t="str">
            <v>TF</v>
          </cell>
          <cell r="R4855" t="str">
            <v>V(VE)</v>
          </cell>
          <cell r="S4855" t="str">
            <v>Free rotation CW</v>
          </cell>
          <cell r="T4855" t="str">
            <v>-</v>
          </cell>
          <cell r="U4855" t="str">
            <v>T</v>
          </cell>
          <cell r="V4855" t="str">
            <v>FC</v>
          </cell>
          <cell r="W4855" t="str">
            <v>-</v>
          </cell>
          <cell r="X4855" t="str">
            <v>CLP 220 (-15/+40°C)</v>
          </cell>
          <cell r="Y4855" t="str">
            <v>KH97/T EDRN180M4 /RS /TF/VE</v>
          </cell>
          <cell r="Z4855" t="str">
            <v>SEW</v>
          </cell>
          <cell r="AB4855" t="str">
            <v>ATEX22</v>
          </cell>
          <cell r="AF4855">
            <v>78</v>
          </cell>
          <cell r="AG4855" t="str">
            <v>EDRN180M4</v>
          </cell>
          <cell r="AH4855" t="str">
            <v>KH97T-EDRN180M4B90-X#</v>
          </cell>
        </row>
        <row r="4856">
          <cell r="A4856" t="str">
            <v>MR004845</v>
          </cell>
          <cell r="B4856" t="str">
            <v>MR</v>
          </cell>
          <cell r="C4856">
            <v>0.75</v>
          </cell>
          <cell r="D4856">
            <v>162</v>
          </cell>
          <cell r="E4856" t="str">
            <v>KA37</v>
          </cell>
          <cell r="F4856">
            <v>44</v>
          </cell>
          <cell r="G4856">
            <v>8.91</v>
          </cell>
          <cell r="H4856">
            <v>3.1</v>
          </cell>
          <cell r="I4856" t="str">
            <v>From M3B to M4B - 15°</v>
          </cell>
          <cell r="J4856" t="str">
            <v>IE3</v>
          </cell>
          <cell r="K4856">
            <v>415</v>
          </cell>
          <cell r="L4856">
            <v>50</v>
          </cell>
          <cell r="M4856" t="str">
            <v>3,1/1,79</v>
          </cell>
          <cell r="N4856">
            <v>65</v>
          </cell>
          <cell r="O4856" t="str">
            <v>155(F)</v>
          </cell>
          <cell r="P4856" t="str">
            <v>90°</v>
          </cell>
          <cell r="Q4856" t="str">
            <v>TF</v>
          </cell>
          <cell r="R4856" t="str">
            <v>-</v>
          </cell>
          <cell r="S4856" t="str">
            <v>-</v>
          </cell>
          <cell r="T4856" t="str">
            <v>-</v>
          </cell>
          <cell r="U4856" t="str">
            <v>T</v>
          </cell>
          <cell r="V4856" t="str">
            <v>D</v>
          </cell>
          <cell r="W4856" t="str">
            <v>-</v>
          </cell>
          <cell r="X4856" t="str">
            <v>CLP 220 (-15/+40°C)</v>
          </cell>
          <cell r="Y4856" t="str">
            <v>KA37/T EDRN80M4 /TF</v>
          </cell>
          <cell r="Z4856" t="str">
            <v>SEW</v>
          </cell>
          <cell r="AB4856" t="str">
            <v>ATEX22</v>
          </cell>
          <cell r="AF4856">
            <v>162</v>
          </cell>
          <cell r="AG4856" t="str">
            <v>EDRN80M4</v>
          </cell>
          <cell r="AH4856" t="str">
            <v>KA37T-EDRN80M4B90-X</v>
          </cell>
        </row>
        <row r="4857">
          <cell r="A4857" t="str">
            <v>MR004846</v>
          </cell>
          <cell r="B4857" t="str">
            <v>MR</v>
          </cell>
          <cell r="C4857">
            <v>0.25</v>
          </cell>
          <cell r="D4857">
            <v>32</v>
          </cell>
          <cell r="E4857" t="str">
            <v>FA37</v>
          </cell>
          <cell r="F4857">
            <v>75</v>
          </cell>
          <cell r="G4857">
            <v>43.83</v>
          </cell>
          <cell r="H4857">
            <v>2.7</v>
          </cell>
          <cell r="I4857" t="str">
            <v>M1</v>
          </cell>
          <cell r="J4857" t="str">
            <v>IE3</v>
          </cell>
          <cell r="K4857">
            <v>415</v>
          </cell>
          <cell r="L4857">
            <v>50</v>
          </cell>
          <cell r="M4857" t="str">
            <v>1,41/0,81</v>
          </cell>
          <cell r="N4857">
            <v>65</v>
          </cell>
          <cell r="O4857" t="str">
            <v>155(F)</v>
          </cell>
          <cell r="P4857" t="str">
            <v>270°</v>
          </cell>
          <cell r="Q4857" t="str">
            <v>TF</v>
          </cell>
          <cell r="R4857" t="str">
            <v>-</v>
          </cell>
          <cell r="S4857" t="str">
            <v>-</v>
          </cell>
          <cell r="T4857" t="str">
            <v>-</v>
          </cell>
          <cell r="U4857" t="str">
            <v>G</v>
          </cell>
          <cell r="V4857" t="str">
            <v>D</v>
          </cell>
          <cell r="W4857" t="str">
            <v>-</v>
          </cell>
          <cell r="X4857" t="str">
            <v>CLP 220 (-15/+40°C)</v>
          </cell>
          <cell r="Y4857" t="str">
            <v>FA37/G n/a /TF</v>
          </cell>
          <cell r="Z4857" t="str">
            <v>SEW</v>
          </cell>
          <cell r="AB4857" t="str">
            <v>ATEX22</v>
          </cell>
          <cell r="AF4857">
            <v>32</v>
          </cell>
          <cell r="AG4857" t="str">
            <v>n/a</v>
          </cell>
          <cell r="AH4857" t="str">
            <v>FA37G-n/a270-X</v>
          </cell>
        </row>
        <row r="4858">
          <cell r="A4858" t="str">
            <v>MR004847</v>
          </cell>
          <cell r="B4858" t="str">
            <v>MR</v>
          </cell>
          <cell r="C4858">
            <v>18.5</v>
          </cell>
          <cell r="D4858">
            <v>78</v>
          </cell>
          <cell r="E4858" t="str">
            <v>KH97</v>
          </cell>
          <cell r="F4858">
            <v>2270</v>
          </cell>
          <cell r="G4858">
            <v>18.96</v>
          </cell>
          <cell r="H4858">
            <v>1.7</v>
          </cell>
          <cell r="I4858" t="str">
            <v>From M3B to M4B - 25°</v>
          </cell>
          <cell r="J4858" t="str">
            <v>IE3</v>
          </cell>
          <cell r="K4858">
            <v>415</v>
          </cell>
          <cell r="L4858">
            <v>50</v>
          </cell>
          <cell r="M4858" t="str">
            <v>61/35</v>
          </cell>
          <cell r="N4858">
            <v>65</v>
          </cell>
          <cell r="O4858" t="str">
            <v>155(F)</v>
          </cell>
          <cell r="P4858" t="str">
            <v>90°</v>
          </cell>
          <cell r="Q4858" t="str">
            <v>TF</v>
          </cell>
          <cell r="R4858" t="str">
            <v>V(VE)</v>
          </cell>
          <cell r="S4858" t="str">
            <v>Free rotation CW</v>
          </cell>
          <cell r="T4858" t="str">
            <v>-</v>
          </cell>
          <cell r="U4858" t="str">
            <v>T</v>
          </cell>
          <cell r="V4858" t="str">
            <v>FC</v>
          </cell>
          <cell r="W4858" t="str">
            <v>-</v>
          </cell>
          <cell r="X4858" t="str">
            <v>CLP 220 (-15/+40°C)</v>
          </cell>
          <cell r="Y4858" t="str">
            <v>KH97/T EDRN180M4 /RS /TF/VE</v>
          </cell>
          <cell r="Z4858" t="str">
            <v>SEW</v>
          </cell>
          <cell r="AB4858" t="str">
            <v>ATEX22</v>
          </cell>
          <cell r="AF4858">
            <v>78</v>
          </cell>
          <cell r="AG4858" t="str">
            <v>EDRN180M4</v>
          </cell>
          <cell r="AH4858" t="str">
            <v>KH97T-EDRN180M4B90-X#</v>
          </cell>
        </row>
        <row r="4859">
          <cell r="A4859" t="str">
            <v>MR004848</v>
          </cell>
          <cell r="B4859" t="str">
            <v>MR</v>
          </cell>
          <cell r="C4859">
            <v>0.75</v>
          </cell>
          <cell r="D4859">
            <v>162</v>
          </cell>
          <cell r="E4859" t="str">
            <v>KA37</v>
          </cell>
          <cell r="F4859">
            <v>44</v>
          </cell>
          <cell r="G4859">
            <v>8.91</v>
          </cell>
          <cell r="H4859">
            <v>3.1</v>
          </cell>
          <cell r="I4859" t="str">
            <v>From M3B to M4B - 25°</v>
          </cell>
          <cell r="J4859" t="str">
            <v>IE3</v>
          </cell>
          <cell r="K4859">
            <v>415</v>
          </cell>
          <cell r="L4859">
            <v>50</v>
          </cell>
          <cell r="M4859" t="str">
            <v>3,1/1,79</v>
          </cell>
          <cell r="N4859">
            <v>65</v>
          </cell>
          <cell r="O4859" t="str">
            <v>155(F)</v>
          </cell>
          <cell r="P4859" t="str">
            <v>90°</v>
          </cell>
          <cell r="Q4859" t="str">
            <v>TF</v>
          </cell>
          <cell r="R4859" t="str">
            <v>-</v>
          </cell>
          <cell r="S4859" t="str">
            <v>-</v>
          </cell>
          <cell r="T4859" t="str">
            <v>-</v>
          </cell>
          <cell r="U4859" t="str">
            <v>T</v>
          </cell>
          <cell r="V4859" t="str">
            <v>D</v>
          </cell>
          <cell r="W4859" t="str">
            <v>-</v>
          </cell>
          <cell r="X4859" t="str">
            <v>CLP 220 (-15/+40°C)</v>
          </cell>
          <cell r="Y4859" t="str">
            <v>KA37/T EDRN80M4 /TF</v>
          </cell>
          <cell r="Z4859" t="str">
            <v>SEW</v>
          </cell>
          <cell r="AB4859" t="str">
            <v>ATEX22</v>
          </cell>
          <cell r="AF4859">
            <v>162</v>
          </cell>
          <cell r="AG4859" t="str">
            <v>EDRN80M4</v>
          </cell>
          <cell r="AH4859" t="str">
            <v>KA37T-EDRN80M4B90-X</v>
          </cell>
        </row>
        <row r="4860">
          <cell r="A4860" t="str">
            <v>MR004849</v>
          </cell>
          <cell r="B4860" t="str">
            <v>MR</v>
          </cell>
          <cell r="C4860">
            <v>22</v>
          </cell>
          <cell r="D4860">
            <v>12</v>
          </cell>
          <cell r="E4860" t="str">
            <v>KH157</v>
          </cell>
          <cell r="F4860">
            <v>17400</v>
          </cell>
          <cell r="G4860">
            <v>122.39</v>
          </cell>
          <cell r="H4860">
            <v>1.1499999999999999</v>
          </cell>
          <cell r="I4860" t="str">
            <v>M4A</v>
          </cell>
          <cell r="J4860" t="str">
            <v>IE3</v>
          </cell>
          <cell r="K4860">
            <v>415</v>
          </cell>
          <cell r="L4860">
            <v>50</v>
          </cell>
          <cell r="M4860" t="str">
            <v>64/37</v>
          </cell>
          <cell r="N4860">
            <v>65</v>
          </cell>
          <cell r="O4860" t="str">
            <v>155(F)</v>
          </cell>
          <cell r="P4860" t="str">
            <v>270°</v>
          </cell>
          <cell r="Q4860" t="str">
            <v>TF</v>
          </cell>
          <cell r="R4860" t="str">
            <v>V(VE)</v>
          </cell>
          <cell r="S4860" t="str">
            <v>-</v>
          </cell>
          <cell r="T4860" t="str">
            <v>-</v>
          </cell>
          <cell r="U4860" t="str">
            <v>-</v>
          </cell>
          <cell r="V4860" t="str">
            <v>FC</v>
          </cell>
          <cell r="W4860" t="str">
            <v>-</v>
          </cell>
          <cell r="X4860" t="str">
            <v>CLP 220 (-15/+40°C)</v>
          </cell>
          <cell r="Y4860" t="str">
            <v>KH157EDRN180L4 /TF/VE</v>
          </cell>
          <cell r="Z4860" t="str">
            <v>SEW</v>
          </cell>
          <cell r="AB4860" t="str">
            <v>ATEX22</v>
          </cell>
          <cell r="AF4860">
            <v>12</v>
          </cell>
          <cell r="AG4860" t="str">
            <v>EDRN180L4</v>
          </cell>
          <cell r="AH4860" t="str">
            <v>KH157-EDRN180L4A270-X#</v>
          </cell>
        </row>
        <row r="4861">
          <cell r="A4861" t="str">
            <v>MR004850</v>
          </cell>
          <cell r="B4861" t="str">
            <v>MR</v>
          </cell>
          <cell r="C4861">
            <v>18.5</v>
          </cell>
          <cell r="D4861">
            <v>16</v>
          </cell>
          <cell r="E4861" t="str">
            <v>KH127</v>
          </cell>
          <cell r="F4861">
            <v>10700</v>
          </cell>
          <cell r="G4861">
            <v>89.89</v>
          </cell>
          <cell r="H4861">
            <v>1.2</v>
          </cell>
          <cell r="I4861" t="str">
            <v>From M1A to M2A - 15°</v>
          </cell>
          <cell r="J4861" t="str">
            <v>IE3</v>
          </cell>
          <cell r="K4861">
            <v>415</v>
          </cell>
          <cell r="L4861">
            <v>50</v>
          </cell>
          <cell r="M4861" t="str">
            <v>33,5/19,3</v>
          </cell>
          <cell r="N4861">
            <v>65</v>
          </cell>
          <cell r="O4861" t="str">
            <v>155(F)</v>
          </cell>
          <cell r="P4861" t="str">
            <v>180°</v>
          </cell>
          <cell r="Q4861" t="str">
            <v>TF</v>
          </cell>
          <cell r="R4861" t="str">
            <v>V(VE)</v>
          </cell>
          <cell r="S4861" t="str">
            <v>-</v>
          </cell>
          <cell r="T4861" t="str">
            <v>-</v>
          </cell>
          <cell r="U4861" t="str">
            <v>-</v>
          </cell>
          <cell r="V4861" t="str">
            <v>FC</v>
          </cell>
          <cell r="W4861" t="str">
            <v>-</v>
          </cell>
          <cell r="X4861" t="str">
            <v>CLP 220 (-15/+40°C)</v>
          </cell>
          <cell r="Y4861" t="str">
            <v>KH127DRN180M4 /TF/V</v>
          </cell>
          <cell r="Z4861" t="str">
            <v>SEW</v>
          </cell>
          <cell r="AB4861" t="str">
            <v>-</v>
          </cell>
          <cell r="AF4861">
            <v>16</v>
          </cell>
          <cell r="AG4861" t="str">
            <v>DRN180M4</v>
          </cell>
          <cell r="AH4861" t="str">
            <v>KH127-DRN180M4A180-X#</v>
          </cell>
        </row>
        <row r="4862">
          <cell r="A4862" t="str">
            <v>MR004851</v>
          </cell>
          <cell r="B4862" t="str">
            <v>MR</v>
          </cell>
          <cell r="C4862">
            <v>18.5</v>
          </cell>
          <cell r="D4862">
            <v>16</v>
          </cell>
          <cell r="E4862" t="str">
            <v>KH127</v>
          </cell>
          <cell r="F4862">
            <v>10700</v>
          </cell>
          <cell r="G4862">
            <v>89.89</v>
          </cell>
          <cell r="H4862">
            <v>1.2</v>
          </cell>
          <cell r="I4862" t="str">
            <v>From M1B to M2B - 15°</v>
          </cell>
          <cell r="J4862" t="str">
            <v>IE3</v>
          </cell>
          <cell r="K4862">
            <v>415</v>
          </cell>
          <cell r="L4862">
            <v>50</v>
          </cell>
          <cell r="M4862" t="str">
            <v>33,5/19,3</v>
          </cell>
          <cell r="N4862">
            <v>65</v>
          </cell>
          <cell r="O4862" t="str">
            <v>155(F)</v>
          </cell>
          <cell r="P4862" t="str">
            <v>0°</v>
          </cell>
          <cell r="Q4862" t="str">
            <v>TF</v>
          </cell>
          <cell r="R4862" t="str">
            <v>V(VE)</v>
          </cell>
          <cell r="S4862" t="str">
            <v>-</v>
          </cell>
          <cell r="T4862" t="str">
            <v>-</v>
          </cell>
          <cell r="U4862" t="str">
            <v>-</v>
          </cell>
          <cell r="V4862" t="str">
            <v>FC</v>
          </cell>
          <cell r="W4862" t="str">
            <v>-</v>
          </cell>
          <cell r="X4862" t="str">
            <v>CLP 220 (-15/+40°C)</v>
          </cell>
          <cell r="Y4862" t="str">
            <v>KH127DRN180M4 /TF/V</v>
          </cell>
          <cell r="Z4862" t="str">
            <v>SEW</v>
          </cell>
          <cell r="AB4862" t="str">
            <v>-</v>
          </cell>
          <cell r="AF4862">
            <v>16</v>
          </cell>
          <cell r="AG4862" t="str">
            <v>DRN180M4</v>
          </cell>
          <cell r="AH4862" t="str">
            <v>KH127-DRN180M4B0-X#</v>
          </cell>
        </row>
        <row r="4863">
          <cell r="A4863" t="str">
            <v>MR004852</v>
          </cell>
          <cell r="B4863" t="str">
            <v>MR</v>
          </cell>
          <cell r="C4863">
            <v>0.75</v>
          </cell>
          <cell r="D4863">
            <v>18</v>
          </cell>
          <cell r="E4863" t="str">
            <v>FA67</v>
          </cell>
          <cell r="F4863">
            <v>395</v>
          </cell>
          <cell r="G4863">
            <v>79.760000000000005</v>
          </cell>
          <cell r="H4863">
            <v>2.2000000000000002</v>
          </cell>
          <cell r="I4863" t="str">
            <v>From M6 to M3 - 20°</v>
          </cell>
          <cell r="J4863" t="str">
            <v>IE3</v>
          </cell>
          <cell r="K4863">
            <v>415</v>
          </cell>
          <cell r="L4863">
            <v>50</v>
          </cell>
          <cell r="M4863" t="str">
            <v>1,75/1,02</v>
          </cell>
          <cell r="N4863">
            <v>65</v>
          </cell>
          <cell r="O4863" t="str">
            <v>155(F)</v>
          </cell>
          <cell r="P4863" t="str">
            <v>0°</v>
          </cell>
          <cell r="Q4863" t="str">
            <v>TF</v>
          </cell>
          <cell r="R4863" t="str">
            <v>-</v>
          </cell>
          <cell r="S4863" t="str">
            <v>-</v>
          </cell>
          <cell r="T4863" t="str">
            <v>BEHF</v>
          </cell>
          <cell r="U4863" t="str">
            <v>G</v>
          </cell>
          <cell r="V4863" t="str">
            <v>D</v>
          </cell>
          <cell r="W4863" t="str">
            <v>-</v>
          </cell>
          <cell r="X4863" t="str">
            <v>CLP 220 (-15/+40°C)</v>
          </cell>
          <cell r="Y4863" t="str">
            <v>FA67/G DRN80M4 /BEHF /TF</v>
          </cell>
          <cell r="Z4863" t="str">
            <v>SEW</v>
          </cell>
          <cell r="AB4863" t="str">
            <v>-</v>
          </cell>
          <cell r="AF4863">
            <v>18</v>
          </cell>
          <cell r="AG4863" t="str">
            <v>DRN80M4</v>
          </cell>
          <cell r="AH4863" t="str">
            <v>FA67G-DRN80M40-X</v>
          </cell>
        </row>
        <row r="4864">
          <cell r="A4864" t="str">
            <v>MR004853</v>
          </cell>
          <cell r="B4864" t="str">
            <v>ME</v>
          </cell>
          <cell r="C4864">
            <v>0.25</v>
          </cell>
          <cell r="D4864">
            <v>1405</v>
          </cell>
          <cell r="E4864" t="str">
            <v>DRN71MS4</v>
          </cell>
          <cell r="J4864" t="str">
            <v>IE3</v>
          </cell>
          <cell r="K4864" t="str">
            <v>220/380</v>
          </cell>
          <cell r="L4864">
            <v>50</v>
          </cell>
          <cell r="M4864" t="str">
            <v>1,31/0,76</v>
          </cell>
          <cell r="N4864">
            <v>65</v>
          </cell>
          <cell r="O4864" t="str">
            <v>155(F)</v>
          </cell>
          <cell r="P4864" t="str">
            <v>270°</v>
          </cell>
          <cell r="Q4864" t="str">
            <v>TF</v>
          </cell>
          <cell r="R4864" t="str">
            <v>-</v>
          </cell>
          <cell r="S4864" t="str">
            <v>-</v>
          </cell>
          <cell r="T4864" t="str">
            <v>BEHF</v>
          </cell>
          <cell r="U4864" t="str">
            <v>-</v>
          </cell>
          <cell r="V4864" t="str">
            <v>SS+R</v>
          </cell>
          <cell r="W4864" t="str">
            <v>-</v>
          </cell>
          <cell r="Y4864" t="str">
            <v>DRN71MS4DRN71MS4 /BEHF /TF</v>
          </cell>
          <cell r="Z4864" t="str">
            <v>SEW</v>
          </cell>
          <cell r="AB4864" t="str">
            <v>-</v>
          </cell>
          <cell r="AF4864">
            <v>1405</v>
          </cell>
          <cell r="AG4864" t="str">
            <v>DRN71MS4</v>
          </cell>
          <cell r="AH4864" t="str">
            <v>DRN71MS4-DRN71MS4270-X</v>
          </cell>
        </row>
        <row r="4865">
          <cell r="A4865" t="str">
            <v>MR004854</v>
          </cell>
          <cell r="B4865" t="str">
            <v>MR</v>
          </cell>
          <cell r="C4865">
            <v>15</v>
          </cell>
          <cell r="D4865">
            <v>37</v>
          </cell>
          <cell r="E4865" t="str">
            <v>R107</v>
          </cell>
          <cell r="F4865">
            <v>3920</v>
          </cell>
          <cell r="G4865">
            <v>40.369999999999997</v>
          </cell>
          <cell r="H4865">
            <v>1.1000000000000001</v>
          </cell>
          <cell r="I4865" t="str">
            <v>From M1 to M2 - 25°</v>
          </cell>
          <cell r="J4865" t="str">
            <v>IE3</v>
          </cell>
          <cell r="K4865" t="str">
            <v>230/400</v>
          </cell>
          <cell r="L4865">
            <v>50</v>
          </cell>
          <cell r="M4865" t="str">
            <v>50/29</v>
          </cell>
          <cell r="N4865">
            <v>65</v>
          </cell>
          <cell r="O4865" t="str">
            <v>155(F)</v>
          </cell>
          <cell r="P4865" t="str">
            <v>270°</v>
          </cell>
          <cell r="Q4865" t="str">
            <v>TF</v>
          </cell>
          <cell r="R4865" t="str">
            <v>V(VE)</v>
          </cell>
          <cell r="S4865" t="str">
            <v>-</v>
          </cell>
          <cell r="T4865" t="str">
            <v>-</v>
          </cell>
          <cell r="U4865" t="str">
            <v>-</v>
          </cell>
          <cell r="V4865" t="str">
            <v>FC</v>
          </cell>
          <cell r="W4865" t="str">
            <v>-</v>
          </cell>
          <cell r="X4865" t="str">
            <v>CLP HC 220 (-25/+60°C)</v>
          </cell>
          <cell r="Y4865" t="str">
            <v>R107DRN160L4 /TF/V</v>
          </cell>
          <cell r="Z4865" t="str">
            <v>SEW</v>
          </cell>
          <cell r="AB4865" t="str">
            <v>-</v>
          </cell>
          <cell r="AF4865">
            <v>37</v>
          </cell>
          <cell r="AG4865" t="str">
            <v>DRN160L4</v>
          </cell>
          <cell r="AH4865" t="str">
            <v>R107-DRN160L4270-X#</v>
          </cell>
        </row>
        <row r="4866">
          <cell r="A4866" t="str">
            <v>MR004855</v>
          </cell>
          <cell r="B4866" t="str">
            <v>MR</v>
          </cell>
          <cell r="C4866">
            <v>5.5</v>
          </cell>
          <cell r="D4866">
            <v>80</v>
          </cell>
          <cell r="E4866" t="str">
            <v>FH67</v>
          </cell>
          <cell r="F4866">
            <v>600</v>
          </cell>
          <cell r="G4866">
            <v>18.29</v>
          </cell>
          <cell r="H4866">
            <v>1.3</v>
          </cell>
          <cell r="I4866" t="str">
            <v>From M1 to M5 - 60°</v>
          </cell>
          <cell r="J4866" t="str">
            <v>IE3</v>
          </cell>
          <cell r="K4866" t="str">
            <v>230/400</v>
          </cell>
          <cell r="L4866">
            <v>50</v>
          </cell>
          <cell r="M4866" t="str">
            <v>19,3/11,1</v>
          </cell>
          <cell r="N4866">
            <v>65</v>
          </cell>
          <cell r="O4866" t="str">
            <v>155(F)</v>
          </cell>
          <cell r="P4866" t="str">
            <v>270°</v>
          </cell>
          <cell r="Q4866" t="str">
            <v>TF</v>
          </cell>
          <cell r="R4866" t="str">
            <v>-</v>
          </cell>
          <cell r="S4866" t="str">
            <v>Free rotation CW</v>
          </cell>
          <cell r="T4866" t="str">
            <v>-</v>
          </cell>
          <cell r="U4866" t="str">
            <v>G</v>
          </cell>
          <cell r="V4866" t="str">
            <v>D</v>
          </cell>
          <cell r="W4866" t="str">
            <v>-</v>
          </cell>
          <cell r="X4866" t="str">
            <v>CLP HC 220 (-25/+60°C)</v>
          </cell>
          <cell r="Y4866" t="str">
            <v>FH67/G DRN132S4 /RS /TF</v>
          </cell>
          <cell r="Z4866" t="str">
            <v>SEW</v>
          </cell>
          <cell r="AB4866" t="str">
            <v>-</v>
          </cell>
          <cell r="AF4866">
            <v>80</v>
          </cell>
          <cell r="AG4866" t="str">
            <v>DRN132S4</v>
          </cell>
          <cell r="AH4866" t="str">
            <v>FH67G-DRN132S4270-X</v>
          </cell>
        </row>
        <row r="4867">
          <cell r="A4867" t="str">
            <v>MR004856</v>
          </cell>
          <cell r="B4867" t="str">
            <v>MR</v>
          </cell>
          <cell r="C4867">
            <v>3</v>
          </cell>
          <cell r="D4867">
            <v>93</v>
          </cell>
          <cell r="E4867" t="str">
            <v>R77</v>
          </cell>
          <cell r="F4867">
            <v>305</v>
          </cell>
          <cell r="G4867">
            <v>15.6</v>
          </cell>
          <cell r="H4867">
            <v>2.4</v>
          </cell>
          <cell r="I4867" t="str">
            <v>M1</v>
          </cell>
          <cell r="J4867" t="str">
            <v>IE3</v>
          </cell>
          <cell r="K4867" t="str">
            <v>230/400</v>
          </cell>
          <cell r="L4867">
            <v>50</v>
          </cell>
          <cell r="M4867" t="str">
            <v>11,2/6,4</v>
          </cell>
          <cell r="N4867">
            <v>65</v>
          </cell>
          <cell r="O4867" t="str">
            <v>155(F)</v>
          </cell>
          <cell r="P4867" t="str">
            <v>270°</v>
          </cell>
          <cell r="Q4867" t="str">
            <v>TF</v>
          </cell>
          <cell r="R4867" t="str">
            <v>-</v>
          </cell>
          <cell r="S4867" t="str">
            <v>-</v>
          </cell>
          <cell r="T4867" t="str">
            <v>-</v>
          </cell>
          <cell r="U4867" t="str">
            <v>-</v>
          </cell>
          <cell r="V4867" t="str">
            <v>D</v>
          </cell>
          <cell r="W4867" t="str">
            <v>-</v>
          </cell>
          <cell r="X4867" t="str">
            <v>CLP HC 220 (-25/+60°C)</v>
          </cell>
          <cell r="Y4867" t="str">
            <v>R77DRN100L4 /TF</v>
          </cell>
          <cell r="Z4867" t="str">
            <v>SEW</v>
          </cell>
          <cell r="AB4867" t="str">
            <v>-</v>
          </cell>
          <cell r="AF4867">
            <v>93</v>
          </cell>
          <cell r="AG4867" t="str">
            <v>DRN100L4</v>
          </cell>
          <cell r="AH4867" t="str">
            <v>R77-DRN100L4270-X</v>
          </cell>
        </row>
        <row r="4868">
          <cell r="A4868" t="str">
            <v>MR004857</v>
          </cell>
          <cell r="B4868" t="str">
            <v>MR</v>
          </cell>
          <cell r="C4868">
            <v>11</v>
          </cell>
          <cell r="D4868">
            <v>36</v>
          </cell>
          <cell r="E4868" t="str">
            <v>R107</v>
          </cell>
          <cell r="F4868">
            <v>2870</v>
          </cell>
          <cell r="G4868">
            <v>40.369999999999997</v>
          </cell>
          <cell r="H4868">
            <v>1.5</v>
          </cell>
          <cell r="I4868" t="str">
            <v>M1</v>
          </cell>
          <cell r="J4868" t="str">
            <v>IE3</v>
          </cell>
          <cell r="K4868" t="str">
            <v>230/400</v>
          </cell>
          <cell r="L4868">
            <v>50</v>
          </cell>
          <cell r="M4868" t="str">
            <v>36,5/21</v>
          </cell>
          <cell r="N4868">
            <v>65</v>
          </cell>
          <cell r="O4868" t="str">
            <v>155(F)</v>
          </cell>
          <cell r="P4868" t="str">
            <v>270°</v>
          </cell>
          <cell r="Q4868" t="str">
            <v>TF</v>
          </cell>
          <cell r="R4868" t="str">
            <v>-</v>
          </cell>
          <cell r="S4868" t="str">
            <v>Free rotation CCW</v>
          </cell>
          <cell r="T4868" t="str">
            <v>-</v>
          </cell>
          <cell r="U4868" t="str">
            <v>-</v>
          </cell>
          <cell r="V4868" t="str">
            <v>SS</v>
          </cell>
          <cell r="W4868" t="str">
            <v>-</v>
          </cell>
          <cell r="X4868" t="str">
            <v>CLP HC 220 (-25/+60°C)</v>
          </cell>
          <cell r="Y4868" t="str">
            <v>R107DRN160M4 /RS /TF</v>
          </cell>
          <cell r="Z4868" t="str">
            <v>SEW</v>
          </cell>
          <cell r="AB4868" t="str">
            <v>-</v>
          </cell>
          <cell r="AF4868">
            <v>36</v>
          </cell>
          <cell r="AG4868" t="str">
            <v>DRN160M4</v>
          </cell>
          <cell r="AH4868" t="str">
            <v>R107-DRN160M4270-X</v>
          </cell>
        </row>
        <row r="4869">
          <cell r="A4869" t="str">
            <v>MR004858</v>
          </cell>
          <cell r="B4869" t="str">
            <v>MR</v>
          </cell>
          <cell r="C4869">
            <v>7.5</v>
          </cell>
          <cell r="D4869">
            <v>15</v>
          </cell>
          <cell r="E4869" t="str">
            <v>KH107</v>
          </cell>
          <cell r="F4869">
            <v>4910</v>
          </cell>
          <cell r="G4869">
            <v>100.75</v>
          </cell>
          <cell r="H4869">
            <v>1.65</v>
          </cell>
          <cell r="I4869" t="str">
            <v>From M1A to M2A - 5°</v>
          </cell>
          <cell r="J4869" t="str">
            <v>IE3</v>
          </cell>
          <cell r="K4869" t="str">
            <v>230/400</v>
          </cell>
          <cell r="L4869">
            <v>50</v>
          </cell>
          <cell r="M4869" t="str">
            <v>26,5/15,2</v>
          </cell>
          <cell r="N4869">
            <v>65</v>
          </cell>
          <cell r="O4869" t="str">
            <v>155(F)</v>
          </cell>
          <cell r="P4869" t="str">
            <v>270°</v>
          </cell>
          <cell r="Q4869" t="str">
            <v>TF</v>
          </cell>
          <cell r="R4869" t="str">
            <v>-</v>
          </cell>
          <cell r="S4869" t="str">
            <v>-</v>
          </cell>
          <cell r="T4869" t="str">
            <v>-</v>
          </cell>
          <cell r="U4869" t="str">
            <v>-</v>
          </cell>
          <cell r="V4869" t="str">
            <v>SS</v>
          </cell>
          <cell r="W4869" t="str">
            <v>-</v>
          </cell>
          <cell r="X4869" t="str">
            <v>CLP HC 220 (-25/+60°C)</v>
          </cell>
          <cell r="Y4869" t="str">
            <v>KH107DRN132M4 /TF</v>
          </cell>
          <cell r="Z4869" t="str">
            <v>SEW</v>
          </cell>
          <cell r="AB4869" t="str">
            <v>-</v>
          </cell>
          <cell r="AF4869">
            <v>15</v>
          </cell>
          <cell r="AG4869" t="str">
            <v>DRN132M4</v>
          </cell>
          <cell r="AH4869" t="str">
            <v>KH107-DRN132M4A270-X</v>
          </cell>
        </row>
        <row r="4870">
          <cell r="A4870" t="str">
            <v>MR004859</v>
          </cell>
          <cell r="B4870" t="str">
            <v>MR</v>
          </cell>
          <cell r="C4870">
            <v>7.5</v>
          </cell>
          <cell r="D4870">
            <v>15</v>
          </cell>
          <cell r="E4870" t="str">
            <v>KH107</v>
          </cell>
          <cell r="F4870">
            <v>4910</v>
          </cell>
          <cell r="G4870">
            <v>100.75</v>
          </cell>
          <cell r="H4870">
            <v>1.65</v>
          </cell>
          <cell r="I4870" t="str">
            <v>From M1B to M2B - 5°</v>
          </cell>
          <cell r="J4870" t="str">
            <v>IE3</v>
          </cell>
          <cell r="K4870" t="str">
            <v>230/400</v>
          </cell>
          <cell r="L4870">
            <v>50</v>
          </cell>
          <cell r="M4870" t="str">
            <v>26,5/15,2</v>
          </cell>
          <cell r="N4870">
            <v>65</v>
          </cell>
          <cell r="O4870" t="str">
            <v>155(F)</v>
          </cell>
          <cell r="P4870" t="str">
            <v>270°</v>
          </cell>
          <cell r="Q4870" t="str">
            <v>TF</v>
          </cell>
          <cell r="R4870" t="str">
            <v>-</v>
          </cell>
          <cell r="S4870" t="str">
            <v>-</v>
          </cell>
          <cell r="T4870" t="str">
            <v>-</v>
          </cell>
          <cell r="U4870" t="str">
            <v>-</v>
          </cell>
          <cell r="V4870" t="str">
            <v>SS</v>
          </cell>
          <cell r="W4870" t="str">
            <v>-</v>
          </cell>
          <cell r="X4870" t="str">
            <v>CLP HC 220 (-25/+60°C)</v>
          </cell>
          <cell r="Y4870" t="str">
            <v>KH107DRN132M4 /TF</v>
          </cell>
          <cell r="Z4870" t="str">
            <v>SEW</v>
          </cell>
          <cell r="AB4870" t="str">
            <v>-</v>
          </cell>
          <cell r="AF4870">
            <v>15</v>
          </cell>
          <cell r="AG4870" t="str">
            <v>DRN132M4</v>
          </cell>
          <cell r="AH4870" t="str">
            <v>KH107-DRN132M4B270-X</v>
          </cell>
        </row>
        <row r="4871">
          <cell r="A4871" t="str">
            <v>MR004860</v>
          </cell>
          <cell r="B4871" t="str">
            <v>MR</v>
          </cell>
          <cell r="C4871">
            <v>0.75</v>
          </cell>
          <cell r="D4871">
            <v>19</v>
          </cell>
          <cell r="E4871" t="str">
            <v>KA67</v>
          </cell>
          <cell r="F4871">
            <v>380</v>
          </cell>
          <cell r="G4871">
            <v>76.37</v>
          </cell>
          <cell r="H4871">
            <v>2.2999999999999998</v>
          </cell>
          <cell r="I4871" t="str">
            <v>From M5 to M3 - 5°</v>
          </cell>
          <cell r="J4871" t="str">
            <v>IE3</v>
          </cell>
          <cell r="K4871" t="str">
            <v>230/400</v>
          </cell>
          <cell r="L4871">
            <v>50</v>
          </cell>
          <cell r="M4871" t="str">
            <v>3,05/1,75</v>
          </cell>
          <cell r="N4871">
            <v>65</v>
          </cell>
          <cell r="O4871" t="str">
            <v>155(F)</v>
          </cell>
          <cell r="P4871" t="str">
            <v>270°</v>
          </cell>
          <cell r="Q4871" t="str">
            <v>TF</v>
          </cell>
          <cell r="R4871" t="str">
            <v>-</v>
          </cell>
          <cell r="S4871" t="str">
            <v>-</v>
          </cell>
          <cell r="T4871" t="str">
            <v>BEHF</v>
          </cell>
          <cell r="U4871" t="str">
            <v>T</v>
          </cell>
          <cell r="V4871" t="str">
            <v>D+R</v>
          </cell>
          <cell r="W4871" t="str">
            <v>-</v>
          </cell>
          <cell r="X4871" t="str">
            <v>CLP HC 220 (-25/+60°C)</v>
          </cell>
          <cell r="Y4871" t="str">
            <v>KA67/T DRN80M4 /BEHF /TF</v>
          </cell>
          <cell r="Z4871" t="str">
            <v>SEW</v>
          </cell>
          <cell r="AB4871" t="str">
            <v>-</v>
          </cell>
          <cell r="AF4871">
            <v>19</v>
          </cell>
          <cell r="AG4871" t="str">
            <v>DRN80M4</v>
          </cell>
          <cell r="AH4871" t="str">
            <v>KA67T-DRN80M4270-X</v>
          </cell>
        </row>
        <row r="4872">
          <cell r="A4872" t="str">
            <v>MR004861</v>
          </cell>
          <cell r="B4872" t="str">
            <v>MR</v>
          </cell>
          <cell r="C4872">
            <v>4</v>
          </cell>
          <cell r="D4872">
            <v>58</v>
          </cell>
          <cell r="E4872" t="str">
            <v>R77</v>
          </cell>
          <cell r="F4872">
            <v>655</v>
          </cell>
          <cell r="G4872">
            <v>25.23</v>
          </cell>
          <cell r="H4872">
            <v>1.2</v>
          </cell>
          <cell r="I4872" t="str">
            <v>M1</v>
          </cell>
          <cell r="J4872" t="str">
            <v>IE3</v>
          </cell>
          <cell r="K4872" t="str">
            <v>230/400</v>
          </cell>
          <cell r="L4872">
            <v>50</v>
          </cell>
          <cell r="M4872" t="str">
            <v>13,8/7,9</v>
          </cell>
          <cell r="N4872">
            <v>55</v>
          </cell>
          <cell r="O4872" t="str">
            <v>155(F)</v>
          </cell>
          <cell r="P4872" t="str">
            <v>270°</v>
          </cell>
          <cell r="Q4872" t="str">
            <v>TF</v>
          </cell>
          <cell r="R4872" t="str">
            <v>-</v>
          </cell>
          <cell r="S4872" t="str">
            <v>-</v>
          </cell>
          <cell r="T4872" t="str">
            <v>-</v>
          </cell>
          <cell r="U4872" t="str">
            <v>-</v>
          </cell>
          <cell r="V4872" t="str">
            <v>D+R</v>
          </cell>
          <cell r="W4872" t="str">
            <v>-</v>
          </cell>
          <cell r="X4872" t="str">
            <v>CLP 220 (-15/+40°C)</v>
          </cell>
          <cell r="Y4872" t="str">
            <v>R77DRN112M4 /TF</v>
          </cell>
          <cell r="Z4872" t="str">
            <v>SEW</v>
          </cell>
          <cell r="AB4872" t="str">
            <v>-</v>
          </cell>
          <cell r="AF4872">
            <v>58</v>
          </cell>
          <cell r="AG4872" t="str">
            <v>DRN112M4</v>
          </cell>
          <cell r="AH4872" t="str">
            <v>R77-DRN112M4270-X</v>
          </cell>
        </row>
        <row r="4873">
          <cell r="A4873" t="str">
            <v>MR004862</v>
          </cell>
          <cell r="B4873" t="str">
            <v>MR</v>
          </cell>
          <cell r="C4873">
            <v>18.5</v>
          </cell>
          <cell r="D4873">
            <v>12</v>
          </cell>
          <cell r="E4873" t="str">
            <v>KH157</v>
          </cell>
          <cell r="F4873">
            <v>14600</v>
          </cell>
          <cell r="G4873">
            <v>122.39</v>
          </cell>
          <cell r="H4873">
            <v>1.35</v>
          </cell>
          <cell r="I4873" t="str">
            <v>From M1B to M2B - 20°</v>
          </cell>
          <cell r="J4873" t="str">
            <v>IE3</v>
          </cell>
          <cell r="K4873">
            <v>415</v>
          </cell>
          <cell r="L4873">
            <v>50</v>
          </cell>
          <cell r="M4873" t="str">
            <v>56/32</v>
          </cell>
          <cell r="N4873">
            <v>65</v>
          </cell>
          <cell r="O4873" t="str">
            <v>155(F)</v>
          </cell>
          <cell r="P4873" t="str">
            <v>0°</v>
          </cell>
          <cell r="Q4873" t="str">
            <v>TF</v>
          </cell>
          <cell r="R4873" t="str">
            <v>V(VE)</v>
          </cell>
          <cell r="S4873" t="str">
            <v>-</v>
          </cell>
          <cell r="T4873" t="str">
            <v>-</v>
          </cell>
          <cell r="U4873" t="str">
            <v>-</v>
          </cell>
          <cell r="V4873" t="str">
            <v>FC</v>
          </cell>
          <cell r="W4873" t="str">
            <v>-</v>
          </cell>
          <cell r="X4873" t="str">
            <v>CLP 220 (-15/+40°C)</v>
          </cell>
          <cell r="Y4873" t="str">
            <v>KH157DRN180M4 /TF/V</v>
          </cell>
          <cell r="Z4873" t="str">
            <v>SEW</v>
          </cell>
          <cell r="AB4873" t="str">
            <v>-</v>
          </cell>
          <cell r="AF4873">
            <v>12</v>
          </cell>
          <cell r="AG4873" t="str">
            <v>DRN180M4</v>
          </cell>
          <cell r="AH4873" t="str">
            <v>KH157-DRN180M4B0-X#</v>
          </cell>
        </row>
        <row r="4874">
          <cell r="A4874" t="str">
            <v>MR004863</v>
          </cell>
          <cell r="B4874" t="str">
            <v>MR</v>
          </cell>
          <cell r="C4874">
            <v>18.5</v>
          </cell>
          <cell r="D4874">
            <v>12</v>
          </cell>
          <cell r="E4874" t="str">
            <v>KH157</v>
          </cell>
          <cell r="F4874">
            <v>14600</v>
          </cell>
          <cell r="G4874">
            <v>122.39</v>
          </cell>
          <cell r="H4874">
            <v>1.35</v>
          </cell>
          <cell r="I4874" t="str">
            <v>From M1A to M2A - 20°</v>
          </cell>
          <cell r="J4874" t="str">
            <v>IE3</v>
          </cell>
          <cell r="K4874">
            <v>415</v>
          </cell>
          <cell r="L4874">
            <v>50</v>
          </cell>
          <cell r="M4874" t="str">
            <v>56/32</v>
          </cell>
          <cell r="N4874">
            <v>65</v>
          </cell>
          <cell r="O4874" t="str">
            <v>155(F)</v>
          </cell>
          <cell r="P4874" t="str">
            <v>180°</v>
          </cell>
          <cell r="Q4874" t="str">
            <v>TF</v>
          </cell>
          <cell r="R4874" t="str">
            <v>V(VE)</v>
          </cell>
          <cell r="S4874" t="str">
            <v>-</v>
          </cell>
          <cell r="T4874" t="str">
            <v>-</v>
          </cell>
          <cell r="U4874" t="str">
            <v>-</v>
          </cell>
          <cell r="V4874" t="str">
            <v>FC</v>
          </cell>
          <cell r="W4874" t="str">
            <v>-</v>
          </cell>
          <cell r="X4874" t="str">
            <v>CLP 220 (-15/+40°C)</v>
          </cell>
          <cell r="Y4874" t="str">
            <v>KH157DRN180M4 /TF/V</v>
          </cell>
          <cell r="Z4874" t="str">
            <v>SEW</v>
          </cell>
          <cell r="AB4874" t="str">
            <v>-</v>
          </cell>
          <cell r="AF4874">
            <v>12</v>
          </cell>
          <cell r="AG4874" t="str">
            <v>DRN180M4</v>
          </cell>
          <cell r="AH4874" t="str">
            <v>KH157-DRN180M4A180-X#</v>
          </cell>
        </row>
        <row r="4875">
          <cell r="A4875" t="str">
            <v>MR004864</v>
          </cell>
          <cell r="B4875" t="str">
            <v>MR</v>
          </cell>
          <cell r="C4875">
            <v>1.5</v>
          </cell>
          <cell r="D4875">
            <v>22</v>
          </cell>
          <cell r="E4875" t="str">
            <v>FA67</v>
          </cell>
          <cell r="F4875">
            <v>665</v>
          </cell>
          <cell r="G4875">
            <v>67.650000000000006</v>
          </cell>
          <cell r="H4875">
            <v>1.3</v>
          </cell>
          <cell r="I4875" t="str">
            <v>From M5 to M3 - 20°</v>
          </cell>
          <cell r="J4875" t="str">
            <v>IE3</v>
          </cell>
          <cell r="K4875">
            <v>415</v>
          </cell>
          <cell r="L4875">
            <v>50</v>
          </cell>
          <cell r="M4875" t="str">
            <v>5,9/3,4</v>
          </cell>
          <cell r="N4875">
            <v>65</v>
          </cell>
          <cell r="O4875" t="str">
            <v>155(F)</v>
          </cell>
          <cell r="P4875" t="str">
            <v>180°</v>
          </cell>
          <cell r="Q4875" t="str">
            <v>TF</v>
          </cell>
          <cell r="R4875" t="str">
            <v>-</v>
          </cell>
          <cell r="S4875" t="str">
            <v>-</v>
          </cell>
          <cell r="T4875" t="str">
            <v>BEHF</v>
          </cell>
          <cell r="U4875" t="str">
            <v>G</v>
          </cell>
          <cell r="V4875" t="str">
            <v>D</v>
          </cell>
          <cell r="W4875" t="str">
            <v>-</v>
          </cell>
          <cell r="X4875" t="str">
            <v>CLP 220 (-15/+40°C)</v>
          </cell>
          <cell r="Y4875" t="str">
            <v>FA67/G DRN90L4 /BEHF /TF</v>
          </cell>
          <cell r="Z4875" t="str">
            <v>SEW</v>
          </cell>
          <cell r="AB4875" t="str">
            <v>-</v>
          </cell>
          <cell r="AF4875">
            <v>22</v>
          </cell>
          <cell r="AG4875" t="str">
            <v>DRN90L4</v>
          </cell>
          <cell r="AH4875" t="str">
            <v>FA67G-DRN90L4180-X</v>
          </cell>
        </row>
        <row r="4876">
          <cell r="A4876" t="str">
            <v>MR004865</v>
          </cell>
          <cell r="B4876" t="str">
            <v>MR</v>
          </cell>
          <cell r="C4876">
            <v>0.75</v>
          </cell>
          <cell r="D4876">
            <v>18</v>
          </cell>
          <cell r="E4876" t="str">
            <v>FA67</v>
          </cell>
          <cell r="F4876">
            <v>395</v>
          </cell>
          <cell r="G4876">
            <v>79.760000000000005</v>
          </cell>
          <cell r="H4876">
            <v>2</v>
          </cell>
          <cell r="I4876" t="str">
            <v>M5</v>
          </cell>
          <cell r="J4876" t="str">
            <v>IE3</v>
          </cell>
          <cell r="K4876" t="str">
            <v>230/400</v>
          </cell>
          <cell r="L4876">
            <v>50</v>
          </cell>
          <cell r="M4876" t="str">
            <v>3,05/1,75</v>
          </cell>
          <cell r="N4876">
            <v>55</v>
          </cell>
          <cell r="O4876" t="str">
            <v>155(F)</v>
          </cell>
          <cell r="P4876" t="str">
            <v>270°</v>
          </cell>
          <cell r="Q4876" t="str">
            <v>TF</v>
          </cell>
          <cell r="R4876" t="str">
            <v>-</v>
          </cell>
          <cell r="S4876" t="str">
            <v>-</v>
          </cell>
          <cell r="T4876" t="str">
            <v>BEHF</v>
          </cell>
          <cell r="U4876" t="str">
            <v>G</v>
          </cell>
          <cell r="V4876" t="str">
            <v>D+R</v>
          </cell>
          <cell r="W4876" t="str">
            <v>-</v>
          </cell>
          <cell r="X4876" t="str">
            <v>CLP HC 220 (-25/+60°C)</v>
          </cell>
          <cell r="Y4876" t="str">
            <v>FA67/G EDRN80M4 /BEHF /TF</v>
          </cell>
          <cell r="Z4876" t="str">
            <v>SEW</v>
          </cell>
          <cell r="AB4876" t="str">
            <v>ATEX22</v>
          </cell>
          <cell r="AF4876">
            <v>18</v>
          </cell>
          <cell r="AG4876" t="str">
            <v>EDRN80M4</v>
          </cell>
          <cell r="AH4876" t="str">
            <v>FA67G-EDRN80M4270-X</v>
          </cell>
        </row>
        <row r="4877">
          <cell r="A4877" t="str">
            <v>MR004866</v>
          </cell>
          <cell r="B4877" t="str">
            <v>MR</v>
          </cell>
          <cell r="C4877">
            <v>15</v>
          </cell>
          <cell r="D4877">
            <v>9.8000000000000007</v>
          </cell>
          <cell r="E4877" t="str">
            <v>KH157</v>
          </cell>
          <cell r="F4877">
            <v>14600</v>
          </cell>
          <cell r="G4877">
            <v>150.41</v>
          </cell>
          <cell r="H4877">
            <v>1.35</v>
          </cell>
          <cell r="I4877" t="str">
            <v>From M1B to M2B - 45°</v>
          </cell>
          <cell r="J4877" t="str">
            <v>IE3</v>
          </cell>
          <cell r="K4877">
            <v>415</v>
          </cell>
          <cell r="L4877">
            <v>50</v>
          </cell>
          <cell r="M4877" t="str">
            <v>29/16,7</v>
          </cell>
          <cell r="N4877">
            <v>65</v>
          </cell>
          <cell r="O4877" t="str">
            <v>155(F)</v>
          </cell>
          <cell r="P4877" t="str">
            <v>0°</v>
          </cell>
          <cell r="Q4877" t="str">
            <v>TF</v>
          </cell>
          <cell r="R4877" t="str">
            <v>-</v>
          </cell>
          <cell r="S4877" t="str">
            <v>-</v>
          </cell>
          <cell r="T4877" t="str">
            <v>-</v>
          </cell>
          <cell r="U4877" t="str">
            <v>-</v>
          </cell>
          <cell r="V4877" t="str">
            <v>SS</v>
          </cell>
          <cell r="W4877" t="str">
            <v>-</v>
          </cell>
          <cell r="X4877" t="str">
            <v>CLP 220 (-15/+40°C)</v>
          </cell>
          <cell r="Y4877" t="str">
            <v>KH157DRN160L4 /TF</v>
          </cell>
          <cell r="Z4877" t="str">
            <v>SEW</v>
          </cell>
          <cell r="AB4877" t="str">
            <v>-</v>
          </cell>
          <cell r="AF4877">
            <v>9.8000000000000007</v>
          </cell>
          <cell r="AG4877" t="str">
            <v>DRN160L4</v>
          </cell>
          <cell r="AH4877" t="str">
            <v>KH157-DRN160L4B0-X</v>
          </cell>
        </row>
        <row r="4878">
          <cell r="A4878" t="str">
            <v>MR004867</v>
          </cell>
          <cell r="B4878" t="str">
            <v>MR</v>
          </cell>
          <cell r="C4878">
            <v>18.5</v>
          </cell>
          <cell r="D4878">
            <v>65</v>
          </cell>
          <cell r="E4878" t="str">
            <v>R107</v>
          </cell>
          <cell r="F4878">
            <v>2700</v>
          </cell>
          <cell r="G4878">
            <v>22.62</v>
          </cell>
          <cell r="H4878">
            <v>1.6</v>
          </cell>
          <cell r="I4878" t="str">
            <v>From M1 to M2 - 5°</v>
          </cell>
          <cell r="J4878" t="str">
            <v>IE3</v>
          </cell>
          <cell r="K4878">
            <v>415</v>
          </cell>
          <cell r="L4878">
            <v>50</v>
          </cell>
          <cell r="M4878">
            <v>32</v>
          </cell>
          <cell r="N4878">
            <v>65</v>
          </cell>
          <cell r="O4878" t="str">
            <v>155(F)</v>
          </cell>
          <cell r="P4878" t="str">
            <v>270°</v>
          </cell>
          <cell r="Q4878" t="str">
            <v>TF</v>
          </cell>
          <cell r="R4878" t="str">
            <v>-</v>
          </cell>
          <cell r="S4878" t="str">
            <v>-</v>
          </cell>
          <cell r="T4878" t="str">
            <v>-</v>
          </cell>
          <cell r="U4878" t="str">
            <v>-</v>
          </cell>
          <cell r="V4878" t="str">
            <v>D</v>
          </cell>
          <cell r="W4878" t="str">
            <v>-</v>
          </cell>
          <cell r="X4878" t="str">
            <v>CLP 220 (-15/+40°C)</v>
          </cell>
          <cell r="Y4878" t="str">
            <v>R107DRN180M4 /TF</v>
          </cell>
          <cell r="Z4878" t="str">
            <v>SEW</v>
          </cell>
          <cell r="AB4878" t="str">
            <v>-</v>
          </cell>
          <cell r="AF4878">
            <v>65</v>
          </cell>
          <cell r="AG4878" t="str">
            <v>DRN180M4</v>
          </cell>
          <cell r="AH4878" t="str">
            <v>R107-DRN180M4270-X</v>
          </cell>
        </row>
        <row r="4879">
          <cell r="A4879" t="str">
            <v>MR004868</v>
          </cell>
          <cell r="B4879" t="str">
            <v>MR</v>
          </cell>
          <cell r="C4879">
            <v>45</v>
          </cell>
          <cell r="D4879">
            <v>49</v>
          </cell>
          <cell r="E4879" t="str">
            <v>R147</v>
          </cell>
          <cell r="F4879">
            <v>8680</v>
          </cell>
          <cell r="G4879">
            <v>29.95</v>
          </cell>
          <cell r="H4879">
            <v>1.5</v>
          </cell>
          <cell r="I4879" t="str">
            <v>M4</v>
          </cell>
          <cell r="J4879" t="str">
            <v>IE3</v>
          </cell>
          <cell r="K4879">
            <v>415</v>
          </cell>
          <cell r="L4879">
            <v>50</v>
          </cell>
          <cell r="M4879">
            <v>78</v>
          </cell>
          <cell r="N4879">
            <v>65</v>
          </cell>
          <cell r="O4879" t="str">
            <v>155(F)</v>
          </cell>
          <cell r="P4879" t="str">
            <v>270°</v>
          </cell>
          <cell r="Q4879" t="str">
            <v>TF</v>
          </cell>
          <cell r="R4879" t="str">
            <v>-</v>
          </cell>
          <cell r="S4879" t="str">
            <v>-</v>
          </cell>
          <cell r="T4879" t="str">
            <v>-</v>
          </cell>
          <cell r="U4879" t="str">
            <v>-</v>
          </cell>
          <cell r="V4879" t="str">
            <v>D</v>
          </cell>
          <cell r="W4879" t="str">
            <v>-</v>
          </cell>
          <cell r="X4879" t="str">
            <v>CLP 220 (-15/+40°C)</v>
          </cell>
          <cell r="Y4879" t="str">
            <v>R147DRN225M4 /TF</v>
          </cell>
          <cell r="Z4879" t="str">
            <v>SEW</v>
          </cell>
          <cell r="AB4879" t="str">
            <v>-</v>
          </cell>
          <cell r="AF4879">
            <v>49</v>
          </cell>
          <cell r="AG4879" t="str">
            <v>DRN225M4</v>
          </cell>
          <cell r="AH4879" t="str">
            <v>R147-DRN225M4270-X</v>
          </cell>
        </row>
        <row r="4880">
          <cell r="A4880" t="str">
            <v>MR004869</v>
          </cell>
          <cell r="B4880" t="str">
            <v>MR</v>
          </cell>
          <cell r="C4880">
            <v>11</v>
          </cell>
          <cell r="D4880">
            <v>15</v>
          </cell>
          <cell r="E4880" t="str">
            <v>KH107</v>
          </cell>
          <cell r="F4880">
            <v>7180</v>
          </cell>
          <cell r="G4880">
            <v>100.75</v>
          </cell>
          <cell r="H4880">
            <v>1.1000000000000001</v>
          </cell>
          <cell r="I4880" t="str">
            <v>From M1B to M2B - 25°</v>
          </cell>
          <cell r="J4880" t="str">
            <v>IE3</v>
          </cell>
          <cell r="K4880">
            <v>415</v>
          </cell>
          <cell r="L4880">
            <v>50</v>
          </cell>
          <cell r="M4880" t="str">
            <v>21/12,2</v>
          </cell>
          <cell r="N4880">
            <v>65</v>
          </cell>
          <cell r="O4880" t="str">
            <v>155(F)</v>
          </cell>
          <cell r="P4880" t="str">
            <v>0°</v>
          </cell>
          <cell r="Q4880" t="str">
            <v>TF</v>
          </cell>
          <cell r="R4880" t="str">
            <v>-</v>
          </cell>
          <cell r="S4880" t="str">
            <v>-</v>
          </cell>
          <cell r="T4880" t="str">
            <v>-</v>
          </cell>
          <cell r="U4880" t="str">
            <v>-</v>
          </cell>
          <cell r="V4880" t="str">
            <v>SS</v>
          </cell>
          <cell r="W4880" t="str">
            <v>-</v>
          </cell>
          <cell r="X4880" t="str">
            <v>CLP 220 (-15/+40°C)</v>
          </cell>
          <cell r="Y4880" t="str">
            <v>KH107DRN160M4 /TF</v>
          </cell>
          <cell r="Z4880" t="str">
            <v>SEW</v>
          </cell>
          <cell r="AB4880" t="str">
            <v>-</v>
          </cell>
          <cell r="AF4880">
            <v>15</v>
          </cell>
          <cell r="AG4880" t="str">
            <v>DRN160M4</v>
          </cell>
          <cell r="AH4880" t="str">
            <v>KH107-DRN160M4B0-X</v>
          </cell>
        </row>
        <row r="4881">
          <cell r="A4881" t="str">
            <v>MR004870</v>
          </cell>
          <cell r="B4881" t="str">
            <v>MR</v>
          </cell>
          <cell r="C4881">
            <v>2.2000000000000002</v>
          </cell>
          <cell r="D4881">
            <v>116</v>
          </cell>
          <cell r="E4881" t="str">
            <v>KH67</v>
          </cell>
          <cell r="F4881">
            <v>181</v>
          </cell>
          <cell r="G4881">
            <v>12.48</v>
          </cell>
          <cell r="H4881" t="str">
            <v>-</v>
          </cell>
          <cell r="I4881" t="str">
            <v>From M1B to M6B - 15°</v>
          </cell>
          <cell r="J4881" t="str">
            <v>IE3</v>
          </cell>
          <cell r="K4881">
            <v>415</v>
          </cell>
          <cell r="L4881">
            <v>50</v>
          </cell>
          <cell r="M4881" t="str">
            <v>8,3/4,8</v>
          </cell>
          <cell r="N4881">
            <v>65</v>
          </cell>
          <cell r="O4881" t="str">
            <v>155(F)</v>
          </cell>
          <cell r="P4881" t="str">
            <v>0°</v>
          </cell>
          <cell r="Q4881" t="str">
            <v>TF</v>
          </cell>
          <cell r="R4881" t="str">
            <v>-</v>
          </cell>
          <cell r="S4881" t="str">
            <v>-</v>
          </cell>
          <cell r="T4881" t="str">
            <v>-</v>
          </cell>
          <cell r="U4881" t="str">
            <v>T</v>
          </cell>
          <cell r="V4881" t="str">
            <v>D</v>
          </cell>
          <cell r="W4881" t="str">
            <v>-</v>
          </cell>
          <cell r="X4881" t="str">
            <v>CLP 220 (-15/+40°C)</v>
          </cell>
          <cell r="Y4881" t="str">
            <v>KH67/T EDRN100LS4 /TF</v>
          </cell>
          <cell r="Z4881" t="str">
            <v>SEW</v>
          </cell>
          <cell r="AB4881" t="str">
            <v>ATEX22</v>
          </cell>
          <cell r="AF4881">
            <v>116</v>
          </cell>
          <cell r="AG4881" t="str">
            <v>EDRN100LS4</v>
          </cell>
          <cell r="AH4881" t="str">
            <v>KH67T-EDRN100LS4B0-X</v>
          </cell>
        </row>
        <row r="4882">
          <cell r="A4882" t="str">
            <v>MR004871</v>
          </cell>
          <cell r="B4882" t="str">
            <v>MR</v>
          </cell>
          <cell r="C4882">
            <v>2.2000000000000002</v>
          </cell>
          <cell r="D4882">
            <v>116</v>
          </cell>
          <cell r="E4882" t="str">
            <v>KH67</v>
          </cell>
          <cell r="F4882">
            <v>181</v>
          </cell>
          <cell r="G4882">
            <v>12.48</v>
          </cell>
          <cell r="H4882" t="str">
            <v>-</v>
          </cell>
          <cell r="I4882" t="str">
            <v>From M1B to M6B - 25°</v>
          </cell>
          <cell r="J4882" t="str">
            <v>IE3</v>
          </cell>
          <cell r="K4882">
            <v>415</v>
          </cell>
          <cell r="L4882">
            <v>50</v>
          </cell>
          <cell r="M4882" t="str">
            <v>8,3/4,8</v>
          </cell>
          <cell r="N4882">
            <v>65</v>
          </cell>
          <cell r="O4882" t="str">
            <v>155(F)</v>
          </cell>
          <cell r="P4882" t="str">
            <v>0°</v>
          </cell>
          <cell r="Q4882" t="str">
            <v>TF</v>
          </cell>
          <cell r="R4882" t="str">
            <v>-</v>
          </cell>
          <cell r="S4882" t="str">
            <v>-</v>
          </cell>
          <cell r="T4882" t="str">
            <v>-</v>
          </cell>
          <cell r="U4882" t="str">
            <v>T</v>
          </cell>
          <cell r="V4882" t="str">
            <v>D</v>
          </cell>
          <cell r="W4882" t="str">
            <v>-</v>
          </cell>
          <cell r="X4882" t="str">
            <v>CLP 220 (-15/+40°C)</v>
          </cell>
          <cell r="Y4882" t="str">
            <v>KH67/T EDRN100LS4 /TF</v>
          </cell>
          <cell r="Z4882" t="str">
            <v>SEW</v>
          </cell>
          <cell r="AB4882" t="str">
            <v>ATEX22</v>
          </cell>
          <cell r="AF4882">
            <v>116</v>
          </cell>
          <cell r="AG4882" t="str">
            <v>EDRN100LS4</v>
          </cell>
          <cell r="AH4882" t="str">
            <v>KH67T-EDRN100LS4B0-X</v>
          </cell>
        </row>
        <row r="4883">
          <cell r="A4883" t="str">
            <v>MR004872</v>
          </cell>
          <cell r="B4883" t="str">
            <v>MR</v>
          </cell>
          <cell r="C4883">
            <v>18.5</v>
          </cell>
          <cell r="D4883">
            <v>29</v>
          </cell>
          <cell r="E4883" t="str">
            <v>R137</v>
          </cell>
          <cell r="F4883">
            <v>6070</v>
          </cell>
          <cell r="G4883">
            <v>50.88</v>
          </cell>
          <cell r="H4883">
            <v>1.3</v>
          </cell>
          <cell r="I4883" t="str">
            <v>M1</v>
          </cell>
          <cell r="J4883" t="str">
            <v>IE3</v>
          </cell>
          <cell r="K4883" t="str">
            <v>400/690</v>
          </cell>
          <cell r="L4883">
            <v>50</v>
          </cell>
          <cell r="M4883" t="str">
            <v>33,5/19,3</v>
          </cell>
          <cell r="N4883">
            <v>65</v>
          </cell>
          <cell r="O4883" t="str">
            <v>155(F)</v>
          </cell>
          <cell r="P4883" t="str">
            <v>0°</v>
          </cell>
          <cell r="Q4883" t="str">
            <v>TF</v>
          </cell>
          <cell r="R4883" t="str">
            <v>V(VE)</v>
          </cell>
          <cell r="S4883" t="str">
            <v>-</v>
          </cell>
          <cell r="T4883" t="str">
            <v>-</v>
          </cell>
          <cell r="U4883" t="str">
            <v>-</v>
          </cell>
          <cell r="V4883" t="str">
            <v>FC</v>
          </cell>
          <cell r="W4883" t="str">
            <v>-</v>
          </cell>
          <cell r="X4883" t="str">
            <v>CLP 220 (-15/+40°C)</v>
          </cell>
          <cell r="Y4883" t="str">
            <v>R137DRN180M4 /TF/V</v>
          </cell>
          <cell r="Z4883" t="str">
            <v>SEW</v>
          </cell>
          <cell r="AB4883" t="str">
            <v>-</v>
          </cell>
          <cell r="AF4883">
            <v>29</v>
          </cell>
          <cell r="AG4883" t="str">
            <v>DRN180M4</v>
          </cell>
          <cell r="AH4883" t="str">
            <v>R137-DRN180M40-X#</v>
          </cell>
        </row>
        <row r="4884">
          <cell r="A4884" t="str">
            <v>MR004873</v>
          </cell>
          <cell r="B4884" t="str">
            <v>MR</v>
          </cell>
          <cell r="C4884">
            <v>7.5</v>
          </cell>
          <cell r="D4884">
            <v>75</v>
          </cell>
          <cell r="E4884" t="str">
            <v>KH87</v>
          </cell>
          <cell r="F4884">
            <v>940</v>
          </cell>
          <cell r="G4884">
            <v>19.45</v>
          </cell>
          <cell r="H4884">
            <v>2.4</v>
          </cell>
          <cell r="I4884" t="str">
            <v>From M4A to M1A - 25°</v>
          </cell>
          <cell r="J4884" t="str">
            <v>IE3</v>
          </cell>
          <cell r="K4884" t="str">
            <v>400/690</v>
          </cell>
          <cell r="L4884">
            <v>50</v>
          </cell>
          <cell r="M4884" t="str">
            <v>15,2/8,8</v>
          </cell>
          <cell r="N4884">
            <v>65</v>
          </cell>
          <cell r="O4884" t="str">
            <v>155(F)</v>
          </cell>
          <cell r="P4884" t="str">
            <v>270°</v>
          </cell>
          <cell r="Q4884" t="str">
            <v>TF</v>
          </cell>
          <cell r="R4884" t="str">
            <v>-</v>
          </cell>
          <cell r="S4884" t="str">
            <v>Free rotation CCW</v>
          </cell>
          <cell r="T4884" t="str">
            <v>-</v>
          </cell>
          <cell r="U4884" t="str">
            <v>T</v>
          </cell>
          <cell r="V4884" t="str">
            <v>SS</v>
          </cell>
          <cell r="W4884" t="str">
            <v>-</v>
          </cell>
          <cell r="X4884" t="str">
            <v>CLP 220 (-15/+40°C)</v>
          </cell>
          <cell r="Y4884" t="str">
            <v>KH87/T DRN132M4 /RS /TF</v>
          </cell>
          <cell r="Z4884" t="str">
            <v>SEW</v>
          </cell>
          <cell r="AB4884" t="str">
            <v>-</v>
          </cell>
          <cell r="AF4884">
            <v>75</v>
          </cell>
          <cell r="AG4884" t="str">
            <v>DRN132M4</v>
          </cell>
          <cell r="AH4884" t="str">
            <v>KH87T-DRN132M4A270-X</v>
          </cell>
        </row>
        <row r="4885">
          <cell r="A4885" t="str">
            <v>MR004874</v>
          </cell>
          <cell r="B4885" t="str">
            <v>MR</v>
          </cell>
          <cell r="C4885">
            <v>7.5</v>
          </cell>
          <cell r="D4885">
            <v>75</v>
          </cell>
          <cell r="E4885" t="str">
            <v>KH87</v>
          </cell>
          <cell r="F4885">
            <v>940</v>
          </cell>
          <cell r="G4885">
            <v>19.45</v>
          </cell>
          <cell r="H4885">
            <v>2.4</v>
          </cell>
          <cell r="I4885" t="str">
            <v>M4B</v>
          </cell>
          <cell r="J4885" t="str">
            <v>IE3</v>
          </cell>
          <cell r="K4885" t="str">
            <v>400/690</v>
          </cell>
          <cell r="L4885">
            <v>50</v>
          </cell>
          <cell r="M4885" t="str">
            <v>15,2/8,8</v>
          </cell>
          <cell r="N4885">
            <v>65</v>
          </cell>
          <cell r="O4885" t="str">
            <v>155(F)</v>
          </cell>
          <cell r="P4885" t="str">
            <v>270°</v>
          </cell>
          <cell r="Q4885" t="str">
            <v>TF</v>
          </cell>
          <cell r="R4885" t="str">
            <v>-</v>
          </cell>
          <cell r="S4885" t="str">
            <v>-</v>
          </cell>
          <cell r="T4885" t="str">
            <v>-</v>
          </cell>
          <cell r="U4885" t="str">
            <v>T</v>
          </cell>
          <cell r="V4885" t="str">
            <v>SS</v>
          </cell>
          <cell r="W4885" t="str">
            <v>-</v>
          </cell>
          <cell r="X4885" t="str">
            <v>CLP 220 (-15/+40°C)</v>
          </cell>
          <cell r="Y4885" t="str">
            <v>KH87/T DRN132M4 /TF</v>
          </cell>
          <cell r="Z4885" t="str">
            <v>SEW</v>
          </cell>
          <cell r="AB4885" t="str">
            <v>-</v>
          </cell>
          <cell r="AF4885">
            <v>75</v>
          </cell>
          <cell r="AG4885" t="str">
            <v>DRN132M4</v>
          </cell>
          <cell r="AH4885" t="str">
            <v>KH87T-DRN132M4B270-X</v>
          </cell>
        </row>
        <row r="4886">
          <cell r="A4886" t="str">
            <v>MR004875</v>
          </cell>
          <cell r="B4886" t="str">
            <v>MR</v>
          </cell>
          <cell r="C4886">
            <v>0.75</v>
          </cell>
          <cell r="D4886">
            <v>162</v>
          </cell>
          <cell r="E4886" t="str">
            <v>KA37</v>
          </cell>
          <cell r="F4886">
            <v>44</v>
          </cell>
          <cell r="G4886">
            <v>8.91</v>
          </cell>
          <cell r="H4886">
            <v>3.6</v>
          </cell>
          <cell r="I4886" t="str">
            <v>From M3B to M2B - 40°</v>
          </cell>
          <cell r="J4886" t="str">
            <v>IE3</v>
          </cell>
          <cell r="K4886" t="str">
            <v>230/400</v>
          </cell>
          <cell r="L4886">
            <v>50</v>
          </cell>
          <cell r="M4886" t="str">
            <v>3,05/1,75</v>
          </cell>
          <cell r="N4886">
            <v>65</v>
          </cell>
          <cell r="O4886" t="str">
            <v>155(F)</v>
          </cell>
          <cell r="P4886" t="str">
            <v>0°</v>
          </cell>
          <cell r="Q4886" t="str">
            <v>TF</v>
          </cell>
          <cell r="R4886" t="str">
            <v>-</v>
          </cell>
          <cell r="S4886" t="str">
            <v>-</v>
          </cell>
          <cell r="T4886" t="str">
            <v>-</v>
          </cell>
          <cell r="U4886" t="str">
            <v>T</v>
          </cell>
          <cell r="V4886" t="str">
            <v>D</v>
          </cell>
          <cell r="W4886" t="str">
            <v>-</v>
          </cell>
          <cell r="X4886" t="str">
            <v>CLP 220 (-15/+40°C)</v>
          </cell>
          <cell r="Y4886" t="str">
            <v>KA37/T DRN80M4 /TF</v>
          </cell>
          <cell r="Z4886" t="str">
            <v>SEW</v>
          </cell>
          <cell r="AB4886" t="str">
            <v>-</v>
          </cell>
          <cell r="AF4886">
            <v>162</v>
          </cell>
          <cell r="AG4886" t="str">
            <v>DRN80M4</v>
          </cell>
          <cell r="AH4886" t="str">
            <v>KA37T-DRN80M4B0-X</v>
          </cell>
        </row>
        <row r="4887">
          <cell r="A4887" t="str">
            <v>MR004876</v>
          </cell>
          <cell r="B4887" t="str">
            <v>MR</v>
          </cell>
          <cell r="C4887">
            <v>0.75</v>
          </cell>
          <cell r="D4887">
            <v>6.4</v>
          </cell>
          <cell r="E4887" t="str">
            <v>FH77</v>
          </cell>
          <cell r="F4887">
            <v>1120</v>
          </cell>
          <cell r="G4887">
            <v>225.79</v>
          </cell>
          <cell r="H4887">
            <v>1.35</v>
          </cell>
          <cell r="I4887" t="str">
            <v>From M5 to M3 - 25°</v>
          </cell>
          <cell r="J4887" t="str">
            <v>IE3</v>
          </cell>
          <cell r="K4887" t="str">
            <v>230/400</v>
          </cell>
          <cell r="L4887">
            <v>50</v>
          </cell>
          <cell r="M4887" t="str">
            <v>3,05/1,75</v>
          </cell>
          <cell r="N4887">
            <v>65</v>
          </cell>
          <cell r="O4887" t="str">
            <v>155(F)</v>
          </cell>
          <cell r="P4887" t="str">
            <v>180°</v>
          </cell>
          <cell r="Q4887" t="str">
            <v>TF</v>
          </cell>
          <cell r="R4887" t="str">
            <v>-</v>
          </cell>
          <cell r="S4887" t="str">
            <v>-</v>
          </cell>
          <cell r="T4887" t="str">
            <v>-</v>
          </cell>
          <cell r="U4887" t="str">
            <v>G</v>
          </cell>
          <cell r="V4887" t="str">
            <v>D</v>
          </cell>
          <cell r="W4887" t="str">
            <v>-</v>
          </cell>
          <cell r="X4887" t="str">
            <v>CLP 220 (-15/+40°C)</v>
          </cell>
          <cell r="Y4887" t="str">
            <v>FH77/G DRN80M4 /TF</v>
          </cell>
          <cell r="Z4887" t="str">
            <v>SEW</v>
          </cell>
          <cell r="AB4887" t="str">
            <v>-</v>
          </cell>
          <cell r="AF4887">
            <v>6.4</v>
          </cell>
          <cell r="AG4887" t="str">
            <v>DRN80M4</v>
          </cell>
          <cell r="AH4887" t="str">
            <v>FH77G-DRN80M4180-X</v>
          </cell>
        </row>
        <row r="4888">
          <cell r="A4888" t="str">
            <v>MR004877</v>
          </cell>
          <cell r="B4888" t="str">
            <v>MR</v>
          </cell>
          <cell r="C4888">
            <v>15</v>
          </cell>
          <cell r="D4888">
            <v>62</v>
          </cell>
          <cell r="E4888" t="str">
            <v>FH87</v>
          </cell>
          <cell r="F4888">
            <v>2300</v>
          </cell>
          <cell r="G4888">
            <v>23.68</v>
          </cell>
          <cell r="H4888">
            <v>1.3</v>
          </cell>
          <cell r="I4888" t="str">
            <v>M1</v>
          </cell>
          <cell r="J4888" t="str">
            <v>IE3</v>
          </cell>
          <cell r="K4888" t="str">
            <v>230/400</v>
          </cell>
          <cell r="L4888">
            <v>50</v>
          </cell>
          <cell r="M4888" t="str">
            <v>50/29</v>
          </cell>
          <cell r="N4888">
            <v>55</v>
          </cell>
          <cell r="O4888" t="str">
            <v>155(F)</v>
          </cell>
          <cell r="P4888" t="str">
            <v>270°</v>
          </cell>
          <cell r="Q4888" t="str">
            <v>TF</v>
          </cell>
          <cell r="R4888" t="str">
            <v>-</v>
          </cell>
          <cell r="S4888" t="str">
            <v>-</v>
          </cell>
          <cell r="T4888" t="str">
            <v>-</v>
          </cell>
          <cell r="U4888" t="str">
            <v>G</v>
          </cell>
          <cell r="V4888" t="str">
            <v>FC</v>
          </cell>
          <cell r="W4888" t="str">
            <v>-</v>
          </cell>
          <cell r="X4888" t="str">
            <v>CLP 220 (-15/+40°C)</v>
          </cell>
          <cell r="Y4888" t="str">
            <v>FH87/G DRN160L4 /TF</v>
          </cell>
          <cell r="Z4888" t="str">
            <v>SEW</v>
          </cell>
          <cell r="AB4888" t="str">
            <v>-</v>
          </cell>
          <cell r="AF4888">
            <v>62</v>
          </cell>
          <cell r="AG4888" t="str">
            <v>DRN160L4</v>
          </cell>
          <cell r="AH4888" t="str">
            <v>FH87G-DRN160L4270-X</v>
          </cell>
        </row>
        <row r="4889">
          <cell r="A4889" t="str">
            <v>MR004878</v>
          </cell>
          <cell r="B4889" t="str">
            <v>MR</v>
          </cell>
          <cell r="C4889">
            <v>11</v>
          </cell>
          <cell r="D4889">
            <v>62</v>
          </cell>
          <cell r="E4889" t="str">
            <v>FH87</v>
          </cell>
          <cell r="F4889">
            <v>1680</v>
          </cell>
          <cell r="G4889">
            <v>23.68</v>
          </cell>
          <cell r="H4889">
            <v>1.8</v>
          </cell>
          <cell r="I4889" t="str">
            <v>M1</v>
          </cell>
          <cell r="J4889" t="str">
            <v>IE3</v>
          </cell>
          <cell r="K4889" t="str">
            <v>230/400</v>
          </cell>
          <cell r="L4889">
            <v>50</v>
          </cell>
          <cell r="M4889" t="str">
            <v>36,5/21</v>
          </cell>
          <cell r="N4889">
            <v>55</v>
          </cell>
          <cell r="O4889" t="str">
            <v>155(F)</v>
          </cell>
          <cell r="P4889" t="str">
            <v>270°</v>
          </cell>
          <cell r="Q4889" t="str">
            <v>TF</v>
          </cell>
          <cell r="R4889" t="str">
            <v>-</v>
          </cell>
          <cell r="S4889" t="str">
            <v>-</v>
          </cell>
          <cell r="T4889" t="str">
            <v>-</v>
          </cell>
          <cell r="U4889" t="str">
            <v>G</v>
          </cell>
          <cell r="V4889" t="str">
            <v>FC</v>
          </cell>
          <cell r="W4889" t="str">
            <v>-</v>
          </cell>
          <cell r="X4889" t="str">
            <v>CLP 220 (-15/+40°C)</v>
          </cell>
          <cell r="Y4889" t="str">
            <v>FH87/G DRN160M4 /TF</v>
          </cell>
          <cell r="Z4889" t="str">
            <v>SEW</v>
          </cell>
          <cell r="AB4889" t="str">
            <v>-</v>
          </cell>
          <cell r="AF4889">
            <v>62</v>
          </cell>
          <cell r="AG4889" t="str">
            <v>DRN160M4</v>
          </cell>
          <cell r="AH4889" t="str">
            <v>FH87G-DRN160M4270-X</v>
          </cell>
        </row>
        <row r="4890">
          <cell r="A4890" t="str">
            <v>MR004879</v>
          </cell>
          <cell r="B4890" t="str">
            <v>MR</v>
          </cell>
          <cell r="C4890">
            <v>9.1999999999999993</v>
          </cell>
          <cell r="D4890">
            <v>62</v>
          </cell>
          <cell r="E4890" t="str">
            <v>FH87</v>
          </cell>
          <cell r="F4890">
            <v>1410</v>
          </cell>
          <cell r="G4890">
            <v>23.68</v>
          </cell>
          <cell r="H4890">
            <v>2.1</v>
          </cell>
          <cell r="I4890" t="str">
            <v>M1</v>
          </cell>
          <cell r="J4890" t="str">
            <v>IE3</v>
          </cell>
          <cell r="K4890" t="str">
            <v>230/400</v>
          </cell>
          <cell r="L4890">
            <v>50</v>
          </cell>
          <cell r="M4890" t="str">
            <v>32,5/18,7</v>
          </cell>
          <cell r="N4890">
            <v>55</v>
          </cell>
          <cell r="O4890" t="str">
            <v>155(F)</v>
          </cell>
          <cell r="P4890" t="str">
            <v>270°</v>
          </cell>
          <cell r="Q4890" t="str">
            <v>TF</v>
          </cell>
          <cell r="R4890" t="str">
            <v>-</v>
          </cell>
          <cell r="S4890" t="str">
            <v>-</v>
          </cell>
          <cell r="T4890" t="str">
            <v>-</v>
          </cell>
          <cell r="U4890" t="str">
            <v>G</v>
          </cell>
          <cell r="V4890" t="str">
            <v>FC</v>
          </cell>
          <cell r="W4890" t="str">
            <v>-</v>
          </cell>
          <cell r="X4890" t="str">
            <v>CLP 220 (-15/+40°C)</v>
          </cell>
          <cell r="Y4890" t="str">
            <v>FH87/G DRN132L4 /TF</v>
          </cell>
          <cell r="Z4890" t="str">
            <v>SEW</v>
          </cell>
          <cell r="AB4890" t="str">
            <v>-</v>
          </cell>
          <cell r="AF4890">
            <v>62</v>
          </cell>
          <cell r="AG4890" t="str">
            <v>DRN132L4</v>
          </cell>
          <cell r="AH4890" t="str">
            <v>FH87G-DRN132L4270-X</v>
          </cell>
        </row>
        <row r="4891">
          <cell r="A4891" t="str">
            <v>MR004880</v>
          </cell>
          <cell r="B4891" t="str">
            <v>ME</v>
          </cell>
          <cell r="C4891">
            <v>4</v>
          </cell>
          <cell r="D4891">
            <v>2945</v>
          </cell>
          <cell r="E4891" t="str">
            <v>1AV3112A</v>
          </cell>
          <cell r="F4891">
            <v>13</v>
          </cell>
          <cell r="G4891" t="str">
            <v>-</v>
          </cell>
          <cell r="H4891" t="str">
            <v>-</v>
          </cell>
          <cell r="I4891" t="str">
            <v>IM B5</v>
          </cell>
          <cell r="J4891" t="str">
            <v>IE3</v>
          </cell>
          <cell r="K4891" t="str">
            <v>230/400</v>
          </cell>
          <cell r="L4891">
            <v>50</v>
          </cell>
          <cell r="M4891" t="str">
            <v>12,8/7,4</v>
          </cell>
          <cell r="N4891">
            <v>65</v>
          </cell>
          <cell r="O4891" t="str">
            <v>155(F)</v>
          </cell>
          <cell r="P4891" t="str">
            <v>TOP</v>
          </cell>
          <cell r="Q4891" t="str">
            <v>TF</v>
          </cell>
          <cell r="R4891" t="str">
            <v>-</v>
          </cell>
          <cell r="S4891" t="str">
            <v>-</v>
          </cell>
          <cell r="T4891" t="str">
            <v>-</v>
          </cell>
          <cell r="U4891" t="str">
            <v>-</v>
          </cell>
          <cell r="V4891" t="str">
            <v>D</v>
          </cell>
          <cell r="W4891" t="str">
            <v>-</v>
          </cell>
          <cell r="X4891" t="str">
            <v>-</v>
          </cell>
          <cell r="Y4891" t="str">
            <v>1LE1003-1BA22-2FB4-Z H2O</v>
          </cell>
          <cell r="Z4891" t="str">
            <v>SIEMENS</v>
          </cell>
          <cell r="AB4891" t="str">
            <v>-</v>
          </cell>
          <cell r="AE4891" t="str">
            <v>2 POLES</v>
          </cell>
          <cell r="AF4891">
            <v>2945</v>
          </cell>
          <cell r="AG4891" t="str">
            <v>1CV3222B</v>
          </cell>
          <cell r="AH4891" t="str">
            <v>1AV3112A-1CV3222BBTOP-X</v>
          </cell>
        </row>
        <row r="4892">
          <cell r="A4892" t="str">
            <v>MR004881</v>
          </cell>
          <cell r="B4892" t="str">
            <v>MR</v>
          </cell>
          <cell r="C4892">
            <v>11</v>
          </cell>
          <cell r="D4892">
            <v>42</v>
          </cell>
          <cell r="E4892" t="str">
            <v>R107</v>
          </cell>
          <cell r="F4892">
            <v>2510</v>
          </cell>
          <cell r="G4892">
            <v>35.26</v>
          </cell>
          <cell r="H4892">
            <v>1.7</v>
          </cell>
          <cell r="I4892" t="str">
            <v>From M1 to M2 - 5°</v>
          </cell>
          <cell r="J4892" t="str">
            <v>IE3</v>
          </cell>
          <cell r="K4892" t="str">
            <v>400/690</v>
          </cell>
          <cell r="L4892">
            <v>50</v>
          </cell>
          <cell r="M4892" t="str">
            <v>21/12,2</v>
          </cell>
          <cell r="N4892">
            <v>55</v>
          </cell>
          <cell r="O4892" t="str">
            <v>155(F)</v>
          </cell>
          <cell r="P4892" t="str">
            <v>270°</v>
          </cell>
          <cell r="Q4892" t="str">
            <v>TF</v>
          </cell>
          <cell r="R4892" t="str">
            <v>V(VE)</v>
          </cell>
          <cell r="S4892" t="str">
            <v>-</v>
          </cell>
          <cell r="T4892" t="str">
            <v>-</v>
          </cell>
          <cell r="U4892" t="str">
            <v>-</v>
          </cell>
          <cell r="V4892" t="str">
            <v>FC+R</v>
          </cell>
          <cell r="W4892" t="str">
            <v>-</v>
          </cell>
          <cell r="X4892" t="str">
            <v>CLP 220 (-15/+40°C)</v>
          </cell>
          <cell r="Y4892" t="str">
            <v>R107DRN160M4 /TF/V</v>
          </cell>
          <cell r="Z4892" t="str">
            <v>SEW</v>
          </cell>
          <cell r="AB4892" t="str">
            <v>-</v>
          </cell>
          <cell r="AF4892">
            <v>42</v>
          </cell>
          <cell r="AG4892" t="str">
            <v>DRN160M4</v>
          </cell>
          <cell r="AH4892" t="str">
            <v>R107-DRN160M4270-X#</v>
          </cell>
        </row>
        <row r="4893">
          <cell r="A4893" t="str">
            <v>MR004882</v>
          </cell>
          <cell r="B4893" t="str">
            <v>MR</v>
          </cell>
          <cell r="C4893">
            <v>1.5</v>
          </cell>
          <cell r="D4893">
            <v>22</v>
          </cell>
          <cell r="E4893" t="str">
            <v>FA67</v>
          </cell>
          <cell r="F4893">
            <v>665</v>
          </cell>
          <cell r="G4893">
            <v>67.650000000000006</v>
          </cell>
          <cell r="H4893">
            <v>1.3</v>
          </cell>
          <cell r="I4893" t="str">
            <v>From M1 to M6 - 5°</v>
          </cell>
          <cell r="J4893" t="str">
            <v>IE3</v>
          </cell>
          <cell r="K4893" t="str">
            <v>230/400</v>
          </cell>
          <cell r="L4893">
            <v>50</v>
          </cell>
          <cell r="M4893" t="str">
            <v>5,9/3,4</v>
          </cell>
          <cell r="N4893">
            <v>55</v>
          </cell>
          <cell r="O4893" t="str">
            <v>155(F)</v>
          </cell>
          <cell r="P4893" t="str">
            <v>0°</v>
          </cell>
          <cell r="Q4893" t="str">
            <v>TF</v>
          </cell>
          <cell r="R4893" t="str">
            <v>-</v>
          </cell>
          <cell r="S4893" t="str">
            <v>-</v>
          </cell>
          <cell r="T4893" t="str">
            <v>BEHF</v>
          </cell>
          <cell r="U4893" t="str">
            <v>G</v>
          </cell>
          <cell r="V4893" t="str">
            <v>D+R</v>
          </cell>
          <cell r="W4893" t="str">
            <v>-</v>
          </cell>
          <cell r="X4893" t="str">
            <v>CLP 220 (-15/+40°C)</v>
          </cell>
          <cell r="Y4893" t="str">
            <v>FA67/G DRN90L4 /BEHF /TF</v>
          </cell>
          <cell r="Z4893" t="str">
            <v>SEW</v>
          </cell>
          <cell r="AB4893" t="str">
            <v>-</v>
          </cell>
          <cell r="AF4893">
            <v>22</v>
          </cell>
          <cell r="AG4893" t="str">
            <v>DRN90L4</v>
          </cell>
          <cell r="AH4893" t="str">
            <v>FA67G-DRN90L40-X</v>
          </cell>
        </row>
        <row r="4894">
          <cell r="A4894" t="str">
            <v>MR004883</v>
          </cell>
          <cell r="B4894" t="str">
            <v>MR</v>
          </cell>
          <cell r="C4894">
            <v>9.1999999999999993</v>
          </cell>
          <cell r="D4894">
            <v>40</v>
          </cell>
          <cell r="E4894" t="str">
            <v>R97</v>
          </cell>
          <cell r="F4894">
            <v>2220</v>
          </cell>
          <cell r="G4894">
            <v>37.130000000000003</v>
          </cell>
          <cell r="H4894">
            <v>1.35</v>
          </cell>
          <cell r="I4894" t="str">
            <v>M1</v>
          </cell>
          <cell r="J4894" t="str">
            <v>IE3</v>
          </cell>
          <cell r="K4894" t="str">
            <v>400/690</v>
          </cell>
          <cell r="L4894">
            <v>50</v>
          </cell>
          <cell r="M4894" t="str">
            <v>18,7/10,8</v>
          </cell>
          <cell r="N4894">
            <v>55</v>
          </cell>
          <cell r="O4894" t="str">
            <v>155(F)</v>
          </cell>
          <cell r="P4894" t="str">
            <v>270°</v>
          </cell>
          <cell r="Q4894" t="str">
            <v>TF</v>
          </cell>
          <cell r="R4894" t="str">
            <v>V(VE)</v>
          </cell>
          <cell r="S4894" t="str">
            <v>-</v>
          </cell>
          <cell r="T4894" t="str">
            <v>-</v>
          </cell>
          <cell r="U4894" t="str">
            <v>-</v>
          </cell>
          <cell r="V4894" t="str">
            <v>FC+R</v>
          </cell>
          <cell r="W4894" t="str">
            <v>-</v>
          </cell>
          <cell r="X4894" t="str">
            <v>CLP 220 (-15/+40°C)</v>
          </cell>
          <cell r="Y4894" t="str">
            <v>R97DRN132L4 /TF/V</v>
          </cell>
          <cell r="Z4894" t="str">
            <v>SEW</v>
          </cell>
          <cell r="AB4894" t="str">
            <v>-</v>
          </cell>
          <cell r="AF4894">
            <v>40</v>
          </cell>
          <cell r="AG4894" t="str">
            <v>DRN132L4</v>
          </cell>
          <cell r="AH4894" t="str">
            <v>R97-DRN132L4270-X#</v>
          </cell>
        </row>
        <row r="4895">
          <cell r="A4895" t="str">
            <v>MR004884</v>
          </cell>
          <cell r="B4895" t="str">
            <v>MR</v>
          </cell>
          <cell r="C4895">
            <v>11</v>
          </cell>
          <cell r="D4895">
            <v>59</v>
          </cell>
          <cell r="E4895" t="str">
            <v>R107</v>
          </cell>
          <cell r="F4895">
            <v>1780</v>
          </cell>
          <cell r="G4895">
            <v>24.9</v>
          </cell>
          <cell r="H4895">
            <v>2.4</v>
          </cell>
          <cell r="I4895" t="str">
            <v>M1</v>
          </cell>
          <cell r="J4895" t="str">
            <v>IE3</v>
          </cell>
          <cell r="K4895" t="str">
            <v>400/690</v>
          </cell>
          <cell r="L4895">
            <v>50</v>
          </cell>
          <cell r="M4895" t="str">
            <v>21/12,2</v>
          </cell>
          <cell r="N4895">
            <v>55</v>
          </cell>
          <cell r="O4895" t="str">
            <v>155(F)</v>
          </cell>
          <cell r="P4895" t="str">
            <v>270°</v>
          </cell>
          <cell r="Q4895" t="str">
            <v>TF</v>
          </cell>
          <cell r="R4895" t="str">
            <v>-</v>
          </cell>
          <cell r="S4895" t="str">
            <v>-</v>
          </cell>
          <cell r="T4895" t="str">
            <v>-</v>
          </cell>
          <cell r="U4895" t="str">
            <v>-</v>
          </cell>
          <cell r="V4895" t="str">
            <v>D</v>
          </cell>
          <cell r="W4895" t="str">
            <v>-</v>
          </cell>
          <cell r="X4895" t="str">
            <v>CLP 220 (-15/+40°C)</v>
          </cell>
          <cell r="Y4895" t="str">
            <v>R107DRN160M4 /TF</v>
          </cell>
          <cell r="Z4895" t="str">
            <v>SEW</v>
          </cell>
          <cell r="AB4895" t="str">
            <v>-</v>
          </cell>
          <cell r="AF4895">
            <v>59</v>
          </cell>
          <cell r="AG4895" t="str">
            <v>DRN160M4</v>
          </cell>
          <cell r="AH4895" t="str">
            <v>R107-DRN160M4270-X</v>
          </cell>
        </row>
        <row r="4896">
          <cell r="A4896" t="str">
            <v>MR004885</v>
          </cell>
          <cell r="B4896" t="str">
            <v>MR</v>
          </cell>
          <cell r="C4896">
            <v>11</v>
          </cell>
          <cell r="D4896">
            <v>33.333333333333336</v>
          </cell>
          <cell r="E4896" t="str">
            <v>FH97</v>
          </cell>
          <cell r="F4896">
            <v>2630</v>
          </cell>
          <cell r="G4896">
            <v>44.49</v>
          </cell>
          <cell r="H4896">
            <v>1.65</v>
          </cell>
          <cell r="I4896" t="str">
            <v>From M1 to M4 - 10°</v>
          </cell>
          <cell r="J4896" t="str">
            <v>IE4</v>
          </cell>
          <cell r="K4896" t="str">
            <v>266/460</v>
          </cell>
          <cell r="L4896">
            <v>60</v>
          </cell>
          <cell r="M4896" t="str">
            <v>32/18,5</v>
          </cell>
          <cell r="N4896">
            <v>65</v>
          </cell>
          <cell r="O4896" t="str">
            <v>155(F)</v>
          </cell>
          <cell r="P4896" t="str">
            <v>270°</v>
          </cell>
          <cell r="Q4896" t="str">
            <v>TF</v>
          </cell>
          <cell r="R4896" t="str">
            <v>-</v>
          </cell>
          <cell r="S4896" t="str">
            <v>-</v>
          </cell>
          <cell r="T4896" t="str">
            <v>-</v>
          </cell>
          <cell r="U4896" t="str">
            <v>G</v>
          </cell>
          <cell r="V4896" t="str">
            <v>D</v>
          </cell>
          <cell r="X4896" t="str">
            <v>CLP 220 (-15/+40°C)</v>
          </cell>
          <cell r="Y4896" t="str">
            <v>FH97/G DRU160L4/TF</v>
          </cell>
          <cell r="Z4896" t="str">
            <v>SEW</v>
          </cell>
          <cell r="AB4896" t="str">
            <v>-</v>
          </cell>
          <cell r="AD4896" t="str">
            <v>USA</v>
          </cell>
          <cell r="AF4896">
            <v>40.000000000000007</v>
          </cell>
          <cell r="AG4896" t="str">
            <v>DRN160M4</v>
          </cell>
          <cell r="AH4896" t="str">
            <v>FH97G-DRN160M4270-X</v>
          </cell>
        </row>
        <row r="4897">
          <cell r="A4897" t="str">
            <v>MR004886</v>
          </cell>
          <cell r="B4897" t="str">
            <v>MR</v>
          </cell>
          <cell r="C4897">
            <v>11</v>
          </cell>
          <cell r="D4897">
            <v>33.333333333333336</v>
          </cell>
          <cell r="E4897" t="str">
            <v>FH97</v>
          </cell>
          <cell r="F4897">
            <v>2630</v>
          </cell>
          <cell r="G4897">
            <v>44.49</v>
          </cell>
          <cell r="H4897">
            <v>1.65</v>
          </cell>
          <cell r="I4897" t="str">
            <v>From M1 to M4 - 20°</v>
          </cell>
          <cell r="J4897" t="str">
            <v>IE4</v>
          </cell>
          <cell r="K4897" t="str">
            <v>266/460</v>
          </cell>
          <cell r="L4897">
            <v>60</v>
          </cell>
          <cell r="M4897" t="str">
            <v>32/18,5</v>
          </cell>
          <cell r="N4897">
            <v>65</v>
          </cell>
          <cell r="O4897" t="str">
            <v>155(F)</v>
          </cell>
          <cell r="P4897" t="str">
            <v>270°</v>
          </cell>
          <cell r="Q4897" t="str">
            <v>TF</v>
          </cell>
          <cell r="R4897" t="str">
            <v>-</v>
          </cell>
          <cell r="S4897" t="str">
            <v>-</v>
          </cell>
          <cell r="T4897" t="str">
            <v>-</v>
          </cell>
          <cell r="U4897" t="str">
            <v>G</v>
          </cell>
          <cell r="V4897" t="str">
            <v>D</v>
          </cell>
          <cell r="W4897" t="str">
            <v>-</v>
          </cell>
          <cell r="X4897" t="str">
            <v>CLP 220 (-15/+40°C)</v>
          </cell>
          <cell r="Y4897" t="str">
            <v>FH97/G DRU160L4/TF</v>
          </cell>
          <cell r="Z4897" t="str">
            <v>SEW</v>
          </cell>
          <cell r="AB4897" t="str">
            <v>-</v>
          </cell>
          <cell r="AD4897" t="str">
            <v>USA</v>
          </cell>
          <cell r="AF4897">
            <v>40.000000000000007</v>
          </cell>
          <cell r="AG4897" t="str">
            <v>DRN160M4</v>
          </cell>
          <cell r="AH4897" t="str">
            <v>FH97G-DRN160M4270-X</v>
          </cell>
        </row>
        <row r="4898">
          <cell r="A4898" t="str">
            <v>MR004887</v>
          </cell>
          <cell r="B4898" t="str">
            <v>MR</v>
          </cell>
          <cell r="C4898">
            <v>11</v>
          </cell>
          <cell r="D4898">
            <v>33.333333333333336</v>
          </cell>
          <cell r="E4898" t="str">
            <v>FH97</v>
          </cell>
          <cell r="F4898">
            <v>2630</v>
          </cell>
          <cell r="G4898">
            <v>44.49</v>
          </cell>
          <cell r="H4898">
            <v>1.65</v>
          </cell>
          <cell r="I4898" t="str">
            <v>From M1 to M2- 30°</v>
          </cell>
          <cell r="J4898" t="str">
            <v>IE4</v>
          </cell>
          <cell r="K4898" t="str">
            <v>266/460</v>
          </cell>
          <cell r="L4898">
            <v>60</v>
          </cell>
          <cell r="M4898" t="str">
            <v>32/18,5</v>
          </cell>
          <cell r="N4898">
            <v>65</v>
          </cell>
          <cell r="O4898" t="str">
            <v>155(F)</v>
          </cell>
          <cell r="P4898" t="str">
            <v>270°</v>
          </cell>
          <cell r="Q4898" t="str">
            <v>TF</v>
          </cell>
          <cell r="R4898" t="str">
            <v>-</v>
          </cell>
          <cell r="S4898" t="str">
            <v>-</v>
          </cell>
          <cell r="T4898" t="str">
            <v>-</v>
          </cell>
          <cell r="U4898" t="str">
            <v>G</v>
          </cell>
          <cell r="V4898" t="str">
            <v>D</v>
          </cell>
          <cell r="W4898" t="str">
            <v>-</v>
          </cell>
          <cell r="X4898" t="str">
            <v>CLP 220 (-15/+40°C)</v>
          </cell>
          <cell r="Y4898" t="str">
            <v>FH97/G DRU160L4/TF</v>
          </cell>
          <cell r="Z4898" t="str">
            <v>SEW</v>
          </cell>
          <cell r="AB4898" t="str">
            <v>-</v>
          </cell>
          <cell r="AD4898" t="str">
            <v>USA</v>
          </cell>
          <cell r="AF4898">
            <v>40.000000000000007</v>
          </cell>
          <cell r="AG4898" t="str">
            <v>DRN160M4</v>
          </cell>
          <cell r="AH4898" t="str">
            <v>FH97G-DRN160M4270-X</v>
          </cell>
        </row>
        <row r="4899">
          <cell r="A4899" t="str">
            <v>MR004888</v>
          </cell>
          <cell r="B4899" t="str">
            <v>MR</v>
          </cell>
          <cell r="C4899">
            <v>5.5</v>
          </cell>
          <cell r="D4899">
            <v>11.666666666666668</v>
          </cell>
          <cell r="E4899" t="str">
            <v>KH97</v>
          </cell>
          <cell r="F4899">
            <v>3680</v>
          </cell>
          <cell r="G4899">
            <v>123.93</v>
          </cell>
          <cell r="H4899">
            <v>1.1499999999999999</v>
          </cell>
          <cell r="I4899" t="str">
            <v>M1A</v>
          </cell>
          <cell r="J4899" t="str">
            <v>IE4</v>
          </cell>
          <cell r="K4899" t="str">
            <v>266/460</v>
          </cell>
          <cell r="L4899">
            <v>60</v>
          </cell>
          <cell r="M4899" t="str">
            <v>16,6/9,6</v>
          </cell>
          <cell r="N4899">
            <v>65</v>
          </cell>
          <cell r="O4899" t="str">
            <v>155(F)</v>
          </cell>
          <cell r="P4899" t="str">
            <v>270°</v>
          </cell>
          <cell r="Q4899" t="str">
            <v>TF</v>
          </cell>
          <cell r="R4899" t="str">
            <v>-</v>
          </cell>
          <cell r="S4899" t="str">
            <v>-</v>
          </cell>
          <cell r="T4899" t="str">
            <v>-</v>
          </cell>
          <cell r="U4899" t="str">
            <v>-</v>
          </cell>
          <cell r="V4899" t="str">
            <v>SS</v>
          </cell>
          <cell r="W4899" t="str">
            <v>-</v>
          </cell>
          <cell r="X4899" t="str">
            <v>CLP 220 (-15/+40°C)</v>
          </cell>
          <cell r="Y4899" t="str">
            <v>KH97 DRU132M4/TF</v>
          </cell>
          <cell r="Z4899" t="str">
            <v>SEW</v>
          </cell>
          <cell r="AB4899" t="str">
            <v>-</v>
          </cell>
          <cell r="AD4899" t="str">
            <v>USA</v>
          </cell>
          <cell r="AF4899">
            <v>14.000000000000002</v>
          </cell>
          <cell r="AG4899" t="str">
            <v>DRN132S4</v>
          </cell>
          <cell r="AH4899" t="str">
            <v>KH97-DRN132S4A270-X</v>
          </cell>
        </row>
        <row r="4900">
          <cell r="A4900" t="str">
            <v>MR004889</v>
          </cell>
          <cell r="B4900" t="str">
            <v>MR</v>
          </cell>
          <cell r="C4900">
            <v>0.75</v>
          </cell>
          <cell r="D4900">
            <v>15</v>
          </cell>
          <cell r="E4900" t="str">
            <v>FA67</v>
          </cell>
          <cell r="F4900">
            <v>390</v>
          </cell>
          <cell r="G4900">
            <v>95.94</v>
          </cell>
          <cell r="H4900">
            <v>2.2000000000000002</v>
          </cell>
          <cell r="I4900" t="str">
            <v>From M1 to M6 - 80°</v>
          </cell>
          <cell r="J4900" t="str">
            <v>IE4</v>
          </cell>
          <cell r="K4900" t="str">
            <v>266/460</v>
          </cell>
          <cell r="L4900">
            <v>60</v>
          </cell>
          <cell r="M4900" t="str">
            <v>2,7/1,56</v>
          </cell>
          <cell r="N4900">
            <v>65</v>
          </cell>
          <cell r="O4900" t="str">
            <v>155(F)</v>
          </cell>
          <cell r="P4900" t="str">
            <v>270°</v>
          </cell>
          <cell r="Q4900" t="str">
            <v>TF</v>
          </cell>
          <cell r="R4900" t="str">
            <v>-</v>
          </cell>
          <cell r="S4900" t="str">
            <v>-</v>
          </cell>
          <cell r="T4900" t="str">
            <v>BEHF</v>
          </cell>
          <cell r="U4900" t="str">
            <v>G</v>
          </cell>
          <cell r="V4900" t="str">
            <v>D+R</v>
          </cell>
          <cell r="W4900" t="str">
            <v>-</v>
          </cell>
          <cell r="X4900" t="str">
            <v>CLP 220 (-15/+40°C)</v>
          </cell>
          <cell r="Y4900" t="str">
            <v>FA67/G DRU90S4/BE1HF/TF</v>
          </cell>
          <cell r="Z4900" t="str">
            <v>SEW</v>
          </cell>
          <cell r="AB4900" t="str">
            <v>-</v>
          </cell>
          <cell r="AD4900" t="str">
            <v>USA</v>
          </cell>
          <cell r="AF4900">
            <v>18</v>
          </cell>
          <cell r="AG4900" t="str">
            <v>DRN80M4</v>
          </cell>
          <cell r="AH4900" t="str">
            <v>FA67G-DRN80M4270-X</v>
          </cell>
        </row>
        <row r="4901">
          <cell r="A4901" t="str">
            <v>MR004890</v>
          </cell>
          <cell r="B4901" t="str">
            <v>MR</v>
          </cell>
          <cell r="C4901">
            <v>9.1999999999999993</v>
          </cell>
          <cell r="D4901">
            <v>15</v>
          </cell>
          <cell r="E4901" t="str">
            <v>KH107</v>
          </cell>
          <cell r="F4901">
            <v>6010</v>
          </cell>
          <cell r="G4901">
            <v>100.75</v>
          </cell>
          <cell r="H4901">
            <v>1.35</v>
          </cell>
          <cell r="I4901" t="str">
            <v>From M1A to M2A - 45°</v>
          </cell>
          <cell r="J4901" t="str">
            <v>IE3</v>
          </cell>
          <cell r="K4901" t="str">
            <v>240/415</v>
          </cell>
          <cell r="L4901">
            <v>50</v>
          </cell>
          <cell r="M4901" t="str">
            <v>31/18</v>
          </cell>
          <cell r="N4901">
            <v>55</v>
          </cell>
          <cell r="O4901" t="str">
            <v>155(F)</v>
          </cell>
          <cell r="P4901" t="str">
            <v>270°</v>
          </cell>
          <cell r="Q4901" t="str">
            <v>TF</v>
          </cell>
          <cell r="R4901" t="str">
            <v>V(VE)</v>
          </cell>
          <cell r="S4901" t="str">
            <v>-</v>
          </cell>
          <cell r="T4901" t="str">
            <v>-</v>
          </cell>
          <cell r="U4901" t="str">
            <v>-</v>
          </cell>
          <cell r="V4901" t="str">
            <v>FC</v>
          </cell>
          <cell r="W4901" t="str">
            <v>-</v>
          </cell>
          <cell r="X4901" t="str">
            <v>CLP 220 (-15/+40°C)</v>
          </cell>
          <cell r="Y4901" t="str">
            <v>KH107DRN132L4 /TF/V</v>
          </cell>
          <cell r="Z4901" t="str">
            <v>SEW</v>
          </cell>
          <cell r="AB4901" t="str">
            <v>-</v>
          </cell>
          <cell r="AD4901" t="str">
            <v>UK</v>
          </cell>
          <cell r="AF4901">
            <v>15</v>
          </cell>
          <cell r="AG4901" t="str">
            <v>DRN132L4</v>
          </cell>
          <cell r="AH4901" t="str">
            <v>KH107-DRN132L4A270-X#</v>
          </cell>
        </row>
        <row r="4902">
          <cell r="A4902" t="str">
            <v>MR004891</v>
          </cell>
          <cell r="B4902" t="str">
            <v>MR</v>
          </cell>
          <cell r="C4902">
            <v>22</v>
          </cell>
          <cell r="D4902">
            <v>12</v>
          </cell>
          <cell r="E4902" t="str">
            <v>KH157</v>
          </cell>
          <cell r="F4902">
            <v>17400</v>
          </cell>
          <cell r="G4902">
            <v>122.39</v>
          </cell>
          <cell r="H4902">
            <v>1.1499999999999999</v>
          </cell>
          <cell r="I4902" t="str">
            <v>M4A</v>
          </cell>
          <cell r="J4902" t="str">
            <v>IE3</v>
          </cell>
          <cell r="K4902" t="str">
            <v>230/400</v>
          </cell>
          <cell r="L4902">
            <v>50</v>
          </cell>
          <cell r="M4902" t="str">
            <v>67/38,5</v>
          </cell>
          <cell r="N4902">
            <v>65</v>
          </cell>
          <cell r="O4902" t="str">
            <v>155(F)</v>
          </cell>
          <cell r="P4902" t="str">
            <v>270°</v>
          </cell>
          <cell r="Q4902" t="str">
            <v>TF</v>
          </cell>
          <cell r="R4902" t="str">
            <v>V(VE)</v>
          </cell>
          <cell r="S4902" t="str">
            <v>-</v>
          </cell>
          <cell r="T4902" t="str">
            <v>-</v>
          </cell>
          <cell r="U4902" t="str">
            <v>-</v>
          </cell>
          <cell r="V4902" t="str">
            <v>FC</v>
          </cell>
          <cell r="W4902" t="str">
            <v>-</v>
          </cell>
          <cell r="X4902" t="str">
            <v>CLP 220 (-15/+40°C)</v>
          </cell>
          <cell r="Y4902" t="str">
            <v>KH157DRN180L4 /TF/V</v>
          </cell>
          <cell r="Z4902" t="str">
            <v>SEW</v>
          </cell>
          <cell r="AB4902" t="str">
            <v>-</v>
          </cell>
          <cell r="AF4902">
            <v>12</v>
          </cell>
          <cell r="AG4902" t="str">
            <v>DRN180L4</v>
          </cell>
          <cell r="AH4902" t="str">
            <v>KH157-DRN180L4A270-X#</v>
          </cell>
        </row>
        <row r="4903">
          <cell r="A4903" t="str">
            <v>MR004892</v>
          </cell>
          <cell r="B4903" t="str">
            <v>MR</v>
          </cell>
          <cell r="C4903">
            <v>18.5</v>
          </cell>
          <cell r="D4903">
            <v>12</v>
          </cell>
          <cell r="E4903" t="str">
            <v>KH157</v>
          </cell>
          <cell r="F4903">
            <v>14600</v>
          </cell>
          <cell r="G4903">
            <v>122.39</v>
          </cell>
          <cell r="H4903">
            <v>1.35</v>
          </cell>
          <cell r="I4903" t="str">
            <v>M4A</v>
          </cell>
          <cell r="J4903" t="str">
            <v>IE3</v>
          </cell>
          <cell r="K4903" t="str">
            <v>230/400</v>
          </cell>
          <cell r="L4903">
            <v>50</v>
          </cell>
          <cell r="M4903" t="str">
            <v>58/33,5</v>
          </cell>
          <cell r="N4903">
            <v>65</v>
          </cell>
          <cell r="O4903" t="str">
            <v>155(F)</v>
          </cell>
          <cell r="P4903" t="str">
            <v>270°</v>
          </cell>
          <cell r="Q4903" t="str">
            <v>TF</v>
          </cell>
          <cell r="R4903" t="str">
            <v>V(VE)</v>
          </cell>
          <cell r="S4903" t="str">
            <v>-</v>
          </cell>
          <cell r="T4903" t="str">
            <v>-</v>
          </cell>
          <cell r="U4903" t="str">
            <v>-</v>
          </cell>
          <cell r="V4903" t="str">
            <v>FC</v>
          </cell>
          <cell r="W4903" t="str">
            <v>-</v>
          </cell>
          <cell r="X4903" t="str">
            <v>CLP 220 (-15/+40°C)</v>
          </cell>
          <cell r="Y4903" t="str">
            <v>KH157DRN180M4 /TF/V</v>
          </cell>
          <cell r="Z4903" t="str">
            <v>SEW</v>
          </cell>
          <cell r="AB4903" t="str">
            <v>-</v>
          </cell>
          <cell r="AF4903">
            <v>12</v>
          </cell>
          <cell r="AG4903" t="str">
            <v>DRN180M4</v>
          </cell>
          <cell r="AH4903" t="str">
            <v>KH157-DRN180M4A270-X#</v>
          </cell>
        </row>
        <row r="4904">
          <cell r="A4904" t="str">
            <v>MR004893</v>
          </cell>
          <cell r="B4904" t="str">
            <v>MR</v>
          </cell>
          <cell r="C4904">
            <v>15</v>
          </cell>
          <cell r="D4904">
            <v>12</v>
          </cell>
          <cell r="E4904" t="str">
            <v>KH127</v>
          </cell>
          <cell r="F4904">
            <v>11900</v>
          </cell>
          <cell r="G4904">
            <v>122.48</v>
          </cell>
          <cell r="H4904">
            <v>1.1000000000000001</v>
          </cell>
          <cell r="I4904" t="str">
            <v>M4A</v>
          </cell>
          <cell r="J4904" t="str">
            <v>IE3</v>
          </cell>
          <cell r="K4904" t="str">
            <v>230/400</v>
          </cell>
          <cell r="L4904">
            <v>50</v>
          </cell>
          <cell r="M4904" t="str">
            <v>50/29</v>
          </cell>
          <cell r="N4904">
            <v>65</v>
          </cell>
          <cell r="O4904" t="str">
            <v>155(F)</v>
          </cell>
          <cell r="P4904" t="str">
            <v>270°</v>
          </cell>
          <cell r="Q4904" t="str">
            <v>TF</v>
          </cell>
          <cell r="R4904" t="str">
            <v>V(VE)</v>
          </cell>
          <cell r="S4904" t="str">
            <v>-</v>
          </cell>
          <cell r="T4904" t="str">
            <v>-</v>
          </cell>
          <cell r="U4904" t="str">
            <v>-</v>
          </cell>
          <cell r="V4904" t="str">
            <v>FC</v>
          </cell>
          <cell r="W4904" t="str">
            <v>-</v>
          </cell>
          <cell r="X4904" t="str">
            <v>CLP 220 (-15/+40°C)</v>
          </cell>
          <cell r="Y4904" t="str">
            <v>KH127DRN160L4 /TF/V</v>
          </cell>
          <cell r="Z4904" t="str">
            <v>SEW</v>
          </cell>
          <cell r="AB4904" t="str">
            <v>-</v>
          </cell>
          <cell r="AF4904">
            <v>12</v>
          </cell>
          <cell r="AG4904" t="str">
            <v>DRN160L4</v>
          </cell>
          <cell r="AH4904" t="str">
            <v>KH127-DRN160L4A270-X#</v>
          </cell>
        </row>
        <row r="4905">
          <cell r="A4905" t="str">
            <v>MR004894</v>
          </cell>
          <cell r="B4905" t="str">
            <v>MR</v>
          </cell>
          <cell r="C4905">
            <v>15</v>
          </cell>
          <cell r="D4905">
            <v>12</v>
          </cell>
          <cell r="E4905" t="str">
            <v>KH127</v>
          </cell>
          <cell r="F4905">
            <v>11900</v>
          </cell>
          <cell r="G4905">
            <v>122.48</v>
          </cell>
          <cell r="H4905">
            <v>1.1000000000000001</v>
          </cell>
          <cell r="I4905" t="str">
            <v>M4B</v>
          </cell>
          <cell r="J4905" t="str">
            <v>IE3</v>
          </cell>
          <cell r="K4905" t="str">
            <v>230/400</v>
          </cell>
          <cell r="L4905">
            <v>50</v>
          </cell>
          <cell r="M4905" t="str">
            <v>50/29</v>
          </cell>
          <cell r="N4905">
            <v>65</v>
          </cell>
          <cell r="O4905" t="str">
            <v>155(F)</v>
          </cell>
          <cell r="P4905" t="str">
            <v>270°</v>
          </cell>
          <cell r="Q4905" t="str">
            <v>TF</v>
          </cell>
          <cell r="R4905" t="str">
            <v>V(VE)</v>
          </cell>
          <cell r="S4905" t="str">
            <v>-</v>
          </cell>
          <cell r="T4905" t="str">
            <v>-</v>
          </cell>
          <cell r="U4905" t="str">
            <v>-</v>
          </cell>
          <cell r="V4905" t="str">
            <v>FC</v>
          </cell>
          <cell r="W4905" t="str">
            <v>-</v>
          </cell>
          <cell r="X4905" t="str">
            <v>CLP 220 (-15/+40°C)</v>
          </cell>
          <cell r="Y4905" t="str">
            <v>KH127DRN160L4 /TF/V</v>
          </cell>
          <cell r="Z4905" t="str">
            <v>SEW</v>
          </cell>
          <cell r="AB4905" t="str">
            <v>-</v>
          </cell>
          <cell r="AF4905">
            <v>12</v>
          </cell>
          <cell r="AG4905" t="str">
            <v>DRN160L4</v>
          </cell>
          <cell r="AH4905" t="str">
            <v>KH127-DRN160L4B270-X#</v>
          </cell>
        </row>
        <row r="4906">
          <cell r="A4906" t="str">
            <v>MR004895</v>
          </cell>
          <cell r="B4906" t="str">
            <v>MR</v>
          </cell>
          <cell r="C4906">
            <v>7.5</v>
          </cell>
          <cell r="D4906">
            <v>66.400000000000006</v>
          </cell>
          <cell r="E4906" t="str">
            <v>K073220</v>
          </cell>
          <cell r="F4906">
            <v>1044</v>
          </cell>
          <cell r="G4906">
            <v>21.84</v>
          </cell>
          <cell r="H4906">
            <v>1.38</v>
          </cell>
          <cell r="I4906" t="str">
            <v>From 5Y to 1Y-15°</v>
          </cell>
          <cell r="J4906" t="str">
            <v>IE3</v>
          </cell>
          <cell r="K4906">
            <v>415</v>
          </cell>
          <cell r="L4906">
            <v>50</v>
          </cell>
          <cell r="M4906">
            <v>14.7</v>
          </cell>
          <cell r="N4906">
            <v>55</v>
          </cell>
          <cell r="O4906" t="str">
            <v>155(F)</v>
          </cell>
          <cell r="P4906" t="str">
            <v>270°</v>
          </cell>
          <cell r="Q4906" t="str">
            <v>TF</v>
          </cell>
          <cell r="R4906" t="str">
            <v>-</v>
          </cell>
          <cell r="S4906" t="str">
            <v>Free rotation CCW</v>
          </cell>
          <cell r="T4906" t="str">
            <v>-</v>
          </cell>
          <cell r="U4906" t="str">
            <v>T-LHS</v>
          </cell>
          <cell r="V4906" t="str">
            <v>SS</v>
          </cell>
          <cell r="W4906" t="str">
            <v>-</v>
          </cell>
          <cell r="X4906" t="str">
            <v>CLP 220 (-15/+40°C)</v>
          </cell>
          <cell r="Y4906" t="str">
            <v>K073220.TMYC5D7.5AM00594G1527</v>
          </cell>
          <cell r="Z4906" t="str">
            <v>RADICON</v>
          </cell>
          <cell r="AB4906" t="str">
            <v>-</v>
          </cell>
          <cell r="AD4906" t="str">
            <v>BIS</v>
          </cell>
          <cell r="AF4906">
            <v>66.400000000000006</v>
          </cell>
          <cell r="AG4906" t="str">
            <v>DRN132M4</v>
          </cell>
          <cell r="AH4906" t="str">
            <v>K073220T-LHS-DRN132M4270-X</v>
          </cell>
        </row>
        <row r="4907">
          <cell r="A4907" t="str">
            <v>MR004896</v>
          </cell>
          <cell r="B4907" t="str">
            <v>MR</v>
          </cell>
          <cell r="C4907">
            <v>7.5</v>
          </cell>
          <cell r="D4907">
            <v>66.400000000000006</v>
          </cell>
          <cell r="E4907" t="str">
            <v>K073220</v>
          </cell>
          <cell r="F4907">
            <v>1044</v>
          </cell>
          <cell r="G4907">
            <v>21.84</v>
          </cell>
          <cell r="H4907">
            <v>1.38</v>
          </cell>
          <cell r="I4907" t="str">
            <v>5X</v>
          </cell>
          <cell r="J4907" t="str">
            <v>IE3</v>
          </cell>
          <cell r="K4907">
            <v>415</v>
          </cell>
          <cell r="L4907">
            <v>50</v>
          </cell>
          <cell r="M4907">
            <v>14.7</v>
          </cell>
          <cell r="N4907">
            <v>55</v>
          </cell>
          <cell r="O4907" t="str">
            <v>155(F)</v>
          </cell>
          <cell r="P4907" t="str">
            <v>270°</v>
          </cell>
          <cell r="Q4907" t="str">
            <v>TF</v>
          </cell>
          <cell r="R4907" t="str">
            <v>-</v>
          </cell>
          <cell r="S4907" t="str">
            <v>-</v>
          </cell>
          <cell r="T4907" t="str">
            <v>-</v>
          </cell>
          <cell r="U4907" t="str">
            <v>Q-RHS</v>
          </cell>
          <cell r="V4907" t="str">
            <v>SS</v>
          </cell>
          <cell r="W4907" t="str">
            <v>-</v>
          </cell>
          <cell r="X4907" t="str">
            <v>CLP 220 (-15/+40°C)</v>
          </cell>
          <cell r="Y4907" t="str">
            <v>K073220.QMXC5D7.5AM00594G0390</v>
          </cell>
          <cell r="Z4907" t="str">
            <v>RADICON</v>
          </cell>
          <cell r="AB4907" t="str">
            <v>-</v>
          </cell>
          <cell r="AD4907" t="str">
            <v>BIS</v>
          </cell>
          <cell r="AF4907">
            <v>66.400000000000006</v>
          </cell>
          <cell r="AG4907" t="str">
            <v>DRN132M4</v>
          </cell>
          <cell r="AH4907" t="str">
            <v>K073220Q-RHS-DRN132M4270-X</v>
          </cell>
        </row>
        <row r="4908">
          <cell r="A4908" t="str">
            <v>MR004897</v>
          </cell>
          <cell r="B4908" t="str">
            <v>MR</v>
          </cell>
          <cell r="C4908">
            <v>0.75</v>
          </cell>
          <cell r="D4908">
            <v>170</v>
          </cell>
          <cell r="E4908" t="str">
            <v>K03328.0</v>
          </cell>
          <cell r="F4908">
            <v>41</v>
          </cell>
          <cell r="G4908">
            <v>8.33</v>
          </cell>
          <cell r="H4908">
            <v>3.42</v>
          </cell>
          <cell r="I4908" t="str">
            <v>From 4H to 6H-30°</v>
          </cell>
          <cell r="J4908" t="str">
            <v>IE3</v>
          </cell>
          <cell r="K4908">
            <v>415</v>
          </cell>
          <cell r="L4908">
            <v>50</v>
          </cell>
          <cell r="M4908">
            <v>1.69</v>
          </cell>
          <cell r="N4908">
            <v>55</v>
          </cell>
          <cell r="O4908" t="str">
            <v>155(F)</v>
          </cell>
          <cell r="P4908" t="str">
            <v>90°</v>
          </cell>
          <cell r="Q4908" t="str">
            <v>TF</v>
          </cell>
          <cell r="R4908" t="str">
            <v>-</v>
          </cell>
          <cell r="S4908" t="str">
            <v>-</v>
          </cell>
          <cell r="T4908" t="str">
            <v>-</v>
          </cell>
          <cell r="U4908" t="str">
            <v>Q-RHS</v>
          </cell>
          <cell r="V4908" t="str">
            <v>D</v>
          </cell>
          <cell r="W4908" t="str">
            <v>-</v>
          </cell>
          <cell r="X4908" t="str">
            <v>CLP 220 (-15/+40°C)</v>
          </cell>
          <cell r="Y4908" t="str">
            <v>K03328.0QMHA4B.75AM03546G0390</v>
          </cell>
          <cell r="Z4908" t="str">
            <v>RADICON</v>
          </cell>
          <cell r="AB4908" t="str">
            <v>-</v>
          </cell>
          <cell r="AD4908" t="str">
            <v>BIS</v>
          </cell>
          <cell r="AF4908">
            <v>170</v>
          </cell>
          <cell r="AG4908" t="str">
            <v>DRN80M4</v>
          </cell>
          <cell r="AH4908" t="str">
            <v>K03328.0Q-RHS-DRN80M490-X</v>
          </cell>
        </row>
        <row r="4909">
          <cell r="A4909" t="str">
            <v>MR004898</v>
          </cell>
          <cell r="B4909" t="str">
            <v>MR</v>
          </cell>
          <cell r="C4909">
            <v>7.5</v>
          </cell>
          <cell r="D4909">
            <v>62</v>
          </cell>
          <cell r="E4909" t="str">
            <v>M082222.</v>
          </cell>
          <cell r="F4909">
            <v>1129</v>
          </cell>
          <cell r="G4909">
            <v>23.32</v>
          </cell>
          <cell r="H4909">
            <v>1.37</v>
          </cell>
          <cell r="I4909" t="str">
            <v>From 1 to 6-5°</v>
          </cell>
          <cell r="J4909" t="str">
            <v>IE3</v>
          </cell>
          <cell r="K4909">
            <v>415</v>
          </cell>
          <cell r="L4909">
            <v>50</v>
          </cell>
          <cell r="M4909">
            <v>14.7</v>
          </cell>
          <cell r="N4909">
            <v>55</v>
          </cell>
          <cell r="O4909" t="str">
            <v>155(F)</v>
          </cell>
          <cell r="P4909" t="str">
            <v>270°</v>
          </cell>
          <cell r="Q4909" t="str">
            <v>TF</v>
          </cell>
          <cell r="R4909" t="str">
            <v>-</v>
          </cell>
          <cell r="S4909" t="str">
            <v>-</v>
          </cell>
          <cell r="T4909" t="str">
            <v>-</v>
          </cell>
          <cell r="U4909" t="str">
            <v>-</v>
          </cell>
          <cell r="V4909" t="str">
            <v>D</v>
          </cell>
          <cell r="W4909" t="str">
            <v>-</v>
          </cell>
          <cell r="X4909" t="str">
            <v>CLP 220 (-15/+40°C)</v>
          </cell>
          <cell r="Y4909" t="str">
            <v>M082222.BMCG1D7.5AM02280G0653</v>
          </cell>
          <cell r="Z4909" t="str">
            <v>RADICON</v>
          </cell>
          <cell r="AB4909" t="str">
            <v>-</v>
          </cell>
          <cell r="AD4909" t="str">
            <v>BIS</v>
          </cell>
          <cell r="AF4909">
            <v>62</v>
          </cell>
          <cell r="AG4909" t="str">
            <v>DRN132M4</v>
          </cell>
          <cell r="AH4909" t="str">
            <v>M082222.-DRN132M4270-X</v>
          </cell>
        </row>
        <row r="4910">
          <cell r="A4910" t="str">
            <v>MR004899</v>
          </cell>
          <cell r="B4910" t="str">
            <v>MR</v>
          </cell>
          <cell r="C4910">
            <v>7.5</v>
          </cell>
          <cell r="D4910">
            <v>41</v>
          </cell>
          <cell r="E4910" t="str">
            <v>M092236.</v>
          </cell>
          <cell r="F4910">
            <v>1727</v>
          </cell>
          <cell r="G4910">
            <v>35.67</v>
          </cell>
          <cell r="H4910">
            <v>1.72</v>
          </cell>
          <cell r="I4910">
            <v>1</v>
          </cell>
          <cell r="J4910" t="str">
            <v>IE3</v>
          </cell>
          <cell r="K4910">
            <v>415</v>
          </cell>
          <cell r="L4910">
            <v>50</v>
          </cell>
          <cell r="M4910">
            <v>14.7</v>
          </cell>
          <cell r="N4910">
            <v>55</v>
          </cell>
          <cell r="O4910" t="str">
            <v>155(F)</v>
          </cell>
          <cell r="P4910" t="str">
            <v>270°</v>
          </cell>
          <cell r="Q4910" t="str">
            <v>TF</v>
          </cell>
          <cell r="R4910" t="str">
            <v>-</v>
          </cell>
          <cell r="S4910" t="str">
            <v>Free rotation CW</v>
          </cell>
          <cell r="T4910" t="str">
            <v>-</v>
          </cell>
          <cell r="U4910" t="str">
            <v>-</v>
          </cell>
          <cell r="V4910" t="str">
            <v>SS</v>
          </cell>
          <cell r="W4910" t="str">
            <v>-</v>
          </cell>
          <cell r="X4910" t="str">
            <v>CLP 220 (-15/+40°C)</v>
          </cell>
          <cell r="Y4910" t="str">
            <v>M092236.BMCH1D7.5AM03593G1652</v>
          </cell>
          <cell r="Z4910" t="str">
            <v>RADICON</v>
          </cell>
          <cell r="AB4910" t="str">
            <v>-</v>
          </cell>
          <cell r="AD4910" t="str">
            <v>BIS</v>
          </cell>
          <cell r="AF4910">
            <v>41</v>
          </cell>
          <cell r="AG4910" t="str">
            <v>DRN132M4</v>
          </cell>
          <cell r="AH4910" t="str">
            <v>M092236.-DRN132M4270-X</v>
          </cell>
        </row>
        <row r="4911">
          <cell r="A4911" t="str">
            <v>MR004900</v>
          </cell>
          <cell r="B4911" t="str">
            <v>MR</v>
          </cell>
          <cell r="C4911">
            <v>7.5</v>
          </cell>
          <cell r="D4911">
            <v>41</v>
          </cell>
          <cell r="E4911" t="str">
            <v>M092236.</v>
          </cell>
          <cell r="F4911">
            <v>1727</v>
          </cell>
          <cell r="G4911">
            <v>35.67</v>
          </cell>
          <cell r="H4911">
            <v>1.72</v>
          </cell>
          <cell r="I4911">
            <v>1</v>
          </cell>
          <cell r="J4911" t="str">
            <v>IE3</v>
          </cell>
          <cell r="K4911">
            <v>415</v>
          </cell>
          <cell r="L4911">
            <v>50</v>
          </cell>
          <cell r="M4911">
            <v>14.7</v>
          </cell>
          <cell r="N4911">
            <v>55</v>
          </cell>
          <cell r="O4911" t="str">
            <v>155(F)</v>
          </cell>
          <cell r="P4911" t="str">
            <v>270°</v>
          </cell>
          <cell r="Q4911" t="str">
            <v>TF</v>
          </cell>
          <cell r="R4911" t="str">
            <v>-</v>
          </cell>
          <cell r="S4911" t="str">
            <v>Free rotation CCW</v>
          </cell>
          <cell r="T4911" t="str">
            <v>-</v>
          </cell>
          <cell r="U4911" t="str">
            <v>-</v>
          </cell>
          <cell r="V4911" t="str">
            <v>SS</v>
          </cell>
          <cell r="W4911" t="str">
            <v>-</v>
          </cell>
          <cell r="X4911" t="str">
            <v>CLP 220 (-15/+40°C)</v>
          </cell>
          <cell r="Y4911" t="str">
            <v>M092236.BMCH1D7.5AM03593G1528</v>
          </cell>
          <cell r="Z4911" t="str">
            <v>RADICON</v>
          </cell>
          <cell r="AB4911" t="str">
            <v>-</v>
          </cell>
          <cell r="AD4911" t="str">
            <v>BIS</v>
          </cell>
          <cell r="AF4911">
            <v>41</v>
          </cell>
          <cell r="AG4911" t="str">
            <v>DRN132M4</v>
          </cell>
          <cell r="AH4911" t="str">
            <v>M092236.-DRN132M4270-X</v>
          </cell>
        </row>
        <row r="4912">
          <cell r="A4912" t="str">
            <v>MR004901</v>
          </cell>
          <cell r="B4912" t="str">
            <v>MR</v>
          </cell>
          <cell r="C4912">
            <v>11</v>
          </cell>
          <cell r="D4912">
            <v>71</v>
          </cell>
          <cell r="E4912" t="str">
            <v>M082220.</v>
          </cell>
          <cell r="F4912">
            <v>1457</v>
          </cell>
          <cell r="G4912">
            <v>20.66</v>
          </cell>
          <cell r="H4912">
            <v>1.01</v>
          </cell>
          <cell r="I4912">
            <v>1</v>
          </cell>
          <cell r="J4912" t="str">
            <v>IE3</v>
          </cell>
          <cell r="K4912">
            <v>415</v>
          </cell>
          <cell r="L4912">
            <v>50</v>
          </cell>
          <cell r="M4912">
            <v>20</v>
          </cell>
          <cell r="N4912">
            <v>55</v>
          </cell>
          <cell r="O4912" t="str">
            <v>155(F)</v>
          </cell>
          <cell r="P4912" t="str">
            <v>270°</v>
          </cell>
          <cell r="Q4912" t="str">
            <v>TF</v>
          </cell>
          <cell r="R4912" t="str">
            <v>-</v>
          </cell>
          <cell r="S4912" t="str">
            <v>-</v>
          </cell>
          <cell r="T4912" t="str">
            <v>-</v>
          </cell>
          <cell r="U4912" t="str">
            <v>-</v>
          </cell>
          <cell r="V4912" t="str">
            <v>D</v>
          </cell>
          <cell r="W4912" t="str">
            <v>-</v>
          </cell>
          <cell r="X4912" t="str">
            <v>CLP 220 (-15/+40°C)</v>
          </cell>
          <cell r="Y4912" t="str">
            <v>M082220.BMCH1D11.AM00328G0653</v>
          </cell>
          <cell r="Z4912" t="str">
            <v>RADICON</v>
          </cell>
          <cell r="AB4912" t="str">
            <v>-</v>
          </cell>
          <cell r="AD4912" t="str">
            <v>BIS</v>
          </cell>
          <cell r="AF4912">
            <v>71</v>
          </cell>
          <cell r="AG4912" t="str">
            <v>DRN160M4</v>
          </cell>
          <cell r="AH4912" t="str">
            <v>M082220.-DRN160M4270-X</v>
          </cell>
        </row>
        <row r="4913">
          <cell r="A4913" t="str">
            <v>MR004902</v>
          </cell>
          <cell r="B4913" t="str">
            <v>MR</v>
          </cell>
          <cell r="C4913">
            <v>15</v>
          </cell>
          <cell r="D4913">
            <v>20</v>
          </cell>
          <cell r="E4913" t="str">
            <v>M133271.</v>
          </cell>
          <cell r="F4913">
            <v>6910</v>
          </cell>
          <cell r="G4913">
            <v>72.599999999999994</v>
          </cell>
          <cell r="H4913">
            <v>1.37</v>
          </cell>
          <cell r="I4913">
            <v>1</v>
          </cell>
          <cell r="J4913" t="str">
            <v>IE3</v>
          </cell>
          <cell r="K4913">
            <v>415</v>
          </cell>
          <cell r="L4913">
            <v>50</v>
          </cell>
          <cell r="M4913">
            <v>27.5</v>
          </cell>
          <cell r="N4913">
            <v>55</v>
          </cell>
          <cell r="O4913" t="str">
            <v>155(F)</v>
          </cell>
          <cell r="P4913" t="str">
            <v>270°</v>
          </cell>
          <cell r="Q4913" t="str">
            <v>TF</v>
          </cell>
          <cell r="R4913" t="str">
            <v>V(VE)</v>
          </cell>
          <cell r="S4913" t="str">
            <v>-</v>
          </cell>
          <cell r="T4913" t="str">
            <v>-</v>
          </cell>
          <cell r="U4913" t="str">
            <v>-</v>
          </cell>
          <cell r="V4913" t="str">
            <v>FC</v>
          </cell>
          <cell r="W4913" t="str">
            <v>-</v>
          </cell>
          <cell r="X4913" t="str">
            <v>CLP 220 (-15/+40°C)</v>
          </cell>
          <cell r="Y4913" t="str">
            <v>M133271.BMCG1D15.AM04076G0653</v>
          </cell>
          <cell r="Z4913" t="str">
            <v>RADICON</v>
          </cell>
          <cell r="AB4913" t="str">
            <v>-</v>
          </cell>
          <cell r="AD4913" t="str">
            <v>BIS</v>
          </cell>
          <cell r="AF4913">
            <v>20</v>
          </cell>
          <cell r="AG4913" t="str">
            <v>DRN160L4</v>
          </cell>
          <cell r="AH4913" t="str">
            <v>M133271.-DRN160L4270-X#</v>
          </cell>
        </row>
        <row r="4914">
          <cell r="A4914" t="str">
            <v>MR004903</v>
          </cell>
          <cell r="B4914" t="str">
            <v>MR</v>
          </cell>
          <cell r="C4914">
            <v>0.75</v>
          </cell>
          <cell r="D4914">
            <v>18</v>
          </cell>
          <cell r="E4914" t="str">
            <v>F043380.</v>
          </cell>
          <cell r="F4914">
            <v>385</v>
          </cell>
          <cell r="G4914">
            <v>79</v>
          </cell>
          <cell r="H4914">
            <v>1.03</v>
          </cell>
          <cell r="I4914">
            <v>4</v>
          </cell>
          <cell r="J4914" t="str">
            <v>IE3</v>
          </cell>
          <cell r="K4914">
            <v>415</v>
          </cell>
          <cell r="L4914">
            <v>50</v>
          </cell>
          <cell r="M4914">
            <v>1.69</v>
          </cell>
          <cell r="N4914">
            <v>55</v>
          </cell>
          <cell r="O4914" t="str">
            <v>155(F)</v>
          </cell>
          <cell r="P4914" t="str">
            <v>180°</v>
          </cell>
          <cell r="Q4914" t="str">
            <v>TF</v>
          </cell>
          <cell r="R4914" t="str">
            <v>-</v>
          </cell>
          <cell r="S4914" t="str">
            <v>-</v>
          </cell>
          <cell r="T4914" t="str">
            <v>BEHF</v>
          </cell>
          <cell r="U4914" t="str">
            <v>G</v>
          </cell>
          <cell r="V4914" t="str">
            <v>D+R</v>
          </cell>
          <cell r="W4914" t="str">
            <v>-</v>
          </cell>
          <cell r="X4914" t="str">
            <v>CLP 220 (-15/+40°C)</v>
          </cell>
          <cell r="Y4914" t="str">
            <v>F043380.FMHJ4C.75AM03905G0390</v>
          </cell>
          <cell r="Z4914" t="str">
            <v>RADICON</v>
          </cell>
          <cell r="AB4914" t="str">
            <v>-</v>
          </cell>
          <cell r="AD4914" t="str">
            <v>BIS</v>
          </cell>
          <cell r="AF4914">
            <v>18</v>
          </cell>
          <cell r="AG4914" t="str">
            <v>DRN80M4</v>
          </cell>
          <cell r="AH4914" t="str">
            <v>F043380.G-DRN80M4180-X</v>
          </cell>
        </row>
        <row r="4915">
          <cell r="A4915" t="str">
            <v>MR004904</v>
          </cell>
          <cell r="B4915" t="str">
            <v>MR</v>
          </cell>
          <cell r="C4915">
            <v>15</v>
          </cell>
          <cell r="D4915">
            <v>20</v>
          </cell>
          <cell r="E4915" t="str">
            <v>KH107</v>
          </cell>
          <cell r="F4915">
            <v>7120</v>
          </cell>
          <cell r="G4915">
            <v>73.3</v>
          </cell>
          <cell r="H4915">
            <v>1.1000000000000001</v>
          </cell>
          <cell r="I4915" t="str">
            <v>From M1B to M2B - 20°</v>
          </cell>
          <cell r="J4915" t="str">
            <v>IE3</v>
          </cell>
          <cell r="K4915" t="str">
            <v>400/690</v>
          </cell>
          <cell r="L4915">
            <v>50</v>
          </cell>
          <cell r="M4915" t="str">
            <v>29/16,7</v>
          </cell>
          <cell r="N4915">
            <v>65</v>
          </cell>
          <cell r="O4915" t="str">
            <v>155(F)</v>
          </cell>
          <cell r="P4915" t="str">
            <v>0°</v>
          </cell>
          <cell r="Q4915" t="str">
            <v>TF</v>
          </cell>
          <cell r="R4915" t="str">
            <v>-</v>
          </cell>
          <cell r="S4915" t="str">
            <v>-</v>
          </cell>
          <cell r="T4915" t="str">
            <v>-</v>
          </cell>
          <cell r="U4915" t="str">
            <v>-</v>
          </cell>
          <cell r="V4915" t="str">
            <v>FC</v>
          </cell>
          <cell r="W4915" t="str">
            <v>-</v>
          </cell>
          <cell r="X4915" t="str">
            <v>CLP 220 (-15/+40°C)</v>
          </cell>
          <cell r="Y4915" t="str">
            <v>KH107DRN160L4 /TF</v>
          </cell>
          <cell r="Z4915" t="str">
            <v>SEW</v>
          </cell>
          <cell r="AB4915" t="str">
            <v>-</v>
          </cell>
          <cell r="AF4915">
            <v>20</v>
          </cell>
          <cell r="AG4915" t="str">
            <v>DRN160L4</v>
          </cell>
          <cell r="AH4915" t="str">
            <v>KH107-DRN160L4B0-X</v>
          </cell>
        </row>
        <row r="4916">
          <cell r="A4916" t="str">
            <v>MR004905</v>
          </cell>
          <cell r="B4916" t="str">
            <v>MR</v>
          </cell>
          <cell r="C4916">
            <v>7.5</v>
          </cell>
          <cell r="D4916">
            <v>53</v>
          </cell>
          <cell r="E4916" t="str">
            <v>KH97</v>
          </cell>
          <cell r="F4916">
            <v>1360</v>
          </cell>
          <cell r="G4916">
            <v>27.91</v>
          </cell>
          <cell r="H4916">
            <v>3.2</v>
          </cell>
          <cell r="I4916" t="str">
            <v>M1B</v>
          </cell>
          <cell r="J4916" t="str">
            <v>IE3</v>
          </cell>
          <cell r="K4916" t="str">
            <v>400/690</v>
          </cell>
          <cell r="L4916">
            <v>50</v>
          </cell>
          <cell r="M4916" t="str">
            <v>15,2/8,8</v>
          </cell>
          <cell r="N4916">
            <v>55</v>
          </cell>
          <cell r="O4916" t="str">
            <v>155(F)</v>
          </cell>
          <cell r="P4916" t="str">
            <v>270°</v>
          </cell>
          <cell r="Q4916" t="str">
            <v>-</v>
          </cell>
          <cell r="R4916" t="str">
            <v>-</v>
          </cell>
          <cell r="S4916" t="str">
            <v>-</v>
          </cell>
          <cell r="T4916" t="str">
            <v>-</v>
          </cell>
          <cell r="U4916" t="str">
            <v>T</v>
          </cell>
          <cell r="V4916" t="str">
            <v>D</v>
          </cell>
          <cell r="W4916" t="str">
            <v>-</v>
          </cell>
          <cell r="X4916" t="str">
            <v>CLP 220 (-15/+40°C)</v>
          </cell>
          <cell r="Y4916" t="str">
            <v>KH97/T DRN132M4</v>
          </cell>
          <cell r="Z4916" t="str">
            <v>SEW</v>
          </cell>
          <cell r="AB4916" t="str">
            <v>-</v>
          </cell>
          <cell r="AF4916">
            <v>53</v>
          </cell>
          <cell r="AG4916" t="str">
            <v>DRN132M4</v>
          </cell>
          <cell r="AH4916" t="str">
            <v>KH97T-DRN132M4B270-X</v>
          </cell>
        </row>
        <row r="4917">
          <cell r="A4917" t="str">
            <v>MR004906</v>
          </cell>
          <cell r="B4917" t="str">
            <v>MR</v>
          </cell>
          <cell r="C4917">
            <v>11</v>
          </cell>
          <cell r="D4917">
            <v>28</v>
          </cell>
          <cell r="E4917" t="str">
            <v>R107</v>
          </cell>
          <cell r="F4917">
            <v>3760</v>
          </cell>
          <cell r="G4917">
            <v>52.68</v>
          </cell>
          <cell r="H4917">
            <v>1.1499999999999999</v>
          </cell>
          <cell r="I4917" t="str">
            <v>From M1 to M2 - 15°</v>
          </cell>
          <cell r="J4917" t="str">
            <v>IE3</v>
          </cell>
          <cell r="K4917" t="str">
            <v>400/690</v>
          </cell>
          <cell r="L4917">
            <v>50</v>
          </cell>
          <cell r="M4917" t="str">
            <v>21/12,2</v>
          </cell>
          <cell r="N4917">
            <v>55</v>
          </cell>
          <cell r="O4917" t="str">
            <v>155(F)</v>
          </cell>
          <cell r="P4917" t="str">
            <v>270°</v>
          </cell>
          <cell r="Q4917" t="str">
            <v>TF</v>
          </cell>
          <cell r="R4917" t="str">
            <v>V(VE)</v>
          </cell>
          <cell r="S4917" t="str">
            <v>-</v>
          </cell>
          <cell r="T4917" t="str">
            <v>-</v>
          </cell>
          <cell r="U4917" t="str">
            <v>-</v>
          </cell>
          <cell r="V4917" t="str">
            <v>FC</v>
          </cell>
          <cell r="W4917" t="str">
            <v>-</v>
          </cell>
          <cell r="X4917" t="str">
            <v>CLP 220 (-15/+40°C)</v>
          </cell>
          <cell r="Y4917" t="str">
            <v>R107DRN160M4 /TF/V</v>
          </cell>
          <cell r="Z4917" t="str">
            <v>SEW</v>
          </cell>
          <cell r="AB4917" t="str">
            <v>-</v>
          </cell>
          <cell r="AF4917">
            <v>28</v>
          </cell>
          <cell r="AG4917" t="str">
            <v>DRN160M4</v>
          </cell>
          <cell r="AH4917" t="str">
            <v>R107-DRN160M4270-X#</v>
          </cell>
        </row>
        <row r="4918">
          <cell r="A4918" t="str">
            <v>MR004907</v>
          </cell>
          <cell r="B4918" t="str">
            <v>MR</v>
          </cell>
          <cell r="C4918">
            <v>9.1999999999999993</v>
          </cell>
          <cell r="D4918">
            <v>16</v>
          </cell>
          <cell r="E4918" t="str">
            <v>KH107</v>
          </cell>
          <cell r="F4918">
            <v>5440</v>
          </cell>
          <cell r="G4918">
            <v>90.96</v>
          </cell>
          <cell r="H4918">
            <v>1.45</v>
          </cell>
          <cell r="I4918" t="str">
            <v>From M4A to M1A - 20°</v>
          </cell>
          <cell r="J4918" t="str">
            <v>IE3</v>
          </cell>
          <cell r="K4918" t="str">
            <v>400/690</v>
          </cell>
          <cell r="L4918">
            <v>50</v>
          </cell>
          <cell r="M4918" t="str">
            <v>18,7/10,8</v>
          </cell>
          <cell r="N4918">
            <v>55</v>
          </cell>
          <cell r="O4918" t="str">
            <v>155(F)</v>
          </cell>
          <cell r="P4918" t="str">
            <v>180°</v>
          </cell>
          <cell r="Q4918" t="str">
            <v>TF</v>
          </cell>
          <cell r="R4918" t="str">
            <v>-</v>
          </cell>
          <cell r="S4918" t="str">
            <v>-</v>
          </cell>
          <cell r="T4918" t="str">
            <v>-</v>
          </cell>
          <cell r="U4918" t="str">
            <v>-</v>
          </cell>
          <cell r="V4918" t="str">
            <v>SS</v>
          </cell>
          <cell r="W4918" t="str">
            <v>-</v>
          </cell>
          <cell r="X4918" t="str">
            <v>CLP 220 (-15/+40°C)</v>
          </cell>
          <cell r="Y4918" t="str">
            <v>KH107DRN132L4 /TF</v>
          </cell>
          <cell r="Z4918" t="str">
            <v>SEW</v>
          </cell>
          <cell r="AB4918" t="str">
            <v>-</v>
          </cell>
          <cell r="AF4918">
            <v>16</v>
          </cell>
          <cell r="AG4918" t="str">
            <v>DRN132L4</v>
          </cell>
          <cell r="AH4918" t="str">
            <v>KH107-DRN132L4A180-X</v>
          </cell>
        </row>
        <row r="4919">
          <cell r="A4919" t="str">
            <v>MR004908</v>
          </cell>
          <cell r="B4919" t="str">
            <v>MR</v>
          </cell>
          <cell r="C4919">
            <v>9.1999999999999993</v>
          </cell>
          <cell r="D4919">
            <v>16</v>
          </cell>
          <cell r="E4919" t="str">
            <v>KH107</v>
          </cell>
          <cell r="F4919">
            <v>5440</v>
          </cell>
          <cell r="G4919">
            <v>90.96</v>
          </cell>
          <cell r="H4919">
            <v>1.45</v>
          </cell>
          <cell r="I4919" t="str">
            <v>From M4B to M1B - 20°</v>
          </cell>
          <cell r="J4919" t="str">
            <v>IE3</v>
          </cell>
          <cell r="K4919" t="str">
            <v>400/690</v>
          </cell>
          <cell r="L4919">
            <v>50</v>
          </cell>
          <cell r="M4919" t="str">
            <v>18,7/10,8</v>
          </cell>
          <cell r="N4919">
            <v>55</v>
          </cell>
          <cell r="O4919" t="str">
            <v>155(F)</v>
          </cell>
          <cell r="P4919" t="str">
            <v>0°</v>
          </cell>
          <cell r="Q4919" t="str">
            <v>TF</v>
          </cell>
          <cell r="R4919" t="str">
            <v>-</v>
          </cell>
          <cell r="S4919" t="str">
            <v>-</v>
          </cell>
          <cell r="T4919" t="str">
            <v>-</v>
          </cell>
          <cell r="U4919" t="str">
            <v>-</v>
          </cell>
          <cell r="V4919" t="str">
            <v>SS</v>
          </cell>
          <cell r="W4919" t="str">
            <v>-</v>
          </cell>
          <cell r="X4919" t="str">
            <v>CLP 220 (-15/+40°C)</v>
          </cell>
          <cell r="Y4919" t="str">
            <v>KH107DRN132L4 /TF</v>
          </cell>
          <cell r="Z4919" t="str">
            <v>SEW</v>
          </cell>
          <cell r="AB4919" t="str">
            <v>-</v>
          </cell>
          <cell r="AF4919">
            <v>16</v>
          </cell>
          <cell r="AG4919" t="str">
            <v>DRN132L4</v>
          </cell>
          <cell r="AH4919" t="str">
            <v>KH107-DRN132L4B0-X</v>
          </cell>
        </row>
        <row r="4920">
          <cell r="A4920" t="str">
            <v>MR004909</v>
          </cell>
          <cell r="B4920" t="str">
            <v>MR</v>
          </cell>
          <cell r="C4920">
            <v>2.2000000000000002</v>
          </cell>
          <cell r="D4920">
            <v>75</v>
          </cell>
          <cell r="E4920" t="str">
            <v>KH67</v>
          </cell>
          <cell r="F4920">
            <v>280</v>
          </cell>
          <cell r="G4920">
            <v>19.3</v>
          </cell>
          <cell r="H4920">
            <v>2.7</v>
          </cell>
          <cell r="I4920" t="str">
            <v>M1A</v>
          </cell>
          <cell r="J4920" t="str">
            <v>IE3</v>
          </cell>
          <cell r="K4920" t="str">
            <v>230/400</v>
          </cell>
          <cell r="L4920">
            <v>50</v>
          </cell>
          <cell r="M4920" t="str">
            <v>8,3/4,75</v>
          </cell>
          <cell r="N4920">
            <v>65</v>
          </cell>
          <cell r="O4920" t="str">
            <v>155(F)</v>
          </cell>
          <cell r="P4920" t="str">
            <v>180°</v>
          </cell>
          <cell r="Q4920" t="str">
            <v>TF</v>
          </cell>
          <cell r="R4920" t="str">
            <v>-</v>
          </cell>
          <cell r="S4920" t="str">
            <v>-</v>
          </cell>
          <cell r="T4920" t="str">
            <v>-</v>
          </cell>
          <cell r="U4920" t="str">
            <v>T</v>
          </cell>
          <cell r="V4920" t="str">
            <v>SS</v>
          </cell>
          <cell r="W4920" t="str">
            <v>-</v>
          </cell>
          <cell r="X4920" t="str">
            <v>CLP 220 (-15/+40°C)</v>
          </cell>
          <cell r="Y4920" t="str">
            <v>KH67/T DRN100LS4 /TF</v>
          </cell>
          <cell r="Z4920" t="str">
            <v>SEW</v>
          </cell>
          <cell r="AB4920" t="str">
            <v>-</v>
          </cell>
          <cell r="AF4920">
            <v>75</v>
          </cell>
          <cell r="AG4920" t="str">
            <v>DRN100LS4</v>
          </cell>
          <cell r="AH4920" t="str">
            <v>KH67T-DRN100LS4A180-X</v>
          </cell>
        </row>
        <row r="4921">
          <cell r="A4921" t="str">
            <v>MR004910</v>
          </cell>
          <cell r="B4921" t="str">
            <v>MR</v>
          </cell>
          <cell r="C4921">
            <v>30</v>
          </cell>
          <cell r="D4921">
            <v>37</v>
          </cell>
          <cell r="E4921" t="str">
            <v>R147</v>
          </cell>
          <cell r="F4921">
            <v>7800</v>
          </cell>
          <cell r="G4921">
            <v>40.29</v>
          </cell>
          <cell r="H4921">
            <v>1.55</v>
          </cell>
          <cell r="I4921" t="str">
            <v>From M1 to M5 - 35°</v>
          </cell>
          <cell r="J4921" t="str">
            <v>IE3</v>
          </cell>
          <cell r="K4921" t="str">
            <v>400/690</v>
          </cell>
          <cell r="L4921">
            <v>50</v>
          </cell>
          <cell r="M4921" t="str">
            <v>56/32,5</v>
          </cell>
          <cell r="N4921">
            <v>55</v>
          </cell>
          <cell r="O4921" t="str">
            <v>155(F)</v>
          </cell>
          <cell r="P4921" t="str">
            <v>270°</v>
          </cell>
          <cell r="Q4921" t="str">
            <v>TF</v>
          </cell>
          <cell r="R4921" t="str">
            <v>-</v>
          </cell>
          <cell r="S4921" t="str">
            <v>-</v>
          </cell>
          <cell r="T4921" t="str">
            <v>-</v>
          </cell>
          <cell r="U4921" t="str">
            <v>-</v>
          </cell>
          <cell r="V4921" t="str">
            <v>SS</v>
          </cell>
          <cell r="W4921" t="str">
            <v>-</v>
          </cell>
          <cell r="X4921" t="str">
            <v>CLP HC 220 (-25/+60°C)</v>
          </cell>
          <cell r="Y4921" t="str">
            <v>R147/II2GD EDRN200L4/3GD/TF/AL</v>
          </cell>
          <cell r="Z4921" t="str">
            <v>SEW</v>
          </cell>
          <cell r="AB4921" t="str">
            <v>ATEX22</v>
          </cell>
          <cell r="AF4921">
            <v>37</v>
          </cell>
          <cell r="AG4921" t="str">
            <v>EDRN200L4</v>
          </cell>
          <cell r="AH4921" t="str">
            <v>R147-EDRN200L4270-X</v>
          </cell>
        </row>
        <row r="4922">
          <cell r="A4922" t="str">
            <v>MR004911</v>
          </cell>
          <cell r="B4922" t="str">
            <v>MR</v>
          </cell>
          <cell r="C4922">
            <v>30</v>
          </cell>
          <cell r="D4922">
            <v>42</v>
          </cell>
          <cell r="E4922" t="str">
            <v>R147</v>
          </cell>
          <cell r="F4922">
            <v>6900</v>
          </cell>
          <cell r="G4922">
            <v>35.64</v>
          </cell>
          <cell r="H4922">
            <v>1.7</v>
          </cell>
          <cell r="I4922" t="str">
            <v>From M1 to M5 - 35°</v>
          </cell>
          <cell r="J4922" t="str">
            <v>IE3</v>
          </cell>
          <cell r="K4922" t="str">
            <v>400/690</v>
          </cell>
          <cell r="L4922">
            <v>50</v>
          </cell>
          <cell r="M4922" t="str">
            <v>56/32,5</v>
          </cell>
          <cell r="N4922">
            <v>55</v>
          </cell>
          <cell r="O4922" t="str">
            <v>155(F)</v>
          </cell>
          <cell r="P4922" t="str">
            <v>270°</v>
          </cell>
          <cell r="Q4922" t="str">
            <v>TF</v>
          </cell>
          <cell r="R4922" t="str">
            <v>-</v>
          </cell>
          <cell r="S4922" t="str">
            <v>-</v>
          </cell>
          <cell r="T4922" t="str">
            <v>-</v>
          </cell>
          <cell r="U4922" t="str">
            <v>-</v>
          </cell>
          <cell r="V4922" t="str">
            <v>SS</v>
          </cell>
          <cell r="W4922" t="str">
            <v>-</v>
          </cell>
          <cell r="X4922" t="str">
            <v>CLP HC 220 (-25/+60°C)</v>
          </cell>
          <cell r="Y4922" t="str">
            <v>R147/II2GD EDRN200L4/3GD/TF/AL</v>
          </cell>
          <cell r="Z4922" t="str">
            <v>SEW</v>
          </cell>
          <cell r="AB4922" t="str">
            <v>ATEX22</v>
          </cell>
          <cell r="AF4922">
            <v>42</v>
          </cell>
          <cell r="AG4922" t="str">
            <v>EDRN200L4</v>
          </cell>
          <cell r="AH4922" t="str">
            <v>R147-EDRN200L4270-X</v>
          </cell>
        </row>
        <row r="4923">
          <cell r="A4923" t="str">
            <v>MR004912</v>
          </cell>
          <cell r="B4923" t="str">
            <v>MR</v>
          </cell>
          <cell r="C4923">
            <v>15</v>
          </cell>
          <cell r="D4923">
            <v>65</v>
          </cell>
          <cell r="E4923" t="str">
            <v>R107</v>
          </cell>
          <cell r="F4923">
            <v>2200</v>
          </cell>
          <cell r="G4923">
            <v>22.62</v>
          </cell>
          <cell r="H4923">
            <v>1.95</v>
          </cell>
          <cell r="I4923" t="str">
            <v>M1</v>
          </cell>
          <cell r="J4923" t="str">
            <v>IE3</v>
          </cell>
          <cell r="K4923" t="str">
            <v>400/690</v>
          </cell>
          <cell r="L4923">
            <v>50</v>
          </cell>
          <cell r="M4923" t="str">
            <v>29,5/16,9</v>
          </cell>
          <cell r="N4923">
            <v>65</v>
          </cell>
          <cell r="O4923" t="str">
            <v>155(F)</v>
          </cell>
          <cell r="P4923" t="str">
            <v>270°</v>
          </cell>
          <cell r="Q4923" t="str">
            <v>TF</v>
          </cell>
          <cell r="R4923" t="str">
            <v>-</v>
          </cell>
          <cell r="S4923" t="str">
            <v>-</v>
          </cell>
          <cell r="T4923" t="str">
            <v>-</v>
          </cell>
          <cell r="U4923" t="str">
            <v>-</v>
          </cell>
          <cell r="V4923" t="str">
            <v>D+R</v>
          </cell>
          <cell r="W4923" t="str">
            <v>-</v>
          </cell>
          <cell r="X4923" t="str">
            <v>CLP HC 220 (-25/+60°C)</v>
          </cell>
          <cell r="Y4923" t="str">
            <v>R107EDRN160L4 /TF</v>
          </cell>
          <cell r="Z4923" t="str">
            <v>SEW</v>
          </cell>
          <cell r="AB4923" t="str">
            <v>ATEX22</v>
          </cell>
          <cell r="AF4923">
            <v>65</v>
          </cell>
          <cell r="AG4923" t="str">
            <v>EDRN160L4</v>
          </cell>
          <cell r="AH4923" t="str">
            <v>R107-EDRN160L4270-X</v>
          </cell>
        </row>
        <row r="4924">
          <cell r="A4924" t="str">
            <v>MR004913</v>
          </cell>
          <cell r="B4924" t="str">
            <v>MR</v>
          </cell>
          <cell r="C4924">
            <v>7.5</v>
          </cell>
          <cell r="D4924">
            <v>68</v>
          </cell>
          <cell r="E4924" t="str">
            <v>R87</v>
          </cell>
          <cell r="F4924">
            <v>1050</v>
          </cell>
          <cell r="G4924">
            <v>21.51</v>
          </cell>
          <cell r="H4924">
            <v>1.1499999999999999</v>
          </cell>
          <cell r="I4924" t="str">
            <v>From M1 to M2 - 25°</v>
          </cell>
          <cell r="J4924" t="str">
            <v>IE3</v>
          </cell>
          <cell r="K4924" t="str">
            <v>400/690</v>
          </cell>
          <cell r="L4924">
            <v>50</v>
          </cell>
          <cell r="M4924" t="str">
            <v>15,7/9</v>
          </cell>
          <cell r="N4924">
            <v>65</v>
          </cell>
          <cell r="O4924" t="str">
            <v>155(F)</v>
          </cell>
          <cell r="P4924" t="str">
            <v>270°</v>
          </cell>
          <cell r="Q4924" t="str">
            <v>TF</v>
          </cell>
          <cell r="R4924" t="str">
            <v>-</v>
          </cell>
          <cell r="S4924" t="str">
            <v>-</v>
          </cell>
          <cell r="T4924" t="str">
            <v>-</v>
          </cell>
          <cell r="U4924" t="str">
            <v>-</v>
          </cell>
          <cell r="V4924" t="str">
            <v>D</v>
          </cell>
          <cell r="W4924" t="str">
            <v>-</v>
          </cell>
          <cell r="X4924" t="str">
            <v>CLP HC 220 (-25/+60°C)</v>
          </cell>
          <cell r="Y4924" t="str">
            <v>R87EDRN132M4 /TF</v>
          </cell>
          <cell r="Z4924" t="str">
            <v>SEW</v>
          </cell>
          <cell r="AB4924" t="str">
            <v>ATEX22</v>
          </cell>
          <cell r="AF4924">
            <v>68</v>
          </cell>
          <cell r="AG4924" t="str">
            <v>EDRN132M4</v>
          </cell>
          <cell r="AH4924" t="str">
            <v>R87-EDRN132M4270-X</v>
          </cell>
        </row>
        <row r="4925">
          <cell r="A4925" t="str">
            <v>MR004914</v>
          </cell>
          <cell r="B4925" t="str">
            <v>MR</v>
          </cell>
          <cell r="C4925">
            <v>9.1999999999999993</v>
          </cell>
          <cell r="D4925">
            <v>31</v>
          </cell>
          <cell r="E4925" t="str">
            <v>R107</v>
          </cell>
          <cell r="F4925">
            <v>2850</v>
          </cell>
          <cell r="G4925">
            <v>47.63</v>
          </cell>
          <cell r="H4925">
            <v>1.5</v>
          </cell>
          <cell r="I4925" t="str">
            <v>From M1 to M4 - 5°</v>
          </cell>
          <cell r="J4925" t="str">
            <v>IE3</v>
          </cell>
          <cell r="K4925" t="str">
            <v>230/400</v>
          </cell>
          <cell r="L4925">
            <v>50</v>
          </cell>
          <cell r="M4925" t="str">
            <v>33,5/19,3</v>
          </cell>
          <cell r="N4925">
            <v>65</v>
          </cell>
          <cell r="O4925" t="str">
            <v>155(F)</v>
          </cell>
          <cell r="P4925" t="str">
            <v>270°</v>
          </cell>
          <cell r="Q4925" t="str">
            <v>TF</v>
          </cell>
          <cell r="R4925" t="str">
            <v>V(VE)</v>
          </cell>
          <cell r="S4925" t="str">
            <v>-</v>
          </cell>
          <cell r="T4925" t="str">
            <v>-</v>
          </cell>
          <cell r="U4925" t="str">
            <v>-</v>
          </cell>
          <cell r="V4925" t="str">
            <v>FC</v>
          </cell>
          <cell r="W4925" t="str">
            <v>-</v>
          </cell>
          <cell r="X4925" t="str">
            <v>CLP HC 220 (-25/+60°C)</v>
          </cell>
          <cell r="Y4925" t="str">
            <v>R107EDRN132L4 /TF/VE</v>
          </cell>
          <cell r="Z4925" t="str">
            <v>SEW</v>
          </cell>
          <cell r="AB4925" t="str">
            <v>ATEX22</v>
          </cell>
          <cell r="AF4925">
            <v>31</v>
          </cell>
          <cell r="AG4925" t="str">
            <v>EDRN132L4</v>
          </cell>
          <cell r="AH4925" t="str">
            <v>R107-EDRN132L4270-X#</v>
          </cell>
        </row>
        <row r="4926">
          <cell r="A4926" t="str">
            <v>MR004915</v>
          </cell>
          <cell r="B4926" t="str">
            <v>MR</v>
          </cell>
          <cell r="C4926">
            <v>11</v>
          </cell>
          <cell r="D4926">
            <v>15</v>
          </cell>
          <cell r="E4926" t="str">
            <v>KH107</v>
          </cell>
          <cell r="F4926">
            <v>7180</v>
          </cell>
          <cell r="G4926">
            <v>100.75</v>
          </cell>
          <cell r="H4926">
            <v>1.05</v>
          </cell>
          <cell r="I4926" t="str">
            <v>From M1A to M2A - 5°</v>
          </cell>
          <cell r="J4926" t="str">
            <v>IE3</v>
          </cell>
          <cell r="K4926" t="str">
            <v>230/400</v>
          </cell>
          <cell r="L4926">
            <v>50</v>
          </cell>
          <cell r="M4926" t="str">
            <v>36,5/21</v>
          </cell>
          <cell r="N4926">
            <v>65</v>
          </cell>
          <cell r="O4926" t="str">
            <v>155(F)</v>
          </cell>
          <cell r="P4926" t="str">
            <v>180°</v>
          </cell>
          <cell r="Q4926" t="str">
            <v>TF</v>
          </cell>
          <cell r="R4926" t="str">
            <v>-</v>
          </cell>
          <cell r="S4926" t="str">
            <v>-</v>
          </cell>
          <cell r="T4926" t="str">
            <v>-</v>
          </cell>
          <cell r="U4926" t="str">
            <v>-</v>
          </cell>
          <cell r="V4926" t="str">
            <v>SS</v>
          </cell>
          <cell r="W4926" t="str">
            <v>-</v>
          </cell>
          <cell r="X4926" t="str">
            <v>CLP HC 220 (-25/+60°C)</v>
          </cell>
          <cell r="Y4926" t="str">
            <v>KH107EDRN160M4 /TF</v>
          </cell>
          <cell r="Z4926" t="str">
            <v>SEW</v>
          </cell>
          <cell r="AB4926" t="str">
            <v>ATEX22</v>
          </cell>
          <cell r="AF4926">
            <v>15</v>
          </cell>
          <cell r="AG4926" t="str">
            <v>EDRN160M4</v>
          </cell>
          <cell r="AH4926" t="str">
            <v>KH107-EDRN160M4A180-X</v>
          </cell>
        </row>
        <row r="4927">
          <cell r="A4927" t="str">
            <v>MR004916</v>
          </cell>
          <cell r="B4927" t="str">
            <v>MR</v>
          </cell>
          <cell r="C4927">
            <v>3</v>
          </cell>
          <cell r="D4927">
            <v>28</v>
          </cell>
          <cell r="E4927" t="str">
            <v>R87</v>
          </cell>
          <cell r="F4927">
            <v>1040</v>
          </cell>
          <cell r="G4927">
            <v>52.82</v>
          </cell>
          <cell r="H4927">
            <v>1.1499999999999999</v>
          </cell>
          <cell r="I4927" t="str">
            <v>M1</v>
          </cell>
          <cell r="J4927" t="str">
            <v>IE3</v>
          </cell>
          <cell r="K4927" t="str">
            <v>230/400</v>
          </cell>
          <cell r="L4927">
            <v>50</v>
          </cell>
          <cell r="M4927" t="str">
            <v>11,4/6,6</v>
          </cell>
          <cell r="N4927">
            <v>65</v>
          </cell>
          <cell r="O4927" t="str">
            <v>155(F)</v>
          </cell>
          <cell r="P4927" t="str">
            <v>270°</v>
          </cell>
          <cell r="Q4927" t="str">
            <v>TF</v>
          </cell>
          <cell r="R4927" t="str">
            <v>V(VE)</v>
          </cell>
          <cell r="S4927" t="str">
            <v>-</v>
          </cell>
          <cell r="T4927" t="str">
            <v>-</v>
          </cell>
          <cell r="U4927" t="str">
            <v>-</v>
          </cell>
          <cell r="V4927" t="str">
            <v>FC</v>
          </cell>
          <cell r="W4927" t="str">
            <v>-</v>
          </cell>
          <cell r="X4927" t="str">
            <v>CLP HC 220 (-25/+60°C)</v>
          </cell>
          <cell r="Y4927" t="str">
            <v>R87EDRN100L4 /TF/VE</v>
          </cell>
          <cell r="Z4927" t="str">
            <v>SEW</v>
          </cell>
          <cell r="AB4927" t="str">
            <v>ATEX22</v>
          </cell>
          <cell r="AF4927">
            <v>28</v>
          </cell>
          <cell r="AG4927" t="str">
            <v>EDRN100L4</v>
          </cell>
          <cell r="AH4927" t="str">
            <v>R87-EDRN100L4270-X#</v>
          </cell>
        </row>
        <row r="4928">
          <cell r="A4928" t="str">
            <v>MR004917</v>
          </cell>
          <cell r="B4928" t="str">
            <v>MR</v>
          </cell>
          <cell r="C4928">
            <v>11</v>
          </cell>
          <cell r="D4928">
            <v>48</v>
          </cell>
          <cell r="E4928" t="str">
            <v>R107</v>
          </cell>
          <cell r="F4928">
            <v>2190</v>
          </cell>
          <cell r="G4928">
            <v>30.77</v>
          </cell>
          <cell r="H4928">
            <v>1.95</v>
          </cell>
          <cell r="I4928" t="str">
            <v>M1</v>
          </cell>
          <cell r="J4928" t="str">
            <v>IE3</v>
          </cell>
          <cell r="K4928" t="str">
            <v>400/690</v>
          </cell>
          <cell r="L4928">
            <v>50</v>
          </cell>
          <cell r="M4928" t="str">
            <v>21,5/12,4</v>
          </cell>
          <cell r="N4928">
            <v>65</v>
          </cell>
          <cell r="O4928" t="str">
            <v>155(F)</v>
          </cell>
          <cell r="P4928" t="str">
            <v>270°</v>
          </cell>
          <cell r="Q4928" t="str">
            <v>TF</v>
          </cell>
          <cell r="R4928" t="str">
            <v>-</v>
          </cell>
          <cell r="S4928" t="str">
            <v>-</v>
          </cell>
          <cell r="T4928" t="str">
            <v>-</v>
          </cell>
          <cell r="U4928" t="str">
            <v>-</v>
          </cell>
          <cell r="V4928" t="str">
            <v>D+R</v>
          </cell>
          <cell r="W4928" t="str">
            <v>-</v>
          </cell>
          <cell r="X4928" t="str">
            <v>CLP HC 220 (-25/+60°C)</v>
          </cell>
          <cell r="Y4928" t="str">
            <v>R107EDRN160M4 /TF</v>
          </cell>
          <cell r="Z4928" t="str">
            <v>SEW</v>
          </cell>
          <cell r="AB4928" t="str">
            <v>ATEX22</v>
          </cell>
          <cell r="AF4928">
            <v>48</v>
          </cell>
          <cell r="AG4928" t="str">
            <v>EDRN160M4</v>
          </cell>
          <cell r="AH4928" t="str">
            <v>R107-EDRN160M4270-X</v>
          </cell>
        </row>
        <row r="4929">
          <cell r="A4929" t="str">
            <v>MR004918</v>
          </cell>
          <cell r="B4929" t="str">
            <v>MR</v>
          </cell>
          <cell r="C4929">
            <v>11</v>
          </cell>
          <cell r="D4929">
            <v>15</v>
          </cell>
          <cell r="E4929" t="str">
            <v>KH107</v>
          </cell>
          <cell r="F4929">
            <v>7180</v>
          </cell>
          <cell r="G4929">
            <v>100.75</v>
          </cell>
          <cell r="H4929">
            <v>1.05</v>
          </cell>
          <cell r="I4929" t="str">
            <v xml:space="preserve"> M1A</v>
          </cell>
          <cell r="J4929" t="str">
            <v>IE3</v>
          </cell>
          <cell r="K4929" t="str">
            <v>230/400</v>
          </cell>
          <cell r="L4929">
            <v>50</v>
          </cell>
          <cell r="M4929" t="str">
            <v>36,5/21</v>
          </cell>
          <cell r="N4929">
            <v>65</v>
          </cell>
          <cell r="O4929" t="str">
            <v>155(F)</v>
          </cell>
          <cell r="P4929" t="str">
            <v>180°</v>
          </cell>
          <cell r="Q4929" t="str">
            <v>TF</v>
          </cell>
          <cell r="R4929" t="str">
            <v>-</v>
          </cell>
          <cell r="S4929" t="str">
            <v>-</v>
          </cell>
          <cell r="T4929" t="str">
            <v>-</v>
          </cell>
          <cell r="U4929" t="str">
            <v>-</v>
          </cell>
          <cell r="V4929" t="str">
            <v>SS</v>
          </cell>
          <cell r="W4929" t="str">
            <v>-</v>
          </cell>
          <cell r="X4929" t="str">
            <v>CLP HC 220 (-25/+60°C)</v>
          </cell>
          <cell r="Y4929" t="str">
            <v>KH107EDRN160M4 /TF</v>
          </cell>
          <cell r="Z4929" t="str">
            <v>SEW</v>
          </cell>
          <cell r="AB4929" t="str">
            <v>ATEX22</v>
          </cell>
          <cell r="AF4929">
            <v>15</v>
          </cell>
          <cell r="AG4929" t="str">
            <v>EDRN160M4</v>
          </cell>
          <cell r="AH4929" t="str">
            <v>KH107-EDRN160M4A180-X</v>
          </cell>
        </row>
        <row r="4930">
          <cell r="A4930" t="str">
            <v>MR004919</v>
          </cell>
          <cell r="B4930" t="str">
            <v>MR</v>
          </cell>
          <cell r="C4930">
            <v>11</v>
          </cell>
          <cell r="D4930">
            <v>59</v>
          </cell>
          <cell r="E4930" t="str">
            <v>R97</v>
          </cell>
          <cell r="F4930">
            <v>1790</v>
          </cell>
          <cell r="G4930">
            <v>25.03</v>
          </cell>
          <cell r="H4930">
            <v>1.2</v>
          </cell>
          <cell r="I4930" t="str">
            <v>From M1 to M4 - 45°</v>
          </cell>
          <cell r="J4930" t="str">
            <v>IE3</v>
          </cell>
          <cell r="K4930" t="str">
            <v>400/690</v>
          </cell>
          <cell r="L4930">
            <v>50</v>
          </cell>
          <cell r="M4930" t="str">
            <v>21,5/12,4</v>
          </cell>
          <cell r="N4930">
            <v>65</v>
          </cell>
          <cell r="O4930" t="str">
            <v>155(F)</v>
          </cell>
          <cell r="P4930" t="str">
            <v>270°</v>
          </cell>
          <cell r="Q4930" t="str">
            <v>TF</v>
          </cell>
          <cell r="R4930" t="str">
            <v>-</v>
          </cell>
          <cell r="S4930" t="str">
            <v>-</v>
          </cell>
          <cell r="T4930" t="str">
            <v>-</v>
          </cell>
          <cell r="U4930" t="str">
            <v>-</v>
          </cell>
          <cell r="V4930" t="str">
            <v>D</v>
          </cell>
          <cell r="W4930" t="str">
            <v>-</v>
          </cell>
          <cell r="X4930" t="str">
            <v>CLP HC 220 (-25/+60°C)</v>
          </cell>
          <cell r="Y4930" t="str">
            <v>R97EDRN160M4 /TF</v>
          </cell>
          <cell r="Z4930" t="str">
            <v>SEW</v>
          </cell>
          <cell r="AB4930" t="str">
            <v>ATEX22</v>
          </cell>
          <cell r="AF4930">
            <v>59</v>
          </cell>
          <cell r="AG4930" t="str">
            <v>EDRN160M4</v>
          </cell>
          <cell r="AH4930" t="str">
            <v>R97-EDRN160M4270-X</v>
          </cell>
        </row>
        <row r="4931">
          <cell r="A4931" t="str">
            <v>MR004920</v>
          </cell>
          <cell r="B4931" t="str">
            <v>MR</v>
          </cell>
          <cell r="C4931">
            <v>11</v>
          </cell>
          <cell r="D4931">
            <v>59</v>
          </cell>
          <cell r="E4931" t="str">
            <v>R97</v>
          </cell>
          <cell r="F4931">
            <v>1790</v>
          </cell>
          <cell r="G4931">
            <v>25.03</v>
          </cell>
          <cell r="H4931">
            <v>1.2</v>
          </cell>
          <cell r="I4931" t="str">
            <v>From M1 to M4 - 10°</v>
          </cell>
          <cell r="J4931" t="str">
            <v>IE3</v>
          </cell>
          <cell r="K4931" t="str">
            <v>400/690</v>
          </cell>
          <cell r="L4931">
            <v>50</v>
          </cell>
          <cell r="M4931" t="str">
            <v>21,5/12,4</v>
          </cell>
          <cell r="N4931">
            <v>65</v>
          </cell>
          <cell r="O4931" t="str">
            <v>155(F)</v>
          </cell>
          <cell r="P4931" t="str">
            <v>270°</v>
          </cell>
          <cell r="Q4931" t="str">
            <v>TF</v>
          </cell>
          <cell r="R4931" t="str">
            <v>-</v>
          </cell>
          <cell r="S4931" t="str">
            <v>-</v>
          </cell>
          <cell r="T4931" t="str">
            <v>-</v>
          </cell>
          <cell r="U4931" t="str">
            <v>-</v>
          </cell>
          <cell r="V4931" t="str">
            <v>D</v>
          </cell>
          <cell r="W4931" t="str">
            <v>-</v>
          </cell>
          <cell r="X4931" t="str">
            <v>CLP HC 220 (-25/+60°C)</v>
          </cell>
          <cell r="Y4931" t="str">
            <v>R97EDRN160M4 /TF</v>
          </cell>
          <cell r="Z4931" t="str">
            <v>SEW</v>
          </cell>
          <cell r="AB4931" t="str">
            <v>ATEX22</v>
          </cell>
          <cell r="AF4931">
            <v>59</v>
          </cell>
          <cell r="AG4931" t="str">
            <v>EDRN160M4</v>
          </cell>
          <cell r="AH4931" t="str">
            <v>R97-EDRN160M4270-X</v>
          </cell>
        </row>
        <row r="4932">
          <cell r="A4932" t="str">
            <v>MR004921</v>
          </cell>
          <cell r="B4932" t="str">
            <v>MR</v>
          </cell>
          <cell r="C4932">
            <v>5.5</v>
          </cell>
          <cell r="D4932">
            <v>68</v>
          </cell>
          <cell r="E4932" t="str">
            <v>R87</v>
          </cell>
          <cell r="F4932">
            <v>775</v>
          </cell>
          <cell r="G4932">
            <v>21.51</v>
          </cell>
          <cell r="H4932">
            <v>1.55</v>
          </cell>
          <cell r="I4932" t="str">
            <v>From M1 to M2 - 10°</v>
          </cell>
          <cell r="J4932" t="str">
            <v>IE3</v>
          </cell>
          <cell r="K4932" t="str">
            <v>230/400</v>
          </cell>
          <cell r="L4932">
            <v>50</v>
          </cell>
          <cell r="M4932" t="str">
            <v>18,8/10,9</v>
          </cell>
          <cell r="N4932">
            <v>65</v>
          </cell>
          <cell r="O4932" t="str">
            <v>155(F)</v>
          </cell>
          <cell r="P4932" t="str">
            <v>270°</v>
          </cell>
          <cell r="Q4932" t="str">
            <v>TF</v>
          </cell>
          <cell r="R4932" t="str">
            <v>-</v>
          </cell>
          <cell r="S4932" t="str">
            <v>-</v>
          </cell>
          <cell r="T4932" t="str">
            <v>-</v>
          </cell>
          <cell r="U4932" t="str">
            <v>-</v>
          </cell>
          <cell r="V4932" t="str">
            <v>D</v>
          </cell>
          <cell r="W4932" t="str">
            <v>-</v>
          </cell>
          <cell r="X4932" t="str">
            <v>CLP HC 220 (-25/+60°C)</v>
          </cell>
          <cell r="Y4932" t="str">
            <v>R87EDRN132S4 /TF</v>
          </cell>
          <cell r="Z4932" t="str">
            <v>SEW</v>
          </cell>
          <cell r="AB4932" t="str">
            <v>ATEX22</v>
          </cell>
          <cell r="AF4932">
            <v>68</v>
          </cell>
          <cell r="AG4932" t="str">
            <v>EDRN132S4</v>
          </cell>
          <cell r="AH4932" t="str">
            <v>R87-EDRN132S4270-X</v>
          </cell>
        </row>
        <row r="4933">
          <cell r="A4933" t="str">
            <v>MR004922</v>
          </cell>
          <cell r="B4933" t="str">
            <v>MR</v>
          </cell>
          <cell r="C4933">
            <v>18.5</v>
          </cell>
          <cell r="D4933">
            <v>59</v>
          </cell>
          <cell r="E4933" t="str">
            <v>R107</v>
          </cell>
          <cell r="F4933">
            <v>2980</v>
          </cell>
          <cell r="G4933">
            <v>24.9</v>
          </cell>
          <cell r="H4933">
            <v>1.45</v>
          </cell>
          <cell r="I4933" t="str">
            <v>M4</v>
          </cell>
          <cell r="J4933" t="str">
            <v>IE3</v>
          </cell>
          <cell r="K4933" t="str">
            <v>400/690</v>
          </cell>
          <cell r="L4933">
            <v>50</v>
          </cell>
          <cell r="M4933" t="str">
            <v>35/20</v>
          </cell>
          <cell r="N4933">
            <v>65</v>
          </cell>
          <cell r="O4933" t="str">
            <v>155(F)</v>
          </cell>
          <cell r="P4933" t="str">
            <v>270°</v>
          </cell>
          <cell r="Q4933" t="str">
            <v>TF</v>
          </cell>
          <cell r="R4933" t="str">
            <v>-</v>
          </cell>
          <cell r="S4933" t="str">
            <v>-</v>
          </cell>
          <cell r="T4933" t="str">
            <v>-</v>
          </cell>
          <cell r="U4933" t="str">
            <v>-</v>
          </cell>
          <cell r="V4933" t="str">
            <v>D</v>
          </cell>
          <cell r="W4933" t="str">
            <v>-</v>
          </cell>
          <cell r="X4933" t="str">
            <v>CLP HC 220 (-25/+60°C)</v>
          </cell>
          <cell r="Y4933" t="str">
            <v>R107EDRN180M4 /TF</v>
          </cell>
          <cell r="Z4933" t="str">
            <v>SEW</v>
          </cell>
          <cell r="AB4933" t="str">
            <v>ATEX22</v>
          </cell>
          <cell r="AF4933">
            <v>59</v>
          </cell>
          <cell r="AG4933" t="str">
            <v>EDRN180M4</v>
          </cell>
          <cell r="AH4933" t="str">
            <v>R107-EDRN180M4270-X</v>
          </cell>
        </row>
        <row r="4934">
          <cell r="A4934" t="str">
            <v>MR004923</v>
          </cell>
          <cell r="B4934" t="str">
            <v>MR</v>
          </cell>
          <cell r="C4934">
            <v>7.5</v>
          </cell>
          <cell r="D4934">
            <v>63</v>
          </cell>
          <cell r="E4934" t="str">
            <v>R87</v>
          </cell>
          <cell r="F4934">
            <v>1140</v>
          </cell>
          <cell r="G4934">
            <v>23.4</v>
          </cell>
          <cell r="H4934">
            <v>1.05</v>
          </cell>
          <cell r="I4934" t="str">
            <v>M1</v>
          </cell>
          <cell r="J4934" t="str">
            <v>IE3</v>
          </cell>
          <cell r="K4934" t="str">
            <v>400/690</v>
          </cell>
          <cell r="L4934">
            <v>50</v>
          </cell>
          <cell r="M4934" t="str">
            <v>15,2/8,8</v>
          </cell>
          <cell r="N4934">
            <v>65</v>
          </cell>
          <cell r="O4934" t="str">
            <v>155(F)</v>
          </cell>
          <cell r="P4934" t="str">
            <v>270°</v>
          </cell>
          <cell r="Q4934" t="str">
            <v>TF</v>
          </cell>
          <cell r="R4934" t="str">
            <v>-</v>
          </cell>
          <cell r="S4934" t="str">
            <v>-</v>
          </cell>
          <cell r="T4934" t="str">
            <v>-</v>
          </cell>
          <cell r="U4934" t="str">
            <v>-</v>
          </cell>
          <cell r="V4934" t="str">
            <v>D+R</v>
          </cell>
          <cell r="W4934" t="str">
            <v>-</v>
          </cell>
          <cell r="X4934" t="str">
            <v>CLP HC 220 (-25/+60°C)</v>
          </cell>
          <cell r="Y4934" t="str">
            <v>R87EDRN132M4 /TF</v>
          </cell>
          <cell r="Z4934" t="str">
            <v>SEW</v>
          </cell>
          <cell r="AB4934" t="str">
            <v>ATEX22</v>
          </cell>
          <cell r="AF4934">
            <v>63</v>
          </cell>
          <cell r="AG4934" t="str">
            <v>EDRN132M4</v>
          </cell>
          <cell r="AH4934" t="str">
            <v>R87-EDRN132M4270-X</v>
          </cell>
        </row>
        <row r="4935">
          <cell r="A4935" t="str">
            <v>MR004924</v>
          </cell>
          <cell r="B4935" t="str">
            <v>MR</v>
          </cell>
          <cell r="C4935">
            <v>0.75</v>
          </cell>
          <cell r="D4935">
            <v>18</v>
          </cell>
          <cell r="E4935" t="str">
            <v>FA67</v>
          </cell>
          <cell r="F4935">
            <v>395</v>
          </cell>
          <cell r="G4935">
            <v>79.760000000000005</v>
          </cell>
          <cell r="H4935">
            <v>2</v>
          </cell>
          <cell r="I4935" t="str">
            <v>M6</v>
          </cell>
          <cell r="J4935" t="str">
            <v>IE3</v>
          </cell>
          <cell r="K4935" t="str">
            <v>230/400</v>
          </cell>
          <cell r="L4935">
            <v>50</v>
          </cell>
          <cell r="M4935" t="str">
            <v>3,05/1,75</v>
          </cell>
          <cell r="N4935">
            <v>65</v>
          </cell>
          <cell r="O4935" t="str">
            <v>155(F)</v>
          </cell>
          <cell r="P4935" t="str">
            <v>0°</v>
          </cell>
          <cell r="Q4935" t="str">
            <v>TF</v>
          </cell>
          <cell r="R4935" t="str">
            <v>-</v>
          </cell>
          <cell r="S4935" t="str">
            <v>-</v>
          </cell>
          <cell r="T4935" t="str">
            <v>BEHF</v>
          </cell>
          <cell r="U4935" t="str">
            <v>G</v>
          </cell>
          <cell r="V4935" t="str">
            <v>D+R</v>
          </cell>
          <cell r="W4935" t="str">
            <v>-</v>
          </cell>
          <cell r="X4935" t="str">
            <v>CLP HC 220 (-25/+60°C)</v>
          </cell>
          <cell r="Y4935" t="str">
            <v>FA67/G EDRN80M4 /BEHF /TF</v>
          </cell>
          <cell r="Z4935" t="str">
            <v>SEW</v>
          </cell>
          <cell r="AB4935" t="str">
            <v>ATEX22</v>
          </cell>
          <cell r="AF4935">
            <v>0</v>
          </cell>
          <cell r="AG4935" t="str">
            <v>EDRN80M4</v>
          </cell>
          <cell r="AH4935" t="str">
            <v>FA67G-EDRN80M40-X</v>
          </cell>
        </row>
        <row r="4936">
          <cell r="A4936" t="str">
            <v>MR004925</v>
          </cell>
          <cell r="B4936" t="str">
            <v>MR</v>
          </cell>
          <cell r="C4936">
            <v>15</v>
          </cell>
          <cell r="D4936">
            <v>59</v>
          </cell>
          <cell r="E4936" t="str">
            <v>R107</v>
          </cell>
          <cell r="F4936">
            <v>2420</v>
          </cell>
          <cell r="G4936">
            <v>24.9</v>
          </cell>
          <cell r="H4936">
            <v>1.8</v>
          </cell>
          <cell r="I4936" t="str">
            <v>From M1 to M4 - 10°</v>
          </cell>
          <cell r="J4936" t="str">
            <v>IE3</v>
          </cell>
          <cell r="K4936" t="str">
            <v>400/690</v>
          </cell>
          <cell r="L4936">
            <v>50</v>
          </cell>
          <cell r="M4936" t="str">
            <v>29,5/16,9</v>
          </cell>
          <cell r="N4936">
            <v>65</v>
          </cell>
          <cell r="O4936" t="str">
            <v>155(F)</v>
          </cell>
          <cell r="P4936" t="str">
            <v>270°</v>
          </cell>
          <cell r="Q4936" t="str">
            <v>TF</v>
          </cell>
          <cell r="R4936" t="str">
            <v>-</v>
          </cell>
          <cell r="S4936" t="str">
            <v>-</v>
          </cell>
          <cell r="T4936" t="str">
            <v>-</v>
          </cell>
          <cell r="U4936" t="str">
            <v>-</v>
          </cell>
          <cell r="V4936" t="str">
            <v>D</v>
          </cell>
          <cell r="W4936" t="str">
            <v>-</v>
          </cell>
          <cell r="X4936" t="str">
            <v>CLP HC 220 (-25/+60°C)</v>
          </cell>
          <cell r="Y4936" t="str">
            <v>R107EDRN160L4 /TF</v>
          </cell>
          <cell r="Z4936" t="str">
            <v>SEW</v>
          </cell>
          <cell r="AB4936" t="str">
            <v>ATEX22</v>
          </cell>
          <cell r="AF4936">
            <v>59</v>
          </cell>
          <cell r="AG4936" t="str">
            <v>EDRN160L4</v>
          </cell>
          <cell r="AH4936" t="str">
            <v>R107-EDRN160L4270-X</v>
          </cell>
        </row>
        <row r="4937">
          <cell r="A4937" t="str">
            <v>MR004926</v>
          </cell>
          <cell r="B4937" t="str">
            <v>MR</v>
          </cell>
          <cell r="C4937">
            <v>7.5</v>
          </cell>
          <cell r="D4937">
            <v>68</v>
          </cell>
          <cell r="E4937" t="str">
            <v>R87</v>
          </cell>
          <cell r="F4937">
            <v>1050</v>
          </cell>
          <cell r="G4937">
            <v>21.51</v>
          </cell>
          <cell r="H4937">
            <v>1.1499999999999999</v>
          </cell>
          <cell r="I4937" t="str">
            <v>M1</v>
          </cell>
          <cell r="J4937" t="str">
            <v>IE3</v>
          </cell>
          <cell r="K4937" t="str">
            <v>400/690</v>
          </cell>
          <cell r="L4937">
            <v>50</v>
          </cell>
          <cell r="M4937" t="str">
            <v>15,7/9</v>
          </cell>
          <cell r="N4937">
            <v>65</v>
          </cell>
          <cell r="O4937" t="str">
            <v>155(F)</v>
          </cell>
          <cell r="P4937" t="str">
            <v>270°</v>
          </cell>
          <cell r="Q4937" t="str">
            <v>TF</v>
          </cell>
          <cell r="R4937" t="str">
            <v>-</v>
          </cell>
          <cell r="S4937" t="str">
            <v>-</v>
          </cell>
          <cell r="T4937" t="str">
            <v>-</v>
          </cell>
          <cell r="U4937" t="str">
            <v>-</v>
          </cell>
          <cell r="V4937" t="str">
            <v>D</v>
          </cell>
          <cell r="W4937" t="str">
            <v>-</v>
          </cell>
          <cell r="X4937" t="str">
            <v>CLP HC 220 (-25/+60°C)</v>
          </cell>
          <cell r="Y4937" t="str">
            <v>R87EDRN132M4 /TF</v>
          </cell>
          <cell r="Z4937" t="str">
            <v>SEW</v>
          </cell>
          <cell r="AB4937" t="str">
            <v>ATEX22</v>
          </cell>
          <cell r="AF4937">
            <v>68</v>
          </cell>
          <cell r="AG4937" t="str">
            <v>EDRN132M4</v>
          </cell>
          <cell r="AH4937" t="str">
            <v>R87-EDRN132M4270-X</v>
          </cell>
        </row>
        <row r="4938">
          <cell r="A4938" t="str">
            <v>MR004927</v>
          </cell>
          <cell r="B4938" t="str">
            <v>MR</v>
          </cell>
          <cell r="C4938">
            <v>11</v>
          </cell>
          <cell r="D4938">
            <v>65</v>
          </cell>
          <cell r="E4938" t="str">
            <v>R107</v>
          </cell>
          <cell r="F4938">
            <v>1610</v>
          </cell>
          <cell r="G4938">
            <v>22.62</v>
          </cell>
          <cell r="H4938">
            <v>2.7</v>
          </cell>
          <cell r="I4938" t="str">
            <v>M1</v>
          </cell>
          <cell r="J4938" t="str">
            <v>IE3</v>
          </cell>
          <cell r="K4938" t="str">
            <v>400/690</v>
          </cell>
          <cell r="L4938">
            <v>50</v>
          </cell>
          <cell r="M4938" t="str">
            <v>21,5/12,4</v>
          </cell>
          <cell r="N4938">
            <v>65</v>
          </cell>
          <cell r="O4938" t="str">
            <v>155(F)</v>
          </cell>
          <cell r="P4938" t="str">
            <v>270°</v>
          </cell>
          <cell r="Q4938" t="str">
            <v>TF</v>
          </cell>
          <cell r="R4938" t="str">
            <v>-</v>
          </cell>
          <cell r="S4938" t="str">
            <v>-</v>
          </cell>
          <cell r="T4938" t="str">
            <v>-</v>
          </cell>
          <cell r="U4938" t="str">
            <v>-</v>
          </cell>
          <cell r="V4938" t="str">
            <v>D+R</v>
          </cell>
          <cell r="W4938" t="str">
            <v>-</v>
          </cell>
          <cell r="X4938" t="str">
            <v>CLP HC 220 (-25/+60°C)</v>
          </cell>
          <cell r="Y4938" t="str">
            <v>R107EDRN160M4 /TF</v>
          </cell>
          <cell r="Z4938" t="str">
            <v>SEW</v>
          </cell>
          <cell r="AB4938" t="str">
            <v>ATEX22</v>
          </cell>
          <cell r="AF4938">
            <v>65</v>
          </cell>
          <cell r="AG4938" t="str">
            <v>EDRN160M4</v>
          </cell>
          <cell r="AH4938" t="str">
            <v>R107-EDRN160M4270-X</v>
          </cell>
        </row>
        <row r="4939">
          <cell r="A4939" t="str">
            <v>MR004928</v>
          </cell>
          <cell r="B4939" t="str">
            <v>MR</v>
          </cell>
          <cell r="C4939">
            <v>22</v>
          </cell>
          <cell r="D4939">
            <v>81</v>
          </cell>
          <cell r="E4939" t="str">
            <v>R107</v>
          </cell>
          <cell r="F4939">
            <v>2590</v>
          </cell>
          <cell r="G4939">
            <v>18.21</v>
          </cell>
          <cell r="H4939">
            <v>1.65</v>
          </cell>
          <cell r="I4939" t="str">
            <v>M4</v>
          </cell>
          <cell r="J4939" t="str">
            <v>IE3</v>
          </cell>
          <cell r="K4939" t="str">
            <v>400/690</v>
          </cell>
          <cell r="L4939">
            <v>50</v>
          </cell>
          <cell r="M4939" t="str">
            <v>40,5/23,5</v>
          </cell>
          <cell r="N4939">
            <v>65</v>
          </cell>
          <cell r="O4939" t="str">
            <v>155(F)</v>
          </cell>
          <cell r="P4939" t="str">
            <v>270°</v>
          </cell>
          <cell r="Q4939" t="str">
            <v>TF</v>
          </cell>
          <cell r="R4939" t="str">
            <v>-</v>
          </cell>
          <cell r="S4939" t="str">
            <v>-</v>
          </cell>
          <cell r="T4939" t="str">
            <v>-</v>
          </cell>
          <cell r="U4939" t="str">
            <v>-</v>
          </cell>
          <cell r="V4939" t="str">
            <v>D</v>
          </cell>
          <cell r="W4939" t="str">
            <v>-</v>
          </cell>
          <cell r="X4939" t="str">
            <v>CLP HC 220 (-25/+60°C)</v>
          </cell>
          <cell r="Y4939" t="str">
            <v>R107EDRN180L4 /TF</v>
          </cell>
          <cell r="Z4939" t="str">
            <v>SEW</v>
          </cell>
          <cell r="AB4939" t="str">
            <v>ATEX22</v>
          </cell>
          <cell r="AF4939">
            <v>81</v>
          </cell>
          <cell r="AG4939" t="str">
            <v>EDRN180L4</v>
          </cell>
          <cell r="AH4939" t="str">
            <v>R107-EDRN180L4270-X</v>
          </cell>
        </row>
        <row r="4940">
          <cell r="A4940" t="str">
            <v>MR004929</v>
          </cell>
          <cell r="B4940" t="str">
            <v>MR</v>
          </cell>
          <cell r="C4940">
            <v>7.5</v>
          </cell>
          <cell r="D4940">
            <v>15</v>
          </cell>
          <cell r="E4940" t="str">
            <v>KH107</v>
          </cell>
          <cell r="F4940">
            <v>4920</v>
          </cell>
          <cell r="G4940">
            <v>100.75</v>
          </cell>
          <cell r="H4940">
            <v>1.55</v>
          </cell>
          <cell r="I4940" t="str">
            <v>From M1A to M2A - 25°</v>
          </cell>
          <cell r="J4940" t="str">
            <v>IE3</v>
          </cell>
          <cell r="K4940" t="str">
            <v>230/400</v>
          </cell>
          <cell r="L4940">
            <v>50</v>
          </cell>
          <cell r="M4940" t="str">
            <v>27/15,7</v>
          </cell>
          <cell r="N4940">
            <v>65</v>
          </cell>
          <cell r="O4940" t="str">
            <v>155(F)</v>
          </cell>
          <cell r="P4940" t="str">
            <v>180°</v>
          </cell>
          <cell r="Q4940" t="str">
            <v>TF</v>
          </cell>
          <cell r="R4940" t="str">
            <v>-</v>
          </cell>
          <cell r="S4940" t="str">
            <v>-</v>
          </cell>
          <cell r="T4940" t="str">
            <v>-</v>
          </cell>
          <cell r="U4940" t="str">
            <v>-</v>
          </cell>
          <cell r="V4940" t="str">
            <v>SS</v>
          </cell>
          <cell r="W4940" t="str">
            <v>-</v>
          </cell>
          <cell r="X4940" t="str">
            <v>CLP HC 220 (-25/+60°C)</v>
          </cell>
          <cell r="Y4940" t="str">
            <v>KH107EDRN132M4 /TF</v>
          </cell>
          <cell r="Z4940" t="str">
            <v>SEW</v>
          </cell>
          <cell r="AB4940" t="str">
            <v>ATEX22</v>
          </cell>
          <cell r="AF4940">
            <v>15</v>
          </cell>
          <cell r="AG4940" t="str">
            <v>EDRN132M4</v>
          </cell>
          <cell r="AH4940" t="str">
            <v>KH107-EDRN132M4A180-X</v>
          </cell>
        </row>
        <row r="4941">
          <cell r="A4941" t="str">
            <v>MR004930</v>
          </cell>
          <cell r="B4941" t="str">
            <v>MR</v>
          </cell>
          <cell r="C4941">
            <v>22</v>
          </cell>
          <cell r="D4941">
            <v>48</v>
          </cell>
          <cell r="E4941" t="str">
            <v>R127</v>
          </cell>
          <cell r="F4941">
            <v>4390</v>
          </cell>
          <cell r="G4941">
            <v>30.84</v>
          </cell>
          <cell r="H4941">
            <v>1.1499999999999999</v>
          </cell>
          <cell r="I4941" t="str">
            <v>M1</v>
          </cell>
          <cell r="J4941" t="str">
            <v>IE3</v>
          </cell>
          <cell r="K4941" t="str">
            <v>400/690</v>
          </cell>
          <cell r="L4941">
            <v>50</v>
          </cell>
          <cell r="M4941" t="str">
            <v>40,5/23,5</v>
          </cell>
          <cell r="N4941">
            <v>65</v>
          </cell>
          <cell r="O4941" t="str">
            <v>155(F)</v>
          </cell>
          <cell r="P4941" t="str">
            <v>270°</v>
          </cell>
          <cell r="Q4941" t="str">
            <v>TF</v>
          </cell>
          <cell r="R4941" t="str">
            <v>-</v>
          </cell>
          <cell r="S4941" t="str">
            <v>-</v>
          </cell>
          <cell r="T4941" t="str">
            <v>-</v>
          </cell>
          <cell r="U4941" t="str">
            <v>-</v>
          </cell>
          <cell r="V4941" t="str">
            <v>D+R</v>
          </cell>
          <cell r="W4941" t="str">
            <v>-</v>
          </cell>
          <cell r="X4941" t="str">
            <v>CLP HC 220 (-25/+60°C)</v>
          </cell>
          <cell r="Y4941" t="str">
            <v>R127EDRN180L4 /TF</v>
          </cell>
          <cell r="Z4941" t="str">
            <v>SEW</v>
          </cell>
          <cell r="AB4941" t="str">
            <v>ATEX22</v>
          </cell>
          <cell r="AF4941">
            <v>48</v>
          </cell>
          <cell r="AG4941" t="str">
            <v>EDRN180L4</v>
          </cell>
          <cell r="AH4941" t="str">
            <v>R127-EDRN180L4270-X</v>
          </cell>
        </row>
        <row r="4942">
          <cell r="A4942" t="str">
            <v>MR004931</v>
          </cell>
          <cell r="B4942" t="str">
            <v>MR</v>
          </cell>
          <cell r="C4942">
            <v>7.5</v>
          </cell>
          <cell r="D4942">
            <v>31</v>
          </cell>
          <cell r="E4942" t="str">
            <v>R97</v>
          </cell>
          <cell r="F4942">
            <v>2320</v>
          </cell>
          <cell r="G4942">
            <v>47.58</v>
          </cell>
          <cell r="H4942">
            <v>1.1499999999999999</v>
          </cell>
          <cell r="I4942" t="str">
            <v>From M1 to M2 - 15°</v>
          </cell>
          <cell r="J4942" t="str">
            <v>IE3</v>
          </cell>
          <cell r="K4942" t="str">
            <v>230/400</v>
          </cell>
          <cell r="L4942">
            <v>50</v>
          </cell>
          <cell r="M4942" t="str">
            <v>27/15,7</v>
          </cell>
          <cell r="N4942">
            <v>65</v>
          </cell>
          <cell r="O4942" t="str">
            <v>155(F)</v>
          </cell>
          <cell r="P4942" t="str">
            <v>270°</v>
          </cell>
          <cell r="Q4942" t="str">
            <v>TF</v>
          </cell>
          <cell r="R4942" t="str">
            <v>V(VE)</v>
          </cell>
          <cell r="S4942" t="str">
            <v>-</v>
          </cell>
          <cell r="T4942" t="str">
            <v>-</v>
          </cell>
          <cell r="U4942" t="str">
            <v>-</v>
          </cell>
          <cell r="V4942" t="str">
            <v>FC</v>
          </cell>
          <cell r="W4942" t="str">
            <v>-</v>
          </cell>
          <cell r="X4942" t="str">
            <v>CLP HC 220 (-25/+60°C)</v>
          </cell>
          <cell r="Y4942" t="str">
            <v>R97EDRN132M4 /TF/VE</v>
          </cell>
          <cell r="Z4942" t="str">
            <v>SEW</v>
          </cell>
          <cell r="AB4942" t="str">
            <v>ATEX22</v>
          </cell>
          <cell r="AF4942">
            <v>31</v>
          </cell>
          <cell r="AG4942" t="str">
            <v>EDRN132M4</v>
          </cell>
          <cell r="AH4942" t="str">
            <v>R97-EDRN132M4270-X#</v>
          </cell>
        </row>
        <row r="4943">
          <cell r="A4943" t="str">
            <v>MR004932</v>
          </cell>
          <cell r="B4943" t="str">
            <v>MR</v>
          </cell>
          <cell r="C4943">
            <v>7.5</v>
          </cell>
          <cell r="D4943">
            <v>31</v>
          </cell>
          <cell r="E4943" t="str">
            <v>R97</v>
          </cell>
          <cell r="F4943">
            <v>2320</v>
          </cell>
          <cell r="G4943">
            <v>47.58</v>
          </cell>
          <cell r="H4943">
            <v>1.1499999999999999</v>
          </cell>
          <cell r="I4943" t="str">
            <v>M1</v>
          </cell>
          <cell r="J4943" t="str">
            <v>IE3</v>
          </cell>
          <cell r="K4943" t="str">
            <v>230/400</v>
          </cell>
          <cell r="L4943">
            <v>50</v>
          </cell>
          <cell r="M4943" t="str">
            <v>27/15,7</v>
          </cell>
          <cell r="N4943">
            <v>65</v>
          </cell>
          <cell r="O4943" t="str">
            <v>155(F)</v>
          </cell>
          <cell r="P4943" t="str">
            <v>270°</v>
          </cell>
          <cell r="Q4943" t="str">
            <v>TF</v>
          </cell>
          <cell r="R4943" t="str">
            <v>V(VE)</v>
          </cell>
          <cell r="S4943" t="str">
            <v>-</v>
          </cell>
          <cell r="T4943" t="str">
            <v>-</v>
          </cell>
          <cell r="U4943" t="str">
            <v>-</v>
          </cell>
          <cell r="V4943" t="str">
            <v>FC</v>
          </cell>
          <cell r="W4943" t="str">
            <v>-</v>
          </cell>
          <cell r="X4943" t="str">
            <v>CLP HC 220 (-25/+60°C)</v>
          </cell>
          <cell r="Y4943" t="str">
            <v>R97EDRN132M4 /TF/VE</v>
          </cell>
          <cell r="Z4943" t="str">
            <v>SEW</v>
          </cell>
          <cell r="AB4943" t="str">
            <v>ATEX22</v>
          </cell>
          <cell r="AF4943">
            <v>31</v>
          </cell>
          <cell r="AG4943" t="str">
            <v>EDRN132M4</v>
          </cell>
          <cell r="AH4943" t="str">
            <v>R97-EDRN132M4270-X#</v>
          </cell>
        </row>
        <row r="4944">
          <cell r="A4944" t="str">
            <v>MR004933</v>
          </cell>
          <cell r="B4944" t="str">
            <v>MR</v>
          </cell>
          <cell r="C4944">
            <v>11</v>
          </cell>
          <cell r="D4944">
            <v>65</v>
          </cell>
          <cell r="E4944" t="str">
            <v>R107</v>
          </cell>
          <cell r="F4944">
            <v>1610</v>
          </cell>
          <cell r="G4944">
            <v>22.62</v>
          </cell>
          <cell r="H4944">
            <v>2.7</v>
          </cell>
          <cell r="I4944" t="str">
            <v>M1</v>
          </cell>
          <cell r="J4944" t="str">
            <v>IE3</v>
          </cell>
          <cell r="K4944" t="str">
            <v>400/690</v>
          </cell>
          <cell r="L4944">
            <v>50</v>
          </cell>
          <cell r="M4944" t="str">
            <v>21,5/12,3</v>
          </cell>
          <cell r="N4944">
            <v>65</v>
          </cell>
          <cell r="O4944" t="str">
            <v>155(F)</v>
          </cell>
          <cell r="P4944" t="str">
            <v>270°</v>
          </cell>
          <cell r="Q4944" t="str">
            <v>TF</v>
          </cell>
          <cell r="R4944" t="str">
            <v>-</v>
          </cell>
          <cell r="S4944" t="str">
            <v>-</v>
          </cell>
          <cell r="T4944" t="str">
            <v>-</v>
          </cell>
          <cell r="U4944" t="str">
            <v>-</v>
          </cell>
          <cell r="V4944" t="str">
            <v>D+R</v>
          </cell>
          <cell r="W4944" t="str">
            <v>-</v>
          </cell>
          <cell r="X4944" t="str">
            <v>CLP HC 220 (-25/+60°C)</v>
          </cell>
          <cell r="Y4944" t="str">
            <v>R107EDRN160M4 /TF</v>
          </cell>
          <cell r="Z4944" t="str">
            <v>SEW</v>
          </cell>
          <cell r="AB4944" t="str">
            <v>ATEX22</v>
          </cell>
          <cell r="AF4944">
            <v>65</v>
          </cell>
          <cell r="AG4944" t="str">
            <v>EDRN160M4</v>
          </cell>
          <cell r="AH4944" t="str">
            <v>R107-EDRN160M4270-X</v>
          </cell>
        </row>
        <row r="4945">
          <cell r="A4945" t="str">
            <v>MR004934</v>
          </cell>
          <cell r="B4945" t="str">
            <v>MR</v>
          </cell>
          <cell r="C4945">
            <v>4</v>
          </cell>
          <cell r="D4945">
            <v>68</v>
          </cell>
          <cell r="E4945" t="str">
            <v>R77</v>
          </cell>
          <cell r="F4945">
            <v>560</v>
          </cell>
          <cell r="G4945">
            <v>21.43</v>
          </cell>
          <cell r="H4945">
            <v>1.1000000000000001</v>
          </cell>
          <cell r="I4945" t="str">
            <v>From M1 to M4 - 25°</v>
          </cell>
          <cell r="J4945" t="str">
            <v>IE3</v>
          </cell>
          <cell r="K4945" t="str">
            <v>230/400</v>
          </cell>
          <cell r="L4945">
            <v>50</v>
          </cell>
          <cell r="M4945" t="str">
            <v>14,2/8,2</v>
          </cell>
          <cell r="N4945">
            <v>65</v>
          </cell>
          <cell r="O4945" t="str">
            <v>155(F)</v>
          </cell>
          <cell r="P4945" t="str">
            <v>270°</v>
          </cell>
          <cell r="Q4945" t="str">
            <v>TF</v>
          </cell>
          <cell r="R4945" t="str">
            <v>-</v>
          </cell>
          <cell r="S4945" t="str">
            <v>-</v>
          </cell>
          <cell r="T4945" t="str">
            <v>-</v>
          </cell>
          <cell r="U4945" t="str">
            <v>-</v>
          </cell>
          <cell r="V4945" t="str">
            <v>D</v>
          </cell>
          <cell r="W4945" t="str">
            <v>-</v>
          </cell>
          <cell r="X4945" t="str">
            <v>CLP HC 220 (-25/+60°C)</v>
          </cell>
          <cell r="Y4945" t="str">
            <v>R77EDRN112M4 /TF</v>
          </cell>
          <cell r="Z4945" t="str">
            <v>SEW</v>
          </cell>
          <cell r="AB4945" t="str">
            <v>ATEX22</v>
          </cell>
          <cell r="AF4945">
            <v>68</v>
          </cell>
          <cell r="AG4945" t="str">
            <v>EDRN112M4</v>
          </cell>
          <cell r="AH4945" t="str">
            <v>R77-EDRN112M4270-X</v>
          </cell>
        </row>
        <row r="4946">
          <cell r="A4946" t="str">
            <v>MR004935</v>
          </cell>
          <cell r="B4946" t="str">
            <v>MR</v>
          </cell>
          <cell r="C4946">
            <v>3</v>
          </cell>
          <cell r="D4946">
            <v>62</v>
          </cell>
          <cell r="E4946" t="str">
            <v>R77</v>
          </cell>
          <cell r="F4946">
            <v>460</v>
          </cell>
          <cell r="G4946">
            <v>23.37</v>
          </cell>
          <cell r="H4946">
            <v>1.35</v>
          </cell>
          <cell r="I4946" t="str">
            <v>From M1 to M2 - 20°</v>
          </cell>
          <cell r="J4946" t="str">
            <v>IE3</v>
          </cell>
          <cell r="K4946" t="str">
            <v>230/400</v>
          </cell>
          <cell r="L4946">
            <v>50</v>
          </cell>
          <cell r="M4946" t="str">
            <v>11,4/6,6</v>
          </cell>
          <cell r="N4946">
            <v>65</v>
          </cell>
          <cell r="O4946" t="str">
            <v>155(F)</v>
          </cell>
          <cell r="P4946" t="str">
            <v>270°</v>
          </cell>
          <cell r="Q4946" t="str">
            <v>TF</v>
          </cell>
          <cell r="R4946" t="str">
            <v>-</v>
          </cell>
          <cell r="S4946" t="str">
            <v>-</v>
          </cell>
          <cell r="T4946" t="str">
            <v>-</v>
          </cell>
          <cell r="U4946" t="str">
            <v>-</v>
          </cell>
          <cell r="V4946" t="str">
            <v>D</v>
          </cell>
          <cell r="W4946" t="str">
            <v>-</v>
          </cell>
          <cell r="X4946" t="str">
            <v>CLP HC 220 (-25/+60°C)</v>
          </cell>
          <cell r="Y4946" t="str">
            <v>R77EDRN100L4 /TF</v>
          </cell>
          <cell r="Z4946" t="str">
            <v>SEW</v>
          </cell>
          <cell r="AB4946" t="str">
            <v>ATEX22</v>
          </cell>
          <cell r="AF4946">
            <v>62</v>
          </cell>
          <cell r="AG4946" t="str">
            <v>EDRN100L4</v>
          </cell>
          <cell r="AH4946" t="str">
            <v>R77-EDRN100L4270-X</v>
          </cell>
        </row>
        <row r="4947">
          <cell r="A4947" t="str">
            <v>MR004936</v>
          </cell>
          <cell r="B4947" t="str">
            <v>MR</v>
          </cell>
          <cell r="C4947">
            <v>5.5</v>
          </cell>
          <cell r="D4947">
            <v>76</v>
          </cell>
          <cell r="E4947" t="str">
            <v>R87</v>
          </cell>
          <cell r="F4947">
            <v>685</v>
          </cell>
          <cell r="G4947">
            <v>19.100000000000001</v>
          </cell>
          <cell r="H4947">
            <v>1.7</v>
          </cell>
          <cell r="I4947" t="str">
            <v>M1</v>
          </cell>
          <cell r="J4947" t="str">
            <v>IE3</v>
          </cell>
          <cell r="K4947" t="str">
            <v>230/400</v>
          </cell>
          <cell r="L4947">
            <v>50</v>
          </cell>
          <cell r="M4947" t="str">
            <v>18,8/10,9</v>
          </cell>
          <cell r="N4947">
            <v>65</v>
          </cell>
          <cell r="O4947" t="str">
            <v>155(F)</v>
          </cell>
          <cell r="P4947" t="str">
            <v>270°</v>
          </cell>
          <cell r="Q4947" t="str">
            <v>TF</v>
          </cell>
          <cell r="R4947" t="str">
            <v>-</v>
          </cell>
          <cell r="S4947" t="str">
            <v>-</v>
          </cell>
          <cell r="T4947" t="str">
            <v>-</v>
          </cell>
          <cell r="U4947" t="str">
            <v>-</v>
          </cell>
          <cell r="V4947" t="str">
            <v>D</v>
          </cell>
          <cell r="W4947" t="str">
            <v>-</v>
          </cell>
          <cell r="X4947" t="str">
            <v>CLP HC 220 (-25/+60°C)</v>
          </cell>
          <cell r="Y4947" t="str">
            <v>R87EDRN132S4 /TF</v>
          </cell>
          <cell r="Z4947" t="str">
            <v>SEW</v>
          </cell>
          <cell r="AB4947" t="str">
            <v>ATEX22</v>
          </cell>
          <cell r="AF4947">
            <v>76</v>
          </cell>
          <cell r="AG4947" t="str">
            <v>EDRN132S4</v>
          </cell>
          <cell r="AH4947" t="str">
            <v>R87-EDRN132S4270-X</v>
          </cell>
        </row>
        <row r="4948">
          <cell r="A4948" t="str">
            <v>MR004937</v>
          </cell>
          <cell r="B4948" t="str">
            <v>MR</v>
          </cell>
          <cell r="C4948">
            <v>55</v>
          </cell>
          <cell r="D4948">
            <v>61</v>
          </cell>
          <cell r="E4948" t="str">
            <v>R147</v>
          </cell>
          <cell r="F4948">
            <v>8570</v>
          </cell>
          <cell r="G4948">
            <v>24.19</v>
          </cell>
          <cell r="H4948">
            <v>1.25</v>
          </cell>
          <cell r="I4948" t="str">
            <v>M1</v>
          </cell>
          <cell r="J4948" t="str">
            <v>IE3</v>
          </cell>
          <cell r="K4948" t="str">
            <v>400/690</v>
          </cell>
          <cell r="L4948">
            <v>50</v>
          </cell>
          <cell r="M4948" t="str">
            <v>105/60</v>
          </cell>
          <cell r="N4948">
            <v>65</v>
          </cell>
          <cell r="O4948" t="str">
            <v>155(F)</v>
          </cell>
          <cell r="P4948" t="str">
            <v>270°</v>
          </cell>
          <cell r="Q4948" t="str">
            <v>TF</v>
          </cell>
          <cell r="R4948" t="str">
            <v>-</v>
          </cell>
          <cell r="S4948" t="str">
            <v>-</v>
          </cell>
          <cell r="T4948" t="str">
            <v>-</v>
          </cell>
          <cell r="U4948" t="str">
            <v>-</v>
          </cell>
          <cell r="V4948" t="str">
            <v>D</v>
          </cell>
          <cell r="W4948" t="str">
            <v>-</v>
          </cell>
          <cell r="X4948" t="str">
            <v>CLP HC 220 (-25/+60°C)</v>
          </cell>
          <cell r="Y4948" t="str">
            <v>R147EDRN250M4 /TF</v>
          </cell>
          <cell r="Z4948" t="str">
            <v>SEW</v>
          </cell>
          <cell r="AB4948" t="str">
            <v>ATEX22</v>
          </cell>
          <cell r="AF4948">
            <v>61</v>
          </cell>
          <cell r="AG4948" t="str">
            <v>EDRN250M4</v>
          </cell>
          <cell r="AH4948" t="str">
            <v>R147-EDRN250M4270-X</v>
          </cell>
        </row>
        <row r="4949">
          <cell r="A4949" t="str">
            <v>MR004938</v>
          </cell>
          <cell r="B4949" t="str">
            <v>MR</v>
          </cell>
          <cell r="C4949">
            <v>0.37</v>
          </cell>
          <cell r="D4949">
            <v>3.4</v>
          </cell>
          <cell r="E4949" t="str">
            <v>KA67R37</v>
          </cell>
          <cell r="F4949">
            <v>920</v>
          </cell>
          <cell r="G4949">
            <v>420</v>
          </cell>
          <cell r="H4949">
            <v>0.9</v>
          </cell>
          <cell r="I4949" t="str">
            <v>M3B</v>
          </cell>
          <cell r="J4949" t="str">
            <v>IE3</v>
          </cell>
          <cell r="K4949" t="str">
            <v>230/400</v>
          </cell>
          <cell r="L4949">
            <v>50</v>
          </cell>
          <cell r="M4949" t="str">
            <v>1,78/1,02</v>
          </cell>
          <cell r="N4949">
            <v>55</v>
          </cell>
          <cell r="O4949" t="str">
            <v>155(F)</v>
          </cell>
          <cell r="P4949" t="str">
            <v>90°</v>
          </cell>
          <cell r="Q4949" t="str">
            <v>TF</v>
          </cell>
          <cell r="R4949" t="str">
            <v>-</v>
          </cell>
          <cell r="S4949" t="str">
            <v>-</v>
          </cell>
          <cell r="T4949" t="str">
            <v>BEHF</v>
          </cell>
          <cell r="U4949" t="str">
            <v>T</v>
          </cell>
          <cell r="V4949" t="str">
            <v>D+R</v>
          </cell>
          <cell r="W4949" t="str">
            <v>-</v>
          </cell>
          <cell r="X4949" t="str">
            <v>CLP 220 (-15/+40°C)</v>
          </cell>
          <cell r="Y4949" t="str">
            <v>KA67R37/T DRN71M4 /BEHF /TF</v>
          </cell>
          <cell r="Z4949" t="str">
            <v>SEW</v>
          </cell>
          <cell r="AB4949" t="str">
            <v>-</v>
          </cell>
          <cell r="AE4949" t="str">
            <v>C3 quality surface protection; adapt for tropical weather</v>
          </cell>
          <cell r="AF4949">
            <v>3.4</v>
          </cell>
          <cell r="AG4949" t="str">
            <v>DRN71M4</v>
          </cell>
          <cell r="AH4949" t="str">
            <v>KA67R37T-DRN71M4B90-X</v>
          </cell>
        </row>
        <row r="4950">
          <cell r="A4950" t="str">
            <v>MR004939</v>
          </cell>
          <cell r="B4950" t="str">
            <v>MR</v>
          </cell>
          <cell r="C4950">
            <v>9.1999999999999993</v>
          </cell>
          <cell r="D4950">
            <v>22</v>
          </cell>
          <cell r="E4950" t="str">
            <v>R107</v>
          </cell>
          <cell r="F4950">
            <v>3920</v>
          </cell>
          <cell r="G4950">
            <v>65.599999999999994</v>
          </cell>
          <cell r="H4950">
            <v>1.1000000000000001</v>
          </cell>
          <cell r="I4950" t="str">
            <v>M1</v>
          </cell>
          <cell r="J4950" t="str">
            <v>IE3</v>
          </cell>
          <cell r="K4950" t="str">
            <v>230/400</v>
          </cell>
          <cell r="L4950">
            <v>50</v>
          </cell>
          <cell r="M4950" t="str">
            <v>32,5/18,7</v>
          </cell>
          <cell r="N4950">
            <v>55</v>
          </cell>
          <cell r="O4950" t="str">
            <v>155(F)</v>
          </cell>
          <cell r="P4950" t="str">
            <v>270°</v>
          </cell>
          <cell r="Q4950" t="str">
            <v>TF</v>
          </cell>
          <cell r="R4950" t="str">
            <v>V(VE)</v>
          </cell>
          <cell r="S4950" t="str">
            <v>-</v>
          </cell>
          <cell r="T4950" t="str">
            <v>-</v>
          </cell>
          <cell r="U4950" t="str">
            <v>-</v>
          </cell>
          <cell r="V4950" t="str">
            <v>FC</v>
          </cell>
          <cell r="W4950" t="str">
            <v>-</v>
          </cell>
          <cell r="X4950" t="str">
            <v>CLP 220 (-15/+40°C)</v>
          </cell>
          <cell r="Y4950" t="str">
            <v>R107DRN132L4 /TF/V</v>
          </cell>
          <cell r="Z4950" t="str">
            <v>SEW</v>
          </cell>
          <cell r="AB4950" t="str">
            <v>-</v>
          </cell>
          <cell r="AE4950" t="str">
            <v>C3 quality surface protection; adapt for tropical weather</v>
          </cell>
          <cell r="AF4950">
            <v>22</v>
          </cell>
          <cell r="AG4950" t="str">
            <v>DRN132L4</v>
          </cell>
          <cell r="AH4950" t="str">
            <v>R107-DRN132L4270-X#</v>
          </cell>
        </row>
        <row r="4951">
          <cell r="A4951" t="str">
            <v>MR004940</v>
          </cell>
          <cell r="B4951" t="str">
            <v>MR</v>
          </cell>
          <cell r="C4951">
            <v>5.5</v>
          </cell>
          <cell r="D4951">
            <v>68</v>
          </cell>
          <cell r="E4951" t="str">
            <v>R87</v>
          </cell>
          <cell r="F4951">
            <v>770</v>
          </cell>
          <cell r="G4951">
            <v>21.51</v>
          </cell>
          <cell r="H4951">
            <v>1.95</v>
          </cell>
          <cell r="I4951" t="str">
            <v>M1</v>
          </cell>
          <cell r="J4951" t="str">
            <v>IE3</v>
          </cell>
          <cell r="K4951" t="str">
            <v>230/400</v>
          </cell>
          <cell r="L4951">
            <v>50</v>
          </cell>
          <cell r="M4951" t="str">
            <v>19,3/11,1</v>
          </cell>
          <cell r="N4951">
            <v>55</v>
          </cell>
          <cell r="O4951" t="str">
            <v>155(F)</v>
          </cell>
          <cell r="P4951" t="str">
            <v>270°</v>
          </cell>
          <cell r="Q4951" t="str">
            <v>TF</v>
          </cell>
          <cell r="R4951" t="str">
            <v>V(VE)</v>
          </cell>
          <cell r="S4951" t="str">
            <v>-</v>
          </cell>
          <cell r="T4951" t="str">
            <v>-</v>
          </cell>
          <cell r="U4951" t="str">
            <v>-</v>
          </cell>
          <cell r="V4951" t="str">
            <v>FC</v>
          </cell>
          <cell r="W4951" t="str">
            <v>-</v>
          </cell>
          <cell r="X4951" t="str">
            <v>CLP 220 (-15/+40°C)</v>
          </cell>
          <cell r="Y4951" t="str">
            <v>R87DRN132S4 /TF/V</v>
          </cell>
          <cell r="Z4951" t="str">
            <v>SEW</v>
          </cell>
          <cell r="AB4951" t="str">
            <v>-</v>
          </cell>
          <cell r="AE4951" t="str">
            <v>C3 quality surface protection; adapt for tropical weather</v>
          </cell>
          <cell r="AF4951">
            <v>68</v>
          </cell>
          <cell r="AG4951" t="str">
            <v>DRN132S4</v>
          </cell>
          <cell r="AH4951" t="str">
            <v>R87-DRN132S4270-X#</v>
          </cell>
        </row>
        <row r="4952">
          <cell r="A4952" t="str">
            <v>MR004941</v>
          </cell>
          <cell r="B4952" t="str">
            <v>MR</v>
          </cell>
          <cell r="C4952">
            <v>4</v>
          </cell>
          <cell r="D4952">
            <v>63</v>
          </cell>
          <cell r="E4952" t="str">
            <v>R77</v>
          </cell>
          <cell r="F4952">
            <v>605</v>
          </cell>
          <cell r="G4952">
            <v>23.37</v>
          </cell>
          <cell r="H4952">
            <v>1.35</v>
          </cell>
          <cell r="I4952" t="str">
            <v>M1</v>
          </cell>
          <cell r="J4952" t="str">
            <v>IE3</v>
          </cell>
          <cell r="K4952" t="str">
            <v>230/400</v>
          </cell>
          <cell r="L4952">
            <v>50</v>
          </cell>
          <cell r="M4952" t="str">
            <v>13,8/7,9</v>
          </cell>
          <cell r="N4952">
            <v>55</v>
          </cell>
          <cell r="O4952" t="str">
            <v>155(F)</v>
          </cell>
          <cell r="P4952" t="str">
            <v>270°</v>
          </cell>
          <cell r="Q4952" t="str">
            <v>TF</v>
          </cell>
          <cell r="R4952" t="str">
            <v>V(VE)</v>
          </cell>
          <cell r="S4952" t="str">
            <v>-</v>
          </cell>
          <cell r="T4952" t="str">
            <v>-</v>
          </cell>
          <cell r="U4952" t="str">
            <v>-</v>
          </cell>
          <cell r="V4952" t="str">
            <v>FC</v>
          </cell>
          <cell r="W4952" t="str">
            <v>-</v>
          </cell>
          <cell r="X4952" t="str">
            <v>CLP 220 (-15/+40°C)</v>
          </cell>
          <cell r="Y4952" t="str">
            <v>R77DRN112M4 /TF/V</v>
          </cell>
          <cell r="Z4952" t="str">
            <v>SEW</v>
          </cell>
          <cell r="AB4952" t="str">
            <v>-</v>
          </cell>
          <cell r="AE4952" t="str">
            <v>C3 quality surface protection; adapt for tropical weather</v>
          </cell>
          <cell r="AF4952">
            <v>63</v>
          </cell>
          <cell r="AG4952" t="str">
            <v>DRN112M4</v>
          </cell>
          <cell r="AH4952" t="str">
            <v>R77-DRN112M4270-X#</v>
          </cell>
        </row>
        <row r="4953">
          <cell r="A4953" t="str">
            <v>MR004942</v>
          </cell>
          <cell r="B4953" t="str">
            <v>MR</v>
          </cell>
          <cell r="C4953">
            <v>18.5</v>
          </cell>
          <cell r="D4953">
            <v>59</v>
          </cell>
          <cell r="E4953" t="str">
            <v>R107</v>
          </cell>
          <cell r="F4953">
            <v>2970</v>
          </cell>
          <cell r="G4953">
            <v>24.9</v>
          </cell>
          <cell r="H4953">
            <v>1.45</v>
          </cell>
          <cell r="I4953" t="str">
            <v>M1</v>
          </cell>
          <cell r="J4953" t="str">
            <v>IE3</v>
          </cell>
          <cell r="K4953" t="str">
            <v>230/400</v>
          </cell>
          <cell r="L4953">
            <v>50</v>
          </cell>
          <cell r="M4953" t="str">
            <v>58/33,5</v>
          </cell>
          <cell r="N4953">
            <v>55</v>
          </cell>
          <cell r="O4953" t="str">
            <v>155(F)</v>
          </cell>
          <cell r="P4953" t="str">
            <v>270°</v>
          </cell>
          <cell r="Q4953" t="str">
            <v>TF</v>
          </cell>
          <cell r="R4953" t="str">
            <v>V(VE)</v>
          </cell>
          <cell r="S4953" t="str">
            <v>-</v>
          </cell>
          <cell r="T4953" t="str">
            <v>-</v>
          </cell>
          <cell r="U4953" t="str">
            <v>-</v>
          </cell>
          <cell r="V4953" t="str">
            <v>FC</v>
          </cell>
          <cell r="W4953" t="str">
            <v>-</v>
          </cell>
          <cell r="X4953" t="str">
            <v>CLP 220 (-15/+40°C)</v>
          </cell>
          <cell r="Y4953" t="str">
            <v>R107DRN180M4 /TF/V</v>
          </cell>
          <cell r="Z4953" t="str">
            <v>SEW</v>
          </cell>
          <cell r="AB4953" t="str">
            <v>-</v>
          </cell>
          <cell r="AE4953" t="str">
            <v>C3 quality surface protection; adapt for tropical weather</v>
          </cell>
          <cell r="AF4953">
            <v>59</v>
          </cell>
          <cell r="AG4953" t="str">
            <v>DRN180M4</v>
          </cell>
          <cell r="AH4953" t="str">
            <v>R107-DRN180M4270-X#</v>
          </cell>
        </row>
        <row r="4954">
          <cell r="A4954" t="str">
            <v>MR004943</v>
          </cell>
          <cell r="B4954" t="str">
            <v>MR</v>
          </cell>
          <cell r="C4954">
            <v>9.1999999999999993</v>
          </cell>
          <cell r="D4954">
            <v>34</v>
          </cell>
          <cell r="E4954" t="str">
            <v>R97</v>
          </cell>
          <cell r="F4954">
            <v>2550</v>
          </cell>
          <cell r="G4954">
            <v>42.78</v>
          </cell>
          <cell r="H4954">
            <v>1.1499999999999999</v>
          </cell>
          <cell r="I4954" t="str">
            <v>From M3 to M4 - 20°</v>
          </cell>
          <cell r="J4954" t="str">
            <v>IE3</v>
          </cell>
          <cell r="K4954" t="str">
            <v>230/400</v>
          </cell>
          <cell r="L4954">
            <v>50</v>
          </cell>
          <cell r="M4954" t="str">
            <v>32,5/18,7</v>
          </cell>
          <cell r="N4954">
            <v>55</v>
          </cell>
          <cell r="O4954" t="str">
            <v>155(F)</v>
          </cell>
          <cell r="P4954" t="str">
            <v>270°</v>
          </cell>
          <cell r="Q4954" t="str">
            <v>TF</v>
          </cell>
          <cell r="R4954" t="str">
            <v>V(VE)</v>
          </cell>
          <cell r="S4954" t="str">
            <v>-</v>
          </cell>
          <cell r="T4954" t="str">
            <v>-</v>
          </cell>
          <cell r="U4954" t="str">
            <v>-</v>
          </cell>
          <cell r="V4954" t="str">
            <v>FC</v>
          </cell>
          <cell r="W4954" t="str">
            <v>-</v>
          </cell>
          <cell r="X4954" t="str">
            <v>CLP 220 (-15/+40°C)</v>
          </cell>
          <cell r="Y4954" t="str">
            <v>R97DRN132L4 /TF/V</v>
          </cell>
          <cell r="Z4954" t="str">
            <v>SEW</v>
          </cell>
          <cell r="AB4954" t="str">
            <v>-</v>
          </cell>
          <cell r="AE4954" t="str">
            <v>C3 quality surface protection; adapt for tropical weather</v>
          </cell>
          <cell r="AF4954">
            <v>34</v>
          </cell>
          <cell r="AG4954" t="str">
            <v>DRN132L4</v>
          </cell>
          <cell r="AH4954" t="str">
            <v>R97-DRN132L4270-X#</v>
          </cell>
        </row>
        <row r="4955">
          <cell r="A4955" t="str">
            <v>MR004944</v>
          </cell>
          <cell r="B4955" t="str">
            <v>MR</v>
          </cell>
          <cell r="C4955">
            <v>11</v>
          </cell>
          <cell r="D4955">
            <v>53</v>
          </cell>
          <cell r="E4955" t="str">
            <v>R97</v>
          </cell>
          <cell r="F4955">
            <v>1960</v>
          </cell>
          <cell r="G4955">
            <v>27.58</v>
          </cell>
          <cell r="H4955">
            <v>1.35</v>
          </cell>
          <cell r="I4955" t="str">
            <v>From M1 to M4 - 45°</v>
          </cell>
          <cell r="J4955" t="str">
            <v>IE3</v>
          </cell>
          <cell r="K4955" t="str">
            <v>230/400</v>
          </cell>
          <cell r="L4955">
            <v>50</v>
          </cell>
          <cell r="M4955" t="str">
            <v>36,5/21</v>
          </cell>
          <cell r="N4955">
            <v>55</v>
          </cell>
          <cell r="O4955" t="str">
            <v>155(F)</v>
          </cell>
          <cell r="P4955" t="str">
            <v>270°</v>
          </cell>
          <cell r="Q4955" t="str">
            <v>TF</v>
          </cell>
          <cell r="R4955" t="str">
            <v>V(VE)</v>
          </cell>
          <cell r="S4955" t="str">
            <v>-</v>
          </cell>
          <cell r="T4955" t="str">
            <v>-</v>
          </cell>
          <cell r="U4955" t="str">
            <v>-</v>
          </cell>
          <cell r="V4955" t="str">
            <v>FC</v>
          </cell>
          <cell r="W4955" t="str">
            <v>-</v>
          </cell>
          <cell r="X4955" t="str">
            <v>CLP 220 (-15/+40°C)</v>
          </cell>
          <cell r="Y4955" t="str">
            <v>R97DRN160M4 /TF/V</v>
          </cell>
          <cell r="Z4955" t="str">
            <v>SEW</v>
          </cell>
          <cell r="AB4955" t="str">
            <v>-</v>
          </cell>
          <cell r="AE4955" t="str">
            <v>C3 quality surface protection; adapt for tropical weather</v>
          </cell>
          <cell r="AF4955">
            <v>53</v>
          </cell>
          <cell r="AG4955" t="str">
            <v>DRN160M4</v>
          </cell>
          <cell r="AH4955" t="str">
            <v>R97-DRN160M4270-X#</v>
          </cell>
        </row>
        <row r="4956">
          <cell r="A4956" t="str">
            <v>MR004945</v>
          </cell>
          <cell r="B4956" t="str">
            <v>MR</v>
          </cell>
          <cell r="C4956">
            <v>7.5</v>
          </cell>
          <cell r="D4956">
            <v>53</v>
          </cell>
          <cell r="E4956" t="str">
            <v>R87</v>
          </cell>
          <cell r="F4956">
            <v>1360</v>
          </cell>
          <cell r="G4956">
            <v>27.88</v>
          </cell>
          <cell r="H4956">
            <v>1.1000000000000001</v>
          </cell>
          <cell r="I4956" t="str">
            <v>M1</v>
          </cell>
          <cell r="J4956" t="str">
            <v>IE3</v>
          </cell>
          <cell r="K4956" t="str">
            <v>230/400</v>
          </cell>
          <cell r="L4956">
            <v>50</v>
          </cell>
          <cell r="M4956" t="str">
            <v>26,5/15,2</v>
          </cell>
          <cell r="N4956">
            <v>55</v>
          </cell>
          <cell r="O4956" t="str">
            <v>155(F)</v>
          </cell>
          <cell r="P4956" t="str">
            <v>270°</v>
          </cell>
          <cell r="Q4956" t="str">
            <v>TF</v>
          </cell>
          <cell r="R4956" t="str">
            <v>V(VE)</v>
          </cell>
          <cell r="S4956" t="str">
            <v>-</v>
          </cell>
          <cell r="T4956" t="str">
            <v>-</v>
          </cell>
          <cell r="U4956" t="str">
            <v>-</v>
          </cell>
          <cell r="V4956" t="str">
            <v>FC</v>
          </cell>
          <cell r="W4956" t="str">
            <v>-</v>
          </cell>
          <cell r="X4956" t="str">
            <v>CLP 220 (-15/+40°C)</v>
          </cell>
          <cell r="Y4956" t="str">
            <v>R87DRN132M4 /TF/V</v>
          </cell>
          <cell r="Z4956" t="str">
            <v>SEW</v>
          </cell>
          <cell r="AB4956" t="str">
            <v>-</v>
          </cell>
          <cell r="AE4956" t="str">
            <v>C3 quality surface protection; adapt for tropical weather</v>
          </cell>
          <cell r="AF4956">
            <v>53</v>
          </cell>
          <cell r="AG4956" t="str">
            <v>DRN132M4</v>
          </cell>
          <cell r="AH4956" t="str">
            <v>R87-DRN132M4270-X#</v>
          </cell>
        </row>
        <row r="4957">
          <cell r="A4957" t="str">
            <v>MR004946</v>
          </cell>
          <cell r="B4957" t="str">
            <v>MR</v>
          </cell>
          <cell r="C4957">
            <v>7.5</v>
          </cell>
          <cell r="D4957">
            <v>53</v>
          </cell>
          <cell r="E4957" t="str">
            <v>R87</v>
          </cell>
          <cell r="F4957">
            <v>1360</v>
          </cell>
          <cell r="G4957">
            <v>27.88</v>
          </cell>
          <cell r="H4957">
            <v>1.1000000000000001</v>
          </cell>
          <cell r="I4957" t="str">
            <v>M1</v>
          </cell>
          <cell r="J4957" t="str">
            <v>IE3</v>
          </cell>
          <cell r="K4957" t="str">
            <v>230/400</v>
          </cell>
          <cell r="L4957">
            <v>50</v>
          </cell>
          <cell r="M4957" t="str">
            <v>26,5/15,2</v>
          </cell>
          <cell r="N4957">
            <v>55</v>
          </cell>
          <cell r="O4957" t="str">
            <v>155(F)</v>
          </cell>
          <cell r="P4957" t="str">
            <v>270°</v>
          </cell>
          <cell r="Q4957" t="str">
            <v>TF</v>
          </cell>
          <cell r="R4957" t="str">
            <v>V(VE)</v>
          </cell>
          <cell r="S4957" t="str">
            <v>-</v>
          </cell>
          <cell r="T4957" t="str">
            <v>-</v>
          </cell>
          <cell r="U4957" t="str">
            <v>-</v>
          </cell>
          <cell r="V4957" t="str">
            <v>FC+R</v>
          </cell>
          <cell r="W4957" t="str">
            <v>-</v>
          </cell>
          <cell r="X4957" t="str">
            <v>CLP 220 (-15/+40°C)</v>
          </cell>
          <cell r="Y4957" t="str">
            <v>R87DRN132M4 /TF/V</v>
          </cell>
          <cell r="Z4957" t="str">
            <v>SEW</v>
          </cell>
          <cell r="AB4957" t="str">
            <v>-</v>
          </cell>
          <cell r="AE4957" t="str">
            <v>C3 quality surface protection; adapt for tropical weather</v>
          </cell>
          <cell r="AF4957">
            <v>53</v>
          </cell>
          <cell r="AG4957" t="str">
            <v>DRN132M4</v>
          </cell>
          <cell r="AH4957" t="str">
            <v>R87-DRN132M4270-X#</v>
          </cell>
        </row>
        <row r="4958">
          <cell r="A4958" t="str">
            <v>MR004947</v>
          </cell>
          <cell r="B4958" t="str">
            <v>MR</v>
          </cell>
          <cell r="C4958">
            <v>4</v>
          </cell>
          <cell r="D4958">
            <v>110</v>
          </cell>
          <cell r="E4958" t="str">
            <v>KH57</v>
          </cell>
          <cell r="F4958">
            <v>345</v>
          </cell>
          <cell r="G4958">
            <v>13.25</v>
          </cell>
          <cell r="H4958">
            <v>1.5</v>
          </cell>
          <cell r="I4958" t="str">
            <v>From M1B to M4B - 85°</v>
          </cell>
          <cell r="J4958" t="str">
            <v>IE3</v>
          </cell>
          <cell r="K4958" t="str">
            <v>230/400</v>
          </cell>
          <cell r="L4958">
            <v>50</v>
          </cell>
          <cell r="M4958" t="str">
            <v>13,8/7,9</v>
          </cell>
          <cell r="N4958">
            <v>55</v>
          </cell>
          <cell r="O4958" t="str">
            <v>155(F)</v>
          </cell>
          <cell r="P4958" t="str">
            <v>270°</v>
          </cell>
          <cell r="Q4958" t="str">
            <v>TF</v>
          </cell>
          <cell r="R4958" t="str">
            <v>V(VE)</v>
          </cell>
          <cell r="S4958" t="str">
            <v>Free rotation CW</v>
          </cell>
          <cell r="T4958" t="str">
            <v>-</v>
          </cell>
          <cell r="U4958" t="str">
            <v>T</v>
          </cell>
          <cell r="V4958" t="str">
            <v>FC</v>
          </cell>
          <cell r="W4958" t="str">
            <v>-</v>
          </cell>
          <cell r="X4958" t="str">
            <v>CLP 220 (-15/+40°C)</v>
          </cell>
          <cell r="Y4958" t="str">
            <v>KH57/T DRN112M4 /RS /TF/V</v>
          </cell>
          <cell r="Z4958" t="str">
            <v>SEW</v>
          </cell>
          <cell r="AB4958" t="str">
            <v>-</v>
          </cell>
          <cell r="AE4958" t="str">
            <v>C3 quality surface protection; adapt for tropical weather</v>
          </cell>
          <cell r="AF4958">
            <v>110</v>
          </cell>
          <cell r="AG4958" t="str">
            <v>DRN112M4</v>
          </cell>
          <cell r="AH4958" t="str">
            <v>KH57T-DRN112M4B270-X#</v>
          </cell>
        </row>
        <row r="4959">
          <cell r="A4959" t="str">
            <v>MR004948</v>
          </cell>
          <cell r="B4959" t="str">
            <v>MR</v>
          </cell>
          <cell r="C4959">
            <v>0.75</v>
          </cell>
          <cell r="D4959">
            <v>162</v>
          </cell>
          <cell r="E4959" t="str">
            <v>KA37</v>
          </cell>
          <cell r="F4959">
            <v>44</v>
          </cell>
          <cell r="G4959">
            <v>8.91</v>
          </cell>
          <cell r="H4959">
            <v>3.6</v>
          </cell>
          <cell r="I4959" t="str">
            <v>From M3A to M2A - 5°</v>
          </cell>
          <cell r="J4959" t="str">
            <v>IE3</v>
          </cell>
          <cell r="K4959" t="str">
            <v>230/400</v>
          </cell>
          <cell r="L4959">
            <v>50</v>
          </cell>
          <cell r="M4959" t="str">
            <v>3,05/1,75</v>
          </cell>
          <cell r="N4959">
            <v>55</v>
          </cell>
          <cell r="O4959" t="str">
            <v>155(F)</v>
          </cell>
          <cell r="P4959" t="str">
            <v>270°</v>
          </cell>
          <cell r="Q4959" t="str">
            <v>TF</v>
          </cell>
          <cell r="R4959" t="str">
            <v>-</v>
          </cell>
          <cell r="S4959" t="str">
            <v>-</v>
          </cell>
          <cell r="T4959" t="str">
            <v>-</v>
          </cell>
          <cell r="U4959" t="str">
            <v>T</v>
          </cell>
          <cell r="V4959" t="str">
            <v>D</v>
          </cell>
          <cell r="W4959" t="str">
            <v>-</v>
          </cell>
          <cell r="X4959" t="str">
            <v>CLP 220 (-15/+40°C)</v>
          </cell>
          <cell r="Y4959" t="str">
            <v>KA37/T DRN80M4 /TF</v>
          </cell>
          <cell r="Z4959" t="str">
            <v>SEW</v>
          </cell>
          <cell r="AB4959" t="str">
            <v>-</v>
          </cell>
          <cell r="AE4959" t="str">
            <v>C3 quality surface protection; adapt for tropical weather</v>
          </cell>
          <cell r="AF4959">
            <v>162</v>
          </cell>
          <cell r="AG4959" t="str">
            <v>DRN80M4</v>
          </cell>
          <cell r="AH4959" t="str">
            <v>KA37T-DRN80M4A270-X</v>
          </cell>
        </row>
        <row r="4960">
          <cell r="A4960" t="str">
            <v>MR004949</v>
          </cell>
          <cell r="B4960" t="str">
            <v>MR</v>
          </cell>
          <cell r="C4960">
            <v>11</v>
          </cell>
          <cell r="D4960">
            <v>21</v>
          </cell>
          <cell r="E4960" t="str">
            <v>R127</v>
          </cell>
          <cell r="F4960">
            <v>4890</v>
          </cell>
          <cell r="G4960">
            <v>68.61</v>
          </cell>
          <cell r="H4960">
            <v>1.25</v>
          </cell>
          <cell r="I4960" t="str">
            <v>M1</v>
          </cell>
          <cell r="J4960" t="str">
            <v>IE3</v>
          </cell>
          <cell r="K4960" t="str">
            <v>230/400</v>
          </cell>
          <cell r="L4960">
            <v>50</v>
          </cell>
          <cell r="M4960" t="str">
            <v>36,5/21</v>
          </cell>
          <cell r="N4960">
            <v>55</v>
          </cell>
          <cell r="O4960" t="str">
            <v>155(F)</v>
          </cell>
          <cell r="P4960" t="str">
            <v>270°</v>
          </cell>
          <cell r="Q4960" t="str">
            <v>TF</v>
          </cell>
          <cell r="R4960" t="str">
            <v>V(VE)</v>
          </cell>
          <cell r="S4960" t="str">
            <v>-</v>
          </cell>
          <cell r="T4960" t="str">
            <v>-</v>
          </cell>
          <cell r="U4960" t="str">
            <v>-</v>
          </cell>
          <cell r="V4960" t="str">
            <v>FC</v>
          </cell>
          <cell r="W4960" t="str">
            <v>-</v>
          </cell>
          <cell r="X4960" t="str">
            <v>CLP 220 (-15/+40°C)</v>
          </cell>
          <cell r="Y4960" t="str">
            <v>R127DRN160M4 /TF/V</v>
          </cell>
          <cell r="Z4960" t="str">
            <v>SEW</v>
          </cell>
          <cell r="AB4960" t="str">
            <v>-</v>
          </cell>
          <cell r="AE4960" t="str">
            <v>C3 quality surface protection; adapt for tropical weather</v>
          </cell>
          <cell r="AF4960">
            <v>21</v>
          </cell>
          <cell r="AG4960" t="str">
            <v>DRN160M4</v>
          </cell>
          <cell r="AH4960" t="str">
            <v>R127-DRN160M4270-X#</v>
          </cell>
        </row>
        <row r="4961">
          <cell r="A4961" t="str">
            <v>MR004950</v>
          </cell>
          <cell r="B4961" t="str">
            <v>MR</v>
          </cell>
          <cell r="C4961">
            <v>11</v>
          </cell>
          <cell r="D4961">
            <v>28</v>
          </cell>
          <cell r="E4961" t="str">
            <v>FH97</v>
          </cell>
          <cell r="F4961">
            <v>3740</v>
          </cell>
          <cell r="G4961">
            <v>52.49</v>
          </cell>
          <cell r="H4961">
            <v>1.1499999999999999</v>
          </cell>
          <cell r="I4961" t="str">
            <v>From M3 to M4 - 10°</v>
          </cell>
          <cell r="J4961" t="str">
            <v>IE3</v>
          </cell>
          <cell r="K4961" t="str">
            <v>230/400</v>
          </cell>
          <cell r="L4961">
            <v>50</v>
          </cell>
          <cell r="M4961" t="str">
            <v>36,5/21</v>
          </cell>
          <cell r="N4961">
            <v>55</v>
          </cell>
          <cell r="O4961" t="str">
            <v>155(F)</v>
          </cell>
          <cell r="P4961" t="str">
            <v>270°</v>
          </cell>
          <cell r="Q4961" t="str">
            <v>TF</v>
          </cell>
          <cell r="R4961" t="str">
            <v>V(VE)</v>
          </cell>
          <cell r="S4961" t="str">
            <v>-</v>
          </cell>
          <cell r="T4961" t="str">
            <v>-</v>
          </cell>
          <cell r="U4961" t="str">
            <v>G</v>
          </cell>
          <cell r="V4961" t="str">
            <v>FC</v>
          </cell>
          <cell r="W4961" t="str">
            <v>-</v>
          </cell>
          <cell r="X4961" t="str">
            <v>CLP 220 (-15/+40°C)</v>
          </cell>
          <cell r="Y4961" t="str">
            <v>FH97/G DRN160M4 /TF/V</v>
          </cell>
          <cell r="Z4961" t="str">
            <v>SEW</v>
          </cell>
          <cell r="AB4961" t="str">
            <v>-</v>
          </cell>
          <cell r="AE4961" t="str">
            <v>C3 quality surface protection; adapt for tropical weather</v>
          </cell>
          <cell r="AF4961">
            <v>28</v>
          </cell>
          <cell r="AG4961" t="str">
            <v>DRN160M4</v>
          </cell>
          <cell r="AH4961" t="str">
            <v>FH97G-DRN160M4270-X#</v>
          </cell>
        </row>
        <row r="4962">
          <cell r="A4962" t="str">
            <v>MR004951</v>
          </cell>
          <cell r="B4962" t="str">
            <v>MR</v>
          </cell>
          <cell r="C4962">
            <v>4</v>
          </cell>
          <cell r="D4962">
            <v>53</v>
          </cell>
          <cell r="E4962" t="str">
            <v>R87</v>
          </cell>
          <cell r="F4962">
            <v>730</v>
          </cell>
          <cell r="G4962">
            <v>27.88</v>
          </cell>
          <cell r="H4962">
            <v>1.35</v>
          </cell>
          <cell r="I4962" t="str">
            <v>M1</v>
          </cell>
          <cell r="J4962" t="str">
            <v>IE3</v>
          </cell>
          <cell r="K4962" t="str">
            <v>230/400</v>
          </cell>
          <cell r="L4962">
            <v>50</v>
          </cell>
          <cell r="M4962" t="str">
            <v>13,8/7,9</v>
          </cell>
          <cell r="N4962">
            <v>65</v>
          </cell>
          <cell r="O4962" t="str">
            <v>155(F)</v>
          </cell>
          <cell r="P4962" t="str">
            <v>270°</v>
          </cell>
          <cell r="Q4962" t="str">
            <v>TF</v>
          </cell>
          <cell r="R4962" t="str">
            <v>V(VE)</v>
          </cell>
          <cell r="S4962" t="str">
            <v>-</v>
          </cell>
          <cell r="T4962" t="str">
            <v>-</v>
          </cell>
          <cell r="U4962" t="str">
            <v>-</v>
          </cell>
          <cell r="V4962" t="str">
            <v>FC</v>
          </cell>
          <cell r="W4962" t="str">
            <v>-</v>
          </cell>
          <cell r="X4962" t="str">
            <v>CLP 220 (-15/+40°C)</v>
          </cell>
          <cell r="Y4962" t="str">
            <v>R87/II2GDEDRN112M4/3GD/KCC/TF/VE</v>
          </cell>
          <cell r="Z4962" t="str">
            <v>SEW</v>
          </cell>
          <cell r="AB4962" t="str">
            <v>ATEX22</v>
          </cell>
          <cell r="AF4962">
            <v>53</v>
          </cell>
          <cell r="AG4962" t="str">
            <v>EDRN112M4</v>
          </cell>
          <cell r="AH4962" t="str">
            <v>R87-EDRN112M4270-X#</v>
          </cell>
        </row>
        <row r="4963">
          <cell r="A4963" t="str">
            <v>MR004952</v>
          </cell>
          <cell r="B4963" t="str">
            <v>MR</v>
          </cell>
          <cell r="C4963">
            <v>3</v>
          </cell>
          <cell r="D4963">
            <v>93</v>
          </cell>
          <cell r="E4963" t="str">
            <v>R77</v>
          </cell>
          <cell r="F4963">
            <v>305</v>
          </cell>
          <cell r="G4963">
            <v>15.6</v>
          </cell>
          <cell r="H4963">
            <v>1.8</v>
          </cell>
          <cell r="I4963" t="str">
            <v>From M1 to M2 - 10°</v>
          </cell>
          <cell r="J4963" t="str">
            <v>IE3</v>
          </cell>
          <cell r="K4963" t="str">
            <v>400/690</v>
          </cell>
          <cell r="L4963">
            <v>50</v>
          </cell>
          <cell r="M4963" t="str">
            <v>6,4/3,75</v>
          </cell>
          <cell r="N4963">
            <v>55</v>
          </cell>
          <cell r="O4963" t="str">
            <v>155(F)</v>
          </cell>
          <cell r="P4963" t="str">
            <v>270°</v>
          </cell>
          <cell r="Q4963" t="str">
            <v>TF</v>
          </cell>
          <cell r="R4963" t="str">
            <v>-</v>
          </cell>
          <cell r="S4963" t="str">
            <v>-</v>
          </cell>
          <cell r="T4963" t="str">
            <v>-</v>
          </cell>
          <cell r="U4963" t="str">
            <v>-</v>
          </cell>
          <cell r="V4963" t="str">
            <v>D</v>
          </cell>
          <cell r="W4963" t="str">
            <v>-</v>
          </cell>
          <cell r="X4963" t="str">
            <v>CLP HC 220 (-25/+60°C)</v>
          </cell>
          <cell r="Y4963" t="str">
            <v>R77/II2GD EDRN100L4/3D/TF/AL/C</v>
          </cell>
          <cell r="Z4963" t="str">
            <v>SEW</v>
          </cell>
          <cell r="AB4963" t="str">
            <v>ATEX22</v>
          </cell>
          <cell r="AF4963">
            <v>93</v>
          </cell>
          <cell r="AG4963" t="str">
            <v>EDRN100L4</v>
          </cell>
          <cell r="AH4963" t="str">
            <v>R77-EDRN100L4270-X</v>
          </cell>
        </row>
        <row r="4964">
          <cell r="A4964" t="str">
            <v>MR004953</v>
          </cell>
          <cell r="B4964" t="str">
            <v>MR</v>
          </cell>
          <cell r="C4964">
            <v>9.1999999999999993</v>
          </cell>
          <cell r="D4964">
            <v>96</v>
          </cell>
          <cell r="E4964" t="str">
            <v>R87</v>
          </cell>
          <cell r="F4964">
            <v>920</v>
          </cell>
          <cell r="G4964">
            <v>15.35</v>
          </cell>
          <cell r="H4964">
            <v>1.25</v>
          </cell>
          <cell r="I4964" t="str">
            <v>M4</v>
          </cell>
          <cell r="J4964" t="str">
            <v>IE3</v>
          </cell>
          <cell r="K4964" t="str">
            <v>400/690</v>
          </cell>
          <cell r="L4964">
            <v>50</v>
          </cell>
          <cell r="M4964" t="str">
            <v>18,7/10,8</v>
          </cell>
          <cell r="N4964">
            <v>55</v>
          </cell>
          <cell r="O4964" t="str">
            <v>155(F)</v>
          </cell>
          <cell r="P4964" t="str">
            <v>270°</v>
          </cell>
          <cell r="Q4964" t="str">
            <v>TF</v>
          </cell>
          <cell r="R4964" t="str">
            <v>-</v>
          </cell>
          <cell r="S4964" t="str">
            <v>-</v>
          </cell>
          <cell r="T4964" t="str">
            <v>-</v>
          </cell>
          <cell r="U4964" t="str">
            <v>-</v>
          </cell>
          <cell r="V4964" t="str">
            <v>D</v>
          </cell>
          <cell r="W4964" t="str">
            <v>-</v>
          </cell>
          <cell r="X4964" t="str">
            <v>CLP HC 220 (-25/+60°C)</v>
          </cell>
          <cell r="Y4964" t="str">
            <v>R87/II2GD EDRN132L4/3D/TF/AL/C</v>
          </cell>
          <cell r="Z4964" t="str">
            <v>SEW</v>
          </cell>
          <cell r="AB4964" t="str">
            <v>ATEX22</v>
          </cell>
          <cell r="AF4964">
            <v>96</v>
          </cell>
          <cell r="AG4964" t="str">
            <v>EDRN132L4</v>
          </cell>
          <cell r="AH4964" t="str">
            <v>R87-EDRN132L4270-X</v>
          </cell>
        </row>
        <row r="4965">
          <cell r="A4965" t="str">
            <v>MR004954</v>
          </cell>
          <cell r="B4965" t="str">
            <v>MR</v>
          </cell>
          <cell r="C4965">
            <v>5.5</v>
          </cell>
          <cell r="D4965">
            <v>76</v>
          </cell>
          <cell r="E4965" t="str">
            <v>R87</v>
          </cell>
          <cell r="F4965">
            <v>685</v>
          </cell>
          <cell r="G4965">
            <v>19.100000000000001</v>
          </cell>
          <cell r="H4965">
            <v>1.7</v>
          </cell>
          <cell r="I4965" t="str">
            <v>M1</v>
          </cell>
          <cell r="J4965" t="str">
            <v>IE3</v>
          </cell>
          <cell r="K4965" t="str">
            <v>400/690</v>
          </cell>
          <cell r="L4965">
            <v>50</v>
          </cell>
          <cell r="M4965" t="str">
            <v>10,5/6,1</v>
          </cell>
          <cell r="N4965">
            <v>55</v>
          </cell>
          <cell r="O4965" t="str">
            <v>155(F)</v>
          </cell>
          <cell r="P4965" t="str">
            <v>270°</v>
          </cell>
          <cell r="Q4965" t="str">
            <v>TF</v>
          </cell>
          <cell r="R4965" t="str">
            <v>-</v>
          </cell>
          <cell r="S4965" t="str">
            <v>-</v>
          </cell>
          <cell r="T4965" t="str">
            <v>-</v>
          </cell>
          <cell r="U4965" t="str">
            <v>-</v>
          </cell>
          <cell r="V4965" t="str">
            <v>D</v>
          </cell>
          <cell r="W4965" t="str">
            <v>-</v>
          </cell>
          <cell r="X4965" t="str">
            <v>CLP HC 220 (-25/+60°C)</v>
          </cell>
          <cell r="Y4965" t="str">
            <v>R87/II2GD EDRN132S4/3D/TF/AL</v>
          </cell>
          <cell r="Z4965" t="str">
            <v>SEW</v>
          </cell>
          <cell r="AB4965" t="str">
            <v>ATEX22</v>
          </cell>
          <cell r="AF4965">
            <v>76</v>
          </cell>
          <cell r="AG4965" t="str">
            <v>EDRN132S4</v>
          </cell>
          <cell r="AH4965" t="str">
            <v>R87-EDRN132S4270-X</v>
          </cell>
        </row>
        <row r="4966">
          <cell r="A4966" t="str">
            <v>MR004955</v>
          </cell>
          <cell r="B4966" t="str">
            <v>MR</v>
          </cell>
          <cell r="C4966">
            <v>5.5</v>
          </cell>
          <cell r="D4966">
            <v>62</v>
          </cell>
          <cell r="E4966" t="str">
            <v>R87</v>
          </cell>
          <cell r="F4966">
            <v>840</v>
          </cell>
          <cell r="G4966">
            <v>23.4</v>
          </cell>
          <cell r="H4966">
            <v>1.45</v>
          </cell>
          <cell r="I4966" t="str">
            <v>From M1 to M4 - 10°</v>
          </cell>
          <cell r="J4966" t="str">
            <v>IE3</v>
          </cell>
          <cell r="K4966" t="str">
            <v>400/690</v>
          </cell>
          <cell r="L4966">
            <v>50</v>
          </cell>
          <cell r="M4966" t="str">
            <v>10,5/6,1</v>
          </cell>
          <cell r="N4966">
            <v>55</v>
          </cell>
          <cell r="O4966" t="str">
            <v>155(F)</v>
          </cell>
          <cell r="P4966" t="str">
            <v>270°</v>
          </cell>
          <cell r="Q4966" t="str">
            <v>TF</v>
          </cell>
          <cell r="R4966" t="str">
            <v>-</v>
          </cell>
          <cell r="S4966" t="str">
            <v>-</v>
          </cell>
          <cell r="T4966" t="str">
            <v>-</v>
          </cell>
          <cell r="U4966" t="str">
            <v>-</v>
          </cell>
          <cell r="V4966" t="str">
            <v>D</v>
          </cell>
          <cell r="W4966" t="str">
            <v>-</v>
          </cell>
          <cell r="X4966" t="str">
            <v>CLP HC 220 (-25/+60°C)</v>
          </cell>
          <cell r="Y4966" t="str">
            <v>R87/II2GD EDRN132S4/3D/TF/AL/C</v>
          </cell>
          <cell r="Z4966" t="str">
            <v>SEW</v>
          </cell>
          <cell r="AB4966" t="str">
            <v>ATEX22</v>
          </cell>
          <cell r="AF4966">
            <v>62</v>
          </cell>
          <cell r="AG4966" t="str">
            <v>EDRN132S4</v>
          </cell>
          <cell r="AH4966" t="str">
            <v>R87-EDRN132S4270-X</v>
          </cell>
        </row>
        <row r="4967">
          <cell r="A4967" t="str">
            <v>MR004956</v>
          </cell>
          <cell r="B4967" t="str">
            <v>MR</v>
          </cell>
          <cell r="C4967">
            <v>3</v>
          </cell>
          <cell r="D4967">
            <v>93</v>
          </cell>
          <cell r="E4967" t="str">
            <v>R77</v>
          </cell>
          <cell r="F4967">
            <v>305</v>
          </cell>
          <cell r="G4967">
            <v>15.6</v>
          </cell>
          <cell r="H4967">
            <v>1.8</v>
          </cell>
          <cell r="I4967" t="str">
            <v>From M1 to M4 - 10°</v>
          </cell>
          <cell r="J4967" t="str">
            <v>IE3</v>
          </cell>
          <cell r="K4967" t="str">
            <v>400/690</v>
          </cell>
          <cell r="L4967">
            <v>50</v>
          </cell>
          <cell r="M4967" t="str">
            <v>6,4/3,75</v>
          </cell>
          <cell r="N4967">
            <v>55</v>
          </cell>
          <cell r="O4967" t="str">
            <v>155(F)</v>
          </cell>
          <cell r="P4967" t="str">
            <v>270°</v>
          </cell>
          <cell r="Q4967" t="str">
            <v>TF</v>
          </cell>
          <cell r="R4967" t="str">
            <v>-</v>
          </cell>
          <cell r="S4967" t="str">
            <v>-</v>
          </cell>
          <cell r="T4967" t="str">
            <v>-</v>
          </cell>
          <cell r="U4967" t="str">
            <v>-</v>
          </cell>
          <cell r="V4967" t="str">
            <v>D</v>
          </cell>
          <cell r="W4967" t="str">
            <v>-</v>
          </cell>
          <cell r="X4967" t="str">
            <v>CLP HC 220 (-25/+60°C)</v>
          </cell>
          <cell r="Y4967" t="str">
            <v>R77/II2GD EDRN100L4/3D/TF/AL/C</v>
          </cell>
          <cell r="Z4967" t="str">
            <v>SEW</v>
          </cell>
          <cell r="AB4967" t="str">
            <v>ATEX22</v>
          </cell>
          <cell r="AF4967">
            <v>93</v>
          </cell>
          <cell r="AG4967" t="str">
            <v>EDRN100L4</v>
          </cell>
          <cell r="AH4967" t="str">
            <v>R77-EDRN100L4270-X</v>
          </cell>
        </row>
        <row r="4968">
          <cell r="A4968" t="str">
            <v>MR004957</v>
          </cell>
          <cell r="B4968" t="str">
            <v>MR</v>
          </cell>
          <cell r="C4968">
            <v>5.5</v>
          </cell>
          <cell r="D4968">
            <v>76</v>
          </cell>
          <cell r="E4968" t="str">
            <v>R87</v>
          </cell>
          <cell r="F4968">
            <v>685</v>
          </cell>
          <cell r="G4968">
            <v>19.100000000000001</v>
          </cell>
          <cell r="H4968">
            <v>1.7</v>
          </cell>
          <cell r="I4968" t="str">
            <v>From M1 to M4 - 5°</v>
          </cell>
          <cell r="J4968" t="str">
            <v>IE3</v>
          </cell>
          <cell r="K4968" t="str">
            <v>400/690</v>
          </cell>
          <cell r="L4968">
            <v>50</v>
          </cell>
          <cell r="M4968" t="str">
            <v>10,5/6,1</v>
          </cell>
          <cell r="N4968">
            <v>55</v>
          </cell>
          <cell r="O4968" t="str">
            <v>155(F)</v>
          </cell>
          <cell r="P4968" t="str">
            <v>270°</v>
          </cell>
          <cell r="Q4968" t="str">
            <v>TF</v>
          </cell>
          <cell r="R4968" t="str">
            <v>-</v>
          </cell>
          <cell r="S4968" t="str">
            <v>-</v>
          </cell>
          <cell r="T4968" t="str">
            <v>-</v>
          </cell>
          <cell r="U4968" t="str">
            <v>-</v>
          </cell>
          <cell r="V4968" t="str">
            <v>D</v>
          </cell>
          <cell r="W4968" t="str">
            <v>-</v>
          </cell>
          <cell r="X4968" t="str">
            <v>CLP HC 220 (-25/+60°C)</v>
          </cell>
          <cell r="Y4968" t="str">
            <v>R87/II2GD EDRN132S4/3D/TF/AL/C</v>
          </cell>
          <cell r="Z4968" t="str">
            <v>SEW</v>
          </cell>
          <cell r="AB4968" t="str">
            <v>ATEX22</v>
          </cell>
          <cell r="AF4968">
            <v>76</v>
          </cell>
          <cell r="AG4968" t="str">
            <v>EDRN132S4</v>
          </cell>
          <cell r="AH4968" t="str">
            <v>R87-EDRN132S4270-X</v>
          </cell>
        </row>
        <row r="4969">
          <cell r="A4969" t="str">
            <v>MR004958</v>
          </cell>
          <cell r="B4969" t="str">
            <v>MR</v>
          </cell>
          <cell r="C4969">
            <v>0.25</v>
          </cell>
          <cell r="D4969">
            <v>1.7</v>
          </cell>
          <cell r="E4969" t="str">
            <v>KA77R37</v>
          </cell>
          <cell r="F4969">
            <v>1240</v>
          </cell>
          <cell r="G4969">
            <v>815</v>
          </cell>
          <cell r="H4969">
            <v>1.25</v>
          </cell>
          <cell r="I4969" t="str">
            <v>M3B</v>
          </cell>
          <cell r="J4969" t="str">
            <v>IE3</v>
          </cell>
          <cell r="K4969" t="str">
            <v>230/400</v>
          </cell>
          <cell r="L4969">
            <v>50</v>
          </cell>
          <cell r="M4969" t="str">
            <v>1,41/,81</v>
          </cell>
          <cell r="N4969">
            <v>55</v>
          </cell>
          <cell r="O4969" t="str">
            <v>155(F)</v>
          </cell>
          <cell r="P4969" t="str">
            <v>270°</v>
          </cell>
          <cell r="Q4969" t="str">
            <v>TF</v>
          </cell>
          <cell r="R4969" t="str">
            <v>V(VE)</v>
          </cell>
          <cell r="S4969" t="str">
            <v>-</v>
          </cell>
          <cell r="T4969" t="str">
            <v>BEHF</v>
          </cell>
          <cell r="U4969" t="str">
            <v>T</v>
          </cell>
          <cell r="V4969" t="str">
            <v>FC+R</v>
          </cell>
          <cell r="W4969" t="str">
            <v>-</v>
          </cell>
          <cell r="X4969" t="str">
            <v>CLP HC 220 (-25/+60°C)</v>
          </cell>
          <cell r="Y4969" t="str">
            <v>KA77/T R37/II2GD EDRN71MS4/BE05HF/3D/KCC/TF/VE</v>
          </cell>
          <cell r="Z4969" t="str">
            <v>SEW</v>
          </cell>
          <cell r="AB4969" t="str">
            <v>ATEX22</v>
          </cell>
          <cell r="AF4969">
            <v>1.7</v>
          </cell>
          <cell r="AG4969" t="str">
            <v>n/a</v>
          </cell>
          <cell r="AH4969" t="str">
            <v>KA77R37T-n/aB270-X#</v>
          </cell>
        </row>
        <row r="4970">
          <cell r="A4970" t="str">
            <v>MR004959</v>
          </cell>
          <cell r="B4970" t="str">
            <v>MR</v>
          </cell>
          <cell r="C4970">
            <v>3</v>
          </cell>
          <cell r="D4970">
            <v>68</v>
          </cell>
          <cell r="E4970" t="str">
            <v>R77</v>
          </cell>
          <cell r="F4970">
            <v>420</v>
          </cell>
          <cell r="G4970">
            <v>21.45</v>
          </cell>
          <cell r="H4970">
            <v>1.45</v>
          </cell>
          <cell r="I4970" t="str">
            <v>M1</v>
          </cell>
          <cell r="J4970" t="str">
            <v>IE3</v>
          </cell>
          <cell r="K4970" t="str">
            <v>400/690</v>
          </cell>
          <cell r="L4970">
            <v>50</v>
          </cell>
          <cell r="M4970" t="str">
            <v>6,4/3,75</v>
          </cell>
          <cell r="N4970">
            <v>55</v>
          </cell>
          <cell r="O4970" t="str">
            <v>155(F)</v>
          </cell>
          <cell r="P4970" t="str">
            <v>270°</v>
          </cell>
          <cell r="Q4970" t="str">
            <v>TF</v>
          </cell>
          <cell r="R4970" t="str">
            <v>-</v>
          </cell>
          <cell r="S4970" t="str">
            <v>-</v>
          </cell>
          <cell r="T4970" t="str">
            <v>-</v>
          </cell>
          <cell r="U4970" t="str">
            <v>-</v>
          </cell>
          <cell r="V4970" t="str">
            <v>D</v>
          </cell>
          <cell r="W4970" t="str">
            <v>-</v>
          </cell>
          <cell r="X4970" t="str">
            <v>CLP HC 220 (-25/+60°C)</v>
          </cell>
          <cell r="Y4970" t="str">
            <v>R77/II2GD EDRN100L4/3D/TF/AL</v>
          </cell>
          <cell r="Z4970" t="str">
            <v>SEW</v>
          </cell>
          <cell r="AB4970" t="str">
            <v>ATEX22</v>
          </cell>
          <cell r="AF4970">
            <v>68</v>
          </cell>
          <cell r="AG4970" t="str">
            <v>EDRN100L4</v>
          </cell>
          <cell r="AH4970" t="str">
            <v>R77-EDRN100L4270-X</v>
          </cell>
        </row>
        <row r="4971">
          <cell r="A4971" t="str">
            <v>MR004960</v>
          </cell>
          <cell r="B4971" t="str">
            <v>MR</v>
          </cell>
          <cell r="C4971">
            <v>9.1999999999999993</v>
          </cell>
          <cell r="D4971">
            <v>15.1</v>
          </cell>
          <cell r="E4971" t="str">
            <v>A80</v>
          </cell>
          <cell r="F4971">
            <v>5331</v>
          </cell>
          <cell r="G4971">
            <v>96</v>
          </cell>
          <cell r="H4971">
            <v>1.5</v>
          </cell>
          <cell r="I4971" t="str">
            <v>From M4 to M1 - 45°</v>
          </cell>
          <cell r="J4971" t="str">
            <v>IE3</v>
          </cell>
          <cell r="K4971">
            <v>415</v>
          </cell>
          <cell r="L4971">
            <v>50</v>
          </cell>
          <cell r="M4971">
            <v>17</v>
          </cell>
          <cell r="N4971">
            <v>55</v>
          </cell>
          <cell r="O4971" t="str">
            <v>155(F)</v>
          </cell>
          <cell r="P4971" t="str">
            <v>270°</v>
          </cell>
          <cell r="Q4971" t="str">
            <v>TF</v>
          </cell>
          <cell r="R4971" t="str">
            <v>V(VE)</v>
          </cell>
          <cell r="S4971" t="str">
            <v>-</v>
          </cell>
          <cell r="T4971" t="str">
            <v>-</v>
          </cell>
          <cell r="U4971" t="str">
            <v>-</v>
          </cell>
          <cell r="V4971" t="str">
            <v>FC</v>
          </cell>
          <cell r="W4971" t="str">
            <v>-</v>
          </cell>
          <cell r="X4971" t="str">
            <v>LO - Supplied with oil - 20 lt.</v>
          </cell>
          <cell r="Y4971" t="str">
            <v>A 80 3 US 96.0 P160 B3 BX 160MA 4 400/690-50 IP55 CLF B5 LO</v>
          </cell>
          <cell r="Z4971" t="str">
            <v>BONFIGLIOLI</v>
          </cell>
          <cell r="AB4971" t="str">
            <v>-</v>
          </cell>
          <cell r="AD4971" t="str">
            <v>BIS</v>
          </cell>
          <cell r="AF4971">
            <v>15.1</v>
          </cell>
          <cell r="AG4971" t="str">
            <v>DRN132L4</v>
          </cell>
          <cell r="AH4971" t="str">
            <v>A80-DRN132L4270-X#</v>
          </cell>
        </row>
        <row r="4972">
          <cell r="A4972" t="str">
            <v>MR004961</v>
          </cell>
          <cell r="B4972" t="str">
            <v>MR</v>
          </cell>
          <cell r="C4972">
            <v>9.1999999999999993</v>
          </cell>
          <cell r="D4972">
            <v>17.152858809801632</v>
          </cell>
          <cell r="E4972" t="str">
            <v>AS 90</v>
          </cell>
          <cell r="F4972" t="str">
            <v>/</v>
          </cell>
          <cell r="G4972">
            <v>85.7</v>
          </cell>
          <cell r="H4972" t="str">
            <v>/</v>
          </cell>
          <cell r="I4972" t="str">
            <v>From M1 to M2 - 10°</v>
          </cell>
          <cell r="J4972" t="str">
            <v>IE3</v>
          </cell>
          <cell r="K4972">
            <v>415</v>
          </cell>
          <cell r="L4972">
            <v>50</v>
          </cell>
          <cell r="M4972">
            <v>17</v>
          </cell>
          <cell r="N4972">
            <v>55</v>
          </cell>
          <cell r="O4972" t="str">
            <v>155(F)</v>
          </cell>
          <cell r="P4972" t="str">
            <v>270°</v>
          </cell>
          <cell r="Q4972" t="str">
            <v>TF</v>
          </cell>
          <cell r="R4972" t="str">
            <v>V(VE)</v>
          </cell>
          <cell r="S4972" t="str">
            <v>-</v>
          </cell>
          <cell r="T4972" t="str">
            <v>-</v>
          </cell>
          <cell r="U4972" t="str">
            <v>-</v>
          </cell>
          <cell r="V4972" t="str">
            <v>FC</v>
          </cell>
          <cell r="W4972" t="str">
            <v>-</v>
          </cell>
          <cell r="X4972" t="str">
            <v>/</v>
          </cell>
          <cell r="Y4972" t="str">
            <v>AS 90 D P 85.7 132 B5 B3 LO</v>
          </cell>
          <cell r="Z4972" t="str">
            <v>BONFIGLIOLI</v>
          </cell>
          <cell r="AB4972" t="str">
            <v>-</v>
          </cell>
          <cell r="AD4972" t="str">
            <v>BIS</v>
          </cell>
          <cell r="AF4972">
            <v>17.152858809801632</v>
          </cell>
          <cell r="AG4972" t="str">
            <v>DRN132L4</v>
          </cell>
          <cell r="AH4972" t="str">
            <v>AS 90-DRN132L4270-X#</v>
          </cell>
        </row>
        <row r="4973">
          <cell r="A4973" t="str">
            <v>MR004962</v>
          </cell>
          <cell r="B4973" t="str">
            <v>MR</v>
          </cell>
          <cell r="C4973">
            <v>2.2000000000000002</v>
          </cell>
          <cell r="D4973">
            <v>94.209499024072869</v>
          </cell>
          <cell r="E4973" t="str">
            <v>AS 35</v>
          </cell>
          <cell r="F4973">
            <v>530</v>
          </cell>
          <cell r="G4973">
            <v>15.37</v>
          </cell>
          <cell r="H4973" t="str">
            <v>/</v>
          </cell>
          <cell r="I4973" t="str">
            <v>From M1 to M2 - 15°</v>
          </cell>
          <cell r="J4973" t="str">
            <v>IE3</v>
          </cell>
          <cell r="K4973">
            <v>415</v>
          </cell>
          <cell r="L4973">
            <v>50</v>
          </cell>
          <cell r="M4973">
            <v>4.5</v>
          </cell>
          <cell r="N4973">
            <v>55</v>
          </cell>
          <cell r="O4973" t="str">
            <v>155(F)</v>
          </cell>
          <cell r="P4973" t="str">
            <v>270°</v>
          </cell>
          <cell r="Q4973" t="str">
            <v>TF</v>
          </cell>
          <cell r="R4973" t="str">
            <v>-</v>
          </cell>
          <cell r="S4973" t="str">
            <v>-</v>
          </cell>
          <cell r="T4973" t="str">
            <v>-</v>
          </cell>
          <cell r="U4973" t="str">
            <v>-</v>
          </cell>
          <cell r="V4973" t="str">
            <v>D</v>
          </cell>
          <cell r="W4973" t="str">
            <v>-</v>
          </cell>
          <cell r="X4973" t="str">
            <v>/</v>
          </cell>
          <cell r="Y4973" t="str">
            <v>AS 35 P 15.37 100 B5 B3</v>
          </cell>
          <cell r="Z4973" t="str">
            <v>BONFIGLIOLI</v>
          </cell>
          <cell r="AB4973" t="str">
            <v>-</v>
          </cell>
          <cell r="AD4973" t="str">
            <v>BIS</v>
          </cell>
          <cell r="AF4973">
            <v>94.209499024072869</v>
          </cell>
          <cell r="AG4973" t="str">
            <v>DRN100LS4</v>
          </cell>
          <cell r="AH4973" t="str">
            <v>AS 35-DRN100LS4270-X</v>
          </cell>
        </row>
        <row r="4974">
          <cell r="A4974" t="str">
            <v>MR004963</v>
          </cell>
          <cell r="B4974" t="str">
            <v>R</v>
          </cell>
          <cell r="C4974" t="str">
            <v>-</v>
          </cell>
          <cell r="D4974">
            <v>36</v>
          </cell>
          <cell r="E4974" t="str">
            <v>R147/A</v>
          </cell>
          <cell r="F4974">
            <v>13000</v>
          </cell>
          <cell r="G4974">
            <v>40.29</v>
          </cell>
          <cell r="I4974" t="str">
            <v>M1</v>
          </cell>
          <cell r="J4974" t="str">
            <v>-</v>
          </cell>
          <cell r="N4974" t="str">
            <v>-</v>
          </cell>
          <cell r="O4974" t="str">
            <v>-</v>
          </cell>
          <cell r="P4974" t="str">
            <v>-</v>
          </cell>
          <cell r="Q4974" t="str">
            <v>-</v>
          </cell>
          <cell r="R4974" t="str">
            <v>-</v>
          </cell>
          <cell r="S4974" t="str">
            <v>-</v>
          </cell>
          <cell r="T4974" t="str">
            <v>-</v>
          </cell>
          <cell r="U4974" t="str">
            <v>-</v>
          </cell>
          <cell r="V4974" t="str">
            <v>-</v>
          </cell>
          <cell r="W4974" t="str">
            <v>-</v>
          </cell>
          <cell r="X4974" t="str">
            <v>CLP 220 (-15/+40°C)</v>
          </cell>
          <cell r="Y4974" t="str">
            <v>R147/A-</v>
          </cell>
          <cell r="Z4974" t="str">
            <v>SEW</v>
          </cell>
          <cell r="AB4974" t="str">
            <v>-</v>
          </cell>
          <cell r="AF4974">
            <v>0</v>
          </cell>
          <cell r="AG4974" t="str">
            <v>-</v>
          </cell>
          <cell r="AH4974" t="str">
            <v>R147/A----X</v>
          </cell>
        </row>
        <row r="4975">
          <cell r="A4975" t="str">
            <v>MR004964</v>
          </cell>
          <cell r="B4975" t="str">
            <v>MR</v>
          </cell>
          <cell r="C4975">
            <v>5.5</v>
          </cell>
          <cell r="D4975">
            <v>64.057717533887185</v>
          </cell>
          <cell r="E4975" t="str">
            <v>AS 55</v>
          </cell>
          <cell r="F4975">
            <v>1350</v>
          </cell>
          <cell r="G4975">
            <v>22.87</v>
          </cell>
          <cell r="H4975" t="str">
            <v>/</v>
          </cell>
          <cell r="I4975" t="str">
            <v>M1</v>
          </cell>
          <cell r="J4975" t="str">
            <v>IE3</v>
          </cell>
          <cell r="K4975">
            <v>415</v>
          </cell>
          <cell r="L4975">
            <v>50</v>
          </cell>
          <cell r="M4975">
            <v>11</v>
          </cell>
          <cell r="N4975">
            <v>55</v>
          </cell>
          <cell r="O4975" t="str">
            <v>155(F)</v>
          </cell>
          <cell r="P4975" t="str">
            <v>270°</v>
          </cell>
          <cell r="Q4975" t="str">
            <v>TF</v>
          </cell>
          <cell r="R4975" t="str">
            <v>-</v>
          </cell>
          <cell r="S4975" t="str">
            <v>-</v>
          </cell>
          <cell r="T4975" t="str">
            <v>-</v>
          </cell>
          <cell r="U4975" t="str">
            <v>-</v>
          </cell>
          <cell r="V4975" t="str">
            <v>D</v>
          </cell>
          <cell r="W4975" t="str">
            <v>-</v>
          </cell>
          <cell r="X4975" t="str">
            <v>/</v>
          </cell>
          <cell r="Y4975" t="str">
            <v>AS 55 P 22.87 132 B5 B3 LO</v>
          </cell>
          <cell r="Z4975" t="str">
            <v>BONFIGLIOLI</v>
          </cell>
          <cell r="AB4975" t="str">
            <v>-</v>
          </cell>
          <cell r="AD4975" t="str">
            <v>BIS</v>
          </cell>
          <cell r="AF4975">
            <v>64.057717533887185</v>
          </cell>
          <cell r="AG4975" t="str">
            <v>DRN132S4</v>
          </cell>
          <cell r="AH4975" t="str">
            <v>AS 55-DRN132S4270-X</v>
          </cell>
        </row>
        <row r="4976">
          <cell r="A4976" t="str">
            <v>MR004965</v>
          </cell>
          <cell r="B4976" t="str">
            <v>MR</v>
          </cell>
          <cell r="C4976">
            <v>11</v>
          </cell>
          <cell r="D4976">
            <v>17.629362214199759</v>
          </cell>
          <cell r="E4976" t="str">
            <v>AS 100</v>
          </cell>
          <cell r="F4976" t="str">
            <v>/</v>
          </cell>
          <cell r="G4976">
            <v>83.1</v>
          </cell>
          <cell r="H4976" t="str">
            <v>/</v>
          </cell>
          <cell r="I4976" t="str">
            <v>M1</v>
          </cell>
          <cell r="J4976" t="str">
            <v>IE3</v>
          </cell>
          <cell r="K4976">
            <v>415</v>
          </cell>
          <cell r="L4976">
            <v>50</v>
          </cell>
          <cell r="M4976">
            <v>20</v>
          </cell>
          <cell r="N4976">
            <v>55</v>
          </cell>
          <cell r="O4976" t="str">
            <v>155(F)</v>
          </cell>
          <cell r="P4976" t="str">
            <v>270°</v>
          </cell>
          <cell r="Q4976" t="str">
            <v>TF</v>
          </cell>
          <cell r="R4976" t="str">
            <v>V(VE)</v>
          </cell>
          <cell r="S4976" t="str">
            <v>-</v>
          </cell>
          <cell r="T4976" t="str">
            <v>-</v>
          </cell>
          <cell r="U4976" t="str">
            <v>-</v>
          </cell>
          <cell r="V4976" t="str">
            <v>FC</v>
          </cell>
          <cell r="W4976" t="str">
            <v>-</v>
          </cell>
          <cell r="X4976" t="str">
            <v>/</v>
          </cell>
          <cell r="Y4976" t="str">
            <v>AS 100 D P 83.1 160 B5 B3 LO</v>
          </cell>
          <cell r="Z4976" t="str">
            <v>BONFIGLIOLI</v>
          </cell>
          <cell r="AB4976" t="str">
            <v>-</v>
          </cell>
          <cell r="AD4976" t="str">
            <v>BIS</v>
          </cell>
          <cell r="AF4976">
            <v>17.629362214199759</v>
          </cell>
          <cell r="AG4976" t="str">
            <v>DRN160M4</v>
          </cell>
          <cell r="AH4976" t="str">
            <v>AS 100-DRN160M4270-X#</v>
          </cell>
        </row>
        <row r="4977">
          <cell r="A4977" t="str">
            <v>MR004966</v>
          </cell>
          <cell r="B4977" t="str">
            <v>MR</v>
          </cell>
          <cell r="C4977">
            <v>4</v>
          </cell>
          <cell r="D4977">
            <v>25</v>
          </cell>
          <cell r="E4977" t="str">
            <v>AS 60 D P 55.6 112 B5 B3 LO</v>
          </cell>
          <cell r="F4977">
            <v>2100</v>
          </cell>
          <cell r="G4977">
            <v>55.6</v>
          </cell>
          <cell r="H4977">
            <v>1.1200000000000001</v>
          </cell>
          <cell r="I4977" t="str">
            <v>M1 (B3)</v>
          </cell>
          <cell r="J4977" t="str">
            <v>IE3</v>
          </cell>
          <cell r="K4977">
            <v>415</v>
          </cell>
          <cell r="L4977">
            <v>50</v>
          </cell>
          <cell r="M4977">
            <v>7.2</v>
          </cell>
          <cell r="N4977">
            <v>55</v>
          </cell>
          <cell r="O4977" t="str">
            <v>155(F)</v>
          </cell>
          <cell r="P4977" t="str">
            <v>270°</v>
          </cell>
          <cell r="Q4977" t="str">
            <v>TF</v>
          </cell>
          <cell r="R4977" t="str">
            <v>-</v>
          </cell>
          <cell r="S4977" t="str">
            <v>Free rotation CW</v>
          </cell>
          <cell r="T4977" t="str">
            <v>-</v>
          </cell>
          <cell r="U4977" t="str">
            <v>-</v>
          </cell>
          <cell r="V4977" t="str">
            <v>SS</v>
          </cell>
          <cell r="W4977" t="str">
            <v>-</v>
          </cell>
          <cell r="X4977" t="str">
            <v>LO - Supplied with oil - 5,5 lt.</v>
          </cell>
          <cell r="Y4977" t="str">
            <v>AS 60 D P 55.6 112 B5 B3 LO -1LE7503-1BB23-5FB4-Z
Q90</v>
          </cell>
          <cell r="Z4977" t="str">
            <v>BONFIGLIOLI/SIEMENS</v>
          </cell>
          <cell r="AB4977" t="str">
            <v>-</v>
          </cell>
          <cell r="AD4977" t="str">
            <v>BIS</v>
          </cell>
          <cell r="AF4977">
            <v>25</v>
          </cell>
          <cell r="AG4977" t="str">
            <v>DRN112M4</v>
          </cell>
          <cell r="AH4977" t="str">
            <v>AS 60 D P 55.6 112 B5 B3 LO-DRN112M4B270-X</v>
          </cell>
        </row>
        <row r="4978">
          <cell r="A4978" t="str">
            <v>MR004967</v>
          </cell>
          <cell r="B4978" t="str">
            <v>MR</v>
          </cell>
          <cell r="C4978">
            <v>30</v>
          </cell>
          <cell r="D4978">
            <v>16</v>
          </cell>
          <cell r="E4978" t="str">
            <v>KH157</v>
          </cell>
          <cell r="F4978">
            <v>17700</v>
          </cell>
          <cell r="G4978">
            <v>91.65</v>
          </cell>
          <cell r="H4978">
            <v>1.1499999999999999</v>
          </cell>
          <cell r="I4978" t="str">
            <v>From M1A to M2A - 20°</v>
          </cell>
          <cell r="J4978" t="str">
            <v>IE3</v>
          </cell>
          <cell r="K4978" t="str">
            <v>230/400</v>
          </cell>
          <cell r="L4978">
            <v>50</v>
          </cell>
          <cell r="M4978" t="str">
            <v>100/58</v>
          </cell>
          <cell r="N4978">
            <v>55</v>
          </cell>
          <cell r="O4978" t="str">
            <v>155(F)</v>
          </cell>
          <cell r="P4978" t="str">
            <v>270°</v>
          </cell>
          <cell r="Q4978" t="str">
            <v>TF</v>
          </cell>
          <cell r="R4978" t="str">
            <v>V(VE)</v>
          </cell>
          <cell r="S4978" t="str">
            <v>-</v>
          </cell>
          <cell r="T4978" t="str">
            <v>-</v>
          </cell>
          <cell r="U4978" t="str">
            <v>-</v>
          </cell>
          <cell r="V4978" t="str">
            <v>FC</v>
          </cell>
          <cell r="W4978" t="str">
            <v>-</v>
          </cell>
          <cell r="X4978" t="str">
            <v>CLP HC 220 (-25/+60°C)</v>
          </cell>
          <cell r="Y4978" t="str">
            <v>KH157EDRN200L4 /TF/VE</v>
          </cell>
          <cell r="Z4978" t="str">
            <v>SEW</v>
          </cell>
          <cell r="AB4978" t="str">
            <v>ATEX22</v>
          </cell>
          <cell r="AE4978" t="str">
            <v>Work frequency: 35Hz - constant work speed ; CAST IRON FRAME ; B61 sight glass for oil; surface protection OS4;  tropicalized, suitable for high humidity and dustiness</v>
          </cell>
          <cell r="AF4978">
            <v>16</v>
          </cell>
          <cell r="AG4978" t="str">
            <v>EDRN200L4</v>
          </cell>
          <cell r="AH4978" t="str">
            <v>KH157-EDRN200L4A270-X#</v>
          </cell>
        </row>
        <row r="4979">
          <cell r="A4979" t="str">
            <v>MR004968</v>
          </cell>
          <cell r="B4979" t="str">
            <v>MR</v>
          </cell>
          <cell r="C4979">
            <v>30</v>
          </cell>
          <cell r="D4979">
            <v>16</v>
          </cell>
          <cell r="E4979" t="str">
            <v>KH157</v>
          </cell>
          <cell r="F4979">
            <v>17700</v>
          </cell>
          <cell r="G4979">
            <v>91.65</v>
          </cell>
          <cell r="H4979">
            <v>1.1499999999999999</v>
          </cell>
          <cell r="I4979" t="str">
            <v>From M1B to M2B - 20°</v>
          </cell>
          <cell r="J4979" t="str">
            <v>IE3</v>
          </cell>
          <cell r="K4979" t="str">
            <v>230/400</v>
          </cell>
          <cell r="L4979">
            <v>50</v>
          </cell>
          <cell r="M4979" t="str">
            <v>100/58</v>
          </cell>
          <cell r="N4979">
            <v>55</v>
          </cell>
          <cell r="O4979" t="str">
            <v>155(F)</v>
          </cell>
          <cell r="P4979" t="str">
            <v>270°</v>
          </cell>
          <cell r="Q4979" t="str">
            <v>TF</v>
          </cell>
          <cell r="R4979" t="str">
            <v>V(VE)</v>
          </cell>
          <cell r="S4979" t="str">
            <v>-</v>
          </cell>
          <cell r="T4979" t="str">
            <v>-</v>
          </cell>
          <cell r="U4979" t="str">
            <v>-</v>
          </cell>
          <cell r="V4979" t="str">
            <v>FC</v>
          </cell>
          <cell r="W4979" t="str">
            <v>-</v>
          </cell>
          <cell r="X4979" t="str">
            <v>CLP HC 220 (-25/+60°C)</v>
          </cell>
          <cell r="Y4979" t="str">
            <v>KH157EDRN200L4 /TF/VE</v>
          </cell>
          <cell r="Z4979" t="str">
            <v>SEW</v>
          </cell>
          <cell r="AB4979" t="str">
            <v>ATEX22</v>
          </cell>
          <cell r="AE4979" t="str">
            <v>Work frequency: 35Hz - constant work speed ; CAST IRON FRAME ; B61 sight glass for oil; surface protection OS4;  tropicalized, suitable for high humidity and dustiness</v>
          </cell>
          <cell r="AF4979">
            <v>16</v>
          </cell>
          <cell r="AG4979" t="str">
            <v>EDRN200L4</v>
          </cell>
          <cell r="AH4979" t="str">
            <v>KH157-EDRN200L4B270-X#</v>
          </cell>
        </row>
        <row r="4980">
          <cell r="A4980" t="str">
            <v>MR004969</v>
          </cell>
          <cell r="B4980" t="str">
            <v>MR</v>
          </cell>
          <cell r="C4980">
            <v>30</v>
          </cell>
          <cell r="D4980">
            <v>42</v>
          </cell>
          <cell r="E4980" t="str">
            <v>R147</v>
          </cell>
          <cell r="F4980">
            <v>6900</v>
          </cell>
          <cell r="G4980">
            <v>35.64</v>
          </cell>
          <cell r="H4980">
            <v>1.7</v>
          </cell>
          <cell r="I4980" t="str">
            <v>M1</v>
          </cell>
          <cell r="J4980" t="str">
            <v>IE3</v>
          </cell>
          <cell r="K4980" t="str">
            <v>230/400</v>
          </cell>
          <cell r="L4980">
            <v>50</v>
          </cell>
          <cell r="M4980" t="str">
            <v>100/58</v>
          </cell>
          <cell r="N4980">
            <v>55</v>
          </cell>
          <cell r="O4980" t="str">
            <v>155(F)</v>
          </cell>
          <cell r="P4980" t="str">
            <v>270°</v>
          </cell>
          <cell r="Q4980" t="str">
            <v>TF</v>
          </cell>
          <cell r="R4980" t="str">
            <v>-</v>
          </cell>
          <cell r="S4980" t="str">
            <v>-</v>
          </cell>
          <cell r="T4980" t="str">
            <v>-</v>
          </cell>
          <cell r="U4980" t="str">
            <v>-</v>
          </cell>
          <cell r="V4980" t="str">
            <v>SS</v>
          </cell>
          <cell r="W4980" t="str">
            <v>-</v>
          </cell>
          <cell r="X4980" t="str">
            <v>CLP HC 220 (-25/+60°C)</v>
          </cell>
          <cell r="Y4980" t="str">
            <v>R147DRN200L4 /TF</v>
          </cell>
          <cell r="Z4980" t="str">
            <v>SEW</v>
          </cell>
          <cell r="AB4980" t="str">
            <v>-</v>
          </cell>
          <cell r="AE4980" t="str">
            <v>Work frequency: 50Hz - constant work speed ; CAST IRON FRAME ; B61 sight glass for oil; surface protection OS4;  tropicalized, suitable for high humidity and dustiness</v>
          </cell>
          <cell r="AF4980">
            <v>42</v>
          </cell>
          <cell r="AG4980" t="str">
            <v>DRN200L4</v>
          </cell>
          <cell r="AH4980" t="str">
            <v>R147-DRN200L4270-X</v>
          </cell>
        </row>
        <row r="4981">
          <cell r="A4981" t="str">
            <v>MR004970</v>
          </cell>
          <cell r="B4981" t="str">
            <v>MR</v>
          </cell>
          <cell r="C4981">
            <v>30</v>
          </cell>
          <cell r="D4981">
            <v>19</v>
          </cell>
          <cell r="E4981" t="str">
            <v>KH157</v>
          </cell>
          <cell r="F4981">
            <v>15400</v>
          </cell>
          <cell r="G4981">
            <v>79.75</v>
          </cell>
          <cell r="H4981">
            <v>1.3</v>
          </cell>
          <cell r="I4981" t="str">
            <v>From M1A to M4A - 70°</v>
          </cell>
          <cell r="J4981" t="str">
            <v>IE3</v>
          </cell>
          <cell r="K4981" t="str">
            <v>230/400</v>
          </cell>
          <cell r="L4981">
            <v>50</v>
          </cell>
          <cell r="M4981" t="str">
            <v>97/56</v>
          </cell>
          <cell r="N4981">
            <v>55</v>
          </cell>
          <cell r="O4981" t="str">
            <v>155(F)</v>
          </cell>
          <cell r="P4981" t="str">
            <v>270°</v>
          </cell>
          <cell r="Q4981" t="str">
            <v>TF</v>
          </cell>
          <cell r="R4981" t="str">
            <v>-</v>
          </cell>
          <cell r="S4981" t="str">
            <v>-</v>
          </cell>
          <cell r="T4981" t="str">
            <v>-</v>
          </cell>
          <cell r="U4981" t="str">
            <v>-</v>
          </cell>
          <cell r="V4981" t="str">
            <v>SS</v>
          </cell>
          <cell r="W4981" t="str">
            <v>-</v>
          </cell>
          <cell r="X4981" t="str">
            <v>CLP HC 220 (-25/+60°C)</v>
          </cell>
          <cell r="Y4981" t="str">
            <v>KH157DRN200L4 /TF</v>
          </cell>
          <cell r="Z4981" t="str">
            <v>SEW</v>
          </cell>
          <cell r="AB4981" t="str">
            <v>-</v>
          </cell>
          <cell r="AE4981" t="str">
            <v>Work frequency: 50Hz - constant work speed ; Protection cover C; CAST IRON FRAME ; B61 sight glass for oil; surface protection OS4;  tropicalized, suitable for high humidity and dustiness</v>
          </cell>
          <cell r="AF4981">
            <v>19</v>
          </cell>
          <cell r="AG4981" t="str">
            <v>DRN200L4</v>
          </cell>
          <cell r="AH4981" t="str">
            <v>KH157-DRN200L4A270-X</v>
          </cell>
        </row>
        <row r="4982">
          <cell r="A4982" t="str">
            <v>MR004971</v>
          </cell>
          <cell r="B4982" t="str">
            <v>MR</v>
          </cell>
          <cell r="C4982">
            <v>30</v>
          </cell>
          <cell r="D4982">
            <v>19</v>
          </cell>
          <cell r="E4982" t="str">
            <v>KH157</v>
          </cell>
          <cell r="F4982">
            <v>15400</v>
          </cell>
          <cell r="G4982">
            <v>79.75</v>
          </cell>
          <cell r="H4982">
            <v>1.3</v>
          </cell>
          <cell r="I4982" t="str">
            <v>From M1B to M4B - 70°</v>
          </cell>
          <cell r="J4982" t="str">
            <v>IE3</v>
          </cell>
          <cell r="K4982" t="str">
            <v>230/400</v>
          </cell>
          <cell r="L4982">
            <v>50</v>
          </cell>
          <cell r="M4982" t="str">
            <v>97/56</v>
          </cell>
          <cell r="N4982">
            <v>55</v>
          </cell>
          <cell r="O4982" t="str">
            <v>155(F)</v>
          </cell>
          <cell r="P4982" t="str">
            <v>270°</v>
          </cell>
          <cell r="Q4982" t="str">
            <v>TF</v>
          </cell>
          <cell r="R4982" t="str">
            <v>-</v>
          </cell>
          <cell r="S4982" t="str">
            <v>-</v>
          </cell>
          <cell r="T4982" t="str">
            <v>-</v>
          </cell>
          <cell r="U4982" t="str">
            <v>-</v>
          </cell>
          <cell r="V4982" t="str">
            <v>SS</v>
          </cell>
          <cell r="W4982" t="str">
            <v>-</v>
          </cell>
          <cell r="X4982" t="str">
            <v>CLP HC 220 (-25/+60°C)</v>
          </cell>
          <cell r="Y4982" t="str">
            <v>KH157DRN200L4 /TF</v>
          </cell>
          <cell r="Z4982" t="str">
            <v>SEW</v>
          </cell>
          <cell r="AB4982" t="str">
            <v>-</v>
          </cell>
          <cell r="AE4982" t="str">
            <v>Work frequency: 50Hz - constant work speed; Protection cover C ; CAST IRON FRAME ; B61 sight glass for oil; surface protection OS4;  tropicalized, suitable for high humidity and dustiness</v>
          </cell>
          <cell r="AF4982">
            <v>19</v>
          </cell>
          <cell r="AG4982" t="str">
            <v>DRN200L4</v>
          </cell>
          <cell r="AH4982" t="str">
            <v>KH157-DRN200L4B270-X</v>
          </cell>
        </row>
        <row r="4983">
          <cell r="A4983" t="str">
            <v>MR004972</v>
          </cell>
          <cell r="B4983" t="str">
            <v>MR</v>
          </cell>
          <cell r="C4983">
            <v>7.5</v>
          </cell>
          <cell r="D4983">
            <v>16</v>
          </cell>
          <cell r="E4983" t="str">
            <v>KH107</v>
          </cell>
          <cell r="F4983">
            <v>4440</v>
          </cell>
          <cell r="G4983">
            <v>90.96</v>
          </cell>
          <cell r="H4983">
            <v>1.68</v>
          </cell>
          <cell r="I4983" t="str">
            <v>M4A</v>
          </cell>
          <cell r="J4983" t="str">
            <v>IE3</v>
          </cell>
          <cell r="K4983" t="str">
            <v>230/400</v>
          </cell>
          <cell r="L4983">
            <v>50</v>
          </cell>
          <cell r="M4983" t="str">
            <v>27/15,7</v>
          </cell>
          <cell r="N4983">
            <v>55</v>
          </cell>
          <cell r="O4983" t="str">
            <v>155(F)</v>
          </cell>
          <cell r="P4983" t="str">
            <v>270°</v>
          </cell>
          <cell r="Q4983" t="str">
            <v>TF</v>
          </cell>
          <cell r="R4983" t="str">
            <v>-</v>
          </cell>
          <cell r="S4983" t="str">
            <v>-</v>
          </cell>
          <cell r="T4983" t="str">
            <v>-</v>
          </cell>
          <cell r="U4983" t="str">
            <v>-</v>
          </cell>
          <cell r="V4983" t="str">
            <v>SS</v>
          </cell>
          <cell r="W4983" t="str">
            <v>-</v>
          </cell>
          <cell r="X4983" t="str">
            <v>CLP HC 220 (-25/+60°C)</v>
          </cell>
          <cell r="Y4983" t="str">
            <v>KH107DRN132M4 /TF</v>
          </cell>
          <cell r="Z4983" t="str">
            <v>SEW</v>
          </cell>
          <cell r="AB4983" t="str">
            <v>-</v>
          </cell>
          <cell r="AE4983" t="str">
            <v>Work frequency: 50Hz - constant work speed; Protection cover C ; CAST IRON FRAME ; B61 sight glass for oil; surface protection OS4;  tropicalized, suitable for high humidity and dustiness</v>
          </cell>
          <cell r="AF4983">
            <v>16</v>
          </cell>
          <cell r="AG4983" t="str">
            <v>DRN132M4</v>
          </cell>
          <cell r="AH4983" t="str">
            <v>KH107-DRN132M4A270-X</v>
          </cell>
        </row>
        <row r="4984">
          <cell r="A4984" t="str">
            <v>MR004973</v>
          </cell>
          <cell r="B4984" t="str">
            <v>MR</v>
          </cell>
          <cell r="C4984">
            <v>2.2000000000000002</v>
          </cell>
          <cell r="D4984">
            <v>84</v>
          </cell>
          <cell r="E4984" t="str">
            <v>FH47</v>
          </cell>
          <cell r="F4984">
            <v>250</v>
          </cell>
          <cell r="G4984">
            <v>17.329999999999998</v>
          </cell>
          <cell r="H4984">
            <v>1.8</v>
          </cell>
          <cell r="I4984" t="str">
            <v>M6</v>
          </cell>
          <cell r="J4984" t="str">
            <v>IE3</v>
          </cell>
          <cell r="K4984" t="str">
            <v>230/400</v>
          </cell>
          <cell r="L4984">
            <v>50</v>
          </cell>
          <cell r="M4984" t="str">
            <v>8,3/4,75</v>
          </cell>
          <cell r="N4984">
            <v>55</v>
          </cell>
          <cell r="O4984" t="str">
            <v>155(F)</v>
          </cell>
          <cell r="P4984" t="str">
            <v>0°</v>
          </cell>
          <cell r="Q4984" t="str">
            <v>TF</v>
          </cell>
          <cell r="R4984" t="str">
            <v>-</v>
          </cell>
          <cell r="S4984" t="str">
            <v>-</v>
          </cell>
          <cell r="T4984" t="str">
            <v>-</v>
          </cell>
          <cell r="U4984" t="str">
            <v>G</v>
          </cell>
          <cell r="V4984" t="str">
            <v>D</v>
          </cell>
          <cell r="W4984" t="str">
            <v>-</v>
          </cell>
          <cell r="X4984" t="str">
            <v>CLP 220 (-15/+40°C)</v>
          </cell>
          <cell r="Y4984" t="str">
            <v>FH47/G DRN100LS4 /TF</v>
          </cell>
          <cell r="Z4984" t="str">
            <v>SEW</v>
          </cell>
          <cell r="AB4984" t="str">
            <v>-</v>
          </cell>
          <cell r="AF4984">
            <v>84</v>
          </cell>
          <cell r="AG4984" t="str">
            <v>DRN100LS4</v>
          </cell>
          <cell r="AH4984" t="str">
            <v>FH47G-DRN100LS40-X</v>
          </cell>
        </row>
        <row r="4985">
          <cell r="A4985" t="str">
            <v>MR004974</v>
          </cell>
          <cell r="B4985" t="str">
            <v>MR</v>
          </cell>
          <cell r="C4985">
            <v>9.1999999999999993</v>
          </cell>
          <cell r="D4985">
            <v>59</v>
          </cell>
          <cell r="E4985" t="str">
            <v>R97</v>
          </cell>
          <cell r="F4985">
            <v>1500</v>
          </cell>
          <cell r="G4985">
            <v>25.03</v>
          </cell>
          <cell r="H4985">
            <v>1.9</v>
          </cell>
          <cell r="I4985" t="str">
            <v>M1</v>
          </cell>
          <cell r="J4985" t="str">
            <v>IE3</v>
          </cell>
          <cell r="K4985" t="str">
            <v>400/690</v>
          </cell>
          <cell r="L4985">
            <v>50</v>
          </cell>
          <cell r="M4985" t="str">
            <v>18,7/10,8</v>
          </cell>
          <cell r="N4985">
            <v>55</v>
          </cell>
          <cell r="O4985" t="str">
            <v>155(F)</v>
          </cell>
          <cell r="P4985" t="str">
            <v>270°</v>
          </cell>
          <cell r="Q4985" t="str">
            <v>TF</v>
          </cell>
          <cell r="R4985" t="str">
            <v>-</v>
          </cell>
          <cell r="S4985" t="str">
            <v>-</v>
          </cell>
          <cell r="T4985" t="str">
            <v>-</v>
          </cell>
          <cell r="U4985" t="str">
            <v>-</v>
          </cell>
          <cell r="V4985" t="str">
            <v>D</v>
          </cell>
          <cell r="W4985" t="str">
            <v>-</v>
          </cell>
          <cell r="X4985" t="str">
            <v>CLP 220 (-15/+40°C)</v>
          </cell>
          <cell r="Y4985" t="str">
            <v>R97DRN132L4 /TF</v>
          </cell>
          <cell r="Z4985" t="str">
            <v>SEW</v>
          </cell>
          <cell r="AB4985" t="str">
            <v>-</v>
          </cell>
          <cell r="AF4985">
            <v>59</v>
          </cell>
          <cell r="AG4985" t="str">
            <v>DRN132L4</v>
          </cell>
          <cell r="AH4985" t="str">
            <v>R97-DRN132L4270-X</v>
          </cell>
        </row>
        <row r="4986">
          <cell r="A4986" t="str">
            <v>MR004975</v>
          </cell>
          <cell r="B4986" t="str">
            <v>MR</v>
          </cell>
          <cell r="C4986">
            <v>4</v>
          </cell>
          <cell r="D4986">
            <v>66</v>
          </cell>
          <cell r="E4986" t="str">
            <v>FH67</v>
          </cell>
          <cell r="F4986">
            <v>575</v>
          </cell>
          <cell r="G4986" t="str">
            <v>22,05</v>
          </cell>
          <cell r="H4986" t="str">
            <v>1,45</v>
          </cell>
          <cell r="I4986" t="str">
            <v>M1</v>
          </cell>
          <cell r="J4986" t="str">
            <v>IE3</v>
          </cell>
          <cell r="K4986" t="str">
            <v>230/400</v>
          </cell>
          <cell r="L4986">
            <v>50</v>
          </cell>
          <cell r="M4986" t="str">
            <v>13,8/7,9</v>
          </cell>
          <cell r="N4986">
            <v>55</v>
          </cell>
          <cell r="O4986" t="str">
            <v>155(F)</v>
          </cell>
          <cell r="P4986" t="str">
            <v>270°</v>
          </cell>
          <cell r="Q4986" t="str">
            <v>TF</v>
          </cell>
          <cell r="R4986" t="str">
            <v>-</v>
          </cell>
          <cell r="S4986" t="str">
            <v>-</v>
          </cell>
          <cell r="T4986" t="str">
            <v>-</v>
          </cell>
          <cell r="U4986" t="str">
            <v>G</v>
          </cell>
          <cell r="V4986" t="str">
            <v>D</v>
          </cell>
          <cell r="W4986" t="str">
            <v>-</v>
          </cell>
          <cell r="X4986" t="str">
            <v>CLP 220 (-15/+40°C)</v>
          </cell>
          <cell r="Y4986" t="str">
            <v>FH67/G DRN112M4 /TF</v>
          </cell>
          <cell r="Z4986" t="str">
            <v>SEW</v>
          </cell>
          <cell r="AB4986" t="str">
            <v>-</v>
          </cell>
          <cell r="AF4986">
            <v>66</v>
          </cell>
          <cell r="AG4986" t="str">
            <v>DRN112M4</v>
          </cell>
          <cell r="AH4986" t="str">
            <v>FH67G-DRN112M4270-X</v>
          </cell>
        </row>
        <row r="4987">
          <cell r="A4987" t="str">
            <v>MR004976</v>
          </cell>
          <cell r="B4987" t="str">
            <v>MR</v>
          </cell>
          <cell r="C4987">
            <v>2.2000000000000002</v>
          </cell>
          <cell r="D4987">
            <v>84</v>
          </cell>
          <cell r="E4987" t="str">
            <v>FH47</v>
          </cell>
          <cell r="F4987">
            <v>250</v>
          </cell>
          <cell r="G4987">
            <v>17.329999999999998</v>
          </cell>
          <cell r="H4987">
            <v>1.8</v>
          </cell>
          <cell r="I4987" t="str">
            <v>M5</v>
          </cell>
          <cell r="J4987" t="str">
            <v>IE3</v>
          </cell>
          <cell r="K4987" t="str">
            <v>230/400</v>
          </cell>
          <cell r="L4987">
            <v>50</v>
          </cell>
          <cell r="M4987" t="str">
            <v>8,3/4,75</v>
          </cell>
          <cell r="N4987">
            <v>55</v>
          </cell>
          <cell r="O4987" t="str">
            <v>155(F)</v>
          </cell>
          <cell r="P4987" t="str">
            <v>180°</v>
          </cell>
          <cell r="Q4987" t="str">
            <v>TF</v>
          </cell>
          <cell r="R4987" t="str">
            <v>-</v>
          </cell>
          <cell r="S4987" t="str">
            <v>-</v>
          </cell>
          <cell r="T4987" t="str">
            <v>-</v>
          </cell>
          <cell r="U4987" t="str">
            <v>G</v>
          </cell>
          <cell r="V4987" t="str">
            <v>D</v>
          </cell>
          <cell r="W4987" t="str">
            <v>-</v>
          </cell>
          <cell r="X4987" t="str">
            <v>CLP 220 (-15/+40°C)</v>
          </cell>
          <cell r="Y4987" t="str">
            <v>FH47/G DRN100LS4 /TF</v>
          </cell>
          <cell r="Z4987" t="str">
            <v>SEW</v>
          </cell>
          <cell r="AB4987" t="str">
            <v>-</v>
          </cell>
          <cell r="AF4987">
            <v>84</v>
          </cell>
          <cell r="AG4987" t="str">
            <v>DRN100LS4</v>
          </cell>
          <cell r="AH4987" t="str">
            <v>FH47G-DRN100LS4180-X</v>
          </cell>
        </row>
        <row r="4988">
          <cell r="A4988" t="str">
            <v>MR004977</v>
          </cell>
          <cell r="B4988" t="str">
            <v>MR</v>
          </cell>
          <cell r="C4988">
            <v>5.5</v>
          </cell>
          <cell r="D4988">
            <v>62</v>
          </cell>
          <cell r="E4988" t="str">
            <v>R87</v>
          </cell>
          <cell r="F4988">
            <v>840</v>
          </cell>
          <cell r="G4988">
            <v>23.4</v>
          </cell>
          <cell r="H4988">
            <v>1.85</v>
          </cell>
          <cell r="I4988" t="str">
            <v>From M1 to M2 - 15°</v>
          </cell>
          <cell r="J4988" t="str">
            <v>IE3</v>
          </cell>
          <cell r="K4988" t="str">
            <v>230/400</v>
          </cell>
          <cell r="L4988">
            <v>50</v>
          </cell>
          <cell r="M4988" t="str">
            <v>19,3/11,1</v>
          </cell>
          <cell r="N4988">
            <v>55</v>
          </cell>
          <cell r="O4988" t="str">
            <v>155(F)</v>
          </cell>
          <cell r="P4988" t="str">
            <v>270°</v>
          </cell>
          <cell r="Q4988" t="str">
            <v>TF</v>
          </cell>
          <cell r="R4988" t="str">
            <v>-</v>
          </cell>
          <cell r="S4988" t="str">
            <v>-</v>
          </cell>
          <cell r="T4988" t="str">
            <v>-</v>
          </cell>
          <cell r="U4988" t="str">
            <v>-</v>
          </cell>
          <cell r="V4988" t="str">
            <v>D</v>
          </cell>
          <cell r="W4988" t="str">
            <v>-</v>
          </cell>
          <cell r="X4988" t="str">
            <v>CLP 220 (-15/+40°C)</v>
          </cell>
          <cell r="Y4988" t="str">
            <v>R87DRN132S4 /TF</v>
          </cell>
          <cell r="Z4988" t="str">
            <v>SEW</v>
          </cell>
          <cell r="AB4988" t="str">
            <v>-</v>
          </cell>
          <cell r="AF4988">
            <v>62</v>
          </cell>
          <cell r="AG4988" t="str">
            <v>DRN132S4</v>
          </cell>
          <cell r="AH4988" t="str">
            <v>R87-DRN132S4270-X</v>
          </cell>
        </row>
        <row r="4989">
          <cell r="A4989" t="str">
            <v>MR004978</v>
          </cell>
          <cell r="B4989" t="str">
            <v>MR</v>
          </cell>
          <cell r="C4989">
            <v>5.5</v>
          </cell>
          <cell r="D4989">
            <v>63</v>
          </cell>
          <cell r="E4989" t="str">
            <v>KH77</v>
          </cell>
          <cell r="F4989">
            <v>830</v>
          </cell>
          <cell r="G4989">
            <v>23.08</v>
          </cell>
          <cell r="H4989">
            <v>1.85</v>
          </cell>
          <cell r="I4989" t="str">
            <v>M4B</v>
          </cell>
          <cell r="J4989" t="str">
            <v>IE3</v>
          </cell>
          <cell r="K4989" t="str">
            <v>230/400</v>
          </cell>
          <cell r="L4989">
            <v>50</v>
          </cell>
          <cell r="M4989" t="str">
            <v>19,3/11,1</v>
          </cell>
          <cell r="N4989">
            <v>55</v>
          </cell>
          <cell r="O4989" t="str">
            <v>155(F)</v>
          </cell>
          <cell r="P4989" t="str">
            <v>270°</v>
          </cell>
          <cell r="Q4989" t="str">
            <v>TF</v>
          </cell>
          <cell r="R4989" t="str">
            <v>-</v>
          </cell>
          <cell r="S4989" t="str">
            <v>-</v>
          </cell>
          <cell r="T4989" t="str">
            <v>-</v>
          </cell>
          <cell r="U4989" t="str">
            <v>T</v>
          </cell>
          <cell r="V4989" t="str">
            <v>D</v>
          </cell>
          <cell r="W4989" t="str">
            <v>-</v>
          </cell>
          <cell r="X4989" t="str">
            <v>CLP 220 (-15/+40°C)</v>
          </cell>
          <cell r="Y4989" t="str">
            <v>KH77/T DRN132S4 /TF</v>
          </cell>
          <cell r="Z4989" t="str">
            <v>SEW</v>
          </cell>
          <cell r="AB4989" t="str">
            <v>-</v>
          </cell>
          <cell r="AF4989">
            <v>63</v>
          </cell>
          <cell r="AG4989" t="str">
            <v>DRN132S4</v>
          </cell>
          <cell r="AH4989" t="str">
            <v>KH77T-DRN132S4B270-X</v>
          </cell>
        </row>
        <row r="4990">
          <cell r="A4990" t="str">
            <v>MR004979</v>
          </cell>
          <cell r="B4990" t="str">
            <v>MR</v>
          </cell>
          <cell r="C4990">
            <v>0.75</v>
          </cell>
          <cell r="D4990">
            <v>162</v>
          </cell>
          <cell r="E4990" t="str">
            <v>KH37</v>
          </cell>
          <cell r="F4990">
            <v>44</v>
          </cell>
          <cell r="G4990">
            <v>8.91</v>
          </cell>
          <cell r="H4990">
            <v>3.6</v>
          </cell>
          <cell r="I4990" t="str">
            <v>From M3A to M2A - 15°</v>
          </cell>
          <cell r="J4990" t="str">
            <v>IE3</v>
          </cell>
          <cell r="K4990" t="str">
            <v>230/400</v>
          </cell>
          <cell r="L4990">
            <v>50</v>
          </cell>
          <cell r="M4990" t="str">
            <v>3,05/1,75</v>
          </cell>
          <cell r="N4990">
            <v>55</v>
          </cell>
          <cell r="O4990" t="str">
            <v>155(F)</v>
          </cell>
          <cell r="P4990" t="str">
            <v>180°</v>
          </cell>
          <cell r="Q4990" t="str">
            <v>TF</v>
          </cell>
          <cell r="R4990" t="str">
            <v>-</v>
          </cell>
          <cell r="S4990" t="str">
            <v>-</v>
          </cell>
          <cell r="T4990" t="str">
            <v>-</v>
          </cell>
          <cell r="U4990" t="str">
            <v>T</v>
          </cell>
          <cell r="V4990" t="str">
            <v>D</v>
          </cell>
          <cell r="W4990" t="str">
            <v>-</v>
          </cell>
          <cell r="X4990" t="str">
            <v>CLP 220 (-15/+40°C)</v>
          </cell>
          <cell r="Y4990" t="str">
            <v>KH37/T DRN80M4 /TF</v>
          </cell>
          <cell r="Z4990" t="str">
            <v>SEW</v>
          </cell>
          <cell r="AB4990" t="str">
            <v>-</v>
          </cell>
          <cell r="AF4990">
            <v>162</v>
          </cell>
          <cell r="AG4990" t="str">
            <v>DRN80M4</v>
          </cell>
          <cell r="AH4990" t="str">
            <v>KH37T-DRN80M4A180-X</v>
          </cell>
        </row>
        <row r="4991">
          <cell r="A4991" t="str">
            <v>MR004980</v>
          </cell>
          <cell r="B4991" t="str">
            <v>MR</v>
          </cell>
          <cell r="C4991">
            <v>9.1999999999999993</v>
          </cell>
          <cell r="D4991">
            <v>16</v>
          </cell>
          <cell r="E4991" t="str">
            <v>KH107</v>
          </cell>
          <cell r="F4991">
            <v>5440</v>
          </cell>
          <cell r="G4991">
            <v>90.96</v>
          </cell>
          <cell r="H4991">
            <v>1.45</v>
          </cell>
          <cell r="I4991" t="str">
            <v>From M1B to M2B - 40°</v>
          </cell>
          <cell r="J4991" t="str">
            <v>IE3</v>
          </cell>
          <cell r="K4991" t="str">
            <v>400/690</v>
          </cell>
          <cell r="L4991">
            <v>50</v>
          </cell>
          <cell r="M4991" t="str">
            <v>18,7/10,8</v>
          </cell>
          <cell r="N4991">
            <v>55</v>
          </cell>
          <cell r="O4991" t="str">
            <v>155(F)</v>
          </cell>
          <cell r="P4991" t="str">
            <v>0°</v>
          </cell>
          <cell r="Q4991" t="str">
            <v>TF</v>
          </cell>
          <cell r="R4991" t="str">
            <v>V(VE)</v>
          </cell>
          <cell r="S4991" t="str">
            <v>-</v>
          </cell>
          <cell r="T4991" t="str">
            <v>-</v>
          </cell>
          <cell r="U4991" t="str">
            <v>-</v>
          </cell>
          <cell r="V4991" t="str">
            <v>FC</v>
          </cell>
          <cell r="W4991" t="str">
            <v>-</v>
          </cell>
          <cell r="X4991" t="str">
            <v>CLP 220 (-15/+40°C)</v>
          </cell>
          <cell r="Y4991" t="str">
            <v>KH107DRN132L4 /TF/V</v>
          </cell>
          <cell r="Z4991" t="str">
            <v>SEW</v>
          </cell>
          <cell r="AB4991" t="str">
            <v>-</v>
          </cell>
          <cell r="AF4991">
            <v>16</v>
          </cell>
          <cell r="AG4991" t="str">
            <v>DRN132L4</v>
          </cell>
          <cell r="AH4991" t="str">
            <v>KH107-DRN132L4B0-X#</v>
          </cell>
        </row>
        <row r="4992">
          <cell r="A4992" t="str">
            <v>MR004981</v>
          </cell>
          <cell r="B4992" t="str">
            <v>MR</v>
          </cell>
          <cell r="C4992">
            <v>5.5</v>
          </cell>
          <cell r="D4992">
            <v>14</v>
          </cell>
          <cell r="E4992" t="str">
            <v>KH97</v>
          </cell>
          <cell r="F4992">
            <v>3780</v>
          </cell>
          <cell r="G4992">
            <v>105.13</v>
          </cell>
          <cell r="H4992">
            <v>1.1499999999999999</v>
          </cell>
          <cell r="I4992" t="str">
            <v>From M1A to M2A - 20°</v>
          </cell>
          <cell r="J4992" t="str">
            <v>IE3</v>
          </cell>
          <cell r="K4992" t="str">
            <v>230/400</v>
          </cell>
          <cell r="L4992">
            <v>50</v>
          </cell>
          <cell r="M4992" t="str">
            <v>19,3/11,1</v>
          </cell>
          <cell r="N4992">
            <v>55</v>
          </cell>
          <cell r="O4992" t="str">
            <v>155(F)</v>
          </cell>
          <cell r="P4992" t="str">
            <v>180°</v>
          </cell>
          <cell r="Q4992" t="str">
            <v>TF</v>
          </cell>
          <cell r="R4992" t="str">
            <v>-</v>
          </cell>
          <cell r="S4992" t="str">
            <v>-</v>
          </cell>
          <cell r="T4992" t="str">
            <v>-</v>
          </cell>
          <cell r="U4992" t="str">
            <v>-</v>
          </cell>
          <cell r="V4992" t="str">
            <v>SS</v>
          </cell>
          <cell r="W4992" t="str">
            <v>-</v>
          </cell>
          <cell r="X4992" t="str">
            <v>CLP 220 (-15/+40°C)</v>
          </cell>
          <cell r="Y4992" t="str">
            <v>KH97DRN132S4 /TF</v>
          </cell>
          <cell r="Z4992" t="str">
            <v>SEW</v>
          </cell>
          <cell r="AB4992" t="str">
            <v>-</v>
          </cell>
          <cell r="AF4992">
            <v>14</v>
          </cell>
          <cell r="AG4992" t="str">
            <v>DRN132S4</v>
          </cell>
          <cell r="AH4992" t="str">
            <v>KH97-DRN132S4A180-X</v>
          </cell>
        </row>
        <row r="4993">
          <cell r="A4993" t="str">
            <v>MR004982</v>
          </cell>
          <cell r="B4993" t="str">
            <v>MR</v>
          </cell>
          <cell r="C4993">
            <v>11</v>
          </cell>
          <cell r="D4993">
            <v>62</v>
          </cell>
          <cell r="E4993" t="str">
            <v>FH87</v>
          </cell>
          <cell r="F4993">
            <v>1680</v>
          </cell>
          <cell r="G4993">
            <v>23.68</v>
          </cell>
          <cell r="H4993">
            <v>1.8</v>
          </cell>
          <cell r="I4993" t="str">
            <v>M1</v>
          </cell>
          <cell r="J4993" t="str">
            <v>IE3</v>
          </cell>
          <cell r="K4993" t="str">
            <v>230/400</v>
          </cell>
          <cell r="L4993">
            <v>50</v>
          </cell>
          <cell r="M4993" t="str">
            <v>36,5/21</v>
          </cell>
          <cell r="N4993">
            <v>55</v>
          </cell>
          <cell r="O4993" t="str">
            <v>155(F)</v>
          </cell>
          <cell r="P4993" t="str">
            <v>270°</v>
          </cell>
          <cell r="Q4993" t="str">
            <v>TF</v>
          </cell>
          <cell r="R4993" t="str">
            <v>-</v>
          </cell>
          <cell r="S4993" t="str">
            <v>-</v>
          </cell>
          <cell r="T4993" t="str">
            <v>-</v>
          </cell>
          <cell r="U4993" t="str">
            <v>G</v>
          </cell>
          <cell r="V4993" t="str">
            <v>D+R</v>
          </cell>
          <cell r="W4993" t="str">
            <v>-</v>
          </cell>
          <cell r="X4993" t="str">
            <v>CLP 220 (-15/+40°C)</v>
          </cell>
          <cell r="Y4993" t="str">
            <v>FH87/G DRN160M4 /TF</v>
          </cell>
          <cell r="Z4993" t="str">
            <v>SEW</v>
          </cell>
          <cell r="AB4993" t="str">
            <v>-</v>
          </cell>
          <cell r="AF4993">
            <v>62</v>
          </cell>
          <cell r="AG4993" t="str">
            <v>DRN160M4</v>
          </cell>
          <cell r="AH4993" t="str">
            <v>FH87G-DRN160M4270-X</v>
          </cell>
        </row>
        <row r="4994">
          <cell r="A4994" t="str">
            <v>MR004983</v>
          </cell>
          <cell r="B4994" t="str">
            <v>MR</v>
          </cell>
          <cell r="C4994">
            <v>7.5</v>
          </cell>
          <cell r="D4994">
            <v>62</v>
          </cell>
          <cell r="E4994" t="str">
            <v>FH87</v>
          </cell>
          <cell r="F4994">
            <v>1150</v>
          </cell>
          <cell r="G4994">
            <v>23.68</v>
          </cell>
          <cell r="H4994">
            <v>2.6</v>
          </cell>
          <cell r="I4994" t="str">
            <v>M1</v>
          </cell>
          <cell r="J4994" t="str">
            <v>IE3</v>
          </cell>
          <cell r="K4994" t="str">
            <v>400/690</v>
          </cell>
          <cell r="L4994">
            <v>50</v>
          </cell>
          <cell r="M4994" t="str">
            <v>15,2/8,8</v>
          </cell>
          <cell r="N4994">
            <v>55</v>
          </cell>
          <cell r="O4994" t="str">
            <v>155(F)</v>
          </cell>
          <cell r="P4994" t="str">
            <v>270°</v>
          </cell>
          <cell r="Q4994" t="str">
            <v>TF</v>
          </cell>
          <cell r="R4994" t="str">
            <v>-</v>
          </cell>
          <cell r="S4994" t="str">
            <v>-</v>
          </cell>
          <cell r="T4994" t="str">
            <v>-</v>
          </cell>
          <cell r="U4994" t="str">
            <v>G</v>
          </cell>
          <cell r="V4994" t="str">
            <v>D+R</v>
          </cell>
          <cell r="W4994" t="str">
            <v>-</v>
          </cell>
          <cell r="X4994" t="str">
            <v>CLP 220 (-15/+40°C)</v>
          </cell>
          <cell r="Y4994" t="str">
            <v>FH87/G DRN132M4 /TF</v>
          </cell>
          <cell r="Z4994" t="str">
            <v>SEW</v>
          </cell>
          <cell r="AB4994" t="str">
            <v>-</v>
          </cell>
          <cell r="AF4994">
            <v>62</v>
          </cell>
          <cell r="AG4994" t="str">
            <v>DRN132M4</v>
          </cell>
          <cell r="AH4994" t="str">
            <v>FH87G-DRN132M4270-X</v>
          </cell>
        </row>
        <row r="4995">
          <cell r="A4995" t="str">
            <v>MR004984</v>
          </cell>
          <cell r="B4995" t="str">
            <v>MR</v>
          </cell>
          <cell r="C4995">
            <v>15</v>
          </cell>
          <cell r="D4995">
            <v>23</v>
          </cell>
          <cell r="E4995" t="str">
            <v>R137</v>
          </cell>
          <cell r="F4995">
            <v>6330</v>
          </cell>
          <cell r="G4995">
            <v>65.2</v>
          </cell>
          <cell r="H4995">
            <v>1.25</v>
          </cell>
          <cell r="I4995" t="str">
            <v>From M1 to M2 - 15°</v>
          </cell>
          <cell r="J4995" t="str">
            <v>IE3</v>
          </cell>
          <cell r="K4995" t="str">
            <v>400/690</v>
          </cell>
          <cell r="L4995">
            <v>50</v>
          </cell>
          <cell r="M4995" t="str">
            <v>29/16,7</v>
          </cell>
          <cell r="N4995">
            <v>55</v>
          </cell>
          <cell r="O4995" t="str">
            <v>155(F)</v>
          </cell>
          <cell r="P4995" t="str">
            <v>270°</v>
          </cell>
          <cell r="Q4995" t="str">
            <v>TF</v>
          </cell>
          <cell r="R4995" t="str">
            <v>V(VE)</v>
          </cell>
          <cell r="S4995" t="str">
            <v>-</v>
          </cell>
          <cell r="T4995" t="str">
            <v>-</v>
          </cell>
          <cell r="U4995" t="str">
            <v>-</v>
          </cell>
          <cell r="V4995" t="str">
            <v>FC</v>
          </cell>
          <cell r="W4995" t="str">
            <v>-</v>
          </cell>
          <cell r="X4995" t="str">
            <v>CLP 220 (-15/+40°C)</v>
          </cell>
          <cell r="Y4995" t="str">
            <v>R137DRN160L4 /TF/V</v>
          </cell>
          <cell r="Z4995" t="str">
            <v>SEW</v>
          </cell>
          <cell r="AB4995" t="str">
            <v>-</v>
          </cell>
          <cell r="AF4995">
            <v>23</v>
          </cell>
          <cell r="AG4995" t="str">
            <v>DRN160L4</v>
          </cell>
          <cell r="AH4995" t="str">
            <v>R137-DRN160L4270-X#</v>
          </cell>
        </row>
        <row r="4996">
          <cell r="A4996" t="str">
            <v>MR004985</v>
          </cell>
          <cell r="B4996" t="str">
            <v>MR</v>
          </cell>
          <cell r="C4996">
            <v>15</v>
          </cell>
          <cell r="D4996">
            <v>42</v>
          </cell>
          <cell r="E4996" t="str">
            <v>R107</v>
          </cell>
          <cell r="F4996">
            <v>3420</v>
          </cell>
          <cell r="G4996">
            <v>35.26</v>
          </cell>
          <cell r="H4996">
            <v>1.25</v>
          </cell>
          <cell r="I4996" t="str">
            <v>From M1 to M2 - 15°</v>
          </cell>
          <cell r="J4996" t="str">
            <v>IE3</v>
          </cell>
          <cell r="K4996" t="str">
            <v>400/690</v>
          </cell>
          <cell r="L4996">
            <v>50</v>
          </cell>
          <cell r="M4996" t="str">
            <v>29/16,7</v>
          </cell>
          <cell r="N4996">
            <v>55</v>
          </cell>
          <cell r="O4996" t="str">
            <v>155(F)</v>
          </cell>
          <cell r="P4996" t="str">
            <v>270°</v>
          </cell>
          <cell r="Q4996" t="str">
            <v>TF</v>
          </cell>
          <cell r="R4996" t="str">
            <v>V(VE)</v>
          </cell>
          <cell r="S4996" t="str">
            <v>-</v>
          </cell>
          <cell r="T4996" t="str">
            <v>-</v>
          </cell>
          <cell r="U4996" t="str">
            <v>-</v>
          </cell>
          <cell r="V4996" t="str">
            <v>FC</v>
          </cell>
          <cell r="W4996" t="str">
            <v>-</v>
          </cell>
          <cell r="X4996" t="str">
            <v>CLP 220 (-15/+40°C)</v>
          </cell>
          <cell r="Y4996" t="str">
            <v>R107DRN160L4 /TF/V</v>
          </cell>
          <cell r="Z4996" t="str">
            <v>SEW</v>
          </cell>
          <cell r="AB4996" t="str">
            <v>-</v>
          </cell>
          <cell r="AF4996">
            <v>42</v>
          </cell>
          <cell r="AG4996" t="str">
            <v>DRN160L4</v>
          </cell>
          <cell r="AH4996" t="str">
            <v>R107-DRN160L4270-X#</v>
          </cell>
        </row>
        <row r="4997">
          <cell r="A4997" t="str">
            <v>MR004986</v>
          </cell>
          <cell r="B4997" t="str">
            <v>MR</v>
          </cell>
          <cell r="C4997">
            <v>15</v>
          </cell>
          <cell r="D4997">
            <v>12</v>
          </cell>
          <cell r="E4997" t="str">
            <v>KH127</v>
          </cell>
          <cell r="F4997">
            <v>11900</v>
          </cell>
          <cell r="G4997">
            <v>122.48</v>
          </cell>
          <cell r="H4997">
            <v>1.1000000000000001</v>
          </cell>
          <cell r="I4997" t="str">
            <v>From M1A to M2A - 40°</v>
          </cell>
          <cell r="J4997" t="str">
            <v>IE3</v>
          </cell>
          <cell r="K4997" t="str">
            <v>400/690</v>
          </cell>
          <cell r="L4997">
            <v>50</v>
          </cell>
          <cell r="M4997" t="str">
            <v>29/16,7</v>
          </cell>
          <cell r="N4997">
            <v>55</v>
          </cell>
          <cell r="O4997" t="str">
            <v>155(F)</v>
          </cell>
          <cell r="P4997" t="str">
            <v>180°</v>
          </cell>
          <cell r="Q4997" t="str">
            <v>TF</v>
          </cell>
          <cell r="R4997" t="str">
            <v>V(VE)</v>
          </cell>
          <cell r="S4997" t="str">
            <v>-</v>
          </cell>
          <cell r="T4997" t="str">
            <v>-</v>
          </cell>
          <cell r="U4997" t="str">
            <v>-</v>
          </cell>
          <cell r="V4997" t="str">
            <v>FC</v>
          </cell>
          <cell r="W4997" t="str">
            <v>-</v>
          </cell>
          <cell r="X4997" t="str">
            <v>CLP 220 (-15/+40°C)</v>
          </cell>
          <cell r="Y4997" t="str">
            <v>KH127DRN160L4 /TF/V</v>
          </cell>
          <cell r="Z4997" t="str">
            <v>SEW</v>
          </cell>
          <cell r="AB4997" t="str">
            <v>-</v>
          </cell>
          <cell r="AF4997">
            <v>12</v>
          </cell>
          <cell r="AG4997" t="str">
            <v>DRN160L4</v>
          </cell>
          <cell r="AH4997" t="str">
            <v>KH127-DRN160L4A180-X#</v>
          </cell>
        </row>
        <row r="4998">
          <cell r="A4998" t="str">
            <v>MR004987</v>
          </cell>
          <cell r="B4998" t="str">
            <v>MR</v>
          </cell>
          <cell r="C4998">
            <v>15</v>
          </cell>
          <cell r="D4998">
            <v>12</v>
          </cell>
          <cell r="E4998" t="str">
            <v>KH127</v>
          </cell>
          <cell r="F4998">
            <v>11900</v>
          </cell>
          <cell r="G4998">
            <v>122.48</v>
          </cell>
          <cell r="H4998">
            <v>1.1000000000000001</v>
          </cell>
          <cell r="I4998" t="str">
            <v>From M1B to M2B - 40°</v>
          </cell>
          <cell r="J4998" t="str">
            <v>IE3</v>
          </cell>
          <cell r="K4998" t="str">
            <v>400/690</v>
          </cell>
          <cell r="L4998">
            <v>50</v>
          </cell>
          <cell r="M4998" t="str">
            <v>29/16,7</v>
          </cell>
          <cell r="N4998">
            <v>55</v>
          </cell>
          <cell r="O4998" t="str">
            <v>155(F)</v>
          </cell>
          <cell r="P4998" t="str">
            <v>0°</v>
          </cell>
          <cell r="Q4998" t="str">
            <v>TF</v>
          </cell>
          <cell r="R4998" t="str">
            <v>V(VE)</v>
          </cell>
          <cell r="S4998" t="str">
            <v>-</v>
          </cell>
          <cell r="T4998" t="str">
            <v>-</v>
          </cell>
          <cell r="U4998" t="str">
            <v>-</v>
          </cell>
          <cell r="V4998" t="str">
            <v>FC</v>
          </cell>
          <cell r="W4998" t="str">
            <v>-</v>
          </cell>
          <cell r="X4998" t="str">
            <v>CLP 220 (-15/+40°C)</v>
          </cell>
          <cell r="Y4998" t="str">
            <v>KH127DRN160L4 /TF/V</v>
          </cell>
          <cell r="Z4998" t="str">
            <v>SEW</v>
          </cell>
          <cell r="AB4998" t="str">
            <v>-</v>
          </cell>
          <cell r="AF4998">
            <v>12</v>
          </cell>
          <cell r="AG4998" t="str">
            <v>DRN160L4</v>
          </cell>
          <cell r="AH4998" t="str">
            <v>KH127-DRN160L4B0-X#</v>
          </cell>
        </row>
        <row r="4999">
          <cell r="A4999" t="str">
            <v>MR004988</v>
          </cell>
          <cell r="B4999" t="str">
            <v>MR</v>
          </cell>
          <cell r="C4999">
            <v>11</v>
          </cell>
          <cell r="D4999">
            <v>66</v>
          </cell>
          <cell r="E4999" t="str">
            <v>R97</v>
          </cell>
          <cell r="F4999">
            <v>1590</v>
          </cell>
          <cell r="G4999">
            <v>22.37</v>
          </cell>
          <cell r="H4999">
            <v>1.7</v>
          </cell>
          <cell r="I4999" t="str">
            <v>From M1 to M4 - 10°</v>
          </cell>
          <cell r="J4999" t="str">
            <v>IE3</v>
          </cell>
          <cell r="K4999" t="str">
            <v>400/690</v>
          </cell>
          <cell r="L4999">
            <v>50</v>
          </cell>
          <cell r="M4999" t="str">
            <v>21/12,2</v>
          </cell>
          <cell r="N4999">
            <v>55</v>
          </cell>
          <cell r="O4999" t="str">
            <v>155(F)</v>
          </cell>
          <cell r="P4999" t="str">
            <v>270°</v>
          </cell>
          <cell r="Q4999" t="str">
            <v>TF</v>
          </cell>
          <cell r="R4999" t="str">
            <v>-</v>
          </cell>
          <cell r="S4999" t="str">
            <v>-</v>
          </cell>
          <cell r="T4999" t="str">
            <v>-</v>
          </cell>
          <cell r="U4999" t="str">
            <v>-</v>
          </cell>
          <cell r="V4999" t="str">
            <v>D</v>
          </cell>
          <cell r="W4999" t="str">
            <v>-</v>
          </cell>
          <cell r="X4999" t="str">
            <v>CLP 220 (-15/+40°C)</v>
          </cell>
          <cell r="Y4999" t="str">
            <v>R97DRN160M4 /TF</v>
          </cell>
          <cell r="Z4999" t="str">
            <v>SEW</v>
          </cell>
          <cell r="AB4999" t="str">
            <v>-</v>
          </cell>
          <cell r="AF4999">
            <v>66</v>
          </cell>
          <cell r="AG4999" t="str">
            <v>DRN160M4</v>
          </cell>
          <cell r="AH4999" t="str">
            <v>R97-DRN160M4270-X</v>
          </cell>
        </row>
        <row r="5000">
          <cell r="A5000" t="str">
            <v>MR004989</v>
          </cell>
          <cell r="B5000" t="str">
            <v>MR</v>
          </cell>
          <cell r="C5000">
            <v>4</v>
          </cell>
          <cell r="D5000">
            <v>82</v>
          </cell>
          <cell r="E5000" t="str">
            <v>R77</v>
          </cell>
          <cell r="F5000">
            <v>465</v>
          </cell>
          <cell r="G5000">
            <v>17.82</v>
          </cell>
          <cell r="H5000">
            <v>1.7</v>
          </cell>
          <cell r="I5000" t="str">
            <v>From M1 to M2 - 20°</v>
          </cell>
          <cell r="J5000" t="str">
            <v>IE3</v>
          </cell>
          <cell r="K5000" t="str">
            <v>230/400</v>
          </cell>
          <cell r="L5000">
            <v>50</v>
          </cell>
          <cell r="M5000" t="str">
            <v>13,8/7,9</v>
          </cell>
          <cell r="N5000">
            <v>55</v>
          </cell>
          <cell r="O5000" t="str">
            <v>155(F)</v>
          </cell>
          <cell r="P5000" t="str">
            <v>270°</v>
          </cell>
          <cell r="Q5000" t="str">
            <v>TF</v>
          </cell>
          <cell r="R5000" t="str">
            <v>-</v>
          </cell>
          <cell r="S5000" t="str">
            <v>-</v>
          </cell>
          <cell r="T5000" t="str">
            <v>-</v>
          </cell>
          <cell r="U5000" t="str">
            <v>-</v>
          </cell>
          <cell r="V5000" t="str">
            <v>D</v>
          </cell>
          <cell r="W5000" t="str">
            <v>-</v>
          </cell>
          <cell r="X5000" t="str">
            <v>CLP 220 (-15/+40°C)</v>
          </cell>
          <cell r="Y5000" t="str">
            <v>R77DRN112M4 /TF</v>
          </cell>
          <cell r="Z5000" t="str">
            <v>SEW</v>
          </cell>
          <cell r="AB5000" t="str">
            <v>-</v>
          </cell>
          <cell r="AF5000">
            <v>82</v>
          </cell>
          <cell r="AG5000" t="str">
            <v>DRN112M4</v>
          </cell>
          <cell r="AH5000" t="str">
            <v>R77-DRN112M4270-X</v>
          </cell>
        </row>
        <row r="5001">
          <cell r="A5001" t="str">
            <v>MR004990</v>
          </cell>
          <cell r="B5001" t="str">
            <v>MR</v>
          </cell>
          <cell r="C5001">
            <v>22</v>
          </cell>
          <cell r="D5001">
            <v>33</v>
          </cell>
          <cell r="E5001" t="str">
            <v>R137</v>
          </cell>
          <cell r="F5001">
            <v>6310</v>
          </cell>
          <cell r="G5001">
            <v>44.39</v>
          </cell>
          <cell r="H5001">
            <v>1.25</v>
          </cell>
          <cell r="I5001" t="str">
            <v>M1</v>
          </cell>
          <cell r="J5001" t="str">
            <v>IE3</v>
          </cell>
          <cell r="K5001" t="str">
            <v>400/690</v>
          </cell>
          <cell r="L5001">
            <v>50</v>
          </cell>
          <cell r="M5001" t="str">
            <v>38,5/22,5</v>
          </cell>
          <cell r="N5001">
            <v>55</v>
          </cell>
          <cell r="O5001" t="str">
            <v>155(F)</v>
          </cell>
          <cell r="P5001" t="str">
            <v>270°</v>
          </cell>
          <cell r="Q5001" t="str">
            <v>TF</v>
          </cell>
          <cell r="R5001" t="str">
            <v>-</v>
          </cell>
          <cell r="S5001" t="str">
            <v>Free rotation CCW</v>
          </cell>
          <cell r="T5001" t="str">
            <v>-</v>
          </cell>
          <cell r="U5001" t="str">
            <v>-</v>
          </cell>
          <cell r="V5001" t="str">
            <v>SS</v>
          </cell>
          <cell r="W5001" t="str">
            <v>-</v>
          </cell>
          <cell r="X5001" t="str">
            <v>CLP 220 (-15/+40°C)</v>
          </cell>
          <cell r="Y5001" t="str">
            <v>R137DRN180L4 /RS /TF</v>
          </cell>
          <cell r="Z5001" t="str">
            <v>SEW</v>
          </cell>
          <cell r="AB5001" t="str">
            <v>-</v>
          </cell>
          <cell r="AF5001">
            <v>33</v>
          </cell>
          <cell r="AG5001" t="str">
            <v>DRN180L4</v>
          </cell>
          <cell r="AH5001" t="str">
            <v>R137-DRN180L4270-X</v>
          </cell>
        </row>
        <row r="5002">
          <cell r="A5002" t="str">
            <v>MR004991</v>
          </cell>
          <cell r="B5002" t="str">
            <v>MR</v>
          </cell>
          <cell r="C5002">
            <v>7.5</v>
          </cell>
          <cell r="D5002">
            <v>62</v>
          </cell>
          <cell r="E5002" t="str">
            <v>FH87</v>
          </cell>
          <cell r="F5002">
            <v>1150</v>
          </cell>
          <cell r="G5002">
            <v>23.68</v>
          </cell>
          <cell r="H5002">
            <v>2.6</v>
          </cell>
          <cell r="I5002" t="str">
            <v>From M1 to M2 - 25°</v>
          </cell>
          <cell r="J5002" t="str">
            <v>IE3</v>
          </cell>
          <cell r="K5002" t="str">
            <v>400/690</v>
          </cell>
          <cell r="L5002">
            <v>50</v>
          </cell>
          <cell r="M5002" t="str">
            <v>15,2/8,8</v>
          </cell>
          <cell r="N5002">
            <v>55</v>
          </cell>
          <cell r="O5002" t="str">
            <v>155(F)</v>
          </cell>
          <cell r="P5002" t="str">
            <v>270°</v>
          </cell>
          <cell r="Q5002" t="str">
            <v>TF</v>
          </cell>
          <cell r="R5002" t="str">
            <v>-</v>
          </cell>
          <cell r="S5002" t="str">
            <v>-</v>
          </cell>
          <cell r="T5002" t="str">
            <v>-</v>
          </cell>
          <cell r="U5002" t="str">
            <v>G</v>
          </cell>
          <cell r="V5002" t="str">
            <v>D</v>
          </cell>
          <cell r="W5002" t="str">
            <v>-</v>
          </cell>
          <cell r="X5002" t="str">
            <v>CLP 220 (-15/+40°C)</v>
          </cell>
          <cell r="Y5002" t="str">
            <v>FH87/G DRN132M4 /TF</v>
          </cell>
          <cell r="Z5002" t="str">
            <v>SEW</v>
          </cell>
          <cell r="AB5002" t="str">
            <v>-</v>
          </cell>
          <cell r="AF5002">
            <v>62</v>
          </cell>
          <cell r="AG5002" t="str">
            <v>DRN132M4</v>
          </cell>
          <cell r="AH5002" t="str">
            <v>FH87G-DRN132M4270-X</v>
          </cell>
        </row>
        <row r="5003">
          <cell r="A5003" t="str">
            <v>MR004992</v>
          </cell>
          <cell r="B5003" t="str">
            <v>MR</v>
          </cell>
          <cell r="C5003">
            <v>22</v>
          </cell>
          <cell r="D5003">
            <v>33</v>
          </cell>
          <cell r="E5003" t="str">
            <v>R137</v>
          </cell>
          <cell r="F5003">
            <v>6310</v>
          </cell>
          <cell r="G5003">
            <v>44.39</v>
          </cell>
          <cell r="H5003">
            <v>1.25</v>
          </cell>
          <cell r="I5003" t="str">
            <v>M1</v>
          </cell>
          <cell r="J5003" t="str">
            <v>IE3</v>
          </cell>
          <cell r="K5003" t="str">
            <v>400/690</v>
          </cell>
          <cell r="L5003">
            <v>50</v>
          </cell>
          <cell r="M5003" t="str">
            <v>38,5/22,5</v>
          </cell>
          <cell r="N5003">
            <v>55</v>
          </cell>
          <cell r="O5003" t="str">
            <v>155(F)</v>
          </cell>
          <cell r="P5003" t="str">
            <v>270°</v>
          </cell>
          <cell r="Q5003" t="str">
            <v>TF</v>
          </cell>
          <cell r="R5003" t="str">
            <v>-</v>
          </cell>
          <cell r="S5003" t="str">
            <v>Free rotation CW</v>
          </cell>
          <cell r="T5003" t="str">
            <v>-</v>
          </cell>
          <cell r="U5003" t="str">
            <v>-</v>
          </cell>
          <cell r="V5003" t="str">
            <v>SS</v>
          </cell>
          <cell r="W5003" t="str">
            <v>-</v>
          </cell>
          <cell r="X5003" t="str">
            <v>CLP 220 (-15/+40°C)</v>
          </cell>
          <cell r="Y5003" t="str">
            <v>R137DRN180L4 /RS /TF</v>
          </cell>
          <cell r="Z5003" t="str">
            <v>SEW</v>
          </cell>
          <cell r="AB5003" t="str">
            <v>-</v>
          </cell>
          <cell r="AF5003">
            <v>33</v>
          </cell>
          <cell r="AG5003" t="str">
            <v>DRN180L4</v>
          </cell>
          <cell r="AH5003" t="str">
            <v>R137-DRN180L4270-X</v>
          </cell>
        </row>
        <row r="5004">
          <cell r="A5004" t="str">
            <v>MR004993</v>
          </cell>
          <cell r="B5004" t="str">
            <v>MR</v>
          </cell>
          <cell r="C5004">
            <v>7.5</v>
          </cell>
          <cell r="D5004">
            <v>62</v>
          </cell>
          <cell r="E5004" t="str">
            <v>FH87</v>
          </cell>
          <cell r="F5004">
            <v>1150</v>
          </cell>
          <cell r="G5004">
            <v>23.68</v>
          </cell>
          <cell r="H5004">
            <v>2.6</v>
          </cell>
          <cell r="I5004" t="str">
            <v>M1</v>
          </cell>
          <cell r="J5004" t="str">
            <v>IE3</v>
          </cell>
          <cell r="K5004" t="str">
            <v>400/690</v>
          </cell>
          <cell r="L5004">
            <v>50</v>
          </cell>
          <cell r="M5004" t="str">
            <v>15,2/8,8</v>
          </cell>
          <cell r="N5004">
            <v>55</v>
          </cell>
          <cell r="O5004" t="str">
            <v>155(F)</v>
          </cell>
          <cell r="P5004" t="str">
            <v>270°</v>
          </cell>
          <cell r="Q5004" t="str">
            <v>TF</v>
          </cell>
          <cell r="R5004" t="str">
            <v>-</v>
          </cell>
          <cell r="S5004" t="str">
            <v>-</v>
          </cell>
          <cell r="T5004" t="str">
            <v>-</v>
          </cell>
          <cell r="U5004" t="str">
            <v>G</v>
          </cell>
          <cell r="V5004" t="str">
            <v>D</v>
          </cell>
          <cell r="W5004" t="str">
            <v>-</v>
          </cell>
          <cell r="X5004" t="str">
            <v>CLP 220 (-15/+40°C)</v>
          </cell>
          <cell r="Y5004" t="str">
            <v>FH87/G DRN132M4 /TF</v>
          </cell>
          <cell r="Z5004" t="str">
            <v>SEW</v>
          </cell>
          <cell r="AB5004" t="str">
            <v>-</v>
          </cell>
          <cell r="AF5004">
            <v>62</v>
          </cell>
          <cell r="AG5004" t="str">
            <v>DRN132M4</v>
          </cell>
          <cell r="AH5004" t="str">
            <v>FH87G-DRN132M4270-X</v>
          </cell>
        </row>
        <row r="5005">
          <cell r="A5005" t="str">
            <v>MR004994</v>
          </cell>
          <cell r="B5005" t="str">
            <v>MR</v>
          </cell>
          <cell r="C5005">
            <v>18.5</v>
          </cell>
          <cell r="D5005">
            <v>102</v>
          </cell>
          <cell r="E5005" t="str">
            <v>KH87</v>
          </cell>
          <cell r="F5005">
            <v>1720</v>
          </cell>
          <cell r="G5005">
            <v>14.45</v>
          </cell>
          <cell r="H5005">
            <v>1.2</v>
          </cell>
          <cell r="I5005" t="str">
            <v>M4A</v>
          </cell>
          <cell r="J5005" t="str">
            <v>IE3</v>
          </cell>
          <cell r="K5005" t="str">
            <v>400/690</v>
          </cell>
          <cell r="L5005">
            <v>50</v>
          </cell>
          <cell r="M5005" t="str">
            <v>33,5/19,3</v>
          </cell>
          <cell r="N5005">
            <v>55</v>
          </cell>
          <cell r="O5005" t="str">
            <v>155(F)</v>
          </cell>
          <cell r="P5005" t="str">
            <v>270°</v>
          </cell>
          <cell r="Q5005" t="str">
            <v>TF</v>
          </cell>
          <cell r="R5005" t="str">
            <v>-</v>
          </cell>
          <cell r="S5005" t="str">
            <v>-</v>
          </cell>
          <cell r="T5005" t="str">
            <v>-</v>
          </cell>
          <cell r="U5005" t="str">
            <v>T</v>
          </cell>
          <cell r="V5005" t="str">
            <v>SS</v>
          </cell>
          <cell r="W5005" t="str">
            <v>-</v>
          </cell>
          <cell r="X5005" t="str">
            <v>CLP 220 (-15/+40°C)</v>
          </cell>
          <cell r="Y5005" t="str">
            <v>KH87/T DRN180M4 /TF</v>
          </cell>
          <cell r="Z5005" t="str">
            <v>SEW</v>
          </cell>
          <cell r="AB5005" t="str">
            <v>-</v>
          </cell>
          <cell r="AF5005">
            <v>102</v>
          </cell>
          <cell r="AG5005" t="str">
            <v>DRN180M4</v>
          </cell>
          <cell r="AH5005" t="str">
            <v>KH87T-DRN180M4A270-X</v>
          </cell>
        </row>
        <row r="5006">
          <cell r="A5006" t="str">
            <v>MR004995</v>
          </cell>
          <cell r="B5006" t="str">
            <v>MR</v>
          </cell>
          <cell r="C5006">
            <v>0.75</v>
          </cell>
          <cell r="D5006">
            <v>162</v>
          </cell>
          <cell r="E5006" t="str">
            <v>KH37</v>
          </cell>
          <cell r="F5006">
            <v>44</v>
          </cell>
          <cell r="G5006">
            <v>8.91</v>
          </cell>
          <cell r="H5006">
            <v>3.6</v>
          </cell>
          <cell r="I5006" t="str">
            <v xml:space="preserve"> M3A </v>
          </cell>
          <cell r="J5006" t="str">
            <v>IE3</v>
          </cell>
          <cell r="K5006" t="str">
            <v>230/400</v>
          </cell>
          <cell r="L5006">
            <v>50</v>
          </cell>
          <cell r="M5006" t="str">
            <v>3,05/1,75</v>
          </cell>
          <cell r="N5006">
            <v>55</v>
          </cell>
          <cell r="O5006" t="str">
            <v>155(F)</v>
          </cell>
          <cell r="P5006" t="str">
            <v>180°</v>
          </cell>
          <cell r="Q5006" t="str">
            <v>TF</v>
          </cell>
          <cell r="R5006" t="str">
            <v>-</v>
          </cell>
          <cell r="S5006" t="str">
            <v>-</v>
          </cell>
          <cell r="T5006" t="str">
            <v>-</v>
          </cell>
          <cell r="U5006" t="str">
            <v>T</v>
          </cell>
          <cell r="V5006" t="str">
            <v>D</v>
          </cell>
          <cell r="W5006" t="str">
            <v>-</v>
          </cell>
          <cell r="X5006" t="str">
            <v>CLP 220 (-15/+40°C)</v>
          </cell>
          <cell r="Y5006" t="str">
            <v>KH37/T DRN80M4 /TF</v>
          </cell>
          <cell r="Z5006" t="str">
            <v>SEW</v>
          </cell>
          <cell r="AB5006" t="str">
            <v>-</v>
          </cell>
          <cell r="AF5006">
            <v>162</v>
          </cell>
          <cell r="AG5006" t="str">
            <v>DRN80M4</v>
          </cell>
          <cell r="AH5006" t="str">
            <v>KH37T-DRN80M4A180-X</v>
          </cell>
        </row>
        <row r="5007">
          <cell r="A5007" t="str">
            <v>MR004996</v>
          </cell>
          <cell r="B5007" t="str">
            <v>MR</v>
          </cell>
          <cell r="C5007">
            <v>0.37</v>
          </cell>
          <cell r="D5007">
            <v>6.2</v>
          </cell>
          <cell r="E5007" t="str">
            <v>FH67</v>
          </cell>
          <cell r="F5007">
            <v>570</v>
          </cell>
          <cell r="G5007">
            <v>229</v>
          </cell>
          <cell r="H5007">
            <v>1.5</v>
          </cell>
          <cell r="I5007" t="str">
            <v>M5</v>
          </cell>
          <cell r="J5007" t="str">
            <v>IE3</v>
          </cell>
          <cell r="K5007" t="str">
            <v>230/400</v>
          </cell>
          <cell r="L5007">
            <v>50</v>
          </cell>
          <cell r="M5007" t="str">
            <v>1,78/1,02</v>
          </cell>
          <cell r="N5007">
            <v>55</v>
          </cell>
          <cell r="O5007" t="str">
            <v>155(F)</v>
          </cell>
          <cell r="P5007" t="str">
            <v>180°</v>
          </cell>
          <cell r="Q5007" t="str">
            <v>TF</v>
          </cell>
          <cell r="R5007" t="str">
            <v>-</v>
          </cell>
          <cell r="S5007" t="str">
            <v>-</v>
          </cell>
          <cell r="T5007" t="str">
            <v>-</v>
          </cell>
          <cell r="U5007" t="str">
            <v>G</v>
          </cell>
          <cell r="V5007" t="str">
            <v>D</v>
          </cell>
          <cell r="W5007" t="str">
            <v>-</v>
          </cell>
          <cell r="X5007" t="str">
            <v>CLP 220 (-15/+40°C)</v>
          </cell>
          <cell r="Y5007" t="str">
            <v>FH67/G DRN71M4 /TF</v>
          </cell>
          <cell r="Z5007" t="str">
            <v>SEW</v>
          </cell>
          <cell r="AB5007" t="str">
            <v>-</v>
          </cell>
          <cell r="AF5007">
            <v>6.2</v>
          </cell>
          <cell r="AG5007" t="str">
            <v>DRN71M4</v>
          </cell>
          <cell r="AH5007" t="str">
            <v>FH67G-DRN71M4180-X</v>
          </cell>
        </row>
        <row r="5008">
          <cell r="A5008" t="str">
            <v>MR004997</v>
          </cell>
          <cell r="B5008" t="str">
            <v>MR</v>
          </cell>
          <cell r="C5008">
            <v>15</v>
          </cell>
          <cell r="D5008">
            <v>9.8000000000000007</v>
          </cell>
          <cell r="E5008" t="str">
            <v>KH157</v>
          </cell>
          <cell r="F5008">
            <v>14600</v>
          </cell>
          <cell r="G5008">
            <v>150.41</v>
          </cell>
          <cell r="H5008">
            <v>1.35</v>
          </cell>
          <cell r="I5008" t="str">
            <v>From M1A to M2A - 20°</v>
          </cell>
          <cell r="J5008" t="str">
            <v>IE3</v>
          </cell>
          <cell r="K5008" t="str">
            <v>400/690</v>
          </cell>
          <cell r="L5008">
            <v>50</v>
          </cell>
          <cell r="M5008" t="str">
            <v>29/16,7</v>
          </cell>
          <cell r="N5008">
            <v>65</v>
          </cell>
          <cell r="O5008" t="str">
            <v>155(F)</v>
          </cell>
          <cell r="P5008" t="str">
            <v>180°</v>
          </cell>
          <cell r="Q5008" t="str">
            <v>TF</v>
          </cell>
          <cell r="R5008" t="str">
            <v>-</v>
          </cell>
          <cell r="S5008" t="str">
            <v>-</v>
          </cell>
          <cell r="T5008" t="str">
            <v>-</v>
          </cell>
          <cell r="U5008" t="str">
            <v>-</v>
          </cell>
          <cell r="V5008" t="str">
            <v>SS</v>
          </cell>
          <cell r="W5008" t="str">
            <v>-</v>
          </cell>
          <cell r="X5008" t="str">
            <v>CLP 220 (-15/+40°C)</v>
          </cell>
          <cell r="Y5008" t="str">
            <v>KH157DRN160L4 /TF</v>
          </cell>
          <cell r="Z5008" t="str">
            <v>SEW</v>
          </cell>
          <cell r="AB5008" t="str">
            <v>-</v>
          </cell>
          <cell r="AF5008">
            <v>9.8000000000000007</v>
          </cell>
          <cell r="AG5008" t="str">
            <v>DRN160L4</v>
          </cell>
          <cell r="AH5008" t="str">
            <v>KH157-DRN160L4A180-X</v>
          </cell>
        </row>
        <row r="5009">
          <cell r="A5009" t="str">
            <v>MR004998</v>
          </cell>
          <cell r="B5009" t="str">
            <v>MR</v>
          </cell>
          <cell r="C5009">
            <v>15</v>
          </cell>
          <cell r="D5009">
            <v>9.8000000000000007</v>
          </cell>
          <cell r="E5009" t="str">
            <v>KH157</v>
          </cell>
          <cell r="F5009">
            <v>14600</v>
          </cell>
          <cell r="G5009">
            <v>150.41</v>
          </cell>
          <cell r="H5009">
            <v>1.35</v>
          </cell>
          <cell r="I5009" t="str">
            <v>From M1B to M2B - 20°</v>
          </cell>
          <cell r="J5009" t="str">
            <v>IE3</v>
          </cell>
          <cell r="K5009" t="str">
            <v>400/690</v>
          </cell>
          <cell r="L5009">
            <v>50</v>
          </cell>
          <cell r="M5009" t="str">
            <v>29/16,7</v>
          </cell>
          <cell r="N5009">
            <v>65</v>
          </cell>
          <cell r="O5009" t="str">
            <v>155(F)</v>
          </cell>
          <cell r="P5009" t="str">
            <v>0°</v>
          </cell>
          <cell r="Q5009" t="str">
            <v>TF</v>
          </cell>
          <cell r="R5009" t="str">
            <v>-</v>
          </cell>
          <cell r="S5009" t="str">
            <v>-</v>
          </cell>
          <cell r="T5009" t="str">
            <v>-</v>
          </cell>
          <cell r="U5009" t="str">
            <v>-</v>
          </cell>
          <cell r="V5009" t="str">
            <v>SS</v>
          </cell>
          <cell r="W5009" t="str">
            <v>-</v>
          </cell>
          <cell r="X5009" t="str">
            <v>CLP 220 (-15/+40°C)</v>
          </cell>
          <cell r="Y5009" t="str">
            <v>KH157DRN160L4 /TF</v>
          </cell>
          <cell r="Z5009" t="str">
            <v>SEW</v>
          </cell>
          <cell r="AB5009" t="str">
            <v>-</v>
          </cell>
          <cell r="AF5009">
            <v>9.8000000000000007</v>
          </cell>
          <cell r="AG5009" t="str">
            <v>DRN160L4</v>
          </cell>
          <cell r="AH5009" t="str">
            <v>KH157-DRN160L4B0-X</v>
          </cell>
        </row>
        <row r="5010">
          <cell r="A5010" t="str">
            <v>MR004999</v>
          </cell>
          <cell r="B5010" t="str">
            <v>MR</v>
          </cell>
          <cell r="C5010">
            <v>1.5</v>
          </cell>
          <cell r="D5010">
            <v>22</v>
          </cell>
          <cell r="E5010" t="str">
            <v>FA67</v>
          </cell>
          <cell r="F5010">
            <v>665</v>
          </cell>
          <cell r="G5010">
            <v>67.650000000000006</v>
          </cell>
          <cell r="H5010">
            <v>1.3</v>
          </cell>
          <cell r="I5010" t="str">
            <v>From M5 to M1 - 50°</v>
          </cell>
          <cell r="J5010" t="str">
            <v>IE3</v>
          </cell>
          <cell r="K5010" t="str">
            <v>230/400</v>
          </cell>
          <cell r="L5010">
            <v>50</v>
          </cell>
          <cell r="M5010" t="str">
            <v>5,9/3,4</v>
          </cell>
          <cell r="N5010">
            <v>65</v>
          </cell>
          <cell r="O5010" t="str">
            <v>155(F)</v>
          </cell>
          <cell r="P5010" t="str">
            <v>180°</v>
          </cell>
          <cell r="Q5010" t="str">
            <v>TF</v>
          </cell>
          <cell r="R5010" t="str">
            <v>-</v>
          </cell>
          <cell r="S5010" t="str">
            <v>-</v>
          </cell>
          <cell r="T5010" t="str">
            <v>BEHF</v>
          </cell>
          <cell r="U5010" t="str">
            <v>G</v>
          </cell>
          <cell r="V5010" t="str">
            <v>D+R</v>
          </cell>
          <cell r="W5010" t="str">
            <v>-</v>
          </cell>
          <cell r="X5010" t="str">
            <v>CLP 220 (-15/+40°C)</v>
          </cell>
          <cell r="Y5010" t="str">
            <v>FA67/G DRN90L4 /BEHF /TF</v>
          </cell>
          <cell r="Z5010" t="str">
            <v>SEW</v>
          </cell>
          <cell r="AB5010" t="str">
            <v>-</v>
          </cell>
          <cell r="AF5010">
            <v>22</v>
          </cell>
          <cell r="AG5010" t="str">
            <v>DRN90L4</v>
          </cell>
          <cell r="AH5010" t="str">
            <v>FA67G-DRN90L4180-X</v>
          </cell>
        </row>
        <row r="5011">
          <cell r="A5011" t="str">
            <v>MR005000</v>
          </cell>
          <cell r="B5011" t="str">
            <v>MR</v>
          </cell>
          <cell r="C5011">
            <v>15</v>
          </cell>
          <cell r="D5011">
            <v>16</v>
          </cell>
          <cell r="E5011" t="str">
            <v>KH127</v>
          </cell>
          <cell r="F5011">
            <v>8730</v>
          </cell>
          <cell r="G5011">
            <v>89.89</v>
          </cell>
          <cell r="H5011">
            <v>1.5</v>
          </cell>
          <cell r="I5011" t="str">
            <v>From M4B to M1B - 35°</v>
          </cell>
          <cell r="J5011" t="str">
            <v>IE3</v>
          </cell>
          <cell r="K5011" t="str">
            <v>400/690</v>
          </cell>
          <cell r="L5011">
            <v>50</v>
          </cell>
          <cell r="M5011" t="str">
            <v>29/16,7</v>
          </cell>
          <cell r="N5011">
            <v>65</v>
          </cell>
          <cell r="O5011" t="str">
            <v>155(F)</v>
          </cell>
          <cell r="P5011" t="str">
            <v>270°</v>
          </cell>
          <cell r="Q5011" t="str">
            <v>TF</v>
          </cell>
          <cell r="R5011" t="str">
            <v>-</v>
          </cell>
          <cell r="S5011" t="str">
            <v>-</v>
          </cell>
          <cell r="T5011" t="str">
            <v>-</v>
          </cell>
          <cell r="U5011" t="str">
            <v>-</v>
          </cell>
          <cell r="V5011" t="str">
            <v>SS</v>
          </cell>
          <cell r="W5011" t="str">
            <v>-</v>
          </cell>
          <cell r="X5011" t="str">
            <v>CLP 220 (-15/+40°C)</v>
          </cell>
          <cell r="Y5011" t="str">
            <v>KH127DRN160L4 /TF</v>
          </cell>
          <cell r="Z5011" t="str">
            <v>SEW</v>
          </cell>
          <cell r="AB5011" t="str">
            <v>-</v>
          </cell>
          <cell r="AF5011">
            <v>16</v>
          </cell>
          <cell r="AG5011" t="str">
            <v>DRN160L4</v>
          </cell>
          <cell r="AH5011" t="str">
            <v>KH127-DRN160L4B270-X</v>
          </cell>
        </row>
        <row r="5012">
          <cell r="A5012" t="str">
            <v>MR005001</v>
          </cell>
          <cell r="B5012" t="str">
            <v>MR</v>
          </cell>
          <cell r="C5012">
            <v>9.1999999999999993</v>
          </cell>
          <cell r="D5012">
            <v>33</v>
          </cell>
          <cell r="E5012" t="str">
            <v>FH97</v>
          </cell>
          <cell r="F5012">
            <v>2650</v>
          </cell>
          <cell r="G5012">
            <v>44.49</v>
          </cell>
          <cell r="H5012">
            <v>1.6</v>
          </cell>
          <cell r="I5012" t="str">
            <v>M1</v>
          </cell>
          <cell r="J5012" t="str">
            <v>IE3</v>
          </cell>
          <cell r="K5012" t="str">
            <v>230/400</v>
          </cell>
          <cell r="L5012">
            <v>50</v>
          </cell>
          <cell r="M5012" t="str">
            <v>32,5/18,7</v>
          </cell>
          <cell r="N5012">
            <v>55</v>
          </cell>
          <cell r="O5012" t="str">
            <v>155(F)</v>
          </cell>
          <cell r="P5012" t="str">
            <v>270°</v>
          </cell>
          <cell r="Q5012" t="str">
            <v>TF</v>
          </cell>
          <cell r="R5012" t="str">
            <v>V(VE)</v>
          </cell>
          <cell r="S5012" t="str">
            <v>-</v>
          </cell>
          <cell r="T5012" t="str">
            <v>-</v>
          </cell>
          <cell r="U5012" t="str">
            <v>G</v>
          </cell>
          <cell r="V5012" t="str">
            <v>FC+R</v>
          </cell>
          <cell r="W5012" t="str">
            <v>-</v>
          </cell>
          <cell r="X5012" t="str">
            <v>CLP 220 (-15/+40°C)</v>
          </cell>
          <cell r="Y5012" t="str">
            <v>FH97/G DRN132L4 /TF/V</v>
          </cell>
          <cell r="Z5012" t="str">
            <v>SEW</v>
          </cell>
          <cell r="AB5012" t="str">
            <v>-</v>
          </cell>
          <cell r="AF5012">
            <v>33</v>
          </cell>
          <cell r="AG5012" t="str">
            <v>DRN132L4</v>
          </cell>
          <cell r="AH5012" t="str">
            <v>FH97G-DRN132L4270-X#</v>
          </cell>
        </row>
        <row r="5013">
          <cell r="A5013" t="str">
            <v>MR005002</v>
          </cell>
          <cell r="B5013" t="str">
            <v>MR</v>
          </cell>
          <cell r="C5013">
            <v>3</v>
          </cell>
          <cell r="D5013">
            <v>93</v>
          </cell>
          <cell r="E5013" t="str">
            <v>R77</v>
          </cell>
          <cell r="F5013">
            <v>305</v>
          </cell>
          <cell r="G5013">
            <v>15.6</v>
          </cell>
          <cell r="H5013">
            <v>1.8</v>
          </cell>
          <cell r="I5013" t="str">
            <v>M1</v>
          </cell>
          <cell r="J5013" t="str">
            <v>IE3</v>
          </cell>
          <cell r="K5013" t="str">
            <v>230/400</v>
          </cell>
          <cell r="L5013">
            <v>50</v>
          </cell>
          <cell r="M5013" t="str">
            <v>6,4/3,75</v>
          </cell>
          <cell r="N5013">
            <v>55</v>
          </cell>
          <cell r="O5013" t="str">
            <v>155(F)</v>
          </cell>
          <cell r="P5013" t="str">
            <v>270°</v>
          </cell>
          <cell r="Q5013" t="str">
            <v>TF</v>
          </cell>
          <cell r="R5013" t="str">
            <v>-</v>
          </cell>
          <cell r="S5013" t="str">
            <v>-</v>
          </cell>
          <cell r="T5013" t="str">
            <v>-</v>
          </cell>
          <cell r="U5013" t="str">
            <v>-</v>
          </cell>
          <cell r="V5013" t="str">
            <v>D</v>
          </cell>
          <cell r="W5013" t="str">
            <v>-</v>
          </cell>
          <cell r="X5013" t="str">
            <v>CLP HC 220 (-25/+60°C)</v>
          </cell>
          <cell r="Y5013" t="str">
            <v>R77/II2GD EDRN100L4/3D/TF/AL/C</v>
          </cell>
          <cell r="Z5013" t="str">
            <v>SEW</v>
          </cell>
          <cell r="AB5013" t="str">
            <v>ATEX22</v>
          </cell>
          <cell r="AF5013">
            <v>93</v>
          </cell>
          <cell r="AG5013" t="str">
            <v>EDRN100L4</v>
          </cell>
          <cell r="AH5013" t="str">
            <v>R77-EDRN100L4270-X</v>
          </cell>
        </row>
        <row r="5014">
          <cell r="A5014" t="str">
            <v>MR005003</v>
          </cell>
          <cell r="B5014" t="str">
            <v>MR</v>
          </cell>
          <cell r="C5014">
            <v>15</v>
          </cell>
          <cell r="D5014">
            <v>37</v>
          </cell>
          <cell r="E5014" t="str">
            <v>R107</v>
          </cell>
          <cell r="F5014">
            <v>3920</v>
          </cell>
          <cell r="G5014">
            <v>40.369999999999997</v>
          </cell>
          <cell r="H5014">
            <v>1.1000000000000001</v>
          </cell>
          <cell r="I5014" t="str">
            <v>M1</v>
          </cell>
          <cell r="J5014" t="str">
            <v>IE3</v>
          </cell>
          <cell r="K5014" t="str">
            <v>400/690</v>
          </cell>
          <cell r="L5014">
            <v>50</v>
          </cell>
          <cell r="M5014" t="str">
            <v>29,5/16,9</v>
          </cell>
          <cell r="N5014">
            <v>55</v>
          </cell>
          <cell r="O5014" t="str">
            <v>155(F)</v>
          </cell>
          <cell r="P5014" t="str">
            <v>270°</v>
          </cell>
          <cell r="Q5014" t="str">
            <v>TF</v>
          </cell>
          <cell r="R5014" t="str">
            <v>-</v>
          </cell>
          <cell r="S5014" t="str">
            <v>Free rotation CCW</v>
          </cell>
          <cell r="T5014" t="str">
            <v>-</v>
          </cell>
          <cell r="U5014" t="str">
            <v>-</v>
          </cell>
          <cell r="V5014" t="str">
            <v>SS</v>
          </cell>
          <cell r="W5014" t="str">
            <v>-</v>
          </cell>
          <cell r="X5014" t="str">
            <v>CLP HC 220 (-25/+60°C)</v>
          </cell>
          <cell r="Y5014" t="str">
            <v>R107EDRN160L4 /RS /TF</v>
          </cell>
          <cell r="Z5014" t="str">
            <v>SEW</v>
          </cell>
          <cell r="AB5014" t="str">
            <v>ATEX22</v>
          </cell>
          <cell r="AF5014">
            <v>37</v>
          </cell>
          <cell r="AG5014" t="str">
            <v>EDRN160L4</v>
          </cell>
          <cell r="AH5014" t="str">
            <v>R107-EDRN160L4270-X</v>
          </cell>
        </row>
        <row r="5015">
          <cell r="A5015" t="str">
            <v>MR005004</v>
          </cell>
          <cell r="B5015" t="str">
            <v>MR</v>
          </cell>
          <cell r="C5015">
            <v>7.5</v>
          </cell>
          <cell r="D5015">
            <v>63</v>
          </cell>
          <cell r="E5015" t="str">
            <v>R87</v>
          </cell>
          <cell r="F5015">
            <v>1140</v>
          </cell>
          <cell r="G5015">
            <v>23.4</v>
          </cell>
          <cell r="H5015">
            <v>1.05</v>
          </cell>
          <cell r="I5015" t="str">
            <v>M1</v>
          </cell>
          <cell r="J5015" t="str">
            <v>IE3</v>
          </cell>
          <cell r="K5015" t="str">
            <v>400/690</v>
          </cell>
          <cell r="L5015">
            <v>50</v>
          </cell>
          <cell r="M5015" t="str">
            <v>15,2/8,8</v>
          </cell>
          <cell r="N5015">
            <v>55</v>
          </cell>
          <cell r="O5015" t="str">
            <v>155(F)</v>
          </cell>
          <cell r="P5015" t="str">
            <v>270°</v>
          </cell>
          <cell r="Q5015" t="str">
            <v>TF</v>
          </cell>
          <cell r="R5015" t="str">
            <v>-</v>
          </cell>
          <cell r="S5015" t="str">
            <v>-</v>
          </cell>
          <cell r="T5015" t="str">
            <v>-</v>
          </cell>
          <cell r="U5015" t="str">
            <v>-</v>
          </cell>
          <cell r="V5015" t="str">
            <v>D</v>
          </cell>
          <cell r="W5015" t="str">
            <v>-</v>
          </cell>
          <cell r="X5015" t="str">
            <v>CLP HC 220 (-25/+60°C)</v>
          </cell>
          <cell r="Y5015" t="str">
            <v>R87EDRN132M4 /TF</v>
          </cell>
          <cell r="Z5015" t="str">
            <v>SEW</v>
          </cell>
          <cell r="AB5015" t="str">
            <v>ATEX22</v>
          </cell>
          <cell r="AF5015">
            <v>63</v>
          </cell>
          <cell r="AG5015" t="str">
            <v>EDRN132M4</v>
          </cell>
          <cell r="AH5015" t="str">
            <v>R87-EDRN132M4270-X</v>
          </cell>
        </row>
        <row r="5016">
          <cell r="A5016" t="str">
            <v>MR005005</v>
          </cell>
          <cell r="B5016" t="str">
            <v>MR</v>
          </cell>
          <cell r="C5016">
            <v>5.5</v>
          </cell>
          <cell r="D5016">
            <v>14</v>
          </cell>
          <cell r="E5016" t="str">
            <v>KH97</v>
          </cell>
          <cell r="F5016">
            <v>3770</v>
          </cell>
          <cell r="G5016">
            <v>105.13</v>
          </cell>
          <cell r="H5016">
            <v>1.1000000000000001</v>
          </cell>
          <cell r="I5016" t="str">
            <v>M1B</v>
          </cell>
          <cell r="J5016" t="str">
            <v>IE3</v>
          </cell>
          <cell r="K5016" t="str">
            <v>230/400</v>
          </cell>
          <cell r="L5016">
            <v>50</v>
          </cell>
          <cell r="M5016" t="str">
            <v>18,2/10,5</v>
          </cell>
          <cell r="N5016">
            <v>55</v>
          </cell>
          <cell r="O5016" t="str">
            <v>155(F)</v>
          </cell>
          <cell r="P5016" t="str">
            <v>0°</v>
          </cell>
          <cell r="Q5016" t="str">
            <v>TF</v>
          </cell>
          <cell r="R5016" t="str">
            <v>-</v>
          </cell>
          <cell r="S5016" t="str">
            <v>-</v>
          </cell>
          <cell r="T5016" t="str">
            <v>-</v>
          </cell>
          <cell r="U5016" t="str">
            <v>-</v>
          </cell>
          <cell r="V5016" t="str">
            <v>SS</v>
          </cell>
          <cell r="W5016" t="str">
            <v>-</v>
          </cell>
          <cell r="X5016" t="str">
            <v>CLP HC 220 (-25/+60°C)</v>
          </cell>
          <cell r="Y5016" t="str">
            <v>KH97EDRN132S4 /TF</v>
          </cell>
          <cell r="Z5016" t="str">
            <v>SEW</v>
          </cell>
          <cell r="AB5016" t="str">
            <v>ATEX22</v>
          </cell>
          <cell r="AF5016">
            <v>14</v>
          </cell>
          <cell r="AG5016" t="str">
            <v>EDRN132S4</v>
          </cell>
          <cell r="AH5016" t="str">
            <v>KH97-EDRN132S4B0-X</v>
          </cell>
        </row>
        <row r="5017">
          <cell r="A5017" t="str">
            <v>MR005006</v>
          </cell>
          <cell r="B5017" t="str">
            <v>MR</v>
          </cell>
          <cell r="C5017">
            <v>7.5</v>
          </cell>
          <cell r="D5017">
            <v>68</v>
          </cell>
          <cell r="E5017" t="str">
            <v>R87</v>
          </cell>
          <cell r="F5017">
            <v>1050</v>
          </cell>
          <cell r="G5017">
            <v>21.51</v>
          </cell>
          <cell r="H5017">
            <v>1.1499999999999999</v>
          </cell>
          <cell r="I5017" t="str">
            <v>From M1 to M2 - 10°</v>
          </cell>
          <cell r="J5017" t="str">
            <v>IE3</v>
          </cell>
          <cell r="K5017" t="str">
            <v>400/690</v>
          </cell>
          <cell r="L5017">
            <v>50</v>
          </cell>
          <cell r="M5017" t="str">
            <v>15,7/9</v>
          </cell>
          <cell r="N5017">
            <v>55</v>
          </cell>
          <cell r="O5017" t="str">
            <v>155(F)</v>
          </cell>
          <cell r="P5017" t="str">
            <v>270°</v>
          </cell>
          <cell r="Q5017" t="str">
            <v>TF</v>
          </cell>
          <cell r="R5017" t="str">
            <v>-</v>
          </cell>
          <cell r="S5017" t="str">
            <v>-</v>
          </cell>
          <cell r="T5017" t="str">
            <v>-</v>
          </cell>
          <cell r="U5017" t="str">
            <v>-</v>
          </cell>
          <cell r="V5017" t="str">
            <v>D</v>
          </cell>
          <cell r="W5017" t="str">
            <v>-</v>
          </cell>
          <cell r="X5017" t="str">
            <v>CLP HC 220 (-25/+60°C)</v>
          </cell>
          <cell r="Y5017" t="str">
            <v>R87EDRN132M4 /TF</v>
          </cell>
          <cell r="Z5017" t="str">
            <v>SEW</v>
          </cell>
          <cell r="AB5017" t="str">
            <v>ATEX22</v>
          </cell>
          <cell r="AF5017">
            <v>68</v>
          </cell>
          <cell r="AG5017" t="str">
            <v>EDRN132M4</v>
          </cell>
          <cell r="AH5017" t="str">
            <v>R87-EDRN132M4270-X</v>
          </cell>
        </row>
        <row r="5018">
          <cell r="A5018" t="str">
            <v>MR005007</v>
          </cell>
          <cell r="B5018" t="str">
            <v>MR</v>
          </cell>
          <cell r="C5018">
            <v>30</v>
          </cell>
          <cell r="D5018">
            <v>39</v>
          </cell>
          <cell r="E5018" t="str">
            <v>R137</v>
          </cell>
          <cell r="F5018">
            <v>7290</v>
          </cell>
          <cell r="G5018">
            <v>37.65</v>
          </cell>
          <cell r="H5018">
            <v>1</v>
          </cell>
          <cell r="I5018" t="str">
            <v>M1</v>
          </cell>
          <cell r="J5018" t="str">
            <v>IE3</v>
          </cell>
          <cell r="K5018" t="str">
            <v>400/690</v>
          </cell>
          <cell r="L5018">
            <v>50</v>
          </cell>
          <cell r="M5018" t="str">
            <v>56/32</v>
          </cell>
          <cell r="N5018">
            <v>55</v>
          </cell>
          <cell r="O5018" t="str">
            <v>155(F)</v>
          </cell>
          <cell r="P5018" t="str">
            <v>270°</v>
          </cell>
          <cell r="Q5018" t="str">
            <v>TF</v>
          </cell>
          <cell r="R5018" t="str">
            <v>-</v>
          </cell>
          <cell r="S5018" t="str">
            <v>Free rotation CCW</v>
          </cell>
          <cell r="T5018" t="str">
            <v>-</v>
          </cell>
          <cell r="U5018" t="str">
            <v>-</v>
          </cell>
          <cell r="V5018" t="str">
            <v>SS</v>
          </cell>
          <cell r="W5018" t="str">
            <v>-</v>
          </cell>
          <cell r="X5018" t="str">
            <v>CLP HC 220 (-25/+60°C)</v>
          </cell>
          <cell r="Y5018" t="str">
            <v>R137EDRN200L4 /RS /TF</v>
          </cell>
          <cell r="Z5018" t="str">
            <v>SEW</v>
          </cell>
          <cell r="AB5018" t="str">
            <v>ATEX22</v>
          </cell>
          <cell r="AF5018">
            <v>39</v>
          </cell>
          <cell r="AG5018" t="str">
            <v>EDRN200L4</v>
          </cell>
          <cell r="AH5018" t="str">
            <v>R137-EDRN200L4270-X</v>
          </cell>
        </row>
        <row r="5019">
          <cell r="A5019" t="str">
            <v>MR005008</v>
          </cell>
          <cell r="B5019" t="str">
            <v>MR</v>
          </cell>
          <cell r="C5019">
            <v>11</v>
          </cell>
          <cell r="D5019">
            <v>59</v>
          </cell>
          <cell r="E5019" t="str">
            <v>R107</v>
          </cell>
          <cell r="F5019">
            <v>1780</v>
          </cell>
          <cell r="G5019">
            <v>24.9</v>
          </cell>
          <cell r="H5019">
            <v>2.4</v>
          </cell>
          <cell r="I5019" t="str">
            <v>M1</v>
          </cell>
          <cell r="J5019" t="str">
            <v>IE3</v>
          </cell>
          <cell r="K5019" t="str">
            <v>400/690</v>
          </cell>
          <cell r="L5019">
            <v>50</v>
          </cell>
          <cell r="M5019" t="str">
            <v>21/12,1</v>
          </cell>
          <cell r="N5019">
            <v>55</v>
          </cell>
          <cell r="O5019" t="str">
            <v>155(F)</v>
          </cell>
          <cell r="P5019" t="str">
            <v>270°</v>
          </cell>
          <cell r="Q5019" t="str">
            <v>TF</v>
          </cell>
          <cell r="R5019" t="str">
            <v>-</v>
          </cell>
          <cell r="S5019" t="str">
            <v>-</v>
          </cell>
          <cell r="T5019" t="str">
            <v>-</v>
          </cell>
          <cell r="U5019" t="str">
            <v>-</v>
          </cell>
          <cell r="V5019" t="str">
            <v>D+R</v>
          </cell>
          <cell r="W5019" t="str">
            <v>-</v>
          </cell>
          <cell r="X5019" t="str">
            <v>CLP HC 220 (-25/+60°C)</v>
          </cell>
          <cell r="Y5019" t="str">
            <v>R107EDRN160M4 /TF</v>
          </cell>
          <cell r="Z5019" t="str">
            <v>SEW</v>
          </cell>
          <cell r="AB5019" t="str">
            <v>ATEX22</v>
          </cell>
          <cell r="AF5019">
            <v>59</v>
          </cell>
          <cell r="AG5019" t="str">
            <v>EDRN160M4</v>
          </cell>
          <cell r="AH5019" t="str">
            <v>R107-EDRN160M4270-X</v>
          </cell>
        </row>
        <row r="5020">
          <cell r="A5020" t="str">
            <v>MR005009</v>
          </cell>
          <cell r="B5020" t="str">
            <v>MR</v>
          </cell>
          <cell r="C5020">
            <v>5.5</v>
          </cell>
          <cell r="D5020">
            <v>68</v>
          </cell>
          <cell r="E5020" t="str">
            <v>R87</v>
          </cell>
          <cell r="F5020">
            <v>770</v>
          </cell>
          <cell r="G5020">
            <v>21.51</v>
          </cell>
          <cell r="H5020">
            <v>1.95</v>
          </cell>
          <cell r="I5020" t="str">
            <v>M1</v>
          </cell>
          <cell r="J5020" t="str">
            <v>IE3</v>
          </cell>
          <cell r="K5020" t="str">
            <v>230/400</v>
          </cell>
          <cell r="L5020">
            <v>50</v>
          </cell>
          <cell r="M5020" t="str">
            <v>18,2/10,5</v>
          </cell>
          <cell r="N5020">
            <v>55</v>
          </cell>
          <cell r="O5020" t="str">
            <v>155(F)</v>
          </cell>
          <cell r="P5020" t="str">
            <v>270°</v>
          </cell>
          <cell r="Q5020" t="str">
            <v>TF</v>
          </cell>
          <cell r="R5020" t="str">
            <v>-</v>
          </cell>
          <cell r="S5020" t="str">
            <v>-</v>
          </cell>
          <cell r="T5020" t="str">
            <v>-</v>
          </cell>
          <cell r="U5020" t="str">
            <v>-</v>
          </cell>
          <cell r="V5020" t="str">
            <v>D+R</v>
          </cell>
          <cell r="W5020" t="str">
            <v>-</v>
          </cell>
          <cell r="X5020" t="str">
            <v>CLP HC 220 (-25/+60°C)</v>
          </cell>
          <cell r="Y5020" t="str">
            <v>R87EDRN132S4 /TF</v>
          </cell>
          <cell r="Z5020" t="str">
            <v>SEW</v>
          </cell>
          <cell r="AB5020" t="str">
            <v>ATEX22</v>
          </cell>
          <cell r="AF5020">
            <v>68</v>
          </cell>
          <cell r="AG5020" t="str">
            <v>EDRN132S4</v>
          </cell>
          <cell r="AH5020" t="str">
            <v>R87-EDRN132S4270-X</v>
          </cell>
        </row>
        <row r="5021">
          <cell r="A5021" t="str">
            <v>MR005010</v>
          </cell>
          <cell r="B5021" t="str">
            <v>MR</v>
          </cell>
          <cell r="C5021">
            <v>4</v>
          </cell>
          <cell r="D5021">
            <v>68</v>
          </cell>
          <cell r="E5021" t="str">
            <v>R87</v>
          </cell>
          <cell r="F5021">
            <v>560</v>
          </cell>
          <cell r="G5021">
            <v>21.51</v>
          </cell>
          <cell r="H5021">
            <v>2.1</v>
          </cell>
          <cell r="I5021" t="str">
            <v>M1</v>
          </cell>
          <cell r="J5021" t="str">
            <v>IE3</v>
          </cell>
          <cell r="K5021" t="str">
            <v>230/400</v>
          </cell>
          <cell r="L5021">
            <v>50</v>
          </cell>
          <cell r="M5021" t="str">
            <v>7,9/4,6</v>
          </cell>
          <cell r="N5021">
            <v>55</v>
          </cell>
          <cell r="O5021" t="str">
            <v>155(F)</v>
          </cell>
          <cell r="P5021" t="str">
            <v>270°</v>
          </cell>
          <cell r="Q5021" t="str">
            <v>TF</v>
          </cell>
          <cell r="R5021" t="str">
            <v>-</v>
          </cell>
          <cell r="S5021" t="str">
            <v>-</v>
          </cell>
          <cell r="T5021" t="str">
            <v>-</v>
          </cell>
          <cell r="U5021" t="str">
            <v>-</v>
          </cell>
          <cell r="V5021" t="str">
            <v>D+R</v>
          </cell>
          <cell r="W5021" t="str">
            <v>-</v>
          </cell>
          <cell r="X5021" t="str">
            <v>CLP HC 220 (-25/+60°C)</v>
          </cell>
          <cell r="Y5021" t="str">
            <v>R87EDRN112M4 /TF</v>
          </cell>
          <cell r="Z5021" t="str">
            <v>SEW</v>
          </cell>
          <cell r="AB5021" t="str">
            <v>ATEX22</v>
          </cell>
          <cell r="AF5021">
            <v>68</v>
          </cell>
          <cell r="AG5021" t="str">
            <v>EDRN112M4</v>
          </cell>
          <cell r="AH5021" t="str">
            <v>R87-EDRN112M4270-X</v>
          </cell>
        </row>
        <row r="5022">
          <cell r="A5022" t="str">
            <v>MR005011</v>
          </cell>
          <cell r="B5022" t="str">
            <v>MR</v>
          </cell>
          <cell r="C5022">
            <v>11</v>
          </cell>
          <cell r="D5022">
            <v>15</v>
          </cell>
          <cell r="E5022" t="str">
            <v>KH107</v>
          </cell>
          <cell r="F5022">
            <v>7180</v>
          </cell>
          <cell r="G5022">
            <v>100.75</v>
          </cell>
          <cell r="H5022">
            <v>1.05</v>
          </cell>
          <cell r="I5022" t="str">
            <v>From M1A to M2A - 35°</v>
          </cell>
          <cell r="J5022" t="str">
            <v>IE3</v>
          </cell>
          <cell r="K5022" t="str">
            <v>400/690</v>
          </cell>
          <cell r="L5022">
            <v>50</v>
          </cell>
          <cell r="M5022" t="str">
            <v>36,5/21</v>
          </cell>
          <cell r="N5022">
            <v>55</v>
          </cell>
          <cell r="O5022" t="str">
            <v>155(F)</v>
          </cell>
          <cell r="P5022" t="str">
            <v>180°</v>
          </cell>
          <cell r="Q5022" t="str">
            <v>TF</v>
          </cell>
          <cell r="R5022" t="str">
            <v>V(VE)</v>
          </cell>
          <cell r="S5022" t="str">
            <v>-</v>
          </cell>
          <cell r="T5022" t="str">
            <v>-</v>
          </cell>
          <cell r="U5022" t="str">
            <v>-</v>
          </cell>
          <cell r="V5022" t="str">
            <v>FC</v>
          </cell>
          <cell r="W5022" t="str">
            <v>-</v>
          </cell>
          <cell r="X5022" t="str">
            <v>CLP HC 220 (-25/+60°C)</v>
          </cell>
          <cell r="Y5022" t="str">
            <v>KH107EDRN160M4 /TF/VE</v>
          </cell>
          <cell r="Z5022" t="str">
            <v>SEW</v>
          </cell>
          <cell r="AB5022" t="str">
            <v>ATEX22</v>
          </cell>
          <cell r="AF5022">
            <v>15</v>
          </cell>
          <cell r="AG5022" t="str">
            <v>EDRN160M4</v>
          </cell>
          <cell r="AH5022" t="str">
            <v>KH107-EDRN160M4A180-X#</v>
          </cell>
        </row>
        <row r="5023">
          <cell r="A5023" t="str">
            <v>MR005012</v>
          </cell>
          <cell r="B5023" t="str">
            <v>MR</v>
          </cell>
          <cell r="C5023">
            <v>11</v>
          </cell>
          <cell r="D5023">
            <v>15</v>
          </cell>
          <cell r="E5023" t="str">
            <v>KH107</v>
          </cell>
          <cell r="F5023">
            <v>7180</v>
          </cell>
          <cell r="G5023">
            <v>100.75</v>
          </cell>
          <cell r="H5023">
            <v>1.05</v>
          </cell>
          <cell r="I5023" t="str">
            <v>From M1B to M2B - 35°</v>
          </cell>
          <cell r="J5023" t="str">
            <v>IE3</v>
          </cell>
          <cell r="K5023" t="str">
            <v>400/690</v>
          </cell>
          <cell r="L5023">
            <v>50</v>
          </cell>
          <cell r="M5023" t="str">
            <v>36,5/21</v>
          </cell>
          <cell r="N5023">
            <v>55</v>
          </cell>
          <cell r="O5023" t="str">
            <v>155(F)</v>
          </cell>
          <cell r="P5023" t="str">
            <v>0°</v>
          </cell>
          <cell r="Q5023" t="str">
            <v>TF</v>
          </cell>
          <cell r="R5023" t="str">
            <v>V(VE)</v>
          </cell>
          <cell r="S5023" t="str">
            <v>-</v>
          </cell>
          <cell r="T5023" t="str">
            <v>-</v>
          </cell>
          <cell r="U5023" t="str">
            <v>-</v>
          </cell>
          <cell r="V5023" t="str">
            <v>FC</v>
          </cell>
          <cell r="W5023" t="str">
            <v>-</v>
          </cell>
          <cell r="X5023" t="str">
            <v>CLP HC 220 (-25/+60°C)</v>
          </cell>
          <cell r="Y5023" t="str">
            <v>KH107EDRN160M4 /TF/VE</v>
          </cell>
          <cell r="Z5023" t="str">
            <v>SEW</v>
          </cell>
          <cell r="AB5023" t="str">
            <v>ATEX22</v>
          </cell>
          <cell r="AF5023">
            <v>15</v>
          </cell>
          <cell r="AG5023" t="str">
            <v>EDRN160M4</v>
          </cell>
          <cell r="AH5023" t="str">
            <v>KH107-EDRN160M4B0-X#</v>
          </cell>
        </row>
        <row r="5024">
          <cell r="A5024" t="str">
            <v>MR005013</v>
          </cell>
          <cell r="B5024" t="str">
            <v>MR</v>
          </cell>
          <cell r="C5024">
            <v>2.2000000000000002</v>
          </cell>
          <cell r="D5024">
            <v>15</v>
          </cell>
          <cell r="E5024" t="str">
            <v>KH77</v>
          </cell>
          <cell r="F5024">
            <v>1410</v>
          </cell>
          <cell r="G5024">
            <v>97.05</v>
          </cell>
          <cell r="H5024">
            <v>1.05</v>
          </cell>
          <cell r="I5024" t="str">
            <v>M4B</v>
          </cell>
          <cell r="J5024" t="str">
            <v>IE3</v>
          </cell>
          <cell r="K5024" t="str">
            <v>230/400</v>
          </cell>
          <cell r="L5024">
            <v>50</v>
          </cell>
          <cell r="M5024" t="str">
            <v>8,3/4,8</v>
          </cell>
          <cell r="N5024">
            <v>55</v>
          </cell>
          <cell r="O5024" t="str">
            <v>155(F)</v>
          </cell>
          <cell r="P5024" t="str">
            <v>270°</v>
          </cell>
          <cell r="Q5024" t="str">
            <v>TF</v>
          </cell>
          <cell r="R5024" t="str">
            <v>V(VE)</v>
          </cell>
          <cell r="S5024" t="str">
            <v>-</v>
          </cell>
          <cell r="T5024" t="str">
            <v>-</v>
          </cell>
          <cell r="U5024" t="str">
            <v>-</v>
          </cell>
          <cell r="V5024" t="str">
            <v>FC</v>
          </cell>
          <cell r="W5024" t="str">
            <v>-</v>
          </cell>
          <cell r="X5024" t="str">
            <v>CLP HC 220 (-25/+60°C)</v>
          </cell>
          <cell r="Y5024" t="str">
            <v>KH77EDRN100LS4 /TF/VE</v>
          </cell>
          <cell r="Z5024" t="str">
            <v>SEW</v>
          </cell>
          <cell r="AB5024" t="str">
            <v>ATEX22</v>
          </cell>
          <cell r="AF5024">
            <v>15</v>
          </cell>
          <cell r="AG5024" t="str">
            <v>EDRN100LS4</v>
          </cell>
          <cell r="AH5024" t="str">
            <v>KH77-EDRN100LS4B270-X#</v>
          </cell>
        </row>
        <row r="5025">
          <cell r="A5025" t="str">
            <v>MR005014</v>
          </cell>
          <cell r="B5025" t="str">
            <v>MR</v>
          </cell>
          <cell r="C5025">
            <v>11</v>
          </cell>
          <cell r="D5025">
            <v>42</v>
          </cell>
          <cell r="E5025" t="str">
            <v>R107</v>
          </cell>
          <cell r="F5025">
            <v>2510</v>
          </cell>
          <cell r="G5025">
            <v>35.26</v>
          </cell>
          <cell r="H5025">
            <v>1.65</v>
          </cell>
          <cell r="I5025" t="str">
            <v>M1</v>
          </cell>
          <cell r="J5025" t="str">
            <v>IE3</v>
          </cell>
          <cell r="K5025" t="str">
            <v>400/690</v>
          </cell>
          <cell r="L5025">
            <v>50</v>
          </cell>
          <cell r="M5025" t="str">
            <v>36,5/21</v>
          </cell>
          <cell r="N5025">
            <v>55</v>
          </cell>
          <cell r="O5025" t="str">
            <v>155(F)</v>
          </cell>
          <cell r="P5025" t="str">
            <v>270°</v>
          </cell>
          <cell r="Q5025" t="str">
            <v>TF</v>
          </cell>
          <cell r="R5025" t="str">
            <v>V(VE)</v>
          </cell>
          <cell r="S5025" t="str">
            <v>-</v>
          </cell>
          <cell r="T5025" t="str">
            <v>-</v>
          </cell>
          <cell r="U5025" t="str">
            <v>-</v>
          </cell>
          <cell r="V5025" t="str">
            <v>FC</v>
          </cell>
          <cell r="W5025" t="str">
            <v>-</v>
          </cell>
          <cell r="X5025" t="str">
            <v>CLP HC 220 (-25/+60°C)</v>
          </cell>
          <cell r="Y5025" t="str">
            <v>R107EDRN160M4 /TF/VE</v>
          </cell>
          <cell r="Z5025" t="str">
            <v>SEW</v>
          </cell>
          <cell r="AB5025" t="str">
            <v>ATEX22</v>
          </cell>
          <cell r="AF5025">
            <v>42</v>
          </cell>
          <cell r="AG5025" t="str">
            <v>EDRN160M4</v>
          </cell>
          <cell r="AH5025" t="str">
            <v>R107-EDRN160M4270-X#</v>
          </cell>
        </row>
        <row r="5026">
          <cell r="A5026" t="str">
            <v>MR005015</v>
          </cell>
          <cell r="B5026" t="str">
            <v>MR</v>
          </cell>
          <cell r="C5026">
            <v>4</v>
          </cell>
          <cell r="D5026">
            <v>68</v>
          </cell>
          <cell r="E5026" t="str">
            <v>R87</v>
          </cell>
          <cell r="F5026">
            <v>560</v>
          </cell>
          <cell r="G5026">
            <v>21.51</v>
          </cell>
          <cell r="H5026">
            <v>2.1</v>
          </cell>
          <cell r="I5026" t="str">
            <v>M1</v>
          </cell>
          <cell r="J5026" t="str">
            <v>IE3</v>
          </cell>
          <cell r="K5026" t="str">
            <v>230/400</v>
          </cell>
          <cell r="L5026">
            <v>50</v>
          </cell>
          <cell r="M5026" t="str">
            <v>13,8/8</v>
          </cell>
          <cell r="N5026">
            <v>55</v>
          </cell>
          <cell r="O5026" t="str">
            <v>155(F)</v>
          </cell>
          <cell r="P5026" t="str">
            <v>270°</v>
          </cell>
          <cell r="Q5026" t="str">
            <v>TF</v>
          </cell>
          <cell r="R5026" t="str">
            <v>-</v>
          </cell>
          <cell r="S5026" t="str">
            <v>-</v>
          </cell>
          <cell r="T5026" t="str">
            <v>-</v>
          </cell>
          <cell r="U5026" t="str">
            <v>-</v>
          </cell>
          <cell r="V5026" t="str">
            <v>D</v>
          </cell>
          <cell r="W5026" t="str">
            <v>-</v>
          </cell>
          <cell r="X5026" t="str">
            <v>CLP HC 220 (-25/+60°C)</v>
          </cell>
          <cell r="Y5026" t="str">
            <v>R87EDRN112M4 /TF</v>
          </cell>
          <cell r="Z5026" t="str">
            <v>SEW</v>
          </cell>
          <cell r="AB5026" t="str">
            <v>ATEX22</v>
          </cell>
          <cell r="AF5026">
            <v>68</v>
          </cell>
          <cell r="AG5026" t="str">
            <v>EDRN112M4</v>
          </cell>
          <cell r="AH5026" t="str">
            <v>R87-EDRN112M4270-X</v>
          </cell>
        </row>
        <row r="5027">
          <cell r="A5027" t="str">
            <v>MR005016</v>
          </cell>
          <cell r="B5027" t="str">
            <v>MR</v>
          </cell>
          <cell r="C5027">
            <v>5.5</v>
          </cell>
          <cell r="D5027">
            <v>14</v>
          </cell>
          <cell r="E5027" t="str">
            <v>KH97</v>
          </cell>
          <cell r="F5027">
            <v>3770</v>
          </cell>
          <cell r="G5027">
            <v>105.13</v>
          </cell>
          <cell r="H5027">
            <v>1.1000000000000001</v>
          </cell>
          <cell r="I5027" t="str">
            <v>From M1A to M2A - 40°</v>
          </cell>
          <cell r="J5027" t="str">
            <v>IE3</v>
          </cell>
          <cell r="K5027" t="str">
            <v>230/400</v>
          </cell>
          <cell r="L5027">
            <v>50</v>
          </cell>
          <cell r="M5027" t="str">
            <v>18,2/10,5</v>
          </cell>
          <cell r="N5027">
            <v>55</v>
          </cell>
          <cell r="O5027" t="str">
            <v>155(F)</v>
          </cell>
          <cell r="P5027" t="str">
            <v>180°</v>
          </cell>
          <cell r="Q5027" t="str">
            <v>TF</v>
          </cell>
          <cell r="R5027" t="str">
            <v>-</v>
          </cell>
          <cell r="S5027" t="str">
            <v>-</v>
          </cell>
          <cell r="T5027" t="str">
            <v>-</v>
          </cell>
          <cell r="U5027" t="str">
            <v>-</v>
          </cell>
          <cell r="V5027" t="str">
            <v>SS</v>
          </cell>
          <cell r="W5027" t="str">
            <v>-</v>
          </cell>
          <cell r="X5027" t="str">
            <v>CLP HC 220 (-25/+60°C)</v>
          </cell>
          <cell r="Y5027" t="str">
            <v>KH97EDRN132S4 /TF</v>
          </cell>
          <cell r="Z5027" t="str">
            <v>SEW</v>
          </cell>
          <cell r="AB5027" t="str">
            <v>ATEX22</v>
          </cell>
          <cell r="AF5027">
            <v>14</v>
          </cell>
          <cell r="AG5027" t="str">
            <v>EDRN132S4</v>
          </cell>
          <cell r="AH5027" t="str">
            <v>KH97-EDRN132S4A180-X</v>
          </cell>
        </row>
        <row r="5028">
          <cell r="A5028" t="str">
            <v>MR005017</v>
          </cell>
          <cell r="B5028" t="str">
            <v>MR</v>
          </cell>
          <cell r="C5028">
            <v>5.5</v>
          </cell>
          <cell r="D5028">
            <v>14</v>
          </cell>
          <cell r="E5028" t="str">
            <v>KH97</v>
          </cell>
          <cell r="F5028">
            <v>3770</v>
          </cell>
          <cell r="G5028">
            <v>105.13</v>
          </cell>
          <cell r="H5028">
            <v>1.1000000000000001</v>
          </cell>
          <cell r="I5028" t="str">
            <v>From M1B to M2B - 40°</v>
          </cell>
          <cell r="J5028" t="str">
            <v>IE3</v>
          </cell>
          <cell r="K5028" t="str">
            <v>230/400</v>
          </cell>
          <cell r="L5028">
            <v>50</v>
          </cell>
          <cell r="M5028" t="str">
            <v>18,2/10,5</v>
          </cell>
          <cell r="N5028">
            <v>55</v>
          </cell>
          <cell r="O5028" t="str">
            <v>155(F)</v>
          </cell>
          <cell r="P5028" t="str">
            <v>0°</v>
          </cell>
          <cell r="Q5028" t="str">
            <v>TF</v>
          </cell>
          <cell r="R5028" t="str">
            <v>-</v>
          </cell>
          <cell r="S5028" t="str">
            <v>-</v>
          </cell>
          <cell r="T5028" t="str">
            <v>-</v>
          </cell>
          <cell r="U5028" t="str">
            <v>-</v>
          </cell>
          <cell r="V5028" t="str">
            <v>SS</v>
          </cell>
          <cell r="W5028" t="str">
            <v>-</v>
          </cell>
          <cell r="X5028" t="str">
            <v>CLP HC 220 (-25/+60°C)</v>
          </cell>
          <cell r="Y5028" t="str">
            <v>KH97EDRN132S4 /TF</v>
          </cell>
          <cell r="Z5028" t="str">
            <v>SEW</v>
          </cell>
          <cell r="AB5028" t="str">
            <v>ATEX22</v>
          </cell>
          <cell r="AF5028">
            <v>14</v>
          </cell>
          <cell r="AG5028" t="str">
            <v>EDRN132S4</v>
          </cell>
          <cell r="AH5028" t="str">
            <v>KH97-EDRN132S4B0-X</v>
          </cell>
        </row>
        <row r="5029">
          <cell r="A5029" t="str">
            <v>MR005018</v>
          </cell>
          <cell r="B5029" t="str">
            <v>MR</v>
          </cell>
          <cell r="C5029">
            <v>4</v>
          </cell>
          <cell r="D5029">
            <v>68</v>
          </cell>
          <cell r="E5029" t="str">
            <v>R87</v>
          </cell>
          <cell r="F5029">
            <v>560</v>
          </cell>
          <cell r="G5029">
            <v>21.51</v>
          </cell>
          <cell r="H5029">
            <v>2.1</v>
          </cell>
          <cell r="I5029" t="str">
            <v>From M1 to M4 - 10°</v>
          </cell>
          <cell r="J5029" t="str">
            <v>IE3</v>
          </cell>
          <cell r="K5029" t="str">
            <v>230/400</v>
          </cell>
          <cell r="L5029">
            <v>50</v>
          </cell>
          <cell r="M5029" t="str">
            <v>7,9/4,6</v>
          </cell>
          <cell r="N5029">
            <v>55</v>
          </cell>
          <cell r="O5029" t="str">
            <v>155(F)</v>
          </cell>
          <cell r="P5029" t="str">
            <v>270°</v>
          </cell>
          <cell r="Q5029" t="str">
            <v>TF</v>
          </cell>
          <cell r="R5029" t="str">
            <v>-</v>
          </cell>
          <cell r="S5029" t="str">
            <v>-</v>
          </cell>
          <cell r="T5029" t="str">
            <v>-</v>
          </cell>
          <cell r="U5029" t="str">
            <v>-</v>
          </cell>
          <cell r="V5029" t="str">
            <v>D</v>
          </cell>
          <cell r="W5029" t="str">
            <v>-</v>
          </cell>
          <cell r="X5029" t="str">
            <v>CLP HC 220 (-25/+60°C)</v>
          </cell>
          <cell r="Y5029" t="str">
            <v>R87EDRN112M4 /TF</v>
          </cell>
          <cell r="Z5029" t="str">
            <v>SEW</v>
          </cell>
          <cell r="AB5029" t="str">
            <v>ATEX22</v>
          </cell>
          <cell r="AF5029">
            <v>68</v>
          </cell>
          <cell r="AG5029" t="str">
            <v>EDRN112M4</v>
          </cell>
          <cell r="AH5029" t="str">
            <v>R87-EDRN112M4270-X</v>
          </cell>
        </row>
        <row r="5030">
          <cell r="A5030" t="str">
            <v>MR005019</v>
          </cell>
          <cell r="B5030" t="str">
            <v>MR</v>
          </cell>
          <cell r="C5030">
            <v>18.5</v>
          </cell>
          <cell r="D5030">
            <v>16</v>
          </cell>
          <cell r="E5030" t="str">
            <v>KH127</v>
          </cell>
          <cell r="F5030">
            <v>10700</v>
          </cell>
          <cell r="G5030">
            <v>89.89</v>
          </cell>
          <cell r="H5030">
            <v>1.2</v>
          </cell>
          <cell r="I5030" t="str">
            <v>From M1A to M2A - 15°</v>
          </cell>
          <cell r="J5030" t="str">
            <v>IE3</v>
          </cell>
          <cell r="K5030" t="str">
            <v>400/690</v>
          </cell>
          <cell r="L5030">
            <v>50</v>
          </cell>
          <cell r="M5030" t="str">
            <v>35/20</v>
          </cell>
          <cell r="N5030">
            <v>55</v>
          </cell>
          <cell r="O5030" t="str">
            <v>155(F)</v>
          </cell>
          <cell r="P5030" t="str">
            <v>180°</v>
          </cell>
          <cell r="Q5030" t="str">
            <v>TF</v>
          </cell>
          <cell r="R5030" t="str">
            <v>V(VE)</v>
          </cell>
          <cell r="S5030" t="str">
            <v>-</v>
          </cell>
          <cell r="T5030" t="str">
            <v>-</v>
          </cell>
          <cell r="U5030" t="str">
            <v>-</v>
          </cell>
          <cell r="V5030" t="str">
            <v>FC</v>
          </cell>
          <cell r="W5030" t="str">
            <v>-</v>
          </cell>
          <cell r="X5030" t="str">
            <v>CLP HC 220 (-25/+60°C)</v>
          </cell>
          <cell r="Y5030" t="str">
            <v>KH127EDRN180M4 /TF/VE</v>
          </cell>
          <cell r="Z5030" t="str">
            <v>SEW</v>
          </cell>
          <cell r="AB5030" t="str">
            <v>ATEX22</v>
          </cell>
          <cell r="AF5030">
            <v>16</v>
          </cell>
          <cell r="AG5030" t="str">
            <v>EDRN180M4</v>
          </cell>
          <cell r="AH5030" t="str">
            <v>KH127-EDRN180M4A180-X#</v>
          </cell>
        </row>
        <row r="5031">
          <cell r="A5031" t="str">
            <v>MR005020</v>
          </cell>
          <cell r="B5031" t="str">
            <v>MR</v>
          </cell>
          <cell r="C5031">
            <v>18.5</v>
          </cell>
          <cell r="D5031">
            <v>16</v>
          </cell>
          <cell r="E5031" t="str">
            <v>KH127</v>
          </cell>
          <cell r="F5031">
            <v>10700</v>
          </cell>
          <cell r="G5031">
            <v>89.89</v>
          </cell>
          <cell r="H5031">
            <v>1.2</v>
          </cell>
          <cell r="I5031" t="str">
            <v>From M1B to M2B - 15°</v>
          </cell>
          <cell r="J5031" t="str">
            <v>IE3</v>
          </cell>
          <cell r="K5031" t="str">
            <v>400/690</v>
          </cell>
          <cell r="L5031">
            <v>50</v>
          </cell>
          <cell r="M5031" t="str">
            <v>35/20</v>
          </cell>
          <cell r="N5031">
            <v>55</v>
          </cell>
          <cell r="O5031" t="str">
            <v>155(F)</v>
          </cell>
          <cell r="P5031" t="str">
            <v>180°</v>
          </cell>
          <cell r="Q5031" t="str">
            <v>TF</v>
          </cell>
          <cell r="R5031" t="str">
            <v>V(VE)</v>
          </cell>
          <cell r="S5031" t="str">
            <v>-</v>
          </cell>
          <cell r="T5031" t="str">
            <v>-</v>
          </cell>
          <cell r="U5031" t="str">
            <v>-</v>
          </cell>
          <cell r="V5031" t="str">
            <v>FC</v>
          </cell>
          <cell r="W5031" t="str">
            <v>-</v>
          </cell>
          <cell r="X5031" t="str">
            <v>CLP HC 220 (-25/+60°C)</v>
          </cell>
          <cell r="Y5031" t="str">
            <v>KH127EDRN180M4 /TF/VE</v>
          </cell>
          <cell r="Z5031" t="str">
            <v>SEW</v>
          </cell>
          <cell r="AB5031" t="str">
            <v>ATEX22</v>
          </cell>
          <cell r="AF5031">
            <v>16</v>
          </cell>
          <cell r="AG5031" t="str">
            <v>EDRN180M4</v>
          </cell>
          <cell r="AH5031" t="str">
            <v>KH127-EDRN180M4B180-X#</v>
          </cell>
        </row>
        <row r="5032">
          <cell r="A5032" t="str">
            <v>MR005021</v>
          </cell>
          <cell r="B5032" t="str">
            <v>MR</v>
          </cell>
          <cell r="C5032">
            <v>15</v>
          </cell>
          <cell r="D5032">
            <v>16</v>
          </cell>
          <cell r="E5032" t="str">
            <v>KH127</v>
          </cell>
          <cell r="F5032">
            <v>8740</v>
          </cell>
          <cell r="G5032">
            <v>89.89</v>
          </cell>
          <cell r="H5032">
            <v>1.5</v>
          </cell>
          <cell r="I5032" t="str">
            <v>M1B</v>
          </cell>
          <cell r="J5032" t="str">
            <v>IE3</v>
          </cell>
          <cell r="K5032" t="str">
            <v>400/690</v>
          </cell>
          <cell r="L5032">
            <v>50</v>
          </cell>
          <cell r="M5032" t="str">
            <v>29,5/16,9</v>
          </cell>
          <cell r="N5032">
            <v>55</v>
          </cell>
          <cell r="O5032" t="str">
            <v>155(F)</v>
          </cell>
          <cell r="P5032" t="str">
            <v>0°</v>
          </cell>
          <cell r="Q5032" t="str">
            <v>TF</v>
          </cell>
          <cell r="R5032" t="str">
            <v>-</v>
          </cell>
          <cell r="S5032" t="str">
            <v>-</v>
          </cell>
          <cell r="T5032" t="str">
            <v>-</v>
          </cell>
          <cell r="U5032" t="str">
            <v>-</v>
          </cell>
          <cell r="V5032" t="str">
            <v>SS</v>
          </cell>
          <cell r="W5032" t="str">
            <v>-</v>
          </cell>
          <cell r="X5032" t="str">
            <v>CLP HC 220 (-25/+60°C)</v>
          </cell>
          <cell r="Y5032" t="str">
            <v>KH127EDRN160L4 /TF</v>
          </cell>
          <cell r="Z5032" t="str">
            <v>SEW</v>
          </cell>
          <cell r="AB5032" t="str">
            <v>ATEX22</v>
          </cell>
          <cell r="AF5032">
            <v>16</v>
          </cell>
          <cell r="AG5032" t="str">
            <v>EDRN160L4</v>
          </cell>
          <cell r="AH5032" t="str">
            <v>KH127-EDRN160L4B0-X</v>
          </cell>
        </row>
        <row r="5033">
          <cell r="A5033" t="str">
            <v>MR005022</v>
          </cell>
          <cell r="B5033" t="str">
            <v>MR</v>
          </cell>
          <cell r="C5033">
            <v>7.5</v>
          </cell>
          <cell r="D5033">
            <v>15</v>
          </cell>
          <cell r="E5033" t="str">
            <v>KH107</v>
          </cell>
          <cell r="F5033">
            <v>4920</v>
          </cell>
          <cell r="G5033">
            <v>100.75</v>
          </cell>
          <cell r="H5033">
            <v>1.5</v>
          </cell>
          <cell r="I5033" t="str">
            <v>From M1B to M2B - 20°</v>
          </cell>
          <cell r="J5033" t="str">
            <v>IE3</v>
          </cell>
          <cell r="K5033" t="str">
            <v>400/690</v>
          </cell>
          <cell r="L5033">
            <v>50</v>
          </cell>
          <cell r="M5033" t="str">
            <v>15,2/8,8</v>
          </cell>
          <cell r="N5033">
            <v>55</v>
          </cell>
          <cell r="O5033" t="str">
            <v>155(F)</v>
          </cell>
          <cell r="P5033" t="str">
            <v>0°</v>
          </cell>
          <cell r="Q5033" t="str">
            <v>TF</v>
          </cell>
          <cell r="R5033" t="str">
            <v>-</v>
          </cell>
          <cell r="S5033" t="str">
            <v>-</v>
          </cell>
          <cell r="T5033" t="str">
            <v>-</v>
          </cell>
          <cell r="U5033" t="str">
            <v>-</v>
          </cell>
          <cell r="V5033" t="str">
            <v>SS</v>
          </cell>
          <cell r="W5033" t="str">
            <v>-</v>
          </cell>
          <cell r="X5033" t="str">
            <v>CLP HC 220 (-25/+60°C)</v>
          </cell>
          <cell r="Y5033" t="str">
            <v>KH107EDRN132M4 /TF</v>
          </cell>
          <cell r="Z5033" t="str">
            <v>SEW</v>
          </cell>
          <cell r="AB5033" t="str">
            <v>ATEX22</v>
          </cell>
          <cell r="AF5033">
            <v>15</v>
          </cell>
          <cell r="AG5033" t="str">
            <v>EDRN132M4</v>
          </cell>
          <cell r="AH5033" t="str">
            <v>KH107-EDRN132M4B0-X</v>
          </cell>
        </row>
        <row r="5034">
          <cell r="A5034" t="str">
            <v>MR005023</v>
          </cell>
          <cell r="B5034" t="str">
            <v>MR</v>
          </cell>
          <cell r="C5034">
            <v>5.5</v>
          </cell>
          <cell r="D5034">
            <v>57</v>
          </cell>
          <cell r="E5034" t="str">
            <v>KH77</v>
          </cell>
          <cell r="F5034">
            <v>920</v>
          </cell>
          <cell r="G5034">
            <v>25.62</v>
          </cell>
          <cell r="H5034">
            <v>1.7</v>
          </cell>
          <cell r="I5034" t="str">
            <v>From M4A to M1A - 15°</v>
          </cell>
          <cell r="J5034" t="str">
            <v>IE3</v>
          </cell>
          <cell r="K5034" t="str">
            <v>230/400</v>
          </cell>
          <cell r="L5034">
            <v>50</v>
          </cell>
          <cell r="M5034" t="str">
            <v>19,3/11,1</v>
          </cell>
          <cell r="N5034">
            <v>55</v>
          </cell>
          <cell r="O5034" t="str">
            <v>155(F)</v>
          </cell>
          <cell r="P5034" t="str">
            <v>270°</v>
          </cell>
          <cell r="Q5034" t="str">
            <v>TF</v>
          </cell>
          <cell r="R5034" t="str">
            <v>-</v>
          </cell>
          <cell r="S5034" t="str">
            <v>-</v>
          </cell>
          <cell r="T5034" t="str">
            <v>-</v>
          </cell>
          <cell r="U5034" t="str">
            <v>T</v>
          </cell>
          <cell r="V5034" t="str">
            <v>SS+R</v>
          </cell>
          <cell r="W5034" t="str">
            <v>-</v>
          </cell>
          <cell r="X5034" t="str">
            <v>CLP 220 (-15/+40°C)</v>
          </cell>
          <cell r="Y5034" t="str">
            <v>KH77/T DRN132S4 /TF</v>
          </cell>
          <cell r="Z5034" t="str">
            <v>SEW</v>
          </cell>
          <cell r="AB5034" t="str">
            <v>-</v>
          </cell>
          <cell r="AF5034">
            <v>57</v>
          </cell>
          <cell r="AG5034" t="str">
            <v>DRN132S4</v>
          </cell>
          <cell r="AH5034" t="str">
            <v>KH77T-DRN132S4A270-X</v>
          </cell>
        </row>
        <row r="5035">
          <cell r="A5035" t="str">
            <v>MR005024</v>
          </cell>
          <cell r="B5035" t="str">
            <v>MR</v>
          </cell>
          <cell r="C5035">
            <v>5.5</v>
          </cell>
          <cell r="D5035">
            <v>57</v>
          </cell>
          <cell r="E5035" t="str">
            <v>KH77</v>
          </cell>
          <cell r="F5035">
            <v>920</v>
          </cell>
          <cell r="G5035">
            <v>25.62</v>
          </cell>
          <cell r="H5035">
            <v>1.7</v>
          </cell>
          <cell r="I5035" t="str">
            <v>M4B</v>
          </cell>
          <cell r="J5035" t="str">
            <v>IE3</v>
          </cell>
          <cell r="K5035" t="str">
            <v>230/400</v>
          </cell>
          <cell r="L5035">
            <v>50</v>
          </cell>
          <cell r="M5035" t="str">
            <v>10,5/6,10</v>
          </cell>
          <cell r="N5035">
            <v>55</v>
          </cell>
          <cell r="O5035" t="str">
            <v>155(F)</v>
          </cell>
          <cell r="P5035" t="str">
            <v>270°</v>
          </cell>
          <cell r="Q5035" t="str">
            <v>TF</v>
          </cell>
          <cell r="R5035" t="str">
            <v>-</v>
          </cell>
          <cell r="S5035" t="str">
            <v>-</v>
          </cell>
          <cell r="T5035" t="str">
            <v>-</v>
          </cell>
          <cell r="U5035" t="str">
            <v>T</v>
          </cell>
          <cell r="V5035" t="str">
            <v>SS+R</v>
          </cell>
          <cell r="W5035" t="str">
            <v>-</v>
          </cell>
          <cell r="X5035" t="str">
            <v>CLP 220 (-15/+40°C)</v>
          </cell>
          <cell r="Y5035" t="str">
            <v>KH77/T DRN132S4 /TF</v>
          </cell>
          <cell r="Z5035" t="str">
            <v>SEW</v>
          </cell>
          <cell r="AB5035" t="str">
            <v>-</v>
          </cell>
          <cell r="AF5035">
            <v>57</v>
          </cell>
          <cell r="AG5035" t="str">
            <v>DRN132S4</v>
          </cell>
          <cell r="AH5035" t="str">
            <v>KH77T-DRN132S4B270-X</v>
          </cell>
        </row>
        <row r="5036">
          <cell r="A5036" t="str">
            <v>MR005025</v>
          </cell>
          <cell r="B5036" t="str">
            <v>MR</v>
          </cell>
          <cell r="C5036">
            <v>1.5</v>
          </cell>
          <cell r="D5036">
            <v>15</v>
          </cell>
          <cell r="E5036" t="str">
            <v>FA77</v>
          </cell>
          <cell r="F5036">
            <v>930</v>
          </cell>
          <cell r="G5036">
            <v>94.93</v>
          </cell>
          <cell r="H5036">
            <v>1.6</v>
          </cell>
          <cell r="I5036" t="str">
            <v>From M1 to M6 - 5°</v>
          </cell>
          <cell r="J5036" t="str">
            <v>IE3</v>
          </cell>
          <cell r="K5036" t="str">
            <v>230/400</v>
          </cell>
          <cell r="L5036">
            <v>50</v>
          </cell>
          <cell r="M5036" t="str">
            <v>5,9/3,4</v>
          </cell>
          <cell r="N5036">
            <v>55</v>
          </cell>
          <cell r="O5036" t="str">
            <v>155(F)</v>
          </cell>
          <cell r="P5036" t="str">
            <v>0°</v>
          </cell>
          <cell r="Q5036" t="str">
            <v>TF</v>
          </cell>
          <cell r="R5036" t="str">
            <v>-</v>
          </cell>
          <cell r="S5036" t="str">
            <v>-</v>
          </cell>
          <cell r="T5036" t="str">
            <v>BEHF</v>
          </cell>
          <cell r="U5036" t="str">
            <v>G</v>
          </cell>
          <cell r="V5036" t="str">
            <v>D+R</v>
          </cell>
          <cell r="W5036" t="str">
            <v>-</v>
          </cell>
          <cell r="X5036" t="str">
            <v>CLP 220 (-15/+40°C)</v>
          </cell>
          <cell r="Y5036" t="str">
            <v>FA77/G DRN90L4 /BEHF /TF</v>
          </cell>
          <cell r="Z5036" t="str">
            <v>SEW</v>
          </cell>
          <cell r="AB5036" t="str">
            <v>-</v>
          </cell>
          <cell r="AF5036">
            <v>15</v>
          </cell>
          <cell r="AG5036" t="str">
            <v>DRN90L4</v>
          </cell>
          <cell r="AH5036" t="str">
            <v>FA77G-DRN90L40-X</v>
          </cell>
        </row>
        <row r="5037">
          <cell r="A5037" t="str">
            <v>MR005026</v>
          </cell>
          <cell r="B5037" t="str">
            <v>MR</v>
          </cell>
          <cell r="C5037">
            <v>30</v>
          </cell>
          <cell r="D5037">
            <v>8.1999999999999993</v>
          </cell>
          <cell r="E5037" t="str">
            <v>KH167R107</v>
          </cell>
          <cell r="F5037">
            <v>32200</v>
          </cell>
          <cell r="G5037">
            <v>180</v>
          </cell>
          <cell r="H5037">
            <v>1.1000000000000001</v>
          </cell>
          <cell r="I5037" t="str">
            <v>From M4A to M1A-25°</v>
          </cell>
          <cell r="J5037" t="str">
            <v>IE3</v>
          </cell>
          <cell r="K5037" t="str">
            <v>400/690</v>
          </cell>
          <cell r="L5037">
            <v>50</v>
          </cell>
          <cell r="M5037" t="str">
            <v>56/32,5</v>
          </cell>
          <cell r="N5037">
            <v>55</v>
          </cell>
          <cell r="O5037" t="str">
            <v>155(F)</v>
          </cell>
          <cell r="P5037" t="str">
            <v>270°</v>
          </cell>
          <cell r="Q5037" t="str">
            <v>TF</v>
          </cell>
          <cell r="R5037" t="str">
            <v>V(VE)</v>
          </cell>
          <cell r="S5037" t="str">
            <v>-</v>
          </cell>
          <cell r="T5037" t="str">
            <v>-</v>
          </cell>
          <cell r="U5037" t="str">
            <v>-</v>
          </cell>
          <cell r="V5037" t="str">
            <v>FC</v>
          </cell>
          <cell r="W5037" t="str">
            <v>-</v>
          </cell>
          <cell r="X5037" t="str">
            <v>CLP 220 (-15/+40°C)</v>
          </cell>
          <cell r="Y5037" t="str">
            <v>KH167R107DRN200L4 /TF/V</v>
          </cell>
          <cell r="Z5037" t="str">
            <v>SEW</v>
          </cell>
          <cell r="AB5037" t="str">
            <v>-</v>
          </cell>
          <cell r="AF5037">
            <v>8.1999999999999993</v>
          </cell>
          <cell r="AG5037" t="str">
            <v>DRN200L4</v>
          </cell>
          <cell r="AH5037" t="str">
            <v>KH167R107-DRN200L4A270-X#</v>
          </cell>
        </row>
        <row r="5038">
          <cell r="A5038" t="str">
            <v>MR005027</v>
          </cell>
          <cell r="B5038" t="str">
            <v>MR</v>
          </cell>
          <cell r="C5038">
            <v>30</v>
          </cell>
          <cell r="D5038">
            <v>8.1999999999999993</v>
          </cell>
          <cell r="E5038" t="str">
            <v>KH167R107</v>
          </cell>
          <cell r="F5038">
            <v>32200</v>
          </cell>
          <cell r="G5038">
            <v>180</v>
          </cell>
          <cell r="H5038">
            <v>1.1000000000000001</v>
          </cell>
          <cell r="I5038" t="str">
            <v>From M4B to M1B-25°</v>
          </cell>
          <cell r="J5038" t="str">
            <v>IE3</v>
          </cell>
          <cell r="K5038" t="str">
            <v>400/690</v>
          </cell>
          <cell r="L5038">
            <v>50</v>
          </cell>
          <cell r="M5038" t="str">
            <v>56/32,5</v>
          </cell>
          <cell r="N5038">
            <v>55</v>
          </cell>
          <cell r="O5038" t="str">
            <v>155(F)</v>
          </cell>
          <cell r="P5038" t="str">
            <v>270°</v>
          </cell>
          <cell r="Q5038" t="str">
            <v>TF</v>
          </cell>
          <cell r="R5038" t="str">
            <v>V(VE)</v>
          </cell>
          <cell r="S5038" t="str">
            <v>-</v>
          </cell>
          <cell r="T5038" t="str">
            <v>-</v>
          </cell>
          <cell r="U5038" t="str">
            <v>-</v>
          </cell>
          <cell r="V5038" t="str">
            <v>FC</v>
          </cell>
          <cell r="W5038" t="str">
            <v>-</v>
          </cell>
          <cell r="X5038" t="str">
            <v>CLP 220 (-15/+40°C)</v>
          </cell>
          <cell r="Y5038" t="str">
            <v>KH167R107DRN200L4 /TF/V</v>
          </cell>
          <cell r="Z5038" t="str">
            <v>SEW</v>
          </cell>
          <cell r="AB5038" t="str">
            <v>-</v>
          </cell>
          <cell r="AF5038">
            <v>8.1999999999999993</v>
          </cell>
          <cell r="AG5038" t="str">
            <v>DRN200L4</v>
          </cell>
          <cell r="AH5038" t="str">
            <v>KH167R107-DRN200L4B270-X#</v>
          </cell>
        </row>
        <row r="5039">
          <cell r="A5039" t="str">
            <v>MR005028</v>
          </cell>
          <cell r="B5039" t="str">
            <v>MR</v>
          </cell>
          <cell r="C5039">
            <v>11</v>
          </cell>
          <cell r="D5039">
            <v>48</v>
          </cell>
          <cell r="E5039" t="str">
            <v>KH97</v>
          </cell>
          <cell r="F5039">
            <v>2200</v>
          </cell>
          <cell r="G5039">
            <v>30.82</v>
          </cell>
          <cell r="H5039">
            <v>1.95</v>
          </cell>
          <cell r="I5039" t="str">
            <v>From M4A to M1A-30°</v>
          </cell>
          <cell r="J5039" t="str">
            <v>IE3</v>
          </cell>
          <cell r="K5039" t="str">
            <v>400/690</v>
          </cell>
          <cell r="L5039">
            <v>50</v>
          </cell>
          <cell r="M5039" t="str">
            <v>21/12,2</v>
          </cell>
          <cell r="N5039">
            <v>55</v>
          </cell>
          <cell r="O5039" t="str">
            <v>155(F)</v>
          </cell>
          <cell r="P5039" t="str">
            <v>270°</v>
          </cell>
          <cell r="Q5039" t="str">
            <v>TF</v>
          </cell>
          <cell r="R5039" t="str">
            <v>-</v>
          </cell>
          <cell r="S5039" t="str">
            <v>Free rotation CCW</v>
          </cell>
          <cell r="T5039" t="str">
            <v>-</v>
          </cell>
          <cell r="U5039" t="str">
            <v>T</v>
          </cell>
          <cell r="V5039" t="str">
            <v>SS</v>
          </cell>
          <cell r="W5039" t="str">
            <v>-</v>
          </cell>
          <cell r="X5039" t="str">
            <v>CLP 220 (-15/+40°C)</v>
          </cell>
          <cell r="Y5039" t="str">
            <v>KH97/T DRN160M4 /RS /TF</v>
          </cell>
          <cell r="Z5039" t="str">
            <v>SEW</v>
          </cell>
          <cell r="AB5039" t="str">
            <v>-</v>
          </cell>
          <cell r="AF5039">
            <v>48</v>
          </cell>
          <cell r="AG5039" t="str">
            <v>DRN160M4</v>
          </cell>
          <cell r="AH5039" t="str">
            <v>KH97T-DRN160M4A270-X</v>
          </cell>
        </row>
        <row r="5040">
          <cell r="A5040" t="str">
            <v>MR005029</v>
          </cell>
          <cell r="B5040" t="str">
            <v>MR</v>
          </cell>
          <cell r="C5040">
            <v>11</v>
          </cell>
          <cell r="D5040">
            <v>48</v>
          </cell>
          <cell r="E5040" t="str">
            <v>KH97</v>
          </cell>
          <cell r="F5040">
            <v>2200</v>
          </cell>
          <cell r="G5040">
            <v>30.82</v>
          </cell>
          <cell r="H5040">
            <v>1.95</v>
          </cell>
          <cell r="I5040" t="str">
            <v xml:space="preserve"> M4B </v>
          </cell>
          <cell r="J5040" t="str">
            <v>IE3</v>
          </cell>
          <cell r="K5040" t="str">
            <v>400/690</v>
          </cell>
          <cell r="L5040">
            <v>50</v>
          </cell>
          <cell r="M5040" t="str">
            <v>21/12,2</v>
          </cell>
          <cell r="N5040">
            <v>55</v>
          </cell>
          <cell r="O5040" t="str">
            <v>155(F)</v>
          </cell>
          <cell r="P5040" t="str">
            <v>270°</v>
          </cell>
          <cell r="Q5040" t="str">
            <v>TF</v>
          </cell>
          <cell r="R5040" t="str">
            <v>-</v>
          </cell>
          <cell r="S5040" t="str">
            <v>-</v>
          </cell>
          <cell r="T5040" t="str">
            <v>-</v>
          </cell>
          <cell r="U5040" t="str">
            <v>T</v>
          </cell>
          <cell r="V5040" t="str">
            <v>SS</v>
          </cell>
          <cell r="W5040" t="str">
            <v>-</v>
          </cell>
          <cell r="X5040" t="str">
            <v>CLP 220 (-15/+40°C)</v>
          </cell>
          <cell r="Y5040" t="str">
            <v>KH97/T DRN160M4 /TF</v>
          </cell>
          <cell r="Z5040" t="str">
            <v>SEW</v>
          </cell>
          <cell r="AB5040" t="str">
            <v>-</v>
          </cell>
          <cell r="AF5040">
            <v>48</v>
          </cell>
          <cell r="AG5040" t="str">
            <v>DRN160M4</v>
          </cell>
          <cell r="AH5040" t="str">
            <v>KH97T-DRN160M4B270-X</v>
          </cell>
        </row>
        <row r="5041">
          <cell r="A5041" t="str">
            <v>MR005030</v>
          </cell>
          <cell r="B5041" t="str">
            <v>MR</v>
          </cell>
          <cell r="C5041">
            <v>0.75</v>
          </cell>
          <cell r="D5041">
            <v>162</v>
          </cell>
          <cell r="E5041" t="str">
            <v>KH37</v>
          </cell>
          <cell r="F5041">
            <v>44</v>
          </cell>
          <cell r="G5041">
            <v>8.91</v>
          </cell>
          <cell r="H5041">
            <v>3.6</v>
          </cell>
          <cell r="I5041" t="str">
            <v>From M3B to M2B - 45°</v>
          </cell>
          <cell r="J5041" t="str">
            <v>IE3</v>
          </cell>
          <cell r="K5041" t="str">
            <v>230/400</v>
          </cell>
          <cell r="L5041">
            <v>50</v>
          </cell>
          <cell r="M5041" t="str">
            <v>3,05/1,75</v>
          </cell>
          <cell r="N5041">
            <v>55</v>
          </cell>
          <cell r="O5041" t="str">
            <v>155(F)</v>
          </cell>
          <cell r="P5041" t="str">
            <v>0°</v>
          </cell>
          <cell r="Q5041" t="str">
            <v>TF</v>
          </cell>
          <cell r="R5041" t="str">
            <v>-</v>
          </cell>
          <cell r="S5041" t="str">
            <v>-</v>
          </cell>
          <cell r="T5041" t="str">
            <v>-</v>
          </cell>
          <cell r="U5041" t="str">
            <v>T</v>
          </cell>
          <cell r="V5041" t="str">
            <v>D</v>
          </cell>
          <cell r="W5041" t="str">
            <v>-</v>
          </cell>
          <cell r="X5041" t="str">
            <v>CLP 220 (-15/+40°C)</v>
          </cell>
          <cell r="Y5041" t="str">
            <v>KH37/T DRN80M4 /TF</v>
          </cell>
          <cell r="Z5041" t="str">
            <v>SEW</v>
          </cell>
          <cell r="AB5041" t="str">
            <v>-</v>
          </cell>
          <cell r="AF5041">
            <v>162</v>
          </cell>
          <cell r="AG5041" t="str">
            <v>DRN80M4</v>
          </cell>
          <cell r="AH5041" t="str">
            <v>KH37T-DRN80M4B0-X</v>
          </cell>
        </row>
        <row r="5042">
          <cell r="A5042" t="str">
            <v>MR005031</v>
          </cell>
          <cell r="B5042" t="str">
            <v>MR</v>
          </cell>
          <cell r="C5042">
            <v>1.1000000000000001</v>
          </cell>
          <cell r="D5042">
            <v>7.3</v>
          </cell>
          <cell r="E5042" t="str">
            <v>FH77</v>
          </cell>
          <cell r="F5042">
            <v>1430</v>
          </cell>
          <cell r="G5042">
            <v>198.31</v>
          </cell>
          <cell r="H5042">
            <v>1.05</v>
          </cell>
          <cell r="I5042" t="str">
            <v>From M5 to M3 - 30°</v>
          </cell>
          <cell r="J5042" t="str">
            <v>IE3</v>
          </cell>
          <cell r="K5042" t="str">
            <v>230/400</v>
          </cell>
          <cell r="L5042">
            <v>50</v>
          </cell>
          <cell r="M5042" t="str">
            <v>4,45/2,55</v>
          </cell>
          <cell r="N5042">
            <v>55</v>
          </cell>
          <cell r="O5042" t="str">
            <v>155(F)</v>
          </cell>
          <cell r="P5042" t="str">
            <v>180°</v>
          </cell>
          <cell r="Q5042" t="str">
            <v>TF</v>
          </cell>
          <cell r="R5042" t="str">
            <v>-</v>
          </cell>
          <cell r="S5042" t="str">
            <v>-</v>
          </cell>
          <cell r="T5042" t="str">
            <v>-</v>
          </cell>
          <cell r="U5042" t="str">
            <v>G</v>
          </cell>
          <cell r="V5042" t="str">
            <v>D</v>
          </cell>
          <cell r="W5042" t="str">
            <v>-</v>
          </cell>
          <cell r="X5042" t="str">
            <v>CLP 220 (-15/+40°C)</v>
          </cell>
          <cell r="Y5042" t="str">
            <v>FH77/G DRN90S4 /TF</v>
          </cell>
          <cell r="Z5042" t="str">
            <v>SEW</v>
          </cell>
          <cell r="AB5042" t="str">
            <v>-</v>
          </cell>
          <cell r="AF5042">
            <v>7.3</v>
          </cell>
          <cell r="AG5042" t="str">
            <v>DRN90S4</v>
          </cell>
          <cell r="AH5042" t="str">
            <v>FH77G-DRN90S4180-X</v>
          </cell>
        </row>
        <row r="5043">
          <cell r="A5043" t="str">
            <v>MR005032</v>
          </cell>
          <cell r="B5043" t="str">
            <v>MR</v>
          </cell>
          <cell r="C5043">
            <v>15</v>
          </cell>
          <cell r="D5043">
            <v>48</v>
          </cell>
          <cell r="E5043" t="str">
            <v>KH97</v>
          </cell>
          <cell r="F5043">
            <v>3000</v>
          </cell>
          <cell r="G5043" t="str">
            <v>30,82</v>
          </cell>
          <cell r="H5043" t="str">
            <v>1,45</v>
          </cell>
          <cell r="I5043" t="str">
            <v>From M4A to M1A - 25°</v>
          </cell>
          <cell r="J5043" t="str">
            <v>IE3</v>
          </cell>
          <cell r="K5043" t="str">
            <v>400/690</v>
          </cell>
          <cell r="L5043">
            <v>50</v>
          </cell>
          <cell r="M5043" t="str">
            <v>29/16,7</v>
          </cell>
          <cell r="N5043">
            <v>55</v>
          </cell>
          <cell r="O5043" t="str">
            <v>155(F)</v>
          </cell>
          <cell r="P5043" t="str">
            <v>270°</v>
          </cell>
          <cell r="Q5043" t="str">
            <v>TF</v>
          </cell>
          <cell r="R5043" t="str">
            <v>-</v>
          </cell>
          <cell r="S5043" t="str">
            <v>Free rotation CCW</v>
          </cell>
          <cell r="T5043" t="str">
            <v>-</v>
          </cell>
          <cell r="U5043" t="str">
            <v>T</v>
          </cell>
          <cell r="V5043" t="str">
            <v>SS</v>
          </cell>
          <cell r="W5043" t="str">
            <v>-</v>
          </cell>
          <cell r="X5043" t="str">
            <v>CLP 220 (-15/+40°C)</v>
          </cell>
          <cell r="Y5043" t="str">
            <v>KH97/T DRN160L4 /RS /TF</v>
          </cell>
          <cell r="Z5043" t="str">
            <v>SEW</v>
          </cell>
          <cell r="AB5043" t="str">
            <v>-</v>
          </cell>
          <cell r="AF5043">
            <v>48</v>
          </cell>
          <cell r="AG5043" t="str">
            <v>DRN160L4</v>
          </cell>
          <cell r="AH5043" t="str">
            <v>KH97T-DRN160L4A270-X</v>
          </cell>
        </row>
        <row r="5044">
          <cell r="A5044" t="str">
            <v>MR005033</v>
          </cell>
          <cell r="B5044" t="str">
            <v>MR</v>
          </cell>
          <cell r="C5044">
            <v>15</v>
          </cell>
          <cell r="D5044">
            <v>48</v>
          </cell>
          <cell r="E5044" t="str">
            <v>KH97</v>
          </cell>
          <cell r="F5044">
            <v>3000</v>
          </cell>
          <cell r="G5044" t="str">
            <v>30,82</v>
          </cell>
          <cell r="H5044" t="str">
            <v>1,45</v>
          </cell>
          <cell r="I5044" t="str">
            <v>From M4B to M1B - 25°</v>
          </cell>
          <cell r="J5044" t="str">
            <v>IE3</v>
          </cell>
          <cell r="K5044" t="str">
            <v>400/690</v>
          </cell>
          <cell r="L5044">
            <v>50</v>
          </cell>
          <cell r="M5044" t="str">
            <v>29/16,7</v>
          </cell>
          <cell r="N5044">
            <v>55</v>
          </cell>
          <cell r="O5044" t="str">
            <v>155(F)</v>
          </cell>
          <cell r="P5044" t="str">
            <v>270°</v>
          </cell>
          <cell r="Q5044" t="str">
            <v>TF</v>
          </cell>
          <cell r="R5044" t="str">
            <v>-</v>
          </cell>
          <cell r="S5044" t="str">
            <v>Free rotation CW</v>
          </cell>
          <cell r="T5044" t="str">
            <v>-</v>
          </cell>
          <cell r="U5044" t="str">
            <v>T</v>
          </cell>
          <cell r="V5044" t="str">
            <v>SS</v>
          </cell>
          <cell r="W5044" t="str">
            <v>-</v>
          </cell>
          <cell r="X5044" t="str">
            <v>CLP 220 (-15/+40°C)</v>
          </cell>
          <cell r="Y5044" t="str">
            <v>KH97/T DRN160L4 /RS /TF</v>
          </cell>
          <cell r="Z5044" t="str">
            <v>SEW</v>
          </cell>
          <cell r="AB5044" t="str">
            <v>-</v>
          </cell>
          <cell r="AF5044">
            <v>48</v>
          </cell>
          <cell r="AG5044" t="str">
            <v>DRN160L4</v>
          </cell>
          <cell r="AH5044" t="str">
            <v>KH97T-DRN160L4B270-X</v>
          </cell>
        </row>
        <row r="5045">
          <cell r="A5045" t="str">
            <v>MR005034</v>
          </cell>
          <cell r="B5045" t="str">
            <v>MR</v>
          </cell>
          <cell r="C5045">
            <v>0.75</v>
          </cell>
          <cell r="D5045">
            <v>162</v>
          </cell>
          <cell r="E5045" t="str">
            <v>KH37</v>
          </cell>
          <cell r="F5045">
            <v>44</v>
          </cell>
          <cell r="G5045">
            <v>8.91</v>
          </cell>
          <cell r="H5045">
            <v>3.6</v>
          </cell>
          <cell r="I5045" t="str">
            <v>From M3A to M2A - 40°</v>
          </cell>
          <cell r="J5045" t="str">
            <v>IE3</v>
          </cell>
          <cell r="K5045" t="str">
            <v>230/400</v>
          </cell>
          <cell r="L5045">
            <v>50</v>
          </cell>
          <cell r="M5045" t="str">
            <v>3,05/1,75</v>
          </cell>
          <cell r="N5045">
            <v>55</v>
          </cell>
          <cell r="O5045" t="str">
            <v>155(F)</v>
          </cell>
          <cell r="P5045" t="str">
            <v>180°</v>
          </cell>
          <cell r="Q5045" t="str">
            <v>TF</v>
          </cell>
          <cell r="R5045" t="str">
            <v>-</v>
          </cell>
          <cell r="S5045" t="str">
            <v>-</v>
          </cell>
          <cell r="T5045" t="str">
            <v>-</v>
          </cell>
          <cell r="U5045" t="str">
            <v>T</v>
          </cell>
          <cell r="V5045" t="str">
            <v>D</v>
          </cell>
          <cell r="W5045" t="str">
            <v>-</v>
          </cell>
          <cell r="X5045" t="str">
            <v>CLP 220 (-15/+40°C)</v>
          </cell>
          <cell r="Y5045" t="str">
            <v>KH37/T DRN80M4 /TF</v>
          </cell>
          <cell r="Z5045" t="str">
            <v>SEW</v>
          </cell>
          <cell r="AB5045" t="str">
            <v>-</v>
          </cell>
          <cell r="AF5045">
            <v>162</v>
          </cell>
          <cell r="AG5045" t="str">
            <v>DRN80M4</v>
          </cell>
          <cell r="AH5045" t="str">
            <v>KH37T-DRN80M4A180-X</v>
          </cell>
        </row>
        <row r="5046">
          <cell r="A5046" t="str">
            <v>MR005035</v>
          </cell>
          <cell r="B5046" t="str">
            <v>MR</v>
          </cell>
          <cell r="C5046">
            <v>11</v>
          </cell>
          <cell r="D5046">
            <v>48</v>
          </cell>
          <cell r="E5046" t="str">
            <v>KH97</v>
          </cell>
          <cell r="F5046">
            <v>2200</v>
          </cell>
          <cell r="G5046" t="str">
            <v>30,82</v>
          </cell>
          <cell r="H5046">
            <v>1.95</v>
          </cell>
          <cell r="I5046" t="str">
            <v>From M4B to M1B - 30°</v>
          </cell>
          <cell r="J5046" t="str">
            <v>IE3</v>
          </cell>
          <cell r="K5046" t="str">
            <v>400/690</v>
          </cell>
          <cell r="L5046">
            <v>50</v>
          </cell>
          <cell r="M5046" t="str">
            <v>21/12,2</v>
          </cell>
          <cell r="N5046">
            <v>55</v>
          </cell>
          <cell r="O5046" t="str">
            <v>155(F)</v>
          </cell>
          <cell r="P5046" t="str">
            <v>270°</v>
          </cell>
          <cell r="Q5046" t="str">
            <v>TF</v>
          </cell>
          <cell r="R5046" t="str">
            <v>-</v>
          </cell>
          <cell r="S5046" t="str">
            <v>Free rotation CW</v>
          </cell>
          <cell r="T5046" t="str">
            <v>-</v>
          </cell>
          <cell r="U5046" t="str">
            <v>T</v>
          </cell>
          <cell r="V5046" t="str">
            <v>SS</v>
          </cell>
          <cell r="W5046" t="str">
            <v>-</v>
          </cell>
          <cell r="X5046" t="str">
            <v>CLP 220 (-15/+40°C)</v>
          </cell>
          <cell r="Y5046" t="str">
            <v>KH97/T DRN160M4 /RS /TF</v>
          </cell>
          <cell r="Z5046" t="str">
            <v>SEW</v>
          </cell>
          <cell r="AB5046" t="str">
            <v>-</v>
          </cell>
          <cell r="AF5046">
            <v>48</v>
          </cell>
          <cell r="AG5046" t="str">
            <v>DRN160M4</v>
          </cell>
          <cell r="AH5046" t="str">
            <v>KH97T-DRN160M4B270-X</v>
          </cell>
        </row>
        <row r="5047">
          <cell r="A5047" t="str">
            <v>MR005036</v>
          </cell>
          <cell r="B5047" t="str">
            <v>MR</v>
          </cell>
          <cell r="C5047">
            <v>11</v>
          </cell>
          <cell r="D5047">
            <v>48</v>
          </cell>
          <cell r="E5047" t="str">
            <v>KH97</v>
          </cell>
          <cell r="F5047">
            <v>2200</v>
          </cell>
          <cell r="G5047">
            <v>30.82</v>
          </cell>
          <cell r="H5047">
            <v>1.95</v>
          </cell>
          <cell r="I5047" t="str">
            <v xml:space="preserve"> M4A</v>
          </cell>
          <cell r="J5047" t="str">
            <v>IE3</v>
          </cell>
          <cell r="K5047" t="str">
            <v>400/690</v>
          </cell>
          <cell r="L5047">
            <v>50</v>
          </cell>
          <cell r="M5047" t="str">
            <v>21/12,2</v>
          </cell>
          <cell r="N5047">
            <v>55</v>
          </cell>
          <cell r="O5047" t="str">
            <v>155(F)</v>
          </cell>
          <cell r="P5047" t="str">
            <v>270°</v>
          </cell>
          <cell r="Q5047" t="str">
            <v>TF</v>
          </cell>
          <cell r="R5047" t="str">
            <v>-</v>
          </cell>
          <cell r="S5047" t="str">
            <v>-</v>
          </cell>
          <cell r="T5047" t="str">
            <v>-</v>
          </cell>
          <cell r="U5047" t="str">
            <v>T</v>
          </cell>
          <cell r="V5047" t="str">
            <v>SS</v>
          </cell>
          <cell r="W5047" t="str">
            <v>-</v>
          </cell>
          <cell r="X5047" t="str">
            <v>CLP 220 (-15/+40°C)</v>
          </cell>
          <cell r="Y5047" t="str">
            <v>KH97/T DRN160M4 /TF</v>
          </cell>
          <cell r="Z5047" t="str">
            <v>SEW</v>
          </cell>
          <cell r="AB5047" t="str">
            <v>-</v>
          </cell>
          <cell r="AF5047">
            <v>48</v>
          </cell>
          <cell r="AG5047" t="str">
            <v>DRN160M4</v>
          </cell>
          <cell r="AH5047" t="str">
            <v>KH97T-DRN160M4A270-X</v>
          </cell>
        </row>
        <row r="5048">
          <cell r="A5048" t="str">
            <v>MR005037</v>
          </cell>
          <cell r="B5048" t="str">
            <v>MR</v>
          </cell>
          <cell r="C5048">
            <v>1.1000000000000001</v>
          </cell>
          <cell r="D5048">
            <v>7.3</v>
          </cell>
          <cell r="E5048" t="str">
            <v>FH77</v>
          </cell>
          <cell r="F5048">
            <v>1430</v>
          </cell>
          <cell r="G5048">
            <v>198.31</v>
          </cell>
          <cell r="H5048">
            <v>1.05</v>
          </cell>
          <cell r="I5048" t="str">
            <v>From M6 to M3 - 30°</v>
          </cell>
          <cell r="J5048" t="str">
            <v>IE3</v>
          </cell>
          <cell r="K5048" t="str">
            <v>230/400</v>
          </cell>
          <cell r="L5048">
            <v>50</v>
          </cell>
          <cell r="M5048" t="str">
            <v>4,45/2,55</v>
          </cell>
          <cell r="N5048">
            <v>55</v>
          </cell>
          <cell r="O5048" t="str">
            <v>155(F)</v>
          </cell>
          <cell r="P5048" t="str">
            <v>0°</v>
          </cell>
          <cell r="Q5048" t="str">
            <v>TF</v>
          </cell>
          <cell r="R5048" t="str">
            <v>-</v>
          </cell>
          <cell r="S5048" t="str">
            <v>-</v>
          </cell>
          <cell r="T5048" t="str">
            <v>-</v>
          </cell>
          <cell r="U5048" t="str">
            <v>G</v>
          </cell>
          <cell r="V5048" t="str">
            <v>D</v>
          </cell>
          <cell r="W5048" t="str">
            <v>-</v>
          </cell>
          <cell r="X5048" t="str">
            <v>CLP 220 (-15/+40°C)</v>
          </cell>
          <cell r="Y5048" t="str">
            <v>FH77/G DRN90S4 /TF</v>
          </cell>
          <cell r="Z5048" t="str">
            <v>SEW</v>
          </cell>
          <cell r="AB5048" t="str">
            <v>-</v>
          </cell>
          <cell r="AF5048">
            <v>7.3</v>
          </cell>
          <cell r="AG5048" t="str">
            <v>DRN90S4</v>
          </cell>
          <cell r="AH5048" t="str">
            <v>FH77G-DRN90S40-X</v>
          </cell>
        </row>
        <row r="5049">
          <cell r="A5049" t="str">
            <v>MR005038</v>
          </cell>
          <cell r="B5049" t="str">
            <v>MR</v>
          </cell>
          <cell r="C5049">
            <v>0.75</v>
          </cell>
          <cell r="D5049">
            <v>162</v>
          </cell>
          <cell r="E5049" t="str">
            <v>KH37</v>
          </cell>
          <cell r="F5049">
            <v>44</v>
          </cell>
          <cell r="G5049">
            <v>8.91</v>
          </cell>
          <cell r="H5049">
            <v>3.6</v>
          </cell>
          <cell r="I5049" t="str">
            <v>From M3A to M2A - 45°</v>
          </cell>
          <cell r="J5049" t="str">
            <v>IE3</v>
          </cell>
          <cell r="K5049" t="str">
            <v>230/400</v>
          </cell>
          <cell r="L5049">
            <v>50</v>
          </cell>
          <cell r="M5049" t="str">
            <v>3,05/1,75</v>
          </cell>
          <cell r="N5049">
            <v>55</v>
          </cell>
          <cell r="O5049" t="str">
            <v>155(F)</v>
          </cell>
          <cell r="P5049" t="str">
            <v>180°</v>
          </cell>
          <cell r="Q5049" t="str">
            <v>TF</v>
          </cell>
          <cell r="R5049" t="str">
            <v>-</v>
          </cell>
          <cell r="S5049" t="str">
            <v>-</v>
          </cell>
          <cell r="T5049" t="str">
            <v>-</v>
          </cell>
          <cell r="U5049" t="str">
            <v>T</v>
          </cell>
          <cell r="V5049" t="str">
            <v>D</v>
          </cell>
          <cell r="W5049" t="str">
            <v>-</v>
          </cell>
          <cell r="X5049" t="str">
            <v>CLP 220 (-15/+40°C)</v>
          </cell>
          <cell r="Y5049" t="str">
            <v>KH37/T DRN80M4 /TF</v>
          </cell>
          <cell r="Z5049" t="str">
            <v>SEW</v>
          </cell>
          <cell r="AB5049" t="str">
            <v>-</v>
          </cell>
          <cell r="AF5049">
            <v>162</v>
          </cell>
          <cell r="AG5049" t="str">
            <v>DRN80M4</v>
          </cell>
          <cell r="AH5049" t="str">
            <v>KH37T-DRN80M4A180-X</v>
          </cell>
        </row>
        <row r="5050">
          <cell r="A5050" t="str">
            <v>MR005039</v>
          </cell>
          <cell r="B5050" t="str">
            <v>MR</v>
          </cell>
          <cell r="C5050">
            <v>7.5</v>
          </cell>
          <cell r="D5050">
            <v>47</v>
          </cell>
          <cell r="E5050" t="str">
            <v>KH87</v>
          </cell>
          <cell r="F5050">
            <v>1530</v>
          </cell>
          <cell r="G5050">
            <v>31.39</v>
          </cell>
          <cell r="H5050">
            <v>1.75</v>
          </cell>
          <cell r="I5050" t="str">
            <v>From M4B to M1B-25°</v>
          </cell>
          <cell r="J5050" t="str">
            <v>IE3</v>
          </cell>
          <cell r="K5050" t="str">
            <v>400/690</v>
          </cell>
          <cell r="L5050">
            <v>50</v>
          </cell>
          <cell r="M5050" t="str">
            <v>15,2/8,8</v>
          </cell>
          <cell r="N5050">
            <v>55</v>
          </cell>
          <cell r="O5050" t="str">
            <v>155(F)</v>
          </cell>
          <cell r="P5050" t="str">
            <v>270°</v>
          </cell>
          <cell r="Q5050" t="str">
            <v>TF</v>
          </cell>
          <cell r="R5050" t="str">
            <v>-</v>
          </cell>
          <cell r="S5050" t="str">
            <v>Free rotation CW</v>
          </cell>
          <cell r="T5050" t="str">
            <v>-</v>
          </cell>
          <cell r="U5050" t="str">
            <v>T</v>
          </cell>
          <cell r="V5050" t="str">
            <v>SS</v>
          </cell>
          <cell r="W5050" t="str">
            <v>-</v>
          </cell>
          <cell r="X5050" t="str">
            <v>CLP 220 (-15/+40°C)</v>
          </cell>
          <cell r="Y5050" t="str">
            <v>KH87/T DRN132M4 /RS /TF</v>
          </cell>
          <cell r="Z5050" t="str">
            <v>SEW</v>
          </cell>
          <cell r="AB5050" t="str">
            <v>-</v>
          </cell>
          <cell r="AF5050">
            <v>47</v>
          </cell>
          <cell r="AG5050" t="str">
            <v>DRN132M4</v>
          </cell>
          <cell r="AH5050" t="str">
            <v>KH87T-DRN132M4B270-X</v>
          </cell>
        </row>
        <row r="5051">
          <cell r="A5051" t="str">
            <v>MR005040</v>
          </cell>
          <cell r="B5051" t="str">
            <v>MR</v>
          </cell>
          <cell r="C5051">
            <v>7.5</v>
          </cell>
          <cell r="D5051">
            <v>47</v>
          </cell>
          <cell r="E5051" t="str">
            <v>KH87</v>
          </cell>
          <cell r="F5051">
            <v>1530</v>
          </cell>
          <cell r="G5051">
            <v>31.39</v>
          </cell>
          <cell r="H5051">
            <v>1.75</v>
          </cell>
          <cell r="I5051" t="str">
            <v>M4A</v>
          </cell>
          <cell r="J5051" t="str">
            <v>IE3</v>
          </cell>
          <cell r="K5051" t="str">
            <v>400/690</v>
          </cell>
          <cell r="L5051">
            <v>50</v>
          </cell>
          <cell r="M5051" t="str">
            <v>15,2/8,8</v>
          </cell>
          <cell r="N5051">
            <v>55</v>
          </cell>
          <cell r="O5051" t="str">
            <v>155(F)</v>
          </cell>
          <cell r="P5051" t="str">
            <v>270°</v>
          </cell>
          <cell r="Q5051" t="str">
            <v>TF</v>
          </cell>
          <cell r="R5051" t="str">
            <v>-</v>
          </cell>
          <cell r="S5051" t="str">
            <v>-</v>
          </cell>
          <cell r="T5051" t="str">
            <v>-</v>
          </cell>
          <cell r="U5051" t="str">
            <v>T</v>
          </cell>
          <cell r="V5051" t="str">
            <v>SS</v>
          </cell>
          <cell r="W5051" t="str">
            <v>-</v>
          </cell>
          <cell r="X5051" t="str">
            <v>CLP 220 (-15/+40°C)</v>
          </cell>
          <cell r="Y5051" t="str">
            <v>KH87/T DRN132M4 /TF</v>
          </cell>
          <cell r="Z5051" t="str">
            <v>SEW</v>
          </cell>
          <cell r="AB5051" t="str">
            <v>-</v>
          </cell>
          <cell r="AF5051">
            <v>47</v>
          </cell>
          <cell r="AG5051" t="str">
            <v>DRN132M4</v>
          </cell>
          <cell r="AH5051" t="str">
            <v>KH87T-DRN132M4A270-X</v>
          </cell>
        </row>
        <row r="5052">
          <cell r="A5052" t="str">
            <v>MR005041</v>
          </cell>
          <cell r="B5052" t="str">
            <v>MR</v>
          </cell>
          <cell r="C5052">
            <v>4</v>
          </cell>
          <cell r="D5052">
            <v>63</v>
          </cell>
          <cell r="E5052" t="str">
            <v>R87</v>
          </cell>
          <cell r="F5052">
            <v>610</v>
          </cell>
          <cell r="G5052">
            <v>23.4</v>
          </cell>
          <cell r="H5052">
            <v>2</v>
          </cell>
          <cell r="I5052" t="str">
            <v>From M1 to M2-20°</v>
          </cell>
          <cell r="J5052" t="str">
            <v>IE3</v>
          </cell>
          <cell r="K5052" t="str">
            <v>230/400</v>
          </cell>
          <cell r="L5052">
            <v>50</v>
          </cell>
          <cell r="M5052" t="str">
            <v>13,8/7,9</v>
          </cell>
          <cell r="N5052">
            <v>55</v>
          </cell>
          <cell r="O5052" t="str">
            <v>155(F)</v>
          </cell>
          <cell r="P5052" t="str">
            <v>270°</v>
          </cell>
          <cell r="Q5052" t="str">
            <v>TF</v>
          </cell>
          <cell r="R5052" t="str">
            <v>-</v>
          </cell>
          <cell r="S5052" t="str">
            <v>-</v>
          </cell>
          <cell r="T5052" t="str">
            <v>-</v>
          </cell>
          <cell r="U5052" t="str">
            <v>-</v>
          </cell>
          <cell r="V5052" t="str">
            <v>D</v>
          </cell>
          <cell r="W5052" t="str">
            <v>-</v>
          </cell>
          <cell r="X5052" t="str">
            <v>CLP 220 (-15/+40°C)</v>
          </cell>
          <cell r="Y5052" t="str">
            <v>R87DRN112M4 /TF</v>
          </cell>
          <cell r="Z5052" t="str">
            <v>SEW</v>
          </cell>
          <cell r="AB5052" t="str">
            <v>-</v>
          </cell>
          <cell r="AF5052">
            <v>63</v>
          </cell>
          <cell r="AG5052" t="str">
            <v>DRN112M4</v>
          </cell>
          <cell r="AH5052" t="str">
            <v>R87-DRN112M4270-X</v>
          </cell>
        </row>
        <row r="5053">
          <cell r="A5053" t="str">
            <v>MR005042</v>
          </cell>
          <cell r="B5053" t="str">
            <v>MR</v>
          </cell>
          <cell r="C5053">
            <v>4</v>
          </cell>
          <cell r="D5053">
            <v>78</v>
          </cell>
          <cell r="E5053" t="str">
            <v>R77</v>
          </cell>
          <cell r="F5053">
            <v>490</v>
          </cell>
          <cell r="G5053">
            <v>18.8</v>
          </cell>
          <cell r="H5053">
            <v>1.6</v>
          </cell>
          <cell r="I5053" t="str">
            <v>From M1 to M2 - 20°</v>
          </cell>
          <cell r="J5053" t="str">
            <v>IE3</v>
          </cell>
          <cell r="K5053" t="str">
            <v>230/400</v>
          </cell>
          <cell r="L5053">
            <v>50</v>
          </cell>
          <cell r="M5053" t="str">
            <v>13,8/7,9</v>
          </cell>
          <cell r="N5053">
            <v>55</v>
          </cell>
          <cell r="O5053" t="str">
            <v>155(F)</v>
          </cell>
          <cell r="P5053" t="str">
            <v>270°</v>
          </cell>
          <cell r="Q5053" t="str">
            <v>TF</v>
          </cell>
          <cell r="R5053" t="str">
            <v>-</v>
          </cell>
          <cell r="S5053" t="str">
            <v>-</v>
          </cell>
          <cell r="T5053" t="str">
            <v>-</v>
          </cell>
          <cell r="U5053" t="str">
            <v>-</v>
          </cell>
          <cell r="V5053" t="str">
            <v>D</v>
          </cell>
          <cell r="W5053" t="str">
            <v>-</v>
          </cell>
          <cell r="X5053" t="str">
            <v>CLP 220 (-15/+40°C)</v>
          </cell>
          <cell r="Y5053" t="str">
            <v>R77DRN112M4 /TF</v>
          </cell>
          <cell r="Z5053" t="str">
            <v>SEW</v>
          </cell>
          <cell r="AB5053" t="str">
            <v>-</v>
          </cell>
          <cell r="AF5053">
            <v>78</v>
          </cell>
          <cell r="AG5053" t="str">
            <v>DRN112M4</v>
          </cell>
          <cell r="AH5053" t="str">
            <v>R77-DRN112M4270-X</v>
          </cell>
        </row>
        <row r="5054">
          <cell r="A5054" t="str">
            <v>MR005043</v>
          </cell>
          <cell r="B5054" t="str">
            <v>MR</v>
          </cell>
          <cell r="C5054">
            <v>37</v>
          </cell>
          <cell r="D5054">
            <v>32</v>
          </cell>
          <cell r="E5054" t="str">
            <v>R147</v>
          </cell>
          <cell r="F5054">
            <v>11100</v>
          </cell>
          <cell r="G5054">
            <v>46.65</v>
          </cell>
          <cell r="H5054">
            <v>1.1499999999999999</v>
          </cell>
          <cell r="I5054" t="str">
            <v>M1</v>
          </cell>
          <cell r="J5054" t="str">
            <v>IE3</v>
          </cell>
          <cell r="K5054" t="str">
            <v>400/690</v>
          </cell>
          <cell r="L5054">
            <v>50</v>
          </cell>
          <cell r="M5054" t="str">
            <v>64/37</v>
          </cell>
          <cell r="N5054">
            <v>55</v>
          </cell>
          <cell r="O5054" t="str">
            <v>155(F)</v>
          </cell>
          <cell r="P5054" t="str">
            <v>270°</v>
          </cell>
          <cell r="Q5054" t="str">
            <v>TF</v>
          </cell>
          <cell r="R5054" t="str">
            <v>-</v>
          </cell>
          <cell r="S5054" t="str">
            <v>Free rotation CCW</v>
          </cell>
          <cell r="T5054" t="str">
            <v>-</v>
          </cell>
          <cell r="U5054" t="str">
            <v>-</v>
          </cell>
          <cell r="V5054" t="str">
            <v>SS</v>
          </cell>
          <cell r="W5054" t="str">
            <v>-</v>
          </cell>
          <cell r="X5054" t="str">
            <v>CLP 220 (-15/+40°C)</v>
          </cell>
          <cell r="Y5054" t="str">
            <v>R147DRN225S4 /RS /TF</v>
          </cell>
          <cell r="Z5054" t="str">
            <v>SEW</v>
          </cell>
          <cell r="AB5054" t="str">
            <v>-</v>
          </cell>
          <cell r="AG5054" t="str">
            <v>DRN225S4</v>
          </cell>
          <cell r="AH5054" t="str">
            <v>R147-DRN225S4270-X</v>
          </cell>
        </row>
        <row r="5055">
          <cell r="A5055" t="str">
            <v>MR005044</v>
          </cell>
          <cell r="B5055" t="str">
            <v>MR</v>
          </cell>
          <cell r="C5055">
            <v>11</v>
          </cell>
          <cell r="D5055">
            <v>50</v>
          </cell>
          <cell r="E5055" t="str">
            <v>FH87</v>
          </cell>
          <cell r="F5055">
            <v>2080</v>
          </cell>
          <cell r="G5055">
            <v>29.2</v>
          </cell>
          <cell r="H5055">
            <v>1.2</v>
          </cell>
          <cell r="I5055" t="str">
            <v>M1</v>
          </cell>
          <cell r="J5055" t="str">
            <v>IE3</v>
          </cell>
          <cell r="K5055" t="str">
            <v>400/690</v>
          </cell>
          <cell r="L5055">
            <v>50</v>
          </cell>
          <cell r="M5055" t="str">
            <v>21/12,2</v>
          </cell>
          <cell r="N5055">
            <v>55</v>
          </cell>
          <cell r="O5055" t="str">
            <v>155(F)</v>
          </cell>
          <cell r="P5055" t="str">
            <v>270°</v>
          </cell>
          <cell r="Q5055" t="str">
            <v>TF</v>
          </cell>
          <cell r="R5055" t="str">
            <v>-</v>
          </cell>
          <cell r="S5055" t="str">
            <v>-</v>
          </cell>
          <cell r="T5055" t="str">
            <v>-</v>
          </cell>
          <cell r="U5055" t="str">
            <v>G</v>
          </cell>
          <cell r="V5055" t="str">
            <v>D+R</v>
          </cell>
          <cell r="W5055" t="str">
            <v>-</v>
          </cell>
          <cell r="X5055" t="str">
            <v>CLP 220 (-15/+40°C)</v>
          </cell>
          <cell r="Y5055" t="str">
            <v>FH87/G DRN160M4 /TF</v>
          </cell>
          <cell r="Z5055" t="str">
            <v>SEW</v>
          </cell>
          <cell r="AB5055" t="str">
            <v>-</v>
          </cell>
          <cell r="AF5055">
            <v>50</v>
          </cell>
          <cell r="AG5055" t="str">
            <v>DRN160M4</v>
          </cell>
          <cell r="AH5055" t="str">
            <v>FH87G-DRN160M4270-X</v>
          </cell>
        </row>
        <row r="5056">
          <cell r="A5056" t="str">
            <v>MR005045</v>
          </cell>
          <cell r="B5056" t="str">
            <v>MR</v>
          </cell>
          <cell r="C5056">
            <v>11</v>
          </cell>
          <cell r="D5056">
            <v>50</v>
          </cell>
          <cell r="E5056" t="str">
            <v>R107</v>
          </cell>
          <cell r="F5056">
            <v>2100</v>
          </cell>
          <cell r="G5056">
            <v>29.49</v>
          </cell>
          <cell r="H5056">
            <v>2</v>
          </cell>
          <cell r="I5056" t="str">
            <v>From M1 to M4 - 10°</v>
          </cell>
          <cell r="J5056" t="str">
            <v>IE3</v>
          </cell>
          <cell r="K5056" t="str">
            <v>400/690</v>
          </cell>
          <cell r="L5056">
            <v>50</v>
          </cell>
          <cell r="M5056" t="str">
            <v>21/12,2</v>
          </cell>
          <cell r="N5056">
            <v>55</v>
          </cell>
          <cell r="O5056" t="str">
            <v>155(F)</v>
          </cell>
          <cell r="P5056" t="str">
            <v>270°</v>
          </cell>
          <cell r="Q5056" t="str">
            <v>TF</v>
          </cell>
          <cell r="R5056" t="str">
            <v>-</v>
          </cell>
          <cell r="S5056" t="str">
            <v>-</v>
          </cell>
          <cell r="T5056" t="str">
            <v>-</v>
          </cell>
          <cell r="U5056" t="str">
            <v>-</v>
          </cell>
          <cell r="V5056" t="str">
            <v>D</v>
          </cell>
          <cell r="W5056" t="str">
            <v>-</v>
          </cell>
          <cell r="X5056" t="str">
            <v>CLP 220 (-15/+40°C)</v>
          </cell>
          <cell r="Y5056" t="str">
            <v>R107DRN160M4 /TF</v>
          </cell>
          <cell r="Z5056" t="str">
            <v>SEW</v>
          </cell>
          <cell r="AB5056" t="str">
            <v>-</v>
          </cell>
          <cell r="AF5056">
            <v>50</v>
          </cell>
          <cell r="AG5056" t="str">
            <v>DRN160M4</v>
          </cell>
          <cell r="AH5056" t="str">
            <v>R107-DRN160M4270-X</v>
          </cell>
        </row>
        <row r="5057">
          <cell r="A5057" t="str">
            <v>MR005046</v>
          </cell>
          <cell r="B5057" t="str">
            <v>MR</v>
          </cell>
          <cell r="C5057">
            <v>11</v>
          </cell>
          <cell r="D5057">
            <v>50</v>
          </cell>
          <cell r="E5057" t="str">
            <v>FH87</v>
          </cell>
          <cell r="F5057">
            <v>2080</v>
          </cell>
          <cell r="G5057">
            <v>29.2</v>
          </cell>
          <cell r="H5057">
            <v>1.2</v>
          </cell>
          <cell r="I5057" t="str">
            <v>From M1 to M4 - 20°</v>
          </cell>
          <cell r="J5057" t="str">
            <v>IE3</v>
          </cell>
          <cell r="K5057" t="str">
            <v>400/690</v>
          </cell>
          <cell r="L5057">
            <v>50</v>
          </cell>
          <cell r="M5057" t="str">
            <v>21/12,2</v>
          </cell>
          <cell r="N5057">
            <v>55</v>
          </cell>
          <cell r="O5057" t="str">
            <v>155(F)</v>
          </cell>
          <cell r="P5057" t="str">
            <v>270°</v>
          </cell>
          <cell r="Q5057" t="str">
            <v>TF</v>
          </cell>
          <cell r="R5057" t="str">
            <v>-</v>
          </cell>
          <cell r="S5057" t="str">
            <v>-</v>
          </cell>
          <cell r="T5057" t="str">
            <v>-</v>
          </cell>
          <cell r="U5057" t="str">
            <v>G</v>
          </cell>
          <cell r="V5057" t="str">
            <v>D</v>
          </cell>
          <cell r="W5057" t="str">
            <v>-</v>
          </cell>
          <cell r="X5057" t="str">
            <v>CLP 220 (-15/+40°C)</v>
          </cell>
          <cell r="Y5057" t="str">
            <v>FH87/G DRN160M4 /TF</v>
          </cell>
          <cell r="Z5057" t="str">
            <v>SEW</v>
          </cell>
          <cell r="AB5057" t="str">
            <v>-</v>
          </cell>
          <cell r="AF5057">
            <v>50</v>
          </cell>
          <cell r="AG5057" t="str">
            <v>DRN160M4</v>
          </cell>
          <cell r="AH5057" t="str">
            <v>FH87G-DRN160M4270-X</v>
          </cell>
        </row>
        <row r="5058">
          <cell r="A5058" t="str">
            <v>MR005047</v>
          </cell>
          <cell r="B5058" t="str">
            <v>MR</v>
          </cell>
          <cell r="C5058">
            <v>9.1999999999999993</v>
          </cell>
          <cell r="D5058">
            <v>47</v>
          </cell>
          <cell r="E5058" t="str">
            <v>KH87</v>
          </cell>
          <cell r="F5058">
            <v>1880</v>
          </cell>
          <cell r="G5058">
            <v>31.39</v>
          </cell>
          <cell r="H5058">
            <v>1.45</v>
          </cell>
          <cell r="I5058" t="str">
            <v>M4B</v>
          </cell>
          <cell r="J5058" t="str">
            <v>IE3</v>
          </cell>
          <cell r="K5058" t="str">
            <v>400/690</v>
          </cell>
          <cell r="L5058">
            <v>50</v>
          </cell>
          <cell r="M5058" t="str">
            <v>18,7/10,8</v>
          </cell>
          <cell r="N5058">
            <v>55</v>
          </cell>
          <cell r="O5058" t="str">
            <v>155(F)</v>
          </cell>
          <cell r="P5058" t="str">
            <v>270°</v>
          </cell>
          <cell r="Q5058" t="str">
            <v>TF</v>
          </cell>
          <cell r="R5058" t="str">
            <v>-</v>
          </cell>
          <cell r="S5058" t="str">
            <v>-</v>
          </cell>
          <cell r="T5058" t="str">
            <v>-</v>
          </cell>
          <cell r="U5058" t="str">
            <v>T</v>
          </cell>
          <cell r="V5058" t="str">
            <v>SS+R</v>
          </cell>
          <cell r="W5058" t="str">
            <v>-</v>
          </cell>
          <cell r="X5058" t="str">
            <v>CLP 220 (-15/+40°C)</v>
          </cell>
          <cell r="Y5058" t="str">
            <v>KH87/T DRN132L4 /TF</v>
          </cell>
          <cell r="Z5058" t="str">
            <v>SEW</v>
          </cell>
          <cell r="AB5058" t="str">
            <v>-</v>
          </cell>
          <cell r="AF5058">
            <v>47</v>
          </cell>
          <cell r="AG5058" t="str">
            <v>DRN132L4</v>
          </cell>
          <cell r="AH5058" t="str">
            <v>KH87T-DRN132L4B270-X</v>
          </cell>
        </row>
        <row r="5059">
          <cell r="A5059" t="str">
            <v>MR005048</v>
          </cell>
          <cell r="B5059" t="str">
            <v>MR</v>
          </cell>
          <cell r="C5059">
            <v>9.1999999999999993</v>
          </cell>
          <cell r="D5059">
            <v>47</v>
          </cell>
          <cell r="E5059" t="str">
            <v>KH87</v>
          </cell>
          <cell r="F5059">
            <v>1880</v>
          </cell>
          <cell r="G5059">
            <v>31.39</v>
          </cell>
          <cell r="H5059">
            <v>1.45</v>
          </cell>
          <cell r="I5059" t="str">
            <v>M4A</v>
          </cell>
          <cell r="J5059" t="str">
            <v>IE3</v>
          </cell>
          <cell r="K5059" t="str">
            <v>400/690</v>
          </cell>
          <cell r="L5059">
            <v>50</v>
          </cell>
          <cell r="M5059" t="str">
            <v>18,7/10,8</v>
          </cell>
          <cell r="N5059">
            <v>55</v>
          </cell>
          <cell r="O5059" t="str">
            <v>155(F)</v>
          </cell>
          <cell r="P5059" t="str">
            <v>270°</v>
          </cell>
          <cell r="Q5059" t="str">
            <v>TF</v>
          </cell>
          <cell r="R5059" t="str">
            <v>-</v>
          </cell>
          <cell r="S5059" t="str">
            <v>-</v>
          </cell>
          <cell r="T5059" t="str">
            <v>-</v>
          </cell>
          <cell r="U5059" t="str">
            <v>T</v>
          </cell>
          <cell r="V5059" t="str">
            <v>SS+R</v>
          </cell>
          <cell r="W5059" t="str">
            <v>-</v>
          </cell>
          <cell r="X5059" t="str">
            <v>CLP 220 (-15/+40°C)</v>
          </cell>
          <cell r="Y5059" t="str">
            <v>KH87/T DRN132L4 /TF</v>
          </cell>
          <cell r="Z5059" t="str">
            <v>SEW</v>
          </cell>
          <cell r="AB5059" t="str">
            <v>-</v>
          </cell>
          <cell r="AF5059">
            <v>47</v>
          </cell>
          <cell r="AG5059" t="str">
            <v>DRN132L4</v>
          </cell>
          <cell r="AH5059" t="str">
            <v>KH87T-DRN132L4A270-X</v>
          </cell>
        </row>
        <row r="5060">
          <cell r="A5060" t="str">
            <v>MR005049</v>
          </cell>
          <cell r="B5060" t="str">
            <v>MR</v>
          </cell>
          <cell r="C5060">
            <v>1.1000000000000001</v>
          </cell>
          <cell r="D5060">
            <v>7.3</v>
          </cell>
          <cell r="E5060" t="str">
            <v>FH77</v>
          </cell>
          <cell r="F5060">
            <v>1430</v>
          </cell>
          <cell r="G5060">
            <v>198.31</v>
          </cell>
          <cell r="H5060">
            <v>1.05</v>
          </cell>
          <cell r="I5060" t="str">
            <v xml:space="preserve">M6 </v>
          </cell>
          <cell r="J5060" t="str">
            <v>IE3</v>
          </cell>
          <cell r="K5060" t="str">
            <v>230/400</v>
          </cell>
          <cell r="L5060">
            <v>50</v>
          </cell>
          <cell r="M5060" t="str">
            <v>4,45/2,55</v>
          </cell>
          <cell r="N5060">
            <v>55</v>
          </cell>
          <cell r="O5060" t="str">
            <v>155(F)</v>
          </cell>
          <cell r="P5060" t="str">
            <v>0°</v>
          </cell>
          <cell r="Q5060" t="str">
            <v>TF</v>
          </cell>
          <cell r="R5060" t="str">
            <v>-</v>
          </cell>
          <cell r="S5060" t="str">
            <v>-</v>
          </cell>
          <cell r="T5060" t="str">
            <v>-</v>
          </cell>
          <cell r="U5060" t="str">
            <v>G</v>
          </cell>
          <cell r="V5060" t="str">
            <v>D</v>
          </cell>
          <cell r="W5060" t="str">
            <v>-</v>
          </cell>
          <cell r="X5060" t="str">
            <v>CLP 220 (-15/+40°C)</v>
          </cell>
          <cell r="Y5060" t="str">
            <v>FH77/G DRN90S4 /TF</v>
          </cell>
          <cell r="Z5060" t="str">
            <v>SEW</v>
          </cell>
          <cell r="AB5060" t="str">
            <v>-</v>
          </cell>
          <cell r="AF5060">
            <v>7.3</v>
          </cell>
          <cell r="AG5060" t="str">
            <v>DRN90S4</v>
          </cell>
          <cell r="AH5060" t="str">
            <v>FH77G-DRN90S40-X</v>
          </cell>
        </row>
        <row r="5061">
          <cell r="A5061" t="str">
            <v>MR005050</v>
          </cell>
          <cell r="B5061" t="str">
            <v>MR</v>
          </cell>
          <cell r="C5061">
            <v>9.1999999999999993</v>
          </cell>
          <cell r="D5061">
            <v>50</v>
          </cell>
          <cell r="E5061" t="str">
            <v>FH87</v>
          </cell>
          <cell r="F5061">
            <v>1740</v>
          </cell>
          <cell r="G5061">
            <v>29.2</v>
          </cell>
          <cell r="H5061">
            <v>1.45</v>
          </cell>
          <cell r="I5061" t="str">
            <v>M1</v>
          </cell>
          <cell r="J5061" t="str">
            <v>IE3</v>
          </cell>
          <cell r="K5061" t="str">
            <v>400/690</v>
          </cell>
          <cell r="L5061">
            <v>50</v>
          </cell>
          <cell r="M5061" t="str">
            <v>18,7/10,8</v>
          </cell>
          <cell r="N5061">
            <v>55</v>
          </cell>
          <cell r="O5061" t="str">
            <v>155(F)</v>
          </cell>
          <cell r="P5061" t="str">
            <v>270°</v>
          </cell>
          <cell r="Q5061" t="str">
            <v>TF</v>
          </cell>
          <cell r="R5061" t="str">
            <v>-</v>
          </cell>
          <cell r="S5061" t="str">
            <v>-</v>
          </cell>
          <cell r="T5061" t="str">
            <v>-</v>
          </cell>
          <cell r="U5061" t="str">
            <v>G</v>
          </cell>
          <cell r="V5061" t="str">
            <v>D+R</v>
          </cell>
          <cell r="W5061" t="str">
            <v>-</v>
          </cell>
          <cell r="X5061" t="str">
            <v>CLP 220 (-15/+40°C)</v>
          </cell>
          <cell r="Y5061" t="str">
            <v>FH87/G DRN132L4 /TF</v>
          </cell>
          <cell r="Z5061" t="str">
            <v>SEW</v>
          </cell>
          <cell r="AB5061" t="str">
            <v>-</v>
          </cell>
          <cell r="AF5061">
            <v>50</v>
          </cell>
          <cell r="AG5061" t="str">
            <v>DRN132L4</v>
          </cell>
          <cell r="AH5061" t="str">
            <v>FH87G-DRN132L4270-X</v>
          </cell>
        </row>
        <row r="5062">
          <cell r="A5062" t="str">
            <v>MR005051</v>
          </cell>
          <cell r="B5062" t="str">
            <v>MR</v>
          </cell>
          <cell r="C5062">
            <v>15</v>
          </cell>
          <cell r="D5062">
            <v>48</v>
          </cell>
          <cell r="E5062" t="str">
            <v>R107</v>
          </cell>
          <cell r="F5062">
            <v>2990</v>
          </cell>
          <cell r="G5062">
            <v>30.77</v>
          </cell>
          <cell r="H5062">
            <v>1.45</v>
          </cell>
          <cell r="I5062" t="str">
            <v>From M1 to M2 - 10°</v>
          </cell>
          <cell r="J5062" t="str">
            <v>IE3</v>
          </cell>
          <cell r="K5062" t="str">
            <v>400/690</v>
          </cell>
          <cell r="L5062">
            <v>50</v>
          </cell>
          <cell r="M5062" t="str">
            <v>29/16,7</v>
          </cell>
          <cell r="N5062">
            <v>55</v>
          </cell>
          <cell r="O5062" t="str">
            <v>155(F)</v>
          </cell>
          <cell r="P5062" t="str">
            <v>270°</v>
          </cell>
          <cell r="Q5062" t="str">
            <v>TF</v>
          </cell>
          <cell r="R5062" t="str">
            <v>-</v>
          </cell>
          <cell r="S5062" t="str">
            <v>-</v>
          </cell>
          <cell r="T5062" t="str">
            <v>-</v>
          </cell>
          <cell r="U5062" t="str">
            <v>-</v>
          </cell>
          <cell r="V5062" t="str">
            <v>D</v>
          </cell>
          <cell r="W5062" t="str">
            <v>-</v>
          </cell>
          <cell r="X5062" t="str">
            <v>CLP 220 (-15/+40°C)</v>
          </cell>
          <cell r="Y5062" t="str">
            <v>R107DRN160L4 /TF</v>
          </cell>
          <cell r="Z5062" t="str">
            <v>SEW</v>
          </cell>
          <cell r="AB5062" t="str">
            <v>-</v>
          </cell>
          <cell r="AF5062">
            <v>48</v>
          </cell>
          <cell r="AG5062" t="str">
            <v>DRN160L4</v>
          </cell>
          <cell r="AH5062" t="str">
            <v>R107-DRN160L4270-X</v>
          </cell>
        </row>
        <row r="5063">
          <cell r="A5063" t="str">
            <v>MR005052</v>
          </cell>
          <cell r="B5063" t="str">
            <v>MR</v>
          </cell>
          <cell r="C5063">
            <v>22</v>
          </cell>
          <cell r="D5063">
            <v>48</v>
          </cell>
          <cell r="E5063" t="str">
            <v>R127</v>
          </cell>
          <cell r="F5063">
            <v>4390</v>
          </cell>
          <cell r="G5063">
            <v>30.84</v>
          </cell>
          <cell r="H5063">
            <v>1.25</v>
          </cell>
          <cell r="I5063" t="str">
            <v>From M1 to M2 - 10°</v>
          </cell>
          <cell r="J5063" t="str">
            <v>IE3</v>
          </cell>
          <cell r="K5063" t="str">
            <v>400/690</v>
          </cell>
          <cell r="L5063">
            <v>50</v>
          </cell>
          <cell r="M5063" t="str">
            <v>38,5/22,5</v>
          </cell>
          <cell r="N5063">
            <v>55</v>
          </cell>
          <cell r="O5063" t="str">
            <v>155(F)</v>
          </cell>
          <cell r="P5063" t="str">
            <v>270°</v>
          </cell>
          <cell r="Q5063" t="str">
            <v>TF</v>
          </cell>
          <cell r="R5063" t="str">
            <v>-</v>
          </cell>
          <cell r="S5063" t="str">
            <v>-</v>
          </cell>
          <cell r="T5063" t="str">
            <v>-</v>
          </cell>
          <cell r="U5063" t="str">
            <v>-</v>
          </cell>
          <cell r="V5063" t="str">
            <v>D</v>
          </cell>
          <cell r="W5063" t="str">
            <v>-</v>
          </cell>
          <cell r="X5063" t="str">
            <v>CLP 220 (-15/+40°C)</v>
          </cell>
          <cell r="Y5063" t="str">
            <v>R127DRN180L4 /TF</v>
          </cell>
          <cell r="Z5063" t="str">
            <v>SEW</v>
          </cell>
          <cell r="AB5063" t="str">
            <v>-</v>
          </cell>
          <cell r="AF5063">
            <v>48</v>
          </cell>
          <cell r="AG5063" t="str">
            <v>DRN180L4</v>
          </cell>
          <cell r="AH5063" t="str">
            <v>R127-DRN180L4270-X</v>
          </cell>
        </row>
        <row r="5064">
          <cell r="A5064" t="str">
            <v>MR005053</v>
          </cell>
          <cell r="B5064" t="str">
            <v>MR</v>
          </cell>
          <cell r="C5064">
            <v>22</v>
          </cell>
          <cell r="D5064">
            <v>48</v>
          </cell>
          <cell r="E5064" t="str">
            <v>R127</v>
          </cell>
          <cell r="F5064">
            <v>4390</v>
          </cell>
          <cell r="G5064">
            <v>30.84</v>
          </cell>
          <cell r="H5064">
            <v>1.25</v>
          </cell>
          <cell r="I5064" t="str">
            <v>From M1 to M2 - 15°</v>
          </cell>
          <cell r="J5064" t="str">
            <v>IE3</v>
          </cell>
          <cell r="K5064" t="str">
            <v>400/690</v>
          </cell>
          <cell r="L5064">
            <v>50</v>
          </cell>
          <cell r="M5064" t="str">
            <v>38,5/22,5</v>
          </cell>
          <cell r="N5064">
            <v>55</v>
          </cell>
          <cell r="O5064" t="str">
            <v>155(F)</v>
          </cell>
          <cell r="P5064" t="str">
            <v>270°</v>
          </cell>
          <cell r="Q5064" t="str">
            <v>TF</v>
          </cell>
          <cell r="R5064" t="str">
            <v>-</v>
          </cell>
          <cell r="S5064" t="str">
            <v>-</v>
          </cell>
          <cell r="T5064" t="str">
            <v>-</v>
          </cell>
          <cell r="U5064" t="str">
            <v>-</v>
          </cell>
          <cell r="V5064" t="str">
            <v>D</v>
          </cell>
          <cell r="W5064" t="str">
            <v>-</v>
          </cell>
          <cell r="X5064" t="str">
            <v>CLP 220 (-15/+40°C)</v>
          </cell>
          <cell r="Y5064" t="str">
            <v>R127DRN180L4 /TF</v>
          </cell>
          <cell r="Z5064" t="str">
            <v>SEW</v>
          </cell>
          <cell r="AB5064" t="str">
            <v>-</v>
          </cell>
          <cell r="AF5064">
            <v>48</v>
          </cell>
          <cell r="AG5064" t="str">
            <v>DRN180L4</v>
          </cell>
          <cell r="AH5064" t="str">
            <v>R127-DRN180L4270-X</v>
          </cell>
        </row>
        <row r="5065">
          <cell r="A5065" t="str">
            <v>MR005054</v>
          </cell>
          <cell r="B5065" t="str">
            <v>MR</v>
          </cell>
          <cell r="C5065">
            <v>9.1999999999999993</v>
          </cell>
          <cell r="D5065">
            <v>55</v>
          </cell>
          <cell r="E5065" t="str">
            <v>FH87</v>
          </cell>
          <cell r="F5065">
            <v>1580</v>
          </cell>
          <cell r="G5065">
            <v>26.5</v>
          </cell>
          <cell r="H5065">
            <v>1.9</v>
          </cell>
          <cell r="I5065" t="str">
            <v>M1</v>
          </cell>
          <cell r="J5065" t="str">
            <v>IE3</v>
          </cell>
          <cell r="K5065" t="str">
            <v>400/690</v>
          </cell>
          <cell r="L5065">
            <v>50</v>
          </cell>
          <cell r="M5065" t="str">
            <v>18,7/10,8</v>
          </cell>
          <cell r="N5065">
            <v>55</v>
          </cell>
          <cell r="O5065" t="str">
            <v>155(F)</v>
          </cell>
          <cell r="P5065" t="str">
            <v>270°</v>
          </cell>
          <cell r="Q5065" t="str">
            <v>TF</v>
          </cell>
          <cell r="R5065" t="str">
            <v>-</v>
          </cell>
          <cell r="S5065" t="str">
            <v>-</v>
          </cell>
          <cell r="T5065" t="str">
            <v>-</v>
          </cell>
          <cell r="U5065" t="str">
            <v>G</v>
          </cell>
          <cell r="V5065" t="str">
            <v>D</v>
          </cell>
          <cell r="W5065" t="str">
            <v>-</v>
          </cell>
          <cell r="X5065" t="str">
            <v>CLP 220 (-15/+40°C)</v>
          </cell>
          <cell r="Y5065" t="str">
            <v>FH87/G DRN132L4 /TF</v>
          </cell>
          <cell r="Z5065" t="str">
            <v>SEW</v>
          </cell>
          <cell r="AB5065" t="str">
            <v>-</v>
          </cell>
          <cell r="AG5065" t="str">
            <v>DRN132L4</v>
          </cell>
          <cell r="AH5065" t="str">
            <v>FH87G-DRN132L4270-X</v>
          </cell>
        </row>
        <row r="5066">
          <cell r="A5066" t="str">
            <v>MR005055</v>
          </cell>
          <cell r="B5066" t="str">
            <v>MR</v>
          </cell>
          <cell r="C5066">
            <v>15</v>
          </cell>
          <cell r="D5066">
            <v>102</v>
          </cell>
          <cell r="E5066" t="str">
            <v>KH87</v>
          </cell>
          <cell r="F5066">
            <v>1400</v>
          </cell>
          <cell r="G5066">
            <v>14.45</v>
          </cell>
          <cell r="H5066">
            <v>1.5</v>
          </cell>
          <cell r="I5066" t="str">
            <v>From M4B to M1B - 15°</v>
          </cell>
          <cell r="J5066" t="str">
            <v>IE3</v>
          </cell>
          <cell r="K5066" t="str">
            <v>400/690</v>
          </cell>
          <cell r="L5066">
            <v>50</v>
          </cell>
          <cell r="M5066" t="str">
            <v>29/16,7</v>
          </cell>
          <cell r="N5066">
            <v>55</v>
          </cell>
          <cell r="O5066" t="str">
            <v>155(F)</v>
          </cell>
          <cell r="P5066" t="str">
            <v>270°</v>
          </cell>
          <cell r="Q5066" t="str">
            <v>TF</v>
          </cell>
          <cell r="R5066" t="str">
            <v>-</v>
          </cell>
          <cell r="S5066" t="str">
            <v>Free rotation CW</v>
          </cell>
          <cell r="T5066" t="str">
            <v>-</v>
          </cell>
          <cell r="U5066" t="str">
            <v>T</v>
          </cell>
          <cell r="V5066" t="str">
            <v>SS</v>
          </cell>
          <cell r="W5066" t="str">
            <v>-</v>
          </cell>
          <cell r="X5066" t="str">
            <v>CLP 220 (-15/+40°C)</v>
          </cell>
          <cell r="Y5066" t="str">
            <v>KH87/T DRN160L4 /RS /TF</v>
          </cell>
          <cell r="Z5066" t="str">
            <v>SEW</v>
          </cell>
          <cell r="AB5066" t="str">
            <v>-</v>
          </cell>
          <cell r="AF5066">
            <v>102</v>
          </cell>
          <cell r="AG5066" t="str">
            <v>DRN160L4</v>
          </cell>
          <cell r="AH5066" t="str">
            <v>KH87T-DRN160L4B270-X</v>
          </cell>
        </row>
        <row r="5067">
          <cell r="A5067" t="str">
            <v>MR005056</v>
          </cell>
          <cell r="B5067" t="str">
            <v>MR</v>
          </cell>
          <cell r="C5067">
            <v>0.75</v>
          </cell>
          <cell r="D5067">
            <v>162</v>
          </cell>
          <cell r="E5067" t="str">
            <v>KH37</v>
          </cell>
          <cell r="F5067">
            <v>44</v>
          </cell>
          <cell r="G5067">
            <v>8.91</v>
          </cell>
          <cell r="H5067">
            <v>3.6</v>
          </cell>
          <cell r="I5067" t="str">
            <v>From M3B to M2B - 15°</v>
          </cell>
          <cell r="J5067" t="str">
            <v>IE3</v>
          </cell>
          <cell r="K5067" t="str">
            <v>230/400</v>
          </cell>
          <cell r="L5067">
            <v>50</v>
          </cell>
          <cell r="M5067" t="str">
            <v>3,05/1,75</v>
          </cell>
          <cell r="N5067">
            <v>55</v>
          </cell>
          <cell r="O5067" t="str">
            <v>155(F)</v>
          </cell>
          <cell r="P5067" t="str">
            <v>0°</v>
          </cell>
          <cell r="Q5067" t="str">
            <v>TF</v>
          </cell>
          <cell r="R5067" t="str">
            <v>-</v>
          </cell>
          <cell r="S5067" t="str">
            <v>-</v>
          </cell>
          <cell r="T5067" t="str">
            <v>-</v>
          </cell>
          <cell r="U5067" t="str">
            <v>T</v>
          </cell>
          <cell r="V5067" t="str">
            <v>D</v>
          </cell>
          <cell r="W5067" t="str">
            <v>-</v>
          </cell>
          <cell r="X5067" t="str">
            <v>CLP 220 (-15/+40°C)</v>
          </cell>
          <cell r="Y5067" t="str">
            <v>KH37/T DRN80M4 /TF</v>
          </cell>
          <cell r="Z5067" t="str">
            <v>SEW</v>
          </cell>
          <cell r="AB5067" t="str">
            <v>-</v>
          </cell>
          <cell r="AF5067">
            <v>162</v>
          </cell>
          <cell r="AG5067" t="str">
            <v>DRN80M4</v>
          </cell>
          <cell r="AH5067" t="str">
            <v>KH37T-DRN80M4B0-X</v>
          </cell>
        </row>
        <row r="5068">
          <cell r="A5068" t="str">
            <v>MR005057</v>
          </cell>
          <cell r="B5068" t="str">
            <v>MR</v>
          </cell>
          <cell r="C5068">
            <v>7.5</v>
          </cell>
          <cell r="D5068">
            <v>63</v>
          </cell>
          <cell r="E5068" t="str">
            <v>R87</v>
          </cell>
          <cell r="F5068">
            <v>1140</v>
          </cell>
          <cell r="G5068">
            <v>23.4</v>
          </cell>
          <cell r="H5068">
            <v>1.05</v>
          </cell>
          <cell r="I5068" t="str">
            <v>From M1 to M2 - 20°</v>
          </cell>
          <cell r="J5068" t="str">
            <v>IE3</v>
          </cell>
          <cell r="K5068" t="str">
            <v>400/690</v>
          </cell>
          <cell r="L5068">
            <v>50</v>
          </cell>
          <cell r="M5068" t="str">
            <v>15,7/9</v>
          </cell>
          <cell r="N5068">
            <v>65</v>
          </cell>
          <cell r="O5068" t="str">
            <v>155(F)</v>
          </cell>
          <cell r="P5068" t="str">
            <v>270°</v>
          </cell>
          <cell r="Q5068" t="str">
            <v>TF</v>
          </cell>
          <cell r="R5068" t="str">
            <v>-</v>
          </cell>
          <cell r="S5068" t="str">
            <v>-</v>
          </cell>
          <cell r="T5068" t="str">
            <v>-</v>
          </cell>
          <cell r="U5068" t="str">
            <v>-</v>
          </cell>
          <cell r="V5068" t="str">
            <v>D</v>
          </cell>
          <cell r="W5068" t="str">
            <v>-</v>
          </cell>
          <cell r="X5068" t="str">
            <v>CLP HC 220 (-25/+60°C)</v>
          </cell>
          <cell r="Y5068" t="str">
            <v>R87EDRN132M4 /TF</v>
          </cell>
          <cell r="Z5068" t="str">
            <v>SEW</v>
          </cell>
          <cell r="AB5068" t="str">
            <v>ATEX22</v>
          </cell>
          <cell r="AF5068">
            <v>63</v>
          </cell>
          <cell r="AG5068" t="str">
            <v>EDRN132M4</v>
          </cell>
          <cell r="AH5068" t="str">
            <v>R87-EDRN132M4270-X</v>
          </cell>
        </row>
        <row r="5069">
          <cell r="A5069" t="str">
            <v>MR005058</v>
          </cell>
          <cell r="B5069" t="str">
            <v>MR</v>
          </cell>
          <cell r="C5069">
            <v>5.5</v>
          </cell>
          <cell r="D5069">
            <v>62</v>
          </cell>
          <cell r="E5069" t="str">
            <v>R87</v>
          </cell>
          <cell r="F5069">
            <v>840</v>
          </cell>
          <cell r="G5069">
            <v>23.4</v>
          </cell>
          <cell r="H5069">
            <v>1.85</v>
          </cell>
          <cell r="I5069" t="str">
            <v>From M1 to M4 - 15°</v>
          </cell>
          <cell r="J5069" t="str">
            <v>IE3</v>
          </cell>
          <cell r="K5069" t="str">
            <v>230/400</v>
          </cell>
          <cell r="L5069">
            <v>50</v>
          </cell>
          <cell r="M5069" t="str">
            <v>19,3/11,1</v>
          </cell>
          <cell r="N5069">
            <v>55</v>
          </cell>
          <cell r="O5069" t="str">
            <v>155(F)</v>
          </cell>
          <cell r="P5069" t="str">
            <v>270°</v>
          </cell>
          <cell r="Q5069" t="str">
            <v>TF</v>
          </cell>
          <cell r="R5069" t="str">
            <v>-</v>
          </cell>
          <cell r="S5069" t="str">
            <v>-</v>
          </cell>
          <cell r="T5069" t="str">
            <v>-</v>
          </cell>
          <cell r="U5069" t="str">
            <v>-</v>
          </cell>
          <cell r="V5069" t="str">
            <v>D</v>
          </cell>
          <cell r="W5069" t="str">
            <v>-</v>
          </cell>
          <cell r="X5069" t="str">
            <v>CLP 220 (-15/+40°C)</v>
          </cell>
          <cell r="Y5069" t="str">
            <v>R87DRN132S4 /TF</v>
          </cell>
          <cell r="Z5069" t="str">
            <v>SEW</v>
          </cell>
          <cell r="AB5069" t="str">
            <v>-</v>
          </cell>
          <cell r="AF5069">
            <v>62</v>
          </cell>
          <cell r="AG5069" t="str">
            <v>DRN132S4</v>
          </cell>
          <cell r="AH5069" t="str">
            <v>R87-DRN132S4270-X</v>
          </cell>
        </row>
        <row r="5070">
          <cell r="A5070" t="str">
            <v>MR005059</v>
          </cell>
          <cell r="B5070" t="str">
            <v>MR</v>
          </cell>
          <cell r="C5070">
            <v>37</v>
          </cell>
          <cell r="D5070">
            <v>32</v>
          </cell>
          <cell r="E5070" t="str">
            <v>R147</v>
          </cell>
          <cell r="F5070">
            <v>11100</v>
          </cell>
          <cell r="G5070">
            <v>46.65</v>
          </cell>
          <cell r="H5070">
            <v>1.1000000000000001</v>
          </cell>
          <cell r="I5070" t="str">
            <v>M1</v>
          </cell>
          <cell r="J5070" t="str">
            <v>IE3</v>
          </cell>
          <cell r="K5070" t="str">
            <v>400/690</v>
          </cell>
          <cell r="L5070">
            <v>50</v>
          </cell>
          <cell r="M5070" t="str">
            <v>65/37,5</v>
          </cell>
          <cell r="N5070">
            <v>55</v>
          </cell>
          <cell r="O5070" t="str">
            <v>155(F)</v>
          </cell>
          <cell r="P5070" t="str">
            <v>270°</v>
          </cell>
          <cell r="Q5070" t="str">
            <v>TF</v>
          </cell>
          <cell r="R5070" t="str">
            <v>V(VE)</v>
          </cell>
          <cell r="S5070" t="str">
            <v>-</v>
          </cell>
          <cell r="T5070" t="str">
            <v>-</v>
          </cell>
          <cell r="U5070" t="str">
            <v>-</v>
          </cell>
          <cell r="V5070" t="str">
            <v>FC</v>
          </cell>
          <cell r="W5070" t="str">
            <v>-</v>
          </cell>
          <cell r="X5070" t="str">
            <v>CLP HC 220 (-25/+60°C)</v>
          </cell>
          <cell r="Y5070" t="str">
            <v>R147EDRN225S4 /TF/VE</v>
          </cell>
          <cell r="Z5070" t="str">
            <v>SEW</v>
          </cell>
          <cell r="AB5070" t="str">
            <v>ATEX22</v>
          </cell>
          <cell r="AF5070">
            <v>32</v>
          </cell>
          <cell r="AG5070" t="str">
            <v>EDRN225S4</v>
          </cell>
          <cell r="AH5070" t="str">
            <v>R147-EDRN225S4270-X#</v>
          </cell>
        </row>
        <row r="5071">
          <cell r="A5071" t="str">
            <v>MR005060</v>
          </cell>
          <cell r="B5071" t="str">
            <v>MR</v>
          </cell>
          <cell r="C5071">
            <v>3</v>
          </cell>
          <cell r="D5071">
            <v>7.2</v>
          </cell>
          <cell r="E5071" t="str">
            <v>R107</v>
          </cell>
          <cell r="F5071">
            <v>3960</v>
          </cell>
          <cell r="G5071">
            <v>203.16</v>
          </cell>
          <cell r="H5071">
            <v>1.1000000000000001</v>
          </cell>
          <cell r="I5071" t="str">
            <v>M1</v>
          </cell>
          <cell r="J5071" t="str">
            <v>IE4</v>
          </cell>
          <cell r="K5071" t="str">
            <v>400/690</v>
          </cell>
          <cell r="L5071">
            <v>50</v>
          </cell>
          <cell r="M5071" t="str">
            <v>6,1/3,5</v>
          </cell>
          <cell r="N5071">
            <v>65</v>
          </cell>
          <cell r="O5071" t="str">
            <v>155(F)</v>
          </cell>
          <cell r="P5071" t="str">
            <v>270°</v>
          </cell>
          <cell r="Q5071" t="str">
            <v>TF</v>
          </cell>
          <cell r="R5071" t="str">
            <v>V(VE)</v>
          </cell>
          <cell r="S5071" t="str">
            <v>-</v>
          </cell>
          <cell r="T5071" t="str">
            <v>-</v>
          </cell>
          <cell r="U5071" t="str">
            <v>-</v>
          </cell>
          <cell r="V5071" t="str">
            <v>FC</v>
          </cell>
          <cell r="W5071" t="str">
            <v>-</v>
          </cell>
          <cell r="X5071" t="str">
            <v>CLP 220 (-15/+40°C)</v>
          </cell>
          <cell r="Y5071" t="str">
            <v>R107DRU112M4/TF/V</v>
          </cell>
          <cell r="Z5071" t="str">
            <v>SEW</v>
          </cell>
          <cell r="AB5071" t="str">
            <v>-</v>
          </cell>
          <cell r="AF5071">
            <v>7.2</v>
          </cell>
          <cell r="AG5071" t="str">
            <v>DRN100L4</v>
          </cell>
          <cell r="AH5071" t="str">
            <v>R107-DRN100L4270-X#</v>
          </cell>
        </row>
        <row r="5072">
          <cell r="A5072" t="str">
            <v>MR005061</v>
          </cell>
          <cell r="B5072" t="str">
            <v>MR</v>
          </cell>
          <cell r="C5072">
            <v>30</v>
          </cell>
          <cell r="D5072">
            <v>8.1999999999999993</v>
          </cell>
          <cell r="E5072" t="str">
            <v>KH167R107</v>
          </cell>
          <cell r="F5072">
            <v>32200</v>
          </cell>
          <cell r="G5072">
            <v>180</v>
          </cell>
          <cell r="H5072">
            <v>1.1000000000000001</v>
          </cell>
          <cell r="I5072" t="str">
            <v>From M4A to M1A-25°</v>
          </cell>
          <cell r="J5072" t="str">
            <v>IE3</v>
          </cell>
          <cell r="K5072" t="str">
            <v>400/690</v>
          </cell>
          <cell r="L5072">
            <v>50</v>
          </cell>
          <cell r="M5072" t="str">
            <v>57/33</v>
          </cell>
          <cell r="N5072">
            <v>65</v>
          </cell>
          <cell r="O5072" t="str">
            <v>155(F)</v>
          </cell>
          <cell r="P5072" t="str">
            <v>270°</v>
          </cell>
          <cell r="Q5072" t="str">
            <v>TF</v>
          </cell>
          <cell r="R5072" t="str">
            <v>V(VE)</v>
          </cell>
          <cell r="S5072" t="str">
            <v>-</v>
          </cell>
          <cell r="T5072" t="str">
            <v>-</v>
          </cell>
          <cell r="U5072" t="str">
            <v>-</v>
          </cell>
          <cell r="V5072" t="str">
            <v>FC</v>
          </cell>
          <cell r="W5072" t="str">
            <v>-</v>
          </cell>
          <cell r="X5072" t="str">
            <v>CLP HC 220 (-25/+60°C)</v>
          </cell>
          <cell r="Y5072" t="str">
            <v>KH167R107EDRN200L4 /TF/VE</v>
          </cell>
          <cell r="Z5072" t="str">
            <v>SEW</v>
          </cell>
          <cell r="AB5072" t="str">
            <v>ATEX22</v>
          </cell>
          <cell r="AF5072">
            <v>8.1999999999999993</v>
          </cell>
          <cell r="AG5072" t="str">
            <v>EDRN200L4</v>
          </cell>
          <cell r="AH5072" t="str">
            <v>KH167R107-EDRN200L4A270-X#</v>
          </cell>
        </row>
        <row r="5073">
          <cell r="A5073" t="str">
            <v>MR005062</v>
          </cell>
          <cell r="B5073" t="str">
            <v>MR</v>
          </cell>
          <cell r="C5073">
            <v>30</v>
          </cell>
          <cell r="D5073">
            <v>8.1999999999999993</v>
          </cell>
          <cell r="E5073" t="str">
            <v>KH167R107</v>
          </cell>
          <cell r="F5073">
            <v>32200</v>
          </cell>
          <cell r="G5073">
            <v>180</v>
          </cell>
          <cell r="H5073">
            <v>1.1000000000000001</v>
          </cell>
          <cell r="I5073" t="str">
            <v>From M4B to M1B-25°</v>
          </cell>
          <cell r="J5073" t="str">
            <v>IE3</v>
          </cell>
          <cell r="K5073" t="str">
            <v>400/690</v>
          </cell>
          <cell r="L5073">
            <v>50</v>
          </cell>
          <cell r="M5073" t="str">
            <v>57/33</v>
          </cell>
          <cell r="N5073">
            <v>65</v>
          </cell>
          <cell r="O5073" t="str">
            <v>155(F)</v>
          </cell>
          <cell r="P5073" t="str">
            <v>270°</v>
          </cell>
          <cell r="Q5073" t="str">
            <v>TF</v>
          </cell>
          <cell r="R5073" t="str">
            <v>V(VE)</v>
          </cell>
          <cell r="S5073" t="str">
            <v>-</v>
          </cell>
          <cell r="T5073" t="str">
            <v>-</v>
          </cell>
          <cell r="U5073" t="str">
            <v>-</v>
          </cell>
          <cell r="V5073" t="str">
            <v>FC</v>
          </cell>
          <cell r="W5073" t="str">
            <v>-</v>
          </cell>
          <cell r="X5073" t="str">
            <v>CLP HC 220 (-25/+60°C)</v>
          </cell>
          <cell r="Y5073" t="str">
            <v>KH167R107EDRN200L4 /TF/VE</v>
          </cell>
          <cell r="Z5073" t="str">
            <v>SEW</v>
          </cell>
          <cell r="AB5073" t="str">
            <v>ATEX22</v>
          </cell>
          <cell r="AF5073">
            <v>8.1999999999999993</v>
          </cell>
          <cell r="AG5073" t="str">
            <v>EDRN200L4</v>
          </cell>
          <cell r="AH5073" t="str">
            <v>KH167R107-EDRN200L4B270-X#</v>
          </cell>
        </row>
        <row r="5074">
          <cell r="A5074" t="str">
            <v>MR005063</v>
          </cell>
          <cell r="B5074" t="str">
            <v>MR</v>
          </cell>
          <cell r="C5074">
            <v>11</v>
          </cell>
          <cell r="D5074">
            <v>48</v>
          </cell>
          <cell r="E5074" t="str">
            <v>KH97</v>
          </cell>
          <cell r="F5074">
            <v>2200</v>
          </cell>
          <cell r="G5074" t="str">
            <v>30,82</v>
          </cell>
          <cell r="H5074">
            <v>1.95</v>
          </cell>
          <cell r="I5074" t="str">
            <v>From M4B to M1B - 30°</v>
          </cell>
          <cell r="J5074" t="str">
            <v>IE3</v>
          </cell>
          <cell r="K5074" t="str">
            <v>400/690</v>
          </cell>
          <cell r="L5074">
            <v>50</v>
          </cell>
          <cell r="M5074" t="str">
            <v>21/12,2</v>
          </cell>
          <cell r="N5074">
            <v>65</v>
          </cell>
          <cell r="O5074" t="str">
            <v>155(F)</v>
          </cell>
          <cell r="P5074" t="str">
            <v>270°</v>
          </cell>
          <cell r="Q5074" t="str">
            <v>TF</v>
          </cell>
          <cell r="R5074" t="str">
            <v>-</v>
          </cell>
          <cell r="S5074" t="str">
            <v>Free rotation CW</v>
          </cell>
          <cell r="T5074" t="str">
            <v>-</v>
          </cell>
          <cell r="U5074" t="str">
            <v>T</v>
          </cell>
          <cell r="V5074" t="str">
            <v>SS</v>
          </cell>
          <cell r="W5074" t="str">
            <v>-</v>
          </cell>
          <cell r="X5074" t="str">
            <v>CLP HC 220 (-25/+60°C)</v>
          </cell>
          <cell r="Y5074" t="str">
            <v>KH97/T EDRN160M4 /RS /TF</v>
          </cell>
          <cell r="Z5074" t="str">
            <v>SEW</v>
          </cell>
          <cell r="AB5074" t="str">
            <v>ATEX22</v>
          </cell>
          <cell r="AF5074">
            <v>48</v>
          </cell>
          <cell r="AG5074" t="str">
            <v>EDRN160M4</v>
          </cell>
          <cell r="AH5074" t="str">
            <v>KH97T-EDRN160M4B270-X</v>
          </cell>
        </row>
        <row r="5075">
          <cell r="A5075" t="str">
            <v>MR005064</v>
          </cell>
          <cell r="B5075" t="str">
            <v>MR</v>
          </cell>
          <cell r="C5075">
            <v>11</v>
          </cell>
          <cell r="D5075">
            <v>48</v>
          </cell>
          <cell r="E5075" t="str">
            <v>KH97</v>
          </cell>
          <cell r="F5075">
            <v>2200</v>
          </cell>
          <cell r="G5075">
            <v>30.82</v>
          </cell>
          <cell r="H5075">
            <v>1.95</v>
          </cell>
          <cell r="I5075" t="str">
            <v xml:space="preserve"> M4A</v>
          </cell>
          <cell r="J5075" t="str">
            <v>IE3</v>
          </cell>
          <cell r="K5075" t="str">
            <v>400/690</v>
          </cell>
          <cell r="L5075">
            <v>50</v>
          </cell>
          <cell r="M5075" t="str">
            <v>21/12,2</v>
          </cell>
          <cell r="N5075">
            <v>65</v>
          </cell>
          <cell r="O5075" t="str">
            <v>155(F)</v>
          </cell>
          <cell r="P5075" t="str">
            <v>270°</v>
          </cell>
          <cell r="Q5075" t="str">
            <v>TF</v>
          </cell>
          <cell r="R5075" t="str">
            <v>-</v>
          </cell>
          <cell r="S5075" t="str">
            <v>-</v>
          </cell>
          <cell r="T5075" t="str">
            <v>-</v>
          </cell>
          <cell r="U5075" t="str">
            <v>T</v>
          </cell>
          <cell r="V5075" t="str">
            <v>SS</v>
          </cell>
          <cell r="W5075" t="str">
            <v>-</v>
          </cell>
          <cell r="X5075" t="str">
            <v>CLP HC 220 (-25/+60°C)</v>
          </cell>
          <cell r="Y5075" t="str">
            <v>KH97/T EDRN160M4 /TF</v>
          </cell>
          <cell r="Z5075" t="str">
            <v>SEW</v>
          </cell>
          <cell r="AB5075" t="str">
            <v>ATEX22</v>
          </cell>
          <cell r="AF5075">
            <v>48</v>
          </cell>
          <cell r="AG5075" t="str">
            <v>EDRN160M4</v>
          </cell>
          <cell r="AH5075" t="str">
            <v>KH97T-EDRN160M4A270-X</v>
          </cell>
        </row>
        <row r="5076">
          <cell r="A5076" t="str">
            <v>MR005065</v>
          </cell>
          <cell r="B5076" t="str">
            <v>MR</v>
          </cell>
          <cell r="C5076">
            <v>1.1000000000000001</v>
          </cell>
          <cell r="D5076">
            <v>7.3</v>
          </cell>
          <cell r="E5076" t="str">
            <v>FH77</v>
          </cell>
          <cell r="F5076">
            <v>1430</v>
          </cell>
          <cell r="G5076">
            <v>198.31</v>
          </cell>
          <cell r="H5076">
            <v>1.05</v>
          </cell>
          <cell r="I5076" t="str">
            <v>From M6 to M3 - 30°</v>
          </cell>
          <cell r="J5076" t="str">
            <v>IE3</v>
          </cell>
          <cell r="K5076" t="str">
            <v>230/400</v>
          </cell>
          <cell r="L5076">
            <v>50</v>
          </cell>
          <cell r="M5076" t="str">
            <v>4,45/2,55</v>
          </cell>
          <cell r="N5076">
            <v>65</v>
          </cell>
          <cell r="O5076" t="str">
            <v>155(F)</v>
          </cell>
          <cell r="P5076" t="str">
            <v>0°</v>
          </cell>
          <cell r="Q5076" t="str">
            <v>TF</v>
          </cell>
          <cell r="R5076" t="str">
            <v>-</v>
          </cell>
          <cell r="S5076" t="str">
            <v>-</v>
          </cell>
          <cell r="T5076" t="str">
            <v>-</v>
          </cell>
          <cell r="U5076" t="str">
            <v>G</v>
          </cell>
          <cell r="V5076" t="str">
            <v>D</v>
          </cell>
          <cell r="W5076" t="str">
            <v>-</v>
          </cell>
          <cell r="X5076" t="str">
            <v>CLP HC 220 (-25/+60°C)</v>
          </cell>
          <cell r="Y5076" t="str">
            <v>FH77/G EDRN90S4 /TF</v>
          </cell>
          <cell r="Z5076" t="str">
            <v>SEW</v>
          </cell>
          <cell r="AB5076" t="str">
            <v>ATEX22</v>
          </cell>
          <cell r="AF5076">
            <v>7.3</v>
          </cell>
          <cell r="AG5076" t="str">
            <v>EDRN90S4</v>
          </cell>
          <cell r="AH5076" t="str">
            <v>FH77G-EDRN90S40-X</v>
          </cell>
        </row>
        <row r="5077">
          <cell r="A5077" t="str">
            <v>MR005066</v>
          </cell>
          <cell r="B5077" t="str">
            <v>MR</v>
          </cell>
          <cell r="C5077">
            <v>0.75</v>
          </cell>
          <cell r="D5077">
            <v>162</v>
          </cell>
          <cell r="E5077" t="str">
            <v>KH37</v>
          </cell>
          <cell r="F5077">
            <v>44</v>
          </cell>
          <cell r="G5077">
            <v>8.91</v>
          </cell>
          <cell r="H5077">
            <v>3.6</v>
          </cell>
          <cell r="I5077" t="str">
            <v>From M3A to M2A - 45°</v>
          </cell>
          <cell r="J5077" t="str">
            <v>IE3</v>
          </cell>
          <cell r="K5077" t="str">
            <v>230/400</v>
          </cell>
          <cell r="L5077">
            <v>50</v>
          </cell>
          <cell r="M5077" t="str">
            <v>3,05/1,75</v>
          </cell>
          <cell r="N5077">
            <v>65</v>
          </cell>
          <cell r="O5077" t="str">
            <v>155(F)</v>
          </cell>
          <cell r="P5077" t="str">
            <v>180°</v>
          </cell>
          <cell r="Q5077" t="str">
            <v>TF</v>
          </cell>
          <cell r="R5077" t="str">
            <v>-</v>
          </cell>
          <cell r="S5077" t="str">
            <v>-</v>
          </cell>
          <cell r="T5077" t="str">
            <v>-</v>
          </cell>
          <cell r="U5077" t="str">
            <v>T</v>
          </cell>
          <cell r="V5077" t="str">
            <v>D</v>
          </cell>
          <cell r="W5077" t="str">
            <v>-</v>
          </cell>
          <cell r="X5077" t="str">
            <v>CLP HC 220 (-25/+60°C)</v>
          </cell>
          <cell r="Y5077" t="str">
            <v>KH37/T EDRN80M4 /TF</v>
          </cell>
          <cell r="Z5077" t="str">
            <v>SEW</v>
          </cell>
          <cell r="AB5077" t="str">
            <v>ATEX22</v>
          </cell>
          <cell r="AF5077">
            <v>162</v>
          </cell>
          <cell r="AG5077" t="str">
            <v>EDRN80M4</v>
          </cell>
          <cell r="AH5077" t="str">
            <v>KH37T-EDRN80M4A180-X</v>
          </cell>
        </row>
        <row r="5078">
          <cell r="A5078" t="str">
            <v>MR005067</v>
          </cell>
          <cell r="B5078" t="str">
            <v>MR</v>
          </cell>
          <cell r="C5078">
            <v>2.2000000000000002</v>
          </cell>
          <cell r="D5078">
            <v>84</v>
          </cell>
          <cell r="E5078" t="str">
            <v>FH47</v>
          </cell>
          <cell r="F5078">
            <v>250</v>
          </cell>
          <cell r="G5078">
            <v>17.329999999999998</v>
          </cell>
          <cell r="H5078">
            <v>1.8</v>
          </cell>
          <cell r="I5078" t="str">
            <v>M6</v>
          </cell>
          <cell r="J5078" t="str">
            <v>IE3</v>
          </cell>
          <cell r="K5078" t="str">
            <v>230/400</v>
          </cell>
          <cell r="L5078">
            <v>50</v>
          </cell>
          <cell r="M5078" t="str">
            <v>8,3/4,8</v>
          </cell>
          <cell r="N5078">
            <v>65</v>
          </cell>
          <cell r="O5078" t="str">
            <v>155(F)</v>
          </cell>
          <cell r="P5078" t="str">
            <v>0°</v>
          </cell>
          <cell r="Q5078" t="str">
            <v>TF</v>
          </cell>
          <cell r="R5078" t="str">
            <v>-</v>
          </cell>
          <cell r="S5078" t="str">
            <v>-</v>
          </cell>
          <cell r="T5078" t="str">
            <v>-</v>
          </cell>
          <cell r="U5078" t="str">
            <v>G</v>
          </cell>
          <cell r="V5078" t="str">
            <v>D</v>
          </cell>
          <cell r="W5078" t="str">
            <v>-</v>
          </cell>
          <cell r="X5078" t="str">
            <v>CLP HC 220 (-25/+60°C)</v>
          </cell>
          <cell r="Y5078" t="str">
            <v>FH47/G EDRN100LS4 /TF</v>
          </cell>
          <cell r="Z5078" t="str">
            <v>SEW</v>
          </cell>
          <cell r="AB5078" t="str">
            <v>ATEX22</v>
          </cell>
          <cell r="AF5078">
            <v>84</v>
          </cell>
          <cell r="AG5078" t="str">
            <v>EDRN100LS4</v>
          </cell>
          <cell r="AH5078" t="str">
            <v>FH47G-EDRN100LS40-X</v>
          </cell>
        </row>
        <row r="5079">
          <cell r="A5079" t="str">
            <v>MR005068</v>
          </cell>
          <cell r="B5079" t="str">
            <v>MR</v>
          </cell>
          <cell r="C5079">
            <v>4</v>
          </cell>
          <cell r="D5079">
            <v>66</v>
          </cell>
          <cell r="E5079" t="str">
            <v>FH67</v>
          </cell>
          <cell r="F5079">
            <v>575</v>
          </cell>
          <cell r="G5079" t="str">
            <v>22,05</v>
          </cell>
          <cell r="H5079">
            <v>1.5</v>
          </cell>
          <cell r="I5079" t="str">
            <v>M1</v>
          </cell>
          <cell r="J5079" t="str">
            <v>IE3</v>
          </cell>
          <cell r="K5079" t="str">
            <v>230/400</v>
          </cell>
          <cell r="L5079">
            <v>50</v>
          </cell>
          <cell r="M5079" t="str">
            <v>14,2/8,2</v>
          </cell>
          <cell r="N5079">
            <v>65</v>
          </cell>
          <cell r="O5079" t="str">
            <v>155(F)</v>
          </cell>
          <cell r="P5079" t="str">
            <v>270°</v>
          </cell>
          <cell r="Q5079" t="str">
            <v>TF</v>
          </cell>
          <cell r="R5079" t="str">
            <v>-</v>
          </cell>
          <cell r="S5079" t="str">
            <v>-</v>
          </cell>
          <cell r="T5079" t="str">
            <v>-</v>
          </cell>
          <cell r="U5079" t="str">
            <v>G</v>
          </cell>
          <cell r="V5079" t="str">
            <v>D</v>
          </cell>
          <cell r="W5079" t="str">
            <v>-</v>
          </cell>
          <cell r="X5079" t="str">
            <v>CLP HC 220 (-25/+60°C)</v>
          </cell>
          <cell r="Y5079" t="str">
            <v>FH67/G EDRN112M4 /TF</v>
          </cell>
          <cell r="Z5079" t="str">
            <v>SEW</v>
          </cell>
          <cell r="AB5079" t="str">
            <v>ATEX22</v>
          </cell>
          <cell r="AF5079">
            <v>66</v>
          </cell>
          <cell r="AG5079" t="str">
            <v>EDRN112M4</v>
          </cell>
          <cell r="AH5079" t="str">
            <v>FH67G-EDRN112M4270-X</v>
          </cell>
        </row>
        <row r="5080">
          <cell r="A5080" t="str">
            <v>MR005069</v>
          </cell>
          <cell r="B5080" t="str">
            <v>MR</v>
          </cell>
          <cell r="C5080">
            <v>5.5</v>
          </cell>
          <cell r="D5080">
            <v>14</v>
          </cell>
          <cell r="E5080" t="str">
            <v>KH97</v>
          </cell>
          <cell r="F5080">
            <v>3770</v>
          </cell>
          <cell r="G5080">
            <v>105.13</v>
          </cell>
          <cell r="H5080">
            <v>1.1000000000000001</v>
          </cell>
          <cell r="I5080" t="str">
            <v>M1A</v>
          </cell>
          <cell r="J5080" t="str">
            <v>IE3</v>
          </cell>
          <cell r="K5080" t="str">
            <v>230/400</v>
          </cell>
          <cell r="L5080">
            <v>50</v>
          </cell>
          <cell r="M5080" t="str">
            <v>18,2/10,5</v>
          </cell>
          <cell r="N5080">
            <v>55</v>
          </cell>
          <cell r="O5080" t="str">
            <v>155(F)</v>
          </cell>
          <cell r="P5080" t="str">
            <v>180°</v>
          </cell>
          <cell r="Q5080" t="str">
            <v>TF</v>
          </cell>
          <cell r="R5080" t="str">
            <v>-</v>
          </cell>
          <cell r="S5080" t="str">
            <v>-</v>
          </cell>
          <cell r="T5080" t="str">
            <v>-</v>
          </cell>
          <cell r="U5080" t="str">
            <v>-</v>
          </cell>
          <cell r="V5080" t="str">
            <v>SS</v>
          </cell>
          <cell r="W5080" t="str">
            <v>-</v>
          </cell>
          <cell r="X5080" t="str">
            <v>CLP HC 220 (-25/+60°C)</v>
          </cell>
          <cell r="Y5080" t="str">
            <v>KH97EDRN132S4 /TF</v>
          </cell>
          <cell r="Z5080" t="str">
            <v>SEW</v>
          </cell>
          <cell r="AB5080" t="str">
            <v>ATEX22</v>
          </cell>
          <cell r="AF5080">
            <v>14</v>
          </cell>
          <cell r="AG5080" t="str">
            <v>EDRN132S4</v>
          </cell>
          <cell r="AH5080" t="str">
            <v>KH97-EDRN132S4A180-X</v>
          </cell>
        </row>
        <row r="5081">
          <cell r="A5081" t="str">
            <v>MR005070</v>
          </cell>
          <cell r="B5081" t="str">
            <v>MR</v>
          </cell>
          <cell r="C5081">
            <v>5.5</v>
          </cell>
          <cell r="D5081">
            <v>30</v>
          </cell>
          <cell r="E5081" t="str">
            <v>KA87</v>
          </cell>
          <cell r="F5081">
            <v>1760</v>
          </cell>
          <cell r="G5081">
            <v>49.16</v>
          </cell>
          <cell r="H5081">
            <v>1.55</v>
          </cell>
          <cell r="I5081" t="str">
            <v>From M1 to M4A - 35°</v>
          </cell>
          <cell r="J5081" t="str">
            <v>IE3</v>
          </cell>
          <cell r="K5081" t="str">
            <v>230/400</v>
          </cell>
          <cell r="L5081">
            <v>50</v>
          </cell>
          <cell r="M5081" t="str">
            <v>19,3/11,1</v>
          </cell>
          <cell r="N5081">
            <v>55</v>
          </cell>
          <cell r="O5081" t="str">
            <v>155(F)</v>
          </cell>
          <cell r="P5081" t="str">
            <v>90°</v>
          </cell>
          <cell r="Q5081" t="str">
            <v>TF</v>
          </cell>
          <cell r="R5081" t="str">
            <v>-</v>
          </cell>
          <cell r="S5081" t="str">
            <v>-</v>
          </cell>
          <cell r="T5081" t="str">
            <v>-</v>
          </cell>
          <cell r="U5081" t="str">
            <v>T</v>
          </cell>
          <cell r="V5081" t="str">
            <v>FC</v>
          </cell>
          <cell r="W5081" t="str">
            <v>-</v>
          </cell>
          <cell r="X5081" t="str">
            <v>CLP 220 (-15/+40°C)</v>
          </cell>
          <cell r="Y5081" t="str">
            <v>KA87/T AMS132S/M DRN132S4/TF</v>
          </cell>
          <cell r="Z5081" t="str">
            <v>SEW</v>
          </cell>
          <cell r="AB5081" t="str">
            <v>-</v>
          </cell>
          <cell r="AE5081" t="str">
            <v>Universal AMS coupling with IEC motor</v>
          </cell>
          <cell r="AF5081">
            <v>30</v>
          </cell>
          <cell r="AG5081" t="str">
            <v>DRN132S4</v>
          </cell>
          <cell r="AH5081" t="str">
            <v>KA87T-DRN132S4A90-X</v>
          </cell>
        </row>
        <row r="5082">
          <cell r="A5082" t="str">
            <v>MR005071</v>
          </cell>
          <cell r="B5082" t="str">
            <v>MR</v>
          </cell>
          <cell r="C5082">
            <v>11</v>
          </cell>
          <cell r="D5082">
            <v>15</v>
          </cell>
          <cell r="E5082" t="str">
            <v>KH107</v>
          </cell>
          <cell r="F5082">
            <v>7180</v>
          </cell>
          <cell r="G5082">
            <v>100.75</v>
          </cell>
          <cell r="H5082">
            <v>1.1000000000000001</v>
          </cell>
          <cell r="I5082" t="str">
            <v>From M1 to M4B - 50°</v>
          </cell>
          <cell r="J5082" t="str">
            <v>IE3</v>
          </cell>
          <cell r="K5082" t="str">
            <v>400/690</v>
          </cell>
          <cell r="L5082">
            <v>50</v>
          </cell>
          <cell r="M5082" t="str">
            <v>21/12,2</v>
          </cell>
          <cell r="N5082">
            <v>55</v>
          </cell>
          <cell r="O5082" t="str">
            <v>155(F)</v>
          </cell>
          <cell r="P5082" t="str">
            <v>270°</v>
          </cell>
          <cell r="Q5082" t="str">
            <v>-</v>
          </cell>
          <cell r="R5082" t="str">
            <v>-</v>
          </cell>
          <cell r="S5082" t="str">
            <v>-</v>
          </cell>
          <cell r="T5082" t="str">
            <v>-</v>
          </cell>
          <cell r="U5082" t="str">
            <v>-</v>
          </cell>
          <cell r="V5082" t="str">
            <v>FC</v>
          </cell>
          <cell r="W5082" t="str">
            <v>-</v>
          </cell>
          <cell r="X5082" t="str">
            <v>CLP 220 (-15/+40°C)</v>
          </cell>
          <cell r="Y5082" t="str">
            <v>KH107 AMS160 DRN160M4</v>
          </cell>
          <cell r="Z5082" t="str">
            <v>SEW</v>
          </cell>
          <cell r="AB5082" t="str">
            <v>-</v>
          </cell>
          <cell r="AE5082" t="str">
            <v>Universal AMS coupling with IEC motor</v>
          </cell>
          <cell r="AF5082">
            <v>15</v>
          </cell>
          <cell r="AG5082" t="str">
            <v>DRN160M4</v>
          </cell>
          <cell r="AH5082" t="str">
            <v>KH107-DRN160M4B270-X</v>
          </cell>
        </row>
        <row r="5083">
          <cell r="A5083" t="str">
            <v>MR005072</v>
          </cell>
          <cell r="B5083" t="str">
            <v>MR</v>
          </cell>
          <cell r="C5083">
            <v>11</v>
          </cell>
          <cell r="D5083">
            <v>15</v>
          </cell>
          <cell r="E5083" t="str">
            <v>KH107</v>
          </cell>
          <cell r="F5083">
            <v>7180</v>
          </cell>
          <cell r="G5083">
            <v>100.75</v>
          </cell>
          <cell r="H5083">
            <v>1.1000000000000001</v>
          </cell>
          <cell r="I5083" t="str">
            <v>From M1 to M4A - 50°</v>
          </cell>
          <cell r="J5083" t="str">
            <v>IE3</v>
          </cell>
          <cell r="K5083" t="str">
            <v>400/690</v>
          </cell>
          <cell r="L5083">
            <v>50</v>
          </cell>
          <cell r="M5083" t="str">
            <v>21/12,2</v>
          </cell>
          <cell r="N5083">
            <v>55</v>
          </cell>
          <cell r="O5083" t="str">
            <v>155(F)</v>
          </cell>
          <cell r="P5083" t="str">
            <v>270°</v>
          </cell>
          <cell r="Q5083" t="str">
            <v>-</v>
          </cell>
          <cell r="R5083" t="str">
            <v>-</v>
          </cell>
          <cell r="S5083" t="str">
            <v>-</v>
          </cell>
          <cell r="T5083" t="str">
            <v>-</v>
          </cell>
          <cell r="U5083" t="str">
            <v>-</v>
          </cell>
          <cell r="V5083" t="str">
            <v>FC</v>
          </cell>
          <cell r="W5083" t="str">
            <v>-</v>
          </cell>
          <cell r="X5083" t="str">
            <v>CLP 220 (-15/+40°C)</v>
          </cell>
          <cell r="Y5083" t="str">
            <v>KH107 AMS160 DRN160M4</v>
          </cell>
          <cell r="Z5083" t="str">
            <v>SEW</v>
          </cell>
          <cell r="AB5083" t="str">
            <v>-</v>
          </cell>
          <cell r="AE5083" t="str">
            <v>Universal AMS coupling with IEC motor</v>
          </cell>
          <cell r="AF5083">
            <v>15</v>
          </cell>
          <cell r="AG5083" t="str">
            <v>DRN160M4</v>
          </cell>
          <cell r="AH5083" t="str">
            <v>KH107-DRN160M4A270-X</v>
          </cell>
        </row>
        <row r="5084">
          <cell r="A5084" t="str">
            <v>MR005073</v>
          </cell>
          <cell r="B5084" t="str">
            <v>MR</v>
          </cell>
          <cell r="C5084">
            <v>0.55000000000000004</v>
          </cell>
          <cell r="D5084">
            <v>0.74</v>
          </cell>
          <cell r="E5084" t="str">
            <v>KH107/R77</v>
          </cell>
          <cell r="F5084">
            <v>6260</v>
          </cell>
          <cell r="G5084">
            <v>1939</v>
          </cell>
          <cell r="H5084">
            <v>1.3</v>
          </cell>
          <cell r="I5084" t="str">
            <v>From M1 to M4A - 65°</v>
          </cell>
          <cell r="J5084" t="str">
            <v>IE3</v>
          </cell>
          <cell r="K5084" t="str">
            <v>230/400</v>
          </cell>
          <cell r="L5084">
            <v>50</v>
          </cell>
          <cell r="M5084" t="str">
            <v>2,25/1,29</v>
          </cell>
          <cell r="N5084">
            <v>55</v>
          </cell>
          <cell r="O5084" t="str">
            <v>155(F)</v>
          </cell>
          <cell r="P5084" t="str">
            <v>270°</v>
          </cell>
          <cell r="Q5084" t="str">
            <v>-</v>
          </cell>
          <cell r="R5084" t="str">
            <v>-</v>
          </cell>
          <cell r="S5084" t="str">
            <v>-</v>
          </cell>
          <cell r="T5084" t="str">
            <v>-</v>
          </cell>
          <cell r="U5084" t="str">
            <v>-</v>
          </cell>
          <cell r="V5084" t="str">
            <v>SS</v>
          </cell>
          <cell r="W5084" t="str">
            <v>-</v>
          </cell>
          <cell r="X5084" t="str">
            <v>CLP 220 (-15/+40°C)</v>
          </cell>
          <cell r="Y5084" t="str">
            <v>KH107 R77 AMS80 DRN80MK4</v>
          </cell>
          <cell r="Z5084" t="str">
            <v>SEW</v>
          </cell>
          <cell r="AB5084" t="str">
            <v>-</v>
          </cell>
          <cell r="AE5084" t="str">
            <v>Universal AMS coupling with IEC motor</v>
          </cell>
          <cell r="AF5084">
            <v>0.74</v>
          </cell>
          <cell r="AG5084" t="str">
            <v>DRN80MK4</v>
          </cell>
          <cell r="AH5084" t="str">
            <v>KH107/R77-DRN80MK4A270-X</v>
          </cell>
        </row>
        <row r="5085">
          <cell r="A5085" t="str">
            <v>MR005074</v>
          </cell>
          <cell r="B5085" t="str">
            <v>MR</v>
          </cell>
          <cell r="C5085">
            <v>1.5</v>
          </cell>
          <cell r="D5085">
            <v>1.1000000000000001</v>
          </cell>
          <cell r="E5085" t="str">
            <v>KH127R77</v>
          </cell>
          <cell r="F5085">
            <v>12000</v>
          </cell>
          <cell r="G5085">
            <v>1342</v>
          </cell>
          <cell r="H5085">
            <v>1.1000000000000001</v>
          </cell>
          <cell r="I5085" t="str">
            <v>From M1 to M4B - 60°</v>
          </cell>
          <cell r="J5085" t="str">
            <v>IE3</v>
          </cell>
          <cell r="K5085" t="str">
            <v>230/400</v>
          </cell>
          <cell r="L5085">
            <v>50</v>
          </cell>
          <cell r="M5085" t="str">
            <v>5,9/3,4</v>
          </cell>
          <cell r="N5085">
            <v>55</v>
          </cell>
          <cell r="O5085" t="str">
            <v>155(F)</v>
          </cell>
          <cell r="P5085" t="str">
            <v>270°</v>
          </cell>
          <cell r="Q5085" t="str">
            <v>-</v>
          </cell>
          <cell r="R5085" t="str">
            <v>-</v>
          </cell>
          <cell r="S5085" t="str">
            <v>-</v>
          </cell>
          <cell r="T5085" t="str">
            <v>-</v>
          </cell>
          <cell r="U5085" t="str">
            <v>-</v>
          </cell>
          <cell r="V5085" t="str">
            <v>SS</v>
          </cell>
          <cell r="W5085" t="str">
            <v>-</v>
          </cell>
          <cell r="X5085" t="str">
            <v>CLP HC 150 (-30/+50°C)</v>
          </cell>
          <cell r="Y5085" t="str">
            <v>KH127 R77 AMS90 DRN90L4</v>
          </cell>
          <cell r="Z5085" t="str">
            <v>SEW</v>
          </cell>
          <cell r="AB5085" t="str">
            <v>-</v>
          </cell>
          <cell r="AE5085" t="str">
            <v>Universal AMS coupling with IEC motor</v>
          </cell>
          <cell r="AF5085">
            <v>1.1000000000000001</v>
          </cell>
          <cell r="AG5085" t="str">
            <v>DRN90L4</v>
          </cell>
          <cell r="AH5085" t="str">
            <v>KH127R77-DRN90L4B270-X</v>
          </cell>
        </row>
        <row r="5086">
          <cell r="A5086" t="str">
            <v>MR005075</v>
          </cell>
          <cell r="B5086" t="str">
            <v>MR</v>
          </cell>
          <cell r="C5086">
            <v>0.55000000000000004</v>
          </cell>
          <cell r="D5086">
            <v>12</v>
          </cell>
          <cell r="E5086" t="str">
            <v>R77</v>
          </cell>
          <cell r="F5086">
            <v>440</v>
          </cell>
          <cell r="G5086">
            <v>121.42</v>
          </cell>
          <cell r="H5086">
            <v>1.3</v>
          </cell>
          <cell r="I5086" t="str">
            <v>M1</v>
          </cell>
          <cell r="J5086" t="str">
            <v>IE3</v>
          </cell>
          <cell r="K5086" t="str">
            <v>230/400</v>
          </cell>
          <cell r="L5086">
            <v>50</v>
          </cell>
          <cell r="M5086" t="str">
            <v>2,25/1,29</v>
          </cell>
          <cell r="N5086">
            <v>55</v>
          </cell>
          <cell r="O5086" t="str">
            <v>155(F)</v>
          </cell>
          <cell r="P5086" t="str">
            <v>270°</v>
          </cell>
          <cell r="Q5086" t="str">
            <v>-</v>
          </cell>
          <cell r="R5086" t="str">
            <v>-</v>
          </cell>
          <cell r="S5086" t="str">
            <v>-</v>
          </cell>
          <cell r="T5086" t="str">
            <v>-</v>
          </cell>
          <cell r="U5086" t="str">
            <v>-</v>
          </cell>
          <cell r="V5086" t="str">
            <v>D</v>
          </cell>
          <cell r="W5086" t="str">
            <v>-</v>
          </cell>
          <cell r="X5086" t="str">
            <v>CLP 220 (-15/+40°C)</v>
          </cell>
          <cell r="Y5086" t="str">
            <v>R77 AMS80 DRN80MK4</v>
          </cell>
          <cell r="Z5086" t="str">
            <v>SEW</v>
          </cell>
          <cell r="AB5086" t="str">
            <v>-</v>
          </cell>
          <cell r="AE5086" t="str">
            <v>Universal AMS coupling with IEC motor</v>
          </cell>
          <cell r="AF5086">
            <v>12</v>
          </cell>
          <cell r="AG5086" t="str">
            <v>DRN80MK4</v>
          </cell>
          <cell r="AH5086" t="str">
            <v>R77-DRN80MK4270-X</v>
          </cell>
        </row>
        <row r="5087">
          <cell r="A5087" t="str">
            <v>MR005076</v>
          </cell>
          <cell r="B5087" t="str">
            <v>MR</v>
          </cell>
          <cell r="C5087">
            <v>1.1000000000000001</v>
          </cell>
          <cell r="D5087">
            <v>10</v>
          </cell>
          <cell r="E5087" t="str">
            <v>FA77</v>
          </cell>
          <cell r="F5087">
            <v>1030</v>
          </cell>
          <cell r="G5087">
            <v>142.27000000000001</v>
          </cell>
          <cell r="H5087">
            <v>1.45</v>
          </cell>
          <cell r="I5087" t="str">
            <v>From M1 to M4 - 15°</v>
          </cell>
          <cell r="J5087" t="str">
            <v>IE3</v>
          </cell>
          <cell r="K5087" t="str">
            <v>230/400</v>
          </cell>
          <cell r="L5087">
            <v>50</v>
          </cell>
          <cell r="M5087" t="str">
            <v>4,45/2,55</v>
          </cell>
          <cell r="N5087">
            <v>55</v>
          </cell>
          <cell r="O5087" t="str">
            <v>155(F)</v>
          </cell>
          <cell r="P5087" t="str">
            <v>270°</v>
          </cell>
          <cell r="Q5087" t="str">
            <v>-</v>
          </cell>
          <cell r="R5087" t="str">
            <v>-</v>
          </cell>
          <cell r="S5087" t="str">
            <v>-</v>
          </cell>
          <cell r="T5087" t="str">
            <v>-</v>
          </cell>
          <cell r="U5087" t="str">
            <v>G</v>
          </cell>
          <cell r="V5087" t="str">
            <v>D</v>
          </cell>
          <cell r="W5087" t="str">
            <v>-</v>
          </cell>
          <cell r="X5087" t="str">
            <v>CLP 220 (-15/+40°C)</v>
          </cell>
          <cell r="Y5087" t="str">
            <v>FA77/G AMS90 DRN90S4</v>
          </cell>
          <cell r="Z5087" t="str">
            <v>SEW</v>
          </cell>
          <cell r="AB5087" t="str">
            <v>-</v>
          </cell>
          <cell r="AE5087" t="str">
            <v>Universal AMS coupling with IEC motor</v>
          </cell>
          <cell r="AF5087">
            <v>10</v>
          </cell>
          <cell r="AG5087" t="str">
            <v>DRN90S4</v>
          </cell>
          <cell r="AH5087" t="str">
            <v>FA77G-DRN90S4270-X</v>
          </cell>
        </row>
        <row r="5088">
          <cell r="A5088" t="str">
            <v>MR005077</v>
          </cell>
          <cell r="B5088" t="str">
            <v>MR</v>
          </cell>
          <cell r="C5088">
            <v>4</v>
          </cell>
          <cell r="D5088">
            <v>66</v>
          </cell>
          <cell r="E5088" t="str">
            <v>FH67</v>
          </cell>
          <cell r="F5088">
            <v>575</v>
          </cell>
          <cell r="G5088" t="str">
            <v>22,05</v>
          </cell>
          <cell r="H5088" t="str">
            <v>1,45</v>
          </cell>
          <cell r="I5088" t="str">
            <v>M1</v>
          </cell>
          <cell r="J5088" t="str">
            <v>IE3</v>
          </cell>
          <cell r="K5088" t="str">
            <v>230/400</v>
          </cell>
          <cell r="L5088">
            <v>50</v>
          </cell>
          <cell r="M5088" t="str">
            <v>13,8/7,9</v>
          </cell>
          <cell r="N5088">
            <v>65</v>
          </cell>
          <cell r="O5088" t="str">
            <v>155(F)</v>
          </cell>
          <cell r="P5088" t="str">
            <v>270°</v>
          </cell>
          <cell r="Q5088" t="str">
            <v>TF</v>
          </cell>
          <cell r="R5088" t="str">
            <v>-</v>
          </cell>
          <cell r="S5088" t="str">
            <v>-</v>
          </cell>
          <cell r="T5088" t="str">
            <v>-</v>
          </cell>
          <cell r="U5088" t="str">
            <v>G</v>
          </cell>
          <cell r="V5088" t="str">
            <v>D</v>
          </cell>
          <cell r="W5088" t="str">
            <v>-</v>
          </cell>
          <cell r="X5088" t="str">
            <v>CLP HC 220 (-25/+60°C)</v>
          </cell>
          <cell r="Y5088" t="str">
            <v>FH67/G EDRN112M4 /TF</v>
          </cell>
          <cell r="Z5088" t="str">
            <v>SEW</v>
          </cell>
          <cell r="AB5088" t="str">
            <v>ATEX22</v>
          </cell>
          <cell r="AF5088">
            <v>66</v>
          </cell>
          <cell r="AG5088" t="str">
            <v>EDRN112M4</v>
          </cell>
          <cell r="AH5088" t="str">
            <v>FH67G-EDRN112M4270-X</v>
          </cell>
        </row>
        <row r="5089">
          <cell r="A5089" t="str">
            <v>MR005078</v>
          </cell>
          <cell r="B5089" t="str">
            <v>ME</v>
          </cell>
          <cell r="C5089">
            <v>11</v>
          </cell>
          <cell r="D5089">
            <v>1470</v>
          </cell>
          <cell r="E5089" t="str">
            <v>\</v>
          </cell>
          <cell r="F5089" t="str">
            <v>-</v>
          </cell>
          <cell r="G5089" t="str">
            <v>-</v>
          </cell>
          <cell r="H5089" t="str">
            <v>-</v>
          </cell>
          <cell r="I5089" t="str">
            <v>From M1B to M4B - 75°</v>
          </cell>
          <cell r="J5089" t="str">
            <v>IE3</v>
          </cell>
          <cell r="K5089" t="str">
            <v>380/660</v>
          </cell>
          <cell r="L5089">
            <v>50</v>
          </cell>
          <cell r="M5089" t="str">
            <v>22/12,7</v>
          </cell>
          <cell r="N5089">
            <v>65</v>
          </cell>
          <cell r="O5089" t="str">
            <v>155(F)</v>
          </cell>
          <cell r="P5089" t="str">
            <v>270°</v>
          </cell>
          <cell r="Q5089" t="str">
            <v>TF</v>
          </cell>
          <cell r="R5089" t="str">
            <v>-</v>
          </cell>
          <cell r="S5089" t="str">
            <v>Free rotation CW</v>
          </cell>
          <cell r="T5089" t="str">
            <v>-</v>
          </cell>
          <cell r="U5089" t="str">
            <v>-</v>
          </cell>
          <cell r="V5089" t="str">
            <v>SS</v>
          </cell>
          <cell r="W5089" t="str">
            <v>-</v>
          </cell>
          <cell r="X5089" t="str">
            <v>-</v>
          </cell>
          <cell r="Y5089" t="str">
            <v>DRN160M4/FG/RS/TF</v>
          </cell>
          <cell r="Z5089" t="str">
            <v>SEW</v>
          </cell>
          <cell r="AB5089" t="str">
            <v>-</v>
          </cell>
          <cell r="AF5089">
            <v>1470</v>
          </cell>
          <cell r="AG5089" t="str">
            <v>DRN160M4</v>
          </cell>
          <cell r="AH5089" t="str">
            <v>\-DRN160M4B270-X</v>
          </cell>
        </row>
        <row r="5090">
          <cell r="A5090" t="str">
            <v>MR005079</v>
          </cell>
          <cell r="B5090" t="str">
            <v>ME</v>
          </cell>
          <cell r="C5090">
            <v>11</v>
          </cell>
          <cell r="D5090">
            <v>1470</v>
          </cell>
          <cell r="E5090" t="str">
            <v>\</v>
          </cell>
          <cell r="F5090" t="str">
            <v>-</v>
          </cell>
          <cell r="G5090" t="str">
            <v>-</v>
          </cell>
          <cell r="H5090" t="str">
            <v>-</v>
          </cell>
          <cell r="I5090" t="str">
            <v>M4A</v>
          </cell>
          <cell r="J5090" t="str">
            <v>IE3</v>
          </cell>
          <cell r="K5090" t="str">
            <v>380/660</v>
          </cell>
          <cell r="L5090">
            <v>50</v>
          </cell>
          <cell r="M5090" t="str">
            <v>22/12,7</v>
          </cell>
          <cell r="N5090">
            <v>65</v>
          </cell>
          <cell r="O5090" t="str">
            <v>155(F)</v>
          </cell>
          <cell r="P5090" t="str">
            <v>-</v>
          </cell>
          <cell r="Q5090" t="str">
            <v>TF</v>
          </cell>
          <cell r="R5090" t="str">
            <v>-</v>
          </cell>
          <cell r="S5090" t="str">
            <v>-</v>
          </cell>
          <cell r="T5090" t="str">
            <v>-</v>
          </cell>
          <cell r="U5090" t="str">
            <v>-</v>
          </cell>
          <cell r="V5090" t="str">
            <v>SS</v>
          </cell>
          <cell r="W5090" t="str">
            <v>-</v>
          </cell>
          <cell r="X5090" t="str">
            <v>-</v>
          </cell>
          <cell r="Y5090" t="str">
            <v>DRN160M4/FG/TF</v>
          </cell>
          <cell r="Z5090" t="str">
            <v>SEW</v>
          </cell>
          <cell r="AB5090" t="str">
            <v>-</v>
          </cell>
          <cell r="AF5090">
            <v>1470</v>
          </cell>
          <cell r="AG5090" t="str">
            <v>DRN160M4</v>
          </cell>
          <cell r="AH5090" t="str">
            <v>\-DRN160M4A--X</v>
          </cell>
        </row>
        <row r="5091">
          <cell r="A5091" t="str">
            <v>MR005080</v>
          </cell>
          <cell r="B5091" t="str">
            <v>MR</v>
          </cell>
          <cell r="C5091">
            <v>11</v>
          </cell>
          <cell r="D5091">
            <v>93</v>
          </cell>
          <cell r="E5091" t="str">
            <v>KH77</v>
          </cell>
          <cell r="F5091">
            <v>1120</v>
          </cell>
          <cell r="G5091">
            <v>15.84</v>
          </cell>
          <cell r="H5091">
            <v>1.25</v>
          </cell>
          <cell r="I5091" t="str">
            <v>From M1B to M4B - 75°</v>
          </cell>
          <cell r="J5091" t="str">
            <v>IE3</v>
          </cell>
          <cell r="K5091" t="str">
            <v>380/660</v>
          </cell>
          <cell r="L5091">
            <v>50</v>
          </cell>
          <cell r="M5091" t="str">
            <v>22/12,7</v>
          </cell>
          <cell r="N5091">
            <v>65</v>
          </cell>
          <cell r="O5091" t="str">
            <v>155(F)</v>
          </cell>
          <cell r="P5091" t="str">
            <v>270°</v>
          </cell>
          <cell r="Q5091" t="str">
            <v>TF</v>
          </cell>
          <cell r="R5091" t="str">
            <v>-</v>
          </cell>
          <cell r="S5091" t="str">
            <v>Free rotation CW</v>
          </cell>
          <cell r="T5091" t="str">
            <v>-</v>
          </cell>
          <cell r="U5091" t="str">
            <v>T</v>
          </cell>
          <cell r="V5091" t="str">
            <v>SS</v>
          </cell>
          <cell r="W5091" t="str">
            <v>-</v>
          </cell>
          <cell r="X5091" t="str">
            <v>CLP HC 220 (-25/+60°C)</v>
          </cell>
          <cell r="Y5091" t="str">
            <v>KH77/T DRN160M4 /RS /TF</v>
          </cell>
          <cell r="Z5091" t="str">
            <v>SEW</v>
          </cell>
          <cell r="AB5091" t="str">
            <v>-</v>
          </cell>
          <cell r="AF5091">
            <v>93</v>
          </cell>
          <cell r="AG5091" t="str">
            <v>DRN160M4</v>
          </cell>
          <cell r="AH5091" t="str">
            <v>KH77T-DRN160M4B270-X</v>
          </cell>
        </row>
        <row r="5092">
          <cell r="A5092" t="str">
            <v>MR005081</v>
          </cell>
          <cell r="B5092" t="str">
            <v>MR</v>
          </cell>
          <cell r="C5092">
            <v>11</v>
          </cell>
          <cell r="D5092">
            <v>93</v>
          </cell>
          <cell r="E5092" t="str">
            <v>KH77</v>
          </cell>
          <cell r="F5092">
            <v>1120</v>
          </cell>
          <cell r="G5092">
            <v>15.84</v>
          </cell>
          <cell r="H5092">
            <v>1.25</v>
          </cell>
          <cell r="I5092" t="str">
            <v>M4A</v>
          </cell>
          <cell r="J5092" t="str">
            <v>IE3</v>
          </cell>
          <cell r="K5092" t="str">
            <v>380/660</v>
          </cell>
          <cell r="L5092">
            <v>50</v>
          </cell>
          <cell r="M5092" t="str">
            <v>22/12,7</v>
          </cell>
          <cell r="N5092">
            <v>65</v>
          </cell>
          <cell r="O5092" t="str">
            <v>155(F)</v>
          </cell>
          <cell r="P5092" t="str">
            <v>270°</v>
          </cell>
          <cell r="Q5092" t="str">
            <v>TF</v>
          </cell>
          <cell r="R5092" t="str">
            <v>-</v>
          </cell>
          <cell r="S5092" t="str">
            <v>-</v>
          </cell>
          <cell r="T5092" t="str">
            <v>-</v>
          </cell>
          <cell r="U5092" t="str">
            <v>T</v>
          </cell>
          <cell r="V5092" t="str">
            <v>SS</v>
          </cell>
          <cell r="W5092" t="str">
            <v>-</v>
          </cell>
          <cell r="X5092" t="str">
            <v>CLP HC 220 (-25/+60°C)</v>
          </cell>
          <cell r="Y5092" t="str">
            <v>KH77/T DRN160M4 /TF</v>
          </cell>
          <cell r="Z5092" t="str">
            <v>SEW</v>
          </cell>
          <cell r="AB5092" t="str">
            <v>-</v>
          </cell>
          <cell r="AF5092">
            <v>93</v>
          </cell>
          <cell r="AG5092" t="str">
            <v>DRN160M4</v>
          </cell>
          <cell r="AH5092" t="str">
            <v>KH77T-DRN160M4A270-X</v>
          </cell>
        </row>
        <row r="5093">
          <cell r="A5093" t="str">
            <v>MR005082</v>
          </cell>
          <cell r="B5093" t="str">
            <v>MR</v>
          </cell>
          <cell r="C5093">
            <v>22</v>
          </cell>
          <cell r="D5093">
            <v>6.9</v>
          </cell>
          <cell r="E5093" t="str">
            <v>KH167R107</v>
          </cell>
          <cell r="F5093">
            <v>27900</v>
          </cell>
          <cell r="G5093">
            <v>213</v>
          </cell>
          <cell r="H5093">
            <v>1.25</v>
          </cell>
          <cell r="I5093" t="str">
            <v>From M4A to M1A-25°</v>
          </cell>
          <cell r="J5093" t="str">
            <v>IE3</v>
          </cell>
          <cell r="K5093" t="str">
            <v>400/690</v>
          </cell>
          <cell r="L5093">
            <v>50</v>
          </cell>
          <cell r="M5093" t="str">
            <v>38,5/22,5</v>
          </cell>
          <cell r="N5093">
            <v>65</v>
          </cell>
          <cell r="O5093" t="str">
            <v>155(F)</v>
          </cell>
          <cell r="P5093" t="str">
            <v>270°</v>
          </cell>
          <cell r="Q5093" t="str">
            <v>TF</v>
          </cell>
          <cell r="R5093" t="str">
            <v>V(VE)</v>
          </cell>
          <cell r="S5093" t="str">
            <v>-</v>
          </cell>
          <cell r="T5093" t="str">
            <v>-</v>
          </cell>
          <cell r="U5093" t="str">
            <v>-</v>
          </cell>
          <cell r="V5093" t="str">
            <v>FC</v>
          </cell>
          <cell r="W5093" t="str">
            <v>-</v>
          </cell>
          <cell r="X5093" t="str">
            <v>CLP HC 220 (-25/+60°C)</v>
          </cell>
          <cell r="Y5093" t="str">
            <v>KH167R107EDRN180L4 /TF/VE</v>
          </cell>
          <cell r="Z5093" t="str">
            <v>SEW</v>
          </cell>
          <cell r="AB5093" t="str">
            <v>ATEX22</v>
          </cell>
          <cell r="AF5093">
            <v>6.9</v>
          </cell>
          <cell r="AG5093" t="str">
            <v>EDRN180L4</v>
          </cell>
          <cell r="AH5093" t="str">
            <v>KH167R107-EDRN180L4A270-X#</v>
          </cell>
        </row>
        <row r="5094">
          <cell r="A5094" t="str">
            <v>MR005083</v>
          </cell>
          <cell r="B5094" t="str">
            <v>MR</v>
          </cell>
          <cell r="C5094">
            <v>22</v>
          </cell>
          <cell r="D5094">
            <v>6.9</v>
          </cell>
          <cell r="E5094" t="str">
            <v>KH167R107</v>
          </cell>
          <cell r="F5094">
            <v>27900</v>
          </cell>
          <cell r="G5094">
            <v>213</v>
          </cell>
          <cell r="H5094">
            <v>1.25</v>
          </cell>
          <cell r="I5094" t="str">
            <v>From M4B to M1B-25°</v>
          </cell>
          <cell r="J5094" t="str">
            <v>IE3</v>
          </cell>
          <cell r="K5094" t="str">
            <v>400/690</v>
          </cell>
          <cell r="L5094">
            <v>50</v>
          </cell>
          <cell r="M5094" t="str">
            <v>38,5/22,5</v>
          </cell>
          <cell r="N5094">
            <v>65</v>
          </cell>
          <cell r="O5094" t="str">
            <v>155(F)</v>
          </cell>
          <cell r="P5094" t="str">
            <v>270°</v>
          </cell>
          <cell r="Q5094" t="str">
            <v>TF</v>
          </cell>
          <cell r="R5094" t="str">
            <v>V(VE)</v>
          </cell>
          <cell r="S5094" t="str">
            <v>-</v>
          </cell>
          <cell r="T5094" t="str">
            <v>-</v>
          </cell>
          <cell r="U5094" t="str">
            <v>-</v>
          </cell>
          <cell r="V5094" t="str">
            <v>FC</v>
          </cell>
          <cell r="W5094" t="str">
            <v>-</v>
          </cell>
          <cell r="X5094" t="str">
            <v>CLP HC 220 (-25/+60°C)</v>
          </cell>
          <cell r="Y5094" t="str">
            <v>KH167R107EDRN180L4 /TF/VE</v>
          </cell>
          <cell r="Z5094" t="str">
            <v>SEW</v>
          </cell>
          <cell r="AB5094" t="str">
            <v>ATEX22</v>
          </cell>
          <cell r="AF5094">
            <v>6.9</v>
          </cell>
          <cell r="AG5094" t="str">
            <v>EDRN180L4</v>
          </cell>
          <cell r="AH5094" t="str">
            <v>KH167R107-EDRN180L4B270-X#</v>
          </cell>
        </row>
        <row r="5095">
          <cell r="A5095" t="str">
            <v>MR005084</v>
          </cell>
          <cell r="B5095" t="str">
            <v>MR</v>
          </cell>
          <cell r="C5095">
            <v>9.1999999999999993</v>
          </cell>
          <cell r="D5095">
            <v>15.7</v>
          </cell>
          <cell r="E5095" t="str">
            <v>A 80 3 US 89.2 P160 B3 LO</v>
          </cell>
          <cell r="F5095">
            <v>6350</v>
          </cell>
          <cell r="G5095">
            <v>89.2</v>
          </cell>
          <cell r="H5095">
            <v>1.26</v>
          </cell>
          <cell r="I5095" t="str">
            <v>From M4A to M1A - 30°(B3)</v>
          </cell>
          <cell r="J5095" t="str">
            <v>IE3</v>
          </cell>
          <cell r="K5095">
            <v>415</v>
          </cell>
          <cell r="L5095">
            <v>50</v>
          </cell>
          <cell r="M5095" t="str">
            <v>17</v>
          </cell>
          <cell r="N5095">
            <v>55</v>
          </cell>
          <cell r="O5095" t="str">
            <v>155(F)</v>
          </cell>
          <cell r="P5095" t="str">
            <v>270°</v>
          </cell>
          <cell r="Q5095" t="str">
            <v>TF</v>
          </cell>
          <cell r="R5095" t="str">
            <v>V(VE)</v>
          </cell>
          <cell r="S5095" t="str">
            <v>-</v>
          </cell>
          <cell r="T5095" t="str">
            <v>-</v>
          </cell>
          <cell r="U5095" t="str">
            <v>-</v>
          </cell>
          <cell r="V5095" t="str">
            <v>FC</v>
          </cell>
          <cell r="W5095" t="str">
            <v>-</v>
          </cell>
          <cell r="X5095" t="str">
            <v>LO - Supplied with oil - 20 lt.</v>
          </cell>
          <cell r="Y5095" t="str">
            <v>A 80 3 US 89.2 P160 B3 LO - 1LE7603-1DB23-5FB4-Z
F70+Q90+R62+R64</v>
          </cell>
          <cell r="Z5095" t="str">
            <v>BONFIGLIOLI/SIEMENS</v>
          </cell>
          <cell r="AB5095" t="str">
            <v>-</v>
          </cell>
          <cell r="AD5095" t="str">
            <v>BIS</v>
          </cell>
          <cell r="AF5095">
            <v>15.7</v>
          </cell>
          <cell r="AG5095" t="str">
            <v>DRN132L4</v>
          </cell>
          <cell r="AH5095" t="str">
            <v>A 80 3 US 89.2 P160 B3 LO-DRN132L4B270-X#</v>
          </cell>
        </row>
        <row r="5096">
          <cell r="A5096" t="str">
            <v>MR005085</v>
          </cell>
          <cell r="B5096" t="str">
            <v>MR</v>
          </cell>
          <cell r="C5096">
            <v>5.5</v>
          </cell>
          <cell r="D5096">
            <v>14.7</v>
          </cell>
          <cell r="E5096" t="str">
            <v>AS 90 D P 95.2 132 B5 LO</v>
          </cell>
          <cell r="F5096">
            <v>3310</v>
          </cell>
          <cell r="G5096">
            <v>95.2</v>
          </cell>
          <cell r="H5096">
            <v>1.93</v>
          </cell>
          <cell r="I5096" t="str">
            <v>From M1 to M2 - 10° (B3)</v>
          </cell>
          <cell r="J5096" t="str">
            <v>IE3</v>
          </cell>
          <cell r="K5096">
            <v>415</v>
          </cell>
          <cell r="L5096">
            <v>50</v>
          </cell>
          <cell r="M5096" t="str">
            <v>11</v>
          </cell>
          <cell r="N5096">
            <v>55</v>
          </cell>
          <cell r="O5096" t="str">
            <v>155(F)</v>
          </cell>
          <cell r="P5096" t="str">
            <v>270°</v>
          </cell>
          <cell r="Q5096" t="str">
            <v>TF</v>
          </cell>
          <cell r="R5096" t="str">
            <v>V(VE)</v>
          </cell>
          <cell r="S5096" t="str">
            <v>-</v>
          </cell>
          <cell r="T5096" t="str">
            <v>-</v>
          </cell>
          <cell r="U5096" t="str">
            <v>-</v>
          </cell>
          <cell r="V5096" t="str">
            <v>FC</v>
          </cell>
          <cell r="W5096" t="str">
            <v>-</v>
          </cell>
          <cell r="X5096" t="str">
            <v>LO - Supplied with oil - 15,5 lt.</v>
          </cell>
          <cell r="Y5096" t="str">
            <v>AS 90 D P 95.2 132 B5 LO- 1LE7503-1CB03-5FB4-Z</v>
          </cell>
          <cell r="Z5096" t="str">
            <v>BONFIGLIOLI/SIEMENS</v>
          </cell>
          <cell r="AB5096" t="str">
            <v>-</v>
          </cell>
          <cell r="AD5096" t="str">
            <v>BIS</v>
          </cell>
          <cell r="AF5096">
            <v>14.7</v>
          </cell>
          <cell r="AG5096" t="str">
            <v>DRN132S4</v>
          </cell>
          <cell r="AH5096" t="str">
            <v>AS 90 D P 95.2 132 B5 LO-DRN132S4B270-X#</v>
          </cell>
        </row>
        <row r="5097">
          <cell r="A5097" t="str">
            <v>MR005086</v>
          </cell>
          <cell r="B5097" t="str">
            <v>MR</v>
          </cell>
          <cell r="C5097">
            <v>3</v>
          </cell>
          <cell r="D5097">
            <v>22</v>
          </cell>
          <cell r="E5097" t="str">
            <v>FA77</v>
          </cell>
          <cell r="F5097">
            <v>1310</v>
          </cell>
          <cell r="G5097">
            <v>66.459999999999994</v>
          </cell>
          <cell r="H5097">
            <v>1.1499999999999999</v>
          </cell>
          <cell r="I5097" t="str">
            <v>M5</v>
          </cell>
          <cell r="J5097" t="str">
            <v>IE3</v>
          </cell>
          <cell r="K5097" t="str">
            <v>230/400</v>
          </cell>
          <cell r="L5097">
            <v>50</v>
          </cell>
          <cell r="M5097" t="str">
            <v>11,2/6,4</v>
          </cell>
          <cell r="N5097">
            <v>55</v>
          </cell>
          <cell r="O5097" t="str">
            <v>130 (B)</v>
          </cell>
          <cell r="P5097" t="str">
            <v>270°</v>
          </cell>
          <cell r="Q5097" t="str">
            <v>TH</v>
          </cell>
          <cell r="R5097" t="str">
            <v>-</v>
          </cell>
          <cell r="S5097" t="str">
            <v>-</v>
          </cell>
          <cell r="T5097" t="str">
            <v>-</v>
          </cell>
          <cell r="U5097" t="str">
            <v>G</v>
          </cell>
          <cell r="V5097" t="str">
            <v>D</v>
          </cell>
          <cell r="W5097" t="str">
            <v>-</v>
          </cell>
          <cell r="X5097" t="str">
            <v>CLP 220 (-15/+40°C)</v>
          </cell>
          <cell r="Y5097" t="str">
            <v>FA77/G DRN100L4 /TH</v>
          </cell>
          <cell r="Z5097" t="str">
            <v>SEW</v>
          </cell>
          <cell r="AB5097" t="str">
            <v>-</v>
          </cell>
          <cell r="AF5097">
            <v>22</v>
          </cell>
          <cell r="AG5097" t="str">
            <v>DRN100L4</v>
          </cell>
          <cell r="AH5097" t="str">
            <v>FA77G-DRN100L4270-X</v>
          </cell>
        </row>
        <row r="5098">
          <cell r="A5098" t="str">
            <v>MR005087</v>
          </cell>
          <cell r="B5098" t="str">
            <v>MR</v>
          </cell>
          <cell r="C5098">
            <v>0.37</v>
          </cell>
          <cell r="D5098">
            <v>15</v>
          </cell>
          <cell r="E5098" t="str">
            <v>WA39</v>
          </cell>
          <cell r="F5098">
            <v>220</v>
          </cell>
          <cell r="G5098">
            <v>91.92</v>
          </cell>
          <cell r="H5098">
            <v>0.9</v>
          </cell>
          <cell r="I5098" t="str">
            <v>M1, M2, M3, M5, M6A</v>
          </cell>
          <cell r="J5098" t="str">
            <v>IE3</v>
          </cell>
          <cell r="K5098" t="str">
            <v>230/400</v>
          </cell>
          <cell r="L5098">
            <v>50</v>
          </cell>
          <cell r="M5098" t="str">
            <v>1,78/1,02</v>
          </cell>
          <cell r="N5098">
            <v>55</v>
          </cell>
          <cell r="O5098" t="str">
            <v>130 (B)</v>
          </cell>
          <cell r="P5098" t="str">
            <v>0°</v>
          </cell>
          <cell r="Q5098" t="str">
            <v>-</v>
          </cell>
          <cell r="R5098" t="str">
            <v>-</v>
          </cell>
          <cell r="S5098" t="str">
            <v>-</v>
          </cell>
          <cell r="T5098" t="str">
            <v>-</v>
          </cell>
          <cell r="U5098" t="str">
            <v>T</v>
          </cell>
          <cell r="V5098" t="str">
            <v>D</v>
          </cell>
          <cell r="W5098" t="str">
            <v>-</v>
          </cell>
          <cell r="X5098" t="str">
            <v>CLP 220 (-15/+40°C)</v>
          </cell>
          <cell r="Y5098" t="str">
            <v>WA39/T DRN71M4</v>
          </cell>
          <cell r="Z5098" t="str">
            <v>SEW</v>
          </cell>
          <cell r="AB5098" t="str">
            <v>-</v>
          </cell>
          <cell r="AF5098">
            <v>15</v>
          </cell>
          <cell r="AG5098" t="str">
            <v>DRN71M4</v>
          </cell>
          <cell r="AH5098" t="str">
            <v>WA39T-DRN71M4A0-X</v>
          </cell>
        </row>
        <row r="5099">
          <cell r="A5099" t="str">
            <v>MR005088</v>
          </cell>
          <cell r="B5099" t="str">
            <v>MR</v>
          </cell>
          <cell r="C5099">
            <v>22</v>
          </cell>
          <cell r="D5099">
            <v>15</v>
          </cell>
          <cell r="E5099" t="str">
            <v>KH157</v>
          </cell>
          <cell r="F5099">
            <v>14200</v>
          </cell>
          <cell r="G5099">
            <v>100.22</v>
          </cell>
          <cell r="H5099">
            <v>1.4</v>
          </cell>
          <cell r="I5099" t="str">
            <v>From M1A to M2A - 45°</v>
          </cell>
          <cell r="J5099" t="str">
            <v>IE4</v>
          </cell>
          <cell r="K5099" t="str">
            <v>400/690</v>
          </cell>
          <cell r="L5099">
            <v>50</v>
          </cell>
          <cell r="M5099" t="str">
            <v>41/23,5</v>
          </cell>
          <cell r="N5099">
            <v>65</v>
          </cell>
          <cell r="O5099" t="str">
            <v>155(F)</v>
          </cell>
          <cell r="P5099" t="str">
            <v>270°</v>
          </cell>
          <cell r="Q5099" t="str">
            <v>TF</v>
          </cell>
          <cell r="R5099" t="str">
            <v>-</v>
          </cell>
          <cell r="S5099" t="str">
            <v>-</v>
          </cell>
          <cell r="T5099" t="str">
            <v>-</v>
          </cell>
          <cell r="U5099" t="str">
            <v>-</v>
          </cell>
          <cell r="V5099" t="str">
            <v>FC</v>
          </cell>
          <cell r="W5099" t="str">
            <v>-</v>
          </cell>
          <cell r="X5099" t="str">
            <v>CLP HC 150 (-30/+50°C)</v>
          </cell>
          <cell r="Y5099" t="str">
            <v>KH157DRU200L4 /TF</v>
          </cell>
          <cell r="Z5099" t="str">
            <v>SEW</v>
          </cell>
          <cell r="AB5099" t="str">
            <v>-</v>
          </cell>
          <cell r="AF5099">
            <v>15</v>
          </cell>
          <cell r="AG5099" t="str">
            <v>DRU200L4</v>
          </cell>
          <cell r="AH5099" t="str">
            <v>KH157-DRU200L4A270-X</v>
          </cell>
        </row>
        <row r="5100">
          <cell r="A5100" t="str">
            <v>MR005089</v>
          </cell>
          <cell r="B5100" t="str">
            <v>MR</v>
          </cell>
          <cell r="C5100">
            <v>11</v>
          </cell>
          <cell r="D5100">
            <v>16</v>
          </cell>
          <cell r="E5100" t="str">
            <v>KH107</v>
          </cell>
          <cell r="F5100">
            <v>6460</v>
          </cell>
          <cell r="G5100">
            <v>90.96</v>
          </cell>
          <cell r="H5100">
            <v>1.25</v>
          </cell>
          <cell r="I5100" t="str">
            <v>From M1A to M2A - 25°</v>
          </cell>
          <cell r="J5100" t="str">
            <v>IE3</v>
          </cell>
          <cell r="K5100" t="str">
            <v>400/690</v>
          </cell>
          <cell r="L5100">
            <v>50</v>
          </cell>
          <cell r="M5100" t="str">
            <v>21/12,2</v>
          </cell>
          <cell r="N5100">
            <v>65</v>
          </cell>
          <cell r="O5100" t="str">
            <v>155(F)</v>
          </cell>
          <cell r="P5100" t="str">
            <v>270°</v>
          </cell>
          <cell r="Q5100" t="str">
            <v>TF</v>
          </cell>
          <cell r="R5100" t="str">
            <v>-</v>
          </cell>
          <cell r="S5100" t="str">
            <v>-</v>
          </cell>
          <cell r="T5100" t="str">
            <v>-</v>
          </cell>
          <cell r="U5100" t="str">
            <v>-</v>
          </cell>
          <cell r="V5100" t="str">
            <v>SS</v>
          </cell>
          <cell r="W5100" t="str">
            <v>-</v>
          </cell>
          <cell r="X5100" t="str">
            <v>CLP HC 150 (-30/+50°C)</v>
          </cell>
          <cell r="Y5100" t="str">
            <v>KH107DRN160M4 /TF</v>
          </cell>
          <cell r="Z5100" t="str">
            <v>SEW</v>
          </cell>
          <cell r="AB5100" t="str">
            <v>-</v>
          </cell>
          <cell r="AF5100">
            <v>16</v>
          </cell>
          <cell r="AG5100" t="str">
            <v>DRN160M4</v>
          </cell>
          <cell r="AH5100" t="str">
            <v>KH107-DRN160M4A270-X</v>
          </cell>
        </row>
        <row r="5101">
          <cell r="A5101" t="str">
            <v>MR005090</v>
          </cell>
          <cell r="B5101" t="str">
            <v>MR</v>
          </cell>
          <cell r="C5101">
            <v>11</v>
          </cell>
          <cell r="D5101">
            <v>16</v>
          </cell>
          <cell r="E5101" t="str">
            <v>KH107</v>
          </cell>
          <cell r="F5101">
            <v>6460</v>
          </cell>
          <cell r="G5101">
            <v>90.96</v>
          </cell>
          <cell r="H5101">
            <v>1.25</v>
          </cell>
          <cell r="I5101" t="str">
            <v>From M1B to M2B - 25°</v>
          </cell>
          <cell r="J5101" t="str">
            <v>IE3</v>
          </cell>
          <cell r="K5101" t="str">
            <v>400/690</v>
          </cell>
          <cell r="L5101">
            <v>50</v>
          </cell>
          <cell r="M5101" t="str">
            <v>21/12,2</v>
          </cell>
          <cell r="N5101">
            <v>65</v>
          </cell>
          <cell r="O5101" t="str">
            <v>155(F)</v>
          </cell>
          <cell r="P5101" t="str">
            <v>270°</v>
          </cell>
          <cell r="Q5101" t="str">
            <v>TF</v>
          </cell>
          <cell r="R5101" t="str">
            <v>-</v>
          </cell>
          <cell r="S5101" t="str">
            <v>-</v>
          </cell>
          <cell r="T5101" t="str">
            <v>-</v>
          </cell>
          <cell r="U5101" t="str">
            <v>-</v>
          </cell>
          <cell r="V5101" t="str">
            <v>SS</v>
          </cell>
          <cell r="W5101" t="str">
            <v>-</v>
          </cell>
          <cell r="X5101" t="str">
            <v>CLP HC 150 (-30/+50°C)</v>
          </cell>
          <cell r="Y5101" t="str">
            <v>KH107DRN160M4 /TF</v>
          </cell>
          <cell r="Z5101" t="str">
            <v>SEW</v>
          </cell>
          <cell r="AB5101" t="str">
            <v>-</v>
          </cell>
          <cell r="AF5101">
            <v>16</v>
          </cell>
          <cell r="AG5101" t="str">
            <v>DRN160M4</v>
          </cell>
          <cell r="AH5101" t="str">
            <v>KH107-DRN160M4B270-X</v>
          </cell>
        </row>
        <row r="5102">
          <cell r="A5102" t="str">
            <v>MR005091</v>
          </cell>
          <cell r="B5102" t="str">
            <v>MR</v>
          </cell>
          <cell r="C5102">
            <v>0.75</v>
          </cell>
          <cell r="D5102">
            <v>18</v>
          </cell>
          <cell r="E5102" t="str">
            <v>FA67</v>
          </cell>
          <cell r="F5102">
            <v>395</v>
          </cell>
          <cell r="G5102">
            <v>79.760000000000005</v>
          </cell>
          <cell r="H5102">
            <v>2.2000000000000002</v>
          </cell>
          <cell r="I5102" t="str">
            <v>From M1 to M5 - 35°</v>
          </cell>
          <cell r="J5102" t="str">
            <v>IE3</v>
          </cell>
          <cell r="K5102" t="str">
            <v>230/400</v>
          </cell>
          <cell r="L5102">
            <v>50</v>
          </cell>
          <cell r="M5102" t="str">
            <v>3,05/1,75</v>
          </cell>
          <cell r="N5102">
            <v>65</v>
          </cell>
          <cell r="O5102" t="str">
            <v>155(F)</v>
          </cell>
          <cell r="P5102" t="str">
            <v>270°</v>
          </cell>
          <cell r="Q5102" t="str">
            <v>TF</v>
          </cell>
          <cell r="R5102" t="str">
            <v>-</v>
          </cell>
          <cell r="S5102" t="str">
            <v>-</v>
          </cell>
          <cell r="T5102" t="str">
            <v>BEHF</v>
          </cell>
          <cell r="U5102" t="str">
            <v>G</v>
          </cell>
          <cell r="V5102" t="str">
            <v>D+R</v>
          </cell>
          <cell r="W5102" t="str">
            <v>-</v>
          </cell>
          <cell r="X5102" t="str">
            <v>CLP HC 150 (-30/+50°C)</v>
          </cell>
          <cell r="Y5102" t="str">
            <v>FA67/G DRN80M4 /BEHF /TF</v>
          </cell>
          <cell r="Z5102" t="str">
            <v>SEW</v>
          </cell>
          <cell r="AB5102" t="str">
            <v>-</v>
          </cell>
          <cell r="AF5102">
            <v>18</v>
          </cell>
          <cell r="AG5102" t="str">
            <v>DRN80M4</v>
          </cell>
          <cell r="AH5102" t="str">
            <v>FA67G-DRN80M4270-X</v>
          </cell>
        </row>
        <row r="5103">
          <cell r="A5103" t="str">
            <v>MR005092</v>
          </cell>
          <cell r="B5103" t="str">
            <v>MR</v>
          </cell>
          <cell r="C5103">
            <v>11</v>
          </cell>
          <cell r="D5103">
            <v>15</v>
          </cell>
          <cell r="E5103" t="str">
            <v>KH107</v>
          </cell>
          <cell r="F5103">
            <v>7190</v>
          </cell>
          <cell r="G5103">
            <v>100.75</v>
          </cell>
          <cell r="H5103">
            <v>1.1000000000000001</v>
          </cell>
          <cell r="I5103" t="str">
            <v>M1A</v>
          </cell>
          <cell r="J5103" t="str">
            <v>IE3</v>
          </cell>
          <cell r="K5103" t="str">
            <v>400/690</v>
          </cell>
          <cell r="L5103">
            <v>50</v>
          </cell>
          <cell r="M5103" t="str">
            <v>21/12,2</v>
          </cell>
          <cell r="N5103">
            <v>65</v>
          </cell>
          <cell r="O5103" t="str">
            <v>155(F)</v>
          </cell>
          <cell r="P5103" t="str">
            <v>270°</v>
          </cell>
          <cell r="Q5103" t="str">
            <v>TF</v>
          </cell>
          <cell r="R5103" t="str">
            <v>-</v>
          </cell>
          <cell r="S5103" t="str">
            <v>-</v>
          </cell>
          <cell r="T5103" t="str">
            <v>-</v>
          </cell>
          <cell r="U5103" t="str">
            <v>-</v>
          </cell>
          <cell r="V5103" t="str">
            <v>SS</v>
          </cell>
          <cell r="W5103" t="str">
            <v>-</v>
          </cell>
          <cell r="X5103" t="str">
            <v>CLP HC 150 (-30/+50°C)</v>
          </cell>
          <cell r="Y5103" t="str">
            <v>KH107DRN160M4 /TF</v>
          </cell>
          <cell r="Z5103" t="str">
            <v>SEW</v>
          </cell>
          <cell r="AB5103" t="str">
            <v>-</v>
          </cell>
          <cell r="AF5103">
            <v>15</v>
          </cell>
          <cell r="AG5103" t="str">
            <v>DRN160M4</v>
          </cell>
          <cell r="AH5103" t="str">
            <v>KH107-DRN160M4A270-X</v>
          </cell>
        </row>
        <row r="5104">
          <cell r="A5104" t="str">
            <v>MR005093</v>
          </cell>
          <cell r="B5104" t="str">
            <v>MR</v>
          </cell>
          <cell r="C5104">
            <v>11</v>
          </cell>
          <cell r="D5104">
            <v>15</v>
          </cell>
          <cell r="E5104" t="str">
            <v>KH107</v>
          </cell>
          <cell r="F5104">
            <v>7190</v>
          </cell>
          <cell r="G5104">
            <v>100.75</v>
          </cell>
          <cell r="H5104">
            <v>1.1000000000000001</v>
          </cell>
          <cell r="I5104" t="str">
            <v>M1B</v>
          </cell>
          <cell r="J5104" t="str">
            <v>IE3</v>
          </cell>
          <cell r="K5104" t="str">
            <v>400/690</v>
          </cell>
          <cell r="L5104">
            <v>50</v>
          </cell>
          <cell r="M5104" t="str">
            <v>21/12,2</v>
          </cell>
          <cell r="N5104">
            <v>65</v>
          </cell>
          <cell r="O5104" t="str">
            <v>155(F)</v>
          </cell>
          <cell r="P5104" t="str">
            <v>270°</v>
          </cell>
          <cell r="Q5104" t="str">
            <v>TF</v>
          </cell>
          <cell r="R5104" t="str">
            <v>-</v>
          </cell>
          <cell r="S5104" t="str">
            <v>-</v>
          </cell>
          <cell r="T5104" t="str">
            <v>-</v>
          </cell>
          <cell r="U5104" t="str">
            <v>-</v>
          </cell>
          <cell r="V5104" t="str">
            <v>SS</v>
          </cell>
          <cell r="W5104" t="str">
            <v>-</v>
          </cell>
          <cell r="X5104" t="str">
            <v>CLP HC 150 (-30/+50°C)</v>
          </cell>
          <cell r="Y5104" t="str">
            <v>KH107DRN160M4 /TF</v>
          </cell>
          <cell r="Z5104" t="str">
            <v>SEW</v>
          </cell>
          <cell r="AB5104" t="str">
            <v>-</v>
          </cell>
          <cell r="AF5104">
            <v>15</v>
          </cell>
          <cell r="AG5104" t="str">
            <v>DRN160M4</v>
          </cell>
          <cell r="AH5104" t="str">
            <v>KH107-DRN160M4B270-X</v>
          </cell>
        </row>
        <row r="5105">
          <cell r="A5105" t="str">
            <v>MR005094</v>
          </cell>
          <cell r="B5105" t="str">
            <v>MR</v>
          </cell>
          <cell r="C5105">
            <v>11</v>
          </cell>
          <cell r="D5105">
            <v>15</v>
          </cell>
          <cell r="E5105" t="str">
            <v>KH107</v>
          </cell>
          <cell r="F5105">
            <v>7190</v>
          </cell>
          <cell r="G5105">
            <v>100.75</v>
          </cell>
          <cell r="H5105">
            <v>1.1000000000000001</v>
          </cell>
          <cell r="I5105" t="str">
            <v>From M1A to M2A - 35°</v>
          </cell>
          <cell r="J5105" t="str">
            <v>IE3</v>
          </cell>
          <cell r="K5105" t="str">
            <v>400/690</v>
          </cell>
          <cell r="L5105">
            <v>50</v>
          </cell>
          <cell r="M5105" t="str">
            <v>21/12,2</v>
          </cell>
          <cell r="N5105">
            <v>65</v>
          </cell>
          <cell r="O5105" t="str">
            <v>155(F)</v>
          </cell>
          <cell r="P5105" t="str">
            <v>270°</v>
          </cell>
          <cell r="Q5105" t="str">
            <v>TF</v>
          </cell>
          <cell r="R5105" t="str">
            <v>-</v>
          </cell>
          <cell r="S5105" t="str">
            <v>-</v>
          </cell>
          <cell r="T5105" t="str">
            <v>-</v>
          </cell>
          <cell r="U5105" t="str">
            <v>-</v>
          </cell>
          <cell r="V5105" t="str">
            <v>SS</v>
          </cell>
          <cell r="W5105" t="str">
            <v>-</v>
          </cell>
          <cell r="X5105" t="str">
            <v>CLP HC 150 (-30/+50°C)</v>
          </cell>
          <cell r="Y5105" t="str">
            <v>KH107DRN160M4 /TF</v>
          </cell>
          <cell r="Z5105" t="str">
            <v>SEW</v>
          </cell>
          <cell r="AB5105" t="str">
            <v>-</v>
          </cell>
          <cell r="AF5105">
            <v>15</v>
          </cell>
          <cell r="AG5105" t="str">
            <v>DRN160M4</v>
          </cell>
          <cell r="AH5105" t="str">
            <v>KH107-DRN160M4A270-X</v>
          </cell>
        </row>
        <row r="5106">
          <cell r="A5106" t="str">
            <v>MR005095</v>
          </cell>
          <cell r="B5106" t="str">
            <v>MR</v>
          </cell>
          <cell r="C5106">
            <v>11</v>
          </cell>
          <cell r="D5106">
            <v>15</v>
          </cell>
          <cell r="E5106" t="str">
            <v>KH107</v>
          </cell>
          <cell r="F5106">
            <v>7190</v>
          </cell>
          <cell r="G5106">
            <v>100.75</v>
          </cell>
          <cell r="H5106">
            <v>1.1000000000000001</v>
          </cell>
          <cell r="I5106" t="str">
            <v>From M1B to M2B - 35°</v>
          </cell>
          <cell r="J5106" t="str">
            <v>IE3</v>
          </cell>
          <cell r="K5106" t="str">
            <v>400/690</v>
          </cell>
          <cell r="L5106">
            <v>50</v>
          </cell>
          <cell r="M5106" t="str">
            <v>21/12,2</v>
          </cell>
          <cell r="N5106">
            <v>65</v>
          </cell>
          <cell r="O5106" t="str">
            <v>155(F)</v>
          </cell>
          <cell r="P5106" t="str">
            <v>270°</v>
          </cell>
          <cell r="Q5106" t="str">
            <v>TF</v>
          </cell>
          <cell r="R5106" t="str">
            <v>-</v>
          </cell>
          <cell r="S5106" t="str">
            <v>-</v>
          </cell>
          <cell r="T5106" t="str">
            <v>-</v>
          </cell>
          <cell r="U5106" t="str">
            <v>-</v>
          </cell>
          <cell r="V5106" t="str">
            <v>SS</v>
          </cell>
          <cell r="W5106" t="str">
            <v>-</v>
          </cell>
          <cell r="X5106" t="str">
            <v>CLP HC 150 (-30/+50°C)</v>
          </cell>
          <cell r="Y5106" t="str">
            <v>KH107DRN160M4 /TF</v>
          </cell>
          <cell r="Z5106" t="str">
            <v>SEW</v>
          </cell>
          <cell r="AB5106" t="str">
            <v>-</v>
          </cell>
          <cell r="AF5106">
            <v>15</v>
          </cell>
          <cell r="AG5106" t="str">
            <v>DRN160M4</v>
          </cell>
          <cell r="AH5106" t="str">
            <v>KH107-DRN160M4B270-X</v>
          </cell>
        </row>
        <row r="5107">
          <cell r="A5107" t="str">
            <v>MR005096</v>
          </cell>
          <cell r="B5107" t="str">
            <v>MR</v>
          </cell>
          <cell r="C5107">
            <v>11</v>
          </cell>
          <cell r="D5107">
            <v>15</v>
          </cell>
          <cell r="E5107" t="str">
            <v>KH107</v>
          </cell>
          <cell r="F5107">
            <v>7190</v>
          </cell>
          <cell r="G5107">
            <v>100.75</v>
          </cell>
          <cell r="H5107">
            <v>1.1000000000000001</v>
          </cell>
          <cell r="I5107" t="str">
            <v>From M1A to M2A - 10°</v>
          </cell>
          <cell r="J5107" t="str">
            <v>IE3</v>
          </cell>
          <cell r="K5107" t="str">
            <v>400/690</v>
          </cell>
          <cell r="L5107">
            <v>50</v>
          </cell>
          <cell r="M5107" t="str">
            <v>21/12,2</v>
          </cell>
          <cell r="N5107">
            <v>65</v>
          </cell>
          <cell r="O5107" t="str">
            <v>155(F)</v>
          </cell>
          <cell r="P5107" t="str">
            <v>270°</v>
          </cell>
          <cell r="Q5107" t="str">
            <v>TF</v>
          </cell>
          <cell r="R5107" t="str">
            <v>-</v>
          </cell>
          <cell r="S5107" t="str">
            <v>-</v>
          </cell>
          <cell r="T5107" t="str">
            <v>-</v>
          </cell>
          <cell r="U5107" t="str">
            <v>-</v>
          </cell>
          <cell r="V5107" t="str">
            <v>SS</v>
          </cell>
          <cell r="W5107" t="str">
            <v>-</v>
          </cell>
          <cell r="X5107" t="str">
            <v>CLP HC 150 (-30/+50°C)</v>
          </cell>
          <cell r="Y5107" t="str">
            <v>KH107DRN160M4 /TF</v>
          </cell>
          <cell r="Z5107" t="str">
            <v>SEW</v>
          </cell>
          <cell r="AB5107" t="str">
            <v>-</v>
          </cell>
          <cell r="AF5107">
            <v>15</v>
          </cell>
          <cell r="AG5107" t="str">
            <v>DRN160M4</v>
          </cell>
          <cell r="AH5107" t="str">
            <v>KH107-DRN160M4A270-X</v>
          </cell>
        </row>
        <row r="5108">
          <cell r="A5108" t="str">
            <v>MR005097</v>
          </cell>
          <cell r="B5108" t="str">
            <v>MR</v>
          </cell>
          <cell r="C5108">
            <v>11</v>
          </cell>
          <cell r="D5108">
            <v>15</v>
          </cell>
          <cell r="E5108" t="str">
            <v>KH107</v>
          </cell>
          <cell r="F5108">
            <v>7190</v>
          </cell>
          <cell r="G5108">
            <v>100.75</v>
          </cell>
          <cell r="H5108">
            <v>1.1000000000000001</v>
          </cell>
          <cell r="I5108" t="str">
            <v>From M1B to M2B - 10°</v>
          </cell>
          <cell r="J5108" t="str">
            <v>IE3</v>
          </cell>
          <cell r="K5108" t="str">
            <v>400/690</v>
          </cell>
          <cell r="L5108">
            <v>50</v>
          </cell>
          <cell r="M5108" t="str">
            <v>21/12,2</v>
          </cell>
          <cell r="N5108">
            <v>65</v>
          </cell>
          <cell r="O5108" t="str">
            <v>155(F)</v>
          </cell>
          <cell r="P5108" t="str">
            <v>270°</v>
          </cell>
          <cell r="Q5108" t="str">
            <v>TF</v>
          </cell>
          <cell r="R5108" t="str">
            <v>-</v>
          </cell>
          <cell r="S5108" t="str">
            <v>-</v>
          </cell>
          <cell r="T5108" t="str">
            <v>-</v>
          </cell>
          <cell r="U5108" t="str">
            <v>-</v>
          </cell>
          <cell r="V5108" t="str">
            <v>SS</v>
          </cell>
          <cell r="W5108" t="str">
            <v>-</v>
          </cell>
          <cell r="X5108" t="str">
            <v>CLP HC 150 (-30/+50°C)</v>
          </cell>
          <cell r="Y5108" t="str">
            <v>KH107DRN160M4 /TF</v>
          </cell>
          <cell r="Z5108" t="str">
            <v>SEW</v>
          </cell>
          <cell r="AB5108" t="str">
            <v>-</v>
          </cell>
          <cell r="AF5108">
            <v>15</v>
          </cell>
          <cell r="AG5108" t="str">
            <v>DRN160M4</v>
          </cell>
          <cell r="AH5108" t="str">
            <v>KH107-DRN160M4B270-X</v>
          </cell>
        </row>
        <row r="5109">
          <cell r="A5109" t="str">
            <v>MR005098</v>
          </cell>
          <cell r="B5109" t="str">
            <v>MR</v>
          </cell>
          <cell r="C5109">
            <v>5.5</v>
          </cell>
          <cell r="D5109">
            <v>15</v>
          </cell>
          <cell r="E5109" t="str">
            <v>KH97</v>
          </cell>
          <cell r="F5109">
            <v>3480</v>
          </cell>
          <cell r="G5109">
            <v>96.8</v>
          </cell>
          <cell r="H5109">
            <v>1.25</v>
          </cell>
          <cell r="I5109" t="str">
            <v>M1A</v>
          </cell>
          <cell r="J5109" t="str">
            <v>IE3</v>
          </cell>
          <cell r="K5109" t="str">
            <v>400/690</v>
          </cell>
          <cell r="L5109">
            <v>50</v>
          </cell>
          <cell r="M5109" t="str">
            <v>11,1/6,4</v>
          </cell>
          <cell r="N5109">
            <v>65</v>
          </cell>
          <cell r="O5109" t="str">
            <v>155(F)</v>
          </cell>
          <cell r="P5109" t="str">
            <v>270°</v>
          </cell>
          <cell r="Q5109" t="str">
            <v>TF</v>
          </cell>
          <cell r="R5109" t="str">
            <v>-</v>
          </cell>
          <cell r="S5109" t="str">
            <v>-</v>
          </cell>
          <cell r="T5109" t="str">
            <v>-</v>
          </cell>
          <cell r="U5109" t="str">
            <v>-</v>
          </cell>
          <cell r="V5109" t="str">
            <v>SS</v>
          </cell>
          <cell r="W5109" t="str">
            <v>-</v>
          </cell>
          <cell r="X5109" t="str">
            <v>CLP HC 150 (-30/+50°C)</v>
          </cell>
          <cell r="Y5109" t="str">
            <v>KH97DRN132S4 /TF</v>
          </cell>
          <cell r="Z5109" t="str">
            <v>SEW</v>
          </cell>
          <cell r="AB5109" t="str">
            <v>-</v>
          </cell>
          <cell r="AF5109">
            <v>15</v>
          </cell>
          <cell r="AG5109" t="str">
            <v>DRN132S4</v>
          </cell>
          <cell r="AH5109" t="str">
            <v>KH97-DRN132S4A270-X</v>
          </cell>
        </row>
        <row r="5110">
          <cell r="A5110" t="str">
            <v>MR005099</v>
          </cell>
          <cell r="B5110" t="str">
            <v>MR</v>
          </cell>
          <cell r="C5110">
            <v>5.5</v>
          </cell>
          <cell r="D5110">
            <v>15</v>
          </cell>
          <cell r="E5110" t="str">
            <v>KH97</v>
          </cell>
          <cell r="F5110">
            <v>3440</v>
          </cell>
          <cell r="G5110">
            <v>96.8</v>
          </cell>
          <cell r="H5110">
            <v>1.25</v>
          </cell>
          <cell r="I5110" t="str">
            <v>From M1B to M2B - 30°</v>
          </cell>
          <cell r="J5110" t="str">
            <v>IE3</v>
          </cell>
          <cell r="K5110" t="str">
            <v>400/690</v>
          </cell>
          <cell r="L5110">
            <v>50</v>
          </cell>
          <cell r="M5110" t="str">
            <v>11,1/6,4</v>
          </cell>
          <cell r="N5110">
            <v>65</v>
          </cell>
          <cell r="O5110" t="str">
            <v>155(F)</v>
          </cell>
          <cell r="P5110" t="str">
            <v>270°</v>
          </cell>
          <cell r="Q5110" t="str">
            <v>TF</v>
          </cell>
          <cell r="R5110" t="str">
            <v>-</v>
          </cell>
          <cell r="S5110" t="str">
            <v>-</v>
          </cell>
          <cell r="T5110" t="str">
            <v>-</v>
          </cell>
          <cell r="U5110" t="str">
            <v>-</v>
          </cell>
          <cell r="V5110" t="str">
            <v>SS</v>
          </cell>
          <cell r="W5110" t="str">
            <v>-</v>
          </cell>
          <cell r="X5110" t="str">
            <v>CLP HC 150 (-30/+50°C)</v>
          </cell>
          <cell r="Y5110" t="str">
            <v>KH97DRN132S4 /TF</v>
          </cell>
          <cell r="Z5110" t="str">
            <v>SEW</v>
          </cell>
          <cell r="AB5110" t="str">
            <v>-</v>
          </cell>
          <cell r="AF5110">
            <v>15</v>
          </cell>
          <cell r="AG5110" t="str">
            <v>DRN132S4</v>
          </cell>
          <cell r="AH5110" t="str">
            <v>KH97-DRN132S4B270-X</v>
          </cell>
        </row>
        <row r="5111">
          <cell r="A5111" t="str">
            <v>MR005100</v>
          </cell>
          <cell r="B5111" t="str">
            <v>MR</v>
          </cell>
          <cell r="C5111">
            <v>11</v>
          </cell>
          <cell r="D5111">
            <v>15</v>
          </cell>
          <cell r="E5111" t="str">
            <v>KH107</v>
          </cell>
          <cell r="F5111">
            <v>7190</v>
          </cell>
          <cell r="G5111">
            <v>100.75</v>
          </cell>
          <cell r="H5111">
            <v>1.1000000000000001</v>
          </cell>
          <cell r="I5111" t="str">
            <v>From M1A to M2A - 25°</v>
          </cell>
          <cell r="J5111" t="str">
            <v>IE3</v>
          </cell>
          <cell r="K5111" t="str">
            <v>400/690</v>
          </cell>
          <cell r="L5111">
            <v>50</v>
          </cell>
          <cell r="M5111" t="str">
            <v>21/12,2</v>
          </cell>
          <cell r="N5111">
            <v>65</v>
          </cell>
          <cell r="O5111" t="str">
            <v>155(F)</v>
          </cell>
          <cell r="P5111" t="str">
            <v>270°</v>
          </cell>
          <cell r="Q5111" t="str">
            <v>TF</v>
          </cell>
          <cell r="R5111" t="str">
            <v>-</v>
          </cell>
          <cell r="S5111" t="str">
            <v>-</v>
          </cell>
          <cell r="T5111" t="str">
            <v>-</v>
          </cell>
          <cell r="U5111" t="str">
            <v>-</v>
          </cell>
          <cell r="V5111" t="str">
            <v>SS</v>
          </cell>
          <cell r="W5111" t="str">
            <v>-</v>
          </cell>
          <cell r="X5111" t="str">
            <v>CLP HC 150 (-30/+50°C)</v>
          </cell>
          <cell r="Y5111" t="str">
            <v>KH107DRN160M4 /TF</v>
          </cell>
          <cell r="Z5111" t="str">
            <v>SEW</v>
          </cell>
          <cell r="AB5111" t="str">
            <v>-</v>
          </cell>
          <cell r="AF5111">
            <v>15</v>
          </cell>
          <cell r="AG5111" t="str">
            <v>DRN160M4</v>
          </cell>
          <cell r="AH5111" t="str">
            <v>KH107-DRN160M4A270-X</v>
          </cell>
        </row>
        <row r="5112">
          <cell r="A5112" t="str">
            <v>MR005101</v>
          </cell>
          <cell r="B5112" t="str">
            <v>MR</v>
          </cell>
          <cell r="C5112">
            <v>11</v>
          </cell>
          <cell r="D5112">
            <v>15</v>
          </cell>
          <cell r="E5112" t="str">
            <v>KH107</v>
          </cell>
          <cell r="F5112">
            <v>7190</v>
          </cell>
          <cell r="G5112">
            <v>100.75</v>
          </cell>
          <cell r="H5112">
            <v>1.1000000000000001</v>
          </cell>
          <cell r="I5112" t="str">
            <v>From M1B to M2B - 25°</v>
          </cell>
          <cell r="J5112" t="str">
            <v>IE3</v>
          </cell>
          <cell r="K5112" t="str">
            <v>400/690</v>
          </cell>
          <cell r="L5112">
            <v>50</v>
          </cell>
          <cell r="M5112" t="str">
            <v>21/12,2</v>
          </cell>
          <cell r="N5112">
            <v>65</v>
          </cell>
          <cell r="O5112" t="str">
            <v>155(F)</v>
          </cell>
          <cell r="P5112" t="str">
            <v>270°</v>
          </cell>
          <cell r="Q5112" t="str">
            <v>TF</v>
          </cell>
          <cell r="R5112" t="str">
            <v>-</v>
          </cell>
          <cell r="S5112" t="str">
            <v>-</v>
          </cell>
          <cell r="T5112" t="str">
            <v>-</v>
          </cell>
          <cell r="U5112" t="str">
            <v>-</v>
          </cell>
          <cell r="V5112" t="str">
            <v>SS</v>
          </cell>
          <cell r="W5112" t="str">
            <v>-</v>
          </cell>
          <cell r="X5112" t="str">
            <v>CLP HC 150 (-30/+50°C)</v>
          </cell>
          <cell r="Y5112" t="str">
            <v>KH107DRN160M4 /TF</v>
          </cell>
          <cell r="Z5112" t="str">
            <v>SEW</v>
          </cell>
          <cell r="AB5112" t="str">
            <v>-</v>
          </cell>
          <cell r="AF5112">
            <v>15</v>
          </cell>
          <cell r="AG5112" t="str">
            <v>DRN160M4</v>
          </cell>
          <cell r="AH5112" t="str">
            <v>KH107-DRN160M4B270-X</v>
          </cell>
        </row>
        <row r="5113">
          <cell r="A5113" t="str">
            <v>MR005102</v>
          </cell>
          <cell r="B5113" t="str">
            <v>MR</v>
          </cell>
          <cell r="C5113">
            <v>5.5</v>
          </cell>
          <cell r="D5113">
            <v>15</v>
          </cell>
          <cell r="E5113" t="str">
            <v>KH97</v>
          </cell>
          <cell r="F5113">
            <v>3440</v>
          </cell>
          <cell r="G5113">
            <v>96.8</v>
          </cell>
          <cell r="H5113">
            <v>1.25</v>
          </cell>
          <cell r="I5113" t="str">
            <v>M1B</v>
          </cell>
          <cell r="J5113" t="str">
            <v>IE3</v>
          </cell>
          <cell r="K5113" t="str">
            <v>400/690</v>
          </cell>
          <cell r="L5113">
            <v>50</v>
          </cell>
          <cell r="M5113" t="str">
            <v>11,1/6,4</v>
          </cell>
          <cell r="N5113">
            <v>65</v>
          </cell>
          <cell r="O5113" t="str">
            <v>155(F)</v>
          </cell>
          <cell r="P5113" t="str">
            <v>270°</v>
          </cell>
          <cell r="Q5113" t="str">
            <v>TF</v>
          </cell>
          <cell r="R5113" t="str">
            <v>-</v>
          </cell>
          <cell r="S5113" t="str">
            <v>-</v>
          </cell>
          <cell r="T5113" t="str">
            <v>-</v>
          </cell>
          <cell r="U5113" t="str">
            <v>-</v>
          </cell>
          <cell r="V5113" t="str">
            <v>SS</v>
          </cell>
          <cell r="W5113" t="str">
            <v>-</v>
          </cell>
          <cell r="X5113" t="str">
            <v>CLP HC 150 (-30/+50°C)</v>
          </cell>
          <cell r="Y5113" t="str">
            <v>KH97DRN132S4 /TF</v>
          </cell>
          <cell r="Z5113" t="str">
            <v>SEW</v>
          </cell>
          <cell r="AB5113" t="str">
            <v>-</v>
          </cell>
          <cell r="AF5113">
            <v>15</v>
          </cell>
          <cell r="AG5113" t="str">
            <v>DRN132S4</v>
          </cell>
          <cell r="AH5113" t="str">
            <v>KH97-DRN132S4B270-X</v>
          </cell>
        </row>
        <row r="5114">
          <cell r="A5114" t="str">
            <v>MR005103</v>
          </cell>
          <cell r="B5114" t="str">
            <v>MR</v>
          </cell>
          <cell r="C5114">
            <v>15</v>
          </cell>
          <cell r="D5114">
            <v>16</v>
          </cell>
          <cell r="E5114" t="str">
            <v>KH127</v>
          </cell>
          <cell r="F5114">
            <v>8740</v>
          </cell>
          <cell r="G5114">
            <v>89.89</v>
          </cell>
          <cell r="H5114">
            <v>1.5</v>
          </cell>
          <cell r="I5114" t="str">
            <v>From M1A to M2A - 15°</v>
          </cell>
          <cell r="J5114" t="str">
            <v>IE3</v>
          </cell>
          <cell r="K5114" t="str">
            <v>400/690</v>
          </cell>
          <cell r="L5114">
            <v>50</v>
          </cell>
          <cell r="M5114" t="str">
            <v>29/16,7</v>
          </cell>
          <cell r="N5114">
            <v>65</v>
          </cell>
          <cell r="O5114" t="str">
            <v>155(F)</v>
          </cell>
          <cell r="P5114" t="str">
            <v>270°</v>
          </cell>
          <cell r="Q5114" t="str">
            <v>TF</v>
          </cell>
          <cell r="R5114" t="str">
            <v>-</v>
          </cell>
          <cell r="S5114" t="str">
            <v>-</v>
          </cell>
          <cell r="T5114" t="str">
            <v>-</v>
          </cell>
          <cell r="U5114" t="str">
            <v>-</v>
          </cell>
          <cell r="V5114" t="str">
            <v>FC</v>
          </cell>
          <cell r="W5114" t="str">
            <v>-</v>
          </cell>
          <cell r="X5114" t="str">
            <v>CLP HC 150 (-30/+50°C)</v>
          </cell>
          <cell r="Y5114" t="str">
            <v>KH127DRN160L4 /TF</v>
          </cell>
          <cell r="Z5114" t="str">
            <v>SEW</v>
          </cell>
          <cell r="AB5114" t="str">
            <v>-</v>
          </cell>
          <cell r="AF5114">
            <v>16</v>
          </cell>
          <cell r="AG5114" t="str">
            <v>DRN160L4</v>
          </cell>
          <cell r="AH5114" t="str">
            <v>KH127-DRN160L4A270-X</v>
          </cell>
        </row>
        <row r="5115">
          <cell r="A5115" t="str">
            <v>MR005104</v>
          </cell>
          <cell r="B5115" t="str">
            <v>MR</v>
          </cell>
          <cell r="C5115">
            <v>15</v>
          </cell>
          <cell r="D5115">
            <v>16</v>
          </cell>
          <cell r="E5115" t="str">
            <v>KH127</v>
          </cell>
          <cell r="F5115">
            <v>8740</v>
          </cell>
          <cell r="G5115">
            <v>89.89</v>
          </cell>
          <cell r="H5115">
            <v>1.5</v>
          </cell>
          <cell r="I5115" t="str">
            <v>From M1B to M2B - 15°</v>
          </cell>
          <cell r="J5115" t="str">
            <v>IE3</v>
          </cell>
          <cell r="K5115" t="str">
            <v>400/690</v>
          </cell>
          <cell r="L5115">
            <v>50</v>
          </cell>
          <cell r="M5115" t="str">
            <v>29/16,7</v>
          </cell>
          <cell r="N5115">
            <v>65</v>
          </cell>
          <cell r="O5115" t="str">
            <v>155(F)</v>
          </cell>
          <cell r="P5115" t="str">
            <v>270°</v>
          </cell>
          <cell r="Q5115" t="str">
            <v>TF</v>
          </cell>
          <cell r="R5115" t="str">
            <v>-</v>
          </cell>
          <cell r="S5115" t="str">
            <v>-</v>
          </cell>
          <cell r="T5115" t="str">
            <v>-</v>
          </cell>
          <cell r="U5115" t="str">
            <v>-</v>
          </cell>
          <cell r="V5115" t="str">
            <v>FC</v>
          </cell>
          <cell r="W5115" t="str">
            <v>-</v>
          </cell>
          <cell r="X5115" t="str">
            <v>CLP HC 150 (-30/+50°C)</v>
          </cell>
          <cell r="Y5115" t="str">
            <v>KH127DRN160L4 /TF</v>
          </cell>
          <cell r="Z5115" t="str">
            <v>SEW</v>
          </cell>
          <cell r="AB5115" t="str">
            <v>-</v>
          </cell>
          <cell r="AF5115">
            <v>16</v>
          </cell>
          <cell r="AG5115" t="str">
            <v>DRN160L4</v>
          </cell>
          <cell r="AH5115" t="str">
            <v>KH127-DRN160L4B270-X</v>
          </cell>
        </row>
        <row r="5116">
          <cell r="A5116" t="str">
            <v>MR005105</v>
          </cell>
          <cell r="B5116" t="str">
            <v>MR</v>
          </cell>
          <cell r="C5116">
            <v>15</v>
          </cell>
          <cell r="D5116">
            <v>12</v>
          </cell>
          <cell r="E5116" t="str">
            <v>KH127</v>
          </cell>
          <cell r="F5116">
            <v>11900</v>
          </cell>
          <cell r="G5116">
            <v>122.48</v>
          </cell>
          <cell r="H5116">
            <v>1.1000000000000001</v>
          </cell>
          <cell r="I5116" t="str">
            <v>From M1A to M2A - 50°</v>
          </cell>
          <cell r="J5116" t="str">
            <v>IE3</v>
          </cell>
          <cell r="K5116" t="str">
            <v>400/690</v>
          </cell>
          <cell r="L5116">
            <v>50</v>
          </cell>
          <cell r="M5116" t="str">
            <v>29/16,7</v>
          </cell>
          <cell r="N5116">
            <v>65</v>
          </cell>
          <cell r="O5116" t="str">
            <v>155(F)</v>
          </cell>
          <cell r="P5116" t="str">
            <v>270°</v>
          </cell>
          <cell r="Q5116" t="str">
            <v>TF</v>
          </cell>
          <cell r="R5116" t="str">
            <v>V(VE)</v>
          </cell>
          <cell r="S5116" t="str">
            <v>-</v>
          </cell>
          <cell r="T5116" t="str">
            <v>-</v>
          </cell>
          <cell r="U5116" t="str">
            <v>-</v>
          </cell>
          <cell r="V5116" t="str">
            <v>FC</v>
          </cell>
          <cell r="W5116" t="str">
            <v>-</v>
          </cell>
          <cell r="X5116" t="str">
            <v>CLP HC 150 (-30/+50°C)</v>
          </cell>
          <cell r="Y5116" t="str">
            <v>KH127DRN160L4 /TF/V</v>
          </cell>
          <cell r="Z5116" t="str">
            <v>SEW</v>
          </cell>
          <cell r="AB5116" t="str">
            <v>-</v>
          </cell>
          <cell r="AF5116">
            <v>12</v>
          </cell>
          <cell r="AG5116" t="str">
            <v>DRN160L4</v>
          </cell>
          <cell r="AH5116" t="str">
            <v>KH127-DRN160L4A270-X#</v>
          </cell>
        </row>
        <row r="5117">
          <cell r="A5117" t="str">
            <v>MR005106</v>
          </cell>
          <cell r="B5117" t="str">
            <v>MR</v>
          </cell>
          <cell r="C5117">
            <v>15</v>
          </cell>
          <cell r="D5117">
            <v>12</v>
          </cell>
          <cell r="E5117" t="str">
            <v>KH127</v>
          </cell>
          <cell r="F5117">
            <v>11900</v>
          </cell>
          <cell r="G5117">
            <v>122.48</v>
          </cell>
          <cell r="H5117">
            <v>1.1000000000000001</v>
          </cell>
          <cell r="I5117" t="str">
            <v>From M1B to M2B - 50°</v>
          </cell>
          <cell r="J5117" t="str">
            <v>IE3</v>
          </cell>
          <cell r="K5117" t="str">
            <v>400/690</v>
          </cell>
          <cell r="L5117">
            <v>50</v>
          </cell>
          <cell r="M5117" t="str">
            <v>29/16,7</v>
          </cell>
          <cell r="N5117">
            <v>65</v>
          </cell>
          <cell r="O5117" t="str">
            <v>155(F)</v>
          </cell>
          <cell r="P5117" t="str">
            <v>270°</v>
          </cell>
          <cell r="Q5117" t="str">
            <v>TF</v>
          </cell>
          <cell r="R5117" t="str">
            <v>V(VE)</v>
          </cell>
          <cell r="S5117" t="str">
            <v>-</v>
          </cell>
          <cell r="T5117" t="str">
            <v>-</v>
          </cell>
          <cell r="U5117" t="str">
            <v>-</v>
          </cell>
          <cell r="V5117" t="str">
            <v>FC</v>
          </cell>
          <cell r="W5117" t="str">
            <v>-</v>
          </cell>
          <cell r="X5117" t="str">
            <v>CLP HC 150 (-30/+50°C)</v>
          </cell>
          <cell r="Y5117" t="str">
            <v>KH127DRN160L4 /TF/V</v>
          </cell>
          <cell r="Z5117" t="str">
            <v>SEW</v>
          </cell>
          <cell r="AB5117" t="str">
            <v>-</v>
          </cell>
          <cell r="AF5117">
            <v>12</v>
          </cell>
          <cell r="AG5117" t="str">
            <v>DRN160L4</v>
          </cell>
          <cell r="AH5117" t="str">
            <v>KH127-DRN160L4B270-X#</v>
          </cell>
        </row>
        <row r="5118">
          <cell r="A5118" t="str">
            <v>MR005107</v>
          </cell>
          <cell r="B5118" t="str">
            <v>MR</v>
          </cell>
          <cell r="C5118">
            <v>1.5</v>
          </cell>
          <cell r="D5118">
            <v>22</v>
          </cell>
          <cell r="E5118" t="str">
            <v>FA67</v>
          </cell>
          <cell r="F5118">
            <v>660</v>
          </cell>
          <cell r="G5118">
            <v>67.650000000000006</v>
          </cell>
          <cell r="H5118">
            <v>1.3</v>
          </cell>
          <cell r="I5118" t="str">
            <v>From M1 to M5 - 40°</v>
          </cell>
          <cell r="J5118" t="str">
            <v>IE3</v>
          </cell>
          <cell r="K5118" t="str">
            <v>230/400</v>
          </cell>
          <cell r="L5118">
            <v>50</v>
          </cell>
          <cell r="M5118" t="str">
            <v>5,9/3,4</v>
          </cell>
          <cell r="N5118">
            <v>65</v>
          </cell>
          <cell r="O5118" t="str">
            <v>155(F)</v>
          </cell>
          <cell r="P5118" t="str">
            <v>270°</v>
          </cell>
          <cell r="Q5118" t="str">
            <v>TF</v>
          </cell>
          <cell r="R5118" t="str">
            <v>-</v>
          </cell>
          <cell r="S5118" t="str">
            <v>-</v>
          </cell>
          <cell r="T5118" t="str">
            <v>BEHF</v>
          </cell>
          <cell r="U5118" t="str">
            <v>G</v>
          </cell>
          <cell r="V5118" t="str">
            <v>D+R</v>
          </cell>
          <cell r="W5118" t="str">
            <v>-</v>
          </cell>
          <cell r="X5118" t="str">
            <v>CLP HC 150 (-30/+50°C)</v>
          </cell>
          <cell r="Y5118" t="str">
            <v>FA67/G DRN90L4 /BEHF /TF</v>
          </cell>
          <cell r="Z5118" t="str">
            <v>SEW</v>
          </cell>
          <cell r="AB5118" t="str">
            <v>-</v>
          </cell>
          <cell r="AF5118">
            <v>22</v>
          </cell>
          <cell r="AG5118" t="str">
            <v>DRN90L4</v>
          </cell>
          <cell r="AH5118" t="str">
            <v>FA67G-DRN90L4270-X</v>
          </cell>
        </row>
        <row r="5119">
          <cell r="A5119" t="str">
            <v>MR005108</v>
          </cell>
          <cell r="B5119" t="str">
            <v>MR</v>
          </cell>
          <cell r="C5119">
            <v>15</v>
          </cell>
          <cell r="D5119">
            <v>9.8000000000000007</v>
          </cell>
          <cell r="E5119" t="str">
            <v>KH157</v>
          </cell>
          <cell r="F5119">
            <v>14600</v>
          </cell>
          <cell r="G5119">
            <v>150.41</v>
          </cell>
          <cell r="H5119">
            <v>1.35</v>
          </cell>
          <cell r="I5119" t="str">
            <v>From M1A to M2A - 20°</v>
          </cell>
          <cell r="J5119" t="str">
            <v>IE3</v>
          </cell>
          <cell r="K5119" t="str">
            <v>400/690</v>
          </cell>
          <cell r="L5119">
            <v>50</v>
          </cell>
          <cell r="M5119" t="str">
            <v>29/16,7</v>
          </cell>
          <cell r="N5119">
            <v>65</v>
          </cell>
          <cell r="O5119" t="str">
            <v>155(F)</v>
          </cell>
          <cell r="P5119" t="str">
            <v>270°</v>
          </cell>
          <cell r="Q5119" t="str">
            <v>TF</v>
          </cell>
          <cell r="R5119" t="str">
            <v>V(VE)</v>
          </cell>
          <cell r="S5119" t="str">
            <v>-</v>
          </cell>
          <cell r="T5119" t="str">
            <v>-</v>
          </cell>
          <cell r="U5119" t="str">
            <v>-</v>
          </cell>
          <cell r="V5119" t="str">
            <v>FC</v>
          </cell>
          <cell r="W5119" t="str">
            <v>-</v>
          </cell>
          <cell r="X5119" t="str">
            <v>CLP HC 150 (-30/+50°C)</v>
          </cell>
          <cell r="Y5119" t="str">
            <v>KH157DRN160L4 /TF/V</v>
          </cell>
          <cell r="Z5119" t="str">
            <v>SEW</v>
          </cell>
          <cell r="AB5119" t="str">
            <v>-</v>
          </cell>
          <cell r="AF5119">
            <v>9.8000000000000007</v>
          </cell>
          <cell r="AG5119" t="str">
            <v>DRN160L4</v>
          </cell>
          <cell r="AH5119" t="str">
            <v>KH157-DRN160L4A270-X#</v>
          </cell>
        </row>
        <row r="5120">
          <cell r="A5120" t="str">
            <v>MR005109</v>
          </cell>
          <cell r="B5120" t="str">
            <v>MR</v>
          </cell>
          <cell r="C5120">
            <v>15</v>
          </cell>
          <cell r="D5120">
            <v>9.8000000000000007</v>
          </cell>
          <cell r="E5120" t="str">
            <v>KH157</v>
          </cell>
          <cell r="F5120">
            <v>14600</v>
          </cell>
          <cell r="G5120">
            <v>150.41</v>
          </cell>
          <cell r="H5120">
            <v>1.35</v>
          </cell>
          <cell r="I5120" t="str">
            <v>From M1B to M2B - 20°</v>
          </cell>
          <cell r="J5120" t="str">
            <v>IE3</v>
          </cell>
          <cell r="K5120" t="str">
            <v>400/690</v>
          </cell>
          <cell r="L5120">
            <v>50</v>
          </cell>
          <cell r="M5120" t="str">
            <v>29/16,7</v>
          </cell>
          <cell r="N5120">
            <v>65</v>
          </cell>
          <cell r="O5120" t="str">
            <v>155(F)</v>
          </cell>
          <cell r="P5120" t="str">
            <v>270°</v>
          </cell>
          <cell r="Q5120" t="str">
            <v>TF</v>
          </cell>
          <cell r="R5120" t="str">
            <v>V(VE)</v>
          </cell>
          <cell r="S5120" t="str">
            <v>-</v>
          </cell>
          <cell r="T5120" t="str">
            <v>-</v>
          </cell>
          <cell r="U5120" t="str">
            <v>-</v>
          </cell>
          <cell r="V5120" t="str">
            <v>FC</v>
          </cell>
          <cell r="W5120" t="str">
            <v>-</v>
          </cell>
          <cell r="X5120" t="str">
            <v>CLP HC 150 (-30/+50°C)</v>
          </cell>
          <cell r="Y5120" t="str">
            <v>KH157DRN160L4 /TF/V</v>
          </cell>
          <cell r="Z5120" t="str">
            <v>SEW</v>
          </cell>
          <cell r="AB5120" t="str">
            <v>-</v>
          </cell>
          <cell r="AF5120">
            <v>9.8000000000000007</v>
          </cell>
          <cell r="AG5120" t="str">
            <v>DRN160L4</v>
          </cell>
          <cell r="AH5120" t="str">
            <v>KH157-DRN160L4B270-X#</v>
          </cell>
        </row>
        <row r="5121">
          <cell r="A5121" t="str">
            <v>MR005110</v>
          </cell>
          <cell r="B5121" t="str">
            <v>MR</v>
          </cell>
          <cell r="C5121">
            <v>18.5</v>
          </cell>
          <cell r="D5121">
            <v>102</v>
          </cell>
          <cell r="E5121" t="str">
            <v>KH87</v>
          </cell>
          <cell r="F5121">
            <v>1730</v>
          </cell>
          <cell r="G5121">
            <v>14.45</v>
          </cell>
          <cell r="H5121">
            <v>1.2</v>
          </cell>
          <cell r="I5121" t="str">
            <v>From M1A to M4A - 80°</v>
          </cell>
          <cell r="J5121" t="str">
            <v>IE3</v>
          </cell>
          <cell r="K5121" t="str">
            <v>230/400</v>
          </cell>
          <cell r="L5121">
            <v>50</v>
          </cell>
          <cell r="M5121" t="str">
            <v>61/35</v>
          </cell>
          <cell r="N5121">
            <v>55</v>
          </cell>
          <cell r="O5121" t="str">
            <v>155(F)</v>
          </cell>
          <cell r="P5121" t="str">
            <v>270°</v>
          </cell>
          <cell r="Q5121" t="str">
            <v>TF</v>
          </cell>
          <cell r="R5121" t="str">
            <v>V(VE)</v>
          </cell>
          <cell r="S5121" t="str">
            <v>Free rotation CCW</v>
          </cell>
          <cell r="T5121" t="str">
            <v>-</v>
          </cell>
          <cell r="U5121" t="str">
            <v>T</v>
          </cell>
          <cell r="V5121" t="str">
            <v>FC</v>
          </cell>
          <cell r="W5121" t="str">
            <v>-</v>
          </cell>
          <cell r="X5121" t="str">
            <v>CLP HC 220 (-25/+60°C)</v>
          </cell>
          <cell r="Y5121" t="str">
            <v>KH87/T EDRN180M4 /RS /TF/VE</v>
          </cell>
          <cell r="Z5121" t="str">
            <v>SEW</v>
          </cell>
          <cell r="AB5121" t="str">
            <v>ATEX22</v>
          </cell>
          <cell r="AF5121">
            <v>102</v>
          </cell>
          <cell r="AG5121" t="str">
            <v>EDRN180M4</v>
          </cell>
          <cell r="AH5121" t="str">
            <v>KH87T-EDRN180M4A270-X#</v>
          </cell>
        </row>
        <row r="5122">
          <cell r="A5122" t="str">
            <v>MR005111</v>
          </cell>
          <cell r="B5122" t="str">
            <v>MR</v>
          </cell>
          <cell r="C5122">
            <v>11</v>
          </cell>
          <cell r="D5122">
            <v>109</v>
          </cell>
          <cell r="E5122" t="str">
            <v>KH77</v>
          </cell>
          <cell r="F5122">
            <v>960</v>
          </cell>
          <cell r="G5122">
            <v>13.52</v>
          </cell>
          <cell r="H5122">
            <v>1.35</v>
          </cell>
          <cell r="I5122" t="str">
            <v>From M1A to M4A - 80°</v>
          </cell>
          <cell r="J5122" t="str">
            <v>IE3</v>
          </cell>
          <cell r="K5122" t="str">
            <v>230/400</v>
          </cell>
          <cell r="L5122">
            <v>50</v>
          </cell>
          <cell r="M5122" t="str">
            <v>37/21,5</v>
          </cell>
          <cell r="N5122">
            <v>55</v>
          </cell>
          <cell r="O5122" t="str">
            <v>155(F)</v>
          </cell>
          <cell r="P5122" t="str">
            <v>270°</v>
          </cell>
          <cell r="Q5122" t="str">
            <v>TF</v>
          </cell>
          <cell r="R5122" t="str">
            <v>V(VE)</v>
          </cell>
          <cell r="S5122" t="str">
            <v>Free rotation CCW</v>
          </cell>
          <cell r="T5122" t="str">
            <v>-</v>
          </cell>
          <cell r="U5122" t="str">
            <v>T</v>
          </cell>
          <cell r="V5122" t="str">
            <v>FC</v>
          </cell>
          <cell r="W5122" t="str">
            <v>-</v>
          </cell>
          <cell r="X5122" t="str">
            <v>CLP HC 220 (-25/+60°C)</v>
          </cell>
          <cell r="Y5122" t="str">
            <v>KH77/T EDRN160M4 /RS /TF/VE</v>
          </cell>
          <cell r="Z5122" t="str">
            <v>SEW</v>
          </cell>
          <cell r="AB5122" t="str">
            <v>ATEX22</v>
          </cell>
          <cell r="AF5122">
            <v>109</v>
          </cell>
          <cell r="AG5122" t="str">
            <v>EDRN160M4</v>
          </cell>
          <cell r="AH5122" t="str">
            <v>KH77T-EDRN160M4A270-X#</v>
          </cell>
        </row>
        <row r="5123">
          <cell r="A5123" t="str">
            <v>MR005112</v>
          </cell>
          <cell r="B5123" t="str">
            <v>MR</v>
          </cell>
          <cell r="C5123">
            <v>5.5</v>
          </cell>
          <cell r="D5123">
            <v>29</v>
          </cell>
          <cell r="E5123" t="str">
            <v>FH87</v>
          </cell>
          <cell r="F5123">
            <v>1810</v>
          </cell>
          <cell r="G5123">
            <v>50.36</v>
          </cell>
          <cell r="H5123">
            <v>1.6</v>
          </cell>
          <cell r="I5123" t="str">
            <v>M1</v>
          </cell>
          <cell r="J5123" t="str">
            <v>IE3</v>
          </cell>
          <cell r="K5123" t="str">
            <v>400/690</v>
          </cell>
          <cell r="L5123">
            <v>50</v>
          </cell>
          <cell r="M5123" t="str">
            <v>11,1/6,4</v>
          </cell>
          <cell r="N5123">
            <v>55</v>
          </cell>
          <cell r="O5123" t="str">
            <v>155(F)</v>
          </cell>
          <cell r="P5123" t="str">
            <v>270°</v>
          </cell>
          <cell r="Q5123" t="str">
            <v>TF</v>
          </cell>
          <cell r="R5123" t="str">
            <v>-</v>
          </cell>
          <cell r="S5123" t="str">
            <v>-</v>
          </cell>
          <cell r="T5123" t="str">
            <v>-</v>
          </cell>
          <cell r="U5123" t="str">
            <v>G</v>
          </cell>
          <cell r="V5123" t="str">
            <v>D</v>
          </cell>
          <cell r="W5123" t="str">
            <v>-</v>
          </cell>
          <cell r="X5123" t="str">
            <v>CLP 220 (-15/+40°C)</v>
          </cell>
          <cell r="Y5123" t="str">
            <v>FH87/G DRN132S4 /TF</v>
          </cell>
          <cell r="AB5123" t="str">
            <v>-</v>
          </cell>
          <cell r="AF5123">
            <v>29</v>
          </cell>
          <cell r="AG5123" t="str">
            <v>DRN132S4</v>
          </cell>
          <cell r="AH5123" t="str">
            <v>FH87G-DRN132S4270-X</v>
          </cell>
        </row>
        <row r="5124">
          <cell r="A5124" t="str">
            <v>MR005113</v>
          </cell>
          <cell r="B5124" t="str">
            <v>MR</v>
          </cell>
          <cell r="C5124">
            <v>9.1999999999999993</v>
          </cell>
          <cell r="D5124">
            <v>55</v>
          </cell>
          <cell r="E5124" t="str">
            <v>FH87</v>
          </cell>
          <cell r="F5124">
            <v>1580</v>
          </cell>
          <cell r="G5124">
            <v>26.5</v>
          </cell>
          <cell r="H5124">
            <v>1.9</v>
          </cell>
          <cell r="I5124" t="str">
            <v>M4</v>
          </cell>
          <cell r="J5124" t="str">
            <v>IE3</v>
          </cell>
          <cell r="K5124" t="str">
            <v>400/690</v>
          </cell>
          <cell r="L5124">
            <v>50</v>
          </cell>
          <cell r="M5124" t="str">
            <v>18,7/10,8</v>
          </cell>
          <cell r="N5124">
            <v>55</v>
          </cell>
          <cell r="O5124" t="str">
            <v>155(F)</v>
          </cell>
          <cell r="P5124" t="str">
            <v>270°</v>
          </cell>
          <cell r="Q5124" t="str">
            <v>TF</v>
          </cell>
          <cell r="R5124" t="str">
            <v>-</v>
          </cell>
          <cell r="S5124" t="str">
            <v>-</v>
          </cell>
          <cell r="T5124" t="str">
            <v>-</v>
          </cell>
          <cell r="U5124" t="str">
            <v>G</v>
          </cell>
          <cell r="V5124" t="str">
            <v>D</v>
          </cell>
          <cell r="W5124" t="str">
            <v>-</v>
          </cell>
          <cell r="X5124" t="str">
            <v>CLP 220 (-15/+40°C)</v>
          </cell>
          <cell r="Y5124" t="str">
            <v>FH87/G DRN132L4 /TF</v>
          </cell>
          <cell r="AB5124" t="str">
            <v>-</v>
          </cell>
          <cell r="AF5124">
            <v>55</v>
          </cell>
          <cell r="AG5124" t="str">
            <v>DRN132L4</v>
          </cell>
          <cell r="AH5124" t="str">
            <v>FH87G-DRN132L4270-X</v>
          </cell>
        </row>
        <row r="5125">
          <cell r="A5125" t="str">
            <v>MR005114</v>
          </cell>
          <cell r="B5125" t="str">
            <v>MR</v>
          </cell>
          <cell r="C5125">
            <v>15</v>
          </cell>
          <cell r="D5125">
            <v>12</v>
          </cell>
          <cell r="E5125" t="str">
            <v>KH127</v>
          </cell>
          <cell r="F5125">
            <v>11900</v>
          </cell>
          <cell r="G5125">
            <v>122.48</v>
          </cell>
          <cell r="H5125">
            <v>1.1000000000000001</v>
          </cell>
          <cell r="I5125" t="str">
            <v>From M1B to M2B - 45°</v>
          </cell>
          <cell r="J5125" t="str">
            <v>IE3</v>
          </cell>
          <cell r="K5125" t="str">
            <v>230/400</v>
          </cell>
          <cell r="L5125">
            <v>50</v>
          </cell>
          <cell r="M5125" t="str">
            <v>51/29,5</v>
          </cell>
          <cell r="N5125">
            <v>55</v>
          </cell>
          <cell r="O5125" t="str">
            <v>155(F)</v>
          </cell>
          <cell r="P5125" t="str">
            <v>270°</v>
          </cell>
          <cell r="Q5125" t="str">
            <v>TF</v>
          </cell>
          <cell r="R5125" t="str">
            <v>-</v>
          </cell>
          <cell r="S5125" t="str">
            <v>-</v>
          </cell>
          <cell r="T5125" t="str">
            <v>-</v>
          </cell>
          <cell r="U5125" t="str">
            <v>-</v>
          </cell>
          <cell r="V5125" t="str">
            <v>FC</v>
          </cell>
          <cell r="W5125" t="str">
            <v>-</v>
          </cell>
          <cell r="X5125" t="str">
            <v>CLP HC 220 (-25/+60°C)</v>
          </cell>
          <cell r="Y5125" t="str">
            <v>KH127EDRN160L4 /TF</v>
          </cell>
          <cell r="Z5125" t="str">
            <v>SEW</v>
          </cell>
          <cell r="AB5125" t="str">
            <v>ATEX22</v>
          </cell>
          <cell r="AE5125" t="str">
            <v>Work freq. 35Hz minimum. [Ex MR004496]</v>
          </cell>
          <cell r="AF5125">
            <v>12</v>
          </cell>
          <cell r="AG5125" t="str">
            <v>EDRN160L4</v>
          </cell>
          <cell r="AH5125" t="str">
            <v>KH127-EDRN160L4B270-X</v>
          </cell>
        </row>
        <row r="5126">
          <cell r="A5126" t="str">
            <v>MR005115</v>
          </cell>
          <cell r="B5126" t="str">
            <v>MR</v>
          </cell>
          <cell r="C5126">
            <v>18.5</v>
          </cell>
          <cell r="D5126">
            <v>12</v>
          </cell>
          <cell r="E5126" t="str">
            <v>KH157</v>
          </cell>
          <cell r="F5126">
            <v>14600</v>
          </cell>
          <cell r="G5126">
            <v>122.39</v>
          </cell>
          <cell r="H5126">
            <v>1.35</v>
          </cell>
          <cell r="I5126" t="str">
            <v>From M1B to M2B - 25°</v>
          </cell>
          <cell r="J5126" t="str">
            <v>IE3</v>
          </cell>
          <cell r="K5126" t="str">
            <v>230/400</v>
          </cell>
          <cell r="L5126">
            <v>50</v>
          </cell>
          <cell r="M5126" t="str">
            <v>61/35</v>
          </cell>
          <cell r="N5126">
            <v>55</v>
          </cell>
          <cell r="O5126" t="str">
            <v>155(F)</v>
          </cell>
          <cell r="P5126" t="str">
            <v>270°</v>
          </cell>
          <cell r="Q5126" t="str">
            <v>TF</v>
          </cell>
          <cell r="R5126" t="str">
            <v>-</v>
          </cell>
          <cell r="S5126" t="str">
            <v>-</v>
          </cell>
          <cell r="T5126" t="str">
            <v>-</v>
          </cell>
          <cell r="U5126" t="str">
            <v>-</v>
          </cell>
          <cell r="V5126" t="str">
            <v>FC</v>
          </cell>
          <cell r="W5126" t="str">
            <v>-</v>
          </cell>
          <cell r="X5126" t="str">
            <v>CLP HC 220 (-25/+60°C)</v>
          </cell>
          <cell r="Y5126" t="str">
            <v>KH157EDRN180M4 /TF</v>
          </cell>
          <cell r="Z5126" t="str">
            <v>SEW</v>
          </cell>
          <cell r="AB5126" t="str">
            <v>ATEX22</v>
          </cell>
          <cell r="AE5126" t="str">
            <v>Work freq. 35Hz minimum. [Ex MR004497]</v>
          </cell>
          <cell r="AF5126">
            <v>12</v>
          </cell>
          <cell r="AG5126" t="str">
            <v>EDRN180M4</v>
          </cell>
          <cell r="AH5126" t="str">
            <v>KH157-EDRN180M4B270-X</v>
          </cell>
        </row>
        <row r="5127">
          <cell r="A5127" t="str">
            <v>MR005116</v>
          </cell>
          <cell r="B5127" t="str">
            <v>MR</v>
          </cell>
          <cell r="C5127">
            <v>11</v>
          </cell>
          <cell r="D5127">
            <v>13</v>
          </cell>
          <cell r="E5127" t="str">
            <v>KH127</v>
          </cell>
          <cell r="F5127">
            <v>7860</v>
          </cell>
          <cell r="G5127">
            <v>110.18</v>
          </cell>
          <cell r="H5127">
            <v>1.65</v>
          </cell>
          <cell r="I5127" t="str">
            <v>From M1B to M2B - 10°</v>
          </cell>
          <cell r="J5127" t="str">
            <v>IE3</v>
          </cell>
          <cell r="K5127" t="str">
            <v>230/400</v>
          </cell>
          <cell r="L5127">
            <v>50</v>
          </cell>
          <cell r="M5127" t="str">
            <v>37/21,5</v>
          </cell>
          <cell r="N5127">
            <v>55</v>
          </cell>
          <cell r="O5127" t="str">
            <v>155(F)</v>
          </cell>
          <cell r="P5127" t="str">
            <v>270°</v>
          </cell>
          <cell r="Q5127" t="str">
            <v>TF</v>
          </cell>
          <cell r="R5127" t="str">
            <v>-</v>
          </cell>
          <cell r="S5127" t="str">
            <v>-</v>
          </cell>
          <cell r="T5127" t="str">
            <v>-</v>
          </cell>
          <cell r="U5127" t="str">
            <v>-</v>
          </cell>
          <cell r="V5127" t="str">
            <v>FC</v>
          </cell>
          <cell r="W5127" t="str">
            <v>-</v>
          </cell>
          <cell r="X5127" t="str">
            <v>CLP HC 220 (-25/+60°C)</v>
          </cell>
          <cell r="Y5127" t="str">
            <v>KH127EDRN160M4 /TF</v>
          </cell>
          <cell r="Z5127" t="str">
            <v>SEW</v>
          </cell>
          <cell r="AB5127" t="str">
            <v>ATEX22</v>
          </cell>
          <cell r="AE5127" t="str">
            <v>Work freq. 35Hz minimum. [Ex MR004499]</v>
          </cell>
          <cell r="AF5127">
            <v>13</v>
          </cell>
          <cell r="AG5127" t="str">
            <v>EDRN160M4</v>
          </cell>
          <cell r="AH5127" t="str">
            <v>KH127-EDRN160M4B270-X</v>
          </cell>
        </row>
        <row r="5128">
          <cell r="A5128" t="str">
            <v>MR005117</v>
          </cell>
          <cell r="B5128" t="str">
            <v>MR</v>
          </cell>
          <cell r="C5128">
            <v>11</v>
          </cell>
          <cell r="D5128">
            <v>13</v>
          </cell>
          <cell r="E5128" t="str">
            <v>KH127</v>
          </cell>
          <cell r="F5128">
            <v>7860</v>
          </cell>
          <cell r="G5128">
            <v>110.18</v>
          </cell>
          <cell r="H5128">
            <v>1.65</v>
          </cell>
          <cell r="I5128" t="str">
            <v>From M1A to M2A - 10°</v>
          </cell>
          <cell r="J5128" t="str">
            <v>IE3</v>
          </cell>
          <cell r="K5128" t="str">
            <v>230/400</v>
          </cell>
          <cell r="L5128">
            <v>50</v>
          </cell>
          <cell r="M5128" t="str">
            <v>37/21,5</v>
          </cell>
          <cell r="N5128">
            <v>55</v>
          </cell>
          <cell r="O5128" t="str">
            <v>155(F)</v>
          </cell>
          <cell r="P5128" t="str">
            <v>270°</v>
          </cell>
          <cell r="Q5128" t="str">
            <v>TF</v>
          </cell>
          <cell r="R5128" t="str">
            <v>-</v>
          </cell>
          <cell r="S5128" t="str">
            <v>-</v>
          </cell>
          <cell r="T5128" t="str">
            <v>-</v>
          </cell>
          <cell r="U5128" t="str">
            <v>-</v>
          </cell>
          <cell r="V5128" t="str">
            <v>FC</v>
          </cell>
          <cell r="W5128" t="str">
            <v>-</v>
          </cell>
          <cell r="X5128" t="str">
            <v>CLP HC 220 (-25/+60°C)</v>
          </cell>
          <cell r="Y5128" t="str">
            <v>KH127EDRN160M4 /TF</v>
          </cell>
          <cell r="Z5128" t="str">
            <v>SEW</v>
          </cell>
          <cell r="AB5128" t="str">
            <v>ATEX22</v>
          </cell>
          <cell r="AE5128" t="str">
            <v>Work freq. 35Hz minimum. [Ex MR004500]</v>
          </cell>
          <cell r="AF5128">
            <v>13</v>
          </cell>
          <cell r="AG5128" t="str">
            <v>EDRN160M4</v>
          </cell>
          <cell r="AH5128" t="str">
            <v>KH127-EDRN160M4A270-X</v>
          </cell>
        </row>
        <row r="5129">
          <cell r="A5129" t="str">
            <v>MR005118</v>
          </cell>
          <cell r="B5129" t="str">
            <v>MR</v>
          </cell>
          <cell r="C5129">
            <v>7.5</v>
          </cell>
          <cell r="D5129">
            <v>13</v>
          </cell>
          <cell r="E5129" t="str">
            <v>KH107</v>
          </cell>
          <cell r="F5129">
            <v>5480</v>
          </cell>
          <cell r="G5129">
            <v>112.41</v>
          </cell>
          <cell r="H5129">
            <v>1.45</v>
          </cell>
          <cell r="I5129" t="str">
            <v>From M1B to M2B - 5°</v>
          </cell>
          <cell r="J5129" t="str">
            <v>IE3</v>
          </cell>
          <cell r="K5129" t="str">
            <v>230/400</v>
          </cell>
          <cell r="L5129">
            <v>50</v>
          </cell>
          <cell r="M5129" t="str">
            <v>27/15,7</v>
          </cell>
          <cell r="N5129">
            <v>55</v>
          </cell>
          <cell r="O5129" t="str">
            <v>155(F)</v>
          </cell>
          <cell r="P5129" t="str">
            <v>270°</v>
          </cell>
          <cell r="Q5129" t="str">
            <v>TF</v>
          </cell>
          <cell r="R5129" t="str">
            <v>-</v>
          </cell>
          <cell r="S5129" t="str">
            <v>-</v>
          </cell>
          <cell r="T5129" t="str">
            <v>-</v>
          </cell>
          <cell r="U5129" t="str">
            <v>-</v>
          </cell>
          <cell r="V5129" t="str">
            <v>FC</v>
          </cell>
          <cell r="W5129" t="str">
            <v>-</v>
          </cell>
          <cell r="X5129" t="str">
            <v>CLP HC 220 (-25/+60°C)</v>
          </cell>
          <cell r="Y5129" t="str">
            <v>KH107EDRN132M4 /TF</v>
          </cell>
          <cell r="Z5129" t="str">
            <v>SEW</v>
          </cell>
          <cell r="AB5129" t="str">
            <v>ATEX22</v>
          </cell>
          <cell r="AE5129" t="str">
            <v>Work freq. 35Hz minimum. [Ex MR004502]</v>
          </cell>
          <cell r="AF5129">
            <v>13</v>
          </cell>
          <cell r="AG5129" t="str">
            <v>EDRN132M4</v>
          </cell>
          <cell r="AH5129" t="str">
            <v>KH107-EDRN132M4B270-X</v>
          </cell>
        </row>
        <row r="5130">
          <cell r="A5130" t="str">
            <v>MR005119</v>
          </cell>
          <cell r="B5130" t="str">
            <v>MR</v>
          </cell>
          <cell r="C5130">
            <v>7.5</v>
          </cell>
          <cell r="D5130">
            <v>13</v>
          </cell>
          <cell r="E5130" t="str">
            <v>KH107</v>
          </cell>
          <cell r="F5130">
            <v>5480</v>
          </cell>
          <cell r="G5130">
            <v>112.41</v>
          </cell>
          <cell r="H5130">
            <v>1.45</v>
          </cell>
          <cell r="I5130" t="str">
            <v>From M1A to M2A - 5°</v>
          </cell>
          <cell r="J5130" t="str">
            <v>IE3</v>
          </cell>
          <cell r="K5130" t="str">
            <v>230/400</v>
          </cell>
          <cell r="L5130">
            <v>50</v>
          </cell>
          <cell r="M5130" t="str">
            <v>27/15,7</v>
          </cell>
          <cell r="N5130">
            <v>55</v>
          </cell>
          <cell r="O5130" t="str">
            <v>155(F)</v>
          </cell>
          <cell r="P5130" t="str">
            <v>270°</v>
          </cell>
          <cell r="Q5130" t="str">
            <v>TF</v>
          </cell>
          <cell r="R5130" t="str">
            <v>-</v>
          </cell>
          <cell r="S5130" t="str">
            <v>-</v>
          </cell>
          <cell r="T5130" t="str">
            <v>-</v>
          </cell>
          <cell r="U5130" t="str">
            <v>-</v>
          </cell>
          <cell r="V5130" t="str">
            <v>FC</v>
          </cell>
          <cell r="W5130" t="str">
            <v>-</v>
          </cell>
          <cell r="X5130" t="str">
            <v>CLP HC 220 (-25/+60°C)</v>
          </cell>
          <cell r="Y5130" t="str">
            <v>KH107EDRN132M4 /TF</v>
          </cell>
          <cell r="Z5130" t="str">
            <v>SEW</v>
          </cell>
          <cell r="AB5130" t="str">
            <v>ATEX22</v>
          </cell>
          <cell r="AE5130" t="str">
            <v>Work freq. 35Hz minimum. [Ex MR004503]</v>
          </cell>
          <cell r="AF5130">
            <v>13</v>
          </cell>
          <cell r="AG5130" t="str">
            <v>EDRN132M4</v>
          </cell>
          <cell r="AH5130" t="str">
            <v>KH107-EDRN132M4A270-X</v>
          </cell>
        </row>
        <row r="5131">
          <cell r="A5131" t="str">
            <v>MR005120</v>
          </cell>
          <cell r="B5131" t="str">
            <v>MR</v>
          </cell>
          <cell r="C5131">
            <v>7.5</v>
          </cell>
          <cell r="D5131">
            <v>28</v>
          </cell>
          <cell r="E5131" t="str">
            <v>FH97</v>
          </cell>
          <cell r="F5131">
            <v>2560</v>
          </cell>
          <cell r="G5131">
            <v>52.49</v>
          </cell>
          <cell r="H5131">
            <v>1.7</v>
          </cell>
          <cell r="I5131" t="str">
            <v>From M1 to M2-10°</v>
          </cell>
          <cell r="J5131" t="str">
            <v>IE4</v>
          </cell>
          <cell r="K5131" t="str">
            <v>230/400</v>
          </cell>
          <cell r="L5131">
            <v>50</v>
          </cell>
          <cell r="M5131" t="str">
            <v>25,5/14,7</v>
          </cell>
          <cell r="N5131">
            <v>55</v>
          </cell>
          <cell r="O5131" t="str">
            <v>155(F)</v>
          </cell>
          <cell r="P5131" t="str">
            <v>270°</v>
          </cell>
          <cell r="Q5131" t="str">
            <v>TF</v>
          </cell>
          <cell r="R5131" t="str">
            <v>V(VE)</v>
          </cell>
          <cell r="S5131" t="str">
            <v>-</v>
          </cell>
          <cell r="T5131" t="str">
            <v>-</v>
          </cell>
          <cell r="U5131" t="str">
            <v>G</v>
          </cell>
          <cell r="V5131" t="str">
            <v>FC</v>
          </cell>
          <cell r="W5131" t="str">
            <v>-</v>
          </cell>
          <cell r="X5131" t="str">
            <v>CLP 220 (-15/+40°C)</v>
          </cell>
          <cell r="Y5131" t="str">
            <v>FH97/G DRN132M4 /TF/V</v>
          </cell>
          <cell r="Z5131" t="str">
            <v>SEW</v>
          </cell>
          <cell r="AB5131" t="str">
            <v>-</v>
          </cell>
          <cell r="AF5131">
            <v>28</v>
          </cell>
          <cell r="AG5131" t="str">
            <v>DRN132M4</v>
          </cell>
          <cell r="AH5131" t="str">
            <v>FH97G-DRN132M4270-X#</v>
          </cell>
        </row>
        <row r="5132">
          <cell r="A5132" t="str">
            <v>MR005121</v>
          </cell>
          <cell r="B5132" t="str">
            <v>MR</v>
          </cell>
          <cell r="C5132">
            <v>0.75</v>
          </cell>
          <cell r="D5132">
            <v>15</v>
          </cell>
          <cell r="E5132" t="str">
            <v>FA67</v>
          </cell>
          <cell r="F5132">
            <v>475</v>
          </cell>
          <cell r="G5132">
            <v>95.94</v>
          </cell>
          <cell r="H5132">
            <v>1.8</v>
          </cell>
          <cell r="I5132" t="str">
            <v>From M5 to M1 - 20°</v>
          </cell>
          <cell r="J5132" t="str">
            <v>IE3</v>
          </cell>
          <cell r="K5132" t="str">
            <v>230/400</v>
          </cell>
          <cell r="L5132">
            <v>50</v>
          </cell>
          <cell r="M5132" t="str">
            <v>3,05/1,75</v>
          </cell>
          <cell r="N5132">
            <v>55</v>
          </cell>
          <cell r="O5132" t="str">
            <v>155(F)</v>
          </cell>
          <cell r="P5132" t="str">
            <v>270°</v>
          </cell>
          <cell r="Q5132" t="str">
            <v>TF</v>
          </cell>
          <cell r="R5132" t="str">
            <v>-</v>
          </cell>
          <cell r="S5132" t="str">
            <v>-</v>
          </cell>
          <cell r="T5132" t="str">
            <v>BEHF</v>
          </cell>
          <cell r="U5132" t="str">
            <v>G</v>
          </cell>
          <cell r="V5132" t="str">
            <v>D+R</v>
          </cell>
          <cell r="W5132" t="str">
            <v>-</v>
          </cell>
          <cell r="X5132" t="str">
            <v>CLP 220 (-15/+40°C)</v>
          </cell>
          <cell r="Y5132" t="str">
            <v>FA67/G DRN80M4 /BEHF /TF</v>
          </cell>
          <cell r="Z5132" t="str">
            <v>SEW</v>
          </cell>
          <cell r="AB5132" t="str">
            <v>-</v>
          </cell>
          <cell r="AF5132">
            <v>15</v>
          </cell>
          <cell r="AG5132" t="str">
            <v>DRN80M4</v>
          </cell>
          <cell r="AH5132" t="str">
            <v>FA67G-DRN80M4270-X</v>
          </cell>
        </row>
        <row r="5133">
          <cell r="A5133" t="str">
            <v>MR005122</v>
          </cell>
          <cell r="B5133" t="str">
            <v>MR</v>
          </cell>
          <cell r="C5133">
            <v>11</v>
          </cell>
          <cell r="D5133">
            <v>9.8000000000000007</v>
          </cell>
          <cell r="E5133" t="str">
            <v>KH157</v>
          </cell>
          <cell r="F5133">
            <v>10700</v>
          </cell>
          <cell r="G5133">
            <v>150.41</v>
          </cell>
          <cell r="H5133">
            <v>1.85</v>
          </cell>
          <cell r="I5133" t="str">
            <v>From M1A to M2A - 20°</v>
          </cell>
          <cell r="J5133" t="str">
            <v>IE3</v>
          </cell>
          <cell r="K5133" t="str">
            <v>230/400</v>
          </cell>
          <cell r="L5133">
            <v>50</v>
          </cell>
          <cell r="M5133" t="str">
            <v>36,5/21</v>
          </cell>
          <cell r="N5133">
            <v>65</v>
          </cell>
          <cell r="O5133" t="str">
            <v>155(F)</v>
          </cell>
          <cell r="P5133" t="str">
            <v>180°</v>
          </cell>
          <cell r="Q5133" t="str">
            <v>TF</v>
          </cell>
          <cell r="R5133" t="str">
            <v>V(VE)</v>
          </cell>
          <cell r="S5133" t="str">
            <v>-</v>
          </cell>
          <cell r="T5133" t="str">
            <v>-</v>
          </cell>
          <cell r="U5133" t="str">
            <v>-</v>
          </cell>
          <cell r="V5133" t="str">
            <v>FC</v>
          </cell>
          <cell r="W5133" t="str">
            <v>-</v>
          </cell>
          <cell r="X5133" t="str">
            <v>CLP 220 (-15/+40°C)</v>
          </cell>
          <cell r="Y5133" t="str">
            <v>KH157DRN160M4 /TF/V</v>
          </cell>
          <cell r="Z5133" t="str">
            <v>SEW</v>
          </cell>
          <cell r="AB5133" t="str">
            <v>-</v>
          </cell>
          <cell r="AF5133">
            <v>9.8000000000000007</v>
          </cell>
          <cell r="AG5133" t="str">
            <v>DRN160M4</v>
          </cell>
          <cell r="AH5133" t="str">
            <v>KH157-DRN160M4A180-X#</v>
          </cell>
        </row>
        <row r="5134">
          <cell r="A5134" t="str">
            <v>MR005123</v>
          </cell>
          <cell r="B5134" t="str">
            <v>MR</v>
          </cell>
          <cell r="C5134">
            <v>7.5</v>
          </cell>
          <cell r="D5134">
            <v>15</v>
          </cell>
          <cell r="E5134" t="str">
            <v>R127</v>
          </cell>
          <cell r="F5134">
            <v>4720</v>
          </cell>
          <cell r="G5134">
            <v>96.95</v>
          </cell>
          <cell r="H5134">
            <v>1.25</v>
          </cell>
          <cell r="I5134" t="str">
            <v>From M1 to M2 - 10°</v>
          </cell>
          <cell r="J5134" t="str">
            <v>IE3</v>
          </cell>
          <cell r="K5134" t="str">
            <v>230/400</v>
          </cell>
          <cell r="L5134">
            <v>50</v>
          </cell>
          <cell r="M5134" t="str">
            <v>26,5/15,2</v>
          </cell>
          <cell r="N5134">
            <v>65</v>
          </cell>
          <cell r="O5134" t="str">
            <v>155(F)</v>
          </cell>
          <cell r="P5134" t="str">
            <v>270°</v>
          </cell>
          <cell r="Q5134" t="str">
            <v>TF</v>
          </cell>
          <cell r="R5134" t="str">
            <v>V(VE)</v>
          </cell>
          <cell r="S5134" t="str">
            <v>-</v>
          </cell>
          <cell r="T5134" t="str">
            <v>-</v>
          </cell>
          <cell r="U5134" t="str">
            <v>-</v>
          </cell>
          <cell r="V5134" t="str">
            <v>FC</v>
          </cell>
          <cell r="W5134" t="str">
            <v>-</v>
          </cell>
          <cell r="X5134" t="str">
            <v>CLP 220 (-15/+40°C)</v>
          </cell>
          <cell r="Y5134" t="str">
            <v>R127DRN132M4 /TF/V</v>
          </cell>
          <cell r="Z5134" t="str">
            <v>SEW</v>
          </cell>
          <cell r="AB5134" t="str">
            <v>-</v>
          </cell>
          <cell r="AF5134">
            <v>15</v>
          </cell>
          <cell r="AG5134" t="str">
            <v>DRN132M4</v>
          </cell>
          <cell r="AH5134" t="str">
            <v>R127-DRN132M4270-X#</v>
          </cell>
        </row>
        <row r="5135">
          <cell r="A5135" t="str">
            <v>MR005124</v>
          </cell>
          <cell r="B5135" t="str">
            <v>MR</v>
          </cell>
          <cell r="C5135">
            <v>9.1999999999999993</v>
          </cell>
          <cell r="D5135">
            <v>66</v>
          </cell>
          <cell r="E5135" t="str">
            <v>R97</v>
          </cell>
          <cell r="F5135">
            <v>1330</v>
          </cell>
          <cell r="G5135">
            <v>22.37</v>
          </cell>
          <cell r="H5135">
            <v>2</v>
          </cell>
          <cell r="I5135" t="str">
            <v>From M1 to M2 - 20°</v>
          </cell>
          <cell r="J5135" t="str">
            <v>IE3</v>
          </cell>
          <cell r="K5135" t="str">
            <v>230/400</v>
          </cell>
          <cell r="L5135">
            <v>50</v>
          </cell>
          <cell r="M5135" t="str">
            <v>32,5/18,7</v>
          </cell>
          <cell r="N5135">
            <v>65</v>
          </cell>
          <cell r="O5135" t="str">
            <v>155(F)</v>
          </cell>
          <cell r="P5135" t="str">
            <v>270°</v>
          </cell>
          <cell r="Q5135" t="str">
            <v>TF</v>
          </cell>
          <cell r="R5135" t="str">
            <v>-</v>
          </cell>
          <cell r="S5135" t="str">
            <v>-</v>
          </cell>
          <cell r="T5135" t="str">
            <v>-</v>
          </cell>
          <cell r="U5135" t="str">
            <v>-</v>
          </cell>
          <cell r="V5135" t="str">
            <v>D</v>
          </cell>
          <cell r="W5135" t="str">
            <v>-</v>
          </cell>
          <cell r="X5135" t="str">
            <v>CLP 220 (-15/+40°C)</v>
          </cell>
          <cell r="Y5135" t="str">
            <v>R97DRN132L4 /TF</v>
          </cell>
          <cell r="Z5135" t="str">
            <v>SEW</v>
          </cell>
          <cell r="AB5135" t="str">
            <v>-</v>
          </cell>
          <cell r="AF5135">
            <v>66</v>
          </cell>
          <cell r="AG5135" t="str">
            <v>DRN132L4</v>
          </cell>
          <cell r="AH5135" t="str">
            <v>R97-DRN132L4270-X</v>
          </cell>
        </row>
        <row r="5136">
          <cell r="A5136" t="str">
            <v>MR005125</v>
          </cell>
          <cell r="B5136" t="str">
            <v>MR</v>
          </cell>
          <cell r="C5136">
            <v>9.1999999999999993</v>
          </cell>
          <cell r="D5136">
            <v>59</v>
          </cell>
          <cell r="E5136" t="str">
            <v>KH87</v>
          </cell>
          <cell r="F5136">
            <v>1480</v>
          </cell>
          <cell r="G5136">
            <v>24.92</v>
          </cell>
          <cell r="H5136">
            <v>1.7</v>
          </cell>
          <cell r="I5136" t="str">
            <v>M4A</v>
          </cell>
          <cell r="J5136" t="str">
            <v>IE3</v>
          </cell>
          <cell r="K5136" t="str">
            <v>230/400</v>
          </cell>
          <cell r="L5136">
            <v>50</v>
          </cell>
          <cell r="M5136" t="str">
            <v>32,5/18,7</v>
          </cell>
          <cell r="N5136">
            <v>65</v>
          </cell>
          <cell r="O5136" t="str">
            <v>155(F)</v>
          </cell>
          <cell r="P5136" t="str">
            <v>270°</v>
          </cell>
          <cell r="Q5136" t="str">
            <v>TF</v>
          </cell>
          <cell r="R5136" t="str">
            <v>V(VE)</v>
          </cell>
          <cell r="S5136" t="str">
            <v>-</v>
          </cell>
          <cell r="T5136" t="str">
            <v>-</v>
          </cell>
          <cell r="U5136" t="str">
            <v>T</v>
          </cell>
          <cell r="V5136" t="str">
            <v>FC</v>
          </cell>
          <cell r="W5136" t="str">
            <v>-</v>
          </cell>
          <cell r="X5136" t="str">
            <v>CLP 220 (-15/+40°C)</v>
          </cell>
          <cell r="Y5136" t="str">
            <v>KH87/T DRN132L4 /TF/V</v>
          </cell>
          <cell r="Z5136" t="str">
            <v>SEW</v>
          </cell>
          <cell r="AB5136" t="str">
            <v>-</v>
          </cell>
          <cell r="AF5136">
            <v>59</v>
          </cell>
          <cell r="AG5136" t="str">
            <v>DRN132L4</v>
          </cell>
          <cell r="AH5136" t="str">
            <v>KH87T-DRN132L4A270-X#</v>
          </cell>
        </row>
        <row r="5137">
          <cell r="A5137" t="str">
            <v>MR005126</v>
          </cell>
          <cell r="B5137" t="str">
            <v>MR</v>
          </cell>
          <cell r="C5137">
            <v>0.75</v>
          </cell>
          <cell r="D5137">
            <v>162</v>
          </cell>
          <cell r="E5137" t="str">
            <v>KA37</v>
          </cell>
          <cell r="F5137">
            <v>44</v>
          </cell>
          <cell r="G5137">
            <v>8.91</v>
          </cell>
          <cell r="H5137">
            <v>3.6</v>
          </cell>
          <cell r="I5137" t="str">
            <v>From M3B to M2B - 15°</v>
          </cell>
          <cell r="J5137" t="str">
            <v>IE3</v>
          </cell>
          <cell r="K5137" t="str">
            <v>230/400</v>
          </cell>
          <cell r="L5137">
            <v>50</v>
          </cell>
          <cell r="M5137" t="str">
            <v>3,05/1,75</v>
          </cell>
          <cell r="N5137">
            <v>65</v>
          </cell>
          <cell r="O5137" t="str">
            <v>155(F)</v>
          </cell>
          <cell r="P5137" t="str">
            <v>0°</v>
          </cell>
          <cell r="Q5137" t="str">
            <v>TF</v>
          </cell>
          <cell r="R5137" t="str">
            <v>-</v>
          </cell>
          <cell r="S5137" t="str">
            <v>-</v>
          </cell>
          <cell r="T5137" t="str">
            <v>-</v>
          </cell>
          <cell r="U5137" t="str">
            <v>T</v>
          </cell>
          <cell r="V5137" t="str">
            <v>D</v>
          </cell>
          <cell r="W5137" t="str">
            <v>-</v>
          </cell>
          <cell r="X5137" t="str">
            <v>CLP 220 (-15/+40°C)</v>
          </cell>
          <cell r="Y5137" t="str">
            <v>KA37/T DRN80M4 /TF</v>
          </cell>
          <cell r="Z5137" t="str">
            <v>SEW</v>
          </cell>
          <cell r="AB5137" t="str">
            <v>-</v>
          </cell>
          <cell r="AF5137">
            <v>162</v>
          </cell>
          <cell r="AG5137" t="str">
            <v>DRN80M4</v>
          </cell>
          <cell r="AH5137" t="str">
            <v>KA37T-DRN80M4B0-X</v>
          </cell>
        </row>
        <row r="5138">
          <cell r="A5138" t="str">
            <v>MR005127</v>
          </cell>
          <cell r="B5138" t="str">
            <v>MR</v>
          </cell>
          <cell r="C5138">
            <v>15</v>
          </cell>
          <cell r="D5138">
            <v>30</v>
          </cell>
          <cell r="E5138" t="str">
            <v>R127</v>
          </cell>
          <cell r="F5138">
            <v>4840</v>
          </cell>
          <cell r="G5138">
            <v>49.81</v>
          </cell>
          <cell r="H5138">
            <v>1.25</v>
          </cell>
          <cell r="I5138" t="str">
            <v>M1</v>
          </cell>
          <cell r="J5138" t="str">
            <v>IE3</v>
          </cell>
          <cell r="K5138" t="str">
            <v>230/400</v>
          </cell>
          <cell r="L5138">
            <v>50</v>
          </cell>
          <cell r="M5138" t="str">
            <v>50/29</v>
          </cell>
          <cell r="N5138">
            <v>65</v>
          </cell>
          <cell r="O5138" t="str">
            <v>155(F)</v>
          </cell>
          <cell r="P5138" t="str">
            <v>270°</v>
          </cell>
          <cell r="Q5138" t="str">
            <v>TF</v>
          </cell>
          <cell r="R5138" t="str">
            <v>V(VE)</v>
          </cell>
          <cell r="S5138" t="str">
            <v>-</v>
          </cell>
          <cell r="T5138" t="str">
            <v>-</v>
          </cell>
          <cell r="U5138" t="str">
            <v>-</v>
          </cell>
          <cell r="V5138" t="str">
            <v>FC</v>
          </cell>
          <cell r="W5138" t="str">
            <v>-</v>
          </cell>
          <cell r="X5138" t="str">
            <v>CLP 220 (-15/+40°C)</v>
          </cell>
          <cell r="Y5138" t="str">
            <v>R127DRN160L4 /TF/V</v>
          </cell>
          <cell r="Z5138" t="str">
            <v>SEW</v>
          </cell>
          <cell r="AB5138" t="str">
            <v>-</v>
          </cell>
          <cell r="AF5138">
            <v>30</v>
          </cell>
          <cell r="AG5138" t="str">
            <v>DRN160L4</v>
          </cell>
          <cell r="AH5138" t="str">
            <v>R127-DRN160L4270-X#</v>
          </cell>
        </row>
        <row r="5139">
          <cell r="A5139" t="str">
            <v>MR005128</v>
          </cell>
          <cell r="B5139" t="str">
            <v>MR</v>
          </cell>
          <cell r="C5139">
            <v>7.5</v>
          </cell>
          <cell r="D5139">
            <v>13</v>
          </cell>
          <cell r="E5139" t="str">
            <v>KH107</v>
          </cell>
          <cell r="F5139">
            <v>5480</v>
          </cell>
          <cell r="G5139">
            <v>112.41</v>
          </cell>
          <cell r="H5139">
            <v>1.45</v>
          </cell>
          <cell r="I5139" t="str">
            <v>From M1A to M2A - 15°</v>
          </cell>
          <cell r="J5139" t="str">
            <v>IE3</v>
          </cell>
          <cell r="K5139" t="str">
            <v>230/400</v>
          </cell>
          <cell r="L5139">
            <v>50</v>
          </cell>
          <cell r="M5139" t="str">
            <v>26,5/15,2</v>
          </cell>
          <cell r="N5139">
            <v>65</v>
          </cell>
          <cell r="O5139" t="str">
            <v>155(F)</v>
          </cell>
          <cell r="P5139" t="str">
            <v>180°</v>
          </cell>
          <cell r="Q5139" t="str">
            <v>TF</v>
          </cell>
          <cell r="R5139" t="str">
            <v>-</v>
          </cell>
          <cell r="S5139" t="str">
            <v>-</v>
          </cell>
          <cell r="T5139" t="str">
            <v>-</v>
          </cell>
          <cell r="U5139" t="str">
            <v>-</v>
          </cell>
          <cell r="V5139" t="str">
            <v>SS</v>
          </cell>
          <cell r="W5139" t="str">
            <v>-</v>
          </cell>
          <cell r="X5139" t="str">
            <v>CLP 220 (-15/+40°C)</v>
          </cell>
          <cell r="Y5139" t="str">
            <v>KH107DRN132M4 /TF</v>
          </cell>
          <cell r="Z5139" t="str">
            <v>SEW</v>
          </cell>
          <cell r="AB5139" t="str">
            <v>-</v>
          </cell>
          <cell r="AF5139">
            <v>13</v>
          </cell>
          <cell r="AG5139" t="str">
            <v>DRN132M4</v>
          </cell>
          <cell r="AH5139" t="str">
            <v>KH107-DRN132M4A180-X</v>
          </cell>
        </row>
        <row r="5140">
          <cell r="A5140" t="str">
            <v>MR005129</v>
          </cell>
          <cell r="B5140" t="str">
            <v>MR</v>
          </cell>
          <cell r="C5140">
            <v>7.5</v>
          </cell>
          <cell r="D5140">
            <v>13</v>
          </cell>
          <cell r="E5140" t="str">
            <v>KH107</v>
          </cell>
          <cell r="F5140">
            <v>5480</v>
          </cell>
          <cell r="G5140">
            <v>112.41</v>
          </cell>
          <cell r="H5140">
            <v>1.45</v>
          </cell>
          <cell r="I5140" t="str">
            <v>From M1B to M2B - 15°</v>
          </cell>
          <cell r="J5140" t="str">
            <v>IE3</v>
          </cell>
          <cell r="K5140" t="str">
            <v>230/400</v>
          </cell>
          <cell r="L5140">
            <v>50</v>
          </cell>
          <cell r="M5140" t="str">
            <v>26,5/15,2</v>
          </cell>
          <cell r="N5140">
            <v>65</v>
          </cell>
          <cell r="O5140" t="str">
            <v>155(F)</v>
          </cell>
          <cell r="P5140" t="str">
            <v>0°</v>
          </cell>
          <cell r="Q5140" t="str">
            <v>TF</v>
          </cell>
          <cell r="R5140" t="str">
            <v>-</v>
          </cell>
          <cell r="S5140" t="str">
            <v>-</v>
          </cell>
          <cell r="T5140" t="str">
            <v>-</v>
          </cell>
          <cell r="U5140" t="str">
            <v>-</v>
          </cell>
          <cell r="V5140" t="str">
            <v>SS</v>
          </cell>
          <cell r="W5140" t="str">
            <v>-</v>
          </cell>
          <cell r="X5140" t="str">
            <v>CLP 220 (-15/+40°C)</v>
          </cell>
          <cell r="Y5140" t="str">
            <v>KH107DRN132M4 /TF</v>
          </cell>
          <cell r="Z5140" t="str">
            <v>SEW</v>
          </cell>
          <cell r="AB5140" t="str">
            <v>-</v>
          </cell>
          <cell r="AF5140">
            <v>13</v>
          </cell>
          <cell r="AG5140" t="str">
            <v>DRN132M4</v>
          </cell>
          <cell r="AH5140" t="str">
            <v>KH107-DRN132M4B0-X</v>
          </cell>
        </row>
        <row r="5141">
          <cell r="A5141" t="str">
            <v>MR005130</v>
          </cell>
          <cell r="B5141" t="str">
            <v>MR</v>
          </cell>
          <cell r="C5141">
            <v>22</v>
          </cell>
          <cell r="D5141">
            <v>39</v>
          </cell>
          <cell r="E5141" t="str">
            <v>R137</v>
          </cell>
          <cell r="F5141">
            <v>5350</v>
          </cell>
          <cell r="G5141">
            <v>37.65</v>
          </cell>
          <cell r="H5141">
            <v>1.5</v>
          </cell>
          <cell r="I5141" t="str">
            <v>M1</v>
          </cell>
          <cell r="J5141" t="str">
            <v>IE3</v>
          </cell>
          <cell r="K5141" t="str">
            <v>230/400</v>
          </cell>
          <cell r="L5141">
            <v>50</v>
          </cell>
          <cell r="M5141" t="str">
            <v>67/38,5</v>
          </cell>
          <cell r="N5141">
            <v>65</v>
          </cell>
          <cell r="O5141" t="str">
            <v>155(F)</v>
          </cell>
          <cell r="P5141" t="str">
            <v>270°</v>
          </cell>
          <cell r="Q5141" t="str">
            <v>TF</v>
          </cell>
          <cell r="R5141" t="str">
            <v>V(VE)</v>
          </cell>
          <cell r="S5141" t="str">
            <v>-</v>
          </cell>
          <cell r="T5141" t="str">
            <v>-</v>
          </cell>
          <cell r="U5141" t="str">
            <v>-</v>
          </cell>
          <cell r="V5141" t="str">
            <v>FC</v>
          </cell>
          <cell r="W5141" t="str">
            <v>-</v>
          </cell>
          <cell r="X5141" t="str">
            <v>CLP 220 (-15/+40°C)</v>
          </cell>
          <cell r="Y5141" t="str">
            <v>R137DRN180L4 /TF/V</v>
          </cell>
          <cell r="Z5141" t="str">
            <v>SEW</v>
          </cell>
          <cell r="AB5141" t="str">
            <v>-</v>
          </cell>
          <cell r="AF5141">
            <v>39</v>
          </cell>
          <cell r="AG5141" t="str">
            <v>DRN180L4</v>
          </cell>
          <cell r="AH5141" t="str">
            <v>R137-DRN180L4270-X#</v>
          </cell>
        </row>
        <row r="5142">
          <cell r="A5142" t="str">
            <v>MR005131</v>
          </cell>
          <cell r="B5142" t="str">
            <v>MR</v>
          </cell>
          <cell r="C5142">
            <v>11</v>
          </cell>
          <cell r="D5142">
            <v>24.5</v>
          </cell>
          <cell r="E5142" t="str">
            <v>K1032</v>
          </cell>
          <cell r="F5142">
            <v>4150</v>
          </cell>
          <cell r="G5142">
            <v>59.58</v>
          </cell>
          <cell r="H5142">
            <v>1.73</v>
          </cell>
          <cell r="I5142" t="str">
            <v>From 5Y to 1Y-40°</v>
          </cell>
          <cell r="J5142" t="str">
            <v>IE3</v>
          </cell>
          <cell r="K5142">
            <v>415</v>
          </cell>
          <cell r="L5142">
            <v>50</v>
          </cell>
          <cell r="M5142">
            <v>20</v>
          </cell>
          <cell r="N5142">
            <v>65</v>
          </cell>
          <cell r="O5142" t="str">
            <v>155(F)</v>
          </cell>
          <cell r="P5142" t="str">
            <v>270°</v>
          </cell>
          <cell r="Q5142" t="str">
            <v>TF</v>
          </cell>
          <cell r="R5142" t="str">
            <v>-</v>
          </cell>
          <cell r="S5142" t="str">
            <v>-</v>
          </cell>
          <cell r="T5142" t="str">
            <v>-</v>
          </cell>
          <cell r="U5142" t="str">
            <v>-</v>
          </cell>
          <cell r="V5142" t="str">
            <v>FC</v>
          </cell>
          <cell r="W5142" t="str">
            <v>-</v>
          </cell>
          <cell r="X5142" t="str">
            <v>EP Mineral Oil 460</v>
          </cell>
          <cell r="Y5142" t="str">
            <v>-</v>
          </cell>
          <cell r="Z5142" t="str">
            <v>RADICON</v>
          </cell>
          <cell r="AB5142" t="str">
            <v>-</v>
          </cell>
          <cell r="AF5142">
            <v>24.5</v>
          </cell>
          <cell r="AG5142" t="str">
            <v>DRN160M4</v>
          </cell>
          <cell r="AH5142" t="str">
            <v>K1032-DRN160M4270-X</v>
          </cell>
        </row>
        <row r="5143">
          <cell r="A5143" t="str">
            <v>MR005132</v>
          </cell>
          <cell r="B5143" t="str">
            <v>MR</v>
          </cell>
          <cell r="C5143">
            <v>11</v>
          </cell>
          <cell r="D5143">
            <v>24.5</v>
          </cell>
          <cell r="E5143" t="str">
            <v>K1032</v>
          </cell>
          <cell r="F5143">
            <v>4150</v>
          </cell>
          <cell r="G5143">
            <v>59.58</v>
          </cell>
          <cell r="H5143">
            <v>1.73</v>
          </cell>
          <cell r="I5143" t="str">
            <v>From 5X to 1X-40°</v>
          </cell>
          <cell r="J5143" t="str">
            <v>IE3</v>
          </cell>
          <cell r="K5143">
            <v>415</v>
          </cell>
          <cell r="L5143">
            <v>50</v>
          </cell>
          <cell r="M5143">
            <v>20</v>
          </cell>
          <cell r="N5143">
            <v>65</v>
          </cell>
          <cell r="O5143" t="str">
            <v>155(F)</v>
          </cell>
          <cell r="P5143" t="str">
            <v>270°</v>
          </cell>
          <cell r="Q5143" t="str">
            <v>TF</v>
          </cell>
          <cell r="R5143" t="str">
            <v>-</v>
          </cell>
          <cell r="S5143" t="str">
            <v>-</v>
          </cell>
          <cell r="T5143" t="str">
            <v>-</v>
          </cell>
          <cell r="U5143" t="str">
            <v>-</v>
          </cell>
          <cell r="V5143" t="str">
            <v>FC</v>
          </cell>
          <cell r="W5143" t="str">
            <v>-</v>
          </cell>
          <cell r="X5143" t="str">
            <v>EP Mineral Oil 460</v>
          </cell>
          <cell r="Y5143" t="str">
            <v>-</v>
          </cell>
          <cell r="Z5143" t="str">
            <v>RADICON</v>
          </cell>
          <cell r="AB5143" t="str">
            <v>-</v>
          </cell>
          <cell r="AF5143">
            <v>24.5</v>
          </cell>
          <cell r="AG5143" t="str">
            <v>DRN160M4</v>
          </cell>
          <cell r="AH5143" t="str">
            <v>K1032-DRN160M4270-X</v>
          </cell>
        </row>
        <row r="5144">
          <cell r="A5144" t="str">
            <v>MR005133</v>
          </cell>
          <cell r="B5144" t="str">
            <v>MR</v>
          </cell>
          <cell r="C5144">
            <v>5.5</v>
          </cell>
          <cell r="D5144">
            <v>15.3</v>
          </cell>
          <cell r="E5144" t="str">
            <v>K0932</v>
          </cell>
          <cell r="F5144">
            <v>3315</v>
          </cell>
          <cell r="G5144">
            <v>94.53</v>
          </cell>
          <cell r="H5144">
            <v>1.3</v>
          </cell>
          <cell r="I5144" t="str">
            <v>M1Y</v>
          </cell>
          <cell r="J5144" t="str">
            <v>IE3</v>
          </cell>
          <cell r="K5144">
            <v>415</v>
          </cell>
          <cell r="L5144">
            <v>50</v>
          </cell>
          <cell r="M5144">
            <v>10.1</v>
          </cell>
          <cell r="N5144">
            <v>65</v>
          </cell>
          <cell r="O5144" t="str">
            <v>155(F)</v>
          </cell>
          <cell r="P5144" t="str">
            <v>180°</v>
          </cell>
          <cell r="Q5144" t="str">
            <v>TF</v>
          </cell>
          <cell r="R5144" t="str">
            <v>-</v>
          </cell>
          <cell r="S5144" t="str">
            <v>-</v>
          </cell>
          <cell r="T5144" t="str">
            <v>-</v>
          </cell>
          <cell r="U5144" t="str">
            <v>-</v>
          </cell>
          <cell r="V5144" t="str">
            <v>SS</v>
          </cell>
          <cell r="W5144" t="str">
            <v>-</v>
          </cell>
          <cell r="X5144" t="str">
            <v>EP Mineral Oil 460</v>
          </cell>
          <cell r="Y5144" t="str">
            <v>-</v>
          </cell>
          <cell r="Z5144" t="str">
            <v>RADICON</v>
          </cell>
          <cell r="AB5144" t="str">
            <v>-</v>
          </cell>
          <cell r="AF5144">
            <v>15.3</v>
          </cell>
          <cell r="AG5144" t="str">
            <v>DRN132S4</v>
          </cell>
          <cell r="AH5144" t="str">
            <v>K0932-DRN132S4180-X</v>
          </cell>
        </row>
        <row r="5145">
          <cell r="A5145" t="str">
            <v>MR005134</v>
          </cell>
          <cell r="B5145" t="str">
            <v>MR</v>
          </cell>
          <cell r="C5145">
            <v>7.5</v>
          </cell>
          <cell r="D5145">
            <v>62</v>
          </cell>
          <cell r="E5145" t="str">
            <v>M0822</v>
          </cell>
          <cell r="F5145">
            <v>1129</v>
          </cell>
          <cell r="G5145">
            <v>23.32</v>
          </cell>
          <cell r="H5145">
            <v>1.37</v>
          </cell>
          <cell r="I5145">
            <v>1</v>
          </cell>
          <cell r="J5145" t="str">
            <v>IE3</v>
          </cell>
          <cell r="K5145">
            <v>415</v>
          </cell>
          <cell r="L5145">
            <v>50</v>
          </cell>
          <cell r="M5145">
            <v>14.7</v>
          </cell>
          <cell r="N5145">
            <v>65</v>
          </cell>
          <cell r="O5145" t="str">
            <v>155(F)</v>
          </cell>
          <cell r="P5145" t="str">
            <v>270°</v>
          </cell>
          <cell r="Q5145" t="str">
            <v>TF</v>
          </cell>
          <cell r="R5145" t="str">
            <v>-</v>
          </cell>
          <cell r="S5145" t="str">
            <v>-</v>
          </cell>
          <cell r="T5145" t="str">
            <v>-</v>
          </cell>
          <cell r="U5145" t="str">
            <v>-</v>
          </cell>
          <cell r="V5145" t="str">
            <v>D</v>
          </cell>
          <cell r="W5145" t="str">
            <v>-</v>
          </cell>
          <cell r="X5145" t="str">
            <v>EP Mineral Oil 460</v>
          </cell>
          <cell r="Y5145" t="str">
            <v>-</v>
          </cell>
          <cell r="Z5145" t="str">
            <v>RADICON</v>
          </cell>
          <cell r="AB5145" t="str">
            <v>-</v>
          </cell>
          <cell r="AF5145">
            <v>62</v>
          </cell>
          <cell r="AG5145" t="str">
            <v>DRN132M4</v>
          </cell>
          <cell r="AH5145" t="str">
            <v>M0822-DRN132M4270-X</v>
          </cell>
        </row>
        <row r="5146">
          <cell r="A5146" t="str">
            <v>MR005135</v>
          </cell>
          <cell r="B5146" t="str">
            <v>MR</v>
          </cell>
          <cell r="C5146">
            <v>9.1999999999999993</v>
          </cell>
          <cell r="D5146">
            <v>15</v>
          </cell>
          <cell r="E5146" t="str">
            <v>M1332</v>
          </cell>
          <cell r="F5146">
            <v>5921</v>
          </cell>
          <cell r="G5146">
            <v>103.2</v>
          </cell>
          <cell r="H5146">
            <v>1.3</v>
          </cell>
          <cell r="I5146" t="str">
            <v>M1</v>
          </cell>
          <cell r="J5146" t="str">
            <v>IE3</v>
          </cell>
          <cell r="K5146" t="str">
            <v>240/415</v>
          </cell>
          <cell r="L5146">
            <v>50</v>
          </cell>
          <cell r="M5146" t="str">
            <v>31/18</v>
          </cell>
          <cell r="N5146">
            <v>65</v>
          </cell>
          <cell r="O5146" t="str">
            <v>155(F)</v>
          </cell>
          <cell r="P5146" t="str">
            <v>270°</v>
          </cell>
          <cell r="Q5146" t="str">
            <v>TF</v>
          </cell>
          <cell r="R5146" t="str">
            <v>-</v>
          </cell>
          <cell r="S5146" t="str">
            <v>-</v>
          </cell>
          <cell r="T5146" t="str">
            <v>-</v>
          </cell>
          <cell r="U5146" t="str">
            <v>-</v>
          </cell>
          <cell r="V5146" t="str">
            <v>FC</v>
          </cell>
          <cell r="W5146" t="str">
            <v>-</v>
          </cell>
          <cell r="X5146" t="str">
            <v>EP Mineral Oil 460</v>
          </cell>
          <cell r="Y5146" t="str">
            <v>-</v>
          </cell>
          <cell r="Z5146" t="str">
            <v>RADICON</v>
          </cell>
          <cell r="AB5146" t="str">
            <v>-</v>
          </cell>
          <cell r="AF5146">
            <v>15</v>
          </cell>
          <cell r="AG5146" t="str">
            <v>DRN132L4</v>
          </cell>
          <cell r="AH5146" t="str">
            <v>M1332-DRN132L4270-X</v>
          </cell>
        </row>
        <row r="5147">
          <cell r="A5147" t="str">
            <v>MR005136</v>
          </cell>
          <cell r="B5147" t="str">
            <v>MR</v>
          </cell>
          <cell r="C5147">
            <v>7.5</v>
          </cell>
          <cell r="D5147">
            <v>18.600000000000001</v>
          </cell>
          <cell r="E5147" t="str">
            <v>K0932</v>
          </cell>
          <cell r="F5147">
            <v>3719</v>
          </cell>
          <cell r="G5147">
            <v>77.78</v>
          </cell>
          <cell r="H5147">
            <v>1.1599999999999999</v>
          </cell>
          <cell r="I5147" t="str">
            <v>From 1Y to 6Y - 30°</v>
          </cell>
          <cell r="J5147" t="str">
            <v>IE3</v>
          </cell>
          <cell r="K5147">
            <v>415</v>
          </cell>
          <cell r="L5147">
            <v>50</v>
          </cell>
          <cell r="M5147">
            <v>14.7</v>
          </cell>
          <cell r="N5147">
            <v>65</v>
          </cell>
          <cell r="O5147" t="str">
            <v>155(F)</v>
          </cell>
          <cell r="P5147" t="str">
            <v>180°</v>
          </cell>
          <cell r="Q5147" t="str">
            <v>TF</v>
          </cell>
          <cell r="R5147" t="str">
            <v>-</v>
          </cell>
          <cell r="S5147" t="str">
            <v>-</v>
          </cell>
          <cell r="T5147" t="str">
            <v>-</v>
          </cell>
          <cell r="U5147" t="str">
            <v>-</v>
          </cell>
          <cell r="V5147" t="str">
            <v>FC</v>
          </cell>
          <cell r="W5147" t="str">
            <v>-</v>
          </cell>
          <cell r="X5147" t="str">
            <v>EP Mineral Oil 460</v>
          </cell>
          <cell r="Y5147" t="str">
            <v>-</v>
          </cell>
          <cell r="Z5147" t="str">
            <v>RADICON</v>
          </cell>
          <cell r="AB5147" t="str">
            <v>-</v>
          </cell>
          <cell r="AF5147">
            <v>18.600000000000001</v>
          </cell>
          <cell r="AG5147" t="str">
            <v>DRN132M4</v>
          </cell>
          <cell r="AH5147" t="str">
            <v>K0932-DRN132M4180-X</v>
          </cell>
        </row>
        <row r="5148">
          <cell r="A5148" t="str">
            <v>MR005137</v>
          </cell>
          <cell r="B5148" t="str">
            <v>MR</v>
          </cell>
          <cell r="C5148">
            <v>7.5</v>
          </cell>
          <cell r="D5148">
            <v>18.600000000000001</v>
          </cell>
          <cell r="E5148" t="str">
            <v>K0932</v>
          </cell>
          <cell r="F5148">
            <v>3719</v>
          </cell>
          <cell r="G5148">
            <v>77.78</v>
          </cell>
          <cell r="H5148">
            <v>1.1599999999999999</v>
          </cell>
          <cell r="I5148" t="str">
            <v>From 1X to 6X - 30°</v>
          </cell>
          <cell r="J5148" t="str">
            <v>IE3</v>
          </cell>
          <cell r="K5148">
            <v>415</v>
          </cell>
          <cell r="L5148">
            <v>50</v>
          </cell>
          <cell r="M5148">
            <v>14.7</v>
          </cell>
          <cell r="N5148">
            <v>65</v>
          </cell>
          <cell r="O5148" t="str">
            <v>155(F)</v>
          </cell>
          <cell r="P5148" t="str">
            <v>0°</v>
          </cell>
          <cell r="Q5148" t="str">
            <v>TF</v>
          </cell>
          <cell r="R5148" t="str">
            <v>-</v>
          </cell>
          <cell r="S5148" t="str">
            <v>-</v>
          </cell>
          <cell r="T5148" t="str">
            <v>-</v>
          </cell>
          <cell r="U5148" t="str">
            <v>-</v>
          </cell>
          <cell r="V5148" t="str">
            <v>FC</v>
          </cell>
          <cell r="W5148" t="str">
            <v>-</v>
          </cell>
          <cell r="X5148" t="str">
            <v>EP Mineral Oil 460</v>
          </cell>
          <cell r="Y5148" t="str">
            <v>-</v>
          </cell>
          <cell r="Z5148" t="str">
            <v>RADICON</v>
          </cell>
          <cell r="AB5148" t="str">
            <v>-</v>
          </cell>
          <cell r="AF5148">
            <v>18.600000000000001</v>
          </cell>
          <cell r="AG5148" t="str">
            <v>DRN132M4</v>
          </cell>
          <cell r="AH5148" t="str">
            <v>K0932-DRN132M40-X</v>
          </cell>
        </row>
        <row r="5149">
          <cell r="A5149" t="str">
            <v>MR005138</v>
          </cell>
          <cell r="B5149" t="str">
            <v>MR</v>
          </cell>
          <cell r="C5149">
            <v>4</v>
          </cell>
          <cell r="D5149">
            <v>14</v>
          </cell>
          <cell r="E5149" t="str">
            <v>K0932</v>
          </cell>
          <cell r="F5149">
            <v>2729</v>
          </cell>
          <cell r="G5149">
            <v>107</v>
          </cell>
          <cell r="H5149">
            <v>1.58</v>
          </cell>
          <cell r="I5149" t="str">
            <v>From 1Y to 6Y - 5°</v>
          </cell>
          <cell r="J5149" t="str">
            <v>IE3</v>
          </cell>
          <cell r="K5149">
            <v>415</v>
          </cell>
          <cell r="L5149">
            <v>50</v>
          </cell>
          <cell r="M5149">
            <v>7.6</v>
          </cell>
          <cell r="N5149">
            <v>65</v>
          </cell>
          <cell r="O5149" t="str">
            <v>155(F)</v>
          </cell>
          <cell r="P5149" t="str">
            <v>180°</v>
          </cell>
          <cell r="Q5149" t="str">
            <v>TF</v>
          </cell>
          <cell r="R5149" t="str">
            <v>-</v>
          </cell>
          <cell r="S5149" t="str">
            <v>-</v>
          </cell>
          <cell r="T5149" t="str">
            <v>-</v>
          </cell>
          <cell r="U5149" t="str">
            <v>-</v>
          </cell>
          <cell r="V5149" t="str">
            <v>SS</v>
          </cell>
          <cell r="W5149" t="str">
            <v>-</v>
          </cell>
          <cell r="X5149" t="str">
            <v>EP Mineral Oil 460</v>
          </cell>
          <cell r="Y5149" t="str">
            <v>-</v>
          </cell>
          <cell r="Z5149" t="str">
            <v>RADICON</v>
          </cell>
          <cell r="AB5149" t="str">
            <v>-</v>
          </cell>
          <cell r="AF5149">
            <v>14</v>
          </cell>
          <cell r="AG5149" t="str">
            <v>DRN112M4</v>
          </cell>
          <cell r="AH5149" t="str">
            <v>K0932-DRN112M4180-X</v>
          </cell>
        </row>
        <row r="5150">
          <cell r="A5150" t="str">
            <v>MR005139</v>
          </cell>
          <cell r="B5150" t="str">
            <v>MR</v>
          </cell>
          <cell r="C5150">
            <v>4</v>
          </cell>
          <cell r="D5150">
            <v>14</v>
          </cell>
          <cell r="E5150" t="str">
            <v>K0932</v>
          </cell>
          <cell r="F5150">
            <v>2729</v>
          </cell>
          <cell r="G5150">
            <v>107</v>
          </cell>
          <cell r="H5150">
            <v>1.58</v>
          </cell>
          <cell r="I5150" t="str">
            <v>From 1X to 6X - 5°</v>
          </cell>
          <cell r="J5150" t="str">
            <v>IE3</v>
          </cell>
          <cell r="K5150">
            <v>415</v>
          </cell>
          <cell r="L5150">
            <v>50</v>
          </cell>
          <cell r="M5150">
            <v>7.6</v>
          </cell>
          <cell r="N5150">
            <v>65</v>
          </cell>
          <cell r="O5150" t="str">
            <v>155(F)</v>
          </cell>
          <cell r="P5150" t="str">
            <v>0°</v>
          </cell>
          <cell r="Q5150" t="str">
            <v>TF</v>
          </cell>
          <cell r="R5150" t="str">
            <v>-</v>
          </cell>
          <cell r="S5150" t="str">
            <v>-</v>
          </cell>
          <cell r="T5150" t="str">
            <v>-</v>
          </cell>
          <cell r="U5150" t="str">
            <v>-</v>
          </cell>
          <cell r="V5150" t="str">
            <v>SS</v>
          </cell>
          <cell r="W5150" t="str">
            <v>-</v>
          </cell>
          <cell r="X5150" t="str">
            <v>EP Mineral Oil 460</v>
          </cell>
          <cell r="Y5150" t="str">
            <v>-</v>
          </cell>
          <cell r="Z5150" t="str">
            <v>RADICON</v>
          </cell>
          <cell r="AB5150" t="str">
            <v>-</v>
          </cell>
          <cell r="AF5150">
            <v>14</v>
          </cell>
          <cell r="AG5150" t="str">
            <v>DRN112M4</v>
          </cell>
          <cell r="AH5150" t="str">
            <v>K0932-DRN112M40-X</v>
          </cell>
        </row>
        <row r="5151">
          <cell r="A5151" t="str">
            <v>MR005140</v>
          </cell>
          <cell r="B5151" t="str">
            <v>MR</v>
          </cell>
          <cell r="C5151">
            <v>0.18</v>
          </cell>
          <cell r="D5151">
            <v>2.2000000000000002</v>
          </cell>
          <cell r="E5151" t="str">
            <v>K0652</v>
          </cell>
          <cell r="F5151">
            <v>722</v>
          </cell>
          <cell r="G5151">
            <v>612</v>
          </cell>
          <cell r="H5151">
            <v>1.1499999999999999</v>
          </cell>
          <cell r="I5151" t="str">
            <v>4A</v>
          </cell>
          <cell r="J5151" t="str">
            <v>IE3</v>
          </cell>
          <cell r="K5151">
            <v>415</v>
          </cell>
          <cell r="L5151">
            <v>50</v>
          </cell>
          <cell r="M5151">
            <v>0.55000000000000004</v>
          </cell>
          <cell r="N5151">
            <v>65</v>
          </cell>
          <cell r="O5151" t="str">
            <v>155(F)</v>
          </cell>
          <cell r="P5151" t="str">
            <v>0°</v>
          </cell>
          <cell r="Q5151" t="str">
            <v>TF</v>
          </cell>
          <cell r="R5151" t="str">
            <v>-</v>
          </cell>
          <cell r="S5151" t="str">
            <v>-</v>
          </cell>
          <cell r="T5151" t="str">
            <v>BEHF</v>
          </cell>
          <cell r="U5151" t="str">
            <v>T</v>
          </cell>
          <cell r="V5151" t="str">
            <v>FC</v>
          </cell>
          <cell r="W5151" t="str">
            <v>-</v>
          </cell>
          <cell r="X5151" t="str">
            <v>EP Mineral Oil 460</v>
          </cell>
          <cell r="Y5151" t="str">
            <v>-</v>
          </cell>
          <cell r="Z5151" t="str">
            <v>RADICON</v>
          </cell>
          <cell r="AB5151" t="str">
            <v>-</v>
          </cell>
          <cell r="AF5151">
            <v>2.2000000000000002</v>
          </cell>
          <cell r="AG5151" t="str">
            <v>DRN63M4</v>
          </cell>
          <cell r="AH5151" t="str">
            <v>K0652T-DRN63M4A0-X</v>
          </cell>
        </row>
        <row r="5152">
          <cell r="A5152" t="str">
            <v>MR005141</v>
          </cell>
          <cell r="B5152" t="str">
            <v>MR</v>
          </cell>
          <cell r="C5152">
            <v>2.2000000000000002</v>
          </cell>
          <cell r="D5152">
            <v>95</v>
          </cell>
          <cell r="E5152" t="str">
            <v>KH67</v>
          </cell>
          <cell r="F5152">
            <v>220</v>
          </cell>
          <cell r="G5152">
            <v>15.19</v>
          </cell>
          <cell r="H5152">
            <v>3.2</v>
          </cell>
          <cell r="I5152" t="str">
            <v>M1A</v>
          </cell>
          <cell r="J5152" t="str">
            <v>IE3</v>
          </cell>
          <cell r="K5152" t="str">
            <v>230/400</v>
          </cell>
          <cell r="L5152">
            <v>50</v>
          </cell>
          <cell r="M5152" t="str">
            <v>8,3/4,75</v>
          </cell>
          <cell r="N5152">
            <v>55</v>
          </cell>
          <cell r="O5152" t="str">
            <v>155(F)</v>
          </cell>
          <cell r="P5152" t="str">
            <v>270°</v>
          </cell>
          <cell r="Q5152" t="str">
            <v>TF</v>
          </cell>
          <cell r="R5152" t="str">
            <v>-</v>
          </cell>
          <cell r="S5152" t="str">
            <v>-</v>
          </cell>
          <cell r="T5152" t="str">
            <v>-</v>
          </cell>
          <cell r="U5152" t="str">
            <v>T</v>
          </cell>
          <cell r="V5152" t="str">
            <v>D</v>
          </cell>
          <cell r="W5152" t="str">
            <v>-</v>
          </cell>
          <cell r="X5152" t="str">
            <v>CLP 220 (-15/+40°C)</v>
          </cell>
          <cell r="Y5152" t="str">
            <v>KH67/T DRN100LS4 /TF</v>
          </cell>
          <cell r="Z5152" t="str">
            <v>SEW</v>
          </cell>
          <cell r="AB5152" t="str">
            <v>-</v>
          </cell>
          <cell r="AF5152">
            <v>95</v>
          </cell>
          <cell r="AG5152" t="str">
            <v>DRN100LS4</v>
          </cell>
          <cell r="AH5152" t="str">
            <v>KH67T-DRN100LS4A270-X</v>
          </cell>
        </row>
        <row r="5153">
          <cell r="A5153" t="str">
            <v>MR005142</v>
          </cell>
          <cell r="B5153" t="str">
            <v>MR</v>
          </cell>
          <cell r="C5153">
            <v>11</v>
          </cell>
          <cell r="D5153">
            <v>14</v>
          </cell>
          <cell r="E5153" t="str">
            <v>R137</v>
          </cell>
          <cell r="F5153">
            <v>7360</v>
          </cell>
          <cell r="G5153">
            <v>103.2</v>
          </cell>
          <cell r="H5153">
            <v>1.1000000000000001</v>
          </cell>
          <cell r="I5153" t="str">
            <v>From M1 to M2 - 20°</v>
          </cell>
          <cell r="J5153" t="str">
            <v>IE3</v>
          </cell>
          <cell r="K5153" t="str">
            <v>400/690</v>
          </cell>
          <cell r="L5153">
            <v>50</v>
          </cell>
          <cell r="M5153" t="str">
            <v>21/12,2</v>
          </cell>
          <cell r="N5153">
            <v>65</v>
          </cell>
          <cell r="O5153" t="str">
            <v>155(F)</v>
          </cell>
          <cell r="P5153" t="str">
            <v>270°</v>
          </cell>
          <cell r="Q5153" t="str">
            <v>TF</v>
          </cell>
          <cell r="R5153" t="str">
            <v>V(VE)</v>
          </cell>
          <cell r="S5153" t="str">
            <v>-</v>
          </cell>
          <cell r="T5153" t="str">
            <v>-</v>
          </cell>
          <cell r="U5153" t="str">
            <v>-</v>
          </cell>
          <cell r="V5153" t="str">
            <v>FC</v>
          </cell>
          <cell r="W5153" t="str">
            <v>-</v>
          </cell>
          <cell r="X5153" t="str">
            <v>CLP 220 (-15/+40°C)</v>
          </cell>
          <cell r="Y5153" t="str">
            <v>R137DRN160M4 /TF/V</v>
          </cell>
          <cell r="Z5153" t="str">
            <v>SEW</v>
          </cell>
          <cell r="AA5153" t="str">
            <v>RAL 7000</v>
          </cell>
          <cell r="AB5153" t="str">
            <v>-</v>
          </cell>
          <cell r="AF5153">
            <v>14</v>
          </cell>
          <cell r="AG5153" t="str">
            <v>DRN160M4</v>
          </cell>
          <cell r="AH5153" t="str">
            <v>R137-DRN160M4270-X#</v>
          </cell>
        </row>
        <row r="5154">
          <cell r="A5154" t="str">
            <v>MR005143</v>
          </cell>
          <cell r="B5154" t="str">
            <v>MR</v>
          </cell>
          <cell r="C5154">
            <v>9.1999999999999993</v>
          </cell>
          <cell r="D5154">
            <v>55</v>
          </cell>
          <cell r="E5154" t="str">
            <v>FH87</v>
          </cell>
          <cell r="F5154">
            <v>1580</v>
          </cell>
          <cell r="G5154">
            <v>26.5</v>
          </cell>
          <cell r="H5154">
            <v>1.9</v>
          </cell>
          <cell r="I5154" t="str">
            <v>From M1 to M2 - 20°</v>
          </cell>
          <cell r="J5154" t="str">
            <v>IE3</v>
          </cell>
          <cell r="K5154" t="str">
            <v>400/690</v>
          </cell>
          <cell r="L5154">
            <v>50</v>
          </cell>
          <cell r="M5154" t="str">
            <v>18,7/10,8</v>
          </cell>
          <cell r="N5154">
            <v>65</v>
          </cell>
          <cell r="O5154" t="str">
            <v>155(F)</v>
          </cell>
          <cell r="P5154" t="str">
            <v>270°</v>
          </cell>
          <cell r="Q5154" t="str">
            <v>TF</v>
          </cell>
          <cell r="R5154" t="str">
            <v>-</v>
          </cell>
          <cell r="S5154" t="str">
            <v>-</v>
          </cell>
          <cell r="T5154" t="str">
            <v>-</v>
          </cell>
          <cell r="U5154" t="str">
            <v>G</v>
          </cell>
          <cell r="V5154" t="str">
            <v>D</v>
          </cell>
          <cell r="W5154" t="str">
            <v>-</v>
          </cell>
          <cell r="X5154" t="str">
            <v>CLP 220 (-15/+40°C)</v>
          </cell>
          <cell r="Y5154" t="str">
            <v>FH87/G DRN132L4 /TF</v>
          </cell>
          <cell r="Z5154" t="str">
            <v>SEW</v>
          </cell>
          <cell r="AA5154" t="str">
            <v>RAL 7000</v>
          </cell>
          <cell r="AB5154" t="str">
            <v>-</v>
          </cell>
          <cell r="AF5154">
            <v>55</v>
          </cell>
          <cell r="AG5154" t="str">
            <v>DRN132L4</v>
          </cell>
          <cell r="AH5154" t="str">
            <v>FH87G-DRN132L4270-X</v>
          </cell>
        </row>
        <row r="5155">
          <cell r="A5155" t="str">
            <v>MR005144</v>
          </cell>
          <cell r="B5155" t="str">
            <v>MR</v>
          </cell>
          <cell r="C5155">
            <v>22</v>
          </cell>
          <cell r="D5155">
            <v>16</v>
          </cell>
          <cell r="E5155" t="str">
            <v>KH157</v>
          </cell>
          <cell r="F5155">
            <v>13000</v>
          </cell>
          <cell r="G5155">
            <v>91.65</v>
          </cell>
          <cell r="H5155">
            <v>1.55</v>
          </cell>
          <cell r="I5155" t="str">
            <v>From M1A to M2A - 30°</v>
          </cell>
          <cell r="J5155" t="str">
            <v>IE3</v>
          </cell>
          <cell r="K5155" t="str">
            <v>400/690</v>
          </cell>
          <cell r="L5155">
            <v>50</v>
          </cell>
          <cell r="M5155" t="str">
            <v>38,5/22,5</v>
          </cell>
          <cell r="N5155">
            <v>65</v>
          </cell>
          <cell r="O5155" t="str">
            <v>155(F)</v>
          </cell>
          <cell r="P5155" t="str">
            <v>180°</v>
          </cell>
          <cell r="Q5155" t="str">
            <v>TF</v>
          </cell>
          <cell r="R5155" t="str">
            <v>V(VE)</v>
          </cell>
          <cell r="S5155" t="str">
            <v>-</v>
          </cell>
          <cell r="T5155" t="str">
            <v>-</v>
          </cell>
          <cell r="U5155" t="str">
            <v>-</v>
          </cell>
          <cell r="V5155" t="str">
            <v>FC</v>
          </cell>
          <cell r="W5155" t="str">
            <v>-</v>
          </cell>
          <cell r="X5155" t="str">
            <v>CLP 220 (-15/+40°C)</v>
          </cell>
          <cell r="Y5155" t="str">
            <v>KH157DRN180L4 /TF/V</v>
          </cell>
          <cell r="Z5155" t="str">
            <v>SEW</v>
          </cell>
          <cell r="AA5155" t="str">
            <v>RAL 7000</v>
          </cell>
          <cell r="AB5155" t="str">
            <v>-</v>
          </cell>
          <cell r="AF5155">
            <v>16</v>
          </cell>
          <cell r="AG5155" t="str">
            <v>DRN180L4</v>
          </cell>
          <cell r="AH5155" t="str">
            <v>KH157-DRN180L4A180-X#</v>
          </cell>
        </row>
        <row r="5156">
          <cell r="A5156" t="str">
            <v>MR005145</v>
          </cell>
          <cell r="B5156" t="str">
            <v>MR</v>
          </cell>
          <cell r="C5156">
            <v>22</v>
          </cell>
          <cell r="D5156">
            <v>16</v>
          </cell>
          <cell r="E5156" t="str">
            <v>KH157</v>
          </cell>
          <cell r="F5156">
            <v>13000</v>
          </cell>
          <cell r="G5156">
            <v>91.65</v>
          </cell>
          <cell r="H5156">
            <v>1.55</v>
          </cell>
          <cell r="I5156" t="str">
            <v>From M1B to M2B - 30°</v>
          </cell>
          <cell r="J5156" t="str">
            <v>IE3</v>
          </cell>
          <cell r="K5156" t="str">
            <v>400/690</v>
          </cell>
          <cell r="L5156">
            <v>50</v>
          </cell>
          <cell r="M5156" t="str">
            <v>38,5/22,5</v>
          </cell>
          <cell r="N5156">
            <v>65</v>
          </cell>
          <cell r="O5156" t="str">
            <v>155(F)</v>
          </cell>
          <cell r="P5156" t="str">
            <v>0°</v>
          </cell>
          <cell r="Q5156" t="str">
            <v>TF</v>
          </cell>
          <cell r="R5156" t="str">
            <v>V(VE)</v>
          </cell>
          <cell r="S5156" t="str">
            <v>-</v>
          </cell>
          <cell r="T5156" t="str">
            <v>-</v>
          </cell>
          <cell r="U5156" t="str">
            <v>-</v>
          </cell>
          <cell r="V5156" t="str">
            <v>FC</v>
          </cell>
          <cell r="W5156" t="str">
            <v>-</v>
          </cell>
          <cell r="X5156" t="str">
            <v>CLP 220 (-15/+40°C)</v>
          </cell>
          <cell r="Y5156" t="str">
            <v>KH157DRN180L4 /TF/V</v>
          </cell>
          <cell r="Z5156" t="str">
            <v>SEW</v>
          </cell>
          <cell r="AA5156" t="str">
            <v>RAL 7000</v>
          </cell>
          <cell r="AB5156" t="str">
            <v>-</v>
          </cell>
          <cell r="AF5156">
            <v>16</v>
          </cell>
          <cell r="AG5156" t="str">
            <v>DRN180L4</v>
          </cell>
          <cell r="AH5156" t="str">
            <v>KH157-DRN180L4B0-X#</v>
          </cell>
        </row>
        <row r="5157">
          <cell r="A5157" t="str">
            <v>MR005146</v>
          </cell>
          <cell r="B5157" t="str">
            <v>MR</v>
          </cell>
          <cell r="C5157">
            <v>15</v>
          </cell>
          <cell r="D5157">
            <v>59</v>
          </cell>
          <cell r="E5157" t="str">
            <v>FH97</v>
          </cell>
          <cell r="F5157">
            <v>2420</v>
          </cell>
          <cell r="G5157">
            <v>24.92</v>
          </cell>
          <cell r="H5157">
            <v>1.8</v>
          </cell>
          <cell r="I5157" t="str">
            <v>M1</v>
          </cell>
          <cell r="J5157" t="str">
            <v>IE3</v>
          </cell>
          <cell r="K5157" t="str">
            <v>400/690</v>
          </cell>
          <cell r="L5157">
            <v>50</v>
          </cell>
          <cell r="M5157" t="str">
            <v>29/16,7</v>
          </cell>
          <cell r="N5157">
            <v>65</v>
          </cell>
          <cell r="O5157" t="str">
            <v>155(F)</v>
          </cell>
          <cell r="P5157" t="str">
            <v>270°</v>
          </cell>
          <cell r="Q5157" t="str">
            <v>TF</v>
          </cell>
          <cell r="R5157" t="str">
            <v>-</v>
          </cell>
          <cell r="S5157" t="str">
            <v>-</v>
          </cell>
          <cell r="T5157" t="str">
            <v>-</v>
          </cell>
          <cell r="U5157" t="str">
            <v>G</v>
          </cell>
          <cell r="V5157" t="str">
            <v>D+R</v>
          </cell>
          <cell r="W5157" t="str">
            <v>-</v>
          </cell>
          <cell r="X5157" t="str">
            <v>CLP 220 (-15/+40°C)</v>
          </cell>
          <cell r="Y5157" t="str">
            <v>FH97/G DRN160L4 /TF</v>
          </cell>
          <cell r="Z5157" t="str">
            <v>SEW</v>
          </cell>
          <cell r="AA5157" t="str">
            <v>RAL 7000</v>
          </cell>
          <cell r="AB5157" t="str">
            <v>-</v>
          </cell>
          <cell r="AF5157">
            <v>59</v>
          </cell>
          <cell r="AG5157" t="str">
            <v>DRN160L4</v>
          </cell>
          <cell r="AH5157" t="str">
            <v>FH97G-DRN160L4270-X</v>
          </cell>
        </row>
        <row r="5158">
          <cell r="A5158" t="str">
            <v>MR005147</v>
          </cell>
          <cell r="B5158" t="str">
            <v>MR</v>
          </cell>
          <cell r="C5158">
            <v>0.75</v>
          </cell>
          <cell r="D5158">
            <v>18</v>
          </cell>
          <cell r="E5158" t="str">
            <v>FA67</v>
          </cell>
          <cell r="F5158">
            <v>395</v>
          </cell>
          <cell r="G5158">
            <v>79.760000000000005</v>
          </cell>
          <cell r="H5158">
            <v>2.2000000000000002</v>
          </cell>
          <cell r="I5158" t="str">
            <v>M6</v>
          </cell>
          <cell r="J5158" t="str">
            <v>IE3</v>
          </cell>
          <cell r="K5158" t="str">
            <v>230/400</v>
          </cell>
          <cell r="L5158">
            <v>50</v>
          </cell>
          <cell r="M5158" t="str">
            <v>3,05/1,75</v>
          </cell>
          <cell r="N5158">
            <v>65</v>
          </cell>
          <cell r="O5158" t="str">
            <v>155(F)</v>
          </cell>
          <cell r="P5158" t="str">
            <v>0°</v>
          </cell>
          <cell r="Q5158" t="str">
            <v>TF</v>
          </cell>
          <cell r="R5158" t="str">
            <v>-</v>
          </cell>
          <cell r="S5158" t="str">
            <v>-</v>
          </cell>
          <cell r="T5158" t="str">
            <v>BEHF</v>
          </cell>
          <cell r="U5158" t="str">
            <v>G</v>
          </cell>
          <cell r="V5158" t="str">
            <v>D+R</v>
          </cell>
          <cell r="W5158" t="str">
            <v>-</v>
          </cell>
          <cell r="X5158" t="str">
            <v>CLP 220 (-15/+40°C)</v>
          </cell>
          <cell r="Y5158" t="str">
            <v>FA67/G DRN80M4 /BEHF /TF</v>
          </cell>
          <cell r="Z5158" t="str">
            <v>SEW</v>
          </cell>
          <cell r="AA5158" t="str">
            <v>RAL 7000</v>
          </cell>
          <cell r="AB5158" t="str">
            <v>-</v>
          </cell>
          <cell r="AF5158">
            <v>0</v>
          </cell>
          <cell r="AG5158" t="str">
            <v>DRN80M4</v>
          </cell>
          <cell r="AH5158" t="str">
            <v>FA67G-DRN80M40-X</v>
          </cell>
        </row>
        <row r="5159">
          <cell r="A5159" t="str">
            <v>MR005148</v>
          </cell>
          <cell r="B5159" t="str">
            <v>MR</v>
          </cell>
          <cell r="C5159">
            <v>15</v>
          </cell>
          <cell r="D5159">
            <v>16</v>
          </cell>
          <cell r="E5159" t="str">
            <v>KH127</v>
          </cell>
          <cell r="F5159">
            <v>8740</v>
          </cell>
          <cell r="G5159">
            <v>89.89</v>
          </cell>
          <cell r="H5159">
            <v>1.5</v>
          </cell>
          <cell r="I5159" t="str">
            <v>From M1A to M2A - 5°</v>
          </cell>
          <cell r="J5159" t="str">
            <v>IE3</v>
          </cell>
          <cell r="K5159" t="str">
            <v>400/690</v>
          </cell>
          <cell r="L5159">
            <v>50</v>
          </cell>
          <cell r="M5159" t="str">
            <v>29/16,7</v>
          </cell>
          <cell r="N5159">
            <v>65</v>
          </cell>
          <cell r="O5159" t="str">
            <v>155(F)</v>
          </cell>
          <cell r="P5159" t="str">
            <v>180°</v>
          </cell>
          <cell r="Q5159" t="str">
            <v>TF</v>
          </cell>
          <cell r="R5159" t="str">
            <v>V(VE)</v>
          </cell>
          <cell r="S5159" t="str">
            <v>-</v>
          </cell>
          <cell r="T5159" t="str">
            <v>-</v>
          </cell>
          <cell r="U5159" t="str">
            <v>-</v>
          </cell>
          <cell r="V5159" t="str">
            <v>FC</v>
          </cell>
          <cell r="W5159" t="str">
            <v>-</v>
          </cell>
          <cell r="X5159" t="str">
            <v>CLP 220 (-15/+40°C)</v>
          </cell>
          <cell r="Y5159" t="str">
            <v>KH127DRN160L4 /TF/V</v>
          </cell>
          <cell r="Z5159" t="str">
            <v>SEW</v>
          </cell>
          <cell r="AA5159" t="str">
            <v>RAL 7000</v>
          </cell>
          <cell r="AB5159" t="str">
            <v>-</v>
          </cell>
          <cell r="AF5159">
            <v>16</v>
          </cell>
          <cell r="AG5159" t="str">
            <v>DRN160L4</v>
          </cell>
          <cell r="AH5159" t="str">
            <v>KH127-DRN160L4A180-X#</v>
          </cell>
        </row>
        <row r="5160">
          <cell r="A5160" t="str">
            <v>MR005149</v>
          </cell>
          <cell r="B5160" t="str">
            <v>MR</v>
          </cell>
          <cell r="C5160">
            <v>5.5</v>
          </cell>
          <cell r="D5160">
            <v>21</v>
          </cell>
          <cell r="E5160" t="str">
            <v>FAF87</v>
          </cell>
          <cell r="F5160">
            <v>2450</v>
          </cell>
          <cell r="G5160">
            <v>68.400000000000006</v>
          </cell>
          <cell r="H5160">
            <v>1.2</v>
          </cell>
          <cell r="I5160" t="str">
            <v>M1</v>
          </cell>
          <cell r="J5160" t="str">
            <v>IE3</v>
          </cell>
          <cell r="K5160" t="str">
            <v>230/400</v>
          </cell>
          <cell r="L5160">
            <v>50</v>
          </cell>
          <cell r="M5160" t="str">
            <v>19,3/11,1</v>
          </cell>
          <cell r="N5160">
            <v>65</v>
          </cell>
          <cell r="O5160" t="str">
            <v>155(F)</v>
          </cell>
          <cell r="P5160" t="str">
            <v>0°</v>
          </cell>
          <cell r="Q5160" t="str">
            <v>TF</v>
          </cell>
          <cell r="R5160" t="str">
            <v>V(VE)</v>
          </cell>
          <cell r="S5160" t="str">
            <v>-</v>
          </cell>
          <cell r="T5160" t="str">
            <v>-</v>
          </cell>
          <cell r="U5160" t="str">
            <v>G</v>
          </cell>
          <cell r="V5160" t="str">
            <v>FC</v>
          </cell>
          <cell r="W5160" t="str">
            <v>-</v>
          </cell>
          <cell r="X5160" t="str">
            <v>CLP 220 (-15/+40°C)</v>
          </cell>
          <cell r="Y5160" t="str">
            <v>FAF87/G  /TF/V</v>
          </cell>
          <cell r="Z5160" t="str">
            <v>SEW</v>
          </cell>
          <cell r="AA5160" t="str">
            <v>RAL 7000</v>
          </cell>
          <cell r="AB5160" t="str">
            <v>-</v>
          </cell>
          <cell r="AF5160">
            <v>21</v>
          </cell>
        </row>
        <row r="5161">
          <cell r="A5161" t="str">
            <v>MR005150</v>
          </cell>
          <cell r="B5161" t="str">
            <v>MR</v>
          </cell>
          <cell r="C5161">
            <v>15</v>
          </cell>
          <cell r="D5161">
            <v>23</v>
          </cell>
          <cell r="E5161" t="str">
            <v>R137</v>
          </cell>
          <cell r="F5161">
            <v>6340</v>
          </cell>
          <cell r="G5161">
            <v>65.2</v>
          </cell>
          <cell r="H5161">
            <v>1.25</v>
          </cell>
          <cell r="I5161" t="str">
            <v>M1</v>
          </cell>
          <cell r="J5161" t="str">
            <v>IE3</v>
          </cell>
          <cell r="K5161" t="str">
            <v>400/690</v>
          </cell>
          <cell r="L5161">
            <v>50</v>
          </cell>
          <cell r="M5161" t="str">
            <v>29/16,7</v>
          </cell>
          <cell r="N5161">
            <v>65</v>
          </cell>
          <cell r="O5161" t="str">
            <v>155(F)</v>
          </cell>
          <cell r="P5161" t="str">
            <v>270°</v>
          </cell>
          <cell r="Q5161" t="str">
            <v>TF</v>
          </cell>
          <cell r="R5161" t="str">
            <v>V(VE)</v>
          </cell>
          <cell r="S5161" t="str">
            <v>-</v>
          </cell>
          <cell r="T5161" t="str">
            <v>-</v>
          </cell>
          <cell r="U5161" t="str">
            <v>-</v>
          </cell>
          <cell r="V5161" t="str">
            <v>FC</v>
          </cell>
          <cell r="W5161" t="str">
            <v>-</v>
          </cell>
          <cell r="X5161" t="str">
            <v>CLP 220 (-15/+40°C)</v>
          </cell>
          <cell r="Y5161" t="str">
            <v>R137DRN160L4 /TF/V</v>
          </cell>
          <cell r="Z5161" t="str">
            <v>SEW</v>
          </cell>
          <cell r="AA5161" t="str">
            <v>RAL7000</v>
          </cell>
          <cell r="AB5161" t="str">
            <v>-</v>
          </cell>
          <cell r="AG5161" t="str">
            <v>DRN160L4</v>
          </cell>
          <cell r="AH5161" t="str">
            <v>R137-DRN160L4270-X#</v>
          </cell>
        </row>
        <row r="5162">
          <cell r="A5162" t="str">
            <v>MR005151</v>
          </cell>
          <cell r="B5162" t="str">
            <v>MR</v>
          </cell>
          <cell r="C5162">
            <v>11</v>
          </cell>
          <cell r="D5162">
            <v>15</v>
          </cell>
          <cell r="E5162" t="str">
            <v>KH107</v>
          </cell>
          <cell r="F5162">
            <v>7190</v>
          </cell>
          <cell r="G5162">
            <v>100.75</v>
          </cell>
          <cell r="H5162">
            <v>1.1000000000000001</v>
          </cell>
          <cell r="I5162" t="str">
            <v>From M1B to M2B - 35°</v>
          </cell>
          <cell r="J5162" t="str">
            <v>IE3</v>
          </cell>
          <cell r="K5162" t="str">
            <v>400/690</v>
          </cell>
          <cell r="L5162">
            <v>50</v>
          </cell>
          <cell r="M5162" t="str">
            <v>21/12,2</v>
          </cell>
          <cell r="N5162">
            <v>65</v>
          </cell>
          <cell r="O5162" t="str">
            <v>155(F)</v>
          </cell>
          <cell r="P5162" t="str">
            <v>0°</v>
          </cell>
          <cell r="Q5162" t="str">
            <v>TF</v>
          </cell>
          <cell r="R5162" t="str">
            <v>V(VE)</v>
          </cell>
          <cell r="S5162" t="str">
            <v>-</v>
          </cell>
          <cell r="T5162" t="str">
            <v>-</v>
          </cell>
          <cell r="U5162" t="str">
            <v>-</v>
          </cell>
          <cell r="V5162" t="str">
            <v>FC</v>
          </cell>
          <cell r="W5162" t="str">
            <v>-</v>
          </cell>
          <cell r="X5162" t="str">
            <v>CLP 220 (-15/+40°C)</v>
          </cell>
          <cell r="Y5162" t="str">
            <v>KH107DRN160M4 /TF/V</v>
          </cell>
          <cell r="Z5162" t="str">
            <v>SEW</v>
          </cell>
          <cell r="AA5162" t="str">
            <v>RAL 7000</v>
          </cell>
          <cell r="AB5162" t="str">
            <v>-</v>
          </cell>
          <cell r="AF5162">
            <v>15</v>
          </cell>
          <cell r="AG5162" t="str">
            <v>DRN160M4</v>
          </cell>
          <cell r="AH5162" t="str">
            <v>KH107-DRN160M4B0-X#</v>
          </cell>
        </row>
        <row r="5163">
          <cell r="A5163" t="str">
            <v>MR005152</v>
          </cell>
          <cell r="B5163" t="str">
            <v>MR</v>
          </cell>
          <cell r="C5163">
            <v>11</v>
          </cell>
          <cell r="D5163">
            <v>15</v>
          </cell>
          <cell r="E5163" t="str">
            <v>KH107</v>
          </cell>
          <cell r="F5163">
            <v>7190</v>
          </cell>
          <cell r="G5163">
            <v>100.75</v>
          </cell>
          <cell r="H5163">
            <v>1.1000000000000001</v>
          </cell>
          <cell r="I5163" t="str">
            <v>From M1A to M2A - 35°</v>
          </cell>
          <cell r="J5163" t="str">
            <v>IE3</v>
          </cell>
          <cell r="K5163" t="str">
            <v>400/690</v>
          </cell>
          <cell r="L5163">
            <v>50</v>
          </cell>
          <cell r="M5163" t="str">
            <v>21/12,2</v>
          </cell>
          <cell r="N5163">
            <v>65</v>
          </cell>
          <cell r="O5163" t="str">
            <v>155(F)</v>
          </cell>
          <cell r="P5163" t="str">
            <v>180°</v>
          </cell>
          <cell r="Q5163" t="str">
            <v>TF</v>
          </cell>
          <cell r="R5163" t="str">
            <v>V(VE)</v>
          </cell>
          <cell r="S5163" t="str">
            <v>-</v>
          </cell>
          <cell r="T5163" t="str">
            <v>-</v>
          </cell>
          <cell r="U5163" t="str">
            <v>-</v>
          </cell>
          <cell r="V5163" t="str">
            <v>FC</v>
          </cell>
          <cell r="W5163" t="str">
            <v>-</v>
          </cell>
          <cell r="X5163" t="str">
            <v>CLP 220 (-15/+40°C)</v>
          </cell>
          <cell r="Y5163" t="str">
            <v>KH107DRN160M4 /TF/V</v>
          </cell>
          <cell r="Z5163" t="str">
            <v>SEW</v>
          </cell>
          <cell r="AA5163" t="str">
            <v>RAL 7000</v>
          </cell>
          <cell r="AB5163" t="str">
            <v>-</v>
          </cell>
          <cell r="AF5163">
            <v>15</v>
          </cell>
          <cell r="AG5163" t="str">
            <v>DRN160M4</v>
          </cell>
          <cell r="AH5163" t="str">
            <v>KH107-DRN160M4A180-X#</v>
          </cell>
        </row>
        <row r="5164">
          <cell r="A5164" t="str">
            <v>MR005153</v>
          </cell>
          <cell r="B5164" t="str">
            <v>MR</v>
          </cell>
          <cell r="C5164">
            <v>9.1999999999999993</v>
          </cell>
          <cell r="D5164">
            <v>59</v>
          </cell>
          <cell r="E5164" t="str">
            <v>KH87</v>
          </cell>
          <cell r="F5164">
            <v>1490</v>
          </cell>
          <cell r="G5164">
            <v>24.92</v>
          </cell>
          <cell r="H5164">
            <v>1.7</v>
          </cell>
          <cell r="I5164" t="str">
            <v>From M4B to M1B - 10°</v>
          </cell>
          <cell r="J5164" t="str">
            <v>IE3</v>
          </cell>
          <cell r="K5164" t="str">
            <v>400/690</v>
          </cell>
          <cell r="L5164">
            <v>50</v>
          </cell>
          <cell r="M5164" t="str">
            <v>18,7/10,8</v>
          </cell>
          <cell r="N5164">
            <v>65</v>
          </cell>
          <cell r="O5164" t="str">
            <v>155(F)</v>
          </cell>
          <cell r="P5164" t="str">
            <v>270°</v>
          </cell>
          <cell r="Q5164" t="str">
            <v>TF</v>
          </cell>
          <cell r="R5164" t="str">
            <v>-</v>
          </cell>
          <cell r="S5164" t="str">
            <v>Free rotation CW</v>
          </cell>
          <cell r="T5164" t="str">
            <v>-</v>
          </cell>
          <cell r="U5164" t="str">
            <v>T</v>
          </cell>
          <cell r="V5164" t="str">
            <v>SS</v>
          </cell>
          <cell r="W5164" t="str">
            <v>-</v>
          </cell>
          <cell r="X5164" t="str">
            <v>CLP 220 (-15/+40°C)</v>
          </cell>
          <cell r="Y5164" t="str">
            <v>KH87/T DRN132L4 /RS /TF</v>
          </cell>
          <cell r="Z5164" t="str">
            <v>SEW</v>
          </cell>
          <cell r="AA5164" t="str">
            <v>RAL 7000</v>
          </cell>
          <cell r="AB5164" t="str">
            <v>-</v>
          </cell>
          <cell r="AF5164">
            <v>59</v>
          </cell>
          <cell r="AG5164" t="str">
            <v>DRN132L4</v>
          </cell>
          <cell r="AH5164" t="str">
            <v>KH87T-DRN132L4B270-X</v>
          </cell>
        </row>
        <row r="5165">
          <cell r="A5165" t="str">
            <v>MR005154</v>
          </cell>
          <cell r="B5165" t="str">
            <v>MR</v>
          </cell>
          <cell r="C5165">
            <v>2.2000000000000002</v>
          </cell>
          <cell r="D5165">
            <v>95</v>
          </cell>
          <cell r="E5165" t="str">
            <v>KA67</v>
          </cell>
          <cell r="F5165">
            <v>220</v>
          </cell>
          <cell r="G5165">
            <v>15.19</v>
          </cell>
          <cell r="H5165">
            <v>2.7</v>
          </cell>
          <cell r="I5165" t="str">
            <v>M1A</v>
          </cell>
          <cell r="J5165" t="str">
            <v>IE3</v>
          </cell>
          <cell r="K5165" t="str">
            <v>230/400</v>
          </cell>
          <cell r="L5165">
            <v>50</v>
          </cell>
          <cell r="M5165" t="str">
            <v>8,3/4,75</v>
          </cell>
          <cell r="N5165">
            <v>65</v>
          </cell>
          <cell r="O5165" t="str">
            <v>155(F)</v>
          </cell>
          <cell r="P5165" t="str">
            <v>270°</v>
          </cell>
          <cell r="Q5165" t="str">
            <v>TF</v>
          </cell>
          <cell r="R5165" t="str">
            <v>-</v>
          </cell>
          <cell r="S5165" t="str">
            <v>-</v>
          </cell>
          <cell r="T5165" t="str">
            <v>-</v>
          </cell>
          <cell r="U5165" t="str">
            <v>T</v>
          </cell>
          <cell r="V5165" t="str">
            <v>D</v>
          </cell>
          <cell r="W5165" t="str">
            <v>-</v>
          </cell>
          <cell r="X5165" t="str">
            <v>CLP 220 (-15/+40°C)</v>
          </cell>
          <cell r="Y5165" t="str">
            <v>KA67/T EDRN100LS4 /TF</v>
          </cell>
          <cell r="Z5165" t="str">
            <v>SEW</v>
          </cell>
          <cell r="AA5165" t="str">
            <v>RAL 7000</v>
          </cell>
          <cell r="AB5165" t="str">
            <v>ATEX22</v>
          </cell>
          <cell r="AF5165">
            <v>95</v>
          </cell>
          <cell r="AG5165" t="str">
            <v>EDRN100LS4</v>
          </cell>
          <cell r="AH5165" t="str">
            <v>KA67T-EDRN100LS4A270-X</v>
          </cell>
        </row>
        <row r="5166">
          <cell r="A5166" t="str">
            <v>MR005155</v>
          </cell>
          <cell r="B5166" t="str">
            <v>ME</v>
          </cell>
          <cell r="C5166">
            <v>11</v>
          </cell>
          <cell r="D5166">
            <v>1470</v>
          </cell>
          <cell r="E5166" t="str">
            <v>1CV3162B</v>
          </cell>
          <cell r="F5166">
            <v>71</v>
          </cell>
          <cell r="G5166" t="str">
            <v>-</v>
          </cell>
          <cell r="H5166" t="str">
            <v>-</v>
          </cell>
          <cell r="I5166" t="str">
            <v>B5</v>
          </cell>
          <cell r="J5166" t="str">
            <v>IE3</v>
          </cell>
          <cell r="K5166" t="str">
            <v>400/690</v>
          </cell>
          <cell r="L5166">
            <v>50</v>
          </cell>
          <cell r="M5166" t="str">
            <v>21/12,3</v>
          </cell>
          <cell r="N5166">
            <v>66</v>
          </cell>
          <cell r="O5166" t="str">
            <v>155(F)</v>
          </cell>
          <cell r="P5166" t="str">
            <v>180°</v>
          </cell>
          <cell r="Q5166" t="str">
            <v>-</v>
          </cell>
          <cell r="R5166" t="str">
            <v>-</v>
          </cell>
          <cell r="S5166" t="str">
            <v>-</v>
          </cell>
          <cell r="T5166" t="str">
            <v>-</v>
          </cell>
          <cell r="U5166" t="str">
            <v>-</v>
          </cell>
          <cell r="V5166" t="str">
            <v>D</v>
          </cell>
          <cell r="W5166" t="str">
            <v>-</v>
          </cell>
          <cell r="X5166" t="str">
            <v>-</v>
          </cell>
          <cell r="Y5166" t="str">
            <v>1CV3162B</v>
          </cell>
          <cell r="Z5166" t="str">
            <v>SIEMENS</v>
          </cell>
          <cell r="AA5166" t="str">
            <v>RAL 7000</v>
          </cell>
          <cell r="AB5166" t="str">
            <v>ATEX22</v>
          </cell>
          <cell r="AF5166">
            <v>1470</v>
          </cell>
        </row>
        <row r="5167">
          <cell r="A5167" t="str">
            <v>MR005156</v>
          </cell>
          <cell r="B5167" t="str">
            <v>ME</v>
          </cell>
          <cell r="C5167">
            <v>37</v>
          </cell>
          <cell r="D5167">
            <v>1470</v>
          </cell>
          <cell r="E5167" t="str">
            <v>FE3G 225S</v>
          </cell>
          <cell r="F5167">
            <v>240</v>
          </cell>
          <cell r="G5167" t="str">
            <v>-</v>
          </cell>
          <cell r="H5167" t="str">
            <v>-</v>
          </cell>
          <cell r="I5167" t="str">
            <v>B5</v>
          </cell>
          <cell r="J5167" t="str">
            <v>IE3</v>
          </cell>
          <cell r="K5167" t="str">
            <v>400/690</v>
          </cell>
          <cell r="L5167">
            <v>50</v>
          </cell>
          <cell r="M5167">
            <v>65</v>
          </cell>
          <cell r="N5167">
            <v>65</v>
          </cell>
          <cell r="O5167" t="str">
            <v>155(F)</v>
          </cell>
          <cell r="P5167" t="str">
            <v>180°</v>
          </cell>
          <cell r="Q5167" t="str">
            <v>-</v>
          </cell>
          <cell r="R5167" t="str">
            <v>-</v>
          </cell>
          <cell r="S5167" t="str">
            <v>-</v>
          </cell>
          <cell r="T5167" t="str">
            <v>-</v>
          </cell>
          <cell r="U5167" t="str">
            <v>-</v>
          </cell>
          <cell r="V5167" t="str">
            <v>D</v>
          </cell>
          <cell r="W5167" t="str">
            <v>-</v>
          </cell>
          <cell r="X5167" t="str">
            <v>-</v>
          </cell>
          <cell r="Y5167" t="str">
            <v>FE3G 225S</v>
          </cell>
          <cell r="Z5167" t="str">
            <v>ELECTRO ADDA</v>
          </cell>
          <cell r="AA5167" t="str">
            <v>RAL 7000</v>
          </cell>
          <cell r="AB5167" t="str">
            <v>-</v>
          </cell>
          <cell r="AF5167">
            <v>1470</v>
          </cell>
        </row>
        <row r="5168">
          <cell r="A5168" t="str">
            <v>MR005157</v>
          </cell>
          <cell r="B5168" t="str">
            <v>ME</v>
          </cell>
          <cell r="C5168">
            <v>3</v>
          </cell>
          <cell r="D5168">
            <v>2910</v>
          </cell>
          <cell r="E5168" t="str">
            <v>FT3A100L2</v>
          </cell>
          <cell r="F5168">
            <v>9</v>
          </cell>
          <cell r="G5168" t="str">
            <v>-</v>
          </cell>
          <cell r="H5168" t="str">
            <v>-</v>
          </cell>
          <cell r="I5168" t="str">
            <v>B5</v>
          </cell>
          <cell r="J5168" t="str">
            <v>IE3</v>
          </cell>
          <cell r="K5168" t="str">
            <v>230/400</v>
          </cell>
          <cell r="L5168">
            <v>50</v>
          </cell>
          <cell r="M5168">
            <v>5.6</v>
          </cell>
          <cell r="N5168">
            <v>65</v>
          </cell>
          <cell r="O5168" t="str">
            <v>155(F)</v>
          </cell>
          <cell r="P5168" t="str">
            <v>180°</v>
          </cell>
          <cell r="Q5168" t="str">
            <v>-</v>
          </cell>
          <cell r="R5168" t="str">
            <v>-</v>
          </cell>
          <cell r="S5168" t="str">
            <v>-</v>
          </cell>
          <cell r="T5168" t="str">
            <v>-</v>
          </cell>
          <cell r="U5168" t="str">
            <v>-</v>
          </cell>
          <cell r="V5168" t="str">
            <v>D</v>
          </cell>
          <cell r="W5168" t="str">
            <v>-</v>
          </cell>
          <cell r="X5168" t="str">
            <v>-</v>
          </cell>
          <cell r="Y5168" t="str">
            <v>FT3A100L2</v>
          </cell>
          <cell r="Z5168" t="str">
            <v>ELECTRO ADDA</v>
          </cell>
          <cell r="AA5168" t="str">
            <v>RAL 7000</v>
          </cell>
          <cell r="AB5168" t="str">
            <v>-</v>
          </cell>
          <cell r="AF5168">
            <v>2910</v>
          </cell>
        </row>
        <row r="5169">
          <cell r="A5169" t="str">
            <v>MR005158</v>
          </cell>
          <cell r="B5169" t="str">
            <v>MR</v>
          </cell>
          <cell r="C5169">
            <v>11</v>
          </cell>
          <cell r="D5169">
            <v>53</v>
          </cell>
          <cell r="E5169" t="str">
            <v>R97</v>
          </cell>
          <cell r="F5169">
            <v>1960</v>
          </cell>
          <cell r="G5169">
            <v>27.58</v>
          </cell>
          <cell r="H5169">
            <v>1.35</v>
          </cell>
          <cell r="I5169" t="str">
            <v>M1</v>
          </cell>
          <cell r="J5169" t="str">
            <v>IE3</v>
          </cell>
          <cell r="K5169" t="str">
            <v>400/690</v>
          </cell>
          <cell r="L5169">
            <v>50</v>
          </cell>
          <cell r="M5169" t="str">
            <v>21/12,2</v>
          </cell>
          <cell r="N5169">
            <v>65</v>
          </cell>
          <cell r="O5169" t="str">
            <v>155(F)</v>
          </cell>
          <cell r="P5169" t="str">
            <v>270°</v>
          </cell>
          <cell r="Q5169" t="str">
            <v>TF</v>
          </cell>
          <cell r="R5169" t="str">
            <v>-</v>
          </cell>
          <cell r="S5169" t="str">
            <v>-</v>
          </cell>
          <cell r="T5169" t="str">
            <v>-</v>
          </cell>
          <cell r="U5169" t="str">
            <v>-</v>
          </cell>
          <cell r="V5169" t="str">
            <v>D</v>
          </cell>
          <cell r="W5169" t="str">
            <v>-</v>
          </cell>
          <cell r="X5169" t="str">
            <v>CLP 220 (-15/+40°C)</v>
          </cell>
          <cell r="Y5169" t="str">
            <v>R97DRN160M4 /TF</v>
          </cell>
          <cell r="Z5169" t="str">
            <v>SEW</v>
          </cell>
          <cell r="AA5169" t="str">
            <v>RAL 7000</v>
          </cell>
          <cell r="AB5169" t="str">
            <v>-</v>
          </cell>
          <cell r="AF5169">
            <v>53</v>
          </cell>
          <cell r="AG5169" t="str">
            <v>DRN160M4</v>
          </cell>
          <cell r="AH5169" t="str">
            <v>R97-DRN160M4270-X</v>
          </cell>
        </row>
        <row r="5170">
          <cell r="A5170" t="str">
            <v>MR005159</v>
          </cell>
          <cell r="B5170" t="str">
            <v>MR</v>
          </cell>
          <cell r="C5170">
            <v>9.1999999999999993</v>
          </cell>
          <cell r="D5170">
            <v>18</v>
          </cell>
          <cell r="E5170" t="str">
            <v>R127</v>
          </cell>
          <cell r="F5170">
            <v>4910</v>
          </cell>
          <cell r="G5170">
            <v>82.17</v>
          </cell>
          <cell r="H5170">
            <v>1.2</v>
          </cell>
          <cell r="I5170" t="str">
            <v>M1</v>
          </cell>
          <cell r="J5170" t="str">
            <v>IE3</v>
          </cell>
          <cell r="K5170" t="str">
            <v>400/690</v>
          </cell>
          <cell r="L5170">
            <v>50</v>
          </cell>
          <cell r="M5170" t="str">
            <v>18,7/10,8</v>
          </cell>
          <cell r="N5170">
            <v>65</v>
          </cell>
          <cell r="O5170" t="str">
            <v>155(F)</v>
          </cell>
          <cell r="P5170" t="str">
            <v>270°</v>
          </cell>
          <cell r="Q5170" t="str">
            <v>TF</v>
          </cell>
          <cell r="R5170" t="str">
            <v>V(VE)</v>
          </cell>
          <cell r="S5170" t="str">
            <v>-</v>
          </cell>
          <cell r="T5170" t="str">
            <v>-</v>
          </cell>
          <cell r="U5170" t="str">
            <v>-</v>
          </cell>
          <cell r="V5170" t="str">
            <v>FC</v>
          </cell>
          <cell r="X5170" t="str">
            <v>CLP 220 (-15/+40°C)</v>
          </cell>
          <cell r="Y5170" t="str">
            <v>R127DRN132L4 /TF/V</v>
          </cell>
          <cell r="Z5170" t="str">
            <v>SEW</v>
          </cell>
          <cell r="AA5170" t="str">
            <v>RAL 7000</v>
          </cell>
          <cell r="AB5170" t="str">
            <v>-</v>
          </cell>
          <cell r="AF5170">
            <v>18</v>
          </cell>
          <cell r="AG5170" t="str">
            <v>DRN132L4</v>
          </cell>
          <cell r="AH5170" t="str">
            <v>R127-DRN132L4270-X#</v>
          </cell>
        </row>
        <row r="5171">
          <cell r="A5171" t="str">
            <v>MR005160</v>
          </cell>
          <cell r="B5171" t="str">
            <v>MR</v>
          </cell>
          <cell r="C5171">
            <v>11</v>
          </cell>
          <cell r="D5171">
            <v>15</v>
          </cell>
          <cell r="E5171" t="str">
            <v>KH107</v>
          </cell>
          <cell r="F5171">
            <v>7190</v>
          </cell>
          <cell r="G5171">
            <v>100.75</v>
          </cell>
          <cell r="H5171">
            <v>1.1000000000000001</v>
          </cell>
          <cell r="I5171" t="str">
            <v>From M1A to M2A - 30°</v>
          </cell>
          <cell r="J5171" t="str">
            <v>IE3</v>
          </cell>
          <cell r="K5171" t="str">
            <v>400/690</v>
          </cell>
          <cell r="L5171">
            <v>50</v>
          </cell>
          <cell r="M5171" t="str">
            <v>21/12,2</v>
          </cell>
          <cell r="N5171">
            <v>65</v>
          </cell>
          <cell r="O5171" t="str">
            <v>155(F)</v>
          </cell>
          <cell r="P5171" t="str">
            <v>180°</v>
          </cell>
          <cell r="Q5171" t="str">
            <v>TF</v>
          </cell>
          <cell r="R5171" t="str">
            <v>-</v>
          </cell>
          <cell r="S5171" t="str">
            <v>-</v>
          </cell>
          <cell r="T5171" t="str">
            <v>-</v>
          </cell>
          <cell r="U5171" t="str">
            <v>-</v>
          </cell>
          <cell r="V5171" t="str">
            <v>SS</v>
          </cell>
          <cell r="W5171" t="str">
            <v>-</v>
          </cell>
          <cell r="X5171" t="str">
            <v>CLP 220 (-15/+40°C)</v>
          </cell>
          <cell r="Y5171" t="str">
            <v>KH107DRN160M4 /TF</v>
          </cell>
          <cell r="Z5171" t="str">
            <v>SEW</v>
          </cell>
          <cell r="AA5171" t="str">
            <v>RAL 7000</v>
          </cell>
          <cell r="AB5171" t="str">
            <v>-</v>
          </cell>
          <cell r="AF5171">
            <v>15</v>
          </cell>
          <cell r="AG5171" t="str">
            <v>DRN160M4</v>
          </cell>
          <cell r="AH5171" t="str">
            <v>KH107-DRN160M4A180-X</v>
          </cell>
        </row>
        <row r="5172">
          <cell r="A5172" t="str">
            <v>MR005161</v>
          </cell>
          <cell r="B5172" t="str">
            <v>MR</v>
          </cell>
          <cell r="C5172">
            <v>0.37</v>
          </cell>
          <cell r="D5172">
            <v>3.4</v>
          </cell>
          <cell r="E5172" t="str">
            <v>KA67R37</v>
          </cell>
          <cell r="F5172">
            <v>920</v>
          </cell>
          <cell r="G5172">
            <v>420</v>
          </cell>
          <cell r="H5172">
            <v>0.9</v>
          </cell>
          <cell r="I5172" t="str">
            <v>M3B</v>
          </cell>
          <cell r="J5172" t="str">
            <v>IE3</v>
          </cell>
          <cell r="K5172" t="str">
            <v>230/400</v>
          </cell>
          <cell r="L5172">
            <v>50</v>
          </cell>
          <cell r="M5172" t="str">
            <v>1,78/1,02</v>
          </cell>
          <cell r="N5172">
            <v>65</v>
          </cell>
          <cell r="O5172" t="str">
            <v>155(F)</v>
          </cell>
          <cell r="P5172" t="str">
            <v>90°</v>
          </cell>
          <cell r="Q5172" t="str">
            <v>TF</v>
          </cell>
          <cell r="R5172" t="str">
            <v>-</v>
          </cell>
          <cell r="S5172" t="str">
            <v>-</v>
          </cell>
          <cell r="T5172" t="str">
            <v>BEHF</v>
          </cell>
          <cell r="U5172" t="str">
            <v>T</v>
          </cell>
          <cell r="V5172" t="str">
            <v>D+R</v>
          </cell>
          <cell r="W5172" t="str">
            <v>-</v>
          </cell>
          <cell r="X5172" t="str">
            <v>CLP 220 (-15/+40°C)</v>
          </cell>
          <cell r="Y5172" t="str">
            <v>KA67R37/T DRN71M4 /BEHF /TF</v>
          </cell>
          <cell r="Z5172" t="str">
            <v>SEW</v>
          </cell>
          <cell r="AA5172" t="str">
            <v>RAL 7000</v>
          </cell>
          <cell r="AB5172" t="str">
            <v>-</v>
          </cell>
          <cell r="AF5172">
            <v>3.4</v>
          </cell>
          <cell r="AG5172" t="str">
            <v>DRN71M4</v>
          </cell>
          <cell r="AH5172" t="str">
            <v>KA67R37T-DRN71M4B90-X</v>
          </cell>
        </row>
        <row r="5173">
          <cell r="A5173" t="str">
            <v>MR005162</v>
          </cell>
          <cell r="B5173" t="str">
            <v>MR</v>
          </cell>
          <cell r="C5173">
            <v>4</v>
          </cell>
          <cell r="D5173">
            <v>63</v>
          </cell>
          <cell r="E5173" t="str">
            <v>R77</v>
          </cell>
          <cell r="F5173">
            <v>605</v>
          </cell>
          <cell r="G5173">
            <v>23.37</v>
          </cell>
          <cell r="H5173">
            <v>1.35</v>
          </cell>
          <cell r="I5173" t="str">
            <v>M1</v>
          </cell>
          <cell r="J5173" t="str">
            <v>IE3</v>
          </cell>
          <cell r="K5173" t="str">
            <v>230/400</v>
          </cell>
          <cell r="L5173">
            <v>50</v>
          </cell>
          <cell r="M5173" t="str">
            <v>13,8/7,9</v>
          </cell>
          <cell r="N5173">
            <v>65</v>
          </cell>
          <cell r="O5173" t="str">
            <v>155(F)</v>
          </cell>
          <cell r="P5173" t="str">
            <v>270°</v>
          </cell>
          <cell r="Q5173" t="str">
            <v>TF</v>
          </cell>
          <cell r="R5173" t="str">
            <v>-</v>
          </cell>
          <cell r="S5173" t="str">
            <v>-</v>
          </cell>
          <cell r="T5173" t="str">
            <v>-</v>
          </cell>
          <cell r="U5173" t="str">
            <v>-</v>
          </cell>
          <cell r="V5173" t="str">
            <v>D</v>
          </cell>
          <cell r="W5173" t="str">
            <v>-</v>
          </cell>
          <cell r="X5173" t="str">
            <v>CLP 220 (-15/+40°C)</v>
          </cell>
          <cell r="Y5173" t="str">
            <v>R77DRN112M4 /TF</v>
          </cell>
          <cell r="Z5173" t="str">
            <v>SEW</v>
          </cell>
          <cell r="AA5173" t="str">
            <v>RAL 7000</v>
          </cell>
          <cell r="AB5173" t="str">
            <v>-</v>
          </cell>
          <cell r="AF5173">
            <v>63</v>
          </cell>
          <cell r="AG5173" t="str">
            <v>DRN112M4</v>
          </cell>
          <cell r="AH5173" t="str">
            <v>R77-DRN112M4270-X</v>
          </cell>
        </row>
        <row r="5174">
          <cell r="A5174" t="str">
            <v>MR005163</v>
          </cell>
          <cell r="B5174" t="str">
            <v>MR</v>
          </cell>
          <cell r="C5174">
            <v>15</v>
          </cell>
          <cell r="D5174">
            <v>16</v>
          </cell>
          <cell r="E5174" t="str">
            <v>K127</v>
          </cell>
          <cell r="F5174">
            <v>8730</v>
          </cell>
          <cell r="G5174">
            <v>89.89</v>
          </cell>
          <cell r="H5174">
            <v>1.5</v>
          </cell>
          <cell r="I5174" t="str">
            <v>From M1A to M2A - 30°</v>
          </cell>
          <cell r="J5174" t="str">
            <v>IE3</v>
          </cell>
          <cell r="K5174" t="str">
            <v>400/690</v>
          </cell>
          <cell r="L5174">
            <v>50</v>
          </cell>
          <cell r="M5174" t="str">
            <v>29/16,7</v>
          </cell>
          <cell r="N5174">
            <v>65</v>
          </cell>
          <cell r="O5174" t="str">
            <v>155(F)</v>
          </cell>
          <cell r="P5174" t="str">
            <v>180°</v>
          </cell>
          <cell r="Q5174" t="str">
            <v>TF</v>
          </cell>
          <cell r="R5174" t="str">
            <v>V(VE)</v>
          </cell>
          <cell r="S5174" t="str">
            <v>-</v>
          </cell>
          <cell r="T5174" t="str">
            <v>-</v>
          </cell>
          <cell r="U5174" t="str">
            <v>-</v>
          </cell>
          <cell r="V5174" t="str">
            <v>FC</v>
          </cell>
          <cell r="W5174" t="str">
            <v>-</v>
          </cell>
          <cell r="X5174" t="str">
            <v>CLP 220 (-15/+40°C)</v>
          </cell>
          <cell r="Y5174" t="str">
            <v>K127DRN160L4 /TF/V</v>
          </cell>
          <cell r="Z5174" t="str">
            <v>SEW</v>
          </cell>
          <cell r="AA5174" t="str">
            <v>RAL 7000</v>
          </cell>
          <cell r="AB5174" t="str">
            <v>-</v>
          </cell>
          <cell r="AF5174">
            <v>16</v>
          </cell>
          <cell r="AG5174" t="str">
            <v>DRN160L4</v>
          </cell>
          <cell r="AH5174" t="str">
            <v>K127-DRN160L4A180-X#</v>
          </cell>
        </row>
        <row r="5175">
          <cell r="A5175" t="str">
            <v>MR005164</v>
          </cell>
          <cell r="B5175" t="str">
            <v>MR</v>
          </cell>
          <cell r="C5175">
            <v>11</v>
          </cell>
          <cell r="D5175">
            <v>15</v>
          </cell>
          <cell r="E5175" t="str">
            <v>KH107</v>
          </cell>
          <cell r="F5175">
            <v>7190</v>
          </cell>
          <cell r="G5175">
            <v>100.75</v>
          </cell>
          <cell r="H5175">
            <v>1.1000000000000001</v>
          </cell>
          <cell r="I5175" t="str">
            <v>From M1A to M2A - 35°</v>
          </cell>
          <cell r="J5175" t="str">
            <v>IE3</v>
          </cell>
          <cell r="K5175" t="str">
            <v>400/690</v>
          </cell>
          <cell r="L5175">
            <v>50</v>
          </cell>
          <cell r="M5175" t="str">
            <v>21/12,2</v>
          </cell>
          <cell r="N5175">
            <v>55</v>
          </cell>
          <cell r="O5175" t="str">
            <v>155(F)</v>
          </cell>
          <cell r="P5175" t="str">
            <v>270°</v>
          </cell>
          <cell r="Q5175" t="str">
            <v>TF</v>
          </cell>
          <cell r="R5175" t="str">
            <v>-</v>
          </cell>
          <cell r="S5175" t="str">
            <v>-</v>
          </cell>
          <cell r="T5175" t="str">
            <v>-</v>
          </cell>
          <cell r="U5175" t="str">
            <v>-</v>
          </cell>
          <cell r="V5175" t="str">
            <v>SS</v>
          </cell>
          <cell r="W5175" t="str">
            <v>-</v>
          </cell>
          <cell r="X5175" t="str">
            <v>CLP 220 (-15/+40°C)</v>
          </cell>
          <cell r="Y5175" t="str">
            <v>KH107DRN160M4 /TF</v>
          </cell>
          <cell r="Z5175" t="str">
            <v>SEW</v>
          </cell>
          <cell r="AB5175" t="str">
            <v>-</v>
          </cell>
          <cell r="AF5175">
            <v>15</v>
          </cell>
          <cell r="AG5175" t="str">
            <v>DRN160M4</v>
          </cell>
          <cell r="AH5175" t="str">
            <v>KH107-DRN160M4A270-X</v>
          </cell>
        </row>
        <row r="5176">
          <cell r="A5176" t="str">
            <v>MR005165</v>
          </cell>
          <cell r="B5176" t="str">
            <v>MR</v>
          </cell>
          <cell r="C5176">
            <v>9.1999999999999993</v>
          </cell>
          <cell r="D5176">
            <v>77</v>
          </cell>
          <cell r="E5176" t="str">
            <v>R87</v>
          </cell>
          <cell r="F5176">
            <v>1140</v>
          </cell>
          <cell r="G5176">
            <v>19.100000000000001</v>
          </cell>
          <cell r="H5176">
            <v>1.25</v>
          </cell>
          <cell r="I5176" t="str">
            <v>From M1 to M2 - 25°</v>
          </cell>
          <cell r="J5176" t="str">
            <v>IE3</v>
          </cell>
          <cell r="K5176" t="str">
            <v>400/690</v>
          </cell>
          <cell r="L5176">
            <v>50</v>
          </cell>
          <cell r="M5176" t="str">
            <v>18,7/10,8</v>
          </cell>
          <cell r="N5176">
            <v>55</v>
          </cell>
          <cell r="O5176" t="str">
            <v>155(F)</v>
          </cell>
          <cell r="P5176" t="str">
            <v>270°</v>
          </cell>
          <cell r="Q5176" t="str">
            <v>TF</v>
          </cell>
          <cell r="R5176" t="str">
            <v>-</v>
          </cell>
          <cell r="S5176" t="str">
            <v>-</v>
          </cell>
          <cell r="T5176" t="str">
            <v>-</v>
          </cell>
          <cell r="U5176" t="str">
            <v>-</v>
          </cell>
          <cell r="V5176" t="str">
            <v>D</v>
          </cell>
          <cell r="W5176" t="str">
            <v>-</v>
          </cell>
          <cell r="X5176" t="str">
            <v>CLP 220 (-15/+40°C)</v>
          </cell>
          <cell r="Y5176" t="str">
            <v>R87DRN132L4 /TF</v>
          </cell>
          <cell r="Z5176" t="str">
            <v>SEW</v>
          </cell>
          <cell r="AB5176" t="str">
            <v>-</v>
          </cell>
          <cell r="AF5176">
            <v>77</v>
          </cell>
          <cell r="AG5176" t="str">
            <v>DRN132L4</v>
          </cell>
          <cell r="AH5176" t="str">
            <v>R87-DRN132L4270-X</v>
          </cell>
        </row>
        <row r="5177">
          <cell r="A5177" t="str">
            <v>MR005166</v>
          </cell>
          <cell r="B5177" t="str">
            <v>MR</v>
          </cell>
          <cell r="C5177">
            <v>7.5</v>
          </cell>
          <cell r="D5177">
            <v>77</v>
          </cell>
          <cell r="E5177" t="str">
            <v>R87</v>
          </cell>
          <cell r="F5177">
            <v>930</v>
          </cell>
          <cell r="G5177">
            <v>19.100000000000001</v>
          </cell>
          <cell r="H5177">
            <v>1.55</v>
          </cell>
          <cell r="I5177" t="str">
            <v>From M1 to M4 - 30°</v>
          </cell>
          <cell r="J5177" t="str">
            <v>IE3</v>
          </cell>
          <cell r="K5177" t="str">
            <v>400/690</v>
          </cell>
          <cell r="L5177">
            <v>50</v>
          </cell>
          <cell r="M5177" t="str">
            <v>15,2/8,8</v>
          </cell>
          <cell r="N5177">
            <v>55</v>
          </cell>
          <cell r="O5177" t="str">
            <v>155(F)</v>
          </cell>
          <cell r="P5177" t="str">
            <v>270°</v>
          </cell>
          <cell r="Q5177" t="str">
            <v>TF</v>
          </cell>
          <cell r="R5177" t="str">
            <v>-</v>
          </cell>
          <cell r="S5177" t="str">
            <v>-</v>
          </cell>
          <cell r="T5177" t="str">
            <v>-</v>
          </cell>
          <cell r="U5177" t="str">
            <v>-</v>
          </cell>
          <cell r="V5177" t="str">
            <v>D</v>
          </cell>
          <cell r="W5177" t="str">
            <v>-</v>
          </cell>
          <cell r="X5177" t="str">
            <v>CLP 220 (-15/+40°C)</v>
          </cell>
          <cell r="Y5177" t="str">
            <v>R87DRN132M4 /TF</v>
          </cell>
          <cell r="Z5177" t="str">
            <v>SEW</v>
          </cell>
          <cell r="AB5177" t="str">
            <v>-</v>
          </cell>
          <cell r="AF5177">
            <v>77</v>
          </cell>
          <cell r="AG5177" t="str">
            <v>DRN132M4</v>
          </cell>
          <cell r="AH5177" t="str">
            <v>R87-DRN132M4270-X</v>
          </cell>
        </row>
        <row r="5178">
          <cell r="A5178" t="str">
            <v>MR005167</v>
          </cell>
          <cell r="B5178" t="str">
            <v>MR</v>
          </cell>
          <cell r="C5178">
            <v>4</v>
          </cell>
          <cell r="D5178">
            <v>68</v>
          </cell>
          <cell r="E5178" t="str">
            <v>R77</v>
          </cell>
          <cell r="F5178">
            <v>560</v>
          </cell>
          <cell r="G5178">
            <v>21.43</v>
          </cell>
          <cell r="H5178">
            <v>1.1000000000000001</v>
          </cell>
          <cell r="I5178" t="str">
            <v>From M1 to M4 - 20°</v>
          </cell>
          <cell r="J5178" t="str">
            <v>IE3</v>
          </cell>
          <cell r="K5178" t="str">
            <v>230/400</v>
          </cell>
          <cell r="L5178">
            <v>50</v>
          </cell>
          <cell r="M5178" t="str">
            <v>14,2/8,2</v>
          </cell>
          <cell r="N5178">
            <v>55</v>
          </cell>
          <cell r="O5178" t="str">
            <v>155(F)</v>
          </cell>
          <cell r="P5178" t="str">
            <v>270°</v>
          </cell>
          <cell r="Q5178" t="str">
            <v>TF</v>
          </cell>
          <cell r="R5178" t="str">
            <v>-</v>
          </cell>
          <cell r="S5178" t="str">
            <v>-</v>
          </cell>
          <cell r="T5178" t="str">
            <v>-</v>
          </cell>
          <cell r="U5178" t="str">
            <v>-</v>
          </cell>
          <cell r="V5178" t="str">
            <v>D</v>
          </cell>
          <cell r="W5178" t="str">
            <v>-</v>
          </cell>
          <cell r="X5178" t="str">
            <v>CLP 220 (-15/+40°C)</v>
          </cell>
          <cell r="Y5178" t="str">
            <v>R77DRN112M4 /TF</v>
          </cell>
          <cell r="Z5178" t="str">
            <v>SEW</v>
          </cell>
          <cell r="AB5178" t="str">
            <v>-</v>
          </cell>
          <cell r="AF5178">
            <v>68</v>
          </cell>
          <cell r="AG5178" t="str">
            <v>DRN112M4</v>
          </cell>
          <cell r="AH5178" t="str">
            <v>R77-DRN112M4270-X</v>
          </cell>
        </row>
        <row r="5179">
          <cell r="A5179" t="str">
            <v>MR005168</v>
          </cell>
          <cell r="B5179" t="str">
            <v>MR</v>
          </cell>
          <cell r="C5179">
            <v>5.5</v>
          </cell>
          <cell r="D5179">
            <v>76</v>
          </cell>
          <cell r="E5179" t="str">
            <v>R87</v>
          </cell>
          <cell r="F5179">
            <v>685</v>
          </cell>
          <cell r="G5179">
            <v>19.100000000000001</v>
          </cell>
          <cell r="H5179">
            <v>1.7</v>
          </cell>
          <cell r="I5179" t="str">
            <v>From M1 to M4 - 20°</v>
          </cell>
          <cell r="J5179" t="str">
            <v>IE3</v>
          </cell>
          <cell r="K5179" t="str">
            <v>230/400</v>
          </cell>
          <cell r="L5179">
            <v>50</v>
          </cell>
          <cell r="M5179" t="str">
            <v>18,8/10,9</v>
          </cell>
          <cell r="N5179">
            <v>55</v>
          </cell>
          <cell r="O5179" t="str">
            <v>155(F)</v>
          </cell>
          <cell r="P5179" t="str">
            <v>270°</v>
          </cell>
          <cell r="Q5179" t="str">
            <v>TF</v>
          </cell>
          <cell r="R5179" t="str">
            <v>-</v>
          </cell>
          <cell r="S5179" t="str">
            <v>-</v>
          </cell>
          <cell r="T5179" t="str">
            <v>-</v>
          </cell>
          <cell r="U5179" t="str">
            <v>-</v>
          </cell>
          <cell r="V5179" t="str">
            <v>D</v>
          </cell>
          <cell r="W5179" t="str">
            <v>-</v>
          </cell>
          <cell r="X5179" t="str">
            <v>CLP 220 (-15/+40°C)</v>
          </cell>
          <cell r="Y5179" t="str">
            <v>R87DRN132S4 /TF</v>
          </cell>
          <cell r="Z5179" t="str">
            <v>SEW</v>
          </cell>
          <cell r="AB5179" t="str">
            <v>-</v>
          </cell>
          <cell r="AF5179">
            <v>76</v>
          </cell>
          <cell r="AG5179" t="str">
            <v>DRN132S4</v>
          </cell>
          <cell r="AH5179" t="str">
            <v>R87-DRN132S4270-X</v>
          </cell>
        </row>
        <row r="5180">
          <cell r="A5180" t="str">
            <v>MR005169</v>
          </cell>
          <cell r="B5180" t="str">
            <v>MR</v>
          </cell>
          <cell r="C5180">
            <v>3</v>
          </cell>
          <cell r="D5180">
            <v>62</v>
          </cell>
          <cell r="E5180" t="str">
            <v>R77</v>
          </cell>
          <cell r="F5180">
            <v>460</v>
          </cell>
          <cell r="G5180">
            <v>23.37</v>
          </cell>
          <cell r="H5180">
            <v>1.8</v>
          </cell>
          <cell r="I5180" t="str">
            <v>M1</v>
          </cell>
          <cell r="J5180" t="str">
            <v>IE3</v>
          </cell>
          <cell r="K5180" t="str">
            <v>230/400</v>
          </cell>
          <cell r="L5180">
            <v>50</v>
          </cell>
          <cell r="M5180" t="str">
            <v>11,2/6,4</v>
          </cell>
          <cell r="N5180">
            <v>55</v>
          </cell>
          <cell r="O5180" t="str">
            <v>155(F)</v>
          </cell>
          <cell r="P5180" t="str">
            <v>270°</v>
          </cell>
          <cell r="Q5180" t="str">
            <v>TF</v>
          </cell>
          <cell r="R5180" t="str">
            <v>-</v>
          </cell>
          <cell r="S5180" t="str">
            <v>-</v>
          </cell>
          <cell r="T5180" t="str">
            <v>-</v>
          </cell>
          <cell r="U5180" t="str">
            <v>-</v>
          </cell>
          <cell r="V5180" t="str">
            <v>D</v>
          </cell>
          <cell r="W5180" t="str">
            <v>-</v>
          </cell>
          <cell r="X5180" t="str">
            <v>CLP 220 (-15/+40°C)</v>
          </cell>
          <cell r="Y5180" t="str">
            <v>R77DRN100L4 /TF</v>
          </cell>
          <cell r="Z5180" t="str">
            <v>SEW</v>
          </cell>
          <cell r="AB5180" t="str">
            <v>-</v>
          </cell>
          <cell r="AF5180">
            <v>62</v>
          </cell>
          <cell r="AG5180" t="str">
            <v>DRN100L4</v>
          </cell>
          <cell r="AH5180" t="str">
            <v>R77-DRN100L4270-X</v>
          </cell>
        </row>
        <row r="5181">
          <cell r="A5181" t="str">
            <v>MR005170</v>
          </cell>
          <cell r="B5181" t="str">
            <v>MR</v>
          </cell>
          <cell r="C5181">
            <v>22</v>
          </cell>
          <cell r="D5181">
            <v>12</v>
          </cell>
          <cell r="E5181" t="str">
            <v>KH157</v>
          </cell>
          <cell r="F5181">
            <v>17400</v>
          </cell>
          <cell r="G5181">
            <v>122.39</v>
          </cell>
          <cell r="H5181">
            <v>1.1499999999999999</v>
          </cell>
          <cell r="I5181" t="str">
            <v>From M1A to M2A - 25°</v>
          </cell>
          <cell r="J5181" t="str">
            <v>IE3</v>
          </cell>
          <cell r="K5181" t="str">
            <v>240/415</v>
          </cell>
          <cell r="L5181">
            <v>50</v>
          </cell>
          <cell r="M5181" t="str">
            <v>64/37</v>
          </cell>
          <cell r="N5181">
            <v>65</v>
          </cell>
          <cell r="O5181" t="str">
            <v>155(F)</v>
          </cell>
          <cell r="P5181" t="str">
            <v>270°</v>
          </cell>
          <cell r="Q5181" t="str">
            <v>TF</v>
          </cell>
          <cell r="R5181" t="str">
            <v>V(VE)</v>
          </cell>
          <cell r="S5181" t="str">
            <v>-</v>
          </cell>
          <cell r="T5181" t="str">
            <v>-</v>
          </cell>
          <cell r="U5181" t="str">
            <v>-</v>
          </cell>
          <cell r="V5181" t="str">
            <v>FC</v>
          </cell>
          <cell r="W5181" t="str">
            <v>-</v>
          </cell>
          <cell r="X5181" t="str">
            <v>CLP 220 (-15/+40°C)</v>
          </cell>
          <cell r="Y5181" t="str">
            <v>KH157DRN180L4 /TF/V</v>
          </cell>
          <cell r="Z5181" t="str">
            <v>SEW</v>
          </cell>
          <cell r="AB5181" t="str">
            <v>-</v>
          </cell>
          <cell r="AF5181">
            <v>12</v>
          </cell>
          <cell r="AG5181" t="str">
            <v>DRN180L4</v>
          </cell>
          <cell r="AH5181" t="str">
            <v>KH157-DRN180L4A270-X#</v>
          </cell>
        </row>
        <row r="5182">
          <cell r="A5182" t="str">
            <v>MR005171</v>
          </cell>
          <cell r="B5182" t="str">
            <v>MR</v>
          </cell>
          <cell r="C5182">
            <v>22</v>
          </cell>
          <cell r="D5182">
            <v>12</v>
          </cell>
          <cell r="E5182" t="str">
            <v>KH157</v>
          </cell>
          <cell r="F5182">
            <v>17400</v>
          </cell>
          <cell r="G5182">
            <v>122.39</v>
          </cell>
          <cell r="H5182">
            <v>1.1499999999999999</v>
          </cell>
          <cell r="I5182" t="str">
            <v>From M1B to M2B - 25°</v>
          </cell>
          <cell r="J5182" t="str">
            <v>IE3</v>
          </cell>
          <cell r="K5182" t="str">
            <v>240/415</v>
          </cell>
          <cell r="L5182">
            <v>50</v>
          </cell>
          <cell r="M5182" t="str">
            <v>64/37</v>
          </cell>
          <cell r="N5182">
            <v>65</v>
          </cell>
          <cell r="O5182" t="str">
            <v>155(F)</v>
          </cell>
          <cell r="P5182" t="str">
            <v>270°</v>
          </cell>
          <cell r="Q5182" t="str">
            <v>TF</v>
          </cell>
          <cell r="R5182" t="str">
            <v>V(VE)</v>
          </cell>
          <cell r="S5182" t="str">
            <v>-</v>
          </cell>
          <cell r="T5182" t="str">
            <v>-</v>
          </cell>
          <cell r="U5182" t="str">
            <v>-</v>
          </cell>
          <cell r="V5182" t="str">
            <v>FC</v>
          </cell>
          <cell r="W5182" t="str">
            <v>-</v>
          </cell>
          <cell r="X5182" t="str">
            <v>CLP 220 (-15/+40°C)</v>
          </cell>
          <cell r="Y5182" t="str">
            <v>KH157DRN180L4 /TF/V</v>
          </cell>
          <cell r="Z5182" t="str">
            <v>SEW</v>
          </cell>
          <cell r="AB5182" t="str">
            <v>-</v>
          </cell>
          <cell r="AF5182">
            <v>12</v>
          </cell>
          <cell r="AG5182" t="str">
            <v>DRN180L4</v>
          </cell>
          <cell r="AH5182" t="str">
            <v>KH157-DRN180L4B270-X#</v>
          </cell>
        </row>
        <row r="5183">
          <cell r="A5183" t="str">
            <v>MR005172</v>
          </cell>
          <cell r="B5183" t="str">
            <v>MR</v>
          </cell>
          <cell r="C5183">
            <v>18.5</v>
          </cell>
          <cell r="D5183">
            <v>12</v>
          </cell>
          <cell r="E5183" t="str">
            <v>KH157</v>
          </cell>
          <cell r="F5183">
            <v>14600</v>
          </cell>
          <cell r="G5183">
            <v>122.39</v>
          </cell>
          <cell r="H5183">
            <v>1.35</v>
          </cell>
          <cell r="I5183" t="str">
            <v>M1A</v>
          </cell>
          <cell r="J5183" t="str">
            <v>IE3</v>
          </cell>
          <cell r="K5183" t="str">
            <v>240/415</v>
          </cell>
          <cell r="L5183">
            <v>50</v>
          </cell>
          <cell r="M5183" t="str">
            <v>55/32</v>
          </cell>
          <cell r="N5183">
            <v>65</v>
          </cell>
          <cell r="O5183" t="str">
            <v>155(F)</v>
          </cell>
          <cell r="P5183" t="str">
            <v>270°</v>
          </cell>
          <cell r="Q5183" t="str">
            <v>TF</v>
          </cell>
          <cell r="R5183" t="str">
            <v>V(VE)</v>
          </cell>
          <cell r="S5183" t="str">
            <v>-</v>
          </cell>
          <cell r="T5183" t="str">
            <v>-</v>
          </cell>
          <cell r="U5183" t="str">
            <v>-</v>
          </cell>
          <cell r="V5183" t="str">
            <v>FC</v>
          </cell>
          <cell r="W5183" t="str">
            <v>-</v>
          </cell>
          <cell r="X5183" t="str">
            <v>CLP 220 (-15/+40°C)</v>
          </cell>
          <cell r="Y5183" t="str">
            <v>KH157DRN180M4 /TF/V</v>
          </cell>
          <cell r="Z5183" t="str">
            <v>SEW</v>
          </cell>
          <cell r="AB5183" t="str">
            <v>-</v>
          </cell>
          <cell r="AF5183">
            <v>12</v>
          </cell>
          <cell r="AG5183" t="str">
            <v>DRN180M4</v>
          </cell>
          <cell r="AH5183" t="str">
            <v>KH157-DRN180M4A270-X#</v>
          </cell>
        </row>
        <row r="5184">
          <cell r="A5184" t="str">
            <v>MR005173</v>
          </cell>
          <cell r="B5184" t="str">
            <v>MR</v>
          </cell>
          <cell r="C5184">
            <v>18.5</v>
          </cell>
          <cell r="D5184">
            <v>12</v>
          </cell>
          <cell r="E5184" t="str">
            <v>KH157</v>
          </cell>
          <cell r="F5184">
            <v>14600</v>
          </cell>
          <cell r="G5184">
            <v>122.39</v>
          </cell>
          <cell r="H5184">
            <v>1.35</v>
          </cell>
          <cell r="I5184" t="str">
            <v>M1B</v>
          </cell>
          <cell r="J5184" t="str">
            <v>IE3</v>
          </cell>
          <cell r="K5184" t="str">
            <v>240/415</v>
          </cell>
          <cell r="L5184">
            <v>50</v>
          </cell>
          <cell r="M5184" t="str">
            <v>55/32</v>
          </cell>
          <cell r="N5184">
            <v>65</v>
          </cell>
          <cell r="O5184" t="str">
            <v>155(F)</v>
          </cell>
          <cell r="P5184" t="str">
            <v>270°</v>
          </cell>
          <cell r="Q5184" t="str">
            <v>TF</v>
          </cell>
          <cell r="R5184" t="str">
            <v>V(VE)</v>
          </cell>
          <cell r="S5184" t="str">
            <v>-</v>
          </cell>
          <cell r="T5184" t="str">
            <v>-</v>
          </cell>
          <cell r="U5184" t="str">
            <v>-</v>
          </cell>
          <cell r="V5184" t="str">
            <v>FC</v>
          </cell>
          <cell r="W5184" t="str">
            <v>-</v>
          </cell>
          <cell r="X5184" t="str">
            <v>CLP 220 (-15/+40°C)</v>
          </cell>
          <cell r="Y5184" t="str">
            <v>KH157DRN180M4 /TF/V</v>
          </cell>
          <cell r="Z5184" t="str">
            <v>SEW</v>
          </cell>
          <cell r="AB5184" t="str">
            <v>-</v>
          </cell>
          <cell r="AF5184">
            <v>12</v>
          </cell>
          <cell r="AG5184" t="str">
            <v>DRN180M4</v>
          </cell>
          <cell r="AH5184" t="str">
            <v>KH157-DRN180M4B270-X#</v>
          </cell>
        </row>
        <row r="5185">
          <cell r="A5185" t="str">
            <v>MR005174</v>
          </cell>
          <cell r="B5185" t="str">
            <v>MR</v>
          </cell>
          <cell r="C5185">
            <v>22</v>
          </cell>
          <cell r="D5185">
            <v>12</v>
          </cell>
          <cell r="E5185" t="str">
            <v>KH157</v>
          </cell>
          <cell r="F5185">
            <v>17400</v>
          </cell>
          <cell r="G5185">
            <v>122.39</v>
          </cell>
          <cell r="H5185">
            <v>1.1499999999999999</v>
          </cell>
          <cell r="I5185" t="str">
            <v>From M1A to M2A - 30°</v>
          </cell>
          <cell r="J5185" t="str">
            <v>IE3</v>
          </cell>
          <cell r="K5185" t="str">
            <v>240/415</v>
          </cell>
          <cell r="L5185">
            <v>50</v>
          </cell>
          <cell r="M5185" t="str">
            <v>64/37</v>
          </cell>
          <cell r="N5185">
            <v>65</v>
          </cell>
          <cell r="O5185" t="str">
            <v>155(F)</v>
          </cell>
          <cell r="P5185" t="str">
            <v>270°</v>
          </cell>
          <cell r="Q5185" t="str">
            <v>TF</v>
          </cell>
          <cell r="R5185" t="str">
            <v>V(VE)</v>
          </cell>
          <cell r="S5185" t="str">
            <v>-</v>
          </cell>
          <cell r="T5185" t="str">
            <v>-</v>
          </cell>
          <cell r="U5185" t="str">
            <v>-</v>
          </cell>
          <cell r="V5185" t="str">
            <v>FC</v>
          </cell>
          <cell r="W5185" t="str">
            <v>-</v>
          </cell>
          <cell r="X5185" t="str">
            <v>CLP 220 (-15/+40°C)</v>
          </cell>
          <cell r="Y5185" t="str">
            <v>KH157DRN180L4 /TF/V</v>
          </cell>
          <cell r="Z5185" t="str">
            <v>SEW</v>
          </cell>
          <cell r="AB5185" t="str">
            <v>-</v>
          </cell>
          <cell r="AF5185">
            <v>12</v>
          </cell>
          <cell r="AG5185" t="str">
            <v>DRN180L4</v>
          </cell>
          <cell r="AH5185" t="str">
            <v>KH157-DRN180L4A270-X#</v>
          </cell>
        </row>
        <row r="5186">
          <cell r="A5186" t="str">
            <v>MR005175</v>
          </cell>
          <cell r="B5186" t="str">
            <v>MR</v>
          </cell>
          <cell r="C5186">
            <v>22</v>
          </cell>
          <cell r="D5186">
            <v>12</v>
          </cell>
          <cell r="E5186" t="str">
            <v>KH157</v>
          </cell>
          <cell r="F5186">
            <v>17400</v>
          </cell>
          <cell r="G5186">
            <v>122.39</v>
          </cell>
          <cell r="H5186">
            <v>1.1499999999999999</v>
          </cell>
          <cell r="I5186" t="str">
            <v>From M1B to M2B - 30°</v>
          </cell>
          <cell r="J5186" t="str">
            <v>IE3</v>
          </cell>
          <cell r="K5186" t="str">
            <v>240/415</v>
          </cell>
          <cell r="L5186">
            <v>50</v>
          </cell>
          <cell r="M5186" t="str">
            <v>64/37</v>
          </cell>
          <cell r="N5186">
            <v>65</v>
          </cell>
          <cell r="O5186" t="str">
            <v>155(F)</v>
          </cell>
          <cell r="P5186" t="str">
            <v>270°</v>
          </cell>
          <cell r="Q5186" t="str">
            <v>TF</v>
          </cell>
          <cell r="R5186" t="str">
            <v>V(VE)</v>
          </cell>
          <cell r="S5186" t="str">
            <v>-</v>
          </cell>
          <cell r="T5186" t="str">
            <v>-</v>
          </cell>
          <cell r="U5186" t="str">
            <v>-</v>
          </cell>
          <cell r="V5186" t="str">
            <v>FC</v>
          </cell>
          <cell r="W5186" t="str">
            <v>-</v>
          </cell>
          <cell r="X5186" t="str">
            <v>CLP 220 (-15/+40°C)</v>
          </cell>
          <cell r="Y5186" t="str">
            <v>KH157DRN180L4 /TF/V</v>
          </cell>
          <cell r="Z5186" t="str">
            <v>SEW</v>
          </cell>
          <cell r="AB5186" t="str">
            <v>-</v>
          </cell>
          <cell r="AF5186">
            <v>12</v>
          </cell>
          <cell r="AG5186" t="str">
            <v>DRN180L4</v>
          </cell>
          <cell r="AH5186" t="str">
            <v>KH157-DRN180L4B270-X#</v>
          </cell>
        </row>
        <row r="5187">
          <cell r="A5187" t="str">
            <v>MR005176</v>
          </cell>
          <cell r="B5187" t="str">
            <v>MR</v>
          </cell>
          <cell r="C5187">
            <v>22</v>
          </cell>
          <cell r="D5187">
            <v>12</v>
          </cell>
          <cell r="E5187" t="str">
            <v>KH157</v>
          </cell>
          <cell r="F5187">
            <v>17400</v>
          </cell>
          <cell r="G5187">
            <v>122.39</v>
          </cell>
          <cell r="H5187">
            <v>1.1499999999999999</v>
          </cell>
          <cell r="I5187" t="str">
            <v>From M1A to M2A - 40°</v>
          </cell>
          <cell r="J5187" t="str">
            <v>IE3</v>
          </cell>
          <cell r="K5187" t="str">
            <v>240/415</v>
          </cell>
          <cell r="L5187">
            <v>50</v>
          </cell>
          <cell r="M5187" t="str">
            <v>64/37</v>
          </cell>
          <cell r="N5187">
            <v>65</v>
          </cell>
          <cell r="O5187" t="str">
            <v>155(F)</v>
          </cell>
          <cell r="P5187" t="str">
            <v>270°</v>
          </cell>
          <cell r="Q5187" t="str">
            <v>TF</v>
          </cell>
          <cell r="R5187" t="str">
            <v>V(VE)</v>
          </cell>
          <cell r="S5187" t="str">
            <v>-</v>
          </cell>
          <cell r="T5187" t="str">
            <v>-</v>
          </cell>
          <cell r="U5187" t="str">
            <v>-</v>
          </cell>
          <cell r="V5187" t="str">
            <v>FC</v>
          </cell>
          <cell r="W5187" t="str">
            <v>-</v>
          </cell>
          <cell r="X5187" t="str">
            <v>CLP 220 (-15/+40°C)</v>
          </cell>
          <cell r="Y5187" t="str">
            <v>KH157DRN180L4 /TF/V</v>
          </cell>
          <cell r="Z5187" t="str">
            <v>SEW</v>
          </cell>
          <cell r="AB5187" t="str">
            <v>-</v>
          </cell>
          <cell r="AF5187">
            <v>12</v>
          </cell>
          <cell r="AG5187" t="str">
            <v>DRN180L4</v>
          </cell>
          <cell r="AH5187" t="str">
            <v>KH157-DRN180L4A270-X#</v>
          </cell>
        </row>
        <row r="5188">
          <cell r="A5188" t="str">
            <v>MR005177</v>
          </cell>
          <cell r="B5188" t="str">
            <v>MR</v>
          </cell>
          <cell r="C5188">
            <v>22</v>
          </cell>
          <cell r="D5188">
            <v>12</v>
          </cell>
          <cell r="E5188" t="str">
            <v>KH157</v>
          </cell>
          <cell r="F5188">
            <v>17400</v>
          </cell>
          <cell r="G5188">
            <v>122.39</v>
          </cell>
          <cell r="H5188">
            <v>1.1499999999999999</v>
          </cell>
          <cell r="I5188" t="str">
            <v>From M1B to M2B - 40°</v>
          </cell>
          <cell r="J5188" t="str">
            <v>IE3</v>
          </cell>
          <cell r="K5188" t="str">
            <v>240/415</v>
          </cell>
          <cell r="L5188">
            <v>50</v>
          </cell>
          <cell r="M5188" t="str">
            <v>64/37</v>
          </cell>
          <cell r="N5188">
            <v>65</v>
          </cell>
          <cell r="O5188" t="str">
            <v>155(F)</v>
          </cell>
          <cell r="P5188" t="str">
            <v>270°</v>
          </cell>
          <cell r="Q5188" t="str">
            <v>TF</v>
          </cell>
          <cell r="R5188" t="str">
            <v>V(VE)</v>
          </cell>
          <cell r="S5188" t="str">
            <v>-</v>
          </cell>
          <cell r="T5188" t="str">
            <v>-</v>
          </cell>
          <cell r="U5188" t="str">
            <v>-</v>
          </cell>
          <cell r="V5188" t="str">
            <v>FC</v>
          </cell>
          <cell r="W5188" t="str">
            <v>-</v>
          </cell>
          <cell r="X5188" t="str">
            <v>CLP 220 (-15/+40°C)</v>
          </cell>
          <cell r="Y5188" t="str">
            <v>KH157DRN180L4 /TF/V</v>
          </cell>
          <cell r="Z5188" t="str">
            <v>SEW</v>
          </cell>
          <cell r="AB5188" t="str">
            <v>-</v>
          </cell>
          <cell r="AF5188">
            <v>12</v>
          </cell>
          <cell r="AG5188" t="str">
            <v>DRN180L4</v>
          </cell>
          <cell r="AH5188" t="str">
            <v>KH157-DRN180L4B270-X#</v>
          </cell>
        </row>
        <row r="5189">
          <cell r="A5189" t="str">
            <v>MR005178</v>
          </cell>
          <cell r="B5189" t="str">
            <v>MR</v>
          </cell>
          <cell r="C5189">
            <v>22</v>
          </cell>
          <cell r="D5189">
            <v>29</v>
          </cell>
          <cell r="E5189" t="str">
            <v>R137</v>
          </cell>
          <cell r="F5189">
            <v>7230</v>
          </cell>
          <cell r="G5189">
            <v>50.86</v>
          </cell>
          <cell r="H5189">
            <v>1.1000000000000001</v>
          </cell>
          <cell r="I5189" t="str">
            <v>M5</v>
          </cell>
          <cell r="J5189" t="str">
            <v>IE3</v>
          </cell>
          <cell r="K5189" t="str">
            <v>240/415</v>
          </cell>
          <cell r="L5189">
            <v>50</v>
          </cell>
          <cell r="M5189" t="str">
            <v>64/37</v>
          </cell>
          <cell r="N5189">
            <v>65</v>
          </cell>
          <cell r="O5189" t="str">
            <v>155(F)</v>
          </cell>
          <cell r="P5189" t="str">
            <v>270°</v>
          </cell>
          <cell r="Q5189" t="str">
            <v>TF</v>
          </cell>
          <cell r="R5189" t="str">
            <v>V(VE)</v>
          </cell>
          <cell r="S5189" t="str">
            <v>-</v>
          </cell>
          <cell r="T5189" t="str">
            <v>-</v>
          </cell>
          <cell r="U5189" t="str">
            <v>-</v>
          </cell>
          <cell r="V5189" t="str">
            <v>FC</v>
          </cell>
          <cell r="W5189" t="str">
            <v>-</v>
          </cell>
          <cell r="X5189" t="str">
            <v>CLP 220 (-15/+40°C)</v>
          </cell>
          <cell r="Y5189" t="str">
            <v>R137DRN180L4 /TF/V</v>
          </cell>
          <cell r="Z5189" t="str">
            <v>SEW</v>
          </cell>
          <cell r="AB5189" t="str">
            <v>-</v>
          </cell>
          <cell r="AF5189">
            <v>29</v>
          </cell>
          <cell r="AG5189" t="str">
            <v>DRN180L4</v>
          </cell>
          <cell r="AH5189" t="str">
            <v>R137-DRN180L4270-X#</v>
          </cell>
        </row>
        <row r="5190">
          <cell r="A5190" t="str">
            <v>MR005179</v>
          </cell>
          <cell r="B5190" t="str">
            <v>MR</v>
          </cell>
          <cell r="C5190">
            <v>22</v>
          </cell>
          <cell r="D5190">
            <v>29</v>
          </cell>
          <cell r="E5190" t="str">
            <v>R137</v>
          </cell>
          <cell r="F5190">
            <v>7230</v>
          </cell>
          <cell r="G5190">
            <v>50.86</v>
          </cell>
          <cell r="H5190">
            <v>1.1000000000000001</v>
          </cell>
          <cell r="I5190" t="str">
            <v>M6</v>
          </cell>
          <cell r="J5190" t="str">
            <v>IE3</v>
          </cell>
          <cell r="K5190" t="str">
            <v>240/415</v>
          </cell>
          <cell r="L5190">
            <v>50</v>
          </cell>
          <cell r="M5190" t="str">
            <v>64/37</v>
          </cell>
          <cell r="N5190">
            <v>65</v>
          </cell>
          <cell r="O5190" t="str">
            <v>155(F)</v>
          </cell>
          <cell r="P5190" t="str">
            <v>270°</v>
          </cell>
          <cell r="Q5190" t="str">
            <v>TF</v>
          </cell>
          <cell r="R5190" t="str">
            <v>V(VE)</v>
          </cell>
          <cell r="S5190" t="str">
            <v>-</v>
          </cell>
          <cell r="T5190" t="str">
            <v>-</v>
          </cell>
          <cell r="U5190" t="str">
            <v>-</v>
          </cell>
          <cell r="V5190" t="str">
            <v>FC</v>
          </cell>
          <cell r="W5190" t="str">
            <v>-</v>
          </cell>
          <cell r="X5190" t="str">
            <v>CLP 220 (-15/+40°C)</v>
          </cell>
          <cell r="Y5190" t="str">
            <v>R137DRN180L4 /TF/V</v>
          </cell>
          <cell r="Z5190" t="str">
            <v>SEW</v>
          </cell>
          <cell r="AB5190" t="str">
            <v>-</v>
          </cell>
          <cell r="AF5190">
            <v>29</v>
          </cell>
          <cell r="AG5190" t="str">
            <v>DRN180L4</v>
          </cell>
          <cell r="AH5190" t="str">
            <v>R137-DRN180L4270-X#</v>
          </cell>
        </row>
        <row r="5191">
          <cell r="A5191" t="str">
            <v>MR005180</v>
          </cell>
          <cell r="B5191" t="str">
            <v>MR</v>
          </cell>
          <cell r="C5191">
            <v>0.75</v>
          </cell>
          <cell r="D5191">
            <v>18</v>
          </cell>
          <cell r="E5191" t="str">
            <v>FA67</v>
          </cell>
          <cell r="F5191">
            <v>395</v>
          </cell>
          <cell r="G5191">
            <v>79.760000000000005</v>
          </cell>
          <cell r="H5191">
            <v>2.1</v>
          </cell>
          <cell r="I5191" t="str">
            <v>M6</v>
          </cell>
          <cell r="J5191" t="str">
            <v>IE3</v>
          </cell>
          <cell r="K5191" t="str">
            <v>240/415</v>
          </cell>
          <cell r="L5191">
            <v>50</v>
          </cell>
          <cell r="M5191" t="str">
            <v>2,9/1,59</v>
          </cell>
          <cell r="N5191">
            <v>65</v>
          </cell>
          <cell r="O5191" t="str">
            <v>155(F)</v>
          </cell>
          <cell r="P5191" t="str">
            <v>270°</v>
          </cell>
          <cell r="Q5191" t="str">
            <v>TF</v>
          </cell>
          <cell r="R5191" t="str">
            <v>-</v>
          </cell>
          <cell r="S5191" t="str">
            <v>-</v>
          </cell>
          <cell r="T5191" t="str">
            <v>BEHF (415V)</v>
          </cell>
          <cell r="U5191" t="str">
            <v>G</v>
          </cell>
          <cell r="V5191" t="str">
            <v>D+R</v>
          </cell>
          <cell r="W5191" t="str">
            <v>-</v>
          </cell>
          <cell r="X5191" t="str">
            <v>CLP 220 (-15/+40°C)</v>
          </cell>
          <cell r="Y5191" t="str">
            <v>FA67/G DRN80M4 /BEHF (415V) /TF</v>
          </cell>
          <cell r="AF5191">
            <v>18</v>
          </cell>
          <cell r="AG5191" t="str">
            <v>DRN80M4</v>
          </cell>
          <cell r="AH5191" t="str">
            <v>FA67G-DRN80M4270-X</v>
          </cell>
        </row>
        <row r="5192">
          <cell r="A5192" t="str">
            <v>MR005181</v>
          </cell>
          <cell r="B5192" t="str">
            <v>MR</v>
          </cell>
          <cell r="C5192">
            <v>9.1999999999999993</v>
          </cell>
          <cell r="D5192">
            <v>53</v>
          </cell>
          <cell r="E5192" t="str">
            <v>R97</v>
          </cell>
          <cell r="F5192">
            <v>1640</v>
          </cell>
          <cell r="G5192">
            <v>27.58</v>
          </cell>
          <cell r="H5192">
            <v>1.6</v>
          </cell>
          <cell r="I5192" t="str">
            <v>From M1 to M4 - 15°</v>
          </cell>
          <cell r="J5192" t="str">
            <v>IE3</v>
          </cell>
          <cell r="K5192" t="str">
            <v>240/415</v>
          </cell>
          <cell r="L5192">
            <v>50</v>
          </cell>
          <cell r="M5192" t="str">
            <v>31/18</v>
          </cell>
          <cell r="N5192">
            <v>65</v>
          </cell>
          <cell r="O5192" t="str">
            <v>155(F)</v>
          </cell>
          <cell r="P5192" t="str">
            <v>270°</v>
          </cell>
          <cell r="Q5192" t="str">
            <v>TF</v>
          </cell>
          <cell r="R5192" t="str">
            <v>-</v>
          </cell>
          <cell r="S5192" t="str">
            <v>-</v>
          </cell>
          <cell r="T5192" t="str">
            <v>-</v>
          </cell>
          <cell r="U5192" t="str">
            <v>-</v>
          </cell>
          <cell r="V5192" t="str">
            <v>D</v>
          </cell>
          <cell r="W5192" t="str">
            <v>-</v>
          </cell>
          <cell r="X5192" t="str">
            <v>CLP 220 (-15/+40°C)</v>
          </cell>
          <cell r="Y5192" t="str">
            <v>R97DRN132L4 /TF</v>
          </cell>
          <cell r="Z5192" t="str">
            <v>SEW</v>
          </cell>
          <cell r="AB5192" t="str">
            <v>-</v>
          </cell>
          <cell r="AF5192">
            <v>53</v>
          </cell>
          <cell r="AG5192" t="str">
            <v>DRN132L4</v>
          </cell>
          <cell r="AH5192" t="str">
            <v>R97-DRN132L4270-X</v>
          </cell>
        </row>
        <row r="5193">
          <cell r="A5193" t="str">
            <v>MR005182</v>
          </cell>
          <cell r="B5193" t="str">
            <v>MR</v>
          </cell>
          <cell r="C5193">
            <v>5.5</v>
          </cell>
          <cell r="D5193">
            <v>14</v>
          </cell>
          <cell r="E5193" t="str">
            <v>R107</v>
          </cell>
          <cell r="F5193">
            <v>3680</v>
          </cell>
          <cell r="G5193">
            <v>102.53</v>
          </cell>
          <cell r="H5193">
            <v>1.1499999999999999</v>
          </cell>
          <cell r="I5193" t="str">
            <v>From M1 to M4 - 15°</v>
          </cell>
          <cell r="J5193" t="str">
            <v>IE3</v>
          </cell>
          <cell r="K5193" t="str">
            <v>240/415</v>
          </cell>
          <cell r="L5193">
            <v>50</v>
          </cell>
          <cell r="M5193" t="str">
            <v>18,5/10,7</v>
          </cell>
          <cell r="N5193">
            <v>65</v>
          </cell>
          <cell r="O5193" t="str">
            <v>155(F)</v>
          </cell>
          <cell r="P5193" t="str">
            <v>270°</v>
          </cell>
          <cell r="Q5193" t="str">
            <v>TF</v>
          </cell>
          <cell r="R5193" t="str">
            <v>V(VE)</v>
          </cell>
          <cell r="S5193" t="str">
            <v>-</v>
          </cell>
          <cell r="T5193" t="str">
            <v>-</v>
          </cell>
          <cell r="U5193" t="str">
            <v>-</v>
          </cell>
          <cell r="V5193" t="str">
            <v>FC</v>
          </cell>
          <cell r="W5193" t="str">
            <v>-</v>
          </cell>
          <cell r="X5193" t="str">
            <v>CLP 220 (-15/+40°C)</v>
          </cell>
          <cell r="Y5193" t="str">
            <v>R107DRN132S4 /TF/V</v>
          </cell>
          <cell r="AF5193">
            <v>14</v>
          </cell>
          <cell r="AG5193" t="str">
            <v>DRN132S4</v>
          </cell>
          <cell r="AH5193" t="str">
            <v>R107-DRN132S4270-X#</v>
          </cell>
        </row>
        <row r="5194">
          <cell r="A5194" t="str">
            <v>MR005183</v>
          </cell>
          <cell r="B5194" t="str">
            <v>MR</v>
          </cell>
          <cell r="C5194">
            <v>9.1999999999999993</v>
          </cell>
          <cell r="D5194">
            <v>15</v>
          </cell>
          <cell r="E5194" t="str">
            <v>KH107</v>
          </cell>
          <cell r="F5194">
            <v>6020</v>
          </cell>
          <cell r="G5194">
            <v>100.75</v>
          </cell>
          <cell r="H5194">
            <v>1.35</v>
          </cell>
          <cell r="I5194" t="str">
            <v>Fromn M1B to M2B - 25°</v>
          </cell>
          <cell r="J5194" t="str">
            <v>IE3</v>
          </cell>
          <cell r="K5194" t="str">
            <v>240/415</v>
          </cell>
          <cell r="L5194">
            <v>50</v>
          </cell>
          <cell r="M5194" t="str">
            <v>31/18</v>
          </cell>
          <cell r="N5194">
            <v>65</v>
          </cell>
          <cell r="O5194" t="str">
            <v>155(F)</v>
          </cell>
          <cell r="P5194" t="str">
            <v>270°</v>
          </cell>
          <cell r="Q5194" t="str">
            <v>TF</v>
          </cell>
          <cell r="R5194" t="str">
            <v>-</v>
          </cell>
          <cell r="S5194" t="str">
            <v>-</v>
          </cell>
          <cell r="T5194" t="str">
            <v>-</v>
          </cell>
          <cell r="U5194" t="str">
            <v>-</v>
          </cell>
          <cell r="V5194" t="str">
            <v>FC</v>
          </cell>
          <cell r="W5194" t="str">
            <v>-</v>
          </cell>
          <cell r="X5194" t="str">
            <v>CLP 220 (-15/+40°C)</v>
          </cell>
          <cell r="Y5194" t="str">
            <v>KH107DRN132L4 /TF</v>
          </cell>
          <cell r="Z5194" t="str">
            <v>SEW</v>
          </cell>
          <cell r="AB5194" t="str">
            <v>-</v>
          </cell>
          <cell r="AF5194">
            <v>15</v>
          </cell>
          <cell r="AG5194" t="str">
            <v>DRN132L4</v>
          </cell>
          <cell r="AH5194" t="str">
            <v>KH107-DRN132L4B270-X</v>
          </cell>
        </row>
        <row r="5195">
          <cell r="A5195" t="str">
            <v>MR005184</v>
          </cell>
          <cell r="B5195" t="str">
            <v>MR</v>
          </cell>
          <cell r="C5195">
            <v>0.75</v>
          </cell>
          <cell r="D5195">
            <v>162</v>
          </cell>
          <cell r="E5195" t="str">
            <v>KA37</v>
          </cell>
          <cell r="F5195">
            <v>44</v>
          </cell>
          <cell r="G5195">
            <v>8.91</v>
          </cell>
          <cell r="H5195">
            <v>3.6</v>
          </cell>
          <cell r="I5195" t="str">
            <v>From M3B to M2B - 10°</v>
          </cell>
          <cell r="J5195" t="str">
            <v>IE3</v>
          </cell>
          <cell r="K5195" t="str">
            <v>230/400</v>
          </cell>
          <cell r="L5195">
            <v>50</v>
          </cell>
          <cell r="M5195" t="str">
            <v>3,05/1,75</v>
          </cell>
          <cell r="N5195">
            <v>65</v>
          </cell>
          <cell r="O5195" t="str">
            <v>155(F)</v>
          </cell>
          <cell r="P5195" t="str">
            <v>0°</v>
          </cell>
          <cell r="Q5195" t="str">
            <v>TF</v>
          </cell>
          <cell r="R5195" t="str">
            <v>-</v>
          </cell>
          <cell r="S5195" t="str">
            <v>-</v>
          </cell>
          <cell r="T5195" t="str">
            <v>-</v>
          </cell>
          <cell r="U5195" t="str">
            <v>T</v>
          </cell>
          <cell r="V5195" t="str">
            <v>D</v>
          </cell>
          <cell r="W5195" t="str">
            <v>-</v>
          </cell>
          <cell r="X5195" t="str">
            <v>CLP 220 (-15/+40°C)</v>
          </cell>
          <cell r="Y5195" t="str">
            <v>KA37/T DRN80M4 /TF</v>
          </cell>
          <cell r="Z5195" t="str">
            <v>SEW</v>
          </cell>
          <cell r="AA5195" t="str">
            <v>RAL 7000</v>
          </cell>
          <cell r="AB5195" t="str">
            <v>-</v>
          </cell>
          <cell r="AF5195">
            <v>162</v>
          </cell>
          <cell r="AG5195" t="str">
            <v>DRN80M4</v>
          </cell>
          <cell r="AH5195" t="str">
            <v>KA37T-DRN80M4B0-X</v>
          </cell>
        </row>
        <row r="5196">
          <cell r="A5196" t="str">
            <v>MR005185</v>
          </cell>
          <cell r="B5196" t="str">
            <v>MR</v>
          </cell>
          <cell r="C5196">
            <v>22</v>
          </cell>
          <cell r="D5196">
            <v>12</v>
          </cell>
          <cell r="E5196" t="str">
            <v>KH157</v>
          </cell>
          <cell r="F5196">
            <v>17400</v>
          </cell>
          <cell r="G5196">
            <v>122.39</v>
          </cell>
          <cell r="H5196">
            <v>1.1499999999999999</v>
          </cell>
          <cell r="I5196" t="str">
            <v>From M1A to M2A - 20°</v>
          </cell>
          <cell r="J5196" t="str">
            <v>IE3</v>
          </cell>
          <cell r="K5196" t="str">
            <v>240/415</v>
          </cell>
          <cell r="L5196">
            <v>50</v>
          </cell>
          <cell r="M5196" t="str">
            <v>64/37</v>
          </cell>
          <cell r="N5196">
            <v>65</v>
          </cell>
          <cell r="O5196" t="str">
            <v>155(F)</v>
          </cell>
          <cell r="P5196" t="str">
            <v>270°</v>
          </cell>
          <cell r="Q5196" t="str">
            <v>TF</v>
          </cell>
          <cell r="R5196" t="str">
            <v>V(VE)</v>
          </cell>
          <cell r="S5196" t="str">
            <v>-</v>
          </cell>
          <cell r="T5196" t="str">
            <v>-</v>
          </cell>
          <cell r="U5196" t="str">
            <v>-</v>
          </cell>
          <cell r="V5196" t="str">
            <v>FC</v>
          </cell>
          <cell r="W5196" t="str">
            <v>-</v>
          </cell>
          <cell r="X5196" t="str">
            <v>CLP 220 (-15/+40°C)</v>
          </cell>
          <cell r="Y5196" t="str">
            <v>KH157DRN180L4 /TF/V</v>
          </cell>
          <cell r="Z5196" t="str">
            <v>SEW</v>
          </cell>
          <cell r="AB5196" t="str">
            <v>-</v>
          </cell>
          <cell r="AF5196">
            <v>12</v>
          </cell>
          <cell r="AG5196" t="str">
            <v>DRN180L4</v>
          </cell>
          <cell r="AH5196" t="str">
            <v>KH157-DRN180L4A270-X#</v>
          </cell>
        </row>
        <row r="5197">
          <cell r="A5197" t="str">
            <v>MR005186</v>
          </cell>
          <cell r="B5197" t="str">
            <v>MR</v>
          </cell>
          <cell r="C5197">
            <v>22</v>
          </cell>
          <cell r="D5197">
            <v>12</v>
          </cell>
          <cell r="E5197" t="str">
            <v>KH157</v>
          </cell>
          <cell r="F5197">
            <v>17400</v>
          </cell>
          <cell r="G5197">
            <v>122.39</v>
          </cell>
          <cell r="H5197">
            <v>1.1499999999999999</v>
          </cell>
          <cell r="I5197" t="str">
            <v>From M1B to M2B - 20°</v>
          </cell>
          <cell r="J5197" t="str">
            <v>IE3</v>
          </cell>
          <cell r="K5197" t="str">
            <v>240/415</v>
          </cell>
          <cell r="L5197">
            <v>50</v>
          </cell>
          <cell r="M5197" t="str">
            <v>64/37</v>
          </cell>
          <cell r="N5197">
            <v>65</v>
          </cell>
          <cell r="O5197" t="str">
            <v>155(F)</v>
          </cell>
          <cell r="P5197" t="str">
            <v>270°</v>
          </cell>
          <cell r="Q5197" t="str">
            <v>TF</v>
          </cell>
          <cell r="R5197" t="str">
            <v>V(VE)</v>
          </cell>
          <cell r="S5197" t="str">
            <v>-</v>
          </cell>
          <cell r="T5197" t="str">
            <v>-</v>
          </cell>
          <cell r="U5197" t="str">
            <v>-</v>
          </cell>
          <cell r="V5197" t="str">
            <v>FC</v>
          </cell>
          <cell r="W5197" t="str">
            <v>-</v>
          </cell>
          <cell r="X5197" t="str">
            <v>CLP 220 (-15/+40°C)</v>
          </cell>
          <cell r="Y5197" t="str">
            <v>KH157DRN180L4 /TF/V</v>
          </cell>
          <cell r="Z5197" t="str">
            <v>SEW</v>
          </cell>
          <cell r="AB5197" t="str">
            <v>-</v>
          </cell>
          <cell r="AF5197">
            <v>12</v>
          </cell>
          <cell r="AG5197" t="str">
            <v>DRN180L4</v>
          </cell>
          <cell r="AH5197" t="str">
            <v>KH157-DRN180L4B270-X#</v>
          </cell>
        </row>
        <row r="5198">
          <cell r="A5198" t="str">
            <v>MR005187</v>
          </cell>
          <cell r="B5198" t="str">
            <v>MR</v>
          </cell>
          <cell r="C5198">
            <v>5.5</v>
          </cell>
          <cell r="D5198">
            <v>30</v>
          </cell>
          <cell r="E5198" t="str">
            <v>KA87</v>
          </cell>
          <cell r="F5198">
            <v>1760</v>
          </cell>
          <cell r="G5198">
            <v>49.16</v>
          </cell>
          <cell r="H5198">
            <v>1.55</v>
          </cell>
          <cell r="I5198" t="str">
            <v>From M1A to M4A - 35°</v>
          </cell>
          <cell r="J5198" t="str">
            <v>IE3</v>
          </cell>
          <cell r="K5198">
            <v>400</v>
          </cell>
          <cell r="L5198">
            <v>50</v>
          </cell>
          <cell r="N5198">
            <v>55</v>
          </cell>
          <cell r="O5198" t="str">
            <v>155(F)</v>
          </cell>
          <cell r="P5198" t="str">
            <v>90°</v>
          </cell>
          <cell r="Q5198" t="str">
            <v>TF</v>
          </cell>
          <cell r="R5198" t="str">
            <v>-</v>
          </cell>
          <cell r="S5198" t="str">
            <v>-</v>
          </cell>
          <cell r="T5198" t="str">
            <v>-</v>
          </cell>
          <cell r="U5198" t="str">
            <v>-</v>
          </cell>
          <cell r="V5198" t="str">
            <v>FC</v>
          </cell>
          <cell r="W5198" t="str">
            <v>-</v>
          </cell>
          <cell r="X5198" t="str">
            <v>CLP 220 (-15/+40°C)</v>
          </cell>
          <cell r="Y5198" t="str">
            <v>KA87DRN132S4 /TF</v>
          </cell>
          <cell r="Z5198" t="str">
            <v>SEW</v>
          </cell>
          <cell r="AB5198" t="str">
            <v>-</v>
          </cell>
          <cell r="AF5198">
            <v>30</v>
          </cell>
          <cell r="AG5198" t="str">
            <v>DRN132S4</v>
          </cell>
          <cell r="AH5198" t="str">
            <v>KA87-DRN132S4A90-X</v>
          </cell>
        </row>
        <row r="5199">
          <cell r="A5199" t="str">
            <v>MR005188</v>
          </cell>
          <cell r="B5199" t="str">
            <v>MR</v>
          </cell>
          <cell r="C5199">
            <v>11</v>
          </cell>
          <cell r="D5199">
            <v>15</v>
          </cell>
          <cell r="E5199" t="str">
            <v>KH107</v>
          </cell>
          <cell r="F5199">
            <v>7180</v>
          </cell>
          <cell r="G5199">
            <v>100.75</v>
          </cell>
          <cell r="H5199">
            <v>1.1000000000000001</v>
          </cell>
          <cell r="I5199" t="str">
            <v>From M1B to M4B - 50°</v>
          </cell>
          <cell r="J5199" t="str">
            <v>IE3</v>
          </cell>
          <cell r="K5199">
            <v>400</v>
          </cell>
          <cell r="L5199">
            <v>50</v>
          </cell>
          <cell r="N5199">
            <v>55</v>
          </cell>
          <cell r="O5199" t="str">
            <v>155(F)</v>
          </cell>
          <cell r="P5199" t="str">
            <v>270°</v>
          </cell>
          <cell r="Q5199" t="str">
            <v>-</v>
          </cell>
          <cell r="R5199" t="str">
            <v>-</v>
          </cell>
          <cell r="S5199" t="str">
            <v>-</v>
          </cell>
          <cell r="T5199" t="str">
            <v>-</v>
          </cell>
          <cell r="U5199" t="str">
            <v>-</v>
          </cell>
          <cell r="V5199" t="str">
            <v>FC</v>
          </cell>
          <cell r="W5199" t="str">
            <v>-</v>
          </cell>
          <cell r="X5199" t="str">
            <v>CLP 220 (-15/+40°C)</v>
          </cell>
          <cell r="Y5199" t="str">
            <v>KH107DRN160M4</v>
          </cell>
          <cell r="Z5199" t="str">
            <v>SEW</v>
          </cell>
          <cell r="AB5199" t="str">
            <v>-</v>
          </cell>
          <cell r="AF5199">
            <v>15</v>
          </cell>
          <cell r="AG5199" t="str">
            <v>DRN160M4</v>
          </cell>
          <cell r="AH5199" t="str">
            <v>KH107-DRN160M4B270-X</v>
          </cell>
        </row>
        <row r="5200">
          <cell r="A5200" t="str">
            <v>MR005189</v>
          </cell>
          <cell r="B5200" t="str">
            <v>MR</v>
          </cell>
          <cell r="C5200">
            <v>11</v>
          </cell>
          <cell r="D5200">
            <v>15</v>
          </cell>
          <cell r="E5200" t="str">
            <v>KH107</v>
          </cell>
          <cell r="F5200">
            <v>7180</v>
          </cell>
          <cell r="G5200">
            <v>100.75</v>
          </cell>
          <cell r="H5200">
            <v>1.1000000000000001</v>
          </cell>
          <cell r="I5200" t="str">
            <v>From M1A to M4A - 50°</v>
          </cell>
          <cell r="J5200" t="str">
            <v>IE3</v>
          </cell>
          <cell r="K5200">
            <v>400</v>
          </cell>
          <cell r="L5200">
            <v>50</v>
          </cell>
          <cell r="N5200">
            <v>55</v>
          </cell>
          <cell r="O5200" t="str">
            <v>155(F)</v>
          </cell>
          <cell r="P5200" t="str">
            <v>270°</v>
          </cell>
          <cell r="Q5200" t="str">
            <v>-</v>
          </cell>
          <cell r="R5200" t="str">
            <v>-</v>
          </cell>
          <cell r="S5200" t="str">
            <v>-</v>
          </cell>
          <cell r="T5200" t="str">
            <v>-</v>
          </cell>
          <cell r="U5200" t="str">
            <v>-</v>
          </cell>
          <cell r="V5200" t="str">
            <v>FC</v>
          </cell>
          <cell r="W5200" t="str">
            <v>-</v>
          </cell>
          <cell r="X5200" t="str">
            <v>CLP 220 (-15/+40°C)</v>
          </cell>
          <cell r="Y5200" t="str">
            <v>KH107DRN160M4</v>
          </cell>
          <cell r="Z5200" t="str">
            <v>SEW</v>
          </cell>
          <cell r="AB5200" t="str">
            <v>-</v>
          </cell>
          <cell r="AF5200">
            <v>15</v>
          </cell>
          <cell r="AG5200" t="str">
            <v>DRN160M4</v>
          </cell>
          <cell r="AH5200" t="str">
            <v>KH107-DRN160M4A270-X</v>
          </cell>
        </row>
        <row r="5201">
          <cell r="A5201" t="str">
            <v>MR005190</v>
          </cell>
          <cell r="B5201" t="str">
            <v>MR</v>
          </cell>
          <cell r="C5201">
            <v>0.55000000000000004</v>
          </cell>
          <cell r="D5201">
            <v>0.74</v>
          </cell>
          <cell r="E5201" t="str">
            <v>KH107R77</v>
          </cell>
          <cell r="F5201">
            <v>6170</v>
          </cell>
          <cell r="G5201">
            <v>1939</v>
          </cell>
          <cell r="H5201">
            <v>1.3</v>
          </cell>
          <cell r="I5201" t="str">
            <v>From M1A to M4A - 65°</v>
          </cell>
          <cell r="J5201" t="str">
            <v>IE3</v>
          </cell>
          <cell r="K5201">
            <v>400</v>
          </cell>
          <cell r="L5201">
            <v>50</v>
          </cell>
          <cell r="N5201">
            <v>55</v>
          </cell>
          <cell r="O5201" t="str">
            <v>155(F)</v>
          </cell>
          <cell r="P5201" t="str">
            <v>270°</v>
          </cell>
          <cell r="Q5201" t="str">
            <v>-</v>
          </cell>
          <cell r="R5201" t="str">
            <v>-</v>
          </cell>
          <cell r="S5201" t="str">
            <v>-</v>
          </cell>
          <cell r="T5201" t="str">
            <v>-</v>
          </cell>
          <cell r="U5201" t="str">
            <v>-</v>
          </cell>
          <cell r="V5201" t="str">
            <v>SS</v>
          </cell>
          <cell r="W5201" t="str">
            <v>-</v>
          </cell>
          <cell r="X5201" t="str">
            <v>CLP 220 (-15/+40°C)</v>
          </cell>
          <cell r="Y5201" t="str">
            <v>KH107R77DRN80MK4</v>
          </cell>
          <cell r="Z5201" t="str">
            <v>SEW</v>
          </cell>
          <cell r="AB5201" t="str">
            <v>-</v>
          </cell>
          <cell r="AF5201">
            <v>0.74</v>
          </cell>
          <cell r="AG5201" t="str">
            <v>DRN80MK4</v>
          </cell>
          <cell r="AH5201" t="str">
            <v>KH107R77-DRN80MK4A270-X</v>
          </cell>
        </row>
        <row r="5202">
          <cell r="A5202" t="str">
            <v>MR005191</v>
          </cell>
          <cell r="B5202" t="str">
            <v>MR</v>
          </cell>
          <cell r="C5202">
            <v>1.5</v>
          </cell>
          <cell r="D5202">
            <v>1.1000000000000001</v>
          </cell>
          <cell r="E5202" t="str">
            <v>KH127R77</v>
          </cell>
          <cell r="F5202">
            <v>12000</v>
          </cell>
          <cell r="G5202">
            <v>1342</v>
          </cell>
          <cell r="H5202">
            <v>1.1000000000000001</v>
          </cell>
          <cell r="I5202" t="str">
            <v>From M1B to M4B - 60°</v>
          </cell>
          <cell r="J5202" t="str">
            <v>IE3</v>
          </cell>
          <cell r="K5202">
            <v>400</v>
          </cell>
          <cell r="L5202">
            <v>50</v>
          </cell>
          <cell r="N5202">
            <v>55</v>
          </cell>
          <cell r="O5202" t="str">
            <v>155(F)</v>
          </cell>
          <cell r="P5202" t="str">
            <v>270°</v>
          </cell>
          <cell r="Q5202" t="str">
            <v>-</v>
          </cell>
          <cell r="R5202" t="str">
            <v>-</v>
          </cell>
          <cell r="S5202" t="str">
            <v>-</v>
          </cell>
          <cell r="T5202" t="str">
            <v>-</v>
          </cell>
          <cell r="U5202" t="str">
            <v>-</v>
          </cell>
          <cell r="V5202" t="str">
            <v>SS</v>
          </cell>
          <cell r="W5202" t="str">
            <v>-</v>
          </cell>
          <cell r="X5202" t="str">
            <v>CLP 220 (-15/+40°C)</v>
          </cell>
          <cell r="Y5202" t="str">
            <v>KH127R77DRN90L4</v>
          </cell>
          <cell r="Z5202" t="str">
            <v>SEW</v>
          </cell>
          <cell r="AB5202" t="str">
            <v>-</v>
          </cell>
          <cell r="AF5202">
            <v>1.1000000000000001</v>
          </cell>
          <cell r="AG5202" t="str">
            <v>DRN90L4</v>
          </cell>
          <cell r="AH5202" t="str">
            <v>KH127R77-DRN90L4B270-X</v>
          </cell>
        </row>
        <row r="5203">
          <cell r="A5203" t="str">
            <v>MR005192</v>
          </cell>
          <cell r="B5203" t="str">
            <v>MR</v>
          </cell>
          <cell r="C5203">
            <v>0.55000000000000004</v>
          </cell>
          <cell r="D5203">
            <v>12</v>
          </cell>
          <cell r="E5203" t="str">
            <v>R77</v>
          </cell>
          <cell r="F5203">
            <v>440</v>
          </cell>
          <cell r="G5203">
            <v>121.42</v>
          </cell>
          <cell r="H5203">
            <v>1.3</v>
          </cell>
          <cell r="I5203" t="str">
            <v>M1</v>
          </cell>
          <cell r="J5203" t="str">
            <v>IE3</v>
          </cell>
          <cell r="K5203">
            <v>400</v>
          </cell>
          <cell r="L5203">
            <v>50</v>
          </cell>
          <cell r="N5203">
            <v>55</v>
          </cell>
          <cell r="O5203" t="str">
            <v>155(F)</v>
          </cell>
          <cell r="P5203" t="str">
            <v>270°</v>
          </cell>
          <cell r="Q5203" t="str">
            <v>-</v>
          </cell>
          <cell r="R5203" t="str">
            <v>-</v>
          </cell>
          <cell r="S5203" t="str">
            <v>-</v>
          </cell>
          <cell r="T5203" t="str">
            <v>-</v>
          </cell>
          <cell r="U5203" t="str">
            <v>-</v>
          </cell>
          <cell r="V5203" t="str">
            <v>D</v>
          </cell>
          <cell r="W5203" t="str">
            <v>-</v>
          </cell>
          <cell r="X5203" t="str">
            <v>CLP 220 (-15/+40°C)</v>
          </cell>
          <cell r="Y5203" t="str">
            <v>R77DRN80MK4</v>
          </cell>
          <cell r="Z5203" t="str">
            <v>SEW</v>
          </cell>
          <cell r="AB5203" t="str">
            <v>-</v>
          </cell>
          <cell r="AF5203">
            <v>12</v>
          </cell>
          <cell r="AG5203" t="str">
            <v>DRN80MK4</v>
          </cell>
          <cell r="AH5203" t="str">
            <v>R77-DRN80MK4270-X</v>
          </cell>
        </row>
        <row r="5204">
          <cell r="A5204" t="str">
            <v>MR005193</v>
          </cell>
          <cell r="B5204" t="str">
            <v>MR</v>
          </cell>
          <cell r="C5204">
            <v>1.1000000000000001</v>
          </cell>
          <cell r="D5204">
            <v>10</v>
          </cell>
          <cell r="E5204" t="str">
            <v>FA77</v>
          </cell>
          <cell r="F5204">
            <v>1020</v>
          </cell>
          <cell r="G5204">
            <v>142.27000000000001</v>
          </cell>
          <cell r="H5204">
            <v>1.45</v>
          </cell>
          <cell r="I5204" t="str">
            <v>From M1 to M4 - 15°</v>
          </cell>
          <cell r="J5204" t="str">
            <v>IE3</v>
          </cell>
          <cell r="K5204">
            <v>400</v>
          </cell>
          <cell r="L5204">
            <v>50</v>
          </cell>
          <cell r="N5204">
            <v>55</v>
          </cell>
          <cell r="O5204" t="str">
            <v>155(F)</v>
          </cell>
          <cell r="P5204" t="str">
            <v>270°</v>
          </cell>
          <cell r="Q5204" t="str">
            <v>-</v>
          </cell>
          <cell r="R5204" t="str">
            <v>-</v>
          </cell>
          <cell r="S5204" t="str">
            <v>-</v>
          </cell>
          <cell r="T5204" t="str">
            <v>-</v>
          </cell>
          <cell r="U5204" t="str">
            <v>-</v>
          </cell>
          <cell r="V5204" t="str">
            <v>D</v>
          </cell>
          <cell r="W5204" t="str">
            <v>-</v>
          </cell>
          <cell r="X5204" t="str">
            <v>CLP 220 (-15/+40°C)</v>
          </cell>
          <cell r="Y5204" t="str">
            <v>FA77DRN90S4</v>
          </cell>
          <cell r="Z5204" t="str">
            <v>SEW</v>
          </cell>
          <cell r="AB5204" t="str">
            <v>-</v>
          </cell>
          <cell r="AF5204">
            <v>10</v>
          </cell>
          <cell r="AG5204" t="str">
            <v>DRN90S4</v>
          </cell>
          <cell r="AH5204" t="str">
            <v>FA77-DRN90S4270-X</v>
          </cell>
        </row>
        <row r="5205">
          <cell r="A5205" t="str">
            <v>MR005194</v>
          </cell>
          <cell r="B5205" t="str">
            <v>MR</v>
          </cell>
          <cell r="C5205">
            <v>1.5</v>
          </cell>
          <cell r="D5205">
            <v>7.8</v>
          </cell>
          <cell r="E5205" t="str">
            <v>R97</v>
          </cell>
          <cell r="F5205">
            <v>1830</v>
          </cell>
          <cell r="G5205">
            <v>186.3</v>
          </cell>
          <cell r="H5205">
            <v>1.65</v>
          </cell>
          <cell r="I5205" t="str">
            <v>M4</v>
          </cell>
          <cell r="J5205" t="str">
            <v>IE3</v>
          </cell>
          <cell r="K5205">
            <v>380</v>
          </cell>
          <cell r="L5205">
            <v>50</v>
          </cell>
          <cell r="M5205">
            <v>3.5</v>
          </cell>
          <cell r="N5205">
            <v>65</v>
          </cell>
          <cell r="O5205" t="str">
            <v>155(F)</v>
          </cell>
          <cell r="P5205" t="str">
            <v>270°</v>
          </cell>
          <cell r="Q5205" t="str">
            <v>TF</v>
          </cell>
          <cell r="R5205" t="str">
            <v>-</v>
          </cell>
          <cell r="V5205" t="str">
            <v>FC+R</v>
          </cell>
          <cell r="X5205" t="str">
            <v>CLP HC 220 (-25/+60°C)</v>
          </cell>
          <cell r="Y5205" t="str">
            <v>R97EDRE90L4-TF-ENC.EK8C(HTL)</v>
          </cell>
          <cell r="Z5205" t="str">
            <v>SEW</v>
          </cell>
          <cell r="AB5205" t="str">
            <v>ATEX22</v>
          </cell>
          <cell r="AC5205" t="str">
            <v>EK8C</v>
          </cell>
          <cell r="AF5205">
            <v>7.8</v>
          </cell>
          <cell r="AG5205" t="str">
            <v>EDRN90L4</v>
          </cell>
          <cell r="AH5205" t="str">
            <v>R97-EDRN90L4270-X</v>
          </cell>
        </row>
        <row r="5206">
          <cell r="A5206" t="str">
            <v>MR005195</v>
          </cell>
          <cell r="B5206" t="str">
            <v>MR</v>
          </cell>
          <cell r="C5206">
            <v>7.5</v>
          </cell>
          <cell r="D5206">
            <v>51</v>
          </cell>
          <cell r="E5206" t="str">
            <v>FH87</v>
          </cell>
          <cell r="F5206">
            <v>1400</v>
          </cell>
          <cell r="G5206">
            <v>28.78</v>
          </cell>
          <cell r="H5206">
            <v>1.75</v>
          </cell>
          <cell r="I5206" t="str">
            <v>M1</v>
          </cell>
          <cell r="J5206" t="str">
            <v>IE3</v>
          </cell>
          <cell r="K5206">
            <v>380</v>
          </cell>
          <cell r="L5206">
            <v>50</v>
          </cell>
          <cell r="M5206">
            <v>15.7</v>
          </cell>
          <cell r="N5206">
            <v>65</v>
          </cell>
          <cell r="O5206" t="str">
            <v>155(F)</v>
          </cell>
          <cell r="P5206" t="str">
            <v>0°</v>
          </cell>
          <cell r="Q5206" t="str">
            <v>TF</v>
          </cell>
          <cell r="R5206" t="str">
            <v>-</v>
          </cell>
          <cell r="S5206" t="str">
            <v>-</v>
          </cell>
          <cell r="T5206" t="str">
            <v>-</v>
          </cell>
          <cell r="U5206" t="str">
            <v>G</v>
          </cell>
          <cell r="V5206" t="str">
            <v>D</v>
          </cell>
          <cell r="W5206" t="str">
            <v>-</v>
          </cell>
          <cell r="X5206" t="str">
            <v>CLP HC 220 (-25/+60°C)</v>
          </cell>
          <cell r="Y5206" t="str">
            <v>FH87/G EDRN132M4 /TF</v>
          </cell>
          <cell r="Z5206" t="str">
            <v>SEW</v>
          </cell>
          <cell r="AB5206" t="str">
            <v>ATEX22</v>
          </cell>
          <cell r="AF5206">
            <v>51</v>
          </cell>
          <cell r="AG5206" t="str">
            <v>EDRN132M4</v>
          </cell>
          <cell r="AH5206" t="str">
            <v>FH87G-EDRN132M40-X</v>
          </cell>
        </row>
        <row r="5207">
          <cell r="A5207" t="str">
            <v>MR005196</v>
          </cell>
          <cell r="B5207" t="str">
            <v>MR</v>
          </cell>
          <cell r="C5207">
            <v>7.5</v>
          </cell>
          <cell r="D5207">
            <v>51</v>
          </cell>
          <cell r="E5207" t="str">
            <v>FH87</v>
          </cell>
          <cell r="F5207">
            <v>1400</v>
          </cell>
          <cell r="G5207">
            <v>28.78</v>
          </cell>
          <cell r="H5207">
            <v>1.75</v>
          </cell>
          <cell r="I5207" t="str">
            <v>M1</v>
          </cell>
          <cell r="J5207" t="str">
            <v>IE3</v>
          </cell>
          <cell r="K5207">
            <v>380</v>
          </cell>
          <cell r="L5207">
            <v>50</v>
          </cell>
          <cell r="M5207">
            <v>15.7</v>
          </cell>
          <cell r="N5207">
            <v>65</v>
          </cell>
          <cell r="O5207" t="str">
            <v>155(F)</v>
          </cell>
          <cell r="P5207" t="str">
            <v>180°</v>
          </cell>
          <cell r="Q5207" t="str">
            <v>TF</v>
          </cell>
          <cell r="R5207" t="str">
            <v>-</v>
          </cell>
          <cell r="S5207" t="str">
            <v>-</v>
          </cell>
          <cell r="T5207" t="str">
            <v>-</v>
          </cell>
          <cell r="U5207" t="str">
            <v>G</v>
          </cell>
          <cell r="V5207" t="str">
            <v>D</v>
          </cell>
          <cell r="W5207" t="str">
            <v>-</v>
          </cell>
          <cell r="X5207" t="str">
            <v>CLP HC 220 (-25/+60°C)</v>
          </cell>
          <cell r="Y5207" t="str">
            <v>FH87/G EDRN132M4 /TF</v>
          </cell>
          <cell r="Z5207" t="str">
            <v>SEW</v>
          </cell>
          <cell r="AB5207" t="str">
            <v>ATEX22</v>
          </cell>
          <cell r="AF5207">
            <v>51</v>
          </cell>
          <cell r="AG5207" t="str">
            <v>EDRN132M4</v>
          </cell>
          <cell r="AH5207" t="str">
            <v>FH87G-EDRN132M4180-X</v>
          </cell>
        </row>
        <row r="5208">
          <cell r="A5208" t="str">
            <v>MR005197</v>
          </cell>
          <cell r="B5208" t="str">
            <v>MR</v>
          </cell>
          <cell r="C5208">
            <v>5.5</v>
          </cell>
          <cell r="D5208">
            <v>42</v>
          </cell>
          <cell r="E5208" t="str">
            <v>FH87</v>
          </cell>
          <cell r="F5208">
            <v>1270</v>
          </cell>
          <cell r="G5208">
            <v>35.19</v>
          </cell>
          <cell r="H5208">
            <v>1.55</v>
          </cell>
          <cell r="I5208" t="str">
            <v>M1</v>
          </cell>
          <cell r="J5208" t="str">
            <v>IE3</v>
          </cell>
          <cell r="K5208">
            <v>380</v>
          </cell>
          <cell r="L5208">
            <v>50</v>
          </cell>
          <cell r="M5208">
            <v>10.8</v>
          </cell>
          <cell r="N5208">
            <v>65</v>
          </cell>
          <cell r="O5208" t="str">
            <v>155(F)</v>
          </cell>
          <cell r="P5208" t="str">
            <v>0°</v>
          </cell>
          <cell r="Q5208" t="str">
            <v>TF</v>
          </cell>
          <cell r="R5208" t="str">
            <v>-</v>
          </cell>
          <cell r="S5208" t="str">
            <v>-</v>
          </cell>
          <cell r="T5208" t="str">
            <v>-</v>
          </cell>
          <cell r="U5208" t="str">
            <v>G</v>
          </cell>
          <cell r="V5208" t="str">
            <v>D</v>
          </cell>
          <cell r="W5208" t="str">
            <v>-</v>
          </cell>
          <cell r="X5208" t="str">
            <v>CLP HC 220 (-25/+60°C)</v>
          </cell>
          <cell r="Y5208" t="str">
            <v>FH87/G EDRN132S4 /TF</v>
          </cell>
          <cell r="Z5208" t="str">
            <v>SEW</v>
          </cell>
          <cell r="AB5208" t="str">
            <v>ATEX22</v>
          </cell>
          <cell r="AF5208">
            <v>42</v>
          </cell>
          <cell r="AG5208" t="str">
            <v>EDRN132S4</v>
          </cell>
          <cell r="AH5208" t="str">
            <v>FH87G-EDRN132S40-X</v>
          </cell>
        </row>
        <row r="5209">
          <cell r="A5209" t="str">
            <v>MR005198</v>
          </cell>
          <cell r="B5209" t="str">
            <v>MR</v>
          </cell>
          <cell r="C5209">
            <v>5.5</v>
          </cell>
          <cell r="D5209">
            <v>42</v>
          </cell>
          <cell r="E5209" t="str">
            <v>FH87</v>
          </cell>
          <cell r="F5209">
            <v>1270</v>
          </cell>
          <cell r="G5209">
            <v>35.19</v>
          </cell>
          <cell r="H5209">
            <v>1.55</v>
          </cell>
          <cell r="I5209" t="str">
            <v>M1</v>
          </cell>
          <cell r="J5209" t="str">
            <v>IE3</v>
          </cell>
          <cell r="K5209">
            <v>380</v>
          </cell>
          <cell r="L5209">
            <v>50</v>
          </cell>
          <cell r="M5209">
            <v>10.8</v>
          </cell>
          <cell r="N5209">
            <v>65</v>
          </cell>
          <cell r="O5209" t="str">
            <v>155(F)</v>
          </cell>
          <cell r="P5209" t="str">
            <v>180°</v>
          </cell>
          <cell r="Q5209" t="str">
            <v>TF</v>
          </cell>
          <cell r="R5209" t="str">
            <v>-</v>
          </cell>
          <cell r="S5209" t="str">
            <v>-</v>
          </cell>
          <cell r="T5209" t="str">
            <v>-</v>
          </cell>
          <cell r="U5209" t="str">
            <v>G</v>
          </cell>
          <cell r="V5209" t="str">
            <v>D</v>
          </cell>
          <cell r="W5209" t="str">
            <v>-</v>
          </cell>
          <cell r="X5209" t="str">
            <v>CLP HC 220 (-25/+60°C)</v>
          </cell>
          <cell r="Y5209" t="str">
            <v>FH87/G EDRN132S4 /TF</v>
          </cell>
          <cell r="Z5209" t="str">
            <v>SEW</v>
          </cell>
          <cell r="AB5209" t="str">
            <v>ATEX22</v>
          </cell>
          <cell r="AF5209">
            <v>42</v>
          </cell>
          <cell r="AG5209" t="str">
            <v>EDRN132S4</v>
          </cell>
          <cell r="AH5209" t="str">
            <v>FH87G-EDRN132S4180-X</v>
          </cell>
        </row>
        <row r="5210">
          <cell r="A5210" t="str">
            <v>MR005199</v>
          </cell>
          <cell r="B5210" t="str">
            <v>MR</v>
          </cell>
          <cell r="C5210">
            <v>4</v>
          </cell>
          <cell r="D5210">
            <v>40.83</v>
          </cell>
          <cell r="E5210" t="str">
            <v>-</v>
          </cell>
          <cell r="F5210">
            <v>777</v>
          </cell>
          <cell r="G5210">
            <v>35.61</v>
          </cell>
          <cell r="H5210">
            <v>2</v>
          </cell>
          <cell r="I5210" t="str">
            <v>M4</v>
          </cell>
          <cell r="J5210" t="str">
            <v>IE3</v>
          </cell>
          <cell r="K5210">
            <v>460</v>
          </cell>
          <cell r="L5210">
            <v>60</v>
          </cell>
          <cell r="M5210">
            <v>6.85</v>
          </cell>
          <cell r="N5210">
            <v>55</v>
          </cell>
          <cell r="O5210" t="str">
            <v>155(F)</v>
          </cell>
          <cell r="P5210" t="str">
            <v>-</v>
          </cell>
          <cell r="Q5210" t="str">
            <v>TF</v>
          </cell>
          <cell r="R5210" t="str">
            <v>-</v>
          </cell>
          <cell r="S5210" t="str">
            <v>-</v>
          </cell>
          <cell r="T5210" t="str">
            <v>-</v>
          </cell>
          <cell r="U5210" t="str">
            <v>T</v>
          </cell>
          <cell r="V5210" t="str">
            <v>-</v>
          </cell>
          <cell r="W5210" t="str">
            <v>-</v>
          </cell>
          <cell r="X5210" t="str">
            <v>CLP 220 (-15/+40°C)</v>
          </cell>
          <cell r="Y5210" t="str">
            <v>SK9032.1AXZB-112MP_4TFRD</v>
          </cell>
          <cell r="Z5210" t="str">
            <v>NORD</v>
          </cell>
          <cell r="AB5210" t="str">
            <v>-</v>
          </cell>
          <cell r="AF5210">
            <v>48.995999999999995</v>
          </cell>
          <cell r="AI5210" t="str">
            <v>Codici NORD srl per ARCEMI</v>
          </cell>
        </row>
        <row r="5211">
          <cell r="A5211" t="str">
            <v>MR005200</v>
          </cell>
          <cell r="B5211" t="str">
            <v>MR</v>
          </cell>
          <cell r="C5211">
            <v>15</v>
          </cell>
          <cell r="D5211">
            <v>40.83</v>
          </cell>
          <cell r="E5211" t="str">
            <v>-</v>
          </cell>
          <cell r="F5211">
            <v>2933</v>
          </cell>
          <cell r="G5211">
            <v>36.340000000000003</v>
          </cell>
          <cell r="H5211">
            <v>1.6</v>
          </cell>
          <cell r="I5211" t="str">
            <v>M1</v>
          </cell>
          <cell r="J5211" t="str">
            <v>IE3</v>
          </cell>
          <cell r="K5211">
            <v>460</v>
          </cell>
          <cell r="L5211">
            <v>60</v>
          </cell>
          <cell r="M5211">
            <v>23.8</v>
          </cell>
          <cell r="N5211">
            <v>55</v>
          </cell>
          <cell r="O5211" t="str">
            <v>155(F)</v>
          </cell>
          <cell r="P5211" t="str">
            <v>-</v>
          </cell>
          <cell r="Q5211" t="str">
            <v>TF</v>
          </cell>
          <cell r="R5211" t="str">
            <v>-</v>
          </cell>
          <cell r="S5211" t="str">
            <v>-</v>
          </cell>
          <cell r="T5211" t="str">
            <v>-</v>
          </cell>
          <cell r="U5211" t="str">
            <v>G</v>
          </cell>
          <cell r="V5211" t="str">
            <v>-</v>
          </cell>
          <cell r="W5211" t="str">
            <v>-</v>
          </cell>
          <cell r="X5211" t="str">
            <v>CLP 220 (-15/+40°C)</v>
          </cell>
          <cell r="Y5211" t="str">
            <v>SK6382AZBG-160LP_4TF</v>
          </cell>
          <cell r="Z5211" t="str">
            <v>NORD</v>
          </cell>
          <cell r="AB5211" t="str">
            <v>-</v>
          </cell>
          <cell r="AF5211">
            <v>48.995999999999995</v>
          </cell>
          <cell r="AI5211" t="str">
            <v>Codici NORD srl per ARCEMI</v>
          </cell>
        </row>
        <row r="5212">
          <cell r="A5212" t="str">
            <v>MR005201</v>
          </cell>
          <cell r="B5212" t="str">
            <v>MR</v>
          </cell>
          <cell r="C5212">
            <v>7.5</v>
          </cell>
          <cell r="D5212">
            <v>41.67</v>
          </cell>
          <cell r="E5212" t="str">
            <v>-</v>
          </cell>
          <cell r="F5212">
            <v>1445</v>
          </cell>
          <cell r="G5212">
            <v>35.61</v>
          </cell>
          <cell r="H5212">
            <v>1.1000000000000001</v>
          </cell>
          <cell r="I5212" t="str">
            <v>M4</v>
          </cell>
          <cell r="J5212" t="str">
            <v>IE3</v>
          </cell>
          <cell r="K5212">
            <v>460</v>
          </cell>
          <cell r="L5212">
            <v>60</v>
          </cell>
          <cell r="M5212">
            <v>13.4</v>
          </cell>
          <cell r="N5212">
            <v>55</v>
          </cell>
          <cell r="O5212" t="str">
            <v>155(F)</v>
          </cell>
          <cell r="P5212" t="str">
            <v>-</v>
          </cell>
          <cell r="Q5212" t="str">
            <v>TF</v>
          </cell>
          <cell r="R5212" t="str">
            <v>-</v>
          </cell>
          <cell r="S5212" t="str">
            <v>-</v>
          </cell>
          <cell r="T5212" t="str">
            <v>-</v>
          </cell>
          <cell r="U5212" t="str">
            <v>T</v>
          </cell>
          <cell r="V5212" t="str">
            <v>-</v>
          </cell>
          <cell r="W5212" t="str">
            <v>-</v>
          </cell>
          <cell r="X5212" t="str">
            <v>CLP 220 (-15/+40°C)</v>
          </cell>
          <cell r="Y5212" t="str">
            <v>SK9032.1AXZB-132MP_4TFRD</v>
          </cell>
          <cell r="Z5212" t="str">
            <v>NORD</v>
          </cell>
          <cell r="AB5212" t="str">
            <v>-</v>
          </cell>
          <cell r="AF5212">
            <v>50.004000000000005</v>
          </cell>
          <cell r="AI5212" t="str">
            <v>Codici NORD srl per ARCEMI</v>
          </cell>
        </row>
        <row r="5213">
          <cell r="A5213" t="str">
            <v>MR005202</v>
          </cell>
          <cell r="B5213" t="str">
            <v>MR</v>
          </cell>
          <cell r="C5213">
            <v>5.5</v>
          </cell>
          <cell r="D5213">
            <v>41.67</v>
          </cell>
          <cell r="E5213" t="str">
            <v>-</v>
          </cell>
          <cell r="F5213">
            <v>1057</v>
          </cell>
          <cell r="G5213">
            <v>35.61</v>
          </cell>
          <cell r="H5213">
            <v>1.5</v>
          </cell>
          <cell r="I5213" t="str">
            <v>M4</v>
          </cell>
          <cell r="J5213" t="str">
            <v>IE3</v>
          </cell>
          <cell r="K5213">
            <v>460</v>
          </cell>
          <cell r="L5213">
            <v>60</v>
          </cell>
          <cell r="M5213">
            <v>9.75</v>
          </cell>
          <cell r="N5213">
            <v>55</v>
          </cell>
          <cell r="O5213" t="str">
            <v>155(F)</v>
          </cell>
          <cell r="P5213" t="str">
            <v>-</v>
          </cell>
          <cell r="Q5213" t="str">
            <v>TF</v>
          </cell>
          <cell r="R5213" t="str">
            <v>-</v>
          </cell>
          <cell r="S5213" t="str">
            <v>-</v>
          </cell>
          <cell r="T5213" t="str">
            <v>-</v>
          </cell>
          <cell r="U5213" t="str">
            <v>T</v>
          </cell>
          <cell r="V5213" t="str">
            <v>-</v>
          </cell>
          <cell r="W5213" t="str">
            <v>-</v>
          </cell>
          <cell r="X5213" t="str">
            <v>CLP 220 (-15/+40°C)</v>
          </cell>
          <cell r="Y5213" t="str">
            <v>SK9032.1AXZB-132SP_4TFRD</v>
          </cell>
          <cell r="Z5213" t="str">
            <v>NORD</v>
          </cell>
          <cell r="AB5213" t="str">
            <v>-</v>
          </cell>
          <cell r="AF5213">
            <v>50.004000000000005</v>
          </cell>
          <cell r="AI5213" t="str">
            <v>Codici NORD srl per ARCEMI</v>
          </cell>
        </row>
        <row r="5214">
          <cell r="A5214" t="str">
            <v>MR005203</v>
          </cell>
          <cell r="B5214" t="str">
            <v>MR</v>
          </cell>
          <cell r="C5214">
            <v>15</v>
          </cell>
          <cell r="D5214">
            <v>20.83</v>
          </cell>
          <cell r="E5214" t="str">
            <v>-</v>
          </cell>
          <cell r="F5214">
            <v>5668</v>
          </cell>
          <cell r="G5214">
            <v>70.239999999999995</v>
          </cell>
          <cell r="H5214">
            <v>1.6</v>
          </cell>
          <cell r="I5214" t="str">
            <v>M1</v>
          </cell>
          <cell r="J5214" t="str">
            <v>IE3</v>
          </cell>
          <cell r="K5214">
            <v>460</v>
          </cell>
          <cell r="L5214">
            <v>60</v>
          </cell>
          <cell r="M5214">
            <v>23.8</v>
          </cell>
          <cell r="N5214">
            <v>55</v>
          </cell>
          <cell r="O5214" t="str">
            <v>155(F)</v>
          </cell>
          <cell r="P5214" t="str">
            <v>-</v>
          </cell>
          <cell r="Q5214" t="str">
            <v>TF</v>
          </cell>
          <cell r="R5214" t="str">
            <v>-</v>
          </cell>
          <cell r="S5214" t="str">
            <v>-</v>
          </cell>
          <cell r="T5214" t="str">
            <v>-</v>
          </cell>
          <cell r="U5214" t="str">
            <v>-</v>
          </cell>
          <cell r="V5214" t="str">
            <v>-</v>
          </cell>
          <cell r="W5214" t="str">
            <v>-</v>
          </cell>
          <cell r="X5214" t="str">
            <v>CLP 220 (-15/+40°C)</v>
          </cell>
          <cell r="Y5214" t="str">
            <v>SK83-160LP_4TF</v>
          </cell>
          <cell r="Z5214" t="str">
            <v>NORD</v>
          </cell>
          <cell r="AB5214" t="str">
            <v>-</v>
          </cell>
          <cell r="AF5214">
            <v>24.995999999999999</v>
          </cell>
          <cell r="AI5214" t="str">
            <v>Codici NORD srl per ARCEMI</v>
          </cell>
        </row>
        <row r="5215">
          <cell r="A5215" t="str">
            <v>MR005204</v>
          </cell>
          <cell r="B5215" t="str">
            <v>ME</v>
          </cell>
          <cell r="C5215">
            <v>0.75</v>
          </cell>
          <cell r="D5215">
            <v>1430</v>
          </cell>
          <cell r="E5215" t="str">
            <v xml:space="preserve">FT3A 80 </v>
          </cell>
          <cell r="F5215">
            <v>5</v>
          </cell>
          <cell r="G5215" t="str">
            <v>-</v>
          </cell>
          <cell r="H5215" t="str">
            <v>-</v>
          </cell>
          <cell r="I5215" t="str">
            <v>B5</v>
          </cell>
          <cell r="J5215" t="str">
            <v>IE3</v>
          </cell>
          <cell r="K5215" t="str">
            <v>230/400</v>
          </cell>
          <cell r="L5215">
            <v>50</v>
          </cell>
          <cell r="M5215">
            <v>1.8</v>
          </cell>
          <cell r="N5215">
            <v>65</v>
          </cell>
          <cell r="O5215" t="str">
            <v>155(F)</v>
          </cell>
          <cell r="P5215" t="str">
            <v>0°</v>
          </cell>
          <cell r="Q5215" t="str">
            <v>-</v>
          </cell>
          <cell r="R5215" t="str">
            <v>-</v>
          </cell>
          <cell r="S5215" t="str">
            <v>-</v>
          </cell>
          <cell r="T5215" t="str">
            <v>-</v>
          </cell>
          <cell r="U5215" t="str">
            <v>-</v>
          </cell>
          <cell r="V5215" t="str">
            <v>D</v>
          </cell>
          <cell r="W5215" t="str">
            <v>-</v>
          </cell>
          <cell r="X5215" t="str">
            <v>-</v>
          </cell>
          <cell r="Y5215" t="str">
            <v>FT3A 80 DRN80M4</v>
          </cell>
          <cell r="Z5215" t="str">
            <v>ELECTRO ADDA</v>
          </cell>
          <cell r="AA5215" t="str">
            <v>RAL 7000</v>
          </cell>
          <cell r="AB5215" t="str">
            <v>-</v>
          </cell>
          <cell r="AF5215">
            <v>1430</v>
          </cell>
          <cell r="AG5215" t="str">
            <v>DRN80M4</v>
          </cell>
          <cell r="AH5215" t="str">
            <v>FT3A 80 -DRN80M4B0-X</v>
          </cell>
        </row>
        <row r="5216">
          <cell r="A5216" t="str">
            <v>MR005205</v>
          </cell>
          <cell r="B5216" t="str">
            <v>MR</v>
          </cell>
          <cell r="C5216">
            <v>1.1000000000000001</v>
          </cell>
          <cell r="D5216">
            <v>6.4</v>
          </cell>
          <cell r="E5216" t="str">
            <v>FH87</v>
          </cell>
          <cell r="F5216">
            <v>1650</v>
          </cell>
          <cell r="G5216">
            <v>228.93</v>
          </cell>
          <cell r="H5216">
            <v>1.8</v>
          </cell>
          <cell r="I5216" t="str">
            <v>From M6 to M3 - 30°</v>
          </cell>
          <cell r="J5216" t="str">
            <v>IE3</v>
          </cell>
          <cell r="K5216" t="str">
            <v>230/400</v>
          </cell>
          <cell r="L5216">
            <v>50</v>
          </cell>
          <cell r="M5216" t="str">
            <v>4,45 / 2,55</v>
          </cell>
          <cell r="N5216">
            <v>55</v>
          </cell>
          <cell r="O5216" t="str">
            <v>155(F)</v>
          </cell>
          <cell r="P5216" t="str">
            <v>270°</v>
          </cell>
          <cell r="Q5216" t="str">
            <v>TF</v>
          </cell>
          <cell r="R5216" t="str">
            <v>-</v>
          </cell>
          <cell r="S5216" t="str">
            <v>-</v>
          </cell>
          <cell r="T5216" t="str">
            <v>-</v>
          </cell>
          <cell r="U5216" t="str">
            <v>G</v>
          </cell>
          <cell r="V5216" t="str">
            <v>D</v>
          </cell>
          <cell r="W5216" t="str">
            <v>-</v>
          </cell>
          <cell r="X5216" t="str">
            <v>CLP HC 150 (-30/+50°C)</v>
          </cell>
          <cell r="Y5216" t="str">
            <v>FH87/G DRN90S4 /TF</v>
          </cell>
          <cell r="AB5216" t="str">
            <v>-</v>
          </cell>
          <cell r="AF5216">
            <v>6.4</v>
          </cell>
          <cell r="AG5216" t="str">
            <v>DRN90S4</v>
          </cell>
          <cell r="AH5216" t="str">
            <v>FH87G-DRN90S4270-X</v>
          </cell>
        </row>
        <row r="5217">
          <cell r="A5217" t="str">
            <v>MR005206</v>
          </cell>
          <cell r="B5217" t="str">
            <v>MR</v>
          </cell>
          <cell r="C5217">
            <v>1.1000000000000001</v>
          </cell>
          <cell r="D5217">
            <v>6.4</v>
          </cell>
          <cell r="E5217" t="str">
            <v>FH87</v>
          </cell>
          <cell r="F5217">
            <v>1650</v>
          </cell>
          <cell r="G5217">
            <v>228.93</v>
          </cell>
          <cell r="H5217">
            <v>1.8</v>
          </cell>
          <cell r="I5217" t="str">
            <v>From M6 to M3 - 15°</v>
          </cell>
          <cell r="J5217" t="str">
            <v>IE3</v>
          </cell>
          <cell r="K5217" t="str">
            <v>230/400</v>
          </cell>
          <cell r="L5217">
            <v>50</v>
          </cell>
          <cell r="M5217" t="str">
            <v>4,45 / 2,55</v>
          </cell>
          <cell r="N5217">
            <v>55</v>
          </cell>
          <cell r="O5217" t="str">
            <v>155(F)</v>
          </cell>
          <cell r="P5217" t="str">
            <v>270°</v>
          </cell>
          <cell r="Q5217" t="str">
            <v>TF</v>
          </cell>
          <cell r="R5217" t="str">
            <v>-</v>
          </cell>
          <cell r="S5217" t="str">
            <v>-</v>
          </cell>
          <cell r="T5217" t="str">
            <v>-</v>
          </cell>
          <cell r="U5217" t="str">
            <v>G</v>
          </cell>
          <cell r="V5217" t="str">
            <v>D</v>
          </cell>
          <cell r="W5217" t="str">
            <v>-</v>
          </cell>
          <cell r="X5217" t="str">
            <v>CLP HC 150 (-30/+50°C)</v>
          </cell>
          <cell r="Y5217" t="str">
            <v>FH87/G DRN90S4 /TF</v>
          </cell>
          <cell r="AB5217" t="str">
            <v>-</v>
          </cell>
          <cell r="AF5217">
            <v>6.4</v>
          </cell>
          <cell r="AG5217" t="str">
            <v>DRN90S4</v>
          </cell>
          <cell r="AH5217" t="str">
            <v>FH87G-DRN90S4270-X</v>
          </cell>
        </row>
        <row r="5218">
          <cell r="A5218" t="str">
            <v>MR005207</v>
          </cell>
          <cell r="B5218" t="str">
            <v>MR</v>
          </cell>
          <cell r="C5218">
            <v>18.5</v>
          </cell>
          <cell r="D5218">
            <v>48</v>
          </cell>
          <cell r="E5218" t="str">
            <v>KH97</v>
          </cell>
          <cell r="F5218">
            <v>3680</v>
          </cell>
          <cell r="G5218">
            <v>30.82</v>
          </cell>
          <cell r="H5218">
            <v>1.1499999999999999</v>
          </cell>
          <cell r="I5218" t="str">
            <v xml:space="preserve"> From M4A to M1A - 20°</v>
          </cell>
          <cell r="J5218" t="str">
            <v>IE3</v>
          </cell>
          <cell r="K5218" t="str">
            <v>400/690</v>
          </cell>
          <cell r="L5218">
            <v>50</v>
          </cell>
          <cell r="M5218" t="str">
            <v>33,5/19,3</v>
          </cell>
          <cell r="N5218">
            <v>65</v>
          </cell>
          <cell r="O5218" t="str">
            <v>155(F)</v>
          </cell>
          <cell r="P5218" t="str">
            <v>270°</v>
          </cell>
          <cell r="Q5218" t="str">
            <v>TF</v>
          </cell>
          <cell r="R5218" t="str">
            <v>-</v>
          </cell>
          <cell r="S5218" t="str">
            <v>Free rotation CCW</v>
          </cell>
          <cell r="T5218" t="str">
            <v>-</v>
          </cell>
          <cell r="U5218" t="str">
            <v>T</v>
          </cell>
          <cell r="V5218" t="str">
            <v>SS</v>
          </cell>
          <cell r="W5218" t="str">
            <v>-</v>
          </cell>
          <cell r="X5218" t="str">
            <v>CLP 220 (-15/+40°C)</v>
          </cell>
          <cell r="Y5218" t="str">
            <v>KH97/T DRN180M4 /RS /TF</v>
          </cell>
          <cell r="Z5218" t="str">
            <v>SEW</v>
          </cell>
          <cell r="AB5218" t="str">
            <v>-</v>
          </cell>
          <cell r="AF5218">
            <v>48</v>
          </cell>
          <cell r="AG5218" t="str">
            <v>DRN180M4</v>
          </cell>
          <cell r="AH5218" t="str">
            <v>KH97T-DRN180M4A270-X</v>
          </cell>
        </row>
        <row r="5219">
          <cell r="A5219" t="str">
            <v>MR005208</v>
          </cell>
          <cell r="B5219" t="str">
            <v>MR</v>
          </cell>
          <cell r="C5219">
            <v>4</v>
          </cell>
          <cell r="D5219">
            <v>96</v>
          </cell>
          <cell r="E5219" t="str">
            <v>SA77</v>
          </cell>
          <cell r="F5219">
            <v>370</v>
          </cell>
          <cell r="G5219">
            <v>15.28</v>
          </cell>
          <cell r="H5219">
            <v>1.95</v>
          </cell>
          <cell r="I5219" t="str">
            <v>M1A</v>
          </cell>
          <cell r="J5219" t="str">
            <v>IE3</v>
          </cell>
          <cell r="K5219" t="str">
            <v>230/400</v>
          </cell>
          <cell r="L5219">
            <v>50</v>
          </cell>
          <cell r="M5219" t="str">
            <v>13,8/7,9</v>
          </cell>
          <cell r="N5219">
            <v>65</v>
          </cell>
          <cell r="O5219" t="str">
            <v>155(F)</v>
          </cell>
          <cell r="P5219" t="str">
            <v>180°</v>
          </cell>
          <cell r="Q5219" t="str">
            <v>TF</v>
          </cell>
          <cell r="R5219" t="str">
            <v>-</v>
          </cell>
          <cell r="S5219" t="str">
            <v>-</v>
          </cell>
          <cell r="V5219" t="str">
            <v>D</v>
          </cell>
          <cell r="X5219" t="str">
            <v>CLP 220 (-15/+40°C)</v>
          </cell>
          <cell r="Y5219" t="str">
            <v>SA77/ DRN112M4 / /TF</v>
          </cell>
          <cell r="Z5219" t="str">
            <v>SEW</v>
          </cell>
          <cell r="AB5219" t="str">
            <v>-</v>
          </cell>
          <cell r="AF5219">
            <v>96</v>
          </cell>
          <cell r="AG5219" t="str">
            <v>DRN112M4</v>
          </cell>
          <cell r="AH5219" t="str">
            <v>SA77-DRN112M4A180-X</v>
          </cell>
        </row>
        <row r="5220">
          <cell r="A5220" t="str">
            <v>MR005209</v>
          </cell>
          <cell r="B5220" t="str">
            <v>MR</v>
          </cell>
          <cell r="C5220">
            <v>30</v>
          </cell>
          <cell r="D5220">
            <v>37</v>
          </cell>
          <cell r="E5220" t="str">
            <v>KH127</v>
          </cell>
          <cell r="F5220">
            <v>7770</v>
          </cell>
          <cell r="G5220">
            <v>40.19</v>
          </cell>
          <cell r="H5220">
            <v>1.65</v>
          </cell>
          <cell r="I5220" t="str">
            <v>M4A</v>
          </cell>
          <cell r="J5220" t="str">
            <v>IE3</v>
          </cell>
          <cell r="K5220" t="str">
            <v>400/690</v>
          </cell>
          <cell r="L5220">
            <v>50</v>
          </cell>
          <cell r="M5220" t="str">
            <v>56/32,5</v>
          </cell>
          <cell r="N5220">
            <v>65</v>
          </cell>
          <cell r="O5220" t="str">
            <v>155(F)</v>
          </cell>
          <cell r="P5220" t="str">
            <v>270°</v>
          </cell>
          <cell r="Q5220" t="str">
            <v>TF</v>
          </cell>
          <cell r="R5220" t="str">
            <v>-</v>
          </cell>
          <cell r="S5220" t="str">
            <v>Free rotation CCW</v>
          </cell>
          <cell r="T5220" t="str">
            <v>-</v>
          </cell>
          <cell r="U5220" t="str">
            <v>T</v>
          </cell>
          <cell r="V5220" t="str">
            <v>SS</v>
          </cell>
          <cell r="W5220" t="str">
            <v>-</v>
          </cell>
          <cell r="X5220" t="str">
            <v>CLP 220 (-15/+40°C)</v>
          </cell>
          <cell r="Y5220" t="str">
            <v>KH127/T DRN200L4 /RS /TF</v>
          </cell>
          <cell r="Z5220" t="str">
            <v>SEW</v>
          </cell>
          <cell r="AB5220" t="str">
            <v>-</v>
          </cell>
          <cell r="AF5220">
            <v>37</v>
          </cell>
          <cell r="AG5220" t="str">
            <v>DRN200L4</v>
          </cell>
          <cell r="AH5220" t="str">
            <v>KH127T-DRN200L4A270-X</v>
          </cell>
        </row>
        <row r="5221">
          <cell r="A5221" t="str">
            <v>MR005210</v>
          </cell>
          <cell r="B5221" t="str">
            <v>MR</v>
          </cell>
          <cell r="C5221">
            <v>30</v>
          </cell>
          <cell r="D5221">
            <v>37</v>
          </cell>
          <cell r="E5221" t="str">
            <v>KH127</v>
          </cell>
          <cell r="F5221">
            <v>7770</v>
          </cell>
          <cell r="G5221">
            <v>40.19</v>
          </cell>
          <cell r="H5221">
            <v>1.65</v>
          </cell>
          <cell r="I5221" t="str">
            <v>From M4A to M1A-15°</v>
          </cell>
          <cell r="J5221" t="str">
            <v>IE3</v>
          </cell>
          <cell r="K5221" t="str">
            <v>400/690</v>
          </cell>
          <cell r="L5221">
            <v>50</v>
          </cell>
          <cell r="M5221" t="str">
            <v>56/32,5</v>
          </cell>
          <cell r="N5221">
            <v>65</v>
          </cell>
          <cell r="O5221" t="str">
            <v>155(F)</v>
          </cell>
          <cell r="P5221" t="str">
            <v>270°</v>
          </cell>
          <cell r="Q5221" t="str">
            <v>TF</v>
          </cell>
          <cell r="R5221" t="str">
            <v>-</v>
          </cell>
          <cell r="S5221" t="str">
            <v>-</v>
          </cell>
          <cell r="T5221" t="str">
            <v>-</v>
          </cell>
          <cell r="U5221" t="str">
            <v>T</v>
          </cell>
          <cell r="V5221" t="str">
            <v>SS</v>
          </cell>
          <cell r="W5221" t="str">
            <v>-</v>
          </cell>
          <cell r="X5221" t="str">
            <v>CLP 220 (-15/+40°C)</v>
          </cell>
          <cell r="Y5221" t="str">
            <v>KH127/T DRN200L4 /TF</v>
          </cell>
          <cell r="Z5221" t="str">
            <v>SEW</v>
          </cell>
          <cell r="AB5221" t="str">
            <v>-</v>
          </cell>
          <cell r="AF5221">
            <v>37</v>
          </cell>
          <cell r="AG5221" t="str">
            <v>DRN200L4</v>
          </cell>
          <cell r="AH5221" t="str">
            <v>KH127T-DRN200L4A270-X</v>
          </cell>
        </row>
        <row r="5222">
          <cell r="A5222" t="str">
            <v>MR005211</v>
          </cell>
          <cell r="B5222" t="str">
            <v>MR</v>
          </cell>
          <cell r="C5222">
            <v>0.75</v>
          </cell>
          <cell r="D5222">
            <v>162</v>
          </cell>
          <cell r="E5222" t="str">
            <v>KA37</v>
          </cell>
          <cell r="F5222">
            <v>44</v>
          </cell>
          <cell r="G5222">
            <v>8.91</v>
          </cell>
          <cell r="H5222">
            <v>3.6</v>
          </cell>
          <cell r="I5222" t="str">
            <v>M1B</v>
          </cell>
          <cell r="J5222" t="str">
            <v>IE3</v>
          </cell>
          <cell r="K5222" t="str">
            <v>230/400</v>
          </cell>
          <cell r="L5222">
            <v>50</v>
          </cell>
          <cell r="M5222" t="str">
            <v>3,05/1,75</v>
          </cell>
          <cell r="N5222">
            <v>65</v>
          </cell>
          <cell r="O5222" t="str">
            <v>155(F)</v>
          </cell>
          <cell r="P5222" t="str">
            <v>0°</v>
          </cell>
          <cell r="Q5222" t="str">
            <v>TF</v>
          </cell>
          <cell r="R5222" t="str">
            <v>-</v>
          </cell>
          <cell r="S5222" t="str">
            <v>-</v>
          </cell>
          <cell r="T5222" t="str">
            <v>-</v>
          </cell>
          <cell r="U5222" t="str">
            <v>T</v>
          </cell>
          <cell r="V5222" t="str">
            <v>D</v>
          </cell>
          <cell r="W5222" t="str">
            <v>-</v>
          </cell>
          <cell r="X5222" t="str">
            <v>CLP 220 (-15/+40°C)</v>
          </cell>
          <cell r="Y5222" t="str">
            <v>KA37/T DRN80M4 /TF</v>
          </cell>
          <cell r="Z5222" t="str">
            <v>SEW</v>
          </cell>
          <cell r="AB5222" t="str">
            <v>-</v>
          </cell>
          <cell r="AF5222">
            <v>162</v>
          </cell>
          <cell r="AG5222" t="str">
            <v>DRN80M4</v>
          </cell>
          <cell r="AH5222" t="str">
            <v>KA37T-DRN80M4B0-X</v>
          </cell>
        </row>
        <row r="5223">
          <cell r="A5223" t="str">
            <v>MR005212</v>
          </cell>
          <cell r="B5223" t="str">
            <v>MR</v>
          </cell>
          <cell r="C5223">
            <v>18.5</v>
          </cell>
          <cell r="D5223">
            <v>48</v>
          </cell>
          <cell r="E5223" t="str">
            <v>KH97</v>
          </cell>
          <cell r="F5223">
            <v>3680</v>
          </cell>
          <cell r="G5223">
            <v>30.82</v>
          </cell>
          <cell r="H5223">
            <v>1.1499999999999999</v>
          </cell>
          <cell r="I5223" t="str">
            <v xml:space="preserve"> From M4A to M1A - 15°</v>
          </cell>
          <cell r="J5223" t="str">
            <v>IE3</v>
          </cell>
          <cell r="K5223" t="str">
            <v>400/690</v>
          </cell>
          <cell r="L5223">
            <v>50</v>
          </cell>
          <cell r="M5223" t="str">
            <v>33,5/19,3</v>
          </cell>
          <cell r="N5223">
            <v>65</v>
          </cell>
          <cell r="O5223" t="str">
            <v>155(F)</v>
          </cell>
          <cell r="P5223" t="str">
            <v>270°</v>
          </cell>
          <cell r="Q5223" t="str">
            <v>TF</v>
          </cell>
          <cell r="R5223" t="str">
            <v>-</v>
          </cell>
          <cell r="S5223" t="str">
            <v>Free rotation CCW</v>
          </cell>
          <cell r="T5223" t="str">
            <v>-</v>
          </cell>
          <cell r="U5223" t="str">
            <v>T</v>
          </cell>
          <cell r="V5223" t="str">
            <v>SS</v>
          </cell>
          <cell r="W5223" t="str">
            <v>-</v>
          </cell>
          <cell r="X5223" t="str">
            <v>CLP 220 (-15/+40°C)</v>
          </cell>
          <cell r="Y5223" t="str">
            <v>KH97/T DRN180M4 /RS /TF</v>
          </cell>
          <cell r="Z5223" t="str">
            <v>SEW</v>
          </cell>
          <cell r="AB5223" t="str">
            <v>-</v>
          </cell>
          <cell r="AF5223">
            <v>48</v>
          </cell>
          <cell r="AG5223" t="str">
            <v>DRN180M4</v>
          </cell>
          <cell r="AH5223" t="str">
            <v>KH97T-DRN180M4A270-X</v>
          </cell>
        </row>
        <row r="5224">
          <cell r="A5224" t="str">
            <v>MR005213</v>
          </cell>
          <cell r="B5224" t="str">
            <v>MR</v>
          </cell>
          <cell r="C5224">
            <v>0.75</v>
          </cell>
          <cell r="D5224">
            <v>162</v>
          </cell>
          <cell r="E5224" t="str">
            <v>KA37</v>
          </cell>
          <cell r="F5224">
            <v>44</v>
          </cell>
          <cell r="G5224">
            <v>8.91</v>
          </cell>
          <cell r="H5224">
            <v>3.6</v>
          </cell>
          <cell r="I5224" t="str">
            <v>From M3B to M2B - 30°</v>
          </cell>
          <cell r="J5224" t="str">
            <v>IE3</v>
          </cell>
          <cell r="K5224" t="str">
            <v>230/400</v>
          </cell>
          <cell r="L5224">
            <v>50</v>
          </cell>
          <cell r="M5224" t="str">
            <v>3,05/1,75</v>
          </cell>
          <cell r="N5224">
            <v>65</v>
          </cell>
          <cell r="O5224" t="str">
            <v>155(F)</v>
          </cell>
          <cell r="P5224" t="str">
            <v>0°</v>
          </cell>
          <cell r="Q5224" t="str">
            <v>TF</v>
          </cell>
          <cell r="R5224" t="str">
            <v>-</v>
          </cell>
          <cell r="S5224" t="str">
            <v>-</v>
          </cell>
          <cell r="T5224" t="str">
            <v>-</v>
          </cell>
          <cell r="U5224" t="str">
            <v>T</v>
          </cell>
          <cell r="V5224" t="str">
            <v>D</v>
          </cell>
          <cell r="W5224" t="str">
            <v>-</v>
          </cell>
          <cell r="X5224" t="str">
            <v>CLP 220 (-15/+40°C)</v>
          </cell>
          <cell r="Y5224" t="str">
            <v>KA37/T DRN80M4 /TF</v>
          </cell>
          <cell r="Z5224" t="str">
            <v>SEW</v>
          </cell>
          <cell r="AB5224" t="str">
            <v>-</v>
          </cell>
          <cell r="AF5224">
            <v>162</v>
          </cell>
          <cell r="AG5224" t="str">
            <v>DRN80M4</v>
          </cell>
          <cell r="AH5224" t="str">
            <v>KA37T-DRN80M4B0-X</v>
          </cell>
        </row>
        <row r="5225">
          <cell r="A5225" t="str">
            <v>MR005214</v>
          </cell>
          <cell r="B5225" t="str">
            <v>MR</v>
          </cell>
          <cell r="C5225">
            <v>9.1999999999999993</v>
          </cell>
          <cell r="D5225">
            <v>59</v>
          </cell>
          <cell r="E5225" t="str">
            <v>KH87</v>
          </cell>
          <cell r="F5225">
            <v>1480</v>
          </cell>
          <cell r="G5225" t="str">
            <v>24,92</v>
          </cell>
          <cell r="H5225" t="str">
            <v>1,7</v>
          </cell>
          <cell r="I5225" t="str">
            <v>M4B</v>
          </cell>
          <cell r="J5225" t="str">
            <v>IE3</v>
          </cell>
          <cell r="K5225" t="str">
            <v>400/690</v>
          </cell>
          <cell r="L5225">
            <v>50</v>
          </cell>
          <cell r="M5225" t="str">
            <v>18,7/10,8</v>
          </cell>
          <cell r="N5225">
            <v>65</v>
          </cell>
          <cell r="O5225" t="str">
            <v>155(F)</v>
          </cell>
          <cell r="P5225" t="str">
            <v>270°</v>
          </cell>
          <cell r="Q5225" t="str">
            <v>TF</v>
          </cell>
          <cell r="R5225" t="str">
            <v>-</v>
          </cell>
          <cell r="S5225" t="str">
            <v>-</v>
          </cell>
          <cell r="T5225" t="str">
            <v>-</v>
          </cell>
          <cell r="U5225" t="str">
            <v>T</v>
          </cell>
          <cell r="V5225" t="str">
            <v>SS</v>
          </cell>
          <cell r="W5225" t="str">
            <v>-</v>
          </cell>
          <cell r="X5225" t="str">
            <v>CLP 220 (-15/+40°C)</v>
          </cell>
          <cell r="Y5225" t="str">
            <v>KH87/T DRN132L4 /TF</v>
          </cell>
          <cell r="Z5225" t="str">
            <v>SEW</v>
          </cell>
          <cell r="AB5225" t="str">
            <v>-</v>
          </cell>
          <cell r="AF5225">
            <v>59</v>
          </cell>
          <cell r="AG5225" t="str">
            <v>DRN132L4</v>
          </cell>
          <cell r="AH5225" t="str">
            <v>KH87T-DRN132L4B270-X</v>
          </cell>
        </row>
        <row r="5226">
          <cell r="A5226" t="str">
            <v>MR005215</v>
          </cell>
          <cell r="B5226" t="str">
            <v>MR</v>
          </cell>
          <cell r="C5226">
            <v>18.5</v>
          </cell>
          <cell r="D5226">
            <v>53</v>
          </cell>
          <cell r="E5226" t="str">
            <v>KH97</v>
          </cell>
          <cell r="F5226">
            <v>3330</v>
          </cell>
          <cell r="G5226">
            <v>27.91</v>
          </cell>
          <cell r="H5226">
            <v>1.3</v>
          </cell>
          <cell r="I5226" t="str">
            <v>From M4B to M1B - 20°</v>
          </cell>
          <cell r="J5226" t="str">
            <v>IE3</v>
          </cell>
          <cell r="K5226" t="str">
            <v>400/690</v>
          </cell>
          <cell r="L5226">
            <v>50</v>
          </cell>
          <cell r="M5226" t="str">
            <v>33,5/19,3</v>
          </cell>
          <cell r="N5226">
            <v>65</v>
          </cell>
          <cell r="O5226" t="str">
            <v>155(F)</v>
          </cell>
          <cell r="P5226" t="str">
            <v>270°</v>
          </cell>
          <cell r="Q5226" t="str">
            <v>TF</v>
          </cell>
          <cell r="R5226" t="str">
            <v>-</v>
          </cell>
          <cell r="S5226" t="str">
            <v>Free rotation CW</v>
          </cell>
          <cell r="T5226" t="str">
            <v>-</v>
          </cell>
          <cell r="U5226" t="str">
            <v>T</v>
          </cell>
          <cell r="V5226" t="str">
            <v>SS</v>
          </cell>
          <cell r="W5226" t="str">
            <v>-</v>
          </cell>
          <cell r="X5226" t="str">
            <v>CLP 220 (-15/+40°C)</v>
          </cell>
          <cell r="Y5226" t="str">
            <v>KH97/T DRN180M4 /RS /TF</v>
          </cell>
          <cell r="Z5226" t="str">
            <v>SEW</v>
          </cell>
          <cell r="AB5226" t="str">
            <v>-</v>
          </cell>
          <cell r="AF5226">
            <v>53</v>
          </cell>
          <cell r="AG5226" t="str">
            <v>DRN180M4</v>
          </cell>
          <cell r="AH5226" t="str">
            <v>KH97T-DRN180M4B270-X</v>
          </cell>
        </row>
        <row r="5227">
          <cell r="A5227" t="str">
            <v>MR005216</v>
          </cell>
          <cell r="B5227" t="str">
            <v>MR</v>
          </cell>
          <cell r="C5227">
            <v>4</v>
          </cell>
          <cell r="D5227">
            <v>96</v>
          </cell>
          <cell r="E5227" t="str">
            <v>SA77</v>
          </cell>
          <cell r="F5227">
            <v>370</v>
          </cell>
          <cell r="G5227">
            <v>15.28</v>
          </cell>
          <cell r="H5227">
            <v>1.95</v>
          </cell>
          <cell r="I5227" t="str">
            <v>M1B</v>
          </cell>
          <cell r="J5227" t="str">
            <v>IE3</v>
          </cell>
          <cell r="K5227" t="str">
            <v>230/400</v>
          </cell>
          <cell r="L5227">
            <v>50</v>
          </cell>
          <cell r="M5227" t="str">
            <v>13,8/7,9</v>
          </cell>
          <cell r="N5227">
            <v>65</v>
          </cell>
          <cell r="O5227" t="str">
            <v>155(F)</v>
          </cell>
          <cell r="P5227" t="str">
            <v>0°</v>
          </cell>
          <cell r="Q5227" t="str">
            <v>TF</v>
          </cell>
          <cell r="R5227" t="str">
            <v>-</v>
          </cell>
          <cell r="S5227" t="str">
            <v>-</v>
          </cell>
          <cell r="V5227" t="str">
            <v>D</v>
          </cell>
          <cell r="X5227" t="str">
            <v>CLP 220 (-15/+40°C)</v>
          </cell>
          <cell r="Y5227" t="str">
            <v>SA77/ DRN112M4 / /TF</v>
          </cell>
          <cell r="Z5227" t="str">
            <v>SEW</v>
          </cell>
          <cell r="AB5227" t="str">
            <v>-</v>
          </cell>
          <cell r="AF5227">
            <v>96</v>
          </cell>
          <cell r="AG5227" t="str">
            <v>DRN112M4</v>
          </cell>
          <cell r="AH5227" t="str">
            <v>SA77-DRN112M4B0-X</v>
          </cell>
        </row>
        <row r="5228">
          <cell r="A5228" t="str">
            <v>MR005217</v>
          </cell>
          <cell r="B5228" t="str">
            <v>MR</v>
          </cell>
          <cell r="C5228">
            <v>18.5</v>
          </cell>
          <cell r="D5228">
            <v>48</v>
          </cell>
          <cell r="E5228" t="str">
            <v>KH97</v>
          </cell>
          <cell r="F5228">
            <v>3680</v>
          </cell>
          <cell r="G5228">
            <v>30.82</v>
          </cell>
          <cell r="H5228">
            <v>1.1499999999999999</v>
          </cell>
          <cell r="I5228" t="str">
            <v xml:space="preserve"> From M4B to M1B - 30°</v>
          </cell>
          <cell r="J5228" t="str">
            <v>IE3</v>
          </cell>
          <cell r="K5228" t="str">
            <v>400/690</v>
          </cell>
          <cell r="L5228">
            <v>50</v>
          </cell>
          <cell r="M5228" t="str">
            <v>33,5/19,3</v>
          </cell>
          <cell r="N5228">
            <v>65</v>
          </cell>
          <cell r="O5228" t="str">
            <v>155(F)</v>
          </cell>
          <cell r="P5228" t="str">
            <v>270°</v>
          </cell>
          <cell r="Q5228" t="str">
            <v>TF</v>
          </cell>
          <cell r="R5228" t="str">
            <v>-</v>
          </cell>
          <cell r="S5228" t="str">
            <v>Free rotation CW</v>
          </cell>
          <cell r="T5228" t="str">
            <v>-</v>
          </cell>
          <cell r="U5228" t="str">
            <v>T</v>
          </cell>
          <cell r="V5228" t="str">
            <v>SS</v>
          </cell>
          <cell r="W5228" t="str">
            <v>-</v>
          </cell>
          <cell r="X5228" t="str">
            <v>CLP 220 (-15/+40°C)</v>
          </cell>
          <cell r="Y5228" t="str">
            <v>KH97/T DRN180M4 /RS /TF</v>
          </cell>
          <cell r="Z5228" t="str">
            <v>SEW</v>
          </cell>
          <cell r="AB5228" t="str">
            <v>-</v>
          </cell>
          <cell r="AF5228">
            <v>48</v>
          </cell>
          <cell r="AG5228" t="str">
            <v>DRN180M4</v>
          </cell>
          <cell r="AH5228" t="str">
            <v>KH97T-DRN180M4B270-X</v>
          </cell>
        </row>
        <row r="5229">
          <cell r="A5229" t="str">
            <v>MR005218</v>
          </cell>
          <cell r="B5229" t="str">
            <v>MR</v>
          </cell>
          <cell r="C5229">
            <v>11</v>
          </cell>
          <cell r="D5229">
            <v>59</v>
          </cell>
          <cell r="E5229" t="str">
            <v>KH87</v>
          </cell>
          <cell r="F5229">
            <v>1780</v>
          </cell>
          <cell r="G5229" t="str">
            <v>24,92</v>
          </cell>
          <cell r="H5229">
            <v>1.35</v>
          </cell>
          <cell r="I5229" t="str">
            <v>From M4A to M1A - 10°</v>
          </cell>
          <cell r="J5229" t="str">
            <v>IE3</v>
          </cell>
          <cell r="K5229" t="str">
            <v>400/690</v>
          </cell>
          <cell r="L5229">
            <v>50</v>
          </cell>
          <cell r="M5229" t="str">
            <v>21,5/12,4</v>
          </cell>
          <cell r="N5229">
            <v>65</v>
          </cell>
          <cell r="O5229" t="str">
            <v>155(F)</v>
          </cell>
          <cell r="P5229" t="str">
            <v>270°</v>
          </cell>
          <cell r="Q5229" t="str">
            <v>TF</v>
          </cell>
          <cell r="R5229" t="str">
            <v>-</v>
          </cell>
          <cell r="S5229" t="str">
            <v>Free rotation CCW</v>
          </cell>
          <cell r="T5229" t="str">
            <v>-</v>
          </cell>
          <cell r="U5229" t="str">
            <v>T</v>
          </cell>
          <cell r="V5229" t="str">
            <v>SS</v>
          </cell>
          <cell r="W5229" t="str">
            <v>-</v>
          </cell>
          <cell r="X5229" t="str">
            <v>CLP 220 (-15/+40°C)</v>
          </cell>
          <cell r="Y5229" t="str">
            <v>KH87/T DRN160M4 /RS /TF</v>
          </cell>
          <cell r="Z5229" t="str">
            <v>SEW</v>
          </cell>
          <cell r="AB5229" t="str">
            <v>-</v>
          </cell>
          <cell r="AF5229">
            <v>59</v>
          </cell>
          <cell r="AG5229" t="str">
            <v>DRN160M4</v>
          </cell>
          <cell r="AH5229" t="str">
            <v>KH87T-DRN160M4A270-X</v>
          </cell>
        </row>
        <row r="5230">
          <cell r="A5230" t="str">
            <v>MR005219</v>
          </cell>
          <cell r="B5230" t="str">
            <v>MR</v>
          </cell>
          <cell r="C5230">
            <v>0.55000000000000004</v>
          </cell>
          <cell r="D5230">
            <v>3.9</v>
          </cell>
          <cell r="E5230" t="str">
            <v>KA77R37</v>
          </cell>
          <cell r="F5230">
            <v>1210</v>
          </cell>
          <cell r="G5230">
            <v>367</v>
          </cell>
          <cell r="H5230">
            <v>1.25</v>
          </cell>
          <cell r="I5230" t="str">
            <v>M3B</v>
          </cell>
          <cell r="J5230" t="str">
            <v>IE3</v>
          </cell>
          <cell r="K5230" t="str">
            <v>230/400</v>
          </cell>
          <cell r="L5230">
            <v>50</v>
          </cell>
          <cell r="M5230" t="str">
            <v>2,25/1,29</v>
          </cell>
          <cell r="N5230">
            <v>65</v>
          </cell>
          <cell r="O5230" t="str">
            <v>155(F)</v>
          </cell>
          <cell r="P5230" t="str">
            <v>0°</v>
          </cell>
          <cell r="Q5230" t="str">
            <v>TF</v>
          </cell>
          <cell r="R5230" t="str">
            <v>-</v>
          </cell>
          <cell r="S5230" t="str">
            <v>-</v>
          </cell>
          <cell r="T5230" t="str">
            <v>BEHF</v>
          </cell>
          <cell r="U5230" t="str">
            <v>T</v>
          </cell>
          <cell r="V5230" t="str">
            <v>D+R</v>
          </cell>
          <cell r="W5230" t="str">
            <v>-</v>
          </cell>
          <cell r="X5230" t="str">
            <v>CLP 220 (-15/+40°C)</v>
          </cell>
          <cell r="Y5230" t="str">
            <v>KA77R37/T DRN80MK4 /BEHF /TF</v>
          </cell>
          <cell r="Z5230" t="str">
            <v>SEW</v>
          </cell>
          <cell r="AB5230" t="str">
            <v>-</v>
          </cell>
          <cell r="AF5230">
            <v>3.9</v>
          </cell>
          <cell r="AG5230" t="str">
            <v>DRN80MK4</v>
          </cell>
          <cell r="AH5230" t="str">
            <v>KA77R37T-DRN80MK4B0-X</v>
          </cell>
        </row>
        <row r="5231">
          <cell r="A5231" t="str">
            <v>MR005220</v>
          </cell>
          <cell r="B5231" t="str">
            <v>MR</v>
          </cell>
          <cell r="C5231">
            <v>9.1999999999999993</v>
          </cell>
          <cell r="D5231">
            <v>59</v>
          </cell>
          <cell r="E5231" t="str">
            <v>KH87</v>
          </cell>
          <cell r="F5231">
            <v>1480</v>
          </cell>
          <cell r="G5231" t="str">
            <v>24,92</v>
          </cell>
          <cell r="H5231" t="str">
            <v>1,7</v>
          </cell>
          <cell r="I5231" t="str">
            <v>From M4B to M1B-25°</v>
          </cell>
          <cell r="J5231" t="str">
            <v>IE3</v>
          </cell>
          <cell r="K5231" t="str">
            <v>400/690</v>
          </cell>
          <cell r="L5231">
            <v>50</v>
          </cell>
          <cell r="M5231" t="str">
            <v>18,7/10,8</v>
          </cell>
          <cell r="N5231">
            <v>65</v>
          </cell>
          <cell r="O5231" t="str">
            <v>155(F)</v>
          </cell>
          <cell r="P5231" t="str">
            <v>270°</v>
          </cell>
          <cell r="Q5231" t="str">
            <v>TF</v>
          </cell>
          <cell r="R5231" t="str">
            <v>-</v>
          </cell>
          <cell r="S5231" t="str">
            <v>Free rotation CW</v>
          </cell>
          <cell r="T5231" t="str">
            <v>-</v>
          </cell>
          <cell r="U5231" t="str">
            <v>T</v>
          </cell>
          <cell r="V5231" t="str">
            <v>SS</v>
          </cell>
          <cell r="W5231" t="str">
            <v>-</v>
          </cell>
          <cell r="X5231" t="str">
            <v>CLP 220 (-15/+40°C)</v>
          </cell>
          <cell r="Y5231" t="str">
            <v>KH87/T DRN132L4 /RS /TF</v>
          </cell>
          <cell r="Z5231" t="str">
            <v>SEW</v>
          </cell>
          <cell r="AB5231" t="str">
            <v>-</v>
          </cell>
          <cell r="AF5231">
            <v>59</v>
          </cell>
          <cell r="AG5231" t="str">
            <v>DRN132L4</v>
          </cell>
          <cell r="AH5231" t="str">
            <v>KH87T-DRN132L4B270-X</v>
          </cell>
        </row>
        <row r="5232">
          <cell r="A5232" t="str">
            <v>MR005221</v>
          </cell>
          <cell r="B5232" t="str">
            <v>MR</v>
          </cell>
          <cell r="C5232">
            <v>9.1999999999999993</v>
          </cell>
          <cell r="D5232">
            <v>59</v>
          </cell>
          <cell r="E5232" t="str">
            <v>KH87</v>
          </cell>
          <cell r="F5232">
            <v>1480</v>
          </cell>
          <cell r="G5232" t="str">
            <v>24,92</v>
          </cell>
          <cell r="H5232" t="str">
            <v>1,7</v>
          </cell>
          <cell r="I5232" t="str">
            <v>M4A</v>
          </cell>
          <cell r="J5232" t="str">
            <v>IE3</v>
          </cell>
          <cell r="K5232" t="str">
            <v>400/690</v>
          </cell>
          <cell r="L5232">
            <v>50</v>
          </cell>
          <cell r="M5232" t="str">
            <v>18,7/10,8</v>
          </cell>
          <cell r="N5232">
            <v>65</v>
          </cell>
          <cell r="O5232" t="str">
            <v>155(F)</v>
          </cell>
          <cell r="P5232" t="str">
            <v>270°</v>
          </cell>
          <cell r="Q5232" t="str">
            <v>TF</v>
          </cell>
          <cell r="R5232" t="str">
            <v>-</v>
          </cell>
          <cell r="S5232" t="str">
            <v>-</v>
          </cell>
          <cell r="T5232" t="str">
            <v>-</v>
          </cell>
          <cell r="U5232" t="str">
            <v>T</v>
          </cell>
          <cell r="V5232" t="str">
            <v>SS</v>
          </cell>
          <cell r="W5232" t="str">
            <v>-</v>
          </cell>
          <cell r="X5232" t="str">
            <v>CLP 220 (-15/+40°C)</v>
          </cell>
          <cell r="Y5232" t="str">
            <v>KH87/T DRN132L4 /TF</v>
          </cell>
          <cell r="Z5232" t="str">
            <v>SEW</v>
          </cell>
          <cell r="AB5232" t="str">
            <v>-</v>
          </cell>
          <cell r="AF5232">
            <v>59</v>
          </cell>
          <cell r="AG5232" t="str">
            <v>DRN132L4</v>
          </cell>
          <cell r="AH5232" t="str">
            <v>KH87T-DRN132L4A270-X</v>
          </cell>
        </row>
        <row r="5233">
          <cell r="A5233" t="str">
            <v>MR005222</v>
          </cell>
          <cell r="B5233" t="str">
            <v>MR</v>
          </cell>
          <cell r="C5233">
            <v>0.75</v>
          </cell>
          <cell r="D5233">
            <v>162</v>
          </cell>
          <cell r="E5233" t="str">
            <v>KA37</v>
          </cell>
          <cell r="F5233">
            <v>44</v>
          </cell>
          <cell r="G5233">
            <v>8.91</v>
          </cell>
          <cell r="H5233">
            <v>3.6</v>
          </cell>
          <cell r="I5233" t="str">
            <v>From M3A to M2A - 40°</v>
          </cell>
          <cell r="J5233" t="str">
            <v>IE3</v>
          </cell>
          <cell r="K5233" t="str">
            <v>230/400</v>
          </cell>
          <cell r="L5233">
            <v>50</v>
          </cell>
          <cell r="M5233" t="str">
            <v>3,05/1,75</v>
          </cell>
          <cell r="N5233">
            <v>65</v>
          </cell>
          <cell r="O5233" t="str">
            <v>155(F)</v>
          </cell>
          <cell r="P5233" t="str">
            <v>180°</v>
          </cell>
          <cell r="Q5233" t="str">
            <v>TF</v>
          </cell>
          <cell r="R5233" t="str">
            <v>-</v>
          </cell>
          <cell r="S5233" t="str">
            <v>-</v>
          </cell>
          <cell r="T5233" t="str">
            <v>-</v>
          </cell>
          <cell r="U5233" t="str">
            <v>T</v>
          </cell>
          <cell r="V5233" t="str">
            <v>D</v>
          </cell>
          <cell r="W5233" t="str">
            <v>-</v>
          </cell>
          <cell r="X5233" t="str">
            <v>CLP 220 (-15/+40°C)</v>
          </cell>
          <cell r="Y5233" t="str">
            <v>KA37/T DRN80M4 /TF</v>
          </cell>
          <cell r="Z5233" t="str">
            <v>SEW</v>
          </cell>
          <cell r="AB5233" t="str">
            <v>-</v>
          </cell>
          <cell r="AF5233">
            <v>162</v>
          </cell>
          <cell r="AG5233" t="str">
            <v>DRN80M4</v>
          </cell>
          <cell r="AH5233" t="str">
            <v>KA37T-DRN80M4A180-X</v>
          </cell>
        </row>
        <row r="5234">
          <cell r="A5234" t="str">
            <v>MR005223</v>
          </cell>
          <cell r="B5234" t="str">
            <v>MR</v>
          </cell>
          <cell r="C5234">
            <v>4</v>
          </cell>
          <cell r="D5234">
            <v>152</v>
          </cell>
          <cell r="E5234" t="str">
            <v>KH67</v>
          </cell>
          <cell r="F5234">
            <v>250</v>
          </cell>
          <cell r="G5234">
            <v>9.66</v>
          </cell>
          <cell r="H5234">
            <v>1.9</v>
          </cell>
          <cell r="I5234" t="str">
            <v>M4B</v>
          </cell>
          <cell r="J5234" t="str">
            <v>IE3</v>
          </cell>
          <cell r="K5234" t="str">
            <v>230/400</v>
          </cell>
          <cell r="L5234">
            <v>50</v>
          </cell>
          <cell r="M5234" t="str">
            <v>13,8/7,9</v>
          </cell>
          <cell r="N5234">
            <v>65</v>
          </cell>
          <cell r="O5234" t="str">
            <v>155(F)</v>
          </cell>
          <cell r="P5234" t="str">
            <v>270°</v>
          </cell>
          <cell r="Q5234" t="str">
            <v>TF</v>
          </cell>
          <cell r="R5234" t="str">
            <v>-</v>
          </cell>
          <cell r="S5234" t="str">
            <v>-</v>
          </cell>
          <cell r="T5234" t="str">
            <v>-</v>
          </cell>
          <cell r="U5234" t="str">
            <v>T</v>
          </cell>
          <cell r="V5234" t="str">
            <v>D+R</v>
          </cell>
          <cell r="W5234" t="str">
            <v>-</v>
          </cell>
          <cell r="X5234" t="str">
            <v>CLP 220 (-15/+40°C)</v>
          </cell>
          <cell r="Y5234" t="str">
            <v>KH67/T DRN112M4 /TF</v>
          </cell>
          <cell r="Z5234" t="str">
            <v>SEW</v>
          </cell>
          <cell r="AB5234" t="str">
            <v>-</v>
          </cell>
          <cell r="AF5234">
            <v>152</v>
          </cell>
          <cell r="AG5234" t="str">
            <v>DRN112M4</v>
          </cell>
          <cell r="AH5234" t="str">
            <v>KH67T-DRN112M4B270-X</v>
          </cell>
        </row>
        <row r="5235">
          <cell r="A5235" t="str">
            <v>MR005224</v>
          </cell>
          <cell r="B5235" t="str">
            <v>MR</v>
          </cell>
          <cell r="C5235">
            <v>9.1999999999999993</v>
          </cell>
          <cell r="D5235">
            <v>20</v>
          </cell>
          <cell r="E5235" t="str">
            <v>K1032</v>
          </cell>
          <cell r="F5235">
            <v>4441</v>
          </cell>
          <cell r="G5235">
            <v>71.89</v>
          </cell>
          <cell r="H5235">
            <v>1.62</v>
          </cell>
          <cell r="I5235" t="str">
            <v>From 5 to 1 - 5° (Shr. Dis. RH)</v>
          </cell>
          <cell r="J5235" t="str">
            <v>IE4</v>
          </cell>
          <cell r="K5235">
            <v>415</v>
          </cell>
          <cell r="L5235">
            <v>50</v>
          </cell>
          <cell r="M5235">
            <v>17.8</v>
          </cell>
          <cell r="N5235">
            <v>65</v>
          </cell>
          <cell r="O5235" t="str">
            <v>155(F)</v>
          </cell>
          <cell r="P5235" t="str">
            <v>D</v>
          </cell>
          <cell r="Q5235" t="str">
            <v>TF</v>
          </cell>
          <cell r="R5235" t="str">
            <v>-</v>
          </cell>
          <cell r="S5235" t="str">
            <v>-</v>
          </cell>
          <cell r="T5235" t="str">
            <v>-</v>
          </cell>
          <cell r="U5235" t="str">
            <v>-</v>
          </cell>
          <cell r="V5235" t="str">
            <v>FC</v>
          </cell>
          <cell r="W5235" t="str">
            <v>-</v>
          </cell>
          <cell r="X5235" t="str">
            <v>EP Mineral Oil 460</v>
          </cell>
          <cell r="Z5235" t="str">
            <v>RADICON</v>
          </cell>
          <cell r="AB5235" t="str">
            <v>-</v>
          </cell>
          <cell r="AF5235">
            <v>20</v>
          </cell>
          <cell r="AG5235" t="str">
            <v>DRN132L4</v>
          </cell>
          <cell r="AH5235" t="str">
            <v>K1032-DRN132L4D-X</v>
          </cell>
        </row>
        <row r="5236">
          <cell r="A5236" t="str">
            <v>MR005225</v>
          </cell>
          <cell r="B5236" t="str">
            <v>MR</v>
          </cell>
          <cell r="C5236">
            <v>9.1999999999999993</v>
          </cell>
          <cell r="D5236">
            <v>20</v>
          </cell>
          <cell r="E5236" t="str">
            <v>K1032</v>
          </cell>
          <cell r="F5236">
            <v>4441</v>
          </cell>
          <cell r="G5236">
            <v>71.89</v>
          </cell>
          <cell r="H5236">
            <v>1.62</v>
          </cell>
          <cell r="I5236" t="str">
            <v>From 5 to 1 - 5° (Shr. Dis. LH)</v>
          </cell>
          <cell r="J5236" t="str">
            <v>IE4</v>
          </cell>
          <cell r="K5236">
            <v>415</v>
          </cell>
          <cell r="L5236">
            <v>50</v>
          </cell>
          <cell r="M5236">
            <v>17.8</v>
          </cell>
          <cell r="N5236">
            <v>65</v>
          </cell>
          <cell r="O5236" t="str">
            <v>155(F)</v>
          </cell>
          <cell r="P5236" t="str">
            <v>D</v>
          </cell>
          <cell r="Q5236" t="str">
            <v>TF</v>
          </cell>
          <cell r="R5236" t="str">
            <v>-</v>
          </cell>
          <cell r="S5236" t="str">
            <v>-</v>
          </cell>
          <cell r="T5236" t="str">
            <v>-</v>
          </cell>
          <cell r="U5236" t="str">
            <v>-</v>
          </cell>
          <cell r="V5236" t="str">
            <v>FC</v>
          </cell>
          <cell r="W5236" t="str">
            <v>-</v>
          </cell>
          <cell r="X5236" t="str">
            <v>EP Mineral Oil 460</v>
          </cell>
          <cell r="Z5236" t="str">
            <v>RADICON</v>
          </cell>
          <cell r="AB5236" t="str">
            <v>-</v>
          </cell>
          <cell r="AF5236">
            <v>20</v>
          </cell>
          <cell r="AG5236" t="str">
            <v>DRN132L4</v>
          </cell>
          <cell r="AH5236" t="str">
            <v>K1032-DRN132L4D-X</v>
          </cell>
        </row>
        <row r="5237">
          <cell r="A5237" t="str">
            <v>MR005226</v>
          </cell>
          <cell r="B5237" t="str">
            <v>MR</v>
          </cell>
          <cell r="C5237">
            <v>0.18</v>
          </cell>
          <cell r="D5237">
            <v>2.2000000000000002</v>
          </cell>
          <cell r="E5237" t="str">
            <v>K0652</v>
          </cell>
          <cell r="F5237">
            <v>722</v>
          </cell>
          <cell r="G5237">
            <v>612</v>
          </cell>
          <cell r="H5237">
            <v>1.1499999999999999</v>
          </cell>
          <cell r="I5237" t="str">
            <v>4 (Torque Arm RH)</v>
          </cell>
          <cell r="J5237" t="str">
            <v>IE4</v>
          </cell>
          <cell r="K5237">
            <v>415</v>
          </cell>
          <cell r="L5237">
            <v>50</v>
          </cell>
          <cell r="M5237">
            <v>0.56999999999999995</v>
          </cell>
          <cell r="N5237">
            <v>65</v>
          </cell>
          <cell r="O5237" t="str">
            <v>155(F)</v>
          </cell>
          <cell r="P5237" t="str">
            <v>A</v>
          </cell>
          <cell r="Q5237" t="str">
            <v>TF</v>
          </cell>
          <cell r="R5237" t="str">
            <v>-</v>
          </cell>
          <cell r="S5237" t="str">
            <v>-</v>
          </cell>
          <cell r="T5237" t="str">
            <v>BEHF</v>
          </cell>
          <cell r="U5237" t="str">
            <v>T</v>
          </cell>
          <cell r="V5237" t="str">
            <v>FC+R</v>
          </cell>
          <cell r="W5237" t="str">
            <v>-</v>
          </cell>
          <cell r="X5237" t="str">
            <v>EP Mineral Oil 460</v>
          </cell>
          <cell r="Z5237" t="str">
            <v>RADICON</v>
          </cell>
          <cell r="AB5237" t="str">
            <v>-</v>
          </cell>
          <cell r="AF5237">
            <v>2.2000000000000002</v>
          </cell>
          <cell r="AG5237" t="str">
            <v>DRN63M4</v>
          </cell>
          <cell r="AH5237" t="str">
            <v>K0652T-DRN63M4AA-X</v>
          </cell>
        </row>
        <row r="5238">
          <cell r="A5238" t="str">
            <v>MR005227</v>
          </cell>
          <cell r="B5238" t="str">
            <v>MR</v>
          </cell>
          <cell r="C5238">
            <v>4</v>
          </cell>
          <cell r="D5238">
            <v>21</v>
          </cell>
          <cell r="E5238" t="str">
            <v>K0932</v>
          </cell>
          <cell r="F5238">
            <v>1819</v>
          </cell>
          <cell r="G5238">
            <v>70.45</v>
          </cell>
          <cell r="H5238">
            <v>2.36</v>
          </cell>
          <cell r="I5238" t="str">
            <v>5 (Shr. Dis. LH)</v>
          </cell>
          <cell r="J5238" t="str">
            <v>IE4</v>
          </cell>
          <cell r="K5238">
            <v>415</v>
          </cell>
          <cell r="L5238">
            <v>50</v>
          </cell>
          <cell r="M5238">
            <v>7.9</v>
          </cell>
          <cell r="N5238">
            <v>65</v>
          </cell>
          <cell r="O5238" t="str">
            <v>155(F)</v>
          </cell>
          <cell r="P5238" t="str">
            <v>D</v>
          </cell>
          <cell r="Q5238" t="str">
            <v>TF</v>
          </cell>
          <cell r="R5238" t="str">
            <v>-</v>
          </cell>
          <cell r="S5238" t="str">
            <v>-</v>
          </cell>
          <cell r="T5238" t="str">
            <v>-</v>
          </cell>
          <cell r="U5238" t="str">
            <v>-</v>
          </cell>
          <cell r="V5238" t="str">
            <v>FC</v>
          </cell>
          <cell r="W5238" t="str">
            <v>-</v>
          </cell>
          <cell r="X5238" t="str">
            <v>EP Mineral Oil 460</v>
          </cell>
          <cell r="Z5238" t="str">
            <v>RADICON</v>
          </cell>
          <cell r="AB5238" t="str">
            <v>-</v>
          </cell>
          <cell r="AF5238">
            <v>21</v>
          </cell>
          <cell r="AG5238" t="str">
            <v>DRN112M4</v>
          </cell>
          <cell r="AH5238" t="str">
            <v>K0932-DRN112M4D-X</v>
          </cell>
        </row>
        <row r="5239">
          <cell r="A5239" t="str">
            <v>MR005228</v>
          </cell>
          <cell r="B5239" t="str">
            <v>MR</v>
          </cell>
          <cell r="C5239">
            <v>9.1999999999999993</v>
          </cell>
          <cell r="D5239">
            <v>11</v>
          </cell>
          <cell r="E5239" t="str">
            <v>R137</v>
          </cell>
          <cell r="F5239">
            <v>7660</v>
          </cell>
          <cell r="G5239">
            <v>128.18</v>
          </cell>
          <cell r="H5239">
            <v>1.05</v>
          </cell>
          <cell r="I5239" t="str">
            <v>M1</v>
          </cell>
          <cell r="J5239" t="str">
            <v>IE3</v>
          </cell>
          <cell r="K5239" t="str">
            <v>230/400</v>
          </cell>
          <cell r="L5239">
            <v>50</v>
          </cell>
          <cell r="M5239" t="str">
            <v>32,5/18,7</v>
          </cell>
          <cell r="N5239">
            <v>55</v>
          </cell>
          <cell r="O5239" t="str">
            <v>155(F)</v>
          </cell>
          <cell r="P5239" t="str">
            <v>270°</v>
          </cell>
          <cell r="Q5239" t="str">
            <v>TF</v>
          </cell>
          <cell r="R5239" t="str">
            <v>V(VE)</v>
          </cell>
          <cell r="S5239" t="str">
            <v>-</v>
          </cell>
          <cell r="T5239" t="str">
            <v>-</v>
          </cell>
          <cell r="U5239" t="str">
            <v>-</v>
          </cell>
          <cell r="V5239" t="str">
            <v>FC</v>
          </cell>
          <cell r="W5239" t="str">
            <v>-</v>
          </cell>
          <cell r="X5239" t="str">
            <v>CLP 220 (-15/+40°C)</v>
          </cell>
          <cell r="Y5239" t="str">
            <v>R137DRN132L4 /TF/V</v>
          </cell>
          <cell r="Z5239" t="str">
            <v>SEW</v>
          </cell>
          <cell r="AB5239" t="str">
            <v>-</v>
          </cell>
          <cell r="AF5239">
            <v>11</v>
          </cell>
          <cell r="AG5239" t="str">
            <v>DRN132L4</v>
          </cell>
          <cell r="AH5239" t="str">
            <v>R137-DRN132L4270-X#</v>
          </cell>
        </row>
        <row r="5240">
          <cell r="A5240" t="str">
            <v>MR005229</v>
          </cell>
          <cell r="B5240" t="str">
            <v>MR</v>
          </cell>
          <cell r="C5240">
            <v>1.1000000000000001</v>
          </cell>
          <cell r="D5240">
            <v>30</v>
          </cell>
          <cell r="E5240" t="str">
            <v>FH47</v>
          </cell>
          <cell r="F5240">
            <v>345</v>
          </cell>
          <cell r="G5240">
            <v>48</v>
          </cell>
          <cell r="H5240">
            <v>1.3</v>
          </cell>
          <cell r="I5240" t="str">
            <v>M1</v>
          </cell>
          <cell r="J5240" t="str">
            <v>IE3</v>
          </cell>
          <cell r="K5240" t="str">
            <v>230/400</v>
          </cell>
          <cell r="L5240">
            <v>50</v>
          </cell>
          <cell r="N5240">
            <v>65</v>
          </cell>
          <cell r="O5240" t="str">
            <v>155(F)</v>
          </cell>
          <cell r="P5240" t="str">
            <v>270°</v>
          </cell>
          <cell r="Q5240" t="str">
            <v>TF</v>
          </cell>
          <cell r="R5240" t="str">
            <v>V(VE)</v>
          </cell>
          <cell r="S5240" t="str">
            <v>-</v>
          </cell>
          <cell r="T5240" t="str">
            <v>-</v>
          </cell>
          <cell r="U5240" t="str">
            <v>G</v>
          </cell>
          <cell r="V5240" t="str">
            <v>FC</v>
          </cell>
          <cell r="W5240" t="str">
            <v>-</v>
          </cell>
          <cell r="X5240" t="str">
            <v>CLP 220 (-15/+40°C)</v>
          </cell>
          <cell r="Y5240" t="str">
            <v>FH47/G DRN90S4 /TF/V</v>
          </cell>
          <cell r="Z5240" t="str">
            <v>SEW</v>
          </cell>
          <cell r="AB5240" t="str">
            <v>-</v>
          </cell>
          <cell r="AF5240">
            <v>30</v>
          </cell>
          <cell r="AG5240" t="str">
            <v>DRN90S4</v>
          </cell>
          <cell r="AH5240" t="str">
            <v>FH47G-DRN90S4270-X#</v>
          </cell>
        </row>
        <row r="5241">
          <cell r="A5241" t="str">
            <v>MR005230</v>
          </cell>
          <cell r="B5241" t="str">
            <v>MR</v>
          </cell>
          <cell r="C5241">
            <v>7.5</v>
          </cell>
          <cell r="D5241">
            <v>57</v>
          </cell>
          <cell r="E5241" t="str">
            <v>KH77</v>
          </cell>
          <cell r="F5241">
            <v>1240</v>
          </cell>
          <cell r="G5241">
            <v>25.62</v>
          </cell>
          <cell r="H5241">
            <v>1.25</v>
          </cell>
          <cell r="I5241" t="str">
            <v>From M1B to M4B - 25°</v>
          </cell>
          <cell r="J5241" t="str">
            <v>IE3</v>
          </cell>
          <cell r="K5241" t="str">
            <v>400/690</v>
          </cell>
          <cell r="L5241">
            <v>50</v>
          </cell>
          <cell r="M5241" t="str">
            <v>15,2/8,8</v>
          </cell>
          <cell r="N5241">
            <v>65</v>
          </cell>
          <cell r="O5241" t="str">
            <v>155(F)</v>
          </cell>
          <cell r="P5241" t="str">
            <v>270°</v>
          </cell>
          <cell r="Q5241" t="str">
            <v>TF</v>
          </cell>
          <cell r="R5241" t="str">
            <v>-</v>
          </cell>
          <cell r="S5241" t="str">
            <v>Free rotation CCW</v>
          </cell>
          <cell r="T5241" t="str">
            <v>-</v>
          </cell>
          <cell r="U5241" t="str">
            <v>T</v>
          </cell>
          <cell r="V5241" t="str">
            <v>D</v>
          </cell>
          <cell r="W5241" t="str">
            <v>-</v>
          </cell>
          <cell r="X5241" t="str">
            <v>CLP 220 (-15/+40°C)</v>
          </cell>
          <cell r="Y5241" t="str">
            <v>KH77/T DRN132M4 /RS /TF</v>
          </cell>
          <cell r="Z5241" t="str">
            <v>SEW</v>
          </cell>
          <cell r="AB5241" t="str">
            <v>-</v>
          </cell>
          <cell r="AF5241">
            <v>57</v>
          </cell>
          <cell r="AG5241" t="str">
            <v>DRN132M4</v>
          </cell>
          <cell r="AH5241" t="str">
            <v>KH77T-DRN132M4B270-X</v>
          </cell>
        </row>
        <row r="5242">
          <cell r="A5242" t="str">
            <v>MR005231</v>
          </cell>
          <cell r="B5242" t="str">
            <v>MR</v>
          </cell>
          <cell r="C5242">
            <v>7.5</v>
          </cell>
          <cell r="D5242">
            <v>63</v>
          </cell>
          <cell r="E5242" t="str">
            <v>R87</v>
          </cell>
          <cell r="F5242">
            <v>1140</v>
          </cell>
          <cell r="G5242">
            <v>23.4</v>
          </cell>
          <cell r="H5242">
            <v>1.35</v>
          </cell>
          <cell r="I5242" t="str">
            <v>M1</v>
          </cell>
          <cell r="J5242" t="str">
            <v>IE3</v>
          </cell>
          <cell r="K5242" t="str">
            <v>230/400</v>
          </cell>
          <cell r="L5242">
            <v>50</v>
          </cell>
          <cell r="M5242" t="str">
            <v>26,5/15,2</v>
          </cell>
          <cell r="N5242">
            <v>55</v>
          </cell>
          <cell r="O5242" t="str">
            <v>155(F)</v>
          </cell>
          <cell r="P5242" t="str">
            <v>270°</v>
          </cell>
          <cell r="Q5242" t="str">
            <v>TF</v>
          </cell>
          <cell r="R5242" t="str">
            <v>-</v>
          </cell>
          <cell r="S5242" t="str">
            <v>-</v>
          </cell>
          <cell r="T5242" t="str">
            <v>-</v>
          </cell>
          <cell r="U5242" t="str">
            <v>-</v>
          </cell>
          <cell r="V5242" t="str">
            <v>D</v>
          </cell>
          <cell r="W5242" t="str">
            <v>-</v>
          </cell>
          <cell r="X5242" t="str">
            <v>CLP 220 (-15/+40°C)</v>
          </cell>
          <cell r="Y5242" t="str">
            <v>R87DRN132M4 /TF</v>
          </cell>
          <cell r="Z5242" t="str">
            <v>SEW</v>
          </cell>
          <cell r="AB5242" t="str">
            <v>-</v>
          </cell>
          <cell r="AF5242">
            <v>63</v>
          </cell>
          <cell r="AG5242" t="str">
            <v>DRN132M4</v>
          </cell>
          <cell r="AH5242" t="str">
            <v>R87-DRN132M4270-X</v>
          </cell>
        </row>
        <row r="5243">
          <cell r="A5243" t="str">
            <v>MR005232</v>
          </cell>
          <cell r="B5243" t="str">
            <v>MR</v>
          </cell>
          <cell r="C5243">
            <v>7.5</v>
          </cell>
          <cell r="D5243">
            <v>63</v>
          </cell>
          <cell r="E5243" t="str">
            <v>R87</v>
          </cell>
          <cell r="F5243">
            <v>1140</v>
          </cell>
          <cell r="G5243">
            <v>23.4</v>
          </cell>
          <cell r="H5243">
            <v>1.35</v>
          </cell>
          <cell r="I5243" t="str">
            <v>M1</v>
          </cell>
          <cell r="J5243" t="str">
            <v>IE3</v>
          </cell>
          <cell r="K5243" t="str">
            <v>230/400</v>
          </cell>
          <cell r="L5243">
            <v>50</v>
          </cell>
          <cell r="M5243" t="str">
            <v>26,5/15,2</v>
          </cell>
          <cell r="N5243">
            <v>55</v>
          </cell>
          <cell r="O5243" t="str">
            <v>155(F)</v>
          </cell>
          <cell r="P5243" t="str">
            <v>270°</v>
          </cell>
          <cell r="Q5243" t="str">
            <v>TF</v>
          </cell>
          <cell r="R5243" t="str">
            <v>V(VE)</v>
          </cell>
          <cell r="S5243" t="str">
            <v>-</v>
          </cell>
          <cell r="T5243" t="str">
            <v>-</v>
          </cell>
          <cell r="U5243" t="str">
            <v>-</v>
          </cell>
          <cell r="V5243" t="str">
            <v>FC+R</v>
          </cell>
          <cell r="W5243" t="str">
            <v>-</v>
          </cell>
          <cell r="X5243" t="str">
            <v>CLP 220 (-15/+40°C)</v>
          </cell>
          <cell r="Y5243" t="str">
            <v>R87DRN132M4 /TF/V</v>
          </cell>
          <cell r="Z5243" t="str">
            <v>SEW</v>
          </cell>
          <cell r="AB5243" t="str">
            <v>-</v>
          </cell>
          <cell r="AF5243">
            <v>63</v>
          </cell>
          <cell r="AG5243" t="str">
            <v>DRN132M4</v>
          </cell>
          <cell r="AH5243" t="str">
            <v>R87-DRN132M4270-X#</v>
          </cell>
        </row>
        <row r="5244">
          <cell r="A5244" t="str">
            <v>MR005233</v>
          </cell>
          <cell r="B5244" t="str">
            <v>MR</v>
          </cell>
          <cell r="C5244">
            <v>1.5</v>
          </cell>
          <cell r="D5244">
            <v>22</v>
          </cell>
          <cell r="E5244" t="str">
            <v>FA67</v>
          </cell>
          <cell r="F5244">
            <v>660</v>
          </cell>
          <cell r="G5244">
            <v>67.650000000000006</v>
          </cell>
          <cell r="H5244">
            <v>1.25</v>
          </cell>
          <cell r="I5244" t="str">
            <v>M5</v>
          </cell>
          <cell r="J5244" t="str">
            <v>IE3</v>
          </cell>
          <cell r="K5244" t="str">
            <v>230/400</v>
          </cell>
          <cell r="L5244">
            <v>50</v>
          </cell>
          <cell r="M5244" t="str">
            <v>5,9/3,4</v>
          </cell>
          <cell r="N5244">
            <v>55</v>
          </cell>
          <cell r="O5244" t="str">
            <v>155(F)</v>
          </cell>
          <cell r="P5244" t="str">
            <v>270°</v>
          </cell>
          <cell r="Q5244" t="str">
            <v>TF</v>
          </cell>
          <cell r="R5244" t="str">
            <v>-</v>
          </cell>
          <cell r="S5244" t="str">
            <v>-</v>
          </cell>
          <cell r="T5244" t="str">
            <v>BEHF</v>
          </cell>
          <cell r="U5244" t="str">
            <v>G</v>
          </cell>
          <cell r="V5244" t="str">
            <v>D+R</v>
          </cell>
          <cell r="W5244" t="str">
            <v>-</v>
          </cell>
          <cell r="X5244" t="str">
            <v>CLP 220 (-15/+40°C)</v>
          </cell>
          <cell r="Y5244" t="str">
            <v>FA67/G DRN90L4 /BEHF /TF</v>
          </cell>
          <cell r="Z5244" t="str">
            <v>SEW</v>
          </cell>
          <cell r="AB5244" t="str">
            <v>-</v>
          </cell>
          <cell r="AF5244">
            <v>22</v>
          </cell>
          <cell r="AG5244" t="str">
            <v>DRN90L4</v>
          </cell>
          <cell r="AH5244" t="str">
            <v>FA67G-DRN90L4270-X</v>
          </cell>
        </row>
        <row r="5245">
          <cell r="A5245" t="str">
            <v>MR005234</v>
          </cell>
          <cell r="B5245" t="str">
            <v>MR</v>
          </cell>
          <cell r="C5245">
            <v>9.1999999999999993</v>
          </cell>
          <cell r="D5245">
            <v>66</v>
          </cell>
          <cell r="E5245" t="str">
            <v>R97</v>
          </cell>
          <cell r="F5245">
            <v>1340</v>
          </cell>
          <cell r="G5245">
            <v>22.37</v>
          </cell>
          <cell r="H5245">
            <v>1.6</v>
          </cell>
          <cell r="I5245" t="str">
            <v>M1</v>
          </cell>
          <cell r="J5245" t="str">
            <v>IE3</v>
          </cell>
          <cell r="K5245" t="str">
            <v>230/400</v>
          </cell>
          <cell r="L5245">
            <v>50</v>
          </cell>
          <cell r="M5245" t="str">
            <v>32,5/18,7</v>
          </cell>
          <cell r="N5245">
            <v>55</v>
          </cell>
          <cell r="O5245" t="str">
            <v>155(F)</v>
          </cell>
          <cell r="P5245" t="str">
            <v>270°</v>
          </cell>
          <cell r="Q5245" t="str">
            <v>TF</v>
          </cell>
          <cell r="R5245" t="str">
            <v>-</v>
          </cell>
          <cell r="S5245" t="str">
            <v>-</v>
          </cell>
          <cell r="T5245" t="str">
            <v>-</v>
          </cell>
          <cell r="U5245" t="str">
            <v>-</v>
          </cell>
          <cell r="V5245" t="str">
            <v>D</v>
          </cell>
          <cell r="W5245" t="str">
            <v>-</v>
          </cell>
          <cell r="X5245" t="str">
            <v>CLP 220 (-15/+40°C)</v>
          </cell>
          <cell r="Y5245" t="str">
            <v>R97DRN132L4 /TF</v>
          </cell>
          <cell r="Z5245" t="str">
            <v>SEW</v>
          </cell>
          <cell r="AB5245" t="str">
            <v>-</v>
          </cell>
          <cell r="AF5245">
            <v>66</v>
          </cell>
          <cell r="AG5245" t="str">
            <v>DRN132L4</v>
          </cell>
          <cell r="AH5245" t="str">
            <v>R97-DRN132L4270-X</v>
          </cell>
        </row>
        <row r="5246">
          <cell r="A5246" t="str">
            <v>MR005235</v>
          </cell>
          <cell r="B5246" t="str">
            <v>MR</v>
          </cell>
          <cell r="C5246">
            <v>18.5</v>
          </cell>
          <cell r="D5246">
            <v>12</v>
          </cell>
          <cell r="E5246" t="str">
            <v>KH157</v>
          </cell>
          <cell r="F5246">
            <v>14600</v>
          </cell>
          <cell r="G5246" t="str">
            <v>122,39</v>
          </cell>
          <cell r="H5246" t="str">
            <v>1,35</v>
          </cell>
          <cell r="I5246" t="str">
            <v>From M1B to M2B - 15°</v>
          </cell>
          <cell r="J5246" t="str">
            <v>IE3</v>
          </cell>
          <cell r="K5246" t="str">
            <v>230/400</v>
          </cell>
          <cell r="L5246">
            <v>50</v>
          </cell>
          <cell r="M5246" t="str">
            <v>58/33,5</v>
          </cell>
          <cell r="N5246">
            <v>55</v>
          </cell>
          <cell r="O5246" t="str">
            <v>155(F)</v>
          </cell>
          <cell r="P5246" t="str">
            <v>270°</v>
          </cell>
          <cell r="Q5246" t="str">
            <v>TF</v>
          </cell>
          <cell r="R5246" t="str">
            <v>-</v>
          </cell>
          <cell r="S5246" t="str">
            <v>-</v>
          </cell>
          <cell r="T5246" t="str">
            <v>-</v>
          </cell>
          <cell r="U5246" t="str">
            <v>-</v>
          </cell>
          <cell r="V5246" t="str">
            <v>SS</v>
          </cell>
          <cell r="W5246" t="str">
            <v>-</v>
          </cell>
          <cell r="X5246" t="str">
            <v>CLP 220 (-15/+40°C)</v>
          </cell>
          <cell r="Y5246" t="str">
            <v>KH157DRN180M4 /TF</v>
          </cell>
          <cell r="Z5246" t="str">
            <v>SEW</v>
          </cell>
          <cell r="AB5246" t="str">
            <v>-</v>
          </cell>
          <cell r="AF5246">
            <v>12</v>
          </cell>
          <cell r="AG5246" t="str">
            <v>DRN180M4</v>
          </cell>
          <cell r="AH5246" t="str">
            <v>KH157-DRN180M4B270-X</v>
          </cell>
        </row>
        <row r="5247">
          <cell r="A5247" t="str">
            <v>MR005236</v>
          </cell>
          <cell r="B5247" t="str">
            <v>MR</v>
          </cell>
          <cell r="C5247">
            <v>18.5</v>
          </cell>
          <cell r="D5247">
            <v>12</v>
          </cell>
          <cell r="E5247" t="str">
            <v>KH157</v>
          </cell>
          <cell r="F5247">
            <v>14600</v>
          </cell>
          <cell r="G5247" t="str">
            <v>122,39</v>
          </cell>
          <cell r="H5247" t="str">
            <v>1,35</v>
          </cell>
          <cell r="I5247" t="str">
            <v>From M1A to M2A - 15°</v>
          </cell>
          <cell r="J5247" t="str">
            <v>IE3</v>
          </cell>
          <cell r="K5247" t="str">
            <v>230/400</v>
          </cell>
          <cell r="L5247">
            <v>50</v>
          </cell>
          <cell r="M5247" t="str">
            <v>58/33,5</v>
          </cell>
          <cell r="N5247">
            <v>55</v>
          </cell>
          <cell r="O5247" t="str">
            <v>155(F)</v>
          </cell>
          <cell r="P5247" t="str">
            <v>270°</v>
          </cell>
          <cell r="Q5247" t="str">
            <v>TF</v>
          </cell>
          <cell r="R5247" t="str">
            <v>-</v>
          </cell>
          <cell r="S5247" t="str">
            <v>-</v>
          </cell>
          <cell r="T5247" t="str">
            <v>-</v>
          </cell>
          <cell r="U5247" t="str">
            <v>-</v>
          </cell>
          <cell r="V5247" t="str">
            <v>SS</v>
          </cell>
          <cell r="W5247" t="str">
            <v>-</v>
          </cell>
          <cell r="X5247" t="str">
            <v>CLP 220 (-15/+40°C)</v>
          </cell>
          <cell r="Y5247" t="str">
            <v>KH157DRN180M4 /TF</v>
          </cell>
          <cell r="Z5247" t="str">
            <v>SEW</v>
          </cell>
          <cell r="AB5247" t="str">
            <v>-</v>
          </cell>
          <cell r="AF5247">
            <v>12</v>
          </cell>
          <cell r="AG5247" t="str">
            <v>DRN180M4</v>
          </cell>
          <cell r="AH5247" t="str">
            <v>KH157-DRN180M4A270-X</v>
          </cell>
        </row>
        <row r="5248">
          <cell r="A5248" t="str">
            <v>MR005237</v>
          </cell>
          <cell r="B5248" t="str">
            <v>MR</v>
          </cell>
          <cell r="C5248">
            <v>5.5</v>
          </cell>
          <cell r="D5248">
            <v>68</v>
          </cell>
          <cell r="E5248" t="str">
            <v>R87</v>
          </cell>
          <cell r="F5248">
            <v>770</v>
          </cell>
          <cell r="G5248">
            <v>21.51</v>
          </cell>
          <cell r="H5248">
            <v>1.95</v>
          </cell>
          <cell r="I5248" t="str">
            <v>M1</v>
          </cell>
          <cell r="J5248" t="str">
            <v>IE3</v>
          </cell>
          <cell r="K5248" t="str">
            <v>230/400</v>
          </cell>
          <cell r="L5248">
            <v>50</v>
          </cell>
          <cell r="M5248" t="str">
            <v>19,3/11,1</v>
          </cell>
          <cell r="N5248">
            <v>55</v>
          </cell>
          <cell r="O5248" t="str">
            <v>155(F)</v>
          </cell>
          <cell r="P5248" t="str">
            <v>270°</v>
          </cell>
          <cell r="Q5248" t="str">
            <v>TF</v>
          </cell>
          <cell r="R5248" t="str">
            <v>V(VE)</v>
          </cell>
          <cell r="S5248" t="str">
            <v>-</v>
          </cell>
          <cell r="T5248" t="str">
            <v>-</v>
          </cell>
          <cell r="U5248" t="str">
            <v>-</v>
          </cell>
          <cell r="V5248" t="str">
            <v>FC</v>
          </cell>
          <cell r="W5248" t="str">
            <v>-</v>
          </cell>
          <cell r="X5248" t="str">
            <v>CLP 220 (-15/+40°C)</v>
          </cell>
          <cell r="Y5248" t="str">
            <v>R87DRN132S4 /TF/V</v>
          </cell>
          <cell r="Z5248" t="str">
            <v>SEW</v>
          </cell>
          <cell r="AB5248" t="str">
            <v>-</v>
          </cell>
          <cell r="AF5248">
            <v>68</v>
          </cell>
          <cell r="AG5248" t="str">
            <v>DRN132S4</v>
          </cell>
          <cell r="AH5248" t="str">
            <v>R87-DRN132S4270-X#</v>
          </cell>
        </row>
        <row r="5249">
          <cell r="A5249" t="str">
            <v>MR005238</v>
          </cell>
          <cell r="B5249" t="str">
            <v>MR</v>
          </cell>
          <cell r="C5249">
            <v>9.1999999999999993</v>
          </cell>
          <cell r="D5249">
            <v>69</v>
          </cell>
          <cell r="E5249" t="str">
            <v>FH87</v>
          </cell>
          <cell r="F5249">
            <v>1270</v>
          </cell>
          <cell r="G5249">
            <v>21.32</v>
          </cell>
          <cell r="H5249">
            <v>2.4</v>
          </cell>
          <cell r="I5249" t="str">
            <v>From M1 to M2 - 15°</v>
          </cell>
          <cell r="J5249" t="str">
            <v>IE3</v>
          </cell>
          <cell r="K5249" t="str">
            <v>400/690</v>
          </cell>
          <cell r="L5249">
            <v>50</v>
          </cell>
          <cell r="M5249" t="str">
            <v>18,7/10,8</v>
          </cell>
          <cell r="N5249">
            <v>65</v>
          </cell>
          <cell r="O5249" t="str">
            <v>155(F)</v>
          </cell>
          <cell r="P5249" t="str">
            <v>270°</v>
          </cell>
          <cell r="Q5249" t="str">
            <v>TF</v>
          </cell>
          <cell r="R5249" t="str">
            <v>-</v>
          </cell>
          <cell r="S5249" t="str">
            <v>-</v>
          </cell>
          <cell r="T5249" t="str">
            <v>-</v>
          </cell>
          <cell r="U5249" t="str">
            <v>G</v>
          </cell>
          <cell r="V5249" t="str">
            <v>D</v>
          </cell>
          <cell r="W5249" t="str">
            <v>-</v>
          </cell>
          <cell r="X5249" t="str">
            <v>CLP 220 (-15/+40°C)</v>
          </cell>
          <cell r="Y5249" t="str">
            <v>FH87/G DRN132L4 /TF</v>
          </cell>
          <cell r="Z5249" t="str">
            <v>SEW</v>
          </cell>
          <cell r="AB5249" t="str">
            <v>-</v>
          </cell>
          <cell r="AF5249">
            <v>69</v>
          </cell>
          <cell r="AG5249" t="str">
            <v>DRN132L4</v>
          </cell>
          <cell r="AH5249" t="str">
            <v>FH87G-DRN132L4270-X</v>
          </cell>
        </row>
        <row r="5250">
          <cell r="A5250" t="str">
            <v>MR005239</v>
          </cell>
          <cell r="B5250" t="str">
            <v>MR</v>
          </cell>
          <cell r="C5250">
            <v>45</v>
          </cell>
          <cell r="D5250">
            <v>77</v>
          </cell>
          <cell r="E5250" t="str">
            <v>FH107</v>
          </cell>
          <cell r="F5250">
            <v>5560</v>
          </cell>
          <cell r="G5250">
            <v>19.2</v>
          </cell>
          <cell r="H5250">
            <v>1.4</v>
          </cell>
          <cell r="I5250" t="str">
            <v>M4</v>
          </cell>
          <cell r="J5250" t="str">
            <v>IE3</v>
          </cell>
          <cell r="K5250" t="str">
            <v>400/690</v>
          </cell>
          <cell r="L5250">
            <v>50</v>
          </cell>
          <cell r="M5250" t="str">
            <v>81/47</v>
          </cell>
          <cell r="N5250">
            <v>65</v>
          </cell>
          <cell r="O5250" t="str">
            <v>155(F)</v>
          </cell>
          <cell r="P5250" t="str">
            <v>270°</v>
          </cell>
          <cell r="Q5250" t="str">
            <v>TF</v>
          </cell>
          <cell r="R5250" t="str">
            <v>-</v>
          </cell>
          <cell r="S5250" t="str">
            <v>-</v>
          </cell>
          <cell r="T5250" t="str">
            <v>-</v>
          </cell>
          <cell r="U5250" t="str">
            <v>G</v>
          </cell>
          <cell r="V5250" t="str">
            <v>D</v>
          </cell>
          <cell r="W5250" t="str">
            <v>-</v>
          </cell>
          <cell r="X5250" t="str">
            <v>CLP 220 (-15/+40°C)</v>
          </cell>
          <cell r="Y5250" t="str">
            <v>FH107/G DRN225M4 /TF</v>
          </cell>
          <cell r="Z5250" t="str">
            <v>SEW</v>
          </cell>
          <cell r="AB5250" t="str">
            <v>-</v>
          </cell>
          <cell r="AF5250">
            <v>77</v>
          </cell>
          <cell r="AG5250" t="str">
            <v>DRN225M4</v>
          </cell>
          <cell r="AH5250" t="str">
            <v>FH107G-DRN225M4270-X</v>
          </cell>
        </row>
        <row r="5251">
          <cell r="A5251" t="str">
            <v>MR005240</v>
          </cell>
          <cell r="B5251" t="str">
            <v>MR</v>
          </cell>
          <cell r="C5251">
            <v>3</v>
          </cell>
          <cell r="D5251">
            <v>64</v>
          </cell>
          <cell r="E5251" t="str">
            <v>KH67</v>
          </cell>
          <cell r="F5251">
            <v>445</v>
          </cell>
          <cell r="G5251">
            <v>22.66</v>
          </cell>
          <cell r="H5251">
            <v>1.75</v>
          </cell>
          <cell r="I5251" t="str">
            <v>M3A</v>
          </cell>
          <cell r="J5251" t="str">
            <v>IE3</v>
          </cell>
          <cell r="K5251" t="str">
            <v>230/400</v>
          </cell>
          <cell r="L5251">
            <v>50</v>
          </cell>
          <cell r="M5251" t="str">
            <v>11,2/6,4</v>
          </cell>
          <cell r="N5251">
            <v>65</v>
          </cell>
          <cell r="O5251" t="str">
            <v>155(F)</v>
          </cell>
          <cell r="P5251" t="str">
            <v>180°</v>
          </cell>
          <cell r="Q5251" t="str">
            <v>TF</v>
          </cell>
          <cell r="R5251" t="str">
            <v>-</v>
          </cell>
          <cell r="S5251" t="str">
            <v>Free rotation CCW</v>
          </cell>
          <cell r="T5251" t="str">
            <v>-</v>
          </cell>
          <cell r="U5251" t="str">
            <v>T</v>
          </cell>
          <cell r="V5251" t="str">
            <v>D</v>
          </cell>
          <cell r="W5251" t="str">
            <v>-</v>
          </cell>
          <cell r="X5251" t="str">
            <v>CLP 220 (-15/+40°C)</v>
          </cell>
          <cell r="Y5251" t="str">
            <v>KH67/T DRN100L4 /RS /TF</v>
          </cell>
          <cell r="Z5251" t="str">
            <v>SEW</v>
          </cell>
          <cell r="AB5251" t="str">
            <v>-</v>
          </cell>
          <cell r="AF5251">
            <v>64</v>
          </cell>
          <cell r="AG5251" t="str">
            <v>DRN100L4</v>
          </cell>
          <cell r="AH5251" t="str">
            <v>KH67T-DRN100L4A180-X</v>
          </cell>
        </row>
        <row r="5252">
          <cell r="A5252" t="str">
            <v>MR005241</v>
          </cell>
          <cell r="B5252" t="str">
            <v>MR</v>
          </cell>
          <cell r="C5252">
            <v>0.55000000000000004</v>
          </cell>
          <cell r="D5252">
            <v>3.9</v>
          </cell>
          <cell r="E5252" t="str">
            <v>KA77R37</v>
          </cell>
          <cell r="F5252">
            <v>1210</v>
          </cell>
          <cell r="G5252">
            <v>367</v>
          </cell>
          <cell r="H5252">
            <v>1.25</v>
          </cell>
          <cell r="I5252" t="str">
            <v>M3B</v>
          </cell>
          <cell r="J5252" t="str">
            <v>IE3</v>
          </cell>
          <cell r="K5252" t="str">
            <v>230/400</v>
          </cell>
          <cell r="L5252">
            <v>50</v>
          </cell>
          <cell r="M5252" t="str">
            <v>2,25/1,29</v>
          </cell>
          <cell r="N5252">
            <v>55</v>
          </cell>
          <cell r="O5252" t="str">
            <v>155(F)</v>
          </cell>
          <cell r="P5252" t="str">
            <v>0°</v>
          </cell>
          <cell r="Q5252" t="str">
            <v>TF</v>
          </cell>
          <cell r="R5252" t="str">
            <v>-</v>
          </cell>
          <cell r="S5252" t="str">
            <v>-</v>
          </cell>
          <cell r="T5252" t="str">
            <v>BEHF</v>
          </cell>
          <cell r="U5252" t="str">
            <v>T</v>
          </cell>
          <cell r="V5252" t="str">
            <v>D+R</v>
          </cell>
          <cell r="W5252" t="str">
            <v>-</v>
          </cell>
          <cell r="X5252" t="str">
            <v>CLP 220 (-15/+40°C)</v>
          </cell>
          <cell r="Y5252" t="str">
            <v>KA77R37/T EDRE80S4 /BEHF /TF</v>
          </cell>
          <cell r="Z5252" t="str">
            <v>SEW</v>
          </cell>
          <cell r="AB5252" t="str">
            <v>ATEX22</v>
          </cell>
          <cell r="AF5252">
            <v>3.9</v>
          </cell>
          <cell r="AG5252" t="str">
            <v>EDRE80S4</v>
          </cell>
          <cell r="AH5252" t="str">
            <v>KA77R37T-EDRE80S4B0-X</v>
          </cell>
        </row>
        <row r="5253">
          <cell r="A5253" t="str">
            <v>MR005242</v>
          </cell>
          <cell r="B5253" t="str">
            <v>MR</v>
          </cell>
          <cell r="C5253">
            <v>15</v>
          </cell>
          <cell r="D5253">
            <v>48</v>
          </cell>
          <cell r="E5253" t="str">
            <v>KH97</v>
          </cell>
          <cell r="F5253">
            <v>2990</v>
          </cell>
          <cell r="G5253">
            <v>30.82</v>
          </cell>
          <cell r="H5253">
            <v>1.45</v>
          </cell>
          <cell r="I5253" t="str">
            <v>From M4B to M1B-25°</v>
          </cell>
          <cell r="J5253" t="str">
            <v>IE3</v>
          </cell>
          <cell r="K5253" t="str">
            <v>400/690</v>
          </cell>
          <cell r="L5253">
            <v>50</v>
          </cell>
          <cell r="M5253" t="str">
            <v>29/16,7</v>
          </cell>
          <cell r="N5253">
            <v>65</v>
          </cell>
          <cell r="O5253" t="str">
            <v>155(F)</v>
          </cell>
          <cell r="P5253" t="str">
            <v>270°</v>
          </cell>
          <cell r="Q5253" t="str">
            <v>TF</v>
          </cell>
          <cell r="R5253" t="str">
            <v>-</v>
          </cell>
          <cell r="S5253" t="str">
            <v>Free rotation CW</v>
          </cell>
          <cell r="T5253" t="str">
            <v>-</v>
          </cell>
          <cell r="U5253" t="str">
            <v>T</v>
          </cell>
          <cell r="V5253" t="str">
            <v>SS</v>
          </cell>
          <cell r="W5253" t="str">
            <v>-</v>
          </cell>
          <cell r="X5253" t="str">
            <v>CLP 220 (-15/+40°C)</v>
          </cell>
          <cell r="Y5253" t="str">
            <v>KH97/T DRN160L4 /RS /TF</v>
          </cell>
          <cell r="Z5253" t="str">
            <v>SEW</v>
          </cell>
          <cell r="AB5253" t="str">
            <v>-</v>
          </cell>
          <cell r="AF5253">
            <v>48</v>
          </cell>
          <cell r="AG5253" t="str">
            <v>DRN160L4</v>
          </cell>
          <cell r="AH5253" t="str">
            <v>KH97T-DRN160L4B270-X</v>
          </cell>
        </row>
        <row r="5254">
          <cell r="A5254" t="str">
            <v>MR005243</v>
          </cell>
          <cell r="B5254" t="str">
            <v>MR</v>
          </cell>
          <cell r="C5254">
            <v>15</v>
          </cell>
          <cell r="D5254">
            <v>48</v>
          </cell>
          <cell r="E5254" t="str">
            <v>KH97</v>
          </cell>
          <cell r="F5254">
            <v>2990</v>
          </cell>
          <cell r="G5254">
            <v>30.82</v>
          </cell>
          <cell r="H5254">
            <v>1.45</v>
          </cell>
          <cell r="I5254" t="str">
            <v>M4A</v>
          </cell>
          <cell r="J5254" t="str">
            <v>IE3</v>
          </cell>
          <cell r="K5254" t="str">
            <v>400/690</v>
          </cell>
          <cell r="L5254">
            <v>50</v>
          </cell>
          <cell r="M5254" t="str">
            <v>29/16,7</v>
          </cell>
          <cell r="N5254">
            <v>65</v>
          </cell>
          <cell r="O5254" t="str">
            <v>155(F)</v>
          </cell>
          <cell r="P5254" t="str">
            <v>270°</v>
          </cell>
          <cell r="Q5254" t="str">
            <v>TF</v>
          </cell>
          <cell r="R5254" t="str">
            <v>-</v>
          </cell>
          <cell r="S5254" t="str">
            <v>-</v>
          </cell>
          <cell r="T5254" t="str">
            <v>-</v>
          </cell>
          <cell r="U5254" t="str">
            <v>T</v>
          </cell>
          <cell r="V5254" t="str">
            <v>SS</v>
          </cell>
          <cell r="W5254" t="str">
            <v>-</v>
          </cell>
          <cell r="X5254" t="str">
            <v>CLP 220 (-15/+40°C)</v>
          </cell>
          <cell r="Y5254" t="str">
            <v>KH97/T DRN160L4 /TF</v>
          </cell>
          <cell r="Z5254" t="str">
            <v>SEW</v>
          </cell>
          <cell r="AB5254" t="str">
            <v>-</v>
          </cell>
          <cell r="AF5254">
            <v>48</v>
          </cell>
          <cell r="AG5254" t="str">
            <v>DRN160L4</v>
          </cell>
          <cell r="AH5254" t="str">
            <v>KH97T-DRN160L4A270-X</v>
          </cell>
        </row>
        <row r="5255">
          <cell r="A5255" t="str">
            <v>MR005244</v>
          </cell>
          <cell r="B5255" t="str">
            <v>MR</v>
          </cell>
          <cell r="C5255">
            <v>11</v>
          </cell>
          <cell r="D5255">
            <v>56</v>
          </cell>
          <cell r="E5255" t="str">
            <v>FH87</v>
          </cell>
          <cell r="F5255">
            <v>1880</v>
          </cell>
          <cell r="G5255">
            <v>26.5</v>
          </cell>
          <cell r="H5255">
            <v>1.6</v>
          </cell>
          <cell r="I5255" t="str">
            <v>From M1 to M2 - 5°</v>
          </cell>
          <cell r="J5255" t="str">
            <v>IE3</v>
          </cell>
          <cell r="K5255" t="str">
            <v>230/400</v>
          </cell>
          <cell r="L5255">
            <v>50</v>
          </cell>
          <cell r="M5255" t="str">
            <v>36,5/21</v>
          </cell>
          <cell r="N5255">
            <v>55</v>
          </cell>
          <cell r="O5255" t="str">
            <v>155(F)</v>
          </cell>
          <cell r="P5255" t="str">
            <v>270°</v>
          </cell>
          <cell r="Q5255" t="str">
            <v>TF</v>
          </cell>
          <cell r="R5255" t="str">
            <v>V(VE)</v>
          </cell>
          <cell r="S5255" t="str">
            <v>-</v>
          </cell>
          <cell r="T5255" t="str">
            <v>-</v>
          </cell>
          <cell r="U5255" t="str">
            <v>G</v>
          </cell>
          <cell r="V5255" t="str">
            <v>FC</v>
          </cell>
          <cell r="W5255" t="str">
            <v>-</v>
          </cell>
          <cell r="X5255" t="str">
            <v>CLP 220 (-15/+40°C)</v>
          </cell>
          <cell r="Y5255" t="str">
            <v>FH87/G DRN160M4 /TF/V</v>
          </cell>
          <cell r="Z5255" t="str">
            <v>SEW</v>
          </cell>
          <cell r="AB5255" t="str">
            <v>-</v>
          </cell>
          <cell r="AF5255">
            <v>56</v>
          </cell>
          <cell r="AG5255" t="str">
            <v>DRN160M4</v>
          </cell>
          <cell r="AH5255" t="str">
            <v>FH87G-DRN160M4270-X#</v>
          </cell>
        </row>
        <row r="5256">
          <cell r="A5256" t="str">
            <v>MR005245</v>
          </cell>
          <cell r="B5256" t="str">
            <v>MR</v>
          </cell>
          <cell r="C5256">
            <v>18.5</v>
          </cell>
          <cell r="D5256">
            <v>16</v>
          </cell>
          <cell r="E5256" t="str">
            <v>KH127</v>
          </cell>
          <cell r="F5256">
            <v>11300</v>
          </cell>
          <cell r="G5256">
            <v>94.6</v>
          </cell>
          <cell r="H5256">
            <v>1.1499999999999999</v>
          </cell>
          <cell r="I5256" t="str">
            <v>From M1A to M4A - 85°</v>
          </cell>
          <cell r="J5256" t="str">
            <v>IE3</v>
          </cell>
          <cell r="K5256" t="str">
            <v>400/690</v>
          </cell>
          <cell r="L5256">
            <v>50</v>
          </cell>
          <cell r="M5256" t="str">
            <v>33,5/19,3</v>
          </cell>
          <cell r="N5256">
            <v>55</v>
          </cell>
          <cell r="O5256" t="str">
            <v>155(F)</v>
          </cell>
          <cell r="P5256" t="str">
            <v>270°</v>
          </cell>
          <cell r="Q5256" t="str">
            <v>TF</v>
          </cell>
          <cell r="R5256" t="str">
            <v>-</v>
          </cell>
          <cell r="S5256" t="str">
            <v>-</v>
          </cell>
          <cell r="T5256" t="str">
            <v>-</v>
          </cell>
          <cell r="U5256" t="str">
            <v>-</v>
          </cell>
          <cell r="V5256" t="str">
            <v>SS</v>
          </cell>
          <cell r="W5256" t="str">
            <v>-</v>
          </cell>
          <cell r="X5256" t="str">
            <v>CLP 220 (-15/+40°C)</v>
          </cell>
          <cell r="Y5256" t="str">
            <v>KH127EDRN180M4 /TF</v>
          </cell>
          <cell r="Z5256" t="str">
            <v>SEW</v>
          </cell>
          <cell r="AB5256" t="str">
            <v>ATEX22</v>
          </cell>
          <cell r="AF5256">
            <v>16</v>
          </cell>
          <cell r="AG5256" t="str">
            <v>EDRN180M4</v>
          </cell>
          <cell r="AH5256" t="str">
            <v>KH127-EDRN180M4A270-X</v>
          </cell>
        </row>
        <row r="5257">
          <cell r="A5257" t="str">
            <v>MR005246</v>
          </cell>
          <cell r="B5257" t="str">
            <v>MR</v>
          </cell>
          <cell r="C5257">
            <v>18.5</v>
          </cell>
          <cell r="D5257">
            <v>16</v>
          </cell>
          <cell r="E5257" t="str">
            <v>KH127</v>
          </cell>
          <cell r="F5257">
            <v>11300</v>
          </cell>
          <cell r="G5257">
            <v>94.6</v>
          </cell>
          <cell r="H5257">
            <v>1.1499999999999999</v>
          </cell>
          <cell r="I5257" t="str">
            <v>From M1B to M4B - 85°</v>
          </cell>
          <cell r="J5257" t="str">
            <v>IE3</v>
          </cell>
          <cell r="K5257" t="str">
            <v>400/690</v>
          </cell>
          <cell r="L5257">
            <v>50</v>
          </cell>
          <cell r="M5257" t="str">
            <v>33,5/19,3</v>
          </cell>
          <cell r="N5257">
            <v>55</v>
          </cell>
          <cell r="O5257" t="str">
            <v>155(F)</v>
          </cell>
          <cell r="P5257" t="str">
            <v>270°</v>
          </cell>
          <cell r="Q5257" t="str">
            <v>TF</v>
          </cell>
          <cell r="R5257" t="str">
            <v>-</v>
          </cell>
          <cell r="S5257" t="str">
            <v>-</v>
          </cell>
          <cell r="T5257" t="str">
            <v>-</v>
          </cell>
          <cell r="U5257" t="str">
            <v>-</v>
          </cell>
          <cell r="V5257" t="str">
            <v>SS</v>
          </cell>
          <cell r="W5257" t="str">
            <v>-</v>
          </cell>
          <cell r="X5257" t="str">
            <v>CLP 220 (-15/+40°C)</v>
          </cell>
          <cell r="Y5257" t="str">
            <v>KH127EDRN180M4 /TF</v>
          </cell>
          <cell r="Z5257" t="str">
            <v>SEW</v>
          </cell>
          <cell r="AB5257" t="str">
            <v>ATEX22</v>
          </cell>
          <cell r="AF5257">
            <v>16</v>
          </cell>
          <cell r="AG5257" t="str">
            <v>EDRN180M4</v>
          </cell>
          <cell r="AH5257" t="str">
            <v>KH127-EDRN180M4B270-X</v>
          </cell>
        </row>
        <row r="5258">
          <cell r="A5258" t="str">
            <v>MR005247</v>
          </cell>
          <cell r="B5258" t="str">
            <v>MR</v>
          </cell>
          <cell r="C5258">
            <v>1.5</v>
          </cell>
          <cell r="D5258">
            <v>22</v>
          </cell>
          <cell r="E5258" t="str">
            <v>FA67</v>
          </cell>
          <cell r="F5258">
            <v>665</v>
          </cell>
          <cell r="G5258" t="str">
            <v>67,65</v>
          </cell>
          <cell r="H5258" t="str">
            <v>1,15</v>
          </cell>
          <cell r="I5258" t="str">
            <v>From M5 to M3 - 5°</v>
          </cell>
          <cell r="J5258" t="str">
            <v>IE3</v>
          </cell>
          <cell r="K5258" t="str">
            <v>230/400</v>
          </cell>
          <cell r="L5258">
            <v>50</v>
          </cell>
          <cell r="M5258" t="str">
            <v>6,1/3,5</v>
          </cell>
          <cell r="N5258">
            <v>55</v>
          </cell>
          <cell r="O5258" t="str">
            <v>155(F)</v>
          </cell>
          <cell r="P5258" t="str">
            <v>180°</v>
          </cell>
          <cell r="Q5258" t="str">
            <v>TF</v>
          </cell>
          <cell r="R5258" t="str">
            <v>-</v>
          </cell>
          <cell r="S5258" t="str">
            <v>-</v>
          </cell>
          <cell r="T5258" t="str">
            <v>BEHF</v>
          </cell>
          <cell r="U5258" t="str">
            <v>G</v>
          </cell>
          <cell r="V5258" t="str">
            <v>D+R</v>
          </cell>
          <cell r="W5258" t="str">
            <v>-</v>
          </cell>
          <cell r="X5258" t="str">
            <v>CLP 220 (-15/+40°C)</v>
          </cell>
          <cell r="Y5258" t="str">
            <v>FA67/G EDRN90L4 /BEHF /TF</v>
          </cell>
          <cell r="Z5258" t="str">
            <v>SEW</v>
          </cell>
          <cell r="AB5258" t="str">
            <v>ATEX22</v>
          </cell>
          <cell r="AE5258" t="str">
            <v>Rectifier for brake in the terminal box</v>
          </cell>
          <cell r="AF5258">
            <v>22</v>
          </cell>
          <cell r="AG5258" t="str">
            <v>EDRN90L4</v>
          </cell>
          <cell r="AH5258" t="str">
            <v>FA67G-EDRN90L4180-X</v>
          </cell>
        </row>
        <row r="5259">
          <cell r="A5259" t="str">
            <v>MR005248</v>
          </cell>
          <cell r="B5259" t="str">
            <v>MR</v>
          </cell>
          <cell r="C5259">
            <v>5.5</v>
          </cell>
          <cell r="D5259">
            <v>57</v>
          </cell>
          <cell r="E5259" t="str">
            <v>KH77</v>
          </cell>
          <cell r="F5259">
            <v>920</v>
          </cell>
          <cell r="G5259">
            <v>25.62</v>
          </cell>
          <cell r="H5259">
            <v>1.7</v>
          </cell>
          <cell r="I5259" t="str">
            <v>From M1A to M4A -80°</v>
          </cell>
          <cell r="J5259" t="str">
            <v>IE3</v>
          </cell>
          <cell r="K5259" t="str">
            <v>230/400</v>
          </cell>
          <cell r="L5259">
            <v>50</v>
          </cell>
          <cell r="M5259" t="str">
            <v>10,5/6,10</v>
          </cell>
          <cell r="N5259">
            <v>55</v>
          </cell>
          <cell r="O5259" t="str">
            <v>155(F)</v>
          </cell>
          <cell r="P5259" t="str">
            <v>270°</v>
          </cell>
          <cell r="Q5259" t="str">
            <v>TF</v>
          </cell>
          <cell r="R5259" t="str">
            <v>-</v>
          </cell>
          <cell r="S5259" t="str">
            <v>-</v>
          </cell>
          <cell r="T5259" t="str">
            <v>-</v>
          </cell>
          <cell r="U5259" t="str">
            <v>T</v>
          </cell>
          <cell r="V5259" t="str">
            <v>SS+R</v>
          </cell>
          <cell r="W5259" t="str">
            <v>-</v>
          </cell>
          <cell r="X5259" t="str">
            <v>CLP 220 (-15/+40°C)</v>
          </cell>
          <cell r="Y5259" t="str">
            <v>KH77/T EDRN132S4 /TF</v>
          </cell>
          <cell r="Z5259" t="str">
            <v>SEW</v>
          </cell>
          <cell r="AB5259" t="str">
            <v>ATEX22</v>
          </cell>
          <cell r="AF5259">
            <v>57</v>
          </cell>
          <cell r="AG5259" t="str">
            <v>EDRN132S4</v>
          </cell>
          <cell r="AH5259" t="str">
            <v>KH77T-EDRN132S4A270-X</v>
          </cell>
        </row>
        <row r="5260">
          <cell r="A5260" t="str">
            <v>MR005249</v>
          </cell>
          <cell r="B5260" t="str">
            <v>MR</v>
          </cell>
          <cell r="C5260">
            <v>5.5</v>
          </cell>
          <cell r="D5260">
            <v>57</v>
          </cell>
          <cell r="E5260" t="str">
            <v>KH77</v>
          </cell>
          <cell r="F5260">
            <v>920</v>
          </cell>
          <cell r="G5260">
            <v>25.62</v>
          </cell>
          <cell r="H5260">
            <v>1.7</v>
          </cell>
          <cell r="I5260" t="str">
            <v>From M3B to M4B -80°</v>
          </cell>
          <cell r="J5260" t="str">
            <v>IE3</v>
          </cell>
          <cell r="K5260" t="str">
            <v>230/400</v>
          </cell>
          <cell r="L5260">
            <v>50</v>
          </cell>
          <cell r="M5260" t="str">
            <v>10,5/6,10</v>
          </cell>
          <cell r="N5260">
            <v>55</v>
          </cell>
          <cell r="O5260" t="str">
            <v>155(F)</v>
          </cell>
          <cell r="P5260" t="str">
            <v>270°</v>
          </cell>
          <cell r="Q5260" t="str">
            <v>TF</v>
          </cell>
          <cell r="R5260" t="str">
            <v>-</v>
          </cell>
          <cell r="S5260" t="str">
            <v>-</v>
          </cell>
          <cell r="T5260" t="str">
            <v>-</v>
          </cell>
          <cell r="U5260" t="str">
            <v>T</v>
          </cell>
          <cell r="V5260" t="str">
            <v>SS+R</v>
          </cell>
          <cell r="W5260" t="str">
            <v>-</v>
          </cell>
          <cell r="X5260" t="str">
            <v>CLP 220 (-15/+40°C)</v>
          </cell>
          <cell r="Y5260" t="str">
            <v>KH77/T EDRN132S4 /TF</v>
          </cell>
          <cell r="Z5260" t="str">
            <v>SEW</v>
          </cell>
          <cell r="AB5260" t="str">
            <v>ATEX22</v>
          </cell>
          <cell r="AF5260">
            <v>57</v>
          </cell>
          <cell r="AG5260" t="str">
            <v>EDRN132S4</v>
          </cell>
          <cell r="AH5260" t="str">
            <v>KH77T-EDRN132S4B270-X</v>
          </cell>
        </row>
        <row r="5261">
          <cell r="A5261" t="str">
            <v>MR005250</v>
          </cell>
          <cell r="B5261" t="str">
            <v>MR</v>
          </cell>
          <cell r="C5261">
            <v>0.75</v>
          </cell>
          <cell r="D5261">
            <v>162</v>
          </cell>
          <cell r="E5261" t="str">
            <v>KA37</v>
          </cell>
          <cell r="F5261">
            <v>44</v>
          </cell>
          <cell r="G5261">
            <v>8.91</v>
          </cell>
          <cell r="H5261">
            <v>3.6</v>
          </cell>
          <cell r="I5261" t="str">
            <v>From M3B to M2B -25°</v>
          </cell>
          <cell r="J5261" t="str">
            <v>IE3</v>
          </cell>
          <cell r="K5261" t="str">
            <v>230/400</v>
          </cell>
          <cell r="L5261">
            <v>50</v>
          </cell>
          <cell r="M5261" t="str">
            <v>3,05/1,75</v>
          </cell>
          <cell r="N5261">
            <v>55</v>
          </cell>
          <cell r="O5261" t="str">
            <v>155(F)</v>
          </cell>
          <cell r="P5261" t="str">
            <v>270°</v>
          </cell>
          <cell r="Q5261" t="str">
            <v>TF</v>
          </cell>
          <cell r="R5261" t="str">
            <v>-</v>
          </cell>
          <cell r="S5261" t="str">
            <v>-</v>
          </cell>
          <cell r="T5261" t="str">
            <v>-</v>
          </cell>
          <cell r="U5261" t="str">
            <v>T</v>
          </cell>
          <cell r="V5261" t="str">
            <v>D</v>
          </cell>
          <cell r="W5261" t="str">
            <v>-</v>
          </cell>
          <cell r="X5261" t="str">
            <v>CLP 220 (-15/+40°C)</v>
          </cell>
          <cell r="Y5261" t="str">
            <v>KA37/T EDRN80M4 /TF</v>
          </cell>
          <cell r="Z5261" t="str">
            <v>SEW</v>
          </cell>
          <cell r="AB5261" t="str">
            <v>ATEX22</v>
          </cell>
          <cell r="AF5261">
            <v>162</v>
          </cell>
          <cell r="AG5261" t="str">
            <v>EDRN80M4</v>
          </cell>
          <cell r="AH5261" t="str">
            <v>KA37T-EDRN80M4B270-X</v>
          </cell>
        </row>
        <row r="5262">
          <cell r="A5262" t="str">
            <v>MR005251</v>
          </cell>
          <cell r="B5262" t="str">
            <v>MR</v>
          </cell>
          <cell r="C5262">
            <v>11</v>
          </cell>
          <cell r="D5262">
            <v>53</v>
          </cell>
          <cell r="E5262" t="str">
            <v>R97</v>
          </cell>
          <cell r="F5262">
            <v>1960</v>
          </cell>
          <cell r="G5262">
            <v>27.58</v>
          </cell>
          <cell r="H5262">
            <v>1.35</v>
          </cell>
          <cell r="I5262" t="str">
            <v>From M1 to M4 - 20°</v>
          </cell>
          <cell r="J5262" t="str">
            <v>IE3</v>
          </cell>
          <cell r="K5262" t="str">
            <v>400/690</v>
          </cell>
          <cell r="L5262">
            <v>50</v>
          </cell>
          <cell r="M5262" t="str">
            <v>21/12,2</v>
          </cell>
          <cell r="N5262">
            <v>55</v>
          </cell>
          <cell r="O5262" t="str">
            <v>155(F)</v>
          </cell>
          <cell r="P5262" t="str">
            <v>270°</v>
          </cell>
          <cell r="Q5262" t="str">
            <v>TF</v>
          </cell>
          <cell r="R5262" t="str">
            <v>-</v>
          </cell>
          <cell r="S5262" t="str">
            <v>-</v>
          </cell>
          <cell r="T5262" t="str">
            <v>-</v>
          </cell>
          <cell r="U5262" t="str">
            <v>-</v>
          </cell>
          <cell r="V5262" t="str">
            <v>D</v>
          </cell>
          <cell r="W5262" t="str">
            <v>-</v>
          </cell>
          <cell r="X5262" t="str">
            <v>CLP 220 (-15/+40°C)</v>
          </cell>
          <cell r="Y5262" t="str">
            <v>R97EDRN160M4 /TF</v>
          </cell>
          <cell r="Z5262" t="str">
            <v>SEW</v>
          </cell>
          <cell r="AB5262" t="str">
            <v>ATEX22</v>
          </cell>
          <cell r="AF5262">
            <v>53</v>
          </cell>
          <cell r="AG5262" t="str">
            <v>EDRN160M4</v>
          </cell>
          <cell r="AH5262" t="str">
            <v>R97-EDRN160M4270-X</v>
          </cell>
        </row>
        <row r="5263">
          <cell r="A5263" t="str">
            <v>MR005252</v>
          </cell>
          <cell r="B5263" t="str">
            <v>MR</v>
          </cell>
          <cell r="C5263">
            <v>11</v>
          </cell>
          <cell r="D5263">
            <v>53</v>
          </cell>
          <cell r="E5263" t="str">
            <v>R97</v>
          </cell>
          <cell r="F5263">
            <v>1960</v>
          </cell>
          <cell r="G5263">
            <v>27.58</v>
          </cell>
          <cell r="H5263">
            <v>1.35</v>
          </cell>
          <cell r="I5263" t="str">
            <v>From M1 to M4 - 25°</v>
          </cell>
          <cell r="J5263" t="str">
            <v>IE3</v>
          </cell>
          <cell r="K5263" t="str">
            <v>400/690</v>
          </cell>
          <cell r="L5263">
            <v>50</v>
          </cell>
          <cell r="M5263" t="str">
            <v>21/12,2</v>
          </cell>
          <cell r="N5263">
            <v>55</v>
          </cell>
          <cell r="O5263" t="str">
            <v>155(F)</v>
          </cell>
          <cell r="P5263" t="str">
            <v>270°</v>
          </cell>
          <cell r="Q5263" t="str">
            <v>TF</v>
          </cell>
          <cell r="R5263" t="str">
            <v>-</v>
          </cell>
          <cell r="S5263" t="str">
            <v>-</v>
          </cell>
          <cell r="T5263" t="str">
            <v>-</v>
          </cell>
          <cell r="U5263" t="str">
            <v>-</v>
          </cell>
          <cell r="V5263" t="str">
            <v>D</v>
          </cell>
          <cell r="W5263" t="str">
            <v>-</v>
          </cell>
          <cell r="X5263" t="str">
            <v>CLP 220 (-15/+40°C)</v>
          </cell>
          <cell r="Y5263" t="str">
            <v>R97EDRN160M4 /TF</v>
          </cell>
          <cell r="Z5263" t="str">
            <v>SEW</v>
          </cell>
          <cell r="AB5263" t="str">
            <v>ATEX22</v>
          </cell>
          <cell r="AF5263">
            <v>53</v>
          </cell>
          <cell r="AG5263" t="str">
            <v>EDRN160M4</v>
          </cell>
          <cell r="AH5263" t="str">
            <v>R97-EDRN160M4270-X</v>
          </cell>
        </row>
        <row r="5264">
          <cell r="A5264" t="str">
            <v>MR005253</v>
          </cell>
          <cell r="B5264" t="str">
            <v>MR</v>
          </cell>
          <cell r="C5264">
            <v>7.5</v>
          </cell>
          <cell r="D5264">
            <v>59</v>
          </cell>
          <cell r="E5264" t="str">
            <v>KH87</v>
          </cell>
          <cell r="F5264">
            <v>1210</v>
          </cell>
          <cell r="G5264">
            <v>24.95</v>
          </cell>
          <cell r="H5264">
            <v>2.1</v>
          </cell>
          <cell r="I5264" t="str">
            <v>M1A</v>
          </cell>
          <cell r="J5264" t="str">
            <v>IE3</v>
          </cell>
          <cell r="K5264" t="str">
            <v>230/400</v>
          </cell>
          <cell r="L5264">
            <v>50</v>
          </cell>
          <cell r="M5264" t="str">
            <v>26,5/15,2</v>
          </cell>
          <cell r="N5264">
            <v>55</v>
          </cell>
          <cell r="O5264" t="str">
            <v>155(F)</v>
          </cell>
          <cell r="P5264" t="str">
            <v>270°</v>
          </cell>
          <cell r="Q5264" t="str">
            <v>TF</v>
          </cell>
          <cell r="R5264" t="str">
            <v>-</v>
          </cell>
          <cell r="S5264" t="str">
            <v>-</v>
          </cell>
          <cell r="T5264" t="str">
            <v>-</v>
          </cell>
          <cell r="U5264" t="str">
            <v>T</v>
          </cell>
          <cell r="V5264" t="str">
            <v>SS+R</v>
          </cell>
          <cell r="W5264" t="str">
            <v>-</v>
          </cell>
          <cell r="X5264" t="str">
            <v>CLP 220 (-15/+40°C)</v>
          </cell>
          <cell r="Y5264" t="str">
            <v>KH87/T EDRN132M4 /TF</v>
          </cell>
          <cell r="Z5264" t="str">
            <v>SEW</v>
          </cell>
          <cell r="AB5264" t="str">
            <v>ATEX22</v>
          </cell>
          <cell r="AF5264">
            <v>59</v>
          </cell>
          <cell r="AG5264" t="str">
            <v>EDRN132M4</v>
          </cell>
          <cell r="AH5264" t="str">
            <v>KH87T-EDRN132M4A270-X</v>
          </cell>
        </row>
        <row r="5265">
          <cell r="A5265" t="str">
            <v>MR005254</v>
          </cell>
          <cell r="B5265" t="str">
            <v>MR</v>
          </cell>
          <cell r="C5265">
            <v>7.5</v>
          </cell>
          <cell r="D5265">
            <v>59</v>
          </cell>
          <cell r="E5265" t="str">
            <v>KH87</v>
          </cell>
          <cell r="F5265">
            <v>1210</v>
          </cell>
          <cell r="G5265">
            <v>24.95</v>
          </cell>
          <cell r="H5265">
            <v>2.1</v>
          </cell>
          <cell r="I5265" t="str">
            <v>M1B</v>
          </cell>
          <cell r="J5265" t="str">
            <v>IE3</v>
          </cell>
          <cell r="K5265" t="str">
            <v>230/400</v>
          </cell>
          <cell r="L5265">
            <v>50</v>
          </cell>
          <cell r="M5265" t="str">
            <v>26,5/15,2</v>
          </cell>
          <cell r="N5265">
            <v>55</v>
          </cell>
          <cell r="O5265" t="str">
            <v>155(F)</v>
          </cell>
          <cell r="P5265" t="str">
            <v>270°</v>
          </cell>
          <cell r="Q5265" t="str">
            <v>TF</v>
          </cell>
          <cell r="R5265" t="str">
            <v>-</v>
          </cell>
          <cell r="S5265" t="str">
            <v>-</v>
          </cell>
          <cell r="T5265" t="str">
            <v>-</v>
          </cell>
          <cell r="U5265" t="str">
            <v>T</v>
          </cell>
          <cell r="V5265" t="str">
            <v>SS+R</v>
          </cell>
          <cell r="W5265" t="str">
            <v>-</v>
          </cell>
          <cell r="X5265" t="str">
            <v>CLP 220 (-15/+40°C)</v>
          </cell>
          <cell r="Y5265" t="str">
            <v>KH87/T EDRN132M4 /TF</v>
          </cell>
          <cell r="Z5265" t="str">
            <v>SEW</v>
          </cell>
          <cell r="AB5265" t="str">
            <v>ATEX22</v>
          </cell>
          <cell r="AF5265">
            <v>59</v>
          </cell>
          <cell r="AG5265" t="str">
            <v>EDRN132M4</v>
          </cell>
          <cell r="AH5265" t="str">
            <v>KH87T-EDRN132M4B270-X</v>
          </cell>
        </row>
        <row r="5266">
          <cell r="A5266" t="str">
            <v>MR005255</v>
          </cell>
          <cell r="B5266" t="str">
            <v>MR</v>
          </cell>
          <cell r="C5266">
            <v>15</v>
          </cell>
          <cell r="D5266">
            <v>16</v>
          </cell>
          <cell r="E5266" t="str">
            <v>KH127</v>
          </cell>
          <cell r="F5266">
            <v>8730</v>
          </cell>
          <cell r="G5266">
            <v>89.89</v>
          </cell>
          <cell r="H5266">
            <v>1.5</v>
          </cell>
          <cell r="I5266" t="str">
            <v>From M1A to M4A - 45°</v>
          </cell>
          <cell r="J5266" t="str">
            <v>IE3</v>
          </cell>
          <cell r="K5266" t="str">
            <v>230/400</v>
          </cell>
          <cell r="L5266">
            <v>50</v>
          </cell>
          <cell r="M5266" t="str">
            <v>50/29</v>
          </cell>
          <cell r="N5266">
            <v>55</v>
          </cell>
          <cell r="O5266" t="str">
            <v>155(F)</v>
          </cell>
          <cell r="P5266" t="str">
            <v>270°</v>
          </cell>
          <cell r="Q5266" t="str">
            <v>TF</v>
          </cell>
          <cell r="R5266" t="str">
            <v>V(VE)</v>
          </cell>
          <cell r="S5266" t="str">
            <v>-</v>
          </cell>
          <cell r="T5266" t="str">
            <v>-</v>
          </cell>
          <cell r="U5266" t="str">
            <v>-</v>
          </cell>
          <cell r="V5266" t="str">
            <v>FC</v>
          </cell>
          <cell r="W5266" t="str">
            <v>-</v>
          </cell>
          <cell r="X5266" t="str">
            <v>CLP 220 (-15/+40°C)</v>
          </cell>
          <cell r="Y5266" t="str">
            <v>KH127DRN160L4 /TF/V</v>
          </cell>
          <cell r="AB5266" t="str">
            <v>-</v>
          </cell>
          <cell r="AF5266">
            <v>16</v>
          </cell>
          <cell r="AG5266" t="str">
            <v>DRN160L4</v>
          </cell>
          <cell r="AH5266" t="str">
            <v>KH127-DRN160L4A270-X#</v>
          </cell>
        </row>
        <row r="5267">
          <cell r="A5267" t="str">
            <v>MR005256</v>
          </cell>
          <cell r="B5267" t="str">
            <v>MR</v>
          </cell>
          <cell r="C5267">
            <v>15</v>
          </cell>
          <cell r="D5267">
            <v>16</v>
          </cell>
          <cell r="E5267" t="str">
            <v>KH127</v>
          </cell>
          <cell r="F5267">
            <v>8730</v>
          </cell>
          <cell r="G5267">
            <v>89.89</v>
          </cell>
          <cell r="H5267">
            <v>1.5</v>
          </cell>
          <cell r="I5267" t="str">
            <v>From M1B to M4B - 45°</v>
          </cell>
          <cell r="J5267" t="str">
            <v>IE3</v>
          </cell>
          <cell r="K5267" t="str">
            <v>230/400</v>
          </cell>
          <cell r="L5267">
            <v>50</v>
          </cell>
          <cell r="M5267" t="str">
            <v>50/29</v>
          </cell>
          <cell r="N5267">
            <v>55</v>
          </cell>
          <cell r="O5267" t="str">
            <v>155(F)</v>
          </cell>
          <cell r="P5267" t="str">
            <v>270°</v>
          </cell>
          <cell r="Q5267" t="str">
            <v>TF</v>
          </cell>
          <cell r="R5267" t="str">
            <v>V(VE)</v>
          </cell>
          <cell r="S5267" t="str">
            <v>-</v>
          </cell>
          <cell r="T5267" t="str">
            <v>-</v>
          </cell>
          <cell r="U5267" t="str">
            <v>-</v>
          </cell>
          <cell r="V5267" t="str">
            <v>FC</v>
          </cell>
          <cell r="W5267" t="str">
            <v>-</v>
          </cell>
          <cell r="X5267" t="str">
            <v>CLP 220 (-15/+40°C)</v>
          </cell>
          <cell r="Y5267" t="str">
            <v>KH127DRN160L4 /TF/V</v>
          </cell>
          <cell r="AB5267" t="str">
            <v>-</v>
          </cell>
          <cell r="AF5267">
            <v>16</v>
          </cell>
          <cell r="AG5267" t="str">
            <v>DRN160L4</v>
          </cell>
          <cell r="AH5267" t="str">
            <v>KH127-DRN160L4B270-X#</v>
          </cell>
        </row>
        <row r="5268">
          <cell r="A5268" t="str">
            <v>MR005257</v>
          </cell>
          <cell r="B5268" t="str">
            <v>MR</v>
          </cell>
          <cell r="C5268">
            <v>15</v>
          </cell>
          <cell r="D5268">
            <v>48</v>
          </cell>
          <cell r="E5268" t="str">
            <v>KH97</v>
          </cell>
          <cell r="F5268">
            <v>2990</v>
          </cell>
          <cell r="G5268">
            <v>30.82</v>
          </cell>
          <cell r="H5268">
            <v>1.45</v>
          </cell>
          <cell r="I5268" t="str">
            <v>From M1A to M4A - 70°</v>
          </cell>
          <cell r="J5268" t="str">
            <v>IE3</v>
          </cell>
          <cell r="K5268" t="str">
            <v>230/400</v>
          </cell>
          <cell r="L5268">
            <v>50</v>
          </cell>
          <cell r="M5268" t="str">
            <v>50/29</v>
          </cell>
          <cell r="N5268">
            <v>55</v>
          </cell>
          <cell r="O5268" t="str">
            <v>155(F)</v>
          </cell>
          <cell r="P5268" t="str">
            <v>270°</v>
          </cell>
          <cell r="Q5268" t="str">
            <v>TF</v>
          </cell>
          <cell r="R5268" t="str">
            <v>-</v>
          </cell>
          <cell r="S5268" t="str">
            <v>Free rotation CCW</v>
          </cell>
          <cell r="T5268" t="str">
            <v>-</v>
          </cell>
          <cell r="U5268" t="str">
            <v>T</v>
          </cell>
          <cell r="V5268" t="str">
            <v>SS</v>
          </cell>
          <cell r="W5268" t="str">
            <v>-</v>
          </cell>
          <cell r="X5268" t="str">
            <v>CLP 220 (-15/+40°C)</v>
          </cell>
          <cell r="Y5268" t="str">
            <v>KH97/T DRN160L4 /RS /TF</v>
          </cell>
          <cell r="Z5268" t="str">
            <v>SEW</v>
          </cell>
          <cell r="AB5268" t="str">
            <v>-</v>
          </cell>
          <cell r="AF5268">
            <v>48</v>
          </cell>
          <cell r="AG5268" t="str">
            <v>DRN160L4</v>
          </cell>
          <cell r="AH5268" t="str">
            <v>KH97T-DRN160L4A270-X</v>
          </cell>
        </row>
        <row r="5269">
          <cell r="A5269" t="str">
            <v>MR005258</v>
          </cell>
          <cell r="B5269" t="str">
            <v>MR</v>
          </cell>
          <cell r="C5269">
            <v>0.75</v>
          </cell>
          <cell r="D5269">
            <v>162</v>
          </cell>
          <cell r="E5269" t="str">
            <v>KA37</v>
          </cell>
          <cell r="F5269">
            <v>44</v>
          </cell>
          <cell r="G5269">
            <v>8.91</v>
          </cell>
          <cell r="H5269">
            <v>3.6</v>
          </cell>
          <cell r="I5269" t="str">
            <v>From M3B to M2B -35°</v>
          </cell>
          <cell r="J5269" t="str">
            <v>IE3</v>
          </cell>
          <cell r="K5269" t="str">
            <v>230/400</v>
          </cell>
          <cell r="L5269">
            <v>50</v>
          </cell>
          <cell r="M5269" t="str">
            <v>3,05/1,75</v>
          </cell>
          <cell r="N5269">
            <v>55</v>
          </cell>
          <cell r="O5269" t="str">
            <v>155(F)</v>
          </cell>
          <cell r="P5269" t="str">
            <v>270°</v>
          </cell>
          <cell r="Q5269" t="str">
            <v>TF</v>
          </cell>
          <cell r="R5269" t="str">
            <v>-</v>
          </cell>
          <cell r="S5269" t="str">
            <v>-</v>
          </cell>
          <cell r="T5269" t="str">
            <v>-</v>
          </cell>
          <cell r="U5269" t="str">
            <v>T</v>
          </cell>
          <cell r="V5269" t="str">
            <v>D</v>
          </cell>
          <cell r="W5269" t="str">
            <v>-</v>
          </cell>
          <cell r="X5269" t="str">
            <v>CLP 220 (-15/+40°C)</v>
          </cell>
          <cell r="Y5269" t="str">
            <v>KA37/T DRN80M4 /TF</v>
          </cell>
          <cell r="Z5269" t="str">
            <v>SEW</v>
          </cell>
          <cell r="AB5269" t="str">
            <v>-</v>
          </cell>
          <cell r="AF5269">
            <v>162</v>
          </cell>
          <cell r="AG5269" t="str">
            <v>DRN80M4</v>
          </cell>
          <cell r="AH5269" t="str">
            <v>KA37T-DRN80M4B270-X</v>
          </cell>
        </row>
        <row r="5270">
          <cell r="A5270" t="str">
            <v>MR005259</v>
          </cell>
          <cell r="B5270" t="str">
            <v>MR</v>
          </cell>
          <cell r="C5270">
            <v>9.1999999999999993</v>
          </cell>
          <cell r="D5270">
            <v>59</v>
          </cell>
          <cell r="E5270" t="str">
            <v>KH87</v>
          </cell>
          <cell r="F5270">
            <v>1480</v>
          </cell>
          <cell r="G5270">
            <v>24.92</v>
          </cell>
          <cell r="H5270">
            <v>1.7</v>
          </cell>
          <cell r="I5270" t="str">
            <v>From M1B to M4B - 70°</v>
          </cell>
          <cell r="J5270" t="str">
            <v>IE3</v>
          </cell>
          <cell r="K5270" t="str">
            <v>230/400</v>
          </cell>
          <cell r="L5270">
            <v>50</v>
          </cell>
          <cell r="M5270" t="str">
            <v>32,5/18,7</v>
          </cell>
          <cell r="N5270">
            <v>55</v>
          </cell>
          <cell r="O5270" t="str">
            <v>155(F)</v>
          </cell>
          <cell r="P5270" t="str">
            <v>270°</v>
          </cell>
          <cell r="Q5270" t="str">
            <v>TF</v>
          </cell>
          <cell r="R5270" t="str">
            <v>-</v>
          </cell>
          <cell r="S5270" t="str">
            <v>Free rotation CW</v>
          </cell>
          <cell r="T5270" t="str">
            <v>-</v>
          </cell>
          <cell r="U5270" t="str">
            <v>T</v>
          </cell>
          <cell r="V5270" t="str">
            <v>SS</v>
          </cell>
          <cell r="W5270" t="str">
            <v>-</v>
          </cell>
          <cell r="X5270" t="str">
            <v>CLP 220 (-15/+40°C)</v>
          </cell>
          <cell r="Y5270" t="str">
            <v>KH87/T DRN132L4 /RS /TF</v>
          </cell>
          <cell r="Z5270" t="str">
            <v>SEW</v>
          </cell>
          <cell r="AB5270" t="str">
            <v>-</v>
          </cell>
          <cell r="AF5270">
            <v>59</v>
          </cell>
          <cell r="AG5270" t="str">
            <v>DRN132L4</v>
          </cell>
          <cell r="AH5270" t="str">
            <v>KH87T-DRN132L4B270-X</v>
          </cell>
        </row>
        <row r="5271">
          <cell r="A5271" t="str">
            <v>MR005260</v>
          </cell>
          <cell r="B5271" t="str">
            <v>MR</v>
          </cell>
          <cell r="C5271">
            <v>0.75</v>
          </cell>
          <cell r="D5271">
            <v>162</v>
          </cell>
          <cell r="E5271" t="str">
            <v>KA37</v>
          </cell>
          <cell r="F5271">
            <v>44</v>
          </cell>
          <cell r="G5271">
            <v>8.91</v>
          </cell>
          <cell r="H5271">
            <v>3.6</v>
          </cell>
          <cell r="I5271" t="str">
            <v>From M3A to M2A -35°</v>
          </cell>
          <cell r="J5271" t="str">
            <v>IE3</v>
          </cell>
          <cell r="K5271" t="str">
            <v>230/400</v>
          </cell>
          <cell r="L5271">
            <v>50</v>
          </cell>
          <cell r="M5271" t="str">
            <v>3,05/1,75</v>
          </cell>
          <cell r="N5271">
            <v>55</v>
          </cell>
          <cell r="O5271" t="str">
            <v>155(F)</v>
          </cell>
          <cell r="P5271" t="str">
            <v>270°</v>
          </cell>
          <cell r="Q5271" t="str">
            <v>TF</v>
          </cell>
          <cell r="R5271" t="str">
            <v>-</v>
          </cell>
          <cell r="S5271" t="str">
            <v>-</v>
          </cell>
          <cell r="T5271" t="str">
            <v>-</v>
          </cell>
          <cell r="U5271" t="str">
            <v>T</v>
          </cell>
          <cell r="V5271" t="str">
            <v>D</v>
          </cell>
          <cell r="W5271" t="str">
            <v>-</v>
          </cell>
          <cell r="X5271" t="str">
            <v>CLP 220 (-15/+40°C)</v>
          </cell>
          <cell r="Y5271" t="str">
            <v>KA37/T DRN80M4 /TF</v>
          </cell>
          <cell r="Z5271" t="str">
            <v>SEW</v>
          </cell>
          <cell r="AB5271" t="str">
            <v>-</v>
          </cell>
          <cell r="AF5271">
            <v>162</v>
          </cell>
          <cell r="AG5271" t="str">
            <v>DRN80M4</v>
          </cell>
          <cell r="AH5271" t="str">
            <v>KA37T-DRN80M4A270-X</v>
          </cell>
        </row>
        <row r="5272">
          <cell r="A5272" t="str">
            <v>MR005261</v>
          </cell>
          <cell r="B5272" t="str">
            <v>MR</v>
          </cell>
          <cell r="C5272">
            <v>11</v>
          </cell>
          <cell r="D5272">
            <v>59</v>
          </cell>
          <cell r="E5272" t="str">
            <v>R97</v>
          </cell>
          <cell r="F5272">
            <v>1790</v>
          </cell>
          <cell r="G5272">
            <v>25.03</v>
          </cell>
          <cell r="H5272">
            <v>1.6</v>
          </cell>
          <cell r="I5272" t="str">
            <v>From M1 to M2 - 10°</v>
          </cell>
          <cell r="J5272" t="str">
            <v>IE3</v>
          </cell>
          <cell r="K5272" t="str">
            <v>230/400</v>
          </cell>
          <cell r="L5272">
            <v>50</v>
          </cell>
          <cell r="M5272" t="str">
            <v>36,5/21</v>
          </cell>
          <cell r="N5272">
            <v>55</v>
          </cell>
          <cell r="O5272" t="str">
            <v>155(F)</v>
          </cell>
          <cell r="P5272" t="str">
            <v>270°</v>
          </cell>
          <cell r="Q5272" t="str">
            <v>TF</v>
          </cell>
          <cell r="R5272" t="str">
            <v>-</v>
          </cell>
          <cell r="S5272" t="str">
            <v>-</v>
          </cell>
          <cell r="T5272" t="str">
            <v>-</v>
          </cell>
          <cell r="U5272" t="str">
            <v>-</v>
          </cell>
          <cell r="V5272" t="str">
            <v>D</v>
          </cell>
          <cell r="W5272" t="str">
            <v>-</v>
          </cell>
          <cell r="X5272" t="str">
            <v>CLP 220 (-15/+40°C)</v>
          </cell>
          <cell r="Y5272" t="str">
            <v>R97DRN160M4 /TF</v>
          </cell>
          <cell r="Z5272" t="str">
            <v>SEW</v>
          </cell>
          <cell r="AB5272" t="str">
            <v>-</v>
          </cell>
          <cell r="AF5272">
            <v>59</v>
          </cell>
          <cell r="AG5272" t="str">
            <v>DRN160M4</v>
          </cell>
          <cell r="AH5272" t="str">
            <v>R97-DRN160M4270-X</v>
          </cell>
        </row>
        <row r="5273">
          <cell r="A5273" t="str">
            <v>MR005262</v>
          </cell>
          <cell r="B5273" t="str">
            <v>MR</v>
          </cell>
          <cell r="C5273">
            <v>1.5</v>
          </cell>
          <cell r="D5273">
            <v>22</v>
          </cell>
          <cell r="E5273" t="str">
            <v>FA67</v>
          </cell>
          <cell r="F5273">
            <v>665</v>
          </cell>
          <cell r="G5273">
            <v>67.650000000000006</v>
          </cell>
          <cell r="H5273">
            <v>1.3</v>
          </cell>
          <cell r="I5273" t="str">
            <v>From M4 to M5 - 75°</v>
          </cell>
          <cell r="J5273" t="str">
            <v>IE3</v>
          </cell>
          <cell r="K5273" t="str">
            <v>230/400</v>
          </cell>
          <cell r="L5273">
            <v>50</v>
          </cell>
          <cell r="M5273" t="str">
            <v>5,9/3,4</v>
          </cell>
          <cell r="N5273">
            <v>55</v>
          </cell>
          <cell r="O5273" t="str">
            <v>155(F)</v>
          </cell>
          <cell r="P5273" t="str">
            <v>270°</v>
          </cell>
          <cell r="Q5273" t="str">
            <v>TF</v>
          </cell>
          <cell r="R5273" t="str">
            <v>-</v>
          </cell>
          <cell r="S5273" t="str">
            <v>-</v>
          </cell>
          <cell r="T5273" t="str">
            <v>BEHF</v>
          </cell>
          <cell r="U5273" t="str">
            <v>G</v>
          </cell>
          <cell r="V5273" t="str">
            <v>D+R</v>
          </cell>
          <cell r="W5273" t="str">
            <v>-</v>
          </cell>
          <cell r="X5273" t="str">
            <v>CLP 220 (-15/+40°C)</v>
          </cell>
          <cell r="Y5273" t="str">
            <v>FA67/G DRN90L4 /BEHF /TF</v>
          </cell>
          <cell r="Z5273" t="str">
            <v>SEW</v>
          </cell>
          <cell r="AB5273" t="str">
            <v>-</v>
          </cell>
          <cell r="AF5273">
            <v>22</v>
          </cell>
          <cell r="AG5273" t="str">
            <v>DRN90L4</v>
          </cell>
          <cell r="AH5273" t="str">
            <v>FA67G-DRN90L4270-X</v>
          </cell>
        </row>
        <row r="5274">
          <cell r="A5274" t="str">
            <v>MR005263</v>
          </cell>
          <cell r="B5274" t="str">
            <v>MR</v>
          </cell>
          <cell r="C5274">
            <v>11</v>
          </cell>
          <cell r="D5274">
            <v>15</v>
          </cell>
          <cell r="E5274" t="str">
            <v>KH107</v>
          </cell>
          <cell r="F5274">
            <v>7180</v>
          </cell>
          <cell r="G5274">
            <v>100.75</v>
          </cell>
          <cell r="H5274">
            <v>1.1000000000000001</v>
          </cell>
          <cell r="I5274" t="str">
            <v>From M1A to M2A - 35°</v>
          </cell>
          <cell r="J5274" t="str">
            <v>IE3</v>
          </cell>
          <cell r="K5274" t="str">
            <v>230/400</v>
          </cell>
          <cell r="L5274">
            <v>50</v>
          </cell>
          <cell r="M5274" t="str">
            <v>36,5/21</v>
          </cell>
          <cell r="N5274">
            <v>65</v>
          </cell>
          <cell r="O5274" t="str">
            <v>155(F)</v>
          </cell>
          <cell r="P5274" t="str">
            <v>270°</v>
          </cell>
          <cell r="Q5274" t="str">
            <v>TF</v>
          </cell>
          <cell r="R5274" t="str">
            <v>-</v>
          </cell>
          <cell r="S5274" t="str">
            <v>-</v>
          </cell>
          <cell r="T5274" t="str">
            <v>-</v>
          </cell>
          <cell r="U5274" t="str">
            <v>-</v>
          </cell>
          <cell r="V5274" t="str">
            <v>SS</v>
          </cell>
          <cell r="W5274" t="str">
            <v>-</v>
          </cell>
          <cell r="X5274" t="str">
            <v>CLP 220 (-15/+40°C)</v>
          </cell>
          <cell r="Y5274" t="str">
            <v>KH107DRN160M4 /TF</v>
          </cell>
          <cell r="Z5274" t="str">
            <v>SEW</v>
          </cell>
          <cell r="AB5274" t="str">
            <v>-</v>
          </cell>
          <cell r="AF5274">
            <v>15</v>
          </cell>
          <cell r="AG5274" t="str">
            <v>DRN160M4</v>
          </cell>
          <cell r="AH5274" t="str">
            <v>KH107-DRN160M4A270-X</v>
          </cell>
        </row>
        <row r="5275">
          <cell r="A5275" t="str">
            <v>MR005264</v>
          </cell>
          <cell r="B5275" t="str">
            <v>MR</v>
          </cell>
          <cell r="C5275">
            <v>1.1000000000000001</v>
          </cell>
          <cell r="D5275">
            <v>3.9</v>
          </cell>
          <cell r="E5275" t="str">
            <v>KH87R57</v>
          </cell>
          <cell r="F5275">
            <v>2470</v>
          </cell>
          <cell r="G5275">
            <v>373</v>
          </cell>
          <cell r="H5275">
            <v>1.1000000000000001</v>
          </cell>
          <cell r="I5275" t="str">
            <v>From M1B to M2B - 5°</v>
          </cell>
          <cell r="J5275" t="str">
            <v>IE3</v>
          </cell>
          <cell r="K5275" t="str">
            <v>230/400</v>
          </cell>
          <cell r="L5275">
            <v>50</v>
          </cell>
          <cell r="M5275" t="str">
            <v>4,45/2,55</v>
          </cell>
          <cell r="N5275">
            <v>65</v>
          </cell>
          <cell r="O5275" t="str">
            <v>155(F)</v>
          </cell>
          <cell r="P5275" t="str">
            <v>270°</v>
          </cell>
          <cell r="Q5275" t="str">
            <v>TF</v>
          </cell>
          <cell r="R5275" t="str">
            <v>-</v>
          </cell>
          <cell r="S5275" t="str">
            <v>-</v>
          </cell>
          <cell r="T5275" t="str">
            <v>-</v>
          </cell>
          <cell r="U5275" t="str">
            <v>-</v>
          </cell>
          <cell r="V5275" t="str">
            <v>SS</v>
          </cell>
          <cell r="W5275" t="str">
            <v>-</v>
          </cell>
          <cell r="X5275" t="str">
            <v>CLP 220 (-15/+40°C)</v>
          </cell>
          <cell r="Y5275" t="str">
            <v>KH87R57DRN90S4 /TF</v>
          </cell>
          <cell r="Z5275" t="str">
            <v>SEW</v>
          </cell>
          <cell r="AB5275" t="str">
            <v>-</v>
          </cell>
          <cell r="AF5275">
            <v>3.9</v>
          </cell>
          <cell r="AG5275" t="str">
            <v>DRN90S4</v>
          </cell>
          <cell r="AH5275" t="str">
            <v>KH87R57-DRN90S4B270-X</v>
          </cell>
        </row>
        <row r="5276">
          <cell r="A5276" t="str">
            <v>MR005265</v>
          </cell>
          <cell r="B5276" t="str">
            <v>MR</v>
          </cell>
          <cell r="C5276">
            <v>1.1000000000000001</v>
          </cell>
          <cell r="D5276">
            <v>3.9</v>
          </cell>
          <cell r="E5276" t="str">
            <v>KH87R57</v>
          </cell>
          <cell r="F5276">
            <v>2470</v>
          </cell>
          <cell r="G5276">
            <v>373</v>
          </cell>
          <cell r="H5276">
            <v>1.1000000000000001</v>
          </cell>
          <cell r="I5276" t="str">
            <v>From M1B</v>
          </cell>
          <cell r="J5276" t="str">
            <v>IE3</v>
          </cell>
          <cell r="K5276" t="str">
            <v>230/400</v>
          </cell>
          <cell r="L5276">
            <v>50</v>
          </cell>
          <cell r="M5276" t="str">
            <v>4,45/2,55</v>
          </cell>
          <cell r="N5276">
            <v>65</v>
          </cell>
          <cell r="O5276" t="str">
            <v>155(F)</v>
          </cell>
          <cell r="P5276" t="str">
            <v>270°</v>
          </cell>
          <cell r="Q5276" t="str">
            <v>TF</v>
          </cell>
          <cell r="R5276" t="str">
            <v>-</v>
          </cell>
          <cell r="S5276" t="str">
            <v>-</v>
          </cell>
          <cell r="T5276" t="str">
            <v>-</v>
          </cell>
          <cell r="U5276" t="str">
            <v>-</v>
          </cell>
          <cell r="V5276" t="str">
            <v>SS</v>
          </cell>
          <cell r="W5276" t="str">
            <v>-</v>
          </cell>
          <cell r="X5276" t="str">
            <v>CLP 220 (-15/+40°C)</v>
          </cell>
          <cell r="Y5276" t="str">
            <v>KH87R57DRN90S4 /TF</v>
          </cell>
          <cell r="Z5276" t="str">
            <v>SEW</v>
          </cell>
          <cell r="AB5276" t="str">
            <v>-</v>
          </cell>
          <cell r="AF5276">
            <v>3.9</v>
          </cell>
          <cell r="AG5276" t="str">
            <v>DRN90S4</v>
          </cell>
          <cell r="AH5276" t="str">
            <v>KH87R57-DRN90S4B270-X</v>
          </cell>
        </row>
        <row r="5277">
          <cell r="A5277" t="str">
            <v>MR005266</v>
          </cell>
          <cell r="B5277" t="str">
            <v>MR</v>
          </cell>
          <cell r="C5277">
            <v>5.5</v>
          </cell>
          <cell r="D5277">
            <v>30</v>
          </cell>
          <cell r="E5277" t="str">
            <v>KA87</v>
          </cell>
          <cell r="F5277">
            <v>1770</v>
          </cell>
          <cell r="G5277">
            <v>49.16</v>
          </cell>
          <cell r="H5277">
            <v>1.55</v>
          </cell>
          <cell r="I5277" t="str">
            <v>From M4A to M3A - 45°</v>
          </cell>
          <cell r="J5277" t="str">
            <v>IE3</v>
          </cell>
          <cell r="K5277" t="str">
            <v>230/400</v>
          </cell>
          <cell r="L5277">
            <v>50</v>
          </cell>
          <cell r="M5277" t="str">
            <v>19,3/11,1</v>
          </cell>
          <cell r="N5277">
            <v>55</v>
          </cell>
          <cell r="O5277" t="str">
            <v>155(F)</v>
          </cell>
          <cell r="P5277" t="str">
            <v>270°</v>
          </cell>
          <cell r="Q5277" t="str">
            <v>TF</v>
          </cell>
          <cell r="R5277" t="str">
            <v>-</v>
          </cell>
          <cell r="S5277" t="str">
            <v>-</v>
          </cell>
          <cell r="T5277" t="str">
            <v>-</v>
          </cell>
          <cell r="U5277" t="str">
            <v>T</v>
          </cell>
          <cell r="V5277" t="str">
            <v>D</v>
          </cell>
          <cell r="W5277" t="str">
            <v>-</v>
          </cell>
          <cell r="X5277" t="str">
            <v>CLP 220 (-15/+40°C)</v>
          </cell>
          <cell r="Y5277" t="str">
            <v>KA87/T DRN132S4 /TF</v>
          </cell>
          <cell r="Z5277" t="str">
            <v>SEW</v>
          </cell>
          <cell r="AB5277" t="str">
            <v>-</v>
          </cell>
          <cell r="AF5277">
            <v>30</v>
          </cell>
          <cell r="AG5277" t="str">
            <v>DRN132S4</v>
          </cell>
          <cell r="AH5277" t="str">
            <v>KA87T-DRN132S4A270-X</v>
          </cell>
        </row>
        <row r="5278">
          <cell r="A5278" t="str">
            <v>MR005267</v>
          </cell>
          <cell r="B5278" t="str">
            <v>MR</v>
          </cell>
          <cell r="C5278">
            <v>5.5</v>
          </cell>
          <cell r="D5278">
            <v>30</v>
          </cell>
          <cell r="E5278" t="str">
            <v>KA87</v>
          </cell>
          <cell r="F5278">
            <v>1770</v>
          </cell>
          <cell r="G5278">
            <v>49.16</v>
          </cell>
          <cell r="H5278">
            <v>1.55</v>
          </cell>
          <cell r="I5278" t="str">
            <v>From M4B to M3B - 45°</v>
          </cell>
          <cell r="J5278" t="str">
            <v>IE3</v>
          </cell>
          <cell r="K5278" t="str">
            <v>230/400</v>
          </cell>
          <cell r="L5278">
            <v>50</v>
          </cell>
          <cell r="M5278" t="str">
            <v>19,3/11,1</v>
          </cell>
          <cell r="N5278">
            <v>55</v>
          </cell>
          <cell r="O5278" t="str">
            <v>155(F)</v>
          </cell>
          <cell r="P5278" t="str">
            <v>270°</v>
          </cell>
          <cell r="Q5278" t="str">
            <v>TF</v>
          </cell>
          <cell r="R5278" t="str">
            <v>-</v>
          </cell>
          <cell r="S5278" t="str">
            <v>-</v>
          </cell>
          <cell r="T5278" t="str">
            <v>-</v>
          </cell>
          <cell r="U5278" t="str">
            <v>T</v>
          </cell>
          <cell r="V5278" t="str">
            <v>D</v>
          </cell>
          <cell r="W5278" t="str">
            <v>-</v>
          </cell>
          <cell r="X5278" t="str">
            <v>CLP 220 (-15/+40°C)</v>
          </cell>
          <cell r="Y5278" t="str">
            <v>KA87/T DRN132S4 /TF</v>
          </cell>
          <cell r="Z5278" t="str">
            <v>SEW</v>
          </cell>
          <cell r="AB5278" t="str">
            <v>-</v>
          </cell>
          <cell r="AF5278">
            <v>30</v>
          </cell>
          <cell r="AG5278" t="str">
            <v>DRN132S4</v>
          </cell>
          <cell r="AH5278" t="str">
            <v>KA87T-DRN132S4B270-X</v>
          </cell>
        </row>
        <row r="5279">
          <cell r="A5279" t="str">
            <v>MR005268</v>
          </cell>
          <cell r="B5279" t="str">
            <v>MR</v>
          </cell>
          <cell r="C5279">
            <v>0.55000000000000004</v>
          </cell>
          <cell r="D5279">
            <v>70</v>
          </cell>
          <cell r="E5279" t="str">
            <v>FA37</v>
          </cell>
          <cell r="F5279">
            <v>75</v>
          </cell>
          <cell r="G5279">
            <v>20.57</v>
          </cell>
          <cell r="H5279" t="str">
            <v>3.1</v>
          </cell>
          <cell r="I5279" t="str">
            <v>M1</v>
          </cell>
          <cell r="J5279" t="str">
            <v>IE3</v>
          </cell>
          <cell r="K5279" t="str">
            <v>230/400</v>
          </cell>
          <cell r="L5279">
            <v>50</v>
          </cell>
          <cell r="M5279" t="str">
            <v>2,25/1,29</v>
          </cell>
          <cell r="N5279">
            <v>55</v>
          </cell>
          <cell r="O5279" t="str">
            <v>155(F)</v>
          </cell>
          <cell r="P5279" t="str">
            <v>270°</v>
          </cell>
          <cell r="Q5279" t="str">
            <v>TF</v>
          </cell>
          <cell r="R5279" t="str">
            <v>-</v>
          </cell>
          <cell r="S5279" t="str">
            <v>-</v>
          </cell>
          <cell r="T5279" t="str">
            <v>-</v>
          </cell>
          <cell r="U5279" t="str">
            <v>G</v>
          </cell>
          <cell r="V5279" t="str">
            <v>FC+R</v>
          </cell>
          <cell r="W5279" t="str">
            <v>-</v>
          </cell>
          <cell r="X5279" t="str">
            <v>CLP 220 (-15/+40°C)</v>
          </cell>
          <cell r="Y5279" t="str">
            <v>FA37/G DRN80MK4 /TF</v>
          </cell>
          <cell r="Z5279" t="str">
            <v>SEW</v>
          </cell>
          <cell r="AB5279" t="str">
            <v>-</v>
          </cell>
          <cell r="AF5279">
            <v>70</v>
          </cell>
          <cell r="AG5279" t="str">
            <v>DRN80MK4</v>
          </cell>
          <cell r="AH5279" t="str">
            <v>FA37G-DRN80MK4270-X</v>
          </cell>
        </row>
        <row r="5280">
          <cell r="A5280" t="str">
            <v>MR005269</v>
          </cell>
          <cell r="B5280" t="str">
            <v>MR</v>
          </cell>
          <cell r="C5280">
            <v>9.1999999999999993</v>
          </cell>
          <cell r="D5280">
            <v>44</v>
          </cell>
          <cell r="E5280" t="str">
            <v>R97</v>
          </cell>
          <cell r="F5280">
            <v>1990</v>
          </cell>
          <cell r="G5280">
            <v>33.25</v>
          </cell>
          <cell r="H5280">
            <v>1.45</v>
          </cell>
          <cell r="I5280" t="str">
            <v>M1</v>
          </cell>
          <cell r="J5280" t="str">
            <v>IE3</v>
          </cell>
          <cell r="K5280" t="str">
            <v>400/690</v>
          </cell>
          <cell r="L5280">
            <v>50</v>
          </cell>
          <cell r="M5280" t="str">
            <v>18,7/10,8</v>
          </cell>
          <cell r="N5280">
            <v>55</v>
          </cell>
          <cell r="O5280" t="str">
            <v>155(F)</v>
          </cell>
          <cell r="P5280" t="str">
            <v>270°</v>
          </cell>
          <cell r="Q5280" t="str">
            <v>TF</v>
          </cell>
          <cell r="R5280" t="str">
            <v>-</v>
          </cell>
          <cell r="S5280" t="str">
            <v>-</v>
          </cell>
          <cell r="T5280" t="str">
            <v>-</v>
          </cell>
          <cell r="U5280" t="str">
            <v>-</v>
          </cell>
          <cell r="V5280" t="str">
            <v>D</v>
          </cell>
          <cell r="W5280" t="str">
            <v>-</v>
          </cell>
          <cell r="X5280" t="str">
            <v>CLP 220 (-15/+40°C)</v>
          </cell>
          <cell r="Y5280" t="str">
            <v>R97DRN132L4 /TF</v>
          </cell>
          <cell r="Z5280" t="str">
            <v>SEW</v>
          </cell>
          <cell r="AB5280" t="str">
            <v>-</v>
          </cell>
          <cell r="AF5280">
            <v>44</v>
          </cell>
          <cell r="AG5280" t="str">
            <v>DRN132L4</v>
          </cell>
          <cell r="AH5280" t="str">
            <v>R97-DRN132L4270-X</v>
          </cell>
        </row>
        <row r="5281">
          <cell r="A5281" t="str">
            <v>MR005270</v>
          </cell>
          <cell r="B5281" t="str">
            <v>MR</v>
          </cell>
          <cell r="C5281">
            <v>9.1999999999999993</v>
          </cell>
          <cell r="D5281">
            <v>84</v>
          </cell>
          <cell r="E5281" t="str">
            <v>KH87</v>
          </cell>
          <cell r="F5281">
            <v>1040</v>
          </cell>
          <cell r="G5281">
            <v>17.420000000000002</v>
          </cell>
          <cell r="H5281">
            <v>2.1</v>
          </cell>
          <cell r="I5281" t="str">
            <v>From M1A to M2A - 30°</v>
          </cell>
          <cell r="J5281" t="str">
            <v>IE3</v>
          </cell>
          <cell r="K5281" t="str">
            <v>400/690</v>
          </cell>
          <cell r="L5281">
            <v>50</v>
          </cell>
          <cell r="M5281" t="str">
            <v>18,7/10,8</v>
          </cell>
          <cell r="N5281">
            <v>55</v>
          </cell>
          <cell r="O5281" t="str">
            <v>155(F)</v>
          </cell>
          <cell r="P5281" t="str">
            <v>180°</v>
          </cell>
          <cell r="Q5281" t="str">
            <v>TF</v>
          </cell>
          <cell r="R5281" t="str">
            <v>-</v>
          </cell>
          <cell r="S5281" t="str">
            <v>Free rotation CCW</v>
          </cell>
          <cell r="T5281" t="str">
            <v>-</v>
          </cell>
          <cell r="U5281" t="str">
            <v>T</v>
          </cell>
          <cell r="V5281" t="str">
            <v>SS</v>
          </cell>
          <cell r="W5281" t="str">
            <v>-</v>
          </cell>
          <cell r="X5281" t="str">
            <v>CLP HC 220 (-25/+60°C)</v>
          </cell>
          <cell r="Y5281" t="str">
            <v>KH87/T DRN132L4 /RS /TF</v>
          </cell>
          <cell r="Z5281" t="str">
            <v>SEW</v>
          </cell>
          <cell r="AB5281" t="str">
            <v>-</v>
          </cell>
          <cell r="AF5281">
            <v>84</v>
          </cell>
          <cell r="AG5281" t="str">
            <v>DRN132L4</v>
          </cell>
          <cell r="AH5281" t="str">
            <v>KH87T-DRN132L4A180-X</v>
          </cell>
        </row>
        <row r="5282">
          <cell r="A5282" t="str">
            <v>MR005271</v>
          </cell>
          <cell r="B5282" t="str">
            <v>MR</v>
          </cell>
          <cell r="C5282">
            <v>1.1000000000000001</v>
          </cell>
          <cell r="D5282">
            <v>5.4</v>
          </cell>
          <cell r="E5282" t="str">
            <v>FH87</v>
          </cell>
          <cell r="F5282">
            <v>1950</v>
          </cell>
          <cell r="G5282">
            <v>270.68</v>
          </cell>
          <cell r="H5282">
            <v>1.55</v>
          </cell>
          <cell r="I5282" t="str">
            <v>From M6 to M1 - 30°</v>
          </cell>
          <cell r="J5282" t="str">
            <v>IE3</v>
          </cell>
          <cell r="K5282" t="str">
            <v>230/400</v>
          </cell>
          <cell r="L5282">
            <v>50</v>
          </cell>
          <cell r="M5282" t="str">
            <v>4,45/2,55</v>
          </cell>
          <cell r="N5282">
            <v>55</v>
          </cell>
          <cell r="O5282" t="str">
            <v>155(F)</v>
          </cell>
          <cell r="P5282" t="str">
            <v>0°</v>
          </cell>
          <cell r="Q5282" t="str">
            <v>TF</v>
          </cell>
          <cell r="R5282" t="str">
            <v>-</v>
          </cell>
          <cell r="S5282" t="str">
            <v>-</v>
          </cell>
          <cell r="T5282" t="str">
            <v>-</v>
          </cell>
          <cell r="U5282" t="str">
            <v>G</v>
          </cell>
          <cell r="V5282" t="str">
            <v>D</v>
          </cell>
          <cell r="W5282" t="str">
            <v>-</v>
          </cell>
          <cell r="X5282" t="str">
            <v>CLP HC 220 (-25/+60°C)</v>
          </cell>
          <cell r="Y5282" t="str">
            <v>FH87/G DRN90S4 /TF</v>
          </cell>
          <cell r="Z5282" t="str">
            <v>SEW</v>
          </cell>
          <cell r="AB5282" t="str">
            <v>-</v>
          </cell>
          <cell r="AF5282">
            <v>5.4</v>
          </cell>
          <cell r="AG5282" t="str">
            <v>DRN90S4</v>
          </cell>
          <cell r="AH5282" t="str">
            <v>FH87G-DRN90S40-X</v>
          </cell>
        </row>
        <row r="5283">
          <cell r="A5283" t="str">
            <v>MR005272</v>
          </cell>
          <cell r="B5283" t="str">
            <v>MR</v>
          </cell>
          <cell r="C5283">
            <v>1.1000000000000001</v>
          </cell>
          <cell r="D5283">
            <v>3.9</v>
          </cell>
          <cell r="E5283" t="str">
            <v>KH87R57</v>
          </cell>
          <cell r="F5283">
            <v>2470</v>
          </cell>
          <cell r="G5283">
            <v>373</v>
          </cell>
          <cell r="H5283">
            <v>1.1000000000000001</v>
          </cell>
          <cell r="I5283" t="str">
            <v>From M1B to M2B - 20°</v>
          </cell>
          <cell r="J5283" t="str">
            <v>IE3</v>
          </cell>
          <cell r="K5283" t="str">
            <v>230/400</v>
          </cell>
          <cell r="L5283">
            <v>50</v>
          </cell>
          <cell r="M5283" t="str">
            <v>4,45/2,55</v>
          </cell>
          <cell r="N5283">
            <v>65</v>
          </cell>
          <cell r="O5283" t="str">
            <v>155(F)</v>
          </cell>
          <cell r="P5283" t="str">
            <v>270°</v>
          </cell>
          <cell r="Q5283" t="str">
            <v>TF</v>
          </cell>
          <cell r="R5283" t="str">
            <v>-</v>
          </cell>
          <cell r="S5283" t="str">
            <v>-</v>
          </cell>
          <cell r="T5283" t="str">
            <v>-</v>
          </cell>
          <cell r="U5283" t="str">
            <v>-</v>
          </cell>
          <cell r="V5283" t="str">
            <v>SS</v>
          </cell>
          <cell r="W5283" t="str">
            <v>-</v>
          </cell>
          <cell r="X5283" t="str">
            <v>CLP 220 (-15/+40°C)</v>
          </cell>
          <cell r="Y5283" t="str">
            <v>KH87R57DRN90S4 /TF</v>
          </cell>
          <cell r="Z5283" t="str">
            <v>SEW</v>
          </cell>
          <cell r="AB5283" t="str">
            <v>-</v>
          </cell>
          <cell r="AF5283">
            <v>3.9</v>
          </cell>
          <cell r="AG5283" t="str">
            <v>DRN90S4</v>
          </cell>
          <cell r="AH5283" t="str">
            <v>KH87R57-DRN90S4B270-X</v>
          </cell>
        </row>
        <row r="5284">
          <cell r="A5284" t="str">
            <v>MR005273</v>
          </cell>
          <cell r="B5284" t="str">
            <v>MR</v>
          </cell>
          <cell r="C5284">
            <v>1.1000000000000001</v>
          </cell>
          <cell r="D5284">
            <v>7.3</v>
          </cell>
          <cell r="E5284" t="str">
            <v>FV77</v>
          </cell>
          <cell r="F5284">
            <v>1430</v>
          </cell>
          <cell r="G5284">
            <v>198.31</v>
          </cell>
          <cell r="H5284">
            <v>1.05</v>
          </cell>
          <cell r="I5284" t="str">
            <v>M5</v>
          </cell>
          <cell r="J5284" t="str">
            <v>IE3</v>
          </cell>
          <cell r="K5284" t="str">
            <v>230/400</v>
          </cell>
          <cell r="L5284">
            <v>50</v>
          </cell>
          <cell r="M5284" t="str">
            <v>4,6/2,65</v>
          </cell>
          <cell r="N5284">
            <v>55</v>
          </cell>
          <cell r="O5284" t="str">
            <v>155(F)</v>
          </cell>
          <cell r="P5284" t="str">
            <v>270°</v>
          </cell>
          <cell r="Q5284" t="str">
            <v>TF</v>
          </cell>
          <cell r="R5284" t="str">
            <v>-</v>
          </cell>
          <cell r="S5284" t="str">
            <v>-</v>
          </cell>
          <cell r="T5284" t="str">
            <v>BEHF</v>
          </cell>
          <cell r="U5284" t="str">
            <v>G</v>
          </cell>
          <cell r="V5284" t="str">
            <v>FC+R</v>
          </cell>
          <cell r="W5284" t="str">
            <v>-</v>
          </cell>
          <cell r="X5284" t="str">
            <v>CLP 220 (-15/+40°C)</v>
          </cell>
          <cell r="Y5284" t="str">
            <v>FV77/G EDRN90S4 /BEHF /TF</v>
          </cell>
          <cell r="Z5284" t="str">
            <v>SEW</v>
          </cell>
          <cell r="AB5284" t="str">
            <v>ATEX22</v>
          </cell>
          <cell r="AE5284" t="str">
            <v xml:space="preserve"> BROCCIATURA PER FV67-DIN 5480N45x2x30x21xH9 Provide rectifier module in the electrical cabinet</v>
          </cell>
          <cell r="AF5284">
            <v>7.3</v>
          </cell>
          <cell r="AG5284" t="str">
            <v>EDRN90S4</v>
          </cell>
          <cell r="AH5284" t="str">
            <v>FV77G-EDRN90S4270-X</v>
          </cell>
        </row>
        <row r="5285">
          <cell r="A5285" t="str">
            <v>MR005274</v>
          </cell>
          <cell r="B5285" t="str">
            <v>MR</v>
          </cell>
          <cell r="C5285">
            <v>1.1000000000000001</v>
          </cell>
          <cell r="D5285">
            <v>7.3</v>
          </cell>
          <cell r="E5285" t="str">
            <v>FV77</v>
          </cell>
          <cell r="F5285">
            <v>1430</v>
          </cell>
          <cell r="G5285">
            <v>198.31</v>
          </cell>
          <cell r="H5285">
            <v>1.05</v>
          </cell>
          <cell r="I5285" t="str">
            <v>M6</v>
          </cell>
          <cell r="J5285" t="str">
            <v>IE3</v>
          </cell>
          <cell r="K5285" t="str">
            <v>230/400</v>
          </cell>
          <cell r="L5285">
            <v>50</v>
          </cell>
          <cell r="M5285" t="str">
            <v>4,6/2,65</v>
          </cell>
          <cell r="N5285">
            <v>55</v>
          </cell>
          <cell r="O5285" t="str">
            <v>155(F)</v>
          </cell>
          <cell r="P5285" t="str">
            <v>270°</v>
          </cell>
          <cell r="Q5285" t="str">
            <v>TF</v>
          </cell>
          <cell r="R5285" t="str">
            <v>-</v>
          </cell>
          <cell r="S5285" t="str">
            <v>-</v>
          </cell>
          <cell r="T5285" t="str">
            <v>BEHF</v>
          </cell>
          <cell r="U5285" t="str">
            <v>G</v>
          </cell>
          <cell r="V5285" t="str">
            <v>FC+R</v>
          </cell>
          <cell r="W5285" t="str">
            <v>-</v>
          </cell>
          <cell r="X5285" t="str">
            <v>CLP 220 (-15/+40°C)</v>
          </cell>
          <cell r="Y5285" t="str">
            <v>FV77/G EDRN90S4 /BEHF /TF</v>
          </cell>
          <cell r="Z5285" t="str">
            <v>SEW</v>
          </cell>
          <cell r="AB5285" t="str">
            <v>ATEX22</v>
          </cell>
          <cell r="AE5285" t="str">
            <v xml:space="preserve"> BROCCIATURA PER FV67-DIN 5480N45x2x30x21xH9 Provide rectifier module in the electrical cabinet</v>
          </cell>
          <cell r="AF5285">
            <v>7.3</v>
          </cell>
          <cell r="AG5285" t="str">
            <v>EDRN90S4</v>
          </cell>
          <cell r="AH5285" t="str">
            <v>FV77G-EDRN90S4270-X</v>
          </cell>
        </row>
        <row r="5286">
          <cell r="A5286" t="str">
            <v>MR005275</v>
          </cell>
          <cell r="B5286" t="str">
            <v>MR</v>
          </cell>
          <cell r="C5286">
            <v>15</v>
          </cell>
          <cell r="D5286">
            <v>49</v>
          </cell>
          <cell r="E5286" t="str">
            <v>-</v>
          </cell>
          <cell r="F5286">
            <v>2922</v>
          </cell>
          <cell r="G5286">
            <v>36.21</v>
          </cell>
          <cell r="H5286">
            <v>1.6</v>
          </cell>
          <cell r="I5286" t="str">
            <v>M4</v>
          </cell>
          <cell r="J5286" t="str">
            <v>IE3</v>
          </cell>
          <cell r="K5286">
            <v>460</v>
          </cell>
          <cell r="L5286">
            <v>60</v>
          </cell>
          <cell r="M5286">
            <v>23.8</v>
          </cell>
          <cell r="N5286">
            <v>55</v>
          </cell>
          <cell r="O5286" t="str">
            <v>155(F)</v>
          </cell>
          <cell r="P5286" t="str">
            <v>-</v>
          </cell>
          <cell r="Q5286" t="str">
            <v>TF</v>
          </cell>
          <cell r="R5286" t="str">
            <v>-</v>
          </cell>
          <cell r="S5286" t="str">
            <v>-</v>
          </cell>
          <cell r="T5286" t="str">
            <v>-</v>
          </cell>
          <cell r="U5286" t="str">
            <v>T</v>
          </cell>
          <cell r="V5286" t="str">
            <v>-</v>
          </cell>
          <cell r="W5286" t="str">
            <v>-</v>
          </cell>
          <cell r="X5286" t="str">
            <v>CLP 220 (-15/+40°C)</v>
          </cell>
          <cell r="Y5286" t="str">
            <v>SK9052.1AXZB-160LP_4TFRD</v>
          </cell>
          <cell r="Z5286" t="str">
            <v>NORD</v>
          </cell>
          <cell r="AB5286" t="str">
            <v>-</v>
          </cell>
          <cell r="AE5286" t="str">
            <v>EX MR005200-BE0647</v>
          </cell>
          <cell r="AF5286">
            <v>58.8</v>
          </cell>
          <cell r="AG5286" t="str">
            <v>DRN160L4</v>
          </cell>
          <cell r="AH5286" t="str">
            <v>-T-DRN160L4--X</v>
          </cell>
          <cell r="AI5286" t="str">
            <v>Codici NORD srl per ARCEMI</v>
          </cell>
        </row>
        <row r="5287">
          <cell r="A5287" t="str">
            <v>MR005276</v>
          </cell>
          <cell r="B5287" t="str">
            <v>MR</v>
          </cell>
          <cell r="C5287">
            <v>7.5</v>
          </cell>
          <cell r="D5287">
            <v>9.4</v>
          </cell>
          <cell r="E5287" t="str">
            <v>R137</v>
          </cell>
          <cell r="F5287">
            <v>7620</v>
          </cell>
          <cell r="G5287">
            <v>156.31</v>
          </cell>
          <cell r="H5287">
            <v>1.05</v>
          </cell>
          <cell r="I5287" t="str">
            <v>M1</v>
          </cell>
          <cell r="J5287" t="str">
            <v>IE3</v>
          </cell>
          <cell r="K5287" t="str">
            <v>400/690</v>
          </cell>
          <cell r="L5287">
            <v>50</v>
          </cell>
          <cell r="M5287" t="str">
            <v>15,2 / 8,8</v>
          </cell>
          <cell r="N5287">
            <v>65</v>
          </cell>
          <cell r="O5287" t="str">
            <v>155(F)</v>
          </cell>
          <cell r="P5287" t="str">
            <v>270°</v>
          </cell>
          <cell r="Q5287" t="str">
            <v>TF</v>
          </cell>
          <cell r="R5287" t="str">
            <v>230/400</v>
          </cell>
          <cell r="U5287" t="str">
            <v>-</v>
          </cell>
          <cell r="V5287" t="str">
            <v>FC</v>
          </cell>
          <cell r="X5287" t="str">
            <v>CLP 220 (-15/+40°C)</v>
          </cell>
          <cell r="Y5287" t="str">
            <v>R137DRN132M4 / /RS /TF/V</v>
          </cell>
          <cell r="Z5287" t="str">
            <v>SEW</v>
          </cell>
          <cell r="AB5287" t="str">
            <v>-</v>
          </cell>
          <cell r="AF5287">
            <v>9.4</v>
          </cell>
          <cell r="AG5287" t="str">
            <v>DRN132M4</v>
          </cell>
          <cell r="AH5287" t="str">
            <v>R137-DRN132M4270-X#</v>
          </cell>
        </row>
        <row r="5288">
          <cell r="A5288" t="str">
            <v>MR005277</v>
          </cell>
          <cell r="B5288" t="str">
            <v>MR</v>
          </cell>
          <cell r="C5288">
            <v>7.5</v>
          </cell>
          <cell r="D5288">
            <v>21</v>
          </cell>
          <cell r="E5288" t="str">
            <v>KH97</v>
          </cell>
          <cell r="F5288">
            <v>3440</v>
          </cell>
          <cell r="G5288">
            <v>70.540000000000006</v>
          </cell>
          <cell r="H5288">
            <v>1.25</v>
          </cell>
          <cell r="I5288" t="str">
            <v>M1B to M4B (45°)</v>
          </cell>
          <cell r="J5288" t="str">
            <v>IE3</v>
          </cell>
          <cell r="K5288" t="str">
            <v xml:space="preserve"> 400/690</v>
          </cell>
          <cell r="L5288">
            <v>50</v>
          </cell>
          <cell r="M5288" t="str">
            <v>15,2 / 8,8</v>
          </cell>
          <cell r="N5288">
            <v>65</v>
          </cell>
          <cell r="O5288" t="str">
            <v>155(F)</v>
          </cell>
          <cell r="P5288" t="str">
            <v>270°</v>
          </cell>
          <cell r="Q5288" t="str">
            <v>TF</v>
          </cell>
          <cell r="R5288" t="str">
            <v>230/400</v>
          </cell>
          <cell r="U5288" t="str">
            <v>-</v>
          </cell>
          <cell r="V5288" t="str">
            <v>FC</v>
          </cell>
          <cell r="X5288" t="str">
            <v>CLP 220 (-15/+40°C)</v>
          </cell>
          <cell r="Y5288" t="str">
            <v>KH97DRN132M4 / /RS /TF/V</v>
          </cell>
          <cell r="Z5288" t="str">
            <v>SEW</v>
          </cell>
          <cell r="AB5288" t="str">
            <v>-</v>
          </cell>
          <cell r="AF5288">
            <v>21</v>
          </cell>
          <cell r="AG5288" t="str">
            <v>DRN132M4</v>
          </cell>
          <cell r="AH5288" t="str">
            <v>KH97-DRN132M4B270-X#</v>
          </cell>
        </row>
        <row r="5289">
          <cell r="A5289" t="str">
            <v>MR005278</v>
          </cell>
          <cell r="B5289" t="str">
            <v>MR</v>
          </cell>
          <cell r="C5289">
            <v>9.1999999999999993</v>
          </cell>
          <cell r="D5289">
            <v>66</v>
          </cell>
          <cell r="E5289" t="str">
            <v>R97</v>
          </cell>
          <cell r="F5289">
            <v>1330</v>
          </cell>
          <cell r="G5289">
            <v>22.37</v>
          </cell>
          <cell r="H5289">
            <v>2</v>
          </cell>
          <cell r="I5289" t="str">
            <v>M1</v>
          </cell>
          <cell r="J5289" t="str">
            <v>IE3</v>
          </cell>
          <cell r="K5289" t="str">
            <v xml:space="preserve"> 400/690</v>
          </cell>
          <cell r="L5289">
            <v>50</v>
          </cell>
          <cell r="M5289" t="str">
            <v>18,7 / 10,8</v>
          </cell>
          <cell r="N5289">
            <v>65</v>
          </cell>
          <cell r="O5289" t="str">
            <v>155(F)</v>
          </cell>
          <cell r="P5289" t="str">
            <v>270°</v>
          </cell>
          <cell r="Q5289" t="str">
            <v>TF</v>
          </cell>
          <cell r="R5289" t="str">
            <v>-</v>
          </cell>
          <cell r="U5289" t="str">
            <v>-</v>
          </cell>
          <cell r="V5289" t="str">
            <v>D</v>
          </cell>
          <cell r="X5289" t="str">
            <v>CLP 220 (-15/+40°C)</v>
          </cell>
          <cell r="Y5289" t="str">
            <v>R97DRN132L4 / /RS /TF</v>
          </cell>
          <cell r="Z5289" t="str">
            <v>SEW</v>
          </cell>
          <cell r="AB5289" t="str">
            <v>-</v>
          </cell>
          <cell r="AF5289">
            <v>66</v>
          </cell>
          <cell r="AG5289" t="str">
            <v>DRN132L4</v>
          </cell>
          <cell r="AH5289" t="str">
            <v>R97-DRN132L4270-X</v>
          </cell>
        </row>
        <row r="5290">
          <cell r="A5290" t="str">
            <v>MR005279</v>
          </cell>
          <cell r="B5290" t="str">
            <v>MR</v>
          </cell>
          <cell r="C5290">
            <v>18.5</v>
          </cell>
          <cell r="D5290">
            <v>16</v>
          </cell>
          <cell r="E5290" t="str">
            <v>KH127</v>
          </cell>
          <cell r="F5290">
            <v>10700</v>
          </cell>
          <cell r="G5290">
            <v>89.89</v>
          </cell>
          <cell r="H5290">
            <v>1.2</v>
          </cell>
          <cell r="I5290" t="str">
            <v>From M4A to M1A - 35°</v>
          </cell>
          <cell r="J5290" t="str">
            <v>IE3</v>
          </cell>
          <cell r="K5290" t="str">
            <v>400/690</v>
          </cell>
          <cell r="L5290">
            <v>50</v>
          </cell>
          <cell r="M5290" t="str">
            <v>33,5/19,3</v>
          </cell>
          <cell r="N5290">
            <v>55</v>
          </cell>
          <cell r="O5290" t="str">
            <v>155(F)</v>
          </cell>
          <cell r="P5290" t="str">
            <v>270°</v>
          </cell>
          <cell r="Q5290" t="str">
            <v>TF</v>
          </cell>
          <cell r="R5290" t="str">
            <v>-</v>
          </cell>
          <cell r="S5290" t="str">
            <v>-</v>
          </cell>
          <cell r="T5290" t="str">
            <v>-</v>
          </cell>
          <cell r="U5290" t="str">
            <v>-</v>
          </cell>
          <cell r="V5290" t="str">
            <v>FC</v>
          </cell>
          <cell r="W5290" t="str">
            <v>-</v>
          </cell>
          <cell r="X5290" t="str">
            <v>CLP 220 (-15/+40°C)</v>
          </cell>
          <cell r="Y5290" t="str">
            <v>KH127DRN180M4 /TF</v>
          </cell>
          <cell r="Z5290" t="str">
            <v>SEW</v>
          </cell>
          <cell r="AB5290" t="str">
            <v>-</v>
          </cell>
          <cell r="AF5290">
            <v>16</v>
          </cell>
          <cell r="AG5290" t="str">
            <v>DRN180M4</v>
          </cell>
          <cell r="AH5290" t="str">
            <v>KH127-DRN180M4A270-X</v>
          </cell>
        </row>
        <row r="5291">
          <cell r="A5291" t="str">
            <v>MR005280</v>
          </cell>
          <cell r="B5291" t="str">
            <v>MR</v>
          </cell>
          <cell r="C5291">
            <v>18.5</v>
          </cell>
          <cell r="D5291">
            <v>16</v>
          </cell>
          <cell r="E5291" t="str">
            <v>KH127</v>
          </cell>
          <cell r="F5291">
            <v>10700</v>
          </cell>
          <cell r="G5291">
            <v>89.89</v>
          </cell>
          <cell r="H5291">
            <v>1.2</v>
          </cell>
          <cell r="I5291" t="str">
            <v>From M4B to M1B - 35°</v>
          </cell>
          <cell r="J5291" t="str">
            <v>IE3</v>
          </cell>
          <cell r="K5291" t="str">
            <v>400/690</v>
          </cell>
          <cell r="L5291">
            <v>50</v>
          </cell>
          <cell r="M5291" t="str">
            <v>33,5/19,3</v>
          </cell>
          <cell r="N5291">
            <v>55</v>
          </cell>
          <cell r="O5291" t="str">
            <v>155(F)</v>
          </cell>
          <cell r="P5291" t="str">
            <v>270°</v>
          </cell>
          <cell r="Q5291" t="str">
            <v>TF</v>
          </cell>
          <cell r="R5291" t="str">
            <v>-</v>
          </cell>
          <cell r="S5291" t="str">
            <v>-</v>
          </cell>
          <cell r="T5291" t="str">
            <v>-</v>
          </cell>
          <cell r="U5291" t="str">
            <v>-</v>
          </cell>
          <cell r="V5291" t="str">
            <v>FC</v>
          </cell>
          <cell r="W5291" t="str">
            <v>-</v>
          </cell>
          <cell r="X5291" t="str">
            <v>CLP 220 (-15/+40°C)</v>
          </cell>
          <cell r="Y5291" t="str">
            <v>KH127DRN180M4 /TF</v>
          </cell>
          <cell r="Z5291" t="str">
            <v>SEW</v>
          </cell>
          <cell r="AB5291" t="str">
            <v>-</v>
          </cell>
          <cell r="AF5291">
            <v>16</v>
          </cell>
          <cell r="AG5291" t="str">
            <v>DRN180M4</v>
          </cell>
          <cell r="AH5291" t="str">
            <v>KH127-DRN180M4B270-X</v>
          </cell>
        </row>
        <row r="5292">
          <cell r="A5292" t="str">
            <v>MR005281</v>
          </cell>
          <cell r="B5292" t="str">
            <v>MR</v>
          </cell>
          <cell r="C5292">
            <v>9.1999999999999993</v>
          </cell>
          <cell r="D5292">
            <v>81</v>
          </cell>
          <cell r="E5292" t="str">
            <v>R97</v>
          </cell>
          <cell r="F5292">
            <v>1090</v>
          </cell>
          <cell r="G5292">
            <v>18.239999999999998</v>
          </cell>
          <cell r="H5292">
            <v>2.2999999999999998</v>
          </cell>
          <cell r="I5292" t="str">
            <v>M1</v>
          </cell>
          <cell r="J5292" t="str">
            <v>IE3</v>
          </cell>
          <cell r="K5292" t="str">
            <v>400/690</v>
          </cell>
          <cell r="L5292">
            <v>50</v>
          </cell>
          <cell r="M5292" t="str">
            <v>18,7/10,8</v>
          </cell>
          <cell r="N5292">
            <v>55</v>
          </cell>
          <cell r="O5292" t="str">
            <v>155(F)</v>
          </cell>
          <cell r="P5292" t="str">
            <v>270°</v>
          </cell>
          <cell r="Q5292" t="str">
            <v>TF</v>
          </cell>
          <cell r="R5292" t="str">
            <v>-</v>
          </cell>
          <cell r="S5292" t="str">
            <v>-</v>
          </cell>
          <cell r="T5292" t="str">
            <v>-</v>
          </cell>
          <cell r="U5292" t="str">
            <v>-</v>
          </cell>
          <cell r="V5292" t="str">
            <v>D</v>
          </cell>
          <cell r="W5292" t="str">
            <v>-</v>
          </cell>
          <cell r="X5292" t="str">
            <v>CLP 220 (-15/+40°C)</v>
          </cell>
          <cell r="Y5292" t="str">
            <v>R97DRN132L4 /TF</v>
          </cell>
          <cell r="Z5292" t="str">
            <v>SEW</v>
          </cell>
          <cell r="AB5292" t="str">
            <v>-</v>
          </cell>
          <cell r="AF5292">
            <v>81</v>
          </cell>
          <cell r="AG5292" t="str">
            <v>DRN132L4</v>
          </cell>
          <cell r="AH5292" t="str">
            <v>R97-DRN132L4270-X</v>
          </cell>
        </row>
        <row r="5293">
          <cell r="A5293" t="str">
            <v>MR005282</v>
          </cell>
          <cell r="B5293" t="str">
            <v>MR</v>
          </cell>
          <cell r="C5293">
            <v>15</v>
          </cell>
          <cell r="D5293">
            <v>101</v>
          </cell>
          <cell r="E5293" t="str">
            <v>R97</v>
          </cell>
          <cell r="F5293">
            <v>1420</v>
          </cell>
          <cell r="G5293">
            <v>14.62</v>
          </cell>
          <cell r="H5293">
            <v>1.6</v>
          </cell>
          <cell r="I5293" t="str">
            <v>M2</v>
          </cell>
          <cell r="J5293" t="str">
            <v>IE3</v>
          </cell>
          <cell r="K5293" t="str">
            <v>400/690</v>
          </cell>
          <cell r="L5293">
            <v>50</v>
          </cell>
          <cell r="M5293" t="str">
            <v>29/16,7</v>
          </cell>
          <cell r="N5293">
            <v>55</v>
          </cell>
          <cell r="O5293" t="str">
            <v>155(F)</v>
          </cell>
          <cell r="P5293" t="str">
            <v>270°</v>
          </cell>
          <cell r="Q5293" t="str">
            <v>TF</v>
          </cell>
          <cell r="R5293" t="str">
            <v>-</v>
          </cell>
          <cell r="S5293" t="str">
            <v>-</v>
          </cell>
          <cell r="T5293" t="str">
            <v>-</v>
          </cell>
          <cell r="U5293" t="str">
            <v>-</v>
          </cell>
          <cell r="V5293" t="str">
            <v>D</v>
          </cell>
          <cell r="W5293" t="str">
            <v>-</v>
          </cell>
          <cell r="X5293" t="str">
            <v>CLP 220 (-15/+40°C)</v>
          </cell>
          <cell r="Y5293" t="str">
            <v>R97DRN160L4 /TF</v>
          </cell>
          <cell r="Z5293" t="str">
            <v>SEW</v>
          </cell>
          <cell r="AB5293" t="str">
            <v>-</v>
          </cell>
          <cell r="AF5293">
            <v>101</v>
          </cell>
          <cell r="AG5293" t="str">
            <v>DRN160L4</v>
          </cell>
          <cell r="AH5293" t="str">
            <v>R97-DRN160L4270-X</v>
          </cell>
        </row>
        <row r="5294">
          <cell r="A5294" t="str">
            <v>MR005283</v>
          </cell>
          <cell r="B5294" t="str">
            <v>MR</v>
          </cell>
          <cell r="C5294">
            <v>0.75</v>
          </cell>
          <cell r="D5294">
            <v>18</v>
          </cell>
          <cell r="E5294" t="str">
            <v>FA67</v>
          </cell>
          <cell r="F5294">
            <v>395</v>
          </cell>
          <cell r="G5294">
            <v>79.760000000000005</v>
          </cell>
          <cell r="H5294">
            <v>2.2000000000000002</v>
          </cell>
          <cell r="I5294" t="str">
            <v>From M1 to M6 - 45°</v>
          </cell>
          <cell r="J5294" t="str">
            <v>IE3</v>
          </cell>
          <cell r="K5294" t="str">
            <v>230/400</v>
          </cell>
          <cell r="L5294">
            <v>50</v>
          </cell>
          <cell r="M5294" t="str">
            <v>3,05/1,75</v>
          </cell>
          <cell r="N5294">
            <v>65</v>
          </cell>
          <cell r="O5294" t="str">
            <v>155(F)</v>
          </cell>
          <cell r="P5294" t="str">
            <v>270°</v>
          </cell>
          <cell r="Q5294" t="str">
            <v>TF</v>
          </cell>
          <cell r="R5294" t="str">
            <v>-</v>
          </cell>
          <cell r="S5294" t="str">
            <v>-</v>
          </cell>
          <cell r="T5294" t="str">
            <v>BEHF</v>
          </cell>
          <cell r="U5294" t="str">
            <v>G</v>
          </cell>
          <cell r="V5294" t="str">
            <v>D+R</v>
          </cell>
          <cell r="W5294" t="str">
            <v>-</v>
          </cell>
          <cell r="X5294" t="str">
            <v>CLP 220 (-15/+40°C)</v>
          </cell>
          <cell r="Y5294" t="str">
            <v>FA67/G DRN80M4 /BEHF /TF</v>
          </cell>
          <cell r="Z5294" t="str">
            <v>SEW</v>
          </cell>
          <cell r="AB5294" t="str">
            <v>-</v>
          </cell>
          <cell r="AF5294">
            <v>18</v>
          </cell>
          <cell r="AG5294" t="str">
            <v>DRN80M4</v>
          </cell>
          <cell r="AH5294" t="str">
            <v>FA67G-DRN80M4270-X</v>
          </cell>
        </row>
        <row r="5295">
          <cell r="A5295" t="str">
            <v>MR005284</v>
          </cell>
          <cell r="B5295" t="str">
            <v>MR</v>
          </cell>
          <cell r="C5295">
            <v>11</v>
          </cell>
          <cell r="D5295">
            <v>15</v>
          </cell>
          <cell r="E5295" t="str">
            <v>KH107</v>
          </cell>
          <cell r="F5295">
            <v>7180</v>
          </cell>
          <cell r="G5295">
            <v>100.75</v>
          </cell>
          <cell r="H5295">
            <v>1.1000000000000001</v>
          </cell>
          <cell r="I5295" t="str">
            <v>From M1A to M2A - 25°</v>
          </cell>
          <cell r="J5295" t="str">
            <v>IE3</v>
          </cell>
          <cell r="K5295" t="str">
            <v>400/690</v>
          </cell>
          <cell r="L5295">
            <v>50</v>
          </cell>
          <cell r="M5295" t="str">
            <v>21/12,2</v>
          </cell>
          <cell r="N5295">
            <v>65</v>
          </cell>
          <cell r="O5295" t="str">
            <v>155(F)</v>
          </cell>
          <cell r="P5295" t="str">
            <v>270°</v>
          </cell>
          <cell r="Q5295" t="str">
            <v>TF</v>
          </cell>
          <cell r="R5295" t="str">
            <v>-</v>
          </cell>
          <cell r="S5295" t="str">
            <v>-</v>
          </cell>
          <cell r="T5295" t="str">
            <v>-</v>
          </cell>
          <cell r="U5295" t="str">
            <v>-</v>
          </cell>
          <cell r="V5295" t="str">
            <v>SS</v>
          </cell>
          <cell r="W5295" t="str">
            <v>-</v>
          </cell>
          <cell r="X5295" t="str">
            <v>CLP 220 (-15/+40°C)</v>
          </cell>
          <cell r="Y5295" t="str">
            <v>KH107DRN160M4 /TF</v>
          </cell>
          <cell r="Z5295" t="str">
            <v>SEW</v>
          </cell>
          <cell r="AB5295" t="str">
            <v>-</v>
          </cell>
          <cell r="AF5295">
            <v>15</v>
          </cell>
          <cell r="AG5295" t="str">
            <v>DRN160M4</v>
          </cell>
          <cell r="AH5295" t="str">
            <v>KH107-DRN160M4A270-X</v>
          </cell>
        </row>
        <row r="5296">
          <cell r="A5296" t="str">
            <v>MR005285</v>
          </cell>
          <cell r="B5296" t="str">
            <v>MR</v>
          </cell>
          <cell r="C5296">
            <v>11</v>
          </cell>
          <cell r="D5296">
            <v>15</v>
          </cell>
          <cell r="E5296" t="str">
            <v>KH107</v>
          </cell>
          <cell r="F5296">
            <v>7180</v>
          </cell>
          <cell r="G5296">
            <v>100.75</v>
          </cell>
          <cell r="H5296">
            <v>1.1000000000000001</v>
          </cell>
          <cell r="I5296" t="str">
            <v>From M1B to M2B - 25°</v>
          </cell>
          <cell r="J5296" t="str">
            <v>IE3</v>
          </cell>
          <cell r="K5296" t="str">
            <v>400/690</v>
          </cell>
          <cell r="L5296">
            <v>50</v>
          </cell>
          <cell r="M5296" t="str">
            <v>21/12,2</v>
          </cell>
          <cell r="N5296">
            <v>65</v>
          </cell>
          <cell r="O5296" t="str">
            <v>155(F)</v>
          </cell>
          <cell r="P5296" t="str">
            <v>270°</v>
          </cell>
          <cell r="Q5296" t="str">
            <v>TF</v>
          </cell>
          <cell r="R5296" t="str">
            <v>-</v>
          </cell>
          <cell r="S5296" t="str">
            <v>-</v>
          </cell>
          <cell r="T5296" t="str">
            <v>-</v>
          </cell>
          <cell r="U5296" t="str">
            <v>-</v>
          </cell>
          <cell r="V5296" t="str">
            <v>SS</v>
          </cell>
          <cell r="W5296" t="str">
            <v>-</v>
          </cell>
          <cell r="X5296" t="str">
            <v>CLP 220 (-15/+40°C)</v>
          </cell>
          <cell r="Y5296" t="str">
            <v>KH107DRN160M4 /TF</v>
          </cell>
          <cell r="Z5296" t="str">
            <v>SEW</v>
          </cell>
          <cell r="AB5296" t="str">
            <v>-</v>
          </cell>
          <cell r="AF5296">
            <v>15</v>
          </cell>
          <cell r="AG5296" t="str">
            <v>DRN160M4</v>
          </cell>
          <cell r="AH5296" t="str">
            <v>KH107-DRN160M4B270-X</v>
          </cell>
        </row>
        <row r="5297">
          <cell r="A5297" t="str">
            <v>MR005286</v>
          </cell>
          <cell r="B5297" t="str">
            <v>MR</v>
          </cell>
          <cell r="C5297">
            <v>7.5</v>
          </cell>
          <cell r="D5297">
            <v>62</v>
          </cell>
          <cell r="E5297" t="str">
            <v>FH87</v>
          </cell>
          <cell r="F5297">
            <v>1150</v>
          </cell>
          <cell r="G5297">
            <v>23.68</v>
          </cell>
          <cell r="H5297">
            <v>2.6</v>
          </cell>
          <cell r="I5297" t="str">
            <v>M1</v>
          </cell>
          <cell r="J5297" t="str">
            <v>IE3</v>
          </cell>
          <cell r="K5297" t="str">
            <v>400/690</v>
          </cell>
          <cell r="L5297">
            <v>50</v>
          </cell>
          <cell r="M5297" t="str">
            <v>15,2/8,8</v>
          </cell>
          <cell r="N5297">
            <v>65</v>
          </cell>
          <cell r="O5297" t="str">
            <v>155(F)</v>
          </cell>
          <cell r="P5297" t="str">
            <v>0°</v>
          </cell>
          <cell r="Q5297" t="str">
            <v>TF</v>
          </cell>
          <cell r="R5297" t="str">
            <v>-</v>
          </cell>
          <cell r="S5297" t="str">
            <v>-</v>
          </cell>
          <cell r="T5297" t="str">
            <v>-</v>
          </cell>
          <cell r="U5297" t="str">
            <v>G</v>
          </cell>
          <cell r="V5297" t="str">
            <v>D</v>
          </cell>
          <cell r="W5297" t="str">
            <v>-</v>
          </cell>
          <cell r="X5297" t="str">
            <v>CLP 220 (-15/+40°C)</v>
          </cell>
          <cell r="Y5297" t="str">
            <v>FH87/G DRN132M4 /TF</v>
          </cell>
          <cell r="AB5297" t="str">
            <v>-</v>
          </cell>
          <cell r="AF5297">
            <v>62</v>
          </cell>
          <cell r="AG5297" t="str">
            <v>DRN132M4</v>
          </cell>
          <cell r="AH5297" t="str">
            <v>FH87G-DRN132M40-X</v>
          </cell>
        </row>
        <row r="5298">
          <cell r="A5298" t="str">
            <v>MR005287</v>
          </cell>
          <cell r="B5298" t="str">
            <v>MR</v>
          </cell>
          <cell r="C5298">
            <v>1.1000000000000001</v>
          </cell>
          <cell r="D5298">
            <v>1</v>
          </cell>
          <cell r="E5298" t="str">
            <v>PPK3PH010/FKAF47 DRN90S4</v>
          </cell>
          <cell r="F5298">
            <v>10980</v>
          </cell>
          <cell r="G5298">
            <v>1604</v>
          </cell>
          <cell r="H5298">
            <v>1.01</v>
          </cell>
          <cell r="I5298" t="str">
            <v>M1</v>
          </cell>
          <cell r="J5298" t="str">
            <v>IE3</v>
          </cell>
          <cell r="K5298" t="str">
            <v>230/400</v>
          </cell>
          <cell r="L5298">
            <v>50</v>
          </cell>
          <cell r="M5298">
            <v>2.5499999999999998</v>
          </cell>
          <cell r="N5298">
            <v>55</v>
          </cell>
          <cell r="O5298" t="str">
            <v>155(F)</v>
          </cell>
          <cell r="Q5298" t="str">
            <v xml:space="preserve">PTC  </v>
          </cell>
          <cell r="R5298" t="str">
            <v>-</v>
          </cell>
          <cell r="S5298" t="str">
            <v>-</v>
          </cell>
          <cell r="T5298" t="str">
            <v>-</v>
          </cell>
          <cell r="U5298" t="str">
            <v>-</v>
          </cell>
          <cell r="V5298" t="str">
            <v>-</v>
          </cell>
          <cell r="W5298" t="str">
            <v>-</v>
          </cell>
          <cell r="X5298" t="str">
            <v>Olio sintetico CLP HC 220 e HC320</v>
          </cell>
          <cell r="Y5298" t="str">
            <v>PPK3PH010/FKAF47 DRN90S4</v>
          </cell>
          <cell r="Z5298" t="str">
            <v>SEW</v>
          </cell>
          <cell r="AA5298" t="str">
            <v>OS4</v>
          </cell>
          <cell r="AB5298" t="str">
            <v>-</v>
          </cell>
          <cell r="AC5298" t="str">
            <v>-</v>
          </cell>
          <cell r="AD5298" t="str">
            <v>EU</v>
          </cell>
          <cell r="AE5298" t="str">
            <v>Per R007594 (ARCEMI)</v>
          </cell>
          <cell r="AF5298">
            <v>1455</v>
          </cell>
          <cell r="AG5298" t="str">
            <v>DRN90S4/TF</v>
          </cell>
          <cell r="AH5298" t="str">
            <v>PPK3PH010/FKAF47 DRN90S4</v>
          </cell>
        </row>
        <row r="5299">
          <cell r="A5299" t="str">
            <v>MR005288</v>
          </cell>
          <cell r="B5299" t="str">
            <v>MR</v>
          </cell>
          <cell r="C5299">
            <v>3</v>
          </cell>
          <cell r="D5299">
            <v>1</v>
          </cell>
          <cell r="E5299" t="str">
            <v>PHF012KF77 DRN100L4</v>
          </cell>
          <cell r="F5299">
            <v>36810</v>
          </cell>
          <cell r="G5299">
            <v>2008</v>
          </cell>
          <cell r="H5299">
            <v>1.29</v>
          </cell>
          <cell r="I5299" t="str">
            <v>M1</v>
          </cell>
          <cell r="J5299" t="str">
            <v>IE3</v>
          </cell>
          <cell r="K5299" t="str">
            <v>230/400</v>
          </cell>
          <cell r="L5299">
            <v>50</v>
          </cell>
          <cell r="M5299">
            <v>6.4</v>
          </cell>
          <cell r="N5299">
            <v>55</v>
          </cell>
          <cell r="O5299" t="str">
            <v>155(F)</v>
          </cell>
          <cell r="Q5299" t="str">
            <v>PTC</v>
          </cell>
          <cell r="R5299" t="str">
            <v>-</v>
          </cell>
          <cell r="S5299" t="str">
            <v>-</v>
          </cell>
          <cell r="T5299" t="str">
            <v>-</v>
          </cell>
          <cell r="U5299" t="str">
            <v>-</v>
          </cell>
          <cell r="V5299" t="str">
            <v>-</v>
          </cell>
          <cell r="W5299" t="str">
            <v>-</v>
          </cell>
          <cell r="X5299" t="str">
            <v>Olio sintetico CLP HC 220 e H1000</v>
          </cell>
          <cell r="Y5299" t="str">
            <v>PHF012KF77 DRN100L4</v>
          </cell>
          <cell r="Z5299" t="str">
            <v>SEW</v>
          </cell>
          <cell r="AA5299" t="str">
            <v>OS4</v>
          </cell>
          <cell r="AB5299" t="str">
            <v>-</v>
          </cell>
          <cell r="AC5299" t="str">
            <v>-</v>
          </cell>
          <cell r="AD5299" t="str">
            <v>EU</v>
          </cell>
          <cell r="AE5299" t="str">
            <v>Per CR00033 (ARCEMI)</v>
          </cell>
          <cell r="AF5299">
            <v>1455</v>
          </cell>
          <cell r="AG5299" t="str">
            <v>DRN100L4/TF</v>
          </cell>
          <cell r="AH5299" t="str">
            <v>PHF012KF77 DRN100L4</v>
          </cell>
        </row>
        <row r="5300">
          <cell r="A5300" t="str">
            <v>MR005289</v>
          </cell>
          <cell r="B5300" t="str">
            <v>MR</v>
          </cell>
          <cell r="C5300">
            <v>11</v>
          </cell>
          <cell r="D5300">
            <v>15</v>
          </cell>
          <cell r="E5300" t="str">
            <v>KH107</v>
          </cell>
          <cell r="F5300">
            <v>7180</v>
          </cell>
          <cell r="G5300">
            <v>100.75</v>
          </cell>
          <cell r="H5300">
            <v>1.1000000000000001</v>
          </cell>
          <cell r="I5300" t="str">
            <v>From M1 to M4B - 50°</v>
          </cell>
          <cell r="J5300" t="str">
            <v>IE3</v>
          </cell>
          <cell r="K5300" t="str">
            <v>400/690</v>
          </cell>
          <cell r="L5300">
            <v>50</v>
          </cell>
          <cell r="M5300" t="str">
            <v>21/12,2</v>
          </cell>
          <cell r="N5300">
            <v>55</v>
          </cell>
          <cell r="O5300" t="str">
            <v>155(F)</v>
          </cell>
          <cell r="P5300" t="str">
            <v>270°</v>
          </cell>
          <cell r="Q5300" t="str">
            <v>TF</v>
          </cell>
          <cell r="R5300" t="str">
            <v>-</v>
          </cell>
          <cell r="S5300" t="str">
            <v>-</v>
          </cell>
          <cell r="T5300" t="str">
            <v>-</v>
          </cell>
          <cell r="U5300" t="str">
            <v>-</v>
          </cell>
          <cell r="V5300" t="str">
            <v>FC</v>
          </cell>
          <cell r="W5300" t="str">
            <v>-</v>
          </cell>
          <cell r="X5300" t="str">
            <v>CLP 220 (-15/+40°C)</v>
          </cell>
          <cell r="Y5300" t="str">
            <v>KH107 AMS160 DRN160M4</v>
          </cell>
          <cell r="Z5300" t="str">
            <v>SEW</v>
          </cell>
          <cell r="AB5300" t="str">
            <v>-</v>
          </cell>
          <cell r="AE5300" t="str">
            <v>Universal AMS coupling with IEC motor</v>
          </cell>
          <cell r="AF5300">
            <v>15</v>
          </cell>
          <cell r="AG5300" t="str">
            <v>DRN160M4</v>
          </cell>
          <cell r="AH5300" t="str">
            <v>KH107-DRN160M4B270-X</v>
          </cell>
        </row>
        <row r="5301">
          <cell r="A5301" t="str">
            <v>MR005290</v>
          </cell>
          <cell r="B5301" t="str">
            <v>MR</v>
          </cell>
          <cell r="C5301">
            <v>11</v>
          </cell>
          <cell r="D5301">
            <v>15</v>
          </cell>
          <cell r="E5301" t="str">
            <v>KH107</v>
          </cell>
          <cell r="F5301">
            <v>7180</v>
          </cell>
          <cell r="G5301">
            <v>100.75</v>
          </cell>
          <cell r="H5301">
            <v>1.1000000000000001</v>
          </cell>
          <cell r="I5301" t="str">
            <v>From M1 to M4A - 50°</v>
          </cell>
          <cell r="J5301" t="str">
            <v>IE3</v>
          </cell>
          <cell r="K5301" t="str">
            <v>400/690</v>
          </cell>
          <cell r="L5301">
            <v>50</v>
          </cell>
          <cell r="M5301" t="str">
            <v>21/12,2</v>
          </cell>
          <cell r="N5301">
            <v>55</v>
          </cell>
          <cell r="O5301" t="str">
            <v>155(F)</v>
          </cell>
          <cell r="P5301" t="str">
            <v>270°</v>
          </cell>
          <cell r="Q5301" t="str">
            <v>TF</v>
          </cell>
          <cell r="R5301" t="str">
            <v>-</v>
          </cell>
          <cell r="S5301" t="str">
            <v>-</v>
          </cell>
          <cell r="T5301" t="str">
            <v>-</v>
          </cell>
          <cell r="U5301" t="str">
            <v>-</v>
          </cell>
          <cell r="V5301" t="str">
            <v>FC</v>
          </cell>
          <cell r="W5301" t="str">
            <v>-</v>
          </cell>
          <cell r="X5301" t="str">
            <v>CLP 220 (-15/+40°C)</v>
          </cell>
          <cell r="Y5301" t="str">
            <v>KH107 AMS160 DRN160M4</v>
          </cell>
          <cell r="Z5301" t="str">
            <v>SEW</v>
          </cell>
          <cell r="AB5301" t="str">
            <v>-</v>
          </cell>
          <cell r="AE5301" t="str">
            <v>Universal AMS coupling with IEC motor</v>
          </cell>
          <cell r="AF5301">
            <v>15</v>
          </cell>
          <cell r="AG5301" t="str">
            <v>DRN160M4</v>
          </cell>
          <cell r="AH5301" t="str">
            <v>KH107-DRN160M4A270-X</v>
          </cell>
        </row>
        <row r="5302">
          <cell r="A5302" t="str">
            <v>MR005291</v>
          </cell>
          <cell r="B5302" t="str">
            <v>MR</v>
          </cell>
          <cell r="C5302">
            <v>5.5</v>
          </cell>
          <cell r="D5302">
            <v>1470</v>
          </cell>
          <cell r="E5302" t="str">
            <v>M3AA 132MB 4</v>
          </cell>
          <cell r="F5302">
            <v>35.869999999999997</v>
          </cell>
          <cell r="J5302" t="str">
            <v>IE3</v>
          </cell>
          <cell r="K5302" t="str">
            <v>400/690</v>
          </cell>
          <cell r="L5302">
            <v>50</v>
          </cell>
          <cell r="M5302">
            <v>11.4</v>
          </cell>
          <cell r="O5302" t="str">
            <v>155(F)</v>
          </cell>
          <cell r="Y5302" t="str">
            <v>M3AA 132MB 4</v>
          </cell>
          <cell r="Z5302" t="str">
            <v>ABB</v>
          </cell>
          <cell r="AA5302" t="str">
            <v>C3</v>
          </cell>
          <cell r="AB5302" t="str">
            <v>-</v>
          </cell>
          <cell r="AD5302" t="str">
            <v>EU</v>
          </cell>
          <cell r="AE5302" t="str">
            <v>Per TN003304 (ARCEMI)</v>
          </cell>
          <cell r="AF5302">
            <v>1470</v>
          </cell>
          <cell r="AH5302" t="str">
            <v>M3AA 132MB 4</v>
          </cell>
        </row>
        <row r="5303">
          <cell r="A5303" t="str">
            <v>MR005292</v>
          </cell>
          <cell r="B5303" t="str">
            <v>MR</v>
          </cell>
          <cell r="C5303">
            <v>0.25</v>
          </cell>
          <cell r="D5303">
            <v>4.5999999999999996</v>
          </cell>
          <cell r="E5303" t="str">
            <v>SK1SI75</v>
          </cell>
          <cell r="F5303">
            <v>238</v>
          </cell>
          <cell r="G5303">
            <v>375</v>
          </cell>
          <cell r="H5303">
            <v>1.5</v>
          </cell>
          <cell r="I5303" t="str">
            <v>-</v>
          </cell>
          <cell r="J5303" t="str">
            <v>IE3</v>
          </cell>
          <cell r="K5303" t="str">
            <v>254/440</v>
          </cell>
          <cell r="L5303">
            <v>50</v>
          </cell>
          <cell r="M5303" t="str">
            <v>1,14/0,66</v>
          </cell>
          <cell r="N5303">
            <v>55</v>
          </cell>
          <cell r="O5303" t="str">
            <v>155(F)</v>
          </cell>
          <cell r="P5303" t="str">
            <v>270°</v>
          </cell>
          <cell r="Q5303" t="str">
            <v>TF</v>
          </cell>
          <cell r="R5303" t="str">
            <v>-</v>
          </cell>
          <cell r="S5303" t="str">
            <v>-</v>
          </cell>
          <cell r="T5303" t="str">
            <v>-</v>
          </cell>
          <cell r="U5303" t="str">
            <v>-</v>
          </cell>
          <cell r="V5303" t="str">
            <v>D</v>
          </cell>
          <cell r="W5303" t="str">
            <v>-</v>
          </cell>
          <cell r="X5303" t="str">
            <v>(if ATEX, synthetic only!)</v>
          </cell>
          <cell r="Y5303" t="str">
            <v>SK1SI75DRN71MS4 /TF</v>
          </cell>
          <cell r="Z5303" t="str">
            <v>NORD</v>
          </cell>
          <cell r="AB5303" t="str">
            <v>-</v>
          </cell>
          <cell r="AE5303" t="str">
            <v>Per CL000374 (ARCEMI)</v>
          </cell>
          <cell r="AF5303">
            <v>4.5999999999999996</v>
          </cell>
          <cell r="AG5303" t="str">
            <v>DRN71MS4</v>
          </cell>
          <cell r="AH5303" t="str">
            <v>SK1SI75-DRN71MS4270-X</v>
          </cell>
        </row>
        <row r="5304">
          <cell r="A5304" t="str">
            <v>MR005293</v>
          </cell>
          <cell r="B5304" t="str">
            <v>MR</v>
          </cell>
          <cell r="C5304">
            <v>15</v>
          </cell>
          <cell r="D5304">
            <v>59</v>
          </cell>
          <cell r="E5304" t="str">
            <v>KH87</v>
          </cell>
          <cell r="F5304">
            <v>2420</v>
          </cell>
          <cell r="G5304">
            <v>24.92</v>
          </cell>
          <cell r="H5304">
            <v>1.05</v>
          </cell>
          <cell r="I5304" t="str">
            <v>From M4A to M1A-10°</v>
          </cell>
          <cell r="J5304" t="str">
            <v>IE3</v>
          </cell>
          <cell r="K5304" t="str">
            <v>400/690</v>
          </cell>
          <cell r="L5304">
            <v>50</v>
          </cell>
          <cell r="M5304" t="str">
            <v>29/16,7</v>
          </cell>
          <cell r="N5304">
            <v>65</v>
          </cell>
          <cell r="O5304" t="str">
            <v>155(F)</v>
          </cell>
          <cell r="P5304" t="str">
            <v>270°</v>
          </cell>
          <cell r="Q5304" t="str">
            <v>TF</v>
          </cell>
          <cell r="R5304" t="str">
            <v>-</v>
          </cell>
          <cell r="S5304" t="str">
            <v>Free rotation CCW</v>
          </cell>
          <cell r="T5304" t="str">
            <v>-</v>
          </cell>
          <cell r="U5304" t="str">
            <v>T</v>
          </cell>
          <cell r="V5304" t="str">
            <v>SS</v>
          </cell>
          <cell r="W5304" t="str">
            <v>-</v>
          </cell>
          <cell r="X5304" t="str">
            <v>CLP 220 (-15/+40°C)</v>
          </cell>
          <cell r="Y5304" t="str">
            <v>KH87/T DRN160L4 /RS /TF</v>
          </cell>
          <cell r="Z5304" t="str">
            <v>SEW</v>
          </cell>
          <cell r="AB5304" t="str">
            <v>-</v>
          </cell>
          <cell r="AF5304">
            <v>59</v>
          </cell>
          <cell r="AG5304" t="str">
            <v>DRN160L4</v>
          </cell>
          <cell r="AH5304" t="str">
            <v>KH87T-DRN160L4A270-X</v>
          </cell>
        </row>
        <row r="5305">
          <cell r="A5305" t="str">
            <v>MR005294</v>
          </cell>
          <cell r="B5305" t="str">
            <v>MR</v>
          </cell>
          <cell r="C5305">
            <v>15</v>
          </cell>
          <cell r="D5305">
            <v>37</v>
          </cell>
          <cell r="E5305" t="str">
            <v>R107</v>
          </cell>
          <cell r="F5305">
            <v>3920</v>
          </cell>
          <cell r="G5305">
            <v>40.369999999999997</v>
          </cell>
          <cell r="H5305">
            <v>1.1000000000000001</v>
          </cell>
          <cell r="I5305" t="str">
            <v>M1</v>
          </cell>
          <cell r="J5305" t="str">
            <v>IE3</v>
          </cell>
          <cell r="K5305" t="str">
            <v>400/690</v>
          </cell>
          <cell r="L5305">
            <v>50</v>
          </cell>
          <cell r="M5305" t="str">
            <v>29,5/16,9</v>
          </cell>
          <cell r="N5305">
            <v>65</v>
          </cell>
          <cell r="O5305" t="str">
            <v>155(F)</v>
          </cell>
          <cell r="P5305" t="str">
            <v>270°</v>
          </cell>
          <cell r="Q5305" t="str">
            <v>TF</v>
          </cell>
          <cell r="R5305" t="str">
            <v>V(VE)</v>
          </cell>
          <cell r="S5305" t="str">
            <v>-</v>
          </cell>
          <cell r="T5305" t="str">
            <v>-</v>
          </cell>
          <cell r="U5305" t="str">
            <v>-</v>
          </cell>
          <cell r="V5305" t="str">
            <v>FC</v>
          </cell>
          <cell r="W5305" t="str">
            <v>-</v>
          </cell>
          <cell r="X5305" t="str">
            <v>CLP 220 (-15/+40°C)</v>
          </cell>
          <cell r="Y5305" t="str">
            <v>R107DRN160L4 /TF/V</v>
          </cell>
          <cell r="Z5305" t="str">
            <v>SEW</v>
          </cell>
          <cell r="AB5305" t="str">
            <v>-</v>
          </cell>
          <cell r="AF5305">
            <v>37</v>
          </cell>
          <cell r="AG5305" t="str">
            <v>DRN160L4</v>
          </cell>
          <cell r="AH5305" t="str">
            <v>R107-DRN160L4270-X#</v>
          </cell>
        </row>
        <row r="5306">
          <cell r="A5306" t="str">
            <v>MR005295</v>
          </cell>
          <cell r="B5306" t="str">
            <v>-</v>
          </cell>
          <cell r="C5306" t="str">
            <v>-</v>
          </cell>
          <cell r="E5306" t="str">
            <v>-</v>
          </cell>
          <cell r="N5306" t="str">
            <v>-</v>
          </cell>
          <cell r="O5306" t="str">
            <v>-</v>
          </cell>
          <cell r="P5306" t="str">
            <v>-</v>
          </cell>
          <cell r="Q5306" t="str">
            <v>-</v>
          </cell>
          <cell r="R5306" t="str">
            <v>-</v>
          </cell>
          <cell r="S5306" t="str">
            <v>-</v>
          </cell>
          <cell r="T5306" t="str">
            <v>-</v>
          </cell>
          <cell r="U5306" t="str">
            <v>-</v>
          </cell>
          <cell r="V5306" t="str">
            <v>-</v>
          </cell>
          <cell r="W5306" t="str">
            <v>-</v>
          </cell>
          <cell r="X5306" t="str">
            <v>(if ATEX, synthetic only!)</v>
          </cell>
          <cell r="Y5306" t="str">
            <v>--</v>
          </cell>
          <cell r="AB5306" t="str">
            <v>-</v>
          </cell>
          <cell r="AF5306">
            <v>0</v>
          </cell>
          <cell r="AG5306" t="str">
            <v>-</v>
          </cell>
          <cell r="AH5306" t="str">
            <v>-----X</v>
          </cell>
        </row>
        <row r="5307">
          <cell r="A5307" t="str">
            <v>MR005296</v>
          </cell>
          <cell r="B5307" t="str">
            <v>MR</v>
          </cell>
          <cell r="C5307">
            <v>7.5</v>
          </cell>
          <cell r="D5307">
            <v>9.4</v>
          </cell>
          <cell r="E5307" t="str">
            <v>R137</v>
          </cell>
          <cell r="F5307">
            <v>7620</v>
          </cell>
          <cell r="G5307">
            <v>156.31</v>
          </cell>
          <cell r="H5307">
            <v>1.05</v>
          </cell>
          <cell r="I5307" t="str">
            <v>M1</v>
          </cell>
          <cell r="J5307" t="str">
            <v>IE3</v>
          </cell>
          <cell r="K5307" t="str">
            <v>400/690</v>
          </cell>
          <cell r="L5307">
            <v>50</v>
          </cell>
          <cell r="M5307" t="str">
            <v>15,2 / 8,8</v>
          </cell>
          <cell r="N5307">
            <v>65</v>
          </cell>
          <cell r="O5307" t="str">
            <v>155(F)</v>
          </cell>
          <cell r="P5307" t="str">
            <v>270°</v>
          </cell>
          <cell r="Q5307" t="str">
            <v>TF</v>
          </cell>
          <cell r="R5307" t="str">
            <v>230/400</v>
          </cell>
          <cell r="S5307" t="str">
            <v>-</v>
          </cell>
          <cell r="T5307" t="str">
            <v>-</v>
          </cell>
          <cell r="U5307" t="str">
            <v>-</v>
          </cell>
          <cell r="V5307" t="str">
            <v>FC</v>
          </cell>
          <cell r="X5307" t="str">
            <v>CLP 220 (-15/+40°C)</v>
          </cell>
          <cell r="Y5307" t="str">
            <v>R137DRN132M4 /TF/V</v>
          </cell>
          <cell r="Z5307" t="str">
            <v>SEW</v>
          </cell>
          <cell r="AB5307" t="str">
            <v>-</v>
          </cell>
          <cell r="AF5307">
            <v>9.4</v>
          </cell>
          <cell r="AG5307" t="str">
            <v>DRN132M4</v>
          </cell>
          <cell r="AH5307" t="str">
            <v>R137-DRN132M4270-X#</v>
          </cell>
        </row>
        <row r="5308">
          <cell r="A5308" t="str">
            <v>MR005297</v>
          </cell>
          <cell r="B5308" t="str">
            <v>MR</v>
          </cell>
          <cell r="C5308">
            <v>7.5</v>
          </cell>
          <cell r="D5308">
            <v>21</v>
          </cell>
          <cell r="E5308" t="str">
            <v>KH97</v>
          </cell>
          <cell r="F5308">
            <v>3440</v>
          </cell>
          <cell r="G5308">
            <v>70.540000000000006</v>
          </cell>
          <cell r="H5308">
            <v>1.25</v>
          </cell>
          <cell r="I5308" t="str">
            <v>M1B to M4B (45°)</v>
          </cell>
          <cell r="J5308" t="str">
            <v>IE3</v>
          </cell>
          <cell r="K5308" t="str">
            <v xml:space="preserve"> 400/690</v>
          </cell>
          <cell r="L5308">
            <v>50</v>
          </cell>
          <cell r="M5308" t="str">
            <v>15,2 / 8,8</v>
          </cell>
          <cell r="N5308">
            <v>65</v>
          </cell>
          <cell r="O5308" t="str">
            <v>155(F)</v>
          </cell>
          <cell r="P5308" t="str">
            <v>270°</v>
          </cell>
          <cell r="Q5308" t="str">
            <v>TF</v>
          </cell>
          <cell r="R5308" t="str">
            <v>230/400</v>
          </cell>
          <cell r="S5308" t="str">
            <v>-</v>
          </cell>
          <cell r="T5308" t="str">
            <v>-</v>
          </cell>
          <cell r="U5308" t="str">
            <v>-</v>
          </cell>
          <cell r="V5308" t="str">
            <v>FC</v>
          </cell>
          <cell r="X5308" t="str">
            <v>CLP 220 (-15/+40°C)</v>
          </cell>
          <cell r="Y5308" t="str">
            <v>KH97DRN132M4 /TF/V</v>
          </cell>
          <cell r="Z5308" t="str">
            <v>SEW</v>
          </cell>
          <cell r="AB5308" t="str">
            <v>-</v>
          </cell>
          <cell r="AF5308">
            <v>21</v>
          </cell>
          <cell r="AG5308" t="str">
            <v>DRN132M4</v>
          </cell>
          <cell r="AH5308" t="str">
            <v>KH97-DRN132M4B270-X#</v>
          </cell>
        </row>
        <row r="5309">
          <cell r="A5309" t="str">
            <v>MR005298</v>
          </cell>
          <cell r="B5309" t="str">
            <v>MR</v>
          </cell>
          <cell r="C5309">
            <v>9.1999999999999993</v>
          </cell>
          <cell r="D5309">
            <v>66</v>
          </cell>
          <cell r="E5309" t="str">
            <v>R97</v>
          </cell>
          <cell r="F5309">
            <v>1330</v>
          </cell>
          <cell r="G5309">
            <v>22.37</v>
          </cell>
          <cell r="H5309">
            <v>2</v>
          </cell>
          <cell r="I5309" t="str">
            <v>M1</v>
          </cell>
          <cell r="J5309" t="str">
            <v>IE3</v>
          </cell>
          <cell r="K5309" t="str">
            <v xml:space="preserve"> 400/690</v>
          </cell>
          <cell r="L5309">
            <v>50</v>
          </cell>
          <cell r="M5309" t="str">
            <v>18,7 / 10,8</v>
          </cell>
          <cell r="N5309">
            <v>65</v>
          </cell>
          <cell r="O5309" t="str">
            <v>155(F)</v>
          </cell>
          <cell r="P5309" t="str">
            <v>270°</v>
          </cell>
          <cell r="Q5309" t="str">
            <v>TF</v>
          </cell>
          <cell r="R5309" t="str">
            <v>-</v>
          </cell>
          <cell r="S5309" t="str">
            <v>-</v>
          </cell>
          <cell r="T5309" t="str">
            <v>-</v>
          </cell>
          <cell r="U5309" t="str">
            <v>-</v>
          </cell>
          <cell r="V5309" t="str">
            <v>D</v>
          </cell>
          <cell r="X5309" t="str">
            <v>CLP 220 (-15/+40°C)</v>
          </cell>
          <cell r="Y5309" t="str">
            <v>R97DRN132L4 /TF</v>
          </cell>
          <cell r="Z5309" t="str">
            <v>SEW</v>
          </cell>
          <cell r="AB5309" t="str">
            <v>-</v>
          </cell>
          <cell r="AF5309">
            <v>66</v>
          </cell>
          <cell r="AG5309" t="str">
            <v>DRN132L4</v>
          </cell>
          <cell r="AH5309" t="str">
            <v>R97-DRN132L4270-X</v>
          </cell>
        </row>
        <row r="5310">
          <cell r="A5310" t="str">
            <v>MR005299</v>
          </cell>
          <cell r="B5310" t="str">
            <v>MR</v>
          </cell>
          <cell r="C5310">
            <v>15</v>
          </cell>
          <cell r="D5310">
            <v>12</v>
          </cell>
          <cell r="E5310" t="str">
            <v>KH127</v>
          </cell>
          <cell r="F5310">
            <v>11900</v>
          </cell>
          <cell r="G5310">
            <v>122.48</v>
          </cell>
          <cell r="H5310">
            <v>1.1000000000000001</v>
          </cell>
          <cell r="I5310" t="str">
            <v>From M1 B to M2B 40°</v>
          </cell>
          <cell r="J5310" t="str">
            <v>IE3</v>
          </cell>
          <cell r="K5310" t="str">
            <v>230/400</v>
          </cell>
          <cell r="L5310">
            <v>50</v>
          </cell>
          <cell r="M5310" t="str">
            <v>50/29</v>
          </cell>
          <cell r="N5310">
            <v>65</v>
          </cell>
          <cell r="O5310" t="str">
            <v>155(F)</v>
          </cell>
          <cell r="P5310" t="str">
            <v>270°</v>
          </cell>
          <cell r="Q5310" t="str">
            <v>TF</v>
          </cell>
          <cell r="R5310" t="str">
            <v>V(VE)</v>
          </cell>
          <cell r="S5310" t="str">
            <v>-</v>
          </cell>
          <cell r="T5310" t="str">
            <v>-</v>
          </cell>
          <cell r="U5310" t="str">
            <v>-</v>
          </cell>
          <cell r="V5310" t="str">
            <v>FC</v>
          </cell>
          <cell r="W5310" t="str">
            <v>-</v>
          </cell>
          <cell r="X5310" t="str">
            <v>CLP 220 (-15/+40°C)</v>
          </cell>
          <cell r="Y5310" t="str">
            <v>KH127DRN160L4 /TF/V</v>
          </cell>
          <cell r="Z5310" t="str">
            <v>SEW</v>
          </cell>
          <cell r="AB5310" t="str">
            <v>-</v>
          </cell>
          <cell r="AF5310">
            <v>12</v>
          </cell>
          <cell r="AG5310" t="str">
            <v>DRN160L4</v>
          </cell>
          <cell r="AH5310" t="str">
            <v>KH127-DRN160L4B270-X#</v>
          </cell>
        </row>
        <row r="5311">
          <cell r="A5311" t="str">
            <v>MR005300</v>
          </cell>
          <cell r="B5311" t="str">
            <v>MR</v>
          </cell>
          <cell r="C5311">
            <v>18.5</v>
          </cell>
          <cell r="D5311">
            <v>16</v>
          </cell>
          <cell r="E5311" t="str">
            <v>KH127</v>
          </cell>
          <cell r="F5311">
            <v>10700</v>
          </cell>
          <cell r="G5311">
            <v>89.89</v>
          </cell>
          <cell r="H5311">
            <v>1.2</v>
          </cell>
          <cell r="I5311" t="str">
            <v>From M1 A to M2A 15°</v>
          </cell>
          <cell r="J5311" t="str">
            <v>IE3</v>
          </cell>
          <cell r="K5311" t="str">
            <v xml:space="preserve"> 400/690</v>
          </cell>
          <cell r="L5311">
            <v>50</v>
          </cell>
          <cell r="M5311" t="str">
            <v>33,5/19,3</v>
          </cell>
          <cell r="N5311">
            <v>65</v>
          </cell>
          <cell r="O5311" t="str">
            <v>155(F)</v>
          </cell>
          <cell r="P5311" t="str">
            <v>270°</v>
          </cell>
          <cell r="Q5311" t="str">
            <v>TF</v>
          </cell>
          <cell r="R5311" t="str">
            <v>-</v>
          </cell>
          <cell r="S5311" t="str">
            <v>-</v>
          </cell>
          <cell r="T5311" t="str">
            <v>-</v>
          </cell>
          <cell r="U5311" t="str">
            <v>-</v>
          </cell>
          <cell r="V5311" t="str">
            <v>FC</v>
          </cell>
          <cell r="W5311" t="str">
            <v>-</v>
          </cell>
          <cell r="X5311" t="str">
            <v>CLP 220 (-15/+40°C)</v>
          </cell>
          <cell r="Y5311" t="str">
            <v>KH127DRN180M4 /TF</v>
          </cell>
          <cell r="Z5311" t="str">
            <v>SEW</v>
          </cell>
          <cell r="AB5311" t="str">
            <v>-</v>
          </cell>
          <cell r="AF5311">
            <v>16</v>
          </cell>
          <cell r="AG5311" t="str">
            <v>DRN180M4</v>
          </cell>
          <cell r="AH5311" t="str">
            <v>KH127-DRN180M4A270-X</v>
          </cell>
        </row>
        <row r="5312">
          <cell r="A5312" t="str">
            <v>MR005301</v>
          </cell>
          <cell r="B5312" t="str">
            <v>MR</v>
          </cell>
          <cell r="C5312">
            <v>18.5</v>
          </cell>
          <cell r="D5312">
            <v>16</v>
          </cell>
          <cell r="E5312" t="str">
            <v>KH127</v>
          </cell>
          <cell r="F5312">
            <v>10700</v>
          </cell>
          <cell r="G5312">
            <v>89.89</v>
          </cell>
          <cell r="H5312">
            <v>1.2</v>
          </cell>
          <cell r="I5312" t="str">
            <v>From M1 B to M2B 15°</v>
          </cell>
          <cell r="J5312" t="str">
            <v>IE3</v>
          </cell>
          <cell r="K5312" t="str">
            <v xml:space="preserve"> 400/690</v>
          </cell>
          <cell r="L5312">
            <v>50</v>
          </cell>
          <cell r="M5312" t="str">
            <v>33,5/19,3</v>
          </cell>
          <cell r="N5312">
            <v>65</v>
          </cell>
          <cell r="O5312" t="str">
            <v>155(F)</v>
          </cell>
          <cell r="P5312" t="str">
            <v>270°</v>
          </cell>
          <cell r="Q5312" t="str">
            <v>TF</v>
          </cell>
          <cell r="R5312" t="str">
            <v>-</v>
          </cell>
          <cell r="S5312" t="str">
            <v>-</v>
          </cell>
          <cell r="T5312" t="str">
            <v>-</v>
          </cell>
          <cell r="U5312" t="str">
            <v>-</v>
          </cell>
          <cell r="V5312" t="str">
            <v>FC</v>
          </cell>
          <cell r="W5312" t="str">
            <v>-</v>
          </cell>
          <cell r="X5312" t="str">
            <v>CLP 220 (-15/+40°C)</v>
          </cell>
          <cell r="Y5312" t="str">
            <v>KH127DRN180M4 /TF</v>
          </cell>
          <cell r="Z5312" t="str">
            <v>SEW</v>
          </cell>
          <cell r="AB5312" t="str">
            <v>-</v>
          </cell>
          <cell r="AF5312">
            <v>16</v>
          </cell>
          <cell r="AG5312" t="str">
            <v>DRN180M4</v>
          </cell>
          <cell r="AH5312" t="str">
            <v>KH127-DRN180M4B270-X</v>
          </cell>
        </row>
        <row r="5313">
          <cell r="A5313" t="str">
            <v>MR005302</v>
          </cell>
          <cell r="B5313" t="str">
            <v>MR</v>
          </cell>
          <cell r="C5313">
            <v>0.18</v>
          </cell>
          <cell r="D5313">
            <v>2</v>
          </cell>
          <cell r="E5313" t="str">
            <v>KA67R37</v>
          </cell>
          <cell r="F5313">
            <v>740</v>
          </cell>
          <cell r="G5313">
            <v>697</v>
          </cell>
          <cell r="H5313">
            <v>1.1499999999999999</v>
          </cell>
          <cell r="I5313" t="str">
            <v>M3B</v>
          </cell>
          <cell r="J5313" t="str">
            <v>IE3</v>
          </cell>
          <cell r="K5313" t="str">
            <v>230/400</v>
          </cell>
          <cell r="L5313">
            <v>50</v>
          </cell>
          <cell r="M5313" t="str">
            <v>0,99/0,58</v>
          </cell>
          <cell r="N5313">
            <v>55</v>
          </cell>
          <cell r="O5313" t="str">
            <v>155(F)</v>
          </cell>
          <cell r="P5313" t="str">
            <v>0°</v>
          </cell>
          <cell r="Q5313" t="str">
            <v>TF</v>
          </cell>
          <cell r="R5313" t="str">
            <v>-</v>
          </cell>
          <cell r="S5313" t="str">
            <v>-</v>
          </cell>
          <cell r="T5313" t="str">
            <v>BEHF</v>
          </cell>
          <cell r="U5313" t="str">
            <v>T</v>
          </cell>
          <cell r="V5313" t="str">
            <v>FC</v>
          </cell>
          <cell r="W5313" t="str">
            <v>-</v>
          </cell>
          <cell r="X5313" t="str">
            <v>CLP 220 (-15/+40°C)</v>
          </cell>
          <cell r="Y5313" t="str">
            <v>KA67R37/T DRN63M4 /BEHF /TF</v>
          </cell>
          <cell r="Z5313" t="str">
            <v>SEW</v>
          </cell>
          <cell r="AB5313" t="str">
            <v>-</v>
          </cell>
          <cell r="AF5313">
            <v>2</v>
          </cell>
          <cell r="AG5313" t="str">
            <v>DRN63M4</v>
          </cell>
          <cell r="AH5313" t="str">
            <v>KA67R37T-DRN63M4B0-X</v>
          </cell>
        </row>
        <row r="5314">
          <cell r="A5314" t="str">
            <v>MR005303</v>
          </cell>
          <cell r="B5314" t="str">
            <v>MR</v>
          </cell>
          <cell r="C5314">
            <v>7.5</v>
          </cell>
          <cell r="D5314">
            <v>38.299999999999997</v>
          </cell>
          <cell r="E5314" t="str">
            <v>FH97</v>
          </cell>
          <cell r="F5314">
            <v>1570</v>
          </cell>
          <cell r="G5314">
            <v>38.86</v>
          </cell>
          <cell r="H5314">
            <v>2.7</v>
          </cell>
          <cell r="I5314" t="str">
            <v>M1</v>
          </cell>
          <cell r="J5314" t="str">
            <v>IE3</v>
          </cell>
          <cell r="K5314" t="str">
            <v>266/460</v>
          </cell>
          <cell r="L5314">
            <v>60</v>
          </cell>
          <cell r="M5314" t="str">
            <v>23/13,3</v>
          </cell>
          <cell r="N5314">
            <v>65</v>
          </cell>
          <cell r="O5314" t="str">
            <v>155(F)</v>
          </cell>
          <cell r="P5314" t="str">
            <v>0°</v>
          </cell>
          <cell r="Q5314" t="str">
            <v>TF</v>
          </cell>
          <cell r="R5314" t="str">
            <v>-</v>
          </cell>
          <cell r="S5314" t="str">
            <v>-</v>
          </cell>
          <cell r="T5314" t="str">
            <v>-</v>
          </cell>
          <cell r="U5314" t="str">
            <v>G</v>
          </cell>
          <cell r="V5314" t="str">
            <v>D</v>
          </cell>
          <cell r="W5314" t="str">
            <v>-</v>
          </cell>
          <cell r="X5314" t="str">
            <v>CLP PG150</v>
          </cell>
          <cell r="Y5314" t="str">
            <v>FH97/G EDRN132M4 /CIID2/TF</v>
          </cell>
          <cell r="Z5314" t="str">
            <v>SEW</v>
          </cell>
          <cell r="AB5314" t="str">
            <v>Hazloc-NA CII D2</v>
          </cell>
          <cell r="AD5314" t="str">
            <v>USA</v>
          </cell>
          <cell r="AE5314" t="str">
            <v>NPT CABLE GLAND</v>
          </cell>
          <cell r="AF5314">
            <v>45.96</v>
          </cell>
          <cell r="AG5314" t="str">
            <v>DRN132M4</v>
          </cell>
          <cell r="AH5314" t="str">
            <v>FH97G-DRN132M40-X</v>
          </cell>
        </row>
        <row r="5315">
          <cell r="A5315" t="str">
            <v>MR005304</v>
          </cell>
          <cell r="B5315" t="str">
            <v>MR</v>
          </cell>
          <cell r="C5315">
            <v>7.5</v>
          </cell>
          <cell r="D5315">
            <v>38.299999999999997</v>
          </cell>
          <cell r="E5315" t="str">
            <v>FH97</v>
          </cell>
          <cell r="F5315">
            <v>1570</v>
          </cell>
          <cell r="G5315">
            <v>38.86</v>
          </cell>
          <cell r="H5315">
            <v>2.7</v>
          </cell>
          <cell r="I5315" t="str">
            <v>M1</v>
          </cell>
          <cell r="J5315" t="str">
            <v>IE3</v>
          </cell>
          <cell r="K5315" t="str">
            <v>266/460</v>
          </cell>
          <cell r="L5315">
            <v>60</v>
          </cell>
          <cell r="M5315" t="str">
            <v>23/13,3</v>
          </cell>
          <cell r="N5315">
            <v>65</v>
          </cell>
          <cell r="O5315" t="str">
            <v>155(F)</v>
          </cell>
          <cell r="P5315" t="str">
            <v>180°</v>
          </cell>
          <cell r="Q5315" t="str">
            <v>TF</v>
          </cell>
          <cell r="R5315" t="str">
            <v>-</v>
          </cell>
          <cell r="S5315" t="str">
            <v>-</v>
          </cell>
          <cell r="T5315" t="str">
            <v>-</v>
          </cell>
          <cell r="U5315" t="str">
            <v>G</v>
          </cell>
          <cell r="V5315" t="str">
            <v>D</v>
          </cell>
          <cell r="W5315" t="str">
            <v>-</v>
          </cell>
          <cell r="X5315" t="str">
            <v>CLP PG150</v>
          </cell>
          <cell r="Y5315" t="str">
            <v>FH97/G EDRN132M4 /CIID2/TF</v>
          </cell>
          <cell r="Z5315" t="str">
            <v>SEW</v>
          </cell>
          <cell r="AB5315" t="str">
            <v>Hazloc-NA CII D2</v>
          </cell>
          <cell r="AD5315" t="str">
            <v>USA</v>
          </cell>
          <cell r="AE5315" t="str">
            <v>NPT CABLE GLAND</v>
          </cell>
          <cell r="AF5315">
            <v>45.96</v>
          </cell>
          <cell r="AG5315" t="str">
            <v>DRN132M4</v>
          </cell>
          <cell r="AH5315" t="str">
            <v>FH97G-DRN132M4180-X</v>
          </cell>
        </row>
        <row r="5316">
          <cell r="A5316" t="str">
            <v>MR005305</v>
          </cell>
          <cell r="B5316" t="str">
            <v>MR</v>
          </cell>
          <cell r="C5316">
            <v>1.1000000000000001</v>
          </cell>
          <cell r="D5316">
            <v>7.9</v>
          </cell>
          <cell r="E5316" t="str">
            <v>R97</v>
          </cell>
          <cell r="F5316">
            <v>1110</v>
          </cell>
          <cell r="G5316">
            <v>186.3</v>
          </cell>
          <cell r="H5316">
            <v>2.7</v>
          </cell>
          <cell r="I5316" t="str">
            <v>M4</v>
          </cell>
          <cell r="J5316" t="str">
            <v>IE3</v>
          </cell>
          <cell r="K5316">
            <v>460</v>
          </cell>
          <cell r="L5316">
            <v>60</v>
          </cell>
          <cell r="M5316">
            <v>2.2999999999999998</v>
          </cell>
          <cell r="N5316">
            <v>65</v>
          </cell>
          <cell r="O5316" t="str">
            <v>155(F)</v>
          </cell>
          <cell r="P5316" t="str">
            <v>270°</v>
          </cell>
          <cell r="Q5316" t="str">
            <v>TF</v>
          </cell>
          <cell r="R5316" t="str">
            <v>-</v>
          </cell>
          <cell r="S5316" t="str">
            <v>-</v>
          </cell>
          <cell r="T5316" t="str">
            <v>-</v>
          </cell>
          <cell r="U5316" t="str">
            <v>-</v>
          </cell>
          <cell r="V5316" t="str">
            <v>FC+R</v>
          </cell>
          <cell r="W5316" t="str">
            <v>-</v>
          </cell>
          <cell r="X5316" t="str">
            <v>CLP PG150</v>
          </cell>
          <cell r="Y5316" t="str">
            <v>R97 EDRN90S4 /CIID2/TF/XC1C/C</v>
          </cell>
          <cell r="Z5316" t="str">
            <v>SEW</v>
          </cell>
          <cell r="AB5316" t="str">
            <v>Hazloc-NA CII D2</v>
          </cell>
          <cell r="AD5316" t="str">
            <v>USA</v>
          </cell>
          <cell r="AE5316" t="str">
            <v>NPT CABLE GLAND+ENCODER HTL-05AB00DM39BE</v>
          </cell>
          <cell r="AF5316">
            <v>9.48</v>
          </cell>
          <cell r="AG5316" t="str">
            <v>DRN90S4</v>
          </cell>
          <cell r="AH5316" t="str">
            <v>R97-DRN90S4270-X</v>
          </cell>
        </row>
        <row r="5317">
          <cell r="A5317" t="str">
            <v>MR005306</v>
          </cell>
          <cell r="B5317" t="str">
            <v>MR</v>
          </cell>
          <cell r="C5317">
            <v>1.1000000000000001</v>
          </cell>
          <cell r="D5317">
            <v>14</v>
          </cell>
          <cell r="E5317" t="str">
            <v>G MR C3I</v>
          </cell>
          <cell r="F5317">
            <v>722.59</v>
          </cell>
          <cell r="N5317" t="str">
            <v>-</v>
          </cell>
          <cell r="O5317" t="str">
            <v>-</v>
          </cell>
          <cell r="P5317" t="str">
            <v>-</v>
          </cell>
          <cell r="Q5317" t="str">
            <v>-</v>
          </cell>
          <cell r="R5317" t="str">
            <v>-</v>
          </cell>
          <cell r="S5317" t="str">
            <v>-</v>
          </cell>
          <cell r="T5317" t="str">
            <v>-</v>
          </cell>
          <cell r="U5317" t="str">
            <v>-</v>
          </cell>
          <cell r="V5317" t="str">
            <v>-</v>
          </cell>
          <cell r="W5317" t="str">
            <v>-</v>
          </cell>
          <cell r="X5317" t="str">
            <v>(if ATEX, synthetic only!)</v>
          </cell>
          <cell r="Y5317" t="str">
            <v>G MR C3IDRN90S4</v>
          </cell>
          <cell r="AB5317" t="str">
            <v>-</v>
          </cell>
          <cell r="AE5317" t="str">
            <v>Per R007623 (ARCEMI)</v>
          </cell>
          <cell r="AF5317">
            <v>0</v>
          </cell>
          <cell r="AG5317" t="str">
            <v>DRN90S4</v>
          </cell>
          <cell r="AH5317" t="str">
            <v>G MR C3I-DRN90S4--X</v>
          </cell>
        </row>
        <row r="5318">
          <cell r="A5318" t="str">
            <v>MR005307</v>
          </cell>
          <cell r="B5318" t="str">
            <v>MR</v>
          </cell>
          <cell r="C5318">
            <v>0.75</v>
          </cell>
          <cell r="D5318">
            <v>18</v>
          </cell>
          <cell r="E5318" t="str">
            <v>FA67</v>
          </cell>
          <cell r="F5318">
            <v>395</v>
          </cell>
          <cell r="G5318">
            <v>79.760000000000005</v>
          </cell>
          <cell r="H5318">
            <v>2</v>
          </cell>
          <cell r="I5318" t="str">
            <v>M5</v>
          </cell>
          <cell r="J5318" t="str">
            <v>IE3</v>
          </cell>
          <cell r="K5318" t="str">
            <v>230/400</v>
          </cell>
          <cell r="L5318">
            <v>50</v>
          </cell>
          <cell r="M5318" t="str">
            <v>3,05/1,75</v>
          </cell>
          <cell r="N5318">
            <v>65</v>
          </cell>
          <cell r="O5318" t="str">
            <v>155(F)</v>
          </cell>
          <cell r="P5318" t="str">
            <v>180°</v>
          </cell>
          <cell r="Q5318" t="str">
            <v>TF</v>
          </cell>
          <cell r="R5318" t="str">
            <v>-</v>
          </cell>
          <cell r="S5318" t="str">
            <v>-</v>
          </cell>
          <cell r="T5318" t="str">
            <v>BEHF</v>
          </cell>
          <cell r="U5318" t="str">
            <v>G</v>
          </cell>
          <cell r="V5318" t="str">
            <v>D+R</v>
          </cell>
          <cell r="W5318" t="str">
            <v>-</v>
          </cell>
          <cell r="X5318" t="str">
            <v>CLP HC 220 (-25/+60°C)</v>
          </cell>
          <cell r="Y5318" t="str">
            <v>FA67/G EDRN80M4 /BEHF /TF</v>
          </cell>
          <cell r="Z5318" t="str">
            <v>SEW</v>
          </cell>
          <cell r="AB5318" t="str">
            <v>ATEX22</v>
          </cell>
          <cell r="AF5318">
            <v>0</v>
          </cell>
          <cell r="AG5318" t="str">
            <v>EDRN80M4</v>
          </cell>
          <cell r="AH5318" t="str">
            <v>FA67G-EDRN80M4180-X</v>
          </cell>
        </row>
        <row r="5319">
          <cell r="A5319" t="str">
            <v>MR005308</v>
          </cell>
          <cell r="B5319" t="str">
            <v>MR</v>
          </cell>
          <cell r="C5319">
            <v>3</v>
          </cell>
          <cell r="D5319">
            <v>40</v>
          </cell>
          <cell r="E5319" t="str">
            <v>R77</v>
          </cell>
          <cell r="F5319">
            <v>820</v>
          </cell>
          <cell r="G5319">
            <v>36.83</v>
          </cell>
          <cell r="H5319">
            <v>1.1499999999999999</v>
          </cell>
          <cell r="I5319" t="str">
            <v>M1</v>
          </cell>
          <cell r="J5319" t="str">
            <v>IE3</v>
          </cell>
          <cell r="K5319" t="str">
            <v>230/400</v>
          </cell>
          <cell r="L5319">
            <v>50</v>
          </cell>
          <cell r="M5319" t="str">
            <v>11,2/6,4</v>
          </cell>
          <cell r="N5319">
            <v>55</v>
          </cell>
          <cell r="O5319" t="str">
            <v>155(F)</v>
          </cell>
          <cell r="P5319" t="str">
            <v>270°</v>
          </cell>
          <cell r="Q5319" t="str">
            <v>TF</v>
          </cell>
          <cell r="R5319" t="str">
            <v>V(VE)</v>
          </cell>
          <cell r="S5319" t="str">
            <v>-</v>
          </cell>
          <cell r="T5319" t="str">
            <v>-</v>
          </cell>
          <cell r="U5319" t="str">
            <v>-</v>
          </cell>
          <cell r="V5319" t="str">
            <v>FC</v>
          </cell>
          <cell r="W5319" t="str">
            <v>-</v>
          </cell>
          <cell r="X5319" t="str">
            <v>CLP HC 220 (-25/+60°C)</v>
          </cell>
          <cell r="Y5319" t="str">
            <v>R77DRN100L4 /TF/V</v>
          </cell>
          <cell r="Z5319" t="str">
            <v>SEW</v>
          </cell>
          <cell r="AB5319" t="str">
            <v>-</v>
          </cell>
          <cell r="AF5319">
            <v>40</v>
          </cell>
          <cell r="AG5319" t="str">
            <v>DRN100L4</v>
          </cell>
          <cell r="AH5319" t="str">
            <v>R77-DRN100L4270-X#</v>
          </cell>
        </row>
        <row r="5320">
          <cell r="A5320" t="str">
            <v>MR005309</v>
          </cell>
          <cell r="B5320" t="str">
            <v>MR</v>
          </cell>
          <cell r="C5320">
            <v>9.1999999999999993</v>
          </cell>
          <cell r="D5320">
            <v>15</v>
          </cell>
          <cell r="E5320" t="str">
            <v>KH107</v>
          </cell>
          <cell r="F5320">
            <v>6020</v>
          </cell>
          <cell r="G5320">
            <v>100.75</v>
          </cell>
          <cell r="H5320">
            <v>1.35</v>
          </cell>
          <cell r="I5320" t="str">
            <v>From M1A to M2A - 30°</v>
          </cell>
          <cell r="J5320" t="str">
            <v>IE3</v>
          </cell>
          <cell r="K5320" t="str">
            <v>230/400</v>
          </cell>
          <cell r="L5320">
            <v>50</v>
          </cell>
          <cell r="M5320" t="str">
            <v>32,5/18,7</v>
          </cell>
          <cell r="N5320">
            <v>65</v>
          </cell>
          <cell r="O5320" t="str">
            <v>155(F)</v>
          </cell>
          <cell r="P5320" t="str">
            <v>270°</v>
          </cell>
          <cell r="Q5320" t="str">
            <v>TF</v>
          </cell>
          <cell r="R5320" t="str">
            <v>V(VE)</v>
          </cell>
          <cell r="S5320" t="str">
            <v>-</v>
          </cell>
          <cell r="T5320" t="str">
            <v>-</v>
          </cell>
          <cell r="U5320" t="str">
            <v>-</v>
          </cell>
          <cell r="V5320" t="str">
            <v>FC</v>
          </cell>
          <cell r="W5320" t="str">
            <v>-</v>
          </cell>
          <cell r="X5320" t="str">
            <v>CLP 220 (-15/+40°C)</v>
          </cell>
          <cell r="Y5320" t="str">
            <v>KH107DRN132L4 /TF/V</v>
          </cell>
          <cell r="Z5320" t="str">
            <v>SEW</v>
          </cell>
          <cell r="AB5320" t="str">
            <v>-</v>
          </cell>
          <cell r="AF5320">
            <v>15</v>
          </cell>
          <cell r="AG5320" t="str">
            <v>DRN132L4</v>
          </cell>
          <cell r="AH5320" t="str">
            <v>KH107-DRN132L4A270-X#</v>
          </cell>
        </row>
        <row r="5321">
          <cell r="A5321" t="str">
            <v>MR005310</v>
          </cell>
          <cell r="B5321" t="str">
            <v>MR</v>
          </cell>
          <cell r="C5321">
            <v>2.2000000000000002</v>
          </cell>
          <cell r="D5321">
            <v>7.4</v>
          </cell>
          <cell r="E5321" t="str">
            <v>SK9052.1AZB-100LP/4 TF</v>
          </cell>
          <cell r="F5321">
            <v>4800</v>
          </cell>
          <cell r="G5321">
            <v>198.38</v>
          </cell>
          <cell r="H5321">
            <v>1.7</v>
          </cell>
          <cell r="I5321" t="str">
            <v>M1</v>
          </cell>
          <cell r="J5321" t="str">
            <v>IE3</v>
          </cell>
          <cell r="K5321" t="str">
            <v>240/415</v>
          </cell>
          <cell r="L5321">
            <v>50</v>
          </cell>
          <cell r="M5321">
            <v>7.81</v>
          </cell>
          <cell r="N5321">
            <v>55</v>
          </cell>
          <cell r="O5321" t="str">
            <v>155(F)</v>
          </cell>
          <cell r="Q5321" t="str">
            <v>PTC 3X155°</v>
          </cell>
          <cell r="R5321" t="str">
            <v>-</v>
          </cell>
          <cell r="S5321" t="str">
            <v>-</v>
          </cell>
          <cell r="T5321" t="str">
            <v>-</v>
          </cell>
          <cell r="U5321" t="str">
            <v>-</v>
          </cell>
          <cell r="V5321" t="str">
            <v>-</v>
          </cell>
          <cell r="W5321" t="str">
            <v>-</v>
          </cell>
          <cell r="X5321" t="str">
            <v>Mineral oil ISO VG 220</v>
          </cell>
          <cell r="Y5321" t="str">
            <v>SK9052.1AZB-100LP/4 TF</v>
          </cell>
          <cell r="Z5321" t="str">
            <v>NORD</v>
          </cell>
          <cell r="AA5321" t="str">
            <v>NSD2</v>
          </cell>
          <cell r="AB5321" t="str">
            <v>-</v>
          </cell>
          <cell r="AC5321" t="str">
            <v>-</v>
          </cell>
          <cell r="AD5321" t="str">
            <v>EU</v>
          </cell>
          <cell r="AE5321" t="str">
            <v>Per R007633 (ARCEMI)</v>
          </cell>
          <cell r="AF5321">
            <v>14650</v>
          </cell>
          <cell r="AG5321" t="str">
            <v>100LP/4 TF</v>
          </cell>
          <cell r="AH5321" t="str">
            <v>SK9052.1AZB-100LP/4 TF</v>
          </cell>
        </row>
        <row r="5322">
          <cell r="A5322" t="str">
            <v>MR005311</v>
          </cell>
          <cell r="B5322" t="str">
            <v>MR</v>
          </cell>
          <cell r="C5322">
            <v>5.5</v>
          </cell>
          <cell r="D5322">
            <v>14</v>
          </cell>
          <cell r="E5322" t="str">
            <v>KH97</v>
          </cell>
          <cell r="F5322">
            <v>3770</v>
          </cell>
          <cell r="G5322">
            <v>105.13</v>
          </cell>
          <cell r="H5322">
            <v>1.1499999999999999</v>
          </cell>
          <cell r="I5322" t="str">
            <v>From M1B to M2B - 10°</v>
          </cell>
          <cell r="J5322" t="str">
            <v>IE3</v>
          </cell>
          <cell r="K5322" t="str">
            <v>240/415</v>
          </cell>
          <cell r="L5322">
            <v>50</v>
          </cell>
          <cell r="M5322" t="str">
            <v>18,2/10,5</v>
          </cell>
          <cell r="N5322">
            <v>65</v>
          </cell>
          <cell r="O5322" t="str">
            <v>155(F)</v>
          </cell>
          <cell r="P5322" t="str">
            <v>270°</v>
          </cell>
          <cell r="Q5322" t="str">
            <v>TF</v>
          </cell>
          <cell r="R5322" t="str">
            <v>-</v>
          </cell>
          <cell r="S5322" t="str">
            <v>-</v>
          </cell>
          <cell r="T5322" t="str">
            <v>-</v>
          </cell>
          <cell r="U5322" t="str">
            <v>-</v>
          </cell>
          <cell r="V5322" t="str">
            <v>SS</v>
          </cell>
          <cell r="W5322" t="str">
            <v>-</v>
          </cell>
          <cell r="X5322" t="str">
            <v>CLP 220 (-15/+40°C)</v>
          </cell>
          <cell r="Y5322" t="str">
            <v>KH97DRN132S4 /TF</v>
          </cell>
          <cell r="Z5322" t="str">
            <v>SEW</v>
          </cell>
          <cell r="AB5322" t="str">
            <v>-</v>
          </cell>
          <cell r="AF5322">
            <v>14</v>
          </cell>
          <cell r="AG5322" t="str">
            <v>DRN132S4</v>
          </cell>
          <cell r="AH5322" t="str">
            <v>KH97-DRN132S4B270-X</v>
          </cell>
        </row>
        <row r="5323">
          <cell r="A5323" t="str">
            <v>MR005312</v>
          </cell>
          <cell r="B5323" t="str">
            <v>MR</v>
          </cell>
          <cell r="C5323">
            <v>22</v>
          </cell>
          <cell r="D5323">
            <v>12</v>
          </cell>
          <cell r="E5323" t="str">
            <v>KH157</v>
          </cell>
          <cell r="F5323">
            <v>17400</v>
          </cell>
          <cell r="G5323">
            <v>122.39</v>
          </cell>
          <cell r="H5323">
            <v>1.1499999999999999</v>
          </cell>
          <cell r="I5323" t="str">
            <v>From M1A to M2A - 35°</v>
          </cell>
          <cell r="J5323" t="str">
            <v>IE3</v>
          </cell>
          <cell r="K5323" t="str">
            <v>400/690</v>
          </cell>
          <cell r="L5323">
            <v>50</v>
          </cell>
          <cell r="M5323" t="str">
            <v>38,5/22,5</v>
          </cell>
          <cell r="N5323">
            <v>65</v>
          </cell>
          <cell r="O5323" t="str">
            <v>155(F)</v>
          </cell>
          <cell r="P5323" t="str">
            <v>270°</v>
          </cell>
          <cell r="Q5323" t="str">
            <v>TF</v>
          </cell>
          <cell r="R5323" t="str">
            <v>-</v>
          </cell>
          <cell r="S5323" t="str">
            <v>-</v>
          </cell>
          <cell r="T5323" t="str">
            <v>-</v>
          </cell>
          <cell r="U5323" t="str">
            <v>-</v>
          </cell>
          <cell r="V5323" t="str">
            <v>SS</v>
          </cell>
          <cell r="W5323" t="str">
            <v>-</v>
          </cell>
          <cell r="X5323" t="str">
            <v>CLP 220 (-15/+40°C)</v>
          </cell>
          <cell r="Y5323" t="str">
            <v>KH157DRN180L4 /TF</v>
          </cell>
          <cell r="Z5323" t="str">
            <v>SEW</v>
          </cell>
          <cell r="AB5323" t="str">
            <v>-</v>
          </cell>
          <cell r="AF5323">
            <v>12</v>
          </cell>
          <cell r="AG5323" t="str">
            <v>DRN180L4</v>
          </cell>
          <cell r="AH5323" t="str">
            <v>KH157-DRN180L4A270-X</v>
          </cell>
        </row>
        <row r="5324">
          <cell r="A5324" t="str">
            <v>MR005313</v>
          </cell>
          <cell r="B5324" t="str">
            <v>MR</v>
          </cell>
          <cell r="C5324">
            <v>22</v>
          </cell>
          <cell r="D5324">
            <v>75</v>
          </cell>
          <cell r="E5324" t="str">
            <v>KA107</v>
          </cell>
          <cell r="F5324">
            <v>2810</v>
          </cell>
          <cell r="G5324">
            <v>19.739999999999998</v>
          </cell>
          <cell r="H5324">
            <v>2.6</v>
          </cell>
          <cell r="I5324" t="str">
            <v>M5A</v>
          </cell>
          <cell r="J5324" t="str">
            <v>IE3</v>
          </cell>
          <cell r="K5324" t="str">
            <v>230/400</v>
          </cell>
          <cell r="L5324">
            <v>50</v>
          </cell>
          <cell r="M5324" t="str">
            <v>67/38,5</v>
          </cell>
          <cell r="N5324">
            <v>55</v>
          </cell>
          <cell r="O5324" t="str">
            <v>155(F)</v>
          </cell>
          <cell r="P5324" t="str">
            <v>270°</v>
          </cell>
          <cell r="Q5324" t="str">
            <v>TF</v>
          </cell>
          <cell r="R5324" t="str">
            <v>-</v>
          </cell>
          <cell r="S5324" t="str">
            <v>-</v>
          </cell>
          <cell r="T5324" t="str">
            <v>-</v>
          </cell>
          <cell r="U5324" t="str">
            <v>-</v>
          </cell>
          <cell r="V5324" t="str">
            <v>FC</v>
          </cell>
          <cell r="W5324" t="str">
            <v>-</v>
          </cell>
          <cell r="X5324" t="str">
            <v>CLP 220 (-15/+40°C)</v>
          </cell>
          <cell r="Y5324" t="str">
            <v>KA107DRN180L4 /TF</v>
          </cell>
          <cell r="Z5324" t="str">
            <v>SEW</v>
          </cell>
          <cell r="AB5324" t="str">
            <v>-</v>
          </cell>
          <cell r="AF5324">
            <v>75</v>
          </cell>
          <cell r="AG5324" t="str">
            <v>DRN180L4</v>
          </cell>
          <cell r="AH5324" t="str">
            <v>KA107-DRN180L4A270-X</v>
          </cell>
        </row>
        <row r="5325">
          <cell r="A5325" t="str">
            <v>MR005314</v>
          </cell>
          <cell r="B5325" t="str">
            <v>MR</v>
          </cell>
          <cell r="C5325">
            <v>5.5</v>
          </cell>
          <cell r="D5325">
            <v>29</v>
          </cell>
          <cell r="E5325" t="str">
            <v>FH87</v>
          </cell>
          <cell r="F5325">
            <v>1810</v>
          </cell>
          <cell r="G5325">
            <v>50.36</v>
          </cell>
          <cell r="H5325">
            <v>1.6</v>
          </cell>
          <cell r="I5325" t="str">
            <v>M1</v>
          </cell>
          <cell r="J5325" t="str">
            <v>IE3</v>
          </cell>
          <cell r="K5325" t="str">
            <v>400/690</v>
          </cell>
          <cell r="L5325">
            <v>50</v>
          </cell>
          <cell r="M5325" t="str">
            <v>11,1/6,4</v>
          </cell>
          <cell r="N5325">
            <v>55</v>
          </cell>
          <cell r="O5325" t="str">
            <v>155(F)</v>
          </cell>
          <cell r="P5325" t="str">
            <v>270°</v>
          </cell>
          <cell r="Q5325" t="str">
            <v>TF</v>
          </cell>
          <cell r="R5325" t="str">
            <v>-</v>
          </cell>
          <cell r="S5325" t="str">
            <v>-</v>
          </cell>
          <cell r="T5325" t="str">
            <v>-</v>
          </cell>
          <cell r="U5325" t="str">
            <v>G</v>
          </cell>
          <cell r="V5325" t="str">
            <v>FC</v>
          </cell>
          <cell r="W5325" t="str">
            <v>-</v>
          </cell>
          <cell r="X5325" t="str">
            <v>CLP 220 (-15/+40°C)</v>
          </cell>
          <cell r="Y5325" t="str">
            <v>FH87/G DRN132S4 /TF</v>
          </cell>
          <cell r="Z5325" t="str">
            <v>SEW</v>
          </cell>
          <cell r="AB5325" t="str">
            <v>-</v>
          </cell>
          <cell r="AF5325">
            <v>29</v>
          </cell>
          <cell r="AG5325" t="str">
            <v>DRN132S4</v>
          </cell>
          <cell r="AH5325" t="str">
            <v>FH87G-DRN132S4270-X</v>
          </cell>
        </row>
        <row r="5326">
          <cell r="A5326" t="str">
            <v>MR005315</v>
          </cell>
          <cell r="B5326" t="str">
            <v>MR</v>
          </cell>
          <cell r="C5326">
            <v>5.5</v>
          </cell>
          <cell r="D5326">
            <v>14</v>
          </cell>
          <cell r="E5326" t="str">
            <v>KH97</v>
          </cell>
          <cell r="F5326">
            <v>3770</v>
          </cell>
          <cell r="G5326">
            <v>105.13</v>
          </cell>
          <cell r="H5326">
            <v>1.1499999999999999</v>
          </cell>
          <cell r="I5326" t="str">
            <v>From M1B to M2B - 50°</v>
          </cell>
          <cell r="J5326" t="str">
            <v>IE3</v>
          </cell>
          <cell r="K5326" t="str">
            <v>400/690</v>
          </cell>
          <cell r="L5326">
            <v>50</v>
          </cell>
          <cell r="M5326" t="str">
            <v>11,1/6,4</v>
          </cell>
          <cell r="N5326">
            <v>55</v>
          </cell>
          <cell r="O5326" t="str">
            <v>155(F)</v>
          </cell>
          <cell r="P5326" t="str">
            <v>270°</v>
          </cell>
          <cell r="Q5326" t="str">
            <v>TF</v>
          </cell>
          <cell r="R5326" t="str">
            <v>-</v>
          </cell>
          <cell r="S5326" t="str">
            <v>-</v>
          </cell>
          <cell r="T5326" t="str">
            <v>-</v>
          </cell>
          <cell r="U5326" t="str">
            <v>-</v>
          </cell>
          <cell r="V5326" t="str">
            <v>SS</v>
          </cell>
          <cell r="W5326" t="str">
            <v>-</v>
          </cell>
          <cell r="X5326" t="str">
            <v>CLP 220 (-15/+40°C)</v>
          </cell>
          <cell r="Y5326" t="str">
            <v>KH97DRN132S4 /TF</v>
          </cell>
          <cell r="Z5326" t="str">
            <v>SEW</v>
          </cell>
          <cell r="AB5326" t="str">
            <v>-</v>
          </cell>
          <cell r="AF5326">
            <v>14</v>
          </cell>
          <cell r="AG5326" t="str">
            <v>DRN132S4</v>
          </cell>
          <cell r="AH5326" t="str">
            <v>KH97-DRN132S4B270-X</v>
          </cell>
        </row>
        <row r="5327">
          <cell r="A5327" t="str">
            <v>MR005316</v>
          </cell>
          <cell r="B5327" t="str">
            <v>MR</v>
          </cell>
          <cell r="C5327">
            <v>5.5</v>
          </cell>
          <cell r="D5327">
            <v>14</v>
          </cell>
          <cell r="E5327" t="str">
            <v>KH97</v>
          </cell>
          <cell r="F5327">
            <v>3770</v>
          </cell>
          <cell r="G5327">
            <v>105.13</v>
          </cell>
          <cell r="H5327">
            <v>1.1499999999999999</v>
          </cell>
          <cell r="I5327" t="str">
            <v>From M1A to M2A - 50°</v>
          </cell>
          <cell r="J5327" t="str">
            <v>IE3</v>
          </cell>
          <cell r="K5327" t="str">
            <v>400/690</v>
          </cell>
          <cell r="L5327">
            <v>50</v>
          </cell>
          <cell r="M5327" t="str">
            <v>11,1/6,4</v>
          </cell>
          <cell r="N5327">
            <v>55</v>
          </cell>
          <cell r="O5327" t="str">
            <v>155(F)</v>
          </cell>
          <cell r="P5327" t="str">
            <v>270°</v>
          </cell>
          <cell r="Q5327" t="str">
            <v>TF</v>
          </cell>
          <cell r="R5327" t="str">
            <v>-</v>
          </cell>
          <cell r="S5327" t="str">
            <v>-</v>
          </cell>
          <cell r="T5327" t="str">
            <v>-</v>
          </cell>
          <cell r="U5327" t="str">
            <v>-</v>
          </cell>
          <cell r="V5327" t="str">
            <v>SS</v>
          </cell>
          <cell r="W5327" t="str">
            <v>-</v>
          </cell>
          <cell r="X5327" t="str">
            <v>CLP 220 (-15/+40°C)</v>
          </cell>
          <cell r="Y5327" t="str">
            <v>KH97DRN132S4 /TF</v>
          </cell>
          <cell r="Z5327" t="str">
            <v>SEW</v>
          </cell>
          <cell r="AB5327" t="str">
            <v>-</v>
          </cell>
          <cell r="AF5327">
            <v>14</v>
          </cell>
          <cell r="AG5327" t="str">
            <v>DRN132S4</v>
          </cell>
          <cell r="AH5327" t="str">
            <v>KH97-DRN132S4A270-X</v>
          </cell>
        </row>
        <row r="5328">
          <cell r="A5328" t="str">
            <v>MR005317</v>
          </cell>
          <cell r="B5328" t="str">
            <v>MR</v>
          </cell>
          <cell r="C5328">
            <v>9.1999999999999993</v>
          </cell>
          <cell r="D5328">
            <v>66</v>
          </cell>
          <cell r="E5328" t="str">
            <v>R97</v>
          </cell>
          <cell r="F5328">
            <v>1330</v>
          </cell>
          <cell r="G5328">
            <v>22.37</v>
          </cell>
          <cell r="H5328">
            <v>2</v>
          </cell>
          <cell r="I5328" t="str">
            <v>From M1 to M4 - 25°</v>
          </cell>
          <cell r="J5328" t="str">
            <v>IE3</v>
          </cell>
          <cell r="K5328" t="str">
            <v>400/690</v>
          </cell>
          <cell r="L5328">
            <v>50</v>
          </cell>
          <cell r="M5328" t="str">
            <v>18,7/10,8</v>
          </cell>
          <cell r="N5328">
            <v>65</v>
          </cell>
          <cell r="O5328" t="str">
            <v>155(F)</v>
          </cell>
          <cell r="P5328" t="str">
            <v>270°</v>
          </cell>
          <cell r="Q5328" t="str">
            <v>TF</v>
          </cell>
          <cell r="R5328" t="str">
            <v>-</v>
          </cell>
          <cell r="S5328" t="str">
            <v>-</v>
          </cell>
          <cell r="T5328" t="str">
            <v>-</v>
          </cell>
          <cell r="U5328" t="str">
            <v>-</v>
          </cell>
          <cell r="V5328" t="str">
            <v>D</v>
          </cell>
          <cell r="W5328" t="str">
            <v>-</v>
          </cell>
          <cell r="X5328" t="str">
            <v>CLP 220 (-15/+40°C)</v>
          </cell>
          <cell r="Y5328" t="str">
            <v>R97DRN132L4 /TF</v>
          </cell>
          <cell r="Z5328" t="str">
            <v>SEW</v>
          </cell>
          <cell r="AB5328" t="str">
            <v>-</v>
          </cell>
          <cell r="AF5328">
            <v>66</v>
          </cell>
          <cell r="AG5328" t="str">
            <v>DRN132L4</v>
          </cell>
          <cell r="AH5328" t="str">
            <v>R97-DRN132L4270-X</v>
          </cell>
        </row>
        <row r="5329">
          <cell r="A5329" t="str">
            <v>MR005318</v>
          </cell>
          <cell r="B5329" t="str">
            <v>MR</v>
          </cell>
          <cell r="C5329">
            <v>22</v>
          </cell>
          <cell r="D5329">
            <v>42</v>
          </cell>
          <cell r="E5329" t="str">
            <v>FH107</v>
          </cell>
          <cell r="F5329">
            <v>4800</v>
          </cell>
          <cell r="G5329">
            <v>33.79</v>
          </cell>
          <cell r="H5329">
            <v>1.55</v>
          </cell>
          <cell r="I5329" t="str">
            <v>M1</v>
          </cell>
          <cell r="J5329" t="str">
            <v>IE3</v>
          </cell>
          <cell r="K5329" t="str">
            <v>400/690</v>
          </cell>
          <cell r="L5329">
            <v>50</v>
          </cell>
          <cell r="M5329" t="str">
            <v>38,5/22,5</v>
          </cell>
          <cell r="N5329">
            <v>55</v>
          </cell>
          <cell r="O5329" t="str">
            <v>155(F)</v>
          </cell>
          <cell r="P5329" t="str">
            <v>270°</v>
          </cell>
          <cell r="Q5329" t="str">
            <v>TF</v>
          </cell>
          <cell r="R5329" t="str">
            <v>-</v>
          </cell>
          <cell r="S5329" t="str">
            <v>-</v>
          </cell>
          <cell r="T5329" t="str">
            <v>-</v>
          </cell>
          <cell r="U5329" t="str">
            <v>G</v>
          </cell>
          <cell r="V5329" t="str">
            <v>D</v>
          </cell>
          <cell r="W5329" t="str">
            <v>-</v>
          </cell>
          <cell r="X5329" t="str">
            <v>CLP 220 (-15/+40°C)</v>
          </cell>
          <cell r="Y5329" t="str">
            <v>FH107/G DRN180L4 /TF</v>
          </cell>
          <cell r="Z5329" t="str">
            <v>SEW</v>
          </cell>
          <cell r="AB5329" t="str">
            <v>-</v>
          </cell>
          <cell r="AF5329">
            <v>42</v>
          </cell>
          <cell r="AG5329" t="str">
            <v>DRN180L4</v>
          </cell>
          <cell r="AH5329" t="str">
            <v>FH107G-DRN180L4270-X</v>
          </cell>
        </row>
        <row r="5330">
          <cell r="A5330" t="str">
            <v>MR005319</v>
          </cell>
          <cell r="B5330" t="str">
            <v>MR</v>
          </cell>
          <cell r="C5330">
            <v>11</v>
          </cell>
          <cell r="D5330">
            <v>65</v>
          </cell>
          <cell r="E5330" t="str">
            <v>R107</v>
          </cell>
          <cell r="F5330">
            <v>1610</v>
          </cell>
          <cell r="G5330">
            <v>22.62</v>
          </cell>
          <cell r="H5330">
            <v>2.7</v>
          </cell>
          <cell r="I5330" t="str">
            <v>M1</v>
          </cell>
          <cell r="J5330" t="str">
            <v>IE3</v>
          </cell>
          <cell r="K5330" t="str">
            <v>400/690</v>
          </cell>
          <cell r="L5330">
            <v>50</v>
          </cell>
          <cell r="M5330" t="str">
            <v>21,5/12,2</v>
          </cell>
          <cell r="N5330">
            <v>65</v>
          </cell>
          <cell r="O5330" t="str">
            <v>155(F)</v>
          </cell>
          <cell r="P5330" t="str">
            <v>270°</v>
          </cell>
          <cell r="Q5330" t="str">
            <v>TF</v>
          </cell>
          <cell r="R5330" t="str">
            <v>-</v>
          </cell>
          <cell r="S5330" t="str">
            <v>-</v>
          </cell>
          <cell r="T5330" t="str">
            <v>-</v>
          </cell>
          <cell r="U5330" t="str">
            <v>-</v>
          </cell>
          <cell r="V5330" t="str">
            <v>D</v>
          </cell>
          <cell r="W5330" t="str">
            <v>-</v>
          </cell>
          <cell r="X5330" t="str">
            <v>CLP 220 (-15/+40°C)</v>
          </cell>
          <cell r="Y5330" t="str">
            <v>R107DRN160M4 /TF</v>
          </cell>
          <cell r="Z5330" t="str">
            <v>SEW</v>
          </cell>
          <cell r="AB5330" t="str">
            <v>-</v>
          </cell>
          <cell r="AF5330">
            <v>65</v>
          </cell>
          <cell r="AG5330" t="str">
            <v>DRN160M4</v>
          </cell>
          <cell r="AH5330" t="str">
            <v>R107-DRN160M4270-X</v>
          </cell>
        </row>
        <row r="5331">
          <cell r="A5331" t="str">
            <v>MR005320</v>
          </cell>
          <cell r="B5331" t="str">
            <v>MR</v>
          </cell>
          <cell r="C5331">
            <v>9.1999999999999993</v>
          </cell>
          <cell r="D5331">
            <v>15</v>
          </cell>
          <cell r="E5331" t="str">
            <v>KH107</v>
          </cell>
          <cell r="F5331">
            <v>6020</v>
          </cell>
          <cell r="G5331">
            <v>100.75</v>
          </cell>
          <cell r="H5331">
            <v>1.35</v>
          </cell>
          <cell r="I5331" t="str">
            <v>From M1B to M2B - 30°</v>
          </cell>
          <cell r="J5331" t="str">
            <v>IE3</v>
          </cell>
          <cell r="K5331" t="str">
            <v>400/690</v>
          </cell>
          <cell r="L5331">
            <v>50</v>
          </cell>
          <cell r="M5331" t="str">
            <v>18,7/10,8</v>
          </cell>
          <cell r="N5331">
            <v>65</v>
          </cell>
          <cell r="O5331" t="str">
            <v>155(F)</v>
          </cell>
          <cell r="P5331" t="str">
            <v>0°</v>
          </cell>
          <cell r="Q5331" t="str">
            <v>TF</v>
          </cell>
          <cell r="R5331" t="str">
            <v>-</v>
          </cell>
          <cell r="S5331" t="str">
            <v>-</v>
          </cell>
          <cell r="T5331" t="str">
            <v>-</v>
          </cell>
          <cell r="U5331" t="str">
            <v>-</v>
          </cell>
          <cell r="V5331" t="str">
            <v>SS</v>
          </cell>
          <cell r="W5331" t="str">
            <v>-</v>
          </cell>
          <cell r="X5331" t="str">
            <v>CLP 220 (-15/+40°C)</v>
          </cell>
          <cell r="Y5331" t="str">
            <v>KH107DRN132L4 /TF</v>
          </cell>
          <cell r="Z5331" t="str">
            <v>SEW</v>
          </cell>
          <cell r="AB5331" t="str">
            <v>-</v>
          </cell>
          <cell r="AF5331">
            <v>15</v>
          </cell>
          <cell r="AG5331" t="str">
            <v>DRN132L4</v>
          </cell>
          <cell r="AH5331" t="str">
            <v>KH107-DRN132L4B0-X</v>
          </cell>
        </row>
        <row r="5332">
          <cell r="A5332" t="str">
            <v>MR005321</v>
          </cell>
          <cell r="B5332" t="str">
            <v>MR</v>
          </cell>
          <cell r="C5332">
            <v>9.1999999999999993</v>
          </cell>
          <cell r="D5332">
            <v>66</v>
          </cell>
          <cell r="E5332" t="str">
            <v>R97</v>
          </cell>
          <cell r="F5332">
            <v>1340</v>
          </cell>
          <cell r="G5332">
            <v>22.37</v>
          </cell>
          <cell r="H5332">
            <v>2</v>
          </cell>
          <cell r="I5332" t="str">
            <v>M1</v>
          </cell>
          <cell r="J5332" t="str">
            <v>IE3</v>
          </cell>
          <cell r="K5332" t="str">
            <v>400/690</v>
          </cell>
          <cell r="L5332">
            <v>50</v>
          </cell>
          <cell r="M5332" t="str">
            <v>18,7/10,8</v>
          </cell>
          <cell r="N5332">
            <v>65</v>
          </cell>
          <cell r="O5332" t="str">
            <v>155(F)</v>
          </cell>
          <cell r="P5332" t="str">
            <v>270°</v>
          </cell>
          <cell r="Q5332" t="str">
            <v>TF</v>
          </cell>
          <cell r="R5332" t="str">
            <v>-</v>
          </cell>
          <cell r="S5332" t="str">
            <v>-</v>
          </cell>
          <cell r="T5332" t="str">
            <v>-</v>
          </cell>
          <cell r="U5332" t="str">
            <v>-</v>
          </cell>
          <cell r="V5332" t="str">
            <v>D</v>
          </cell>
          <cell r="W5332" t="str">
            <v>-</v>
          </cell>
          <cell r="X5332" t="str">
            <v>CLP 220 (-15/+40°C)</v>
          </cell>
          <cell r="Y5332" t="str">
            <v>R97DRN132L4 /TF</v>
          </cell>
          <cell r="Z5332" t="str">
            <v>SEW</v>
          </cell>
          <cell r="AB5332" t="str">
            <v>-</v>
          </cell>
          <cell r="AF5332">
            <v>66</v>
          </cell>
          <cell r="AG5332" t="str">
            <v>DRN132L4</v>
          </cell>
          <cell r="AH5332" t="str">
            <v>R97-DRN132L4270-X</v>
          </cell>
        </row>
        <row r="5333">
          <cell r="A5333" t="str">
            <v>MR005322</v>
          </cell>
          <cell r="B5333" t="str">
            <v>MR</v>
          </cell>
          <cell r="C5333">
            <v>7.5</v>
          </cell>
          <cell r="D5333">
            <v>66</v>
          </cell>
          <cell r="E5333" t="str">
            <v>R97</v>
          </cell>
          <cell r="F5333">
            <v>1090</v>
          </cell>
          <cell r="G5333">
            <v>22.37</v>
          </cell>
          <cell r="H5333">
            <v>2.5</v>
          </cell>
          <cell r="I5333" t="str">
            <v>M1</v>
          </cell>
          <cell r="J5333" t="str">
            <v>IE3</v>
          </cell>
          <cell r="K5333" t="str">
            <v>400/690</v>
          </cell>
          <cell r="L5333">
            <v>50</v>
          </cell>
          <cell r="M5333" t="str">
            <v>15,2/8,8</v>
          </cell>
          <cell r="N5333">
            <v>65</v>
          </cell>
          <cell r="O5333" t="str">
            <v>155(F)</v>
          </cell>
          <cell r="P5333" t="str">
            <v>270°</v>
          </cell>
          <cell r="Q5333" t="str">
            <v>TF</v>
          </cell>
          <cell r="R5333" t="str">
            <v>-</v>
          </cell>
          <cell r="S5333" t="str">
            <v>-</v>
          </cell>
          <cell r="T5333" t="str">
            <v>-</v>
          </cell>
          <cell r="U5333" t="str">
            <v>-</v>
          </cell>
          <cell r="V5333" t="str">
            <v>D</v>
          </cell>
          <cell r="W5333" t="str">
            <v>-</v>
          </cell>
          <cell r="X5333" t="str">
            <v>CLP 220 (-15/+40°C)</v>
          </cell>
          <cell r="Y5333" t="str">
            <v>R97DRN132M4 /TF</v>
          </cell>
          <cell r="Z5333" t="str">
            <v>SEW</v>
          </cell>
          <cell r="AB5333" t="str">
            <v>-</v>
          </cell>
          <cell r="AF5333">
            <v>66</v>
          </cell>
          <cell r="AG5333" t="str">
            <v>DRN132M4</v>
          </cell>
          <cell r="AH5333" t="str">
            <v>R97-DRN132M4270-X</v>
          </cell>
        </row>
        <row r="5334">
          <cell r="A5334" t="str">
            <v>MR005323</v>
          </cell>
          <cell r="B5334" t="str">
            <v>MR</v>
          </cell>
          <cell r="C5334">
            <v>15</v>
          </cell>
          <cell r="D5334">
            <v>16</v>
          </cell>
          <cell r="E5334" t="str">
            <v>KH127</v>
          </cell>
          <cell r="F5334">
            <v>8740</v>
          </cell>
          <cell r="G5334">
            <v>89.89</v>
          </cell>
          <cell r="H5334">
            <v>1.5</v>
          </cell>
          <cell r="I5334" t="str">
            <v>From M1B to M2B - 15°</v>
          </cell>
          <cell r="J5334" t="str">
            <v>IE3</v>
          </cell>
          <cell r="K5334" t="str">
            <v>400/690</v>
          </cell>
          <cell r="L5334">
            <v>50</v>
          </cell>
          <cell r="M5334" t="str">
            <v>29/16,7</v>
          </cell>
          <cell r="N5334">
            <v>65</v>
          </cell>
          <cell r="O5334" t="str">
            <v>155(F)</v>
          </cell>
          <cell r="P5334" t="str">
            <v>0°</v>
          </cell>
          <cell r="Q5334" t="str">
            <v>TF</v>
          </cell>
          <cell r="R5334" t="str">
            <v>-</v>
          </cell>
          <cell r="S5334" t="str">
            <v>-</v>
          </cell>
          <cell r="T5334" t="str">
            <v>-</v>
          </cell>
          <cell r="U5334" t="str">
            <v>-</v>
          </cell>
          <cell r="V5334" t="str">
            <v>SS</v>
          </cell>
          <cell r="W5334" t="str">
            <v>-</v>
          </cell>
          <cell r="X5334" t="str">
            <v>CLP 220 (-15/+40°C)</v>
          </cell>
          <cell r="Y5334" t="str">
            <v>KH127DRN160L4 /TF</v>
          </cell>
          <cell r="Z5334" t="str">
            <v>SEW</v>
          </cell>
          <cell r="AB5334" t="str">
            <v>-</v>
          </cell>
          <cell r="AF5334">
            <v>16</v>
          </cell>
          <cell r="AG5334" t="str">
            <v>DRN160L4</v>
          </cell>
          <cell r="AH5334" t="str">
            <v>KH127-DRN160L4B0-X</v>
          </cell>
        </row>
        <row r="5335">
          <cell r="A5335" t="str">
            <v>MR005324</v>
          </cell>
          <cell r="B5335" t="str">
            <v>MR</v>
          </cell>
          <cell r="C5335">
            <v>11</v>
          </cell>
          <cell r="D5335">
            <v>16</v>
          </cell>
          <cell r="E5335" t="str">
            <v>KH107</v>
          </cell>
          <cell r="F5335">
            <v>6490</v>
          </cell>
          <cell r="G5335">
            <v>90.96</v>
          </cell>
          <cell r="H5335">
            <v>1.1499999999999999</v>
          </cell>
          <cell r="I5335" t="str">
            <v>From M4A to M1A -30</v>
          </cell>
          <cell r="J5335" t="str">
            <v>IE3</v>
          </cell>
          <cell r="K5335" t="str">
            <v>230/400</v>
          </cell>
          <cell r="L5335">
            <v>50</v>
          </cell>
          <cell r="M5335" t="str">
            <v>36,5/21</v>
          </cell>
          <cell r="N5335">
            <v>65</v>
          </cell>
          <cell r="O5335" t="str">
            <v>155(F)</v>
          </cell>
          <cell r="P5335" t="str">
            <v>270°</v>
          </cell>
          <cell r="Q5335" t="str">
            <v>TF</v>
          </cell>
          <cell r="R5335" t="str">
            <v>V(VE)</v>
          </cell>
          <cell r="S5335" t="str">
            <v>-</v>
          </cell>
          <cell r="T5335" t="str">
            <v>-</v>
          </cell>
          <cell r="U5335" t="str">
            <v>-</v>
          </cell>
          <cell r="V5335" t="str">
            <v>FC</v>
          </cell>
          <cell r="W5335" t="str">
            <v>-</v>
          </cell>
          <cell r="X5335" t="str">
            <v>CLP 220 (-15/+40°C)</v>
          </cell>
          <cell r="Y5335" t="str">
            <v>KH107DRN160M4 /TF/V</v>
          </cell>
          <cell r="Z5335" t="str">
            <v>SEW</v>
          </cell>
          <cell r="AB5335" t="str">
            <v>-</v>
          </cell>
          <cell r="AF5335">
            <v>16</v>
          </cell>
          <cell r="AG5335" t="str">
            <v>DRN160M4</v>
          </cell>
          <cell r="AH5335" t="str">
            <v>KH107-DRN160M4A270-X#</v>
          </cell>
        </row>
        <row r="5336">
          <cell r="A5336" t="str">
            <v>MR005325</v>
          </cell>
          <cell r="B5336" t="str">
            <v>MR</v>
          </cell>
          <cell r="C5336">
            <v>11</v>
          </cell>
          <cell r="D5336">
            <v>16</v>
          </cell>
          <cell r="E5336" t="str">
            <v>KH107</v>
          </cell>
          <cell r="F5336">
            <v>6490</v>
          </cell>
          <cell r="G5336">
            <v>90.96</v>
          </cell>
          <cell r="H5336">
            <v>1.1499999999999999</v>
          </cell>
          <cell r="I5336" t="str">
            <v>From M4B to M1B -30</v>
          </cell>
          <cell r="J5336" t="str">
            <v>IE3</v>
          </cell>
          <cell r="K5336" t="str">
            <v>230/400</v>
          </cell>
          <cell r="L5336">
            <v>50</v>
          </cell>
          <cell r="M5336" t="str">
            <v>36,5/21</v>
          </cell>
          <cell r="N5336">
            <v>65</v>
          </cell>
          <cell r="O5336" t="str">
            <v>155(F)</v>
          </cell>
          <cell r="P5336" t="str">
            <v>270°</v>
          </cell>
          <cell r="Q5336" t="str">
            <v>TF</v>
          </cell>
          <cell r="R5336" t="str">
            <v>V(VE)</v>
          </cell>
          <cell r="S5336" t="str">
            <v>-</v>
          </cell>
          <cell r="T5336" t="str">
            <v>-</v>
          </cell>
          <cell r="U5336" t="str">
            <v>-</v>
          </cell>
          <cell r="V5336" t="str">
            <v>FC</v>
          </cell>
          <cell r="W5336" t="str">
            <v>-</v>
          </cell>
          <cell r="X5336" t="str">
            <v>CLP 220 (-15/+40°C)</v>
          </cell>
          <cell r="Y5336" t="str">
            <v>KH107DRN160M4 /TF/V</v>
          </cell>
          <cell r="Z5336" t="str">
            <v>SEW</v>
          </cell>
          <cell r="AB5336" t="str">
            <v>-</v>
          </cell>
          <cell r="AF5336">
            <v>16</v>
          </cell>
          <cell r="AG5336" t="str">
            <v>DRN160M4</v>
          </cell>
          <cell r="AH5336" t="str">
            <v>KH107-DRN160M4B270-X#</v>
          </cell>
        </row>
        <row r="5337">
          <cell r="A5337" t="str">
            <v>MR005326</v>
          </cell>
          <cell r="B5337" t="str">
            <v>MR</v>
          </cell>
          <cell r="C5337">
            <v>5.5</v>
          </cell>
          <cell r="D5337">
            <v>62</v>
          </cell>
          <cell r="E5337" t="str">
            <v>R87</v>
          </cell>
          <cell r="F5337">
            <v>840</v>
          </cell>
          <cell r="G5337">
            <v>23.4</v>
          </cell>
          <cell r="H5337">
            <v>1.45</v>
          </cell>
          <cell r="I5337" t="str">
            <v>M1</v>
          </cell>
          <cell r="J5337" t="str">
            <v>IE3</v>
          </cell>
          <cell r="K5337" t="str">
            <v>400/690</v>
          </cell>
          <cell r="L5337">
            <v>50</v>
          </cell>
          <cell r="M5337" t="str">
            <v>10,5/6,1</v>
          </cell>
          <cell r="N5337">
            <v>65</v>
          </cell>
          <cell r="O5337" t="str">
            <v>155(F)</v>
          </cell>
          <cell r="P5337" t="str">
            <v>270°</v>
          </cell>
          <cell r="Q5337" t="str">
            <v>TF</v>
          </cell>
          <cell r="R5337" t="str">
            <v>-</v>
          </cell>
          <cell r="S5337" t="str">
            <v>-</v>
          </cell>
          <cell r="T5337" t="str">
            <v>-</v>
          </cell>
          <cell r="U5337" t="str">
            <v>-</v>
          </cell>
          <cell r="V5337" t="str">
            <v>D</v>
          </cell>
          <cell r="W5337" t="str">
            <v>-</v>
          </cell>
          <cell r="X5337" t="str">
            <v>CLP 220 (-15/+40°C)</v>
          </cell>
          <cell r="Y5337" t="str">
            <v>R87DRN132S4 /TF</v>
          </cell>
          <cell r="Z5337" t="str">
            <v>SEW</v>
          </cell>
          <cell r="AB5337" t="str">
            <v>-</v>
          </cell>
          <cell r="AF5337">
            <v>62</v>
          </cell>
          <cell r="AG5337" t="str">
            <v>DRN132S4</v>
          </cell>
          <cell r="AH5337" t="str">
            <v>R87-DRN132S4270-X</v>
          </cell>
        </row>
        <row r="5338">
          <cell r="A5338" t="str">
            <v>MR005327</v>
          </cell>
          <cell r="B5338" t="str">
            <v>MR</v>
          </cell>
          <cell r="C5338">
            <v>11</v>
          </cell>
          <cell r="D5338">
            <v>20.3</v>
          </cell>
          <cell r="E5338" t="str">
            <v>K1032</v>
          </cell>
          <cell r="F5338">
            <v>5007</v>
          </cell>
          <cell r="G5338">
            <v>71.89</v>
          </cell>
          <cell r="H5338">
            <v>1.44</v>
          </cell>
          <cell r="I5338" t="str">
            <v>From 5Y to 1Y-20°</v>
          </cell>
          <cell r="J5338" t="str">
            <v>IE3</v>
          </cell>
          <cell r="K5338">
            <v>415</v>
          </cell>
          <cell r="L5338">
            <v>50</v>
          </cell>
          <cell r="M5338">
            <v>20</v>
          </cell>
          <cell r="N5338">
            <v>55</v>
          </cell>
          <cell r="O5338" t="str">
            <v>155(F)</v>
          </cell>
          <cell r="P5338" t="str">
            <v>D</v>
          </cell>
          <cell r="Q5338" t="str">
            <v>TF</v>
          </cell>
          <cell r="R5338" t="str">
            <v>-</v>
          </cell>
          <cell r="S5338" t="str">
            <v>-</v>
          </cell>
          <cell r="T5338" t="str">
            <v>-</v>
          </cell>
          <cell r="U5338" t="str">
            <v>-</v>
          </cell>
          <cell r="V5338" t="str">
            <v>FC</v>
          </cell>
          <cell r="W5338" t="str">
            <v>-</v>
          </cell>
          <cell r="X5338" t="str">
            <v>Mineral Oil VG 460</v>
          </cell>
          <cell r="Y5338" t="str">
            <v>K103271.BMYG5D11.AM00328G2153</v>
          </cell>
          <cell r="Z5338" t="str">
            <v>RADICON</v>
          </cell>
          <cell r="AB5338" t="str">
            <v>-</v>
          </cell>
          <cell r="AF5338">
            <v>20.3</v>
          </cell>
          <cell r="AG5338" t="str">
            <v>DRN160M4</v>
          </cell>
          <cell r="AH5338" t="str">
            <v>K1032-DRN160M4D-X</v>
          </cell>
        </row>
        <row r="5339">
          <cell r="A5339" t="str">
            <v>MR005328</v>
          </cell>
          <cell r="B5339" t="str">
            <v>MR</v>
          </cell>
          <cell r="C5339">
            <v>5.5</v>
          </cell>
          <cell r="D5339">
            <v>62</v>
          </cell>
          <cell r="E5339" t="str">
            <v>M0822</v>
          </cell>
          <cell r="F5339">
            <v>828</v>
          </cell>
          <cell r="G5339">
            <v>23.32</v>
          </cell>
          <cell r="H5339">
            <v>1.86</v>
          </cell>
          <cell r="I5339">
            <v>1</v>
          </cell>
          <cell r="J5339" t="str">
            <v>IE3</v>
          </cell>
          <cell r="K5339">
            <v>415</v>
          </cell>
          <cell r="L5339">
            <v>50</v>
          </cell>
          <cell r="M5339">
            <v>10.1</v>
          </cell>
          <cell r="N5339">
            <v>55</v>
          </cell>
          <cell r="O5339" t="str">
            <v>155(F)</v>
          </cell>
          <cell r="P5339" t="str">
            <v>D</v>
          </cell>
          <cell r="Q5339" t="str">
            <v>TF</v>
          </cell>
          <cell r="R5339" t="str">
            <v>-</v>
          </cell>
          <cell r="S5339" t="str">
            <v>-</v>
          </cell>
          <cell r="T5339" t="str">
            <v>-</v>
          </cell>
          <cell r="U5339" t="str">
            <v>-</v>
          </cell>
          <cell r="V5339" t="str">
            <v>D</v>
          </cell>
          <cell r="W5339" t="str">
            <v>-</v>
          </cell>
          <cell r="X5339" t="str">
            <v>Mineral Oil VG 460</v>
          </cell>
          <cell r="Y5339" t="str">
            <v>M082222.BMCG1D5.5AM05451G0653</v>
          </cell>
          <cell r="Z5339" t="str">
            <v>RADICON</v>
          </cell>
          <cell r="AB5339" t="str">
            <v>-</v>
          </cell>
          <cell r="AF5339">
            <v>62</v>
          </cell>
          <cell r="AG5339" t="str">
            <v>DRN132S4</v>
          </cell>
          <cell r="AH5339" t="str">
            <v>M0822-DRN132S4D-X</v>
          </cell>
        </row>
        <row r="5340">
          <cell r="A5340" t="str">
            <v>MR005329</v>
          </cell>
          <cell r="B5340" t="str">
            <v>MR</v>
          </cell>
          <cell r="C5340">
            <v>5.5</v>
          </cell>
          <cell r="D5340">
            <v>54.7</v>
          </cell>
          <cell r="E5340" t="str">
            <v>K0732</v>
          </cell>
          <cell r="F5340">
            <v>930</v>
          </cell>
          <cell r="G5340">
            <v>26.52</v>
          </cell>
          <cell r="H5340">
            <v>1.63</v>
          </cell>
          <cell r="I5340" t="str">
            <v>From 5Y to 1Y-10°</v>
          </cell>
          <cell r="J5340" t="str">
            <v>IE3</v>
          </cell>
          <cell r="K5340">
            <v>415</v>
          </cell>
          <cell r="L5340">
            <v>50</v>
          </cell>
          <cell r="M5340">
            <v>10.1</v>
          </cell>
          <cell r="N5340">
            <v>55</v>
          </cell>
          <cell r="O5340" t="str">
            <v>155(F)</v>
          </cell>
          <cell r="P5340" t="str">
            <v>D</v>
          </cell>
          <cell r="Q5340" t="str">
            <v>TF</v>
          </cell>
          <cell r="R5340" t="str">
            <v>-</v>
          </cell>
          <cell r="S5340" t="str">
            <v>Free rotation CCW</v>
          </cell>
          <cell r="T5340" t="str">
            <v>-</v>
          </cell>
          <cell r="U5340" t="str">
            <v>T</v>
          </cell>
          <cell r="V5340" t="str">
            <v>SS</v>
          </cell>
          <cell r="W5340" t="str">
            <v>-</v>
          </cell>
          <cell r="X5340" t="str">
            <v>Mineral Oil VG 460</v>
          </cell>
          <cell r="Y5340" t="str">
            <v>K073225.TMYM5D5.5AM01689G2202</v>
          </cell>
          <cell r="Z5340" t="str">
            <v>RADICON</v>
          </cell>
          <cell r="AB5340" t="str">
            <v>-</v>
          </cell>
          <cell r="AF5340">
            <v>54.7</v>
          </cell>
          <cell r="AG5340" t="str">
            <v>DRN132S4</v>
          </cell>
          <cell r="AH5340" t="str">
            <v>K0732T-DRN132S4D-X</v>
          </cell>
        </row>
        <row r="5341">
          <cell r="A5341" t="str">
            <v>MR005330</v>
          </cell>
          <cell r="B5341" t="str">
            <v>MR</v>
          </cell>
          <cell r="C5341">
            <v>0.75</v>
          </cell>
          <cell r="D5341">
            <v>170</v>
          </cell>
          <cell r="E5341" t="str">
            <v>K0332</v>
          </cell>
          <cell r="F5341">
            <v>41</v>
          </cell>
          <cell r="G5341">
            <v>8.33</v>
          </cell>
          <cell r="H5341">
            <v>3.42</v>
          </cell>
          <cell r="I5341" t="str">
            <v>From 4 to 6 - 25°</v>
          </cell>
          <cell r="J5341" t="str">
            <v>IE3</v>
          </cell>
          <cell r="K5341">
            <v>415</v>
          </cell>
          <cell r="L5341">
            <v>50</v>
          </cell>
          <cell r="M5341">
            <v>1.69</v>
          </cell>
          <cell r="N5341">
            <v>55</v>
          </cell>
          <cell r="O5341" t="str">
            <v>155(F)</v>
          </cell>
          <cell r="P5341" t="str">
            <v>A</v>
          </cell>
          <cell r="Q5341" t="str">
            <v>TF</v>
          </cell>
          <cell r="R5341" t="str">
            <v>-</v>
          </cell>
          <cell r="S5341" t="str">
            <v>-</v>
          </cell>
          <cell r="T5341" t="str">
            <v>-</v>
          </cell>
          <cell r="U5341" t="str">
            <v>T</v>
          </cell>
          <cell r="V5341" t="str">
            <v>D</v>
          </cell>
          <cell r="W5341" t="str">
            <v>-</v>
          </cell>
          <cell r="X5341" t="str">
            <v>Mineral Oil VG 460</v>
          </cell>
          <cell r="Y5341" t="str">
            <v>K03328.0QMHA4A.75AM03546G2203</v>
          </cell>
          <cell r="Z5341" t="str">
            <v>RADICON</v>
          </cell>
          <cell r="AB5341" t="str">
            <v>-</v>
          </cell>
          <cell r="AF5341">
            <v>170</v>
          </cell>
          <cell r="AG5341" t="str">
            <v>DRN80M4</v>
          </cell>
          <cell r="AH5341" t="str">
            <v>K0332T-DRN80M4A-X</v>
          </cell>
        </row>
        <row r="5342">
          <cell r="A5342" t="str">
            <v>MR005331</v>
          </cell>
          <cell r="B5342" t="str">
            <v>MR</v>
          </cell>
          <cell r="C5342">
            <v>5.5</v>
          </cell>
          <cell r="D5342">
            <v>80</v>
          </cell>
          <cell r="E5342" t="str">
            <v>FH67</v>
          </cell>
          <cell r="F5342">
            <v>660</v>
          </cell>
          <cell r="G5342">
            <v>18.29</v>
          </cell>
          <cell r="H5342">
            <v>1.3</v>
          </cell>
          <cell r="I5342" t="str">
            <v>M1</v>
          </cell>
          <cell r="J5342" t="str">
            <v>IE3</v>
          </cell>
          <cell r="K5342" t="str">
            <v>230/400</v>
          </cell>
          <cell r="L5342">
            <v>50</v>
          </cell>
          <cell r="M5342" t="str">
            <v>19,3/11,1</v>
          </cell>
          <cell r="N5342">
            <v>65</v>
          </cell>
          <cell r="O5342" t="str">
            <v>155(F)</v>
          </cell>
          <cell r="P5342" t="str">
            <v>180°</v>
          </cell>
          <cell r="Q5342" t="str">
            <v>TF</v>
          </cell>
          <cell r="R5342" t="str">
            <v>-</v>
          </cell>
          <cell r="S5342" t="str">
            <v>-</v>
          </cell>
          <cell r="T5342" t="str">
            <v>-</v>
          </cell>
          <cell r="U5342" t="str">
            <v>G</v>
          </cell>
          <cell r="V5342" t="str">
            <v>D+R</v>
          </cell>
          <cell r="W5342" t="str">
            <v>-</v>
          </cell>
          <cell r="X5342" t="str">
            <v>CLP 220 (-15/+40°C)</v>
          </cell>
          <cell r="Y5342" t="str">
            <v>FH67/G DRN132S4 /TF</v>
          </cell>
          <cell r="Z5342" t="str">
            <v>SEW</v>
          </cell>
          <cell r="AB5342" t="str">
            <v>-</v>
          </cell>
          <cell r="AF5342">
            <v>80</v>
          </cell>
          <cell r="AG5342" t="str">
            <v>DRN132S4</v>
          </cell>
          <cell r="AH5342" t="str">
            <v>FH67G-DRN132S4180-X</v>
          </cell>
        </row>
        <row r="5343">
          <cell r="A5343" t="str">
            <v>MR005332</v>
          </cell>
          <cell r="B5343" t="str">
            <v>MR</v>
          </cell>
          <cell r="C5343">
            <v>5.5</v>
          </cell>
          <cell r="D5343">
            <v>14</v>
          </cell>
          <cell r="E5343" t="str">
            <v>KH97</v>
          </cell>
          <cell r="F5343">
            <v>3770</v>
          </cell>
          <cell r="G5343">
            <v>105.13</v>
          </cell>
          <cell r="H5343">
            <v>1.1499999999999999</v>
          </cell>
          <cell r="I5343" t="str">
            <v>From M1A to M2A - 25°</v>
          </cell>
          <cell r="J5343" t="str">
            <v>IE3</v>
          </cell>
          <cell r="K5343" t="str">
            <v>230/400</v>
          </cell>
          <cell r="L5343">
            <v>50</v>
          </cell>
          <cell r="M5343" t="str">
            <v>19,3/11,1</v>
          </cell>
          <cell r="N5343">
            <v>65</v>
          </cell>
          <cell r="O5343" t="str">
            <v>155(F)</v>
          </cell>
          <cell r="P5343" t="str">
            <v>180°</v>
          </cell>
          <cell r="Q5343" t="str">
            <v>TF</v>
          </cell>
          <cell r="R5343" t="str">
            <v>-</v>
          </cell>
          <cell r="S5343" t="str">
            <v>-</v>
          </cell>
          <cell r="T5343" t="str">
            <v>-</v>
          </cell>
          <cell r="U5343" t="str">
            <v>-</v>
          </cell>
          <cell r="V5343" t="str">
            <v>FC</v>
          </cell>
          <cell r="W5343" t="str">
            <v>-</v>
          </cell>
          <cell r="X5343" t="str">
            <v>CLP 220 (-15/+40°C)</v>
          </cell>
          <cell r="Y5343" t="str">
            <v>KH97DRN132S4 /TF</v>
          </cell>
          <cell r="Z5343" t="str">
            <v>SEW</v>
          </cell>
          <cell r="AB5343" t="str">
            <v>-</v>
          </cell>
          <cell r="AF5343">
            <v>14</v>
          </cell>
          <cell r="AG5343" t="str">
            <v>DRN132S4</v>
          </cell>
          <cell r="AH5343" t="str">
            <v>KH97-DRN132S4A180-X</v>
          </cell>
        </row>
        <row r="5344">
          <cell r="A5344" t="str">
            <v>MR005333</v>
          </cell>
          <cell r="B5344" t="str">
            <v>MR</v>
          </cell>
          <cell r="C5344">
            <v>5.5</v>
          </cell>
          <cell r="D5344">
            <v>14</v>
          </cell>
          <cell r="E5344" t="str">
            <v>KH97</v>
          </cell>
          <cell r="F5344">
            <v>3770</v>
          </cell>
          <cell r="G5344">
            <v>105.13</v>
          </cell>
          <cell r="H5344">
            <v>1.1499999999999999</v>
          </cell>
          <cell r="I5344" t="str">
            <v>From M1B to M2B - 25°</v>
          </cell>
          <cell r="J5344" t="str">
            <v>IE3</v>
          </cell>
          <cell r="K5344" t="str">
            <v>230/400</v>
          </cell>
          <cell r="L5344">
            <v>50</v>
          </cell>
          <cell r="M5344" t="str">
            <v>19,3/11,1</v>
          </cell>
          <cell r="N5344">
            <v>65</v>
          </cell>
          <cell r="O5344" t="str">
            <v>155(F)</v>
          </cell>
          <cell r="P5344" t="str">
            <v>0°</v>
          </cell>
          <cell r="Q5344" t="str">
            <v>TF</v>
          </cell>
          <cell r="R5344" t="str">
            <v>-</v>
          </cell>
          <cell r="S5344" t="str">
            <v>-</v>
          </cell>
          <cell r="T5344" t="str">
            <v>-</v>
          </cell>
          <cell r="U5344" t="str">
            <v>-</v>
          </cell>
          <cell r="V5344" t="str">
            <v>FC</v>
          </cell>
          <cell r="W5344" t="str">
            <v>-</v>
          </cell>
          <cell r="X5344" t="str">
            <v>CLP 220 (-15/+40°C)</v>
          </cell>
          <cell r="Y5344" t="str">
            <v>KH97DRN132S4 /TF</v>
          </cell>
          <cell r="Z5344" t="str">
            <v>SEW</v>
          </cell>
          <cell r="AB5344" t="str">
            <v>-</v>
          </cell>
          <cell r="AF5344">
            <v>14</v>
          </cell>
          <cell r="AG5344" t="str">
            <v>DRN132S4</v>
          </cell>
          <cell r="AH5344" t="str">
            <v>KH97-DRN132S4B0-X</v>
          </cell>
        </row>
        <row r="5345">
          <cell r="A5345" t="str">
            <v>MR005334</v>
          </cell>
          <cell r="B5345" t="str">
            <v>MR</v>
          </cell>
          <cell r="C5345">
            <v>0.75</v>
          </cell>
          <cell r="D5345">
            <v>18</v>
          </cell>
          <cell r="E5345" t="str">
            <v>FA67</v>
          </cell>
          <cell r="F5345">
            <v>395</v>
          </cell>
          <cell r="G5345">
            <v>79.760000000000005</v>
          </cell>
          <cell r="H5345">
            <v>2.2000000000000002</v>
          </cell>
          <cell r="I5345" t="str">
            <v>From M5 to M1 - 25°</v>
          </cell>
          <cell r="J5345" t="str">
            <v>IE3</v>
          </cell>
          <cell r="K5345" t="str">
            <v>230/400</v>
          </cell>
          <cell r="L5345">
            <v>50</v>
          </cell>
          <cell r="M5345" t="str">
            <v>3,05/1,75</v>
          </cell>
          <cell r="N5345">
            <v>65</v>
          </cell>
          <cell r="O5345" t="str">
            <v>155(F)</v>
          </cell>
          <cell r="P5345" t="str">
            <v>180°</v>
          </cell>
          <cell r="Q5345" t="str">
            <v>TF</v>
          </cell>
          <cell r="R5345" t="str">
            <v>-</v>
          </cell>
          <cell r="S5345" t="str">
            <v>-</v>
          </cell>
          <cell r="T5345" t="str">
            <v>BEHF</v>
          </cell>
          <cell r="U5345" t="str">
            <v>G</v>
          </cell>
          <cell r="V5345" t="str">
            <v>D+R</v>
          </cell>
          <cell r="W5345" t="str">
            <v>-</v>
          </cell>
          <cell r="X5345" t="str">
            <v>CLP 220 (-15/+40°C)</v>
          </cell>
          <cell r="Y5345" t="str">
            <v>FA67/G DRN80M4 /BEHF /TF</v>
          </cell>
          <cell r="Z5345" t="str">
            <v>SEW</v>
          </cell>
          <cell r="AB5345" t="str">
            <v>-</v>
          </cell>
          <cell r="AF5345">
            <v>0</v>
          </cell>
          <cell r="AG5345" t="str">
            <v>DRN80M4</v>
          </cell>
          <cell r="AH5345" t="str">
            <v>FA67G-DRN80M4180-X</v>
          </cell>
        </row>
        <row r="5346">
          <cell r="A5346" t="str">
            <v>MR005335</v>
          </cell>
          <cell r="B5346" t="str">
            <v>MR</v>
          </cell>
          <cell r="C5346">
            <v>7.5</v>
          </cell>
          <cell r="D5346">
            <v>15</v>
          </cell>
          <cell r="E5346" t="str">
            <v>KH107</v>
          </cell>
          <cell r="F5346">
            <v>4910</v>
          </cell>
          <cell r="G5346">
            <v>100.75</v>
          </cell>
          <cell r="H5346">
            <v>1.65</v>
          </cell>
          <cell r="I5346" t="str">
            <v>M1A</v>
          </cell>
          <cell r="J5346" t="str">
            <v>IE3</v>
          </cell>
          <cell r="K5346" t="str">
            <v>230/400</v>
          </cell>
          <cell r="L5346">
            <v>50</v>
          </cell>
          <cell r="M5346" t="str">
            <v>26,5/15,2</v>
          </cell>
          <cell r="N5346">
            <v>65</v>
          </cell>
          <cell r="O5346" t="str">
            <v>155(F)</v>
          </cell>
          <cell r="P5346" t="str">
            <v>180°</v>
          </cell>
          <cell r="Q5346" t="str">
            <v>TF</v>
          </cell>
          <cell r="R5346" t="str">
            <v>-</v>
          </cell>
          <cell r="S5346" t="str">
            <v>-</v>
          </cell>
          <cell r="T5346" t="str">
            <v>-</v>
          </cell>
          <cell r="U5346" t="str">
            <v>-</v>
          </cell>
          <cell r="V5346" t="str">
            <v>FC</v>
          </cell>
          <cell r="W5346" t="str">
            <v>-</v>
          </cell>
          <cell r="X5346" t="str">
            <v>CLP 220 (-15/+40°C)</v>
          </cell>
          <cell r="Y5346" t="str">
            <v>KH107DRN132M4 /TF</v>
          </cell>
          <cell r="Z5346" t="str">
            <v>SEW</v>
          </cell>
          <cell r="AB5346" t="str">
            <v>-</v>
          </cell>
          <cell r="AF5346">
            <v>15</v>
          </cell>
          <cell r="AG5346" t="str">
            <v>DRN132M4</v>
          </cell>
          <cell r="AH5346" t="str">
            <v>KH107-DRN132M4A180-X</v>
          </cell>
        </row>
        <row r="5347">
          <cell r="A5347" t="str">
            <v>MR005336</v>
          </cell>
          <cell r="B5347" t="str">
            <v>MR</v>
          </cell>
          <cell r="C5347">
            <v>7.5</v>
          </cell>
          <cell r="D5347">
            <v>15</v>
          </cell>
          <cell r="E5347" t="str">
            <v>KH107</v>
          </cell>
          <cell r="F5347">
            <v>4910</v>
          </cell>
          <cell r="G5347">
            <v>100.75</v>
          </cell>
          <cell r="H5347">
            <v>1.65</v>
          </cell>
          <cell r="I5347" t="str">
            <v>M1B</v>
          </cell>
          <cell r="J5347" t="str">
            <v>IE3</v>
          </cell>
          <cell r="K5347" t="str">
            <v>230/400</v>
          </cell>
          <cell r="L5347">
            <v>50</v>
          </cell>
          <cell r="M5347" t="str">
            <v>26,5/15,2</v>
          </cell>
          <cell r="N5347">
            <v>65</v>
          </cell>
          <cell r="O5347" t="str">
            <v>155(F)</v>
          </cell>
          <cell r="P5347" t="str">
            <v>0°</v>
          </cell>
          <cell r="Q5347" t="str">
            <v>TF</v>
          </cell>
          <cell r="R5347" t="str">
            <v>-</v>
          </cell>
          <cell r="S5347" t="str">
            <v>-</v>
          </cell>
          <cell r="T5347" t="str">
            <v>-</v>
          </cell>
          <cell r="U5347" t="str">
            <v>-</v>
          </cell>
          <cell r="V5347" t="str">
            <v>FC</v>
          </cell>
          <cell r="W5347" t="str">
            <v>-</v>
          </cell>
          <cell r="X5347" t="str">
            <v>CLP 220 (-15/+40°C)</v>
          </cell>
          <cell r="Y5347" t="str">
            <v>KH107DRN132M4 /TF</v>
          </cell>
          <cell r="Z5347" t="str">
            <v>SEW</v>
          </cell>
          <cell r="AB5347" t="str">
            <v>-</v>
          </cell>
          <cell r="AF5347">
            <v>15</v>
          </cell>
          <cell r="AG5347" t="str">
            <v>DRN132M4</v>
          </cell>
          <cell r="AH5347" t="str">
            <v>KH107-DRN132M4B0-X</v>
          </cell>
        </row>
        <row r="5348">
          <cell r="A5348" t="str">
            <v>MR005337</v>
          </cell>
          <cell r="B5348" t="str">
            <v>MR</v>
          </cell>
          <cell r="C5348">
            <v>9.1999999999999993</v>
          </cell>
          <cell r="D5348">
            <v>13</v>
          </cell>
          <cell r="E5348" t="str">
            <v>KH107</v>
          </cell>
          <cell r="F5348">
            <v>6710</v>
          </cell>
          <cell r="G5348">
            <v>112.41</v>
          </cell>
          <cell r="H5348">
            <v>1.2</v>
          </cell>
          <cell r="I5348" t="str">
            <v>From M1A to M2A - 30°</v>
          </cell>
          <cell r="J5348" t="str">
            <v>IE3</v>
          </cell>
          <cell r="K5348" t="str">
            <v>230/400</v>
          </cell>
          <cell r="L5348">
            <v>50</v>
          </cell>
          <cell r="M5348" t="str">
            <v>32,5/18,7</v>
          </cell>
          <cell r="N5348">
            <v>65</v>
          </cell>
          <cell r="O5348" t="str">
            <v>155(F)</v>
          </cell>
          <cell r="P5348" t="str">
            <v>180°</v>
          </cell>
          <cell r="Q5348" t="str">
            <v>TF</v>
          </cell>
          <cell r="R5348" t="str">
            <v>-</v>
          </cell>
          <cell r="S5348" t="str">
            <v>-</v>
          </cell>
          <cell r="T5348" t="str">
            <v>-</v>
          </cell>
          <cell r="U5348" t="str">
            <v>-</v>
          </cell>
          <cell r="V5348" t="str">
            <v>FC</v>
          </cell>
          <cell r="W5348" t="str">
            <v>-</v>
          </cell>
          <cell r="X5348" t="str">
            <v>CLP 220 (-15/+40°C)</v>
          </cell>
          <cell r="Y5348" t="str">
            <v>KH107DRN132L4 /TF</v>
          </cell>
          <cell r="Z5348" t="str">
            <v>SEW</v>
          </cell>
          <cell r="AB5348" t="str">
            <v>-</v>
          </cell>
          <cell r="AF5348">
            <v>13</v>
          </cell>
          <cell r="AG5348" t="str">
            <v>DRN132L4</v>
          </cell>
          <cell r="AH5348" t="str">
            <v>KH107-DRN132L4A180-X</v>
          </cell>
        </row>
        <row r="5349">
          <cell r="A5349" t="str">
            <v>MR005338</v>
          </cell>
          <cell r="B5349" t="str">
            <v>MR</v>
          </cell>
          <cell r="C5349">
            <v>9.1999999999999993</v>
          </cell>
          <cell r="D5349">
            <v>13</v>
          </cell>
          <cell r="E5349" t="str">
            <v>KH107</v>
          </cell>
          <cell r="F5349">
            <v>6710</v>
          </cell>
          <cell r="G5349">
            <v>112.41</v>
          </cell>
          <cell r="H5349">
            <v>1.2</v>
          </cell>
          <cell r="I5349" t="str">
            <v>From M1B to M2B - 30°</v>
          </cell>
          <cell r="J5349" t="str">
            <v>IE3</v>
          </cell>
          <cell r="K5349" t="str">
            <v>230/400</v>
          </cell>
          <cell r="L5349">
            <v>50</v>
          </cell>
          <cell r="M5349" t="str">
            <v>32,5/18,7</v>
          </cell>
          <cell r="N5349">
            <v>65</v>
          </cell>
          <cell r="O5349" t="str">
            <v>155(F)</v>
          </cell>
          <cell r="P5349" t="str">
            <v>0°</v>
          </cell>
          <cell r="Q5349" t="str">
            <v>TF</v>
          </cell>
          <cell r="R5349" t="str">
            <v>-</v>
          </cell>
          <cell r="S5349" t="str">
            <v>-</v>
          </cell>
          <cell r="T5349" t="str">
            <v>-</v>
          </cell>
          <cell r="U5349" t="str">
            <v>-</v>
          </cell>
          <cell r="V5349" t="str">
            <v>FC</v>
          </cell>
          <cell r="W5349" t="str">
            <v>-</v>
          </cell>
          <cell r="X5349" t="str">
            <v>CLP 220 (-15/+40°C)</v>
          </cell>
          <cell r="Y5349" t="str">
            <v>KH107DRN132L4 /TF</v>
          </cell>
          <cell r="Z5349" t="str">
            <v>SEW</v>
          </cell>
          <cell r="AB5349" t="str">
            <v>-</v>
          </cell>
          <cell r="AF5349">
            <v>13</v>
          </cell>
          <cell r="AG5349" t="str">
            <v>DRN132L4</v>
          </cell>
          <cell r="AH5349" t="str">
            <v>KH107-DRN132L4B0-X</v>
          </cell>
        </row>
        <row r="5350">
          <cell r="A5350" t="str">
            <v>MR005339</v>
          </cell>
          <cell r="B5350" t="str">
            <v>MR</v>
          </cell>
          <cell r="C5350">
            <v>15</v>
          </cell>
          <cell r="D5350">
            <v>30</v>
          </cell>
          <cell r="E5350" t="str">
            <v>R127</v>
          </cell>
          <cell r="F5350">
            <v>4840</v>
          </cell>
          <cell r="G5350">
            <v>49.81</v>
          </cell>
          <cell r="H5350">
            <v>1.25</v>
          </cell>
          <cell r="I5350" t="str">
            <v>From M1 to M2 - 10°</v>
          </cell>
          <cell r="J5350" t="str">
            <v>IE3</v>
          </cell>
          <cell r="K5350" t="str">
            <v>230/400</v>
          </cell>
          <cell r="L5350">
            <v>50</v>
          </cell>
          <cell r="M5350" t="str">
            <v>50/29</v>
          </cell>
          <cell r="N5350">
            <v>65</v>
          </cell>
          <cell r="O5350" t="str">
            <v>155(F)</v>
          </cell>
          <cell r="P5350" t="str">
            <v>270°</v>
          </cell>
          <cell r="Q5350" t="str">
            <v>TF</v>
          </cell>
          <cell r="R5350" t="str">
            <v>V(VE)</v>
          </cell>
          <cell r="S5350" t="str">
            <v>-</v>
          </cell>
          <cell r="T5350" t="str">
            <v>-</v>
          </cell>
          <cell r="U5350" t="str">
            <v>-</v>
          </cell>
          <cell r="V5350" t="str">
            <v>FC</v>
          </cell>
          <cell r="W5350" t="str">
            <v>-</v>
          </cell>
          <cell r="X5350" t="str">
            <v>CLP 220 (-15/+40°C)</v>
          </cell>
          <cell r="Y5350" t="str">
            <v>R127DRN160L4 /TF/V</v>
          </cell>
          <cell r="Z5350" t="str">
            <v>SEW</v>
          </cell>
          <cell r="AB5350" t="str">
            <v>-</v>
          </cell>
          <cell r="AF5350">
            <v>30</v>
          </cell>
          <cell r="AG5350" t="str">
            <v>DRN160L4</v>
          </cell>
          <cell r="AH5350" t="str">
            <v>R127-DRN160L4270-X#</v>
          </cell>
        </row>
        <row r="5351">
          <cell r="A5351" t="str">
            <v>MR005340</v>
          </cell>
          <cell r="B5351" t="str">
            <v>MR</v>
          </cell>
          <cell r="C5351">
            <v>4</v>
          </cell>
          <cell r="D5351">
            <v>3.4</v>
          </cell>
          <cell r="E5351" t="str">
            <v>FH127R77</v>
          </cell>
          <cell r="F5351">
            <v>10400</v>
          </cell>
          <cell r="G5351">
            <v>428</v>
          </cell>
          <cell r="H5351">
            <v>1.1499999999999999</v>
          </cell>
          <cell r="I5351" t="str">
            <v>From M1 to M4 - 15°</v>
          </cell>
          <cell r="J5351" t="str">
            <v>IE3</v>
          </cell>
          <cell r="K5351" t="str">
            <v>230/400</v>
          </cell>
          <cell r="L5351">
            <v>50</v>
          </cell>
          <cell r="M5351" t="str">
            <v>13,8/7,9</v>
          </cell>
          <cell r="N5351">
            <v>65</v>
          </cell>
          <cell r="O5351" t="str">
            <v>155(F)</v>
          </cell>
          <cell r="P5351" t="str">
            <v>270°</v>
          </cell>
          <cell r="Q5351" t="str">
            <v>TF</v>
          </cell>
          <cell r="R5351" t="str">
            <v>V(VE)</v>
          </cell>
          <cell r="S5351" t="str">
            <v>-</v>
          </cell>
          <cell r="T5351" t="str">
            <v>-</v>
          </cell>
          <cell r="U5351" t="str">
            <v>G</v>
          </cell>
          <cell r="V5351" t="str">
            <v>FC</v>
          </cell>
          <cell r="W5351" t="str">
            <v>-</v>
          </cell>
          <cell r="X5351" t="str">
            <v>CLP 220 (-15/+40°C)</v>
          </cell>
          <cell r="Y5351" t="str">
            <v>FH127R77/G DRN112M4 /TF/V</v>
          </cell>
          <cell r="Z5351" t="str">
            <v>SEW</v>
          </cell>
          <cell r="AB5351" t="str">
            <v>-</v>
          </cell>
          <cell r="AF5351">
            <v>3.4</v>
          </cell>
          <cell r="AG5351" t="str">
            <v>DRN112M4</v>
          </cell>
          <cell r="AH5351" t="str">
            <v>FH127R77G-DRN112M4270-X#</v>
          </cell>
        </row>
        <row r="5352">
          <cell r="A5352" t="str">
            <v>MR005341</v>
          </cell>
          <cell r="B5352" t="str">
            <v>MR</v>
          </cell>
          <cell r="C5352">
            <v>9.1999999999999993</v>
          </cell>
          <cell r="D5352">
            <v>59</v>
          </cell>
          <cell r="E5352" t="str">
            <v>R97</v>
          </cell>
          <cell r="F5352">
            <v>1490</v>
          </cell>
          <cell r="G5352">
            <v>25.03</v>
          </cell>
          <cell r="H5352">
            <v>1.9</v>
          </cell>
          <cell r="I5352" t="str">
            <v>M1</v>
          </cell>
          <cell r="J5352" t="str">
            <v>IE3</v>
          </cell>
          <cell r="K5352" t="str">
            <v>230/400</v>
          </cell>
          <cell r="L5352">
            <v>50</v>
          </cell>
          <cell r="M5352" t="str">
            <v>32,5/18,7</v>
          </cell>
          <cell r="N5352">
            <v>65</v>
          </cell>
          <cell r="O5352" t="str">
            <v>155(F)</v>
          </cell>
          <cell r="P5352" t="str">
            <v>270°</v>
          </cell>
          <cell r="Q5352" t="str">
            <v>TF</v>
          </cell>
          <cell r="R5352" t="str">
            <v>-</v>
          </cell>
          <cell r="S5352" t="str">
            <v>-</v>
          </cell>
          <cell r="T5352" t="str">
            <v>-</v>
          </cell>
          <cell r="U5352" t="str">
            <v>-</v>
          </cell>
          <cell r="V5352" t="str">
            <v>D+R</v>
          </cell>
          <cell r="W5352" t="str">
            <v>-</v>
          </cell>
          <cell r="X5352" t="str">
            <v>CLP 220 (-15/+40°C)</v>
          </cell>
          <cell r="Y5352" t="str">
            <v>R97DRN132L4 /TF</v>
          </cell>
          <cell r="Z5352" t="str">
            <v>SEW</v>
          </cell>
          <cell r="AB5352" t="str">
            <v>-</v>
          </cell>
          <cell r="AF5352">
            <v>59</v>
          </cell>
          <cell r="AG5352" t="str">
            <v>DRN132L4</v>
          </cell>
          <cell r="AH5352" t="str">
            <v>R97-DRN132L4270-X</v>
          </cell>
        </row>
        <row r="5353">
          <cell r="A5353" t="str">
            <v>MR005342</v>
          </cell>
          <cell r="B5353" t="str">
            <v>MR</v>
          </cell>
          <cell r="C5353">
            <v>5.5</v>
          </cell>
          <cell r="D5353">
            <v>14</v>
          </cell>
          <cell r="E5353" t="str">
            <v>KH97</v>
          </cell>
          <cell r="F5353">
            <v>3770</v>
          </cell>
          <cell r="G5353">
            <v>105.13</v>
          </cell>
          <cell r="H5353">
            <v>1.1499999999999999</v>
          </cell>
          <cell r="I5353" t="str">
            <v>From M1A to M2A - 30°</v>
          </cell>
          <cell r="J5353" t="str">
            <v>IE3</v>
          </cell>
          <cell r="K5353" t="str">
            <v>230/400</v>
          </cell>
          <cell r="L5353">
            <v>50</v>
          </cell>
          <cell r="M5353" t="str">
            <v>19,3/11,1</v>
          </cell>
          <cell r="N5353">
            <v>65</v>
          </cell>
          <cell r="O5353" t="str">
            <v>155(F)</v>
          </cell>
          <cell r="P5353" t="str">
            <v>180°</v>
          </cell>
          <cell r="Q5353" t="str">
            <v>TF</v>
          </cell>
          <cell r="R5353" t="str">
            <v>-</v>
          </cell>
          <cell r="S5353" t="str">
            <v>-</v>
          </cell>
          <cell r="T5353" t="str">
            <v>-</v>
          </cell>
          <cell r="U5353" t="str">
            <v>-</v>
          </cell>
          <cell r="V5353" t="str">
            <v>FC</v>
          </cell>
          <cell r="W5353" t="str">
            <v>-</v>
          </cell>
          <cell r="X5353" t="str">
            <v>CLP 220 (-15/+40°C)</v>
          </cell>
          <cell r="Y5353" t="str">
            <v>KH97DRN132S4 /TF</v>
          </cell>
          <cell r="Z5353" t="str">
            <v>SEW</v>
          </cell>
          <cell r="AB5353" t="str">
            <v>-</v>
          </cell>
          <cell r="AF5353">
            <v>14</v>
          </cell>
          <cell r="AG5353" t="str">
            <v>DRN132S4</v>
          </cell>
          <cell r="AH5353" t="str">
            <v>KH97-DRN132S4A180-X</v>
          </cell>
        </row>
        <row r="5354">
          <cell r="A5354" t="str">
            <v>MR005343</v>
          </cell>
          <cell r="B5354" t="str">
            <v>MR</v>
          </cell>
          <cell r="C5354">
            <v>5.5</v>
          </cell>
          <cell r="D5354">
            <v>14</v>
          </cell>
          <cell r="E5354" t="str">
            <v>KH97</v>
          </cell>
          <cell r="F5354">
            <v>3770</v>
          </cell>
          <cell r="G5354">
            <v>105.13</v>
          </cell>
          <cell r="H5354">
            <v>1.1499999999999999</v>
          </cell>
          <cell r="I5354" t="str">
            <v>From M1B to M2B - 30°</v>
          </cell>
          <cell r="J5354" t="str">
            <v>IE3</v>
          </cell>
          <cell r="K5354" t="str">
            <v>230/400</v>
          </cell>
          <cell r="L5354">
            <v>50</v>
          </cell>
          <cell r="M5354" t="str">
            <v>19,3/11,1</v>
          </cell>
          <cell r="N5354">
            <v>65</v>
          </cell>
          <cell r="O5354" t="str">
            <v>155(F)</v>
          </cell>
          <cell r="P5354" t="str">
            <v>0°</v>
          </cell>
          <cell r="Q5354" t="str">
            <v>TF</v>
          </cell>
          <cell r="R5354" t="str">
            <v>-</v>
          </cell>
          <cell r="S5354" t="str">
            <v>-</v>
          </cell>
          <cell r="T5354" t="str">
            <v>-</v>
          </cell>
          <cell r="U5354" t="str">
            <v>-</v>
          </cell>
          <cell r="V5354" t="str">
            <v>FC</v>
          </cell>
          <cell r="W5354" t="str">
            <v>-</v>
          </cell>
          <cell r="X5354" t="str">
            <v>CLP 220 (-15/+40°C)</v>
          </cell>
          <cell r="Y5354" t="str">
            <v>KH97DRN132S4 /TF</v>
          </cell>
          <cell r="Z5354" t="str">
            <v>SEW</v>
          </cell>
          <cell r="AB5354" t="str">
            <v>-</v>
          </cell>
          <cell r="AF5354">
            <v>14</v>
          </cell>
          <cell r="AG5354" t="str">
            <v>DRN132S4</v>
          </cell>
          <cell r="AH5354" t="str">
            <v>KH97-DRN132S4B0-X</v>
          </cell>
        </row>
        <row r="5355">
          <cell r="A5355" t="str">
            <v>MR005344</v>
          </cell>
          <cell r="B5355" t="str">
            <v>MR</v>
          </cell>
          <cell r="C5355">
            <v>11</v>
          </cell>
          <cell r="D5355">
            <v>19</v>
          </cell>
          <cell r="E5355" t="str">
            <v>R127</v>
          </cell>
          <cell r="F5355">
            <v>5430</v>
          </cell>
          <cell r="G5355">
            <v>76.209999999999994</v>
          </cell>
          <cell r="H5355">
            <v>1.1000000000000001</v>
          </cell>
          <cell r="I5355" t="str">
            <v>From M1 to M2 - 5°</v>
          </cell>
          <cell r="J5355" t="str">
            <v>IE3</v>
          </cell>
          <cell r="K5355" t="str">
            <v>230/400</v>
          </cell>
          <cell r="L5355">
            <v>50</v>
          </cell>
          <cell r="M5355" t="str">
            <v>36,5/21</v>
          </cell>
          <cell r="N5355">
            <v>65</v>
          </cell>
          <cell r="O5355" t="str">
            <v>155(F)</v>
          </cell>
          <cell r="P5355" t="str">
            <v>270°</v>
          </cell>
          <cell r="Q5355" t="str">
            <v>TF</v>
          </cell>
          <cell r="R5355" t="str">
            <v>V(VE)</v>
          </cell>
          <cell r="S5355" t="str">
            <v>-</v>
          </cell>
          <cell r="T5355" t="str">
            <v>-</v>
          </cell>
          <cell r="U5355" t="str">
            <v>-</v>
          </cell>
          <cell r="V5355" t="str">
            <v>FC</v>
          </cell>
          <cell r="W5355" t="str">
            <v>-</v>
          </cell>
          <cell r="X5355" t="str">
            <v>CLP 220 (-15/+40°C)</v>
          </cell>
          <cell r="Y5355" t="str">
            <v>R127DRN160M4 /TF/V</v>
          </cell>
          <cell r="Z5355" t="str">
            <v>SEW</v>
          </cell>
          <cell r="AB5355" t="str">
            <v>-</v>
          </cell>
          <cell r="AF5355">
            <v>19</v>
          </cell>
          <cell r="AG5355" t="str">
            <v>DRN160M4</v>
          </cell>
          <cell r="AH5355" t="str">
            <v>R127-DRN160M4270-X#</v>
          </cell>
        </row>
        <row r="5356">
          <cell r="A5356" t="str">
            <v>MR005345</v>
          </cell>
          <cell r="B5356" t="str">
            <v>MR</v>
          </cell>
          <cell r="C5356">
            <v>0.18</v>
          </cell>
          <cell r="D5356">
            <v>2</v>
          </cell>
          <cell r="E5356" t="str">
            <v>KA67R37</v>
          </cell>
          <cell r="F5356">
            <v>730</v>
          </cell>
          <cell r="G5356">
            <v>697</v>
          </cell>
          <cell r="H5356">
            <v>1.2</v>
          </cell>
          <cell r="I5356" t="str">
            <v>M3B</v>
          </cell>
          <cell r="J5356" t="str">
            <v>IE3</v>
          </cell>
          <cell r="K5356" t="str">
            <v>230/400</v>
          </cell>
          <cell r="L5356">
            <v>50</v>
          </cell>
          <cell r="M5356" t="str">
            <v>0,99/0,57</v>
          </cell>
          <cell r="N5356">
            <v>65</v>
          </cell>
          <cell r="O5356" t="str">
            <v>155(F)</v>
          </cell>
          <cell r="P5356" t="str">
            <v>0°</v>
          </cell>
          <cell r="Q5356" t="str">
            <v>TF</v>
          </cell>
          <cell r="R5356" t="str">
            <v>-</v>
          </cell>
          <cell r="S5356" t="str">
            <v>-</v>
          </cell>
          <cell r="T5356" t="str">
            <v>BEHF</v>
          </cell>
          <cell r="U5356" t="str">
            <v>T</v>
          </cell>
          <cell r="V5356" t="str">
            <v>FC+R</v>
          </cell>
          <cell r="W5356" t="str">
            <v>-</v>
          </cell>
          <cell r="X5356" t="str">
            <v>CLP 220 (-15/+40°C)</v>
          </cell>
          <cell r="Y5356" t="str">
            <v>KA67R37/T DRN63M4 /BEHF /TF</v>
          </cell>
          <cell r="Z5356" t="str">
            <v>SEW</v>
          </cell>
          <cell r="AB5356" t="str">
            <v>-</v>
          </cell>
          <cell r="AF5356">
            <v>2</v>
          </cell>
          <cell r="AG5356" t="str">
            <v>DRN63M4</v>
          </cell>
          <cell r="AH5356" t="str">
            <v>KA67R37T-DRN63M4B0-X</v>
          </cell>
        </row>
        <row r="5357">
          <cell r="A5357" t="str">
            <v>MR005346</v>
          </cell>
          <cell r="B5357" t="str">
            <v>MR</v>
          </cell>
          <cell r="C5357">
            <v>3</v>
          </cell>
          <cell r="D5357">
            <v>62</v>
          </cell>
          <cell r="E5357" t="str">
            <v>R77</v>
          </cell>
          <cell r="F5357">
            <v>455</v>
          </cell>
          <cell r="G5357">
            <v>23.37</v>
          </cell>
          <cell r="H5357">
            <v>1.8</v>
          </cell>
          <cell r="I5357" t="str">
            <v>M1</v>
          </cell>
          <cell r="J5357" t="str">
            <v>IE3</v>
          </cell>
          <cell r="K5357" t="str">
            <v>230/400</v>
          </cell>
          <cell r="L5357">
            <v>50</v>
          </cell>
          <cell r="M5357" t="str">
            <v>11,2/6,4</v>
          </cell>
          <cell r="N5357">
            <v>65</v>
          </cell>
          <cell r="O5357" t="str">
            <v>155(F)</v>
          </cell>
          <cell r="P5357" t="str">
            <v>270°</v>
          </cell>
          <cell r="Q5357" t="str">
            <v>TF</v>
          </cell>
          <cell r="R5357" t="str">
            <v>-</v>
          </cell>
          <cell r="S5357" t="str">
            <v>-</v>
          </cell>
          <cell r="T5357" t="str">
            <v>-</v>
          </cell>
          <cell r="U5357" t="str">
            <v>-</v>
          </cell>
          <cell r="V5357" t="str">
            <v>D</v>
          </cell>
          <cell r="W5357" t="str">
            <v>-</v>
          </cell>
          <cell r="X5357" t="str">
            <v>CLP 220 (-15/+40°C)</v>
          </cell>
          <cell r="Y5357" t="str">
            <v>R77DRN100L4 /TF</v>
          </cell>
          <cell r="Z5357" t="str">
            <v>SEW</v>
          </cell>
          <cell r="AB5357" t="str">
            <v>-</v>
          </cell>
          <cell r="AF5357">
            <v>62</v>
          </cell>
          <cell r="AG5357" t="str">
            <v>DRN100L4</v>
          </cell>
          <cell r="AH5357" t="str">
            <v>R77-DRN100L4270-X</v>
          </cell>
        </row>
        <row r="5358">
          <cell r="A5358" t="str">
            <v>MR005347</v>
          </cell>
          <cell r="B5358" t="str">
            <v>MR</v>
          </cell>
          <cell r="C5358">
            <v>4</v>
          </cell>
          <cell r="D5358">
            <v>15</v>
          </cell>
          <cell r="E5358" t="str">
            <v>KH97</v>
          </cell>
          <cell r="F5358">
            <v>2520</v>
          </cell>
          <cell r="G5358">
            <v>96.8</v>
          </cell>
          <cell r="H5358">
            <v>1.7</v>
          </cell>
          <cell r="I5358" t="str">
            <v>From M1A to M2A - 5°</v>
          </cell>
          <cell r="J5358" t="str">
            <v>IE3</v>
          </cell>
          <cell r="K5358" t="str">
            <v>230/400</v>
          </cell>
          <cell r="L5358">
            <v>50</v>
          </cell>
          <cell r="M5358" t="str">
            <v>13,8/7,9</v>
          </cell>
          <cell r="N5358">
            <v>65</v>
          </cell>
          <cell r="O5358" t="str">
            <v>155(F)</v>
          </cell>
          <cell r="P5358" t="str">
            <v>180°</v>
          </cell>
          <cell r="Q5358" t="str">
            <v>TF</v>
          </cell>
          <cell r="R5358" t="str">
            <v>-</v>
          </cell>
          <cell r="S5358" t="str">
            <v>-</v>
          </cell>
          <cell r="T5358" t="str">
            <v>-</v>
          </cell>
          <cell r="U5358" t="str">
            <v>-</v>
          </cell>
          <cell r="V5358" t="str">
            <v>FC</v>
          </cell>
          <cell r="W5358" t="str">
            <v>-</v>
          </cell>
          <cell r="X5358" t="str">
            <v>CLP 220 (-15/+40°C)</v>
          </cell>
          <cell r="Y5358" t="str">
            <v>KH97DRN112M4 /TF</v>
          </cell>
          <cell r="Z5358" t="str">
            <v>SEW</v>
          </cell>
          <cell r="AB5358" t="str">
            <v>-</v>
          </cell>
          <cell r="AF5358">
            <v>15</v>
          </cell>
          <cell r="AG5358" t="str">
            <v>DRN112M4</v>
          </cell>
          <cell r="AH5358" t="str">
            <v>KH97-DRN112M4A180-X</v>
          </cell>
        </row>
        <row r="5359">
          <cell r="A5359" t="str">
            <v>MR005348</v>
          </cell>
          <cell r="B5359" t="str">
            <v>MR</v>
          </cell>
          <cell r="C5359">
            <v>4</v>
          </cell>
          <cell r="D5359">
            <v>15</v>
          </cell>
          <cell r="E5359" t="str">
            <v>KH97</v>
          </cell>
          <cell r="F5359">
            <v>2520</v>
          </cell>
          <cell r="G5359">
            <v>96.8</v>
          </cell>
          <cell r="H5359">
            <v>1.7</v>
          </cell>
          <cell r="I5359" t="str">
            <v>From M1B to M2B - 5°</v>
          </cell>
          <cell r="J5359" t="str">
            <v>IE3</v>
          </cell>
          <cell r="K5359" t="str">
            <v>230/400</v>
          </cell>
          <cell r="L5359">
            <v>50</v>
          </cell>
          <cell r="M5359" t="str">
            <v>13,8/7,9</v>
          </cell>
          <cell r="N5359">
            <v>65</v>
          </cell>
          <cell r="O5359" t="str">
            <v>155(F)</v>
          </cell>
          <cell r="P5359" t="str">
            <v>0°</v>
          </cell>
          <cell r="Q5359" t="str">
            <v>TF</v>
          </cell>
          <cell r="R5359" t="str">
            <v>-</v>
          </cell>
          <cell r="S5359" t="str">
            <v>-</v>
          </cell>
          <cell r="T5359" t="str">
            <v>-</v>
          </cell>
          <cell r="U5359" t="str">
            <v>-</v>
          </cell>
          <cell r="V5359" t="str">
            <v>FC</v>
          </cell>
          <cell r="W5359" t="str">
            <v>-</v>
          </cell>
          <cell r="X5359" t="str">
            <v>CLP 220 (-15/+40°C)</v>
          </cell>
          <cell r="Y5359" t="str">
            <v>KH97DRN112M4 /TF</v>
          </cell>
          <cell r="Z5359" t="str">
            <v>SEW</v>
          </cell>
          <cell r="AB5359" t="str">
            <v>-</v>
          </cell>
          <cell r="AF5359">
            <v>15</v>
          </cell>
          <cell r="AG5359" t="str">
            <v>DRN112M4</v>
          </cell>
          <cell r="AH5359" t="str">
            <v>KH97-DRN112M4B0-X</v>
          </cell>
        </row>
        <row r="5360">
          <cell r="A5360" t="str">
            <v>MR005349</v>
          </cell>
          <cell r="B5360" t="str">
            <v>MR</v>
          </cell>
          <cell r="C5360">
            <v>4</v>
          </cell>
          <cell r="D5360">
            <v>15</v>
          </cell>
          <cell r="E5360" t="str">
            <v>KH97</v>
          </cell>
          <cell r="F5360">
            <v>2520</v>
          </cell>
          <cell r="G5360">
            <v>96.8</v>
          </cell>
          <cell r="H5360">
            <v>1.7</v>
          </cell>
          <cell r="I5360" t="str">
            <v>From M1A to M2A - 35°</v>
          </cell>
          <cell r="J5360" t="str">
            <v>IE3</v>
          </cell>
          <cell r="K5360" t="str">
            <v>230/400</v>
          </cell>
          <cell r="L5360">
            <v>50</v>
          </cell>
          <cell r="M5360" t="str">
            <v>13,8/7,9</v>
          </cell>
          <cell r="N5360">
            <v>65</v>
          </cell>
          <cell r="O5360" t="str">
            <v>155(F)</v>
          </cell>
          <cell r="P5360" t="str">
            <v>180°</v>
          </cell>
          <cell r="Q5360" t="str">
            <v>TF</v>
          </cell>
          <cell r="R5360" t="str">
            <v>-</v>
          </cell>
          <cell r="S5360" t="str">
            <v>-</v>
          </cell>
          <cell r="T5360" t="str">
            <v>-</v>
          </cell>
          <cell r="U5360" t="str">
            <v>-</v>
          </cell>
          <cell r="V5360" t="str">
            <v>FC</v>
          </cell>
          <cell r="W5360" t="str">
            <v>-</v>
          </cell>
          <cell r="X5360" t="str">
            <v>CLP 220 (-15/+40°C)</v>
          </cell>
          <cell r="Y5360" t="str">
            <v>KH97DRN112M4 /TF</v>
          </cell>
          <cell r="Z5360" t="str">
            <v>SEW</v>
          </cell>
          <cell r="AB5360" t="str">
            <v>-</v>
          </cell>
          <cell r="AF5360">
            <v>15</v>
          </cell>
          <cell r="AG5360" t="str">
            <v>DRN112M4</v>
          </cell>
          <cell r="AH5360" t="str">
            <v>KH97-DRN112M4A180-X</v>
          </cell>
        </row>
        <row r="5361">
          <cell r="A5361" t="str">
            <v>MR005350</v>
          </cell>
          <cell r="B5361" t="str">
            <v>MR</v>
          </cell>
          <cell r="C5361">
            <v>4</v>
          </cell>
          <cell r="D5361">
            <v>15</v>
          </cell>
          <cell r="E5361" t="str">
            <v>KH97</v>
          </cell>
          <cell r="F5361">
            <v>2520</v>
          </cell>
          <cell r="G5361">
            <v>96.8</v>
          </cell>
          <cell r="H5361">
            <v>1.7</v>
          </cell>
          <cell r="I5361" t="str">
            <v>From M1B to M2B - 35°</v>
          </cell>
          <cell r="J5361" t="str">
            <v>IE3</v>
          </cell>
          <cell r="K5361" t="str">
            <v>230/400</v>
          </cell>
          <cell r="L5361">
            <v>50</v>
          </cell>
          <cell r="M5361" t="str">
            <v>13,8/7,9</v>
          </cell>
          <cell r="N5361">
            <v>65</v>
          </cell>
          <cell r="O5361" t="str">
            <v>155(F)</v>
          </cell>
          <cell r="P5361" t="str">
            <v>0°</v>
          </cell>
          <cell r="Q5361" t="str">
            <v>TF</v>
          </cell>
          <cell r="R5361" t="str">
            <v>-</v>
          </cell>
          <cell r="S5361" t="str">
            <v>-</v>
          </cell>
          <cell r="T5361" t="str">
            <v>-</v>
          </cell>
          <cell r="U5361" t="str">
            <v>-</v>
          </cell>
          <cell r="V5361" t="str">
            <v>FC</v>
          </cell>
          <cell r="W5361" t="str">
            <v>-</v>
          </cell>
          <cell r="X5361" t="str">
            <v>CLP 220 (-15/+40°C)</v>
          </cell>
          <cell r="Y5361" t="str">
            <v>KH97DRN112M4 /TF</v>
          </cell>
          <cell r="Z5361" t="str">
            <v>SEW</v>
          </cell>
          <cell r="AB5361" t="str">
            <v>-</v>
          </cell>
          <cell r="AF5361">
            <v>15</v>
          </cell>
          <cell r="AG5361" t="str">
            <v>DRN112M4</v>
          </cell>
          <cell r="AH5361" t="str">
            <v>KH97-DRN112M4B0-X</v>
          </cell>
        </row>
        <row r="5362">
          <cell r="A5362" t="str">
            <v>MR005351</v>
          </cell>
          <cell r="B5362" t="str">
            <v>MR</v>
          </cell>
          <cell r="C5362">
            <v>4</v>
          </cell>
          <cell r="D5362">
            <v>14</v>
          </cell>
          <cell r="E5362" t="str">
            <v>KH97</v>
          </cell>
          <cell r="F5362">
            <v>2740</v>
          </cell>
          <cell r="G5362">
            <v>105.13</v>
          </cell>
          <cell r="H5362">
            <v>1.55</v>
          </cell>
          <cell r="I5362" t="str">
            <v>From M1A to M2A - 20°</v>
          </cell>
          <cell r="J5362" t="str">
            <v>IE3</v>
          </cell>
          <cell r="K5362" t="str">
            <v>230/400</v>
          </cell>
          <cell r="L5362">
            <v>50</v>
          </cell>
          <cell r="M5362" t="str">
            <v>13,8/7,9</v>
          </cell>
          <cell r="N5362">
            <v>65</v>
          </cell>
          <cell r="O5362" t="str">
            <v>155(F)</v>
          </cell>
          <cell r="P5362" t="str">
            <v>180°</v>
          </cell>
          <cell r="Q5362" t="str">
            <v>TF</v>
          </cell>
          <cell r="R5362" t="str">
            <v>-</v>
          </cell>
          <cell r="S5362" t="str">
            <v>-</v>
          </cell>
          <cell r="T5362" t="str">
            <v>-</v>
          </cell>
          <cell r="U5362" t="str">
            <v>-</v>
          </cell>
          <cell r="V5362" t="str">
            <v>FC</v>
          </cell>
          <cell r="W5362" t="str">
            <v>-</v>
          </cell>
          <cell r="X5362" t="str">
            <v>CLP 220 (-15/+40°C)</v>
          </cell>
          <cell r="Y5362" t="str">
            <v>KH97DRN112M4 /TF</v>
          </cell>
          <cell r="Z5362" t="str">
            <v>SEW</v>
          </cell>
          <cell r="AB5362" t="str">
            <v>-</v>
          </cell>
          <cell r="AF5362">
            <v>14</v>
          </cell>
          <cell r="AG5362" t="str">
            <v>DRN112M4</v>
          </cell>
          <cell r="AH5362" t="str">
            <v>KH97-DRN112M4A180-X</v>
          </cell>
        </row>
        <row r="5363">
          <cell r="A5363" t="str">
            <v>MR005352</v>
          </cell>
          <cell r="B5363" t="str">
            <v>MR</v>
          </cell>
          <cell r="C5363">
            <v>4</v>
          </cell>
          <cell r="D5363">
            <v>14</v>
          </cell>
          <cell r="E5363" t="str">
            <v>KH97</v>
          </cell>
          <cell r="F5363">
            <v>2740</v>
          </cell>
          <cell r="G5363">
            <v>105.13</v>
          </cell>
          <cell r="H5363">
            <v>1.55</v>
          </cell>
          <cell r="I5363" t="str">
            <v>From M1B to M2B - 20°</v>
          </cell>
          <cell r="J5363" t="str">
            <v>IE3</v>
          </cell>
          <cell r="K5363" t="str">
            <v>230/400</v>
          </cell>
          <cell r="L5363">
            <v>50</v>
          </cell>
          <cell r="M5363" t="str">
            <v>13,8/7,9</v>
          </cell>
          <cell r="N5363">
            <v>65</v>
          </cell>
          <cell r="O5363" t="str">
            <v>155(F)</v>
          </cell>
          <cell r="P5363" t="str">
            <v>0°</v>
          </cell>
          <cell r="Q5363" t="str">
            <v>TF</v>
          </cell>
          <cell r="R5363" t="str">
            <v>-</v>
          </cell>
          <cell r="S5363" t="str">
            <v>-</v>
          </cell>
          <cell r="T5363" t="str">
            <v>-</v>
          </cell>
          <cell r="U5363" t="str">
            <v>-</v>
          </cell>
          <cell r="V5363" t="str">
            <v>FC</v>
          </cell>
          <cell r="W5363" t="str">
            <v>-</v>
          </cell>
          <cell r="X5363" t="str">
            <v>CLP 220 (-15/+40°C)</v>
          </cell>
          <cell r="Y5363" t="str">
            <v>KH97DRN112M4 /TF</v>
          </cell>
          <cell r="Z5363" t="str">
            <v>SEW</v>
          </cell>
          <cell r="AB5363" t="str">
            <v>-</v>
          </cell>
          <cell r="AF5363">
            <v>14</v>
          </cell>
          <cell r="AG5363" t="str">
            <v>DRN112M4</v>
          </cell>
          <cell r="AH5363" t="str">
            <v>KH97-DRN112M4B0-X</v>
          </cell>
        </row>
        <row r="5364">
          <cell r="A5364" t="str">
            <v>MR005353</v>
          </cell>
          <cell r="B5364" t="str">
            <v>MR</v>
          </cell>
          <cell r="C5364">
            <v>5.5</v>
          </cell>
          <cell r="D5364">
            <v>6.6</v>
          </cell>
          <cell r="E5364" t="str">
            <v>R137</v>
          </cell>
          <cell r="F5364">
            <v>8000</v>
          </cell>
          <cell r="G5364">
            <v>222.6</v>
          </cell>
          <cell r="H5364">
            <v>1</v>
          </cell>
          <cell r="I5364" t="str">
            <v>M1</v>
          </cell>
          <cell r="J5364" t="str">
            <v>IE3</v>
          </cell>
          <cell r="K5364" t="str">
            <v>230/400</v>
          </cell>
          <cell r="L5364">
            <v>50</v>
          </cell>
          <cell r="M5364" t="str">
            <v>19,3/11,1</v>
          </cell>
          <cell r="N5364">
            <v>65</v>
          </cell>
          <cell r="O5364" t="str">
            <v>155(F)</v>
          </cell>
          <cell r="P5364" t="str">
            <v>270°</v>
          </cell>
          <cell r="Q5364" t="str">
            <v>TF</v>
          </cell>
          <cell r="R5364" t="str">
            <v>V(VE)</v>
          </cell>
          <cell r="S5364" t="str">
            <v>-</v>
          </cell>
          <cell r="T5364" t="str">
            <v>-</v>
          </cell>
          <cell r="U5364" t="str">
            <v>-</v>
          </cell>
          <cell r="V5364" t="str">
            <v>FC</v>
          </cell>
          <cell r="W5364" t="str">
            <v>-</v>
          </cell>
          <cell r="X5364" t="str">
            <v>CLP 220 (-15/+40°C)</v>
          </cell>
          <cell r="Y5364" t="str">
            <v>R137DRN132S4 /TF/V</v>
          </cell>
          <cell r="Z5364" t="str">
            <v>SEW</v>
          </cell>
          <cell r="AB5364" t="str">
            <v>-</v>
          </cell>
          <cell r="AF5364">
            <v>6.6</v>
          </cell>
          <cell r="AG5364" t="str">
            <v>DRN132S4</v>
          </cell>
          <cell r="AH5364" t="str">
            <v>R137-DRN132S4270-X#</v>
          </cell>
        </row>
        <row r="5365">
          <cell r="A5365" t="str">
            <v>MR005354</v>
          </cell>
          <cell r="B5365" t="str">
            <v>MR</v>
          </cell>
          <cell r="C5365">
            <v>4</v>
          </cell>
          <cell r="D5365">
            <v>14</v>
          </cell>
          <cell r="E5365" t="str">
            <v>KH97</v>
          </cell>
          <cell r="F5365">
            <v>2740</v>
          </cell>
          <cell r="G5365">
            <v>105.13</v>
          </cell>
          <cell r="H5365">
            <v>1.55</v>
          </cell>
          <cell r="I5365" t="str">
            <v>From M1A to M2A - 35°</v>
          </cell>
          <cell r="J5365" t="str">
            <v>IE3</v>
          </cell>
          <cell r="K5365" t="str">
            <v>230/400</v>
          </cell>
          <cell r="L5365">
            <v>50</v>
          </cell>
          <cell r="M5365" t="str">
            <v>13,8/7,9</v>
          </cell>
          <cell r="N5365">
            <v>65</v>
          </cell>
          <cell r="O5365" t="str">
            <v>155(F)</v>
          </cell>
          <cell r="P5365" t="str">
            <v>180°</v>
          </cell>
          <cell r="Q5365" t="str">
            <v>TF</v>
          </cell>
          <cell r="R5365" t="str">
            <v>V(VE)</v>
          </cell>
          <cell r="S5365" t="str">
            <v>-</v>
          </cell>
          <cell r="T5365" t="str">
            <v>-</v>
          </cell>
          <cell r="U5365" t="str">
            <v>-</v>
          </cell>
          <cell r="V5365" t="str">
            <v>FC</v>
          </cell>
          <cell r="W5365" t="str">
            <v>-</v>
          </cell>
          <cell r="X5365" t="str">
            <v>CLP 220 (-15/+40°C)</v>
          </cell>
          <cell r="Y5365" t="str">
            <v>KH97DRN112M4 /TF/V</v>
          </cell>
          <cell r="Z5365" t="str">
            <v>SEW</v>
          </cell>
          <cell r="AB5365" t="str">
            <v>-</v>
          </cell>
          <cell r="AF5365">
            <v>14</v>
          </cell>
          <cell r="AG5365" t="str">
            <v>DRN112M4</v>
          </cell>
          <cell r="AH5365" t="str">
            <v>KH97-DRN112M4A180-X#</v>
          </cell>
        </row>
        <row r="5366">
          <cell r="A5366" t="str">
            <v>MR005355</v>
          </cell>
          <cell r="B5366" t="str">
            <v>MR</v>
          </cell>
          <cell r="C5366">
            <v>4</v>
          </cell>
          <cell r="D5366">
            <v>14</v>
          </cell>
          <cell r="E5366" t="str">
            <v>KH97</v>
          </cell>
          <cell r="F5366">
            <v>2740</v>
          </cell>
          <cell r="G5366">
            <v>105.13</v>
          </cell>
          <cell r="H5366">
            <v>1.55</v>
          </cell>
          <cell r="I5366" t="str">
            <v>From M1B to M2B - 35°</v>
          </cell>
          <cell r="J5366" t="str">
            <v>IE3</v>
          </cell>
          <cell r="K5366" t="str">
            <v>230/400</v>
          </cell>
          <cell r="L5366">
            <v>50</v>
          </cell>
          <cell r="M5366" t="str">
            <v>13,8/7,9</v>
          </cell>
          <cell r="N5366">
            <v>65</v>
          </cell>
          <cell r="O5366" t="str">
            <v>155(F)</v>
          </cell>
          <cell r="P5366" t="str">
            <v>0°</v>
          </cell>
          <cell r="Q5366" t="str">
            <v>TF</v>
          </cell>
          <cell r="R5366" t="str">
            <v>V(VE)</v>
          </cell>
          <cell r="S5366" t="str">
            <v>-</v>
          </cell>
          <cell r="T5366" t="str">
            <v>-</v>
          </cell>
          <cell r="U5366" t="str">
            <v>-</v>
          </cell>
          <cell r="V5366" t="str">
            <v>FC</v>
          </cell>
          <cell r="W5366" t="str">
            <v>-</v>
          </cell>
          <cell r="X5366" t="str">
            <v>CLP 220 (-15/+40°C)</v>
          </cell>
          <cell r="Y5366" t="str">
            <v>KH97DRN112M4 /TF/V</v>
          </cell>
          <cell r="Z5366" t="str">
            <v>SEW</v>
          </cell>
          <cell r="AB5366" t="str">
            <v>-</v>
          </cell>
          <cell r="AF5366">
            <v>14</v>
          </cell>
          <cell r="AG5366" t="str">
            <v>DRN112M4</v>
          </cell>
          <cell r="AH5366" t="str">
            <v>KH97-DRN112M4B0-X#</v>
          </cell>
        </row>
        <row r="5367">
          <cell r="A5367" t="str">
            <v>MR005356</v>
          </cell>
          <cell r="B5367" t="str">
            <v>MR</v>
          </cell>
          <cell r="C5367">
            <v>5.5</v>
          </cell>
          <cell r="D5367">
            <v>14</v>
          </cell>
          <cell r="E5367" t="str">
            <v>KH97</v>
          </cell>
          <cell r="F5367">
            <v>3770</v>
          </cell>
          <cell r="G5367">
            <v>105.13</v>
          </cell>
          <cell r="H5367">
            <v>1.1499999999999999</v>
          </cell>
          <cell r="I5367" t="str">
            <v>From M1A to M2A - 35°</v>
          </cell>
          <cell r="J5367" t="str">
            <v>IE3</v>
          </cell>
          <cell r="K5367" t="str">
            <v>230/400</v>
          </cell>
          <cell r="L5367">
            <v>50</v>
          </cell>
          <cell r="M5367" t="str">
            <v>19,3/11,1</v>
          </cell>
          <cell r="N5367">
            <v>65</v>
          </cell>
          <cell r="O5367" t="str">
            <v>155(F)</v>
          </cell>
          <cell r="P5367" t="str">
            <v>180°</v>
          </cell>
          <cell r="Q5367" t="str">
            <v>TF</v>
          </cell>
          <cell r="R5367" t="str">
            <v>V(VE)</v>
          </cell>
          <cell r="S5367" t="str">
            <v>-</v>
          </cell>
          <cell r="T5367" t="str">
            <v>-</v>
          </cell>
          <cell r="U5367" t="str">
            <v>-</v>
          </cell>
          <cell r="V5367" t="str">
            <v>FC</v>
          </cell>
          <cell r="W5367" t="str">
            <v>-</v>
          </cell>
          <cell r="X5367" t="str">
            <v>CLP 220 (-15/+40°C)</v>
          </cell>
          <cell r="Y5367" t="str">
            <v>KH97DRN132S4 /TF/V</v>
          </cell>
          <cell r="Z5367" t="str">
            <v>SEW</v>
          </cell>
          <cell r="AB5367" t="str">
            <v>-</v>
          </cell>
          <cell r="AF5367">
            <v>14</v>
          </cell>
          <cell r="AG5367" t="str">
            <v>DRN132S4</v>
          </cell>
          <cell r="AH5367" t="str">
            <v>KH97-DRN132S4A180-X#</v>
          </cell>
        </row>
        <row r="5368">
          <cell r="A5368" t="str">
            <v>MR005357</v>
          </cell>
          <cell r="B5368" t="str">
            <v>MR</v>
          </cell>
          <cell r="C5368">
            <v>0.55000000000000004</v>
          </cell>
          <cell r="D5368">
            <v>3.9</v>
          </cell>
          <cell r="E5368" t="str">
            <v>KA77R37</v>
          </cell>
          <cell r="F5368">
            <v>1210</v>
          </cell>
          <cell r="G5368">
            <v>367</v>
          </cell>
          <cell r="H5368">
            <v>1.25</v>
          </cell>
          <cell r="I5368" t="str">
            <v>M3B</v>
          </cell>
          <cell r="J5368" t="str">
            <v>IE3</v>
          </cell>
          <cell r="K5368" t="str">
            <v>230/400</v>
          </cell>
          <cell r="L5368">
            <v>50</v>
          </cell>
          <cell r="M5368" t="str">
            <v>2,25/1,29</v>
          </cell>
          <cell r="N5368">
            <v>65</v>
          </cell>
          <cell r="O5368" t="str">
            <v>155(F)</v>
          </cell>
          <cell r="P5368" t="str">
            <v>0°</v>
          </cell>
          <cell r="Q5368" t="str">
            <v>-</v>
          </cell>
          <cell r="R5368" t="str">
            <v>-</v>
          </cell>
          <cell r="S5368" t="str">
            <v>-</v>
          </cell>
          <cell r="T5368" t="str">
            <v>BEHF</v>
          </cell>
          <cell r="U5368" t="str">
            <v>T</v>
          </cell>
          <cell r="V5368" t="str">
            <v>D+R</v>
          </cell>
          <cell r="W5368" t="str">
            <v>-</v>
          </cell>
          <cell r="X5368" t="str">
            <v>CLP 220 (-15/+40°C)</v>
          </cell>
          <cell r="Y5368" t="str">
            <v>KA77R37/T DRN80MK4 /BEHF</v>
          </cell>
          <cell r="Z5368" t="str">
            <v>SEW</v>
          </cell>
          <cell r="AB5368" t="str">
            <v>-</v>
          </cell>
          <cell r="AF5368">
            <v>3.9</v>
          </cell>
          <cell r="AG5368" t="str">
            <v>DRN80MK4</v>
          </cell>
          <cell r="AH5368" t="str">
            <v>KA77R37T-DRN80MK4B0-X</v>
          </cell>
        </row>
        <row r="5369">
          <cell r="A5369" t="str">
            <v>MR005358</v>
          </cell>
          <cell r="B5369" t="str">
            <v>MR</v>
          </cell>
          <cell r="C5369">
            <v>0.55000000000000004</v>
          </cell>
          <cell r="D5369">
            <v>8.4</v>
          </cell>
          <cell r="E5369" t="str">
            <v>iC 773</v>
          </cell>
          <cell r="F5369">
            <v>623</v>
          </cell>
          <cell r="G5369">
            <v>166.59</v>
          </cell>
          <cell r="H5369">
            <v>1.5</v>
          </cell>
          <cell r="I5369" t="str">
            <v>M1</v>
          </cell>
          <cell r="J5369" t="str">
            <v>IE3</v>
          </cell>
          <cell r="K5369">
            <v>400</v>
          </cell>
          <cell r="L5369">
            <v>50</v>
          </cell>
          <cell r="N5369">
            <v>55</v>
          </cell>
          <cell r="O5369" t="str">
            <v>155(F)</v>
          </cell>
          <cell r="P5369" t="str">
            <v>0°</v>
          </cell>
          <cell r="Q5369" t="str">
            <v>-</v>
          </cell>
          <cell r="R5369" t="str">
            <v>-</v>
          </cell>
          <cell r="S5369" t="str">
            <v>-</v>
          </cell>
          <cell r="T5369" t="str">
            <v>-</v>
          </cell>
          <cell r="U5369" t="str">
            <v>-</v>
          </cell>
          <cell r="V5369" t="str">
            <v>-</v>
          </cell>
          <cell r="W5369" t="str">
            <v>-</v>
          </cell>
          <cell r="X5369" t="str">
            <v>-</v>
          </cell>
          <cell r="Y5369" t="str">
            <v>iC 77380A 4 TB2</v>
          </cell>
          <cell r="Z5369" t="str">
            <v>ROSSI</v>
          </cell>
          <cell r="AA5369" t="str">
            <v>C3</v>
          </cell>
          <cell r="AB5369" t="str">
            <v>-</v>
          </cell>
          <cell r="AF5369">
            <v>1500</v>
          </cell>
          <cell r="AG5369" t="str">
            <v>80A 4 TB2</v>
          </cell>
          <cell r="AH5369" t="str">
            <v>iC R 773 PE B3 B20C HB2 80A 4 TB2.ipt</v>
          </cell>
        </row>
        <row r="5370">
          <cell r="A5370" t="str">
            <v>MR005359</v>
          </cell>
          <cell r="B5370" t="str">
            <v>MR</v>
          </cell>
          <cell r="C5370">
            <v>0.75</v>
          </cell>
          <cell r="D5370">
            <v>30</v>
          </cell>
          <cell r="E5370" t="str">
            <v>R47</v>
          </cell>
          <cell r="F5370">
            <v>235</v>
          </cell>
          <cell r="G5370">
            <v>47.75</v>
          </cell>
          <cell r="H5370">
            <v>1.25</v>
          </cell>
          <cell r="I5370" t="str">
            <v>M1</v>
          </cell>
          <cell r="J5370" t="str">
            <v>IE3</v>
          </cell>
          <cell r="K5370" t="str">
            <v>230/400</v>
          </cell>
          <cell r="L5370">
            <v>50</v>
          </cell>
          <cell r="M5370" t="str">
            <v>3,05/1,75</v>
          </cell>
          <cell r="N5370">
            <v>65</v>
          </cell>
          <cell r="O5370" t="str">
            <v>155(F)</v>
          </cell>
          <cell r="P5370" t="str">
            <v>270°</v>
          </cell>
          <cell r="Q5370" t="str">
            <v>TF</v>
          </cell>
          <cell r="R5370" t="str">
            <v>-</v>
          </cell>
          <cell r="S5370" t="str">
            <v>-</v>
          </cell>
          <cell r="T5370" t="str">
            <v>BEHF</v>
          </cell>
          <cell r="U5370" t="str">
            <v>-</v>
          </cell>
          <cell r="V5370" t="str">
            <v>D+R</v>
          </cell>
          <cell r="W5370" t="str">
            <v>-</v>
          </cell>
          <cell r="X5370" t="str">
            <v>CLP 220 (-15/+40°C)</v>
          </cell>
          <cell r="Y5370" t="str">
            <v>R47DRN80M4 /BEHF /TF</v>
          </cell>
          <cell r="Z5370" t="str">
            <v>SEW</v>
          </cell>
          <cell r="AB5370" t="str">
            <v>-</v>
          </cell>
          <cell r="AF5370">
            <v>30</v>
          </cell>
          <cell r="AG5370" t="str">
            <v>DRN80M4</v>
          </cell>
          <cell r="AH5370" t="str">
            <v>R47-DRN80M4270-X</v>
          </cell>
        </row>
        <row r="5371">
          <cell r="A5371" t="str">
            <v>MR005360</v>
          </cell>
          <cell r="B5371" t="str">
            <v>-</v>
          </cell>
          <cell r="C5371" t="str">
            <v>-</v>
          </cell>
          <cell r="E5371" t="str">
            <v>-</v>
          </cell>
          <cell r="N5371" t="str">
            <v>-</v>
          </cell>
          <cell r="O5371" t="str">
            <v>-</v>
          </cell>
          <cell r="P5371" t="str">
            <v>-</v>
          </cell>
          <cell r="Q5371" t="str">
            <v>-</v>
          </cell>
          <cell r="R5371" t="str">
            <v>-</v>
          </cell>
          <cell r="S5371" t="str">
            <v>-</v>
          </cell>
          <cell r="T5371" t="str">
            <v>-</v>
          </cell>
          <cell r="U5371" t="str">
            <v>-</v>
          </cell>
          <cell r="V5371" t="str">
            <v>-</v>
          </cell>
          <cell r="W5371" t="str">
            <v>-</v>
          </cell>
          <cell r="X5371" t="str">
            <v>(if ATEX, synthetic only!)</v>
          </cell>
          <cell r="Y5371" t="str">
            <v>--</v>
          </cell>
          <cell r="AB5371" t="str">
            <v>-</v>
          </cell>
          <cell r="AE5371" t="str">
            <v>Per R007644 (ARCEMI)</v>
          </cell>
          <cell r="AF5371">
            <v>0</v>
          </cell>
          <cell r="AG5371" t="str">
            <v>-</v>
          </cell>
          <cell r="AH5371" t="str">
            <v>-----X</v>
          </cell>
        </row>
        <row r="5372">
          <cell r="A5372" t="str">
            <v>MR005361</v>
          </cell>
          <cell r="B5372" t="str">
            <v>-</v>
          </cell>
          <cell r="C5372" t="str">
            <v>-</v>
          </cell>
          <cell r="E5372" t="str">
            <v>-</v>
          </cell>
          <cell r="N5372" t="str">
            <v>-</v>
          </cell>
          <cell r="O5372" t="str">
            <v>-</v>
          </cell>
          <cell r="P5372" t="str">
            <v>-</v>
          </cell>
          <cell r="Q5372" t="str">
            <v>-</v>
          </cell>
          <cell r="R5372" t="str">
            <v>-</v>
          </cell>
          <cell r="S5372" t="str">
            <v>-</v>
          </cell>
          <cell r="T5372" t="str">
            <v>-</v>
          </cell>
          <cell r="U5372" t="str">
            <v>-</v>
          </cell>
          <cell r="V5372" t="str">
            <v>-</v>
          </cell>
          <cell r="W5372" t="str">
            <v>-</v>
          </cell>
          <cell r="X5372" t="str">
            <v>(if ATEX, synthetic only!)</v>
          </cell>
          <cell r="Y5372" t="str">
            <v>--</v>
          </cell>
          <cell r="AB5372" t="str">
            <v>-</v>
          </cell>
          <cell r="AE5372" t="str">
            <v>Motore per ET00688 (ARCEMI)</v>
          </cell>
          <cell r="AF5372">
            <v>0</v>
          </cell>
          <cell r="AG5372" t="str">
            <v>-</v>
          </cell>
          <cell r="AH5372" t="str">
            <v>-----X</v>
          </cell>
        </row>
        <row r="5373">
          <cell r="A5373" t="str">
            <v>MR005362</v>
          </cell>
          <cell r="B5373" t="str">
            <v>-</v>
          </cell>
          <cell r="C5373" t="str">
            <v>-</v>
          </cell>
          <cell r="E5373" t="str">
            <v>-</v>
          </cell>
          <cell r="N5373" t="str">
            <v>-</v>
          </cell>
          <cell r="O5373" t="str">
            <v>-</v>
          </cell>
          <cell r="P5373" t="str">
            <v>-</v>
          </cell>
          <cell r="Q5373" t="str">
            <v>-</v>
          </cell>
          <cell r="R5373" t="str">
            <v>-</v>
          </cell>
          <cell r="S5373" t="str">
            <v>-</v>
          </cell>
          <cell r="T5373" t="str">
            <v>-</v>
          </cell>
          <cell r="U5373" t="str">
            <v>-</v>
          </cell>
          <cell r="V5373" t="str">
            <v>-</v>
          </cell>
          <cell r="W5373" t="str">
            <v>-</v>
          </cell>
          <cell r="X5373" t="str">
            <v>(if ATEX, synthetic only!)</v>
          </cell>
          <cell r="Y5373" t="str">
            <v>--</v>
          </cell>
          <cell r="AB5373" t="str">
            <v>-</v>
          </cell>
          <cell r="AE5373" t="str">
            <v>Riduttore per ET00688 (ARCEMI)</v>
          </cell>
          <cell r="AF5373">
            <v>0</v>
          </cell>
          <cell r="AG5373" t="str">
            <v>-</v>
          </cell>
          <cell r="AH5373" t="str">
            <v>-----X</v>
          </cell>
        </row>
        <row r="5374">
          <cell r="A5374" t="str">
            <v>MR005363</v>
          </cell>
          <cell r="B5374" t="str">
            <v>MR</v>
          </cell>
          <cell r="C5374">
            <v>30</v>
          </cell>
          <cell r="D5374">
            <v>15</v>
          </cell>
          <cell r="E5374" t="str">
            <v>KH157</v>
          </cell>
          <cell r="F5374">
            <v>19400</v>
          </cell>
          <cell r="G5374">
            <v>100.22</v>
          </cell>
          <cell r="H5374">
            <v>1.05</v>
          </cell>
          <cell r="I5374" t="str">
            <v>From M1B to M4B - 50°</v>
          </cell>
          <cell r="J5374" t="str">
            <v>IE3</v>
          </cell>
          <cell r="K5374" t="str">
            <v>230/400</v>
          </cell>
          <cell r="L5374">
            <v>50</v>
          </cell>
          <cell r="M5374" t="str">
            <v>97/56</v>
          </cell>
          <cell r="N5374">
            <v>55</v>
          </cell>
          <cell r="O5374" t="str">
            <v>155(F)</v>
          </cell>
          <cell r="P5374" t="str">
            <v>270°</v>
          </cell>
          <cell r="Q5374" t="str">
            <v>TF</v>
          </cell>
          <cell r="R5374" t="str">
            <v>V(VE)</v>
          </cell>
          <cell r="S5374" t="str">
            <v>-</v>
          </cell>
          <cell r="T5374" t="str">
            <v>-</v>
          </cell>
          <cell r="U5374" t="str">
            <v>-</v>
          </cell>
          <cell r="V5374" t="str">
            <v>FC</v>
          </cell>
          <cell r="W5374" t="str">
            <v>-</v>
          </cell>
          <cell r="X5374" t="str">
            <v>CLP 220 (-15/+40°C)</v>
          </cell>
          <cell r="Y5374" t="str">
            <v>KH157DRN200L4 /TF/V</v>
          </cell>
          <cell r="Z5374" t="str">
            <v>SEW</v>
          </cell>
          <cell r="AB5374" t="str">
            <v>-</v>
          </cell>
          <cell r="AF5374">
            <v>15</v>
          </cell>
          <cell r="AG5374" t="str">
            <v>DRN200L4</v>
          </cell>
          <cell r="AH5374" t="str">
            <v>KH157-DRN200L4B270-X#</v>
          </cell>
        </row>
        <row r="5375">
          <cell r="A5375" t="str">
            <v>MR005364</v>
          </cell>
          <cell r="B5375" t="str">
            <v>MR</v>
          </cell>
          <cell r="C5375">
            <v>45</v>
          </cell>
          <cell r="D5375">
            <v>13</v>
          </cell>
          <cell r="E5375" t="str">
            <v>KH167</v>
          </cell>
          <cell r="F5375">
            <v>31800</v>
          </cell>
          <cell r="G5375">
            <v>9.83</v>
          </cell>
          <cell r="H5375">
            <v>1.1000000000000001</v>
          </cell>
          <cell r="I5375" t="str">
            <v>From M1A to M4A - 70°</v>
          </cell>
          <cell r="J5375" t="str">
            <v>IE3</v>
          </cell>
          <cell r="K5375" t="str">
            <v>230/400</v>
          </cell>
          <cell r="L5375">
            <v>50</v>
          </cell>
          <cell r="M5375" t="str">
            <v>141/81</v>
          </cell>
          <cell r="N5375">
            <v>55</v>
          </cell>
          <cell r="O5375" t="str">
            <v>155(F)</v>
          </cell>
          <cell r="P5375" t="str">
            <v>270°</v>
          </cell>
          <cell r="Q5375" t="str">
            <v>TF</v>
          </cell>
          <cell r="R5375" t="str">
            <v>V(VE)</v>
          </cell>
          <cell r="S5375" t="str">
            <v>-</v>
          </cell>
          <cell r="T5375" t="str">
            <v>-</v>
          </cell>
          <cell r="U5375" t="str">
            <v>-</v>
          </cell>
          <cell r="V5375" t="str">
            <v>FC</v>
          </cell>
          <cell r="W5375" t="str">
            <v>-</v>
          </cell>
          <cell r="X5375" t="str">
            <v>CLP 220 (-15/+40°C)</v>
          </cell>
          <cell r="Y5375" t="str">
            <v>KH167DRN225M4 /TF/V</v>
          </cell>
          <cell r="Z5375" t="str">
            <v>SEW</v>
          </cell>
          <cell r="AB5375" t="str">
            <v>-</v>
          </cell>
          <cell r="AF5375">
            <v>13</v>
          </cell>
          <cell r="AG5375" t="str">
            <v>DRN225M4</v>
          </cell>
          <cell r="AH5375" t="str">
            <v>KH167-DRN225M4A270-X#</v>
          </cell>
        </row>
        <row r="5376">
          <cell r="A5376" t="str">
            <v>MR005365</v>
          </cell>
          <cell r="B5376" t="str">
            <v>MR</v>
          </cell>
          <cell r="C5376">
            <v>45</v>
          </cell>
          <cell r="D5376">
            <v>13</v>
          </cell>
          <cell r="E5376" t="str">
            <v>KH167</v>
          </cell>
          <cell r="F5376">
            <v>31800</v>
          </cell>
          <cell r="G5376">
            <v>9.83</v>
          </cell>
          <cell r="H5376">
            <v>1.1000000000000001</v>
          </cell>
          <cell r="I5376" t="str">
            <v>From M1B to M4B - 70°</v>
          </cell>
          <cell r="J5376" t="str">
            <v>IE3</v>
          </cell>
          <cell r="K5376" t="str">
            <v>230/400</v>
          </cell>
          <cell r="L5376">
            <v>50</v>
          </cell>
          <cell r="M5376" t="str">
            <v>141/81</v>
          </cell>
          <cell r="N5376">
            <v>55</v>
          </cell>
          <cell r="O5376" t="str">
            <v>155(F)</v>
          </cell>
          <cell r="P5376" t="str">
            <v>270°</v>
          </cell>
          <cell r="Q5376" t="str">
            <v>TF</v>
          </cell>
          <cell r="R5376" t="str">
            <v>V(VE)</v>
          </cell>
          <cell r="S5376" t="str">
            <v>-</v>
          </cell>
          <cell r="T5376" t="str">
            <v>-</v>
          </cell>
          <cell r="U5376" t="str">
            <v>-</v>
          </cell>
          <cell r="V5376" t="str">
            <v>FC</v>
          </cell>
          <cell r="W5376" t="str">
            <v>-</v>
          </cell>
          <cell r="X5376" t="str">
            <v>CLP 220 (-15/+40°C)</v>
          </cell>
          <cell r="Y5376" t="str">
            <v>KH167DRN225M4 /TF/V</v>
          </cell>
          <cell r="Z5376" t="str">
            <v>SEW</v>
          </cell>
          <cell r="AB5376" t="str">
            <v>-</v>
          </cell>
          <cell r="AF5376">
            <v>13</v>
          </cell>
          <cell r="AG5376" t="str">
            <v>DRN225M4</v>
          </cell>
          <cell r="AH5376" t="str">
            <v>KH167-DRN225M4B270-X#</v>
          </cell>
        </row>
        <row r="5377">
          <cell r="A5377" t="str">
            <v>MR005366</v>
          </cell>
          <cell r="B5377" t="str">
            <v>MR</v>
          </cell>
          <cell r="C5377">
            <v>22</v>
          </cell>
          <cell r="D5377">
            <v>12</v>
          </cell>
          <cell r="E5377" t="str">
            <v>KH157</v>
          </cell>
          <cell r="F5377">
            <v>17400</v>
          </cell>
          <cell r="G5377">
            <v>122.39</v>
          </cell>
          <cell r="H5377">
            <v>1.1499999999999999</v>
          </cell>
          <cell r="I5377" t="str">
            <v>M4A</v>
          </cell>
          <cell r="J5377" t="str">
            <v>IE3</v>
          </cell>
          <cell r="K5377" t="str">
            <v>230/400</v>
          </cell>
          <cell r="L5377">
            <v>50</v>
          </cell>
          <cell r="M5377" t="str">
            <v>67/38,5</v>
          </cell>
          <cell r="N5377">
            <v>55</v>
          </cell>
          <cell r="O5377" t="str">
            <v>155(F)</v>
          </cell>
          <cell r="P5377" t="str">
            <v>270°</v>
          </cell>
          <cell r="Q5377" t="str">
            <v>TF</v>
          </cell>
          <cell r="R5377" t="str">
            <v>V(VE)</v>
          </cell>
          <cell r="S5377" t="str">
            <v>-</v>
          </cell>
          <cell r="T5377" t="str">
            <v>-</v>
          </cell>
          <cell r="U5377" t="str">
            <v>-</v>
          </cell>
          <cell r="V5377" t="str">
            <v>FC</v>
          </cell>
          <cell r="W5377" t="str">
            <v>-</v>
          </cell>
          <cell r="X5377" t="str">
            <v>CLP 220 (-15/+40°C)</v>
          </cell>
          <cell r="Y5377" t="str">
            <v>KH157DRN180L4 /TF/V</v>
          </cell>
          <cell r="Z5377" t="str">
            <v>SEW</v>
          </cell>
          <cell r="AB5377" t="str">
            <v>-</v>
          </cell>
          <cell r="AF5377">
            <v>12</v>
          </cell>
          <cell r="AG5377" t="str">
            <v>DRN180L4</v>
          </cell>
          <cell r="AH5377" t="str">
            <v>KH157-DRN180L4A270-X#</v>
          </cell>
        </row>
        <row r="5378">
          <cell r="A5378" t="str">
            <v>MR005367</v>
          </cell>
          <cell r="B5378" t="str">
            <v>MR</v>
          </cell>
          <cell r="C5378">
            <v>22</v>
          </cell>
          <cell r="D5378">
            <v>12</v>
          </cell>
          <cell r="E5378" t="str">
            <v>KH157</v>
          </cell>
          <cell r="F5378">
            <v>17400</v>
          </cell>
          <cell r="G5378">
            <v>122.39</v>
          </cell>
          <cell r="H5378">
            <v>1.1499999999999999</v>
          </cell>
          <cell r="I5378" t="str">
            <v>M4B</v>
          </cell>
          <cell r="J5378" t="str">
            <v>IE3</v>
          </cell>
          <cell r="K5378" t="str">
            <v>230/400</v>
          </cell>
          <cell r="L5378">
            <v>50</v>
          </cell>
          <cell r="M5378" t="str">
            <v>67/38,5</v>
          </cell>
          <cell r="N5378">
            <v>55</v>
          </cell>
          <cell r="O5378" t="str">
            <v>155(F)</v>
          </cell>
          <cell r="P5378" t="str">
            <v>270°</v>
          </cell>
          <cell r="Q5378" t="str">
            <v>TF</v>
          </cell>
          <cell r="R5378" t="str">
            <v>V(VE)</v>
          </cell>
          <cell r="S5378" t="str">
            <v>-</v>
          </cell>
          <cell r="T5378" t="str">
            <v>-</v>
          </cell>
          <cell r="U5378" t="str">
            <v>-</v>
          </cell>
          <cell r="V5378" t="str">
            <v>FC</v>
          </cell>
          <cell r="W5378" t="str">
            <v>-</v>
          </cell>
          <cell r="X5378" t="str">
            <v>CLP 220 (-15/+40°C)</v>
          </cell>
          <cell r="Y5378" t="str">
            <v>KH157DRN180L4 /TF/V</v>
          </cell>
          <cell r="Z5378" t="str">
            <v>SEW</v>
          </cell>
          <cell r="AB5378" t="str">
            <v>-</v>
          </cell>
          <cell r="AF5378">
            <v>12</v>
          </cell>
          <cell r="AG5378" t="str">
            <v>DRN180L4</v>
          </cell>
          <cell r="AH5378" t="str">
            <v>KH157-DRN180L4B270-X#</v>
          </cell>
        </row>
        <row r="5379">
          <cell r="A5379" t="str">
            <v>MR005368</v>
          </cell>
          <cell r="B5379" t="str">
            <v>MR</v>
          </cell>
          <cell r="C5379">
            <v>18.5</v>
          </cell>
          <cell r="D5379">
            <v>16</v>
          </cell>
          <cell r="E5379" t="str">
            <v>KH127</v>
          </cell>
          <cell r="F5379">
            <v>10700</v>
          </cell>
          <cell r="G5379">
            <v>89.89</v>
          </cell>
          <cell r="H5379">
            <v>1.2</v>
          </cell>
          <cell r="I5379" t="str">
            <v>From M1B to M4B - 85°</v>
          </cell>
          <cell r="J5379" t="str">
            <v>IE3</v>
          </cell>
          <cell r="K5379" t="str">
            <v>230/400</v>
          </cell>
          <cell r="L5379">
            <v>50</v>
          </cell>
          <cell r="M5379" t="str">
            <v>58/33,5</v>
          </cell>
          <cell r="N5379">
            <v>55</v>
          </cell>
          <cell r="O5379" t="str">
            <v>155(F)</v>
          </cell>
          <cell r="P5379" t="str">
            <v>270°</v>
          </cell>
          <cell r="Q5379" t="str">
            <v>TF</v>
          </cell>
          <cell r="R5379" t="str">
            <v>-</v>
          </cell>
          <cell r="S5379" t="str">
            <v>-</v>
          </cell>
          <cell r="T5379" t="str">
            <v>-</v>
          </cell>
          <cell r="U5379" t="str">
            <v>-</v>
          </cell>
          <cell r="V5379" t="str">
            <v>SS</v>
          </cell>
          <cell r="W5379" t="str">
            <v>-</v>
          </cell>
          <cell r="X5379" t="str">
            <v>CLP 220 (-15/+40°C)</v>
          </cell>
          <cell r="Y5379" t="str">
            <v>KH127DRN180M4 /TF</v>
          </cell>
          <cell r="Z5379" t="str">
            <v>SEW</v>
          </cell>
          <cell r="AB5379" t="str">
            <v>-</v>
          </cell>
          <cell r="AF5379">
            <v>16</v>
          </cell>
          <cell r="AG5379" t="str">
            <v>DRN180M4</v>
          </cell>
          <cell r="AH5379" t="str">
            <v>KH127-DRN180M4B270-X</v>
          </cell>
        </row>
        <row r="5380">
          <cell r="A5380" t="str">
            <v>MR005369</v>
          </cell>
          <cell r="B5380" t="str">
            <v>MR</v>
          </cell>
          <cell r="C5380">
            <v>15</v>
          </cell>
          <cell r="D5380">
            <v>16</v>
          </cell>
          <cell r="E5380" t="str">
            <v>KH127</v>
          </cell>
          <cell r="F5380">
            <v>8730</v>
          </cell>
          <cell r="G5380">
            <v>89.89</v>
          </cell>
          <cell r="H5380">
            <v>1.5</v>
          </cell>
          <cell r="I5380" t="str">
            <v>From M1A to M4A - 60°</v>
          </cell>
          <cell r="J5380" t="str">
            <v>IE3</v>
          </cell>
          <cell r="K5380" t="str">
            <v>230/400</v>
          </cell>
          <cell r="L5380">
            <v>50</v>
          </cell>
          <cell r="M5380" t="str">
            <v>50/29</v>
          </cell>
          <cell r="N5380">
            <v>55</v>
          </cell>
          <cell r="O5380" t="str">
            <v>155(F)</v>
          </cell>
          <cell r="P5380" t="str">
            <v>270°</v>
          </cell>
          <cell r="Q5380" t="str">
            <v>TF</v>
          </cell>
          <cell r="R5380" t="str">
            <v>-</v>
          </cell>
          <cell r="S5380" t="str">
            <v>-</v>
          </cell>
          <cell r="T5380" t="str">
            <v>-</v>
          </cell>
          <cell r="U5380" t="str">
            <v>-</v>
          </cell>
          <cell r="V5380" t="str">
            <v>SS</v>
          </cell>
          <cell r="W5380" t="str">
            <v>-</v>
          </cell>
          <cell r="X5380" t="str">
            <v>CLP 220 (-15/+40°C)</v>
          </cell>
          <cell r="Y5380" t="str">
            <v>KH127DRN160L4 /TF</v>
          </cell>
          <cell r="Z5380" t="str">
            <v>SEW</v>
          </cell>
          <cell r="AB5380" t="str">
            <v>-</v>
          </cell>
          <cell r="AF5380">
            <v>16</v>
          </cell>
          <cell r="AG5380" t="str">
            <v>DRN160L4</v>
          </cell>
          <cell r="AH5380" t="str">
            <v>KH127-DRN160L4A270-X</v>
          </cell>
        </row>
        <row r="5381">
          <cell r="A5381" t="str">
            <v>MR005370</v>
          </cell>
          <cell r="B5381" t="str">
            <v>MR</v>
          </cell>
          <cell r="C5381">
            <v>15</v>
          </cell>
          <cell r="D5381">
            <v>16</v>
          </cell>
          <cell r="E5381" t="str">
            <v>KH127</v>
          </cell>
          <cell r="F5381">
            <v>8730</v>
          </cell>
          <cell r="G5381">
            <v>89.89</v>
          </cell>
          <cell r="H5381">
            <v>1.5</v>
          </cell>
          <cell r="I5381" t="str">
            <v>From M1B to M4B - 60°</v>
          </cell>
          <cell r="J5381" t="str">
            <v>IE3</v>
          </cell>
          <cell r="K5381" t="str">
            <v>230/400</v>
          </cell>
          <cell r="L5381">
            <v>50</v>
          </cell>
          <cell r="M5381" t="str">
            <v>50/29</v>
          </cell>
          <cell r="N5381">
            <v>55</v>
          </cell>
          <cell r="O5381" t="str">
            <v>155(F)</v>
          </cell>
          <cell r="P5381" t="str">
            <v>270°</v>
          </cell>
          <cell r="Q5381" t="str">
            <v>TF</v>
          </cell>
          <cell r="R5381" t="str">
            <v>-</v>
          </cell>
          <cell r="S5381" t="str">
            <v>-</v>
          </cell>
          <cell r="T5381" t="str">
            <v>-</v>
          </cell>
          <cell r="U5381" t="str">
            <v>-</v>
          </cell>
          <cell r="V5381" t="str">
            <v>SS</v>
          </cell>
          <cell r="W5381" t="str">
            <v>-</v>
          </cell>
          <cell r="X5381" t="str">
            <v>CLP 220 (-15/+40°C)</v>
          </cell>
          <cell r="Y5381" t="str">
            <v>KH127DRN160L4 /TF</v>
          </cell>
          <cell r="Z5381" t="str">
            <v>SEW</v>
          </cell>
          <cell r="AB5381" t="str">
            <v>-</v>
          </cell>
          <cell r="AF5381">
            <v>16</v>
          </cell>
          <cell r="AG5381" t="str">
            <v>DRN160L4</v>
          </cell>
          <cell r="AH5381" t="str">
            <v>KH127-DRN160L4B270-X</v>
          </cell>
        </row>
        <row r="5382">
          <cell r="A5382" t="str">
            <v>MR005371</v>
          </cell>
          <cell r="B5382" t="str">
            <v>MR</v>
          </cell>
          <cell r="C5382">
            <v>18.5</v>
          </cell>
          <cell r="D5382">
            <v>16</v>
          </cell>
          <cell r="E5382" t="str">
            <v>KH127</v>
          </cell>
          <cell r="F5382">
            <v>10700</v>
          </cell>
          <cell r="G5382">
            <v>89.89</v>
          </cell>
          <cell r="H5382">
            <v>1.2</v>
          </cell>
          <cell r="I5382" t="str">
            <v>From M1A to M4A - 55°</v>
          </cell>
          <cell r="J5382" t="str">
            <v>IE3</v>
          </cell>
          <cell r="K5382" t="str">
            <v>230/400</v>
          </cell>
          <cell r="L5382">
            <v>50</v>
          </cell>
          <cell r="M5382" t="str">
            <v>58/33,5</v>
          </cell>
          <cell r="N5382">
            <v>55</v>
          </cell>
          <cell r="O5382" t="str">
            <v>155(F)</v>
          </cell>
          <cell r="P5382" t="str">
            <v>270°</v>
          </cell>
          <cell r="Q5382" t="str">
            <v>TF</v>
          </cell>
          <cell r="R5382" t="str">
            <v>-</v>
          </cell>
          <cell r="S5382" t="str">
            <v>-</v>
          </cell>
          <cell r="T5382" t="str">
            <v>-</v>
          </cell>
          <cell r="U5382" t="str">
            <v>-</v>
          </cell>
          <cell r="V5382" t="str">
            <v>SS</v>
          </cell>
          <cell r="W5382" t="str">
            <v>-</v>
          </cell>
          <cell r="X5382" t="str">
            <v>CLP 220 (-15/+40°C)</v>
          </cell>
          <cell r="Y5382" t="str">
            <v>KH127DRN180M4 /TF</v>
          </cell>
          <cell r="Z5382" t="str">
            <v>SEW</v>
          </cell>
          <cell r="AB5382" t="str">
            <v>-</v>
          </cell>
          <cell r="AF5382">
            <v>16</v>
          </cell>
          <cell r="AG5382" t="str">
            <v>DRN180M4</v>
          </cell>
          <cell r="AH5382" t="str">
            <v>KH127-DRN180M4A270-X</v>
          </cell>
        </row>
        <row r="5383">
          <cell r="A5383" t="str">
            <v>MR005372</v>
          </cell>
          <cell r="B5383" t="str">
            <v>MR</v>
          </cell>
          <cell r="C5383">
            <v>18.5</v>
          </cell>
          <cell r="D5383">
            <v>16</v>
          </cell>
          <cell r="E5383" t="str">
            <v>KH127</v>
          </cell>
          <cell r="F5383">
            <v>10700</v>
          </cell>
          <cell r="G5383">
            <v>89.89</v>
          </cell>
          <cell r="H5383">
            <v>1.2</v>
          </cell>
          <cell r="I5383" t="str">
            <v>From M1B to M4B - 55°</v>
          </cell>
          <cell r="J5383" t="str">
            <v>IE3</v>
          </cell>
          <cell r="K5383" t="str">
            <v>230/400</v>
          </cell>
          <cell r="L5383">
            <v>50</v>
          </cell>
          <cell r="M5383" t="str">
            <v>58/33,5</v>
          </cell>
          <cell r="N5383">
            <v>55</v>
          </cell>
          <cell r="O5383" t="str">
            <v>155(F)</v>
          </cell>
          <cell r="P5383" t="str">
            <v>270°</v>
          </cell>
          <cell r="Q5383" t="str">
            <v>TF</v>
          </cell>
          <cell r="R5383" t="str">
            <v>-</v>
          </cell>
          <cell r="S5383" t="str">
            <v>-</v>
          </cell>
          <cell r="T5383" t="str">
            <v>-</v>
          </cell>
          <cell r="U5383" t="str">
            <v>-</v>
          </cell>
          <cell r="V5383" t="str">
            <v>SS</v>
          </cell>
          <cell r="W5383" t="str">
            <v>-</v>
          </cell>
          <cell r="X5383" t="str">
            <v>CLP 220 (-15/+40°C)</v>
          </cell>
          <cell r="Y5383" t="str">
            <v>KH127DRN180M4 /TF</v>
          </cell>
          <cell r="Z5383" t="str">
            <v>SEW</v>
          </cell>
          <cell r="AB5383" t="str">
            <v>-</v>
          </cell>
          <cell r="AF5383">
            <v>16</v>
          </cell>
          <cell r="AG5383" t="str">
            <v>DRN180M4</v>
          </cell>
          <cell r="AH5383" t="str">
            <v>KH127-DRN180M4B270-X</v>
          </cell>
        </row>
        <row r="5384">
          <cell r="A5384" t="str">
            <v>MR005373</v>
          </cell>
          <cell r="B5384" t="str">
            <v>MR</v>
          </cell>
          <cell r="C5384">
            <v>18.5</v>
          </cell>
          <cell r="D5384">
            <v>16</v>
          </cell>
          <cell r="E5384" t="str">
            <v>KH127</v>
          </cell>
          <cell r="F5384">
            <v>10700</v>
          </cell>
          <cell r="G5384">
            <v>89.89</v>
          </cell>
          <cell r="H5384">
            <v>1.2</v>
          </cell>
          <cell r="I5384" t="str">
            <v>From M1B to M4B - 50°</v>
          </cell>
          <cell r="J5384" t="str">
            <v>IE3</v>
          </cell>
          <cell r="K5384" t="str">
            <v>23/400</v>
          </cell>
          <cell r="L5384">
            <v>50</v>
          </cell>
          <cell r="M5384" t="str">
            <v>58/33,5</v>
          </cell>
          <cell r="N5384">
            <v>55</v>
          </cell>
          <cell r="O5384" t="str">
            <v>155(F)</v>
          </cell>
          <cell r="P5384" t="str">
            <v>270°</v>
          </cell>
          <cell r="Q5384" t="str">
            <v>TF</v>
          </cell>
          <cell r="R5384" t="str">
            <v>-</v>
          </cell>
          <cell r="S5384" t="str">
            <v>-</v>
          </cell>
          <cell r="T5384" t="str">
            <v>-</v>
          </cell>
          <cell r="U5384" t="str">
            <v>-</v>
          </cell>
          <cell r="V5384" t="str">
            <v>SS</v>
          </cell>
          <cell r="W5384" t="str">
            <v>-</v>
          </cell>
          <cell r="X5384" t="str">
            <v>CLP 220 (-15/+40°C)</v>
          </cell>
          <cell r="Y5384" t="str">
            <v>KH127DRN180M4 /TF</v>
          </cell>
          <cell r="Z5384" t="str">
            <v>SEW</v>
          </cell>
          <cell r="AB5384" t="str">
            <v>-</v>
          </cell>
          <cell r="AF5384">
            <v>16</v>
          </cell>
          <cell r="AG5384" t="str">
            <v>DRN180M4</v>
          </cell>
          <cell r="AH5384" t="str">
            <v>KH127-DRN180M4B270-X</v>
          </cell>
        </row>
        <row r="5385">
          <cell r="A5385" t="str">
            <v>MR005374</v>
          </cell>
          <cell r="B5385" t="str">
            <v>MR</v>
          </cell>
          <cell r="C5385">
            <v>15</v>
          </cell>
          <cell r="D5385">
            <v>16</v>
          </cell>
          <cell r="E5385" t="str">
            <v>KH127</v>
          </cell>
          <cell r="F5385">
            <v>8730</v>
          </cell>
          <cell r="G5385">
            <v>89.89</v>
          </cell>
          <cell r="H5385">
            <v>1.5</v>
          </cell>
          <cell r="I5385" t="str">
            <v>From M4A to M1A - 40°</v>
          </cell>
          <cell r="J5385" t="str">
            <v>IE3</v>
          </cell>
          <cell r="K5385">
            <v>400</v>
          </cell>
          <cell r="L5385">
            <v>50</v>
          </cell>
          <cell r="M5385">
            <v>33.5</v>
          </cell>
          <cell r="N5385">
            <v>65</v>
          </cell>
          <cell r="O5385" t="str">
            <v>155(F)</v>
          </cell>
          <cell r="P5385" t="str">
            <v>270°</v>
          </cell>
          <cell r="Q5385" t="str">
            <v>TF</v>
          </cell>
          <cell r="R5385" t="str">
            <v>V(VE)</v>
          </cell>
          <cell r="S5385" t="str">
            <v>-</v>
          </cell>
          <cell r="T5385" t="str">
            <v>-</v>
          </cell>
          <cell r="U5385" t="str">
            <v>-</v>
          </cell>
          <cell r="V5385" t="str">
            <v>FC</v>
          </cell>
          <cell r="W5385" t="str">
            <v>-</v>
          </cell>
          <cell r="X5385" t="str">
            <v>CLP (CC) VG 220 = -15° + 40°</v>
          </cell>
          <cell r="Y5385" t="str">
            <v>KH127DRN160L4 /TF/V</v>
          </cell>
          <cell r="Z5385" t="str">
            <v>SEW</v>
          </cell>
          <cell r="AB5385" t="str">
            <v>-</v>
          </cell>
          <cell r="AF5385">
            <v>16</v>
          </cell>
          <cell r="AG5385" t="str">
            <v>DRN160L4</v>
          </cell>
          <cell r="AH5385" t="str">
            <v>KH127-DRN160L4A270-X#</v>
          </cell>
        </row>
        <row r="5386">
          <cell r="A5386" t="str">
            <v>MR005375</v>
          </cell>
          <cell r="B5386" t="str">
            <v>MR</v>
          </cell>
          <cell r="C5386">
            <v>15</v>
          </cell>
          <cell r="D5386">
            <v>16</v>
          </cell>
          <cell r="E5386" t="str">
            <v>KH127</v>
          </cell>
          <cell r="F5386">
            <v>8730</v>
          </cell>
          <cell r="G5386">
            <v>89.89</v>
          </cell>
          <cell r="H5386">
            <v>1.5</v>
          </cell>
          <cell r="I5386" t="str">
            <v>From M4B to M1B - 40°</v>
          </cell>
          <cell r="J5386" t="str">
            <v>IE3</v>
          </cell>
          <cell r="K5386">
            <v>400</v>
          </cell>
          <cell r="L5386">
            <v>50</v>
          </cell>
          <cell r="M5386">
            <v>33.5</v>
          </cell>
          <cell r="N5386">
            <v>65</v>
          </cell>
          <cell r="O5386" t="str">
            <v>155(F)</v>
          </cell>
          <cell r="P5386" t="str">
            <v>270°</v>
          </cell>
          <cell r="Q5386" t="str">
            <v>TF</v>
          </cell>
          <cell r="R5386" t="str">
            <v>V(VE)</v>
          </cell>
          <cell r="S5386" t="str">
            <v>-</v>
          </cell>
          <cell r="T5386" t="str">
            <v>-</v>
          </cell>
          <cell r="U5386" t="str">
            <v>-</v>
          </cell>
          <cell r="V5386" t="str">
            <v>FC</v>
          </cell>
          <cell r="W5386" t="str">
            <v>-</v>
          </cell>
          <cell r="X5386" t="str">
            <v>CLP (CC) VG 220 = -15° + 40°</v>
          </cell>
          <cell r="Y5386" t="str">
            <v>KH127DRN160L4 /TF/V</v>
          </cell>
          <cell r="Z5386" t="str">
            <v>SEW</v>
          </cell>
          <cell r="AB5386" t="str">
            <v>-</v>
          </cell>
          <cell r="AF5386">
            <v>16</v>
          </cell>
          <cell r="AG5386" t="str">
            <v>DRN160L4</v>
          </cell>
          <cell r="AH5386" t="str">
            <v>KH127-DRN160L4B270-X#</v>
          </cell>
        </row>
        <row r="5387">
          <cell r="A5387" t="str">
            <v>MR005376</v>
          </cell>
          <cell r="B5387" t="str">
            <v>MR</v>
          </cell>
          <cell r="C5387">
            <v>0.75</v>
          </cell>
          <cell r="D5387">
            <v>1.5</v>
          </cell>
          <cell r="E5387" t="str">
            <v>KA97R57</v>
          </cell>
          <cell r="F5387">
            <v>3600</v>
          </cell>
          <cell r="G5387">
            <v>957</v>
          </cell>
          <cell r="H5387">
            <v>1.2</v>
          </cell>
          <cell r="I5387" t="str">
            <v>M3B</v>
          </cell>
          <cell r="J5387" t="str">
            <v>IE3</v>
          </cell>
          <cell r="K5387" t="str">
            <v>266/460</v>
          </cell>
          <cell r="L5387">
            <v>60</v>
          </cell>
          <cell r="M5387" t="str">
            <v>2,7/1,56</v>
          </cell>
          <cell r="N5387">
            <v>65</v>
          </cell>
          <cell r="O5387" t="str">
            <v>180(H)</v>
          </cell>
          <cell r="P5387" t="str">
            <v>0°</v>
          </cell>
          <cell r="Q5387" t="str">
            <v>TF</v>
          </cell>
          <cell r="R5387" t="str">
            <v>V(VE)</v>
          </cell>
          <cell r="S5387" t="str">
            <v>-</v>
          </cell>
          <cell r="T5387" t="str">
            <v>BGEHF</v>
          </cell>
          <cell r="U5387" t="str">
            <v>T</v>
          </cell>
          <cell r="V5387" t="str">
            <v>FC+R</v>
          </cell>
          <cell r="W5387" t="str">
            <v>-</v>
          </cell>
          <cell r="X5387" t="str">
            <v>CLP 220 (-15/+40°C)</v>
          </cell>
          <cell r="Y5387" t="str">
            <v>KA97R57/T DRN80M4 /BGEHF /TF/V</v>
          </cell>
          <cell r="Z5387" t="str">
            <v>SEW</v>
          </cell>
          <cell r="AB5387" t="str">
            <v>-</v>
          </cell>
          <cell r="AF5387">
            <v>1.8</v>
          </cell>
          <cell r="AG5387" t="str">
            <v>DRN80M4</v>
          </cell>
          <cell r="AH5387" t="str">
            <v>KA97R57T-DRN80M4B0-X#</v>
          </cell>
        </row>
        <row r="5388">
          <cell r="A5388" t="str">
            <v>MR005377</v>
          </cell>
          <cell r="B5388" t="str">
            <v>MR</v>
          </cell>
          <cell r="C5388">
            <v>9.1999999999999993</v>
          </cell>
          <cell r="D5388">
            <v>48</v>
          </cell>
          <cell r="E5388" t="str">
            <v>KH97</v>
          </cell>
          <cell r="F5388">
            <v>1520</v>
          </cell>
          <cell r="G5388">
            <v>30.82</v>
          </cell>
          <cell r="H5388">
            <v>2.8</v>
          </cell>
          <cell r="I5388" t="str">
            <v>M3A</v>
          </cell>
          <cell r="J5388" t="str">
            <v>IE3</v>
          </cell>
          <cell r="K5388" t="str">
            <v>266/460</v>
          </cell>
          <cell r="L5388">
            <v>60</v>
          </cell>
          <cell r="M5388" t="str">
            <v>28,5/16,5</v>
          </cell>
          <cell r="N5388">
            <v>65</v>
          </cell>
          <cell r="O5388" t="str">
            <v>180(H)</v>
          </cell>
          <cell r="P5388" t="str">
            <v>90°</v>
          </cell>
          <cell r="Q5388" t="str">
            <v>TF</v>
          </cell>
          <cell r="R5388" t="str">
            <v>V(VE)</v>
          </cell>
          <cell r="S5388" t="str">
            <v>-</v>
          </cell>
          <cell r="T5388" t="str">
            <v>-</v>
          </cell>
          <cell r="U5388" t="str">
            <v>T</v>
          </cell>
          <cell r="V5388" t="str">
            <v>FC</v>
          </cell>
          <cell r="W5388" t="str">
            <v>-</v>
          </cell>
          <cell r="X5388" t="str">
            <v>CLP 220 (-15/+40°C)</v>
          </cell>
          <cell r="Y5388" t="str">
            <v>KH97/T DRN132L4 /TF/V</v>
          </cell>
          <cell r="Z5388" t="str">
            <v>SEW</v>
          </cell>
          <cell r="AB5388" t="str">
            <v>-</v>
          </cell>
          <cell r="AF5388">
            <v>57.6</v>
          </cell>
          <cell r="AG5388" t="str">
            <v>DRN132L4</v>
          </cell>
          <cell r="AH5388" t="str">
            <v>KH97T-DRN132L4A90-X#</v>
          </cell>
        </row>
        <row r="5389">
          <cell r="A5389" t="str">
            <v>MR005378</v>
          </cell>
          <cell r="B5389" t="str">
            <v>MR</v>
          </cell>
          <cell r="C5389">
            <v>0.25</v>
          </cell>
          <cell r="D5389">
            <v>24</v>
          </cell>
          <cell r="E5389" t="str">
            <v>FA37</v>
          </cell>
          <cell r="F5389">
            <v>80</v>
          </cell>
          <cell r="G5389">
            <v>58.32</v>
          </cell>
          <cell r="H5389">
            <v>2.9</v>
          </cell>
          <cell r="I5389" t="str">
            <v>M1</v>
          </cell>
          <cell r="J5389" t="str">
            <v>IE3</v>
          </cell>
          <cell r="K5389" t="str">
            <v>266/460</v>
          </cell>
          <cell r="L5389">
            <v>60</v>
          </cell>
          <cell r="M5389" t="str">
            <v>1,12/0,65</v>
          </cell>
          <cell r="N5389">
            <v>65</v>
          </cell>
          <cell r="O5389" t="str">
            <v>180(H)</v>
          </cell>
          <cell r="P5389" t="str">
            <v>270°</v>
          </cell>
          <cell r="Q5389" t="str">
            <v>TF</v>
          </cell>
          <cell r="R5389" t="str">
            <v>-</v>
          </cell>
          <cell r="S5389" t="str">
            <v>-</v>
          </cell>
          <cell r="T5389" t="str">
            <v>-</v>
          </cell>
          <cell r="U5389" t="str">
            <v>G</v>
          </cell>
          <cell r="V5389" t="str">
            <v>D</v>
          </cell>
          <cell r="W5389" t="str">
            <v>-</v>
          </cell>
          <cell r="X5389" t="str">
            <v>CLP 220 (-15/+40°C)</v>
          </cell>
          <cell r="Y5389" t="str">
            <v>FA37/G DRN71MS4 /TF</v>
          </cell>
          <cell r="Z5389" t="str">
            <v>SEW</v>
          </cell>
          <cell r="AB5389" t="str">
            <v>-</v>
          </cell>
          <cell r="AF5389">
            <v>28.8</v>
          </cell>
          <cell r="AG5389" t="str">
            <v>DRN71MS4</v>
          </cell>
          <cell r="AH5389" t="str">
            <v>FA37G-DRN71MS4270-X</v>
          </cell>
        </row>
        <row r="5390">
          <cell r="A5390" t="str">
            <v>MR005379</v>
          </cell>
          <cell r="B5390" t="str">
            <v>-</v>
          </cell>
          <cell r="C5390" t="str">
            <v>-</v>
          </cell>
          <cell r="E5390" t="str">
            <v>-</v>
          </cell>
          <cell r="N5390" t="str">
            <v>-</v>
          </cell>
          <cell r="O5390" t="str">
            <v>-</v>
          </cell>
          <cell r="P5390" t="str">
            <v>-</v>
          </cell>
          <cell r="Q5390" t="str">
            <v>-</v>
          </cell>
          <cell r="R5390" t="str">
            <v>-</v>
          </cell>
          <cell r="S5390" t="str">
            <v>-</v>
          </cell>
          <cell r="T5390" t="str">
            <v>-</v>
          </cell>
          <cell r="U5390" t="str">
            <v>-</v>
          </cell>
          <cell r="V5390" t="str">
            <v>-</v>
          </cell>
          <cell r="W5390" t="str">
            <v>-</v>
          </cell>
          <cell r="X5390" t="str">
            <v>(if ATEX, synthetic only!)</v>
          </cell>
          <cell r="Y5390" t="str">
            <v>--</v>
          </cell>
          <cell r="AB5390" t="str">
            <v>-</v>
          </cell>
          <cell r="AE5390" t="str">
            <v>Per ET000689 (ARCEMI)</v>
          </cell>
          <cell r="AF5390">
            <v>0</v>
          </cell>
          <cell r="AG5390" t="str">
            <v>-</v>
          </cell>
          <cell r="AH5390" t="str">
            <v>-----X</v>
          </cell>
        </row>
        <row r="5391">
          <cell r="A5391" t="str">
            <v>MR005380</v>
          </cell>
          <cell r="B5391" t="str">
            <v>MR</v>
          </cell>
          <cell r="C5391">
            <v>7.5</v>
          </cell>
          <cell r="D5391">
            <v>13</v>
          </cell>
          <cell r="E5391" t="str">
            <v>M1332112</v>
          </cell>
          <cell r="F5391">
            <v>5514</v>
          </cell>
          <cell r="G5391">
            <v>115.08</v>
          </cell>
          <cell r="H5391">
            <v>1.76</v>
          </cell>
          <cell r="I5391" t="str">
            <v>1B3</v>
          </cell>
          <cell r="J5391" t="str">
            <v>IE3</v>
          </cell>
          <cell r="K5391" t="str">
            <v>240/415</v>
          </cell>
          <cell r="L5391">
            <v>50</v>
          </cell>
          <cell r="M5391" t="str">
            <v>25,5/14,7</v>
          </cell>
          <cell r="N5391">
            <v>65</v>
          </cell>
          <cell r="O5391" t="str">
            <v>155(F)</v>
          </cell>
          <cell r="P5391" t="str">
            <v>270°</v>
          </cell>
          <cell r="Q5391" t="str">
            <v>TF</v>
          </cell>
          <cell r="R5391" t="str">
            <v>V(VE)</v>
          </cell>
          <cell r="S5391" t="str">
            <v>-</v>
          </cell>
          <cell r="T5391" t="str">
            <v>-</v>
          </cell>
          <cell r="U5391" t="str">
            <v>-</v>
          </cell>
          <cell r="V5391" t="str">
            <v>FC</v>
          </cell>
          <cell r="W5391" t="str">
            <v>-</v>
          </cell>
          <cell r="X5391" t="str">
            <v>CLP 220 (-15/+40°C)</v>
          </cell>
          <cell r="Y5391" t="str">
            <v>M1332112BMCF1D7.5AM03631G0000</v>
          </cell>
          <cell r="Z5391" t="str">
            <v>RADICON</v>
          </cell>
          <cell r="AB5391" t="str">
            <v>-</v>
          </cell>
          <cell r="AD5391" t="str">
            <v>BIS</v>
          </cell>
          <cell r="AF5391">
            <v>13</v>
          </cell>
          <cell r="AG5391" t="str">
            <v>DRN132M4</v>
          </cell>
          <cell r="AH5391" t="str">
            <v>M1332112-DRN132M4B270-X#</v>
          </cell>
        </row>
        <row r="5392">
          <cell r="A5392" t="str">
            <v>MR005381</v>
          </cell>
          <cell r="B5392" t="str">
            <v>MR</v>
          </cell>
          <cell r="C5392">
            <v>7.5</v>
          </cell>
          <cell r="D5392">
            <v>62</v>
          </cell>
          <cell r="E5392" t="str">
            <v>M082222.</v>
          </cell>
          <cell r="F5392">
            <v>1129</v>
          </cell>
          <cell r="G5392">
            <v>23.32</v>
          </cell>
          <cell r="H5392">
            <v>1.37</v>
          </cell>
          <cell r="I5392">
            <v>1</v>
          </cell>
          <cell r="J5392" t="str">
            <v>IE3</v>
          </cell>
          <cell r="K5392">
            <v>415</v>
          </cell>
          <cell r="L5392">
            <v>50</v>
          </cell>
          <cell r="M5392">
            <v>14.7</v>
          </cell>
          <cell r="N5392">
            <v>65</v>
          </cell>
          <cell r="O5392" t="str">
            <v>155(F)</v>
          </cell>
          <cell r="P5392" t="str">
            <v>270°</v>
          </cell>
          <cell r="Q5392" t="str">
            <v>TF</v>
          </cell>
          <cell r="R5392" t="str">
            <v>-</v>
          </cell>
          <cell r="S5392" t="str">
            <v>-</v>
          </cell>
          <cell r="T5392" t="str">
            <v>-</v>
          </cell>
          <cell r="U5392" t="str">
            <v>-</v>
          </cell>
          <cell r="V5392" t="str">
            <v>D</v>
          </cell>
          <cell r="W5392" t="str">
            <v>-</v>
          </cell>
          <cell r="X5392" t="str">
            <v>Mineral Oil 460</v>
          </cell>
          <cell r="Y5392" t="str">
            <v>M082222.BMCG1D7.5AM02280G0653</v>
          </cell>
          <cell r="Z5392" t="str">
            <v>RADICON</v>
          </cell>
          <cell r="AB5392" t="str">
            <v>-</v>
          </cell>
          <cell r="AD5392" t="str">
            <v>BIS</v>
          </cell>
          <cell r="AF5392">
            <v>62</v>
          </cell>
          <cell r="AG5392" t="str">
            <v>DRN132M4</v>
          </cell>
          <cell r="AH5392" t="str">
            <v>M082222.-DRN132M4270-X</v>
          </cell>
        </row>
        <row r="5393">
          <cell r="A5393" t="str">
            <v>MR005382</v>
          </cell>
          <cell r="B5393" t="str">
            <v>MR</v>
          </cell>
          <cell r="C5393">
            <v>15</v>
          </cell>
          <cell r="D5393">
            <v>20</v>
          </cell>
          <cell r="E5393" t="str">
            <v>KH107</v>
          </cell>
          <cell r="F5393">
            <v>7120</v>
          </cell>
          <cell r="G5393">
            <v>73.3</v>
          </cell>
          <cell r="H5393">
            <v>1.1000000000000001</v>
          </cell>
          <cell r="I5393" t="str">
            <v>From M4B to M1B - 25°</v>
          </cell>
          <cell r="J5393" t="str">
            <v>IE3</v>
          </cell>
          <cell r="K5393" t="str">
            <v>240/415</v>
          </cell>
          <cell r="L5393">
            <v>50</v>
          </cell>
          <cell r="M5393" t="str">
            <v>48/27,5</v>
          </cell>
          <cell r="N5393">
            <v>65</v>
          </cell>
          <cell r="O5393" t="str">
            <v>155(F)</v>
          </cell>
          <cell r="P5393" t="str">
            <v>270°</v>
          </cell>
          <cell r="Q5393" t="str">
            <v>TF</v>
          </cell>
          <cell r="R5393" t="str">
            <v>-</v>
          </cell>
          <cell r="S5393" t="str">
            <v>-</v>
          </cell>
          <cell r="T5393" t="str">
            <v>-</v>
          </cell>
          <cell r="U5393" t="str">
            <v>-</v>
          </cell>
          <cell r="V5393" t="str">
            <v>SS</v>
          </cell>
          <cell r="W5393" t="str">
            <v>-</v>
          </cell>
          <cell r="X5393" t="str">
            <v>CLP 220 (-15/+40°C)</v>
          </cell>
          <cell r="Y5393" t="str">
            <v>KH107DRN160L4 /TF</v>
          </cell>
          <cell r="Z5393" t="str">
            <v>SEW</v>
          </cell>
          <cell r="AB5393" t="str">
            <v>-</v>
          </cell>
          <cell r="AF5393">
            <v>20</v>
          </cell>
          <cell r="AG5393" t="str">
            <v>DRN160L4</v>
          </cell>
          <cell r="AH5393" t="str">
            <v>KH107-DRN160L4B270-X</v>
          </cell>
        </row>
        <row r="5394">
          <cell r="A5394" t="str">
            <v>MR005383</v>
          </cell>
          <cell r="B5394" t="str">
            <v>MR</v>
          </cell>
          <cell r="C5394">
            <v>11</v>
          </cell>
          <cell r="D5394">
            <v>18</v>
          </cell>
          <cell r="E5394" t="str">
            <v>KH107</v>
          </cell>
          <cell r="F5394">
            <v>5890</v>
          </cell>
          <cell r="G5394">
            <v>82.61</v>
          </cell>
          <cell r="H5394">
            <v>1.35</v>
          </cell>
          <cell r="I5394" t="str">
            <v>From M4A to M1A - 30°</v>
          </cell>
          <cell r="J5394" t="str">
            <v>IE3</v>
          </cell>
          <cell r="K5394" t="str">
            <v>240/415</v>
          </cell>
          <cell r="L5394">
            <v>50</v>
          </cell>
          <cell r="M5394" t="str">
            <v>35/20</v>
          </cell>
          <cell r="N5394">
            <v>65</v>
          </cell>
          <cell r="O5394" t="str">
            <v>155(F)</v>
          </cell>
          <cell r="P5394" t="str">
            <v>270°</v>
          </cell>
          <cell r="Q5394" t="str">
            <v>TF</v>
          </cell>
          <cell r="R5394" t="str">
            <v>-</v>
          </cell>
          <cell r="S5394" t="str">
            <v>-</v>
          </cell>
          <cell r="T5394" t="str">
            <v>-</v>
          </cell>
          <cell r="U5394" t="str">
            <v>-</v>
          </cell>
          <cell r="V5394" t="str">
            <v>SS</v>
          </cell>
          <cell r="W5394" t="str">
            <v>-</v>
          </cell>
          <cell r="X5394" t="str">
            <v>CLP 220 (-15/+40°C)</v>
          </cell>
          <cell r="Y5394" t="str">
            <v>KH107DRN160M4 /TF</v>
          </cell>
          <cell r="Z5394" t="str">
            <v>SEW</v>
          </cell>
          <cell r="AB5394" t="str">
            <v>-</v>
          </cell>
          <cell r="AF5394">
            <v>18</v>
          </cell>
          <cell r="AG5394" t="str">
            <v>DRN160M4</v>
          </cell>
          <cell r="AH5394" t="str">
            <v>KH107-DRN160M4A270-X</v>
          </cell>
        </row>
        <row r="5395">
          <cell r="A5395" t="str">
            <v>MR005384</v>
          </cell>
          <cell r="B5395" t="str">
            <v>MR</v>
          </cell>
          <cell r="C5395">
            <v>11</v>
          </cell>
          <cell r="D5395">
            <v>18</v>
          </cell>
          <cell r="E5395" t="str">
            <v>KH107</v>
          </cell>
          <cell r="F5395">
            <v>5890</v>
          </cell>
          <cell r="G5395">
            <v>82.61</v>
          </cell>
          <cell r="H5395">
            <v>1.35</v>
          </cell>
          <cell r="I5395" t="str">
            <v>From M4B to M1B - 30°</v>
          </cell>
          <cell r="J5395" t="str">
            <v>IE3</v>
          </cell>
          <cell r="K5395" t="str">
            <v>240/415</v>
          </cell>
          <cell r="L5395">
            <v>50</v>
          </cell>
          <cell r="M5395" t="str">
            <v>35/20</v>
          </cell>
          <cell r="N5395">
            <v>65</v>
          </cell>
          <cell r="O5395" t="str">
            <v>155(F)</v>
          </cell>
          <cell r="P5395" t="str">
            <v>270°</v>
          </cell>
          <cell r="Q5395" t="str">
            <v>TF</v>
          </cell>
          <cell r="R5395" t="str">
            <v>-</v>
          </cell>
          <cell r="S5395" t="str">
            <v>-</v>
          </cell>
          <cell r="T5395" t="str">
            <v>-</v>
          </cell>
          <cell r="U5395" t="str">
            <v>-</v>
          </cell>
          <cell r="V5395" t="str">
            <v>SS</v>
          </cell>
          <cell r="W5395" t="str">
            <v>-</v>
          </cell>
          <cell r="X5395" t="str">
            <v>CLP 220 (-15/+40°C)</v>
          </cell>
          <cell r="Y5395" t="str">
            <v>KH107DRN160M4 /TF</v>
          </cell>
          <cell r="Z5395" t="str">
            <v>SEW</v>
          </cell>
          <cell r="AB5395" t="str">
            <v>-</v>
          </cell>
          <cell r="AF5395">
            <v>18</v>
          </cell>
          <cell r="AG5395" t="str">
            <v>DRN160M4</v>
          </cell>
          <cell r="AH5395" t="str">
            <v>KH107-DRN160M4B270-X</v>
          </cell>
        </row>
        <row r="5396">
          <cell r="A5396" t="str">
            <v>MR005385</v>
          </cell>
          <cell r="B5396" t="str">
            <v>MR</v>
          </cell>
          <cell r="C5396">
            <v>1.1000000000000001</v>
          </cell>
          <cell r="D5396">
            <v>7.3</v>
          </cell>
          <cell r="E5396" t="str">
            <v>FVZ77</v>
          </cell>
          <cell r="F5396">
            <v>1430</v>
          </cell>
          <cell r="G5396">
            <v>198.31</v>
          </cell>
          <cell r="H5396">
            <v>1.05</v>
          </cell>
          <cell r="I5396" t="str">
            <v>M5</v>
          </cell>
          <cell r="J5396" t="str">
            <v>IE3</v>
          </cell>
          <cell r="K5396" t="str">
            <v>230/400</v>
          </cell>
          <cell r="L5396">
            <v>50</v>
          </cell>
          <cell r="M5396" t="str">
            <v>4,6/2,65</v>
          </cell>
          <cell r="N5396">
            <v>55</v>
          </cell>
          <cell r="O5396" t="str">
            <v>155(F)</v>
          </cell>
          <cell r="P5396" t="str">
            <v>270°</v>
          </cell>
          <cell r="Q5396" t="str">
            <v>TF</v>
          </cell>
          <cell r="R5396" t="str">
            <v>-</v>
          </cell>
          <cell r="S5396" t="str">
            <v>-</v>
          </cell>
          <cell r="T5396" t="str">
            <v>BEHF</v>
          </cell>
          <cell r="U5396" t="str">
            <v>-</v>
          </cell>
          <cell r="V5396" t="str">
            <v>FC+R</v>
          </cell>
          <cell r="W5396" t="str">
            <v>-</v>
          </cell>
          <cell r="X5396" t="str">
            <v>CLP 220 (-15/+40°C)</v>
          </cell>
          <cell r="Y5396" t="str">
            <v>FVZ77EDRN90S4 /BEHF /TF</v>
          </cell>
          <cell r="Z5396" t="str">
            <v>SEW</v>
          </cell>
          <cell r="AB5396" t="str">
            <v>ATEX22</v>
          </cell>
          <cell r="AE5396" t="str">
            <v xml:space="preserve"> BROACHING FOR FV67-DIN 5480N45x2x30x21xH9 Provide rectifier module in the electrical cabinet</v>
          </cell>
          <cell r="AF5396">
            <v>7.3</v>
          </cell>
          <cell r="AG5396" t="str">
            <v>EDRN90S4</v>
          </cell>
          <cell r="AH5396" t="str">
            <v>FVZ77-EDRN90S4270-X</v>
          </cell>
        </row>
        <row r="5397">
          <cell r="A5397" t="str">
            <v>MR005386</v>
          </cell>
          <cell r="B5397" t="str">
            <v>MR</v>
          </cell>
          <cell r="C5397">
            <v>1.1000000000000001</v>
          </cell>
          <cell r="D5397">
            <v>7.3</v>
          </cell>
          <cell r="E5397" t="str">
            <v>FVZ77</v>
          </cell>
          <cell r="F5397">
            <v>1430</v>
          </cell>
          <cell r="G5397">
            <v>198.31</v>
          </cell>
          <cell r="H5397">
            <v>1.05</v>
          </cell>
          <cell r="I5397" t="str">
            <v>M6</v>
          </cell>
          <cell r="J5397" t="str">
            <v>IE3</v>
          </cell>
          <cell r="K5397" t="str">
            <v>230/400</v>
          </cell>
          <cell r="L5397">
            <v>50</v>
          </cell>
          <cell r="M5397" t="str">
            <v>4,6/2,65</v>
          </cell>
          <cell r="N5397">
            <v>55</v>
          </cell>
          <cell r="O5397" t="str">
            <v>155(F)</v>
          </cell>
          <cell r="P5397" t="str">
            <v>270°</v>
          </cell>
          <cell r="Q5397" t="str">
            <v>TF</v>
          </cell>
          <cell r="R5397" t="str">
            <v>-</v>
          </cell>
          <cell r="S5397" t="str">
            <v>-</v>
          </cell>
          <cell r="T5397" t="str">
            <v>BEHF</v>
          </cell>
          <cell r="U5397" t="str">
            <v>-</v>
          </cell>
          <cell r="V5397" t="str">
            <v>FC+R</v>
          </cell>
          <cell r="W5397" t="str">
            <v>-</v>
          </cell>
          <cell r="X5397" t="str">
            <v>CLP 220 (-15/+40°C)</v>
          </cell>
          <cell r="Y5397" t="str">
            <v>FVZ77EDRN90S4 /BEHF /TF</v>
          </cell>
          <cell r="Z5397" t="str">
            <v>SEW</v>
          </cell>
          <cell r="AB5397" t="str">
            <v>ATEX22</v>
          </cell>
          <cell r="AE5397" t="str">
            <v xml:space="preserve"> BROACHING FOR FV67-DIN 5480N45x2x30x21xH9 Provide rectifier module in the electrical cabinet</v>
          </cell>
          <cell r="AF5397">
            <v>7.3</v>
          </cell>
          <cell r="AG5397" t="str">
            <v>EDRN90S4</v>
          </cell>
          <cell r="AH5397" t="str">
            <v>FVZ77-EDRN90S4270-X</v>
          </cell>
        </row>
        <row r="5398">
          <cell r="A5398" t="str">
            <v>MR005387</v>
          </cell>
          <cell r="B5398" t="str">
            <v>ME</v>
          </cell>
          <cell r="C5398">
            <v>45</v>
          </cell>
          <cell r="D5398">
            <v>1478</v>
          </cell>
          <cell r="E5398" t="str">
            <v>1LE1504</v>
          </cell>
          <cell r="F5398">
            <v>290</v>
          </cell>
          <cell r="I5398" t="str">
            <v>V1/B5</v>
          </cell>
          <cell r="J5398" t="str">
            <v>IE3</v>
          </cell>
          <cell r="K5398" t="str">
            <v>400/690</v>
          </cell>
          <cell r="L5398">
            <v>50</v>
          </cell>
          <cell r="M5398" t="str">
            <v>80/46,5</v>
          </cell>
          <cell r="N5398">
            <v>65</v>
          </cell>
          <cell r="O5398" t="str">
            <v>155(F)</v>
          </cell>
          <cell r="P5398" t="str">
            <v>-</v>
          </cell>
          <cell r="Q5398" t="str">
            <v>TF</v>
          </cell>
          <cell r="R5398" t="str">
            <v>-</v>
          </cell>
          <cell r="S5398" t="str">
            <v>-</v>
          </cell>
          <cell r="T5398" t="str">
            <v>-</v>
          </cell>
          <cell r="U5398" t="str">
            <v>-</v>
          </cell>
          <cell r="V5398" t="str">
            <v>D</v>
          </cell>
          <cell r="W5398" t="str">
            <v>-</v>
          </cell>
          <cell r="X5398" t="str">
            <v>-</v>
          </cell>
          <cell r="Y5398" t="str">
            <v>1LE1504-2BB23-4FB4-Z H20</v>
          </cell>
          <cell r="Z5398" t="str">
            <v>SIEMENS</v>
          </cell>
          <cell r="AB5398" t="str">
            <v>-</v>
          </cell>
          <cell r="AE5398" t="str">
            <v>4 POLES</v>
          </cell>
          <cell r="AF5398">
            <v>1478</v>
          </cell>
          <cell r="AG5398" t="str">
            <v>DRN225M4</v>
          </cell>
          <cell r="AH5398" t="str">
            <v>1LE1504-DRN225M4B--X</v>
          </cell>
        </row>
        <row r="5399">
          <cell r="A5399" t="str">
            <v>MR005388</v>
          </cell>
          <cell r="B5399" t="str">
            <v>MR</v>
          </cell>
          <cell r="C5399">
            <v>30</v>
          </cell>
          <cell r="D5399">
            <v>37</v>
          </cell>
          <cell r="E5399" t="str">
            <v>KH127</v>
          </cell>
          <cell r="F5399">
            <v>7770</v>
          </cell>
          <cell r="G5399">
            <v>40.19</v>
          </cell>
          <cell r="H5399">
            <v>1.65</v>
          </cell>
          <cell r="I5399" t="str">
            <v>M4A</v>
          </cell>
          <cell r="J5399" t="str">
            <v>IE3</v>
          </cell>
          <cell r="K5399" t="str">
            <v>400/690</v>
          </cell>
          <cell r="L5399">
            <v>50</v>
          </cell>
          <cell r="M5399" t="str">
            <v>56/32,5</v>
          </cell>
          <cell r="N5399">
            <v>65</v>
          </cell>
          <cell r="O5399" t="str">
            <v>155(F)</v>
          </cell>
          <cell r="P5399" t="str">
            <v>270°</v>
          </cell>
          <cell r="Q5399" t="str">
            <v>TF</v>
          </cell>
          <cell r="R5399" t="str">
            <v>V(VE)</v>
          </cell>
          <cell r="S5399" t="str">
            <v>-</v>
          </cell>
          <cell r="T5399" t="str">
            <v>-</v>
          </cell>
          <cell r="U5399" t="str">
            <v>T</v>
          </cell>
          <cell r="V5399" t="str">
            <v>FC</v>
          </cell>
          <cell r="W5399" t="str">
            <v>-</v>
          </cell>
          <cell r="X5399" t="str">
            <v>CLP 220 (-15/+40°C)</v>
          </cell>
          <cell r="Y5399" t="str">
            <v>KH127/T DRN200L4 /TF/V</v>
          </cell>
          <cell r="Z5399" t="str">
            <v>SEW</v>
          </cell>
          <cell r="AB5399" t="str">
            <v>-</v>
          </cell>
          <cell r="AE5399" t="str">
            <v>With capote /C</v>
          </cell>
          <cell r="AF5399">
            <v>37</v>
          </cell>
          <cell r="AG5399" t="str">
            <v>DRN200L4</v>
          </cell>
          <cell r="AH5399" t="str">
            <v>KH127T-DRN200L4A270-X#</v>
          </cell>
        </row>
        <row r="5400">
          <cell r="A5400" t="str">
            <v>MR005389</v>
          </cell>
          <cell r="B5400" t="str">
            <v>MR</v>
          </cell>
          <cell r="C5400">
            <v>4</v>
          </cell>
          <cell r="D5400">
            <v>152</v>
          </cell>
          <cell r="E5400" t="str">
            <v>KH67</v>
          </cell>
          <cell r="F5400">
            <v>250</v>
          </cell>
          <cell r="G5400">
            <v>9.66</v>
          </cell>
          <cell r="H5400">
            <v>1.9</v>
          </cell>
          <cell r="I5400" t="str">
            <v>M4B</v>
          </cell>
          <cell r="J5400" t="str">
            <v>IE3</v>
          </cell>
          <cell r="K5400" t="str">
            <v>230/400</v>
          </cell>
          <cell r="L5400">
            <v>50</v>
          </cell>
          <cell r="M5400" t="str">
            <v>13,8/7,9</v>
          </cell>
          <cell r="N5400">
            <v>65</v>
          </cell>
          <cell r="O5400" t="str">
            <v>155(F)</v>
          </cell>
          <cell r="P5400" t="str">
            <v>270°</v>
          </cell>
          <cell r="Q5400" t="str">
            <v>TF</v>
          </cell>
          <cell r="R5400" t="str">
            <v>V(VE)</v>
          </cell>
          <cell r="S5400" t="str">
            <v>-</v>
          </cell>
          <cell r="T5400" t="str">
            <v>-</v>
          </cell>
          <cell r="U5400" t="str">
            <v>T</v>
          </cell>
          <cell r="V5400" t="str">
            <v>FC</v>
          </cell>
          <cell r="W5400" t="str">
            <v>-</v>
          </cell>
          <cell r="X5400" t="str">
            <v>CLP 220 (-15/+40°C)</v>
          </cell>
          <cell r="Y5400" t="str">
            <v>KH67/T DRN112M4 /TF/V</v>
          </cell>
          <cell r="Z5400" t="str">
            <v>SEW</v>
          </cell>
          <cell r="AB5400" t="str">
            <v>-</v>
          </cell>
          <cell r="AE5400" t="str">
            <v>With capote /C</v>
          </cell>
          <cell r="AF5400">
            <v>152</v>
          </cell>
          <cell r="AG5400" t="str">
            <v>DRN112M4</v>
          </cell>
          <cell r="AH5400" t="str">
            <v>KH67T-DRN112M4B270-X#</v>
          </cell>
        </row>
        <row r="5401">
          <cell r="A5401" t="str">
            <v>MR005390</v>
          </cell>
          <cell r="B5401" t="str">
            <v>MR</v>
          </cell>
          <cell r="C5401">
            <v>1.1000000000000001</v>
          </cell>
          <cell r="D5401">
            <v>7.3</v>
          </cell>
          <cell r="E5401" t="str">
            <v>FV77</v>
          </cell>
          <cell r="F5401">
            <v>1430</v>
          </cell>
          <cell r="G5401">
            <v>198.31</v>
          </cell>
          <cell r="H5401">
            <v>1.05</v>
          </cell>
          <cell r="I5401" t="str">
            <v>M5</v>
          </cell>
          <cell r="J5401" t="str">
            <v>IE3</v>
          </cell>
          <cell r="K5401" t="str">
            <v>230/400</v>
          </cell>
          <cell r="L5401">
            <v>50</v>
          </cell>
          <cell r="M5401" t="str">
            <v>4,45/2,55</v>
          </cell>
          <cell r="N5401">
            <v>65</v>
          </cell>
          <cell r="O5401" t="str">
            <v>155(F)</v>
          </cell>
          <cell r="P5401" t="str">
            <v>180°</v>
          </cell>
          <cell r="Q5401" t="str">
            <v>TF</v>
          </cell>
          <cell r="R5401" t="str">
            <v>-</v>
          </cell>
          <cell r="S5401" t="str">
            <v>-</v>
          </cell>
          <cell r="T5401" t="str">
            <v>BEHF</v>
          </cell>
          <cell r="U5401" t="str">
            <v>G</v>
          </cell>
          <cell r="V5401" t="str">
            <v>FC+R</v>
          </cell>
          <cell r="W5401" t="str">
            <v>-</v>
          </cell>
          <cell r="X5401" t="str">
            <v>CLP 220 (-15/+40°C)</v>
          </cell>
          <cell r="Y5401" t="str">
            <v>FV77/G DRN90S4 /BEHF /TF</v>
          </cell>
          <cell r="Z5401" t="str">
            <v>SEW</v>
          </cell>
          <cell r="AB5401" t="str">
            <v>-</v>
          </cell>
          <cell r="AE5401" t="str">
            <v>MULTITURN ABSOLUTE ENCODER - BROCCIATURA PER FV67-DIN 5480N45x2x30x21xH9</v>
          </cell>
          <cell r="AF5401">
            <v>7.3</v>
          </cell>
          <cell r="AG5401" t="str">
            <v>DRN90S4</v>
          </cell>
          <cell r="AH5401" t="str">
            <v>FV77G-DRN90S4180-X</v>
          </cell>
        </row>
        <row r="5402">
          <cell r="B5402" t="str">
            <v>-</v>
          </cell>
          <cell r="C5402" t="str">
            <v>-</v>
          </cell>
          <cell r="E5402" t="str">
            <v>-</v>
          </cell>
          <cell r="N5402" t="str">
            <v>-</v>
          </cell>
          <cell r="O5402" t="str">
            <v>-</v>
          </cell>
          <cell r="P5402" t="str">
            <v>-</v>
          </cell>
          <cell r="Q5402" t="str">
            <v>-</v>
          </cell>
          <cell r="R5402" t="str">
            <v>-</v>
          </cell>
          <cell r="S5402" t="str">
            <v>-</v>
          </cell>
          <cell r="T5402" t="str">
            <v>-</v>
          </cell>
          <cell r="U5402" t="str">
            <v>-</v>
          </cell>
          <cell r="V5402" t="str">
            <v>-</v>
          </cell>
          <cell r="W5402" t="str">
            <v>-</v>
          </cell>
          <cell r="X5402" t="str">
            <v>(if ATEX, synthetic only!)</v>
          </cell>
          <cell r="Y5402" t="str">
            <v>--</v>
          </cell>
          <cell r="AB5402" t="str">
            <v>-</v>
          </cell>
          <cell r="AF5402">
            <v>0</v>
          </cell>
          <cell r="AG5402" t="str">
            <v>-</v>
          </cell>
          <cell r="AH5402" t="str">
            <v>-----X</v>
          </cell>
        </row>
        <row r="5403">
          <cell r="B5403" t="str">
            <v>-</v>
          </cell>
          <cell r="C5403" t="str">
            <v>-</v>
          </cell>
          <cell r="E5403" t="str">
            <v>-</v>
          </cell>
          <cell r="N5403" t="str">
            <v>-</v>
          </cell>
          <cell r="O5403" t="str">
            <v>-</v>
          </cell>
          <cell r="P5403" t="str">
            <v>-</v>
          </cell>
          <cell r="Q5403" t="str">
            <v>-</v>
          </cell>
          <cell r="R5403" t="str">
            <v>-</v>
          </cell>
          <cell r="S5403" t="str">
            <v>-</v>
          </cell>
          <cell r="T5403" t="str">
            <v>-</v>
          </cell>
          <cell r="U5403" t="str">
            <v>-</v>
          </cell>
          <cell r="V5403" t="str">
            <v>-</v>
          </cell>
          <cell r="W5403" t="str">
            <v>-</v>
          </cell>
          <cell r="X5403" t="str">
            <v>(if ATEX, synthetic only!)</v>
          </cell>
          <cell r="Y5403" t="str">
            <v>--</v>
          </cell>
          <cell r="AB5403" t="str">
            <v>-</v>
          </cell>
          <cell r="AF5403">
            <v>0</v>
          </cell>
          <cell r="AG5403" t="str">
            <v>-</v>
          </cell>
          <cell r="AH5403" t="str">
            <v>-----X</v>
          </cell>
        </row>
        <row r="5404">
          <cell r="B5404" t="str">
            <v>-</v>
          </cell>
          <cell r="C5404" t="str">
            <v>-</v>
          </cell>
          <cell r="E5404" t="str">
            <v>-</v>
          </cell>
          <cell r="N5404" t="str">
            <v>-</v>
          </cell>
          <cell r="O5404" t="str">
            <v>-</v>
          </cell>
          <cell r="P5404" t="str">
            <v>-</v>
          </cell>
          <cell r="Q5404" t="str">
            <v>-</v>
          </cell>
          <cell r="R5404" t="str">
            <v>-</v>
          </cell>
          <cell r="S5404" t="str">
            <v>-</v>
          </cell>
          <cell r="T5404" t="str">
            <v>-</v>
          </cell>
          <cell r="U5404" t="str">
            <v>-</v>
          </cell>
          <cell r="V5404" t="str">
            <v>-</v>
          </cell>
          <cell r="W5404" t="str">
            <v>-</v>
          </cell>
          <cell r="X5404" t="str">
            <v>(if ATEX, synthetic only!)</v>
          </cell>
          <cell r="Y5404" t="str">
            <v>--</v>
          </cell>
          <cell r="AB5404" t="str">
            <v>-</v>
          </cell>
          <cell r="AF5404">
            <v>0</v>
          </cell>
          <cell r="AG5404" t="str">
            <v>-</v>
          </cell>
          <cell r="AH5404" t="str">
            <v>-----X</v>
          </cell>
        </row>
        <row r="5405">
          <cell r="B5405" t="str">
            <v>-</v>
          </cell>
          <cell r="C5405" t="str">
            <v>-</v>
          </cell>
          <cell r="E5405" t="str">
            <v>-</v>
          </cell>
          <cell r="N5405" t="str">
            <v>-</v>
          </cell>
          <cell r="O5405" t="str">
            <v>-</v>
          </cell>
          <cell r="P5405" t="str">
            <v>-</v>
          </cell>
          <cell r="Q5405" t="str">
            <v>-</v>
          </cell>
          <cell r="R5405" t="str">
            <v>-</v>
          </cell>
          <cell r="S5405" t="str">
            <v>-</v>
          </cell>
          <cell r="T5405" t="str">
            <v>-</v>
          </cell>
          <cell r="U5405" t="str">
            <v>-</v>
          </cell>
          <cell r="V5405" t="str">
            <v>-</v>
          </cell>
          <cell r="W5405" t="str">
            <v>-</v>
          </cell>
          <cell r="X5405" t="str">
            <v>(if ATEX, synthetic only!)</v>
          </cell>
          <cell r="Y5405" t="str">
            <v>--</v>
          </cell>
          <cell r="AB5405" t="str">
            <v>-</v>
          </cell>
          <cell r="AF5405">
            <v>0</v>
          </cell>
          <cell r="AG5405" t="str">
            <v>-</v>
          </cell>
          <cell r="AH5405" t="str">
            <v>-----X</v>
          </cell>
        </row>
        <row r="5406">
          <cell r="B5406" t="str">
            <v>-</v>
          </cell>
          <cell r="C5406" t="str">
            <v>-</v>
          </cell>
          <cell r="E5406" t="str">
            <v>-</v>
          </cell>
          <cell r="N5406" t="str">
            <v>-</v>
          </cell>
          <cell r="O5406" t="str">
            <v>-</v>
          </cell>
          <cell r="P5406" t="str">
            <v>-</v>
          </cell>
          <cell r="Q5406" t="str">
            <v>-</v>
          </cell>
          <cell r="R5406" t="str">
            <v>-</v>
          </cell>
          <cell r="S5406" t="str">
            <v>-</v>
          </cell>
          <cell r="T5406" t="str">
            <v>-</v>
          </cell>
          <cell r="U5406" t="str">
            <v>-</v>
          </cell>
          <cell r="V5406" t="str">
            <v>-</v>
          </cell>
          <cell r="W5406" t="str">
            <v>-</v>
          </cell>
          <cell r="X5406" t="str">
            <v>(if ATEX, synthetic only!)</v>
          </cell>
          <cell r="Y5406" t="str">
            <v>--</v>
          </cell>
          <cell r="AB5406" t="str">
            <v>-</v>
          </cell>
          <cell r="AF5406">
            <v>0</v>
          </cell>
          <cell r="AG5406" t="str">
            <v>-</v>
          </cell>
          <cell r="AH5406" t="str">
            <v>-----X</v>
          </cell>
        </row>
      </sheetData>
      <sheetData sheetId="1"/>
      <sheetData sheetId="2"/>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refreshOnLoad="1" connectionId="1" xr16:uid="{9C66E856-F953-457A-B039-282EECFE310F}" autoFormatId="16" applyNumberFormats="0" applyBorderFormats="0" applyFontFormats="0" applyPatternFormats="0" applyAlignmentFormats="0" applyWidthHeightFormats="0">
  <queryTableRefresh nextId="25">
    <queryTableFields count="19">
      <queryTableField id="1" name="Project ° " tableColumnId="1"/>
      <queryTableField id="2" name="INTERNAL ORDER CONF NR" tableColumnId="2"/>
      <queryTableField id="23" name="Link to PE folder" tableColumnId="3"/>
      <queryTableField id="4" name="CUSTOMER" tableColumnId="4"/>
      <queryTableField id="5" name="FINAL CUSTOMER" tableColumnId="5"/>
      <queryTableField id="6" name="PLANT" tableColumnId="6"/>
      <queryTableField id="7" name="DESCRIPTION" tableColumnId="7"/>
      <queryTableField id="8" name="Location" tableColumnId="8"/>
      <queryTableField id="9" name="Vendor" tableColumnId="9"/>
      <queryTableField id="10" name="YEAR" tableColumnId="10"/>
      <queryTableField id="11" name="Project Engineer" tableColumnId="11"/>
      <queryTableField id="12" name="DELIVERY" tableColumnId="12"/>
      <queryTableField id="13" name="REMARKS" tableColumnId="13"/>
      <queryTableField id="14" name="MOTOR &amp; SENSOR LIST DELIVERED TO PURCHASE DEPT._x000a_AND TO CUSTOMER" tableColumnId="14"/>
      <queryTableField id="15" name="PROJECT STATUS" tableColumnId="15"/>
      <queryTableField id="16" name="FOLDER NAME" tableColumnId="16"/>
      <queryTableField id="17" name="Column17" tableColumnId="17"/>
      <queryTableField id="18" name="Column18" tableColumnId="18"/>
      <queryTableField id="19" name="Column19"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16C668-BC09-4745-A8BF-0DC81F549624}" name="Foglio1" displayName="Foglio1" ref="A1:S949" tableType="queryTable" totalsRowShown="0">
  <autoFilter ref="A1:S949" xr:uid="{4316C668-BC09-4745-A8BF-0DC81F549624}"/>
  <tableColumns count="19">
    <tableColumn id="1" xr3:uid="{D26108EC-57D0-4D66-B1A7-C3F8727659BC}" uniqueName="1" name="Project ° " queryTableFieldId="1"/>
    <tableColumn id="2" xr3:uid="{459BDCD7-8904-4411-8D5A-E5A7DC58AC8F}" uniqueName="2" name="INTERNAL ORDER CONF NR" queryTableFieldId="2"/>
    <tableColumn id="3" xr3:uid="{3CCD3BE6-14D9-4136-84B1-967DBA89096A}" uniqueName="3" name="Link to PE folder" queryTableFieldId="23"/>
    <tableColumn id="4" xr3:uid="{5D03CE2A-310A-436E-823D-7F23467B5858}" uniqueName="4" name="CUSTOMER" queryTableFieldId="4"/>
    <tableColumn id="5" xr3:uid="{CFBB32A6-9025-41CD-99DF-994783F2A8C2}" uniqueName="5" name="FINAL CUSTOMER" queryTableFieldId="5"/>
    <tableColumn id="6" xr3:uid="{834E81D8-F252-4422-8EFC-9C8BFC9CF4DC}" uniqueName="6" name="PLANT" queryTableFieldId="6"/>
    <tableColumn id="7" xr3:uid="{DC9CF99E-3BC0-46C1-BB13-FAC9D8FEE495}" uniqueName="7" name="DESCRIPTION" queryTableFieldId="7"/>
    <tableColumn id="8" xr3:uid="{87D1AA43-5A25-4F76-8A6A-73E494D44195}" uniqueName="8" name="Location" queryTableFieldId="8"/>
    <tableColumn id="9" xr3:uid="{DF303910-300A-49B0-87F5-5E32C77844B2}" uniqueName="9" name="Vendor" queryTableFieldId="9"/>
    <tableColumn id="10" xr3:uid="{19D102AA-8942-4BBD-AD50-E0A6F5D563D4}" uniqueName="10" name="YEAR" queryTableFieldId="10"/>
    <tableColumn id="11" xr3:uid="{07913429-9167-4E26-BE5F-34BD47E7262B}" uniqueName="11" name="Project Engineer" queryTableFieldId="11"/>
    <tableColumn id="12" xr3:uid="{8B21C0E9-3C6B-4309-9D20-4A07098FD314}" uniqueName="12" name="DELIVERY" queryTableFieldId="12"/>
    <tableColumn id="13" xr3:uid="{B023398B-C5B5-4F7F-A3CE-442977652F23}" uniqueName="13" name="REMARKS" queryTableFieldId="13"/>
    <tableColumn id="14" xr3:uid="{F0D5A5BA-2BB4-4612-A5AD-05FE518D4370}" uniqueName="14" name="MOTOR &amp; SENSOR LIST DELIVERED TO PURCHASE DEPT._x000a_AND TO CUSTOMER" queryTableFieldId="14"/>
    <tableColumn id="15" xr3:uid="{3CB827F6-87B5-4E96-8F6B-2DDAA469E768}" uniqueName="15" name="PROJECT STATUS" queryTableFieldId="15"/>
    <tableColumn id="16" xr3:uid="{1E397961-095C-4CEA-A6AA-B25C60CF10C3}" uniqueName="16" name="FOLDER NAME" queryTableFieldId="16"/>
    <tableColumn id="17" xr3:uid="{7C001162-4E1F-41DD-97B2-53B8FBA8AC76}" uniqueName="17" name="Column17" queryTableFieldId="17"/>
    <tableColumn id="18" xr3:uid="{97CE2F31-A753-4EE7-BD90-8A59C978A368}" uniqueName="18" name="Column18" queryTableFieldId="18"/>
    <tableColumn id="19" xr3:uid="{98BAF093-2F5D-472A-B2C4-E9E0052092BB}" uniqueName="19" name="Column19" queryTableFieldId="19"/>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86F6-5358-4C2D-B2CB-706471B7E2D8}">
  <dimension ref="A1:S949"/>
  <sheetViews>
    <sheetView topLeftCell="A712" workbookViewId="0">
      <selection activeCell="F739" sqref="F739"/>
    </sheetView>
  </sheetViews>
  <sheetFormatPr defaultRowHeight="11.25" x14ac:dyDescent="0.2"/>
  <cols>
    <col min="1" max="1" width="18.5" bestFit="1" customWidth="1"/>
    <col min="2" max="2" width="77.1640625" bestFit="1" customWidth="1"/>
    <col min="3" max="3" width="19" bestFit="1" customWidth="1"/>
    <col min="4" max="4" width="32.6640625" bestFit="1" customWidth="1"/>
    <col min="5" max="6" width="35.33203125" bestFit="1" customWidth="1"/>
    <col min="7" max="7" width="49.83203125" bestFit="1" customWidth="1"/>
    <col min="8" max="8" width="21.83203125" bestFit="1" customWidth="1"/>
    <col min="9" max="9" width="10.6640625" bestFit="1" customWidth="1"/>
    <col min="10" max="10" width="8.5" bestFit="1" customWidth="1"/>
    <col min="11" max="11" width="19.1640625" bestFit="1" customWidth="1"/>
    <col min="12" max="12" width="21.1640625" bestFit="1" customWidth="1"/>
    <col min="13" max="13" width="55.1640625" bestFit="1" customWidth="1"/>
    <col min="14" max="14" width="73.6640625" bestFit="1" customWidth="1"/>
    <col min="15" max="15" width="67.1640625" bestFit="1" customWidth="1"/>
    <col min="16" max="16" width="81.33203125" bestFit="1" customWidth="1"/>
    <col min="17" max="18" width="41.6640625" bestFit="1" customWidth="1"/>
    <col min="19" max="19" width="41.6640625" customWidth="1"/>
    <col min="20" max="20" width="41.6640625" bestFit="1" customWidth="1"/>
    <col min="21" max="21" width="13" bestFit="1" customWidth="1"/>
    <col min="22" max="22" width="41.1640625" bestFit="1" customWidth="1"/>
  </cols>
  <sheetData>
    <row r="1" spans="1:19" x14ac:dyDescent="0.2">
      <c r="A1" t="s">
        <v>113</v>
      </c>
      <c r="B1" t="s">
        <v>114</v>
      </c>
      <c r="C1" t="s">
        <v>3393</v>
      </c>
      <c r="D1" t="s">
        <v>115</v>
      </c>
      <c r="E1" t="s">
        <v>116</v>
      </c>
      <c r="F1" t="s">
        <v>117</v>
      </c>
      <c r="G1" t="s">
        <v>97</v>
      </c>
      <c r="H1" t="s">
        <v>87</v>
      </c>
      <c r="I1" t="s">
        <v>118</v>
      </c>
      <c r="J1" t="s">
        <v>119</v>
      </c>
      <c r="K1" t="s">
        <v>120</v>
      </c>
      <c r="L1" t="s">
        <v>121</v>
      </c>
      <c r="M1" t="s">
        <v>122</v>
      </c>
      <c r="N1" t="s">
        <v>123</v>
      </c>
      <c r="O1" t="s">
        <v>124</v>
      </c>
      <c r="P1" t="s">
        <v>125</v>
      </c>
      <c r="Q1" t="s">
        <v>2928</v>
      </c>
      <c r="R1" t="s">
        <v>2929</v>
      </c>
      <c r="S1" t="s">
        <v>2930</v>
      </c>
    </row>
    <row r="2" spans="1:19" x14ac:dyDescent="0.2">
      <c r="A2" t="s">
        <v>3050</v>
      </c>
      <c r="B2" t="s">
        <v>3051</v>
      </c>
      <c r="C2" t="s">
        <v>112</v>
      </c>
      <c r="D2" t="s">
        <v>3052</v>
      </c>
      <c r="E2" t="s">
        <v>3053</v>
      </c>
      <c r="F2" t="s">
        <v>3168</v>
      </c>
      <c r="G2" t="s">
        <v>3201</v>
      </c>
      <c r="H2" t="s">
        <v>3202</v>
      </c>
      <c r="I2" t="s">
        <v>3203</v>
      </c>
      <c r="J2">
        <v>2025</v>
      </c>
      <c r="K2" t="s">
        <v>3204</v>
      </c>
      <c r="N2" t="s">
        <v>112</v>
      </c>
      <c r="P2" t="s">
        <v>3169</v>
      </c>
    </row>
    <row r="3" spans="1:19" x14ac:dyDescent="0.2">
      <c r="A3" t="s">
        <v>3205</v>
      </c>
      <c r="C3" t="s">
        <v>112</v>
      </c>
      <c r="D3" t="s">
        <v>3052</v>
      </c>
      <c r="E3" t="s">
        <v>3206</v>
      </c>
      <c r="G3" t="s">
        <v>3207</v>
      </c>
      <c r="I3" t="s">
        <v>3203</v>
      </c>
      <c r="J3">
        <v>2025</v>
      </c>
      <c r="K3" t="s">
        <v>3204</v>
      </c>
      <c r="N3" t="s">
        <v>112</v>
      </c>
      <c r="P3" t="s">
        <v>3208</v>
      </c>
    </row>
    <row r="4" spans="1:19" x14ac:dyDescent="0.2">
      <c r="A4" t="s">
        <v>3209</v>
      </c>
      <c r="C4" t="s">
        <v>112</v>
      </c>
      <c r="D4" t="s">
        <v>3052</v>
      </c>
      <c r="E4" t="s">
        <v>3210</v>
      </c>
      <c r="G4" t="s">
        <v>3211</v>
      </c>
      <c r="I4" t="s">
        <v>3203</v>
      </c>
      <c r="J4">
        <v>2025</v>
      </c>
      <c r="K4" t="s">
        <v>3204</v>
      </c>
      <c r="N4" t="s">
        <v>112</v>
      </c>
      <c r="P4" t="s">
        <v>3212</v>
      </c>
    </row>
    <row r="5" spans="1:19" x14ac:dyDescent="0.2">
      <c r="A5" t="s">
        <v>3350</v>
      </c>
      <c r="D5" t="s">
        <v>3052</v>
      </c>
      <c r="E5" t="s">
        <v>3351</v>
      </c>
      <c r="G5" t="s">
        <v>3352</v>
      </c>
      <c r="I5" t="s">
        <v>3203</v>
      </c>
      <c r="J5">
        <v>2025</v>
      </c>
      <c r="K5" t="s">
        <v>3204</v>
      </c>
      <c r="N5" t="s">
        <v>112</v>
      </c>
      <c r="P5" t="s">
        <v>3353</v>
      </c>
    </row>
    <row r="6" spans="1:19" x14ac:dyDescent="0.2">
      <c r="A6" t="s">
        <v>3429</v>
      </c>
      <c r="C6" t="s">
        <v>112</v>
      </c>
      <c r="D6" t="s">
        <v>3052</v>
      </c>
      <c r="E6" t="s">
        <v>3430</v>
      </c>
      <c r="F6" t="s">
        <v>3431</v>
      </c>
      <c r="G6" t="s">
        <v>3432</v>
      </c>
      <c r="H6" t="s">
        <v>3433</v>
      </c>
      <c r="I6" t="s">
        <v>3203</v>
      </c>
      <c r="J6">
        <v>2025</v>
      </c>
      <c r="K6" t="s">
        <v>3204</v>
      </c>
      <c r="P6" t="s">
        <v>3434</v>
      </c>
    </row>
    <row r="7" spans="1:19" x14ac:dyDescent="0.2">
      <c r="A7" t="s">
        <v>3435</v>
      </c>
      <c r="C7" t="s">
        <v>112</v>
      </c>
      <c r="D7" t="s">
        <v>3052</v>
      </c>
      <c r="E7" t="s">
        <v>2780</v>
      </c>
      <c r="G7" t="s">
        <v>3436</v>
      </c>
      <c r="H7" t="s">
        <v>146</v>
      </c>
      <c r="I7" t="s">
        <v>3203</v>
      </c>
      <c r="J7">
        <v>2025</v>
      </c>
      <c r="K7" t="s">
        <v>3204</v>
      </c>
      <c r="P7" t="s">
        <v>3471</v>
      </c>
    </row>
    <row r="8" spans="1:19" x14ac:dyDescent="0.2">
      <c r="A8" t="s">
        <v>3447</v>
      </c>
      <c r="C8" t="s">
        <v>112</v>
      </c>
      <c r="D8" t="s">
        <v>3052</v>
      </c>
      <c r="F8" t="s">
        <v>3448</v>
      </c>
      <c r="G8" t="s">
        <v>3436</v>
      </c>
      <c r="H8" t="s">
        <v>3449</v>
      </c>
      <c r="I8" t="s">
        <v>3203</v>
      </c>
      <c r="J8">
        <v>2025</v>
      </c>
      <c r="K8" t="s">
        <v>3204</v>
      </c>
      <c r="P8" t="s">
        <v>3472</v>
      </c>
    </row>
    <row r="9" spans="1:19" x14ac:dyDescent="0.2">
      <c r="A9" t="s">
        <v>2552</v>
      </c>
      <c r="B9" t="s">
        <v>2553</v>
      </c>
      <c r="C9" t="s">
        <v>128</v>
      </c>
      <c r="D9" t="s">
        <v>2554</v>
      </c>
      <c r="F9" t="s">
        <v>2555</v>
      </c>
      <c r="H9" t="s">
        <v>194</v>
      </c>
      <c r="I9" t="s">
        <v>194</v>
      </c>
      <c r="J9">
        <v>2023</v>
      </c>
      <c r="K9" t="s">
        <v>523</v>
      </c>
      <c r="L9">
        <v>45412</v>
      </c>
      <c r="N9" t="s">
        <v>2556</v>
      </c>
      <c r="O9" t="s">
        <v>2933</v>
      </c>
      <c r="P9" t="s">
        <v>2557</v>
      </c>
    </row>
    <row r="10" spans="1:19" x14ac:dyDescent="0.2">
      <c r="A10" t="s">
        <v>2608</v>
      </c>
      <c r="B10" t="s">
        <v>2609</v>
      </c>
      <c r="C10" t="s">
        <v>128</v>
      </c>
      <c r="D10" t="s">
        <v>2554</v>
      </c>
      <c r="F10" t="s">
        <v>2610</v>
      </c>
      <c r="G10" t="s">
        <v>2611</v>
      </c>
      <c r="H10" t="s">
        <v>194</v>
      </c>
      <c r="I10" t="s">
        <v>194</v>
      </c>
      <c r="J10">
        <v>2024</v>
      </c>
      <c r="K10" t="s">
        <v>523</v>
      </c>
      <c r="L10" t="s">
        <v>2612</v>
      </c>
      <c r="N10" t="s">
        <v>444</v>
      </c>
      <c r="O10" t="s">
        <v>2934</v>
      </c>
      <c r="P10" t="s">
        <v>2613</v>
      </c>
    </row>
    <row r="11" spans="1:19" x14ac:dyDescent="0.2">
      <c r="A11" t="s">
        <v>2728</v>
      </c>
      <c r="B11" t="s">
        <v>2729</v>
      </c>
      <c r="C11" t="s">
        <v>128</v>
      </c>
      <c r="D11" t="s">
        <v>2554</v>
      </c>
      <c r="F11" t="s">
        <v>2730</v>
      </c>
      <c r="G11" t="s">
        <v>2611</v>
      </c>
      <c r="H11" t="s">
        <v>194</v>
      </c>
      <c r="I11" t="s">
        <v>194</v>
      </c>
      <c r="J11">
        <v>2024</v>
      </c>
      <c r="K11" t="s">
        <v>523</v>
      </c>
      <c r="L11" t="s">
        <v>2612</v>
      </c>
      <c r="M11" t="s">
        <v>2935</v>
      </c>
      <c r="N11" t="s">
        <v>444</v>
      </c>
      <c r="O11" t="s">
        <v>2934</v>
      </c>
      <c r="P11" t="s">
        <v>2731</v>
      </c>
    </row>
    <row r="12" spans="1:19" x14ac:dyDescent="0.2">
      <c r="A12" t="s">
        <v>2952</v>
      </c>
      <c r="B12" t="s">
        <v>2953</v>
      </c>
      <c r="C12" t="s">
        <v>128</v>
      </c>
      <c r="D12" t="s">
        <v>2954</v>
      </c>
      <c r="F12" t="s">
        <v>2955</v>
      </c>
      <c r="G12" t="s">
        <v>2555</v>
      </c>
      <c r="H12" t="s">
        <v>194</v>
      </c>
      <c r="I12" t="s">
        <v>194</v>
      </c>
      <c r="J12">
        <v>2025</v>
      </c>
      <c r="K12" t="s">
        <v>523</v>
      </c>
      <c r="L12">
        <v>45823</v>
      </c>
      <c r="N12" t="s">
        <v>134</v>
      </c>
      <c r="O12" t="s">
        <v>2934</v>
      </c>
      <c r="P12" t="s">
        <v>2956</v>
      </c>
    </row>
    <row r="13" spans="1:19" x14ac:dyDescent="0.2">
      <c r="A13" t="s">
        <v>2604</v>
      </c>
      <c r="B13" t="s">
        <v>2605</v>
      </c>
      <c r="C13" t="s">
        <v>112</v>
      </c>
      <c r="D13" t="s">
        <v>2606</v>
      </c>
      <c r="E13" t="s">
        <v>2607</v>
      </c>
      <c r="F13" t="s">
        <v>2555</v>
      </c>
      <c r="H13" t="s">
        <v>194</v>
      </c>
      <c r="I13" t="s">
        <v>194</v>
      </c>
      <c r="J13">
        <v>2024</v>
      </c>
      <c r="K13" t="s">
        <v>523</v>
      </c>
      <c r="L13">
        <v>45565</v>
      </c>
      <c r="N13" t="s">
        <v>134</v>
      </c>
      <c r="O13" t="s">
        <v>2934</v>
      </c>
      <c r="P13" t="s">
        <v>3473</v>
      </c>
    </row>
    <row r="14" spans="1:19" x14ac:dyDescent="0.2">
      <c r="A14" t="s">
        <v>3071</v>
      </c>
      <c r="C14" t="s">
        <v>112</v>
      </c>
      <c r="D14" t="s">
        <v>3072</v>
      </c>
      <c r="F14" t="s">
        <v>3073</v>
      </c>
      <c r="G14" t="s">
        <v>3074</v>
      </c>
      <c r="H14" t="s">
        <v>225</v>
      </c>
      <c r="I14" t="s">
        <v>2569</v>
      </c>
      <c r="J14">
        <v>2025</v>
      </c>
      <c r="K14" t="s">
        <v>523</v>
      </c>
      <c r="L14" t="s">
        <v>112</v>
      </c>
      <c r="N14" t="s">
        <v>597</v>
      </c>
      <c r="P14" t="s">
        <v>3075</v>
      </c>
    </row>
    <row r="15" spans="1:19" x14ac:dyDescent="0.2">
      <c r="A15" t="s">
        <v>3289</v>
      </c>
      <c r="B15" t="s">
        <v>3401</v>
      </c>
      <c r="C15" t="s">
        <v>128</v>
      </c>
      <c r="D15" t="s">
        <v>3402</v>
      </c>
      <c r="F15" t="s">
        <v>3290</v>
      </c>
      <c r="G15" t="s">
        <v>2793</v>
      </c>
      <c r="H15" t="s">
        <v>194</v>
      </c>
      <c r="I15" t="s">
        <v>194</v>
      </c>
      <c r="J15">
        <v>2025</v>
      </c>
      <c r="K15" t="s">
        <v>523</v>
      </c>
      <c r="L15">
        <v>46006</v>
      </c>
      <c r="M15" t="s">
        <v>3403</v>
      </c>
      <c r="N15" t="s">
        <v>597</v>
      </c>
      <c r="O15" t="s">
        <v>3404</v>
      </c>
      <c r="P15" t="s">
        <v>3405</v>
      </c>
    </row>
    <row r="16" spans="1:19" x14ac:dyDescent="0.2">
      <c r="A16" t="s">
        <v>2351</v>
      </c>
      <c r="B16" t="s">
        <v>2352</v>
      </c>
      <c r="C16" t="s">
        <v>128</v>
      </c>
      <c r="D16" t="s">
        <v>901</v>
      </c>
      <c r="E16" t="s">
        <v>901</v>
      </c>
      <c r="F16" t="s">
        <v>2353</v>
      </c>
      <c r="G16" t="s">
        <v>2354</v>
      </c>
      <c r="H16" t="s">
        <v>326</v>
      </c>
      <c r="I16" t="s">
        <v>1181</v>
      </c>
      <c r="J16">
        <v>2023</v>
      </c>
      <c r="K16" t="s">
        <v>133</v>
      </c>
      <c r="L16">
        <v>45198</v>
      </c>
      <c r="N16" t="s">
        <v>134</v>
      </c>
      <c r="P16" t="s">
        <v>2355</v>
      </c>
    </row>
    <row r="17" spans="1:16" x14ac:dyDescent="0.2">
      <c r="A17" t="s">
        <v>2967</v>
      </c>
      <c r="C17" t="s">
        <v>112</v>
      </c>
      <c r="D17" t="s">
        <v>901</v>
      </c>
      <c r="F17" t="s">
        <v>901</v>
      </c>
      <c r="G17" t="s">
        <v>2968</v>
      </c>
      <c r="H17" t="s">
        <v>2969</v>
      </c>
      <c r="J17">
        <v>2025</v>
      </c>
      <c r="K17" t="s">
        <v>133</v>
      </c>
      <c r="N17" t="s">
        <v>112</v>
      </c>
      <c r="P17" t="s">
        <v>3163</v>
      </c>
    </row>
    <row r="18" spans="1:16" x14ac:dyDescent="0.2">
      <c r="A18" t="s">
        <v>2375</v>
      </c>
      <c r="B18" t="s">
        <v>2376</v>
      </c>
      <c r="C18" t="s">
        <v>112</v>
      </c>
      <c r="D18" t="s">
        <v>2377</v>
      </c>
      <c r="E18" t="s">
        <v>2377</v>
      </c>
      <c r="F18" t="s">
        <v>2378</v>
      </c>
      <c r="H18" t="s">
        <v>2379</v>
      </c>
      <c r="I18" t="s">
        <v>1181</v>
      </c>
      <c r="J18">
        <v>2023</v>
      </c>
      <c r="K18" t="s">
        <v>2332</v>
      </c>
      <c r="L18">
        <v>45187</v>
      </c>
      <c r="N18" t="s">
        <v>134</v>
      </c>
      <c r="P18" t="s">
        <v>3474</v>
      </c>
    </row>
    <row r="19" spans="1:16" x14ac:dyDescent="0.2">
      <c r="A19" t="s">
        <v>500</v>
      </c>
      <c r="B19" t="s">
        <v>501</v>
      </c>
      <c r="C19" t="s">
        <v>128</v>
      </c>
      <c r="D19" t="s">
        <v>130</v>
      </c>
      <c r="F19" t="s">
        <v>281</v>
      </c>
      <c r="H19" t="s">
        <v>281</v>
      </c>
      <c r="J19">
        <v>2017</v>
      </c>
      <c r="K19" t="s">
        <v>351</v>
      </c>
      <c r="L19">
        <v>43017</v>
      </c>
      <c r="N19" t="s">
        <v>134</v>
      </c>
      <c r="O19" t="s">
        <v>135</v>
      </c>
      <c r="P19" t="s">
        <v>3475</v>
      </c>
    </row>
    <row r="20" spans="1:16" x14ac:dyDescent="0.2">
      <c r="A20" t="s">
        <v>3382</v>
      </c>
      <c r="B20" t="s">
        <v>3383</v>
      </c>
      <c r="C20" t="s">
        <v>128</v>
      </c>
      <c r="D20" t="s">
        <v>3384</v>
      </c>
      <c r="E20" t="s">
        <v>3385</v>
      </c>
      <c r="F20" t="s">
        <v>3386</v>
      </c>
      <c r="G20" t="s">
        <v>3387</v>
      </c>
      <c r="H20" t="s">
        <v>1412</v>
      </c>
      <c r="I20" t="s">
        <v>1181</v>
      </c>
      <c r="J20">
        <v>2025</v>
      </c>
      <c r="K20" t="s">
        <v>523</v>
      </c>
      <c r="N20" t="s">
        <v>597</v>
      </c>
      <c r="P20" t="s">
        <v>3388</v>
      </c>
    </row>
    <row r="21" spans="1:16" x14ac:dyDescent="0.2">
      <c r="A21" t="s">
        <v>3389</v>
      </c>
      <c r="B21" t="s">
        <v>3390</v>
      </c>
      <c r="C21" t="s">
        <v>128</v>
      </c>
      <c r="D21" t="s">
        <v>3384</v>
      </c>
      <c r="E21" t="s">
        <v>3385</v>
      </c>
      <c r="F21" t="s">
        <v>1763</v>
      </c>
      <c r="G21" t="s">
        <v>3387</v>
      </c>
      <c r="H21" t="s">
        <v>1412</v>
      </c>
      <c r="I21" t="s">
        <v>1181</v>
      </c>
      <c r="J21">
        <v>2025</v>
      </c>
      <c r="K21" t="s">
        <v>523</v>
      </c>
      <c r="N21" t="s">
        <v>597</v>
      </c>
      <c r="P21" t="s">
        <v>3391</v>
      </c>
    </row>
    <row r="22" spans="1:16" x14ac:dyDescent="0.2">
      <c r="A22" t="s">
        <v>754</v>
      </c>
      <c r="B22" t="s">
        <v>755</v>
      </c>
      <c r="C22" t="s">
        <v>128</v>
      </c>
      <c r="D22" t="s">
        <v>756</v>
      </c>
      <c r="E22" t="s">
        <v>756</v>
      </c>
      <c r="F22" t="s">
        <v>756</v>
      </c>
      <c r="G22" t="s">
        <v>757</v>
      </c>
      <c r="H22" t="s">
        <v>309</v>
      </c>
      <c r="J22">
        <v>2018</v>
      </c>
      <c r="K22" t="s">
        <v>758</v>
      </c>
      <c r="L22">
        <v>43256</v>
      </c>
      <c r="N22" t="s">
        <v>134</v>
      </c>
      <c r="O22" t="s">
        <v>135</v>
      </c>
      <c r="P22" t="s">
        <v>759</v>
      </c>
    </row>
    <row r="23" spans="1:16" x14ac:dyDescent="0.2">
      <c r="A23" t="s">
        <v>2948</v>
      </c>
      <c r="B23" t="s">
        <v>2949</v>
      </c>
      <c r="C23" t="s">
        <v>112</v>
      </c>
      <c r="D23" t="s">
        <v>2950</v>
      </c>
      <c r="E23" t="s">
        <v>218</v>
      </c>
      <c r="F23" t="s">
        <v>2951</v>
      </c>
      <c r="H23" t="s">
        <v>220</v>
      </c>
      <c r="I23" t="s">
        <v>2569</v>
      </c>
      <c r="J23">
        <v>2025</v>
      </c>
      <c r="K23" t="s">
        <v>261</v>
      </c>
      <c r="L23">
        <v>45749</v>
      </c>
      <c r="N23" t="s">
        <v>134</v>
      </c>
      <c r="O23" t="s">
        <v>135</v>
      </c>
      <c r="P23" t="s">
        <v>3476</v>
      </c>
    </row>
    <row r="24" spans="1:16" x14ac:dyDescent="0.2">
      <c r="A24" t="s">
        <v>2201</v>
      </c>
      <c r="B24" t="s">
        <v>444</v>
      </c>
      <c r="C24" t="s">
        <v>128</v>
      </c>
      <c r="D24" t="s">
        <v>733</v>
      </c>
      <c r="F24" t="s">
        <v>626</v>
      </c>
      <c r="H24" t="s">
        <v>477</v>
      </c>
      <c r="I24" t="s">
        <v>1181</v>
      </c>
      <c r="J24">
        <v>2023</v>
      </c>
      <c r="K24" t="s">
        <v>112</v>
      </c>
      <c r="N24" t="s">
        <v>112</v>
      </c>
      <c r="P24" t="s">
        <v>2202</v>
      </c>
    </row>
    <row r="25" spans="1:16" x14ac:dyDescent="0.2">
      <c r="A25" t="s">
        <v>1773</v>
      </c>
      <c r="B25" t="s">
        <v>1774</v>
      </c>
      <c r="C25" t="s">
        <v>128</v>
      </c>
      <c r="D25" t="s">
        <v>497</v>
      </c>
      <c r="F25" t="s">
        <v>836</v>
      </c>
      <c r="G25" t="s">
        <v>1775</v>
      </c>
      <c r="H25" t="s">
        <v>326</v>
      </c>
      <c r="I25" t="s">
        <v>1181</v>
      </c>
      <c r="J25">
        <v>2021</v>
      </c>
      <c r="K25" t="s">
        <v>277</v>
      </c>
      <c r="L25">
        <v>44502</v>
      </c>
      <c r="N25" t="s">
        <v>134</v>
      </c>
      <c r="P25" t="s">
        <v>1776</v>
      </c>
    </row>
    <row r="26" spans="1:16" x14ac:dyDescent="0.2">
      <c r="A26" t="s">
        <v>1773</v>
      </c>
      <c r="B26" t="s">
        <v>1777</v>
      </c>
      <c r="C26" t="s">
        <v>128</v>
      </c>
      <c r="D26" t="s">
        <v>497</v>
      </c>
      <c r="F26" t="s">
        <v>836</v>
      </c>
      <c r="G26" t="s">
        <v>1778</v>
      </c>
      <c r="H26" t="s">
        <v>326</v>
      </c>
      <c r="I26" t="s">
        <v>1181</v>
      </c>
      <c r="J26">
        <v>2021</v>
      </c>
      <c r="K26" t="s">
        <v>277</v>
      </c>
      <c r="L26">
        <v>44656</v>
      </c>
      <c r="N26" t="s">
        <v>134</v>
      </c>
      <c r="P26" t="s">
        <v>1776</v>
      </c>
    </row>
    <row r="27" spans="1:16" x14ac:dyDescent="0.2">
      <c r="A27" t="s">
        <v>1832</v>
      </c>
      <c r="B27" t="s">
        <v>1833</v>
      </c>
      <c r="C27" t="s">
        <v>128</v>
      </c>
      <c r="D27" t="s">
        <v>497</v>
      </c>
      <c r="F27" t="s">
        <v>1834</v>
      </c>
      <c r="G27" t="s">
        <v>1835</v>
      </c>
      <c r="H27" t="s">
        <v>392</v>
      </c>
      <c r="I27" t="s">
        <v>1181</v>
      </c>
      <c r="J27">
        <v>2021</v>
      </c>
      <c r="K27" t="s">
        <v>221</v>
      </c>
      <c r="L27">
        <v>44671</v>
      </c>
      <c r="N27" t="s">
        <v>134</v>
      </c>
      <c r="O27" t="s">
        <v>135</v>
      </c>
      <c r="P27" t="s">
        <v>1836</v>
      </c>
    </row>
    <row r="28" spans="1:16" x14ac:dyDescent="0.2">
      <c r="A28" t="s">
        <v>1498</v>
      </c>
      <c r="B28" t="s">
        <v>1499</v>
      </c>
      <c r="C28" t="s">
        <v>128</v>
      </c>
      <c r="D28" t="s">
        <v>1500</v>
      </c>
      <c r="F28" t="s">
        <v>1500</v>
      </c>
      <c r="H28" t="s">
        <v>309</v>
      </c>
      <c r="I28" t="s">
        <v>1181</v>
      </c>
      <c r="J28">
        <v>2020</v>
      </c>
      <c r="K28" t="s">
        <v>261</v>
      </c>
      <c r="L28">
        <v>44288</v>
      </c>
      <c r="N28" t="s">
        <v>134</v>
      </c>
      <c r="O28" t="s">
        <v>135</v>
      </c>
      <c r="P28" t="s">
        <v>1501</v>
      </c>
    </row>
    <row r="29" spans="1:16" x14ac:dyDescent="0.2">
      <c r="A29" t="s">
        <v>2267</v>
      </c>
      <c r="B29" t="s">
        <v>2268</v>
      </c>
      <c r="C29" t="s">
        <v>112</v>
      </c>
      <c r="D29" t="s">
        <v>2269</v>
      </c>
      <c r="F29" t="s">
        <v>2270</v>
      </c>
      <c r="H29" t="s">
        <v>309</v>
      </c>
      <c r="I29" t="s">
        <v>1181</v>
      </c>
      <c r="J29">
        <v>2023</v>
      </c>
      <c r="K29" t="s">
        <v>261</v>
      </c>
      <c r="L29">
        <v>45107</v>
      </c>
      <c r="N29" t="s">
        <v>134</v>
      </c>
      <c r="O29" t="s">
        <v>135</v>
      </c>
      <c r="P29" t="s">
        <v>3477</v>
      </c>
    </row>
    <row r="30" spans="1:16" x14ac:dyDescent="0.2">
      <c r="A30" t="s">
        <v>2279</v>
      </c>
      <c r="B30" t="s">
        <v>2280</v>
      </c>
      <c r="C30" t="s">
        <v>112</v>
      </c>
      <c r="D30" t="s">
        <v>703</v>
      </c>
      <c r="F30" t="s">
        <v>703</v>
      </c>
      <c r="G30" t="s">
        <v>2281</v>
      </c>
      <c r="H30" t="s">
        <v>146</v>
      </c>
      <c r="I30" t="s">
        <v>1181</v>
      </c>
      <c r="J30">
        <v>2023</v>
      </c>
      <c r="K30" t="s">
        <v>277</v>
      </c>
      <c r="L30">
        <v>45047</v>
      </c>
      <c r="N30" t="s">
        <v>134</v>
      </c>
      <c r="P30" t="s">
        <v>3478</v>
      </c>
    </row>
    <row r="31" spans="1:16" x14ac:dyDescent="0.2">
      <c r="A31" t="s">
        <v>2279</v>
      </c>
      <c r="B31" t="s">
        <v>2282</v>
      </c>
      <c r="C31" t="s">
        <v>112</v>
      </c>
      <c r="D31" t="s">
        <v>703</v>
      </c>
      <c r="F31" t="s">
        <v>703</v>
      </c>
      <c r="G31" t="s">
        <v>2283</v>
      </c>
      <c r="H31" t="s">
        <v>146</v>
      </c>
      <c r="I31" t="s">
        <v>1181</v>
      </c>
      <c r="J31">
        <v>2023</v>
      </c>
      <c r="K31" t="s">
        <v>277</v>
      </c>
      <c r="L31">
        <v>45145</v>
      </c>
      <c r="N31" t="s">
        <v>134</v>
      </c>
      <c r="P31" t="s">
        <v>3479</v>
      </c>
    </row>
    <row r="32" spans="1:16" x14ac:dyDescent="0.2">
      <c r="A32" t="s">
        <v>3171</v>
      </c>
      <c r="B32" t="s">
        <v>3172</v>
      </c>
      <c r="C32" t="s">
        <v>112</v>
      </c>
      <c r="D32" t="s">
        <v>703</v>
      </c>
      <c r="F32" t="s">
        <v>703</v>
      </c>
      <c r="H32" t="s">
        <v>146</v>
      </c>
      <c r="I32" t="s">
        <v>1181</v>
      </c>
      <c r="J32">
        <v>2025</v>
      </c>
      <c r="K32" t="s">
        <v>277</v>
      </c>
      <c r="L32">
        <v>45855</v>
      </c>
      <c r="N32" t="s">
        <v>134</v>
      </c>
      <c r="P32" t="s">
        <v>3480</v>
      </c>
    </row>
    <row r="33" spans="1:16" x14ac:dyDescent="0.2">
      <c r="A33" t="s">
        <v>142</v>
      </c>
      <c r="B33" t="s">
        <v>143</v>
      </c>
      <c r="C33" t="s">
        <v>128</v>
      </c>
      <c r="D33" t="s">
        <v>144</v>
      </c>
      <c r="F33" t="s">
        <v>145</v>
      </c>
      <c r="H33" t="s">
        <v>146</v>
      </c>
      <c r="J33">
        <v>2016</v>
      </c>
      <c r="N33" t="s">
        <v>147</v>
      </c>
      <c r="O33" t="s">
        <v>135</v>
      </c>
      <c r="P33" t="s">
        <v>3481</v>
      </c>
    </row>
    <row r="34" spans="1:16" x14ac:dyDescent="0.2">
      <c r="A34" t="s">
        <v>271</v>
      </c>
      <c r="B34" t="s">
        <v>272</v>
      </c>
      <c r="C34" t="s">
        <v>128</v>
      </c>
      <c r="D34" t="s">
        <v>144</v>
      </c>
      <c r="F34" t="s">
        <v>144</v>
      </c>
      <c r="H34" t="s">
        <v>146</v>
      </c>
      <c r="J34">
        <v>2016</v>
      </c>
      <c r="L34">
        <v>42724</v>
      </c>
      <c r="N34" t="s">
        <v>134</v>
      </c>
      <c r="O34" t="s">
        <v>135</v>
      </c>
      <c r="P34" t="s">
        <v>273</v>
      </c>
    </row>
    <row r="35" spans="1:16" x14ac:dyDescent="0.2">
      <c r="A35" t="s">
        <v>3285</v>
      </c>
      <c r="B35" t="s">
        <v>3286</v>
      </c>
      <c r="C35" t="s">
        <v>112</v>
      </c>
      <c r="D35" t="s">
        <v>3287</v>
      </c>
      <c r="F35" t="s">
        <v>3288</v>
      </c>
      <c r="G35" t="s">
        <v>2793</v>
      </c>
      <c r="H35" t="s">
        <v>194</v>
      </c>
      <c r="I35" t="s">
        <v>194</v>
      </c>
      <c r="J35">
        <v>2025</v>
      </c>
      <c r="K35" t="s">
        <v>523</v>
      </c>
      <c r="L35">
        <v>45976</v>
      </c>
      <c r="M35" t="s">
        <v>3399</v>
      </c>
      <c r="N35" t="s">
        <v>597</v>
      </c>
      <c r="O35" t="s">
        <v>3400</v>
      </c>
      <c r="P35" t="s">
        <v>3482</v>
      </c>
    </row>
    <row r="36" spans="1:16" x14ac:dyDescent="0.2">
      <c r="A36" t="s">
        <v>232</v>
      </c>
      <c r="B36" t="s">
        <v>233</v>
      </c>
      <c r="C36" t="s">
        <v>128</v>
      </c>
      <c r="D36" t="s">
        <v>218</v>
      </c>
      <c r="F36" t="s">
        <v>160</v>
      </c>
      <c r="H36" t="s">
        <v>220</v>
      </c>
      <c r="J36">
        <v>2016</v>
      </c>
      <c r="K36" t="s">
        <v>221</v>
      </c>
      <c r="L36">
        <v>42853</v>
      </c>
      <c r="N36" t="s">
        <v>134</v>
      </c>
      <c r="O36" t="s">
        <v>135</v>
      </c>
      <c r="P36" t="s">
        <v>3483</v>
      </c>
    </row>
    <row r="37" spans="1:16" x14ac:dyDescent="0.2">
      <c r="A37" t="s">
        <v>232</v>
      </c>
      <c r="B37" t="s">
        <v>235</v>
      </c>
      <c r="C37" t="s">
        <v>128</v>
      </c>
      <c r="D37" t="s">
        <v>218</v>
      </c>
      <c r="F37" t="s">
        <v>160</v>
      </c>
      <c r="H37" t="s">
        <v>220</v>
      </c>
      <c r="J37">
        <v>2016</v>
      </c>
      <c r="K37" t="s">
        <v>221</v>
      </c>
      <c r="L37">
        <v>43018</v>
      </c>
      <c r="N37" t="s">
        <v>134</v>
      </c>
      <c r="O37" t="s">
        <v>135</v>
      </c>
      <c r="P37" t="s">
        <v>3483</v>
      </c>
    </row>
    <row r="38" spans="1:16" x14ac:dyDescent="0.2">
      <c r="A38" t="s">
        <v>232</v>
      </c>
      <c r="B38" t="s">
        <v>236</v>
      </c>
      <c r="C38" t="s">
        <v>128</v>
      </c>
      <c r="D38" t="s">
        <v>218</v>
      </c>
      <c r="F38" t="s">
        <v>160</v>
      </c>
      <c r="H38" t="s">
        <v>220</v>
      </c>
      <c r="J38">
        <v>2016</v>
      </c>
      <c r="K38" t="s">
        <v>221</v>
      </c>
      <c r="L38">
        <v>43089</v>
      </c>
      <c r="N38" t="s">
        <v>140</v>
      </c>
      <c r="O38" t="s">
        <v>135</v>
      </c>
      <c r="P38" t="s">
        <v>234</v>
      </c>
    </row>
    <row r="39" spans="1:16" x14ac:dyDescent="0.2">
      <c r="A39" t="s">
        <v>889</v>
      </c>
      <c r="B39" t="s">
        <v>890</v>
      </c>
      <c r="C39" t="s">
        <v>128</v>
      </c>
      <c r="D39" t="s">
        <v>218</v>
      </c>
      <c r="F39" t="s">
        <v>160</v>
      </c>
      <c r="G39" t="s">
        <v>891</v>
      </c>
      <c r="H39" t="s">
        <v>220</v>
      </c>
      <c r="J39">
        <v>2018</v>
      </c>
      <c r="K39" t="s">
        <v>221</v>
      </c>
      <c r="L39">
        <v>43437</v>
      </c>
      <c r="N39" t="s">
        <v>134</v>
      </c>
      <c r="O39" t="s">
        <v>135</v>
      </c>
      <c r="P39" t="s">
        <v>892</v>
      </c>
    </row>
    <row r="40" spans="1:16" x14ac:dyDescent="0.2">
      <c r="A40" t="s">
        <v>1151</v>
      </c>
      <c r="B40" t="s">
        <v>1152</v>
      </c>
      <c r="C40" t="s">
        <v>128</v>
      </c>
      <c r="D40" t="s">
        <v>218</v>
      </c>
      <c r="F40" t="s">
        <v>160</v>
      </c>
      <c r="G40" t="s">
        <v>1092</v>
      </c>
      <c r="H40" t="s">
        <v>220</v>
      </c>
      <c r="J40">
        <v>2019</v>
      </c>
      <c r="K40" t="s">
        <v>277</v>
      </c>
      <c r="L40">
        <v>43803</v>
      </c>
      <c r="N40" t="s">
        <v>134</v>
      </c>
      <c r="P40" t="s">
        <v>1153</v>
      </c>
    </row>
    <row r="41" spans="1:16" x14ac:dyDescent="0.2">
      <c r="A41" t="s">
        <v>1336</v>
      </c>
      <c r="B41" t="s">
        <v>1337</v>
      </c>
      <c r="C41" t="s">
        <v>128</v>
      </c>
      <c r="D41" t="s">
        <v>218</v>
      </c>
      <c r="F41" t="s">
        <v>1338</v>
      </c>
      <c r="H41" t="s">
        <v>220</v>
      </c>
      <c r="I41" t="s">
        <v>1181</v>
      </c>
      <c r="J41">
        <v>2020</v>
      </c>
      <c r="K41" t="s">
        <v>261</v>
      </c>
      <c r="L41">
        <v>44061</v>
      </c>
      <c r="N41" t="s">
        <v>134</v>
      </c>
      <c r="O41" t="s">
        <v>135</v>
      </c>
    </row>
    <row r="42" spans="1:16" x14ac:dyDescent="0.2">
      <c r="A42" t="s">
        <v>1336</v>
      </c>
      <c r="B42" t="s">
        <v>1340</v>
      </c>
      <c r="C42" t="s">
        <v>128</v>
      </c>
      <c r="D42" t="s">
        <v>218</v>
      </c>
      <c r="F42" t="s">
        <v>1338</v>
      </c>
      <c r="G42" t="s">
        <v>1341</v>
      </c>
      <c r="H42" t="s">
        <v>220</v>
      </c>
      <c r="I42" t="s">
        <v>1181</v>
      </c>
      <c r="J42">
        <v>2020</v>
      </c>
      <c r="K42" t="s">
        <v>261</v>
      </c>
      <c r="L42">
        <v>44061</v>
      </c>
      <c r="N42" t="s">
        <v>134</v>
      </c>
      <c r="O42" t="s">
        <v>135</v>
      </c>
      <c r="P42" t="s">
        <v>1339</v>
      </c>
    </row>
    <row r="43" spans="1:16" x14ac:dyDescent="0.2">
      <c r="A43" t="s">
        <v>1594</v>
      </c>
      <c r="B43" t="s">
        <v>1595</v>
      </c>
      <c r="C43" t="s">
        <v>128</v>
      </c>
      <c r="D43" t="s">
        <v>218</v>
      </c>
      <c r="E43" t="s">
        <v>218</v>
      </c>
      <c r="F43" t="s">
        <v>1596</v>
      </c>
      <c r="G43" t="s">
        <v>1597</v>
      </c>
      <c r="H43" t="s">
        <v>220</v>
      </c>
      <c r="I43" t="s">
        <v>1181</v>
      </c>
      <c r="J43">
        <v>2021</v>
      </c>
      <c r="K43" t="s">
        <v>133</v>
      </c>
      <c r="L43">
        <v>44355</v>
      </c>
      <c r="N43" t="s">
        <v>134</v>
      </c>
      <c r="P43" t="s">
        <v>1598</v>
      </c>
    </row>
    <row r="44" spans="1:16" x14ac:dyDescent="0.2">
      <c r="A44" t="s">
        <v>2116</v>
      </c>
      <c r="B44" t="s">
        <v>2117</v>
      </c>
      <c r="C44" t="s">
        <v>112</v>
      </c>
      <c r="D44" t="s">
        <v>218</v>
      </c>
      <c r="E44" t="s">
        <v>218</v>
      </c>
      <c r="G44" t="s">
        <v>2118</v>
      </c>
      <c r="H44" t="s">
        <v>220</v>
      </c>
      <c r="I44" t="s">
        <v>1181</v>
      </c>
      <c r="J44">
        <v>2022</v>
      </c>
      <c r="K44" t="s">
        <v>133</v>
      </c>
      <c r="L44">
        <v>44771</v>
      </c>
      <c r="N44" t="s">
        <v>112</v>
      </c>
      <c r="P44" t="s">
        <v>3484</v>
      </c>
    </row>
    <row r="45" spans="1:16" x14ac:dyDescent="0.2">
      <c r="A45" t="s">
        <v>2207</v>
      </c>
      <c r="B45" t="s">
        <v>2208</v>
      </c>
      <c r="C45" t="s">
        <v>128</v>
      </c>
      <c r="D45" t="s">
        <v>2209</v>
      </c>
      <c r="F45" t="s">
        <v>1596</v>
      </c>
      <c r="G45" t="s">
        <v>1596</v>
      </c>
      <c r="H45" t="s">
        <v>220</v>
      </c>
      <c r="I45" t="s">
        <v>1181</v>
      </c>
      <c r="J45">
        <v>2022</v>
      </c>
      <c r="K45" t="s">
        <v>261</v>
      </c>
      <c r="L45">
        <v>45100</v>
      </c>
      <c r="M45" t="s">
        <v>2932</v>
      </c>
      <c r="N45" t="s">
        <v>140</v>
      </c>
      <c r="O45" t="s">
        <v>415</v>
      </c>
      <c r="P45" t="s">
        <v>2210</v>
      </c>
    </row>
    <row r="46" spans="1:16" x14ac:dyDescent="0.2">
      <c r="A46" t="s">
        <v>2207</v>
      </c>
      <c r="B46" t="s">
        <v>2211</v>
      </c>
      <c r="C46" t="s">
        <v>128</v>
      </c>
      <c r="D46" t="s">
        <v>2209</v>
      </c>
      <c r="F46" t="s">
        <v>1596</v>
      </c>
      <c r="G46" t="s">
        <v>2212</v>
      </c>
      <c r="H46" t="s">
        <v>220</v>
      </c>
      <c r="I46" t="s">
        <v>1181</v>
      </c>
      <c r="J46">
        <v>2022</v>
      </c>
      <c r="K46" t="s">
        <v>261</v>
      </c>
      <c r="L46">
        <v>45016</v>
      </c>
      <c r="M46" t="s">
        <v>2932</v>
      </c>
      <c r="N46" t="s">
        <v>140</v>
      </c>
      <c r="O46" t="s">
        <v>415</v>
      </c>
      <c r="P46" t="s">
        <v>2210</v>
      </c>
    </row>
    <row r="47" spans="1:16" x14ac:dyDescent="0.2">
      <c r="A47" t="s">
        <v>2207</v>
      </c>
      <c r="B47" t="s">
        <v>2213</v>
      </c>
      <c r="C47" t="s">
        <v>128</v>
      </c>
      <c r="D47" t="s">
        <v>2209</v>
      </c>
      <c r="F47" t="s">
        <v>1596</v>
      </c>
      <c r="G47" t="s">
        <v>2214</v>
      </c>
      <c r="H47" t="s">
        <v>220</v>
      </c>
      <c r="I47" t="s">
        <v>1181</v>
      </c>
      <c r="J47">
        <v>2022</v>
      </c>
      <c r="K47" t="s">
        <v>261</v>
      </c>
      <c r="L47">
        <v>45100</v>
      </c>
      <c r="N47" t="s">
        <v>134</v>
      </c>
      <c r="O47" t="s">
        <v>135</v>
      </c>
      <c r="P47" t="s">
        <v>2210</v>
      </c>
    </row>
    <row r="48" spans="1:16" x14ac:dyDescent="0.2">
      <c r="A48" t="s">
        <v>2732</v>
      </c>
      <c r="B48" t="s">
        <v>2733</v>
      </c>
      <c r="C48" t="s">
        <v>112</v>
      </c>
      <c r="D48" t="s">
        <v>2734</v>
      </c>
      <c r="E48" t="s">
        <v>2735</v>
      </c>
      <c r="F48" t="s">
        <v>2736</v>
      </c>
      <c r="H48" t="s">
        <v>220</v>
      </c>
      <c r="I48" t="s">
        <v>2569</v>
      </c>
      <c r="J48">
        <v>2024</v>
      </c>
      <c r="K48" t="s">
        <v>2332</v>
      </c>
      <c r="N48" t="s">
        <v>134</v>
      </c>
      <c r="P48" t="s">
        <v>3485</v>
      </c>
    </row>
    <row r="49" spans="1:16" x14ac:dyDescent="0.2">
      <c r="A49" t="s">
        <v>1300</v>
      </c>
      <c r="B49" t="s">
        <v>1301</v>
      </c>
      <c r="C49" t="s">
        <v>128</v>
      </c>
      <c r="D49" t="s">
        <v>1302</v>
      </c>
      <c r="E49" t="s">
        <v>1302</v>
      </c>
      <c r="F49" t="s">
        <v>1303</v>
      </c>
      <c r="G49" t="s">
        <v>1304</v>
      </c>
      <c r="H49" t="s">
        <v>326</v>
      </c>
      <c r="I49" t="s">
        <v>1181</v>
      </c>
      <c r="J49">
        <v>2020</v>
      </c>
      <c r="K49" t="s">
        <v>221</v>
      </c>
      <c r="L49">
        <v>44058</v>
      </c>
      <c r="N49" t="s">
        <v>134</v>
      </c>
      <c r="O49" t="s">
        <v>135</v>
      </c>
      <c r="P49" t="s">
        <v>1305</v>
      </c>
    </row>
    <row r="50" spans="1:16" x14ac:dyDescent="0.2">
      <c r="A50" t="s">
        <v>2539</v>
      </c>
      <c r="B50" t="s">
        <v>2540</v>
      </c>
      <c r="C50" t="s">
        <v>128</v>
      </c>
      <c r="D50" t="s">
        <v>2541</v>
      </c>
      <c r="E50" t="s">
        <v>867</v>
      </c>
      <c r="F50" t="s">
        <v>2147</v>
      </c>
      <c r="G50" t="s">
        <v>2542</v>
      </c>
      <c r="H50" t="s">
        <v>267</v>
      </c>
      <c r="I50" t="s">
        <v>1181</v>
      </c>
      <c r="J50">
        <v>2023</v>
      </c>
      <c r="K50" t="s">
        <v>523</v>
      </c>
      <c r="L50">
        <v>45322</v>
      </c>
      <c r="N50" t="s">
        <v>134</v>
      </c>
      <c r="P50" t="s">
        <v>2543</v>
      </c>
    </row>
    <row r="51" spans="1:16" x14ac:dyDescent="0.2">
      <c r="A51" t="s">
        <v>1704</v>
      </c>
      <c r="B51" t="s">
        <v>1705</v>
      </c>
      <c r="C51" t="s">
        <v>128</v>
      </c>
      <c r="D51" t="s">
        <v>1706</v>
      </c>
      <c r="E51" t="s">
        <v>181</v>
      </c>
      <c r="F51" t="s">
        <v>1707</v>
      </c>
      <c r="H51" t="s">
        <v>258</v>
      </c>
      <c r="I51" t="s">
        <v>1181</v>
      </c>
      <c r="J51">
        <v>2021</v>
      </c>
      <c r="K51" t="s">
        <v>277</v>
      </c>
      <c r="L51">
        <v>44411</v>
      </c>
      <c r="N51" t="s">
        <v>134</v>
      </c>
      <c r="P51" t="s">
        <v>1708</v>
      </c>
    </row>
    <row r="52" spans="1:16" x14ac:dyDescent="0.2">
      <c r="A52" t="s">
        <v>2452</v>
      </c>
      <c r="B52" t="s">
        <v>2453</v>
      </c>
      <c r="C52" t="s">
        <v>128</v>
      </c>
      <c r="D52" t="s">
        <v>2454</v>
      </c>
      <c r="F52" t="s">
        <v>2455</v>
      </c>
      <c r="H52" t="s">
        <v>783</v>
      </c>
      <c r="I52" t="s">
        <v>1181</v>
      </c>
      <c r="J52">
        <v>2023</v>
      </c>
      <c r="K52" t="s">
        <v>221</v>
      </c>
      <c r="L52">
        <v>45260</v>
      </c>
      <c r="N52" t="s">
        <v>134</v>
      </c>
      <c r="P52" t="s">
        <v>2456</v>
      </c>
    </row>
    <row r="53" spans="1:16" x14ac:dyDescent="0.2">
      <c r="A53" t="s">
        <v>2667</v>
      </c>
      <c r="C53" t="s">
        <v>128</v>
      </c>
      <c r="D53" t="s">
        <v>2669</v>
      </c>
      <c r="E53" t="s">
        <v>2669</v>
      </c>
      <c r="F53" t="s">
        <v>2670</v>
      </c>
      <c r="G53" t="s">
        <v>2671</v>
      </c>
      <c r="H53" t="s">
        <v>309</v>
      </c>
      <c r="I53" t="s">
        <v>1181</v>
      </c>
      <c r="J53">
        <v>2024</v>
      </c>
      <c r="K53" t="s">
        <v>277</v>
      </c>
      <c r="L53">
        <v>45442</v>
      </c>
      <c r="N53" t="s">
        <v>134</v>
      </c>
      <c r="P53" t="s">
        <v>2672</v>
      </c>
    </row>
    <row r="54" spans="1:16" x14ac:dyDescent="0.2">
      <c r="A54" t="s">
        <v>1409</v>
      </c>
      <c r="B54" t="s">
        <v>1410</v>
      </c>
      <c r="C54" t="s">
        <v>112</v>
      </c>
      <c r="D54" t="s">
        <v>1411</v>
      </c>
      <c r="E54" t="s">
        <v>1412</v>
      </c>
      <c r="F54" t="s">
        <v>1413</v>
      </c>
      <c r="H54" t="s">
        <v>1412</v>
      </c>
      <c r="I54" t="s">
        <v>1181</v>
      </c>
      <c r="J54">
        <v>2020</v>
      </c>
      <c r="K54" t="s">
        <v>523</v>
      </c>
      <c r="L54">
        <v>44242</v>
      </c>
      <c r="N54" t="s">
        <v>134</v>
      </c>
      <c r="P54" t="s">
        <v>341</v>
      </c>
    </row>
    <row r="55" spans="1:16" x14ac:dyDescent="0.2">
      <c r="A55" t="s">
        <v>1815</v>
      </c>
      <c r="B55" t="s">
        <v>1816</v>
      </c>
      <c r="C55" t="s">
        <v>128</v>
      </c>
      <c r="D55" t="s">
        <v>1817</v>
      </c>
      <c r="F55" t="s">
        <v>1002</v>
      </c>
      <c r="H55" t="s">
        <v>146</v>
      </c>
      <c r="I55" t="s">
        <v>1181</v>
      </c>
      <c r="J55">
        <v>2021</v>
      </c>
      <c r="K55" t="s">
        <v>523</v>
      </c>
      <c r="L55">
        <v>44662</v>
      </c>
      <c r="N55" t="s">
        <v>134</v>
      </c>
      <c r="P55" t="s">
        <v>1818</v>
      </c>
    </row>
    <row r="56" spans="1:16" x14ac:dyDescent="0.2">
      <c r="A56" t="s">
        <v>410</v>
      </c>
      <c r="B56" t="s">
        <v>411</v>
      </c>
      <c r="C56" t="s">
        <v>128</v>
      </c>
      <c r="D56" t="s">
        <v>412</v>
      </c>
      <c r="F56" t="s">
        <v>413</v>
      </c>
      <c r="G56" t="s">
        <v>414</v>
      </c>
      <c r="H56" t="s">
        <v>146</v>
      </c>
      <c r="J56">
        <v>2017</v>
      </c>
      <c r="K56" t="s">
        <v>400</v>
      </c>
      <c r="L56">
        <v>43089</v>
      </c>
      <c r="N56" t="s">
        <v>415</v>
      </c>
      <c r="O56" t="s">
        <v>415</v>
      </c>
      <c r="P56" t="s">
        <v>416</v>
      </c>
    </row>
    <row r="57" spans="1:16" x14ac:dyDescent="0.2">
      <c r="A57" t="s">
        <v>410</v>
      </c>
      <c r="B57" t="s">
        <v>417</v>
      </c>
      <c r="C57" t="s">
        <v>128</v>
      </c>
      <c r="D57" t="s">
        <v>412</v>
      </c>
      <c r="F57" t="s">
        <v>413</v>
      </c>
      <c r="G57" t="s">
        <v>204</v>
      </c>
      <c r="H57" t="s">
        <v>146</v>
      </c>
      <c r="J57">
        <v>2017</v>
      </c>
      <c r="K57" t="s">
        <v>351</v>
      </c>
      <c r="L57">
        <v>42957</v>
      </c>
      <c r="N57" t="s">
        <v>140</v>
      </c>
      <c r="O57" t="s">
        <v>135</v>
      </c>
      <c r="P57" t="s">
        <v>416</v>
      </c>
    </row>
    <row r="58" spans="1:16" x14ac:dyDescent="0.2">
      <c r="A58" t="s">
        <v>599</v>
      </c>
      <c r="B58" t="s">
        <v>600</v>
      </c>
      <c r="C58" t="s">
        <v>128</v>
      </c>
      <c r="D58" t="s">
        <v>412</v>
      </c>
      <c r="F58" t="s">
        <v>413</v>
      </c>
      <c r="G58" t="s">
        <v>204</v>
      </c>
      <c r="H58" t="s">
        <v>146</v>
      </c>
      <c r="J58">
        <v>2018</v>
      </c>
      <c r="K58" t="s">
        <v>221</v>
      </c>
      <c r="L58">
        <v>43250</v>
      </c>
      <c r="N58" t="s">
        <v>134</v>
      </c>
      <c r="O58" t="s">
        <v>135</v>
      </c>
      <c r="P58" t="s">
        <v>601</v>
      </c>
    </row>
    <row r="59" spans="1:16" x14ac:dyDescent="0.2">
      <c r="A59" t="s">
        <v>920</v>
      </c>
      <c r="B59" t="s">
        <v>921</v>
      </c>
      <c r="C59" t="s">
        <v>128</v>
      </c>
      <c r="D59" t="s">
        <v>412</v>
      </c>
      <c r="F59" t="s">
        <v>922</v>
      </c>
      <c r="H59" t="s">
        <v>146</v>
      </c>
      <c r="J59">
        <v>2018</v>
      </c>
      <c r="K59" t="s">
        <v>221</v>
      </c>
      <c r="L59" t="s">
        <v>923</v>
      </c>
      <c r="N59" t="s">
        <v>134</v>
      </c>
      <c r="O59" t="s">
        <v>135</v>
      </c>
      <c r="P59" t="s">
        <v>3486</v>
      </c>
    </row>
    <row r="60" spans="1:16" x14ac:dyDescent="0.2">
      <c r="A60" t="s">
        <v>933</v>
      </c>
      <c r="B60" t="s">
        <v>934</v>
      </c>
      <c r="C60" t="s">
        <v>128</v>
      </c>
      <c r="D60" t="s">
        <v>412</v>
      </c>
      <c r="F60" t="s">
        <v>413</v>
      </c>
      <c r="H60" t="s">
        <v>146</v>
      </c>
      <c r="J60">
        <v>2018</v>
      </c>
      <c r="K60" t="s">
        <v>221</v>
      </c>
      <c r="L60" t="s">
        <v>935</v>
      </c>
      <c r="N60" t="s">
        <v>134</v>
      </c>
      <c r="O60" t="s">
        <v>135</v>
      </c>
      <c r="P60" t="s">
        <v>936</v>
      </c>
    </row>
    <row r="61" spans="1:16" x14ac:dyDescent="0.2">
      <c r="A61" t="s">
        <v>933</v>
      </c>
      <c r="B61" t="s">
        <v>937</v>
      </c>
      <c r="C61" t="s">
        <v>128</v>
      </c>
      <c r="D61" t="s">
        <v>412</v>
      </c>
      <c r="F61" t="s">
        <v>413</v>
      </c>
      <c r="H61" t="s">
        <v>146</v>
      </c>
      <c r="J61">
        <v>2018</v>
      </c>
      <c r="K61" t="s">
        <v>351</v>
      </c>
      <c r="L61">
        <v>43455</v>
      </c>
      <c r="N61" t="s">
        <v>140</v>
      </c>
      <c r="P61" t="s">
        <v>936</v>
      </c>
    </row>
    <row r="62" spans="1:16" x14ac:dyDescent="0.2">
      <c r="A62" t="s">
        <v>968</v>
      </c>
      <c r="B62" t="s">
        <v>969</v>
      </c>
      <c r="C62" t="s">
        <v>128</v>
      </c>
      <c r="D62" t="s">
        <v>412</v>
      </c>
      <c r="F62" t="s">
        <v>922</v>
      </c>
      <c r="H62" t="s">
        <v>146</v>
      </c>
      <c r="J62">
        <v>2019</v>
      </c>
      <c r="K62" t="s">
        <v>351</v>
      </c>
      <c r="L62">
        <v>43528</v>
      </c>
      <c r="N62" t="s">
        <v>140</v>
      </c>
      <c r="O62" t="s">
        <v>135</v>
      </c>
      <c r="P62" t="s">
        <v>970</v>
      </c>
    </row>
    <row r="63" spans="1:16" x14ac:dyDescent="0.2">
      <c r="A63" t="s">
        <v>968</v>
      </c>
      <c r="B63" t="s">
        <v>971</v>
      </c>
      <c r="C63" t="s">
        <v>128</v>
      </c>
      <c r="D63" t="s">
        <v>412</v>
      </c>
      <c r="F63" t="s">
        <v>922</v>
      </c>
      <c r="H63" t="s">
        <v>146</v>
      </c>
      <c r="J63">
        <v>2019</v>
      </c>
      <c r="K63" t="s">
        <v>351</v>
      </c>
      <c r="L63">
        <v>43668</v>
      </c>
      <c r="N63" t="s">
        <v>134</v>
      </c>
      <c r="P63" t="s">
        <v>970</v>
      </c>
    </row>
    <row r="64" spans="1:16" x14ac:dyDescent="0.2">
      <c r="A64" t="s">
        <v>1559</v>
      </c>
      <c r="B64" t="s">
        <v>1560</v>
      </c>
      <c r="C64" t="s">
        <v>128</v>
      </c>
      <c r="D64" t="s">
        <v>412</v>
      </c>
      <c r="F64" t="s">
        <v>1561</v>
      </c>
      <c r="H64" t="s">
        <v>146</v>
      </c>
      <c r="I64" t="s">
        <v>1181</v>
      </c>
      <c r="J64">
        <v>2021</v>
      </c>
      <c r="K64" t="s">
        <v>221</v>
      </c>
      <c r="L64" t="s">
        <v>1562</v>
      </c>
      <c r="N64" t="s">
        <v>134</v>
      </c>
      <c r="O64" t="s">
        <v>135</v>
      </c>
      <c r="P64" t="s">
        <v>1563</v>
      </c>
    </row>
    <row r="65" spans="1:16" x14ac:dyDescent="0.2">
      <c r="A65" t="s">
        <v>1559</v>
      </c>
      <c r="B65" t="s">
        <v>1564</v>
      </c>
      <c r="C65" t="s">
        <v>128</v>
      </c>
      <c r="D65" t="s">
        <v>412</v>
      </c>
      <c r="F65" t="s">
        <v>1561</v>
      </c>
      <c r="G65" t="s">
        <v>1565</v>
      </c>
      <c r="H65" t="s">
        <v>146</v>
      </c>
      <c r="I65" t="s">
        <v>1181</v>
      </c>
      <c r="J65">
        <v>2021</v>
      </c>
      <c r="K65" t="s">
        <v>277</v>
      </c>
      <c r="L65">
        <v>44460</v>
      </c>
      <c r="N65" t="s">
        <v>134</v>
      </c>
      <c r="P65" t="s">
        <v>1563</v>
      </c>
    </row>
    <row r="66" spans="1:16" x14ac:dyDescent="0.2">
      <c r="A66" t="s">
        <v>1559</v>
      </c>
      <c r="B66" t="s">
        <v>1566</v>
      </c>
      <c r="C66" t="s">
        <v>128</v>
      </c>
      <c r="D66" t="s">
        <v>412</v>
      </c>
      <c r="F66" t="s">
        <v>1561</v>
      </c>
      <c r="G66" t="s">
        <v>1565</v>
      </c>
      <c r="H66" t="s">
        <v>146</v>
      </c>
      <c r="I66" t="s">
        <v>1181</v>
      </c>
      <c r="J66">
        <v>2021</v>
      </c>
      <c r="K66" t="s">
        <v>277</v>
      </c>
      <c r="L66">
        <v>44531</v>
      </c>
      <c r="N66" t="s">
        <v>134</v>
      </c>
      <c r="P66" t="s">
        <v>1563</v>
      </c>
    </row>
    <row r="67" spans="1:16" x14ac:dyDescent="0.2">
      <c r="A67" t="s">
        <v>1730</v>
      </c>
      <c r="B67" t="s">
        <v>1731</v>
      </c>
      <c r="C67" t="s">
        <v>128</v>
      </c>
      <c r="D67" t="s">
        <v>412</v>
      </c>
      <c r="F67" t="s">
        <v>413</v>
      </c>
      <c r="H67" t="s">
        <v>146</v>
      </c>
      <c r="I67" t="s">
        <v>1181</v>
      </c>
      <c r="J67">
        <v>2021</v>
      </c>
      <c r="K67" t="s">
        <v>277</v>
      </c>
      <c r="L67">
        <v>44420</v>
      </c>
      <c r="N67" t="s">
        <v>134</v>
      </c>
      <c r="P67" t="s">
        <v>1732</v>
      </c>
    </row>
    <row r="68" spans="1:16" x14ac:dyDescent="0.2">
      <c r="A68" t="s">
        <v>1880</v>
      </c>
      <c r="B68" t="s">
        <v>1881</v>
      </c>
      <c r="C68" t="s">
        <v>128</v>
      </c>
      <c r="D68" t="s">
        <v>412</v>
      </c>
      <c r="H68" t="s">
        <v>146</v>
      </c>
      <c r="I68" t="s">
        <v>1181</v>
      </c>
      <c r="J68">
        <v>2022</v>
      </c>
      <c r="K68" t="s">
        <v>277</v>
      </c>
      <c r="L68">
        <v>44743</v>
      </c>
      <c r="N68" t="s">
        <v>140</v>
      </c>
      <c r="P68" t="s">
        <v>1882</v>
      </c>
    </row>
    <row r="69" spans="1:16" x14ac:dyDescent="0.2">
      <c r="A69" t="s">
        <v>1880</v>
      </c>
      <c r="B69" t="s">
        <v>1883</v>
      </c>
      <c r="C69" t="s">
        <v>128</v>
      </c>
      <c r="D69" t="s">
        <v>412</v>
      </c>
      <c r="I69" t="s">
        <v>1181</v>
      </c>
      <c r="J69">
        <v>2022</v>
      </c>
      <c r="K69" t="s">
        <v>277</v>
      </c>
      <c r="L69">
        <v>44781</v>
      </c>
      <c r="N69" t="s">
        <v>140</v>
      </c>
      <c r="P69" t="s">
        <v>1882</v>
      </c>
    </row>
    <row r="70" spans="1:16" x14ac:dyDescent="0.2">
      <c r="A70" t="s">
        <v>2010</v>
      </c>
      <c r="B70" t="s">
        <v>2011</v>
      </c>
      <c r="C70" t="s">
        <v>128</v>
      </c>
      <c r="D70" t="s">
        <v>412</v>
      </c>
      <c r="E70" t="s">
        <v>2012</v>
      </c>
      <c r="F70" t="s">
        <v>922</v>
      </c>
      <c r="G70" t="s">
        <v>2013</v>
      </c>
      <c r="H70" t="s">
        <v>146</v>
      </c>
      <c r="I70" t="s">
        <v>1181</v>
      </c>
      <c r="J70">
        <v>2022</v>
      </c>
      <c r="K70" t="s">
        <v>523</v>
      </c>
      <c r="L70">
        <v>44910</v>
      </c>
      <c r="N70" t="s">
        <v>134</v>
      </c>
      <c r="P70" t="s">
        <v>2014</v>
      </c>
    </row>
    <row r="71" spans="1:16" x14ac:dyDescent="0.2">
      <c r="A71" t="s">
        <v>2448</v>
      </c>
      <c r="B71" t="s">
        <v>2449</v>
      </c>
      <c r="C71" t="s">
        <v>128</v>
      </c>
      <c r="D71" t="s">
        <v>412</v>
      </c>
      <c r="E71" t="s">
        <v>922</v>
      </c>
      <c r="F71" t="s">
        <v>922</v>
      </c>
      <c r="G71" t="s">
        <v>2450</v>
      </c>
      <c r="H71" t="s">
        <v>146</v>
      </c>
      <c r="I71" t="s">
        <v>1181</v>
      </c>
      <c r="J71">
        <v>2023</v>
      </c>
      <c r="K71" t="s">
        <v>351</v>
      </c>
      <c r="L71">
        <v>45271</v>
      </c>
      <c r="N71" t="s">
        <v>134</v>
      </c>
      <c r="P71" t="s">
        <v>2451</v>
      </c>
    </row>
    <row r="72" spans="1:16" x14ac:dyDescent="0.2">
      <c r="A72" t="s">
        <v>2641</v>
      </c>
      <c r="B72" t="s">
        <v>2642</v>
      </c>
      <c r="C72" t="s">
        <v>128</v>
      </c>
      <c r="D72" t="s">
        <v>412</v>
      </c>
      <c r="E72" t="s">
        <v>703</v>
      </c>
      <c r="G72" t="s">
        <v>2281</v>
      </c>
      <c r="H72" t="s">
        <v>146</v>
      </c>
      <c r="I72" t="s">
        <v>1181</v>
      </c>
      <c r="J72">
        <v>2024</v>
      </c>
      <c r="K72" t="s">
        <v>351</v>
      </c>
      <c r="L72">
        <v>45419</v>
      </c>
      <c r="N72" t="s">
        <v>134</v>
      </c>
      <c r="P72" t="s">
        <v>2643</v>
      </c>
    </row>
    <row r="73" spans="1:16" x14ac:dyDescent="0.2">
      <c r="A73" t="s">
        <v>2907</v>
      </c>
      <c r="B73" t="s">
        <v>2908</v>
      </c>
      <c r="C73" t="s">
        <v>128</v>
      </c>
      <c r="D73" t="s">
        <v>2909</v>
      </c>
      <c r="F73" t="s">
        <v>2910</v>
      </c>
      <c r="G73" t="s">
        <v>2911</v>
      </c>
      <c r="H73" t="s">
        <v>146</v>
      </c>
      <c r="I73" t="s">
        <v>1181</v>
      </c>
      <c r="J73">
        <v>2024</v>
      </c>
      <c r="K73" t="s">
        <v>277</v>
      </c>
      <c r="N73" t="s">
        <v>134</v>
      </c>
      <c r="P73" t="s">
        <v>2912</v>
      </c>
    </row>
    <row r="74" spans="1:16" x14ac:dyDescent="0.2">
      <c r="A74" t="s">
        <v>700</v>
      </c>
      <c r="B74" t="s">
        <v>701</v>
      </c>
      <c r="C74" t="s">
        <v>128</v>
      </c>
      <c r="D74" t="s">
        <v>702</v>
      </c>
      <c r="E74" t="s">
        <v>703</v>
      </c>
      <c r="F74" t="s">
        <v>704</v>
      </c>
      <c r="G74" t="s">
        <v>705</v>
      </c>
      <c r="H74" t="s">
        <v>146</v>
      </c>
      <c r="J74">
        <v>2018</v>
      </c>
      <c r="K74" t="s">
        <v>523</v>
      </c>
      <c r="L74">
        <v>43291</v>
      </c>
      <c r="N74" t="s">
        <v>134</v>
      </c>
      <c r="O74" t="s">
        <v>135</v>
      </c>
      <c r="P74" t="s">
        <v>706</v>
      </c>
    </row>
    <row r="75" spans="1:16" x14ac:dyDescent="0.2">
      <c r="A75" t="s">
        <v>700</v>
      </c>
      <c r="B75" t="s">
        <v>707</v>
      </c>
      <c r="C75" t="s">
        <v>128</v>
      </c>
      <c r="D75" t="s">
        <v>702</v>
      </c>
      <c r="E75" t="s">
        <v>703</v>
      </c>
      <c r="F75" t="s">
        <v>704</v>
      </c>
      <c r="H75" t="s">
        <v>146</v>
      </c>
      <c r="J75">
        <v>2018</v>
      </c>
      <c r="K75" t="s">
        <v>523</v>
      </c>
      <c r="L75">
        <v>43434</v>
      </c>
      <c r="M75" t="s">
        <v>708</v>
      </c>
      <c r="N75" t="s">
        <v>134</v>
      </c>
      <c r="P75" t="s">
        <v>706</v>
      </c>
    </row>
    <row r="76" spans="1:16" x14ac:dyDescent="0.2">
      <c r="A76" t="s">
        <v>2709</v>
      </c>
      <c r="B76" t="s">
        <v>2710</v>
      </c>
      <c r="C76" t="s">
        <v>128</v>
      </c>
      <c r="D76" t="s">
        <v>2711</v>
      </c>
      <c r="F76" t="s">
        <v>2712</v>
      </c>
      <c r="H76" t="s">
        <v>146</v>
      </c>
      <c r="I76" t="s">
        <v>1181</v>
      </c>
      <c r="J76">
        <v>2024</v>
      </c>
      <c r="K76" t="s">
        <v>261</v>
      </c>
      <c r="L76">
        <v>45611</v>
      </c>
      <c r="N76" t="s">
        <v>134</v>
      </c>
      <c r="O76" t="s">
        <v>135</v>
      </c>
      <c r="P76" t="s">
        <v>2713</v>
      </c>
    </row>
    <row r="77" spans="1:16" x14ac:dyDescent="0.2">
      <c r="A77" t="s">
        <v>938</v>
      </c>
      <c r="B77" t="s">
        <v>939</v>
      </c>
      <c r="C77" t="s">
        <v>128</v>
      </c>
      <c r="D77" t="s">
        <v>940</v>
      </c>
      <c r="F77" t="s">
        <v>766</v>
      </c>
      <c r="H77" t="s">
        <v>767</v>
      </c>
      <c r="J77">
        <v>2018</v>
      </c>
      <c r="K77" t="s">
        <v>221</v>
      </c>
      <c r="L77">
        <v>43524</v>
      </c>
      <c r="N77" t="s">
        <v>134</v>
      </c>
      <c r="O77" t="s">
        <v>135</v>
      </c>
      <c r="P77" t="s">
        <v>941</v>
      </c>
    </row>
    <row r="78" spans="1:16" x14ac:dyDescent="0.2">
      <c r="A78" t="s">
        <v>1127</v>
      </c>
      <c r="B78" t="s">
        <v>1128</v>
      </c>
      <c r="C78" t="s">
        <v>128</v>
      </c>
      <c r="D78" t="s">
        <v>940</v>
      </c>
      <c r="E78" t="s">
        <v>181</v>
      </c>
      <c r="F78" t="s">
        <v>1129</v>
      </c>
      <c r="H78" t="s">
        <v>472</v>
      </c>
      <c r="J78">
        <v>2019</v>
      </c>
      <c r="K78" t="s">
        <v>133</v>
      </c>
      <c r="L78">
        <v>43966</v>
      </c>
      <c r="M78" t="s">
        <v>1130</v>
      </c>
      <c r="N78" t="s">
        <v>597</v>
      </c>
      <c r="P78" t="s">
        <v>1131</v>
      </c>
    </row>
    <row r="79" spans="1:16" x14ac:dyDescent="0.2">
      <c r="A79" t="s">
        <v>2107</v>
      </c>
      <c r="B79" t="s">
        <v>2108</v>
      </c>
      <c r="C79" t="s">
        <v>128</v>
      </c>
      <c r="D79" t="s">
        <v>940</v>
      </c>
      <c r="E79" t="s">
        <v>181</v>
      </c>
      <c r="F79" t="s">
        <v>545</v>
      </c>
      <c r="H79" t="s">
        <v>546</v>
      </c>
      <c r="I79" t="s">
        <v>1181</v>
      </c>
      <c r="J79">
        <v>2022</v>
      </c>
      <c r="K79" t="s">
        <v>523</v>
      </c>
      <c r="L79">
        <v>44901</v>
      </c>
      <c r="N79" t="s">
        <v>134</v>
      </c>
      <c r="P79" t="s">
        <v>2109</v>
      </c>
    </row>
    <row r="80" spans="1:16" x14ac:dyDescent="0.2">
      <c r="A80" t="s">
        <v>865</v>
      </c>
      <c r="B80" t="s">
        <v>870</v>
      </c>
      <c r="C80" t="s">
        <v>128</v>
      </c>
      <c r="D80" t="s">
        <v>871</v>
      </c>
      <c r="E80" t="s">
        <v>867</v>
      </c>
      <c r="F80" t="s">
        <v>372</v>
      </c>
      <c r="G80" t="s">
        <v>872</v>
      </c>
      <c r="H80" t="s">
        <v>199</v>
      </c>
      <c r="J80">
        <v>2019</v>
      </c>
      <c r="K80" t="s">
        <v>277</v>
      </c>
      <c r="L80">
        <v>43707</v>
      </c>
      <c r="N80" t="s">
        <v>134</v>
      </c>
      <c r="O80" t="s">
        <v>873</v>
      </c>
      <c r="P80" t="s">
        <v>874</v>
      </c>
    </row>
    <row r="81" spans="1:16" x14ac:dyDescent="0.2">
      <c r="A81" t="s">
        <v>865</v>
      </c>
      <c r="B81" t="s">
        <v>875</v>
      </c>
      <c r="C81" t="s">
        <v>128</v>
      </c>
      <c r="D81" t="s">
        <v>871</v>
      </c>
      <c r="E81" t="s">
        <v>867</v>
      </c>
      <c r="F81" t="s">
        <v>372</v>
      </c>
      <c r="G81" t="s">
        <v>876</v>
      </c>
      <c r="H81" t="s">
        <v>199</v>
      </c>
      <c r="J81">
        <v>2019</v>
      </c>
      <c r="K81" t="s">
        <v>277</v>
      </c>
      <c r="L81">
        <v>43710</v>
      </c>
      <c r="N81" t="s">
        <v>134</v>
      </c>
      <c r="P81" t="s">
        <v>874</v>
      </c>
    </row>
    <row r="82" spans="1:16" x14ac:dyDescent="0.2">
      <c r="A82" t="s">
        <v>1054</v>
      </c>
      <c r="B82" t="s">
        <v>1055</v>
      </c>
      <c r="C82" t="s">
        <v>128</v>
      </c>
      <c r="D82" t="s">
        <v>871</v>
      </c>
      <c r="E82" t="s">
        <v>867</v>
      </c>
      <c r="F82" t="s">
        <v>1011</v>
      </c>
      <c r="G82" t="s">
        <v>1056</v>
      </c>
      <c r="H82" t="s">
        <v>392</v>
      </c>
      <c r="J82">
        <v>2019</v>
      </c>
      <c r="K82" t="s">
        <v>523</v>
      </c>
      <c r="L82">
        <v>43631</v>
      </c>
      <c r="N82" t="s">
        <v>134</v>
      </c>
      <c r="P82" t="s">
        <v>1057</v>
      </c>
    </row>
    <row r="83" spans="1:16" x14ac:dyDescent="0.2">
      <c r="A83" t="s">
        <v>1095</v>
      </c>
      <c r="B83" t="s">
        <v>1096</v>
      </c>
      <c r="C83" t="s">
        <v>128</v>
      </c>
      <c r="D83" t="s">
        <v>871</v>
      </c>
      <c r="E83" t="s">
        <v>181</v>
      </c>
      <c r="F83" t="s">
        <v>1097</v>
      </c>
      <c r="H83" t="s">
        <v>472</v>
      </c>
      <c r="J83">
        <v>2019</v>
      </c>
      <c r="K83" t="s">
        <v>221</v>
      </c>
      <c r="L83">
        <v>43815</v>
      </c>
      <c r="N83" t="s">
        <v>134</v>
      </c>
      <c r="O83" t="s">
        <v>135</v>
      </c>
      <c r="P83" t="s">
        <v>1098</v>
      </c>
    </row>
    <row r="84" spans="1:16" x14ac:dyDescent="0.2">
      <c r="A84" t="s">
        <v>1095</v>
      </c>
      <c r="B84" t="s">
        <v>1099</v>
      </c>
      <c r="C84" t="s">
        <v>128</v>
      </c>
      <c r="D84" t="s">
        <v>871</v>
      </c>
      <c r="E84" t="s">
        <v>181</v>
      </c>
      <c r="F84" t="s">
        <v>1097</v>
      </c>
      <c r="G84" t="s">
        <v>1100</v>
      </c>
      <c r="H84" t="s">
        <v>472</v>
      </c>
      <c r="J84">
        <v>2019</v>
      </c>
      <c r="K84" t="s">
        <v>221</v>
      </c>
      <c r="L84">
        <v>43784</v>
      </c>
      <c r="N84" t="s">
        <v>134</v>
      </c>
      <c r="O84" t="s">
        <v>135</v>
      </c>
      <c r="P84" t="s">
        <v>1098</v>
      </c>
    </row>
    <row r="85" spans="1:16" x14ac:dyDescent="0.2">
      <c r="A85" t="s">
        <v>1139</v>
      </c>
      <c r="B85" t="s">
        <v>1140</v>
      </c>
      <c r="C85" t="s">
        <v>128</v>
      </c>
      <c r="D85" t="s">
        <v>1141</v>
      </c>
      <c r="E85" t="s">
        <v>181</v>
      </c>
      <c r="F85" t="s">
        <v>1011</v>
      </c>
      <c r="H85" t="s">
        <v>392</v>
      </c>
      <c r="J85">
        <v>2019</v>
      </c>
      <c r="K85" t="s">
        <v>221</v>
      </c>
      <c r="L85">
        <v>43864</v>
      </c>
      <c r="N85" t="s">
        <v>134</v>
      </c>
      <c r="O85" t="s">
        <v>135</v>
      </c>
      <c r="P85" t="s">
        <v>1142</v>
      </c>
    </row>
    <row r="86" spans="1:16" x14ac:dyDescent="0.2">
      <c r="A86" t="s">
        <v>1461</v>
      </c>
      <c r="B86" t="s">
        <v>1462</v>
      </c>
      <c r="C86" t="s">
        <v>128</v>
      </c>
      <c r="D86" t="s">
        <v>1141</v>
      </c>
      <c r="E86" t="s">
        <v>181</v>
      </c>
      <c r="F86" t="s">
        <v>1011</v>
      </c>
      <c r="H86" t="s">
        <v>392</v>
      </c>
      <c r="I86" t="s">
        <v>1181</v>
      </c>
      <c r="J86">
        <v>2020</v>
      </c>
      <c r="K86" t="s">
        <v>221</v>
      </c>
      <c r="L86">
        <v>44228</v>
      </c>
      <c r="N86" t="s">
        <v>134</v>
      </c>
      <c r="O86" t="s">
        <v>1426</v>
      </c>
      <c r="P86" t="s">
        <v>1463</v>
      </c>
    </row>
    <row r="87" spans="1:16" x14ac:dyDescent="0.2">
      <c r="A87" t="s">
        <v>1766</v>
      </c>
      <c r="B87" t="s">
        <v>1767</v>
      </c>
      <c r="C87" t="s">
        <v>128</v>
      </c>
      <c r="D87" t="s">
        <v>1141</v>
      </c>
      <c r="E87" t="s">
        <v>181</v>
      </c>
      <c r="F87" t="s">
        <v>1267</v>
      </c>
      <c r="H87" t="s">
        <v>392</v>
      </c>
      <c r="I87" t="s">
        <v>1181</v>
      </c>
      <c r="J87">
        <v>2021</v>
      </c>
      <c r="K87" t="s">
        <v>221</v>
      </c>
      <c r="L87">
        <v>44515</v>
      </c>
      <c r="N87" t="s">
        <v>134</v>
      </c>
      <c r="O87" t="s">
        <v>135</v>
      </c>
      <c r="P87" t="s">
        <v>1768</v>
      </c>
    </row>
    <row r="88" spans="1:16" x14ac:dyDescent="0.2">
      <c r="A88" t="s">
        <v>1857</v>
      </c>
      <c r="B88" t="s">
        <v>1858</v>
      </c>
      <c r="C88" t="s">
        <v>128</v>
      </c>
      <c r="D88" t="s">
        <v>1141</v>
      </c>
      <c r="E88" t="s">
        <v>181</v>
      </c>
      <c r="F88" t="s">
        <v>1859</v>
      </c>
      <c r="G88" t="s">
        <v>1860</v>
      </c>
      <c r="H88" t="s">
        <v>392</v>
      </c>
      <c r="I88" t="s">
        <v>1181</v>
      </c>
      <c r="J88">
        <v>2021</v>
      </c>
      <c r="K88" t="s">
        <v>523</v>
      </c>
      <c r="L88">
        <v>44666</v>
      </c>
      <c r="N88" t="s">
        <v>134</v>
      </c>
      <c r="P88" t="s">
        <v>1861</v>
      </c>
    </row>
    <row r="89" spans="1:16" x14ac:dyDescent="0.2">
      <c r="A89" t="s">
        <v>1857</v>
      </c>
      <c r="B89" t="s">
        <v>1862</v>
      </c>
      <c r="C89" t="s">
        <v>128</v>
      </c>
      <c r="D89" t="s">
        <v>1141</v>
      </c>
      <c r="E89" t="s">
        <v>181</v>
      </c>
      <c r="F89" t="s">
        <v>1859</v>
      </c>
      <c r="G89" t="s">
        <v>1863</v>
      </c>
      <c r="H89" t="s">
        <v>392</v>
      </c>
      <c r="I89" t="s">
        <v>1181</v>
      </c>
      <c r="J89">
        <v>2021</v>
      </c>
      <c r="K89" t="s">
        <v>523</v>
      </c>
      <c r="L89">
        <v>44683</v>
      </c>
      <c r="N89" t="s">
        <v>134</v>
      </c>
      <c r="P89" t="s">
        <v>1861</v>
      </c>
    </row>
    <row r="90" spans="1:16" x14ac:dyDescent="0.2">
      <c r="A90" t="s">
        <v>1132</v>
      </c>
      <c r="B90" t="s">
        <v>1133</v>
      </c>
      <c r="C90" t="s">
        <v>128</v>
      </c>
      <c r="D90" t="s">
        <v>1134</v>
      </c>
      <c r="E90" t="s">
        <v>181</v>
      </c>
      <c r="F90" t="s">
        <v>1135</v>
      </c>
      <c r="G90" t="s">
        <v>1136</v>
      </c>
      <c r="H90" t="s">
        <v>258</v>
      </c>
      <c r="J90">
        <v>2019</v>
      </c>
      <c r="K90" t="s">
        <v>523</v>
      </c>
      <c r="L90">
        <v>43815</v>
      </c>
      <c r="N90" t="s">
        <v>134</v>
      </c>
      <c r="P90" t="s">
        <v>1137</v>
      </c>
    </row>
    <row r="91" spans="1:16" x14ac:dyDescent="0.2">
      <c r="A91" t="s">
        <v>1132</v>
      </c>
      <c r="B91" t="s">
        <v>1138</v>
      </c>
      <c r="C91" t="s">
        <v>128</v>
      </c>
      <c r="D91" t="s">
        <v>1134</v>
      </c>
      <c r="E91" t="s">
        <v>181</v>
      </c>
      <c r="F91" t="s">
        <v>1135</v>
      </c>
      <c r="G91" t="s">
        <v>1136</v>
      </c>
      <c r="H91" t="s">
        <v>258</v>
      </c>
      <c r="J91">
        <v>2019</v>
      </c>
      <c r="K91" t="s">
        <v>523</v>
      </c>
      <c r="L91">
        <v>43881</v>
      </c>
      <c r="N91" t="s">
        <v>134</v>
      </c>
      <c r="P91" t="s">
        <v>1137</v>
      </c>
    </row>
    <row r="92" spans="1:16" x14ac:dyDescent="0.2">
      <c r="A92" t="s">
        <v>1280</v>
      </c>
      <c r="B92" t="s">
        <v>1281</v>
      </c>
      <c r="C92" t="s">
        <v>128</v>
      </c>
      <c r="D92" t="s">
        <v>1134</v>
      </c>
      <c r="E92" t="s">
        <v>181</v>
      </c>
      <c r="F92" t="s">
        <v>1282</v>
      </c>
      <c r="G92" t="s">
        <v>1162</v>
      </c>
      <c r="H92" t="s">
        <v>1283</v>
      </c>
      <c r="I92" t="s">
        <v>1181</v>
      </c>
      <c r="J92">
        <v>2020</v>
      </c>
      <c r="K92" t="s">
        <v>221</v>
      </c>
      <c r="L92" t="s">
        <v>1284</v>
      </c>
      <c r="N92" t="s">
        <v>134</v>
      </c>
      <c r="O92" t="s">
        <v>135</v>
      </c>
      <c r="P92" t="s">
        <v>1285</v>
      </c>
    </row>
    <row r="93" spans="1:16" x14ac:dyDescent="0.2">
      <c r="A93" t="s">
        <v>1783</v>
      </c>
      <c r="B93" t="s">
        <v>1784</v>
      </c>
      <c r="C93" t="s">
        <v>128</v>
      </c>
      <c r="D93" t="s">
        <v>1134</v>
      </c>
      <c r="E93" t="s">
        <v>181</v>
      </c>
      <c r="F93" t="s">
        <v>782</v>
      </c>
      <c r="H93" t="s">
        <v>783</v>
      </c>
      <c r="I93" t="s">
        <v>1181</v>
      </c>
      <c r="J93">
        <v>2021</v>
      </c>
      <c r="K93" t="s">
        <v>1785</v>
      </c>
      <c r="N93" t="s">
        <v>134</v>
      </c>
      <c r="O93" t="s">
        <v>135</v>
      </c>
      <c r="P93" t="s">
        <v>1786</v>
      </c>
    </row>
    <row r="94" spans="1:16" x14ac:dyDescent="0.2">
      <c r="A94" t="s">
        <v>162</v>
      </c>
      <c r="B94" t="s">
        <v>163</v>
      </c>
      <c r="C94" t="s">
        <v>128</v>
      </c>
      <c r="D94" t="s">
        <v>164</v>
      </c>
      <c r="F94" t="s">
        <v>165</v>
      </c>
      <c r="H94" t="s">
        <v>152</v>
      </c>
      <c r="J94">
        <v>2016</v>
      </c>
      <c r="N94" t="s">
        <v>147</v>
      </c>
      <c r="O94" t="s">
        <v>135</v>
      </c>
      <c r="P94" t="s">
        <v>166</v>
      </c>
    </row>
    <row r="95" spans="1:16" x14ac:dyDescent="0.2">
      <c r="A95" t="s">
        <v>425</v>
      </c>
      <c r="B95" t="s">
        <v>426</v>
      </c>
      <c r="C95" t="s">
        <v>128</v>
      </c>
      <c r="D95" t="s">
        <v>164</v>
      </c>
      <c r="F95" t="s">
        <v>164</v>
      </c>
      <c r="H95" t="s">
        <v>152</v>
      </c>
      <c r="J95">
        <v>2017</v>
      </c>
      <c r="K95" t="s">
        <v>221</v>
      </c>
      <c r="L95">
        <v>42947</v>
      </c>
      <c r="N95" t="s">
        <v>134</v>
      </c>
      <c r="O95" t="s">
        <v>135</v>
      </c>
      <c r="P95" t="s">
        <v>427</v>
      </c>
    </row>
    <row r="96" spans="1:16" x14ac:dyDescent="0.2">
      <c r="A96" t="s">
        <v>3223</v>
      </c>
      <c r="B96" t="s">
        <v>3394</v>
      </c>
      <c r="C96" t="s">
        <v>128</v>
      </c>
      <c r="D96" t="s">
        <v>3014</v>
      </c>
      <c r="F96" t="s">
        <v>164</v>
      </c>
      <c r="G96" t="s">
        <v>3015</v>
      </c>
      <c r="H96" t="s">
        <v>152</v>
      </c>
      <c r="I96" t="s">
        <v>1181</v>
      </c>
      <c r="J96">
        <v>2025</v>
      </c>
      <c r="K96" t="s">
        <v>523</v>
      </c>
      <c r="N96" t="s">
        <v>597</v>
      </c>
      <c r="P96" t="s">
        <v>3224</v>
      </c>
    </row>
    <row r="97" spans="1:16" x14ac:dyDescent="0.2">
      <c r="A97" t="s">
        <v>126</v>
      </c>
      <c r="B97" t="s">
        <v>127</v>
      </c>
      <c r="C97" t="s">
        <v>128</v>
      </c>
      <c r="D97" t="s">
        <v>129</v>
      </c>
      <c r="E97" t="s">
        <v>130</v>
      </c>
      <c r="F97" t="s">
        <v>131</v>
      </c>
      <c r="H97" t="s">
        <v>132</v>
      </c>
      <c r="J97">
        <v>2016</v>
      </c>
      <c r="K97" t="s">
        <v>133</v>
      </c>
      <c r="L97">
        <v>42845</v>
      </c>
      <c r="N97" t="s">
        <v>134</v>
      </c>
      <c r="O97" t="s">
        <v>135</v>
      </c>
      <c r="P97" t="s">
        <v>136</v>
      </c>
    </row>
    <row r="98" spans="1:16" x14ac:dyDescent="0.2">
      <c r="A98" t="s">
        <v>126</v>
      </c>
      <c r="B98" t="s">
        <v>137</v>
      </c>
      <c r="C98" t="s">
        <v>128</v>
      </c>
      <c r="D98" t="s">
        <v>129</v>
      </c>
      <c r="E98" t="s">
        <v>130</v>
      </c>
      <c r="F98" t="s">
        <v>131</v>
      </c>
      <c r="H98" t="s">
        <v>132</v>
      </c>
      <c r="J98">
        <v>2016</v>
      </c>
      <c r="K98" t="s">
        <v>133</v>
      </c>
      <c r="L98">
        <v>42870</v>
      </c>
      <c r="N98" t="s">
        <v>134</v>
      </c>
      <c r="O98" t="s">
        <v>135</v>
      </c>
      <c r="P98" t="s">
        <v>136</v>
      </c>
    </row>
    <row r="99" spans="1:16" x14ac:dyDescent="0.2">
      <c r="A99" t="s">
        <v>126</v>
      </c>
      <c r="B99" t="s">
        <v>138</v>
      </c>
      <c r="C99" t="s">
        <v>128</v>
      </c>
      <c r="D99" t="s">
        <v>129</v>
      </c>
      <c r="E99" t="s">
        <v>130</v>
      </c>
      <c r="F99" t="s">
        <v>131</v>
      </c>
      <c r="H99" t="s">
        <v>132</v>
      </c>
      <c r="J99">
        <v>2016</v>
      </c>
      <c r="K99" t="s">
        <v>133</v>
      </c>
      <c r="L99">
        <v>42916</v>
      </c>
      <c r="N99" t="s">
        <v>134</v>
      </c>
      <c r="O99" t="s">
        <v>135</v>
      </c>
      <c r="P99" t="s">
        <v>136</v>
      </c>
    </row>
    <row r="100" spans="1:16" x14ac:dyDescent="0.2">
      <c r="A100" t="s">
        <v>126</v>
      </c>
      <c r="B100" t="s">
        <v>139</v>
      </c>
      <c r="C100" t="s">
        <v>128</v>
      </c>
      <c r="D100" t="s">
        <v>129</v>
      </c>
      <c r="E100" t="s">
        <v>130</v>
      </c>
      <c r="F100" t="s">
        <v>131</v>
      </c>
      <c r="H100" t="s">
        <v>132</v>
      </c>
      <c r="J100">
        <v>2016</v>
      </c>
      <c r="K100" t="s">
        <v>133</v>
      </c>
      <c r="L100">
        <v>42958</v>
      </c>
      <c r="N100" t="s">
        <v>140</v>
      </c>
      <c r="O100" t="s">
        <v>135</v>
      </c>
      <c r="P100" t="s">
        <v>136</v>
      </c>
    </row>
    <row r="101" spans="1:16" x14ac:dyDescent="0.2">
      <c r="A101" t="s">
        <v>126</v>
      </c>
      <c r="B101" t="s">
        <v>141</v>
      </c>
      <c r="C101" t="s">
        <v>128</v>
      </c>
      <c r="D101" t="s">
        <v>129</v>
      </c>
      <c r="E101" t="s">
        <v>130</v>
      </c>
      <c r="F101" t="s">
        <v>131</v>
      </c>
      <c r="H101" t="s">
        <v>132</v>
      </c>
      <c r="J101">
        <v>2016</v>
      </c>
      <c r="K101" t="s">
        <v>133</v>
      </c>
      <c r="L101">
        <v>42968</v>
      </c>
      <c r="N101" t="s">
        <v>134</v>
      </c>
      <c r="O101" t="s">
        <v>135</v>
      </c>
      <c r="P101" t="s">
        <v>136</v>
      </c>
    </row>
    <row r="102" spans="1:16" x14ac:dyDescent="0.2">
      <c r="A102" t="s">
        <v>190</v>
      </c>
      <c r="B102" t="s">
        <v>191</v>
      </c>
      <c r="C102" t="s">
        <v>128</v>
      </c>
      <c r="D102" t="s">
        <v>129</v>
      </c>
      <c r="E102" t="s">
        <v>192</v>
      </c>
      <c r="F102" t="s">
        <v>193</v>
      </c>
      <c r="H102" t="s">
        <v>194</v>
      </c>
      <c r="J102">
        <v>2016</v>
      </c>
      <c r="N102" t="s">
        <v>134</v>
      </c>
      <c r="O102" t="s">
        <v>135</v>
      </c>
      <c r="P102" t="s">
        <v>195</v>
      </c>
    </row>
    <row r="103" spans="1:16" x14ac:dyDescent="0.2">
      <c r="A103" t="s">
        <v>209</v>
      </c>
      <c r="B103" t="s">
        <v>210</v>
      </c>
      <c r="C103" t="s">
        <v>128</v>
      </c>
      <c r="D103" t="s">
        <v>129</v>
      </c>
      <c r="E103" t="s">
        <v>181</v>
      </c>
      <c r="F103" t="s">
        <v>211</v>
      </c>
      <c r="H103" t="s">
        <v>212</v>
      </c>
      <c r="J103">
        <v>2016</v>
      </c>
      <c r="M103" t="s">
        <v>213</v>
      </c>
      <c r="N103" t="s">
        <v>147</v>
      </c>
      <c r="O103" t="s">
        <v>135</v>
      </c>
      <c r="P103" t="s">
        <v>214</v>
      </c>
    </row>
    <row r="104" spans="1:16" x14ac:dyDescent="0.2">
      <c r="A104" t="s">
        <v>244</v>
      </c>
      <c r="B104" t="s">
        <v>245</v>
      </c>
      <c r="C104" t="s">
        <v>128</v>
      </c>
      <c r="D104" t="s">
        <v>129</v>
      </c>
      <c r="E104" t="s">
        <v>246</v>
      </c>
      <c r="F104" t="s">
        <v>247</v>
      </c>
      <c r="H104" t="s">
        <v>248</v>
      </c>
      <c r="J104">
        <v>2016</v>
      </c>
      <c r="K104" t="s">
        <v>133</v>
      </c>
      <c r="N104" t="s">
        <v>134</v>
      </c>
      <c r="O104" t="s">
        <v>135</v>
      </c>
      <c r="P104" t="s">
        <v>249</v>
      </c>
    </row>
    <row r="105" spans="1:16" x14ac:dyDescent="0.2">
      <c r="A105" t="s">
        <v>250</v>
      </c>
      <c r="B105" t="s">
        <v>245</v>
      </c>
      <c r="C105" t="s">
        <v>128</v>
      </c>
      <c r="D105" t="s">
        <v>129</v>
      </c>
      <c r="E105" t="s">
        <v>246</v>
      </c>
      <c r="F105" t="s">
        <v>247</v>
      </c>
      <c r="G105" t="s">
        <v>251</v>
      </c>
      <c r="H105" t="s">
        <v>248</v>
      </c>
      <c r="J105">
        <v>2016</v>
      </c>
      <c r="K105" t="s">
        <v>133</v>
      </c>
      <c r="N105" t="s">
        <v>134</v>
      </c>
      <c r="O105" t="s">
        <v>135</v>
      </c>
      <c r="P105" t="s">
        <v>3487</v>
      </c>
    </row>
    <row r="106" spans="1:16" x14ac:dyDescent="0.2">
      <c r="A106" t="s">
        <v>278</v>
      </c>
      <c r="B106" t="s">
        <v>279</v>
      </c>
      <c r="C106" t="s">
        <v>128</v>
      </c>
      <c r="D106" t="s">
        <v>129</v>
      </c>
      <c r="F106" t="s">
        <v>280</v>
      </c>
      <c r="H106" t="s">
        <v>281</v>
      </c>
      <c r="J106">
        <v>2016</v>
      </c>
      <c r="L106">
        <v>42870</v>
      </c>
      <c r="N106" t="s">
        <v>134</v>
      </c>
      <c r="O106" t="s">
        <v>135</v>
      </c>
      <c r="P106" t="s">
        <v>3488</v>
      </c>
    </row>
    <row r="107" spans="1:16" x14ac:dyDescent="0.2">
      <c r="A107" t="s">
        <v>298</v>
      </c>
      <c r="B107" t="s">
        <v>299</v>
      </c>
      <c r="C107" t="s">
        <v>128</v>
      </c>
      <c r="D107" t="s">
        <v>129</v>
      </c>
      <c r="E107" t="s">
        <v>300</v>
      </c>
      <c r="F107" t="s">
        <v>301</v>
      </c>
      <c r="G107" t="s">
        <v>302</v>
      </c>
      <c r="J107">
        <v>2016</v>
      </c>
      <c r="K107" t="s">
        <v>303</v>
      </c>
      <c r="L107">
        <v>42891</v>
      </c>
      <c r="N107" t="s">
        <v>134</v>
      </c>
      <c r="O107" t="s">
        <v>135</v>
      </c>
      <c r="P107" t="s">
        <v>304</v>
      </c>
    </row>
    <row r="108" spans="1:16" x14ac:dyDescent="0.2">
      <c r="A108" t="s">
        <v>370</v>
      </c>
      <c r="B108" t="s">
        <v>371</v>
      </c>
      <c r="C108" t="s">
        <v>128</v>
      </c>
      <c r="D108" t="s">
        <v>129</v>
      </c>
      <c r="F108" t="s">
        <v>372</v>
      </c>
      <c r="H108" t="s">
        <v>199</v>
      </c>
      <c r="J108">
        <v>2017</v>
      </c>
      <c r="K108" t="s">
        <v>133</v>
      </c>
      <c r="L108">
        <v>42853</v>
      </c>
      <c r="N108" t="s">
        <v>134</v>
      </c>
      <c r="O108" t="s">
        <v>135</v>
      </c>
      <c r="P108" t="s">
        <v>373</v>
      </c>
    </row>
    <row r="109" spans="1:16" x14ac:dyDescent="0.2">
      <c r="A109" t="s">
        <v>418</v>
      </c>
      <c r="B109" t="s">
        <v>419</v>
      </c>
      <c r="C109" t="s">
        <v>128</v>
      </c>
      <c r="D109" t="s">
        <v>129</v>
      </c>
      <c r="F109" t="s">
        <v>420</v>
      </c>
      <c r="H109" t="s">
        <v>421</v>
      </c>
      <c r="J109">
        <v>2017</v>
      </c>
      <c r="K109" t="s">
        <v>261</v>
      </c>
      <c r="L109">
        <v>43012</v>
      </c>
      <c r="N109" t="s">
        <v>134</v>
      </c>
      <c r="O109" t="s">
        <v>135</v>
      </c>
      <c r="P109" t="s">
        <v>422</v>
      </c>
    </row>
    <row r="110" spans="1:16" x14ac:dyDescent="0.2">
      <c r="A110" t="s">
        <v>418</v>
      </c>
      <c r="B110" t="s">
        <v>423</v>
      </c>
      <c r="C110" t="s">
        <v>128</v>
      </c>
      <c r="D110" t="s">
        <v>129</v>
      </c>
      <c r="F110" t="s">
        <v>420</v>
      </c>
      <c r="G110" t="s">
        <v>424</v>
      </c>
      <c r="H110" t="s">
        <v>421</v>
      </c>
      <c r="J110">
        <v>2017</v>
      </c>
      <c r="L110">
        <v>43031</v>
      </c>
      <c r="N110" t="s">
        <v>140</v>
      </c>
      <c r="O110" t="s">
        <v>135</v>
      </c>
      <c r="P110" t="s">
        <v>422</v>
      </c>
    </row>
    <row r="111" spans="1:16" x14ac:dyDescent="0.2">
      <c r="A111" t="s">
        <v>479</v>
      </c>
      <c r="B111" t="s">
        <v>480</v>
      </c>
      <c r="C111" t="s">
        <v>128</v>
      </c>
      <c r="D111" t="s">
        <v>129</v>
      </c>
      <c r="E111" t="s">
        <v>181</v>
      </c>
      <c r="F111" t="s">
        <v>266</v>
      </c>
      <c r="H111" t="s">
        <v>267</v>
      </c>
      <c r="J111">
        <v>2017</v>
      </c>
      <c r="K111" t="s">
        <v>268</v>
      </c>
      <c r="L111" t="s">
        <v>481</v>
      </c>
      <c r="N111" t="s">
        <v>134</v>
      </c>
      <c r="O111" t="s">
        <v>135</v>
      </c>
      <c r="P111" t="s">
        <v>482</v>
      </c>
    </row>
    <row r="112" spans="1:16" x14ac:dyDescent="0.2">
      <c r="A112" t="s">
        <v>479</v>
      </c>
      <c r="B112" t="s">
        <v>483</v>
      </c>
      <c r="C112" t="s">
        <v>128</v>
      </c>
      <c r="D112" t="s">
        <v>129</v>
      </c>
      <c r="E112" t="s">
        <v>181</v>
      </c>
      <c r="F112" t="s">
        <v>266</v>
      </c>
      <c r="H112" t="s">
        <v>267</v>
      </c>
      <c r="J112">
        <v>2018</v>
      </c>
      <c r="K112" t="s">
        <v>261</v>
      </c>
      <c r="L112">
        <v>43381</v>
      </c>
      <c r="N112" t="s">
        <v>134</v>
      </c>
      <c r="O112" t="s">
        <v>135</v>
      </c>
      <c r="P112" t="s">
        <v>484</v>
      </c>
    </row>
    <row r="113" spans="1:16" x14ac:dyDescent="0.2">
      <c r="A113" t="s">
        <v>593</v>
      </c>
      <c r="B113" t="s">
        <v>594</v>
      </c>
      <c r="C113" t="s">
        <v>128</v>
      </c>
      <c r="D113" t="s">
        <v>129</v>
      </c>
      <c r="F113" t="s">
        <v>595</v>
      </c>
      <c r="H113" t="s">
        <v>477</v>
      </c>
      <c r="J113">
        <v>2017</v>
      </c>
      <c r="K113" t="s">
        <v>261</v>
      </c>
      <c r="L113">
        <v>43301</v>
      </c>
      <c r="M113" t="s">
        <v>596</v>
      </c>
      <c r="N113" t="s">
        <v>140</v>
      </c>
      <c r="O113" t="s">
        <v>415</v>
      </c>
      <c r="P113" t="s">
        <v>598</v>
      </c>
    </row>
    <row r="114" spans="1:16" x14ac:dyDescent="0.2">
      <c r="A114" t="s">
        <v>608</v>
      </c>
      <c r="B114" t="s">
        <v>609</v>
      </c>
      <c r="C114" t="s">
        <v>128</v>
      </c>
      <c r="D114" t="s">
        <v>129</v>
      </c>
      <c r="E114" t="s">
        <v>324</v>
      </c>
      <c r="F114" t="s">
        <v>610</v>
      </c>
      <c r="H114" t="s">
        <v>606</v>
      </c>
      <c r="J114">
        <v>2017</v>
      </c>
      <c r="K114" t="s">
        <v>277</v>
      </c>
      <c r="L114">
        <v>43223</v>
      </c>
      <c r="N114" t="s">
        <v>134</v>
      </c>
      <c r="O114" t="s">
        <v>135</v>
      </c>
      <c r="P114" t="s">
        <v>611</v>
      </c>
    </row>
    <row r="115" spans="1:16" x14ac:dyDescent="0.2">
      <c r="A115" t="s">
        <v>749</v>
      </c>
      <c r="B115" t="s">
        <v>750</v>
      </c>
      <c r="C115" t="s">
        <v>128</v>
      </c>
      <c r="D115" t="s">
        <v>129</v>
      </c>
      <c r="E115" t="s">
        <v>540</v>
      </c>
      <c r="F115" t="s">
        <v>751</v>
      </c>
      <c r="G115" t="s">
        <v>752</v>
      </c>
      <c r="H115" t="s">
        <v>541</v>
      </c>
      <c r="J115">
        <v>2018</v>
      </c>
      <c r="K115" t="s">
        <v>523</v>
      </c>
      <c r="L115">
        <v>43354</v>
      </c>
      <c r="M115" t="s">
        <v>708</v>
      </c>
      <c r="N115" t="s">
        <v>134</v>
      </c>
      <c r="P115" t="s">
        <v>753</v>
      </c>
    </row>
    <row r="116" spans="1:16" x14ac:dyDescent="0.2">
      <c r="A116" t="s">
        <v>760</v>
      </c>
      <c r="B116" t="s">
        <v>761</v>
      </c>
      <c r="C116" t="s">
        <v>128</v>
      </c>
      <c r="D116" t="s">
        <v>129</v>
      </c>
      <c r="F116" t="s">
        <v>762</v>
      </c>
      <c r="H116" t="s">
        <v>183</v>
      </c>
      <c r="J116">
        <v>2018</v>
      </c>
      <c r="K116" t="s">
        <v>523</v>
      </c>
      <c r="L116">
        <v>43446</v>
      </c>
      <c r="N116" t="s">
        <v>134</v>
      </c>
      <c r="P116" t="s">
        <v>763</v>
      </c>
    </row>
    <row r="117" spans="1:16" x14ac:dyDescent="0.2">
      <c r="A117" t="s">
        <v>846</v>
      </c>
      <c r="B117" t="s">
        <v>847</v>
      </c>
      <c r="C117" t="s">
        <v>128</v>
      </c>
      <c r="D117" t="s">
        <v>129</v>
      </c>
      <c r="E117" t="s">
        <v>613</v>
      </c>
      <c r="F117" t="s">
        <v>809</v>
      </c>
      <c r="H117" t="s">
        <v>421</v>
      </c>
      <c r="J117">
        <v>2018</v>
      </c>
      <c r="K117" t="s">
        <v>523</v>
      </c>
      <c r="L117">
        <v>43565</v>
      </c>
      <c r="N117" t="s">
        <v>134</v>
      </c>
      <c r="P117" t="s">
        <v>848</v>
      </c>
    </row>
    <row r="118" spans="1:16" x14ac:dyDescent="0.2">
      <c r="A118" t="s">
        <v>849</v>
      </c>
      <c r="B118" t="s">
        <v>850</v>
      </c>
      <c r="C118" t="s">
        <v>128</v>
      </c>
      <c r="D118" t="s">
        <v>129</v>
      </c>
      <c r="E118" t="s">
        <v>181</v>
      </c>
      <c r="F118" t="s">
        <v>851</v>
      </c>
      <c r="G118" t="s">
        <v>852</v>
      </c>
      <c r="H118" t="s">
        <v>472</v>
      </c>
      <c r="J118">
        <v>2018</v>
      </c>
      <c r="K118" t="s">
        <v>853</v>
      </c>
      <c r="L118">
        <v>43538</v>
      </c>
      <c r="N118" t="s">
        <v>134</v>
      </c>
      <c r="O118" t="s">
        <v>135</v>
      </c>
      <c r="P118" t="s">
        <v>854</v>
      </c>
    </row>
    <row r="119" spans="1:16" x14ac:dyDescent="0.2">
      <c r="A119" t="s">
        <v>849</v>
      </c>
      <c r="B119" t="s">
        <v>855</v>
      </c>
      <c r="C119" t="s">
        <v>128</v>
      </c>
      <c r="D119" t="s">
        <v>129</v>
      </c>
      <c r="E119" t="s">
        <v>181</v>
      </c>
      <c r="F119" t="s">
        <v>851</v>
      </c>
      <c r="G119" t="s">
        <v>856</v>
      </c>
      <c r="H119" t="s">
        <v>472</v>
      </c>
      <c r="J119">
        <v>2018</v>
      </c>
      <c r="K119" t="s">
        <v>133</v>
      </c>
      <c r="L119">
        <v>43591</v>
      </c>
      <c r="N119" t="s">
        <v>134</v>
      </c>
      <c r="P119" t="s">
        <v>854</v>
      </c>
    </row>
    <row r="120" spans="1:16" x14ac:dyDescent="0.2">
      <c r="A120" t="s">
        <v>849</v>
      </c>
      <c r="B120" t="s">
        <v>857</v>
      </c>
      <c r="C120" t="s">
        <v>128</v>
      </c>
      <c r="D120" t="s">
        <v>129</v>
      </c>
      <c r="E120" t="s">
        <v>181</v>
      </c>
      <c r="F120" t="s">
        <v>851</v>
      </c>
      <c r="H120" t="s">
        <v>472</v>
      </c>
      <c r="J120">
        <v>2019</v>
      </c>
      <c r="K120" t="s">
        <v>133</v>
      </c>
      <c r="L120">
        <v>43644</v>
      </c>
      <c r="N120" t="s">
        <v>134</v>
      </c>
      <c r="P120" t="s">
        <v>858</v>
      </c>
    </row>
    <row r="121" spans="1:16" x14ac:dyDescent="0.2">
      <c r="A121" t="s">
        <v>849</v>
      </c>
      <c r="B121" t="s">
        <v>859</v>
      </c>
      <c r="C121" t="s">
        <v>128</v>
      </c>
      <c r="D121" t="s">
        <v>129</v>
      </c>
      <c r="E121" t="s">
        <v>181</v>
      </c>
      <c r="F121" t="s">
        <v>851</v>
      </c>
      <c r="H121" t="s">
        <v>472</v>
      </c>
      <c r="J121">
        <v>2019</v>
      </c>
      <c r="K121" t="s">
        <v>351</v>
      </c>
      <c r="L121">
        <v>43725</v>
      </c>
      <c r="N121" t="s">
        <v>134</v>
      </c>
      <c r="P121" t="s">
        <v>858</v>
      </c>
    </row>
    <row r="122" spans="1:16" x14ac:dyDescent="0.2">
      <c r="A122" t="s">
        <v>925</v>
      </c>
      <c r="B122" t="s">
        <v>926</v>
      </c>
      <c r="C122" t="s">
        <v>128</v>
      </c>
      <c r="D122" t="s">
        <v>129</v>
      </c>
      <c r="F122" t="s">
        <v>927</v>
      </c>
      <c r="H122" t="s">
        <v>928</v>
      </c>
      <c r="J122">
        <v>2018</v>
      </c>
      <c r="K122" t="s">
        <v>261</v>
      </c>
      <c r="L122">
        <v>43524</v>
      </c>
      <c r="N122" t="s">
        <v>134</v>
      </c>
      <c r="O122" t="s">
        <v>135</v>
      </c>
      <c r="P122" t="s">
        <v>929</v>
      </c>
    </row>
    <row r="123" spans="1:16" x14ac:dyDescent="0.2">
      <c r="A123" t="s">
        <v>942</v>
      </c>
      <c r="B123" t="s">
        <v>943</v>
      </c>
      <c r="C123" t="s">
        <v>128</v>
      </c>
      <c r="D123" t="s">
        <v>129</v>
      </c>
      <c r="F123" t="s">
        <v>944</v>
      </c>
      <c r="G123" t="s">
        <v>945</v>
      </c>
      <c r="H123" t="s">
        <v>928</v>
      </c>
      <c r="J123">
        <v>2018</v>
      </c>
      <c r="K123" t="s">
        <v>261</v>
      </c>
      <c r="L123">
        <v>43570</v>
      </c>
      <c r="N123" t="s">
        <v>134</v>
      </c>
      <c r="O123" t="s">
        <v>135</v>
      </c>
      <c r="P123" t="s">
        <v>946</v>
      </c>
    </row>
    <row r="124" spans="1:16" x14ac:dyDescent="0.2">
      <c r="A124" t="s">
        <v>942</v>
      </c>
      <c r="B124" t="s">
        <v>947</v>
      </c>
      <c r="C124" t="s">
        <v>128</v>
      </c>
      <c r="D124" t="s">
        <v>129</v>
      </c>
      <c r="F124" t="s">
        <v>944</v>
      </c>
      <c r="G124" t="s">
        <v>948</v>
      </c>
      <c r="H124" t="s">
        <v>928</v>
      </c>
      <c r="J124">
        <v>2018</v>
      </c>
      <c r="K124" t="s">
        <v>261</v>
      </c>
      <c r="L124">
        <v>43585</v>
      </c>
      <c r="N124" t="s">
        <v>134</v>
      </c>
      <c r="O124" t="s">
        <v>135</v>
      </c>
      <c r="P124" t="s">
        <v>946</v>
      </c>
    </row>
    <row r="125" spans="1:16" x14ac:dyDescent="0.2">
      <c r="A125" t="s">
        <v>1143</v>
      </c>
      <c r="B125" t="s">
        <v>1144</v>
      </c>
      <c r="C125" t="s">
        <v>128</v>
      </c>
      <c r="D125" t="s">
        <v>129</v>
      </c>
      <c r="F125" t="s">
        <v>1145</v>
      </c>
      <c r="H125" t="s">
        <v>132</v>
      </c>
      <c r="J125">
        <v>2019</v>
      </c>
      <c r="K125" t="s">
        <v>277</v>
      </c>
      <c r="L125">
        <v>43776</v>
      </c>
      <c r="N125" t="s">
        <v>134</v>
      </c>
      <c r="P125" t="s">
        <v>1146</v>
      </c>
    </row>
    <row r="126" spans="1:16" x14ac:dyDescent="0.2">
      <c r="A126" t="s">
        <v>1160</v>
      </c>
      <c r="B126" t="s">
        <v>1161</v>
      </c>
      <c r="C126" t="s">
        <v>128</v>
      </c>
      <c r="D126" t="s">
        <v>129</v>
      </c>
      <c r="F126" t="s">
        <v>385</v>
      </c>
      <c r="G126" t="s">
        <v>1162</v>
      </c>
      <c r="H126" t="s">
        <v>309</v>
      </c>
      <c r="J126">
        <v>2019</v>
      </c>
      <c r="K126" t="s">
        <v>261</v>
      </c>
      <c r="L126">
        <v>43815</v>
      </c>
      <c r="N126" t="s">
        <v>134</v>
      </c>
      <c r="O126" t="s">
        <v>135</v>
      </c>
      <c r="P126" t="s">
        <v>1163</v>
      </c>
    </row>
    <row r="127" spans="1:16" x14ac:dyDescent="0.2">
      <c r="A127" t="s">
        <v>1160</v>
      </c>
      <c r="B127" t="s">
        <v>1164</v>
      </c>
      <c r="C127" t="s">
        <v>128</v>
      </c>
      <c r="D127" t="s">
        <v>129</v>
      </c>
      <c r="F127" t="s">
        <v>385</v>
      </c>
      <c r="G127" t="s">
        <v>1092</v>
      </c>
      <c r="H127" t="s">
        <v>309</v>
      </c>
      <c r="J127">
        <v>2019</v>
      </c>
      <c r="K127" t="s">
        <v>261</v>
      </c>
      <c r="L127">
        <v>43864</v>
      </c>
      <c r="N127" t="s">
        <v>134</v>
      </c>
      <c r="O127" t="s">
        <v>135</v>
      </c>
      <c r="P127" t="s">
        <v>1163</v>
      </c>
    </row>
    <row r="128" spans="1:16" x14ac:dyDescent="0.2">
      <c r="A128" t="s">
        <v>1233</v>
      </c>
      <c r="B128" t="s">
        <v>1234</v>
      </c>
      <c r="C128" t="s">
        <v>128</v>
      </c>
      <c r="D128" t="s">
        <v>129</v>
      </c>
      <c r="E128" t="s">
        <v>1235</v>
      </c>
      <c r="F128" t="s">
        <v>1236</v>
      </c>
      <c r="G128" t="s">
        <v>1237</v>
      </c>
      <c r="H128" t="s">
        <v>1238</v>
      </c>
      <c r="I128" t="s">
        <v>1181</v>
      </c>
      <c r="J128">
        <v>2020</v>
      </c>
      <c r="K128" t="s">
        <v>523</v>
      </c>
      <c r="L128">
        <v>44129</v>
      </c>
      <c r="N128" t="s">
        <v>134</v>
      </c>
      <c r="P128" t="s">
        <v>1239</v>
      </c>
    </row>
    <row r="129" spans="1:16" x14ac:dyDescent="0.2">
      <c r="A129" t="s">
        <v>1233</v>
      </c>
      <c r="B129" t="s">
        <v>1240</v>
      </c>
      <c r="C129" t="s">
        <v>128</v>
      </c>
      <c r="D129" t="s">
        <v>129</v>
      </c>
      <c r="E129" t="s">
        <v>1235</v>
      </c>
      <c r="F129" t="s">
        <v>1236</v>
      </c>
      <c r="G129" t="s">
        <v>1237</v>
      </c>
      <c r="H129" t="s">
        <v>1238</v>
      </c>
      <c r="I129" t="s">
        <v>1181</v>
      </c>
      <c r="J129">
        <v>2020</v>
      </c>
      <c r="K129" t="s">
        <v>523</v>
      </c>
      <c r="L129" t="s">
        <v>1241</v>
      </c>
      <c r="P129" t="s">
        <v>1239</v>
      </c>
    </row>
    <row r="130" spans="1:16" x14ac:dyDescent="0.2">
      <c r="A130" t="s">
        <v>1261</v>
      </c>
      <c r="B130" t="s">
        <v>1262</v>
      </c>
      <c r="C130" t="s">
        <v>128</v>
      </c>
      <c r="D130" t="s">
        <v>129</v>
      </c>
      <c r="F130" t="s">
        <v>1263</v>
      </c>
      <c r="H130" t="s">
        <v>463</v>
      </c>
      <c r="I130" t="s">
        <v>1181</v>
      </c>
      <c r="J130">
        <v>2019</v>
      </c>
      <c r="K130" t="s">
        <v>261</v>
      </c>
      <c r="L130">
        <v>44104</v>
      </c>
      <c r="N130" t="s">
        <v>134</v>
      </c>
      <c r="O130" t="s">
        <v>135</v>
      </c>
      <c r="P130" t="s">
        <v>1264</v>
      </c>
    </row>
    <row r="131" spans="1:16" x14ac:dyDescent="0.2">
      <c r="A131" t="s">
        <v>1356</v>
      </c>
      <c r="B131" t="s">
        <v>1357</v>
      </c>
      <c r="C131" t="s">
        <v>128</v>
      </c>
      <c r="D131" t="s">
        <v>1358</v>
      </c>
      <c r="E131" t="s">
        <v>211</v>
      </c>
      <c r="F131" t="s">
        <v>1351</v>
      </c>
      <c r="H131" t="s">
        <v>309</v>
      </c>
      <c r="I131" t="s">
        <v>1181</v>
      </c>
      <c r="J131">
        <v>2020</v>
      </c>
      <c r="K131" t="s">
        <v>261</v>
      </c>
      <c r="L131">
        <v>44012</v>
      </c>
      <c r="M131" t="s">
        <v>1359</v>
      </c>
      <c r="N131" t="s">
        <v>140</v>
      </c>
      <c r="O131" t="s">
        <v>135</v>
      </c>
      <c r="P131" t="s">
        <v>1360</v>
      </c>
    </row>
    <row r="132" spans="1:16" x14ac:dyDescent="0.2">
      <c r="A132" t="s">
        <v>1520</v>
      </c>
      <c r="B132" t="s">
        <v>1521</v>
      </c>
      <c r="C132" t="s">
        <v>128</v>
      </c>
      <c r="D132" t="s">
        <v>129</v>
      </c>
      <c r="F132" t="s">
        <v>1522</v>
      </c>
      <c r="G132" t="s">
        <v>1523</v>
      </c>
      <c r="H132" t="s">
        <v>1524</v>
      </c>
      <c r="I132" t="s">
        <v>1181</v>
      </c>
      <c r="J132">
        <v>2021</v>
      </c>
      <c r="K132" t="s">
        <v>261</v>
      </c>
      <c r="L132">
        <v>44320</v>
      </c>
      <c r="N132" t="s">
        <v>134</v>
      </c>
      <c r="O132" t="s">
        <v>135</v>
      </c>
      <c r="P132" t="s">
        <v>1525</v>
      </c>
    </row>
    <row r="133" spans="1:16" x14ac:dyDescent="0.2">
      <c r="A133" t="s">
        <v>1520</v>
      </c>
      <c r="B133" t="s">
        <v>1526</v>
      </c>
      <c r="C133" t="s">
        <v>128</v>
      </c>
      <c r="D133" t="s">
        <v>129</v>
      </c>
      <c r="F133" t="s">
        <v>1522</v>
      </c>
      <c r="G133" t="s">
        <v>1527</v>
      </c>
      <c r="H133" t="s">
        <v>1524</v>
      </c>
      <c r="I133" t="s">
        <v>1181</v>
      </c>
      <c r="J133">
        <v>2021</v>
      </c>
      <c r="K133" t="s">
        <v>261</v>
      </c>
      <c r="L133">
        <v>44342</v>
      </c>
      <c r="N133" t="s">
        <v>134</v>
      </c>
      <c r="O133" t="s">
        <v>135</v>
      </c>
      <c r="P133" t="s">
        <v>1525</v>
      </c>
    </row>
    <row r="134" spans="1:16" x14ac:dyDescent="0.2">
      <c r="A134" t="s">
        <v>1520</v>
      </c>
      <c r="B134" t="s">
        <v>1528</v>
      </c>
      <c r="C134" t="s">
        <v>128</v>
      </c>
      <c r="D134" t="s">
        <v>129</v>
      </c>
      <c r="F134" t="s">
        <v>1522</v>
      </c>
      <c r="G134" t="s">
        <v>1529</v>
      </c>
      <c r="H134" t="s">
        <v>1524</v>
      </c>
      <c r="I134" t="s">
        <v>1181</v>
      </c>
      <c r="J134">
        <v>2021</v>
      </c>
      <c r="K134" t="s">
        <v>261</v>
      </c>
      <c r="L134">
        <v>44410</v>
      </c>
      <c r="N134" t="s">
        <v>134</v>
      </c>
      <c r="O134" t="s">
        <v>135</v>
      </c>
      <c r="P134" t="s">
        <v>1525</v>
      </c>
    </row>
    <row r="135" spans="1:16" x14ac:dyDescent="0.2">
      <c r="A135" t="s">
        <v>1520</v>
      </c>
      <c r="B135" t="s">
        <v>1530</v>
      </c>
      <c r="C135" t="s">
        <v>128</v>
      </c>
      <c r="D135" t="s">
        <v>129</v>
      </c>
      <c r="F135" t="s">
        <v>1522</v>
      </c>
      <c r="G135" t="s">
        <v>1531</v>
      </c>
      <c r="H135" t="s">
        <v>1524</v>
      </c>
      <c r="I135" t="s">
        <v>1181</v>
      </c>
      <c r="J135">
        <v>2021</v>
      </c>
      <c r="K135" t="s">
        <v>261</v>
      </c>
      <c r="L135">
        <v>44407</v>
      </c>
      <c r="N135" t="s">
        <v>134</v>
      </c>
      <c r="O135" t="s">
        <v>135</v>
      </c>
      <c r="P135" t="s">
        <v>1525</v>
      </c>
    </row>
    <row r="136" spans="1:16" x14ac:dyDescent="0.2">
      <c r="A136" t="s">
        <v>1520</v>
      </c>
      <c r="B136" t="s">
        <v>1532</v>
      </c>
      <c r="C136" t="s">
        <v>128</v>
      </c>
      <c r="D136" t="s">
        <v>129</v>
      </c>
      <c r="F136" t="s">
        <v>1522</v>
      </c>
      <c r="G136" t="s">
        <v>1533</v>
      </c>
      <c r="H136" t="s">
        <v>1524</v>
      </c>
      <c r="I136" t="s">
        <v>1181</v>
      </c>
      <c r="J136">
        <v>2021</v>
      </c>
      <c r="K136" t="s">
        <v>261</v>
      </c>
      <c r="L136">
        <v>44692</v>
      </c>
      <c r="N136" t="s">
        <v>134</v>
      </c>
      <c r="O136" t="s">
        <v>135</v>
      </c>
      <c r="P136" t="s">
        <v>1525</v>
      </c>
    </row>
    <row r="137" spans="1:16" x14ac:dyDescent="0.2">
      <c r="A137" t="s">
        <v>1567</v>
      </c>
      <c r="B137" t="s">
        <v>1568</v>
      </c>
      <c r="C137" t="s">
        <v>112</v>
      </c>
      <c r="D137" t="s">
        <v>129</v>
      </c>
      <c r="F137" t="s">
        <v>1569</v>
      </c>
      <c r="G137" t="s">
        <v>1570</v>
      </c>
      <c r="H137" t="s">
        <v>1571</v>
      </c>
      <c r="I137" t="s">
        <v>1181</v>
      </c>
      <c r="J137">
        <v>2020</v>
      </c>
      <c r="K137" t="s">
        <v>351</v>
      </c>
      <c r="L137">
        <v>44342</v>
      </c>
      <c r="N137" t="s">
        <v>134</v>
      </c>
      <c r="P137" t="s">
        <v>3489</v>
      </c>
    </row>
    <row r="138" spans="1:16" x14ac:dyDescent="0.2">
      <c r="A138" t="s">
        <v>1670</v>
      </c>
      <c r="B138" t="s">
        <v>1671</v>
      </c>
      <c r="C138" t="s">
        <v>128</v>
      </c>
      <c r="D138" t="s">
        <v>129</v>
      </c>
      <c r="F138" t="s">
        <v>1672</v>
      </c>
      <c r="H138" t="s">
        <v>1673</v>
      </c>
      <c r="I138" t="s">
        <v>1181</v>
      </c>
      <c r="J138">
        <v>2021</v>
      </c>
      <c r="K138" t="s">
        <v>261</v>
      </c>
      <c r="L138">
        <v>44459</v>
      </c>
      <c r="N138" t="s">
        <v>134</v>
      </c>
      <c r="O138" t="s">
        <v>135</v>
      </c>
      <c r="P138" t="s">
        <v>1674</v>
      </c>
    </row>
    <row r="139" spans="1:16" x14ac:dyDescent="0.2">
      <c r="A139" t="s">
        <v>1670</v>
      </c>
      <c r="B139" t="s">
        <v>1675</v>
      </c>
      <c r="C139" t="s">
        <v>128</v>
      </c>
      <c r="D139" t="s">
        <v>129</v>
      </c>
      <c r="F139" t="s">
        <v>1672</v>
      </c>
      <c r="H139" t="s">
        <v>1673</v>
      </c>
      <c r="I139" t="s">
        <v>1181</v>
      </c>
      <c r="J139">
        <v>2021</v>
      </c>
      <c r="K139" t="s">
        <v>261</v>
      </c>
      <c r="L139">
        <v>44530</v>
      </c>
      <c r="N139" t="s">
        <v>134</v>
      </c>
      <c r="O139" t="s">
        <v>135</v>
      </c>
      <c r="P139" t="s">
        <v>1674</v>
      </c>
    </row>
    <row r="140" spans="1:16" x14ac:dyDescent="0.2">
      <c r="A140" t="s">
        <v>1670</v>
      </c>
      <c r="B140" t="s">
        <v>1676</v>
      </c>
      <c r="C140" t="s">
        <v>128</v>
      </c>
      <c r="D140" t="s">
        <v>129</v>
      </c>
      <c r="F140" t="s">
        <v>1672</v>
      </c>
      <c r="G140" t="s">
        <v>1677</v>
      </c>
      <c r="H140" t="s">
        <v>1673</v>
      </c>
      <c r="I140" t="s">
        <v>1181</v>
      </c>
      <c r="J140">
        <v>2021</v>
      </c>
      <c r="K140" t="s">
        <v>261</v>
      </c>
      <c r="L140">
        <v>44510</v>
      </c>
      <c r="N140" t="s">
        <v>134</v>
      </c>
      <c r="O140" t="s">
        <v>135</v>
      </c>
      <c r="P140" t="s">
        <v>1674</v>
      </c>
    </row>
    <row r="141" spans="1:16" x14ac:dyDescent="0.2">
      <c r="A141" t="s">
        <v>1779</v>
      </c>
      <c r="B141" t="s">
        <v>1780</v>
      </c>
      <c r="C141" t="s">
        <v>128</v>
      </c>
      <c r="D141" t="s">
        <v>129</v>
      </c>
      <c r="F141" t="s">
        <v>1781</v>
      </c>
      <c r="H141" t="s">
        <v>421</v>
      </c>
      <c r="I141" t="s">
        <v>1181</v>
      </c>
      <c r="J141">
        <v>2021</v>
      </c>
      <c r="K141" t="s">
        <v>261</v>
      </c>
      <c r="L141">
        <v>44252</v>
      </c>
      <c r="N141" t="s">
        <v>134</v>
      </c>
      <c r="O141" t="s">
        <v>135</v>
      </c>
      <c r="P141" t="s">
        <v>1782</v>
      </c>
    </row>
    <row r="142" spans="1:16" x14ac:dyDescent="0.2">
      <c r="A142" t="s">
        <v>1798</v>
      </c>
      <c r="B142" t="s">
        <v>1799</v>
      </c>
      <c r="C142" t="s">
        <v>128</v>
      </c>
      <c r="D142" t="s">
        <v>129</v>
      </c>
      <c r="E142" t="s">
        <v>1800</v>
      </c>
      <c r="F142" t="s">
        <v>1570</v>
      </c>
      <c r="H142" t="s">
        <v>194</v>
      </c>
      <c r="I142" t="s">
        <v>1181</v>
      </c>
      <c r="J142">
        <v>2021</v>
      </c>
      <c r="K142" t="s">
        <v>277</v>
      </c>
      <c r="L142">
        <v>44550</v>
      </c>
      <c r="N142" t="s">
        <v>444</v>
      </c>
      <c r="P142" t="s">
        <v>1801</v>
      </c>
    </row>
    <row r="143" spans="1:16" x14ac:dyDescent="0.2">
      <c r="A143" t="s">
        <v>1864</v>
      </c>
      <c r="B143" t="s">
        <v>1865</v>
      </c>
      <c r="C143" t="s">
        <v>128</v>
      </c>
      <c r="D143" t="s">
        <v>129</v>
      </c>
      <c r="E143" t="s">
        <v>1800</v>
      </c>
      <c r="F143" t="s">
        <v>1866</v>
      </c>
      <c r="H143" t="s">
        <v>194</v>
      </c>
      <c r="I143" t="s">
        <v>1181</v>
      </c>
      <c r="J143">
        <v>2021</v>
      </c>
      <c r="K143" t="s">
        <v>221</v>
      </c>
      <c r="L143">
        <v>44679</v>
      </c>
      <c r="N143" t="s">
        <v>134</v>
      </c>
      <c r="O143" t="s">
        <v>135</v>
      </c>
      <c r="P143" t="s">
        <v>1867</v>
      </c>
    </row>
    <row r="144" spans="1:16" x14ac:dyDescent="0.2">
      <c r="A144" t="s">
        <v>1871</v>
      </c>
      <c r="B144" t="s">
        <v>1872</v>
      </c>
      <c r="C144" t="s">
        <v>128</v>
      </c>
      <c r="D144" t="s">
        <v>129</v>
      </c>
      <c r="E144" t="s">
        <v>307</v>
      </c>
      <c r="F144" t="s">
        <v>1873</v>
      </c>
      <c r="G144" t="s">
        <v>1874</v>
      </c>
      <c r="H144" t="s">
        <v>392</v>
      </c>
      <c r="I144" t="s">
        <v>1181</v>
      </c>
      <c r="J144">
        <v>2021</v>
      </c>
      <c r="K144" t="s">
        <v>221</v>
      </c>
      <c r="L144">
        <v>44519</v>
      </c>
      <c r="N144" t="s">
        <v>140</v>
      </c>
      <c r="P144" t="s">
        <v>1875</v>
      </c>
    </row>
    <row r="145" spans="1:16" x14ac:dyDescent="0.2">
      <c r="A145" t="s">
        <v>1975</v>
      </c>
      <c r="B145" t="s">
        <v>1976</v>
      </c>
      <c r="C145" t="s">
        <v>128</v>
      </c>
      <c r="D145" t="s">
        <v>129</v>
      </c>
      <c r="F145" t="s">
        <v>1781</v>
      </c>
      <c r="G145" t="s">
        <v>1977</v>
      </c>
      <c r="H145" t="s">
        <v>421</v>
      </c>
      <c r="I145" t="s">
        <v>1181</v>
      </c>
      <c r="J145">
        <v>2022</v>
      </c>
      <c r="K145" t="s">
        <v>261</v>
      </c>
      <c r="L145">
        <v>44733</v>
      </c>
      <c r="N145" t="s">
        <v>134</v>
      </c>
      <c r="O145" t="s">
        <v>135</v>
      </c>
      <c r="P145" t="s">
        <v>1978</v>
      </c>
    </row>
    <row r="146" spans="1:16" x14ac:dyDescent="0.2">
      <c r="A146" t="s">
        <v>2032</v>
      </c>
      <c r="B146" t="s">
        <v>2033</v>
      </c>
      <c r="C146" t="s">
        <v>128</v>
      </c>
      <c r="D146" t="s">
        <v>129</v>
      </c>
      <c r="F146" t="s">
        <v>1911</v>
      </c>
      <c r="H146" t="s">
        <v>281</v>
      </c>
      <c r="I146" t="s">
        <v>1181</v>
      </c>
      <c r="J146">
        <v>2022</v>
      </c>
      <c r="K146" t="s">
        <v>277</v>
      </c>
      <c r="L146">
        <v>44834</v>
      </c>
      <c r="N146" t="s">
        <v>134</v>
      </c>
      <c r="P146" t="s">
        <v>2034</v>
      </c>
    </row>
    <row r="147" spans="1:16" x14ac:dyDescent="0.2">
      <c r="A147" t="s">
        <v>2032</v>
      </c>
      <c r="B147" t="s">
        <v>2035</v>
      </c>
      <c r="C147" t="s">
        <v>128</v>
      </c>
      <c r="D147" t="s">
        <v>129</v>
      </c>
      <c r="F147" t="s">
        <v>1911</v>
      </c>
      <c r="H147" t="s">
        <v>281</v>
      </c>
      <c r="I147" t="s">
        <v>1181</v>
      </c>
      <c r="J147">
        <v>2022</v>
      </c>
      <c r="K147" t="s">
        <v>277</v>
      </c>
      <c r="L147">
        <v>44876</v>
      </c>
      <c r="N147" t="s">
        <v>134</v>
      </c>
      <c r="P147" t="s">
        <v>2034</v>
      </c>
    </row>
    <row r="148" spans="1:16" x14ac:dyDescent="0.2">
      <c r="A148" t="s">
        <v>2046</v>
      </c>
      <c r="B148" t="s">
        <v>2047</v>
      </c>
      <c r="C148" t="s">
        <v>128</v>
      </c>
      <c r="D148" t="s">
        <v>129</v>
      </c>
      <c r="E148" t="s">
        <v>181</v>
      </c>
      <c r="F148" t="s">
        <v>545</v>
      </c>
      <c r="G148" t="s">
        <v>2048</v>
      </c>
      <c r="H148" t="s">
        <v>546</v>
      </c>
      <c r="I148" t="s">
        <v>1181</v>
      </c>
      <c r="J148">
        <v>2022</v>
      </c>
      <c r="K148" t="s">
        <v>277</v>
      </c>
      <c r="L148">
        <v>44837</v>
      </c>
      <c r="N148" t="s">
        <v>134</v>
      </c>
      <c r="P148" t="s">
        <v>2049</v>
      </c>
    </row>
    <row r="149" spans="1:16" x14ac:dyDescent="0.2">
      <c r="A149" t="s">
        <v>2073</v>
      </c>
      <c r="B149" t="s">
        <v>2074</v>
      </c>
      <c r="C149" t="s">
        <v>128</v>
      </c>
      <c r="D149" t="s">
        <v>129</v>
      </c>
      <c r="F149" t="s">
        <v>2075</v>
      </c>
      <c r="H149" t="s">
        <v>194</v>
      </c>
      <c r="I149" t="s">
        <v>1181</v>
      </c>
      <c r="J149">
        <v>2022</v>
      </c>
      <c r="K149" t="s">
        <v>221</v>
      </c>
      <c r="L149">
        <v>44854</v>
      </c>
      <c r="N149" t="s">
        <v>134</v>
      </c>
      <c r="O149" t="s">
        <v>135</v>
      </c>
      <c r="P149" t="s">
        <v>2076</v>
      </c>
    </row>
    <row r="150" spans="1:16" x14ac:dyDescent="0.2">
      <c r="A150" t="s">
        <v>2124</v>
      </c>
      <c r="B150" t="s">
        <v>2125</v>
      </c>
      <c r="C150" t="s">
        <v>128</v>
      </c>
      <c r="D150" t="s">
        <v>129</v>
      </c>
      <c r="E150" t="s">
        <v>2126</v>
      </c>
      <c r="F150" t="s">
        <v>2127</v>
      </c>
      <c r="H150" t="s">
        <v>2128</v>
      </c>
      <c r="I150" t="s">
        <v>1181</v>
      </c>
      <c r="J150">
        <v>2022</v>
      </c>
      <c r="K150" t="s">
        <v>221</v>
      </c>
      <c r="L150">
        <v>44876</v>
      </c>
      <c r="N150" t="s">
        <v>134</v>
      </c>
      <c r="O150" t="s">
        <v>135</v>
      </c>
      <c r="P150" t="s">
        <v>2129</v>
      </c>
    </row>
    <row r="151" spans="1:16" x14ac:dyDescent="0.2">
      <c r="A151" t="s">
        <v>2225</v>
      </c>
      <c r="B151" t="s">
        <v>2226</v>
      </c>
      <c r="C151" t="s">
        <v>128</v>
      </c>
      <c r="D151" t="s">
        <v>129</v>
      </c>
      <c r="F151" t="s">
        <v>2227</v>
      </c>
      <c r="H151" t="s">
        <v>194</v>
      </c>
      <c r="I151" t="s">
        <v>1181</v>
      </c>
      <c r="J151">
        <v>2022</v>
      </c>
      <c r="K151" t="s">
        <v>277</v>
      </c>
      <c r="L151">
        <v>45078</v>
      </c>
      <c r="N151" t="s">
        <v>134</v>
      </c>
      <c r="P151" t="s">
        <v>2228</v>
      </c>
    </row>
    <row r="152" spans="1:16" x14ac:dyDescent="0.2">
      <c r="A152" t="s">
        <v>2247</v>
      </c>
      <c r="B152" t="s">
        <v>2248</v>
      </c>
      <c r="C152" t="s">
        <v>128</v>
      </c>
      <c r="D152" t="s">
        <v>129</v>
      </c>
      <c r="F152" t="s">
        <v>2249</v>
      </c>
      <c r="H152" t="s">
        <v>2250</v>
      </c>
      <c r="I152" t="s">
        <v>1181</v>
      </c>
      <c r="J152">
        <v>2022</v>
      </c>
      <c r="K152" t="s">
        <v>261</v>
      </c>
      <c r="L152">
        <v>45323</v>
      </c>
      <c r="N152" t="s">
        <v>134</v>
      </c>
      <c r="O152" t="s">
        <v>135</v>
      </c>
      <c r="P152" t="s">
        <v>2251</v>
      </c>
    </row>
    <row r="153" spans="1:16" x14ac:dyDescent="0.2">
      <c r="A153" t="s">
        <v>2247</v>
      </c>
      <c r="B153" t="s">
        <v>2252</v>
      </c>
      <c r="C153" t="s">
        <v>112</v>
      </c>
      <c r="D153" t="s">
        <v>129</v>
      </c>
      <c r="F153" t="s">
        <v>2249</v>
      </c>
      <c r="H153" t="s">
        <v>2250</v>
      </c>
      <c r="I153" t="s">
        <v>1181</v>
      </c>
      <c r="J153">
        <v>2023</v>
      </c>
      <c r="K153" t="s">
        <v>261</v>
      </c>
      <c r="N153" t="s">
        <v>134</v>
      </c>
      <c r="O153" t="s">
        <v>135</v>
      </c>
      <c r="P153" t="s">
        <v>3490</v>
      </c>
    </row>
    <row r="154" spans="1:16" x14ac:dyDescent="0.2">
      <c r="A154" t="s">
        <v>2305</v>
      </c>
      <c r="B154" t="s">
        <v>2306</v>
      </c>
      <c r="C154" t="s">
        <v>128</v>
      </c>
      <c r="D154" t="s">
        <v>129</v>
      </c>
      <c r="F154" t="s">
        <v>2307</v>
      </c>
      <c r="H154" t="s">
        <v>2250</v>
      </c>
      <c r="I154" t="s">
        <v>1181</v>
      </c>
      <c r="J154">
        <v>2023</v>
      </c>
      <c r="K154" t="s">
        <v>277</v>
      </c>
      <c r="L154">
        <v>45138</v>
      </c>
      <c r="N154" t="s">
        <v>444</v>
      </c>
      <c r="P154" t="s">
        <v>2308</v>
      </c>
    </row>
    <row r="155" spans="1:16" x14ac:dyDescent="0.2">
      <c r="A155" t="s">
        <v>2334</v>
      </c>
      <c r="B155" t="s">
        <v>2335</v>
      </c>
      <c r="C155" t="s">
        <v>128</v>
      </c>
      <c r="D155" t="s">
        <v>129</v>
      </c>
      <c r="F155" t="s">
        <v>2336</v>
      </c>
      <c r="H155" t="s">
        <v>2005</v>
      </c>
      <c r="I155" t="s">
        <v>1181</v>
      </c>
      <c r="J155">
        <v>2023</v>
      </c>
      <c r="K155" t="s">
        <v>221</v>
      </c>
      <c r="L155">
        <v>45217</v>
      </c>
      <c r="N155" t="s">
        <v>134</v>
      </c>
      <c r="P155" t="s">
        <v>2337</v>
      </c>
    </row>
    <row r="156" spans="1:16" x14ac:dyDescent="0.2">
      <c r="A156" t="s">
        <v>2334</v>
      </c>
      <c r="B156" t="s">
        <v>2338</v>
      </c>
      <c r="C156" t="s">
        <v>128</v>
      </c>
      <c r="D156" t="s">
        <v>129</v>
      </c>
      <c r="F156" t="s">
        <v>2336</v>
      </c>
      <c r="H156" t="s">
        <v>2005</v>
      </c>
      <c r="I156" t="s">
        <v>1181</v>
      </c>
      <c r="J156">
        <v>2023</v>
      </c>
      <c r="K156" t="s">
        <v>221</v>
      </c>
      <c r="L156">
        <v>45217</v>
      </c>
      <c r="N156" t="s">
        <v>134</v>
      </c>
      <c r="P156" t="s">
        <v>2337</v>
      </c>
    </row>
    <row r="157" spans="1:16" x14ac:dyDescent="0.2">
      <c r="A157" t="s">
        <v>2334</v>
      </c>
      <c r="B157" t="s">
        <v>2339</v>
      </c>
      <c r="C157" t="s">
        <v>128</v>
      </c>
      <c r="D157" t="s">
        <v>129</v>
      </c>
      <c r="F157" t="s">
        <v>2336</v>
      </c>
      <c r="H157" t="s">
        <v>2005</v>
      </c>
      <c r="I157" t="s">
        <v>1181</v>
      </c>
      <c r="J157">
        <v>2023</v>
      </c>
      <c r="K157" t="s">
        <v>221</v>
      </c>
      <c r="L157">
        <v>45275</v>
      </c>
      <c r="N157" t="s">
        <v>134</v>
      </c>
      <c r="P157" t="s">
        <v>2337</v>
      </c>
    </row>
    <row r="158" spans="1:16" x14ac:dyDescent="0.2">
      <c r="A158" t="s">
        <v>2343</v>
      </c>
      <c r="B158" t="s">
        <v>2344</v>
      </c>
      <c r="C158" t="s">
        <v>128</v>
      </c>
      <c r="D158" t="s">
        <v>129</v>
      </c>
      <c r="F158" t="s">
        <v>2345</v>
      </c>
      <c r="G158" t="s">
        <v>2346</v>
      </c>
      <c r="I158" t="s">
        <v>1181</v>
      </c>
      <c r="J158">
        <v>2023</v>
      </c>
      <c r="K158" t="s">
        <v>277</v>
      </c>
      <c r="L158">
        <v>45187</v>
      </c>
      <c r="N158" t="s">
        <v>140</v>
      </c>
      <c r="P158" t="s">
        <v>2347</v>
      </c>
    </row>
    <row r="159" spans="1:16" x14ac:dyDescent="0.2">
      <c r="A159" t="s">
        <v>2348</v>
      </c>
      <c r="B159" t="s">
        <v>2349</v>
      </c>
      <c r="C159" t="s">
        <v>128</v>
      </c>
      <c r="D159" t="s">
        <v>129</v>
      </c>
      <c r="F159" t="s">
        <v>1781</v>
      </c>
      <c r="H159" t="s">
        <v>421</v>
      </c>
      <c r="I159" t="s">
        <v>1181</v>
      </c>
      <c r="J159">
        <v>2023</v>
      </c>
      <c r="K159" t="s">
        <v>261</v>
      </c>
      <c r="L159">
        <v>45169</v>
      </c>
      <c r="N159" t="s">
        <v>134</v>
      </c>
      <c r="O159" t="s">
        <v>135</v>
      </c>
      <c r="P159" t="s">
        <v>2350</v>
      </c>
    </row>
    <row r="160" spans="1:16" x14ac:dyDescent="0.2">
      <c r="A160" t="s">
        <v>2397</v>
      </c>
      <c r="B160" t="s">
        <v>2398</v>
      </c>
      <c r="C160" t="s">
        <v>128</v>
      </c>
      <c r="D160" t="s">
        <v>129</v>
      </c>
      <c r="F160" t="s">
        <v>1781</v>
      </c>
      <c r="H160" t="s">
        <v>421</v>
      </c>
      <c r="I160" t="s">
        <v>1181</v>
      </c>
      <c r="J160">
        <v>2023</v>
      </c>
      <c r="K160" t="s">
        <v>261</v>
      </c>
      <c r="L160">
        <v>45132</v>
      </c>
      <c r="N160" t="s">
        <v>134</v>
      </c>
      <c r="O160" t="s">
        <v>135</v>
      </c>
      <c r="P160" t="s">
        <v>2399</v>
      </c>
    </row>
    <row r="161" spans="1:16" x14ac:dyDescent="0.2">
      <c r="A161" t="s">
        <v>2427</v>
      </c>
      <c r="B161" t="s">
        <v>2428</v>
      </c>
      <c r="C161" t="s">
        <v>128</v>
      </c>
      <c r="D161" t="s">
        <v>129</v>
      </c>
      <c r="F161" t="s">
        <v>385</v>
      </c>
      <c r="H161" t="s">
        <v>309</v>
      </c>
      <c r="I161" t="s">
        <v>1181</v>
      </c>
      <c r="J161">
        <v>2023</v>
      </c>
      <c r="K161" t="s">
        <v>261</v>
      </c>
      <c r="L161">
        <v>45251</v>
      </c>
      <c r="N161" t="s">
        <v>134</v>
      </c>
      <c r="O161" t="s">
        <v>135</v>
      </c>
      <c r="P161" t="s">
        <v>2429</v>
      </c>
    </row>
    <row r="162" spans="1:16" x14ac:dyDescent="0.2">
      <c r="A162" t="s">
        <v>2430</v>
      </c>
      <c r="B162" t="s">
        <v>2431</v>
      </c>
      <c r="C162" t="s">
        <v>128</v>
      </c>
      <c r="D162" t="s">
        <v>129</v>
      </c>
      <c r="F162" t="s">
        <v>2432</v>
      </c>
      <c r="H162" t="s">
        <v>1524</v>
      </c>
      <c r="I162" t="s">
        <v>1181</v>
      </c>
      <c r="J162">
        <v>2023</v>
      </c>
      <c r="K162" t="s">
        <v>221</v>
      </c>
      <c r="L162">
        <v>45275</v>
      </c>
      <c r="N162" t="s">
        <v>134</v>
      </c>
      <c r="P162" t="s">
        <v>2433</v>
      </c>
    </row>
    <row r="163" spans="1:16" x14ac:dyDescent="0.2">
      <c r="A163" t="s">
        <v>2533</v>
      </c>
      <c r="B163" t="s">
        <v>2534</v>
      </c>
      <c r="C163" t="s">
        <v>128</v>
      </c>
      <c r="D163" t="s">
        <v>129</v>
      </c>
      <c r="F163" t="s">
        <v>2336</v>
      </c>
      <c r="G163" t="s">
        <v>2535</v>
      </c>
      <c r="H163" t="s">
        <v>2005</v>
      </c>
      <c r="I163" t="s">
        <v>1181</v>
      </c>
      <c r="J163">
        <v>2024</v>
      </c>
      <c r="K163" t="s">
        <v>277</v>
      </c>
      <c r="L163">
        <v>45412</v>
      </c>
      <c r="N163" t="s">
        <v>444</v>
      </c>
      <c r="P163" t="s">
        <v>2536</v>
      </c>
    </row>
    <row r="164" spans="1:16" x14ac:dyDescent="0.2">
      <c r="A164" t="s">
        <v>2533</v>
      </c>
      <c r="B164" t="s">
        <v>2537</v>
      </c>
      <c r="C164" t="s">
        <v>128</v>
      </c>
      <c r="D164" t="s">
        <v>129</v>
      </c>
      <c r="F164" t="s">
        <v>2336</v>
      </c>
      <c r="G164" t="s">
        <v>2538</v>
      </c>
      <c r="H164" t="s">
        <v>2005</v>
      </c>
      <c r="I164" t="s">
        <v>1181</v>
      </c>
      <c r="J164">
        <v>2024</v>
      </c>
      <c r="K164" t="s">
        <v>277</v>
      </c>
      <c r="L164">
        <v>45468</v>
      </c>
      <c r="N164" t="s">
        <v>444</v>
      </c>
      <c r="P164" t="s">
        <v>2536</v>
      </c>
    </row>
    <row r="165" spans="1:16" x14ac:dyDescent="0.2">
      <c r="A165" t="s">
        <v>2544</v>
      </c>
      <c r="B165" t="s">
        <v>2545</v>
      </c>
      <c r="C165" t="s">
        <v>128</v>
      </c>
      <c r="D165" t="s">
        <v>129</v>
      </c>
      <c r="E165" t="s">
        <v>613</v>
      </c>
      <c r="F165" t="s">
        <v>2546</v>
      </c>
      <c r="H165" t="s">
        <v>421</v>
      </c>
      <c r="I165" t="s">
        <v>1181</v>
      </c>
      <c r="J165">
        <v>2023</v>
      </c>
      <c r="K165" t="s">
        <v>2332</v>
      </c>
      <c r="L165">
        <v>45478</v>
      </c>
      <c r="N165" t="s">
        <v>134</v>
      </c>
      <c r="P165" t="s">
        <v>2547</v>
      </c>
    </row>
    <row r="166" spans="1:16" x14ac:dyDescent="0.2">
      <c r="A166" t="s">
        <v>2548</v>
      </c>
      <c r="B166" t="s">
        <v>2549</v>
      </c>
      <c r="C166" t="s">
        <v>128</v>
      </c>
      <c r="D166" t="s">
        <v>129</v>
      </c>
      <c r="F166" t="s">
        <v>2550</v>
      </c>
      <c r="H166" t="s">
        <v>421</v>
      </c>
      <c r="I166" t="s">
        <v>1181</v>
      </c>
      <c r="J166">
        <v>2023</v>
      </c>
      <c r="K166" t="s">
        <v>261</v>
      </c>
      <c r="L166">
        <v>45350</v>
      </c>
      <c r="N166" t="s">
        <v>134</v>
      </c>
      <c r="O166" t="s">
        <v>135</v>
      </c>
      <c r="P166" t="s">
        <v>2551</v>
      </c>
    </row>
    <row r="167" spans="1:16" x14ac:dyDescent="0.2">
      <c r="A167" t="s">
        <v>2657</v>
      </c>
      <c r="B167" t="s">
        <v>2658</v>
      </c>
      <c r="C167" t="s">
        <v>112</v>
      </c>
      <c r="D167" t="s">
        <v>129</v>
      </c>
      <c r="E167" t="s">
        <v>129</v>
      </c>
      <c r="F167" t="s">
        <v>2659</v>
      </c>
      <c r="H167" t="s">
        <v>212</v>
      </c>
      <c r="I167" t="s">
        <v>1181</v>
      </c>
      <c r="J167">
        <v>2025</v>
      </c>
      <c r="K167" t="s">
        <v>2332</v>
      </c>
      <c r="L167">
        <v>45789</v>
      </c>
      <c r="N167" t="s">
        <v>134</v>
      </c>
      <c r="P167" t="s">
        <v>3491</v>
      </c>
    </row>
    <row r="168" spans="1:16" x14ac:dyDescent="0.2">
      <c r="A168" t="s">
        <v>2661</v>
      </c>
      <c r="B168" t="s">
        <v>2662</v>
      </c>
      <c r="C168" t="s">
        <v>128</v>
      </c>
      <c r="D168" t="s">
        <v>129</v>
      </c>
      <c r="F168" t="s">
        <v>2249</v>
      </c>
      <c r="H168" t="s">
        <v>2250</v>
      </c>
      <c r="I168" t="s">
        <v>1181</v>
      </c>
      <c r="J168">
        <v>2024</v>
      </c>
      <c r="K168" t="s">
        <v>277</v>
      </c>
      <c r="L168">
        <v>45442</v>
      </c>
      <c r="N168" t="s">
        <v>134</v>
      </c>
      <c r="P168" t="s">
        <v>2663</v>
      </c>
    </row>
    <row r="169" spans="1:16" x14ac:dyDescent="0.2">
      <c r="A169" t="s">
        <v>2673</v>
      </c>
      <c r="B169" t="s">
        <v>2674</v>
      </c>
      <c r="C169" t="s">
        <v>128</v>
      </c>
      <c r="D169" t="s">
        <v>129</v>
      </c>
      <c r="F169" t="s">
        <v>2675</v>
      </c>
      <c r="H169" t="s">
        <v>1571</v>
      </c>
      <c r="I169" t="s">
        <v>1181</v>
      </c>
      <c r="J169">
        <v>2024</v>
      </c>
      <c r="K169" t="s">
        <v>277</v>
      </c>
      <c r="L169">
        <v>45449</v>
      </c>
      <c r="N169" t="s">
        <v>134</v>
      </c>
      <c r="P169" t="s">
        <v>2676</v>
      </c>
    </row>
    <row r="170" spans="1:16" x14ac:dyDescent="0.2">
      <c r="A170" t="s">
        <v>2801</v>
      </c>
      <c r="B170" t="s">
        <v>2802</v>
      </c>
      <c r="C170" t="s">
        <v>128</v>
      </c>
      <c r="D170" t="s">
        <v>129</v>
      </c>
      <c r="F170" t="s">
        <v>2803</v>
      </c>
      <c r="H170" t="s">
        <v>928</v>
      </c>
      <c r="I170" t="s">
        <v>1181</v>
      </c>
      <c r="J170">
        <v>2024</v>
      </c>
      <c r="K170" t="s">
        <v>277</v>
      </c>
      <c r="L170">
        <v>45629</v>
      </c>
      <c r="N170" t="s">
        <v>134</v>
      </c>
      <c r="P170" t="s">
        <v>2804</v>
      </c>
    </row>
    <row r="171" spans="1:16" x14ac:dyDescent="0.2">
      <c r="A171" t="s">
        <v>2863</v>
      </c>
      <c r="B171" t="s">
        <v>2864</v>
      </c>
      <c r="C171" t="s">
        <v>128</v>
      </c>
      <c r="D171" t="s">
        <v>129</v>
      </c>
      <c r="F171" t="s">
        <v>2865</v>
      </c>
      <c r="H171" t="s">
        <v>309</v>
      </c>
      <c r="I171" t="s">
        <v>1181</v>
      </c>
      <c r="J171">
        <v>2024</v>
      </c>
      <c r="K171" t="s">
        <v>261</v>
      </c>
      <c r="L171">
        <v>45744</v>
      </c>
      <c r="N171" t="s">
        <v>134</v>
      </c>
      <c r="O171" t="s">
        <v>135</v>
      </c>
      <c r="P171" t="s">
        <v>2866</v>
      </c>
    </row>
    <row r="172" spans="1:16" x14ac:dyDescent="0.2">
      <c r="A172" t="s">
        <v>2925</v>
      </c>
      <c r="B172" t="s">
        <v>2926</v>
      </c>
      <c r="C172" t="s">
        <v>128</v>
      </c>
      <c r="D172" t="s">
        <v>129</v>
      </c>
      <c r="E172" t="s">
        <v>307</v>
      </c>
      <c r="F172" t="s">
        <v>2786</v>
      </c>
      <c r="H172" t="s">
        <v>421</v>
      </c>
      <c r="I172" t="s">
        <v>1181</v>
      </c>
      <c r="J172">
        <v>2024</v>
      </c>
      <c r="K172" t="s">
        <v>261</v>
      </c>
      <c r="L172">
        <v>45716</v>
      </c>
      <c r="N172" t="s">
        <v>134</v>
      </c>
      <c r="O172" t="s">
        <v>135</v>
      </c>
      <c r="P172" t="s">
        <v>3161</v>
      </c>
    </row>
    <row r="173" spans="1:16" x14ac:dyDescent="0.2">
      <c r="A173" t="s">
        <v>2975</v>
      </c>
      <c r="B173" t="s">
        <v>2976</v>
      </c>
      <c r="C173" t="s">
        <v>128</v>
      </c>
      <c r="D173" t="s">
        <v>129</v>
      </c>
      <c r="F173" t="s">
        <v>2659</v>
      </c>
      <c r="H173" t="s">
        <v>212</v>
      </c>
      <c r="I173" t="s">
        <v>1181</v>
      </c>
      <c r="J173">
        <v>2025</v>
      </c>
      <c r="K173" t="s">
        <v>2332</v>
      </c>
      <c r="L173">
        <v>45800</v>
      </c>
      <c r="N173" t="s">
        <v>134</v>
      </c>
      <c r="P173" t="s">
        <v>2977</v>
      </c>
    </row>
    <row r="174" spans="1:16" x14ac:dyDescent="0.2">
      <c r="A174" t="s">
        <v>3193</v>
      </c>
      <c r="B174" t="s">
        <v>3194</v>
      </c>
      <c r="C174" t="s">
        <v>112</v>
      </c>
      <c r="D174" t="s">
        <v>129</v>
      </c>
      <c r="F174" t="s">
        <v>3195</v>
      </c>
      <c r="G174" t="s">
        <v>3196</v>
      </c>
      <c r="H174" t="s">
        <v>132</v>
      </c>
      <c r="I174" t="s">
        <v>1181</v>
      </c>
      <c r="J174">
        <v>2025</v>
      </c>
      <c r="K174" t="s">
        <v>133</v>
      </c>
      <c r="L174">
        <v>45939</v>
      </c>
      <c r="N174" t="s">
        <v>134</v>
      </c>
      <c r="P174" t="s">
        <v>838</v>
      </c>
    </row>
    <row r="175" spans="1:16" x14ac:dyDescent="0.2">
      <c r="A175" t="s">
        <v>3238</v>
      </c>
      <c r="C175" t="s">
        <v>112</v>
      </c>
      <c r="D175" t="s">
        <v>129</v>
      </c>
      <c r="F175" t="s">
        <v>3239</v>
      </c>
      <c r="H175" t="s">
        <v>1122</v>
      </c>
      <c r="I175" t="s">
        <v>1181</v>
      </c>
      <c r="J175">
        <v>2025</v>
      </c>
      <c r="K175" t="s">
        <v>2332</v>
      </c>
      <c r="N175" t="s">
        <v>597</v>
      </c>
      <c r="P175" t="s">
        <v>838</v>
      </c>
    </row>
    <row r="176" spans="1:16" x14ac:dyDescent="0.2">
      <c r="A176" t="s">
        <v>3278</v>
      </c>
      <c r="B176" t="s">
        <v>3279</v>
      </c>
      <c r="C176" t="s">
        <v>128</v>
      </c>
      <c r="D176" t="s">
        <v>129</v>
      </c>
      <c r="F176" t="s">
        <v>3000</v>
      </c>
      <c r="H176" t="s">
        <v>199</v>
      </c>
      <c r="I176" t="s">
        <v>1181</v>
      </c>
      <c r="J176">
        <v>2025</v>
      </c>
      <c r="K176" t="s">
        <v>133</v>
      </c>
      <c r="L176">
        <v>46105</v>
      </c>
      <c r="N176" t="s">
        <v>597</v>
      </c>
      <c r="P176" t="s">
        <v>3280</v>
      </c>
    </row>
    <row r="177" spans="1:16" x14ac:dyDescent="0.2">
      <c r="A177" t="s">
        <v>3291</v>
      </c>
      <c r="B177" t="s">
        <v>3292</v>
      </c>
      <c r="C177" t="s">
        <v>112</v>
      </c>
      <c r="D177" t="s">
        <v>129</v>
      </c>
      <c r="E177" t="s">
        <v>129</v>
      </c>
      <c r="F177" t="s">
        <v>3293</v>
      </c>
      <c r="G177" t="s">
        <v>3294</v>
      </c>
      <c r="H177" t="s">
        <v>2569</v>
      </c>
      <c r="I177" t="s">
        <v>2569</v>
      </c>
      <c r="J177">
        <v>2025</v>
      </c>
      <c r="K177" t="s">
        <v>133</v>
      </c>
      <c r="L177">
        <v>45884</v>
      </c>
      <c r="N177" t="s">
        <v>134</v>
      </c>
      <c r="P177" t="s">
        <v>3492</v>
      </c>
    </row>
    <row r="178" spans="1:16" x14ac:dyDescent="0.2">
      <c r="A178" t="s">
        <v>3323</v>
      </c>
      <c r="B178" t="s">
        <v>3324</v>
      </c>
      <c r="C178" t="s">
        <v>128</v>
      </c>
      <c r="D178" t="s">
        <v>129</v>
      </c>
      <c r="E178" t="s">
        <v>130</v>
      </c>
      <c r="F178" t="s">
        <v>3325</v>
      </c>
      <c r="G178" t="s">
        <v>3326</v>
      </c>
      <c r="H178" t="s">
        <v>3327</v>
      </c>
      <c r="I178" t="s">
        <v>2569</v>
      </c>
      <c r="J178">
        <v>2025</v>
      </c>
      <c r="K178" t="s">
        <v>133</v>
      </c>
      <c r="L178">
        <v>45901</v>
      </c>
      <c r="N178" t="s">
        <v>134</v>
      </c>
      <c r="P178" t="s">
        <v>3328</v>
      </c>
    </row>
    <row r="179" spans="1:16" x14ac:dyDescent="0.2">
      <c r="A179" t="s">
        <v>3363</v>
      </c>
      <c r="B179" t="s">
        <v>3364</v>
      </c>
      <c r="C179" t="s">
        <v>128</v>
      </c>
      <c r="D179" t="s">
        <v>129</v>
      </c>
      <c r="F179" t="s">
        <v>3195</v>
      </c>
      <c r="G179" t="s">
        <v>3365</v>
      </c>
      <c r="H179" t="s">
        <v>132</v>
      </c>
      <c r="I179" t="s">
        <v>1181</v>
      </c>
      <c r="J179">
        <v>2025</v>
      </c>
      <c r="K179" t="s">
        <v>133</v>
      </c>
      <c r="L179">
        <v>45960</v>
      </c>
      <c r="N179" t="s">
        <v>112</v>
      </c>
      <c r="P179" t="s">
        <v>3366</v>
      </c>
    </row>
    <row r="180" spans="1:16" x14ac:dyDescent="0.2">
      <c r="A180" t="s">
        <v>3081</v>
      </c>
      <c r="B180" t="s">
        <v>3082</v>
      </c>
      <c r="C180" t="s">
        <v>128</v>
      </c>
      <c r="D180" t="s">
        <v>3083</v>
      </c>
      <c r="F180" t="s">
        <v>3084</v>
      </c>
      <c r="H180" t="s">
        <v>199</v>
      </c>
      <c r="I180" t="s">
        <v>1181</v>
      </c>
      <c r="J180">
        <v>2025</v>
      </c>
      <c r="K180" t="s">
        <v>277</v>
      </c>
      <c r="L180">
        <v>45835</v>
      </c>
      <c r="N180" t="s">
        <v>134</v>
      </c>
      <c r="P180" t="s">
        <v>3085</v>
      </c>
    </row>
    <row r="181" spans="1:16" x14ac:dyDescent="0.2">
      <c r="A181" t="s">
        <v>3033</v>
      </c>
      <c r="B181" t="s">
        <v>3034</v>
      </c>
      <c r="C181" t="s">
        <v>112</v>
      </c>
      <c r="D181" t="s">
        <v>3166</v>
      </c>
      <c r="E181" t="s">
        <v>3167</v>
      </c>
      <c r="F181" t="s">
        <v>2122</v>
      </c>
      <c r="G181" t="s">
        <v>3035</v>
      </c>
      <c r="H181" t="s">
        <v>309</v>
      </c>
      <c r="I181" t="s">
        <v>1181</v>
      </c>
      <c r="J181">
        <v>2025</v>
      </c>
      <c r="K181" t="s">
        <v>523</v>
      </c>
      <c r="L181">
        <v>45859</v>
      </c>
      <c r="N181" t="s">
        <v>597</v>
      </c>
      <c r="P181" t="s">
        <v>3493</v>
      </c>
    </row>
    <row r="182" spans="1:16" x14ac:dyDescent="0.2">
      <c r="A182" t="s">
        <v>833</v>
      </c>
      <c r="B182" t="s">
        <v>834</v>
      </c>
      <c r="C182" t="s">
        <v>128</v>
      </c>
      <c r="D182" t="s">
        <v>835</v>
      </c>
      <c r="E182" t="s">
        <v>836</v>
      </c>
      <c r="F182" t="s">
        <v>837</v>
      </c>
      <c r="H182" t="s">
        <v>326</v>
      </c>
      <c r="J182">
        <v>2018</v>
      </c>
      <c r="K182" t="s">
        <v>523</v>
      </c>
      <c r="L182">
        <v>43447</v>
      </c>
      <c r="N182" t="s">
        <v>134</v>
      </c>
      <c r="P182" t="s">
        <v>3494</v>
      </c>
    </row>
    <row r="183" spans="1:16" x14ac:dyDescent="0.2">
      <c r="A183" t="s">
        <v>833</v>
      </c>
      <c r="B183" t="s">
        <v>839</v>
      </c>
      <c r="C183" t="s">
        <v>128</v>
      </c>
      <c r="D183" t="s">
        <v>835</v>
      </c>
      <c r="E183" t="s">
        <v>836</v>
      </c>
      <c r="F183" t="s">
        <v>837</v>
      </c>
      <c r="H183" t="s">
        <v>326</v>
      </c>
      <c r="J183">
        <v>2018</v>
      </c>
      <c r="K183" t="s">
        <v>523</v>
      </c>
      <c r="L183">
        <v>43137</v>
      </c>
      <c r="N183" t="s">
        <v>134</v>
      </c>
      <c r="P183" t="s">
        <v>3494</v>
      </c>
    </row>
    <row r="184" spans="1:16" x14ac:dyDescent="0.2">
      <c r="A184" t="s">
        <v>494</v>
      </c>
      <c r="B184" t="s">
        <v>495</v>
      </c>
      <c r="C184" t="s">
        <v>128</v>
      </c>
      <c r="D184" t="s">
        <v>496</v>
      </c>
      <c r="E184" t="s">
        <v>497</v>
      </c>
      <c r="F184" t="s">
        <v>498</v>
      </c>
      <c r="H184" t="s">
        <v>320</v>
      </c>
      <c r="J184">
        <v>2017</v>
      </c>
      <c r="K184" t="s">
        <v>303</v>
      </c>
      <c r="L184">
        <v>42916</v>
      </c>
      <c r="N184" t="s">
        <v>134</v>
      </c>
      <c r="O184" t="s">
        <v>135</v>
      </c>
      <c r="P184" t="s">
        <v>499</v>
      </c>
    </row>
    <row r="185" spans="1:16" x14ac:dyDescent="0.2">
      <c r="A185" t="s">
        <v>3440</v>
      </c>
      <c r="C185" t="s">
        <v>112</v>
      </c>
      <c r="D185" t="s">
        <v>3441</v>
      </c>
      <c r="F185" t="s">
        <v>3442</v>
      </c>
      <c r="H185" t="s">
        <v>225</v>
      </c>
      <c r="I185" t="s">
        <v>2569</v>
      </c>
      <c r="J185">
        <v>2025</v>
      </c>
      <c r="K185" t="s">
        <v>3048</v>
      </c>
      <c r="N185" t="s">
        <v>597</v>
      </c>
      <c r="P185" t="s">
        <v>3495</v>
      </c>
    </row>
    <row r="186" spans="1:16" x14ac:dyDescent="0.2">
      <c r="A186" t="s">
        <v>3044</v>
      </c>
      <c r="B186" t="s">
        <v>3045</v>
      </c>
      <c r="C186" t="s">
        <v>128</v>
      </c>
      <c r="D186" t="s">
        <v>2602</v>
      </c>
      <c r="F186" t="s">
        <v>3046</v>
      </c>
      <c r="G186" t="s">
        <v>3047</v>
      </c>
      <c r="H186" t="s">
        <v>225</v>
      </c>
      <c r="I186" t="s">
        <v>2569</v>
      </c>
      <c r="J186">
        <v>2025</v>
      </c>
      <c r="K186" t="s">
        <v>3048</v>
      </c>
      <c r="L186">
        <v>45838</v>
      </c>
      <c r="N186" t="s">
        <v>134</v>
      </c>
      <c r="P186" t="s">
        <v>3049</v>
      </c>
    </row>
    <row r="187" spans="1:16" x14ac:dyDescent="0.2">
      <c r="A187" t="s">
        <v>3061</v>
      </c>
      <c r="B187" t="s">
        <v>3062</v>
      </c>
      <c r="C187" t="s">
        <v>128</v>
      </c>
      <c r="D187" t="s">
        <v>2602</v>
      </c>
      <c r="F187" t="s">
        <v>3063</v>
      </c>
      <c r="H187" t="s">
        <v>225</v>
      </c>
      <c r="I187" t="s">
        <v>2569</v>
      </c>
      <c r="J187">
        <v>2025</v>
      </c>
      <c r="K187" t="s">
        <v>3048</v>
      </c>
      <c r="N187" t="s">
        <v>597</v>
      </c>
      <c r="P187" t="s">
        <v>3064</v>
      </c>
    </row>
    <row r="188" spans="1:16" x14ac:dyDescent="0.2">
      <c r="A188" t="s">
        <v>2367</v>
      </c>
      <c r="B188" t="s">
        <v>2368</v>
      </c>
      <c r="C188" t="s">
        <v>128</v>
      </c>
      <c r="D188" t="s">
        <v>2369</v>
      </c>
      <c r="E188" t="s">
        <v>2370</v>
      </c>
      <c r="F188" t="s">
        <v>2371</v>
      </c>
      <c r="H188" t="s">
        <v>146</v>
      </c>
      <c r="I188" t="s">
        <v>1181</v>
      </c>
      <c r="J188">
        <v>2023</v>
      </c>
      <c r="K188" t="s">
        <v>523</v>
      </c>
      <c r="L188">
        <v>45199</v>
      </c>
      <c r="N188" t="s">
        <v>134</v>
      </c>
      <c r="P188" t="s">
        <v>2372</v>
      </c>
    </row>
    <row r="189" spans="1:16" x14ac:dyDescent="0.2">
      <c r="A189" t="s">
        <v>2367</v>
      </c>
      <c r="B189" t="s">
        <v>2373</v>
      </c>
      <c r="C189" t="s">
        <v>128</v>
      </c>
      <c r="D189" t="s">
        <v>2369</v>
      </c>
      <c r="E189" t="s">
        <v>2370</v>
      </c>
      <c r="F189" t="s">
        <v>2371</v>
      </c>
      <c r="G189" t="s">
        <v>2374</v>
      </c>
      <c r="H189" t="s">
        <v>146</v>
      </c>
      <c r="I189" t="s">
        <v>1181</v>
      </c>
      <c r="J189">
        <v>2023</v>
      </c>
      <c r="K189" t="s">
        <v>523</v>
      </c>
      <c r="L189">
        <v>45229</v>
      </c>
      <c r="N189" t="s">
        <v>134</v>
      </c>
      <c r="P189" t="s">
        <v>2372</v>
      </c>
    </row>
    <row r="190" spans="1:16" x14ac:dyDescent="0.2">
      <c r="A190" t="s">
        <v>305</v>
      </c>
      <c r="B190" t="s">
        <v>306</v>
      </c>
      <c r="C190" t="s">
        <v>128</v>
      </c>
      <c r="D190" t="s">
        <v>307</v>
      </c>
      <c r="F190" t="s">
        <v>308</v>
      </c>
      <c r="H190" t="s">
        <v>309</v>
      </c>
      <c r="J190">
        <v>2016</v>
      </c>
      <c r="L190">
        <v>42809</v>
      </c>
      <c r="M190" t="s">
        <v>310</v>
      </c>
      <c r="N190" t="s">
        <v>134</v>
      </c>
      <c r="O190" t="s">
        <v>135</v>
      </c>
      <c r="P190" t="s">
        <v>311</v>
      </c>
    </row>
    <row r="191" spans="1:16" x14ac:dyDescent="0.2">
      <c r="A191" t="s">
        <v>526</v>
      </c>
      <c r="B191" t="s">
        <v>527</v>
      </c>
      <c r="C191" t="s">
        <v>128</v>
      </c>
      <c r="D191" t="s">
        <v>307</v>
      </c>
      <c r="F191" t="s">
        <v>528</v>
      </c>
      <c r="H191" t="s">
        <v>463</v>
      </c>
      <c r="J191">
        <v>2017</v>
      </c>
      <c r="K191" t="s">
        <v>303</v>
      </c>
      <c r="L191">
        <v>43028</v>
      </c>
      <c r="N191" t="s">
        <v>134</v>
      </c>
      <c r="O191" t="s">
        <v>135</v>
      </c>
      <c r="P191" t="s">
        <v>529</v>
      </c>
    </row>
    <row r="192" spans="1:16" x14ac:dyDescent="0.2">
      <c r="A192" t="s">
        <v>729</v>
      </c>
      <c r="B192" t="s">
        <v>730</v>
      </c>
      <c r="C192" t="s">
        <v>128</v>
      </c>
      <c r="D192" t="s">
        <v>307</v>
      </c>
      <c r="F192" t="s">
        <v>505</v>
      </c>
      <c r="H192" t="s">
        <v>254</v>
      </c>
      <c r="J192">
        <v>2018</v>
      </c>
      <c r="K192" t="s">
        <v>277</v>
      </c>
      <c r="L192">
        <v>43249</v>
      </c>
      <c r="N192" t="s">
        <v>140</v>
      </c>
      <c r="O192" t="s">
        <v>135</v>
      </c>
      <c r="P192" t="s">
        <v>731</v>
      </c>
    </row>
    <row r="193" spans="1:16" x14ac:dyDescent="0.2">
      <c r="A193" t="s">
        <v>776</v>
      </c>
      <c r="B193" t="s">
        <v>777</v>
      </c>
      <c r="C193" t="s">
        <v>128</v>
      </c>
      <c r="D193" t="s">
        <v>307</v>
      </c>
      <c r="F193" t="s">
        <v>308</v>
      </c>
      <c r="H193" t="s">
        <v>309</v>
      </c>
      <c r="J193">
        <v>2018</v>
      </c>
      <c r="K193" t="s">
        <v>261</v>
      </c>
      <c r="L193">
        <v>43320</v>
      </c>
      <c r="M193" t="s">
        <v>778</v>
      </c>
      <c r="N193" t="s">
        <v>134</v>
      </c>
      <c r="O193" t="s">
        <v>135</v>
      </c>
      <c r="P193" t="s">
        <v>779</v>
      </c>
    </row>
    <row r="194" spans="1:16" x14ac:dyDescent="0.2">
      <c r="A194" t="s">
        <v>795</v>
      </c>
      <c r="B194" t="s">
        <v>796</v>
      </c>
      <c r="C194" t="s">
        <v>128</v>
      </c>
      <c r="D194" t="s">
        <v>307</v>
      </c>
      <c r="F194" t="s">
        <v>557</v>
      </c>
      <c r="G194" t="s">
        <v>797</v>
      </c>
      <c r="H194" t="s">
        <v>199</v>
      </c>
      <c r="J194">
        <v>2018</v>
      </c>
      <c r="K194" t="s">
        <v>277</v>
      </c>
      <c r="L194">
        <v>43357</v>
      </c>
      <c r="N194" t="s">
        <v>134</v>
      </c>
      <c r="O194" t="s">
        <v>135</v>
      </c>
      <c r="P194" t="s">
        <v>798</v>
      </c>
    </row>
    <row r="195" spans="1:16" x14ac:dyDescent="0.2">
      <c r="A195" t="s">
        <v>802</v>
      </c>
      <c r="B195" t="s">
        <v>803</v>
      </c>
      <c r="C195" t="s">
        <v>128</v>
      </c>
      <c r="D195" t="s">
        <v>307</v>
      </c>
      <c r="F195" t="s">
        <v>804</v>
      </c>
      <c r="H195" t="s">
        <v>132</v>
      </c>
      <c r="J195">
        <v>2018</v>
      </c>
      <c r="K195" t="s">
        <v>277</v>
      </c>
      <c r="L195" t="s">
        <v>805</v>
      </c>
      <c r="N195" t="s">
        <v>134</v>
      </c>
      <c r="P195" t="s">
        <v>806</v>
      </c>
    </row>
    <row r="196" spans="1:16" x14ac:dyDescent="0.2">
      <c r="A196" t="s">
        <v>977</v>
      </c>
      <c r="B196" t="s">
        <v>978</v>
      </c>
      <c r="C196" t="s">
        <v>128</v>
      </c>
      <c r="D196" t="s">
        <v>307</v>
      </c>
      <c r="F196" t="s">
        <v>979</v>
      </c>
      <c r="G196" t="s">
        <v>980</v>
      </c>
      <c r="H196" t="s">
        <v>254</v>
      </c>
      <c r="J196">
        <v>2019</v>
      </c>
      <c r="K196" t="s">
        <v>277</v>
      </c>
      <c r="L196">
        <v>43558</v>
      </c>
      <c r="N196" t="s">
        <v>134</v>
      </c>
      <c r="P196" t="s">
        <v>981</v>
      </c>
    </row>
    <row r="197" spans="1:16" x14ac:dyDescent="0.2">
      <c r="A197" t="s">
        <v>977</v>
      </c>
      <c r="B197" t="s">
        <v>982</v>
      </c>
      <c r="C197" t="s">
        <v>128</v>
      </c>
      <c r="D197" t="s">
        <v>307</v>
      </c>
      <c r="F197" t="s">
        <v>979</v>
      </c>
      <c r="G197" t="s">
        <v>983</v>
      </c>
      <c r="H197" t="s">
        <v>254</v>
      </c>
      <c r="J197">
        <v>2019</v>
      </c>
      <c r="K197" t="s">
        <v>277</v>
      </c>
      <c r="L197">
        <v>43558</v>
      </c>
      <c r="N197" t="s">
        <v>134</v>
      </c>
      <c r="P197" t="s">
        <v>981</v>
      </c>
    </row>
    <row r="198" spans="1:16" x14ac:dyDescent="0.2">
      <c r="A198" t="s">
        <v>1032</v>
      </c>
      <c r="B198" t="s">
        <v>1033</v>
      </c>
      <c r="C198" t="s">
        <v>128</v>
      </c>
      <c r="D198" t="s">
        <v>307</v>
      </c>
      <c r="F198" t="s">
        <v>528</v>
      </c>
      <c r="H198" t="s">
        <v>463</v>
      </c>
      <c r="J198">
        <v>2019</v>
      </c>
      <c r="K198" t="s">
        <v>277</v>
      </c>
      <c r="L198">
        <v>43621</v>
      </c>
      <c r="N198" t="s">
        <v>140</v>
      </c>
      <c r="P198" t="s">
        <v>924</v>
      </c>
    </row>
    <row r="199" spans="1:16" x14ac:dyDescent="0.2">
      <c r="A199" t="s">
        <v>1189</v>
      </c>
      <c r="B199" t="s">
        <v>1190</v>
      </c>
      <c r="C199" t="s">
        <v>128</v>
      </c>
      <c r="D199" t="s">
        <v>307</v>
      </c>
      <c r="E199" t="s">
        <v>307</v>
      </c>
      <c r="F199" t="s">
        <v>979</v>
      </c>
      <c r="G199" t="s">
        <v>1191</v>
      </c>
      <c r="H199" t="s">
        <v>254</v>
      </c>
      <c r="I199" t="s">
        <v>1181</v>
      </c>
      <c r="J199">
        <v>2019</v>
      </c>
      <c r="K199" t="s">
        <v>277</v>
      </c>
      <c r="L199">
        <v>43913</v>
      </c>
      <c r="N199" t="s">
        <v>134</v>
      </c>
      <c r="P199" t="s">
        <v>1192</v>
      </c>
    </row>
    <row r="200" spans="1:16" x14ac:dyDescent="0.2">
      <c r="A200" t="s">
        <v>1276</v>
      </c>
      <c r="B200" t="s">
        <v>1277</v>
      </c>
      <c r="C200" t="s">
        <v>128</v>
      </c>
      <c r="D200" t="s">
        <v>307</v>
      </c>
      <c r="E200" t="s">
        <v>307</v>
      </c>
      <c r="F200" t="s">
        <v>979</v>
      </c>
      <c r="G200" t="s">
        <v>1278</v>
      </c>
      <c r="H200" t="s">
        <v>254</v>
      </c>
      <c r="I200" t="s">
        <v>1181</v>
      </c>
      <c r="J200">
        <v>2020</v>
      </c>
      <c r="K200" t="s">
        <v>277</v>
      </c>
      <c r="L200">
        <v>43956</v>
      </c>
      <c r="N200" t="s">
        <v>134</v>
      </c>
      <c r="P200" t="s">
        <v>1279</v>
      </c>
    </row>
    <row r="201" spans="1:16" x14ac:dyDescent="0.2">
      <c r="A201" t="s">
        <v>1365</v>
      </c>
      <c r="B201" t="s">
        <v>1366</v>
      </c>
      <c r="C201" t="s">
        <v>128</v>
      </c>
      <c r="D201" t="s">
        <v>307</v>
      </c>
      <c r="F201" t="s">
        <v>308</v>
      </c>
      <c r="H201" t="s">
        <v>309</v>
      </c>
      <c r="I201" t="s">
        <v>1181</v>
      </c>
      <c r="J201">
        <v>2020</v>
      </c>
      <c r="K201" t="s">
        <v>277</v>
      </c>
      <c r="L201">
        <v>44083</v>
      </c>
      <c r="N201" t="s">
        <v>134</v>
      </c>
      <c r="P201" t="s">
        <v>1367</v>
      </c>
    </row>
    <row r="202" spans="1:16" x14ac:dyDescent="0.2">
      <c r="A202" t="s">
        <v>1577</v>
      </c>
      <c r="B202" t="s">
        <v>1578</v>
      </c>
      <c r="C202" t="s">
        <v>128</v>
      </c>
      <c r="D202" t="s">
        <v>307</v>
      </c>
      <c r="F202" t="s">
        <v>1579</v>
      </c>
      <c r="H202" t="s">
        <v>254</v>
      </c>
      <c r="I202" t="s">
        <v>1181</v>
      </c>
      <c r="J202">
        <v>2021</v>
      </c>
      <c r="K202" t="s">
        <v>277</v>
      </c>
      <c r="L202">
        <v>44314</v>
      </c>
      <c r="N202" t="s">
        <v>134</v>
      </c>
      <c r="P202" t="s">
        <v>1580</v>
      </c>
    </row>
    <row r="203" spans="1:16" x14ac:dyDescent="0.2">
      <c r="A203" t="s">
        <v>1709</v>
      </c>
      <c r="B203" t="s">
        <v>1710</v>
      </c>
      <c r="C203" t="s">
        <v>128</v>
      </c>
      <c r="D203" t="s">
        <v>307</v>
      </c>
      <c r="F203" t="s">
        <v>463</v>
      </c>
      <c r="G203" t="s">
        <v>1711</v>
      </c>
      <c r="H203" t="s">
        <v>463</v>
      </c>
      <c r="I203" t="s">
        <v>1181</v>
      </c>
      <c r="J203">
        <v>2021</v>
      </c>
      <c r="K203" t="s">
        <v>277</v>
      </c>
      <c r="L203">
        <v>44414</v>
      </c>
      <c r="N203" t="s">
        <v>134</v>
      </c>
      <c r="P203" t="s">
        <v>1712</v>
      </c>
    </row>
    <row r="204" spans="1:16" x14ac:dyDescent="0.2">
      <c r="A204" t="s">
        <v>1769</v>
      </c>
      <c r="B204" t="s">
        <v>1770</v>
      </c>
      <c r="C204" t="s">
        <v>128</v>
      </c>
      <c r="D204" t="s">
        <v>307</v>
      </c>
      <c r="F204" t="s">
        <v>804</v>
      </c>
      <c r="G204" t="s">
        <v>1771</v>
      </c>
      <c r="H204" t="s">
        <v>132</v>
      </c>
      <c r="I204" t="s">
        <v>1181</v>
      </c>
      <c r="J204">
        <v>2021</v>
      </c>
      <c r="K204" t="s">
        <v>277</v>
      </c>
      <c r="L204">
        <v>44474</v>
      </c>
      <c r="N204" t="s">
        <v>134</v>
      </c>
      <c r="P204" t="s">
        <v>1772</v>
      </c>
    </row>
    <row r="205" spans="1:16" x14ac:dyDescent="0.2">
      <c r="A205" t="s">
        <v>1847</v>
      </c>
      <c r="B205" t="s">
        <v>1848</v>
      </c>
      <c r="C205" t="s">
        <v>128</v>
      </c>
      <c r="D205" t="s">
        <v>307</v>
      </c>
      <c r="F205" t="s">
        <v>557</v>
      </c>
      <c r="H205" t="s">
        <v>199</v>
      </c>
      <c r="I205" t="s">
        <v>1181</v>
      </c>
      <c r="J205">
        <v>2021</v>
      </c>
      <c r="K205" t="s">
        <v>277</v>
      </c>
      <c r="N205" t="s">
        <v>134</v>
      </c>
      <c r="P205" t="s">
        <v>1849</v>
      </c>
    </row>
    <row r="206" spans="1:16" x14ac:dyDescent="0.2">
      <c r="A206" t="s">
        <v>1876</v>
      </c>
      <c r="B206" t="s">
        <v>1877</v>
      </c>
      <c r="C206" t="s">
        <v>128</v>
      </c>
      <c r="D206" t="s">
        <v>307</v>
      </c>
      <c r="F206" t="s">
        <v>1878</v>
      </c>
      <c r="H206" t="s">
        <v>132</v>
      </c>
      <c r="I206" t="s">
        <v>1181</v>
      </c>
      <c r="J206">
        <v>2021</v>
      </c>
      <c r="K206" t="s">
        <v>277</v>
      </c>
      <c r="L206">
        <v>44641</v>
      </c>
      <c r="N206" t="s">
        <v>134</v>
      </c>
      <c r="P206" t="s">
        <v>1879</v>
      </c>
    </row>
    <row r="207" spans="1:16" x14ac:dyDescent="0.2">
      <c r="A207" t="s">
        <v>1888</v>
      </c>
      <c r="B207" t="s">
        <v>1889</v>
      </c>
      <c r="C207" t="s">
        <v>128</v>
      </c>
      <c r="D207" t="s">
        <v>307</v>
      </c>
      <c r="F207" t="s">
        <v>557</v>
      </c>
      <c r="H207" t="s">
        <v>199</v>
      </c>
      <c r="I207" t="s">
        <v>1181</v>
      </c>
      <c r="J207">
        <v>2021</v>
      </c>
      <c r="K207" t="s">
        <v>277</v>
      </c>
      <c r="L207">
        <v>44585</v>
      </c>
      <c r="N207" t="s">
        <v>134</v>
      </c>
      <c r="P207" t="s">
        <v>1890</v>
      </c>
    </row>
    <row r="208" spans="1:16" x14ac:dyDescent="0.2">
      <c r="A208" t="s">
        <v>1979</v>
      </c>
      <c r="B208" t="s">
        <v>1980</v>
      </c>
      <c r="C208" t="s">
        <v>112</v>
      </c>
      <c r="D208" t="s">
        <v>307</v>
      </c>
      <c r="F208" t="s">
        <v>1878</v>
      </c>
      <c r="H208" t="s">
        <v>132</v>
      </c>
      <c r="I208" t="s">
        <v>1181</v>
      </c>
      <c r="J208">
        <v>2022</v>
      </c>
      <c r="K208" t="s">
        <v>277</v>
      </c>
      <c r="L208">
        <v>44656</v>
      </c>
      <c r="N208" t="s">
        <v>134</v>
      </c>
      <c r="P208" t="s">
        <v>961</v>
      </c>
    </row>
    <row r="209" spans="1:16" x14ac:dyDescent="0.2">
      <c r="A209" t="s">
        <v>1979</v>
      </c>
      <c r="B209" t="s">
        <v>1981</v>
      </c>
      <c r="C209" t="s">
        <v>112</v>
      </c>
      <c r="D209" t="s">
        <v>307</v>
      </c>
      <c r="F209" t="s">
        <v>1878</v>
      </c>
      <c r="H209" t="s">
        <v>132</v>
      </c>
      <c r="I209" t="s">
        <v>1181</v>
      </c>
      <c r="J209">
        <v>2022</v>
      </c>
      <c r="K209" t="s">
        <v>277</v>
      </c>
      <c r="L209">
        <v>44767</v>
      </c>
      <c r="N209" t="s">
        <v>134</v>
      </c>
      <c r="P209" t="s">
        <v>961</v>
      </c>
    </row>
    <row r="210" spans="1:16" x14ac:dyDescent="0.2">
      <c r="A210" t="s">
        <v>1982</v>
      </c>
      <c r="B210" t="s">
        <v>1983</v>
      </c>
      <c r="C210" t="s">
        <v>112</v>
      </c>
      <c r="D210" t="s">
        <v>307</v>
      </c>
      <c r="F210" t="s">
        <v>1984</v>
      </c>
      <c r="H210" t="s">
        <v>928</v>
      </c>
      <c r="I210" t="s">
        <v>1181</v>
      </c>
      <c r="J210">
        <v>2022</v>
      </c>
      <c r="K210" t="s">
        <v>277</v>
      </c>
      <c r="L210">
        <v>44693</v>
      </c>
      <c r="N210" t="s">
        <v>134</v>
      </c>
      <c r="P210" t="s">
        <v>961</v>
      </c>
    </row>
    <row r="211" spans="1:16" x14ac:dyDescent="0.2">
      <c r="A211" t="s">
        <v>2020</v>
      </c>
      <c r="B211" t="s">
        <v>2021</v>
      </c>
      <c r="C211" t="s">
        <v>128</v>
      </c>
      <c r="D211" t="s">
        <v>307</v>
      </c>
      <c r="F211" t="s">
        <v>308</v>
      </c>
      <c r="H211" t="s">
        <v>309</v>
      </c>
      <c r="I211" t="s">
        <v>1181</v>
      </c>
      <c r="J211">
        <v>2022</v>
      </c>
      <c r="K211" t="s">
        <v>261</v>
      </c>
      <c r="L211">
        <v>44747</v>
      </c>
      <c r="N211" t="s">
        <v>134</v>
      </c>
      <c r="O211" t="s">
        <v>135</v>
      </c>
      <c r="P211" t="s">
        <v>2022</v>
      </c>
    </row>
    <row r="212" spans="1:16" x14ac:dyDescent="0.2">
      <c r="A212" t="s">
        <v>2110</v>
      </c>
      <c r="B212" t="s">
        <v>2111</v>
      </c>
      <c r="C212" t="s">
        <v>128</v>
      </c>
      <c r="D212" t="s">
        <v>307</v>
      </c>
      <c r="E212" t="s">
        <v>1087</v>
      </c>
      <c r="F212" t="s">
        <v>528</v>
      </c>
      <c r="H212" t="s">
        <v>463</v>
      </c>
      <c r="I212" t="s">
        <v>1181</v>
      </c>
      <c r="J212">
        <v>2022</v>
      </c>
      <c r="K212" t="s">
        <v>277</v>
      </c>
      <c r="L212">
        <v>44894</v>
      </c>
      <c r="N212" t="s">
        <v>134</v>
      </c>
      <c r="P212" t="s">
        <v>2112</v>
      </c>
    </row>
    <row r="213" spans="1:16" x14ac:dyDescent="0.2">
      <c r="A213" t="s">
        <v>2120</v>
      </c>
      <c r="B213" t="s">
        <v>2121</v>
      </c>
      <c r="C213" t="s">
        <v>128</v>
      </c>
      <c r="D213" t="s">
        <v>307</v>
      </c>
      <c r="F213" t="s">
        <v>2122</v>
      </c>
      <c r="H213" t="s">
        <v>309</v>
      </c>
      <c r="I213" t="s">
        <v>1181</v>
      </c>
      <c r="J213">
        <v>2022</v>
      </c>
      <c r="K213" t="s">
        <v>261</v>
      </c>
      <c r="L213">
        <v>44907</v>
      </c>
      <c r="N213" t="s">
        <v>134</v>
      </c>
      <c r="O213" t="s">
        <v>135</v>
      </c>
      <c r="P213" t="s">
        <v>2123</v>
      </c>
    </row>
    <row r="214" spans="1:16" x14ac:dyDescent="0.2">
      <c r="A214" t="s">
        <v>2149</v>
      </c>
      <c r="B214" t="s">
        <v>2150</v>
      </c>
      <c r="C214" t="s">
        <v>128</v>
      </c>
      <c r="D214" t="s">
        <v>307</v>
      </c>
      <c r="F214" t="s">
        <v>1579</v>
      </c>
      <c r="G214" t="s">
        <v>2151</v>
      </c>
      <c r="H214" t="s">
        <v>254</v>
      </c>
      <c r="I214" t="s">
        <v>1181</v>
      </c>
      <c r="J214">
        <v>2022</v>
      </c>
      <c r="K214" t="s">
        <v>277</v>
      </c>
      <c r="L214">
        <v>44886</v>
      </c>
      <c r="N214" t="s">
        <v>134</v>
      </c>
      <c r="P214" t="s">
        <v>2152</v>
      </c>
    </row>
    <row r="215" spans="1:16" x14ac:dyDescent="0.2">
      <c r="A215" t="s">
        <v>2149</v>
      </c>
      <c r="B215" t="s">
        <v>2153</v>
      </c>
      <c r="C215" t="s">
        <v>128</v>
      </c>
      <c r="D215" t="s">
        <v>307</v>
      </c>
      <c r="F215" t="s">
        <v>1579</v>
      </c>
      <c r="G215" t="s">
        <v>2154</v>
      </c>
      <c r="H215" t="s">
        <v>254</v>
      </c>
      <c r="I215" t="s">
        <v>1181</v>
      </c>
      <c r="J215">
        <v>2022</v>
      </c>
      <c r="K215" t="s">
        <v>277</v>
      </c>
      <c r="L215">
        <v>44907</v>
      </c>
      <c r="N215" t="s">
        <v>134</v>
      </c>
      <c r="P215" t="s">
        <v>2152</v>
      </c>
    </row>
    <row r="216" spans="1:16" x14ac:dyDescent="0.2">
      <c r="A216" t="s">
        <v>2173</v>
      </c>
      <c r="B216" t="s">
        <v>2174</v>
      </c>
      <c r="C216" t="s">
        <v>128</v>
      </c>
      <c r="D216" t="s">
        <v>307</v>
      </c>
      <c r="F216" t="s">
        <v>557</v>
      </c>
      <c r="G216" t="s">
        <v>2175</v>
      </c>
      <c r="H216" t="s">
        <v>199</v>
      </c>
      <c r="I216" t="s">
        <v>1181</v>
      </c>
      <c r="J216">
        <v>2022</v>
      </c>
      <c r="K216" t="s">
        <v>277</v>
      </c>
      <c r="L216">
        <v>45112</v>
      </c>
      <c r="N216" t="s">
        <v>134</v>
      </c>
      <c r="P216" t="s">
        <v>2176</v>
      </c>
    </row>
    <row r="217" spans="1:16" x14ac:dyDescent="0.2">
      <c r="A217" t="s">
        <v>2215</v>
      </c>
      <c r="B217" t="s">
        <v>2216</v>
      </c>
      <c r="C217" t="s">
        <v>128</v>
      </c>
      <c r="D217" t="s">
        <v>307</v>
      </c>
      <c r="F217" t="s">
        <v>2217</v>
      </c>
      <c r="G217" t="s">
        <v>2218</v>
      </c>
      <c r="H217" t="s">
        <v>421</v>
      </c>
      <c r="I217" t="s">
        <v>1181</v>
      </c>
      <c r="J217">
        <v>2022</v>
      </c>
      <c r="K217" t="s">
        <v>277</v>
      </c>
      <c r="L217">
        <v>45082</v>
      </c>
      <c r="N217" t="s">
        <v>134</v>
      </c>
      <c r="P217" t="s">
        <v>2219</v>
      </c>
    </row>
    <row r="218" spans="1:16" x14ac:dyDescent="0.2">
      <c r="A218" t="s">
        <v>2420</v>
      </c>
      <c r="B218" t="s">
        <v>2421</v>
      </c>
      <c r="C218" t="s">
        <v>128</v>
      </c>
      <c r="D218" t="s">
        <v>307</v>
      </c>
      <c r="F218" t="s">
        <v>2217</v>
      </c>
      <c r="G218" t="s">
        <v>2422</v>
      </c>
      <c r="H218" t="s">
        <v>421</v>
      </c>
      <c r="I218" t="s">
        <v>1181</v>
      </c>
      <c r="J218">
        <v>2023</v>
      </c>
      <c r="K218" t="s">
        <v>277</v>
      </c>
      <c r="L218">
        <v>45198</v>
      </c>
      <c r="N218" t="s">
        <v>134</v>
      </c>
      <c r="P218" t="s">
        <v>2423</v>
      </c>
    </row>
    <row r="219" spans="1:16" x14ac:dyDescent="0.2">
      <c r="A219" t="s">
        <v>2494</v>
      </c>
      <c r="B219" t="s">
        <v>2495</v>
      </c>
      <c r="C219" t="s">
        <v>128</v>
      </c>
      <c r="D219" t="s">
        <v>307</v>
      </c>
      <c r="F219" t="s">
        <v>1984</v>
      </c>
      <c r="H219" t="s">
        <v>928</v>
      </c>
      <c r="I219" t="s">
        <v>1181</v>
      </c>
      <c r="J219">
        <v>2023</v>
      </c>
      <c r="K219" t="s">
        <v>261</v>
      </c>
      <c r="L219">
        <v>45397</v>
      </c>
      <c r="N219" t="s">
        <v>134</v>
      </c>
      <c r="O219" t="s">
        <v>135</v>
      </c>
      <c r="P219" t="s">
        <v>2496</v>
      </c>
    </row>
    <row r="220" spans="1:16" x14ac:dyDescent="0.2">
      <c r="A220" t="s">
        <v>2529</v>
      </c>
      <c r="B220" t="s">
        <v>2530</v>
      </c>
      <c r="C220" t="s">
        <v>128</v>
      </c>
      <c r="D220" t="s">
        <v>307</v>
      </c>
      <c r="E220" t="s">
        <v>307</v>
      </c>
      <c r="F220" t="s">
        <v>979</v>
      </c>
      <c r="G220" t="s">
        <v>2531</v>
      </c>
      <c r="H220" t="s">
        <v>248</v>
      </c>
      <c r="I220" t="s">
        <v>1181</v>
      </c>
      <c r="J220">
        <v>2023</v>
      </c>
      <c r="K220" t="s">
        <v>2332</v>
      </c>
      <c r="L220">
        <v>45488</v>
      </c>
      <c r="N220" t="s">
        <v>134</v>
      </c>
      <c r="P220" t="s">
        <v>2532</v>
      </c>
    </row>
    <row r="221" spans="1:16" x14ac:dyDescent="0.2">
      <c r="A221" t="s">
        <v>2583</v>
      </c>
      <c r="B221" t="s">
        <v>2584</v>
      </c>
      <c r="C221" t="s">
        <v>128</v>
      </c>
      <c r="D221" t="s">
        <v>307</v>
      </c>
      <c r="F221" t="s">
        <v>308</v>
      </c>
      <c r="H221" t="s">
        <v>309</v>
      </c>
      <c r="I221" t="s">
        <v>1181</v>
      </c>
      <c r="J221">
        <v>2024</v>
      </c>
      <c r="K221" t="s">
        <v>277</v>
      </c>
      <c r="L221">
        <v>45471</v>
      </c>
      <c r="N221" t="s">
        <v>134</v>
      </c>
      <c r="P221" t="s">
        <v>2585</v>
      </c>
    </row>
    <row r="222" spans="1:16" x14ac:dyDescent="0.2">
      <c r="A222" t="s">
        <v>2677</v>
      </c>
      <c r="B222" t="s">
        <v>2678</v>
      </c>
      <c r="C222" t="s">
        <v>128</v>
      </c>
      <c r="D222" t="s">
        <v>307</v>
      </c>
      <c r="E222" t="s">
        <v>307</v>
      </c>
      <c r="F222" t="s">
        <v>979</v>
      </c>
      <c r="G222" t="s">
        <v>2679</v>
      </c>
      <c r="H222" t="s">
        <v>248</v>
      </c>
      <c r="I222" t="s">
        <v>1181</v>
      </c>
      <c r="J222">
        <v>2024</v>
      </c>
      <c r="K222" t="s">
        <v>2332</v>
      </c>
      <c r="L222">
        <v>45376</v>
      </c>
      <c r="N222" t="s">
        <v>140</v>
      </c>
      <c r="P222" t="s">
        <v>2680</v>
      </c>
    </row>
    <row r="223" spans="1:16" x14ac:dyDescent="0.2">
      <c r="A223" t="s">
        <v>2784</v>
      </c>
      <c r="B223" t="s">
        <v>2785</v>
      </c>
      <c r="C223" t="s">
        <v>128</v>
      </c>
      <c r="D223" t="s">
        <v>307</v>
      </c>
      <c r="F223" t="s">
        <v>2786</v>
      </c>
      <c r="H223" t="s">
        <v>421</v>
      </c>
      <c r="I223" t="s">
        <v>1181</v>
      </c>
      <c r="J223">
        <v>2024</v>
      </c>
      <c r="K223" t="s">
        <v>523</v>
      </c>
      <c r="N223" t="s">
        <v>134</v>
      </c>
      <c r="P223" t="s">
        <v>2787</v>
      </c>
    </row>
    <row r="224" spans="1:16" x14ac:dyDescent="0.2">
      <c r="A224" t="s">
        <v>2795</v>
      </c>
      <c r="B224" t="s">
        <v>2796</v>
      </c>
      <c r="C224" t="s">
        <v>128</v>
      </c>
      <c r="D224" t="s">
        <v>307</v>
      </c>
      <c r="F224" t="s">
        <v>1579</v>
      </c>
      <c r="H224" t="s">
        <v>254</v>
      </c>
      <c r="I224" t="s">
        <v>1181</v>
      </c>
      <c r="J224">
        <v>2024</v>
      </c>
      <c r="K224" t="s">
        <v>277</v>
      </c>
      <c r="L224">
        <v>45604</v>
      </c>
      <c r="N224" t="s">
        <v>134</v>
      </c>
      <c r="P224" t="s">
        <v>2797</v>
      </c>
    </row>
    <row r="225" spans="1:16" x14ac:dyDescent="0.2">
      <c r="A225" t="s">
        <v>2798</v>
      </c>
      <c r="B225" t="s">
        <v>2799</v>
      </c>
      <c r="C225" t="s">
        <v>128</v>
      </c>
      <c r="D225" t="s">
        <v>307</v>
      </c>
      <c r="F225" t="s">
        <v>1878</v>
      </c>
      <c r="H225" t="s">
        <v>132</v>
      </c>
      <c r="I225" t="s">
        <v>1181</v>
      </c>
      <c r="J225">
        <v>2024</v>
      </c>
      <c r="K225" t="s">
        <v>277</v>
      </c>
      <c r="L225">
        <v>45604</v>
      </c>
      <c r="N225" t="s">
        <v>134</v>
      </c>
      <c r="P225" t="s">
        <v>2800</v>
      </c>
    </row>
    <row r="226" spans="1:16" x14ac:dyDescent="0.2">
      <c r="A226" t="s">
        <v>2920</v>
      </c>
      <c r="B226" t="s">
        <v>2921</v>
      </c>
      <c r="C226" t="s">
        <v>112</v>
      </c>
      <c r="D226" t="s">
        <v>307</v>
      </c>
      <c r="F226" t="s">
        <v>2786</v>
      </c>
      <c r="H226" t="s">
        <v>421</v>
      </c>
      <c r="I226" t="s">
        <v>1181</v>
      </c>
      <c r="J226">
        <v>2024</v>
      </c>
      <c r="K226" t="s">
        <v>277</v>
      </c>
      <c r="L226">
        <v>45716</v>
      </c>
      <c r="N226" t="s">
        <v>134</v>
      </c>
      <c r="P226" t="s">
        <v>2942</v>
      </c>
    </row>
    <row r="227" spans="1:16" x14ac:dyDescent="0.2">
      <c r="A227" t="s">
        <v>2920</v>
      </c>
      <c r="B227" t="s">
        <v>2943</v>
      </c>
      <c r="C227" t="s">
        <v>128</v>
      </c>
      <c r="D227" t="s">
        <v>307</v>
      </c>
      <c r="F227" t="s">
        <v>2786</v>
      </c>
      <c r="H227" t="s">
        <v>421</v>
      </c>
      <c r="I227" t="s">
        <v>1181</v>
      </c>
      <c r="J227">
        <v>2025</v>
      </c>
      <c r="K227" t="s">
        <v>277</v>
      </c>
      <c r="L227">
        <v>45777</v>
      </c>
      <c r="N227" t="s">
        <v>134</v>
      </c>
      <c r="P227" t="s">
        <v>2944</v>
      </c>
    </row>
    <row r="228" spans="1:16" x14ac:dyDescent="0.2">
      <c r="A228" t="s">
        <v>2957</v>
      </c>
      <c r="B228" t="s">
        <v>3219</v>
      </c>
      <c r="C228" t="s">
        <v>128</v>
      </c>
      <c r="D228" t="s">
        <v>307</v>
      </c>
      <c r="E228" t="s">
        <v>307</v>
      </c>
      <c r="F228" t="s">
        <v>2122</v>
      </c>
      <c r="H228" t="s">
        <v>309</v>
      </c>
      <c r="I228" t="s">
        <v>1181</v>
      </c>
      <c r="J228">
        <v>2025</v>
      </c>
      <c r="K228" t="s">
        <v>2332</v>
      </c>
      <c r="L228">
        <v>46148</v>
      </c>
      <c r="N228" t="s">
        <v>597</v>
      </c>
      <c r="P228" t="s">
        <v>2958</v>
      </c>
    </row>
    <row r="229" spans="1:16" x14ac:dyDescent="0.2">
      <c r="A229" t="s">
        <v>2986</v>
      </c>
      <c r="B229" t="s">
        <v>2987</v>
      </c>
      <c r="C229" t="s">
        <v>128</v>
      </c>
      <c r="D229" t="s">
        <v>307</v>
      </c>
      <c r="F229" t="s">
        <v>1579</v>
      </c>
      <c r="H229" t="s">
        <v>254</v>
      </c>
      <c r="I229" t="s">
        <v>1181</v>
      </c>
      <c r="J229">
        <v>2025</v>
      </c>
      <c r="K229" t="s">
        <v>277</v>
      </c>
      <c r="L229">
        <v>45779</v>
      </c>
      <c r="N229" t="s">
        <v>134</v>
      </c>
      <c r="P229" t="s">
        <v>2988</v>
      </c>
    </row>
    <row r="230" spans="1:16" x14ac:dyDescent="0.2">
      <c r="A230" t="s">
        <v>3076</v>
      </c>
      <c r="B230" t="s">
        <v>3077</v>
      </c>
      <c r="C230" t="s">
        <v>128</v>
      </c>
      <c r="D230" t="s">
        <v>307</v>
      </c>
      <c r="F230" t="s">
        <v>3078</v>
      </c>
      <c r="G230" t="s">
        <v>3079</v>
      </c>
      <c r="H230" t="s">
        <v>928</v>
      </c>
      <c r="I230" t="s">
        <v>1181</v>
      </c>
      <c r="J230">
        <v>2025</v>
      </c>
      <c r="K230" t="s">
        <v>277</v>
      </c>
      <c r="L230">
        <v>45814</v>
      </c>
      <c r="N230" t="s">
        <v>134</v>
      </c>
      <c r="P230" t="s">
        <v>3080</v>
      </c>
    </row>
    <row r="231" spans="1:16" x14ac:dyDescent="0.2">
      <c r="A231" t="s">
        <v>3133</v>
      </c>
      <c r="B231" t="s">
        <v>3134</v>
      </c>
      <c r="C231" t="s">
        <v>128</v>
      </c>
      <c r="D231" t="s">
        <v>307</v>
      </c>
      <c r="F231" t="s">
        <v>308</v>
      </c>
      <c r="G231" t="s">
        <v>3135</v>
      </c>
      <c r="H231" t="s">
        <v>309</v>
      </c>
      <c r="I231" t="s">
        <v>1181</v>
      </c>
      <c r="J231">
        <v>2025</v>
      </c>
      <c r="K231" t="s">
        <v>277</v>
      </c>
      <c r="L231">
        <v>45856</v>
      </c>
      <c r="N231" t="s">
        <v>134</v>
      </c>
      <c r="P231" t="s">
        <v>3136</v>
      </c>
    </row>
    <row r="232" spans="1:16" x14ac:dyDescent="0.2">
      <c r="A232" t="s">
        <v>3216</v>
      </c>
      <c r="B232" t="s">
        <v>3230</v>
      </c>
      <c r="C232" t="s">
        <v>128</v>
      </c>
      <c r="D232" t="s">
        <v>307</v>
      </c>
      <c r="F232" t="s">
        <v>1579</v>
      </c>
      <c r="G232" t="s">
        <v>3217</v>
      </c>
      <c r="H232" t="s">
        <v>254</v>
      </c>
      <c r="I232" t="s">
        <v>1181</v>
      </c>
      <c r="J232">
        <v>2025</v>
      </c>
      <c r="K232" t="s">
        <v>277</v>
      </c>
      <c r="L232">
        <v>45882</v>
      </c>
      <c r="M232" t="s">
        <v>3231</v>
      </c>
      <c r="N232" t="s">
        <v>134</v>
      </c>
      <c r="O232" t="s">
        <v>3232</v>
      </c>
      <c r="P232" t="s">
        <v>3218</v>
      </c>
    </row>
    <row r="233" spans="1:16" x14ac:dyDescent="0.2">
      <c r="A233" t="s">
        <v>3308</v>
      </c>
      <c r="B233" t="s">
        <v>3309</v>
      </c>
      <c r="C233" t="s">
        <v>128</v>
      </c>
      <c r="D233" t="s">
        <v>307</v>
      </c>
      <c r="F233" t="s">
        <v>2786</v>
      </c>
      <c r="G233" t="s">
        <v>3310</v>
      </c>
      <c r="H233" t="s">
        <v>421</v>
      </c>
      <c r="I233" t="s">
        <v>1181</v>
      </c>
      <c r="J233">
        <v>2025</v>
      </c>
      <c r="K233" t="s">
        <v>277</v>
      </c>
      <c r="L233">
        <v>45870</v>
      </c>
      <c r="N233" t="s">
        <v>134</v>
      </c>
      <c r="O233" t="s">
        <v>3232</v>
      </c>
      <c r="P233" t="s">
        <v>3312</v>
      </c>
    </row>
    <row r="234" spans="1:16" x14ac:dyDescent="0.2">
      <c r="A234" t="s">
        <v>1085</v>
      </c>
      <c r="B234" t="s">
        <v>1086</v>
      </c>
      <c r="C234" t="s">
        <v>128</v>
      </c>
      <c r="D234" t="s">
        <v>1087</v>
      </c>
      <c r="F234" t="s">
        <v>528</v>
      </c>
      <c r="H234" t="s">
        <v>463</v>
      </c>
      <c r="J234">
        <v>2019</v>
      </c>
      <c r="K234" t="s">
        <v>277</v>
      </c>
      <c r="L234">
        <v>43626</v>
      </c>
      <c r="N234" t="s">
        <v>134</v>
      </c>
      <c r="P234" t="s">
        <v>1088</v>
      </c>
    </row>
    <row r="235" spans="1:16" x14ac:dyDescent="0.2">
      <c r="A235" t="s">
        <v>2501</v>
      </c>
      <c r="B235" t="s">
        <v>2502</v>
      </c>
      <c r="C235" t="s">
        <v>128</v>
      </c>
      <c r="D235" t="s">
        <v>2503</v>
      </c>
      <c r="F235" t="s">
        <v>2503</v>
      </c>
      <c r="H235" t="s">
        <v>1122</v>
      </c>
      <c r="I235" t="s">
        <v>1181</v>
      </c>
      <c r="J235">
        <v>2023</v>
      </c>
      <c r="K235" t="s">
        <v>221</v>
      </c>
      <c r="L235">
        <v>45366</v>
      </c>
      <c r="N235" t="s">
        <v>444</v>
      </c>
      <c r="P235" t="s">
        <v>2504</v>
      </c>
    </row>
    <row r="236" spans="1:16" x14ac:dyDescent="0.2">
      <c r="A236" t="s">
        <v>2889</v>
      </c>
      <c r="B236" t="s">
        <v>2890</v>
      </c>
      <c r="C236" t="s">
        <v>128</v>
      </c>
      <c r="D236" t="s">
        <v>2503</v>
      </c>
      <c r="F236" t="s">
        <v>2891</v>
      </c>
      <c r="G236" t="s">
        <v>2892</v>
      </c>
      <c r="H236" t="s">
        <v>1122</v>
      </c>
      <c r="I236" t="s">
        <v>1181</v>
      </c>
      <c r="J236">
        <v>2024</v>
      </c>
      <c r="K236" t="s">
        <v>523</v>
      </c>
      <c r="L236">
        <v>45747</v>
      </c>
      <c r="N236" t="s">
        <v>134</v>
      </c>
      <c r="P236" t="s">
        <v>2893</v>
      </c>
    </row>
    <row r="237" spans="1:16" x14ac:dyDescent="0.2">
      <c r="A237" t="s">
        <v>2723</v>
      </c>
      <c r="B237" t="s">
        <v>2724</v>
      </c>
      <c r="C237" t="s">
        <v>128</v>
      </c>
      <c r="D237" t="s">
        <v>2725</v>
      </c>
      <c r="F237" t="s">
        <v>2514</v>
      </c>
      <c r="G237" t="s">
        <v>2726</v>
      </c>
      <c r="H237" t="s">
        <v>421</v>
      </c>
      <c r="I237" t="s">
        <v>1181</v>
      </c>
      <c r="J237">
        <v>2024</v>
      </c>
      <c r="K237" t="s">
        <v>261</v>
      </c>
      <c r="L237">
        <v>45544</v>
      </c>
      <c r="N237" t="s">
        <v>134</v>
      </c>
      <c r="O237" t="s">
        <v>135</v>
      </c>
      <c r="P237" t="s">
        <v>2727</v>
      </c>
    </row>
    <row r="238" spans="1:16" x14ac:dyDescent="0.2">
      <c r="A238" t="s">
        <v>822</v>
      </c>
      <c r="B238" t="s">
        <v>823</v>
      </c>
      <c r="C238" t="s">
        <v>128</v>
      </c>
      <c r="D238" t="s">
        <v>824</v>
      </c>
      <c r="F238" t="s">
        <v>825</v>
      </c>
      <c r="G238" t="s">
        <v>826</v>
      </c>
      <c r="H238" t="s">
        <v>541</v>
      </c>
      <c r="J238">
        <v>2018</v>
      </c>
      <c r="K238" t="s">
        <v>133</v>
      </c>
      <c r="L238">
        <v>43524</v>
      </c>
      <c r="N238" t="s">
        <v>134</v>
      </c>
      <c r="P238" t="s">
        <v>827</v>
      </c>
    </row>
    <row r="239" spans="1:16" x14ac:dyDescent="0.2">
      <c r="A239" t="s">
        <v>2945</v>
      </c>
      <c r="B239" t="s">
        <v>2922</v>
      </c>
      <c r="C239" t="s">
        <v>128</v>
      </c>
      <c r="D239" t="s">
        <v>2923</v>
      </c>
      <c r="E239" t="s">
        <v>2923</v>
      </c>
      <c r="F239" t="s">
        <v>2924</v>
      </c>
      <c r="G239" t="s">
        <v>1874</v>
      </c>
      <c r="H239" t="s">
        <v>146</v>
      </c>
      <c r="I239" t="s">
        <v>1181</v>
      </c>
      <c r="J239">
        <v>2025</v>
      </c>
      <c r="K239" t="s">
        <v>2332</v>
      </c>
      <c r="N239" t="s">
        <v>140</v>
      </c>
      <c r="P239" t="s">
        <v>3160</v>
      </c>
    </row>
    <row r="240" spans="1:16" x14ac:dyDescent="0.2">
      <c r="A240" t="s">
        <v>2945</v>
      </c>
      <c r="B240" t="s">
        <v>2946</v>
      </c>
      <c r="C240" t="s">
        <v>128</v>
      </c>
      <c r="D240" t="s">
        <v>2923</v>
      </c>
      <c r="E240" t="s">
        <v>2923</v>
      </c>
      <c r="F240" t="s">
        <v>2924</v>
      </c>
      <c r="H240" t="s">
        <v>146</v>
      </c>
      <c r="I240" t="s">
        <v>1181</v>
      </c>
      <c r="J240">
        <v>2025</v>
      </c>
      <c r="K240" t="s">
        <v>2332</v>
      </c>
      <c r="N240" t="s">
        <v>134</v>
      </c>
      <c r="P240" t="s">
        <v>3160</v>
      </c>
    </row>
    <row r="241" spans="1:16" x14ac:dyDescent="0.2">
      <c r="A241" t="s">
        <v>2945</v>
      </c>
      <c r="B241" t="s">
        <v>2947</v>
      </c>
      <c r="C241" t="s">
        <v>128</v>
      </c>
      <c r="D241" t="s">
        <v>2923</v>
      </c>
      <c r="E241" t="s">
        <v>2923</v>
      </c>
      <c r="F241" t="s">
        <v>2924</v>
      </c>
      <c r="H241" t="s">
        <v>146</v>
      </c>
      <c r="I241" t="s">
        <v>1181</v>
      </c>
      <c r="J241">
        <v>2025</v>
      </c>
      <c r="K241" t="s">
        <v>2332</v>
      </c>
      <c r="N241" t="s">
        <v>134</v>
      </c>
      <c r="P241" t="s">
        <v>3160</v>
      </c>
    </row>
    <row r="242" spans="1:16" x14ac:dyDescent="0.2">
      <c r="A242" t="s">
        <v>1331</v>
      </c>
      <c r="B242" t="s">
        <v>1332</v>
      </c>
      <c r="C242" t="s">
        <v>128</v>
      </c>
      <c r="D242" t="s">
        <v>1333</v>
      </c>
      <c r="E242" t="s">
        <v>181</v>
      </c>
      <c r="F242" t="s">
        <v>1135</v>
      </c>
      <c r="G242" t="s">
        <v>1334</v>
      </c>
      <c r="H242" t="s">
        <v>258</v>
      </c>
      <c r="I242" t="s">
        <v>1181</v>
      </c>
      <c r="J242">
        <v>2020</v>
      </c>
      <c r="K242" t="s">
        <v>523</v>
      </c>
      <c r="L242">
        <v>44135</v>
      </c>
      <c r="N242" t="s">
        <v>134</v>
      </c>
      <c r="P242" t="s">
        <v>1335</v>
      </c>
    </row>
    <row r="243" spans="1:16" x14ac:dyDescent="0.2">
      <c r="A243" t="s">
        <v>1555</v>
      </c>
      <c r="B243" t="s">
        <v>1556</v>
      </c>
      <c r="C243" t="s">
        <v>128</v>
      </c>
      <c r="D243" t="s">
        <v>1333</v>
      </c>
      <c r="E243" t="s">
        <v>181</v>
      </c>
      <c r="F243" t="s">
        <v>1135</v>
      </c>
      <c r="G243" t="s">
        <v>1557</v>
      </c>
      <c r="H243" t="s">
        <v>258</v>
      </c>
      <c r="I243" t="s">
        <v>1181</v>
      </c>
      <c r="J243">
        <v>2020</v>
      </c>
      <c r="K243" t="s">
        <v>523</v>
      </c>
      <c r="L243">
        <v>44249</v>
      </c>
      <c r="N243" t="s">
        <v>134</v>
      </c>
      <c r="P243" t="s">
        <v>1558</v>
      </c>
    </row>
    <row r="244" spans="1:16" x14ac:dyDescent="0.2">
      <c r="A244" t="s">
        <v>290</v>
      </c>
      <c r="B244" t="s">
        <v>291</v>
      </c>
      <c r="C244" t="s">
        <v>128</v>
      </c>
      <c r="D244" t="s">
        <v>292</v>
      </c>
      <c r="F244" t="s">
        <v>293</v>
      </c>
      <c r="H244" t="s">
        <v>146</v>
      </c>
      <c r="J244">
        <v>2016</v>
      </c>
      <c r="K244" t="s">
        <v>221</v>
      </c>
      <c r="L244">
        <v>42840</v>
      </c>
      <c r="N244" t="s">
        <v>134</v>
      </c>
      <c r="O244" t="s">
        <v>135</v>
      </c>
      <c r="P244" t="s">
        <v>294</v>
      </c>
    </row>
    <row r="245" spans="1:16" x14ac:dyDescent="0.2">
      <c r="A245" t="s">
        <v>290</v>
      </c>
      <c r="B245" t="s">
        <v>295</v>
      </c>
      <c r="C245" t="s">
        <v>128</v>
      </c>
      <c r="D245" t="s">
        <v>292</v>
      </c>
      <c r="F245" t="s">
        <v>293</v>
      </c>
      <c r="G245" t="s">
        <v>296</v>
      </c>
      <c r="H245" t="s">
        <v>146</v>
      </c>
      <c r="J245">
        <v>2018</v>
      </c>
      <c r="K245" t="s">
        <v>277</v>
      </c>
      <c r="L245">
        <v>43266</v>
      </c>
      <c r="M245" t="s">
        <v>297</v>
      </c>
      <c r="N245" t="s">
        <v>140</v>
      </c>
      <c r="O245" t="s">
        <v>135</v>
      </c>
      <c r="P245" t="s">
        <v>3496</v>
      </c>
    </row>
    <row r="246" spans="1:16" x14ac:dyDescent="0.2">
      <c r="A246" t="s">
        <v>1255</v>
      </c>
      <c r="B246" t="s">
        <v>1256</v>
      </c>
      <c r="C246" t="s">
        <v>128</v>
      </c>
      <c r="D246" t="s">
        <v>292</v>
      </c>
      <c r="E246" t="s">
        <v>292</v>
      </c>
      <c r="F246" t="s">
        <v>1257</v>
      </c>
      <c r="G246" t="s">
        <v>1258</v>
      </c>
      <c r="H246" t="s">
        <v>146</v>
      </c>
      <c r="I246" t="s">
        <v>1181</v>
      </c>
      <c r="J246">
        <v>2019</v>
      </c>
      <c r="K246" t="s">
        <v>523</v>
      </c>
      <c r="L246" t="s">
        <v>1259</v>
      </c>
      <c r="N246" t="s">
        <v>134</v>
      </c>
      <c r="P246" t="s">
        <v>1260</v>
      </c>
    </row>
    <row r="247" spans="1:16" x14ac:dyDescent="0.2">
      <c r="A247" t="s">
        <v>1306</v>
      </c>
      <c r="B247" t="s">
        <v>1307</v>
      </c>
      <c r="C247" t="s">
        <v>128</v>
      </c>
      <c r="D247" t="s">
        <v>292</v>
      </c>
      <c r="E247" t="s">
        <v>292</v>
      </c>
      <c r="F247" t="s">
        <v>1308</v>
      </c>
      <c r="H247" t="s">
        <v>146</v>
      </c>
      <c r="I247" t="s">
        <v>1181</v>
      </c>
      <c r="J247">
        <v>2020</v>
      </c>
      <c r="K247" t="s">
        <v>133</v>
      </c>
      <c r="L247">
        <v>44061</v>
      </c>
      <c r="N247" t="s">
        <v>134</v>
      </c>
      <c r="P247" t="s">
        <v>1309</v>
      </c>
    </row>
    <row r="248" spans="1:16" x14ac:dyDescent="0.2">
      <c r="A248" t="s">
        <v>1733</v>
      </c>
      <c r="B248" t="s">
        <v>1734</v>
      </c>
      <c r="C248" t="s">
        <v>128</v>
      </c>
      <c r="D248" t="s">
        <v>292</v>
      </c>
      <c r="F248" t="s">
        <v>1257</v>
      </c>
      <c r="G248" t="s">
        <v>1735</v>
      </c>
      <c r="H248" t="s">
        <v>146</v>
      </c>
      <c r="I248" t="s">
        <v>1181</v>
      </c>
      <c r="J248">
        <v>2021</v>
      </c>
      <c r="K248" t="s">
        <v>277</v>
      </c>
      <c r="N248" t="s">
        <v>134</v>
      </c>
      <c r="P248" t="s">
        <v>1736</v>
      </c>
    </row>
    <row r="249" spans="1:16" x14ac:dyDescent="0.2">
      <c r="A249" t="s">
        <v>1733</v>
      </c>
      <c r="B249" t="s">
        <v>1734</v>
      </c>
      <c r="C249" t="s">
        <v>128</v>
      </c>
      <c r="D249" t="s">
        <v>292</v>
      </c>
      <c r="F249" t="s">
        <v>1257</v>
      </c>
      <c r="G249" t="s">
        <v>1737</v>
      </c>
      <c r="H249" t="s">
        <v>146</v>
      </c>
      <c r="I249" t="s">
        <v>1181</v>
      </c>
      <c r="J249">
        <v>2021</v>
      </c>
      <c r="K249" t="s">
        <v>277</v>
      </c>
      <c r="N249" t="s">
        <v>140</v>
      </c>
      <c r="P249" t="s">
        <v>1736</v>
      </c>
    </row>
    <row r="250" spans="1:16" x14ac:dyDescent="0.2">
      <c r="A250" t="s">
        <v>1891</v>
      </c>
      <c r="B250" t="s">
        <v>1892</v>
      </c>
      <c r="C250" t="s">
        <v>112</v>
      </c>
      <c r="D250" t="s">
        <v>292</v>
      </c>
      <c r="F250" t="s">
        <v>1257</v>
      </c>
      <c r="G250" t="s">
        <v>1893</v>
      </c>
      <c r="H250" t="s">
        <v>146</v>
      </c>
      <c r="I250" t="s">
        <v>1181</v>
      </c>
      <c r="J250">
        <v>2021</v>
      </c>
      <c r="K250" t="s">
        <v>133</v>
      </c>
      <c r="L250">
        <v>44712</v>
      </c>
      <c r="N250" t="s">
        <v>134</v>
      </c>
      <c r="P250" t="s">
        <v>3497</v>
      </c>
    </row>
    <row r="251" spans="1:16" x14ac:dyDescent="0.2">
      <c r="A251" t="s">
        <v>2714</v>
      </c>
      <c r="B251" t="s">
        <v>2715</v>
      </c>
      <c r="C251" t="s">
        <v>128</v>
      </c>
      <c r="D251" t="s">
        <v>292</v>
      </c>
      <c r="F251" t="s">
        <v>2716</v>
      </c>
      <c r="H251" t="s">
        <v>146</v>
      </c>
      <c r="I251" t="s">
        <v>1181</v>
      </c>
      <c r="J251">
        <v>2024</v>
      </c>
      <c r="K251" t="s">
        <v>277</v>
      </c>
      <c r="L251">
        <v>45513</v>
      </c>
      <c r="N251" t="s">
        <v>134</v>
      </c>
      <c r="P251" t="s">
        <v>2717</v>
      </c>
    </row>
    <row r="252" spans="1:16" x14ac:dyDescent="0.2">
      <c r="A252" t="s">
        <v>3300</v>
      </c>
      <c r="B252" t="s">
        <v>3301</v>
      </c>
      <c r="C252" t="s">
        <v>128</v>
      </c>
      <c r="D252" t="s">
        <v>292</v>
      </c>
      <c r="F252" t="s">
        <v>1257</v>
      </c>
      <c r="G252" t="s">
        <v>3199</v>
      </c>
      <c r="H252" t="s">
        <v>146</v>
      </c>
      <c r="I252" t="s">
        <v>1181</v>
      </c>
      <c r="J252">
        <v>2025</v>
      </c>
      <c r="K252" t="s">
        <v>277</v>
      </c>
      <c r="L252">
        <v>45880</v>
      </c>
      <c r="N252" t="s">
        <v>134</v>
      </c>
      <c r="O252" t="s">
        <v>3232</v>
      </c>
      <c r="P252" t="s">
        <v>3302</v>
      </c>
    </row>
    <row r="253" spans="1:16" x14ac:dyDescent="0.2">
      <c r="A253" t="s">
        <v>3319</v>
      </c>
      <c r="B253" t="s">
        <v>3320</v>
      </c>
      <c r="C253" t="s">
        <v>128</v>
      </c>
      <c r="D253" t="s">
        <v>292</v>
      </c>
      <c r="F253" t="s">
        <v>1257</v>
      </c>
      <c r="G253" t="s">
        <v>3321</v>
      </c>
      <c r="H253" t="s">
        <v>146</v>
      </c>
      <c r="I253" t="s">
        <v>1181</v>
      </c>
      <c r="J253">
        <v>2025</v>
      </c>
      <c r="K253" t="s">
        <v>277</v>
      </c>
      <c r="L253">
        <v>45869</v>
      </c>
      <c r="M253" t="s">
        <v>3311</v>
      </c>
      <c r="N253" t="s">
        <v>134</v>
      </c>
      <c r="O253" t="s">
        <v>3232</v>
      </c>
      <c r="P253" t="s">
        <v>3322</v>
      </c>
    </row>
    <row r="254" spans="1:16" x14ac:dyDescent="0.2">
      <c r="A254" t="s">
        <v>3342</v>
      </c>
      <c r="B254" t="s">
        <v>3343</v>
      </c>
      <c r="C254" t="s">
        <v>128</v>
      </c>
      <c r="D254" t="s">
        <v>292</v>
      </c>
      <c r="F254" t="s">
        <v>1257</v>
      </c>
      <c r="G254" t="s">
        <v>3344</v>
      </c>
      <c r="H254" t="s">
        <v>146</v>
      </c>
      <c r="I254" t="s">
        <v>1181</v>
      </c>
      <c r="J254">
        <v>2025</v>
      </c>
      <c r="K254" t="s">
        <v>277</v>
      </c>
      <c r="L254">
        <v>45960</v>
      </c>
      <c r="N254" t="s">
        <v>597</v>
      </c>
      <c r="P254" t="s">
        <v>3345</v>
      </c>
    </row>
    <row r="255" spans="1:16" x14ac:dyDescent="0.2">
      <c r="A255" t="s">
        <v>3346</v>
      </c>
      <c r="B255" t="s">
        <v>3347</v>
      </c>
      <c r="C255" t="s">
        <v>128</v>
      </c>
      <c r="D255" t="s">
        <v>292</v>
      </c>
      <c r="F255" t="s">
        <v>1257</v>
      </c>
      <c r="G255" t="s">
        <v>3348</v>
      </c>
      <c r="H255" t="s">
        <v>146</v>
      </c>
      <c r="I255" t="s">
        <v>1181</v>
      </c>
      <c r="J255">
        <v>2025</v>
      </c>
      <c r="K255" t="s">
        <v>277</v>
      </c>
      <c r="L255">
        <v>45960</v>
      </c>
      <c r="N255" t="s">
        <v>597</v>
      </c>
      <c r="P255" t="s">
        <v>3349</v>
      </c>
    </row>
    <row r="256" spans="1:16" x14ac:dyDescent="0.2">
      <c r="A256" t="s">
        <v>358</v>
      </c>
      <c r="B256" t="s">
        <v>359</v>
      </c>
      <c r="C256" t="s">
        <v>128</v>
      </c>
      <c r="D256" t="s">
        <v>360</v>
      </c>
      <c r="F256" t="s">
        <v>361</v>
      </c>
      <c r="H256" t="s">
        <v>177</v>
      </c>
      <c r="J256">
        <v>2017</v>
      </c>
      <c r="K256" t="s">
        <v>221</v>
      </c>
      <c r="L256">
        <v>42885</v>
      </c>
      <c r="M256" t="s">
        <v>362</v>
      </c>
      <c r="N256" t="s">
        <v>134</v>
      </c>
      <c r="O256" t="s">
        <v>135</v>
      </c>
      <c r="P256" t="s">
        <v>363</v>
      </c>
    </row>
    <row r="257" spans="1:16" x14ac:dyDescent="0.2">
      <c r="A257" t="s">
        <v>377</v>
      </c>
      <c r="B257" t="s">
        <v>378</v>
      </c>
      <c r="C257" t="s">
        <v>128</v>
      </c>
      <c r="D257" t="s">
        <v>360</v>
      </c>
      <c r="E257" t="s">
        <v>355</v>
      </c>
      <c r="F257" t="s">
        <v>379</v>
      </c>
      <c r="G257" t="s">
        <v>380</v>
      </c>
      <c r="H257" t="s">
        <v>183</v>
      </c>
      <c r="J257">
        <v>2017</v>
      </c>
      <c r="K257" t="s">
        <v>133</v>
      </c>
      <c r="N257" t="s">
        <v>134</v>
      </c>
      <c r="O257" t="s">
        <v>381</v>
      </c>
      <c r="P257" t="s">
        <v>382</v>
      </c>
    </row>
    <row r="258" spans="1:16" x14ac:dyDescent="0.2">
      <c r="A258" t="s">
        <v>695</v>
      </c>
      <c r="B258" t="s">
        <v>696</v>
      </c>
      <c r="C258" t="s">
        <v>128</v>
      </c>
      <c r="D258" t="s">
        <v>360</v>
      </c>
      <c r="E258" t="s">
        <v>354</v>
      </c>
      <c r="F258" t="s">
        <v>697</v>
      </c>
      <c r="G258" t="s">
        <v>698</v>
      </c>
      <c r="H258" t="s">
        <v>183</v>
      </c>
      <c r="J258">
        <v>2018</v>
      </c>
      <c r="K258" t="s">
        <v>523</v>
      </c>
      <c r="L258">
        <v>43185</v>
      </c>
      <c r="N258" t="s">
        <v>134</v>
      </c>
      <c r="O258" t="s">
        <v>135</v>
      </c>
      <c r="P258" t="s">
        <v>699</v>
      </c>
    </row>
    <row r="259" spans="1:16" x14ac:dyDescent="0.2">
      <c r="A259" t="s">
        <v>814</v>
      </c>
      <c r="B259" t="s">
        <v>815</v>
      </c>
      <c r="C259" t="s">
        <v>128</v>
      </c>
      <c r="D259" t="s">
        <v>360</v>
      </c>
      <c r="E259" t="s">
        <v>355</v>
      </c>
      <c r="F259" t="s">
        <v>366</v>
      </c>
      <c r="G259" t="s">
        <v>816</v>
      </c>
      <c r="H259" t="s">
        <v>183</v>
      </c>
      <c r="J259">
        <v>2018</v>
      </c>
      <c r="K259" t="s">
        <v>261</v>
      </c>
      <c r="L259">
        <v>43480</v>
      </c>
      <c r="N259" t="s">
        <v>134</v>
      </c>
      <c r="O259" t="s">
        <v>135</v>
      </c>
      <c r="P259" t="s">
        <v>817</v>
      </c>
    </row>
    <row r="260" spans="1:16" x14ac:dyDescent="0.2">
      <c r="A260" t="s">
        <v>1014</v>
      </c>
      <c r="B260" t="s">
        <v>1015</v>
      </c>
      <c r="C260" t="s">
        <v>128</v>
      </c>
      <c r="D260" t="s">
        <v>360</v>
      </c>
      <c r="E260" t="s">
        <v>355</v>
      </c>
      <c r="F260" t="s">
        <v>379</v>
      </c>
      <c r="G260" t="s">
        <v>1016</v>
      </c>
      <c r="H260" t="s">
        <v>183</v>
      </c>
      <c r="J260">
        <v>2019</v>
      </c>
      <c r="K260" t="s">
        <v>261</v>
      </c>
      <c r="L260">
        <v>43647</v>
      </c>
      <c r="N260" t="s">
        <v>134</v>
      </c>
      <c r="O260" t="s">
        <v>135</v>
      </c>
      <c r="P260" t="s">
        <v>1017</v>
      </c>
    </row>
    <row r="261" spans="1:16" x14ac:dyDescent="0.2">
      <c r="A261" t="s">
        <v>1014</v>
      </c>
      <c r="B261" t="s">
        <v>1018</v>
      </c>
      <c r="C261" t="s">
        <v>128</v>
      </c>
      <c r="D261" t="s">
        <v>360</v>
      </c>
      <c r="E261" t="s">
        <v>355</v>
      </c>
      <c r="F261" t="s">
        <v>379</v>
      </c>
      <c r="G261" t="s">
        <v>1019</v>
      </c>
      <c r="H261" t="s">
        <v>183</v>
      </c>
      <c r="J261">
        <v>2019</v>
      </c>
      <c r="K261" t="s">
        <v>261</v>
      </c>
      <c r="L261">
        <v>43724</v>
      </c>
      <c r="N261" t="s">
        <v>134</v>
      </c>
      <c r="O261" t="s">
        <v>135</v>
      </c>
      <c r="P261" t="s">
        <v>1017</v>
      </c>
    </row>
    <row r="262" spans="1:16" x14ac:dyDescent="0.2">
      <c r="A262" t="s">
        <v>1014</v>
      </c>
      <c r="B262" t="s">
        <v>1020</v>
      </c>
      <c r="C262" t="s">
        <v>128</v>
      </c>
      <c r="D262" t="s">
        <v>360</v>
      </c>
      <c r="E262" t="s">
        <v>355</v>
      </c>
      <c r="F262" t="s">
        <v>379</v>
      </c>
      <c r="G262" t="s">
        <v>1021</v>
      </c>
      <c r="H262" t="s">
        <v>183</v>
      </c>
      <c r="J262">
        <v>2019</v>
      </c>
      <c r="K262" t="s">
        <v>261</v>
      </c>
      <c r="L262">
        <v>44032</v>
      </c>
      <c r="N262" t="s">
        <v>134</v>
      </c>
      <c r="O262" t="s">
        <v>135</v>
      </c>
      <c r="P262" t="s">
        <v>1017</v>
      </c>
    </row>
    <row r="263" spans="1:16" x14ac:dyDescent="0.2">
      <c r="A263" t="s">
        <v>2689</v>
      </c>
      <c r="B263" t="s">
        <v>2690</v>
      </c>
      <c r="C263" t="s">
        <v>128</v>
      </c>
      <c r="D263" t="s">
        <v>360</v>
      </c>
      <c r="E263" t="s">
        <v>355</v>
      </c>
      <c r="F263" t="s">
        <v>379</v>
      </c>
      <c r="G263" t="s">
        <v>2691</v>
      </c>
      <c r="H263" t="s">
        <v>183</v>
      </c>
      <c r="I263" t="s">
        <v>1181</v>
      </c>
      <c r="J263">
        <v>2024</v>
      </c>
      <c r="K263" t="s">
        <v>133</v>
      </c>
      <c r="L263">
        <v>45583</v>
      </c>
      <c r="N263" t="s">
        <v>134</v>
      </c>
      <c r="P263" t="s">
        <v>2692</v>
      </c>
    </row>
    <row r="264" spans="1:16" x14ac:dyDescent="0.2">
      <c r="A264" t="s">
        <v>2689</v>
      </c>
      <c r="B264" t="s">
        <v>2693</v>
      </c>
      <c r="C264" t="s">
        <v>128</v>
      </c>
      <c r="D264" t="s">
        <v>360</v>
      </c>
      <c r="E264" t="s">
        <v>355</v>
      </c>
      <c r="F264" t="s">
        <v>379</v>
      </c>
      <c r="G264" t="s">
        <v>2691</v>
      </c>
      <c r="H264" t="s">
        <v>183</v>
      </c>
      <c r="I264" t="s">
        <v>1181</v>
      </c>
      <c r="J264">
        <v>2024</v>
      </c>
      <c r="K264" t="s">
        <v>133</v>
      </c>
      <c r="L264">
        <v>45583</v>
      </c>
      <c r="N264" t="s">
        <v>134</v>
      </c>
      <c r="P264" t="s">
        <v>2692</v>
      </c>
    </row>
    <row r="265" spans="1:16" x14ac:dyDescent="0.2">
      <c r="A265" t="s">
        <v>2762</v>
      </c>
      <c r="B265" t="s">
        <v>2763</v>
      </c>
      <c r="C265" t="s">
        <v>128</v>
      </c>
      <c r="D265" t="s">
        <v>360</v>
      </c>
      <c r="F265" t="s">
        <v>379</v>
      </c>
      <c r="H265" t="s">
        <v>183</v>
      </c>
      <c r="I265" t="s">
        <v>1181</v>
      </c>
      <c r="J265">
        <v>2024</v>
      </c>
      <c r="K265" t="s">
        <v>523</v>
      </c>
      <c r="L265">
        <v>45595</v>
      </c>
      <c r="N265" t="s">
        <v>134</v>
      </c>
      <c r="P265" t="s">
        <v>2764</v>
      </c>
    </row>
    <row r="266" spans="1:16" x14ac:dyDescent="0.2">
      <c r="A266" t="s">
        <v>1072</v>
      </c>
      <c r="B266" t="s">
        <v>1073</v>
      </c>
      <c r="C266" t="s">
        <v>128</v>
      </c>
      <c r="D266" t="s">
        <v>1074</v>
      </c>
      <c r="E266" t="s">
        <v>355</v>
      </c>
      <c r="F266" t="s">
        <v>1075</v>
      </c>
      <c r="G266" t="s">
        <v>1076</v>
      </c>
      <c r="H266" t="s">
        <v>183</v>
      </c>
      <c r="J266">
        <v>2019</v>
      </c>
      <c r="K266" t="s">
        <v>133</v>
      </c>
      <c r="L266">
        <v>43718</v>
      </c>
      <c r="N266" t="s">
        <v>134</v>
      </c>
      <c r="P266" t="s">
        <v>1077</v>
      </c>
    </row>
    <row r="267" spans="1:16" x14ac:dyDescent="0.2">
      <c r="A267" t="s">
        <v>1724</v>
      </c>
      <c r="B267" t="s">
        <v>1725</v>
      </c>
      <c r="C267" t="s">
        <v>128</v>
      </c>
      <c r="D267" t="s">
        <v>1726</v>
      </c>
      <c r="F267" t="s">
        <v>1727</v>
      </c>
      <c r="G267" t="s">
        <v>1728</v>
      </c>
      <c r="H267" t="s">
        <v>183</v>
      </c>
      <c r="I267" t="s">
        <v>1181</v>
      </c>
      <c r="J267">
        <v>2021</v>
      </c>
      <c r="K267" t="s">
        <v>221</v>
      </c>
      <c r="L267">
        <v>44410</v>
      </c>
      <c r="N267" t="s">
        <v>134</v>
      </c>
      <c r="O267" t="s">
        <v>135</v>
      </c>
      <c r="P267" t="s">
        <v>1729</v>
      </c>
    </row>
    <row r="268" spans="1:16" x14ac:dyDescent="0.2">
      <c r="A268" t="s">
        <v>1850</v>
      </c>
      <c r="B268" t="s">
        <v>1851</v>
      </c>
      <c r="C268" t="s">
        <v>128</v>
      </c>
      <c r="D268" t="s">
        <v>1726</v>
      </c>
      <c r="F268" t="s">
        <v>1727</v>
      </c>
      <c r="G268" t="s">
        <v>1852</v>
      </c>
      <c r="H268" t="s">
        <v>183</v>
      </c>
      <c r="I268" t="s">
        <v>1181</v>
      </c>
      <c r="J268">
        <v>2021</v>
      </c>
      <c r="K268" t="s">
        <v>221</v>
      </c>
      <c r="L268">
        <v>44255</v>
      </c>
      <c r="N268" t="s">
        <v>134</v>
      </c>
      <c r="O268" t="s">
        <v>135</v>
      </c>
      <c r="P268" t="s">
        <v>1853</v>
      </c>
    </row>
    <row r="269" spans="1:16" x14ac:dyDescent="0.2">
      <c r="A269" t="s">
        <v>2758</v>
      </c>
      <c r="B269" t="s">
        <v>2759</v>
      </c>
      <c r="C269" t="s">
        <v>128</v>
      </c>
      <c r="D269" t="s">
        <v>355</v>
      </c>
      <c r="F269" t="s">
        <v>366</v>
      </c>
      <c r="G269" t="s">
        <v>816</v>
      </c>
      <c r="H269" t="s">
        <v>183</v>
      </c>
      <c r="I269" t="s">
        <v>1181</v>
      </c>
      <c r="J269">
        <v>2024</v>
      </c>
      <c r="K269" t="s">
        <v>261</v>
      </c>
      <c r="L269" t="s">
        <v>2760</v>
      </c>
      <c r="N269" t="s">
        <v>134</v>
      </c>
      <c r="O269" t="s">
        <v>135</v>
      </c>
      <c r="P269" t="s">
        <v>2761</v>
      </c>
    </row>
    <row r="270" spans="1:16" x14ac:dyDescent="0.2">
      <c r="A270" t="s">
        <v>352</v>
      </c>
      <c r="B270" t="s">
        <v>353</v>
      </c>
      <c r="C270" t="s">
        <v>128</v>
      </c>
      <c r="D270" t="s">
        <v>354</v>
      </c>
      <c r="E270" t="s">
        <v>355</v>
      </c>
      <c r="F270" t="s">
        <v>356</v>
      </c>
      <c r="G270" t="s">
        <v>204</v>
      </c>
      <c r="H270" t="s">
        <v>183</v>
      </c>
      <c r="J270">
        <v>2017</v>
      </c>
      <c r="K270" t="s">
        <v>133</v>
      </c>
      <c r="L270">
        <v>42885</v>
      </c>
      <c r="N270" t="s">
        <v>134</v>
      </c>
      <c r="O270" t="s">
        <v>135</v>
      </c>
      <c r="P270" t="s">
        <v>357</v>
      </c>
    </row>
    <row r="271" spans="1:16" x14ac:dyDescent="0.2">
      <c r="A271" t="s">
        <v>364</v>
      </c>
      <c r="B271" t="s">
        <v>365</v>
      </c>
      <c r="C271" t="s">
        <v>128</v>
      </c>
      <c r="D271" t="s">
        <v>354</v>
      </c>
      <c r="E271" t="s">
        <v>355</v>
      </c>
      <c r="F271" t="s">
        <v>366</v>
      </c>
      <c r="G271" t="s">
        <v>367</v>
      </c>
      <c r="H271" t="s">
        <v>183</v>
      </c>
      <c r="J271">
        <v>2018</v>
      </c>
      <c r="K271" t="s">
        <v>133</v>
      </c>
      <c r="L271">
        <v>43315</v>
      </c>
      <c r="N271" t="s">
        <v>134</v>
      </c>
      <c r="O271" t="s">
        <v>135</v>
      </c>
      <c r="P271" t="s">
        <v>368</v>
      </c>
    </row>
    <row r="272" spans="1:16" x14ac:dyDescent="0.2">
      <c r="A272" t="s">
        <v>364</v>
      </c>
      <c r="B272" t="s">
        <v>369</v>
      </c>
      <c r="C272" t="s">
        <v>128</v>
      </c>
      <c r="D272" t="s">
        <v>354</v>
      </c>
      <c r="E272" t="s">
        <v>355</v>
      </c>
      <c r="F272" t="s">
        <v>366</v>
      </c>
      <c r="H272" t="s">
        <v>183</v>
      </c>
      <c r="J272">
        <v>2018</v>
      </c>
      <c r="K272" t="s">
        <v>133</v>
      </c>
      <c r="L272">
        <v>43434</v>
      </c>
      <c r="N272" t="s">
        <v>134</v>
      </c>
      <c r="O272" t="s">
        <v>135</v>
      </c>
      <c r="P272" t="s">
        <v>368</v>
      </c>
    </row>
    <row r="273" spans="1:16" x14ac:dyDescent="0.2">
      <c r="A273" t="s">
        <v>2747</v>
      </c>
      <c r="B273" t="s">
        <v>2748</v>
      </c>
      <c r="C273" t="s">
        <v>112</v>
      </c>
      <c r="D273" t="s">
        <v>2749</v>
      </c>
      <c r="E273" t="s">
        <v>2750</v>
      </c>
      <c r="H273" t="s">
        <v>194</v>
      </c>
      <c r="I273" t="s">
        <v>194</v>
      </c>
      <c r="J273">
        <v>2024</v>
      </c>
      <c r="K273" t="s">
        <v>523</v>
      </c>
      <c r="L273" t="s">
        <v>2612</v>
      </c>
      <c r="N273" t="s">
        <v>134</v>
      </c>
      <c r="O273" t="s">
        <v>2934</v>
      </c>
      <c r="P273" t="s">
        <v>3498</v>
      </c>
    </row>
    <row r="274" spans="1:16" x14ac:dyDescent="0.2">
      <c r="A274" t="s">
        <v>2837</v>
      </c>
      <c r="B274" t="s">
        <v>2838</v>
      </c>
      <c r="C274" t="s">
        <v>128</v>
      </c>
      <c r="D274" t="s">
        <v>2749</v>
      </c>
      <c r="E274" t="s">
        <v>2839</v>
      </c>
      <c r="F274" t="s">
        <v>2840</v>
      </c>
      <c r="G274" t="s">
        <v>2555</v>
      </c>
      <c r="H274" t="s">
        <v>194</v>
      </c>
      <c r="I274" t="s">
        <v>194</v>
      </c>
      <c r="J274">
        <v>2024</v>
      </c>
      <c r="K274" t="s">
        <v>523</v>
      </c>
      <c r="L274">
        <v>45746</v>
      </c>
      <c r="N274" t="s">
        <v>134</v>
      </c>
      <c r="O274" t="s">
        <v>2934</v>
      </c>
      <c r="P274" t="s">
        <v>2841</v>
      </c>
    </row>
    <row r="275" spans="1:16" x14ac:dyDescent="0.2">
      <c r="A275" t="s">
        <v>2837</v>
      </c>
      <c r="B275">
        <v>80055002251</v>
      </c>
      <c r="C275" t="s">
        <v>128</v>
      </c>
      <c r="D275" t="s">
        <v>2749</v>
      </c>
      <c r="E275" t="s">
        <v>2839</v>
      </c>
      <c r="F275" t="s">
        <v>2840</v>
      </c>
      <c r="G275" t="s">
        <v>2842</v>
      </c>
      <c r="H275" t="s">
        <v>194</v>
      </c>
      <c r="I275" t="s">
        <v>194</v>
      </c>
      <c r="J275">
        <v>2024</v>
      </c>
      <c r="K275" t="s">
        <v>2570</v>
      </c>
      <c r="N275" t="s">
        <v>134</v>
      </c>
      <c r="O275" t="s">
        <v>2934</v>
      </c>
      <c r="P275" t="s">
        <v>2841</v>
      </c>
    </row>
    <row r="276" spans="1:16" x14ac:dyDescent="0.2">
      <c r="A276" t="s">
        <v>2847</v>
      </c>
      <c r="C276" t="s">
        <v>128</v>
      </c>
      <c r="D276" t="s">
        <v>2749</v>
      </c>
      <c r="F276" t="s">
        <v>2848</v>
      </c>
      <c r="H276" t="s">
        <v>194</v>
      </c>
      <c r="I276" t="s">
        <v>194</v>
      </c>
      <c r="J276">
        <v>2024</v>
      </c>
      <c r="K276" t="s">
        <v>2570</v>
      </c>
      <c r="L276">
        <v>45293</v>
      </c>
      <c r="N276" t="s">
        <v>597</v>
      </c>
      <c r="O276" t="s">
        <v>2936</v>
      </c>
      <c r="P276" t="s">
        <v>2849</v>
      </c>
    </row>
    <row r="277" spans="1:16" x14ac:dyDescent="0.2">
      <c r="A277" t="s">
        <v>3036</v>
      </c>
      <c r="B277" t="s">
        <v>3037</v>
      </c>
      <c r="C277" t="s">
        <v>128</v>
      </c>
      <c r="D277" t="s">
        <v>2749</v>
      </c>
      <c r="E277" t="s">
        <v>3038</v>
      </c>
      <c r="F277" t="s">
        <v>3039</v>
      </c>
      <c r="G277" t="s">
        <v>2793</v>
      </c>
      <c r="H277" t="s">
        <v>194</v>
      </c>
      <c r="I277" t="s">
        <v>194</v>
      </c>
      <c r="J277">
        <v>2025</v>
      </c>
      <c r="K277" t="s">
        <v>523</v>
      </c>
      <c r="L277" t="s">
        <v>3040</v>
      </c>
      <c r="M277" t="s">
        <v>3397</v>
      </c>
      <c r="N277" t="s">
        <v>597</v>
      </c>
      <c r="O277" t="s">
        <v>3398</v>
      </c>
      <c r="P277" t="s">
        <v>3041</v>
      </c>
    </row>
    <row r="278" spans="1:16" x14ac:dyDescent="0.2">
      <c r="A278" t="s">
        <v>2880</v>
      </c>
      <c r="B278" t="s">
        <v>2881</v>
      </c>
      <c r="C278" t="s">
        <v>128</v>
      </c>
      <c r="D278" t="s">
        <v>2882</v>
      </c>
      <c r="E278" t="s">
        <v>2882</v>
      </c>
      <c r="F278" t="s">
        <v>2883</v>
      </c>
      <c r="H278" t="s">
        <v>183</v>
      </c>
      <c r="I278" t="s">
        <v>1181</v>
      </c>
      <c r="J278">
        <v>2024</v>
      </c>
      <c r="K278" t="s">
        <v>2332</v>
      </c>
      <c r="L278">
        <v>45838</v>
      </c>
      <c r="N278" t="s">
        <v>134</v>
      </c>
    </row>
    <row r="279" spans="1:16" x14ac:dyDescent="0.2">
      <c r="A279" t="s">
        <v>2880</v>
      </c>
      <c r="B279" t="s">
        <v>2937</v>
      </c>
      <c r="C279" t="s">
        <v>128</v>
      </c>
      <c r="D279" t="s">
        <v>2882</v>
      </c>
      <c r="E279" t="s">
        <v>2882</v>
      </c>
      <c r="F279" t="s">
        <v>2883</v>
      </c>
      <c r="G279" t="s">
        <v>2938</v>
      </c>
      <c r="H279" t="s">
        <v>183</v>
      </c>
      <c r="I279" t="s">
        <v>1181</v>
      </c>
      <c r="J279">
        <v>2024</v>
      </c>
      <c r="K279" t="s">
        <v>2332</v>
      </c>
      <c r="L279">
        <v>45712</v>
      </c>
      <c r="N279" t="s">
        <v>140</v>
      </c>
      <c r="P279" t="s">
        <v>2884</v>
      </c>
    </row>
    <row r="280" spans="1:16" x14ac:dyDescent="0.2">
      <c r="A280" t="s">
        <v>3459</v>
      </c>
      <c r="C280" t="s">
        <v>112</v>
      </c>
      <c r="D280" t="s">
        <v>2012</v>
      </c>
      <c r="F280" t="s">
        <v>2910</v>
      </c>
      <c r="G280" t="s">
        <v>3460</v>
      </c>
      <c r="H280" t="s">
        <v>146</v>
      </c>
      <c r="I280" t="s">
        <v>1181</v>
      </c>
      <c r="J280">
        <v>2025</v>
      </c>
      <c r="K280" t="s">
        <v>112</v>
      </c>
      <c r="N280" t="s">
        <v>597</v>
      </c>
      <c r="P280" t="s">
        <v>3499</v>
      </c>
    </row>
    <row r="281" spans="1:16" x14ac:dyDescent="0.2">
      <c r="A281" t="s">
        <v>3016</v>
      </c>
      <c r="C281" t="s">
        <v>128</v>
      </c>
      <c r="D281" t="s">
        <v>3017</v>
      </c>
      <c r="F281" t="s">
        <v>3018</v>
      </c>
      <c r="G281" t="s">
        <v>3019</v>
      </c>
      <c r="H281" t="s">
        <v>146</v>
      </c>
      <c r="I281" t="s">
        <v>1181</v>
      </c>
      <c r="J281">
        <v>2025</v>
      </c>
      <c r="K281" t="s">
        <v>112</v>
      </c>
      <c r="N281" t="s">
        <v>597</v>
      </c>
      <c r="P281" t="s">
        <v>3020</v>
      </c>
    </row>
    <row r="282" spans="1:16" x14ac:dyDescent="0.2">
      <c r="A282" t="s">
        <v>3023</v>
      </c>
      <c r="C282" t="s">
        <v>128</v>
      </c>
      <c r="D282" t="s">
        <v>3017</v>
      </c>
      <c r="F282" t="s">
        <v>3024</v>
      </c>
      <c r="G282" t="s">
        <v>3025</v>
      </c>
      <c r="H282" t="s">
        <v>146</v>
      </c>
      <c r="I282" t="s">
        <v>1181</v>
      </c>
      <c r="J282">
        <v>2025</v>
      </c>
      <c r="K282" t="s">
        <v>112</v>
      </c>
      <c r="N282" t="s">
        <v>597</v>
      </c>
      <c r="P282" t="s">
        <v>3026</v>
      </c>
    </row>
    <row r="283" spans="1:16" x14ac:dyDescent="0.2">
      <c r="A283" t="s">
        <v>1390</v>
      </c>
      <c r="B283" t="s">
        <v>1391</v>
      </c>
      <c r="C283" t="s">
        <v>128</v>
      </c>
      <c r="D283" t="s">
        <v>1392</v>
      </c>
      <c r="E283" t="s">
        <v>1392</v>
      </c>
      <c r="F283" t="s">
        <v>1393</v>
      </c>
      <c r="H283" t="s">
        <v>183</v>
      </c>
      <c r="I283" t="s">
        <v>1181</v>
      </c>
      <c r="J283">
        <v>2020</v>
      </c>
      <c r="K283" t="s">
        <v>221</v>
      </c>
      <c r="L283">
        <v>44165</v>
      </c>
      <c r="N283" t="s">
        <v>134</v>
      </c>
      <c r="O283" t="s">
        <v>135</v>
      </c>
      <c r="P283" t="s">
        <v>1394</v>
      </c>
    </row>
    <row r="284" spans="1:16" x14ac:dyDescent="0.2">
      <c r="A284" t="s">
        <v>1342</v>
      </c>
      <c r="B284" t="s">
        <v>1343</v>
      </c>
      <c r="C284" t="s">
        <v>128</v>
      </c>
      <c r="D284" t="s">
        <v>1344</v>
      </c>
      <c r="E284" t="s">
        <v>324</v>
      </c>
      <c r="F284" t="s">
        <v>1345</v>
      </c>
      <c r="G284" t="s">
        <v>160</v>
      </c>
      <c r="H284" t="s">
        <v>326</v>
      </c>
      <c r="I284" t="s">
        <v>1181</v>
      </c>
      <c r="J284">
        <v>2020</v>
      </c>
      <c r="K284" t="s">
        <v>1346</v>
      </c>
      <c r="L284" t="s">
        <v>1347</v>
      </c>
      <c r="N284" t="s">
        <v>134</v>
      </c>
      <c r="O284" t="s">
        <v>135</v>
      </c>
      <c r="P284" t="s">
        <v>1348</v>
      </c>
    </row>
    <row r="285" spans="1:16" x14ac:dyDescent="0.2">
      <c r="A285" t="s">
        <v>2145</v>
      </c>
      <c r="B285" t="s">
        <v>2146</v>
      </c>
      <c r="C285" t="s">
        <v>128</v>
      </c>
      <c r="D285" t="s">
        <v>1344</v>
      </c>
      <c r="E285" t="s">
        <v>867</v>
      </c>
      <c r="F285" t="s">
        <v>2147</v>
      </c>
      <c r="H285" t="s">
        <v>267</v>
      </c>
      <c r="I285" t="s">
        <v>1181</v>
      </c>
      <c r="J285">
        <v>2022</v>
      </c>
      <c r="K285" t="s">
        <v>523</v>
      </c>
      <c r="L285">
        <v>44936</v>
      </c>
      <c r="N285" t="s">
        <v>134</v>
      </c>
      <c r="P285" t="s">
        <v>2148</v>
      </c>
    </row>
    <row r="286" spans="1:16" x14ac:dyDescent="0.2">
      <c r="A286" t="s">
        <v>2168</v>
      </c>
      <c r="B286" t="s">
        <v>2169</v>
      </c>
      <c r="C286" t="s">
        <v>128</v>
      </c>
      <c r="D286" t="s">
        <v>1344</v>
      </c>
      <c r="E286" t="s">
        <v>324</v>
      </c>
      <c r="F286" t="s">
        <v>2170</v>
      </c>
      <c r="G286" t="s">
        <v>2171</v>
      </c>
      <c r="H286" t="s">
        <v>326</v>
      </c>
      <c r="I286" t="s">
        <v>1181</v>
      </c>
      <c r="J286">
        <v>2022</v>
      </c>
      <c r="K286" t="s">
        <v>133</v>
      </c>
      <c r="N286" t="s">
        <v>134</v>
      </c>
      <c r="P286" t="s">
        <v>2172</v>
      </c>
    </row>
    <row r="287" spans="1:16" x14ac:dyDescent="0.2">
      <c r="A287" t="s">
        <v>2177</v>
      </c>
      <c r="B287" t="s">
        <v>2178</v>
      </c>
      <c r="C287" t="s">
        <v>128</v>
      </c>
      <c r="D287" t="s">
        <v>1344</v>
      </c>
      <c r="E287" t="s">
        <v>324</v>
      </c>
      <c r="F287" t="s">
        <v>2179</v>
      </c>
      <c r="H287" t="s">
        <v>326</v>
      </c>
      <c r="I287" t="s">
        <v>1181</v>
      </c>
      <c r="J287">
        <v>2022</v>
      </c>
      <c r="K287" t="s">
        <v>277</v>
      </c>
      <c r="L287">
        <v>45026</v>
      </c>
      <c r="N287" t="s">
        <v>134</v>
      </c>
      <c r="P287" t="s">
        <v>2180</v>
      </c>
    </row>
    <row r="288" spans="1:16" x14ac:dyDescent="0.2">
      <c r="A288" t="s">
        <v>2197</v>
      </c>
      <c r="B288" t="s">
        <v>2198</v>
      </c>
      <c r="C288" t="s">
        <v>128</v>
      </c>
      <c r="D288" t="s">
        <v>1344</v>
      </c>
      <c r="E288" t="s">
        <v>324</v>
      </c>
      <c r="F288" t="s">
        <v>2199</v>
      </c>
      <c r="H288" t="s">
        <v>606</v>
      </c>
      <c r="I288" t="s">
        <v>1181</v>
      </c>
      <c r="J288">
        <v>2022</v>
      </c>
      <c r="K288" t="s">
        <v>133</v>
      </c>
      <c r="L288">
        <v>44684</v>
      </c>
      <c r="N288" t="s">
        <v>134</v>
      </c>
      <c r="P288" t="s">
        <v>2200</v>
      </c>
    </row>
    <row r="289" spans="1:16" x14ac:dyDescent="0.2">
      <c r="A289" t="s">
        <v>2300</v>
      </c>
      <c r="B289" t="s">
        <v>2301</v>
      </c>
      <c r="C289" t="s">
        <v>128</v>
      </c>
      <c r="D289" t="s">
        <v>1344</v>
      </c>
      <c r="E289" t="s">
        <v>181</v>
      </c>
      <c r="F289" t="s">
        <v>2302</v>
      </c>
      <c r="G289" t="s">
        <v>2303</v>
      </c>
      <c r="H289" t="s">
        <v>183</v>
      </c>
      <c r="I289" t="s">
        <v>1181</v>
      </c>
      <c r="J289">
        <v>2023</v>
      </c>
      <c r="K289" t="s">
        <v>221</v>
      </c>
      <c r="L289">
        <v>45072</v>
      </c>
      <c r="N289" t="s">
        <v>140</v>
      </c>
      <c r="P289" t="s">
        <v>2304</v>
      </c>
    </row>
    <row r="290" spans="1:16" x14ac:dyDescent="0.2">
      <c r="A290" t="s">
        <v>2424</v>
      </c>
      <c r="B290" t="s">
        <v>2425</v>
      </c>
      <c r="C290" t="s">
        <v>128</v>
      </c>
      <c r="D290" t="s">
        <v>1344</v>
      </c>
      <c r="E290" t="s">
        <v>181</v>
      </c>
      <c r="F290" t="s">
        <v>2302</v>
      </c>
      <c r="H290" t="s">
        <v>183</v>
      </c>
      <c r="I290" t="s">
        <v>1181</v>
      </c>
      <c r="J290">
        <v>2023</v>
      </c>
      <c r="K290" t="s">
        <v>2332</v>
      </c>
      <c r="N290" t="s">
        <v>134</v>
      </c>
      <c r="P290" t="s">
        <v>2426</v>
      </c>
    </row>
    <row r="291" spans="1:16" x14ac:dyDescent="0.2">
      <c r="A291" t="s">
        <v>2457</v>
      </c>
      <c r="B291" t="s">
        <v>2458</v>
      </c>
      <c r="C291" t="s">
        <v>128</v>
      </c>
      <c r="D291" t="s">
        <v>1344</v>
      </c>
      <c r="E291" t="s">
        <v>181</v>
      </c>
      <c r="F291" t="s">
        <v>2147</v>
      </c>
      <c r="G291" t="s">
        <v>2459</v>
      </c>
      <c r="H291" t="s">
        <v>267</v>
      </c>
      <c r="I291" t="s">
        <v>1181</v>
      </c>
      <c r="J291">
        <v>2023</v>
      </c>
      <c r="K291" t="s">
        <v>523</v>
      </c>
      <c r="L291">
        <v>45259</v>
      </c>
      <c r="N291" t="s">
        <v>134</v>
      </c>
      <c r="P291" t="s">
        <v>2460</v>
      </c>
    </row>
    <row r="292" spans="1:16" x14ac:dyDescent="0.2">
      <c r="A292" t="s">
        <v>2561</v>
      </c>
      <c r="B292" t="s">
        <v>2562</v>
      </c>
      <c r="C292" t="s">
        <v>128</v>
      </c>
      <c r="D292" t="s">
        <v>1344</v>
      </c>
      <c r="E292" t="s">
        <v>901</v>
      </c>
      <c r="G292" t="s">
        <v>2563</v>
      </c>
      <c r="H292" t="s">
        <v>326</v>
      </c>
      <c r="I292" t="s">
        <v>1181</v>
      </c>
      <c r="J292">
        <v>2024</v>
      </c>
      <c r="K292" t="s">
        <v>133</v>
      </c>
      <c r="L292">
        <v>45481</v>
      </c>
      <c r="N292" t="s">
        <v>134</v>
      </c>
      <c r="P292" t="s">
        <v>2564</v>
      </c>
    </row>
    <row r="293" spans="1:16" x14ac:dyDescent="0.2">
      <c r="A293" t="s">
        <v>2573</v>
      </c>
      <c r="B293" t="s">
        <v>2574</v>
      </c>
      <c r="C293" t="s">
        <v>128</v>
      </c>
      <c r="D293" t="s">
        <v>1344</v>
      </c>
      <c r="E293" t="s">
        <v>324</v>
      </c>
      <c r="F293" t="s">
        <v>2179</v>
      </c>
      <c r="G293" t="s">
        <v>1388</v>
      </c>
      <c r="H293" t="s">
        <v>326</v>
      </c>
      <c r="I293" t="s">
        <v>1181</v>
      </c>
      <c r="J293">
        <v>2024</v>
      </c>
      <c r="K293" t="s">
        <v>133</v>
      </c>
      <c r="L293">
        <v>45425</v>
      </c>
      <c r="N293" t="s">
        <v>134</v>
      </c>
      <c r="P293" t="s">
        <v>2575</v>
      </c>
    </row>
    <row r="294" spans="1:16" x14ac:dyDescent="0.2">
      <c r="A294" t="s">
        <v>2579</v>
      </c>
      <c r="B294" t="s">
        <v>2580</v>
      </c>
      <c r="C294" t="s">
        <v>128</v>
      </c>
      <c r="D294" t="s">
        <v>1344</v>
      </c>
      <c r="E294" t="s">
        <v>324</v>
      </c>
      <c r="F294" t="s">
        <v>2581</v>
      </c>
      <c r="H294" t="s">
        <v>326</v>
      </c>
      <c r="I294" t="s">
        <v>1181</v>
      </c>
      <c r="J294">
        <v>2024</v>
      </c>
      <c r="K294" t="s">
        <v>133</v>
      </c>
      <c r="L294">
        <v>45478</v>
      </c>
      <c r="N294" t="s">
        <v>134</v>
      </c>
      <c r="P294" t="s">
        <v>2582</v>
      </c>
    </row>
    <row r="295" spans="1:16" x14ac:dyDescent="0.2">
      <c r="A295" t="s">
        <v>2648</v>
      </c>
      <c r="B295" t="s">
        <v>2649</v>
      </c>
      <c r="C295" t="s">
        <v>128</v>
      </c>
      <c r="D295" t="s">
        <v>1344</v>
      </c>
      <c r="E295" t="s">
        <v>497</v>
      </c>
      <c r="F295" t="s">
        <v>2650</v>
      </c>
      <c r="G295" t="s">
        <v>816</v>
      </c>
      <c r="H295" t="s">
        <v>326</v>
      </c>
      <c r="I295" t="s">
        <v>1181</v>
      </c>
      <c r="J295">
        <v>2024</v>
      </c>
      <c r="K295" t="s">
        <v>351</v>
      </c>
      <c r="L295">
        <v>45550</v>
      </c>
      <c r="N295" t="s">
        <v>134</v>
      </c>
      <c r="P295" t="s">
        <v>2651</v>
      </c>
    </row>
    <row r="296" spans="1:16" x14ac:dyDescent="0.2">
      <c r="A296" t="s">
        <v>2698</v>
      </c>
      <c r="B296" t="s">
        <v>2699</v>
      </c>
      <c r="C296" t="s">
        <v>128</v>
      </c>
      <c r="D296" t="s">
        <v>1344</v>
      </c>
      <c r="E296" t="s">
        <v>324</v>
      </c>
      <c r="F296" t="s">
        <v>463</v>
      </c>
      <c r="H296" t="s">
        <v>326</v>
      </c>
      <c r="I296" t="s">
        <v>1181</v>
      </c>
      <c r="J296">
        <v>2024</v>
      </c>
      <c r="K296" t="s">
        <v>133</v>
      </c>
      <c r="L296">
        <v>45548</v>
      </c>
      <c r="N296" t="s">
        <v>134</v>
      </c>
      <c r="P296" t="s">
        <v>2700</v>
      </c>
    </row>
    <row r="297" spans="1:16" x14ac:dyDescent="0.2">
      <c r="A297" t="s">
        <v>1434</v>
      </c>
      <c r="B297" t="s">
        <v>1435</v>
      </c>
      <c r="C297" t="s">
        <v>128</v>
      </c>
      <c r="D297" t="s">
        <v>1436</v>
      </c>
      <c r="E297" t="s">
        <v>181</v>
      </c>
      <c r="F297" t="s">
        <v>1437</v>
      </c>
      <c r="G297" t="s">
        <v>1438</v>
      </c>
      <c r="H297" t="s">
        <v>472</v>
      </c>
      <c r="I297" t="s">
        <v>1181</v>
      </c>
      <c r="J297">
        <v>2020</v>
      </c>
      <c r="K297" t="s">
        <v>133</v>
      </c>
      <c r="L297">
        <v>44211</v>
      </c>
      <c r="N297" t="s">
        <v>134</v>
      </c>
      <c r="P297" t="s">
        <v>1439</v>
      </c>
    </row>
    <row r="298" spans="1:16" x14ac:dyDescent="0.2">
      <c r="A298" t="s">
        <v>602</v>
      </c>
      <c r="B298" t="s">
        <v>603</v>
      </c>
      <c r="C298" t="s">
        <v>128</v>
      </c>
      <c r="D298" t="s">
        <v>604</v>
      </c>
      <c r="E298" t="s">
        <v>324</v>
      </c>
      <c r="F298" t="s">
        <v>605</v>
      </c>
      <c r="H298" t="s">
        <v>606</v>
      </c>
      <c r="J298">
        <v>2017</v>
      </c>
      <c r="K298" t="s">
        <v>261</v>
      </c>
      <c r="L298">
        <v>43373</v>
      </c>
      <c r="N298" t="s">
        <v>134</v>
      </c>
      <c r="O298" t="s">
        <v>135</v>
      </c>
      <c r="P298" t="s">
        <v>607</v>
      </c>
    </row>
    <row r="299" spans="1:16" x14ac:dyDescent="0.2">
      <c r="A299" t="s">
        <v>900</v>
      </c>
      <c r="B299" t="s">
        <v>839</v>
      </c>
      <c r="C299" t="s">
        <v>128</v>
      </c>
      <c r="D299" t="s">
        <v>604</v>
      </c>
      <c r="E299" t="s">
        <v>901</v>
      </c>
      <c r="F299" t="s">
        <v>902</v>
      </c>
      <c r="G299" t="s">
        <v>902</v>
      </c>
      <c r="H299" t="s">
        <v>326</v>
      </c>
      <c r="J299">
        <v>2018</v>
      </c>
      <c r="K299" t="s">
        <v>261</v>
      </c>
      <c r="L299">
        <v>43539</v>
      </c>
      <c r="N299" t="s">
        <v>134</v>
      </c>
      <c r="O299" t="s">
        <v>135</v>
      </c>
      <c r="P299" t="s">
        <v>903</v>
      </c>
    </row>
    <row r="300" spans="1:16" x14ac:dyDescent="0.2">
      <c r="A300" t="s">
        <v>1265</v>
      </c>
      <c r="B300" t="s">
        <v>1266</v>
      </c>
      <c r="C300" t="s">
        <v>128</v>
      </c>
      <c r="D300" t="s">
        <v>604</v>
      </c>
      <c r="E300" t="s">
        <v>181</v>
      </c>
      <c r="F300" t="s">
        <v>1267</v>
      </c>
      <c r="G300" t="s">
        <v>1268</v>
      </c>
      <c r="H300" t="s">
        <v>392</v>
      </c>
      <c r="I300" t="s">
        <v>1181</v>
      </c>
      <c r="J300">
        <v>2019</v>
      </c>
      <c r="K300" t="s">
        <v>523</v>
      </c>
      <c r="N300" t="s">
        <v>134</v>
      </c>
      <c r="P300" t="s">
        <v>1269</v>
      </c>
    </row>
    <row r="301" spans="1:16" x14ac:dyDescent="0.2">
      <c r="A301" t="s">
        <v>1699</v>
      </c>
      <c r="B301" t="s">
        <v>1700</v>
      </c>
      <c r="C301" t="s">
        <v>128</v>
      </c>
      <c r="D301" t="s">
        <v>604</v>
      </c>
      <c r="E301" t="s">
        <v>181</v>
      </c>
      <c r="F301" t="s">
        <v>1701</v>
      </c>
      <c r="H301" t="s">
        <v>472</v>
      </c>
      <c r="I301" t="s">
        <v>1181</v>
      </c>
      <c r="J301">
        <v>2021</v>
      </c>
      <c r="K301" t="s">
        <v>133</v>
      </c>
      <c r="L301">
        <v>44540</v>
      </c>
      <c r="M301" t="s">
        <v>1702</v>
      </c>
      <c r="N301" t="s">
        <v>134</v>
      </c>
      <c r="P301" t="s">
        <v>1703</v>
      </c>
    </row>
    <row r="302" spans="1:16" x14ac:dyDescent="0.2">
      <c r="A302" t="s">
        <v>1807</v>
      </c>
      <c r="B302" t="s">
        <v>1808</v>
      </c>
      <c r="C302" t="s">
        <v>128</v>
      </c>
      <c r="D302" t="s">
        <v>604</v>
      </c>
      <c r="E302" t="s">
        <v>181</v>
      </c>
      <c r="F302" t="s">
        <v>1809</v>
      </c>
      <c r="H302" t="s">
        <v>472</v>
      </c>
      <c r="I302" t="s">
        <v>1181</v>
      </c>
      <c r="J302">
        <v>2021</v>
      </c>
      <c r="K302" t="s">
        <v>261</v>
      </c>
      <c r="L302">
        <v>44593</v>
      </c>
      <c r="N302" t="s">
        <v>134</v>
      </c>
      <c r="O302" t="s">
        <v>135</v>
      </c>
      <c r="P302" t="s">
        <v>1810</v>
      </c>
    </row>
    <row r="303" spans="1:16" x14ac:dyDescent="0.2">
      <c r="A303" t="s">
        <v>2050</v>
      </c>
      <c r="B303" t="s">
        <v>2051</v>
      </c>
      <c r="C303" t="s">
        <v>128</v>
      </c>
      <c r="D303" t="s">
        <v>2052</v>
      </c>
      <c r="E303" t="s">
        <v>181</v>
      </c>
      <c r="F303" t="s">
        <v>1953</v>
      </c>
      <c r="H303" t="s">
        <v>183</v>
      </c>
      <c r="I303" t="s">
        <v>1181</v>
      </c>
      <c r="J303">
        <v>2022</v>
      </c>
      <c r="K303" t="s">
        <v>133</v>
      </c>
      <c r="N303" t="s">
        <v>112</v>
      </c>
      <c r="P303" t="s">
        <v>2053</v>
      </c>
    </row>
    <row r="304" spans="1:16" x14ac:dyDescent="0.2">
      <c r="A304" t="s">
        <v>2050</v>
      </c>
      <c r="B304" t="s">
        <v>2054</v>
      </c>
      <c r="C304" t="s">
        <v>128</v>
      </c>
      <c r="D304" t="s">
        <v>2052</v>
      </c>
      <c r="E304" t="s">
        <v>181</v>
      </c>
      <c r="F304" t="s">
        <v>1953</v>
      </c>
      <c r="H304" t="s">
        <v>183</v>
      </c>
      <c r="I304" t="s">
        <v>1181</v>
      </c>
      <c r="J304">
        <v>2022</v>
      </c>
      <c r="K304" t="s">
        <v>133</v>
      </c>
      <c r="P304" t="s">
        <v>2053</v>
      </c>
    </row>
    <row r="305" spans="1:16" x14ac:dyDescent="0.2">
      <c r="A305" t="s">
        <v>2135</v>
      </c>
      <c r="B305" t="s">
        <v>2136</v>
      </c>
      <c r="C305" t="s">
        <v>128</v>
      </c>
      <c r="D305" t="s">
        <v>2137</v>
      </c>
      <c r="F305" t="s">
        <v>2075</v>
      </c>
      <c r="H305" t="s">
        <v>194</v>
      </c>
      <c r="I305" t="s">
        <v>1181</v>
      </c>
      <c r="J305">
        <v>2022</v>
      </c>
      <c r="K305" t="s">
        <v>221</v>
      </c>
      <c r="L305">
        <v>44941</v>
      </c>
      <c r="N305" t="s">
        <v>134</v>
      </c>
      <c r="O305" t="s">
        <v>135</v>
      </c>
      <c r="P305" t="s">
        <v>2138</v>
      </c>
    </row>
    <row r="306" spans="1:16" x14ac:dyDescent="0.2">
      <c r="A306" t="s">
        <v>2135</v>
      </c>
      <c r="B306" t="s">
        <v>2139</v>
      </c>
      <c r="C306" t="s">
        <v>128</v>
      </c>
      <c r="D306" t="s">
        <v>2137</v>
      </c>
      <c r="F306" t="s">
        <v>2075</v>
      </c>
      <c r="H306" t="s">
        <v>194</v>
      </c>
      <c r="I306" t="s">
        <v>1181</v>
      </c>
      <c r="J306">
        <v>2022</v>
      </c>
      <c r="K306" t="s">
        <v>221</v>
      </c>
      <c r="L306">
        <v>45092</v>
      </c>
      <c r="N306" t="s">
        <v>134</v>
      </c>
      <c r="O306" t="s">
        <v>135</v>
      </c>
      <c r="P306" t="s">
        <v>2138</v>
      </c>
    </row>
    <row r="307" spans="1:16" x14ac:dyDescent="0.2">
      <c r="A307" t="s">
        <v>2135</v>
      </c>
      <c r="B307" t="s">
        <v>2140</v>
      </c>
      <c r="C307" t="s">
        <v>128</v>
      </c>
      <c r="D307" t="s">
        <v>2137</v>
      </c>
      <c r="F307" t="s">
        <v>2075</v>
      </c>
      <c r="H307" t="s">
        <v>194</v>
      </c>
      <c r="I307" t="s">
        <v>1181</v>
      </c>
      <c r="J307">
        <v>2022</v>
      </c>
      <c r="K307" t="s">
        <v>221</v>
      </c>
      <c r="L307">
        <v>45107</v>
      </c>
      <c r="N307" t="s">
        <v>134</v>
      </c>
      <c r="O307" t="s">
        <v>135</v>
      </c>
      <c r="P307" t="s">
        <v>2138</v>
      </c>
    </row>
    <row r="308" spans="1:16" x14ac:dyDescent="0.2">
      <c r="A308" t="s">
        <v>2391</v>
      </c>
      <c r="C308" t="s">
        <v>128</v>
      </c>
      <c r="D308" t="s">
        <v>2227</v>
      </c>
      <c r="F308" t="s">
        <v>2392</v>
      </c>
      <c r="G308" t="s">
        <v>2393</v>
      </c>
      <c r="H308" t="s">
        <v>194</v>
      </c>
      <c r="I308" t="s">
        <v>1181</v>
      </c>
      <c r="J308">
        <v>2023</v>
      </c>
      <c r="K308" t="s">
        <v>523</v>
      </c>
      <c r="M308" t="s">
        <v>2394</v>
      </c>
      <c r="N308" t="s">
        <v>134</v>
      </c>
      <c r="P308" t="s">
        <v>2395</v>
      </c>
    </row>
    <row r="309" spans="1:16" x14ac:dyDescent="0.2">
      <c r="A309" t="s">
        <v>2391</v>
      </c>
      <c r="C309" t="s">
        <v>128</v>
      </c>
      <c r="D309" t="s">
        <v>2227</v>
      </c>
      <c r="F309" t="s">
        <v>2392</v>
      </c>
      <c r="G309" t="s">
        <v>2396</v>
      </c>
      <c r="H309" t="s">
        <v>194</v>
      </c>
      <c r="I309" t="s">
        <v>1181</v>
      </c>
      <c r="J309">
        <v>2023</v>
      </c>
      <c r="K309" t="s">
        <v>523</v>
      </c>
      <c r="M309" t="s">
        <v>2394</v>
      </c>
      <c r="N309" t="s">
        <v>134</v>
      </c>
      <c r="P309" t="s">
        <v>2395</v>
      </c>
    </row>
    <row r="310" spans="1:16" x14ac:dyDescent="0.2">
      <c r="A310" t="s">
        <v>2623</v>
      </c>
      <c r="B310" t="s">
        <v>2624</v>
      </c>
      <c r="C310" t="s">
        <v>112</v>
      </c>
      <c r="D310" t="s">
        <v>2227</v>
      </c>
      <c r="E310" t="s">
        <v>2625</v>
      </c>
      <c r="F310" t="s">
        <v>2626</v>
      </c>
      <c r="H310" t="s">
        <v>194</v>
      </c>
      <c r="I310" t="s">
        <v>1181</v>
      </c>
      <c r="J310">
        <v>2024</v>
      </c>
      <c r="K310" t="s">
        <v>523</v>
      </c>
      <c r="L310">
        <v>45458</v>
      </c>
      <c r="M310" t="s">
        <v>2394</v>
      </c>
      <c r="N310" t="s">
        <v>134</v>
      </c>
      <c r="P310" t="s">
        <v>3500</v>
      </c>
    </row>
    <row r="311" spans="1:16" x14ac:dyDescent="0.2">
      <c r="A311" t="s">
        <v>1902</v>
      </c>
      <c r="B311" t="s">
        <v>1903</v>
      </c>
      <c r="C311" t="s">
        <v>128</v>
      </c>
      <c r="D311" t="s">
        <v>1904</v>
      </c>
      <c r="F311" t="s">
        <v>1905</v>
      </c>
      <c r="G311" t="s">
        <v>1906</v>
      </c>
      <c r="H311" t="s">
        <v>194</v>
      </c>
      <c r="I311" t="s">
        <v>1181</v>
      </c>
      <c r="J311">
        <v>2021</v>
      </c>
      <c r="K311" t="s">
        <v>221</v>
      </c>
      <c r="L311">
        <v>44767</v>
      </c>
      <c r="N311" t="s">
        <v>134</v>
      </c>
      <c r="O311" t="s">
        <v>135</v>
      </c>
      <c r="P311" t="s">
        <v>1907</v>
      </c>
    </row>
    <row r="312" spans="1:16" x14ac:dyDescent="0.2">
      <c r="A312" t="s">
        <v>1902</v>
      </c>
      <c r="B312" t="s">
        <v>444</v>
      </c>
      <c r="C312" t="s">
        <v>128</v>
      </c>
      <c r="D312" t="s">
        <v>1904</v>
      </c>
      <c r="F312" t="s">
        <v>1905</v>
      </c>
      <c r="G312" t="s">
        <v>1908</v>
      </c>
      <c r="H312" t="s">
        <v>194</v>
      </c>
      <c r="I312" t="s">
        <v>1181</v>
      </c>
      <c r="J312">
        <v>2021</v>
      </c>
      <c r="K312" t="s">
        <v>221</v>
      </c>
      <c r="L312">
        <v>44767</v>
      </c>
      <c r="N312" t="s">
        <v>134</v>
      </c>
      <c r="O312" t="s">
        <v>135</v>
      </c>
      <c r="P312" t="s">
        <v>1907</v>
      </c>
    </row>
    <row r="313" spans="1:16" x14ac:dyDescent="0.2">
      <c r="A313" t="s">
        <v>205</v>
      </c>
      <c r="B313" t="s">
        <v>206</v>
      </c>
      <c r="C313" t="s">
        <v>128</v>
      </c>
      <c r="D313" t="s">
        <v>207</v>
      </c>
      <c r="F313" t="s">
        <v>208</v>
      </c>
      <c r="G313" t="s">
        <v>204</v>
      </c>
      <c r="H313" t="s">
        <v>146</v>
      </c>
      <c r="J313">
        <v>2016</v>
      </c>
      <c r="N313" t="s">
        <v>147</v>
      </c>
      <c r="O313" t="s">
        <v>135</v>
      </c>
      <c r="P313" t="s">
        <v>3501</v>
      </c>
    </row>
    <row r="314" spans="1:16" x14ac:dyDescent="0.2">
      <c r="A314" t="s">
        <v>450</v>
      </c>
      <c r="B314" t="s">
        <v>451</v>
      </c>
      <c r="C314" t="s">
        <v>128</v>
      </c>
      <c r="D314" t="s">
        <v>452</v>
      </c>
      <c r="F314" t="s">
        <v>453</v>
      </c>
      <c r="H314" t="s">
        <v>392</v>
      </c>
      <c r="J314">
        <v>2017</v>
      </c>
      <c r="K314" t="s">
        <v>221</v>
      </c>
      <c r="L314">
        <v>43190</v>
      </c>
      <c r="N314" t="s">
        <v>134</v>
      </c>
      <c r="O314" t="s">
        <v>135</v>
      </c>
      <c r="P314" t="s">
        <v>454</v>
      </c>
    </row>
    <row r="315" spans="1:16" x14ac:dyDescent="0.2">
      <c r="A315" t="s">
        <v>1361</v>
      </c>
      <c r="B315" t="s">
        <v>1362</v>
      </c>
      <c r="C315" t="s">
        <v>128</v>
      </c>
      <c r="D315" t="s">
        <v>452</v>
      </c>
      <c r="F315" t="s">
        <v>453</v>
      </c>
      <c r="G315" t="s">
        <v>1363</v>
      </c>
      <c r="H315" t="s">
        <v>392</v>
      </c>
      <c r="I315" t="s">
        <v>1181</v>
      </c>
      <c r="J315">
        <v>2020</v>
      </c>
      <c r="K315" t="s">
        <v>1346</v>
      </c>
      <c r="L315">
        <v>43973</v>
      </c>
      <c r="N315" t="s">
        <v>140</v>
      </c>
      <c r="O315" t="s">
        <v>135</v>
      </c>
      <c r="P315" t="s">
        <v>1364</v>
      </c>
    </row>
    <row r="316" spans="1:16" x14ac:dyDescent="0.2">
      <c r="A316" t="s">
        <v>554</v>
      </c>
      <c r="B316" t="s">
        <v>555</v>
      </c>
      <c r="C316" t="s">
        <v>128</v>
      </c>
      <c r="D316" t="s">
        <v>556</v>
      </c>
      <c r="E316" t="s">
        <v>307</v>
      </c>
      <c r="F316" t="s">
        <v>557</v>
      </c>
      <c r="H316" t="s">
        <v>199</v>
      </c>
      <c r="J316">
        <v>2017</v>
      </c>
      <c r="K316" t="s">
        <v>277</v>
      </c>
      <c r="L316">
        <v>43159</v>
      </c>
      <c r="N316" t="s">
        <v>134</v>
      </c>
      <c r="O316" t="s">
        <v>135</v>
      </c>
      <c r="P316" t="s">
        <v>558</v>
      </c>
    </row>
    <row r="317" spans="1:16" x14ac:dyDescent="0.2">
      <c r="A317" t="s">
        <v>554</v>
      </c>
      <c r="B317" t="s">
        <v>559</v>
      </c>
      <c r="C317" t="s">
        <v>128</v>
      </c>
      <c r="D317" t="s">
        <v>556</v>
      </c>
      <c r="E317" t="s">
        <v>307</v>
      </c>
      <c r="F317" t="s">
        <v>557</v>
      </c>
      <c r="G317" t="s">
        <v>560</v>
      </c>
      <c r="H317" t="s">
        <v>199</v>
      </c>
      <c r="J317">
        <v>2017</v>
      </c>
      <c r="K317" t="s">
        <v>221</v>
      </c>
      <c r="L317">
        <v>43159</v>
      </c>
      <c r="N317" t="s">
        <v>134</v>
      </c>
      <c r="O317" t="s">
        <v>135</v>
      </c>
      <c r="P317" t="s">
        <v>558</v>
      </c>
    </row>
    <row r="318" spans="1:16" x14ac:dyDescent="0.2">
      <c r="A318" t="s">
        <v>554</v>
      </c>
      <c r="B318" t="s">
        <v>561</v>
      </c>
      <c r="C318" t="s">
        <v>128</v>
      </c>
      <c r="D318" t="s">
        <v>556</v>
      </c>
      <c r="E318" t="s">
        <v>307</v>
      </c>
      <c r="F318" t="s">
        <v>557</v>
      </c>
      <c r="G318" t="s">
        <v>562</v>
      </c>
      <c r="H318" t="s">
        <v>199</v>
      </c>
      <c r="J318">
        <v>2018</v>
      </c>
      <c r="K318" t="s">
        <v>277</v>
      </c>
      <c r="L318">
        <v>43294</v>
      </c>
      <c r="N318" t="s">
        <v>140</v>
      </c>
      <c r="O318" t="s">
        <v>135</v>
      </c>
      <c r="P318" t="s">
        <v>563</v>
      </c>
    </row>
    <row r="319" spans="1:16" x14ac:dyDescent="0.2">
      <c r="A319" t="s">
        <v>148</v>
      </c>
      <c r="B319" t="s">
        <v>149</v>
      </c>
      <c r="C319" t="s">
        <v>128</v>
      </c>
      <c r="D319" t="s">
        <v>150</v>
      </c>
      <c r="F319" t="s">
        <v>151</v>
      </c>
      <c r="H319" t="s">
        <v>152</v>
      </c>
      <c r="J319">
        <v>2016</v>
      </c>
      <c r="N319" t="s">
        <v>147</v>
      </c>
      <c r="O319" t="s">
        <v>135</v>
      </c>
      <c r="P319" t="s">
        <v>1375</v>
      </c>
    </row>
    <row r="320" spans="1:16" x14ac:dyDescent="0.2">
      <c r="A320" t="s">
        <v>153</v>
      </c>
      <c r="B320" t="s">
        <v>154</v>
      </c>
      <c r="C320" t="s">
        <v>128</v>
      </c>
      <c r="D320" t="s">
        <v>150</v>
      </c>
      <c r="F320" t="s">
        <v>155</v>
      </c>
      <c r="H320" t="s">
        <v>156</v>
      </c>
      <c r="J320">
        <v>2016</v>
      </c>
      <c r="N320" t="s">
        <v>147</v>
      </c>
      <c r="O320" t="s">
        <v>135</v>
      </c>
      <c r="P320" t="s">
        <v>157</v>
      </c>
    </row>
    <row r="321" spans="1:16" x14ac:dyDescent="0.2">
      <c r="A321" t="s">
        <v>201</v>
      </c>
      <c r="B321" t="s">
        <v>202</v>
      </c>
      <c r="C321" t="s">
        <v>128</v>
      </c>
      <c r="D321" t="s">
        <v>150</v>
      </c>
      <c r="F321" t="s">
        <v>203</v>
      </c>
      <c r="G321" t="s">
        <v>204</v>
      </c>
      <c r="H321" t="s">
        <v>152</v>
      </c>
      <c r="J321">
        <v>2016</v>
      </c>
      <c r="N321" t="s">
        <v>147</v>
      </c>
      <c r="O321" t="s">
        <v>135</v>
      </c>
      <c r="P321" t="s">
        <v>3502</v>
      </c>
    </row>
    <row r="322" spans="1:16" x14ac:dyDescent="0.2">
      <c r="A322" t="s">
        <v>259</v>
      </c>
      <c r="B322" t="s">
        <v>260</v>
      </c>
      <c r="C322" t="s">
        <v>128</v>
      </c>
      <c r="D322" t="s">
        <v>150</v>
      </c>
      <c r="E322" t="s">
        <v>246</v>
      </c>
      <c r="F322" t="s">
        <v>247</v>
      </c>
      <c r="H322" t="s">
        <v>248</v>
      </c>
      <c r="J322">
        <v>2016</v>
      </c>
      <c r="K322" t="s">
        <v>261</v>
      </c>
      <c r="L322" t="s">
        <v>262</v>
      </c>
      <c r="M322" t="s">
        <v>263</v>
      </c>
      <c r="N322" t="s">
        <v>134</v>
      </c>
      <c r="O322" t="s">
        <v>135</v>
      </c>
      <c r="P322" t="s">
        <v>3503</v>
      </c>
    </row>
    <row r="323" spans="1:16" x14ac:dyDescent="0.2">
      <c r="A323" t="s">
        <v>264</v>
      </c>
      <c r="B323" t="s">
        <v>265</v>
      </c>
      <c r="C323" t="s">
        <v>128</v>
      </c>
      <c r="D323" t="s">
        <v>150</v>
      </c>
      <c r="E323" t="s">
        <v>181</v>
      </c>
      <c r="F323" t="s">
        <v>266</v>
      </c>
      <c r="H323" t="s">
        <v>267</v>
      </c>
      <c r="J323">
        <v>2016</v>
      </c>
      <c r="K323" t="s">
        <v>268</v>
      </c>
      <c r="L323">
        <v>43136</v>
      </c>
      <c r="N323" t="s">
        <v>134</v>
      </c>
      <c r="O323" t="s">
        <v>135</v>
      </c>
      <c r="P323" t="s">
        <v>3504</v>
      </c>
    </row>
    <row r="324" spans="1:16" x14ac:dyDescent="0.2">
      <c r="A324" t="s">
        <v>269</v>
      </c>
      <c r="C324" t="s">
        <v>128</v>
      </c>
      <c r="D324" t="s">
        <v>150</v>
      </c>
      <c r="E324" t="s">
        <v>155</v>
      </c>
      <c r="F324" t="s">
        <v>270</v>
      </c>
      <c r="H324" t="s">
        <v>156</v>
      </c>
      <c r="J324">
        <v>2016</v>
      </c>
      <c r="O324" t="s">
        <v>255</v>
      </c>
      <c r="P324" t="s">
        <v>3505</v>
      </c>
    </row>
    <row r="325" spans="1:16" x14ac:dyDescent="0.2">
      <c r="A325" t="s">
        <v>402</v>
      </c>
      <c r="B325" t="s">
        <v>403</v>
      </c>
      <c r="C325" t="s">
        <v>128</v>
      </c>
      <c r="D325" t="s">
        <v>150</v>
      </c>
      <c r="F325" t="s">
        <v>404</v>
      </c>
      <c r="H325" t="s">
        <v>309</v>
      </c>
      <c r="J325">
        <v>2017</v>
      </c>
      <c r="K325" t="s">
        <v>261</v>
      </c>
      <c r="L325">
        <v>43281</v>
      </c>
      <c r="N325" t="s">
        <v>134</v>
      </c>
      <c r="O325" t="s">
        <v>135</v>
      </c>
      <c r="P325" t="s">
        <v>405</v>
      </c>
    </row>
    <row r="326" spans="1:16" x14ac:dyDescent="0.2">
      <c r="A326" t="s">
        <v>489</v>
      </c>
      <c r="B326" t="s">
        <v>490</v>
      </c>
      <c r="C326" t="s">
        <v>128</v>
      </c>
      <c r="D326" t="s">
        <v>150</v>
      </c>
      <c r="F326" t="s">
        <v>491</v>
      </c>
      <c r="J326">
        <v>2017</v>
      </c>
      <c r="K326" t="s">
        <v>492</v>
      </c>
      <c r="L326">
        <v>43035</v>
      </c>
      <c r="N326" t="s">
        <v>134</v>
      </c>
      <c r="O326" t="s">
        <v>135</v>
      </c>
      <c r="P326" t="s">
        <v>493</v>
      </c>
    </row>
    <row r="327" spans="1:16" x14ac:dyDescent="0.2">
      <c r="A327" t="s">
        <v>585</v>
      </c>
      <c r="B327" t="s">
        <v>586</v>
      </c>
      <c r="C327" t="s">
        <v>128</v>
      </c>
      <c r="D327" t="s">
        <v>150</v>
      </c>
      <c r="F327" t="s">
        <v>587</v>
      </c>
      <c r="H327" t="s">
        <v>477</v>
      </c>
      <c r="J327">
        <v>2017</v>
      </c>
      <c r="K327" t="s">
        <v>133</v>
      </c>
      <c r="L327">
        <v>43160</v>
      </c>
      <c r="N327" t="s">
        <v>134</v>
      </c>
      <c r="O327" t="s">
        <v>135</v>
      </c>
      <c r="P327" t="s">
        <v>588</v>
      </c>
    </row>
    <row r="328" spans="1:16" x14ac:dyDescent="0.2">
      <c r="A328" t="s">
        <v>658</v>
      </c>
      <c r="B328" t="s">
        <v>659</v>
      </c>
      <c r="C328" t="s">
        <v>128</v>
      </c>
      <c r="D328" t="s">
        <v>150</v>
      </c>
      <c r="E328" t="s">
        <v>660</v>
      </c>
      <c r="G328" t="s">
        <v>661</v>
      </c>
      <c r="H328" t="s">
        <v>177</v>
      </c>
      <c r="J328">
        <v>2018</v>
      </c>
      <c r="K328" t="s">
        <v>351</v>
      </c>
      <c r="L328">
        <v>43131</v>
      </c>
      <c r="N328" t="s">
        <v>140</v>
      </c>
      <c r="O328" t="s">
        <v>135</v>
      </c>
      <c r="P328" t="s">
        <v>662</v>
      </c>
    </row>
    <row r="329" spans="1:16" x14ac:dyDescent="0.2">
      <c r="A329" t="s">
        <v>807</v>
      </c>
      <c r="B329" t="s">
        <v>808</v>
      </c>
      <c r="C329" t="s">
        <v>128</v>
      </c>
      <c r="D329" t="s">
        <v>150</v>
      </c>
      <c r="E329" t="s">
        <v>613</v>
      </c>
      <c r="F329" t="s">
        <v>809</v>
      </c>
      <c r="H329" t="s">
        <v>421</v>
      </c>
      <c r="J329">
        <v>2018</v>
      </c>
      <c r="K329" t="s">
        <v>261</v>
      </c>
      <c r="L329">
        <v>43570</v>
      </c>
      <c r="N329" t="s">
        <v>134</v>
      </c>
      <c r="O329" t="s">
        <v>135</v>
      </c>
      <c r="P329" t="s">
        <v>810</v>
      </c>
    </row>
    <row r="330" spans="1:16" x14ac:dyDescent="0.2">
      <c r="A330" t="s">
        <v>860</v>
      </c>
      <c r="B330" t="s">
        <v>861</v>
      </c>
      <c r="C330" t="s">
        <v>128</v>
      </c>
      <c r="D330" t="s">
        <v>150</v>
      </c>
      <c r="E330" t="s">
        <v>862</v>
      </c>
      <c r="F330" t="s">
        <v>863</v>
      </c>
      <c r="H330" t="s">
        <v>177</v>
      </c>
      <c r="J330">
        <v>2018</v>
      </c>
      <c r="K330" t="s">
        <v>221</v>
      </c>
      <c r="L330">
        <v>43524</v>
      </c>
      <c r="N330" t="s">
        <v>134</v>
      </c>
      <c r="O330" t="s">
        <v>135</v>
      </c>
      <c r="P330" t="s">
        <v>864</v>
      </c>
    </row>
    <row r="331" spans="1:16" x14ac:dyDescent="0.2">
      <c r="A331" t="s">
        <v>911</v>
      </c>
      <c r="B331" t="s">
        <v>912</v>
      </c>
      <c r="C331" t="s">
        <v>128</v>
      </c>
      <c r="D331" t="s">
        <v>150</v>
      </c>
      <c r="F331" t="s">
        <v>913</v>
      </c>
      <c r="G331" t="s">
        <v>914</v>
      </c>
      <c r="H331" t="s">
        <v>309</v>
      </c>
      <c r="J331">
        <v>2018</v>
      </c>
      <c r="K331" t="s">
        <v>221</v>
      </c>
      <c r="L331">
        <v>43524</v>
      </c>
      <c r="N331" t="s">
        <v>134</v>
      </c>
      <c r="O331" t="s">
        <v>135</v>
      </c>
      <c r="P331" t="s">
        <v>915</v>
      </c>
    </row>
    <row r="332" spans="1:16" x14ac:dyDescent="0.2">
      <c r="A332" t="s">
        <v>911</v>
      </c>
      <c r="B332" t="s">
        <v>916</v>
      </c>
      <c r="C332" t="s">
        <v>128</v>
      </c>
      <c r="D332" t="s">
        <v>150</v>
      </c>
      <c r="F332" t="s">
        <v>917</v>
      </c>
      <c r="G332" t="s">
        <v>918</v>
      </c>
      <c r="H332" t="s">
        <v>309</v>
      </c>
      <c r="J332">
        <v>2018</v>
      </c>
      <c r="K332" t="s">
        <v>221</v>
      </c>
      <c r="L332">
        <v>43524</v>
      </c>
      <c r="N332" t="s">
        <v>134</v>
      </c>
      <c r="O332" t="s">
        <v>135</v>
      </c>
      <c r="P332" t="s">
        <v>919</v>
      </c>
    </row>
    <row r="333" spans="1:16" x14ac:dyDescent="0.2">
      <c r="A333" t="s">
        <v>1038</v>
      </c>
      <c r="B333" t="s">
        <v>1039</v>
      </c>
      <c r="C333" t="s">
        <v>128</v>
      </c>
      <c r="D333" t="s">
        <v>150</v>
      </c>
      <c r="F333" t="s">
        <v>1040</v>
      </c>
      <c r="H333" t="s">
        <v>309</v>
      </c>
      <c r="J333">
        <v>2019</v>
      </c>
      <c r="K333" t="s">
        <v>261</v>
      </c>
      <c r="L333">
        <v>43656</v>
      </c>
      <c r="N333" t="s">
        <v>134</v>
      </c>
      <c r="O333" t="s">
        <v>135</v>
      </c>
      <c r="P333" t="s">
        <v>1041</v>
      </c>
    </row>
    <row r="334" spans="1:16" x14ac:dyDescent="0.2">
      <c r="A334" t="s">
        <v>1038</v>
      </c>
      <c r="B334" t="s">
        <v>1042</v>
      </c>
      <c r="C334" t="s">
        <v>128</v>
      </c>
      <c r="D334" t="s">
        <v>150</v>
      </c>
      <c r="F334" t="s">
        <v>1040</v>
      </c>
      <c r="G334" t="s">
        <v>1043</v>
      </c>
      <c r="H334" t="s">
        <v>309</v>
      </c>
      <c r="J334">
        <v>2019</v>
      </c>
      <c r="K334" t="s">
        <v>261</v>
      </c>
      <c r="L334">
        <v>43656</v>
      </c>
      <c r="M334" t="s">
        <v>1044</v>
      </c>
      <c r="N334" t="s">
        <v>140</v>
      </c>
      <c r="O334" t="s">
        <v>135</v>
      </c>
      <c r="P334" t="s">
        <v>1041</v>
      </c>
    </row>
    <row r="335" spans="1:16" x14ac:dyDescent="0.2">
      <c r="A335" t="s">
        <v>1200</v>
      </c>
      <c r="B335" t="s">
        <v>1201</v>
      </c>
      <c r="C335" t="s">
        <v>128</v>
      </c>
      <c r="D335" t="s">
        <v>150</v>
      </c>
      <c r="F335" t="s">
        <v>1202</v>
      </c>
      <c r="H335" t="s">
        <v>309</v>
      </c>
      <c r="I335" t="s">
        <v>1181</v>
      </c>
      <c r="J335">
        <v>2019</v>
      </c>
      <c r="K335" t="s">
        <v>1203</v>
      </c>
      <c r="L335">
        <v>43878</v>
      </c>
      <c r="N335" t="s">
        <v>134</v>
      </c>
      <c r="O335" t="s">
        <v>135</v>
      </c>
      <c r="P335" t="s">
        <v>1204</v>
      </c>
    </row>
    <row r="336" spans="1:16" x14ac:dyDescent="0.2">
      <c r="A336" t="s">
        <v>1220</v>
      </c>
      <c r="B336" t="s">
        <v>1221</v>
      </c>
      <c r="C336" t="s">
        <v>128</v>
      </c>
      <c r="D336" t="s">
        <v>150</v>
      </c>
      <c r="F336" t="s">
        <v>1222</v>
      </c>
      <c r="H336" t="s">
        <v>442</v>
      </c>
      <c r="I336" t="s">
        <v>1181</v>
      </c>
      <c r="J336">
        <v>2019</v>
      </c>
      <c r="K336" t="s">
        <v>261</v>
      </c>
      <c r="L336">
        <v>43921</v>
      </c>
      <c r="N336" t="s">
        <v>134</v>
      </c>
      <c r="O336" t="s">
        <v>135</v>
      </c>
      <c r="P336" t="s">
        <v>1223</v>
      </c>
    </row>
    <row r="337" spans="1:16" x14ac:dyDescent="0.2">
      <c r="A337" t="s">
        <v>1220</v>
      </c>
      <c r="B337" t="s">
        <v>1224</v>
      </c>
      <c r="C337" t="s">
        <v>128</v>
      </c>
      <c r="D337" t="s">
        <v>150</v>
      </c>
      <c r="F337" t="s">
        <v>1222</v>
      </c>
      <c r="G337" t="s">
        <v>1225</v>
      </c>
      <c r="H337" t="s">
        <v>442</v>
      </c>
      <c r="I337" t="s">
        <v>1181</v>
      </c>
      <c r="J337">
        <v>2019</v>
      </c>
      <c r="K337" t="s">
        <v>261</v>
      </c>
      <c r="L337">
        <v>43921</v>
      </c>
      <c r="N337" t="s">
        <v>134</v>
      </c>
      <c r="O337" t="s">
        <v>135</v>
      </c>
      <c r="P337" t="s">
        <v>1223</v>
      </c>
    </row>
    <row r="338" spans="1:16" x14ac:dyDescent="0.2">
      <c r="A338" t="s">
        <v>1220</v>
      </c>
      <c r="B338" t="s">
        <v>1226</v>
      </c>
      <c r="C338" t="s">
        <v>128</v>
      </c>
      <c r="D338" t="s">
        <v>150</v>
      </c>
      <c r="F338" t="s">
        <v>1222</v>
      </c>
      <c r="G338" t="s">
        <v>1227</v>
      </c>
      <c r="H338" t="s">
        <v>442</v>
      </c>
      <c r="I338" t="s">
        <v>1181</v>
      </c>
      <c r="J338">
        <v>2019</v>
      </c>
      <c r="K338" t="s">
        <v>261</v>
      </c>
      <c r="L338">
        <v>43921</v>
      </c>
      <c r="N338" t="s">
        <v>134</v>
      </c>
      <c r="O338" t="s">
        <v>135</v>
      </c>
      <c r="P338" t="s">
        <v>1223</v>
      </c>
    </row>
    <row r="339" spans="1:16" x14ac:dyDescent="0.2">
      <c r="A339" t="s">
        <v>1292</v>
      </c>
      <c r="B339" t="s">
        <v>1293</v>
      </c>
      <c r="C339" t="s">
        <v>128</v>
      </c>
      <c r="D339" t="s">
        <v>150</v>
      </c>
      <c r="F339" t="s">
        <v>1294</v>
      </c>
      <c r="H339" t="s">
        <v>1238</v>
      </c>
      <c r="I339" t="s">
        <v>1181</v>
      </c>
      <c r="J339">
        <v>2020</v>
      </c>
      <c r="K339" t="s">
        <v>261</v>
      </c>
      <c r="L339">
        <v>43941</v>
      </c>
      <c r="N339" t="s">
        <v>134</v>
      </c>
      <c r="O339" t="s">
        <v>135</v>
      </c>
      <c r="P339" t="s">
        <v>1295</v>
      </c>
    </row>
    <row r="340" spans="1:16" x14ac:dyDescent="0.2">
      <c r="A340" t="s">
        <v>1454</v>
      </c>
      <c r="B340" t="s">
        <v>1455</v>
      </c>
      <c r="C340" t="s">
        <v>128</v>
      </c>
      <c r="D340" t="s">
        <v>150</v>
      </c>
      <c r="F340" t="s">
        <v>1456</v>
      </c>
      <c r="H340" t="s">
        <v>392</v>
      </c>
      <c r="I340" t="s">
        <v>1181</v>
      </c>
      <c r="J340">
        <v>2020</v>
      </c>
      <c r="K340" t="s">
        <v>261</v>
      </c>
      <c r="L340">
        <v>44258</v>
      </c>
      <c r="N340" t="s">
        <v>134</v>
      </c>
      <c r="O340" t="s">
        <v>135</v>
      </c>
      <c r="P340" t="s">
        <v>1457</v>
      </c>
    </row>
    <row r="341" spans="1:16" x14ac:dyDescent="0.2">
      <c r="A341" t="s">
        <v>1470</v>
      </c>
      <c r="B341" t="s">
        <v>1471</v>
      </c>
      <c r="C341" t="s">
        <v>128</v>
      </c>
      <c r="D341" t="s">
        <v>150</v>
      </c>
      <c r="E341" t="s">
        <v>1472</v>
      </c>
      <c r="F341" t="s">
        <v>1473</v>
      </c>
      <c r="H341" t="s">
        <v>146</v>
      </c>
      <c r="I341" t="s">
        <v>1181</v>
      </c>
      <c r="J341">
        <v>2020</v>
      </c>
      <c r="K341" t="s">
        <v>221</v>
      </c>
      <c r="L341">
        <v>44176</v>
      </c>
      <c r="N341" t="s">
        <v>134</v>
      </c>
      <c r="O341" t="s">
        <v>135</v>
      </c>
      <c r="P341" t="s">
        <v>1474</v>
      </c>
    </row>
    <row r="342" spans="1:16" x14ac:dyDescent="0.2">
      <c r="A342" t="s">
        <v>1534</v>
      </c>
      <c r="B342" t="s">
        <v>1535</v>
      </c>
      <c r="C342" t="s">
        <v>128</v>
      </c>
      <c r="D342" t="s">
        <v>150</v>
      </c>
      <c r="F342" t="s">
        <v>1536</v>
      </c>
      <c r="H342" t="s">
        <v>442</v>
      </c>
      <c r="I342" t="s">
        <v>1181</v>
      </c>
      <c r="J342">
        <v>2020</v>
      </c>
      <c r="K342" t="s">
        <v>261</v>
      </c>
      <c r="L342">
        <v>44277</v>
      </c>
      <c r="N342" t="s">
        <v>134</v>
      </c>
      <c r="O342" t="s">
        <v>135</v>
      </c>
      <c r="P342" t="s">
        <v>1537</v>
      </c>
    </row>
    <row r="343" spans="1:16" x14ac:dyDescent="0.2">
      <c r="A343" t="s">
        <v>1628</v>
      </c>
      <c r="B343" t="s">
        <v>1629</v>
      </c>
      <c r="C343" t="s">
        <v>128</v>
      </c>
      <c r="D343" t="s">
        <v>150</v>
      </c>
      <c r="F343" t="s">
        <v>1630</v>
      </c>
      <c r="H343" t="s">
        <v>1631</v>
      </c>
      <c r="I343" t="s">
        <v>1181</v>
      </c>
      <c r="J343">
        <v>2021</v>
      </c>
      <c r="K343" t="s">
        <v>221</v>
      </c>
      <c r="L343">
        <v>44316</v>
      </c>
      <c r="N343" t="s">
        <v>134</v>
      </c>
      <c r="O343" t="s">
        <v>135</v>
      </c>
      <c r="P343" t="s">
        <v>1632</v>
      </c>
    </row>
    <row r="344" spans="1:16" x14ac:dyDescent="0.2">
      <c r="A344" t="s">
        <v>1633</v>
      </c>
      <c r="B344" t="s">
        <v>1634</v>
      </c>
      <c r="C344" t="s">
        <v>128</v>
      </c>
      <c r="D344" t="s">
        <v>150</v>
      </c>
      <c r="F344" t="s">
        <v>1635</v>
      </c>
      <c r="H344" t="s">
        <v>442</v>
      </c>
      <c r="I344" t="s">
        <v>1181</v>
      </c>
      <c r="J344">
        <v>2021</v>
      </c>
      <c r="K344" t="s">
        <v>133</v>
      </c>
      <c r="L344">
        <v>44347</v>
      </c>
      <c r="N344" t="s">
        <v>134</v>
      </c>
      <c r="P344" t="s">
        <v>1636</v>
      </c>
    </row>
    <row r="345" spans="1:16" x14ac:dyDescent="0.2">
      <c r="A345" t="s">
        <v>1637</v>
      </c>
      <c r="B345" t="s">
        <v>1638</v>
      </c>
      <c r="C345" t="s">
        <v>128</v>
      </c>
      <c r="D345" t="s">
        <v>150</v>
      </c>
      <c r="F345" t="s">
        <v>1639</v>
      </c>
      <c r="H345" t="s">
        <v>392</v>
      </c>
      <c r="I345" t="s">
        <v>1181</v>
      </c>
      <c r="J345">
        <v>2021</v>
      </c>
      <c r="K345" t="s">
        <v>221</v>
      </c>
      <c r="L345">
        <v>44392</v>
      </c>
      <c r="N345" t="s">
        <v>134</v>
      </c>
      <c r="O345" t="s">
        <v>135</v>
      </c>
      <c r="P345" t="s">
        <v>1640</v>
      </c>
    </row>
    <row r="346" spans="1:16" x14ac:dyDescent="0.2">
      <c r="A346" t="s">
        <v>1661</v>
      </c>
      <c r="B346" t="s">
        <v>1662</v>
      </c>
      <c r="C346" t="s">
        <v>128</v>
      </c>
      <c r="D346" t="s">
        <v>150</v>
      </c>
      <c r="F346" t="s">
        <v>1663</v>
      </c>
      <c r="H346" t="s">
        <v>442</v>
      </c>
      <c r="I346" t="s">
        <v>1181</v>
      </c>
      <c r="J346">
        <v>2021</v>
      </c>
      <c r="K346" t="s">
        <v>133</v>
      </c>
      <c r="L346" t="s">
        <v>1664</v>
      </c>
      <c r="N346" t="s">
        <v>134</v>
      </c>
      <c r="P346" t="s">
        <v>1665</v>
      </c>
    </row>
    <row r="347" spans="1:16" x14ac:dyDescent="0.2">
      <c r="A347" t="s">
        <v>1694</v>
      </c>
      <c r="B347" t="s">
        <v>1695</v>
      </c>
      <c r="C347" t="s">
        <v>128</v>
      </c>
      <c r="D347" t="s">
        <v>150</v>
      </c>
      <c r="E347" t="s">
        <v>762</v>
      </c>
      <c r="F347" t="s">
        <v>762</v>
      </c>
      <c r="H347" t="s">
        <v>183</v>
      </c>
      <c r="I347" t="s">
        <v>1181</v>
      </c>
      <c r="J347">
        <v>2021</v>
      </c>
      <c r="K347" t="s">
        <v>523</v>
      </c>
      <c r="L347">
        <v>44449</v>
      </c>
      <c r="N347" t="s">
        <v>134</v>
      </c>
      <c r="P347" t="s">
        <v>1696</v>
      </c>
    </row>
    <row r="348" spans="1:16" x14ac:dyDescent="0.2">
      <c r="A348" t="s">
        <v>1694</v>
      </c>
      <c r="B348" t="s">
        <v>1697</v>
      </c>
      <c r="C348" t="s">
        <v>128</v>
      </c>
      <c r="D348" t="s">
        <v>150</v>
      </c>
      <c r="E348" t="s">
        <v>762</v>
      </c>
      <c r="F348" t="s">
        <v>762</v>
      </c>
      <c r="G348" t="s">
        <v>1698</v>
      </c>
      <c r="H348" t="s">
        <v>183</v>
      </c>
      <c r="I348" t="s">
        <v>1181</v>
      </c>
      <c r="J348">
        <v>2021</v>
      </c>
      <c r="K348" t="s">
        <v>523</v>
      </c>
      <c r="L348">
        <v>44449</v>
      </c>
      <c r="N348" t="s">
        <v>134</v>
      </c>
      <c r="P348" t="s">
        <v>1696</v>
      </c>
    </row>
    <row r="349" spans="1:16" x14ac:dyDescent="0.2">
      <c r="A349" t="s">
        <v>1741</v>
      </c>
      <c r="B349" t="s">
        <v>1742</v>
      </c>
      <c r="C349" t="s">
        <v>128</v>
      </c>
      <c r="D349" t="s">
        <v>150</v>
      </c>
      <c r="F349" t="s">
        <v>1743</v>
      </c>
      <c r="H349" t="s">
        <v>309</v>
      </c>
      <c r="I349" t="s">
        <v>1181</v>
      </c>
      <c r="J349">
        <v>2021</v>
      </c>
      <c r="K349" t="s">
        <v>261</v>
      </c>
      <c r="L349">
        <v>44403</v>
      </c>
      <c r="N349" t="s">
        <v>134</v>
      </c>
      <c r="O349" t="s">
        <v>135</v>
      </c>
      <c r="P349" t="s">
        <v>1744</v>
      </c>
    </row>
    <row r="350" spans="1:16" x14ac:dyDescent="0.2">
      <c r="A350" t="s">
        <v>1794</v>
      </c>
      <c r="B350" t="s">
        <v>1795</v>
      </c>
      <c r="C350" t="s">
        <v>128</v>
      </c>
      <c r="D350" t="s">
        <v>150</v>
      </c>
      <c r="F350" t="s">
        <v>1796</v>
      </c>
      <c r="H350" t="s">
        <v>1122</v>
      </c>
      <c r="I350" t="s">
        <v>1181</v>
      </c>
      <c r="J350">
        <v>2021</v>
      </c>
      <c r="K350" t="s">
        <v>133</v>
      </c>
      <c r="L350">
        <v>44510</v>
      </c>
      <c r="N350" t="s">
        <v>134</v>
      </c>
      <c r="P350" t="s">
        <v>1797</v>
      </c>
    </row>
    <row r="351" spans="1:16" x14ac:dyDescent="0.2">
      <c r="A351" t="s">
        <v>1868</v>
      </c>
      <c r="B351" t="s">
        <v>1869</v>
      </c>
      <c r="C351" t="s">
        <v>128</v>
      </c>
      <c r="D351" t="s">
        <v>150</v>
      </c>
      <c r="F351" t="s">
        <v>1800</v>
      </c>
      <c r="H351" t="s">
        <v>194</v>
      </c>
      <c r="I351" t="s">
        <v>1181</v>
      </c>
      <c r="J351">
        <v>2021</v>
      </c>
      <c r="K351" t="s">
        <v>261</v>
      </c>
      <c r="L351">
        <v>44683</v>
      </c>
      <c r="N351" t="s">
        <v>134</v>
      </c>
      <c r="O351" t="s">
        <v>135</v>
      </c>
      <c r="P351" t="s">
        <v>1870</v>
      </c>
    </row>
    <row r="352" spans="1:16" x14ac:dyDescent="0.2">
      <c r="A352" t="s">
        <v>1914</v>
      </c>
      <c r="B352" t="s">
        <v>1915</v>
      </c>
      <c r="C352" t="s">
        <v>128</v>
      </c>
      <c r="D352" t="s">
        <v>150</v>
      </c>
      <c r="E352" t="s">
        <v>1916</v>
      </c>
      <c r="F352" t="s">
        <v>1917</v>
      </c>
      <c r="H352" t="s">
        <v>146</v>
      </c>
      <c r="I352" t="s">
        <v>1181</v>
      </c>
      <c r="J352">
        <v>2021</v>
      </c>
      <c r="K352" t="s">
        <v>261</v>
      </c>
      <c r="L352">
        <v>44715</v>
      </c>
      <c r="N352" t="s">
        <v>134</v>
      </c>
      <c r="O352" t="s">
        <v>135</v>
      </c>
      <c r="P352" t="s">
        <v>1918</v>
      </c>
    </row>
    <row r="353" spans="1:16" x14ac:dyDescent="0.2">
      <c r="A353" t="s">
        <v>1934</v>
      </c>
      <c r="B353" t="s">
        <v>1935</v>
      </c>
      <c r="C353" t="s">
        <v>128</v>
      </c>
      <c r="D353" t="s">
        <v>150</v>
      </c>
      <c r="F353" t="s">
        <v>1936</v>
      </c>
      <c r="G353" t="s">
        <v>1937</v>
      </c>
      <c r="H353" t="s">
        <v>392</v>
      </c>
      <c r="I353" t="s">
        <v>1181</v>
      </c>
      <c r="J353">
        <v>2021</v>
      </c>
      <c r="K353" t="s">
        <v>221</v>
      </c>
      <c r="L353">
        <v>44589</v>
      </c>
      <c r="N353" t="s">
        <v>140</v>
      </c>
      <c r="P353" t="s">
        <v>1938</v>
      </c>
    </row>
    <row r="354" spans="1:16" x14ac:dyDescent="0.2">
      <c r="A354" t="s">
        <v>2113</v>
      </c>
      <c r="B354" t="s">
        <v>2114</v>
      </c>
      <c r="C354" t="s">
        <v>128</v>
      </c>
      <c r="D354" t="s">
        <v>150</v>
      </c>
      <c r="F354" t="s">
        <v>1796</v>
      </c>
      <c r="H354" t="s">
        <v>1122</v>
      </c>
      <c r="I354" t="s">
        <v>1181</v>
      </c>
      <c r="J354">
        <v>2022</v>
      </c>
      <c r="K354" t="s">
        <v>133</v>
      </c>
      <c r="L354">
        <v>44834</v>
      </c>
      <c r="N354" t="s">
        <v>134</v>
      </c>
      <c r="P354" t="s">
        <v>2115</v>
      </c>
    </row>
    <row r="355" spans="1:16" x14ac:dyDescent="0.2">
      <c r="A355" t="s">
        <v>2164</v>
      </c>
      <c r="B355" t="s">
        <v>2165</v>
      </c>
      <c r="C355" t="s">
        <v>128</v>
      </c>
      <c r="D355" t="s">
        <v>150</v>
      </c>
      <c r="E355" t="s">
        <v>2075</v>
      </c>
      <c r="F355" t="s">
        <v>2075</v>
      </c>
      <c r="G355" t="s">
        <v>2166</v>
      </c>
      <c r="H355" t="s">
        <v>194</v>
      </c>
      <c r="I355" t="s">
        <v>1181</v>
      </c>
      <c r="J355">
        <v>2022</v>
      </c>
      <c r="K355" t="s">
        <v>133</v>
      </c>
      <c r="L355">
        <v>44985</v>
      </c>
      <c r="N355" t="s">
        <v>134</v>
      </c>
      <c r="P355" t="s">
        <v>2167</v>
      </c>
    </row>
    <row r="356" spans="1:16" x14ac:dyDescent="0.2">
      <c r="A356" t="s">
        <v>2193</v>
      </c>
      <c r="B356" t="s">
        <v>2194</v>
      </c>
      <c r="C356" t="s">
        <v>128</v>
      </c>
      <c r="D356" t="s">
        <v>150</v>
      </c>
      <c r="E356" t="s">
        <v>150</v>
      </c>
      <c r="F356" t="s">
        <v>1743</v>
      </c>
      <c r="G356" t="s">
        <v>2195</v>
      </c>
      <c r="H356" t="s">
        <v>309</v>
      </c>
      <c r="I356" t="s">
        <v>1181</v>
      </c>
      <c r="J356">
        <v>2022</v>
      </c>
      <c r="K356" t="s">
        <v>133</v>
      </c>
      <c r="N356" t="s">
        <v>134</v>
      </c>
      <c r="P356" t="s">
        <v>2196</v>
      </c>
    </row>
    <row r="357" spans="1:16" x14ac:dyDescent="0.2">
      <c r="A357" t="s">
        <v>2314</v>
      </c>
      <c r="B357" t="s">
        <v>2315</v>
      </c>
      <c r="C357" t="s">
        <v>128</v>
      </c>
      <c r="D357" t="s">
        <v>150</v>
      </c>
      <c r="E357" t="s">
        <v>307</v>
      </c>
      <c r="F357" t="s">
        <v>591</v>
      </c>
      <c r="G357" t="s">
        <v>2316</v>
      </c>
      <c r="H357" t="s">
        <v>421</v>
      </c>
      <c r="I357" t="s">
        <v>1181</v>
      </c>
      <c r="J357">
        <v>2023</v>
      </c>
      <c r="K357" t="s">
        <v>277</v>
      </c>
      <c r="L357">
        <v>45173</v>
      </c>
      <c r="N357" t="s">
        <v>134</v>
      </c>
      <c r="P357" t="s">
        <v>2317</v>
      </c>
    </row>
    <row r="358" spans="1:16" x14ac:dyDescent="0.2">
      <c r="A358" t="s">
        <v>2318</v>
      </c>
      <c r="B358" t="s">
        <v>2319</v>
      </c>
      <c r="C358" t="s">
        <v>128</v>
      </c>
      <c r="D358" t="s">
        <v>150</v>
      </c>
      <c r="E358" t="s">
        <v>2320</v>
      </c>
      <c r="F358" t="s">
        <v>2320</v>
      </c>
      <c r="H358" t="s">
        <v>541</v>
      </c>
      <c r="I358" t="s">
        <v>1181</v>
      </c>
      <c r="J358">
        <v>2023</v>
      </c>
      <c r="K358" t="s">
        <v>221</v>
      </c>
      <c r="L358">
        <v>45322</v>
      </c>
      <c r="M358" t="s">
        <v>2932</v>
      </c>
      <c r="N358" t="s">
        <v>597</v>
      </c>
      <c r="P358" t="s">
        <v>2321</v>
      </c>
    </row>
    <row r="359" spans="1:16" x14ac:dyDescent="0.2">
      <c r="A359" t="s">
        <v>2408</v>
      </c>
      <c r="B359" t="s">
        <v>2409</v>
      </c>
      <c r="C359" t="s">
        <v>128</v>
      </c>
      <c r="D359" t="s">
        <v>150</v>
      </c>
      <c r="E359" t="s">
        <v>2410</v>
      </c>
      <c r="F359" t="s">
        <v>2410</v>
      </c>
      <c r="H359" t="s">
        <v>2058</v>
      </c>
      <c r="I359" t="s">
        <v>1181</v>
      </c>
      <c r="J359">
        <v>2023</v>
      </c>
      <c r="K359" t="s">
        <v>2332</v>
      </c>
      <c r="L359">
        <v>45260</v>
      </c>
      <c r="N359" t="s">
        <v>868</v>
      </c>
      <c r="P359" t="s">
        <v>2411</v>
      </c>
    </row>
    <row r="360" spans="1:16" x14ac:dyDescent="0.2">
      <c r="A360" t="s">
        <v>2412</v>
      </c>
      <c r="B360" t="s">
        <v>2413</v>
      </c>
      <c r="C360" t="s">
        <v>128</v>
      </c>
      <c r="D360" t="s">
        <v>150</v>
      </c>
      <c r="E360" t="s">
        <v>2414</v>
      </c>
      <c r="F360" t="s">
        <v>2414</v>
      </c>
      <c r="H360" t="s">
        <v>783</v>
      </c>
      <c r="I360" t="s">
        <v>1181</v>
      </c>
      <c r="J360">
        <v>2023</v>
      </c>
      <c r="K360" t="s">
        <v>2332</v>
      </c>
      <c r="L360">
        <v>45229</v>
      </c>
      <c r="N360" t="s">
        <v>134</v>
      </c>
      <c r="P360" t="s">
        <v>1550</v>
      </c>
    </row>
    <row r="361" spans="1:16" x14ac:dyDescent="0.2">
      <c r="A361" t="s">
        <v>2508</v>
      </c>
      <c r="B361" t="s">
        <v>2509</v>
      </c>
      <c r="C361" t="s">
        <v>128</v>
      </c>
      <c r="D361" t="s">
        <v>150</v>
      </c>
      <c r="F361" t="s">
        <v>385</v>
      </c>
      <c r="G361" t="s">
        <v>2510</v>
      </c>
      <c r="H361" t="s">
        <v>309</v>
      </c>
      <c r="I361" t="s">
        <v>1181</v>
      </c>
      <c r="J361">
        <v>2023</v>
      </c>
      <c r="K361" t="s">
        <v>133</v>
      </c>
      <c r="N361" t="s">
        <v>134</v>
      </c>
      <c r="P361" t="s">
        <v>2511</v>
      </c>
    </row>
    <row r="362" spans="1:16" x14ac:dyDescent="0.2">
      <c r="A362" t="s">
        <v>2512</v>
      </c>
      <c r="B362" t="s">
        <v>2513</v>
      </c>
      <c r="C362" t="s">
        <v>128</v>
      </c>
      <c r="D362" t="s">
        <v>150</v>
      </c>
      <c r="F362" t="s">
        <v>2514</v>
      </c>
      <c r="H362" t="s">
        <v>421</v>
      </c>
      <c r="I362" t="s">
        <v>1181</v>
      </c>
      <c r="J362">
        <v>2023</v>
      </c>
      <c r="K362" t="s">
        <v>261</v>
      </c>
      <c r="L362">
        <v>45366</v>
      </c>
      <c r="N362" t="s">
        <v>134</v>
      </c>
      <c r="O362" t="s">
        <v>135</v>
      </c>
      <c r="P362" t="s">
        <v>2515</v>
      </c>
    </row>
    <row r="363" spans="1:16" x14ac:dyDescent="0.2">
      <c r="A363" t="s">
        <v>2512</v>
      </c>
      <c r="B363" t="s">
        <v>2513</v>
      </c>
      <c r="C363" t="s">
        <v>128</v>
      </c>
      <c r="D363" t="s">
        <v>150</v>
      </c>
      <c r="F363" t="s">
        <v>2514</v>
      </c>
      <c r="H363" t="s">
        <v>421</v>
      </c>
      <c r="I363" t="s">
        <v>1181</v>
      </c>
      <c r="J363">
        <v>2023</v>
      </c>
      <c r="K363" t="s">
        <v>261</v>
      </c>
      <c r="L363">
        <v>45000</v>
      </c>
      <c r="N363" t="s">
        <v>134</v>
      </c>
      <c r="O363" t="s">
        <v>135</v>
      </c>
      <c r="P363" t="s">
        <v>2515</v>
      </c>
    </row>
    <row r="364" spans="1:16" x14ac:dyDescent="0.2">
      <c r="A364" t="s">
        <v>2512</v>
      </c>
      <c r="B364" t="s">
        <v>2516</v>
      </c>
      <c r="C364" t="s">
        <v>128</v>
      </c>
      <c r="D364" t="s">
        <v>150</v>
      </c>
      <c r="F364" t="s">
        <v>2514</v>
      </c>
      <c r="H364" t="s">
        <v>421</v>
      </c>
      <c r="I364" t="s">
        <v>1181</v>
      </c>
      <c r="J364">
        <v>2023</v>
      </c>
      <c r="K364" t="s">
        <v>261</v>
      </c>
      <c r="L364">
        <v>45000</v>
      </c>
      <c r="N364" t="s">
        <v>134</v>
      </c>
      <c r="O364" t="s">
        <v>135</v>
      </c>
      <c r="P364" t="s">
        <v>2515</v>
      </c>
    </row>
    <row r="365" spans="1:16" x14ac:dyDescent="0.2">
      <c r="A365" t="s">
        <v>2512</v>
      </c>
      <c r="B365" t="s">
        <v>2517</v>
      </c>
      <c r="C365" t="s">
        <v>112</v>
      </c>
      <c r="D365" t="s">
        <v>150</v>
      </c>
      <c r="F365" t="s">
        <v>2514</v>
      </c>
      <c r="H365" t="s">
        <v>421</v>
      </c>
      <c r="I365" t="s">
        <v>1181</v>
      </c>
      <c r="J365">
        <v>2024</v>
      </c>
      <c r="K365" t="s">
        <v>261</v>
      </c>
      <c r="L365">
        <v>45562</v>
      </c>
      <c r="N365" t="s">
        <v>134</v>
      </c>
      <c r="O365" t="s">
        <v>135</v>
      </c>
      <c r="P365" t="s">
        <v>3506</v>
      </c>
    </row>
    <row r="366" spans="1:16" x14ac:dyDescent="0.2">
      <c r="A366" t="s">
        <v>2594</v>
      </c>
      <c r="B366" t="s">
        <v>2595</v>
      </c>
      <c r="C366" t="s">
        <v>128</v>
      </c>
      <c r="D366" t="s">
        <v>150</v>
      </c>
      <c r="F366" t="s">
        <v>2596</v>
      </c>
      <c r="H366" t="s">
        <v>1069</v>
      </c>
      <c r="I366" t="s">
        <v>1181</v>
      </c>
      <c r="J366">
        <v>2024</v>
      </c>
      <c r="K366" t="s">
        <v>351</v>
      </c>
      <c r="L366">
        <v>45474</v>
      </c>
      <c r="N366" t="s">
        <v>134</v>
      </c>
      <c r="P366" t="s">
        <v>1572</v>
      </c>
    </row>
    <row r="367" spans="1:16" x14ac:dyDescent="0.2">
      <c r="A367" t="s">
        <v>2594</v>
      </c>
      <c r="B367" t="s">
        <v>2598</v>
      </c>
      <c r="C367" t="s">
        <v>128</v>
      </c>
      <c r="D367" t="s">
        <v>150</v>
      </c>
      <c r="F367" t="s">
        <v>2596</v>
      </c>
      <c r="G367" t="s">
        <v>2599</v>
      </c>
      <c r="H367" t="s">
        <v>1069</v>
      </c>
      <c r="I367" t="s">
        <v>1181</v>
      </c>
      <c r="J367">
        <v>2024</v>
      </c>
      <c r="K367" t="s">
        <v>351</v>
      </c>
      <c r="L367">
        <v>45474</v>
      </c>
      <c r="N367" t="s">
        <v>140</v>
      </c>
      <c r="P367" t="s">
        <v>2597</v>
      </c>
    </row>
    <row r="368" spans="1:16" x14ac:dyDescent="0.2">
      <c r="A368" t="s">
        <v>3065</v>
      </c>
      <c r="B368" t="s">
        <v>3066</v>
      </c>
      <c r="C368" t="s">
        <v>128</v>
      </c>
      <c r="D368" t="s">
        <v>150</v>
      </c>
      <c r="E368" t="s">
        <v>1916</v>
      </c>
      <c r="F368" t="s">
        <v>1917</v>
      </c>
      <c r="G368" t="s">
        <v>3067</v>
      </c>
      <c r="H368" t="s">
        <v>146</v>
      </c>
      <c r="I368" t="s">
        <v>1181</v>
      </c>
      <c r="J368">
        <v>2025</v>
      </c>
      <c r="K368" t="s">
        <v>277</v>
      </c>
      <c r="L368">
        <v>45764</v>
      </c>
      <c r="N368" t="s">
        <v>134</v>
      </c>
      <c r="P368" t="s">
        <v>3068</v>
      </c>
    </row>
    <row r="369" spans="1:16" x14ac:dyDescent="0.2">
      <c r="A369" t="s">
        <v>3303</v>
      </c>
      <c r="B369" t="s">
        <v>3304</v>
      </c>
      <c r="C369" t="s">
        <v>128</v>
      </c>
      <c r="D369" t="s">
        <v>150</v>
      </c>
      <c r="F369" t="s">
        <v>3305</v>
      </c>
      <c r="G369" t="s">
        <v>3306</v>
      </c>
      <c r="H369" t="s">
        <v>183</v>
      </c>
      <c r="I369" t="s">
        <v>1181</v>
      </c>
      <c r="J369">
        <v>2025</v>
      </c>
      <c r="K369" t="s">
        <v>112</v>
      </c>
      <c r="L369">
        <v>45957</v>
      </c>
      <c r="N369" t="s">
        <v>597</v>
      </c>
      <c r="P369" t="s">
        <v>3307</v>
      </c>
    </row>
    <row r="370" spans="1:16" x14ac:dyDescent="0.2">
      <c r="A370" t="s">
        <v>3339</v>
      </c>
      <c r="B370" t="s">
        <v>3408</v>
      </c>
      <c r="C370" t="s">
        <v>128</v>
      </c>
      <c r="D370" t="s">
        <v>150</v>
      </c>
      <c r="F370" t="s">
        <v>3340</v>
      </c>
      <c r="I370" t="s">
        <v>1181</v>
      </c>
      <c r="J370">
        <v>2025</v>
      </c>
      <c r="K370" t="s">
        <v>112</v>
      </c>
      <c r="L370">
        <v>46083</v>
      </c>
      <c r="N370" t="s">
        <v>597</v>
      </c>
      <c r="P370" t="s">
        <v>3341</v>
      </c>
    </row>
    <row r="371" spans="1:16" x14ac:dyDescent="0.2">
      <c r="A371" t="s">
        <v>3507</v>
      </c>
      <c r="B371" t="s">
        <v>3508</v>
      </c>
      <c r="C371" t="s">
        <v>112</v>
      </c>
      <c r="D371" t="s">
        <v>150</v>
      </c>
      <c r="F371" t="s">
        <v>809</v>
      </c>
      <c r="H371" t="s">
        <v>421</v>
      </c>
      <c r="I371" t="s">
        <v>1181</v>
      </c>
      <c r="J371">
        <v>2025</v>
      </c>
      <c r="K371" t="s">
        <v>2332</v>
      </c>
      <c r="N371" t="s">
        <v>597</v>
      </c>
      <c r="P371" t="s">
        <v>3509</v>
      </c>
    </row>
    <row r="372" spans="1:16" x14ac:dyDescent="0.2">
      <c r="A372" t="s">
        <v>651</v>
      </c>
      <c r="B372" t="s">
        <v>652</v>
      </c>
      <c r="C372" t="s">
        <v>128</v>
      </c>
      <c r="D372" t="s">
        <v>653</v>
      </c>
      <c r="E372" t="s">
        <v>181</v>
      </c>
      <c r="F372" t="s">
        <v>654</v>
      </c>
      <c r="H372" t="s">
        <v>655</v>
      </c>
      <c r="J372">
        <v>2018</v>
      </c>
      <c r="K372" t="s">
        <v>261</v>
      </c>
      <c r="L372">
        <v>43411</v>
      </c>
      <c r="N372" t="s">
        <v>134</v>
      </c>
      <c r="O372" t="s">
        <v>135</v>
      </c>
      <c r="P372" t="s">
        <v>656</v>
      </c>
    </row>
    <row r="373" spans="1:16" x14ac:dyDescent="0.2">
      <c r="A373" t="s">
        <v>651</v>
      </c>
      <c r="B373" t="s">
        <v>657</v>
      </c>
      <c r="C373" t="s">
        <v>128</v>
      </c>
      <c r="D373" t="s">
        <v>653</v>
      </c>
      <c r="E373" t="s">
        <v>181</v>
      </c>
      <c r="F373" t="s">
        <v>654</v>
      </c>
      <c r="H373" t="s">
        <v>655</v>
      </c>
      <c r="J373">
        <v>2018</v>
      </c>
      <c r="K373" t="s">
        <v>261</v>
      </c>
      <c r="L373">
        <v>43399</v>
      </c>
      <c r="N373" t="s">
        <v>134</v>
      </c>
      <c r="O373" t="s">
        <v>135</v>
      </c>
      <c r="P373" t="s">
        <v>656</v>
      </c>
    </row>
    <row r="374" spans="1:16" x14ac:dyDescent="0.2">
      <c r="A374" t="s">
        <v>2778</v>
      </c>
      <c r="B374" t="s">
        <v>2779</v>
      </c>
      <c r="C374" t="s">
        <v>128</v>
      </c>
      <c r="D374" t="s">
        <v>2780</v>
      </c>
      <c r="F374" t="s">
        <v>2781</v>
      </c>
      <c r="G374" t="s">
        <v>2782</v>
      </c>
      <c r="H374" t="s">
        <v>146</v>
      </c>
      <c r="I374" t="s">
        <v>1181</v>
      </c>
      <c r="J374">
        <v>2024</v>
      </c>
      <c r="K374" t="s">
        <v>351</v>
      </c>
      <c r="L374">
        <v>45611</v>
      </c>
      <c r="N374" t="s">
        <v>134</v>
      </c>
      <c r="P374" t="s">
        <v>2783</v>
      </c>
    </row>
    <row r="375" spans="1:16" x14ac:dyDescent="0.2">
      <c r="A375" t="s">
        <v>2814</v>
      </c>
      <c r="B375" t="s">
        <v>2815</v>
      </c>
      <c r="C375" t="s">
        <v>128</v>
      </c>
      <c r="D375" t="s">
        <v>2780</v>
      </c>
      <c r="F375" t="s">
        <v>2816</v>
      </c>
      <c r="G375" t="s">
        <v>2817</v>
      </c>
      <c r="H375" t="s">
        <v>146</v>
      </c>
      <c r="I375" t="s">
        <v>1181</v>
      </c>
      <c r="J375">
        <v>2024</v>
      </c>
      <c r="K375" t="s">
        <v>523</v>
      </c>
      <c r="L375">
        <v>45611</v>
      </c>
      <c r="N375" t="s">
        <v>134</v>
      </c>
      <c r="P375" t="s">
        <v>2818</v>
      </c>
    </row>
    <row r="376" spans="1:16" x14ac:dyDescent="0.2">
      <c r="A376" t="s">
        <v>3450</v>
      </c>
      <c r="B376" t="s">
        <v>3451</v>
      </c>
      <c r="C376" t="s">
        <v>112</v>
      </c>
      <c r="D376" t="s">
        <v>2780</v>
      </c>
      <c r="F376" t="s">
        <v>2781</v>
      </c>
      <c r="G376" t="s">
        <v>3452</v>
      </c>
      <c r="H376" t="s">
        <v>1181</v>
      </c>
      <c r="I376" t="s">
        <v>1181</v>
      </c>
      <c r="J376">
        <v>2025</v>
      </c>
      <c r="K376" t="s">
        <v>261</v>
      </c>
      <c r="L376">
        <v>45966</v>
      </c>
      <c r="N376" t="s">
        <v>597</v>
      </c>
      <c r="P376" t="s">
        <v>3510</v>
      </c>
    </row>
    <row r="377" spans="1:16" x14ac:dyDescent="0.2">
      <c r="A377" t="s">
        <v>3456</v>
      </c>
      <c r="B377" t="s">
        <v>3457</v>
      </c>
      <c r="C377" t="s">
        <v>112</v>
      </c>
      <c r="D377" t="s">
        <v>2780</v>
      </c>
      <c r="F377" t="s">
        <v>2781</v>
      </c>
      <c r="G377" t="s">
        <v>3458</v>
      </c>
      <c r="H377" t="s">
        <v>1181</v>
      </c>
      <c r="I377" t="s">
        <v>1181</v>
      </c>
      <c r="J377">
        <v>2025</v>
      </c>
      <c r="K377" t="s">
        <v>523</v>
      </c>
      <c r="L377">
        <v>45968</v>
      </c>
      <c r="N377" t="s">
        <v>597</v>
      </c>
      <c r="P377" t="s">
        <v>3511</v>
      </c>
    </row>
    <row r="378" spans="1:16" x14ac:dyDescent="0.2">
      <c r="A378" t="s">
        <v>2586</v>
      </c>
      <c r="B378" t="s">
        <v>2587</v>
      </c>
      <c r="C378" t="s">
        <v>128</v>
      </c>
      <c r="D378" t="s">
        <v>2588</v>
      </c>
      <c r="F378" t="s">
        <v>2588</v>
      </c>
      <c r="H378" t="s">
        <v>146</v>
      </c>
      <c r="I378" t="s">
        <v>1181</v>
      </c>
      <c r="J378">
        <v>2024</v>
      </c>
      <c r="K378" t="s">
        <v>523</v>
      </c>
      <c r="L378">
        <v>45488</v>
      </c>
      <c r="N378" t="s">
        <v>134</v>
      </c>
      <c r="P378" t="s">
        <v>2589</v>
      </c>
    </row>
    <row r="379" spans="1:16" x14ac:dyDescent="0.2">
      <c r="A379" t="s">
        <v>1242</v>
      </c>
      <c r="B379" t="s">
        <v>1243</v>
      </c>
      <c r="C379" t="s">
        <v>128</v>
      </c>
      <c r="D379" t="s">
        <v>1244</v>
      </c>
      <c r="F379" t="s">
        <v>1245</v>
      </c>
      <c r="H379" t="s">
        <v>183</v>
      </c>
      <c r="I379" t="s">
        <v>1181</v>
      </c>
      <c r="J379">
        <v>2019</v>
      </c>
      <c r="K379" t="s">
        <v>221</v>
      </c>
      <c r="L379">
        <v>43878</v>
      </c>
      <c r="N379" t="s">
        <v>134</v>
      </c>
      <c r="O379" t="s">
        <v>135</v>
      </c>
      <c r="P379" t="s">
        <v>1246</v>
      </c>
    </row>
    <row r="380" spans="1:16" x14ac:dyDescent="0.2">
      <c r="A380" t="s">
        <v>184</v>
      </c>
      <c r="B380" t="s">
        <v>185</v>
      </c>
      <c r="C380" t="s">
        <v>128</v>
      </c>
      <c r="D380" t="s">
        <v>186</v>
      </c>
      <c r="E380" t="s">
        <v>181</v>
      </c>
      <c r="F380" t="s">
        <v>187</v>
      </c>
      <c r="H380" t="s">
        <v>183</v>
      </c>
      <c r="J380">
        <v>2016</v>
      </c>
      <c r="M380" t="s">
        <v>188</v>
      </c>
      <c r="N380" t="s">
        <v>147</v>
      </c>
      <c r="O380" t="s">
        <v>135</v>
      </c>
      <c r="P380" t="s">
        <v>189</v>
      </c>
    </row>
    <row r="381" spans="1:16" x14ac:dyDescent="0.2">
      <c r="A381" t="s">
        <v>252</v>
      </c>
      <c r="C381" t="s">
        <v>128</v>
      </c>
      <c r="D381" t="s">
        <v>186</v>
      </c>
      <c r="E381" t="s">
        <v>181</v>
      </c>
      <c r="F381" t="s">
        <v>253</v>
      </c>
      <c r="H381" t="s">
        <v>254</v>
      </c>
      <c r="J381">
        <v>2016</v>
      </c>
      <c r="O381" t="s">
        <v>255</v>
      </c>
      <c r="P381" t="s">
        <v>3512</v>
      </c>
    </row>
    <row r="382" spans="1:16" x14ac:dyDescent="0.2">
      <c r="A382" t="s">
        <v>569</v>
      </c>
      <c r="B382" t="s">
        <v>570</v>
      </c>
      <c r="C382" t="s">
        <v>128</v>
      </c>
      <c r="D382" t="s">
        <v>186</v>
      </c>
      <c r="E382" t="s">
        <v>181</v>
      </c>
      <c r="F382" t="s">
        <v>571</v>
      </c>
      <c r="G382" t="s">
        <v>552</v>
      </c>
      <c r="H382" t="s">
        <v>199</v>
      </c>
      <c r="J382">
        <v>2017</v>
      </c>
      <c r="K382" t="s">
        <v>221</v>
      </c>
      <c r="L382">
        <v>43091</v>
      </c>
      <c r="M382" t="s">
        <v>572</v>
      </c>
      <c r="N382" t="s">
        <v>134</v>
      </c>
      <c r="O382" t="s">
        <v>135</v>
      </c>
      <c r="P382" t="s">
        <v>573</v>
      </c>
    </row>
    <row r="383" spans="1:16" x14ac:dyDescent="0.2">
      <c r="A383" t="s">
        <v>569</v>
      </c>
      <c r="B383" t="s">
        <v>574</v>
      </c>
      <c r="C383" t="s">
        <v>128</v>
      </c>
      <c r="D383" t="s">
        <v>186</v>
      </c>
      <c r="E383" t="s">
        <v>181</v>
      </c>
      <c r="F383" t="s">
        <v>571</v>
      </c>
      <c r="G383" t="s">
        <v>552</v>
      </c>
      <c r="H383" t="s">
        <v>199</v>
      </c>
      <c r="J383">
        <v>2017</v>
      </c>
      <c r="K383" t="s">
        <v>221</v>
      </c>
      <c r="L383">
        <v>43091</v>
      </c>
      <c r="M383" t="s">
        <v>575</v>
      </c>
      <c r="N383" t="s">
        <v>134</v>
      </c>
      <c r="O383" t="s">
        <v>135</v>
      </c>
      <c r="P383" t="s">
        <v>573</v>
      </c>
    </row>
    <row r="384" spans="1:16" x14ac:dyDescent="0.2">
      <c r="A384" t="s">
        <v>569</v>
      </c>
      <c r="B384" t="s">
        <v>576</v>
      </c>
      <c r="C384" t="s">
        <v>128</v>
      </c>
      <c r="D384" t="s">
        <v>186</v>
      </c>
      <c r="E384" t="s">
        <v>181</v>
      </c>
      <c r="F384" t="s">
        <v>571</v>
      </c>
      <c r="G384" t="s">
        <v>577</v>
      </c>
      <c r="H384" t="s">
        <v>199</v>
      </c>
      <c r="J384">
        <v>2018</v>
      </c>
      <c r="K384" t="s">
        <v>351</v>
      </c>
      <c r="L384">
        <v>43189</v>
      </c>
      <c r="N384" t="s">
        <v>134</v>
      </c>
      <c r="O384" t="s">
        <v>135</v>
      </c>
      <c r="P384" t="s">
        <v>578</v>
      </c>
    </row>
    <row r="385" spans="1:16" x14ac:dyDescent="0.2">
      <c r="A385" t="s">
        <v>670</v>
      </c>
      <c r="B385" t="s">
        <v>671</v>
      </c>
      <c r="C385" t="s">
        <v>128</v>
      </c>
      <c r="D385" t="s">
        <v>186</v>
      </c>
      <c r="E385" t="s">
        <v>181</v>
      </c>
      <c r="F385" t="s">
        <v>643</v>
      </c>
      <c r="G385" t="s">
        <v>672</v>
      </c>
      <c r="H385" t="s">
        <v>199</v>
      </c>
      <c r="J385">
        <v>2018</v>
      </c>
      <c r="K385" t="s">
        <v>221</v>
      </c>
      <c r="L385">
        <v>43250</v>
      </c>
      <c r="N385" t="s">
        <v>134</v>
      </c>
      <c r="O385" t="s">
        <v>135</v>
      </c>
      <c r="P385" t="s">
        <v>673</v>
      </c>
    </row>
    <row r="386" spans="1:16" x14ac:dyDescent="0.2">
      <c r="A386" t="s">
        <v>674</v>
      </c>
      <c r="B386" t="s">
        <v>675</v>
      </c>
      <c r="C386" t="s">
        <v>128</v>
      </c>
      <c r="D386" t="s">
        <v>186</v>
      </c>
      <c r="E386" t="s">
        <v>181</v>
      </c>
      <c r="F386" t="s">
        <v>648</v>
      </c>
      <c r="G386" t="s">
        <v>672</v>
      </c>
      <c r="H386" t="s">
        <v>649</v>
      </c>
      <c r="J386">
        <v>2018</v>
      </c>
      <c r="K386" t="s">
        <v>221</v>
      </c>
      <c r="L386">
        <v>43281</v>
      </c>
      <c r="N386" t="s">
        <v>134</v>
      </c>
      <c r="O386" t="s">
        <v>135</v>
      </c>
      <c r="P386" t="s">
        <v>676</v>
      </c>
    </row>
    <row r="387" spans="1:16" x14ac:dyDescent="0.2">
      <c r="A387" t="s">
        <v>740</v>
      </c>
      <c r="B387" t="s">
        <v>741</v>
      </c>
      <c r="C387" t="s">
        <v>128</v>
      </c>
      <c r="D387" t="s">
        <v>186</v>
      </c>
      <c r="E387" t="s">
        <v>420</v>
      </c>
      <c r="F387" t="s">
        <v>742</v>
      </c>
      <c r="H387" t="s">
        <v>199</v>
      </c>
      <c r="J387">
        <v>2018</v>
      </c>
      <c r="K387" t="s">
        <v>523</v>
      </c>
      <c r="L387">
        <v>43350</v>
      </c>
      <c r="N387" t="s">
        <v>134</v>
      </c>
      <c r="O387" t="s">
        <v>135</v>
      </c>
      <c r="P387" t="s">
        <v>743</v>
      </c>
    </row>
    <row r="388" spans="1:16" x14ac:dyDescent="0.2">
      <c r="A388" t="s">
        <v>744</v>
      </c>
      <c r="B388" t="s">
        <v>745</v>
      </c>
      <c r="C388" t="s">
        <v>128</v>
      </c>
      <c r="D388" t="s">
        <v>186</v>
      </c>
      <c r="E388" t="s">
        <v>181</v>
      </c>
      <c r="F388" t="s">
        <v>545</v>
      </c>
      <c r="G388" t="s">
        <v>672</v>
      </c>
      <c r="H388" t="s">
        <v>546</v>
      </c>
      <c r="J388">
        <v>2018</v>
      </c>
      <c r="K388" t="s">
        <v>221</v>
      </c>
      <c r="L388">
        <v>43311</v>
      </c>
      <c r="N388" t="s">
        <v>134</v>
      </c>
      <c r="O388" t="s">
        <v>135</v>
      </c>
      <c r="P388" t="s">
        <v>746</v>
      </c>
    </row>
    <row r="389" spans="1:16" x14ac:dyDescent="0.2">
      <c r="A389" t="s">
        <v>744</v>
      </c>
      <c r="B389" t="s">
        <v>747</v>
      </c>
      <c r="C389" t="s">
        <v>128</v>
      </c>
      <c r="D389" t="s">
        <v>186</v>
      </c>
      <c r="E389" t="s">
        <v>181</v>
      </c>
      <c r="F389" t="s">
        <v>545</v>
      </c>
      <c r="G389" t="s">
        <v>748</v>
      </c>
      <c r="H389" t="s">
        <v>546</v>
      </c>
      <c r="J389">
        <v>2018</v>
      </c>
      <c r="K389" t="s">
        <v>351</v>
      </c>
      <c r="L389">
        <v>43340</v>
      </c>
      <c r="N389" t="s">
        <v>134</v>
      </c>
      <c r="O389" t="s">
        <v>135</v>
      </c>
      <c r="P389" t="s">
        <v>746</v>
      </c>
    </row>
    <row r="390" spans="1:16" x14ac:dyDescent="0.2">
      <c r="A390" t="s">
        <v>764</v>
      </c>
      <c r="B390" t="s">
        <v>765</v>
      </c>
      <c r="C390" t="s">
        <v>128</v>
      </c>
      <c r="D390" t="s">
        <v>186</v>
      </c>
      <c r="E390" t="s">
        <v>181</v>
      </c>
      <c r="F390" t="s">
        <v>766</v>
      </c>
      <c r="H390" t="s">
        <v>767</v>
      </c>
      <c r="J390">
        <v>2018</v>
      </c>
      <c r="K390" t="s">
        <v>277</v>
      </c>
      <c r="L390">
        <v>43271</v>
      </c>
      <c r="M390" t="s">
        <v>768</v>
      </c>
      <c r="N390" t="s">
        <v>140</v>
      </c>
      <c r="O390" t="s">
        <v>135</v>
      </c>
      <c r="P390" t="s">
        <v>769</v>
      </c>
    </row>
    <row r="391" spans="1:16" x14ac:dyDescent="0.2">
      <c r="A391" t="s">
        <v>882</v>
      </c>
      <c r="B391" t="s">
        <v>883</v>
      </c>
      <c r="C391" t="s">
        <v>128</v>
      </c>
      <c r="D391" t="s">
        <v>186</v>
      </c>
      <c r="E391" t="s">
        <v>181</v>
      </c>
      <c r="F391" t="s">
        <v>253</v>
      </c>
      <c r="G391" t="s">
        <v>884</v>
      </c>
      <c r="H391" t="s">
        <v>254</v>
      </c>
      <c r="J391">
        <v>2018</v>
      </c>
      <c r="K391" t="s">
        <v>351</v>
      </c>
      <c r="L391">
        <v>43396</v>
      </c>
      <c r="N391" t="s">
        <v>134</v>
      </c>
      <c r="P391" t="s">
        <v>885</v>
      </c>
    </row>
    <row r="392" spans="1:16" x14ac:dyDescent="0.2">
      <c r="A392" t="s">
        <v>930</v>
      </c>
      <c r="B392" t="s">
        <v>931</v>
      </c>
      <c r="C392" t="s">
        <v>128</v>
      </c>
      <c r="D392" t="s">
        <v>186</v>
      </c>
      <c r="E392" t="s">
        <v>181</v>
      </c>
      <c r="F392" t="s">
        <v>782</v>
      </c>
      <c r="G392" t="s">
        <v>672</v>
      </c>
      <c r="H392" t="s">
        <v>783</v>
      </c>
      <c r="J392">
        <v>2018</v>
      </c>
      <c r="K392" t="s">
        <v>221</v>
      </c>
      <c r="L392">
        <v>43495</v>
      </c>
      <c r="N392" t="s">
        <v>134</v>
      </c>
      <c r="O392" t="s">
        <v>135</v>
      </c>
      <c r="P392" t="s">
        <v>932</v>
      </c>
    </row>
    <row r="393" spans="1:16" x14ac:dyDescent="0.2">
      <c r="A393" t="s">
        <v>958</v>
      </c>
      <c r="B393" t="s">
        <v>963</v>
      </c>
      <c r="C393" t="s">
        <v>128</v>
      </c>
      <c r="D393" t="s">
        <v>186</v>
      </c>
      <c r="E393" t="s">
        <v>181</v>
      </c>
      <c r="F393" t="s">
        <v>960</v>
      </c>
      <c r="H393" t="s">
        <v>183</v>
      </c>
      <c r="J393">
        <v>2019</v>
      </c>
      <c r="K393" t="s">
        <v>133</v>
      </c>
      <c r="L393">
        <v>43600</v>
      </c>
      <c r="N393" t="s">
        <v>134</v>
      </c>
      <c r="P393" t="s">
        <v>3513</v>
      </c>
    </row>
    <row r="394" spans="1:16" x14ac:dyDescent="0.2">
      <c r="A394" t="s">
        <v>1009</v>
      </c>
      <c r="B394" t="s">
        <v>1010</v>
      </c>
      <c r="C394" t="s">
        <v>128</v>
      </c>
      <c r="D394" t="s">
        <v>186</v>
      </c>
      <c r="E394" t="s">
        <v>181</v>
      </c>
      <c r="F394" t="s">
        <v>1011</v>
      </c>
      <c r="H394" t="s">
        <v>392</v>
      </c>
      <c r="J394">
        <v>2019</v>
      </c>
      <c r="K394" t="s">
        <v>221</v>
      </c>
      <c r="L394">
        <v>43585</v>
      </c>
      <c r="N394" t="s">
        <v>134</v>
      </c>
      <c r="O394" t="s">
        <v>135</v>
      </c>
      <c r="P394" t="s">
        <v>1012</v>
      </c>
    </row>
    <row r="395" spans="1:16" x14ac:dyDescent="0.2">
      <c r="A395" t="s">
        <v>1009</v>
      </c>
      <c r="B395" t="s">
        <v>1013</v>
      </c>
      <c r="C395" t="s">
        <v>128</v>
      </c>
      <c r="D395" t="s">
        <v>186</v>
      </c>
      <c r="E395" t="s">
        <v>181</v>
      </c>
      <c r="F395" t="s">
        <v>1011</v>
      </c>
      <c r="H395" t="s">
        <v>392</v>
      </c>
      <c r="J395">
        <v>2019</v>
      </c>
      <c r="K395" t="s">
        <v>221</v>
      </c>
      <c r="L395">
        <v>43585</v>
      </c>
      <c r="N395" t="s">
        <v>134</v>
      </c>
      <c r="O395" t="s">
        <v>135</v>
      </c>
      <c r="P395" t="s">
        <v>1012</v>
      </c>
    </row>
    <row r="396" spans="1:16" x14ac:dyDescent="0.2">
      <c r="A396" t="s">
        <v>1123</v>
      </c>
      <c r="B396" t="s">
        <v>1124</v>
      </c>
      <c r="C396" t="s">
        <v>128</v>
      </c>
      <c r="D396" t="s">
        <v>186</v>
      </c>
      <c r="E396" t="s">
        <v>181</v>
      </c>
      <c r="F396" t="s">
        <v>1097</v>
      </c>
      <c r="H396" t="s">
        <v>472</v>
      </c>
      <c r="J396">
        <v>2019</v>
      </c>
      <c r="K396" t="s">
        <v>221</v>
      </c>
      <c r="L396" t="s">
        <v>1125</v>
      </c>
      <c r="N396" t="s">
        <v>134</v>
      </c>
      <c r="O396" t="s">
        <v>135</v>
      </c>
      <c r="P396" t="s">
        <v>1126</v>
      </c>
    </row>
    <row r="397" spans="1:16" x14ac:dyDescent="0.2">
      <c r="A397" t="s">
        <v>1377</v>
      </c>
      <c r="B397" t="s">
        <v>1378</v>
      </c>
      <c r="C397" t="s">
        <v>128</v>
      </c>
      <c r="D397" t="s">
        <v>186</v>
      </c>
      <c r="F397" t="s">
        <v>1282</v>
      </c>
      <c r="H397" t="s">
        <v>1283</v>
      </c>
      <c r="I397" t="s">
        <v>1181</v>
      </c>
      <c r="J397">
        <v>2020</v>
      </c>
      <c r="K397" t="s">
        <v>277</v>
      </c>
      <c r="L397">
        <v>44043</v>
      </c>
      <c r="N397" t="s">
        <v>134</v>
      </c>
      <c r="P397" t="s">
        <v>1379</v>
      </c>
    </row>
    <row r="398" spans="1:16" x14ac:dyDescent="0.2">
      <c r="A398" t="s">
        <v>1419</v>
      </c>
      <c r="B398" t="s">
        <v>1420</v>
      </c>
      <c r="C398" t="s">
        <v>128</v>
      </c>
      <c r="D398" t="s">
        <v>186</v>
      </c>
      <c r="E398" t="s">
        <v>181</v>
      </c>
      <c r="F398" t="s">
        <v>1421</v>
      </c>
      <c r="H398" t="s">
        <v>309</v>
      </c>
      <c r="I398" t="s">
        <v>1181</v>
      </c>
      <c r="J398">
        <v>2020</v>
      </c>
      <c r="K398" t="s">
        <v>133</v>
      </c>
      <c r="N398" t="s">
        <v>134</v>
      </c>
      <c r="P398" t="s">
        <v>1422</v>
      </c>
    </row>
    <row r="399" spans="1:16" x14ac:dyDescent="0.2">
      <c r="A399" t="s">
        <v>1625</v>
      </c>
      <c r="B399" t="s">
        <v>1626</v>
      </c>
      <c r="C399" t="s">
        <v>128</v>
      </c>
      <c r="D399" t="s">
        <v>186</v>
      </c>
      <c r="E399" t="s">
        <v>181</v>
      </c>
      <c r="F399" t="s">
        <v>1011</v>
      </c>
      <c r="H399" t="s">
        <v>392</v>
      </c>
      <c r="I399" t="s">
        <v>1181</v>
      </c>
      <c r="J399">
        <v>2021</v>
      </c>
      <c r="K399" t="s">
        <v>277</v>
      </c>
      <c r="L399">
        <v>44278</v>
      </c>
      <c r="N399" t="s">
        <v>134</v>
      </c>
      <c r="P399" t="s">
        <v>1627</v>
      </c>
    </row>
    <row r="400" spans="1:16" x14ac:dyDescent="0.2">
      <c r="A400" t="s">
        <v>1683</v>
      </c>
      <c r="B400" t="s">
        <v>1684</v>
      </c>
      <c r="C400" t="s">
        <v>128</v>
      </c>
      <c r="D400" t="s">
        <v>186</v>
      </c>
      <c r="E400" t="s">
        <v>181</v>
      </c>
      <c r="F400" t="s">
        <v>1685</v>
      </c>
      <c r="H400" t="s">
        <v>309</v>
      </c>
      <c r="I400" t="s">
        <v>1181</v>
      </c>
      <c r="J400">
        <v>2021</v>
      </c>
      <c r="K400" t="s">
        <v>351</v>
      </c>
      <c r="M400" t="s">
        <v>1686</v>
      </c>
      <c r="N400" t="s">
        <v>134</v>
      </c>
      <c r="P400" t="s">
        <v>1687</v>
      </c>
    </row>
    <row r="401" spans="1:16" x14ac:dyDescent="0.2">
      <c r="A401" t="s">
        <v>1843</v>
      </c>
      <c r="B401" t="s">
        <v>1844</v>
      </c>
      <c r="C401" t="s">
        <v>128</v>
      </c>
      <c r="D401" t="s">
        <v>186</v>
      </c>
      <c r="E401" t="s">
        <v>181</v>
      </c>
      <c r="F401" t="s">
        <v>655</v>
      </c>
      <c r="G401" t="s">
        <v>1845</v>
      </c>
      <c r="H401" t="s">
        <v>655</v>
      </c>
      <c r="I401" t="s">
        <v>1181</v>
      </c>
      <c r="J401">
        <v>2021</v>
      </c>
      <c r="K401" t="s">
        <v>277</v>
      </c>
      <c r="L401">
        <v>44596</v>
      </c>
      <c r="N401" t="s">
        <v>134</v>
      </c>
      <c r="P401" t="s">
        <v>1846</v>
      </c>
    </row>
    <row r="402" spans="1:16" x14ac:dyDescent="0.2">
      <c r="A402" t="s">
        <v>1967</v>
      </c>
      <c r="B402" t="s">
        <v>1968</v>
      </c>
      <c r="C402" t="s">
        <v>128</v>
      </c>
      <c r="D402" t="s">
        <v>186</v>
      </c>
      <c r="E402" t="s">
        <v>1952</v>
      </c>
      <c r="F402" t="s">
        <v>1953</v>
      </c>
      <c r="G402" t="s">
        <v>1969</v>
      </c>
      <c r="H402" t="s">
        <v>183</v>
      </c>
      <c r="I402" t="s">
        <v>1181</v>
      </c>
      <c r="J402">
        <v>2021</v>
      </c>
      <c r="K402" t="s">
        <v>221</v>
      </c>
      <c r="L402">
        <v>44742</v>
      </c>
      <c r="N402" t="s">
        <v>134</v>
      </c>
      <c r="O402" t="s">
        <v>135</v>
      </c>
      <c r="P402" t="s">
        <v>1970</v>
      </c>
    </row>
    <row r="403" spans="1:16" x14ac:dyDescent="0.2">
      <c r="A403" t="s">
        <v>1994</v>
      </c>
      <c r="B403" t="s">
        <v>1995</v>
      </c>
      <c r="C403" t="s">
        <v>128</v>
      </c>
      <c r="D403" t="s">
        <v>186</v>
      </c>
      <c r="E403" t="s">
        <v>1952</v>
      </c>
      <c r="F403" t="s">
        <v>1953</v>
      </c>
      <c r="G403" t="s">
        <v>1996</v>
      </c>
      <c r="H403" t="s">
        <v>183</v>
      </c>
      <c r="I403" t="s">
        <v>1181</v>
      </c>
      <c r="J403">
        <v>2022</v>
      </c>
      <c r="K403" t="s">
        <v>133</v>
      </c>
      <c r="L403">
        <v>44757</v>
      </c>
      <c r="N403" t="s">
        <v>134</v>
      </c>
      <c r="P403" t="s">
        <v>1997</v>
      </c>
    </row>
    <row r="404" spans="1:16" x14ac:dyDescent="0.2">
      <c r="A404" t="s">
        <v>2440</v>
      </c>
      <c r="B404" t="s">
        <v>2441</v>
      </c>
      <c r="C404" t="s">
        <v>128</v>
      </c>
      <c r="D404" t="s">
        <v>186</v>
      </c>
      <c r="F404" t="s">
        <v>782</v>
      </c>
      <c r="G404" t="s">
        <v>2442</v>
      </c>
      <c r="H404" t="s">
        <v>783</v>
      </c>
      <c r="I404" t="s">
        <v>1181</v>
      </c>
      <c r="J404">
        <v>2023</v>
      </c>
      <c r="K404" t="s">
        <v>2332</v>
      </c>
      <c r="L404">
        <v>45236</v>
      </c>
      <c r="N404" t="s">
        <v>134</v>
      </c>
      <c r="P404" t="s">
        <v>2443</v>
      </c>
    </row>
    <row r="405" spans="1:16" x14ac:dyDescent="0.2">
      <c r="A405" t="s">
        <v>2526</v>
      </c>
      <c r="B405" t="s">
        <v>2527</v>
      </c>
      <c r="C405" t="s">
        <v>128</v>
      </c>
      <c r="D405" t="s">
        <v>186</v>
      </c>
      <c r="E405" t="s">
        <v>181</v>
      </c>
      <c r="F405" t="s">
        <v>635</v>
      </c>
      <c r="H405" t="s">
        <v>267</v>
      </c>
      <c r="I405" t="s">
        <v>1181</v>
      </c>
      <c r="J405">
        <v>2023</v>
      </c>
      <c r="K405" t="s">
        <v>277</v>
      </c>
      <c r="L405">
        <v>45313</v>
      </c>
      <c r="N405" t="s">
        <v>134</v>
      </c>
      <c r="P405" t="s">
        <v>2528</v>
      </c>
    </row>
    <row r="406" spans="1:16" x14ac:dyDescent="0.2">
      <c r="A406" t="s">
        <v>2834</v>
      </c>
      <c r="B406" t="s">
        <v>2835</v>
      </c>
      <c r="C406" t="s">
        <v>128</v>
      </c>
      <c r="D406" t="s">
        <v>186</v>
      </c>
      <c r="E406" t="s">
        <v>181</v>
      </c>
      <c r="F406" t="s">
        <v>1685</v>
      </c>
      <c r="H406" t="s">
        <v>309</v>
      </c>
      <c r="I406" t="s">
        <v>1181</v>
      </c>
      <c r="J406">
        <v>2024</v>
      </c>
      <c r="K406" t="s">
        <v>2332</v>
      </c>
      <c r="L406">
        <v>45589</v>
      </c>
      <c r="N406" t="s">
        <v>134</v>
      </c>
      <c r="P406" t="s">
        <v>2836</v>
      </c>
    </row>
    <row r="407" spans="1:16" x14ac:dyDescent="0.2">
      <c r="A407" t="s">
        <v>3271</v>
      </c>
      <c r="C407" t="s">
        <v>128</v>
      </c>
      <c r="D407" t="s">
        <v>186</v>
      </c>
      <c r="F407" t="s">
        <v>1952</v>
      </c>
      <c r="G407" t="s">
        <v>3272</v>
      </c>
      <c r="H407" t="s">
        <v>183</v>
      </c>
      <c r="I407" t="s">
        <v>1181</v>
      </c>
      <c r="J407">
        <v>2025</v>
      </c>
      <c r="K407" t="s">
        <v>133</v>
      </c>
      <c r="N407" t="s">
        <v>597</v>
      </c>
      <c r="P407" t="s">
        <v>1690</v>
      </c>
    </row>
    <row r="408" spans="1:16" x14ac:dyDescent="0.2">
      <c r="A408" t="s">
        <v>1688</v>
      </c>
      <c r="B408" t="s">
        <v>1689</v>
      </c>
      <c r="C408" t="s">
        <v>112</v>
      </c>
      <c r="D408" t="s">
        <v>1403</v>
      </c>
      <c r="E408" t="s">
        <v>1403</v>
      </c>
      <c r="F408" t="s">
        <v>1403</v>
      </c>
      <c r="H408" t="s">
        <v>146</v>
      </c>
      <c r="I408" t="s">
        <v>1181</v>
      </c>
      <c r="J408">
        <v>2021</v>
      </c>
      <c r="K408" t="s">
        <v>221</v>
      </c>
      <c r="L408">
        <v>44397</v>
      </c>
      <c r="N408" t="s">
        <v>134</v>
      </c>
      <c r="O408" t="s">
        <v>135</v>
      </c>
      <c r="P408" t="s">
        <v>3514</v>
      </c>
    </row>
    <row r="409" spans="1:16" x14ac:dyDescent="0.2">
      <c r="A409" t="s">
        <v>2253</v>
      </c>
      <c r="B409" t="s">
        <v>2254</v>
      </c>
      <c r="C409" t="s">
        <v>128</v>
      </c>
      <c r="D409" t="s">
        <v>2255</v>
      </c>
      <c r="F409" t="s">
        <v>2255</v>
      </c>
      <c r="G409" t="s">
        <v>2256</v>
      </c>
      <c r="H409" t="s">
        <v>146</v>
      </c>
      <c r="I409" t="s">
        <v>1181</v>
      </c>
      <c r="J409">
        <v>2022</v>
      </c>
      <c r="K409" t="s">
        <v>523</v>
      </c>
      <c r="L409">
        <v>45107</v>
      </c>
      <c r="N409" t="s">
        <v>134</v>
      </c>
      <c r="P409" t="s">
        <v>2257</v>
      </c>
    </row>
    <row r="410" spans="1:16" x14ac:dyDescent="0.2">
      <c r="A410" t="s">
        <v>1506</v>
      </c>
      <c r="B410" t="s">
        <v>1507</v>
      </c>
      <c r="C410" t="s">
        <v>128</v>
      </c>
      <c r="D410" t="s">
        <v>1508</v>
      </c>
      <c r="F410" t="s">
        <v>1508</v>
      </c>
      <c r="G410" t="s">
        <v>1509</v>
      </c>
      <c r="H410" t="s">
        <v>928</v>
      </c>
      <c r="I410" t="s">
        <v>1181</v>
      </c>
      <c r="J410">
        <v>2020</v>
      </c>
      <c r="K410" t="s">
        <v>277</v>
      </c>
      <c r="L410">
        <v>44183</v>
      </c>
      <c r="N410" t="s">
        <v>140</v>
      </c>
      <c r="O410" t="s">
        <v>135</v>
      </c>
      <c r="P410" t="s">
        <v>1510</v>
      </c>
    </row>
    <row r="411" spans="1:16" x14ac:dyDescent="0.2">
      <c r="A411" t="s">
        <v>1065</v>
      </c>
      <c r="B411" t="s">
        <v>1066</v>
      </c>
      <c r="C411" t="s">
        <v>128</v>
      </c>
      <c r="D411" t="s">
        <v>1067</v>
      </c>
      <c r="F411" t="s">
        <v>1068</v>
      </c>
      <c r="H411" t="s">
        <v>1069</v>
      </c>
      <c r="J411">
        <v>2019</v>
      </c>
      <c r="K411" t="s">
        <v>261</v>
      </c>
      <c r="L411">
        <v>43800</v>
      </c>
      <c r="N411" t="s">
        <v>134</v>
      </c>
      <c r="O411" t="s">
        <v>135</v>
      </c>
      <c r="P411" t="s">
        <v>1070</v>
      </c>
    </row>
    <row r="412" spans="1:16" x14ac:dyDescent="0.2">
      <c r="A412" t="s">
        <v>1065</v>
      </c>
      <c r="B412" t="s">
        <v>1071</v>
      </c>
      <c r="C412" t="s">
        <v>128</v>
      </c>
      <c r="D412" t="s">
        <v>1067</v>
      </c>
      <c r="F412" t="s">
        <v>1068</v>
      </c>
      <c r="H412" t="s">
        <v>1069</v>
      </c>
      <c r="J412">
        <v>2019</v>
      </c>
      <c r="K412" t="s">
        <v>261</v>
      </c>
      <c r="L412">
        <v>43906</v>
      </c>
      <c r="N412" t="s">
        <v>134</v>
      </c>
      <c r="O412" t="s">
        <v>135</v>
      </c>
      <c r="P412" t="s">
        <v>1070</v>
      </c>
    </row>
    <row r="413" spans="1:16" x14ac:dyDescent="0.2">
      <c r="A413" t="s">
        <v>502</v>
      </c>
      <c r="B413" t="s">
        <v>503</v>
      </c>
      <c r="C413" t="s">
        <v>128</v>
      </c>
      <c r="D413" t="s">
        <v>324</v>
      </c>
      <c r="F413" t="s">
        <v>504</v>
      </c>
      <c r="G413" t="s">
        <v>505</v>
      </c>
      <c r="H413" t="s">
        <v>146</v>
      </c>
      <c r="J413">
        <v>2017</v>
      </c>
      <c r="K413" t="s">
        <v>277</v>
      </c>
      <c r="L413">
        <v>43008</v>
      </c>
      <c r="M413" t="s">
        <v>297</v>
      </c>
      <c r="N413" t="s">
        <v>134</v>
      </c>
      <c r="O413" t="s">
        <v>135</v>
      </c>
      <c r="P413" t="s">
        <v>506</v>
      </c>
    </row>
    <row r="414" spans="1:16" x14ac:dyDescent="0.2">
      <c r="A414" t="s">
        <v>502</v>
      </c>
      <c r="B414" t="s">
        <v>507</v>
      </c>
      <c r="C414" t="s">
        <v>128</v>
      </c>
      <c r="D414" t="s">
        <v>324</v>
      </c>
      <c r="F414" t="s">
        <v>504</v>
      </c>
      <c r="H414" t="s">
        <v>146</v>
      </c>
      <c r="J414">
        <v>2017</v>
      </c>
      <c r="K414" t="s">
        <v>261</v>
      </c>
      <c r="L414">
        <v>43038</v>
      </c>
      <c r="M414" t="s">
        <v>508</v>
      </c>
      <c r="N414" t="s">
        <v>134</v>
      </c>
      <c r="O414" t="s">
        <v>135</v>
      </c>
      <c r="P414" t="s">
        <v>506</v>
      </c>
    </row>
    <row r="415" spans="1:16" x14ac:dyDescent="0.2">
      <c r="A415" t="s">
        <v>502</v>
      </c>
      <c r="B415" t="s">
        <v>509</v>
      </c>
      <c r="C415" t="s">
        <v>128</v>
      </c>
      <c r="D415" t="s">
        <v>324</v>
      </c>
      <c r="F415" t="s">
        <v>504</v>
      </c>
      <c r="G415" t="s">
        <v>505</v>
      </c>
      <c r="H415" t="s">
        <v>146</v>
      </c>
      <c r="J415">
        <v>2017</v>
      </c>
      <c r="K415" t="s">
        <v>261</v>
      </c>
      <c r="L415">
        <v>43069</v>
      </c>
      <c r="N415" t="s">
        <v>140</v>
      </c>
      <c r="O415" t="s">
        <v>135</v>
      </c>
      <c r="P415" t="s">
        <v>506</v>
      </c>
    </row>
    <row r="416" spans="1:16" x14ac:dyDescent="0.2">
      <c r="A416" t="s">
        <v>502</v>
      </c>
      <c r="B416" t="s">
        <v>510</v>
      </c>
      <c r="C416" t="s">
        <v>128</v>
      </c>
      <c r="D416" t="s">
        <v>324</v>
      </c>
      <c r="F416" t="s">
        <v>504</v>
      </c>
      <c r="G416" t="s">
        <v>511</v>
      </c>
      <c r="H416" t="s">
        <v>146</v>
      </c>
      <c r="J416">
        <v>2017</v>
      </c>
      <c r="L416">
        <v>43115</v>
      </c>
      <c r="M416" t="s">
        <v>512</v>
      </c>
      <c r="N416" t="s">
        <v>140</v>
      </c>
      <c r="O416" t="s">
        <v>135</v>
      </c>
      <c r="P416" t="s">
        <v>506</v>
      </c>
    </row>
    <row r="417" spans="1:16" x14ac:dyDescent="0.2">
      <c r="A417" t="s">
        <v>502</v>
      </c>
      <c r="B417" t="s">
        <v>513</v>
      </c>
      <c r="C417" t="s">
        <v>128</v>
      </c>
      <c r="D417" t="s">
        <v>324</v>
      </c>
      <c r="F417" t="s">
        <v>504</v>
      </c>
      <c r="G417" t="s">
        <v>514</v>
      </c>
      <c r="H417" t="s">
        <v>146</v>
      </c>
      <c r="J417">
        <v>2017</v>
      </c>
      <c r="L417">
        <v>43119</v>
      </c>
      <c r="N417" t="s">
        <v>140</v>
      </c>
      <c r="O417" t="s">
        <v>135</v>
      </c>
      <c r="P417" t="s">
        <v>506</v>
      </c>
    </row>
    <row r="418" spans="1:16" x14ac:dyDescent="0.2">
      <c r="A418" t="s">
        <v>502</v>
      </c>
      <c r="B418" t="s">
        <v>515</v>
      </c>
      <c r="C418" t="s">
        <v>128</v>
      </c>
      <c r="D418" t="s">
        <v>324</v>
      </c>
      <c r="F418" t="s">
        <v>504</v>
      </c>
      <c r="H418" t="s">
        <v>146</v>
      </c>
      <c r="J418">
        <v>2017</v>
      </c>
      <c r="K418" t="s">
        <v>133</v>
      </c>
      <c r="L418">
        <v>43205</v>
      </c>
      <c r="M418" t="s">
        <v>508</v>
      </c>
      <c r="N418" t="s">
        <v>134</v>
      </c>
      <c r="O418" t="s">
        <v>135</v>
      </c>
      <c r="P418" t="s">
        <v>506</v>
      </c>
    </row>
    <row r="419" spans="1:16" x14ac:dyDescent="0.2">
      <c r="A419" t="s">
        <v>502</v>
      </c>
      <c r="B419" t="s">
        <v>516</v>
      </c>
      <c r="C419" t="s">
        <v>128</v>
      </c>
      <c r="D419" t="s">
        <v>324</v>
      </c>
      <c r="F419" t="s">
        <v>504</v>
      </c>
      <c r="G419" t="s">
        <v>517</v>
      </c>
      <c r="H419" t="s">
        <v>146</v>
      </c>
      <c r="J419">
        <v>2018</v>
      </c>
      <c r="K419" t="s">
        <v>133</v>
      </c>
      <c r="L419">
        <v>43238</v>
      </c>
      <c r="N419" t="s">
        <v>140</v>
      </c>
      <c r="O419" t="s">
        <v>135</v>
      </c>
      <c r="P419" t="s">
        <v>518</v>
      </c>
    </row>
    <row r="420" spans="1:16" x14ac:dyDescent="0.2">
      <c r="A420" t="s">
        <v>502</v>
      </c>
      <c r="B420" t="s">
        <v>519</v>
      </c>
      <c r="C420" t="s">
        <v>128</v>
      </c>
      <c r="D420" t="s">
        <v>324</v>
      </c>
      <c r="F420" t="s">
        <v>504</v>
      </c>
      <c r="G420" t="s">
        <v>520</v>
      </c>
      <c r="H420" t="s">
        <v>146</v>
      </c>
      <c r="J420">
        <v>2018</v>
      </c>
      <c r="L420">
        <v>43238</v>
      </c>
      <c r="N420" t="s">
        <v>140</v>
      </c>
      <c r="O420" t="s">
        <v>135</v>
      </c>
      <c r="P420" t="s">
        <v>518</v>
      </c>
    </row>
    <row r="421" spans="1:16" x14ac:dyDescent="0.2">
      <c r="A421" t="s">
        <v>502</v>
      </c>
      <c r="B421" t="s">
        <v>521</v>
      </c>
      <c r="C421" t="s">
        <v>128</v>
      </c>
      <c r="D421" t="s">
        <v>324</v>
      </c>
      <c r="F421" t="s">
        <v>504</v>
      </c>
      <c r="G421" t="s">
        <v>522</v>
      </c>
      <c r="H421" t="s">
        <v>146</v>
      </c>
      <c r="J421">
        <v>2018</v>
      </c>
      <c r="K421" t="s">
        <v>523</v>
      </c>
      <c r="L421">
        <v>43423</v>
      </c>
      <c r="M421" t="s">
        <v>508</v>
      </c>
      <c r="N421" t="s">
        <v>134</v>
      </c>
      <c r="P421" t="s">
        <v>518</v>
      </c>
    </row>
    <row r="422" spans="1:16" x14ac:dyDescent="0.2">
      <c r="A422" t="s">
        <v>502</v>
      </c>
      <c r="B422" t="s">
        <v>524</v>
      </c>
      <c r="C422" t="s">
        <v>128</v>
      </c>
      <c r="D422" t="s">
        <v>324</v>
      </c>
      <c r="F422" t="s">
        <v>504</v>
      </c>
      <c r="G422" t="s">
        <v>525</v>
      </c>
      <c r="H422" t="s">
        <v>146</v>
      </c>
      <c r="J422">
        <v>2018</v>
      </c>
      <c r="K422" t="s">
        <v>523</v>
      </c>
      <c r="L422">
        <v>43605</v>
      </c>
      <c r="N422" t="s">
        <v>134</v>
      </c>
      <c r="P422" t="s">
        <v>518</v>
      </c>
    </row>
    <row r="423" spans="1:16" x14ac:dyDescent="0.2">
      <c r="A423" t="s">
        <v>502</v>
      </c>
      <c r="B423" t="s">
        <v>524</v>
      </c>
      <c r="C423" t="s">
        <v>128</v>
      </c>
      <c r="D423" t="s">
        <v>324</v>
      </c>
      <c r="F423" t="s">
        <v>504</v>
      </c>
      <c r="G423" t="s">
        <v>525</v>
      </c>
      <c r="H423" t="s">
        <v>146</v>
      </c>
      <c r="J423">
        <v>2018</v>
      </c>
      <c r="K423" t="s">
        <v>523</v>
      </c>
      <c r="L423">
        <v>43605</v>
      </c>
      <c r="N423" t="s">
        <v>134</v>
      </c>
      <c r="P423" t="s">
        <v>518</v>
      </c>
    </row>
    <row r="424" spans="1:16" x14ac:dyDescent="0.2">
      <c r="A424" t="s">
        <v>1022</v>
      </c>
      <c r="B424" t="s">
        <v>1023</v>
      </c>
      <c r="C424" t="s">
        <v>128</v>
      </c>
      <c r="D424" t="s">
        <v>324</v>
      </c>
      <c r="F424" t="s">
        <v>504</v>
      </c>
      <c r="G424" t="s">
        <v>1024</v>
      </c>
      <c r="H424" t="s">
        <v>146</v>
      </c>
      <c r="J424">
        <v>2019</v>
      </c>
      <c r="K424" t="s">
        <v>221</v>
      </c>
      <c r="L424">
        <v>43584</v>
      </c>
      <c r="N424" t="s">
        <v>134</v>
      </c>
      <c r="O424" t="s">
        <v>135</v>
      </c>
      <c r="P424" t="s">
        <v>1025</v>
      </c>
    </row>
    <row r="425" spans="1:16" x14ac:dyDescent="0.2">
      <c r="A425" t="s">
        <v>1170</v>
      </c>
      <c r="B425" t="s">
        <v>1171</v>
      </c>
      <c r="C425" t="s">
        <v>128</v>
      </c>
      <c r="D425" t="s">
        <v>324</v>
      </c>
      <c r="F425" t="s">
        <v>504</v>
      </c>
      <c r="G425" t="s">
        <v>1172</v>
      </c>
      <c r="H425" t="s">
        <v>146</v>
      </c>
      <c r="J425">
        <v>2019</v>
      </c>
      <c r="K425" t="s">
        <v>351</v>
      </c>
      <c r="L425">
        <v>43874</v>
      </c>
      <c r="N425" t="s">
        <v>140</v>
      </c>
      <c r="P425" t="s">
        <v>1173</v>
      </c>
    </row>
    <row r="426" spans="1:16" x14ac:dyDescent="0.2">
      <c r="A426" t="s">
        <v>1478</v>
      </c>
      <c r="B426" t="s">
        <v>1479</v>
      </c>
      <c r="C426" t="s">
        <v>128</v>
      </c>
      <c r="D426" t="s">
        <v>324</v>
      </c>
      <c r="F426" t="s">
        <v>504</v>
      </c>
      <c r="G426" t="s">
        <v>1480</v>
      </c>
      <c r="H426" t="s">
        <v>146</v>
      </c>
      <c r="I426" t="s">
        <v>1181</v>
      </c>
      <c r="J426">
        <v>2020</v>
      </c>
      <c r="K426" t="s">
        <v>277</v>
      </c>
      <c r="L426">
        <v>44169</v>
      </c>
      <c r="N426" t="s">
        <v>140</v>
      </c>
      <c r="P426" t="s">
        <v>1481</v>
      </c>
    </row>
    <row r="427" spans="1:16" x14ac:dyDescent="0.2">
      <c r="A427" t="s">
        <v>1115</v>
      </c>
      <c r="B427" t="s">
        <v>1116</v>
      </c>
      <c r="C427" t="s">
        <v>128</v>
      </c>
      <c r="D427" t="s">
        <v>1117</v>
      </c>
      <c r="F427" t="s">
        <v>504</v>
      </c>
      <c r="H427" t="s">
        <v>146</v>
      </c>
      <c r="J427">
        <v>2019</v>
      </c>
      <c r="K427" t="s">
        <v>351</v>
      </c>
      <c r="L427">
        <v>43658</v>
      </c>
      <c r="N427" t="s">
        <v>134</v>
      </c>
      <c r="P427" t="s">
        <v>1118</v>
      </c>
    </row>
    <row r="428" spans="1:16" x14ac:dyDescent="0.2">
      <c r="A428" t="s">
        <v>1423</v>
      </c>
      <c r="B428" t="s">
        <v>1424</v>
      </c>
      <c r="C428" t="s">
        <v>128</v>
      </c>
      <c r="D428" t="s">
        <v>1117</v>
      </c>
      <c r="F428" t="s">
        <v>504</v>
      </c>
      <c r="H428" t="s">
        <v>146</v>
      </c>
      <c r="I428" t="s">
        <v>1181</v>
      </c>
      <c r="J428">
        <v>2020</v>
      </c>
      <c r="K428" t="s">
        <v>221</v>
      </c>
      <c r="L428">
        <v>44151</v>
      </c>
      <c r="M428" t="s">
        <v>1425</v>
      </c>
      <c r="N428" t="s">
        <v>134</v>
      </c>
      <c r="O428" t="s">
        <v>1426</v>
      </c>
      <c r="P428" t="s">
        <v>1427</v>
      </c>
    </row>
    <row r="429" spans="1:16" x14ac:dyDescent="0.2">
      <c r="A429" t="s">
        <v>2404</v>
      </c>
      <c r="B429" t="s">
        <v>2405</v>
      </c>
      <c r="C429" t="s">
        <v>128</v>
      </c>
      <c r="D429" t="s">
        <v>1117</v>
      </c>
      <c r="E429" t="s">
        <v>1117</v>
      </c>
      <c r="F429" t="s">
        <v>1720</v>
      </c>
      <c r="G429" t="s">
        <v>2406</v>
      </c>
      <c r="H429" t="s">
        <v>146</v>
      </c>
      <c r="I429" t="s">
        <v>1181</v>
      </c>
      <c r="J429">
        <v>2023</v>
      </c>
      <c r="K429" t="s">
        <v>133</v>
      </c>
      <c r="N429" t="s">
        <v>112</v>
      </c>
      <c r="P429" t="s">
        <v>2407</v>
      </c>
    </row>
    <row r="430" spans="1:16" x14ac:dyDescent="0.2">
      <c r="A430" t="s">
        <v>2558</v>
      </c>
      <c r="B430" t="s">
        <v>2559</v>
      </c>
      <c r="C430" t="s">
        <v>128</v>
      </c>
      <c r="D430" t="s">
        <v>1117</v>
      </c>
      <c r="F430" t="s">
        <v>1345</v>
      </c>
      <c r="G430" t="s">
        <v>2365</v>
      </c>
      <c r="H430" t="s">
        <v>326</v>
      </c>
      <c r="I430" t="s">
        <v>1181</v>
      </c>
      <c r="J430">
        <v>2024</v>
      </c>
      <c r="K430" t="s">
        <v>277</v>
      </c>
      <c r="L430">
        <v>45595</v>
      </c>
      <c r="N430" t="s">
        <v>134</v>
      </c>
      <c r="P430" t="s">
        <v>2560</v>
      </c>
    </row>
    <row r="431" spans="1:16" x14ac:dyDescent="0.2">
      <c r="A431" t="s">
        <v>1718</v>
      </c>
      <c r="B431" t="s">
        <v>1719</v>
      </c>
      <c r="C431" t="s">
        <v>128</v>
      </c>
      <c r="D431" t="s">
        <v>1720</v>
      </c>
      <c r="F431" t="s">
        <v>1721</v>
      </c>
      <c r="G431" t="s">
        <v>1722</v>
      </c>
      <c r="H431" t="s">
        <v>146</v>
      </c>
      <c r="I431" t="s">
        <v>1181</v>
      </c>
      <c r="J431">
        <v>2021</v>
      </c>
      <c r="K431" t="s">
        <v>261</v>
      </c>
      <c r="L431">
        <v>2020</v>
      </c>
      <c r="N431" t="s">
        <v>140</v>
      </c>
      <c r="O431" t="s">
        <v>135</v>
      </c>
      <c r="P431" t="s">
        <v>1723</v>
      </c>
    </row>
    <row r="432" spans="1:16" x14ac:dyDescent="0.2">
      <c r="A432" t="s">
        <v>3437</v>
      </c>
      <c r="B432" t="s">
        <v>3438</v>
      </c>
      <c r="C432" t="s">
        <v>128</v>
      </c>
      <c r="D432" t="s">
        <v>1720</v>
      </c>
      <c r="G432" t="s">
        <v>3439</v>
      </c>
      <c r="H432" t="s">
        <v>146</v>
      </c>
      <c r="I432" t="s">
        <v>1181</v>
      </c>
      <c r="J432">
        <v>2025</v>
      </c>
      <c r="K432" t="s">
        <v>351</v>
      </c>
      <c r="L432">
        <v>45922</v>
      </c>
      <c r="N432" t="s">
        <v>597</v>
      </c>
    </row>
    <row r="433" spans="1:16" x14ac:dyDescent="0.2">
      <c r="A433" t="s">
        <v>1515</v>
      </c>
      <c r="B433" t="s">
        <v>1516</v>
      </c>
      <c r="C433" t="s">
        <v>128</v>
      </c>
      <c r="D433" t="s">
        <v>1517</v>
      </c>
      <c r="E433" t="s">
        <v>181</v>
      </c>
      <c r="F433" t="s">
        <v>551</v>
      </c>
      <c r="G433" t="s">
        <v>1518</v>
      </c>
      <c r="H433" t="s">
        <v>199</v>
      </c>
      <c r="I433" t="s">
        <v>1181</v>
      </c>
      <c r="J433">
        <v>2020</v>
      </c>
      <c r="K433" t="s">
        <v>221</v>
      </c>
      <c r="L433">
        <v>44264</v>
      </c>
      <c r="N433" t="s">
        <v>134</v>
      </c>
      <c r="O433" t="s">
        <v>135</v>
      </c>
      <c r="P433" t="s">
        <v>1519</v>
      </c>
    </row>
    <row r="434" spans="1:16" x14ac:dyDescent="0.2">
      <c r="A434" t="s">
        <v>2155</v>
      </c>
      <c r="B434" t="s">
        <v>1575</v>
      </c>
      <c r="C434" t="s">
        <v>128</v>
      </c>
      <c r="D434" t="s">
        <v>2156</v>
      </c>
      <c r="F434" t="s">
        <v>2157</v>
      </c>
      <c r="H434" t="s">
        <v>477</v>
      </c>
      <c r="I434" t="s">
        <v>1181</v>
      </c>
      <c r="J434">
        <v>2022</v>
      </c>
      <c r="K434" t="s">
        <v>277</v>
      </c>
      <c r="M434" t="s">
        <v>2158</v>
      </c>
      <c r="N434" t="s">
        <v>444</v>
      </c>
      <c r="P434" t="s">
        <v>2159</v>
      </c>
    </row>
    <row r="435" spans="1:16" x14ac:dyDescent="0.2">
      <c r="A435" t="s">
        <v>196</v>
      </c>
      <c r="B435" t="s">
        <v>197</v>
      </c>
      <c r="C435" t="s">
        <v>128</v>
      </c>
      <c r="D435" t="s">
        <v>181</v>
      </c>
      <c r="F435" t="s">
        <v>198</v>
      </c>
      <c r="H435" t="s">
        <v>199</v>
      </c>
      <c r="J435">
        <v>2016</v>
      </c>
      <c r="N435" t="s">
        <v>147</v>
      </c>
      <c r="O435" t="s">
        <v>135</v>
      </c>
      <c r="P435" t="s">
        <v>200</v>
      </c>
    </row>
    <row r="436" spans="1:16" x14ac:dyDescent="0.2">
      <c r="A436" t="s">
        <v>256</v>
      </c>
      <c r="C436" t="s">
        <v>128</v>
      </c>
      <c r="D436" t="s">
        <v>181</v>
      </c>
      <c r="E436" t="s">
        <v>181</v>
      </c>
      <c r="F436" t="s">
        <v>257</v>
      </c>
      <c r="H436" t="s">
        <v>258</v>
      </c>
      <c r="J436">
        <v>2016</v>
      </c>
      <c r="O436" t="s">
        <v>255</v>
      </c>
      <c r="P436" t="s">
        <v>3515</v>
      </c>
    </row>
    <row r="437" spans="1:16" x14ac:dyDescent="0.2">
      <c r="A437" t="s">
        <v>274</v>
      </c>
      <c r="B437" t="s">
        <v>275</v>
      </c>
      <c r="C437" t="s">
        <v>128</v>
      </c>
      <c r="D437" t="s">
        <v>181</v>
      </c>
      <c r="F437" t="s">
        <v>276</v>
      </c>
      <c r="H437" t="s">
        <v>183</v>
      </c>
      <c r="J437">
        <v>2016</v>
      </c>
      <c r="K437" t="s">
        <v>277</v>
      </c>
      <c r="L437">
        <v>42720</v>
      </c>
      <c r="N437" t="s">
        <v>134</v>
      </c>
      <c r="O437" t="s">
        <v>135</v>
      </c>
      <c r="P437" t="s">
        <v>3516</v>
      </c>
    </row>
    <row r="438" spans="1:16" x14ac:dyDescent="0.2">
      <c r="A438" t="s">
        <v>317</v>
      </c>
      <c r="B438" t="s">
        <v>318</v>
      </c>
      <c r="C438" t="s">
        <v>128</v>
      </c>
      <c r="D438" t="s">
        <v>181</v>
      </c>
      <c r="F438" t="s">
        <v>319</v>
      </c>
      <c r="H438" t="s">
        <v>320</v>
      </c>
      <c r="J438">
        <v>2016</v>
      </c>
      <c r="L438">
        <v>42750</v>
      </c>
      <c r="N438" t="s">
        <v>134</v>
      </c>
      <c r="O438" t="s">
        <v>135</v>
      </c>
      <c r="P438" t="s">
        <v>321</v>
      </c>
    </row>
    <row r="439" spans="1:16" x14ac:dyDescent="0.2">
      <c r="A439" t="s">
        <v>446</v>
      </c>
      <c r="B439" t="s">
        <v>447</v>
      </c>
      <c r="C439" t="s">
        <v>128</v>
      </c>
      <c r="D439" t="s">
        <v>181</v>
      </c>
      <c r="F439" t="s">
        <v>448</v>
      </c>
      <c r="H439" t="s">
        <v>309</v>
      </c>
      <c r="J439">
        <v>2017</v>
      </c>
      <c r="K439" t="s">
        <v>351</v>
      </c>
      <c r="L439">
        <v>42977</v>
      </c>
      <c r="N439" t="s">
        <v>134</v>
      </c>
      <c r="O439" t="s">
        <v>135</v>
      </c>
      <c r="P439" t="s">
        <v>449</v>
      </c>
    </row>
    <row r="440" spans="1:16" x14ac:dyDescent="0.2">
      <c r="A440" t="s">
        <v>459</v>
      </c>
      <c r="B440" t="s">
        <v>460</v>
      </c>
      <c r="C440" t="s">
        <v>128</v>
      </c>
      <c r="D440" t="s">
        <v>181</v>
      </c>
      <c r="F440" t="s">
        <v>461</v>
      </c>
      <c r="G440" t="s">
        <v>462</v>
      </c>
      <c r="H440" t="s">
        <v>463</v>
      </c>
      <c r="J440">
        <v>2017</v>
      </c>
      <c r="K440" t="s">
        <v>133</v>
      </c>
      <c r="L440">
        <v>42958</v>
      </c>
      <c r="N440" t="s">
        <v>134</v>
      </c>
      <c r="O440" t="s">
        <v>135</v>
      </c>
      <c r="P440" t="s">
        <v>464</v>
      </c>
    </row>
    <row r="441" spans="1:16" x14ac:dyDescent="0.2">
      <c r="A441" t="s">
        <v>459</v>
      </c>
      <c r="B441" t="s">
        <v>465</v>
      </c>
      <c r="C441" t="s">
        <v>128</v>
      </c>
      <c r="D441" t="s">
        <v>181</v>
      </c>
      <c r="F441" t="s">
        <v>461</v>
      </c>
      <c r="G441" t="s">
        <v>466</v>
      </c>
      <c r="H441" t="s">
        <v>463</v>
      </c>
      <c r="J441">
        <v>2017</v>
      </c>
      <c r="K441" t="s">
        <v>133</v>
      </c>
      <c r="L441" t="s">
        <v>467</v>
      </c>
      <c r="N441" t="s">
        <v>134</v>
      </c>
      <c r="O441" t="s">
        <v>135</v>
      </c>
      <c r="P441" t="s">
        <v>464</v>
      </c>
    </row>
    <row r="442" spans="1:16" x14ac:dyDescent="0.2">
      <c r="A442" t="s">
        <v>543</v>
      </c>
      <c r="B442" t="s">
        <v>544</v>
      </c>
      <c r="C442" t="s">
        <v>128</v>
      </c>
      <c r="D442" t="s">
        <v>181</v>
      </c>
      <c r="F442" t="s">
        <v>545</v>
      </c>
      <c r="G442" t="s">
        <v>160</v>
      </c>
      <c r="H442" t="s">
        <v>546</v>
      </c>
      <c r="J442">
        <v>2017</v>
      </c>
      <c r="K442" t="s">
        <v>133</v>
      </c>
      <c r="L442">
        <v>43230</v>
      </c>
      <c r="N442" t="s">
        <v>134</v>
      </c>
      <c r="O442" t="s">
        <v>135</v>
      </c>
      <c r="P442" t="s">
        <v>547</v>
      </c>
    </row>
    <row r="443" spans="1:16" x14ac:dyDescent="0.2">
      <c r="A443" t="s">
        <v>633</v>
      </c>
      <c r="B443" t="s">
        <v>634</v>
      </c>
      <c r="C443" t="s">
        <v>128</v>
      </c>
      <c r="D443" t="s">
        <v>181</v>
      </c>
      <c r="F443" t="s">
        <v>635</v>
      </c>
      <c r="G443" t="s">
        <v>636</v>
      </c>
      <c r="H443" t="s">
        <v>267</v>
      </c>
      <c r="J443">
        <v>2018</v>
      </c>
      <c r="K443" t="s">
        <v>133</v>
      </c>
      <c r="L443" t="s">
        <v>637</v>
      </c>
      <c r="M443" t="s">
        <v>638</v>
      </c>
      <c r="N443" t="s">
        <v>134</v>
      </c>
      <c r="O443" t="s">
        <v>135</v>
      </c>
      <c r="P443" t="s">
        <v>639</v>
      </c>
    </row>
    <row r="444" spans="1:16" x14ac:dyDescent="0.2">
      <c r="A444" t="s">
        <v>785</v>
      </c>
      <c r="B444" t="s">
        <v>786</v>
      </c>
      <c r="C444" t="s">
        <v>128</v>
      </c>
      <c r="D444" t="s">
        <v>181</v>
      </c>
      <c r="E444" t="s">
        <v>181</v>
      </c>
      <c r="F444" t="s">
        <v>339</v>
      </c>
      <c r="G444" t="s">
        <v>787</v>
      </c>
      <c r="H444" t="s">
        <v>183</v>
      </c>
      <c r="J444">
        <v>2018</v>
      </c>
      <c r="K444" t="s">
        <v>133</v>
      </c>
      <c r="L444">
        <v>43311</v>
      </c>
      <c r="N444" t="s">
        <v>134</v>
      </c>
      <c r="O444" t="s">
        <v>135</v>
      </c>
      <c r="P444" t="s">
        <v>788</v>
      </c>
    </row>
    <row r="445" spans="1:16" x14ac:dyDescent="0.2">
      <c r="A445" t="s">
        <v>785</v>
      </c>
      <c r="B445" t="s">
        <v>789</v>
      </c>
      <c r="C445" t="s">
        <v>128</v>
      </c>
      <c r="D445" t="s">
        <v>181</v>
      </c>
      <c r="E445" t="s">
        <v>181</v>
      </c>
      <c r="F445" t="s">
        <v>339</v>
      </c>
      <c r="G445" t="s">
        <v>790</v>
      </c>
      <c r="H445" t="s">
        <v>183</v>
      </c>
      <c r="J445">
        <v>2018</v>
      </c>
      <c r="K445" t="s">
        <v>133</v>
      </c>
      <c r="L445">
        <v>43318</v>
      </c>
      <c r="N445" t="s">
        <v>134</v>
      </c>
      <c r="O445" t="s">
        <v>791</v>
      </c>
      <c r="P445" t="s">
        <v>788</v>
      </c>
    </row>
    <row r="446" spans="1:16" x14ac:dyDescent="0.2">
      <c r="A446" t="s">
        <v>785</v>
      </c>
      <c r="B446" t="s">
        <v>792</v>
      </c>
      <c r="C446" t="s">
        <v>128</v>
      </c>
      <c r="D446" t="s">
        <v>181</v>
      </c>
      <c r="E446" t="s">
        <v>181</v>
      </c>
      <c r="F446" t="s">
        <v>339</v>
      </c>
      <c r="G446" t="s">
        <v>793</v>
      </c>
      <c r="H446" t="s">
        <v>183</v>
      </c>
      <c r="J446">
        <v>2018</v>
      </c>
      <c r="K446" t="s">
        <v>133</v>
      </c>
      <c r="L446">
        <v>43287</v>
      </c>
      <c r="N446" t="s">
        <v>140</v>
      </c>
      <c r="O446" t="s">
        <v>794</v>
      </c>
      <c r="P446" t="s">
        <v>788</v>
      </c>
    </row>
    <row r="447" spans="1:16" x14ac:dyDescent="0.2">
      <c r="A447" t="s">
        <v>958</v>
      </c>
      <c r="B447" t="s">
        <v>959</v>
      </c>
      <c r="C447" t="s">
        <v>128</v>
      </c>
      <c r="D447" t="s">
        <v>181</v>
      </c>
      <c r="F447" t="s">
        <v>960</v>
      </c>
      <c r="H447" t="s">
        <v>183</v>
      </c>
      <c r="J447">
        <v>2018</v>
      </c>
      <c r="K447" t="s">
        <v>133</v>
      </c>
      <c r="L447">
        <v>43615</v>
      </c>
      <c r="N447" t="s">
        <v>134</v>
      </c>
      <c r="P447" t="s">
        <v>3517</v>
      </c>
    </row>
    <row r="448" spans="1:16" x14ac:dyDescent="0.2">
      <c r="A448" t="s">
        <v>958</v>
      </c>
      <c r="B448" t="s">
        <v>962</v>
      </c>
      <c r="C448" t="s">
        <v>128</v>
      </c>
      <c r="D448" t="s">
        <v>181</v>
      </c>
      <c r="F448" t="s">
        <v>960</v>
      </c>
      <c r="K448" t="s">
        <v>133</v>
      </c>
      <c r="L448">
        <v>43661</v>
      </c>
      <c r="N448" t="s">
        <v>134</v>
      </c>
      <c r="P448" t="s">
        <v>3518</v>
      </c>
    </row>
    <row r="449" spans="1:16" x14ac:dyDescent="0.2">
      <c r="A449" t="s">
        <v>972</v>
      </c>
      <c r="B449" t="s">
        <v>973</v>
      </c>
      <c r="C449" t="s">
        <v>128</v>
      </c>
      <c r="D449" t="s">
        <v>181</v>
      </c>
      <c r="F449" t="s">
        <v>974</v>
      </c>
      <c r="G449" t="s">
        <v>975</v>
      </c>
      <c r="H449" t="s">
        <v>183</v>
      </c>
      <c r="J449">
        <v>2018</v>
      </c>
      <c r="K449" t="s">
        <v>351</v>
      </c>
      <c r="L449">
        <v>43529</v>
      </c>
      <c r="N449" t="s">
        <v>134</v>
      </c>
      <c r="O449" t="s">
        <v>135</v>
      </c>
      <c r="P449" t="s">
        <v>976</v>
      </c>
    </row>
    <row r="450" spans="1:16" x14ac:dyDescent="0.2">
      <c r="A450" t="s">
        <v>1026</v>
      </c>
      <c r="B450" t="s">
        <v>1027</v>
      </c>
      <c r="C450" t="s">
        <v>128</v>
      </c>
      <c r="D450" t="s">
        <v>181</v>
      </c>
      <c r="F450" t="s">
        <v>1028</v>
      </c>
      <c r="H450" t="s">
        <v>421</v>
      </c>
      <c r="J450">
        <v>2019</v>
      </c>
      <c r="K450" t="s">
        <v>277</v>
      </c>
      <c r="L450">
        <v>43655</v>
      </c>
      <c r="M450" t="s">
        <v>1029</v>
      </c>
      <c r="N450" t="s">
        <v>134</v>
      </c>
      <c r="P450" t="s">
        <v>1030</v>
      </c>
    </row>
    <row r="451" spans="1:16" x14ac:dyDescent="0.2">
      <c r="A451" t="s">
        <v>1026</v>
      </c>
      <c r="B451" t="s">
        <v>1031</v>
      </c>
      <c r="C451" t="s">
        <v>128</v>
      </c>
      <c r="D451" t="s">
        <v>181</v>
      </c>
      <c r="F451" t="s">
        <v>1028</v>
      </c>
      <c r="H451" t="s">
        <v>421</v>
      </c>
      <c r="J451">
        <v>2019</v>
      </c>
      <c r="K451" t="s">
        <v>112</v>
      </c>
      <c r="L451">
        <v>43592</v>
      </c>
      <c r="M451" t="s">
        <v>1029</v>
      </c>
      <c r="N451" t="s">
        <v>140</v>
      </c>
      <c r="P451" t="s">
        <v>1030</v>
      </c>
    </row>
    <row r="452" spans="1:16" x14ac:dyDescent="0.2">
      <c r="A452" t="s">
        <v>1062</v>
      </c>
      <c r="C452" t="s">
        <v>128</v>
      </c>
      <c r="D452" t="s">
        <v>181</v>
      </c>
      <c r="F452" t="s">
        <v>253</v>
      </c>
      <c r="G452" t="s">
        <v>1063</v>
      </c>
      <c r="H452" t="s">
        <v>254</v>
      </c>
      <c r="J452">
        <v>2019</v>
      </c>
      <c r="K452" t="s">
        <v>277</v>
      </c>
      <c r="N452" t="s">
        <v>134</v>
      </c>
      <c r="P452" t="s">
        <v>1064</v>
      </c>
    </row>
    <row r="453" spans="1:16" x14ac:dyDescent="0.2">
      <c r="A453" t="s">
        <v>1078</v>
      </c>
      <c r="B453" t="s">
        <v>1079</v>
      </c>
      <c r="C453" t="s">
        <v>128</v>
      </c>
      <c r="D453" t="s">
        <v>181</v>
      </c>
      <c r="F453" t="s">
        <v>766</v>
      </c>
      <c r="H453" t="s">
        <v>767</v>
      </c>
      <c r="J453">
        <v>2019</v>
      </c>
      <c r="K453" t="s">
        <v>277</v>
      </c>
      <c r="L453">
        <v>43707</v>
      </c>
      <c r="N453" t="s">
        <v>134</v>
      </c>
      <c r="P453" t="s">
        <v>1080</v>
      </c>
    </row>
    <row r="454" spans="1:16" x14ac:dyDescent="0.2">
      <c r="A454" t="s">
        <v>1205</v>
      </c>
      <c r="B454" t="s">
        <v>1206</v>
      </c>
      <c r="C454" t="s">
        <v>128</v>
      </c>
      <c r="D454" t="s">
        <v>181</v>
      </c>
      <c r="F454" t="s">
        <v>339</v>
      </c>
      <c r="G454" t="s">
        <v>1207</v>
      </c>
      <c r="H454" t="s">
        <v>183</v>
      </c>
      <c r="I454" t="s">
        <v>1181</v>
      </c>
      <c r="J454">
        <v>2019</v>
      </c>
      <c r="K454" t="s">
        <v>351</v>
      </c>
      <c r="L454">
        <v>43938</v>
      </c>
      <c r="N454" t="s">
        <v>134</v>
      </c>
      <c r="P454" t="s">
        <v>1208</v>
      </c>
    </row>
    <row r="455" spans="1:16" x14ac:dyDescent="0.2">
      <c r="A455" t="s">
        <v>1205</v>
      </c>
      <c r="B455" t="s">
        <v>1209</v>
      </c>
      <c r="C455" t="s">
        <v>128</v>
      </c>
      <c r="D455" t="s">
        <v>181</v>
      </c>
      <c r="F455" t="s">
        <v>339</v>
      </c>
      <c r="G455" t="s">
        <v>1210</v>
      </c>
      <c r="H455" t="s">
        <v>183</v>
      </c>
      <c r="I455" t="s">
        <v>1181</v>
      </c>
      <c r="J455">
        <v>2019</v>
      </c>
      <c r="K455" t="s">
        <v>351</v>
      </c>
      <c r="L455">
        <v>43845</v>
      </c>
      <c r="N455" t="s">
        <v>140</v>
      </c>
      <c r="P455" t="s">
        <v>1208</v>
      </c>
    </row>
    <row r="456" spans="1:16" x14ac:dyDescent="0.2">
      <c r="A456" t="s">
        <v>1250</v>
      </c>
      <c r="B456" t="s">
        <v>1251</v>
      </c>
      <c r="C456" t="s">
        <v>128</v>
      </c>
      <c r="D456" t="s">
        <v>181</v>
      </c>
      <c r="F456" t="s">
        <v>1252</v>
      </c>
      <c r="G456" t="s">
        <v>1253</v>
      </c>
      <c r="H456" t="s">
        <v>655</v>
      </c>
      <c r="I456" t="s">
        <v>1181</v>
      </c>
      <c r="J456">
        <v>2019</v>
      </c>
      <c r="K456" t="s">
        <v>277</v>
      </c>
      <c r="L456">
        <v>43811</v>
      </c>
      <c r="N456" t="s">
        <v>140</v>
      </c>
      <c r="P456" t="s">
        <v>1254</v>
      </c>
    </row>
    <row r="457" spans="1:16" x14ac:dyDescent="0.2">
      <c r="A457" t="s">
        <v>1310</v>
      </c>
      <c r="B457" t="s">
        <v>1311</v>
      </c>
      <c r="C457" t="s">
        <v>128</v>
      </c>
      <c r="D457" t="s">
        <v>181</v>
      </c>
      <c r="E457" t="s">
        <v>181</v>
      </c>
      <c r="F457" t="s">
        <v>339</v>
      </c>
      <c r="G457" t="s">
        <v>1312</v>
      </c>
      <c r="H457" t="s">
        <v>183</v>
      </c>
      <c r="I457" t="s">
        <v>1181</v>
      </c>
      <c r="J457">
        <v>2020</v>
      </c>
      <c r="K457" t="s">
        <v>133</v>
      </c>
      <c r="L457">
        <v>43962</v>
      </c>
      <c r="N457" t="s">
        <v>134</v>
      </c>
      <c r="P457" t="s">
        <v>1313</v>
      </c>
    </row>
    <row r="458" spans="1:16" x14ac:dyDescent="0.2">
      <c r="A458" t="s">
        <v>1310</v>
      </c>
      <c r="B458" t="s">
        <v>1314</v>
      </c>
      <c r="C458" t="s">
        <v>128</v>
      </c>
      <c r="D458" t="s">
        <v>181</v>
      </c>
      <c r="E458" t="s">
        <v>181</v>
      </c>
      <c r="F458" t="s">
        <v>339</v>
      </c>
      <c r="G458" t="s">
        <v>1315</v>
      </c>
      <c r="H458" t="s">
        <v>183</v>
      </c>
      <c r="I458" t="s">
        <v>1181</v>
      </c>
      <c r="J458">
        <v>2020</v>
      </c>
      <c r="K458" t="s">
        <v>133</v>
      </c>
      <c r="L458">
        <v>43986</v>
      </c>
      <c r="N458" t="s">
        <v>134</v>
      </c>
      <c r="P458" t="s">
        <v>1313</v>
      </c>
    </row>
    <row r="459" spans="1:16" x14ac:dyDescent="0.2">
      <c r="A459" t="s">
        <v>1446</v>
      </c>
      <c r="B459" t="s">
        <v>1447</v>
      </c>
      <c r="C459" t="s">
        <v>128</v>
      </c>
      <c r="D459" t="s">
        <v>181</v>
      </c>
      <c r="F459" t="s">
        <v>1448</v>
      </c>
      <c r="H459" t="s">
        <v>309</v>
      </c>
      <c r="I459" t="s">
        <v>1181</v>
      </c>
      <c r="J459">
        <v>2020</v>
      </c>
      <c r="K459" t="s">
        <v>277</v>
      </c>
      <c r="L459">
        <v>44120</v>
      </c>
      <c r="N459" t="s">
        <v>134</v>
      </c>
      <c r="P459" t="s">
        <v>1449</v>
      </c>
    </row>
    <row r="460" spans="1:16" x14ac:dyDescent="0.2">
      <c r="A460" t="s">
        <v>1475</v>
      </c>
      <c r="B460" t="s">
        <v>1476</v>
      </c>
      <c r="C460" t="s">
        <v>128</v>
      </c>
      <c r="D460" t="s">
        <v>181</v>
      </c>
      <c r="F460" t="s">
        <v>276</v>
      </c>
      <c r="H460" t="s">
        <v>183</v>
      </c>
      <c r="I460" t="s">
        <v>1181</v>
      </c>
      <c r="J460">
        <v>2020</v>
      </c>
      <c r="K460" t="s">
        <v>351</v>
      </c>
      <c r="L460">
        <v>44165</v>
      </c>
      <c r="N460" t="s">
        <v>134</v>
      </c>
      <c r="P460" t="s">
        <v>1477</v>
      </c>
    </row>
    <row r="461" spans="1:16" x14ac:dyDescent="0.2">
      <c r="A461" t="s">
        <v>1490</v>
      </c>
      <c r="B461" t="s">
        <v>1491</v>
      </c>
      <c r="C461" t="s">
        <v>128</v>
      </c>
      <c r="D461" t="s">
        <v>181</v>
      </c>
      <c r="F461" t="s">
        <v>843</v>
      </c>
      <c r="G461" t="s">
        <v>1492</v>
      </c>
      <c r="H461" t="s">
        <v>392</v>
      </c>
      <c r="I461" t="s">
        <v>1181</v>
      </c>
      <c r="J461">
        <v>2020</v>
      </c>
      <c r="K461" t="s">
        <v>277</v>
      </c>
      <c r="L461">
        <v>44179</v>
      </c>
      <c r="N461" t="s">
        <v>134</v>
      </c>
      <c r="P461" t="s">
        <v>1493</v>
      </c>
    </row>
    <row r="462" spans="1:16" x14ac:dyDescent="0.2">
      <c r="A462" t="s">
        <v>1538</v>
      </c>
      <c r="B462" t="s">
        <v>1539</v>
      </c>
      <c r="C462" t="s">
        <v>128</v>
      </c>
      <c r="D462" t="s">
        <v>181</v>
      </c>
      <c r="E462" t="s">
        <v>181</v>
      </c>
      <c r="F462" t="s">
        <v>1540</v>
      </c>
      <c r="G462" t="s">
        <v>1029</v>
      </c>
      <c r="H462" t="s">
        <v>199</v>
      </c>
      <c r="I462" t="s">
        <v>1181</v>
      </c>
      <c r="J462">
        <v>2020</v>
      </c>
      <c r="K462" t="s">
        <v>133</v>
      </c>
      <c r="N462" t="s">
        <v>140</v>
      </c>
      <c r="P462" t="s">
        <v>1541</v>
      </c>
    </row>
    <row r="463" spans="1:16" x14ac:dyDescent="0.2">
      <c r="A463" t="s">
        <v>1551</v>
      </c>
      <c r="B463" t="s">
        <v>1552</v>
      </c>
      <c r="C463" t="s">
        <v>128</v>
      </c>
      <c r="D463" t="s">
        <v>181</v>
      </c>
      <c r="E463" t="s">
        <v>461</v>
      </c>
      <c r="G463" t="s">
        <v>1553</v>
      </c>
      <c r="H463" t="s">
        <v>463</v>
      </c>
      <c r="I463" t="s">
        <v>1181</v>
      </c>
      <c r="J463">
        <v>2020</v>
      </c>
      <c r="K463" t="s">
        <v>351</v>
      </c>
      <c r="L463">
        <v>44252</v>
      </c>
      <c r="N463" t="s">
        <v>140</v>
      </c>
      <c r="O463" t="s">
        <v>1426</v>
      </c>
      <c r="P463" t="s">
        <v>1554</v>
      </c>
    </row>
    <row r="464" spans="1:16" x14ac:dyDescent="0.2">
      <c r="A464" t="s">
        <v>1588</v>
      </c>
      <c r="B464" t="s">
        <v>1589</v>
      </c>
      <c r="C464" t="s">
        <v>128</v>
      </c>
      <c r="D464" t="s">
        <v>181</v>
      </c>
      <c r="F464" t="s">
        <v>339</v>
      </c>
      <c r="G464" t="s">
        <v>1590</v>
      </c>
      <c r="H464" t="s">
        <v>183</v>
      </c>
      <c r="I464" t="s">
        <v>1181</v>
      </c>
      <c r="J464">
        <v>2021</v>
      </c>
      <c r="K464" t="s">
        <v>277</v>
      </c>
      <c r="L464">
        <v>44314</v>
      </c>
      <c r="N464" t="s">
        <v>134</v>
      </c>
      <c r="P464" t="s">
        <v>1591</v>
      </c>
    </row>
    <row r="465" spans="1:16" x14ac:dyDescent="0.2">
      <c r="A465" t="s">
        <v>1588</v>
      </c>
      <c r="B465" t="s">
        <v>1592</v>
      </c>
      <c r="C465" t="s">
        <v>128</v>
      </c>
      <c r="D465" t="s">
        <v>181</v>
      </c>
      <c r="F465" t="s">
        <v>339</v>
      </c>
      <c r="G465" t="s">
        <v>1593</v>
      </c>
      <c r="H465" t="s">
        <v>183</v>
      </c>
      <c r="I465" t="s">
        <v>1181</v>
      </c>
      <c r="J465">
        <v>2021</v>
      </c>
      <c r="K465" t="s">
        <v>277</v>
      </c>
      <c r="L465">
        <v>44314</v>
      </c>
      <c r="N465" t="s">
        <v>134</v>
      </c>
      <c r="P465" t="s">
        <v>1591</v>
      </c>
    </row>
    <row r="466" spans="1:16" x14ac:dyDescent="0.2">
      <c r="A466" t="s">
        <v>1609</v>
      </c>
      <c r="B466" t="s">
        <v>1610</v>
      </c>
      <c r="C466" t="s">
        <v>128</v>
      </c>
      <c r="D466" t="s">
        <v>181</v>
      </c>
      <c r="F466" t="s">
        <v>276</v>
      </c>
      <c r="G466" t="s">
        <v>1611</v>
      </c>
      <c r="H466" t="s">
        <v>183</v>
      </c>
      <c r="I466" t="s">
        <v>1181</v>
      </c>
      <c r="J466">
        <v>2021</v>
      </c>
      <c r="K466" t="s">
        <v>277</v>
      </c>
      <c r="L466">
        <v>44306</v>
      </c>
      <c r="N466" t="s">
        <v>134</v>
      </c>
      <c r="P466" t="s">
        <v>1894</v>
      </c>
    </row>
    <row r="467" spans="1:16" x14ac:dyDescent="0.2">
      <c r="A467" t="s">
        <v>1609</v>
      </c>
      <c r="B467" t="s">
        <v>1613</v>
      </c>
      <c r="C467" t="s">
        <v>128</v>
      </c>
      <c r="D467" t="s">
        <v>181</v>
      </c>
      <c r="F467" t="s">
        <v>276</v>
      </c>
      <c r="G467" t="s">
        <v>1614</v>
      </c>
      <c r="H467" t="s">
        <v>183</v>
      </c>
      <c r="I467" t="s">
        <v>1181</v>
      </c>
      <c r="J467">
        <v>2021</v>
      </c>
      <c r="K467" t="s">
        <v>277</v>
      </c>
      <c r="L467">
        <v>44306</v>
      </c>
      <c r="N467" t="s">
        <v>134</v>
      </c>
      <c r="P467" t="s">
        <v>1612</v>
      </c>
    </row>
    <row r="468" spans="1:16" x14ac:dyDescent="0.2">
      <c r="A468" t="s">
        <v>1609</v>
      </c>
      <c r="B468" t="s">
        <v>1615</v>
      </c>
      <c r="C468" t="s">
        <v>128</v>
      </c>
      <c r="D468" t="s">
        <v>181</v>
      </c>
      <c r="F468" t="s">
        <v>276</v>
      </c>
      <c r="G468" t="s">
        <v>1616</v>
      </c>
      <c r="H468" t="s">
        <v>183</v>
      </c>
      <c r="I468" t="s">
        <v>1181</v>
      </c>
      <c r="J468">
        <v>2021</v>
      </c>
      <c r="K468" t="s">
        <v>277</v>
      </c>
      <c r="L468">
        <v>44306</v>
      </c>
      <c r="N468" t="s">
        <v>134</v>
      </c>
      <c r="P468" t="s">
        <v>1612</v>
      </c>
    </row>
    <row r="469" spans="1:16" x14ac:dyDescent="0.2">
      <c r="A469" t="s">
        <v>1609</v>
      </c>
      <c r="B469" t="s">
        <v>1617</v>
      </c>
      <c r="C469" t="s">
        <v>128</v>
      </c>
      <c r="D469" t="s">
        <v>181</v>
      </c>
      <c r="F469" t="s">
        <v>276</v>
      </c>
      <c r="G469" t="s">
        <v>1618</v>
      </c>
      <c r="H469" t="s">
        <v>183</v>
      </c>
      <c r="I469" t="s">
        <v>1181</v>
      </c>
      <c r="J469">
        <v>2021</v>
      </c>
      <c r="K469" t="s">
        <v>277</v>
      </c>
      <c r="L469">
        <v>44306</v>
      </c>
      <c r="N469" t="s">
        <v>134</v>
      </c>
      <c r="P469" t="s">
        <v>1612</v>
      </c>
    </row>
    <row r="470" spans="1:16" x14ac:dyDescent="0.2">
      <c r="A470" t="s">
        <v>1609</v>
      </c>
      <c r="B470" t="s">
        <v>1619</v>
      </c>
      <c r="C470" t="s">
        <v>128</v>
      </c>
      <c r="D470" t="s">
        <v>181</v>
      </c>
      <c r="F470" t="s">
        <v>276</v>
      </c>
      <c r="G470" t="s">
        <v>1620</v>
      </c>
      <c r="H470" t="s">
        <v>183</v>
      </c>
      <c r="I470" t="s">
        <v>1181</v>
      </c>
      <c r="J470">
        <v>2021</v>
      </c>
      <c r="K470" t="s">
        <v>277</v>
      </c>
      <c r="L470">
        <v>44362</v>
      </c>
      <c r="N470" t="s">
        <v>134</v>
      </c>
      <c r="P470" t="s">
        <v>1612</v>
      </c>
    </row>
    <row r="471" spans="1:16" x14ac:dyDescent="0.2">
      <c r="A471" t="s">
        <v>1609</v>
      </c>
      <c r="B471" t="s">
        <v>1621</v>
      </c>
      <c r="C471" t="s">
        <v>128</v>
      </c>
      <c r="D471" t="s">
        <v>181</v>
      </c>
      <c r="F471" t="s">
        <v>276</v>
      </c>
      <c r="G471" t="s">
        <v>1622</v>
      </c>
      <c r="H471" t="s">
        <v>183</v>
      </c>
      <c r="I471" t="s">
        <v>1181</v>
      </c>
      <c r="J471">
        <v>2021</v>
      </c>
      <c r="K471" t="s">
        <v>277</v>
      </c>
      <c r="L471">
        <v>44461</v>
      </c>
      <c r="N471" t="s">
        <v>134</v>
      </c>
      <c r="P471" t="s">
        <v>1612</v>
      </c>
    </row>
    <row r="472" spans="1:16" x14ac:dyDescent="0.2">
      <c r="A472" t="s">
        <v>1609</v>
      </c>
      <c r="B472" t="s">
        <v>1623</v>
      </c>
      <c r="C472" t="s">
        <v>128</v>
      </c>
      <c r="D472" t="s">
        <v>181</v>
      </c>
      <c r="F472" t="s">
        <v>276</v>
      </c>
      <c r="G472" t="s">
        <v>1624</v>
      </c>
      <c r="H472" t="s">
        <v>183</v>
      </c>
      <c r="I472" t="s">
        <v>1181</v>
      </c>
      <c r="J472">
        <v>2021</v>
      </c>
      <c r="K472" t="s">
        <v>277</v>
      </c>
      <c r="L472">
        <v>44726</v>
      </c>
      <c r="N472" t="s">
        <v>134</v>
      </c>
      <c r="P472" t="s">
        <v>1612</v>
      </c>
    </row>
    <row r="473" spans="1:16" x14ac:dyDescent="0.2">
      <c r="A473" t="s">
        <v>1648</v>
      </c>
      <c r="B473" t="s">
        <v>1649</v>
      </c>
      <c r="C473" t="s">
        <v>128</v>
      </c>
      <c r="D473" t="s">
        <v>181</v>
      </c>
      <c r="F473" t="s">
        <v>1097</v>
      </c>
      <c r="G473" t="s">
        <v>1650</v>
      </c>
      <c r="H473" t="s">
        <v>472</v>
      </c>
      <c r="I473" t="s">
        <v>1181</v>
      </c>
      <c r="J473">
        <v>2021</v>
      </c>
      <c r="K473" t="s">
        <v>277</v>
      </c>
      <c r="L473">
        <v>44329</v>
      </c>
      <c r="N473" t="s">
        <v>134</v>
      </c>
      <c r="P473" t="s">
        <v>1651</v>
      </c>
    </row>
    <row r="474" spans="1:16" x14ac:dyDescent="0.2">
      <c r="A474" t="s">
        <v>1656</v>
      </c>
      <c r="B474" t="s">
        <v>1657</v>
      </c>
      <c r="C474" t="s">
        <v>128</v>
      </c>
      <c r="D474" t="s">
        <v>181</v>
      </c>
      <c r="F474" t="s">
        <v>545</v>
      </c>
      <c r="G474" t="s">
        <v>1658</v>
      </c>
      <c r="H474" t="s">
        <v>546</v>
      </c>
      <c r="I474" t="s">
        <v>1181</v>
      </c>
      <c r="J474">
        <v>2021</v>
      </c>
      <c r="K474" t="s">
        <v>277</v>
      </c>
      <c r="L474">
        <v>44347</v>
      </c>
      <c r="N474" t="s">
        <v>134</v>
      </c>
      <c r="P474" t="s">
        <v>1923</v>
      </c>
    </row>
    <row r="475" spans="1:16" x14ac:dyDescent="0.2">
      <c r="A475" t="s">
        <v>1656</v>
      </c>
      <c r="B475" t="s">
        <v>1659</v>
      </c>
      <c r="C475" t="s">
        <v>128</v>
      </c>
      <c r="D475" t="s">
        <v>181</v>
      </c>
      <c r="F475" t="s">
        <v>545</v>
      </c>
      <c r="G475" t="s">
        <v>1660</v>
      </c>
      <c r="H475" t="s">
        <v>546</v>
      </c>
      <c r="I475" t="s">
        <v>1181</v>
      </c>
      <c r="J475">
        <v>2021</v>
      </c>
      <c r="K475" t="s">
        <v>523</v>
      </c>
      <c r="L475">
        <v>44255</v>
      </c>
      <c r="N475" t="s">
        <v>134</v>
      </c>
      <c r="P475" t="s">
        <v>1923</v>
      </c>
    </row>
    <row r="476" spans="1:16" x14ac:dyDescent="0.2">
      <c r="A476" t="s">
        <v>1738</v>
      </c>
      <c r="B476" t="s">
        <v>1739</v>
      </c>
      <c r="C476" t="s">
        <v>128</v>
      </c>
      <c r="D476" t="s">
        <v>181</v>
      </c>
      <c r="F476" t="s">
        <v>1028</v>
      </c>
      <c r="H476" t="s">
        <v>421</v>
      </c>
      <c r="I476" t="s">
        <v>1181</v>
      </c>
      <c r="J476">
        <v>2021</v>
      </c>
      <c r="K476" t="s">
        <v>523</v>
      </c>
      <c r="L476">
        <v>44515</v>
      </c>
      <c r="N476" t="s">
        <v>134</v>
      </c>
      <c r="P476" t="s">
        <v>1740</v>
      </c>
    </row>
    <row r="477" spans="1:16" x14ac:dyDescent="0.2">
      <c r="A477" t="s">
        <v>1802</v>
      </c>
      <c r="B477" t="s">
        <v>1803</v>
      </c>
      <c r="C477" t="s">
        <v>128</v>
      </c>
      <c r="D477" t="s">
        <v>181</v>
      </c>
      <c r="F477" t="s">
        <v>1282</v>
      </c>
      <c r="H477" t="s">
        <v>1283</v>
      </c>
      <c r="I477" t="s">
        <v>1181</v>
      </c>
      <c r="J477">
        <v>2021</v>
      </c>
      <c r="K477" t="s">
        <v>523</v>
      </c>
      <c r="L477">
        <v>44283</v>
      </c>
      <c r="N477" t="s">
        <v>134</v>
      </c>
      <c r="P477" t="s">
        <v>1804</v>
      </c>
    </row>
    <row r="478" spans="1:16" x14ac:dyDescent="0.2">
      <c r="A478" t="s">
        <v>1802</v>
      </c>
      <c r="B478" t="s">
        <v>1805</v>
      </c>
      <c r="C478" t="s">
        <v>128</v>
      </c>
      <c r="D478" t="s">
        <v>181</v>
      </c>
      <c r="F478" t="s">
        <v>1282</v>
      </c>
      <c r="G478" t="s">
        <v>1298</v>
      </c>
      <c r="H478" t="s">
        <v>1283</v>
      </c>
      <c r="I478" t="s">
        <v>1181</v>
      </c>
      <c r="J478">
        <v>2021</v>
      </c>
      <c r="K478" t="s">
        <v>277</v>
      </c>
      <c r="L478">
        <v>44683</v>
      </c>
      <c r="N478" t="s">
        <v>134</v>
      </c>
      <c r="P478" t="s">
        <v>1804</v>
      </c>
    </row>
    <row r="479" spans="1:16" x14ac:dyDescent="0.2">
      <c r="A479" t="s">
        <v>1802</v>
      </c>
      <c r="B479" t="s">
        <v>1806</v>
      </c>
      <c r="C479" t="s">
        <v>128</v>
      </c>
      <c r="D479" t="s">
        <v>181</v>
      </c>
      <c r="F479" t="s">
        <v>1282</v>
      </c>
      <c r="G479" t="s">
        <v>1298</v>
      </c>
      <c r="H479" t="s">
        <v>1283</v>
      </c>
      <c r="I479" t="s">
        <v>1181</v>
      </c>
      <c r="J479">
        <v>2021</v>
      </c>
      <c r="K479" t="s">
        <v>277</v>
      </c>
      <c r="L479">
        <v>44683</v>
      </c>
      <c r="N479" t="s">
        <v>134</v>
      </c>
      <c r="P479" t="s">
        <v>1804</v>
      </c>
    </row>
    <row r="480" spans="1:16" x14ac:dyDescent="0.2">
      <c r="A480" t="s">
        <v>1811</v>
      </c>
      <c r="B480" t="s">
        <v>1812</v>
      </c>
      <c r="C480" t="s">
        <v>128</v>
      </c>
      <c r="D480" t="s">
        <v>181</v>
      </c>
      <c r="F480" t="s">
        <v>551</v>
      </c>
      <c r="G480" t="s">
        <v>1813</v>
      </c>
      <c r="H480" t="s">
        <v>199</v>
      </c>
      <c r="I480" t="s">
        <v>1181</v>
      </c>
      <c r="J480">
        <v>2021</v>
      </c>
      <c r="K480" t="s">
        <v>133</v>
      </c>
      <c r="L480">
        <v>44683</v>
      </c>
      <c r="N480" t="s">
        <v>134</v>
      </c>
      <c r="P480" t="s">
        <v>1814</v>
      </c>
    </row>
    <row r="481" spans="1:16" x14ac:dyDescent="0.2">
      <c r="A481" t="s">
        <v>1837</v>
      </c>
      <c r="B481" t="s">
        <v>1838</v>
      </c>
      <c r="C481" t="s">
        <v>128</v>
      </c>
      <c r="D481" t="s">
        <v>181</v>
      </c>
      <c r="F481" t="s">
        <v>339</v>
      </c>
      <c r="G481" t="s">
        <v>1839</v>
      </c>
      <c r="H481" t="s">
        <v>183</v>
      </c>
      <c r="I481" t="s">
        <v>1181</v>
      </c>
      <c r="J481">
        <v>2021</v>
      </c>
      <c r="K481" t="s">
        <v>221</v>
      </c>
      <c r="L481">
        <v>44286</v>
      </c>
      <c r="N481" t="s">
        <v>134</v>
      </c>
      <c r="O481" t="s">
        <v>135</v>
      </c>
      <c r="P481" t="s">
        <v>1840</v>
      </c>
    </row>
    <row r="482" spans="1:16" x14ac:dyDescent="0.2">
      <c r="A482" t="s">
        <v>1837</v>
      </c>
      <c r="B482" t="s">
        <v>1841</v>
      </c>
      <c r="C482" t="s">
        <v>128</v>
      </c>
      <c r="D482" t="s">
        <v>181</v>
      </c>
      <c r="F482" t="s">
        <v>339</v>
      </c>
      <c r="G482" t="s">
        <v>1842</v>
      </c>
      <c r="H482" t="s">
        <v>183</v>
      </c>
      <c r="I482" t="s">
        <v>1181</v>
      </c>
      <c r="J482">
        <v>2021</v>
      </c>
      <c r="K482" t="s">
        <v>221</v>
      </c>
      <c r="L482">
        <v>44286</v>
      </c>
      <c r="N482" t="s">
        <v>134</v>
      </c>
      <c r="O482" t="s">
        <v>135</v>
      </c>
      <c r="P482" t="s">
        <v>1840</v>
      </c>
    </row>
    <row r="483" spans="1:16" x14ac:dyDescent="0.2">
      <c r="A483" t="s">
        <v>1930</v>
      </c>
      <c r="B483" t="s">
        <v>1931</v>
      </c>
      <c r="C483" t="s">
        <v>128</v>
      </c>
      <c r="D483" t="s">
        <v>181</v>
      </c>
      <c r="F483" t="s">
        <v>1932</v>
      </c>
      <c r="H483" t="s">
        <v>320</v>
      </c>
      <c r="I483" t="s">
        <v>1181</v>
      </c>
      <c r="J483">
        <v>2021</v>
      </c>
      <c r="K483" t="s">
        <v>221</v>
      </c>
      <c r="L483">
        <v>44742</v>
      </c>
      <c r="N483" t="s">
        <v>134</v>
      </c>
      <c r="O483" t="s">
        <v>135</v>
      </c>
      <c r="P483" t="s">
        <v>1933</v>
      </c>
    </row>
    <row r="484" spans="1:16" x14ac:dyDescent="0.2">
      <c r="A484" t="s">
        <v>1959</v>
      </c>
      <c r="B484" t="s">
        <v>1960</v>
      </c>
      <c r="C484" t="s">
        <v>128</v>
      </c>
      <c r="D484" t="s">
        <v>181</v>
      </c>
      <c r="F484" t="s">
        <v>1961</v>
      </c>
      <c r="G484" t="s">
        <v>1962</v>
      </c>
      <c r="H484" t="s">
        <v>392</v>
      </c>
      <c r="I484" t="s">
        <v>1181</v>
      </c>
      <c r="J484">
        <v>2021</v>
      </c>
      <c r="K484" t="s">
        <v>277</v>
      </c>
      <c r="L484">
        <v>44647</v>
      </c>
      <c r="N484" t="s">
        <v>134</v>
      </c>
      <c r="P484" t="s">
        <v>1963</v>
      </c>
    </row>
    <row r="485" spans="1:16" x14ac:dyDescent="0.2">
      <c r="A485" t="s">
        <v>1998</v>
      </c>
      <c r="B485" t="s">
        <v>1999</v>
      </c>
      <c r="C485" t="s">
        <v>128</v>
      </c>
      <c r="D485" t="s">
        <v>181</v>
      </c>
      <c r="F485" t="s">
        <v>276</v>
      </c>
      <c r="H485" t="s">
        <v>183</v>
      </c>
      <c r="I485" t="s">
        <v>1181</v>
      </c>
      <c r="J485">
        <v>2022</v>
      </c>
      <c r="K485" t="s">
        <v>277</v>
      </c>
      <c r="L485">
        <v>44697</v>
      </c>
      <c r="N485" t="s">
        <v>134</v>
      </c>
      <c r="P485" t="s">
        <v>2000</v>
      </c>
    </row>
    <row r="486" spans="1:16" x14ac:dyDescent="0.2">
      <c r="A486" t="s">
        <v>2007</v>
      </c>
      <c r="B486" t="s">
        <v>2008</v>
      </c>
      <c r="C486" t="s">
        <v>128</v>
      </c>
      <c r="D486" t="s">
        <v>181</v>
      </c>
      <c r="F486" t="s">
        <v>314</v>
      </c>
      <c r="H486" t="s">
        <v>258</v>
      </c>
      <c r="I486" t="s">
        <v>1181</v>
      </c>
      <c r="J486">
        <v>2022</v>
      </c>
      <c r="K486" t="s">
        <v>277</v>
      </c>
      <c r="L486">
        <v>44809</v>
      </c>
      <c r="N486" t="s">
        <v>134</v>
      </c>
      <c r="P486" t="s">
        <v>2009</v>
      </c>
    </row>
    <row r="487" spans="1:16" x14ac:dyDescent="0.2">
      <c r="A487" t="s">
        <v>2104</v>
      </c>
      <c r="B487" t="s">
        <v>2105</v>
      </c>
      <c r="C487" t="s">
        <v>128</v>
      </c>
      <c r="D487" t="s">
        <v>181</v>
      </c>
      <c r="F487" t="s">
        <v>339</v>
      </c>
      <c r="H487" t="s">
        <v>183</v>
      </c>
      <c r="I487" t="s">
        <v>1181</v>
      </c>
      <c r="J487">
        <v>2022</v>
      </c>
      <c r="K487" t="s">
        <v>133</v>
      </c>
      <c r="L487">
        <v>44875</v>
      </c>
      <c r="N487" t="s">
        <v>134</v>
      </c>
      <c r="P487" t="s">
        <v>2106</v>
      </c>
    </row>
    <row r="488" spans="1:16" x14ac:dyDescent="0.2">
      <c r="A488" t="s">
        <v>2244</v>
      </c>
      <c r="B488" t="s">
        <v>2245</v>
      </c>
      <c r="C488" t="s">
        <v>128</v>
      </c>
      <c r="D488" t="s">
        <v>181</v>
      </c>
      <c r="F488" t="s">
        <v>314</v>
      </c>
      <c r="H488" t="s">
        <v>258</v>
      </c>
      <c r="I488" t="s">
        <v>1181</v>
      </c>
      <c r="J488">
        <v>2022</v>
      </c>
      <c r="K488" t="s">
        <v>277</v>
      </c>
      <c r="L488">
        <v>44718</v>
      </c>
      <c r="N488" t="s">
        <v>134</v>
      </c>
      <c r="P488" t="s">
        <v>2246</v>
      </c>
    </row>
    <row r="489" spans="1:16" x14ac:dyDescent="0.2">
      <c r="A489" t="s">
        <v>2258</v>
      </c>
      <c r="B489" t="s">
        <v>2259</v>
      </c>
      <c r="C489" t="s">
        <v>128</v>
      </c>
      <c r="D489" t="s">
        <v>181</v>
      </c>
      <c r="F489" t="s">
        <v>1282</v>
      </c>
      <c r="H489" t="s">
        <v>1283</v>
      </c>
      <c r="I489" t="s">
        <v>1181</v>
      </c>
      <c r="J489">
        <v>2023</v>
      </c>
      <c r="K489" t="s">
        <v>277</v>
      </c>
      <c r="L489">
        <v>45107</v>
      </c>
      <c r="N489" t="s">
        <v>134</v>
      </c>
      <c r="P489" t="s">
        <v>2260</v>
      </c>
    </row>
    <row r="490" spans="1:16" x14ac:dyDescent="0.2">
      <c r="A490" t="s">
        <v>2505</v>
      </c>
      <c r="B490" t="s">
        <v>2506</v>
      </c>
      <c r="C490" t="s">
        <v>128</v>
      </c>
      <c r="D490" t="s">
        <v>181</v>
      </c>
      <c r="F490" t="s">
        <v>2359</v>
      </c>
      <c r="H490" t="s">
        <v>183</v>
      </c>
      <c r="I490" t="s">
        <v>1181</v>
      </c>
      <c r="J490">
        <v>2023</v>
      </c>
      <c r="K490" t="s">
        <v>133</v>
      </c>
      <c r="L490">
        <v>45355</v>
      </c>
      <c r="N490" t="s">
        <v>134</v>
      </c>
      <c r="P490" t="s">
        <v>2507</v>
      </c>
    </row>
    <row r="491" spans="1:16" x14ac:dyDescent="0.2">
      <c r="A491" t="s">
        <v>2619</v>
      </c>
      <c r="B491" t="s">
        <v>2620</v>
      </c>
      <c r="C491" t="s">
        <v>128</v>
      </c>
      <c r="D491" t="s">
        <v>181</v>
      </c>
      <c r="F491" t="s">
        <v>1952</v>
      </c>
      <c r="G491" t="s">
        <v>2621</v>
      </c>
      <c r="H491" t="s">
        <v>183</v>
      </c>
      <c r="I491" t="s">
        <v>1181</v>
      </c>
      <c r="J491">
        <v>2024</v>
      </c>
      <c r="K491" t="s">
        <v>133</v>
      </c>
      <c r="N491" t="s">
        <v>134</v>
      </c>
      <c r="P491" t="s">
        <v>2622</v>
      </c>
    </row>
    <row r="492" spans="1:16" x14ac:dyDescent="0.2">
      <c r="A492" t="s">
        <v>2652</v>
      </c>
      <c r="B492" t="s">
        <v>2653</v>
      </c>
      <c r="C492" t="s">
        <v>128</v>
      </c>
      <c r="D492" t="s">
        <v>181</v>
      </c>
      <c r="E492" t="s">
        <v>181</v>
      </c>
      <c r="F492" t="s">
        <v>2654</v>
      </c>
      <c r="G492" t="s">
        <v>2655</v>
      </c>
      <c r="H492" t="s">
        <v>183</v>
      </c>
      <c r="I492" t="s">
        <v>1181</v>
      </c>
      <c r="J492">
        <v>2024</v>
      </c>
      <c r="K492" t="s">
        <v>133</v>
      </c>
      <c r="N492" t="s">
        <v>134</v>
      </c>
      <c r="P492" t="s">
        <v>2656</v>
      </c>
    </row>
    <row r="493" spans="1:16" x14ac:dyDescent="0.2">
      <c r="A493" t="s">
        <v>2830</v>
      </c>
      <c r="B493" t="s">
        <v>2831</v>
      </c>
      <c r="C493" t="s">
        <v>128</v>
      </c>
      <c r="D493" t="s">
        <v>181</v>
      </c>
      <c r="F493" t="s">
        <v>2359</v>
      </c>
      <c r="G493" t="s">
        <v>2832</v>
      </c>
      <c r="H493" t="s">
        <v>183</v>
      </c>
      <c r="I493" t="s">
        <v>1181</v>
      </c>
      <c r="J493">
        <v>2024</v>
      </c>
      <c r="K493" t="s">
        <v>277</v>
      </c>
      <c r="L493">
        <v>45604</v>
      </c>
      <c r="N493" t="s">
        <v>868</v>
      </c>
      <c r="P493" t="s">
        <v>2833</v>
      </c>
    </row>
    <row r="494" spans="1:16" x14ac:dyDescent="0.2">
      <c r="A494" t="s">
        <v>2978</v>
      </c>
      <c r="B494" t="s">
        <v>2979</v>
      </c>
      <c r="C494" t="s">
        <v>128</v>
      </c>
      <c r="D494" t="s">
        <v>181</v>
      </c>
      <c r="F494" t="s">
        <v>339</v>
      </c>
      <c r="G494" t="s">
        <v>2980</v>
      </c>
      <c r="H494" t="s">
        <v>183</v>
      </c>
      <c r="I494" t="s">
        <v>1181</v>
      </c>
      <c r="J494">
        <v>2025</v>
      </c>
      <c r="K494" t="s">
        <v>277</v>
      </c>
      <c r="L494">
        <v>45777</v>
      </c>
      <c r="N494" t="s">
        <v>134</v>
      </c>
      <c r="P494" t="s">
        <v>2981</v>
      </c>
    </row>
    <row r="495" spans="1:16" x14ac:dyDescent="0.2">
      <c r="A495" t="s">
        <v>3173</v>
      </c>
      <c r="B495" t="s">
        <v>3174</v>
      </c>
      <c r="C495" t="s">
        <v>128</v>
      </c>
      <c r="D495" t="s">
        <v>181</v>
      </c>
      <c r="F495" t="s">
        <v>2359</v>
      </c>
      <c r="G495" t="s">
        <v>3175</v>
      </c>
      <c r="H495" t="s">
        <v>183</v>
      </c>
      <c r="I495" t="s">
        <v>1181</v>
      </c>
      <c r="J495">
        <v>2025</v>
      </c>
      <c r="K495" t="s">
        <v>277</v>
      </c>
      <c r="L495">
        <v>45790</v>
      </c>
      <c r="N495" t="s">
        <v>134</v>
      </c>
      <c r="P495" t="s">
        <v>3176</v>
      </c>
    </row>
    <row r="496" spans="1:16" x14ac:dyDescent="0.2">
      <c r="A496" t="s">
        <v>3173</v>
      </c>
      <c r="B496" t="s">
        <v>3177</v>
      </c>
      <c r="C496" t="s">
        <v>128</v>
      </c>
      <c r="D496" t="s">
        <v>181</v>
      </c>
      <c r="F496" t="s">
        <v>2359</v>
      </c>
      <c r="G496" t="s">
        <v>3178</v>
      </c>
      <c r="H496" t="s">
        <v>183</v>
      </c>
      <c r="I496" t="s">
        <v>1181</v>
      </c>
      <c r="J496">
        <v>2025</v>
      </c>
      <c r="K496" t="s">
        <v>277</v>
      </c>
      <c r="L496">
        <v>45818</v>
      </c>
      <c r="N496" t="s">
        <v>134</v>
      </c>
      <c r="P496" t="s">
        <v>3176</v>
      </c>
    </row>
    <row r="497" spans="1:16" x14ac:dyDescent="0.2">
      <c r="A497" t="s">
        <v>3257</v>
      </c>
      <c r="B497" t="s">
        <v>3258</v>
      </c>
      <c r="C497" t="s">
        <v>128</v>
      </c>
      <c r="D497" t="s">
        <v>181</v>
      </c>
      <c r="F497" t="s">
        <v>339</v>
      </c>
      <c r="G497" t="s">
        <v>3259</v>
      </c>
      <c r="H497" t="s">
        <v>183</v>
      </c>
      <c r="I497" t="s">
        <v>1181</v>
      </c>
      <c r="J497">
        <v>2025</v>
      </c>
      <c r="K497" t="s">
        <v>277</v>
      </c>
      <c r="L497">
        <v>45877</v>
      </c>
      <c r="M497" t="s">
        <v>3255</v>
      </c>
      <c r="N497" t="s">
        <v>134</v>
      </c>
      <c r="P497" t="s">
        <v>3260</v>
      </c>
    </row>
    <row r="498" spans="1:16" x14ac:dyDescent="0.2">
      <c r="A498" t="s">
        <v>3261</v>
      </c>
      <c r="B498" t="s">
        <v>3262</v>
      </c>
      <c r="C498" t="s">
        <v>128</v>
      </c>
      <c r="D498" t="s">
        <v>181</v>
      </c>
      <c r="F498" t="s">
        <v>2359</v>
      </c>
      <c r="G498" t="s">
        <v>3263</v>
      </c>
      <c r="H498" t="s">
        <v>183</v>
      </c>
      <c r="I498" t="s">
        <v>1181</v>
      </c>
      <c r="J498">
        <v>2025</v>
      </c>
      <c r="K498" t="s">
        <v>277</v>
      </c>
      <c r="L498">
        <v>45838</v>
      </c>
      <c r="M498" t="s">
        <v>3255</v>
      </c>
      <c r="N498" t="s">
        <v>134</v>
      </c>
      <c r="P498" t="s">
        <v>3264</v>
      </c>
    </row>
    <row r="499" spans="1:16" x14ac:dyDescent="0.2">
      <c r="A499" t="s">
        <v>3273</v>
      </c>
      <c r="B499" t="s">
        <v>3274</v>
      </c>
      <c r="C499" t="s">
        <v>128</v>
      </c>
      <c r="D499" t="s">
        <v>181</v>
      </c>
      <c r="F499" t="s">
        <v>2359</v>
      </c>
      <c r="G499" t="s">
        <v>3275</v>
      </c>
      <c r="H499" t="s">
        <v>183</v>
      </c>
      <c r="I499" t="s">
        <v>1181</v>
      </c>
      <c r="J499">
        <v>2025</v>
      </c>
      <c r="K499" t="s">
        <v>277</v>
      </c>
      <c r="L499">
        <v>45883</v>
      </c>
      <c r="M499" t="s">
        <v>3276</v>
      </c>
      <c r="N499" t="s">
        <v>597</v>
      </c>
      <c r="O499" t="s">
        <v>3232</v>
      </c>
      <c r="P499" t="s">
        <v>3277</v>
      </c>
    </row>
    <row r="500" spans="1:16" x14ac:dyDescent="0.2">
      <c r="A500" t="s">
        <v>3281</v>
      </c>
      <c r="B500" t="s">
        <v>3282</v>
      </c>
      <c r="C500" t="s">
        <v>128</v>
      </c>
      <c r="D500" t="s">
        <v>181</v>
      </c>
      <c r="F500" t="s">
        <v>2359</v>
      </c>
      <c r="G500" t="s">
        <v>3283</v>
      </c>
      <c r="H500" t="s">
        <v>183</v>
      </c>
      <c r="I500" t="s">
        <v>1181</v>
      </c>
      <c r="J500">
        <v>2025</v>
      </c>
      <c r="K500" t="s">
        <v>277</v>
      </c>
      <c r="L500">
        <v>45930</v>
      </c>
      <c r="M500" t="s">
        <v>3231</v>
      </c>
      <c r="N500" t="s">
        <v>134</v>
      </c>
      <c r="O500" t="s">
        <v>3232</v>
      </c>
      <c r="P500" t="s">
        <v>3284</v>
      </c>
    </row>
    <row r="501" spans="1:16" x14ac:dyDescent="0.2">
      <c r="A501" t="s">
        <v>865</v>
      </c>
      <c r="B501" t="s">
        <v>866</v>
      </c>
      <c r="C501" t="s">
        <v>128</v>
      </c>
      <c r="D501" t="s">
        <v>867</v>
      </c>
      <c r="F501" t="s">
        <v>372</v>
      </c>
      <c r="H501" t="s">
        <v>199</v>
      </c>
      <c r="J501">
        <v>2018</v>
      </c>
      <c r="K501" t="s">
        <v>133</v>
      </c>
      <c r="L501">
        <v>43448</v>
      </c>
      <c r="N501" t="s">
        <v>868</v>
      </c>
      <c r="P501" t="s">
        <v>869</v>
      </c>
    </row>
    <row r="502" spans="1:16" x14ac:dyDescent="0.2">
      <c r="A502" t="s">
        <v>2590</v>
      </c>
      <c r="B502" t="s">
        <v>2591</v>
      </c>
      <c r="C502" t="s">
        <v>128</v>
      </c>
      <c r="D502" t="s">
        <v>867</v>
      </c>
      <c r="E502" t="s">
        <v>867</v>
      </c>
      <c r="F502" t="s">
        <v>2359</v>
      </c>
      <c r="G502" t="s">
        <v>2592</v>
      </c>
      <c r="H502" t="s">
        <v>183</v>
      </c>
      <c r="I502" t="s">
        <v>1181</v>
      </c>
      <c r="J502">
        <v>2024</v>
      </c>
      <c r="K502" t="s">
        <v>133</v>
      </c>
      <c r="L502">
        <v>45446</v>
      </c>
      <c r="N502" t="s">
        <v>134</v>
      </c>
      <c r="P502" t="s">
        <v>2593</v>
      </c>
    </row>
    <row r="503" spans="1:16" x14ac:dyDescent="0.2">
      <c r="A503" t="s">
        <v>840</v>
      </c>
      <c r="B503" t="s">
        <v>841</v>
      </c>
      <c r="C503" t="s">
        <v>128</v>
      </c>
      <c r="D503" t="s">
        <v>842</v>
      </c>
      <c r="F503" t="s">
        <v>843</v>
      </c>
      <c r="G503" t="s">
        <v>844</v>
      </c>
      <c r="H503" t="s">
        <v>392</v>
      </c>
      <c r="J503">
        <v>2018</v>
      </c>
      <c r="K503" t="s">
        <v>277</v>
      </c>
      <c r="L503">
        <v>43402</v>
      </c>
      <c r="N503" t="s">
        <v>134</v>
      </c>
      <c r="P503" t="s">
        <v>845</v>
      </c>
    </row>
    <row r="504" spans="1:16" x14ac:dyDescent="0.2">
      <c r="A504" t="s">
        <v>1101</v>
      </c>
      <c r="B504" t="s">
        <v>1102</v>
      </c>
      <c r="C504" t="s">
        <v>128</v>
      </c>
      <c r="D504" t="s">
        <v>842</v>
      </c>
      <c r="F504" t="s">
        <v>843</v>
      </c>
      <c r="G504" t="s">
        <v>1103</v>
      </c>
      <c r="H504" t="s">
        <v>392</v>
      </c>
      <c r="J504">
        <v>2019</v>
      </c>
      <c r="K504" t="s">
        <v>277</v>
      </c>
      <c r="L504">
        <v>43707</v>
      </c>
      <c r="N504" t="s">
        <v>134</v>
      </c>
      <c r="P504" t="s">
        <v>1104</v>
      </c>
    </row>
    <row r="505" spans="1:16" x14ac:dyDescent="0.2">
      <c r="A505" t="s">
        <v>1058</v>
      </c>
      <c r="B505" t="s">
        <v>1059</v>
      </c>
      <c r="C505" t="s">
        <v>128</v>
      </c>
      <c r="D505" t="s">
        <v>1060</v>
      </c>
      <c r="E505" t="s">
        <v>181</v>
      </c>
      <c r="F505" t="s">
        <v>391</v>
      </c>
      <c r="H505" t="s">
        <v>392</v>
      </c>
      <c r="J505">
        <v>2019</v>
      </c>
      <c r="K505" t="s">
        <v>133</v>
      </c>
      <c r="L505">
        <v>43665</v>
      </c>
      <c r="N505" t="s">
        <v>134</v>
      </c>
      <c r="P505" t="s">
        <v>1061</v>
      </c>
    </row>
    <row r="506" spans="1:16" x14ac:dyDescent="0.2">
      <c r="A506" t="s">
        <v>1395</v>
      </c>
      <c r="B506" t="s">
        <v>1396</v>
      </c>
      <c r="C506" t="s">
        <v>128</v>
      </c>
      <c r="D506" t="s">
        <v>1397</v>
      </c>
      <c r="E506" t="s">
        <v>181</v>
      </c>
      <c r="F506" t="s">
        <v>253</v>
      </c>
      <c r="G506" t="s">
        <v>1398</v>
      </c>
      <c r="H506" t="s">
        <v>1399</v>
      </c>
      <c r="I506" t="s">
        <v>1181</v>
      </c>
      <c r="J506">
        <v>2020</v>
      </c>
      <c r="K506" t="s">
        <v>523</v>
      </c>
      <c r="L506">
        <v>44089</v>
      </c>
      <c r="N506" t="s">
        <v>134</v>
      </c>
      <c r="P506" t="s">
        <v>1400</v>
      </c>
    </row>
    <row r="507" spans="1:16" x14ac:dyDescent="0.2">
      <c r="A507" t="s">
        <v>1414</v>
      </c>
      <c r="B507" t="s">
        <v>1415</v>
      </c>
      <c r="C507" t="s">
        <v>128</v>
      </c>
      <c r="D507" t="s">
        <v>1416</v>
      </c>
      <c r="E507" t="s">
        <v>181</v>
      </c>
      <c r="F507" t="s">
        <v>1011</v>
      </c>
      <c r="G507" t="s">
        <v>1417</v>
      </c>
      <c r="H507" t="s">
        <v>392</v>
      </c>
      <c r="I507" t="s">
        <v>1181</v>
      </c>
      <c r="J507">
        <v>2020</v>
      </c>
      <c r="K507" t="s">
        <v>523</v>
      </c>
      <c r="L507">
        <v>44134</v>
      </c>
      <c r="N507" t="s">
        <v>134</v>
      </c>
      <c r="P507" t="s">
        <v>1418</v>
      </c>
    </row>
    <row r="508" spans="1:16" x14ac:dyDescent="0.2">
      <c r="A508" t="s">
        <v>1713</v>
      </c>
      <c r="B508" t="s">
        <v>1714</v>
      </c>
      <c r="C508" t="s">
        <v>128</v>
      </c>
      <c r="D508" t="s">
        <v>1715</v>
      </c>
      <c r="E508" t="s">
        <v>181</v>
      </c>
      <c r="F508" t="s">
        <v>635</v>
      </c>
      <c r="G508" t="s">
        <v>1716</v>
      </c>
      <c r="H508" t="s">
        <v>267</v>
      </c>
      <c r="I508" t="s">
        <v>1181</v>
      </c>
      <c r="J508">
        <v>2021</v>
      </c>
      <c r="K508" t="s">
        <v>133</v>
      </c>
      <c r="L508">
        <v>44469</v>
      </c>
      <c r="N508" t="s">
        <v>134</v>
      </c>
      <c r="P508" t="s">
        <v>1717</v>
      </c>
    </row>
    <row r="509" spans="1:16" x14ac:dyDescent="0.2">
      <c r="A509" t="s">
        <v>1464</v>
      </c>
      <c r="B509" t="s">
        <v>1465</v>
      </c>
      <c r="C509" t="s">
        <v>128</v>
      </c>
      <c r="D509" t="s">
        <v>1466</v>
      </c>
      <c r="E509" t="s">
        <v>181</v>
      </c>
      <c r="F509" t="s">
        <v>1467</v>
      </c>
      <c r="G509" t="s">
        <v>1468</v>
      </c>
      <c r="H509" t="s">
        <v>199</v>
      </c>
      <c r="I509" t="s">
        <v>1181</v>
      </c>
      <c r="J509">
        <v>2020</v>
      </c>
      <c r="K509" t="s">
        <v>133</v>
      </c>
      <c r="L509">
        <v>44153</v>
      </c>
      <c r="N509" t="s">
        <v>134</v>
      </c>
      <c r="P509" t="s">
        <v>1469</v>
      </c>
    </row>
    <row r="510" spans="1:16" x14ac:dyDescent="0.2">
      <c r="A510" t="s">
        <v>548</v>
      </c>
      <c r="B510" t="s">
        <v>549</v>
      </c>
      <c r="C510" t="s">
        <v>128</v>
      </c>
      <c r="D510" t="s">
        <v>550</v>
      </c>
      <c r="F510" t="s">
        <v>551</v>
      </c>
      <c r="G510" t="s">
        <v>552</v>
      </c>
      <c r="H510" t="s">
        <v>199</v>
      </c>
      <c r="J510">
        <v>2017</v>
      </c>
      <c r="K510" t="s">
        <v>221</v>
      </c>
      <c r="L510">
        <v>43091</v>
      </c>
      <c r="N510" t="s">
        <v>134</v>
      </c>
      <c r="O510" t="s">
        <v>135</v>
      </c>
      <c r="P510" t="s">
        <v>553</v>
      </c>
    </row>
    <row r="511" spans="1:16" x14ac:dyDescent="0.2">
      <c r="A511" t="s">
        <v>1791</v>
      </c>
      <c r="B511" t="s">
        <v>1792</v>
      </c>
      <c r="C511" t="s">
        <v>128</v>
      </c>
      <c r="D511" t="s">
        <v>550</v>
      </c>
      <c r="F511" t="s">
        <v>551</v>
      </c>
      <c r="H511" t="s">
        <v>199</v>
      </c>
      <c r="I511" t="s">
        <v>1181</v>
      </c>
      <c r="J511">
        <v>2021</v>
      </c>
      <c r="K511" t="s">
        <v>221</v>
      </c>
      <c r="L511">
        <v>44671</v>
      </c>
      <c r="N511" t="s">
        <v>134</v>
      </c>
      <c r="O511" t="s">
        <v>135</v>
      </c>
      <c r="P511" t="s">
        <v>1793</v>
      </c>
    </row>
    <row r="512" spans="1:16" x14ac:dyDescent="0.2">
      <c r="A512" t="s">
        <v>2271</v>
      </c>
      <c r="B512" t="s">
        <v>2272</v>
      </c>
      <c r="C512" t="s">
        <v>128</v>
      </c>
      <c r="D512" t="s">
        <v>550</v>
      </c>
      <c r="F512" t="s">
        <v>551</v>
      </c>
      <c r="G512" t="s">
        <v>2273</v>
      </c>
      <c r="H512" t="s">
        <v>199</v>
      </c>
      <c r="I512" t="s">
        <v>1181</v>
      </c>
      <c r="J512">
        <v>2023</v>
      </c>
      <c r="K512" t="s">
        <v>277</v>
      </c>
      <c r="L512">
        <v>45044</v>
      </c>
      <c r="N512" t="s">
        <v>134</v>
      </c>
      <c r="P512" t="s">
        <v>2274</v>
      </c>
    </row>
    <row r="513" spans="1:16" x14ac:dyDescent="0.2">
      <c r="A513" t="s">
        <v>1165</v>
      </c>
      <c r="B513" t="s">
        <v>1166</v>
      </c>
      <c r="C513" t="s">
        <v>128</v>
      </c>
      <c r="D513" t="s">
        <v>1167</v>
      </c>
      <c r="E513" t="s">
        <v>181</v>
      </c>
      <c r="F513" t="s">
        <v>551</v>
      </c>
      <c r="G513" t="s">
        <v>1168</v>
      </c>
      <c r="H513" t="s">
        <v>199</v>
      </c>
      <c r="J513">
        <v>2019</v>
      </c>
      <c r="K513" t="s">
        <v>133</v>
      </c>
      <c r="L513">
        <v>43753</v>
      </c>
      <c r="N513" t="s">
        <v>134</v>
      </c>
      <c r="P513" t="s">
        <v>1169</v>
      </c>
    </row>
    <row r="514" spans="1:16" x14ac:dyDescent="0.2">
      <c r="A514" t="s">
        <v>1380</v>
      </c>
      <c r="B514" t="s">
        <v>1381</v>
      </c>
      <c r="C514" t="s">
        <v>128</v>
      </c>
      <c r="D514" t="s">
        <v>1382</v>
      </c>
      <c r="E514" t="s">
        <v>181</v>
      </c>
      <c r="F514" t="s">
        <v>1383</v>
      </c>
      <c r="G514" t="s">
        <v>1383</v>
      </c>
      <c r="H514" t="s">
        <v>183</v>
      </c>
      <c r="I514" t="s">
        <v>1181</v>
      </c>
      <c r="J514">
        <v>2020</v>
      </c>
      <c r="K514" t="s">
        <v>133</v>
      </c>
      <c r="L514">
        <v>44046</v>
      </c>
      <c r="N514" t="s">
        <v>134</v>
      </c>
      <c r="P514" t="s">
        <v>1384</v>
      </c>
    </row>
    <row r="515" spans="1:16" x14ac:dyDescent="0.2">
      <c r="A515" t="s">
        <v>2356</v>
      </c>
      <c r="B515" t="s">
        <v>2357</v>
      </c>
      <c r="C515" t="s">
        <v>128</v>
      </c>
      <c r="D515" t="s">
        <v>2358</v>
      </c>
      <c r="E515" t="s">
        <v>181</v>
      </c>
      <c r="F515" t="s">
        <v>2359</v>
      </c>
      <c r="G515" t="s">
        <v>2360</v>
      </c>
      <c r="H515" t="s">
        <v>183</v>
      </c>
      <c r="I515" t="s">
        <v>1181</v>
      </c>
      <c r="J515">
        <v>2023</v>
      </c>
      <c r="K515" t="s">
        <v>221</v>
      </c>
      <c r="L515">
        <v>45198</v>
      </c>
      <c r="N515" t="s">
        <v>134</v>
      </c>
      <c r="P515" t="s">
        <v>2361</v>
      </c>
    </row>
    <row r="516" spans="1:16" x14ac:dyDescent="0.2">
      <c r="A516" t="s">
        <v>336</v>
      </c>
      <c r="B516" t="s">
        <v>337</v>
      </c>
      <c r="C516" t="s">
        <v>128</v>
      </c>
      <c r="D516" t="s">
        <v>338</v>
      </c>
      <c r="E516" t="s">
        <v>181</v>
      </c>
      <c r="F516" t="s">
        <v>339</v>
      </c>
      <c r="G516" t="s">
        <v>340</v>
      </c>
      <c r="H516" t="s">
        <v>183</v>
      </c>
      <c r="J516">
        <v>2017</v>
      </c>
      <c r="L516">
        <v>42846</v>
      </c>
      <c r="N516" t="s">
        <v>134</v>
      </c>
      <c r="O516" t="s">
        <v>135</v>
      </c>
      <c r="P516" t="s">
        <v>341</v>
      </c>
    </row>
    <row r="517" spans="1:16" x14ac:dyDescent="0.2">
      <c r="A517" t="s">
        <v>336</v>
      </c>
      <c r="B517" t="s">
        <v>342</v>
      </c>
      <c r="C517" t="s">
        <v>128</v>
      </c>
      <c r="D517" t="s">
        <v>338</v>
      </c>
      <c r="E517" t="s">
        <v>181</v>
      </c>
      <c r="F517" t="s">
        <v>339</v>
      </c>
      <c r="G517" t="s">
        <v>343</v>
      </c>
      <c r="H517" t="s">
        <v>183</v>
      </c>
      <c r="J517">
        <v>2017</v>
      </c>
      <c r="K517" t="s">
        <v>133</v>
      </c>
      <c r="L517">
        <v>42852</v>
      </c>
      <c r="N517" t="s">
        <v>134</v>
      </c>
      <c r="O517" t="s">
        <v>135</v>
      </c>
      <c r="P517" t="s">
        <v>341</v>
      </c>
    </row>
    <row r="518" spans="1:16" x14ac:dyDescent="0.2">
      <c r="A518" t="s">
        <v>336</v>
      </c>
      <c r="B518" t="s">
        <v>344</v>
      </c>
      <c r="C518" t="s">
        <v>128</v>
      </c>
      <c r="D518" t="s">
        <v>338</v>
      </c>
      <c r="E518" t="s">
        <v>181</v>
      </c>
      <c r="F518" t="s">
        <v>339</v>
      </c>
      <c r="G518" t="s">
        <v>345</v>
      </c>
      <c r="H518" t="s">
        <v>183</v>
      </c>
      <c r="J518">
        <v>2017</v>
      </c>
      <c r="L518">
        <v>42901</v>
      </c>
      <c r="N518" t="s">
        <v>134</v>
      </c>
      <c r="O518" t="s">
        <v>135</v>
      </c>
      <c r="P518" t="s">
        <v>341</v>
      </c>
    </row>
    <row r="519" spans="1:16" x14ac:dyDescent="0.2">
      <c r="A519" t="s">
        <v>336</v>
      </c>
      <c r="B519" t="s">
        <v>346</v>
      </c>
      <c r="C519" t="s">
        <v>128</v>
      </c>
      <c r="D519" t="s">
        <v>338</v>
      </c>
      <c r="E519" t="s">
        <v>181</v>
      </c>
      <c r="F519" t="s">
        <v>339</v>
      </c>
      <c r="G519" t="s">
        <v>347</v>
      </c>
      <c r="H519" t="s">
        <v>183</v>
      </c>
      <c r="J519">
        <v>2017</v>
      </c>
      <c r="L519">
        <v>42943</v>
      </c>
      <c r="N519" t="s">
        <v>134</v>
      </c>
      <c r="O519" t="s">
        <v>135</v>
      </c>
      <c r="P519" t="s">
        <v>341</v>
      </c>
    </row>
    <row r="520" spans="1:16" x14ac:dyDescent="0.2">
      <c r="A520" t="s">
        <v>336</v>
      </c>
      <c r="B520" t="s">
        <v>348</v>
      </c>
      <c r="C520" t="s">
        <v>128</v>
      </c>
      <c r="D520" t="s">
        <v>338</v>
      </c>
      <c r="E520" t="s">
        <v>181</v>
      </c>
      <c r="F520" t="s">
        <v>339</v>
      </c>
      <c r="G520" t="s">
        <v>204</v>
      </c>
      <c r="H520" t="s">
        <v>183</v>
      </c>
      <c r="J520">
        <v>2017</v>
      </c>
      <c r="K520" t="s">
        <v>133</v>
      </c>
      <c r="L520" t="s">
        <v>349</v>
      </c>
      <c r="N520" t="s">
        <v>134</v>
      </c>
      <c r="O520" t="s">
        <v>135</v>
      </c>
      <c r="P520" t="s">
        <v>341</v>
      </c>
    </row>
    <row r="521" spans="1:16" x14ac:dyDescent="0.2">
      <c r="A521" t="s">
        <v>336</v>
      </c>
      <c r="B521" t="s">
        <v>350</v>
      </c>
      <c r="C521" t="s">
        <v>128</v>
      </c>
      <c r="D521" t="s">
        <v>338</v>
      </c>
      <c r="E521" t="s">
        <v>181</v>
      </c>
      <c r="F521" t="s">
        <v>339</v>
      </c>
      <c r="G521" t="s">
        <v>204</v>
      </c>
      <c r="H521" t="s">
        <v>183</v>
      </c>
      <c r="J521">
        <v>2018</v>
      </c>
      <c r="K521" t="s">
        <v>351</v>
      </c>
      <c r="L521">
        <v>43214</v>
      </c>
      <c r="N521" t="s">
        <v>140</v>
      </c>
      <c r="O521" t="s">
        <v>135</v>
      </c>
      <c r="P521" t="s">
        <v>3519</v>
      </c>
    </row>
    <row r="522" spans="1:16" x14ac:dyDescent="0.2">
      <c r="A522" t="s">
        <v>3251</v>
      </c>
      <c r="B522" t="s">
        <v>3252</v>
      </c>
      <c r="C522" t="s">
        <v>128</v>
      </c>
      <c r="D522" t="s">
        <v>3253</v>
      </c>
      <c r="F522" t="s">
        <v>3254</v>
      </c>
      <c r="H522" t="s">
        <v>220</v>
      </c>
      <c r="I522" t="s">
        <v>1181</v>
      </c>
      <c r="J522">
        <v>2025</v>
      </c>
      <c r="K522" t="s">
        <v>277</v>
      </c>
      <c r="L522">
        <v>45931</v>
      </c>
      <c r="M522" t="s">
        <v>3255</v>
      </c>
      <c r="N522" t="s">
        <v>134</v>
      </c>
      <c r="P522" t="s">
        <v>3256</v>
      </c>
    </row>
    <row r="523" spans="1:16" x14ac:dyDescent="0.2">
      <c r="A523" t="s">
        <v>1368</v>
      </c>
      <c r="B523" t="s">
        <v>1369</v>
      </c>
      <c r="C523" t="s">
        <v>128</v>
      </c>
      <c r="D523" t="s">
        <v>1370</v>
      </c>
      <c r="F523" t="s">
        <v>385</v>
      </c>
      <c r="H523" t="s">
        <v>309</v>
      </c>
      <c r="I523" t="s">
        <v>1181</v>
      </c>
      <c r="J523">
        <v>2020</v>
      </c>
      <c r="K523" t="s">
        <v>351</v>
      </c>
      <c r="L523">
        <v>44043</v>
      </c>
      <c r="N523" t="s">
        <v>134</v>
      </c>
      <c r="P523" t="s">
        <v>1371</v>
      </c>
    </row>
    <row r="524" spans="1:16" x14ac:dyDescent="0.2">
      <c r="A524" t="s">
        <v>2959</v>
      </c>
      <c r="B524" t="s">
        <v>2960</v>
      </c>
      <c r="C524" t="s">
        <v>128</v>
      </c>
      <c r="D524" t="s">
        <v>385</v>
      </c>
      <c r="F524" t="s">
        <v>385</v>
      </c>
      <c r="H524" t="s">
        <v>309</v>
      </c>
      <c r="I524" t="s">
        <v>1181</v>
      </c>
      <c r="J524">
        <v>2025</v>
      </c>
      <c r="K524" t="s">
        <v>261</v>
      </c>
      <c r="L524">
        <v>45733</v>
      </c>
      <c r="N524" t="s">
        <v>134</v>
      </c>
      <c r="O524" t="s">
        <v>135</v>
      </c>
      <c r="P524" t="s">
        <v>2080</v>
      </c>
    </row>
    <row r="525" spans="1:16" x14ac:dyDescent="0.2">
      <c r="A525" t="s">
        <v>579</v>
      </c>
      <c r="B525" t="s">
        <v>580</v>
      </c>
      <c r="C525" t="s">
        <v>128</v>
      </c>
      <c r="D525" t="s">
        <v>581</v>
      </c>
      <c r="F525" t="s">
        <v>582</v>
      </c>
      <c r="G525" t="s">
        <v>583</v>
      </c>
      <c r="H525" t="s">
        <v>177</v>
      </c>
      <c r="J525">
        <v>2017</v>
      </c>
      <c r="K525" t="s">
        <v>221</v>
      </c>
      <c r="L525">
        <v>43133</v>
      </c>
      <c r="N525" t="s">
        <v>134</v>
      </c>
      <c r="O525" t="s">
        <v>135</v>
      </c>
      <c r="P525" t="s">
        <v>584</v>
      </c>
    </row>
    <row r="526" spans="1:16" x14ac:dyDescent="0.2">
      <c r="A526" t="s">
        <v>1049</v>
      </c>
      <c r="B526" t="s">
        <v>1050</v>
      </c>
      <c r="C526" t="s">
        <v>128</v>
      </c>
      <c r="D526" t="s">
        <v>581</v>
      </c>
      <c r="F526" t="s">
        <v>582</v>
      </c>
      <c r="G526" t="s">
        <v>1051</v>
      </c>
      <c r="H526" t="s">
        <v>177</v>
      </c>
      <c r="J526">
        <v>2019</v>
      </c>
      <c r="K526" t="s">
        <v>523</v>
      </c>
      <c r="L526">
        <v>43707</v>
      </c>
      <c r="N526" t="s">
        <v>134</v>
      </c>
      <c r="P526" t="s">
        <v>1052</v>
      </c>
    </row>
    <row r="527" spans="1:16" x14ac:dyDescent="0.2">
      <c r="A527" t="s">
        <v>1049</v>
      </c>
      <c r="B527" t="s">
        <v>1053</v>
      </c>
      <c r="C527" t="s">
        <v>128</v>
      </c>
      <c r="D527" t="s">
        <v>581</v>
      </c>
      <c r="F527" t="s">
        <v>582</v>
      </c>
      <c r="G527" t="s">
        <v>1051</v>
      </c>
      <c r="H527" t="s">
        <v>177</v>
      </c>
      <c r="J527">
        <v>2019</v>
      </c>
      <c r="K527" t="s">
        <v>523</v>
      </c>
      <c r="L527">
        <v>43665</v>
      </c>
      <c r="N527" t="s">
        <v>140</v>
      </c>
      <c r="P527" t="s">
        <v>1052</v>
      </c>
    </row>
    <row r="528" spans="1:16" x14ac:dyDescent="0.2">
      <c r="A528" t="s">
        <v>2874</v>
      </c>
      <c r="B528" t="s">
        <v>2875</v>
      </c>
      <c r="C528" t="s">
        <v>128</v>
      </c>
      <c r="D528" t="s">
        <v>2876</v>
      </c>
      <c r="F528" t="s">
        <v>2877</v>
      </c>
      <c r="G528" t="s">
        <v>2878</v>
      </c>
      <c r="H528" t="s">
        <v>146</v>
      </c>
      <c r="I528" t="s">
        <v>1181</v>
      </c>
      <c r="J528">
        <v>2024</v>
      </c>
      <c r="K528" t="s">
        <v>277</v>
      </c>
      <c r="L528">
        <v>45583</v>
      </c>
      <c r="N528" t="s">
        <v>140</v>
      </c>
      <c r="P528" t="s">
        <v>2879</v>
      </c>
    </row>
    <row r="529" spans="1:16" x14ac:dyDescent="0.2">
      <c r="A529" t="s">
        <v>3329</v>
      </c>
      <c r="C529" t="s">
        <v>128</v>
      </c>
      <c r="D529" t="s">
        <v>3330</v>
      </c>
      <c r="E529" t="s">
        <v>3331</v>
      </c>
      <c r="F529" t="s">
        <v>3332</v>
      </c>
      <c r="G529" t="s">
        <v>3333</v>
      </c>
      <c r="H529" t="s">
        <v>146</v>
      </c>
      <c r="I529" t="s">
        <v>1181</v>
      </c>
      <c r="J529">
        <v>2025</v>
      </c>
      <c r="K529" t="s">
        <v>523</v>
      </c>
      <c r="N529" t="s">
        <v>597</v>
      </c>
      <c r="P529" t="s">
        <v>3334</v>
      </c>
    </row>
    <row r="530" spans="1:16" x14ac:dyDescent="0.2">
      <c r="A530" t="s">
        <v>2913</v>
      </c>
      <c r="B530" t="s">
        <v>3159</v>
      </c>
      <c r="C530" t="s">
        <v>112</v>
      </c>
      <c r="D530" t="s">
        <v>1748</v>
      </c>
      <c r="F530" t="s">
        <v>2914</v>
      </c>
      <c r="H530" t="s">
        <v>225</v>
      </c>
      <c r="I530" t="s">
        <v>2569</v>
      </c>
      <c r="J530">
        <v>2024</v>
      </c>
      <c r="K530" t="s">
        <v>133</v>
      </c>
      <c r="N530" t="s">
        <v>134</v>
      </c>
      <c r="P530" t="s">
        <v>2915</v>
      </c>
    </row>
    <row r="531" spans="1:16" x14ac:dyDescent="0.2">
      <c r="A531" t="s">
        <v>3367</v>
      </c>
      <c r="C531" t="s">
        <v>112</v>
      </c>
      <c r="D531" t="s">
        <v>1748</v>
      </c>
      <c r="F531" t="s">
        <v>2914</v>
      </c>
      <c r="G531" t="s">
        <v>3186</v>
      </c>
      <c r="H531" t="s">
        <v>225</v>
      </c>
      <c r="I531" t="s">
        <v>2569</v>
      </c>
      <c r="J531">
        <v>2025</v>
      </c>
      <c r="K531" t="s">
        <v>3048</v>
      </c>
      <c r="N531" t="s">
        <v>597</v>
      </c>
      <c r="P531" t="s">
        <v>3520</v>
      </c>
    </row>
    <row r="532" spans="1:16" x14ac:dyDescent="0.2">
      <c r="A532" t="s">
        <v>716</v>
      </c>
      <c r="B532" t="s">
        <v>717</v>
      </c>
      <c r="C532" t="s">
        <v>128</v>
      </c>
      <c r="D532" t="s">
        <v>718</v>
      </c>
      <c r="F532" t="s">
        <v>719</v>
      </c>
      <c r="H532" t="s">
        <v>225</v>
      </c>
      <c r="J532">
        <v>2018</v>
      </c>
      <c r="K532" t="s">
        <v>277</v>
      </c>
      <c r="L532">
        <v>43240</v>
      </c>
      <c r="N532" t="s">
        <v>140</v>
      </c>
      <c r="O532" t="s">
        <v>135</v>
      </c>
      <c r="P532" t="s">
        <v>720</v>
      </c>
    </row>
    <row r="533" spans="1:16" x14ac:dyDescent="0.2">
      <c r="A533" t="s">
        <v>1228</v>
      </c>
      <c r="B533" t="s">
        <v>1229</v>
      </c>
      <c r="C533" t="s">
        <v>128</v>
      </c>
      <c r="D533" t="s">
        <v>718</v>
      </c>
      <c r="F533" t="s">
        <v>1230</v>
      </c>
      <c r="G533" t="s">
        <v>1231</v>
      </c>
      <c r="H533" t="s">
        <v>225</v>
      </c>
      <c r="I533" t="s">
        <v>1181</v>
      </c>
      <c r="J533">
        <v>2019</v>
      </c>
      <c r="K533" t="s">
        <v>277</v>
      </c>
      <c r="L533">
        <v>43809</v>
      </c>
      <c r="N533" t="s">
        <v>140</v>
      </c>
      <c r="P533" t="s">
        <v>1232</v>
      </c>
    </row>
    <row r="534" spans="1:16" x14ac:dyDescent="0.2">
      <c r="A534" t="s">
        <v>1760</v>
      </c>
      <c r="B534" t="s">
        <v>1761</v>
      </c>
      <c r="C534" t="s">
        <v>128</v>
      </c>
      <c r="D534" t="s">
        <v>1762</v>
      </c>
      <c r="E534" t="s">
        <v>1748</v>
      </c>
      <c r="F534" t="s">
        <v>1763</v>
      </c>
      <c r="G534" t="s">
        <v>1750</v>
      </c>
      <c r="H534" t="s">
        <v>225</v>
      </c>
      <c r="I534" t="s">
        <v>1181</v>
      </c>
      <c r="J534">
        <v>2021</v>
      </c>
      <c r="K534" t="s">
        <v>133</v>
      </c>
      <c r="N534" t="s">
        <v>134</v>
      </c>
      <c r="P534" t="s">
        <v>1764</v>
      </c>
    </row>
    <row r="535" spans="1:16" x14ac:dyDescent="0.2">
      <c r="A535" t="s">
        <v>1760</v>
      </c>
      <c r="B535" t="s">
        <v>1765</v>
      </c>
      <c r="C535" t="s">
        <v>128</v>
      </c>
      <c r="D535" t="s">
        <v>1762</v>
      </c>
      <c r="E535" t="s">
        <v>1748</v>
      </c>
      <c r="F535" t="s">
        <v>1763</v>
      </c>
      <c r="G535" t="s">
        <v>1753</v>
      </c>
      <c r="H535" t="s">
        <v>225</v>
      </c>
      <c r="I535" t="s">
        <v>1181</v>
      </c>
      <c r="J535">
        <v>2021</v>
      </c>
      <c r="K535" t="s">
        <v>133</v>
      </c>
      <c r="N535" t="s">
        <v>134</v>
      </c>
      <c r="P535" t="s">
        <v>2119</v>
      </c>
    </row>
    <row r="536" spans="1:16" x14ac:dyDescent="0.2">
      <c r="A536" t="s">
        <v>1745</v>
      </c>
      <c r="B536" t="s">
        <v>1746</v>
      </c>
      <c r="C536" t="s">
        <v>128</v>
      </c>
      <c r="D536" t="s">
        <v>1747</v>
      </c>
      <c r="E536" t="s">
        <v>1748</v>
      </c>
      <c r="F536" t="s">
        <v>1749</v>
      </c>
      <c r="G536" t="s">
        <v>1750</v>
      </c>
      <c r="H536" t="s">
        <v>225</v>
      </c>
      <c r="I536" t="s">
        <v>1181</v>
      </c>
      <c r="J536">
        <v>2021</v>
      </c>
      <c r="K536" t="s">
        <v>133</v>
      </c>
      <c r="N536" t="s">
        <v>134</v>
      </c>
      <c r="P536" t="s">
        <v>1751</v>
      </c>
    </row>
    <row r="537" spans="1:16" x14ac:dyDescent="0.2">
      <c r="A537" t="s">
        <v>1745</v>
      </c>
      <c r="B537" t="s">
        <v>1752</v>
      </c>
      <c r="C537" t="s">
        <v>128</v>
      </c>
      <c r="D537" t="s">
        <v>1747</v>
      </c>
      <c r="E537" t="s">
        <v>1748</v>
      </c>
      <c r="F537" t="s">
        <v>1749</v>
      </c>
      <c r="G537" t="s">
        <v>1753</v>
      </c>
      <c r="H537" t="s">
        <v>225</v>
      </c>
      <c r="I537" t="s">
        <v>1181</v>
      </c>
      <c r="J537">
        <v>2021</v>
      </c>
      <c r="K537" t="s">
        <v>133</v>
      </c>
      <c r="N537" t="s">
        <v>134</v>
      </c>
      <c r="P537" t="s">
        <v>1751</v>
      </c>
    </row>
    <row r="538" spans="1:16" x14ac:dyDescent="0.2">
      <c r="A538" t="s">
        <v>1745</v>
      </c>
      <c r="B538" t="s">
        <v>1754</v>
      </c>
      <c r="C538" t="s">
        <v>128</v>
      </c>
      <c r="D538" t="s">
        <v>1747</v>
      </c>
      <c r="E538" t="s">
        <v>1748</v>
      </c>
      <c r="F538" t="s">
        <v>1749</v>
      </c>
      <c r="G538" t="s">
        <v>1755</v>
      </c>
      <c r="H538" t="s">
        <v>225</v>
      </c>
      <c r="I538" t="s">
        <v>1181</v>
      </c>
      <c r="J538">
        <v>2021</v>
      </c>
      <c r="K538" t="s">
        <v>133</v>
      </c>
      <c r="N538" t="s">
        <v>134</v>
      </c>
      <c r="P538" t="s">
        <v>1751</v>
      </c>
    </row>
    <row r="539" spans="1:16" x14ac:dyDescent="0.2">
      <c r="A539" t="s">
        <v>1745</v>
      </c>
      <c r="B539" t="s">
        <v>1756</v>
      </c>
      <c r="C539" t="s">
        <v>128</v>
      </c>
      <c r="D539" t="s">
        <v>1747</v>
      </c>
      <c r="E539" t="s">
        <v>1748</v>
      </c>
      <c r="F539" t="s">
        <v>1749</v>
      </c>
      <c r="G539" t="s">
        <v>1757</v>
      </c>
      <c r="H539" t="s">
        <v>225</v>
      </c>
      <c r="I539" t="s">
        <v>1181</v>
      </c>
      <c r="J539">
        <v>2021</v>
      </c>
      <c r="K539" t="s">
        <v>133</v>
      </c>
      <c r="N539" t="s">
        <v>134</v>
      </c>
      <c r="P539" t="s">
        <v>1751</v>
      </c>
    </row>
    <row r="540" spans="1:16" x14ac:dyDescent="0.2">
      <c r="A540" t="s">
        <v>1745</v>
      </c>
      <c r="B540" t="s">
        <v>1758</v>
      </c>
      <c r="C540" t="s">
        <v>128</v>
      </c>
      <c r="D540" t="s">
        <v>1747</v>
      </c>
      <c r="E540" t="s">
        <v>1748</v>
      </c>
      <c r="F540" t="s">
        <v>1749</v>
      </c>
      <c r="G540" t="s">
        <v>1759</v>
      </c>
      <c r="H540" t="s">
        <v>225</v>
      </c>
      <c r="I540" t="s">
        <v>1181</v>
      </c>
      <c r="J540">
        <v>2021</v>
      </c>
      <c r="K540" t="s">
        <v>133</v>
      </c>
      <c r="N540" t="s">
        <v>444</v>
      </c>
      <c r="P540" t="s">
        <v>1751</v>
      </c>
    </row>
    <row r="541" spans="1:16" x14ac:dyDescent="0.2">
      <c r="A541" t="s">
        <v>2970</v>
      </c>
      <c r="B541" t="s">
        <v>2971</v>
      </c>
      <c r="C541" t="s">
        <v>128</v>
      </c>
      <c r="D541" t="s">
        <v>2972</v>
      </c>
      <c r="F541" t="s">
        <v>2973</v>
      </c>
      <c r="G541" t="s">
        <v>1497</v>
      </c>
      <c r="H541" t="s">
        <v>225</v>
      </c>
      <c r="I541" t="s">
        <v>2569</v>
      </c>
      <c r="J541">
        <v>2025</v>
      </c>
      <c r="K541" t="s">
        <v>523</v>
      </c>
      <c r="L541">
        <v>45853</v>
      </c>
      <c r="N541" t="s">
        <v>597</v>
      </c>
      <c r="P541" t="s">
        <v>2974</v>
      </c>
    </row>
    <row r="542" spans="1:16" x14ac:dyDescent="0.2">
      <c r="A542" t="s">
        <v>2765</v>
      </c>
      <c r="B542" t="s">
        <v>2766</v>
      </c>
      <c r="C542" t="s">
        <v>112</v>
      </c>
      <c r="D542" t="s">
        <v>2767</v>
      </c>
      <c r="E542" t="s">
        <v>2767</v>
      </c>
      <c r="H542" t="s">
        <v>194</v>
      </c>
      <c r="I542" t="s">
        <v>194</v>
      </c>
      <c r="J542">
        <v>2024</v>
      </c>
      <c r="K542" t="s">
        <v>523</v>
      </c>
      <c r="L542">
        <v>45606</v>
      </c>
      <c r="N542" t="s">
        <v>134</v>
      </c>
      <c r="O542" t="s">
        <v>2934</v>
      </c>
      <c r="P542" t="s">
        <v>3521</v>
      </c>
    </row>
    <row r="543" spans="1:16" x14ac:dyDescent="0.2">
      <c r="A543" t="s">
        <v>1385</v>
      </c>
      <c r="B543" t="s">
        <v>1386</v>
      </c>
      <c r="C543" t="s">
        <v>128</v>
      </c>
      <c r="D543" t="s">
        <v>1387</v>
      </c>
      <c r="F543" t="s">
        <v>1388</v>
      </c>
      <c r="H543" t="s">
        <v>472</v>
      </c>
      <c r="I543" t="s">
        <v>1181</v>
      </c>
      <c r="J543">
        <v>2020</v>
      </c>
      <c r="K543" t="s">
        <v>277</v>
      </c>
      <c r="L543">
        <v>44050</v>
      </c>
      <c r="N543" t="s">
        <v>134</v>
      </c>
      <c r="P543" t="s">
        <v>1389</v>
      </c>
    </row>
    <row r="544" spans="1:16" x14ac:dyDescent="0.2">
      <c r="A544" t="s">
        <v>2340</v>
      </c>
      <c r="B544" t="s">
        <v>2341</v>
      </c>
      <c r="C544" t="s">
        <v>128</v>
      </c>
      <c r="D544" t="s">
        <v>1387</v>
      </c>
      <c r="I544" t="s">
        <v>1181</v>
      </c>
      <c r="K544" t="s">
        <v>277</v>
      </c>
      <c r="L544">
        <v>45205</v>
      </c>
      <c r="N544" t="s">
        <v>134</v>
      </c>
      <c r="P544" t="s">
        <v>2342</v>
      </c>
    </row>
    <row r="545" spans="1:16" x14ac:dyDescent="0.2">
      <c r="A545" t="s">
        <v>2894</v>
      </c>
      <c r="B545" t="s">
        <v>2895</v>
      </c>
      <c r="C545" t="s">
        <v>128</v>
      </c>
      <c r="D545" t="s">
        <v>2896</v>
      </c>
      <c r="E545" t="s">
        <v>2897</v>
      </c>
      <c r="F545" t="s">
        <v>2898</v>
      </c>
      <c r="G545" t="s">
        <v>2555</v>
      </c>
      <c r="H545" t="s">
        <v>194</v>
      </c>
      <c r="I545" t="s">
        <v>194</v>
      </c>
      <c r="J545">
        <v>2024</v>
      </c>
      <c r="K545" t="s">
        <v>523</v>
      </c>
      <c r="L545">
        <v>45777</v>
      </c>
      <c r="N545" t="s">
        <v>134</v>
      </c>
      <c r="O545" t="s">
        <v>2934</v>
      </c>
      <c r="P545" t="s">
        <v>2899</v>
      </c>
    </row>
    <row r="546" spans="1:16" x14ac:dyDescent="0.2">
      <c r="A546" t="s">
        <v>687</v>
      </c>
      <c r="B546" t="s">
        <v>688</v>
      </c>
      <c r="C546" t="s">
        <v>128</v>
      </c>
      <c r="D546" t="s">
        <v>689</v>
      </c>
      <c r="F546" t="s">
        <v>690</v>
      </c>
      <c r="H546" t="s">
        <v>541</v>
      </c>
      <c r="J546">
        <v>2018</v>
      </c>
      <c r="K546" t="s">
        <v>133</v>
      </c>
      <c r="L546" t="s">
        <v>691</v>
      </c>
      <c r="M546" t="s">
        <v>692</v>
      </c>
      <c r="N546" t="s">
        <v>134</v>
      </c>
      <c r="P546" t="s">
        <v>693</v>
      </c>
    </row>
    <row r="547" spans="1:16" x14ac:dyDescent="0.2">
      <c r="A547" t="s">
        <v>687</v>
      </c>
      <c r="B547" t="s">
        <v>694</v>
      </c>
      <c r="C547" t="s">
        <v>128</v>
      </c>
      <c r="D547" t="s">
        <v>689</v>
      </c>
      <c r="F547" t="s">
        <v>690</v>
      </c>
      <c r="H547" t="s">
        <v>541</v>
      </c>
      <c r="J547">
        <v>2018</v>
      </c>
      <c r="K547" t="s">
        <v>133</v>
      </c>
      <c r="L547">
        <v>43371</v>
      </c>
      <c r="N547" t="s">
        <v>134</v>
      </c>
      <c r="O547" t="s">
        <v>135</v>
      </c>
      <c r="P547" t="s">
        <v>693</v>
      </c>
    </row>
    <row r="548" spans="1:16" x14ac:dyDescent="0.2">
      <c r="A548" t="s">
        <v>2614</v>
      </c>
      <c r="B548" t="s">
        <v>2615</v>
      </c>
      <c r="C548" t="s">
        <v>128</v>
      </c>
      <c r="D548" t="s">
        <v>2616</v>
      </c>
      <c r="F548" t="s">
        <v>540</v>
      </c>
      <c r="G548" t="s">
        <v>2617</v>
      </c>
      <c r="H548" t="s">
        <v>541</v>
      </c>
      <c r="I548" t="s">
        <v>1181</v>
      </c>
      <c r="J548">
        <v>2024</v>
      </c>
      <c r="K548" t="s">
        <v>133</v>
      </c>
      <c r="N548" t="s">
        <v>134</v>
      </c>
      <c r="P548" t="s">
        <v>2618</v>
      </c>
    </row>
    <row r="549" spans="1:16" x14ac:dyDescent="0.2">
      <c r="A549" t="s">
        <v>3179</v>
      </c>
      <c r="B549" t="s">
        <v>3180</v>
      </c>
      <c r="C549" t="s">
        <v>128</v>
      </c>
      <c r="D549" t="s">
        <v>2616</v>
      </c>
      <c r="F549" t="s">
        <v>540</v>
      </c>
      <c r="G549" t="s">
        <v>3181</v>
      </c>
      <c r="H549" t="s">
        <v>541</v>
      </c>
      <c r="I549" t="s">
        <v>1181</v>
      </c>
      <c r="J549">
        <v>2025</v>
      </c>
      <c r="K549" t="s">
        <v>277</v>
      </c>
      <c r="L549">
        <v>45957</v>
      </c>
      <c r="N549" t="s">
        <v>112</v>
      </c>
      <c r="P549" t="s">
        <v>3182</v>
      </c>
    </row>
    <row r="550" spans="1:16" x14ac:dyDescent="0.2">
      <c r="A550" t="s">
        <v>228</v>
      </c>
      <c r="B550" t="s">
        <v>229</v>
      </c>
      <c r="C550" t="s">
        <v>128</v>
      </c>
      <c r="D550" t="s">
        <v>230</v>
      </c>
      <c r="E550" t="s">
        <v>218</v>
      </c>
      <c r="F550" t="s">
        <v>160</v>
      </c>
      <c r="G550" t="s">
        <v>231</v>
      </c>
      <c r="H550" t="s">
        <v>220</v>
      </c>
      <c r="J550">
        <v>2016</v>
      </c>
      <c r="L550">
        <v>42689</v>
      </c>
      <c r="N550" t="s">
        <v>147</v>
      </c>
      <c r="O550" t="s">
        <v>135</v>
      </c>
      <c r="P550" t="s">
        <v>3522</v>
      </c>
    </row>
    <row r="551" spans="1:16" x14ac:dyDescent="0.2">
      <c r="A551" t="s">
        <v>286</v>
      </c>
      <c r="B551" t="s">
        <v>287</v>
      </c>
      <c r="C551" t="s">
        <v>128</v>
      </c>
      <c r="D551" t="s">
        <v>230</v>
      </c>
      <c r="E551" t="s">
        <v>218</v>
      </c>
      <c r="F551" t="s">
        <v>160</v>
      </c>
      <c r="G551" t="s">
        <v>288</v>
      </c>
      <c r="H551" t="s">
        <v>220</v>
      </c>
      <c r="J551">
        <v>2016</v>
      </c>
      <c r="K551" t="s">
        <v>221</v>
      </c>
      <c r="L551">
        <v>43084</v>
      </c>
      <c r="N551" t="s">
        <v>134</v>
      </c>
      <c r="O551" t="s">
        <v>135</v>
      </c>
      <c r="P551" t="s">
        <v>289</v>
      </c>
    </row>
    <row r="552" spans="1:16" x14ac:dyDescent="0.2">
      <c r="A552" t="s">
        <v>332</v>
      </c>
      <c r="B552" t="s">
        <v>333</v>
      </c>
      <c r="C552" t="s">
        <v>128</v>
      </c>
      <c r="D552" t="s">
        <v>230</v>
      </c>
      <c r="F552" t="s">
        <v>334</v>
      </c>
      <c r="H552" t="s">
        <v>183</v>
      </c>
      <c r="K552" t="s">
        <v>277</v>
      </c>
      <c r="L552">
        <v>42926</v>
      </c>
      <c r="N552" t="s">
        <v>134</v>
      </c>
      <c r="O552" t="s">
        <v>135</v>
      </c>
      <c r="P552" t="s">
        <v>335</v>
      </c>
    </row>
    <row r="553" spans="1:16" x14ac:dyDescent="0.2">
      <c r="A553" t="s">
        <v>383</v>
      </c>
      <c r="B553" t="s">
        <v>384</v>
      </c>
      <c r="C553" t="s">
        <v>128</v>
      </c>
      <c r="D553" t="s">
        <v>230</v>
      </c>
      <c r="F553" t="s">
        <v>385</v>
      </c>
      <c r="H553" t="s">
        <v>309</v>
      </c>
      <c r="J553">
        <v>2017</v>
      </c>
      <c r="K553" t="s">
        <v>261</v>
      </c>
      <c r="L553" t="s">
        <v>386</v>
      </c>
      <c r="M553" t="s">
        <v>387</v>
      </c>
      <c r="N553" t="s">
        <v>134</v>
      </c>
      <c r="O553" t="s">
        <v>135</v>
      </c>
      <c r="P553" t="s">
        <v>388</v>
      </c>
    </row>
    <row r="554" spans="1:16" x14ac:dyDescent="0.2">
      <c r="A554" t="s">
        <v>428</v>
      </c>
      <c r="B554" t="s">
        <v>429</v>
      </c>
      <c r="C554" t="s">
        <v>128</v>
      </c>
      <c r="D554" t="s">
        <v>230</v>
      </c>
      <c r="F554" t="s">
        <v>430</v>
      </c>
      <c r="G554" t="s">
        <v>431</v>
      </c>
      <c r="H554" t="s">
        <v>254</v>
      </c>
      <c r="J554">
        <v>2017</v>
      </c>
      <c r="K554" t="s">
        <v>133</v>
      </c>
      <c r="L554">
        <v>43140</v>
      </c>
      <c r="N554" t="s">
        <v>134</v>
      </c>
      <c r="O554" t="s">
        <v>135</v>
      </c>
      <c r="P554" t="s">
        <v>432</v>
      </c>
    </row>
    <row r="555" spans="1:16" x14ac:dyDescent="0.2">
      <c r="A555" t="s">
        <v>428</v>
      </c>
      <c r="B555" t="s">
        <v>433</v>
      </c>
      <c r="C555" t="s">
        <v>128</v>
      </c>
      <c r="D555" t="s">
        <v>230</v>
      </c>
      <c r="F555" t="s">
        <v>430</v>
      </c>
      <c r="G555" t="s">
        <v>434</v>
      </c>
      <c r="H555" t="s">
        <v>254</v>
      </c>
      <c r="J555">
        <v>2017</v>
      </c>
      <c r="K555" t="s">
        <v>261</v>
      </c>
      <c r="L555">
        <v>43403</v>
      </c>
      <c r="N555" t="s">
        <v>134</v>
      </c>
      <c r="O555" t="s">
        <v>135</v>
      </c>
      <c r="P555" t="s">
        <v>432</v>
      </c>
    </row>
    <row r="556" spans="1:16" x14ac:dyDescent="0.2">
      <c r="A556" t="s">
        <v>538</v>
      </c>
      <c r="B556" t="s">
        <v>539</v>
      </c>
      <c r="C556" t="s">
        <v>128</v>
      </c>
      <c r="D556" t="s">
        <v>230</v>
      </c>
      <c r="F556" t="s">
        <v>540</v>
      </c>
      <c r="H556" t="s">
        <v>541</v>
      </c>
      <c r="J556">
        <v>2017</v>
      </c>
      <c r="K556" t="s">
        <v>351</v>
      </c>
      <c r="L556">
        <v>43046</v>
      </c>
      <c r="N556" t="s">
        <v>134</v>
      </c>
      <c r="O556" t="s">
        <v>135</v>
      </c>
      <c r="P556" t="s">
        <v>542</v>
      </c>
    </row>
    <row r="557" spans="1:16" x14ac:dyDescent="0.2">
      <c r="A557" t="s">
        <v>564</v>
      </c>
      <c r="B557" t="s">
        <v>565</v>
      </c>
      <c r="C557" t="s">
        <v>128</v>
      </c>
      <c r="D557" t="s">
        <v>230</v>
      </c>
      <c r="F557" t="s">
        <v>566</v>
      </c>
      <c r="H557" t="s">
        <v>183</v>
      </c>
      <c r="J557">
        <v>2017</v>
      </c>
      <c r="K557" t="s">
        <v>221</v>
      </c>
      <c r="L557">
        <v>43089</v>
      </c>
      <c r="M557" t="s">
        <v>567</v>
      </c>
      <c r="N557" t="s">
        <v>134</v>
      </c>
      <c r="O557" t="s">
        <v>135</v>
      </c>
      <c r="P557" t="s">
        <v>568</v>
      </c>
    </row>
    <row r="558" spans="1:16" x14ac:dyDescent="0.2">
      <c r="A558" t="s">
        <v>589</v>
      </c>
      <c r="B558" t="s">
        <v>590</v>
      </c>
      <c r="C558" t="s">
        <v>128</v>
      </c>
      <c r="D558" t="s">
        <v>230</v>
      </c>
      <c r="E558" t="s">
        <v>307</v>
      </c>
      <c r="F558" t="s">
        <v>591</v>
      </c>
      <c r="H558" t="s">
        <v>421</v>
      </c>
      <c r="J558">
        <v>2017</v>
      </c>
      <c r="K558" t="s">
        <v>221</v>
      </c>
      <c r="L558">
        <v>43137</v>
      </c>
      <c r="N558" t="s">
        <v>134</v>
      </c>
      <c r="O558" t="s">
        <v>135</v>
      </c>
      <c r="P558" t="s">
        <v>592</v>
      </c>
    </row>
    <row r="559" spans="1:16" x14ac:dyDescent="0.2">
      <c r="A559" t="s">
        <v>612</v>
      </c>
      <c r="C559" t="s">
        <v>128</v>
      </c>
      <c r="D559" t="s">
        <v>230</v>
      </c>
      <c r="E559" t="s">
        <v>613</v>
      </c>
      <c r="F559" t="s">
        <v>175</v>
      </c>
      <c r="H559" t="s">
        <v>177</v>
      </c>
      <c r="J559">
        <v>2017</v>
      </c>
      <c r="K559" t="s">
        <v>261</v>
      </c>
      <c r="M559" t="s">
        <v>614</v>
      </c>
      <c r="N559" t="s">
        <v>134</v>
      </c>
      <c r="O559" t="s">
        <v>135</v>
      </c>
      <c r="P559" t="s">
        <v>615</v>
      </c>
    </row>
    <row r="560" spans="1:16" x14ac:dyDescent="0.2">
      <c r="A560" t="s">
        <v>682</v>
      </c>
      <c r="B560" t="s">
        <v>683</v>
      </c>
      <c r="C560" t="s">
        <v>128</v>
      </c>
      <c r="D560" t="s">
        <v>230</v>
      </c>
      <c r="E560" t="s">
        <v>684</v>
      </c>
      <c r="F560" t="s">
        <v>684</v>
      </c>
      <c r="G560" t="s">
        <v>685</v>
      </c>
      <c r="H560" t="s">
        <v>684</v>
      </c>
      <c r="J560">
        <v>2018</v>
      </c>
      <c r="K560" t="s">
        <v>351</v>
      </c>
      <c r="L560">
        <v>43231</v>
      </c>
      <c r="N560" t="s">
        <v>134</v>
      </c>
      <c r="O560" t="s">
        <v>135</v>
      </c>
      <c r="P560" t="s">
        <v>686</v>
      </c>
    </row>
    <row r="561" spans="1:16" x14ac:dyDescent="0.2">
      <c r="A561" t="s">
        <v>904</v>
      </c>
      <c r="B561" t="s">
        <v>905</v>
      </c>
      <c r="C561" t="s">
        <v>128</v>
      </c>
      <c r="D561" t="s">
        <v>230</v>
      </c>
      <c r="F561" t="s">
        <v>906</v>
      </c>
      <c r="H561" t="s">
        <v>248</v>
      </c>
      <c r="J561">
        <v>2018</v>
      </c>
      <c r="K561" t="s">
        <v>221</v>
      </c>
      <c r="L561">
        <v>43508</v>
      </c>
      <c r="N561" t="s">
        <v>134</v>
      </c>
      <c r="O561" t="s">
        <v>135</v>
      </c>
      <c r="P561" t="s">
        <v>907</v>
      </c>
    </row>
    <row r="562" spans="1:16" x14ac:dyDescent="0.2">
      <c r="A562" t="s">
        <v>904</v>
      </c>
      <c r="B562" t="s">
        <v>908</v>
      </c>
      <c r="C562" t="s">
        <v>128</v>
      </c>
      <c r="D562" t="s">
        <v>230</v>
      </c>
      <c r="F562" t="s">
        <v>906</v>
      </c>
      <c r="H562" t="s">
        <v>248</v>
      </c>
      <c r="J562">
        <v>2018</v>
      </c>
      <c r="K562" t="s">
        <v>221</v>
      </c>
      <c r="L562">
        <v>43636</v>
      </c>
      <c r="N562" t="s">
        <v>134</v>
      </c>
      <c r="O562" t="s">
        <v>135</v>
      </c>
      <c r="P562" t="s">
        <v>907</v>
      </c>
    </row>
    <row r="563" spans="1:16" x14ac:dyDescent="0.2">
      <c r="A563" t="s">
        <v>904</v>
      </c>
      <c r="B563" t="s">
        <v>909</v>
      </c>
      <c r="C563" t="s">
        <v>128</v>
      </c>
      <c r="D563" t="s">
        <v>230</v>
      </c>
      <c r="F563" t="s">
        <v>906</v>
      </c>
      <c r="H563" t="s">
        <v>248</v>
      </c>
      <c r="J563">
        <v>2019</v>
      </c>
      <c r="K563" t="s">
        <v>221</v>
      </c>
      <c r="L563">
        <v>43668</v>
      </c>
      <c r="N563" t="s">
        <v>134</v>
      </c>
      <c r="O563" t="s">
        <v>135</v>
      </c>
      <c r="P563" t="s">
        <v>910</v>
      </c>
    </row>
    <row r="564" spans="1:16" x14ac:dyDescent="0.2">
      <c r="A564" t="s">
        <v>949</v>
      </c>
      <c r="B564" t="s">
        <v>950</v>
      </c>
      <c r="C564" t="s">
        <v>128</v>
      </c>
      <c r="D564" t="s">
        <v>230</v>
      </c>
      <c r="E564" t="s">
        <v>130</v>
      </c>
      <c r="F564" t="s">
        <v>951</v>
      </c>
      <c r="H564" t="s">
        <v>952</v>
      </c>
      <c r="J564">
        <v>2018</v>
      </c>
      <c r="K564" t="s">
        <v>221</v>
      </c>
      <c r="L564">
        <v>43529</v>
      </c>
      <c r="N564" t="s">
        <v>134</v>
      </c>
      <c r="O564" t="s">
        <v>135</v>
      </c>
      <c r="P564" t="s">
        <v>953</v>
      </c>
    </row>
    <row r="565" spans="1:16" x14ac:dyDescent="0.2">
      <c r="A565" t="s">
        <v>984</v>
      </c>
      <c r="B565" t="s">
        <v>985</v>
      </c>
      <c r="C565" t="s">
        <v>128</v>
      </c>
      <c r="D565" t="s">
        <v>230</v>
      </c>
      <c r="E565" t="s">
        <v>986</v>
      </c>
      <c r="F565" t="s">
        <v>987</v>
      </c>
      <c r="H565" t="s">
        <v>183</v>
      </c>
      <c r="J565">
        <v>2019</v>
      </c>
      <c r="K565" t="s">
        <v>523</v>
      </c>
      <c r="L565">
        <v>43626</v>
      </c>
      <c r="N565" t="s">
        <v>134</v>
      </c>
      <c r="P565" t="s">
        <v>988</v>
      </c>
    </row>
    <row r="566" spans="1:16" x14ac:dyDescent="0.2">
      <c r="A566" t="s">
        <v>984</v>
      </c>
      <c r="B566" t="s">
        <v>989</v>
      </c>
      <c r="C566" t="s">
        <v>128</v>
      </c>
      <c r="D566" t="s">
        <v>230</v>
      </c>
      <c r="E566" t="s">
        <v>986</v>
      </c>
      <c r="F566" t="s">
        <v>987</v>
      </c>
      <c r="H566" t="s">
        <v>183</v>
      </c>
      <c r="J566">
        <v>2019</v>
      </c>
      <c r="K566" t="s">
        <v>523</v>
      </c>
      <c r="L566">
        <v>43672</v>
      </c>
      <c r="N566" t="s">
        <v>134</v>
      </c>
      <c r="P566" t="s">
        <v>988</v>
      </c>
    </row>
    <row r="567" spans="1:16" x14ac:dyDescent="0.2">
      <c r="A567" t="s">
        <v>990</v>
      </c>
      <c r="B567" t="s">
        <v>991</v>
      </c>
      <c r="C567" t="s">
        <v>128</v>
      </c>
      <c r="D567" t="s">
        <v>230</v>
      </c>
      <c r="F567" t="s">
        <v>992</v>
      </c>
      <c r="H567" t="s">
        <v>309</v>
      </c>
      <c r="J567">
        <v>2019</v>
      </c>
      <c r="K567" t="s">
        <v>221</v>
      </c>
      <c r="L567">
        <v>43626</v>
      </c>
      <c r="N567" t="s">
        <v>134</v>
      </c>
      <c r="O567" t="s">
        <v>135</v>
      </c>
      <c r="P567" t="s">
        <v>993</v>
      </c>
    </row>
    <row r="568" spans="1:16" x14ac:dyDescent="0.2">
      <c r="A568" t="s">
        <v>990</v>
      </c>
      <c r="B568" t="s">
        <v>994</v>
      </c>
      <c r="C568" t="s">
        <v>128</v>
      </c>
      <c r="D568" t="s">
        <v>230</v>
      </c>
      <c r="F568" t="s">
        <v>992</v>
      </c>
      <c r="H568" t="s">
        <v>309</v>
      </c>
      <c r="J568">
        <v>2019</v>
      </c>
      <c r="K568" t="s">
        <v>221</v>
      </c>
      <c r="L568">
        <v>43748</v>
      </c>
      <c r="N568" t="s">
        <v>134</v>
      </c>
      <c r="O568" t="s">
        <v>135</v>
      </c>
      <c r="P568" t="s">
        <v>993</v>
      </c>
    </row>
    <row r="569" spans="1:16" x14ac:dyDescent="0.2">
      <c r="A569" t="s">
        <v>1000</v>
      </c>
      <c r="B569" t="s">
        <v>1001</v>
      </c>
      <c r="C569" t="s">
        <v>128</v>
      </c>
      <c r="D569" t="s">
        <v>230</v>
      </c>
      <c r="F569" t="s">
        <v>1002</v>
      </c>
      <c r="H569" t="s">
        <v>146</v>
      </c>
      <c r="J569">
        <v>2019</v>
      </c>
      <c r="K569" t="s">
        <v>221</v>
      </c>
      <c r="L569">
        <v>43585</v>
      </c>
      <c r="N569" t="s">
        <v>134</v>
      </c>
      <c r="O569" t="s">
        <v>135</v>
      </c>
      <c r="P569" t="s">
        <v>1003</v>
      </c>
    </row>
    <row r="570" spans="1:16" x14ac:dyDescent="0.2">
      <c r="A570" t="s">
        <v>1109</v>
      </c>
      <c r="B570" t="s">
        <v>1110</v>
      </c>
      <c r="C570" t="s">
        <v>128</v>
      </c>
      <c r="D570" t="s">
        <v>230</v>
      </c>
      <c r="E570" t="s">
        <v>1111</v>
      </c>
      <c r="F570" t="s">
        <v>1112</v>
      </c>
      <c r="H570" t="s">
        <v>1113</v>
      </c>
      <c r="J570">
        <v>2019</v>
      </c>
      <c r="K570" t="s">
        <v>133</v>
      </c>
      <c r="L570">
        <v>43738</v>
      </c>
      <c r="N570" t="s">
        <v>134</v>
      </c>
      <c r="P570" t="s">
        <v>1114</v>
      </c>
    </row>
    <row r="571" spans="1:16" x14ac:dyDescent="0.2">
      <c r="A571" t="s">
        <v>1119</v>
      </c>
      <c r="B571" t="s">
        <v>1120</v>
      </c>
      <c r="C571" t="s">
        <v>128</v>
      </c>
      <c r="D571" t="s">
        <v>230</v>
      </c>
      <c r="F571" t="s">
        <v>1121</v>
      </c>
      <c r="H571" t="s">
        <v>1122</v>
      </c>
      <c r="J571">
        <v>2019</v>
      </c>
      <c r="K571" t="s">
        <v>133</v>
      </c>
      <c r="L571">
        <v>44286</v>
      </c>
      <c r="N571" t="s">
        <v>134</v>
      </c>
      <c r="P571" t="s">
        <v>2242</v>
      </c>
    </row>
    <row r="572" spans="1:16" x14ac:dyDescent="0.2">
      <c r="A572" t="s">
        <v>1174</v>
      </c>
      <c r="B572" t="s">
        <v>1175</v>
      </c>
      <c r="C572" t="s">
        <v>128</v>
      </c>
      <c r="D572" t="s">
        <v>230</v>
      </c>
      <c r="E572" t="s">
        <v>246</v>
      </c>
      <c r="F572" t="s">
        <v>1176</v>
      </c>
      <c r="H572" t="s">
        <v>152</v>
      </c>
      <c r="J572">
        <v>2019</v>
      </c>
      <c r="K572" t="s">
        <v>133</v>
      </c>
      <c r="L572">
        <v>43900</v>
      </c>
      <c r="N572" t="s">
        <v>134</v>
      </c>
      <c r="P572" t="s">
        <v>1177</v>
      </c>
    </row>
    <row r="573" spans="1:16" x14ac:dyDescent="0.2">
      <c r="A573" t="s">
        <v>1178</v>
      </c>
      <c r="B573" t="s">
        <v>1179</v>
      </c>
      <c r="C573" t="s">
        <v>128</v>
      </c>
      <c r="D573" t="s">
        <v>230</v>
      </c>
      <c r="E573" t="s">
        <v>246</v>
      </c>
      <c r="F573" t="s">
        <v>1180</v>
      </c>
      <c r="H573" t="s">
        <v>254</v>
      </c>
      <c r="I573" t="s">
        <v>1181</v>
      </c>
      <c r="J573">
        <v>2019</v>
      </c>
      <c r="K573" t="s">
        <v>221</v>
      </c>
      <c r="L573">
        <v>43819</v>
      </c>
      <c r="N573" t="s">
        <v>134</v>
      </c>
      <c r="O573" t="s">
        <v>135</v>
      </c>
      <c r="P573" t="s">
        <v>1182</v>
      </c>
    </row>
    <row r="574" spans="1:16" x14ac:dyDescent="0.2">
      <c r="A574" t="s">
        <v>1183</v>
      </c>
      <c r="B574" t="s">
        <v>1184</v>
      </c>
      <c r="C574" t="s">
        <v>128</v>
      </c>
      <c r="D574" t="s">
        <v>230</v>
      </c>
      <c r="E574" t="s">
        <v>1185</v>
      </c>
      <c r="F574" t="s">
        <v>1186</v>
      </c>
      <c r="G574" t="s">
        <v>1187</v>
      </c>
      <c r="H574" t="s">
        <v>1188</v>
      </c>
      <c r="I574" t="s">
        <v>1181</v>
      </c>
      <c r="J574">
        <v>2019</v>
      </c>
      <c r="K574" t="s">
        <v>133</v>
      </c>
      <c r="L574">
        <v>43840</v>
      </c>
      <c r="N574" t="s">
        <v>134</v>
      </c>
      <c r="P574" t="s">
        <v>2251</v>
      </c>
    </row>
    <row r="575" spans="1:16" x14ac:dyDescent="0.2">
      <c r="A575" t="s">
        <v>1270</v>
      </c>
      <c r="B575" t="s">
        <v>1271</v>
      </c>
      <c r="C575" t="s">
        <v>128</v>
      </c>
      <c r="D575" t="s">
        <v>230</v>
      </c>
      <c r="E575" t="s">
        <v>987</v>
      </c>
      <c r="F575" t="s">
        <v>987</v>
      </c>
      <c r="G575" t="s">
        <v>1272</v>
      </c>
      <c r="H575" t="s">
        <v>183</v>
      </c>
      <c r="I575" t="s">
        <v>1181</v>
      </c>
      <c r="J575">
        <v>2019</v>
      </c>
      <c r="K575" t="s">
        <v>261</v>
      </c>
      <c r="L575">
        <v>43951</v>
      </c>
      <c r="N575" t="s">
        <v>134</v>
      </c>
      <c r="O575" t="s">
        <v>135</v>
      </c>
      <c r="P575" t="s">
        <v>1273</v>
      </c>
    </row>
    <row r="576" spans="1:16" x14ac:dyDescent="0.2">
      <c r="A576" t="s">
        <v>1270</v>
      </c>
      <c r="B576" t="s">
        <v>1274</v>
      </c>
      <c r="C576" t="s">
        <v>128</v>
      </c>
      <c r="D576" t="s">
        <v>230</v>
      </c>
      <c r="E576" t="s">
        <v>987</v>
      </c>
      <c r="F576" t="s">
        <v>987</v>
      </c>
      <c r="G576" t="s">
        <v>1275</v>
      </c>
      <c r="H576" t="s">
        <v>183</v>
      </c>
      <c r="I576" t="s">
        <v>1181</v>
      </c>
      <c r="J576">
        <v>2019</v>
      </c>
      <c r="K576" t="s">
        <v>261</v>
      </c>
      <c r="L576">
        <v>43983</v>
      </c>
      <c r="N576" t="s">
        <v>134</v>
      </c>
      <c r="O576" t="s">
        <v>135</v>
      </c>
      <c r="P576" t="s">
        <v>1273</v>
      </c>
    </row>
    <row r="577" spans="1:16" x14ac:dyDescent="0.2">
      <c r="A577" t="s">
        <v>1286</v>
      </c>
      <c r="B577" t="s">
        <v>1287</v>
      </c>
      <c r="C577" t="s">
        <v>128</v>
      </c>
      <c r="D577" t="s">
        <v>230</v>
      </c>
      <c r="E577" t="s">
        <v>1288</v>
      </c>
      <c r="F577" t="s">
        <v>1289</v>
      </c>
      <c r="H577" t="s">
        <v>1290</v>
      </c>
      <c r="I577" t="s">
        <v>1181</v>
      </c>
      <c r="J577">
        <v>2020</v>
      </c>
      <c r="K577" t="s">
        <v>133</v>
      </c>
      <c r="L577">
        <v>43951</v>
      </c>
      <c r="N577" t="s">
        <v>134</v>
      </c>
      <c r="P577" t="s">
        <v>1291</v>
      </c>
    </row>
    <row r="578" spans="1:16" x14ac:dyDescent="0.2">
      <c r="A578" t="s">
        <v>1349</v>
      </c>
      <c r="B578" t="s">
        <v>1350</v>
      </c>
      <c r="C578" t="s">
        <v>128</v>
      </c>
      <c r="D578" t="s">
        <v>230</v>
      </c>
      <c r="E578" t="s">
        <v>211</v>
      </c>
      <c r="F578" t="s">
        <v>1351</v>
      </c>
      <c r="G578" t="s">
        <v>1352</v>
      </c>
      <c r="H578" t="s">
        <v>309</v>
      </c>
      <c r="I578" t="s">
        <v>1181</v>
      </c>
      <c r="J578">
        <v>2020</v>
      </c>
      <c r="K578" t="s">
        <v>351</v>
      </c>
      <c r="L578">
        <v>44027</v>
      </c>
      <c r="M578" t="s">
        <v>1353</v>
      </c>
      <c r="N578" t="s">
        <v>140</v>
      </c>
      <c r="P578" t="s">
        <v>1354</v>
      </c>
    </row>
    <row r="579" spans="1:16" x14ac:dyDescent="0.2">
      <c r="A579" t="s">
        <v>1349</v>
      </c>
      <c r="B579" t="s">
        <v>1355</v>
      </c>
      <c r="C579" t="s">
        <v>128</v>
      </c>
      <c r="D579" t="s">
        <v>230</v>
      </c>
      <c r="E579" t="s">
        <v>211</v>
      </c>
      <c r="F579" t="s">
        <v>1351</v>
      </c>
      <c r="H579" t="s">
        <v>309</v>
      </c>
      <c r="I579" t="s">
        <v>1181</v>
      </c>
      <c r="J579">
        <v>2020</v>
      </c>
      <c r="K579" t="s">
        <v>351</v>
      </c>
      <c r="L579">
        <v>44271</v>
      </c>
      <c r="N579" t="s">
        <v>134</v>
      </c>
      <c r="P579" t="s">
        <v>1354</v>
      </c>
    </row>
    <row r="580" spans="1:16" x14ac:dyDescent="0.2">
      <c r="A580" t="s">
        <v>1401</v>
      </c>
      <c r="B580" t="s">
        <v>1402</v>
      </c>
      <c r="C580" t="s">
        <v>128</v>
      </c>
      <c r="D580" t="s">
        <v>230</v>
      </c>
      <c r="F580" t="s">
        <v>1403</v>
      </c>
      <c r="G580" t="s">
        <v>1404</v>
      </c>
      <c r="H580" t="s">
        <v>146</v>
      </c>
      <c r="I580" t="s">
        <v>1181</v>
      </c>
      <c r="J580">
        <v>2020</v>
      </c>
      <c r="K580" t="s">
        <v>261</v>
      </c>
      <c r="L580">
        <v>44104</v>
      </c>
      <c r="N580" t="s">
        <v>134</v>
      </c>
      <c r="O580" t="s">
        <v>135</v>
      </c>
      <c r="P580" t="s">
        <v>1405</v>
      </c>
    </row>
    <row r="581" spans="1:16" x14ac:dyDescent="0.2">
      <c r="A581" t="s">
        <v>1511</v>
      </c>
      <c r="B581" t="s">
        <v>1512</v>
      </c>
      <c r="C581" t="s">
        <v>128</v>
      </c>
      <c r="D581" t="s">
        <v>230</v>
      </c>
      <c r="F581" t="s">
        <v>1513</v>
      </c>
      <c r="H581" t="s">
        <v>146</v>
      </c>
      <c r="I581" t="s">
        <v>1181</v>
      </c>
      <c r="J581">
        <v>2020</v>
      </c>
      <c r="K581" t="s">
        <v>221</v>
      </c>
      <c r="L581">
        <v>43873</v>
      </c>
      <c r="N581" t="s">
        <v>134</v>
      </c>
      <c r="O581" t="s">
        <v>135</v>
      </c>
      <c r="P581" t="s">
        <v>1514</v>
      </c>
    </row>
    <row r="582" spans="1:16" x14ac:dyDescent="0.2">
      <c r="A582" t="s">
        <v>1542</v>
      </c>
      <c r="B582" t="s">
        <v>1543</v>
      </c>
      <c r="C582" t="s">
        <v>128</v>
      </c>
      <c r="D582" t="s">
        <v>230</v>
      </c>
      <c r="E582" t="s">
        <v>1544</v>
      </c>
      <c r="F582" t="s">
        <v>1545</v>
      </c>
      <c r="H582" t="s">
        <v>183</v>
      </c>
      <c r="I582" t="s">
        <v>1181</v>
      </c>
      <c r="J582">
        <v>2020</v>
      </c>
      <c r="K582" t="s">
        <v>221</v>
      </c>
      <c r="L582">
        <v>43949</v>
      </c>
      <c r="N582" t="s">
        <v>134</v>
      </c>
      <c r="O582" t="s">
        <v>135</v>
      </c>
      <c r="P582" t="s">
        <v>1546</v>
      </c>
    </row>
    <row r="583" spans="1:16" x14ac:dyDescent="0.2">
      <c r="A583" t="s">
        <v>1573</v>
      </c>
      <c r="B583" t="s">
        <v>1574</v>
      </c>
      <c r="C583" t="s">
        <v>128</v>
      </c>
      <c r="D583" t="s">
        <v>230</v>
      </c>
      <c r="E583" t="s">
        <v>1288</v>
      </c>
      <c r="F583" t="s">
        <v>1289</v>
      </c>
      <c r="H583" t="s">
        <v>1290</v>
      </c>
      <c r="I583" t="s">
        <v>1181</v>
      </c>
      <c r="J583">
        <v>2021</v>
      </c>
      <c r="K583" t="s">
        <v>1575</v>
      </c>
      <c r="L583">
        <v>44231</v>
      </c>
      <c r="N583" t="s">
        <v>140</v>
      </c>
      <c r="P583" t="s">
        <v>1576</v>
      </c>
    </row>
    <row r="584" spans="1:16" x14ac:dyDescent="0.2">
      <c r="A584" t="s">
        <v>1641</v>
      </c>
      <c r="B584" t="s">
        <v>1642</v>
      </c>
      <c r="C584" t="s">
        <v>128</v>
      </c>
      <c r="D584" t="s">
        <v>230</v>
      </c>
      <c r="E584" t="s">
        <v>1643</v>
      </c>
      <c r="F584" t="s">
        <v>1644</v>
      </c>
      <c r="H584" t="s">
        <v>309</v>
      </c>
      <c r="I584" t="s">
        <v>1181</v>
      </c>
      <c r="J584">
        <v>2021</v>
      </c>
      <c r="K584" t="s">
        <v>221</v>
      </c>
      <c r="M584" t="s">
        <v>1645</v>
      </c>
      <c r="N584" t="s">
        <v>140</v>
      </c>
      <c r="O584" t="s">
        <v>1426</v>
      </c>
      <c r="P584" t="s">
        <v>1646</v>
      </c>
    </row>
    <row r="585" spans="1:16" x14ac:dyDescent="0.2">
      <c r="A585" t="s">
        <v>1641</v>
      </c>
      <c r="B585" t="s">
        <v>1647</v>
      </c>
      <c r="C585" t="s">
        <v>128</v>
      </c>
      <c r="D585" t="s">
        <v>230</v>
      </c>
      <c r="E585" t="s">
        <v>1643</v>
      </c>
      <c r="F585" t="s">
        <v>1644</v>
      </c>
      <c r="H585" t="s">
        <v>309</v>
      </c>
      <c r="I585" t="s">
        <v>1181</v>
      </c>
      <c r="J585">
        <v>2021</v>
      </c>
      <c r="K585" t="s">
        <v>221</v>
      </c>
      <c r="N585" t="s">
        <v>134</v>
      </c>
      <c r="O585" t="s">
        <v>1426</v>
      </c>
      <c r="P585" t="s">
        <v>1646</v>
      </c>
    </row>
    <row r="586" spans="1:16" x14ac:dyDescent="0.2">
      <c r="A586" t="s">
        <v>1822</v>
      </c>
      <c r="B586" t="s">
        <v>1823</v>
      </c>
      <c r="C586" t="s">
        <v>128</v>
      </c>
      <c r="D586" t="s">
        <v>230</v>
      </c>
      <c r="E586" t="s">
        <v>1544</v>
      </c>
      <c r="F586" t="s">
        <v>1545</v>
      </c>
      <c r="H586" t="s">
        <v>183</v>
      </c>
      <c r="I586" t="s">
        <v>1181</v>
      </c>
      <c r="J586">
        <v>2021</v>
      </c>
      <c r="K586" t="s">
        <v>277</v>
      </c>
      <c r="L586">
        <v>44544</v>
      </c>
      <c r="N586" t="s">
        <v>134</v>
      </c>
      <c r="P586" t="s">
        <v>1824</v>
      </c>
    </row>
    <row r="587" spans="1:16" x14ac:dyDescent="0.2">
      <c r="A587" t="s">
        <v>1854</v>
      </c>
      <c r="B587" t="s">
        <v>1855</v>
      </c>
      <c r="C587" t="s">
        <v>128</v>
      </c>
      <c r="D587" t="s">
        <v>230</v>
      </c>
      <c r="E587" t="s">
        <v>246</v>
      </c>
      <c r="F587" t="s">
        <v>247</v>
      </c>
      <c r="H587" t="s">
        <v>248</v>
      </c>
      <c r="I587" t="s">
        <v>1181</v>
      </c>
      <c r="J587">
        <v>2021</v>
      </c>
      <c r="K587" t="s">
        <v>277</v>
      </c>
      <c r="L587">
        <v>44252</v>
      </c>
      <c r="N587" t="s">
        <v>134</v>
      </c>
      <c r="P587" t="s">
        <v>1856</v>
      </c>
    </row>
    <row r="588" spans="1:16" x14ac:dyDescent="0.2">
      <c r="A588" t="s">
        <v>1884</v>
      </c>
      <c r="B588" t="s">
        <v>1885</v>
      </c>
      <c r="C588" t="s">
        <v>128</v>
      </c>
      <c r="D588" t="s">
        <v>230</v>
      </c>
      <c r="E588" t="s">
        <v>1886</v>
      </c>
      <c r="F588" t="s">
        <v>1749</v>
      </c>
      <c r="H588" t="s">
        <v>225</v>
      </c>
      <c r="I588" t="s">
        <v>1181</v>
      </c>
      <c r="J588">
        <v>2021</v>
      </c>
      <c r="K588" t="s">
        <v>277</v>
      </c>
      <c r="L588">
        <v>44712</v>
      </c>
      <c r="N588" t="s">
        <v>134</v>
      </c>
      <c r="P588" t="s">
        <v>1887</v>
      </c>
    </row>
    <row r="589" spans="1:16" x14ac:dyDescent="0.2">
      <c r="A589" t="s">
        <v>1899</v>
      </c>
      <c r="B589" t="s">
        <v>1900</v>
      </c>
      <c r="C589" t="s">
        <v>128</v>
      </c>
      <c r="D589" t="s">
        <v>230</v>
      </c>
      <c r="F589" t="s">
        <v>385</v>
      </c>
      <c r="H589" t="s">
        <v>309</v>
      </c>
      <c r="I589" t="s">
        <v>1181</v>
      </c>
      <c r="J589">
        <v>2021</v>
      </c>
      <c r="K589" t="s">
        <v>523</v>
      </c>
      <c r="L589">
        <v>44651</v>
      </c>
      <c r="N589" t="s">
        <v>134</v>
      </c>
      <c r="P589" t="s">
        <v>1901</v>
      </c>
    </row>
    <row r="590" spans="1:16" x14ac:dyDescent="0.2">
      <c r="A590" t="s">
        <v>1909</v>
      </c>
      <c r="B590" t="s">
        <v>1910</v>
      </c>
      <c r="C590" t="s">
        <v>128</v>
      </c>
      <c r="D590" t="s">
        <v>230</v>
      </c>
      <c r="F590" t="s">
        <v>1911</v>
      </c>
      <c r="H590" t="s">
        <v>281</v>
      </c>
      <c r="I590" t="s">
        <v>1181</v>
      </c>
      <c r="J590">
        <v>2021</v>
      </c>
      <c r="K590" t="s">
        <v>261</v>
      </c>
      <c r="L590">
        <v>44725</v>
      </c>
      <c r="N590" t="s">
        <v>134</v>
      </c>
      <c r="O590" t="s">
        <v>135</v>
      </c>
      <c r="P590" t="s">
        <v>1912</v>
      </c>
    </row>
    <row r="591" spans="1:16" x14ac:dyDescent="0.2">
      <c r="A591" t="s">
        <v>1909</v>
      </c>
      <c r="B591" t="s">
        <v>1913</v>
      </c>
      <c r="C591" t="s">
        <v>128</v>
      </c>
      <c r="D591" t="s">
        <v>230</v>
      </c>
      <c r="F591" t="s">
        <v>1911</v>
      </c>
      <c r="H591" t="s">
        <v>281</v>
      </c>
      <c r="I591" t="s">
        <v>1181</v>
      </c>
      <c r="J591">
        <v>2021</v>
      </c>
      <c r="K591" t="s">
        <v>261</v>
      </c>
      <c r="L591">
        <v>44907</v>
      </c>
      <c r="N591" t="s">
        <v>134</v>
      </c>
      <c r="O591" t="s">
        <v>135</v>
      </c>
      <c r="P591" t="s">
        <v>1912</v>
      </c>
    </row>
    <row r="592" spans="1:16" x14ac:dyDescent="0.2">
      <c r="A592" t="s">
        <v>1939</v>
      </c>
      <c r="B592" t="s">
        <v>1940</v>
      </c>
      <c r="C592" t="s">
        <v>128</v>
      </c>
      <c r="D592" t="s">
        <v>230</v>
      </c>
      <c r="F592" t="s">
        <v>1941</v>
      </c>
      <c r="H592" t="s">
        <v>183</v>
      </c>
      <c r="I592" t="s">
        <v>1181</v>
      </c>
      <c r="J592">
        <v>2021</v>
      </c>
      <c r="K592" t="s">
        <v>221</v>
      </c>
      <c r="L592">
        <v>44630</v>
      </c>
      <c r="N592" t="s">
        <v>134</v>
      </c>
      <c r="O592" t="s">
        <v>135</v>
      </c>
      <c r="P592" t="s">
        <v>1942</v>
      </c>
    </row>
    <row r="593" spans="1:16" x14ac:dyDescent="0.2">
      <c r="A593" t="s">
        <v>1939</v>
      </c>
      <c r="B593" t="s">
        <v>1943</v>
      </c>
      <c r="C593" t="s">
        <v>128</v>
      </c>
      <c r="D593" t="s">
        <v>230</v>
      </c>
      <c r="F593" t="s">
        <v>1941</v>
      </c>
      <c r="H593" t="s">
        <v>183</v>
      </c>
      <c r="I593" t="s">
        <v>1181</v>
      </c>
      <c r="J593">
        <v>2021</v>
      </c>
      <c r="K593" t="s">
        <v>221</v>
      </c>
      <c r="L593">
        <v>44883</v>
      </c>
      <c r="N593" t="s">
        <v>868</v>
      </c>
      <c r="O593" t="s">
        <v>1944</v>
      </c>
      <c r="P593" t="s">
        <v>1942</v>
      </c>
    </row>
    <row r="594" spans="1:16" x14ac:dyDescent="0.2">
      <c r="A594" t="s">
        <v>1985</v>
      </c>
      <c r="B594" t="s">
        <v>1986</v>
      </c>
      <c r="C594" t="s">
        <v>128</v>
      </c>
      <c r="D594" t="s">
        <v>230</v>
      </c>
      <c r="F594" t="s">
        <v>1987</v>
      </c>
      <c r="H594" t="s">
        <v>309</v>
      </c>
      <c r="I594" t="s">
        <v>1181</v>
      </c>
      <c r="J594">
        <v>2022</v>
      </c>
      <c r="K594" t="s">
        <v>261</v>
      </c>
      <c r="L594">
        <v>44742</v>
      </c>
      <c r="N594" t="s">
        <v>134</v>
      </c>
      <c r="O594" t="s">
        <v>135</v>
      </c>
      <c r="P594" t="s">
        <v>1988</v>
      </c>
    </row>
    <row r="595" spans="1:16" x14ac:dyDescent="0.2">
      <c r="A595" t="s">
        <v>1985</v>
      </c>
      <c r="B595" t="s">
        <v>1989</v>
      </c>
      <c r="C595" t="s">
        <v>128</v>
      </c>
      <c r="D595" t="s">
        <v>230</v>
      </c>
      <c r="F595" t="s">
        <v>1987</v>
      </c>
      <c r="H595" t="s">
        <v>309</v>
      </c>
      <c r="I595" t="s">
        <v>1181</v>
      </c>
      <c r="J595">
        <v>2022</v>
      </c>
      <c r="K595" t="s">
        <v>261</v>
      </c>
      <c r="L595">
        <v>44841</v>
      </c>
      <c r="N595" t="s">
        <v>2931</v>
      </c>
      <c r="O595" t="s">
        <v>135</v>
      </c>
      <c r="P595" t="s">
        <v>1988</v>
      </c>
    </row>
    <row r="596" spans="1:16" x14ac:dyDescent="0.2">
      <c r="A596" t="s">
        <v>1990</v>
      </c>
      <c r="B596" t="s">
        <v>1991</v>
      </c>
      <c r="C596" t="s">
        <v>128</v>
      </c>
      <c r="D596" t="s">
        <v>230</v>
      </c>
      <c r="F596" t="s">
        <v>1992</v>
      </c>
      <c r="H596" t="s">
        <v>1122</v>
      </c>
      <c r="I596" t="s">
        <v>1181</v>
      </c>
      <c r="J596">
        <v>2022</v>
      </c>
      <c r="K596" t="s">
        <v>261</v>
      </c>
      <c r="L596">
        <v>44638</v>
      </c>
      <c r="N596" t="s">
        <v>134</v>
      </c>
      <c r="O596" t="s">
        <v>135</v>
      </c>
      <c r="P596" t="s">
        <v>1993</v>
      </c>
    </row>
    <row r="597" spans="1:16" x14ac:dyDescent="0.2">
      <c r="A597" t="s">
        <v>2027</v>
      </c>
      <c r="B597" t="s">
        <v>2028</v>
      </c>
      <c r="C597" t="s">
        <v>128</v>
      </c>
      <c r="D597" t="s">
        <v>230</v>
      </c>
      <c r="E597" t="s">
        <v>1327</v>
      </c>
      <c r="F597" t="s">
        <v>2029</v>
      </c>
      <c r="H597" t="s">
        <v>199</v>
      </c>
      <c r="I597" t="s">
        <v>1181</v>
      </c>
      <c r="J597">
        <v>2022</v>
      </c>
      <c r="K597" t="s">
        <v>261</v>
      </c>
      <c r="L597">
        <v>44910</v>
      </c>
      <c r="M597" t="s">
        <v>2030</v>
      </c>
      <c r="N597" t="s">
        <v>134</v>
      </c>
      <c r="O597" t="s">
        <v>135</v>
      </c>
      <c r="P597" t="s">
        <v>2031</v>
      </c>
    </row>
    <row r="598" spans="1:16" x14ac:dyDescent="0.2">
      <c r="A598" t="s">
        <v>2036</v>
      </c>
      <c r="B598" t="s">
        <v>2037</v>
      </c>
      <c r="C598" t="s">
        <v>128</v>
      </c>
      <c r="D598" t="s">
        <v>230</v>
      </c>
      <c r="F598" t="s">
        <v>2038</v>
      </c>
      <c r="H598" t="s">
        <v>183</v>
      </c>
      <c r="I598" t="s">
        <v>1181</v>
      </c>
      <c r="J598">
        <v>2022</v>
      </c>
      <c r="K598" t="s">
        <v>221</v>
      </c>
      <c r="L598">
        <v>44865</v>
      </c>
      <c r="N598" t="s">
        <v>134</v>
      </c>
      <c r="O598" t="s">
        <v>135</v>
      </c>
      <c r="P598" t="s">
        <v>2039</v>
      </c>
    </row>
    <row r="599" spans="1:16" x14ac:dyDescent="0.2">
      <c r="A599" t="s">
        <v>2036</v>
      </c>
      <c r="B599" t="s">
        <v>2040</v>
      </c>
      <c r="C599" t="s">
        <v>128</v>
      </c>
      <c r="D599" t="s">
        <v>230</v>
      </c>
      <c r="F599" t="s">
        <v>2038</v>
      </c>
      <c r="H599" t="s">
        <v>183</v>
      </c>
      <c r="I599" t="s">
        <v>1181</v>
      </c>
      <c r="J599">
        <v>2022</v>
      </c>
      <c r="K599" t="s">
        <v>221</v>
      </c>
      <c r="L599">
        <v>44742</v>
      </c>
      <c r="N599" t="s">
        <v>134</v>
      </c>
      <c r="O599" t="s">
        <v>135</v>
      </c>
      <c r="P599" t="s">
        <v>2039</v>
      </c>
    </row>
    <row r="600" spans="1:16" x14ac:dyDescent="0.2">
      <c r="A600" t="s">
        <v>2036</v>
      </c>
      <c r="B600" t="s">
        <v>2041</v>
      </c>
      <c r="C600" t="s">
        <v>128</v>
      </c>
      <c r="D600" t="s">
        <v>230</v>
      </c>
      <c r="F600" t="s">
        <v>2038</v>
      </c>
      <c r="G600" t="s">
        <v>2042</v>
      </c>
      <c r="H600" t="s">
        <v>183</v>
      </c>
      <c r="I600" t="s">
        <v>1181</v>
      </c>
      <c r="J600">
        <v>2022</v>
      </c>
      <c r="K600" t="s">
        <v>221</v>
      </c>
      <c r="L600">
        <v>44869</v>
      </c>
      <c r="N600" t="s">
        <v>134</v>
      </c>
      <c r="O600" t="s">
        <v>135</v>
      </c>
      <c r="P600" t="s">
        <v>2039</v>
      </c>
    </row>
    <row r="601" spans="1:16" x14ac:dyDescent="0.2">
      <c r="A601" t="s">
        <v>2077</v>
      </c>
      <c r="B601" t="s">
        <v>2078</v>
      </c>
      <c r="C601" t="s">
        <v>128</v>
      </c>
      <c r="D601" t="s">
        <v>230</v>
      </c>
      <c r="F601" t="s">
        <v>2079</v>
      </c>
      <c r="G601" t="s">
        <v>1937</v>
      </c>
      <c r="H601" t="s">
        <v>421</v>
      </c>
      <c r="I601" t="s">
        <v>1181</v>
      </c>
      <c r="J601">
        <v>2022</v>
      </c>
      <c r="K601" t="s">
        <v>221</v>
      </c>
      <c r="L601">
        <v>44727</v>
      </c>
      <c r="N601" t="s">
        <v>140</v>
      </c>
      <c r="P601" t="s">
        <v>2080</v>
      </c>
    </row>
    <row r="602" spans="1:16" x14ac:dyDescent="0.2">
      <c r="A602" t="s">
        <v>2077</v>
      </c>
      <c r="B602" t="s">
        <v>2081</v>
      </c>
      <c r="C602" t="s">
        <v>128</v>
      </c>
      <c r="D602" t="s">
        <v>230</v>
      </c>
      <c r="F602" t="s">
        <v>2079</v>
      </c>
      <c r="H602" t="s">
        <v>421</v>
      </c>
      <c r="I602" t="s">
        <v>1181</v>
      </c>
      <c r="J602">
        <v>2022</v>
      </c>
      <c r="K602" t="s">
        <v>221</v>
      </c>
      <c r="L602">
        <v>45092</v>
      </c>
      <c r="N602" t="s">
        <v>134</v>
      </c>
      <c r="P602" t="s">
        <v>2080</v>
      </c>
    </row>
    <row r="603" spans="1:16" x14ac:dyDescent="0.2">
      <c r="A603" t="s">
        <v>2077</v>
      </c>
      <c r="B603" t="s">
        <v>2082</v>
      </c>
      <c r="C603" t="s">
        <v>128</v>
      </c>
      <c r="D603" t="s">
        <v>230</v>
      </c>
      <c r="F603" t="s">
        <v>2079</v>
      </c>
      <c r="H603" t="s">
        <v>421</v>
      </c>
      <c r="I603" t="s">
        <v>1181</v>
      </c>
      <c r="J603">
        <v>2022</v>
      </c>
      <c r="K603" t="s">
        <v>221</v>
      </c>
      <c r="L603">
        <v>45061</v>
      </c>
      <c r="N603" t="s">
        <v>134</v>
      </c>
      <c r="O603" t="s">
        <v>2083</v>
      </c>
      <c r="P603" t="s">
        <v>2080</v>
      </c>
    </row>
    <row r="604" spans="1:16" x14ac:dyDescent="0.2">
      <c r="A604" t="s">
        <v>2077</v>
      </c>
      <c r="B604" t="s">
        <v>2084</v>
      </c>
      <c r="C604" t="s">
        <v>112</v>
      </c>
      <c r="D604" t="s">
        <v>230</v>
      </c>
      <c r="F604" t="s">
        <v>2079</v>
      </c>
      <c r="H604" t="s">
        <v>421</v>
      </c>
      <c r="I604" t="s">
        <v>1181</v>
      </c>
      <c r="J604">
        <v>2023</v>
      </c>
      <c r="K604" t="s">
        <v>221</v>
      </c>
      <c r="L604">
        <v>45087</v>
      </c>
      <c r="N604" t="s">
        <v>134</v>
      </c>
      <c r="O604" t="s">
        <v>1426</v>
      </c>
      <c r="P604" t="s">
        <v>3523</v>
      </c>
    </row>
    <row r="605" spans="1:16" x14ac:dyDescent="0.2">
      <c r="A605" t="s">
        <v>2085</v>
      </c>
      <c r="B605" t="s">
        <v>2086</v>
      </c>
      <c r="C605" t="s">
        <v>128</v>
      </c>
      <c r="D605" t="s">
        <v>230</v>
      </c>
      <c r="F605" t="s">
        <v>2087</v>
      </c>
      <c r="H605" t="s">
        <v>2058</v>
      </c>
      <c r="I605" t="s">
        <v>1181</v>
      </c>
      <c r="J605">
        <v>2022</v>
      </c>
      <c r="K605" t="s">
        <v>221</v>
      </c>
      <c r="L605">
        <v>44880</v>
      </c>
      <c r="N605" t="s">
        <v>134</v>
      </c>
      <c r="O605" t="s">
        <v>135</v>
      </c>
      <c r="P605" t="s">
        <v>2088</v>
      </c>
    </row>
    <row r="606" spans="1:16" x14ac:dyDescent="0.2">
      <c r="A606" t="s">
        <v>2094</v>
      </c>
      <c r="B606" t="s">
        <v>2095</v>
      </c>
      <c r="C606" t="s">
        <v>128</v>
      </c>
      <c r="D606" t="s">
        <v>230</v>
      </c>
      <c r="F606" t="s">
        <v>987</v>
      </c>
      <c r="H606" t="s">
        <v>183</v>
      </c>
      <c r="I606" t="s">
        <v>1181</v>
      </c>
      <c r="J606">
        <v>2022</v>
      </c>
      <c r="K606" t="s">
        <v>221</v>
      </c>
      <c r="L606">
        <v>44592</v>
      </c>
      <c r="N606" t="s">
        <v>134</v>
      </c>
      <c r="O606" t="s">
        <v>135</v>
      </c>
      <c r="P606" t="s">
        <v>2096</v>
      </c>
    </row>
    <row r="607" spans="1:16" x14ac:dyDescent="0.2">
      <c r="A607" t="s">
        <v>2094</v>
      </c>
      <c r="B607" t="s">
        <v>2097</v>
      </c>
      <c r="C607" t="s">
        <v>128</v>
      </c>
      <c r="D607" t="s">
        <v>230</v>
      </c>
      <c r="F607" t="s">
        <v>987</v>
      </c>
      <c r="H607" t="s">
        <v>183</v>
      </c>
      <c r="I607" t="s">
        <v>1181</v>
      </c>
      <c r="J607">
        <v>2022</v>
      </c>
      <c r="K607" t="s">
        <v>221</v>
      </c>
      <c r="N607" t="s">
        <v>134</v>
      </c>
      <c r="O607" t="s">
        <v>135</v>
      </c>
      <c r="P607" t="s">
        <v>2096</v>
      </c>
    </row>
    <row r="608" spans="1:16" x14ac:dyDescent="0.2">
      <c r="A608" t="s">
        <v>2101</v>
      </c>
      <c r="B608" t="s">
        <v>2102</v>
      </c>
      <c r="C608" t="s">
        <v>128</v>
      </c>
      <c r="D608" t="s">
        <v>230</v>
      </c>
      <c r="E608" t="s">
        <v>246</v>
      </c>
      <c r="F608" t="s">
        <v>1180</v>
      </c>
      <c r="H608" t="s">
        <v>248</v>
      </c>
      <c r="I608" t="s">
        <v>1181</v>
      </c>
      <c r="J608">
        <v>2022</v>
      </c>
      <c r="K608" t="s">
        <v>523</v>
      </c>
      <c r="L608">
        <v>44721</v>
      </c>
      <c r="N608" t="s">
        <v>134</v>
      </c>
      <c r="P608" t="s">
        <v>2103</v>
      </c>
    </row>
    <row r="609" spans="1:16" x14ac:dyDescent="0.2">
      <c r="A609" t="s">
        <v>2160</v>
      </c>
      <c r="B609" t="s">
        <v>2161</v>
      </c>
      <c r="C609" t="s">
        <v>128</v>
      </c>
      <c r="D609" t="s">
        <v>230</v>
      </c>
      <c r="F609" t="s">
        <v>2162</v>
      </c>
      <c r="H609" t="s">
        <v>1188</v>
      </c>
      <c r="I609" t="s">
        <v>1181</v>
      </c>
      <c r="J609">
        <v>2022</v>
      </c>
      <c r="K609" t="s">
        <v>133</v>
      </c>
      <c r="L609">
        <v>44957</v>
      </c>
      <c r="N609" t="s">
        <v>134</v>
      </c>
      <c r="P609" t="s">
        <v>2163</v>
      </c>
    </row>
    <row r="610" spans="1:16" x14ac:dyDescent="0.2">
      <c r="A610" t="s">
        <v>2229</v>
      </c>
      <c r="B610" t="s">
        <v>2230</v>
      </c>
      <c r="C610" t="s">
        <v>128</v>
      </c>
      <c r="D610" t="s">
        <v>230</v>
      </c>
      <c r="E610" t="s">
        <v>1327</v>
      </c>
      <c r="F610" t="s">
        <v>2231</v>
      </c>
      <c r="H610" t="s">
        <v>421</v>
      </c>
      <c r="I610" t="s">
        <v>1181</v>
      </c>
      <c r="J610">
        <v>2022</v>
      </c>
      <c r="K610" t="s">
        <v>221</v>
      </c>
      <c r="L610">
        <v>45006</v>
      </c>
      <c r="N610" t="s">
        <v>134</v>
      </c>
      <c r="O610" t="s">
        <v>135</v>
      </c>
      <c r="P610" t="s">
        <v>2232</v>
      </c>
    </row>
    <row r="611" spans="1:16" x14ac:dyDescent="0.2">
      <c r="A611" t="s">
        <v>2233</v>
      </c>
      <c r="B611" t="s">
        <v>2234</v>
      </c>
      <c r="C611" t="s">
        <v>128</v>
      </c>
      <c r="D611" t="s">
        <v>230</v>
      </c>
      <c r="F611" t="s">
        <v>2235</v>
      </c>
      <c r="H611" t="s">
        <v>146</v>
      </c>
      <c r="I611" t="s">
        <v>1181</v>
      </c>
      <c r="J611">
        <v>2022</v>
      </c>
      <c r="K611" t="s">
        <v>221</v>
      </c>
      <c r="L611" t="s">
        <v>2236</v>
      </c>
      <c r="N611" t="s">
        <v>134</v>
      </c>
      <c r="O611" t="s">
        <v>135</v>
      </c>
      <c r="P611" t="s">
        <v>2237</v>
      </c>
    </row>
    <row r="612" spans="1:16" x14ac:dyDescent="0.2">
      <c r="A612" t="s">
        <v>2287</v>
      </c>
      <c r="B612" t="s">
        <v>2288</v>
      </c>
      <c r="C612" t="s">
        <v>128</v>
      </c>
      <c r="D612" t="s">
        <v>230</v>
      </c>
      <c r="F612" t="s">
        <v>2289</v>
      </c>
      <c r="H612" t="s">
        <v>132</v>
      </c>
      <c r="I612" t="s">
        <v>1181</v>
      </c>
      <c r="J612">
        <v>2023</v>
      </c>
      <c r="K612" t="s">
        <v>261</v>
      </c>
      <c r="L612">
        <v>45198</v>
      </c>
      <c r="N612" t="s">
        <v>134</v>
      </c>
      <c r="O612" t="s">
        <v>135</v>
      </c>
      <c r="P612" t="s">
        <v>2290</v>
      </c>
    </row>
    <row r="613" spans="1:16" x14ac:dyDescent="0.2">
      <c r="A613" t="s">
        <v>2291</v>
      </c>
      <c r="B613" t="s">
        <v>2292</v>
      </c>
      <c r="C613" t="s">
        <v>128</v>
      </c>
      <c r="D613" t="s">
        <v>230</v>
      </c>
      <c r="F613" t="s">
        <v>2075</v>
      </c>
      <c r="G613" t="s">
        <v>2293</v>
      </c>
      <c r="H613" t="s">
        <v>194</v>
      </c>
      <c r="I613" t="s">
        <v>1181</v>
      </c>
      <c r="J613">
        <v>2023</v>
      </c>
      <c r="K613" t="s">
        <v>277</v>
      </c>
      <c r="L613">
        <v>45100</v>
      </c>
      <c r="N613" t="s">
        <v>134</v>
      </c>
      <c r="P613" t="s">
        <v>2294</v>
      </c>
    </row>
    <row r="614" spans="1:16" x14ac:dyDescent="0.2">
      <c r="A614" t="s">
        <v>2295</v>
      </c>
      <c r="B614" t="s">
        <v>2296</v>
      </c>
      <c r="C614" t="s">
        <v>128</v>
      </c>
      <c r="D614" t="s">
        <v>230</v>
      </c>
      <c r="F614" t="s">
        <v>2297</v>
      </c>
      <c r="G614" t="s">
        <v>1645</v>
      </c>
      <c r="H614" t="s">
        <v>477</v>
      </c>
      <c r="I614" t="s">
        <v>1181</v>
      </c>
      <c r="J614">
        <v>2023</v>
      </c>
      <c r="K614" t="s">
        <v>523</v>
      </c>
      <c r="L614">
        <v>45076</v>
      </c>
      <c r="N614" t="s">
        <v>140</v>
      </c>
      <c r="P614" t="s">
        <v>2298</v>
      </c>
    </row>
    <row r="615" spans="1:16" x14ac:dyDescent="0.2">
      <c r="A615" t="s">
        <v>2295</v>
      </c>
      <c r="B615" t="s">
        <v>2299</v>
      </c>
      <c r="C615" t="s">
        <v>128</v>
      </c>
      <c r="D615" t="s">
        <v>230</v>
      </c>
      <c r="F615" t="s">
        <v>2297</v>
      </c>
      <c r="G615" t="s">
        <v>1645</v>
      </c>
      <c r="H615" t="s">
        <v>477</v>
      </c>
      <c r="I615" t="s">
        <v>1181</v>
      </c>
      <c r="J615">
        <v>2023</v>
      </c>
      <c r="K615" t="s">
        <v>523</v>
      </c>
      <c r="L615">
        <v>45076</v>
      </c>
      <c r="N615" t="s">
        <v>597</v>
      </c>
      <c r="P615" t="s">
        <v>2298</v>
      </c>
    </row>
    <row r="616" spans="1:16" x14ac:dyDescent="0.2">
      <c r="A616" t="s">
        <v>2309</v>
      </c>
      <c r="B616" t="s">
        <v>2310</v>
      </c>
      <c r="C616" t="s">
        <v>128</v>
      </c>
      <c r="D616" t="s">
        <v>230</v>
      </c>
      <c r="E616" t="s">
        <v>2311</v>
      </c>
      <c r="F616" t="s">
        <v>2312</v>
      </c>
      <c r="H616" t="s">
        <v>952</v>
      </c>
      <c r="I616" t="s">
        <v>1181</v>
      </c>
      <c r="J616">
        <v>2023</v>
      </c>
      <c r="K616" t="s">
        <v>133</v>
      </c>
      <c r="L616">
        <v>45128</v>
      </c>
      <c r="N616" t="s">
        <v>134</v>
      </c>
      <c r="P616" t="s">
        <v>2313</v>
      </c>
    </row>
    <row r="617" spans="1:16" x14ac:dyDescent="0.2">
      <c r="A617" t="s">
        <v>2330</v>
      </c>
      <c r="B617" t="s">
        <v>2331</v>
      </c>
      <c r="C617" t="s">
        <v>128</v>
      </c>
      <c r="D617" t="s">
        <v>230</v>
      </c>
      <c r="F617" t="s">
        <v>420</v>
      </c>
      <c r="H617" t="s">
        <v>199</v>
      </c>
      <c r="I617" t="s">
        <v>1181</v>
      </c>
      <c r="J617">
        <v>2023</v>
      </c>
      <c r="K617" t="s">
        <v>2332</v>
      </c>
      <c r="L617">
        <v>45168</v>
      </c>
      <c r="N617" t="s">
        <v>134</v>
      </c>
      <c r="P617" t="s">
        <v>2333</v>
      </c>
    </row>
    <row r="618" spans="1:16" x14ac:dyDescent="0.2">
      <c r="A618" t="s">
        <v>2362</v>
      </c>
      <c r="B618" t="s">
        <v>2363</v>
      </c>
      <c r="C618" t="s">
        <v>128</v>
      </c>
      <c r="D618" t="s">
        <v>230</v>
      </c>
      <c r="E618" t="s">
        <v>613</v>
      </c>
      <c r="F618" t="s">
        <v>2364</v>
      </c>
      <c r="G618" t="s">
        <v>2365</v>
      </c>
      <c r="H618" t="s">
        <v>183</v>
      </c>
      <c r="I618" t="s">
        <v>1181</v>
      </c>
      <c r="J618">
        <v>2023</v>
      </c>
      <c r="K618" t="s">
        <v>2332</v>
      </c>
      <c r="L618">
        <v>45142</v>
      </c>
      <c r="N618" t="s">
        <v>134</v>
      </c>
      <c r="P618" t="s">
        <v>2366</v>
      </c>
    </row>
    <row r="619" spans="1:16" x14ac:dyDescent="0.2">
      <c r="A619" t="s">
        <v>2461</v>
      </c>
      <c r="B619" t="s">
        <v>2462</v>
      </c>
      <c r="C619" t="s">
        <v>128</v>
      </c>
      <c r="D619" t="s">
        <v>230</v>
      </c>
      <c r="F619" t="s">
        <v>2463</v>
      </c>
      <c r="G619" t="s">
        <v>2464</v>
      </c>
      <c r="H619" t="s">
        <v>146</v>
      </c>
      <c r="I619" t="s">
        <v>1181</v>
      </c>
      <c r="J619">
        <v>2023</v>
      </c>
      <c r="K619" t="s">
        <v>277</v>
      </c>
      <c r="L619">
        <v>45219</v>
      </c>
      <c r="N619" t="s">
        <v>134</v>
      </c>
      <c r="P619" t="s">
        <v>2465</v>
      </c>
    </row>
    <row r="620" spans="1:16" x14ac:dyDescent="0.2">
      <c r="A620" t="s">
        <v>2466</v>
      </c>
      <c r="B620" t="s">
        <v>2467</v>
      </c>
      <c r="C620" t="s">
        <v>128</v>
      </c>
      <c r="D620" t="s">
        <v>230</v>
      </c>
      <c r="E620" t="s">
        <v>1327</v>
      </c>
      <c r="F620" t="s">
        <v>1973</v>
      </c>
      <c r="G620" t="s">
        <v>2468</v>
      </c>
      <c r="H620" t="s">
        <v>199</v>
      </c>
      <c r="I620" t="s">
        <v>1181</v>
      </c>
      <c r="J620">
        <v>2023</v>
      </c>
      <c r="K620" t="s">
        <v>2332</v>
      </c>
      <c r="L620">
        <v>45046</v>
      </c>
      <c r="N620" t="s">
        <v>134</v>
      </c>
      <c r="P620" t="s">
        <v>2469</v>
      </c>
    </row>
    <row r="621" spans="1:16" x14ac:dyDescent="0.2">
      <c r="A621" t="s">
        <v>2470</v>
      </c>
      <c r="B621" t="s">
        <v>2471</v>
      </c>
      <c r="C621" t="s">
        <v>128</v>
      </c>
      <c r="D621" t="s">
        <v>230</v>
      </c>
      <c r="E621" t="s">
        <v>613</v>
      </c>
      <c r="F621" t="s">
        <v>2364</v>
      </c>
      <c r="H621" t="s">
        <v>183</v>
      </c>
      <c r="I621" t="s">
        <v>1181</v>
      </c>
      <c r="J621">
        <v>2023</v>
      </c>
      <c r="K621" t="s">
        <v>277</v>
      </c>
      <c r="L621">
        <v>45257</v>
      </c>
      <c r="N621" t="s">
        <v>134</v>
      </c>
      <c r="P621" t="s">
        <v>2472</v>
      </c>
    </row>
    <row r="622" spans="1:16" x14ac:dyDescent="0.2">
      <c r="A622" t="s">
        <v>2480</v>
      </c>
      <c r="B622" t="s">
        <v>2481</v>
      </c>
      <c r="C622" t="s">
        <v>128</v>
      </c>
      <c r="D622" t="s">
        <v>230</v>
      </c>
      <c r="F622" t="s">
        <v>385</v>
      </c>
      <c r="G622" t="s">
        <v>2482</v>
      </c>
      <c r="H622" t="s">
        <v>309</v>
      </c>
      <c r="I622" t="s">
        <v>1181</v>
      </c>
      <c r="J622">
        <v>2023</v>
      </c>
      <c r="K622" t="s">
        <v>133</v>
      </c>
      <c r="L622">
        <v>45366</v>
      </c>
      <c r="M622" t="s">
        <v>1874</v>
      </c>
      <c r="N622" t="s">
        <v>112</v>
      </c>
      <c r="P622" t="s">
        <v>2483</v>
      </c>
    </row>
    <row r="623" spans="1:16" x14ac:dyDescent="0.2">
      <c r="A623" t="s">
        <v>2480</v>
      </c>
      <c r="B623" t="s">
        <v>2484</v>
      </c>
      <c r="C623" t="s">
        <v>128</v>
      </c>
      <c r="D623" t="s">
        <v>230</v>
      </c>
      <c r="F623" t="s">
        <v>385</v>
      </c>
      <c r="G623" t="s">
        <v>2485</v>
      </c>
      <c r="H623" t="s">
        <v>309</v>
      </c>
      <c r="I623" t="s">
        <v>1181</v>
      </c>
      <c r="J623">
        <v>2023</v>
      </c>
      <c r="K623" t="s">
        <v>133</v>
      </c>
      <c r="L623">
        <v>45366</v>
      </c>
      <c r="M623" t="s">
        <v>1874</v>
      </c>
      <c r="N623" t="s">
        <v>112</v>
      </c>
      <c r="P623" t="s">
        <v>2483</v>
      </c>
    </row>
    <row r="624" spans="1:16" x14ac:dyDescent="0.2">
      <c r="A624" t="s">
        <v>2480</v>
      </c>
      <c r="B624" t="s">
        <v>2486</v>
      </c>
      <c r="C624" t="s">
        <v>128</v>
      </c>
      <c r="D624" t="s">
        <v>230</v>
      </c>
      <c r="F624" t="s">
        <v>385</v>
      </c>
      <c r="G624" t="s">
        <v>2487</v>
      </c>
      <c r="H624" t="s">
        <v>309</v>
      </c>
      <c r="I624" t="s">
        <v>1181</v>
      </c>
      <c r="J624">
        <v>2023</v>
      </c>
      <c r="K624" t="s">
        <v>133</v>
      </c>
      <c r="L624">
        <v>45366</v>
      </c>
      <c r="N624" t="s">
        <v>134</v>
      </c>
      <c r="P624" t="s">
        <v>2483</v>
      </c>
    </row>
    <row r="625" spans="1:16" x14ac:dyDescent="0.2">
      <c r="A625" t="s">
        <v>2664</v>
      </c>
      <c r="B625" t="s">
        <v>2668</v>
      </c>
      <c r="C625" t="s">
        <v>128</v>
      </c>
      <c r="D625" t="s">
        <v>230</v>
      </c>
      <c r="E625" t="s">
        <v>2665</v>
      </c>
      <c r="F625" t="s">
        <v>1180</v>
      </c>
      <c r="H625" t="s">
        <v>254</v>
      </c>
      <c r="I625" t="s">
        <v>1181</v>
      </c>
      <c r="J625">
        <v>2024</v>
      </c>
      <c r="K625" t="s">
        <v>277</v>
      </c>
      <c r="L625">
        <v>45432</v>
      </c>
      <c r="N625" t="s">
        <v>134</v>
      </c>
      <c r="P625" t="s">
        <v>2666</v>
      </c>
    </row>
    <row r="626" spans="1:16" x14ac:dyDescent="0.2">
      <c r="A626" t="s">
        <v>2774</v>
      </c>
      <c r="B626" t="s">
        <v>2775</v>
      </c>
      <c r="C626" t="s">
        <v>128</v>
      </c>
      <c r="D626" t="s">
        <v>230</v>
      </c>
      <c r="F626" t="s">
        <v>2776</v>
      </c>
      <c r="H626" t="s">
        <v>1283</v>
      </c>
      <c r="I626" t="s">
        <v>1181</v>
      </c>
      <c r="J626">
        <v>2024</v>
      </c>
      <c r="K626" t="s">
        <v>261</v>
      </c>
      <c r="L626">
        <v>45636</v>
      </c>
      <c r="N626" t="s">
        <v>140</v>
      </c>
      <c r="O626" t="s">
        <v>1353</v>
      </c>
      <c r="P626" t="s">
        <v>2777</v>
      </c>
    </row>
    <row r="627" spans="1:16" x14ac:dyDescent="0.2">
      <c r="A627" t="s">
        <v>2805</v>
      </c>
      <c r="B627" t="s">
        <v>2806</v>
      </c>
      <c r="C627" t="s">
        <v>128</v>
      </c>
      <c r="D627" t="s">
        <v>230</v>
      </c>
      <c r="F627" t="s">
        <v>385</v>
      </c>
      <c r="G627" t="s">
        <v>2807</v>
      </c>
      <c r="H627" t="s">
        <v>309</v>
      </c>
      <c r="I627" t="s">
        <v>1181</v>
      </c>
      <c r="J627">
        <v>2024</v>
      </c>
      <c r="K627" t="s">
        <v>133</v>
      </c>
      <c r="N627" t="s">
        <v>112</v>
      </c>
      <c r="P627" t="s">
        <v>2808</v>
      </c>
    </row>
    <row r="628" spans="1:16" x14ac:dyDescent="0.2">
      <c r="A628" t="s">
        <v>2809</v>
      </c>
      <c r="B628" t="s">
        <v>2810</v>
      </c>
      <c r="C628" t="s">
        <v>112</v>
      </c>
      <c r="D628" t="s">
        <v>230</v>
      </c>
      <c r="E628" t="s">
        <v>1403</v>
      </c>
      <c r="F628" t="s">
        <v>2811</v>
      </c>
      <c r="G628" t="s">
        <v>2812</v>
      </c>
      <c r="H628" t="s">
        <v>146</v>
      </c>
      <c r="I628" t="s">
        <v>1181</v>
      </c>
      <c r="J628">
        <v>2024</v>
      </c>
      <c r="K628" t="s">
        <v>133</v>
      </c>
      <c r="N628" t="s">
        <v>112</v>
      </c>
      <c r="P628" t="s">
        <v>3524</v>
      </c>
    </row>
    <row r="629" spans="1:16" x14ac:dyDescent="0.2">
      <c r="A629" t="s">
        <v>2819</v>
      </c>
      <c r="B629" t="s">
        <v>2820</v>
      </c>
      <c r="C629" t="s">
        <v>128</v>
      </c>
      <c r="D629" t="s">
        <v>230</v>
      </c>
      <c r="E629" t="s">
        <v>211</v>
      </c>
      <c r="F629" t="s">
        <v>2821</v>
      </c>
      <c r="G629" t="s">
        <v>2822</v>
      </c>
      <c r="H629" t="s">
        <v>212</v>
      </c>
      <c r="I629" t="s">
        <v>1181</v>
      </c>
      <c r="J629">
        <v>2024</v>
      </c>
      <c r="K629" t="s">
        <v>133</v>
      </c>
      <c r="N629" t="s">
        <v>134</v>
      </c>
      <c r="P629" t="s">
        <v>2823</v>
      </c>
    </row>
    <row r="630" spans="1:16" x14ac:dyDescent="0.2">
      <c r="A630" t="s">
        <v>2819</v>
      </c>
      <c r="B630" t="s">
        <v>2824</v>
      </c>
      <c r="C630" t="s">
        <v>128</v>
      </c>
      <c r="D630" t="s">
        <v>230</v>
      </c>
      <c r="E630" t="s">
        <v>211</v>
      </c>
      <c r="F630" t="s">
        <v>2821</v>
      </c>
      <c r="G630" t="s">
        <v>2825</v>
      </c>
      <c r="H630" t="s">
        <v>212</v>
      </c>
      <c r="I630" t="s">
        <v>1181</v>
      </c>
      <c r="J630">
        <v>2024</v>
      </c>
      <c r="K630" t="s">
        <v>133</v>
      </c>
      <c r="N630" t="s">
        <v>134</v>
      </c>
      <c r="P630" t="s">
        <v>2823</v>
      </c>
    </row>
    <row r="631" spans="1:16" x14ac:dyDescent="0.2">
      <c r="A631" t="s">
        <v>2826</v>
      </c>
      <c r="B631" t="s">
        <v>2827</v>
      </c>
      <c r="C631" t="s">
        <v>128</v>
      </c>
      <c r="D631" t="s">
        <v>230</v>
      </c>
      <c r="E631" t="s">
        <v>2828</v>
      </c>
      <c r="F631" t="s">
        <v>463</v>
      </c>
      <c r="H631" t="s">
        <v>463</v>
      </c>
      <c r="I631" t="s">
        <v>1181</v>
      </c>
      <c r="J631">
        <v>2024</v>
      </c>
      <c r="K631" t="s">
        <v>2332</v>
      </c>
      <c r="N631" t="s">
        <v>134</v>
      </c>
      <c r="P631" t="s">
        <v>2829</v>
      </c>
    </row>
    <row r="632" spans="1:16" x14ac:dyDescent="0.2">
      <c r="A632" t="s">
        <v>2871</v>
      </c>
      <c r="B632" t="s">
        <v>2872</v>
      </c>
      <c r="C632" t="s">
        <v>128</v>
      </c>
      <c r="D632" t="s">
        <v>230</v>
      </c>
      <c r="E632" t="s">
        <v>307</v>
      </c>
      <c r="F632" t="s">
        <v>2217</v>
      </c>
      <c r="H632" t="s">
        <v>421</v>
      </c>
      <c r="I632" t="s">
        <v>1181</v>
      </c>
      <c r="J632">
        <v>2024</v>
      </c>
      <c r="K632" t="s">
        <v>277</v>
      </c>
      <c r="L632">
        <v>45677</v>
      </c>
      <c r="N632" t="s">
        <v>134</v>
      </c>
      <c r="P632" t="s">
        <v>2873</v>
      </c>
    </row>
    <row r="633" spans="1:16" x14ac:dyDescent="0.2">
      <c r="A633" t="s">
        <v>2982</v>
      </c>
      <c r="B633" t="s">
        <v>2983</v>
      </c>
      <c r="C633" t="s">
        <v>128</v>
      </c>
      <c r="D633" t="s">
        <v>230</v>
      </c>
      <c r="F633" t="s">
        <v>2984</v>
      </c>
      <c r="H633" t="s">
        <v>146</v>
      </c>
      <c r="I633" t="s">
        <v>1181</v>
      </c>
      <c r="J633">
        <v>2025</v>
      </c>
      <c r="K633" t="s">
        <v>261</v>
      </c>
      <c r="L633">
        <v>45793</v>
      </c>
      <c r="N633" t="s">
        <v>134</v>
      </c>
      <c r="O633" t="s">
        <v>135</v>
      </c>
      <c r="P633" t="s">
        <v>2985</v>
      </c>
    </row>
    <row r="634" spans="1:16" x14ac:dyDescent="0.2">
      <c r="A634" t="s">
        <v>3012</v>
      </c>
      <c r="B634" t="s">
        <v>3222</v>
      </c>
      <c r="C634" t="s">
        <v>128</v>
      </c>
      <c r="D634" t="s">
        <v>230</v>
      </c>
      <c r="F634" t="s">
        <v>3164</v>
      </c>
      <c r="H634" t="s">
        <v>1122</v>
      </c>
      <c r="I634" t="s">
        <v>1181</v>
      </c>
      <c r="J634">
        <v>2025</v>
      </c>
      <c r="K634" t="s">
        <v>261</v>
      </c>
      <c r="N634" t="s">
        <v>597</v>
      </c>
      <c r="O634" t="s">
        <v>3013</v>
      </c>
      <c r="P634" t="s">
        <v>3165</v>
      </c>
    </row>
    <row r="635" spans="1:16" x14ac:dyDescent="0.2">
      <c r="A635" t="s">
        <v>3027</v>
      </c>
      <c r="C635" t="s">
        <v>128</v>
      </c>
      <c r="D635" t="s">
        <v>230</v>
      </c>
      <c r="F635" t="s">
        <v>3028</v>
      </c>
      <c r="I635" t="s">
        <v>1181</v>
      </c>
      <c r="J635">
        <v>2025</v>
      </c>
      <c r="K635" t="s">
        <v>112</v>
      </c>
      <c r="N635" t="s">
        <v>597</v>
      </c>
      <c r="P635" t="s">
        <v>3029</v>
      </c>
    </row>
    <row r="636" spans="1:16" x14ac:dyDescent="0.2">
      <c r="A636" t="s">
        <v>3197</v>
      </c>
      <c r="B636" t="s">
        <v>3198</v>
      </c>
      <c r="C636" t="s">
        <v>128</v>
      </c>
      <c r="D636" t="s">
        <v>230</v>
      </c>
      <c r="E636" t="s">
        <v>613</v>
      </c>
      <c r="F636" t="s">
        <v>2364</v>
      </c>
      <c r="G636" t="s">
        <v>3199</v>
      </c>
      <c r="H636" t="s">
        <v>183</v>
      </c>
      <c r="I636" t="s">
        <v>1181</v>
      </c>
      <c r="J636">
        <v>2025</v>
      </c>
      <c r="K636" t="s">
        <v>277</v>
      </c>
      <c r="L636">
        <v>45869</v>
      </c>
      <c r="N636" t="s">
        <v>134</v>
      </c>
      <c r="P636" t="s">
        <v>3200</v>
      </c>
    </row>
    <row r="637" spans="1:16" x14ac:dyDescent="0.2">
      <c r="A637" t="s">
        <v>3313</v>
      </c>
      <c r="B637" t="s">
        <v>3314</v>
      </c>
      <c r="C637" t="s">
        <v>128</v>
      </c>
      <c r="D637" t="s">
        <v>230</v>
      </c>
      <c r="F637" t="s">
        <v>3315</v>
      </c>
      <c r="G637" t="s">
        <v>3316</v>
      </c>
      <c r="H637" t="s">
        <v>146</v>
      </c>
      <c r="I637" t="s">
        <v>1181</v>
      </c>
      <c r="J637">
        <v>2025</v>
      </c>
      <c r="K637" t="s">
        <v>277</v>
      </c>
      <c r="L637">
        <v>45846</v>
      </c>
      <c r="M637" t="s">
        <v>3317</v>
      </c>
      <c r="N637" t="s">
        <v>134</v>
      </c>
      <c r="O637" t="s">
        <v>3232</v>
      </c>
      <c r="P637" t="s">
        <v>3318</v>
      </c>
    </row>
    <row r="638" spans="1:16" x14ac:dyDescent="0.2">
      <c r="A638" t="s">
        <v>3359</v>
      </c>
      <c r="C638" t="s">
        <v>128</v>
      </c>
      <c r="D638" t="s">
        <v>230</v>
      </c>
      <c r="E638" t="s">
        <v>3360</v>
      </c>
      <c r="F638" t="s">
        <v>3361</v>
      </c>
      <c r="H638" t="s">
        <v>146</v>
      </c>
      <c r="I638" t="s">
        <v>1181</v>
      </c>
      <c r="J638">
        <v>2025</v>
      </c>
      <c r="K638" t="s">
        <v>2332</v>
      </c>
      <c r="L638">
        <v>45930</v>
      </c>
      <c r="N638" t="s">
        <v>134</v>
      </c>
      <c r="P638" t="s">
        <v>3362</v>
      </c>
    </row>
    <row r="639" spans="1:16" x14ac:dyDescent="0.2">
      <c r="A639" t="s">
        <v>3418</v>
      </c>
      <c r="B639" t="s">
        <v>3419</v>
      </c>
      <c r="C639" t="s">
        <v>128</v>
      </c>
      <c r="D639" t="s">
        <v>230</v>
      </c>
      <c r="E639" t="s">
        <v>246</v>
      </c>
      <c r="F639" t="s">
        <v>2665</v>
      </c>
      <c r="G639" t="s">
        <v>3420</v>
      </c>
      <c r="H639" t="s">
        <v>254</v>
      </c>
      <c r="I639" t="s">
        <v>1181</v>
      </c>
      <c r="J639">
        <v>2025</v>
      </c>
      <c r="K639" t="s">
        <v>277</v>
      </c>
      <c r="L639">
        <v>45930</v>
      </c>
      <c r="M639" t="s">
        <v>3421</v>
      </c>
      <c r="N639" t="s">
        <v>597</v>
      </c>
      <c r="P639" t="s">
        <v>3422</v>
      </c>
    </row>
    <row r="640" spans="1:16" x14ac:dyDescent="0.2">
      <c r="A640" t="s">
        <v>3453</v>
      </c>
      <c r="B640" t="s">
        <v>3454</v>
      </c>
      <c r="C640" t="s">
        <v>112</v>
      </c>
      <c r="D640" t="s">
        <v>230</v>
      </c>
      <c r="E640" t="s">
        <v>3455</v>
      </c>
      <c r="H640" t="s">
        <v>152</v>
      </c>
      <c r="I640" t="s">
        <v>1181</v>
      </c>
      <c r="J640">
        <v>2025</v>
      </c>
      <c r="K640" t="s">
        <v>2332</v>
      </c>
      <c r="M640" t="s">
        <v>1874</v>
      </c>
      <c r="N640" t="s">
        <v>597</v>
      </c>
      <c r="P640" t="s">
        <v>3525</v>
      </c>
    </row>
    <row r="641" spans="1:16" x14ac:dyDescent="0.2">
      <c r="A641" t="s">
        <v>237</v>
      </c>
      <c r="B641" t="s">
        <v>238</v>
      </c>
      <c r="C641" t="s">
        <v>128</v>
      </c>
      <c r="D641" t="s">
        <v>239</v>
      </c>
      <c r="E641" t="s">
        <v>239</v>
      </c>
      <c r="F641" t="s">
        <v>240</v>
      </c>
      <c r="H641" t="s">
        <v>225</v>
      </c>
      <c r="J641">
        <v>2016</v>
      </c>
      <c r="K641" t="s">
        <v>133</v>
      </c>
      <c r="L641" t="s">
        <v>241</v>
      </c>
      <c r="M641" t="s">
        <v>242</v>
      </c>
      <c r="N641" t="s">
        <v>134</v>
      </c>
      <c r="O641" t="s">
        <v>135</v>
      </c>
      <c r="P641" t="s">
        <v>243</v>
      </c>
    </row>
    <row r="642" spans="1:16" x14ac:dyDescent="0.2">
      <c r="A642" t="s">
        <v>282</v>
      </c>
      <c r="B642" t="s">
        <v>283</v>
      </c>
      <c r="C642" t="s">
        <v>128</v>
      </c>
      <c r="D642" t="s">
        <v>239</v>
      </c>
      <c r="E642" t="s">
        <v>239</v>
      </c>
      <c r="F642" t="s">
        <v>284</v>
      </c>
      <c r="H642" t="s">
        <v>225</v>
      </c>
      <c r="J642">
        <v>2016</v>
      </c>
      <c r="K642" t="s">
        <v>133</v>
      </c>
      <c r="N642" t="s">
        <v>134</v>
      </c>
      <c r="O642" t="s">
        <v>135</v>
      </c>
      <c r="P642" t="s">
        <v>285</v>
      </c>
    </row>
    <row r="643" spans="1:16" x14ac:dyDescent="0.2">
      <c r="A643" t="s">
        <v>158</v>
      </c>
      <c r="B643" t="s">
        <v>159</v>
      </c>
      <c r="C643" t="s">
        <v>128</v>
      </c>
      <c r="D643" t="s">
        <v>155</v>
      </c>
      <c r="E643" t="s">
        <v>155</v>
      </c>
      <c r="F643" t="s">
        <v>160</v>
      </c>
      <c r="H643" t="s">
        <v>156</v>
      </c>
      <c r="J643">
        <v>2016</v>
      </c>
      <c r="N643" t="s">
        <v>147</v>
      </c>
      <c r="O643" t="s">
        <v>135</v>
      </c>
      <c r="P643" t="s">
        <v>161</v>
      </c>
    </row>
    <row r="644" spans="1:16" x14ac:dyDescent="0.2">
      <c r="A644" t="s">
        <v>374</v>
      </c>
      <c r="B644" t="s">
        <v>375</v>
      </c>
      <c r="C644" t="s">
        <v>128</v>
      </c>
      <c r="D644" t="s">
        <v>155</v>
      </c>
      <c r="E644" t="s">
        <v>155</v>
      </c>
      <c r="H644" t="s">
        <v>156</v>
      </c>
      <c r="J644">
        <v>2017</v>
      </c>
      <c r="K644" t="s">
        <v>351</v>
      </c>
      <c r="N644" t="s">
        <v>134</v>
      </c>
      <c r="O644" t="s">
        <v>135</v>
      </c>
      <c r="P644" t="s">
        <v>376</v>
      </c>
    </row>
    <row r="645" spans="1:16" x14ac:dyDescent="0.2">
      <c r="A645" t="s">
        <v>995</v>
      </c>
      <c r="B645" t="s">
        <v>996</v>
      </c>
      <c r="C645" t="s">
        <v>128</v>
      </c>
      <c r="D645" t="s">
        <v>155</v>
      </c>
      <c r="F645" t="s">
        <v>997</v>
      </c>
      <c r="H645" t="s">
        <v>156</v>
      </c>
      <c r="J645">
        <v>2019</v>
      </c>
      <c r="K645" t="s">
        <v>523</v>
      </c>
      <c r="L645">
        <v>43651</v>
      </c>
      <c r="N645" t="s">
        <v>134</v>
      </c>
      <c r="P645" t="s">
        <v>998</v>
      </c>
    </row>
    <row r="646" spans="1:16" x14ac:dyDescent="0.2">
      <c r="A646" t="s">
        <v>995</v>
      </c>
      <c r="B646" t="s">
        <v>999</v>
      </c>
      <c r="C646" t="s">
        <v>128</v>
      </c>
      <c r="D646" t="s">
        <v>155</v>
      </c>
      <c r="F646" t="s">
        <v>997</v>
      </c>
      <c r="H646" t="s">
        <v>156</v>
      </c>
      <c r="J646">
        <v>2019</v>
      </c>
      <c r="K646" t="s">
        <v>523</v>
      </c>
      <c r="L646">
        <v>43651</v>
      </c>
      <c r="N646" t="s">
        <v>134</v>
      </c>
      <c r="P646" t="s">
        <v>998</v>
      </c>
    </row>
    <row r="647" spans="1:16" x14ac:dyDescent="0.2">
      <c r="A647" t="s">
        <v>1081</v>
      </c>
      <c r="B647" t="s">
        <v>1082</v>
      </c>
      <c r="C647" t="s">
        <v>128</v>
      </c>
      <c r="D647" t="s">
        <v>155</v>
      </c>
      <c r="F647" t="s">
        <v>1083</v>
      </c>
      <c r="H647" t="s">
        <v>156</v>
      </c>
      <c r="J647">
        <v>2019</v>
      </c>
      <c r="K647" t="s">
        <v>277</v>
      </c>
      <c r="L647">
        <v>43738</v>
      </c>
      <c r="N647" t="s">
        <v>134</v>
      </c>
      <c r="P647" t="s">
        <v>1084</v>
      </c>
    </row>
    <row r="648" spans="1:16" x14ac:dyDescent="0.2">
      <c r="A648" t="s">
        <v>1494</v>
      </c>
      <c r="B648" t="s">
        <v>1495</v>
      </c>
      <c r="C648" t="s">
        <v>128</v>
      </c>
      <c r="D648" t="s">
        <v>155</v>
      </c>
      <c r="F648" t="s">
        <v>1496</v>
      </c>
      <c r="G648" t="s">
        <v>1497</v>
      </c>
      <c r="H648" t="s">
        <v>156</v>
      </c>
      <c r="I648" t="s">
        <v>1181</v>
      </c>
      <c r="J648">
        <v>2020</v>
      </c>
      <c r="K648" t="s">
        <v>523</v>
      </c>
      <c r="L648">
        <v>44372</v>
      </c>
      <c r="N648" t="s">
        <v>134</v>
      </c>
      <c r="P648" t="s">
        <v>2515</v>
      </c>
    </row>
    <row r="649" spans="1:16" x14ac:dyDescent="0.2">
      <c r="A649" t="s">
        <v>1599</v>
      </c>
      <c r="B649" t="s">
        <v>1600</v>
      </c>
      <c r="C649" t="s">
        <v>128</v>
      </c>
      <c r="D649" t="s">
        <v>155</v>
      </c>
      <c r="F649" t="s">
        <v>997</v>
      </c>
      <c r="H649" t="s">
        <v>156</v>
      </c>
      <c r="I649" t="s">
        <v>1181</v>
      </c>
      <c r="J649">
        <v>2021</v>
      </c>
      <c r="K649" t="s">
        <v>523</v>
      </c>
      <c r="L649">
        <v>44384</v>
      </c>
      <c r="N649" t="s">
        <v>134</v>
      </c>
      <c r="P649" t="s">
        <v>1601</v>
      </c>
    </row>
    <row r="650" spans="1:16" x14ac:dyDescent="0.2">
      <c r="A650" t="s">
        <v>1599</v>
      </c>
      <c r="B650" t="s">
        <v>1602</v>
      </c>
      <c r="C650" t="s">
        <v>128</v>
      </c>
      <c r="D650" t="s">
        <v>155</v>
      </c>
      <c r="F650" t="s">
        <v>997</v>
      </c>
      <c r="H650" t="s">
        <v>156</v>
      </c>
      <c r="I650" t="s">
        <v>1181</v>
      </c>
      <c r="J650">
        <v>2021</v>
      </c>
      <c r="K650" t="s">
        <v>523</v>
      </c>
      <c r="L650">
        <v>44384</v>
      </c>
      <c r="N650" t="s">
        <v>134</v>
      </c>
      <c r="P650" t="s">
        <v>2523</v>
      </c>
    </row>
    <row r="651" spans="1:16" x14ac:dyDescent="0.2">
      <c r="A651" t="s">
        <v>1599</v>
      </c>
      <c r="B651" t="s">
        <v>1603</v>
      </c>
      <c r="C651" t="s">
        <v>128</v>
      </c>
      <c r="D651" t="s">
        <v>155</v>
      </c>
      <c r="F651" t="s">
        <v>997</v>
      </c>
      <c r="H651" t="s">
        <v>156</v>
      </c>
      <c r="I651" t="s">
        <v>1181</v>
      </c>
      <c r="J651">
        <v>2021</v>
      </c>
      <c r="K651" t="s">
        <v>523</v>
      </c>
      <c r="L651">
        <v>44392</v>
      </c>
      <c r="N651" t="s">
        <v>134</v>
      </c>
      <c r="P651" t="s">
        <v>1601</v>
      </c>
    </row>
    <row r="652" spans="1:16" x14ac:dyDescent="0.2">
      <c r="A652" t="s">
        <v>1599</v>
      </c>
      <c r="B652" t="s">
        <v>1604</v>
      </c>
      <c r="C652" t="s">
        <v>128</v>
      </c>
      <c r="D652" t="s">
        <v>155</v>
      </c>
      <c r="F652" t="s">
        <v>997</v>
      </c>
      <c r="H652" t="s">
        <v>156</v>
      </c>
      <c r="I652" t="s">
        <v>1181</v>
      </c>
      <c r="J652">
        <v>2021</v>
      </c>
      <c r="K652" t="s">
        <v>523</v>
      </c>
      <c r="L652">
        <v>44384</v>
      </c>
      <c r="N652" t="s">
        <v>134</v>
      </c>
      <c r="P652" t="s">
        <v>1601</v>
      </c>
    </row>
    <row r="653" spans="1:16" x14ac:dyDescent="0.2">
      <c r="A653" t="s">
        <v>1599</v>
      </c>
      <c r="B653" t="s">
        <v>1605</v>
      </c>
      <c r="C653" t="s">
        <v>128</v>
      </c>
      <c r="D653" t="s">
        <v>155</v>
      </c>
      <c r="F653" t="s">
        <v>997</v>
      </c>
      <c r="H653" t="s">
        <v>156</v>
      </c>
      <c r="I653" t="s">
        <v>1181</v>
      </c>
      <c r="J653">
        <v>2021</v>
      </c>
      <c r="K653" t="s">
        <v>523</v>
      </c>
      <c r="L653">
        <v>44392</v>
      </c>
      <c r="N653" t="s">
        <v>134</v>
      </c>
      <c r="P653" t="s">
        <v>1601</v>
      </c>
    </row>
    <row r="654" spans="1:16" x14ac:dyDescent="0.2">
      <c r="A654" t="s">
        <v>1599</v>
      </c>
      <c r="B654" t="s">
        <v>1606</v>
      </c>
      <c r="C654" t="s">
        <v>128</v>
      </c>
      <c r="D654" t="s">
        <v>155</v>
      </c>
      <c r="F654" t="s">
        <v>997</v>
      </c>
      <c r="H654" t="s">
        <v>156</v>
      </c>
      <c r="I654" t="s">
        <v>1181</v>
      </c>
      <c r="J654">
        <v>2021</v>
      </c>
      <c r="K654" t="s">
        <v>523</v>
      </c>
      <c r="L654">
        <v>44392</v>
      </c>
      <c r="N654" t="s">
        <v>134</v>
      </c>
      <c r="P654" t="s">
        <v>1601</v>
      </c>
    </row>
    <row r="655" spans="1:16" x14ac:dyDescent="0.2">
      <c r="A655" t="s">
        <v>1599</v>
      </c>
      <c r="B655" t="s">
        <v>1607</v>
      </c>
      <c r="C655" t="s">
        <v>128</v>
      </c>
      <c r="D655" t="s">
        <v>155</v>
      </c>
      <c r="F655" t="s">
        <v>997</v>
      </c>
      <c r="H655" t="s">
        <v>156</v>
      </c>
      <c r="I655" t="s">
        <v>1181</v>
      </c>
      <c r="J655">
        <v>2021</v>
      </c>
      <c r="K655" t="s">
        <v>523</v>
      </c>
      <c r="L655">
        <v>44392</v>
      </c>
      <c r="N655" t="s">
        <v>134</v>
      </c>
      <c r="P655" t="s">
        <v>1601</v>
      </c>
    </row>
    <row r="656" spans="1:16" x14ac:dyDescent="0.2">
      <c r="A656" t="s">
        <v>1599</v>
      </c>
      <c r="B656" t="s">
        <v>1608</v>
      </c>
      <c r="C656" t="s">
        <v>128</v>
      </c>
      <c r="D656" t="s">
        <v>155</v>
      </c>
      <c r="F656" t="s">
        <v>997</v>
      </c>
      <c r="H656" t="s">
        <v>156</v>
      </c>
      <c r="I656" t="s">
        <v>1181</v>
      </c>
      <c r="J656">
        <v>2021</v>
      </c>
      <c r="K656" t="s">
        <v>277</v>
      </c>
      <c r="L656">
        <v>44484</v>
      </c>
      <c r="N656" t="s">
        <v>134</v>
      </c>
      <c r="P656" t="s">
        <v>1601</v>
      </c>
    </row>
    <row r="657" spans="1:16" x14ac:dyDescent="0.2">
      <c r="A657" t="s">
        <v>1895</v>
      </c>
      <c r="B657" t="s">
        <v>1896</v>
      </c>
      <c r="C657" t="s">
        <v>128</v>
      </c>
      <c r="D657" t="s">
        <v>155</v>
      </c>
      <c r="F657" t="s">
        <v>160</v>
      </c>
      <c r="G657" t="s">
        <v>1897</v>
      </c>
      <c r="H657" t="s">
        <v>156</v>
      </c>
      <c r="I657" t="s">
        <v>1181</v>
      </c>
      <c r="J657">
        <v>2021</v>
      </c>
      <c r="K657" t="s">
        <v>277</v>
      </c>
      <c r="N657" t="s">
        <v>134</v>
      </c>
      <c r="P657" t="s">
        <v>1898</v>
      </c>
    </row>
    <row r="658" spans="1:16" x14ac:dyDescent="0.2">
      <c r="A658" t="s">
        <v>2141</v>
      </c>
      <c r="B658" t="s">
        <v>2142</v>
      </c>
      <c r="C658" t="s">
        <v>128</v>
      </c>
      <c r="D658" t="s">
        <v>155</v>
      </c>
      <c r="F658" t="s">
        <v>997</v>
      </c>
      <c r="H658" t="s">
        <v>156</v>
      </c>
      <c r="I658" t="s">
        <v>1181</v>
      </c>
      <c r="J658">
        <v>2022</v>
      </c>
      <c r="K658" t="s">
        <v>523</v>
      </c>
      <c r="L658" t="s">
        <v>2143</v>
      </c>
      <c r="M658" t="s">
        <v>1571</v>
      </c>
      <c r="N658" t="s">
        <v>134</v>
      </c>
      <c r="P658" t="s">
        <v>2144</v>
      </c>
    </row>
    <row r="659" spans="1:16" x14ac:dyDescent="0.2">
      <c r="A659" t="s">
        <v>2275</v>
      </c>
      <c r="B659" t="s">
        <v>2276</v>
      </c>
      <c r="C659" t="s">
        <v>128</v>
      </c>
      <c r="D659" t="s">
        <v>155</v>
      </c>
      <c r="F659" t="s">
        <v>997</v>
      </c>
      <c r="H659" t="s">
        <v>156</v>
      </c>
      <c r="I659" t="s">
        <v>1181</v>
      </c>
      <c r="J659">
        <v>2023</v>
      </c>
      <c r="K659" t="s">
        <v>133</v>
      </c>
      <c r="L659">
        <v>45107</v>
      </c>
      <c r="N659" t="s">
        <v>134</v>
      </c>
      <c r="P659" t="s">
        <v>2277</v>
      </c>
    </row>
    <row r="660" spans="1:16" x14ac:dyDescent="0.2">
      <c r="A660" t="s">
        <v>2275</v>
      </c>
      <c r="B660" t="s">
        <v>2278</v>
      </c>
      <c r="C660" t="s">
        <v>128</v>
      </c>
      <c r="D660" t="s">
        <v>155</v>
      </c>
      <c r="F660" t="s">
        <v>997</v>
      </c>
      <c r="H660" t="s">
        <v>156</v>
      </c>
      <c r="I660" t="s">
        <v>1181</v>
      </c>
      <c r="J660">
        <v>2023</v>
      </c>
      <c r="K660" t="s">
        <v>133</v>
      </c>
      <c r="L660">
        <v>45107</v>
      </c>
      <c r="N660" t="s">
        <v>134</v>
      </c>
      <c r="P660" t="s">
        <v>2277</v>
      </c>
    </row>
    <row r="661" spans="1:16" x14ac:dyDescent="0.2">
      <c r="A661" t="s">
        <v>2415</v>
      </c>
      <c r="B661" t="s">
        <v>2416</v>
      </c>
      <c r="C661" t="s">
        <v>128</v>
      </c>
      <c r="D661" t="s">
        <v>2417</v>
      </c>
      <c r="F661" t="s">
        <v>2418</v>
      </c>
      <c r="H661" t="s">
        <v>309</v>
      </c>
      <c r="I661" t="s">
        <v>1181</v>
      </c>
      <c r="J661">
        <v>2023</v>
      </c>
      <c r="K661" t="s">
        <v>261</v>
      </c>
      <c r="L661">
        <v>45229</v>
      </c>
      <c r="N661" t="s">
        <v>134</v>
      </c>
      <c r="O661" t="s">
        <v>135</v>
      </c>
      <c r="P661" t="s">
        <v>2419</v>
      </c>
    </row>
    <row r="662" spans="1:16" x14ac:dyDescent="0.2">
      <c r="A662" t="s">
        <v>468</v>
      </c>
      <c r="B662" t="s">
        <v>469</v>
      </c>
      <c r="C662" t="s">
        <v>128</v>
      </c>
      <c r="D662" t="s">
        <v>470</v>
      </c>
      <c r="F662" t="s">
        <v>471</v>
      </c>
      <c r="H662" t="s">
        <v>472</v>
      </c>
      <c r="J662">
        <v>2017</v>
      </c>
      <c r="K662" t="s">
        <v>261</v>
      </c>
      <c r="L662">
        <v>43026</v>
      </c>
      <c r="N662" t="s">
        <v>134</v>
      </c>
      <c r="O662" t="s">
        <v>135</v>
      </c>
      <c r="P662" t="s">
        <v>473</v>
      </c>
    </row>
    <row r="663" spans="1:16" x14ac:dyDescent="0.2">
      <c r="A663" t="s">
        <v>3187</v>
      </c>
      <c r="B663" t="s">
        <v>3188</v>
      </c>
      <c r="C663" t="s">
        <v>128</v>
      </c>
      <c r="D663" t="s">
        <v>3189</v>
      </c>
      <c r="F663" t="s">
        <v>3190</v>
      </c>
      <c r="G663" t="s">
        <v>3191</v>
      </c>
      <c r="H663" t="s">
        <v>220</v>
      </c>
      <c r="I663" t="s">
        <v>1181</v>
      </c>
      <c r="J663">
        <v>2025</v>
      </c>
      <c r="K663" t="s">
        <v>3229</v>
      </c>
      <c r="L663">
        <v>45897</v>
      </c>
      <c r="N663" t="s">
        <v>597</v>
      </c>
      <c r="P663" t="s">
        <v>3192</v>
      </c>
    </row>
    <row r="664" spans="1:16" x14ac:dyDescent="0.2">
      <c r="A664" t="s">
        <v>677</v>
      </c>
      <c r="B664" t="s">
        <v>678</v>
      </c>
      <c r="C664" t="s">
        <v>128</v>
      </c>
      <c r="D664" t="s">
        <v>679</v>
      </c>
      <c r="E664" t="s">
        <v>420</v>
      </c>
      <c r="F664" t="s">
        <v>680</v>
      </c>
      <c r="H664" t="s">
        <v>421</v>
      </c>
      <c r="J664">
        <v>2018</v>
      </c>
      <c r="K664" t="s">
        <v>351</v>
      </c>
      <c r="L664">
        <v>43313</v>
      </c>
      <c r="N664" t="s">
        <v>134</v>
      </c>
      <c r="O664" t="s">
        <v>135</v>
      </c>
      <c r="P664" t="s">
        <v>681</v>
      </c>
    </row>
    <row r="665" spans="1:16" x14ac:dyDescent="0.2">
      <c r="A665" t="s">
        <v>406</v>
      </c>
      <c r="B665" t="s">
        <v>407</v>
      </c>
      <c r="C665" t="s">
        <v>128</v>
      </c>
      <c r="D665" t="s">
        <v>408</v>
      </c>
      <c r="H665" t="s">
        <v>146</v>
      </c>
      <c r="J665">
        <v>2017</v>
      </c>
      <c r="K665" t="s">
        <v>400</v>
      </c>
      <c r="L665">
        <v>42929</v>
      </c>
      <c r="N665" t="s">
        <v>140</v>
      </c>
      <c r="O665" t="s">
        <v>135</v>
      </c>
      <c r="P665" t="s">
        <v>409</v>
      </c>
    </row>
    <row r="666" spans="1:16" x14ac:dyDescent="0.2">
      <c r="A666" t="s">
        <v>770</v>
      </c>
      <c r="B666" t="s">
        <v>771</v>
      </c>
      <c r="C666" t="s">
        <v>128</v>
      </c>
      <c r="D666" t="s">
        <v>408</v>
      </c>
      <c r="H666" t="s">
        <v>146</v>
      </c>
      <c r="J666">
        <v>2018</v>
      </c>
      <c r="K666" t="s">
        <v>277</v>
      </c>
      <c r="L666">
        <v>43355</v>
      </c>
      <c r="M666" t="s">
        <v>772</v>
      </c>
      <c r="N666" t="s">
        <v>140</v>
      </c>
      <c r="O666" t="s">
        <v>135</v>
      </c>
      <c r="P666" t="s">
        <v>773</v>
      </c>
    </row>
    <row r="667" spans="1:16" x14ac:dyDescent="0.2">
      <c r="A667" t="s">
        <v>770</v>
      </c>
      <c r="B667" t="s">
        <v>774</v>
      </c>
      <c r="C667" t="s">
        <v>128</v>
      </c>
      <c r="D667" t="s">
        <v>408</v>
      </c>
      <c r="G667" t="s">
        <v>775</v>
      </c>
      <c r="H667" t="s">
        <v>146</v>
      </c>
      <c r="J667">
        <v>2018</v>
      </c>
      <c r="K667" t="s">
        <v>277</v>
      </c>
      <c r="L667">
        <v>43335</v>
      </c>
      <c r="N667" t="s">
        <v>134</v>
      </c>
      <c r="O667" t="s">
        <v>135</v>
      </c>
      <c r="P667" t="s">
        <v>773</v>
      </c>
    </row>
    <row r="668" spans="1:16" x14ac:dyDescent="0.2">
      <c r="A668" t="s">
        <v>395</v>
      </c>
      <c r="B668" t="s">
        <v>396</v>
      </c>
      <c r="C668" t="s">
        <v>128</v>
      </c>
      <c r="D668" t="s">
        <v>397</v>
      </c>
      <c r="F668" t="s">
        <v>398</v>
      </c>
      <c r="G668" t="s">
        <v>399</v>
      </c>
      <c r="H668" t="s">
        <v>146</v>
      </c>
      <c r="J668">
        <v>2017</v>
      </c>
      <c r="K668" t="s">
        <v>400</v>
      </c>
      <c r="L668">
        <v>42948</v>
      </c>
      <c r="N668" t="s">
        <v>134</v>
      </c>
      <c r="O668" t="s">
        <v>135</v>
      </c>
      <c r="P668" t="s">
        <v>401</v>
      </c>
    </row>
    <row r="669" spans="1:16" x14ac:dyDescent="0.2">
      <c r="A669" t="s">
        <v>455</v>
      </c>
      <c r="B669" t="s">
        <v>456</v>
      </c>
      <c r="C669" t="s">
        <v>128</v>
      </c>
      <c r="D669" t="s">
        <v>397</v>
      </c>
      <c r="F669" t="s">
        <v>398</v>
      </c>
      <c r="G669" t="s">
        <v>457</v>
      </c>
      <c r="H669" t="s">
        <v>146</v>
      </c>
      <c r="J669">
        <v>2017</v>
      </c>
      <c r="K669" t="s">
        <v>400</v>
      </c>
      <c r="L669">
        <v>42996</v>
      </c>
      <c r="N669" t="s">
        <v>134</v>
      </c>
      <c r="O669" t="s">
        <v>135</v>
      </c>
      <c r="P669" t="s">
        <v>458</v>
      </c>
    </row>
    <row r="670" spans="1:16" x14ac:dyDescent="0.2">
      <c r="A670" t="s">
        <v>619</v>
      </c>
      <c r="B670" t="s">
        <v>620</v>
      </c>
      <c r="C670" t="s">
        <v>128</v>
      </c>
      <c r="D670" t="s">
        <v>397</v>
      </c>
      <c r="F670" t="s">
        <v>398</v>
      </c>
      <c r="G670" t="s">
        <v>621</v>
      </c>
      <c r="H670" t="s">
        <v>146</v>
      </c>
      <c r="J670">
        <v>2017</v>
      </c>
      <c r="K670" t="s">
        <v>400</v>
      </c>
      <c r="L670">
        <v>43172</v>
      </c>
      <c r="M670" t="s">
        <v>622</v>
      </c>
      <c r="N670" t="s">
        <v>140</v>
      </c>
      <c r="O670" t="s">
        <v>135</v>
      </c>
      <c r="P670" t="s">
        <v>623</v>
      </c>
    </row>
    <row r="671" spans="1:16" x14ac:dyDescent="0.2">
      <c r="A671" t="s">
        <v>709</v>
      </c>
      <c r="B671" t="s">
        <v>710</v>
      </c>
      <c r="C671" t="s">
        <v>128</v>
      </c>
      <c r="D671" t="s">
        <v>711</v>
      </c>
      <c r="E671" t="s">
        <v>397</v>
      </c>
      <c r="F671" t="s">
        <v>712</v>
      </c>
      <c r="G671" t="s">
        <v>713</v>
      </c>
      <c r="H671" t="s">
        <v>146</v>
      </c>
      <c r="J671">
        <v>2018</v>
      </c>
      <c r="K671" t="s">
        <v>523</v>
      </c>
      <c r="L671">
        <v>43283</v>
      </c>
      <c r="M671" t="s">
        <v>708</v>
      </c>
      <c r="N671" t="s">
        <v>134</v>
      </c>
      <c r="O671" t="s">
        <v>135</v>
      </c>
      <c r="P671" t="s">
        <v>714</v>
      </c>
    </row>
    <row r="672" spans="1:16" x14ac:dyDescent="0.2">
      <c r="A672" t="s">
        <v>709</v>
      </c>
      <c r="B672" t="s">
        <v>715</v>
      </c>
      <c r="C672" t="s">
        <v>128</v>
      </c>
      <c r="D672" t="s">
        <v>711</v>
      </c>
      <c r="E672" t="s">
        <v>397</v>
      </c>
      <c r="F672" t="s">
        <v>712</v>
      </c>
      <c r="G672" t="s">
        <v>713</v>
      </c>
      <c r="H672" t="s">
        <v>146</v>
      </c>
      <c r="J672">
        <v>2018</v>
      </c>
      <c r="K672" t="s">
        <v>523</v>
      </c>
      <c r="L672">
        <v>43322</v>
      </c>
      <c r="N672" t="s">
        <v>134</v>
      </c>
      <c r="O672" t="s">
        <v>135</v>
      </c>
      <c r="P672" t="s">
        <v>714</v>
      </c>
    </row>
    <row r="673" spans="1:16" x14ac:dyDescent="0.2">
      <c r="A673" t="s">
        <v>1034</v>
      </c>
      <c r="B673" t="s">
        <v>1035</v>
      </c>
      <c r="C673" t="s">
        <v>128</v>
      </c>
      <c r="D673" t="s">
        <v>711</v>
      </c>
      <c r="E673" t="s">
        <v>397</v>
      </c>
      <c r="F673" t="s">
        <v>712</v>
      </c>
      <c r="G673" t="s">
        <v>1036</v>
      </c>
      <c r="H673" t="s">
        <v>146</v>
      </c>
      <c r="J673">
        <v>2019</v>
      </c>
      <c r="K673" t="s">
        <v>523</v>
      </c>
      <c r="L673">
        <v>43646</v>
      </c>
      <c r="N673" t="s">
        <v>134</v>
      </c>
      <c r="P673" t="s">
        <v>1037</v>
      </c>
    </row>
    <row r="674" spans="1:16" x14ac:dyDescent="0.2">
      <c r="A674" t="s">
        <v>1193</v>
      </c>
      <c r="B674" t="s">
        <v>1194</v>
      </c>
      <c r="C674" t="s">
        <v>128</v>
      </c>
      <c r="D674" t="s">
        <v>711</v>
      </c>
      <c r="F674" t="s">
        <v>712</v>
      </c>
      <c r="G674" t="s">
        <v>1195</v>
      </c>
      <c r="H674" t="s">
        <v>146</v>
      </c>
      <c r="I674" t="s">
        <v>1181</v>
      </c>
      <c r="J674">
        <v>2019</v>
      </c>
      <c r="K674" t="s">
        <v>351</v>
      </c>
      <c r="L674">
        <v>43819</v>
      </c>
      <c r="N674" t="s">
        <v>134</v>
      </c>
      <c r="P674" t="s">
        <v>1196</v>
      </c>
    </row>
    <row r="675" spans="1:16" x14ac:dyDescent="0.2">
      <c r="A675" t="s">
        <v>1316</v>
      </c>
      <c r="B675" t="s">
        <v>1317</v>
      </c>
      <c r="C675" t="s">
        <v>128</v>
      </c>
      <c r="D675" t="s">
        <v>711</v>
      </c>
      <c r="E675" t="s">
        <v>397</v>
      </c>
      <c r="F675" t="s">
        <v>712</v>
      </c>
      <c r="G675" t="s">
        <v>1318</v>
      </c>
      <c r="H675" t="s">
        <v>146</v>
      </c>
      <c r="I675" t="s">
        <v>1181</v>
      </c>
      <c r="J675">
        <v>2020</v>
      </c>
      <c r="K675" t="s">
        <v>523</v>
      </c>
      <c r="L675">
        <v>44134</v>
      </c>
      <c r="N675" t="s">
        <v>134</v>
      </c>
      <c r="P675" t="s">
        <v>1319</v>
      </c>
    </row>
    <row r="676" spans="1:16" x14ac:dyDescent="0.2">
      <c r="A676" t="s">
        <v>1316</v>
      </c>
      <c r="B676" t="s">
        <v>1320</v>
      </c>
      <c r="C676" t="s">
        <v>128</v>
      </c>
      <c r="D676" t="s">
        <v>711</v>
      </c>
      <c r="E676" t="s">
        <v>397</v>
      </c>
      <c r="F676" t="s">
        <v>712</v>
      </c>
      <c r="G676" t="s">
        <v>1321</v>
      </c>
      <c r="H676" t="s">
        <v>146</v>
      </c>
      <c r="I676" t="s">
        <v>1181</v>
      </c>
      <c r="J676">
        <v>2020</v>
      </c>
      <c r="K676" t="s">
        <v>523</v>
      </c>
      <c r="L676" t="s">
        <v>1322</v>
      </c>
      <c r="N676" t="s">
        <v>134</v>
      </c>
      <c r="P676" t="s">
        <v>2627</v>
      </c>
    </row>
    <row r="677" spans="1:16" x14ac:dyDescent="0.2">
      <c r="A677" t="s">
        <v>1316</v>
      </c>
      <c r="B677" t="s">
        <v>1323</v>
      </c>
      <c r="C677" t="s">
        <v>128</v>
      </c>
      <c r="D677" t="s">
        <v>711</v>
      </c>
      <c r="E677" t="s">
        <v>397</v>
      </c>
      <c r="F677" t="s">
        <v>712</v>
      </c>
      <c r="G677" t="s">
        <v>1324</v>
      </c>
      <c r="H677" t="s">
        <v>146</v>
      </c>
      <c r="I677" t="s">
        <v>1181</v>
      </c>
      <c r="J677">
        <v>2020</v>
      </c>
      <c r="K677" t="s">
        <v>523</v>
      </c>
      <c r="L677">
        <v>44165</v>
      </c>
      <c r="N677" t="s">
        <v>134</v>
      </c>
      <c r="P677" t="s">
        <v>1319</v>
      </c>
    </row>
    <row r="678" spans="1:16" x14ac:dyDescent="0.2">
      <c r="A678" t="s">
        <v>1581</v>
      </c>
      <c r="B678" t="s">
        <v>1582</v>
      </c>
      <c r="C678" t="s">
        <v>128</v>
      </c>
      <c r="D678" t="s">
        <v>711</v>
      </c>
      <c r="E678" t="s">
        <v>397</v>
      </c>
      <c r="F678" t="s">
        <v>712</v>
      </c>
      <c r="G678" t="s">
        <v>1583</v>
      </c>
      <c r="H678" t="s">
        <v>146</v>
      </c>
      <c r="I678" t="s">
        <v>1181</v>
      </c>
      <c r="J678">
        <v>2021</v>
      </c>
      <c r="K678" t="s">
        <v>523</v>
      </c>
      <c r="L678" t="s">
        <v>1584</v>
      </c>
      <c r="N678" t="s">
        <v>134</v>
      </c>
      <c r="P678" t="s">
        <v>1585</v>
      </c>
    </row>
    <row r="679" spans="1:16" x14ac:dyDescent="0.2">
      <c r="A679" t="s">
        <v>1581</v>
      </c>
      <c r="B679" t="s">
        <v>1586</v>
      </c>
      <c r="C679" t="s">
        <v>128</v>
      </c>
      <c r="D679" t="s">
        <v>711</v>
      </c>
      <c r="E679" t="s">
        <v>397</v>
      </c>
      <c r="F679" t="s">
        <v>712</v>
      </c>
      <c r="G679" t="s">
        <v>1583</v>
      </c>
      <c r="H679" t="s">
        <v>146</v>
      </c>
      <c r="I679" t="s">
        <v>1181</v>
      </c>
      <c r="J679">
        <v>2021</v>
      </c>
      <c r="K679" t="s">
        <v>523</v>
      </c>
      <c r="L679" t="s">
        <v>1584</v>
      </c>
      <c r="N679" t="s">
        <v>134</v>
      </c>
      <c r="P679" t="s">
        <v>1585</v>
      </c>
    </row>
    <row r="680" spans="1:16" x14ac:dyDescent="0.2">
      <c r="A680" t="s">
        <v>1581</v>
      </c>
      <c r="B680" t="s">
        <v>1587</v>
      </c>
      <c r="C680" t="s">
        <v>128</v>
      </c>
      <c r="D680" t="s">
        <v>711</v>
      </c>
      <c r="E680" t="s">
        <v>397</v>
      </c>
      <c r="F680" t="s">
        <v>712</v>
      </c>
      <c r="G680" t="s">
        <v>1583</v>
      </c>
      <c r="H680" t="s">
        <v>146</v>
      </c>
      <c r="I680" t="s">
        <v>1181</v>
      </c>
      <c r="J680">
        <v>2021</v>
      </c>
      <c r="K680" t="s">
        <v>523</v>
      </c>
      <c r="L680" t="s">
        <v>1584</v>
      </c>
      <c r="N680" t="s">
        <v>134</v>
      </c>
      <c r="P680" t="s">
        <v>1585</v>
      </c>
    </row>
    <row r="681" spans="1:16" x14ac:dyDescent="0.2">
      <c r="A681" t="s">
        <v>1819</v>
      </c>
      <c r="B681" t="s">
        <v>1820</v>
      </c>
      <c r="C681" t="s">
        <v>128</v>
      </c>
      <c r="D681" t="s">
        <v>711</v>
      </c>
      <c r="F681" t="s">
        <v>712</v>
      </c>
      <c r="H681" t="s">
        <v>146</v>
      </c>
      <c r="I681" t="s">
        <v>1181</v>
      </c>
      <c r="J681">
        <v>2021</v>
      </c>
      <c r="K681" t="s">
        <v>112</v>
      </c>
      <c r="L681">
        <v>44544</v>
      </c>
      <c r="N681" t="s">
        <v>140</v>
      </c>
      <c r="P681" t="s">
        <v>1821</v>
      </c>
    </row>
    <row r="682" spans="1:16" x14ac:dyDescent="0.2">
      <c r="A682" t="s">
        <v>2261</v>
      </c>
      <c r="B682" t="s">
        <v>2262</v>
      </c>
      <c r="C682" t="s">
        <v>128</v>
      </c>
      <c r="D682" t="s">
        <v>711</v>
      </c>
      <c r="E682" t="s">
        <v>397</v>
      </c>
      <c r="F682" t="s">
        <v>712</v>
      </c>
      <c r="G682" t="s">
        <v>2263</v>
      </c>
      <c r="H682" t="s">
        <v>146</v>
      </c>
      <c r="I682" t="s">
        <v>1181</v>
      </c>
      <c r="J682">
        <v>2023</v>
      </c>
      <c r="K682" t="s">
        <v>523</v>
      </c>
      <c r="L682">
        <v>45089</v>
      </c>
      <c r="N682" t="s">
        <v>134</v>
      </c>
      <c r="P682" t="s">
        <v>2264</v>
      </c>
    </row>
    <row r="683" spans="1:16" x14ac:dyDescent="0.2">
      <c r="A683" t="s">
        <v>2261</v>
      </c>
      <c r="B683" t="s">
        <v>2265</v>
      </c>
      <c r="C683" t="s">
        <v>112</v>
      </c>
      <c r="D683" t="s">
        <v>711</v>
      </c>
      <c r="E683" t="s">
        <v>397</v>
      </c>
      <c r="F683" t="s">
        <v>712</v>
      </c>
      <c r="G683" t="s">
        <v>2266</v>
      </c>
      <c r="H683" t="s">
        <v>146</v>
      </c>
      <c r="I683" t="s">
        <v>1181</v>
      </c>
      <c r="J683">
        <v>2023</v>
      </c>
      <c r="K683" t="s">
        <v>351</v>
      </c>
      <c r="L683">
        <v>45142</v>
      </c>
      <c r="N683" t="s">
        <v>134</v>
      </c>
      <c r="P683" t="s">
        <v>2647</v>
      </c>
    </row>
    <row r="684" spans="1:16" x14ac:dyDescent="0.2">
      <c r="A684" t="s">
        <v>2628</v>
      </c>
      <c r="B684" t="s">
        <v>2629</v>
      </c>
      <c r="C684" t="s">
        <v>128</v>
      </c>
      <c r="D684" t="s">
        <v>711</v>
      </c>
      <c r="G684" t="s">
        <v>2630</v>
      </c>
      <c r="H684" t="s">
        <v>146</v>
      </c>
      <c r="I684" t="s">
        <v>1181</v>
      </c>
      <c r="J684">
        <v>2024</v>
      </c>
      <c r="K684" t="s">
        <v>351</v>
      </c>
      <c r="L684">
        <v>45497</v>
      </c>
      <c r="N684" t="s">
        <v>134</v>
      </c>
      <c r="P684" t="s">
        <v>2631</v>
      </c>
    </row>
    <row r="685" spans="1:16" x14ac:dyDescent="0.2">
      <c r="A685" t="s">
        <v>2628</v>
      </c>
      <c r="B685" t="s">
        <v>2632</v>
      </c>
      <c r="C685" t="s">
        <v>128</v>
      </c>
      <c r="D685" t="s">
        <v>711</v>
      </c>
      <c r="G685" t="s">
        <v>2630</v>
      </c>
      <c r="H685" t="s">
        <v>146</v>
      </c>
      <c r="I685" t="s">
        <v>1181</v>
      </c>
      <c r="J685">
        <v>2024</v>
      </c>
      <c r="K685" t="s">
        <v>351</v>
      </c>
      <c r="L685">
        <v>45497</v>
      </c>
      <c r="N685" t="s">
        <v>134</v>
      </c>
      <c r="P685" t="s">
        <v>2631</v>
      </c>
    </row>
    <row r="686" spans="1:16" x14ac:dyDescent="0.2">
      <c r="A686" t="s">
        <v>2628</v>
      </c>
      <c r="B686" t="s">
        <v>2633</v>
      </c>
      <c r="C686" t="s">
        <v>128</v>
      </c>
      <c r="D686" t="s">
        <v>711</v>
      </c>
      <c r="G686" t="s">
        <v>2630</v>
      </c>
      <c r="H686" t="s">
        <v>146</v>
      </c>
      <c r="I686" t="s">
        <v>1181</v>
      </c>
      <c r="J686">
        <v>2024</v>
      </c>
      <c r="K686" t="s">
        <v>351</v>
      </c>
      <c r="L686">
        <v>45628</v>
      </c>
      <c r="N686" t="s">
        <v>134</v>
      </c>
      <c r="P686" t="s">
        <v>2660</v>
      </c>
    </row>
    <row r="687" spans="1:16" x14ac:dyDescent="0.2">
      <c r="A687" t="s">
        <v>2628</v>
      </c>
      <c r="B687" t="s">
        <v>2634</v>
      </c>
      <c r="C687" t="s">
        <v>128</v>
      </c>
      <c r="D687" t="s">
        <v>711</v>
      </c>
      <c r="G687" t="s">
        <v>2635</v>
      </c>
      <c r="H687" t="s">
        <v>146</v>
      </c>
      <c r="I687" t="s">
        <v>1181</v>
      </c>
      <c r="J687">
        <v>2024</v>
      </c>
      <c r="K687" t="s">
        <v>523</v>
      </c>
      <c r="L687">
        <v>45801</v>
      </c>
      <c r="N687" t="s">
        <v>134</v>
      </c>
      <c r="P687" t="s">
        <v>2631</v>
      </c>
    </row>
    <row r="688" spans="1:16" x14ac:dyDescent="0.2">
      <c r="A688" t="s">
        <v>2788</v>
      </c>
      <c r="B688" t="s">
        <v>2789</v>
      </c>
      <c r="C688" t="s">
        <v>112</v>
      </c>
      <c r="D688" t="s">
        <v>2790</v>
      </c>
      <c r="E688" t="s">
        <v>2791</v>
      </c>
      <c r="F688" t="s">
        <v>2792</v>
      </c>
      <c r="G688" t="s">
        <v>2793</v>
      </c>
      <c r="H688" t="s">
        <v>194</v>
      </c>
      <c r="I688" t="s">
        <v>194</v>
      </c>
      <c r="J688">
        <v>2024</v>
      </c>
      <c r="K688" t="s">
        <v>523</v>
      </c>
      <c r="L688" t="s">
        <v>2612</v>
      </c>
      <c r="N688" t="s">
        <v>134</v>
      </c>
      <c r="O688" t="s">
        <v>2934</v>
      </c>
      <c r="P688" t="s">
        <v>3526</v>
      </c>
    </row>
    <row r="689" spans="1:16" x14ac:dyDescent="0.2">
      <c r="A689" t="s">
        <v>1925</v>
      </c>
      <c r="B689" t="s">
        <v>1926</v>
      </c>
      <c r="C689" t="s">
        <v>128</v>
      </c>
      <c r="D689" t="s">
        <v>1927</v>
      </c>
      <c r="F689" t="s">
        <v>1928</v>
      </c>
      <c r="H689" t="s">
        <v>421</v>
      </c>
      <c r="I689" t="s">
        <v>1181</v>
      </c>
      <c r="J689">
        <v>2022</v>
      </c>
      <c r="K689" t="s">
        <v>523</v>
      </c>
      <c r="L689">
        <v>44753</v>
      </c>
      <c r="N689" t="s">
        <v>134</v>
      </c>
      <c r="P689" t="s">
        <v>1929</v>
      </c>
    </row>
    <row r="690" spans="1:16" x14ac:dyDescent="0.2">
      <c r="A690" t="s">
        <v>3265</v>
      </c>
      <c r="B690" t="s">
        <v>3266</v>
      </c>
      <c r="C690" t="s">
        <v>128</v>
      </c>
      <c r="D690" t="s">
        <v>3267</v>
      </c>
      <c r="F690" t="s">
        <v>3268</v>
      </c>
      <c r="G690" t="s">
        <v>3269</v>
      </c>
      <c r="H690" t="s">
        <v>309</v>
      </c>
      <c r="I690" t="s">
        <v>1181</v>
      </c>
      <c r="J690">
        <v>2025</v>
      </c>
      <c r="K690" t="s">
        <v>261</v>
      </c>
      <c r="L690">
        <v>45931</v>
      </c>
      <c r="N690" t="s">
        <v>597</v>
      </c>
      <c r="P690" t="s">
        <v>3270</v>
      </c>
    </row>
    <row r="691" spans="1:16" x14ac:dyDescent="0.2">
      <c r="A691" t="s">
        <v>3335</v>
      </c>
      <c r="C691" t="s">
        <v>128</v>
      </c>
      <c r="D691" t="s">
        <v>3267</v>
      </c>
      <c r="E691" t="s">
        <v>3336</v>
      </c>
      <c r="F691" t="s">
        <v>3337</v>
      </c>
      <c r="G691" t="s">
        <v>2817</v>
      </c>
      <c r="H691" t="s">
        <v>309</v>
      </c>
      <c r="I691" t="s">
        <v>1181</v>
      </c>
      <c r="J691">
        <v>2025</v>
      </c>
      <c r="K691" t="s">
        <v>261</v>
      </c>
      <c r="N691" t="s">
        <v>597</v>
      </c>
      <c r="P691" t="s">
        <v>3338</v>
      </c>
    </row>
    <row r="692" spans="1:16" x14ac:dyDescent="0.2">
      <c r="A692" t="s">
        <v>877</v>
      </c>
      <c r="B692" t="s">
        <v>878</v>
      </c>
      <c r="C692" t="s">
        <v>128</v>
      </c>
      <c r="D692" t="s">
        <v>879</v>
      </c>
      <c r="F692" t="s">
        <v>880</v>
      </c>
      <c r="H692" t="s">
        <v>309</v>
      </c>
      <c r="J692">
        <v>2018</v>
      </c>
      <c r="K692" t="s">
        <v>261</v>
      </c>
      <c r="L692">
        <v>43542</v>
      </c>
      <c r="N692" t="s">
        <v>134</v>
      </c>
      <c r="O692" t="s">
        <v>135</v>
      </c>
      <c r="P692" t="s">
        <v>881</v>
      </c>
    </row>
    <row r="693" spans="1:16" x14ac:dyDescent="0.2">
      <c r="A693" t="s">
        <v>1406</v>
      </c>
      <c r="B693" t="s">
        <v>1407</v>
      </c>
      <c r="C693" t="s">
        <v>112</v>
      </c>
      <c r="D693" t="s">
        <v>879</v>
      </c>
      <c r="F693" t="s">
        <v>1408</v>
      </c>
      <c r="H693" t="s">
        <v>309</v>
      </c>
      <c r="I693" t="s">
        <v>1181</v>
      </c>
      <c r="J693">
        <v>2020</v>
      </c>
      <c r="K693" t="s">
        <v>261</v>
      </c>
      <c r="L693">
        <v>44406</v>
      </c>
      <c r="N693" t="s">
        <v>134</v>
      </c>
      <c r="O693" t="s">
        <v>135</v>
      </c>
      <c r="P693" t="s">
        <v>2688</v>
      </c>
    </row>
    <row r="694" spans="1:16" x14ac:dyDescent="0.2">
      <c r="A694" t="s">
        <v>1652</v>
      </c>
      <c r="B694" t="s">
        <v>1653</v>
      </c>
      <c r="C694" t="s">
        <v>128</v>
      </c>
      <c r="D694" t="s">
        <v>879</v>
      </c>
      <c r="F694" t="s">
        <v>1654</v>
      </c>
      <c r="H694" t="s">
        <v>309</v>
      </c>
      <c r="I694" t="s">
        <v>1181</v>
      </c>
      <c r="J694">
        <v>2021</v>
      </c>
      <c r="K694" t="s">
        <v>261</v>
      </c>
      <c r="L694">
        <v>44377</v>
      </c>
      <c r="N694" t="s">
        <v>134</v>
      </c>
      <c r="O694" t="s">
        <v>135</v>
      </c>
      <c r="P694" t="s">
        <v>1655</v>
      </c>
    </row>
    <row r="695" spans="1:16" x14ac:dyDescent="0.2">
      <c r="A695" t="s">
        <v>1678</v>
      </c>
      <c r="B695" t="s">
        <v>1679</v>
      </c>
      <c r="C695" t="s">
        <v>128</v>
      </c>
      <c r="D695" t="s">
        <v>879</v>
      </c>
      <c r="F695" t="s">
        <v>1680</v>
      </c>
      <c r="H695" t="s">
        <v>1681</v>
      </c>
      <c r="I695" t="s">
        <v>1181</v>
      </c>
      <c r="J695">
        <v>2021</v>
      </c>
      <c r="K695" t="s">
        <v>261</v>
      </c>
      <c r="L695">
        <v>44669</v>
      </c>
      <c r="N695" t="s">
        <v>134</v>
      </c>
      <c r="O695" t="s">
        <v>135</v>
      </c>
      <c r="P695" t="s">
        <v>1682</v>
      </c>
    </row>
    <row r="696" spans="1:16" x14ac:dyDescent="0.2">
      <c r="A696" t="s">
        <v>1691</v>
      </c>
      <c r="B696" t="s">
        <v>1692</v>
      </c>
      <c r="C696" t="s">
        <v>112</v>
      </c>
      <c r="D696" t="s">
        <v>879</v>
      </c>
      <c r="F696" t="s">
        <v>1693</v>
      </c>
      <c r="H696" t="s">
        <v>309</v>
      </c>
      <c r="I696" t="s">
        <v>1181</v>
      </c>
      <c r="J696">
        <v>2021</v>
      </c>
      <c r="K696" t="s">
        <v>261</v>
      </c>
      <c r="L696">
        <v>44580</v>
      </c>
      <c r="N696" t="s">
        <v>134</v>
      </c>
      <c r="O696" t="s">
        <v>135</v>
      </c>
      <c r="P696" t="s">
        <v>2697</v>
      </c>
    </row>
    <row r="697" spans="1:16" x14ac:dyDescent="0.2">
      <c r="A697" t="s">
        <v>1825</v>
      </c>
      <c r="B697" t="s">
        <v>1826</v>
      </c>
      <c r="C697" t="s">
        <v>128</v>
      </c>
      <c r="D697" t="s">
        <v>879</v>
      </c>
      <c r="F697" t="s">
        <v>1827</v>
      </c>
      <c r="H697" t="s">
        <v>1828</v>
      </c>
      <c r="I697" t="s">
        <v>1181</v>
      </c>
      <c r="J697">
        <v>2022</v>
      </c>
      <c r="K697" t="s">
        <v>261</v>
      </c>
      <c r="L697">
        <v>44929</v>
      </c>
      <c r="N697" t="s">
        <v>134</v>
      </c>
      <c r="O697" t="s">
        <v>135</v>
      </c>
      <c r="P697" t="s">
        <v>1829</v>
      </c>
    </row>
    <row r="698" spans="1:16" x14ac:dyDescent="0.2">
      <c r="A698" t="s">
        <v>1825</v>
      </c>
      <c r="B698" t="s">
        <v>1830</v>
      </c>
      <c r="C698" t="s">
        <v>112</v>
      </c>
      <c r="D698" t="s">
        <v>879</v>
      </c>
      <c r="F698" t="s">
        <v>1827</v>
      </c>
      <c r="G698" t="s">
        <v>1831</v>
      </c>
      <c r="H698" t="s">
        <v>1828</v>
      </c>
      <c r="I698" t="s">
        <v>1181</v>
      </c>
      <c r="J698">
        <v>2022</v>
      </c>
      <c r="K698" t="s">
        <v>261</v>
      </c>
      <c r="L698">
        <v>44812</v>
      </c>
      <c r="N698" t="s">
        <v>134</v>
      </c>
      <c r="O698" t="s">
        <v>135</v>
      </c>
      <c r="P698" t="s">
        <v>2704</v>
      </c>
    </row>
    <row r="699" spans="1:16" x14ac:dyDescent="0.2">
      <c r="A699" t="s">
        <v>2060</v>
      </c>
      <c r="B699" t="s">
        <v>2061</v>
      </c>
      <c r="C699" t="s">
        <v>112</v>
      </c>
      <c r="D699" t="s">
        <v>879</v>
      </c>
      <c r="F699" t="s">
        <v>2062</v>
      </c>
      <c r="H699" t="s">
        <v>1828</v>
      </c>
      <c r="I699" t="s">
        <v>1181</v>
      </c>
      <c r="J699">
        <v>2022</v>
      </c>
      <c r="K699" t="s">
        <v>261</v>
      </c>
      <c r="L699">
        <v>44869</v>
      </c>
      <c r="N699" t="s">
        <v>134</v>
      </c>
      <c r="O699" t="s">
        <v>135</v>
      </c>
      <c r="P699" t="s">
        <v>2708</v>
      </c>
    </row>
    <row r="700" spans="1:16" x14ac:dyDescent="0.2">
      <c r="A700" t="s">
        <v>2203</v>
      </c>
      <c r="B700" t="s">
        <v>2204</v>
      </c>
      <c r="C700" t="s">
        <v>128</v>
      </c>
      <c r="D700" t="s">
        <v>879</v>
      </c>
      <c r="F700" t="s">
        <v>2205</v>
      </c>
      <c r="H700" t="s">
        <v>309</v>
      </c>
      <c r="I700" t="s">
        <v>1181</v>
      </c>
      <c r="J700">
        <v>2022</v>
      </c>
      <c r="K700" t="s">
        <v>261</v>
      </c>
      <c r="L700">
        <v>45174</v>
      </c>
      <c r="N700" t="s">
        <v>134</v>
      </c>
      <c r="O700" t="s">
        <v>135</v>
      </c>
      <c r="P700" t="s">
        <v>2206</v>
      </c>
    </row>
    <row r="701" spans="1:16" x14ac:dyDescent="0.2">
      <c r="A701" t="s">
        <v>2220</v>
      </c>
      <c r="B701" t="s">
        <v>2221</v>
      </c>
      <c r="C701" t="s">
        <v>128</v>
      </c>
      <c r="D701" t="s">
        <v>879</v>
      </c>
      <c r="F701" t="s">
        <v>2222</v>
      </c>
      <c r="H701" t="s">
        <v>1828</v>
      </c>
      <c r="I701" t="s">
        <v>1181</v>
      </c>
      <c r="J701">
        <v>2022</v>
      </c>
      <c r="K701" t="s">
        <v>261</v>
      </c>
      <c r="L701">
        <v>45231</v>
      </c>
      <c r="N701" t="s">
        <v>134</v>
      </c>
      <c r="O701" t="s">
        <v>135</v>
      </c>
      <c r="P701" t="s">
        <v>2223</v>
      </c>
    </row>
    <row r="702" spans="1:16" x14ac:dyDescent="0.2">
      <c r="A702" t="s">
        <v>2220</v>
      </c>
      <c r="B702" t="s">
        <v>2224</v>
      </c>
      <c r="C702" t="s">
        <v>112</v>
      </c>
      <c r="D702" t="s">
        <v>879</v>
      </c>
      <c r="F702" t="s">
        <v>2222</v>
      </c>
      <c r="H702" t="s">
        <v>1828</v>
      </c>
      <c r="I702" t="s">
        <v>1181</v>
      </c>
      <c r="J702">
        <v>2022</v>
      </c>
      <c r="K702" t="s">
        <v>261</v>
      </c>
      <c r="L702">
        <v>45049</v>
      </c>
      <c r="N702" t="s">
        <v>134</v>
      </c>
      <c r="O702" t="s">
        <v>135</v>
      </c>
      <c r="P702" t="s">
        <v>2722</v>
      </c>
    </row>
    <row r="703" spans="1:16" x14ac:dyDescent="0.2">
      <c r="A703" t="s">
        <v>2400</v>
      </c>
      <c r="B703" t="s">
        <v>2401</v>
      </c>
      <c r="C703" t="s">
        <v>128</v>
      </c>
      <c r="D703" t="s">
        <v>879</v>
      </c>
      <c r="F703" t="s">
        <v>2402</v>
      </c>
      <c r="H703" t="s">
        <v>1828</v>
      </c>
      <c r="I703" t="s">
        <v>1181</v>
      </c>
      <c r="J703">
        <v>2023</v>
      </c>
      <c r="K703" t="s">
        <v>261</v>
      </c>
      <c r="L703">
        <v>45497</v>
      </c>
      <c r="N703" t="s">
        <v>134</v>
      </c>
      <c r="O703" t="s">
        <v>135</v>
      </c>
      <c r="P703" t="s">
        <v>2403</v>
      </c>
    </row>
    <row r="704" spans="1:16" x14ac:dyDescent="0.2">
      <c r="A704" t="s">
        <v>2497</v>
      </c>
      <c r="B704" t="s">
        <v>2498</v>
      </c>
      <c r="C704" t="s">
        <v>128</v>
      </c>
      <c r="D704" t="s">
        <v>879</v>
      </c>
      <c r="F704" t="s">
        <v>2499</v>
      </c>
      <c r="H704" t="s">
        <v>309</v>
      </c>
      <c r="I704" t="s">
        <v>1181</v>
      </c>
      <c r="J704">
        <v>2024</v>
      </c>
      <c r="K704" t="s">
        <v>261</v>
      </c>
      <c r="L704">
        <v>45489</v>
      </c>
      <c r="N704" t="s">
        <v>134</v>
      </c>
      <c r="O704" t="s">
        <v>135</v>
      </c>
      <c r="P704" t="s">
        <v>2500</v>
      </c>
    </row>
    <row r="705" spans="1:16" x14ac:dyDescent="0.2">
      <c r="A705" t="s">
        <v>2576</v>
      </c>
      <c r="B705" t="s">
        <v>2577</v>
      </c>
      <c r="C705" t="s">
        <v>112</v>
      </c>
      <c r="D705" t="s">
        <v>879</v>
      </c>
      <c r="F705" t="s">
        <v>2578</v>
      </c>
      <c r="H705" t="s">
        <v>309</v>
      </c>
      <c r="I705" t="s">
        <v>1181</v>
      </c>
      <c r="J705">
        <v>2024</v>
      </c>
      <c r="K705" t="s">
        <v>261</v>
      </c>
      <c r="L705">
        <v>46114</v>
      </c>
      <c r="N705" t="s">
        <v>597</v>
      </c>
      <c r="P705" t="s">
        <v>3527</v>
      </c>
    </row>
    <row r="706" spans="1:16" x14ac:dyDescent="0.2">
      <c r="A706" t="s">
        <v>2885</v>
      </c>
      <c r="B706" t="s">
        <v>2886</v>
      </c>
      <c r="C706" t="s">
        <v>112</v>
      </c>
      <c r="D706" t="s">
        <v>879</v>
      </c>
      <c r="F706" t="s">
        <v>2887</v>
      </c>
      <c r="H706" t="s">
        <v>2888</v>
      </c>
      <c r="I706" t="s">
        <v>1181</v>
      </c>
      <c r="J706">
        <v>2024</v>
      </c>
      <c r="K706" t="s">
        <v>261</v>
      </c>
      <c r="L706">
        <v>45664</v>
      </c>
      <c r="N706" t="s">
        <v>597</v>
      </c>
      <c r="O706" t="s">
        <v>2939</v>
      </c>
      <c r="P706" t="s">
        <v>2740</v>
      </c>
    </row>
    <row r="707" spans="1:16" x14ac:dyDescent="0.2">
      <c r="A707" t="s">
        <v>2965</v>
      </c>
      <c r="B707" t="s">
        <v>3220</v>
      </c>
      <c r="C707" t="s">
        <v>128</v>
      </c>
      <c r="D707" t="s">
        <v>879</v>
      </c>
      <c r="F707" t="s">
        <v>2966</v>
      </c>
      <c r="H707" t="s">
        <v>309</v>
      </c>
      <c r="I707" t="s">
        <v>1181</v>
      </c>
      <c r="J707">
        <v>2025</v>
      </c>
      <c r="K707" t="s">
        <v>261</v>
      </c>
      <c r="L707">
        <v>45838</v>
      </c>
      <c r="N707" t="s">
        <v>597</v>
      </c>
      <c r="P707" t="s">
        <v>3162</v>
      </c>
    </row>
    <row r="708" spans="1:16" x14ac:dyDescent="0.2">
      <c r="A708" t="s">
        <v>3042</v>
      </c>
      <c r="B708" t="s">
        <v>3043</v>
      </c>
      <c r="C708" t="s">
        <v>112</v>
      </c>
      <c r="D708" t="s">
        <v>879</v>
      </c>
      <c r="F708" t="s">
        <v>1408</v>
      </c>
      <c r="H708" t="s">
        <v>309</v>
      </c>
      <c r="I708" t="s">
        <v>1181</v>
      </c>
      <c r="K708" t="s">
        <v>261</v>
      </c>
      <c r="N708" t="s">
        <v>112</v>
      </c>
      <c r="P708" t="s">
        <v>2751</v>
      </c>
    </row>
    <row r="709" spans="1:16" x14ac:dyDescent="0.2">
      <c r="A709" t="s">
        <v>1949</v>
      </c>
      <c r="B709" t="s">
        <v>1950</v>
      </c>
      <c r="C709" t="s">
        <v>112</v>
      </c>
      <c r="D709" t="s">
        <v>1951</v>
      </c>
      <c r="E709" t="s">
        <v>1952</v>
      </c>
      <c r="F709" t="s">
        <v>1953</v>
      </c>
      <c r="G709" t="s">
        <v>1954</v>
      </c>
      <c r="H709" t="s">
        <v>183</v>
      </c>
      <c r="I709" t="s">
        <v>1181</v>
      </c>
      <c r="J709">
        <v>2021</v>
      </c>
      <c r="K709" t="s">
        <v>133</v>
      </c>
      <c r="L709">
        <v>44722</v>
      </c>
      <c r="N709" t="s">
        <v>134</v>
      </c>
      <c r="P709" t="s">
        <v>2757</v>
      </c>
    </row>
    <row r="710" spans="1:16" x14ac:dyDescent="0.2">
      <c r="A710" t="s">
        <v>1949</v>
      </c>
      <c r="B710" t="s">
        <v>1956</v>
      </c>
      <c r="C710" t="s">
        <v>128</v>
      </c>
      <c r="D710" t="s">
        <v>1951</v>
      </c>
      <c r="E710" t="s">
        <v>1952</v>
      </c>
      <c r="F710" t="s">
        <v>1953</v>
      </c>
      <c r="G710" t="s">
        <v>1954</v>
      </c>
      <c r="H710" t="s">
        <v>183</v>
      </c>
      <c r="I710" t="s">
        <v>1181</v>
      </c>
      <c r="J710">
        <v>2021</v>
      </c>
      <c r="K710" t="s">
        <v>133</v>
      </c>
      <c r="L710">
        <v>44757</v>
      </c>
      <c r="N710" t="s">
        <v>134</v>
      </c>
      <c r="P710" t="s">
        <v>1955</v>
      </c>
    </row>
    <row r="711" spans="1:16" x14ac:dyDescent="0.2">
      <c r="A711" t="s">
        <v>1949</v>
      </c>
      <c r="B711" t="s">
        <v>1957</v>
      </c>
      <c r="C711" t="s">
        <v>128</v>
      </c>
      <c r="D711" t="s">
        <v>1951</v>
      </c>
      <c r="E711" t="s">
        <v>1952</v>
      </c>
      <c r="F711" t="s">
        <v>1953</v>
      </c>
      <c r="G711" t="s">
        <v>1954</v>
      </c>
      <c r="H711" t="s">
        <v>183</v>
      </c>
      <c r="I711" t="s">
        <v>1181</v>
      </c>
      <c r="J711">
        <v>2021</v>
      </c>
      <c r="K711" t="s">
        <v>133</v>
      </c>
      <c r="L711">
        <v>44757</v>
      </c>
      <c r="M711" t="s">
        <v>1958</v>
      </c>
      <c r="N711" t="s">
        <v>112</v>
      </c>
      <c r="P711" t="s">
        <v>1955</v>
      </c>
    </row>
    <row r="712" spans="1:16" x14ac:dyDescent="0.2">
      <c r="A712" t="s">
        <v>3296</v>
      </c>
      <c r="B712" t="s">
        <v>3297</v>
      </c>
      <c r="C712" t="s">
        <v>112</v>
      </c>
      <c r="D712" t="s">
        <v>3298</v>
      </c>
      <c r="F712" t="s">
        <v>3299</v>
      </c>
      <c r="G712" t="s">
        <v>2793</v>
      </c>
      <c r="H712" t="s">
        <v>194</v>
      </c>
      <c r="I712" t="s">
        <v>194</v>
      </c>
      <c r="J712">
        <v>2025</v>
      </c>
      <c r="K712" t="s">
        <v>523</v>
      </c>
      <c r="L712">
        <v>46006</v>
      </c>
      <c r="M712" t="s">
        <v>3406</v>
      </c>
      <c r="N712" t="s">
        <v>597</v>
      </c>
      <c r="O712" t="s">
        <v>3407</v>
      </c>
      <c r="P712" t="s">
        <v>3528</v>
      </c>
    </row>
    <row r="713" spans="1:16" x14ac:dyDescent="0.2">
      <c r="A713" t="s">
        <v>178</v>
      </c>
      <c r="B713" t="s">
        <v>179</v>
      </c>
      <c r="C713" t="s">
        <v>128</v>
      </c>
      <c r="D713" t="s">
        <v>180</v>
      </c>
      <c r="E713" t="s">
        <v>181</v>
      </c>
      <c r="F713" t="s">
        <v>182</v>
      </c>
      <c r="H713" t="s">
        <v>183</v>
      </c>
      <c r="J713">
        <v>2016</v>
      </c>
      <c r="N713" t="s">
        <v>147</v>
      </c>
      <c r="O713" t="s">
        <v>135</v>
      </c>
      <c r="P713" t="s">
        <v>2773</v>
      </c>
    </row>
    <row r="714" spans="1:16" x14ac:dyDescent="0.2">
      <c r="A714" t="s">
        <v>312</v>
      </c>
      <c r="B714" t="s">
        <v>313</v>
      </c>
      <c r="C714" t="s">
        <v>128</v>
      </c>
      <c r="D714" t="s">
        <v>180</v>
      </c>
      <c r="F714" t="s">
        <v>314</v>
      </c>
      <c r="H714" t="s">
        <v>258</v>
      </c>
      <c r="J714">
        <v>2016</v>
      </c>
      <c r="K714" t="s">
        <v>261</v>
      </c>
      <c r="L714" t="s">
        <v>315</v>
      </c>
      <c r="N714" t="s">
        <v>134</v>
      </c>
      <c r="O714" t="s">
        <v>135</v>
      </c>
      <c r="P714" t="s">
        <v>316</v>
      </c>
    </row>
    <row r="715" spans="1:16" x14ac:dyDescent="0.2">
      <c r="A715" t="s">
        <v>322</v>
      </c>
      <c r="B715" t="s">
        <v>323</v>
      </c>
      <c r="C715" t="s">
        <v>128</v>
      </c>
      <c r="D715" t="s">
        <v>180</v>
      </c>
      <c r="E715" t="s">
        <v>324</v>
      </c>
      <c r="F715" t="s">
        <v>325</v>
      </c>
      <c r="H715" t="s">
        <v>326</v>
      </c>
      <c r="J715">
        <v>2017</v>
      </c>
      <c r="K715" t="s">
        <v>277</v>
      </c>
      <c r="L715">
        <v>42835</v>
      </c>
      <c r="N715" t="s">
        <v>134</v>
      </c>
      <c r="O715" t="s">
        <v>135</v>
      </c>
      <c r="P715" t="s">
        <v>327</v>
      </c>
    </row>
    <row r="716" spans="1:16" x14ac:dyDescent="0.2">
      <c r="A716" t="s">
        <v>389</v>
      </c>
      <c r="B716" t="s">
        <v>390</v>
      </c>
      <c r="C716" t="s">
        <v>128</v>
      </c>
      <c r="D716" t="s">
        <v>180</v>
      </c>
      <c r="E716" t="s">
        <v>181</v>
      </c>
      <c r="F716" t="s">
        <v>391</v>
      </c>
      <c r="H716" t="s">
        <v>392</v>
      </c>
      <c r="J716">
        <v>2017</v>
      </c>
      <c r="K716" t="s">
        <v>133</v>
      </c>
      <c r="L716">
        <v>42913</v>
      </c>
      <c r="M716" t="s">
        <v>393</v>
      </c>
      <c r="N716" t="s">
        <v>134</v>
      </c>
      <c r="O716" t="s">
        <v>135</v>
      </c>
      <c r="P716" t="s">
        <v>394</v>
      </c>
    </row>
    <row r="717" spans="1:16" x14ac:dyDescent="0.2">
      <c r="A717" t="s">
        <v>640</v>
      </c>
      <c r="B717" t="s">
        <v>641</v>
      </c>
      <c r="C717" t="s">
        <v>128</v>
      </c>
      <c r="D717" t="s">
        <v>642</v>
      </c>
      <c r="F717" t="s">
        <v>643</v>
      </c>
      <c r="G717" t="s">
        <v>644</v>
      </c>
      <c r="H717" t="s">
        <v>199</v>
      </c>
      <c r="J717">
        <v>2018</v>
      </c>
      <c r="K717" t="s">
        <v>221</v>
      </c>
      <c r="L717" t="s">
        <v>645</v>
      </c>
      <c r="N717" t="s">
        <v>134</v>
      </c>
      <c r="O717" t="s">
        <v>135</v>
      </c>
      <c r="P717" t="s">
        <v>2794</v>
      </c>
    </row>
    <row r="718" spans="1:16" x14ac:dyDescent="0.2">
      <c r="A718" t="s">
        <v>646</v>
      </c>
      <c r="B718" t="s">
        <v>647</v>
      </c>
      <c r="C718" t="s">
        <v>128</v>
      </c>
      <c r="D718" t="s">
        <v>642</v>
      </c>
      <c r="F718" t="s">
        <v>648</v>
      </c>
      <c r="G718" t="s">
        <v>644</v>
      </c>
      <c r="H718" t="s">
        <v>649</v>
      </c>
      <c r="J718">
        <v>2018</v>
      </c>
      <c r="K718" t="s">
        <v>221</v>
      </c>
      <c r="L718">
        <v>43265</v>
      </c>
      <c r="N718" t="s">
        <v>134</v>
      </c>
      <c r="O718" t="s">
        <v>135</v>
      </c>
      <c r="P718" t="s">
        <v>650</v>
      </c>
    </row>
    <row r="719" spans="1:16" x14ac:dyDescent="0.2">
      <c r="A719" t="s">
        <v>780</v>
      </c>
      <c r="B719" t="s">
        <v>781</v>
      </c>
      <c r="C719" t="s">
        <v>128</v>
      </c>
      <c r="D719" t="s">
        <v>642</v>
      </c>
      <c r="E719" t="s">
        <v>181</v>
      </c>
      <c r="F719" t="s">
        <v>782</v>
      </c>
      <c r="G719" t="s">
        <v>644</v>
      </c>
      <c r="H719" t="s">
        <v>783</v>
      </c>
      <c r="J719">
        <v>2018</v>
      </c>
      <c r="K719" t="s">
        <v>221</v>
      </c>
      <c r="L719">
        <v>43496</v>
      </c>
      <c r="N719" t="s">
        <v>134</v>
      </c>
      <c r="O719" t="s">
        <v>135</v>
      </c>
      <c r="P719" t="s">
        <v>784</v>
      </c>
    </row>
    <row r="720" spans="1:16" x14ac:dyDescent="0.2">
      <c r="A720" t="s">
        <v>2130</v>
      </c>
      <c r="B720" t="s">
        <v>2131</v>
      </c>
      <c r="C720" t="s">
        <v>128</v>
      </c>
      <c r="D720" t="s">
        <v>2070</v>
      </c>
      <c r="F720" t="s">
        <v>2132</v>
      </c>
      <c r="G720" t="s">
        <v>2133</v>
      </c>
      <c r="H720" t="s">
        <v>783</v>
      </c>
      <c r="I720" t="s">
        <v>1181</v>
      </c>
      <c r="J720">
        <v>2022</v>
      </c>
      <c r="K720" t="s">
        <v>221</v>
      </c>
      <c r="L720">
        <v>44936</v>
      </c>
      <c r="M720" t="s">
        <v>415</v>
      </c>
      <c r="N720" t="s">
        <v>597</v>
      </c>
      <c r="P720" t="s">
        <v>2134</v>
      </c>
    </row>
    <row r="721" spans="1:16" x14ac:dyDescent="0.2">
      <c r="A721" t="s">
        <v>1154</v>
      </c>
      <c r="B721" t="s">
        <v>1155</v>
      </c>
      <c r="C721" t="s">
        <v>128</v>
      </c>
      <c r="D721" t="s">
        <v>1156</v>
      </c>
      <c r="E721" t="s">
        <v>1156</v>
      </c>
      <c r="F721" t="s">
        <v>1157</v>
      </c>
      <c r="G721" t="s">
        <v>1158</v>
      </c>
      <c r="H721" t="s">
        <v>783</v>
      </c>
      <c r="J721">
        <v>2019</v>
      </c>
      <c r="K721" t="s">
        <v>277</v>
      </c>
      <c r="L721">
        <v>43874</v>
      </c>
      <c r="N721" t="s">
        <v>134</v>
      </c>
      <c r="P721" t="s">
        <v>1159</v>
      </c>
    </row>
    <row r="722" spans="1:16" x14ac:dyDescent="0.2">
      <c r="A722" t="s">
        <v>485</v>
      </c>
      <c r="C722" t="s">
        <v>128</v>
      </c>
      <c r="D722" t="s">
        <v>486</v>
      </c>
      <c r="F722" t="s">
        <v>487</v>
      </c>
      <c r="H722" t="s">
        <v>225</v>
      </c>
      <c r="J722">
        <v>2017</v>
      </c>
      <c r="K722" t="s">
        <v>261</v>
      </c>
      <c r="M722" t="s">
        <v>488</v>
      </c>
      <c r="N722" t="s">
        <v>140</v>
      </c>
      <c r="O722" t="s">
        <v>415</v>
      </c>
      <c r="P722" t="s">
        <v>2813</v>
      </c>
    </row>
    <row r="723" spans="1:16" x14ac:dyDescent="0.2">
      <c r="A723" t="s">
        <v>1440</v>
      </c>
      <c r="B723" t="s">
        <v>1441</v>
      </c>
      <c r="C723" t="s">
        <v>128</v>
      </c>
      <c r="D723" t="s">
        <v>1442</v>
      </c>
      <c r="F723" t="s">
        <v>1443</v>
      </c>
      <c r="G723" t="s">
        <v>1444</v>
      </c>
      <c r="H723" t="s">
        <v>225</v>
      </c>
      <c r="I723" t="s">
        <v>1181</v>
      </c>
      <c r="J723">
        <v>2020</v>
      </c>
      <c r="K723" t="s">
        <v>221</v>
      </c>
      <c r="L723">
        <v>44211</v>
      </c>
      <c r="N723" t="s">
        <v>134</v>
      </c>
      <c r="O723" t="s">
        <v>135</v>
      </c>
      <c r="P723" t="s">
        <v>1445</v>
      </c>
    </row>
    <row r="724" spans="1:16" x14ac:dyDescent="0.2">
      <c r="A724" t="s">
        <v>2089</v>
      </c>
      <c r="B724" t="s">
        <v>2090</v>
      </c>
      <c r="C724" t="s">
        <v>128</v>
      </c>
      <c r="D724" t="s">
        <v>2091</v>
      </c>
      <c r="F724" t="s">
        <v>2092</v>
      </c>
      <c r="H724" t="s">
        <v>472</v>
      </c>
      <c r="I724" t="s">
        <v>1181</v>
      </c>
      <c r="J724">
        <v>2022</v>
      </c>
      <c r="K724" t="s">
        <v>523</v>
      </c>
      <c r="L724">
        <v>44908</v>
      </c>
      <c r="N724" t="s">
        <v>134</v>
      </c>
      <c r="P724" t="s">
        <v>2093</v>
      </c>
    </row>
    <row r="725" spans="1:16" x14ac:dyDescent="0.2">
      <c r="A725" t="s">
        <v>3373</v>
      </c>
      <c r="C725" t="s">
        <v>128</v>
      </c>
      <c r="D725" t="s">
        <v>2091</v>
      </c>
      <c r="E725" t="s">
        <v>1748</v>
      </c>
      <c r="F725" t="s">
        <v>2914</v>
      </c>
      <c r="G725" t="s">
        <v>3374</v>
      </c>
      <c r="H725" t="s">
        <v>225</v>
      </c>
      <c r="I725" t="s">
        <v>2569</v>
      </c>
      <c r="J725">
        <v>2025</v>
      </c>
      <c r="K725" t="s">
        <v>3048</v>
      </c>
      <c r="N725" t="s">
        <v>597</v>
      </c>
      <c r="P725" t="s">
        <v>3375</v>
      </c>
    </row>
    <row r="726" spans="1:16" x14ac:dyDescent="0.2">
      <c r="A726" t="s">
        <v>2063</v>
      </c>
      <c r="B726" t="s">
        <v>2064</v>
      </c>
      <c r="C726" t="s">
        <v>128</v>
      </c>
      <c r="D726" t="s">
        <v>2065</v>
      </c>
      <c r="G726" t="s">
        <v>2066</v>
      </c>
      <c r="H726" t="s">
        <v>146</v>
      </c>
      <c r="I726" t="s">
        <v>1181</v>
      </c>
      <c r="J726">
        <v>2022</v>
      </c>
      <c r="K726" t="s">
        <v>523</v>
      </c>
      <c r="L726">
        <v>44783</v>
      </c>
      <c r="N726" t="s">
        <v>134</v>
      </c>
      <c r="P726" t="s">
        <v>2067</v>
      </c>
    </row>
    <row r="727" spans="1:16" x14ac:dyDescent="0.2">
      <c r="A727" t="s">
        <v>2752</v>
      </c>
      <c r="B727" t="s">
        <v>2753</v>
      </c>
      <c r="C727" t="s">
        <v>112</v>
      </c>
      <c r="D727" t="s">
        <v>2754</v>
      </c>
      <c r="F727" t="s">
        <v>2755</v>
      </c>
      <c r="H727" t="s">
        <v>2756</v>
      </c>
      <c r="I727" t="s">
        <v>2569</v>
      </c>
      <c r="J727">
        <v>2024</v>
      </c>
      <c r="K727" t="s">
        <v>261</v>
      </c>
      <c r="L727">
        <v>45717</v>
      </c>
      <c r="N727" t="s">
        <v>597</v>
      </c>
      <c r="O727" t="s">
        <v>1353</v>
      </c>
      <c r="P727" t="s">
        <v>3529</v>
      </c>
    </row>
    <row r="728" spans="1:16" x14ac:dyDescent="0.2">
      <c r="A728" t="s">
        <v>3030</v>
      </c>
      <c r="B728" t="s">
        <v>3395</v>
      </c>
      <c r="C728" t="s">
        <v>128</v>
      </c>
      <c r="D728" t="s">
        <v>2754</v>
      </c>
      <c r="F728" t="s">
        <v>3031</v>
      </c>
      <c r="G728" t="s">
        <v>3095</v>
      </c>
      <c r="H728" t="s">
        <v>2756</v>
      </c>
      <c r="I728" t="s">
        <v>2569</v>
      </c>
      <c r="J728">
        <v>2025</v>
      </c>
      <c r="K728" t="s">
        <v>261</v>
      </c>
      <c r="N728" t="s">
        <v>597</v>
      </c>
      <c r="P728" t="s">
        <v>3032</v>
      </c>
    </row>
    <row r="729" spans="1:16" x14ac:dyDescent="0.2">
      <c r="A729" t="s">
        <v>3030</v>
      </c>
      <c r="B729" t="s">
        <v>3396</v>
      </c>
      <c r="C729" t="s">
        <v>128</v>
      </c>
      <c r="D729" t="s">
        <v>2754</v>
      </c>
      <c r="F729" t="s">
        <v>3031</v>
      </c>
      <c r="G729" t="s">
        <v>3096</v>
      </c>
      <c r="H729" t="s">
        <v>2756</v>
      </c>
      <c r="I729" t="s">
        <v>2569</v>
      </c>
      <c r="J729">
        <v>2025</v>
      </c>
      <c r="K729" t="s">
        <v>3088</v>
      </c>
      <c r="N729" t="s">
        <v>134</v>
      </c>
      <c r="P729" t="s">
        <v>3032</v>
      </c>
    </row>
    <row r="730" spans="1:16" x14ac:dyDescent="0.2">
      <c r="A730" t="s">
        <v>3426</v>
      </c>
      <c r="C730" t="s">
        <v>112</v>
      </c>
      <c r="D730" t="s">
        <v>2754</v>
      </c>
      <c r="F730" t="s">
        <v>3358</v>
      </c>
      <c r="G730" t="s">
        <v>2687</v>
      </c>
      <c r="H730" t="s">
        <v>2756</v>
      </c>
      <c r="I730" t="s">
        <v>2569</v>
      </c>
      <c r="J730">
        <v>2025</v>
      </c>
      <c r="K730" t="s">
        <v>3048</v>
      </c>
      <c r="N730" t="s">
        <v>597</v>
      </c>
      <c r="P730" t="s">
        <v>3530</v>
      </c>
    </row>
    <row r="731" spans="1:16" x14ac:dyDescent="0.2">
      <c r="A731" t="s">
        <v>172</v>
      </c>
      <c r="B731" t="s">
        <v>173</v>
      </c>
      <c r="C731" t="s">
        <v>128</v>
      </c>
      <c r="D731" t="s">
        <v>174</v>
      </c>
      <c r="F731" t="s">
        <v>175</v>
      </c>
      <c r="G731" t="s">
        <v>176</v>
      </c>
      <c r="H731" t="s">
        <v>177</v>
      </c>
      <c r="J731">
        <v>2016</v>
      </c>
      <c r="N731" t="s">
        <v>147</v>
      </c>
      <c r="O731" t="s">
        <v>135</v>
      </c>
      <c r="P731" t="s">
        <v>3531</v>
      </c>
    </row>
    <row r="732" spans="1:16" x14ac:dyDescent="0.2">
      <c r="A732" t="s">
        <v>628</v>
      </c>
      <c r="B732" t="s">
        <v>629</v>
      </c>
      <c r="C732" t="s">
        <v>128</v>
      </c>
      <c r="D732" t="s">
        <v>174</v>
      </c>
      <c r="F732" t="s">
        <v>175</v>
      </c>
      <c r="G732" t="s">
        <v>630</v>
      </c>
      <c r="H732" t="s">
        <v>177</v>
      </c>
      <c r="J732">
        <v>2018</v>
      </c>
      <c r="K732" t="s">
        <v>277</v>
      </c>
      <c r="L732">
        <v>43168</v>
      </c>
      <c r="M732" t="s">
        <v>631</v>
      </c>
      <c r="N732" t="s">
        <v>134</v>
      </c>
      <c r="O732" t="s">
        <v>135</v>
      </c>
      <c r="P732" t="s">
        <v>632</v>
      </c>
    </row>
    <row r="733" spans="1:16" x14ac:dyDescent="0.2">
      <c r="A733" t="s">
        <v>2322</v>
      </c>
      <c r="B733" t="s">
        <v>2323</v>
      </c>
      <c r="C733" t="s">
        <v>128</v>
      </c>
      <c r="D733" t="s">
        <v>2324</v>
      </c>
      <c r="E733" t="s">
        <v>2311</v>
      </c>
      <c r="F733" t="s">
        <v>2325</v>
      </c>
      <c r="G733" t="s">
        <v>2326</v>
      </c>
      <c r="H733" t="s">
        <v>177</v>
      </c>
      <c r="I733" t="s">
        <v>1181</v>
      </c>
      <c r="J733">
        <v>2023</v>
      </c>
      <c r="K733" t="s">
        <v>133</v>
      </c>
      <c r="L733">
        <v>45107</v>
      </c>
      <c r="N733" t="s">
        <v>134</v>
      </c>
      <c r="P733" t="s">
        <v>2327</v>
      </c>
    </row>
    <row r="734" spans="1:16" x14ac:dyDescent="0.2">
      <c r="A734" t="s">
        <v>2322</v>
      </c>
      <c r="B734" t="s">
        <v>2328</v>
      </c>
      <c r="C734" t="s">
        <v>128</v>
      </c>
      <c r="D734" t="s">
        <v>2324</v>
      </c>
      <c r="E734" t="s">
        <v>2311</v>
      </c>
      <c r="F734" t="s">
        <v>2325</v>
      </c>
      <c r="G734" t="s">
        <v>2329</v>
      </c>
      <c r="H734" t="s">
        <v>177</v>
      </c>
      <c r="I734" t="s">
        <v>1181</v>
      </c>
      <c r="J734">
        <v>2023</v>
      </c>
      <c r="K734" t="s">
        <v>133</v>
      </c>
      <c r="L734">
        <v>45138</v>
      </c>
      <c r="N734" t="s">
        <v>134</v>
      </c>
      <c r="P734" t="s">
        <v>2327</v>
      </c>
    </row>
    <row r="735" spans="1:16" x14ac:dyDescent="0.2">
      <c r="A735" t="s">
        <v>1147</v>
      </c>
      <c r="B735" t="s">
        <v>1148</v>
      </c>
      <c r="C735" t="s">
        <v>128</v>
      </c>
      <c r="D735" t="s">
        <v>613</v>
      </c>
      <c r="F735" t="s">
        <v>1149</v>
      </c>
      <c r="H735" t="s">
        <v>177</v>
      </c>
      <c r="J735">
        <v>2019</v>
      </c>
      <c r="K735" t="s">
        <v>523</v>
      </c>
      <c r="L735">
        <v>43805</v>
      </c>
      <c r="N735" t="s">
        <v>134</v>
      </c>
      <c r="P735" t="s">
        <v>1150</v>
      </c>
    </row>
    <row r="736" spans="1:16" x14ac:dyDescent="0.2">
      <c r="A736" t="s">
        <v>2023</v>
      </c>
      <c r="B736" t="s">
        <v>2024</v>
      </c>
      <c r="C736" t="s">
        <v>128</v>
      </c>
      <c r="D736" t="s">
        <v>613</v>
      </c>
      <c r="F736" t="s">
        <v>175</v>
      </c>
      <c r="G736" t="s">
        <v>2025</v>
      </c>
      <c r="H736" t="s">
        <v>177</v>
      </c>
      <c r="I736" t="s">
        <v>1181</v>
      </c>
      <c r="J736">
        <v>2022</v>
      </c>
      <c r="K736" t="s">
        <v>523</v>
      </c>
      <c r="L736">
        <v>44774</v>
      </c>
      <c r="N736" t="s">
        <v>134</v>
      </c>
      <c r="P736" t="s">
        <v>2026</v>
      </c>
    </row>
    <row r="737" spans="1:16" x14ac:dyDescent="0.2">
      <c r="A737" t="s">
        <v>2387</v>
      </c>
      <c r="B737" t="s">
        <v>2388</v>
      </c>
      <c r="C737" t="s">
        <v>128</v>
      </c>
      <c r="D737" t="s">
        <v>613</v>
      </c>
      <c r="F737" t="s">
        <v>2325</v>
      </c>
      <c r="G737" t="s">
        <v>2389</v>
      </c>
      <c r="H737" t="s">
        <v>177</v>
      </c>
      <c r="I737" t="s">
        <v>1181</v>
      </c>
      <c r="J737">
        <v>2023</v>
      </c>
      <c r="K737" t="s">
        <v>277</v>
      </c>
      <c r="L737">
        <v>45223</v>
      </c>
      <c r="N737" t="s">
        <v>140</v>
      </c>
      <c r="P737" t="s">
        <v>2390</v>
      </c>
    </row>
    <row r="738" spans="1:16" x14ac:dyDescent="0.2">
      <c r="A738" t="s">
        <v>3089</v>
      </c>
      <c r="B738" t="s">
        <v>3090</v>
      </c>
      <c r="C738" t="s">
        <v>112</v>
      </c>
      <c r="D738" t="s">
        <v>613</v>
      </c>
      <c r="H738" t="s">
        <v>183</v>
      </c>
      <c r="I738" t="s">
        <v>1181</v>
      </c>
      <c r="J738">
        <v>2025</v>
      </c>
      <c r="K738" t="s">
        <v>277</v>
      </c>
      <c r="L738">
        <v>45869</v>
      </c>
      <c r="N738" t="s">
        <v>134</v>
      </c>
      <c r="P738" t="s">
        <v>3532</v>
      </c>
    </row>
    <row r="739" spans="1:16" x14ac:dyDescent="0.2">
      <c r="A739" t="s">
        <v>1945</v>
      </c>
      <c r="B739" t="s">
        <v>1946</v>
      </c>
      <c r="C739" t="s">
        <v>128</v>
      </c>
      <c r="D739" t="s">
        <v>1947</v>
      </c>
      <c r="H739" t="s">
        <v>146</v>
      </c>
      <c r="I739" t="s">
        <v>1181</v>
      </c>
      <c r="J739">
        <v>2021</v>
      </c>
      <c r="K739" t="s">
        <v>133</v>
      </c>
      <c r="L739">
        <v>44645</v>
      </c>
      <c r="N739" t="s">
        <v>134</v>
      </c>
      <c r="P739" t="s">
        <v>1948</v>
      </c>
    </row>
    <row r="740" spans="1:16" x14ac:dyDescent="0.2">
      <c r="A740" t="s">
        <v>3443</v>
      </c>
      <c r="C740" t="s">
        <v>112</v>
      </c>
      <c r="D740" t="s">
        <v>3444</v>
      </c>
      <c r="F740" t="s">
        <v>3445</v>
      </c>
      <c r="G740" t="s">
        <v>3446</v>
      </c>
      <c r="H740" t="s">
        <v>194</v>
      </c>
      <c r="I740" t="s">
        <v>194</v>
      </c>
      <c r="J740">
        <v>2025</v>
      </c>
      <c r="N740" t="s">
        <v>597</v>
      </c>
      <c r="P740" t="s">
        <v>3533</v>
      </c>
    </row>
    <row r="741" spans="1:16" x14ac:dyDescent="0.2">
      <c r="A741" t="s">
        <v>1296</v>
      </c>
      <c r="B741" t="s">
        <v>1297</v>
      </c>
      <c r="C741" t="s">
        <v>128</v>
      </c>
      <c r="D741" t="s">
        <v>211</v>
      </c>
      <c r="F741" t="s">
        <v>1298</v>
      </c>
      <c r="H741" t="s">
        <v>309</v>
      </c>
      <c r="I741" t="s">
        <v>1181</v>
      </c>
      <c r="J741">
        <v>2020</v>
      </c>
      <c r="K741" t="s">
        <v>277</v>
      </c>
      <c r="L741">
        <v>44036</v>
      </c>
      <c r="N741" t="s">
        <v>134</v>
      </c>
      <c r="P741" t="s">
        <v>1299</v>
      </c>
    </row>
    <row r="742" spans="1:16" x14ac:dyDescent="0.2">
      <c r="A742" t="s">
        <v>1787</v>
      </c>
      <c r="B742" t="s">
        <v>1788</v>
      </c>
      <c r="C742" t="s">
        <v>128</v>
      </c>
      <c r="D742" t="s">
        <v>211</v>
      </c>
      <c r="F742" t="s">
        <v>1789</v>
      </c>
      <c r="H742" t="s">
        <v>199</v>
      </c>
      <c r="I742" t="s">
        <v>1181</v>
      </c>
      <c r="J742">
        <v>2021</v>
      </c>
      <c r="K742" t="s">
        <v>277</v>
      </c>
      <c r="L742">
        <v>44475</v>
      </c>
      <c r="N742" t="s">
        <v>134</v>
      </c>
      <c r="P742" t="s">
        <v>1790</v>
      </c>
    </row>
    <row r="743" spans="1:16" x14ac:dyDescent="0.2">
      <c r="A743" t="s">
        <v>1971</v>
      </c>
      <c r="B743" t="s">
        <v>1972</v>
      </c>
      <c r="C743" t="s">
        <v>128</v>
      </c>
      <c r="D743" t="s">
        <v>211</v>
      </c>
      <c r="F743" t="s">
        <v>1973</v>
      </c>
      <c r="H743" t="s">
        <v>199</v>
      </c>
      <c r="I743" t="s">
        <v>1181</v>
      </c>
      <c r="J743">
        <v>2022</v>
      </c>
      <c r="K743" t="s">
        <v>277</v>
      </c>
      <c r="L743">
        <v>44817</v>
      </c>
      <c r="N743" t="s">
        <v>134</v>
      </c>
      <c r="P743" t="s">
        <v>1974</v>
      </c>
    </row>
    <row r="744" spans="1:16" x14ac:dyDescent="0.2">
      <c r="A744" t="s">
        <v>1325</v>
      </c>
      <c r="B744" t="s">
        <v>1326</v>
      </c>
      <c r="C744" t="s">
        <v>128</v>
      </c>
      <c r="D744" t="s">
        <v>1327</v>
      </c>
      <c r="F744" t="s">
        <v>1328</v>
      </c>
      <c r="G744" t="s">
        <v>1329</v>
      </c>
      <c r="H744" t="s">
        <v>199</v>
      </c>
      <c r="I744" t="s">
        <v>1181</v>
      </c>
      <c r="J744">
        <v>2020</v>
      </c>
      <c r="K744" t="s">
        <v>277</v>
      </c>
      <c r="L744">
        <v>43966</v>
      </c>
      <c r="N744" t="s">
        <v>134</v>
      </c>
      <c r="P744" t="s">
        <v>1330</v>
      </c>
    </row>
    <row r="745" spans="1:16" x14ac:dyDescent="0.2">
      <c r="A745" t="s">
        <v>2681</v>
      </c>
      <c r="B745" t="s">
        <v>2682</v>
      </c>
      <c r="C745" t="s">
        <v>128</v>
      </c>
      <c r="D745" t="s">
        <v>1327</v>
      </c>
      <c r="E745" t="s">
        <v>1327</v>
      </c>
      <c r="F745" t="s">
        <v>1973</v>
      </c>
      <c r="G745" t="s">
        <v>2683</v>
      </c>
      <c r="H745" t="s">
        <v>199</v>
      </c>
      <c r="I745" t="s">
        <v>1181</v>
      </c>
      <c r="J745">
        <v>2024</v>
      </c>
      <c r="K745" t="s">
        <v>2332</v>
      </c>
      <c r="L745">
        <v>45565</v>
      </c>
      <c r="N745" t="s">
        <v>134</v>
      </c>
      <c r="P745" t="s">
        <v>2684</v>
      </c>
    </row>
    <row r="746" spans="1:16" x14ac:dyDescent="0.2">
      <c r="A746" t="s">
        <v>2473</v>
      </c>
      <c r="B746" t="s">
        <v>2474</v>
      </c>
      <c r="C746" t="s">
        <v>128</v>
      </c>
      <c r="D746" t="s">
        <v>2475</v>
      </c>
      <c r="F746" t="s">
        <v>2476</v>
      </c>
      <c r="G746" t="s">
        <v>2477</v>
      </c>
      <c r="H746" t="s">
        <v>2478</v>
      </c>
      <c r="I746" t="s">
        <v>1181</v>
      </c>
      <c r="J746">
        <v>2023</v>
      </c>
      <c r="K746" t="s">
        <v>523</v>
      </c>
      <c r="L746">
        <v>45245</v>
      </c>
      <c r="N746" t="s">
        <v>444</v>
      </c>
      <c r="P746" t="s">
        <v>2479</v>
      </c>
    </row>
    <row r="747" spans="1:16" x14ac:dyDescent="0.2">
      <c r="A747" t="s">
        <v>818</v>
      </c>
      <c r="B747" t="s">
        <v>819</v>
      </c>
      <c r="C747" t="s">
        <v>128</v>
      </c>
      <c r="D747" t="s">
        <v>762</v>
      </c>
      <c r="F747" t="s">
        <v>762</v>
      </c>
      <c r="G747" t="s">
        <v>820</v>
      </c>
      <c r="H747" t="s">
        <v>183</v>
      </c>
      <c r="J747">
        <v>2018</v>
      </c>
      <c r="K747" t="s">
        <v>523</v>
      </c>
      <c r="L747">
        <v>43495</v>
      </c>
      <c r="N747" t="s">
        <v>134</v>
      </c>
      <c r="P747" t="s">
        <v>821</v>
      </c>
    </row>
    <row r="748" spans="1:16" x14ac:dyDescent="0.2">
      <c r="A748" t="s">
        <v>1919</v>
      </c>
      <c r="B748" t="s">
        <v>1924</v>
      </c>
      <c r="C748" t="s">
        <v>128</v>
      </c>
      <c r="D748" t="s">
        <v>762</v>
      </c>
      <c r="F748" t="s">
        <v>762</v>
      </c>
      <c r="H748" t="s">
        <v>183</v>
      </c>
      <c r="I748" t="s">
        <v>1181</v>
      </c>
      <c r="J748">
        <v>2022</v>
      </c>
      <c r="K748" t="s">
        <v>523</v>
      </c>
      <c r="L748">
        <v>44781</v>
      </c>
      <c r="N748" t="s">
        <v>134</v>
      </c>
      <c r="P748" t="s">
        <v>1923</v>
      </c>
    </row>
    <row r="749" spans="1:16" x14ac:dyDescent="0.2">
      <c r="A749" t="s">
        <v>1919</v>
      </c>
      <c r="B749" t="s">
        <v>1920</v>
      </c>
      <c r="C749" t="s">
        <v>112</v>
      </c>
      <c r="D749" t="s">
        <v>1921</v>
      </c>
      <c r="F749" t="s">
        <v>762</v>
      </c>
      <c r="G749" t="s">
        <v>1922</v>
      </c>
      <c r="H749" t="s">
        <v>183</v>
      </c>
      <c r="I749" t="s">
        <v>1181</v>
      </c>
      <c r="J749">
        <v>2022</v>
      </c>
      <c r="K749" t="s">
        <v>523</v>
      </c>
      <c r="L749" t="s">
        <v>112</v>
      </c>
      <c r="N749" t="s">
        <v>868</v>
      </c>
      <c r="P749" t="s">
        <v>3534</v>
      </c>
    </row>
    <row r="750" spans="1:16" x14ac:dyDescent="0.2">
      <c r="A750" t="s">
        <v>167</v>
      </c>
      <c r="B750" t="s">
        <v>168</v>
      </c>
      <c r="C750" t="s">
        <v>128</v>
      </c>
      <c r="D750" t="s">
        <v>169</v>
      </c>
      <c r="E750" t="s">
        <v>164</v>
      </c>
      <c r="F750" t="s">
        <v>170</v>
      </c>
      <c r="H750" t="s">
        <v>152</v>
      </c>
      <c r="J750">
        <v>2016</v>
      </c>
      <c r="N750" t="s">
        <v>147</v>
      </c>
      <c r="O750" t="s">
        <v>135</v>
      </c>
      <c r="P750" t="s">
        <v>171</v>
      </c>
    </row>
    <row r="751" spans="1:16" x14ac:dyDescent="0.2">
      <c r="A751" t="s">
        <v>328</v>
      </c>
      <c r="B751" t="s">
        <v>329</v>
      </c>
      <c r="C751" t="s">
        <v>128</v>
      </c>
      <c r="D751" t="s">
        <v>169</v>
      </c>
      <c r="F751" t="s">
        <v>330</v>
      </c>
      <c r="K751" t="s">
        <v>303</v>
      </c>
      <c r="L751">
        <v>42825</v>
      </c>
      <c r="N751" t="s">
        <v>134</v>
      </c>
      <c r="O751" t="s">
        <v>135</v>
      </c>
      <c r="P751" t="s">
        <v>331</v>
      </c>
    </row>
    <row r="752" spans="1:16" x14ac:dyDescent="0.2">
      <c r="A752" t="s">
        <v>435</v>
      </c>
      <c r="B752" t="s">
        <v>436</v>
      </c>
      <c r="C752" t="s">
        <v>128</v>
      </c>
      <c r="D752" t="s">
        <v>169</v>
      </c>
      <c r="F752" t="s">
        <v>164</v>
      </c>
      <c r="H752" t="s">
        <v>152</v>
      </c>
      <c r="J752">
        <v>2017</v>
      </c>
      <c r="K752" t="s">
        <v>221</v>
      </c>
      <c r="L752">
        <v>42947</v>
      </c>
      <c r="N752" t="s">
        <v>134</v>
      </c>
      <c r="O752" t="s">
        <v>135</v>
      </c>
      <c r="P752" t="s">
        <v>437</v>
      </c>
    </row>
    <row r="753" spans="1:16" x14ac:dyDescent="0.2">
      <c r="A753" t="s">
        <v>530</v>
      </c>
      <c r="B753" t="s">
        <v>531</v>
      </c>
      <c r="C753" t="s">
        <v>128</v>
      </c>
      <c r="D753" t="s">
        <v>169</v>
      </c>
      <c r="F753" t="s">
        <v>532</v>
      </c>
      <c r="H753" t="s">
        <v>199</v>
      </c>
      <c r="J753">
        <v>2017</v>
      </c>
      <c r="K753" t="s">
        <v>351</v>
      </c>
      <c r="L753">
        <v>43051</v>
      </c>
      <c r="N753" t="s">
        <v>134</v>
      </c>
      <c r="O753" t="s">
        <v>135</v>
      </c>
      <c r="P753" t="s">
        <v>533</v>
      </c>
    </row>
    <row r="754" spans="1:16" x14ac:dyDescent="0.2">
      <c r="A754" t="s">
        <v>954</v>
      </c>
      <c r="B754" t="s">
        <v>955</v>
      </c>
      <c r="C754" t="s">
        <v>128</v>
      </c>
      <c r="D754" t="s">
        <v>169</v>
      </c>
      <c r="F754" t="s">
        <v>956</v>
      </c>
      <c r="G754" t="s">
        <v>532</v>
      </c>
      <c r="H754" t="s">
        <v>421</v>
      </c>
      <c r="J754">
        <v>2018</v>
      </c>
      <c r="K754" t="s">
        <v>351</v>
      </c>
      <c r="L754">
        <v>43537</v>
      </c>
      <c r="N754" t="s">
        <v>134</v>
      </c>
      <c r="P754" t="s">
        <v>957</v>
      </c>
    </row>
    <row r="755" spans="1:16" x14ac:dyDescent="0.2">
      <c r="A755" t="s">
        <v>1105</v>
      </c>
      <c r="B755" t="s">
        <v>1106</v>
      </c>
      <c r="C755" t="s">
        <v>128</v>
      </c>
      <c r="D755" t="s">
        <v>169</v>
      </c>
      <c r="G755" t="s">
        <v>1107</v>
      </c>
      <c r="H755" t="s">
        <v>152</v>
      </c>
      <c r="J755">
        <v>2019</v>
      </c>
      <c r="K755" t="s">
        <v>351</v>
      </c>
      <c r="L755">
        <v>43732</v>
      </c>
      <c r="N755" t="s">
        <v>134</v>
      </c>
      <c r="O755" t="s">
        <v>135</v>
      </c>
      <c r="P755" t="s">
        <v>1108</v>
      </c>
    </row>
    <row r="756" spans="1:16" x14ac:dyDescent="0.2">
      <c r="A756" t="s">
        <v>1372</v>
      </c>
      <c r="B756" t="s">
        <v>1373</v>
      </c>
      <c r="C756" t="s">
        <v>128</v>
      </c>
      <c r="D756" t="s">
        <v>169</v>
      </c>
      <c r="F756" t="s">
        <v>1374</v>
      </c>
      <c r="H756" t="s">
        <v>132</v>
      </c>
      <c r="I756" t="s">
        <v>1181</v>
      </c>
      <c r="J756">
        <v>2020</v>
      </c>
      <c r="K756" t="s">
        <v>277</v>
      </c>
      <c r="L756">
        <v>44063</v>
      </c>
      <c r="N756" t="s">
        <v>134</v>
      </c>
      <c r="P756" t="s">
        <v>1375</v>
      </c>
    </row>
    <row r="757" spans="1:16" x14ac:dyDescent="0.2">
      <c r="A757" t="s">
        <v>1372</v>
      </c>
      <c r="B757" t="s">
        <v>1376</v>
      </c>
      <c r="C757" t="s">
        <v>112</v>
      </c>
      <c r="D757" t="s">
        <v>169</v>
      </c>
      <c r="F757" t="s">
        <v>1374</v>
      </c>
      <c r="G757" t="s">
        <v>1029</v>
      </c>
      <c r="H757" t="s">
        <v>132</v>
      </c>
      <c r="I757" t="s">
        <v>1181</v>
      </c>
      <c r="K757" t="s">
        <v>277</v>
      </c>
      <c r="N757" t="s">
        <v>140</v>
      </c>
      <c r="P757" t="s">
        <v>3535</v>
      </c>
    </row>
    <row r="758" spans="1:16" x14ac:dyDescent="0.2">
      <c r="A758" t="s">
        <v>1458</v>
      </c>
      <c r="B758" t="s">
        <v>1459</v>
      </c>
      <c r="C758" t="s">
        <v>128</v>
      </c>
      <c r="D758" t="s">
        <v>169</v>
      </c>
      <c r="F758" t="s">
        <v>132</v>
      </c>
      <c r="H758" t="s">
        <v>132</v>
      </c>
      <c r="I758" t="s">
        <v>1181</v>
      </c>
      <c r="J758">
        <v>2020</v>
      </c>
      <c r="K758" t="s">
        <v>261</v>
      </c>
      <c r="L758">
        <v>44163</v>
      </c>
      <c r="N758" t="s">
        <v>134</v>
      </c>
      <c r="O758" t="s">
        <v>135</v>
      </c>
      <c r="P758" t="s">
        <v>1460</v>
      </c>
    </row>
    <row r="759" spans="1:16" x14ac:dyDescent="0.2">
      <c r="A759" t="s">
        <v>1547</v>
      </c>
      <c r="B759" t="s">
        <v>1548</v>
      </c>
      <c r="C759" t="s">
        <v>112</v>
      </c>
      <c r="D759" t="s">
        <v>169</v>
      </c>
      <c r="F759" t="s">
        <v>302</v>
      </c>
      <c r="G759" t="s">
        <v>1549</v>
      </c>
      <c r="H759" t="s">
        <v>421</v>
      </c>
      <c r="I759" t="s">
        <v>1181</v>
      </c>
      <c r="J759">
        <v>2020</v>
      </c>
      <c r="K759" t="s">
        <v>351</v>
      </c>
      <c r="L759">
        <v>43895</v>
      </c>
      <c r="N759" t="s">
        <v>134</v>
      </c>
      <c r="P759" t="s">
        <v>3536</v>
      </c>
    </row>
    <row r="760" spans="1:16" x14ac:dyDescent="0.2">
      <c r="A760" t="s">
        <v>1964</v>
      </c>
      <c r="B760" t="s">
        <v>1965</v>
      </c>
      <c r="C760" t="s">
        <v>128</v>
      </c>
      <c r="D760" t="s">
        <v>169</v>
      </c>
      <c r="F760" t="s">
        <v>302</v>
      </c>
      <c r="G760" t="s">
        <v>1549</v>
      </c>
      <c r="H760" t="s">
        <v>152</v>
      </c>
      <c r="I760" t="s">
        <v>1181</v>
      </c>
      <c r="J760">
        <v>2021</v>
      </c>
      <c r="K760" t="s">
        <v>277</v>
      </c>
      <c r="L760">
        <v>44718</v>
      </c>
      <c r="N760" t="s">
        <v>134</v>
      </c>
      <c r="P760" t="s">
        <v>1966</v>
      </c>
    </row>
    <row r="761" spans="1:16" x14ac:dyDescent="0.2">
      <c r="A761" t="s">
        <v>2043</v>
      </c>
      <c r="B761" t="s">
        <v>2044</v>
      </c>
      <c r="C761" t="s">
        <v>128</v>
      </c>
      <c r="D761" t="s">
        <v>169</v>
      </c>
      <c r="F761" t="s">
        <v>302</v>
      </c>
      <c r="G761" t="s">
        <v>1549</v>
      </c>
      <c r="H761" t="s">
        <v>132</v>
      </c>
      <c r="I761" t="s">
        <v>1181</v>
      </c>
      <c r="J761">
        <v>2022</v>
      </c>
      <c r="K761" t="s">
        <v>277</v>
      </c>
      <c r="L761">
        <v>44789</v>
      </c>
      <c r="N761" t="s">
        <v>134</v>
      </c>
      <c r="P761" t="s">
        <v>2045</v>
      </c>
    </row>
    <row r="762" spans="1:16" x14ac:dyDescent="0.2">
      <c r="A762" t="s">
        <v>2284</v>
      </c>
      <c r="B762" t="s">
        <v>2285</v>
      </c>
      <c r="C762" t="s">
        <v>128</v>
      </c>
      <c r="D762" t="s">
        <v>169</v>
      </c>
      <c r="F762" t="s">
        <v>302</v>
      </c>
      <c r="G762" t="s">
        <v>1549</v>
      </c>
      <c r="H762" t="s">
        <v>199</v>
      </c>
      <c r="I762" t="s">
        <v>1181</v>
      </c>
      <c r="J762">
        <v>2023</v>
      </c>
      <c r="K762" t="s">
        <v>277</v>
      </c>
      <c r="L762">
        <v>45064</v>
      </c>
      <c r="N762" t="s">
        <v>134</v>
      </c>
      <c r="P762" t="s">
        <v>2286</v>
      </c>
    </row>
    <row r="763" spans="1:16" x14ac:dyDescent="0.2">
      <c r="A763" t="s">
        <v>2491</v>
      </c>
      <c r="B763" t="s">
        <v>2492</v>
      </c>
      <c r="C763" t="s">
        <v>128</v>
      </c>
      <c r="D763" t="s">
        <v>169</v>
      </c>
      <c r="I763" t="s">
        <v>1181</v>
      </c>
      <c r="J763">
        <v>2023</v>
      </c>
      <c r="K763" t="s">
        <v>277</v>
      </c>
      <c r="L763">
        <v>45287</v>
      </c>
      <c r="N763" t="s">
        <v>134</v>
      </c>
      <c r="P763" t="s">
        <v>2493</v>
      </c>
    </row>
    <row r="764" spans="1:16" x14ac:dyDescent="0.2">
      <c r="A764" t="s">
        <v>215</v>
      </c>
      <c r="B764" t="s">
        <v>216</v>
      </c>
      <c r="C764" t="s">
        <v>128</v>
      </c>
      <c r="D764" t="s">
        <v>217</v>
      </c>
      <c r="E764" t="s">
        <v>218</v>
      </c>
      <c r="F764" t="s">
        <v>219</v>
      </c>
      <c r="H764" t="s">
        <v>220</v>
      </c>
      <c r="J764">
        <v>2016</v>
      </c>
      <c r="K764" t="s">
        <v>221</v>
      </c>
      <c r="N764" t="s">
        <v>147</v>
      </c>
      <c r="O764" t="s">
        <v>135</v>
      </c>
      <c r="P764" t="s">
        <v>222</v>
      </c>
    </row>
    <row r="765" spans="1:16" x14ac:dyDescent="0.2">
      <c r="A765" t="s">
        <v>223</v>
      </c>
      <c r="C765" t="s">
        <v>128</v>
      </c>
      <c r="D765" t="s">
        <v>217</v>
      </c>
      <c r="E765" t="s">
        <v>129</v>
      </c>
      <c r="F765" t="s">
        <v>224</v>
      </c>
      <c r="H765" t="s">
        <v>225</v>
      </c>
      <c r="J765">
        <v>2016</v>
      </c>
      <c r="M765" t="s">
        <v>226</v>
      </c>
      <c r="N765" t="s">
        <v>147</v>
      </c>
      <c r="O765" t="s">
        <v>135</v>
      </c>
      <c r="P765" t="s">
        <v>227</v>
      </c>
    </row>
    <row r="766" spans="1:16" x14ac:dyDescent="0.2">
      <c r="A766" t="s">
        <v>438</v>
      </c>
      <c r="B766" t="s">
        <v>439</v>
      </c>
      <c r="C766" t="s">
        <v>128</v>
      </c>
      <c r="D766" t="s">
        <v>217</v>
      </c>
      <c r="E766" t="s">
        <v>440</v>
      </c>
      <c r="F766" t="s">
        <v>441</v>
      </c>
      <c r="H766" t="s">
        <v>442</v>
      </c>
      <c r="J766">
        <v>2017</v>
      </c>
      <c r="K766" t="s">
        <v>221</v>
      </c>
      <c r="L766">
        <v>43126</v>
      </c>
      <c r="M766" t="s">
        <v>443</v>
      </c>
      <c r="N766" t="s">
        <v>444</v>
      </c>
      <c r="O766" t="s">
        <v>135</v>
      </c>
      <c r="P766" t="s">
        <v>445</v>
      </c>
    </row>
    <row r="767" spans="1:16" x14ac:dyDescent="0.2">
      <c r="A767" t="s">
        <v>474</v>
      </c>
      <c r="B767" t="s">
        <v>444</v>
      </c>
      <c r="C767" t="s">
        <v>128</v>
      </c>
      <c r="D767" t="s">
        <v>217</v>
      </c>
      <c r="E767" t="s">
        <v>475</v>
      </c>
      <c r="F767" t="s">
        <v>476</v>
      </c>
      <c r="H767" t="s">
        <v>477</v>
      </c>
      <c r="J767">
        <v>2017</v>
      </c>
      <c r="K767" t="s">
        <v>221</v>
      </c>
      <c r="L767">
        <v>43040</v>
      </c>
      <c r="N767" t="s">
        <v>444</v>
      </c>
      <c r="O767" t="s">
        <v>135</v>
      </c>
      <c r="P767" t="s">
        <v>478</v>
      </c>
    </row>
    <row r="768" spans="1:16" x14ac:dyDescent="0.2">
      <c r="A768" t="s">
        <v>534</v>
      </c>
      <c r="B768" t="s">
        <v>444</v>
      </c>
      <c r="C768" t="s">
        <v>128</v>
      </c>
      <c r="D768" t="s">
        <v>217</v>
      </c>
      <c r="E768" t="s">
        <v>535</v>
      </c>
      <c r="F768" t="s">
        <v>536</v>
      </c>
      <c r="H768" t="s">
        <v>225</v>
      </c>
      <c r="J768">
        <v>2017</v>
      </c>
      <c r="K768" t="s">
        <v>221</v>
      </c>
      <c r="L768">
        <v>43008</v>
      </c>
      <c r="N768" t="s">
        <v>134</v>
      </c>
      <c r="O768" t="s">
        <v>135</v>
      </c>
      <c r="P768" t="s">
        <v>537</v>
      </c>
    </row>
    <row r="769" spans="1:16" x14ac:dyDescent="0.2">
      <c r="A769" t="s">
        <v>616</v>
      </c>
      <c r="B769" t="s">
        <v>444</v>
      </c>
      <c r="C769" t="s">
        <v>128</v>
      </c>
      <c r="D769" t="s">
        <v>217</v>
      </c>
      <c r="E769" t="s">
        <v>617</v>
      </c>
      <c r="F769" t="s">
        <v>536</v>
      </c>
      <c r="H769" t="s">
        <v>225</v>
      </c>
      <c r="J769">
        <v>2017</v>
      </c>
      <c r="K769" t="s">
        <v>221</v>
      </c>
      <c r="L769">
        <v>43084</v>
      </c>
      <c r="N769" t="s">
        <v>134</v>
      </c>
      <c r="O769" t="s">
        <v>135</v>
      </c>
      <c r="P769" t="s">
        <v>618</v>
      </c>
    </row>
    <row r="770" spans="1:16" x14ac:dyDescent="0.2">
      <c r="A770" t="s">
        <v>624</v>
      </c>
      <c r="B770" t="s">
        <v>444</v>
      </c>
      <c r="C770" t="s">
        <v>128</v>
      </c>
      <c r="D770" t="s">
        <v>217</v>
      </c>
      <c r="E770" t="s">
        <v>625</v>
      </c>
      <c r="F770" t="s">
        <v>626</v>
      </c>
      <c r="H770" t="s">
        <v>477</v>
      </c>
      <c r="J770">
        <v>2017</v>
      </c>
      <c r="K770" t="s">
        <v>221</v>
      </c>
      <c r="L770">
        <v>43054</v>
      </c>
      <c r="N770" t="s">
        <v>444</v>
      </c>
      <c r="O770" t="s">
        <v>135</v>
      </c>
      <c r="P770" t="s">
        <v>627</v>
      </c>
    </row>
    <row r="771" spans="1:16" x14ac:dyDescent="0.2">
      <c r="A771" t="s">
        <v>667</v>
      </c>
      <c r="B771" t="s">
        <v>444</v>
      </c>
      <c r="C771" t="s">
        <v>128</v>
      </c>
      <c r="D771" t="s">
        <v>217</v>
      </c>
      <c r="E771" t="s">
        <v>440</v>
      </c>
      <c r="F771" t="s">
        <v>668</v>
      </c>
      <c r="H771" t="s">
        <v>146</v>
      </c>
      <c r="J771">
        <v>2018</v>
      </c>
      <c r="K771" t="s">
        <v>221</v>
      </c>
      <c r="L771">
        <v>43190</v>
      </c>
      <c r="N771" t="s">
        <v>444</v>
      </c>
      <c r="O771" t="s">
        <v>135</v>
      </c>
      <c r="P771" t="s">
        <v>669</v>
      </c>
    </row>
    <row r="772" spans="1:16" x14ac:dyDescent="0.2">
      <c r="A772" t="s">
        <v>725</v>
      </c>
      <c r="B772" t="s">
        <v>444</v>
      </c>
      <c r="C772" t="s">
        <v>128</v>
      </c>
      <c r="D772" t="s">
        <v>217</v>
      </c>
      <c r="F772" t="s">
        <v>726</v>
      </c>
      <c r="H772" t="s">
        <v>727</v>
      </c>
      <c r="J772">
        <v>2018</v>
      </c>
      <c r="K772" t="s">
        <v>221</v>
      </c>
      <c r="L772">
        <v>43373</v>
      </c>
      <c r="N772" t="s">
        <v>444</v>
      </c>
      <c r="O772" t="s">
        <v>135</v>
      </c>
      <c r="P772" t="s">
        <v>728</v>
      </c>
    </row>
    <row r="773" spans="1:16" x14ac:dyDescent="0.2">
      <c r="A773" t="s">
        <v>732</v>
      </c>
      <c r="B773" t="s">
        <v>444</v>
      </c>
      <c r="C773" t="s">
        <v>128</v>
      </c>
      <c r="D773" t="s">
        <v>217</v>
      </c>
      <c r="E773" t="s">
        <v>733</v>
      </c>
      <c r="F773" t="s">
        <v>626</v>
      </c>
      <c r="H773" t="s">
        <v>477</v>
      </c>
      <c r="J773">
        <v>2018</v>
      </c>
      <c r="K773" t="s">
        <v>221</v>
      </c>
      <c r="L773">
        <v>43205</v>
      </c>
      <c r="N773" t="s">
        <v>444</v>
      </c>
      <c r="O773" t="s">
        <v>135</v>
      </c>
      <c r="P773" t="s">
        <v>734</v>
      </c>
    </row>
    <row r="774" spans="1:16" x14ac:dyDescent="0.2">
      <c r="A774" t="s">
        <v>735</v>
      </c>
      <c r="B774" t="s">
        <v>722</v>
      </c>
      <c r="C774" t="s">
        <v>128</v>
      </c>
      <c r="D774" t="s">
        <v>217</v>
      </c>
      <c r="E774" t="s">
        <v>440</v>
      </c>
      <c r="F774" t="s">
        <v>723</v>
      </c>
      <c r="H774" t="s">
        <v>541</v>
      </c>
      <c r="J774">
        <v>2018</v>
      </c>
      <c r="K774" t="s">
        <v>221</v>
      </c>
      <c r="L774">
        <v>43190</v>
      </c>
      <c r="N774" t="s">
        <v>444</v>
      </c>
      <c r="O774" t="s">
        <v>135</v>
      </c>
      <c r="P774" t="s">
        <v>736</v>
      </c>
    </row>
    <row r="775" spans="1:16" x14ac:dyDescent="0.2">
      <c r="A775" t="s">
        <v>799</v>
      </c>
      <c r="B775" t="s">
        <v>444</v>
      </c>
      <c r="C775" t="s">
        <v>128</v>
      </c>
      <c r="D775" t="s">
        <v>217</v>
      </c>
      <c r="E775" t="s">
        <v>440</v>
      </c>
      <c r="F775" t="s">
        <v>800</v>
      </c>
      <c r="H775" t="s">
        <v>199</v>
      </c>
      <c r="J775">
        <v>2018</v>
      </c>
      <c r="K775" t="s">
        <v>221</v>
      </c>
      <c r="L775">
        <v>43190</v>
      </c>
      <c r="N775" t="s">
        <v>444</v>
      </c>
      <c r="O775" t="s">
        <v>135</v>
      </c>
      <c r="P775" t="s">
        <v>801</v>
      </c>
    </row>
    <row r="776" spans="1:16" x14ac:dyDescent="0.2">
      <c r="A776" t="s">
        <v>811</v>
      </c>
      <c r="B776" t="s">
        <v>444</v>
      </c>
      <c r="C776" t="s">
        <v>128</v>
      </c>
      <c r="D776" t="s">
        <v>217</v>
      </c>
      <c r="E776" t="s">
        <v>535</v>
      </c>
      <c r="F776" t="s">
        <v>812</v>
      </c>
      <c r="H776" t="s">
        <v>225</v>
      </c>
      <c r="J776">
        <v>2018</v>
      </c>
      <c r="K776" t="s">
        <v>221</v>
      </c>
      <c r="L776">
        <v>43466</v>
      </c>
      <c r="N776" t="s">
        <v>134</v>
      </c>
      <c r="O776" t="s">
        <v>135</v>
      </c>
      <c r="P776" t="s">
        <v>813</v>
      </c>
    </row>
    <row r="777" spans="1:16" x14ac:dyDescent="0.2">
      <c r="A777" t="s">
        <v>886</v>
      </c>
      <c r="B777" t="s">
        <v>444</v>
      </c>
      <c r="C777" t="s">
        <v>128</v>
      </c>
      <c r="D777" t="s">
        <v>217</v>
      </c>
      <c r="E777" t="s">
        <v>535</v>
      </c>
      <c r="F777" t="s">
        <v>812</v>
      </c>
      <c r="G777" t="s">
        <v>887</v>
      </c>
      <c r="H777" t="s">
        <v>225</v>
      </c>
      <c r="J777">
        <v>2018</v>
      </c>
      <c r="K777" t="s">
        <v>221</v>
      </c>
      <c r="L777">
        <v>43496</v>
      </c>
      <c r="N777" t="s">
        <v>444</v>
      </c>
      <c r="O777" t="s">
        <v>135</v>
      </c>
      <c r="P777" t="s">
        <v>888</v>
      </c>
    </row>
    <row r="778" spans="1:16" x14ac:dyDescent="0.2">
      <c r="A778" t="s">
        <v>1211</v>
      </c>
      <c r="C778" t="s">
        <v>128</v>
      </c>
      <c r="D778" t="s">
        <v>217</v>
      </c>
      <c r="E778" t="s">
        <v>440</v>
      </c>
      <c r="F778" t="s">
        <v>895</v>
      </c>
      <c r="G778" t="s">
        <v>1212</v>
      </c>
      <c r="H778" t="s">
        <v>177</v>
      </c>
      <c r="I778" t="s">
        <v>1181</v>
      </c>
      <c r="J778">
        <v>2019</v>
      </c>
      <c r="K778" t="s">
        <v>277</v>
      </c>
      <c r="N778" t="s">
        <v>140</v>
      </c>
      <c r="P778" t="s">
        <v>1213</v>
      </c>
    </row>
    <row r="779" spans="1:16" x14ac:dyDescent="0.2">
      <c r="A779" t="s">
        <v>1247</v>
      </c>
      <c r="B779" t="s">
        <v>444</v>
      </c>
      <c r="C779" t="s">
        <v>128</v>
      </c>
      <c r="D779" t="s">
        <v>217</v>
      </c>
      <c r="E779" t="s">
        <v>535</v>
      </c>
      <c r="F779" t="s">
        <v>1248</v>
      </c>
      <c r="H779" t="s">
        <v>225</v>
      </c>
      <c r="I779" t="s">
        <v>1181</v>
      </c>
      <c r="J779">
        <v>2019</v>
      </c>
      <c r="K779" t="s">
        <v>221</v>
      </c>
      <c r="N779" t="s">
        <v>444</v>
      </c>
      <c r="O779" t="s">
        <v>135</v>
      </c>
      <c r="P779" t="s">
        <v>1249</v>
      </c>
    </row>
    <row r="780" spans="1:16" x14ac:dyDescent="0.2">
      <c r="A780" t="s">
        <v>2380</v>
      </c>
      <c r="B780" t="s">
        <v>2381</v>
      </c>
      <c r="C780" t="s">
        <v>128</v>
      </c>
      <c r="D780" t="s">
        <v>217</v>
      </c>
      <c r="E780" t="s">
        <v>2382</v>
      </c>
      <c r="G780" t="s">
        <v>2383</v>
      </c>
      <c r="H780" t="s">
        <v>2384</v>
      </c>
      <c r="I780" t="s">
        <v>1181</v>
      </c>
      <c r="J780">
        <v>2023</v>
      </c>
      <c r="K780" t="s">
        <v>133</v>
      </c>
      <c r="N780" t="s">
        <v>134</v>
      </c>
      <c r="P780" t="s">
        <v>2385</v>
      </c>
    </row>
    <row r="781" spans="1:16" x14ac:dyDescent="0.2">
      <c r="A781" t="s">
        <v>2380</v>
      </c>
      <c r="B781" t="s">
        <v>2386</v>
      </c>
      <c r="C781" t="s">
        <v>128</v>
      </c>
      <c r="D781" t="s">
        <v>217</v>
      </c>
      <c r="E781" t="s">
        <v>2382</v>
      </c>
      <c r="H781" t="s">
        <v>2384</v>
      </c>
      <c r="I781" t="s">
        <v>1181</v>
      </c>
      <c r="J781">
        <v>2023</v>
      </c>
      <c r="K781" t="s">
        <v>133</v>
      </c>
      <c r="N781" t="s">
        <v>140</v>
      </c>
      <c r="P781" t="s">
        <v>2385</v>
      </c>
    </row>
    <row r="782" spans="1:16" x14ac:dyDescent="0.2">
      <c r="A782" t="s">
        <v>2488</v>
      </c>
      <c r="B782" t="s">
        <v>2381</v>
      </c>
      <c r="C782" t="s">
        <v>128</v>
      </c>
      <c r="D782" t="s">
        <v>217</v>
      </c>
      <c r="E782" t="s">
        <v>2382</v>
      </c>
      <c r="G782" t="s">
        <v>2489</v>
      </c>
      <c r="H782" t="s">
        <v>2384</v>
      </c>
      <c r="I782" t="s">
        <v>1181</v>
      </c>
      <c r="J782">
        <v>2023</v>
      </c>
      <c r="K782" t="s">
        <v>133</v>
      </c>
      <c r="N782" t="s">
        <v>134</v>
      </c>
      <c r="P782" t="s">
        <v>2490</v>
      </c>
    </row>
    <row r="783" spans="1:16" x14ac:dyDescent="0.2">
      <c r="A783" t="s">
        <v>2565</v>
      </c>
      <c r="B783" t="s">
        <v>2566</v>
      </c>
      <c r="C783" t="s">
        <v>128</v>
      </c>
      <c r="D783" t="s">
        <v>217</v>
      </c>
      <c r="E783" t="s">
        <v>2567</v>
      </c>
      <c r="F783" t="s">
        <v>2568</v>
      </c>
      <c r="H783" t="s">
        <v>477</v>
      </c>
      <c r="I783" t="s">
        <v>2569</v>
      </c>
      <c r="J783">
        <v>2024</v>
      </c>
      <c r="K783" t="s">
        <v>2570</v>
      </c>
      <c r="L783">
        <v>45505</v>
      </c>
      <c r="N783" t="s">
        <v>134</v>
      </c>
      <c r="P783" t="s">
        <v>2571</v>
      </c>
    </row>
    <row r="784" spans="1:16" x14ac:dyDescent="0.2">
      <c r="A784" t="s">
        <v>2565</v>
      </c>
      <c r="C784" t="s">
        <v>128</v>
      </c>
      <c r="D784" t="s">
        <v>217</v>
      </c>
      <c r="E784" t="s">
        <v>2567</v>
      </c>
      <c r="F784" t="s">
        <v>2568</v>
      </c>
      <c r="G784" t="s">
        <v>2572</v>
      </c>
      <c r="H784" t="s">
        <v>477</v>
      </c>
      <c r="I784" t="s">
        <v>2569</v>
      </c>
      <c r="J784">
        <v>2024</v>
      </c>
      <c r="K784" t="s">
        <v>2570</v>
      </c>
      <c r="N784" t="s">
        <v>134</v>
      </c>
      <c r="P784" t="s">
        <v>2571</v>
      </c>
    </row>
    <row r="785" spans="1:16" x14ac:dyDescent="0.2">
      <c r="A785" t="s">
        <v>2600</v>
      </c>
      <c r="B785" t="s">
        <v>2601</v>
      </c>
      <c r="C785" t="s">
        <v>128</v>
      </c>
      <c r="D785" t="s">
        <v>217</v>
      </c>
      <c r="E785" t="s">
        <v>2602</v>
      </c>
      <c r="F785" t="s">
        <v>2603</v>
      </c>
      <c r="H785" t="s">
        <v>225</v>
      </c>
      <c r="I785" t="s">
        <v>1181</v>
      </c>
      <c r="J785">
        <v>2024</v>
      </c>
      <c r="K785" t="s">
        <v>112</v>
      </c>
      <c r="N785" t="s">
        <v>444</v>
      </c>
      <c r="P785" t="s">
        <v>3227</v>
      </c>
    </row>
    <row r="786" spans="1:16" x14ac:dyDescent="0.2">
      <c r="A786" t="s">
        <v>2850</v>
      </c>
      <c r="C786" t="s">
        <v>128</v>
      </c>
      <c r="D786" t="s">
        <v>2851</v>
      </c>
      <c r="F786" t="s">
        <v>2852</v>
      </c>
      <c r="H786" t="s">
        <v>194</v>
      </c>
      <c r="I786" t="s">
        <v>194</v>
      </c>
      <c r="J786">
        <v>2024</v>
      </c>
      <c r="K786" t="s">
        <v>2570</v>
      </c>
      <c r="L786">
        <v>45446</v>
      </c>
      <c r="N786" t="s">
        <v>597</v>
      </c>
      <c r="O786" t="s">
        <v>2936</v>
      </c>
      <c r="P786" t="s">
        <v>2853</v>
      </c>
    </row>
    <row r="787" spans="1:16" x14ac:dyDescent="0.2">
      <c r="A787" t="s">
        <v>2854</v>
      </c>
      <c r="C787" t="s">
        <v>128</v>
      </c>
      <c r="D787" t="s">
        <v>2851</v>
      </c>
      <c r="F787" t="s">
        <v>2855</v>
      </c>
      <c r="H787" t="s">
        <v>194</v>
      </c>
      <c r="I787" t="s">
        <v>194</v>
      </c>
      <c r="J787">
        <v>2024</v>
      </c>
      <c r="K787" t="s">
        <v>2570</v>
      </c>
      <c r="L787">
        <v>45369</v>
      </c>
      <c r="N787" t="s">
        <v>597</v>
      </c>
      <c r="O787" t="s">
        <v>2936</v>
      </c>
      <c r="P787" t="s">
        <v>2856</v>
      </c>
    </row>
    <row r="788" spans="1:16" x14ac:dyDescent="0.2">
      <c r="A788" t="s">
        <v>2857</v>
      </c>
      <c r="C788" t="s">
        <v>128</v>
      </c>
      <c r="D788" t="s">
        <v>2851</v>
      </c>
      <c r="F788" t="s">
        <v>2858</v>
      </c>
      <c r="H788" t="s">
        <v>194</v>
      </c>
      <c r="I788" t="s">
        <v>194</v>
      </c>
      <c r="J788">
        <v>2024</v>
      </c>
      <c r="K788" t="s">
        <v>2570</v>
      </c>
      <c r="L788">
        <v>45355</v>
      </c>
      <c r="N788" t="s">
        <v>597</v>
      </c>
      <c r="O788" t="s">
        <v>2936</v>
      </c>
      <c r="P788" t="s">
        <v>2859</v>
      </c>
    </row>
    <row r="789" spans="1:16" x14ac:dyDescent="0.2">
      <c r="A789" t="s">
        <v>2860</v>
      </c>
      <c r="C789" t="s">
        <v>128</v>
      </c>
      <c r="D789" t="s">
        <v>2851</v>
      </c>
      <c r="F789" t="s">
        <v>2861</v>
      </c>
      <c r="H789" t="s">
        <v>194</v>
      </c>
      <c r="I789" t="s">
        <v>194</v>
      </c>
      <c r="J789">
        <v>2024</v>
      </c>
      <c r="K789" t="s">
        <v>2570</v>
      </c>
      <c r="L789">
        <v>45392</v>
      </c>
      <c r="N789" t="s">
        <v>597</v>
      </c>
      <c r="O789" t="s">
        <v>2936</v>
      </c>
      <c r="P789" t="s">
        <v>2862</v>
      </c>
    </row>
    <row r="790" spans="1:16" x14ac:dyDescent="0.2">
      <c r="A790" t="s">
        <v>1004</v>
      </c>
      <c r="B790" t="s">
        <v>1005</v>
      </c>
      <c r="C790" t="s">
        <v>128</v>
      </c>
      <c r="D790" t="s">
        <v>1006</v>
      </c>
      <c r="E790" t="s">
        <v>497</v>
      </c>
      <c r="F790" t="s">
        <v>1007</v>
      </c>
      <c r="H790" t="s">
        <v>320</v>
      </c>
      <c r="J790">
        <v>2019</v>
      </c>
      <c r="K790" t="s">
        <v>221</v>
      </c>
      <c r="L790">
        <v>43605</v>
      </c>
      <c r="N790" t="s">
        <v>134</v>
      </c>
      <c r="O790" t="s">
        <v>135</v>
      </c>
      <c r="P790" t="s">
        <v>1008</v>
      </c>
    </row>
    <row r="791" spans="1:16" x14ac:dyDescent="0.2">
      <c r="A791" t="s">
        <v>1197</v>
      </c>
      <c r="B791" t="s">
        <v>1005</v>
      </c>
      <c r="C791" t="s">
        <v>128</v>
      </c>
      <c r="D791" t="s">
        <v>1006</v>
      </c>
      <c r="E791" t="s">
        <v>497</v>
      </c>
      <c r="F791" t="s">
        <v>1198</v>
      </c>
      <c r="H791" t="s">
        <v>392</v>
      </c>
      <c r="I791" t="s">
        <v>1181</v>
      </c>
      <c r="J791">
        <v>2019</v>
      </c>
      <c r="K791" t="s">
        <v>221</v>
      </c>
      <c r="N791" t="s">
        <v>134</v>
      </c>
      <c r="O791" t="s">
        <v>135</v>
      </c>
      <c r="P791" t="s">
        <v>1199</v>
      </c>
    </row>
    <row r="792" spans="1:16" x14ac:dyDescent="0.2">
      <c r="A792" t="s">
        <v>2068</v>
      </c>
      <c r="B792" t="s">
        <v>2069</v>
      </c>
      <c r="C792" t="s">
        <v>128</v>
      </c>
      <c r="D792" t="s">
        <v>1006</v>
      </c>
      <c r="F792" t="s">
        <v>2070</v>
      </c>
      <c r="H792" t="s">
        <v>783</v>
      </c>
      <c r="I792" t="s">
        <v>1181</v>
      </c>
      <c r="J792">
        <v>2022</v>
      </c>
      <c r="K792" t="s">
        <v>221</v>
      </c>
      <c r="L792">
        <v>44767</v>
      </c>
      <c r="N792" t="s">
        <v>140</v>
      </c>
      <c r="P792" t="s">
        <v>2071</v>
      </c>
    </row>
    <row r="793" spans="1:16" x14ac:dyDescent="0.2">
      <c r="A793" t="s">
        <v>2068</v>
      </c>
      <c r="B793" t="s">
        <v>2072</v>
      </c>
      <c r="C793" t="s">
        <v>128</v>
      </c>
      <c r="D793" t="s">
        <v>1006</v>
      </c>
      <c r="F793" t="s">
        <v>2070</v>
      </c>
      <c r="H793" t="s">
        <v>783</v>
      </c>
      <c r="I793" t="s">
        <v>1181</v>
      </c>
      <c r="J793">
        <v>2022</v>
      </c>
      <c r="K793" t="s">
        <v>221</v>
      </c>
      <c r="L793">
        <v>44767</v>
      </c>
      <c r="N793" t="s">
        <v>134</v>
      </c>
      <c r="O793" t="s">
        <v>135</v>
      </c>
      <c r="P793" t="s">
        <v>2071</v>
      </c>
    </row>
    <row r="794" spans="1:16" x14ac:dyDescent="0.2">
      <c r="A794" t="s">
        <v>2015</v>
      </c>
      <c r="B794" t="s">
        <v>2016</v>
      </c>
      <c r="C794" t="s">
        <v>128</v>
      </c>
      <c r="D794" t="s">
        <v>2017</v>
      </c>
      <c r="F794" t="s">
        <v>2018</v>
      </c>
      <c r="H794" t="s">
        <v>392</v>
      </c>
      <c r="I794" t="s">
        <v>1181</v>
      </c>
      <c r="J794">
        <v>2021</v>
      </c>
      <c r="K794" t="s">
        <v>277</v>
      </c>
      <c r="L794">
        <v>44690</v>
      </c>
      <c r="N794" t="s">
        <v>134</v>
      </c>
      <c r="P794" t="s">
        <v>2019</v>
      </c>
    </row>
    <row r="795" spans="1:16" x14ac:dyDescent="0.2">
      <c r="A795" t="s">
        <v>3414</v>
      </c>
      <c r="C795" t="s">
        <v>112</v>
      </c>
      <c r="D795" t="s">
        <v>3415</v>
      </c>
      <c r="F795" t="s">
        <v>2157</v>
      </c>
      <c r="G795" t="s">
        <v>3416</v>
      </c>
      <c r="H795" t="s">
        <v>225</v>
      </c>
      <c r="I795" t="s">
        <v>2569</v>
      </c>
      <c r="J795">
        <v>2025</v>
      </c>
      <c r="K795" t="s">
        <v>3417</v>
      </c>
      <c r="N795" t="s">
        <v>597</v>
      </c>
      <c r="P795" t="s">
        <v>3537</v>
      </c>
    </row>
    <row r="796" spans="1:16" x14ac:dyDescent="0.2">
      <c r="A796" t="s">
        <v>663</v>
      </c>
      <c r="B796" t="s">
        <v>664</v>
      </c>
      <c r="C796" t="s">
        <v>128</v>
      </c>
      <c r="D796" t="s">
        <v>440</v>
      </c>
      <c r="E796" t="s">
        <v>324</v>
      </c>
      <c r="F796" t="s">
        <v>504</v>
      </c>
      <c r="G796" t="s">
        <v>665</v>
      </c>
      <c r="H796" t="s">
        <v>146</v>
      </c>
      <c r="J796">
        <v>2018</v>
      </c>
      <c r="K796" t="s">
        <v>221</v>
      </c>
      <c r="L796">
        <v>43221</v>
      </c>
      <c r="M796" t="s">
        <v>443</v>
      </c>
      <c r="N796" t="s">
        <v>140</v>
      </c>
      <c r="O796" t="s">
        <v>135</v>
      </c>
      <c r="P796" t="s">
        <v>666</v>
      </c>
    </row>
    <row r="797" spans="1:16" x14ac:dyDescent="0.2">
      <c r="A797" t="s">
        <v>721</v>
      </c>
      <c r="B797" t="s">
        <v>722</v>
      </c>
      <c r="C797" t="s">
        <v>128</v>
      </c>
      <c r="D797" t="s">
        <v>440</v>
      </c>
      <c r="F797" t="s">
        <v>723</v>
      </c>
      <c r="H797" t="s">
        <v>541</v>
      </c>
      <c r="J797">
        <v>2018</v>
      </c>
      <c r="K797" t="s">
        <v>221</v>
      </c>
      <c r="L797">
        <v>43245</v>
      </c>
      <c r="N797" t="s">
        <v>444</v>
      </c>
      <c r="O797" t="s">
        <v>135</v>
      </c>
      <c r="P797" t="s">
        <v>724</v>
      </c>
    </row>
    <row r="798" spans="1:16" x14ac:dyDescent="0.2">
      <c r="A798" t="s">
        <v>737</v>
      </c>
      <c r="B798" t="s">
        <v>738</v>
      </c>
      <c r="C798" t="s">
        <v>128</v>
      </c>
      <c r="D798" t="s">
        <v>440</v>
      </c>
      <c r="E798" t="s">
        <v>420</v>
      </c>
      <c r="F798" t="s">
        <v>680</v>
      </c>
      <c r="H798" t="s">
        <v>421</v>
      </c>
      <c r="J798">
        <v>2018</v>
      </c>
      <c r="K798" t="s">
        <v>221</v>
      </c>
      <c r="L798">
        <v>43259</v>
      </c>
      <c r="N798" t="s">
        <v>444</v>
      </c>
      <c r="O798" t="s">
        <v>135</v>
      </c>
      <c r="P798" t="s">
        <v>739</v>
      </c>
    </row>
    <row r="799" spans="1:16" x14ac:dyDescent="0.2">
      <c r="A799" t="s">
        <v>828</v>
      </c>
      <c r="B799" t="s">
        <v>829</v>
      </c>
      <c r="C799" t="s">
        <v>128</v>
      </c>
      <c r="D799" t="s">
        <v>440</v>
      </c>
      <c r="F799" t="s">
        <v>830</v>
      </c>
      <c r="G799" t="s">
        <v>831</v>
      </c>
      <c r="H799" t="s">
        <v>152</v>
      </c>
      <c r="J799">
        <v>2018</v>
      </c>
      <c r="K799" t="s">
        <v>221</v>
      </c>
      <c r="L799">
        <v>43378</v>
      </c>
      <c r="N799" t="s">
        <v>140</v>
      </c>
      <c r="O799" t="s">
        <v>135</v>
      </c>
      <c r="P799" t="s">
        <v>832</v>
      </c>
    </row>
    <row r="800" spans="1:16" x14ac:dyDescent="0.2">
      <c r="A800" t="s">
        <v>893</v>
      </c>
      <c r="B800" t="s">
        <v>894</v>
      </c>
      <c r="C800" t="s">
        <v>128</v>
      </c>
      <c r="D800" t="s">
        <v>440</v>
      </c>
      <c r="E800" t="s">
        <v>174</v>
      </c>
      <c r="F800" t="s">
        <v>895</v>
      </c>
      <c r="G800" t="s">
        <v>896</v>
      </c>
      <c r="J800">
        <v>2018</v>
      </c>
      <c r="K800" t="s">
        <v>261</v>
      </c>
      <c r="L800">
        <v>43585</v>
      </c>
      <c r="N800" t="s">
        <v>134</v>
      </c>
      <c r="O800" t="s">
        <v>135</v>
      </c>
      <c r="P800" t="s">
        <v>897</v>
      </c>
    </row>
    <row r="801" spans="1:16" x14ac:dyDescent="0.2">
      <c r="A801" t="s">
        <v>893</v>
      </c>
      <c r="B801" t="s">
        <v>898</v>
      </c>
      <c r="C801" t="s">
        <v>128</v>
      </c>
      <c r="D801" t="s">
        <v>440</v>
      </c>
      <c r="E801" t="s">
        <v>174</v>
      </c>
      <c r="F801" t="s">
        <v>895</v>
      </c>
      <c r="G801" t="s">
        <v>899</v>
      </c>
      <c r="J801">
        <v>2018</v>
      </c>
      <c r="K801" t="s">
        <v>261</v>
      </c>
      <c r="L801">
        <v>43444</v>
      </c>
      <c r="N801" t="s">
        <v>140</v>
      </c>
      <c r="O801" t="s">
        <v>135</v>
      </c>
      <c r="P801" t="s">
        <v>897</v>
      </c>
    </row>
    <row r="802" spans="1:16" x14ac:dyDescent="0.2">
      <c r="A802" t="s">
        <v>964</v>
      </c>
      <c r="B802" t="s">
        <v>965</v>
      </c>
      <c r="C802" t="s">
        <v>128</v>
      </c>
      <c r="D802" t="s">
        <v>440</v>
      </c>
      <c r="F802" t="s">
        <v>441</v>
      </c>
      <c r="G802" t="s">
        <v>966</v>
      </c>
      <c r="H802" t="s">
        <v>442</v>
      </c>
      <c r="J802">
        <v>2018</v>
      </c>
      <c r="K802" t="s">
        <v>221</v>
      </c>
      <c r="L802">
        <v>43600</v>
      </c>
      <c r="N802" t="s">
        <v>140</v>
      </c>
      <c r="O802" t="s">
        <v>135</v>
      </c>
      <c r="P802" t="s">
        <v>967</v>
      </c>
    </row>
    <row r="803" spans="1:16" x14ac:dyDescent="0.2">
      <c r="A803" t="s">
        <v>1045</v>
      </c>
      <c r="B803" t="s">
        <v>1046</v>
      </c>
      <c r="C803" t="s">
        <v>128</v>
      </c>
      <c r="D803" t="s">
        <v>440</v>
      </c>
      <c r="F803" t="s">
        <v>1047</v>
      </c>
      <c r="G803" t="s">
        <v>966</v>
      </c>
      <c r="H803" t="s">
        <v>442</v>
      </c>
      <c r="J803">
        <v>2019</v>
      </c>
      <c r="K803" t="s">
        <v>221</v>
      </c>
      <c r="L803">
        <v>43678</v>
      </c>
      <c r="N803" t="s">
        <v>140</v>
      </c>
      <c r="O803" t="s">
        <v>135</v>
      </c>
      <c r="P803" t="s">
        <v>1048</v>
      </c>
    </row>
    <row r="804" spans="1:16" x14ac:dyDescent="0.2">
      <c r="A804" t="s">
        <v>1089</v>
      </c>
      <c r="B804" t="s">
        <v>1090</v>
      </c>
      <c r="C804" t="s">
        <v>128</v>
      </c>
      <c r="D804" t="s">
        <v>440</v>
      </c>
      <c r="F804" t="s">
        <v>1091</v>
      </c>
      <c r="G804" t="s">
        <v>1092</v>
      </c>
      <c r="H804" t="s">
        <v>442</v>
      </c>
      <c r="J804">
        <v>2019</v>
      </c>
      <c r="K804" t="s">
        <v>221</v>
      </c>
      <c r="L804">
        <v>43748</v>
      </c>
      <c r="M804" t="s">
        <v>1093</v>
      </c>
      <c r="N804" t="s">
        <v>134</v>
      </c>
      <c r="O804" t="s">
        <v>135</v>
      </c>
      <c r="P804" t="s">
        <v>1094</v>
      </c>
    </row>
    <row r="805" spans="1:16" x14ac:dyDescent="0.2">
      <c r="A805" t="s">
        <v>1214</v>
      </c>
      <c r="B805" t="s">
        <v>1215</v>
      </c>
      <c r="C805" t="s">
        <v>128</v>
      </c>
      <c r="D805" t="s">
        <v>440</v>
      </c>
      <c r="E805" t="s">
        <v>440</v>
      </c>
      <c r="F805" t="s">
        <v>1216</v>
      </c>
      <c r="G805" t="s">
        <v>1217</v>
      </c>
      <c r="H805" t="s">
        <v>767</v>
      </c>
      <c r="I805" t="s">
        <v>1181</v>
      </c>
      <c r="J805">
        <v>2019</v>
      </c>
      <c r="K805" t="s">
        <v>277</v>
      </c>
      <c r="L805">
        <v>43830</v>
      </c>
      <c r="M805" t="s">
        <v>1218</v>
      </c>
      <c r="N805" t="s">
        <v>140</v>
      </c>
      <c r="P805" t="s">
        <v>1219</v>
      </c>
    </row>
    <row r="806" spans="1:16" x14ac:dyDescent="0.2">
      <c r="A806" t="s">
        <v>1428</v>
      </c>
      <c r="B806" t="s">
        <v>1429</v>
      </c>
      <c r="C806" t="s">
        <v>128</v>
      </c>
      <c r="D806" t="s">
        <v>440</v>
      </c>
      <c r="F806" t="s">
        <v>1430</v>
      </c>
      <c r="G806" t="s">
        <v>1431</v>
      </c>
      <c r="H806" t="s">
        <v>1113</v>
      </c>
      <c r="I806" t="s">
        <v>1181</v>
      </c>
      <c r="J806">
        <v>2020</v>
      </c>
      <c r="K806" t="s">
        <v>277</v>
      </c>
      <c r="M806" t="s">
        <v>1432</v>
      </c>
      <c r="N806" t="s">
        <v>134</v>
      </c>
      <c r="P806" t="s">
        <v>1433</v>
      </c>
    </row>
    <row r="807" spans="1:16" x14ac:dyDescent="0.2">
      <c r="A807" t="s">
        <v>1450</v>
      </c>
      <c r="B807" t="s">
        <v>1451</v>
      </c>
      <c r="C807" t="s">
        <v>128</v>
      </c>
      <c r="D807" t="s">
        <v>440</v>
      </c>
      <c r="G807" t="s">
        <v>1452</v>
      </c>
      <c r="H807" t="s">
        <v>309</v>
      </c>
      <c r="I807" t="s">
        <v>1181</v>
      </c>
      <c r="J807">
        <v>2020</v>
      </c>
      <c r="K807" t="s">
        <v>277</v>
      </c>
      <c r="N807" t="s">
        <v>140</v>
      </c>
      <c r="P807" t="s">
        <v>1453</v>
      </c>
    </row>
    <row r="808" spans="1:16" x14ac:dyDescent="0.2">
      <c r="A808" t="s">
        <v>1482</v>
      </c>
      <c r="B808" t="s">
        <v>1483</v>
      </c>
      <c r="C808" t="s">
        <v>128</v>
      </c>
      <c r="D808" t="s">
        <v>440</v>
      </c>
      <c r="E808" t="s">
        <v>1484</v>
      </c>
      <c r="H808" t="s">
        <v>442</v>
      </c>
      <c r="I808" t="s">
        <v>1181</v>
      </c>
      <c r="J808">
        <v>2020</v>
      </c>
      <c r="K808" t="s">
        <v>277</v>
      </c>
      <c r="L808">
        <v>44211</v>
      </c>
      <c r="N808" t="s">
        <v>444</v>
      </c>
      <c r="P808" t="s">
        <v>1485</v>
      </c>
    </row>
    <row r="809" spans="1:16" x14ac:dyDescent="0.2">
      <c r="A809" t="s">
        <v>1486</v>
      </c>
      <c r="B809" t="s">
        <v>1487</v>
      </c>
      <c r="C809" t="s">
        <v>128</v>
      </c>
      <c r="D809" t="s">
        <v>440</v>
      </c>
      <c r="E809" t="s">
        <v>1488</v>
      </c>
      <c r="H809" t="s">
        <v>1238</v>
      </c>
      <c r="I809" t="s">
        <v>1181</v>
      </c>
      <c r="J809">
        <v>2020</v>
      </c>
      <c r="K809" t="s">
        <v>277</v>
      </c>
      <c r="L809">
        <v>44242</v>
      </c>
      <c r="N809" t="s">
        <v>444</v>
      </c>
      <c r="P809" t="s">
        <v>1489</v>
      </c>
    </row>
    <row r="810" spans="1:16" x14ac:dyDescent="0.2">
      <c r="A810" t="s">
        <v>1666</v>
      </c>
      <c r="B810" t="s">
        <v>1667</v>
      </c>
      <c r="C810" t="s">
        <v>128</v>
      </c>
      <c r="D810" t="s">
        <v>440</v>
      </c>
      <c r="E810" t="s">
        <v>1668</v>
      </c>
      <c r="F810" t="s">
        <v>1668</v>
      </c>
      <c r="H810" t="s">
        <v>472</v>
      </c>
      <c r="I810" t="s">
        <v>1181</v>
      </c>
      <c r="J810">
        <v>2021</v>
      </c>
      <c r="K810" t="s">
        <v>351</v>
      </c>
      <c r="L810">
        <v>44323</v>
      </c>
      <c r="N810" t="s">
        <v>134</v>
      </c>
      <c r="P810" t="s">
        <v>1669</v>
      </c>
    </row>
    <row r="811" spans="1:16" x14ac:dyDescent="0.2">
      <c r="A811" t="s">
        <v>2055</v>
      </c>
      <c r="B811" t="s">
        <v>2056</v>
      </c>
      <c r="C811" t="s">
        <v>128</v>
      </c>
      <c r="D811" t="s">
        <v>440</v>
      </c>
      <c r="F811" t="s">
        <v>2057</v>
      </c>
      <c r="H811" t="s">
        <v>2058</v>
      </c>
      <c r="I811" t="s">
        <v>1181</v>
      </c>
      <c r="J811">
        <v>2022</v>
      </c>
      <c r="K811" t="s">
        <v>221</v>
      </c>
      <c r="L811">
        <v>44823</v>
      </c>
      <c r="N811" t="s">
        <v>134</v>
      </c>
      <c r="O811" t="s">
        <v>135</v>
      </c>
      <c r="P811" t="s">
        <v>2059</v>
      </c>
    </row>
    <row r="812" spans="1:16" x14ac:dyDescent="0.2">
      <c r="A812" t="s">
        <v>2098</v>
      </c>
      <c r="B812" t="s">
        <v>2099</v>
      </c>
      <c r="C812" t="s">
        <v>128</v>
      </c>
      <c r="D812" t="s">
        <v>440</v>
      </c>
      <c r="E812" t="s">
        <v>324</v>
      </c>
      <c r="F812" t="s">
        <v>1720</v>
      </c>
      <c r="H812" t="s">
        <v>146</v>
      </c>
      <c r="I812" t="s">
        <v>1181</v>
      </c>
      <c r="J812">
        <v>2022</v>
      </c>
      <c r="K812" t="s">
        <v>221</v>
      </c>
      <c r="L812">
        <v>44910</v>
      </c>
      <c r="N812" t="s">
        <v>134</v>
      </c>
      <c r="O812" t="s">
        <v>135</v>
      </c>
      <c r="P812" t="s">
        <v>2100</v>
      </c>
    </row>
    <row r="813" spans="1:16" x14ac:dyDescent="0.2">
      <c r="A813" t="s">
        <v>2181</v>
      </c>
      <c r="B813" t="s">
        <v>2182</v>
      </c>
      <c r="C813" t="s">
        <v>128</v>
      </c>
      <c r="D813" t="s">
        <v>440</v>
      </c>
      <c r="F813" t="s">
        <v>2183</v>
      </c>
      <c r="H813" t="s">
        <v>309</v>
      </c>
      <c r="I813" t="s">
        <v>1181</v>
      </c>
      <c r="J813">
        <v>2022</v>
      </c>
      <c r="K813" t="s">
        <v>221</v>
      </c>
      <c r="N813" t="s">
        <v>134</v>
      </c>
      <c r="O813" t="s">
        <v>135</v>
      </c>
      <c r="P813" t="s">
        <v>2184</v>
      </c>
    </row>
    <row r="814" spans="1:16" x14ac:dyDescent="0.2">
      <c r="A814" t="s">
        <v>2181</v>
      </c>
      <c r="B814" t="s">
        <v>2185</v>
      </c>
      <c r="C814" t="s">
        <v>128</v>
      </c>
      <c r="D814" t="s">
        <v>440</v>
      </c>
      <c r="F814" t="s">
        <v>2183</v>
      </c>
      <c r="G814" t="s">
        <v>2186</v>
      </c>
      <c r="H814" t="s">
        <v>309</v>
      </c>
      <c r="I814" t="s">
        <v>1181</v>
      </c>
      <c r="J814">
        <v>2022</v>
      </c>
      <c r="K814" t="s">
        <v>221</v>
      </c>
      <c r="L814">
        <v>45212</v>
      </c>
      <c r="N814" t="s">
        <v>140</v>
      </c>
      <c r="P814" t="s">
        <v>2184</v>
      </c>
    </row>
    <row r="815" spans="1:16" x14ac:dyDescent="0.2">
      <c r="A815" t="s">
        <v>2181</v>
      </c>
      <c r="B815" t="s">
        <v>2187</v>
      </c>
      <c r="C815" t="s">
        <v>128</v>
      </c>
      <c r="D815" t="s">
        <v>440</v>
      </c>
      <c r="F815" t="s">
        <v>2183</v>
      </c>
      <c r="G815" t="s">
        <v>2188</v>
      </c>
      <c r="H815" t="s">
        <v>309</v>
      </c>
      <c r="I815" t="s">
        <v>1181</v>
      </c>
      <c r="J815">
        <v>2022</v>
      </c>
      <c r="K815" t="s">
        <v>221</v>
      </c>
      <c r="L815">
        <v>45212</v>
      </c>
      <c r="N815" t="s">
        <v>140</v>
      </c>
      <c r="P815" t="s">
        <v>2184</v>
      </c>
    </row>
    <row r="816" spans="1:16" x14ac:dyDescent="0.2">
      <c r="A816" t="s">
        <v>2181</v>
      </c>
      <c r="B816" t="s">
        <v>2189</v>
      </c>
      <c r="C816" t="s">
        <v>128</v>
      </c>
      <c r="D816" t="s">
        <v>440</v>
      </c>
      <c r="F816" t="s">
        <v>2183</v>
      </c>
      <c r="G816" t="s">
        <v>2190</v>
      </c>
      <c r="H816" t="s">
        <v>309</v>
      </c>
      <c r="I816" t="s">
        <v>1181</v>
      </c>
      <c r="J816">
        <v>2022</v>
      </c>
      <c r="K816" t="s">
        <v>221</v>
      </c>
      <c r="L816">
        <v>45212</v>
      </c>
      <c r="N816" t="s">
        <v>140</v>
      </c>
      <c r="P816" t="s">
        <v>2184</v>
      </c>
    </row>
    <row r="817" spans="1:19" x14ac:dyDescent="0.2">
      <c r="A817" t="s">
        <v>2181</v>
      </c>
      <c r="B817" t="s">
        <v>2191</v>
      </c>
      <c r="C817" t="s">
        <v>112</v>
      </c>
      <c r="D817" t="s">
        <v>440</v>
      </c>
      <c r="F817" t="s">
        <v>2183</v>
      </c>
      <c r="G817" t="s">
        <v>2192</v>
      </c>
      <c r="H817" t="s">
        <v>309</v>
      </c>
      <c r="I817" t="s">
        <v>1181</v>
      </c>
      <c r="J817">
        <v>2024</v>
      </c>
      <c r="K817" t="s">
        <v>277</v>
      </c>
      <c r="L817">
        <v>45390</v>
      </c>
      <c r="N817" t="s">
        <v>140</v>
      </c>
      <c r="P817" t="s">
        <v>3246</v>
      </c>
      <c r="Q817" t="s">
        <v>3246</v>
      </c>
      <c r="R817" t="s">
        <v>3246</v>
      </c>
      <c r="S817" t="s">
        <v>3246</v>
      </c>
    </row>
    <row r="818" spans="1:19" x14ac:dyDescent="0.2">
      <c r="A818" t="s">
        <v>2238</v>
      </c>
      <c r="B818" t="s">
        <v>2239</v>
      </c>
      <c r="C818" t="s">
        <v>128</v>
      </c>
      <c r="D818" t="s">
        <v>440</v>
      </c>
      <c r="E818" t="s">
        <v>2240</v>
      </c>
      <c r="F818" t="s">
        <v>2241</v>
      </c>
      <c r="H818" t="s">
        <v>309</v>
      </c>
      <c r="I818" t="s">
        <v>1181</v>
      </c>
      <c r="J818">
        <v>2022</v>
      </c>
      <c r="K818" t="s">
        <v>221</v>
      </c>
      <c r="L818">
        <v>45061</v>
      </c>
      <c r="N818" t="s">
        <v>134</v>
      </c>
      <c r="O818" t="s">
        <v>135</v>
      </c>
      <c r="P818" t="s">
        <v>2242</v>
      </c>
    </row>
    <row r="819" spans="1:19" x14ac:dyDescent="0.2">
      <c r="A819" t="s">
        <v>2238</v>
      </c>
      <c r="B819" t="s">
        <v>2243</v>
      </c>
      <c r="C819" t="s">
        <v>112</v>
      </c>
      <c r="D819" t="s">
        <v>440</v>
      </c>
      <c r="E819" t="s">
        <v>2240</v>
      </c>
      <c r="F819" t="s">
        <v>2241</v>
      </c>
      <c r="H819" t="s">
        <v>309</v>
      </c>
      <c r="I819" t="s">
        <v>1181</v>
      </c>
      <c r="J819">
        <v>2023</v>
      </c>
      <c r="K819" t="s">
        <v>221</v>
      </c>
      <c r="L819">
        <v>45107</v>
      </c>
      <c r="N819" t="s">
        <v>134</v>
      </c>
      <c r="O819" t="s">
        <v>135</v>
      </c>
      <c r="P819" t="s">
        <v>3538</v>
      </c>
    </row>
    <row r="820" spans="1:19" x14ac:dyDescent="0.2">
      <c r="A820" t="s">
        <v>2434</v>
      </c>
      <c r="B820" t="s">
        <v>2435</v>
      </c>
      <c r="C820" t="s">
        <v>128</v>
      </c>
      <c r="D820" t="s">
        <v>440</v>
      </c>
      <c r="F820" t="s">
        <v>2436</v>
      </c>
      <c r="H820" t="s">
        <v>2437</v>
      </c>
      <c r="I820" t="s">
        <v>1181</v>
      </c>
      <c r="J820">
        <v>2023</v>
      </c>
      <c r="K820" t="s">
        <v>112</v>
      </c>
      <c r="L820">
        <v>45231</v>
      </c>
      <c r="M820" t="s">
        <v>2438</v>
      </c>
      <c r="N820" t="s">
        <v>134</v>
      </c>
      <c r="O820" t="s">
        <v>135</v>
      </c>
      <c r="P820" t="s">
        <v>2439</v>
      </c>
    </row>
    <row r="821" spans="1:19" x14ac:dyDescent="0.2">
      <c r="A821" t="s">
        <v>2444</v>
      </c>
      <c r="B821" t="s">
        <v>2445</v>
      </c>
      <c r="C821" t="s">
        <v>128</v>
      </c>
      <c r="D821" t="s">
        <v>440</v>
      </c>
      <c r="F821" t="s">
        <v>1720</v>
      </c>
      <c r="G821" t="s">
        <v>2446</v>
      </c>
      <c r="H821" t="s">
        <v>146</v>
      </c>
      <c r="I821" t="s">
        <v>1181</v>
      </c>
      <c r="J821">
        <v>2023</v>
      </c>
      <c r="K821" t="s">
        <v>277</v>
      </c>
      <c r="L821">
        <v>45212</v>
      </c>
      <c r="N821" t="s">
        <v>134</v>
      </c>
      <c r="P821" t="s">
        <v>2447</v>
      </c>
    </row>
    <row r="822" spans="1:19" x14ac:dyDescent="0.2">
      <c r="A822" t="s">
        <v>2636</v>
      </c>
      <c r="B822" t="s">
        <v>2637</v>
      </c>
      <c r="C822" t="s">
        <v>128</v>
      </c>
      <c r="D822" t="s">
        <v>440</v>
      </c>
      <c r="E822" t="s">
        <v>2638</v>
      </c>
      <c r="G822" t="s">
        <v>2639</v>
      </c>
      <c r="H822" t="s">
        <v>421</v>
      </c>
      <c r="I822" t="s">
        <v>1181</v>
      </c>
      <c r="J822">
        <v>2024</v>
      </c>
      <c r="K822" t="s">
        <v>2570</v>
      </c>
      <c r="L822">
        <v>45427</v>
      </c>
      <c r="N822" t="s">
        <v>134</v>
      </c>
      <c r="P822" t="s">
        <v>2640</v>
      </c>
    </row>
    <row r="823" spans="1:19" x14ac:dyDescent="0.2">
      <c r="A823" t="s">
        <v>2644</v>
      </c>
      <c r="B823" t="s">
        <v>2645</v>
      </c>
      <c r="C823" t="s">
        <v>112</v>
      </c>
      <c r="D823" t="s">
        <v>440</v>
      </c>
      <c r="E823" t="s">
        <v>2038</v>
      </c>
      <c r="F823" t="s">
        <v>2038</v>
      </c>
      <c r="G823" t="s">
        <v>2646</v>
      </c>
      <c r="H823" t="s">
        <v>183</v>
      </c>
      <c r="I823" t="s">
        <v>2569</v>
      </c>
      <c r="J823">
        <v>2024</v>
      </c>
      <c r="K823" t="s">
        <v>277</v>
      </c>
      <c r="L823">
        <v>45443</v>
      </c>
      <c r="N823" t="s">
        <v>134</v>
      </c>
      <c r="P823" t="s">
        <v>3539</v>
      </c>
    </row>
    <row r="824" spans="1:19" x14ac:dyDescent="0.2">
      <c r="A824" t="s">
        <v>2685</v>
      </c>
      <c r="B824" t="s">
        <v>2686</v>
      </c>
      <c r="C824" t="s">
        <v>112</v>
      </c>
      <c r="D824" t="s">
        <v>440</v>
      </c>
      <c r="E824" t="s">
        <v>2297</v>
      </c>
      <c r="F824" t="s">
        <v>2687</v>
      </c>
      <c r="G824" t="s">
        <v>816</v>
      </c>
      <c r="H824" t="s">
        <v>477</v>
      </c>
      <c r="I824" t="s">
        <v>2569</v>
      </c>
      <c r="J824">
        <v>2024</v>
      </c>
      <c r="K824" t="s">
        <v>523</v>
      </c>
      <c r="L824" t="s">
        <v>112</v>
      </c>
      <c r="N824" t="s">
        <v>134</v>
      </c>
      <c r="P824" t="s">
        <v>3540</v>
      </c>
    </row>
    <row r="825" spans="1:19" x14ac:dyDescent="0.2">
      <c r="A825" t="s">
        <v>2694</v>
      </c>
      <c r="B825" t="s">
        <v>2695</v>
      </c>
      <c r="C825" t="s">
        <v>112</v>
      </c>
      <c r="D825" t="s">
        <v>440</v>
      </c>
      <c r="E825" t="s">
        <v>2696</v>
      </c>
      <c r="H825" t="s">
        <v>309</v>
      </c>
      <c r="I825" t="s">
        <v>2569</v>
      </c>
      <c r="J825">
        <v>2024</v>
      </c>
      <c r="K825" t="s">
        <v>112</v>
      </c>
      <c r="L825">
        <v>45478</v>
      </c>
      <c r="N825" t="s">
        <v>444</v>
      </c>
      <c r="P825" t="s">
        <v>3541</v>
      </c>
    </row>
    <row r="826" spans="1:19" x14ac:dyDescent="0.2">
      <c r="A826" t="s">
        <v>2701</v>
      </c>
      <c r="B826" t="s">
        <v>2702</v>
      </c>
      <c r="C826" t="s">
        <v>112</v>
      </c>
      <c r="D826" t="s">
        <v>440</v>
      </c>
      <c r="F826" t="s">
        <v>2703</v>
      </c>
      <c r="H826" t="s">
        <v>309</v>
      </c>
      <c r="I826" t="s">
        <v>2569</v>
      </c>
      <c r="J826">
        <v>2024</v>
      </c>
      <c r="K826" t="s">
        <v>2570</v>
      </c>
      <c r="L826">
        <v>45463</v>
      </c>
      <c r="N826" t="s">
        <v>134</v>
      </c>
      <c r="P826" t="s">
        <v>3542</v>
      </c>
    </row>
    <row r="827" spans="1:19" x14ac:dyDescent="0.2">
      <c r="A827" t="s">
        <v>2705</v>
      </c>
      <c r="B827" t="s">
        <v>2706</v>
      </c>
      <c r="C827" t="s">
        <v>112</v>
      </c>
      <c r="D827" t="s">
        <v>440</v>
      </c>
      <c r="F827" t="s">
        <v>2707</v>
      </c>
      <c r="H827" t="s">
        <v>152</v>
      </c>
      <c r="I827" t="s">
        <v>2569</v>
      </c>
      <c r="J827">
        <v>2024</v>
      </c>
      <c r="K827" t="s">
        <v>2570</v>
      </c>
      <c r="L827">
        <v>45460</v>
      </c>
      <c r="N827" t="s">
        <v>134</v>
      </c>
      <c r="P827" t="s">
        <v>3543</v>
      </c>
    </row>
    <row r="828" spans="1:19" x14ac:dyDescent="0.2">
      <c r="A828" t="s">
        <v>2718</v>
      </c>
      <c r="B828" t="s">
        <v>2719</v>
      </c>
      <c r="C828" t="s">
        <v>112</v>
      </c>
      <c r="D828" t="s">
        <v>440</v>
      </c>
      <c r="F828" t="s">
        <v>2720</v>
      </c>
      <c r="G828" t="s">
        <v>2721</v>
      </c>
      <c r="H828" t="s">
        <v>183</v>
      </c>
      <c r="I828" t="s">
        <v>2569</v>
      </c>
      <c r="J828">
        <v>2024</v>
      </c>
      <c r="K828" t="s">
        <v>112</v>
      </c>
      <c r="L828">
        <v>45483</v>
      </c>
      <c r="N828" t="s">
        <v>134</v>
      </c>
      <c r="P828" t="s">
        <v>3544</v>
      </c>
    </row>
    <row r="829" spans="1:19" x14ac:dyDescent="0.2">
      <c r="A829" t="s">
        <v>2737</v>
      </c>
      <c r="B829" t="s">
        <v>2738</v>
      </c>
      <c r="C829" t="s">
        <v>128</v>
      </c>
      <c r="D829" t="s">
        <v>440</v>
      </c>
      <c r="E829" t="s">
        <v>2057</v>
      </c>
      <c r="F829" t="s">
        <v>2739</v>
      </c>
      <c r="H829" t="s">
        <v>2058</v>
      </c>
      <c r="I829" t="s">
        <v>2569</v>
      </c>
      <c r="J829">
        <v>2024</v>
      </c>
      <c r="K829" t="s">
        <v>2570</v>
      </c>
      <c r="L829">
        <v>45597</v>
      </c>
      <c r="N829" t="s">
        <v>444</v>
      </c>
      <c r="P829" t="s">
        <v>3295</v>
      </c>
    </row>
    <row r="830" spans="1:19" x14ac:dyDescent="0.2">
      <c r="A830" t="s">
        <v>2741</v>
      </c>
      <c r="B830" t="s">
        <v>2742</v>
      </c>
      <c r="C830" t="s">
        <v>128</v>
      </c>
      <c r="D830" t="s">
        <v>440</v>
      </c>
      <c r="F830" t="s">
        <v>2743</v>
      </c>
      <c r="G830" t="s">
        <v>2744</v>
      </c>
      <c r="H830" t="s">
        <v>2745</v>
      </c>
      <c r="I830" t="s">
        <v>1181</v>
      </c>
      <c r="J830">
        <v>2024</v>
      </c>
      <c r="K830" t="s">
        <v>277</v>
      </c>
      <c r="L830">
        <v>45485</v>
      </c>
      <c r="N830" t="s">
        <v>134</v>
      </c>
      <c r="P830" t="s">
        <v>2746</v>
      </c>
    </row>
    <row r="831" spans="1:19" x14ac:dyDescent="0.2">
      <c r="A831" t="s">
        <v>2768</v>
      </c>
      <c r="B831" t="s">
        <v>2769</v>
      </c>
      <c r="C831" t="s">
        <v>112</v>
      </c>
      <c r="D831" t="s">
        <v>440</v>
      </c>
      <c r="F831" t="s">
        <v>2770</v>
      </c>
      <c r="G831" t="s">
        <v>2771</v>
      </c>
      <c r="H831" t="s">
        <v>183</v>
      </c>
      <c r="I831" t="s">
        <v>2569</v>
      </c>
      <c r="J831">
        <v>2024</v>
      </c>
      <c r="K831" t="s">
        <v>2570</v>
      </c>
      <c r="M831" t="s">
        <v>2772</v>
      </c>
      <c r="N831" t="s">
        <v>134</v>
      </c>
      <c r="P831" t="s">
        <v>3545</v>
      </c>
    </row>
    <row r="832" spans="1:19" x14ac:dyDescent="0.2">
      <c r="A832" t="s">
        <v>2843</v>
      </c>
      <c r="B832" t="s">
        <v>2844</v>
      </c>
      <c r="C832" t="s">
        <v>112</v>
      </c>
      <c r="D832" t="s">
        <v>440</v>
      </c>
      <c r="E832" t="s">
        <v>218</v>
      </c>
      <c r="F832" t="s">
        <v>2845</v>
      </c>
      <c r="G832" t="s">
        <v>2846</v>
      </c>
      <c r="H832" t="s">
        <v>220</v>
      </c>
      <c r="I832" t="s">
        <v>2569</v>
      </c>
      <c r="J832">
        <v>2024</v>
      </c>
      <c r="K832" t="s">
        <v>2570</v>
      </c>
      <c r="N832" t="s">
        <v>134</v>
      </c>
      <c r="P832" t="s">
        <v>3546</v>
      </c>
    </row>
    <row r="833" spans="1:16" x14ac:dyDescent="0.2">
      <c r="A833" t="s">
        <v>2867</v>
      </c>
      <c r="B833" t="s">
        <v>2868</v>
      </c>
      <c r="C833" t="s">
        <v>112</v>
      </c>
      <c r="D833" t="s">
        <v>440</v>
      </c>
      <c r="F833" t="s">
        <v>2869</v>
      </c>
      <c r="G833" t="s">
        <v>2870</v>
      </c>
      <c r="H833" t="s">
        <v>309</v>
      </c>
      <c r="I833" t="s">
        <v>2569</v>
      </c>
      <c r="J833">
        <v>2024</v>
      </c>
      <c r="K833" t="s">
        <v>2570</v>
      </c>
      <c r="N833" t="s">
        <v>134</v>
      </c>
      <c r="P833" t="s">
        <v>3547</v>
      </c>
    </row>
    <row r="834" spans="1:16" x14ac:dyDescent="0.2">
      <c r="A834" t="s">
        <v>2900</v>
      </c>
      <c r="B834" t="s">
        <v>2901</v>
      </c>
      <c r="C834" t="s">
        <v>112</v>
      </c>
      <c r="D834" t="s">
        <v>440</v>
      </c>
      <c r="F834" t="s">
        <v>2902</v>
      </c>
      <c r="H834" t="s">
        <v>225</v>
      </c>
      <c r="I834" t="s">
        <v>2569</v>
      </c>
      <c r="J834">
        <v>2024</v>
      </c>
      <c r="K834" t="s">
        <v>2570</v>
      </c>
      <c r="N834" t="s">
        <v>134</v>
      </c>
      <c r="P834" t="s">
        <v>2903</v>
      </c>
    </row>
    <row r="835" spans="1:16" x14ac:dyDescent="0.2">
      <c r="A835" t="s">
        <v>2916</v>
      </c>
      <c r="B835" t="s">
        <v>2917</v>
      </c>
      <c r="C835" t="s">
        <v>128</v>
      </c>
      <c r="D835" t="s">
        <v>440</v>
      </c>
      <c r="F835" t="s">
        <v>2918</v>
      </c>
      <c r="G835" t="s">
        <v>2940</v>
      </c>
      <c r="H835" t="s">
        <v>1283</v>
      </c>
      <c r="I835" t="s">
        <v>2569</v>
      </c>
      <c r="J835">
        <v>2024</v>
      </c>
      <c r="K835" t="s">
        <v>2570</v>
      </c>
      <c r="N835" t="s">
        <v>134</v>
      </c>
      <c r="P835" t="s">
        <v>2919</v>
      </c>
    </row>
    <row r="836" spans="1:16" x14ac:dyDescent="0.2">
      <c r="A836" t="s">
        <v>2916</v>
      </c>
      <c r="B836" t="s">
        <v>2941</v>
      </c>
      <c r="C836" t="s">
        <v>128</v>
      </c>
      <c r="D836" t="s">
        <v>440</v>
      </c>
      <c r="F836" t="s">
        <v>2918</v>
      </c>
      <c r="G836" t="s">
        <v>2687</v>
      </c>
      <c r="H836" t="s">
        <v>1283</v>
      </c>
      <c r="I836" t="s">
        <v>2569</v>
      </c>
      <c r="J836">
        <v>2024</v>
      </c>
      <c r="K836" t="s">
        <v>2570</v>
      </c>
      <c r="N836" t="s">
        <v>134</v>
      </c>
      <c r="P836" t="s">
        <v>2919</v>
      </c>
    </row>
    <row r="837" spans="1:16" x14ac:dyDescent="0.2">
      <c r="A837" t="s">
        <v>2961</v>
      </c>
      <c r="B837" t="s">
        <v>2962</v>
      </c>
      <c r="C837" t="s">
        <v>128</v>
      </c>
      <c r="D837" t="s">
        <v>440</v>
      </c>
      <c r="E837" t="s">
        <v>2963</v>
      </c>
      <c r="F837" t="s">
        <v>2963</v>
      </c>
      <c r="I837" t="s">
        <v>2569</v>
      </c>
      <c r="J837">
        <v>2025</v>
      </c>
      <c r="K837" t="s">
        <v>112</v>
      </c>
      <c r="N837" t="s">
        <v>134</v>
      </c>
      <c r="P837" t="s">
        <v>2964</v>
      </c>
    </row>
    <row r="838" spans="1:16" x14ac:dyDescent="0.2">
      <c r="A838" t="s">
        <v>2989</v>
      </c>
      <c r="B838" t="s">
        <v>2990</v>
      </c>
      <c r="C838" t="s">
        <v>128</v>
      </c>
      <c r="D838" t="s">
        <v>440</v>
      </c>
      <c r="F838" t="s">
        <v>2991</v>
      </c>
      <c r="H838" t="s">
        <v>183</v>
      </c>
      <c r="I838" t="s">
        <v>2569</v>
      </c>
      <c r="J838">
        <v>2025</v>
      </c>
      <c r="K838" t="s">
        <v>112</v>
      </c>
      <c r="L838">
        <v>45762</v>
      </c>
      <c r="N838" t="s">
        <v>134</v>
      </c>
      <c r="P838" t="s">
        <v>2992</v>
      </c>
    </row>
    <row r="839" spans="1:16" x14ac:dyDescent="0.2">
      <c r="A839" t="s">
        <v>3003</v>
      </c>
      <c r="B839" t="s">
        <v>3004</v>
      </c>
      <c r="C839" t="s">
        <v>128</v>
      </c>
      <c r="D839" t="s">
        <v>440</v>
      </c>
      <c r="F839" t="s">
        <v>3005</v>
      </c>
      <c r="H839" t="s">
        <v>309</v>
      </c>
      <c r="I839" t="s">
        <v>2569</v>
      </c>
      <c r="J839">
        <v>2025</v>
      </c>
      <c r="K839" t="s">
        <v>112</v>
      </c>
      <c r="L839">
        <v>45792</v>
      </c>
      <c r="N839" t="s">
        <v>134</v>
      </c>
      <c r="P839" t="s">
        <v>3006</v>
      </c>
    </row>
    <row r="840" spans="1:16" x14ac:dyDescent="0.2">
      <c r="A840" t="s">
        <v>3008</v>
      </c>
      <c r="B840" t="s">
        <v>3009</v>
      </c>
      <c r="C840" t="s">
        <v>128</v>
      </c>
      <c r="D840" t="s">
        <v>440</v>
      </c>
      <c r="F840" t="s">
        <v>3010</v>
      </c>
      <c r="H840" t="s">
        <v>309</v>
      </c>
      <c r="I840" t="s">
        <v>2569</v>
      </c>
      <c r="J840">
        <v>2025</v>
      </c>
      <c r="K840" t="s">
        <v>112</v>
      </c>
      <c r="L840">
        <v>45750</v>
      </c>
      <c r="N840" t="s">
        <v>134</v>
      </c>
      <c r="P840" t="s">
        <v>3011</v>
      </c>
    </row>
    <row r="841" spans="1:16" x14ac:dyDescent="0.2">
      <c r="A841" t="s">
        <v>3003</v>
      </c>
      <c r="B841" t="s">
        <v>3021</v>
      </c>
      <c r="C841" t="s">
        <v>128</v>
      </c>
      <c r="D841" t="s">
        <v>440</v>
      </c>
      <c r="F841" t="s">
        <v>3225</v>
      </c>
      <c r="G841" t="s">
        <v>3022</v>
      </c>
      <c r="H841" t="s">
        <v>309</v>
      </c>
      <c r="I841" t="s">
        <v>1181</v>
      </c>
      <c r="J841">
        <v>2025</v>
      </c>
      <c r="K841" t="s">
        <v>261</v>
      </c>
      <c r="L841">
        <v>46248</v>
      </c>
      <c r="N841" t="s">
        <v>597</v>
      </c>
      <c r="P841" t="s">
        <v>3226</v>
      </c>
    </row>
    <row r="842" spans="1:16" x14ac:dyDescent="0.2">
      <c r="A842" t="s">
        <v>2993</v>
      </c>
      <c r="B842" t="s">
        <v>2994</v>
      </c>
      <c r="C842" t="s">
        <v>128</v>
      </c>
      <c r="D842" t="s">
        <v>2995</v>
      </c>
      <c r="F842" t="s">
        <v>2996</v>
      </c>
      <c r="H842" t="s">
        <v>2756</v>
      </c>
      <c r="I842" t="s">
        <v>2569</v>
      </c>
      <c r="J842">
        <v>2025</v>
      </c>
      <c r="K842" t="s">
        <v>3088</v>
      </c>
      <c r="L842">
        <v>45931</v>
      </c>
      <c r="N842" t="s">
        <v>134</v>
      </c>
      <c r="P842" t="s">
        <v>2997</v>
      </c>
    </row>
    <row r="843" spans="1:16" x14ac:dyDescent="0.2">
      <c r="A843" t="s">
        <v>2998</v>
      </c>
      <c r="B843" t="s">
        <v>2999</v>
      </c>
      <c r="C843" t="s">
        <v>128</v>
      </c>
      <c r="D843" t="s">
        <v>2995</v>
      </c>
      <c r="F843" t="s">
        <v>3000</v>
      </c>
      <c r="H843" t="s">
        <v>199</v>
      </c>
      <c r="I843" t="s">
        <v>2569</v>
      </c>
      <c r="J843">
        <v>2025</v>
      </c>
      <c r="K843" t="s">
        <v>3001</v>
      </c>
      <c r="L843">
        <v>45811</v>
      </c>
      <c r="N843" t="s">
        <v>134</v>
      </c>
      <c r="P843" t="s">
        <v>3002</v>
      </c>
    </row>
    <row r="844" spans="1:16" x14ac:dyDescent="0.2">
      <c r="A844" t="s">
        <v>2998</v>
      </c>
      <c r="B844" t="s">
        <v>3007</v>
      </c>
      <c r="C844" t="s">
        <v>128</v>
      </c>
      <c r="D844" t="s">
        <v>2995</v>
      </c>
      <c r="F844" t="s">
        <v>3000</v>
      </c>
      <c r="H844" t="s">
        <v>199</v>
      </c>
      <c r="I844" t="s">
        <v>1181</v>
      </c>
      <c r="J844">
        <v>2025</v>
      </c>
      <c r="K844" t="s">
        <v>2332</v>
      </c>
      <c r="L844">
        <v>45957</v>
      </c>
      <c r="N844" t="s">
        <v>134</v>
      </c>
      <c r="P844" t="s">
        <v>3002</v>
      </c>
    </row>
    <row r="845" spans="1:16" x14ac:dyDescent="0.2">
      <c r="A845" t="s">
        <v>2998</v>
      </c>
      <c r="B845" t="s">
        <v>3221</v>
      </c>
      <c r="C845" t="s">
        <v>128</v>
      </c>
      <c r="D845" t="s">
        <v>2995</v>
      </c>
      <c r="F845" t="s">
        <v>3000</v>
      </c>
      <c r="H845" t="s">
        <v>199</v>
      </c>
      <c r="I845" t="s">
        <v>1181</v>
      </c>
      <c r="J845">
        <v>2025</v>
      </c>
      <c r="K845" t="s">
        <v>2332</v>
      </c>
      <c r="L845">
        <v>45957</v>
      </c>
      <c r="N845" t="s">
        <v>134</v>
      </c>
      <c r="P845" t="s">
        <v>3002</v>
      </c>
    </row>
    <row r="846" spans="1:16" x14ac:dyDescent="0.2">
      <c r="A846" t="s">
        <v>3054</v>
      </c>
      <c r="B846" t="s">
        <v>3055</v>
      </c>
      <c r="C846" t="s">
        <v>128</v>
      </c>
      <c r="D846" t="s">
        <v>2995</v>
      </c>
      <c r="F846" t="s">
        <v>3056</v>
      </c>
      <c r="G846" t="s">
        <v>3057</v>
      </c>
      <c r="H846" t="s">
        <v>472</v>
      </c>
      <c r="I846" t="s">
        <v>2569</v>
      </c>
      <c r="J846">
        <v>2025</v>
      </c>
      <c r="K846" t="s">
        <v>3048</v>
      </c>
      <c r="L846">
        <v>45808</v>
      </c>
      <c r="N846" t="s">
        <v>134</v>
      </c>
      <c r="P846" t="s">
        <v>3058</v>
      </c>
    </row>
    <row r="847" spans="1:16" x14ac:dyDescent="0.2">
      <c r="A847" t="s">
        <v>3059</v>
      </c>
      <c r="C847" t="s">
        <v>112</v>
      </c>
      <c r="D847" t="s">
        <v>2995</v>
      </c>
      <c r="F847" t="s">
        <v>3060</v>
      </c>
      <c r="I847" t="s">
        <v>2569</v>
      </c>
      <c r="J847">
        <v>2025</v>
      </c>
      <c r="K847" t="s">
        <v>112</v>
      </c>
      <c r="N847" t="s">
        <v>112</v>
      </c>
      <c r="P847" t="s">
        <v>3372</v>
      </c>
    </row>
    <row r="848" spans="1:16" x14ac:dyDescent="0.2">
      <c r="A848" t="s">
        <v>3069</v>
      </c>
      <c r="C848" t="s">
        <v>112</v>
      </c>
      <c r="D848" t="s">
        <v>2995</v>
      </c>
      <c r="F848" t="s">
        <v>3070</v>
      </c>
      <c r="G848" t="s">
        <v>3057</v>
      </c>
      <c r="H848" t="s">
        <v>258</v>
      </c>
      <c r="I848" t="s">
        <v>2569</v>
      </c>
      <c r="J848">
        <v>2025</v>
      </c>
      <c r="K848" t="s">
        <v>3048</v>
      </c>
      <c r="L848">
        <v>46006</v>
      </c>
      <c r="N848" t="s">
        <v>597</v>
      </c>
      <c r="P848" t="s">
        <v>3548</v>
      </c>
    </row>
    <row r="849" spans="1:16" x14ac:dyDescent="0.2">
      <c r="A849" t="s">
        <v>3086</v>
      </c>
      <c r="B849" t="s">
        <v>3170</v>
      </c>
      <c r="C849" t="s">
        <v>112</v>
      </c>
      <c r="D849" t="s">
        <v>2995</v>
      </c>
      <c r="F849" t="s">
        <v>3087</v>
      </c>
      <c r="G849" t="s">
        <v>2940</v>
      </c>
      <c r="I849" t="s">
        <v>2569</v>
      </c>
      <c r="J849">
        <v>2025</v>
      </c>
      <c r="K849" t="s">
        <v>3088</v>
      </c>
      <c r="N849" t="s">
        <v>134</v>
      </c>
      <c r="P849" t="s">
        <v>3549</v>
      </c>
    </row>
    <row r="850" spans="1:16" x14ac:dyDescent="0.2">
      <c r="A850" t="s">
        <v>3228</v>
      </c>
      <c r="B850" t="s">
        <v>3137</v>
      </c>
      <c r="C850" t="s">
        <v>112</v>
      </c>
      <c r="D850" t="s">
        <v>2995</v>
      </c>
      <c r="F850" t="s">
        <v>3138</v>
      </c>
      <c r="G850" t="s">
        <v>3139</v>
      </c>
      <c r="H850" t="s">
        <v>225</v>
      </c>
      <c r="I850" t="s">
        <v>2569</v>
      </c>
      <c r="J850">
        <v>2025</v>
      </c>
      <c r="K850" t="s">
        <v>3048</v>
      </c>
      <c r="L850">
        <v>45863</v>
      </c>
      <c r="N850" t="s">
        <v>134</v>
      </c>
      <c r="P850" t="s">
        <v>3550</v>
      </c>
    </row>
    <row r="851" spans="1:16" x14ac:dyDescent="0.2">
      <c r="A851" t="s">
        <v>3183</v>
      </c>
      <c r="B851" t="s">
        <v>3184</v>
      </c>
      <c r="C851" t="s">
        <v>112</v>
      </c>
      <c r="D851" t="s">
        <v>2995</v>
      </c>
      <c r="F851" t="s">
        <v>3185</v>
      </c>
      <c r="G851" t="s">
        <v>3186</v>
      </c>
      <c r="H851" t="s">
        <v>1188</v>
      </c>
      <c r="I851" t="s">
        <v>2569</v>
      </c>
      <c r="J851">
        <v>2025</v>
      </c>
      <c r="K851" t="s">
        <v>3088</v>
      </c>
      <c r="L851">
        <v>45915</v>
      </c>
      <c r="N851" t="s">
        <v>134</v>
      </c>
      <c r="P851" t="s">
        <v>3551</v>
      </c>
    </row>
    <row r="852" spans="1:16" x14ac:dyDescent="0.2">
      <c r="A852" t="s">
        <v>3213</v>
      </c>
      <c r="B852" t="s">
        <v>3552</v>
      </c>
      <c r="C852" t="s">
        <v>128</v>
      </c>
      <c r="D852" t="s">
        <v>2995</v>
      </c>
      <c r="F852" t="s">
        <v>3214</v>
      </c>
      <c r="G852" t="s">
        <v>3139</v>
      </c>
      <c r="H852" t="s">
        <v>3215</v>
      </c>
      <c r="I852" t="s">
        <v>2569</v>
      </c>
      <c r="J852">
        <v>2025</v>
      </c>
      <c r="K852" t="s">
        <v>3088</v>
      </c>
      <c r="L852">
        <v>46006</v>
      </c>
      <c r="N852" t="s">
        <v>597</v>
      </c>
      <c r="P852" t="s">
        <v>3553</v>
      </c>
    </row>
    <row r="853" spans="1:16" x14ac:dyDescent="0.2">
      <c r="A853" t="s">
        <v>3233</v>
      </c>
      <c r="B853" t="s">
        <v>3234</v>
      </c>
      <c r="C853" t="s">
        <v>112</v>
      </c>
      <c r="D853" t="s">
        <v>2995</v>
      </c>
      <c r="F853" t="s">
        <v>3235</v>
      </c>
      <c r="G853" t="s">
        <v>3236</v>
      </c>
      <c r="H853" t="s">
        <v>3237</v>
      </c>
      <c r="I853" t="s">
        <v>2569</v>
      </c>
      <c r="J853">
        <v>2025</v>
      </c>
      <c r="K853" t="s">
        <v>3048</v>
      </c>
      <c r="L853">
        <v>45836</v>
      </c>
      <c r="N853" t="s">
        <v>134</v>
      </c>
      <c r="P853" t="s">
        <v>3554</v>
      </c>
    </row>
    <row r="854" spans="1:16" x14ac:dyDescent="0.2">
      <c r="A854" t="s">
        <v>3240</v>
      </c>
      <c r="B854" t="s">
        <v>3241</v>
      </c>
      <c r="C854" t="s">
        <v>112</v>
      </c>
      <c r="D854" t="s">
        <v>2995</v>
      </c>
      <c r="F854" t="s">
        <v>3242</v>
      </c>
      <c r="G854" t="s">
        <v>3139</v>
      </c>
      <c r="H854" t="s">
        <v>928</v>
      </c>
      <c r="I854" t="s">
        <v>2569</v>
      </c>
      <c r="J854">
        <v>2025</v>
      </c>
      <c r="K854" t="s">
        <v>3048</v>
      </c>
      <c r="L854">
        <v>45915</v>
      </c>
      <c r="N854" t="s">
        <v>597</v>
      </c>
      <c r="P854" t="s">
        <v>3555</v>
      </c>
    </row>
    <row r="855" spans="1:16" x14ac:dyDescent="0.2">
      <c r="A855" t="s">
        <v>3243</v>
      </c>
      <c r="B855" t="s">
        <v>3244</v>
      </c>
      <c r="C855" t="s">
        <v>112</v>
      </c>
      <c r="D855" t="s">
        <v>2995</v>
      </c>
      <c r="F855" t="s">
        <v>3245</v>
      </c>
      <c r="G855" t="s">
        <v>3139</v>
      </c>
      <c r="H855" t="s">
        <v>258</v>
      </c>
      <c r="I855" t="s">
        <v>2569</v>
      </c>
      <c r="J855">
        <v>2025</v>
      </c>
      <c r="K855" t="s">
        <v>3088</v>
      </c>
      <c r="L855">
        <v>45870</v>
      </c>
      <c r="N855" t="s">
        <v>597</v>
      </c>
      <c r="P855" t="s">
        <v>3556</v>
      </c>
    </row>
    <row r="856" spans="1:16" x14ac:dyDescent="0.2">
      <c r="A856" t="s">
        <v>3354</v>
      </c>
      <c r="B856" t="s">
        <v>3355</v>
      </c>
      <c r="C856" t="s">
        <v>112</v>
      </c>
      <c r="D856" t="s">
        <v>2995</v>
      </c>
      <c r="F856" t="s">
        <v>3356</v>
      </c>
      <c r="H856" t="s">
        <v>2437</v>
      </c>
      <c r="I856" t="s">
        <v>2569</v>
      </c>
      <c r="J856">
        <v>2025</v>
      </c>
      <c r="K856" t="s">
        <v>3088</v>
      </c>
      <c r="N856" t="s">
        <v>597</v>
      </c>
      <c r="P856" t="s">
        <v>3557</v>
      </c>
    </row>
    <row r="857" spans="1:16" x14ac:dyDescent="0.2">
      <c r="A857" t="s">
        <v>3357</v>
      </c>
      <c r="C857" t="s">
        <v>112</v>
      </c>
      <c r="D857" t="s">
        <v>2995</v>
      </c>
      <c r="F857" t="s">
        <v>3358</v>
      </c>
      <c r="G857" t="s">
        <v>2687</v>
      </c>
      <c r="H857" t="s">
        <v>2756</v>
      </c>
      <c r="I857" t="s">
        <v>2569</v>
      </c>
      <c r="J857">
        <v>2025</v>
      </c>
      <c r="K857" t="s">
        <v>3048</v>
      </c>
      <c r="N857" t="s">
        <v>597</v>
      </c>
      <c r="P857" t="s">
        <v>3558</v>
      </c>
    </row>
    <row r="858" spans="1:16" x14ac:dyDescent="0.2">
      <c r="A858" t="s">
        <v>3368</v>
      </c>
      <c r="C858" t="s">
        <v>128</v>
      </c>
      <c r="D858" t="s">
        <v>2995</v>
      </c>
      <c r="F858" t="s">
        <v>3369</v>
      </c>
      <c r="G858" t="s">
        <v>2687</v>
      </c>
      <c r="H858" t="s">
        <v>309</v>
      </c>
      <c r="I858" t="s">
        <v>2569</v>
      </c>
      <c r="J858">
        <v>2025</v>
      </c>
      <c r="K858" t="s">
        <v>3048</v>
      </c>
      <c r="N858" t="s">
        <v>597</v>
      </c>
      <c r="P858" t="s">
        <v>3370</v>
      </c>
    </row>
    <row r="859" spans="1:16" x14ac:dyDescent="0.2">
      <c r="A859" t="s">
        <v>3059</v>
      </c>
      <c r="C859" t="s">
        <v>112</v>
      </c>
      <c r="D859" t="s">
        <v>2995</v>
      </c>
      <c r="F859" t="s">
        <v>3060</v>
      </c>
      <c r="G859" t="s">
        <v>3371</v>
      </c>
      <c r="H859" t="s">
        <v>309</v>
      </c>
      <c r="I859" t="s">
        <v>2569</v>
      </c>
      <c r="J859">
        <v>2025</v>
      </c>
      <c r="K859" t="s">
        <v>3048</v>
      </c>
      <c r="N859" t="s">
        <v>597</v>
      </c>
      <c r="P859" t="s">
        <v>3372</v>
      </c>
    </row>
    <row r="860" spans="1:16" x14ac:dyDescent="0.2">
      <c r="A860" t="s">
        <v>3376</v>
      </c>
      <c r="C860" t="s">
        <v>128</v>
      </c>
      <c r="D860" t="s">
        <v>2995</v>
      </c>
      <c r="E860" t="s">
        <v>3377</v>
      </c>
      <c r="G860" t="s">
        <v>3186</v>
      </c>
      <c r="H860" t="s">
        <v>177</v>
      </c>
      <c r="I860" t="s">
        <v>2569</v>
      </c>
      <c r="J860">
        <v>2025</v>
      </c>
      <c r="K860" t="s">
        <v>3048</v>
      </c>
      <c r="N860" t="s">
        <v>597</v>
      </c>
      <c r="P860" t="s">
        <v>3378</v>
      </c>
    </row>
    <row r="861" spans="1:16" x14ac:dyDescent="0.2">
      <c r="A861" t="s">
        <v>3379</v>
      </c>
      <c r="C861" t="s">
        <v>128</v>
      </c>
      <c r="D861" t="s">
        <v>2995</v>
      </c>
      <c r="E861" t="s">
        <v>3380</v>
      </c>
      <c r="H861" t="s">
        <v>309</v>
      </c>
      <c r="I861" t="s">
        <v>2569</v>
      </c>
      <c r="J861">
        <v>2025</v>
      </c>
      <c r="K861" t="s">
        <v>3048</v>
      </c>
      <c r="N861" t="s">
        <v>597</v>
      </c>
      <c r="P861" t="s">
        <v>3381</v>
      </c>
    </row>
    <row r="862" spans="1:16" x14ac:dyDescent="0.2">
      <c r="A862" t="s">
        <v>3409</v>
      </c>
      <c r="B862" t="s">
        <v>3410</v>
      </c>
      <c r="C862" t="s">
        <v>128</v>
      </c>
      <c r="D862" t="s">
        <v>2995</v>
      </c>
      <c r="E862" t="s">
        <v>2126</v>
      </c>
      <c r="F862" t="s">
        <v>3411</v>
      </c>
      <c r="G862" t="s">
        <v>3412</v>
      </c>
      <c r="H862" t="s">
        <v>199</v>
      </c>
      <c r="I862" t="s">
        <v>2569</v>
      </c>
      <c r="J862">
        <v>2025</v>
      </c>
      <c r="K862" t="s">
        <v>3088</v>
      </c>
      <c r="N862" t="s">
        <v>134</v>
      </c>
      <c r="P862" t="s">
        <v>3413</v>
      </c>
    </row>
    <row r="863" spans="1:16" x14ac:dyDescent="0.2">
      <c r="A863" t="s">
        <v>3423</v>
      </c>
      <c r="C863" t="s">
        <v>128</v>
      </c>
      <c r="D863" t="s">
        <v>2995</v>
      </c>
      <c r="F863" t="s">
        <v>3424</v>
      </c>
      <c r="G863" t="s">
        <v>3139</v>
      </c>
      <c r="H863" t="s">
        <v>421</v>
      </c>
      <c r="I863" t="s">
        <v>2569</v>
      </c>
      <c r="J863">
        <v>2025</v>
      </c>
      <c r="K863" t="s">
        <v>3048</v>
      </c>
      <c r="N863" t="s">
        <v>597</v>
      </c>
      <c r="P863" t="s">
        <v>3425</v>
      </c>
    </row>
    <row r="864" spans="1:16" x14ac:dyDescent="0.2">
      <c r="A864" t="s">
        <v>3426</v>
      </c>
      <c r="C864" t="s">
        <v>128</v>
      </c>
      <c r="D864" t="s">
        <v>2995</v>
      </c>
      <c r="F864" t="s">
        <v>3427</v>
      </c>
      <c r="G864" t="s">
        <v>3139</v>
      </c>
      <c r="H864" t="s">
        <v>309</v>
      </c>
      <c r="I864" t="s">
        <v>2569</v>
      </c>
      <c r="J864">
        <v>2025</v>
      </c>
      <c r="K864" t="s">
        <v>3417</v>
      </c>
      <c r="L864">
        <v>46037</v>
      </c>
      <c r="N864" t="s">
        <v>597</v>
      </c>
      <c r="P864" t="s">
        <v>3428</v>
      </c>
    </row>
    <row r="865" spans="1:16" x14ac:dyDescent="0.2">
      <c r="A865" t="s">
        <v>2001</v>
      </c>
      <c r="B865" t="s">
        <v>2002</v>
      </c>
      <c r="C865" t="s">
        <v>112</v>
      </c>
      <c r="D865" t="s">
        <v>2003</v>
      </c>
      <c r="F865" t="s">
        <v>2004</v>
      </c>
      <c r="G865" t="s">
        <v>1874</v>
      </c>
      <c r="H865" t="s">
        <v>2005</v>
      </c>
      <c r="I865" t="s">
        <v>1181</v>
      </c>
      <c r="J865">
        <v>2022</v>
      </c>
      <c r="K865" t="s">
        <v>221</v>
      </c>
      <c r="L865">
        <v>44599</v>
      </c>
      <c r="N865" t="s">
        <v>134</v>
      </c>
      <c r="O865" t="s">
        <v>135</v>
      </c>
      <c r="P865" t="s">
        <v>3559</v>
      </c>
    </row>
    <row r="866" spans="1:16" x14ac:dyDescent="0.2">
      <c r="A866" t="s">
        <v>2001</v>
      </c>
      <c r="B866" t="s">
        <v>2006</v>
      </c>
      <c r="C866" t="s">
        <v>112</v>
      </c>
      <c r="D866" t="s">
        <v>2003</v>
      </c>
      <c r="F866" t="s">
        <v>2004</v>
      </c>
      <c r="H866" t="s">
        <v>2005</v>
      </c>
      <c r="I866" t="s">
        <v>1181</v>
      </c>
      <c r="J866">
        <v>2022</v>
      </c>
      <c r="K866" t="s">
        <v>221</v>
      </c>
      <c r="L866">
        <v>44599</v>
      </c>
      <c r="N866" t="s">
        <v>134</v>
      </c>
      <c r="O866" t="s">
        <v>135</v>
      </c>
      <c r="P866" t="s">
        <v>3559</v>
      </c>
    </row>
    <row r="867" spans="1:16" x14ac:dyDescent="0.2">
      <c r="A867" t="s">
        <v>3247</v>
      </c>
      <c r="B867" t="s">
        <v>3248</v>
      </c>
      <c r="C867" t="s">
        <v>112</v>
      </c>
      <c r="D867" t="s">
        <v>3249</v>
      </c>
      <c r="F867" t="s">
        <v>742</v>
      </c>
      <c r="G867" t="s">
        <v>3250</v>
      </c>
      <c r="H867" t="s">
        <v>199</v>
      </c>
      <c r="I867" t="s">
        <v>1181</v>
      </c>
      <c r="J867">
        <v>2025</v>
      </c>
      <c r="K867" t="s">
        <v>277</v>
      </c>
      <c r="L867">
        <v>45868</v>
      </c>
      <c r="N867" t="s">
        <v>134</v>
      </c>
      <c r="P867" t="s">
        <v>3560</v>
      </c>
    </row>
    <row r="868" spans="1:16" x14ac:dyDescent="0.2">
      <c r="A868" t="s">
        <v>1502</v>
      </c>
      <c r="B868" t="s">
        <v>1503</v>
      </c>
      <c r="C868" t="s">
        <v>112</v>
      </c>
      <c r="D868" t="s">
        <v>1504</v>
      </c>
      <c r="F868" t="s">
        <v>300</v>
      </c>
      <c r="G868" t="s">
        <v>1505</v>
      </c>
      <c r="H868" t="s">
        <v>392</v>
      </c>
      <c r="I868" t="s">
        <v>1181</v>
      </c>
      <c r="J868">
        <v>2020</v>
      </c>
      <c r="K868" t="s">
        <v>277</v>
      </c>
      <c r="N868" t="s">
        <v>134</v>
      </c>
      <c r="P868" t="s">
        <v>3561</v>
      </c>
    </row>
    <row r="869" spans="1:16" x14ac:dyDescent="0.2">
      <c r="A869" t="s">
        <v>2518</v>
      </c>
      <c r="B869" t="s">
        <v>2519</v>
      </c>
      <c r="C869" t="s">
        <v>112</v>
      </c>
      <c r="D869" t="s">
        <v>2520</v>
      </c>
      <c r="F869" t="s">
        <v>2521</v>
      </c>
      <c r="G869" t="s">
        <v>2522</v>
      </c>
      <c r="H869" t="s">
        <v>146</v>
      </c>
      <c r="I869" t="s">
        <v>1181</v>
      </c>
      <c r="J869">
        <v>2023</v>
      </c>
      <c r="K869" t="s">
        <v>523</v>
      </c>
      <c r="L869">
        <v>44985</v>
      </c>
      <c r="N869" t="s">
        <v>134</v>
      </c>
      <c r="P869" t="s">
        <v>3562</v>
      </c>
    </row>
    <row r="870" spans="1:16" x14ac:dyDescent="0.2">
      <c r="A870" t="s">
        <v>2518</v>
      </c>
      <c r="B870" t="s">
        <v>2524</v>
      </c>
      <c r="C870" t="s">
        <v>112</v>
      </c>
      <c r="D870" t="s">
        <v>2520</v>
      </c>
      <c r="F870" t="s">
        <v>2521</v>
      </c>
      <c r="G870" t="s">
        <v>2525</v>
      </c>
      <c r="H870" t="s">
        <v>146</v>
      </c>
      <c r="I870" t="s">
        <v>1181</v>
      </c>
      <c r="J870">
        <v>2024</v>
      </c>
      <c r="K870" t="s">
        <v>523</v>
      </c>
      <c r="L870">
        <v>45580</v>
      </c>
      <c r="N870" t="s">
        <v>134</v>
      </c>
      <c r="P870" t="s">
        <v>3563</v>
      </c>
    </row>
    <row r="871" spans="1:16" x14ac:dyDescent="0.2">
      <c r="A871" t="s">
        <v>3564</v>
      </c>
      <c r="B871" t="s">
        <v>2904</v>
      </c>
      <c r="C871" t="s">
        <v>112</v>
      </c>
      <c r="D871" t="s">
        <v>2905</v>
      </c>
      <c r="G871" t="s">
        <v>2906</v>
      </c>
      <c r="H871" t="s">
        <v>1571</v>
      </c>
      <c r="I871" t="s">
        <v>2569</v>
      </c>
      <c r="J871">
        <v>2024</v>
      </c>
      <c r="K871" t="s">
        <v>2570</v>
      </c>
      <c r="N871" t="s">
        <v>134</v>
      </c>
      <c r="P871" t="s">
        <v>3565</v>
      </c>
    </row>
    <row r="872" spans="1:16" x14ac:dyDescent="0.2">
      <c r="P872" t="s">
        <v>3461</v>
      </c>
    </row>
    <row r="873" spans="1:16" x14ac:dyDescent="0.2">
      <c r="C873" t="s">
        <v>112</v>
      </c>
      <c r="P873" t="s">
        <v>3461</v>
      </c>
    </row>
    <row r="874" spans="1:16" x14ac:dyDescent="0.2">
      <c r="C874" t="s">
        <v>112</v>
      </c>
      <c r="P874" t="s">
        <v>3461</v>
      </c>
    </row>
    <row r="875" spans="1:16" x14ac:dyDescent="0.2">
      <c r="C875" t="s">
        <v>112</v>
      </c>
      <c r="P875" t="s">
        <v>3461</v>
      </c>
    </row>
    <row r="876" spans="1:16" x14ac:dyDescent="0.2">
      <c r="C876" t="s">
        <v>112</v>
      </c>
      <c r="P876" t="s">
        <v>3461</v>
      </c>
    </row>
    <row r="877" spans="1:16" x14ac:dyDescent="0.2">
      <c r="C877" t="s">
        <v>112</v>
      </c>
      <c r="P877" t="s">
        <v>3461</v>
      </c>
    </row>
    <row r="878" spans="1:16" x14ac:dyDescent="0.2">
      <c r="C878" t="s">
        <v>112</v>
      </c>
      <c r="P878" t="s">
        <v>3461</v>
      </c>
    </row>
    <row r="879" spans="1:16" x14ac:dyDescent="0.2">
      <c r="C879" t="s">
        <v>112</v>
      </c>
      <c r="P879" t="s">
        <v>3461</v>
      </c>
    </row>
    <row r="880" spans="1:16" x14ac:dyDescent="0.2">
      <c r="C880" t="s">
        <v>112</v>
      </c>
      <c r="P880" t="s">
        <v>3461</v>
      </c>
    </row>
    <row r="881" spans="3:16" x14ac:dyDescent="0.2">
      <c r="C881" t="s">
        <v>112</v>
      </c>
      <c r="P881" t="s">
        <v>3461</v>
      </c>
    </row>
    <row r="882" spans="3:16" x14ac:dyDescent="0.2">
      <c r="C882" t="s">
        <v>112</v>
      </c>
      <c r="P882" t="s">
        <v>3461</v>
      </c>
    </row>
    <row r="883" spans="3:16" x14ac:dyDescent="0.2">
      <c r="C883" t="s">
        <v>112</v>
      </c>
      <c r="P883" t="s">
        <v>3461</v>
      </c>
    </row>
    <row r="884" spans="3:16" x14ac:dyDescent="0.2">
      <c r="C884" t="s">
        <v>112</v>
      </c>
      <c r="P884" t="s">
        <v>3461</v>
      </c>
    </row>
    <row r="885" spans="3:16" x14ac:dyDescent="0.2">
      <c r="C885" t="s">
        <v>112</v>
      </c>
      <c r="P885" t="s">
        <v>3461</v>
      </c>
    </row>
    <row r="886" spans="3:16" x14ac:dyDescent="0.2">
      <c r="C886" t="s">
        <v>112</v>
      </c>
      <c r="P886" t="s">
        <v>3461</v>
      </c>
    </row>
    <row r="887" spans="3:16" x14ac:dyDescent="0.2">
      <c r="C887" t="s">
        <v>112</v>
      </c>
      <c r="P887" t="s">
        <v>3461</v>
      </c>
    </row>
    <row r="888" spans="3:16" x14ac:dyDescent="0.2">
      <c r="C888" t="s">
        <v>112</v>
      </c>
      <c r="P888" t="s">
        <v>3461</v>
      </c>
    </row>
    <row r="889" spans="3:16" x14ac:dyDescent="0.2">
      <c r="C889" t="s">
        <v>112</v>
      </c>
      <c r="P889" t="s">
        <v>3461</v>
      </c>
    </row>
    <row r="890" spans="3:16" x14ac:dyDescent="0.2">
      <c r="C890" t="s">
        <v>112</v>
      </c>
      <c r="P890" t="s">
        <v>3461</v>
      </c>
    </row>
    <row r="891" spans="3:16" x14ac:dyDescent="0.2">
      <c r="C891" t="s">
        <v>112</v>
      </c>
      <c r="P891" t="s">
        <v>3461</v>
      </c>
    </row>
    <row r="892" spans="3:16" x14ac:dyDescent="0.2">
      <c r="C892" t="s">
        <v>112</v>
      </c>
      <c r="P892" t="s">
        <v>3461</v>
      </c>
    </row>
    <row r="893" spans="3:16" x14ac:dyDescent="0.2">
      <c r="C893" t="s">
        <v>112</v>
      </c>
      <c r="P893" t="s">
        <v>3461</v>
      </c>
    </row>
    <row r="894" spans="3:16" x14ac:dyDescent="0.2">
      <c r="C894" t="s">
        <v>112</v>
      </c>
      <c r="P894" t="s">
        <v>3461</v>
      </c>
    </row>
    <row r="895" spans="3:16" x14ac:dyDescent="0.2">
      <c r="C895" t="s">
        <v>112</v>
      </c>
      <c r="P895" t="s">
        <v>3461</v>
      </c>
    </row>
    <row r="896" spans="3:16" x14ac:dyDescent="0.2">
      <c r="C896" t="s">
        <v>112</v>
      </c>
      <c r="P896" t="s">
        <v>3461</v>
      </c>
    </row>
    <row r="897" spans="3:16" x14ac:dyDescent="0.2">
      <c r="C897" t="s">
        <v>112</v>
      </c>
      <c r="P897" t="s">
        <v>3461</v>
      </c>
    </row>
    <row r="898" spans="3:16" x14ac:dyDescent="0.2">
      <c r="C898" t="s">
        <v>112</v>
      </c>
      <c r="P898" t="s">
        <v>3461</v>
      </c>
    </row>
    <row r="899" spans="3:16" x14ac:dyDescent="0.2">
      <c r="C899" t="s">
        <v>112</v>
      </c>
      <c r="P899" t="s">
        <v>3461</v>
      </c>
    </row>
    <row r="900" spans="3:16" x14ac:dyDescent="0.2">
      <c r="C900" t="s">
        <v>112</v>
      </c>
      <c r="P900" t="s">
        <v>3461</v>
      </c>
    </row>
    <row r="901" spans="3:16" x14ac:dyDescent="0.2">
      <c r="C901" t="s">
        <v>112</v>
      </c>
      <c r="P901" t="s">
        <v>3461</v>
      </c>
    </row>
    <row r="902" spans="3:16" x14ac:dyDescent="0.2">
      <c r="C902" t="s">
        <v>112</v>
      </c>
      <c r="P902" t="s">
        <v>3461</v>
      </c>
    </row>
    <row r="903" spans="3:16" x14ac:dyDescent="0.2">
      <c r="C903" t="s">
        <v>112</v>
      </c>
      <c r="P903" t="s">
        <v>3461</v>
      </c>
    </row>
    <row r="904" spans="3:16" x14ac:dyDescent="0.2">
      <c r="C904" t="s">
        <v>112</v>
      </c>
      <c r="P904" t="s">
        <v>3461</v>
      </c>
    </row>
    <row r="905" spans="3:16" x14ac:dyDescent="0.2">
      <c r="C905" t="s">
        <v>112</v>
      </c>
      <c r="P905" t="s">
        <v>3461</v>
      </c>
    </row>
    <row r="906" spans="3:16" x14ac:dyDescent="0.2">
      <c r="C906" t="s">
        <v>112</v>
      </c>
      <c r="P906" t="s">
        <v>3461</v>
      </c>
    </row>
    <row r="907" spans="3:16" x14ac:dyDescent="0.2">
      <c r="C907" t="s">
        <v>112</v>
      </c>
      <c r="P907" t="s">
        <v>3461</v>
      </c>
    </row>
    <row r="908" spans="3:16" x14ac:dyDescent="0.2">
      <c r="C908" t="s">
        <v>112</v>
      </c>
      <c r="P908" t="s">
        <v>3461</v>
      </c>
    </row>
    <row r="909" spans="3:16" x14ac:dyDescent="0.2">
      <c r="C909" t="s">
        <v>112</v>
      </c>
      <c r="P909" t="s">
        <v>3461</v>
      </c>
    </row>
    <row r="910" spans="3:16" x14ac:dyDescent="0.2">
      <c r="C910" t="s">
        <v>112</v>
      </c>
      <c r="P910" t="s">
        <v>3461</v>
      </c>
    </row>
    <row r="911" spans="3:16" x14ac:dyDescent="0.2">
      <c r="C911" t="s">
        <v>112</v>
      </c>
      <c r="P911" t="s">
        <v>3461</v>
      </c>
    </row>
    <row r="912" spans="3:16" x14ac:dyDescent="0.2">
      <c r="C912" t="s">
        <v>112</v>
      </c>
      <c r="P912" t="s">
        <v>3461</v>
      </c>
    </row>
    <row r="913" spans="3:16" x14ac:dyDescent="0.2">
      <c r="C913" t="s">
        <v>112</v>
      </c>
      <c r="P913" t="s">
        <v>3461</v>
      </c>
    </row>
    <row r="914" spans="3:16" x14ac:dyDescent="0.2">
      <c r="C914" t="s">
        <v>112</v>
      </c>
      <c r="P914" t="s">
        <v>3461</v>
      </c>
    </row>
    <row r="915" spans="3:16" x14ac:dyDescent="0.2">
      <c r="C915" t="s">
        <v>112</v>
      </c>
      <c r="P915" t="s">
        <v>3461</v>
      </c>
    </row>
    <row r="916" spans="3:16" x14ac:dyDescent="0.2">
      <c r="C916" t="s">
        <v>112</v>
      </c>
      <c r="P916" t="s">
        <v>3461</v>
      </c>
    </row>
    <row r="917" spans="3:16" x14ac:dyDescent="0.2">
      <c r="C917" t="s">
        <v>112</v>
      </c>
      <c r="P917" t="s">
        <v>3461</v>
      </c>
    </row>
    <row r="918" spans="3:16" x14ac:dyDescent="0.2">
      <c r="C918" t="s">
        <v>112</v>
      </c>
      <c r="P918" t="s">
        <v>3461</v>
      </c>
    </row>
    <row r="919" spans="3:16" x14ac:dyDescent="0.2">
      <c r="C919" t="s">
        <v>112</v>
      </c>
      <c r="P919" t="s">
        <v>3461</v>
      </c>
    </row>
    <row r="920" spans="3:16" x14ac:dyDescent="0.2">
      <c r="C920" t="s">
        <v>112</v>
      </c>
      <c r="P920" t="s">
        <v>3461</v>
      </c>
    </row>
    <row r="921" spans="3:16" x14ac:dyDescent="0.2">
      <c r="C921" t="s">
        <v>112</v>
      </c>
      <c r="P921" t="s">
        <v>3461</v>
      </c>
    </row>
    <row r="922" spans="3:16" x14ac:dyDescent="0.2">
      <c r="C922" t="s">
        <v>112</v>
      </c>
      <c r="P922" t="s">
        <v>3461</v>
      </c>
    </row>
    <row r="923" spans="3:16" x14ac:dyDescent="0.2">
      <c r="C923" t="s">
        <v>112</v>
      </c>
      <c r="P923" t="s">
        <v>3461</v>
      </c>
    </row>
    <row r="924" spans="3:16" x14ac:dyDescent="0.2">
      <c r="C924" t="s">
        <v>112</v>
      </c>
      <c r="P924" t="s">
        <v>3461</v>
      </c>
    </row>
    <row r="925" spans="3:16" x14ac:dyDescent="0.2">
      <c r="C925" t="s">
        <v>112</v>
      </c>
      <c r="P925" t="s">
        <v>3461</v>
      </c>
    </row>
    <row r="926" spans="3:16" x14ac:dyDescent="0.2">
      <c r="C926" t="s">
        <v>112</v>
      </c>
      <c r="P926" t="s">
        <v>3461</v>
      </c>
    </row>
    <row r="927" spans="3:16" x14ac:dyDescent="0.2">
      <c r="C927" t="s">
        <v>112</v>
      </c>
      <c r="P927" t="s">
        <v>3461</v>
      </c>
    </row>
    <row r="928" spans="3:16" x14ac:dyDescent="0.2">
      <c r="C928" t="s">
        <v>112</v>
      </c>
      <c r="P928" t="s">
        <v>3461</v>
      </c>
    </row>
    <row r="929" spans="3:16" x14ac:dyDescent="0.2">
      <c r="C929" t="s">
        <v>112</v>
      </c>
      <c r="P929" t="s">
        <v>3461</v>
      </c>
    </row>
    <row r="930" spans="3:16" x14ac:dyDescent="0.2">
      <c r="C930" t="s">
        <v>112</v>
      </c>
      <c r="P930" t="s">
        <v>3461</v>
      </c>
    </row>
    <row r="931" spans="3:16" x14ac:dyDescent="0.2">
      <c r="C931" t="s">
        <v>112</v>
      </c>
      <c r="P931" t="s">
        <v>3461</v>
      </c>
    </row>
    <row r="932" spans="3:16" x14ac:dyDescent="0.2">
      <c r="C932" t="s">
        <v>112</v>
      </c>
      <c r="P932" t="s">
        <v>3461</v>
      </c>
    </row>
    <row r="933" spans="3:16" x14ac:dyDescent="0.2">
      <c r="C933" t="s">
        <v>112</v>
      </c>
      <c r="P933" t="s">
        <v>3461</v>
      </c>
    </row>
    <row r="934" spans="3:16" x14ac:dyDescent="0.2">
      <c r="C934" t="s">
        <v>112</v>
      </c>
      <c r="P934" t="s">
        <v>3461</v>
      </c>
    </row>
    <row r="935" spans="3:16" x14ac:dyDescent="0.2">
      <c r="C935" t="s">
        <v>112</v>
      </c>
      <c r="P935" t="s">
        <v>3461</v>
      </c>
    </row>
    <row r="936" spans="3:16" x14ac:dyDescent="0.2">
      <c r="C936" t="s">
        <v>112</v>
      </c>
      <c r="P936" t="s">
        <v>3461</v>
      </c>
    </row>
    <row r="937" spans="3:16" x14ac:dyDescent="0.2">
      <c r="C937" t="s">
        <v>112</v>
      </c>
      <c r="P937" t="s">
        <v>3461</v>
      </c>
    </row>
    <row r="938" spans="3:16" x14ac:dyDescent="0.2">
      <c r="C938" t="s">
        <v>112</v>
      </c>
      <c r="P938" t="s">
        <v>3461</v>
      </c>
    </row>
    <row r="939" spans="3:16" x14ac:dyDescent="0.2">
      <c r="C939" t="s">
        <v>112</v>
      </c>
      <c r="P939" t="s">
        <v>3461</v>
      </c>
    </row>
    <row r="940" spans="3:16" x14ac:dyDescent="0.2">
      <c r="C940" t="s">
        <v>112</v>
      </c>
      <c r="P940" t="s">
        <v>3461</v>
      </c>
    </row>
    <row r="941" spans="3:16" x14ac:dyDescent="0.2">
      <c r="C941" t="s">
        <v>112</v>
      </c>
      <c r="P941" t="s">
        <v>3461</v>
      </c>
    </row>
    <row r="942" spans="3:16" x14ac:dyDescent="0.2">
      <c r="C942" t="s">
        <v>112</v>
      </c>
      <c r="P942" t="s">
        <v>3461</v>
      </c>
    </row>
    <row r="943" spans="3:16" x14ac:dyDescent="0.2">
      <c r="C943" t="s">
        <v>112</v>
      </c>
      <c r="P943" t="s">
        <v>3461</v>
      </c>
    </row>
    <row r="944" spans="3:16" x14ac:dyDescent="0.2">
      <c r="C944" t="s">
        <v>112</v>
      </c>
      <c r="P944" t="s">
        <v>3461</v>
      </c>
    </row>
    <row r="945" spans="3:16" x14ac:dyDescent="0.2">
      <c r="C945" t="s">
        <v>112</v>
      </c>
      <c r="P945" t="s">
        <v>3461</v>
      </c>
    </row>
    <row r="946" spans="3:16" x14ac:dyDescent="0.2">
      <c r="C946" t="s">
        <v>112</v>
      </c>
      <c r="P946" t="s">
        <v>3461</v>
      </c>
    </row>
    <row r="947" spans="3:16" x14ac:dyDescent="0.2">
      <c r="C947" t="s">
        <v>112</v>
      </c>
      <c r="P947" t="s">
        <v>3461</v>
      </c>
    </row>
    <row r="948" spans="3:16" x14ac:dyDescent="0.2">
      <c r="C948" t="s">
        <v>112</v>
      </c>
      <c r="P948" t="s">
        <v>3461</v>
      </c>
    </row>
    <row r="949" spans="3:16" x14ac:dyDescent="0.2">
      <c r="C949" t="s">
        <v>112</v>
      </c>
      <c r="P949" t="s">
        <v>3461</v>
      </c>
    </row>
  </sheetData>
  <phoneticPr fontId="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pageSetUpPr fitToPage="1"/>
  </sheetPr>
  <dimension ref="A1:AN66"/>
  <sheetViews>
    <sheetView showGridLines="0" tabSelected="1" topLeftCell="A35" zoomScaleNormal="100" zoomScaleSheetLayoutView="90" workbookViewId="0">
      <selection activeCell="C14" sqref="C14"/>
    </sheetView>
  </sheetViews>
  <sheetFormatPr defaultRowHeight="15" customHeight="1" x14ac:dyDescent="0.2"/>
  <cols>
    <col min="1" max="1" width="11.5" style="1" customWidth="1"/>
    <col min="2" max="2" width="10.1640625" style="1" customWidth="1"/>
    <col min="3" max="3" width="16" style="4" customWidth="1"/>
    <col min="4" max="4" width="4.33203125" style="1" customWidth="1"/>
    <col min="5" max="5" width="5.83203125" style="11" bestFit="1" customWidth="1"/>
    <col min="6" max="6" width="5.6640625" style="12" bestFit="1" customWidth="1"/>
    <col min="7" max="7" width="15.33203125" style="1" customWidth="1"/>
    <col min="8" max="8" width="8.33203125" style="1" customWidth="1"/>
    <col min="9" max="9" width="9.83203125" style="1" bestFit="1" customWidth="1"/>
    <col min="10" max="10" width="6.1640625" style="6" bestFit="1" customWidth="1"/>
    <col min="11" max="11" width="6.6640625" style="1" bestFit="1" customWidth="1"/>
    <col min="12" max="12" width="7.5" style="5" bestFit="1" customWidth="1"/>
    <col min="13" max="13" width="20" style="1" bestFit="1" customWidth="1"/>
    <col min="14" max="14" width="6.83203125" style="1" customWidth="1"/>
    <col min="15" max="15" width="8.5" style="4" bestFit="1" customWidth="1"/>
    <col min="16" max="16" width="6.83203125" style="4" customWidth="1"/>
    <col min="17" max="17" width="5.1640625" style="4" customWidth="1"/>
    <col min="18" max="18" width="6.33203125" style="4" customWidth="1"/>
    <col min="19" max="19" width="8.6640625" style="1" bestFit="1" customWidth="1"/>
    <col min="20" max="20" width="5" style="1" bestFit="1" customWidth="1"/>
    <col min="21" max="21" width="8.33203125" style="1" bestFit="1" customWidth="1"/>
    <col min="22" max="22" width="5" style="1" bestFit="1" customWidth="1"/>
    <col min="23" max="23" width="4.1640625" style="1" bestFit="1" customWidth="1"/>
    <col min="24" max="24" width="7.33203125" style="1" customWidth="1"/>
    <col min="25" max="25" width="14.5" style="1" bestFit="1" customWidth="1"/>
    <col min="26" max="26" width="7" style="1" customWidth="1"/>
    <col min="27" max="27" width="7.6640625" style="1" bestFit="1" customWidth="1"/>
    <col min="28" max="28" width="5" style="1" bestFit="1" customWidth="1"/>
    <col min="29" max="30" width="5" style="1" customWidth="1"/>
    <col min="31" max="31" width="5.6640625" style="1" customWidth="1"/>
    <col min="32" max="32" width="24.33203125" style="1" bestFit="1" customWidth="1"/>
    <col min="33" max="33" width="38" style="1" customWidth="1"/>
    <col min="34" max="37" width="9.1640625" style="1" customWidth="1"/>
    <col min="38" max="38" width="33.5" style="3" customWidth="1"/>
    <col min="39" max="39" width="26.6640625" style="1" bestFit="1" customWidth="1"/>
    <col min="40" max="16384" width="9.33203125" style="1"/>
  </cols>
  <sheetData>
    <row r="1" spans="1:40" ht="32.25" customHeight="1" thickBot="1" x14ac:dyDescent="0.25">
      <c r="A1" s="135" t="s">
        <v>52</v>
      </c>
      <c r="B1" s="136"/>
      <c r="C1" s="136"/>
      <c r="D1" s="136"/>
      <c r="E1" s="136"/>
      <c r="F1" s="136"/>
      <c r="G1" s="136"/>
      <c r="H1" s="136"/>
      <c r="I1" s="136"/>
      <c r="J1" s="136"/>
      <c r="K1" s="136"/>
      <c r="L1" s="136"/>
      <c r="M1" s="136"/>
      <c r="N1" s="136"/>
      <c r="O1" s="136"/>
      <c r="P1" s="136"/>
      <c r="Q1" s="136"/>
      <c r="R1" s="136"/>
      <c r="S1" s="69"/>
      <c r="T1" s="132" t="s">
        <v>60</v>
      </c>
      <c r="U1" s="133"/>
      <c r="V1" s="133"/>
      <c r="W1" s="133"/>
      <c r="X1" s="133"/>
      <c r="Y1" s="133"/>
      <c r="Z1" s="133"/>
      <c r="AA1" s="133"/>
      <c r="AB1" s="133"/>
      <c r="AC1" s="133"/>
      <c r="AD1" s="133"/>
      <c r="AE1" s="133"/>
      <c r="AF1" s="133"/>
      <c r="AG1" s="133"/>
      <c r="AH1" s="133"/>
      <c r="AI1" s="133"/>
      <c r="AJ1" s="133"/>
      <c r="AK1" s="134"/>
      <c r="AL1" s="126" t="s">
        <v>100</v>
      </c>
    </row>
    <row r="2" spans="1:40" ht="18" customHeight="1" thickBot="1" x14ac:dyDescent="0.25">
      <c r="A2" s="120" t="s">
        <v>51</v>
      </c>
      <c r="B2" s="121"/>
      <c r="C2" s="117" t="str">
        <f>IFERROR(IF(VLOOKUP(TRIM($B$6), Foglio1!$B$2:$I$1167, 3, FALSE) = 0, "", VLOOKUP(TRIM($B$6), Foglio1!$B$2:$I$1167, 3, FALSE)), "")</f>
        <v>SOBONO ENERGY</v>
      </c>
      <c r="D2" s="118"/>
      <c r="E2" s="118"/>
      <c r="F2" s="118"/>
      <c r="G2" s="118"/>
      <c r="H2" s="119"/>
      <c r="I2" s="57" t="s">
        <v>89</v>
      </c>
      <c r="J2" s="53">
        <v>0</v>
      </c>
      <c r="K2" s="30" t="s">
        <v>90</v>
      </c>
      <c r="L2" s="107" t="s">
        <v>3140</v>
      </c>
      <c r="M2" s="107"/>
      <c r="N2" s="31" t="s">
        <v>63</v>
      </c>
      <c r="O2" s="122">
        <v>45755</v>
      </c>
      <c r="P2" s="123"/>
      <c r="Q2" s="88" t="s">
        <v>65</v>
      </c>
      <c r="R2" s="89"/>
      <c r="S2" s="90"/>
      <c r="T2" s="111" t="s">
        <v>107</v>
      </c>
      <c r="U2" s="112"/>
      <c r="V2" s="112"/>
      <c r="W2" s="112"/>
      <c r="X2" s="112"/>
      <c r="Y2" s="112"/>
      <c r="Z2" s="112"/>
      <c r="AA2" s="112"/>
      <c r="AB2" s="112"/>
      <c r="AC2" s="112"/>
      <c r="AD2" s="112"/>
      <c r="AE2" s="112"/>
      <c r="AF2" s="112"/>
      <c r="AG2" s="112"/>
      <c r="AH2" s="112"/>
      <c r="AI2" s="112"/>
      <c r="AJ2" s="112"/>
      <c r="AK2" s="112"/>
      <c r="AL2" s="127"/>
    </row>
    <row r="3" spans="1:40" ht="18" customHeight="1" thickBot="1" x14ac:dyDescent="0.25">
      <c r="A3" s="120" t="s">
        <v>111</v>
      </c>
      <c r="B3" s="121"/>
      <c r="C3" s="117" t="str">
        <f>IFERROR(IF(VLOOKUP(TRIM($B$6), Foglio1!$B$2:$I$1167, 4, FALSE) = 0, "", VLOOKUP(TRIM($B$6), Foglio1!$B$2:$I$1167, 4, FALSE)), "")</f>
        <v/>
      </c>
      <c r="D3" s="118"/>
      <c r="E3" s="118"/>
      <c r="F3" s="118"/>
      <c r="G3" s="118"/>
      <c r="H3" s="119"/>
      <c r="I3" s="58" t="s">
        <v>89</v>
      </c>
      <c r="J3" s="54">
        <v>1</v>
      </c>
      <c r="K3" s="32" t="s">
        <v>90</v>
      </c>
      <c r="L3" s="144" t="s">
        <v>3140</v>
      </c>
      <c r="M3" s="144"/>
      <c r="N3" s="33" t="s">
        <v>63</v>
      </c>
      <c r="O3" s="137">
        <v>45765</v>
      </c>
      <c r="P3" s="138"/>
      <c r="Q3" s="91"/>
      <c r="R3" s="92"/>
      <c r="S3" s="93"/>
      <c r="T3" s="113"/>
      <c r="U3" s="114"/>
      <c r="V3" s="114"/>
      <c r="W3" s="114"/>
      <c r="X3" s="114"/>
      <c r="Y3" s="114"/>
      <c r="Z3" s="114"/>
      <c r="AA3" s="114"/>
      <c r="AB3" s="114"/>
      <c r="AC3" s="114"/>
      <c r="AD3" s="114"/>
      <c r="AE3" s="114"/>
      <c r="AF3" s="114"/>
      <c r="AG3" s="114"/>
      <c r="AH3" s="114"/>
      <c r="AI3" s="114"/>
      <c r="AJ3" s="114"/>
      <c r="AK3" s="114"/>
      <c r="AL3" s="127"/>
    </row>
    <row r="4" spans="1:40" ht="18" customHeight="1" thickBot="1" x14ac:dyDescent="0.25">
      <c r="A4" s="120" t="s">
        <v>2927</v>
      </c>
      <c r="B4" s="121"/>
      <c r="C4" s="117" t="str">
        <f>IFERROR(IF(VLOOKUP(TRIM($B$6), Foglio1!$B$2:$I$1167, 5, FALSE) = 0, "", VLOOKUP(TRIM($B$6), Foglio1!$B$2:$I$1167, 5, FALSE)), "")</f>
        <v>Energy Plant</v>
      </c>
      <c r="D4" s="118"/>
      <c r="E4" s="118"/>
      <c r="F4" s="118"/>
      <c r="G4" s="118"/>
      <c r="H4" s="119"/>
      <c r="I4" s="58" t="s">
        <v>89</v>
      </c>
      <c r="J4" s="54">
        <v>2</v>
      </c>
      <c r="K4" s="32" t="s">
        <v>90</v>
      </c>
      <c r="L4" s="144" t="s">
        <v>3140</v>
      </c>
      <c r="M4" s="144"/>
      <c r="N4" s="33" t="s">
        <v>63</v>
      </c>
      <c r="O4" s="137">
        <v>45824</v>
      </c>
      <c r="P4" s="138"/>
      <c r="Q4" s="94" t="s">
        <v>3462</v>
      </c>
      <c r="R4" s="95"/>
      <c r="S4" s="96"/>
      <c r="T4" s="115"/>
      <c r="U4" s="116"/>
      <c r="V4" s="116"/>
      <c r="W4" s="116"/>
      <c r="X4" s="116"/>
      <c r="Y4" s="116"/>
      <c r="Z4" s="116"/>
      <c r="AA4" s="116"/>
      <c r="AB4" s="116"/>
      <c r="AC4" s="116"/>
      <c r="AD4" s="116"/>
      <c r="AE4" s="116"/>
      <c r="AF4" s="116"/>
      <c r="AG4" s="116"/>
      <c r="AH4" s="116"/>
      <c r="AI4" s="116"/>
      <c r="AJ4" s="116"/>
      <c r="AK4" s="116"/>
      <c r="AL4" s="127"/>
    </row>
    <row r="5" spans="1:40" ht="18" customHeight="1" x14ac:dyDescent="0.2">
      <c r="A5" s="120" t="s">
        <v>87</v>
      </c>
      <c r="B5" s="121"/>
      <c r="C5" s="117" t="str">
        <f>IFERROR(IF(VLOOKUP(TRIM($B$6), Foglio1!$B$2:$I$1167, 7, FALSE) = 0, "", VLOOKUP(TRIM($B$6), Foglio1!$B$2:$I$1167, 7, FALSE)), "")</f>
        <v>SINGAPORE</v>
      </c>
      <c r="D5" s="118"/>
      <c r="E5" s="118"/>
      <c r="F5" s="118"/>
      <c r="G5" s="118"/>
      <c r="H5" s="119"/>
      <c r="I5" s="58" t="s">
        <v>89</v>
      </c>
      <c r="J5" s="74">
        <v>3</v>
      </c>
      <c r="K5" s="32" t="s">
        <v>90</v>
      </c>
      <c r="L5" s="144" t="s">
        <v>3140</v>
      </c>
      <c r="M5" s="144"/>
      <c r="N5" s="33" t="s">
        <v>63</v>
      </c>
      <c r="O5" s="137">
        <v>45855</v>
      </c>
      <c r="P5" s="138"/>
      <c r="Q5" s="97"/>
      <c r="R5" s="98"/>
      <c r="S5" s="99"/>
      <c r="T5" s="150" t="s">
        <v>104</v>
      </c>
      <c r="U5" s="151"/>
      <c r="V5" s="151"/>
      <c r="W5" s="151"/>
      <c r="X5" s="151"/>
      <c r="Y5" s="151"/>
      <c r="Z5" s="151"/>
      <c r="AA5" s="151"/>
      <c r="AB5" s="151"/>
      <c r="AC5" s="151"/>
      <c r="AD5" s="151"/>
      <c r="AE5" s="151"/>
      <c r="AF5" s="151"/>
      <c r="AG5" s="151"/>
      <c r="AH5" s="151"/>
      <c r="AI5" s="151"/>
      <c r="AJ5" s="151"/>
      <c r="AK5" s="152"/>
      <c r="AL5" s="128"/>
    </row>
    <row r="6" spans="1:40" ht="18" customHeight="1" thickBot="1" x14ac:dyDescent="0.25">
      <c r="A6" s="56" t="s">
        <v>59</v>
      </c>
      <c r="B6" s="105" t="s">
        <v>3395</v>
      </c>
      <c r="C6" s="106"/>
      <c r="D6" s="141" t="s">
        <v>88</v>
      </c>
      <c r="E6" s="141"/>
      <c r="F6" s="141"/>
      <c r="G6" s="142" t="str">
        <f>IFERROR(INDEX(Foglio1!A2:A1167, MATCH(TRIM($B$6), Foglio1!B2:B1167, 0)),"-")</f>
        <v>IT0012025TRT00044</v>
      </c>
      <c r="H6" s="143"/>
      <c r="I6" s="59" t="s">
        <v>89</v>
      </c>
      <c r="J6" s="55"/>
      <c r="K6" s="34" t="s">
        <v>90</v>
      </c>
      <c r="L6" s="145"/>
      <c r="M6" s="145"/>
      <c r="N6" s="35" t="s">
        <v>63</v>
      </c>
      <c r="O6" s="139"/>
      <c r="P6" s="140"/>
      <c r="Q6" s="100"/>
      <c r="R6" s="101"/>
      <c r="S6" s="102"/>
      <c r="T6" s="153" t="s">
        <v>105</v>
      </c>
      <c r="U6" s="154"/>
      <c r="V6" s="154"/>
      <c r="W6" s="154"/>
      <c r="X6" s="154"/>
      <c r="Y6" s="154"/>
      <c r="Z6" s="154"/>
      <c r="AA6" s="154"/>
      <c r="AB6" s="154"/>
      <c r="AC6" s="154"/>
      <c r="AD6" s="154"/>
      <c r="AE6" s="154"/>
      <c r="AF6" s="154"/>
      <c r="AG6" s="154"/>
      <c r="AH6" s="154"/>
      <c r="AI6" s="154"/>
      <c r="AJ6" s="154"/>
      <c r="AK6" s="155"/>
      <c r="AL6" s="128"/>
    </row>
    <row r="7" spans="1:40" ht="20.25" customHeight="1" thickBot="1" x14ac:dyDescent="0.25">
      <c r="A7" s="38"/>
      <c r="B7" s="39"/>
      <c r="C7" s="39"/>
      <c r="D7" s="39"/>
      <c r="E7" s="39"/>
      <c r="F7" s="39"/>
      <c r="G7" s="39"/>
      <c r="H7" s="39"/>
      <c r="I7" s="39"/>
      <c r="J7" s="39"/>
      <c r="K7" s="39"/>
      <c r="L7" s="39"/>
      <c r="M7" s="39"/>
      <c r="N7" s="39"/>
      <c r="O7" s="39"/>
      <c r="P7" s="39"/>
      <c r="Q7" s="39"/>
      <c r="R7" s="39"/>
      <c r="S7" s="40"/>
      <c r="T7" s="148"/>
      <c r="U7" s="148"/>
      <c r="V7" s="148"/>
      <c r="W7" s="148"/>
      <c r="X7" s="148"/>
      <c r="Y7" s="148"/>
      <c r="Z7" s="148"/>
      <c r="AA7" s="148"/>
      <c r="AB7" s="148"/>
      <c r="AC7" s="148"/>
      <c r="AD7" s="148"/>
      <c r="AE7" s="148"/>
      <c r="AF7" s="148"/>
      <c r="AG7" s="148"/>
      <c r="AH7" s="148"/>
      <c r="AI7" s="148"/>
      <c r="AJ7" s="148"/>
      <c r="AK7" s="149"/>
      <c r="AL7" s="129"/>
    </row>
    <row r="8" spans="1:40" s="29" customFormat="1" ht="23.25" customHeight="1" x14ac:dyDescent="0.2">
      <c r="A8" s="103" t="s">
        <v>61</v>
      </c>
      <c r="B8" s="86" t="s">
        <v>66</v>
      </c>
      <c r="C8" s="86" t="s">
        <v>62</v>
      </c>
      <c r="D8" s="124" t="s">
        <v>68</v>
      </c>
      <c r="E8" s="108" t="s">
        <v>69</v>
      </c>
      <c r="F8" s="109"/>
      <c r="G8" s="109"/>
      <c r="H8" s="109"/>
      <c r="I8" s="109"/>
      <c r="J8" s="109"/>
      <c r="K8" s="109"/>
      <c r="L8" s="109"/>
      <c r="M8" s="109"/>
      <c r="N8" s="109"/>
      <c r="O8" s="109"/>
      <c r="P8" s="109"/>
      <c r="Q8" s="109"/>
      <c r="R8" s="109"/>
      <c r="S8" s="109"/>
      <c r="T8" s="109"/>
      <c r="U8" s="109"/>
      <c r="V8" s="110"/>
      <c r="W8" s="158" t="s">
        <v>84</v>
      </c>
      <c r="X8" s="159"/>
      <c r="Y8" s="159"/>
      <c r="Z8" s="159"/>
      <c r="AA8" s="159"/>
      <c r="AB8" s="159"/>
      <c r="AC8" s="159"/>
      <c r="AD8" s="159"/>
      <c r="AE8" s="159"/>
      <c r="AF8" s="160"/>
      <c r="AG8" s="161" t="s">
        <v>58</v>
      </c>
      <c r="AH8" s="146" t="s">
        <v>54</v>
      </c>
      <c r="AI8" s="146" t="s">
        <v>106</v>
      </c>
      <c r="AJ8" s="156" t="s">
        <v>93</v>
      </c>
      <c r="AK8" s="156" t="s">
        <v>64</v>
      </c>
      <c r="AL8" s="130" t="s">
        <v>55</v>
      </c>
      <c r="AM8" s="62" t="s">
        <v>102</v>
      </c>
    </row>
    <row r="9" spans="1:40" s="29" customFormat="1" ht="137.25" thickBot="1" x14ac:dyDescent="0.25">
      <c r="A9" s="104"/>
      <c r="B9" s="87"/>
      <c r="C9" s="87"/>
      <c r="D9" s="125"/>
      <c r="E9" s="14" t="s">
        <v>71</v>
      </c>
      <c r="F9" s="14" t="s">
        <v>82</v>
      </c>
      <c r="G9" s="10" t="s">
        <v>72</v>
      </c>
      <c r="H9" s="9" t="s">
        <v>73</v>
      </c>
      <c r="I9" s="9" t="s">
        <v>53</v>
      </c>
      <c r="J9" s="13" t="s">
        <v>74</v>
      </c>
      <c r="K9" s="14" t="s">
        <v>80</v>
      </c>
      <c r="L9" s="17" t="s">
        <v>75</v>
      </c>
      <c r="M9" s="15" t="s">
        <v>81</v>
      </c>
      <c r="N9" s="15" t="s">
        <v>76</v>
      </c>
      <c r="O9" s="18" t="s">
        <v>77</v>
      </c>
      <c r="P9" s="24" t="s">
        <v>95</v>
      </c>
      <c r="Q9" s="25" t="s">
        <v>86</v>
      </c>
      <c r="R9" s="18" t="s">
        <v>108</v>
      </c>
      <c r="S9" s="14" t="s">
        <v>78</v>
      </c>
      <c r="T9" s="14" t="s">
        <v>79</v>
      </c>
      <c r="U9" s="14" t="s">
        <v>83</v>
      </c>
      <c r="V9" s="16" t="s">
        <v>56</v>
      </c>
      <c r="W9" s="19" t="s">
        <v>70</v>
      </c>
      <c r="X9" s="26" t="s">
        <v>94</v>
      </c>
      <c r="Y9" s="21" t="s">
        <v>57</v>
      </c>
      <c r="Z9" s="26" t="s">
        <v>91</v>
      </c>
      <c r="AA9" s="23" t="s">
        <v>85</v>
      </c>
      <c r="AB9" s="20" t="s">
        <v>92</v>
      </c>
      <c r="AC9" s="24" t="s">
        <v>110</v>
      </c>
      <c r="AD9" s="24" t="s">
        <v>109</v>
      </c>
      <c r="AE9" s="23" t="s">
        <v>101</v>
      </c>
      <c r="AF9" s="22" t="s">
        <v>67</v>
      </c>
      <c r="AG9" s="162"/>
      <c r="AH9" s="147"/>
      <c r="AI9" s="147"/>
      <c r="AJ9" s="157"/>
      <c r="AK9" s="157"/>
      <c r="AL9" s="131"/>
      <c r="AM9" s="63" t="s">
        <v>103</v>
      </c>
    </row>
    <row r="10" spans="1:40" s="8" customFormat="1" ht="18" customHeight="1" x14ac:dyDescent="0.2">
      <c r="A10" s="50"/>
      <c r="B10" s="41"/>
      <c r="C10" s="42"/>
      <c r="D10" s="43"/>
      <c r="E10" s="65"/>
      <c r="F10" s="66"/>
      <c r="G10" s="67"/>
      <c r="H10" s="67"/>
      <c r="I10" s="67"/>
      <c r="J10" s="67"/>
      <c r="K10" s="67"/>
      <c r="L10" s="67"/>
      <c r="M10" s="67"/>
      <c r="N10" s="67"/>
      <c r="O10" s="67"/>
      <c r="P10" s="68"/>
      <c r="Q10" s="68"/>
      <c r="R10" s="67"/>
      <c r="S10" s="67"/>
      <c r="T10" s="67"/>
      <c r="U10" s="67"/>
      <c r="V10" s="67"/>
      <c r="W10" s="67"/>
      <c r="X10" s="67"/>
      <c r="Y10" s="67"/>
      <c r="Z10" s="67"/>
      <c r="AA10" s="67"/>
      <c r="AB10" s="67"/>
      <c r="AC10" s="67"/>
      <c r="AD10" s="67"/>
      <c r="AE10" s="67"/>
      <c r="AF10" s="67"/>
      <c r="AG10" s="67"/>
      <c r="AH10" s="67"/>
      <c r="AI10" s="67"/>
      <c r="AJ10" s="67"/>
      <c r="AK10" s="67"/>
      <c r="AL10" s="27"/>
      <c r="AM10" s="64"/>
    </row>
    <row r="11" spans="1:40" s="8" customFormat="1" ht="18" customHeight="1" x14ac:dyDescent="0.2">
      <c r="A11" s="50" t="s">
        <v>3131</v>
      </c>
      <c r="B11" s="41" t="s">
        <v>3114</v>
      </c>
      <c r="C11" s="42" t="s">
        <v>3097</v>
      </c>
      <c r="D11" s="43">
        <v>1</v>
      </c>
      <c r="E11" s="65" t="str">
        <f>IF($A11&gt;0,VLOOKUP($A11,[1]Foglio1!$A$1:$IV$65536,2,FALSE)," ")</f>
        <v>MR</v>
      </c>
      <c r="F11" s="66">
        <f>IF($A11&gt;0,VLOOKUP($A11,[1]Foglio1!$A$1:$IV$65536,3,FALSE)," ")</f>
        <v>0.55000000000000004</v>
      </c>
      <c r="G11" s="67">
        <f t="shared" ref="G11" si="0">H11*R11/50</f>
        <v>3.9</v>
      </c>
      <c r="H11" s="67">
        <f>IF($A11&gt;0,VLOOKUP($A11,[1]Foglio1!$A$1:$IV$65536,4,FALSE)," ")</f>
        <v>3.9</v>
      </c>
      <c r="I11" s="67" t="str">
        <f>IF($A11&gt;0,VLOOKUP($A11,[1]Foglio1!$A$1:$IV$65536,5,FALSE)," ")</f>
        <v>KA77R37</v>
      </c>
      <c r="J11" s="67">
        <f>IF($A11&gt;0,VLOOKUP($A11,[1]Foglio1!$A$1:$IV$65536,6,FALSE)," ")</f>
        <v>1210</v>
      </c>
      <c r="K11" s="67">
        <f>IF($A11&gt;0,VLOOKUP($A11,[1]Foglio1!$A$1:$IV$65536,7,FALSE)," ")</f>
        <v>367</v>
      </c>
      <c r="L11" s="67">
        <f>IF($A11&gt;0,VLOOKUP($A11,[1]Foglio1!$A$1:$IV$65536,8,FALSE)," ")</f>
        <v>1.25</v>
      </c>
      <c r="M11" s="67" t="str">
        <f>IF($A11&gt;0,VLOOKUP($A11,[1]Foglio1!$A$1:$IV$65536,9,FALSE)," ")</f>
        <v>M3B</v>
      </c>
      <c r="N11" s="67" t="str">
        <f>IF($A11&gt;0,VLOOKUP($A11,[1]Foglio1!$A$1:$IV$65536,10,FALSE)," ")</f>
        <v>IE3</v>
      </c>
      <c r="O11" s="67" t="str">
        <f>IF($A11&gt;0,VLOOKUP($A11,[1]Foglio1!$A$1:$IV$65536,11,FALSE)," ")</f>
        <v>230/400</v>
      </c>
      <c r="P11" s="68"/>
      <c r="Q11" s="68"/>
      <c r="R11" s="67">
        <f>IF($A11&gt;0,VLOOKUP($A11,[1]Foglio1!$A$1:$IV$65536,12,FALSE)," ")</f>
        <v>50</v>
      </c>
      <c r="S11" s="67" t="str">
        <f>IF($A11&gt;0,VLOOKUP($A11,[1]Foglio1!$A$1:$IV$65536,13,FALSE)," ")</f>
        <v>2,25/1,29</v>
      </c>
      <c r="T11" s="67">
        <f>IF($A11&gt;0,VLOOKUP($A11,[1]Foglio1!$A$1:$IV$65536,14,FALSE)," ")</f>
        <v>55</v>
      </c>
      <c r="U11" s="67" t="str">
        <f>IF($A11&gt;0,VLOOKUP($A11,[1]Foglio1!$A$1:$IV$65536,15,FALSE)," ")</f>
        <v>155(F)</v>
      </c>
      <c r="V11" s="67" t="str">
        <f>IF($A11&gt;0,VLOOKUP($A11,[1]Foglio1!$A$1:$IV$65536,16,FALSE)," ")</f>
        <v>0°</v>
      </c>
      <c r="W11" s="67" t="str">
        <f>IF($A11&gt;0,VLOOKUP($A11,[1]Foglio1!$A$1:$IV$65536,17,FALSE)," ")</f>
        <v>TF</v>
      </c>
      <c r="X11" s="67" t="str">
        <f>IF($A11&gt;0,IF(VLOOKUP($A11,[1]Foglio1!$A$1:$IV$65536,18,FALSE)&lt;&gt;"-","YES","NO")," ")</f>
        <v>NO</v>
      </c>
      <c r="Y11" s="67" t="str">
        <f>IF($A11&gt;0,VLOOKUP($A11,[1]Foglio1!$A$1:$IV$65536,19,FALSE)," ")</f>
        <v>-</v>
      </c>
      <c r="Z11" s="67" t="str">
        <f>IF($A11&gt;0,VLOOKUP($A11,[1]Foglio1!$A$1:$IV$65536,20,FALSE)," ")</f>
        <v>BEHF</v>
      </c>
      <c r="AA11" s="67" t="str">
        <f>IF($A11&gt;0,VLOOKUP($A11,[1]Foglio1!$A$1:$IV$65536,21,FALSE)," ")</f>
        <v>T</v>
      </c>
      <c r="AB11" s="67" t="str">
        <f>IF($A11&gt;0,VLOOKUP($A11,[1]Foglio1!$A$1:$IV$65536,22,FALSE)," ")</f>
        <v>D+R</v>
      </c>
      <c r="AC11" s="67"/>
      <c r="AD11" s="67"/>
      <c r="AE11" s="67" t="str">
        <f>IF($A11&gt;0,VLOOKUP($A11,[1]Foglio1!$A$1:$IV$65536,23,FALSE)," ")</f>
        <v>-</v>
      </c>
      <c r="AF11" s="67" t="str">
        <f>IF($A11&gt;0,VLOOKUP($A11,[1]Foglio1!$A$1:$IV$65536,24,FALSE)," ")</f>
        <v>CLP 220 (-15/+40°C)</v>
      </c>
      <c r="AG11" s="67" t="str">
        <f>IF($A11&gt;0,VLOOKUP($A11,[1]Foglio1!$A$1:$IV$65536,25,FALSE)," ")</f>
        <v>KA77R37/T DRN80MK4 /BEHF /TF</v>
      </c>
      <c r="AH11" s="67" t="str">
        <f>IF($A11&gt;0,VLOOKUP($A11,[1]Foglio1!$A$1:$IV$65536,26,FALSE)," ")</f>
        <v>SEW</v>
      </c>
      <c r="AI11" s="67" t="str">
        <f t="shared" ref="AI11" si="1">IF(X11="YES", "YES",IF(A11="","-","NO"))</f>
        <v>NO</v>
      </c>
      <c r="AJ11" s="67">
        <f>IF($A11&gt;0,VLOOKUP($A11,[1]Foglio1!$A$1:$IV$65536,27,FALSE)," ")</f>
        <v>0</v>
      </c>
      <c r="AK11" s="67" t="str">
        <f>IF($A11&gt;0,VLOOKUP($A11,[1]Foglio1!$A$1:$IV$65536,28,FALSE)," ")</f>
        <v>-</v>
      </c>
      <c r="AL11" s="27">
        <f>IF($A11&gt;0,VLOOKUP($A11,[1]Foglio1!$A$1:$IV$65536,31,FALSE)," ")</f>
        <v>0</v>
      </c>
      <c r="AM11" s="64" t="str">
        <f>IF($A11&gt;0,VLOOKUP($A11,[1]Foglio1!$A$1:$IV$65536,34,FALSE)," ")</f>
        <v>KA77R37T-DRN80MK4B0-X</v>
      </c>
      <c r="AN11" s="76" t="s">
        <v>444</v>
      </c>
    </row>
    <row r="12" spans="1:40" s="8" customFormat="1" ht="18" customHeight="1" x14ac:dyDescent="0.2">
      <c r="A12" s="50"/>
      <c r="B12" s="41"/>
      <c r="C12" s="42"/>
      <c r="D12" s="43"/>
      <c r="E12" s="65"/>
      <c r="F12" s="66"/>
      <c r="G12" s="67"/>
      <c r="H12" s="67"/>
      <c r="I12" s="67"/>
      <c r="J12" s="67"/>
      <c r="K12" s="67"/>
      <c r="L12" s="67"/>
      <c r="M12" s="67"/>
      <c r="N12" s="67"/>
      <c r="O12" s="67"/>
      <c r="P12" s="68"/>
      <c r="Q12" s="68"/>
      <c r="R12" s="67"/>
      <c r="S12" s="67"/>
      <c r="T12" s="67"/>
      <c r="U12" s="67"/>
      <c r="V12" s="67"/>
      <c r="W12" s="67"/>
      <c r="X12" s="67"/>
      <c r="Y12" s="67"/>
      <c r="Z12" s="67"/>
      <c r="AA12" s="67"/>
      <c r="AB12" s="67"/>
      <c r="AC12" s="67"/>
      <c r="AD12" s="67"/>
      <c r="AE12" s="67"/>
      <c r="AF12" s="67"/>
      <c r="AG12" s="67"/>
      <c r="AH12" s="67"/>
      <c r="AI12" s="67"/>
      <c r="AJ12" s="67"/>
      <c r="AK12" s="67"/>
      <c r="AL12" s="27"/>
      <c r="AM12" s="75"/>
    </row>
    <row r="13" spans="1:40" s="8" customFormat="1" ht="18" customHeight="1" x14ac:dyDescent="0.2">
      <c r="A13" s="50" t="s">
        <v>3141</v>
      </c>
      <c r="B13" s="41" t="s">
        <v>3115</v>
      </c>
      <c r="C13" s="42" t="s">
        <v>3098</v>
      </c>
      <c r="D13" s="43">
        <v>1</v>
      </c>
      <c r="E13" s="65" t="str">
        <f>IF($A13&gt;0,VLOOKUP($A13,[1]Foglio1!$A$1:$IV$65536,2,FALSE)," ")</f>
        <v>MR</v>
      </c>
      <c r="F13" s="66">
        <f>IF($A13&gt;0,VLOOKUP($A13,[1]Foglio1!$A$1:$IV$65536,3,FALSE)," ")</f>
        <v>11</v>
      </c>
      <c r="G13" s="67">
        <f t="shared" ref="G13" si="2">H13*R13/50</f>
        <v>56</v>
      </c>
      <c r="H13" s="67">
        <f>IF($A13&gt;0,VLOOKUP($A13,[1]Foglio1!$A$1:$IV$65536,4,FALSE)," ")</f>
        <v>56</v>
      </c>
      <c r="I13" s="67" t="str">
        <f>IF($A13&gt;0,VLOOKUP($A13,[1]Foglio1!$A$1:$IV$65536,5,FALSE)," ")</f>
        <v>FH87</v>
      </c>
      <c r="J13" s="67">
        <f>IF($A13&gt;0,VLOOKUP($A13,[1]Foglio1!$A$1:$IV$65536,6,FALSE)," ")</f>
        <v>1880</v>
      </c>
      <c r="K13" s="67">
        <f>IF($A13&gt;0,VLOOKUP($A13,[1]Foglio1!$A$1:$IV$65536,7,FALSE)," ")</f>
        <v>26.5</v>
      </c>
      <c r="L13" s="67">
        <f>IF($A13&gt;0,VLOOKUP($A13,[1]Foglio1!$A$1:$IV$65536,8,FALSE)," ")</f>
        <v>1.6</v>
      </c>
      <c r="M13" s="67" t="str">
        <f>IF($A13&gt;0,VLOOKUP($A13,[1]Foglio1!$A$1:$IV$65536,9,FALSE)," ")</f>
        <v>From M1 to M2 - 5°</v>
      </c>
      <c r="N13" s="67" t="str">
        <f>IF($A13&gt;0,VLOOKUP($A13,[1]Foglio1!$A$1:$IV$65536,10,FALSE)," ")</f>
        <v>IE3</v>
      </c>
      <c r="O13" s="67" t="str">
        <f>IF($A13&gt;0,VLOOKUP($A13,[1]Foglio1!$A$1:$IV$65536,11,FALSE)," ")</f>
        <v>230/400</v>
      </c>
      <c r="P13" s="68"/>
      <c r="Q13" s="68"/>
      <c r="R13" s="67">
        <f>IF($A13&gt;0,VLOOKUP($A13,[1]Foglio1!$A$1:$IV$65536,12,FALSE)," ")</f>
        <v>50</v>
      </c>
      <c r="S13" s="67" t="str">
        <f>IF($A13&gt;0,VLOOKUP($A13,[1]Foglio1!$A$1:$IV$65536,13,FALSE)," ")</f>
        <v>36,5/21</v>
      </c>
      <c r="T13" s="67">
        <f>IF($A13&gt;0,VLOOKUP($A13,[1]Foglio1!$A$1:$IV$65536,14,FALSE)," ")</f>
        <v>55</v>
      </c>
      <c r="U13" s="67" t="str">
        <f>IF($A13&gt;0,VLOOKUP($A13,[1]Foglio1!$A$1:$IV$65536,15,FALSE)," ")</f>
        <v>155(F)</v>
      </c>
      <c r="V13" s="67" t="str">
        <f>IF($A13&gt;0,VLOOKUP($A13,[1]Foglio1!$A$1:$IV$65536,16,FALSE)," ")</f>
        <v>270°</v>
      </c>
      <c r="W13" s="67" t="str">
        <f>IF($A13&gt;0,VLOOKUP($A13,[1]Foglio1!$A$1:$IV$65536,17,FALSE)," ")</f>
        <v>TF</v>
      </c>
      <c r="X13" s="67" t="str">
        <f>IF($A13&gt;0,IF(VLOOKUP($A13,[1]Foglio1!$A$1:$IV$65536,18,FALSE)&lt;&gt;"-","YES","NO")," ")</f>
        <v>YES</v>
      </c>
      <c r="Y13" s="67" t="str">
        <f>IF($A13&gt;0,VLOOKUP($A13,[1]Foglio1!$A$1:$IV$65536,19,FALSE)," ")</f>
        <v>-</v>
      </c>
      <c r="Z13" s="67" t="str">
        <f>IF($A13&gt;0,VLOOKUP($A13,[1]Foglio1!$A$1:$IV$65536,20,FALSE)," ")</f>
        <v>-</v>
      </c>
      <c r="AA13" s="67" t="str">
        <f>IF($A13&gt;0,VLOOKUP($A13,[1]Foglio1!$A$1:$IV$65536,21,FALSE)," ")</f>
        <v>G</v>
      </c>
      <c r="AB13" s="67" t="str">
        <f>IF($A13&gt;0,VLOOKUP($A13,[1]Foglio1!$A$1:$IV$65536,22,FALSE)," ")</f>
        <v>FC</v>
      </c>
      <c r="AC13" s="67"/>
      <c r="AD13" s="67"/>
      <c r="AE13" s="67" t="str">
        <f>IF($A13&gt;0,VLOOKUP($A13,[1]Foglio1!$A$1:$IV$65536,23,FALSE)," ")</f>
        <v>-</v>
      </c>
      <c r="AF13" s="67" t="str">
        <f>IF($A13&gt;0,VLOOKUP($A13,[1]Foglio1!$A$1:$IV$65536,24,FALSE)," ")</f>
        <v>CLP 220 (-15/+40°C)</v>
      </c>
      <c r="AG13" s="67" t="str">
        <f>IF($A13&gt;0,VLOOKUP($A13,[1]Foglio1!$A$1:$IV$65536,25,FALSE)," ")</f>
        <v>FH87/G DRN160M4 /TF/V</v>
      </c>
      <c r="AH13" s="67" t="str">
        <f>IF($A13&gt;0,VLOOKUP($A13,[1]Foglio1!$A$1:$IV$65536,26,FALSE)," ")</f>
        <v>SEW</v>
      </c>
      <c r="AI13" s="67" t="str">
        <f t="shared" ref="AI13" si="3">IF(X13="YES", "YES",IF(A13="","-","NO"))</f>
        <v>YES</v>
      </c>
      <c r="AJ13" s="67">
        <f>IF($A13&gt;0,VLOOKUP($A13,[1]Foglio1!$A$1:$IV$65536,27,FALSE)," ")</f>
        <v>0</v>
      </c>
      <c r="AK13" s="67" t="str">
        <f>IF($A13&gt;0,VLOOKUP($A13,[1]Foglio1!$A$1:$IV$65536,28,FALSE)," ")</f>
        <v>-</v>
      </c>
      <c r="AL13" s="27">
        <f>IF($A13&gt;0,VLOOKUP($A13,[1]Foglio1!$A$1:$IV$65536,31,FALSE)," ")</f>
        <v>0</v>
      </c>
      <c r="AM13" s="64" t="str">
        <f>IF($A13&gt;0,VLOOKUP($A13,[1]Foglio1!$A$1:$IV$65536,34,FALSE)," ")</f>
        <v>FH87G-DRN160M4270-X#</v>
      </c>
      <c r="AN13" s="77" t="s">
        <v>3392</v>
      </c>
    </row>
    <row r="14" spans="1:40" s="8" customFormat="1" ht="18" customHeight="1" x14ac:dyDescent="0.2">
      <c r="A14" s="72" t="s">
        <v>3465</v>
      </c>
      <c r="B14" s="79"/>
      <c r="C14" s="80"/>
      <c r="D14" s="81">
        <v>1</v>
      </c>
      <c r="E14" s="82"/>
      <c r="F14" s="83" t="s">
        <v>3566</v>
      </c>
      <c r="G14" s="73"/>
      <c r="H14" s="73"/>
      <c r="I14" s="73"/>
      <c r="J14" s="73"/>
      <c r="K14" s="73"/>
      <c r="L14" s="73"/>
      <c r="M14" s="73"/>
      <c r="N14" s="73"/>
      <c r="O14" s="73" t="s">
        <v>3466</v>
      </c>
      <c r="P14" s="84"/>
      <c r="Q14" s="84"/>
      <c r="R14" s="73">
        <v>50</v>
      </c>
      <c r="S14" s="73" t="s">
        <v>3468</v>
      </c>
      <c r="T14" s="73">
        <v>66</v>
      </c>
      <c r="U14" s="73"/>
      <c r="V14" s="73"/>
      <c r="W14" s="73"/>
      <c r="X14" s="73"/>
      <c r="Y14" s="73"/>
      <c r="Z14" s="73"/>
      <c r="AA14" s="73"/>
      <c r="AB14" s="73" t="s">
        <v>26</v>
      </c>
      <c r="AC14" s="73"/>
      <c r="AD14" s="73"/>
      <c r="AE14" s="73"/>
      <c r="AF14" s="73"/>
      <c r="AG14" s="73"/>
      <c r="AH14" s="73"/>
      <c r="AI14" s="73"/>
      <c r="AJ14" s="73"/>
      <c r="AK14" s="73"/>
      <c r="AL14" s="85" t="s">
        <v>3467</v>
      </c>
      <c r="AM14" s="64"/>
      <c r="AN14" s="77"/>
    </row>
    <row r="15" spans="1:40" s="8" customFormat="1" ht="18" customHeight="1" x14ac:dyDescent="0.2">
      <c r="A15" s="50"/>
      <c r="B15" s="41"/>
      <c r="C15" s="42"/>
      <c r="D15" s="43"/>
      <c r="E15" s="65"/>
      <c r="F15" s="66"/>
      <c r="G15" s="67"/>
      <c r="H15" s="67"/>
      <c r="I15" s="67"/>
      <c r="J15" s="67"/>
      <c r="K15" s="67"/>
      <c r="L15" s="67"/>
      <c r="M15" s="67"/>
      <c r="N15" s="67"/>
      <c r="O15" s="67"/>
      <c r="P15" s="68"/>
      <c r="Q15" s="68"/>
      <c r="R15" s="67"/>
      <c r="S15" s="67"/>
      <c r="T15" s="67"/>
      <c r="U15" s="67"/>
      <c r="V15" s="67"/>
      <c r="W15" s="67"/>
      <c r="X15" s="67"/>
      <c r="Y15" s="67"/>
      <c r="Z15" s="67"/>
      <c r="AA15" s="67"/>
      <c r="AB15" s="67"/>
      <c r="AC15" s="67"/>
      <c r="AD15" s="67"/>
      <c r="AE15" s="67"/>
      <c r="AF15" s="67"/>
      <c r="AG15" s="67"/>
      <c r="AH15" s="67"/>
      <c r="AI15" s="67"/>
      <c r="AJ15" s="67"/>
      <c r="AK15" s="67"/>
      <c r="AL15" s="27"/>
      <c r="AM15" s="75"/>
    </row>
    <row r="16" spans="1:40" s="8" customFormat="1" ht="18" customHeight="1" x14ac:dyDescent="0.2">
      <c r="A16" s="50" t="s">
        <v>3142</v>
      </c>
      <c r="B16" s="41" t="s">
        <v>3116</v>
      </c>
      <c r="C16" s="42" t="s">
        <v>3099</v>
      </c>
      <c r="D16" s="43">
        <v>1</v>
      </c>
      <c r="E16" s="65" t="str">
        <f>IF($A16&gt;0,VLOOKUP($A16,[1]Foglio1!$A$1:$IV$65536,2,FALSE)," ")</f>
        <v>MR</v>
      </c>
      <c r="F16" s="66">
        <f>IF($A16&gt;0,VLOOKUP($A16,[1]Foglio1!$A$1:$IV$65536,3,FALSE)," ")</f>
        <v>18.5</v>
      </c>
      <c r="G16" s="67">
        <f t="shared" ref="G16:G17" si="4">H16*R16/50</f>
        <v>16</v>
      </c>
      <c r="H16" s="67">
        <f>IF($A16&gt;0,VLOOKUP($A16,[1]Foglio1!$A$1:$IV$65536,4,FALSE)," ")</f>
        <v>16</v>
      </c>
      <c r="I16" s="67" t="str">
        <f>IF($A16&gt;0,VLOOKUP($A16,[1]Foglio1!$A$1:$IV$65536,5,FALSE)," ")</f>
        <v>KH127</v>
      </c>
      <c r="J16" s="67">
        <f>IF($A16&gt;0,VLOOKUP($A16,[1]Foglio1!$A$1:$IV$65536,6,FALSE)," ")</f>
        <v>11300</v>
      </c>
      <c r="K16" s="67">
        <f>IF($A16&gt;0,VLOOKUP($A16,[1]Foglio1!$A$1:$IV$65536,7,FALSE)," ")</f>
        <v>94.6</v>
      </c>
      <c r="L16" s="67">
        <f>IF($A16&gt;0,VLOOKUP($A16,[1]Foglio1!$A$1:$IV$65536,8,FALSE)," ")</f>
        <v>1.1499999999999999</v>
      </c>
      <c r="M16" s="67" t="str">
        <f>IF($A16&gt;0,VLOOKUP($A16,[1]Foglio1!$A$1:$IV$65536,9,FALSE)," ")</f>
        <v>From M1A to M4A - 85°</v>
      </c>
      <c r="N16" s="67" t="str">
        <f>IF($A16&gt;0,VLOOKUP($A16,[1]Foglio1!$A$1:$IV$65536,10,FALSE)," ")</f>
        <v>IE3</v>
      </c>
      <c r="O16" s="67" t="str">
        <f>IF($A16&gt;0,VLOOKUP($A16,[1]Foglio1!$A$1:$IV$65536,11,FALSE)," ")</f>
        <v>400/690</v>
      </c>
      <c r="P16" s="68"/>
      <c r="Q16" s="68"/>
      <c r="R16" s="67">
        <f>IF($A16&gt;0,VLOOKUP($A16,[1]Foglio1!$A$1:$IV$65536,12,FALSE)," ")</f>
        <v>50</v>
      </c>
      <c r="S16" s="67" t="str">
        <f>IF($A16&gt;0,VLOOKUP($A16,[1]Foglio1!$A$1:$IV$65536,13,FALSE)," ")</f>
        <v>33,5/19,3</v>
      </c>
      <c r="T16" s="67">
        <f>IF($A16&gt;0,VLOOKUP($A16,[1]Foglio1!$A$1:$IV$65536,14,FALSE)," ")</f>
        <v>55</v>
      </c>
      <c r="U16" s="67" t="str">
        <f>IF($A16&gt;0,VLOOKUP($A16,[1]Foglio1!$A$1:$IV$65536,15,FALSE)," ")</f>
        <v>155(F)</v>
      </c>
      <c r="V16" s="67" t="str">
        <f>IF($A16&gt;0,VLOOKUP($A16,[1]Foglio1!$A$1:$IV$65536,16,FALSE)," ")</f>
        <v>270°</v>
      </c>
      <c r="W16" s="67" t="str">
        <f>IF($A16&gt;0,VLOOKUP($A16,[1]Foglio1!$A$1:$IV$65536,17,FALSE)," ")</f>
        <v>TF</v>
      </c>
      <c r="X16" s="67" t="str">
        <f>IF($A16&gt;0,IF(VLOOKUP($A16,[1]Foglio1!$A$1:$IV$65536,18,FALSE)&lt;&gt;"-","YES","NO")," ")</f>
        <v>NO</v>
      </c>
      <c r="Y16" s="67" t="str">
        <f>IF($A16&gt;0,VLOOKUP($A16,[1]Foglio1!$A$1:$IV$65536,19,FALSE)," ")</f>
        <v>-</v>
      </c>
      <c r="Z16" s="67" t="str">
        <f>IF($A16&gt;0,VLOOKUP($A16,[1]Foglio1!$A$1:$IV$65536,20,FALSE)," ")</f>
        <v>-</v>
      </c>
      <c r="AA16" s="67" t="str">
        <f>IF($A16&gt;0,VLOOKUP($A16,[1]Foglio1!$A$1:$IV$65536,21,FALSE)," ")</f>
        <v>-</v>
      </c>
      <c r="AB16" s="67" t="str">
        <f>IF($A16&gt;0,VLOOKUP($A16,[1]Foglio1!$A$1:$IV$65536,22,FALSE)," ")</f>
        <v>SS</v>
      </c>
      <c r="AC16" s="67"/>
      <c r="AD16" s="67"/>
      <c r="AE16" s="67" t="str">
        <f>IF($A16&gt;0,VLOOKUP($A16,[1]Foglio1!$A$1:$IV$65536,23,FALSE)," ")</f>
        <v>-</v>
      </c>
      <c r="AF16" s="67" t="str">
        <f>IF($A16&gt;0,VLOOKUP($A16,[1]Foglio1!$A$1:$IV$65536,24,FALSE)," ")</f>
        <v>CLP 220 (-15/+40°C)</v>
      </c>
      <c r="AG16" s="67" t="str">
        <f>IF($A16&gt;0,VLOOKUP($A16,[1]Foglio1!$A$1:$IV$65536,25,FALSE)," ")</f>
        <v>KH127EDRN180M4 /TF</v>
      </c>
      <c r="AH16" s="67" t="str">
        <f>IF($A16&gt;0,VLOOKUP($A16,[1]Foglio1!$A$1:$IV$65536,26,FALSE)," ")</f>
        <v>SEW</v>
      </c>
      <c r="AI16" s="67" t="str">
        <f t="shared" ref="AI16:AI17" si="5">IF(X16="YES", "YES",IF(A16="","-","NO"))</f>
        <v>NO</v>
      </c>
      <c r="AJ16" s="67">
        <f>IF($A16&gt;0,VLOOKUP($A16,[1]Foglio1!$A$1:$IV$65536,27,FALSE)," ")</f>
        <v>0</v>
      </c>
      <c r="AK16" s="67" t="str">
        <f>IF($A16&gt;0,VLOOKUP($A16,[1]Foglio1!$A$1:$IV$65536,28,FALSE)," ")</f>
        <v>ATEX22</v>
      </c>
      <c r="AL16" s="27">
        <f>IF($A16&gt;0,VLOOKUP($A16,[1]Foglio1!$A$1:$IV$65536,31,FALSE)," ")</f>
        <v>0</v>
      </c>
      <c r="AM16" s="64" t="str">
        <f>IF($A16&gt;0,VLOOKUP($A16,[1]Foglio1!$A$1:$IV$65536,34,FALSE)," ")</f>
        <v>KH127-EDRN180M4A270-X</v>
      </c>
      <c r="AN16" s="76" t="s">
        <v>444</v>
      </c>
    </row>
    <row r="17" spans="1:40" s="8" customFormat="1" ht="18" customHeight="1" x14ac:dyDescent="0.2">
      <c r="A17" s="50" t="s">
        <v>3143</v>
      </c>
      <c r="B17" s="41" t="s">
        <v>3116</v>
      </c>
      <c r="C17" s="42" t="s">
        <v>3099</v>
      </c>
      <c r="D17" s="43">
        <v>1</v>
      </c>
      <c r="E17" s="65" t="str">
        <f>IF($A17&gt;0,VLOOKUP($A17,[1]Foglio1!$A$1:$IV$65536,2,FALSE)," ")</f>
        <v>MR</v>
      </c>
      <c r="F17" s="66">
        <f>IF($A17&gt;0,VLOOKUP($A17,[1]Foglio1!$A$1:$IV$65536,3,FALSE)," ")</f>
        <v>18.5</v>
      </c>
      <c r="G17" s="67">
        <f t="shared" si="4"/>
        <v>16</v>
      </c>
      <c r="H17" s="67">
        <f>IF($A17&gt;0,VLOOKUP($A17,[1]Foglio1!$A$1:$IV$65536,4,FALSE)," ")</f>
        <v>16</v>
      </c>
      <c r="I17" s="67" t="str">
        <f>IF($A17&gt;0,VLOOKUP($A17,[1]Foglio1!$A$1:$IV$65536,5,FALSE)," ")</f>
        <v>KH127</v>
      </c>
      <c r="J17" s="67">
        <f>IF($A17&gt;0,VLOOKUP($A17,[1]Foglio1!$A$1:$IV$65536,6,FALSE)," ")</f>
        <v>11300</v>
      </c>
      <c r="K17" s="67">
        <f>IF($A17&gt;0,VLOOKUP($A17,[1]Foglio1!$A$1:$IV$65536,7,FALSE)," ")</f>
        <v>94.6</v>
      </c>
      <c r="L17" s="67">
        <f>IF($A17&gt;0,VLOOKUP($A17,[1]Foglio1!$A$1:$IV$65536,8,FALSE)," ")</f>
        <v>1.1499999999999999</v>
      </c>
      <c r="M17" s="67" t="str">
        <f>IF($A17&gt;0,VLOOKUP($A17,[1]Foglio1!$A$1:$IV$65536,9,FALSE)," ")</f>
        <v>From M1B to M4B - 85°</v>
      </c>
      <c r="N17" s="67" t="str">
        <f>IF($A17&gt;0,VLOOKUP($A17,[1]Foglio1!$A$1:$IV$65536,10,FALSE)," ")</f>
        <v>IE3</v>
      </c>
      <c r="O17" s="67" t="str">
        <f>IF($A17&gt;0,VLOOKUP($A17,[1]Foglio1!$A$1:$IV$65536,11,FALSE)," ")</f>
        <v>400/690</v>
      </c>
      <c r="P17" s="68"/>
      <c r="Q17" s="68"/>
      <c r="R17" s="67">
        <f>IF($A17&gt;0,VLOOKUP($A17,[1]Foglio1!$A$1:$IV$65536,12,FALSE)," ")</f>
        <v>50</v>
      </c>
      <c r="S17" s="67" t="str">
        <f>IF($A17&gt;0,VLOOKUP($A17,[1]Foglio1!$A$1:$IV$65536,13,FALSE)," ")</f>
        <v>33,5/19,3</v>
      </c>
      <c r="T17" s="67">
        <f>IF($A17&gt;0,VLOOKUP($A17,[1]Foglio1!$A$1:$IV$65536,14,FALSE)," ")</f>
        <v>55</v>
      </c>
      <c r="U17" s="67" t="str">
        <f>IF($A17&gt;0,VLOOKUP($A17,[1]Foglio1!$A$1:$IV$65536,15,FALSE)," ")</f>
        <v>155(F)</v>
      </c>
      <c r="V17" s="67" t="str">
        <f>IF($A17&gt;0,VLOOKUP($A17,[1]Foglio1!$A$1:$IV$65536,16,FALSE)," ")</f>
        <v>270°</v>
      </c>
      <c r="W17" s="67" t="str">
        <f>IF($A17&gt;0,VLOOKUP($A17,[1]Foglio1!$A$1:$IV$65536,17,FALSE)," ")</f>
        <v>TF</v>
      </c>
      <c r="X17" s="67" t="str">
        <f>IF($A17&gt;0,IF(VLOOKUP($A17,[1]Foglio1!$A$1:$IV$65536,18,FALSE)&lt;&gt;"-","YES","NO")," ")</f>
        <v>NO</v>
      </c>
      <c r="Y17" s="67" t="str">
        <f>IF($A17&gt;0,VLOOKUP($A17,[1]Foglio1!$A$1:$IV$65536,19,FALSE)," ")</f>
        <v>-</v>
      </c>
      <c r="Z17" s="67" t="str">
        <f>IF($A17&gt;0,VLOOKUP($A17,[1]Foglio1!$A$1:$IV$65536,20,FALSE)," ")</f>
        <v>-</v>
      </c>
      <c r="AA17" s="67" t="str">
        <f>IF($A17&gt;0,VLOOKUP($A17,[1]Foglio1!$A$1:$IV$65536,21,FALSE)," ")</f>
        <v>-</v>
      </c>
      <c r="AB17" s="67" t="str">
        <f>IF($A17&gt;0,VLOOKUP($A17,[1]Foglio1!$A$1:$IV$65536,22,FALSE)," ")</f>
        <v>SS</v>
      </c>
      <c r="AC17" s="67"/>
      <c r="AD17" s="67"/>
      <c r="AE17" s="67" t="str">
        <f>IF($A17&gt;0,VLOOKUP($A17,[1]Foglio1!$A$1:$IV$65536,23,FALSE)," ")</f>
        <v>-</v>
      </c>
      <c r="AF17" s="67" t="str">
        <f>IF($A17&gt;0,VLOOKUP($A17,[1]Foglio1!$A$1:$IV$65536,24,FALSE)," ")</f>
        <v>CLP 220 (-15/+40°C)</v>
      </c>
      <c r="AG17" s="67" t="str">
        <f>IF($A17&gt;0,VLOOKUP($A17,[1]Foglio1!$A$1:$IV$65536,25,FALSE)," ")</f>
        <v>KH127EDRN180M4 /TF</v>
      </c>
      <c r="AH17" s="67" t="str">
        <f>IF($A17&gt;0,VLOOKUP($A17,[1]Foglio1!$A$1:$IV$65536,26,FALSE)," ")</f>
        <v>SEW</v>
      </c>
      <c r="AI17" s="67" t="str">
        <f t="shared" si="5"/>
        <v>NO</v>
      </c>
      <c r="AJ17" s="67">
        <f>IF($A17&gt;0,VLOOKUP($A17,[1]Foglio1!$A$1:$IV$65536,27,FALSE)," ")</f>
        <v>0</v>
      </c>
      <c r="AK17" s="67" t="str">
        <f>IF($A17&gt;0,VLOOKUP($A17,[1]Foglio1!$A$1:$IV$65536,28,FALSE)," ")</f>
        <v>ATEX22</v>
      </c>
      <c r="AL17" s="27">
        <f>IF($A17&gt;0,VLOOKUP($A17,[1]Foglio1!$A$1:$IV$65536,31,FALSE)," ")</f>
        <v>0</v>
      </c>
      <c r="AM17" s="64" t="str">
        <f>IF($A17&gt;0,VLOOKUP($A17,[1]Foglio1!$A$1:$IV$65536,34,FALSE)," ")</f>
        <v>KH127-EDRN180M4B270-X</v>
      </c>
      <c r="AN17" s="76" t="s">
        <v>444</v>
      </c>
    </row>
    <row r="18" spans="1:40" s="8" customFormat="1" ht="18" customHeight="1" x14ac:dyDescent="0.2">
      <c r="A18" s="50"/>
      <c r="B18" s="41"/>
      <c r="C18" s="42"/>
      <c r="D18" s="43"/>
      <c r="E18" s="65"/>
      <c r="F18" s="66"/>
      <c r="G18" s="67"/>
      <c r="H18" s="67"/>
      <c r="I18" s="67"/>
      <c r="J18" s="67"/>
      <c r="K18" s="67"/>
      <c r="L18" s="67"/>
      <c r="M18" s="67"/>
      <c r="N18" s="67"/>
      <c r="O18" s="67"/>
      <c r="P18" s="68"/>
      <c r="Q18" s="68"/>
      <c r="R18" s="67"/>
      <c r="S18" s="67"/>
      <c r="T18" s="67"/>
      <c r="U18" s="67"/>
      <c r="V18" s="67"/>
      <c r="W18" s="67"/>
      <c r="X18" s="67"/>
      <c r="Y18" s="67"/>
      <c r="Z18" s="67"/>
      <c r="AA18" s="67"/>
      <c r="AB18" s="67"/>
      <c r="AC18" s="67"/>
      <c r="AD18" s="67"/>
      <c r="AE18" s="67"/>
      <c r="AF18" s="67"/>
      <c r="AG18" s="67"/>
      <c r="AH18" s="67"/>
      <c r="AI18" s="67"/>
      <c r="AJ18" s="67"/>
      <c r="AK18" s="67"/>
      <c r="AL18" s="27"/>
      <c r="AM18" s="75"/>
    </row>
    <row r="19" spans="1:40" s="8" customFormat="1" ht="18" customHeight="1" x14ac:dyDescent="0.2">
      <c r="A19" s="50" t="s">
        <v>3144</v>
      </c>
      <c r="B19" s="41" t="s">
        <v>3117</v>
      </c>
      <c r="C19" s="42" t="s">
        <v>3100</v>
      </c>
      <c r="D19" s="43">
        <v>1</v>
      </c>
      <c r="E19" s="65" t="str">
        <f>IF($A19&gt;0,VLOOKUP($A19,[1]Foglio1!$A$1:$IV$65536,2,FALSE)," ")</f>
        <v>MR</v>
      </c>
      <c r="F19" s="66">
        <f>IF($A19&gt;0,VLOOKUP($A19,[1]Foglio1!$A$1:$IV$65536,3,FALSE)," ")</f>
        <v>1.5</v>
      </c>
      <c r="G19" s="67">
        <f t="shared" ref="G19" si="6">H19*R19/50</f>
        <v>22</v>
      </c>
      <c r="H19" s="67">
        <f>IF($A19&gt;0,VLOOKUP($A19,[1]Foglio1!$A$1:$IV$65536,4,FALSE)," ")</f>
        <v>22</v>
      </c>
      <c r="I19" s="67" t="str">
        <f>IF($A19&gt;0,VLOOKUP($A19,[1]Foglio1!$A$1:$IV$65536,5,FALSE)," ")</f>
        <v>FA67</v>
      </c>
      <c r="J19" s="67">
        <f>IF($A19&gt;0,VLOOKUP($A19,[1]Foglio1!$A$1:$IV$65536,6,FALSE)," ")</f>
        <v>665</v>
      </c>
      <c r="K19" s="67" t="str">
        <f>IF($A19&gt;0,VLOOKUP($A19,[1]Foglio1!$A$1:$IV$65536,7,FALSE)," ")</f>
        <v>67,65</v>
      </c>
      <c r="L19" s="67" t="str">
        <f>IF($A19&gt;0,VLOOKUP($A19,[1]Foglio1!$A$1:$IV$65536,8,FALSE)," ")</f>
        <v>1,15</v>
      </c>
      <c r="M19" s="67" t="str">
        <f>IF($A19&gt;0,VLOOKUP($A19,[1]Foglio1!$A$1:$IV$65536,9,FALSE)," ")</f>
        <v>From M5 to M3 - 5°</v>
      </c>
      <c r="N19" s="67" t="str">
        <f>IF($A19&gt;0,VLOOKUP($A19,[1]Foglio1!$A$1:$IV$65536,10,FALSE)," ")</f>
        <v>IE3</v>
      </c>
      <c r="O19" s="67" t="str">
        <f>IF($A19&gt;0,VLOOKUP($A19,[1]Foglio1!$A$1:$IV$65536,11,FALSE)," ")</f>
        <v>230/400</v>
      </c>
      <c r="P19" s="68"/>
      <c r="Q19" s="68"/>
      <c r="R19" s="67">
        <f>IF($A19&gt;0,VLOOKUP($A19,[1]Foglio1!$A$1:$IV$65536,12,FALSE)," ")</f>
        <v>50</v>
      </c>
      <c r="S19" s="67" t="str">
        <f>IF($A19&gt;0,VLOOKUP($A19,[1]Foglio1!$A$1:$IV$65536,13,FALSE)," ")</f>
        <v>6,1/3,5</v>
      </c>
      <c r="T19" s="67">
        <f>IF($A19&gt;0,VLOOKUP($A19,[1]Foglio1!$A$1:$IV$65536,14,FALSE)," ")</f>
        <v>55</v>
      </c>
      <c r="U19" s="67" t="str">
        <f>IF($A19&gt;0,VLOOKUP($A19,[1]Foglio1!$A$1:$IV$65536,15,FALSE)," ")</f>
        <v>155(F)</v>
      </c>
      <c r="V19" s="67" t="str">
        <f>IF($A19&gt;0,VLOOKUP($A19,[1]Foglio1!$A$1:$IV$65536,16,FALSE)," ")</f>
        <v>180°</v>
      </c>
      <c r="W19" s="67" t="str">
        <f>IF($A19&gt;0,VLOOKUP($A19,[1]Foglio1!$A$1:$IV$65536,17,FALSE)," ")</f>
        <v>TF</v>
      </c>
      <c r="X19" s="67" t="str">
        <f>IF($A19&gt;0,IF(VLOOKUP($A19,[1]Foglio1!$A$1:$IV$65536,18,FALSE)&lt;&gt;"-","YES","NO")," ")</f>
        <v>NO</v>
      </c>
      <c r="Y19" s="67" t="str">
        <f>IF($A19&gt;0,VLOOKUP($A19,[1]Foglio1!$A$1:$IV$65536,19,FALSE)," ")</f>
        <v>-</v>
      </c>
      <c r="Z19" s="67" t="str">
        <f>IF($A19&gt;0,VLOOKUP($A19,[1]Foglio1!$A$1:$IV$65536,20,FALSE)," ")</f>
        <v>BEHF</v>
      </c>
      <c r="AA19" s="67" t="str">
        <f>IF($A19&gt;0,VLOOKUP($A19,[1]Foglio1!$A$1:$IV$65536,21,FALSE)," ")</f>
        <v>G</v>
      </c>
      <c r="AB19" s="67" t="str">
        <f>IF($A19&gt;0,VLOOKUP($A19,[1]Foglio1!$A$1:$IV$65536,22,FALSE)," ")</f>
        <v>D+R</v>
      </c>
      <c r="AC19" s="67"/>
      <c r="AD19" s="67"/>
      <c r="AE19" s="67" t="str">
        <f>IF($A19&gt;0,VLOOKUP($A19,[1]Foglio1!$A$1:$IV$65536,23,FALSE)," ")</f>
        <v>-</v>
      </c>
      <c r="AF19" s="67" t="str">
        <f>IF($A19&gt;0,VLOOKUP($A19,[1]Foglio1!$A$1:$IV$65536,24,FALSE)," ")</f>
        <v>CLP 220 (-15/+40°C)</v>
      </c>
      <c r="AG19" s="67" t="str">
        <f>IF($A19&gt;0,VLOOKUP($A19,[1]Foglio1!$A$1:$IV$65536,25,FALSE)," ")</f>
        <v>FA67/G EDRN90L4 /BEHF /TF</v>
      </c>
      <c r="AH19" s="67" t="str">
        <f>IF($A19&gt;0,VLOOKUP($A19,[1]Foglio1!$A$1:$IV$65536,26,FALSE)," ")</f>
        <v>SEW</v>
      </c>
      <c r="AI19" s="67" t="str">
        <f t="shared" ref="AI19" si="7">IF(X19="YES", "YES",IF(A19="","-","NO"))</f>
        <v>NO</v>
      </c>
      <c r="AJ19" s="67">
        <f>IF($A19&gt;0,VLOOKUP($A19,[1]Foglio1!$A$1:$IV$65536,27,FALSE)," ")</f>
        <v>0</v>
      </c>
      <c r="AK19" s="67" t="str">
        <f>IF($A19&gt;0,VLOOKUP($A19,[1]Foglio1!$A$1:$IV$65536,28,FALSE)," ")</f>
        <v>ATEX22</v>
      </c>
      <c r="AL19" s="27" t="str">
        <f>IF($A19&gt;0,VLOOKUP($A19,[1]Foglio1!$A$1:$IV$65536,31,FALSE)," ")</f>
        <v>Rectifier for brake in the terminal box</v>
      </c>
      <c r="AM19" s="64" t="str">
        <f>IF($A19&gt;0,VLOOKUP($A19,[1]Foglio1!$A$1:$IV$65536,34,FALSE)," ")</f>
        <v>FA67G-EDRN90L4180-X</v>
      </c>
      <c r="AN19" s="76" t="s">
        <v>444</v>
      </c>
    </row>
    <row r="20" spans="1:40" s="8" customFormat="1" ht="18" customHeight="1" x14ac:dyDescent="0.2">
      <c r="A20" s="50"/>
      <c r="B20" s="41"/>
      <c r="C20" s="42"/>
      <c r="D20" s="43"/>
      <c r="E20" s="65"/>
      <c r="F20" s="66"/>
      <c r="G20" s="67"/>
      <c r="H20" s="67"/>
      <c r="I20" s="67"/>
      <c r="J20" s="67"/>
      <c r="K20" s="67"/>
      <c r="L20" s="67"/>
      <c r="M20" s="67"/>
      <c r="N20" s="67"/>
      <c r="O20" s="67"/>
      <c r="P20" s="68"/>
      <c r="Q20" s="68"/>
      <c r="R20" s="67"/>
      <c r="S20" s="67"/>
      <c r="T20" s="67"/>
      <c r="U20" s="67"/>
      <c r="V20" s="67"/>
      <c r="W20" s="67"/>
      <c r="X20" s="67"/>
      <c r="Y20" s="67"/>
      <c r="Z20" s="67"/>
      <c r="AA20" s="67"/>
      <c r="AB20" s="67"/>
      <c r="AC20" s="67"/>
      <c r="AD20" s="67"/>
      <c r="AE20" s="67"/>
      <c r="AF20" s="67"/>
      <c r="AG20" s="67"/>
      <c r="AH20" s="67"/>
      <c r="AI20" s="67"/>
      <c r="AJ20" s="67"/>
      <c r="AK20" s="67"/>
      <c r="AL20" s="27"/>
      <c r="AM20" s="75"/>
    </row>
    <row r="21" spans="1:40" s="8" customFormat="1" ht="18" customHeight="1" x14ac:dyDescent="0.2">
      <c r="A21" s="50" t="s">
        <v>3145</v>
      </c>
      <c r="B21" s="41" t="s">
        <v>3118</v>
      </c>
      <c r="C21" s="42" t="s">
        <v>3101</v>
      </c>
      <c r="D21" s="43">
        <v>1</v>
      </c>
      <c r="E21" s="65" t="str">
        <f>IF($A21&gt;0,VLOOKUP($A21,[1]Foglio1!$A$1:$IV$65536,2,FALSE)," ")</f>
        <v>MR</v>
      </c>
      <c r="F21" s="66">
        <f>IF($A21&gt;0,VLOOKUP($A21,[1]Foglio1!$A$1:$IV$65536,3,FALSE)," ")</f>
        <v>5.5</v>
      </c>
      <c r="G21" s="67">
        <f t="shared" ref="G21:G23" si="8">H21*R21/50</f>
        <v>57</v>
      </c>
      <c r="H21" s="67">
        <f>IF($A21&gt;0,VLOOKUP($A21,[1]Foglio1!$A$1:$IV$65536,4,FALSE)," ")</f>
        <v>57</v>
      </c>
      <c r="I21" s="67" t="str">
        <f>IF($A21&gt;0,VLOOKUP($A21,[1]Foglio1!$A$1:$IV$65536,5,FALSE)," ")</f>
        <v>KH77</v>
      </c>
      <c r="J21" s="67">
        <f>IF($A21&gt;0,VLOOKUP($A21,[1]Foglio1!$A$1:$IV$65536,6,FALSE)," ")</f>
        <v>920</v>
      </c>
      <c r="K21" s="67">
        <f>IF($A21&gt;0,VLOOKUP($A21,[1]Foglio1!$A$1:$IV$65536,7,FALSE)," ")</f>
        <v>25.62</v>
      </c>
      <c r="L21" s="67">
        <f>IF($A21&gt;0,VLOOKUP($A21,[1]Foglio1!$A$1:$IV$65536,8,FALSE)," ")</f>
        <v>1.7</v>
      </c>
      <c r="M21" s="67" t="str">
        <f>IF($A21&gt;0,VLOOKUP($A21,[1]Foglio1!$A$1:$IV$65536,9,FALSE)," ")</f>
        <v>From M1A to M4A -80°</v>
      </c>
      <c r="N21" s="67" t="str">
        <f>IF($A21&gt;0,VLOOKUP($A21,[1]Foglio1!$A$1:$IV$65536,10,FALSE)," ")</f>
        <v>IE3</v>
      </c>
      <c r="O21" s="67" t="str">
        <f>IF($A21&gt;0,VLOOKUP($A21,[1]Foglio1!$A$1:$IV$65536,11,FALSE)," ")</f>
        <v>230/400</v>
      </c>
      <c r="P21" s="68"/>
      <c r="Q21" s="68"/>
      <c r="R21" s="67">
        <f>IF($A21&gt;0,VLOOKUP($A21,[1]Foglio1!$A$1:$IV$65536,12,FALSE)," ")</f>
        <v>50</v>
      </c>
      <c r="S21" s="67" t="str">
        <f>IF($A21&gt;0,VLOOKUP($A21,[1]Foglio1!$A$1:$IV$65536,13,FALSE)," ")</f>
        <v>10,5/6,10</v>
      </c>
      <c r="T21" s="67">
        <f>IF($A21&gt;0,VLOOKUP($A21,[1]Foglio1!$A$1:$IV$65536,14,FALSE)," ")</f>
        <v>55</v>
      </c>
      <c r="U21" s="67" t="str">
        <f>IF($A21&gt;0,VLOOKUP($A21,[1]Foglio1!$A$1:$IV$65536,15,FALSE)," ")</f>
        <v>155(F)</v>
      </c>
      <c r="V21" s="67" t="str">
        <f>IF($A21&gt;0,VLOOKUP($A21,[1]Foglio1!$A$1:$IV$65536,16,FALSE)," ")</f>
        <v>270°</v>
      </c>
      <c r="W21" s="67" t="str">
        <f>IF($A21&gt;0,VLOOKUP($A21,[1]Foglio1!$A$1:$IV$65536,17,FALSE)," ")</f>
        <v>TF</v>
      </c>
      <c r="X21" s="67" t="str">
        <f>IF($A21&gt;0,IF(VLOOKUP($A21,[1]Foglio1!$A$1:$IV$65536,18,FALSE)&lt;&gt;"-","YES","NO")," ")</f>
        <v>NO</v>
      </c>
      <c r="Y21" s="67" t="str">
        <f>IF($A21&gt;0,VLOOKUP($A21,[1]Foglio1!$A$1:$IV$65536,19,FALSE)," ")</f>
        <v>-</v>
      </c>
      <c r="Z21" s="67" t="str">
        <f>IF($A21&gt;0,VLOOKUP($A21,[1]Foglio1!$A$1:$IV$65536,20,FALSE)," ")</f>
        <v>-</v>
      </c>
      <c r="AA21" s="67" t="str">
        <f>IF($A21&gt;0,VLOOKUP($A21,[1]Foglio1!$A$1:$IV$65536,21,FALSE)," ")</f>
        <v>T</v>
      </c>
      <c r="AB21" s="67" t="str">
        <f>IF($A21&gt;0,VLOOKUP($A21,[1]Foglio1!$A$1:$IV$65536,22,FALSE)," ")</f>
        <v>SS+R</v>
      </c>
      <c r="AC21" s="67"/>
      <c r="AD21" s="67"/>
      <c r="AE21" s="67" t="str">
        <f>IF($A21&gt;0,VLOOKUP($A21,[1]Foglio1!$A$1:$IV$65536,23,FALSE)," ")</f>
        <v>-</v>
      </c>
      <c r="AF21" s="67" t="str">
        <f>IF($A21&gt;0,VLOOKUP($A21,[1]Foglio1!$A$1:$IV$65536,24,FALSE)," ")</f>
        <v>CLP 220 (-15/+40°C)</v>
      </c>
      <c r="AG21" s="67" t="str">
        <f>IF($A21&gt;0,VLOOKUP($A21,[1]Foglio1!$A$1:$IV$65536,25,FALSE)," ")</f>
        <v>KH77/T EDRN132S4 /TF</v>
      </c>
      <c r="AH21" s="67" t="str">
        <f>IF($A21&gt;0,VLOOKUP($A21,[1]Foglio1!$A$1:$IV$65536,26,FALSE)," ")</f>
        <v>SEW</v>
      </c>
      <c r="AI21" s="67" t="str">
        <f t="shared" ref="AI21:AI23" si="9">IF(X21="YES", "YES",IF(A21="","-","NO"))</f>
        <v>NO</v>
      </c>
      <c r="AJ21" s="67">
        <f>IF($A21&gt;0,VLOOKUP($A21,[1]Foglio1!$A$1:$IV$65536,27,FALSE)," ")</f>
        <v>0</v>
      </c>
      <c r="AK21" s="67" t="str">
        <f>IF($A21&gt;0,VLOOKUP($A21,[1]Foglio1!$A$1:$IV$65536,28,FALSE)," ")</f>
        <v>ATEX22</v>
      </c>
      <c r="AL21" s="27">
        <f>IF($A21&gt;0,VLOOKUP($A21,[1]Foglio1!$A$1:$IV$65536,31,FALSE)," ")</f>
        <v>0</v>
      </c>
      <c r="AM21" s="64" t="str">
        <f>IF($A21&gt;0,VLOOKUP($A21,[1]Foglio1!$A$1:$IV$65536,34,FALSE)," ")</f>
        <v>KH77T-EDRN132S4A270-X</v>
      </c>
      <c r="AN21" s="76" t="s">
        <v>444</v>
      </c>
    </row>
    <row r="22" spans="1:40" s="8" customFormat="1" ht="18" customHeight="1" x14ac:dyDescent="0.2">
      <c r="A22" s="50" t="s">
        <v>3146</v>
      </c>
      <c r="B22" s="41" t="s">
        <v>3118</v>
      </c>
      <c r="C22" s="42" t="s">
        <v>3101</v>
      </c>
      <c r="D22" s="43">
        <v>1</v>
      </c>
      <c r="E22" s="65" t="str">
        <f>IF($A22&gt;0,VLOOKUP($A22,[1]Foglio1!$A$1:$IV$65536,2,FALSE)," ")</f>
        <v>MR</v>
      </c>
      <c r="F22" s="66">
        <f>IF($A22&gt;0,VLOOKUP($A22,[1]Foglio1!$A$1:$IV$65536,3,FALSE)," ")</f>
        <v>5.5</v>
      </c>
      <c r="G22" s="67">
        <f t="shared" si="8"/>
        <v>57</v>
      </c>
      <c r="H22" s="67">
        <f>IF($A22&gt;0,VLOOKUP($A22,[1]Foglio1!$A$1:$IV$65536,4,FALSE)," ")</f>
        <v>57</v>
      </c>
      <c r="I22" s="67" t="str">
        <f>IF($A22&gt;0,VLOOKUP($A22,[1]Foglio1!$A$1:$IV$65536,5,FALSE)," ")</f>
        <v>KH77</v>
      </c>
      <c r="J22" s="67">
        <f>IF($A22&gt;0,VLOOKUP($A22,[1]Foglio1!$A$1:$IV$65536,6,FALSE)," ")</f>
        <v>920</v>
      </c>
      <c r="K22" s="67">
        <f>IF($A22&gt;0,VLOOKUP($A22,[1]Foglio1!$A$1:$IV$65536,7,FALSE)," ")</f>
        <v>25.62</v>
      </c>
      <c r="L22" s="67">
        <f>IF($A22&gt;0,VLOOKUP($A22,[1]Foglio1!$A$1:$IV$65536,8,FALSE)," ")</f>
        <v>1.7</v>
      </c>
      <c r="M22" s="67" t="str">
        <f>IF($A22&gt;0,VLOOKUP($A22,[1]Foglio1!$A$1:$IV$65536,9,FALSE)," ")</f>
        <v>From M3B to M4B -80°</v>
      </c>
      <c r="N22" s="67" t="str">
        <f>IF($A22&gt;0,VLOOKUP($A22,[1]Foglio1!$A$1:$IV$65536,10,FALSE)," ")</f>
        <v>IE3</v>
      </c>
      <c r="O22" s="67" t="str">
        <f>IF($A22&gt;0,VLOOKUP($A22,[1]Foglio1!$A$1:$IV$65536,11,FALSE)," ")</f>
        <v>230/400</v>
      </c>
      <c r="P22" s="68"/>
      <c r="Q22" s="68"/>
      <c r="R22" s="67">
        <f>IF($A22&gt;0,VLOOKUP($A22,[1]Foglio1!$A$1:$IV$65536,12,FALSE)," ")</f>
        <v>50</v>
      </c>
      <c r="S22" s="67" t="str">
        <f>IF($A22&gt;0,VLOOKUP($A22,[1]Foglio1!$A$1:$IV$65536,13,FALSE)," ")</f>
        <v>10,5/6,10</v>
      </c>
      <c r="T22" s="67">
        <f>IF($A22&gt;0,VLOOKUP($A22,[1]Foglio1!$A$1:$IV$65536,14,FALSE)," ")</f>
        <v>55</v>
      </c>
      <c r="U22" s="67" t="str">
        <f>IF($A22&gt;0,VLOOKUP($A22,[1]Foglio1!$A$1:$IV$65536,15,FALSE)," ")</f>
        <v>155(F)</v>
      </c>
      <c r="V22" s="67" t="str">
        <f>IF($A22&gt;0,VLOOKUP($A22,[1]Foglio1!$A$1:$IV$65536,16,FALSE)," ")</f>
        <v>270°</v>
      </c>
      <c r="W22" s="67" t="str">
        <f>IF($A22&gt;0,VLOOKUP($A22,[1]Foglio1!$A$1:$IV$65536,17,FALSE)," ")</f>
        <v>TF</v>
      </c>
      <c r="X22" s="67" t="str">
        <f>IF($A22&gt;0,IF(VLOOKUP($A22,[1]Foglio1!$A$1:$IV$65536,18,FALSE)&lt;&gt;"-","YES","NO")," ")</f>
        <v>NO</v>
      </c>
      <c r="Y22" s="67" t="str">
        <f>IF($A22&gt;0,VLOOKUP($A22,[1]Foglio1!$A$1:$IV$65536,19,FALSE)," ")</f>
        <v>-</v>
      </c>
      <c r="Z22" s="67" t="str">
        <f>IF($A22&gt;0,VLOOKUP($A22,[1]Foglio1!$A$1:$IV$65536,20,FALSE)," ")</f>
        <v>-</v>
      </c>
      <c r="AA22" s="67" t="str">
        <f>IF($A22&gt;0,VLOOKUP($A22,[1]Foglio1!$A$1:$IV$65536,21,FALSE)," ")</f>
        <v>T</v>
      </c>
      <c r="AB22" s="67" t="str">
        <f>IF($A22&gt;0,VLOOKUP($A22,[1]Foglio1!$A$1:$IV$65536,22,FALSE)," ")</f>
        <v>SS+R</v>
      </c>
      <c r="AC22" s="67"/>
      <c r="AD22" s="67"/>
      <c r="AE22" s="67" t="str">
        <f>IF($A22&gt;0,VLOOKUP($A22,[1]Foglio1!$A$1:$IV$65536,23,FALSE)," ")</f>
        <v>-</v>
      </c>
      <c r="AF22" s="67" t="str">
        <f>IF($A22&gt;0,VLOOKUP($A22,[1]Foglio1!$A$1:$IV$65536,24,FALSE)," ")</f>
        <v>CLP 220 (-15/+40°C)</v>
      </c>
      <c r="AG22" s="67" t="str">
        <f>IF($A22&gt;0,VLOOKUP($A22,[1]Foglio1!$A$1:$IV$65536,25,FALSE)," ")</f>
        <v>KH77/T EDRN132S4 /TF</v>
      </c>
      <c r="AH22" s="67" t="str">
        <f>IF($A22&gt;0,VLOOKUP($A22,[1]Foglio1!$A$1:$IV$65536,26,FALSE)," ")</f>
        <v>SEW</v>
      </c>
      <c r="AI22" s="67" t="str">
        <f t="shared" si="9"/>
        <v>NO</v>
      </c>
      <c r="AJ22" s="67">
        <f>IF($A22&gt;0,VLOOKUP($A22,[1]Foglio1!$A$1:$IV$65536,27,FALSE)," ")</f>
        <v>0</v>
      </c>
      <c r="AK22" s="67" t="str">
        <f>IF($A22&gt;0,VLOOKUP($A22,[1]Foglio1!$A$1:$IV$65536,28,FALSE)," ")</f>
        <v>ATEX22</v>
      </c>
      <c r="AL22" s="27">
        <f>IF($A22&gt;0,VLOOKUP($A22,[1]Foglio1!$A$1:$IV$65536,31,FALSE)," ")</f>
        <v>0</v>
      </c>
      <c r="AM22" s="64" t="str">
        <f>IF($A22&gt;0,VLOOKUP($A22,[1]Foglio1!$A$1:$IV$65536,34,FALSE)," ")</f>
        <v>KH77T-EDRN132S4B270-X</v>
      </c>
      <c r="AN22" s="76" t="s">
        <v>444</v>
      </c>
    </row>
    <row r="23" spans="1:40" s="8" customFormat="1" ht="18" customHeight="1" x14ac:dyDescent="0.2">
      <c r="A23" s="50" t="s">
        <v>3147</v>
      </c>
      <c r="B23" s="41" t="s">
        <v>3118</v>
      </c>
      <c r="C23" s="42" t="s">
        <v>3101</v>
      </c>
      <c r="D23" s="43">
        <v>1</v>
      </c>
      <c r="E23" s="65" t="str">
        <f>IF($A23&gt;0,VLOOKUP($A23,[1]Foglio1!$A$1:$IV$65536,2,FALSE)," ")</f>
        <v>MR</v>
      </c>
      <c r="F23" s="66">
        <f>IF($A23&gt;0,VLOOKUP($A23,[1]Foglio1!$A$1:$IV$65536,3,FALSE)," ")</f>
        <v>0.75</v>
      </c>
      <c r="G23" s="67">
        <f t="shared" si="8"/>
        <v>162</v>
      </c>
      <c r="H23" s="67">
        <f>IF($A23&gt;0,VLOOKUP($A23,[1]Foglio1!$A$1:$IV$65536,4,FALSE)," ")</f>
        <v>162</v>
      </c>
      <c r="I23" s="67" t="str">
        <f>IF($A23&gt;0,VLOOKUP($A23,[1]Foglio1!$A$1:$IV$65536,5,FALSE)," ")</f>
        <v>KA37</v>
      </c>
      <c r="J23" s="67">
        <f>IF($A23&gt;0,VLOOKUP($A23,[1]Foglio1!$A$1:$IV$65536,6,FALSE)," ")</f>
        <v>44</v>
      </c>
      <c r="K23" s="67">
        <f>IF($A23&gt;0,VLOOKUP($A23,[1]Foglio1!$A$1:$IV$65536,7,FALSE)," ")</f>
        <v>8.91</v>
      </c>
      <c r="L23" s="67">
        <f>IF($A23&gt;0,VLOOKUP($A23,[1]Foglio1!$A$1:$IV$65536,8,FALSE)," ")</f>
        <v>3.6</v>
      </c>
      <c r="M23" s="67" t="str">
        <f>IF($A23&gt;0,VLOOKUP($A23,[1]Foglio1!$A$1:$IV$65536,9,FALSE)," ")</f>
        <v>From M3B to M2B -25°</v>
      </c>
      <c r="N23" s="67" t="str">
        <f>IF($A23&gt;0,VLOOKUP($A23,[1]Foglio1!$A$1:$IV$65536,10,FALSE)," ")</f>
        <v>IE3</v>
      </c>
      <c r="O23" s="67" t="str">
        <f>IF($A23&gt;0,VLOOKUP($A23,[1]Foglio1!$A$1:$IV$65536,11,FALSE)," ")</f>
        <v>230/400</v>
      </c>
      <c r="P23" s="68"/>
      <c r="Q23" s="68"/>
      <c r="R23" s="67">
        <f>IF($A23&gt;0,VLOOKUP($A23,[1]Foglio1!$A$1:$IV$65536,12,FALSE)," ")</f>
        <v>50</v>
      </c>
      <c r="S23" s="67" t="str">
        <f>IF($A23&gt;0,VLOOKUP($A23,[1]Foglio1!$A$1:$IV$65536,13,FALSE)," ")</f>
        <v>3,05/1,75</v>
      </c>
      <c r="T23" s="67">
        <f>IF($A23&gt;0,VLOOKUP($A23,[1]Foglio1!$A$1:$IV$65536,14,FALSE)," ")</f>
        <v>55</v>
      </c>
      <c r="U23" s="67" t="str">
        <f>IF($A23&gt;0,VLOOKUP($A23,[1]Foglio1!$A$1:$IV$65536,15,FALSE)," ")</f>
        <v>155(F)</v>
      </c>
      <c r="V23" s="67" t="str">
        <f>IF($A23&gt;0,VLOOKUP($A23,[1]Foglio1!$A$1:$IV$65536,16,FALSE)," ")</f>
        <v>270°</v>
      </c>
      <c r="W23" s="67" t="str">
        <f>IF($A23&gt;0,VLOOKUP($A23,[1]Foglio1!$A$1:$IV$65536,17,FALSE)," ")</f>
        <v>TF</v>
      </c>
      <c r="X23" s="67" t="str">
        <f>IF($A23&gt;0,IF(VLOOKUP($A23,[1]Foglio1!$A$1:$IV$65536,18,FALSE)&lt;&gt;"-","YES","NO")," ")</f>
        <v>NO</v>
      </c>
      <c r="Y23" s="67" t="str">
        <f>IF($A23&gt;0,VLOOKUP($A23,[1]Foglio1!$A$1:$IV$65536,19,FALSE)," ")</f>
        <v>-</v>
      </c>
      <c r="Z23" s="67" t="str">
        <f>IF($A23&gt;0,VLOOKUP($A23,[1]Foglio1!$A$1:$IV$65536,20,FALSE)," ")</f>
        <v>-</v>
      </c>
      <c r="AA23" s="67" t="str">
        <f>IF($A23&gt;0,VLOOKUP($A23,[1]Foglio1!$A$1:$IV$65536,21,FALSE)," ")</f>
        <v>T</v>
      </c>
      <c r="AB23" s="67" t="str">
        <f>IF($A23&gt;0,VLOOKUP($A23,[1]Foglio1!$A$1:$IV$65536,22,FALSE)," ")</f>
        <v>D</v>
      </c>
      <c r="AC23" s="67"/>
      <c r="AD23" s="67"/>
      <c r="AE23" s="67" t="str">
        <f>IF($A23&gt;0,VLOOKUP($A23,[1]Foglio1!$A$1:$IV$65536,23,FALSE)," ")</f>
        <v>-</v>
      </c>
      <c r="AF23" s="67" t="str">
        <f>IF($A23&gt;0,VLOOKUP($A23,[1]Foglio1!$A$1:$IV$65536,24,FALSE)," ")</f>
        <v>CLP 220 (-15/+40°C)</v>
      </c>
      <c r="AG23" s="67" t="str">
        <f>IF($A23&gt;0,VLOOKUP($A23,[1]Foglio1!$A$1:$IV$65536,25,FALSE)," ")</f>
        <v>KA37/T EDRN80M4 /TF</v>
      </c>
      <c r="AH23" s="67" t="str">
        <f>IF($A23&gt;0,VLOOKUP($A23,[1]Foglio1!$A$1:$IV$65536,26,FALSE)," ")</f>
        <v>SEW</v>
      </c>
      <c r="AI23" s="67" t="str">
        <f t="shared" si="9"/>
        <v>NO</v>
      </c>
      <c r="AJ23" s="67">
        <f>IF($A23&gt;0,VLOOKUP($A23,[1]Foglio1!$A$1:$IV$65536,27,FALSE)," ")</f>
        <v>0</v>
      </c>
      <c r="AK23" s="67" t="str">
        <f>IF($A23&gt;0,VLOOKUP($A23,[1]Foglio1!$A$1:$IV$65536,28,FALSE)," ")</f>
        <v>ATEX22</v>
      </c>
      <c r="AL23" s="27">
        <f>IF($A23&gt;0,VLOOKUP($A23,[1]Foglio1!$A$1:$IV$65536,31,FALSE)," ")</f>
        <v>0</v>
      </c>
      <c r="AM23" s="64" t="str">
        <f>IF($A23&gt;0,VLOOKUP($A23,[1]Foglio1!$A$1:$IV$65536,34,FALSE)," ")</f>
        <v>KA37T-EDRN80M4B270-X</v>
      </c>
      <c r="AN23" s="76" t="s">
        <v>444</v>
      </c>
    </row>
    <row r="24" spans="1:40" s="8" customFormat="1" ht="18" customHeight="1" x14ac:dyDescent="0.2">
      <c r="A24" s="50"/>
      <c r="B24" s="41"/>
      <c r="C24" s="42"/>
      <c r="D24" s="43"/>
      <c r="E24" s="65"/>
      <c r="F24" s="66"/>
      <c r="G24" s="67"/>
      <c r="H24" s="67"/>
      <c r="I24" s="67"/>
      <c r="J24" s="67"/>
      <c r="K24" s="67"/>
      <c r="L24" s="67"/>
      <c r="M24" s="67"/>
      <c r="N24" s="67"/>
      <c r="O24" s="67"/>
      <c r="P24" s="68"/>
      <c r="Q24" s="68"/>
      <c r="R24" s="67"/>
      <c r="S24" s="67"/>
      <c r="T24" s="67"/>
      <c r="U24" s="67"/>
      <c r="V24" s="67"/>
      <c r="W24" s="67"/>
      <c r="X24" s="67"/>
      <c r="Y24" s="67"/>
      <c r="Z24" s="67"/>
      <c r="AA24" s="67"/>
      <c r="AB24" s="67"/>
      <c r="AC24" s="67"/>
      <c r="AD24" s="67"/>
      <c r="AE24" s="67"/>
      <c r="AF24" s="67"/>
      <c r="AG24" s="67"/>
      <c r="AH24" s="67"/>
      <c r="AI24" s="67"/>
      <c r="AJ24" s="67"/>
      <c r="AK24" s="67"/>
      <c r="AL24" s="27"/>
      <c r="AM24" s="75"/>
    </row>
    <row r="25" spans="1:40" s="8" customFormat="1" ht="18" customHeight="1" x14ac:dyDescent="0.2">
      <c r="A25" s="50" t="s">
        <v>3132</v>
      </c>
      <c r="B25" s="41" t="s">
        <v>3119</v>
      </c>
      <c r="C25" s="42" t="s">
        <v>3102</v>
      </c>
      <c r="D25" s="43">
        <v>1</v>
      </c>
      <c r="E25" s="65" t="str">
        <f>IF($A25&gt;0,VLOOKUP($A25,[1]Foglio1!$A$1:$IV$65536,2,FALSE)," ")</f>
        <v>MR</v>
      </c>
      <c r="F25" s="66">
        <f>IF($A25&gt;0,VLOOKUP($A25,[1]Foglio1!$A$1:$IV$65536,3,FALSE)," ")</f>
        <v>0.55000000000000004</v>
      </c>
      <c r="G25" s="67">
        <f t="shared" ref="G25" si="10">H25*R25/50</f>
        <v>3.9</v>
      </c>
      <c r="H25" s="67">
        <f>IF($A25&gt;0,VLOOKUP($A25,[1]Foglio1!$A$1:$IV$65536,4,FALSE)," ")</f>
        <v>3.9</v>
      </c>
      <c r="I25" s="67" t="str">
        <f>IF($A25&gt;0,VLOOKUP($A25,[1]Foglio1!$A$1:$IV$65536,5,FALSE)," ")</f>
        <v>KA77R37</v>
      </c>
      <c r="J25" s="67">
        <f>IF($A25&gt;0,VLOOKUP($A25,[1]Foglio1!$A$1:$IV$65536,6,FALSE)," ")</f>
        <v>1210</v>
      </c>
      <c r="K25" s="67">
        <f>IF($A25&gt;0,VLOOKUP($A25,[1]Foglio1!$A$1:$IV$65536,7,FALSE)," ")</f>
        <v>367</v>
      </c>
      <c r="L25" s="67">
        <f>IF($A25&gt;0,VLOOKUP($A25,[1]Foglio1!$A$1:$IV$65536,8,FALSE)," ")</f>
        <v>1.25</v>
      </c>
      <c r="M25" s="67" t="str">
        <f>IF($A25&gt;0,VLOOKUP($A25,[1]Foglio1!$A$1:$IV$65536,9,FALSE)," ")</f>
        <v>M3B</v>
      </c>
      <c r="N25" s="67" t="str">
        <f>IF($A25&gt;0,VLOOKUP($A25,[1]Foglio1!$A$1:$IV$65536,10,FALSE)," ")</f>
        <v>IE3</v>
      </c>
      <c r="O25" s="67" t="str">
        <f>IF($A25&gt;0,VLOOKUP($A25,[1]Foglio1!$A$1:$IV$65536,11,FALSE)," ")</f>
        <v>230/400</v>
      </c>
      <c r="P25" s="68"/>
      <c r="Q25" s="68"/>
      <c r="R25" s="67">
        <f>IF($A25&gt;0,VLOOKUP($A25,[1]Foglio1!$A$1:$IV$65536,12,FALSE)," ")</f>
        <v>50</v>
      </c>
      <c r="S25" s="67" t="str">
        <f>IF($A25&gt;0,VLOOKUP($A25,[1]Foglio1!$A$1:$IV$65536,13,FALSE)," ")</f>
        <v>2,25/1,29</v>
      </c>
      <c r="T25" s="67">
        <f>IF($A25&gt;0,VLOOKUP($A25,[1]Foglio1!$A$1:$IV$65536,14,FALSE)," ")</f>
        <v>55</v>
      </c>
      <c r="U25" s="67" t="str">
        <f>IF($A25&gt;0,VLOOKUP($A25,[1]Foglio1!$A$1:$IV$65536,15,FALSE)," ")</f>
        <v>155(F)</v>
      </c>
      <c r="V25" s="67" t="str">
        <f>IF($A25&gt;0,VLOOKUP($A25,[1]Foglio1!$A$1:$IV$65536,16,FALSE)," ")</f>
        <v>0°</v>
      </c>
      <c r="W25" s="67" t="str">
        <f>IF($A25&gt;0,VLOOKUP($A25,[1]Foglio1!$A$1:$IV$65536,17,FALSE)," ")</f>
        <v>TF</v>
      </c>
      <c r="X25" s="67" t="str">
        <f>IF($A25&gt;0,IF(VLOOKUP($A25,[1]Foglio1!$A$1:$IV$65536,18,FALSE)&lt;&gt;"-","YES","NO")," ")</f>
        <v>NO</v>
      </c>
      <c r="Y25" s="67" t="str">
        <f>IF($A25&gt;0,VLOOKUP($A25,[1]Foglio1!$A$1:$IV$65536,19,FALSE)," ")</f>
        <v>-</v>
      </c>
      <c r="Z25" s="67" t="str">
        <f>IF($A25&gt;0,VLOOKUP($A25,[1]Foglio1!$A$1:$IV$65536,20,FALSE)," ")</f>
        <v>BEHF</v>
      </c>
      <c r="AA25" s="67" t="str">
        <f>IF($A25&gt;0,VLOOKUP($A25,[1]Foglio1!$A$1:$IV$65536,21,FALSE)," ")</f>
        <v>T</v>
      </c>
      <c r="AB25" s="67" t="str">
        <f>IF($A25&gt;0,VLOOKUP($A25,[1]Foglio1!$A$1:$IV$65536,22,FALSE)," ")</f>
        <v>D+R</v>
      </c>
      <c r="AC25" s="67"/>
      <c r="AD25" s="67"/>
      <c r="AE25" s="67" t="str">
        <f>IF($A25&gt;0,VLOOKUP($A25,[1]Foglio1!$A$1:$IV$65536,23,FALSE)," ")</f>
        <v>-</v>
      </c>
      <c r="AF25" s="67" t="str">
        <f>IF($A25&gt;0,VLOOKUP($A25,[1]Foglio1!$A$1:$IV$65536,24,FALSE)," ")</f>
        <v>CLP 220 (-15/+40°C)</v>
      </c>
      <c r="AG25" s="67" t="str">
        <f>IF($A25&gt;0,VLOOKUP($A25,[1]Foglio1!$A$1:$IV$65536,25,FALSE)," ")</f>
        <v>KA77R37/T EDRE80S4 /BEHF /TF</v>
      </c>
      <c r="AH25" s="67" t="str">
        <f>IF($A25&gt;0,VLOOKUP($A25,[1]Foglio1!$A$1:$IV$65536,26,FALSE)," ")</f>
        <v>SEW</v>
      </c>
      <c r="AI25" s="67" t="str">
        <f t="shared" ref="AI25" si="11">IF(X25="YES", "YES",IF(A25="","-","NO"))</f>
        <v>NO</v>
      </c>
      <c r="AJ25" s="67">
        <f>IF($A25&gt;0,VLOOKUP($A25,[1]Foglio1!$A$1:$IV$65536,27,FALSE)," ")</f>
        <v>0</v>
      </c>
      <c r="AK25" s="67" t="str">
        <f>IF($A25&gt;0,VLOOKUP($A25,[1]Foglio1!$A$1:$IV$65536,28,FALSE)," ")</f>
        <v>ATEX22</v>
      </c>
      <c r="AL25" s="27">
        <f>IF($A25&gt;0,VLOOKUP($A25,[1]Foglio1!$A$1:$IV$65536,31,FALSE)," ")</f>
        <v>0</v>
      </c>
      <c r="AM25" s="64" t="str">
        <f>IF($A25&gt;0,VLOOKUP($A25,[1]Foglio1!$A$1:$IV$65536,34,FALSE)," ")</f>
        <v>KA77R37T-EDRE80S4B0-X</v>
      </c>
      <c r="AN25" s="76" t="s">
        <v>444</v>
      </c>
    </row>
    <row r="26" spans="1:40" s="8" customFormat="1" ht="18" customHeight="1" x14ac:dyDescent="0.2">
      <c r="A26" s="50"/>
      <c r="B26" s="41"/>
      <c r="C26" s="42"/>
      <c r="D26" s="43"/>
      <c r="E26" s="65"/>
      <c r="F26" s="66"/>
      <c r="G26" s="67"/>
      <c r="H26" s="67"/>
      <c r="I26" s="67"/>
      <c r="J26" s="67"/>
      <c r="K26" s="67"/>
      <c r="L26" s="67"/>
      <c r="M26" s="67"/>
      <c r="N26" s="67"/>
      <c r="O26" s="67"/>
      <c r="P26" s="68"/>
      <c r="Q26" s="68"/>
      <c r="R26" s="67"/>
      <c r="S26" s="67"/>
      <c r="T26" s="67"/>
      <c r="U26" s="67"/>
      <c r="V26" s="67"/>
      <c r="W26" s="67"/>
      <c r="X26" s="67"/>
      <c r="Y26" s="67"/>
      <c r="Z26" s="67"/>
      <c r="AA26" s="67"/>
      <c r="AB26" s="67"/>
      <c r="AC26" s="67"/>
      <c r="AD26" s="67"/>
      <c r="AE26" s="67"/>
      <c r="AF26" s="67"/>
      <c r="AG26" s="67"/>
      <c r="AH26" s="67"/>
      <c r="AI26" s="67"/>
      <c r="AJ26" s="67"/>
      <c r="AK26" s="67"/>
      <c r="AL26" s="27"/>
      <c r="AM26" s="75"/>
    </row>
    <row r="27" spans="1:40" s="8" customFormat="1" ht="18" customHeight="1" x14ac:dyDescent="0.2">
      <c r="A27" s="50" t="s">
        <v>3148</v>
      </c>
      <c r="B27" s="41" t="s">
        <v>3120</v>
      </c>
      <c r="C27" s="42" t="s">
        <v>3103</v>
      </c>
      <c r="D27" s="43">
        <v>1</v>
      </c>
      <c r="E27" s="65" t="str">
        <f>IF($A27&gt;0,VLOOKUP($A27,[1]Foglio1!$A$1:$IV$65536,2,FALSE)," ")</f>
        <v>MR</v>
      </c>
      <c r="F27" s="66">
        <f>IF($A27&gt;0,VLOOKUP($A27,[1]Foglio1!$A$1:$IV$65536,3,FALSE)," ")</f>
        <v>11</v>
      </c>
      <c r="G27" s="67">
        <f t="shared" ref="G27" si="12">H27*R27/50</f>
        <v>53</v>
      </c>
      <c r="H27" s="67">
        <f>IF($A27&gt;0,VLOOKUP($A27,[1]Foglio1!$A$1:$IV$65536,4,FALSE)," ")</f>
        <v>53</v>
      </c>
      <c r="I27" s="67" t="str">
        <f>IF($A27&gt;0,VLOOKUP($A27,[1]Foglio1!$A$1:$IV$65536,5,FALSE)," ")</f>
        <v>R97</v>
      </c>
      <c r="J27" s="67">
        <f>IF($A27&gt;0,VLOOKUP($A27,[1]Foglio1!$A$1:$IV$65536,6,FALSE)," ")</f>
        <v>1960</v>
      </c>
      <c r="K27" s="67">
        <f>IF($A27&gt;0,VLOOKUP($A27,[1]Foglio1!$A$1:$IV$65536,7,FALSE)," ")</f>
        <v>27.58</v>
      </c>
      <c r="L27" s="67">
        <f>IF($A27&gt;0,VLOOKUP($A27,[1]Foglio1!$A$1:$IV$65536,8,FALSE)," ")</f>
        <v>1.35</v>
      </c>
      <c r="M27" s="67" t="str">
        <f>IF($A27&gt;0,VLOOKUP($A27,[1]Foglio1!$A$1:$IV$65536,9,FALSE)," ")</f>
        <v>From M1 to M4 - 20°</v>
      </c>
      <c r="N27" s="67" t="str">
        <f>IF($A27&gt;0,VLOOKUP($A27,[1]Foglio1!$A$1:$IV$65536,10,FALSE)," ")</f>
        <v>IE3</v>
      </c>
      <c r="O27" s="67" t="str">
        <f>IF($A27&gt;0,VLOOKUP($A27,[1]Foglio1!$A$1:$IV$65536,11,FALSE)," ")</f>
        <v>400/690</v>
      </c>
      <c r="P27" s="68"/>
      <c r="Q27" s="68"/>
      <c r="R27" s="67">
        <f>IF($A27&gt;0,VLOOKUP($A27,[1]Foglio1!$A$1:$IV$65536,12,FALSE)," ")</f>
        <v>50</v>
      </c>
      <c r="S27" s="67" t="str">
        <f>IF($A27&gt;0,VLOOKUP($A27,[1]Foglio1!$A$1:$IV$65536,13,FALSE)," ")</f>
        <v>21/12,2</v>
      </c>
      <c r="T27" s="67">
        <f>IF($A27&gt;0,VLOOKUP($A27,[1]Foglio1!$A$1:$IV$65536,14,FALSE)," ")</f>
        <v>55</v>
      </c>
      <c r="U27" s="67" t="str">
        <f>IF($A27&gt;0,VLOOKUP($A27,[1]Foglio1!$A$1:$IV$65536,15,FALSE)," ")</f>
        <v>155(F)</v>
      </c>
      <c r="V27" s="67" t="str">
        <f>IF($A27&gt;0,VLOOKUP($A27,[1]Foglio1!$A$1:$IV$65536,16,FALSE)," ")</f>
        <v>270°</v>
      </c>
      <c r="W27" s="67" t="str">
        <f>IF($A27&gt;0,VLOOKUP($A27,[1]Foglio1!$A$1:$IV$65536,17,FALSE)," ")</f>
        <v>TF</v>
      </c>
      <c r="X27" s="67" t="str">
        <f>IF($A27&gt;0,IF(VLOOKUP($A27,[1]Foglio1!$A$1:$IV$65536,18,FALSE)&lt;&gt;"-","YES","NO")," ")</f>
        <v>NO</v>
      </c>
      <c r="Y27" s="67" t="str">
        <f>IF($A27&gt;0,VLOOKUP($A27,[1]Foglio1!$A$1:$IV$65536,19,FALSE)," ")</f>
        <v>-</v>
      </c>
      <c r="Z27" s="67" t="str">
        <f>IF($A27&gt;0,VLOOKUP($A27,[1]Foglio1!$A$1:$IV$65536,20,FALSE)," ")</f>
        <v>-</v>
      </c>
      <c r="AA27" s="67" t="str">
        <f>IF($A27&gt;0,VLOOKUP($A27,[1]Foglio1!$A$1:$IV$65536,21,FALSE)," ")</f>
        <v>-</v>
      </c>
      <c r="AB27" s="67" t="str">
        <f>IF($A27&gt;0,VLOOKUP($A27,[1]Foglio1!$A$1:$IV$65536,22,FALSE)," ")</f>
        <v>D</v>
      </c>
      <c r="AC27" s="67"/>
      <c r="AD27" s="67"/>
      <c r="AE27" s="67" t="str">
        <f>IF($A27&gt;0,VLOOKUP($A27,[1]Foglio1!$A$1:$IV$65536,23,FALSE)," ")</f>
        <v>-</v>
      </c>
      <c r="AF27" s="67" t="str">
        <f>IF($A27&gt;0,VLOOKUP($A27,[1]Foglio1!$A$1:$IV$65536,24,FALSE)," ")</f>
        <v>CLP 220 (-15/+40°C)</v>
      </c>
      <c r="AG27" s="67" t="str">
        <f>IF($A27&gt;0,VLOOKUP($A27,[1]Foglio1!$A$1:$IV$65536,25,FALSE)," ")</f>
        <v>R97EDRN160M4 /TF</v>
      </c>
      <c r="AH27" s="67" t="str">
        <f>IF($A27&gt;0,VLOOKUP($A27,[1]Foglio1!$A$1:$IV$65536,26,FALSE)," ")</f>
        <v>SEW</v>
      </c>
      <c r="AI27" s="67" t="str">
        <f t="shared" ref="AI27" si="13">IF(X27="YES", "YES",IF(A27="","-","NO"))</f>
        <v>NO</v>
      </c>
      <c r="AJ27" s="67">
        <f>IF($A27&gt;0,VLOOKUP($A27,[1]Foglio1!$A$1:$IV$65536,27,FALSE)," ")</f>
        <v>0</v>
      </c>
      <c r="AK27" s="67" t="str">
        <f>IF($A27&gt;0,VLOOKUP($A27,[1]Foglio1!$A$1:$IV$65536,28,FALSE)," ")</f>
        <v>ATEX22</v>
      </c>
      <c r="AL27" s="27">
        <f>IF($A27&gt;0,VLOOKUP($A27,[1]Foglio1!$A$1:$IV$65536,31,FALSE)," ")</f>
        <v>0</v>
      </c>
      <c r="AM27" s="64" t="str">
        <f>IF($A27&gt;0,VLOOKUP($A27,[1]Foglio1!$A$1:$IV$65536,34,FALSE)," ")</f>
        <v>R97-EDRN160M4270-X</v>
      </c>
      <c r="AN27" s="76" t="s">
        <v>444</v>
      </c>
    </row>
    <row r="28" spans="1:40" s="8" customFormat="1" ht="18" customHeight="1" x14ac:dyDescent="0.2">
      <c r="A28" s="50"/>
      <c r="B28" s="41"/>
      <c r="C28" s="42"/>
      <c r="D28" s="43"/>
      <c r="E28" s="65"/>
      <c r="F28" s="66"/>
      <c r="G28" s="67"/>
      <c r="H28" s="67"/>
      <c r="I28" s="67"/>
      <c r="J28" s="67"/>
      <c r="K28" s="67"/>
      <c r="L28" s="67"/>
      <c r="M28" s="67"/>
      <c r="N28" s="67"/>
      <c r="O28" s="67"/>
      <c r="P28" s="68"/>
      <c r="Q28" s="68"/>
      <c r="R28" s="67"/>
      <c r="S28" s="67"/>
      <c r="T28" s="67"/>
      <c r="U28" s="67"/>
      <c r="V28" s="67"/>
      <c r="W28" s="67"/>
      <c r="X28" s="67"/>
      <c r="Y28" s="67"/>
      <c r="Z28" s="67"/>
      <c r="AA28" s="67"/>
      <c r="AB28" s="67"/>
      <c r="AC28" s="67"/>
      <c r="AD28" s="67"/>
      <c r="AE28" s="67"/>
      <c r="AF28" s="67"/>
      <c r="AG28" s="67"/>
      <c r="AH28" s="67"/>
      <c r="AI28" s="67"/>
      <c r="AJ28" s="67"/>
      <c r="AK28" s="67"/>
      <c r="AL28" s="27"/>
      <c r="AM28" s="75"/>
    </row>
    <row r="29" spans="1:40" s="8" customFormat="1" ht="18" customHeight="1" x14ac:dyDescent="0.2">
      <c r="A29" s="50" t="s">
        <v>3150</v>
      </c>
      <c r="B29" s="41" t="s">
        <v>3121</v>
      </c>
      <c r="C29" s="42" t="s">
        <v>3104</v>
      </c>
      <c r="D29" s="43">
        <v>1</v>
      </c>
      <c r="E29" s="65" t="str">
        <f>IF($A29&gt;0,VLOOKUP($A29,[1]Foglio1!$A$1:$IV$65536,2,FALSE)," ")</f>
        <v>MR</v>
      </c>
      <c r="F29" s="66">
        <f>IF($A29&gt;0,VLOOKUP($A29,[1]Foglio1!$A$1:$IV$65536,3,FALSE)," ")</f>
        <v>7.5</v>
      </c>
      <c r="G29" s="67">
        <f t="shared" ref="G29:G32" si="14">H29*R29/50</f>
        <v>59</v>
      </c>
      <c r="H29" s="67">
        <f>IF($A29&gt;0,VLOOKUP($A29,[1]Foglio1!$A$1:$IV$65536,4,FALSE)," ")</f>
        <v>59</v>
      </c>
      <c r="I29" s="67" t="str">
        <f>IF($A29&gt;0,VLOOKUP($A29,[1]Foglio1!$A$1:$IV$65536,5,FALSE)," ")</f>
        <v>KH87</v>
      </c>
      <c r="J29" s="67">
        <f>IF($A29&gt;0,VLOOKUP($A29,[1]Foglio1!$A$1:$IV$65536,6,FALSE)," ")</f>
        <v>1210</v>
      </c>
      <c r="K29" s="67">
        <f>IF($A29&gt;0,VLOOKUP($A29,[1]Foglio1!$A$1:$IV$65536,7,FALSE)," ")</f>
        <v>24.95</v>
      </c>
      <c r="L29" s="67">
        <f>IF($A29&gt;0,VLOOKUP($A29,[1]Foglio1!$A$1:$IV$65536,8,FALSE)," ")</f>
        <v>2.1</v>
      </c>
      <c r="M29" s="67" t="str">
        <f>IF($A29&gt;0,VLOOKUP($A29,[1]Foglio1!$A$1:$IV$65536,9,FALSE)," ")</f>
        <v>M1A</v>
      </c>
      <c r="N29" s="67" t="str">
        <f>IF($A29&gt;0,VLOOKUP($A29,[1]Foglio1!$A$1:$IV$65536,10,FALSE)," ")</f>
        <v>IE3</v>
      </c>
      <c r="O29" s="67" t="str">
        <f>IF($A29&gt;0,VLOOKUP($A29,[1]Foglio1!$A$1:$IV$65536,11,FALSE)," ")</f>
        <v>230/400</v>
      </c>
      <c r="P29" s="68"/>
      <c r="Q29" s="68"/>
      <c r="R29" s="67">
        <f>IF($A29&gt;0,VLOOKUP($A29,[1]Foglio1!$A$1:$IV$65536,12,FALSE)," ")</f>
        <v>50</v>
      </c>
      <c r="S29" s="67" t="str">
        <f>IF($A29&gt;0,VLOOKUP($A29,[1]Foglio1!$A$1:$IV$65536,13,FALSE)," ")</f>
        <v>26,5/15,2</v>
      </c>
      <c r="T29" s="67">
        <f>IF($A29&gt;0,VLOOKUP($A29,[1]Foglio1!$A$1:$IV$65536,14,FALSE)," ")</f>
        <v>55</v>
      </c>
      <c r="U29" s="67" t="str">
        <f>IF($A29&gt;0,VLOOKUP($A29,[1]Foglio1!$A$1:$IV$65536,15,FALSE)," ")</f>
        <v>155(F)</v>
      </c>
      <c r="V29" s="67" t="str">
        <f>IF($A29&gt;0,VLOOKUP($A29,[1]Foglio1!$A$1:$IV$65536,16,FALSE)," ")</f>
        <v>270°</v>
      </c>
      <c r="W29" s="67" t="str">
        <f>IF($A29&gt;0,VLOOKUP($A29,[1]Foglio1!$A$1:$IV$65536,17,FALSE)," ")</f>
        <v>TF</v>
      </c>
      <c r="X29" s="67" t="str">
        <f>IF($A29&gt;0,IF(VLOOKUP($A29,[1]Foglio1!$A$1:$IV$65536,18,FALSE)&lt;&gt;"-","YES","NO")," ")</f>
        <v>NO</v>
      </c>
      <c r="Y29" s="67" t="str">
        <f>IF($A29&gt;0,VLOOKUP($A29,[1]Foglio1!$A$1:$IV$65536,19,FALSE)," ")</f>
        <v>-</v>
      </c>
      <c r="Z29" s="67" t="str">
        <f>IF($A29&gt;0,VLOOKUP($A29,[1]Foglio1!$A$1:$IV$65536,20,FALSE)," ")</f>
        <v>-</v>
      </c>
      <c r="AA29" s="67" t="str">
        <f>IF($A29&gt;0,VLOOKUP($A29,[1]Foglio1!$A$1:$IV$65536,21,FALSE)," ")</f>
        <v>T</v>
      </c>
      <c r="AB29" s="67" t="str">
        <f>IF($A29&gt;0,VLOOKUP($A29,[1]Foglio1!$A$1:$IV$65536,22,FALSE)," ")</f>
        <v>SS+R</v>
      </c>
      <c r="AC29" s="67"/>
      <c r="AD29" s="67"/>
      <c r="AE29" s="67" t="str">
        <f>IF($A29&gt;0,VLOOKUP($A29,[1]Foglio1!$A$1:$IV$65536,23,FALSE)," ")</f>
        <v>-</v>
      </c>
      <c r="AF29" s="67" t="str">
        <f>IF($A29&gt;0,VLOOKUP($A29,[1]Foglio1!$A$1:$IV$65536,24,FALSE)," ")</f>
        <v>CLP 220 (-15/+40°C)</v>
      </c>
      <c r="AG29" s="67" t="str">
        <f>IF($A29&gt;0,VLOOKUP($A29,[1]Foglio1!$A$1:$IV$65536,25,FALSE)," ")</f>
        <v>KH87/T EDRN132M4 /TF</v>
      </c>
      <c r="AH29" s="67" t="str">
        <f>IF($A29&gt;0,VLOOKUP($A29,[1]Foglio1!$A$1:$IV$65536,26,FALSE)," ")</f>
        <v>SEW</v>
      </c>
      <c r="AI29" s="67" t="str">
        <f t="shared" ref="AI29:AI32" si="15">IF(X29="YES", "YES",IF(A29="","-","NO"))</f>
        <v>NO</v>
      </c>
      <c r="AJ29" s="67">
        <f>IF($A29&gt;0,VLOOKUP($A29,[1]Foglio1!$A$1:$IV$65536,27,FALSE)," ")</f>
        <v>0</v>
      </c>
      <c r="AK29" s="67" t="str">
        <f>IF($A29&gt;0,VLOOKUP($A29,[1]Foglio1!$A$1:$IV$65536,28,FALSE)," ")</f>
        <v>ATEX22</v>
      </c>
      <c r="AL29" s="27">
        <f>IF($A29&gt;0,VLOOKUP($A29,[1]Foglio1!$A$1:$IV$65536,31,FALSE)," ")</f>
        <v>0</v>
      </c>
      <c r="AM29" s="64" t="str">
        <f>IF($A29&gt;0,VLOOKUP($A29,[1]Foglio1!$A$1:$IV$65536,34,FALSE)," ")</f>
        <v>KH87T-EDRN132M4A270-X</v>
      </c>
      <c r="AN29" s="76" t="s">
        <v>444</v>
      </c>
    </row>
    <row r="30" spans="1:40" s="8" customFormat="1" ht="18" customHeight="1" x14ac:dyDescent="0.2">
      <c r="A30" s="50" t="s">
        <v>3151</v>
      </c>
      <c r="B30" s="41" t="s">
        <v>3121</v>
      </c>
      <c r="C30" s="42" t="s">
        <v>3104</v>
      </c>
      <c r="D30" s="43">
        <v>1</v>
      </c>
      <c r="E30" s="65" t="str">
        <f>IF($A30&gt;0,VLOOKUP($A30,[1]Foglio1!$A$1:$IV$65536,2,FALSE)," ")</f>
        <v>MR</v>
      </c>
      <c r="F30" s="66">
        <f>IF($A30&gt;0,VLOOKUP($A30,[1]Foglio1!$A$1:$IV$65536,3,FALSE)," ")</f>
        <v>7.5</v>
      </c>
      <c r="G30" s="67">
        <f t="shared" si="14"/>
        <v>59</v>
      </c>
      <c r="H30" s="67">
        <f>IF($A30&gt;0,VLOOKUP($A30,[1]Foglio1!$A$1:$IV$65536,4,FALSE)," ")</f>
        <v>59</v>
      </c>
      <c r="I30" s="67" t="str">
        <f>IF($A30&gt;0,VLOOKUP($A30,[1]Foglio1!$A$1:$IV$65536,5,FALSE)," ")</f>
        <v>KH87</v>
      </c>
      <c r="J30" s="67">
        <f>IF($A30&gt;0,VLOOKUP($A30,[1]Foglio1!$A$1:$IV$65536,6,FALSE)," ")</f>
        <v>1210</v>
      </c>
      <c r="K30" s="67">
        <f>IF($A30&gt;0,VLOOKUP($A30,[1]Foglio1!$A$1:$IV$65536,7,FALSE)," ")</f>
        <v>24.95</v>
      </c>
      <c r="L30" s="67">
        <f>IF($A30&gt;0,VLOOKUP($A30,[1]Foglio1!$A$1:$IV$65536,8,FALSE)," ")</f>
        <v>2.1</v>
      </c>
      <c r="M30" s="67" t="str">
        <f>IF($A30&gt;0,VLOOKUP($A30,[1]Foglio1!$A$1:$IV$65536,9,FALSE)," ")</f>
        <v>M1B</v>
      </c>
      <c r="N30" s="67" t="str">
        <f>IF($A30&gt;0,VLOOKUP($A30,[1]Foglio1!$A$1:$IV$65536,10,FALSE)," ")</f>
        <v>IE3</v>
      </c>
      <c r="O30" s="67" t="str">
        <f>IF($A30&gt;0,VLOOKUP($A30,[1]Foglio1!$A$1:$IV$65536,11,FALSE)," ")</f>
        <v>230/400</v>
      </c>
      <c r="P30" s="68"/>
      <c r="Q30" s="68"/>
      <c r="R30" s="67">
        <f>IF($A30&gt;0,VLOOKUP($A30,[1]Foglio1!$A$1:$IV$65536,12,FALSE)," ")</f>
        <v>50</v>
      </c>
      <c r="S30" s="67" t="str">
        <f>IF($A30&gt;0,VLOOKUP($A30,[1]Foglio1!$A$1:$IV$65536,13,FALSE)," ")</f>
        <v>26,5/15,2</v>
      </c>
      <c r="T30" s="67">
        <f>IF($A30&gt;0,VLOOKUP($A30,[1]Foglio1!$A$1:$IV$65536,14,FALSE)," ")</f>
        <v>55</v>
      </c>
      <c r="U30" s="67" t="str">
        <f>IF($A30&gt;0,VLOOKUP($A30,[1]Foglio1!$A$1:$IV$65536,15,FALSE)," ")</f>
        <v>155(F)</v>
      </c>
      <c r="V30" s="67" t="str">
        <f>IF($A30&gt;0,VLOOKUP($A30,[1]Foglio1!$A$1:$IV$65536,16,FALSE)," ")</f>
        <v>270°</v>
      </c>
      <c r="W30" s="67" t="str">
        <f>IF($A30&gt;0,VLOOKUP($A30,[1]Foglio1!$A$1:$IV$65536,17,FALSE)," ")</f>
        <v>TF</v>
      </c>
      <c r="X30" s="67" t="str">
        <f>IF($A30&gt;0,IF(VLOOKUP($A30,[1]Foglio1!$A$1:$IV$65536,18,FALSE)&lt;&gt;"-","YES","NO")," ")</f>
        <v>NO</v>
      </c>
      <c r="Y30" s="67" t="str">
        <f>IF($A30&gt;0,VLOOKUP($A30,[1]Foglio1!$A$1:$IV$65536,19,FALSE)," ")</f>
        <v>-</v>
      </c>
      <c r="Z30" s="67" t="str">
        <f>IF($A30&gt;0,VLOOKUP($A30,[1]Foglio1!$A$1:$IV$65536,20,FALSE)," ")</f>
        <v>-</v>
      </c>
      <c r="AA30" s="67" t="str">
        <f>IF($A30&gt;0,VLOOKUP($A30,[1]Foglio1!$A$1:$IV$65536,21,FALSE)," ")</f>
        <v>T</v>
      </c>
      <c r="AB30" s="67" t="str">
        <f>IF($A30&gt;0,VLOOKUP($A30,[1]Foglio1!$A$1:$IV$65536,22,FALSE)," ")</f>
        <v>SS+R</v>
      </c>
      <c r="AC30" s="67"/>
      <c r="AD30" s="67"/>
      <c r="AE30" s="67" t="str">
        <f>IF($A30&gt;0,VLOOKUP($A30,[1]Foglio1!$A$1:$IV$65536,23,FALSE)," ")</f>
        <v>-</v>
      </c>
      <c r="AF30" s="67" t="str">
        <f>IF($A30&gt;0,VLOOKUP($A30,[1]Foglio1!$A$1:$IV$65536,24,FALSE)," ")</f>
        <v>CLP 220 (-15/+40°C)</v>
      </c>
      <c r="AG30" s="67" t="str">
        <f>IF($A30&gt;0,VLOOKUP($A30,[1]Foglio1!$A$1:$IV$65536,25,FALSE)," ")</f>
        <v>KH87/T EDRN132M4 /TF</v>
      </c>
      <c r="AH30" s="67" t="str">
        <f>IF($A30&gt;0,VLOOKUP($A30,[1]Foglio1!$A$1:$IV$65536,26,FALSE)," ")</f>
        <v>SEW</v>
      </c>
      <c r="AI30" s="67" t="str">
        <f t="shared" si="15"/>
        <v>NO</v>
      </c>
      <c r="AJ30" s="67">
        <f>IF($A30&gt;0,VLOOKUP($A30,[1]Foglio1!$A$1:$IV$65536,27,FALSE)," ")</f>
        <v>0</v>
      </c>
      <c r="AK30" s="67" t="str">
        <f>IF($A30&gt;0,VLOOKUP($A30,[1]Foglio1!$A$1:$IV$65536,28,FALSE)," ")</f>
        <v>ATEX22</v>
      </c>
      <c r="AL30" s="27">
        <f>IF($A30&gt;0,VLOOKUP($A30,[1]Foglio1!$A$1:$IV$65536,31,FALSE)," ")</f>
        <v>0</v>
      </c>
      <c r="AM30" s="64" t="str">
        <f>IF($A30&gt;0,VLOOKUP($A30,[1]Foglio1!$A$1:$IV$65536,34,FALSE)," ")</f>
        <v>KH87T-EDRN132M4B270-X</v>
      </c>
      <c r="AN30" s="76" t="s">
        <v>444</v>
      </c>
    </row>
    <row r="31" spans="1:40" s="8" customFormat="1" ht="39.75" customHeight="1" x14ac:dyDescent="0.2">
      <c r="A31" s="72" t="s">
        <v>3463</v>
      </c>
      <c r="B31" s="41" t="s">
        <v>3121</v>
      </c>
      <c r="C31" s="42" t="s">
        <v>3104</v>
      </c>
      <c r="D31" s="43">
        <v>1</v>
      </c>
      <c r="E31" s="65" t="str">
        <f>IF($A31&gt;0,VLOOKUP($A31,[1]Foglio1!$A$1:$IV$65536,2,FALSE)," ")</f>
        <v>MR</v>
      </c>
      <c r="F31" s="66">
        <f>IF($A31&gt;0,VLOOKUP($A31,[1]Foglio1!$A$1:$IV$65536,3,FALSE)," ")</f>
        <v>1.1000000000000001</v>
      </c>
      <c r="G31" s="67">
        <f t="shared" si="14"/>
        <v>7.3</v>
      </c>
      <c r="H31" s="67">
        <f>IF($A31&gt;0,VLOOKUP($A31,[1]Foglio1!$A$1:$IV$65536,4,FALSE)," ")</f>
        <v>7.3</v>
      </c>
      <c r="I31" s="73" t="str">
        <f>IF($A31&gt;0,VLOOKUP($A31,[1]Foglio1!$A$1:$IV$65536,5,FALSE)," ")</f>
        <v>FVZ77</v>
      </c>
      <c r="J31" s="67">
        <f>IF($A31&gt;0,VLOOKUP($A31,[1]Foglio1!$A$1:$IV$65536,6,FALSE)," ")</f>
        <v>1430</v>
      </c>
      <c r="K31" s="67">
        <f>IF($A31&gt;0,VLOOKUP($A31,[1]Foglio1!$A$1:$IV$65536,7,FALSE)," ")</f>
        <v>198.31</v>
      </c>
      <c r="L31" s="67">
        <f>IF($A31&gt;0,VLOOKUP($A31,[1]Foglio1!$A$1:$IV$65536,8,FALSE)," ")</f>
        <v>1.05</v>
      </c>
      <c r="M31" s="67" t="str">
        <f>IF($A31&gt;0,VLOOKUP($A31,[1]Foglio1!$A$1:$IV$65536,9,FALSE)," ")</f>
        <v>M5</v>
      </c>
      <c r="N31" s="67" t="str">
        <f>IF($A31&gt;0,VLOOKUP($A31,[1]Foglio1!$A$1:$IV$65536,10,FALSE)," ")</f>
        <v>IE3</v>
      </c>
      <c r="O31" s="67" t="str">
        <f>IF($A31&gt;0,VLOOKUP($A31,[1]Foglio1!$A$1:$IV$65536,11,FALSE)," ")</f>
        <v>230/400</v>
      </c>
      <c r="P31" s="68"/>
      <c r="Q31" s="68"/>
      <c r="R31" s="67">
        <f>IF($A31&gt;0,VLOOKUP($A31,[1]Foglio1!$A$1:$IV$65536,12,FALSE)," ")</f>
        <v>50</v>
      </c>
      <c r="S31" s="67" t="str">
        <f>IF($A31&gt;0,VLOOKUP($A31,[1]Foglio1!$A$1:$IV$65536,13,FALSE)," ")</f>
        <v>4,6/2,65</v>
      </c>
      <c r="T31" s="67">
        <f>IF($A31&gt;0,VLOOKUP($A31,[1]Foglio1!$A$1:$IV$65536,14,FALSE)," ")</f>
        <v>55</v>
      </c>
      <c r="U31" s="67" t="str">
        <f>IF($A31&gt;0,VLOOKUP($A31,[1]Foglio1!$A$1:$IV$65536,15,FALSE)," ")</f>
        <v>155(F)</v>
      </c>
      <c r="V31" s="67" t="str">
        <f>IF($A31&gt;0,VLOOKUP($A31,[1]Foglio1!$A$1:$IV$65536,16,FALSE)," ")</f>
        <v>270°</v>
      </c>
      <c r="W31" s="67" t="str">
        <f>IF($A31&gt;0,VLOOKUP($A31,[1]Foglio1!$A$1:$IV$65536,17,FALSE)," ")</f>
        <v>TF</v>
      </c>
      <c r="X31" s="67" t="str">
        <f>IF($A31&gt;0,IF(VLOOKUP($A31,[1]Foglio1!$A$1:$IV$65536,18,FALSE)&lt;&gt;"-","YES","NO")," ")</f>
        <v>NO</v>
      </c>
      <c r="Y31" s="67" t="str">
        <f>IF($A31&gt;0,VLOOKUP($A31,[1]Foglio1!$A$1:$IV$65536,19,FALSE)," ")</f>
        <v>-</v>
      </c>
      <c r="Z31" s="67" t="str">
        <f>IF($A31&gt;0,VLOOKUP($A31,[1]Foglio1!$A$1:$IV$65536,20,FALSE)," ")</f>
        <v>BEHF</v>
      </c>
      <c r="AA31" s="73" t="str">
        <f>IF($A31&gt;0,VLOOKUP($A31,[1]Foglio1!$A$1:$IV$65536,21,FALSE)," ")</f>
        <v>-</v>
      </c>
      <c r="AB31" s="67" t="str">
        <f>IF($A31&gt;0,VLOOKUP($A31,[1]Foglio1!$A$1:$IV$65536,22,FALSE)," ")</f>
        <v>FC+R</v>
      </c>
      <c r="AC31" s="67"/>
      <c r="AD31" s="67"/>
      <c r="AE31" s="67" t="str">
        <f>IF($A31&gt;0,VLOOKUP($A31,[1]Foglio1!$A$1:$IV$65536,23,FALSE)," ")</f>
        <v>-</v>
      </c>
      <c r="AF31" s="67" t="str">
        <f>IF($A31&gt;0,VLOOKUP($A31,[1]Foglio1!$A$1:$IV$65536,24,FALSE)," ")</f>
        <v>CLP 220 (-15/+40°C)</v>
      </c>
      <c r="AG31" s="73" t="str">
        <f>IF($A31&gt;0,VLOOKUP($A31,[1]Foglio1!$A$1:$IV$65536,25,FALSE)," ")</f>
        <v>FVZ77EDRN90S4 /BEHF /TF</v>
      </c>
      <c r="AH31" s="67" t="str">
        <f>IF($A31&gt;0,VLOOKUP($A31,[1]Foglio1!$A$1:$IV$65536,26,FALSE)," ")</f>
        <v>SEW</v>
      </c>
      <c r="AI31" s="67" t="str">
        <f t="shared" si="15"/>
        <v>NO</v>
      </c>
      <c r="AJ31" s="67">
        <f>IF($A31&gt;0,VLOOKUP($A31,[1]Foglio1!$A$1:$IV$65536,27,FALSE)," ")</f>
        <v>0</v>
      </c>
      <c r="AK31" s="67" t="str">
        <f>IF($A31&gt;0,VLOOKUP($A31,[1]Foglio1!$A$1:$IV$65536,28,FALSE)," ")</f>
        <v>ATEX22</v>
      </c>
      <c r="AL31" s="78" t="str">
        <f>IF($A31&gt;0,VLOOKUP($A31,[1]Foglio1!$A$1:$IV$65536,31,FALSE)," ")</f>
        <v xml:space="preserve"> BROACHING FOR FV67-DIN 5480N45x2x30x21xH9 Provide rectifier module in the electrical cabinet</v>
      </c>
      <c r="AM31" s="64" t="str">
        <f>IF($A31&gt;0,VLOOKUP($A31,[1]Foglio1!$A$1:$IV$65536,34,FALSE)," ")</f>
        <v>FVZ77-EDRN90S4270-X</v>
      </c>
      <c r="AN31" s="76" t="s">
        <v>444</v>
      </c>
    </row>
    <row r="32" spans="1:40" s="8" customFormat="1" ht="39.75" customHeight="1" x14ac:dyDescent="0.2">
      <c r="A32" s="72" t="s">
        <v>3464</v>
      </c>
      <c r="B32" s="41" t="s">
        <v>3121</v>
      </c>
      <c r="C32" s="42" t="s">
        <v>3104</v>
      </c>
      <c r="D32" s="43">
        <v>1</v>
      </c>
      <c r="E32" s="65" t="str">
        <f>IF($A32&gt;0,VLOOKUP($A32,[1]Foglio1!$A$1:$IV$65536,2,FALSE)," ")</f>
        <v>MR</v>
      </c>
      <c r="F32" s="66">
        <f>IF($A32&gt;0,VLOOKUP($A32,[1]Foglio1!$A$1:$IV$65536,3,FALSE)," ")</f>
        <v>1.1000000000000001</v>
      </c>
      <c r="G32" s="67">
        <f t="shared" si="14"/>
        <v>7.3</v>
      </c>
      <c r="H32" s="67">
        <f>IF($A32&gt;0,VLOOKUP($A32,[1]Foglio1!$A$1:$IV$65536,4,FALSE)," ")</f>
        <v>7.3</v>
      </c>
      <c r="I32" s="73" t="str">
        <f>IF($A32&gt;0,VLOOKUP($A32,[1]Foglio1!$A$1:$IV$65536,5,FALSE)," ")</f>
        <v>FVZ77</v>
      </c>
      <c r="J32" s="67">
        <f>IF($A32&gt;0,VLOOKUP($A32,[1]Foglio1!$A$1:$IV$65536,6,FALSE)," ")</f>
        <v>1430</v>
      </c>
      <c r="K32" s="67">
        <f>IF($A32&gt;0,VLOOKUP($A32,[1]Foglio1!$A$1:$IV$65536,7,FALSE)," ")</f>
        <v>198.31</v>
      </c>
      <c r="L32" s="67">
        <f>IF($A32&gt;0,VLOOKUP($A32,[1]Foglio1!$A$1:$IV$65536,8,FALSE)," ")</f>
        <v>1.05</v>
      </c>
      <c r="M32" s="67" t="str">
        <f>IF($A32&gt;0,VLOOKUP($A32,[1]Foglio1!$A$1:$IV$65536,9,FALSE)," ")</f>
        <v>M6</v>
      </c>
      <c r="N32" s="67" t="str">
        <f>IF($A32&gt;0,VLOOKUP($A32,[1]Foglio1!$A$1:$IV$65536,10,FALSE)," ")</f>
        <v>IE3</v>
      </c>
      <c r="O32" s="67" t="str">
        <f>IF($A32&gt;0,VLOOKUP($A32,[1]Foglio1!$A$1:$IV$65536,11,FALSE)," ")</f>
        <v>230/400</v>
      </c>
      <c r="P32" s="68"/>
      <c r="Q32" s="68"/>
      <c r="R32" s="67">
        <f>IF($A32&gt;0,VLOOKUP($A32,[1]Foglio1!$A$1:$IV$65536,12,FALSE)," ")</f>
        <v>50</v>
      </c>
      <c r="S32" s="67" t="str">
        <f>IF($A32&gt;0,VLOOKUP($A32,[1]Foglio1!$A$1:$IV$65536,13,FALSE)," ")</f>
        <v>4,6/2,65</v>
      </c>
      <c r="T32" s="67">
        <f>IF($A32&gt;0,VLOOKUP($A32,[1]Foglio1!$A$1:$IV$65536,14,FALSE)," ")</f>
        <v>55</v>
      </c>
      <c r="U32" s="67" t="str">
        <f>IF($A32&gt;0,VLOOKUP($A32,[1]Foglio1!$A$1:$IV$65536,15,FALSE)," ")</f>
        <v>155(F)</v>
      </c>
      <c r="V32" s="67" t="str">
        <f>IF($A32&gt;0,VLOOKUP($A32,[1]Foglio1!$A$1:$IV$65536,16,FALSE)," ")</f>
        <v>270°</v>
      </c>
      <c r="W32" s="67" t="str">
        <f>IF($A32&gt;0,VLOOKUP($A32,[1]Foglio1!$A$1:$IV$65536,17,FALSE)," ")</f>
        <v>TF</v>
      </c>
      <c r="X32" s="67" t="str">
        <f>IF($A32&gt;0,IF(VLOOKUP($A32,[1]Foglio1!$A$1:$IV$65536,18,FALSE)&lt;&gt;"-","YES","NO")," ")</f>
        <v>NO</v>
      </c>
      <c r="Y32" s="67" t="str">
        <f>IF($A32&gt;0,VLOOKUP($A32,[1]Foglio1!$A$1:$IV$65536,19,FALSE)," ")</f>
        <v>-</v>
      </c>
      <c r="Z32" s="67" t="str">
        <f>IF($A32&gt;0,VLOOKUP($A32,[1]Foglio1!$A$1:$IV$65536,20,FALSE)," ")</f>
        <v>BEHF</v>
      </c>
      <c r="AA32" s="73" t="str">
        <f>IF($A32&gt;0,VLOOKUP($A32,[1]Foglio1!$A$1:$IV$65536,21,FALSE)," ")</f>
        <v>-</v>
      </c>
      <c r="AB32" s="67" t="str">
        <f>IF($A32&gt;0,VLOOKUP($A32,[1]Foglio1!$A$1:$IV$65536,22,FALSE)," ")</f>
        <v>FC+R</v>
      </c>
      <c r="AC32" s="67"/>
      <c r="AD32" s="67"/>
      <c r="AE32" s="67" t="str">
        <f>IF($A32&gt;0,VLOOKUP($A32,[1]Foglio1!$A$1:$IV$65536,23,FALSE)," ")</f>
        <v>-</v>
      </c>
      <c r="AF32" s="67" t="str">
        <f>IF($A32&gt;0,VLOOKUP($A32,[1]Foglio1!$A$1:$IV$65536,24,FALSE)," ")</f>
        <v>CLP 220 (-15/+40°C)</v>
      </c>
      <c r="AG32" s="73" t="str">
        <f>IF($A32&gt;0,VLOOKUP($A32,[1]Foglio1!$A$1:$IV$65536,25,FALSE)," ")</f>
        <v>FVZ77EDRN90S4 /BEHF /TF</v>
      </c>
      <c r="AH32" s="67" t="str">
        <f>IF($A32&gt;0,VLOOKUP($A32,[1]Foglio1!$A$1:$IV$65536,26,FALSE)," ")</f>
        <v>SEW</v>
      </c>
      <c r="AI32" s="67" t="str">
        <f t="shared" si="15"/>
        <v>NO</v>
      </c>
      <c r="AJ32" s="67">
        <f>IF($A32&gt;0,VLOOKUP($A32,[1]Foglio1!$A$1:$IV$65536,27,FALSE)," ")</f>
        <v>0</v>
      </c>
      <c r="AK32" s="67" t="str">
        <f>IF($A32&gt;0,VLOOKUP($A32,[1]Foglio1!$A$1:$IV$65536,28,FALSE)," ")</f>
        <v>ATEX22</v>
      </c>
      <c r="AL32" s="78" t="str">
        <f>IF($A32&gt;0,VLOOKUP($A32,[1]Foglio1!$A$1:$IV$65536,31,FALSE)," ")</f>
        <v xml:space="preserve"> BROACHING FOR FV67-DIN 5480N45x2x30x21xH9 Provide rectifier module in the electrical cabinet</v>
      </c>
      <c r="AM32" s="64" t="str">
        <f>IF($A32&gt;0,VLOOKUP($A32,[1]Foglio1!$A$1:$IV$65536,34,FALSE)," ")</f>
        <v>FVZ77-EDRN90S4270-X</v>
      </c>
      <c r="AN32" s="76" t="s">
        <v>444</v>
      </c>
    </row>
    <row r="33" spans="1:40" s="8" customFormat="1" ht="18" customHeight="1" x14ac:dyDescent="0.2">
      <c r="A33" s="50"/>
      <c r="B33" s="41"/>
      <c r="C33" s="42"/>
      <c r="D33" s="43"/>
      <c r="E33" s="65"/>
      <c r="F33" s="66"/>
      <c r="G33" s="67"/>
      <c r="H33" s="67"/>
      <c r="I33" s="67"/>
      <c r="J33" s="67"/>
      <c r="K33" s="67"/>
      <c r="L33" s="67"/>
      <c r="M33" s="67"/>
      <c r="N33" s="67"/>
      <c r="O33" s="67"/>
      <c r="P33" s="68"/>
      <c r="Q33" s="68"/>
      <c r="R33" s="67"/>
      <c r="S33" s="67"/>
      <c r="T33" s="67"/>
      <c r="U33" s="67"/>
      <c r="V33" s="67"/>
      <c r="W33" s="67"/>
      <c r="X33" s="67"/>
      <c r="Y33" s="67"/>
      <c r="Z33" s="67"/>
      <c r="AA33" s="67"/>
      <c r="AB33" s="67"/>
      <c r="AC33" s="67"/>
      <c r="AD33" s="67"/>
      <c r="AE33" s="67"/>
      <c r="AF33" s="67"/>
      <c r="AG33" s="67"/>
      <c r="AH33" s="67"/>
      <c r="AI33" s="67"/>
      <c r="AJ33" s="67"/>
      <c r="AK33" s="67"/>
      <c r="AL33" s="27"/>
      <c r="AM33" s="75"/>
    </row>
    <row r="34" spans="1:40" s="8" customFormat="1" ht="18" customHeight="1" x14ac:dyDescent="0.2">
      <c r="A34" s="50" t="s">
        <v>3149</v>
      </c>
      <c r="B34" s="41" t="s">
        <v>3122</v>
      </c>
      <c r="C34" s="42" t="s">
        <v>3105</v>
      </c>
      <c r="D34" s="43">
        <v>1</v>
      </c>
      <c r="E34" s="65" t="str">
        <f>IF($A34&gt;0,VLOOKUP($A34,[1]Foglio1!$A$1:$IV$65536,2,FALSE)," ")</f>
        <v>MR</v>
      </c>
      <c r="F34" s="66">
        <f>IF($A34&gt;0,VLOOKUP($A34,[1]Foglio1!$A$1:$IV$65536,3,FALSE)," ")</f>
        <v>11</v>
      </c>
      <c r="G34" s="67">
        <f t="shared" ref="G34" si="16">H34*R34/50</f>
        <v>53</v>
      </c>
      <c r="H34" s="67">
        <f>IF($A34&gt;0,VLOOKUP($A34,[1]Foglio1!$A$1:$IV$65536,4,FALSE)," ")</f>
        <v>53</v>
      </c>
      <c r="I34" s="67" t="str">
        <f>IF($A34&gt;0,VLOOKUP($A34,[1]Foglio1!$A$1:$IV$65536,5,FALSE)," ")</f>
        <v>R97</v>
      </c>
      <c r="J34" s="67">
        <f>IF($A34&gt;0,VLOOKUP($A34,[1]Foglio1!$A$1:$IV$65536,6,FALSE)," ")</f>
        <v>1960</v>
      </c>
      <c r="K34" s="67">
        <f>IF($A34&gt;0,VLOOKUP($A34,[1]Foglio1!$A$1:$IV$65536,7,FALSE)," ")</f>
        <v>27.58</v>
      </c>
      <c r="L34" s="67">
        <f>IF($A34&gt;0,VLOOKUP($A34,[1]Foglio1!$A$1:$IV$65536,8,FALSE)," ")</f>
        <v>1.35</v>
      </c>
      <c r="M34" s="67" t="str">
        <f>IF($A34&gt;0,VLOOKUP($A34,[1]Foglio1!$A$1:$IV$65536,9,FALSE)," ")</f>
        <v>From M1 to M4 - 25°</v>
      </c>
      <c r="N34" s="67" t="str">
        <f>IF($A34&gt;0,VLOOKUP($A34,[1]Foglio1!$A$1:$IV$65536,10,FALSE)," ")</f>
        <v>IE3</v>
      </c>
      <c r="O34" s="67" t="str">
        <f>IF($A34&gt;0,VLOOKUP($A34,[1]Foglio1!$A$1:$IV$65536,11,FALSE)," ")</f>
        <v>400/690</v>
      </c>
      <c r="P34" s="68"/>
      <c r="Q34" s="68"/>
      <c r="R34" s="67">
        <f>IF($A34&gt;0,VLOOKUP($A34,[1]Foglio1!$A$1:$IV$65536,12,FALSE)," ")</f>
        <v>50</v>
      </c>
      <c r="S34" s="67" t="str">
        <f>IF($A34&gt;0,VLOOKUP($A34,[1]Foglio1!$A$1:$IV$65536,13,FALSE)," ")</f>
        <v>21/12,2</v>
      </c>
      <c r="T34" s="67">
        <f>IF($A34&gt;0,VLOOKUP($A34,[1]Foglio1!$A$1:$IV$65536,14,FALSE)," ")</f>
        <v>55</v>
      </c>
      <c r="U34" s="67" t="str">
        <f>IF($A34&gt;0,VLOOKUP($A34,[1]Foglio1!$A$1:$IV$65536,15,FALSE)," ")</f>
        <v>155(F)</v>
      </c>
      <c r="V34" s="67" t="str">
        <f>IF($A34&gt;0,VLOOKUP($A34,[1]Foglio1!$A$1:$IV$65536,16,FALSE)," ")</f>
        <v>270°</v>
      </c>
      <c r="W34" s="67" t="str">
        <f>IF($A34&gt;0,VLOOKUP($A34,[1]Foglio1!$A$1:$IV$65536,17,FALSE)," ")</f>
        <v>TF</v>
      </c>
      <c r="X34" s="67" t="str">
        <f>IF($A34&gt;0,IF(VLOOKUP($A34,[1]Foglio1!$A$1:$IV$65536,18,FALSE)&lt;&gt;"-","YES","NO")," ")</f>
        <v>NO</v>
      </c>
      <c r="Y34" s="67" t="str">
        <f>IF($A34&gt;0,VLOOKUP($A34,[1]Foglio1!$A$1:$IV$65536,19,FALSE)," ")</f>
        <v>-</v>
      </c>
      <c r="Z34" s="67" t="str">
        <f>IF($A34&gt;0,VLOOKUP($A34,[1]Foglio1!$A$1:$IV$65536,20,FALSE)," ")</f>
        <v>-</v>
      </c>
      <c r="AA34" s="67" t="str">
        <f>IF($A34&gt;0,VLOOKUP($A34,[1]Foglio1!$A$1:$IV$65536,21,FALSE)," ")</f>
        <v>-</v>
      </c>
      <c r="AB34" s="67" t="str">
        <f>IF($A34&gt;0,VLOOKUP($A34,[1]Foglio1!$A$1:$IV$65536,22,FALSE)," ")</f>
        <v>D</v>
      </c>
      <c r="AC34" s="67"/>
      <c r="AD34" s="67"/>
      <c r="AE34" s="67" t="str">
        <f>IF($A34&gt;0,VLOOKUP($A34,[1]Foglio1!$A$1:$IV$65536,23,FALSE)," ")</f>
        <v>-</v>
      </c>
      <c r="AF34" s="67" t="str">
        <f>IF($A34&gt;0,VLOOKUP($A34,[1]Foglio1!$A$1:$IV$65536,24,FALSE)," ")</f>
        <v>CLP 220 (-15/+40°C)</v>
      </c>
      <c r="AG34" s="67" t="str">
        <f>IF($A34&gt;0,VLOOKUP($A34,[1]Foglio1!$A$1:$IV$65536,25,FALSE)," ")</f>
        <v>R97EDRN160M4 /TF</v>
      </c>
      <c r="AH34" s="67" t="str">
        <f>IF($A34&gt;0,VLOOKUP($A34,[1]Foglio1!$A$1:$IV$65536,26,FALSE)," ")</f>
        <v>SEW</v>
      </c>
      <c r="AI34" s="67" t="str">
        <f t="shared" ref="AI34" si="17">IF(X34="YES", "YES",IF(A34="","-","NO"))</f>
        <v>NO</v>
      </c>
      <c r="AJ34" s="67">
        <f>IF($A34&gt;0,VLOOKUP($A34,[1]Foglio1!$A$1:$IV$65536,27,FALSE)," ")</f>
        <v>0</v>
      </c>
      <c r="AK34" s="67" t="str">
        <f>IF($A34&gt;0,VLOOKUP($A34,[1]Foglio1!$A$1:$IV$65536,28,FALSE)," ")</f>
        <v>ATEX22</v>
      </c>
      <c r="AL34" s="27">
        <f>IF($A34&gt;0,VLOOKUP($A34,[1]Foglio1!$A$1:$IV$65536,31,FALSE)," ")</f>
        <v>0</v>
      </c>
      <c r="AM34" s="64" t="str">
        <f>IF($A34&gt;0,VLOOKUP($A34,[1]Foglio1!$A$1:$IV$65536,34,FALSE)," ")</f>
        <v>R97-EDRN160M4270-X</v>
      </c>
      <c r="AN34" s="76" t="s">
        <v>444</v>
      </c>
    </row>
    <row r="35" spans="1:40" s="8" customFormat="1" ht="18" customHeight="1" x14ac:dyDescent="0.2">
      <c r="A35" s="50"/>
      <c r="B35" s="41"/>
      <c r="C35" s="42"/>
      <c r="D35" s="43"/>
      <c r="E35" s="65"/>
      <c r="F35" s="66"/>
      <c r="G35" s="67"/>
      <c r="H35" s="67"/>
      <c r="I35" s="67"/>
      <c r="J35" s="67"/>
      <c r="K35" s="67"/>
      <c r="L35" s="67"/>
      <c r="M35" s="67"/>
      <c r="N35" s="67"/>
      <c r="O35" s="67"/>
      <c r="P35" s="68"/>
      <c r="Q35" s="68"/>
      <c r="R35" s="67"/>
      <c r="S35" s="67"/>
      <c r="T35" s="67"/>
      <c r="U35" s="67"/>
      <c r="V35" s="67"/>
      <c r="W35" s="67"/>
      <c r="X35" s="67"/>
      <c r="Y35" s="67"/>
      <c r="Z35" s="67"/>
      <c r="AA35" s="67"/>
      <c r="AB35" s="67"/>
      <c r="AC35" s="67"/>
      <c r="AD35" s="67"/>
      <c r="AE35" s="67"/>
      <c r="AF35" s="67"/>
      <c r="AG35" s="67"/>
      <c r="AH35" s="67"/>
      <c r="AI35" s="67"/>
      <c r="AJ35" s="67"/>
      <c r="AK35" s="67"/>
      <c r="AL35" s="27"/>
      <c r="AM35" s="75"/>
    </row>
    <row r="36" spans="1:40" s="8" customFormat="1" ht="18" customHeight="1" x14ac:dyDescent="0.2">
      <c r="A36" s="50" t="s">
        <v>3150</v>
      </c>
      <c r="B36" s="41" t="s">
        <v>3123</v>
      </c>
      <c r="C36" s="42" t="s">
        <v>3106</v>
      </c>
      <c r="D36" s="43">
        <v>1</v>
      </c>
      <c r="E36" s="65" t="str">
        <f>IF($A36&gt;0,VLOOKUP($A36,[1]Foglio1!$A$1:$IV$65536,2,FALSE)," ")</f>
        <v>MR</v>
      </c>
      <c r="F36" s="66">
        <f>IF($A36&gt;0,VLOOKUP($A36,[1]Foglio1!$A$1:$IV$65536,3,FALSE)," ")</f>
        <v>7.5</v>
      </c>
      <c r="G36" s="67">
        <f t="shared" ref="G36:G39" si="18">H36*R36/50</f>
        <v>59</v>
      </c>
      <c r="H36" s="67">
        <f>IF($A36&gt;0,VLOOKUP($A36,[1]Foglio1!$A$1:$IV$65536,4,FALSE)," ")</f>
        <v>59</v>
      </c>
      <c r="I36" s="67" t="str">
        <f>IF($A36&gt;0,VLOOKUP($A36,[1]Foglio1!$A$1:$IV$65536,5,FALSE)," ")</f>
        <v>KH87</v>
      </c>
      <c r="J36" s="67">
        <f>IF($A36&gt;0,VLOOKUP($A36,[1]Foglio1!$A$1:$IV$65536,6,FALSE)," ")</f>
        <v>1210</v>
      </c>
      <c r="K36" s="67">
        <f>IF($A36&gt;0,VLOOKUP($A36,[1]Foglio1!$A$1:$IV$65536,7,FALSE)," ")</f>
        <v>24.95</v>
      </c>
      <c r="L36" s="67">
        <f>IF($A36&gt;0,VLOOKUP($A36,[1]Foglio1!$A$1:$IV$65536,8,FALSE)," ")</f>
        <v>2.1</v>
      </c>
      <c r="M36" s="67" t="str">
        <f>IF($A36&gt;0,VLOOKUP($A36,[1]Foglio1!$A$1:$IV$65536,9,FALSE)," ")</f>
        <v>M1A</v>
      </c>
      <c r="N36" s="67" t="str">
        <f>IF($A36&gt;0,VLOOKUP($A36,[1]Foglio1!$A$1:$IV$65536,10,FALSE)," ")</f>
        <v>IE3</v>
      </c>
      <c r="O36" s="67" t="str">
        <f>IF($A36&gt;0,VLOOKUP($A36,[1]Foglio1!$A$1:$IV$65536,11,FALSE)," ")</f>
        <v>230/400</v>
      </c>
      <c r="P36" s="68"/>
      <c r="Q36" s="68"/>
      <c r="R36" s="67">
        <f>IF($A36&gt;0,VLOOKUP($A36,[1]Foglio1!$A$1:$IV$65536,12,FALSE)," ")</f>
        <v>50</v>
      </c>
      <c r="S36" s="67" t="str">
        <f>IF($A36&gt;0,VLOOKUP($A36,[1]Foglio1!$A$1:$IV$65536,13,FALSE)," ")</f>
        <v>26,5/15,2</v>
      </c>
      <c r="T36" s="67">
        <f>IF($A36&gt;0,VLOOKUP($A36,[1]Foglio1!$A$1:$IV$65536,14,FALSE)," ")</f>
        <v>55</v>
      </c>
      <c r="U36" s="67" t="str">
        <f>IF($A36&gt;0,VLOOKUP($A36,[1]Foglio1!$A$1:$IV$65536,15,FALSE)," ")</f>
        <v>155(F)</v>
      </c>
      <c r="V36" s="67" t="str">
        <f>IF($A36&gt;0,VLOOKUP($A36,[1]Foglio1!$A$1:$IV$65536,16,FALSE)," ")</f>
        <v>270°</v>
      </c>
      <c r="W36" s="67" t="str">
        <f>IF($A36&gt;0,VLOOKUP($A36,[1]Foglio1!$A$1:$IV$65536,17,FALSE)," ")</f>
        <v>TF</v>
      </c>
      <c r="X36" s="67" t="str">
        <f>IF($A36&gt;0,IF(VLOOKUP($A36,[1]Foglio1!$A$1:$IV$65536,18,FALSE)&lt;&gt;"-","YES","NO")," ")</f>
        <v>NO</v>
      </c>
      <c r="Y36" s="67" t="str">
        <f>IF($A36&gt;0,VLOOKUP($A36,[1]Foglio1!$A$1:$IV$65536,19,FALSE)," ")</f>
        <v>-</v>
      </c>
      <c r="Z36" s="67" t="str">
        <f>IF($A36&gt;0,VLOOKUP($A36,[1]Foglio1!$A$1:$IV$65536,20,FALSE)," ")</f>
        <v>-</v>
      </c>
      <c r="AA36" s="67" t="str">
        <f>IF($A36&gt;0,VLOOKUP($A36,[1]Foglio1!$A$1:$IV$65536,21,FALSE)," ")</f>
        <v>T</v>
      </c>
      <c r="AB36" s="67" t="str">
        <f>IF($A36&gt;0,VLOOKUP($A36,[1]Foglio1!$A$1:$IV$65536,22,FALSE)," ")</f>
        <v>SS+R</v>
      </c>
      <c r="AC36" s="67"/>
      <c r="AD36" s="67"/>
      <c r="AE36" s="67" t="str">
        <f>IF($A36&gt;0,VLOOKUP($A36,[1]Foglio1!$A$1:$IV$65536,23,FALSE)," ")</f>
        <v>-</v>
      </c>
      <c r="AF36" s="67" t="str">
        <f>IF($A36&gt;0,VLOOKUP($A36,[1]Foglio1!$A$1:$IV$65536,24,FALSE)," ")</f>
        <v>CLP 220 (-15/+40°C)</v>
      </c>
      <c r="AG36" s="67" t="str">
        <f>IF($A36&gt;0,VLOOKUP($A36,[1]Foglio1!$A$1:$IV$65536,25,FALSE)," ")</f>
        <v>KH87/T EDRN132M4 /TF</v>
      </c>
      <c r="AH36" s="67" t="str">
        <f>IF($A36&gt;0,VLOOKUP($A36,[1]Foglio1!$A$1:$IV$65536,26,FALSE)," ")</f>
        <v>SEW</v>
      </c>
      <c r="AI36" s="67" t="str">
        <f t="shared" ref="AI36:AI39" si="19">IF(X36="YES", "YES",IF(A36="","-","NO"))</f>
        <v>NO</v>
      </c>
      <c r="AJ36" s="67">
        <f>IF($A36&gt;0,VLOOKUP($A36,[1]Foglio1!$A$1:$IV$65536,27,FALSE)," ")</f>
        <v>0</v>
      </c>
      <c r="AK36" s="67" t="str">
        <f>IF($A36&gt;0,VLOOKUP($A36,[1]Foglio1!$A$1:$IV$65536,28,FALSE)," ")</f>
        <v>ATEX22</v>
      </c>
      <c r="AL36" s="27">
        <f>IF($A36&gt;0,VLOOKUP($A36,[1]Foglio1!$A$1:$IV$65536,31,FALSE)," ")</f>
        <v>0</v>
      </c>
      <c r="AM36" s="64" t="str">
        <f>IF($A36&gt;0,VLOOKUP($A36,[1]Foglio1!$A$1:$IV$65536,34,FALSE)," ")</f>
        <v>KH87T-EDRN132M4A270-X</v>
      </c>
      <c r="AN36" s="76" t="s">
        <v>444</v>
      </c>
    </row>
    <row r="37" spans="1:40" s="8" customFormat="1" ht="18" customHeight="1" x14ac:dyDescent="0.2">
      <c r="A37" s="50" t="s">
        <v>3151</v>
      </c>
      <c r="B37" s="41" t="s">
        <v>3123</v>
      </c>
      <c r="C37" s="42" t="s">
        <v>3106</v>
      </c>
      <c r="D37" s="43">
        <v>1</v>
      </c>
      <c r="E37" s="65" t="str">
        <f>IF($A37&gt;0,VLOOKUP($A37,[1]Foglio1!$A$1:$IV$65536,2,FALSE)," ")</f>
        <v>MR</v>
      </c>
      <c r="F37" s="66">
        <f>IF($A37&gt;0,VLOOKUP($A37,[1]Foglio1!$A$1:$IV$65536,3,FALSE)," ")</f>
        <v>7.5</v>
      </c>
      <c r="G37" s="67">
        <f t="shared" si="18"/>
        <v>59</v>
      </c>
      <c r="H37" s="67">
        <f>IF($A37&gt;0,VLOOKUP($A37,[1]Foglio1!$A$1:$IV$65536,4,FALSE)," ")</f>
        <v>59</v>
      </c>
      <c r="I37" s="67" t="str">
        <f>IF($A37&gt;0,VLOOKUP($A37,[1]Foglio1!$A$1:$IV$65536,5,FALSE)," ")</f>
        <v>KH87</v>
      </c>
      <c r="J37" s="67">
        <f>IF($A37&gt;0,VLOOKUP($A37,[1]Foglio1!$A$1:$IV$65536,6,FALSE)," ")</f>
        <v>1210</v>
      </c>
      <c r="K37" s="67">
        <f>IF($A37&gt;0,VLOOKUP($A37,[1]Foglio1!$A$1:$IV$65536,7,FALSE)," ")</f>
        <v>24.95</v>
      </c>
      <c r="L37" s="67">
        <f>IF($A37&gt;0,VLOOKUP($A37,[1]Foglio1!$A$1:$IV$65536,8,FALSE)," ")</f>
        <v>2.1</v>
      </c>
      <c r="M37" s="67" t="str">
        <f>IF($A37&gt;0,VLOOKUP($A37,[1]Foglio1!$A$1:$IV$65536,9,FALSE)," ")</f>
        <v>M1B</v>
      </c>
      <c r="N37" s="67" t="str">
        <f>IF($A37&gt;0,VLOOKUP($A37,[1]Foglio1!$A$1:$IV$65536,10,FALSE)," ")</f>
        <v>IE3</v>
      </c>
      <c r="O37" s="67" t="str">
        <f>IF($A37&gt;0,VLOOKUP($A37,[1]Foglio1!$A$1:$IV$65536,11,FALSE)," ")</f>
        <v>230/400</v>
      </c>
      <c r="P37" s="68"/>
      <c r="Q37" s="68"/>
      <c r="R37" s="67">
        <f>IF($A37&gt;0,VLOOKUP($A37,[1]Foglio1!$A$1:$IV$65536,12,FALSE)," ")</f>
        <v>50</v>
      </c>
      <c r="S37" s="67" t="str">
        <f>IF($A37&gt;0,VLOOKUP($A37,[1]Foglio1!$A$1:$IV$65536,13,FALSE)," ")</f>
        <v>26,5/15,2</v>
      </c>
      <c r="T37" s="67">
        <f>IF($A37&gt;0,VLOOKUP($A37,[1]Foglio1!$A$1:$IV$65536,14,FALSE)," ")</f>
        <v>55</v>
      </c>
      <c r="U37" s="67" t="str">
        <f>IF($A37&gt;0,VLOOKUP($A37,[1]Foglio1!$A$1:$IV$65536,15,FALSE)," ")</f>
        <v>155(F)</v>
      </c>
      <c r="V37" s="67" t="str">
        <f>IF($A37&gt;0,VLOOKUP($A37,[1]Foglio1!$A$1:$IV$65536,16,FALSE)," ")</f>
        <v>270°</v>
      </c>
      <c r="W37" s="67" t="str">
        <f>IF($A37&gt;0,VLOOKUP($A37,[1]Foglio1!$A$1:$IV$65536,17,FALSE)," ")</f>
        <v>TF</v>
      </c>
      <c r="X37" s="67" t="str">
        <f>IF($A37&gt;0,IF(VLOOKUP($A37,[1]Foglio1!$A$1:$IV$65536,18,FALSE)&lt;&gt;"-","YES","NO")," ")</f>
        <v>NO</v>
      </c>
      <c r="Y37" s="67" t="str">
        <f>IF($A37&gt;0,VLOOKUP($A37,[1]Foglio1!$A$1:$IV$65536,19,FALSE)," ")</f>
        <v>-</v>
      </c>
      <c r="Z37" s="67" t="str">
        <f>IF($A37&gt;0,VLOOKUP($A37,[1]Foglio1!$A$1:$IV$65536,20,FALSE)," ")</f>
        <v>-</v>
      </c>
      <c r="AA37" s="67" t="str">
        <f>IF($A37&gt;0,VLOOKUP($A37,[1]Foglio1!$A$1:$IV$65536,21,FALSE)," ")</f>
        <v>T</v>
      </c>
      <c r="AB37" s="67" t="str">
        <f>IF($A37&gt;0,VLOOKUP($A37,[1]Foglio1!$A$1:$IV$65536,22,FALSE)," ")</f>
        <v>SS+R</v>
      </c>
      <c r="AC37" s="67"/>
      <c r="AD37" s="67"/>
      <c r="AE37" s="67" t="str">
        <f>IF($A37&gt;0,VLOOKUP($A37,[1]Foglio1!$A$1:$IV$65536,23,FALSE)," ")</f>
        <v>-</v>
      </c>
      <c r="AF37" s="67" t="str">
        <f>IF($A37&gt;0,VLOOKUP($A37,[1]Foglio1!$A$1:$IV$65536,24,FALSE)," ")</f>
        <v>CLP 220 (-15/+40°C)</v>
      </c>
      <c r="AG37" s="67" t="str">
        <f>IF($A37&gt;0,VLOOKUP($A37,[1]Foglio1!$A$1:$IV$65536,25,FALSE)," ")</f>
        <v>KH87/T EDRN132M4 /TF</v>
      </c>
      <c r="AH37" s="67" t="str">
        <f>IF($A37&gt;0,VLOOKUP($A37,[1]Foglio1!$A$1:$IV$65536,26,FALSE)," ")</f>
        <v>SEW</v>
      </c>
      <c r="AI37" s="67" t="str">
        <f t="shared" si="19"/>
        <v>NO</v>
      </c>
      <c r="AJ37" s="67">
        <f>IF($A37&gt;0,VLOOKUP($A37,[1]Foglio1!$A$1:$IV$65536,27,FALSE)," ")</f>
        <v>0</v>
      </c>
      <c r="AK37" s="67" t="str">
        <f>IF($A37&gt;0,VLOOKUP($A37,[1]Foglio1!$A$1:$IV$65536,28,FALSE)," ")</f>
        <v>ATEX22</v>
      </c>
      <c r="AL37" s="27">
        <f>IF($A37&gt;0,VLOOKUP($A37,[1]Foglio1!$A$1:$IV$65536,31,FALSE)," ")</f>
        <v>0</v>
      </c>
      <c r="AM37" s="64" t="str">
        <f>IF($A37&gt;0,VLOOKUP($A37,[1]Foglio1!$A$1:$IV$65536,34,FALSE)," ")</f>
        <v>KH87T-EDRN132M4B270-X</v>
      </c>
      <c r="AN37" s="76" t="s">
        <v>444</v>
      </c>
    </row>
    <row r="38" spans="1:40" s="8" customFormat="1" ht="39.75" customHeight="1" x14ac:dyDescent="0.2">
      <c r="A38" s="72" t="s">
        <v>3463</v>
      </c>
      <c r="B38" s="41" t="s">
        <v>3123</v>
      </c>
      <c r="C38" s="42" t="s">
        <v>3106</v>
      </c>
      <c r="D38" s="43">
        <v>1</v>
      </c>
      <c r="E38" s="65" t="str">
        <f>IF($A38&gt;0,VLOOKUP($A38,[1]Foglio1!$A$1:$IV$65536,2,FALSE)," ")</f>
        <v>MR</v>
      </c>
      <c r="F38" s="66">
        <f>IF($A38&gt;0,VLOOKUP($A38,[1]Foglio1!$A$1:$IV$65536,3,FALSE)," ")</f>
        <v>1.1000000000000001</v>
      </c>
      <c r="G38" s="67">
        <f t="shared" si="18"/>
        <v>7.3</v>
      </c>
      <c r="H38" s="67">
        <f>IF($A38&gt;0,VLOOKUP($A38,[1]Foglio1!$A$1:$IV$65536,4,FALSE)," ")</f>
        <v>7.3</v>
      </c>
      <c r="I38" s="73" t="str">
        <f>IF($A38&gt;0,VLOOKUP($A38,[1]Foglio1!$A$1:$IV$65536,5,FALSE)," ")</f>
        <v>FVZ77</v>
      </c>
      <c r="J38" s="67">
        <f>IF($A38&gt;0,VLOOKUP($A38,[1]Foglio1!$A$1:$IV$65536,6,FALSE)," ")</f>
        <v>1430</v>
      </c>
      <c r="K38" s="67">
        <f>IF($A38&gt;0,VLOOKUP($A38,[1]Foglio1!$A$1:$IV$65536,7,FALSE)," ")</f>
        <v>198.31</v>
      </c>
      <c r="L38" s="67">
        <f>IF($A38&gt;0,VLOOKUP($A38,[1]Foglio1!$A$1:$IV$65536,8,FALSE)," ")</f>
        <v>1.05</v>
      </c>
      <c r="M38" s="67" t="str">
        <f>IF($A38&gt;0,VLOOKUP($A38,[1]Foglio1!$A$1:$IV$65536,9,FALSE)," ")</f>
        <v>M5</v>
      </c>
      <c r="N38" s="67" t="str">
        <f>IF($A38&gt;0,VLOOKUP($A38,[1]Foglio1!$A$1:$IV$65536,10,FALSE)," ")</f>
        <v>IE3</v>
      </c>
      <c r="O38" s="67" t="str">
        <f>IF($A38&gt;0,VLOOKUP($A38,[1]Foglio1!$A$1:$IV$65536,11,FALSE)," ")</f>
        <v>230/400</v>
      </c>
      <c r="P38" s="68"/>
      <c r="Q38" s="68"/>
      <c r="R38" s="67">
        <f>IF($A38&gt;0,VLOOKUP($A38,[1]Foglio1!$A$1:$IV$65536,12,FALSE)," ")</f>
        <v>50</v>
      </c>
      <c r="S38" s="67" t="str">
        <f>IF($A38&gt;0,VLOOKUP($A38,[1]Foglio1!$A$1:$IV$65536,13,FALSE)," ")</f>
        <v>4,6/2,65</v>
      </c>
      <c r="T38" s="67">
        <f>IF($A38&gt;0,VLOOKUP($A38,[1]Foglio1!$A$1:$IV$65536,14,FALSE)," ")</f>
        <v>55</v>
      </c>
      <c r="U38" s="67" t="str">
        <f>IF($A38&gt;0,VLOOKUP($A38,[1]Foglio1!$A$1:$IV$65536,15,FALSE)," ")</f>
        <v>155(F)</v>
      </c>
      <c r="V38" s="67" t="str">
        <f>IF($A38&gt;0,VLOOKUP($A38,[1]Foglio1!$A$1:$IV$65536,16,FALSE)," ")</f>
        <v>270°</v>
      </c>
      <c r="W38" s="67" t="str">
        <f>IF($A38&gt;0,VLOOKUP($A38,[1]Foglio1!$A$1:$IV$65536,17,FALSE)," ")</f>
        <v>TF</v>
      </c>
      <c r="X38" s="67" t="str">
        <f>IF($A38&gt;0,IF(VLOOKUP($A38,[1]Foglio1!$A$1:$IV$65536,18,FALSE)&lt;&gt;"-","YES","NO")," ")</f>
        <v>NO</v>
      </c>
      <c r="Y38" s="67" t="str">
        <f>IF($A38&gt;0,VLOOKUP($A38,[1]Foglio1!$A$1:$IV$65536,19,FALSE)," ")</f>
        <v>-</v>
      </c>
      <c r="Z38" s="67" t="str">
        <f>IF($A38&gt;0,VLOOKUP($A38,[1]Foglio1!$A$1:$IV$65536,20,FALSE)," ")</f>
        <v>BEHF</v>
      </c>
      <c r="AA38" s="73" t="str">
        <f>IF($A38&gt;0,VLOOKUP($A38,[1]Foglio1!$A$1:$IV$65536,21,FALSE)," ")</f>
        <v>-</v>
      </c>
      <c r="AB38" s="67" t="str">
        <f>IF($A38&gt;0,VLOOKUP($A38,[1]Foglio1!$A$1:$IV$65536,22,FALSE)," ")</f>
        <v>FC+R</v>
      </c>
      <c r="AC38" s="67"/>
      <c r="AD38" s="67"/>
      <c r="AE38" s="67" t="str">
        <f>IF($A38&gt;0,VLOOKUP($A38,[1]Foglio1!$A$1:$IV$65536,23,FALSE)," ")</f>
        <v>-</v>
      </c>
      <c r="AF38" s="67" t="str">
        <f>IF($A38&gt;0,VLOOKUP($A38,[1]Foglio1!$A$1:$IV$65536,24,FALSE)," ")</f>
        <v>CLP 220 (-15/+40°C)</v>
      </c>
      <c r="AG38" s="73" t="str">
        <f>IF($A38&gt;0,VLOOKUP($A38,[1]Foglio1!$A$1:$IV$65536,25,FALSE)," ")</f>
        <v>FVZ77EDRN90S4 /BEHF /TF</v>
      </c>
      <c r="AH38" s="67" t="str">
        <f>IF($A38&gt;0,VLOOKUP($A38,[1]Foglio1!$A$1:$IV$65536,26,FALSE)," ")</f>
        <v>SEW</v>
      </c>
      <c r="AI38" s="67" t="str">
        <f t="shared" si="19"/>
        <v>NO</v>
      </c>
      <c r="AJ38" s="67">
        <f>IF($A38&gt;0,VLOOKUP($A38,[1]Foglio1!$A$1:$IV$65536,27,FALSE)," ")</f>
        <v>0</v>
      </c>
      <c r="AK38" s="67" t="str">
        <f>IF($A38&gt;0,VLOOKUP($A38,[1]Foglio1!$A$1:$IV$65536,28,FALSE)," ")</f>
        <v>ATEX22</v>
      </c>
      <c r="AL38" s="78" t="str">
        <f>IF($A38&gt;0,VLOOKUP($A38,[1]Foglio1!$A$1:$IV$65536,31,FALSE)," ")</f>
        <v xml:space="preserve"> BROACHING FOR FV67-DIN 5480N45x2x30x21xH9 Provide rectifier module in the electrical cabinet</v>
      </c>
      <c r="AM38" s="64" t="str">
        <f>IF($A38&gt;0,VLOOKUP($A38,[1]Foglio1!$A$1:$IV$65536,34,FALSE)," ")</f>
        <v>FVZ77-EDRN90S4270-X</v>
      </c>
      <c r="AN38" s="76" t="s">
        <v>444</v>
      </c>
    </row>
    <row r="39" spans="1:40" s="8" customFormat="1" ht="39.75" customHeight="1" x14ac:dyDescent="0.2">
      <c r="A39" s="72" t="s">
        <v>3464</v>
      </c>
      <c r="B39" s="41" t="s">
        <v>3123</v>
      </c>
      <c r="C39" s="42" t="s">
        <v>3106</v>
      </c>
      <c r="D39" s="43">
        <v>1</v>
      </c>
      <c r="E39" s="65" t="str">
        <f>IF($A39&gt;0,VLOOKUP($A39,[1]Foglio1!$A$1:$IV$65536,2,FALSE)," ")</f>
        <v>MR</v>
      </c>
      <c r="F39" s="66">
        <f>IF($A39&gt;0,VLOOKUP($A39,[1]Foglio1!$A$1:$IV$65536,3,FALSE)," ")</f>
        <v>1.1000000000000001</v>
      </c>
      <c r="G39" s="67">
        <f t="shared" si="18"/>
        <v>7.3</v>
      </c>
      <c r="H39" s="67">
        <f>IF($A39&gt;0,VLOOKUP($A39,[1]Foglio1!$A$1:$IV$65536,4,FALSE)," ")</f>
        <v>7.3</v>
      </c>
      <c r="I39" s="73" t="str">
        <f>IF($A39&gt;0,VLOOKUP($A39,[1]Foglio1!$A$1:$IV$65536,5,FALSE)," ")</f>
        <v>FVZ77</v>
      </c>
      <c r="J39" s="67">
        <f>IF($A39&gt;0,VLOOKUP($A39,[1]Foglio1!$A$1:$IV$65536,6,FALSE)," ")</f>
        <v>1430</v>
      </c>
      <c r="K39" s="67">
        <f>IF($A39&gt;0,VLOOKUP($A39,[1]Foglio1!$A$1:$IV$65536,7,FALSE)," ")</f>
        <v>198.31</v>
      </c>
      <c r="L39" s="67">
        <f>IF($A39&gt;0,VLOOKUP($A39,[1]Foglio1!$A$1:$IV$65536,8,FALSE)," ")</f>
        <v>1.05</v>
      </c>
      <c r="M39" s="67" t="str">
        <f>IF($A39&gt;0,VLOOKUP($A39,[1]Foglio1!$A$1:$IV$65536,9,FALSE)," ")</f>
        <v>M6</v>
      </c>
      <c r="N39" s="67" t="str">
        <f>IF($A39&gt;0,VLOOKUP($A39,[1]Foglio1!$A$1:$IV$65536,10,FALSE)," ")</f>
        <v>IE3</v>
      </c>
      <c r="O39" s="67" t="str">
        <f>IF($A39&gt;0,VLOOKUP($A39,[1]Foglio1!$A$1:$IV$65536,11,FALSE)," ")</f>
        <v>230/400</v>
      </c>
      <c r="P39" s="68"/>
      <c r="Q39" s="68"/>
      <c r="R39" s="67">
        <f>IF($A39&gt;0,VLOOKUP($A39,[1]Foglio1!$A$1:$IV$65536,12,FALSE)," ")</f>
        <v>50</v>
      </c>
      <c r="S39" s="67" t="str">
        <f>IF($A39&gt;0,VLOOKUP($A39,[1]Foglio1!$A$1:$IV$65536,13,FALSE)," ")</f>
        <v>4,6/2,65</v>
      </c>
      <c r="T39" s="67">
        <f>IF($A39&gt;0,VLOOKUP($A39,[1]Foglio1!$A$1:$IV$65536,14,FALSE)," ")</f>
        <v>55</v>
      </c>
      <c r="U39" s="67" t="str">
        <f>IF($A39&gt;0,VLOOKUP($A39,[1]Foglio1!$A$1:$IV$65536,15,FALSE)," ")</f>
        <v>155(F)</v>
      </c>
      <c r="V39" s="67" t="str">
        <f>IF($A39&gt;0,VLOOKUP($A39,[1]Foglio1!$A$1:$IV$65536,16,FALSE)," ")</f>
        <v>270°</v>
      </c>
      <c r="W39" s="67" t="str">
        <f>IF($A39&gt;0,VLOOKUP($A39,[1]Foglio1!$A$1:$IV$65536,17,FALSE)," ")</f>
        <v>TF</v>
      </c>
      <c r="X39" s="67" t="str">
        <f>IF($A39&gt;0,IF(VLOOKUP($A39,[1]Foglio1!$A$1:$IV$65536,18,FALSE)&lt;&gt;"-","YES","NO")," ")</f>
        <v>NO</v>
      </c>
      <c r="Y39" s="67" t="str">
        <f>IF($A39&gt;0,VLOOKUP($A39,[1]Foglio1!$A$1:$IV$65536,19,FALSE)," ")</f>
        <v>-</v>
      </c>
      <c r="Z39" s="67" t="str">
        <f>IF($A39&gt;0,VLOOKUP($A39,[1]Foglio1!$A$1:$IV$65536,20,FALSE)," ")</f>
        <v>BEHF</v>
      </c>
      <c r="AA39" s="73" t="str">
        <f>IF($A39&gt;0,VLOOKUP($A39,[1]Foglio1!$A$1:$IV$65536,21,FALSE)," ")</f>
        <v>-</v>
      </c>
      <c r="AB39" s="67" t="str">
        <f>IF($A39&gt;0,VLOOKUP($A39,[1]Foglio1!$A$1:$IV$65536,22,FALSE)," ")</f>
        <v>FC+R</v>
      </c>
      <c r="AC39" s="67"/>
      <c r="AD39" s="67"/>
      <c r="AE39" s="67" t="str">
        <f>IF($A39&gt;0,VLOOKUP($A39,[1]Foglio1!$A$1:$IV$65536,23,FALSE)," ")</f>
        <v>-</v>
      </c>
      <c r="AF39" s="67" t="str">
        <f>IF($A39&gt;0,VLOOKUP($A39,[1]Foglio1!$A$1:$IV$65536,24,FALSE)," ")</f>
        <v>CLP 220 (-15/+40°C)</v>
      </c>
      <c r="AG39" s="73" t="str">
        <f>IF($A39&gt;0,VLOOKUP($A39,[1]Foglio1!$A$1:$IV$65536,25,FALSE)," ")</f>
        <v>FVZ77EDRN90S4 /BEHF /TF</v>
      </c>
      <c r="AH39" s="67" t="str">
        <f>IF($A39&gt;0,VLOOKUP($A39,[1]Foglio1!$A$1:$IV$65536,26,FALSE)," ")</f>
        <v>SEW</v>
      </c>
      <c r="AI39" s="67" t="str">
        <f t="shared" si="19"/>
        <v>NO</v>
      </c>
      <c r="AJ39" s="67">
        <f>IF($A39&gt;0,VLOOKUP($A39,[1]Foglio1!$A$1:$IV$65536,27,FALSE)," ")</f>
        <v>0</v>
      </c>
      <c r="AK39" s="67" t="str">
        <f>IF($A39&gt;0,VLOOKUP($A39,[1]Foglio1!$A$1:$IV$65536,28,FALSE)," ")</f>
        <v>ATEX22</v>
      </c>
      <c r="AL39" s="78" t="str">
        <f>IF($A39&gt;0,VLOOKUP($A39,[1]Foglio1!$A$1:$IV$65536,31,FALSE)," ")</f>
        <v xml:space="preserve"> BROACHING FOR FV67-DIN 5480N45x2x30x21xH9 Provide rectifier module in the electrical cabinet</v>
      </c>
      <c r="AM39" s="64" t="str">
        <f>IF($A39&gt;0,VLOOKUP($A39,[1]Foglio1!$A$1:$IV$65536,34,FALSE)," ")</f>
        <v>FVZ77-EDRN90S4270-X</v>
      </c>
      <c r="AN39" s="76" t="s">
        <v>444</v>
      </c>
    </row>
    <row r="40" spans="1:40" s="8" customFormat="1" ht="18" customHeight="1" x14ac:dyDescent="0.2">
      <c r="A40" s="50"/>
      <c r="B40" s="41"/>
      <c r="C40" s="42"/>
      <c r="D40" s="43"/>
      <c r="E40" s="65"/>
      <c r="F40" s="66"/>
      <c r="G40" s="67"/>
      <c r="H40" s="67"/>
      <c r="I40" s="67"/>
      <c r="J40" s="67"/>
      <c r="K40" s="67"/>
      <c r="L40" s="67"/>
      <c r="M40" s="67"/>
      <c r="N40" s="67"/>
      <c r="O40" s="67"/>
      <c r="P40" s="68"/>
      <c r="Q40" s="68"/>
      <c r="R40" s="67"/>
      <c r="S40" s="67"/>
      <c r="T40" s="67"/>
      <c r="U40" s="67"/>
      <c r="V40" s="67"/>
      <c r="W40" s="67"/>
      <c r="X40" s="67"/>
      <c r="Y40" s="67"/>
      <c r="Z40" s="67"/>
      <c r="AA40" s="67"/>
      <c r="AB40" s="67"/>
      <c r="AC40" s="67"/>
      <c r="AD40" s="67"/>
      <c r="AE40" s="67"/>
      <c r="AF40" s="67"/>
      <c r="AG40" s="67"/>
      <c r="AH40" s="67"/>
      <c r="AI40" s="67"/>
      <c r="AJ40" s="67"/>
      <c r="AK40" s="67"/>
      <c r="AL40" s="27"/>
      <c r="AM40" s="75"/>
    </row>
    <row r="41" spans="1:40" s="8" customFormat="1" ht="18" customHeight="1" x14ac:dyDescent="0.2">
      <c r="A41" s="50" t="s">
        <v>3091</v>
      </c>
      <c r="B41" s="41" t="s">
        <v>3124</v>
      </c>
      <c r="C41" s="42" t="s">
        <v>3107</v>
      </c>
      <c r="D41" s="43">
        <v>3</v>
      </c>
      <c r="E41" s="65" t="str">
        <f>IF($A41&gt;0,VLOOKUP($A41,[1]Foglio1!$A$1:$IV$65536,2,FALSE)," ")</f>
        <v>ME</v>
      </c>
      <c r="F41" s="66">
        <f>IF($A41&gt;0,VLOOKUP($A41,[1]Foglio1!$A$1:$IV$65536,3,FALSE)," ")</f>
        <v>45</v>
      </c>
      <c r="G41" s="67">
        <f t="shared" ref="G41:G42" si="20">H41*R41/50</f>
        <v>1478</v>
      </c>
      <c r="H41" s="67">
        <f>IF($A41&gt;0,VLOOKUP($A41,[1]Foglio1!$A$1:$IV$65536,4,FALSE)," ")</f>
        <v>1478</v>
      </c>
      <c r="I41" s="67" t="str">
        <f>IF($A41&gt;0,VLOOKUP($A41,[1]Foglio1!$A$1:$IV$65536,5,FALSE)," ")</f>
        <v>1CV3222B</v>
      </c>
      <c r="J41" s="67">
        <f>IF($A41&gt;0,VLOOKUP($A41,[1]Foglio1!$A$1:$IV$65536,6,FALSE)," ")</f>
        <v>290</v>
      </c>
      <c r="K41" s="67" t="str">
        <f>IF($A41&gt;0,VLOOKUP($A41,[1]Foglio1!$A$1:$IV$65536,7,FALSE)," ")</f>
        <v>-</v>
      </c>
      <c r="L41" s="67" t="str">
        <f>IF($A41&gt;0,VLOOKUP($A41,[1]Foglio1!$A$1:$IV$65536,8,FALSE)," ")</f>
        <v>-</v>
      </c>
      <c r="M41" s="67" t="str">
        <f>IF($A41&gt;0,VLOOKUP($A41,[1]Foglio1!$A$1:$IV$65536,9,FALSE)," ")</f>
        <v>IM B5</v>
      </c>
      <c r="N41" s="67" t="str">
        <f>IF($A41&gt;0,VLOOKUP($A41,[1]Foglio1!$A$1:$IV$65536,10,FALSE)," ")</f>
        <v>IE3</v>
      </c>
      <c r="O41" s="67" t="str">
        <f>IF($A41&gt;0,VLOOKUP($A41,[1]Foglio1!$A$1:$IV$65536,11,FALSE)," ")</f>
        <v>400/690</v>
      </c>
      <c r="P41" s="68"/>
      <c r="Q41" s="68"/>
      <c r="R41" s="67">
        <f>IF($A41&gt;0,VLOOKUP($A41,[1]Foglio1!$A$1:$IV$65536,12,FALSE)," ")</f>
        <v>50</v>
      </c>
      <c r="S41" s="67" t="str">
        <f>IF($A41&gt;0,VLOOKUP($A41,[1]Foglio1!$A$1:$IV$65536,13,FALSE)," ")</f>
        <v>80/46,5</v>
      </c>
      <c r="T41" s="67">
        <f>IF($A41&gt;0,VLOOKUP($A41,[1]Foglio1!$A$1:$IV$65536,14,FALSE)," ")</f>
        <v>55</v>
      </c>
      <c r="U41" s="67" t="str">
        <f>IF($A41&gt;0,VLOOKUP($A41,[1]Foglio1!$A$1:$IV$65536,15,FALSE)," ")</f>
        <v>155(F)</v>
      </c>
      <c r="V41" s="67" t="str">
        <f>IF($A41&gt;0,VLOOKUP($A41,[1]Foglio1!$A$1:$IV$65536,16,FALSE)," ")</f>
        <v>TOP</v>
      </c>
      <c r="W41" s="67" t="str">
        <f>IF($A41&gt;0,VLOOKUP($A41,[1]Foglio1!$A$1:$IV$65536,17,FALSE)," ")</f>
        <v>TF</v>
      </c>
      <c r="X41" s="67" t="str">
        <f>IF($A41&gt;0,IF(VLOOKUP($A41,[1]Foglio1!$A$1:$IV$65536,18,FALSE)&lt;&gt;"-","YES","NO")," ")</f>
        <v>NO</v>
      </c>
      <c r="Y41" s="67" t="str">
        <f>IF($A41&gt;0,VLOOKUP($A41,[1]Foglio1!$A$1:$IV$65536,19,FALSE)," ")</f>
        <v>-</v>
      </c>
      <c r="Z41" s="67" t="str">
        <f>IF($A41&gt;0,VLOOKUP($A41,[1]Foglio1!$A$1:$IV$65536,20,FALSE)," ")</f>
        <v>-</v>
      </c>
      <c r="AA41" s="67" t="str">
        <f>IF($A41&gt;0,VLOOKUP($A41,[1]Foglio1!$A$1:$IV$65536,21,FALSE)," ")</f>
        <v>-</v>
      </c>
      <c r="AB41" s="67" t="str">
        <f>IF($A41&gt;0,VLOOKUP($A41,[1]Foglio1!$A$1:$IV$65536,22,FALSE)," ")</f>
        <v>D</v>
      </c>
      <c r="AC41" s="67"/>
      <c r="AD41" s="67"/>
      <c r="AE41" s="67" t="str">
        <f>IF($A41&gt;0,VLOOKUP($A41,[1]Foglio1!$A$1:$IV$65536,23,FALSE)," ")</f>
        <v>-</v>
      </c>
      <c r="AF41" s="67" t="str">
        <f>IF($A41&gt;0,VLOOKUP($A41,[1]Foglio1!$A$1:$IV$65536,24,FALSE)," ")</f>
        <v>-</v>
      </c>
      <c r="AG41" s="67" t="str">
        <f>IF($A41&gt;0,VLOOKUP($A41,[1]Foglio1!$A$1:$IV$65536,25,FALSE)," ")</f>
        <v>1LE1503-2BB23-4GB4-Z N11</v>
      </c>
      <c r="AH41" s="67" t="str">
        <f>IF($A41&gt;0,VLOOKUP($A41,[1]Foglio1!$A$1:$IV$65536,26,FALSE)," ")</f>
        <v>SIEMENS</v>
      </c>
      <c r="AI41" s="67" t="str">
        <f t="shared" ref="AI41:AI42" si="21">IF(X41="YES", "YES",IF(A41="","-","NO"))</f>
        <v>NO</v>
      </c>
      <c r="AJ41" s="67">
        <f>IF($A41&gt;0,VLOOKUP($A41,[1]Foglio1!$A$1:$IV$65536,27,FALSE)," ")</f>
        <v>0</v>
      </c>
      <c r="AK41" s="67" t="str">
        <f>IF($A41&gt;0,VLOOKUP($A41,[1]Foglio1!$A$1:$IV$65536,28,FALSE)," ")</f>
        <v>-</v>
      </c>
      <c r="AL41" s="27" t="str">
        <f>IF($A41&gt;0,VLOOKUP($A41,[1]Foglio1!$A$1:$IV$65536,31,FALSE)," ")</f>
        <v>4 POLES</v>
      </c>
      <c r="AM41" s="64" t="str">
        <f>IF($A41&gt;0,VLOOKUP($A41,[1]Foglio1!$A$1:$IV$65536,34,FALSE)," ")</f>
        <v>1CV3222B-1CV3222BBTOP-X</v>
      </c>
      <c r="AN41" s="77" t="s">
        <v>3392</v>
      </c>
    </row>
    <row r="42" spans="1:40" s="8" customFormat="1" ht="18" customHeight="1" x14ac:dyDescent="0.2">
      <c r="A42" s="50" t="s">
        <v>3092</v>
      </c>
      <c r="B42" s="41" t="s">
        <v>3124</v>
      </c>
      <c r="C42" s="42" t="s">
        <v>3107</v>
      </c>
      <c r="D42" s="43">
        <v>1</v>
      </c>
      <c r="E42" s="65" t="str">
        <f>IF($A42&gt;0,VLOOKUP($A42,[1]Foglio1!$A$1:$IV$65536,2,FALSE)," ")</f>
        <v>ME</v>
      </c>
      <c r="F42" s="66">
        <f>IF($A42&gt;0,VLOOKUP($A42,[1]Foglio1!$A$1:$IV$65536,3,FALSE)," ")</f>
        <v>4</v>
      </c>
      <c r="G42" s="67">
        <f t="shared" si="20"/>
        <v>2945</v>
      </c>
      <c r="H42" s="67">
        <f>IF($A42&gt;0,VLOOKUP($A42,[1]Foglio1!$A$1:$IV$65536,4,FALSE)," ")</f>
        <v>2945</v>
      </c>
      <c r="I42" s="67" t="str">
        <f>IF($A42&gt;0,VLOOKUP($A42,[1]Foglio1!$A$1:$IV$65536,5,FALSE)," ")</f>
        <v>1AV3112A</v>
      </c>
      <c r="J42" s="67">
        <f>IF($A42&gt;0,VLOOKUP($A42,[1]Foglio1!$A$1:$IV$65536,6,FALSE)," ")</f>
        <v>13</v>
      </c>
      <c r="K42" s="67" t="str">
        <f>IF($A42&gt;0,VLOOKUP($A42,[1]Foglio1!$A$1:$IV$65536,7,FALSE)," ")</f>
        <v>-</v>
      </c>
      <c r="L42" s="67" t="str">
        <f>IF($A42&gt;0,VLOOKUP($A42,[1]Foglio1!$A$1:$IV$65536,8,FALSE)," ")</f>
        <v>-</v>
      </c>
      <c r="M42" s="67" t="str">
        <f>IF($A42&gt;0,VLOOKUP($A42,[1]Foglio1!$A$1:$IV$65536,9,FALSE)," ")</f>
        <v>IM B5</v>
      </c>
      <c r="N42" s="67" t="str">
        <f>IF($A42&gt;0,VLOOKUP($A42,[1]Foglio1!$A$1:$IV$65536,10,FALSE)," ")</f>
        <v>IE3</v>
      </c>
      <c r="O42" s="67" t="str">
        <f>IF($A42&gt;0,VLOOKUP($A42,[1]Foglio1!$A$1:$IV$65536,11,FALSE)," ")</f>
        <v>230/400</v>
      </c>
      <c r="P42" s="68"/>
      <c r="Q42" s="68"/>
      <c r="R42" s="67">
        <f>IF($A42&gt;0,VLOOKUP($A42,[1]Foglio1!$A$1:$IV$65536,12,FALSE)," ")</f>
        <v>50</v>
      </c>
      <c r="S42" s="67" t="str">
        <f>IF($A42&gt;0,VLOOKUP($A42,[1]Foglio1!$A$1:$IV$65536,13,FALSE)," ")</f>
        <v>12,8/7,4</v>
      </c>
      <c r="T42" s="67">
        <f>IF($A42&gt;0,VLOOKUP($A42,[1]Foglio1!$A$1:$IV$65536,14,FALSE)," ")</f>
        <v>55</v>
      </c>
      <c r="U42" s="67" t="str">
        <f>IF($A42&gt;0,VLOOKUP($A42,[1]Foglio1!$A$1:$IV$65536,15,FALSE)," ")</f>
        <v>155(F)</v>
      </c>
      <c r="V42" s="67" t="str">
        <f>IF($A42&gt;0,VLOOKUP($A42,[1]Foglio1!$A$1:$IV$65536,16,FALSE)," ")</f>
        <v>TOP</v>
      </c>
      <c r="W42" s="67" t="str">
        <f>IF($A42&gt;0,VLOOKUP($A42,[1]Foglio1!$A$1:$IV$65536,17,FALSE)," ")</f>
        <v>TF</v>
      </c>
      <c r="X42" s="67" t="str">
        <f>IF($A42&gt;0,IF(VLOOKUP($A42,[1]Foglio1!$A$1:$IV$65536,18,FALSE)&lt;&gt;"-","YES","NO")," ")</f>
        <v>NO</v>
      </c>
      <c r="Y42" s="67" t="str">
        <f>IF($A42&gt;0,VLOOKUP($A42,[1]Foglio1!$A$1:$IV$65536,19,FALSE)," ")</f>
        <v>-</v>
      </c>
      <c r="Z42" s="67" t="str">
        <f>IF($A42&gt;0,VLOOKUP($A42,[1]Foglio1!$A$1:$IV$65536,20,FALSE)," ")</f>
        <v>-</v>
      </c>
      <c r="AA42" s="67" t="str">
        <f>IF($A42&gt;0,VLOOKUP($A42,[1]Foglio1!$A$1:$IV$65536,21,FALSE)," ")</f>
        <v>-</v>
      </c>
      <c r="AB42" s="67" t="str">
        <f>IF($A42&gt;0,VLOOKUP($A42,[1]Foglio1!$A$1:$IV$65536,22,FALSE)," ")</f>
        <v>D</v>
      </c>
      <c r="AC42" s="67"/>
      <c r="AD42" s="67"/>
      <c r="AE42" s="67" t="str">
        <f>IF($A42&gt;0,VLOOKUP($A42,[1]Foglio1!$A$1:$IV$65536,23,FALSE)," ")</f>
        <v>-</v>
      </c>
      <c r="AF42" s="67" t="str">
        <f>IF($A42&gt;0,VLOOKUP($A42,[1]Foglio1!$A$1:$IV$65536,24,FALSE)," ")</f>
        <v>-</v>
      </c>
      <c r="AG42" s="67" t="str">
        <f>IF($A42&gt;0,VLOOKUP($A42,[1]Foglio1!$A$1:$IV$65536,25,FALSE)," ")</f>
        <v>1LE1003-1BA22-2FB4-Z N11</v>
      </c>
      <c r="AH42" s="67" t="str">
        <f>IF($A42&gt;0,VLOOKUP($A42,[1]Foglio1!$A$1:$IV$65536,26,FALSE)," ")</f>
        <v>SIEMENS</v>
      </c>
      <c r="AI42" s="67" t="str">
        <f t="shared" si="21"/>
        <v>NO</v>
      </c>
      <c r="AJ42" s="67">
        <f>IF($A42&gt;0,VLOOKUP($A42,[1]Foglio1!$A$1:$IV$65536,27,FALSE)," ")</f>
        <v>0</v>
      </c>
      <c r="AK42" s="67" t="str">
        <f>IF($A42&gt;0,VLOOKUP($A42,[1]Foglio1!$A$1:$IV$65536,28,FALSE)," ")</f>
        <v>-</v>
      </c>
      <c r="AL42" s="27" t="str">
        <f>IF($A42&gt;0,VLOOKUP($A42,[1]Foglio1!$A$1:$IV$65536,31,FALSE)," ")</f>
        <v>2 POLES</v>
      </c>
      <c r="AM42" s="64" t="str">
        <f>IF($A42&gt;0,VLOOKUP($A42,[1]Foglio1!$A$1:$IV$65536,34,FALSE)," ")</f>
        <v>1AV3112A-1CV3222BBTOP-X</v>
      </c>
      <c r="AN42" s="77" t="s">
        <v>3392</v>
      </c>
    </row>
    <row r="43" spans="1:40" s="8" customFormat="1" ht="18" customHeight="1" x14ac:dyDescent="0.2">
      <c r="A43" s="50"/>
      <c r="B43" s="41"/>
      <c r="C43" s="42"/>
      <c r="D43" s="43"/>
      <c r="E43" s="65"/>
      <c r="F43" s="66"/>
      <c r="G43" s="67"/>
      <c r="H43" s="67"/>
      <c r="I43" s="67"/>
      <c r="J43" s="67"/>
      <c r="K43" s="67"/>
      <c r="L43" s="67"/>
      <c r="M43" s="67"/>
      <c r="N43" s="67"/>
      <c r="O43" s="67"/>
      <c r="P43" s="68"/>
      <c r="Q43" s="68"/>
      <c r="R43" s="67"/>
      <c r="S43" s="67"/>
      <c r="T43" s="67"/>
      <c r="U43" s="67"/>
      <c r="V43" s="67"/>
      <c r="W43" s="67"/>
      <c r="X43" s="67"/>
      <c r="Y43" s="67"/>
      <c r="Z43" s="67"/>
      <c r="AA43" s="67"/>
      <c r="AB43" s="67"/>
      <c r="AC43" s="67"/>
      <c r="AD43" s="67"/>
      <c r="AE43" s="67"/>
      <c r="AF43" s="67"/>
      <c r="AG43" s="67"/>
      <c r="AH43" s="67"/>
      <c r="AI43" s="67"/>
      <c r="AJ43" s="67"/>
      <c r="AK43" s="67"/>
      <c r="AL43" s="27"/>
      <c r="AM43" s="75"/>
    </row>
    <row r="44" spans="1:40" s="8" customFormat="1" ht="18" customHeight="1" x14ac:dyDescent="0.2">
      <c r="A44" s="50" t="s">
        <v>3152</v>
      </c>
      <c r="B44" s="41" t="s">
        <v>3125</v>
      </c>
      <c r="C44" s="42" t="s">
        <v>3108</v>
      </c>
      <c r="D44" s="43">
        <v>1</v>
      </c>
      <c r="E44" s="65" t="str">
        <f>IF($A44&gt;0,VLOOKUP($A44,[1]Foglio1!$A$1:$IV$65536,2,FALSE)," ")</f>
        <v>MR</v>
      </c>
      <c r="F44" s="66">
        <f>IF($A44&gt;0,VLOOKUP($A44,[1]Foglio1!$A$1:$IV$65536,3,FALSE)," ")</f>
        <v>15</v>
      </c>
      <c r="G44" s="67">
        <f t="shared" ref="G44:G46" si="22">H44*R44/50</f>
        <v>16</v>
      </c>
      <c r="H44" s="67">
        <f>IF($A44&gt;0,VLOOKUP($A44,[1]Foglio1!$A$1:$IV$65536,4,FALSE)," ")</f>
        <v>16</v>
      </c>
      <c r="I44" s="67" t="str">
        <f>IF($A44&gt;0,VLOOKUP($A44,[1]Foglio1!$A$1:$IV$65536,5,FALSE)," ")</f>
        <v>KH127</v>
      </c>
      <c r="J44" s="67">
        <f>IF($A44&gt;0,VLOOKUP($A44,[1]Foglio1!$A$1:$IV$65536,6,FALSE)," ")</f>
        <v>8730</v>
      </c>
      <c r="K44" s="67">
        <f>IF($A44&gt;0,VLOOKUP($A44,[1]Foglio1!$A$1:$IV$65536,7,FALSE)," ")</f>
        <v>89.89</v>
      </c>
      <c r="L44" s="67">
        <f>IF($A44&gt;0,VLOOKUP($A44,[1]Foglio1!$A$1:$IV$65536,8,FALSE)," ")</f>
        <v>1.5</v>
      </c>
      <c r="M44" s="67" t="str">
        <f>IF($A44&gt;0,VLOOKUP($A44,[1]Foglio1!$A$1:$IV$65536,9,FALSE)," ")</f>
        <v>From M1A to M4A - 45°</v>
      </c>
      <c r="N44" s="67" t="str">
        <f>IF($A44&gt;0,VLOOKUP($A44,[1]Foglio1!$A$1:$IV$65536,10,FALSE)," ")</f>
        <v>IE3</v>
      </c>
      <c r="O44" s="67" t="str">
        <f>IF($A44&gt;0,VLOOKUP($A44,[1]Foglio1!$A$1:$IV$65536,11,FALSE)," ")</f>
        <v>230/400</v>
      </c>
      <c r="P44" s="68"/>
      <c r="Q44" s="68"/>
      <c r="R44" s="67">
        <f>IF($A44&gt;0,VLOOKUP($A44,[1]Foglio1!$A$1:$IV$65536,12,FALSE)," ")</f>
        <v>50</v>
      </c>
      <c r="S44" s="67" t="str">
        <f>IF($A44&gt;0,VLOOKUP($A44,[1]Foglio1!$A$1:$IV$65536,13,FALSE)," ")</f>
        <v>50/29</v>
      </c>
      <c r="T44" s="67">
        <f>IF($A44&gt;0,VLOOKUP($A44,[1]Foglio1!$A$1:$IV$65536,14,FALSE)," ")</f>
        <v>55</v>
      </c>
      <c r="U44" s="67" t="str">
        <f>IF($A44&gt;0,VLOOKUP($A44,[1]Foglio1!$A$1:$IV$65536,15,FALSE)," ")</f>
        <v>155(F)</v>
      </c>
      <c r="V44" s="67" t="str">
        <f>IF($A44&gt;0,VLOOKUP($A44,[1]Foglio1!$A$1:$IV$65536,16,FALSE)," ")</f>
        <v>270°</v>
      </c>
      <c r="W44" s="67" t="str">
        <f>IF($A44&gt;0,VLOOKUP($A44,[1]Foglio1!$A$1:$IV$65536,17,FALSE)," ")</f>
        <v>TF</v>
      </c>
      <c r="X44" s="67" t="str">
        <f>IF($A44&gt;0,IF(VLOOKUP($A44,[1]Foglio1!$A$1:$IV$65536,18,FALSE)&lt;&gt;"-","YES","NO")," ")</f>
        <v>YES</v>
      </c>
      <c r="Y44" s="67" t="str">
        <f>IF($A44&gt;0,VLOOKUP($A44,[1]Foglio1!$A$1:$IV$65536,19,FALSE)," ")</f>
        <v>-</v>
      </c>
      <c r="Z44" s="67" t="str">
        <f>IF($A44&gt;0,VLOOKUP($A44,[1]Foglio1!$A$1:$IV$65536,20,FALSE)," ")</f>
        <v>-</v>
      </c>
      <c r="AA44" s="67" t="str">
        <f>IF($A44&gt;0,VLOOKUP($A44,[1]Foglio1!$A$1:$IV$65536,21,FALSE)," ")</f>
        <v>-</v>
      </c>
      <c r="AB44" s="67" t="str">
        <f>IF($A44&gt;0,VLOOKUP($A44,[1]Foglio1!$A$1:$IV$65536,22,FALSE)," ")</f>
        <v>FC</v>
      </c>
      <c r="AC44" s="67"/>
      <c r="AD44" s="67"/>
      <c r="AE44" s="67" t="str">
        <f>IF($A44&gt;0,VLOOKUP($A44,[1]Foglio1!$A$1:$IV$65536,23,FALSE)," ")</f>
        <v>-</v>
      </c>
      <c r="AF44" s="67" t="str">
        <f>IF($A44&gt;0,VLOOKUP($A44,[1]Foglio1!$A$1:$IV$65536,24,FALSE)," ")</f>
        <v>CLP 220 (-15/+40°C)</v>
      </c>
      <c r="AG44" s="67" t="str">
        <f>IF($A44&gt;0,VLOOKUP($A44,[1]Foglio1!$A$1:$IV$65536,25,FALSE)," ")</f>
        <v>KH127DRN160L4 /TF/V</v>
      </c>
      <c r="AH44" s="67">
        <f>IF($A44&gt;0,VLOOKUP($A44,[1]Foglio1!$A$1:$IV$65536,26,FALSE)," ")</f>
        <v>0</v>
      </c>
      <c r="AI44" s="67" t="str">
        <f t="shared" ref="AI44:AI46" si="23">IF(X44="YES", "YES",IF(A44="","-","NO"))</f>
        <v>YES</v>
      </c>
      <c r="AJ44" s="67">
        <f>IF($A44&gt;0,VLOOKUP($A44,[1]Foglio1!$A$1:$IV$65536,27,FALSE)," ")</f>
        <v>0</v>
      </c>
      <c r="AK44" s="67" t="str">
        <f>IF($A44&gt;0,VLOOKUP($A44,[1]Foglio1!$A$1:$IV$65536,28,FALSE)," ")</f>
        <v>-</v>
      </c>
      <c r="AL44" s="27">
        <f>IF($A44&gt;0,VLOOKUP($A44,[1]Foglio1!$A$1:$IV$65536,31,FALSE)," ")</f>
        <v>0</v>
      </c>
      <c r="AM44" s="64" t="str">
        <f>IF($A44&gt;0,VLOOKUP($A44,[1]Foglio1!$A$1:$IV$65536,34,FALSE)," ")</f>
        <v>KH127-DRN160L4A270-X#</v>
      </c>
      <c r="AN44" s="76" t="s">
        <v>444</v>
      </c>
    </row>
    <row r="45" spans="1:40" s="8" customFormat="1" ht="18" customHeight="1" x14ac:dyDescent="0.2">
      <c r="A45" s="72" t="s">
        <v>3465</v>
      </c>
      <c r="B45" s="79"/>
      <c r="C45" s="80"/>
      <c r="D45" s="81">
        <v>1</v>
      </c>
      <c r="E45" s="82"/>
      <c r="F45" s="83" t="s">
        <v>3566</v>
      </c>
      <c r="G45" s="73"/>
      <c r="H45" s="73"/>
      <c r="I45" s="73"/>
      <c r="J45" s="73"/>
      <c r="K45" s="73"/>
      <c r="L45" s="73"/>
      <c r="M45" s="73"/>
      <c r="N45" s="73"/>
      <c r="O45" s="73" t="s">
        <v>3466</v>
      </c>
      <c r="P45" s="84"/>
      <c r="Q45" s="84"/>
      <c r="R45" s="73">
        <v>50</v>
      </c>
      <c r="S45" s="73" t="s">
        <v>3468</v>
      </c>
      <c r="T45" s="73">
        <v>66</v>
      </c>
      <c r="U45" s="73"/>
      <c r="V45" s="73"/>
      <c r="W45" s="73"/>
      <c r="X45" s="73"/>
      <c r="Y45" s="73"/>
      <c r="Z45" s="73"/>
      <c r="AA45" s="73"/>
      <c r="AB45" s="73" t="s">
        <v>26</v>
      </c>
      <c r="AC45" s="73"/>
      <c r="AD45" s="73"/>
      <c r="AE45" s="73"/>
      <c r="AF45" s="73"/>
      <c r="AG45" s="73"/>
      <c r="AH45" s="73"/>
      <c r="AI45" s="73"/>
      <c r="AJ45" s="73"/>
      <c r="AK45" s="73"/>
      <c r="AL45" s="85" t="s">
        <v>3467</v>
      </c>
      <c r="AM45" s="64"/>
      <c r="AN45" s="76"/>
    </row>
    <row r="46" spans="1:40" s="8" customFormat="1" ht="18" customHeight="1" x14ac:dyDescent="0.2">
      <c r="A46" s="50" t="s">
        <v>3153</v>
      </c>
      <c r="B46" s="41" t="s">
        <v>3125</v>
      </c>
      <c r="C46" s="42" t="s">
        <v>3108</v>
      </c>
      <c r="D46" s="43">
        <v>1</v>
      </c>
      <c r="E46" s="65" t="str">
        <f>IF($A46&gt;0,VLOOKUP($A46,[1]Foglio1!$A$1:$IV$65536,2,FALSE)," ")</f>
        <v>MR</v>
      </c>
      <c r="F46" s="66">
        <f>IF($A46&gt;0,VLOOKUP($A46,[1]Foglio1!$A$1:$IV$65536,3,FALSE)," ")</f>
        <v>15</v>
      </c>
      <c r="G46" s="67">
        <f t="shared" si="22"/>
        <v>16</v>
      </c>
      <c r="H46" s="67">
        <f>IF($A46&gt;0,VLOOKUP($A46,[1]Foglio1!$A$1:$IV$65536,4,FALSE)," ")</f>
        <v>16</v>
      </c>
      <c r="I46" s="67" t="str">
        <f>IF($A46&gt;0,VLOOKUP($A46,[1]Foglio1!$A$1:$IV$65536,5,FALSE)," ")</f>
        <v>KH127</v>
      </c>
      <c r="J46" s="67">
        <f>IF($A46&gt;0,VLOOKUP($A46,[1]Foglio1!$A$1:$IV$65536,6,FALSE)," ")</f>
        <v>8730</v>
      </c>
      <c r="K46" s="67">
        <f>IF($A46&gt;0,VLOOKUP($A46,[1]Foglio1!$A$1:$IV$65536,7,FALSE)," ")</f>
        <v>89.89</v>
      </c>
      <c r="L46" s="67">
        <f>IF($A46&gt;0,VLOOKUP($A46,[1]Foglio1!$A$1:$IV$65536,8,FALSE)," ")</f>
        <v>1.5</v>
      </c>
      <c r="M46" s="67" t="str">
        <f>IF($A46&gt;0,VLOOKUP($A46,[1]Foglio1!$A$1:$IV$65536,9,FALSE)," ")</f>
        <v>From M1B to M4B - 45°</v>
      </c>
      <c r="N46" s="67" t="str">
        <f>IF($A46&gt;0,VLOOKUP($A46,[1]Foglio1!$A$1:$IV$65536,10,FALSE)," ")</f>
        <v>IE3</v>
      </c>
      <c r="O46" s="67" t="str">
        <f>IF($A46&gt;0,VLOOKUP($A46,[1]Foglio1!$A$1:$IV$65536,11,FALSE)," ")</f>
        <v>230/400</v>
      </c>
      <c r="P46" s="68"/>
      <c r="Q46" s="68"/>
      <c r="R46" s="67">
        <f>IF($A46&gt;0,VLOOKUP($A46,[1]Foglio1!$A$1:$IV$65536,12,FALSE)," ")</f>
        <v>50</v>
      </c>
      <c r="S46" s="67" t="str">
        <f>IF($A46&gt;0,VLOOKUP($A46,[1]Foglio1!$A$1:$IV$65536,13,FALSE)," ")</f>
        <v>50/29</v>
      </c>
      <c r="T46" s="67">
        <f>IF($A46&gt;0,VLOOKUP($A46,[1]Foglio1!$A$1:$IV$65536,14,FALSE)," ")</f>
        <v>55</v>
      </c>
      <c r="U46" s="67" t="str">
        <f>IF($A46&gt;0,VLOOKUP($A46,[1]Foglio1!$A$1:$IV$65536,15,FALSE)," ")</f>
        <v>155(F)</v>
      </c>
      <c r="V46" s="67" t="str">
        <f>IF($A46&gt;0,VLOOKUP($A46,[1]Foglio1!$A$1:$IV$65536,16,FALSE)," ")</f>
        <v>270°</v>
      </c>
      <c r="W46" s="67" t="str">
        <f>IF($A46&gt;0,VLOOKUP($A46,[1]Foglio1!$A$1:$IV$65536,17,FALSE)," ")</f>
        <v>TF</v>
      </c>
      <c r="X46" s="67" t="str">
        <f>IF($A46&gt;0,IF(VLOOKUP($A46,[1]Foglio1!$A$1:$IV$65536,18,FALSE)&lt;&gt;"-","YES","NO")," ")</f>
        <v>YES</v>
      </c>
      <c r="Y46" s="67" t="str">
        <f>IF($A46&gt;0,VLOOKUP($A46,[1]Foglio1!$A$1:$IV$65536,19,FALSE)," ")</f>
        <v>-</v>
      </c>
      <c r="Z46" s="67" t="str">
        <f>IF($A46&gt;0,VLOOKUP($A46,[1]Foglio1!$A$1:$IV$65536,20,FALSE)," ")</f>
        <v>-</v>
      </c>
      <c r="AA46" s="67" t="str">
        <f>IF($A46&gt;0,VLOOKUP($A46,[1]Foglio1!$A$1:$IV$65536,21,FALSE)," ")</f>
        <v>-</v>
      </c>
      <c r="AB46" s="67" t="str">
        <f>IF($A46&gt;0,VLOOKUP($A46,[1]Foglio1!$A$1:$IV$65536,22,FALSE)," ")</f>
        <v>FC</v>
      </c>
      <c r="AC46" s="67"/>
      <c r="AD46" s="67"/>
      <c r="AE46" s="67" t="str">
        <f>IF($A46&gt;0,VLOOKUP($A46,[1]Foglio1!$A$1:$IV$65536,23,FALSE)," ")</f>
        <v>-</v>
      </c>
      <c r="AF46" s="67" t="str">
        <f>IF($A46&gt;0,VLOOKUP($A46,[1]Foglio1!$A$1:$IV$65536,24,FALSE)," ")</f>
        <v>CLP 220 (-15/+40°C)</v>
      </c>
      <c r="AG46" s="67" t="str">
        <f>IF($A46&gt;0,VLOOKUP($A46,[1]Foglio1!$A$1:$IV$65536,25,FALSE)," ")</f>
        <v>KH127DRN160L4 /TF/V</v>
      </c>
      <c r="AH46" s="67">
        <f>IF($A46&gt;0,VLOOKUP($A46,[1]Foglio1!$A$1:$IV$65536,26,FALSE)," ")</f>
        <v>0</v>
      </c>
      <c r="AI46" s="67" t="str">
        <f t="shared" si="23"/>
        <v>YES</v>
      </c>
      <c r="AJ46" s="67">
        <f>IF($A46&gt;0,VLOOKUP($A46,[1]Foglio1!$A$1:$IV$65536,27,FALSE)," ")</f>
        <v>0</v>
      </c>
      <c r="AK46" s="67" t="str">
        <f>IF($A46&gt;0,VLOOKUP($A46,[1]Foglio1!$A$1:$IV$65536,28,FALSE)," ")</f>
        <v>-</v>
      </c>
      <c r="AL46" s="27">
        <f>IF($A46&gt;0,VLOOKUP($A46,[1]Foglio1!$A$1:$IV$65536,31,FALSE)," ")</f>
        <v>0</v>
      </c>
      <c r="AM46" s="64" t="str">
        <f>IF($A46&gt;0,VLOOKUP($A46,[1]Foglio1!$A$1:$IV$65536,34,FALSE)," ")</f>
        <v>KH127-DRN160L4B270-X#</v>
      </c>
      <c r="AN46" s="76" t="s">
        <v>444</v>
      </c>
    </row>
    <row r="47" spans="1:40" s="8" customFormat="1" ht="18" customHeight="1" x14ac:dyDescent="0.2">
      <c r="A47" s="72" t="s">
        <v>3465</v>
      </c>
      <c r="B47" s="79"/>
      <c r="C47" s="80"/>
      <c r="D47" s="81">
        <v>1</v>
      </c>
      <c r="E47" s="82"/>
      <c r="F47" s="83" t="s">
        <v>3566</v>
      </c>
      <c r="G47" s="73"/>
      <c r="H47" s="73"/>
      <c r="I47" s="73"/>
      <c r="J47" s="73"/>
      <c r="K47" s="73"/>
      <c r="L47" s="73"/>
      <c r="M47" s="73"/>
      <c r="N47" s="73"/>
      <c r="O47" s="73" t="s">
        <v>3466</v>
      </c>
      <c r="P47" s="84"/>
      <c r="Q47" s="84"/>
      <c r="R47" s="73">
        <v>50</v>
      </c>
      <c r="S47" s="73" t="s">
        <v>3468</v>
      </c>
      <c r="T47" s="73">
        <v>66</v>
      </c>
      <c r="U47" s="73"/>
      <c r="V47" s="73"/>
      <c r="W47" s="73"/>
      <c r="X47" s="73"/>
      <c r="Y47" s="73"/>
      <c r="Z47" s="73"/>
      <c r="AA47" s="73"/>
      <c r="AB47" s="73" t="s">
        <v>26</v>
      </c>
      <c r="AC47" s="73"/>
      <c r="AD47" s="73"/>
      <c r="AE47" s="73"/>
      <c r="AF47" s="73"/>
      <c r="AG47" s="73"/>
      <c r="AH47" s="73"/>
      <c r="AI47" s="73"/>
      <c r="AJ47" s="73"/>
      <c r="AK47" s="73"/>
      <c r="AL47" s="85" t="s">
        <v>3467</v>
      </c>
      <c r="AM47" s="64"/>
      <c r="AN47" s="76"/>
    </row>
    <row r="48" spans="1:40" s="8" customFormat="1" ht="18" customHeight="1" x14ac:dyDescent="0.2">
      <c r="A48" s="50"/>
      <c r="B48" s="41"/>
      <c r="C48" s="42"/>
      <c r="D48" s="43"/>
      <c r="E48" s="65"/>
      <c r="F48" s="66"/>
      <c r="G48" s="67"/>
      <c r="H48" s="67"/>
      <c r="I48" s="67"/>
      <c r="J48" s="67"/>
      <c r="K48" s="67"/>
      <c r="L48" s="67"/>
      <c r="M48" s="67"/>
      <c r="N48" s="67"/>
      <c r="O48" s="67"/>
      <c r="P48" s="68"/>
      <c r="Q48" s="68"/>
      <c r="R48" s="67"/>
      <c r="S48" s="67"/>
      <c r="T48" s="67"/>
      <c r="U48" s="67"/>
      <c r="V48" s="67"/>
      <c r="W48" s="67"/>
      <c r="X48" s="67"/>
      <c r="Y48" s="67"/>
      <c r="Z48" s="67"/>
      <c r="AA48" s="67"/>
      <c r="AB48" s="67"/>
      <c r="AC48" s="67"/>
      <c r="AD48" s="67"/>
      <c r="AE48" s="67"/>
      <c r="AF48" s="67"/>
      <c r="AG48" s="67"/>
      <c r="AH48" s="67"/>
      <c r="AI48" s="67"/>
      <c r="AJ48" s="67"/>
      <c r="AK48" s="67"/>
      <c r="AL48" s="27"/>
      <c r="AM48" s="75"/>
    </row>
    <row r="49" spans="1:40" s="8" customFormat="1" ht="18" customHeight="1" x14ac:dyDescent="0.2">
      <c r="A49" s="50" t="s">
        <v>3131</v>
      </c>
      <c r="B49" s="41" t="s">
        <v>3126</v>
      </c>
      <c r="C49" s="42" t="s">
        <v>3109</v>
      </c>
      <c r="D49" s="43">
        <v>1</v>
      </c>
      <c r="E49" s="65" t="str">
        <f>IF($A49&gt;0,VLOOKUP($A49,[1]Foglio1!$A$1:$IV$65536,2,FALSE)," ")</f>
        <v>MR</v>
      </c>
      <c r="F49" s="66">
        <f>IF($A49&gt;0,VLOOKUP($A49,[1]Foglio1!$A$1:$IV$65536,3,FALSE)," ")</f>
        <v>0.55000000000000004</v>
      </c>
      <c r="G49" s="67">
        <f t="shared" ref="G49" si="24">H49*R49/50</f>
        <v>3.9</v>
      </c>
      <c r="H49" s="67">
        <f>IF($A49&gt;0,VLOOKUP($A49,[1]Foglio1!$A$1:$IV$65536,4,FALSE)," ")</f>
        <v>3.9</v>
      </c>
      <c r="I49" s="67" t="str">
        <f>IF($A49&gt;0,VLOOKUP($A49,[1]Foglio1!$A$1:$IV$65536,5,FALSE)," ")</f>
        <v>KA77R37</v>
      </c>
      <c r="J49" s="67">
        <f>IF($A49&gt;0,VLOOKUP($A49,[1]Foglio1!$A$1:$IV$65536,6,FALSE)," ")</f>
        <v>1210</v>
      </c>
      <c r="K49" s="67">
        <f>IF($A49&gt;0,VLOOKUP($A49,[1]Foglio1!$A$1:$IV$65536,7,FALSE)," ")</f>
        <v>367</v>
      </c>
      <c r="L49" s="67">
        <f>IF($A49&gt;0,VLOOKUP($A49,[1]Foglio1!$A$1:$IV$65536,8,FALSE)," ")</f>
        <v>1.25</v>
      </c>
      <c r="M49" s="67" t="str">
        <f>IF($A49&gt;0,VLOOKUP($A49,[1]Foglio1!$A$1:$IV$65536,9,FALSE)," ")</f>
        <v>M3B</v>
      </c>
      <c r="N49" s="67" t="str">
        <f>IF($A49&gt;0,VLOOKUP($A49,[1]Foglio1!$A$1:$IV$65536,10,FALSE)," ")</f>
        <v>IE3</v>
      </c>
      <c r="O49" s="67" t="str">
        <f>IF($A49&gt;0,VLOOKUP($A49,[1]Foglio1!$A$1:$IV$65536,11,FALSE)," ")</f>
        <v>230/400</v>
      </c>
      <c r="P49" s="68"/>
      <c r="Q49" s="68"/>
      <c r="R49" s="67">
        <f>IF($A49&gt;0,VLOOKUP($A49,[1]Foglio1!$A$1:$IV$65536,12,FALSE)," ")</f>
        <v>50</v>
      </c>
      <c r="S49" s="67" t="str">
        <f>IF($A49&gt;0,VLOOKUP($A49,[1]Foglio1!$A$1:$IV$65536,13,FALSE)," ")</f>
        <v>2,25/1,29</v>
      </c>
      <c r="T49" s="67">
        <f>IF($A49&gt;0,VLOOKUP($A49,[1]Foglio1!$A$1:$IV$65536,14,FALSE)," ")</f>
        <v>55</v>
      </c>
      <c r="U49" s="67" t="str">
        <f>IF($A49&gt;0,VLOOKUP($A49,[1]Foglio1!$A$1:$IV$65536,15,FALSE)," ")</f>
        <v>155(F)</v>
      </c>
      <c r="V49" s="67" t="str">
        <f>IF($A49&gt;0,VLOOKUP($A49,[1]Foglio1!$A$1:$IV$65536,16,FALSE)," ")</f>
        <v>0°</v>
      </c>
      <c r="W49" s="67" t="str">
        <f>IF($A49&gt;0,VLOOKUP($A49,[1]Foglio1!$A$1:$IV$65536,17,FALSE)," ")</f>
        <v>TF</v>
      </c>
      <c r="X49" s="67" t="str">
        <f>IF($A49&gt;0,IF(VLOOKUP($A49,[1]Foglio1!$A$1:$IV$65536,18,FALSE)&lt;&gt;"-","YES","NO")," ")</f>
        <v>NO</v>
      </c>
      <c r="Y49" s="67" t="str">
        <f>IF($A49&gt;0,VLOOKUP($A49,[1]Foglio1!$A$1:$IV$65536,19,FALSE)," ")</f>
        <v>-</v>
      </c>
      <c r="Z49" s="67" t="str">
        <f>IF($A49&gt;0,VLOOKUP($A49,[1]Foglio1!$A$1:$IV$65536,20,FALSE)," ")</f>
        <v>BEHF</v>
      </c>
      <c r="AA49" s="67" t="str">
        <f>IF($A49&gt;0,VLOOKUP($A49,[1]Foglio1!$A$1:$IV$65536,21,FALSE)," ")</f>
        <v>T</v>
      </c>
      <c r="AB49" s="67" t="str">
        <f>IF($A49&gt;0,VLOOKUP($A49,[1]Foglio1!$A$1:$IV$65536,22,FALSE)," ")</f>
        <v>D+R</v>
      </c>
      <c r="AC49" s="67"/>
      <c r="AD49" s="67"/>
      <c r="AE49" s="67" t="str">
        <f>IF($A49&gt;0,VLOOKUP($A49,[1]Foglio1!$A$1:$IV$65536,23,FALSE)," ")</f>
        <v>-</v>
      </c>
      <c r="AF49" s="67" t="str">
        <f>IF($A49&gt;0,VLOOKUP($A49,[1]Foglio1!$A$1:$IV$65536,24,FALSE)," ")</f>
        <v>CLP 220 (-15/+40°C)</v>
      </c>
      <c r="AG49" s="67" t="str">
        <f>IF($A49&gt;0,VLOOKUP($A49,[1]Foglio1!$A$1:$IV$65536,25,FALSE)," ")</f>
        <v>KA77R37/T DRN80MK4 /BEHF /TF</v>
      </c>
      <c r="AH49" s="67" t="str">
        <f>IF($A49&gt;0,VLOOKUP($A49,[1]Foglio1!$A$1:$IV$65536,26,FALSE)," ")</f>
        <v>SEW</v>
      </c>
      <c r="AI49" s="67" t="str">
        <f t="shared" ref="AI49" si="25">IF(X49="YES", "YES",IF(A49="","-","NO"))</f>
        <v>NO</v>
      </c>
      <c r="AJ49" s="67">
        <f>IF($A49&gt;0,VLOOKUP($A49,[1]Foglio1!$A$1:$IV$65536,27,FALSE)," ")</f>
        <v>0</v>
      </c>
      <c r="AK49" s="67" t="str">
        <f>IF($A49&gt;0,VLOOKUP($A49,[1]Foglio1!$A$1:$IV$65536,28,FALSE)," ")</f>
        <v>-</v>
      </c>
      <c r="AL49" s="27">
        <f>IF($A49&gt;0,VLOOKUP($A49,[1]Foglio1!$A$1:$IV$65536,31,FALSE)," ")</f>
        <v>0</v>
      </c>
      <c r="AM49" s="64" t="str">
        <f>IF($A49&gt;0,VLOOKUP($A49,[1]Foglio1!$A$1:$IV$65536,34,FALSE)," ")</f>
        <v>KA77R37T-DRN80MK4B0-X</v>
      </c>
      <c r="AN49" s="76" t="s">
        <v>444</v>
      </c>
    </row>
    <row r="50" spans="1:40" s="8" customFormat="1" ht="18" customHeight="1" x14ac:dyDescent="0.2">
      <c r="A50" s="50"/>
      <c r="B50" s="41"/>
      <c r="C50" s="42"/>
      <c r="D50" s="43"/>
      <c r="E50" s="65"/>
      <c r="F50" s="66"/>
      <c r="G50" s="67"/>
      <c r="H50" s="67"/>
      <c r="I50" s="67"/>
      <c r="J50" s="67"/>
      <c r="K50" s="67"/>
      <c r="L50" s="67"/>
      <c r="M50" s="67"/>
      <c r="N50" s="67"/>
      <c r="O50" s="67"/>
      <c r="P50" s="68"/>
      <c r="Q50" s="68"/>
      <c r="R50" s="67"/>
      <c r="S50" s="67"/>
      <c r="T50" s="67"/>
      <c r="U50" s="67"/>
      <c r="V50" s="67"/>
      <c r="W50" s="67"/>
      <c r="X50" s="67"/>
      <c r="Y50" s="67"/>
      <c r="Z50" s="67"/>
      <c r="AA50" s="67"/>
      <c r="AB50" s="67"/>
      <c r="AC50" s="67"/>
      <c r="AD50" s="67"/>
      <c r="AE50" s="67"/>
      <c r="AF50" s="67"/>
      <c r="AG50" s="67"/>
      <c r="AH50" s="67"/>
      <c r="AI50" s="67"/>
      <c r="AJ50" s="67"/>
      <c r="AK50" s="67"/>
      <c r="AL50" s="27"/>
      <c r="AM50" s="75"/>
    </row>
    <row r="51" spans="1:40" s="8" customFormat="1" ht="18" customHeight="1" x14ac:dyDescent="0.2">
      <c r="A51" s="50" t="s">
        <v>3154</v>
      </c>
      <c r="B51" s="41" t="s">
        <v>3127</v>
      </c>
      <c r="C51" s="42" t="s">
        <v>3110</v>
      </c>
      <c r="D51" s="43">
        <v>1</v>
      </c>
      <c r="E51" s="65" t="str">
        <f>IF($A51&gt;0,VLOOKUP($A51,[1]Foglio1!$A$1:$IV$65536,2,FALSE)," ")</f>
        <v>MR</v>
      </c>
      <c r="F51" s="66">
        <f>IF($A51&gt;0,VLOOKUP($A51,[1]Foglio1!$A$1:$IV$65536,3,FALSE)," ")</f>
        <v>15</v>
      </c>
      <c r="G51" s="67">
        <f t="shared" ref="G51:G52" si="26">H51*R51/50</f>
        <v>48</v>
      </c>
      <c r="H51" s="67">
        <f>IF($A51&gt;0,VLOOKUP($A51,[1]Foglio1!$A$1:$IV$65536,4,FALSE)," ")</f>
        <v>48</v>
      </c>
      <c r="I51" s="67" t="str">
        <f>IF($A51&gt;0,VLOOKUP($A51,[1]Foglio1!$A$1:$IV$65536,5,FALSE)," ")</f>
        <v>KH97</v>
      </c>
      <c r="J51" s="67">
        <f>IF($A51&gt;0,VLOOKUP($A51,[1]Foglio1!$A$1:$IV$65536,6,FALSE)," ")</f>
        <v>2990</v>
      </c>
      <c r="K51" s="67">
        <f>IF($A51&gt;0,VLOOKUP($A51,[1]Foglio1!$A$1:$IV$65536,7,FALSE)," ")</f>
        <v>30.82</v>
      </c>
      <c r="L51" s="67">
        <f>IF($A51&gt;0,VLOOKUP($A51,[1]Foglio1!$A$1:$IV$65536,8,FALSE)," ")</f>
        <v>1.45</v>
      </c>
      <c r="M51" s="67" t="str">
        <f>IF($A51&gt;0,VLOOKUP($A51,[1]Foglio1!$A$1:$IV$65536,9,FALSE)," ")</f>
        <v>From M1A to M4A - 70°</v>
      </c>
      <c r="N51" s="67" t="str">
        <f>IF($A51&gt;0,VLOOKUP($A51,[1]Foglio1!$A$1:$IV$65536,10,FALSE)," ")</f>
        <v>IE3</v>
      </c>
      <c r="O51" s="67" t="str">
        <f>IF($A51&gt;0,VLOOKUP($A51,[1]Foglio1!$A$1:$IV$65536,11,FALSE)," ")</f>
        <v>230/400</v>
      </c>
      <c r="P51" s="68"/>
      <c r="Q51" s="68"/>
      <c r="R51" s="67">
        <f>IF($A51&gt;0,VLOOKUP($A51,[1]Foglio1!$A$1:$IV$65536,12,FALSE)," ")</f>
        <v>50</v>
      </c>
      <c r="S51" s="67" t="str">
        <f>IF($A51&gt;0,VLOOKUP($A51,[1]Foglio1!$A$1:$IV$65536,13,FALSE)," ")</f>
        <v>50/29</v>
      </c>
      <c r="T51" s="67">
        <f>IF($A51&gt;0,VLOOKUP($A51,[1]Foglio1!$A$1:$IV$65536,14,FALSE)," ")</f>
        <v>55</v>
      </c>
      <c r="U51" s="67" t="str">
        <f>IF($A51&gt;0,VLOOKUP($A51,[1]Foglio1!$A$1:$IV$65536,15,FALSE)," ")</f>
        <v>155(F)</v>
      </c>
      <c r="V51" s="67" t="str">
        <f>IF($A51&gt;0,VLOOKUP($A51,[1]Foglio1!$A$1:$IV$65536,16,FALSE)," ")</f>
        <v>270°</v>
      </c>
      <c r="W51" s="67" t="str">
        <f>IF($A51&gt;0,VLOOKUP($A51,[1]Foglio1!$A$1:$IV$65536,17,FALSE)," ")</f>
        <v>TF</v>
      </c>
      <c r="X51" s="67" t="str">
        <f>IF($A51&gt;0,IF(VLOOKUP($A51,[1]Foglio1!$A$1:$IV$65536,18,FALSE)&lt;&gt;"-","YES","NO")," ")</f>
        <v>NO</v>
      </c>
      <c r="Y51" s="67" t="str">
        <f>IF($A51&gt;0,VLOOKUP($A51,[1]Foglio1!$A$1:$IV$65536,19,FALSE)," ")</f>
        <v>Free rotation CCW</v>
      </c>
      <c r="Z51" s="67" t="str">
        <f>IF($A51&gt;0,VLOOKUP($A51,[1]Foglio1!$A$1:$IV$65536,20,FALSE)," ")</f>
        <v>-</v>
      </c>
      <c r="AA51" s="67" t="str">
        <f>IF($A51&gt;0,VLOOKUP($A51,[1]Foglio1!$A$1:$IV$65536,21,FALSE)," ")</f>
        <v>T</v>
      </c>
      <c r="AB51" s="67" t="str">
        <f>IF($A51&gt;0,VLOOKUP($A51,[1]Foglio1!$A$1:$IV$65536,22,FALSE)," ")</f>
        <v>SS</v>
      </c>
      <c r="AC51" s="67"/>
      <c r="AD51" s="67"/>
      <c r="AE51" s="67" t="str">
        <f>IF($A51&gt;0,VLOOKUP($A51,[1]Foglio1!$A$1:$IV$65536,23,FALSE)," ")</f>
        <v>-</v>
      </c>
      <c r="AF51" s="67" t="str">
        <f>IF($A51&gt;0,VLOOKUP($A51,[1]Foglio1!$A$1:$IV$65536,24,FALSE)," ")</f>
        <v>CLP 220 (-15/+40°C)</v>
      </c>
      <c r="AG51" s="67" t="str">
        <f>IF($A51&gt;0,VLOOKUP($A51,[1]Foglio1!$A$1:$IV$65536,25,FALSE)," ")</f>
        <v>KH97/T DRN160L4 /RS /TF</v>
      </c>
      <c r="AH51" s="67" t="str">
        <f>IF($A51&gt;0,VLOOKUP($A51,[1]Foglio1!$A$1:$IV$65536,26,FALSE)," ")</f>
        <v>SEW</v>
      </c>
      <c r="AI51" s="67" t="str">
        <f t="shared" ref="AI51:AI52" si="27">IF(X51="YES", "YES",IF(A51="","-","NO"))</f>
        <v>NO</v>
      </c>
      <c r="AJ51" s="67">
        <f>IF($A51&gt;0,VLOOKUP($A51,[1]Foglio1!$A$1:$IV$65536,27,FALSE)," ")</f>
        <v>0</v>
      </c>
      <c r="AK51" s="67" t="str">
        <f>IF($A51&gt;0,VLOOKUP($A51,[1]Foglio1!$A$1:$IV$65536,28,FALSE)," ")</f>
        <v>-</v>
      </c>
      <c r="AL51" s="27">
        <f>IF($A51&gt;0,VLOOKUP($A51,[1]Foglio1!$A$1:$IV$65536,31,FALSE)," ")</f>
        <v>0</v>
      </c>
      <c r="AM51" s="64" t="str">
        <f>IF($A51&gt;0,VLOOKUP($A51,[1]Foglio1!$A$1:$IV$65536,34,FALSE)," ")</f>
        <v>KH97T-DRN160L4A270-X</v>
      </c>
      <c r="AN51" s="76" t="s">
        <v>444</v>
      </c>
    </row>
    <row r="52" spans="1:40" s="8" customFormat="1" ht="18" customHeight="1" x14ac:dyDescent="0.2">
      <c r="A52" s="50" t="s">
        <v>3155</v>
      </c>
      <c r="B52" s="41" t="s">
        <v>3127</v>
      </c>
      <c r="C52" s="42" t="s">
        <v>3110</v>
      </c>
      <c r="D52" s="43">
        <v>1</v>
      </c>
      <c r="E52" s="65" t="str">
        <f>IF($A52&gt;0,VLOOKUP($A52,[1]Foglio1!$A$1:$IV$65536,2,FALSE)," ")</f>
        <v>MR</v>
      </c>
      <c r="F52" s="66">
        <f>IF($A52&gt;0,VLOOKUP($A52,[1]Foglio1!$A$1:$IV$65536,3,FALSE)," ")</f>
        <v>0.75</v>
      </c>
      <c r="G52" s="67">
        <f t="shared" si="26"/>
        <v>162</v>
      </c>
      <c r="H52" s="67">
        <f>IF($A52&gt;0,VLOOKUP($A52,[1]Foglio1!$A$1:$IV$65536,4,FALSE)," ")</f>
        <v>162</v>
      </c>
      <c r="I52" s="67" t="str">
        <f>IF($A52&gt;0,VLOOKUP($A52,[1]Foglio1!$A$1:$IV$65536,5,FALSE)," ")</f>
        <v>KA37</v>
      </c>
      <c r="J52" s="67">
        <f>IF($A52&gt;0,VLOOKUP($A52,[1]Foglio1!$A$1:$IV$65536,6,FALSE)," ")</f>
        <v>44</v>
      </c>
      <c r="K52" s="67">
        <f>IF($A52&gt;0,VLOOKUP($A52,[1]Foglio1!$A$1:$IV$65536,7,FALSE)," ")</f>
        <v>8.91</v>
      </c>
      <c r="L52" s="67">
        <f>IF($A52&gt;0,VLOOKUP($A52,[1]Foglio1!$A$1:$IV$65536,8,FALSE)," ")</f>
        <v>3.6</v>
      </c>
      <c r="M52" s="67" t="str">
        <f>IF($A52&gt;0,VLOOKUP($A52,[1]Foglio1!$A$1:$IV$65536,9,FALSE)," ")</f>
        <v>From M3B to M2B -35°</v>
      </c>
      <c r="N52" s="67" t="str">
        <f>IF($A52&gt;0,VLOOKUP($A52,[1]Foglio1!$A$1:$IV$65536,10,FALSE)," ")</f>
        <v>IE3</v>
      </c>
      <c r="O52" s="67" t="str">
        <f>IF($A52&gt;0,VLOOKUP($A52,[1]Foglio1!$A$1:$IV$65536,11,FALSE)," ")</f>
        <v>230/400</v>
      </c>
      <c r="P52" s="68"/>
      <c r="Q52" s="68"/>
      <c r="R52" s="67">
        <f>IF($A52&gt;0,VLOOKUP($A52,[1]Foglio1!$A$1:$IV$65536,12,FALSE)," ")</f>
        <v>50</v>
      </c>
      <c r="S52" s="67" t="str">
        <f>IF($A52&gt;0,VLOOKUP($A52,[1]Foglio1!$A$1:$IV$65536,13,FALSE)," ")</f>
        <v>3,05/1,75</v>
      </c>
      <c r="T52" s="67">
        <f>IF($A52&gt;0,VLOOKUP($A52,[1]Foglio1!$A$1:$IV$65536,14,FALSE)," ")</f>
        <v>55</v>
      </c>
      <c r="U52" s="67" t="str">
        <f>IF($A52&gt;0,VLOOKUP($A52,[1]Foglio1!$A$1:$IV$65536,15,FALSE)," ")</f>
        <v>155(F)</v>
      </c>
      <c r="V52" s="67" t="str">
        <f>IF($A52&gt;0,VLOOKUP($A52,[1]Foglio1!$A$1:$IV$65536,16,FALSE)," ")</f>
        <v>270°</v>
      </c>
      <c r="W52" s="67" t="str">
        <f>IF($A52&gt;0,VLOOKUP($A52,[1]Foglio1!$A$1:$IV$65536,17,FALSE)," ")</f>
        <v>TF</v>
      </c>
      <c r="X52" s="67" t="str">
        <f>IF($A52&gt;0,IF(VLOOKUP($A52,[1]Foglio1!$A$1:$IV$65536,18,FALSE)&lt;&gt;"-","YES","NO")," ")</f>
        <v>NO</v>
      </c>
      <c r="Y52" s="67" t="str">
        <f>IF($A52&gt;0,VLOOKUP($A52,[1]Foglio1!$A$1:$IV$65536,19,FALSE)," ")</f>
        <v>-</v>
      </c>
      <c r="Z52" s="67" t="str">
        <f>IF($A52&gt;0,VLOOKUP($A52,[1]Foglio1!$A$1:$IV$65536,20,FALSE)," ")</f>
        <v>-</v>
      </c>
      <c r="AA52" s="67" t="str">
        <f>IF($A52&gt;0,VLOOKUP($A52,[1]Foglio1!$A$1:$IV$65536,21,FALSE)," ")</f>
        <v>T</v>
      </c>
      <c r="AB52" s="67" t="str">
        <f>IF($A52&gt;0,VLOOKUP($A52,[1]Foglio1!$A$1:$IV$65536,22,FALSE)," ")</f>
        <v>D</v>
      </c>
      <c r="AC52" s="67"/>
      <c r="AD52" s="67"/>
      <c r="AE52" s="67" t="str">
        <f>IF($A52&gt;0,VLOOKUP($A52,[1]Foglio1!$A$1:$IV$65536,23,FALSE)," ")</f>
        <v>-</v>
      </c>
      <c r="AF52" s="67" t="str">
        <f>IF($A52&gt;0,VLOOKUP($A52,[1]Foglio1!$A$1:$IV$65536,24,FALSE)," ")</f>
        <v>CLP 220 (-15/+40°C)</v>
      </c>
      <c r="AG52" s="67" t="str">
        <f>IF($A52&gt;0,VLOOKUP($A52,[1]Foglio1!$A$1:$IV$65536,25,FALSE)," ")</f>
        <v>KA37/T DRN80M4 /TF</v>
      </c>
      <c r="AH52" s="67" t="str">
        <f>IF($A52&gt;0,VLOOKUP($A52,[1]Foglio1!$A$1:$IV$65536,26,FALSE)," ")</f>
        <v>SEW</v>
      </c>
      <c r="AI52" s="67" t="str">
        <f t="shared" si="27"/>
        <v>NO</v>
      </c>
      <c r="AJ52" s="67">
        <f>IF($A52&gt;0,VLOOKUP($A52,[1]Foglio1!$A$1:$IV$65536,27,FALSE)," ")</f>
        <v>0</v>
      </c>
      <c r="AK52" s="67" t="str">
        <f>IF($A52&gt;0,VLOOKUP($A52,[1]Foglio1!$A$1:$IV$65536,28,FALSE)," ")</f>
        <v>-</v>
      </c>
      <c r="AL52" s="27">
        <f>IF($A52&gt;0,VLOOKUP($A52,[1]Foglio1!$A$1:$IV$65536,31,FALSE)," ")</f>
        <v>0</v>
      </c>
      <c r="AM52" s="64" t="str">
        <f>IF($A52&gt;0,VLOOKUP($A52,[1]Foglio1!$A$1:$IV$65536,34,FALSE)," ")</f>
        <v>KA37T-DRN80M4B270-X</v>
      </c>
      <c r="AN52" s="76" t="s">
        <v>444</v>
      </c>
    </row>
    <row r="53" spans="1:40" s="8" customFormat="1" ht="18" customHeight="1" x14ac:dyDescent="0.2">
      <c r="A53" s="50"/>
      <c r="B53" s="41"/>
      <c r="C53" s="42"/>
      <c r="D53" s="43"/>
      <c r="E53" s="65"/>
      <c r="F53" s="66"/>
      <c r="G53" s="67"/>
      <c r="H53" s="67"/>
      <c r="I53" s="67"/>
      <c r="J53" s="67"/>
      <c r="K53" s="67"/>
      <c r="L53" s="67"/>
      <c r="M53" s="67"/>
      <c r="N53" s="67"/>
      <c r="O53" s="67"/>
      <c r="P53" s="68"/>
      <c r="Q53" s="68"/>
      <c r="R53" s="67"/>
      <c r="S53" s="67"/>
      <c r="T53" s="67"/>
      <c r="U53" s="67"/>
      <c r="V53" s="67"/>
      <c r="W53" s="67"/>
      <c r="X53" s="67"/>
      <c r="Y53" s="67"/>
      <c r="Z53" s="67"/>
      <c r="AA53" s="67"/>
      <c r="AB53" s="67"/>
      <c r="AC53" s="67"/>
      <c r="AD53" s="67"/>
      <c r="AE53" s="67"/>
      <c r="AF53" s="67"/>
      <c r="AG53" s="67"/>
      <c r="AH53" s="67"/>
      <c r="AI53" s="67"/>
      <c r="AJ53" s="67"/>
      <c r="AK53" s="67"/>
      <c r="AL53" s="27"/>
      <c r="AM53" s="75"/>
    </row>
    <row r="54" spans="1:40" s="8" customFormat="1" ht="18" customHeight="1" x14ac:dyDescent="0.2">
      <c r="A54" s="50" t="s">
        <v>3156</v>
      </c>
      <c r="B54" s="41" t="s">
        <v>3128</v>
      </c>
      <c r="C54" s="42" t="s">
        <v>3111</v>
      </c>
      <c r="D54" s="43">
        <v>1</v>
      </c>
      <c r="E54" s="65" t="str">
        <f>IF($A54&gt;0,VLOOKUP($A54,[1]Foglio1!$A$1:$IV$65536,2,FALSE)," ")</f>
        <v>MR</v>
      </c>
      <c r="F54" s="66">
        <f>IF($A54&gt;0,VLOOKUP($A54,[1]Foglio1!$A$1:$IV$65536,3,FALSE)," ")</f>
        <v>9.1999999999999993</v>
      </c>
      <c r="G54" s="67">
        <f t="shared" ref="G54:G55" si="28">H54*R54/50</f>
        <v>59</v>
      </c>
      <c r="H54" s="67">
        <f>IF($A54&gt;0,VLOOKUP($A54,[1]Foglio1!$A$1:$IV$65536,4,FALSE)," ")</f>
        <v>59</v>
      </c>
      <c r="I54" s="67" t="str">
        <f>IF($A54&gt;0,VLOOKUP($A54,[1]Foglio1!$A$1:$IV$65536,5,FALSE)," ")</f>
        <v>KH87</v>
      </c>
      <c r="J54" s="67">
        <f>IF($A54&gt;0,VLOOKUP($A54,[1]Foglio1!$A$1:$IV$65536,6,FALSE)," ")</f>
        <v>1480</v>
      </c>
      <c r="K54" s="67">
        <f>IF($A54&gt;0,VLOOKUP($A54,[1]Foglio1!$A$1:$IV$65536,7,FALSE)," ")</f>
        <v>24.92</v>
      </c>
      <c r="L54" s="67">
        <f>IF($A54&gt;0,VLOOKUP($A54,[1]Foglio1!$A$1:$IV$65536,8,FALSE)," ")</f>
        <v>1.7</v>
      </c>
      <c r="M54" s="67" t="str">
        <f>IF($A54&gt;0,VLOOKUP($A54,[1]Foglio1!$A$1:$IV$65536,9,FALSE)," ")</f>
        <v>From M1B to M4B - 70°</v>
      </c>
      <c r="N54" s="67" t="str">
        <f>IF($A54&gt;0,VLOOKUP($A54,[1]Foglio1!$A$1:$IV$65536,10,FALSE)," ")</f>
        <v>IE3</v>
      </c>
      <c r="O54" s="67" t="str">
        <f>IF($A54&gt;0,VLOOKUP($A54,[1]Foglio1!$A$1:$IV$65536,11,FALSE)," ")</f>
        <v>230/400</v>
      </c>
      <c r="P54" s="68"/>
      <c r="Q54" s="68"/>
      <c r="R54" s="67">
        <f>IF($A54&gt;0,VLOOKUP($A54,[1]Foglio1!$A$1:$IV$65536,12,FALSE)," ")</f>
        <v>50</v>
      </c>
      <c r="S54" s="67" t="str">
        <f>IF($A54&gt;0,VLOOKUP($A54,[1]Foglio1!$A$1:$IV$65536,13,FALSE)," ")</f>
        <v>32,5/18,7</v>
      </c>
      <c r="T54" s="67">
        <f>IF($A54&gt;0,VLOOKUP($A54,[1]Foglio1!$A$1:$IV$65536,14,FALSE)," ")</f>
        <v>55</v>
      </c>
      <c r="U54" s="67" t="str">
        <f>IF($A54&gt;0,VLOOKUP($A54,[1]Foglio1!$A$1:$IV$65536,15,FALSE)," ")</f>
        <v>155(F)</v>
      </c>
      <c r="V54" s="67" t="str">
        <f>IF($A54&gt;0,VLOOKUP($A54,[1]Foglio1!$A$1:$IV$65536,16,FALSE)," ")</f>
        <v>270°</v>
      </c>
      <c r="W54" s="67" t="str">
        <f>IF($A54&gt;0,VLOOKUP($A54,[1]Foglio1!$A$1:$IV$65536,17,FALSE)," ")</f>
        <v>TF</v>
      </c>
      <c r="X54" s="67" t="str">
        <f>IF($A54&gt;0,IF(VLOOKUP($A54,[1]Foglio1!$A$1:$IV$65536,18,FALSE)&lt;&gt;"-","YES","NO")," ")</f>
        <v>NO</v>
      </c>
      <c r="Y54" s="67" t="str">
        <f>IF($A54&gt;0,VLOOKUP($A54,[1]Foglio1!$A$1:$IV$65536,19,FALSE)," ")</f>
        <v>Free rotation CW</v>
      </c>
      <c r="Z54" s="67" t="str">
        <f>IF($A54&gt;0,VLOOKUP($A54,[1]Foglio1!$A$1:$IV$65536,20,FALSE)," ")</f>
        <v>-</v>
      </c>
      <c r="AA54" s="67" t="str">
        <f>IF($A54&gt;0,VLOOKUP($A54,[1]Foglio1!$A$1:$IV$65536,21,FALSE)," ")</f>
        <v>T</v>
      </c>
      <c r="AB54" s="67" t="str">
        <f>IF($A54&gt;0,VLOOKUP($A54,[1]Foglio1!$A$1:$IV$65536,22,FALSE)," ")</f>
        <v>SS</v>
      </c>
      <c r="AC54" s="67"/>
      <c r="AD54" s="67"/>
      <c r="AE54" s="67" t="str">
        <f>IF($A54&gt;0,VLOOKUP($A54,[1]Foglio1!$A$1:$IV$65536,23,FALSE)," ")</f>
        <v>-</v>
      </c>
      <c r="AF54" s="67" t="str">
        <f>IF($A54&gt;0,VLOOKUP($A54,[1]Foglio1!$A$1:$IV$65536,24,FALSE)," ")</f>
        <v>CLP 220 (-15/+40°C)</v>
      </c>
      <c r="AG54" s="67" t="str">
        <f>IF($A54&gt;0,VLOOKUP($A54,[1]Foglio1!$A$1:$IV$65536,25,FALSE)," ")</f>
        <v>KH87/T DRN132L4 /RS /TF</v>
      </c>
      <c r="AH54" s="67" t="str">
        <f>IF($A54&gt;0,VLOOKUP($A54,[1]Foglio1!$A$1:$IV$65536,26,FALSE)," ")</f>
        <v>SEW</v>
      </c>
      <c r="AI54" s="67" t="str">
        <f t="shared" ref="AI54:AI55" si="29">IF(X54="YES", "YES",IF(A54="","-","NO"))</f>
        <v>NO</v>
      </c>
      <c r="AJ54" s="67">
        <f>IF($A54&gt;0,VLOOKUP($A54,[1]Foglio1!$A$1:$IV$65536,27,FALSE)," ")</f>
        <v>0</v>
      </c>
      <c r="AK54" s="67" t="str">
        <f>IF($A54&gt;0,VLOOKUP($A54,[1]Foglio1!$A$1:$IV$65536,28,FALSE)," ")</f>
        <v>-</v>
      </c>
      <c r="AL54" s="27">
        <f>IF($A54&gt;0,VLOOKUP($A54,[1]Foglio1!$A$1:$IV$65536,31,FALSE)," ")</f>
        <v>0</v>
      </c>
      <c r="AM54" s="64" t="str">
        <f>IF($A54&gt;0,VLOOKUP($A54,[1]Foglio1!$A$1:$IV$65536,34,FALSE)," ")</f>
        <v>KH87T-DRN132L4B270-X</v>
      </c>
      <c r="AN54" s="76" t="s">
        <v>444</v>
      </c>
    </row>
    <row r="55" spans="1:40" s="8" customFormat="1" ht="18" customHeight="1" x14ac:dyDescent="0.2">
      <c r="A55" s="50" t="s">
        <v>3157</v>
      </c>
      <c r="B55" s="41" t="s">
        <v>3128</v>
      </c>
      <c r="C55" s="42" t="s">
        <v>3111</v>
      </c>
      <c r="D55" s="43">
        <v>1</v>
      </c>
      <c r="E55" s="65" t="str">
        <f>IF($A55&gt;0,VLOOKUP($A55,[1]Foglio1!$A$1:$IV$65536,2,FALSE)," ")</f>
        <v>MR</v>
      </c>
      <c r="F55" s="66">
        <f>IF($A55&gt;0,VLOOKUP($A55,[1]Foglio1!$A$1:$IV$65536,3,FALSE)," ")</f>
        <v>0.75</v>
      </c>
      <c r="G55" s="67">
        <f t="shared" si="28"/>
        <v>162</v>
      </c>
      <c r="H55" s="67">
        <f>IF($A55&gt;0,VLOOKUP($A55,[1]Foglio1!$A$1:$IV$65536,4,FALSE)," ")</f>
        <v>162</v>
      </c>
      <c r="I55" s="67" t="str">
        <f>IF($A55&gt;0,VLOOKUP($A55,[1]Foglio1!$A$1:$IV$65536,5,FALSE)," ")</f>
        <v>KA37</v>
      </c>
      <c r="J55" s="67">
        <f>IF($A55&gt;0,VLOOKUP($A55,[1]Foglio1!$A$1:$IV$65536,6,FALSE)," ")</f>
        <v>44</v>
      </c>
      <c r="K55" s="67">
        <f>IF($A55&gt;0,VLOOKUP($A55,[1]Foglio1!$A$1:$IV$65536,7,FALSE)," ")</f>
        <v>8.91</v>
      </c>
      <c r="L55" s="67">
        <f>IF($A55&gt;0,VLOOKUP($A55,[1]Foglio1!$A$1:$IV$65536,8,FALSE)," ")</f>
        <v>3.6</v>
      </c>
      <c r="M55" s="67" t="str">
        <f>IF($A55&gt;0,VLOOKUP($A55,[1]Foglio1!$A$1:$IV$65536,9,FALSE)," ")</f>
        <v>From M3A to M2A -35°</v>
      </c>
      <c r="N55" s="67" t="str">
        <f>IF($A55&gt;0,VLOOKUP($A55,[1]Foglio1!$A$1:$IV$65536,10,FALSE)," ")</f>
        <v>IE3</v>
      </c>
      <c r="O55" s="67" t="str">
        <f>IF($A55&gt;0,VLOOKUP($A55,[1]Foglio1!$A$1:$IV$65536,11,FALSE)," ")</f>
        <v>230/400</v>
      </c>
      <c r="P55" s="68"/>
      <c r="Q55" s="68"/>
      <c r="R55" s="67">
        <f>IF($A55&gt;0,VLOOKUP($A55,[1]Foglio1!$A$1:$IV$65536,12,FALSE)," ")</f>
        <v>50</v>
      </c>
      <c r="S55" s="67" t="str">
        <f>IF($A55&gt;0,VLOOKUP($A55,[1]Foglio1!$A$1:$IV$65536,13,FALSE)," ")</f>
        <v>3,05/1,75</v>
      </c>
      <c r="T55" s="67">
        <f>IF($A55&gt;0,VLOOKUP($A55,[1]Foglio1!$A$1:$IV$65536,14,FALSE)," ")</f>
        <v>55</v>
      </c>
      <c r="U55" s="67" t="str">
        <f>IF($A55&gt;0,VLOOKUP($A55,[1]Foglio1!$A$1:$IV$65536,15,FALSE)," ")</f>
        <v>155(F)</v>
      </c>
      <c r="V55" s="67" t="str">
        <f>IF($A55&gt;0,VLOOKUP($A55,[1]Foglio1!$A$1:$IV$65536,16,FALSE)," ")</f>
        <v>270°</v>
      </c>
      <c r="W55" s="67" t="str">
        <f>IF($A55&gt;0,VLOOKUP($A55,[1]Foglio1!$A$1:$IV$65536,17,FALSE)," ")</f>
        <v>TF</v>
      </c>
      <c r="X55" s="67" t="str">
        <f>IF($A55&gt;0,IF(VLOOKUP($A55,[1]Foglio1!$A$1:$IV$65536,18,FALSE)&lt;&gt;"-","YES","NO")," ")</f>
        <v>NO</v>
      </c>
      <c r="Y55" s="67" t="str">
        <f>IF($A55&gt;0,VLOOKUP($A55,[1]Foglio1!$A$1:$IV$65536,19,FALSE)," ")</f>
        <v>-</v>
      </c>
      <c r="Z55" s="67" t="str">
        <f>IF($A55&gt;0,VLOOKUP($A55,[1]Foglio1!$A$1:$IV$65536,20,FALSE)," ")</f>
        <v>-</v>
      </c>
      <c r="AA55" s="67" t="str">
        <f>IF($A55&gt;0,VLOOKUP($A55,[1]Foglio1!$A$1:$IV$65536,21,FALSE)," ")</f>
        <v>T</v>
      </c>
      <c r="AB55" s="67" t="str">
        <f>IF($A55&gt;0,VLOOKUP($A55,[1]Foglio1!$A$1:$IV$65536,22,FALSE)," ")</f>
        <v>D</v>
      </c>
      <c r="AC55" s="67"/>
      <c r="AD55" s="67"/>
      <c r="AE55" s="67" t="str">
        <f>IF($A55&gt;0,VLOOKUP($A55,[1]Foglio1!$A$1:$IV$65536,23,FALSE)," ")</f>
        <v>-</v>
      </c>
      <c r="AF55" s="67" t="str">
        <f>IF($A55&gt;0,VLOOKUP($A55,[1]Foglio1!$A$1:$IV$65536,24,FALSE)," ")</f>
        <v>CLP 220 (-15/+40°C)</v>
      </c>
      <c r="AG55" s="67" t="str">
        <f>IF($A55&gt;0,VLOOKUP($A55,[1]Foglio1!$A$1:$IV$65536,25,FALSE)," ")</f>
        <v>KA37/T DRN80M4 /TF</v>
      </c>
      <c r="AH55" s="67" t="str">
        <f>IF($A55&gt;0,VLOOKUP($A55,[1]Foglio1!$A$1:$IV$65536,26,FALSE)," ")</f>
        <v>SEW</v>
      </c>
      <c r="AI55" s="67" t="str">
        <f t="shared" si="29"/>
        <v>NO</v>
      </c>
      <c r="AJ55" s="67">
        <f>IF($A55&gt;0,VLOOKUP($A55,[1]Foglio1!$A$1:$IV$65536,27,FALSE)," ")</f>
        <v>0</v>
      </c>
      <c r="AK55" s="67" t="str">
        <f>IF($A55&gt;0,VLOOKUP($A55,[1]Foglio1!$A$1:$IV$65536,28,FALSE)," ")</f>
        <v>-</v>
      </c>
      <c r="AL55" s="27">
        <f>IF($A55&gt;0,VLOOKUP($A55,[1]Foglio1!$A$1:$IV$65536,31,FALSE)," ")</f>
        <v>0</v>
      </c>
      <c r="AM55" s="64" t="str">
        <f>IF($A55&gt;0,VLOOKUP($A55,[1]Foglio1!$A$1:$IV$65536,34,FALSE)," ")</f>
        <v>KA37T-DRN80M4A270-X</v>
      </c>
      <c r="AN55" s="76" t="s">
        <v>444</v>
      </c>
    </row>
    <row r="56" spans="1:40" s="8" customFormat="1" ht="18" customHeight="1" x14ac:dyDescent="0.2">
      <c r="A56" s="50"/>
      <c r="B56" s="41"/>
      <c r="C56" s="42"/>
      <c r="D56" s="43"/>
      <c r="E56" s="65"/>
      <c r="F56" s="66"/>
      <c r="G56" s="67"/>
      <c r="H56" s="67"/>
      <c r="I56" s="67"/>
      <c r="J56" s="67"/>
      <c r="K56" s="67"/>
      <c r="L56" s="67"/>
      <c r="M56" s="67"/>
      <c r="N56" s="67"/>
      <c r="O56" s="67"/>
      <c r="P56" s="68"/>
      <c r="Q56" s="68"/>
      <c r="R56" s="67"/>
      <c r="S56" s="67"/>
      <c r="T56" s="67"/>
      <c r="U56" s="67"/>
      <c r="V56" s="67"/>
      <c r="W56" s="67"/>
      <c r="X56" s="67"/>
      <c r="Y56" s="67"/>
      <c r="Z56" s="67"/>
      <c r="AA56" s="67"/>
      <c r="AB56" s="67"/>
      <c r="AC56" s="67"/>
      <c r="AD56" s="67"/>
      <c r="AE56" s="67"/>
      <c r="AF56" s="67"/>
      <c r="AG56" s="67"/>
      <c r="AH56" s="67"/>
      <c r="AI56" s="67"/>
      <c r="AJ56" s="67"/>
      <c r="AK56" s="67"/>
      <c r="AL56" s="27"/>
      <c r="AM56" s="64"/>
    </row>
    <row r="57" spans="1:40" s="8" customFormat="1" ht="18" customHeight="1" x14ac:dyDescent="0.2">
      <c r="A57" s="50" t="s">
        <v>3158</v>
      </c>
      <c r="B57" s="41" t="s">
        <v>3129</v>
      </c>
      <c r="C57" s="42" t="s">
        <v>3112</v>
      </c>
      <c r="D57" s="43">
        <v>1</v>
      </c>
      <c r="E57" s="65" t="str">
        <f>IF($A57&gt;0,VLOOKUP($A57,[1]Foglio1!$A$1:$IV$65536,2,FALSE)," ")</f>
        <v>MR</v>
      </c>
      <c r="F57" s="66">
        <f>IF($A57&gt;0,VLOOKUP($A57,[1]Foglio1!$A$1:$IV$65536,3,FALSE)," ")</f>
        <v>11</v>
      </c>
      <c r="G57" s="67">
        <f t="shared" ref="G57" si="30">H57*R57/50</f>
        <v>59</v>
      </c>
      <c r="H57" s="67">
        <f>IF($A57&gt;0,VLOOKUP($A57,[1]Foglio1!$A$1:$IV$65536,4,FALSE)," ")</f>
        <v>59</v>
      </c>
      <c r="I57" s="67" t="str">
        <f>IF($A57&gt;0,VLOOKUP($A57,[1]Foglio1!$A$1:$IV$65536,5,FALSE)," ")</f>
        <v>R97</v>
      </c>
      <c r="J57" s="67">
        <f>IF($A57&gt;0,VLOOKUP($A57,[1]Foglio1!$A$1:$IV$65536,6,FALSE)," ")</f>
        <v>1790</v>
      </c>
      <c r="K57" s="67">
        <f>IF($A57&gt;0,VLOOKUP($A57,[1]Foglio1!$A$1:$IV$65536,7,FALSE)," ")</f>
        <v>25.03</v>
      </c>
      <c r="L57" s="67">
        <f>IF($A57&gt;0,VLOOKUP($A57,[1]Foglio1!$A$1:$IV$65536,8,FALSE)," ")</f>
        <v>1.6</v>
      </c>
      <c r="M57" s="67" t="str">
        <f>IF($A57&gt;0,VLOOKUP($A57,[1]Foglio1!$A$1:$IV$65536,9,FALSE)," ")</f>
        <v>From M1 to M2 - 10°</v>
      </c>
      <c r="N57" s="67" t="str">
        <f>IF($A57&gt;0,VLOOKUP($A57,[1]Foglio1!$A$1:$IV$65536,10,FALSE)," ")</f>
        <v>IE3</v>
      </c>
      <c r="O57" s="67" t="str">
        <f>IF($A57&gt;0,VLOOKUP($A57,[1]Foglio1!$A$1:$IV$65536,11,FALSE)," ")</f>
        <v>230/400</v>
      </c>
      <c r="P57" s="68"/>
      <c r="Q57" s="68"/>
      <c r="R57" s="67">
        <f>IF($A57&gt;0,VLOOKUP($A57,[1]Foglio1!$A$1:$IV$65536,12,FALSE)," ")</f>
        <v>50</v>
      </c>
      <c r="S57" s="67" t="str">
        <f>IF($A57&gt;0,VLOOKUP($A57,[1]Foglio1!$A$1:$IV$65536,13,FALSE)," ")</f>
        <v>36,5/21</v>
      </c>
      <c r="T57" s="67">
        <f>IF($A57&gt;0,VLOOKUP($A57,[1]Foglio1!$A$1:$IV$65536,14,FALSE)," ")</f>
        <v>55</v>
      </c>
      <c r="U57" s="67" t="str">
        <f>IF($A57&gt;0,VLOOKUP($A57,[1]Foglio1!$A$1:$IV$65536,15,FALSE)," ")</f>
        <v>155(F)</v>
      </c>
      <c r="V57" s="67" t="str">
        <f>IF($A57&gt;0,VLOOKUP($A57,[1]Foglio1!$A$1:$IV$65536,16,FALSE)," ")</f>
        <v>270°</v>
      </c>
      <c r="W57" s="67" t="str">
        <f>IF($A57&gt;0,VLOOKUP($A57,[1]Foglio1!$A$1:$IV$65536,17,FALSE)," ")</f>
        <v>TF</v>
      </c>
      <c r="X57" s="67" t="str">
        <f>IF($A57&gt;0,IF(VLOOKUP($A57,[1]Foglio1!$A$1:$IV$65536,18,FALSE)&lt;&gt;"-","YES","NO")," ")</f>
        <v>NO</v>
      </c>
      <c r="Y57" s="67" t="str">
        <f>IF($A57&gt;0,VLOOKUP($A57,[1]Foglio1!$A$1:$IV$65536,19,FALSE)," ")</f>
        <v>-</v>
      </c>
      <c r="Z57" s="67" t="str">
        <f>IF($A57&gt;0,VLOOKUP($A57,[1]Foglio1!$A$1:$IV$65536,20,FALSE)," ")</f>
        <v>-</v>
      </c>
      <c r="AA57" s="67" t="str">
        <f>IF($A57&gt;0,VLOOKUP($A57,[1]Foglio1!$A$1:$IV$65536,21,FALSE)," ")</f>
        <v>-</v>
      </c>
      <c r="AB57" s="67" t="str">
        <f>IF($A57&gt;0,VLOOKUP($A57,[1]Foglio1!$A$1:$IV$65536,22,FALSE)," ")</f>
        <v>D</v>
      </c>
      <c r="AC57" s="67"/>
      <c r="AD57" s="67"/>
      <c r="AE57" s="67" t="str">
        <f>IF($A57&gt;0,VLOOKUP($A57,[1]Foglio1!$A$1:$IV$65536,23,FALSE)," ")</f>
        <v>-</v>
      </c>
      <c r="AF57" s="67" t="str">
        <f>IF($A57&gt;0,VLOOKUP($A57,[1]Foglio1!$A$1:$IV$65536,24,FALSE)," ")</f>
        <v>CLP 220 (-15/+40°C)</v>
      </c>
      <c r="AG57" s="67" t="str">
        <f>IF($A57&gt;0,VLOOKUP($A57,[1]Foglio1!$A$1:$IV$65536,25,FALSE)," ")</f>
        <v>R97DRN160M4 /TF</v>
      </c>
      <c r="AH57" s="67" t="str">
        <f>IF($A57&gt;0,VLOOKUP($A57,[1]Foglio1!$A$1:$IV$65536,26,FALSE)," ")</f>
        <v>SEW</v>
      </c>
      <c r="AI57" s="67" t="str">
        <f t="shared" ref="AI57" si="31">IF(X57="YES", "YES",IF(A57="","-","NO"))</f>
        <v>NO</v>
      </c>
      <c r="AJ57" s="67">
        <f>IF($A57&gt;0,VLOOKUP($A57,[1]Foglio1!$A$1:$IV$65536,27,FALSE)," ")</f>
        <v>0</v>
      </c>
      <c r="AK57" s="67" t="str">
        <f>IF($A57&gt;0,VLOOKUP($A57,[1]Foglio1!$A$1:$IV$65536,28,FALSE)," ")</f>
        <v>-</v>
      </c>
      <c r="AL57" s="27">
        <f>IF($A57&gt;0,VLOOKUP($A57,[1]Foglio1!$A$1:$IV$65536,31,FALSE)," ")</f>
        <v>0</v>
      </c>
      <c r="AM57" s="64" t="str">
        <f>IF($A57&gt;0,VLOOKUP($A57,[1]Foglio1!$A$1:$IV$65536,34,FALSE)," ")</f>
        <v>R97-DRN160M4270-X</v>
      </c>
      <c r="AN57" s="76" t="s">
        <v>444</v>
      </c>
    </row>
    <row r="58" spans="1:40" s="8" customFormat="1" ht="18" customHeight="1" x14ac:dyDescent="0.2">
      <c r="A58" s="50"/>
      <c r="B58" s="41"/>
      <c r="C58" s="42"/>
      <c r="D58" s="43"/>
      <c r="E58" s="65"/>
      <c r="F58" s="66"/>
      <c r="G58" s="67"/>
      <c r="H58" s="67"/>
      <c r="I58" s="67"/>
      <c r="J58" s="67"/>
      <c r="K58" s="67"/>
      <c r="L58" s="67"/>
      <c r="M58" s="67"/>
      <c r="N58" s="67"/>
      <c r="O58" s="67"/>
      <c r="P58" s="68"/>
      <c r="Q58" s="68"/>
      <c r="R58" s="67"/>
      <c r="S58" s="67"/>
      <c r="T58" s="67"/>
      <c r="U58" s="67"/>
      <c r="V58" s="67"/>
      <c r="W58" s="67"/>
      <c r="X58" s="67"/>
      <c r="Y58" s="67"/>
      <c r="Z58" s="67"/>
      <c r="AA58" s="67"/>
      <c r="AB58" s="67"/>
      <c r="AC58" s="67"/>
      <c r="AD58" s="67"/>
      <c r="AE58" s="67"/>
      <c r="AF58" s="67"/>
      <c r="AG58" s="67"/>
      <c r="AH58" s="67"/>
      <c r="AI58" s="67"/>
      <c r="AJ58" s="67"/>
      <c r="AK58" s="67"/>
      <c r="AL58" s="27"/>
      <c r="AM58" s="64"/>
    </row>
    <row r="59" spans="1:40" s="8" customFormat="1" ht="18" customHeight="1" x14ac:dyDescent="0.2">
      <c r="A59" s="50" t="s">
        <v>3093</v>
      </c>
      <c r="B59" s="41" t="s">
        <v>3130</v>
      </c>
      <c r="C59" s="42" t="s">
        <v>3113</v>
      </c>
      <c r="D59" s="43">
        <v>8</v>
      </c>
      <c r="E59" s="65" t="str">
        <f>IF($A59&gt;0,VLOOKUP($A59,[1]Foglio1!$A$1:$IV$65536,2,FALSE)," ")</f>
        <v>MR</v>
      </c>
      <c r="F59" s="66">
        <f>IF($A59&gt;0,VLOOKUP($A59,[1]Foglio1!$A$1:$IV$65536,3,FALSE)," ")</f>
        <v>7.5</v>
      </c>
      <c r="G59" s="67">
        <f t="shared" ref="G59" si="32">H59*R59/50</f>
        <v>10</v>
      </c>
      <c r="H59" s="67">
        <f>IF($A59&gt;0,VLOOKUP($A59,[1]Foglio1!$A$1:$IV$65536,4,FALSE)," ")</f>
        <v>10</v>
      </c>
      <c r="I59" s="67" t="str">
        <f>IF($A59&gt;0,VLOOKUP($A59,[1]Foglio1!$A$1:$IV$65536,5,FALSE)," ")</f>
        <v>R137</v>
      </c>
      <c r="J59" s="67">
        <f>IF($A59&gt;0,VLOOKUP($A59,[1]Foglio1!$A$1:$IV$65536,6,FALSE)," ")</f>
        <v>6880</v>
      </c>
      <c r="K59" s="67">
        <f>IF($A59&gt;0,VLOOKUP($A59,[1]Foglio1!$A$1:$IV$65536,7,FALSE)," ")</f>
        <v>141.12</v>
      </c>
      <c r="L59" s="67">
        <f>IF($A59&gt;0,VLOOKUP($A59,[1]Foglio1!$A$1:$IV$65536,8,FALSE)," ")</f>
        <v>1.1499999999999999</v>
      </c>
      <c r="M59" s="67" t="str">
        <f>IF($A59&gt;0,VLOOKUP($A59,[1]Foglio1!$A$1:$IV$65536,9,FALSE)," ")</f>
        <v>M1</v>
      </c>
      <c r="N59" s="67" t="str">
        <f>IF($A59&gt;0,VLOOKUP($A59,[1]Foglio1!$A$1:$IV$65536,10,FALSE)," ")</f>
        <v>IE3</v>
      </c>
      <c r="O59" s="67" t="str">
        <f>IF($A59&gt;0,VLOOKUP($A59,[1]Foglio1!$A$1:$IV$65536,11,FALSE)," ")</f>
        <v>230/400</v>
      </c>
      <c r="P59" s="68"/>
      <c r="Q59" s="68"/>
      <c r="R59" s="67">
        <f>IF($A59&gt;0,VLOOKUP($A59,[1]Foglio1!$A$1:$IV$65536,12,FALSE)," ")</f>
        <v>50</v>
      </c>
      <c r="S59" s="67" t="str">
        <f>IF($A59&gt;0,VLOOKUP($A59,[1]Foglio1!$A$1:$IV$65536,13,FALSE)," ")</f>
        <v>26,5/15,2</v>
      </c>
      <c r="T59" s="67">
        <f>IF($A59&gt;0,VLOOKUP($A59,[1]Foglio1!$A$1:$IV$65536,14,FALSE)," ")</f>
        <v>55</v>
      </c>
      <c r="U59" s="67" t="str">
        <f>IF($A59&gt;0,VLOOKUP($A59,[1]Foglio1!$A$1:$IV$65536,15,FALSE)," ")</f>
        <v>155(F)</v>
      </c>
      <c r="V59" s="67" t="str">
        <f>IF($A59&gt;0,VLOOKUP($A59,[1]Foglio1!$A$1:$IV$65536,16,FALSE)," ")</f>
        <v>270°</v>
      </c>
      <c r="W59" s="67" t="str">
        <f>IF($A59&gt;0,VLOOKUP($A59,[1]Foglio1!$A$1:$IV$65536,17,FALSE)," ")</f>
        <v>TF</v>
      </c>
      <c r="X59" s="67" t="str">
        <f>IF($A59&gt;0,IF(VLOOKUP($A59,[1]Foglio1!$A$1:$IV$65536,18,FALSE)&lt;&gt;"-","YES","NO")," ")</f>
        <v>YES</v>
      </c>
      <c r="Y59" s="67" t="str">
        <f>IF($A59&gt;0,VLOOKUP($A59,[1]Foglio1!$A$1:$IV$65536,19,FALSE)," ")</f>
        <v>-</v>
      </c>
      <c r="Z59" s="67" t="str">
        <f>IF($A59&gt;0,VLOOKUP($A59,[1]Foglio1!$A$1:$IV$65536,20,FALSE)," ")</f>
        <v>-</v>
      </c>
      <c r="AA59" s="67" t="str">
        <f>IF($A59&gt;0,VLOOKUP($A59,[1]Foglio1!$A$1:$IV$65536,21,FALSE)," ")</f>
        <v>-</v>
      </c>
      <c r="AB59" s="67" t="str">
        <f>IF($A59&gt;0,VLOOKUP($A59,[1]Foglio1!$A$1:$IV$65536,22,FALSE)," ")</f>
        <v>FC</v>
      </c>
      <c r="AC59" s="67"/>
      <c r="AD59" s="67"/>
      <c r="AE59" s="67" t="str">
        <f>IF($A59&gt;0,VLOOKUP($A59,[1]Foglio1!$A$1:$IV$65536,23,FALSE)," ")</f>
        <v>-</v>
      </c>
      <c r="AF59" s="67" t="str">
        <f>IF($A59&gt;0,VLOOKUP($A59,[1]Foglio1!$A$1:$IV$65536,24,FALSE)," ")</f>
        <v>CLP 220 (-15/+40°C)</v>
      </c>
      <c r="AG59" s="67" t="str">
        <f>IF($A59&gt;0,VLOOKUP($A59,[1]Foglio1!$A$1:$IV$65536,25,FALSE)," ")</f>
        <v>R137DRN132M4 /TF/V</v>
      </c>
      <c r="AH59" s="67" t="str">
        <f>IF($A59&gt;0,VLOOKUP($A59,[1]Foglio1!$A$1:$IV$65536,26,FALSE)," ")</f>
        <v>SEW</v>
      </c>
      <c r="AI59" s="67" t="str">
        <f t="shared" ref="AI59" si="33">IF(X59="YES", "YES",IF(A59="","-","NO"))</f>
        <v>YES</v>
      </c>
      <c r="AJ59" s="67">
        <f>IF($A59&gt;0,VLOOKUP($A59,[1]Foglio1!$A$1:$IV$65536,27,FALSE)," ")</f>
        <v>0</v>
      </c>
      <c r="AK59" s="67" t="str">
        <f>IF($A59&gt;0,VLOOKUP($A59,[1]Foglio1!$A$1:$IV$65536,28,FALSE)," ")</f>
        <v>-</v>
      </c>
      <c r="AL59" s="27">
        <f>IF($A59&gt;0,VLOOKUP($A59,[1]Foglio1!$A$1:$IV$65536,31,FALSE)," ")</f>
        <v>0</v>
      </c>
      <c r="AM59" s="64" t="str">
        <f>IF($A59&gt;0,VLOOKUP($A59,[1]Foglio1!$A$1:$IV$65536,34,FALSE)," ")</f>
        <v>R137-DRN132M4270-X#</v>
      </c>
      <c r="AN59" s="76" t="s">
        <v>444</v>
      </c>
    </row>
    <row r="60" spans="1:40" s="8" customFormat="1" ht="18" customHeight="1" x14ac:dyDescent="0.2">
      <c r="A60" s="72" t="s">
        <v>3465</v>
      </c>
      <c r="B60" s="79"/>
      <c r="C60" s="80"/>
      <c r="D60" s="81">
        <v>8</v>
      </c>
      <c r="E60" s="82"/>
      <c r="F60" s="83" t="s">
        <v>3567</v>
      </c>
      <c r="G60" s="73"/>
      <c r="H60" s="73"/>
      <c r="I60" s="73"/>
      <c r="J60" s="73"/>
      <c r="K60" s="73"/>
      <c r="L60" s="73"/>
      <c r="M60" s="73"/>
      <c r="N60" s="73"/>
      <c r="O60" s="73" t="s">
        <v>3466</v>
      </c>
      <c r="P60" s="84"/>
      <c r="Q60" s="84"/>
      <c r="R60" s="73">
        <v>50</v>
      </c>
      <c r="S60" s="73" t="s">
        <v>3470</v>
      </c>
      <c r="T60" s="73">
        <v>66</v>
      </c>
      <c r="U60" s="73"/>
      <c r="V60" s="73"/>
      <c r="W60" s="73"/>
      <c r="X60" s="73"/>
      <c r="Y60" s="73"/>
      <c r="Z60" s="73"/>
      <c r="AA60" s="73"/>
      <c r="AB60" s="73" t="s">
        <v>26</v>
      </c>
      <c r="AC60" s="73"/>
      <c r="AD60" s="73"/>
      <c r="AE60" s="73"/>
      <c r="AF60" s="73"/>
      <c r="AG60" s="73"/>
      <c r="AH60" s="73"/>
      <c r="AI60" s="73"/>
      <c r="AJ60" s="73"/>
      <c r="AK60" s="73"/>
      <c r="AL60" s="85" t="s">
        <v>3469</v>
      </c>
      <c r="AM60" s="64"/>
    </row>
    <row r="61" spans="1:40" s="8" customFormat="1" ht="18" customHeight="1" thickBot="1" x14ac:dyDescent="0.25">
      <c r="A61" s="70"/>
      <c r="B61" s="41"/>
      <c r="C61" s="42"/>
      <c r="D61" s="43"/>
      <c r="E61" s="65"/>
      <c r="F61" s="66"/>
      <c r="G61" s="67"/>
      <c r="H61" s="67"/>
      <c r="I61" s="67"/>
      <c r="J61" s="67"/>
      <c r="K61" s="67"/>
      <c r="L61" s="67"/>
      <c r="M61" s="67"/>
      <c r="N61" s="67"/>
      <c r="O61" s="67"/>
      <c r="P61" s="68"/>
      <c r="Q61" s="68"/>
      <c r="R61" s="67"/>
      <c r="S61" s="67"/>
      <c r="T61" s="67"/>
      <c r="U61" s="67"/>
      <c r="V61" s="67"/>
      <c r="W61" s="67"/>
      <c r="X61" s="67"/>
      <c r="Y61" s="67"/>
      <c r="Z61" s="67"/>
      <c r="AA61" s="67"/>
      <c r="AB61" s="67"/>
      <c r="AC61" s="67"/>
      <c r="AD61" s="67"/>
      <c r="AE61" s="67"/>
      <c r="AF61" s="67"/>
      <c r="AG61" s="67"/>
      <c r="AH61" s="67"/>
      <c r="AI61" s="67"/>
      <c r="AJ61" s="67"/>
      <c r="AK61" s="67"/>
      <c r="AL61" s="27"/>
      <c r="AM61" s="64"/>
    </row>
    <row r="62" spans="1:40" s="8" customFormat="1" ht="45" customHeight="1" x14ac:dyDescent="0.2">
      <c r="A62" s="165" t="s">
        <v>98</v>
      </c>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7"/>
    </row>
    <row r="63" spans="1:40" s="8" customFormat="1" ht="90" customHeight="1" x14ac:dyDescent="0.2">
      <c r="A63" s="36" t="s">
        <v>99</v>
      </c>
      <c r="B63" s="37" t="s">
        <v>66</v>
      </c>
      <c r="C63" s="37" t="s">
        <v>96</v>
      </c>
      <c r="D63" s="37" t="s">
        <v>68</v>
      </c>
      <c r="E63" s="168" t="s">
        <v>97</v>
      </c>
      <c r="F63" s="169"/>
      <c r="G63" s="169"/>
      <c r="H63" s="169"/>
      <c r="I63" s="169"/>
      <c r="J63" s="169"/>
      <c r="K63" s="169"/>
      <c r="L63" s="169"/>
      <c r="M63" s="169"/>
      <c r="N63" s="169"/>
      <c r="O63" s="169"/>
      <c r="P63" s="169"/>
      <c r="Q63" s="169"/>
      <c r="R63" s="169"/>
      <c r="S63" s="169"/>
      <c r="T63" s="169"/>
      <c r="U63" s="169"/>
      <c r="V63" s="169"/>
      <c r="W63" s="169"/>
      <c r="X63" s="169"/>
      <c r="Y63" s="169"/>
      <c r="Z63" s="169"/>
      <c r="AA63" s="169"/>
      <c r="AB63" s="169"/>
      <c r="AC63" s="169"/>
      <c r="AD63" s="169"/>
      <c r="AE63" s="169"/>
      <c r="AF63" s="169"/>
      <c r="AG63" s="169"/>
      <c r="AH63" s="169"/>
      <c r="AI63" s="169"/>
      <c r="AJ63" s="169"/>
      <c r="AK63" s="169"/>
      <c r="AL63" s="60" t="s">
        <v>55</v>
      </c>
    </row>
    <row r="64" spans="1:40" s="8" customFormat="1" ht="18" customHeight="1" x14ac:dyDescent="0.2">
      <c r="A64" s="46"/>
      <c r="B64" s="47"/>
      <c r="C64" s="48"/>
      <c r="D64" s="49"/>
      <c r="E64" s="170"/>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c r="AD64" s="171"/>
      <c r="AE64" s="171"/>
      <c r="AF64" s="171"/>
      <c r="AG64" s="171"/>
      <c r="AH64" s="171"/>
      <c r="AI64" s="171"/>
      <c r="AJ64" s="171"/>
      <c r="AK64" s="172"/>
      <c r="AL64" s="61"/>
    </row>
    <row r="65" spans="1:40" s="7" customFormat="1" ht="18" customHeight="1" x14ac:dyDescent="0.2">
      <c r="A65" s="50"/>
      <c r="B65" s="41" t="s">
        <v>3124</v>
      </c>
      <c r="C65" s="42" t="s">
        <v>3107</v>
      </c>
      <c r="D65" s="71">
        <v>1</v>
      </c>
      <c r="E65" s="173" t="s">
        <v>3094</v>
      </c>
      <c r="F65" s="173"/>
      <c r="G65" s="173"/>
      <c r="H65" s="173"/>
      <c r="I65" s="173"/>
      <c r="J65" s="173"/>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4"/>
      <c r="AL65" s="27"/>
      <c r="AN65" s="77" t="s">
        <v>3392</v>
      </c>
    </row>
    <row r="66" spans="1:40" s="7" customFormat="1" ht="18" customHeight="1" thickBot="1" x14ac:dyDescent="0.25">
      <c r="A66" s="51"/>
      <c r="B66" s="52"/>
      <c r="C66" s="44"/>
      <c r="D66" s="45"/>
      <c r="E66" s="163"/>
      <c r="F66" s="163"/>
      <c r="G66" s="163"/>
      <c r="H66" s="163"/>
      <c r="I66" s="163"/>
      <c r="J66" s="163"/>
      <c r="K66" s="163"/>
      <c r="L66" s="163"/>
      <c r="M66" s="163"/>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4"/>
      <c r="AL66" s="28"/>
    </row>
  </sheetData>
  <sheetProtection selectLockedCells="1"/>
  <mergeCells count="47">
    <mergeCell ref="E66:AK66"/>
    <mergeCell ref="A62:AL62"/>
    <mergeCell ref="E63:AK63"/>
    <mergeCell ref="E64:AK64"/>
    <mergeCell ref="E65:AK65"/>
    <mergeCell ref="AJ8:AJ9"/>
    <mergeCell ref="AK8:AK9"/>
    <mergeCell ref="AH8:AH9"/>
    <mergeCell ref="W8:AF8"/>
    <mergeCell ref="AG8:AG9"/>
    <mergeCell ref="T7:AK7"/>
    <mergeCell ref="T5:AK5"/>
    <mergeCell ref="T6:AK6"/>
    <mergeCell ref="L5:M5"/>
    <mergeCell ref="O5:P5"/>
    <mergeCell ref="O2:P2"/>
    <mergeCell ref="D8:D9"/>
    <mergeCell ref="AL1:AL7"/>
    <mergeCell ref="AL8:AL9"/>
    <mergeCell ref="C8:C9"/>
    <mergeCell ref="T1:AK1"/>
    <mergeCell ref="A1:R1"/>
    <mergeCell ref="O3:P3"/>
    <mergeCell ref="O4:P4"/>
    <mergeCell ref="O6:P6"/>
    <mergeCell ref="D6:F6"/>
    <mergeCell ref="G6:H6"/>
    <mergeCell ref="L3:M3"/>
    <mergeCell ref="L4:M4"/>
    <mergeCell ref="L6:M6"/>
    <mergeCell ref="AI8:AI9"/>
    <mergeCell ref="B8:B9"/>
    <mergeCell ref="Q2:S3"/>
    <mergeCell ref="Q4:S6"/>
    <mergeCell ref="A8:A9"/>
    <mergeCell ref="B6:C6"/>
    <mergeCell ref="L2:M2"/>
    <mergeCell ref="E8:V8"/>
    <mergeCell ref="T2:AK4"/>
    <mergeCell ref="C2:H2"/>
    <mergeCell ref="A2:B2"/>
    <mergeCell ref="A3:B3"/>
    <mergeCell ref="A4:B4"/>
    <mergeCell ref="A5:B5"/>
    <mergeCell ref="C3:H3"/>
    <mergeCell ref="C4:H4"/>
    <mergeCell ref="C5:H5"/>
  </mergeCells>
  <phoneticPr fontId="0" type="noConversion"/>
  <conditionalFormatting sqref="Q4:Q5">
    <cfRule type="cellIs" dxfId="0" priority="1" stopIfTrue="1" operator="equal">
      <formula>"RELEASED"</formula>
    </cfRule>
  </conditionalFormatting>
  <dataValidations count="1">
    <dataValidation type="list" allowBlank="1" showInputMessage="1" showErrorMessage="1" sqref="Q4:Q5" xr:uid="{00000000-0002-0000-0000-000000000000}">
      <formula1>"WORK,RELEASED"</formula1>
    </dataValidation>
  </dataValidations>
  <printOptions horizontalCentered="1"/>
  <pageMargins left="0.25" right="0.25" top="0.75" bottom="0.75" header="0.3" footer="0.3"/>
  <pageSetup paperSize="8" scale="68" fitToHeight="0" orientation="landscape" cellComments="asDisplayed" r:id="rId1"/>
  <headerFooter alignWithMargins="0">
    <oddFooter>&amp;L&amp;Z&amp;F&amp;RPagina &amp;P di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dimension ref="A2:D29"/>
  <sheetViews>
    <sheetView workbookViewId="0">
      <selection activeCell="D25" sqref="D25"/>
    </sheetView>
  </sheetViews>
  <sheetFormatPr defaultRowHeight="11.25" x14ac:dyDescent="0.2"/>
  <cols>
    <col min="2" max="4" width="10.83203125" style="2" customWidth="1"/>
  </cols>
  <sheetData>
    <row r="2" spans="1:4" x14ac:dyDescent="0.2">
      <c r="B2" s="2" t="s">
        <v>0</v>
      </c>
      <c r="C2" s="2" t="s">
        <v>44</v>
      </c>
      <c r="D2" s="2" t="s">
        <v>1</v>
      </c>
    </row>
    <row r="3" spans="1:4" x14ac:dyDescent="0.2">
      <c r="A3" t="s">
        <v>23</v>
      </c>
      <c r="B3" s="2">
        <v>0.12</v>
      </c>
      <c r="C3" s="2" t="str">
        <f>CONCATENATE("PM",B3*100)</f>
        <v>PM12</v>
      </c>
      <c r="D3" s="2" t="s">
        <v>2</v>
      </c>
    </row>
    <row r="4" spans="1:4" x14ac:dyDescent="0.2">
      <c r="A4" t="s">
        <v>24</v>
      </c>
      <c r="B4" s="2">
        <v>0.18</v>
      </c>
      <c r="C4" s="2" t="str">
        <f t="shared" ref="C4:C29" si="0">CONCATENATE("PM",B4*100)</f>
        <v>PM18</v>
      </c>
      <c r="D4" s="2" t="s">
        <v>3</v>
      </c>
    </row>
    <row r="5" spans="1:4" x14ac:dyDescent="0.2">
      <c r="A5" t="s">
        <v>25</v>
      </c>
      <c r="B5" s="2">
        <v>0.25</v>
      </c>
      <c r="C5" s="2" t="str">
        <f t="shared" si="0"/>
        <v>PM25</v>
      </c>
      <c r="D5" s="2" t="s">
        <v>4</v>
      </c>
    </row>
    <row r="6" spans="1:4" x14ac:dyDescent="0.2">
      <c r="A6" t="s">
        <v>26</v>
      </c>
      <c r="B6" s="2">
        <v>0.37</v>
      </c>
      <c r="C6" s="2" t="str">
        <f t="shared" si="0"/>
        <v>PM37</v>
      </c>
      <c r="D6" s="2" t="s">
        <v>5</v>
      </c>
    </row>
    <row r="7" spans="1:4" x14ac:dyDescent="0.2">
      <c r="A7" t="s">
        <v>27</v>
      </c>
      <c r="B7" s="2">
        <v>0.55000000000000004</v>
      </c>
      <c r="C7" s="2" t="str">
        <f t="shared" si="0"/>
        <v>PM55</v>
      </c>
      <c r="D7" s="2" t="s">
        <v>6</v>
      </c>
    </row>
    <row r="8" spans="1:4" x14ac:dyDescent="0.2">
      <c r="A8" t="s">
        <v>28</v>
      </c>
      <c r="B8" s="2">
        <v>0.75</v>
      </c>
      <c r="C8" s="2" t="str">
        <f t="shared" si="0"/>
        <v>PM75</v>
      </c>
      <c r="D8" s="2" t="s">
        <v>7</v>
      </c>
    </row>
    <row r="9" spans="1:4" x14ac:dyDescent="0.2">
      <c r="A9" t="s">
        <v>29</v>
      </c>
      <c r="B9" s="2">
        <v>1.1000000000000001</v>
      </c>
      <c r="C9" s="2" t="str">
        <f t="shared" si="0"/>
        <v>PM110</v>
      </c>
      <c r="D9" s="2" t="s">
        <v>8</v>
      </c>
    </row>
    <row r="10" spans="1:4" x14ac:dyDescent="0.2">
      <c r="A10" t="s">
        <v>30</v>
      </c>
      <c r="B10" s="2">
        <v>1.5</v>
      </c>
      <c r="C10" s="2" t="str">
        <f t="shared" si="0"/>
        <v>PM150</v>
      </c>
      <c r="D10" s="2" t="s">
        <v>9</v>
      </c>
    </row>
    <row r="11" spans="1:4" x14ac:dyDescent="0.2">
      <c r="A11" t="s">
        <v>31</v>
      </c>
      <c r="B11" s="2">
        <v>2.2000000000000002</v>
      </c>
      <c r="C11" s="2" t="str">
        <f t="shared" si="0"/>
        <v>PM220</v>
      </c>
      <c r="D11" s="2" t="s">
        <v>10</v>
      </c>
    </row>
    <row r="12" spans="1:4" x14ac:dyDescent="0.2">
      <c r="A12" t="s">
        <v>32</v>
      </c>
      <c r="B12" s="2">
        <v>3</v>
      </c>
      <c r="C12" s="2" t="str">
        <f t="shared" si="0"/>
        <v>PM300</v>
      </c>
      <c r="D12" s="2" t="s">
        <v>11</v>
      </c>
    </row>
    <row r="13" spans="1:4" x14ac:dyDescent="0.2">
      <c r="A13" t="s">
        <v>33</v>
      </c>
      <c r="B13" s="2">
        <v>4</v>
      </c>
      <c r="C13" s="2" t="str">
        <f t="shared" si="0"/>
        <v>PM400</v>
      </c>
      <c r="D13" s="2" t="s">
        <v>12</v>
      </c>
    </row>
    <row r="14" spans="1:4" x14ac:dyDescent="0.2">
      <c r="A14" t="s">
        <v>34</v>
      </c>
      <c r="B14" s="2">
        <v>5.5</v>
      </c>
      <c r="C14" s="2" t="str">
        <f t="shared" si="0"/>
        <v>PM550</v>
      </c>
      <c r="D14" s="2" t="s">
        <v>13</v>
      </c>
    </row>
    <row r="15" spans="1:4" x14ac:dyDescent="0.2">
      <c r="A15" t="s">
        <v>35</v>
      </c>
      <c r="B15" s="2">
        <v>7.5</v>
      </c>
      <c r="C15" s="2" t="str">
        <f t="shared" si="0"/>
        <v>PM750</v>
      </c>
      <c r="D15" s="2" t="s">
        <v>14</v>
      </c>
    </row>
    <row r="16" spans="1:4" x14ac:dyDescent="0.2">
      <c r="A16" t="s">
        <v>36</v>
      </c>
      <c r="B16" s="2">
        <v>9.1999999999999993</v>
      </c>
      <c r="C16" s="2" t="str">
        <f t="shared" si="0"/>
        <v>PM920</v>
      </c>
      <c r="D16" s="2" t="s">
        <v>15</v>
      </c>
    </row>
    <row r="17" spans="1:4" x14ac:dyDescent="0.2">
      <c r="A17" t="s">
        <v>37</v>
      </c>
      <c r="B17" s="2">
        <v>11</v>
      </c>
      <c r="C17" s="2" t="str">
        <f t="shared" si="0"/>
        <v>PM1100</v>
      </c>
      <c r="D17" s="2" t="s">
        <v>16</v>
      </c>
    </row>
    <row r="18" spans="1:4" x14ac:dyDescent="0.2">
      <c r="A18" t="s">
        <v>38</v>
      </c>
      <c r="B18" s="2">
        <v>15</v>
      </c>
      <c r="C18" s="2" t="str">
        <f t="shared" si="0"/>
        <v>PM1500</v>
      </c>
      <c r="D18" s="2" t="s">
        <v>17</v>
      </c>
    </row>
    <row r="19" spans="1:4" x14ac:dyDescent="0.2">
      <c r="A19" t="s">
        <v>39</v>
      </c>
      <c r="B19" s="2">
        <v>18.5</v>
      </c>
      <c r="C19" s="2" t="str">
        <f t="shared" si="0"/>
        <v>PM1850</v>
      </c>
      <c r="D19" s="2" t="s">
        <v>18</v>
      </c>
    </row>
    <row r="20" spans="1:4" x14ac:dyDescent="0.2">
      <c r="A20" t="s">
        <v>40</v>
      </c>
      <c r="B20" s="2">
        <v>22</v>
      </c>
      <c r="C20" s="2" t="str">
        <f t="shared" si="0"/>
        <v>PM2200</v>
      </c>
      <c r="D20" s="2" t="s">
        <v>19</v>
      </c>
    </row>
    <row r="21" spans="1:4" x14ac:dyDescent="0.2">
      <c r="A21" t="s">
        <v>41</v>
      </c>
      <c r="B21" s="2">
        <v>30</v>
      </c>
      <c r="C21" s="2" t="str">
        <f t="shared" si="0"/>
        <v>PM3000</v>
      </c>
      <c r="D21" s="2" t="s">
        <v>20</v>
      </c>
    </row>
    <row r="22" spans="1:4" x14ac:dyDescent="0.2">
      <c r="A22" t="s">
        <v>42</v>
      </c>
      <c r="B22" s="2">
        <v>37</v>
      </c>
      <c r="C22" s="2" t="str">
        <f t="shared" si="0"/>
        <v>PM3700</v>
      </c>
      <c r="D22" s="2" t="s">
        <v>21</v>
      </c>
    </row>
    <row r="23" spans="1:4" x14ac:dyDescent="0.2">
      <c r="A23" t="s">
        <v>43</v>
      </c>
      <c r="B23" s="2">
        <v>45</v>
      </c>
      <c r="C23" s="2" t="str">
        <f t="shared" si="0"/>
        <v>PM4500</v>
      </c>
      <c r="D23" s="2" t="s">
        <v>22</v>
      </c>
    </row>
    <row r="24" spans="1:4" x14ac:dyDescent="0.2">
      <c r="B24" s="2">
        <v>55</v>
      </c>
      <c r="C24" s="2" t="str">
        <f t="shared" si="0"/>
        <v>PM5500</v>
      </c>
      <c r="D24" s="2" t="s">
        <v>45</v>
      </c>
    </row>
    <row r="25" spans="1:4" x14ac:dyDescent="0.2">
      <c r="B25" s="2">
        <v>75</v>
      </c>
      <c r="C25" s="2" t="str">
        <f t="shared" si="0"/>
        <v>PM7500</v>
      </c>
      <c r="D25" s="2" t="s">
        <v>50</v>
      </c>
    </row>
    <row r="26" spans="1:4" x14ac:dyDescent="0.2">
      <c r="B26" s="2">
        <v>90</v>
      </c>
      <c r="C26" s="2" t="str">
        <f t="shared" si="0"/>
        <v>PM9000</v>
      </c>
      <c r="D26" s="2" t="s">
        <v>46</v>
      </c>
    </row>
    <row r="27" spans="1:4" x14ac:dyDescent="0.2">
      <c r="B27" s="2">
        <v>110</v>
      </c>
      <c r="C27" s="2" t="str">
        <f t="shared" si="0"/>
        <v>PM11000</v>
      </c>
      <c r="D27" s="2" t="s">
        <v>47</v>
      </c>
    </row>
    <row r="28" spans="1:4" x14ac:dyDescent="0.2">
      <c r="B28" s="2">
        <v>132</v>
      </c>
      <c r="C28" s="2" t="str">
        <f t="shared" si="0"/>
        <v>PM13200</v>
      </c>
      <c r="D28" s="2" t="s">
        <v>48</v>
      </c>
    </row>
    <row r="29" spans="1:4" x14ac:dyDescent="0.2">
      <c r="B29" s="2">
        <v>160</v>
      </c>
      <c r="C29" s="2" t="str">
        <f t="shared" si="0"/>
        <v>PM16000</v>
      </c>
      <c r="D29" s="2" t="s">
        <v>49</v>
      </c>
    </row>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yracuseOfficeCustomData>{}</SyracuseOfficeCustomData>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42E264E0906A36439D4506E515FA98B0" ma:contentTypeVersion="11" ma:contentTypeDescription="Creare un nuovo documento." ma:contentTypeScope="" ma:versionID="4ccf18f1da8f14174de6fbeb74eeb535">
  <xsd:schema xmlns:xsd="http://www.w3.org/2001/XMLSchema" xmlns:xs="http://www.w3.org/2001/XMLSchema" xmlns:p="http://schemas.microsoft.com/office/2006/metadata/properties" xmlns:ns2="cc678dee-8343-4596-a7d7-6c0fd0f57754" xmlns:ns3="1d6d1335-94f6-419c-8c3e-87666617b423" targetNamespace="http://schemas.microsoft.com/office/2006/metadata/properties" ma:root="true" ma:fieldsID="6bc8d10be96e410b1600d0e516b6d3f3" ns2:_="" ns3:_="">
    <xsd:import namespace="cc678dee-8343-4596-a7d7-6c0fd0f57754"/>
    <xsd:import namespace="1d6d1335-94f6-419c-8c3e-87666617b4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678dee-8343-4596-a7d7-6c0fd0f577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ea8e8640-98bd-4d29-a6fb-4aa9571fcf2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6d1335-94f6-419c-8c3e-87666617b42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0eaaacb-e155-4f95-8902-a79d45c195d7}" ma:internalName="TaxCatchAll" ma:showField="CatchAllData" ma:web="1d6d1335-94f6-419c-8c3e-87666617b4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TaxCatchAll xmlns="1d6d1335-94f6-419c-8c3e-87666617b423" xsi:nil="true"/>
    <lcf76f155ced4ddcb4097134ff3c332f xmlns="cc678dee-8343-4596-a7d7-6c0fd0f5775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66580B-84C5-4F2E-9ED9-028D6239B311}">
  <ds:schemaRefs/>
</ds:datastoreItem>
</file>

<file path=customXml/itemProps2.xml><?xml version="1.0" encoding="utf-8"?>
<ds:datastoreItem xmlns:ds="http://schemas.openxmlformats.org/officeDocument/2006/customXml" ds:itemID="{2BF3931C-5476-4220-8525-EDAF84D83AAA}">
  <ds:schemaRefs>
    <ds:schemaRef ds:uri="http://schemas.microsoft.com/DataMashup"/>
  </ds:schemaRefs>
</ds:datastoreItem>
</file>

<file path=customXml/itemProps3.xml><?xml version="1.0" encoding="utf-8"?>
<ds:datastoreItem xmlns:ds="http://schemas.openxmlformats.org/officeDocument/2006/customXml" ds:itemID="{85CC663D-752B-4C15-A195-E9ADE4D24C6C}"/>
</file>

<file path=customXml/itemProps4.xml><?xml version="1.0" encoding="utf-8"?>
<ds:datastoreItem xmlns:ds="http://schemas.openxmlformats.org/officeDocument/2006/customXml" ds:itemID="{377251E6-7DF4-42FD-83AF-6DB4FAAAE694}"/>
</file>

<file path=customXml/itemProps5.xml><?xml version="1.0" encoding="utf-8"?>
<ds:datastoreItem xmlns:ds="http://schemas.openxmlformats.org/officeDocument/2006/customXml" ds:itemID="{31F5B136-B15F-4F35-AAA8-5BB8BC29F9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29</vt:i4>
      </vt:variant>
    </vt:vector>
  </HeadingPairs>
  <TitlesOfParts>
    <vt:vector size="32" baseType="lpstr">
      <vt:lpstr>Foglio1</vt:lpstr>
      <vt:lpstr>ML</vt:lpstr>
      <vt:lpstr>Foglio2</vt:lpstr>
      <vt:lpstr>_pm110</vt:lpstr>
      <vt:lpstr>_pm1100</vt:lpstr>
      <vt:lpstr>_pm11000</vt:lpstr>
      <vt:lpstr>_pm12</vt:lpstr>
      <vt:lpstr>_pm13200</vt:lpstr>
      <vt:lpstr>_pm150</vt:lpstr>
      <vt:lpstr>_pm1500</vt:lpstr>
      <vt:lpstr>_pm16000</vt:lpstr>
      <vt:lpstr>_pm18</vt:lpstr>
      <vt:lpstr>_pm1850</vt:lpstr>
      <vt:lpstr>_pm220</vt:lpstr>
      <vt:lpstr>_pm2200</vt:lpstr>
      <vt:lpstr>_pm25</vt:lpstr>
      <vt:lpstr>_pm300</vt:lpstr>
      <vt:lpstr>_pm3000</vt:lpstr>
      <vt:lpstr>_pm37</vt:lpstr>
      <vt:lpstr>_pm3700</vt:lpstr>
      <vt:lpstr>_pm400</vt:lpstr>
      <vt:lpstr>_pm4500</vt:lpstr>
      <vt:lpstr>_pm55</vt:lpstr>
      <vt:lpstr>_pm550</vt:lpstr>
      <vt:lpstr>_pm5500</vt:lpstr>
      <vt:lpstr>_pm75</vt:lpstr>
      <vt:lpstr>_pm750</vt:lpstr>
      <vt:lpstr>_pm7500</vt:lpstr>
      <vt:lpstr>_pm9000</vt:lpstr>
      <vt:lpstr>_pm920</vt:lpstr>
      <vt:lpstr>ML!Area_stampa</vt:lpstr>
      <vt:lpstr>ML!Titoli_stampa</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Fragale</dc:creator>
  <cp:lastModifiedBy>Francesco Franzini</cp:lastModifiedBy>
  <cp:lastPrinted>2025-06-17T11:36:29Z</cp:lastPrinted>
  <dcterms:created xsi:type="dcterms:W3CDTF">1999-12-29T07:23:18Z</dcterms:created>
  <dcterms:modified xsi:type="dcterms:W3CDTF">2025-07-23T12:04:07Z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0x01010042E264E0906A36439D4506E515FA98B0</vt:lpwstr>
  </property>
</Properties>
</file>